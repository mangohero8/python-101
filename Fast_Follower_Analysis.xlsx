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robertsmacbookpro/Documents/"/>
    </mc:Choice>
  </mc:AlternateContent>
  <xr:revisionPtr revIDLastSave="0" documentId="8_{F8822031-6BF0-BA46-A1F6-C66CC019CC22}" xr6:coauthVersionLast="47" xr6:coauthVersionMax="47" xr10:uidLastSave="{00000000-0000-0000-0000-000000000000}"/>
  <bookViews>
    <workbookView xWindow="0" yWindow="600" windowWidth="40960" windowHeight="44220" tabRatio="500" activeTab="4" xr2:uid="{00000000-000D-0000-FFFF-FFFF00000000}"/>
  </bookViews>
  <sheets>
    <sheet name="Summary" sheetId="1" r:id="rId1"/>
    <sheet name="All_Risk_Apps" sheetId="2" r:id="rId2"/>
    <sheet name="Bucket1_High_Risk" sheetId="3" r:id="rId3"/>
    <sheet name="Bucket2_Fast_Followers" sheetId="4" r:id="rId4"/>
    <sheet name="Server_Inventory" sheetId="5" r:id="rId5"/>
    <sheet name="Container_Inventory" sheetId="6" r:id="rId6"/>
    <sheet name="FUSE_CI" sheetId="7" r:id="rId7"/>
    <sheet name="Finding_List" sheetId="8" r:id="rId8"/>
    <sheet name="Pivot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50002" i="5" l="1"/>
  <c r="Z50001" i="5"/>
  <c r="Z50000" i="5"/>
  <c r="Z49999" i="5"/>
  <c r="Z49998" i="5"/>
  <c r="Z49997" i="5"/>
  <c r="Z49996" i="5"/>
  <c r="Z49995" i="5"/>
  <c r="Z49994" i="5"/>
  <c r="Z49993" i="5"/>
  <c r="Z49992" i="5"/>
  <c r="Z49991" i="5"/>
  <c r="Z49990" i="5"/>
  <c r="Z49989" i="5"/>
  <c r="Z49988" i="5"/>
  <c r="Z49987" i="5"/>
  <c r="Z49986" i="5"/>
  <c r="Z49985" i="5"/>
  <c r="Z49984" i="5"/>
  <c r="Z49983" i="5"/>
  <c r="Z49982" i="5"/>
  <c r="Z49981" i="5"/>
  <c r="Z49980" i="5"/>
  <c r="Z49979" i="5"/>
  <c r="Z49978" i="5"/>
  <c r="Z49977" i="5"/>
  <c r="Z49976" i="5"/>
  <c r="Z49975" i="5"/>
  <c r="Z49974" i="5"/>
  <c r="Z49973" i="5"/>
  <c r="Z49972" i="5"/>
  <c r="Z49971" i="5"/>
  <c r="Z49970" i="5"/>
  <c r="Z49969" i="5"/>
  <c r="Z49968" i="5"/>
  <c r="Z49967" i="5"/>
  <c r="Z49966" i="5"/>
  <c r="Z49965" i="5"/>
  <c r="Z49964" i="5"/>
  <c r="Z49963" i="5"/>
  <c r="Z49962" i="5"/>
  <c r="Z49961" i="5"/>
  <c r="Z49960" i="5"/>
  <c r="Z49959" i="5"/>
  <c r="Z49958" i="5"/>
  <c r="Z49957" i="5"/>
  <c r="Z49956" i="5"/>
  <c r="Z49955" i="5"/>
  <c r="Z49954" i="5"/>
  <c r="Z49953" i="5"/>
  <c r="Z49952" i="5"/>
  <c r="Z49951" i="5"/>
  <c r="Z49950" i="5"/>
  <c r="Z49949" i="5"/>
  <c r="Z49948" i="5"/>
  <c r="Z49947" i="5"/>
  <c r="Z49946" i="5"/>
  <c r="Z49945" i="5"/>
  <c r="Z49944" i="5"/>
  <c r="Z49943" i="5"/>
  <c r="Z49942" i="5"/>
  <c r="Z49941" i="5"/>
  <c r="Z49940" i="5"/>
  <c r="Z49939" i="5"/>
  <c r="Z49938" i="5"/>
  <c r="Z49937" i="5"/>
  <c r="Z49936" i="5"/>
  <c r="Z49935" i="5"/>
  <c r="Z49934" i="5"/>
  <c r="Z49933" i="5"/>
  <c r="Z49932" i="5"/>
  <c r="Z49931" i="5"/>
  <c r="Z49930" i="5"/>
  <c r="Z49929" i="5"/>
  <c r="Z49928" i="5"/>
  <c r="Z49927" i="5"/>
  <c r="Z49926" i="5"/>
  <c r="Z49925" i="5"/>
  <c r="Z49924" i="5"/>
  <c r="Z49923" i="5"/>
  <c r="Z49922" i="5"/>
  <c r="Z49921" i="5"/>
  <c r="Z49920" i="5"/>
  <c r="Z49919" i="5"/>
  <c r="Z49918" i="5"/>
  <c r="Z49917" i="5"/>
  <c r="Z49916" i="5"/>
  <c r="Z49915" i="5"/>
  <c r="Z49914" i="5"/>
  <c r="Z49913" i="5"/>
  <c r="Z49912" i="5"/>
  <c r="Z49911" i="5"/>
  <c r="Z49910" i="5"/>
  <c r="Z49909" i="5"/>
  <c r="Z49908" i="5"/>
  <c r="Z49907" i="5"/>
  <c r="Z49906" i="5"/>
  <c r="Z49905" i="5"/>
  <c r="Z49904" i="5"/>
  <c r="Z49903" i="5"/>
  <c r="Z49902" i="5"/>
  <c r="Z49901" i="5"/>
  <c r="Z49900" i="5"/>
  <c r="Z49899" i="5"/>
  <c r="Z49898" i="5"/>
  <c r="Z49897" i="5"/>
  <c r="Z49896" i="5"/>
  <c r="Z49895" i="5"/>
  <c r="Z49894" i="5"/>
  <c r="Z49893" i="5"/>
  <c r="Z49892" i="5"/>
  <c r="Z49891" i="5"/>
  <c r="Z49890" i="5"/>
  <c r="Z49889" i="5"/>
  <c r="Z49888" i="5"/>
  <c r="Z49887" i="5"/>
  <c r="Z49886" i="5"/>
  <c r="Z49885" i="5"/>
  <c r="Z49884" i="5"/>
  <c r="Z49883" i="5"/>
  <c r="Z49882" i="5"/>
  <c r="Z49881" i="5"/>
  <c r="Z49880" i="5"/>
  <c r="Z49879" i="5"/>
  <c r="Z49878" i="5"/>
  <c r="Z49877" i="5"/>
  <c r="Z49876" i="5"/>
  <c r="Z49875" i="5"/>
  <c r="Z49874" i="5"/>
  <c r="Z49873" i="5"/>
  <c r="Z49872" i="5"/>
  <c r="Z49871" i="5"/>
  <c r="Z49870" i="5"/>
  <c r="Z49869" i="5"/>
  <c r="Z49868" i="5"/>
  <c r="Z49867" i="5"/>
  <c r="Z49866" i="5"/>
  <c r="Z49865" i="5"/>
  <c r="Z49864" i="5"/>
  <c r="Z49863" i="5"/>
  <c r="Z49862" i="5"/>
  <c r="Z49861" i="5"/>
  <c r="Z49860" i="5"/>
  <c r="Z49859" i="5"/>
  <c r="Z49858" i="5"/>
  <c r="Z49857" i="5"/>
  <c r="Z49856" i="5"/>
  <c r="Z49855" i="5"/>
  <c r="Z49854" i="5"/>
  <c r="Z49853" i="5"/>
  <c r="Z49852" i="5"/>
  <c r="Z49851" i="5"/>
  <c r="Z49850" i="5"/>
  <c r="Z49849" i="5"/>
  <c r="Z49848" i="5"/>
  <c r="Z49847" i="5"/>
  <c r="Z49846" i="5"/>
  <c r="Z49845" i="5"/>
  <c r="Z49844" i="5"/>
  <c r="Z49843" i="5"/>
  <c r="Z49842" i="5"/>
  <c r="Z49841" i="5"/>
  <c r="Z49840" i="5"/>
  <c r="Z49839" i="5"/>
  <c r="Z49838" i="5"/>
  <c r="Z49837" i="5"/>
  <c r="Z49836" i="5"/>
  <c r="Z49835" i="5"/>
  <c r="Z49834" i="5"/>
  <c r="Z49833" i="5"/>
  <c r="Z49832" i="5"/>
  <c r="Z49831" i="5"/>
  <c r="Z49830" i="5"/>
  <c r="Z49829" i="5"/>
  <c r="Z49828" i="5"/>
  <c r="Z49827" i="5"/>
  <c r="Z49826" i="5"/>
  <c r="Z49825" i="5"/>
  <c r="Z49824" i="5"/>
  <c r="Z49823" i="5"/>
  <c r="Z49822" i="5"/>
  <c r="Z49821" i="5"/>
  <c r="Z49820" i="5"/>
  <c r="Z49819" i="5"/>
  <c r="Z49818" i="5"/>
  <c r="Z49817" i="5"/>
  <c r="Z49816" i="5"/>
  <c r="Z49815" i="5"/>
  <c r="Z49814" i="5"/>
  <c r="Z49813" i="5"/>
  <c r="Z49812" i="5"/>
  <c r="Z49811" i="5"/>
  <c r="Z49810" i="5"/>
  <c r="Z49809" i="5"/>
  <c r="Z49808" i="5"/>
  <c r="Z49807" i="5"/>
  <c r="Z49806" i="5"/>
  <c r="Z49805" i="5"/>
  <c r="Z49804" i="5"/>
  <c r="Z49803" i="5"/>
  <c r="Z49802" i="5"/>
  <c r="Z49801" i="5"/>
  <c r="Z49800" i="5"/>
  <c r="Z49799" i="5"/>
  <c r="Z49798" i="5"/>
  <c r="Z49797" i="5"/>
  <c r="Z49796" i="5"/>
  <c r="Z49795" i="5"/>
  <c r="Z49794" i="5"/>
  <c r="Z49793" i="5"/>
  <c r="Z49792" i="5"/>
  <c r="Z49791" i="5"/>
  <c r="Z49790" i="5"/>
  <c r="Z49789" i="5"/>
  <c r="Z49788" i="5"/>
  <c r="Z49787" i="5"/>
  <c r="Z49786" i="5"/>
  <c r="Z49785" i="5"/>
  <c r="Z49784" i="5"/>
  <c r="Z49783" i="5"/>
  <c r="Z49782" i="5"/>
  <c r="Z49781" i="5"/>
  <c r="Z49780" i="5"/>
  <c r="Z49779" i="5"/>
  <c r="Z49778" i="5"/>
  <c r="Z49777" i="5"/>
  <c r="Z49776" i="5"/>
  <c r="Z49775" i="5"/>
  <c r="Z49774" i="5"/>
  <c r="Z49773" i="5"/>
  <c r="Z49772" i="5"/>
  <c r="Z49771" i="5"/>
  <c r="Z49770" i="5"/>
  <c r="Z49769" i="5"/>
  <c r="Z49768" i="5"/>
  <c r="Z49767" i="5"/>
  <c r="Z49766" i="5"/>
  <c r="Z49765" i="5"/>
  <c r="Z49764" i="5"/>
  <c r="Z49763" i="5"/>
  <c r="Z49762" i="5"/>
  <c r="Z49761" i="5"/>
  <c r="Z49760" i="5"/>
  <c r="Z49759" i="5"/>
  <c r="Z49758" i="5"/>
  <c r="Z49757" i="5"/>
  <c r="Z49756" i="5"/>
  <c r="Z49755" i="5"/>
  <c r="Z49754" i="5"/>
  <c r="Z49753" i="5"/>
  <c r="Z49752" i="5"/>
  <c r="Z49751" i="5"/>
  <c r="Z49750" i="5"/>
  <c r="Z49749" i="5"/>
  <c r="Z49748" i="5"/>
  <c r="Z49747" i="5"/>
  <c r="Z49746" i="5"/>
  <c r="Z49745" i="5"/>
  <c r="Z49744" i="5"/>
  <c r="Z49743" i="5"/>
  <c r="Z49742" i="5"/>
  <c r="Z49741" i="5"/>
  <c r="Z49740" i="5"/>
  <c r="Z49739" i="5"/>
  <c r="Z49738" i="5"/>
  <c r="Z49737" i="5"/>
  <c r="Z49736" i="5"/>
  <c r="Z49735" i="5"/>
  <c r="Z49734" i="5"/>
  <c r="Z49733" i="5"/>
  <c r="Z49732" i="5"/>
  <c r="Z49731" i="5"/>
  <c r="Z49730" i="5"/>
  <c r="Z49729" i="5"/>
  <c r="Z49728" i="5"/>
  <c r="Z49727" i="5"/>
  <c r="Z49726" i="5"/>
  <c r="Z49725" i="5"/>
  <c r="Z49724" i="5"/>
  <c r="Z49723" i="5"/>
  <c r="Z49722" i="5"/>
  <c r="Z49721" i="5"/>
  <c r="Z49720" i="5"/>
  <c r="Z49719" i="5"/>
  <c r="Z49718" i="5"/>
  <c r="Z49717" i="5"/>
  <c r="Z49716" i="5"/>
  <c r="Z49715" i="5"/>
  <c r="Z49714" i="5"/>
  <c r="Z49713" i="5"/>
  <c r="Z49712" i="5"/>
  <c r="Z49711" i="5"/>
  <c r="Z49710" i="5"/>
  <c r="Z49709" i="5"/>
  <c r="Z49708" i="5"/>
  <c r="Z49707" i="5"/>
  <c r="Z49706" i="5"/>
  <c r="Z49705" i="5"/>
  <c r="Z49704" i="5"/>
  <c r="Z49703" i="5"/>
  <c r="Z49702" i="5"/>
  <c r="Z49701" i="5"/>
  <c r="Z49700" i="5"/>
  <c r="Z49699" i="5"/>
  <c r="Z49698" i="5"/>
  <c r="Z49697" i="5"/>
  <c r="Z49696" i="5"/>
  <c r="Z49695" i="5"/>
  <c r="Z49694" i="5"/>
  <c r="Z49693" i="5"/>
  <c r="Z49692" i="5"/>
  <c r="Z49691" i="5"/>
  <c r="Z49690" i="5"/>
  <c r="Z49689" i="5"/>
  <c r="Z49688" i="5"/>
  <c r="Z49687" i="5"/>
  <c r="Z49686" i="5"/>
  <c r="Z49685" i="5"/>
  <c r="Z49684" i="5"/>
  <c r="Z49683" i="5"/>
  <c r="Z49682" i="5"/>
  <c r="Z49681" i="5"/>
  <c r="Z49680" i="5"/>
  <c r="Z49679" i="5"/>
  <c r="Z49678" i="5"/>
  <c r="Z49677" i="5"/>
  <c r="Z49676" i="5"/>
  <c r="Z49675" i="5"/>
  <c r="Z49674" i="5"/>
  <c r="Z49673" i="5"/>
  <c r="Z49672" i="5"/>
  <c r="Z49671" i="5"/>
  <c r="Z49670" i="5"/>
  <c r="Z49669" i="5"/>
  <c r="Z49668" i="5"/>
  <c r="Z49667" i="5"/>
  <c r="Z49666" i="5"/>
  <c r="Z49665" i="5"/>
  <c r="Z49664" i="5"/>
  <c r="Z49663" i="5"/>
  <c r="Z49662" i="5"/>
  <c r="Z49661" i="5"/>
  <c r="Z49660" i="5"/>
  <c r="Z49659" i="5"/>
  <c r="Z49658" i="5"/>
  <c r="Z49657" i="5"/>
  <c r="Z49656" i="5"/>
  <c r="Z49655" i="5"/>
  <c r="Z49654" i="5"/>
  <c r="Z49653" i="5"/>
  <c r="Z49652" i="5"/>
  <c r="Z49651" i="5"/>
  <c r="Z49650" i="5"/>
  <c r="Z49649" i="5"/>
  <c r="Z49648" i="5"/>
  <c r="Z49647" i="5"/>
  <c r="Z49646" i="5"/>
  <c r="Z49645" i="5"/>
  <c r="Z49644" i="5"/>
  <c r="Z49643" i="5"/>
  <c r="Z49642" i="5"/>
  <c r="Z49641" i="5"/>
  <c r="Z49640" i="5"/>
  <c r="Z49639" i="5"/>
  <c r="Z49638" i="5"/>
  <c r="Z49637" i="5"/>
  <c r="Z49636" i="5"/>
  <c r="Z49635" i="5"/>
  <c r="Z49634" i="5"/>
  <c r="Z49633" i="5"/>
  <c r="Z49632" i="5"/>
  <c r="Z49631" i="5"/>
  <c r="Z49630" i="5"/>
  <c r="Z49629" i="5"/>
  <c r="Z49628" i="5"/>
  <c r="Z49627" i="5"/>
  <c r="Z49626" i="5"/>
  <c r="Z49625" i="5"/>
  <c r="Z49624" i="5"/>
  <c r="Z49623" i="5"/>
  <c r="Z49622" i="5"/>
  <c r="Z49621" i="5"/>
  <c r="Z49620" i="5"/>
  <c r="Z49619" i="5"/>
  <c r="Z49618" i="5"/>
  <c r="Z49617" i="5"/>
  <c r="Z49616" i="5"/>
  <c r="Z49615" i="5"/>
  <c r="Z49614" i="5"/>
  <c r="Z49613" i="5"/>
  <c r="Z49612" i="5"/>
  <c r="Z49611" i="5"/>
  <c r="Z49610" i="5"/>
  <c r="Z49609" i="5"/>
  <c r="Z49608" i="5"/>
  <c r="Z49607" i="5"/>
  <c r="Z49606" i="5"/>
  <c r="Z49605" i="5"/>
  <c r="Z49604" i="5"/>
  <c r="Z49603" i="5"/>
  <c r="Z49602" i="5"/>
  <c r="Z49601" i="5"/>
  <c r="Z49600" i="5"/>
  <c r="Z49599" i="5"/>
  <c r="Z49598" i="5"/>
  <c r="Z49597" i="5"/>
  <c r="Z49596" i="5"/>
  <c r="Z49595" i="5"/>
  <c r="Z49594" i="5"/>
  <c r="Z49593" i="5"/>
  <c r="Z49592" i="5"/>
  <c r="Z49591" i="5"/>
  <c r="Z49590" i="5"/>
  <c r="Z49589" i="5"/>
  <c r="Z49588" i="5"/>
  <c r="Z49587" i="5"/>
  <c r="Z49586" i="5"/>
  <c r="Z49585" i="5"/>
  <c r="Z49584" i="5"/>
  <c r="Z49583" i="5"/>
  <c r="Z49582" i="5"/>
  <c r="Z49581" i="5"/>
  <c r="Z49580" i="5"/>
  <c r="Z49579" i="5"/>
  <c r="Z49578" i="5"/>
  <c r="Z49577" i="5"/>
  <c r="Z49576" i="5"/>
  <c r="Z49575" i="5"/>
  <c r="Z49574" i="5"/>
  <c r="Z49573" i="5"/>
  <c r="Z49572" i="5"/>
  <c r="Z49571" i="5"/>
  <c r="Z49570" i="5"/>
  <c r="Z49569" i="5"/>
  <c r="Z49568" i="5"/>
  <c r="Z49567" i="5"/>
  <c r="Z49566" i="5"/>
  <c r="Z49565" i="5"/>
  <c r="Z49564" i="5"/>
  <c r="Z49563" i="5"/>
  <c r="Z49562" i="5"/>
  <c r="Z49561" i="5"/>
  <c r="Z49560" i="5"/>
  <c r="Z49559" i="5"/>
  <c r="Z49558" i="5"/>
  <c r="Z49557" i="5"/>
  <c r="Z49556" i="5"/>
  <c r="Z49555" i="5"/>
  <c r="Z49554" i="5"/>
  <c r="Z49553" i="5"/>
  <c r="Z49552" i="5"/>
  <c r="Z49551" i="5"/>
  <c r="Z49550" i="5"/>
  <c r="Z49549" i="5"/>
  <c r="Z49548" i="5"/>
  <c r="Z49547" i="5"/>
  <c r="Z49546" i="5"/>
  <c r="Z49545" i="5"/>
  <c r="Z49544" i="5"/>
  <c r="Z49543" i="5"/>
  <c r="Z49542" i="5"/>
  <c r="Z49541" i="5"/>
  <c r="Z49540" i="5"/>
  <c r="Z49539" i="5"/>
  <c r="Z49538" i="5"/>
  <c r="Z49537" i="5"/>
  <c r="Z49536" i="5"/>
  <c r="Z49535" i="5"/>
  <c r="Z49534" i="5"/>
  <c r="Z49533" i="5"/>
  <c r="Z49532" i="5"/>
  <c r="Z49531" i="5"/>
  <c r="Z49530" i="5"/>
  <c r="Z49529" i="5"/>
  <c r="Z49528" i="5"/>
  <c r="Z49527" i="5"/>
  <c r="Z49526" i="5"/>
  <c r="Z49525" i="5"/>
  <c r="Z49524" i="5"/>
  <c r="Z49523" i="5"/>
  <c r="Z49522" i="5"/>
  <c r="Z49521" i="5"/>
  <c r="Z49520" i="5"/>
  <c r="Z49519" i="5"/>
  <c r="Z49518" i="5"/>
  <c r="Z49517" i="5"/>
  <c r="Z49516" i="5"/>
  <c r="Z49515" i="5"/>
  <c r="Z49514" i="5"/>
  <c r="Z49513" i="5"/>
  <c r="Z49512" i="5"/>
  <c r="Z49511" i="5"/>
  <c r="Z49510" i="5"/>
  <c r="Z49509" i="5"/>
  <c r="Z49508" i="5"/>
  <c r="Z49507" i="5"/>
  <c r="Z49506" i="5"/>
  <c r="Z49505" i="5"/>
  <c r="Z49504" i="5"/>
  <c r="Z49503" i="5"/>
  <c r="Z49502" i="5"/>
  <c r="Z49501" i="5"/>
  <c r="Z49500" i="5"/>
  <c r="Z49499" i="5"/>
  <c r="Z49498" i="5"/>
  <c r="Z49497" i="5"/>
  <c r="Z49496" i="5"/>
  <c r="Z49495" i="5"/>
  <c r="Z49494" i="5"/>
  <c r="Z49493" i="5"/>
  <c r="Z49492" i="5"/>
  <c r="Z49491" i="5"/>
  <c r="Z49490" i="5"/>
  <c r="Z49489" i="5"/>
  <c r="Z49488" i="5"/>
  <c r="Z49487" i="5"/>
  <c r="Z49486" i="5"/>
  <c r="Z49485" i="5"/>
  <c r="Z49484" i="5"/>
  <c r="Z49483" i="5"/>
  <c r="Z49482" i="5"/>
  <c r="Z49481" i="5"/>
  <c r="Z49480" i="5"/>
  <c r="Z49479" i="5"/>
  <c r="Z49478" i="5"/>
  <c r="Z49477" i="5"/>
  <c r="Z49476" i="5"/>
  <c r="Z49475" i="5"/>
  <c r="Z49474" i="5"/>
  <c r="Z49473" i="5"/>
  <c r="Z49472" i="5"/>
  <c r="Z49471" i="5"/>
  <c r="Z49470" i="5"/>
  <c r="Z49469" i="5"/>
  <c r="Z49468" i="5"/>
  <c r="Z49467" i="5"/>
  <c r="Z49466" i="5"/>
  <c r="Z49465" i="5"/>
  <c r="Z49464" i="5"/>
  <c r="Z49463" i="5"/>
  <c r="Z49462" i="5"/>
  <c r="Z49461" i="5"/>
  <c r="Z49460" i="5"/>
  <c r="Z49459" i="5"/>
  <c r="Z49458" i="5"/>
  <c r="Z49457" i="5"/>
  <c r="Z49456" i="5"/>
  <c r="Z49455" i="5"/>
  <c r="Z49454" i="5"/>
  <c r="Z49453" i="5"/>
  <c r="Z49452" i="5"/>
  <c r="Z49451" i="5"/>
  <c r="Z49450" i="5"/>
  <c r="Z49449" i="5"/>
  <c r="Z49448" i="5"/>
  <c r="Z49447" i="5"/>
  <c r="Z49446" i="5"/>
  <c r="Z49445" i="5"/>
  <c r="Z49444" i="5"/>
  <c r="Z49443" i="5"/>
  <c r="Z49442" i="5"/>
  <c r="Z49441" i="5"/>
  <c r="Z49440" i="5"/>
  <c r="Z49439" i="5"/>
  <c r="Z49438" i="5"/>
  <c r="Z49437" i="5"/>
  <c r="Z49436" i="5"/>
  <c r="Z49435" i="5"/>
  <c r="Z49434" i="5"/>
  <c r="Z49433" i="5"/>
  <c r="Z49432" i="5"/>
  <c r="Z49431" i="5"/>
  <c r="Z49430" i="5"/>
  <c r="Z49429" i="5"/>
  <c r="Z49428" i="5"/>
  <c r="Z49427" i="5"/>
  <c r="Z49426" i="5"/>
  <c r="Z49425" i="5"/>
  <c r="Z49424" i="5"/>
  <c r="Z49423" i="5"/>
  <c r="Z49422" i="5"/>
  <c r="Z49421" i="5"/>
  <c r="Z49420" i="5"/>
  <c r="Z49419" i="5"/>
  <c r="Z49418" i="5"/>
  <c r="Z49417" i="5"/>
  <c r="Z49416" i="5"/>
  <c r="Z49415" i="5"/>
  <c r="Z49414" i="5"/>
  <c r="Z49413" i="5"/>
  <c r="Z49412" i="5"/>
  <c r="Z49411" i="5"/>
  <c r="Z49410" i="5"/>
  <c r="Z49409" i="5"/>
  <c r="Z49408" i="5"/>
  <c r="Z49407" i="5"/>
  <c r="Z49406" i="5"/>
  <c r="Z49405" i="5"/>
  <c r="Z49404" i="5"/>
  <c r="Z49403" i="5"/>
  <c r="Z49402" i="5"/>
  <c r="Z49401" i="5"/>
  <c r="Z49400" i="5"/>
  <c r="Z49399" i="5"/>
  <c r="Z49398" i="5"/>
  <c r="Z49397" i="5"/>
  <c r="Z49396" i="5"/>
  <c r="Z49395" i="5"/>
  <c r="Z49394" i="5"/>
  <c r="Z49393" i="5"/>
  <c r="Z49392" i="5"/>
  <c r="Z49391" i="5"/>
  <c r="Z49390" i="5"/>
  <c r="Z49389" i="5"/>
  <c r="Z49388" i="5"/>
  <c r="Z49387" i="5"/>
  <c r="Z49386" i="5"/>
  <c r="Z49385" i="5"/>
  <c r="Z49384" i="5"/>
  <c r="Z49383" i="5"/>
  <c r="Z49382" i="5"/>
  <c r="Z49381" i="5"/>
  <c r="Z49380" i="5"/>
  <c r="Z49379" i="5"/>
  <c r="Z49378" i="5"/>
  <c r="Z49377" i="5"/>
  <c r="Z49376" i="5"/>
  <c r="Z49375" i="5"/>
  <c r="Z49374" i="5"/>
  <c r="Z49373" i="5"/>
  <c r="Z49372" i="5"/>
  <c r="Z49371" i="5"/>
  <c r="Z49370" i="5"/>
  <c r="Z49369" i="5"/>
  <c r="Z49368" i="5"/>
  <c r="Z49367" i="5"/>
  <c r="Z49366" i="5"/>
  <c r="Z49365" i="5"/>
  <c r="Z49364" i="5"/>
  <c r="Z49363" i="5"/>
  <c r="Z49362" i="5"/>
  <c r="Z49361" i="5"/>
  <c r="Z49360" i="5"/>
  <c r="Z49359" i="5"/>
  <c r="Z49358" i="5"/>
  <c r="Z49357" i="5"/>
  <c r="Z49356" i="5"/>
  <c r="Z49355" i="5"/>
  <c r="Z49354" i="5"/>
  <c r="Z49353" i="5"/>
  <c r="Z49352" i="5"/>
  <c r="Z49351" i="5"/>
  <c r="Z49350" i="5"/>
  <c r="Z49349" i="5"/>
  <c r="Z49348" i="5"/>
  <c r="Z49347" i="5"/>
  <c r="Z49346" i="5"/>
  <c r="Z49345" i="5"/>
  <c r="Z49344" i="5"/>
  <c r="Z49343" i="5"/>
  <c r="Z49342" i="5"/>
  <c r="Z49341" i="5"/>
  <c r="Z49340" i="5"/>
  <c r="Z49339" i="5"/>
  <c r="Z49338" i="5"/>
  <c r="Z49337" i="5"/>
  <c r="Z49336" i="5"/>
  <c r="Z49335" i="5"/>
  <c r="Z49334" i="5"/>
  <c r="Z49333" i="5"/>
  <c r="Z49332" i="5"/>
  <c r="Z49331" i="5"/>
  <c r="Z49330" i="5"/>
  <c r="Z49329" i="5"/>
  <c r="Z49328" i="5"/>
  <c r="Z49327" i="5"/>
  <c r="Z49326" i="5"/>
  <c r="Z49325" i="5"/>
  <c r="Z49324" i="5"/>
  <c r="Z49323" i="5"/>
  <c r="Z49322" i="5"/>
  <c r="Z49321" i="5"/>
  <c r="Z49320" i="5"/>
  <c r="Z49319" i="5"/>
  <c r="Z49318" i="5"/>
  <c r="Z49317" i="5"/>
  <c r="Z49316" i="5"/>
  <c r="Z49315" i="5"/>
  <c r="Z49314" i="5"/>
  <c r="Z49313" i="5"/>
  <c r="Z49312" i="5"/>
  <c r="Z49311" i="5"/>
  <c r="Z49310" i="5"/>
  <c r="Z49309" i="5"/>
  <c r="Z49308" i="5"/>
  <c r="Z49307" i="5"/>
  <c r="Z49306" i="5"/>
  <c r="Z49305" i="5"/>
  <c r="Z49304" i="5"/>
  <c r="Z49303" i="5"/>
  <c r="Z49302" i="5"/>
  <c r="Z49301" i="5"/>
  <c r="Z49300" i="5"/>
  <c r="Z49299" i="5"/>
  <c r="Z49298" i="5"/>
  <c r="Z49297" i="5"/>
  <c r="Z49296" i="5"/>
  <c r="Z49295" i="5"/>
  <c r="Z49294" i="5"/>
  <c r="Z49293" i="5"/>
  <c r="Z49292" i="5"/>
  <c r="Z49291" i="5"/>
  <c r="Z49290" i="5"/>
  <c r="Z49289" i="5"/>
  <c r="Z49288" i="5"/>
  <c r="Z49287" i="5"/>
  <c r="Z49286" i="5"/>
  <c r="Z49285" i="5"/>
  <c r="Z49284" i="5"/>
  <c r="Z49283" i="5"/>
  <c r="Z49282" i="5"/>
  <c r="Z49281" i="5"/>
  <c r="Z49280" i="5"/>
  <c r="Z49279" i="5"/>
  <c r="Z49278" i="5"/>
  <c r="Z49277" i="5"/>
  <c r="Z49276" i="5"/>
  <c r="Z49275" i="5"/>
  <c r="Z49274" i="5"/>
  <c r="Z49273" i="5"/>
  <c r="Z49272" i="5"/>
  <c r="Z49271" i="5"/>
  <c r="Z49270" i="5"/>
  <c r="Z49269" i="5"/>
  <c r="Z49268" i="5"/>
  <c r="Z49267" i="5"/>
  <c r="Z49266" i="5"/>
  <c r="Z49265" i="5"/>
  <c r="Z49264" i="5"/>
  <c r="Z49263" i="5"/>
  <c r="Z49262" i="5"/>
  <c r="Z49261" i="5"/>
  <c r="Z49260" i="5"/>
  <c r="Z49259" i="5"/>
  <c r="Z49258" i="5"/>
  <c r="Z49257" i="5"/>
  <c r="Z49256" i="5"/>
  <c r="Z49255" i="5"/>
  <c r="Z49254" i="5"/>
  <c r="Z49253" i="5"/>
  <c r="Z49252" i="5"/>
  <c r="Z49251" i="5"/>
  <c r="Z49250" i="5"/>
  <c r="Z49249" i="5"/>
  <c r="Z49248" i="5"/>
  <c r="Z49247" i="5"/>
  <c r="Z49246" i="5"/>
  <c r="Z49245" i="5"/>
  <c r="Z49244" i="5"/>
  <c r="Z49243" i="5"/>
  <c r="Z49242" i="5"/>
  <c r="Z49241" i="5"/>
  <c r="Z49240" i="5"/>
  <c r="Z49239" i="5"/>
  <c r="Z49238" i="5"/>
  <c r="Z49237" i="5"/>
  <c r="Z49236" i="5"/>
  <c r="Z49235" i="5"/>
  <c r="Z49234" i="5"/>
  <c r="Z49233" i="5"/>
  <c r="Z49232" i="5"/>
  <c r="Z49231" i="5"/>
  <c r="Z49230" i="5"/>
  <c r="Z49229" i="5"/>
  <c r="Z49228" i="5"/>
  <c r="Z49227" i="5"/>
  <c r="Z49226" i="5"/>
  <c r="Z49225" i="5"/>
  <c r="Z49224" i="5"/>
  <c r="Z49223" i="5"/>
  <c r="Z49222" i="5"/>
  <c r="Z49221" i="5"/>
  <c r="Z49220" i="5"/>
  <c r="Z49219" i="5"/>
  <c r="Z49218" i="5"/>
  <c r="Z49217" i="5"/>
  <c r="Z49216" i="5"/>
  <c r="Z49215" i="5"/>
  <c r="Z49214" i="5"/>
  <c r="Z49213" i="5"/>
  <c r="Z49212" i="5"/>
  <c r="Z49211" i="5"/>
  <c r="Z49210" i="5"/>
  <c r="Z49209" i="5"/>
  <c r="Z49208" i="5"/>
  <c r="Z49207" i="5"/>
  <c r="Z49206" i="5"/>
  <c r="Z49205" i="5"/>
  <c r="Z49204" i="5"/>
  <c r="Z49203" i="5"/>
  <c r="Z49202" i="5"/>
  <c r="Z49201" i="5"/>
  <c r="Z49200" i="5"/>
  <c r="Z49199" i="5"/>
  <c r="Z49198" i="5"/>
  <c r="Z49197" i="5"/>
  <c r="Z49196" i="5"/>
  <c r="Z49195" i="5"/>
  <c r="Z49194" i="5"/>
  <c r="Z49193" i="5"/>
  <c r="Z49192" i="5"/>
  <c r="Z49191" i="5"/>
  <c r="Z49190" i="5"/>
  <c r="Z49189" i="5"/>
  <c r="Z49188" i="5"/>
  <c r="Z49187" i="5"/>
  <c r="Z49186" i="5"/>
  <c r="Z49185" i="5"/>
  <c r="Z49184" i="5"/>
  <c r="Z49183" i="5"/>
  <c r="Z49182" i="5"/>
  <c r="Z49181" i="5"/>
  <c r="Z49180" i="5"/>
  <c r="Z49179" i="5"/>
  <c r="Z49178" i="5"/>
  <c r="Z49177" i="5"/>
  <c r="Z49176" i="5"/>
  <c r="Z49175" i="5"/>
  <c r="Z49174" i="5"/>
  <c r="Z49173" i="5"/>
  <c r="Z49172" i="5"/>
  <c r="Z49171" i="5"/>
  <c r="Z49170" i="5"/>
  <c r="Z49169" i="5"/>
  <c r="Z49168" i="5"/>
  <c r="Z49167" i="5"/>
  <c r="Z49166" i="5"/>
  <c r="Z49165" i="5"/>
  <c r="Z49164" i="5"/>
  <c r="Z49163" i="5"/>
  <c r="Z49162" i="5"/>
  <c r="Z49161" i="5"/>
  <c r="Z49160" i="5"/>
  <c r="Z49159" i="5"/>
  <c r="Z49158" i="5"/>
  <c r="Z49157" i="5"/>
  <c r="Z49156" i="5"/>
  <c r="Z49155" i="5"/>
  <c r="Z49154" i="5"/>
  <c r="Z49153" i="5"/>
  <c r="Z49152" i="5"/>
  <c r="Z49151" i="5"/>
  <c r="Z49150" i="5"/>
  <c r="Z49149" i="5"/>
  <c r="Z49148" i="5"/>
  <c r="Z49147" i="5"/>
  <c r="Z49146" i="5"/>
  <c r="Z49145" i="5"/>
  <c r="Z49144" i="5"/>
  <c r="Z49143" i="5"/>
  <c r="Z49142" i="5"/>
  <c r="Z49141" i="5"/>
  <c r="Z49140" i="5"/>
  <c r="Z49139" i="5"/>
  <c r="Z49138" i="5"/>
  <c r="Z49137" i="5"/>
  <c r="Z49136" i="5"/>
  <c r="Z49135" i="5"/>
  <c r="Z49134" i="5"/>
  <c r="Z49133" i="5"/>
  <c r="Z49132" i="5"/>
  <c r="Z49131" i="5"/>
  <c r="Z49130" i="5"/>
  <c r="Z49129" i="5"/>
  <c r="Z49128" i="5"/>
  <c r="Z49127" i="5"/>
  <c r="Z49126" i="5"/>
  <c r="Z49125" i="5"/>
  <c r="Z49124" i="5"/>
  <c r="Z49123" i="5"/>
  <c r="Z49122" i="5"/>
  <c r="Z49121" i="5"/>
  <c r="Z49120" i="5"/>
  <c r="Z49119" i="5"/>
  <c r="Z49118" i="5"/>
  <c r="Z49117" i="5"/>
  <c r="Z49116" i="5"/>
  <c r="Z49115" i="5"/>
  <c r="Z49114" i="5"/>
  <c r="Z49113" i="5"/>
  <c r="Z49112" i="5"/>
  <c r="Z49111" i="5"/>
  <c r="Z49110" i="5"/>
  <c r="Z49109" i="5"/>
  <c r="Z49108" i="5"/>
  <c r="Z49107" i="5"/>
  <c r="Z49106" i="5"/>
  <c r="Z49105" i="5"/>
  <c r="Z49104" i="5"/>
  <c r="Z49103" i="5"/>
  <c r="Z49102" i="5"/>
  <c r="Z49101" i="5"/>
  <c r="Z49100" i="5"/>
  <c r="Z49099" i="5"/>
  <c r="Z49098" i="5"/>
  <c r="Z49097" i="5"/>
  <c r="Z49096" i="5"/>
  <c r="Z49095" i="5"/>
  <c r="Z49094" i="5"/>
  <c r="Z49093" i="5"/>
  <c r="Z49092" i="5"/>
  <c r="Z49091" i="5"/>
  <c r="Z49090" i="5"/>
  <c r="Z49089" i="5"/>
  <c r="Z49088" i="5"/>
  <c r="Z49087" i="5"/>
  <c r="Z49086" i="5"/>
  <c r="Z49085" i="5"/>
  <c r="Z49084" i="5"/>
  <c r="Z49083" i="5"/>
  <c r="Z49082" i="5"/>
  <c r="Z49081" i="5"/>
  <c r="Z49080" i="5"/>
  <c r="Z49079" i="5"/>
  <c r="Z49078" i="5"/>
  <c r="Z49077" i="5"/>
  <c r="Z49076" i="5"/>
  <c r="Z49075" i="5"/>
  <c r="Z49074" i="5"/>
  <c r="Z49073" i="5"/>
  <c r="Z49072" i="5"/>
  <c r="Z49071" i="5"/>
  <c r="Z49070" i="5"/>
  <c r="Z49069" i="5"/>
  <c r="Z49068" i="5"/>
  <c r="Z49067" i="5"/>
  <c r="Z49066" i="5"/>
  <c r="Z49065" i="5"/>
  <c r="Z49064" i="5"/>
  <c r="Z49063" i="5"/>
  <c r="Z49062" i="5"/>
  <c r="Z49061" i="5"/>
  <c r="Z49060" i="5"/>
  <c r="Z49059" i="5"/>
  <c r="Z49058" i="5"/>
  <c r="Z49057" i="5"/>
  <c r="Z49056" i="5"/>
  <c r="Z49055" i="5"/>
  <c r="Z49054" i="5"/>
  <c r="Z49053" i="5"/>
  <c r="Z49052" i="5"/>
  <c r="Z49051" i="5"/>
  <c r="Z49050" i="5"/>
  <c r="Z49049" i="5"/>
  <c r="Z49048" i="5"/>
  <c r="Z49047" i="5"/>
  <c r="Z49046" i="5"/>
  <c r="Z49045" i="5"/>
  <c r="Z49044" i="5"/>
  <c r="Z49043" i="5"/>
  <c r="Z49042" i="5"/>
  <c r="Z49041" i="5"/>
  <c r="Z49040" i="5"/>
  <c r="Z49039" i="5"/>
  <c r="Z49038" i="5"/>
  <c r="Z49037" i="5"/>
  <c r="Z49036" i="5"/>
  <c r="Z49035" i="5"/>
  <c r="Z49034" i="5"/>
  <c r="Z49033" i="5"/>
  <c r="Z49032" i="5"/>
  <c r="Z49031" i="5"/>
  <c r="Z49030" i="5"/>
  <c r="Z49029" i="5"/>
  <c r="Z49028" i="5"/>
  <c r="Z49027" i="5"/>
  <c r="Z49026" i="5"/>
  <c r="Z49025" i="5"/>
  <c r="Z49024" i="5"/>
  <c r="Z49023" i="5"/>
  <c r="Z49022" i="5"/>
  <c r="Z49021" i="5"/>
  <c r="Z49020" i="5"/>
  <c r="Z49019" i="5"/>
  <c r="Z49018" i="5"/>
  <c r="Z49017" i="5"/>
  <c r="Z49016" i="5"/>
  <c r="Z49015" i="5"/>
  <c r="Z49014" i="5"/>
  <c r="Z49013" i="5"/>
  <c r="Z49012" i="5"/>
  <c r="Z49011" i="5"/>
  <c r="Z49010" i="5"/>
  <c r="Z49009" i="5"/>
  <c r="Z49008" i="5"/>
  <c r="Z49007" i="5"/>
  <c r="Z49006" i="5"/>
  <c r="Z49005" i="5"/>
  <c r="Z49004" i="5"/>
  <c r="Z49003" i="5"/>
  <c r="Z49002" i="5"/>
  <c r="Z49001" i="5"/>
  <c r="Z49000" i="5"/>
  <c r="Z48999" i="5"/>
  <c r="Z48998" i="5"/>
  <c r="Z48997" i="5"/>
  <c r="Z48996" i="5"/>
  <c r="Z48995" i="5"/>
  <c r="Z48994" i="5"/>
  <c r="Z48993" i="5"/>
  <c r="Z48992" i="5"/>
  <c r="Z48991" i="5"/>
  <c r="Z48990" i="5"/>
  <c r="Z48989" i="5"/>
  <c r="Z48988" i="5"/>
  <c r="Z48987" i="5"/>
  <c r="Z48986" i="5"/>
  <c r="Z48985" i="5"/>
  <c r="Z48984" i="5"/>
  <c r="Z48983" i="5"/>
  <c r="Z48982" i="5"/>
  <c r="Z48981" i="5"/>
  <c r="Z48980" i="5"/>
  <c r="Z48979" i="5"/>
  <c r="Z48978" i="5"/>
  <c r="Z48977" i="5"/>
  <c r="Z48976" i="5"/>
  <c r="Z48975" i="5"/>
  <c r="Z48974" i="5"/>
  <c r="Z48973" i="5"/>
  <c r="Z48972" i="5"/>
  <c r="Z48971" i="5"/>
  <c r="Z48970" i="5"/>
  <c r="Z48969" i="5"/>
  <c r="Z48968" i="5"/>
  <c r="Z48967" i="5"/>
  <c r="Z48966" i="5"/>
  <c r="Z48965" i="5"/>
  <c r="Z48964" i="5"/>
  <c r="Z48963" i="5"/>
  <c r="Z48962" i="5"/>
  <c r="Z48961" i="5"/>
  <c r="Z48960" i="5"/>
  <c r="Z48959" i="5"/>
  <c r="Z48958" i="5"/>
  <c r="Z48957" i="5"/>
  <c r="Z48956" i="5"/>
  <c r="Z48955" i="5"/>
  <c r="Z48954" i="5"/>
  <c r="Z48953" i="5"/>
  <c r="Z48952" i="5"/>
  <c r="Z48951" i="5"/>
  <c r="Z48950" i="5"/>
  <c r="Z48949" i="5"/>
  <c r="Z48948" i="5"/>
  <c r="Z48947" i="5"/>
  <c r="Z48946" i="5"/>
  <c r="Z48945" i="5"/>
  <c r="Z48944" i="5"/>
  <c r="Z48943" i="5"/>
  <c r="Z48942" i="5"/>
  <c r="Z48941" i="5"/>
  <c r="Z48940" i="5"/>
  <c r="Z48939" i="5"/>
  <c r="Z48938" i="5"/>
  <c r="Z48937" i="5"/>
  <c r="Z48936" i="5"/>
  <c r="Z48935" i="5"/>
  <c r="Z48934" i="5"/>
  <c r="Z48933" i="5"/>
  <c r="Z48932" i="5"/>
  <c r="Z48931" i="5"/>
  <c r="Z48930" i="5"/>
  <c r="Z48929" i="5"/>
  <c r="Z48928" i="5"/>
  <c r="Z48927" i="5"/>
  <c r="Z48926" i="5"/>
  <c r="Z48925" i="5"/>
  <c r="Z48924" i="5"/>
  <c r="Z48923" i="5"/>
  <c r="Z48922" i="5"/>
  <c r="Z48921" i="5"/>
  <c r="Z48920" i="5"/>
  <c r="Z48919" i="5"/>
  <c r="Z48918" i="5"/>
  <c r="Z48917" i="5"/>
  <c r="Z48916" i="5"/>
  <c r="Z48915" i="5"/>
  <c r="Z48914" i="5"/>
  <c r="Z48913" i="5"/>
  <c r="Z48912" i="5"/>
  <c r="Z48911" i="5"/>
  <c r="Z48910" i="5"/>
  <c r="Z48909" i="5"/>
  <c r="Z48908" i="5"/>
  <c r="Z48907" i="5"/>
  <c r="Z48906" i="5"/>
  <c r="Z48905" i="5"/>
  <c r="Z48904" i="5"/>
  <c r="Z48903" i="5"/>
  <c r="Z48902" i="5"/>
  <c r="Z48901" i="5"/>
  <c r="Z48900" i="5"/>
  <c r="Z48899" i="5"/>
  <c r="Z48898" i="5"/>
  <c r="Z48897" i="5"/>
  <c r="Z48896" i="5"/>
  <c r="Z48895" i="5"/>
  <c r="Z48894" i="5"/>
  <c r="Z48893" i="5"/>
  <c r="Z48892" i="5"/>
  <c r="Z48891" i="5"/>
  <c r="Z48890" i="5"/>
  <c r="Z48889" i="5"/>
  <c r="Z48888" i="5"/>
  <c r="Z48887" i="5"/>
  <c r="Z48886" i="5"/>
  <c r="Z48885" i="5"/>
  <c r="Z48884" i="5"/>
  <c r="Z48883" i="5"/>
  <c r="Z48882" i="5"/>
  <c r="Z48881" i="5"/>
  <c r="Z48880" i="5"/>
  <c r="Z48879" i="5"/>
  <c r="Z48878" i="5"/>
  <c r="Z48877" i="5"/>
  <c r="Z48876" i="5"/>
  <c r="Z48875" i="5"/>
  <c r="Z48874" i="5"/>
  <c r="Z48873" i="5"/>
  <c r="Z48872" i="5"/>
  <c r="Z48871" i="5"/>
  <c r="Z48870" i="5"/>
  <c r="Z48869" i="5"/>
  <c r="Z48868" i="5"/>
  <c r="Z48867" i="5"/>
  <c r="Z48866" i="5"/>
  <c r="Z48865" i="5"/>
  <c r="Z48864" i="5"/>
  <c r="Z48863" i="5"/>
  <c r="Z48862" i="5"/>
  <c r="Z48861" i="5"/>
  <c r="Z48860" i="5"/>
  <c r="Z48859" i="5"/>
  <c r="Z48858" i="5"/>
  <c r="Z48857" i="5"/>
  <c r="Z48856" i="5"/>
  <c r="Z48855" i="5"/>
  <c r="Z48854" i="5"/>
  <c r="Z48853" i="5"/>
  <c r="Z48852" i="5"/>
  <c r="Z48851" i="5"/>
  <c r="Z48850" i="5"/>
  <c r="Z48849" i="5"/>
  <c r="Z48848" i="5"/>
  <c r="Z48847" i="5"/>
  <c r="Z48846" i="5"/>
  <c r="Z48845" i="5"/>
  <c r="Z48844" i="5"/>
  <c r="Z48843" i="5"/>
  <c r="Z48842" i="5"/>
  <c r="Z48841" i="5"/>
  <c r="Z48840" i="5"/>
  <c r="Z48839" i="5"/>
  <c r="Z48838" i="5"/>
  <c r="Z48837" i="5"/>
  <c r="Z48836" i="5"/>
  <c r="Z48835" i="5"/>
  <c r="Z48834" i="5"/>
  <c r="Z48833" i="5"/>
  <c r="Z48832" i="5"/>
  <c r="Z48831" i="5"/>
  <c r="Z48830" i="5"/>
  <c r="Z48829" i="5"/>
  <c r="Z48828" i="5"/>
  <c r="Z48827" i="5"/>
  <c r="Z48826" i="5"/>
  <c r="Z48825" i="5"/>
  <c r="Z48824" i="5"/>
  <c r="Z48823" i="5"/>
  <c r="Z48822" i="5"/>
  <c r="Z48821" i="5"/>
  <c r="Z48820" i="5"/>
  <c r="Z48819" i="5"/>
  <c r="Z48818" i="5"/>
  <c r="Z48817" i="5"/>
  <c r="Z48816" i="5"/>
  <c r="Z48815" i="5"/>
  <c r="Z48814" i="5"/>
  <c r="Z48813" i="5"/>
  <c r="Z48812" i="5"/>
  <c r="Z48811" i="5"/>
  <c r="Z48810" i="5"/>
  <c r="Z48809" i="5"/>
  <c r="Z48808" i="5"/>
  <c r="Z48807" i="5"/>
  <c r="Z48806" i="5"/>
  <c r="Z48805" i="5"/>
  <c r="Z48804" i="5"/>
  <c r="Z48803" i="5"/>
  <c r="Z48802" i="5"/>
  <c r="Z48801" i="5"/>
  <c r="Z48800" i="5"/>
  <c r="Z48799" i="5"/>
  <c r="Z48798" i="5"/>
  <c r="Z48797" i="5"/>
  <c r="Z48796" i="5"/>
  <c r="Z48795" i="5"/>
  <c r="Z48794" i="5"/>
  <c r="Z48793" i="5"/>
  <c r="Z48792" i="5"/>
  <c r="Z48791" i="5"/>
  <c r="Z48790" i="5"/>
  <c r="Z48789" i="5"/>
  <c r="Z48788" i="5"/>
  <c r="Z48787" i="5"/>
  <c r="Z48786" i="5"/>
  <c r="Z48785" i="5"/>
  <c r="Z48784" i="5"/>
  <c r="Z48783" i="5"/>
  <c r="Z48782" i="5"/>
  <c r="Z48781" i="5"/>
  <c r="Z48780" i="5"/>
  <c r="Z48779" i="5"/>
  <c r="Z48778" i="5"/>
  <c r="Z48777" i="5"/>
  <c r="Z48776" i="5"/>
  <c r="Z48775" i="5"/>
  <c r="Z48774" i="5"/>
  <c r="Z48773" i="5"/>
  <c r="Z48772" i="5"/>
  <c r="Z48771" i="5"/>
  <c r="Z48770" i="5"/>
  <c r="Z48769" i="5"/>
  <c r="Z48768" i="5"/>
  <c r="Z48767" i="5"/>
  <c r="Z48766" i="5"/>
  <c r="Z48765" i="5"/>
  <c r="Z48764" i="5"/>
  <c r="Z48763" i="5"/>
  <c r="Z48762" i="5"/>
  <c r="Z48761" i="5"/>
  <c r="Z48760" i="5"/>
  <c r="Z48759" i="5"/>
  <c r="Z48758" i="5"/>
  <c r="Z48757" i="5"/>
  <c r="Z48756" i="5"/>
  <c r="Z48755" i="5"/>
  <c r="Z48754" i="5"/>
  <c r="Z48753" i="5"/>
  <c r="Z48752" i="5"/>
  <c r="Z48751" i="5"/>
  <c r="Z48750" i="5"/>
  <c r="Z48749" i="5"/>
  <c r="Z48748" i="5"/>
  <c r="Z48747" i="5"/>
  <c r="Z48746" i="5"/>
  <c r="Z48745" i="5"/>
  <c r="Z48744" i="5"/>
  <c r="Z48743" i="5"/>
  <c r="Z48742" i="5"/>
  <c r="Z48741" i="5"/>
  <c r="Z48740" i="5"/>
  <c r="Z48739" i="5"/>
  <c r="Z48738" i="5"/>
  <c r="Z48737" i="5"/>
  <c r="Z48736" i="5"/>
  <c r="Z48735" i="5"/>
  <c r="Z48734" i="5"/>
  <c r="Z48733" i="5"/>
  <c r="Z48732" i="5"/>
  <c r="Z48731" i="5"/>
  <c r="Z48730" i="5"/>
  <c r="Z48729" i="5"/>
  <c r="Z48728" i="5"/>
  <c r="Z48727" i="5"/>
  <c r="Z48726" i="5"/>
  <c r="Z48725" i="5"/>
  <c r="Z48724" i="5"/>
  <c r="Z48723" i="5"/>
  <c r="Z48722" i="5"/>
  <c r="Z48721" i="5"/>
  <c r="Z48720" i="5"/>
  <c r="Z48719" i="5"/>
  <c r="Z48718" i="5"/>
  <c r="Z48717" i="5"/>
  <c r="Z48716" i="5"/>
  <c r="Z48715" i="5"/>
  <c r="Z48714" i="5"/>
  <c r="Z48713" i="5"/>
  <c r="Z48712" i="5"/>
  <c r="Z48711" i="5"/>
  <c r="Z48710" i="5"/>
  <c r="Z48709" i="5"/>
  <c r="Z48708" i="5"/>
  <c r="Z48707" i="5"/>
  <c r="Z48706" i="5"/>
  <c r="Z48705" i="5"/>
  <c r="Z48704" i="5"/>
  <c r="Z48703" i="5"/>
  <c r="Z48702" i="5"/>
  <c r="Z48701" i="5"/>
  <c r="Z48700" i="5"/>
  <c r="Z48699" i="5"/>
  <c r="Z48698" i="5"/>
  <c r="Z48697" i="5"/>
  <c r="Z48696" i="5"/>
  <c r="Z48695" i="5"/>
  <c r="Z48694" i="5"/>
  <c r="Z48693" i="5"/>
  <c r="Z48692" i="5"/>
  <c r="Z48691" i="5"/>
  <c r="Z48690" i="5"/>
  <c r="Z48689" i="5"/>
  <c r="Z48688" i="5"/>
  <c r="Z48687" i="5"/>
  <c r="Z48686" i="5"/>
  <c r="Z48685" i="5"/>
  <c r="Z48684" i="5"/>
  <c r="Z48683" i="5"/>
  <c r="Z48682" i="5"/>
  <c r="Z48681" i="5"/>
  <c r="Z48680" i="5"/>
  <c r="Z48679" i="5"/>
  <c r="Z48678" i="5"/>
  <c r="Z48677" i="5"/>
  <c r="Z48676" i="5"/>
  <c r="Z48675" i="5"/>
  <c r="Z48674" i="5"/>
  <c r="Z48673" i="5"/>
  <c r="Z48672" i="5"/>
  <c r="Z48671" i="5"/>
  <c r="Z48670" i="5"/>
  <c r="Z48669" i="5"/>
  <c r="Z48668" i="5"/>
  <c r="Z48667" i="5"/>
  <c r="Z48666" i="5"/>
  <c r="Z48665" i="5"/>
  <c r="Z48664" i="5"/>
  <c r="Z48663" i="5"/>
  <c r="Z48662" i="5"/>
  <c r="Z48661" i="5"/>
  <c r="Z48660" i="5"/>
  <c r="Z48659" i="5"/>
  <c r="Z48658" i="5"/>
  <c r="Z48657" i="5"/>
  <c r="Z48656" i="5"/>
  <c r="Z48655" i="5"/>
  <c r="Z48654" i="5"/>
  <c r="Z48653" i="5"/>
  <c r="Z48652" i="5"/>
  <c r="Z48651" i="5"/>
  <c r="Z48650" i="5"/>
  <c r="Z48649" i="5"/>
  <c r="Z48648" i="5"/>
  <c r="Z48647" i="5"/>
  <c r="Z48646" i="5"/>
  <c r="Z48645" i="5"/>
  <c r="Z48644" i="5"/>
  <c r="Z48643" i="5"/>
  <c r="Z48642" i="5"/>
  <c r="Z48641" i="5"/>
  <c r="Z48640" i="5"/>
  <c r="Z48639" i="5"/>
  <c r="Z48638" i="5"/>
  <c r="Z48637" i="5"/>
  <c r="Z48636" i="5"/>
  <c r="Z48635" i="5"/>
  <c r="Z48634" i="5"/>
  <c r="Z48633" i="5"/>
  <c r="Z48632" i="5"/>
  <c r="Z48631" i="5"/>
  <c r="Z48630" i="5"/>
  <c r="Z48629" i="5"/>
  <c r="Z48628" i="5"/>
  <c r="Z48627" i="5"/>
  <c r="Z48626" i="5"/>
  <c r="Z48625" i="5"/>
  <c r="Z48624" i="5"/>
  <c r="Z48623" i="5"/>
  <c r="Z48622" i="5"/>
  <c r="Z48621" i="5"/>
  <c r="Z48620" i="5"/>
  <c r="Z48619" i="5"/>
  <c r="Z48618" i="5"/>
  <c r="Z48617" i="5"/>
  <c r="Z48616" i="5"/>
  <c r="Z48615" i="5"/>
  <c r="Z48614" i="5"/>
  <c r="Z48613" i="5"/>
  <c r="Z48612" i="5"/>
  <c r="Z48611" i="5"/>
  <c r="Z48610" i="5"/>
  <c r="Z48609" i="5"/>
  <c r="Z48608" i="5"/>
  <c r="Z48607" i="5"/>
  <c r="Z48606" i="5"/>
  <c r="Z48605" i="5"/>
  <c r="Z48604" i="5"/>
  <c r="Z48603" i="5"/>
  <c r="Z48602" i="5"/>
  <c r="Z48601" i="5"/>
  <c r="Z48600" i="5"/>
  <c r="Z48599" i="5"/>
  <c r="Z48598" i="5"/>
  <c r="Z48597" i="5"/>
  <c r="Z48596" i="5"/>
  <c r="Z48595" i="5"/>
  <c r="Z48594" i="5"/>
  <c r="Z48593" i="5"/>
  <c r="Z48592" i="5"/>
  <c r="Z48591" i="5"/>
  <c r="Z48590" i="5"/>
  <c r="Z48589" i="5"/>
  <c r="Z48588" i="5"/>
  <c r="Z48587" i="5"/>
  <c r="Z48586" i="5"/>
  <c r="Z48585" i="5"/>
  <c r="Z48584" i="5"/>
  <c r="Z48583" i="5"/>
  <c r="Z48582" i="5"/>
  <c r="Z48581" i="5"/>
  <c r="Z48580" i="5"/>
  <c r="Z48579" i="5"/>
  <c r="Z48578" i="5"/>
  <c r="Z48577" i="5"/>
  <c r="Z48576" i="5"/>
  <c r="Z48575" i="5"/>
  <c r="Z48574" i="5"/>
  <c r="Z48573" i="5"/>
  <c r="Z48572" i="5"/>
  <c r="Z48571" i="5"/>
  <c r="Z48570" i="5"/>
  <c r="Z48569" i="5"/>
  <c r="Z48568" i="5"/>
  <c r="Z48567" i="5"/>
  <c r="Z48566" i="5"/>
  <c r="Z48565" i="5"/>
  <c r="Z48564" i="5"/>
  <c r="Z48563" i="5"/>
  <c r="Z48562" i="5"/>
  <c r="Z48561" i="5"/>
  <c r="Z48560" i="5"/>
  <c r="Z48559" i="5"/>
  <c r="Z48558" i="5"/>
  <c r="Z48557" i="5"/>
  <c r="Z48556" i="5"/>
  <c r="Z48555" i="5"/>
  <c r="Z48554" i="5"/>
  <c r="Z48553" i="5"/>
  <c r="Z48552" i="5"/>
  <c r="Z48551" i="5"/>
  <c r="Z48550" i="5"/>
  <c r="Z48549" i="5"/>
  <c r="Z48548" i="5"/>
  <c r="Z48547" i="5"/>
  <c r="Z48546" i="5"/>
  <c r="Z48545" i="5"/>
  <c r="Z48544" i="5"/>
  <c r="Z48543" i="5"/>
  <c r="Z48542" i="5"/>
  <c r="Z48541" i="5"/>
  <c r="Z48540" i="5"/>
  <c r="Z48539" i="5"/>
  <c r="Z48538" i="5"/>
  <c r="Z48537" i="5"/>
  <c r="Z48536" i="5"/>
  <c r="Z48535" i="5"/>
  <c r="Z48534" i="5"/>
  <c r="Z48533" i="5"/>
  <c r="Z48532" i="5"/>
  <c r="Z48531" i="5"/>
  <c r="Z48530" i="5"/>
  <c r="Z48529" i="5"/>
  <c r="Z48528" i="5"/>
  <c r="Z48527" i="5"/>
  <c r="Z48526" i="5"/>
  <c r="Z48525" i="5"/>
  <c r="Z48524" i="5"/>
  <c r="Z48523" i="5"/>
  <c r="Z48522" i="5"/>
  <c r="Z48521" i="5"/>
  <c r="Z48520" i="5"/>
  <c r="Z48519" i="5"/>
  <c r="Z48518" i="5"/>
  <c r="Z48517" i="5"/>
  <c r="Z48516" i="5"/>
  <c r="Z48515" i="5"/>
  <c r="Z48514" i="5"/>
  <c r="Z48513" i="5"/>
  <c r="Z48512" i="5"/>
  <c r="Z48511" i="5"/>
  <c r="Z48510" i="5"/>
  <c r="Z48509" i="5"/>
  <c r="Z48508" i="5"/>
  <c r="Z48507" i="5"/>
  <c r="Z48506" i="5"/>
  <c r="Z48505" i="5"/>
  <c r="Z48504" i="5"/>
  <c r="Z48503" i="5"/>
  <c r="Z48502" i="5"/>
  <c r="Z48501" i="5"/>
  <c r="Z48500" i="5"/>
  <c r="Z48499" i="5"/>
  <c r="Z48498" i="5"/>
  <c r="Z48497" i="5"/>
  <c r="Z48496" i="5"/>
  <c r="Z48495" i="5"/>
  <c r="Z48494" i="5"/>
  <c r="Z48493" i="5"/>
  <c r="Z48492" i="5"/>
  <c r="Z48491" i="5"/>
  <c r="Z48490" i="5"/>
  <c r="Z48489" i="5"/>
  <c r="Z48488" i="5"/>
  <c r="Z48487" i="5"/>
  <c r="Z48486" i="5"/>
  <c r="Z48485" i="5"/>
  <c r="Z48484" i="5"/>
  <c r="Z48483" i="5"/>
  <c r="Z48482" i="5"/>
  <c r="Z48481" i="5"/>
  <c r="Z48480" i="5"/>
  <c r="Z48479" i="5"/>
  <c r="Z48478" i="5"/>
  <c r="Z48477" i="5"/>
  <c r="Z48476" i="5"/>
  <c r="Z48475" i="5"/>
  <c r="Z48474" i="5"/>
  <c r="Z48473" i="5"/>
  <c r="Z48472" i="5"/>
  <c r="Z48471" i="5"/>
  <c r="Z48470" i="5"/>
  <c r="Z48469" i="5"/>
  <c r="Z48468" i="5"/>
  <c r="Z48467" i="5"/>
  <c r="Z48466" i="5"/>
  <c r="Z48465" i="5"/>
  <c r="Z48464" i="5"/>
  <c r="Z48463" i="5"/>
  <c r="Z48462" i="5"/>
  <c r="Z48461" i="5"/>
  <c r="Z48460" i="5"/>
  <c r="Z48459" i="5"/>
  <c r="Z48458" i="5"/>
  <c r="Z48457" i="5"/>
  <c r="Z48456" i="5"/>
  <c r="Z48455" i="5"/>
  <c r="Z48454" i="5"/>
  <c r="Z48453" i="5"/>
  <c r="Z48452" i="5"/>
  <c r="Z48451" i="5"/>
  <c r="Z48450" i="5"/>
  <c r="Z48449" i="5"/>
  <c r="Z48448" i="5"/>
  <c r="Z48447" i="5"/>
  <c r="Z48446" i="5"/>
  <c r="Z48445" i="5"/>
  <c r="Z48444" i="5"/>
  <c r="Z48443" i="5"/>
  <c r="Z48442" i="5"/>
  <c r="Z48441" i="5"/>
  <c r="Z48440" i="5"/>
  <c r="Z48439" i="5"/>
  <c r="Z48438" i="5"/>
  <c r="Z48437" i="5"/>
  <c r="Z48436" i="5"/>
  <c r="Z48435" i="5"/>
  <c r="Z48434" i="5"/>
  <c r="Z48433" i="5"/>
  <c r="Z48432" i="5"/>
  <c r="Z48431" i="5"/>
  <c r="Z48430" i="5"/>
  <c r="Z48429" i="5"/>
  <c r="Z48428" i="5"/>
  <c r="Z48427" i="5"/>
  <c r="Z48426" i="5"/>
  <c r="Z48425" i="5"/>
  <c r="Z48424" i="5"/>
  <c r="Z48423" i="5"/>
  <c r="Z48422" i="5"/>
  <c r="Z48421" i="5"/>
  <c r="Z48420" i="5"/>
  <c r="Z48419" i="5"/>
  <c r="Z48418" i="5"/>
  <c r="Z48417" i="5"/>
  <c r="Z48416" i="5"/>
  <c r="Z48415" i="5"/>
  <c r="Z48414" i="5"/>
  <c r="Z48413" i="5"/>
  <c r="Z48412" i="5"/>
  <c r="Z48411" i="5"/>
  <c r="Z48410" i="5"/>
  <c r="Z48409" i="5"/>
  <c r="Z48408" i="5"/>
  <c r="Z48407" i="5"/>
  <c r="Z48406" i="5"/>
  <c r="Z48405" i="5"/>
  <c r="Z48404" i="5"/>
  <c r="Z48403" i="5"/>
  <c r="Z48402" i="5"/>
  <c r="Z48401" i="5"/>
  <c r="Z48400" i="5"/>
  <c r="Z48399" i="5"/>
  <c r="Z48398" i="5"/>
  <c r="Z48397" i="5"/>
  <c r="Z48396" i="5"/>
  <c r="Z48395" i="5"/>
  <c r="Z48394" i="5"/>
  <c r="Z48393" i="5"/>
  <c r="Z48392" i="5"/>
  <c r="Z48391" i="5"/>
  <c r="Z48390" i="5"/>
  <c r="Z48389" i="5"/>
  <c r="Z48388" i="5"/>
  <c r="Z48387" i="5"/>
  <c r="Z48386" i="5"/>
  <c r="Z48385" i="5"/>
  <c r="Z48384" i="5"/>
  <c r="Z48383" i="5"/>
  <c r="Z48382" i="5"/>
  <c r="Z48381" i="5"/>
  <c r="Z48380" i="5"/>
  <c r="Z48379" i="5"/>
  <c r="Z48378" i="5"/>
  <c r="Z48377" i="5"/>
  <c r="Z48376" i="5"/>
  <c r="Z48375" i="5"/>
  <c r="Z48374" i="5"/>
  <c r="Z48373" i="5"/>
  <c r="Z48372" i="5"/>
  <c r="Z48371" i="5"/>
  <c r="Z48370" i="5"/>
  <c r="Z48369" i="5"/>
  <c r="Z48368" i="5"/>
  <c r="Z48367" i="5"/>
  <c r="Z48366" i="5"/>
  <c r="Z48365" i="5"/>
  <c r="Z48364" i="5"/>
  <c r="Z48363" i="5"/>
  <c r="Z48362" i="5"/>
  <c r="Z48361" i="5"/>
  <c r="Z48360" i="5"/>
  <c r="Z48359" i="5"/>
  <c r="Z48358" i="5"/>
  <c r="Z48357" i="5"/>
  <c r="Z48356" i="5"/>
  <c r="Z48355" i="5"/>
  <c r="Z48354" i="5"/>
  <c r="Z48353" i="5"/>
  <c r="Z48352" i="5"/>
  <c r="Z48351" i="5"/>
  <c r="Z48350" i="5"/>
  <c r="Z48349" i="5"/>
  <c r="Z48348" i="5"/>
  <c r="Z48347" i="5"/>
  <c r="Z48346" i="5"/>
  <c r="Z48345" i="5"/>
  <c r="Z48344" i="5"/>
  <c r="Z48343" i="5"/>
  <c r="Z48342" i="5"/>
  <c r="Z48341" i="5"/>
  <c r="Z48340" i="5"/>
  <c r="Z48339" i="5"/>
  <c r="Z48338" i="5"/>
  <c r="Z48337" i="5"/>
  <c r="Z48336" i="5"/>
  <c r="Z48335" i="5"/>
  <c r="Z48334" i="5"/>
  <c r="Z48333" i="5"/>
  <c r="Z48332" i="5"/>
  <c r="Z48331" i="5"/>
  <c r="Z48330" i="5"/>
  <c r="Z48329" i="5"/>
  <c r="Z48328" i="5"/>
  <c r="Z48327" i="5"/>
  <c r="Z48326" i="5"/>
  <c r="Z48325" i="5"/>
  <c r="Z48324" i="5"/>
  <c r="Z48323" i="5"/>
  <c r="Z48322" i="5"/>
  <c r="Z48321" i="5"/>
  <c r="Z48320" i="5"/>
  <c r="Z48319" i="5"/>
  <c r="Z48318" i="5"/>
  <c r="Z48317" i="5"/>
  <c r="Z48316" i="5"/>
  <c r="Z48315" i="5"/>
  <c r="Z48314" i="5"/>
  <c r="Z48313" i="5"/>
  <c r="Z48312" i="5"/>
  <c r="Z48311" i="5"/>
  <c r="Z48310" i="5"/>
  <c r="Z48309" i="5"/>
  <c r="Z48308" i="5"/>
  <c r="Z48307" i="5"/>
  <c r="Z48306" i="5"/>
  <c r="Z48305" i="5"/>
  <c r="Z48304" i="5"/>
  <c r="Z48303" i="5"/>
  <c r="Z48302" i="5"/>
  <c r="Z48301" i="5"/>
  <c r="Z48300" i="5"/>
  <c r="Z48299" i="5"/>
  <c r="Z48298" i="5"/>
  <c r="Z48297" i="5"/>
  <c r="Z48296" i="5"/>
  <c r="Z48295" i="5"/>
  <c r="Z48294" i="5"/>
  <c r="Z48293" i="5"/>
  <c r="Z48292" i="5"/>
  <c r="Z48291" i="5"/>
  <c r="Z48290" i="5"/>
  <c r="Z48289" i="5"/>
  <c r="Z48288" i="5"/>
  <c r="Z48287" i="5"/>
  <c r="Z48286" i="5"/>
  <c r="Z48285" i="5"/>
  <c r="Z48284" i="5"/>
  <c r="Z48283" i="5"/>
  <c r="Z48282" i="5"/>
  <c r="Z48281" i="5"/>
  <c r="Z48280" i="5"/>
  <c r="Z48279" i="5"/>
  <c r="Z48278" i="5"/>
  <c r="Z48277" i="5"/>
  <c r="Z48276" i="5"/>
  <c r="Z48275" i="5"/>
  <c r="Z48274" i="5"/>
  <c r="Z48273" i="5"/>
  <c r="Z48272" i="5"/>
  <c r="Z48271" i="5"/>
  <c r="Z48270" i="5"/>
  <c r="Z48269" i="5"/>
  <c r="Z48268" i="5"/>
  <c r="Z48267" i="5"/>
  <c r="Z48266" i="5"/>
  <c r="Z48265" i="5"/>
  <c r="Z48264" i="5"/>
  <c r="Z48263" i="5"/>
  <c r="Z48262" i="5"/>
  <c r="Z48261" i="5"/>
  <c r="Z48260" i="5"/>
  <c r="Z48259" i="5"/>
  <c r="Z48258" i="5"/>
  <c r="Z48257" i="5"/>
  <c r="Z48256" i="5"/>
  <c r="Z48255" i="5"/>
  <c r="Z48254" i="5"/>
  <c r="Z48253" i="5"/>
  <c r="Z48252" i="5"/>
  <c r="Z48251" i="5"/>
  <c r="Z48250" i="5"/>
  <c r="Z48249" i="5"/>
  <c r="Z48248" i="5"/>
  <c r="Z48247" i="5"/>
  <c r="Z48246" i="5"/>
  <c r="Z48245" i="5"/>
  <c r="Z48244" i="5"/>
  <c r="Z48243" i="5"/>
  <c r="Z48242" i="5"/>
  <c r="Z48241" i="5"/>
  <c r="Z48240" i="5"/>
  <c r="Z48239" i="5"/>
  <c r="Z48238" i="5"/>
  <c r="Z48237" i="5"/>
  <c r="Z48236" i="5"/>
  <c r="Z48235" i="5"/>
  <c r="Z48234" i="5"/>
  <c r="Z48233" i="5"/>
  <c r="Z48232" i="5"/>
  <c r="Z48231" i="5"/>
  <c r="Z48230" i="5"/>
  <c r="Z48229" i="5"/>
  <c r="Z48228" i="5"/>
  <c r="Z48227" i="5"/>
  <c r="Z48226" i="5"/>
  <c r="Z48225" i="5"/>
  <c r="Z48224" i="5"/>
  <c r="Z48223" i="5"/>
  <c r="Z48222" i="5"/>
  <c r="Z48221" i="5"/>
  <c r="Z48220" i="5"/>
  <c r="Z48219" i="5"/>
  <c r="Z48218" i="5"/>
  <c r="Z48217" i="5"/>
  <c r="Z48216" i="5"/>
  <c r="Z48215" i="5"/>
  <c r="Z48214" i="5"/>
  <c r="Z48213" i="5"/>
  <c r="Z48212" i="5"/>
  <c r="Z48211" i="5"/>
  <c r="Z48210" i="5"/>
  <c r="Z48209" i="5"/>
  <c r="Z48208" i="5"/>
  <c r="Z48207" i="5"/>
  <c r="Z48206" i="5"/>
  <c r="Z48205" i="5"/>
  <c r="Z48204" i="5"/>
  <c r="Z48203" i="5"/>
  <c r="Z48202" i="5"/>
  <c r="Z48201" i="5"/>
  <c r="Z48200" i="5"/>
  <c r="Z48199" i="5"/>
  <c r="Z48198" i="5"/>
  <c r="Z48197" i="5"/>
  <c r="Z48196" i="5"/>
  <c r="Z48195" i="5"/>
  <c r="Z48194" i="5"/>
  <c r="Z48193" i="5"/>
  <c r="Z48192" i="5"/>
  <c r="Z48191" i="5"/>
  <c r="Z48190" i="5"/>
  <c r="Z48189" i="5"/>
  <c r="Z48188" i="5"/>
  <c r="Z48187" i="5"/>
  <c r="Z48186" i="5"/>
  <c r="Z48185" i="5"/>
  <c r="Z48184" i="5"/>
  <c r="Z48183" i="5"/>
  <c r="Z48182" i="5"/>
  <c r="Z48181" i="5"/>
  <c r="Z48180" i="5"/>
  <c r="Z48179" i="5"/>
  <c r="Z48178" i="5"/>
  <c r="Z48177" i="5"/>
  <c r="Z48176" i="5"/>
  <c r="Z48175" i="5"/>
  <c r="Z48174" i="5"/>
  <c r="Z48173" i="5"/>
  <c r="Z48172" i="5"/>
  <c r="Z48171" i="5"/>
  <c r="Z48170" i="5"/>
  <c r="Z48169" i="5"/>
  <c r="Z48168" i="5"/>
  <c r="Z48167" i="5"/>
  <c r="Z48166" i="5"/>
  <c r="Z48165" i="5"/>
  <c r="Z48164" i="5"/>
  <c r="Z48163" i="5"/>
  <c r="Z48162" i="5"/>
  <c r="Z48161" i="5"/>
  <c r="Z48160" i="5"/>
  <c r="Z48159" i="5"/>
  <c r="Z48158" i="5"/>
  <c r="Z48157" i="5"/>
  <c r="Z48156" i="5"/>
  <c r="Z48155" i="5"/>
  <c r="Z48154" i="5"/>
  <c r="Z48153" i="5"/>
  <c r="Z48152" i="5"/>
  <c r="Z48151" i="5"/>
  <c r="Z48150" i="5"/>
  <c r="Z48149" i="5"/>
  <c r="Z48148" i="5"/>
  <c r="Z48147" i="5"/>
  <c r="Z48146" i="5"/>
  <c r="Z48145" i="5"/>
  <c r="Z48144" i="5"/>
  <c r="Z48143" i="5"/>
  <c r="Z48142" i="5"/>
  <c r="Z48141" i="5"/>
  <c r="Z48140" i="5"/>
  <c r="Z48139" i="5"/>
  <c r="Z48138" i="5"/>
  <c r="Z48137" i="5"/>
  <c r="Z48136" i="5"/>
  <c r="Z48135" i="5"/>
  <c r="Z48134" i="5"/>
  <c r="Z48133" i="5"/>
  <c r="Z48132" i="5"/>
  <c r="Z48131" i="5"/>
  <c r="Z48130" i="5"/>
  <c r="Z48129" i="5"/>
  <c r="Z48128" i="5"/>
  <c r="Z48127" i="5"/>
  <c r="Z48126" i="5"/>
  <c r="Z48125" i="5"/>
  <c r="Z48124" i="5"/>
  <c r="Z48123" i="5"/>
  <c r="Z48122" i="5"/>
  <c r="Z48121" i="5"/>
  <c r="Z48120" i="5"/>
  <c r="Z48119" i="5"/>
  <c r="Z48118" i="5"/>
  <c r="Z48117" i="5"/>
  <c r="Z48116" i="5"/>
  <c r="Z48115" i="5"/>
  <c r="Z48114" i="5"/>
  <c r="Z48113" i="5"/>
  <c r="Z48112" i="5"/>
  <c r="Z48111" i="5"/>
  <c r="Z48110" i="5"/>
  <c r="Z48109" i="5"/>
  <c r="Z48108" i="5"/>
  <c r="Z48107" i="5"/>
  <c r="Z48106" i="5"/>
  <c r="Z48105" i="5"/>
  <c r="Z48104" i="5"/>
  <c r="Z48103" i="5"/>
  <c r="Z48102" i="5"/>
  <c r="Z48101" i="5"/>
  <c r="Z48100" i="5"/>
  <c r="Z48099" i="5"/>
  <c r="Z48098" i="5"/>
  <c r="Z48097" i="5"/>
  <c r="Z48096" i="5"/>
  <c r="Z48095" i="5"/>
  <c r="Z48094" i="5"/>
  <c r="Z48093" i="5"/>
  <c r="Z48092" i="5"/>
  <c r="Z48091" i="5"/>
  <c r="Z48090" i="5"/>
  <c r="Z48089" i="5"/>
  <c r="Z48088" i="5"/>
  <c r="Z48087" i="5"/>
  <c r="Z48086" i="5"/>
  <c r="Z48085" i="5"/>
  <c r="Z48084" i="5"/>
  <c r="Z48083" i="5"/>
  <c r="Z48082" i="5"/>
  <c r="Z48081" i="5"/>
  <c r="Z48080" i="5"/>
  <c r="Z48079" i="5"/>
  <c r="Z48078" i="5"/>
  <c r="Z48077" i="5"/>
  <c r="Z48076" i="5"/>
  <c r="Z48075" i="5"/>
  <c r="Z48074" i="5"/>
  <c r="Z48073" i="5"/>
  <c r="Z48072" i="5"/>
  <c r="Z48071" i="5"/>
  <c r="Z48070" i="5"/>
  <c r="Z48069" i="5"/>
  <c r="Z48068" i="5"/>
  <c r="Z48067" i="5"/>
  <c r="Z48066" i="5"/>
  <c r="Z48065" i="5"/>
  <c r="Z48064" i="5"/>
  <c r="Z48063" i="5"/>
  <c r="Z48062" i="5"/>
  <c r="Z48061" i="5"/>
  <c r="Z48060" i="5"/>
  <c r="Z48059" i="5"/>
  <c r="Z48058" i="5"/>
  <c r="Z48057" i="5"/>
  <c r="Z48056" i="5"/>
  <c r="Z48055" i="5"/>
  <c r="Z48054" i="5"/>
  <c r="Z48053" i="5"/>
  <c r="Z48052" i="5"/>
  <c r="Z48051" i="5"/>
  <c r="Z48050" i="5"/>
  <c r="Z48049" i="5"/>
  <c r="Z48048" i="5"/>
  <c r="Z48047" i="5"/>
  <c r="Z48046" i="5"/>
  <c r="Z48045" i="5"/>
  <c r="Z48044" i="5"/>
  <c r="Z48043" i="5"/>
  <c r="Z48042" i="5"/>
  <c r="Z48041" i="5"/>
  <c r="Z48040" i="5"/>
  <c r="Z48039" i="5"/>
  <c r="Z48038" i="5"/>
  <c r="Z48037" i="5"/>
  <c r="Z48036" i="5"/>
  <c r="Z48035" i="5"/>
  <c r="Z48034" i="5"/>
  <c r="Z48033" i="5"/>
  <c r="Z48032" i="5"/>
  <c r="Z48031" i="5"/>
  <c r="Z48030" i="5"/>
  <c r="Z48029" i="5"/>
  <c r="Z48028" i="5"/>
  <c r="Z48027" i="5"/>
  <c r="Z48026" i="5"/>
  <c r="Z48025" i="5"/>
  <c r="Z48024" i="5"/>
  <c r="Z48023" i="5"/>
  <c r="Z48022" i="5"/>
  <c r="Z48021" i="5"/>
  <c r="Z48020" i="5"/>
  <c r="Z48019" i="5"/>
  <c r="Z48018" i="5"/>
  <c r="Z48017" i="5"/>
  <c r="Z48016" i="5"/>
  <c r="Z48015" i="5"/>
  <c r="Z48014" i="5"/>
  <c r="Z48013" i="5"/>
  <c r="Z48012" i="5"/>
  <c r="Z48011" i="5"/>
  <c r="Z48010" i="5"/>
  <c r="Z48009" i="5"/>
  <c r="Z48008" i="5"/>
  <c r="Z48007" i="5"/>
  <c r="Z48006" i="5"/>
  <c r="Z48005" i="5"/>
  <c r="Z48004" i="5"/>
  <c r="Z48003" i="5"/>
  <c r="Z48002" i="5"/>
  <c r="Z48001" i="5"/>
  <c r="Z48000" i="5"/>
  <c r="Z47999" i="5"/>
  <c r="Z47998" i="5"/>
  <c r="Z47997" i="5"/>
  <c r="Z47996" i="5"/>
  <c r="Z47995" i="5"/>
  <c r="Z47994" i="5"/>
  <c r="Z47993" i="5"/>
  <c r="Z47992" i="5"/>
  <c r="Z47991" i="5"/>
  <c r="Z47990" i="5"/>
  <c r="Z47989" i="5"/>
  <c r="Z47988" i="5"/>
  <c r="Z47987" i="5"/>
  <c r="Z47986" i="5"/>
  <c r="Z47985" i="5"/>
  <c r="Z47984" i="5"/>
  <c r="Z47983" i="5"/>
  <c r="Z47982" i="5"/>
  <c r="Z47981" i="5"/>
  <c r="Z47980" i="5"/>
  <c r="Z47979" i="5"/>
  <c r="Z47978" i="5"/>
  <c r="Z47977" i="5"/>
  <c r="Z47976" i="5"/>
  <c r="Z47975" i="5"/>
  <c r="Z47974" i="5"/>
  <c r="Z47973" i="5"/>
  <c r="Z47972" i="5"/>
  <c r="Z47971" i="5"/>
  <c r="Z47970" i="5"/>
  <c r="Z47969" i="5"/>
  <c r="Z47968" i="5"/>
  <c r="Z47967" i="5"/>
  <c r="Z47966" i="5"/>
  <c r="Z47965" i="5"/>
  <c r="Z47964" i="5"/>
  <c r="Z47963" i="5"/>
  <c r="Z47962" i="5"/>
  <c r="Z47961" i="5"/>
  <c r="Z47960" i="5"/>
  <c r="Z47959" i="5"/>
  <c r="Z47958" i="5"/>
  <c r="Z47957" i="5"/>
  <c r="Z47956" i="5"/>
  <c r="Z47955" i="5"/>
  <c r="Z47954" i="5"/>
  <c r="Z47953" i="5"/>
  <c r="Z47952" i="5"/>
  <c r="Z47951" i="5"/>
  <c r="Z47950" i="5"/>
  <c r="Z47949" i="5"/>
  <c r="Z47948" i="5"/>
  <c r="Z47947" i="5"/>
  <c r="Z47946" i="5"/>
  <c r="Z47945" i="5"/>
  <c r="Z47944" i="5"/>
  <c r="Z47943" i="5"/>
  <c r="Z47942" i="5"/>
  <c r="Z47941" i="5"/>
  <c r="Z47940" i="5"/>
  <c r="Z47939" i="5"/>
  <c r="Z47938" i="5"/>
  <c r="Z47937" i="5"/>
  <c r="Z47936" i="5"/>
  <c r="Z47935" i="5"/>
  <c r="Z47934" i="5"/>
  <c r="Z47933" i="5"/>
  <c r="Z47932" i="5"/>
  <c r="Z47931" i="5"/>
  <c r="Z47930" i="5"/>
  <c r="Z47929" i="5"/>
  <c r="Z47928" i="5"/>
  <c r="Z47927" i="5"/>
  <c r="Z47926" i="5"/>
  <c r="Z47925" i="5"/>
  <c r="Z47924" i="5"/>
  <c r="Z47923" i="5"/>
  <c r="Z47922" i="5"/>
  <c r="Z47921" i="5"/>
  <c r="Z47920" i="5"/>
  <c r="Z47919" i="5"/>
  <c r="Z47918" i="5"/>
  <c r="Z47917" i="5"/>
  <c r="Z47916" i="5"/>
  <c r="Z47915" i="5"/>
  <c r="Z47914" i="5"/>
  <c r="Z47913" i="5"/>
  <c r="Z47912" i="5"/>
  <c r="Z47911" i="5"/>
  <c r="Z47910" i="5"/>
  <c r="Z47909" i="5"/>
  <c r="Z47908" i="5"/>
  <c r="Z47907" i="5"/>
  <c r="Z47906" i="5"/>
  <c r="Z47905" i="5"/>
  <c r="Z47904" i="5"/>
  <c r="Z47903" i="5"/>
  <c r="Z47902" i="5"/>
  <c r="Z47901" i="5"/>
  <c r="Z47900" i="5"/>
  <c r="Z47899" i="5"/>
  <c r="Z47898" i="5"/>
  <c r="Z47897" i="5"/>
  <c r="Z47896" i="5"/>
  <c r="Z47895" i="5"/>
  <c r="Z47894" i="5"/>
  <c r="Z47893" i="5"/>
  <c r="Z47892" i="5"/>
  <c r="Z47891" i="5"/>
  <c r="Z47890" i="5"/>
  <c r="Z47889" i="5"/>
  <c r="Z47888" i="5"/>
  <c r="Z47887" i="5"/>
  <c r="Z47886" i="5"/>
  <c r="Z47885" i="5"/>
  <c r="Z47884" i="5"/>
  <c r="Z47883" i="5"/>
  <c r="Z47882" i="5"/>
  <c r="Z47881" i="5"/>
  <c r="Z47880" i="5"/>
  <c r="Z47879" i="5"/>
  <c r="Z47878" i="5"/>
  <c r="Z47877" i="5"/>
  <c r="Z47876" i="5"/>
  <c r="Z47875" i="5"/>
  <c r="Z47874" i="5"/>
  <c r="Z47873" i="5"/>
  <c r="Z47872" i="5"/>
  <c r="Z47871" i="5"/>
  <c r="Z47870" i="5"/>
  <c r="Z47869" i="5"/>
  <c r="Z47868" i="5"/>
  <c r="Z47867" i="5"/>
  <c r="Z47866" i="5"/>
  <c r="Z47865" i="5"/>
  <c r="Z47864" i="5"/>
  <c r="Z47863" i="5"/>
  <c r="Z47862" i="5"/>
  <c r="Z47861" i="5"/>
  <c r="Z47860" i="5"/>
  <c r="Z47859" i="5"/>
  <c r="Z47858" i="5"/>
  <c r="Z47857" i="5"/>
  <c r="Z47856" i="5"/>
  <c r="Z47855" i="5"/>
  <c r="Z47854" i="5"/>
  <c r="Z47853" i="5"/>
  <c r="Z47852" i="5"/>
  <c r="Z47851" i="5"/>
  <c r="Z47850" i="5"/>
  <c r="Z47849" i="5"/>
  <c r="Z47848" i="5"/>
  <c r="Z47847" i="5"/>
  <c r="Z47846" i="5"/>
  <c r="Z47845" i="5"/>
  <c r="Z47844" i="5"/>
  <c r="Z47843" i="5"/>
  <c r="Z47842" i="5"/>
  <c r="Z47841" i="5"/>
  <c r="Z47840" i="5"/>
  <c r="Z47839" i="5"/>
  <c r="Z47838" i="5"/>
  <c r="Z47837" i="5"/>
  <c r="Z47836" i="5"/>
  <c r="Z47835" i="5"/>
  <c r="Z47834" i="5"/>
  <c r="Z47833" i="5"/>
  <c r="Z47832" i="5"/>
  <c r="Z47831" i="5"/>
  <c r="Z47830" i="5"/>
  <c r="Z47829" i="5"/>
  <c r="Z47828" i="5"/>
  <c r="Z47827" i="5"/>
  <c r="Z47826" i="5"/>
  <c r="Z47825" i="5"/>
  <c r="Z47824" i="5"/>
  <c r="Z47823" i="5"/>
  <c r="Z47822" i="5"/>
  <c r="Z47821" i="5"/>
  <c r="Z47820" i="5"/>
  <c r="Z47819" i="5"/>
  <c r="Z47818" i="5"/>
  <c r="Z47817" i="5"/>
  <c r="Z47816" i="5"/>
  <c r="Z47815" i="5"/>
  <c r="Z47814" i="5"/>
  <c r="Z47813" i="5"/>
  <c r="Z47812" i="5"/>
  <c r="Z47811" i="5"/>
  <c r="Z47810" i="5"/>
  <c r="Z47809" i="5"/>
  <c r="Z47808" i="5"/>
  <c r="Z47807" i="5"/>
  <c r="Z47806" i="5"/>
  <c r="Z47805" i="5"/>
  <c r="Z47804" i="5"/>
  <c r="Z47803" i="5"/>
  <c r="Z47802" i="5"/>
  <c r="Z47801" i="5"/>
  <c r="Z47800" i="5"/>
  <c r="Z47799" i="5"/>
  <c r="Z47798" i="5"/>
  <c r="Z47797" i="5"/>
  <c r="Z47796" i="5"/>
  <c r="Z47795" i="5"/>
  <c r="Z47794" i="5"/>
  <c r="Z47793" i="5"/>
  <c r="Z47792" i="5"/>
  <c r="Z47791" i="5"/>
  <c r="Z47790" i="5"/>
  <c r="Z47789" i="5"/>
  <c r="Z47788" i="5"/>
  <c r="Z47787" i="5"/>
  <c r="Z47786" i="5"/>
  <c r="Z47785" i="5"/>
  <c r="Z47784" i="5"/>
  <c r="Z47783" i="5"/>
  <c r="Z47782" i="5"/>
  <c r="Z47781" i="5"/>
  <c r="Z47780" i="5"/>
  <c r="Z47779" i="5"/>
  <c r="Z47778" i="5"/>
  <c r="Z47777" i="5"/>
  <c r="Z47776" i="5"/>
  <c r="Z47775" i="5"/>
  <c r="Z47774" i="5"/>
  <c r="Z47773" i="5"/>
  <c r="Z47772" i="5"/>
  <c r="Z47771" i="5"/>
  <c r="Z47770" i="5"/>
  <c r="Z47769" i="5"/>
  <c r="Z47768" i="5"/>
  <c r="Z47767" i="5"/>
  <c r="Z47766" i="5"/>
  <c r="Z47765" i="5"/>
  <c r="Z47764" i="5"/>
  <c r="Z47763" i="5"/>
  <c r="Z47762" i="5"/>
  <c r="Z47761" i="5"/>
  <c r="Z47760" i="5"/>
  <c r="Z47759" i="5"/>
  <c r="Z47758" i="5"/>
  <c r="Z47757" i="5"/>
  <c r="Z47756" i="5"/>
  <c r="Z47755" i="5"/>
  <c r="Z47754" i="5"/>
  <c r="Z47753" i="5"/>
  <c r="Z47752" i="5"/>
  <c r="Z47751" i="5"/>
  <c r="Z47750" i="5"/>
  <c r="Z47749" i="5"/>
  <c r="Z47748" i="5"/>
  <c r="Z47747" i="5"/>
  <c r="Z47746" i="5"/>
  <c r="Z47745" i="5"/>
  <c r="Z47744" i="5"/>
  <c r="Z47743" i="5"/>
  <c r="Z47742" i="5"/>
  <c r="Z47741" i="5"/>
  <c r="Z47740" i="5"/>
  <c r="Z47739" i="5"/>
  <c r="Z47738" i="5"/>
  <c r="Z47737" i="5"/>
  <c r="Z47736" i="5"/>
  <c r="Z47735" i="5"/>
  <c r="Z47734" i="5"/>
  <c r="Z47733" i="5"/>
  <c r="Z47732" i="5"/>
  <c r="Z47731" i="5"/>
  <c r="Z47730" i="5"/>
  <c r="Z47729" i="5"/>
  <c r="Z47728" i="5"/>
  <c r="Z47727" i="5"/>
  <c r="Z47726" i="5"/>
  <c r="Z47725" i="5"/>
  <c r="Z47724" i="5"/>
  <c r="Z47723" i="5"/>
  <c r="Z47722" i="5"/>
  <c r="Z47721" i="5"/>
  <c r="Z47720" i="5"/>
  <c r="Z47719" i="5"/>
  <c r="Z47718" i="5"/>
  <c r="Z47717" i="5"/>
  <c r="Z47716" i="5"/>
  <c r="Z47715" i="5"/>
  <c r="Z47714" i="5"/>
  <c r="Z47713" i="5"/>
  <c r="Z47712" i="5"/>
  <c r="Z47711" i="5"/>
  <c r="Z47710" i="5"/>
  <c r="Z47709" i="5"/>
  <c r="Z47708" i="5"/>
  <c r="Z47707" i="5"/>
  <c r="Z47706" i="5"/>
  <c r="Z47705" i="5"/>
  <c r="Z47704" i="5"/>
  <c r="Z47703" i="5"/>
  <c r="Z47702" i="5"/>
  <c r="Z47701" i="5"/>
  <c r="Z47700" i="5"/>
  <c r="Z47699" i="5"/>
  <c r="Z47698" i="5"/>
  <c r="Z47697" i="5"/>
  <c r="Z47696" i="5"/>
  <c r="Z47695" i="5"/>
  <c r="Z47694" i="5"/>
  <c r="Z47693" i="5"/>
  <c r="Z47692" i="5"/>
  <c r="Z47691" i="5"/>
  <c r="Z47690" i="5"/>
  <c r="Z47689" i="5"/>
  <c r="Z47688" i="5"/>
  <c r="Z47687" i="5"/>
  <c r="Z47686" i="5"/>
  <c r="Z47685" i="5"/>
  <c r="Z47684" i="5"/>
  <c r="Z47683" i="5"/>
  <c r="Z47682" i="5"/>
  <c r="Z47681" i="5"/>
  <c r="Z47680" i="5"/>
  <c r="Z47679" i="5"/>
  <c r="Z47678" i="5"/>
  <c r="Z47677" i="5"/>
  <c r="Z47676" i="5"/>
  <c r="Z47675" i="5"/>
  <c r="Z47674" i="5"/>
  <c r="Z47673" i="5"/>
  <c r="Z47672" i="5"/>
  <c r="Z47671" i="5"/>
  <c r="Z47670" i="5"/>
  <c r="Z47669" i="5"/>
  <c r="Z47668" i="5"/>
  <c r="Z47667" i="5"/>
  <c r="Z47666" i="5"/>
  <c r="Z47665" i="5"/>
  <c r="Z47664" i="5"/>
  <c r="Z47663" i="5"/>
  <c r="Z47662" i="5"/>
  <c r="Z47661" i="5"/>
  <c r="Z47660" i="5"/>
  <c r="Z47659" i="5"/>
  <c r="Z47658" i="5"/>
  <c r="Z47657" i="5"/>
  <c r="Z47656" i="5"/>
  <c r="Z47655" i="5"/>
  <c r="Z47654" i="5"/>
  <c r="Z47653" i="5"/>
  <c r="Z47652" i="5"/>
  <c r="Z47651" i="5"/>
  <c r="Z47650" i="5"/>
  <c r="Z47649" i="5"/>
  <c r="Z47648" i="5"/>
  <c r="Z47647" i="5"/>
  <c r="Z47646" i="5"/>
  <c r="Z47645" i="5"/>
  <c r="Z47644" i="5"/>
  <c r="Z47643" i="5"/>
  <c r="Z47642" i="5"/>
  <c r="Z47641" i="5"/>
  <c r="Z47640" i="5"/>
  <c r="Z47639" i="5"/>
  <c r="Z47638" i="5"/>
  <c r="Z47637" i="5"/>
  <c r="Z47636" i="5"/>
  <c r="Z47635" i="5"/>
  <c r="Z47634" i="5"/>
  <c r="Z47633" i="5"/>
  <c r="Z47632" i="5"/>
  <c r="Z47631" i="5"/>
  <c r="Z47630" i="5"/>
  <c r="Z47629" i="5"/>
  <c r="Z47628" i="5"/>
  <c r="Z47627" i="5"/>
  <c r="Z47626" i="5"/>
  <c r="Z47625" i="5"/>
  <c r="Z47624" i="5"/>
  <c r="Z47623" i="5"/>
  <c r="Z47622" i="5"/>
  <c r="Z47621" i="5"/>
  <c r="Z47620" i="5"/>
  <c r="Z47619" i="5"/>
  <c r="Z47618" i="5"/>
  <c r="Z47617" i="5"/>
  <c r="Z47616" i="5"/>
  <c r="Z47615" i="5"/>
  <c r="Z47614" i="5"/>
  <c r="Z47613" i="5"/>
  <c r="Z47612" i="5"/>
  <c r="Z47611" i="5"/>
  <c r="Z47610" i="5"/>
  <c r="Z47609" i="5"/>
  <c r="Z47608" i="5"/>
  <c r="Z47607" i="5"/>
  <c r="Z47606" i="5"/>
  <c r="Z47605" i="5"/>
  <c r="Z47604" i="5"/>
  <c r="Z47603" i="5"/>
  <c r="Z47602" i="5"/>
  <c r="Z47601" i="5"/>
  <c r="Z47600" i="5"/>
  <c r="Z47599" i="5"/>
  <c r="Z47598" i="5"/>
  <c r="Z47597" i="5"/>
  <c r="Z47596" i="5"/>
  <c r="Z47595" i="5"/>
  <c r="Z47594" i="5"/>
  <c r="Z47593" i="5"/>
  <c r="Z47592" i="5"/>
  <c r="Z47591" i="5"/>
  <c r="Z47590" i="5"/>
  <c r="Z47589" i="5"/>
  <c r="Z47588" i="5"/>
  <c r="Z47587" i="5"/>
  <c r="Z47586" i="5"/>
  <c r="Z47585" i="5"/>
  <c r="Z47584" i="5"/>
  <c r="Z47583" i="5"/>
  <c r="Z47582" i="5"/>
  <c r="Z47581" i="5"/>
  <c r="Z47580" i="5"/>
  <c r="Z47579" i="5"/>
  <c r="Z47578" i="5"/>
  <c r="Z47577" i="5"/>
  <c r="Z47576" i="5"/>
  <c r="Z47575" i="5"/>
  <c r="Z47574" i="5"/>
  <c r="Z47573" i="5"/>
  <c r="Z47572" i="5"/>
  <c r="Z47571" i="5"/>
  <c r="Z47570" i="5"/>
  <c r="Z47569" i="5"/>
  <c r="Z47568" i="5"/>
  <c r="Z47567" i="5"/>
  <c r="Z47566" i="5"/>
  <c r="Z47565" i="5"/>
  <c r="Z47564" i="5"/>
  <c r="Z47563" i="5"/>
  <c r="Z47562" i="5"/>
  <c r="Z47561" i="5"/>
  <c r="Z47560" i="5"/>
  <c r="Z47559" i="5"/>
  <c r="Z47558" i="5"/>
  <c r="Z47557" i="5"/>
  <c r="Z47556" i="5"/>
  <c r="Z47555" i="5"/>
  <c r="Z47554" i="5"/>
  <c r="Z47553" i="5"/>
  <c r="Z47552" i="5"/>
  <c r="Z47551" i="5"/>
  <c r="Z47550" i="5"/>
  <c r="Z47549" i="5"/>
  <c r="Z47548" i="5"/>
  <c r="Z47547" i="5"/>
  <c r="Z47546" i="5"/>
  <c r="Z47545" i="5"/>
  <c r="Z47544" i="5"/>
  <c r="Z47543" i="5"/>
  <c r="Z47542" i="5"/>
  <c r="Z47541" i="5"/>
  <c r="Z47540" i="5"/>
  <c r="Z47539" i="5"/>
  <c r="Z47538" i="5"/>
  <c r="Z47537" i="5"/>
  <c r="Z47536" i="5"/>
  <c r="Z47535" i="5"/>
  <c r="Z47534" i="5"/>
  <c r="Z47533" i="5"/>
  <c r="Z47532" i="5"/>
  <c r="Z47531" i="5"/>
  <c r="Z47530" i="5"/>
  <c r="Z47529" i="5"/>
  <c r="Z47528" i="5"/>
  <c r="Z47527" i="5"/>
  <c r="Z47526" i="5"/>
  <c r="Z47525" i="5"/>
  <c r="Z47524" i="5"/>
  <c r="Z47523" i="5"/>
  <c r="Z47522" i="5"/>
  <c r="Z47521" i="5"/>
  <c r="Z47520" i="5"/>
  <c r="Z47519" i="5"/>
  <c r="Z47518" i="5"/>
  <c r="Z47517" i="5"/>
  <c r="Z47516" i="5"/>
  <c r="Z47515" i="5"/>
  <c r="Z47514" i="5"/>
  <c r="Z47513" i="5"/>
  <c r="Z47512" i="5"/>
  <c r="Z47511" i="5"/>
  <c r="Z47510" i="5"/>
  <c r="Z47509" i="5"/>
  <c r="Z47508" i="5"/>
  <c r="Z47507" i="5"/>
  <c r="Z47506" i="5"/>
  <c r="Z47505" i="5"/>
  <c r="Z47504" i="5"/>
  <c r="Z47503" i="5"/>
  <c r="Z47502" i="5"/>
  <c r="Z47501" i="5"/>
  <c r="Z47500" i="5"/>
  <c r="Z47499" i="5"/>
  <c r="Z47498" i="5"/>
  <c r="Z47497" i="5"/>
  <c r="Z47496" i="5"/>
  <c r="Z47495" i="5"/>
  <c r="Z47494" i="5"/>
  <c r="Z47493" i="5"/>
  <c r="Z47492" i="5"/>
  <c r="Z47491" i="5"/>
  <c r="Z47490" i="5"/>
  <c r="Z47489" i="5"/>
  <c r="Z47488" i="5"/>
  <c r="Z47487" i="5"/>
  <c r="Z47486" i="5"/>
  <c r="Z47485" i="5"/>
  <c r="Z47484" i="5"/>
  <c r="Z47483" i="5"/>
  <c r="Z47482" i="5"/>
  <c r="Z47481" i="5"/>
  <c r="Z47480" i="5"/>
  <c r="Z47479" i="5"/>
  <c r="Z47478" i="5"/>
  <c r="Z47477" i="5"/>
  <c r="Z47476" i="5"/>
  <c r="Z47475" i="5"/>
  <c r="Z47474" i="5"/>
  <c r="Z47473" i="5"/>
  <c r="Z47472" i="5"/>
  <c r="Z47471" i="5"/>
  <c r="Z47470" i="5"/>
  <c r="Z47469" i="5"/>
  <c r="Z47468" i="5"/>
  <c r="Z47467" i="5"/>
  <c r="Z47466" i="5"/>
  <c r="Z47465" i="5"/>
  <c r="Z47464" i="5"/>
  <c r="Z47463" i="5"/>
  <c r="Z47462" i="5"/>
  <c r="Z47461" i="5"/>
  <c r="Z47460" i="5"/>
  <c r="Z47459" i="5"/>
  <c r="Z47458" i="5"/>
  <c r="Z47457" i="5"/>
  <c r="Z47456" i="5"/>
  <c r="Z47455" i="5"/>
  <c r="Z47454" i="5"/>
  <c r="Z47453" i="5"/>
  <c r="Z47452" i="5"/>
  <c r="Z47451" i="5"/>
  <c r="Z47450" i="5"/>
  <c r="Z47449" i="5"/>
  <c r="Z47448" i="5"/>
  <c r="Z47447" i="5"/>
  <c r="Z47446" i="5"/>
  <c r="Z47445" i="5"/>
  <c r="Z47444" i="5"/>
  <c r="Z47443" i="5"/>
  <c r="Z47442" i="5"/>
  <c r="Z47441" i="5"/>
  <c r="Z47440" i="5"/>
  <c r="Z47439" i="5"/>
  <c r="Z47438" i="5"/>
  <c r="Z47437" i="5"/>
  <c r="Z47436" i="5"/>
  <c r="Z47435" i="5"/>
  <c r="Z47434" i="5"/>
  <c r="Z47433" i="5"/>
  <c r="Z47432" i="5"/>
  <c r="Z47431" i="5"/>
  <c r="Z47430" i="5"/>
  <c r="Z47429" i="5"/>
  <c r="Z47428" i="5"/>
  <c r="Z47427" i="5"/>
  <c r="Z47426" i="5"/>
  <c r="Z47425" i="5"/>
  <c r="Z47424" i="5"/>
  <c r="Z47423" i="5"/>
  <c r="Z47422" i="5"/>
  <c r="Z47421" i="5"/>
  <c r="Z47420" i="5"/>
  <c r="Z47419" i="5"/>
  <c r="Z47418" i="5"/>
  <c r="Z47417" i="5"/>
  <c r="Z47416" i="5"/>
  <c r="Z47415" i="5"/>
  <c r="Z47414" i="5"/>
  <c r="Z47413" i="5"/>
  <c r="Z47412" i="5"/>
  <c r="Z47411" i="5"/>
  <c r="Z47410" i="5"/>
  <c r="Z47409" i="5"/>
  <c r="Z47408" i="5"/>
  <c r="Z47407" i="5"/>
  <c r="Z47406" i="5"/>
  <c r="Z47405" i="5"/>
  <c r="Z47404" i="5"/>
  <c r="Z47403" i="5"/>
  <c r="Z47402" i="5"/>
  <c r="Z47401" i="5"/>
  <c r="Z47400" i="5"/>
  <c r="Z47399" i="5"/>
  <c r="Z47398" i="5"/>
  <c r="Z47397" i="5"/>
  <c r="Z47396" i="5"/>
  <c r="Z47395" i="5"/>
  <c r="Z47394" i="5"/>
  <c r="Z47393" i="5"/>
  <c r="Z47392" i="5"/>
  <c r="Z47391" i="5"/>
  <c r="Z47390" i="5"/>
  <c r="Z47389" i="5"/>
  <c r="Z47388" i="5"/>
  <c r="Z47387" i="5"/>
  <c r="Z47386" i="5"/>
  <c r="Z47385" i="5"/>
  <c r="Z47384" i="5"/>
  <c r="Z47383" i="5"/>
  <c r="Z47382" i="5"/>
  <c r="Z47381" i="5"/>
  <c r="Z47380" i="5"/>
  <c r="Z47379" i="5"/>
  <c r="Z47378" i="5"/>
  <c r="Z47377" i="5"/>
  <c r="Z47376" i="5"/>
  <c r="Z47375" i="5"/>
  <c r="Z47374" i="5"/>
  <c r="Z47373" i="5"/>
  <c r="Z47372" i="5"/>
  <c r="Z47371" i="5"/>
  <c r="Z47370" i="5"/>
  <c r="Z47369" i="5"/>
  <c r="Z47368" i="5"/>
  <c r="Z47367" i="5"/>
  <c r="Z47366" i="5"/>
  <c r="Z47365" i="5"/>
  <c r="Z47364" i="5"/>
  <c r="Z47363" i="5"/>
  <c r="Z47362" i="5"/>
  <c r="Z47361" i="5"/>
  <c r="Z47360" i="5"/>
  <c r="Z47359" i="5"/>
  <c r="Z47358" i="5"/>
  <c r="Z47357" i="5"/>
  <c r="Z47356" i="5"/>
  <c r="Z47355" i="5"/>
  <c r="Z47354" i="5"/>
  <c r="Z47353" i="5"/>
  <c r="Z47352" i="5"/>
  <c r="Z47351" i="5"/>
  <c r="Z47350" i="5"/>
  <c r="Z47349" i="5"/>
  <c r="Z47348" i="5"/>
  <c r="Z47347" i="5"/>
  <c r="Z47346" i="5"/>
  <c r="Z47345" i="5"/>
  <c r="Z47344" i="5"/>
  <c r="Z47343" i="5"/>
  <c r="Z47342" i="5"/>
  <c r="Z47341" i="5"/>
  <c r="Z47340" i="5"/>
  <c r="Z47339" i="5"/>
  <c r="Z47338" i="5"/>
  <c r="Z47337" i="5"/>
  <c r="Z47336" i="5"/>
  <c r="Z47335" i="5"/>
  <c r="Z47334" i="5"/>
  <c r="Z47333" i="5"/>
  <c r="Z47332" i="5"/>
  <c r="Z47331" i="5"/>
  <c r="Z47330" i="5"/>
  <c r="Z47329" i="5"/>
  <c r="Z47328" i="5"/>
  <c r="Z47327" i="5"/>
  <c r="Z47326" i="5"/>
  <c r="Z47325" i="5"/>
  <c r="Z47324" i="5"/>
  <c r="Z47323" i="5"/>
  <c r="Z47322" i="5"/>
  <c r="Z47321" i="5"/>
  <c r="Z47320" i="5"/>
  <c r="Z47319" i="5"/>
  <c r="Z47318" i="5"/>
  <c r="Z47317" i="5"/>
  <c r="Z47316" i="5"/>
  <c r="Z47315" i="5"/>
  <c r="Z47314" i="5"/>
  <c r="Z47313" i="5"/>
  <c r="Z47312" i="5"/>
  <c r="Z47311" i="5"/>
  <c r="Z47310" i="5"/>
  <c r="Z47309" i="5"/>
  <c r="Z47308" i="5"/>
  <c r="Z47307" i="5"/>
  <c r="Z47306" i="5"/>
  <c r="Z47305" i="5"/>
  <c r="Z47304" i="5"/>
  <c r="Z47303" i="5"/>
  <c r="Z47302" i="5"/>
  <c r="Z47301" i="5"/>
  <c r="Z47300" i="5"/>
  <c r="Z47299" i="5"/>
  <c r="Z47298" i="5"/>
  <c r="Z47297" i="5"/>
  <c r="Z47296" i="5"/>
  <c r="Z47295" i="5"/>
  <c r="Z47294" i="5"/>
  <c r="Z47293" i="5"/>
  <c r="Z47292" i="5"/>
  <c r="Z47291" i="5"/>
  <c r="Z47290" i="5"/>
  <c r="Z47289" i="5"/>
  <c r="Z47288" i="5"/>
  <c r="Z47287" i="5"/>
  <c r="Z47286" i="5"/>
  <c r="Z47285" i="5"/>
  <c r="Z47284" i="5"/>
  <c r="Z47283" i="5"/>
  <c r="Z47282" i="5"/>
  <c r="Z47281" i="5"/>
  <c r="Z47280" i="5"/>
  <c r="Z47279" i="5"/>
  <c r="Z47278" i="5"/>
  <c r="Z47277" i="5"/>
  <c r="Z47276" i="5"/>
  <c r="Z47275" i="5"/>
  <c r="Z47274" i="5"/>
  <c r="Z47273" i="5"/>
  <c r="Z47272" i="5"/>
  <c r="Z47271" i="5"/>
  <c r="Z47270" i="5"/>
  <c r="Z47269" i="5"/>
  <c r="Z47268" i="5"/>
  <c r="Z47267" i="5"/>
  <c r="Z47266" i="5"/>
  <c r="Z47265" i="5"/>
  <c r="Z47264" i="5"/>
  <c r="Z47263" i="5"/>
  <c r="Z47262" i="5"/>
  <c r="Z47261" i="5"/>
  <c r="Z47260" i="5"/>
  <c r="Z47259" i="5"/>
  <c r="Z47258" i="5"/>
  <c r="Z47257" i="5"/>
  <c r="Z47256" i="5"/>
  <c r="Z47255" i="5"/>
  <c r="Z47254" i="5"/>
  <c r="Z47253" i="5"/>
  <c r="Z47252" i="5"/>
  <c r="Z47251" i="5"/>
  <c r="Z47250" i="5"/>
  <c r="Z47249" i="5"/>
  <c r="Z47248" i="5"/>
  <c r="Z47247" i="5"/>
  <c r="Z47246" i="5"/>
  <c r="Z47245" i="5"/>
  <c r="Z47244" i="5"/>
  <c r="Z47243" i="5"/>
  <c r="Z47242" i="5"/>
  <c r="Z47241" i="5"/>
  <c r="Z47240" i="5"/>
  <c r="Z47239" i="5"/>
  <c r="Z47238" i="5"/>
  <c r="Z47237" i="5"/>
  <c r="Z47236" i="5"/>
  <c r="Z47235" i="5"/>
  <c r="Z47234" i="5"/>
  <c r="Z47233" i="5"/>
  <c r="Z47232" i="5"/>
  <c r="Z47231" i="5"/>
  <c r="Z47230" i="5"/>
  <c r="Z47229" i="5"/>
  <c r="Z47228" i="5"/>
  <c r="Z47227" i="5"/>
  <c r="Z47226" i="5"/>
  <c r="Z47225" i="5"/>
  <c r="Z47224" i="5"/>
  <c r="Z47223" i="5"/>
  <c r="Z47222" i="5"/>
  <c r="Z47221" i="5"/>
  <c r="Z47220" i="5"/>
  <c r="Z47219" i="5"/>
  <c r="Z47218" i="5"/>
  <c r="Z47217" i="5"/>
  <c r="Z47216" i="5"/>
  <c r="Z47215" i="5"/>
  <c r="Z47214" i="5"/>
  <c r="Z47213" i="5"/>
  <c r="Z47212" i="5"/>
  <c r="Z47211" i="5"/>
  <c r="Z47210" i="5"/>
  <c r="Z47209" i="5"/>
  <c r="Z47208" i="5"/>
  <c r="Z47207" i="5"/>
  <c r="Z47206" i="5"/>
  <c r="Z47205" i="5"/>
  <c r="Z47204" i="5"/>
  <c r="Z47203" i="5"/>
  <c r="Z47202" i="5"/>
  <c r="Z47201" i="5"/>
  <c r="Z47200" i="5"/>
  <c r="Z47199" i="5"/>
  <c r="Z47198" i="5"/>
  <c r="Z47197" i="5"/>
  <c r="Z47196" i="5"/>
  <c r="Z47195" i="5"/>
  <c r="Z47194" i="5"/>
  <c r="Z47193" i="5"/>
  <c r="Z47192" i="5"/>
  <c r="Z47191" i="5"/>
  <c r="Z47190" i="5"/>
  <c r="Z47189" i="5"/>
  <c r="Z47188" i="5"/>
  <c r="Z47187" i="5"/>
  <c r="Z47186" i="5"/>
  <c r="Z47185" i="5"/>
  <c r="Z47184" i="5"/>
  <c r="Z47183" i="5"/>
  <c r="Z47182" i="5"/>
  <c r="Z47181" i="5"/>
  <c r="Z47180" i="5"/>
  <c r="Z47179" i="5"/>
  <c r="Z47178" i="5"/>
  <c r="Z47177" i="5"/>
  <c r="Z47176" i="5"/>
  <c r="Z47175" i="5"/>
  <c r="Z47174" i="5"/>
  <c r="Z47173" i="5"/>
  <c r="Z47172" i="5"/>
  <c r="Z47171" i="5"/>
  <c r="Z47170" i="5"/>
  <c r="Z47169" i="5"/>
  <c r="Z47168" i="5"/>
  <c r="Z47167" i="5"/>
  <c r="Z47166" i="5"/>
  <c r="Z47165" i="5"/>
  <c r="Z47164" i="5"/>
  <c r="Z47163" i="5"/>
  <c r="Z47162" i="5"/>
  <c r="Z47161" i="5"/>
  <c r="Z47160" i="5"/>
  <c r="Z47159" i="5"/>
  <c r="Z47158" i="5"/>
  <c r="Z47157" i="5"/>
  <c r="Z47156" i="5"/>
  <c r="Z47155" i="5"/>
  <c r="Z47154" i="5"/>
  <c r="Z47153" i="5"/>
  <c r="Z47152" i="5"/>
  <c r="Z47151" i="5"/>
  <c r="Z47150" i="5"/>
  <c r="Z47149" i="5"/>
  <c r="Z47148" i="5"/>
  <c r="Z47147" i="5"/>
  <c r="Z47146" i="5"/>
  <c r="Z47145" i="5"/>
  <c r="Z47144" i="5"/>
  <c r="Z47143" i="5"/>
  <c r="Z47142" i="5"/>
  <c r="Z47141" i="5"/>
  <c r="Z47140" i="5"/>
  <c r="Z47139" i="5"/>
  <c r="Z47138" i="5"/>
  <c r="Z47137" i="5"/>
  <c r="Z47136" i="5"/>
  <c r="Z47135" i="5"/>
  <c r="Z47134" i="5"/>
  <c r="Z47133" i="5"/>
  <c r="Z47132" i="5"/>
  <c r="Z47131" i="5"/>
  <c r="Z47130" i="5"/>
  <c r="Z47129" i="5"/>
  <c r="Z47128" i="5"/>
  <c r="Z47127" i="5"/>
  <c r="Z47126" i="5"/>
  <c r="Z47125" i="5"/>
  <c r="Z47124" i="5"/>
  <c r="Z47123" i="5"/>
  <c r="Z47122" i="5"/>
  <c r="Z47121" i="5"/>
  <c r="Z47120" i="5"/>
  <c r="Z47119" i="5"/>
  <c r="Z47118" i="5"/>
  <c r="Z47117" i="5"/>
  <c r="Z47116" i="5"/>
  <c r="Z47115" i="5"/>
  <c r="Z47114" i="5"/>
  <c r="Z47113" i="5"/>
  <c r="Z47112" i="5"/>
  <c r="Z47111" i="5"/>
  <c r="Z47110" i="5"/>
  <c r="Z47109" i="5"/>
  <c r="Z47108" i="5"/>
  <c r="Z47107" i="5"/>
  <c r="Z47106" i="5"/>
  <c r="Z47105" i="5"/>
  <c r="Z47104" i="5"/>
  <c r="Z47103" i="5"/>
  <c r="Z47102" i="5"/>
  <c r="Z47101" i="5"/>
  <c r="Z47100" i="5"/>
  <c r="Z47099" i="5"/>
  <c r="Z47098" i="5"/>
  <c r="Z47097" i="5"/>
  <c r="Z47096" i="5"/>
  <c r="Z47095" i="5"/>
  <c r="Z47094" i="5"/>
  <c r="Z47093" i="5"/>
  <c r="Z47092" i="5"/>
  <c r="Z47091" i="5"/>
  <c r="Z47090" i="5"/>
  <c r="Z47089" i="5"/>
  <c r="Z47088" i="5"/>
  <c r="Z47087" i="5"/>
  <c r="Z47086" i="5"/>
  <c r="Z47085" i="5"/>
  <c r="Z47084" i="5"/>
  <c r="Z47083" i="5"/>
  <c r="Z47082" i="5"/>
  <c r="Z47081" i="5"/>
  <c r="Z47080" i="5"/>
  <c r="Z47079" i="5"/>
  <c r="Z47078" i="5"/>
  <c r="Z47077" i="5"/>
  <c r="Z47076" i="5"/>
  <c r="Z47075" i="5"/>
  <c r="Z47074" i="5"/>
  <c r="Z47073" i="5"/>
  <c r="Z47072" i="5"/>
  <c r="Z47071" i="5"/>
  <c r="Z47070" i="5"/>
  <c r="Z47069" i="5"/>
  <c r="Z47068" i="5"/>
  <c r="Z47067" i="5"/>
  <c r="Z47066" i="5"/>
  <c r="Z47065" i="5"/>
  <c r="Z47064" i="5"/>
  <c r="Z47063" i="5"/>
  <c r="Z47062" i="5"/>
  <c r="Z47061" i="5"/>
  <c r="Z47060" i="5"/>
  <c r="Z47059" i="5"/>
  <c r="Z47058" i="5"/>
  <c r="Z47057" i="5"/>
  <c r="Z47056" i="5"/>
  <c r="Z47055" i="5"/>
  <c r="Z47054" i="5"/>
  <c r="Z47053" i="5"/>
  <c r="Z47052" i="5"/>
  <c r="Z47051" i="5"/>
  <c r="Z47050" i="5"/>
  <c r="Z47049" i="5"/>
  <c r="Z47048" i="5"/>
  <c r="Z47047" i="5"/>
  <c r="Z47046" i="5"/>
  <c r="Z47045" i="5"/>
  <c r="Z47044" i="5"/>
  <c r="Z47043" i="5"/>
  <c r="Z47042" i="5"/>
  <c r="Z47041" i="5"/>
  <c r="Z47040" i="5"/>
  <c r="Z47039" i="5"/>
  <c r="Z47038" i="5"/>
  <c r="Z47037" i="5"/>
  <c r="Z47036" i="5"/>
  <c r="Z47035" i="5"/>
  <c r="Z47034" i="5"/>
  <c r="Z47033" i="5"/>
  <c r="Z47032" i="5"/>
  <c r="Z47031" i="5"/>
  <c r="Z47030" i="5"/>
  <c r="Z47029" i="5"/>
  <c r="Z47028" i="5"/>
  <c r="Z47027" i="5"/>
  <c r="Z47026" i="5"/>
  <c r="Z47025" i="5"/>
  <c r="Z47024" i="5"/>
  <c r="Z47023" i="5"/>
  <c r="Z47022" i="5"/>
  <c r="Z47021" i="5"/>
  <c r="Z47020" i="5"/>
  <c r="Z47019" i="5"/>
  <c r="Z47018" i="5"/>
  <c r="Z47017" i="5"/>
  <c r="Z47016" i="5"/>
  <c r="Z47015" i="5"/>
  <c r="Z47014" i="5"/>
  <c r="Z47013" i="5"/>
  <c r="Z47012" i="5"/>
  <c r="Z47011" i="5"/>
  <c r="Z47010" i="5"/>
  <c r="Z47009" i="5"/>
  <c r="Z47008" i="5"/>
  <c r="Z47007" i="5"/>
  <c r="Z47006" i="5"/>
  <c r="Z47005" i="5"/>
  <c r="Z47004" i="5"/>
  <c r="Z47003" i="5"/>
  <c r="Z47002" i="5"/>
  <c r="Z47001" i="5"/>
  <c r="Z47000" i="5"/>
  <c r="Z46999" i="5"/>
  <c r="Z46998" i="5"/>
  <c r="Z46997" i="5"/>
  <c r="Z46996" i="5"/>
  <c r="Z46995" i="5"/>
  <c r="Z46994" i="5"/>
  <c r="Z46993" i="5"/>
  <c r="Z46992" i="5"/>
  <c r="Z46991" i="5"/>
  <c r="Z46990" i="5"/>
  <c r="Z46989" i="5"/>
  <c r="Z46988" i="5"/>
  <c r="Z46987" i="5"/>
  <c r="Z46986" i="5"/>
  <c r="Z46985" i="5"/>
  <c r="Z46984" i="5"/>
  <c r="Z46983" i="5"/>
  <c r="Z46982" i="5"/>
  <c r="Z46981" i="5"/>
  <c r="Z46980" i="5"/>
  <c r="Z46979" i="5"/>
  <c r="Z46978" i="5"/>
  <c r="Z46977" i="5"/>
  <c r="Z46976" i="5"/>
  <c r="Z46975" i="5"/>
  <c r="Z46974" i="5"/>
  <c r="Z46973" i="5"/>
  <c r="Z46972" i="5"/>
  <c r="Z46971" i="5"/>
  <c r="Z46970" i="5"/>
  <c r="Z46969" i="5"/>
  <c r="Z46968" i="5"/>
  <c r="Z46967" i="5"/>
  <c r="Z46966" i="5"/>
  <c r="Z46965" i="5"/>
  <c r="Z46964" i="5"/>
  <c r="Z46963" i="5"/>
  <c r="Z46962" i="5"/>
  <c r="Z46961" i="5"/>
  <c r="Z46960" i="5"/>
  <c r="Z46959" i="5"/>
  <c r="Z46958" i="5"/>
  <c r="Z46957" i="5"/>
  <c r="Z46956" i="5"/>
  <c r="Z46955" i="5"/>
  <c r="Z46954" i="5"/>
  <c r="Z46953" i="5"/>
  <c r="Z46952" i="5"/>
  <c r="Z46951" i="5"/>
  <c r="Z46950" i="5"/>
  <c r="Z46949" i="5"/>
  <c r="Z46948" i="5"/>
  <c r="Z46947" i="5"/>
  <c r="Z46946" i="5"/>
  <c r="Z46945" i="5"/>
  <c r="Z46944" i="5"/>
  <c r="Z46943" i="5"/>
  <c r="Z46942" i="5"/>
  <c r="Z46941" i="5"/>
  <c r="Z46940" i="5"/>
  <c r="Z46939" i="5"/>
  <c r="Z46938" i="5"/>
  <c r="Z46937" i="5"/>
  <c r="Z46936" i="5"/>
  <c r="Z46935" i="5"/>
  <c r="Z46934" i="5"/>
  <c r="Z46933" i="5"/>
  <c r="Z46932" i="5"/>
  <c r="Z46931" i="5"/>
  <c r="Z46930" i="5"/>
  <c r="Z46929" i="5"/>
  <c r="Z46928" i="5"/>
  <c r="Z46927" i="5"/>
  <c r="Z46926" i="5"/>
  <c r="Z46925" i="5"/>
  <c r="Z46924" i="5"/>
  <c r="Z46923" i="5"/>
  <c r="Z46922" i="5"/>
  <c r="Z46921" i="5"/>
  <c r="Z46920" i="5"/>
  <c r="Z46919" i="5"/>
  <c r="Z46918" i="5"/>
  <c r="Z46917" i="5"/>
  <c r="Z46916" i="5"/>
  <c r="Z46915" i="5"/>
  <c r="Z46914" i="5"/>
  <c r="Z46913" i="5"/>
  <c r="Z46912" i="5"/>
  <c r="Z46911" i="5"/>
  <c r="Z46910" i="5"/>
  <c r="Z46909" i="5"/>
  <c r="Z46908" i="5"/>
  <c r="Z46907" i="5"/>
  <c r="Z46906" i="5"/>
  <c r="Z46905" i="5"/>
  <c r="Z46904" i="5"/>
  <c r="Z46903" i="5"/>
  <c r="Z46902" i="5"/>
  <c r="Z46901" i="5"/>
  <c r="Z46900" i="5"/>
  <c r="Z46899" i="5"/>
  <c r="Z46898" i="5"/>
  <c r="Z46897" i="5"/>
  <c r="Z46896" i="5"/>
  <c r="Z46895" i="5"/>
  <c r="Z46894" i="5"/>
  <c r="Z46893" i="5"/>
  <c r="Z46892" i="5"/>
  <c r="Z46891" i="5"/>
  <c r="Z46890" i="5"/>
  <c r="Z46889" i="5"/>
  <c r="Z46888" i="5"/>
  <c r="Z46887" i="5"/>
  <c r="Z46886" i="5"/>
  <c r="Z46885" i="5"/>
  <c r="Z46884" i="5"/>
  <c r="Z46883" i="5"/>
  <c r="Z46882" i="5"/>
  <c r="Z46881" i="5"/>
  <c r="Z46880" i="5"/>
  <c r="Z46879" i="5"/>
  <c r="Z46878" i="5"/>
  <c r="Z46877" i="5"/>
  <c r="Z46876" i="5"/>
  <c r="Z46875" i="5"/>
  <c r="Z46874" i="5"/>
  <c r="Z46873" i="5"/>
  <c r="Z46872" i="5"/>
  <c r="Z46871" i="5"/>
  <c r="Z46870" i="5"/>
  <c r="Z46869" i="5"/>
  <c r="Z46868" i="5"/>
  <c r="Z46867" i="5"/>
  <c r="Z46866" i="5"/>
  <c r="Z46865" i="5"/>
  <c r="Z46864" i="5"/>
  <c r="Z46863" i="5"/>
  <c r="Z46862" i="5"/>
  <c r="Z46861" i="5"/>
  <c r="Z46860" i="5"/>
  <c r="Z46859" i="5"/>
  <c r="Z46858" i="5"/>
  <c r="Z46857" i="5"/>
  <c r="Z46856" i="5"/>
  <c r="Z46855" i="5"/>
  <c r="Z46854" i="5"/>
  <c r="Z46853" i="5"/>
  <c r="Z46852" i="5"/>
  <c r="Z46851" i="5"/>
  <c r="Z46850" i="5"/>
  <c r="Z46849" i="5"/>
  <c r="Z46848" i="5"/>
  <c r="Z46847" i="5"/>
  <c r="Z46846" i="5"/>
  <c r="Z46845" i="5"/>
  <c r="Z46844" i="5"/>
  <c r="Z46843" i="5"/>
  <c r="Z46842" i="5"/>
  <c r="Z46841" i="5"/>
  <c r="Z46840" i="5"/>
  <c r="Z46839" i="5"/>
  <c r="Z46838" i="5"/>
  <c r="Z46837" i="5"/>
  <c r="Z46836" i="5"/>
  <c r="Z46835" i="5"/>
  <c r="Z46834" i="5"/>
  <c r="Z46833" i="5"/>
  <c r="Z46832" i="5"/>
  <c r="Z46831" i="5"/>
  <c r="Z46830" i="5"/>
  <c r="Z46829" i="5"/>
  <c r="Z46828" i="5"/>
  <c r="Z46827" i="5"/>
  <c r="Z46826" i="5"/>
  <c r="Z46825" i="5"/>
  <c r="Z46824" i="5"/>
  <c r="Z46823" i="5"/>
  <c r="Z46822" i="5"/>
  <c r="Z46821" i="5"/>
  <c r="Z46820" i="5"/>
  <c r="Z46819" i="5"/>
  <c r="Z46818" i="5"/>
  <c r="Z46817" i="5"/>
  <c r="Z46816" i="5"/>
  <c r="Z46815" i="5"/>
  <c r="Z46814" i="5"/>
  <c r="Z46813" i="5"/>
  <c r="Z46812" i="5"/>
  <c r="Z46811" i="5"/>
  <c r="Z46810" i="5"/>
  <c r="Z46809" i="5"/>
  <c r="Z46808" i="5"/>
  <c r="Z46807" i="5"/>
  <c r="Z46806" i="5"/>
  <c r="Z46805" i="5"/>
  <c r="Z46804" i="5"/>
  <c r="Z46803" i="5"/>
  <c r="Z46802" i="5"/>
  <c r="Z46801" i="5"/>
  <c r="Z46800" i="5"/>
  <c r="Z46799" i="5"/>
  <c r="Z46798" i="5"/>
  <c r="Z46797" i="5"/>
  <c r="Z46796" i="5"/>
  <c r="Z46795" i="5"/>
  <c r="Z46794" i="5"/>
  <c r="Z46793" i="5"/>
  <c r="Z46792" i="5"/>
  <c r="Z46791" i="5"/>
  <c r="Z46790" i="5"/>
  <c r="Z46789" i="5"/>
  <c r="Z46788" i="5"/>
  <c r="Z46787" i="5"/>
  <c r="Z46786" i="5"/>
  <c r="Z46785" i="5"/>
  <c r="Z46784" i="5"/>
  <c r="Z46783" i="5"/>
  <c r="Z46782" i="5"/>
  <c r="Z46781" i="5"/>
  <c r="Z46780" i="5"/>
  <c r="Z46779" i="5"/>
  <c r="Z46778" i="5"/>
  <c r="Z46777" i="5"/>
  <c r="Z46776" i="5"/>
  <c r="Z46775" i="5"/>
  <c r="Z46774" i="5"/>
  <c r="Z46773" i="5"/>
  <c r="Z46772" i="5"/>
  <c r="Z46771" i="5"/>
  <c r="Z46770" i="5"/>
  <c r="Z46769" i="5"/>
  <c r="Z46768" i="5"/>
  <c r="Z46767" i="5"/>
  <c r="Z46766" i="5"/>
  <c r="Z46765" i="5"/>
  <c r="Z46764" i="5"/>
  <c r="Z46763" i="5"/>
  <c r="Z46762" i="5"/>
  <c r="Z46761" i="5"/>
  <c r="Z46760" i="5"/>
  <c r="Z46759" i="5"/>
  <c r="Z46758" i="5"/>
  <c r="Z46757" i="5"/>
  <c r="Z46756" i="5"/>
  <c r="Z46755" i="5"/>
  <c r="Z46754" i="5"/>
  <c r="Z46753" i="5"/>
  <c r="Z46752" i="5"/>
  <c r="Z46751" i="5"/>
  <c r="Z46750" i="5"/>
  <c r="Z46749" i="5"/>
  <c r="Z46748" i="5"/>
  <c r="Z46747" i="5"/>
  <c r="Z46746" i="5"/>
  <c r="Z46745" i="5"/>
  <c r="Z46744" i="5"/>
  <c r="Z46743" i="5"/>
  <c r="Z46742" i="5"/>
  <c r="Z46741" i="5"/>
  <c r="Z46740" i="5"/>
  <c r="Z46739" i="5"/>
  <c r="Z46738" i="5"/>
  <c r="Z46737" i="5"/>
  <c r="Z46736" i="5"/>
  <c r="Z46735" i="5"/>
  <c r="Z46734" i="5"/>
  <c r="Z46733" i="5"/>
  <c r="Z46732" i="5"/>
  <c r="Z46731" i="5"/>
  <c r="Z46730" i="5"/>
  <c r="Z46729" i="5"/>
  <c r="Z46728" i="5"/>
  <c r="Z46727" i="5"/>
  <c r="Z46726" i="5"/>
  <c r="Z46725" i="5"/>
  <c r="Z46724" i="5"/>
  <c r="Z46723" i="5"/>
  <c r="Z46722" i="5"/>
  <c r="Z46721" i="5"/>
  <c r="Z46720" i="5"/>
  <c r="Z46719" i="5"/>
  <c r="Z46718" i="5"/>
  <c r="Z46717" i="5"/>
  <c r="Z46716" i="5"/>
  <c r="Z46715" i="5"/>
  <c r="Z46714" i="5"/>
  <c r="Z46713" i="5"/>
  <c r="Z46712" i="5"/>
  <c r="Z46711" i="5"/>
  <c r="Z46710" i="5"/>
  <c r="Z46709" i="5"/>
  <c r="Z46708" i="5"/>
  <c r="Z46707" i="5"/>
  <c r="Z46706" i="5"/>
  <c r="Z46705" i="5"/>
  <c r="Z46704" i="5"/>
  <c r="Z46703" i="5"/>
  <c r="Z46702" i="5"/>
  <c r="Z46701" i="5"/>
  <c r="Z46700" i="5"/>
  <c r="Z46699" i="5"/>
  <c r="Z46698" i="5"/>
  <c r="Z46697" i="5"/>
  <c r="Z46696" i="5"/>
  <c r="Z46695" i="5"/>
  <c r="Z46694" i="5"/>
  <c r="Z46693" i="5"/>
  <c r="Z46692" i="5"/>
  <c r="Z46691" i="5"/>
  <c r="Z46690" i="5"/>
  <c r="Z46689" i="5"/>
  <c r="Z46688" i="5"/>
  <c r="Z46687" i="5"/>
  <c r="Z46686" i="5"/>
  <c r="Z46685" i="5"/>
  <c r="Z46684" i="5"/>
  <c r="Z46683" i="5"/>
  <c r="Z46682" i="5"/>
  <c r="Z46681" i="5"/>
  <c r="Z46680" i="5"/>
  <c r="Z46679" i="5"/>
  <c r="Z46678" i="5"/>
  <c r="Z46677" i="5"/>
  <c r="Z46676" i="5"/>
  <c r="Z46675" i="5"/>
  <c r="Z46674" i="5"/>
  <c r="Z46673" i="5"/>
  <c r="Z46672" i="5"/>
  <c r="Z46671" i="5"/>
  <c r="Z46670" i="5"/>
  <c r="Z46669" i="5"/>
  <c r="Z46668" i="5"/>
  <c r="Z46667" i="5"/>
  <c r="Z46666" i="5"/>
  <c r="Z46665" i="5"/>
  <c r="Z46664" i="5"/>
  <c r="Z46663" i="5"/>
  <c r="Z46662" i="5"/>
  <c r="Z46661" i="5"/>
  <c r="Z46660" i="5"/>
  <c r="Z46659" i="5"/>
  <c r="Z46658" i="5"/>
  <c r="Z46657" i="5"/>
  <c r="Z46656" i="5"/>
  <c r="Z46655" i="5"/>
  <c r="Z46654" i="5"/>
  <c r="Z46653" i="5"/>
  <c r="Z46652" i="5"/>
  <c r="Z46651" i="5"/>
  <c r="Z46650" i="5"/>
  <c r="Z46649" i="5"/>
  <c r="Z46648" i="5"/>
  <c r="Z46647" i="5"/>
  <c r="Z46646" i="5"/>
  <c r="Z46645" i="5"/>
  <c r="Z46644" i="5"/>
  <c r="Z46643" i="5"/>
  <c r="Z46642" i="5"/>
  <c r="Z46641" i="5"/>
  <c r="Z46640" i="5"/>
  <c r="Z46639" i="5"/>
  <c r="Z46638" i="5"/>
  <c r="Z46637" i="5"/>
  <c r="Z46636" i="5"/>
  <c r="Z46635" i="5"/>
  <c r="Z46634" i="5"/>
  <c r="Z46633" i="5"/>
  <c r="Z46632" i="5"/>
  <c r="Z46631" i="5"/>
  <c r="Z46630" i="5"/>
  <c r="Z46629" i="5"/>
  <c r="Z46628" i="5"/>
  <c r="Z46627" i="5"/>
  <c r="Z46626" i="5"/>
  <c r="Z46625" i="5"/>
  <c r="Z46624" i="5"/>
  <c r="Z46623" i="5"/>
  <c r="Z46622" i="5"/>
  <c r="Z46621" i="5"/>
  <c r="Z46620" i="5"/>
  <c r="Z46619" i="5"/>
  <c r="Z46618" i="5"/>
  <c r="Z46617" i="5"/>
  <c r="Z46616" i="5"/>
  <c r="Z46615" i="5"/>
  <c r="Z46614" i="5"/>
  <c r="Z46613" i="5"/>
  <c r="Z46612" i="5"/>
  <c r="Z46611" i="5"/>
  <c r="Z46610" i="5"/>
  <c r="Z46609" i="5"/>
  <c r="Z46608" i="5"/>
  <c r="Z46607" i="5"/>
  <c r="Z46606" i="5"/>
  <c r="Z46605" i="5"/>
  <c r="Z46604" i="5"/>
  <c r="Z46603" i="5"/>
  <c r="Z46602" i="5"/>
  <c r="Z46601" i="5"/>
  <c r="Z46600" i="5"/>
  <c r="Z46599" i="5"/>
  <c r="Z46598" i="5"/>
  <c r="Z46597" i="5"/>
  <c r="Z46596" i="5"/>
  <c r="Z46595" i="5"/>
  <c r="Z46594" i="5"/>
  <c r="Z46593" i="5"/>
  <c r="Z46592" i="5"/>
  <c r="Z46591" i="5"/>
  <c r="Z46590" i="5"/>
  <c r="Z46589" i="5"/>
  <c r="Z46588" i="5"/>
  <c r="Z46587" i="5"/>
  <c r="Z46586" i="5"/>
  <c r="Z46585" i="5"/>
  <c r="Z46584" i="5"/>
  <c r="Z46583" i="5"/>
  <c r="Z46582" i="5"/>
  <c r="Z46581" i="5"/>
  <c r="Z46580" i="5"/>
  <c r="Z46579" i="5"/>
  <c r="Z46578" i="5"/>
  <c r="Z46577" i="5"/>
  <c r="Z46576" i="5"/>
  <c r="Z46575" i="5"/>
  <c r="Z46574" i="5"/>
  <c r="Z46573" i="5"/>
  <c r="Z46572" i="5"/>
  <c r="Z46571" i="5"/>
  <c r="Z46570" i="5"/>
  <c r="Z46569" i="5"/>
  <c r="Z46568" i="5"/>
  <c r="Z46567" i="5"/>
  <c r="Z46566" i="5"/>
  <c r="Z46565" i="5"/>
  <c r="Z46564" i="5"/>
  <c r="Z46563" i="5"/>
  <c r="Z46562" i="5"/>
  <c r="Z46561" i="5"/>
  <c r="Z46560" i="5"/>
  <c r="Z46559" i="5"/>
  <c r="Z46558" i="5"/>
  <c r="Z46557" i="5"/>
  <c r="Z46556" i="5"/>
  <c r="Z46555" i="5"/>
  <c r="Z46554" i="5"/>
  <c r="Z46553" i="5"/>
  <c r="Z46552" i="5"/>
  <c r="Z46551" i="5"/>
  <c r="Z46550" i="5"/>
  <c r="Z46549" i="5"/>
  <c r="Z46548" i="5"/>
  <c r="Z46547" i="5"/>
  <c r="Z46546" i="5"/>
  <c r="Z46545" i="5"/>
  <c r="Z46544" i="5"/>
  <c r="Z46543" i="5"/>
  <c r="Z46542" i="5"/>
  <c r="Z46541" i="5"/>
  <c r="Z46540" i="5"/>
  <c r="Z46539" i="5"/>
  <c r="Z46538" i="5"/>
  <c r="Z46537" i="5"/>
  <c r="Z46536" i="5"/>
  <c r="Z46535" i="5"/>
  <c r="Z46534" i="5"/>
  <c r="Z46533" i="5"/>
  <c r="Z46532" i="5"/>
  <c r="Z46531" i="5"/>
  <c r="Z46530" i="5"/>
  <c r="Z46529" i="5"/>
  <c r="Z46528" i="5"/>
  <c r="Z46527" i="5"/>
  <c r="Z46526" i="5"/>
  <c r="Z46525" i="5"/>
  <c r="Z46524" i="5"/>
  <c r="Z46523" i="5"/>
  <c r="Z46522" i="5"/>
  <c r="Z46521" i="5"/>
  <c r="Z46520" i="5"/>
  <c r="Z46519" i="5"/>
  <c r="Z46518" i="5"/>
  <c r="Z46517" i="5"/>
  <c r="Z46516" i="5"/>
  <c r="Z46515" i="5"/>
  <c r="Z46514" i="5"/>
  <c r="Z46513" i="5"/>
  <c r="Z46512" i="5"/>
  <c r="Z46511" i="5"/>
  <c r="Z46510" i="5"/>
  <c r="Z46509" i="5"/>
  <c r="Z46508" i="5"/>
  <c r="Z46507" i="5"/>
  <c r="Z46506" i="5"/>
  <c r="Z46505" i="5"/>
  <c r="Z46504" i="5"/>
  <c r="Z46503" i="5"/>
  <c r="Z46502" i="5"/>
  <c r="Z46501" i="5"/>
  <c r="Z46500" i="5"/>
  <c r="Z46499" i="5"/>
  <c r="Z46498" i="5"/>
  <c r="Z46497" i="5"/>
  <c r="Z46496" i="5"/>
  <c r="Z46495" i="5"/>
  <c r="Z46494" i="5"/>
  <c r="Z46493" i="5"/>
  <c r="Z46492" i="5"/>
  <c r="Z46491" i="5"/>
  <c r="Z46490" i="5"/>
  <c r="Z46489" i="5"/>
  <c r="Z46488" i="5"/>
  <c r="Z46487" i="5"/>
  <c r="Z46486" i="5"/>
  <c r="Z46485" i="5"/>
  <c r="Z46484" i="5"/>
  <c r="Z46483" i="5"/>
  <c r="Z46482" i="5"/>
  <c r="Z46481" i="5"/>
  <c r="Z46480" i="5"/>
  <c r="Z46479" i="5"/>
  <c r="Z46478" i="5"/>
  <c r="Z46477" i="5"/>
  <c r="Z46476" i="5"/>
  <c r="Z46475" i="5"/>
  <c r="Z46474" i="5"/>
  <c r="Z46473" i="5"/>
  <c r="Z46472" i="5"/>
  <c r="Z46471" i="5"/>
  <c r="Z46470" i="5"/>
  <c r="Z46469" i="5"/>
  <c r="Z46468" i="5"/>
  <c r="Z46467" i="5"/>
  <c r="Z46466" i="5"/>
  <c r="Z46465" i="5"/>
  <c r="Z46464" i="5"/>
  <c r="Z46463" i="5"/>
  <c r="Z46462" i="5"/>
  <c r="Z46461" i="5"/>
  <c r="Z46460" i="5"/>
  <c r="Z46459" i="5"/>
  <c r="Z46458" i="5"/>
  <c r="Z46457" i="5"/>
  <c r="Z46456" i="5"/>
  <c r="Z46455" i="5"/>
  <c r="Z46454" i="5"/>
  <c r="Z46453" i="5"/>
  <c r="Z46452" i="5"/>
  <c r="Z46451" i="5"/>
  <c r="Z46450" i="5"/>
  <c r="Z46449" i="5"/>
  <c r="Z46448" i="5"/>
  <c r="Z46447" i="5"/>
  <c r="Z46446" i="5"/>
  <c r="Z46445" i="5"/>
  <c r="Z46444" i="5"/>
  <c r="Z46443" i="5"/>
  <c r="Z46442" i="5"/>
  <c r="Z46441" i="5"/>
  <c r="Z46440" i="5"/>
  <c r="Z46439" i="5"/>
  <c r="Z46438" i="5"/>
  <c r="Z46437" i="5"/>
  <c r="Z46436" i="5"/>
  <c r="Z46435" i="5"/>
  <c r="Z46434" i="5"/>
  <c r="Z46433" i="5"/>
  <c r="Z46432" i="5"/>
  <c r="Z46431" i="5"/>
  <c r="Z46430" i="5"/>
  <c r="Z46429" i="5"/>
  <c r="Z46428" i="5"/>
  <c r="Z46427" i="5"/>
  <c r="Z46426" i="5"/>
  <c r="Z46425" i="5"/>
  <c r="Z46424" i="5"/>
  <c r="Z46423" i="5"/>
  <c r="Z46422" i="5"/>
  <c r="Z46421" i="5"/>
  <c r="Z46420" i="5"/>
  <c r="Z46419" i="5"/>
  <c r="Z46418" i="5"/>
  <c r="Z46417" i="5"/>
  <c r="Z46416" i="5"/>
  <c r="Z46415" i="5"/>
  <c r="Z46414" i="5"/>
  <c r="Z46413" i="5"/>
  <c r="Z46412" i="5"/>
  <c r="Z46411" i="5"/>
  <c r="Z46410" i="5"/>
  <c r="Z46409" i="5"/>
  <c r="Z46408" i="5"/>
  <c r="Z46407" i="5"/>
  <c r="Z46406" i="5"/>
  <c r="Z46405" i="5"/>
  <c r="Z46404" i="5"/>
  <c r="Z46403" i="5"/>
  <c r="Z46402" i="5"/>
  <c r="Z46401" i="5"/>
  <c r="Z46400" i="5"/>
  <c r="Z46399" i="5"/>
  <c r="Z46398" i="5"/>
  <c r="Z46397" i="5"/>
  <c r="Z46396" i="5"/>
  <c r="Z46395" i="5"/>
  <c r="Z46394" i="5"/>
  <c r="Z46393" i="5"/>
  <c r="Z46392" i="5"/>
  <c r="Z46391" i="5"/>
  <c r="Z46390" i="5"/>
  <c r="Z46389" i="5"/>
  <c r="Z46388" i="5"/>
  <c r="Z46387" i="5"/>
  <c r="Z46386" i="5"/>
  <c r="Z46385" i="5"/>
  <c r="Z46384" i="5"/>
  <c r="Z46383" i="5"/>
  <c r="Z46382" i="5"/>
  <c r="Z46381" i="5"/>
  <c r="Z46380" i="5"/>
  <c r="Z46379" i="5"/>
  <c r="Z46378" i="5"/>
  <c r="Z46377" i="5"/>
  <c r="Z46376" i="5"/>
  <c r="Z46375" i="5"/>
  <c r="Z46374" i="5"/>
  <c r="Z46373" i="5"/>
  <c r="Z46372" i="5"/>
  <c r="Z46371" i="5"/>
  <c r="Z46370" i="5"/>
  <c r="Z46369" i="5"/>
  <c r="Z46368" i="5"/>
  <c r="Z46367" i="5"/>
  <c r="Z46366" i="5"/>
  <c r="Z46365" i="5"/>
  <c r="Z46364" i="5"/>
  <c r="Z46363" i="5"/>
  <c r="Z46362" i="5"/>
  <c r="Z46361" i="5"/>
  <c r="Z46360" i="5"/>
  <c r="Z46359" i="5"/>
  <c r="Z46358" i="5"/>
  <c r="Z46357" i="5"/>
  <c r="Z46356" i="5"/>
  <c r="Z46355" i="5"/>
  <c r="Z46354" i="5"/>
  <c r="Z46353" i="5"/>
  <c r="Z46352" i="5"/>
  <c r="Z46351" i="5"/>
  <c r="Z46350" i="5"/>
  <c r="Z46349" i="5"/>
  <c r="Z46348" i="5"/>
  <c r="Z46347" i="5"/>
  <c r="Z46346" i="5"/>
  <c r="Z46345" i="5"/>
  <c r="Z46344" i="5"/>
  <c r="Z46343" i="5"/>
  <c r="Z46342" i="5"/>
  <c r="Z46341" i="5"/>
  <c r="Z46340" i="5"/>
  <c r="Z46339" i="5"/>
  <c r="Z46338" i="5"/>
  <c r="Z46337" i="5"/>
  <c r="Z46336" i="5"/>
  <c r="Z46335" i="5"/>
  <c r="Z46334" i="5"/>
  <c r="Z46333" i="5"/>
  <c r="Z46332" i="5"/>
  <c r="Z46331" i="5"/>
  <c r="Z46330" i="5"/>
  <c r="Z46329" i="5"/>
  <c r="Z46328" i="5"/>
  <c r="Z46327" i="5"/>
  <c r="Z46326" i="5"/>
  <c r="Z46325" i="5"/>
  <c r="Z46324" i="5"/>
  <c r="Z46323" i="5"/>
  <c r="Z46322" i="5"/>
  <c r="Z46321" i="5"/>
  <c r="Z46320" i="5"/>
  <c r="Z46319" i="5"/>
  <c r="Z46318" i="5"/>
  <c r="Z46317" i="5"/>
  <c r="Z46316" i="5"/>
  <c r="Z46315" i="5"/>
  <c r="Z46314" i="5"/>
  <c r="Z46313" i="5"/>
  <c r="Z46312" i="5"/>
  <c r="Z46311" i="5"/>
  <c r="Z46310" i="5"/>
  <c r="Z46309" i="5"/>
  <c r="Z46308" i="5"/>
  <c r="Z46307" i="5"/>
  <c r="Z46306" i="5"/>
  <c r="Z46305" i="5"/>
  <c r="Z46304" i="5"/>
  <c r="Z46303" i="5"/>
  <c r="Z46302" i="5"/>
  <c r="Z46301" i="5"/>
  <c r="Z46300" i="5"/>
  <c r="Z46299" i="5"/>
  <c r="Z46298" i="5"/>
  <c r="Z46297" i="5"/>
  <c r="Z46296" i="5"/>
  <c r="Z46295" i="5"/>
  <c r="Z46294" i="5"/>
  <c r="Z46293" i="5"/>
  <c r="Z46292" i="5"/>
  <c r="Z46291" i="5"/>
  <c r="Z46290" i="5"/>
  <c r="Z46289" i="5"/>
  <c r="Z46288" i="5"/>
  <c r="Z46287" i="5"/>
  <c r="Z46286" i="5"/>
  <c r="Z46285" i="5"/>
  <c r="Z46284" i="5"/>
  <c r="Z46283" i="5"/>
  <c r="Z46282" i="5"/>
  <c r="Z46281" i="5"/>
  <c r="Z46280" i="5"/>
  <c r="Z46279" i="5"/>
  <c r="Z46278" i="5"/>
  <c r="Z46277" i="5"/>
  <c r="Z46276" i="5"/>
  <c r="Z46275" i="5"/>
  <c r="Z46274" i="5"/>
  <c r="Z46273" i="5"/>
  <c r="Z46272" i="5"/>
  <c r="Z46271" i="5"/>
  <c r="Z46270" i="5"/>
  <c r="Z46269" i="5"/>
  <c r="Z46268" i="5"/>
  <c r="Z46267" i="5"/>
  <c r="Z46266" i="5"/>
  <c r="Z46265" i="5"/>
  <c r="Z46264" i="5"/>
  <c r="Z46263" i="5"/>
  <c r="Z46262" i="5"/>
  <c r="Z46261" i="5"/>
  <c r="Z46260" i="5"/>
  <c r="Z46259" i="5"/>
  <c r="Z46258" i="5"/>
  <c r="Z46257" i="5"/>
  <c r="Z46256" i="5"/>
  <c r="Z46255" i="5"/>
  <c r="Z46254" i="5"/>
  <c r="Z46253" i="5"/>
  <c r="Z46252" i="5"/>
  <c r="Z46251" i="5"/>
  <c r="Z46250" i="5"/>
  <c r="Z46249" i="5"/>
  <c r="Z46248" i="5"/>
  <c r="Z46247" i="5"/>
  <c r="Z46246" i="5"/>
  <c r="Z46245" i="5"/>
  <c r="Z46244" i="5"/>
  <c r="Z46243" i="5"/>
  <c r="Z46242" i="5"/>
  <c r="Z46241" i="5"/>
  <c r="Z46240" i="5"/>
  <c r="Z46239" i="5"/>
  <c r="Z46238" i="5"/>
  <c r="Z46237" i="5"/>
  <c r="Z46236" i="5"/>
  <c r="Z46235" i="5"/>
  <c r="Z46234" i="5"/>
  <c r="Z46233" i="5"/>
  <c r="Z46232" i="5"/>
  <c r="Z46231" i="5"/>
  <c r="Z46230" i="5"/>
  <c r="Z46229" i="5"/>
  <c r="Z46228" i="5"/>
  <c r="Z46227" i="5"/>
  <c r="Z46226" i="5"/>
  <c r="Z46225" i="5"/>
  <c r="Z46224" i="5"/>
  <c r="Z46223" i="5"/>
  <c r="Z46222" i="5"/>
  <c r="Z46221" i="5"/>
  <c r="Z46220" i="5"/>
  <c r="Z46219" i="5"/>
  <c r="Z46218" i="5"/>
  <c r="Z46217" i="5"/>
  <c r="Z46216" i="5"/>
  <c r="Z46215" i="5"/>
  <c r="Z46214" i="5"/>
  <c r="Z46213" i="5"/>
  <c r="Z46212" i="5"/>
  <c r="Z46211" i="5"/>
  <c r="Z46210" i="5"/>
  <c r="Z46209" i="5"/>
  <c r="Z46208" i="5"/>
  <c r="Z46207" i="5"/>
  <c r="Z46206" i="5"/>
  <c r="Z46205" i="5"/>
  <c r="Z46204" i="5"/>
  <c r="Z46203" i="5"/>
  <c r="Z46202" i="5"/>
  <c r="Z46201" i="5"/>
  <c r="Z46200" i="5"/>
  <c r="Z46199" i="5"/>
  <c r="Z46198" i="5"/>
  <c r="Z46197" i="5"/>
  <c r="Z46196" i="5"/>
  <c r="Z46195" i="5"/>
  <c r="Z46194" i="5"/>
  <c r="Z46193" i="5"/>
  <c r="Z46192" i="5"/>
  <c r="Z46191" i="5"/>
  <c r="Z46190" i="5"/>
  <c r="Z46189" i="5"/>
  <c r="Z46188" i="5"/>
  <c r="Z46187" i="5"/>
  <c r="Z46186" i="5"/>
  <c r="Z46185" i="5"/>
  <c r="Z46184" i="5"/>
  <c r="Z46183" i="5"/>
  <c r="Z46182" i="5"/>
  <c r="Z46181" i="5"/>
  <c r="Z46180" i="5"/>
  <c r="Z46179" i="5"/>
  <c r="Z46178" i="5"/>
  <c r="Z46177" i="5"/>
  <c r="Z46176" i="5"/>
  <c r="Z46175" i="5"/>
  <c r="Z46174" i="5"/>
  <c r="Z46173" i="5"/>
  <c r="Z46172" i="5"/>
  <c r="Z46171" i="5"/>
  <c r="Z46170" i="5"/>
  <c r="Z46169" i="5"/>
  <c r="Z46168" i="5"/>
  <c r="Z46167" i="5"/>
  <c r="Z46166" i="5"/>
  <c r="Z46165" i="5"/>
  <c r="Z46164" i="5"/>
  <c r="Z46163" i="5"/>
  <c r="Z46162" i="5"/>
  <c r="Z46161" i="5"/>
  <c r="Z46160" i="5"/>
  <c r="Z46159" i="5"/>
  <c r="Z46158" i="5"/>
  <c r="Z46157" i="5"/>
  <c r="Z46156" i="5"/>
  <c r="Z46155" i="5"/>
  <c r="Z46154" i="5"/>
  <c r="Z46153" i="5"/>
  <c r="Z46152" i="5"/>
  <c r="Z46151" i="5"/>
  <c r="Z46150" i="5"/>
  <c r="Z46149" i="5"/>
  <c r="Z46148" i="5"/>
  <c r="Z46147" i="5"/>
  <c r="Z46146" i="5"/>
  <c r="Z46145" i="5"/>
  <c r="Z46144" i="5"/>
  <c r="Z46143" i="5"/>
  <c r="Z46142" i="5"/>
  <c r="Z46141" i="5"/>
  <c r="Z46140" i="5"/>
  <c r="Z46139" i="5"/>
  <c r="Z46138" i="5"/>
  <c r="Z46137" i="5"/>
  <c r="Z46136" i="5"/>
  <c r="Z46135" i="5"/>
  <c r="Z46134" i="5"/>
  <c r="Z46133" i="5"/>
  <c r="Z46132" i="5"/>
  <c r="Z46131" i="5"/>
  <c r="Z46130" i="5"/>
  <c r="Z46129" i="5"/>
  <c r="Z46128" i="5"/>
  <c r="Z46127" i="5"/>
  <c r="Z46126" i="5"/>
  <c r="Z46125" i="5"/>
  <c r="Z46124" i="5"/>
  <c r="Z46123" i="5"/>
  <c r="Z46122" i="5"/>
  <c r="Z46121" i="5"/>
  <c r="Z46120" i="5"/>
  <c r="Z46119" i="5"/>
  <c r="Z46118" i="5"/>
  <c r="Z46117" i="5"/>
  <c r="Z46116" i="5"/>
  <c r="Z46115" i="5"/>
  <c r="Z46114" i="5"/>
  <c r="Z46113" i="5"/>
  <c r="Z46112" i="5"/>
  <c r="Z46111" i="5"/>
  <c r="Z46110" i="5"/>
  <c r="Z46109" i="5"/>
  <c r="Z46108" i="5"/>
  <c r="Z46107" i="5"/>
  <c r="Z46106" i="5"/>
  <c r="Z46105" i="5"/>
  <c r="Z46104" i="5"/>
  <c r="Z46103" i="5"/>
  <c r="Z46102" i="5"/>
  <c r="Z46101" i="5"/>
  <c r="Z46100" i="5"/>
  <c r="Z46099" i="5"/>
  <c r="Z46098" i="5"/>
  <c r="Z46097" i="5"/>
  <c r="Z46096" i="5"/>
  <c r="Z46095" i="5"/>
  <c r="Z46094" i="5"/>
  <c r="Z46093" i="5"/>
  <c r="Z46092" i="5"/>
  <c r="Z46091" i="5"/>
  <c r="Z46090" i="5"/>
  <c r="Z46089" i="5"/>
  <c r="Z46088" i="5"/>
  <c r="Z46087" i="5"/>
  <c r="Z46086" i="5"/>
  <c r="Z46085" i="5"/>
  <c r="Z46084" i="5"/>
  <c r="Z46083" i="5"/>
  <c r="Z46082" i="5"/>
  <c r="Z46081" i="5"/>
  <c r="Z46080" i="5"/>
  <c r="Z46079" i="5"/>
  <c r="Z46078" i="5"/>
  <c r="Z46077" i="5"/>
  <c r="Z46076" i="5"/>
  <c r="Z46075" i="5"/>
  <c r="Z46074" i="5"/>
  <c r="Z46073" i="5"/>
  <c r="Z46072" i="5"/>
  <c r="Z46071" i="5"/>
  <c r="Z46070" i="5"/>
  <c r="Z46069" i="5"/>
  <c r="Z46068" i="5"/>
  <c r="Z46067" i="5"/>
  <c r="Z46066" i="5"/>
  <c r="Z46065" i="5"/>
  <c r="Z46064" i="5"/>
  <c r="Z46063" i="5"/>
  <c r="Z46062" i="5"/>
  <c r="Z46061" i="5"/>
  <c r="Z46060" i="5"/>
  <c r="Z46059" i="5"/>
  <c r="Z46058" i="5"/>
  <c r="Z46057" i="5"/>
  <c r="Z46056" i="5"/>
  <c r="Z46055" i="5"/>
  <c r="Z46054" i="5"/>
  <c r="Z46053" i="5"/>
  <c r="Z46052" i="5"/>
  <c r="Z46051" i="5"/>
  <c r="Z46050" i="5"/>
  <c r="Z46049" i="5"/>
  <c r="Z46048" i="5"/>
  <c r="Z46047" i="5"/>
  <c r="Z46046" i="5"/>
  <c r="Z46045" i="5"/>
  <c r="Z46044" i="5"/>
  <c r="Z46043" i="5"/>
  <c r="Z46042" i="5"/>
  <c r="Z46041" i="5"/>
  <c r="Z46040" i="5"/>
  <c r="Z46039" i="5"/>
  <c r="Z46038" i="5"/>
  <c r="Z46037" i="5"/>
  <c r="Z46036" i="5"/>
  <c r="Z46035" i="5"/>
  <c r="Z46034" i="5"/>
  <c r="Z46033" i="5"/>
  <c r="Z46032" i="5"/>
  <c r="Z46031" i="5"/>
  <c r="Z46030" i="5"/>
  <c r="Z46029" i="5"/>
  <c r="Z46028" i="5"/>
  <c r="Z46027" i="5"/>
  <c r="Z46026" i="5"/>
  <c r="Z46025" i="5"/>
  <c r="Z46024" i="5"/>
  <c r="Z46023" i="5"/>
  <c r="Z46022" i="5"/>
  <c r="Z46021" i="5"/>
  <c r="Z46020" i="5"/>
  <c r="Z46019" i="5"/>
  <c r="Z46018" i="5"/>
  <c r="Z46017" i="5"/>
  <c r="Z46016" i="5"/>
  <c r="Z46015" i="5"/>
  <c r="Z46014" i="5"/>
  <c r="Z46013" i="5"/>
  <c r="Z46012" i="5"/>
  <c r="Z46011" i="5"/>
  <c r="Z46010" i="5"/>
  <c r="Z46009" i="5"/>
  <c r="Z46008" i="5"/>
  <c r="Z46007" i="5"/>
  <c r="Z46006" i="5"/>
  <c r="Z46005" i="5"/>
  <c r="Z46004" i="5"/>
  <c r="Z46003" i="5"/>
  <c r="Z46002" i="5"/>
  <c r="Z46001" i="5"/>
  <c r="Z46000" i="5"/>
  <c r="Z45999" i="5"/>
  <c r="Z45998" i="5"/>
  <c r="Z45997" i="5"/>
  <c r="Z45996" i="5"/>
  <c r="Z45995" i="5"/>
  <c r="Z45994" i="5"/>
  <c r="Z45993" i="5"/>
  <c r="Z45992" i="5"/>
  <c r="Z45991" i="5"/>
  <c r="Z45990" i="5"/>
  <c r="Z45989" i="5"/>
  <c r="Z45988" i="5"/>
  <c r="Z45987" i="5"/>
  <c r="Z45986" i="5"/>
  <c r="Z45985" i="5"/>
  <c r="Z45984" i="5"/>
  <c r="Z45983" i="5"/>
  <c r="Z45982" i="5"/>
  <c r="Z45981" i="5"/>
  <c r="Z45980" i="5"/>
  <c r="Z45979" i="5"/>
  <c r="Z45978" i="5"/>
  <c r="Z45977" i="5"/>
  <c r="Z45976" i="5"/>
  <c r="Z45975" i="5"/>
  <c r="Z45974" i="5"/>
  <c r="Z45973" i="5"/>
  <c r="Z45972" i="5"/>
  <c r="Z45971" i="5"/>
  <c r="Z45970" i="5"/>
  <c r="Z45969" i="5"/>
  <c r="Z45968" i="5"/>
  <c r="Z45967" i="5"/>
  <c r="Z45966" i="5"/>
  <c r="Z45965" i="5"/>
  <c r="Z45964" i="5"/>
  <c r="Z45963" i="5"/>
  <c r="Z45962" i="5"/>
  <c r="Z45961" i="5"/>
  <c r="Z45960" i="5"/>
  <c r="Z45959" i="5"/>
  <c r="Z45958" i="5"/>
  <c r="Z45957" i="5"/>
  <c r="Z45956" i="5"/>
  <c r="Z45955" i="5"/>
  <c r="Z45954" i="5"/>
  <c r="Z45953" i="5"/>
  <c r="Z45952" i="5"/>
  <c r="Z45951" i="5"/>
  <c r="Z45950" i="5"/>
  <c r="Z45949" i="5"/>
  <c r="Z45948" i="5"/>
  <c r="Z45947" i="5"/>
  <c r="Z45946" i="5"/>
  <c r="Z45945" i="5"/>
  <c r="Z45944" i="5"/>
  <c r="Z45943" i="5"/>
  <c r="Z45942" i="5"/>
  <c r="Z45941" i="5"/>
  <c r="Z45940" i="5"/>
  <c r="Z45939" i="5"/>
  <c r="Z45938" i="5"/>
  <c r="Z45937" i="5"/>
  <c r="Z45936" i="5"/>
  <c r="Z45935" i="5"/>
  <c r="Z45934" i="5"/>
  <c r="Z45933" i="5"/>
  <c r="Z45932" i="5"/>
  <c r="Z45931" i="5"/>
  <c r="Z45930" i="5"/>
  <c r="Z45929" i="5"/>
  <c r="Z45928" i="5"/>
  <c r="Z45927" i="5"/>
  <c r="Z45926" i="5"/>
  <c r="Z45925" i="5"/>
  <c r="Z45924" i="5"/>
  <c r="Z45923" i="5"/>
  <c r="Z45922" i="5"/>
  <c r="Z45921" i="5"/>
  <c r="Z45920" i="5"/>
  <c r="Z45919" i="5"/>
  <c r="Z45918" i="5"/>
  <c r="Z45917" i="5"/>
  <c r="Z45916" i="5"/>
  <c r="Z45915" i="5"/>
  <c r="Z45914" i="5"/>
  <c r="Z45913" i="5"/>
  <c r="Z45912" i="5"/>
  <c r="Z45911" i="5"/>
  <c r="Z45910" i="5"/>
  <c r="Z45909" i="5"/>
  <c r="Z45908" i="5"/>
  <c r="Z45907" i="5"/>
  <c r="Z45906" i="5"/>
  <c r="Z45905" i="5"/>
  <c r="Z45904" i="5"/>
  <c r="Z45903" i="5"/>
  <c r="Z45902" i="5"/>
  <c r="Z45901" i="5"/>
  <c r="Z45900" i="5"/>
  <c r="Z45899" i="5"/>
  <c r="Z45898" i="5"/>
  <c r="Z45897" i="5"/>
  <c r="Z45896" i="5"/>
  <c r="Z45895" i="5"/>
  <c r="Z45894" i="5"/>
  <c r="Z45893" i="5"/>
  <c r="Z45892" i="5"/>
  <c r="Z45891" i="5"/>
  <c r="Z45890" i="5"/>
  <c r="Z45889" i="5"/>
  <c r="Z45888" i="5"/>
  <c r="Z45887" i="5"/>
  <c r="Z45886" i="5"/>
  <c r="Z45885" i="5"/>
  <c r="Z45884" i="5"/>
  <c r="Z45883" i="5"/>
  <c r="Z45882" i="5"/>
  <c r="Z45881" i="5"/>
  <c r="Z45880" i="5"/>
  <c r="Z45879" i="5"/>
  <c r="Z45878" i="5"/>
  <c r="Z45877" i="5"/>
  <c r="Z45876" i="5"/>
  <c r="Z45875" i="5"/>
  <c r="Z45874" i="5"/>
  <c r="Z45873" i="5"/>
  <c r="Z45872" i="5"/>
  <c r="Z45871" i="5"/>
  <c r="Z45870" i="5"/>
  <c r="Z45869" i="5"/>
  <c r="Z45868" i="5"/>
  <c r="Z45867" i="5"/>
  <c r="Z45866" i="5"/>
  <c r="Z45865" i="5"/>
  <c r="Z45864" i="5"/>
  <c r="Z45863" i="5"/>
  <c r="Z45862" i="5"/>
  <c r="Z45861" i="5"/>
  <c r="Z45860" i="5"/>
  <c r="Z45859" i="5"/>
  <c r="Z45858" i="5"/>
  <c r="Z45857" i="5"/>
  <c r="Z45856" i="5"/>
  <c r="Z45855" i="5"/>
  <c r="Z45854" i="5"/>
  <c r="Z45853" i="5"/>
  <c r="Z45852" i="5"/>
  <c r="Z45851" i="5"/>
  <c r="Z45850" i="5"/>
  <c r="Z45849" i="5"/>
  <c r="Z45848" i="5"/>
  <c r="Z45847" i="5"/>
  <c r="Z45846" i="5"/>
  <c r="Z45845" i="5"/>
  <c r="Z45844" i="5"/>
  <c r="Z45843" i="5"/>
  <c r="Z45842" i="5"/>
  <c r="Z45841" i="5"/>
  <c r="Z45840" i="5"/>
  <c r="Z45839" i="5"/>
  <c r="Z45838" i="5"/>
  <c r="Z45837" i="5"/>
  <c r="Z45836" i="5"/>
  <c r="Z45835" i="5"/>
  <c r="Z45834" i="5"/>
  <c r="Z45833" i="5"/>
  <c r="Z45832" i="5"/>
  <c r="Z45831" i="5"/>
  <c r="Z45830" i="5"/>
  <c r="Z45829" i="5"/>
  <c r="Z45828" i="5"/>
  <c r="Z45827" i="5"/>
  <c r="Z45826" i="5"/>
  <c r="Z45825" i="5"/>
  <c r="Z45824" i="5"/>
  <c r="Z45823" i="5"/>
  <c r="Z45822" i="5"/>
  <c r="Z45821" i="5"/>
  <c r="Z45820" i="5"/>
  <c r="Z45819" i="5"/>
  <c r="Z45818" i="5"/>
  <c r="Z45817" i="5"/>
  <c r="Z45816" i="5"/>
  <c r="Z45815" i="5"/>
  <c r="Z45814" i="5"/>
  <c r="Z45813" i="5"/>
  <c r="Z45812" i="5"/>
  <c r="Z45811" i="5"/>
  <c r="Z45810" i="5"/>
  <c r="Z45809" i="5"/>
  <c r="Z45808" i="5"/>
  <c r="Z45807" i="5"/>
  <c r="Z45806" i="5"/>
  <c r="Z45805" i="5"/>
  <c r="Z45804" i="5"/>
  <c r="Z45803" i="5"/>
  <c r="Z45802" i="5"/>
  <c r="Z45801" i="5"/>
  <c r="Z45800" i="5"/>
  <c r="Z45799" i="5"/>
  <c r="Z45798" i="5"/>
  <c r="Z45797" i="5"/>
  <c r="Z45796" i="5"/>
  <c r="Z45795" i="5"/>
  <c r="Z45794" i="5"/>
  <c r="Z45793" i="5"/>
  <c r="Z45792" i="5"/>
  <c r="Z45791" i="5"/>
  <c r="Z45790" i="5"/>
  <c r="Z45789" i="5"/>
  <c r="Z45788" i="5"/>
  <c r="Z45787" i="5"/>
  <c r="Z45786" i="5"/>
  <c r="Z45785" i="5"/>
  <c r="Z45784" i="5"/>
  <c r="Z45783" i="5"/>
  <c r="Z45782" i="5"/>
  <c r="Z45781" i="5"/>
  <c r="Z45780" i="5"/>
  <c r="Z45779" i="5"/>
  <c r="Z45778" i="5"/>
  <c r="Z45777" i="5"/>
  <c r="Z45776" i="5"/>
  <c r="Z45775" i="5"/>
  <c r="Z45774" i="5"/>
  <c r="Z45773" i="5"/>
  <c r="Z45772" i="5"/>
  <c r="Z45771" i="5"/>
  <c r="Z45770" i="5"/>
  <c r="Z45769" i="5"/>
  <c r="Z45768" i="5"/>
  <c r="Z45767" i="5"/>
  <c r="Z45766" i="5"/>
  <c r="Z45765" i="5"/>
  <c r="Z45764" i="5"/>
  <c r="Z45763" i="5"/>
  <c r="Z45762" i="5"/>
  <c r="Z45761" i="5"/>
  <c r="Z45760" i="5"/>
  <c r="Z45759" i="5"/>
  <c r="Z45758" i="5"/>
  <c r="Z45757" i="5"/>
  <c r="Z45756" i="5"/>
  <c r="Z45755" i="5"/>
  <c r="Z45754" i="5"/>
  <c r="Z45753" i="5"/>
  <c r="Z45752" i="5"/>
  <c r="Z45751" i="5"/>
  <c r="Z45750" i="5"/>
  <c r="Z45749" i="5"/>
  <c r="Z45748" i="5"/>
  <c r="Z45747" i="5"/>
  <c r="Z45746" i="5"/>
  <c r="Z45745" i="5"/>
  <c r="Z45744" i="5"/>
  <c r="Z45743" i="5"/>
  <c r="Z45742" i="5"/>
  <c r="Z45741" i="5"/>
  <c r="Z45740" i="5"/>
  <c r="Z45739" i="5"/>
  <c r="Z45738" i="5"/>
  <c r="Z45737" i="5"/>
  <c r="Z45736" i="5"/>
  <c r="Z45735" i="5"/>
  <c r="Z45734" i="5"/>
  <c r="Z45733" i="5"/>
  <c r="Z45732" i="5"/>
  <c r="Z45731" i="5"/>
  <c r="Z45730" i="5"/>
  <c r="Z45729" i="5"/>
  <c r="Z45728" i="5"/>
  <c r="Z45727" i="5"/>
  <c r="Z45726" i="5"/>
  <c r="Z45725" i="5"/>
  <c r="Z45724" i="5"/>
  <c r="Z45723" i="5"/>
  <c r="Z45722" i="5"/>
  <c r="Z45721" i="5"/>
  <c r="Z45720" i="5"/>
  <c r="Z45719" i="5"/>
  <c r="Z45718" i="5"/>
  <c r="Z45717" i="5"/>
  <c r="Z45716" i="5"/>
  <c r="Z45715" i="5"/>
  <c r="Z45714" i="5"/>
  <c r="Z45713" i="5"/>
  <c r="Z45712" i="5"/>
  <c r="Z45711" i="5"/>
  <c r="Z45710" i="5"/>
  <c r="Z45709" i="5"/>
  <c r="Z45708" i="5"/>
  <c r="Z45707" i="5"/>
  <c r="Z45706" i="5"/>
  <c r="Z45705" i="5"/>
  <c r="Z45704" i="5"/>
  <c r="Z45703" i="5"/>
  <c r="Z45702" i="5"/>
  <c r="Z45701" i="5"/>
  <c r="Z45700" i="5"/>
  <c r="Z45699" i="5"/>
  <c r="Z45698" i="5"/>
  <c r="Z45697" i="5"/>
  <c r="Z45696" i="5"/>
  <c r="Z45695" i="5"/>
  <c r="Z45694" i="5"/>
  <c r="Z45693" i="5"/>
  <c r="Z45692" i="5"/>
  <c r="Z45691" i="5"/>
  <c r="Z45690" i="5"/>
  <c r="Z45689" i="5"/>
  <c r="Z45688" i="5"/>
  <c r="Z45687" i="5"/>
  <c r="Z45686" i="5"/>
  <c r="Z45685" i="5"/>
  <c r="Z45684" i="5"/>
  <c r="Z45683" i="5"/>
  <c r="Z45682" i="5"/>
  <c r="Z45681" i="5"/>
  <c r="Z45680" i="5"/>
  <c r="Z45679" i="5"/>
  <c r="Z45678" i="5"/>
  <c r="Z45677" i="5"/>
  <c r="Z45676" i="5"/>
  <c r="Z45675" i="5"/>
  <c r="Z45674" i="5"/>
  <c r="Z45673" i="5"/>
  <c r="Z45672" i="5"/>
  <c r="Z45671" i="5"/>
  <c r="Z45670" i="5"/>
  <c r="Z45669" i="5"/>
  <c r="Z45668" i="5"/>
  <c r="Z45667" i="5"/>
  <c r="Z45666" i="5"/>
  <c r="Z45665" i="5"/>
  <c r="Z45664" i="5"/>
  <c r="Z45663" i="5"/>
  <c r="Z45662" i="5"/>
  <c r="Z45661" i="5"/>
  <c r="Z45660" i="5"/>
  <c r="Z45659" i="5"/>
  <c r="Z45658" i="5"/>
  <c r="Z45657" i="5"/>
  <c r="Z45656" i="5"/>
  <c r="Z45655" i="5"/>
  <c r="Z45654" i="5"/>
  <c r="Z45653" i="5"/>
  <c r="Z45652" i="5"/>
  <c r="Z45651" i="5"/>
  <c r="Z45650" i="5"/>
  <c r="Z45649" i="5"/>
  <c r="Z45648" i="5"/>
  <c r="Z45647" i="5"/>
  <c r="Z45646" i="5"/>
  <c r="Z45645" i="5"/>
  <c r="Z45644" i="5"/>
  <c r="Z45643" i="5"/>
  <c r="Z45642" i="5"/>
  <c r="Z45641" i="5"/>
  <c r="Z45640" i="5"/>
  <c r="Z45639" i="5"/>
  <c r="Z45638" i="5"/>
  <c r="Z45637" i="5"/>
  <c r="Z45636" i="5"/>
  <c r="Z45635" i="5"/>
  <c r="Z45634" i="5"/>
  <c r="Z45633" i="5"/>
  <c r="Z45632" i="5"/>
  <c r="Z45631" i="5"/>
  <c r="Z45630" i="5"/>
  <c r="Z45629" i="5"/>
  <c r="Z45628" i="5"/>
  <c r="Z45627" i="5"/>
  <c r="Z45626" i="5"/>
  <c r="Z45625" i="5"/>
  <c r="Z45624" i="5"/>
  <c r="Z45623" i="5"/>
  <c r="Z45622" i="5"/>
  <c r="Z45621" i="5"/>
  <c r="Z45620" i="5"/>
  <c r="Z45619" i="5"/>
  <c r="Z45618" i="5"/>
  <c r="Z45617" i="5"/>
  <c r="Z45616" i="5"/>
  <c r="Z45615" i="5"/>
  <c r="Z45614" i="5"/>
  <c r="Z45613" i="5"/>
  <c r="Z45612" i="5"/>
  <c r="Z45611" i="5"/>
  <c r="Z45610" i="5"/>
  <c r="Z45609" i="5"/>
  <c r="Z45608" i="5"/>
  <c r="Z45607" i="5"/>
  <c r="Z45606" i="5"/>
  <c r="Z45605" i="5"/>
  <c r="Z45604" i="5"/>
  <c r="Z45603" i="5"/>
  <c r="Z45602" i="5"/>
  <c r="Z45601" i="5"/>
  <c r="Z45600" i="5"/>
  <c r="Z45599" i="5"/>
  <c r="Z45598" i="5"/>
  <c r="Z45597" i="5"/>
  <c r="Z45596" i="5"/>
  <c r="Z45595" i="5"/>
  <c r="Z45594" i="5"/>
  <c r="Z45593" i="5"/>
  <c r="Z45592" i="5"/>
  <c r="Z45591" i="5"/>
  <c r="Z45590" i="5"/>
  <c r="Z45589" i="5"/>
  <c r="Z45588" i="5"/>
  <c r="Z45587" i="5"/>
  <c r="Z45586" i="5"/>
  <c r="Z45585" i="5"/>
  <c r="Z45584" i="5"/>
  <c r="Z45583" i="5"/>
  <c r="Z45582" i="5"/>
  <c r="Z45581" i="5"/>
  <c r="Z45580" i="5"/>
  <c r="Z45579" i="5"/>
  <c r="Z45578" i="5"/>
  <c r="Z45577" i="5"/>
  <c r="Z45576" i="5"/>
  <c r="Z45575" i="5"/>
  <c r="Z45574" i="5"/>
  <c r="Z45573" i="5"/>
  <c r="Z45572" i="5"/>
  <c r="Z45571" i="5"/>
  <c r="Z45570" i="5"/>
  <c r="Z45569" i="5"/>
  <c r="Z45568" i="5"/>
  <c r="Z45567" i="5"/>
  <c r="Z45566" i="5"/>
  <c r="Z45565" i="5"/>
  <c r="Z45564" i="5"/>
  <c r="Z45563" i="5"/>
  <c r="Z45562" i="5"/>
  <c r="Z45561" i="5"/>
  <c r="Z45560" i="5"/>
  <c r="Z45559" i="5"/>
  <c r="Z45558" i="5"/>
  <c r="Z45557" i="5"/>
  <c r="Z45556" i="5"/>
  <c r="Z45555" i="5"/>
  <c r="Z45554" i="5"/>
  <c r="Z45553" i="5"/>
  <c r="Z45552" i="5"/>
  <c r="Z45551" i="5"/>
  <c r="Z45550" i="5"/>
  <c r="Z45549" i="5"/>
  <c r="Z45548" i="5"/>
  <c r="Z45547" i="5"/>
  <c r="Z45546" i="5"/>
  <c r="Z45545" i="5"/>
  <c r="Z45544" i="5"/>
  <c r="Z45543" i="5"/>
  <c r="Z45542" i="5"/>
  <c r="Z45541" i="5"/>
  <c r="Z45540" i="5"/>
  <c r="Z45539" i="5"/>
  <c r="Z45538" i="5"/>
  <c r="Z45537" i="5"/>
  <c r="Z45536" i="5"/>
  <c r="Z45535" i="5"/>
  <c r="Z45534" i="5"/>
  <c r="Z45533" i="5"/>
  <c r="Z45532" i="5"/>
  <c r="Z45531" i="5"/>
  <c r="Z45530" i="5"/>
  <c r="Z45529" i="5"/>
  <c r="Z45528" i="5"/>
  <c r="Z45527" i="5"/>
  <c r="Z45526" i="5"/>
  <c r="Z45525" i="5"/>
  <c r="Z45524" i="5"/>
  <c r="Z45523" i="5"/>
  <c r="Z45522" i="5"/>
  <c r="Z45521" i="5"/>
  <c r="Z45520" i="5"/>
  <c r="Z45519" i="5"/>
  <c r="Z45518" i="5"/>
  <c r="Z45517" i="5"/>
  <c r="Z45516" i="5"/>
  <c r="Z45515" i="5"/>
  <c r="Z45514" i="5"/>
  <c r="Z45513" i="5"/>
  <c r="Z45512" i="5"/>
  <c r="Z45511" i="5"/>
  <c r="Z45510" i="5"/>
  <c r="Z45509" i="5"/>
  <c r="Z45508" i="5"/>
  <c r="Z45507" i="5"/>
  <c r="Z45506" i="5"/>
  <c r="Z45505" i="5"/>
  <c r="Z45504" i="5"/>
  <c r="Z45503" i="5"/>
  <c r="Z45502" i="5"/>
  <c r="Z45501" i="5"/>
  <c r="Z45500" i="5"/>
  <c r="Z45499" i="5"/>
  <c r="Z45498" i="5"/>
  <c r="Z45497" i="5"/>
  <c r="Z45496" i="5"/>
  <c r="Z45495" i="5"/>
  <c r="Z45494" i="5"/>
  <c r="Z45493" i="5"/>
  <c r="Z45492" i="5"/>
  <c r="Z45491" i="5"/>
  <c r="Z45490" i="5"/>
  <c r="Z45489" i="5"/>
  <c r="Z45488" i="5"/>
  <c r="Z45487" i="5"/>
  <c r="Z45486" i="5"/>
  <c r="Z45485" i="5"/>
  <c r="Z45484" i="5"/>
  <c r="Z45483" i="5"/>
  <c r="Z45482" i="5"/>
  <c r="Z45481" i="5"/>
  <c r="Z45480" i="5"/>
  <c r="Z45479" i="5"/>
  <c r="Z45478" i="5"/>
  <c r="Z45477" i="5"/>
  <c r="Z45476" i="5"/>
  <c r="Z45475" i="5"/>
  <c r="Z45474" i="5"/>
  <c r="Z45473" i="5"/>
  <c r="Z45472" i="5"/>
  <c r="Z45471" i="5"/>
  <c r="Z45470" i="5"/>
  <c r="Z45469" i="5"/>
  <c r="Z45468" i="5"/>
  <c r="Z45467" i="5"/>
  <c r="Z45466" i="5"/>
  <c r="Z45465" i="5"/>
  <c r="Z45464" i="5"/>
  <c r="Z45463" i="5"/>
  <c r="Z45462" i="5"/>
  <c r="Z45461" i="5"/>
  <c r="Z45460" i="5"/>
  <c r="Z45459" i="5"/>
  <c r="Z45458" i="5"/>
  <c r="Z45457" i="5"/>
  <c r="Z45456" i="5"/>
  <c r="Z45455" i="5"/>
  <c r="Z45454" i="5"/>
  <c r="Z45453" i="5"/>
  <c r="Z45452" i="5"/>
  <c r="Z45451" i="5"/>
  <c r="Z45450" i="5"/>
  <c r="Z45449" i="5"/>
  <c r="Z45448" i="5"/>
  <c r="Z45447" i="5"/>
  <c r="Z45446" i="5"/>
  <c r="Z45445" i="5"/>
  <c r="Z45444" i="5"/>
  <c r="Z45443" i="5"/>
  <c r="Z45442" i="5"/>
  <c r="Z45441" i="5"/>
  <c r="Z45440" i="5"/>
  <c r="Z45439" i="5"/>
  <c r="Z45438" i="5"/>
  <c r="Z45437" i="5"/>
  <c r="Z45436" i="5"/>
  <c r="Z45435" i="5"/>
  <c r="Z45434" i="5"/>
  <c r="Z45433" i="5"/>
  <c r="Z45432" i="5"/>
  <c r="Z45431" i="5"/>
  <c r="Z45430" i="5"/>
  <c r="Z45429" i="5"/>
  <c r="Z45428" i="5"/>
  <c r="Z45427" i="5"/>
  <c r="Z45426" i="5"/>
  <c r="Z45425" i="5"/>
  <c r="Z45424" i="5"/>
  <c r="Z45423" i="5"/>
  <c r="Z45422" i="5"/>
  <c r="Z45421" i="5"/>
  <c r="Z45420" i="5"/>
  <c r="Z45419" i="5"/>
  <c r="Z45418" i="5"/>
  <c r="Z45417" i="5"/>
  <c r="Z45416" i="5"/>
  <c r="Z45415" i="5"/>
  <c r="Z45414" i="5"/>
  <c r="Z45413" i="5"/>
  <c r="Z45412" i="5"/>
  <c r="Z45411" i="5"/>
  <c r="Z45410" i="5"/>
  <c r="Z45409" i="5"/>
  <c r="Z45408" i="5"/>
  <c r="Z45407" i="5"/>
  <c r="Z45406" i="5"/>
  <c r="Z45405" i="5"/>
  <c r="Z45404" i="5"/>
  <c r="Z45403" i="5"/>
  <c r="Z45402" i="5"/>
  <c r="Z45401" i="5"/>
  <c r="Z45400" i="5"/>
  <c r="Z45399" i="5"/>
  <c r="Z45398" i="5"/>
  <c r="Z45397" i="5"/>
  <c r="Z45396" i="5"/>
  <c r="Z45395" i="5"/>
  <c r="Z45394" i="5"/>
  <c r="Z45393" i="5"/>
  <c r="Z45392" i="5"/>
  <c r="Z45391" i="5"/>
  <c r="Z45390" i="5"/>
  <c r="Z45389" i="5"/>
  <c r="Z45388" i="5"/>
  <c r="Z45387" i="5"/>
  <c r="Z45386" i="5"/>
  <c r="Z45385" i="5"/>
  <c r="Z45384" i="5"/>
  <c r="Z45383" i="5"/>
  <c r="Z45382" i="5"/>
  <c r="Z45381" i="5"/>
  <c r="Z45380" i="5"/>
  <c r="Z45379" i="5"/>
  <c r="Z45378" i="5"/>
  <c r="Z45377" i="5"/>
  <c r="Z45376" i="5"/>
  <c r="Z45375" i="5"/>
  <c r="Z45374" i="5"/>
  <c r="Z45373" i="5"/>
  <c r="Z45372" i="5"/>
  <c r="Z45371" i="5"/>
  <c r="Z45370" i="5"/>
  <c r="Z45369" i="5"/>
  <c r="Z45368" i="5"/>
  <c r="Z45367" i="5"/>
  <c r="Z45366" i="5"/>
  <c r="Z45365" i="5"/>
  <c r="Z45364" i="5"/>
  <c r="Z45363" i="5"/>
  <c r="Z45362" i="5"/>
  <c r="Z45361" i="5"/>
  <c r="Z45360" i="5"/>
  <c r="Z45359" i="5"/>
  <c r="Z45358" i="5"/>
  <c r="Z45357" i="5"/>
  <c r="Z45356" i="5"/>
  <c r="Z45355" i="5"/>
  <c r="Z45354" i="5"/>
  <c r="Z45353" i="5"/>
  <c r="Z45352" i="5"/>
  <c r="Z45351" i="5"/>
  <c r="Z45350" i="5"/>
  <c r="Z45349" i="5"/>
  <c r="Z45348" i="5"/>
  <c r="Z45347" i="5"/>
  <c r="Z45346" i="5"/>
  <c r="Z45345" i="5"/>
  <c r="Z45344" i="5"/>
  <c r="Z45343" i="5"/>
  <c r="Z45342" i="5"/>
  <c r="Z45341" i="5"/>
  <c r="Z45340" i="5"/>
  <c r="Z45339" i="5"/>
  <c r="Z45338" i="5"/>
  <c r="Z45337" i="5"/>
  <c r="Z45336" i="5"/>
  <c r="Z45335" i="5"/>
  <c r="Z45334" i="5"/>
  <c r="Z45333" i="5"/>
  <c r="Z45332" i="5"/>
  <c r="Z45331" i="5"/>
  <c r="Z45330" i="5"/>
  <c r="Z45329" i="5"/>
  <c r="Z45328" i="5"/>
  <c r="Z45327" i="5"/>
  <c r="Z45326" i="5"/>
  <c r="Z45325" i="5"/>
  <c r="Z45324" i="5"/>
  <c r="Z45323" i="5"/>
  <c r="Z45322" i="5"/>
  <c r="Z45321" i="5"/>
  <c r="Z45320" i="5"/>
  <c r="Z45319" i="5"/>
  <c r="Z45318" i="5"/>
  <c r="Z45317" i="5"/>
  <c r="Z45316" i="5"/>
  <c r="Z45315" i="5"/>
  <c r="Z45314" i="5"/>
  <c r="Z45313" i="5"/>
  <c r="Z45312" i="5"/>
  <c r="Z45311" i="5"/>
  <c r="Z45310" i="5"/>
  <c r="Z45309" i="5"/>
  <c r="Z45308" i="5"/>
  <c r="Z45307" i="5"/>
  <c r="Z45306" i="5"/>
  <c r="Z45305" i="5"/>
  <c r="Z45304" i="5"/>
  <c r="Z45303" i="5"/>
  <c r="Z45302" i="5"/>
  <c r="Z45301" i="5"/>
  <c r="Z45300" i="5"/>
  <c r="Z45299" i="5"/>
  <c r="Z45298" i="5"/>
  <c r="Z45297" i="5"/>
  <c r="Z45296" i="5"/>
  <c r="Z45295" i="5"/>
  <c r="Z45294" i="5"/>
  <c r="Z45293" i="5"/>
  <c r="Z45292" i="5"/>
  <c r="Z45291" i="5"/>
  <c r="Z45290" i="5"/>
  <c r="Z45289" i="5"/>
  <c r="Z45288" i="5"/>
  <c r="Z45287" i="5"/>
  <c r="Z45286" i="5"/>
  <c r="Z45285" i="5"/>
  <c r="Z45284" i="5"/>
  <c r="Z45283" i="5"/>
  <c r="Z45282" i="5"/>
  <c r="Z45281" i="5"/>
  <c r="Z45280" i="5"/>
  <c r="Z45279" i="5"/>
  <c r="Z45278" i="5"/>
  <c r="Z45277" i="5"/>
  <c r="Z45276" i="5"/>
  <c r="Z45275" i="5"/>
  <c r="Z45274" i="5"/>
  <c r="Z45273" i="5"/>
  <c r="Z45272" i="5"/>
  <c r="Z45271" i="5"/>
  <c r="Z45270" i="5"/>
  <c r="Z45269" i="5"/>
  <c r="Z45268" i="5"/>
  <c r="Z45267" i="5"/>
  <c r="Z45266" i="5"/>
  <c r="Z45265" i="5"/>
  <c r="Z45264" i="5"/>
  <c r="Z45263" i="5"/>
  <c r="Z45262" i="5"/>
  <c r="Z45261" i="5"/>
  <c r="Z45260" i="5"/>
  <c r="Z45259" i="5"/>
  <c r="Z45258" i="5"/>
  <c r="Z45257" i="5"/>
  <c r="Z45256" i="5"/>
  <c r="Z45255" i="5"/>
  <c r="Z45254" i="5"/>
  <c r="Z45253" i="5"/>
  <c r="Z45252" i="5"/>
  <c r="Z45251" i="5"/>
  <c r="Z45250" i="5"/>
  <c r="Z45249" i="5"/>
  <c r="Z45248" i="5"/>
  <c r="Z45247" i="5"/>
  <c r="Z45246" i="5"/>
  <c r="Z45245" i="5"/>
  <c r="Z45244" i="5"/>
  <c r="Z45243" i="5"/>
  <c r="Z45242" i="5"/>
  <c r="Z45241" i="5"/>
  <c r="Z45240" i="5"/>
  <c r="Z45239" i="5"/>
  <c r="Z45238" i="5"/>
  <c r="Z45237" i="5"/>
  <c r="Z45236" i="5"/>
  <c r="Z45235" i="5"/>
  <c r="Z45234" i="5"/>
  <c r="Z45233" i="5"/>
  <c r="Z45232" i="5"/>
  <c r="Z45231" i="5"/>
  <c r="Z45230" i="5"/>
  <c r="Z45229" i="5"/>
  <c r="Z45228" i="5"/>
  <c r="Z45227" i="5"/>
  <c r="Z45226" i="5"/>
  <c r="Z45225" i="5"/>
  <c r="Z45224" i="5"/>
  <c r="Z45223" i="5"/>
  <c r="Z45222" i="5"/>
  <c r="Z45221" i="5"/>
  <c r="Z45220" i="5"/>
  <c r="Z45219" i="5"/>
  <c r="Z45218" i="5"/>
  <c r="Z45217" i="5"/>
  <c r="Z45216" i="5"/>
  <c r="Z45215" i="5"/>
  <c r="Z45214" i="5"/>
  <c r="Z45213" i="5"/>
  <c r="Z45212" i="5"/>
  <c r="Z45211" i="5"/>
  <c r="Z45210" i="5"/>
  <c r="Z45209" i="5"/>
  <c r="Z45208" i="5"/>
  <c r="Z45207" i="5"/>
  <c r="Z45206" i="5"/>
  <c r="Z45205" i="5"/>
  <c r="Z45204" i="5"/>
  <c r="Z45203" i="5"/>
  <c r="Z45202" i="5"/>
  <c r="Z45201" i="5"/>
  <c r="Z45200" i="5"/>
  <c r="Z45199" i="5"/>
  <c r="Z45198" i="5"/>
  <c r="Z45197" i="5"/>
  <c r="Z45196" i="5"/>
  <c r="Z45195" i="5"/>
  <c r="Z45194" i="5"/>
  <c r="Z45193" i="5"/>
  <c r="Z45192" i="5"/>
  <c r="Z45191" i="5"/>
  <c r="Z45190" i="5"/>
  <c r="Z45189" i="5"/>
  <c r="Z45188" i="5"/>
  <c r="Z45187" i="5"/>
  <c r="Z45186" i="5"/>
  <c r="Z45185" i="5"/>
  <c r="Z45184" i="5"/>
  <c r="Z45183" i="5"/>
  <c r="Z45182" i="5"/>
  <c r="Z45181" i="5"/>
  <c r="Z45180" i="5"/>
  <c r="Z45179" i="5"/>
  <c r="Z45178" i="5"/>
  <c r="Z45177" i="5"/>
  <c r="Z45176" i="5"/>
  <c r="Z45175" i="5"/>
  <c r="Z45174" i="5"/>
  <c r="Z45173" i="5"/>
  <c r="Z45172" i="5"/>
  <c r="Z45171" i="5"/>
  <c r="Z45170" i="5"/>
  <c r="Z45169" i="5"/>
  <c r="Z45168" i="5"/>
  <c r="Z45167" i="5"/>
  <c r="Z45166" i="5"/>
  <c r="Z45165" i="5"/>
  <c r="Z45164" i="5"/>
  <c r="Z45163" i="5"/>
  <c r="Z45162" i="5"/>
  <c r="Z45161" i="5"/>
  <c r="Z45160" i="5"/>
  <c r="Z45159" i="5"/>
  <c r="Z45158" i="5"/>
  <c r="Z45157" i="5"/>
  <c r="Z45156" i="5"/>
  <c r="Z45155" i="5"/>
  <c r="Z45154" i="5"/>
  <c r="Z45153" i="5"/>
  <c r="Z45152" i="5"/>
  <c r="Z45151" i="5"/>
  <c r="Z45150" i="5"/>
  <c r="Z45149" i="5"/>
  <c r="Z45148" i="5"/>
  <c r="Z45147" i="5"/>
  <c r="Z45146" i="5"/>
  <c r="Z45145" i="5"/>
  <c r="Z45144" i="5"/>
  <c r="Z45143" i="5"/>
  <c r="Z45142" i="5"/>
  <c r="Z45141" i="5"/>
  <c r="Z45140" i="5"/>
  <c r="Z45139" i="5"/>
  <c r="Z45138" i="5"/>
  <c r="Z45137" i="5"/>
  <c r="Z45136" i="5"/>
  <c r="Z45135" i="5"/>
  <c r="Z45134" i="5"/>
  <c r="Z45133" i="5"/>
  <c r="Z45132" i="5"/>
  <c r="Z45131" i="5"/>
  <c r="Z45130" i="5"/>
  <c r="Z45129" i="5"/>
  <c r="Z45128" i="5"/>
  <c r="Z45127" i="5"/>
  <c r="Z45126" i="5"/>
  <c r="Z45125" i="5"/>
  <c r="Z45124" i="5"/>
  <c r="Z45123" i="5"/>
  <c r="Z45122" i="5"/>
  <c r="Z45121" i="5"/>
  <c r="Z45120" i="5"/>
  <c r="Z45119" i="5"/>
  <c r="Z45118" i="5"/>
  <c r="Z45117" i="5"/>
  <c r="Z45116" i="5"/>
  <c r="Z45115" i="5"/>
  <c r="Z45114" i="5"/>
  <c r="Z45113" i="5"/>
  <c r="Z45112" i="5"/>
  <c r="Z45111" i="5"/>
  <c r="Z45110" i="5"/>
  <c r="Z45109" i="5"/>
  <c r="Z45108" i="5"/>
  <c r="Z45107" i="5"/>
  <c r="Z45106" i="5"/>
  <c r="Z45105" i="5"/>
  <c r="Z45104" i="5"/>
  <c r="Z45103" i="5"/>
  <c r="Z45102" i="5"/>
  <c r="Z45101" i="5"/>
  <c r="Z45100" i="5"/>
  <c r="Z45099" i="5"/>
  <c r="Z45098" i="5"/>
  <c r="Z45097" i="5"/>
  <c r="Z45096" i="5"/>
  <c r="Z45095" i="5"/>
  <c r="Z45094" i="5"/>
  <c r="Z45093" i="5"/>
  <c r="Z45092" i="5"/>
  <c r="Z45091" i="5"/>
  <c r="Z45090" i="5"/>
  <c r="Z45089" i="5"/>
  <c r="Z45088" i="5"/>
  <c r="Z45087" i="5"/>
  <c r="Z45086" i="5"/>
  <c r="Z45085" i="5"/>
  <c r="Z45084" i="5"/>
  <c r="Z45083" i="5"/>
  <c r="Z45082" i="5"/>
  <c r="Z45081" i="5"/>
  <c r="Z45080" i="5"/>
  <c r="Z45079" i="5"/>
  <c r="Z45078" i="5"/>
  <c r="Z45077" i="5"/>
  <c r="Z45076" i="5"/>
  <c r="Z45075" i="5"/>
  <c r="Z45074" i="5"/>
  <c r="Z45073" i="5"/>
  <c r="Z45072" i="5"/>
  <c r="Z45071" i="5"/>
  <c r="Z45070" i="5"/>
  <c r="Z45069" i="5"/>
  <c r="Z45068" i="5"/>
  <c r="Z45067" i="5"/>
  <c r="Z45066" i="5"/>
  <c r="Z45065" i="5"/>
  <c r="Z45064" i="5"/>
  <c r="Z45063" i="5"/>
  <c r="Z45062" i="5"/>
  <c r="Z45061" i="5"/>
  <c r="Z45060" i="5"/>
  <c r="Z45059" i="5"/>
  <c r="Z45058" i="5"/>
  <c r="Z45057" i="5"/>
  <c r="Z45056" i="5"/>
  <c r="Z45055" i="5"/>
  <c r="Z45054" i="5"/>
  <c r="Z45053" i="5"/>
  <c r="Z45052" i="5"/>
  <c r="Z45051" i="5"/>
  <c r="Z45050" i="5"/>
  <c r="Z45049" i="5"/>
  <c r="Z45048" i="5"/>
  <c r="Z45047" i="5"/>
  <c r="Z45046" i="5"/>
  <c r="Z45045" i="5"/>
  <c r="Z45044" i="5"/>
  <c r="Z45043" i="5"/>
  <c r="Z45042" i="5"/>
  <c r="Z45041" i="5"/>
  <c r="Z45040" i="5"/>
  <c r="Z45039" i="5"/>
  <c r="Z45038" i="5"/>
  <c r="Z45037" i="5"/>
  <c r="Z45036" i="5"/>
  <c r="Z45035" i="5"/>
  <c r="Z45034" i="5"/>
  <c r="Z45033" i="5"/>
  <c r="Z45032" i="5"/>
  <c r="Z45031" i="5"/>
  <c r="Z45030" i="5"/>
  <c r="Z45029" i="5"/>
  <c r="Z45028" i="5"/>
  <c r="Z45027" i="5"/>
  <c r="Z45026" i="5"/>
  <c r="Z45025" i="5"/>
  <c r="Z45024" i="5"/>
  <c r="Z45023" i="5"/>
  <c r="Z45022" i="5"/>
  <c r="Z45021" i="5"/>
  <c r="Z45020" i="5"/>
  <c r="Z45019" i="5"/>
  <c r="Z45018" i="5"/>
  <c r="Z45017" i="5"/>
  <c r="Z45016" i="5"/>
  <c r="Z45015" i="5"/>
  <c r="Z45014" i="5"/>
  <c r="Z45013" i="5"/>
  <c r="Z45012" i="5"/>
  <c r="Z45011" i="5"/>
  <c r="Z45010" i="5"/>
  <c r="Z45009" i="5"/>
  <c r="Z45008" i="5"/>
  <c r="Z45007" i="5"/>
  <c r="Z45006" i="5"/>
  <c r="Z45005" i="5"/>
  <c r="Z45004" i="5"/>
  <c r="Z45003" i="5"/>
  <c r="Z45002" i="5"/>
  <c r="Z45001" i="5"/>
  <c r="Z45000" i="5"/>
  <c r="Z44999" i="5"/>
  <c r="Z44998" i="5"/>
  <c r="Z44997" i="5"/>
  <c r="Z44996" i="5"/>
  <c r="Z44995" i="5"/>
  <c r="Z44994" i="5"/>
  <c r="Z44993" i="5"/>
  <c r="Z44992" i="5"/>
  <c r="Z44991" i="5"/>
  <c r="Z44990" i="5"/>
  <c r="Z44989" i="5"/>
  <c r="Z44988" i="5"/>
  <c r="Z44987" i="5"/>
  <c r="Z44986" i="5"/>
  <c r="Z44985" i="5"/>
  <c r="Z44984" i="5"/>
  <c r="Z44983" i="5"/>
  <c r="Z44982" i="5"/>
  <c r="Z44981" i="5"/>
  <c r="Z44980" i="5"/>
  <c r="Z44979" i="5"/>
  <c r="Z44978" i="5"/>
  <c r="Z44977" i="5"/>
  <c r="Z44976" i="5"/>
  <c r="Z44975" i="5"/>
  <c r="Z44974" i="5"/>
  <c r="Z44973" i="5"/>
  <c r="Z44972" i="5"/>
  <c r="Z44971" i="5"/>
  <c r="Z44970" i="5"/>
  <c r="Z44969" i="5"/>
  <c r="Z44968" i="5"/>
  <c r="Z44967" i="5"/>
  <c r="Z44966" i="5"/>
  <c r="Z44965" i="5"/>
  <c r="Z44964" i="5"/>
  <c r="Z44963" i="5"/>
  <c r="Z44962" i="5"/>
  <c r="Z44961" i="5"/>
  <c r="Z44960" i="5"/>
  <c r="Z44959" i="5"/>
  <c r="Z44958" i="5"/>
  <c r="Z44957" i="5"/>
  <c r="Z44956" i="5"/>
  <c r="Z44955" i="5"/>
  <c r="Z44954" i="5"/>
  <c r="Z44953" i="5"/>
  <c r="Z44952" i="5"/>
  <c r="Z44951" i="5"/>
  <c r="Z44950" i="5"/>
  <c r="Z44949" i="5"/>
  <c r="Z44948" i="5"/>
  <c r="Z44947" i="5"/>
  <c r="Z44946" i="5"/>
  <c r="Z44945" i="5"/>
  <c r="Z44944" i="5"/>
  <c r="Z44943" i="5"/>
  <c r="Z44942" i="5"/>
  <c r="Z44941" i="5"/>
  <c r="Z44940" i="5"/>
  <c r="Z44939" i="5"/>
  <c r="Z44938" i="5"/>
  <c r="Z44937" i="5"/>
  <c r="Z44936" i="5"/>
  <c r="Z44935" i="5"/>
  <c r="Z44934" i="5"/>
  <c r="Z44933" i="5"/>
  <c r="Z44932" i="5"/>
  <c r="Z44931" i="5"/>
  <c r="Z44930" i="5"/>
  <c r="Z44929" i="5"/>
  <c r="Z44928" i="5"/>
  <c r="Z44927" i="5"/>
  <c r="Z44926" i="5"/>
  <c r="Z44925" i="5"/>
  <c r="Z44924" i="5"/>
  <c r="Z44923" i="5"/>
  <c r="Z44922" i="5"/>
  <c r="Z44921" i="5"/>
  <c r="Z44920" i="5"/>
  <c r="Z44919" i="5"/>
  <c r="Z44918" i="5"/>
  <c r="Z44917" i="5"/>
  <c r="Z44916" i="5"/>
  <c r="Z44915" i="5"/>
  <c r="Z44914" i="5"/>
  <c r="Z44913" i="5"/>
  <c r="Z44912" i="5"/>
  <c r="Z44911" i="5"/>
  <c r="Z44910" i="5"/>
  <c r="Z44909" i="5"/>
  <c r="Z44908" i="5"/>
  <c r="Z44907" i="5"/>
  <c r="Z44906" i="5"/>
  <c r="Z44905" i="5"/>
  <c r="Z44904" i="5"/>
  <c r="Z44903" i="5"/>
  <c r="Z44902" i="5"/>
  <c r="Z44901" i="5"/>
  <c r="Z44900" i="5"/>
  <c r="Z44899" i="5"/>
  <c r="Z44898" i="5"/>
  <c r="Z44897" i="5"/>
  <c r="Z44896" i="5"/>
  <c r="Z44895" i="5"/>
  <c r="Z44894" i="5"/>
  <c r="Z44893" i="5"/>
  <c r="Z44892" i="5"/>
  <c r="Z44891" i="5"/>
  <c r="Z44890" i="5"/>
  <c r="Z44889" i="5"/>
  <c r="Z44888" i="5"/>
  <c r="Z44887" i="5"/>
  <c r="Z44886" i="5"/>
  <c r="Z44885" i="5"/>
  <c r="Z44884" i="5"/>
  <c r="Z44883" i="5"/>
  <c r="Z44882" i="5"/>
  <c r="Z44881" i="5"/>
  <c r="Z44880" i="5"/>
  <c r="Z44879" i="5"/>
  <c r="Z44878" i="5"/>
  <c r="Z44877" i="5"/>
  <c r="Z44876" i="5"/>
  <c r="Z44875" i="5"/>
  <c r="Z44874" i="5"/>
  <c r="Z44873" i="5"/>
  <c r="Z44872" i="5"/>
  <c r="Z44871" i="5"/>
  <c r="Z44870" i="5"/>
  <c r="Z44869" i="5"/>
  <c r="Z44868" i="5"/>
  <c r="Z44867" i="5"/>
  <c r="Z44866" i="5"/>
  <c r="Z44865" i="5"/>
  <c r="Z44864" i="5"/>
  <c r="Z44863" i="5"/>
  <c r="Z44862" i="5"/>
  <c r="Z44861" i="5"/>
  <c r="Z44860" i="5"/>
  <c r="Z44859" i="5"/>
  <c r="Z44858" i="5"/>
  <c r="Z44857" i="5"/>
  <c r="Z44856" i="5"/>
  <c r="Z44855" i="5"/>
  <c r="Z44854" i="5"/>
  <c r="Z44853" i="5"/>
  <c r="Z44852" i="5"/>
  <c r="Z44851" i="5"/>
  <c r="Z44850" i="5"/>
  <c r="Z44849" i="5"/>
  <c r="Z44848" i="5"/>
  <c r="Z44847" i="5"/>
  <c r="Z44846" i="5"/>
  <c r="Z44845" i="5"/>
  <c r="Z44844" i="5"/>
  <c r="Z44843" i="5"/>
  <c r="Z44842" i="5"/>
  <c r="Z44841" i="5"/>
  <c r="Z44840" i="5"/>
  <c r="Z44839" i="5"/>
  <c r="Z44838" i="5"/>
  <c r="Z44837" i="5"/>
  <c r="Z44836" i="5"/>
  <c r="Z44835" i="5"/>
  <c r="Z44834" i="5"/>
  <c r="Z44833" i="5"/>
  <c r="Z44832" i="5"/>
  <c r="Z44831" i="5"/>
  <c r="Z44830" i="5"/>
  <c r="Z44829" i="5"/>
  <c r="Z44828" i="5"/>
  <c r="Z44827" i="5"/>
  <c r="Z44826" i="5"/>
  <c r="Z44825" i="5"/>
  <c r="Z44824" i="5"/>
  <c r="Z44823" i="5"/>
  <c r="Z44822" i="5"/>
  <c r="Z44821" i="5"/>
  <c r="Z44820" i="5"/>
  <c r="Z44819" i="5"/>
  <c r="Z44818" i="5"/>
  <c r="Z44817" i="5"/>
  <c r="Z44816" i="5"/>
  <c r="Z44815" i="5"/>
  <c r="Z44814" i="5"/>
  <c r="Z44813" i="5"/>
  <c r="Z44812" i="5"/>
  <c r="Z44811" i="5"/>
  <c r="Z44810" i="5"/>
  <c r="Z44809" i="5"/>
  <c r="Z44808" i="5"/>
  <c r="Z44807" i="5"/>
  <c r="Z44806" i="5"/>
  <c r="Z44805" i="5"/>
  <c r="Z44804" i="5"/>
  <c r="Z44803" i="5"/>
  <c r="Z44802" i="5"/>
  <c r="Z44801" i="5"/>
  <c r="Z44800" i="5"/>
  <c r="Z44799" i="5"/>
  <c r="Z44798" i="5"/>
  <c r="Z44797" i="5"/>
  <c r="Z44796" i="5"/>
  <c r="Z44795" i="5"/>
  <c r="Z44794" i="5"/>
  <c r="Z44793" i="5"/>
  <c r="Z44792" i="5"/>
  <c r="Z44791" i="5"/>
  <c r="Z44790" i="5"/>
  <c r="Z44789" i="5"/>
  <c r="Z44788" i="5"/>
  <c r="Z44787" i="5"/>
  <c r="Z44786" i="5"/>
  <c r="Z44785" i="5"/>
  <c r="Z44784" i="5"/>
  <c r="Z44783" i="5"/>
  <c r="Z44782" i="5"/>
  <c r="Z44781" i="5"/>
  <c r="Z44780" i="5"/>
  <c r="Z44779" i="5"/>
  <c r="Z44778" i="5"/>
  <c r="Z44777" i="5"/>
  <c r="Z44776" i="5"/>
  <c r="Z44775" i="5"/>
  <c r="Z44774" i="5"/>
  <c r="Z44773" i="5"/>
  <c r="Z44772" i="5"/>
  <c r="Z44771" i="5"/>
  <c r="Z44770" i="5"/>
  <c r="Z44769" i="5"/>
  <c r="Z44768" i="5"/>
  <c r="Z44767" i="5"/>
  <c r="Z44766" i="5"/>
  <c r="Z44765" i="5"/>
  <c r="Z44764" i="5"/>
  <c r="Z44763" i="5"/>
  <c r="Z44762" i="5"/>
  <c r="Z44761" i="5"/>
  <c r="Z44760" i="5"/>
  <c r="Z44759" i="5"/>
  <c r="Z44758" i="5"/>
  <c r="Z44757" i="5"/>
  <c r="Z44756" i="5"/>
  <c r="Z44755" i="5"/>
  <c r="Z44754" i="5"/>
  <c r="Z44753" i="5"/>
  <c r="Z44752" i="5"/>
  <c r="Z44751" i="5"/>
  <c r="Z44750" i="5"/>
  <c r="Z44749" i="5"/>
  <c r="Z44748" i="5"/>
  <c r="Z44747" i="5"/>
  <c r="Z44746" i="5"/>
  <c r="Z44745" i="5"/>
  <c r="Z44744" i="5"/>
  <c r="Z44743" i="5"/>
  <c r="Z44742" i="5"/>
  <c r="Z44741" i="5"/>
  <c r="Z44740" i="5"/>
  <c r="Z44739" i="5"/>
  <c r="Z44738" i="5"/>
  <c r="Z44737" i="5"/>
  <c r="Z44736" i="5"/>
  <c r="Z44735" i="5"/>
  <c r="Z44734" i="5"/>
  <c r="Z44733" i="5"/>
  <c r="Z44732" i="5"/>
  <c r="Z44731" i="5"/>
  <c r="Z44730" i="5"/>
  <c r="Z44729" i="5"/>
  <c r="Z44728" i="5"/>
  <c r="Z44727" i="5"/>
  <c r="Z44726" i="5"/>
  <c r="Z44725" i="5"/>
  <c r="Z44724" i="5"/>
  <c r="Z44723" i="5"/>
  <c r="Z44722" i="5"/>
  <c r="Z44721" i="5"/>
  <c r="Z44720" i="5"/>
  <c r="Z44719" i="5"/>
  <c r="Z44718" i="5"/>
  <c r="Z44717" i="5"/>
  <c r="Z44716" i="5"/>
  <c r="Z44715" i="5"/>
  <c r="Z44714" i="5"/>
  <c r="Z44713" i="5"/>
  <c r="Z44712" i="5"/>
  <c r="Z44711" i="5"/>
  <c r="Z44710" i="5"/>
  <c r="Z44709" i="5"/>
  <c r="Z44708" i="5"/>
  <c r="Z44707" i="5"/>
  <c r="Z44706" i="5"/>
  <c r="Z44705" i="5"/>
  <c r="Z44704" i="5"/>
  <c r="Z44703" i="5"/>
  <c r="Z44702" i="5"/>
  <c r="Z44701" i="5"/>
  <c r="Z44700" i="5"/>
  <c r="Z44699" i="5"/>
  <c r="Z44698" i="5"/>
  <c r="Z44697" i="5"/>
  <c r="Z44696" i="5"/>
  <c r="Z44695" i="5"/>
  <c r="Z44694" i="5"/>
  <c r="Z44693" i="5"/>
  <c r="Z44692" i="5"/>
  <c r="Z44691" i="5"/>
  <c r="Z44690" i="5"/>
  <c r="Z44689" i="5"/>
  <c r="Z44688" i="5"/>
  <c r="Z44687" i="5"/>
  <c r="Z44686" i="5"/>
  <c r="Z44685" i="5"/>
  <c r="Z44684" i="5"/>
  <c r="Z44683" i="5"/>
  <c r="Z44682" i="5"/>
  <c r="Z44681" i="5"/>
  <c r="Z44680" i="5"/>
  <c r="Z44679" i="5"/>
  <c r="Z44678" i="5"/>
  <c r="Z44677" i="5"/>
  <c r="Z44676" i="5"/>
  <c r="Z44675" i="5"/>
  <c r="Z44674" i="5"/>
  <c r="Z44673" i="5"/>
  <c r="Z44672" i="5"/>
  <c r="Z44671" i="5"/>
  <c r="Z44670" i="5"/>
  <c r="Z44669" i="5"/>
  <c r="Z44668" i="5"/>
  <c r="Z44667" i="5"/>
  <c r="Z44666" i="5"/>
  <c r="Z44665" i="5"/>
  <c r="Z44664" i="5"/>
  <c r="Z44663" i="5"/>
  <c r="Z44662" i="5"/>
  <c r="Z44661" i="5"/>
  <c r="Z44660" i="5"/>
  <c r="Z44659" i="5"/>
  <c r="Z44658" i="5"/>
  <c r="Z44657" i="5"/>
  <c r="Z44656" i="5"/>
  <c r="Z44655" i="5"/>
  <c r="Z44654" i="5"/>
  <c r="Z44653" i="5"/>
  <c r="Z44652" i="5"/>
  <c r="Z44651" i="5"/>
  <c r="Z44650" i="5"/>
  <c r="Z44649" i="5"/>
  <c r="Z44648" i="5"/>
  <c r="Z44647" i="5"/>
  <c r="Z44646" i="5"/>
  <c r="Z44645" i="5"/>
  <c r="Z44644" i="5"/>
  <c r="Z44643" i="5"/>
  <c r="Z44642" i="5"/>
  <c r="Z44641" i="5"/>
  <c r="Z44640" i="5"/>
  <c r="Z44639" i="5"/>
  <c r="Z44638" i="5"/>
  <c r="Z44637" i="5"/>
  <c r="Z44636" i="5"/>
  <c r="Z44635" i="5"/>
  <c r="Z44634" i="5"/>
  <c r="Z44633" i="5"/>
  <c r="Z44632" i="5"/>
  <c r="Z44631" i="5"/>
  <c r="Z44630" i="5"/>
  <c r="Z44629" i="5"/>
  <c r="Z44628" i="5"/>
  <c r="Z44627" i="5"/>
  <c r="Z44626" i="5"/>
  <c r="Z44625" i="5"/>
  <c r="Z44624" i="5"/>
  <c r="Z44623" i="5"/>
  <c r="Z44622" i="5"/>
  <c r="Z44621" i="5"/>
  <c r="Z44620" i="5"/>
  <c r="Z44619" i="5"/>
  <c r="Z44618" i="5"/>
  <c r="Z44617" i="5"/>
  <c r="Z44616" i="5"/>
  <c r="Z44615" i="5"/>
  <c r="Z44614" i="5"/>
  <c r="Z44613" i="5"/>
  <c r="Z44612" i="5"/>
  <c r="Z44611" i="5"/>
  <c r="Z44610" i="5"/>
  <c r="Z44609" i="5"/>
  <c r="Z44608" i="5"/>
  <c r="Z44607" i="5"/>
  <c r="Z44606" i="5"/>
  <c r="Z44605" i="5"/>
  <c r="Z44604" i="5"/>
  <c r="Z44603" i="5"/>
  <c r="Z44602" i="5"/>
  <c r="Z44601" i="5"/>
  <c r="Z44600" i="5"/>
  <c r="Z44599" i="5"/>
  <c r="Z44598" i="5"/>
  <c r="Z44597" i="5"/>
  <c r="Z44596" i="5"/>
  <c r="Z44595" i="5"/>
  <c r="Z44594" i="5"/>
  <c r="Z44593" i="5"/>
  <c r="Z44592" i="5"/>
  <c r="Z44591" i="5"/>
  <c r="Z44590" i="5"/>
  <c r="Z44589" i="5"/>
  <c r="Z44588" i="5"/>
  <c r="Z44587" i="5"/>
  <c r="Z44586" i="5"/>
  <c r="Z44585" i="5"/>
  <c r="Z44584" i="5"/>
  <c r="Z44583" i="5"/>
  <c r="Z44582" i="5"/>
  <c r="Z44581" i="5"/>
  <c r="Z44580" i="5"/>
  <c r="Z44579" i="5"/>
  <c r="Z44578" i="5"/>
  <c r="Z44577" i="5"/>
  <c r="Z44576" i="5"/>
  <c r="Z44575" i="5"/>
  <c r="Z44574" i="5"/>
  <c r="Z44573" i="5"/>
  <c r="Z44572" i="5"/>
  <c r="Z44571" i="5"/>
  <c r="Z44570" i="5"/>
  <c r="Z44569" i="5"/>
  <c r="Z44568" i="5"/>
  <c r="Z44567" i="5"/>
  <c r="Z44566" i="5"/>
  <c r="Z44565" i="5"/>
  <c r="Z44564" i="5"/>
  <c r="Z44563" i="5"/>
  <c r="Z44562" i="5"/>
  <c r="Z44561" i="5"/>
  <c r="Z44560" i="5"/>
  <c r="Z44559" i="5"/>
  <c r="Z44558" i="5"/>
  <c r="Z44557" i="5"/>
  <c r="Z44556" i="5"/>
  <c r="Z44555" i="5"/>
  <c r="Z44554" i="5"/>
  <c r="Z44553" i="5"/>
  <c r="Z44552" i="5"/>
  <c r="Z44551" i="5"/>
  <c r="Z44550" i="5"/>
  <c r="Z44549" i="5"/>
  <c r="Z44548" i="5"/>
  <c r="Z44547" i="5"/>
  <c r="Z44546" i="5"/>
  <c r="Z44545" i="5"/>
  <c r="Z44544" i="5"/>
  <c r="Z44543" i="5"/>
  <c r="Z44542" i="5"/>
  <c r="Z44541" i="5"/>
  <c r="Z44540" i="5"/>
  <c r="Z44539" i="5"/>
  <c r="Z44538" i="5"/>
  <c r="Z44537" i="5"/>
  <c r="Z44536" i="5"/>
  <c r="Z44535" i="5"/>
  <c r="Z44534" i="5"/>
  <c r="Z44533" i="5"/>
  <c r="Z44532" i="5"/>
  <c r="Z44531" i="5"/>
  <c r="Z44530" i="5"/>
  <c r="Z44529" i="5"/>
  <c r="Z44528" i="5"/>
  <c r="Z44527" i="5"/>
  <c r="Z44526" i="5"/>
  <c r="Z44525" i="5"/>
  <c r="Z44524" i="5"/>
  <c r="Z44523" i="5"/>
  <c r="Z44522" i="5"/>
  <c r="Z44521" i="5"/>
  <c r="Z44520" i="5"/>
  <c r="Z44519" i="5"/>
  <c r="Z44518" i="5"/>
  <c r="Z44517" i="5"/>
  <c r="Z44516" i="5"/>
  <c r="Z44515" i="5"/>
  <c r="Z44514" i="5"/>
  <c r="Z44513" i="5"/>
  <c r="Z44512" i="5"/>
  <c r="Z44511" i="5"/>
  <c r="Z44510" i="5"/>
  <c r="Z44509" i="5"/>
  <c r="Z44508" i="5"/>
  <c r="Z44507" i="5"/>
  <c r="Z44506" i="5"/>
  <c r="Z44505" i="5"/>
  <c r="Z44504" i="5"/>
  <c r="Z44503" i="5"/>
  <c r="Z44502" i="5"/>
  <c r="Z44501" i="5"/>
  <c r="Z44500" i="5"/>
  <c r="Z44499" i="5"/>
  <c r="Z44498" i="5"/>
  <c r="Z44497" i="5"/>
  <c r="Z44496" i="5"/>
  <c r="Z44495" i="5"/>
  <c r="Z44494" i="5"/>
  <c r="Z44493" i="5"/>
  <c r="Z44492" i="5"/>
  <c r="Z44491" i="5"/>
  <c r="Z44490" i="5"/>
  <c r="Z44489" i="5"/>
  <c r="Z44488" i="5"/>
  <c r="Z44487" i="5"/>
  <c r="Z44486" i="5"/>
  <c r="Z44485" i="5"/>
  <c r="Z44484" i="5"/>
  <c r="Z44483" i="5"/>
  <c r="Z44482" i="5"/>
  <c r="Z44481" i="5"/>
  <c r="Z44480" i="5"/>
  <c r="Z44479" i="5"/>
  <c r="Z44478" i="5"/>
  <c r="Z44477" i="5"/>
  <c r="Z44476" i="5"/>
  <c r="Z44475" i="5"/>
  <c r="Z44474" i="5"/>
  <c r="Z44473" i="5"/>
  <c r="Z44472" i="5"/>
  <c r="Z44471" i="5"/>
  <c r="Z44470" i="5"/>
  <c r="Z44469" i="5"/>
  <c r="Z44468" i="5"/>
  <c r="Z44467" i="5"/>
  <c r="Z44466" i="5"/>
  <c r="Z44465" i="5"/>
  <c r="Z44464" i="5"/>
  <c r="Z44463" i="5"/>
  <c r="Z44462" i="5"/>
  <c r="Z44461" i="5"/>
  <c r="Z44460" i="5"/>
  <c r="Z44459" i="5"/>
  <c r="Z44458" i="5"/>
  <c r="Z44457" i="5"/>
  <c r="Z44456" i="5"/>
  <c r="Z44455" i="5"/>
  <c r="Z44454" i="5"/>
  <c r="Z44453" i="5"/>
  <c r="Z44452" i="5"/>
  <c r="Z44451" i="5"/>
  <c r="Z44450" i="5"/>
  <c r="Z44449" i="5"/>
  <c r="Z44448" i="5"/>
  <c r="Z44447" i="5"/>
  <c r="Z44446" i="5"/>
  <c r="Z44445" i="5"/>
  <c r="Z44444" i="5"/>
  <c r="Z44443" i="5"/>
  <c r="Z44442" i="5"/>
  <c r="Z44441" i="5"/>
  <c r="Z44440" i="5"/>
  <c r="Z44439" i="5"/>
  <c r="Z44438" i="5"/>
  <c r="Z44437" i="5"/>
  <c r="Z44436" i="5"/>
  <c r="Z44435" i="5"/>
  <c r="Z44434" i="5"/>
  <c r="Z44433" i="5"/>
  <c r="Z44432" i="5"/>
  <c r="Z44431" i="5"/>
  <c r="Z44430" i="5"/>
  <c r="Z44429" i="5"/>
  <c r="Z44428" i="5"/>
  <c r="Z44427" i="5"/>
  <c r="Z44426" i="5"/>
  <c r="Z44425" i="5"/>
  <c r="Z44424" i="5"/>
  <c r="Z44423" i="5"/>
  <c r="Z44422" i="5"/>
  <c r="Z44421" i="5"/>
  <c r="Z44420" i="5"/>
  <c r="Z44419" i="5"/>
  <c r="Z44418" i="5"/>
  <c r="Z44417" i="5"/>
  <c r="Z44416" i="5"/>
  <c r="Z44415" i="5"/>
  <c r="Z44414" i="5"/>
  <c r="Z44413" i="5"/>
  <c r="Z44412" i="5"/>
  <c r="Z44411" i="5"/>
  <c r="Z44410" i="5"/>
  <c r="Z44409" i="5"/>
  <c r="Z44408" i="5"/>
  <c r="Z44407" i="5"/>
  <c r="Z44406" i="5"/>
  <c r="Z44405" i="5"/>
  <c r="Z44404" i="5"/>
  <c r="Z44403" i="5"/>
  <c r="Z44402" i="5"/>
  <c r="Z44401" i="5"/>
  <c r="Z44400" i="5"/>
  <c r="Z44399" i="5"/>
  <c r="Z44398" i="5"/>
  <c r="Z44397" i="5"/>
  <c r="Z44396" i="5"/>
  <c r="Z44395" i="5"/>
  <c r="Z44394" i="5"/>
  <c r="Z44393" i="5"/>
  <c r="Z44392" i="5"/>
  <c r="Z44391" i="5"/>
  <c r="Z44390" i="5"/>
  <c r="Z44389" i="5"/>
  <c r="Z44388" i="5"/>
  <c r="Z44387" i="5"/>
  <c r="Z44386" i="5"/>
  <c r="Z44385" i="5"/>
  <c r="Z44384" i="5"/>
  <c r="Z44383" i="5"/>
  <c r="Z44382" i="5"/>
  <c r="Z44381" i="5"/>
  <c r="Z44380" i="5"/>
  <c r="Z44379" i="5"/>
  <c r="Z44378" i="5"/>
  <c r="Z44377" i="5"/>
  <c r="Z44376" i="5"/>
  <c r="Z44375" i="5"/>
  <c r="Z44374" i="5"/>
  <c r="Z44373" i="5"/>
  <c r="Z44372" i="5"/>
  <c r="Z44371" i="5"/>
  <c r="Z44370" i="5"/>
  <c r="Z44369" i="5"/>
  <c r="Z44368" i="5"/>
  <c r="Z44367" i="5"/>
  <c r="Z44366" i="5"/>
  <c r="Z44365" i="5"/>
  <c r="Z44364" i="5"/>
  <c r="Z44363" i="5"/>
  <c r="Z44362" i="5"/>
  <c r="Z44361" i="5"/>
  <c r="Z44360" i="5"/>
  <c r="Z44359" i="5"/>
  <c r="Z44358" i="5"/>
  <c r="Z44357" i="5"/>
  <c r="Z44356" i="5"/>
  <c r="Z44355" i="5"/>
  <c r="Z44354" i="5"/>
  <c r="Z44353" i="5"/>
  <c r="Z44352" i="5"/>
  <c r="Z44351" i="5"/>
  <c r="Z44350" i="5"/>
  <c r="Z44349" i="5"/>
  <c r="Z44348" i="5"/>
  <c r="Z44347" i="5"/>
  <c r="Z44346" i="5"/>
  <c r="Z44345" i="5"/>
  <c r="Z44344" i="5"/>
  <c r="Z44343" i="5"/>
  <c r="Z44342" i="5"/>
  <c r="Z44341" i="5"/>
  <c r="Z44340" i="5"/>
  <c r="Z44339" i="5"/>
  <c r="Z44338" i="5"/>
  <c r="Z44337" i="5"/>
  <c r="Z44336" i="5"/>
  <c r="Z44335" i="5"/>
  <c r="Z44334" i="5"/>
  <c r="Z44333" i="5"/>
  <c r="Z44332" i="5"/>
  <c r="Z44331" i="5"/>
  <c r="Z44330" i="5"/>
  <c r="Z44329" i="5"/>
  <c r="Z44328" i="5"/>
  <c r="Z44327" i="5"/>
  <c r="Z44326" i="5"/>
  <c r="Z44325" i="5"/>
  <c r="Z44324" i="5"/>
  <c r="Z44323" i="5"/>
  <c r="Z44322" i="5"/>
  <c r="Z44321" i="5"/>
  <c r="Z44320" i="5"/>
  <c r="Z44319" i="5"/>
  <c r="Z44318" i="5"/>
  <c r="Z44317" i="5"/>
  <c r="Z44316" i="5"/>
  <c r="Z44315" i="5"/>
  <c r="Z44314" i="5"/>
  <c r="Z44313" i="5"/>
  <c r="Z44312" i="5"/>
  <c r="Z44311" i="5"/>
  <c r="Z44310" i="5"/>
  <c r="Z44309" i="5"/>
  <c r="Z44308" i="5"/>
  <c r="Z44307" i="5"/>
  <c r="Z44306" i="5"/>
  <c r="Z44305" i="5"/>
  <c r="Z44304" i="5"/>
  <c r="Z44303" i="5"/>
  <c r="Z44302" i="5"/>
  <c r="Z44301" i="5"/>
  <c r="Z44300" i="5"/>
  <c r="Z44299" i="5"/>
  <c r="Z44298" i="5"/>
  <c r="Z44297" i="5"/>
  <c r="Z44296" i="5"/>
  <c r="Z44295" i="5"/>
  <c r="Z44294" i="5"/>
  <c r="Z44293" i="5"/>
  <c r="Z44292" i="5"/>
  <c r="Z44291" i="5"/>
  <c r="Z44290" i="5"/>
  <c r="Z44289" i="5"/>
  <c r="Z44288" i="5"/>
  <c r="Z44287" i="5"/>
  <c r="Z44286" i="5"/>
  <c r="Z44285" i="5"/>
  <c r="Z44284" i="5"/>
  <c r="Z44283" i="5"/>
  <c r="Z44282" i="5"/>
  <c r="Z44281" i="5"/>
  <c r="Z44280" i="5"/>
  <c r="Z44279" i="5"/>
  <c r="Z44278" i="5"/>
  <c r="Z44277" i="5"/>
  <c r="Z44276" i="5"/>
  <c r="Z44275" i="5"/>
  <c r="Z44274" i="5"/>
  <c r="Z44273" i="5"/>
  <c r="Z44272" i="5"/>
  <c r="Z44271" i="5"/>
  <c r="Z44270" i="5"/>
  <c r="Z44269" i="5"/>
  <c r="Z44268" i="5"/>
  <c r="Z44267" i="5"/>
  <c r="Z44266" i="5"/>
  <c r="Z44265" i="5"/>
  <c r="Z44264" i="5"/>
  <c r="Z44263" i="5"/>
  <c r="Z44262" i="5"/>
  <c r="Z44261" i="5"/>
  <c r="Z44260" i="5"/>
  <c r="Z44259" i="5"/>
  <c r="Z44258" i="5"/>
  <c r="Z44257" i="5"/>
  <c r="Z44256" i="5"/>
  <c r="Z44255" i="5"/>
  <c r="Z44254" i="5"/>
  <c r="Z44253" i="5"/>
  <c r="Z44252" i="5"/>
  <c r="Z44251" i="5"/>
  <c r="Z44250" i="5"/>
  <c r="Z44249" i="5"/>
  <c r="Z44248" i="5"/>
  <c r="Z44247" i="5"/>
  <c r="Z44246" i="5"/>
  <c r="Z44245" i="5"/>
  <c r="Z44244" i="5"/>
  <c r="Z44243" i="5"/>
  <c r="Z44242" i="5"/>
  <c r="Z44241" i="5"/>
  <c r="Z44240" i="5"/>
  <c r="Z44239" i="5"/>
  <c r="Z44238" i="5"/>
  <c r="Z44237" i="5"/>
  <c r="Z44236" i="5"/>
  <c r="Z44235" i="5"/>
  <c r="Z44234" i="5"/>
  <c r="Z44233" i="5"/>
  <c r="Z44232" i="5"/>
  <c r="Z44231" i="5"/>
  <c r="Z44230" i="5"/>
  <c r="Z44229" i="5"/>
  <c r="Z44228" i="5"/>
  <c r="Z44227" i="5"/>
  <c r="Z44226" i="5"/>
  <c r="Z44225" i="5"/>
  <c r="Z44224" i="5"/>
  <c r="Z44223" i="5"/>
  <c r="Z44222" i="5"/>
  <c r="Z44221" i="5"/>
  <c r="Z44220" i="5"/>
  <c r="Z44219" i="5"/>
  <c r="Z44218" i="5"/>
  <c r="Z44217" i="5"/>
  <c r="Z44216" i="5"/>
  <c r="Z44215" i="5"/>
  <c r="Z44214" i="5"/>
  <c r="Z44213" i="5"/>
  <c r="Z44212" i="5"/>
  <c r="Z44211" i="5"/>
  <c r="Z44210" i="5"/>
  <c r="Z44209" i="5"/>
  <c r="Z44208" i="5"/>
  <c r="Z44207" i="5"/>
  <c r="Z44206" i="5"/>
  <c r="Z44205" i="5"/>
  <c r="Z44204" i="5"/>
  <c r="Z44203" i="5"/>
  <c r="Z44202" i="5"/>
  <c r="Z44201" i="5"/>
  <c r="Z44200" i="5"/>
  <c r="Z44199" i="5"/>
  <c r="Z44198" i="5"/>
  <c r="Z44197" i="5"/>
  <c r="Z44196" i="5"/>
  <c r="Z44195" i="5"/>
  <c r="Z44194" i="5"/>
  <c r="Z44193" i="5"/>
  <c r="Z44192" i="5"/>
  <c r="Z44191" i="5"/>
  <c r="Z44190" i="5"/>
  <c r="Z44189" i="5"/>
  <c r="Z44188" i="5"/>
  <c r="Z44187" i="5"/>
  <c r="Z44186" i="5"/>
  <c r="Z44185" i="5"/>
  <c r="Z44184" i="5"/>
  <c r="Z44183" i="5"/>
  <c r="Z44182" i="5"/>
  <c r="Z44181" i="5"/>
  <c r="Z44180" i="5"/>
  <c r="Z44179" i="5"/>
  <c r="Z44178" i="5"/>
  <c r="Z44177" i="5"/>
  <c r="Z44176" i="5"/>
  <c r="Z44175" i="5"/>
  <c r="Z44174" i="5"/>
  <c r="Z44173" i="5"/>
  <c r="Z44172" i="5"/>
  <c r="Z44171" i="5"/>
  <c r="Z44170" i="5"/>
  <c r="Z44169" i="5"/>
  <c r="Z44168" i="5"/>
  <c r="Z44167" i="5"/>
  <c r="Z44166" i="5"/>
  <c r="Z44165" i="5"/>
  <c r="Z44164" i="5"/>
  <c r="Z44163" i="5"/>
  <c r="Z44162" i="5"/>
  <c r="Z44161" i="5"/>
  <c r="Z44160" i="5"/>
  <c r="Z44159" i="5"/>
  <c r="Z44158" i="5"/>
  <c r="Z44157" i="5"/>
  <c r="Z44156" i="5"/>
  <c r="Z44155" i="5"/>
  <c r="Z44154" i="5"/>
  <c r="Z44153" i="5"/>
  <c r="Z44152" i="5"/>
  <c r="Z44151" i="5"/>
  <c r="Z44150" i="5"/>
  <c r="Z44149" i="5"/>
  <c r="Z44148" i="5"/>
  <c r="Z44147" i="5"/>
  <c r="Z44146" i="5"/>
  <c r="Z44145" i="5"/>
  <c r="Z44144" i="5"/>
  <c r="Z44143" i="5"/>
  <c r="Z44142" i="5"/>
  <c r="Z44141" i="5"/>
  <c r="Z44140" i="5"/>
  <c r="Z44139" i="5"/>
  <c r="Z44138" i="5"/>
  <c r="Z44137" i="5"/>
  <c r="Z44136" i="5"/>
  <c r="Z44135" i="5"/>
  <c r="Z44134" i="5"/>
  <c r="Z44133" i="5"/>
  <c r="Z44132" i="5"/>
  <c r="Z44131" i="5"/>
  <c r="Z44130" i="5"/>
  <c r="Z44129" i="5"/>
  <c r="Z44128" i="5"/>
  <c r="Z44127" i="5"/>
  <c r="Z44126" i="5"/>
  <c r="Z44125" i="5"/>
  <c r="Z44124" i="5"/>
  <c r="Z44123" i="5"/>
  <c r="Z44122" i="5"/>
  <c r="Z44121" i="5"/>
  <c r="Z44120" i="5"/>
  <c r="Z44119" i="5"/>
  <c r="Z44118" i="5"/>
  <c r="Z44117" i="5"/>
  <c r="Z44116" i="5"/>
  <c r="Z44115" i="5"/>
  <c r="Z44114" i="5"/>
  <c r="Z44113" i="5"/>
  <c r="Z44112" i="5"/>
  <c r="Z44111" i="5"/>
  <c r="Z44110" i="5"/>
  <c r="Z44109" i="5"/>
  <c r="Z44108" i="5"/>
  <c r="Z44107" i="5"/>
  <c r="Z44106" i="5"/>
  <c r="Z44105" i="5"/>
  <c r="Z44104" i="5"/>
  <c r="Z44103" i="5"/>
  <c r="Z44102" i="5"/>
  <c r="Z44101" i="5"/>
  <c r="Z44100" i="5"/>
  <c r="Z44099" i="5"/>
  <c r="Z44098" i="5"/>
  <c r="Z44097" i="5"/>
  <c r="Z44096" i="5"/>
  <c r="Z44095" i="5"/>
  <c r="Z44094" i="5"/>
  <c r="Z44093" i="5"/>
  <c r="Z44092" i="5"/>
  <c r="Z44091" i="5"/>
  <c r="Z44090" i="5"/>
  <c r="Z44089" i="5"/>
  <c r="Z44088" i="5"/>
  <c r="Z44087" i="5"/>
  <c r="Z44086" i="5"/>
  <c r="Z44085" i="5"/>
  <c r="Z44084" i="5"/>
  <c r="Z44083" i="5"/>
  <c r="Z44082" i="5"/>
  <c r="Z44081" i="5"/>
  <c r="Z44080" i="5"/>
  <c r="Z44079" i="5"/>
  <c r="Z44078" i="5"/>
  <c r="Z44077" i="5"/>
  <c r="Z44076" i="5"/>
  <c r="Z44075" i="5"/>
  <c r="Z44074" i="5"/>
  <c r="Z44073" i="5"/>
  <c r="Z44072" i="5"/>
  <c r="Z44071" i="5"/>
  <c r="Z44070" i="5"/>
  <c r="Z44069" i="5"/>
  <c r="Z44068" i="5"/>
  <c r="Z44067" i="5"/>
  <c r="Z44066" i="5"/>
  <c r="Z44065" i="5"/>
  <c r="Z44064" i="5"/>
  <c r="Z44063" i="5"/>
  <c r="Z44062" i="5"/>
  <c r="Z44061" i="5"/>
  <c r="Z44060" i="5"/>
  <c r="Z44059" i="5"/>
  <c r="Z44058" i="5"/>
  <c r="Z44057" i="5"/>
  <c r="Z44056" i="5"/>
  <c r="Z44055" i="5"/>
  <c r="Z44054" i="5"/>
  <c r="Z44053" i="5"/>
  <c r="Z44052" i="5"/>
  <c r="Z44051" i="5"/>
  <c r="Z44050" i="5"/>
  <c r="Z44049" i="5"/>
  <c r="Z44048" i="5"/>
  <c r="Z44047" i="5"/>
  <c r="Z44046" i="5"/>
  <c r="Z44045" i="5"/>
  <c r="Z44044" i="5"/>
  <c r="Z44043" i="5"/>
  <c r="Z44042" i="5"/>
  <c r="Z44041" i="5"/>
  <c r="Z44040" i="5"/>
  <c r="Z44039" i="5"/>
  <c r="Z44038" i="5"/>
  <c r="Z44037" i="5"/>
  <c r="Z44036" i="5"/>
  <c r="Z44035" i="5"/>
  <c r="Z44034" i="5"/>
  <c r="Z44033" i="5"/>
  <c r="Z44032" i="5"/>
  <c r="Z44031" i="5"/>
  <c r="Z44030" i="5"/>
  <c r="Z44029" i="5"/>
  <c r="Z44028" i="5"/>
  <c r="Z44027" i="5"/>
  <c r="Z44026" i="5"/>
  <c r="Z44025" i="5"/>
  <c r="Z44024" i="5"/>
  <c r="Z44023" i="5"/>
  <c r="Z44022" i="5"/>
  <c r="Z44021" i="5"/>
  <c r="Z44020" i="5"/>
  <c r="Z44019" i="5"/>
  <c r="Z44018" i="5"/>
  <c r="Z44017" i="5"/>
  <c r="Z44016" i="5"/>
  <c r="Z44015" i="5"/>
  <c r="Z44014" i="5"/>
  <c r="Z44013" i="5"/>
  <c r="Z44012" i="5"/>
  <c r="Z44011" i="5"/>
  <c r="Z44010" i="5"/>
  <c r="Z44009" i="5"/>
  <c r="Z44008" i="5"/>
  <c r="Z44007" i="5"/>
  <c r="Z44006" i="5"/>
  <c r="Z44005" i="5"/>
  <c r="Z44004" i="5"/>
  <c r="Z44003" i="5"/>
  <c r="Z44002" i="5"/>
  <c r="Z44001" i="5"/>
  <c r="Z44000" i="5"/>
  <c r="Z43999" i="5"/>
  <c r="Z43998" i="5"/>
  <c r="Z43997" i="5"/>
  <c r="Z43996" i="5"/>
  <c r="Z43995" i="5"/>
  <c r="Z43994" i="5"/>
  <c r="Z43993" i="5"/>
  <c r="Z43992" i="5"/>
  <c r="Z43991" i="5"/>
  <c r="Z43990" i="5"/>
  <c r="Z43989" i="5"/>
  <c r="Z43988" i="5"/>
  <c r="Z43987" i="5"/>
  <c r="Z43986" i="5"/>
  <c r="Z43985" i="5"/>
  <c r="Z43984" i="5"/>
  <c r="Z43983" i="5"/>
  <c r="Z43982" i="5"/>
  <c r="Z43981" i="5"/>
  <c r="Z43980" i="5"/>
  <c r="Z43979" i="5"/>
  <c r="Z43978" i="5"/>
  <c r="Z43977" i="5"/>
  <c r="Z43976" i="5"/>
  <c r="Z43975" i="5"/>
  <c r="Z43974" i="5"/>
  <c r="Z43973" i="5"/>
  <c r="Z43972" i="5"/>
  <c r="Z43971" i="5"/>
  <c r="Z43970" i="5"/>
  <c r="Z43969" i="5"/>
  <c r="Z43968" i="5"/>
  <c r="Z43967" i="5"/>
  <c r="Z43966" i="5"/>
  <c r="Z43965" i="5"/>
  <c r="Z43964" i="5"/>
  <c r="Z43963" i="5"/>
  <c r="Z43962" i="5"/>
  <c r="Z43961" i="5"/>
  <c r="Z43960" i="5"/>
  <c r="Z43959" i="5"/>
  <c r="Z43958" i="5"/>
  <c r="Z43957" i="5"/>
  <c r="Z43956" i="5"/>
  <c r="Z43955" i="5"/>
  <c r="Z43954" i="5"/>
  <c r="Z43953" i="5"/>
  <c r="Z43952" i="5"/>
  <c r="Z43951" i="5"/>
  <c r="Z43950" i="5"/>
  <c r="Z43949" i="5"/>
  <c r="Z43948" i="5"/>
  <c r="Z43947" i="5"/>
  <c r="Z43946" i="5"/>
  <c r="Z43945" i="5"/>
  <c r="Z43944" i="5"/>
  <c r="Z43943" i="5"/>
  <c r="Z43942" i="5"/>
  <c r="Z43941" i="5"/>
  <c r="Z43940" i="5"/>
  <c r="Z43939" i="5"/>
  <c r="Z43938" i="5"/>
  <c r="Z43937" i="5"/>
  <c r="Z43936" i="5"/>
  <c r="Z43935" i="5"/>
  <c r="Z43934" i="5"/>
  <c r="Z43933" i="5"/>
  <c r="Z43932" i="5"/>
  <c r="Z43931" i="5"/>
  <c r="Z43930" i="5"/>
  <c r="Z43929" i="5"/>
  <c r="Z43928" i="5"/>
  <c r="Z43927" i="5"/>
  <c r="Z43926" i="5"/>
  <c r="Z43925" i="5"/>
  <c r="Z43924" i="5"/>
  <c r="Z43923" i="5"/>
  <c r="Z43922" i="5"/>
  <c r="Z43921" i="5"/>
  <c r="Z43920" i="5"/>
  <c r="Z43919" i="5"/>
  <c r="Z43918" i="5"/>
  <c r="Z43917" i="5"/>
  <c r="Z43916" i="5"/>
  <c r="Z43915" i="5"/>
  <c r="Z43914" i="5"/>
  <c r="Z43913" i="5"/>
  <c r="Z43912" i="5"/>
  <c r="Z43911" i="5"/>
  <c r="Z43910" i="5"/>
  <c r="Z43909" i="5"/>
  <c r="Z43908" i="5"/>
  <c r="Z43907" i="5"/>
  <c r="Z43906" i="5"/>
  <c r="Z43905" i="5"/>
  <c r="Z43904" i="5"/>
  <c r="Z43903" i="5"/>
  <c r="Z43902" i="5"/>
  <c r="Z43901" i="5"/>
  <c r="Z43900" i="5"/>
  <c r="Z43899" i="5"/>
  <c r="Z43898" i="5"/>
  <c r="Z43897" i="5"/>
  <c r="Z43896" i="5"/>
  <c r="Z43895" i="5"/>
  <c r="Z43894" i="5"/>
  <c r="Z43893" i="5"/>
  <c r="Z43892" i="5"/>
  <c r="Z43891" i="5"/>
  <c r="Z43890" i="5"/>
  <c r="Z43889" i="5"/>
  <c r="Z43888" i="5"/>
  <c r="Z43887" i="5"/>
  <c r="Z43886" i="5"/>
  <c r="Z43885" i="5"/>
  <c r="Z43884" i="5"/>
  <c r="Z43883" i="5"/>
  <c r="Z43882" i="5"/>
  <c r="Z43881" i="5"/>
  <c r="Z43880" i="5"/>
  <c r="Z43879" i="5"/>
  <c r="Z43878" i="5"/>
  <c r="Z43877" i="5"/>
  <c r="Z43876" i="5"/>
  <c r="Z43875" i="5"/>
  <c r="Z43874" i="5"/>
  <c r="Z43873" i="5"/>
  <c r="Z43872" i="5"/>
  <c r="Z43871" i="5"/>
  <c r="Z43870" i="5"/>
  <c r="Z43869" i="5"/>
  <c r="Z43868" i="5"/>
  <c r="Z43867" i="5"/>
  <c r="Z43866" i="5"/>
  <c r="Z43865" i="5"/>
  <c r="Z43864" i="5"/>
  <c r="Z43863" i="5"/>
  <c r="Z43862" i="5"/>
  <c r="Z43861" i="5"/>
  <c r="Z43860" i="5"/>
  <c r="Z43859" i="5"/>
  <c r="Z43858" i="5"/>
  <c r="Z43857" i="5"/>
  <c r="Z43856" i="5"/>
  <c r="Z43855" i="5"/>
  <c r="Z43854" i="5"/>
  <c r="Z43853" i="5"/>
  <c r="Z43852" i="5"/>
  <c r="Z43851" i="5"/>
  <c r="Z43850" i="5"/>
  <c r="Z43849" i="5"/>
  <c r="Z43848" i="5"/>
  <c r="Z43847" i="5"/>
  <c r="Z43846" i="5"/>
  <c r="Z43845" i="5"/>
  <c r="Z43844" i="5"/>
  <c r="Z43843" i="5"/>
  <c r="Z43842" i="5"/>
  <c r="Z43841" i="5"/>
  <c r="Z43840" i="5"/>
  <c r="Z43839" i="5"/>
  <c r="Z43838" i="5"/>
  <c r="Z43837" i="5"/>
  <c r="Z43836" i="5"/>
  <c r="Z43835" i="5"/>
  <c r="Z43834" i="5"/>
  <c r="Z43833" i="5"/>
  <c r="Z43832" i="5"/>
  <c r="Z43831" i="5"/>
  <c r="Z43830" i="5"/>
  <c r="Z43829" i="5"/>
  <c r="Z43828" i="5"/>
  <c r="Z43827" i="5"/>
  <c r="Z43826" i="5"/>
  <c r="Z43825" i="5"/>
  <c r="Z43824" i="5"/>
  <c r="Z43823" i="5"/>
  <c r="Z43822" i="5"/>
  <c r="Z43821" i="5"/>
  <c r="Z43820" i="5"/>
  <c r="Z43819" i="5"/>
  <c r="Z43818" i="5"/>
  <c r="Z43817" i="5"/>
  <c r="Z43816" i="5"/>
  <c r="Z43815" i="5"/>
  <c r="Z43814" i="5"/>
  <c r="Z43813" i="5"/>
  <c r="Z43812" i="5"/>
  <c r="Z43811" i="5"/>
  <c r="Z43810" i="5"/>
  <c r="Z43809" i="5"/>
  <c r="Z43808" i="5"/>
  <c r="Z43807" i="5"/>
  <c r="Z43806" i="5"/>
  <c r="Z43805" i="5"/>
  <c r="Z43804" i="5"/>
  <c r="Z43803" i="5"/>
  <c r="Z43802" i="5"/>
  <c r="Z43801" i="5"/>
  <c r="Z43800" i="5"/>
  <c r="Z43799" i="5"/>
  <c r="Z43798" i="5"/>
  <c r="Z43797" i="5"/>
  <c r="Z43796" i="5"/>
  <c r="Z43795" i="5"/>
  <c r="Z43794" i="5"/>
  <c r="Z43793" i="5"/>
  <c r="Z43792" i="5"/>
  <c r="Z43791" i="5"/>
  <c r="Z43790" i="5"/>
  <c r="Z43789" i="5"/>
  <c r="Z43788" i="5"/>
  <c r="Z43787" i="5"/>
  <c r="Z43786" i="5"/>
  <c r="Z43785" i="5"/>
  <c r="Z43784" i="5"/>
  <c r="Z43783" i="5"/>
  <c r="Z43782" i="5"/>
  <c r="Z43781" i="5"/>
  <c r="Z43780" i="5"/>
  <c r="Z43779" i="5"/>
  <c r="Z43778" i="5"/>
  <c r="Z43777" i="5"/>
  <c r="Z43776" i="5"/>
  <c r="Z43775" i="5"/>
  <c r="Z43774" i="5"/>
  <c r="Z43773" i="5"/>
  <c r="Z43772" i="5"/>
  <c r="Z43771" i="5"/>
  <c r="Z43770" i="5"/>
  <c r="Z43769" i="5"/>
  <c r="Z43768" i="5"/>
  <c r="Z43767" i="5"/>
  <c r="Z43766" i="5"/>
  <c r="Z43765" i="5"/>
  <c r="Z43764" i="5"/>
  <c r="Z43763" i="5"/>
  <c r="Z43762" i="5"/>
  <c r="Z43761" i="5"/>
  <c r="Z43760" i="5"/>
  <c r="Z43759" i="5"/>
  <c r="Z43758" i="5"/>
  <c r="Z43757" i="5"/>
  <c r="Z43756" i="5"/>
  <c r="Z43755" i="5"/>
  <c r="Z43754" i="5"/>
  <c r="Z43753" i="5"/>
  <c r="Z43752" i="5"/>
  <c r="Z43751" i="5"/>
  <c r="Z43750" i="5"/>
  <c r="Z43749" i="5"/>
  <c r="Z43748" i="5"/>
  <c r="Z43747" i="5"/>
  <c r="Z43746" i="5"/>
  <c r="Z43745" i="5"/>
  <c r="Z43744" i="5"/>
  <c r="Z43743" i="5"/>
  <c r="Z43742" i="5"/>
  <c r="Z43741" i="5"/>
  <c r="Z43740" i="5"/>
  <c r="Z43739" i="5"/>
  <c r="Z43738" i="5"/>
  <c r="Z43737" i="5"/>
  <c r="Z43736" i="5"/>
  <c r="Z43735" i="5"/>
  <c r="Z43734" i="5"/>
  <c r="Z43733" i="5"/>
  <c r="Z43732" i="5"/>
  <c r="Z43731" i="5"/>
  <c r="Z43730" i="5"/>
  <c r="Z43729" i="5"/>
  <c r="Z43728" i="5"/>
  <c r="Z43727" i="5"/>
  <c r="Z43726" i="5"/>
  <c r="Z43725" i="5"/>
  <c r="Z43724" i="5"/>
  <c r="Z43723" i="5"/>
  <c r="Z43722" i="5"/>
  <c r="Z43721" i="5"/>
  <c r="Z43720" i="5"/>
  <c r="Z43719" i="5"/>
  <c r="Z43718" i="5"/>
  <c r="Z43717" i="5"/>
  <c r="Z43716" i="5"/>
  <c r="Z43715" i="5"/>
  <c r="Z43714" i="5"/>
  <c r="Z43713" i="5"/>
  <c r="Z43712" i="5"/>
  <c r="Z43711" i="5"/>
  <c r="Z43710" i="5"/>
  <c r="Z43709" i="5"/>
  <c r="Z43708" i="5"/>
  <c r="Z43707" i="5"/>
  <c r="Z43706" i="5"/>
  <c r="Z43705" i="5"/>
  <c r="Z43704" i="5"/>
  <c r="Z43703" i="5"/>
  <c r="Z43702" i="5"/>
  <c r="Z43701" i="5"/>
  <c r="Z43700" i="5"/>
  <c r="Z43699" i="5"/>
  <c r="Z43698" i="5"/>
  <c r="Z43697" i="5"/>
  <c r="Z43696" i="5"/>
  <c r="Z43695" i="5"/>
  <c r="Z43694" i="5"/>
  <c r="Z43693" i="5"/>
  <c r="Z43692" i="5"/>
  <c r="Z43691" i="5"/>
  <c r="Z43690" i="5"/>
  <c r="Z43689" i="5"/>
  <c r="Z43688" i="5"/>
  <c r="Z43687" i="5"/>
  <c r="Z43686" i="5"/>
  <c r="Z43685" i="5"/>
  <c r="Z43684" i="5"/>
  <c r="Z43683" i="5"/>
  <c r="Z43682" i="5"/>
  <c r="Z43681" i="5"/>
  <c r="Z43680" i="5"/>
  <c r="Z43679" i="5"/>
  <c r="Z43678" i="5"/>
  <c r="Z43677" i="5"/>
  <c r="Z43676" i="5"/>
  <c r="Z43675" i="5"/>
  <c r="Z43674" i="5"/>
  <c r="Z43673" i="5"/>
  <c r="Z43672" i="5"/>
  <c r="Z43671" i="5"/>
  <c r="Z43670" i="5"/>
  <c r="Z43669" i="5"/>
  <c r="Z43668" i="5"/>
  <c r="Z43667" i="5"/>
  <c r="Z43666" i="5"/>
  <c r="Z43665" i="5"/>
  <c r="Z43664" i="5"/>
  <c r="Z43663" i="5"/>
  <c r="Z43662" i="5"/>
  <c r="Z43661" i="5"/>
  <c r="Z43660" i="5"/>
  <c r="Z43659" i="5"/>
  <c r="Z43658" i="5"/>
  <c r="Z43657" i="5"/>
  <c r="Z43656" i="5"/>
  <c r="Z43655" i="5"/>
  <c r="Z43654" i="5"/>
  <c r="Z43653" i="5"/>
  <c r="Z43652" i="5"/>
  <c r="Z43651" i="5"/>
  <c r="Z43650" i="5"/>
  <c r="Z43649" i="5"/>
  <c r="Z43648" i="5"/>
  <c r="Z43647" i="5"/>
  <c r="Z43646" i="5"/>
  <c r="Z43645" i="5"/>
  <c r="Z43644" i="5"/>
  <c r="Z43643" i="5"/>
  <c r="Z43642" i="5"/>
  <c r="Z43641" i="5"/>
  <c r="Z43640" i="5"/>
  <c r="Z43639" i="5"/>
  <c r="Z43638" i="5"/>
  <c r="Z43637" i="5"/>
  <c r="Z43636" i="5"/>
  <c r="Z43635" i="5"/>
  <c r="Z43634" i="5"/>
  <c r="Z43633" i="5"/>
  <c r="Z43632" i="5"/>
  <c r="Z43631" i="5"/>
  <c r="Z43630" i="5"/>
  <c r="Z43629" i="5"/>
  <c r="Z43628" i="5"/>
  <c r="Z43627" i="5"/>
  <c r="Z43626" i="5"/>
  <c r="Z43625" i="5"/>
  <c r="Z43624" i="5"/>
  <c r="Z43623" i="5"/>
  <c r="Z43622" i="5"/>
  <c r="Z43621" i="5"/>
  <c r="Z43620" i="5"/>
  <c r="Z43619" i="5"/>
  <c r="Z43618" i="5"/>
  <c r="Z43617" i="5"/>
  <c r="Z43616" i="5"/>
  <c r="Z43615" i="5"/>
  <c r="Z43614" i="5"/>
  <c r="Z43613" i="5"/>
  <c r="Z43612" i="5"/>
  <c r="Z43611" i="5"/>
  <c r="Z43610" i="5"/>
  <c r="Z43609" i="5"/>
  <c r="Z43608" i="5"/>
  <c r="Z43607" i="5"/>
  <c r="Z43606" i="5"/>
  <c r="Z43605" i="5"/>
  <c r="Z43604" i="5"/>
  <c r="Z43603" i="5"/>
  <c r="Z43602" i="5"/>
  <c r="Z43601" i="5"/>
  <c r="Z43600" i="5"/>
  <c r="Z43599" i="5"/>
  <c r="Z43598" i="5"/>
  <c r="Z43597" i="5"/>
  <c r="Z43596" i="5"/>
  <c r="Z43595" i="5"/>
  <c r="Z43594" i="5"/>
  <c r="Z43593" i="5"/>
  <c r="Z43592" i="5"/>
  <c r="Z43591" i="5"/>
  <c r="Z43590" i="5"/>
  <c r="Z43589" i="5"/>
  <c r="Z43588" i="5"/>
  <c r="Z43587" i="5"/>
  <c r="Z43586" i="5"/>
  <c r="Z43585" i="5"/>
  <c r="Z43584" i="5"/>
  <c r="Z43583" i="5"/>
  <c r="Z43582" i="5"/>
  <c r="Z43581" i="5"/>
  <c r="Z43580" i="5"/>
  <c r="Z43579" i="5"/>
  <c r="Z43578" i="5"/>
  <c r="Z43577" i="5"/>
  <c r="Z43576" i="5"/>
  <c r="Z43575" i="5"/>
  <c r="Z43574" i="5"/>
  <c r="Z43573" i="5"/>
  <c r="Z43572" i="5"/>
  <c r="Z43571" i="5"/>
  <c r="Z43570" i="5"/>
  <c r="Z43569" i="5"/>
  <c r="Z43568" i="5"/>
  <c r="Z43567" i="5"/>
  <c r="Z43566" i="5"/>
  <c r="Z43565" i="5"/>
  <c r="Z43564" i="5"/>
  <c r="Z43563" i="5"/>
  <c r="Z43562" i="5"/>
  <c r="Z43561" i="5"/>
  <c r="Z43560" i="5"/>
  <c r="Z43559" i="5"/>
  <c r="Z43558" i="5"/>
  <c r="Z43557" i="5"/>
  <c r="Z43556" i="5"/>
  <c r="Z43555" i="5"/>
  <c r="Z43554" i="5"/>
  <c r="Z43553" i="5"/>
  <c r="Z43552" i="5"/>
  <c r="Z43551" i="5"/>
  <c r="Z43550" i="5"/>
  <c r="Z43549" i="5"/>
  <c r="Z43548" i="5"/>
  <c r="Z43547" i="5"/>
  <c r="Z43546" i="5"/>
  <c r="Z43545" i="5"/>
  <c r="Z43544" i="5"/>
  <c r="Z43543" i="5"/>
  <c r="Z43542" i="5"/>
  <c r="Z43541" i="5"/>
  <c r="Z43540" i="5"/>
  <c r="Z43539" i="5"/>
  <c r="Z43538" i="5"/>
  <c r="Z43537" i="5"/>
  <c r="Z43536" i="5"/>
  <c r="Z43535" i="5"/>
  <c r="Z43534" i="5"/>
  <c r="Z43533" i="5"/>
  <c r="Z43532" i="5"/>
  <c r="Z43531" i="5"/>
  <c r="Z43530" i="5"/>
  <c r="Z43529" i="5"/>
  <c r="Z43528" i="5"/>
  <c r="Z43527" i="5"/>
  <c r="Z43526" i="5"/>
  <c r="Z43525" i="5"/>
  <c r="Z43524" i="5"/>
  <c r="Z43523" i="5"/>
  <c r="Z43522" i="5"/>
  <c r="Z43521" i="5"/>
  <c r="Z43520" i="5"/>
  <c r="Z43519" i="5"/>
  <c r="Z43518" i="5"/>
  <c r="Z43517" i="5"/>
  <c r="Z43516" i="5"/>
  <c r="Z43515" i="5"/>
  <c r="Z43514" i="5"/>
  <c r="Z43513" i="5"/>
  <c r="Z43512" i="5"/>
  <c r="Z43511" i="5"/>
  <c r="Z43510" i="5"/>
  <c r="Z43509" i="5"/>
  <c r="Z43508" i="5"/>
  <c r="Z43507" i="5"/>
  <c r="Z43506" i="5"/>
  <c r="Z43505" i="5"/>
  <c r="Z43504" i="5"/>
  <c r="Z43503" i="5"/>
  <c r="Z43502" i="5"/>
  <c r="Z43501" i="5"/>
  <c r="Z43500" i="5"/>
  <c r="Z43499" i="5"/>
  <c r="Z43498" i="5"/>
  <c r="Z43497" i="5"/>
  <c r="Z43496" i="5"/>
  <c r="Z43495" i="5"/>
  <c r="Z43494" i="5"/>
  <c r="Z43493" i="5"/>
  <c r="Z43492" i="5"/>
  <c r="Z43491" i="5"/>
  <c r="Z43490" i="5"/>
  <c r="Z43489" i="5"/>
  <c r="Z43488" i="5"/>
  <c r="Z43487" i="5"/>
  <c r="Z43486" i="5"/>
  <c r="Z43485" i="5"/>
  <c r="Z43484" i="5"/>
  <c r="Z43483" i="5"/>
  <c r="Z43482" i="5"/>
  <c r="Z43481" i="5"/>
  <c r="Z43480" i="5"/>
  <c r="Z43479" i="5"/>
  <c r="Z43478" i="5"/>
  <c r="Z43477" i="5"/>
  <c r="Z43476" i="5"/>
  <c r="Z43475" i="5"/>
  <c r="Z43474" i="5"/>
  <c r="Z43473" i="5"/>
  <c r="Z43472" i="5"/>
  <c r="Z43471" i="5"/>
  <c r="Z43470" i="5"/>
  <c r="Z43469" i="5"/>
  <c r="Z43468" i="5"/>
  <c r="Z43467" i="5"/>
  <c r="Z43466" i="5"/>
  <c r="Z43465" i="5"/>
  <c r="Z43464" i="5"/>
  <c r="Z43463" i="5"/>
  <c r="Z43462" i="5"/>
  <c r="Z43461" i="5"/>
  <c r="Z43460" i="5"/>
  <c r="Z43459" i="5"/>
  <c r="Z43458" i="5"/>
  <c r="Z43457" i="5"/>
  <c r="Z43456" i="5"/>
  <c r="Z43455" i="5"/>
  <c r="Z43454" i="5"/>
  <c r="Z43453" i="5"/>
  <c r="Z43452" i="5"/>
  <c r="Z43451" i="5"/>
  <c r="Z43450" i="5"/>
  <c r="Z43449" i="5"/>
  <c r="Z43448" i="5"/>
  <c r="Z43447" i="5"/>
  <c r="Z43446" i="5"/>
  <c r="Z43445" i="5"/>
  <c r="Z43444" i="5"/>
  <c r="Z43443" i="5"/>
  <c r="Z43442" i="5"/>
  <c r="Z43441" i="5"/>
  <c r="Z43440" i="5"/>
  <c r="Z43439" i="5"/>
  <c r="Z43438" i="5"/>
  <c r="Z43437" i="5"/>
  <c r="Z43436" i="5"/>
  <c r="Z43435" i="5"/>
  <c r="Z43434" i="5"/>
  <c r="Z43433" i="5"/>
  <c r="Z43432" i="5"/>
  <c r="Z43431" i="5"/>
  <c r="Z43430" i="5"/>
  <c r="Z43429" i="5"/>
  <c r="Z43428" i="5"/>
  <c r="Z43427" i="5"/>
  <c r="Z43426" i="5"/>
  <c r="Z43425" i="5"/>
  <c r="Z43424" i="5"/>
  <c r="Z43423" i="5"/>
  <c r="Z43422" i="5"/>
  <c r="Z43421" i="5"/>
  <c r="Z43420" i="5"/>
  <c r="Z43419" i="5"/>
  <c r="Z43418" i="5"/>
  <c r="Z43417" i="5"/>
  <c r="Z43416" i="5"/>
  <c r="Z43415" i="5"/>
  <c r="Z43414" i="5"/>
  <c r="Z43413" i="5"/>
  <c r="Z43412" i="5"/>
  <c r="Z43411" i="5"/>
  <c r="Z43410" i="5"/>
  <c r="Z43409" i="5"/>
  <c r="Z43408" i="5"/>
  <c r="Z43407" i="5"/>
  <c r="Z43406" i="5"/>
  <c r="Z43405" i="5"/>
  <c r="Z43404" i="5"/>
  <c r="Z43403" i="5"/>
  <c r="Z43402" i="5"/>
  <c r="Z43401" i="5"/>
  <c r="Z43400" i="5"/>
  <c r="Z43399" i="5"/>
  <c r="Z43398" i="5"/>
  <c r="Z43397" i="5"/>
  <c r="Z43396" i="5"/>
  <c r="Z43395" i="5"/>
  <c r="Z43394" i="5"/>
  <c r="Z43393" i="5"/>
  <c r="Z43392" i="5"/>
  <c r="Z43391" i="5"/>
  <c r="Z43390" i="5"/>
  <c r="Z43389" i="5"/>
  <c r="Z43388" i="5"/>
  <c r="Z43387" i="5"/>
  <c r="Z43386" i="5"/>
  <c r="Z43385" i="5"/>
  <c r="Z43384" i="5"/>
  <c r="Z43383" i="5"/>
  <c r="Z43382" i="5"/>
  <c r="Z43381" i="5"/>
  <c r="Z43380" i="5"/>
  <c r="Z43379" i="5"/>
  <c r="Z43378" i="5"/>
  <c r="Z43377" i="5"/>
  <c r="Z43376" i="5"/>
  <c r="Z43375" i="5"/>
  <c r="Z43374" i="5"/>
  <c r="Z43373" i="5"/>
  <c r="Z43372" i="5"/>
  <c r="Z43371" i="5"/>
  <c r="Z43370" i="5"/>
  <c r="Z43369" i="5"/>
  <c r="Z43368" i="5"/>
  <c r="Z43367" i="5"/>
  <c r="Z43366" i="5"/>
  <c r="Z43365" i="5"/>
  <c r="Z43364" i="5"/>
  <c r="Z43363" i="5"/>
  <c r="Z43362" i="5"/>
  <c r="Z43361" i="5"/>
  <c r="Z43360" i="5"/>
  <c r="Z43359" i="5"/>
  <c r="Z43358" i="5"/>
  <c r="Z43357" i="5"/>
  <c r="Z43356" i="5"/>
  <c r="Z43355" i="5"/>
  <c r="Z43354" i="5"/>
  <c r="Z43353" i="5"/>
  <c r="Z43352" i="5"/>
  <c r="Z43351" i="5"/>
  <c r="Z43350" i="5"/>
  <c r="Z43349" i="5"/>
  <c r="Z43348" i="5"/>
  <c r="Z43347" i="5"/>
  <c r="Z43346" i="5"/>
  <c r="Z43345" i="5"/>
  <c r="Z43344" i="5"/>
  <c r="Z43343" i="5"/>
  <c r="Z43342" i="5"/>
  <c r="Z43341" i="5"/>
  <c r="Z43340" i="5"/>
  <c r="Z43339" i="5"/>
  <c r="Z43338" i="5"/>
  <c r="Z43337" i="5"/>
  <c r="Z43336" i="5"/>
  <c r="Z43335" i="5"/>
  <c r="Z43334" i="5"/>
  <c r="Z43333" i="5"/>
  <c r="Z43332" i="5"/>
  <c r="Z43331" i="5"/>
  <c r="Z43330" i="5"/>
  <c r="Z43329" i="5"/>
  <c r="Z43328" i="5"/>
  <c r="Z43327" i="5"/>
  <c r="Z43326" i="5"/>
  <c r="Z43325" i="5"/>
  <c r="Z43324" i="5"/>
  <c r="Z43323" i="5"/>
  <c r="Z43322" i="5"/>
  <c r="Z43321" i="5"/>
  <c r="Z43320" i="5"/>
  <c r="Z43319" i="5"/>
  <c r="Z43318" i="5"/>
  <c r="Z43317" i="5"/>
  <c r="Z43316" i="5"/>
  <c r="Z43315" i="5"/>
  <c r="Z43314" i="5"/>
  <c r="Z43313" i="5"/>
  <c r="Z43312" i="5"/>
  <c r="Z43311" i="5"/>
  <c r="Z43310" i="5"/>
  <c r="Z43309" i="5"/>
  <c r="Z43308" i="5"/>
  <c r="Z43307" i="5"/>
  <c r="Z43306" i="5"/>
  <c r="Z43305" i="5"/>
  <c r="Z43304" i="5"/>
  <c r="Z43303" i="5"/>
  <c r="Z43302" i="5"/>
  <c r="Z43301" i="5"/>
  <c r="Z43300" i="5"/>
  <c r="Z43299" i="5"/>
  <c r="Z43298" i="5"/>
  <c r="Z43297" i="5"/>
  <c r="Z43296" i="5"/>
  <c r="Z43295" i="5"/>
  <c r="Z43294" i="5"/>
  <c r="Z43293" i="5"/>
  <c r="Z43292" i="5"/>
  <c r="Z43291" i="5"/>
  <c r="Z43290" i="5"/>
  <c r="Z43289" i="5"/>
  <c r="Z43288" i="5"/>
  <c r="Z43287" i="5"/>
  <c r="Z43286" i="5"/>
  <c r="Z43285" i="5"/>
  <c r="Z43284" i="5"/>
  <c r="Z43283" i="5"/>
  <c r="Z43282" i="5"/>
  <c r="Z43281" i="5"/>
  <c r="Z43280" i="5"/>
  <c r="Z43279" i="5"/>
  <c r="Z43278" i="5"/>
  <c r="Z43277" i="5"/>
  <c r="Z43276" i="5"/>
  <c r="Z43275" i="5"/>
  <c r="Z43274" i="5"/>
  <c r="Z43273" i="5"/>
  <c r="Z43272" i="5"/>
  <c r="Z43271" i="5"/>
  <c r="Z43270" i="5"/>
  <c r="Z43269" i="5"/>
  <c r="Z43268" i="5"/>
  <c r="Z43267" i="5"/>
  <c r="Z43266" i="5"/>
  <c r="Z43265" i="5"/>
  <c r="Z43264" i="5"/>
  <c r="Z43263" i="5"/>
  <c r="Z43262" i="5"/>
  <c r="Z43261" i="5"/>
  <c r="Z43260" i="5"/>
  <c r="Z43259" i="5"/>
  <c r="Z43258" i="5"/>
  <c r="Z43257" i="5"/>
  <c r="Z43256" i="5"/>
  <c r="Z43255" i="5"/>
  <c r="Z43254" i="5"/>
  <c r="Z43253" i="5"/>
  <c r="Z43252" i="5"/>
  <c r="Z43251" i="5"/>
  <c r="Z43250" i="5"/>
  <c r="Z43249" i="5"/>
  <c r="Z43248" i="5"/>
  <c r="Z43247" i="5"/>
  <c r="Z43246" i="5"/>
  <c r="Z43245" i="5"/>
  <c r="Z43244" i="5"/>
  <c r="Z43243" i="5"/>
  <c r="Z43242" i="5"/>
  <c r="Z43241" i="5"/>
  <c r="Z43240" i="5"/>
  <c r="Z43239" i="5"/>
  <c r="Z43238" i="5"/>
  <c r="Z43237" i="5"/>
  <c r="Z43236" i="5"/>
  <c r="Z43235" i="5"/>
  <c r="Z43234" i="5"/>
  <c r="Z43233" i="5"/>
  <c r="Z43232" i="5"/>
  <c r="Z43231" i="5"/>
  <c r="Z43230" i="5"/>
  <c r="Z43229" i="5"/>
  <c r="Z43228" i="5"/>
  <c r="Z43227" i="5"/>
  <c r="Z43226" i="5"/>
  <c r="Z43225" i="5"/>
  <c r="Z43224" i="5"/>
  <c r="Z43223" i="5"/>
  <c r="Z43222" i="5"/>
  <c r="Z43221" i="5"/>
  <c r="Z43220" i="5"/>
  <c r="Z43219" i="5"/>
  <c r="Z43218" i="5"/>
  <c r="Z43217" i="5"/>
  <c r="Z43216" i="5"/>
  <c r="Z43215" i="5"/>
  <c r="Z43214" i="5"/>
  <c r="Z43213" i="5"/>
  <c r="Z43212" i="5"/>
  <c r="Z43211" i="5"/>
  <c r="Z43210" i="5"/>
  <c r="Z43209" i="5"/>
  <c r="Z43208" i="5"/>
  <c r="Z43207" i="5"/>
  <c r="Z43206" i="5"/>
  <c r="Z43205" i="5"/>
  <c r="Z43204" i="5"/>
  <c r="Z43203" i="5"/>
  <c r="Z43202" i="5"/>
  <c r="Z43201" i="5"/>
  <c r="Z43200" i="5"/>
  <c r="Z43199" i="5"/>
  <c r="Z43198" i="5"/>
  <c r="Z43197" i="5"/>
  <c r="Z43196" i="5"/>
  <c r="Z43195" i="5"/>
  <c r="Z43194" i="5"/>
  <c r="Z43193" i="5"/>
  <c r="Z43192" i="5"/>
  <c r="Z43191" i="5"/>
  <c r="Z43190" i="5"/>
  <c r="Z43189" i="5"/>
  <c r="Z43188" i="5"/>
  <c r="Z43187" i="5"/>
  <c r="Z43186" i="5"/>
  <c r="Z43185" i="5"/>
  <c r="Z43184" i="5"/>
  <c r="Z43183" i="5"/>
  <c r="Z43182" i="5"/>
  <c r="Z43181" i="5"/>
  <c r="Z43180" i="5"/>
  <c r="Z43179" i="5"/>
  <c r="Z43178" i="5"/>
  <c r="Z43177" i="5"/>
  <c r="Z43176" i="5"/>
  <c r="Z43175" i="5"/>
  <c r="Z43174" i="5"/>
  <c r="Z43173" i="5"/>
  <c r="Z43172" i="5"/>
  <c r="Z43171" i="5"/>
  <c r="Z43170" i="5"/>
  <c r="Z43169" i="5"/>
  <c r="Z43168" i="5"/>
  <c r="Z43167" i="5"/>
  <c r="Z43166" i="5"/>
  <c r="Z43165" i="5"/>
  <c r="Z43164" i="5"/>
  <c r="Z43163" i="5"/>
  <c r="Z43162" i="5"/>
  <c r="Z43161" i="5"/>
  <c r="Z43160" i="5"/>
  <c r="Z43159" i="5"/>
  <c r="Z43158" i="5"/>
  <c r="Z43157" i="5"/>
  <c r="Z43156" i="5"/>
  <c r="Z43155" i="5"/>
  <c r="Z43154" i="5"/>
  <c r="Z43153" i="5"/>
  <c r="Z43152" i="5"/>
  <c r="Z43151" i="5"/>
  <c r="Z43150" i="5"/>
  <c r="Z43149" i="5"/>
  <c r="Z43148" i="5"/>
  <c r="Z43147" i="5"/>
  <c r="Z43146" i="5"/>
  <c r="Z43145" i="5"/>
  <c r="Z43144" i="5"/>
  <c r="Z43143" i="5"/>
  <c r="Z43142" i="5"/>
  <c r="Z43141" i="5"/>
  <c r="Z43140" i="5"/>
  <c r="Z43139" i="5"/>
  <c r="Z43138" i="5"/>
  <c r="Z43137" i="5"/>
  <c r="Z43136" i="5"/>
  <c r="Z43135" i="5"/>
  <c r="Z43134" i="5"/>
  <c r="Z43133" i="5"/>
  <c r="Z43132" i="5"/>
  <c r="Z43131" i="5"/>
  <c r="Z43130" i="5"/>
  <c r="Z43129" i="5"/>
  <c r="Z43128" i="5"/>
  <c r="Z43127" i="5"/>
  <c r="Z43126" i="5"/>
  <c r="Z43125" i="5"/>
  <c r="Z43124" i="5"/>
  <c r="Z43123" i="5"/>
  <c r="Z43122" i="5"/>
  <c r="Z43121" i="5"/>
  <c r="Z43120" i="5"/>
  <c r="Z43119" i="5"/>
  <c r="Z43118" i="5"/>
  <c r="Z43117" i="5"/>
  <c r="Z43116" i="5"/>
  <c r="Z43115" i="5"/>
  <c r="Z43114" i="5"/>
  <c r="Z43113" i="5"/>
  <c r="Z43112" i="5"/>
  <c r="Z43111" i="5"/>
  <c r="Z43110" i="5"/>
  <c r="Z43109" i="5"/>
  <c r="Z43108" i="5"/>
  <c r="Z43107" i="5"/>
  <c r="Z43106" i="5"/>
  <c r="Z43105" i="5"/>
  <c r="Z43104" i="5"/>
  <c r="Z43103" i="5"/>
  <c r="Z43102" i="5"/>
  <c r="Z43101" i="5"/>
  <c r="Z43100" i="5"/>
  <c r="Z43099" i="5"/>
  <c r="Z43098" i="5"/>
  <c r="Z43097" i="5"/>
  <c r="Z43096" i="5"/>
  <c r="Z43095" i="5"/>
  <c r="Z43094" i="5"/>
  <c r="Z43093" i="5"/>
  <c r="Z43092" i="5"/>
  <c r="Z43091" i="5"/>
  <c r="Z43090" i="5"/>
  <c r="Z43089" i="5"/>
  <c r="Z43088" i="5"/>
  <c r="Z43087" i="5"/>
  <c r="Z43086" i="5"/>
  <c r="Z43085" i="5"/>
  <c r="Z43084" i="5"/>
  <c r="Z43083" i="5"/>
  <c r="Z43082" i="5"/>
  <c r="Z43081" i="5"/>
  <c r="Z43080" i="5"/>
  <c r="Z43079" i="5"/>
  <c r="Z43078" i="5"/>
  <c r="Z43077" i="5"/>
  <c r="Z43076" i="5"/>
  <c r="Z43075" i="5"/>
  <c r="Z43074" i="5"/>
  <c r="Z43073" i="5"/>
  <c r="Z43072" i="5"/>
  <c r="Z43071" i="5"/>
  <c r="Z43070" i="5"/>
  <c r="Z43069" i="5"/>
  <c r="Z43068" i="5"/>
  <c r="Z43067" i="5"/>
  <c r="Z43066" i="5"/>
  <c r="Z43065" i="5"/>
  <c r="Z43064" i="5"/>
  <c r="Z43063" i="5"/>
  <c r="Z43062" i="5"/>
  <c r="Z43061" i="5"/>
  <c r="Z43060" i="5"/>
  <c r="Z43059" i="5"/>
  <c r="Z43058" i="5"/>
  <c r="Z43057" i="5"/>
  <c r="Z43056" i="5"/>
  <c r="Z43055" i="5"/>
  <c r="Z43054" i="5"/>
  <c r="Z43053" i="5"/>
  <c r="Z43052" i="5"/>
  <c r="Z43051" i="5"/>
  <c r="Z43050" i="5"/>
  <c r="Z43049" i="5"/>
  <c r="Z43048" i="5"/>
  <c r="Z43047" i="5"/>
  <c r="Z43046" i="5"/>
  <c r="Z43045" i="5"/>
  <c r="Z43044" i="5"/>
  <c r="Z43043" i="5"/>
  <c r="Z43042" i="5"/>
  <c r="Z43041" i="5"/>
  <c r="Z43040" i="5"/>
  <c r="Z43039" i="5"/>
  <c r="Z43038" i="5"/>
  <c r="Z43037" i="5"/>
  <c r="Z43036" i="5"/>
  <c r="Z43035" i="5"/>
  <c r="Z43034" i="5"/>
  <c r="Z43033" i="5"/>
  <c r="Z43032" i="5"/>
  <c r="Z43031" i="5"/>
  <c r="Z43030" i="5"/>
  <c r="Z43029" i="5"/>
  <c r="Z43028" i="5"/>
  <c r="Z43027" i="5"/>
  <c r="Z43026" i="5"/>
  <c r="Z43025" i="5"/>
  <c r="Z43024" i="5"/>
  <c r="Z43023" i="5"/>
  <c r="Z43022" i="5"/>
  <c r="Z43021" i="5"/>
  <c r="Z43020" i="5"/>
  <c r="Z43019" i="5"/>
  <c r="Z43018" i="5"/>
  <c r="Z43017" i="5"/>
  <c r="Z43016" i="5"/>
  <c r="Z43015" i="5"/>
  <c r="Z43014" i="5"/>
  <c r="Z43013" i="5"/>
  <c r="Z43012" i="5"/>
  <c r="Z43011" i="5"/>
  <c r="Z43010" i="5"/>
  <c r="Z43009" i="5"/>
  <c r="Z43008" i="5"/>
  <c r="Z43007" i="5"/>
  <c r="Z43006" i="5"/>
  <c r="Z43005" i="5"/>
  <c r="Z43004" i="5"/>
  <c r="Z43003" i="5"/>
  <c r="Z43002" i="5"/>
  <c r="Z43001" i="5"/>
  <c r="Z43000" i="5"/>
  <c r="Z42999" i="5"/>
  <c r="Z42998" i="5"/>
  <c r="Z42997" i="5"/>
  <c r="Z42996" i="5"/>
  <c r="Z42995" i="5"/>
  <c r="Z42994" i="5"/>
  <c r="Z42993" i="5"/>
  <c r="Z42992" i="5"/>
  <c r="Z42991" i="5"/>
  <c r="Z42990" i="5"/>
  <c r="Z42989" i="5"/>
  <c r="Z42988" i="5"/>
  <c r="Z42987" i="5"/>
  <c r="Z42986" i="5"/>
  <c r="Z42985" i="5"/>
  <c r="Z42984" i="5"/>
  <c r="Z42983" i="5"/>
  <c r="Z42982" i="5"/>
  <c r="Z42981" i="5"/>
  <c r="Z42980" i="5"/>
  <c r="Z42979" i="5"/>
  <c r="Z42978" i="5"/>
  <c r="Z42977" i="5"/>
  <c r="Z42976" i="5"/>
  <c r="Z42975" i="5"/>
  <c r="Z42974" i="5"/>
  <c r="Z42973" i="5"/>
  <c r="Z42972" i="5"/>
  <c r="Z42971" i="5"/>
  <c r="Z42970" i="5"/>
  <c r="Z42969" i="5"/>
  <c r="Z42968" i="5"/>
  <c r="Z42967" i="5"/>
  <c r="Z42966" i="5"/>
  <c r="Z42965" i="5"/>
  <c r="Z42964" i="5"/>
  <c r="Z42963" i="5"/>
  <c r="Z42962" i="5"/>
  <c r="Z42961" i="5"/>
  <c r="Z42960" i="5"/>
  <c r="Z42959" i="5"/>
  <c r="Z42958" i="5"/>
  <c r="Z42957" i="5"/>
  <c r="Z42956" i="5"/>
  <c r="Z42955" i="5"/>
  <c r="Z42954" i="5"/>
  <c r="Z42953" i="5"/>
  <c r="Z42952" i="5"/>
  <c r="Z42951" i="5"/>
  <c r="Z42950" i="5"/>
  <c r="Z42949" i="5"/>
  <c r="Z42948" i="5"/>
  <c r="Z42947" i="5"/>
  <c r="Z42946" i="5"/>
  <c r="Z42945" i="5"/>
  <c r="Z42944" i="5"/>
  <c r="Z42943" i="5"/>
  <c r="Z42942" i="5"/>
  <c r="Z42941" i="5"/>
  <c r="Z42940" i="5"/>
  <c r="Z42939" i="5"/>
  <c r="Z42938" i="5"/>
  <c r="Z42937" i="5"/>
  <c r="Z42936" i="5"/>
  <c r="Z42935" i="5"/>
  <c r="Z42934" i="5"/>
  <c r="Z42933" i="5"/>
  <c r="Z42932" i="5"/>
  <c r="Z42931" i="5"/>
  <c r="Z42930" i="5"/>
  <c r="Z42929" i="5"/>
  <c r="Z42928" i="5"/>
  <c r="Z42927" i="5"/>
  <c r="Z42926" i="5"/>
  <c r="Z42925" i="5"/>
  <c r="Z42924" i="5"/>
  <c r="Z42923" i="5"/>
  <c r="Z42922" i="5"/>
  <c r="Z42921" i="5"/>
  <c r="Z42920" i="5"/>
  <c r="Z42919" i="5"/>
  <c r="Z42918" i="5"/>
  <c r="Z42917" i="5"/>
  <c r="Z42916" i="5"/>
  <c r="Z42915" i="5"/>
  <c r="Z42914" i="5"/>
  <c r="Z42913" i="5"/>
  <c r="Z42912" i="5"/>
  <c r="Z42911" i="5"/>
  <c r="Z42910" i="5"/>
  <c r="Z42909" i="5"/>
  <c r="Z42908" i="5"/>
  <c r="Z42907" i="5"/>
  <c r="Z42906" i="5"/>
  <c r="Z42905" i="5"/>
  <c r="Z42904" i="5"/>
  <c r="Z42903" i="5"/>
  <c r="Z42902" i="5"/>
  <c r="Z42901" i="5"/>
  <c r="Z42900" i="5"/>
  <c r="Z42899" i="5"/>
  <c r="Z42898" i="5"/>
  <c r="Z42897" i="5"/>
  <c r="Z42896" i="5"/>
  <c r="Z42895" i="5"/>
  <c r="Z42894" i="5"/>
  <c r="Z42893" i="5"/>
  <c r="Z42892" i="5"/>
  <c r="Z42891" i="5"/>
  <c r="Z42890" i="5"/>
  <c r="Z42889" i="5"/>
  <c r="Z42888" i="5"/>
  <c r="Z42887" i="5"/>
  <c r="Z42886" i="5"/>
  <c r="Z42885" i="5"/>
  <c r="Z42884" i="5"/>
  <c r="Z42883" i="5"/>
  <c r="Z42882" i="5"/>
  <c r="Z42881" i="5"/>
  <c r="Z42880" i="5"/>
  <c r="Z42879" i="5"/>
  <c r="Z42878" i="5"/>
  <c r="Z42877" i="5"/>
  <c r="Z42876" i="5"/>
  <c r="Z42875" i="5"/>
  <c r="Z42874" i="5"/>
  <c r="Z42873" i="5"/>
  <c r="Z42872" i="5"/>
  <c r="Z42871" i="5"/>
  <c r="Z42870" i="5"/>
  <c r="Z42869" i="5"/>
  <c r="Z42868" i="5"/>
  <c r="Z42867" i="5"/>
  <c r="Z42866" i="5"/>
  <c r="Z42865" i="5"/>
  <c r="Z42864" i="5"/>
  <c r="Z42863" i="5"/>
  <c r="Z42862" i="5"/>
  <c r="Z42861" i="5"/>
  <c r="Z42860" i="5"/>
  <c r="Z42859" i="5"/>
  <c r="Z42858" i="5"/>
  <c r="Z42857" i="5"/>
  <c r="Z42856" i="5"/>
  <c r="Z42855" i="5"/>
  <c r="Z42854" i="5"/>
  <c r="Z42853" i="5"/>
  <c r="Z42852" i="5"/>
  <c r="Z42851" i="5"/>
  <c r="Z42850" i="5"/>
  <c r="Z42849" i="5"/>
  <c r="Z42848" i="5"/>
  <c r="Z42847" i="5"/>
  <c r="Z42846" i="5"/>
  <c r="Z42845" i="5"/>
  <c r="Z42844" i="5"/>
  <c r="Z42843" i="5"/>
  <c r="Z42842" i="5"/>
  <c r="Z42841" i="5"/>
  <c r="Z42840" i="5"/>
  <c r="Z42839" i="5"/>
  <c r="Z42838" i="5"/>
  <c r="Z42837" i="5"/>
  <c r="Z42836" i="5"/>
  <c r="Z42835" i="5"/>
  <c r="Z42834" i="5"/>
  <c r="Z42833" i="5"/>
  <c r="Z42832" i="5"/>
  <c r="Z42831" i="5"/>
  <c r="Z42830" i="5"/>
  <c r="Z42829" i="5"/>
  <c r="Z42828" i="5"/>
  <c r="Z42827" i="5"/>
  <c r="Z42826" i="5"/>
  <c r="Z42825" i="5"/>
  <c r="Z42824" i="5"/>
  <c r="Z42823" i="5"/>
  <c r="Z42822" i="5"/>
  <c r="Z42821" i="5"/>
  <c r="Z42820" i="5"/>
  <c r="Z42819" i="5"/>
  <c r="Z42818" i="5"/>
  <c r="Z42817" i="5"/>
  <c r="Z42816" i="5"/>
  <c r="Z42815" i="5"/>
  <c r="Z42814" i="5"/>
  <c r="Z42813" i="5"/>
  <c r="Z42812" i="5"/>
  <c r="Z42811" i="5"/>
  <c r="Z42810" i="5"/>
  <c r="Z42809" i="5"/>
  <c r="Z42808" i="5"/>
  <c r="Z42807" i="5"/>
  <c r="Z42806" i="5"/>
  <c r="Z42805" i="5"/>
  <c r="Z42804" i="5"/>
  <c r="Z42803" i="5"/>
  <c r="Z42802" i="5"/>
  <c r="Z42801" i="5"/>
  <c r="Z42800" i="5"/>
  <c r="Z42799" i="5"/>
  <c r="Z42798" i="5"/>
  <c r="Z42797" i="5"/>
  <c r="Z42796" i="5"/>
  <c r="Z42795" i="5"/>
  <c r="Z42794" i="5"/>
  <c r="Z42793" i="5"/>
  <c r="Z42792" i="5"/>
  <c r="Z42791" i="5"/>
  <c r="Z42790" i="5"/>
  <c r="Z42789" i="5"/>
  <c r="Z42788" i="5"/>
  <c r="Z42787" i="5"/>
  <c r="Z42786" i="5"/>
  <c r="Z42785" i="5"/>
  <c r="Z42784" i="5"/>
  <c r="Z42783" i="5"/>
  <c r="Z42782" i="5"/>
  <c r="Z42781" i="5"/>
  <c r="Z42780" i="5"/>
  <c r="Z42779" i="5"/>
  <c r="Z42778" i="5"/>
  <c r="Z42777" i="5"/>
  <c r="Z42776" i="5"/>
  <c r="Z42775" i="5"/>
  <c r="Z42774" i="5"/>
  <c r="Z42773" i="5"/>
  <c r="Z42772" i="5"/>
  <c r="Z42771" i="5"/>
  <c r="Z42770" i="5"/>
  <c r="Z42769" i="5"/>
  <c r="Z42768" i="5"/>
  <c r="Z42767" i="5"/>
  <c r="Z42766" i="5"/>
  <c r="Z42765" i="5"/>
  <c r="Z42764" i="5"/>
  <c r="Z42763" i="5"/>
  <c r="Z42762" i="5"/>
  <c r="Z42761" i="5"/>
  <c r="Z42760" i="5"/>
  <c r="Z42759" i="5"/>
  <c r="Z42758" i="5"/>
  <c r="Z42757" i="5"/>
  <c r="Z42756" i="5"/>
  <c r="Z42755" i="5"/>
  <c r="Z42754" i="5"/>
  <c r="Z42753" i="5"/>
  <c r="Z42752" i="5"/>
  <c r="Z42751" i="5"/>
  <c r="Z42750" i="5"/>
  <c r="Z42749" i="5"/>
  <c r="Z42748" i="5"/>
  <c r="Z42747" i="5"/>
  <c r="Z42746" i="5"/>
  <c r="Z42745" i="5"/>
  <c r="Z42744" i="5"/>
  <c r="Z42743" i="5"/>
  <c r="Z42742" i="5"/>
  <c r="Z42741" i="5"/>
  <c r="Z42740" i="5"/>
  <c r="Z42739" i="5"/>
  <c r="Z42738" i="5"/>
  <c r="Z42737" i="5"/>
  <c r="Z42736" i="5"/>
  <c r="Z42735" i="5"/>
  <c r="Z42734" i="5"/>
  <c r="Z42733" i="5"/>
  <c r="Z42732" i="5"/>
  <c r="Z42731" i="5"/>
  <c r="Z42730" i="5"/>
  <c r="Z42729" i="5"/>
  <c r="Z42728" i="5"/>
  <c r="Z42727" i="5"/>
  <c r="Z42726" i="5"/>
  <c r="Z42725" i="5"/>
  <c r="Z42724" i="5"/>
  <c r="Z42723" i="5"/>
  <c r="Z42722" i="5"/>
  <c r="Z42721" i="5"/>
  <c r="Z42720" i="5"/>
  <c r="Z42719" i="5"/>
  <c r="Z42718" i="5"/>
  <c r="Z42717" i="5"/>
  <c r="Z42716" i="5"/>
  <c r="Z42715" i="5"/>
  <c r="Z42714" i="5"/>
  <c r="Z42713" i="5"/>
  <c r="Z42712" i="5"/>
  <c r="Z42711" i="5"/>
  <c r="Z42710" i="5"/>
  <c r="Z42709" i="5"/>
  <c r="Z42708" i="5"/>
  <c r="Z42707" i="5"/>
  <c r="Z42706" i="5"/>
  <c r="Z42705" i="5"/>
  <c r="Z42704" i="5"/>
  <c r="Z42703" i="5"/>
  <c r="Z42702" i="5"/>
  <c r="Z42701" i="5"/>
  <c r="Z42700" i="5"/>
  <c r="Z42699" i="5"/>
  <c r="Z42698" i="5"/>
  <c r="Z42697" i="5"/>
  <c r="Z42696" i="5"/>
  <c r="Z42695" i="5"/>
  <c r="Z42694" i="5"/>
  <c r="Z42693" i="5"/>
  <c r="Z42692" i="5"/>
  <c r="Z42691" i="5"/>
  <c r="Z42690" i="5"/>
  <c r="Z42689" i="5"/>
  <c r="Z42688" i="5"/>
  <c r="Z42687" i="5"/>
  <c r="Z42686" i="5"/>
  <c r="Z42685" i="5"/>
  <c r="Z42684" i="5"/>
  <c r="Z42683" i="5"/>
  <c r="Z42682" i="5"/>
  <c r="Z42681" i="5"/>
  <c r="Z42680" i="5"/>
  <c r="Z42679" i="5"/>
  <c r="Z42678" i="5"/>
  <c r="Z42677" i="5"/>
  <c r="Z42676" i="5"/>
  <c r="Z42675" i="5"/>
  <c r="Z42674" i="5"/>
  <c r="Z42673" i="5"/>
  <c r="Z42672" i="5"/>
  <c r="Z42671" i="5"/>
  <c r="Z42670" i="5"/>
  <c r="Z42669" i="5"/>
  <c r="Z42668" i="5"/>
  <c r="Z42667" i="5"/>
  <c r="Z42666" i="5"/>
  <c r="Z42665" i="5"/>
  <c r="Z42664" i="5"/>
  <c r="Z42663" i="5"/>
  <c r="Z42662" i="5"/>
  <c r="Z42661" i="5"/>
  <c r="Z42660" i="5"/>
  <c r="Z42659" i="5"/>
  <c r="Z42658" i="5"/>
  <c r="Z42657" i="5"/>
  <c r="Z42656" i="5"/>
  <c r="Z42655" i="5"/>
  <c r="Z42654" i="5"/>
  <c r="Z42653" i="5"/>
  <c r="Z42652" i="5"/>
  <c r="Z42651" i="5"/>
  <c r="Z42650" i="5"/>
  <c r="Z42649" i="5"/>
  <c r="Z42648" i="5"/>
  <c r="Z42647" i="5"/>
  <c r="Z42646" i="5"/>
  <c r="Z42645" i="5"/>
  <c r="Z42644" i="5"/>
  <c r="Z42643" i="5"/>
  <c r="Z42642" i="5"/>
  <c r="Z42641" i="5"/>
  <c r="Z42640" i="5"/>
  <c r="Z42639" i="5"/>
  <c r="Z42638" i="5"/>
  <c r="Z42637" i="5"/>
  <c r="Z42636" i="5"/>
  <c r="Z42635" i="5"/>
  <c r="Z42634" i="5"/>
  <c r="Z42633" i="5"/>
  <c r="Z42632" i="5"/>
  <c r="Z42631" i="5"/>
  <c r="Z42630" i="5"/>
  <c r="Z42629" i="5"/>
  <c r="Z42628" i="5"/>
  <c r="Z42627" i="5"/>
  <c r="Z42626" i="5"/>
  <c r="Z42625" i="5"/>
  <c r="Z42624" i="5"/>
  <c r="Z42623" i="5"/>
  <c r="Z42622" i="5"/>
  <c r="Z42621" i="5"/>
  <c r="Z42620" i="5"/>
  <c r="Z42619" i="5"/>
  <c r="Z42618" i="5"/>
  <c r="Z42617" i="5"/>
  <c r="Z42616" i="5"/>
  <c r="Z42615" i="5"/>
  <c r="Z42614" i="5"/>
  <c r="Z42613" i="5"/>
  <c r="Z42612" i="5"/>
  <c r="Z42611" i="5"/>
  <c r="Z42610" i="5"/>
  <c r="Z42609" i="5"/>
  <c r="Z42608" i="5"/>
  <c r="Z42607" i="5"/>
  <c r="Z42606" i="5"/>
  <c r="Z42605" i="5"/>
  <c r="Z42604" i="5"/>
  <c r="Z42603" i="5"/>
  <c r="Z42602" i="5"/>
  <c r="Z42601" i="5"/>
  <c r="Z42600" i="5"/>
  <c r="Z42599" i="5"/>
  <c r="Z42598" i="5"/>
  <c r="Z42597" i="5"/>
  <c r="Z42596" i="5"/>
  <c r="Z42595" i="5"/>
  <c r="Z42594" i="5"/>
  <c r="Z42593" i="5"/>
  <c r="Z42592" i="5"/>
  <c r="Z42591" i="5"/>
  <c r="Z42590" i="5"/>
  <c r="Z42589" i="5"/>
  <c r="Z42588" i="5"/>
  <c r="Z42587" i="5"/>
  <c r="Z42586" i="5"/>
  <c r="Z42585" i="5"/>
  <c r="Z42584" i="5"/>
  <c r="Z42583" i="5"/>
  <c r="Z42582" i="5"/>
  <c r="Z42581" i="5"/>
  <c r="Z42580" i="5"/>
  <c r="Z42579" i="5"/>
  <c r="Z42578" i="5"/>
  <c r="Z42577" i="5"/>
  <c r="Z42576" i="5"/>
  <c r="Z42575" i="5"/>
  <c r="Z42574" i="5"/>
  <c r="Z42573" i="5"/>
  <c r="Z42572" i="5"/>
  <c r="Z42571" i="5"/>
  <c r="Z42570" i="5"/>
  <c r="Z42569" i="5"/>
  <c r="Z42568" i="5"/>
  <c r="Z42567" i="5"/>
  <c r="Z42566" i="5"/>
  <c r="Z42565" i="5"/>
  <c r="Z42564" i="5"/>
  <c r="Z42563" i="5"/>
  <c r="Z42562" i="5"/>
  <c r="Z42561" i="5"/>
  <c r="Z42560" i="5"/>
  <c r="Z42559" i="5"/>
  <c r="Z42558" i="5"/>
  <c r="Z42557" i="5"/>
  <c r="Z42556" i="5"/>
  <c r="Z42555" i="5"/>
  <c r="Z42554" i="5"/>
  <c r="Z42553" i="5"/>
  <c r="Z42552" i="5"/>
  <c r="Z42551" i="5"/>
  <c r="Z42550" i="5"/>
  <c r="Z42549" i="5"/>
  <c r="Z42548" i="5"/>
  <c r="Z42547" i="5"/>
  <c r="Z42546" i="5"/>
  <c r="Z42545" i="5"/>
  <c r="Z42544" i="5"/>
  <c r="Z42543" i="5"/>
  <c r="Z42542" i="5"/>
  <c r="Z42541" i="5"/>
  <c r="Z42540" i="5"/>
  <c r="Z42539" i="5"/>
  <c r="Z42538" i="5"/>
  <c r="Z42537" i="5"/>
  <c r="Z42536" i="5"/>
  <c r="Z42535" i="5"/>
  <c r="Z42534" i="5"/>
  <c r="Z42533" i="5"/>
  <c r="Z42532" i="5"/>
  <c r="Z42531" i="5"/>
  <c r="Z42530" i="5"/>
  <c r="Z42529" i="5"/>
  <c r="Z42528" i="5"/>
  <c r="Z42527" i="5"/>
  <c r="Z42526" i="5"/>
  <c r="Z42525" i="5"/>
  <c r="Z42524" i="5"/>
  <c r="Z42523" i="5"/>
  <c r="Z42522" i="5"/>
  <c r="Z42521" i="5"/>
  <c r="Z42520" i="5"/>
  <c r="Z42519" i="5"/>
  <c r="Z42518" i="5"/>
  <c r="Z42517" i="5"/>
  <c r="Z42516" i="5"/>
  <c r="Z42515" i="5"/>
  <c r="Z42514" i="5"/>
  <c r="Z42513" i="5"/>
  <c r="Z42512" i="5"/>
  <c r="Z42511" i="5"/>
  <c r="Z42510" i="5"/>
  <c r="Z42509" i="5"/>
  <c r="Z42508" i="5"/>
  <c r="Z42507" i="5"/>
  <c r="Z42506" i="5"/>
  <c r="Z42505" i="5"/>
  <c r="Z42504" i="5"/>
  <c r="Z42503" i="5"/>
  <c r="Z42502" i="5"/>
  <c r="Z42501" i="5"/>
  <c r="Z42500" i="5"/>
  <c r="Z42499" i="5"/>
  <c r="Z42498" i="5"/>
  <c r="Z42497" i="5"/>
  <c r="Z42496" i="5"/>
  <c r="Z42495" i="5"/>
  <c r="Z42494" i="5"/>
  <c r="Z42493" i="5"/>
  <c r="Z42492" i="5"/>
  <c r="Z42491" i="5"/>
  <c r="Z42490" i="5"/>
  <c r="Z42489" i="5"/>
  <c r="Z42488" i="5"/>
  <c r="Z42487" i="5"/>
  <c r="Z42486" i="5"/>
  <c r="Z42485" i="5"/>
  <c r="Z42484" i="5"/>
  <c r="Z42483" i="5"/>
  <c r="Z42482" i="5"/>
  <c r="Z42481" i="5"/>
  <c r="Z42480" i="5"/>
  <c r="Z42479" i="5"/>
  <c r="Z42478" i="5"/>
  <c r="Z42477" i="5"/>
  <c r="Z42476" i="5"/>
  <c r="Z42475" i="5"/>
  <c r="Z42474" i="5"/>
  <c r="Z42473" i="5"/>
  <c r="Z42472" i="5"/>
  <c r="Z42471" i="5"/>
  <c r="Z42470" i="5"/>
  <c r="Z42469" i="5"/>
  <c r="Z42468" i="5"/>
  <c r="Z42467" i="5"/>
  <c r="Z42466" i="5"/>
  <c r="Z42465" i="5"/>
  <c r="Z42464" i="5"/>
  <c r="Z42463" i="5"/>
  <c r="Z42462" i="5"/>
  <c r="Z42461" i="5"/>
  <c r="Z42460" i="5"/>
  <c r="Z42459" i="5"/>
  <c r="Z42458" i="5"/>
  <c r="Z42457" i="5"/>
  <c r="Z42456" i="5"/>
  <c r="Z42455" i="5"/>
  <c r="Z42454" i="5"/>
  <c r="Z42453" i="5"/>
  <c r="Z42452" i="5"/>
  <c r="Z42451" i="5"/>
  <c r="Z42450" i="5"/>
  <c r="Z42449" i="5"/>
  <c r="Z42448" i="5"/>
  <c r="Z42447" i="5"/>
  <c r="Z42446" i="5"/>
  <c r="Z42445" i="5"/>
  <c r="Z42444" i="5"/>
  <c r="Z42443" i="5"/>
  <c r="Z42442" i="5"/>
  <c r="Z42441" i="5"/>
  <c r="Z42440" i="5"/>
  <c r="Z42439" i="5"/>
  <c r="Z42438" i="5"/>
  <c r="Z42437" i="5"/>
  <c r="Z42436" i="5"/>
  <c r="Z42435" i="5"/>
  <c r="Z42434" i="5"/>
  <c r="Z42433" i="5"/>
  <c r="Z42432" i="5"/>
  <c r="Z42431" i="5"/>
  <c r="Z42430" i="5"/>
  <c r="Z42429" i="5"/>
  <c r="Z42428" i="5"/>
  <c r="Z42427" i="5"/>
  <c r="Z42426" i="5"/>
  <c r="Z42425" i="5"/>
  <c r="Z42424" i="5"/>
  <c r="Z42423" i="5"/>
  <c r="Z42422" i="5"/>
  <c r="Z42421" i="5"/>
  <c r="Z42420" i="5"/>
  <c r="Z42419" i="5"/>
  <c r="Z42418" i="5"/>
  <c r="Z42417" i="5"/>
  <c r="Z42416" i="5"/>
  <c r="Z42415" i="5"/>
  <c r="Z42414" i="5"/>
  <c r="Z42413" i="5"/>
  <c r="Z42412" i="5"/>
  <c r="Z42411" i="5"/>
  <c r="Z42410" i="5"/>
  <c r="Z42409" i="5"/>
  <c r="Z42408" i="5"/>
  <c r="Z42407" i="5"/>
  <c r="Z42406" i="5"/>
  <c r="Z42405" i="5"/>
  <c r="Z42404" i="5"/>
  <c r="Z42403" i="5"/>
  <c r="Z42402" i="5"/>
  <c r="Z42401" i="5"/>
  <c r="Z42400" i="5"/>
  <c r="Z42399" i="5"/>
  <c r="Z42398" i="5"/>
  <c r="Z42397" i="5"/>
  <c r="Z42396" i="5"/>
  <c r="Z42395" i="5"/>
  <c r="Z42394" i="5"/>
  <c r="Z42393" i="5"/>
  <c r="Z42392" i="5"/>
  <c r="Z42391" i="5"/>
  <c r="Z42390" i="5"/>
  <c r="Z42389" i="5"/>
  <c r="Z42388" i="5"/>
  <c r="Z42387" i="5"/>
  <c r="Z42386" i="5"/>
  <c r="Z42385" i="5"/>
  <c r="Z42384" i="5"/>
  <c r="Z42383" i="5"/>
  <c r="Z42382" i="5"/>
  <c r="Z42381" i="5"/>
  <c r="Z42380" i="5"/>
  <c r="Z42379" i="5"/>
  <c r="Z42378" i="5"/>
  <c r="Z42377" i="5"/>
  <c r="Z42376" i="5"/>
  <c r="Z42375" i="5"/>
  <c r="Z42374" i="5"/>
  <c r="Z42373" i="5"/>
  <c r="Z42372" i="5"/>
  <c r="Z42371" i="5"/>
  <c r="Z42370" i="5"/>
  <c r="Z42369" i="5"/>
  <c r="Z42368" i="5"/>
  <c r="Z42367" i="5"/>
  <c r="Z42366" i="5"/>
  <c r="Z42365" i="5"/>
  <c r="Z42364" i="5"/>
  <c r="Z42363" i="5"/>
  <c r="Z42362" i="5"/>
  <c r="Z42361" i="5"/>
  <c r="Z42360" i="5"/>
  <c r="Z42359" i="5"/>
  <c r="Z42358" i="5"/>
  <c r="Z42357" i="5"/>
  <c r="Z42356" i="5"/>
  <c r="Z42355" i="5"/>
  <c r="Z42354" i="5"/>
  <c r="Z42353" i="5"/>
  <c r="Z42352" i="5"/>
  <c r="Z42351" i="5"/>
  <c r="Z42350" i="5"/>
  <c r="Z42349" i="5"/>
  <c r="Z42348" i="5"/>
  <c r="Z42347" i="5"/>
  <c r="Z42346" i="5"/>
  <c r="Z42345" i="5"/>
  <c r="Z42344" i="5"/>
  <c r="Z42343" i="5"/>
  <c r="Z42342" i="5"/>
  <c r="Z42341" i="5"/>
  <c r="Z42340" i="5"/>
  <c r="Z42339" i="5"/>
  <c r="Z42338" i="5"/>
  <c r="Z42337" i="5"/>
  <c r="Z42336" i="5"/>
  <c r="Z42335" i="5"/>
  <c r="Z42334" i="5"/>
  <c r="Z42333" i="5"/>
  <c r="Z42332" i="5"/>
  <c r="Z42331" i="5"/>
  <c r="Z42330" i="5"/>
  <c r="Z42329" i="5"/>
  <c r="Z42328" i="5"/>
  <c r="Z42327" i="5"/>
  <c r="Z42326" i="5"/>
  <c r="Z42325" i="5"/>
  <c r="Z42324" i="5"/>
  <c r="Z42323" i="5"/>
  <c r="Z42322" i="5"/>
  <c r="Z42321" i="5"/>
  <c r="Z42320" i="5"/>
  <c r="Z42319" i="5"/>
  <c r="Z42318" i="5"/>
  <c r="Z42317" i="5"/>
  <c r="Z42316" i="5"/>
  <c r="Z42315" i="5"/>
  <c r="Z42314" i="5"/>
  <c r="Z42313" i="5"/>
  <c r="Z42312" i="5"/>
  <c r="Z42311" i="5"/>
  <c r="Z42310" i="5"/>
  <c r="Z42309" i="5"/>
  <c r="Z42308" i="5"/>
  <c r="Z42307" i="5"/>
  <c r="Z42306" i="5"/>
  <c r="Z42305" i="5"/>
  <c r="Z42304" i="5"/>
  <c r="Z42303" i="5"/>
  <c r="Z42302" i="5"/>
  <c r="Z42301" i="5"/>
  <c r="Z42300" i="5"/>
  <c r="Z42299" i="5"/>
  <c r="Z42298" i="5"/>
  <c r="Z42297" i="5"/>
  <c r="Z42296" i="5"/>
  <c r="Z42295" i="5"/>
  <c r="Z42294" i="5"/>
  <c r="Z42293" i="5"/>
  <c r="Z42292" i="5"/>
  <c r="Z42291" i="5"/>
  <c r="Z42290" i="5"/>
  <c r="Z42289" i="5"/>
  <c r="Z42288" i="5"/>
  <c r="Z42287" i="5"/>
  <c r="Z42286" i="5"/>
  <c r="Z42285" i="5"/>
  <c r="Z42284" i="5"/>
  <c r="Z42283" i="5"/>
  <c r="Z42282" i="5"/>
  <c r="Z42281" i="5"/>
  <c r="Z42280" i="5"/>
  <c r="Z42279" i="5"/>
  <c r="Z42278" i="5"/>
  <c r="Z42277" i="5"/>
  <c r="Z42276" i="5"/>
  <c r="Z42275" i="5"/>
  <c r="Z42274" i="5"/>
  <c r="Z42273" i="5"/>
  <c r="Z42272" i="5"/>
  <c r="Z42271" i="5"/>
  <c r="Z42270" i="5"/>
  <c r="Z42269" i="5"/>
  <c r="Z42268" i="5"/>
  <c r="Z42267" i="5"/>
  <c r="Z42266" i="5"/>
  <c r="Z42265" i="5"/>
  <c r="Z42264" i="5"/>
  <c r="Z42263" i="5"/>
  <c r="Z42262" i="5"/>
  <c r="Z42261" i="5"/>
  <c r="Z42260" i="5"/>
  <c r="Z42259" i="5"/>
  <c r="Z42258" i="5"/>
  <c r="Z42257" i="5"/>
  <c r="Z42256" i="5"/>
  <c r="Z42255" i="5"/>
  <c r="Z42254" i="5"/>
  <c r="Z42253" i="5"/>
  <c r="Z42252" i="5"/>
  <c r="Z42251" i="5"/>
  <c r="Z42250" i="5"/>
  <c r="Z42249" i="5"/>
  <c r="Z42248" i="5"/>
  <c r="Z42247" i="5"/>
  <c r="Z42246" i="5"/>
  <c r="Z42245" i="5"/>
  <c r="Z42244" i="5"/>
  <c r="Z42243" i="5"/>
  <c r="Z42242" i="5"/>
  <c r="Z42241" i="5"/>
  <c r="Z42240" i="5"/>
  <c r="Z42239" i="5"/>
  <c r="Z42238" i="5"/>
  <c r="Z42237" i="5"/>
  <c r="Z42236" i="5"/>
  <c r="Z42235" i="5"/>
  <c r="Z42234" i="5"/>
  <c r="Z42233" i="5"/>
  <c r="Z42232" i="5"/>
  <c r="Z42231" i="5"/>
  <c r="Z42230" i="5"/>
  <c r="Z42229" i="5"/>
  <c r="Z42228" i="5"/>
  <c r="Z42227" i="5"/>
  <c r="Z42226" i="5"/>
  <c r="Z42225" i="5"/>
  <c r="Z42224" i="5"/>
  <c r="Z42223" i="5"/>
  <c r="Z42222" i="5"/>
  <c r="Z42221" i="5"/>
  <c r="Z42220" i="5"/>
  <c r="Z42219" i="5"/>
  <c r="Z42218" i="5"/>
  <c r="Z42217" i="5"/>
  <c r="Z42216" i="5"/>
  <c r="Z42215" i="5"/>
  <c r="Z42214" i="5"/>
  <c r="Z42213" i="5"/>
  <c r="Z42212" i="5"/>
  <c r="Z42211" i="5"/>
  <c r="Z42210" i="5"/>
  <c r="Z42209" i="5"/>
  <c r="Z42208" i="5"/>
  <c r="Z42207" i="5"/>
  <c r="Z42206" i="5"/>
  <c r="Z42205" i="5"/>
  <c r="Z42204" i="5"/>
  <c r="Z42203" i="5"/>
  <c r="Z42202" i="5"/>
  <c r="Z42201" i="5"/>
  <c r="Z42200" i="5"/>
  <c r="Z42199" i="5"/>
  <c r="Z42198" i="5"/>
  <c r="Z42197" i="5"/>
  <c r="Z42196" i="5"/>
  <c r="Z42195" i="5"/>
  <c r="Z42194" i="5"/>
  <c r="Z42193" i="5"/>
  <c r="Z42192" i="5"/>
  <c r="Z42191" i="5"/>
  <c r="Z42190" i="5"/>
  <c r="Z42189" i="5"/>
  <c r="Z42188" i="5"/>
  <c r="Z42187" i="5"/>
  <c r="Z42186" i="5"/>
  <c r="Z42185" i="5"/>
  <c r="Z42184" i="5"/>
  <c r="Z42183" i="5"/>
  <c r="Z42182" i="5"/>
  <c r="Z42181" i="5"/>
  <c r="Z42180" i="5"/>
  <c r="Z42179" i="5"/>
  <c r="Z42178" i="5"/>
  <c r="Z42177" i="5"/>
  <c r="Z42176" i="5"/>
  <c r="Z42175" i="5"/>
  <c r="Z42174" i="5"/>
  <c r="Z42173" i="5"/>
  <c r="Z42172" i="5"/>
  <c r="Z42171" i="5"/>
  <c r="Z42170" i="5"/>
  <c r="Z42169" i="5"/>
  <c r="Z42168" i="5"/>
  <c r="Z42167" i="5"/>
  <c r="Z42166" i="5"/>
  <c r="Z42165" i="5"/>
  <c r="Z42164" i="5"/>
  <c r="Z42163" i="5"/>
  <c r="Z42162" i="5"/>
  <c r="Z42161" i="5"/>
  <c r="Z42160" i="5"/>
  <c r="Z42159" i="5"/>
  <c r="Z42158" i="5"/>
  <c r="Z42157" i="5"/>
  <c r="Z42156" i="5"/>
  <c r="Z42155" i="5"/>
  <c r="Z42154" i="5"/>
  <c r="Z42153" i="5"/>
  <c r="Z42152" i="5"/>
  <c r="Z42151" i="5"/>
  <c r="Z42150" i="5"/>
  <c r="Z42149" i="5"/>
  <c r="Z42148" i="5"/>
  <c r="Z42147" i="5"/>
  <c r="Z42146" i="5"/>
  <c r="Z42145" i="5"/>
  <c r="Z42144" i="5"/>
  <c r="Z42143" i="5"/>
  <c r="Z42142" i="5"/>
  <c r="Z42141" i="5"/>
  <c r="Z42140" i="5"/>
  <c r="Z42139" i="5"/>
  <c r="Z42138" i="5"/>
  <c r="Z42137" i="5"/>
  <c r="Z42136" i="5"/>
  <c r="Z42135" i="5"/>
  <c r="Z42134" i="5"/>
  <c r="Z42133" i="5"/>
  <c r="Z42132" i="5"/>
  <c r="Z42131" i="5"/>
  <c r="Z42130" i="5"/>
  <c r="Z42129" i="5"/>
  <c r="Z42128" i="5"/>
  <c r="Z42127" i="5"/>
  <c r="Z42126" i="5"/>
  <c r="Z42125" i="5"/>
  <c r="Z42124" i="5"/>
  <c r="Z42123" i="5"/>
  <c r="Z42122" i="5"/>
  <c r="Z42121" i="5"/>
  <c r="Z42120" i="5"/>
  <c r="Z42119" i="5"/>
  <c r="Z42118" i="5"/>
  <c r="Z42117" i="5"/>
  <c r="Z42116" i="5"/>
  <c r="Z42115" i="5"/>
  <c r="Z42114" i="5"/>
  <c r="Z42113" i="5"/>
  <c r="Z42112" i="5"/>
  <c r="Z42111" i="5"/>
  <c r="Z42110" i="5"/>
  <c r="Z42109" i="5"/>
  <c r="Z42108" i="5"/>
  <c r="Z42107" i="5"/>
  <c r="Z42106" i="5"/>
  <c r="Z42105" i="5"/>
  <c r="Z42104" i="5"/>
  <c r="Z42103" i="5"/>
  <c r="Z42102" i="5"/>
  <c r="Z42101" i="5"/>
  <c r="Z42100" i="5"/>
  <c r="Z42099" i="5"/>
  <c r="Z42098" i="5"/>
  <c r="Z42097" i="5"/>
  <c r="Z42096" i="5"/>
  <c r="Z42095" i="5"/>
  <c r="Z42094" i="5"/>
  <c r="Z42093" i="5"/>
  <c r="Z42092" i="5"/>
  <c r="Z42091" i="5"/>
  <c r="Z42090" i="5"/>
  <c r="Z42089" i="5"/>
  <c r="Z42088" i="5"/>
  <c r="Z42087" i="5"/>
  <c r="Z42086" i="5"/>
  <c r="Z42085" i="5"/>
  <c r="Z42084" i="5"/>
  <c r="Z42083" i="5"/>
  <c r="Z42082" i="5"/>
  <c r="Z42081" i="5"/>
  <c r="Z42080" i="5"/>
  <c r="Z42079" i="5"/>
  <c r="Z42078" i="5"/>
  <c r="Z42077" i="5"/>
  <c r="Z42076" i="5"/>
  <c r="Z42075" i="5"/>
  <c r="Z42074" i="5"/>
  <c r="Z42073" i="5"/>
  <c r="Z42072" i="5"/>
  <c r="Z42071" i="5"/>
  <c r="Z42070" i="5"/>
  <c r="Z42069" i="5"/>
  <c r="Z42068" i="5"/>
  <c r="Z42067" i="5"/>
  <c r="Z42066" i="5"/>
  <c r="Z42065" i="5"/>
  <c r="Z42064" i="5"/>
  <c r="Z42063" i="5"/>
  <c r="Z42062" i="5"/>
  <c r="Z42061" i="5"/>
  <c r="Z42060" i="5"/>
  <c r="Z42059" i="5"/>
  <c r="Z42058" i="5"/>
  <c r="Z42057" i="5"/>
  <c r="Z42056" i="5"/>
  <c r="Z42055" i="5"/>
  <c r="Z42054" i="5"/>
  <c r="Z42053" i="5"/>
  <c r="Z42052" i="5"/>
  <c r="Z42051" i="5"/>
  <c r="Z42050" i="5"/>
  <c r="Z42049" i="5"/>
  <c r="Z42048" i="5"/>
  <c r="Z42047" i="5"/>
  <c r="Z42046" i="5"/>
  <c r="Z42045" i="5"/>
  <c r="Z42044" i="5"/>
  <c r="Z42043" i="5"/>
  <c r="Z42042" i="5"/>
  <c r="Z42041" i="5"/>
  <c r="Z42040" i="5"/>
  <c r="Z42039" i="5"/>
  <c r="Z42038" i="5"/>
  <c r="Z42037" i="5"/>
  <c r="Z42036" i="5"/>
  <c r="Z42035" i="5"/>
  <c r="Z42034" i="5"/>
  <c r="Z42033" i="5"/>
  <c r="Z42032" i="5"/>
  <c r="Z42031" i="5"/>
  <c r="Z42030" i="5"/>
  <c r="Z42029" i="5"/>
  <c r="Z42028" i="5"/>
  <c r="Z42027" i="5"/>
  <c r="Z42026" i="5"/>
  <c r="Z42025" i="5"/>
  <c r="Z42024" i="5"/>
  <c r="Z42023" i="5"/>
  <c r="Z42022" i="5"/>
  <c r="Z42021" i="5"/>
  <c r="Z42020" i="5"/>
  <c r="Z42019" i="5"/>
  <c r="Z42018" i="5"/>
  <c r="Z42017" i="5"/>
  <c r="Z42016" i="5"/>
  <c r="Z42015" i="5"/>
  <c r="Z42014" i="5"/>
  <c r="Z42013" i="5"/>
  <c r="Z42012" i="5"/>
  <c r="Z42011" i="5"/>
  <c r="Z42010" i="5"/>
  <c r="Z42009" i="5"/>
  <c r="Z42008" i="5"/>
  <c r="Z42007" i="5"/>
  <c r="Z42006" i="5"/>
  <c r="Z42005" i="5"/>
  <c r="Z42004" i="5"/>
  <c r="Z42003" i="5"/>
  <c r="Z42002" i="5"/>
  <c r="Z42001" i="5"/>
  <c r="Z42000" i="5"/>
  <c r="Z41999" i="5"/>
  <c r="Z41998" i="5"/>
  <c r="Z41997" i="5"/>
  <c r="Z41996" i="5"/>
  <c r="Z41995" i="5"/>
  <c r="Z41994" i="5"/>
  <c r="Z41993" i="5"/>
  <c r="Z41992" i="5"/>
  <c r="Z41991" i="5"/>
  <c r="Z41990" i="5"/>
  <c r="Z41989" i="5"/>
  <c r="Z41988" i="5"/>
  <c r="Z41987" i="5"/>
  <c r="Z41986" i="5"/>
  <c r="Z41985" i="5"/>
  <c r="Z41984" i="5"/>
  <c r="Z41983" i="5"/>
  <c r="Z41982" i="5"/>
  <c r="Z41981" i="5"/>
  <c r="Z41980" i="5"/>
  <c r="Z41979" i="5"/>
  <c r="Z41978" i="5"/>
  <c r="Z41977" i="5"/>
  <c r="Z41976" i="5"/>
  <c r="Z41975" i="5"/>
  <c r="Z41974" i="5"/>
  <c r="Z41973" i="5"/>
  <c r="Z41972" i="5"/>
  <c r="Z41971" i="5"/>
  <c r="Z41970" i="5"/>
  <c r="Z41969" i="5"/>
  <c r="Z41968" i="5"/>
  <c r="Z41967" i="5"/>
  <c r="Z41966" i="5"/>
  <c r="Z41965" i="5"/>
  <c r="Z41964" i="5"/>
  <c r="Z41963" i="5"/>
  <c r="Z41962" i="5"/>
  <c r="Z41961" i="5"/>
  <c r="Z41960" i="5"/>
  <c r="Z41959" i="5"/>
  <c r="Z41958" i="5"/>
  <c r="Z41957" i="5"/>
  <c r="Z41956" i="5"/>
  <c r="Z41955" i="5"/>
  <c r="Z41954" i="5"/>
  <c r="Z41953" i="5"/>
  <c r="Z41952" i="5"/>
  <c r="Z41951" i="5"/>
  <c r="Z41950" i="5"/>
  <c r="Z41949" i="5"/>
  <c r="Z41948" i="5"/>
  <c r="Z41947" i="5"/>
  <c r="Z41946" i="5"/>
  <c r="Z41945" i="5"/>
  <c r="Z41944" i="5"/>
  <c r="Z41943" i="5"/>
  <c r="Z41942" i="5"/>
  <c r="Z41941" i="5"/>
  <c r="Z41940" i="5"/>
  <c r="Z41939" i="5"/>
  <c r="Z41938" i="5"/>
  <c r="Z41937" i="5"/>
  <c r="Z41936" i="5"/>
  <c r="Z41935" i="5"/>
  <c r="Z41934" i="5"/>
  <c r="Z41933" i="5"/>
  <c r="Z41932" i="5"/>
  <c r="Z41931" i="5"/>
  <c r="Z41930" i="5"/>
  <c r="Z41929" i="5"/>
  <c r="Z41928" i="5"/>
  <c r="Z41927" i="5"/>
  <c r="Z41926" i="5"/>
  <c r="Z41925" i="5"/>
  <c r="Z41924" i="5"/>
  <c r="Z41923" i="5"/>
  <c r="Z41922" i="5"/>
  <c r="Z41921" i="5"/>
  <c r="Z41920" i="5"/>
  <c r="Z41919" i="5"/>
  <c r="Z41918" i="5"/>
  <c r="Z41917" i="5"/>
  <c r="Z41916" i="5"/>
  <c r="Z41915" i="5"/>
  <c r="Z41914" i="5"/>
  <c r="Z41913" i="5"/>
  <c r="Z41912" i="5"/>
  <c r="Z41911" i="5"/>
  <c r="Z41910" i="5"/>
  <c r="Z41909" i="5"/>
  <c r="Z41908" i="5"/>
  <c r="Z41907" i="5"/>
  <c r="Z41906" i="5"/>
  <c r="Z41905" i="5"/>
  <c r="Z41904" i="5"/>
  <c r="Z41903" i="5"/>
  <c r="Z41902" i="5"/>
  <c r="Z41901" i="5"/>
  <c r="Z41900" i="5"/>
  <c r="Z41899" i="5"/>
  <c r="Z41898" i="5"/>
  <c r="Z41897" i="5"/>
  <c r="Z41896" i="5"/>
  <c r="Z41895" i="5"/>
  <c r="Z41894" i="5"/>
  <c r="Z41893" i="5"/>
  <c r="Z41892" i="5"/>
  <c r="Z41891" i="5"/>
  <c r="Z41890" i="5"/>
  <c r="Z41889" i="5"/>
  <c r="Z41888" i="5"/>
  <c r="Z41887" i="5"/>
  <c r="Z41886" i="5"/>
  <c r="Z41885" i="5"/>
  <c r="Z41884" i="5"/>
  <c r="Z41883" i="5"/>
  <c r="Z41882" i="5"/>
  <c r="Z41881" i="5"/>
  <c r="Z41880" i="5"/>
  <c r="Z41879" i="5"/>
  <c r="Z41878" i="5"/>
  <c r="Z41877" i="5"/>
  <c r="Z41876" i="5"/>
  <c r="Z41875" i="5"/>
  <c r="Z41874" i="5"/>
  <c r="Z41873" i="5"/>
  <c r="Z41872" i="5"/>
  <c r="Z41871" i="5"/>
  <c r="Z41870" i="5"/>
  <c r="Z41869" i="5"/>
  <c r="Z41868" i="5"/>
  <c r="Z41867" i="5"/>
  <c r="Z41866" i="5"/>
  <c r="Z41865" i="5"/>
  <c r="Z41864" i="5"/>
  <c r="Z41863" i="5"/>
  <c r="Z41862" i="5"/>
  <c r="Z41861" i="5"/>
  <c r="Z41860" i="5"/>
  <c r="Z41859" i="5"/>
  <c r="Z41858" i="5"/>
  <c r="Z41857" i="5"/>
  <c r="Z41856" i="5"/>
  <c r="Z41855" i="5"/>
  <c r="Z41854" i="5"/>
  <c r="Z41853" i="5"/>
  <c r="Z41852" i="5"/>
  <c r="Z41851" i="5"/>
  <c r="Z41850" i="5"/>
  <c r="Z41849" i="5"/>
  <c r="Z41848" i="5"/>
  <c r="Z41847" i="5"/>
  <c r="Z41846" i="5"/>
  <c r="Z41845" i="5"/>
  <c r="Z41844" i="5"/>
  <c r="Z41843" i="5"/>
  <c r="Z41842" i="5"/>
  <c r="Z41841" i="5"/>
  <c r="Z41840" i="5"/>
  <c r="Z41839" i="5"/>
  <c r="Z41838" i="5"/>
  <c r="Z41837" i="5"/>
  <c r="Z41836" i="5"/>
  <c r="Z41835" i="5"/>
  <c r="Z41834" i="5"/>
  <c r="Z41833" i="5"/>
  <c r="Z41832" i="5"/>
  <c r="Z41831" i="5"/>
  <c r="Z41830" i="5"/>
  <c r="Z41829" i="5"/>
  <c r="Z41828" i="5"/>
  <c r="Z41827" i="5"/>
  <c r="Z41826" i="5"/>
  <c r="Z41825" i="5"/>
  <c r="Z41824" i="5"/>
  <c r="Z41823" i="5"/>
  <c r="Z41822" i="5"/>
  <c r="Z41821" i="5"/>
  <c r="Z41820" i="5"/>
  <c r="Z41819" i="5"/>
  <c r="Z41818" i="5"/>
  <c r="Z41817" i="5"/>
  <c r="Z41816" i="5"/>
  <c r="Z41815" i="5"/>
  <c r="Z41814" i="5"/>
  <c r="Z41813" i="5"/>
  <c r="Z41812" i="5"/>
  <c r="Z41811" i="5"/>
  <c r="Z41810" i="5"/>
  <c r="Z41809" i="5"/>
  <c r="Z41808" i="5"/>
  <c r="Z41807" i="5"/>
  <c r="Z41806" i="5"/>
  <c r="Z41805" i="5"/>
  <c r="Z41804" i="5"/>
  <c r="Z41803" i="5"/>
  <c r="Z41802" i="5"/>
  <c r="Z41801" i="5"/>
  <c r="Z41800" i="5"/>
  <c r="Z41799" i="5"/>
  <c r="Z41798" i="5"/>
  <c r="Z41797" i="5"/>
  <c r="Z41796" i="5"/>
  <c r="Z41795" i="5"/>
  <c r="Z41794" i="5"/>
  <c r="Z41793" i="5"/>
  <c r="Z41792" i="5"/>
  <c r="Z41791" i="5"/>
  <c r="Z41790" i="5"/>
  <c r="Z41789" i="5"/>
  <c r="Z41788" i="5"/>
  <c r="Z41787" i="5"/>
  <c r="Z41786" i="5"/>
  <c r="Z41785" i="5"/>
  <c r="Z41784" i="5"/>
  <c r="Z41783" i="5"/>
  <c r="Z41782" i="5"/>
  <c r="Z41781" i="5"/>
  <c r="Z41780" i="5"/>
  <c r="Z41779" i="5"/>
  <c r="Z41778" i="5"/>
  <c r="Z41777" i="5"/>
  <c r="Z41776" i="5"/>
  <c r="Z41775" i="5"/>
  <c r="Z41774" i="5"/>
  <c r="Z41773" i="5"/>
  <c r="Z41772" i="5"/>
  <c r="Z41771" i="5"/>
  <c r="Z41770" i="5"/>
  <c r="Z41769" i="5"/>
  <c r="Z41768" i="5"/>
  <c r="Z41767" i="5"/>
  <c r="Z41766" i="5"/>
  <c r="Z41765" i="5"/>
  <c r="Z41764" i="5"/>
  <c r="Z41763" i="5"/>
  <c r="Z41762" i="5"/>
  <c r="Z41761" i="5"/>
  <c r="Z41760" i="5"/>
  <c r="Z41759" i="5"/>
  <c r="Z41758" i="5"/>
  <c r="Z41757" i="5"/>
  <c r="Z41756" i="5"/>
  <c r="Z41755" i="5"/>
  <c r="Z41754" i="5"/>
  <c r="Z41753" i="5"/>
  <c r="Z41752" i="5"/>
  <c r="Z41751" i="5"/>
  <c r="Z41750" i="5"/>
  <c r="Z41749" i="5"/>
  <c r="Z41748" i="5"/>
  <c r="Z41747" i="5"/>
  <c r="Z41746" i="5"/>
  <c r="Z41745" i="5"/>
  <c r="Z41744" i="5"/>
  <c r="Z41743" i="5"/>
  <c r="Z41742" i="5"/>
  <c r="Z41741" i="5"/>
  <c r="Z41740" i="5"/>
  <c r="Z41739" i="5"/>
  <c r="Z41738" i="5"/>
  <c r="Z41737" i="5"/>
  <c r="Z41736" i="5"/>
  <c r="Z41735" i="5"/>
  <c r="Z41734" i="5"/>
  <c r="Z41733" i="5"/>
  <c r="Z41732" i="5"/>
  <c r="Z41731" i="5"/>
  <c r="Z41730" i="5"/>
  <c r="Z41729" i="5"/>
  <c r="Z41728" i="5"/>
  <c r="Z41727" i="5"/>
  <c r="Z41726" i="5"/>
  <c r="Z41725" i="5"/>
  <c r="Z41724" i="5"/>
  <c r="Z41723" i="5"/>
  <c r="Z41722" i="5"/>
  <c r="Z41721" i="5"/>
  <c r="Z41720" i="5"/>
  <c r="Z41719" i="5"/>
  <c r="Z41718" i="5"/>
  <c r="Z41717" i="5"/>
  <c r="Z41716" i="5"/>
  <c r="Z41715" i="5"/>
  <c r="Z41714" i="5"/>
  <c r="Z41713" i="5"/>
  <c r="Z41712" i="5"/>
  <c r="Z41711" i="5"/>
  <c r="Z41710" i="5"/>
  <c r="Z41709" i="5"/>
  <c r="Z41708" i="5"/>
  <c r="Z41707" i="5"/>
  <c r="Z41706" i="5"/>
  <c r="Z41705" i="5"/>
  <c r="Z41704" i="5"/>
  <c r="Z41703" i="5"/>
  <c r="Z41702" i="5"/>
  <c r="Z41701" i="5"/>
  <c r="Z41700" i="5"/>
  <c r="Z41699" i="5"/>
  <c r="Z41698" i="5"/>
  <c r="Z41697" i="5"/>
  <c r="Z41696" i="5"/>
  <c r="Z41695" i="5"/>
  <c r="Z41694" i="5"/>
  <c r="Z41693" i="5"/>
  <c r="Z41692" i="5"/>
  <c r="Z41691" i="5"/>
  <c r="Z41690" i="5"/>
  <c r="Z41689" i="5"/>
  <c r="Z41688" i="5"/>
  <c r="Z41687" i="5"/>
  <c r="Z41686" i="5"/>
  <c r="Z41685" i="5"/>
  <c r="Z41684" i="5"/>
  <c r="Z41683" i="5"/>
  <c r="Z41682" i="5"/>
  <c r="Z41681" i="5"/>
  <c r="Z41680" i="5"/>
  <c r="Z41679" i="5"/>
  <c r="Z41678" i="5"/>
  <c r="Z41677" i="5"/>
  <c r="Z41676" i="5"/>
  <c r="Z41675" i="5"/>
  <c r="Z41674" i="5"/>
  <c r="Z41673" i="5"/>
  <c r="Z41672" i="5"/>
  <c r="Z41671" i="5"/>
  <c r="Z41670" i="5"/>
  <c r="Z41669" i="5"/>
  <c r="Z41668" i="5"/>
  <c r="Z41667" i="5"/>
  <c r="Z41666" i="5"/>
  <c r="Z41665" i="5"/>
  <c r="Z41664" i="5"/>
  <c r="Z41663" i="5"/>
  <c r="Z41662" i="5"/>
  <c r="Z41661" i="5"/>
  <c r="Z41660" i="5"/>
  <c r="Z41659" i="5"/>
  <c r="Z41658" i="5"/>
  <c r="Z41657" i="5"/>
  <c r="Z41656" i="5"/>
  <c r="Z41655" i="5"/>
  <c r="Z41654" i="5"/>
  <c r="Z41653" i="5"/>
  <c r="Z41652" i="5"/>
  <c r="Z41651" i="5"/>
  <c r="Z41650" i="5"/>
  <c r="Z41649" i="5"/>
  <c r="Z41648" i="5"/>
  <c r="Z41647" i="5"/>
  <c r="Z41646" i="5"/>
  <c r="Z41645" i="5"/>
  <c r="Z41644" i="5"/>
  <c r="Z41643" i="5"/>
  <c r="Z41642" i="5"/>
  <c r="Z41641" i="5"/>
  <c r="Z41640" i="5"/>
  <c r="Z41639" i="5"/>
  <c r="Z41638" i="5"/>
  <c r="Z41637" i="5"/>
  <c r="Z41636" i="5"/>
  <c r="Z41635" i="5"/>
  <c r="Z41634" i="5"/>
  <c r="Z41633" i="5"/>
  <c r="Z41632" i="5"/>
  <c r="Z41631" i="5"/>
  <c r="Z41630" i="5"/>
  <c r="Z41629" i="5"/>
  <c r="Z41628" i="5"/>
  <c r="Z41627" i="5"/>
  <c r="Z41626" i="5"/>
  <c r="Z41625" i="5"/>
  <c r="Z41624" i="5"/>
  <c r="Z41623" i="5"/>
  <c r="Z41622" i="5"/>
  <c r="Z41621" i="5"/>
  <c r="Z41620" i="5"/>
  <c r="Z41619" i="5"/>
  <c r="Z41618" i="5"/>
  <c r="Z41617" i="5"/>
  <c r="Z41616" i="5"/>
  <c r="Z41615" i="5"/>
  <c r="Z41614" i="5"/>
  <c r="Z41613" i="5"/>
  <c r="Z41612" i="5"/>
  <c r="Z41611" i="5"/>
  <c r="Z41610" i="5"/>
  <c r="Z41609" i="5"/>
  <c r="Z41608" i="5"/>
  <c r="Z41607" i="5"/>
  <c r="Z41606" i="5"/>
  <c r="Z41605" i="5"/>
  <c r="Z41604" i="5"/>
  <c r="Z41603" i="5"/>
  <c r="Z41602" i="5"/>
  <c r="Z41601" i="5"/>
  <c r="Z41600" i="5"/>
  <c r="Z41599" i="5"/>
  <c r="Z41598" i="5"/>
  <c r="Z41597" i="5"/>
  <c r="Z41596" i="5"/>
  <c r="Z41595" i="5"/>
  <c r="Z41594" i="5"/>
  <c r="Z41593" i="5"/>
  <c r="Z41592" i="5"/>
  <c r="Z41591" i="5"/>
  <c r="Z41590" i="5"/>
  <c r="Z41589" i="5"/>
  <c r="Z41588" i="5"/>
  <c r="Z41587" i="5"/>
  <c r="Z41586" i="5"/>
  <c r="Z41585" i="5"/>
  <c r="Z41584" i="5"/>
  <c r="Z41583" i="5"/>
  <c r="Z41582" i="5"/>
  <c r="Z41581" i="5"/>
  <c r="Z41580" i="5"/>
  <c r="Z41579" i="5"/>
  <c r="Z41578" i="5"/>
  <c r="Z41577" i="5"/>
  <c r="Z41576" i="5"/>
  <c r="Z41575" i="5"/>
  <c r="Z41574" i="5"/>
  <c r="Z41573" i="5"/>
  <c r="Z41572" i="5"/>
  <c r="Z41571" i="5"/>
  <c r="Z41570" i="5"/>
  <c r="Z41569" i="5"/>
  <c r="Z41568" i="5"/>
  <c r="Z41567" i="5"/>
  <c r="Z41566" i="5"/>
  <c r="Z41565" i="5"/>
  <c r="Z41564" i="5"/>
  <c r="Z41563" i="5"/>
  <c r="Z41562" i="5"/>
  <c r="Z41561" i="5"/>
  <c r="Z41560" i="5"/>
  <c r="Z41559" i="5"/>
  <c r="Z41558" i="5"/>
  <c r="Z41557" i="5"/>
  <c r="Z41556" i="5"/>
  <c r="Z41555" i="5"/>
  <c r="Z41554" i="5"/>
  <c r="Z41553" i="5"/>
  <c r="Z41552" i="5"/>
  <c r="Z41551" i="5"/>
  <c r="Z41550" i="5"/>
  <c r="Z41549" i="5"/>
  <c r="Z41548" i="5"/>
  <c r="Z41547" i="5"/>
  <c r="Z41546" i="5"/>
  <c r="Z41545" i="5"/>
  <c r="Z41544" i="5"/>
  <c r="Z41543" i="5"/>
  <c r="Z41542" i="5"/>
  <c r="Z41541" i="5"/>
  <c r="Z41540" i="5"/>
  <c r="Z41539" i="5"/>
  <c r="Z41538" i="5"/>
  <c r="Z41537" i="5"/>
  <c r="Z41536" i="5"/>
  <c r="Z41535" i="5"/>
  <c r="Z41534" i="5"/>
  <c r="Z41533" i="5"/>
  <c r="Z41532" i="5"/>
  <c r="Z41531" i="5"/>
  <c r="Z41530" i="5"/>
  <c r="Z41529" i="5"/>
  <c r="Z41528" i="5"/>
  <c r="Z41527" i="5"/>
  <c r="Z41526" i="5"/>
  <c r="Z41525" i="5"/>
  <c r="Z41524" i="5"/>
  <c r="Z41523" i="5"/>
  <c r="Z41522" i="5"/>
  <c r="Z41521" i="5"/>
  <c r="Z41520" i="5"/>
  <c r="Z41519" i="5"/>
  <c r="Z41518" i="5"/>
  <c r="Z41517" i="5"/>
  <c r="Z41516" i="5"/>
  <c r="Z41515" i="5"/>
  <c r="Z41514" i="5"/>
  <c r="Z41513" i="5"/>
  <c r="Z41512" i="5"/>
  <c r="Z41511" i="5"/>
  <c r="Z41510" i="5"/>
  <c r="Z41509" i="5"/>
  <c r="Z41508" i="5"/>
  <c r="Z41507" i="5"/>
  <c r="Z41506" i="5"/>
  <c r="Z41505" i="5"/>
  <c r="Z41504" i="5"/>
  <c r="Z41503" i="5"/>
  <c r="Z41502" i="5"/>
  <c r="Z41501" i="5"/>
  <c r="Z41500" i="5"/>
  <c r="Z41499" i="5"/>
  <c r="Z41498" i="5"/>
  <c r="Z41497" i="5"/>
  <c r="Z41496" i="5"/>
  <c r="Z41495" i="5"/>
  <c r="Z41494" i="5"/>
  <c r="Z41493" i="5"/>
  <c r="Z41492" i="5"/>
  <c r="Z41491" i="5"/>
  <c r="Z41490" i="5"/>
  <c r="Z41489" i="5"/>
  <c r="Z41488" i="5"/>
  <c r="Z41487" i="5"/>
  <c r="Z41486" i="5"/>
  <c r="Z41485" i="5"/>
  <c r="Z41484" i="5"/>
  <c r="Z41483" i="5"/>
  <c r="Z41482" i="5"/>
  <c r="Z41481" i="5"/>
  <c r="Z41480" i="5"/>
  <c r="Z41479" i="5"/>
  <c r="Z41478" i="5"/>
  <c r="Z41477" i="5"/>
  <c r="Z41476" i="5"/>
  <c r="Z41475" i="5"/>
  <c r="Z41474" i="5"/>
  <c r="Z41473" i="5"/>
  <c r="Z41472" i="5"/>
  <c r="Z41471" i="5"/>
  <c r="Z41470" i="5"/>
  <c r="Z41469" i="5"/>
  <c r="Z41468" i="5"/>
  <c r="Z41467" i="5"/>
  <c r="Z41466" i="5"/>
  <c r="Z41465" i="5"/>
  <c r="Z41464" i="5"/>
  <c r="Z41463" i="5"/>
  <c r="Z41462" i="5"/>
  <c r="Z41461" i="5"/>
  <c r="Z41460" i="5"/>
  <c r="Z41459" i="5"/>
  <c r="Z41458" i="5"/>
  <c r="Z41457" i="5"/>
  <c r="Z41456" i="5"/>
  <c r="Z41455" i="5"/>
  <c r="Z41454" i="5"/>
  <c r="Z41453" i="5"/>
  <c r="Z41452" i="5"/>
  <c r="Z41451" i="5"/>
  <c r="Z41450" i="5"/>
  <c r="Z41449" i="5"/>
  <c r="Z41448" i="5"/>
  <c r="Z41447" i="5"/>
  <c r="Z41446" i="5"/>
  <c r="Z41445" i="5"/>
  <c r="Z41444" i="5"/>
  <c r="Z41443" i="5"/>
  <c r="Z41442" i="5"/>
  <c r="Z41441" i="5"/>
  <c r="Z41440" i="5"/>
  <c r="Z41439" i="5"/>
  <c r="Z41438" i="5"/>
  <c r="Z41437" i="5"/>
  <c r="Z41436" i="5"/>
  <c r="Z41435" i="5"/>
  <c r="Z41434" i="5"/>
  <c r="Z41433" i="5"/>
  <c r="Z41432" i="5"/>
  <c r="Z41431" i="5"/>
  <c r="Z41430" i="5"/>
  <c r="Z41429" i="5"/>
  <c r="Z41428" i="5"/>
  <c r="Z41427" i="5"/>
  <c r="Z41426" i="5"/>
  <c r="Z41425" i="5"/>
  <c r="Z41424" i="5"/>
  <c r="Z41423" i="5"/>
  <c r="Z41422" i="5"/>
  <c r="Z41421" i="5"/>
  <c r="Z41420" i="5"/>
  <c r="Z41419" i="5"/>
  <c r="Z41418" i="5"/>
  <c r="Z41417" i="5"/>
  <c r="Z41416" i="5"/>
  <c r="Z41415" i="5"/>
  <c r="Z41414" i="5"/>
  <c r="Z41413" i="5"/>
  <c r="Z41412" i="5"/>
  <c r="Z41411" i="5"/>
  <c r="Z41410" i="5"/>
  <c r="Z41409" i="5"/>
  <c r="Z41408" i="5"/>
  <c r="Z41407" i="5"/>
  <c r="Z41406" i="5"/>
  <c r="Z41405" i="5"/>
  <c r="Z41404" i="5"/>
  <c r="Z41403" i="5"/>
  <c r="Z41402" i="5"/>
  <c r="Z41401" i="5"/>
  <c r="Z41400" i="5"/>
  <c r="Z41399" i="5"/>
  <c r="Z41398" i="5"/>
  <c r="Z41397" i="5"/>
  <c r="Z41396" i="5"/>
  <c r="Z41395" i="5"/>
  <c r="Z41394" i="5"/>
  <c r="Z41393" i="5"/>
  <c r="Z41392" i="5"/>
  <c r="Z41391" i="5"/>
  <c r="Z41390" i="5"/>
  <c r="Z41389" i="5"/>
  <c r="Z41388" i="5"/>
  <c r="Z41387" i="5"/>
  <c r="Z41386" i="5"/>
  <c r="Z41385" i="5"/>
  <c r="Z41384" i="5"/>
  <c r="Z41383" i="5"/>
  <c r="Z41382" i="5"/>
  <c r="Z41381" i="5"/>
  <c r="Z41380" i="5"/>
  <c r="Z41379" i="5"/>
  <c r="Z41378" i="5"/>
  <c r="Z41377" i="5"/>
  <c r="Z41376" i="5"/>
  <c r="Z41375" i="5"/>
  <c r="Z41374" i="5"/>
  <c r="Z41373" i="5"/>
  <c r="Z41372" i="5"/>
  <c r="Z41371" i="5"/>
  <c r="Z41370" i="5"/>
  <c r="Z41369" i="5"/>
  <c r="Z41368" i="5"/>
  <c r="Z41367" i="5"/>
  <c r="Z41366" i="5"/>
  <c r="Z41365" i="5"/>
  <c r="Z41364" i="5"/>
  <c r="Z41363" i="5"/>
  <c r="Z41362" i="5"/>
  <c r="Z41361" i="5"/>
  <c r="Z41360" i="5"/>
  <c r="Z41359" i="5"/>
  <c r="Z41358" i="5"/>
  <c r="Z41357" i="5"/>
  <c r="Z41356" i="5"/>
  <c r="Z41355" i="5"/>
  <c r="Z41354" i="5"/>
  <c r="Z41353" i="5"/>
  <c r="Z41352" i="5"/>
  <c r="Z41351" i="5"/>
  <c r="Z41350" i="5"/>
  <c r="Z41349" i="5"/>
  <c r="Z41348" i="5"/>
  <c r="Z41347" i="5"/>
  <c r="Z41346" i="5"/>
  <c r="Z41345" i="5"/>
  <c r="Z41344" i="5"/>
  <c r="Z41343" i="5"/>
  <c r="Z41342" i="5"/>
  <c r="Z41341" i="5"/>
  <c r="Z41340" i="5"/>
  <c r="Z41339" i="5"/>
  <c r="Z41338" i="5"/>
  <c r="Z41337" i="5"/>
  <c r="Z41336" i="5"/>
  <c r="Z41335" i="5"/>
  <c r="Z41334" i="5"/>
  <c r="Z41333" i="5"/>
  <c r="Z41332" i="5"/>
  <c r="Z41331" i="5"/>
  <c r="Z41330" i="5"/>
  <c r="Z41329" i="5"/>
  <c r="Z41328" i="5"/>
  <c r="Z41327" i="5"/>
  <c r="Z41326" i="5"/>
  <c r="Z41325" i="5"/>
  <c r="Z41324" i="5"/>
  <c r="Z41323" i="5"/>
  <c r="Z41322" i="5"/>
  <c r="Z41321" i="5"/>
  <c r="Z41320" i="5"/>
  <c r="Z41319" i="5"/>
  <c r="Z41318" i="5"/>
  <c r="Z41317" i="5"/>
  <c r="Z41316" i="5"/>
  <c r="Z41315" i="5"/>
  <c r="Z41314" i="5"/>
  <c r="Z41313" i="5"/>
  <c r="Z41312" i="5"/>
  <c r="Z41311" i="5"/>
  <c r="Z41310" i="5"/>
  <c r="Z41309" i="5"/>
  <c r="Z41308" i="5"/>
  <c r="Z41307" i="5"/>
  <c r="Z41306" i="5"/>
  <c r="Z41305" i="5"/>
  <c r="Z41304" i="5"/>
  <c r="Z41303" i="5"/>
  <c r="Z41302" i="5"/>
  <c r="Z41301" i="5"/>
  <c r="Z41300" i="5"/>
  <c r="Z41299" i="5"/>
  <c r="Z41298" i="5"/>
  <c r="Z41297" i="5"/>
  <c r="Z41296" i="5"/>
  <c r="Z41295" i="5"/>
  <c r="Z41294" i="5"/>
  <c r="Z41293" i="5"/>
  <c r="Z41292" i="5"/>
  <c r="Z41291" i="5"/>
  <c r="Z41290" i="5"/>
  <c r="Z41289" i="5"/>
  <c r="Z41288" i="5"/>
  <c r="Z41287" i="5"/>
  <c r="Z41286" i="5"/>
  <c r="Z41285" i="5"/>
  <c r="Z41284" i="5"/>
  <c r="Z41283" i="5"/>
  <c r="Z41282" i="5"/>
  <c r="Z41281" i="5"/>
  <c r="Z41280" i="5"/>
  <c r="Z41279" i="5"/>
  <c r="Z41278" i="5"/>
  <c r="Z41277" i="5"/>
  <c r="Z41276" i="5"/>
  <c r="Z41275" i="5"/>
  <c r="Z41274" i="5"/>
  <c r="Z41273" i="5"/>
  <c r="Z41272" i="5"/>
  <c r="Z41271" i="5"/>
  <c r="Z41270" i="5"/>
  <c r="Z41269" i="5"/>
  <c r="Z41268" i="5"/>
  <c r="Z41267" i="5"/>
  <c r="Z41266" i="5"/>
  <c r="Z41265" i="5"/>
  <c r="Z41264" i="5"/>
  <c r="Z41263" i="5"/>
  <c r="Z41262" i="5"/>
  <c r="Z41261" i="5"/>
  <c r="Z41260" i="5"/>
  <c r="Z41259" i="5"/>
  <c r="Z41258" i="5"/>
  <c r="Z41257" i="5"/>
  <c r="Z41256" i="5"/>
  <c r="Z41255" i="5"/>
  <c r="Z41254" i="5"/>
  <c r="Z41253" i="5"/>
  <c r="Z41252" i="5"/>
  <c r="Z41251" i="5"/>
  <c r="Z41250" i="5"/>
  <c r="Z41249" i="5"/>
  <c r="Z41248" i="5"/>
  <c r="Z41247" i="5"/>
  <c r="Z41246" i="5"/>
  <c r="Z41245" i="5"/>
  <c r="Z41244" i="5"/>
  <c r="Z41243" i="5"/>
  <c r="Z41242" i="5"/>
  <c r="Z41241" i="5"/>
  <c r="Z41240" i="5"/>
  <c r="Z41239" i="5"/>
  <c r="Z41238" i="5"/>
  <c r="Z41237" i="5"/>
  <c r="Z41236" i="5"/>
  <c r="Z41235" i="5"/>
  <c r="Z41234" i="5"/>
  <c r="Z41233" i="5"/>
  <c r="Z41232" i="5"/>
  <c r="Z41231" i="5"/>
  <c r="Z41230" i="5"/>
  <c r="Z41229" i="5"/>
  <c r="Z41228" i="5"/>
  <c r="Z41227" i="5"/>
  <c r="Z41226" i="5"/>
  <c r="Z41225" i="5"/>
  <c r="Z41224" i="5"/>
  <c r="Z41223" i="5"/>
  <c r="Z41222" i="5"/>
  <c r="Z41221" i="5"/>
  <c r="Z41220" i="5"/>
  <c r="Z41219" i="5"/>
  <c r="Z41218" i="5"/>
  <c r="Z41217" i="5"/>
  <c r="Z41216" i="5"/>
  <c r="Z41215" i="5"/>
  <c r="Z41214" i="5"/>
  <c r="Z41213" i="5"/>
  <c r="Z41212" i="5"/>
  <c r="Z41211" i="5"/>
  <c r="Z41210" i="5"/>
  <c r="Z41209" i="5"/>
  <c r="Z41208" i="5"/>
  <c r="Z41207" i="5"/>
  <c r="Z41206" i="5"/>
  <c r="Z41205" i="5"/>
  <c r="Z41204" i="5"/>
  <c r="Z41203" i="5"/>
  <c r="Z41202" i="5"/>
  <c r="Z41201" i="5"/>
  <c r="Z41200" i="5"/>
  <c r="Z41199" i="5"/>
  <c r="Z41198" i="5"/>
  <c r="Z41197" i="5"/>
  <c r="Z41196" i="5"/>
  <c r="Z41195" i="5"/>
  <c r="Z41194" i="5"/>
  <c r="Z41193" i="5"/>
  <c r="Z41192" i="5"/>
  <c r="Z41191" i="5"/>
  <c r="Z41190" i="5"/>
  <c r="Z41189" i="5"/>
  <c r="Z41188" i="5"/>
  <c r="Z41187" i="5"/>
  <c r="Z41186" i="5"/>
  <c r="Z41185" i="5"/>
  <c r="Z41184" i="5"/>
  <c r="Z41183" i="5"/>
  <c r="Z41182" i="5"/>
  <c r="Z41181" i="5"/>
  <c r="Z41180" i="5"/>
  <c r="Z41179" i="5"/>
  <c r="Z41178" i="5"/>
  <c r="Z41177" i="5"/>
  <c r="Z41176" i="5"/>
  <c r="Z41175" i="5"/>
  <c r="Z41174" i="5"/>
  <c r="Z41173" i="5"/>
  <c r="Z41172" i="5"/>
  <c r="Z41171" i="5"/>
  <c r="Z41170" i="5"/>
  <c r="Z41169" i="5"/>
  <c r="Z41168" i="5"/>
  <c r="Z41167" i="5"/>
  <c r="Z41166" i="5"/>
  <c r="Z41165" i="5"/>
  <c r="Z41164" i="5"/>
  <c r="Z41163" i="5"/>
  <c r="Z41162" i="5"/>
  <c r="Z41161" i="5"/>
  <c r="Z41160" i="5"/>
  <c r="Z41159" i="5"/>
  <c r="Z41158" i="5"/>
  <c r="Z41157" i="5"/>
  <c r="Z41156" i="5"/>
  <c r="Z41155" i="5"/>
  <c r="Z41154" i="5"/>
  <c r="Z41153" i="5"/>
  <c r="Z41152" i="5"/>
  <c r="Z41151" i="5"/>
  <c r="Z41150" i="5"/>
  <c r="Z41149" i="5"/>
  <c r="Z41148" i="5"/>
  <c r="Z41147" i="5"/>
  <c r="Z41146" i="5"/>
  <c r="Z41145" i="5"/>
  <c r="Z41144" i="5"/>
  <c r="Z41143" i="5"/>
  <c r="Z41142" i="5"/>
  <c r="Z41141" i="5"/>
  <c r="Z41140" i="5"/>
  <c r="Z41139" i="5"/>
  <c r="Z41138" i="5"/>
  <c r="Z41137" i="5"/>
  <c r="Z41136" i="5"/>
  <c r="Z41135" i="5"/>
  <c r="Z41134" i="5"/>
  <c r="Z41133" i="5"/>
  <c r="Z41132" i="5"/>
  <c r="Z41131" i="5"/>
  <c r="Z41130" i="5"/>
  <c r="Z41129" i="5"/>
  <c r="Z41128" i="5"/>
  <c r="Z41127" i="5"/>
  <c r="Z41126" i="5"/>
  <c r="Z41125" i="5"/>
  <c r="Z41124" i="5"/>
  <c r="Z41123" i="5"/>
  <c r="Z41122" i="5"/>
  <c r="Z41121" i="5"/>
  <c r="Z41120" i="5"/>
  <c r="Z41119" i="5"/>
  <c r="Z41118" i="5"/>
  <c r="Z41117" i="5"/>
  <c r="Z41116" i="5"/>
  <c r="Z41115" i="5"/>
  <c r="Z41114" i="5"/>
  <c r="Z41113" i="5"/>
  <c r="Z41112" i="5"/>
  <c r="Z41111" i="5"/>
  <c r="Z41110" i="5"/>
  <c r="Z41109" i="5"/>
  <c r="Z41108" i="5"/>
  <c r="Z41107" i="5"/>
  <c r="Z41106" i="5"/>
  <c r="Z41105" i="5"/>
  <c r="Z41104" i="5"/>
  <c r="Z41103" i="5"/>
  <c r="Z41102" i="5"/>
  <c r="Z41101" i="5"/>
  <c r="Z41100" i="5"/>
  <c r="Z41099" i="5"/>
  <c r="Z41098" i="5"/>
  <c r="Z41097" i="5"/>
  <c r="Z41096" i="5"/>
  <c r="Z41095" i="5"/>
  <c r="Z41094" i="5"/>
  <c r="Z41093" i="5"/>
  <c r="Z41092" i="5"/>
  <c r="Z41091" i="5"/>
  <c r="Z41090" i="5"/>
  <c r="Z41089" i="5"/>
  <c r="Z41088" i="5"/>
  <c r="Z41087" i="5"/>
  <c r="Z41086" i="5"/>
  <c r="Z41085" i="5"/>
  <c r="Z41084" i="5"/>
  <c r="Z41083" i="5"/>
  <c r="Z41082" i="5"/>
  <c r="Z41081" i="5"/>
  <c r="Z41080" i="5"/>
  <c r="Z41079" i="5"/>
  <c r="Z41078" i="5"/>
  <c r="Z41077" i="5"/>
  <c r="Z41076" i="5"/>
  <c r="Z41075" i="5"/>
  <c r="Z41074" i="5"/>
  <c r="Z41073" i="5"/>
  <c r="Z41072" i="5"/>
  <c r="Z41071" i="5"/>
  <c r="Z41070" i="5"/>
  <c r="Z41069" i="5"/>
  <c r="Z41068" i="5"/>
  <c r="Z41067" i="5"/>
  <c r="Z41066" i="5"/>
  <c r="Z41065" i="5"/>
  <c r="Z41064" i="5"/>
  <c r="Z41063" i="5"/>
  <c r="Z41062" i="5"/>
  <c r="Z41061" i="5"/>
  <c r="Z41060" i="5"/>
  <c r="Z41059" i="5"/>
  <c r="Z41058" i="5"/>
  <c r="Z41057" i="5"/>
  <c r="Z41056" i="5"/>
  <c r="Z41055" i="5"/>
  <c r="Z41054" i="5"/>
  <c r="Z41053" i="5"/>
  <c r="Z41052" i="5"/>
  <c r="Z41051" i="5"/>
  <c r="Z41050" i="5"/>
  <c r="Z41049" i="5"/>
  <c r="Z41048" i="5"/>
  <c r="Z41047" i="5"/>
  <c r="Z41046" i="5"/>
  <c r="Z41045" i="5"/>
  <c r="Z41044" i="5"/>
  <c r="Z41043" i="5"/>
  <c r="Z41042" i="5"/>
  <c r="Z41041" i="5"/>
  <c r="Z41040" i="5"/>
  <c r="Z41039" i="5"/>
  <c r="Z41038" i="5"/>
  <c r="Z41037" i="5"/>
  <c r="Z41036" i="5"/>
  <c r="Z41035" i="5"/>
  <c r="Z41034" i="5"/>
  <c r="Z41033" i="5"/>
  <c r="Z41032" i="5"/>
  <c r="Z41031" i="5"/>
  <c r="Z41030" i="5"/>
  <c r="Z41029" i="5"/>
  <c r="Z41028" i="5"/>
  <c r="Z41027" i="5"/>
  <c r="Z41026" i="5"/>
  <c r="Z41025" i="5"/>
  <c r="Z41024" i="5"/>
  <c r="Z41023" i="5"/>
  <c r="Z41022" i="5"/>
  <c r="Z41021" i="5"/>
  <c r="Z41020" i="5"/>
  <c r="Z41019" i="5"/>
  <c r="Z41018" i="5"/>
  <c r="Z41017" i="5"/>
  <c r="Z41016" i="5"/>
  <c r="Z41015" i="5"/>
  <c r="Z41014" i="5"/>
  <c r="Z41013" i="5"/>
  <c r="Z41012" i="5"/>
  <c r="Z41011" i="5"/>
  <c r="Z41010" i="5"/>
  <c r="Z41009" i="5"/>
  <c r="Z41008" i="5"/>
  <c r="Z41007" i="5"/>
  <c r="Z41006" i="5"/>
  <c r="Z41005" i="5"/>
  <c r="Z41004" i="5"/>
  <c r="Z41003" i="5"/>
  <c r="Z41002" i="5"/>
  <c r="Z41001" i="5"/>
  <c r="Z41000" i="5"/>
  <c r="Z40999" i="5"/>
  <c r="Z40998" i="5"/>
  <c r="Z40997" i="5"/>
  <c r="Z40996" i="5"/>
  <c r="Z40995" i="5"/>
  <c r="Z40994" i="5"/>
  <c r="Z40993" i="5"/>
  <c r="Z40992" i="5"/>
  <c r="Z40991" i="5"/>
  <c r="Z40990" i="5"/>
  <c r="Z40989" i="5"/>
  <c r="Z40988" i="5"/>
  <c r="Z40987" i="5"/>
  <c r="Z40986" i="5"/>
  <c r="Z40985" i="5"/>
  <c r="Z40984" i="5"/>
  <c r="Z40983" i="5"/>
  <c r="Z40982" i="5"/>
  <c r="Z40981" i="5"/>
  <c r="Z40980" i="5"/>
  <c r="Z40979" i="5"/>
  <c r="Z40978" i="5"/>
  <c r="Z40977" i="5"/>
  <c r="Z40976" i="5"/>
  <c r="Z40975" i="5"/>
  <c r="Z40974" i="5"/>
  <c r="Z40973" i="5"/>
  <c r="Z40972" i="5"/>
  <c r="Z40971" i="5"/>
  <c r="Z40970" i="5"/>
  <c r="Z40969" i="5"/>
  <c r="Z40968" i="5"/>
  <c r="Z40967" i="5"/>
  <c r="Z40966" i="5"/>
  <c r="Z40965" i="5"/>
  <c r="Z40964" i="5"/>
  <c r="Z40963" i="5"/>
  <c r="Z40962" i="5"/>
  <c r="Z40961" i="5"/>
  <c r="Z40960" i="5"/>
  <c r="Z40959" i="5"/>
  <c r="Z40958" i="5"/>
  <c r="Z40957" i="5"/>
  <c r="Z40956" i="5"/>
  <c r="Z40955" i="5"/>
  <c r="Z40954" i="5"/>
  <c r="Z40953" i="5"/>
  <c r="Z40952" i="5"/>
  <c r="Z40951" i="5"/>
  <c r="Z40950" i="5"/>
  <c r="Z40949" i="5"/>
  <c r="Z40948" i="5"/>
  <c r="Z40947" i="5"/>
  <c r="Z40946" i="5"/>
  <c r="Z40945" i="5"/>
  <c r="Z40944" i="5"/>
  <c r="Z40943" i="5"/>
  <c r="Z40942" i="5"/>
  <c r="Z40941" i="5"/>
  <c r="Z40940" i="5"/>
  <c r="Z40939" i="5"/>
  <c r="Z40938" i="5"/>
  <c r="Z40937" i="5"/>
  <c r="Z40936" i="5"/>
  <c r="Z40935" i="5"/>
  <c r="Z40934" i="5"/>
  <c r="Z40933" i="5"/>
  <c r="Z40932" i="5"/>
  <c r="Z40931" i="5"/>
  <c r="Z40930" i="5"/>
  <c r="Z40929" i="5"/>
  <c r="Z40928" i="5"/>
  <c r="Z40927" i="5"/>
  <c r="Z40926" i="5"/>
  <c r="Z40925" i="5"/>
  <c r="Z40924" i="5"/>
  <c r="Z40923" i="5"/>
  <c r="Z40922" i="5"/>
  <c r="Z40921" i="5"/>
  <c r="Z40920" i="5"/>
  <c r="Z40919" i="5"/>
  <c r="Z40918" i="5"/>
  <c r="Z40917" i="5"/>
  <c r="Z40916" i="5"/>
  <c r="Z40915" i="5"/>
  <c r="Z40914" i="5"/>
  <c r="Z40913" i="5"/>
  <c r="Z40912" i="5"/>
  <c r="Z40911" i="5"/>
  <c r="Z40910" i="5"/>
  <c r="Z40909" i="5"/>
  <c r="Z40908" i="5"/>
  <c r="Z40907" i="5"/>
  <c r="Z40906" i="5"/>
  <c r="Z40905" i="5"/>
  <c r="Z40904" i="5"/>
  <c r="Z40903" i="5"/>
  <c r="Z40902" i="5"/>
  <c r="Z40901" i="5"/>
  <c r="Z40900" i="5"/>
  <c r="Z40899" i="5"/>
  <c r="Z40898" i="5"/>
  <c r="Z40897" i="5"/>
  <c r="Z40896" i="5"/>
  <c r="Z40895" i="5"/>
  <c r="Z40894" i="5"/>
  <c r="Z40893" i="5"/>
  <c r="Z40892" i="5"/>
  <c r="Z40891" i="5"/>
  <c r="Z40890" i="5"/>
  <c r="Z40889" i="5"/>
  <c r="Z40888" i="5"/>
  <c r="Z40887" i="5"/>
  <c r="Z40886" i="5"/>
  <c r="Z40885" i="5"/>
  <c r="Z40884" i="5"/>
  <c r="Z40883" i="5"/>
  <c r="Z40882" i="5"/>
  <c r="Z40881" i="5"/>
  <c r="Z40880" i="5"/>
  <c r="Z40879" i="5"/>
  <c r="Z40878" i="5"/>
  <c r="Z40877" i="5"/>
  <c r="Z40876" i="5"/>
  <c r="Z40875" i="5"/>
  <c r="Z40874" i="5"/>
  <c r="Z40873" i="5"/>
  <c r="Z40872" i="5"/>
  <c r="Z40871" i="5"/>
  <c r="Z40870" i="5"/>
  <c r="Z40869" i="5"/>
  <c r="Z40868" i="5"/>
  <c r="Z40867" i="5"/>
  <c r="Z40866" i="5"/>
  <c r="Z40865" i="5"/>
  <c r="Z40864" i="5"/>
  <c r="Z40863" i="5"/>
  <c r="Z40862" i="5"/>
  <c r="Z40861" i="5"/>
  <c r="Z40860" i="5"/>
  <c r="Z40859" i="5"/>
  <c r="Z40858" i="5"/>
  <c r="Z40857" i="5"/>
  <c r="Z40856" i="5"/>
  <c r="Z40855" i="5"/>
  <c r="Z40854" i="5"/>
  <c r="Z40853" i="5"/>
  <c r="Z40852" i="5"/>
  <c r="Z40851" i="5"/>
  <c r="Z40850" i="5"/>
  <c r="Z40849" i="5"/>
  <c r="Z40848" i="5"/>
  <c r="Z40847" i="5"/>
  <c r="Z40846" i="5"/>
  <c r="Z40845" i="5"/>
  <c r="Z40844" i="5"/>
  <c r="Z40843" i="5"/>
  <c r="Z40842" i="5"/>
  <c r="Z40841" i="5"/>
  <c r="Z40840" i="5"/>
  <c r="Z40839" i="5"/>
  <c r="Z40838" i="5"/>
  <c r="Z40837" i="5"/>
  <c r="Z40836" i="5"/>
  <c r="Z40835" i="5"/>
  <c r="Z40834" i="5"/>
  <c r="Z40833" i="5"/>
  <c r="Z40832" i="5"/>
  <c r="Z40831" i="5"/>
  <c r="Z40830" i="5"/>
  <c r="Z40829" i="5"/>
  <c r="Z40828" i="5"/>
  <c r="Z40827" i="5"/>
  <c r="Z40826" i="5"/>
  <c r="Z40825" i="5"/>
  <c r="Z40824" i="5"/>
  <c r="Z40823" i="5"/>
  <c r="Z40822" i="5"/>
  <c r="Z40821" i="5"/>
  <c r="Z40820" i="5"/>
  <c r="Z40819" i="5"/>
  <c r="Z40818" i="5"/>
  <c r="Z40817" i="5"/>
  <c r="Z40816" i="5"/>
  <c r="Z40815" i="5"/>
  <c r="Z40814" i="5"/>
  <c r="Z40813" i="5"/>
  <c r="Z40812" i="5"/>
  <c r="Z40811" i="5"/>
  <c r="Z40810" i="5"/>
  <c r="Z40809" i="5"/>
  <c r="Z40808" i="5"/>
  <c r="Z40807" i="5"/>
  <c r="Z40806" i="5"/>
  <c r="Z40805" i="5"/>
  <c r="Z40804" i="5"/>
  <c r="Z40803" i="5"/>
  <c r="Z40802" i="5"/>
  <c r="Z40801" i="5"/>
  <c r="Z40800" i="5"/>
  <c r="Z40799" i="5"/>
  <c r="Z40798" i="5"/>
  <c r="Z40797" i="5"/>
  <c r="Z40796" i="5"/>
  <c r="Z40795" i="5"/>
  <c r="Z40794" i="5"/>
  <c r="Z40793" i="5"/>
  <c r="Z40792" i="5"/>
  <c r="Z40791" i="5"/>
  <c r="Z40790" i="5"/>
  <c r="Z40789" i="5"/>
  <c r="Z40788" i="5"/>
  <c r="Z40787" i="5"/>
  <c r="Z40786" i="5"/>
  <c r="Z40785" i="5"/>
  <c r="Z40784" i="5"/>
  <c r="Z40783" i="5"/>
  <c r="Z40782" i="5"/>
  <c r="Z40781" i="5"/>
  <c r="Z40780" i="5"/>
  <c r="Z40779" i="5"/>
  <c r="Z40778" i="5"/>
  <c r="Z40777" i="5"/>
  <c r="Z40776" i="5"/>
  <c r="Z40775" i="5"/>
  <c r="Z40774" i="5"/>
  <c r="Z40773" i="5"/>
  <c r="Z40772" i="5"/>
  <c r="Z40771" i="5"/>
  <c r="Z40770" i="5"/>
  <c r="Z40769" i="5"/>
  <c r="Z40768" i="5"/>
  <c r="Z40767" i="5"/>
  <c r="Z40766" i="5"/>
  <c r="Z40765" i="5"/>
  <c r="Z40764" i="5"/>
  <c r="Z40763" i="5"/>
  <c r="Z40762" i="5"/>
  <c r="Z40761" i="5"/>
  <c r="Z40760" i="5"/>
  <c r="Z40759" i="5"/>
  <c r="Z40758" i="5"/>
  <c r="Z40757" i="5"/>
  <c r="Z40756" i="5"/>
  <c r="Z40755" i="5"/>
  <c r="Z40754" i="5"/>
  <c r="Z40753" i="5"/>
  <c r="Z40752" i="5"/>
  <c r="Z40751" i="5"/>
  <c r="Z40750" i="5"/>
  <c r="Z40749" i="5"/>
  <c r="Z40748" i="5"/>
  <c r="Z40747" i="5"/>
  <c r="Z40746" i="5"/>
  <c r="Z40745" i="5"/>
  <c r="Z40744" i="5"/>
  <c r="Z40743" i="5"/>
  <c r="Z40742" i="5"/>
  <c r="Z40741" i="5"/>
  <c r="Z40740" i="5"/>
  <c r="Z40739" i="5"/>
  <c r="Z40738" i="5"/>
  <c r="Z40737" i="5"/>
  <c r="Z40736" i="5"/>
  <c r="Z40735" i="5"/>
  <c r="Z40734" i="5"/>
  <c r="Z40733" i="5"/>
  <c r="Z40732" i="5"/>
  <c r="Z40731" i="5"/>
  <c r="Z40730" i="5"/>
  <c r="Z40729" i="5"/>
  <c r="Z40728" i="5"/>
  <c r="Z40727" i="5"/>
  <c r="Z40726" i="5"/>
  <c r="Z40725" i="5"/>
  <c r="Z40724" i="5"/>
  <c r="Z40723" i="5"/>
  <c r="Z40722" i="5"/>
  <c r="Z40721" i="5"/>
  <c r="Z40720" i="5"/>
  <c r="Z40719" i="5"/>
  <c r="Z40718" i="5"/>
  <c r="Z40717" i="5"/>
  <c r="Z40716" i="5"/>
  <c r="Z40715" i="5"/>
  <c r="Z40714" i="5"/>
  <c r="Z40713" i="5"/>
  <c r="Z40712" i="5"/>
  <c r="Z40711" i="5"/>
  <c r="Z40710" i="5"/>
  <c r="Z40709" i="5"/>
  <c r="Z40708" i="5"/>
  <c r="Z40707" i="5"/>
  <c r="Z40706" i="5"/>
  <c r="Z40705" i="5"/>
  <c r="Z40704" i="5"/>
  <c r="Z40703" i="5"/>
  <c r="Z40702" i="5"/>
  <c r="Z40701" i="5"/>
  <c r="Z40700" i="5"/>
  <c r="Z40699" i="5"/>
  <c r="Z40698" i="5"/>
  <c r="Z40697" i="5"/>
  <c r="Z40696" i="5"/>
  <c r="Z40695" i="5"/>
  <c r="Z40694" i="5"/>
  <c r="Z40693" i="5"/>
  <c r="Z40692" i="5"/>
  <c r="Z40691" i="5"/>
  <c r="Z40690" i="5"/>
  <c r="Z40689" i="5"/>
  <c r="Z40688" i="5"/>
  <c r="Z40687" i="5"/>
  <c r="Z40686" i="5"/>
  <c r="Z40685" i="5"/>
  <c r="Z40684" i="5"/>
  <c r="Z40683" i="5"/>
  <c r="Z40682" i="5"/>
  <c r="Z40681" i="5"/>
  <c r="Z40680" i="5"/>
  <c r="Z40679" i="5"/>
  <c r="Z40678" i="5"/>
  <c r="Z40677" i="5"/>
  <c r="Z40676" i="5"/>
  <c r="Z40675" i="5"/>
  <c r="Z40674" i="5"/>
  <c r="Z40673" i="5"/>
  <c r="Z40672" i="5"/>
  <c r="Z40671" i="5"/>
  <c r="Z40670" i="5"/>
  <c r="Z40669" i="5"/>
  <c r="Z40668" i="5"/>
  <c r="Z40667" i="5"/>
  <c r="Z40666" i="5"/>
  <c r="Z40665" i="5"/>
  <c r="Z40664" i="5"/>
  <c r="Z40663" i="5"/>
  <c r="Z40662" i="5"/>
  <c r="Z40661" i="5"/>
  <c r="Z40660" i="5"/>
  <c r="Z40659" i="5"/>
  <c r="Z40658" i="5"/>
  <c r="Z40657" i="5"/>
  <c r="Z40656" i="5"/>
  <c r="Z40655" i="5"/>
  <c r="Z40654" i="5"/>
  <c r="Z40653" i="5"/>
  <c r="Z40652" i="5"/>
  <c r="Z40651" i="5"/>
  <c r="Z40650" i="5"/>
  <c r="Z40649" i="5"/>
  <c r="Z40648" i="5"/>
  <c r="Z40647" i="5"/>
  <c r="Z40646" i="5"/>
  <c r="Z40645" i="5"/>
  <c r="Z40644" i="5"/>
  <c r="Z40643" i="5"/>
  <c r="Z40642" i="5"/>
  <c r="Z40641" i="5"/>
  <c r="Z40640" i="5"/>
  <c r="Z40639" i="5"/>
  <c r="Z40638" i="5"/>
  <c r="Z40637" i="5"/>
  <c r="Z40636" i="5"/>
  <c r="Z40635" i="5"/>
  <c r="Z40634" i="5"/>
  <c r="Z40633" i="5"/>
  <c r="Z40632" i="5"/>
  <c r="Z40631" i="5"/>
  <c r="Z40630" i="5"/>
  <c r="Z40629" i="5"/>
  <c r="Z40628" i="5"/>
  <c r="Z40627" i="5"/>
  <c r="Z40626" i="5"/>
  <c r="Z40625" i="5"/>
  <c r="Z40624" i="5"/>
  <c r="Z40623" i="5"/>
  <c r="Z40622" i="5"/>
  <c r="Z40621" i="5"/>
  <c r="Z40620" i="5"/>
  <c r="Z40619" i="5"/>
  <c r="Z40618" i="5"/>
  <c r="Z40617" i="5"/>
  <c r="Z40616" i="5"/>
  <c r="Z40615" i="5"/>
  <c r="Z40614" i="5"/>
  <c r="Z40613" i="5"/>
  <c r="Z40612" i="5"/>
  <c r="Z40611" i="5"/>
  <c r="Z40610" i="5"/>
  <c r="Z40609" i="5"/>
  <c r="Z40608" i="5"/>
  <c r="Z40607" i="5"/>
  <c r="Z40606" i="5"/>
  <c r="Z40605" i="5"/>
  <c r="Z40604" i="5"/>
  <c r="Z40603" i="5"/>
  <c r="Z40602" i="5"/>
  <c r="Z40601" i="5"/>
  <c r="Z40600" i="5"/>
  <c r="Z40599" i="5"/>
  <c r="Z40598" i="5"/>
  <c r="Z40597" i="5"/>
  <c r="Z40596" i="5"/>
  <c r="Z40595" i="5"/>
  <c r="Z40594" i="5"/>
  <c r="Z40593" i="5"/>
  <c r="Z40592" i="5"/>
  <c r="Z40591" i="5"/>
  <c r="Z40590" i="5"/>
  <c r="Z40589" i="5"/>
  <c r="Z40588" i="5"/>
  <c r="Z40587" i="5"/>
  <c r="Z40586" i="5"/>
  <c r="Z40585" i="5"/>
  <c r="Z40584" i="5"/>
  <c r="Z40583" i="5"/>
  <c r="Z40582" i="5"/>
  <c r="Z40581" i="5"/>
  <c r="Z40580" i="5"/>
  <c r="Z40579" i="5"/>
  <c r="Z40578" i="5"/>
  <c r="Z40577" i="5"/>
  <c r="Z40576" i="5"/>
  <c r="Z40575" i="5"/>
  <c r="Z40574" i="5"/>
  <c r="Z40573" i="5"/>
  <c r="Z40572" i="5"/>
  <c r="Z40571" i="5"/>
  <c r="Z40570" i="5"/>
  <c r="Z40569" i="5"/>
  <c r="Z40568" i="5"/>
  <c r="Z40567" i="5"/>
  <c r="Z40566" i="5"/>
  <c r="Z40565" i="5"/>
  <c r="Z40564" i="5"/>
  <c r="Z40563" i="5"/>
  <c r="Z40562" i="5"/>
  <c r="Z40561" i="5"/>
  <c r="Z40560" i="5"/>
  <c r="Z40559" i="5"/>
  <c r="Z40558" i="5"/>
  <c r="Z40557" i="5"/>
  <c r="Z40556" i="5"/>
  <c r="Z40555" i="5"/>
  <c r="Z40554" i="5"/>
  <c r="Z40553" i="5"/>
  <c r="Z40552" i="5"/>
  <c r="Z40551" i="5"/>
  <c r="Z40550" i="5"/>
  <c r="Z40549" i="5"/>
  <c r="Z40548" i="5"/>
  <c r="Z40547" i="5"/>
  <c r="Z40546" i="5"/>
  <c r="Z40545" i="5"/>
  <c r="Z40544" i="5"/>
  <c r="Z40543" i="5"/>
  <c r="Z40542" i="5"/>
  <c r="Z40541" i="5"/>
  <c r="Z40540" i="5"/>
  <c r="Z40539" i="5"/>
  <c r="Z40538" i="5"/>
  <c r="Z40537" i="5"/>
  <c r="Z40536" i="5"/>
  <c r="Z40535" i="5"/>
  <c r="Z40534" i="5"/>
  <c r="Z40533" i="5"/>
  <c r="Z40532" i="5"/>
  <c r="Z40531" i="5"/>
  <c r="Z40530" i="5"/>
  <c r="Z40529" i="5"/>
  <c r="Z40528" i="5"/>
  <c r="Z40527" i="5"/>
  <c r="Z40526" i="5"/>
  <c r="Z40525" i="5"/>
  <c r="Z40524" i="5"/>
  <c r="Z40523" i="5"/>
  <c r="Z40522" i="5"/>
  <c r="Z40521" i="5"/>
  <c r="Z40520" i="5"/>
  <c r="Z40519" i="5"/>
  <c r="Z40518" i="5"/>
  <c r="Z40517" i="5"/>
  <c r="Z40516" i="5"/>
  <c r="Z40515" i="5"/>
  <c r="Z40514" i="5"/>
  <c r="Z40513" i="5"/>
  <c r="Z40512" i="5"/>
  <c r="Z40511" i="5"/>
  <c r="Z40510" i="5"/>
  <c r="Z40509" i="5"/>
  <c r="Z40508" i="5"/>
  <c r="Z40507" i="5"/>
  <c r="Z40506" i="5"/>
  <c r="Z40505" i="5"/>
  <c r="Z40504" i="5"/>
  <c r="Z40503" i="5"/>
  <c r="Z40502" i="5"/>
  <c r="Z40501" i="5"/>
  <c r="Z40500" i="5"/>
  <c r="Z40499" i="5"/>
  <c r="Z40498" i="5"/>
  <c r="Z40497" i="5"/>
  <c r="Z40496" i="5"/>
  <c r="Z40495" i="5"/>
  <c r="Z40494" i="5"/>
  <c r="Z40493" i="5"/>
  <c r="Z40492" i="5"/>
  <c r="Z40491" i="5"/>
  <c r="Z40490" i="5"/>
  <c r="Z40489" i="5"/>
  <c r="Z40488" i="5"/>
  <c r="Z40487" i="5"/>
  <c r="Z40486" i="5"/>
  <c r="Z40485" i="5"/>
  <c r="Z40484" i="5"/>
  <c r="Z40483" i="5"/>
  <c r="Z40482" i="5"/>
  <c r="Z40481" i="5"/>
  <c r="Z40480" i="5"/>
  <c r="Z40479" i="5"/>
  <c r="Z40478" i="5"/>
  <c r="Z40477" i="5"/>
  <c r="Z40476" i="5"/>
  <c r="Z40475" i="5"/>
  <c r="Z40474" i="5"/>
  <c r="Z40473" i="5"/>
  <c r="Z40472" i="5"/>
  <c r="Z40471" i="5"/>
  <c r="Z40470" i="5"/>
  <c r="Z40469" i="5"/>
  <c r="Z40468" i="5"/>
  <c r="Z40467" i="5"/>
  <c r="Z40466" i="5"/>
  <c r="Z40465" i="5"/>
  <c r="Z40464" i="5"/>
  <c r="Z40463" i="5"/>
  <c r="Z40462" i="5"/>
  <c r="Z40461" i="5"/>
  <c r="Z40460" i="5"/>
  <c r="Z40459" i="5"/>
  <c r="Z40458" i="5"/>
  <c r="Z40457" i="5"/>
  <c r="Z40456" i="5"/>
  <c r="Z40455" i="5"/>
  <c r="Z40454" i="5"/>
  <c r="Z40453" i="5"/>
  <c r="Z40452" i="5"/>
  <c r="Z40451" i="5"/>
  <c r="Z40450" i="5"/>
  <c r="Z40449" i="5"/>
  <c r="Z40448" i="5"/>
  <c r="Z40447" i="5"/>
  <c r="Z40446" i="5"/>
  <c r="Z40445" i="5"/>
  <c r="Z40444" i="5"/>
  <c r="Z40443" i="5"/>
  <c r="Z40442" i="5"/>
  <c r="Z40441" i="5"/>
  <c r="Z40440" i="5"/>
  <c r="Z40439" i="5"/>
  <c r="Z40438" i="5"/>
  <c r="Z40437" i="5"/>
  <c r="Z40436" i="5"/>
  <c r="Z40435" i="5"/>
  <c r="Z40434" i="5"/>
  <c r="Z40433" i="5"/>
  <c r="Z40432" i="5"/>
  <c r="Z40431" i="5"/>
  <c r="Z40430" i="5"/>
  <c r="Z40429" i="5"/>
  <c r="Z40428" i="5"/>
  <c r="Z40427" i="5"/>
  <c r="Z40426" i="5"/>
  <c r="Z40425" i="5"/>
  <c r="Z40424" i="5"/>
  <c r="Z40423" i="5"/>
  <c r="Z40422" i="5"/>
  <c r="Z40421" i="5"/>
  <c r="Z40420" i="5"/>
  <c r="Z40419" i="5"/>
  <c r="Z40418" i="5"/>
  <c r="Z40417" i="5"/>
  <c r="Z40416" i="5"/>
  <c r="Z40415" i="5"/>
  <c r="Z40414" i="5"/>
  <c r="Z40413" i="5"/>
  <c r="Z40412" i="5"/>
  <c r="Z40411" i="5"/>
  <c r="Z40410" i="5"/>
  <c r="Z40409" i="5"/>
  <c r="Z40408" i="5"/>
  <c r="Z40407" i="5"/>
  <c r="Z40406" i="5"/>
  <c r="Z40405" i="5"/>
  <c r="Z40404" i="5"/>
  <c r="Z40403" i="5"/>
  <c r="Z40402" i="5"/>
  <c r="Z40401" i="5"/>
  <c r="Z40400" i="5"/>
  <c r="Z40399" i="5"/>
  <c r="Z40398" i="5"/>
  <c r="Z40397" i="5"/>
  <c r="Z40396" i="5"/>
  <c r="Z40395" i="5"/>
  <c r="Z40394" i="5"/>
  <c r="Z40393" i="5"/>
  <c r="Z40392" i="5"/>
  <c r="Z40391" i="5"/>
  <c r="Z40390" i="5"/>
  <c r="Z40389" i="5"/>
  <c r="Z40388" i="5"/>
  <c r="Z40387" i="5"/>
  <c r="Z40386" i="5"/>
  <c r="Z40385" i="5"/>
  <c r="Z40384" i="5"/>
  <c r="Z40383" i="5"/>
  <c r="Z40382" i="5"/>
  <c r="Z40381" i="5"/>
  <c r="Z40380" i="5"/>
  <c r="Z40379" i="5"/>
  <c r="Z40378" i="5"/>
  <c r="Z40377" i="5"/>
  <c r="Z40376" i="5"/>
  <c r="Z40375" i="5"/>
  <c r="Z40374" i="5"/>
  <c r="Z40373" i="5"/>
  <c r="Z40372" i="5"/>
  <c r="Z40371" i="5"/>
  <c r="Z40370" i="5"/>
  <c r="Z40369" i="5"/>
  <c r="Z40368" i="5"/>
  <c r="Z40367" i="5"/>
  <c r="Z40366" i="5"/>
  <c r="Z40365" i="5"/>
  <c r="Z40364" i="5"/>
  <c r="Z40363" i="5"/>
  <c r="Z40362" i="5"/>
  <c r="Z40361" i="5"/>
  <c r="Z40360" i="5"/>
  <c r="Z40359" i="5"/>
  <c r="Z40358" i="5"/>
  <c r="Z40357" i="5"/>
  <c r="Z40356" i="5"/>
  <c r="Z40355" i="5"/>
  <c r="Z40354" i="5"/>
  <c r="Z40353" i="5"/>
  <c r="Z40352" i="5"/>
  <c r="Z40351" i="5"/>
  <c r="Z40350" i="5"/>
  <c r="Z40349" i="5"/>
  <c r="Z40348" i="5"/>
  <c r="Z40347" i="5"/>
  <c r="Z40346" i="5"/>
  <c r="Z40345" i="5"/>
  <c r="Z40344" i="5"/>
  <c r="Z40343" i="5"/>
  <c r="Z40342" i="5"/>
  <c r="Z40341" i="5"/>
  <c r="Z40340" i="5"/>
  <c r="Z40339" i="5"/>
  <c r="Z40338" i="5"/>
  <c r="Z40337" i="5"/>
  <c r="Z40336" i="5"/>
  <c r="Z40335" i="5"/>
  <c r="Z40334" i="5"/>
  <c r="Z40333" i="5"/>
  <c r="Z40332" i="5"/>
  <c r="Z40331" i="5"/>
  <c r="Z40330" i="5"/>
  <c r="Z40329" i="5"/>
  <c r="Z40328" i="5"/>
  <c r="Z40327" i="5"/>
  <c r="Z40326" i="5"/>
  <c r="Z40325" i="5"/>
  <c r="Z40324" i="5"/>
  <c r="Z40323" i="5"/>
  <c r="Z40322" i="5"/>
  <c r="Z40321" i="5"/>
  <c r="Z40320" i="5"/>
  <c r="Z40319" i="5"/>
  <c r="Z40318" i="5"/>
  <c r="Z40317" i="5"/>
  <c r="Z40316" i="5"/>
  <c r="Z40315" i="5"/>
  <c r="Z40314" i="5"/>
  <c r="Z40313" i="5"/>
  <c r="Z40312" i="5"/>
  <c r="Z40311" i="5"/>
  <c r="Z40310" i="5"/>
  <c r="Z40309" i="5"/>
  <c r="Z40308" i="5"/>
  <c r="Z40307" i="5"/>
  <c r="Z40306" i="5"/>
  <c r="Z40305" i="5"/>
  <c r="Z40304" i="5"/>
  <c r="Z40303" i="5"/>
  <c r="Z40302" i="5"/>
  <c r="Z40301" i="5"/>
  <c r="Z40300" i="5"/>
  <c r="Z40299" i="5"/>
  <c r="Z40298" i="5"/>
  <c r="Z40297" i="5"/>
  <c r="Z40296" i="5"/>
  <c r="Z40295" i="5"/>
  <c r="Z40294" i="5"/>
  <c r="Z40293" i="5"/>
  <c r="Z40292" i="5"/>
  <c r="Z40291" i="5"/>
  <c r="Z40290" i="5"/>
  <c r="Z40289" i="5"/>
  <c r="Z40288" i="5"/>
  <c r="Z40287" i="5"/>
  <c r="Z40286" i="5"/>
  <c r="Z40285" i="5"/>
  <c r="Z40284" i="5"/>
  <c r="Z40283" i="5"/>
  <c r="Z40282" i="5"/>
  <c r="Z40281" i="5"/>
  <c r="Z40280" i="5"/>
  <c r="Z40279" i="5"/>
  <c r="Z40278" i="5"/>
  <c r="Z40277" i="5"/>
  <c r="Z40276" i="5"/>
  <c r="Z40275" i="5"/>
  <c r="Z40274" i="5"/>
  <c r="Z40273" i="5"/>
  <c r="Z40272" i="5"/>
  <c r="Z40271" i="5"/>
  <c r="Z40270" i="5"/>
  <c r="Z40269" i="5"/>
  <c r="Z40268" i="5"/>
  <c r="Z40267" i="5"/>
  <c r="Z40266" i="5"/>
  <c r="Z40265" i="5"/>
  <c r="Z40264" i="5"/>
  <c r="Z40263" i="5"/>
  <c r="Z40262" i="5"/>
  <c r="Z40261" i="5"/>
  <c r="Z40260" i="5"/>
  <c r="Z40259" i="5"/>
  <c r="Z40258" i="5"/>
  <c r="Z40257" i="5"/>
  <c r="Z40256" i="5"/>
  <c r="Z40255" i="5"/>
  <c r="Z40254" i="5"/>
  <c r="Z40253" i="5"/>
  <c r="Z40252" i="5"/>
  <c r="Z40251" i="5"/>
  <c r="Z40250" i="5"/>
  <c r="Z40249" i="5"/>
  <c r="Z40248" i="5"/>
  <c r="Z40247" i="5"/>
  <c r="Z40246" i="5"/>
  <c r="Z40245" i="5"/>
  <c r="Z40244" i="5"/>
  <c r="Z40243" i="5"/>
  <c r="Z40242" i="5"/>
  <c r="Z40241" i="5"/>
  <c r="Z40240" i="5"/>
  <c r="Z40239" i="5"/>
  <c r="Z40238" i="5"/>
  <c r="Z40237" i="5"/>
  <c r="Z40236" i="5"/>
  <c r="Z40235" i="5"/>
  <c r="Z40234" i="5"/>
  <c r="Z40233" i="5"/>
  <c r="Z40232" i="5"/>
  <c r="Z40231" i="5"/>
  <c r="Z40230" i="5"/>
  <c r="Z40229" i="5"/>
  <c r="Z40228" i="5"/>
  <c r="Z40227" i="5"/>
  <c r="Z40226" i="5"/>
  <c r="Z40225" i="5"/>
  <c r="Z40224" i="5"/>
  <c r="Z40223" i="5"/>
  <c r="Z40222" i="5"/>
  <c r="Z40221" i="5"/>
  <c r="Z40220" i="5"/>
  <c r="Z40219" i="5"/>
  <c r="Z40218" i="5"/>
  <c r="Z40217" i="5"/>
  <c r="Z40216" i="5"/>
  <c r="Z40215" i="5"/>
  <c r="Z40214" i="5"/>
  <c r="Z40213" i="5"/>
  <c r="Z40212" i="5"/>
  <c r="Z40211" i="5"/>
  <c r="Z40210" i="5"/>
  <c r="Z40209" i="5"/>
  <c r="Z40208" i="5"/>
  <c r="Z40207" i="5"/>
  <c r="Z40206" i="5"/>
  <c r="Z40205" i="5"/>
  <c r="Z40204" i="5"/>
  <c r="Z40203" i="5"/>
  <c r="Z40202" i="5"/>
  <c r="Z40201" i="5"/>
  <c r="Z40200" i="5"/>
  <c r="Z40199" i="5"/>
  <c r="Z40198" i="5"/>
  <c r="Z40197" i="5"/>
  <c r="Z40196" i="5"/>
  <c r="Z40195" i="5"/>
  <c r="Z40194" i="5"/>
  <c r="Z40193" i="5"/>
  <c r="Z40192" i="5"/>
  <c r="Z40191" i="5"/>
  <c r="Z40190" i="5"/>
  <c r="Z40189" i="5"/>
  <c r="Z40188" i="5"/>
  <c r="Z40187" i="5"/>
  <c r="Z40186" i="5"/>
  <c r="Z40185" i="5"/>
  <c r="Z40184" i="5"/>
  <c r="Z40183" i="5"/>
  <c r="Z40182" i="5"/>
  <c r="Z40181" i="5"/>
  <c r="Z40180" i="5"/>
  <c r="Z40179" i="5"/>
  <c r="Z40178" i="5"/>
  <c r="Z40177" i="5"/>
  <c r="Z40176" i="5"/>
  <c r="Z40175" i="5"/>
  <c r="Z40174" i="5"/>
  <c r="Z40173" i="5"/>
  <c r="Z40172" i="5"/>
  <c r="Z40171" i="5"/>
  <c r="Z40170" i="5"/>
  <c r="Z40169" i="5"/>
  <c r="Z40168" i="5"/>
  <c r="Z40167" i="5"/>
  <c r="Z40166" i="5"/>
  <c r="Z40165" i="5"/>
  <c r="Z40164" i="5"/>
  <c r="Z40163" i="5"/>
  <c r="Z40162" i="5"/>
  <c r="Z40161" i="5"/>
  <c r="Z40160" i="5"/>
  <c r="Z40159" i="5"/>
  <c r="Z40158" i="5"/>
  <c r="Z40157" i="5"/>
  <c r="Z40156" i="5"/>
  <c r="Z40155" i="5"/>
  <c r="Z40154" i="5"/>
  <c r="Z40153" i="5"/>
  <c r="Z40152" i="5"/>
  <c r="Z40151" i="5"/>
  <c r="Z40150" i="5"/>
  <c r="Z40149" i="5"/>
  <c r="Z40148" i="5"/>
  <c r="Z40147" i="5"/>
  <c r="Z40146" i="5"/>
  <c r="Z40145" i="5"/>
  <c r="Z40144" i="5"/>
  <c r="Z40143" i="5"/>
  <c r="Z40142" i="5"/>
  <c r="Z40141" i="5"/>
  <c r="Z40140" i="5"/>
  <c r="Z40139" i="5"/>
  <c r="Z40138" i="5"/>
  <c r="Z40137" i="5"/>
  <c r="Z40136" i="5"/>
  <c r="Z40135" i="5"/>
  <c r="Z40134" i="5"/>
  <c r="Z40133" i="5"/>
  <c r="Z40132" i="5"/>
  <c r="Z40131" i="5"/>
  <c r="Z40130" i="5"/>
  <c r="Z40129" i="5"/>
  <c r="Z40128" i="5"/>
  <c r="Z40127" i="5"/>
  <c r="Z40126" i="5"/>
  <c r="Z40125" i="5"/>
  <c r="Z40124" i="5"/>
  <c r="Z40123" i="5"/>
  <c r="Z40122" i="5"/>
  <c r="Z40121" i="5"/>
  <c r="Z40120" i="5"/>
  <c r="Z40119" i="5"/>
  <c r="Z40118" i="5"/>
  <c r="Z40117" i="5"/>
  <c r="Z40116" i="5"/>
  <c r="Z40115" i="5"/>
  <c r="Z40114" i="5"/>
  <c r="Z40113" i="5"/>
  <c r="Z40112" i="5"/>
  <c r="Z40111" i="5"/>
  <c r="Z40110" i="5"/>
  <c r="Z40109" i="5"/>
  <c r="Z40108" i="5"/>
  <c r="Z40107" i="5"/>
  <c r="Z40106" i="5"/>
  <c r="Z40105" i="5"/>
  <c r="Z40104" i="5"/>
  <c r="Z40103" i="5"/>
  <c r="Z40102" i="5"/>
  <c r="Z40101" i="5"/>
  <c r="Z40100" i="5"/>
  <c r="Z40099" i="5"/>
  <c r="Z40098" i="5"/>
  <c r="Z40097" i="5"/>
  <c r="Z40096" i="5"/>
  <c r="Z40095" i="5"/>
  <c r="Z40094" i="5"/>
  <c r="Z40093" i="5"/>
  <c r="Z40092" i="5"/>
  <c r="Z40091" i="5"/>
  <c r="Z40090" i="5"/>
  <c r="Z40089" i="5"/>
  <c r="Z40088" i="5"/>
  <c r="Z40087" i="5"/>
  <c r="Z40086" i="5"/>
  <c r="Z40085" i="5"/>
  <c r="Z40084" i="5"/>
  <c r="Z40083" i="5"/>
  <c r="Z40082" i="5"/>
  <c r="Z40081" i="5"/>
  <c r="Z40080" i="5"/>
  <c r="Z40079" i="5"/>
  <c r="Z40078" i="5"/>
  <c r="Z40077" i="5"/>
  <c r="Z40076" i="5"/>
  <c r="Z40075" i="5"/>
  <c r="Z40074" i="5"/>
  <c r="Z40073" i="5"/>
  <c r="Z40072" i="5"/>
  <c r="Z40071" i="5"/>
  <c r="Z40070" i="5"/>
  <c r="Z40069" i="5"/>
  <c r="Z40068" i="5"/>
  <c r="Z40067" i="5"/>
  <c r="Z40066" i="5"/>
  <c r="Z40065" i="5"/>
  <c r="Z40064" i="5"/>
  <c r="Z40063" i="5"/>
  <c r="Z40062" i="5"/>
  <c r="Z40061" i="5"/>
  <c r="Z40060" i="5"/>
  <c r="Z40059" i="5"/>
  <c r="Z40058" i="5"/>
  <c r="Z40057" i="5"/>
  <c r="Z40056" i="5"/>
  <c r="Z40055" i="5"/>
  <c r="Z40054" i="5"/>
  <c r="Z40053" i="5"/>
  <c r="Z40052" i="5"/>
  <c r="Z40051" i="5"/>
  <c r="Z40050" i="5"/>
  <c r="Z40049" i="5"/>
  <c r="Z40048" i="5"/>
  <c r="Z40047" i="5"/>
  <c r="Z40046" i="5"/>
  <c r="Z40045" i="5"/>
  <c r="Z40044" i="5"/>
  <c r="Z40043" i="5"/>
  <c r="Z40042" i="5"/>
  <c r="Z40041" i="5"/>
  <c r="Z40040" i="5"/>
  <c r="Z40039" i="5"/>
  <c r="Z40038" i="5"/>
  <c r="Z40037" i="5"/>
  <c r="Z40036" i="5"/>
  <c r="Z40035" i="5"/>
  <c r="Z40034" i="5"/>
  <c r="Z40033" i="5"/>
  <c r="Z40032" i="5"/>
  <c r="Z40031" i="5"/>
  <c r="Z40030" i="5"/>
  <c r="Z40029" i="5"/>
  <c r="Z40028" i="5"/>
  <c r="Z40027" i="5"/>
  <c r="Z40026" i="5"/>
  <c r="Z40025" i="5"/>
  <c r="Z40024" i="5"/>
  <c r="Z40023" i="5"/>
  <c r="Z40022" i="5"/>
  <c r="Z40021" i="5"/>
  <c r="Z40020" i="5"/>
  <c r="Z40019" i="5"/>
  <c r="Z40018" i="5"/>
  <c r="Z40017" i="5"/>
  <c r="Z40016" i="5"/>
  <c r="Z40015" i="5"/>
  <c r="Z40014" i="5"/>
  <c r="Z40013" i="5"/>
  <c r="Z40012" i="5"/>
  <c r="Z40011" i="5"/>
  <c r="Z40010" i="5"/>
  <c r="Z40009" i="5"/>
  <c r="Z40008" i="5"/>
  <c r="Z40007" i="5"/>
  <c r="Z40006" i="5"/>
  <c r="Z40005" i="5"/>
  <c r="Z40004" i="5"/>
  <c r="Z40003" i="5"/>
  <c r="Z40002" i="5"/>
  <c r="Z40001" i="5"/>
  <c r="Z40000" i="5"/>
  <c r="Z39999" i="5"/>
  <c r="Z39998" i="5"/>
  <c r="Z39997" i="5"/>
  <c r="Z39996" i="5"/>
  <c r="Z39995" i="5"/>
  <c r="Z39994" i="5"/>
  <c r="Z39993" i="5"/>
  <c r="Z39992" i="5"/>
  <c r="Z39991" i="5"/>
  <c r="Z39990" i="5"/>
  <c r="Z39989" i="5"/>
  <c r="Z39988" i="5"/>
  <c r="Z39987" i="5"/>
  <c r="Z39986" i="5"/>
  <c r="Z39985" i="5"/>
  <c r="Z39984" i="5"/>
  <c r="Z39983" i="5"/>
  <c r="Z39982" i="5"/>
  <c r="Z39981" i="5"/>
  <c r="Z39980" i="5"/>
  <c r="Z39979" i="5"/>
  <c r="Z39978" i="5"/>
  <c r="Z39977" i="5"/>
  <c r="Z39976" i="5"/>
  <c r="Z39975" i="5"/>
  <c r="Z39974" i="5"/>
  <c r="Z39973" i="5"/>
  <c r="Z39972" i="5"/>
  <c r="Z39971" i="5"/>
  <c r="Z39970" i="5"/>
  <c r="Z39969" i="5"/>
  <c r="Z39968" i="5"/>
  <c r="Z39967" i="5"/>
  <c r="Z39966" i="5"/>
  <c r="Z39965" i="5"/>
  <c r="Z39964" i="5"/>
  <c r="Z39963" i="5"/>
  <c r="Z39962" i="5"/>
  <c r="Z39961" i="5"/>
  <c r="Z39960" i="5"/>
  <c r="Z39959" i="5"/>
  <c r="Z39958" i="5"/>
  <c r="Z39957" i="5"/>
  <c r="Z39956" i="5"/>
  <c r="Z39955" i="5"/>
  <c r="Z39954" i="5"/>
  <c r="Z39953" i="5"/>
  <c r="Z39952" i="5"/>
  <c r="Z39951" i="5"/>
  <c r="Z39950" i="5"/>
  <c r="Z39949" i="5"/>
  <c r="Z39948" i="5"/>
  <c r="Z39947" i="5"/>
  <c r="Z39946" i="5"/>
  <c r="Z39945" i="5"/>
  <c r="Z39944" i="5"/>
  <c r="Z39943" i="5"/>
  <c r="Z39942" i="5"/>
  <c r="Z39941" i="5"/>
  <c r="Z39940" i="5"/>
  <c r="Z39939" i="5"/>
  <c r="Z39938" i="5"/>
  <c r="Z39937" i="5"/>
  <c r="Z39936" i="5"/>
  <c r="Z39935" i="5"/>
  <c r="Z39934" i="5"/>
  <c r="Z39933" i="5"/>
  <c r="Z39932" i="5"/>
  <c r="Z39931" i="5"/>
  <c r="Z39930" i="5"/>
  <c r="Z39929" i="5"/>
  <c r="Z39928" i="5"/>
  <c r="Z39927" i="5"/>
  <c r="Z39926" i="5"/>
  <c r="Z39925" i="5"/>
  <c r="Z39924" i="5"/>
  <c r="Z39923" i="5"/>
  <c r="Z39922" i="5"/>
  <c r="Z39921" i="5"/>
  <c r="Z39920" i="5"/>
  <c r="Z39919" i="5"/>
  <c r="Z39918" i="5"/>
  <c r="Z39917" i="5"/>
  <c r="Z39916" i="5"/>
  <c r="Z39915" i="5"/>
  <c r="Z39914" i="5"/>
  <c r="Z39913" i="5"/>
  <c r="Z39912" i="5"/>
  <c r="Z39911" i="5"/>
  <c r="Z39910" i="5"/>
  <c r="Z39909" i="5"/>
  <c r="Z39908" i="5"/>
  <c r="Z39907" i="5"/>
  <c r="Z39906" i="5"/>
  <c r="Z39905" i="5"/>
  <c r="Z39904" i="5"/>
  <c r="Z39903" i="5"/>
  <c r="Z39902" i="5"/>
  <c r="Z39901" i="5"/>
  <c r="Z39900" i="5"/>
  <c r="Z39899" i="5"/>
  <c r="Z39898" i="5"/>
  <c r="Z39897" i="5"/>
  <c r="Z39896" i="5"/>
  <c r="Z39895" i="5"/>
  <c r="Z39894" i="5"/>
  <c r="Z39893" i="5"/>
  <c r="Z39892" i="5"/>
  <c r="Z39891" i="5"/>
  <c r="Z39890" i="5"/>
  <c r="Z39889" i="5"/>
  <c r="Z39888" i="5"/>
  <c r="Z39887" i="5"/>
  <c r="Z39886" i="5"/>
  <c r="Z39885" i="5"/>
  <c r="Z39884" i="5"/>
  <c r="Z39883" i="5"/>
  <c r="Z39882" i="5"/>
  <c r="Z39881" i="5"/>
  <c r="Z39880" i="5"/>
  <c r="Z39879" i="5"/>
  <c r="Z39878" i="5"/>
  <c r="Z39877" i="5"/>
  <c r="Z39876" i="5"/>
  <c r="Z39875" i="5"/>
  <c r="Z39874" i="5"/>
  <c r="Z39873" i="5"/>
  <c r="Z39872" i="5"/>
  <c r="Z39871" i="5"/>
  <c r="Z39870" i="5"/>
  <c r="Z39869" i="5"/>
  <c r="Z39868" i="5"/>
  <c r="Z39867" i="5"/>
  <c r="Z39866" i="5"/>
  <c r="Z39865" i="5"/>
  <c r="Z39864" i="5"/>
  <c r="Z39863" i="5"/>
  <c r="Z39862" i="5"/>
  <c r="Z39861" i="5"/>
  <c r="Z39860" i="5"/>
  <c r="Z39859" i="5"/>
  <c r="Z39858" i="5"/>
  <c r="Z39857" i="5"/>
  <c r="Z39856" i="5"/>
  <c r="Z39855" i="5"/>
  <c r="Z39854" i="5"/>
  <c r="Z39853" i="5"/>
  <c r="Z39852" i="5"/>
  <c r="Z39851" i="5"/>
  <c r="Z39850" i="5"/>
  <c r="Z39849" i="5"/>
  <c r="Z39848" i="5"/>
  <c r="Z39847" i="5"/>
  <c r="Z39846" i="5"/>
  <c r="Z39845" i="5"/>
  <c r="Z39844" i="5"/>
  <c r="Z39843" i="5"/>
  <c r="Z39842" i="5"/>
  <c r="Z39841" i="5"/>
  <c r="Z39840" i="5"/>
  <c r="Z39839" i="5"/>
  <c r="Z39838" i="5"/>
  <c r="Z39837" i="5"/>
  <c r="Z39836" i="5"/>
  <c r="Z39835" i="5"/>
  <c r="Z39834" i="5"/>
  <c r="Z39833" i="5"/>
  <c r="Z39832" i="5"/>
  <c r="Z39831" i="5"/>
  <c r="Z39830" i="5"/>
  <c r="Z39829" i="5"/>
  <c r="Z39828" i="5"/>
  <c r="Z39827" i="5"/>
  <c r="Z39826" i="5"/>
  <c r="Z39825" i="5"/>
  <c r="Z39824" i="5"/>
  <c r="Z39823" i="5"/>
  <c r="Z39822" i="5"/>
  <c r="Z39821" i="5"/>
  <c r="Z39820" i="5"/>
  <c r="Z39819" i="5"/>
  <c r="Z39818" i="5"/>
  <c r="Z39817" i="5"/>
  <c r="Z39816" i="5"/>
  <c r="Z39815" i="5"/>
  <c r="Z39814" i="5"/>
  <c r="Z39813" i="5"/>
  <c r="Z39812" i="5"/>
  <c r="Z39811" i="5"/>
  <c r="Z39810" i="5"/>
  <c r="Z39809" i="5"/>
  <c r="Z39808" i="5"/>
  <c r="Z39807" i="5"/>
  <c r="Z39806" i="5"/>
  <c r="Z39805" i="5"/>
  <c r="Z39804" i="5"/>
  <c r="Z39803" i="5"/>
  <c r="Z39802" i="5"/>
  <c r="Z39801" i="5"/>
  <c r="Z39800" i="5"/>
  <c r="Z39799" i="5"/>
  <c r="Z39798" i="5"/>
  <c r="Z39797" i="5"/>
  <c r="Z39796" i="5"/>
  <c r="Z39795" i="5"/>
  <c r="Z39794" i="5"/>
  <c r="Z39793" i="5"/>
  <c r="Z39792" i="5"/>
  <c r="Z39791" i="5"/>
  <c r="Z39790" i="5"/>
  <c r="Z39789" i="5"/>
  <c r="Z39788" i="5"/>
  <c r="Z39787" i="5"/>
  <c r="Z39786" i="5"/>
  <c r="Z39785" i="5"/>
  <c r="Z39784" i="5"/>
  <c r="Z39783" i="5"/>
  <c r="Z39782" i="5"/>
  <c r="Z39781" i="5"/>
  <c r="Z39780" i="5"/>
  <c r="Z39779" i="5"/>
  <c r="Z39778" i="5"/>
  <c r="Z39777" i="5"/>
  <c r="Z39776" i="5"/>
  <c r="Z39775" i="5"/>
  <c r="Z39774" i="5"/>
  <c r="Z39773" i="5"/>
  <c r="Z39772" i="5"/>
  <c r="Z39771" i="5"/>
  <c r="Z39770" i="5"/>
  <c r="Z39769" i="5"/>
  <c r="Z39768" i="5"/>
  <c r="Z39767" i="5"/>
  <c r="Z39766" i="5"/>
  <c r="Z39765" i="5"/>
  <c r="Z39764" i="5"/>
  <c r="Z39763" i="5"/>
  <c r="Z39762" i="5"/>
  <c r="Z39761" i="5"/>
  <c r="Z39760" i="5"/>
  <c r="Z39759" i="5"/>
  <c r="Z39758" i="5"/>
  <c r="Z39757" i="5"/>
  <c r="Z39756" i="5"/>
  <c r="Z39755" i="5"/>
  <c r="Z39754" i="5"/>
  <c r="Z39753" i="5"/>
  <c r="Z39752" i="5"/>
  <c r="Z39751" i="5"/>
  <c r="Z39750" i="5"/>
  <c r="Z39749" i="5"/>
  <c r="Z39748" i="5"/>
  <c r="Z39747" i="5"/>
  <c r="Z39746" i="5"/>
  <c r="Z39745" i="5"/>
  <c r="Z39744" i="5"/>
  <c r="Z39743" i="5"/>
  <c r="Z39742" i="5"/>
  <c r="Z39741" i="5"/>
  <c r="Z39740" i="5"/>
  <c r="Z39739" i="5"/>
  <c r="Z39738" i="5"/>
  <c r="Z39737" i="5"/>
  <c r="Z39736" i="5"/>
  <c r="Z39735" i="5"/>
  <c r="Z39734" i="5"/>
  <c r="Z39733" i="5"/>
  <c r="Z39732" i="5"/>
  <c r="Z39731" i="5"/>
  <c r="Z39730" i="5"/>
  <c r="Z39729" i="5"/>
  <c r="Z39728" i="5"/>
  <c r="Z39727" i="5"/>
  <c r="Z39726" i="5"/>
  <c r="Z39725" i="5"/>
  <c r="Z39724" i="5"/>
  <c r="Z39723" i="5"/>
  <c r="Z39722" i="5"/>
  <c r="Z39721" i="5"/>
  <c r="Z39720" i="5"/>
  <c r="Z39719" i="5"/>
  <c r="Z39718" i="5"/>
  <c r="Z39717" i="5"/>
  <c r="Z39716" i="5"/>
  <c r="Z39715" i="5"/>
  <c r="Z39714" i="5"/>
  <c r="Z39713" i="5"/>
  <c r="Z39712" i="5"/>
  <c r="Z39711" i="5"/>
  <c r="Z39710" i="5"/>
  <c r="Z39709" i="5"/>
  <c r="Z39708" i="5"/>
  <c r="Z39707" i="5"/>
  <c r="Z39706" i="5"/>
  <c r="Z39705" i="5"/>
  <c r="Z39704" i="5"/>
  <c r="Z39703" i="5"/>
  <c r="Z39702" i="5"/>
  <c r="Z39701" i="5"/>
  <c r="Z39700" i="5"/>
  <c r="Z39699" i="5"/>
  <c r="Z39698" i="5"/>
  <c r="Z39697" i="5"/>
  <c r="Z39696" i="5"/>
  <c r="Z39695" i="5"/>
  <c r="Z39694" i="5"/>
  <c r="Z39693" i="5"/>
  <c r="Z39692" i="5"/>
  <c r="Z39691" i="5"/>
  <c r="Z39690" i="5"/>
  <c r="Z39689" i="5"/>
  <c r="Z39688" i="5"/>
  <c r="Z39687" i="5"/>
  <c r="Z39686" i="5"/>
  <c r="Z39685" i="5"/>
  <c r="Z39684" i="5"/>
  <c r="Z39683" i="5"/>
  <c r="Z39682" i="5"/>
  <c r="Z39681" i="5"/>
  <c r="Z39680" i="5"/>
  <c r="Z39679" i="5"/>
  <c r="Z39678" i="5"/>
  <c r="Z39677" i="5"/>
  <c r="Z39676" i="5"/>
  <c r="Z39675" i="5"/>
  <c r="Z39674" i="5"/>
  <c r="Z39673" i="5"/>
  <c r="Z39672" i="5"/>
  <c r="Z39671" i="5"/>
  <c r="Z39670" i="5"/>
  <c r="Z39669" i="5"/>
  <c r="Z39668" i="5"/>
  <c r="Z39667" i="5"/>
  <c r="Z39666" i="5"/>
  <c r="Z39665" i="5"/>
  <c r="Z39664" i="5"/>
  <c r="Z39663" i="5"/>
  <c r="Z39662" i="5"/>
  <c r="Z39661" i="5"/>
  <c r="Z39660" i="5"/>
  <c r="Z39659" i="5"/>
  <c r="Z39658" i="5"/>
  <c r="Z39657" i="5"/>
  <c r="Z39656" i="5"/>
  <c r="Z39655" i="5"/>
  <c r="Z39654" i="5"/>
  <c r="Z39653" i="5"/>
  <c r="Z39652" i="5"/>
  <c r="Z39651" i="5"/>
  <c r="Z39650" i="5"/>
  <c r="Z39649" i="5"/>
  <c r="Z39648" i="5"/>
  <c r="Z39647" i="5"/>
  <c r="Z39646" i="5"/>
  <c r="Z39645" i="5"/>
  <c r="Z39644" i="5"/>
  <c r="Z39643" i="5"/>
  <c r="Z39642" i="5"/>
  <c r="Z39641" i="5"/>
  <c r="Z39640" i="5"/>
  <c r="Z39639" i="5"/>
  <c r="Z39638" i="5"/>
  <c r="Z39637" i="5"/>
  <c r="Z39636" i="5"/>
  <c r="Z39635" i="5"/>
  <c r="Z39634" i="5"/>
  <c r="Z39633" i="5"/>
  <c r="Z39632" i="5"/>
  <c r="Z39631" i="5"/>
  <c r="Z39630" i="5"/>
  <c r="Z39629" i="5"/>
  <c r="Z39628" i="5"/>
  <c r="Z39627" i="5"/>
  <c r="Z39626" i="5"/>
  <c r="Z39625" i="5"/>
  <c r="Z39624" i="5"/>
  <c r="Z39623" i="5"/>
  <c r="Z39622" i="5"/>
  <c r="Z39621" i="5"/>
  <c r="Z39620" i="5"/>
  <c r="Z39619" i="5"/>
  <c r="Z39618" i="5"/>
  <c r="Z39617" i="5"/>
  <c r="Z39616" i="5"/>
  <c r="Z39615" i="5"/>
  <c r="Z39614" i="5"/>
  <c r="Z39613" i="5"/>
  <c r="Z39612" i="5"/>
  <c r="Z39611" i="5"/>
  <c r="Z39610" i="5"/>
  <c r="Z39609" i="5"/>
  <c r="Z39608" i="5"/>
  <c r="Z39607" i="5"/>
  <c r="Z39606" i="5"/>
  <c r="Z39605" i="5"/>
  <c r="Z39604" i="5"/>
  <c r="Z39603" i="5"/>
  <c r="Z39602" i="5"/>
  <c r="Z39601" i="5"/>
  <c r="Z39600" i="5"/>
  <c r="Z39599" i="5"/>
  <c r="Z39598" i="5"/>
  <c r="Z39597" i="5"/>
  <c r="Z39596" i="5"/>
  <c r="Z39595" i="5"/>
  <c r="Z39594" i="5"/>
  <c r="Z39593" i="5"/>
  <c r="Z39592" i="5"/>
  <c r="Z39591" i="5"/>
  <c r="Z39590" i="5"/>
  <c r="Z39589" i="5"/>
  <c r="Z39588" i="5"/>
  <c r="Z39587" i="5"/>
  <c r="Z39586" i="5"/>
  <c r="Z39585" i="5"/>
  <c r="Z39584" i="5"/>
  <c r="Z39583" i="5"/>
  <c r="Z39582" i="5"/>
  <c r="Z39581" i="5"/>
  <c r="Z39580" i="5"/>
  <c r="Z39579" i="5"/>
  <c r="Z39578" i="5"/>
  <c r="Z39577" i="5"/>
  <c r="Z39576" i="5"/>
  <c r="Z39575" i="5"/>
  <c r="Z39574" i="5"/>
  <c r="Z39573" i="5"/>
  <c r="Z39572" i="5"/>
  <c r="Z39571" i="5"/>
  <c r="Z39570" i="5"/>
  <c r="Z39569" i="5"/>
  <c r="Z39568" i="5"/>
  <c r="Z39567" i="5"/>
  <c r="Z39566" i="5"/>
  <c r="Z39565" i="5"/>
  <c r="Z39564" i="5"/>
  <c r="Z39563" i="5"/>
  <c r="Z39562" i="5"/>
  <c r="Z39561" i="5"/>
  <c r="Z39560" i="5"/>
  <c r="Z39559" i="5"/>
  <c r="Z39558" i="5"/>
  <c r="Z39557" i="5"/>
  <c r="Z39556" i="5"/>
  <c r="Z39555" i="5"/>
  <c r="Z39554" i="5"/>
  <c r="Z39553" i="5"/>
  <c r="Z39552" i="5"/>
  <c r="Z39551" i="5"/>
  <c r="Z39550" i="5"/>
  <c r="Z39549" i="5"/>
  <c r="Z39548" i="5"/>
  <c r="Z39547" i="5"/>
  <c r="Z39546" i="5"/>
  <c r="Z39545" i="5"/>
  <c r="Z39544" i="5"/>
  <c r="Z39543" i="5"/>
  <c r="Z39542" i="5"/>
  <c r="Z39541" i="5"/>
  <c r="Z39540" i="5"/>
  <c r="Z39539" i="5"/>
  <c r="Z39538" i="5"/>
  <c r="Z39537" i="5"/>
  <c r="Z39536" i="5"/>
  <c r="Z39535" i="5"/>
  <c r="Z39534" i="5"/>
  <c r="Z39533" i="5"/>
  <c r="Z39532" i="5"/>
  <c r="Z39531" i="5"/>
  <c r="Z39530" i="5"/>
  <c r="Z39529" i="5"/>
  <c r="Z39528" i="5"/>
  <c r="Z39527" i="5"/>
  <c r="Z39526" i="5"/>
  <c r="Z39525" i="5"/>
  <c r="Z39524" i="5"/>
  <c r="Z39523" i="5"/>
  <c r="Z39522" i="5"/>
  <c r="Z39521" i="5"/>
  <c r="Z39520" i="5"/>
  <c r="Z39519" i="5"/>
  <c r="Z39518" i="5"/>
  <c r="Z39517" i="5"/>
  <c r="Z39516" i="5"/>
  <c r="Z39515" i="5"/>
  <c r="Z39514" i="5"/>
  <c r="Z39513" i="5"/>
  <c r="Z39512" i="5"/>
  <c r="Z39511" i="5"/>
  <c r="Z39510" i="5"/>
  <c r="Z39509" i="5"/>
  <c r="Z39508" i="5"/>
  <c r="Z39507" i="5"/>
  <c r="Z39506" i="5"/>
  <c r="Z39505" i="5"/>
  <c r="Z39504" i="5"/>
  <c r="Z39503" i="5"/>
  <c r="Z39502" i="5"/>
  <c r="Z39501" i="5"/>
  <c r="Z39500" i="5"/>
  <c r="Z39499" i="5"/>
  <c r="Z39498" i="5"/>
  <c r="Z39497" i="5"/>
  <c r="Z39496" i="5"/>
  <c r="Z39495" i="5"/>
  <c r="Z39494" i="5"/>
  <c r="Z39493" i="5"/>
  <c r="Z39492" i="5"/>
  <c r="Z39491" i="5"/>
  <c r="Z39490" i="5"/>
  <c r="Z39489" i="5"/>
  <c r="Z39488" i="5"/>
  <c r="Z39487" i="5"/>
  <c r="Z39486" i="5"/>
  <c r="Z39485" i="5"/>
  <c r="Z39484" i="5"/>
  <c r="Z39483" i="5"/>
  <c r="Z39482" i="5"/>
  <c r="Z39481" i="5"/>
  <c r="Z39480" i="5"/>
  <c r="Z39479" i="5"/>
  <c r="Z39478" i="5"/>
  <c r="Z39477" i="5"/>
  <c r="Z39476" i="5"/>
  <c r="Z39475" i="5"/>
  <c r="Z39474" i="5"/>
  <c r="Z39473" i="5"/>
  <c r="Z39472" i="5"/>
  <c r="Z39471" i="5"/>
  <c r="Z39470" i="5"/>
  <c r="Z39469" i="5"/>
  <c r="Z39468" i="5"/>
  <c r="Z39467" i="5"/>
  <c r="Z39466" i="5"/>
  <c r="Z39465" i="5"/>
  <c r="Z39464" i="5"/>
  <c r="Z39463" i="5"/>
  <c r="Z39462" i="5"/>
  <c r="Z39461" i="5"/>
  <c r="Z39460" i="5"/>
  <c r="Z39459" i="5"/>
  <c r="Z39458" i="5"/>
  <c r="Z39457" i="5"/>
  <c r="Z39456" i="5"/>
  <c r="Z39455" i="5"/>
  <c r="Z39454" i="5"/>
  <c r="Z39453" i="5"/>
  <c r="Z39452" i="5"/>
  <c r="Z39451" i="5"/>
  <c r="Z39450" i="5"/>
  <c r="Z39449" i="5"/>
  <c r="Z39448" i="5"/>
  <c r="Z39447" i="5"/>
  <c r="Z39446" i="5"/>
  <c r="Z39445" i="5"/>
  <c r="Z39444" i="5"/>
  <c r="Z39443" i="5"/>
  <c r="Z39442" i="5"/>
  <c r="Z39441" i="5"/>
  <c r="Z39440" i="5"/>
  <c r="Z39439" i="5"/>
  <c r="Z39438" i="5"/>
  <c r="Z39437" i="5"/>
  <c r="Z39436" i="5"/>
  <c r="Z39435" i="5"/>
  <c r="Z39434" i="5"/>
  <c r="Z39433" i="5"/>
  <c r="Z39432" i="5"/>
  <c r="Z39431" i="5"/>
  <c r="Z39430" i="5"/>
  <c r="Z39429" i="5"/>
  <c r="Z39428" i="5"/>
  <c r="Z39427" i="5"/>
  <c r="Z39426" i="5"/>
  <c r="Z39425" i="5"/>
  <c r="Z39424" i="5"/>
  <c r="Z39423" i="5"/>
  <c r="Z39422" i="5"/>
  <c r="Z39421" i="5"/>
  <c r="Z39420" i="5"/>
  <c r="Z39419" i="5"/>
  <c r="Z39418" i="5"/>
  <c r="Z39417" i="5"/>
  <c r="Z39416" i="5"/>
  <c r="Z39415" i="5"/>
  <c r="Z39414" i="5"/>
  <c r="Z39413" i="5"/>
  <c r="Z39412" i="5"/>
  <c r="Z39411" i="5"/>
  <c r="Z39410" i="5"/>
  <c r="Z39409" i="5"/>
  <c r="Z39408" i="5"/>
  <c r="Z39407" i="5"/>
  <c r="Z39406" i="5"/>
  <c r="Z39405" i="5"/>
  <c r="Z39404" i="5"/>
  <c r="Z39403" i="5"/>
  <c r="Z39402" i="5"/>
  <c r="Z39401" i="5"/>
  <c r="Z39400" i="5"/>
  <c r="Z39399" i="5"/>
  <c r="Z39398" i="5"/>
  <c r="Z39397" i="5"/>
  <c r="Z39396" i="5"/>
  <c r="Z39395" i="5"/>
  <c r="Z39394" i="5"/>
  <c r="Z39393" i="5"/>
  <c r="Z39392" i="5"/>
  <c r="Z39391" i="5"/>
  <c r="Z39390" i="5"/>
  <c r="Z39389" i="5"/>
  <c r="Z39388" i="5"/>
  <c r="Z39387" i="5"/>
  <c r="Z39386" i="5"/>
  <c r="Z39385" i="5"/>
  <c r="Z39384" i="5"/>
  <c r="Z39383" i="5"/>
  <c r="Z39382" i="5"/>
  <c r="Z39381" i="5"/>
  <c r="Z39380" i="5"/>
  <c r="Z39379" i="5"/>
  <c r="Z39378" i="5"/>
  <c r="Z39377" i="5"/>
  <c r="Z39376" i="5"/>
  <c r="Z39375" i="5"/>
  <c r="Z39374" i="5"/>
  <c r="Z39373" i="5"/>
  <c r="Z39372" i="5"/>
  <c r="Z39371" i="5"/>
  <c r="Z39370" i="5"/>
  <c r="Z39369" i="5"/>
  <c r="Z39368" i="5"/>
  <c r="Z39367" i="5"/>
  <c r="Z39366" i="5"/>
  <c r="Z39365" i="5"/>
  <c r="Z39364" i="5"/>
  <c r="Z39363" i="5"/>
  <c r="Z39362" i="5"/>
  <c r="Z39361" i="5"/>
  <c r="Z39360" i="5"/>
  <c r="Z39359" i="5"/>
  <c r="Z39358" i="5"/>
  <c r="Z39357" i="5"/>
  <c r="Z39356" i="5"/>
  <c r="Z39355" i="5"/>
  <c r="Z39354" i="5"/>
  <c r="Z39353" i="5"/>
  <c r="Z39352" i="5"/>
  <c r="Z39351" i="5"/>
  <c r="Z39350" i="5"/>
  <c r="Z39349" i="5"/>
  <c r="Z39348" i="5"/>
  <c r="Z39347" i="5"/>
  <c r="Z39346" i="5"/>
  <c r="Z39345" i="5"/>
  <c r="Z39344" i="5"/>
  <c r="Z39343" i="5"/>
  <c r="Z39342" i="5"/>
  <c r="Z39341" i="5"/>
  <c r="Z39340" i="5"/>
  <c r="Z39339" i="5"/>
  <c r="Z39338" i="5"/>
  <c r="Z39337" i="5"/>
  <c r="Z39336" i="5"/>
  <c r="Z39335" i="5"/>
  <c r="Z39334" i="5"/>
  <c r="Z39333" i="5"/>
  <c r="Z39332" i="5"/>
  <c r="Z39331" i="5"/>
  <c r="Z39330" i="5"/>
  <c r="Z39329" i="5"/>
  <c r="Z39328" i="5"/>
  <c r="Z39327" i="5"/>
  <c r="Z39326" i="5"/>
  <c r="Z39325" i="5"/>
  <c r="Z39324" i="5"/>
  <c r="Z39323" i="5"/>
  <c r="Z39322" i="5"/>
  <c r="Z39321" i="5"/>
  <c r="Z39320" i="5"/>
  <c r="Z39319" i="5"/>
  <c r="Z39318" i="5"/>
  <c r="Z39317" i="5"/>
  <c r="Z39316" i="5"/>
  <c r="Z39315" i="5"/>
  <c r="Z39314" i="5"/>
  <c r="Z39313" i="5"/>
  <c r="Z39312" i="5"/>
  <c r="Z39311" i="5"/>
  <c r="Z39310" i="5"/>
  <c r="Z39309" i="5"/>
  <c r="Z39308" i="5"/>
  <c r="Z39307" i="5"/>
  <c r="Z39306" i="5"/>
  <c r="Z39305" i="5"/>
  <c r="Z39304" i="5"/>
  <c r="Z39303" i="5"/>
  <c r="Z39302" i="5"/>
  <c r="Z39301" i="5"/>
  <c r="Z39300" i="5"/>
  <c r="Z39299" i="5"/>
  <c r="Z39298" i="5"/>
  <c r="Z39297" i="5"/>
  <c r="Z39296" i="5"/>
  <c r="Z39295" i="5"/>
  <c r="Z39294" i="5"/>
  <c r="Z39293" i="5"/>
  <c r="Z39292" i="5"/>
  <c r="Z39291" i="5"/>
  <c r="Z39290" i="5"/>
  <c r="Z39289" i="5"/>
  <c r="Z39288" i="5"/>
  <c r="Z39287" i="5"/>
  <c r="Z39286" i="5"/>
  <c r="Z39285" i="5"/>
  <c r="Z39284" i="5"/>
  <c r="Z39283" i="5"/>
  <c r="Z39282" i="5"/>
  <c r="Z39281" i="5"/>
  <c r="Z39280" i="5"/>
  <c r="Z39279" i="5"/>
  <c r="Z39278" i="5"/>
  <c r="Z39277" i="5"/>
  <c r="Z39276" i="5"/>
  <c r="Z39275" i="5"/>
  <c r="Z39274" i="5"/>
  <c r="Z39273" i="5"/>
  <c r="Z39272" i="5"/>
  <c r="Z39271" i="5"/>
  <c r="Z39270" i="5"/>
  <c r="Z39269" i="5"/>
  <c r="Z39268" i="5"/>
  <c r="Z39267" i="5"/>
  <c r="Z39266" i="5"/>
  <c r="Z39265" i="5"/>
  <c r="Z39264" i="5"/>
  <c r="Z39263" i="5"/>
  <c r="Z39262" i="5"/>
  <c r="Z39261" i="5"/>
  <c r="Z39260" i="5"/>
  <c r="Z39259" i="5"/>
  <c r="Z39258" i="5"/>
  <c r="Z39257" i="5"/>
  <c r="Z39256" i="5"/>
  <c r="Z39255" i="5"/>
  <c r="Z39254" i="5"/>
  <c r="Z39253" i="5"/>
  <c r="Z39252" i="5"/>
  <c r="Z39251" i="5"/>
  <c r="Z39250" i="5"/>
  <c r="Z39249" i="5"/>
  <c r="Z39248" i="5"/>
  <c r="Z39247" i="5"/>
  <c r="Z39246" i="5"/>
  <c r="Z39245" i="5"/>
  <c r="Z39244" i="5"/>
  <c r="Z39243" i="5"/>
  <c r="Z39242" i="5"/>
  <c r="Z39241" i="5"/>
  <c r="Z39240" i="5"/>
  <c r="Z39239" i="5"/>
  <c r="Z39238" i="5"/>
  <c r="Z39237" i="5"/>
  <c r="Z39236" i="5"/>
  <c r="Z39235" i="5"/>
  <c r="Z39234" i="5"/>
  <c r="Z39233" i="5"/>
  <c r="Z39232" i="5"/>
  <c r="Z39231" i="5"/>
  <c r="Z39230" i="5"/>
  <c r="Z39229" i="5"/>
  <c r="Z39228" i="5"/>
  <c r="Z39227" i="5"/>
  <c r="Z39226" i="5"/>
  <c r="Z39225" i="5"/>
  <c r="Z39224" i="5"/>
  <c r="Z39223" i="5"/>
  <c r="Z39222" i="5"/>
  <c r="Z39221" i="5"/>
  <c r="Z39220" i="5"/>
  <c r="Z39219" i="5"/>
  <c r="Z39218" i="5"/>
  <c r="Z39217" i="5"/>
  <c r="Z39216" i="5"/>
  <c r="Z39215" i="5"/>
  <c r="Z39214" i="5"/>
  <c r="Z39213" i="5"/>
  <c r="Z39212" i="5"/>
  <c r="Z39211" i="5"/>
  <c r="Z39210" i="5"/>
  <c r="Z39209" i="5"/>
  <c r="Z39208" i="5"/>
  <c r="Z39207" i="5"/>
  <c r="Z39206" i="5"/>
  <c r="Z39205" i="5"/>
  <c r="Z39204" i="5"/>
  <c r="Z39203" i="5"/>
  <c r="Z39202" i="5"/>
  <c r="Z39201" i="5"/>
  <c r="Z39200" i="5"/>
  <c r="Z39199" i="5"/>
  <c r="Z39198" i="5"/>
  <c r="Z39197" i="5"/>
  <c r="Z39196" i="5"/>
  <c r="Z39195" i="5"/>
  <c r="Z39194" i="5"/>
  <c r="Z39193" i="5"/>
  <c r="Z39192" i="5"/>
  <c r="Z39191" i="5"/>
  <c r="Z39190" i="5"/>
  <c r="Z39189" i="5"/>
  <c r="Z39188" i="5"/>
  <c r="Z39187" i="5"/>
  <c r="Z39186" i="5"/>
  <c r="Z39185" i="5"/>
  <c r="Z39184" i="5"/>
  <c r="Z39183" i="5"/>
  <c r="Z39182" i="5"/>
  <c r="Z39181" i="5"/>
  <c r="Z39180" i="5"/>
  <c r="Z39179" i="5"/>
  <c r="Z39178" i="5"/>
  <c r="Z39177" i="5"/>
  <c r="Z39176" i="5"/>
  <c r="Z39175" i="5"/>
  <c r="Z39174" i="5"/>
  <c r="Z39173" i="5"/>
  <c r="Z39172" i="5"/>
  <c r="Z39171" i="5"/>
  <c r="Z39170" i="5"/>
  <c r="Z39169" i="5"/>
  <c r="Z39168" i="5"/>
  <c r="Z39167" i="5"/>
  <c r="Z39166" i="5"/>
  <c r="Z39165" i="5"/>
  <c r="Z39164" i="5"/>
  <c r="Z39163" i="5"/>
  <c r="Z39162" i="5"/>
  <c r="Z39161" i="5"/>
  <c r="Z39160" i="5"/>
  <c r="Z39159" i="5"/>
  <c r="Z39158" i="5"/>
  <c r="Z39157" i="5"/>
  <c r="Z39156" i="5"/>
  <c r="Z39155" i="5"/>
  <c r="Z39154" i="5"/>
  <c r="Z39153" i="5"/>
  <c r="Z39152" i="5"/>
  <c r="Z39151" i="5"/>
  <c r="Z39150" i="5"/>
  <c r="Z39149" i="5"/>
  <c r="Z39148" i="5"/>
  <c r="Z39147" i="5"/>
  <c r="Z39146" i="5"/>
  <c r="Z39145" i="5"/>
  <c r="Z39144" i="5"/>
  <c r="Z39143" i="5"/>
  <c r="Z39142" i="5"/>
  <c r="Z39141" i="5"/>
  <c r="Z39140" i="5"/>
  <c r="Z39139" i="5"/>
  <c r="Z39138" i="5"/>
  <c r="Z39137" i="5"/>
  <c r="Z39136" i="5"/>
  <c r="Z39135" i="5"/>
  <c r="Z39134" i="5"/>
  <c r="Z39133" i="5"/>
  <c r="Z39132" i="5"/>
  <c r="Z39131" i="5"/>
  <c r="Z39130" i="5"/>
  <c r="Z39129" i="5"/>
  <c r="Z39128" i="5"/>
  <c r="Z39127" i="5"/>
  <c r="Z39126" i="5"/>
  <c r="Z39125" i="5"/>
  <c r="Z39124" i="5"/>
  <c r="Z39123" i="5"/>
  <c r="Z39122" i="5"/>
  <c r="Z39121" i="5"/>
  <c r="Z39120" i="5"/>
  <c r="Z39119" i="5"/>
  <c r="Z39118" i="5"/>
  <c r="Z39117" i="5"/>
  <c r="Z39116" i="5"/>
  <c r="Z39115" i="5"/>
  <c r="Z39114" i="5"/>
  <c r="Z39113" i="5"/>
  <c r="Z39112" i="5"/>
  <c r="Z39111" i="5"/>
  <c r="Z39110" i="5"/>
  <c r="Z39109" i="5"/>
  <c r="Z39108" i="5"/>
  <c r="Z39107" i="5"/>
  <c r="Z39106" i="5"/>
  <c r="Z39105" i="5"/>
  <c r="Z39104" i="5"/>
  <c r="Z39103" i="5"/>
  <c r="Z39102" i="5"/>
  <c r="Z39101" i="5"/>
  <c r="Z39100" i="5"/>
  <c r="Z39099" i="5"/>
  <c r="Z39098" i="5"/>
  <c r="Z39097" i="5"/>
  <c r="Z39096" i="5"/>
  <c r="Z39095" i="5"/>
  <c r="Z39094" i="5"/>
  <c r="Z39093" i="5"/>
  <c r="Z39092" i="5"/>
  <c r="Z39091" i="5"/>
  <c r="Z39090" i="5"/>
  <c r="Z39089" i="5"/>
  <c r="Z39088" i="5"/>
  <c r="Z39087" i="5"/>
  <c r="Z39086" i="5"/>
  <c r="Z39085" i="5"/>
  <c r="Z39084" i="5"/>
  <c r="Z39083" i="5"/>
  <c r="Z39082" i="5"/>
  <c r="Z39081" i="5"/>
  <c r="Z39080" i="5"/>
  <c r="Z39079" i="5"/>
  <c r="Z39078" i="5"/>
  <c r="Z39077" i="5"/>
  <c r="Z39076" i="5"/>
  <c r="Z39075" i="5"/>
  <c r="Z39074" i="5"/>
  <c r="Z39073" i="5"/>
  <c r="Z39072" i="5"/>
  <c r="Z39071" i="5"/>
  <c r="Z39070" i="5"/>
  <c r="Z39069" i="5"/>
  <c r="Z39068" i="5"/>
  <c r="Z39067" i="5"/>
  <c r="Z39066" i="5"/>
  <c r="Z39065" i="5"/>
  <c r="Z39064" i="5"/>
  <c r="Z39063" i="5"/>
  <c r="Z39062" i="5"/>
  <c r="Z39061" i="5"/>
  <c r="Z39060" i="5"/>
  <c r="Z39059" i="5"/>
  <c r="Z39058" i="5"/>
  <c r="Z39057" i="5"/>
  <c r="Z39056" i="5"/>
  <c r="Z39055" i="5"/>
  <c r="Z39054" i="5"/>
  <c r="Z39053" i="5"/>
  <c r="Z39052" i="5"/>
  <c r="Z39051" i="5"/>
  <c r="Z39050" i="5"/>
  <c r="Z39049" i="5"/>
  <c r="Z39048" i="5"/>
  <c r="Z39047" i="5"/>
  <c r="Z39046" i="5"/>
  <c r="Z39045" i="5"/>
  <c r="Z39044" i="5"/>
  <c r="Z39043" i="5"/>
  <c r="Z39042" i="5"/>
  <c r="Z39041" i="5"/>
  <c r="Z39040" i="5"/>
  <c r="Z39039" i="5"/>
  <c r="Z39038" i="5"/>
  <c r="Z39037" i="5"/>
  <c r="Z39036" i="5"/>
  <c r="Z39035" i="5"/>
  <c r="Z39034" i="5"/>
  <c r="Z39033" i="5"/>
  <c r="Z39032" i="5"/>
  <c r="Z39031" i="5"/>
  <c r="Z39030" i="5"/>
  <c r="Z39029" i="5"/>
  <c r="Z39028" i="5"/>
  <c r="Z39027" i="5"/>
  <c r="Z39026" i="5"/>
  <c r="Z39025" i="5"/>
  <c r="Z39024" i="5"/>
  <c r="Z39023" i="5"/>
  <c r="Z39022" i="5"/>
  <c r="Z39021" i="5"/>
  <c r="Z39020" i="5"/>
  <c r="Z39019" i="5"/>
  <c r="Z39018" i="5"/>
  <c r="Z39017" i="5"/>
  <c r="Z39016" i="5"/>
  <c r="Z39015" i="5"/>
  <c r="Z39014" i="5"/>
  <c r="Z39013" i="5"/>
  <c r="Z39012" i="5"/>
  <c r="Z39011" i="5"/>
  <c r="Z39010" i="5"/>
  <c r="Z39009" i="5"/>
  <c r="Z39008" i="5"/>
  <c r="Z39007" i="5"/>
  <c r="Z39006" i="5"/>
  <c r="Z39005" i="5"/>
  <c r="Z39004" i="5"/>
  <c r="Z39003" i="5"/>
  <c r="Z39002" i="5"/>
  <c r="Z39001" i="5"/>
  <c r="Z39000" i="5"/>
  <c r="Z38999" i="5"/>
  <c r="Z38998" i="5"/>
  <c r="Z38997" i="5"/>
  <c r="Z38996" i="5"/>
  <c r="Z38995" i="5"/>
  <c r="Z38994" i="5"/>
  <c r="Z38993" i="5"/>
  <c r="Z38992" i="5"/>
  <c r="Z38991" i="5"/>
  <c r="Z38990" i="5"/>
  <c r="Z38989" i="5"/>
  <c r="Z38988" i="5"/>
  <c r="Z38987" i="5"/>
  <c r="Z38986" i="5"/>
  <c r="Z38985" i="5"/>
  <c r="Z38984" i="5"/>
  <c r="Z38983" i="5"/>
  <c r="Z38982" i="5"/>
  <c r="Z38981" i="5"/>
  <c r="Z38980" i="5"/>
  <c r="Z38979" i="5"/>
  <c r="Z38978" i="5"/>
  <c r="Z38977" i="5"/>
  <c r="Z38976" i="5"/>
  <c r="Z38975" i="5"/>
  <c r="Z38974" i="5"/>
  <c r="Z38973" i="5"/>
  <c r="Z38972" i="5"/>
  <c r="Z38971" i="5"/>
  <c r="Z38970" i="5"/>
  <c r="Z38969" i="5"/>
  <c r="Z38968" i="5"/>
  <c r="Z38967" i="5"/>
  <c r="Z38966" i="5"/>
  <c r="Z38965" i="5"/>
  <c r="Z38964" i="5"/>
  <c r="Z38963" i="5"/>
  <c r="Z38962" i="5"/>
  <c r="Z38961" i="5"/>
  <c r="Z38960" i="5"/>
  <c r="Z38959" i="5"/>
  <c r="Z38958" i="5"/>
  <c r="Z38957" i="5"/>
  <c r="Z38956" i="5"/>
  <c r="Z38955" i="5"/>
  <c r="Z38954" i="5"/>
  <c r="Z38953" i="5"/>
  <c r="Z38952" i="5"/>
  <c r="Z38951" i="5"/>
  <c r="Z38950" i="5"/>
  <c r="Z38949" i="5"/>
  <c r="Z38948" i="5"/>
  <c r="Z38947" i="5"/>
  <c r="Z38946" i="5"/>
  <c r="Z38945" i="5"/>
  <c r="Z38944" i="5"/>
  <c r="Z38943" i="5"/>
  <c r="Z38942" i="5"/>
  <c r="Z38941" i="5"/>
  <c r="Z38940" i="5"/>
  <c r="Z38939" i="5"/>
  <c r="Z38938" i="5"/>
  <c r="Z38937" i="5"/>
  <c r="Z38936" i="5"/>
  <c r="Z38935" i="5"/>
  <c r="Z38934" i="5"/>
  <c r="Z38933" i="5"/>
  <c r="Z38932" i="5"/>
  <c r="Z38931" i="5"/>
  <c r="Z38930" i="5"/>
  <c r="Z38929" i="5"/>
  <c r="Z38928" i="5"/>
  <c r="Z38927" i="5"/>
  <c r="Z38926" i="5"/>
  <c r="Z38925" i="5"/>
  <c r="Z38924" i="5"/>
  <c r="Z38923" i="5"/>
  <c r="Z38922" i="5"/>
  <c r="Z38921" i="5"/>
  <c r="Z38920" i="5"/>
  <c r="Z38919" i="5"/>
  <c r="Z38918" i="5"/>
  <c r="Z38917" i="5"/>
  <c r="Z38916" i="5"/>
  <c r="Z38915" i="5"/>
  <c r="Z38914" i="5"/>
  <c r="Z38913" i="5"/>
  <c r="Z38912" i="5"/>
  <c r="Z38911" i="5"/>
  <c r="Z38910" i="5"/>
  <c r="Z38909" i="5"/>
  <c r="Z38908" i="5"/>
  <c r="Z38907" i="5"/>
  <c r="Z38906" i="5"/>
  <c r="Z38905" i="5"/>
  <c r="Z38904" i="5"/>
  <c r="Z38903" i="5"/>
  <c r="Z38902" i="5"/>
  <c r="Z38901" i="5"/>
  <c r="Z38900" i="5"/>
  <c r="Z38899" i="5"/>
  <c r="Z38898" i="5"/>
  <c r="Z38897" i="5"/>
  <c r="Z38896" i="5"/>
  <c r="Z38895" i="5"/>
  <c r="Z38894" i="5"/>
  <c r="Z38893" i="5"/>
  <c r="Z38892" i="5"/>
  <c r="Z38891" i="5"/>
  <c r="Z38890" i="5"/>
  <c r="Z38889" i="5"/>
  <c r="Z38888" i="5"/>
  <c r="Z38887" i="5"/>
  <c r="Z38886" i="5"/>
  <c r="Z38885" i="5"/>
  <c r="Z38884" i="5"/>
  <c r="Z38883" i="5"/>
  <c r="Z38882" i="5"/>
  <c r="Z38881" i="5"/>
  <c r="Z38880" i="5"/>
  <c r="Z38879" i="5"/>
  <c r="Z38878" i="5"/>
  <c r="Z38877" i="5"/>
  <c r="Z38876" i="5"/>
  <c r="Z38875" i="5"/>
  <c r="Z38874" i="5"/>
  <c r="Z38873" i="5"/>
  <c r="Z38872" i="5"/>
  <c r="Z38871" i="5"/>
  <c r="Z38870" i="5"/>
  <c r="Z38869" i="5"/>
  <c r="Z38868" i="5"/>
  <c r="Z38867" i="5"/>
  <c r="Z38866" i="5"/>
  <c r="Z38865" i="5"/>
  <c r="Z38864" i="5"/>
  <c r="Z38863" i="5"/>
  <c r="Z38862" i="5"/>
  <c r="Z38861" i="5"/>
  <c r="Z38860" i="5"/>
  <c r="Z38859" i="5"/>
  <c r="Z38858" i="5"/>
  <c r="Z38857" i="5"/>
  <c r="Z38856" i="5"/>
  <c r="Z38855" i="5"/>
  <c r="Z38854" i="5"/>
  <c r="Z38853" i="5"/>
  <c r="Z38852" i="5"/>
  <c r="Z38851" i="5"/>
  <c r="Z38850" i="5"/>
  <c r="Z38849" i="5"/>
  <c r="Z38848" i="5"/>
  <c r="Z38847" i="5"/>
  <c r="Z38846" i="5"/>
  <c r="Z38845" i="5"/>
  <c r="Z38844" i="5"/>
  <c r="Z38843" i="5"/>
  <c r="Z38842" i="5"/>
  <c r="Z38841" i="5"/>
  <c r="Z38840" i="5"/>
  <c r="Z38839" i="5"/>
  <c r="Z38838" i="5"/>
  <c r="Z38837" i="5"/>
  <c r="Z38836" i="5"/>
  <c r="Z38835" i="5"/>
  <c r="Z38834" i="5"/>
  <c r="Z38833" i="5"/>
  <c r="Z38832" i="5"/>
  <c r="Z38831" i="5"/>
  <c r="Z38830" i="5"/>
  <c r="Z38829" i="5"/>
  <c r="Z38828" i="5"/>
  <c r="Z38827" i="5"/>
  <c r="Z38826" i="5"/>
  <c r="Z38825" i="5"/>
  <c r="Z38824" i="5"/>
  <c r="Z38823" i="5"/>
  <c r="Z38822" i="5"/>
  <c r="Z38821" i="5"/>
  <c r="Z38820" i="5"/>
  <c r="Z38819" i="5"/>
  <c r="Z38818" i="5"/>
  <c r="Z38817" i="5"/>
  <c r="Z38816" i="5"/>
  <c r="Z38815" i="5"/>
  <c r="Z38814" i="5"/>
  <c r="Z38813" i="5"/>
  <c r="Z38812" i="5"/>
  <c r="Z38811" i="5"/>
  <c r="Z38810" i="5"/>
  <c r="Z38809" i="5"/>
  <c r="Z38808" i="5"/>
  <c r="Z38807" i="5"/>
  <c r="Z38806" i="5"/>
  <c r="Z38805" i="5"/>
  <c r="Z38804" i="5"/>
  <c r="Z38803" i="5"/>
  <c r="Z38802" i="5"/>
  <c r="Z38801" i="5"/>
  <c r="Z38800" i="5"/>
  <c r="Z38799" i="5"/>
  <c r="Z38798" i="5"/>
  <c r="Z38797" i="5"/>
  <c r="Z38796" i="5"/>
  <c r="Z38795" i="5"/>
  <c r="Z38794" i="5"/>
  <c r="Z38793" i="5"/>
  <c r="Z38792" i="5"/>
  <c r="Z38791" i="5"/>
  <c r="Z38790" i="5"/>
  <c r="Z38789" i="5"/>
  <c r="Z38788" i="5"/>
  <c r="Z38787" i="5"/>
  <c r="Z38786" i="5"/>
  <c r="Z38785" i="5"/>
  <c r="Z38784" i="5"/>
  <c r="Z38783" i="5"/>
  <c r="Z38782" i="5"/>
  <c r="Z38781" i="5"/>
  <c r="Z38780" i="5"/>
  <c r="Z38779" i="5"/>
  <c r="Z38778" i="5"/>
  <c r="Z38777" i="5"/>
  <c r="Z38776" i="5"/>
  <c r="Z38775" i="5"/>
  <c r="Z38774" i="5"/>
  <c r="Z38773" i="5"/>
  <c r="Z38772" i="5"/>
  <c r="Z38771" i="5"/>
  <c r="Z38770" i="5"/>
  <c r="Z38769" i="5"/>
  <c r="Z38768" i="5"/>
  <c r="Z38767" i="5"/>
  <c r="Z38766" i="5"/>
  <c r="Z38765" i="5"/>
  <c r="Z38764" i="5"/>
  <c r="Z38763" i="5"/>
  <c r="Z38762" i="5"/>
  <c r="Z38761" i="5"/>
  <c r="Z38760" i="5"/>
  <c r="Z38759" i="5"/>
  <c r="Z38758" i="5"/>
  <c r="Z38757" i="5"/>
  <c r="Z38756" i="5"/>
  <c r="Z38755" i="5"/>
  <c r="Z38754" i="5"/>
  <c r="Z38753" i="5"/>
  <c r="Z38752" i="5"/>
  <c r="Z38751" i="5"/>
  <c r="Z38750" i="5"/>
  <c r="Z38749" i="5"/>
  <c r="Z38748" i="5"/>
  <c r="Z38747" i="5"/>
  <c r="Z38746" i="5"/>
  <c r="Z38745" i="5"/>
  <c r="Z38744" i="5"/>
  <c r="Z38743" i="5"/>
  <c r="Z38742" i="5"/>
  <c r="Z38741" i="5"/>
  <c r="Z38740" i="5"/>
  <c r="Z38739" i="5"/>
  <c r="Z38738" i="5"/>
  <c r="Z38737" i="5"/>
  <c r="Z38736" i="5"/>
  <c r="Z38735" i="5"/>
  <c r="Z38734" i="5"/>
  <c r="Z38733" i="5"/>
  <c r="Z38732" i="5"/>
  <c r="Z38731" i="5"/>
  <c r="Z38730" i="5"/>
  <c r="Z38729" i="5"/>
  <c r="Z38728" i="5"/>
  <c r="Z38727" i="5"/>
  <c r="Z38726" i="5"/>
  <c r="Z38725" i="5"/>
  <c r="Z38724" i="5"/>
  <c r="Z38723" i="5"/>
  <c r="Z38722" i="5"/>
  <c r="Z38721" i="5"/>
  <c r="Z38720" i="5"/>
  <c r="Z38719" i="5"/>
  <c r="Z38718" i="5"/>
  <c r="Z38717" i="5"/>
  <c r="Z38716" i="5"/>
  <c r="Z38715" i="5"/>
  <c r="Z38714" i="5"/>
  <c r="Z38713" i="5"/>
  <c r="Z38712" i="5"/>
  <c r="Z38711" i="5"/>
  <c r="Z38710" i="5"/>
  <c r="Z38709" i="5"/>
  <c r="Z38708" i="5"/>
  <c r="Z38707" i="5"/>
  <c r="Z38706" i="5"/>
  <c r="Z38705" i="5"/>
  <c r="Z38704" i="5"/>
  <c r="Z38703" i="5"/>
  <c r="Z38702" i="5"/>
  <c r="Z38701" i="5"/>
  <c r="Z38700" i="5"/>
  <c r="Z38699" i="5"/>
  <c r="Z38698" i="5"/>
  <c r="Z38697" i="5"/>
  <c r="Z38696" i="5"/>
  <c r="Z38695" i="5"/>
  <c r="Z38694" i="5"/>
  <c r="Z38693" i="5"/>
  <c r="Z38692" i="5"/>
  <c r="Z38691" i="5"/>
  <c r="Z38690" i="5"/>
  <c r="Z38689" i="5"/>
  <c r="Z38688" i="5"/>
  <c r="Z38687" i="5"/>
  <c r="Z38686" i="5"/>
  <c r="Z38685" i="5"/>
  <c r="Z38684" i="5"/>
  <c r="Z38683" i="5"/>
  <c r="Z38682" i="5"/>
  <c r="Z38681" i="5"/>
  <c r="Z38680" i="5"/>
  <c r="Z38679" i="5"/>
  <c r="Z38678" i="5"/>
  <c r="Z38677" i="5"/>
  <c r="Z38676" i="5"/>
  <c r="Z38675" i="5"/>
  <c r="Z38674" i="5"/>
  <c r="Z38673" i="5"/>
  <c r="Z38672" i="5"/>
  <c r="Z38671" i="5"/>
  <c r="Z38670" i="5"/>
  <c r="Z38669" i="5"/>
  <c r="Z38668" i="5"/>
  <c r="Z38667" i="5"/>
  <c r="Z38666" i="5"/>
  <c r="Z38665" i="5"/>
  <c r="Z38664" i="5"/>
  <c r="Z38663" i="5"/>
  <c r="Z38662" i="5"/>
  <c r="Z38661" i="5"/>
  <c r="Z38660" i="5"/>
  <c r="Z38659" i="5"/>
  <c r="Z38658" i="5"/>
  <c r="Z38657" i="5"/>
  <c r="Z38656" i="5"/>
  <c r="Z38655" i="5"/>
  <c r="Z38654" i="5"/>
  <c r="Z38653" i="5"/>
  <c r="Z38652" i="5"/>
  <c r="Z38651" i="5"/>
  <c r="Z38650" i="5"/>
  <c r="Z38649" i="5"/>
  <c r="Z38648" i="5"/>
  <c r="Z38647" i="5"/>
  <c r="Z38646" i="5"/>
  <c r="Z38645" i="5"/>
  <c r="Z38644" i="5"/>
  <c r="Z38643" i="5"/>
  <c r="Z38642" i="5"/>
  <c r="Z38641" i="5"/>
  <c r="Z38640" i="5"/>
  <c r="Z38639" i="5"/>
  <c r="Z38638" i="5"/>
  <c r="Z38637" i="5"/>
  <c r="Z38636" i="5"/>
  <c r="Z38635" i="5"/>
  <c r="Z38634" i="5"/>
  <c r="Z38633" i="5"/>
  <c r="Z38632" i="5"/>
  <c r="Z38631" i="5"/>
  <c r="Z38630" i="5"/>
  <c r="Z38629" i="5"/>
  <c r="Z38628" i="5"/>
  <c r="Z38627" i="5"/>
  <c r="Z38626" i="5"/>
  <c r="Z38625" i="5"/>
  <c r="Z38624" i="5"/>
  <c r="Z38623" i="5"/>
  <c r="Z38622" i="5"/>
  <c r="Z38621" i="5"/>
  <c r="Z38620" i="5"/>
  <c r="Z38619" i="5"/>
  <c r="Z38618" i="5"/>
  <c r="Z38617" i="5"/>
  <c r="Z38616" i="5"/>
  <c r="Z38615" i="5"/>
  <c r="Z38614" i="5"/>
  <c r="Z38613" i="5"/>
  <c r="Z38612" i="5"/>
  <c r="Z38611" i="5"/>
  <c r="Z38610" i="5"/>
  <c r="Z38609" i="5"/>
  <c r="Z38608" i="5"/>
  <c r="Z38607" i="5"/>
  <c r="Z38606" i="5"/>
  <c r="Z38605" i="5"/>
  <c r="Z38604" i="5"/>
  <c r="Z38603" i="5"/>
  <c r="Z38602" i="5"/>
  <c r="Z38601" i="5"/>
  <c r="Z38600" i="5"/>
  <c r="Z38599" i="5"/>
  <c r="Z38598" i="5"/>
  <c r="Z38597" i="5"/>
  <c r="Z38596" i="5"/>
  <c r="Z38595" i="5"/>
  <c r="Z38594" i="5"/>
  <c r="Z38593" i="5"/>
  <c r="Z38592" i="5"/>
  <c r="Z38591" i="5"/>
  <c r="Z38590" i="5"/>
  <c r="Z38589" i="5"/>
  <c r="Z38588" i="5"/>
  <c r="Z38587" i="5"/>
  <c r="Z38586" i="5"/>
  <c r="Z38585" i="5"/>
  <c r="Z38584" i="5"/>
  <c r="Z38583" i="5"/>
  <c r="Z38582" i="5"/>
  <c r="Z38581" i="5"/>
  <c r="Z38580" i="5"/>
  <c r="Z38579" i="5"/>
  <c r="Z38578" i="5"/>
  <c r="Z38577" i="5"/>
  <c r="Z38576" i="5"/>
  <c r="Z38575" i="5"/>
  <c r="Z38574" i="5"/>
  <c r="Z38573" i="5"/>
  <c r="Z38572" i="5"/>
  <c r="Z38571" i="5"/>
  <c r="Z38570" i="5"/>
  <c r="Z38569" i="5"/>
  <c r="Z38568" i="5"/>
  <c r="Z38567" i="5"/>
  <c r="Z38566" i="5"/>
  <c r="Z38565" i="5"/>
  <c r="Z38564" i="5"/>
  <c r="Z38563" i="5"/>
  <c r="Z38562" i="5"/>
  <c r="Z38561" i="5"/>
  <c r="Z38560" i="5"/>
  <c r="Z38559" i="5"/>
  <c r="Z38558" i="5"/>
  <c r="Z38557" i="5"/>
  <c r="Z38556" i="5"/>
  <c r="Z38555" i="5"/>
  <c r="Z38554" i="5"/>
  <c r="Z38553" i="5"/>
  <c r="Z38552" i="5"/>
  <c r="Z38551" i="5"/>
  <c r="Z38550" i="5"/>
  <c r="Z38549" i="5"/>
  <c r="Z38548" i="5"/>
  <c r="Z38547" i="5"/>
  <c r="Z38546" i="5"/>
  <c r="Z38545" i="5"/>
  <c r="Z38544" i="5"/>
  <c r="Z38543" i="5"/>
  <c r="Z38542" i="5"/>
  <c r="Z38541" i="5"/>
  <c r="Z38540" i="5"/>
  <c r="Z38539" i="5"/>
  <c r="Z38538" i="5"/>
  <c r="Z38537" i="5"/>
  <c r="Z38536" i="5"/>
  <c r="Z38535" i="5"/>
  <c r="Z38534" i="5"/>
  <c r="Z38533" i="5"/>
  <c r="Z38532" i="5"/>
  <c r="Z38531" i="5"/>
  <c r="Z38530" i="5"/>
  <c r="Z38529" i="5"/>
  <c r="Z38528" i="5"/>
  <c r="Z38527" i="5"/>
  <c r="Z38526" i="5"/>
  <c r="Z38525" i="5"/>
  <c r="Z38524" i="5"/>
  <c r="Z38523" i="5"/>
  <c r="Z38522" i="5"/>
  <c r="Z38521" i="5"/>
  <c r="Z38520" i="5"/>
  <c r="Z38519" i="5"/>
  <c r="Z38518" i="5"/>
  <c r="Z38517" i="5"/>
  <c r="Z38516" i="5"/>
  <c r="Z38515" i="5"/>
  <c r="Z38514" i="5"/>
  <c r="Z38513" i="5"/>
  <c r="Z38512" i="5"/>
  <c r="Z38511" i="5"/>
  <c r="Z38510" i="5"/>
  <c r="Z38509" i="5"/>
  <c r="Z38508" i="5"/>
  <c r="Z38507" i="5"/>
  <c r="Z38506" i="5"/>
  <c r="Z38505" i="5"/>
  <c r="Z38504" i="5"/>
  <c r="Z38503" i="5"/>
  <c r="Z38502" i="5"/>
  <c r="Z38501" i="5"/>
  <c r="Z38500" i="5"/>
  <c r="Z38499" i="5"/>
  <c r="Z38498" i="5"/>
  <c r="Z38497" i="5"/>
  <c r="Z38496" i="5"/>
  <c r="Z38495" i="5"/>
  <c r="Z38494" i="5"/>
  <c r="Z38493" i="5"/>
  <c r="Z38492" i="5"/>
  <c r="Z38491" i="5"/>
  <c r="Z38490" i="5"/>
  <c r="Z38489" i="5"/>
  <c r="Z38488" i="5"/>
  <c r="Z38487" i="5"/>
  <c r="Z38486" i="5"/>
  <c r="Z38485" i="5"/>
  <c r="Z38484" i="5"/>
  <c r="Z38483" i="5"/>
  <c r="Z38482" i="5"/>
  <c r="Z38481" i="5"/>
  <c r="Z38480" i="5"/>
  <c r="Z38479" i="5"/>
  <c r="Z38478" i="5"/>
  <c r="Z38477" i="5"/>
  <c r="Z38476" i="5"/>
  <c r="Z38475" i="5"/>
  <c r="Z38474" i="5"/>
  <c r="Z38473" i="5"/>
  <c r="Z38472" i="5"/>
  <c r="Z38471" i="5"/>
  <c r="Z38470" i="5"/>
  <c r="Z38469" i="5"/>
  <c r="Z38468" i="5"/>
  <c r="Z38467" i="5"/>
  <c r="Z38466" i="5"/>
  <c r="Z38465" i="5"/>
  <c r="Z38464" i="5"/>
  <c r="Z38463" i="5"/>
  <c r="Z38462" i="5"/>
  <c r="Z38461" i="5"/>
  <c r="Z38460" i="5"/>
  <c r="Z38459" i="5"/>
  <c r="Z38458" i="5"/>
  <c r="Z38457" i="5"/>
  <c r="Z38456" i="5"/>
  <c r="Z38455" i="5"/>
  <c r="Z38454" i="5"/>
  <c r="Z38453" i="5"/>
  <c r="Z38452" i="5"/>
  <c r="Z38451" i="5"/>
  <c r="Z38450" i="5"/>
  <c r="Z38449" i="5"/>
  <c r="Z38448" i="5"/>
  <c r="Z38447" i="5"/>
  <c r="Z38446" i="5"/>
  <c r="Z38445" i="5"/>
  <c r="Z38444" i="5"/>
  <c r="Z38443" i="5"/>
  <c r="Z38442" i="5"/>
  <c r="Z38441" i="5"/>
  <c r="Z38440" i="5"/>
  <c r="Z38439" i="5"/>
  <c r="Z38438" i="5"/>
  <c r="Z38437" i="5"/>
  <c r="Z38436" i="5"/>
  <c r="Z38435" i="5"/>
  <c r="Z38434" i="5"/>
  <c r="Z38433" i="5"/>
  <c r="Z38432" i="5"/>
  <c r="Z38431" i="5"/>
  <c r="Z38430" i="5"/>
  <c r="Z38429" i="5"/>
  <c r="Z38428" i="5"/>
  <c r="Z38427" i="5"/>
  <c r="Z38426" i="5"/>
  <c r="Z38425" i="5"/>
  <c r="Z38424" i="5"/>
  <c r="Z38423" i="5"/>
  <c r="Z38422" i="5"/>
  <c r="Z38421" i="5"/>
  <c r="Z38420" i="5"/>
  <c r="Z38419" i="5"/>
  <c r="Z38418" i="5"/>
  <c r="Z38417" i="5"/>
  <c r="Z38416" i="5"/>
  <c r="Z38415" i="5"/>
  <c r="Z38414" i="5"/>
  <c r="Z38413" i="5"/>
  <c r="Z38412" i="5"/>
  <c r="Z38411" i="5"/>
  <c r="Z38410" i="5"/>
  <c r="Z38409" i="5"/>
  <c r="Z38408" i="5"/>
  <c r="Z38407" i="5"/>
  <c r="Z38406" i="5"/>
  <c r="Z38405" i="5"/>
  <c r="Z38404" i="5"/>
  <c r="Z38403" i="5"/>
  <c r="Z38402" i="5"/>
  <c r="Z38401" i="5"/>
  <c r="Z38400" i="5"/>
  <c r="Z38399" i="5"/>
  <c r="Z38398" i="5"/>
  <c r="Z38397" i="5"/>
  <c r="Z38396" i="5"/>
  <c r="Z38395" i="5"/>
  <c r="Z38394" i="5"/>
  <c r="Z38393" i="5"/>
  <c r="Z38392" i="5"/>
  <c r="Z38391" i="5"/>
  <c r="Z38390" i="5"/>
  <c r="Z38389" i="5"/>
  <c r="Z38388" i="5"/>
  <c r="Z38387" i="5"/>
  <c r="Z38386" i="5"/>
  <c r="Z38385" i="5"/>
  <c r="Z38384" i="5"/>
  <c r="Z38383" i="5"/>
  <c r="Z38382" i="5"/>
  <c r="Z38381" i="5"/>
  <c r="Z38380" i="5"/>
  <c r="Z38379" i="5"/>
  <c r="Z38378" i="5"/>
  <c r="Z38377" i="5"/>
  <c r="Z38376" i="5"/>
  <c r="Z38375" i="5"/>
  <c r="Z38374" i="5"/>
  <c r="Z38373" i="5"/>
  <c r="Z38372" i="5"/>
  <c r="Z38371" i="5"/>
  <c r="Z38370" i="5"/>
  <c r="Z38369" i="5"/>
  <c r="Z38368" i="5"/>
  <c r="Z38367" i="5"/>
  <c r="Z38366" i="5"/>
  <c r="Z38365" i="5"/>
  <c r="Z38364" i="5"/>
  <c r="Z38363" i="5"/>
  <c r="Z38362" i="5"/>
  <c r="Z38361" i="5"/>
  <c r="Z38360" i="5"/>
  <c r="Z38359" i="5"/>
  <c r="Z38358" i="5"/>
  <c r="Z38357" i="5"/>
  <c r="Z38356" i="5"/>
  <c r="Z38355" i="5"/>
  <c r="Z38354" i="5"/>
  <c r="Z38353" i="5"/>
  <c r="Z38352" i="5"/>
  <c r="Z38351" i="5"/>
  <c r="Z38350" i="5"/>
  <c r="Z38349" i="5"/>
  <c r="Z38348" i="5"/>
  <c r="Z38347" i="5"/>
  <c r="Z38346" i="5"/>
  <c r="Z38345" i="5"/>
  <c r="Z38344" i="5"/>
  <c r="Z38343" i="5"/>
  <c r="Z38342" i="5"/>
  <c r="Z38341" i="5"/>
  <c r="Z38340" i="5"/>
  <c r="Z38339" i="5"/>
  <c r="Z38338" i="5"/>
  <c r="Z38337" i="5"/>
  <c r="Z38336" i="5"/>
  <c r="Z38335" i="5"/>
  <c r="Z38334" i="5"/>
  <c r="Z38333" i="5"/>
  <c r="Z38332" i="5"/>
  <c r="Z38331" i="5"/>
  <c r="Z38330" i="5"/>
  <c r="Z38329" i="5"/>
  <c r="Z38328" i="5"/>
  <c r="Z38327" i="5"/>
  <c r="Z38326" i="5"/>
  <c r="Z38325" i="5"/>
  <c r="Z38324" i="5"/>
  <c r="Z38323" i="5"/>
  <c r="Z38322" i="5"/>
  <c r="Z38321" i="5"/>
  <c r="Z38320" i="5"/>
  <c r="Z38319" i="5"/>
  <c r="Z38318" i="5"/>
  <c r="Z38317" i="5"/>
  <c r="Z38316" i="5"/>
  <c r="Z38315" i="5"/>
  <c r="Z38314" i="5"/>
  <c r="Z38313" i="5"/>
  <c r="Z38312" i="5"/>
  <c r="Z38311" i="5"/>
  <c r="Z38310" i="5"/>
  <c r="Z38309" i="5"/>
  <c r="Z38308" i="5"/>
  <c r="Z38307" i="5"/>
  <c r="Z38306" i="5"/>
  <c r="Z38305" i="5"/>
  <c r="Z38304" i="5"/>
  <c r="Z38303" i="5"/>
  <c r="Z38302" i="5"/>
  <c r="Z38301" i="5"/>
  <c r="Z38300" i="5"/>
  <c r="Z38299" i="5"/>
  <c r="Z38298" i="5"/>
  <c r="Z38297" i="5"/>
  <c r="Z38296" i="5"/>
  <c r="Z38295" i="5"/>
  <c r="Z38294" i="5"/>
  <c r="Z38293" i="5"/>
  <c r="Z38292" i="5"/>
  <c r="Z38291" i="5"/>
  <c r="Z38290" i="5"/>
  <c r="Z38289" i="5"/>
  <c r="Z38288" i="5"/>
  <c r="Z38287" i="5"/>
  <c r="Z38286" i="5"/>
  <c r="Z38285" i="5"/>
  <c r="Z38284" i="5"/>
  <c r="Z38283" i="5"/>
  <c r="Z38282" i="5"/>
  <c r="Z38281" i="5"/>
  <c r="Z38280" i="5"/>
  <c r="Z38279" i="5"/>
  <c r="Z38278" i="5"/>
  <c r="Z38277" i="5"/>
  <c r="Z38276" i="5"/>
  <c r="Z38275" i="5"/>
  <c r="Z38274" i="5"/>
  <c r="Z38273" i="5"/>
  <c r="Z38272" i="5"/>
  <c r="Z38271" i="5"/>
  <c r="Z38270" i="5"/>
  <c r="Z38269" i="5"/>
  <c r="Z38268" i="5"/>
  <c r="Z38267" i="5"/>
  <c r="Z38266" i="5"/>
  <c r="Z38265" i="5"/>
  <c r="Z38264" i="5"/>
  <c r="Z38263" i="5"/>
  <c r="Z38262" i="5"/>
  <c r="Z38261" i="5"/>
  <c r="Z38260" i="5"/>
  <c r="Z38259" i="5"/>
  <c r="Z38258" i="5"/>
  <c r="Z38257" i="5"/>
  <c r="Z38256" i="5"/>
  <c r="Z38255" i="5"/>
  <c r="Z38254" i="5"/>
  <c r="Z38253" i="5"/>
  <c r="Z38252" i="5"/>
  <c r="Z38251" i="5"/>
  <c r="Z38250" i="5"/>
  <c r="Z38249" i="5"/>
  <c r="Z38248" i="5"/>
  <c r="Z38247" i="5"/>
  <c r="Z38246" i="5"/>
  <c r="Z38245" i="5"/>
  <c r="Z38244" i="5"/>
  <c r="Z38243" i="5"/>
  <c r="Z38242" i="5"/>
  <c r="Z38241" i="5"/>
  <c r="Z38240" i="5"/>
  <c r="Z38239" i="5"/>
  <c r="Z38238" i="5"/>
  <c r="Z38237" i="5"/>
  <c r="Z38236" i="5"/>
  <c r="Z38235" i="5"/>
  <c r="Z38234" i="5"/>
  <c r="Z38233" i="5"/>
  <c r="Z38232" i="5"/>
  <c r="Z38231" i="5"/>
  <c r="Z38230" i="5"/>
  <c r="Z38229" i="5"/>
  <c r="Z38228" i="5"/>
  <c r="Z38227" i="5"/>
  <c r="Z38226" i="5"/>
  <c r="Z38225" i="5"/>
  <c r="Z38224" i="5"/>
  <c r="Z38223" i="5"/>
  <c r="Z38222" i="5"/>
  <c r="Z38221" i="5"/>
  <c r="Z38220" i="5"/>
  <c r="Z38219" i="5"/>
  <c r="Z38218" i="5"/>
  <c r="Z38217" i="5"/>
  <c r="Z38216" i="5"/>
  <c r="Z38215" i="5"/>
  <c r="Z38214" i="5"/>
  <c r="Z38213" i="5"/>
  <c r="Z38212" i="5"/>
  <c r="Z38211" i="5"/>
  <c r="Z38210" i="5"/>
  <c r="Z38209" i="5"/>
  <c r="Z38208" i="5"/>
  <c r="Z38207" i="5"/>
  <c r="Z38206" i="5"/>
  <c r="Z38205" i="5"/>
  <c r="Z38204" i="5"/>
  <c r="Z38203" i="5"/>
  <c r="Z38202" i="5"/>
  <c r="Z38201" i="5"/>
  <c r="Z38200" i="5"/>
  <c r="Z38199" i="5"/>
  <c r="Z38198" i="5"/>
  <c r="Z38197" i="5"/>
  <c r="Z38196" i="5"/>
  <c r="Z38195" i="5"/>
  <c r="Z38194" i="5"/>
  <c r="Z38193" i="5"/>
  <c r="Z38192" i="5"/>
  <c r="Z38191" i="5"/>
  <c r="Z38190" i="5"/>
  <c r="Z38189" i="5"/>
  <c r="Z38188" i="5"/>
  <c r="Z38187" i="5"/>
  <c r="Z38186" i="5"/>
  <c r="Z38185" i="5"/>
  <c r="Z38184" i="5"/>
  <c r="Z38183" i="5"/>
  <c r="Z38182" i="5"/>
  <c r="Z38181" i="5"/>
  <c r="Z38180" i="5"/>
  <c r="Z38179" i="5"/>
  <c r="Z38178" i="5"/>
  <c r="Z38177" i="5"/>
  <c r="Z38176" i="5"/>
  <c r="Z38175" i="5"/>
  <c r="Z38174" i="5"/>
  <c r="Z38173" i="5"/>
  <c r="Z38172" i="5"/>
  <c r="Z38171" i="5"/>
  <c r="Z38170" i="5"/>
  <c r="Z38169" i="5"/>
  <c r="Z38168" i="5"/>
  <c r="Z38167" i="5"/>
  <c r="Z38166" i="5"/>
  <c r="Z38165" i="5"/>
  <c r="Z38164" i="5"/>
  <c r="Z38163" i="5"/>
  <c r="Z38162" i="5"/>
  <c r="Z38161" i="5"/>
  <c r="Z38160" i="5"/>
  <c r="Z38159" i="5"/>
  <c r="Z38158" i="5"/>
  <c r="Z38157" i="5"/>
  <c r="Z38156" i="5"/>
  <c r="Z38155" i="5"/>
  <c r="Z38154" i="5"/>
  <c r="Z38153" i="5"/>
  <c r="Z38152" i="5"/>
  <c r="Z38151" i="5"/>
  <c r="Z38150" i="5"/>
  <c r="Z38149" i="5"/>
  <c r="Z38148" i="5"/>
  <c r="Z38147" i="5"/>
  <c r="Z38146" i="5"/>
  <c r="Z38145" i="5"/>
  <c r="Z38144" i="5"/>
  <c r="Z38143" i="5"/>
  <c r="Z38142" i="5"/>
  <c r="Z38141" i="5"/>
  <c r="Z38140" i="5"/>
  <c r="Z38139" i="5"/>
  <c r="Z38138" i="5"/>
  <c r="Z38137" i="5"/>
  <c r="Z38136" i="5"/>
  <c r="Z38135" i="5"/>
  <c r="Z38134" i="5"/>
  <c r="Z38133" i="5"/>
  <c r="Z38132" i="5"/>
  <c r="Z38131" i="5"/>
  <c r="Z38130" i="5"/>
  <c r="Z38129" i="5"/>
  <c r="Z38128" i="5"/>
  <c r="Z38127" i="5"/>
  <c r="Z38126" i="5"/>
  <c r="Z38125" i="5"/>
  <c r="Z38124" i="5"/>
  <c r="Z38123" i="5"/>
  <c r="Z38122" i="5"/>
  <c r="Z38121" i="5"/>
  <c r="Z38120" i="5"/>
  <c r="Z38119" i="5"/>
  <c r="Z38118" i="5"/>
  <c r="Z38117" i="5"/>
  <c r="Z38116" i="5"/>
  <c r="Z38115" i="5"/>
  <c r="Z38114" i="5"/>
  <c r="Z38113" i="5"/>
  <c r="Z38112" i="5"/>
  <c r="Z38111" i="5"/>
  <c r="Z38110" i="5"/>
  <c r="Z38109" i="5"/>
  <c r="Z38108" i="5"/>
  <c r="Z38107" i="5"/>
  <c r="Z38106" i="5"/>
  <c r="Z38105" i="5"/>
  <c r="Z38104" i="5"/>
  <c r="Z38103" i="5"/>
  <c r="Z38102" i="5"/>
  <c r="Z38101" i="5"/>
  <c r="Z38100" i="5"/>
  <c r="Z38099" i="5"/>
  <c r="Z38098" i="5"/>
  <c r="Z38097" i="5"/>
  <c r="Z38096" i="5"/>
  <c r="Z38095" i="5"/>
  <c r="Z38094" i="5"/>
  <c r="Z38093" i="5"/>
  <c r="Z38092" i="5"/>
  <c r="Z38091" i="5"/>
  <c r="Z38090" i="5"/>
  <c r="Z38089" i="5"/>
  <c r="Z38088" i="5"/>
  <c r="Z38087" i="5"/>
  <c r="Z38086" i="5"/>
  <c r="Z38085" i="5"/>
  <c r="Z38084" i="5"/>
  <c r="Z38083" i="5"/>
  <c r="Z38082" i="5"/>
  <c r="Z38081" i="5"/>
  <c r="Z38080" i="5"/>
  <c r="Z38079" i="5"/>
  <c r="Z38078" i="5"/>
  <c r="Z38077" i="5"/>
  <c r="Z38076" i="5"/>
  <c r="Z38075" i="5"/>
  <c r="Z38074" i="5"/>
  <c r="Z38073" i="5"/>
  <c r="Z38072" i="5"/>
  <c r="Z38071" i="5"/>
  <c r="Z38070" i="5"/>
  <c r="Z38069" i="5"/>
  <c r="Z38068" i="5"/>
  <c r="Z38067" i="5"/>
  <c r="Z38066" i="5"/>
  <c r="Z38065" i="5"/>
  <c r="Z38064" i="5"/>
  <c r="Z38063" i="5"/>
  <c r="Z38062" i="5"/>
  <c r="Z38061" i="5"/>
  <c r="Z38060" i="5"/>
  <c r="Z38059" i="5"/>
  <c r="Z38058" i="5"/>
  <c r="Z38057" i="5"/>
  <c r="Z38056" i="5"/>
  <c r="Z38055" i="5"/>
  <c r="Z38054" i="5"/>
  <c r="Z38053" i="5"/>
  <c r="Z38052" i="5"/>
  <c r="Z38051" i="5"/>
  <c r="Z38050" i="5"/>
  <c r="Z38049" i="5"/>
  <c r="Z38048" i="5"/>
  <c r="Z38047" i="5"/>
  <c r="Z38046" i="5"/>
  <c r="Z38045" i="5"/>
  <c r="Z38044" i="5"/>
  <c r="Z38043" i="5"/>
  <c r="Z38042" i="5"/>
  <c r="Z38041" i="5"/>
  <c r="Z38040" i="5"/>
  <c r="Z38039" i="5"/>
  <c r="Z38038" i="5"/>
  <c r="Z38037" i="5"/>
  <c r="Z38036" i="5"/>
  <c r="Z38035" i="5"/>
  <c r="Z38034" i="5"/>
  <c r="Z38033" i="5"/>
  <c r="Z38032" i="5"/>
  <c r="Z38031" i="5"/>
  <c r="Z38030" i="5"/>
  <c r="Z38029" i="5"/>
  <c r="Z38028" i="5"/>
  <c r="Z38027" i="5"/>
  <c r="Z38026" i="5"/>
  <c r="Z38025" i="5"/>
  <c r="Z38024" i="5"/>
  <c r="Z38023" i="5"/>
  <c r="Z38022" i="5"/>
  <c r="Z38021" i="5"/>
  <c r="Z38020" i="5"/>
  <c r="Z38019" i="5"/>
  <c r="Z38018" i="5"/>
  <c r="Z38017" i="5"/>
  <c r="Z38016" i="5"/>
  <c r="Z38015" i="5"/>
  <c r="Z38014" i="5"/>
  <c r="Z38013" i="5"/>
  <c r="Z38012" i="5"/>
  <c r="Z38011" i="5"/>
  <c r="Z38010" i="5"/>
  <c r="Z38009" i="5"/>
  <c r="Z38008" i="5"/>
  <c r="Z38007" i="5"/>
  <c r="Z38006" i="5"/>
  <c r="Z38005" i="5"/>
  <c r="Z38004" i="5"/>
  <c r="Z38003" i="5"/>
  <c r="Z38002" i="5"/>
  <c r="Z38001" i="5"/>
  <c r="Z38000" i="5"/>
  <c r="Z37999" i="5"/>
  <c r="Z37998" i="5"/>
  <c r="Z37997" i="5"/>
  <c r="Z37996" i="5"/>
  <c r="Z37995" i="5"/>
  <c r="Z37994" i="5"/>
  <c r="Z37993" i="5"/>
  <c r="Z37992" i="5"/>
  <c r="Z37991" i="5"/>
  <c r="Z37990" i="5"/>
  <c r="Z37989" i="5"/>
  <c r="Z37988" i="5"/>
  <c r="Z37987" i="5"/>
  <c r="Z37986" i="5"/>
  <c r="Z37985" i="5"/>
  <c r="Z37984" i="5"/>
  <c r="Z37983" i="5"/>
  <c r="Z37982" i="5"/>
  <c r="Z37981" i="5"/>
  <c r="Z37980" i="5"/>
  <c r="Z37979" i="5"/>
  <c r="Z37978" i="5"/>
  <c r="Z37977" i="5"/>
  <c r="Z37976" i="5"/>
  <c r="Z37975" i="5"/>
  <c r="Z37974" i="5"/>
  <c r="Z37973" i="5"/>
  <c r="Z37972" i="5"/>
  <c r="Z37971" i="5"/>
  <c r="Z37970" i="5"/>
  <c r="Z37969" i="5"/>
  <c r="Z37968" i="5"/>
  <c r="Z37967" i="5"/>
  <c r="Z37966" i="5"/>
  <c r="Z37965" i="5"/>
  <c r="Z37964" i="5"/>
  <c r="Z37963" i="5"/>
  <c r="Z37962" i="5"/>
  <c r="Z37961" i="5"/>
  <c r="Z37960" i="5"/>
  <c r="Z37959" i="5"/>
  <c r="Z37958" i="5"/>
  <c r="Z37957" i="5"/>
  <c r="Z37956" i="5"/>
  <c r="Z37955" i="5"/>
  <c r="Z37954" i="5"/>
  <c r="Z37953" i="5"/>
  <c r="Z37952" i="5"/>
  <c r="Z37951" i="5"/>
  <c r="Z37950" i="5"/>
  <c r="Z37949" i="5"/>
  <c r="Z37948" i="5"/>
  <c r="Z37947" i="5"/>
  <c r="Z37946" i="5"/>
  <c r="Z37945" i="5"/>
  <c r="Z37944" i="5"/>
  <c r="Z37943" i="5"/>
  <c r="Z37942" i="5"/>
  <c r="Z37941" i="5"/>
  <c r="Z37940" i="5"/>
  <c r="Z37939" i="5"/>
  <c r="Z37938" i="5"/>
  <c r="Z37937" i="5"/>
  <c r="Z37936" i="5"/>
  <c r="Z37935" i="5"/>
  <c r="Z37934" i="5"/>
  <c r="Z37933" i="5"/>
  <c r="Z37932" i="5"/>
  <c r="Z37931" i="5"/>
  <c r="Z37930" i="5"/>
  <c r="Z37929" i="5"/>
  <c r="Z37928" i="5"/>
  <c r="Z37927" i="5"/>
  <c r="Z37926" i="5"/>
  <c r="Z37925" i="5"/>
  <c r="Z37924" i="5"/>
  <c r="Z37923" i="5"/>
  <c r="Z37922" i="5"/>
  <c r="Z37921" i="5"/>
  <c r="Z37920" i="5"/>
  <c r="Z37919" i="5"/>
  <c r="Z37918" i="5"/>
  <c r="Z37917" i="5"/>
  <c r="Z37916" i="5"/>
  <c r="Z37915" i="5"/>
  <c r="Z37914" i="5"/>
  <c r="Z37913" i="5"/>
  <c r="Z37912" i="5"/>
  <c r="Z37911" i="5"/>
  <c r="Z37910" i="5"/>
  <c r="Z37909" i="5"/>
  <c r="Z37908" i="5"/>
  <c r="Z37907" i="5"/>
  <c r="Z37906" i="5"/>
  <c r="Z37905" i="5"/>
  <c r="Z37904" i="5"/>
  <c r="Z37903" i="5"/>
  <c r="Z37902" i="5"/>
  <c r="Z37901" i="5"/>
  <c r="Z37900" i="5"/>
  <c r="Z37899" i="5"/>
  <c r="Z37898" i="5"/>
  <c r="Z37897" i="5"/>
  <c r="Z37896" i="5"/>
  <c r="Z37895" i="5"/>
  <c r="Z37894" i="5"/>
  <c r="Z37893" i="5"/>
  <c r="Z37892" i="5"/>
  <c r="Z37891" i="5"/>
  <c r="Z37890" i="5"/>
  <c r="Z37889" i="5"/>
  <c r="Z37888" i="5"/>
  <c r="Z37887" i="5"/>
  <c r="Z37886" i="5"/>
  <c r="Z37885" i="5"/>
  <c r="Z37884" i="5"/>
  <c r="Z37883" i="5"/>
  <c r="Z37882" i="5"/>
  <c r="Z37881" i="5"/>
  <c r="Z37880" i="5"/>
  <c r="Z37879" i="5"/>
  <c r="Z37878" i="5"/>
  <c r="Z37877" i="5"/>
  <c r="Z37876" i="5"/>
  <c r="Z37875" i="5"/>
  <c r="Z37874" i="5"/>
  <c r="Z37873" i="5"/>
  <c r="Z37872" i="5"/>
  <c r="Z37871" i="5"/>
  <c r="Z37870" i="5"/>
  <c r="Z37869" i="5"/>
  <c r="Z37868" i="5"/>
  <c r="Z37867" i="5"/>
  <c r="Z37866" i="5"/>
  <c r="Z37865" i="5"/>
  <c r="Z37864" i="5"/>
  <c r="Z37863" i="5"/>
  <c r="Z37862" i="5"/>
  <c r="Z37861" i="5"/>
  <c r="Z37860" i="5"/>
  <c r="Z37859" i="5"/>
  <c r="Z37858" i="5"/>
  <c r="Z37857" i="5"/>
  <c r="Z37856" i="5"/>
  <c r="Z37855" i="5"/>
  <c r="Z37854" i="5"/>
  <c r="Z37853" i="5"/>
  <c r="Z37852" i="5"/>
  <c r="Z37851" i="5"/>
  <c r="Z37850" i="5"/>
  <c r="Z37849" i="5"/>
  <c r="Z37848" i="5"/>
  <c r="Z37847" i="5"/>
  <c r="Z37846" i="5"/>
  <c r="Z37845" i="5"/>
  <c r="Z37844" i="5"/>
  <c r="Z37843" i="5"/>
  <c r="Z37842" i="5"/>
  <c r="Z37841" i="5"/>
  <c r="Z37840" i="5"/>
  <c r="Z37839" i="5"/>
  <c r="Z37838" i="5"/>
  <c r="Z37837" i="5"/>
  <c r="Z37836" i="5"/>
  <c r="Z37835" i="5"/>
  <c r="Z37834" i="5"/>
  <c r="Z37833" i="5"/>
  <c r="Z37832" i="5"/>
  <c r="Z37831" i="5"/>
  <c r="Z37830" i="5"/>
  <c r="Z37829" i="5"/>
  <c r="Z37828" i="5"/>
  <c r="Z37827" i="5"/>
  <c r="Z37826" i="5"/>
  <c r="Z37825" i="5"/>
  <c r="Z37824" i="5"/>
  <c r="Z37823" i="5"/>
  <c r="Z37822" i="5"/>
  <c r="Z37821" i="5"/>
  <c r="Z37820" i="5"/>
  <c r="Z37819" i="5"/>
  <c r="Z37818" i="5"/>
  <c r="Z37817" i="5"/>
  <c r="Z37816" i="5"/>
  <c r="Z37815" i="5"/>
  <c r="Z37814" i="5"/>
  <c r="Z37813" i="5"/>
  <c r="Z37812" i="5"/>
  <c r="Z37811" i="5"/>
  <c r="Z37810" i="5"/>
  <c r="Z37809" i="5"/>
  <c r="Z37808" i="5"/>
  <c r="Z37807" i="5"/>
  <c r="Z37806" i="5"/>
  <c r="Z37805" i="5"/>
  <c r="Z37804" i="5"/>
  <c r="Z37803" i="5"/>
  <c r="Z37802" i="5"/>
  <c r="Z37801" i="5"/>
  <c r="Z37800" i="5"/>
  <c r="Z37799" i="5"/>
  <c r="Z37798" i="5"/>
  <c r="Z37797" i="5"/>
  <c r="Z37796" i="5"/>
  <c r="Z37795" i="5"/>
  <c r="Z37794" i="5"/>
  <c r="Z37793" i="5"/>
  <c r="Z37792" i="5"/>
  <c r="Z37791" i="5"/>
  <c r="Z37790" i="5"/>
  <c r="Z37789" i="5"/>
  <c r="Z37788" i="5"/>
  <c r="Z37787" i="5"/>
  <c r="Z37786" i="5"/>
  <c r="Z37785" i="5"/>
  <c r="Z37784" i="5"/>
  <c r="Z37783" i="5"/>
  <c r="Z37782" i="5"/>
  <c r="Z37781" i="5"/>
  <c r="Z37780" i="5"/>
  <c r="Z37779" i="5"/>
  <c r="Z37778" i="5"/>
  <c r="Z37777" i="5"/>
  <c r="Z37776" i="5"/>
  <c r="Z37775" i="5"/>
  <c r="Z37774" i="5"/>
  <c r="Z37773" i="5"/>
  <c r="Z37772" i="5"/>
  <c r="Z37771" i="5"/>
  <c r="Z37770" i="5"/>
  <c r="Z37769" i="5"/>
  <c r="Z37768" i="5"/>
  <c r="Z37767" i="5"/>
  <c r="Z37766" i="5"/>
  <c r="Z37765" i="5"/>
  <c r="Z37764" i="5"/>
  <c r="Z37763" i="5"/>
  <c r="Z37762" i="5"/>
  <c r="Z37761" i="5"/>
  <c r="Z37760" i="5"/>
  <c r="Z37759" i="5"/>
  <c r="Z37758" i="5"/>
  <c r="Z37757" i="5"/>
  <c r="Z37756" i="5"/>
  <c r="Z37755" i="5"/>
  <c r="Z37754" i="5"/>
  <c r="Z37753" i="5"/>
  <c r="Z37752" i="5"/>
  <c r="Z37751" i="5"/>
  <c r="Z37750" i="5"/>
  <c r="Z37749" i="5"/>
  <c r="Z37748" i="5"/>
  <c r="Z37747" i="5"/>
  <c r="Z37746" i="5"/>
  <c r="Z37745" i="5"/>
  <c r="Z37744" i="5"/>
  <c r="Z37743" i="5"/>
  <c r="Z37742" i="5"/>
  <c r="Z37741" i="5"/>
  <c r="Z37740" i="5"/>
  <c r="Z37739" i="5"/>
  <c r="Z37738" i="5"/>
  <c r="Z37737" i="5"/>
  <c r="Z37736" i="5"/>
  <c r="Z37735" i="5"/>
  <c r="Z37734" i="5"/>
  <c r="Z37733" i="5"/>
  <c r="Z37732" i="5"/>
  <c r="Z37731" i="5"/>
  <c r="Z37730" i="5"/>
  <c r="Z37729" i="5"/>
  <c r="Z37728" i="5"/>
  <c r="Z37727" i="5"/>
  <c r="Z37726" i="5"/>
  <c r="Z37725" i="5"/>
  <c r="Z37724" i="5"/>
  <c r="Z37723" i="5"/>
  <c r="Z37722" i="5"/>
  <c r="Z37721" i="5"/>
  <c r="Z37720" i="5"/>
  <c r="Z37719" i="5"/>
  <c r="Z37718" i="5"/>
  <c r="Z37717" i="5"/>
  <c r="Z37716" i="5"/>
  <c r="Z37715" i="5"/>
  <c r="Z37714" i="5"/>
  <c r="Z37713" i="5"/>
  <c r="Z37712" i="5"/>
  <c r="Z37711" i="5"/>
  <c r="Z37710" i="5"/>
  <c r="Z37709" i="5"/>
  <c r="Z37708" i="5"/>
  <c r="Z37707" i="5"/>
  <c r="Z37706" i="5"/>
  <c r="Z37705" i="5"/>
  <c r="Z37704" i="5"/>
  <c r="Z37703" i="5"/>
  <c r="Z37702" i="5"/>
  <c r="Z37701" i="5"/>
  <c r="Z37700" i="5"/>
  <c r="Z37699" i="5"/>
  <c r="Z37698" i="5"/>
  <c r="Z37697" i="5"/>
  <c r="Z37696" i="5"/>
  <c r="Z37695" i="5"/>
  <c r="Z37694" i="5"/>
  <c r="Z37693" i="5"/>
  <c r="Z37692" i="5"/>
  <c r="Z37691" i="5"/>
  <c r="Z37690" i="5"/>
  <c r="Z37689" i="5"/>
  <c r="Z37688" i="5"/>
  <c r="Z37687" i="5"/>
  <c r="Z37686" i="5"/>
  <c r="Z37685" i="5"/>
  <c r="Z37684" i="5"/>
  <c r="Z37683" i="5"/>
  <c r="Z37682" i="5"/>
  <c r="Z37681" i="5"/>
  <c r="Z37680" i="5"/>
  <c r="Z37679" i="5"/>
  <c r="Z37678" i="5"/>
  <c r="Z37677" i="5"/>
  <c r="Z37676" i="5"/>
  <c r="Z37675" i="5"/>
  <c r="Z37674" i="5"/>
  <c r="Z37673" i="5"/>
  <c r="Z37672" i="5"/>
  <c r="Z37671" i="5"/>
  <c r="Z37670" i="5"/>
  <c r="Z37669" i="5"/>
  <c r="Z37668" i="5"/>
  <c r="Z37667" i="5"/>
  <c r="Z37666" i="5"/>
  <c r="Z37665" i="5"/>
  <c r="Z37664" i="5"/>
  <c r="Z37663" i="5"/>
  <c r="Z37662" i="5"/>
  <c r="Z37661" i="5"/>
  <c r="Z37660" i="5"/>
  <c r="Z37659" i="5"/>
  <c r="Z37658" i="5"/>
  <c r="Z37657" i="5"/>
  <c r="Z37656" i="5"/>
  <c r="Z37655" i="5"/>
  <c r="Z37654" i="5"/>
  <c r="Z37653" i="5"/>
  <c r="Z37652" i="5"/>
  <c r="Z37651" i="5"/>
  <c r="Z37650" i="5"/>
  <c r="Z37649" i="5"/>
  <c r="Z37648" i="5"/>
  <c r="Z37647" i="5"/>
  <c r="Z37646" i="5"/>
  <c r="Z37645" i="5"/>
  <c r="Z37644" i="5"/>
  <c r="Z37643" i="5"/>
  <c r="Z37642" i="5"/>
  <c r="Z37641" i="5"/>
  <c r="Z37640" i="5"/>
  <c r="Z37639" i="5"/>
  <c r="Z37638" i="5"/>
  <c r="Z37637" i="5"/>
  <c r="Z37636" i="5"/>
  <c r="Z37635" i="5"/>
  <c r="Z37634" i="5"/>
  <c r="Z37633" i="5"/>
  <c r="Z37632" i="5"/>
  <c r="Z37631" i="5"/>
  <c r="Z37630" i="5"/>
  <c r="Z37629" i="5"/>
  <c r="Z37628" i="5"/>
  <c r="Z37627" i="5"/>
  <c r="Z37626" i="5"/>
  <c r="Z37625" i="5"/>
  <c r="Z37624" i="5"/>
  <c r="Z37623" i="5"/>
  <c r="Z37622" i="5"/>
  <c r="Z37621" i="5"/>
  <c r="Z37620" i="5"/>
  <c r="Z37619" i="5"/>
  <c r="Z37618" i="5"/>
  <c r="Z37617" i="5"/>
  <c r="Z37616" i="5"/>
  <c r="Z37615" i="5"/>
  <c r="Z37614" i="5"/>
  <c r="Z37613" i="5"/>
  <c r="Z37612" i="5"/>
  <c r="Z37611" i="5"/>
  <c r="Z37610" i="5"/>
  <c r="Z37609" i="5"/>
  <c r="Z37608" i="5"/>
  <c r="Z37607" i="5"/>
  <c r="Z37606" i="5"/>
  <c r="Z37605" i="5"/>
  <c r="Z37604" i="5"/>
  <c r="Z37603" i="5"/>
  <c r="Z37602" i="5"/>
  <c r="Z37601" i="5"/>
  <c r="Z37600" i="5"/>
  <c r="Z37599" i="5"/>
  <c r="Z37598" i="5"/>
  <c r="Z37597" i="5"/>
  <c r="Z37596" i="5"/>
  <c r="Z37595" i="5"/>
  <c r="Z37594" i="5"/>
  <c r="Z37593" i="5"/>
  <c r="Z37592" i="5"/>
  <c r="Z37591" i="5"/>
  <c r="Z37590" i="5"/>
  <c r="Z37589" i="5"/>
  <c r="Z37588" i="5"/>
  <c r="Z37587" i="5"/>
  <c r="Z37586" i="5"/>
  <c r="Z37585" i="5"/>
  <c r="Z37584" i="5"/>
  <c r="Z37583" i="5"/>
  <c r="Z37582" i="5"/>
  <c r="Z37581" i="5"/>
  <c r="Z37580" i="5"/>
  <c r="Z37579" i="5"/>
  <c r="Z37578" i="5"/>
  <c r="Z37577" i="5"/>
  <c r="Z37576" i="5"/>
  <c r="Z37575" i="5"/>
  <c r="Z37574" i="5"/>
  <c r="Z37573" i="5"/>
  <c r="Z37572" i="5"/>
  <c r="Z37571" i="5"/>
  <c r="Z37570" i="5"/>
  <c r="Z37569" i="5"/>
  <c r="Z37568" i="5"/>
  <c r="Z37567" i="5"/>
  <c r="Z37566" i="5"/>
  <c r="Z37565" i="5"/>
  <c r="Z37564" i="5"/>
  <c r="Z37563" i="5"/>
  <c r="Z37562" i="5"/>
  <c r="Z37561" i="5"/>
  <c r="Z37560" i="5"/>
  <c r="Z37559" i="5"/>
  <c r="Z37558" i="5"/>
  <c r="Z37557" i="5"/>
  <c r="Z37556" i="5"/>
  <c r="Z37555" i="5"/>
  <c r="Z37554" i="5"/>
  <c r="Z37553" i="5"/>
  <c r="Z37552" i="5"/>
  <c r="Z37551" i="5"/>
  <c r="Z37550" i="5"/>
  <c r="Z37549" i="5"/>
  <c r="Z37548" i="5"/>
  <c r="Z37547" i="5"/>
  <c r="Z37546" i="5"/>
  <c r="Z37545" i="5"/>
  <c r="Z37544" i="5"/>
  <c r="Z37543" i="5"/>
  <c r="Z37542" i="5"/>
  <c r="Z37541" i="5"/>
  <c r="Z37540" i="5"/>
  <c r="Z37539" i="5"/>
  <c r="Z37538" i="5"/>
  <c r="Z37537" i="5"/>
  <c r="Z37536" i="5"/>
  <c r="Z37535" i="5"/>
  <c r="Z37534" i="5"/>
  <c r="Z37533" i="5"/>
  <c r="Z37532" i="5"/>
  <c r="Z37531" i="5"/>
  <c r="Z37530" i="5"/>
  <c r="Z37529" i="5"/>
  <c r="Z37528" i="5"/>
  <c r="Z37527" i="5"/>
  <c r="Z37526" i="5"/>
  <c r="Z37525" i="5"/>
  <c r="Z37524" i="5"/>
  <c r="Z37523" i="5"/>
  <c r="Z37522" i="5"/>
  <c r="Z37521" i="5"/>
  <c r="Z37520" i="5"/>
  <c r="Z37519" i="5"/>
  <c r="Z37518" i="5"/>
  <c r="Z37517" i="5"/>
  <c r="Z37516" i="5"/>
  <c r="Z37515" i="5"/>
  <c r="Z37514" i="5"/>
  <c r="Z37513" i="5"/>
  <c r="Z37512" i="5"/>
  <c r="Z37511" i="5"/>
  <c r="Z37510" i="5"/>
  <c r="Z37509" i="5"/>
  <c r="Z37508" i="5"/>
  <c r="Z37507" i="5"/>
  <c r="Z37506" i="5"/>
  <c r="Z37505" i="5"/>
  <c r="Z37504" i="5"/>
  <c r="Z37503" i="5"/>
  <c r="Z37502" i="5"/>
  <c r="Z37501" i="5"/>
  <c r="Z37500" i="5"/>
  <c r="Z37499" i="5"/>
  <c r="Z37498" i="5"/>
  <c r="Z37497" i="5"/>
  <c r="Z37496" i="5"/>
  <c r="Z37495" i="5"/>
  <c r="Z37494" i="5"/>
  <c r="Z37493" i="5"/>
  <c r="Z37492" i="5"/>
  <c r="Z37491" i="5"/>
  <c r="Z37490" i="5"/>
  <c r="Z37489" i="5"/>
  <c r="Z37488" i="5"/>
  <c r="Z37487" i="5"/>
  <c r="Z37486" i="5"/>
  <c r="Z37485" i="5"/>
  <c r="Z37484" i="5"/>
  <c r="Z37483" i="5"/>
  <c r="Z37482" i="5"/>
  <c r="Z37481" i="5"/>
  <c r="Z37480" i="5"/>
  <c r="Z37479" i="5"/>
  <c r="Z37478" i="5"/>
  <c r="Z37477" i="5"/>
  <c r="Z37476" i="5"/>
  <c r="Z37475" i="5"/>
  <c r="Z37474" i="5"/>
  <c r="Z37473" i="5"/>
  <c r="Z37472" i="5"/>
  <c r="Z37471" i="5"/>
  <c r="Z37470" i="5"/>
  <c r="Z37469" i="5"/>
  <c r="Z37468" i="5"/>
  <c r="Z37467" i="5"/>
  <c r="Z37466" i="5"/>
  <c r="Z37465" i="5"/>
  <c r="Z37464" i="5"/>
  <c r="Z37463" i="5"/>
  <c r="Z37462" i="5"/>
  <c r="Z37461" i="5"/>
  <c r="Z37460" i="5"/>
  <c r="Z37459" i="5"/>
  <c r="Z37458" i="5"/>
  <c r="Z37457" i="5"/>
  <c r="Z37456" i="5"/>
  <c r="Z37455" i="5"/>
  <c r="Z37454" i="5"/>
  <c r="Z37453" i="5"/>
  <c r="Z37452" i="5"/>
  <c r="Z37451" i="5"/>
  <c r="Z37450" i="5"/>
  <c r="Z37449" i="5"/>
  <c r="Z37448" i="5"/>
  <c r="Z37447" i="5"/>
  <c r="Z37446" i="5"/>
  <c r="Z37445" i="5"/>
  <c r="Z37444" i="5"/>
  <c r="Z37443" i="5"/>
  <c r="Z37442" i="5"/>
  <c r="Z37441" i="5"/>
  <c r="Z37440" i="5"/>
  <c r="Z37439" i="5"/>
  <c r="Z37438" i="5"/>
  <c r="Z37437" i="5"/>
  <c r="Z37436" i="5"/>
  <c r="Z37435" i="5"/>
  <c r="Z37434" i="5"/>
  <c r="Z37433" i="5"/>
  <c r="Z37432" i="5"/>
  <c r="Z37431" i="5"/>
  <c r="Z37430" i="5"/>
  <c r="Z37429" i="5"/>
  <c r="Z37428" i="5"/>
  <c r="Z37427" i="5"/>
  <c r="Z37426" i="5"/>
  <c r="Z37425" i="5"/>
  <c r="Z37424" i="5"/>
  <c r="Z37423" i="5"/>
  <c r="Z37422" i="5"/>
  <c r="Z37421" i="5"/>
  <c r="Z37420" i="5"/>
  <c r="Z37419" i="5"/>
  <c r="Z37418" i="5"/>
  <c r="Z37417" i="5"/>
  <c r="Z37416" i="5"/>
  <c r="Z37415" i="5"/>
  <c r="Z37414" i="5"/>
  <c r="Z37413" i="5"/>
  <c r="Z37412" i="5"/>
  <c r="Z37411" i="5"/>
  <c r="Z37410" i="5"/>
  <c r="Z37409" i="5"/>
  <c r="Z37408" i="5"/>
  <c r="Z37407" i="5"/>
  <c r="Z37406" i="5"/>
  <c r="Z37405" i="5"/>
  <c r="Z37404" i="5"/>
  <c r="Z37403" i="5"/>
  <c r="Z37402" i="5"/>
  <c r="Z37401" i="5"/>
  <c r="Z37400" i="5"/>
  <c r="Z37399" i="5"/>
  <c r="Z37398" i="5"/>
  <c r="Z37397" i="5"/>
  <c r="Z37396" i="5"/>
  <c r="Z37395" i="5"/>
  <c r="Z37394" i="5"/>
  <c r="Z37393" i="5"/>
  <c r="Z37392" i="5"/>
  <c r="Z37391" i="5"/>
  <c r="Z37390" i="5"/>
  <c r="Z37389" i="5"/>
  <c r="Z37388" i="5"/>
  <c r="Z37387" i="5"/>
  <c r="Z37386" i="5"/>
  <c r="Z37385" i="5"/>
  <c r="Z37384" i="5"/>
  <c r="Z37383" i="5"/>
  <c r="Z37382" i="5"/>
  <c r="Z37381" i="5"/>
  <c r="Z37380" i="5"/>
  <c r="Z37379" i="5"/>
  <c r="Z37378" i="5"/>
  <c r="Z37377" i="5"/>
  <c r="Z37376" i="5"/>
  <c r="Z37375" i="5"/>
  <c r="Z37374" i="5"/>
  <c r="Z37373" i="5"/>
  <c r="Z37372" i="5"/>
  <c r="Z37371" i="5"/>
  <c r="Z37370" i="5"/>
  <c r="Z37369" i="5"/>
  <c r="Z37368" i="5"/>
  <c r="Z37367" i="5"/>
  <c r="Z37366" i="5"/>
  <c r="Z37365" i="5"/>
  <c r="Z37364" i="5"/>
  <c r="Z37363" i="5"/>
  <c r="Z37362" i="5"/>
  <c r="Z37361" i="5"/>
  <c r="Z37360" i="5"/>
  <c r="Z37359" i="5"/>
  <c r="Z37358" i="5"/>
  <c r="Z37357" i="5"/>
  <c r="Z37356" i="5"/>
  <c r="Z37355" i="5"/>
  <c r="Z37354" i="5"/>
  <c r="Z37353" i="5"/>
  <c r="Z37352" i="5"/>
  <c r="Z37351" i="5"/>
  <c r="Z37350" i="5"/>
  <c r="Z37349" i="5"/>
  <c r="Z37348" i="5"/>
  <c r="Z37347" i="5"/>
  <c r="Z37346" i="5"/>
  <c r="Z37345" i="5"/>
  <c r="Z37344" i="5"/>
  <c r="Z37343" i="5"/>
  <c r="Z37342" i="5"/>
  <c r="Z37341" i="5"/>
  <c r="Z37340" i="5"/>
  <c r="Z37339" i="5"/>
  <c r="Z37338" i="5"/>
  <c r="Z37337" i="5"/>
  <c r="Z37336" i="5"/>
  <c r="Z37335" i="5"/>
  <c r="Z37334" i="5"/>
  <c r="Z37333" i="5"/>
  <c r="Z37332" i="5"/>
  <c r="Z37331" i="5"/>
  <c r="Z37330" i="5"/>
  <c r="Z37329" i="5"/>
  <c r="Z37328" i="5"/>
  <c r="Z37327" i="5"/>
  <c r="Z37326" i="5"/>
  <c r="Z37325" i="5"/>
  <c r="Z37324" i="5"/>
  <c r="Z37323" i="5"/>
  <c r="Z37322" i="5"/>
  <c r="Z37321" i="5"/>
  <c r="Z37320" i="5"/>
  <c r="Z37319" i="5"/>
  <c r="Z37318" i="5"/>
  <c r="Z37317" i="5"/>
  <c r="Z37316" i="5"/>
  <c r="Z37315" i="5"/>
  <c r="Z37314" i="5"/>
  <c r="Z37313" i="5"/>
  <c r="Z37312" i="5"/>
  <c r="Z37311" i="5"/>
  <c r="Z37310" i="5"/>
  <c r="Z37309" i="5"/>
  <c r="Z37308" i="5"/>
  <c r="Z37307" i="5"/>
  <c r="Z37306" i="5"/>
  <c r="Z37305" i="5"/>
  <c r="Z37304" i="5"/>
  <c r="Z37303" i="5"/>
  <c r="Z37302" i="5"/>
  <c r="Z37301" i="5"/>
  <c r="Z37300" i="5"/>
  <c r="Z37299" i="5"/>
  <c r="Z37298" i="5"/>
  <c r="Z37297" i="5"/>
  <c r="Z37296" i="5"/>
  <c r="Z37295" i="5"/>
  <c r="Z37294" i="5"/>
  <c r="Z37293" i="5"/>
  <c r="Z37292" i="5"/>
  <c r="Z37291" i="5"/>
  <c r="Z37290" i="5"/>
  <c r="Z37289" i="5"/>
  <c r="Z37288" i="5"/>
  <c r="Z37287" i="5"/>
  <c r="Z37286" i="5"/>
  <c r="Z37285" i="5"/>
  <c r="Z37284" i="5"/>
  <c r="Z37283" i="5"/>
  <c r="Z37282" i="5"/>
  <c r="Z37281" i="5"/>
  <c r="Z37280" i="5"/>
  <c r="Z37279" i="5"/>
  <c r="Z37278" i="5"/>
  <c r="Z37277" i="5"/>
  <c r="Z37276" i="5"/>
  <c r="Z37275" i="5"/>
  <c r="Z37274" i="5"/>
  <c r="Z37273" i="5"/>
  <c r="Z37272" i="5"/>
  <c r="Z37271" i="5"/>
  <c r="Z37270" i="5"/>
  <c r="Z37269" i="5"/>
  <c r="Z37268" i="5"/>
  <c r="Z37267" i="5"/>
  <c r="Z37266" i="5"/>
  <c r="Z37265" i="5"/>
  <c r="Z37264" i="5"/>
  <c r="Z37263" i="5"/>
  <c r="Z37262" i="5"/>
  <c r="Z37261" i="5"/>
  <c r="Z37260" i="5"/>
  <c r="Z37259" i="5"/>
  <c r="Z37258" i="5"/>
  <c r="Z37257" i="5"/>
  <c r="Z37256" i="5"/>
  <c r="Z37255" i="5"/>
  <c r="Z37254" i="5"/>
  <c r="Z37253" i="5"/>
  <c r="Z37252" i="5"/>
  <c r="Z37251" i="5"/>
  <c r="Z37250" i="5"/>
  <c r="Z37249" i="5"/>
  <c r="Z37248" i="5"/>
  <c r="Z37247" i="5"/>
  <c r="Z37246" i="5"/>
  <c r="Z37245" i="5"/>
  <c r="Z37244" i="5"/>
  <c r="Z37243" i="5"/>
  <c r="Z37242" i="5"/>
  <c r="Z37241" i="5"/>
  <c r="Z37240" i="5"/>
  <c r="Z37239" i="5"/>
  <c r="Z37238" i="5"/>
  <c r="Z37237" i="5"/>
  <c r="Z37236" i="5"/>
  <c r="Z37235" i="5"/>
  <c r="Z37234" i="5"/>
  <c r="Z37233" i="5"/>
  <c r="Z37232" i="5"/>
  <c r="Z37231" i="5"/>
  <c r="Z37230" i="5"/>
  <c r="Z37229" i="5"/>
  <c r="Z37228" i="5"/>
  <c r="Z37227" i="5"/>
  <c r="Z37226" i="5"/>
  <c r="Z37225" i="5"/>
  <c r="Z37224" i="5"/>
  <c r="Z37223" i="5"/>
  <c r="Z37222" i="5"/>
  <c r="Z37221" i="5"/>
  <c r="Z37220" i="5"/>
  <c r="Z37219" i="5"/>
  <c r="Z37218" i="5"/>
  <c r="Z37217" i="5"/>
  <c r="Z37216" i="5"/>
  <c r="Z37215" i="5"/>
  <c r="Z37214" i="5"/>
  <c r="Z37213" i="5"/>
  <c r="Z37212" i="5"/>
  <c r="Z37211" i="5"/>
  <c r="Z37210" i="5"/>
  <c r="Z37209" i="5"/>
  <c r="Z37208" i="5"/>
  <c r="Z37207" i="5"/>
  <c r="Z37206" i="5"/>
  <c r="Z37205" i="5"/>
  <c r="Z37204" i="5"/>
  <c r="Z37203" i="5"/>
  <c r="Z37202" i="5"/>
  <c r="Z37201" i="5"/>
  <c r="Z37200" i="5"/>
  <c r="Z37199" i="5"/>
  <c r="Z37198" i="5"/>
  <c r="Z37197" i="5"/>
  <c r="Z37196" i="5"/>
  <c r="Z37195" i="5"/>
  <c r="Z37194" i="5"/>
  <c r="Z37193" i="5"/>
  <c r="Z37192" i="5"/>
  <c r="Z37191" i="5"/>
  <c r="Z37190" i="5"/>
  <c r="Z37189" i="5"/>
  <c r="Z37188" i="5"/>
  <c r="Z37187" i="5"/>
  <c r="Z37186" i="5"/>
  <c r="Z37185" i="5"/>
  <c r="Z37184" i="5"/>
  <c r="Z37183" i="5"/>
  <c r="Z37182" i="5"/>
  <c r="Z37181" i="5"/>
  <c r="Z37180" i="5"/>
  <c r="Z37179" i="5"/>
  <c r="Z37178" i="5"/>
  <c r="Z37177" i="5"/>
  <c r="Z37176" i="5"/>
  <c r="Z37175" i="5"/>
  <c r="Z37174" i="5"/>
  <c r="Z37173" i="5"/>
  <c r="Z37172" i="5"/>
  <c r="Z37171" i="5"/>
  <c r="Z37170" i="5"/>
  <c r="Z37169" i="5"/>
  <c r="Z37168" i="5"/>
  <c r="Z37167" i="5"/>
  <c r="Z37166" i="5"/>
  <c r="Z37165" i="5"/>
  <c r="Z37164" i="5"/>
  <c r="Z37163" i="5"/>
  <c r="Z37162" i="5"/>
  <c r="Z37161" i="5"/>
  <c r="Z37160" i="5"/>
  <c r="Z37159" i="5"/>
  <c r="Z37158" i="5"/>
  <c r="Z37157" i="5"/>
  <c r="Z37156" i="5"/>
  <c r="Z37155" i="5"/>
  <c r="Z37154" i="5"/>
  <c r="Z37153" i="5"/>
  <c r="Z37152" i="5"/>
  <c r="Z37151" i="5"/>
  <c r="Z37150" i="5"/>
  <c r="Z37149" i="5"/>
  <c r="Z37148" i="5"/>
  <c r="Z37147" i="5"/>
  <c r="Z37146" i="5"/>
  <c r="Z37145" i="5"/>
  <c r="Z37144" i="5"/>
  <c r="Z37143" i="5"/>
  <c r="Z37142" i="5"/>
  <c r="Z37141" i="5"/>
  <c r="Z37140" i="5"/>
  <c r="Z37139" i="5"/>
  <c r="Z37138" i="5"/>
  <c r="Z37137" i="5"/>
  <c r="Z37136" i="5"/>
  <c r="Z37135" i="5"/>
  <c r="Z37134" i="5"/>
  <c r="Z37133" i="5"/>
  <c r="Z37132" i="5"/>
  <c r="Z37131" i="5"/>
  <c r="Z37130" i="5"/>
  <c r="Z37129" i="5"/>
  <c r="Z37128" i="5"/>
  <c r="Z37127" i="5"/>
  <c r="Z37126" i="5"/>
  <c r="Z37125" i="5"/>
  <c r="Z37124" i="5"/>
  <c r="Z37123" i="5"/>
  <c r="Z37122" i="5"/>
  <c r="Z37121" i="5"/>
  <c r="Z37120" i="5"/>
  <c r="Z37119" i="5"/>
  <c r="Z37118" i="5"/>
  <c r="Z37117" i="5"/>
  <c r="Z37116" i="5"/>
  <c r="Z37115" i="5"/>
  <c r="Z37114" i="5"/>
  <c r="Z37113" i="5"/>
  <c r="Z37112" i="5"/>
  <c r="Z37111" i="5"/>
  <c r="Z37110" i="5"/>
  <c r="Z37109" i="5"/>
  <c r="Z37108" i="5"/>
  <c r="Z37107" i="5"/>
  <c r="Z37106" i="5"/>
  <c r="Z37105" i="5"/>
  <c r="Z37104" i="5"/>
  <c r="Z37103" i="5"/>
  <c r="Z37102" i="5"/>
  <c r="Z37101" i="5"/>
  <c r="Z37100" i="5"/>
  <c r="Z37099" i="5"/>
  <c r="Z37098" i="5"/>
  <c r="Z37097" i="5"/>
  <c r="Z37096" i="5"/>
  <c r="Z37095" i="5"/>
  <c r="Z37094" i="5"/>
  <c r="Z37093" i="5"/>
  <c r="Z37092" i="5"/>
  <c r="Z37091" i="5"/>
  <c r="Z37090" i="5"/>
  <c r="Z37089" i="5"/>
  <c r="Z37088" i="5"/>
  <c r="Z37087" i="5"/>
  <c r="Z37086" i="5"/>
  <c r="Z37085" i="5"/>
  <c r="Z37084" i="5"/>
  <c r="Z37083" i="5"/>
  <c r="Z37082" i="5"/>
  <c r="Z37081" i="5"/>
  <c r="Z37080" i="5"/>
  <c r="Z37079" i="5"/>
  <c r="Z37078" i="5"/>
  <c r="Z37077" i="5"/>
  <c r="Z37076" i="5"/>
  <c r="Z37075" i="5"/>
  <c r="Z37074" i="5"/>
  <c r="Z37073" i="5"/>
  <c r="Z37072" i="5"/>
  <c r="Z37071" i="5"/>
  <c r="Z37070" i="5"/>
  <c r="Z37069" i="5"/>
  <c r="Z37068" i="5"/>
  <c r="Z37067" i="5"/>
  <c r="Z37066" i="5"/>
  <c r="Z37065" i="5"/>
  <c r="Z37064" i="5"/>
  <c r="Z37063" i="5"/>
  <c r="Z37062" i="5"/>
  <c r="Z37061" i="5"/>
  <c r="Z37060" i="5"/>
  <c r="Z37059" i="5"/>
  <c r="Z37058" i="5"/>
  <c r="Z37057" i="5"/>
  <c r="Z37056" i="5"/>
  <c r="Z37055" i="5"/>
  <c r="Z37054" i="5"/>
  <c r="Z37053" i="5"/>
  <c r="Z37052" i="5"/>
  <c r="Z37051" i="5"/>
  <c r="Z37050" i="5"/>
  <c r="Z37049" i="5"/>
  <c r="Z37048" i="5"/>
  <c r="Z37047" i="5"/>
  <c r="Z37046" i="5"/>
  <c r="Z37045" i="5"/>
  <c r="Z37044" i="5"/>
  <c r="Z37043" i="5"/>
  <c r="Z37042" i="5"/>
  <c r="Z37041" i="5"/>
  <c r="Z37040" i="5"/>
  <c r="Z37039" i="5"/>
  <c r="Z37038" i="5"/>
  <c r="Z37037" i="5"/>
  <c r="Z37036" i="5"/>
  <c r="Z37035" i="5"/>
  <c r="Z37034" i="5"/>
  <c r="Z37033" i="5"/>
  <c r="Z37032" i="5"/>
  <c r="Z37031" i="5"/>
  <c r="Z37030" i="5"/>
  <c r="Z37029" i="5"/>
  <c r="Z37028" i="5"/>
  <c r="Z37027" i="5"/>
  <c r="Z37026" i="5"/>
  <c r="Z37025" i="5"/>
  <c r="Z37024" i="5"/>
  <c r="Z37023" i="5"/>
  <c r="Z37022" i="5"/>
  <c r="Z37021" i="5"/>
  <c r="Z37020" i="5"/>
  <c r="Z37019" i="5"/>
  <c r="Z37018" i="5"/>
  <c r="Z37017" i="5"/>
  <c r="Z37016" i="5"/>
  <c r="Z37015" i="5"/>
  <c r="Z37014" i="5"/>
  <c r="Z37013" i="5"/>
  <c r="Z37012" i="5"/>
  <c r="Z37011" i="5"/>
  <c r="Z37010" i="5"/>
  <c r="Z37009" i="5"/>
  <c r="Z37008" i="5"/>
  <c r="Z37007" i="5"/>
  <c r="Z37006" i="5"/>
  <c r="Z37005" i="5"/>
  <c r="Z37004" i="5"/>
  <c r="Z37003" i="5"/>
  <c r="Z37002" i="5"/>
  <c r="Z37001" i="5"/>
  <c r="Z37000" i="5"/>
  <c r="Z36999" i="5"/>
  <c r="Z36998" i="5"/>
  <c r="Z36997" i="5"/>
  <c r="Z36996" i="5"/>
  <c r="Z36995" i="5"/>
  <c r="Z36994" i="5"/>
  <c r="Z36993" i="5"/>
  <c r="Z36992" i="5"/>
  <c r="Z36991" i="5"/>
  <c r="Z36990" i="5"/>
  <c r="Z36989" i="5"/>
  <c r="Z36988" i="5"/>
  <c r="Z36987" i="5"/>
  <c r="Z36986" i="5"/>
  <c r="Z36985" i="5"/>
  <c r="Z36984" i="5"/>
  <c r="Z36983" i="5"/>
  <c r="Z36982" i="5"/>
  <c r="Z36981" i="5"/>
  <c r="Z36980" i="5"/>
  <c r="Z36979" i="5"/>
  <c r="Z36978" i="5"/>
  <c r="Z36977" i="5"/>
  <c r="Z36976" i="5"/>
  <c r="Z36975" i="5"/>
  <c r="Z36974" i="5"/>
  <c r="Z36973" i="5"/>
  <c r="Z36972" i="5"/>
  <c r="Z36971" i="5"/>
  <c r="Z36970" i="5"/>
  <c r="Z36969" i="5"/>
  <c r="Z36968" i="5"/>
  <c r="Z36967" i="5"/>
  <c r="Z36966" i="5"/>
  <c r="Z36965" i="5"/>
  <c r="Z36964" i="5"/>
  <c r="Z36963" i="5"/>
  <c r="Z36962" i="5"/>
  <c r="Z36961" i="5"/>
  <c r="Z36960" i="5"/>
  <c r="Z36959" i="5"/>
  <c r="Z36958" i="5"/>
  <c r="Z36957" i="5"/>
  <c r="Z36956" i="5"/>
  <c r="Z36955" i="5"/>
  <c r="Z36954" i="5"/>
  <c r="Z36953" i="5"/>
  <c r="Z36952" i="5"/>
  <c r="Z36951" i="5"/>
  <c r="Z36950" i="5"/>
  <c r="Z36949" i="5"/>
  <c r="Z36948" i="5"/>
  <c r="Z36947" i="5"/>
  <c r="Z36946" i="5"/>
  <c r="Z36945" i="5"/>
  <c r="Z36944" i="5"/>
  <c r="Z36943" i="5"/>
  <c r="Z36942" i="5"/>
  <c r="Z36941" i="5"/>
  <c r="Z36940" i="5"/>
  <c r="Z36939" i="5"/>
  <c r="Z36938" i="5"/>
  <c r="Z36937" i="5"/>
  <c r="Z36936" i="5"/>
  <c r="Z36935" i="5"/>
  <c r="Z36934" i="5"/>
  <c r="Z36933" i="5"/>
  <c r="Z36932" i="5"/>
  <c r="Z36931" i="5"/>
  <c r="Z36930" i="5"/>
  <c r="Z36929" i="5"/>
  <c r="Z36928" i="5"/>
  <c r="Z36927" i="5"/>
  <c r="Z36926" i="5"/>
  <c r="Z36925" i="5"/>
  <c r="Z36924" i="5"/>
  <c r="Z36923" i="5"/>
  <c r="Z36922" i="5"/>
  <c r="Z36921" i="5"/>
  <c r="Z36920" i="5"/>
  <c r="Z36919" i="5"/>
  <c r="Z36918" i="5"/>
  <c r="Z36917" i="5"/>
  <c r="Z36916" i="5"/>
  <c r="Z36915" i="5"/>
  <c r="Z36914" i="5"/>
  <c r="Z36913" i="5"/>
  <c r="Z36912" i="5"/>
  <c r="Z36911" i="5"/>
  <c r="Z36910" i="5"/>
  <c r="Z36909" i="5"/>
  <c r="Z36908" i="5"/>
  <c r="Z36907" i="5"/>
  <c r="Z36906" i="5"/>
  <c r="Z36905" i="5"/>
  <c r="Z36904" i="5"/>
  <c r="Z36903" i="5"/>
  <c r="Z36902" i="5"/>
  <c r="Z36901" i="5"/>
  <c r="Z36900" i="5"/>
  <c r="Z36899" i="5"/>
  <c r="Z36898" i="5"/>
  <c r="Z36897" i="5"/>
  <c r="Z36896" i="5"/>
  <c r="Z36895" i="5"/>
  <c r="Z36894" i="5"/>
  <c r="Z36893" i="5"/>
  <c r="Z36892" i="5"/>
  <c r="Z36891" i="5"/>
  <c r="Z36890" i="5"/>
  <c r="Z36889" i="5"/>
  <c r="Z36888" i="5"/>
  <c r="Z36887" i="5"/>
  <c r="Z36886" i="5"/>
  <c r="Z36885" i="5"/>
  <c r="Z36884" i="5"/>
  <c r="Z36883" i="5"/>
  <c r="Z36882" i="5"/>
  <c r="Z36881" i="5"/>
  <c r="Z36880" i="5"/>
  <c r="Z36879" i="5"/>
  <c r="Z36878" i="5"/>
  <c r="Z36877" i="5"/>
  <c r="Z36876" i="5"/>
  <c r="Z36875" i="5"/>
  <c r="Z36874" i="5"/>
  <c r="Z36873" i="5"/>
  <c r="Z36872" i="5"/>
  <c r="Z36871" i="5"/>
  <c r="Z36870" i="5"/>
  <c r="Z36869" i="5"/>
  <c r="Z36868" i="5"/>
  <c r="Z36867" i="5"/>
  <c r="Z36866" i="5"/>
  <c r="Z36865" i="5"/>
  <c r="Z36864" i="5"/>
  <c r="Z36863" i="5"/>
  <c r="Z36862" i="5"/>
  <c r="Z36861" i="5"/>
  <c r="Z36860" i="5"/>
  <c r="Z36859" i="5"/>
  <c r="Z36858" i="5"/>
  <c r="Z36857" i="5"/>
  <c r="Z36856" i="5"/>
  <c r="Z36855" i="5"/>
  <c r="Z36854" i="5"/>
  <c r="Z36853" i="5"/>
  <c r="Z36852" i="5"/>
  <c r="Z36851" i="5"/>
  <c r="Z36850" i="5"/>
  <c r="Z36849" i="5"/>
  <c r="Z36848" i="5"/>
  <c r="Z36847" i="5"/>
  <c r="Z36846" i="5"/>
  <c r="Z36845" i="5"/>
  <c r="Z36844" i="5"/>
  <c r="Z36843" i="5"/>
  <c r="Z36842" i="5"/>
  <c r="Z36841" i="5"/>
  <c r="Z36840" i="5"/>
  <c r="Z36839" i="5"/>
  <c r="Z36838" i="5"/>
  <c r="Z36837" i="5"/>
  <c r="Z36836" i="5"/>
  <c r="Z36835" i="5"/>
  <c r="Z36834" i="5"/>
  <c r="Z36833" i="5"/>
  <c r="Z36832" i="5"/>
  <c r="Z36831" i="5"/>
  <c r="Z36830" i="5"/>
  <c r="Z36829" i="5"/>
  <c r="Z36828" i="5"/>
  <c r="Z36827" i="5"/>
  <c r="Z36826" i="5"/>
  <c r="Z36825" i="5"/>
  <c r="Z36824" i="5"/>
  <c r="Z36823" i="5"/>
  <c r="Z36822" i="5"/>
  <c r="Z36821" i="5"/>
  <c r="Z36820" i="5"/>
  <c r="Z36819" i="5"/>
  <c r="Z36818" i="5"/>
  <c r="Z36817" i="5"/>
  <c r="Z36816" i="5"/>
  <c r="Z36815" i="5"/>
  <c r="Z36814" i="5"/>
  <c r="Z36813" i="5"/>
  <c r="Z36812" i="5"/>
  <c r="Z36811" i="5"/>
  <c r="Z36810" i="5"/>
  <c r="Z36809" i="5"/>
  <c r="Z36808" i="5"/>
  <c r="Z36807" i="5"/>
  <c r="Z36806" i="5"/>
  <c r="Z36805" i="5"/>
  <c r="Z36804" i="5"/>
  <c r="Z36803" i="5"/>
  <c r="Z36802" i="5"/>
  <c r="Z36801" i="5"/>
  <c r="Z36800" i="5"/>
  <c r="Z36799" i="5"/>
  <c r="Z36798" i="5"/>
  <c r="Z36797" i="5"/>
  <c r="Z36796" i="5"/>
  <c r="Z36795" i="5"/>
  <c r="Z36794" i="5"/>
  <c r="Z36793" i="5"/>
  <c r="Z36792" i="5"/>
  <c r="Z36791" i="5"/>
  <c r="Z36790" i="5"/>
  <c r="Z36789" i="5"/>
  <c r="Z36788" i="5"/>
  <c r="Z36787" i="5"/>
  <c r="Z36786" i="5"/>
  <c r="Z36785" i="5"/>
  <c r="Z36784" i="5"/>
  <c r="Z36783" i="5"/>
  <c r="Z36782" i="5"/>
  <c r="Z36781" i="5"/>
  <c r="Z36780" i="5"/>
  <c r="Z36779" i="5"/>
  <c r="Z36778" i="5"/>
  <c r="Z36777" i="5"/>
  <c r="Z36776" i="5"/>
  <c r="Z36775" i="5"/>
  <c r="Z36774" i="5"/>
  <c r="Z36773" i="5"/>
  <c r="Z36772" i="5"/>
  <c r="Z36771" i="5"/>
  <c r="Z36770" i="5"/>
  <c r="Z36769" i="5"/>
  <c r="Z36768" i="5"/>
  <c r="Z36767" i="5"/>
  <c r="Z36766" i="5"/>
  <c r="Z36765" i="5"/>
  <c r="Z36764" i="5"/>
  <c r="Z36763" i="5"/>
  <c r="Z36762" i="5"/>
  <c r="Z36761" i="5"/>
  <c r="Z36760" i="5"/>
  <c r="Z36759" i="5"/>
  <c r="Z36758" i="5"/>
  <c r="Z36757" i="5"/>
  <c r="Z36756" i="5"/>
  <c r="Z36755" i="5"/>
  <c r="Z36754" i="5"/>
  <c r="Z36753" i="5"/>
  <c r="Z36752" i="5"/>
  <c r="Z36751" i="5"/>
  <c r="Z36750" i="5"/>
  <c r="Z36749" i="5"/>
  <c r="Z36748" i="5"/>
  <c r="Z36747" i="5"/>
  <c r="Z36746" i="5"/>
  <c r="Z36745" i="5"/>
  <c r="Z36744" i="5"/>
  <c r="Z36743" i="5"/>
  <c r="Z36742" i="5"/>
  <c r="Z36741" i="5"/>
  <c r="Z36740" i="5"/>
  <c r="Z36739" i="5"/>
  <c r="Z36738" i="5"/>
  <c r="Z36737" i="5"/>
  <c r="Z36736" i="5"/>
  <c r="Z36735" i="5"/>
  <c r="Z36734" i="5"/>
  <c r="Z36733" i="5"/>
  <c r="Z36732" i="5"/>
  <c r="Z36731" i="5"/>
  <c r="Z36730" i="5"/>
  <c r="Z36729" i="5"/>
  <c r="Z36728" i="5"/>
  <c r="Z36727" i="5"/>
  <c r="Z36726" i="5"/>
  <c r="Z36725" i="5"/>
  <c r="Z36724" i="5"/>
  <c r="Z36723" i="5"/>
  <c r="Z36722" i="5"/>
  <c r="Z36721" i="5"/>
  <c r="Z36720" i="5"/>
  <c r="Z36719" i="5"/>
  <c r="Z36718" i="5"/>
  <c r="Z36717" i="5"/>
  <c r="Z36716" i="5"/>
  <c r="Z36715" i="5"/>
  <c r="Z36714" i="5"/>
  <c r="Z36713" i="5"/>
  <c r="Z36712" i="5"/>
  <c r="Z36711" i="5"/>
  <c r="Z36710" i="5"/>
  <c r="Z36709" i="5"/>
  <c r="Z36708" i="5"/>
  <c r="Z36707" i="5"/>
  <c r="Z36706" i="5"/>
  <c r="Z36705" i="5"/>
  <c r="Z36704" i="5"/>
  <c r="Z36703" i="5"/>
  <c r="Z36702" i="5"/>
  <c r="Z36701" i="5"/>
  <c r="Z36700" i="5"/>
  <c r="Z36699" i="5"/>
  <c r="Z36698" i="5"/>
  <c r="Z36697" i="5"/>
  <c r="Z36696" i="5"/>
  <c r="Z36695" i="5"/>
  <c r="Z36694" i="5"/>
  <c r="Z36693" i="5"/>
  <c r="Z36692" i="5"/>
  <c r="Z36691" i="5"/>
  <c r="Z36690" i="5"/>
  <c r="Z36689" i="5"/>
  <c r="Z36688" i="5"/>
  <c r="Z36687" i="5"/>
  <c r="Z36686" i="5"/>
  <c r="Z36685" i="5"/>
  <c r="Z36684" i="5"/>
  <c r="Z36683" i="5"/>
  <c r="Z36682" i="5"/>
  <c r="Z36681" i="5"/>
  <c r="Z36680" i="5"/>
  <c r="Z36679" i="5"/>
  <c r="Z36678" i="5"/>
  <c r="Z36677" i="5"/>
  <c r="Z36676" i="5"/>
  <c r="Z36675" i="5"/>
  <c r="Z36674" i="5"/>
  <c r="Z36673" i="5"/>
  <c r="Z36672" i="5"/>
  <c r="Z36671" i="5"/>
  <c r="Z36670" i="5"/>
  <c r="Z36669" i="5"/>
  <c r="Z36668" i="5"/>
  <c r="Z36667" i="5"/>
  <c r="Z36666" i="5"/>
  <c r="Z36665" i="5"/>
  <c r="Z36664" i="5"/>
  <c r="Z36663" i="5"/>
  <c r="Z36662" i="5"/>
  <c r="Z36661" i="5"/>
  <c r="Z36660" i="5"/>
  <c r="Z36659" i="5"/>
  <c r="Z36658" i="5"/>
  <c r="Z36657" i="5"/>
  <c r="Z36656" i="5"/>
  <c r="Z36655" i="5"/>
  <c r="Z36654" i="5"/>
  <c r="Z36653" i="5"/>
  <c r="Z36652" i="5"/>
  <c r="Z36651" i="5"/>
  <c r="Z36650" i="5"/>
  <c r="Z36649" i="5"/>
  <c r="Z36648" i="5"/>
  <c r="Z36647" i="5"/>
  <c r="Z36646" i="5"/>
  <c r="Z36645" i="5"/>
  <c r="Z36644" i="5"/>
  <c r="Z36643" i="5"/>
  <c r="Z36642" i="5"/>
  <c r="Z36641" i="5"/>
  <c r="Z36640" i="5"/>
  <c r="Z36639" i="5"/>
  <c r="Z36638" i="5"/>
  <c r="Z36637" i="5"/>
  <c r="Z36636" i="5"/>
  <c r="Z36635" i="5"/>
  <c r="Z36634" i="5"/>
  <c r="Z36633" i="5"/>
  <c r="Z36632" i="5"/>
  <c r="Z36631" i="5"/>
  <c r="Z36630" i="5"/>
  <c r="Z36629" i="5"/>
  <c r="Z36628" i="5"/>
  <c r="Z36627" i="5"/>
  <c r="Z36626" i="5"/>
  <c r="Z36625" i="5"/>
  <c r="Z36624" i="5"/>
  <c r="Z36623" i="5"/>
  <c r="Z36622" i="5"/>
  <c r="Z36621" i="5"/>
  <c r="Z36620" i="5"/>
  <c r="Z36619" i="5"/>
  <c r="Z36618" i="5"/>
  <c r="Z36617" i="5"/>
  <c r="Z36616" i="5"/>
  <c r="Z36615" i="5"/>
  <c r="Z36614" i="5"/>
  <c r="Z36613" i="5"/>
  <c r="Z36612" i="5"/>
  <c r="Z36611" i="5"/>
  <c r="Z36610" i="5"/>
  <c r="Z36609" i="5"/>
  <c r="Z36608" i="5"/>
  <c r="Z36607" i="5"/>
  <c r="Z36606" i="5"/>
  <c r="Z36605" i="5"/>
  <c r="Z36604" i="5"/>
  <c r="Z36603" i="5"/>
  <c r="Z36602" i="5"/>
  <c r="Z36601" i="5"/>
  <c r="Z36600" i="5"/>
  <c r="Z36599" i="5"/>
  <c r="Z36598" i="5"/>
  <c r="Z36597" i="5"/>
  <c r="Z36596" i="5"/>
  <c r="Z36595" i="5"/>
  <c r="Z36594" i="5"/>
  <c r="Z36593" i="5"/>
  <c r="Z36592" i="5"/>
  <c r="Z36591" i="5"/>
  <c r="Z36590" i="5"/>
  <c r="Z36589" i="5"/>
  <c r="Z36588" i="5"/>
  <c r="Z36587" i="5"/>
  <c r="Z36586" i="5"/>
  <c r="Z36585" i="5"/>
  <c r="Z36584" i="5"/>
  <c r="Z36583" i="5"/>
  <c r="Z36582" i="5"/>
  <c r="Z36581" i="5"/>
  <c r="Z36580" i="5"/>
  <c r="Z36579" i="5"/>
  <c r="Z36578" i="5"/>
  <c r="Z36577" i="5"/>
  <c r="Z36576" i="5"/>
  <c r="Z36575" i="5"/>
  <c r="Z36574" i="5"/>
  <c r="Z36573" i="5"/>
  <c r="Z36572" i="5"/>
  <c r="Z36571" i="5"/>
  <c r="Z36570" i="5"/>
  <c r="Z36569" i="5"/>
  <c r="Z36568" i="5"/>
  <c r="Z36567" i="5"/>
  <c r="Z36566" i="5"/>
  <c r="Z36565" i="5"/>
  <c r="Z36564" i="5"/>
  <c r="Z36563" i="5"/>
  <c r="Z36562" i="5"/>
  <c r="Z36561" i="5"/>
  <c r="Z36560" i="5"/>
  <c r="Z36559" i="5"/>
  <c r="Z36558" i="5"/>
  <c r="Z36557" i="5"/>
  <c r="Z36556" i="5"/>
  <c r="Z36555" i="5"/>
  <c r="Z36554" i="5"/>
  <c r="Z36553" i="5"/>
  <c r="Z36552" i="5"/>
  <c r="Z36551" i="5"/>
  <c r="Z36550" i="5"/>
  <c r="Z36549" i="5"/>
  <c r="Z36548" i="5"/>
  <c r="Z36547" i="5"/>
  <c r="Z36546" i="5"/>
  <c r="Z36545" i="5"/>
  <c r="Z36544" i="5"/>
  <c r="Z36543" i="5"/>
  <c r="Z36542" i="5"/>
  <c r="Z36541" i="5"/>
  <c r="Z36540" i="5"/>
  <c r="Z36539" i="5"/>
  <c r="Z36538" i="5"/>
  <c r="Z36537" i="5"/>
  <c r="Z36536" i="5"/>
  <c r="Z36535" i="5"/>
  <c r="Z36534" i="5"/>
  <c r="Z36533" i="5"/>
  <c r="Z36532" i="5"/>
  <c r="Z36531" i="5"/>
  <c r="Z36530" i="5"/>
  <c r="Z36529" i="5"/>
  <c r="Z36528" i="5"/>
  <c r="Z36527" i="5"/>
  <c r="Z36526" i="5"/>
  <c r="Z36525" i="5"/>
  <c r="Z36524" i="5"/>
  <c r="Z36523" i="5"/>
  <c r="Z36522" i="5"/>
  <c r="Z36521" i="5"/>
  <c r="Z36520" i="5"/>
  <c r="Z36519" i="5"/>
  <c r="Z36518" i="5"/>
  <c r="Z36517" i="5"/>
  <c r="Z36516" i="5"/>
  <c r="Z36515" i="5"/>
  <c r="Z36514" i="5"/>
  <c r="Z36513" i="5"/>
  <c r="Z36512" i="5"/>
  <c r="Z36511" i="5"/>
  <c r="Z36510" i="5"/>
  <c r="Z36509" i="5"/>
  <c r="Z36508" i="5"/>
  <c r="Z36507" i="5"/>
  <c r="Z36506" i="5"/>
  <c r="Z36505" i="5"/>
  <c r="Z36504" i="5"/>
  <c r="Z36503" i="5"/>
  <c r="Z36502" i="5"/>
  <c r="Z36501" i="5"/>
  <c r="Z36500" i="5"/>
  <c r="Z36499" i="5"/>
  <c r="Z36498" i="5"/>
  <c r="Z36497" i="5"/>
  <c r="Z36496" i="5"/>
  <c r="Z36495" i="5"/>
  <c r="Z36494" i="5"/>
  <c r="Z36493" i="5"/>
  <c r="Z36492" i="5"/>
  <c r="Z36491" i="5"/>
  <c r="Z36490" i="5"/>
  <c r="Z36489" i="5"/>
  <c r="Z36488" i="5"/>
  <c r="Z36487" i="5"/>
  <c r="Z36486" i="5"/>
  <c r="Z36485" i="5"/>
  <c r="Z36484" i="5"/>
  <c r="Z36483" i="5"/>
  <c r="Z36482" i="5"/>
  <c r="Z36481" i="5"/>
  <c r="Z36480" i="5"/>
  <c r="Z36479" i="5"/>
  <c r="Z36478" i="5"/>
  <c r="Z36477" i="5"/>
  <c r="Z36476" i="5"/>
  <c r="Z36475" i="5"/>
  <c r="Z36474" i="5"/>
  <c r="Z36473" i="5"/>
  <c r="Z36472" i="5"/>
  <c r="Z36471" i="5"/>
  <c r="Z36470" i="5"/>
  <c r="Z36469" i="5"/>
  <c r="Z36468" i="5"/>
  <c r="Z36467" i="5"/>
  <c r="Z36466" i="5"/>
  <c r="Z36465" i="5"/>
  <c r="Z36464" i="5"/>
  <c r="Z36463" i="5"/>
  <c r="Z36462" i="5"/>
  <c r="Z36461" i="5"/>
  <c r="Z36460" i="5"/>
  <c r="Z36459" i="5"/>
  <c r="Z36458" i="5"/>
  <c r="Z36457" i="5"/>
  <c r="Z36456" i="5"/>
  <c r="Z36455" i="5"/>
  <c r="Z36454" i="5"/>
  <c r="Z36453" i="5"/>
  <c r="Z36452" i="5"/>
  <c r="Z36451" i="5"/>
  <c r="Z36450" i="5"/>
  <c r="Z36449" i="5"/>
  <c r="Z36448" i="5"/>
  <c r="Z36447" i="5"/>
  <c r="Z36446" i="5"/>
  <c r="Z36445" i="5"/>
  <c r="Z36444" i="5"/>
  <c r="Z36443" i="5"/>
  <c r="Z36442" i="5"/>
  <c r="Z36441" i="5"/>
  <c r="Z36440" i="5"/>
  <c r="Z36439" i="5"/>
  <c r="Z36438" i="5"/>
  <c r="Z36437" i="5"/>
  <c r="Z36436" i="5"/>
  <c r="Z36435" i="5"/>
  <c r="Z36434" i="5"/>
  <c r="Z36433" i="5"/>
  <c r="Z36432" i="5"/>
  <c r="Z36431" i="5"/>
  <c r="Z36430" i="5"/>
  <c r="Z36429" i="5"/>
  <c r="Z36428" i="5"/>
  <c r="Z36427" i="5"/>
  <c r="Z36426" i="5"/>
  <c r="Z36425" i="5"/>
  <c r="Z36424" i="5"/>
  <c r="Z36423" i="5"/>
  <c r="Z36422" i="5"/>
  <c r="Z36421" i="5"/>
  <c r="Z36420" i="5"/>
  <c r="Z36419" i="5"/>
  <c r="Z36418" i="5"/>
  <c r="Z36417" i="5"/>
  <c r="Z36416" i="5"/>
  <c r="Z36415" i="5"/>
  <c r="Z36414" i="5"/>
  <c r="Z36413" i="5"/>
  <c r="Z36412" i="5"/>
  <c r="Z36411" i="5"/>
  <c r="Z36410" i="5"/>
  <c r="Z36409" i="5"/>
  <c r="Z36408" i="5"/>
  <c r="Z36407" i="5"/>
  <c r="Z36406" i="5"/>
  <c r="Z36405" i="5"/>
  <c r="Z36404" i="5"/>
  <c r="Z36403" i="5"/>
  <c r="Z36402" i="5"/>
  <c r="Z36401" i="5"/>
  <c r="Z36400" i="5"/>
  <c r="Z36399" i="5"/>
  <c r="Z36398" i="5"/>
  <c r="Z36397" i="5"/>
  <c r="Z36396" i="5"/>
  <c r="Z36395" i="5"/>
  <c r="Z36394" i="5"/>
  <c r="Z36393" i="5"/>
  <c r="Z36392" i="5"/>
  <c r="Z36391" i="5"/>
  <c r="Z36390" i="5"/>
  <c r="Z36389" i="5"/>
  <c r="Z36388" i="5"/>
  <c r="Z36387" i="5"/>
  <c r="Z36386" i="5"/>
  <c r="Z36385" i="5"/>
  <c r="Z36384" i="5"/>
  <c r="Z36383" i="5"/>
  <c r="Z36382" i="5"/>
  <c r="Z36381" i="5"/>
  <c r="Z36380" i="5"/>
  <c r="Z36379" i="5"/>
  <c r="Z36378" i="5"/>
  <c r="Z36377" i="5"/>
  <c r="Z36376" i="5"/>
  <c r="Z36375" i="5"/>
  <c r="Z36374" i="5"/>
  <c r="Z36373" i="5"/>
  <c r="Z36372" i="5"/>
  <c r="Z36371" i="5"/>
  <c r="Z36370" i="5"/>
  <c r="Z36369" i="5"/>
  <c r="Z36368" i="5"/>
  <c r="Z36367" i="5"/>
  <c r="Z36366" i="5"/>
  <c r="Z36365" i="5"/>
  <c r="Z36364" i="5"/>
  <c r="Z36363" i="5"/>
  <c r="Z36362" i="5"/>
  <c r="Z36361" i="5"/>
  <c r="Z36360" i="5"/>
  <c r="Z36359" i="5"/>
  <c r="Z36358" i="5"/>
  <c r="Z36357" i="5"/>
  <c r="Z36356" i="5"/>
  <c r="Z36355" i="5"/>
  <c r="Z36354" i="5"/>
  <c r="Z36353" i="5"/>
  <c r="Z36352" i="5"/>
  <c r="Z36351" i="5"/>
  <c r="Z36350" i="5"/>
  <c r="Z36349" i="5"/>
  <c r="Z36348" i="5"/>
  <c r="Z36347" i="5"/>
  <c r="Z36346" i="5"/>
  <c r="Z36345" i="5"/>
  <c r="Z36344" i="5"/>
  <c r="Z36343" i="5"/>
  <c r="Z36342" i="5"/>
  <c r="Z36341" i="5"/>
  <c r="Z36340" i="5"/>
  <c r="Z36339" i="5"/>
  <c r="Z36338" i="5"/>
  <c r="Z36337" i="5"/>
  <c r="Z36336" i="5"/>
  <c r="Z36335" i="5"/>
  <c r="Z36334" i="5"/>
  <c r="Z36333" i="5"/>
  <c r="Z36332" i="5"/>
  <c r="Z36331" i="5"/>
  <c r="Z36330" i="5"/>
  <c r="Z36329" i="5"/>
  <c r="Z36328" i="5"/>
  <c r="Z36327" i="5"/>
  <c r="Z36326" i="5"/>
  <c r="Z36325" i="5"/>
  <c r="Z36324" i="5"/>
  <c r="Z36323" i="5"/>
  <c r="Z36322" i="5"/>
  <c r="Z36321" i="5"/>
  <c r="Z36320" i="5"/>
  <c r="Z36319" i="5"/>
  <c r="Z36318" i="5"/>
  <c r="Z36317" i="5"/>
  <c r="Z36316" i="5"/>
  <c r="Z36315" i="5"/>
  <c r="Z36314" i="5"/>
  <c r="Z36313" i="5"/>
  <c r="Z36312" i="5"/>
  <c r="Z36311" i="5"/>
  <c r="Z36310" i="5"/>
  <c r="Z36309" i="5"/>
  <c r="Z36308" i="5"/>
  <c r="Z36307" i="5"/>
  <c r="Z36306" i="5"/>
  <c r="Z36305" i="5"/>
  <c r="Z36304" i="5"/>
  <c r="Z36303" i="5"/>
  <c r="Z36302" i="5"/>
  <c r="Z36301" i="5"/>
  <c r="Z36300" i="5"/>
  <c r="Z36299" i="5"/>
  <c r="Z36298" i="5"/>
  <c r="Z36297" i="5"/>
  <c r="Z36296" i="5"/>
  <c r="Z36295" i="5"/>
  <c r="Z36294" i="5"/>
  <c r="Z36293" i="5"/>
  <c r="Z36292" i="5"/>
  <c r="Z36291" i="5"/>
  <c r="Z36290" i="5"/>
  <c r="Z36289" i="5"/>
  <c r="Z36288" i="5"/>
  <c r="Z36287" i="5"/>
  <c r="Z36286" i="5"/>
  <c r="Z36285" i="5"/>
  <c r="Z36284" i="5"/>
  <c r="Z36283" i="5"/>
  <c r="Z36282" i="5"/>
  <c r="Z36281" i="5"/>
  <c r="Z36280" i="5"/>
  <c r="Z36279" i="5"/>
  <c r="Z36278" i="5"/>
  <c r="Z36277" i="5"/>
  <c r="Z36276" i="5"/>
  <c r="Z36275" i="5"/>
  <c r="Z36274" i="5"/>
  <c r="Z36273" i="5"/>
  <c r="Z36272" i="5"/>
  <c r="Z36271" i="5"/>
  <c r="Z36270" i="5"/>
  <c r="Z36269" i="5"/>
  <c r="Z36268" i="5"/>
  <c r="Z36267" i="5"/>
  <c r="Z36266" i="5"/>
  <c r="Z36265" i="5"/>
  <c r="Z36264" i="5"/>
  <c r="Z36263" i="5"/>
  <c r="Z36262" i="5"/>
  <c r="Z36261" i="5"/>
  <c r="Z36260" i="5"/>
  <c r="Z36259" i="5"/>
  <c r="Z36258" i="5"/>
  <c r="Z36257" i="5"/>
  <c r="Z36256" i="5"/>
  <c r="Z36255" i="5"/>
  <c r="Z36254" i="5"/>
  <c r="Z36253" i="5"/>
  <c r="Z36252" i="5"/>
  <c r="Z36251" i="5"/>
  <c r="Z36250" i="5"/>
  <c r="Z36249" i="5"/>
  <c r="Z36248" i="5"/>
  <c r="Z36247" i="5"/>
  <c r="Z36246" i="5"/>
  <c r="Z36245" i="5"/>
  <c r="Z36244" i="5"/>
  <c r="Z36243" i="5"/>
  <c r="Z36242" i="5"/>
  <c r="Z36241" i="5"/>
  <c r="Z36240" i="5"/>
  <c r="Z36239" i="5"/>
  <c r="Z36238" i="5"/>
  <c r="Z36237" i="5"/>
  <c r="Z36236" i="5"/>
  <c r="Z36235" i="5"/>
  <c r="Z36234" i="5"/>
  <c r="Z36233" i="5"/>
  <c r="Z36232" i="5"/>
  <c r="Z36231" i="5"/>
  <c r="Z36230" i="5"/>
  <c r="Z36229" i="5"/>
  <c r="Z36228" i="5"/>
  <c r="Z36227" i="5"/>
  <c r="Z36226" i="5"/>
  <c r="Z36225" i="5"/>
  <c r="Z36224" i="5"/>
  <c r="Z36223" i="5"/>
  <c r="Z36222" i="5"/>
  <c r="Z36221" i="5"/>
  <c r="Z36220" i="5"/>
  <c r="Z36219" i="5"/>
  <c r="Z36218" i="5"/>
  <c r="Z36217" i="5"/>
  <c r="Z36216" i="5"/>
  <c r="Z36215" i="5"/>
  <c r="Z36214" i="5"/>
  <c r="Z36213" i="5"/>
  <c r="Z36212" i="5"/>
  <c r="Z36211" i="5"/>
  <c r="Z36210" i="5"/>
  <c r="Z36209" i="5"/>
  <c r="Z36208" i="5"/>
  <c r="Z36207" i="5"/>
  <c r="Z36206" i="5"/>
  <c r="Z36205" i="5"/>
  <c r="Z36204" i="5"/>
  <c r="Z36203" i="5"/>
  <c r="Z36202" i="5"/>
  <c r="Z36201" i="5"/>
  <c r="Z36200" i="5"/>
  <c r="Z36199" i="5"/>
  <c r="Z36198" i="5"/>
  <c r="Z36197" i="5"/>
  <c r="Z36196" i="5"/>
  <c r="Z36195" i="5"/>
  <c r="Z36194" i="5"/>
  <c r="Z36193" i="5"/>
  <c r="Z36192" i="5"/>
  <c r="Z36191" i="5"/>
  <c r="Z36190" i="5"/>
  <c r="Z36189" i="5"/>
  <c r="Z36188" i="5"/>
  <c r="Z36187" i="5"/>
  <c r="Z36186" i="5"/>
  <c r="Z36185" i="5"/>
  <c r="Z36184" i="5"/>
  <c r="Z36183" i="5"/>
  <c r="Z36182" i="5"/>
  <c r="Z36181" i="5"/>
  <c r="Z36180" i="5"/>
  <c r="Z36179" i="5"/>
  <c r="Z36178" i="5"/>
  <c r="Z36177" i="5"/>
  <c r="Z36176" i="5"/>
  <c r="Z36175" i="5"/>
  <c r="Z36174" i="5"/>
  <c r="Z36173" i="5"/>
  <c r="Z36172" i="5"/>
  <c r="Z36171" i="5"/>
  <c r="Z36170" i="5"/>
  <c r="Z36169" i="5"/>
  <c r="Z36168" i="5"/>
  <c r="Z36167" i="5"/>
  <c r="Z36166" i="5"/>
  <c r="Z36165" i="5"/>
  <c r="Z36164" i="5"/>
  <c r="Z36163" i="5"/>
  <c r="Z36162" i="5"/>
  <c r="Z36161" i="5"/>
  <c r="Z36160" i="5"/>
  <c r="Z36159" i="5"/>
  <c r="Z36158" i="5"/>
  <c r="Z36157" i="5"/>
  <c r="Z36156" i="5"/>
  <c r="Z36155" i="5"/>
  <c r="Z36154" i="5"/>
  <c r="Z36153" i="5"/>
  <c r="Z36152" i="5"/>
  <c r="Z36151" i="5"/>
  <c r="Z36150" i="5"/>
  <c r="Z36149" i="5"/>
  <c r="Z36148" i="5"/>
  <c r="Z36147" i="5"/>
  <c r="Z36146" i="5"/>
  <c r="Z36145" i="5"/>
  <c r="Z36144" i="5"/>
  <c r="Z36143" i="5"/>
  <c r="Z36142" i="5"/>
  <c r="Z36141" i="5"/>
  <c r="Z36140" i="5"/>
  <c r="Z36139" i="5"/>
  <c r="Z36138" i="5"/>
  <c r="Z36137" i="5"/>
  <c r="Z36136" i="5"/>
  <c r="Z36135" i="5"/>
  <c r="Z36134" i="5"/>
  <c r="Z36133" i="5"/>
  <c r="Z36132" i="5"/>
  <c r="Z36131" i="5"/>
  <c r="Z36130" i="5"/>
  <c r="Z36129" i="5"/>
  <c r="Z36128" i="5"/>
  <c r="Z36127" i="5"/>
  <c r="Z36126" i="5"/>
  <c r="Z36125" i="5"/>
  <c r="Z36124" i="5"/>
  <c r="Z36123" i="5"/>
  <c r="Z36122" i="5"/>
  <c r="Z36121" i="5"/>
  <c r="Z36120" i="5"/>
  <c r="Z36119" i="5"/>
  <c r="Z36118" i="5"/>
  <c r="Z36117" i="5"/>
  <c r="Z36116" i="5"/>
  <c r="Z36115" i="5"/>
  <c r="Z36114" i="5"/>
  <c r="Z36113" i="5"/>
  <c r="Z36112" i="5"/>
  <c r="Z36111" i="5"/>
  <c r="Z36110" i="5"/>
  <c r="Z36109" i="5"/>
  <c r="Z36108" i="5"/>
  <c r="Z36107" i="5"/>
  <c r="Z36106" i="5"/>
  <c r="Z36105" i="5"/>
  <c r="Z36104" i="5"/>
  <c r="Z36103" i="5"/>
  <c r="Z36102" i="5"/>
  <c r="Z36101" i="5"/>
  <c r="Z36100" i="5"/>
  <c r="Z36099" i="5"/>
  <c r="Z36098" i="5"/>
  <c r="Z36097" i="5"/>
  <c r="Z36096" i="5"/>
  <c r="Z36095" i="5"/>
  <c r="Z36094" i="5"/>
  <c r="Z36093" i="5"/>
  <c r="Z36092" i="5"/>
  <c r="Z36091" i="5"/>
  <c r="Z36090" i="5"/>
  <c r="Z36089" i="5"/>
  <c r="Z36088" i="5"/>
  <c r="Z36087" i="5"/>
  <c r="Z36086" i="5"/>
  <c r="Z36085" i="5"/>
  <c r="Z36084" i="5"/>
  <c r="Z36083" i="5"/>
  <c r="Z36082" i="5"/>
  <c r="Z36081" i="5"/>
  <c r="Z36080" i="5"/>
  <c r="Z36079" i="5"/>
  <c r="Z36078" i="5"/>
  <c r="Z36077" i="5"/>
  <c r="Z36076" i="5"/>
  <c r="Z36075" i="5"/>
  <c r="Z36074" i="5"/>
  <c r="Z36073" i="5"/>
  <c r="Z36072" i="5"/>
  <c r="Z36071" i="5"/>
  <c r="Z36070" i="5"/>
  <c r="Z36069" i="5"/>
  <c r="Z36068" i="5"/>
  <c r="Z36067" i="5"/>
  <c r="Z36066" i="5"/>
  <c r="Z36065" i="5"/>
  <c r="Z36064" i="5"/>
  <c r="Z36063" i="5"/>
  <c r="Z36062" i="5"/>
  <c r="Z36061" i="5"/>
  <c r="Z36060" i="5"/>
  <c r="Z36059" i="5"/>
  <c r="Z36058" i="5"/>
  <c r="Z36057" i="5"/>
  <c r="Z36056" i="5"/>
  <c r="Z36055" i="5"/>
  <c r="Z36054" i="5"/>
  <c r="Z36053" i="5"/>
  <c r="Z36052" i="5"/>
  <c r="Z36051" i="5"/>
  <c r="Z36050" i="5"/>
  <c r="Z36049" i="5"/>
  <c r="Z36048" i="5"/>
  <c r="Z36047" i="5"/>
  <c r="Z36046" i="5"/>
  <c r="Z36045" i="5"/>
  <c r="Z36044" i="5"/>
  <c r="Z36043" i="5"/>
  <c r="Z36042" i="5"/>
  <c r="Z36041" i="5"/>
  <c r="Z36040" i="5"/>
  <c r="Z36039" i="5"/>
  <c r="Z36038" i="5"/>
  <c r="Z36037" i="5"/>
  <c r="Z36036" i="5"/>
  <c r="Z36035" i="5"/>
  <c r="Z36034" i="5"/>
  <c r="Z36033" i="5"/>
  <c r="Z36032" i="5"/>
  <c r="Z36031" i="5"/>
  <c r="Z36030" i="5"/>
  <c r="Z36029" i="5"/>
  <c r="Z36028" i="5"/>
  <c r="Z36027" i="5"/>
  <c r="Z36026" i="5"/>
  <c r="Z36025" i="5"/>
  <c r="Z36024" i="5"/>
  <c r="Z36023" i="5"/>
  <c r="Z36022" i="5"/>
  <c r="Z36021" i="5"/>
  <c r="Z36020" i="5"/>
  <c r="Z36019" i="5"/>
  <c r="Z36018" i="5"/>
  <c r="Z36017" i="5"/>
  <c r="Z36016" i="5"/>
  <c r="Z36015" i="5"/>
  <c r="Z36014" i="5"/>
  <c r="Z36013" i="5"/>
  <c r="Z36012" i="5"/>
  <c r="Z36011" i="5"/>
  <c r="Z36010" i="5"/>
  <c r="Z36009" i="5"/>
  <c r="Z36008" i="5"/>
  <c r="Z36007" i="5"/>
  <c r="Z36006" i="5"/>
  <c r="Z36005" i="5"/>
  <c r="Z36004" i="5"/>
  <c r="Z36003" i="5"/>
  <c r="Z36002" i="5"/>
  <c r="Z36001" i="5"/>
  <c r="Z36000" i="5"/>
  <c r="Z35999" i="5"/>
  <c r="Z35998" i="5"/>
  <c r="Z35997" i="5"/>
  <c r="Z35996" i="5"/>
  <c r="Z35995" i="5"/>
  <c r="Z35994" i="5"/>
  <c r="Z35993" i="5"/>
  <c r="Z35992" i="5"/>
  <c r="Z35991" i="5"/>
  <c r="Z35990" i="5"/>
  <c r="Z35989" i="5"/>
  <c r="Z35988" i="5"/>
  <c r="Z35987" i="5"/>
  <c r="Z35986" i="5"/>
  <c r="Z35985" i="5"/>
  <c r="Z35984" i="5"/>
  <c r="Z35983" i="5"/>
  <c r="Z35982" i="5"/>
  <c r="Z35981" i="5"/>
  <c r="Z35980" i="5"/>
  <c r="Z35979" i="5"/>
  <c r="Z35978" i="5"/>
  <c r="Z35977" i="5"/>
  <c r="Z35976" i="5"/>
  <c r="Z35975" i="5"/>
  <c r="Z35974" i="5"/>
  <c r="Z35973" i="5"/>
  <c r="Z35972" i="5"/>
  <c r="Z35971" i="5"/>
  <c r="Z35970" i="5"/>
  <c r="Z35969" i="5"/>
  <c r="Z35968" i="5"/>
  <c r="Z35967" i="5"/>
  <c r="Z35966" i="5"/>
  <c r="Z35965" i="5"/>
  <c r="Z35964" i="5"/>
  <c r="Z35963" i="5"/>
  <c r="Z35962" i="5"/>
  <c r="Z35961" i="5"/>
  <c r="Z35960" i="5"/>
  <c r="Z35959" i="5"/>
  <c r="Z35958" i="5"/>
  <c r="Z35957" i="5"/>
  <c r="Z35956" i="5"/>
  <c r="Z35955" i="5"/>
  <c r="Z35954" i="5"/>
  <c r="Z35953" i="5"/>
  <c r="Z35952" i="5"/>
  <c r="Z35951" i="5"/>
  <c r="Z35950" i="5"/>
  <c r="Z35949" i="5"/>
  <c r="Z35948" i="5"/>
  <c r="Z35947" i="5"/>
  <c r="Z35946" i="5"/>
  <c r="Z35945" i="5"/>
  <c r="Z35944" i="5"/>
  <c r="Z35943" i="5"/>
  <c r="Z35942" i="5"/>
  <c r="Z35941" i="5"/>
  <c r="Z35940" i="5"/>
  <c r="Z35939" i="5"/>
  <c r="Z35938" i="5"/>
  <c r="Z35937" i="5"/>
  <c r="Z35936" i="5"/>
  <c r="Z35935" i="5"/>
  <c r="Z35934" i="5"/>
  <c r="Z35933" i="5"/>
  <c r="Z35932" i="5"/>
  <c r="Z35931" i="5"/>
  <c r="Z35930" i="5"/>
  <c r="Z35929" i="5"/>
  <c r="Z35928" i="5"/>
  <c r="Z35927" i="5"/>
  <c r="Z35926" i="5"/>
  <c r="Z35925" i="5"/>
  <c r="Z35924" i="5"/>
  <c r="Z35923" i="5"/>
  <c r="Z35922" i="5"/>
  <c r="Z35921" i="5"/>
  <c r="Z35920" i="5"/>
  <c r="Z35919" i="5"/>
  <c r="Z35918" i="5"/>
  <c r="Z35917" i="5"/>
  <c r="Z35916" i="5"/>
  <c r="Z35915" i="5"/>
  <c r="Z35914" i="5"/>
  <c r="Z35913" i="5"/>
  <c r="Z35912" i="5"/>
  <c r="Z35911" i="5"/>
  <c r="Z35910" i="5"/>
  <c r="Z35909" i="5"/>
  <c r="Z35908" i="5"/>
  <c r="Z35907" i="5"/>
  <c r="Z35906" i="5"/>
  <c r="Z35905" i="5"/>
  <c r="Z35904" i="5"/>
  <c r="Z35903" i="5"/>
  <c r="Z35902" i="5"/>
  <c r="Z35901" i="5"/>
  <c r="Z35900" i="5"/>
  <c r="Z35899" i="5"/>
  <c r="Z35898" i="5"/>
  <c r="Z35897" i="5"/>
  <c r="Z35896" i="5"/>
  <c r="Z35895" i="5"/>
  <c r="Z35894" i="5"/>
  <c r="Z35893" i="5"/>
  <c r="Z35892" i="5"/>
  <c r="Z35891" i="5"/>
  <c r="Z35890" i="5"/>
  <c r="Z35889" i="5"/>
  <c r="Z35888" i="5"/>
  <c r="Z35887" i="5"/>
  <c r="Z35886" i="5"/>
  <c r="Z35885" i="5"/>
  <c r="Z35884" i="5"/>
  <c r="Z35883" i="5"/>
  <c r="Z35882" i="5"/>
  <c r="Z35881" i="5"/>
  <c r="Z35880" i="5"/>
  <c r="Z35879" i="5"/>
  <c r="Z35878" i="5"/>
  <c r="Z35877" i="5"/>
  <c r="Z35876" i="5"/>
  <c r="Z35875" i="5"/>
  <c r="Z35874" i="5"/>
  <c r="Z35873" i="5"/>
  <c r="Z35872" i="5"/>
  <c r="Z35871" i="5"/>
  <c r="Z35870" i="5"/>
  <c r="Z35869" i="5"/>
  <c r="Z35868" i="5"/>
  <c r="Z35867" i="5"/>
  <c r="Z35866" i="5"/>
  <c r="Z35865" i="5"/>
  <c r="Z35864" i="5"/>
  <c r="Z35863" i="5"/>
  <c r="Z35862" i="5"/>
  <c r="Z35861" i="5"/>
  <c r="Z35860" i="5"/>
  <c r="Z35859" i="5"/>
  <c r="Z35858" i="5"/>
  <c r="Z35857" i="5"/>
  <c r="Z35856" i="5"/>
  <c r="Z35855" i="5"/>
  <c r="Z35854" i="5"/>
  <c r="Z35853" i="5"/>
  <c r="Z35852" i="5"/>
  <c r="Z35851" i="5"/>
  <c r="Z35850" i="5"/>
  <c r="Z35849" i="5"/>
  <c r="Z35848" i="5"/>
  <c r="Z35847" i="5"/>
  <c r="Z35846" i="5"/>
  <c r="Z35845" i="5"/>
  <c r="Z35844" i="5"/>
  <c r="Z35843" i="5"/>
  <c r="Z35842" i="5"/>
  <c r="Z35841" i="5"/>
  <c r="Z35840" i="5"/>
  <c r="Z35839" i="5"/>
  <c r="Z35838" i="5"/>
  <c r="Z35837" i="5"/>
  <c r="Z35836" i="5"/>
  <c r="Z35835" i="5"/>
  <c r="Z35834" i="5"/>
  <c r="Z35833" i="5"/>
  <c r="Z35832" i="5"/>
  <c r="Z35831" i="5"/>
  <c r="Z35830" i="5"/>
  <c r="Z35829" i="5"/>
  <c r="Z35828" i="5"/>
  <c r="Z35827" i="5"/>
  <c r="Z35826" i="5"/>
  <c r="Z35825" i="5"/>
  <c r="Z35824" i="5"/>
  <c r="Z35823" i="5"/>
  <c r="Z35822" i="5"/>
  <c r="Z35821" i="5"/>
  <c r="Z35820" i="5"/>
  <c r="Z35819" i="5"/>
  <c r="Z35818" i="5"/>
  <c r="Z35817" i="5"/>
  <c r="Z35816" i="5"/>
  <c r="Z35815" i="5"/>
  <c r="Z35814" i="5"/>
  <c r="Z35813" i="5"/>
  <c r="Z35812" i="5"/>
  <c r="Z35811" i="5"/>
  <c r="Z35810" i="5"/>
  <c r="Z35809" i="5"/>
  <c r="Z35808" i="5"/>
  <c r="Z35807" i="5"/>
  <c r="Z35806" i="5"/>
  <c r="Z35805" i="5"/>
  <c r="Z35804" i="5"/>
  <c r="Z35803" i="5"/>
  <c r="Z35802" i="5"/>
  <c r="Z35801" i="5"/>
  <c r="Z35800" i="5"/>
  <c r="Z35799" i="5"/>
  <c r="Z35798" i="5"/>
  <c r="Z35797" i="5"/>
  <c r="Z35796" i="5"/>
  <c r="Z35795" i="5"/>
  <c r="Z35794" i="5"/>
  <c r="Z35793" i="5"/>
  <c r="Z35792" i="5"/>
  <c r="Z35791" i="5"/>
  <c r="Z35790" i="5"/>
  <c r="Z35789" i="5"/>
  <c r="Z35788" i="5"/>
  <c r="Z35787" i="5"/>
  <c r="Z35786" i="5"/>
  <c r="Z35785" i="5"/>
  <c r="Z35784" i="5"/>
  <c r="Z35783" i="5"/>
  <c r="Z35782" i="5"/>
  <c r="Z35781" i="5"/>
  <c r="Z35780" i="5"/>
  <c r="Z35779" i="5"/>
  <c r="Z35778" i="5"/>
  <c r="Z35777" i="5"/>
  <c r="Z35776" i="5"/>
  <c r="Z35775" i="5"/>
  <c r="Z35774" i="5"/>
  <c r="Z35773" i="5"/>
  <c r="Z35772" i="5"/>
  <c r="Z35771" i="5"/>
  <c r="Z35770" i="5"/>
  <c r="Z35769" i="5"/>
  <c r="Z35768" i="5"/>
  <c r="Z35767" i="5"/>
  <c r="Z35766" i="5"/>
  <c r="Z35765" i="5"/>
  <c r="Z35764" i="5"/>
  <c r="Z35763" i="5"/>
  <c r="Z35762" i="5"/>
  <c r="Z35761" i="5"/>
  <c r="Z35760" i="5"/>
  <c r="Z35759" i="5"/>
  <c r="Z35758" i="5"/>
  <c r="Z35757" i="5"/>
  <c r="Z35756" i="5"/>
  <c r="Z35755" i="5"/>
  <c r="Z35754" i="5"/>
  <c r="Z35753" i="5"/>
  <c r="Z35752" i="5"/>
  <c r="Z35751" i="5"/>
  <c r="Z35750" i="5"/>
  <c r="Z35749" i="5"/>
  <c r="Z35748" i="5"/>
  <c r="Z35747" i="5"/>
  <c r="Z35746" i="5"/>
  <c r="Z35745" i="5"/>
  <c r="Z35744" i="5"/>
  <c r="Z35743" i="5"/>
  <c r="Z35742" i="5"/>
  <c r="Z35741" i="5"/>
  <c r="Z35740" i="5"/>
  <c r="Z35739" i="5"/>
  <c r="Z35738" i="5"/>
  <c r="Z35737" i="5"/>
  <c r="Z35736" i="5"/>
  <c r="Z35735" i="5"/>
  <c r="Z35734" i="5"/>
  <c r="Z35733" i="5"/>
  <c r="Z35732" i="5"/>
  <c r="Z35731" i="5"/>
  <c r="Z35730" i="5"/>
  <c r="Z35729" i="5"/>
  <c r="Z35728" i="5"/>
  <c r="Z35727" i="5"/>
  <c r="Z35726" i="5"/>
  <c r="Z35725" i="5"/>
  <c r="Z35724" i="5"/>
  <c r="Z35723" i="5"/>
  <c r="Z35722" i="5"/>
  <c r="Z35721" i="5"/>
  <c r="Z35720" i="5"/>
  <c r="Z35719" i="5"/>
  <c r="Z35718" i="5"/>
  <c r="Z35717" i="5"/>
  <c r="Z35716" i="5"/>
  <c r="Z35715" i="5"/>
  <c r="Z35714" i="5"/>
  <c r="Z35713" i="5"/>
  <c r="Z35712" i="5"/>
  <c r="Z35711" i="5"/>
  <c r="Z35710" i="5"/>
  <c r="Z35709" i="5"/>
  <c r="Z35708" i="5"/>
  <c r="Z35707" i="5"/>
  <c r="Z35706" i="5"/>
  <c r="Z35705" i="5"/>
  <c r="Z35704" i="5"/>
  <c r="Z35703" i="5"/>
  <c r="Z35702" i="5"/>
  <c r="Z35701" i="5"/>
  <c r="Z35700" i="5"/>
  <c r="Z35699" i="5"/>
  <c r="Z35698" i="5"/>
  <c r="Z35697" i="5"/>
  <c r="Z35696" i="5"/>
  <c r="Z35695" i="5"/>
  <c r="Z35694" i="5"/>
  <c r="Z35693" i="5"/>
  <c r="Z35692" i="5"/>
  <c r="Z35691" i="5"/>
  <c r="Z35690" i="5"/>
  <c r="Z35689" i="5"/>
  <c r="Z35688" i="5"/>
  <c r="Z35687" i="5"/>
  <c r="Z35686" i="5"/>
  <c r="Z35685" i="5"/>
  <c r="Z35684" i="5"/>
  <c r="Z35683" i="5"/>
  <c r="Z35682" i="5"/>
  <c r="Z35681" i="5"/>
  <c r="Z35680" i="5"/>
  <c r="Z35679" i="5"/>
  <c r="Z35678" i="5"/>
  <c r="Z35677" i="5"/>
  <c r="Z35676" i="5"/>
  <c r="Z35675" i="5"/>
  <c r="Z35674" i="5"/>
  <c r="Z35673" i="5"/>
  <c r="Z35672" i="5"/>
  <c r="Z35671" i="5"/>
  <c r="Z35670" i="5"/>
  <c r="Z35669" i="5"/>
  <c r="Z35668" i="5"/>
  <c r="Z35667" i="5"/>
  <c r="Z35666" i="5"/>
  <c r="Z35665" i="5"/>
  <c r="Z35664" i="5"/>
  <c r="Z35663" i="5"/>
  <c r="Z35662" i="5"/>
  <c r="Z35661" i="5"/>
  <c r="Z35660" i="5"/>
  <c r="Z35659" i="5"/>
  <c r="Z35658" i="5"/>
  <c r="Z35657" i="5"/>
  <c r="Z35656" i="5"/>
  <c r="Z35655" i="5"/>
  <c r="Z35654" i="5"/>
  <c r="Z35653" i="5"/>
  <c r="Z35652" i="5"/>
  <c r="Z35651" i="5"/>
  <c r="Z35650" i="5"/>
  <c r="Z35649" i="5"/>
  <c r="Z35648" i="5"/>
  <c r="Z35647" i="5"/>
  <c r="Z35646" i="5"/>
  <c r="Z35645" i="5"/>
  <c r="Z35644" i="5"/>
  <c r="Z35643" i="5"/>
  <c r="Z35642" i="5"/>
  <c r="Z35641" i="5"/>
  <c r="Z35640" i="5"/>
  <c r="Z35639" i="5"/>
  <c r="Z35638" i="5"/>
  <c r="Z35637" i="5"/>
  <c r="Z35636" i="5"/>
  <c r="Z35635" i="5"/>
  <c r="Z35634" i="5"/>
  <c r="Z35633" i="5"/>
  <c r="Z35632" i="5"/>
  <c r="Z35631" i="5"/>
  <c r="Z35630" i="5"/>
  <c r="Z35629" i="5"/>
  <c r="Z35628" i="5"/>
  <c r="Z35627" i="5"/>
  <c r="Z35626" i="5"/>
  <c r="Z35625" i="5"/>
  <c r="Z35624" i="5"/>
  <c r="Z35623" i="5"/>
  <c r="Z35622" i="5"/>
  <c r="Z35621" i="5"/>
  <c r="Z35620" i="5"/>
  <c r="Z35619" i="5"/>
  <c r="Z35618" i="5"/>
  <c r="Z35617" i="5"/>
  <c r="Z35616" i="5"/>
  <c r="Z35615" i="5"/>
  <c r="Z35614" i="5"/>
  <c r="Z35613" i="5"/>
  <c r="Z35612" i="5"/>
  <c r="Z35611" i="5"/>
  <c r="Z35610" i="5"/>
  <c r="Z35609" i="5"/>
  <c r="Z35608" i="5"/>
  <c r="Z35607" i="5"/>
  <c r="Z35606" i="5"/>
  <c r="Z35605" i="5"/>
  <c r="Z35604" i="5"/>
  <c r="Z35603" i="5"/>
  <c r="Z35602" i="5"/>
  <c r="Z35601" i="5"/>
  <c r="Z35600" i="5"/>
  <c r="Z35599" i="5"/>
  <c r="Z35598" i="5"/>
  <c r="Z35597" i="5"/>
  <c r="Z35596" i="5"/>
  <c r="Z35595" i="5"/>
  <c r="Z35594" i="5"/>
  <c r="Z35593" i="5"/>
  <c r="Z35592" i="5"/>
  <c r="Z35591" i="5"/>
  <c r="Z35590" i="5"/>
  <c r="Z35589" i="5"/>
  <c r="Z35588" i="5"/>
  <c r="Z35587" i="5"/>
  <c r="Z35586" i="5"/>
  <c r="Z35585" i="5"/>
  <c r="Z35584" i="5"/>
  <c r="Z35583" i="5"/>
  <c r="Z35582" i="5"/>
  <c r="Z35581" i="5"/>
  <c r="Z35580" i="5"/>
  <c r="Z35579" i="5"/>
  <c r="Z35578" i="5"/>
  <c r="Z35577" i="5"/>
  <c r="Z35576" i="5"/>
  <c r="Z35575" i="5"/>
  <c r="Z35574" i="5"/>
  <c r="Z35573" i="5"/>
  <c r="Z35572" i="5"/>
  <c r="Z35571" i="5"/>
  <c r="Z35570" i="5"/>
  <c r="Z35569" i="5"/>
  <c r="Z35568" i="5"/>
  <c r="Z35567" i="5"/>
  <c r="Z35566" i="5"/>
  <c r="Z35565" i="5"/>
  <c r="Z35564" i="5"/>
  <c r="Z35563" i="5"/>
  <c r="Z35562" i="5"/>
  <c r="Z35561" i="5"/>
  <c r="Z35560" i="5"/>
  <c r="Z35559" i="5"/>
  <c r="Z35558" i="5"/>
  <c r="Z35557" i="5"/>
  <c r="Z35556" i="5"/>
  <c r="Z35555" i="5"/>
  <c r="Z35554" i="5"/>
  <c r="Z35553" i="5"/>
  <c r="Z35552" i="5"/>
  <c r="Z35551" i="5"/>
  <c r="Z35550" i="5"/>
  <c r="Z35549" i="5"/>
  <c r="Z35548" i="5"/>
  <c r="Z35547" i="5"/>
  <c r="Z35546" i="5"/>
  <c r="Z35545" i="5"/>
  <c r="Z35544" i="5"/>
  <c r="Z35543" i="5"/>
  <c r="Z35542" i="5"/>
  <c r="Z35541" i="5"/>
  <c r="Z35540" i="5"/>
  <c r="Z35539" i="5"/>
  <c r="Z35538" i="5"/>
  <c r="Z35537" i="5"/>
  <c r="Z35536" i="5"/>
  <c r="Z35535" i="5"/>
  <c r="Z35534" i="5"/>
  <c r="Z35533" i="5"/>
  <c r="Z35532" i="5"/>
  <c r="Z35531" i="5"/>
  <c r="Z35530" i="5"/>
  <c r="Z35529" i="5"/>
  <c r="Z35528" i="5"/>
  <c r="Z35527" i="5"/>
  <c r="Z35526" i="5"/>
  <c r="Z35525" i="5"/>
  <c r="Z35524" i="5"/>
  <c r="Z35523" i="5"/>
  <c r="Z35522" i="5"/>
  <c r="Z35521" i="5"/>
  <c r="Z35520" i="5"/>
  <c r="Z35519" i="5"/>
  <c r="Z35518" i="5"/>
  <c r="Z35517" i="5"/>
  <c r="Z35516" i="5"/>
  <c r="Z35515" i="5"/>
  <c r="Z35514" i="5"/>
  <c r="Z35513" i="5"/>
  <c r="Z35512" i="5"/>
  <c r="Z35511" i="5"/>
  <c r="Z35510" i="5"/>
  <c r="Z35509" i="5"/>
  <c r="Z35508" i="5"/>
  <c r="Z35507" i="5"/>
  <c r="Z35506" i="5"/>
  <c r="Z35505" i="5"/>
  <c r="Z35504" i="5"/>
  <c r="Z35503" i="5"/>
  <c r="Z35502" i="5"/>
  <c r="Z35501" i="5"/>
  <c r="Z35500" i="5"/>
  <c r="Z35499" i="5"/>
  <c r="Z35498" i="5"/>
  <c r="Z35497" i="5"/>
  <c r="Z35496" i="5"/>
  <c r="Z35495" i="5"/>
  <c r="Z35494" i="5"/>
  <c r="Z35493" i="5"/>
  <c r="Z35492" i="5"/>
  <c r="Z35491" i="5"/>
  <c r="Z35490" i="5"/>
  <c r="Z35489" i="5"/>
  <c r="Z35488" i="5"/>
  <c r="Z35487" i="5"/>
  <c r="Z35486" i="5"/>
  <c r="Z35485" i="5"/>
  <c r="Z35484" i="5"/>
  <c r="Z35483" i="5"/>
  <c r="Z35482" i="5"/>
  <c r="Z35481" i="5"/>
  <c r="Z35480" i="5"/>
  <c r="Z35479" i="5"/>
  <c r="Z35478" i="5"/>
  <c r="Z35477" i="5"/>
  <c r="Z35476" i="5"/>
  <c r="Z35475" i="5"/>
  <c r="Z35474" i="5"/>
  <c r="Z35473" i="5"/>
  <c r="Z35472" i="5"/>
  <c r="Z35471" i="5"/>
  <c r="Z35470" i="5"/>
  <c r="Z35469" i="5"/>
  <c r="Z35468" i="5"/>
  <c r="Z35467" i="5"/>
  <c r="Z35466" i="5"/>
  <c r="Z35465" i="5"/>
  <c r="Z35464" i="5"/>
  <c r="Z35463" i="5"/>
  <c r="Z35462" i="5"/>
  <c r="Z35461" i="5"/>
  <c r="Z35460" i="5"/>
  <c r="Z35459" i="5"/>
  <c r="Z35458" i="5"/>
  <c r="Z35457" i="5"/>
  <c r="Z35456" i="5"/>
  <c r="Z35455" i="5"/>
  <c r="Z35454" i="5"/>
  <c r="Z35453" i="5"/>
  <c r="Z35452" i="5"/>
  <c r="Z35451" i="5"/>
  <c r="Z35450" i="5"/>
  <c r="Z35449" i="5"/>
  <c r="Z35448" i="5"/>
  <c r="Z35447" i="5"/>
  <c r="Z35446" i="5"/>
  <c r="Z35445" i="5"/>
  <c r="Z35444" i="5"/>
  <c r="Z35443" i="5"/>
  <c r="Z35442" i="5"/>
  <c r="Z35441" i="5"/>
  <c r="Z35440" i="5"/>
  <c r="Z35439" i="5"/>
  <c r="Z35438" i="5"/>
  <c r="Z35437" i="5"/>
  <c r="Z35436" i="5"/>
  <c r="Z35435" i="5"/>
  <c r="Z35434" i="5"/>
  <c r="Z35433" i="5"/>
  <c r="Z35432" i="5"/>
  <c r="Z35431" i="5"/>
  <c r="Z35430" i="5"/>
  <c r="Z35429" i="5"/>
  <c r="Z35428" i="5"/>
  <c r="Z35427" i="5"/>
  <c r="Z35426" i="5"/>
  <c r="Z35425" i="5"/>
  <c r="Z35424" i="5"/>
  <c r="Z35423" i="5"/>
  <c r="Z35422" i="5"/>
  <c r="Z35421" i="5"/>
  <c r="Z35420" i="5"/>
  <c r="Z35419" i="5"/>
  <c r="Z35418" i="5"/>
  <c r="Z35417" i="5"/>
  <c r="Z35416" i="5"/>
  <c r="Z35415" i="5"/>
  <c r="Z35414" i="5"/>
  <c r="Z35413" i="5"/>
  <c r="Z35412" i="5"/>
  <c r="Z35411" i="5"/>
  <c r="Z35410" i="5"/>
  <c r="Z35409" i="5"/>
  <c r="Z35408" i="5"/>
  <c r="Z35407" i="5"/>
  <c r="Z35406" i="5"/>
  <c r="Z35405" i="5"/>
  <c r="Z35404" i="5"/>
  <c r="Z35403" i="5"/>
  <c r="Z35402" i="5"/>
  <c r="Z35401" i="5"/>
  <c r="Z35400" i="5"/>
  <c r="Z35399" i="5"/>
  <c r="Z35398" i="5"/>
  <c r="Z35397" i="5"/>
  <c r="Z35396" i="5"/>
  <c r="Z35395" i="5"/>
  <c r="Z35394" i="5"/>
  <c r="Z35393" i="5"/>
  <c r="Z35392" i="5"/>
  <c r="Z35391" i="5"/>
  <c r="Z35390" i="5"/>
  <c r="Z35389" i="5"/>
  <c r="Z35388" i="5"/>
  <c r="Z35387" i="5"/>
  <c r="Z35386" i="5"/>
  <c r="Z35385" i="5"/>
  <c r="Z35384" i="5"/>
  <c r="Z35383" i="5"/>
  <c r="Z35382" i="5"/>
  <c r="Z35381" i="5"/>
  <c r="Z35380" i="5"/>
  <c r="Z35379" i="5"/>
  <c r="Z35378" i="5"/>
  <c r="Z35377" i="5"/>
  <c r="Z35376" i="5"/>
  <c r="Z35375" i="5"/>
  <c r="Z35374" i="5"/>
  <c r="Z35373" i="5"/>
  <c r="Z35372" i="5"/>
  <c r="Z35371" i="5"/>
  <c r="Z35370" i="5"/>
  <c r="Z35369" i="5"/>
  <c r="Z35368" i="5"/>
  <c r="Z35367" i="5"/>
  <c r="Z35366" i="5"/>
  <c r="Z35365" i="5"/>
  <c r="Z35364" i="5"/>
  <c r="Z35363" i="5"/>
  <c r="Z35362" i="5"/>
  <c r="Z35361" i="5"/>
  <c r="Z35360" i="5"/>
  <c r="Z35359" i="5"/>
  <c r="Z35358" i="5"/>
  <c r="Z35357" i="5"/>
  <c r="Z35356" i="5"/>
  <c r="Z35355" i="5"/>
  <c r="Z35354" i="5"/>
  <c r="Z35353" i="5"/>
  <c r="Z35352" i="5"/>
  <c r="Z35351" i="5"/>
  <c r="Z35350" i="5"/>
  <c r="Z35349" i="5"/>
  <c r="Z35348" i="5"/>
  <c r="Z35347" i="5"/>
  <c r="Z35346" i="5"/>
  <c r="Z35345" i="5"/>
  <c r="Z35344" i="5"/>
  <c r="Z35343" i="5"/>
  <c r="Z35342" i="5"/>
  <c r="Z35341" i="5"/>
  <c r="Z35340" i="5"/>
  <c r="Z35339" i="5"/>
  <c r="Z35338" i="5"/>
  <c r="Z35337" i="5"/>
  <c r="Z35336" i="5"/>
  <c r="Z35335" i="5"/>
  <c r="Z35334" i="5"/>
  <c r="Z35333" i="5"/>
  <c r="Z35332" i="5"/>
  <c r="Z35331" i="5"/>
  <c r="Z35330" i="5"/>
  <c r="Z35329" i="5"/>
  <c r="Z35328" i="5"/>
  <c r="Z35327" i="5"/>
  <c r="Z35326" i="5"/>
  <c r="Z35325" i="5"/>
  <c r="Z35324" i="5"/>
  <c r="Z35323" i="5"/>
  <c r="Z35322" i="5"/>
  <c r="Z35321" i="5"/>
  <c r="Z35320" i="5"/>
  <c r="Z35319" i="5"/>
  <c r="Z35318" i="5"/>
  <c r="Z35317" i="5"/>
  <c r="Z35316" i="5"/>
  <c r="Z35315" i="5"/>
  <c r="Z35314" i="5"/>
  <c r="Z35313" i="5"/>
  <c r="Z35312" i="5"/>
  <c r="Z35311" i="5"/>
  <c r="Z35310" i="5"/>
  <c r="Z35309" i="5"/>
  <c r="Z35308" i="5"/>
  <c r="Z35307" i="5"/>
  <c r="Z35306" i="5"/>
  <c r="Z35305" i="5"/>
  <c r="Z35304" i="5"/>
  <c r="Z35303" i="5"/>
  <c r="Z35302" i="5"/>
  <c r="Z35301" i="5"/>
  <c r="Z35300" i="5"/>
  <c r="Z35299" i="5"/>
  <c r="Z35298" i="5"/>
  <c r="Z35297" i="5"/>
  <c r="Z35296" i="5"/>
  <c r="Z35295" i="5"/>
  <c r="Z35294" i="5"/>
  <c r="Z35293" i="5"/>
  <c r="Z35292" i="5"/>
  <c r="Z35291" i="5"/>
  <c r="Z35290" i="5"/>
  <c r="Z35289" i="5"/>
  <c r="Z35288" i="5"/>
  <c r="Z35287" i="5"/>
  <c r="Z35286" i="5"/>
  <c r="Z35285" i="5"/>
  <c r="Z35284" i="5"/>
  <c r="Z35283" i="5"/>
  <c r="Z35282" i="5"/>
  <c r="Z35281" i="5"/>
  <c r="Z35280" i="5"/>
  <c r="Z35279" i="5"/>
  <c r="Z35278" i="5"/>
  <c r="Z35277" i="5"/>
  <c r="Z35276" i="5"/>
  <c r="Z35275" i="5"/>
  <c r="Z35274" i="5"/>
  <c r="Z35273" i="5"/>
  <c r="Z35272" i="5"/>
  <c r="Z35271" i="5"/>
  <c r="Z35270" i="5"/>
  <c r="Z35269" i="5"/>
  <c r="Z35268" i="5"/>
  <c r="Z35267" i="5"/>
  <c r="Z35266" i="5"/>
  <c r="Z35265" i="5"/>
  <c r="Z35264" i="5"/>
  <c r="Z35263" i="5"/>
  <c r="Z35262" i="5"/>
  <c r="Z35261" i="5"/>
  <c r="Z35260" i="5"/>
  <c r="Z35259" i="5"/>
  <c r="Z35258" i="5"/>
  <c r="Z35257" i="5"/>
  <c r="Z35256" i="5"/>
  <c r="Z35255" i="5"/>
  <c r="Z35254" i="5"/>
  <c r="Z35253" i="5"/>
  <c r="Z35252" i="5"/>
  <c r="Z35251" i="5"/>
  <c r="Z35250" i="5"/>
  <c r="Z35249" i="5"/>
  <c r="Z35248" i="5"/>
  <c r="Z35247" i="5"/>
  <c r="Z35246" i="5"/>
  <c r="Z35245" i="5"/>
  <c r="Z35244" i="5"/>
  <c r="Z35243" i="5"/>
  <c r="Z35242" i="5"/>
  <c r="Z35241" i="5"/>
  <c r="Z35240" i="5"/>
  <c r="Z35239" i="5"/>
  <c r="Z35238" i="5"/>
  <c r="Z35237" i="5"/>
  <c r="Z35236" i="5"/>
  <c r="Z35235" i="5"/>
  <c r="Z35234" i="5"/>
  <c r="Z35233" i="5"/>
  <c r="Z35232" i="5"/>
  <c r="Z35231" i="5"/>
  <c r="Z35230" i="5"/>
  <c r="Z35229" i="5"/>
  <c r="Z35228" i="5"/>
  <c r="Z35227" i="5"/>
  <c r="Z35226" i="5"/>
  <c r="Z35225" i="5"/>
  <c r="Z35224" i="5"/>
  <c r="Z35223" i="5"/>
  <c r="Z35222" i="5"/>
  <c r="Z35221" i="5"/>
  <c r="Z35220" i="5"/>
  <c r="Z35219" i="5"/>
  <c r="Z35218" i="5"/>
  <c r="Z35217" i="5"/>
  <c r="Z35216" i="5"/>
  <c r="Z35215" i="5"/>
  <c r="Z35214" i="5"/>
  <c r="Z35213" i="5"/>
  <c r="Z35212" i="5"/>
  <c r="Z35211" i="5"/>
  <c r="Z35210" i="5"/>
  <c r="Z35209" i="5"/>
  <c r="Z35208" i="5"/>
  <c r="Z35207" i="5"/>
  <c r="Z35206" i="5"/>
  <c r="Z35205" i="5"/>
  <c r="Z35204" i="5"/>
  <c r="Z35203" i="5"/>
  <c r="Z35202" i="5"/>
  <c r="Z35201" i="5"/>
  <c r="Z35200" i="5"/>
  <c r="Z35199" i="5"/>
  <c r="Z35198" i="5"/>
  <c r="Z35197" i="5"/>
  <c r="Z35196" i="5"/>
  <c r="Z35195" i="5"/>
  <c r="Z35194" i="5"/>
  <c r="Z35193" i="5"/>
  <c r="Z35192" i="5"/>
  <c r="Z35191" i="5"/>
  <c r="Z35190" i="5"/>
  <c r="Z35189" i="5"/>
  <c r="Z35188" i="5"/>
  <c r="Z35187" i="5"/>
  <c r="Z35186" i="5"/>
  <c r="Z35185" i="5"/>
  <c r="Z35184" i="5"/>
  <c r="Z35183" i="5"/>
  <c r="Z35182" i="5"/>
  <c r="Z35181" i="5"/>
  <c r="Z35180" i="5"/>
  <c r="Z35179" i="5"/>
  <c r="Z35178" i="5"/>
  <c r="Z35177" i="5"/>
  <c r="Z35176" i="5"/>
  <c r="Z35175" i="5"/>
  <c r="Z35174" i="5"/>
  <c r="Z35173" i="5"/>
  <c r="Z35172" i="5"/>
  <c r="Z35171" i="5"/>
  <c r="Z35170" i="5"/>
  <c r="Z35169" i="5"/>
  <c r="Z35168" i="5"/>
  <c r="Z35167" i="5"/>
  <c r="Z35166" i="5"/>
  <c r="Z35165" i="5"/>
  <c r="Z35164" i="5"/>
  <c r="Z35163" i="5"/>
  <c r="Z35162" i="5"/>
  <c r="Z35161" i="5"/>
  <c r="Z35160" i="5"/>
  <c r="Z35159" i="5"/>
  <c r="Z35158" i="5"/>
  <c r="Z35157" i="5"/>
  <c r="Z35156" i="5"/>
  <c r="Z35155" i="5"/>
  <c r="Z35154" i="5"/>
  <c r="Z35153" i="5"/>
  <c r="Z35152" i="5"/>
  <c r="Z35151" i="5"/>
  <c r="Z35150" i="5"/>
  <c r="Z35149" i="5"/>
  <c r="Z35148" i="5"/>
  <c r="Z35147" i="5"/>
  <c r="Z35146" i="5"/>
  <c r="Z35145" i="5"/>
  <c r="Z35144" i="5"/>
  <c r="Z35143" i="5"/>
  <c r="Z35142" i="5"/>
  <c r="Z35141" i="5"/>
  <c r="Z35140" i="5"/>
  <c r="Z35139" i="5"/>
  <c r="Z35138" i="5"/>
  <c r="Z35137" i="5"/>
  <c r="Z35136" i="5"/>
  <c r="Z35135" i="5"/>
  <c r="Z35134" i="5"/>
  <c r="Z35133" i="5"/>
  <c r="Z35132" i="5"/>
  <c r="Z35131" i="5"/>
  <c r="Z35130" i="5"/>
  <c r="Z35129" i="5"/>
  <c r="Z35128" i="5"/>
  <c r="Z35127" i="5"/>
  <c r="Z35126" i="5"/>
  <c r="Z35125" i="5"/>
  <c r="Z35124" i="5"/>
  <c r="Z35123" i="5"/>
  <c r="Z35122" i="5"/>
  <c r="Z35121" i="5"/>
  <c r="Z35120" i="5"/>
  <c r="Z35119" i="5"/>
  <c r="Z35118" i="5"/>
  <c r="Z35117" i="5"/>
  <c r="Z35116" i="5"/>
  <c r="Z35115" i="5"/>
  <c r="Z35114" i="5"/>
  <c r="Z35113" i="5"/>
  <c r="Z35112" i="5"/>
  <c r="Z35111" i="5"/>
  <c r="Z35110" i="5"/>
  <c r="Z35109" i="5"/>
  <c r="Z35108" i="5"/>
  <c r="Z35107" i="5"/>
  <c r="Z35106" i="5"/>
  <c r="Z35105" i="5"/>
  <c r="Z35104" i="5"/>
  <c r="Z35103" i="5"/>
  <c r="Z35102" i="5"/>
  <c r="Z35101" i="5"/>
  <c r="Z35100" i="5"/>
  <c r="Z35099" i="5"/>
  <c r="Z35098" i="5"/>
  <c r="Z35097" i="5"/>
  <c r="Z35096" i="5"/>
  <c r="Z35095" i="5"/>
  <c r="Z35094" i="5"/>
  <c r="Z35093" i="5"/>
  <c r="Z35092" i="5"/>
  <c r="Z35091" i="5"/>
  <c r="Z35090" i="5"/>
  <c r="Z35089" i="5"/>
  <c r="Z35088" i="5"/>
  <c r="Z35087" i="5"/>
  <c r="Z35086" i="5"/>
  <c r="Z35085" i="5"/>
  <c r="Z35084" i="5"/>
  <c r="Z35083" i="5"/>
  <c r="Z35082" i="5"/>
  <c r="Z35081" i="5"/>
  <c r="Z35080" i="5"/>
  <c r="Z35079" i="5"/>
  <c r="Z35078" i="5"/>
  <c r="Z35077" i="5"/>
  <c r="Z35076" i="5"/>
  <c r="Z35075" i="5"/>
  <c r="Z35074" i="5"/>
  <c r="Z35073" i="5"/>
  <c r="Z35072" i="5"/>
  <c r="Z35071" i="5"/>
  <c r="Z35070" i="5"/>
  <c r="Z35069" i="5"/>
  <c r="Z35068" i="5"/>
  <c r="Z35067" i="5"/>
  <c r="Z35066" i="5"/>
  <c r="Z35065" i="5"/>
  <c r="Z35064" i="5"/>
  <c r="Z35063" i="5"/>
  <c r="Z35062" i="5"/>
  <c r="Z35061" i="5"/>
  <c r="Z35060" i="5"/>
  <c r="Z35059" i="5"/>
  <c r="Z35058" i="5"/>
  <c r="Z35057" i="5"/>
  <c r="Z35056" i="5"/>
  <c r="Z35055" i="5"/>
  <c r="Z35054" i="5"/>
  <c r="Z35053" i="5"/>
  <c r="Z35052" i="5"/>
  <c r="Z35051" i="5"/>
  <c r="Z35050" i="5"/>
  <c r="Z35049" i="5"/>
  <c r="Z35048" i="5"/>
  <c r="Z35047" i="5"/>
  <c r="Z35046" i="5"/>
  <c r="Z35045" i="5"/>
  <c r="Z35044" i="5"/>
  <c r="Z35043" i="5"/>
  <c r="Z35042" i="5"/>
  <c r="Z35041" i="5"/>
  <c r="Z35040" i="5"/>
  <c r="Z35039" i="5"/>
  <c r="Z35038" i="5"/>
  <c r="Z35037" i="5"/>
  <c r="Z35036" i="5"/>
  <c r="Z35035" i="5"/>
  <c r="Z35034" i="5"/>
  <c r="Z35033" i="5"/>
  <c r="Z35032" i="5"/>
  <c r="Z35031" i="5"/>
  <c r="Z35030" i="5"/>
  <c r="Z35029" i="5"/>
  <c r="Z35028" i="5"/>
  <c r="Z35027" i="5"/>
  <c r="Z35026" i="5"/>
  <c r="Z35025" i="5"/>
  <c r="Z35024" i="5"/>
  <c r="Z35023" i="5"/>
  <c r="Z35022" i="5"/>
  <c r="Z35021" i="5"/>
  <c r="Z35020" i="5"/>
  <c r="Z35019" i="5"/>
  <c r="Z35018" i="5"/>
  <c r="Z35017" i="5"/>
  <c r="Z35016" i="5"/>
  <c r="Z35015" i="5"/>
  <c r="Z35014" i="5"/>
  <c r="Z35013" i="5"/>
  <c r="Z35012" i="5"/>
  <c r="Z35011" i="5"/>
  <c r="Z35010" i="5"/>
  <c r="Z35009" i="5"/>
  <c r="Z35008" i="5"/>
  <c r="Z35007" i="5"/>
  <c r="Z35006" i="5"/>
  <c r="Z35005" i="5"/>
  <c r="Z35004" i="5"/>
  <c r="Z35003" i="5"/>
  <c r="Z35002" i="5"/>
  <c r="Z35001" i="5"/>
  <c r="Z35000" i="5"/>
  <c r="Z34999" i="5"/>
  <c r="Z34998" i="5"/>
  <c r="Z34997" i="5"/>
  <c r="Z34996" i="5"/>
  <c r="Z34995" i="5"/>
  <c r="Z34994" i="5"/>
  <c r="Z34993" i="5"/>
  <c r="Z34992" i="5"/>
  <c r="Z34991" i="5"/>
  <c r="Z34990" i="5"/>
  <c r="Z34989" i="5"/>
  <c r="Z34988" i="5"/>
  <c r="Z34987" i="5"/>
  <c r="Z34986" i="5"/>
  <c r="Z34985" i="5"/>
  <c r="Z34984" i="5"/>
  <c r="Z34983" i="5"/>
  <c r="Z34982" i="5"/>
  <c r="Z34981" i="5"/>
  <c r="Z34980" i="5"/>
  <c r="Z34979" i="5"/>
  <c r="Z34978" i="5"/>
  <c r="Z34977" i="5"/>
  <c r="Z34976" i="5"/>
  <c r="Z34975" i="5"/>
  <c r="Z34974" i="5"/>
  <c r="Z34973" i="5"/>
  <c r="Z34972" i="5"/>
  <c r="Z34971" i="5"/>
  <c r="Z34970" i="5"/>
  <c r="Z34969" i="5"/>
  <c r="Z34968" i="5"/>
  <c r="Z34967" i="5"/>
  <c r="Z34966" i="5"/>
  <c r="Z34965" i="5"/>
  <c r="Z34964" i="5"/>
  <c r="Z34963" i="5"/>
  <c r="Z34962" i="5"/>
  <c r="Z34961" i="5"/>
  <c r="Z34960" i="5"/>
  <c r="Z34959" i="5"/>
  <c r="Z34958" i="5"/>
  <c r="Z34957" i="5"/>
  <c r="Z34956" i="5"/>
  <c r="Z34955" i="5"/>
  <c r="Z34954" i="5"/>
  <c r="Z34953" i="5"/>
  <c r="Z34952" i="5"/>
  <c r="Z34951" i="5"/>
  <c r="Z34950" i="5"/>
  <c r="Z34949" i="5"/>
  <c r="Z34948" i="5"/>
  <c r="Z34947" i="5"/>
  <c r="Z34946" i="5"/>
  <c r="Z34945" i="5"/>
  <c r="Z34944" i="5"/>
  <c r="Z34943" i="5"/>
  <c r="Z34942" i="5"/>
  <c r="Z34941" i="5"/>
  <c r="Z34940" i="5"/>
  <c r="Z34939" i="5"/>
  <c r="Z34938" i="5"/>
  <c r="Z34937" i="5"/>
  <c r="Z34936" i="5"/>
  <c r="Z34935" i="5"/>
  <c r="Z34934" i="5"/>
  <c r="Z34933" i="5"/>
  <c r="Z34932" i="5"/>
  <c r="Z34931" i="5"/>
  <c r="Z34930" i="5"/>
  <c r="Z34929" i="5"/>
  <c r="Z34928" i="5"/>
  <c r="Z34927" i="5"/>
  <c r="Z34926" i="5"/>
  <c r="Z34925" i="5"/>
  <c r="Z34924" i="5"/>
  <c r="Z34923" i="5"/>
  <c r="Z34922" i="5"/>
  <c r="Z34921" i="5"/>
  <c r="Z34920" i="5"/>
  <c r="Z34919" i="5"/>
  <c r="Z34918" i="5"/>
  <c r="Z34917" i="5"/>
  <c r="Z34916" i="5"/>
  <c r="Z34915" i="5"/>
  <c r="Z34914" i="5"/>
  <c r="Z34913" i="5"/>
  <c r="Z34912" i="5"/>
  <c r="Z34911" i="5"/>
  <c r="Z34910" i="5"/>
  <c r="Z34909" i="5"/>
  <c r="Z34908" i="5"/>
  <c r="Z34907" i="5"/>
  <c r="Z34906" i="5"/>
  <c r="Z34905" i="5"/>
  <c r="Z34904" i="5"/>
  <c r="Z34903" i="5"/>
  <c r="Z34902" i="5"/>
  <c r="Z34901" i="5"/>
  <c r="Z34900" i="5"/>
  <c r="Z34899" i="5"/>
  <c r="Z34898" i="5"/>
  <c r="Z34897" i="5"/>
  <c r="Z34896" i="5"/>
  <c r="Z34895" i="5"/>
  <c r="Z34894" i="5"/>
  <c r="Z34893" i="5"/>
  <c r="Z34892" i="5"/>
  <c r="Z34891" i="5"/>
  <c r="Z34890" i="5"/>
  <c r="Z34889" i="5"/>
  <c r="Z34888" i="5"/>
  <c r="Z34887" i="5"/>
  <c r="Z34886" i="5"/>
  <c r="Z34885" i="5"/>
  <c r="Z34884" i="5"/>
  <c r="Z34883" i="5"/>
  <c r="Z34882" i="5"/>
  <c r="Z34881" i="5"/>
  <c r="Z34880" i="5"/>
  <c r="Z34879" i="5"/>
  <c r="Z34878" i="5"/>
  <c r="Z34877" i="5"/>
  <c r="Z34876" i="5"/>
  <c r="Z34875" i="5"/>
  <c r="Z34874" i="5"/>
  <c r="Z34873" i="5"/>
  <c r="Z34872" i="5"/>
  <c r="Z34871" i="5"/>
  <c r="Z34870" i="5"/>
  <c r="Z34869" i="5"/>
  <c r="Z34868" i="5"/>
  <c r="Z34867" i="5"/>
  <c r="Z34866" i="5"/>
  <c r="Z34865" i="5"/>
  <c r="Z34864" i="5"/>
  <c r="Z34863" i="5"/>
  <c r="Z34862" i="5"/>
  <c r="Z34861" i="5"/>
  <c r="Z34860" i="5"/>
  <c r="Z34859" i="5"/>
  <c r="Z34858" i="5"/>
  <c r="Z34857" i="5"/>
  <c r="Z34856" i="5"/>
  <c r="Z34855" i="5"/>
  <c r="Z34854" i="5"/>
  <c r="Z34853" i="5"/>
  <c r="Z34852" i="5"/>
  <c r="Z34851" i="5"/>
  <c r="Z34850" i="5"/>
  <c r="Z34849" i="5"/>
  <c r="Z34848" i="5"/>
  <c r="Z34847" i="5"/>
  <c r="Z34846" i="5"/>
  <c r="Z34845" i="5"/>
  <c r="Z34844" i="5"/>
  <c r="Z34843" i="5"/>
  <c r="Z34842" i="5"/>
  <c r="Z34841" i="5"/>
  <c r="Z34840" i="5"/>
  <c r="Z34839" i="5"/>
  <c r="Z34838" i="5"/>
  <c r="Z34837" i="5"/>
  <c r="Z34836" i="5"/>
  <c r="Z34835" i="5"/>
  <c r="Z34834" i="5"/>
  <c r="Z34833" i="5"/>
  <c r="Z34832" i="5"/>
  <c r="Z34831" i="5"/>
  <c r="Z34830" i="5"/>
  <c r="Z34829" i="5"/>
  <c r="Z34828" i="5"/>
  <c r="Z34827" i="5"/>
  <c r="Z34826" i="5"/>
  <c r="Z34825" i="5"/>
  <c r="Z34824" i="5"/>
  <c r="Z34823" i="5"/>
  <c r="Z34822" i="5"/>
  <c r="Z34821" i="5"/>
  <c r="Z34820" i="5"/>
  <c r="Z34819" i="5"/>
  <c r="Z34818" i="5"/>
  <c r="Z34817" i="5"/>
  <c r="Z34816" i="5"/>
  <c r="Z34815" i="5"/>
  <c r="Z34814" i="5"/>
  <c r="Z34813" i="5"/>
  <c r="Z34812" i="5"/>
  <c r="Z34811" i="5"/>
  <c r="Z34810" i="5"/>
  <c r="Z34809" i="5"/>
  <c r="Z34808" i="5"/>
  <c r="Z34807" i="5"/>
  <c r="Z34806" i="5"/>
  <c r="Z34805" i="5"/>
  <c r="Z34804" i="5"/>
  <c r="Z34803" i="5"/>
  <c r="Z34802" i="5"/>
  <c r="Z34801" i="5"/>
  <c r="Z34800" i="5"/>
  <c r="Z34799" i="5"/>
  <c r="Z34798" i="5"/>
  <c r="Z34797" i="5"/>
  <c r="Z34796" i="5"/>
  <c r="Z34795" i="5"/>
  <c r="Z34794" i="5"/>
  <c r="Z34793" i="5"/>
  <c r="Z34792" i="5"/>
  <c r="Z34791" i="5"/>
  <c r="Z34790" i="5"/>
  <c r="Z34789" i="5"/>
  <c r="Z34788" i="5"/>
  <c r="Z34787" i="5"/>
  <c r="Z34786" i="5"/>
  <c r="Z34785" i="5"/>
  <c r="Z34784" i="5"/>
  <c r="Z34783" i="5"/>
  <c r="Z34782" i="5"/>
  <c r="Z34781" i="5"/>
  <c r="Z34780" i="5"/>
  <c r="Z34779" i="5"/>
  <c r="Z34778" i="5"/>
  <c r="Z34777" i="5"/>
  <c r="Z34776" i="5"/>
  <c r="Z34775" i="5"/>
  <c r="Z34774" i="5"/>
  <c r="Z34773" i="5"/>
  <c r="Z34772" i="5"/>
  <c r="Z34771" i="5"/>
  <c r="Z34770" i="5"/>
  <c r="Z34769" i="5"/>
  <c r="Z34768" i="5"/>
  <c r="Z34767" i="5"/>
  <c r="Z34766" i="5"/>
  <c r="Z34765" i="5"/>
  <c r="Z34764" i="5"/>
  <c r="Z34763" i="5"/>
  <c r="Z34762" i="5"/>
  <c r="Z34761" i="5"/>
  <c r="Z34760" i="5"/>
  <c r="Z34759" i="5"/>
  <c r="Z34758" i="5"/>
  <c r="Z34757" i="5"/>
  <c r="Z34756" i="5"/>
  <c r="Z34755" i="5"/>
  <c r="Z34754" i="5"/>
  <c r="Z34753" i="5"/>
  <c r="Z34752" i="5"/>
  <c r="Z34751" i="5"/>
  <c r="Z34750" i="5"/>
  <c r="Z34749" i="5"/>
  <c r="Z34748" i="5"/>
  <c r="Z34747" i="5"/>
  <c r="Z34746" i="5"/>
  <c r="Z34745" i="5"/>
  <c r="Z34744" i="5"/>
  <c r="Z34743" i="5"/>
  <c r="Z34742" i="5"/>
  <c r="Z34741" i="5"/>
  <c r="Z34740" i="5"/>
  <c r="Z34739" i="5"/>
  <c r="Z34738" i="5"/>
  <c r="Z34737" i="5"/>
  <c r="Z34736" i="5"/>
  <c r="Z34735" i="5"/>
  <c r="Z34734" i="5"/>
  <c r="Z34733" i="5"/>
  <c r="Z34732" i="5"/>
  <c r="Z34731" i="5"/>
  <c r="Z34730" i="5"/>
  <c r="Z34729" i="5"/>
  <c r="Z34728" i="5"/>
  <c r="Z34727" i="5"/>
  <c r="Z34726" i="5"/>
  <c r="Z34725" i="5"/>
  <c r="Z34724" i="5"/>
  <c r="Z34723" i="5"/>
  <c r="Z34722" i="5"/>
  <c r="Z34721" i="5"/>
  <c r="Z34720" i="5"/>
  <c r="Z34719" i="5"/>
  <c r="Z34718" i="5"/>
  <c r="Z34717" i="5"/>
  <c r="Z34716" i="5"/>
  <c r="Z34715" i="5"/>
  <c r="Z34714" i="5"/>
  <c r="Z34713" i="5"/>
  <c r="Z34712" i="5"/>
  <c r="Z34711" i="5"/>
  <c r="Z34710" i="5"/>
  <c r="Z34709" i="5"/>
  <c r="Z34708" i="5"/>
  <c r="Z34707" i="5"/>
  <c r="Z34706" i="5"/>
  <c r="Z34705" i="5"/>
  <c r="Z34704" i="5"/>
  <c r="Z34703" i="5"/>
  <c r="Z34702" i="5"/>
  <c r="Z34701" i="5"/>
  <c r="Z34700" i="5"/>
  <c r="Z34699" i="5"/>
  <c r="Z34698" i="5"/>
  <c r="Z34697" i="5"/>
  <c r="Z34696" i="5"/>
  <c r="Z34695" i="5"/>
  <c r="Z34694" i="5"/>
  <c r="Z34693" i="5"/>
  <c r="Z34692" i="5"/>
  <c r="Z34691" i="5"/>
  <c r="Z34690" i="5"/>
  <c r="Z34689" i="5"/>
  <c r="Z34688" i="5"/>
  <c r="Z34687" i="5"/>
  <c r="Z34686" i="5"/>
  <c r="Z34685" i="5"/>
  <c r="Z34684" i="5"/>
  <c r="Z34683" i="5"/>
  <c r="Z34682" i="5"/>
  <c r="Z34681" i="5"/>
  <c r="Z34680" i="5"/>
  <c r="Z34679" i="5"/>
  <c r="Z34678" i="5"/>
  <c r="Z34677" i="5"/>
  <c r="Z34676" i="5"/>
  <c r="Z34675" i="5"/>
  <c r="Z34674" i="5"/>
  <c r="Z34673" i="5"/>
  <c r="Z34672" i="5"/>
  <c r="Z34671" i="5"/>
  <c r="Z34670" i="5"/>
  <c r="Z34669" i="5"/>
  <c r="Z34668" i="5"/>
  <c r="Z34667" i="5"/>
  <c r="Z34666" i="5"/>
  <c r="Z34665" i="5"/>
  <c r="Z34664" i="5"/>
  <c r="Z34663" i="5"/>
  <c r="Z34662" i="5"/>
  <c r="Z34661" i="5"/>
  <c r="Z34660" i="5"/>
  <c r="Z34659" i="5"/>
  <c r="Z34658" i="5"/>
  <c r="Z34657" i="5"/>
  <c r="Z34656" i="5"/>
  <c r="Z34655" i="5"/>
  <c r="Z34654" i="5"/>
  <c r="Z34653" i="5"/>
  <c r="Z34652" i="5"/>
  <c r="Z34651" i="5"/>
  <c r="Z34650" i="5"/>
  <c r="Z34649" i="5"/>
  <c r="Z34648" i="5"/>
  <c r="Z34647" i="5"/>
  <c r="Z34646" i="5"/>
  <c r="Z34645" i="5"/>
  <c r="Z34644" i="5"/>
  <c r="Z34643" i="5"/>
  <c r="Z34642" i="5"/>
  <c r="Z34641" i="5"/>
  <c r="Z34640" i="5"/>
  <c r="Z34639" i="5"/>
  <c r="Z34638" i="5"/>
  <c r="Z34637" i="5"/>
  <c r="Z34636" i="5"/>
  <c r="Z34635" i="5"/>
  <c r="Z34634" i="5"/>
  <c r="Z34633" i="5"/>
  <c r="Z34632" i="5"/>
  <c r="Z34631" i="5"/>
  <c r="Z34630" i="5"/>
  <c r="Z34629" i="5"/>
  <c r="Z34628" i="5"/>
  <c r="Z34627" i="5"/>
  <c r="Z34626" i="5"/>
  <c r="Z34625" i="5"/>
  <c r="Z34624" i="5"/>
  <c r="Z34623" i="5"/>
  <c r="Z34622" i="5"/>
  <c r="Z34621" i="5"/>
  <c r="Z34620" i="5"/>
  <c r="Z34619" i="5"/>
  <c r="Z34618" i="5"/>
  <c r="Z34617" i="5"/>
  <c r="Z34616" i="5"/>
  <c r="Z34615" i="5"/>
  <c r="Z34614" i="5"/>
  <c r="Z34613" i="5"/>
  <c r="Z34612" i="5"/>
  <c r="Z34611" i="5"/>
  <c r="Z34610" i="5"/>
  <c r="Z34609" i="5"/>
  <c r="Z34608" i="5"/>
  <c r="Z34607" i="5"/>
  <c r="Z34606" i="5"/>
  <c r="Z34605" i="5"/>
  <c r="Z34604" i="5"/>
  <c r="Z34603" i="5"/>
  <c r="Z34602" i="5"/>
  <c r="Z34601" i="5"/>
  <c r="Z34600" i="5"/>
  <c r="Z34599" i="5"/>
  <c r="Z34598" i="5"/>
  <c r="Z34597" i="5"/>
  <c r="Z34596" i="5"/>
  <c r="Z34595" i="5"/>
  <c r="Z34594" i="5"/>
  <c r="Z34593" i="5"/>
  <c r="Z34592" i="5"/>
  <c r="Z34591" i="5"/>
  <c r="Z34590" i="5"/>
  <c r="Z34589" i="5"/>
  <c r="Z34588" i="5"/>
  <c r="Z34587" i="5"/>
  <c r="Z34586" i="5"/>
  <c r="Z34585" i="5"/>
  <c r="Z34584" i="5"/>
  <c r="Z34583" i="5"/>
  <c r="Z34582" i="5"/>
  <c r="Z34581" i="5"/>
  <c r="Z34580" i="5"/>
  <c r="Z34579" i="5"/>
  <c r="Z34578" i="5"/>
  <c r="Z34577" i="5"/>
  <c r="Z34576" i="5"/>
  <c r="Z34575" i="5"/>
  <c r="Z34574" i="5"/>
  <c r="Z34573" i="5"/>
  <c r="Z34572" i="5"/>
  <c r="Z34571" i="5"/>
  <c r="Z34570" i="5"/>
  <c r="Z34569" i="5"/>
  <c r="Z34568" i="5"/>
  <c r="Z34567" i="5"/>
  <c r="Z34566" i="5"/>
  <c r="Z34565" i="5"/>
  <c r="Z34564" i="5"/>
  <c r="Z34563" i="5"/>
  <c r="Z34562" i="5"/>
  <c r="Z34561" i="5"/>
  <c r="Z34560" i="5"/>
  <c r="Z34559" i="5"/>
  <c r="Z34558" i="5"/>
  <c r="Z34557" i="5"/>
  <c r="Z34556" i="5"/>
  <c r="Z34555" i="5"/>
  <c r="Z34554" i="5"/>
  <c r="Z34553" i="5"/>
  <c r="Z34552" i="5"/>
  <c r="Z34551" i="5"/>
  <c r="Z34550" i="5"/>
  <c r="Z34549" i="5"/>
  <c r="Z34548" i="5"/>
  <c r="Z34547" i="5"/>
  <c r="Z34546" i="5"/>
  <c r="Z34545" i="5"/>
  <c r="Z34544" i="5"/>
  <c r="Z34543" i="5"/>
  <c r="Z34542" i="5"/>
  <c r="Z34541" i="5"/>
  <c r="Z34540" i="5"/>
  <c r="Z34539" i="5"/>
  <c r="Z34538" i="5"/>
  <c r="Z34537" i="5"/>
  <c r="Z34536" i="5"/>
  <c r="Z34535" i="5"/>
  <c r="Z34534" i="5"/>
  <c r="Z34533" i="5"/>
  <c r="Z34532" i="5"/>
  <c r="Z34531" i="5"/>
  <c r="Z34530" i="5"/>
  <c r="Z34529" i="5"/>
  <c r="Z34528" i="5"/>
  <c r="Z34527" i="5"/>
  <c r="Z34526" i="5"/>
  <c r="Z34525" i="5"/>
  <c r="Z34524" i="5"/>
  <c r="Z34523" i="5"/>
  <c r="Z34522" i="5"/>
  <c r="Z34521" i="5"/>
  <c r="Z34520" i="5"/>
  <c r="Z34519" i="5"/>
  <c r="Z34518" i="5"/>
  <c r="Z34517" i="5"/>
  <c r="Z34516" i="5"/>
  <c r="Z34515" i="5"/>
  <c r="Z34514" i="5"/>
  <c r="Z34513" i="5"/>
  <c r="Z34512" i="5"/>
  <c r="Z34511" i="5"/>
  <c r="Z34510" i="5"/>
  <c r="Z34509" i="5"/>
  <c r="Z34508" i="5"/>
  <c r="Z34507" i="5"/>
  <c r="Z34506" i="5"/>
  <c r="Z34505" i="5"/>
  <c r="Z34504" i="5"/>
  <c r="Z34503" i="5"/>
  <c r="Z34502" i="5"/>
  <c r="Z34501" i="5"/>
  <c r="Z34500" i="5"/>
  <c r="Z34499" i="5"/>
  <c r="Z34498" i="5"/>
  <c r="Z34497" i="5"/>
  <c r="Z34496" i="5"/>
  <c r="Z34495" i="5"/>
  <c r="Z34494" i="5"/>
  <c r="Z34493" i="5"/>
  <c r="Z34492" i="5"/>
  <c r="Z34491" i="5"/>
  <c r="Z34490" i="5"/>
  <c r="Z34489" i="5"/>
  <c r="Z34488" i="5"/>
  <c r="Z34487" i="5"/>
  <c r="Z34486" i="5"/>
  <c r="Z34485" i="5"/>
  <c r="Z34484" i="5"/>
  <c r="Z34483" i="5"/>
  <c r="Z34482" i="5"/>
  <c r="Z34481" i="5"/>
  <c r="Z34480" i="5"/>
  <c r="Z34479" i="5"/>
  <c r="Z34478" i="5"/>
  <c r="Z34477" i="5"/>
  <c r="Z34476" i="5"/>
  <c r="Z34475" i="5"/>
  <c r="Z34474" i="5"/>
  <c r="Z34473" i="5"/>
  <c r="Z34472" i="5"/>
  <c r="Z34471" i="5"/>
  <c r="Z34470" i="5"/>
  <c r="Z34469" i="5"/>
  <c r="Z34468" i="5"/>
  <c r="Z34467" i="5"/>
  <c r="Z34466" i="5"/>
  <c r="Z34465" i="5"/>
  <c r="Z34464" i="5"/>
  <c r="Z34463" i="5"/>
  <c r="Z34462" i="5"/>
  <c r="Z34461" i="5"/>
  <c r="Z34460" i="5"/>
  <c r="Z34459" i="5"/>
  <c r="Z34458" i="5"/>
  <c r="Z34457" i="5"/>
  <c r="Z34456" i="5"/>
  <c r="Z34455" i="5"/>
  <c r="Z34454" i="5"/>
  <c r="Z34453" i="5"/>
  <c r="Z34452" i="5"/>
  <c r="Z34451" i="5"/>
  <c r="Z34450" i="5"/>
  <c r="Z34449" i="5"/>
  <c r="Z34448" i="5"/>
  <c r="Z34447" i="5"/>
  <c r="Z34446" i="5"/>
  <c r="Z34445" i="5"/>
  <c r="Z34444" i="5"/>
  <c r="Z34443" i="5"/>
  <c r="Z34442" i="5"/>
  <c r="Z34441" i="5"/>
  <c r="Z34440" i="5"/>
  <c r="Z34439" i="5"/>
  <c r="Z34438" i="5"/>
  <c r="Z34437" i="5"/>
  <c r="Z34436" i="5"/>
  <c r="Z34435" i="5"/>
  <c r="Z34434" i="5"/>
  <c r="Z34433" i="5"/>
  <c r="Z34432" i="5"/>
  <c r="Z34431" i="5"/>
  <c r="Z34430" i="5"/>
  <c r="Z34429" i="5"/>
  <c r="Z34428" i="5"/>
  <c r="Z34427" i="5"/>
  <c r="Z34426" i="5"/>
  <c r="Z34425" i="5"/>
  <c r="Z34424" i="5"/>
  <c r="Z34423" i="5"/>
  <c r="Z34422" i="5"/>
  <c r="Z34421" i="5"/>
  <c r="Z34420" i="5"/>
  <c r="Z34419" i="5"/>
  <c r="Z34418" i="5"/>
  <c r="Z34417" i="5"/>
  <c r="Z34416" i="5"/>
  <c r="Z34415" i="5"/>
  <c r="Z34414" i="5"/>
  <c r="Z34413" i="5"/>
  <c r="Z34412" i="5"/>
  <c r="Z34411" i="5"/>
  <c r="Z34410" i="5"/>
  <c r="Z34409" i="5"/>
  <c r="Z34408" i="5"/>
  <c r="Z34407" i="5"/>
  <c r="Z34406" i="5"/>
  <c r="Z34405" i="5"/>
  <c r="Z34404" i="5"/>
  <c r="Z34403" i="5"/>
  <c r="Z34402" i="5"/>
  <c r="Z34401" i="5"/>
  <c r="Z34400" i="5"/>
  <c r="Z34399" i="5"/>
  <c r="Z34398" i="5"/>
  <c r="Z34397" i="5"/>
  <c r="Z34396" i="5"/>
  <c r="Z34395" i="5"/>
  <c r="Z34394" i="5"/>
  <c r="Z34393" i="5"/>
  <c r="Z34392" i="5"/>
  <c r="Z34391" i="5"/>
  <c r="Z34390" i="5"/>
  <c r="Z34389" i="5"/>
  <c r="Z34388" i="5"/>
  <c r="Z34387" i="5"/>
  <c r="Z34386" i="5"/>
  <c r="Z34385" i="5"/>
  <c r="Z34384" i="5"/>
  <c r="Z34383" i="5"/>
  <c r="Z34382" i="5"/>
  <c r="Z34381" i="5"/>
  <c r="Z34380" i="5"/>
  <c r="Z34379" i="5"/>
  <c r="Z34378" i="5"/>
  <c r="Z34377" i="5"/>
  <c r="Z34376" i="5"/>
  <c r="Z34375" i="5"/>
  <c r="Z34374" i="5"/>
  <c r="Z34373" i="5"/>
  <c r="Z34372" i="5"/>
  <c r="Z34371" i="5"/>
  <c r="Z34370" i="5"/>
  <c r="Z34369" i="5"/>
  <c r="Z34368" i="5"/>
  <c r="Z34367" i="5"/>
  <c r="Z34366" i="5"/>
  <c r="Z34365" i="5"/>
  <c r="Z34364" i="5"/>
  <c r="Z34363" i="5"/>
  <c r="Z34362" i="5"/>
  <c r="Z34361" i="5"/>
  <c r="Z34360" i="5"/>
  <c r="Z34359" i="5"/>
  <c r="Z34358" i="5"/>
  <c r="Z34357" i="5"/>
  <c r="Z34356" i="5"/>
  <c r="Z34355" i="5"/>
  <c r="Z34354" i="5"/>
  <c r="Z34353" i="5"/>
  <c r="Z34352" i="5"/>
  <c r="Z34351" i="5"/>
  <c r="Z34350" i="5"/>
  <c r="Z34349" i="5"/>
  <c r="Z34348" i="5"/>
  <c r="Z34347" i="5"/>
  <c r="Z34346" i="5"/>
  <c r="Z34345" i="5"/>
  <c r="Z34344" i="5"/>
  <c r="Z34343" i="5"/>
  <c r="Z34342" i="5"/>
  <c r="Z34341" i="5"/>
  <c r="Z34340" i="5"/>
  <c r="Z34339" i="5"/>
  <c r="Z34338" i="5"/>
  <c r="Z34337" i="5"/>
  <c r="Z34336" i="5"/>
  <c r="Z34335" i="5"/>
  <c r="Z34334" i="5"/>
  <c r="Z34333" i="5"/>
  <c r="Z34332" i="5"/>
  <c r="Z34331" i="5"/>
  <c r="Z34330" i="5"/>
  <c r="Z34329" i="5"/>
  <c r="Z34328" i="5"/>
  <c r="Z34327" i="5"/>
  <c r="Z34326" i="5"/>
  <c r="Z34325" i="5"/>
  <c r="Z34324" i="5"/>
  <c r="Z34323" i="5"/>
  <c r="Z34322" i="5"/>
  <c r="Z34321" i="5"/>
  <c r="Z34320" i="5"/>
  <c r="Z34319" i="5"/>
  <c r="Z34318" i="5"/>
  <c r="Z34317" i="5"/>
  <c r="Z34316" i="5"/>
  <c r="Z34315" i="5"/>
  <c r="Z34314" i="5"/>
  <c r="Z34313" i="5"/>
  <c r="Z34312" i="5"/>
  <c r="Z34311" i="5"/>
  <c r="Z34310" i="5"/>
  <c r="Z34309" i="5"/>
  <c r="Z34308" i="5"/>
  <c r="Z34307" i="5"/>
  <c r="Z34306" i="5"/>
  <c r="Z34305" i="5"/>
  <c r="Z34304" i="5"/>
  <c r="Z34303" i="5"/>
  <c r="Z34302" i="5"/>
  <c r="Z34301" i="5"/>
  <c r="Z34300" i="5"/>
  <c r="Z34299" i="5"/>
  <c r="Z34298" i="5"/>
  <c r="Z34297" i="5"/>
  <c r="Z34296" i="5"/>
  <c r="Z34295" i="5"/>
  <c r="Z34294" i="5"/>
  <c r="Z34293" i="5"/>
  <c r="Z34292" i="5"/>
  <c r="Z34291" i="5"/>
  <c r="Z34290" i="5"/>
  <c r="Z34289" i="5"/>
  <c r="Z34288" i="5"/>
  <c r="Z34287" i="5"/>
  <c r="Z34286" i="5"/>
  <c r="Z34285" i="5"/>
  <c r="Z34284" i="5"/>
  <c r="Z34283" i="5"/>
  <c r="Z34282" i="5"/>
  <c r="Z34281" i="5"/>
  <c r="Z34280" i="5"/>
  <c r="Z34279" i="5"/>
  <c r="Z34278" i="5"/>
  <c r="Z34277" i="5"/>
  <c r="Z34276" i="5"/>
  <c r="Z34275" i="5"/>
  <c r="Z34274" i="5"/>
  <c r="Z34273" i="5"/>
  <c r="Z34272" i="5"/>
  <c r="Z34271" i="5"/>
  <c r="Z34270" i="5"/>
  <c r="Z34269" i="5"/>
  <c r="Z34268" i="5"/>
  <c r="Z34267" i="5"/>
  <c r="Z34266" i="5"/>
  <c r="Z34265" i="5"/>
  <c r="Z34264" i="5"/>
  <c r="Z34263" i="5"/>
  <c r="Z34262" i="5"/>
  <c r="Z34261" i="5"/>
  <c r="Z34260" i="5"/>
  <c r="Z34259" i="5"/>
  <c r="Z34258" i="5"/>
  <c r="Z34257" i="5"/>
  <c r="Z34256" i="5"/>
  <c r="Z34255" i="5"/>
  <c r="Z34254" i="5"/>
  <c r="Z34253" i="5"/>
  <c r="Z34252" i="5"/>
  <c r="Z34251" i="5"/>
  <c r="Z34250" i="5"/>
  <c r="Z34249" i="5"/>
  <c r="Z34248" i="5"/>
  <c r="Z34247" i="5"/>
  <c r="Z34246" i="5"/>
  <c r="Z34245" i="5"/>
  <c r="Z34244" i="5"/>
  <c r="Z34243" i="5"/>
  <c r="Z34242" i="5"/>
  <c r="Z34241" i="5"/>
  <c r="Z34240" i="5"/>
  <c r="Z34239" i="5"/>
  <c r="Z34238" i="5"/>
  <c r="Z34237" i="5"/>
  <c r="Z34236" i="5"/>
  <c r="Z34235" i="5"/>
  <c r="Z34234" i="5"/>
  <c r="Z34233" i="5"/>
  <c r="Z34232" i="5"/>
  <c r="Z34231" i="5"/>
  <c r="Z34230" i="5"/>
  <c r="Z34229" i="5"/>
  <c r="Z34228" i="5"/>
  <c r="Z34227" i="5"/>
  <c r="Z34226" i="5"/>
  <c r="Z34225" i="5"/>
  <c r="Z34224" i="5"/>
  <c r="Z34223" i="5"/>
  <c r="Z34222" i="5"/>
  <c r="Z34221" i="5"/>
  <c r="Z34220" i="5"/>
  <c r="Z34219" i="5"/>
  <c r="Z34218" i="5"/>
  <c r="Z34217" i="5"/>
  <c r="Z34216" i="5"/>
  <c r="Z34215" i="5"/>
  <c r="Z34214" i="5"/>
  <c r="Z34213" i="5"/>
  <c r="Z34212" i="5"/>
  <c r="Z34211" i="5"/>
  <c r="Z34210" i="5"/>
  <c r="Z34209" i="5"/>
  <c r="Z34208" i="5"/>
  <c r="Z34207" i="5"/>
  <c r="Z34206" i="5"/>
  <c r="Z34205" i="5"/>
  <c r="Z34204" i="5"/>
  <c r="Z34203" i="5"/>
  <c r="Z34202" i="5"/>
  <c r="Z34201" i="5"/>
  <c r="Z34200" i="5"/>
  <c r="Z34199" i="5"/>
  <c r="Z34198" i="5"/>
  <c r="Z34197" i="5"/>
  <c r="Z34196" i="5"/>
  <c r="Z34195" i="5"/>
  <c r="Z34194" i="5"/>
  <c r="Z34193" i="5"/>
  <c r="Z34192" i="5"/>
  <c r="Z34191" i="5"/>
  <c r="Z34190" i="5"/>
  <c r="Z34189" i="5"/>
  <c r="Z34188" i="5"/>
  <c r="Z34187" i="5"/>
  <c r="Z34186" i="5"/>
  <c r="Z34185" i="5"/>
  <c r="Z34184" i="5"/>
  <c r="Z34183" i="5"/>
  <c r="Z34182" i="5"/>
  <c r="Z34181" i="5"/>
  <c r="Z34180" i="5"/>
  <c r="Z34179" i="5"/>
  <c r="Z34178" i="5"/>
  <c r="Z34177" i="5"/>
  <c r="Z34176" i="5"/>
  <c r="Z34175" i="5"/>
  <c r="Z34174" i="5"/>
  <c r="Z34173" i="5"/>
  <c r="Z34172" i="5"/>
  <c r="Z34171" i="5"/>
  <c r="Z34170" i="5"/>
  <c r="Z34169" i="5"/>
  <c r="Z34168" i="5"/>
  <c r="Z34167" i="5"/>
  <c r="Z34166" i="5"/>
  <c r="Z34165" i="5"/>
  <c r="Z34164" i="5"/>
  <c r="Z34163" i="5"/>
  <c r="Z34162" i="5"/>
  <c r="Z34161" i="5"/>
  <c r="Z34160" i="5"/>
  <c r="Z34159" i="5"/>
  <c r="Z34158" i="5"/>
  <c r="Z34157" i="5"/>
  <c r="Z34156" i="5"/>
  <c r="Z34155" i="5"/>
  <c r="Z34154" i="5"/>
  <c r="Z34153" i="5"/>
  <c r="Z34152" i="5"/>
  <c r="Z34151" i="5"/>
  <c r="Z34150" i="5"/>
  <c r="Z34149" i="5"/>
  <c r="Z34148" i="5"/>
  <c r="Z34147" i="5"/>
  <c r="Z34146" i="5"/>
  <c r="Z34145" i="5"/>
  <c r="Z34144" i="5"/>
  <c r="Z34143" i="5"/>
  <c r="Z34142" i="5"/>
  <c r="Z34141" i="5"/>
  <c r="Z34140" i="5"/>
  <c r="Z34139" i="5"/>
  <c r="Z34138" i="5"/>
  <c r="Z34137" i="5"/>
  <c r="Z34136" i="5"/>
  <c r="Z34135" i="5"/>
  <c r="Z34134" i="5"/>
  <c r="Z34133" i="5"/>
  <c r="Z34132" i="5"/>
  <c r="Z34131" i="5"/>
  <c r="Z34130" i="5"/>
  <c r="Z34129" i="5"/>
  <c r="Z34128" i="5"/>
  <c r="Z34127" i="5"/>
  <c r="Z34126" i="5"/>
  <c r="Z34125" i="5"/>
  <c r="Z34124" i="5"/>
  <c r="Z34123" i="5"/>
  <c r="Z34122" i="5"/>
  <c r="Z34121" i="5"/>
  <c r="Z34120" i="5"/>
  <c r="Z34119" i="5"/>
  <c r="Z34118" i="5"/>
  <c r="Z34117" i="5"/>
  <c r="Z34116" i="5"/>
  <c r="Z34115" i="5"/>
  <c r="Z34114" i="5"/>
  <c r="Z34113" i="5"/>
  <c r="Z34112" i="5"/>
  <c r="Z34111" i="5"/>
  <c r="Z34110" i="5"/>
  <c r="Z34109" i="5"/>
  <c r="Z34108" i="5"/>
  <c r="Z34107" i="5"/>
  <c r="Z34106" i="5"/>
  <c r="Z34105" i="5"/>
  <c r="Z34104" i="5"/>
  <c r="Z34103" i="5"/>
  <c r="Z34102" i="5"/>
  <c r="Z34101" i="5"/>
  <c r="Z34100" i="5"/>
  <c r="Z34099" i="5"/>
  <c r="Z34098" i="5"/>
  <c r="Z34097" i="5"/>
  <c r="Z34096" i="5"/>
  <c r="Z34095" i="5"/>
  <c r="Z34094" i="5"/>
  <c r="Z34093" i="5"/>
  <c r="Z34092" i="5"/>
  <c r="Z34091" i="5"/>
  <c r="Z34090" i="5"/>
  <c r="Z34089" i="5"/>
  <c r="Z34088" i="5"/>
  <c r="Z34087" i="5"/>
  <c r="Z34086" i="5"/>
  <c r="Z34085" i="5"/>
  <c r="Z34084" i="5"/>
  <c r="Z34083" i="5"/>
  <c r="Z34082" i="5"/>
  <c r="Z34081" i="5"/>
  <c r="Z34080" i="5"/>
  <c r="Z34079" i="5"/>
  <c r="Z34078" i="5"/>
  <c r="Z34077" i="5"/>
  <c r="Z34076" i="5"/>
  <c r="Z34075" i="5"/>
  <c r="Z34074" i="5"/>
  <c r="Z34073" i="5"/>
  <c r="Z34072" i="5"/>
  <c r="Z34071" i="5"/>
  <c r="Z34070" i="5"/>
  <c r="Z34069" i="5"/>
  <c r="Z34068" i="5"/>
  <c r="Z34067" i="5"/>
  <c r="Z34066" i="5"/>
  <c r="Z34065" i="5"/>
  <c r="Z34064" i="5"/>
  <c r="Z34063" i="5"/>
  <c r="Z34062" i="5"/>
  <c r="Z34061" i="5"/>
  <c r="Z34060" i="5"/>
  <c r="Z34059" i="5"/>
  <c r="Z34058" i="5"/>
  <c r="Z34057" i="5"/>
  <c r="Z34056" i="5"/>
  <c r="Z34055" i="5"/>
  <c r="Z34054" i="5"/>
  <c r="Z34053" i="5"/>
  <c r="Z34052" i="5"/>
  <c r="Z34051" i="5"/>
  <c r="Z34050" i="5"/>
  <c r="Z34049" i="5"/>
  <c r="Z34048" i="5"/>
  <c r="Z34047" i="5"/>
  <c r="Z34046" i="5"/>
  <c r="Z34045" i="5"/>
  <c r="Z34044" i="5"/>
  <c r="Z34043" i="5"/>
  <c r="Z34042" i="5"/>
  <c r="Z34041" i="5"/>
  <c r="Z34040" i="5"/>
  <c r="Z34039" i="5"/>
  <c r="Z34038" i="5"/>
  <c r="Z34037" i="5"/>
  <c r="Z34036" i="5"/>
  <c r="Z34035" i="5"/>
  <c r="Z34034" i="5"/>
  <c r="Z34033" i="5"/>
  <c r="Z34032" i="5"/>
  <c r="Z34031" i="5"/>
  <c r="Z34030" i="5"/>
  <c r="Z34029" i="5"/>
  <c r="Z34028" i="5"/>
  <c r="Z34027" i="5"/>
  <c r="Z34026" i="5"/>
  <c r="Z34025" i="5"/>
  <c r="Z34024" i="5"/>
  <c r="Z34023" i="5"/>
  <c r="Z34022" i="5"/>
  <c r="Z34021" i="5"/>
  <c r="Z34020" i="5"/>
  <c r="Z34019" i="5"/>
  <c r="Z34018" i="5"/>
  <c r="Z34017" i="5"/>
  <c r="Z34016" i="5"/>
  <c r="Z34015" i="5"/>
  <c r="Z34014" i="5"/>
  <c r="Z34013" i="5"/>
  <c r="Z34012" i="5"/>
  <c r="Z34011" i="5"/>
  <c r="Z34010" i="5"/>
  <c r="Z34009" i="5"/>
  <c r="Z34008" i="5"/>
  <c r="Z34007" i="5"/>
  <c r="Z34006" i="5"/>
  <c r="Z34005" i="5"/>
  <c r="Z34004" i="5"/>
  <c r="Z34003" i="5"/>
  <c r="Z34002" i="5"/>
  <c r="Z34001" i="5"/>
  <c r="Z34000" i="5"/>
  <c r="Z33999" i="5"/>
  <c r="Z33998" i="5"/>
  <c r="Z33997" i="5"/>
  <c r="Z33996" i="5"/>
  <c r="Z33995" i="5"/>
  <c r="Z33994" i="5"/>
  <c r="Z33993" i="5"/>
  <c r="Z33992" i="5"/>
  <c r="Z33991" i="5"/>
  <c r="Z33990" i="5"/>
  <c r="Z33989" i="5"/>
  <c r="Z33988" i="5"/>
  <c r="Z33987" i="5"/>
  <c r="Z33986" i="5"/>
  <c r="Z33985" i="5"/>
  <c r="Z33984" i="5"/>
  <c r="Z33983" i="5"/>
  <c r="Z33982" i="5"/>
  <c r="Z33981" i="5"/>
  <c r="Z33980" i="5"/>
  <c r="Z33979" i="5"/>
  <c r="Z33978" i="5"/>
  <c r="Z33977" i="5"/>
  <c r="Z33976" i="5"/>
  <c r="Z33975" i="5"/>
  <c r="Z33974" i="5"/>
  <c r="Z33973" i="5"/>
  <c r="Z33972" i="5"/>
  <c r="Z33971" i="5"/>
  <c r="Z33970" i="5"/>
  <c r="Z33969" i="5"/>
  <c r="Z33968" i="5"/>
  <c r="Z33967" i="5"/>
  <c r="Z33966" i="5"/>
  <c r="Z33965" i="5"/>
  <c r="Z33964" i="5"/>
  <c r="Z33963" i="5"/>
  <c r="Z33962" i="5"/>
  <c r="Z33961" i="5"/>
  <c r="Z33960" i="5"/>
  <c r="Z33959" i="5"/>
  <c r="Z33958" i="5"/>
  <c r="Z33957" i="5"/>
  <c r="Z33956" i="5"/>
  <c r="Z33955" i="5"/>
  <c r="Z33954" i="5"/>
  <c r="Z33953" i="5"/>
  <c r="Z33952" i="5"/>
  <c r="Z33951" i="5"/>
  <c r="Z33950" i="5"/>
  <c r="Z33949" i="5"/>
  <c r="Z33948" i="5"/>
  <c r="Z33947" i="5"/>
  <c r="Z33946" i="5"/>
  <c r="Z33945" i="5"/>
  <c r="Z33944" i="5"/>
  <c r="Z33943" i="5"/>
  <c r="Z33942" i="5"/>
  <c r="Z33941" i="5"/>
  <c r="Z33940" i="5"/>
  <c r="Z33939" i="5"/>
  <c r="Z33938" i="5"/>
  <c r="Z33937" i="5"/>
  <c r="Z33936" i="5"/>
  <c r="Z33935" i="5"/>
  <c r="Z33934" i="5"/>
  <c r="Z33933" i="5"/>
  <c r="Z33932" i="5"/>
  <c r="Z33931" i="5"/>
  <c r="Z33930" i="5"/>
  <c r="Z33929" i="5"/>
  <c r="Z33928" i="5"/>
  <c r="Z33927" i="5"/>
  <c r="Z33926" i="5"/>
  <c r="Z33925" i="5"/>
  <c r="Z33924" i="5"/>
  <c r="Z33923" i="5"/>
  <c r="Z33922" i="5"/>
  <c r="Z33921" i="5"/>
  <c r="Z33920" i="5"/>
  <c r="Z33919" i="5"/>
  <c r="Z33918" i="5"/>
  <c r="Z33917" i="5"/>
  <c r="Z33916" i="5"/>
  <c r="Z33915" i="5"/>
  <c r="Z33914" i="5"/>
  <c r="Z33913" i="5"/>
  <c r="Z33912" i="5"/>
  <c r="Z33911" i="5"/>
  <c r="Z33910" i="5"/>
  <c r="Z33909" i="5"/>
  <c r="Z33908" i="5"/>
  <c r="Z33907" i="5"/>
  <c r="Z33906" i="5"/>
  <c r="Z33905" i="5"/>
  <c r="Z33904" i="5"/>
  <c r="Z33903" i="5"/>
  <c r="Z33902" i="5"/>
  <c r="Z33901" i="5"/>
  <c r="Z33900" i="5"/>
  <c r="Z33899" i="5"/>
  <c r="Z33898" i="5"/>
  <c r="Z33897" i="5"/>
  <c r="Z33896" i="5"/>
  <c r="Z33895" i="5"/>
  <c r="Z33894" i="5"/>
  <c r="Z33893" i="5"/>
  <c r="Z33892" i="5"/>
  <c r="Z33891" i="5"/>
  <c r="Z33890" i="5"/>
  <c r="Z33889" i="5"/>
  <c r="Z33888" i="5"/>
  <c r="Z33887" i="5"/>
  <c r="Z33886" i="5"/>
  <c r="Z33885" i="5"/>
  <c r="Z33884" i="5"/>
  <c r="Z33883" i="5"/>
  <c r="Z33882" i="5"/>
  <c r="Z33881" i="5"/>
  <c r="Z33880" i="5"/>
  <c r="Z33879" i="5"/>
  <c r="Z33878" i="5"/>
  <c r="Z33877" i="5"/>
  <c r="Z33876" i="5"/>
  <c r="Z33875" i="5"/>
  <c r="Z33874" i="5"/>
  <c r="Z33873" i="5"/>
  <c r="Z33872" i="5"/>
  <c r="Z33871" i="5"/>
  <c r="Z33870" i="5"/>
  <c r="Z33869" i="5"/>
  <c r="Z33868" i="5"/>
  <c r="Z33867" i="5"/>
  <c r="Z33866" i="5"/>
  <c r="Z33865" i="5"/>
  <c r="Z33864" i="5"/>
  <c r="Z33863" i="5"/>
  <c r="Z33862" i="5"/>
  <c r="Z33861" i="5"/>
  <c r="Z33860" i="5"/>
  <c r="Z33859" i="5"/>
  <c r="Z33858" i="5"/>
  <c r="Z33857" i="5"/>
  <c r="Z33856" i="5"/>
  <c r="Z33855" i="5"/>
  <c r="Z33854" i="5"/>
  <c r="Z33853" i="5"/>
  <c r="Z33852" i="5"/>
  <c r="Z33851" i="5"/>
  <c r="Z33850" i="5"/>
  <c r="Z33849" i="5"/>
  <c r="Z33848" i="5"/>
  <c r="Z33847" i="5"/>
  <c r="Z33846" i="5"/>
  <c r="Z33845" i="5"/>
  <c r="Z33844" i="5"/>
  <c r="Z33843" i="5"/>
  <c r="Z33842" i="5"/>
  <c r="Z33841" i="5"/>
  <c r="Z33840" i="5"/>
  <c r="Z33839" i="5"/>
  <c r="Z33838" i="5"/>
  <c r="Z33837" i="5"/>
  <c r="Z33836" i="5"/>
  <c r="Z33835" i="5"/>
  <c r="Z33834" i="5"/>
  <c r="Z33833" i="5"/>
  <c r="Z33832" i="5"/>
  <c r="Z33831" i="5"/>
  <c r="Z33830" i="5"/>
  <c r="Z33829" i="5"/>
  <c r="Z33828" i="5"/>
  <c r="Z33827" i="5"/>
  <c r="Z33826" i="5"/>
  <c r="Z33825" i="5"/>
  <c r="Z33824" i="5"/>
  <c r="Z33823" i="5"/>
  <c r="Z33822" i="5"/>
  <c r="Z33821" i="5"/>
  <c r="Z33820" i="5"/>
  <c r="Z33819" i="5"/>
  <c r="Z33818" i="5"/>
  <c r="Z33817" i="5"/>
  <c r="Z33816" i="5"/>
  <c r="Z33815" i="5"/>
  <c r="Z33814" i="5"/>
  <c r="Z33813" i="5"/>
  <c r="Z33812" i="5"/>
  <c r="Z33811" i="5"/>
  <c r="Z33810" i="5"/>
  <c r="Z33809" i="5"/>
  <c r="Z33808" i="5"/>
  <c r="Z33807" i="5"/>
  <c r="Z33806" i="5"/>
  <c r="Z33805" i="5"/>
  <c r="Z33804" i="5"/>
  <c r="Z33803" i="5"/>
  <c r="Z33802" i="5"/>
  <c r="Z33801" i="5"/>
  <c r="Z33800" i="5"/>
  <c r="Z33799" i="5"/>
  <c r="Z33798" i="5"/>
  <c r="Z33797" i="5"/>
  <c r="Z33796" i="5"/>
  <c r="Z33795" i="5"/>
  <c r="Z33794" i="5"/>
  <c r="Z33793" i="5"/>
  <c r="Z33792" i="5"/>
  <c r="Z33791" i="5"/>
  <c r="Z33790" i="5"/>
  <c r="Z33789" i="5"/>
  <c r="Z33788" i="5"/>
  <c r="Z33787" i="5"/>
  <c r="Z33786" i="5"/>
  <c r="Z33785" i="5"/>
  <c r="Z33784" i="5"/>
  <c r="Z33783" i="5"/>
  <c r="Z33782" i="5"/>
  <c r="Z33781" i="5"/>
  <c r="Z33780" i="5"/>
  <c r="Z33779" i="5"/>
  <c r="Z33778" i="5"/>
  <c r="Z33777" i="5"/>
  <c r="Z33776" i="5"/>
  <c r="Z33775" i="5"/>
  <c r="Z33774" i="5"/>
  <c r="Z33773" i="5"/>
  <c r="Z33772" i="5"/>
  <c r="Z33771" i="5"/>
  <c r="Z33770" i="5"/>
  <c r="Z33769" i="5"/>
  <c r="Z33768" i="5"/>
  <c r="Z33767" i="5"/>
  <c r="Z33766" i="5"/>
  <c r="Z33765" i="5"/>
  <c r="Z33764" i="5"/>
  <c r="Z33763" i="5"/>
  <c r="Z33762" i="5"/>
  <c r="Z33761" i="5"/>
  <c r="Z33760" i="5"/>
  <c r="Z33759" i="5"/>
  <c r="Z33758" i="5"/>
  <c r="Z33757" i="5"/>
  <c r="Z33756" i="5"/>
  <c r="Z33755" i="5"/>
  <c r="Z33754" i="5"/>
  <c r="Z33753" i="5"/>
  <c r="Z33752" i="5"/>
  <c r="Z33751" i="5"/>
  <c r="Z33750" i="5"/>
  <c r="Z33749" i="5"/>
  <c r="Z33748" i="5"/>
  <c r="Z33747" i="5"/>
  <c r="Z33746" i="5"/>
  <c r="Z33745" i="5"/>
  <c r="Z33744" i="5"/>
  <c r="Z33743" i="5"/>
  <c r="Z33742" i="5"/>
  <c r="Z33741" i="5"/>
  <c r="Z33740" i="5"/>
  <c r="Z33739" i="5"/>
  <c r="Z33738" i="5"/>
  <c r="Z33737" i="5"/>
  <c r="Z33736" i="5"/>
  <c r="Z33735" i="5"/>
  <c r="Z33734" i="5"/>
  <c r="Z33733" i="5"/>
  <c r="Z33732" i="5"/>
  <c r="Z33731" i="5"/>
  <c r="Z33730" i="5"/>
  <c r="Z33729" i="5"/>
  <c r="Z33728" i="5"/>
  <c r="Z33727" i="5"/>
  <c r="Z33726" i="5"/>
  <c r="Z33725" i="5"/>
  <c r="Z33724" i="5"/>
  <c r="Z33723" i="5"/>
  <c r="Z33722" i="5"/>
  <c r="Z33721" i="5"/>
  <c r="Z33720" i="5"/>
  <c r="Z33719" i="5"/>
  <c r="Z33718" i="5"/>
  <c r="Z33717" i="5"/>
  <c r="Z33716" i="5"/>
  <c r="Z33715" i="5"/>
  <c r="Z33714" i="5"/>
  <c r="Z33713" i="5"/>
  <c r="Z33712" i="5"/>
  <c r="Z33711" i="5"/>
  <c r="Z33710" i="5"/>
  <c r="Z33709" i="5"/>
  <c r="Z33708" i="5"/>
  <c r="Z33707" i="5"/>
  <c r="Z33706" i="5"/>
  <c r="Z33705" i="5"/>
  <c r="Z33704" i="5"/>
  <c r="Z33703" i="5"/>
  <c r="Z33702" i="5"/>
  <c r="Z33701" i="5"/>
  <c r="Z33700" i="5"/>
  <c r="Z33699" i="5"/>
  <c r="Z33698" i="5"/>
  <c r="Z33697" i="5"/>
  <c r="Z33696" i="5"/>
  <c r="Z33695" i="5"/>
  <c r="Z33694" i="5"/>
  <c r="Z33693" i="5"/>
  <c r="Z33692" i="5"/>
  <c r="Z33691" i="5"/>
  <c r="Z33690" i="5"/>
  <c r="Z33689" i="5"/>
  <c r="Z33688" i="5"/>
  <c r="Z33687" i="5"/>
  <c r="Z33686" i="5"/>
  <c r="Z33685" i="5"/>
  <c r="Z33684" i="5"/>
  <c r="Z33683" i="5"/>
  <c r="Z33682" i="5"/>
  <c r="Z33681" i="5"/>
  <c r="Z33680" i="5"/>
  <c r="Z33679" i="5"/>
  <c r="Z33678" i="5"/>
  <c r="Z33677" i="5"/>
  <c r="Z33676" i="5"/>
  <c r="Z33675" i="5"/>
  <c r="Z33674" i="5"/>
  <c r="Z33673" i="5"/>
  <c r="Z33672" i="5"/>
  <c r="Z33671" i="5"/>
  <c r="Z33670" i="5"/>
  <c r="Z33669" i="5"/>
  <c r="Z33668" i="5"/>
  <c r="Z33667" i="5"/>
  <c r="Z33666" i="5"/>
  <c r="Z33665" i="5"/>
  <c r="Z33664" i="5"/>
  <c r="Z33663" i="5"/>
  <c r="Z33662" i="5"/>
  <c r="Z33661" i="5"/>
  <c r="Z33660" i="5"/>
  <c r="Z33659" i="5"/>
  <c r="Z33658" i="5"/>
  <c r="Z33657" i="5"/>
  <c r="Z33656" i="5"/>
  <c r="Z33655" i="5"/>
  <c r="Z33654" i="5"/>
  <c r="Z33653" i="5"/>
  <c r="Z33652" i="5"/>
  <c r="Z33651" i="5"/>
  <c r="Z33650" i="5"/>
  <c r="Z33649" i="5"/>
  <c r="Z33648" i="5"/>
  <c r="Z33647" i="5"/>
  <c r="Z33646" i="5"/>
  <c r="Z33645" i="5"/>
  <c r="Z33644" i="5"/>
  <c r="Z33643" i="5"/>
  <c r="Z33642" i="5"/>
  <c r="Z33641" i="5"/>
  <c r="Z33640" i="5"/>
  <c r="Z33639" i="5"/>
  <c r="Z33638" i="5"/>
  <c r="Z33637" i="5"/>
  <c r="Z33636" i="5"/>
  <c r="Z33635" i="5"/>
  <c r="Z33634" i="5"/>
  <c r="Z33633" i="5"/>
  <c r="Z33632" i="5"/>
  <c r="Z33631" i="5"/>
  <c r="Z33630" i="5"/>
  <c r="Z33629" i="5"/>
  <c r="Z33628" i="5"/>
  <c r="Z33627" i="5"/>
  <c r="Z33626" i="5"/>
  <c r="Z33625" i="5"/>
  <c r="Z33624" i="5"/>
  <c r="Z33623" i="5"/>
  <c r="Z33622" i="5"/>
  <c r="Z33621" i="5"/>
  <c r="Z33620" i="5"/>
  <c r="Z33619" i="5"/>
  <c r="Z33618" i="5"/>
  <c r="Z33617" i="5"/>
  <c r="Z33616" i="5"/>
  <c r="Z33615" i="5"/>
  <c r="Z33614" i="5"/>
  <c r="Z33613" i="5"/>
  <c r="Z33612" i="5"/>
  <c r="Z33611" i="5"/>
  <c r="Z33610" i="5"/>
  <c r="Z33609" i="5"/>
  <c r="Z33608" i="5"/>
  <c r="Z33607" i="5"/>
  <c r="Z33606" i="5"/>
  <c r="Z33605" i="5"/>
  <c r="Z33604" i="5"/>
  <c r="Z33603" i="5"/>
  <c r="Z33602" i="5"/>
  <c r="Z33601" i="5"/>
  <c r="Z33600" i="5"/>
  <c r="Z33599" i="5"/>
  <c r="Z33598" i="5"/>
  <c r="Z33597" i="5"/>
  <c r="Z33596" i="5"/>
  <c r="Z33595" i="5"/>
  <c r="Z33594" i="5"/>
  <c r="Z33593" i="5"/>
  <c r="Z33592" i="5"/>
  <c r="Z33591" i="5"/>
  <c r="Z33590" i="5"/>
  <c r="Z33589" i="5"/>
  <c r="Z33588" i="5"/>
  <c r="Z33587" i="5"/>
  <c r="Z33586" i="5"/>
  <c r="Z33585" i="5"/>
  <c r="Z33584" i="5"/>
  <c r="Z33583" i="5"/>
  <c r="Z33582" i="5"/>
  <c r="Z33581" i="5"/>
  <c r="Z33580" i="5"/>
  <c r="Z33579" i="5"/>
  <c r="Z33578" i="5"/>
  <c r="Z33577" i="5"/>
  <c r="Z33576" i="5"/>
  <c r="Z33575" i="5"/>
  <c r="Z33574" i="5"/>
  <c r="Z33573" i="5"/>
  <c r="Z33572" i="5"/>
  <c r="Z33571" i="5"/>
  <c r="Z33570" i="5"/>
  <c r="Z33569" i="5"/>
  <c r="Z33568" i="5"/>
  <c r="Z33567" i="5"/>
  <c r="Z33566" i="5"/>
  <c r="Z33565" i="5"/>
  <c r="Z33564" i="5"/>
  <c r="Z33563" i="5"/>
  <c r="Z33562" i="5"/>
  <c r="Z33561" i="5"/>
  <c r="Z33560" i="5"/>
  <c r="Z33559" i="5"/>
  <c r="Z33558" i="5"/>
  <c r="Z33557" i="5"/>
  <c r="Z33556" i="5"/>
  <c r="Z33555" i="5"/>
  <c r="Z33554" i="5"/>
  <c r="Z33553" i="5"/>
  <c r="Z33552" i="5"/>
  <c r="Z33551" i="5"/>
  <c r="Z33550" i="5"/>
  <c r="Z33549" i="5"/>
  <c r="Z33548" i="5"/>
  <c r="Z33547" i="5"/>
  <c r="Z33546" i="5"/>
  <c r="Z33545" i="5"/>
  <c r="Z33544" i="5"/>
  <c r="Z33543" i="5"/>
  <c r="Z33542" i="5"/>
  <c r="Z33541" i="5"/>
  <c r="Z33540" i="5"/>
  <c r="Z33539" i="5"/>
  <c r="Z33538" i="5"/>
  <c r="Z33537" i="5"/>
  <c r="Z33536" i="5"/>
  <c r="Z33535" i="5"/>
  <c r="Z33534" i="5"/>
  <c r="Z33533" i="5"/>
  <c r="Z33532" i="5"/>
  <c r="Z33531" i="5"/>
  <c r="Z33530" i="5"/>
  <c r="Z33529" i="5"/>
  <c r="Z33528" i="5"/>
  <c r="Z33527" i="5"/>
  <c r="Z33526" i="5"/>
  <c r="Z33525" i="5"/>
  <c r="Z33524" i="5"/>
  <c r="Z33523" i="5"/>
  <c r="Z33522" i="5"/>
  <c r="Z33521" i="5"/>
  <c r="Z33520" i="5"/>
  <c r="Z33519" i="5"/>
  <c r="Z33518" i="5"/>
  <c r="Z33517" i="5"/>
  <c r="Z33516" i="5"/>
  <c r="Z33515" i="5"/>
  <c r="Z33514" i="5"/>
  <c r="Z33513" i="5"/>
  <c r="Z33512" i="5"/>
  <c r="Z33511" i="5"/>
  <c r="Z33510" i="5"/>
  <c r="Z33509" i="5"/>
  <c r="Z33508" i="5"/>
  <c r="Z33507" i="5"/>
  <c r="Z33506" i="5"/>
  <c r="Z33505" i="5"/>
  <c r="Z33504" i="5"/>
  <c r="Z33503" i="5"/>
  <c r="Z33502" i="5"/>
  <c r="Z33501" i="5"/>
  <c r="Z33500" i="5"/>
  <c r="Z33499" i="5"/>
  <c r="Z33498" i="5"/>
  <c r="Z33497" i="5"/>
  <c r="Z33496" i="5"/>
  <c r="Z33495" i="5"/>
  <c r="Z33494" i="5"/>
  <c r="Z33493" i="5"/>
  <c r="Z33492" i="5"/>
  <c r="Z33491" i="5"/>
  <c r="Z33490" i="5"/>
  <c r="Z33489" i="5"/>
  <c r="Z33488" i="5"/>
  <c r="Z33487" i="5"/>
  <c r="Z33486" i="5"/>
  <c r="Z33485" i="5"/>
  <c r="Z33484" i="5"/>
  <c r="Z33483" i="5"/>
  <c r="Z33482" i="5"/>
  <c r="Z33481" i="5"/>
  <c r="Z33480" i="5"/>
  <c r="Z33479" i="5"/>
  <c r="Z33478" i="5"/>
  <c r="Z33477" i="5"/>
  <c r="Z33476" i="5"/>
  <c r="Z33475" i="5"/>
  <c r="Z33474" i="5"/>
  <c r="Z33473" i="5"/>
  <c r="Z33472" i="5"/>
  <c r="Z33471" i="5"/>
  <c r="Z33470" i="5"/>
  <c r="Z33469" i="5"/>
  <c r="Z33468" i="5"/>
  <c r="Z33467" i="5"/>
  <c r="Z33466" i="5"/>
  <c r="Z33465" i="5"/>
  <c r="Z33464" i="5"/>
  <c r="Z33463" i="5"/>
  <c r="Z33462" i="5"/>
  <c r="Z33461" i="5"/>
  <c r="Z33460" i="5"/>
  <c r="Z33459" i="5"/>
  <c r="Z33458" i="5"/>
  <c r="Z33457" i="5"/>
  <c r="Z33456" i="5"/>
  <c r="Z33455" i="5"/>
  <c r="Z33454" i="5"/>
  <c r="Z33453" i="5"/>
  <c r="Z33452" i="5"/>
  <c r="Z33451" i="5"/>
  <c r="Z33450" i="5"/>
  <c r="Z33449" i="5"/>
  <c r="Z33448" i="5"/>
  <c r="Z33447" i="5"/>
  <c r="Z33446" i="5"/>
  <c r="Z33445" i="5"/>
  <c r="Z33444" i="5"/>
  <c r="Z33443" i="5"/>
  <c r="Z33442" i="5"/>
  <c r="Z33441" i="5"/>
  <c r="Z33440" i="5"/>
  <c r="Z33439" i="5"/>
  <c r="Z33438" i="5"/>
  <c r="Z33437" i="5"/>
  <c r="Z33436" i="5"/>
  <c r="Z33435" i="5"/>
  <c r="Z33434" i="5"/>
  <c r="Z33433" i="5"/>
  <c r="Z33432" i="5"/>
  <c r="Z33431" i="5"/>
  <c r="Z33430" i="5"/>
  <c r="Z33429" i="5"/>
  <c r="Z33428" i="5"/>
  <c r="Z33427" i="5"/>
  <c r="Z33426" i="5"/>
  <c r="Z33425" i="5"/>
  <c r="Z33424" i="5"/>
  <c r="Z33423" i="5"/>
  <c r="Z33422" i="5"/>
  <c r="Z33421" i="5"/>
  <c r="Z33420" i="5"/>
  <c r="Z33419" i="5"/>
  <c r="Z33418" i="5"/>
  <c r="Z33417" i="5"/>
  <c r="Z33416" i="5"/>
  <c r="Z33415" i="5"/>
  <c r="Z33414" i="5"/>
  <c r="Z33413" i="5"/>
  <c r="Z33412" i="5"/>
  <c r="Z33411" i="5"/>
  <c r="Z33410" i="5"/>
  <c r="Z33409" i="5"/>
  <c r="Z33408" i="5"/>
  <c r="Z33407" i="5"/>
  <c r="Z33406" i="5"/>
  <c r="Z33405" i="5"/>
  <c r="Z33404" i="5"/>
  <c r="Z33403" i="5"/>
  <c r="Z33402" i="5"/>
  <c r="Z33401" i="5"/>
  <c r="Z33400" i="5"/>
  <c r="Z33399" i="5"/>
  <c r="Z33398" i="5"/>
  <c r="Z33397" i="5"/>
  <c r="Z33396" i="5"/>
  <c r="Z33395" i="5"/>
  <c r="Z33394" i="5"/>
  <c r="Z33393" i="5"/>
  <c r="Z33392" i="5"/>
  <c r="Z33391" i="5"/>
  <c r="Z33390" i="5"/>
  <c r="Z33389" i="5"/>
  <c r="Z33388" i="5"/>
  <c r="Z33387" i="5"/>
  <c r="Z33386" i="5"/>
  <c r="Z33385" i="5"/>
  <c r="Z33384" i="5"/>
  <c r="Z33383" i="5"/>
  <c r="Z33382" i="5"/>
  <c r="Z33381" i="5"/>
  <c r="Z33380" i="5"/>
  <c r="Z33379" i="5"/>
  <c r="Z33378" i="5"/>
  <c r="Z33377" i="5"/>
  <c r="Z33376" i="5"/>
  <c r="Z33375" i="5"/>
  <c r="Z33374" i="5"/>
  <c r="Z33373" i="5"/>
  <c r="Z33372" i="5"/>
  <c r="Z33371" i="5"/>
  <c r="Z33370" i="5"/>
  <c r="Z33369" i="5"/>
  <c r="Z33368" i="5"/>
  <c r="Z33367" i="5"/>
  <c r="Z33366" i="5"/>
  <c r="Z33365" i="5"/>
  <c r="Z33364" i="5"/>
  <c r="Z33363" i="5"/>
  <c r="Z33362" i="5"/>
  <c r="Z33361" i="5"/>
  <c r="Z33360" i="5"/>
  <c r="Z33359" i="5"/>
  <c r="Z33358" i="5"/>
  <c r="Z33357" i="5"/>
  <c r="Z33356" i="5"/>
  <c r="Z33355" i="5"/>
  <c r="Z33354" i="5"/>
  <c r="Z33353" i="5"/>
  <c r="Z33352" i="5"/>
  <c r="Z33351" i="5"/>
  <c r="Z33350" i="5"/>
  <c r="Z33349" i="5"/>
  <c r="Z33348" i="5"/>
  <c r="Z33347" i="5"/>
  <c r="Z33346" i="5"/>
  <c r="Z33345" i="5"/>
  <c r="Z33344" i="5"/>
  <c r="Z33343" i="5"/>
  <c r="Z33342" i="5"/>
  <c r="Z33341" i="5"/>
  <c r="Z33340" i="5"/>
  <c r="Z33339" i="5"/>
  <c r="Z33338" i="5"/>
  <c r="Z33337" i="5"/>
  <c r="Z33336" i="5"/>
  <c r="Z33335" i="5"/>
  <c r="Z33334" i="5"/>
  <c r="Z33333" i="5"/>
  <c r="Z33332" i="5"/>
  <c r="Z33331" i="5"/>
  <c r="Z33330" i="5"/>
  <c r="Z33329" i="5"/>
  <c r="Z33328" i="5"/>
  <c r="Z33327" i="5"/>
  <c r="Z33326" i="5"/>
  <c r="Z33325" i="5"/>
  <c r="Z33324" i="5"/>
  <c r="Z33323" i="5"/>
  <c r="Z33322" i="5"/>
  <c r="Z33321" i="5"/>
  <c r="Z33320" i="5"/>
  <c r="Z33319" i="5"/>
  <c r="Z33318" i="5"/>
  <c r="Z33317" i="5"/>
  <c r="Z33316" i="5"/>
  <c r="Z33315" i="5"/>
  <c r="Z33314" i="5"/>
  <c r="Z33313" i="5"/>
  <c r="Z33312" i="5"/>
  <c r="Z33311" i="5"/>
  <c r="Z33310" i="5"/>
  <c r="Z33309" i="5"/>
  <c r="Z33308" i="5"/>
  <c r="Z33307" i="5"/>
  <c r="Z33306" i="5"/>
  <c r="Z33305" i="5"/>
  <c r="Z33304" i="5"/>
  <c r="Z33303" i="5"/>
  <c r="Z33302" i="5"/>
  <c r="Z33301" i="5"/>
  <c r="Z33300" i="5"/>
  <c r="Z33299" i="5"/>
  <c r="Z33298" i="5"/>
  <c r="Z33297" i="5"/>
  <c r="Z33296" i="5"/>
  <c r="Z33295" i="5"/>
  <c r="Z33294" i="5"/>
  <c r="Z33293" i="5"/>
  <c r="Z33292" i="5"/>
  <c r="Z33291" i="5"/>
  <c r="Z33290" i="5"/>
  <c r="Z33289" i="5"/>
  <c r="Z33288" i="5"/>
  <c r="Z33287" i="5"/>
  <c r="Z33286" i="5"/>
  <c r="Z33285" i="5"/>
  <c r="Z33284" i="5"/>
  <c r="Z33283" i="5"/>
  <c r="Z33282" i="5"/>
  <c r="Z33281" i="5"/>
  <c r="Z33280" i="5"/>
  <c r="Z33279" i="5"/>
  <c r="Z33278" i="5"/>
  <c r="Z33277" i="5"/>
  <c r="Z33276" i="5"/>
  <c r="Z33275" i="5"/>
  <c r="Z33274" i="5"/>
  <c r="Z33273" i="5"/>
  <c r="Z33272" i="5"/>
  <c r="Z33271" i="5"/>
  <c r="Z33270" i="5"/>
  <c r="Z33269" i="5"/>
  <c r="Z33268" i="5"/>
  <c r="Z33267" i="5"/>
  <c r="Z33266" i="5"/>
  <c r="Z33265" i="5"/>
  <c r="Z33264" i="5"/>
  <c r="Z33263" i="5"/>
  <c r="Z33262" i="5"/>
  <c r="Z33261" i="5"/>
  <c r="Z33260" i="5"/>
  <c r="Z33259" i="5"/>
  <c r="Z33258" i="5"/>
  <c r="Z33257" i="5"/>
  <c r="Z33256" i="5"/>
  <c r="Z33255" i="5"/>
  <c r="Z33254" i="5"/>
  <c r="Z33253" i="5"/>
  <c r="Z33252" i="5"/>
  <c r="Z33251" i="5"/>
  <c r="Z33250" i="5"/>
  <c r="Z33249" i="5"/>
  <c r="Z33248" i="5"/>
  <c r="Z33247" i="5"/>
  <c r="Z33246" i="5"/>
  <c r="Z33245" i="5"/>
  <c r="Z33244" i="5"/>
  <c r="Z33243" i="5"/>
  <c r="Z33242" i="5"/>
  <c r="Z33241" i="5"/>
  <c r="Z33240" i="5"/>
  <c r="Z33239" i="5"/>
  <c r="Z33238" i="5"/>
  <c r="Z33237" i="5"/>
  <c r="Z33236" i="5"/>
  <c r="Z33235" i="5"/>
  <c r="Z33234" i="5"/>
  <c r="Z33233" i="5"/>
  <c r="Z33232" i="5"/>
  <c r="Z33231" i="5"/>
  <c r="Z33230" i="5"/>
  <c r="Z33229" i="5"/>
  <c r="Z33228" i="5"/>
  <c r="Z33227" i="5"/>
  <c r="Z33226" i="5"/>
  <c r="Z33225" i="5"/>
  <c r="Z33224" i="5"/>
  <c r="Z33223" i="5"/>
  <c r="Z33222" i="5"/>
  <c r="Z33221" i="5"/>
  <c r="Z33220" i="5"/>
  <c r="Z33219" i="5"/>
  <c r="Z33218" i="5"/>
  <c r="Z33217" i="5"/>
  <c r="Z33216" i="5"/>
  <c r="Z33215" i="5"/>
  <c r="Z33214" i="5"/>
  <c r="Z33213" i="5"/>
  <c r="Z33212" i="5"/>
  <c r="Z33211" i="5"/>
  <c r="Z33210" i="5"/>
  <c r="Z33209" i="5"/>
  <c r="Z33208" i="5"/>
  <c r="Z33207" i="5"/>
  <c r="Z33206" i="5"/>
  <c r="Z33205" i="5"/>
  <c r="Z33204" i="5"/>
  <c r="Z33203" i="5"/>
  <c r="Z33202" i="5"/>
  <c r="Z33201" i="5"/>
  <c r="Z33200" i="5"/>
  <c r="Z33199" i="5"/>
  <c r="Z33198" i="5"/>
  <c r="Z33197" i="5"/>
  <c r="Z33196" i="5"/>
  <c r="Z33195" i="5"/>
  <c r="Z33194" i="5"/>
  <c r="Z33193" i="5"/>
  <c r="Z33192" i="5"/>
  <c r="Z33191" i="5"/>
  <c r="Z33190" i="5"/>
  <c r="Z33189" i="5"/>
  <c r="Z33188" i="5"/>
  <c r="Z33187" i="5"/>
  <c r="Z33186" i="5"/>
  <c r="Z33185" i="5"/>
  <c r="Z33184" i="5"/>
  <c r="Z33183" i="5"/>
  <c r="Z33182" i="5"/>
  <c r="Z33181" i="5"/>
  <c r="Z33180" i="5"/>
  <c r="Z33179" i="5"/>
  <c r="Z33178" i="5"/>
  <c r="Z33177" i="5"/>
  <c r="Z33176" i="5"/>
  <c r="Z33175" i="5"/>
  <c r="Z33174" i="5"/>
  <c r="Z33173" i="5"/>
  <c r="Z33172" i="5"/>
  <c r="Z33171" i="5"/>
  <c r="Z33170" i="5"/>
  <c r="Z33169" i="5"/>
  <c r="Z33168" i="5"/>
  <c r="Z33167" i="5"/>
  <c r="Z33166" i="5"/>
  <c r="Z33165" i="5"/>
  <c r="Z33164" i="5"/>
  <c r="Z33163" i="5"/>
  <c r="Z33162" i="5"/>
  <c r="Z33161" i="5"/>
  <c r="Z33160" i="5"/>
  <c r="Z33159" i="5"/>
  <c r="Z33158" i="5"/>
  <c r="Z33157" i="5"/>
  <c r="Z33156" i="5"/>
  <c r="Z33155" i="5"/>
  <c r="Z33154" i="5"/>
  <c r="Z33153" i="5"/>
  <c r="Z33152" i="5"/>
  <c r="Z33151" i="5"/>
  <c r="Z33150" i="5"/>
  <c r="Z33149" i="5"/>
  <c r="Z33148" i="5"/>
  <c r="Z33147" i="5"/>
  <c r="Z33146" i="5"/>
  <c r="Z33145" i="5"/>
  <c r="Z33144" i="5"/>
  <c r="Z33143" i="5"/>
  <c r="Z33142" i="5"/>
  <c r="Z33141" i="5"/>
  <c r="Z33140" i="5"/>
  <c r="Z33139" i="5"/>
  <c r="Z33138" i="5"/>
  <c r="Z33137" i="5"/>
  <c r="Z33136" i="5"/>
  <c r="Z33135" i="5"/>
  <c r="Z33134" i="5"/>
  <c r="Z33133" i="5"/>
  <c r="Z33132" i="5"/>
  <c r="Z33131" i="5"/>
  <c r="Z33130" i="5"/>
  <c r="Z33129" i="5"/>
  <c r="Z33128" i="5"/>
  <c r="Z33127" i="5"/>
  <c r="Z33126" i="5"/>
  <c r="Z33125" i="5"/>
  <c r="Z33124" i="5"/>
  <c r="Z33123" i="5"/>
  <c r="Z33122" i="5"/>
  <c r="Z33121" i="5"/>
  <c r="Z33120" i="5"/>
  <c r="Z33119" i="5"/>
  <c r="Z33118" i="5"/>
  <c r="Z33117" i="5"/>
  <c r="Z33116" i="5"/>
  <c r="Z33115" i="5"/>
  <c r="Z33114" i="5"/>
  <c r="Z33113" i="5"/>
  <c r="Z33112" i="5"/>
  <c r="Z33111" i="5"/>
  <c r="Z33110" i="5"/>
  <c r="Z33109" i="5"/>
  <c r="Z33108" i="5"/>
  <c r="Z33107" i="5"/>
  <c r="Z33106" i="5"/>
  <c r="Z33105" i="5"/>
  <c r="Z33104" i="5"/>
  <c r="Z33103" i="5"/>
  <c r="Z33102" i="5"/>
  <c r="Z33101" i="5"/>
  <c r="Z33100" i="5"/>
  <c r="Z33099" i="5"/>
  <c r="Z33098" i="5"/>
  <c r="Z33097" i="5"/>
  <c r="Z33096" i="5"/>
  <c r="Z33095" i="5"/>
  <c r="Z33094" i="5"/>
  <c r="Z33093" i="5"/>
  <c r="Z33092" i="5"/>
  <c r="Z33091" i="5"/>
  <c r="Z33090" i="5"/>
  <c r="Z33089" i="5"/>
  <c r="Z33088" i="5"/>
  <c r="Z33087" i="5"/>
  <c r="Z33086" i="5"/>
  <c r="Z33085" i="5"/>
  <c r="Z33084" i="5"/>
  <c r="Z33083" i="5"/>
  <c r="Z33082" i="5"/>
  <c r="Z33081" i="5"/>
  <c r="Z33080" i="5"/>
  <c r="Z33079" i="5"/>
  <c r="Z33078" i="5"/>
  <c r="Z33077" i="5"/>
  <c r="Z33076" i="5"/>
  <c r="Z33075" i="5"/>
  <c r="Z33074" i="5"/>
  <c r="Z33073" i="5"/>
  <c r="Z33072" i="5"/>
  <c r="Z33071" i="5"/>
  <c r="Z33070" i="5"/>
  <c r="Z33069" i="5"/>
  <c r="Z33068" i="5"/>
  <c r="Z33067" i="5"/>
  <c r="Z33066" i="5"/>
  <c r="Z33065" i="5"/>
  <c r="Z33064" i="5"/>
  <c r="Z33063" i="5"/>
  <c r="Z33062" i="5"/>
  <c r="Z33061" i="5"/>
  <c r="Z33060" i="5"/>
  <c r="Z33059" i="5"/>
  <c r="Z33058" i="5"/>
  <c r="Z33057" i="5"/>
  <c r="Z33056" i="5"/>
  <c r="Z33055" i="5"/>
  <c r="Z33054" i="5"/>
  <c r="Z33053" i="5"/>
  <c r="Z33052" i="5"/>
  <c r="Z33051" i="5"/>
  <c r="Z33050" i="5"/>
  <c r="Z33049" i="5"/>
  <c r="Z33048" i="5"/>
  <c r="Z33047" i="5"/>
  <c r="Z33046" i="5"/>
  <c r="Z33045" i="5"/>
  <c r="Z33044" i="5"/>
  <c r="Z33043" i="5"/>
  <c r="Z33042" i="5"/>
  <c r="Z33041" i="5"/>
  <c r="Z33040" i="5"/>
  <c r="Z33039" i="5"/>
  <c r="Z33038" i="5"/>
  <c r="Z33037" i="5"/>
  <c r="Z33036" i="5"/>
  <c r="Z33035" i="5"/>
  <c r="Z33034" i="5"/>
  <c r="Z33033" i="5"/>
  <c r="Z33032" i="5"/>
  <c r="Z33031" i="5"/>
  <c r="Z33030" i="5"/>
  <c r="Z33029" i="5"/>
  <c r="Z33028" i="5"/>
  <c r="Z33027" i="5"/>
  <c r="Z33026" i="5"/>
  <c r="Z33025" i="5"/>
  <c r="Z33024" i="5"/>
  <c r="Z33023" i="5"/>
  <c r="Z33022" i="5"/>
  <c r="Z33021" i="5"/>
  <c r="Z33020" i="5"/>
  <c r="Z33019" i="5"/>
  <c r="Z33018" i="5"/>
  <c r="Z33017" i="5"/>
  <c r="Z33016" i="5"/>
  <c r="Z33015" i="5"/>
  <c r="Z33014" i="5"/>
  <c r="Z33013" i="5"/>
  <c r="Z33012" i="5"/>
  <c r="Z33011" i="5"/>
  <c r="Z33010" i="5"/>
  <c r="Z33009" i="5"/>
  <c r="Z33008" i="5"/>
  <c r="Z33007" i="5"/>
  <c r="Z33006" i="5"/>
  <c r="Z33005" i="5"/>
  <c r="Z33004" i="5"/>
  <c r="Z33003" i="5"/>
  <c r="Z33002" i="5"/>
  <c r="Z33001" i="5"/>
  <c r="Z33000" i="5"/>
  <c r="Z32999" i="5"/>
  <c r="Z32998" i="5"/>
  <c r="Z32997" i="5"/>
  <c r="Z32996" i="5"/>
  <c r="Z32995" i="5"/>
  <c r="Z32994" i="5"/>
  <c r="Z32993" i="5"/>
  <c r="Z32992" i="5"/>
  <c r="Z32991" i="5"/>
  <c r="Z32990" i="5"/>
  <c r="Z32989" i="5"/>
  <c r="Z32988" i="5"/>
  <c r="Z32987" i="5"/>
  <c r="Z32986" i="5"/>
  <c r="Z32985" i="5"/>
  <c r="Z32984" i="5"/>
  <c r="Z32983" i="5"/>
  <c r="Z32982" i="5"/>
  <c r="Z32981" i="5"/>
  <c r="Z32980" i="5"/>
  <c r="Z32979" i="5"/>
  <c r="Z32978" i="5"/>
  <c r="Z32977" i="5"/>
  <c r="Z32976" i="5"/>
  <c r="Z32975" i="5"/>
  <c r="Z32974" i="5"/>
  <c r="Z32973" i="5"/>
  <c r="Z32972" i="5"/>
  <c r="Z32971" i="5"/>
  <c r="Z32970" i="5"/>
  <c r="Z32969" i="5"/>
  <c r="Z32968" i="5"/>
  <c r="Z32967" i="5"/>
  <c r="Z32966" i="5"/>
  <c r="Z32965" i="5"/>
  <c r="Z32964" i="5"/>
  <c r="Z32963" i="5"/>
  <c r="Z32962" i="5"/>
  <c r="Z32961" i="5"/>
  <c r="Z32960" i="5"/>
  <c r="Z32959" i="5"/>
  <c r="Z32958" i="5"/>
  <c r="Z32957" i="5"/>
  <c r="Z32956" i="5"/>
  <c r="Z32955" i="5"/>
  <c r="Z32954" i="5"/>
  <c r="Z32953" i="5"/>
  <c r="Z32952" i="5"/>
  <c r="Z32951" i="5"/>
  <c r="Z32950" i="5"/>
  <c r="Z32949" i="5"/>
  <c r="Z32948" i="5"/>
  <c r="Z32947" i="5"/>
  <c r="Z32946" i="5"/>
  <c r="Z32945" i="5"/>
  <c r="Z32944" i="5"/>
  <c r="Z32943" i="5"/>
  <c r="Z32942" i="5"/>
  <c r="Z32941" i="5"/>
  <c r="Z32940" i="5"/>
  <c r="Z32939" i="5"/>
  <c r="Z32938" i="5"/>
  <c r="Z32937" i="5"/>
  <c r="Z32936" i="5"/>
  <c r="Z32935" i="5"/>
  <c r="Z32934" i="5"/>
  <c r="Z32933" i="5"/>
  <c r="Z32932" i="5"/>
  <c r="Z32931" i="5"/>
  <c r="Z32930" i="5"/>
  <c r="Z32929" i="5"/>
  <c r="Z32928" i="5"/>
  <c r="Z32927" i="5"/>
  <c r="Z32926" i="5"/>
  <c r="Z32925" i="5"/>
  <c r="Z32924" i="5"/>
  <c r="Z32923" i="5"/>
  <c r="Z32922" i="5"/>
  <c r="Z32921" i="5"/>
  <c r="Z32920" i="5"/>
  <c r="Z32919" i="5"/>
  <c r="Z32918" i="5"/>
  <c r="Z32917" i="5"/>
  <c r="Z32916" i="5"/>
  <c r="Z32915" i="5"/>
  <c r="Z32914" i="5"/>
  <c r="Z32913" i="5"/>
  <c r="Z32912" i="5"/>
  <c r="Z32911" i="5"/>
  <c r="Z32910" i="5"/>
  <c r="Z32909" i="5"/>
  <c r="Z32908" i="5"/>
  <c r="Z32907" i="5"/>
  <c r="Z32906" i="5"/>
  <c r="Z32905" i="5"/>
  <c r="Z32904" i="5"/>
  <c r="Z32903" i="5"/>
  <c r="Z32902" i="5"/>
  <c r="Z32901" i="5"/>
  <c r="Z32900" i="5"/>
  <c r="Z32899" i="5"/>
  <c r="Z32898" i="5"/>
  <c r="Z32897" i="5"/>
  <c r="Z32896" i="5"/>
  <c r="Z32895" i="5"/>
  <c r="Z32894" i="5"/>
  <c r="Z32893" i="5"/>
  <c r="Z32892" i="5"/>
  <c r="Z32891" i="5"/>
  <c r="Z32890" i="5"/>
  <c r="Z32889" i="5"/>
  <c r="Z32888" i="5"/>
  <c r="Z32887" i="5"/>
  <c r="Z32886" i="5"/>
  <c r="Z32885" i="5"/>
  <c r="Z32884" i="5"/>
  <c r="Z32883" i="5"/>
  <c r="Z32882" i="5"/>
  <c r="Z32881" i="5"/>
  <c r="Z32880" i="5"/>
  <c r="Z32879" i="5"/>
  <c r="Z32878" i="5"/>
  <c r="Z32877" i="5"/>
  <c r="Z32876" i="5"/>
  <c r="Z32875" i="5"/>
  <c r="Z32874" i="5"/>
  <c r="Z32873" i="5"/>
  <c r="Z32872" i="5"/>
  <c r="Z32871" i="5"/>
  <c r="Z32870" i="5"/>
  <c r="Z32869" i="5"/>
  <c r="Z32868" i="5"/>
  <c r="Z32867" i="5"/>
  <c r="Z32866" i="5"/>
  <c r="Z32865" i="5"/>
  <c r="Z32864" i="5"/>
  <c r="Z32863" i="5"/>
  <c r="Z32862" i="5"/>
  <c r="Z32861" i="5"/>
  <c r="Z32860" i="5"/>
  <c r="Z32859" i="5"/>
  <c r="Z32858" i="5"/>
  <c r="Z32857" i="5"/>
  <c r="Z32856" i="5"/>
  <c r="Z32855" i="5"/>
  <c r="Z32854" i="5"/>
  <c r="Z32853" i="5"/>
  <c r="Z32852" i="5"/>
  <c r="Z32851" i="5"/>
  <c r="Z32850" i="5"/>
  <c r="Z32849" i="5"/>
  <c r="Z32848" i="5"/>
  <c r="Z32847" i="5"/>
  <c r="Z32846" i="5"/>
  <c r="Z32845" i="5"/>
  <c r="Z32844" i="5"/>
  <c r="Z32843" i="5"/>
  <c r="Z32842" i="5"/>
  <c r="Z32841" i="5"/>
  <c r="Z32840" i="5"/>
  <c r="Z32839" i="5"/>
  <c r="Z32838" i="5"/>
  <c r="Z32837" i="5"/>
  <c r="Z32836" i="5"/>
  <c r="Z32835" i="5"/>
  <c r="Z32834" i="5"/>
  <c r="Z32833" i="5"/>
  <c r="Z32832" i="5"/>
  <c r="Z32831" i="5"/>
  <c r="Z32830" i="5"/>
  <c r="Z32829" i="5"/>
  <c r="Z32828" i="5"/>
  <c r="Z32827" i="5"/>
  <c r="Z32826" i="5"/>
  <c r="Z32825" i="5"/>
  <c r="Z32824" i="5"/>
  <c r="Z32823" i="5"/>
  <c r="Z32822" i="5"/>
  <c r="Z32821" i="5"/>
  <c r="Z32820" i="5"/>
  <c r="Z32819" i="5"/>
  <c r="Z32818" i="5"/>
  <c r="Z32817" i="5"/>
  <c r="Z32816" i="5"/>
  <c r="Z32815" i="5"/>
  <c r="Z32814" i="5"/>
  <c r="Z32813" i="5"/>
  <c r="Z32812" i="5"/>
  <c r="Z32811" i="5"/>
  <c r="Z32810" i="5"/>
  <c r="Z32809" i="5"/>
  <c r="Z32808" i="5"/>
  <c r="Z32807" i="5"/>
  <c r="Z32806" i="5"/>
  <c r="Z32805" i="5"/>
  <c r="Z32804" i="5"/>
  <c r="Z32803" i="5"/>
  <c r="Z32802" i="5"/>
  <c r="Z32801" i="5"/>
  <c r="Z32800" i="5"/>
  <c r="Z32799" i="5"/>
  <c r="Z32798" i="5"/>
  <c r="Z32797" i="5"/>
  <c r="Z32796" i="5"/>
  <c r="Z32795" i="5"/>
  <c r="Z32794" i="5"/>
  <c r="Z32793" i="5"/>
  <c r="Z32792" i="5"/>
  <c r="Z32791" i="5"/>
  <c r="Z32790" i="5"/>
  <c r="Z32789" i="5"/>
  <c r="Z32788" i="5"/>
  <c r="Z32787" i="5"/>
  <c r="Z32786" i="5"/>
  <c r="Z32785" i="5"/>
  <c r="Z32784" i="5"/>
  <c r="Z32783" i="5"/>
  <c r="Z32782" i="5"/>
  <c r="Z32781" i="5"/>
  <c r="Z32780" i="5"/>
  <c r="Z32779" i="5"/>
  <c r="Z32778" i="5"/>
  <c r="Z32777" i="5"/>
  <c r="Z32776" i="5"/>
  <c r="Z32775" i="5"/>
  <c r="Z32774" i="5"/>
  <c r="Z32773" i="5"/>
  <c r="Z32772" i="5"/>
  <c r="Z32771" i="5"/>
  <c r="Z32770" i="5"/>
  <c r="Z32769" i="5"/>
  <c r="Z32768" i="5"/>
  <c r="Z32767" i="5"/>
  <c r="Z32766" i="5"/>
  <c r="Z32765" i="5"/>
  <c r="Z32764" i="5"/>
  <c r="Z32763" i="5"/>
  <c r="Z32762" i="5"/>
  <c r="Z32761" i="5"/>
  <c r="Z32760" i="5"/>
  <c r="Z32759" i="5"/>
  <c r="Z32758" i="5"/>
  <c r="Z32757" i="5"/>
  <c r="Z32756" i="5"/>
  <c r="Z32755" i="5"/>
  <c r="Z32754" i="5"/>
  <c r="Z32753" i="5"/>
  <c r="Z32752" i="5"/>
  <c r="Z32751" i="5"/>
  <c r="Z32750" i="5"/>
  <c r="Z32749" i="5"/>
  <c r="Z32748" i="5"/>
  <c r="Z32747" i="5"/>
  <c r="Z32746" i="5"/>
  <c r="Z32745" i="5"/>
  <c r="Z32744" i="5"/>
  <c r="Z32743" i="5"/>
  <c r="Z32742" i="5"/>
  <c r="Z32741" i="5"/>
  <c r="Z32740" i="5"/>
  <c r="Z32739" i="5"/>
  <c r="Z32738" i="5"/>
  <c r="Z32737" i="5"/>
  <c r="Z32736" i="5"/>
  <c r="Z32735" i="5"/>
  <c r="Z32734" i="5"/>
  <c r="Z32733" i="5"/>
  <c r="Z32732" i="5"/>
  <c r="Z32731" i="5"/>
  <c r="Z32730" i="5"/>
  <c r="Z32729" i="5"/>
  <c r="Z32728" i="5"/>
  <c r="Z32727" i="5"/>
  <c r="Z32726" i="5"/>
  <c r="Z32725" i="5"/>
  <c r="Z32724" i="5"/>
  <c r="Z32723" i="5"/>
  <c r="Z32722" i="5"/>
  <c r="Z32721" i="5"/>
  <c r="Z32720" i="5"/>
  <c r="Z32719" i="5"/>
  <c r="Z32718" i="5"/>
  <c r="Z32717" i="5"/>
  <c r="Z32716" i="5"/>
  <c r="Z32715" i="5"/>
  <c r="Z32714" i="5"/>
  <c r="Z32713" i="5"/>
  <c r="Z32712" i="5"/>
  <c r="Z32711" i="5"/>
  <c r="Z32710" i="5"/>
  <c r="Z32709" i="5"/>
  <c r="Z32708" i="5"/>
  <c r="Z32707" i="5"/>
  <c r="Z32706" i="5"/>
  <c r="Z32705" i="5"/>
  <c r="Z32704" i="5"/>
  <c r="Z32703" i="5"/>
  <c r="Z32702" i="5"/>
  <c r="Z32701" i="5"/>
  <c r="Z32700" i="5"/>
  <c r="Z32699" i="5"/>
  <c r="Z32698" i="5"/>
  <c r="Z32697" i="5"/>
  <c r="Z32696" i="5"/>
  <c r="Z32695" i="5"/>
  <c r="Z32694" i="5"/>
  <c r="Z32693" i="5"/>
  <c r="Z32692" i="5"/>
  <c r="Z32691" i="5"/>
  <c r="Z32690" i="5"/>
  <c r="Z32689" i="5"/>
  <c r="Z32688" i="5"/>
  <c r="Z32687" i="5"/>
  <c r="Z32686" i="5"/>
  <c r="Z32685" i="5"/>
  <c r="Z32684" i="5"/>
  <c r="Z32683" i="5"/>
  <c r="Z32682" i="5"/>
  <c r="Z32681" i="5"/>
  <c r="Z32680" i="5"/>
  <c r="Z32679" i="5"/>
  <c r="Z32678" i="5"/>
  <c r="Z32677" i="5"/>
  <c r="Z32676" i="5"/>
  <c r="Z32675" i="5"/>
  <c r="Z32674" i="5"/>
  <c r="Z32673" i="5"/>
  <c r="Z32672" i="5"/>
  <c r="Z32671" i="5"/>
  <c r="Z32670" i="5"/>
  <c r="Z32669" i="5"/>
  <c r="Z32668" i="5"/>
  <c r="Z32667" i="5"/>
  <c r="Z32666" i="5"/>
  <c r="Z32665" i="5"/>
  <c r="Z32664" i="5"/>
  <c r="Z32663" i="5"/>
  <c r="Z32662" i="5"/>
  <c r="Z32661" i="5"/>
  <c r="Z32660" i="5"/>
  <c r="Z32659" i="5"/>
  <c r="Z32658" i="5"/>
  <c r="Z32657" i="5"/>
  <c r="Z32656" i="5"/>
  <c r="Z32655" i="5"/>
  <c r="Z32654" i="5"/>
  <c r="Z32653" i="5"/>
  <c r="Z32652" i="5"/>
  <c r="Z32651" i="5"/>
  <c r="Z32650" i="5"/>
  <c r="Z32649" i="5"/>
  <c r="Z32648" i="5"/>
  <c r="Z32647" i="5"/>
  <c r="Z32646" i="5"/>
  <c r="Z32645" i="5"/>
  <c r="Z32644" i="5"/>
  <c r="Z32643" i="5"/>
  <c r="Z32642" i="5"/>
  <c r="Z32641" i="5"/>
  <c r="Z32640" i="5"/>
  <c r="Z32639" i="5"/>
  <c r="Z32638" i="5"/>
  <c r="Z32637" i="5"/>
  <c r="Z32636" i="5"/>
  <c r="Z32635" i="5"/>
  <c r="Z32634" i="5"/>
  <c r="Z32633" i="5"/>
  <c r="Z32632" i="5"/>
  <c r="Z32631" i="5"/>
  <c r="Z32630" i="5"/>
  <c r="Z32629" i="5"/>
  <c r="Z32628" i="5"/>
  <c r="Z32627" i="5"/>
  <c r="Z32626" i="5"/>
  <c r="Z32625" i="5"/>
  <c r="Z32624" i="5"/>
  <c r="Z32623" i="5"/>
  <c r="Z32622" i="5"/>
  <c r="Z32621" i="5"/>
  <c r="Z32620" i="5"/>
  <c r="Z32619" i="5"/>
  <c r="Z32618" i="5"/>
  <c r="Z32617" i="5"/>
  <c r="Z32616" i="5"/>
  <c r="Z32615" i="5"/>
  <c r="Z32614" i="5"/>
  <c r="Z32613" i="5"/>
  <c r="Z32612" i="5"/>
  <c r="Z32611" i="5"/>
  <c r="Z32610" i="5"/>
  <c r="Z32609" i="5"/>
  <c r="Z32608" i="5"/>
  <c r="Z32607" i="5"/>
  <c r="Z32606" i="5"/>
  <c r="Z32605" i="5"/>
  <c r="Z32604" i="5"/>
  <c r="Z32603" i="5"/>
  <c r="Z32602" i="5"/>
  <c r="Z32601" i="5"/>
  <c r="Z32600" i="5"/>
  <c r="Z32599" i="5"/>
  <c r="Z32598" i="5"/>
  <c r="Z32597" i="5"/>
  <c r="Z32596" i="5"/>
  <c r="Z32595" i="5"/>
  <c r="Z32594" i="5"/>
  <c r="Z32593" i="5"/>
  <c r="Z32592" i="5"/>
  <c r="Z32591" i="5"/>
  <c r="Z32590" i="5"/>
  <c r="Z32589" i="5"/>
  <c r="Z32588" i="5"/>
  <c r="Z32587" i="5"/>
  <c r="Z32586" i="5"/>
  <c r="Z32585" i="5"/>
  <c r="Z32584" i="5"/>
  <c r="Z32583" i="5"/>
  <c r="Z32582" i="5"/>
  <c r="Z32581" i="5"/>
  <c r="Z32580" i="5"/>
  <c r="Z32579" i="5"/>
  <c r="Z32578" i="5"/>
  <c r="Z32577" i="5"/>
  <c r="Z32576" i="5"/>
  <c r="Z32575" i="5"/>
  <c r="Z32574" i="5"/>
  <c r="Z32573" i="5"/>
  <c r="Z32572" i="5"/>
  <c r="Z32571" i="5"/>
  <c r="Z32570" i="5"/>
  <c r="Z32569" i="5"/>
  <c r="Z32568" i="5"/>
  <c r="Z32567" i="5"/>
  <c r="Z32566" i="5"/>
  <c r="Z32565" i="5"/>
  <c r="Z32564" i="5"/>
  <c r="Z32563" i="5"/>
  <c r="Z32562" i="5"/>
  <c r="Z32561" i="5"/>
  <c r="Z32560" i="5"/>
  <c r="Z32559" i="5"/>
  <c r="Z32558" i="5"/>
  <c r="Z32557" i="5"/>
  <c r="Z32556" i="5"/>
  <c r="Z32555" i="5"/>
  <c r="Z32554" i="5"/>
  <c r="Z32553" i="5"/>
  <c r="Z32552" i="5"/>
  <c r="Z32551" i="5"/>
  <c r="Z32550" i="5"/>
  <c r="Z32549" i="5"/>
  <c r="Z32548" i="5"/>
  <c r="Z32547" i="5"/>
  <c r="Z32546" i="5"/>
  <c r="Z32545" i="5"/>
  <c r="Z32544" i="5"/>
  <c r="Z32543" i="5"/>
  <c r="Z32542" i="5"/>
  <c r="Z32541" i="5"/>
  <c r="Z32540" i="5"/>
  <c r="Z32539" i="5"/>
  <c r="Z32538" i="5"/>
  <c r="Z32537" i="5"/>
  <c r="Z32536" i="5"/>
  <c r="Z32535" i="5"/>
  <c r="Z32534" i="5"/>
  <c r="Z32533" i="5"/>
  <c r="Z32532" i="5"/>
  <c r="Z32531" i="5"/>
  <c r="Z32530" i="5"/>
  <c r="Z32529" i="5"/>
  <c r="Z32528" i="5"/>
  <c r="Z32527" i="5"/>
  <c r="Z32526" i="5"/>
  <c r="Z32525" i="5"/>
  <c r="Z32524" i="5"/>
  <c r="Z32523" i="5"/>
  <c r="Z32522" i="5"/>
  <c r="Z32521" i="5"/>
  <c r="Z32520" i="5"/>
  <c r="Z32519" i="5"/>
  <c r="Z32518" i="5"/>
  <c r="Z32517" i="5"/>
  <c r="Z32516" i="5"/>
  <c r="Z32515" i="5"/>
  <c r="Z32514" i="5"/>
  <c r="Z32513" i="5"/>
  <c r="Z32512" i="5"/>
  <c r="Z32511" i="5"/>
  <c r="Z32510" i="5"/>
  <c r="Z32509" i="5"/>
  <c r="Z32508" i="5"/>
  <c r="Z32507" i="5"/>
  <c r="Z32506" i="5"/>
  <c r="Z32505" i="5"/>
  <c r="Z32504" i="5"/>
  <c r="Z32503" i="5"/>
  <c r="Z32502" i="5"/>
  <c r="Z32501" i="5"/>
  <c r="Z32500" i="5"/>
  <c r="Z32499" i="5"/>
  <c r="Z32498" i="5"/>
  <c r="Z32497" i="5"/>
  <c r="Z32496" i="5"/>
  <c r="Z32495" i="5"/>
  <c r="Z32494" i="5"/>
  <c r="Z32493" i="5"/>
  <c r="Z32492" i="5"/>
  <c r="Z32491" i="5"/>
  <c r="Z32490" i="5"/>
  <c r="Z32489" i="5"/>
  <c r="Z32488" i="5"/>
  <c r="Z32487" i="5"/>
  <c r="Z32486" i="5"/>
  <c r="Z32485" i="5"/>
  <c r="Z32484" i="5"/>
  <c r="Z32483" i="5"/>
  <c r="Z32482" i="5"/>
  <c r="Z32481" i="5"/>
  <c r="Z32480" i="5"/>
  <c r="Z32479" i="5"/>
  <c r="Z32478" i="5"/>
  <c r="Z32477" i="5"/>
  <c r="Z32476" i="5"/>
  <c r="Z32475" i="5"/>
  <c r="Z32474" i="5"/>
  <c r="Z32473" i="5"/>
  <c r="Z32472" i="5"/>
  <c r="Z32471" i="5"/>
  <c r="Z32470" i="5"/>
  <c r="Z32469" i="5"/>
  <c r="Z32468" i="5"/>
  <c r="Z32467" i="5"/>
  <c r="Z32466" i="5"/>
  <c r="Z32465" i="5"/>
  <c r="Z32464" i="5"/>
  <c r="Z32463" i="5"/>
  <c r="Z32462" i="5"/>
  <c r="Z32461" i="5"/>
  <c r="Z32460" i="5"/>
  <c r="Z32459" i="5"/>
  <c r="Z32458" i="5"/>
  <c r="Z32457" i="5"/>
  <c r="Z32456" i="5"/>
  <c r="Z32455" i="5"/>
  <c r="Z32454" i="5"/>
  <c r="Z32453" i="5"/>
  <c r="Z32452" i="5"/>
  <c r="Z32451" i="5"/>
  <c r="Z32450" i="5"/>
  <c r="Z32449" i="5"/>
  <c r="Z32448" i="5"/>
  <c r="Z32447" i="5"/>
  <c r="Z32446" i="5"/>
  <c r="Z32445" i="5"/>
  <c r="Z32444" i="5"/>
  <c r="Z32443" i="5"/>
  <c r="Z32442" i="5"/>
  <c r="Z32441" i="5"/>
  <c r="Z32440" i="5"/>
  <c r="Z32439" i="5"/>
  <c r="Z32438" i="5"/>
  <c r="Z32437" i="5"/>
  <c r="Z32436" i="5"/>
  <c r="Z32435" i="5"/>
  <c r="Z32434" i="5"/>
  <c r="Z32433" i="5"/>
  <c r="Z32432" i="5"/>
  <c r="Z32431" i="5"/>
  <c r="Z32430" i="5"/>
  <c r="Z32429" i="5"/>
  <c r="Z32428" i="5"/>
  <c r="Z32427" i="5"/>
  <c r="Z32426" i="5"/>
  <c r="Z32425" i="5"/>
  <c r="Z32424" i="5"/>
  <c r="Z32423" i="5"/>
  <c r="Z32422" i="5"/>
  <c r="Z32421" i="5"/>
  <c r="Z32420" i="5"/>
  <c r="Z32419" i="5"/>
  <c r="Z32418" i="5"/>
  <c r="Z32417" i="5"/>
  <c r="Z32416" i="5"/>
  <c r="Z32415" i="5"/>
  <c r="Z32414" i="5"/>
  <c r="Z32413" i="5"/>
  <c r="Z32412" i="5"/>
  <c r="Z32411" i="5"/>
  <c r="Z32410" i="5"/>
  <c r="Z32409" i="5"/>
  <c r="Z32408" i="5"/>
  <c r="Z32407" i="5"/>
  <c r="Z32406" i="5"/>
  <c r="Z32405" i="5"/>
  <c r="Z32404" i="5"/>
  <c r="Z32403" i="5"/>
  <c r="Z32402" i="5"/>
  <c r="Z32401" i="5"/>
  <c r="Z32400" i="5"/>
  <c r="Z32399" i="5"/>
  <c r="Z32398" i="5"/>
  <c r="Z32397" i="5"/>
  <c r="Z32396" i="5"/>
  <c r="Z32395" i="5"/>
  <c r="Z32394" i="5"/>
  <c r="Z32393" i="5"/>
  <c r="Z32392" i="5"/>
  <c r="Z32391" i="5"/>
  <c r="Z32390" i="5"/>
  <c r="Z32389" i="5"/>
  <c r="Z32388" i="5"/>
  <c r="Z32387" i="5"/>
  <c r="Z32386" i="5"/>
  <c r="Z32385" i="5"/>
  <c r="Z32384" i="5"/>
  <c r="Z32383" i="5"/>
  <c r="Z32382" i="5"/>
  <c r="Z32381" i="5"/>
  <c r="Z32380" i="5"/>
  <c r="Z32379" i="5"/>
  <c r="Z32378" i="5"/>
  <c r="Z32377" i="5"/>
  <c r="Z32376" i="5"/>
  <c r="Z32375" i="5"/>
  <c r="Z32374" i="5"/>
  <c r="Z32373" i="5"/>
  <c r="Z32372" i="5"/>
  <c r="Z32371" i="5"/>
  <c r="Z32370" i="5"/>
  <c r="Z32369" i="5"/>
  <c r="Z32368" i="5"/>
  <c r="Z32367" i="5"/>
  <c r="Z32366" i="5"/>
  <c r="Z32365" i="5"/>
  <c r="Z32364" i="5"/>
  <c r="Z32363" i="5"/>
  <c r="Z32362" i="5"/>
  <c r="Z32361" i="5"/>
  <c r="Z32360" i="5"/>
  <c r="Z32359" i="5"/>
  <c r="Z32358" i="5"/>
  <c r="Z32357" i="5"/>
  <c r="Z32356" i="5"/>
  <c r="Z32355" i="5"/>
  <c r="Z32354" i="5"/>
  <c r="Z32353" i="5"/>
  <c r="Z32352" i="5"/>
  <c r="Z32351" i="5"/>
  <c r="Z32350" i="5"/>
  <c r="Z32349" i="5"/>
  <c r="Z32348" i="5"/>
  <c r="Z32347" i="5"/>
  <c r="Z32346" i="5"/>
  <c r="Z32345" i="5"/>
  <c r="Z32344" i="5"/>
  <c r="Z32343" i="5"/>
  <c r="Z32342" i="5"/>
  <c r="Z32341" i="5"/>
  <c r="Z32340" i="5"/>
  <c r="Z32339" i="5"/>
  <c r="Z32338" i="5"/>
  <c r="Z32337" i="5"/>
  <c r="Z32336" i="5"/>
  <c r="Z32335" i="5"/>
  <c r="Z32334" i="5"/>
  <c r="Z32333" i="5"/>
  <c r="Z32332" i="5"/>
  <c r="Z32331" i="5"/>
  <c r="Z32330" i="5"/>
  <c r="Z32329" i="5"/>
  <c r="Z32328" i="5"/>
  <c r="Z32327" i="5"/>
  <c r="Z32326" i="5"/>
  <c r="Z32325" i="5"/>
  <c r="Z32324" i="5"/>
  <c r="Z32323" i="5"/>
  <c r="Z32322" i="5"/>
  <c r="Z32321" i="5"/>
  <c r="Z32320" i="5"/>
  <c r="Z32319" i="5"/>
  <c r="Z32318" i="5"/>
  <c r="Z32317" i="5"/>
  <c r="Z32316" i="5"/>
  <c r="Z32315" i="5"/>
  <c r="Z32314" i="5"/>
  <c r="Z32313" i="5"/>
  <c r="Z32312" i="5"/>
  <c r="Z32311" i="5"/>
  <c r="Z32310" i="5"/>
  <c r="Z32309" i="5"/>
  <c r="Z32308" i="5"/>
  <c r="Z32307" i="5"/>
  <c r="Z32306" i="5"/>
  <c r="Z32305" i="5"/>
  <c r="Z32304" i="5"/>
  <c r="Z32303" i="5"/>
  <c r="Z32302" i="5"/>
  <c r="Z32301" i="5"/>
  <c r="Z32300" i="5"/>
  <c r="Z32299" i="5"/>
  <c r="Z32298" i="5"/>
  <c r="Z32297" i="5"/>
  <c r="Z32296" i="5"/>
  <c r="Z32295" i="5"/>
  <c r="Z32294" i="5"/>
  <c r="Z32293" i="5"/>
  <c r="Z32292" i="5"/>
  <c r="Z32291" i="5"/>
  <c r="Z32290" i="5"/>
  <c r="Z32289" i="5"/>
  <c r="Z32288" i="5"/>
  <c r="Z32287" i="5"/>
  <c r="Z32286" i="5"/>
  <c r="Z32285" i="5"/>
  <c r="Z32284" i="5"/>
  <c r="Z32283" i="5"/>
  <c r="Z32282" i="5"/>
  <c r="Z32281" i="5"/>
  <c r="Z32280" i="5"/>
  <c r="Z32279" i="5"/>
  <c r="Z32278" i="5"/>
  <c r="Z32277" i="5"/>
  <c r="Z32276" i="5"/>
  <c r="Z32275" i="5"/>
  <c r="Z32274" i="5"/>
  <c r="Z32273" i="5"/>
  <c r="Z32272" i="5"/>
  <c r="Z32271" i="5"/>
  <c r="Z32270" i="5"/>
  <c r="Z32269" i="5"/>
  <c r="Z32268" i="5"/>
  <c r="Z32267" i="5"/>
  <c r="Z32266" i="5"/>
  <c r="Z32265" i="5"/>
  <c r="Z32264" i="5"/>
  <c r="Z32263" i="5"/>
  <c r="Z32262" i="5"/>
  <c r="Z32261" i="5"/>
  <c r="Z32260" i="5"/>
  <c r="Z32259" i="5"/>
  <c r="Z32258" i="5"/>
  <c r="Z32257" i="5"/>
  <c r="Z32256" i="5"/>
  <c r="Z32255" i="5"/>
  <c r="Z32254" i="5"/>
  <c r="Z32253" i="5"/>
  <c r="Z32252" i="5"/>
  <c r="Z32251" i="5"/>
  <c r="Z32250" i="5"/>
  <c r="Z32249" i="5"/>
  <c r="Z32248" i="5"/>
  <c r="Z32247" i="5"/>
  <c r="Z32246" i="5"/>
  <c r="Z32245" i="5"/>
  <c r="Z32244" i="5"/>
  <c r="Z32243" i="5"/>
  <c r="Z32242" i="5"/>
  <c r="Z32241" i="5"/>
  <c r="Z32240" i="5"/>
  <c r="Z32239" i="5"/>
  <c r="Z32238" i="5"/>
  <c r="Z32237" i="5"/>
  <c r="Z32236" i="5"/>
  <c r="Z32235" i="5"/>
  <c r="Z32234" i="5"/>
  <c r="Z32233" i="5"/>
  <c r="Z32232" i="5"/>
  <c r="Z32231" i="5"/>
  <c r="Z32230" i="5"/>
  <c r="Z32229" i="5"/>
  <c r="Z32228" i="5"/>
  <c r="Z32227" i="5"/>
  <c r="Z32226" i="5"/>
  <c r="Z32225" i="5"/>
  <c r="Z32224" i="5"/>
  <c r="Z32223" i="5"/>
  <c r="Z32222" i="5"/>
  <c r="Z32221" i="5"/>
  <c r="Z32220" i="5"/>
  <c r="Z32219" i="5"/>
  <c r="Z32218" i="5"/>
  <c r="Z32217" i="5"/>
  <c r="Z32216" i="5"/>
  <c r="Z32215" i="5"/>
  <c r="Z32214" i="5"/>
  <c r="Z32213" i="5"/>
  <c r="Z32212" i="5"/>
  <c r="Z32211" i="5"/>
  <c r="Z32210" i="5"/>
  <c r="Z32209" i="5"/>
  <c r="Z32208" i="5"/>
  <c r="Z32207" i="5"/>
  <c r="Z32206" i="5"/>
  <c r="Z32205" i="5"/>
  <c r="Z32204" i="5"/>
  <c r="Z32203" i="5"/>
  <c r="Z32202" i="5"/>
  <c r="Z32201" i="5"/>
  <c r="Z32200" i="5"/>
  <c r="Z32199" i="5"/>
  <c r="Z32198" i="5"/>
  <c r="Z32197" i="5"/>
  <c r="Z32196" i="5"/>
  <c r="Z32195" i="5"/>
  <c r="Z32194" i="5"/>
  <c r="Z32193" i="5"/>
  <c r="Z32192" i="5"/>
  <c r="Z32191" i="5"/>
  <c r="Z32190" i="5"/>
  <c r="Z32189" i="5"/>
  <c r="Z32188" i="5"/>
  <c r="Z32187" i="5"/>
  <c r="Z32186" i="5"/>
  <c r="Z32185" i="5"/>
  <c r="Z32184" i="5"/>
  <c r="Z32183" i="5"/>
  <c r="Z32182" i="5"/>
  <c r="Z32181" i="5"/>
  <c r="Z32180" i="5"/>
  <c r="Z32179" i="5"/>
  <c r="Z32178" i="5"/>
  <c r="Z32177" i="5"/>
  <c r="Z32176" i="5"/>
  <c r="Z32175" i="5"/>
  <c r="Z32174" i="5"/>
  <c r="Z32173" i="5"/>
  <c r="Z32172" i="5"/>
  <c r="Z32171" i="5"/>
  <c r="Z32170" i="5"/>
  <c r="Z32169" i="5"/>
  <c r="Z32168" i="5"/>
  <c r="Z32167" i="5"/>
  <c r="Z32166" i="5"/>
  <c r="Z32165" i="5"/>
  <c r="Z32164" i="5"/>
  <c r="Z32163" i="5"/>
  <c r="Z32162" i="5"/>
  <c r="Z32161" i="5"/>
  <c r="Z32160" i="5"/>
  <c r="Z32159" i="5"/>
  <c r="Z32158" i="5"/>
  <c r="Z32157" i="5"/>
  <c r="Z32156" i="5"/>
  <c r="Z32155" i="5"/>
  <c r="Z32154" i="5"/>
  <c r="Z32153" i="5"/>
  <c r="Z32152" i="5"/>
  <c r="Z32151" i="5"/>
  <c r="Z32150" i="5"/>
  <c r="Z32149" i="5"/>
  <c r="Z32148" i="5"/>
  <c r="Z32147" i="5"/>
  <c r="Z32146" i="5"/>
  <c r="Z32145" i="5"/>
  <c r="Z32144" i="5"/>
  <c r="Z32143" i="5"/>
  <c r="Z32142" i="5"/>
  <c r="Z32141" i="5"/>
  <c r="Z32140" i="5"/>
  <c r="Z32139" i="5"/>
  <c r="Z32138" i="5"/>
  <c r="Z32137" i="5"/>
  <c r="Z32136" i="5"/>
  <c r="Z32135" i="5"/>
  <c r="Z32134" i="5"/>
  <c r="Z32133" i="5"/>
  <c r="Z32132" i="5"/>
  <c r="Z32131" i="5"/>
  <c r="Z32130" i="5"/>
  <c r="Z32129" i="5"/>
  <c r="Z32128" i="5"/>
  <c r="Z32127" i="5"/>
  <c r="Z32126" i="5"/>
  <c r="Z32125" i="5"/>
  <c r="Z32124" i="5"/>
  <c r="Z32123" i="5"/>
  <c r="Z32122" i="5"/>
  <c r="Z32121" i="5"/>
  <c r="Z32120" i="5"/>
  <c r="Z32119" i="5"/>
  <c r="Z32118" i="5"/>
  <c r="Z32117" i="5"/>
  <c r="Z32116" i="5"/>
  <c r="Z32115" i="5"/>
  <c r="Z32114" i="5"/>
  <c r="Z32113" i="5"/>
  <c r="Z32112" i="5"/>
  <c r="Z32111" i="5"/>
  <c r="Z32110" i="5"/>
  <c r="Z32109" i="5"/>
  <c r="Z32108" i="5"/>
  <c r="Z32107" i="5"/>
  <c r="Z32106" i="5"/>
  <c r="Z32105" i="5"/>
  <c r="Z32104" i="5"/>
  <c r="Z32103" i="5"/>
  <c r="Z32102" i="5"/>
  <c r="Z32101" i="5"/>
  <c r="Z32100" i="5"/>
  <c r="Z32099" i="5"/>
  <c r="Z32098" i="5"/>
  <c r="Z32097" i="5"/>
  <c r="Z32096" i="5"/>
  <c r="Z32095" i="5"/>
  <c r="Z32094" i="5"/>
  <c r="Z32093" i="5"/>
  <c r="Z32092" i="5"/>
  <c r="Z32091" i="5"/>
  <c r="Z32090" i="5"/>
  <c r="Z32089" i="5"/>
  <c r="Z32088" i="5"/>
  <c r="Z32087" i="5"/>
  <c r="Z32086" i="5"/>
  <c r="Z32085" i="5"/>
  <c r="Z32084" i="5"/>
  <c r="Z32083" i="5"/>
  <c r="Z32082" i="5"/>
  <c r="Z32081" i="5"/>
  <c r="Z32080" i="5"/>
  <c r="Z32079" i="5"/>
  <c r="Z32078" i="5"/>
  <c r="Z32077" i="5"/>
  <c r="Z32076" i="5"/>
  <c r="Z32075" i="5"/>
  <c r="Z32074" i="5"/>
  <c r="Z32073" i="5"/>
  <c r="Z32072" i="5"/>
  <c r="Z32071" i="5"/>
  <c r="Z32070" i="5"/>
  <c r="Z32069" i="5"/>
  <c r="Z32068" i="5"/>
  <c r="Z32067" i="5"/>
  <c r="Z32066" i="5"/>
  <c r="Z32065" i="5"/>
  <c r="Z32064" i="5"/>
  <c r="Z32063" i="5"/>
  <c r="Z32062" i="5"/>
  <c r="Z32061" i="5"/>
  <c r="Z32060" i="5"/>
  <c r="Z32059" i="5"/>
  <c r="Z32058" i="5"/>
  <c r="Z32057" i="5"/>
  <c r="Z32056" i="5"/>
  <c r="Z32055" i="5"/>
  <c r="Z32054" i="5"/>
  <c r="Z32053" i="5"/>
  <c r="Z32052" i="5"/>
  <c r="Z32051" i="5"/>
  <c r="Z32050" i="5"/>
  <c r="Z32049" i="5"/>
  <c r="Z32048" i="5"/>
  <c r="Z32047" i="5"/>
  <c r="Z32046" i="5"/>
  <c r="Z32045" i="5"/>
  <c r="Z32044" i="5"/>
  <c r="Z32043" i="5"/>
  <c r="Z32042" i="5"/>
  <c r="Z32041" i="5"/>
  <c r="Z32040" i="5"/>
  <c r="Z32039" i="5"/>
  <c r="Z32038" i="5"/>
  <c r="Z32037" i="5"/>
  <c r="Z32036" i="5"/>
  <c r="Z32035" i="5"/>
  <c r="Z32034" i="5"/>
  <c r="Z32033" i="5"/>
  <c r="Z32032" i="5"/>
  <c r="Z32031" i="5"/>
  <c r="Z32030" i="5"/>
  <c r="Z32029" i="5"/>
  <c r="Z32028" i="5"/>
  <c r="Z32027" i="5"/>
  <c r="Z32026" i="5"/>
  <c r="Z32025" i="5"/>
  <c r="Z32024" i="5"/>
  <c r="Z32023" i="5"/>
  <c r="Z32022" i="5"/>
  <c r="Z32021" i="5"/>
  <c r="Z32020" i="5"/>
  <c r="Z32019" i="5"/>
  <c r="Z32018" i="5"/>
  <c r="Z32017" i="5"/>
  <c r="Z32016" i="5"/>
  <c r="Z32015" i="5"/>
  <c r="Z32014" i="5"/>
  <c r="Z32013" i="5"/>
  <c r="Z32012" i="5"/>
  <c r="Z32011" i="5"/>
  <c r="Z32010" i="5"/>
  <c r="Z32009" i="5"/>
  <c r="Z32008" i="5"/>
  <c r="Z32007" i="5"/>
  <c r="Z32006" i="5"/>
  <c r="Z32005" i="5"/>
  <c r="Z32004" i="5"/>
  <c r="Z32003" i="5"/>
  <c r="Z32002" i="5"/>
  <c r="Z32001" i="5"/>
  <c r="Z32000" i="5"/>
  <c r="Z31999" i="5"/>
  <c r="Z31998" i="5"/>
  <c r="Z31997" i="5"/>
  <c r="Z31996" i="5"/>
  <c r="Z31995" i="5"/>
  <c r="Z31994" i="5"/>
  <c r="Z31993" i="5"/>
  <c r="Z31992" i="5"/>
  <c r="Z31991" i="5"/>
  <c r="Z31990" i="5"/>
  <c r="Z31989" i="5"/>
  <c r="Z31988" i="5"/>
  <c r="Z31987" i="5"/>
  <c r="Z31986" i="5"/>
  <c r="Z31985" i="5"/>
  <c r="Z31984" i="5"/>
  <c r="Z31983" i="5"/>
  <c r="Z31982" i="5"/>
  <c r="Z31981" i="5"/>
  <c r="Z31980" i="5"/>
  <c r="Z31979" i="5"/>
  <c r="Z31978" i="5"/>
  <c r="Z31977" i="5"/>
  <c r="Z31976" i="5"/>
  <c r="Z31975" i="5"/>
  <c r="Z31974" i="5"/>
  <c r="Z31973" i="5"/>
  <c r="Z31972" i="5"/>
  <c r="Z31971" i="5"/>
  <c r="Z31970" i="5"/>
  <c r="Z31969" i="5"/>
  <c r="Z31968" i="5"/>
  <c r="Z31967" i="5"/>
  <c r="Z31966" i="5"/>
  <c r="Z31965" i="5"/>
  <c r="Z31964" i="5"/>
  <c r="Z31963" i="5"/>
  <c r="Z31962" i="5"/>
  <c r="Z31961" i="5"/>
  <c r="Z31960" i="5"/>
  <c r="Z31959" i="5"/>
  <c r="Z31958" i="5"/>
  <c r="Z31957" i="5"/>
  <c r="Z31956" i="5"/>
  <c r="Z31955" i="5"/>
  <c r="Z31954" i="5"/>
  <c r="Z31953" i="5"/>
  <c r="Z31952" i="5"/>
  <c r="Z31951" i="5"/>
  <c r="Z31950" i="5"/>
  <c r="Z31949" i="5"/>
  <c r="Z31948" i="5"/>
  <c r="Z31947" i="5"/>
  <c r="Z31946" i="5"/>
  <c r="Z31945" i="5"/>
  <c r="Z31944" i="5"/>
  <c r="Z31943" i="5"/>
  <c r="Z31942" i="5"/>
  <c r="Z31941" i="5"/>
  <c r="Z31940" i="5"/>
  <c r="Z31939" i="5"/>
  <c r="Z31938" i="5"/>
  <c r="Z31937" i="5"/>
  <c r="Z31936" i="5"/>
  <c r="Z31935" i="5"/>
  <c r="Z31934" i="5"/>
  <c r="Z31933" i="5"/>
  <c r="Z31932" i="5"/>
  <c r="Z31931" i="5"/>
  <c r="Z31930" i="5"/>
  <c r="Z31929" i="5"/>
  <c r="Z31928" i="5"/>
  <c r="Z31927" i="5"/>
  <c r="Z31926" i="5"/>
  <c r="Z31925" i="5"/>
  <c r="Z31924" i="5"/>
  <c r="Z31923" i="5"/>
  <c r="Z31922" i="5"/>
  <c r="Z31921" i="5"/>
  <c r="Z31920" i="5"/>
  <c r="Z31919" i="5"/>
  <c r="Z31918" i="5"/>
  <c r="Z31917" i="5"/>
  <c r="Z31916" i="5"/>
  <c r="Z31915" i="5"/>
  <c r="Z31914" i="5"/>
  <c r="Z31913" i="5"/>
  <c r="Z31912" i="5"/>
  <c r="Z31911" i="5"/>
  <c r="Z31910" i="5"/>
  <c r="Z31909" i="5"/>
  <c r="Z31908" i="5"/>
  <c r="Z31907" i="5"/>
  <c r="Z31906" i="5"/>
  <c r="Z31905" i="5"/>
  <c r="Z31904" i="5"/>
  <c r="Z31903" i="5"/>
  <c r="Z31902" i="5"/>
  <c r="Z31901" i="5"/>
  <c r="Z31900" i="5"/>
  <c r="Z31899" i="5"/>
  <c r="Z31898" i="5"/>
  <c r="Z31897" i="5"/>
  <c r="Z31896" i="5"/>
  <c r="Z31895" i="5"/>
  <c r="Z31894" i="5"/>
  <c r="Z31893" i="5"/>
  <c r="Z31892" i="5"/>
  <c r="Z31891" i="5"/>
  <c r="Z31890" i="5"/>
  <c r="Z31889" i="5"/>
  <c r="Z31888" i="5"/>
  <c r="Z31887" i="5"/>
  <c r="Z31886" i="5"/>
  <c r="Z31885" i="5"/>
  <c r="Z31884" i="5"/>
  <c r="Z31883" i="5"/>
  <c r="Z31882" i="5"/>
  <c r="Z31881" i="5"/>
  <c r="Z31880" i="5"/>
  <c r="Z31879" i="5"/>
  <c r="Z31878" i="5"/>
  <c r="Z31877" i="5"/>
  <c r="Z31876" i="5"/>
  <c r="Z31875" i="5"/>
  <c r="Z31874" i="5"/>
  <c r="Z31873" i="5"/>
  <c r="Z31872" i="5"/>
  <c r="Z31871" i="5"/>
  <c r="Z31870" i="5"/>
  <c r="Z31869" i="5"/>
  <c r="Z31868" i="5"/>
  <c r="Z31867" i="5"/>
  <c r="Z31866" i="5"/>
  <c r="Z31865" i="5"/>
  <c r="Z31864" i="5"/>
  <c r="Z31863" i="5"/>
  <c r="Z31862" i="5"/>
  <c r="Z31861" i="5"/>
  <c r="Z31860" i="5"/>
  <c r="Z31859" i="5"/>
  <c r="Z31858" i="5"/>
  <c r="Z31857" i="5"/>
  <c r="Z31856" i="5"/>
  <c r="Z31855" i="5"/>
  <c r="Z31854" i="5"/>
  <c r="Z31853" i="5"/>
  <c r="Z31852" i="5"/>
  <c r="Z31851" i="5"/>
  <c r="Z31850" i="5"/>
  <c r="Z31849" i="5"/>
  <c r="Z31848" i="5"/>
  <c r="Z31847" i="5"/>
  <c r="Z31846" i="5"/>
  <c r="Z31845" i="5"/>
  <c r="Z31844" i="5"/>
  <c r="Z31843" i="5"/>
  <c r="Z31842" i="5"/>
  <c r="Z31841" i="5"/>
  <c r="Z31840" i="5"/>
  <c r="Z31839" i="5"/>
  <c r="Z31838" i="5"/>
  <c r="Z31837" i="5"/>
  <c r="Z31836" i="5"/>
  <c r="Z31835" i="5"/>
  <c r="Z31834" i="5"/>
  <c r="Z31833" i="5"/>
  <c r="Z31832" i="5"/>
  <c r="Z31831" i="5"/>
  <c r="Z31830" i="5"/>
  <c r="Z31829" i="5"/>
  <c r="Z31828" i="5"/>
  <c r="Z31827" i="5"/>
  <c r="Z31826" i="5"/>
  <c r="Z31825" i="5"/>
  <c r="Z31824" i="5"/>
  <c r="Z31823" i="5"/>
  <c r="Z31822" i="5"/>
  <c r="Z31821" i="5"/>
  <c r="Z31820" i="5"/>
  <c r="Z31819" i="5"/>
  <c r="Z31818" i="5"/>
  <c r="Z31817" i="5"/>
  <c r="Z31816" i="5"/>
  <c r="Z31815" i="5"/>
  <c r="Z31814" i="5"/>
  <c r="Z31813" i="5"/>
  <c r="Z31812" i="5"/>
  <c r="Z31811" i="5"/>
  <c r="Z31810" i="5"/>
  <c r="Z31809" i="5"/>
  <c r="Z31808" i="5"/>
  <c r="Z31807" i="5"/>
  <c r="Z31806" i="5"/>
  <c r="Z31805" i="5"/>
  <c r="Z31804" i="5"/>
  <c r="Z31803" i="5"/>
  <c r="Z31802" i="5"/>
  <c r="Z31801" i="5"/>
  <c r="Z31800" i="5"/>
  <c r="Z31799" i="5"/>
  <c r="Z31798" i="5"/>
  <c r="Z31797" i="5"/>
  <c r="Z31796" i="5"/>
  <c r="Z31795" i="5"/>
  <c r="Z31794" i="5"/>
  <c r="Z31793" i="5"/>
  <c r="Z31792" i="5"/>
  <c r="Z31791" i="5"/>
  <c r="Z31790" i="5"/>
  <c r="Z31789" i="5"/>
  <c r="Z31788" i="5"/>
  <c r="Z31787" i="5"/>
  <c r="Z31786" i="5"/>
  <c r="Z31785" i="5"/>
  <c r="Z31784" i="5"/>
  <c r="Z31783" i="5"/>
  <c r="Z31782" i="5"/>
  <c r="Z31781" i="5"/>
  <c r="Z31780" i="5"/>
  <c r="Z31779" i="5"/>
  <c r="Z31778" i="5"/>
  <c r="Z31777" i="5"/>
  <c r="Z31776" i="5"/>
  <c r="Z31775" i="5"/>
  <c r="Z31774" i="5"/>
  <c r="Z31773" i="5"/>
  <c r="Z31772" i="5"/>
  <c r="Z31771" i="5"/>
  <c r="Z31770" i="5"/>
  <c r="Z31769" i="5"/>
  <c r="Z31768" i="5"/>
  <c r="Z31767" i="5"/>
  <c r="Z31766" i="5"/>
  <c r="Z31765" i="5"/>
  <c r="Z31764" i="5"/>
  <c r="Z31763" i="5"/>
  <c r="Z31762" i="5"/>
  <c r="Z31761" i="5"/>
  <c r="Z31760" i="5"/>
  <c r="Z31759" i="5"/>
  <c r="Z31758" i="5"/>
  <c r="Z31757" i="5"/>
  <c r="Z31756" i="5"/>
  <c r="Z31755" i="5"/>
  <c r="Z31754" i="5"/>
  <c r="Z31753" i="5"/>
  <c r="Z31752" i="5"/>
  <c r="Z31751" i="5"/>
  <c r="Z31750" i="5"/>
  <c r="Z31749" i="5"/>
  <c r="Z31748" i="5"/>
  <c r="Z31747" i="5"/>
  <c r="Z31746" i="5"/>
  <c r="Z31745" i="5"/>
  <c r="Z31744" i="5"/>
  <c r="Z31743" i="5"/>
  <c r="Z31742" i="5"/>
  <c r="Z31741" i="5"/>
  <c r="Z31740" i="5"/>
  <c r="Z31739" i="5"/>
  <c r="Z31738" i="5"/>
  <c r="Z31737" i="5"/>
  <c r="Z31736" i="5"/>
  <c r="Z31735" i="5"/>
  <c r="Z31734" i="5"/>
  <c r="Z31733" i="5"/>
  <c r="Z31732" i="5"/>
  <c r="Z31731" i="5"/>
  <c r="Z31730" i="5"/>
  <c r="Z31729" i="5"/>
  <c r="Z31728" i="5"/>
  <c r="Z31727" i="5"/>
  <c r="Z31726" i="5"/>
  <c r="Z31725" i="5"/>
  <c r="Z31724" i="5"/>
  <c r="Z31723" i="5"/>
  <c r="Z31722" i="5"/>
  <c r="Z31721" i="5"/>
  <c r="Z31720" i="5"/>
  <c r="Z31719" i="5"/>
  <c r="Z31718" i="5"/>
  <c r="Z31717" i="5"/>
  <c r="Z31716" i="5"/>
  <c r="Z31715" i="5"/>
  <c r="Z31714" i="5"/>
  <c r="Z31713" i="5"/>
  <c r="Z31712" i="5"/>
  <c r="Z31711" i="5"/>
  <c r="Z31710" i="5"/>
  <c r="Z31709" i="5"/>
  <c r="Z31708" i="5"/>
  <c r="Z31707" i="5"/>
  <c r="Z31706" i="5"/>
  <c r="Z31705" i="5"/>
  <c r="Z31704" i="5"/>
  <c r="Z31703" i="5"/>
  <c r="Z31702" i="5"/>
  <c r="Z31701" i="5"/>
  <c r="Z31700" i="5"/>
  <c r="Z31699" i="5"/>
  <c r="Z31698" i="5"/>
  <c r="Z31697" i="5"/>
  <c r="Z31696" i="5"/>
  <c r="Z31695" i="5"/>
  <c r="Z31694" i="5"/>
  <c r="Z31693" i="5"/>
  <c r="Z31692" i="5"/>
  <c r="Z31691" i="5"/>
  <c r="Z31690" i="5"/>
  <c r="Z31689" i="5"/>
  <c r="Z31688" i="5"/>
  <c r="Z31687" i="5"/>
  <c r="Z31686" i="5"/>
  <c r="Z31685" i="5"/>
  <c r="Z31684" i="5"/>
  <c r="Z31683" i="5"/>
  <c r="Z31682" i="5"/>
  <c r="Z31681" i="5"/>
  <c r="Z31680" i="5"/>
  <c r="Z31679" i="5"/>
  <c r="Z31678" i="5"/>
  <c r="Z31677" i="5"/>
  <c r="Z31676" i="5"/>
  <c r="Z31675" i="5"/>
  <c r="Z31674" i="5"/>
  <c r="Z31673" i="5"/>
  <c r="Z31672" i="5"/>
  <c r="Z31671" i="5"/>
  <c r="Z31670" i="5"/>
  <c r="Z31669" i="5"/>
  <c r="Z31668" i="5"/>
  <c r="Z31667" i="5"/>
  <c r="Z31666" i="5"/>
  <c r="Z31665" i="5"/>
  <c r="Z31664" i="5"/>
  <c r="Z31663" i="5"/>
  <c r="Z31662" i="5"/>
  <c r="Z31661" i="5"/>
  <c r="Z31660" i="5"/>
  <c r="Z31659" i="5"/>
  <c r="Z31658" i="5"/>
  <c r="Z31657" i="5"/>
  <c r="Z31656" i="5"/>
  <c r="Z31655" i="5"/>
  <c r="Z31654" i="5"/>
  <c r="Z31653" i="5"/>
  <c r="Z31652" i="5"/>
  <c r="Z31651" i="5"/>
  <c r="Z31650" i="5"/>
  <c r="Z31649" i="5"/>
  <c r="Z31648" i="5"/>
  <c r="Z31647" i="5"/>
  <c r="Z31646" i="5"/>
  <c r="Z31645" i="5"/>
  <c r="Z31644" i="5"/>
  <c r="Z31643" i="5"/>
  <c r="Z31642" i="5"/>
  <c r="Z31641" i="5"/>
  <c r="Z31640" i="5"/>
  <c r="Z31639" i="5"/>
  <c r="Z31638" i="5"/>
  <c r="Z31637" i="5"/>
  <c r="Z31636" i="5"/>
  <c r="Z31635" i="5"/>
  <c r="Z31634" i="5"/>
  <c r="Z31633" i="5"/>
  <c r="Z31632" i="5"/>
  <c r="Z31631" i="5"/>
  <c r="Z31630" i="5"/>
  <c r="Z31629" i="5"/>
  <c r="Z31628" i="5"/>
  <c r="Z31627" i="5"/>
  <c r="Z31626" i="5"/>
  <c r="Z31625" i="5"/>
  <c r="Z31624" i="5"/>
  <c r="Z31623" i="5"/>
  <c r="Z31622" i="5"/>
  <c r="Z31621" i="5"/>
  <c r="Z31620" i="5"/>
  <c r="Z31619" i="5"/>
  <c r="Z31618" i="5"/>
  <c r="Z31617" i="5"/>
  <c r="Z31616" i="5"/>
  <c r="Z31615" i="5"/>
  <c r="Z31614" i="5"/>
  <c r="Z31613" i="5"/>
  <c r="Z31612" i="5"/>
  <c r="Z31611" i="5"/>
  <c r="Z31610" i="5"/>
  <c r="Z31609" i="5"/>
  <c r="Z31608" i="5"/>
  <c r="Z31607" i="5"/>
  <c r="Z31606" i="5"/>
  <c r="Z31605" i="5"/>
  <c r="Z31604" i="5"/>
  <c r="Z31603" i="5"/>
  <c r="Z31602" i="5"/>
  <c r="Z31601" i="5"/>
  <c r="Z31600" i="5"/>
  <c r="Z31599" i="5"/>
  <c r="Z31598" i="5"/>
  <c r="Z31597" i="5"/>
  <c r="Z31596" i="5"/>
  <c r="Z31595" i="5"/>
  <c r="Z31594" i="5"/>
  <c r="Z31593" i="5"/>
  <c r="Z31592" i="5"/>
  <c r="Z31591" i="5"/>
  <c r="Z31590" i="5"/>
  <c r="Z31589" i="5"/>
  <c r="Z31588" i="5"/>
  <c r="Z31587" i="5"/>
  <c r="Z31586" i="5"/>
  <c r="Z31585" i="5"/>
  <c r="Z31584" i="5"/>
  <c r="Z31583" i="5"/>
  <c r="Z31582" i="5"/>
  <c r="Z31581" i="5"/>
  <c r="Z31580" i="5"/>
  <c r="Z31579" i="5"/>
  <c r="Z31578" i="5"/>
  <c r="Z31577" i="5"/>
  <c r="Z31576" i="5"/>
  <c r="Z31575" i="5"/>
  <c r="Z31574" i="5"/>
  <c r="Z31573" i="5"/>
  <c r="Z31572" i="5"/>
  <c r="Z31571" i="5"/>
  <c r="Z31570" i="5"/>
  <c r="Z31569" i="5"/>
  <c r="Z31568" i="5"/>
  <c r="Z31567" i="5"/>
  <c r="Z31566" i="5"/>
  <c r="Z31565" i="5"/>
  <c r="Z31564" i="5"/>
  <c r="Z31563" i="5"/>
  <c r="Z31562" i="5"/>
  <c r="Z31561" i="5"/>
  <c r="Z31560" i="5"/>
  <c r="Z31559" i="5"/>
  <c r="Z31558" i="5"/>
  <c r="Z31557" i="5"/>
  <c r="Z31556" i="5"/>
  <c r="Z31555" i="5"/>
  <c r="Z31554" i="5"/>
  <c r="Z31553" i="5"/>
  <c r="Z31552" i="5"/>
  <c r="Z31551" i="5"/>
  <c r="Z31550" i="5"/>
  <c r="Z31549" i="5"/>
  <c r="Z31548" i="5"/>
  <c r="Z31547" i="5"/>
  <c r="Z31546" i="5"/>
  <c r="Z31545" i="5"/>
  <c r="Z31544" i="5"/>
  <c r="Z31543" i="5"/>
  <c r="Z31542" i="5"/>
  <c r="Z31541" i="5"/>
  <c r="Z31540" i="5"/>
  <c r="Z31539" i="5"/>
  <c r="Z31538" i="5"/>
  <c r="Z31537" i="5"/>
  <c r="Z31536" i="5"/>
  <c r="Z31535" i="5"/>
  <c r="Z31534" i="5"/>
  <c r="Z31533" i="5"/>
  <c r="Z31532" i="5"/>
  <c r="Z31531" i="5"/>
  <c r="Z31530" i="5"/>
  <c r="Z31529" i="5"/>
  <c r="Z31528" i="5"/>
  <c r="Z31527" i="5"/>
  <c r="Z31526" i="5"/>
  <c r="Z31525" i="5"/>
  <c r="Z31524" i="5"/>
  <c r="Z31523" i="5"/>
  <c r="Z31522" i="5"/>
  <c r="Z31521" i="5"/>
  <c r="Z31520" i="5"/>
  <c r="Z31519" i="5"/>
  <c r="Z31518" i="5"/>
  <c r="Z31517" i="5"/>
  <c r="Z31516" i="5"/>
  <c r="Z31515" i="5"/>
  <c r="Z31514" i="5"/>
  <c r="Z31513" i="5"/>
  <c r="Z31512" i="5"/>
  <c r="Z31511" i="5"/>
  <c r="Z31510" i="5"/>
  <c r="Z31509" i="5"/>
  <c r="Z31508" i="5"/>
  <c r="Z31507" i="5"/>
  <c r="Z31506" i="5"/>
  <c r="Z31505" i="5"/>
  <c r="Z31504" i="5"/>
  <c r="Z31503" i="5"/>
  <c r="Z31502" i="5"/>
  <c r="Z31501" i="5"/>
  <c r="Z31500" i="5"/>
  <c r="Z31499" i="5"/>
  <c r="Z31498" i="5"/>
  <c r="Z31497" i="5"/>
  <c r="Z31496" i="5"/>
  <c r="Z31495" i="5"/>
  <c r="Z31494" i="5"/>
  <c r="Z31493" i="5"/>
  <c r="Z31492" i="5"/>
  <c r="Z31491" i="5"/>
  <c r="Z31490" i="5"/>
  <c r="Z31489" i="5"/>
  <c r="Z31488" i="5"/>
  <c r="Z31487" i="5"/>
  <c r="Z31486" i="5"/>
  <c r="Z31485" i="5"/>
  <c r="Z31484" i="5"/>
  <c r="Z31483" i="5"/>
  <c r="Z31482" i="5"/>
  <c r="Z31481" i="5"/>
  <c r="Z31480" i="5"/>
  <c r="Z31479" i="5"/>
  <c r="Z31478" i="5"/>
  <c r="Z31477" i="5"/>
  <c r="Z31476" i="5"/>
  <c r="Z31475" i="5"/>
  <c r="Z31474" i="5"/>
  <c r="Z31473" i="5"/>
  <c r="Z31472" i="5"/>
  <c r="Z31471" i="5"/>
  <c r="Z31470" i="5"/>
  <c r="Z31469" i="5"/>
  <c r="Z31468" i="5"/>
  <c r="Z31467" i="5"/>
  <c r="Z31466" i="5"/>
  <c r="Z31465" i="5"/>
  <c r="Z31464" i="5"/>
  <c r="Z31463" i="5"/>
  <c r="Z31462" i="5"/>
  <c r="Z31461" i="5"/>
  <c r="Z31460" i="5"/>
  <c r="Z31459" i="5"/>
  <c r="Z31458" i="5"/>
  <c r="Z31457" i="5"/>
  <c r="Z31456" i="5"/>
  <c r="Z31455" i="5"/>
  <c r="Z31454" i="5"/>
  <c r="Z31453" i="5"/>
  <c r="Z31452" i="5"/>
  <c r="Z31451" i="5"/>
  <c r="Z31450" i="5"/>
  <c r="Z31449" i="5"/>
  <c r="Z31448" i="5"/>
  <c r="Z31447" i="5"/>
  <c r="Z31446" i="5"/>
  <c r="Z31445" i="5"/>
  <c r="Z31444" i="5"/>
  <c r="Z31443" i="5"/>
  <c r="Z31442" i="5"/>
  <c r="Z31441" i="5"/>
  <c r="Z31440" i="5"/>
  <c r="Z31439" i="5"/>
  <c r="Z31438" i="5"/>
  <c r="Z31437" i="5"/>
  <c r="Z31436" i="5"/>
  <c r="Z31435" i="5"/>
  <c r="Z31434" i="5"/>
  <c r="Z31433" i="5"/>
  <c r="Z31432" i="5"/>
  <c r="Z31431" i="5"/>
  <c r="Z31430" i="5"/>
  <c r="Z31429" i="5"/>
  <c r="Z31428" i="5"/>
  <c r="Z31427" i="5"/>
  <c r="Z31426" i="5"/>
  <c r="Z31425" i="5"/>
  <c r="Z31424" i="5"/>
  <c r="Z31423" i="5"/>
  <c r="Z31422" i="5"/>
  <c r="Z31421" i="5"/>
  <c r="Z31420" i="5"/>
  <c r="Z31419" i="5"/>
  <c r="Z31418" i="5"/>
  <c r="Z31417" i="5"/>
  <c r="Z31416" i="5"/>
  <c r="Z31415" i="5"/>
  <c r="Z31414" i="5"/>
  <c r="Z31413" i="5"/>
  <c r="Z31412" i="5"/>
  <c r="Z31411" i="5"/>
  <c r="Z31410" i="5"/>
  <c r="Z31409" i="5"/>
  <c r="Z31408" i="5"/>
  <c r="Z31407" i="5"/>
  <c r="Z31406" i="5"/>
  <c r="Z31405" i="5"/>
  <c r="Z31404" i="5"/>
  <c r="Z31403" i="5"/>
  <c r="Z31402" i="5"/>
  <c r="Z31401" i="5"/>
  <c r="Z31400" i="5"/>
  <c r="Z31399" i="5"/>
  <c r="Z31398" i="5"/>
  <c r="Z31397" i="5"/>
  <c r="Z31396" i="5"/>
  <c r="Z31395" i="5"/>
  <c r="Z31394" i="5"/>
  <c r="Z31393" i="5"/>
  <c r="Z31392" i="5"/>
  <c r="Z31391" i="5"/>
  <c r="Z31390" i="5"/>
  <c r="Z31389" i="5"/>
  <c r="Z31388" i="5"/>
  <c r="Z31387" i="5"/>
  <c r="Z31386" i="5"/>
  <c r="Z31385" i="5"/>
  <c r="Z31384" i="5"/>
  <c r="Z31383" i="5"/>
  <c r="Z31382" i="5"/>
  <c r="Z31381" i="5"/>
  <c r="Z31380" i="5"/>
  <c r="Z31379" i="5"/>
  <c r="Z31378" i="5"/>
  <c r="Z31377" i="5"/>
  <c r="Z31376" i="5"/>
  <c r="Z31375" i="5"/>
  <c r="Z31374" i="5"/>
  <c r="Z31373" i="5"/>
  <c r="Z31372" i="5"/>
  <c r="Z31371" i="5"/>
  <c r="Z31370" i="5"/>
  <c r="Z31369" i="5"/>
  <c r="Z31368" i="5"/>
  <c r="Z31367" i="5"/>
  <c r="Z31366" i="5"/>
  <c r="Z31365" i="5"/>
  <c r="Z31364" i="5"/>
  <c r="Z31363" i="5"/>
  <c r="Z31362" i="5"/>
  <c r="Z31361" i="5"/>
  <c r="Z31360" i="5"/>
  <c r="Z31359" i="5"/>
  <c r="Z31358" i="5"/>
  <c r="Z31357" i="5"/>
  <c r="Z31356" i="5"/>
  <c r="Z31355" i="5"/>
  <c r="Z31354" i="5"/>
  <c r="Z31353" i="5"/>
  <c r="Z31352" i="5"/>
  <c r="Z31351" i="5"/>
  <c r="Z31350" i="5"/>
  <c r="Z31349" i="5"/>
  <c r="Z31348" i="5"/>
  <c r="Z31347" i="5"/>
  <c r="Z31346" i="5"/>
  <c r="Z31345" i="5"/>
  <c r="Z31344" i="5"/>
  <c r="Z31343" i="5"/>
  <c r="Z31342" i="5"/>
  <c r="Z31341" i="5"/>
  <c r="Z31340" i="5"/>
  <c r="Z31339" i="5"/>
  <c r="Z31338" i="5"/>
  <c r="Z31337" i="5"/>
  <c r="Z31336" i="5"/>
  <c r="Z31335" i="5"/>
  <c r="Z31334" i="5"/>
  <c r="Z31333" i="5"/>
  <c r="Z31332" i="5"/>
  <c r="Z31331" i="5"/>
  <c r="Z31330" i="5"/>
  <c r="Z31329" i="5"/>
  <c r="Z31328" i="5"/>
  <c r="Z31327" i="5"/>
  <c r="Z31326" i="5"/>
  <c r="Z31325" i="5"/>
  <c r="Z31324" i="5"/>
  <c r="Z31323" i="5"/>
  <c r="Z31322" i="5"/>
  <c r="Z31321" i="5"/>
  <c r="Z31320" i="5"/>
  <c r="Z31319" i="5"/>
  <c r="Z31318" i="5"/>
  <c r="Z31317" i="5"/>
  <c r="Z31316" i="5"/>
  <c r="Z31315" i="5"/>
  <c r="Z31314" i="5"/>
  <c r="Z31313" i="5"/>
  <c r="Z31312" i="5"/>
  <c r="Z31311" i="5"/>
  <c r="Z31310" i="5"/>
  <c r="Z31309" i="5"/>
  <c r="Z31308" i="5"/>
  <c r="Z31307" i="5"/>
  <c r="Z31306" i="5"/>
  <c r="Z31305" i="5"/>
  <c r="Z31304" i="5"/>
  <c r="Z31303" i="5"/>
  <c r="Z31302" i="5"/>
  <c r="Z31301" i="5"/>
  <c r="Z31300" i="5"/>
  <c r="Z31299" i="5"/>
  <c r="Z31298" i="5"/>
  <c r="Z31297" i="5"/>
  <c r="Z31296" i="5"/>
  <c r="Z31295" i="5"/>
  <c r="Z31294" i="5"/>
  <c r="Z31293" i="5"/>
  <c r="Z31292" i="5"/>
  <c r="Z31291" i="5"/>
  <c r="Z31290" i="5"/>
  <c r="Z31289" i="5"/>
  <c r="Z31288" i="5"/>
  <c r="Z31287" i="5"/>
  <c r="Z31286" i="5"/>
  <c r="Z31285" i="5"/>
  <c r="Z31284" i="5"/>
  <c r="Z31283" i="5"/>
  <c r="Z31282" i="5"/>
  <c r="Z31281" i="5"/>
  <c r="Z31280" i="5"/>
  <c r="Z31279" i="5"/>
  <c r="Z31278" i="5"/>
  <c r="Z31277" i="5"/>
  <c r="Z31276" i="5"/>
  <c r="Z31275" i="5"/>
  <c r="Z31274" i="5"/>
  <c r="Z31273" i="5"/>
  <c r="Z31272" i="5"/>
  <c r="Z31271" i="5"/>
  <c r="Z31270" i="5"/>
  <c r="Z31269" i="5"/>
  <c r="Z31268" i="5"/>
  <c r="Z31267" i="5"/>
  <c r="Z31266" i="5"/>
  <c r="Z31265" i="5"/>
  <c r="Z31264" i="5"/>
  <c r="Z31263" i="5"/>
  <c r="Z31262" i="5"/>
  <c r="Z31261" i="5"/>
  <c r="Z31260" i="5"/>
  <c r="Z31259" i="5"/>
  <c r="Z31258" i="5"/>
  <c r="Z31257" i="5"/>
  <c r="Z31256" i="5"/>
  <c r="Z31255" i="5"/>
  <c r="Z31254" i="5"/>
  <c r="Z31253" i="5"/>
  <c r="Z31252" i="5"/>
  <c r="Z31251" i="5"/>
  <c r="Z31250" i="5"/>
  <c r="Z31249" i="5"/>
  <c r="Z31248" i="5"/>
  <c r="Z31247" i="5"/>
  <c r="Z31246" i="5"/>
  <c r="Z31245" i="5"/>
  <c r="Z31244" i="5"/>
  <c r="Z31243" i="5"/>
  <c r="Z31242" i="5"/>
  <c r="Z31241" i="5"/>
  <c r="Z31240" i="5"/>
  <c r="Z31239" i="5"/>
  <c r="Z31238" i="5"/>
  <c r="Z31237" i="5"/>
  <c r="Z31236" i="5"/>
  <c r="Z31235" i="5"/>
  <c r="Z31234" i="5"/>
  <c r="Z31233" i="5"/>
  <c r="Z31232" i="5"/>
  <c r="Z31231" i="5"/>
  <c r="Z31230" i="5"/>
  <c r="Z31229" i="5"/>
  <c r="Z31228" i="5"/>
  <c r="Z31227" i="5"/>
  <c r="Z31226" i="5"/>
  <c r="Z31225" i="5"/>
  <c r="Z31224" i="5"/>
  <c r="Z31223" i="5"/>
  <c r="Z31222" i="5"/>
  <c r="Z31221" i="5"/>
  <c r="Z31220" i="5"/>
  <c r="Z31219" i="5"/>
  <c r="Z31218" i="5"/>
  <c r="Z31217" i="5"/>
  <c r="Z31216" i="5"/>
  <c r="Z31215" i="5"/>
  <c r="Z31214" i="5"/>
  <c r="Z31213" i="5"/>
  <c r="Z31212" i="5"/>
  <c r="Z31211" i="5"/>
  <c r="Z31210" i="5"/>
  <c r="Z31209" i="5"/>
  <c r="Z31208" i="5"/>
  <c r="Z31207" i="5"/>
  <c r="Z31206" i="5"/>
  <c r="Z31205" i="5"/>
  <c r="Z31204" i="5"/>
  <c r="Z31203" i="5"/>
  <c r="Z31202" i="5"/>
  <c r="Z31201" i="5"/>
  <c r="Z31200" i="5"/>
  <c r="Z31199" i="5"/>
  <c r="Z31198" i="5"/>
  <c r="Z31197" i="5"/>
  <c r="Z31196" i="5"/>
  <c r="Z31195" i="5"/>
  <c r="Z31194" i="5"/>
  <c r="Z31193" i="5"/>
  <c r="Z31192" i="5"/>
  <c r="Z31191" i="5"/>
  <c r="Z31190" i="5"/>
  <c r="Z31189" i="5"/>
  <c r="Z31188" i="5"/>
  <c r="Z31187" i="5"/>
  <c r="Z31186" i="5"/>
  <c r="Z31185" i="5"/>
  <c r="Z31184" i="5"/>
  <c r="Z31183" i="5"/>
  <c r="Z31182" i="5"/>
  <c r="Z31181" i="5"/>
  <c r="Z31180" i="5"/>
  <c r="Z31179" i="5"/>
  <c r="Z31178" i="5"/>
  <c r="Z31177" i="5"/>
  <c r="Z31176" i="5"/>
  <c r="Z31175" i="5"/>
  <c r="Z31174" i="5"/>
  <c r="Z31173" i="5"/>
  <c r="Z31172" i="5"/>
  <c r="Z31171" i="5"/>
  <c r="Z31170" i="5"/>
  <c r="Z31169" i="5"/>
  <c r="Z31168" i="5"/>
  <c r="Z31167" i="5"/>
  <c r="Z31166" i="5"/>
  <c r="Z31165" i="5"/>
  <c r="Z31164" i="5"/>
  <c r="Z31163" i="5"/>
  <c r="Z31162" i="5"/>
  <c r="Z31161" i="5"/>
  <c r="Z31160" i="5"/>
  <c r="Z31159" i="5"/>
  <c r="Z31158" i="5"/>
  <c r="Z31157" i="5"/>
  <c r="Z31156" i="5"/>
  <c r="Z31155" i="5"/>
  <c r="Z31154" i="5"/>
  <c r="Z31153" i="5"/>
  <c r="Z31152" i="5"/>
  <c r="Z31151" i="5"/>
  <c r="Z31150" i="5"/>
  <c r="Z31149" i="5"/>
  <c r="Z31148" i="5"/>
  <c r="Z31147" i="5"/>
  <c r="Z31146" i="5"/>
  <c r="Z31145" i="5"/>
  <c r="Z31144" i="5"/>
  <c r="Z31143" i="5"/>
  <c r="Z31142" i="5"/>
  <c r="Z31141" i="5"/>
  <c r="Z31140" i="5"/>
  <c r="Z31139" i="5"/>
  <c r="Z31138" i="5"/>
  <c r="Z31137" i="5"/>
  <c r="Z31136" i="5"/>
  <c r="Z31135" i="5"/>
  <c r="Z31134" i="5"/>
  <c r="Z31133" i="5"/>
  <c r="Z31132" i="5"/>
  <c r="Z31131" i="5"/>
  <c r="Z31130" i="5"/>
  <c r="Z31129" i="5"/>
  <c r="Z31128" i="5"/>
  <c r="Z31127" i="5"/>
  <c r="Z31126" i="5"/>
  <c r="Z31125" i="5"/>
  <c r="Z31124" i="5"/>
  <c r="Z31123" i="5"/>
  <c r="Z31122" i="5"/>
  <c r="Z31121" i="5"/>
  <c r="Z31120" i="5"/>
  <c r="Z31119" i="5"/>
  <c r="Z31118" i="5"/>
  <c r="Z31117" i="5"/>
  <c r="Z31116" i="5"/>
  <c r="Z31115" i="5"/>
  <c r="Z31114" i="5"/>
  <c r="Z31113" i="5"/>
  <c r="Z31112" i="5"/>
  <c r="Z31111" i="5"/>
  <c r="Z31110" i="5"/>
  <c r="Z31109" i="5"/>
  <c r="Z31108" i="5"/>
  <c r="Z31107" i="5"/>
  <c r="Z31106" i="5"/>
  <c r="Z31105" i="5"/>
  <c r="Z31104" i="5"/>
  <c r="Z31103" i="5"/>
  <c r="Z31102" i="5"/>
  <c r="Z31101" i="5"/>
  <c r="Z31100" i="5"/>
  <c r="Z31099" i="5"/>
  <c r="Z31098" i="5"/>
  <c r="Z31097" i="5"/>
  <c r="Z31096" i="5"/>
  <c r="Z31095" i="5"/>
  <c r="Z31094" i="5"/>
  <c r="Z31093" i="5"/>
  <c r="Z31092" i="5"/>
  <c r="Z31091" i="5"/>
  <c r="Z31090" i="5"/>
  <c r="Z31089" i="5"/>
  <c r="Z31088" i="5"/>
  <c r="Z31087" i="5"/>
  <c r="Z31086" i="5"/>
  <c r="Z31085" i="5"/>
  <c r="Z31084" i="5"/>
  <c r="Z31083" i="5"/>
  <c r="Z31082" i="5"/>
  <c r="Z31081" i="5"/>
  <c r="Z31080" i="5"/>
  <c r="Z31079" i="5"/>
  <c r="Z31078" i="5"/>
  <c r="Z31077" i="5"/>
  <c r="Z31076" i="5"/>
  <c r="Z31075" i="5"/>
  <c r="Z31074" i="5"/>
  <c r="Z31073" i="5"/>
  <c r="Z31072" i="5"/>
  <c r="Z31071" i="5"/>
  <c r="Z31070" i="5"/>
  <c r="Z31069" i="5"/>
  <c r="Z31068" i="5"/>
  <c r="Z31067" i="5"/>
  <c r="Z31066" i="5"/>
  <c r="Z31065" i="5"/>
  <c r="Z31064" i="5"/>
  <c r="Z31063" i="5"/>
  <c r="Z31062" i="5"/>
  <c r="Z31061" i="5"/>
  <c r="Z31060" i="5"/>
  <c r="Z31059" i="5"/>
  <c r="Z31058" i="5"/>
  <c r="Z31057" i="5"/>
  <c r="Z31056" i="5"/>
  <c r="Z31055" i="5"/>
  <c r="Z31054" i="5"/>
  <c r="Z31053" i="5"/>
  <c r="Z31052" i="5"/>
  <c r="Z31051" i="5"/>
  <c r="Z31050" i="5"/>
  <c r="Z31049" i="5"/>
  <c r="Z31048" i="5"/>
  <c r="Z31047" i="5"/>
  <c r="Z31046" i="5"/>
  <c r="Z31045" i="5"/>
  <c r="Z31044" i="5"/>
  <c r="Z31043" i="5"/>
  <c r="Z31042" i="5"/>
  <c r="Z31041" i="5"/>
  <c r="Z31040" i="5"/>
  <c r="Z31039" i="5"/>
  <c r="Z31038" i="5"/>
  <c r="Z31037" i="5"/>
  <c r="Z31036" i="5"/>
  <c r="Z31035" i="5"/>
  <c r="Z31034" i="5"/>
  <c r="Z31033" i="5"/>
  <c r="Z31032" i="5"/>
  <c r="Z31031" i="5"/>
  <c r="Z31030" i="5"/>
  <c r="Z31029" i="5"/>
  <c r="Z31028" i="5"/>
  <c r="Z31027" i="5"/>
  <c r="Z31026" i="5"/>
  <c r="Z31025" i="5"/>
  <c r="Z31024" i="5"/>
  <c r="Z31023" i="5"/>
  <c r="Z31022" i="5"/>
  <c r="Z31021" i="5"/>
  <c r="Z31020" i="5"/>
  <c r="Z31019" i="5"/>
  <c r="Z31018" i="5"/>
  <c r="Z31017" i="5"/>
  <c r="Z31016" i="5"/>
  <c r="Z31015" i="5"/>
  <c r="Z31014" i="5"/>
  <c r="Z31013" i="5"/>
  <c r="Z31012" i="5"/>
  <c r="Z31011" i="5"/>
  <c r="Z31010" i="5"/>
  <c r="Z31009" i="5"/>
  <c r="Z31008" i="5"/>
  <c r="Z31007" i="5"/>
  <c r="Z31006" i="5"/>
  <c r="Z31005" i="5"/>
  <c r="Z31004" i="5"/>
  <c r="Z31003" i="5"/>
  <c r="Z31002" i="5"/>
  <c r="Z31001" i="5"/>
  <c r="Z31000" i="5"/>
  <c r="Z30999" i="5"/>
  <c r="Z30998" i="5"/>
  <c r="Z30997" i="5"/>
  <c r="Z30996" i="5"/>
  <c r="Z30995" i="5"/>
  <c r="Z30994" i="5"/>
  <c r="Z30993" i="5"/>
  <c r="Z30992" i="5"/>
  <c r="Z30991" i="5"/>
  <c r="Z30990" i="5"/>
  <c r="Z30989" i="5"/>
  <c r="Z30988" i="5"/>
  <c r="Z30987" i="5"/>
  <c r="Z30986" i="5"/>
  <c r="Z30985" i="5"/>
  <c r="Z30984" i="5"/>
  <c r="Z30983" i="5"/>
  <c r="Z30982" i="5"/>
  <c r="Z30981" i="5"/>
  <c r="Z30980" i="5"/>
  <c r="Z30979" i="5"/>
  <c r="Z30978" i="5"/>
  <c r="Z30977" i="5"/>
  <c r="Z30976" i="5"/>
  <c r="Z30975" i="5"/>
  <c r="Z30974" i="5"/>
  <c r="Z30973" i="5"/>
  <c r="Z30972" i="5"/>
  <c r="Z30971" i="5"/>
  <c r="Z30970" i="5"/>
  <c r="Z30969" i="5"/>
  <c r="Z30968" i="5"/>
  <c r="Z30967" i="5"/>
  <c r="Z30966" i="5"/>
  <c r="Z30965" i="5"/>
  <c r="Z30964" i="5"/>
  <c r="Z30963" i="5"/>
  <c r="Z30962" i="5"/>
  <c r="Z30961" i="5"/>
  <c r="Z30960" i="5"/>
  <c r="Z30959" i="5"/>
  <c r="Z30958" i="5"/>
  <c r="Z30957" i="5"/>
  <c r="Z30956" i="5"/>
  <c r="Z30955" i="5"/>
  <c r="Z30954" i="5"/>
  <c r="Z30953" i="5"/>
  <c r="Z30952" i="5"/>
  <c r="Z30951" i="5"/>
  <c r="Z30950" i="5"/>
  <c r="Z30949" i="5"/>
  <c r="Z30948" i="5"/>
  <c r="Z30947" i="5"/>
  <c r="Z30946" i="5"/>
  <c r="Z30945" i="5"/>
  <c r="Z30944" i="5"/>
  <c r="Z30943" i="5"/>
  <c r="Z30942" i="5"/>
  <c r="Z30941" i="5"/>
  <c r="Z30940" i="5"/>
  <c r="Z30939" i="5"/>
  <c r="Z30938" i="5"/>
  <c r="Z30937" i="5"/>
  <c r="Z30936" i="5"/>
  <c r="Z30935" i="5"/>
  <c r="Z30934" i="5"/>
  <c r="Z30933" i="5"/>
  <c r="Z30932" i="5"/>
  <c r="Z30931" i="5"/>
  <c r="Z30930" i="5"/>
  <c r="Z30929" i="5"/>
  <c r="Z30928" i="5"/>
  <c r="Z30927" i="5"/>
  <c r="Z30926" i="5"/>
  <c r="Z30925" i="5"/>
  <c r="Z30924" i="5"/>
  <c r="Z30923" i="5"/>
  <c r="Z30922" i="5"/>
  <c r="Z30921" i="5"/>
  <c r="Z30920" i="5"/>
  <c r="Z30919" i="5"/>
  <c r="Z30918" i="5"/>
  <c r="Z30917" i="5"/>
  <c r="Z30916" i="5"/>
  <c r="Z30915" i="5"/>
  <c r="Z30914" i="5"/>
  <c r="Z30913" i="5"/>
  <c r="Z30912" i="5"/>
  <c r="Z30911" i="5"/>
  <c r="Z30910" i="5"/>
  <c r="Z30909" i="5"/>
  <c r="Z30908" i="5"/>
  <c r="Z30907" i="5"/>
  <c r="Z30906" i="5"/>
  <c r="Z30905" i="5"/>
  <c r="Z30904" i="5"/>
  <c r="Z30903" i="5"/>
  <c r="Z30902" i="5"/>
  <c r="Z30901" i="5"/>
  <c r="Z30900" i="5"/>
  <c r="Z30899" i="5"/>
  <c r="Z30898" i="5"/>
  <c r="Z30897" i="5"/>
  <c r="Z30896" i="5"/>
  <c r="Z30895" i="5"/>
  <c r="Z30894" i="5"/>
  <c r="Z30893" i="5"/>
  <c r="Z30892" i="5"/>
  <c r="Z30891" i="5"/>
  <c r="Z30890" i="5"/>
  <c r="Z30889" i="5"/>
  <c r="Z30888" i="5"/>
  <c r="Z30887" i="5"/>
  <c r="Z30886" i="5"/>
  <c r="Z30885" i="5"/>
  <c r="Z30884" i="5"/>
  <c r="Z30883" i="5"/>
  <c r="Z30882" i="5"/>
  <c r="Z30881" i="5"/>
  <c r="Z30880" i="5"/>
  <c r="Z30879" i="5"/>
  <c r="Z30878" i="5"/>
  <c r="Z30877" i="5"/>
  <c r="Z30876" i="5"/>
  <c r="Z30875" i="5"/>
  <c r="Z30874" i="5"/>
  <c r="Z30873" i="5"/>
  <c r="Z30872" i="5"/>
  <c r="Z30871" i="5"/>
  <c r="Z30870" i="5"/>
  <c r="Z30869" i="5"/>
  <c r="Z30868" i="5"/>
  <c r="Z30867" i="5"/>
  <c r="Z30866" i="5"/>
  <c r="Z30865" i="5"/>
  <c r="Z30864" i="5"/>
  <c r="Z30863" i="5"/>
  <c r="Z30862" i="5"/>
  <c r="Z30861" i="5"/>
  <c r="Z30860" i="5"/>
  <c r="Z30859" i="5"/>
  <c r="Z30858" i="5"/>
  <c r="Z30857" i="5"/>
  <c r="Z30856" i="5"/>
  <c r="Z30855" i="5"/>
  <c r="Z30854" i="5"/>
  <c r="Z30853" i="5"/>
  <c r="Z30852" i="5"/>
  <c r="Z30851" i="5"/>
  <c r="Z30850" i="5"/>
  <c r="Z30849" i="5"/>
  <c r="Z30848" i="5"/>
  <c r="Z30847" i="5"/>
  <c r="Z30846" i="5"/>
  <c r="Z30845" i="5"/>
  <c r="Z30844" i="5"/>
  <c r="Z30843" i="5"/>
  <c r="Z30842" i="5"/>
  <c r="Z30841" i="5"/>
  <c r="Z30840" i="5"/>
  <c r="Z30839" i="5"/>
  <c r="Z30838" i="5"/>
  <c r="Z30837" i="5"/>
  <c r="Z30836" i="5"/>
  <c r="Z30835" i="5"/>
  <c r="Z30834" i="5"/>
  <c r="Z30833" i="5"/>
  <c r="Z30832" i="5"/>
  <c r="Z30831" i="5"/>
  <c r="Z30830" i="5"/>
  <c r="Z30829" i="5"/>
  <c r="Z30828" i="5"/>
  <c r="Z30827" i="5"/>
  <c r="Z30826" i="5"/>
  <c r="Z30825" i="5"/>
  <c r="Z30824" i="5"/>
  <c r="Z30823" i="5"/>
  <c r="Z30822" i="5"/>
  <c r="Z30821" i="5"/>
  <c r="Z30820" i="5"/>
  <c r="Z30819" i="5"/>
  <c r="Z30818" i="5"/>
  <c r="Z30817" i="5"/>
  <c r="Z30816" i="5"/>
  <c r="Z30815" i="5"/>
  <c r="Z30814" i="5"/>
  <c r="Z30813" i="5"/>
  <c r="Z30812" i="5"/>
  <c r="Z30811" i="5"/>
  <c r="Z30810" i="5"/>
  <c r="Z30809" i="5"/>
  <c r="Z30808" i="5"/>
  <c r="Z30807" i="5"/>
  <c r="Z30806" i="5"/>
  <c r="Z30805" i="5"/>
  <c r="Z30804" i="5"/>
  <c r="Z30803" i="5"/>
  <c r="Z30802" i="5"/>
  <c r="Z30801" i="5"/>
  <c r="Z30800" i="5"/>
  <c r="Z30799" i="5"/>
  <c r="Z30798" i="5"/>
  <c r="Z30797" i="5"/>
  <c r="Z30796" i="5"/>
  <c r="Z30795" i="5"/>
  <c r="Z30794" i="5"/>
  <c r="Z30793" i="5"/>
  <c r="Z30792" i="5"/>
  <c r="Z30791" i="5"/>
  <c r="Z30790" i="5"/>
  <c r="Z30789" i="5"/>
  <c r="Z30788" i="5"/>
  <c r="Z30787" i="5"/>
  <c r="Z30786" i="5"/>
  <c r="Z30785" i="5"/>
  <c r="Z30784" i="5"/>
  <c r="Z30783" i="5"/>
  <c r="Z30782" i="5"/>
  <c r="Z30781" i="5"/>
  <c r="Z30780" i="5"/>
  <c r="Z30779" i="5"/>
  <c r="Z30778" i="5"/>
  <c r="Z30777" i="5"/>
  <c r="Z30776" i="5"/>
  <c r="Z30775" i="5"/>
  <c r="Z30774" i="5"/>
  <c r="Z30773" i="5"/>
  <c r="Z30772" i="5"/>
  <c r="Z30771" i="5"/>
  <c r="Z30770" i="5"/>
  <c r="Z30769" i="5"/>
  <c r="Z30768" i="5"/>
  <c r="Z30767" i="5"/>
  <c r="Z30766" i="5"/>
  <c r="Z30765" i="5"/>
  <c r="Z30764" i="5"/>
  <c r="Z30763" i="5"/>
  <c r="Z30762" i="5"/>
  <c r="Z30761" i="5"/>
  <c r="Z30760" i="5"/>
  <c r="Z30759" i="5"/>
  <c r="Z30758" i="5"/>
  <c r="Z30757" i="5"/>
  <c r="Z30756" i="5"/>
  <c r="Z30755" i="5"/>
  <c r="Z30754" i="5"/>
  <c r="Z30753" i="5"/>
  <c r="Z30752" i="5"/>
  <c r="Z30751" i="5"/>
  <c r="Z30750" i="5"/>
  <c r="Z30749" i="5"/>
  <c r="Z30748" i="5"/>
  <c r="Z30747" i="5"/>
  <c r="Z30746" i="5"/>
  <c r="Z30745" i="5"/>
  <c r="Z30744" i="5"/>
  <c r="Z30743" i="5"/>
  <c r="Z30742" i="5"/>
  <c r="Z30741" i="5"/>
  <c r="Z30740" i="5"/>
  <c r="Z30739" i="5"/>
  <c r="Z30738" i="5"/>
  <c r="Z30737" i="5"/>
  <c r="Z30736" i="5"/>
  <c r="Z30735" i="5"/>
  <c r="Z30734" i="5"/>
  <c r="Z30733" i="5"/>
  <c r="Z30732" i="5"/>
  <c r="Z30731" i="5"/>
  <c r="Z30730" i="5"/>
  <c r="Z30729" i="5"/>
  <c r="Z30728" i="5"/>
  <c r="Z30727" i="5"/>
  <c r="Z30726" i="5"/>
  <c r="Z30725" i="5"/>
  <c r="Z30724" i="5"/>
  <c r="Z30723" i="5"/>
  <c r="Z30722" i="5"/>
  <c r="Z30721" i="5"/>
  <c r="Z30720" i="5"/>
  <c r="Z30719" i="5"/>
  <c r="Z30718" i="5"/>
  <c r="Z30717" i="5"/>
  <c r="Z30716" i="5"/>
  <c r="Z30715" i="5"/>
  <c r="Z30714" i="5"/>
  <c r="Z30713" i="5"/>
  <c r="Z30712" i="5"/>
  <c r="Z30711" i="5"/>
  <c r="Z30710" i="5"/>
  <c r="Z30709" i="5"/>
  <c r="Z30708" i="5"/>
  <c r="Z30707" i="5"/>
  <c r="Z30706" i="5"/>
  <c r="Z30705" i="5"/>
  <c r="Z30704" i="5"/>
  <c r="Z30703" i="5"/>
  <c r="Z30702" i="5"/>
  <c r="Z30701" i="5"/>
  <c r="Z30700" i="5"/>
  <c r="Z30699" i="5"/>
  <c r="Z30698" i="5"/>
  <c r="Z30697" i="5"/>
  <c r="Z30696" i="5"/>
  <c r="Z30695" i="5"/>
  <c r="Z30694" i="5"/>
  <c r="Z30693" i="5"/>
  <c r="Z30692" i="5"/>
  <c r="Z30691" i="5"/>
  <c r="Z30690" i="5"/>
  <c r="Z30689" i="5"/>
  <c r="Z30688" i="5"/>
  <c r="Z30687" i="5"/>
  <c r="Z30686" i="5"/>
  <c r="Z30685" i="5"/>
  <c r="Z30684" i="5"/>
  <c r="Z30683" i="5"/>
  <c r="Z30682" i="5"/>
  <c r="Z30681" i="5"/>
  <c r="Z30680" i="5"/>
  <c r="Z30679" i="5"/>
  <c r="Z30678" i="5"/>
  <c r="Z30677" i="5"/>
  <c r="Z30676" i="5"/>
  <c r="Z30675" i="5"/>
  <c r="Z30674" i="5"/>
  <c r="Z30673" i="5"/>
  <c r="Z30672" i="5"/>
  <c r="Z30671" i="5"/>
  <c r="Z30670" i="5"/>
  <c r="Z30669" i="5"/>
  <c r="Z30668" i="5"/>
  <c r="Z30667" i="5"/>
  <c r="Z30666" i="5"/>
  <c r="Z30665" i="5"/>
  <c r="Z30664" i="5"/>
  <c r="Z30663" i="5"/>
  <c r="Z30662" i="5"/>
  <c r="Z30661" i="5"/>
  <c r="Z30660" i="5"/>
  <c r="Z30659" i="5"/>
  <c r="Z30658" i="5"/>
  <c r="Z30657" i="5"/>
  <c r="Z30656" i="5"/>
  <c r="Z30655" i="5"/>
  <c r="Z30654" i="5"/>
  <c r="Z30653" i="5"/>
  <c r="Z30652" i="5"/>
  <c r="Z30651" i="5"/>
  <c r="Z30650" i="5"/>
  <c r="Z30649" i="5"/>
  <c r="Z30648" i="5"/>
  <c r="Z30647" i="5"/>
  <c r="Z30646" i="5"/>
  <c r="Z30645" i="5"/>
  <c r="Z30644" i="5"/>
  <c r="Z30643" i="5"/>
  <c r="Z30642" i="5"/>
  <c r="Z30641" i="5"/>
  <c r="Z30640" i="5"/>
  <c r="Z30639" i="5"/>
  <c r="Z30638" i="5"/>
  <c r="Z30637" i="5"/>
  <c r="Z30636" i="5"/>
  <c r="Z30635" i="5"/>
  <c r="Z30634" i="5"/>
  <c r="Z30633" i="5"/>
  <c r="Z30632" i="5"/>
  <c r="Z30631" i="5"/>
  <c r="Z30630" i="5"/>
  <c r="Z30629" i="5"/>
  <c r="Z30628" i="5"/>
  <c r="Z30627" i="5"/>
  <c r="Z30626" i="5"/>
  <c r="Z30625" i="5"/>
  <c r="Z30624" i="5"/>
  <c r="Z30623" i="5"/>
  <c r="Z30622" i="5"/>
  <c r="Z30621" i="5"/>
  <c r="Z30620" i="5"/>
  <c r="Z30619" i="5"/>
  <c r="Z30618" i="5"/>
  <c r="Z30617" i="5"/>
  <c r="Z30616" i="5"/>
  <c r="Z30615" i="5"/>
  <c r="Z30614" i="5"/>
  <c r="Z30613" i="5"/>
  <c r="Z30612" i="5"/>
  <c r="Z30611" i="5"/>
  <c r="Z30610" i="5"/>
  <c r="Z30609" i="5"/>
  <c r="Z30608" i="5"/>
  <c r="Z30607" i="5"/>
  <c r="Z30606" i="5"/>
  <c r="Z30605" i="5"/>
  <c r="Z30604" i="5"/>
  <c r="Z30603" i="5"/>
  <c r="Z30602" i="5"/>
  <c r="Z30601" i="5"/>
  <c r="Z30600" i="5"/>
  <c r="Z30599" i="5"/>
  <c r="Z30598" i="5"/>
  <c r="Z30597" i="5"/>
  <c r="Z30596" i="5"/>
  <c r="Z30595" i="5"/>
  <c r="Z30594" i="5"/>
  <c r="Z30593" i="5"/>
  <c r="Z30592" i="5"/>
  <c r="Z30591" i="5"/>
  <c r="Z30590" i="5"/>
  <c r="Z30589" i="5"/>
  <c r="Z30588" i="5"/>
  <c r="Z30587" i="5"/>
  <c r="Z30586" i="5"/>
  <c r="Z30585" i="5"/>
  <c r="Z30584" i="5"/>
  <c r="Z30583" i="5"/>
  <c r="Z30582" i="5"/>
  <c r="Z30581" i="5"/>
  <c r="Z30580" i="5"/>
  <c r="Z30579" i="5"/>
  <c r="Z30578" i="5"/>
  <c r="Z30577" i="5"/>
  <c r="Z30576" i="5"/>
  <c r="Z30575" i="5"/>
  <c r="Z30574" i="5"/>
  <c r="Z30573" i="5"/>
  <c r="Z30572" i="5"/>
  <c r="Z30571" i="5"/>
  <c r="Z30570" i="5"/>
  <c r="Z30569" i="5"/>
  <c r="Z30568" i="5"/>
  <c r="Z30567" i="5"/>
  <c r="Z30566" i="5"/>
  <c r="Z30565" i="5"/>
  <c r="Z30564" i="5"/>
  <c r="Z30563" i="5"/>
  <c r="Z30562" i="5"/>
  <c r="Z30561" i="5"/>
  <c r="Z30560" i="5"/>
  <c r="Z30559" i="5"/>
  <c r="Z30558" i="5"/>
  <c r="Z30557" i="5"/>
  <c r="Z30556" i="5"/>
  <c r="Z30555" i="5"/>
  <c r="Z30554" i="5"/>
  <c r="Z30553" i="5"/>
  <c r="Z30552" i="5"/>
  <c r="Z30551" i="5"/>
  <c r="Z30550" i="5"/>
  <c r="Z30549" i="5"/>
  <c r="Z30548" i="5"/>
  <c r="Z30547" i="5"/>
  <c r="Z30546" i="5"/>
  <c r="Z30545" i="5"/>
  <c r="Z30544" i="5"/>
  <c r="Z30543" i="5"/>
  <c r="Z30542" i="5"/>
  <c r="Z30541" i="5"/>
  <c r="Z30540" i="5"/>
  <c r="Z30539" i="5"/>
  <c r="Z30538" i="5"/>
  <c r="Z30537" i="5"/>
  <c r="Z30536" i="5"/>
  <c r="Z30535" i="5"/>
  <c r="Z30534" i="5"/>
  <c r="Z30533" i="5"/>
  <c r="Z30532" i="5"/>
  <c r="Z30531" i="5"/>
  <c r="Z30530" i="5"/>
  <c r="Z30529" i="5"/>
  <c r="Z30528" i="5"/>
  <c r="Z30527" i="5"/>
  <c r="Z30526" i="5"/>
  <c r="Z30525" i="5"/>
  <c r="Z30524" i="5"/>
  <c r="Z30523" i="5"/>
  <c r="Z30522" i="5"/>
  <c r="Z30521" i="5"/>
  <c r="Z30520" i="5"/>
  <c r="Z30519" i="5"/>
  <c r="Z30518" i="5"/>
  <c r="Z30517" i="5"/>
  <c r="Z30516" i="5"/>
  <c r="Z30515" i="5"/>
  <c r="Z30514" i="5"/>
  <c r="Z30513" i="5"/>
  <c r="Z30512" i="5"/>
  <c r="Z30511" i="5"/>
  <c r="Z30510" i="5"/>
  <c r="Z30509" i="5"/>
  <c r="Z30508" i="5"/>
  <c r="Z30507" i="5"/>
  <c r="Z30506" i="5"/>
  <c r="Z30505" i="5"/>
  <c r="Z30504" i="5"/>
  <c r="Z30503" i="5"/>
  <c r="Z30502" i="5"/>
  <c r="Z30501" i="5"/>
  <c r="Z30500" i="5"/>
  <c r="Z30499" i="5"/>
  <c r="Z30498" i="5"/>
  <c r="Z30497" i="5"/>
  <c r="Z30496" i="5"/>
  <c r="Z30495" i="5"/>
  <c r="Z30494" i="5"/>
  <c r="Z30493" i="5"/>
  <c r="Z30492" i="5"/>
  <c r="Z30491" i="5"/>
  <c r="Z30490" i="5"/>
  <c r="Z30489" i="5"/>
  <c r="Z30488" i="5"/>
  <c r="Z30487" i="5"/>
  <c r="Z30486" i="5"/>
  <c r="Z30485" i="5"/>
  <c r="Z30484" i="5"/>
  <c r="Z30483" i="5"/>
  <c r="Z30482" i="5"/>
  <c r="Z30481" i="5"/>
  <c r="Z30480" i="5"/>
  <c r="Z30479" i="5"/>
  <c r="Z30478" i="5"/>
  <c r="Z30477" i="5"/>
  <c r="Z30476" i="5"/>
  <c r="Z30475" i="5"/>
  <c r="Z30474" i="5"/>
  <c r="Z30473" i="5"/>
  <c r="Z30472" i="5"/>
  <c r="Z30471" i="5"/>
  <c r="Z30470" i="5"/>
  <c r="Z30469" i="5"/>
  <c r="Z30468" i="5"/>
  <c r="Z30467" i="5"/>
  <c r="Z30466" i="5"/>
  <c r="Z30465" i="5"/>
  <c r="Z30464" i="5"/>
  <c r="Z30463" i="5"/>
  <c r="Z30462" i="5"/>
  <c r="Z30461" i="5"/>
  <c r="Z30460" i="5"/>
  <c r="Z30459" i="5"/>
  <c r="Z30458" i="5"/>
  <c r="Z30457" i="5"/>
  <c r="Z30456" i="5"/>
  <c r="Z30455" i="5"/>
  <c r="Z30454" i="5"/>
  <c r="Z30453" i="5"/>
  <c r="Z30452" i="5"/>
  <c r="Z30451" i="5"/>
  <c r="Z30450" i="5"/>
  <c r="Z30449" i="5"/>
  <c r="Z30448" i="5"/>
  <c r="Z30447" i="5"/>
  <c r="Z30446" i="5"/>
  <c r="Z30445" i="5"/>
  <c r="Z30444" i="5"/>
  <c r="Z30443" i="5"/>
  <c r="Z30442" i="5"/>
  <c r="Z30441" i="5"/>
  <c r="Z30440" i="5"/>
  <c r="Z30439" i="5"/>
  <c r="Z30438" i="5"/>
  <c r="Z30437" i="5"/>
  <c r="Z30436" i="5"/>
  <c r="Z30435" i="5"/>
  <c r="Z30434" i="5"/>
  <c r="Z30433" i="5"/>
  <c r="Z30432" i="5"/>
  <c r="Z30431" i="5"/>
  <c r="Z30430" i="5"/>
  <c r="Z30429" i="5"/>
  <c r="Z30428" i="5"/>
  <c r="Z30427" i="5"/>
  <c r="Z30426" i="5"/>
  <c r="Z30425" i="5"/>
  <c r="Z30424" i="5"/>
  <c r="Z30423" i="5"/>
  <c r="Z30422" i="5"/>
  <c r="Z30421" i="5"/>
  <c r="Z30420" i="5"/>
  <c r="Z30419" i="5"/>
  <c r="Z30418" i="5"/>
  <c r="Z30417" i="5"/>
  <c r="Z30416" i="5"/>
  <c r="Z30415" i="5"/>
  <c r="Z30414" i="5"/>
  <c r="Z30413" i="5"/>
  <c r="Z30412" i="5"/>
  <c r="Z30411" i="5"/>
  <c r="Z30410" i="5"/>
  <c r="Z30409" i="5"/>
  <c r="Z30408" i="5"/>
  <c r="Z30407" i="5"/>
  <c r="Z30406" i="5"/>
  <c r="Z30405" i="5"/>
  <c r="Z30404" i="5"/>
  <c r="Z30403" i="5"/>
  <c r="Z30402" i="5"/>
  <c r="Z30401" i="5"/>
  <c r="Z30400" i="5"/>
  <c r="Z30399" i="5"/>
  <c r="Z30398" i="5"/>
  <c r="Z30397" i="5"/>
  <c r="Z30396" i="5"/>
  <c r="Z30395" i="5"/>
  <c r="Z30394" i="5"/>
  <c r="Z30393" i="5"/>
  <c r="Z30392" i="5"/>
  <c r="Z30391" i="5"/>
  <c r="Z30390" i="5"/>
  <c r="Z30389" i="5"/>
  <c r="Z30388" i="5"/>
  <c r="Z30387" i="5"/>
  <c r="Z30386" i="5"/>
  <c r="Z30385" i="5"/>
  <c r="Z30384" i="5"/>
  <c r="Z30383" i="5"/>
  <c r="Z30382" i="5"/>
  <c r="Z30381" i="5"/>
  <c r="Z30380" i="5"/>
  <c r="Z30379" i="5"/>
  <c r="Z30378" i="5"/>
  <c r="Z30377" i="5"/>
  <c r="Z30376" i="5"/>
  <c r="Z30375" i="5"/>
  <c r="Z30374" i="5"/>
  <c r="Z30373" i="5"/>
  <c r="Z30372" i="5"/>
  <c r="Z30371" i="5"/>
  <c r="Z30370" i="5"/>
  <c r="Z30369" i="5"/>
  <c r="Z30368" i="5"/>
  <c r="Z30367" i="5"/>
  <c r="Z30366" i="5"/>
  <c r="Z30365" i="5"/>
  <c r="Z30364" i="5"/>
  <c r="Z30363" i="5"/>
  <c r="Z30362" i="5"/>
  <c r="Z30361" i="5"/>
  <c r="Z30360" i="5"/>
  <c r="Z30359" i="5"/>
  <c r="Z30358" i="5"/>
  <c r="Z30357" i="5"/>
  <c r="Z30356" i="5"/>
  <c r="Z30355" i="5"/>
  <c r="Z30354" i="5"/>
  <c r="Z30353" i="5"/>
  <c r="Z30352" i="5"/>
  <c r="Z30351" i="5"/>
  <c r="Z30350" i="5"/>
  <c r="Z30349" i="5"/>
  <c r="Z30348" i="5"/>
  <c r="Z30347" i="5"/>
  <c r="Z30346" i="5"/>
  <c r="Z30345" i="5"/>
  <c r="Z30344" i="5"/>
  <c r="Z30343" i="5"/>
  <c r="Z30342" i="5"/>
  <c r="Z30341" i="5"/>
  <c r="Z30340" i="5"/>
  <c r="Z30339" i="5"/>
  <c r="Z30338" i="5"/>
  <c r="Z30337" i="5"/>
  <c r="Z30336" i="5"/>
  <c r="Z30335" i="5"/>
  <c r="Z30334" i="5"/>
  <c r="Z30333" i="5"/>
  <c r="Z30332" i="5"/>
  <c r="Z30331" i="5"/>
  <c r="Z30330" i="5"/>
  <c r="Z30329" i="5"/>
  <c r="Z30328" i="5"/>
  <c r="Z30327" i="5"/>
  <c r="Z30326" i="5"/>
  <c r="Z30325" i="5"/>
  <c r="Z30324" i="5"/>
  <c r="Z30323" i="5"/>
  <c r="Z30322" i="5"/>
  <c r="Z30321" i="5"/>
  <c r="Z30320" i="5"/>
  <c r="Z30319" i="5"/>
  <c r="Z30318" i="5"/>
  <c r="Z30317" i="5"/>
  <c r="Z30316" i="5"/>
  <c r="Z30315" i="5"/>
  <c r="Z30314" i="5"/>
  <c r="Z30313" i="5"/>
  <c r="Z30312" i="5"/>
  <c r="Z30311" i="5"/>
  <c r="Z30310" i="5"/>
  <c r="Z30309" i="5"/>
  <c r="Z30308" i="5"/>
  <c r="Z30307" i="5"/>
  <c r="Z30306" i="5"/>
  <c r="Z30305" i="5"/>
  <c r="Z30304" i="5"/>
  <c r="Z30303" i="5"/>
  <c r="Z30302" i="5"/>
  <c r="Z30301" i="5"/>
  <c r="Z30300" i="5"/>
  <c r="Z30299" i="5"/>
  <c r="Z30298" i="5"/>
  <c r="Z30297" i="5"/>
  <c r="Z30296" i="5"/>
  <c r="Z30295" i="5"/>
  <c r="Z30294" i="5"/>
  <c r="Z30293" i="5"/>
  <c r="Z30292" i="5"/>
  <c r="Z30291" i="5"/>
  <c r="Z30290" i="5"/>
  <c r="Z30289" i="5"/>
  <c r="Z30288" i="5"/>
  <c r="Z30287" i="5"/>
  <c r="Z30286" i="5"/>
  <c r="Z30285" i="5"/>
  <c r="Z30284" i="5"/>
  <c r="Z30283" i="5"/>
  <c r="Z30282" i="5"/>
  <c r="Z30281" i="5"/>
  <c r="Z30280" i="5"/>
  <c r="Z30279" i="5"/>
  <c r="Z30278" i="5"/>
  <c r="Z30277" i="5"/>
  <c r="Z30276" i="5"/>
  <c r="Z30275" i="5"/>
  <c r="Z30274" i="5"/>
  <c r="Z30273" i="5"/>
  <c r="Z30272" i="5"/>
  <c r="Z30271" i="5"/>
  <c r="Z30270" i="5"/>
  <c r="Z30269" i="5"/>
  <c r="Z30268" i="5"/>
  <c r="Z30267" i="5"/>
  <c r="Z30266" i="5"/>
  <c r="Z30265" i="5"/>
  <c r="Z30264" i="5"/>
  <c r="Z30263" i="5"/>
  <c r="Z30262" i="5"/>
  <c r="Z30261" i="5"/>
  <c r="Z30260" i="5"/>
  <c r="Z30259" i="5"/>
  <c r="Z30258" i="5"/>
  <c r="Z30257" i="5"/>
  <c r="Z30256" i="5"/>
  <c r="Z30255" i="5"/>
  <c r="Z30254" i="5"/>
  <c r="Z30253" i="5"/>
  <c r="Z30252" i="5"/>
  <c r="Z30251" i="5"/>
  <c r="Z30250" i="5"/>
  <c r="Z30249" i="5"/>
  <c r="Z30248" i="5"/>
  <c r="Z30247" i="5"/>
  <c r="Z30246" i="5"/>
  <c r="Z30245" i="5"/>
  <c r="Z30244" i="5"/>
  <c r="Z30243" i="5"/>
  <c r="Z30242" i="5"/>
  <c r="Z30241" i="5"/>
  <c r="Z30240" i="5"/>
  <c r="Z30239" i="5"/>
  <c r="Z30238" i="5"/>
  <c r="Z30237" i="5"/>
  <c r="Z30236" i="5"/>
  <c r="Z30235" i="5"/>
  <c r="Z30234" i="5"/>
  <c r="Z30233" i="5"/>
  <c r="Z30232" i="5"/>
  <c r="Z30231" i="5"/>
  <c r="Z30230" i="5"/>
  <c r="Z30229" i="5"/>
  <c r="Z30228" i="5"/>
  <c r="Z30227" i="5"/>
  <c r="Z30226" i="5"/>
  <c r="Z30225" i="5"/>
  <c r="Z30224" i="5"/>
  <c r="Z30223" i="5"/>
  <c r="Z30222" i="5"/>
  <c r="Z30221" i="5"/>
  <c r="Z30220" i="5"/>
  <c r="Z30219" i="5"/>
  <c r="Z30218" i="5"/>
  <c r="Z30217" i="5"/>
  <c r="Z30216" i="5"/>
  <c r="Z30215" i="5"/>
  <c r="Z30214" i="5"/>
  <c r="Z30213" i="5"/>
  <c r="Z30212" i="5"/>
  <c r="Z30211" i="5"/>
  <c r="Z30210" i="5"/>
  <c r="Z30209" i="5"/>
  <c r="Z30208" i="5"/>
  <c r="Z30207" i="5"/>
  <c r="Z30206" i="5"/>
  <c r="Z30205" i="5"/>
  <c r="Z30204" i="5"/>
  <c r="Z30203" i="5"/>
  <c r="Z30202" i="5"/>
  <c r="Z30201" i="5"/>
  <c r="Z30200" i="5"/>
  <c r="Z30199" i="5"/>
  <c r="Z30198" i="5"/>
  <c r="Z30197" i="5"/>
  <c r="Z30196" i="5"/>
  <c r="Z30195" i="5"/>
  <c r="Z30194" i="5"/>
  <c r="Z30193" i="5"/>
  <c r="Z30192" i="5"/>
  <c r="Z30191" i="5"/>
  <c r="Z30190" i="5"/>
  <c r="Z30189" i="5"/>
  <c r="Z30188" i="5"/>
  <c r="Z30187" i="5"/>
  <c r="Z30186" i="5"/>
  <c r="Z30185" i="5"/>
  <c r="Z30184" i="5"/>
  <c r="Z30183" i="5"/>
  <c r="Z30182" i="5"/>
  <c r="Z30181" i="5"/>
  <c r="Z30180" i="5"/>
  <c r="Z30179" i="5"/>
  <c r="Z30178" i="5"/>
  <c r="Z30177" i="5"/>
  <c r="Z30176" i="5"/>
  <c r="Z30175" i="5"/>
  <c r="Z30174" i="5"/>
  <c r="Z30173" i="5"/>
  <c r="Z30172" i="5"/>
  <c r="Z30171" i="5"/>
  <c r="Z30170" i="5"/>
  <c r="Z30169" i="5"/>
  <c r="Z30168" i="5"/>
  <c r="Z30167" i="5"/>
  <c r="Z30166" i="5"/>
  <c r="Z30165" i="5"/>
  <c r="Z30164" i="5"/>
  <c r="Z30163" i="5"/>
  <c r="Z30162" i="5"/>
  <c r="Z30161" i="5"/>
  <c r="Z30160" i="5"/>
  <c r="Z30159" i="5"/>
  <c r="Z30158" i="5"/>
  <c r="Z30157" i="5"/>
  <c r="Z30156" i="5"/>
  <c r="Z30155" i="5"/>
  <c r="Z30154" i="5"/>
  <c r="Z30153" i="5"/>
  <c r="Z30152" i="5"/>
  <c r="Z30151" i="5"/>
  <c r="Z30150" i="5"/>
  <c r="Z30149" i="5"/>
  <c r="Z30148" i="5"/>
  <c r="Z30147" i="5"/>
  <c r="Z30146" i="5"/>
  <c r="Z30145" i="5"/>
  <c r="Z30144" i="5"/>
  <c r="Z30143" i="5"/>
  <c r="Z30142" i="5"/>
  <c r="Z30141" i="5"/>
  <c r="Z30140" i="5"/>
  <c r="Z30139" i="5"/>
  <c r="Z30138" i="5"/>
  <c r="Z30137" i="5"/>
  <c r="Z30136" i="5"/>
  <c r="Z30135" i="5"/>
  <c r="Z30134" i="5"/>
  <c r="Z30133" i="5"/>
  <c r="Z30132" i="5"/>
  <c r="Z30131" i="5"/>
  <c r="Z30130" i="5"/>
  <c r="Z30129" i="5"/>
  <c r="Z30128" i="5"/>
  <c r="Z30127" i="5"/>
  <c r="Z30126" i="5"/>
  <c r="Z30125" i="5"/>
  <c r="Z30124" i="5"/>
  <c r="Z30123" i="5"/>
  <c r="Z30122" i="5"/>
  <c r="Z30121" i="5"/>
  <c r="Z30120" i="5"/>
  <c r="Z30119" i="5"/>
  <c r="Z30118" i="5"/>
  <c r="Z30117" i="5"/>
  <c r="Z30116" i="5"/>
  <c r="Z30115" i="5"/>
  <c r="Z30114" i="5"/>
  <c r="Z30113" i="5"/>
  <c r="Z30112" i="5"/>
  <c r="Z30111" i="5"/>
  <c r="Z30110" i="5"/>
  <c r="Z30109" i="5"/>
  <c r="Z30108" i="5"/>
  <c r="Z30107" i="5"/>
  <c r="Z30106" i="5"/>
  <c r="Z30105" i="5"/>
  <c r="Z30104" i="5"/>
  <c r="Z30103" i="5"/>
  <c r="Z30102" i="5"/>
  <c r="Z30101" i="5"/>
  <c r="Z30100" i="5"/>
  <c r="Z30099" i="5"/>
  <c r="Z30098" i="5"/>
  <c r="Z30097" i="5"/>
  <c r="Z30096" i="5"/>
  <c r="Z30095" i="5"/>
  <c r="Z30094" i="5"/>
  <c r="Z30093" i="5"/>
  <c r="Z30092" i="5"/>
  <c r="Z30091" i="5"/>
  <c r="Z30090" i="5"/>
  <c r="Z30089" i="5"/>
  <c r="Z30088" i="5"/>
  <c r="Z30087" i="5"/>
  <c r="Z30086" i="5"/>
  <c r="Z30085" i="5"/>
  <c r="Z30084" i="5"/>
  <c r="Z30083" i="5"/>
  <c r="Z30082" i="5"/>
  <c r="Z30081" i="5"/>
  <c r="Z30080" i="5"/>
  <c r="Z30079" i="5"/>
  <c r="Z30078" i="5"/>
  <c r="Z30077" i="5"/>
  <c r="Z30076" i="5"/>
  <c r="Z30075" i="5"/>
  <c r="Z30074" i="5"/>
  <c r="Z30073" i="5"/>
  <c r="Z30072" i="5"/>
  <c r="Z30071" i="5"/>
  <c r="Z30070" i="5"/>
  <c r="Z30069" i="5"/>
  <c r="Z30068" i="5"/>
  <c r="Z30067" i="5"/>
  <c r="Z30066" i="5"/>
  <c r="Z30065" i="5"/>
  <c r="Z30064" i="5"/>
  <c r="Z30063" i="5"/>
  <c r="Z30062" i="5"/>
  <c r="Z30061" i="5"/>
  <c r="Z30060" i="5"/>
  <c r="Z30059" i="5"/>
  <c r="Z30058" i="5"/>
  <c r="Z30057" i="5"/>
  <c r="Z30056" i="5"/>
  <c r="Z30055" i="5"/>
  <c r="Z30054" i="5"/>
  <c r="Z30053" i="5"/>
  <c r="Z30052" i="5"/>
  <c r="Z30051" i="5"/>
  <c r="Z30050" i="5"/>
  <c r="Z30049" i="5"/>
  <c r="Z30048" i="5"/>
  <c r="Z30047" i="5"/>
  <c r="Z30046" i="5"/>
  <c r="Z30045" i="5"/>
  <c r="Z30044" i="5"/>
  <c r="Z30043" i="5"/>
  <c r="Z30042" i="5"/>
  <c r="Z30041" i="5"/>
  <c r="Z30040" i="5"/>
  <c r="Z30039" i="5"/>
  <c r="Z30038" i="5"/>
  <c r="Z30037" i="5"/>
  <c r="Z30036" i="5"/>
  <c r="Z30035" i="5"/>
  <c r="Z30034" i="5"/>
  <c r="Z30033" i="5"/>
  <c r="Z30032" i="5"/>
  <c r="Z30031" i="5"/>
  <c r="Z30030" i="5"/>
  <c r="Z30029" i="5"/>
  <c r="Z30028" i="5"/>
  <c r="Z30027" i="5"/>
  <c r="Z30026" i="5"/>
  <c r="Z30025" i="5"/>
  <c r="Z30024" i="5"/>
  <c r="Z30023" i="5"/>
  <c r="Z30022" i="5"/>
  <c r="Z30021" i="5"/>
  <c r="Z30020" i="5"/>
  <c r="Z30019" i="5"/>
  <c r="Z30018" i="5"/>
  <c r="Z30017" i="5"/>
  <c r="Z30016" i="5"/>
  <c r="Z30015" i="5"/>
  <c r="Z30014" i="5"/>
  <c r="Z30013" i="5"/>
  <c r="Z30012" i="5"/>
  <c r="Z30011" i="5"/>
  <c r="Z30010" i="5"/>
  <c r="Z30009" i="5"/>
  <c r="Z30008" i="5"/>
  <c r="Z30007" i="5"/>
  <c r="Z30006" i="5"/>
  <c r="Z30005" i="5"/>
  <c r="Z30004" i="5"/>
  <c r="Z30003" i="5"/>
  <c r="Z30002" i="5"/>
  <c r="Z30001" i="5"/>
  <c r="Z30000" i="5"/>
  <c r="Z29999" i="5"/>
  <c r="Z29998" i="5"/>
  <c r="Z29997" i="5"/>
  <c r="Z29996" i="5"/>
  <c r="Z29995" i="5"/>
  <c r="Z29994" i="5"/>
  <c r="Z29993" i="5"/>
  <c r="Z29992" i="5"/>
  <c r="Z29991" i="5"/>
  <c r="Z29990" i="5"/>
  <c r="Z29989" i="5"/>
  <c r="Z29988" i="5"/>
  <c r="Z29987" i="5"/>
  <c r="Z29986" i="5"/>
  <c r="Z29985" i="5"/>
  <c r="Z29984" i="5"/>
  <c r="Z29983" i="5"/>
  <c r="Z29982" i="5"/>
  <c r="Z29981" i="5"/>
  <c r="Z29980" i="5"/>
  <c r="Z29979" i="5"/>
  <c r="Z29978" i="5"/>
  <c r="Z29977" i="5"/>
  <c r="Z29976" i="5"/>
  <c r="Z29975" i="5"/>
  <c r="Z29974" i="5"/>
  <c r="Z29973" i="5"/>
  <c r="Z29972" i="5"/>
  <c r="Z29971" i="5"/>
  <c r="Z29970" i="5"/>
  <c r="Z29969" i="5"/>
  <c r="Z29968" i="5"/>
  <c r="Z29967" i="5"/>
  <c r="Z29966" i="5"/>
  <c r="Z29965" i="5"/>
  <c r="Z29964" i="5"/>
  <c r="Z29963" i="5"/>
  <c r="Z29962" i="5"/>
  <c r="Z29961" i="5"/>
  <c r="Z29960" i="5"/>
  <c r="Z29959" i="5"/>
  <c r="Z29958" i="5"/>
  <c r="Z29957" i="5"/>
  <c r="Z29956" i="5"/>
  <c r="Z29955" i="5"/>
  <c r="Z29954" i="5"/>
  <c r="Z29953" i="5"/>
  <c r="Z29952" i="5"/>
  <c r="Z29951" i="5"/>
  <c r="Z29950" i="5"/>
  <c r="Z29949" i="5"/>
  <c r="Z29948" i="5"/>
  <c r="Z29947" i="5"/>
  <c r="Z29946" i="5"/>
  <c r="Z29945" i="5"/>
  <c r="Z29944" i="5"/>
  <c r="Z29943" i="5"/>
  <c r="Z29942" i="5"/>
  <c r="Z29941" i="5"/>
  <c r="Z29940" i="5"/>
  <c r="Z29939" i="5"/>
  <c r="Z29938" i="5"/>
  <c r="Z29937" i="5"/>
  <c r="Z29936" i="5"/>
  <c r="Z29935" i="5"/>
  <c r="Z29934" i="5"/>
  <c r="Z29933" i="5"/>
  <c r="Z29932" i="5"/>
  <c r="Z29931" i="5"/>
  <c r="Z29930" i="5"/>
  <c r="Z29929" i="5"/>
  <c r="Z29928" i="5"/>
  <c r="Z29927" i="5"/>
  <c r="Z29926" i="5"/>
  <c r="Z29925" i="5"/>
  <c r="Z29924" i="5"/>
  <c r="Z29923" i="5"/>
  <c r="Z29922" i="5"/>
  <c r="Z29921" i="5"/>
  <c r="Z29920" i="5"/>
  <c r="Z29919" i="5"/>
  <c r="Z29918" i="5"/>
  <c r="Z29917" i="5"/>
  <c r="Z29916" i="5"/>
  <c r="Z29915" i="5"/>
  <c r="Z29914" i="5"/>
  <c r="Z29913" i="5"/>
  <c r="Z29912" i="5"/>
  <c r="Z29911" i="5"/>
  <c r="Z29910" i="5"/>
  <c r="Z29909" i="5"/>
  <c r="Z29908" i="5"/>
  <c r="Z29907" i="5"/>
  <c r="Z29906" i="5"/>
  <c r="Z29905" i="5"/>
  <c r="Z29904" i="5"/>
  <c r="Z29903" i="5"/>
  <c r="Z29902" i="5"/>
  <c r="Z29901" i="5"/>
  <c r="Z29900" i="5"/>
  <c r="Z29899" i="5"/>
  <c r="Z29898" i="5"/>
  <c r="Z29897" i="5"/>
  <c r="Z29896" i="5"/>
  <c r="Z29895" i="5"/>
  <c r="Z29894" i="5"/>
  <c r="Z29893" i="5"/>
  <c r="Z29892" i="5"/>
  <c r="Z29891" i="5"/>
  <c r="Z29890" i="5"/>
  <c r="Z29889" i="5"/>
  <c r="Z29888" i="5"/>
  <c r="Z29887" i="5"/>
  <c r="Z29886" i="5"/>
  <c r="Z29885" i="5"/>
  <c r="Z29884" i="5"/>
  <c r="Z29883" i="5"/>
  <c r="Z29882" i="5"/>
  <c r="Z29881" i="5"/>
  <c r="Z29880" i="5"/>
  <c r="Z29879" i="5"/>
  <c r="Z29878" i="5"/>
  <c r="Z29877" i="5"/>
  <c r="Z29876" i="5"/>
  <c r="Z29875" i="5"/>
  <c r="Z29874" i="5"/>
  <c r="Z29873" i="5"/>
  <c r="Z29872" i="5"/>
  <c r="Z29871" i="5"/>
  <c r="Z29870" i="5"/>
  <c r="Z29869" i="5"/>
  <c r="Z29868" i="5"/>
  <c r="Z29867" i="5"/>
  <c r="Z29866" i="5"/>
  <c r="Z29865" i="5"/>
  <c r="Z29864" i="5"/>
  <c r="Z29863" i="5"/>
  <c r="Z29862" i="5"/>
  <c r="Z29861" i="5"/>
  <c r="Z29860" i="5"/>
  <c r="Z29859" i="5"/>
  <c r="Z29858" i="5"/>
  <c r="Z29857" i="5"/>
  <c r="Z29856" i="5"/>
  <c r="Z29855" i="5"/>
  <c r="Z29854" i="5"/>
  <c r="Z29853" i="5"/>
  <c r="Z29852" i="5"/>
  <c r="Z29851" i="5"/>
  <c r="Z29850" i="5"/>
  <c r="Z29849" i="5"/>
  <c r="Z29848" i="5"/>
  <c r="Z29847" i="5"/>
  <c r="Z29846" i="5"/>
  <c r="Z29845" i="5"/>
  <c r="Z29844" i="5"/>
  <c r="Z29843" i="5"/>
  <c r="Z29842" i="5"/>
  <c r="Z29841" i="5"/>
  <c r="Z29840" i="5"/>
  <c r="Z29839" i="5"/>
  <c r="Z29838" i="5"/>
  <c r="Z29837" i="5"/>
  <c r="Z29836" i="5"/>
  <c r="Z29835" i="5"/>
  <c r="Z29834" i="5"/>
  <c r="Z29833" i="5"/>
  <c r="Z29832" i="5"/>
  <c r="Z29831" i="5"/>
  <c r="Z29830" i="5"/>
  <c r="Z29829" i="5"/>
  <c r="Z29828" i="5"/>
  <c r="Z29827" i="5"/>
  <c r="Z29826" i="5"/>
  <c r="Z29825" i="5"/>
  <c r="Z29824" i="5"/>
  <c r="Z29823" i="5"/>
  <c r="Z29822" i="5"/>
  <c r="Z29821" i="5"/>
  <c r="Z29820" i="5"/>
  <c r="Z29819" i="5"/>
  <c r="Z29818" i="5"/>
  <c r="Z29817" i="5"/>
  <c r="Z29816" i="5"/>
  <c r="Z29815" i="5"/>
  <c r="Z29814" i="5"/>
  <c r="Z29813" i="5"/>
  <c r="Z29812" i="5"/>
  <c r="Z29811" i="5"/>
  <c r="Z29810" i="5"/>
  <c r="Z29809" i="5"/>
  <c r="Z29808" i="5"/>
  <c r="Z29807" i="5"/>
  <c r="Z29806" i="5"/>
  <c r="Z29805" i="5"/>
  <c r="Z29804" i="5"/>
  <c r="Z29803" i="5"/>
  <c r="Z29802" i="5"/>
  <c r="Z29801" i="5"/>
  <c r="Z29800" i="5"/>
  <c r="Z29799" i="5"/>
  <c r="Z29798" i="5"/>
  <c r="Z29797" i="5"/>
  <c r="Z29796" i="5"/>
  <c r="Z29795" i="5"/>
  <c r="Z29794" i="5"/>
  <c r="Z29793" i="5"/>
  <c r="Z29792" i="5"/>
  <c r="Z29791" i="5"/>
  <c r="Z29790" i="5"/>
  <c r="Z29789" i="5"/>
  <c r="Z29788" i="5"/>
  <c r="Z29787" i="5"/>
  <c r="Z29786" i="5"/>
  <c r="Z29785" i="5"/>
  <c r="Z29784" i="5"/>
  <c r="Z29783" i="5"/>
  <c r="Z29782" i="5"/>
  <c r="Z29781" i="5"/>
  <c r="Z29780" i="5"/>
  <c r="Z29779" i="5"/>
  <c r="Z29778" i="5"/>
  <c r="Z29777" i="5"/>
  <c r="Z29776" i="5"/>
  <c r="Z29775" i="5"/>
  <c r="Z29774" i="5"/>
  <c r="Z29773" i="5"/>
  <c r="Z29772" i="5"/>
  <c r="Z29771" i="5"/>
  <c r="Z29770" i="5"/>
  <c r="Z29769" i="5"/>
  <c r="Z29768" i="5"/>
  <c r="Z29767" i="5"/>
  <c r="Z29766" i="5"/>
  <c r="Z29765" i="5"/>
  <c r="Z29764" i="5"/>
  <c r="Z29763" i="5"/>
  <c r="Z29762" i="5"/>
  <c r="Z29761" i="5"/>
  <c r="Z29760" i="5"/>
  <c r="Z29759" i="5"/>
  <c r="Z29758" i="5"/>
  <c r="Z29757" i="5"/>
  <c r="Z29756" i="5"/>
  <c r="Z29755" i="5"/>
  <c r="Z29754" i="5"/>
  <c r="Z29753" i="5"/>
  <c r="Z29752" i="5"/>
  <c r="Z29751" i="5"/>
  <c r="Z29750" i="5"/>
  <c r="Z29749" i="5"/>
  <c r="Z29748" i="5"/>
  <c r="Z29747" i="5"/>
  <c r="Z29746" i="5"/>
  <c r="Z29745" i="5"/>
  <c r="Z29744" i="5"/>
  <c r="Z29743" i="5"/>
  <c r="Z29742" i="5"/>
  <c r="Z29741" i="5"/>
  <c r="Z29740" i="5"/>
  <c r="Z29739" i="5"/>
  <c r="Z29738" i="5"/>
  <c r="Z29737" i="5"/>
  <c r="Z29736" i="5"/>
  <c r="Z29735" i="5"/>
  <c r="Z29734" i="5"/>
  <c r="Z29733" i="5"/>
  <c r="Z29732" i="5"/>
  <c r="Z29731" i="5"/>
  <c r="Z29730" i="5"/>
  <c r="Z29729" i="5"/>
  <c r="Z29728" i="5"/>
  <c r="Z29727" i="5"/>
  <c r="Z29726" i="5"/>
  <c r="Z29725" i="5"/>
  <c r="Z29724" i="5"/>
  <c r="Z29723" i="5"/>
  <c r="Z29722" i="5"/>
  <c r="Z29721" i="5"/>
  <c r="Z29720" i="5"/>
  <c r="Z29719" i="5"/>
  <c r="Z29718" i="5"/>
  <c r="Z29717" i="5"/>
  <c r="Z29716" i="5"/>
  <c r="Z29715" i="5"/>
  <c r="Z29714" i="5"/>
  <c r="Z29713" i="5"/>
  <c r="Z29712" i="5"/>
  <c r="Z29711" i="5"/>
  <c r="Z29710" i="5"/>
  <c r="Z29709" i="5"/>
  <c r="Z29708" i="5"/>
  <c r="Z29707" i="5"/>
  <c r="Z29706" i="5"/>
  <c r="Z29705" i="5"/>
  <c r="Z29704" i="5"/>
  <c r="Z29703" i="5"/>
  <c r="Z29702" i="5"/>
  <c r="Z29701" i="5"/>
  <c r="Z29700" i="5"/>
  <c r="Z29699" i="5"/>
  <c r="Z29698" i="5"/>
  <c r="Z29697" i="5"/>
  <c r="Z29696" i="5"/>
  <c r="Z29695" i="5"/>
  <c r="Z29694" i="5"/>
  <c r="Z29693" i="5"/>
  <c r="Z29692" i="5"/>
  <c r="Z29691" i="5"/>
  <c r="Z29690" i="5"/>
  <c r="Z29689" i="5"/>
  <c r="Z29688" i="5"/>
  <c r="Z29687" i="5"/>
  <c r="Z29686" i="5"/>
  <c r="Z29685" i="5"/>
  <c r="Z29684" i="5"/>
  <c r="Z29683" i="5"/>
  <c r="Z29682" i="5"/>
  <c r="Z29681" i="5"/>
  <c r="Z29680" i="5"/>
  <c r="Z29679" i="5"/>
  <c r="Z29678" i="5"/>
  <c r="Z29677" i="5"/>
  <c r="Z29676" i="5"/>
  <c r="Z29675" i="5"/>
  <c r="Z29674" i="5"/>
  <c r="Z29673" i="5"/>
  <c r="Z29672" i="5"/>
  <c r="Z29671" i="5"/>
  <c r="Z29670" i="5"/>
  <c r="Z29669" i="5"/>
  <c r="Z29668" i="5"/>
  <c r="Z29667" i="5"/>
  <c r="Z29666" i="5"/>
  <c r="Z29665" i="5"/>
  <c r="Z29664" i="5"/>
  <c r="Z29663" i="5"/>
  <c r="Z29662" i="5"/>
  <c r="Z29661" i="5"/>
  <c r="Z29660" i="5"/>
  <c r="Z29659" i="5"/>
  <c r="Z29658" i="5"/>
  <c r="Z29657" i="5"/>
  <c r="Z29656" i="5"/>
  <c r="Z29655" i="5"/>
  <c r="Z29654" i="5"/>
  <c r="Z29653" i="5"/>
  <c r="Z29652" i="5"/>
  <c r="Z29651" i="5"/>
  <c r="Z29650" i="5"/>
  <c r="Z29649" i="5"/>
  <c r="Z29648" i="5"/>
  <c r="Z29647" i="5"/>
  <c r="Z29646" i="5"/>
  <c r="Z29645" i="5"/>
  <c r="Z29644" i="5"/>
  <c r="Z29643" i="5"/>
  <c r="Z29642" i="5"/>
  <c r="Z29641" i="5"/>
  <c r="Z29640" i="5"/>
  <c r="Z29639" i="5"/>
  <c r="Z29638" i="5"/>
  <c r="Z29637" i="5"/>
  <c r="Z29636" i="5"/>
  <c r="Z29635" i="5"/>
  <c r="Z29634" i="5"/>
  <c r="Z29633" i="5"/>
  <c r="Z29632" i="5"/>
  <c r="Z29631" i="5"/>
  <c r="Z29630" i="5"/>
  <c r="Z29629" i="5"/>
  <c r="Z29628" i="5"/>
  <c r="Z29627" i="5"/>
  <c r="Z29626" i="5"/>
  <c r="Z29625" i="5"/>
  <c r="Z29624" i="5"/>
  <c r="Z29623" i="5"/>
  <c r="Z29622" i="5"/>
  <c r="Z29621" i="5"/>
  <c r="Z29620" i="5"/>
  <c r="Z29619" i="5"/>
  <c r="Z29618" i="5"/>
  <c r="Z29617" i="5"/>
  <c r="Z29616" i="5"/>
  <c r="Z29615" i="5"/>
  <c r="Z29614" i="5"/>
  <c r="Z29613" i="5"/>
  <c r="Z29612" i="5"/>
  <c r="Z29611" i="5"/>
  <c r="Z29610" i="5"/>
  <c r="Z29609" i="5"/>
  <c r="Z29608" i="5"/>
  <c r="Z29607" i="5"/>
  <c r="Z29606" i="5"/>
  <c r="Z29605" i="5"/>
  <c r="Z29604" i="5"/>
  <c r="Z29603" i="5"/>
  <c r="Z29602" i="5"/>
  <c r="Z29601" i="5"/>
  <c r="Z29600" i="5"/>
  <c r="Z29599" i="5"/>
  <c r="Z29598" i="5"/>
  <c r="Z29597" i="5"/>
  <c r="Z29596" i="5"/>
  <c r="Z29595" i="5"/>
  <c r="Z29594" i="5"/>
  <c r="Z29593" i="5"/>
  <c r="Z29592" i="5"/>
  <c r="Z29591" i="5"/>
  <c r="Z29590" i="5"/>
  <c r="Z29589" i="5"/>
  <c r="Z29588" i="5"/>
  <c r="Z29587" i="5"/>
  <c r="Z29586" i="5"/>
  <c r="Z29585" i="5"/>
  <c r="Z29584" i="5"/>
  <c r="Z29583" i="5"/>
  <c r="Z29582" i="5"/>
  <c r="Z29581" i="5"/>
  <c r="Z29580" i="5"/>
  <c r="Z29579" i="5"/>
  <c r="Z29578" i="5"/>
  <c r="Z29577" i="5"/>
  <c r="Z29576" i="5"/>
  <c r="Z29575" i="5"/>
  <c r="Z29574" i="5"/>
  <c r="Z29573" i="5"/>
  <c r="Z29572" i="5"/>
  <c r="Z29571" i="5"/>
  <c r="Z29570" i="5"/>
  <c r="Z29569" i="5"/>
  <c r="Z29568" i="5"/>
  <c r="Z29567" i="5"/>
  <c r="Z29566" i="5"/>
  <c r="Z29565" i="5"/>
  <c r="Z29564" i="5"/>
  <c r="Z29563" i="5"/>
  <c r="Z29562" i="5"/>
  <c r="Z29561" i="5"/>
  <c r="Z29560" i="5"/>
  <c r="Z29559" i="5"/>
  <c r="Z29558" i="5"/>
  <c r="Z29557" i="5"/>
  <c r="Z29556" i="5"/>
  <c r="Z29555" i="5"/>
  <c r="Z29554" i="5"/>
  <c r="Z29553" i="5"/>
  <c r="Z29552" i="5"/>
  <c r="Z29551" i="5"/>
  <c r="Z29550" i="5"/>
  <c r="Z29549" i="5"/>
  <c r="Z29548" i="5"/>
  <c r="Z29547" i="5"/>
  <c r="Z29546" i="5"/>
  <c r="Z29545" i="5"/>
  <c r="Z29544" i="5"/>
  <c r="Z29543" i="5"/>
  <c r="Z29542" i="5"/>
  <c r="Z29541" i="5"/>
  <c r="Z29540" i="5"/>
  <c r="Z29539" i="5"/>
  <c r="Z29538" i="5"/>
  <c r="Z29537" i="5"/>
  <c r="Z29536" i="5"/>
  <c r="Z29535" i="5"/>
  <c r="Z29534" i="5"/>
  <c r="Z29533" i="5"/>
  <c r="Z29532" i="5"/>
  <c r="Z29531" i="5"/>
  <c r="Z29530" i="5"/>
  <c r="Z29529" i="5"/>
  <c r="Z29528" i="5"/>
  <c r="Z29527" i="5"/>
  <c r="Z29526" i="5"/>
  <c r="Z29525" i="5"/>
  <c r="Z29524" i="5"/>
  <c r="Z29523" i="5"/>
  <c r="Z29522" i="5"/>
  <c r="Z29521" i="5"/>
  <c r="Z29520" i="5"/>
  <c r="Z29519" i="5"/>
  <c r="Z29518" i="5"/>
  <c r="Z29517" i="5"/>
  <c r="Z29516" i="5"/>
  <c r="Z29515" i="5"/>
  <c r="Z29514" i="5"/>
  <c r="Z29513" i="5"/>
  <c r="Z29512" i="5"/>
  <c r="Z29511" i="5"/>
  <c r="Z29510" i="5"/>
  <c r="Z29509" i="5"/>
  <c r="Z29508" i="5"/>
  <c r="Z29507" i="5"/>
  <c r="Z29506" i="5"/>
  <c r="Z29505" i="5"/>
  <c r="Z29504" i="5"/>
  <c r="Z29503" i="5"/>
  <c r="Z29502" i="5"/>
  <c r="Z29501" i="5"/>
  <c r="Z29500" i="5"/>
  <c r="Z29499" i="5"/>
  <c r="Z29498" i="5"/>
  <c r="Z29497" i="5"/>
  <c r="Z29496" i="5"/>
  <c r="Z29495" i="5"/>
  <c r="Z29494" i="5"/>
  <c r="Z29493" i="5"/>
  <c r="Z29492" i="5"/>
  <c r="Z29491" i="5"/>
  <c r="Z29490" i="5"/>
  <c r="Z29489" i="5"/>
  <c r="Z29488" i="5"/>
  <c r="Z29487" i="5"/>
  <c r="Z29486" i="5"/>
  <c r="Z29485" i="5"/>
  <c r="Z29484" i="5"/>
  <c r="Z29483" i="5"/>
  <c r="Z29482" i="5"/>
  <c r="Z29481" i="5"/>
  <c r="Z29480" i="5"/>
  <c r="Z29479" i="5"/>
  <c r="Z29478" i="5"/>
  <c r="Z29477" i="5"/>
  <c r="Z29476" i="5"/>
  <c r="Z29475" i="5"/>
  <c r="Z29474" i="5"/>
  <c r="Z29473" i="5"/>
  <c r="Z29472" i="5"/>
  <c r="Z29471" i="5"/>
  <c r="Z29470" i="5"/>
  <c r="Z29469" i="5"/>
  <c r="Z29468" i="5"/>
  <c r="Z29467" i="5"/>
  <c r="Z29466" i="5"/>
  <c r="Z29465" i="5"/>
  <c r="Z29464" i="5"/>
  <c r="Z29463" i="5"/>
  <c r="Z29462" i="5"/>
  <c r="Z29461" i="5"/>
  <c r="Z29460" i="5"/>
  <c r="Z29459" i="5"/>
  <c r="Z29458" i="5"/>
  <c r="Z29457" i="5"/>
  <c r="Z29456" i="5"/>
  <c r="Z29455" i="5"/>
  <c r="Z29454" i="5"/>
  <c r="Z29453" i="5"/>
  <c r="Z29452" i="5"/>
  <c r="Z29451" i="5"/>
  <c r="Z29450" i="5"/>
  <c r="Z29449" i="5"/>
  <c r="Z29448" i="5"/>
  <c r="Z29447" i="5"/>
  <c r="Z29446" i="5"/>
  <c r="Z29445" i="5"/>
  <c r="Z29444" i="5"/>
  <c r="Z29443" i="5"/>
  <c r="Z29442" i="5"/>
  <c r="Z29441" i="5"/>
  <c r="Z29440" i="5"/>
  <c r="Z29439" i="5"/>
  <c r="Z29438" i="5"/>
  <c r="Z29437" i="5"/>
  <c r="Z29436" i="5"/>
  <c r="Z29435" i="5"/>
  <c r="Z29434" i="5"/>
  <c r="Z29433" i="5"/>
  <c r="Z29432" i="5"/>
  <c r="Z29431" i="5"/>
  <c r="Z29430" i="5"/>
  <c r="Z29429" i="5"/>
  <c r="Z29428" i="5"/>
  <c r="Z29427" i="5"/>
  <c r="Z29426" i="5"/>
  <c r="Z29425" i="5"/>
  <c r="Z29424" i="5"/>
  <c r="Z29423" i="5"/>
  <c r="Z29422" i="5"/>
  <c r="Z29421" i="5"/>
  <c r="Z29420" i="5"/>
  <c r="Z29419" i="5"/>
  <c r="Z29418" i="5"/>
  <c r="Z29417" i="5"/>
  <c r="Z29416" i="5"/>
  <c r="Z29415" i="5"/>
  <c r="Z29414" i="5"/>
  <c r="Z29413" i="5"/>
  <c r="Z29412" i="5"/>
  <c r="Z29411" i="5"/>
  <c r="Z29410" i="5"/>
  <c r="Z29409" i="5"/>
  <c r="Z29408" i="5"/>
  <c r="Z29407" i="5"/>
  <c r="Z29406" i="5"/>
  <c r="Z29405" i="5"/>
  <c r="Z29404" i="5"/>
  <c r="Z29403" i="5"/>
  <c r="Z29402" i="5"/>
  <c r="Z29401" i="5"/>
  <c r="Z29400" i="5"/>
  <c r="Z29399" i="5"/>
  <c r="Z29398" i="5"/>
  <c r="Z29397" i="5"/>
  <c r="Z29396" i="5"/>
  <c r="Z29395" i="5"/>
  <c r="Z29394" i="5"/>
  <c r="Z29393" i="5"/>
  <c r="Z29392" i="5"/>
  <c r="Z29391" i="5"/>
  <c r="Z29390" i="5"/>
  <c r="Z29389" i="5"/>
  <c r="Z29388" i="5"/>
  <c r="Z29387" i="5"/>
  <c r="Z29386" i="5"/>
  <c r="Z29385" i="5"/>
  <c r="Z29384" i="5"/>
  <c r="Z29383" i="5"/>
  <c r="Z29382" i="5"/>
  <c r="Z29381" i="5"/>
  <c r="Z29380" i="5"/>
  <c r="Z29379" i="5"/>
  <c r="Z29378" i="5"/>
  <c r="Z29377" i="5"/>
  <c r="Z29376" i="5"/>
  <c r="Z29375" i="5"/>
  <c r="Z29374" i="5"/>
  <c r="Z29373" i="5"/>
  <c r="Z29372" i="5"/>
  <c r="Z29371" i="5"/>
  <c r="Z29370" i="5"/>
  <c r="Z29369" i="5"/>
  <c r="Z29368" i="5"/>
  <c r="Z29367" i="5"/>
  <c r="Z29366" i="5"/>
  <c r="Z29365" i="5"/>
  <c r="Z29364" i="5"/>
  <c r="Z29363" i="5"/>
  <c r="Z29362" i="5"/>
  <c r="Z29361" i="5"/>
  <c r="Z29360" i="5"/>
  <c r="Z29359" i="5"/>
  <c r="Z29358" i="5"/>
  <c r="Z29357" i="5"/>
  <c r="Z29356" i="5"/>
  <c r="Z29355" i="5"/>
  <c r="Z29354" i="5"/>
  <c r="Z29353" i="5"/>
  <c r="Z29352" i="5"/>
  <c r="Z29351" i="5"/>
  <c r="Z29350" i="5"/>
  <c r="Z29349" i="5"/>
  <c r="Z29348" i="5"/>
  <c r="Z29347" i="5"/>
  <c r="Z29346" i="5"/>
  <c r="Z29345" i="5"/>
  <c r="Z29344" i="5"/>
  <c r="Z29343" i="5"/>
  <c r="Z29342" i="5"/>
  <c r="Z29341" i="5"/>
  <c r="Z29340" i="5"/>
  <c r="Z29339" i="5"/>
  <c r="Z29338" i="5"/>
  <c r="Z29337" i="5"/>
  <c r="Z29336" i="5"/>
  <c r="Z29335" i="5"/>
  <c r="Z29334" i="5"/>
  <c r="Z29333" i="5"/>
  <c r="Z29332" i="5"/>
  <c r="Z29331" i="5"/>
  <c r="Z29330" i="5"/>
  <c r="Z29329" i="5"/>
  <c r="Z29328" i="5"/>
  <c r="Z29327" i="5"/>
  <c r="Z29326" i="5"/>
  <c r="Z29325" i="5"/>
  <c r="Z29324" i="5"/>
  <c r="Z29323" i="5"/>
  <c r="Z29322" i="5"/>
  <c r="Z29321" i="5"/>
  <c r="Z29320" i="5"/>
  <c r="Z29319" i="5"/>
  <c r="Z29318" i="5"/>
  <c r="Z29317" i="5"/>
  <c r="Z29316" i="5"/>
  <c r="Z29315" i="5"/>
  <c r="Z29314" i="5"/>
  <c r="Z29313" i="5"/>
  <c r="Z29312" i="5"/>
  <c r="Z29311" i="5"/>
  <c r="Z29310" i="5"/>
  <c r="Z29309" i="5"/>
  <c r="Z29308" i="5"/>
  <c r="Z29307" i="5"/>
  <c r="Z29306" i="5"/>
  <c r="Z29305" i="5"/>
  <c r="Z29304" i="5"/>
  <c r="Z29303" i="5"/>
  <c r="Z29302" i="5"/>
  <c r="Z29301" i="5"/>
  <c r="Z29300" i="5"/>
  <c r="Z29299" i="5"/>
  <c r="Z29298" i="5"/>
  <c r="Z29297" i="5"/>
  <c r="Z29296" i="5"/>
  <c r="Z29295" i="5"/>
  <c r="Z29294" i="5"/>
  <c r="Z29293" i="5"/>
  <c r="Z29292" i="5"/>
  <c r="Z29291" i="5"/>
  <c r="Z29290" i="5"/>
  <c r="Z29289" i="5"/>
  <c r="Z29288" i="5"/>
  <c r="Z29287" i="5"/>
  <c r="Z29286" i="5"/>
  <c r="Z29285" i="5"/>
  <c r="Z29284" i="5"/>
  <c r="Z29283" i="5"/>
  <c r="Z29282" i="5"/>
  <c r="Z29281" i="5"/>
  <c r="Z29280" i="5"/>
  <c r="Z29279" i="5"/>
  <c r="Z29278" i="5"/>
  <c r="Z29277" i="5"/>
  <c r="Z29276" i="5"/>
  <c r="Z29275" i="5"/>
  <c r="Z29274" i="5"/>
  <c r="Z29273" i="5"/>
  <c r="Z29272" i="5"/>
  <c r="Z29271" i="5"/>
  <c r="Z29270" i="5"/>
  <c r="Z29269" i="5"/>
  <c r="Z29268" i="5"/>
  <c r="Z29267" i="5"/>
  <c r="Z29266" i="5"/>
  <c r="Z29265" i="5"/>
  <c r="Z29264" i="5"/>
  <c r="Z29263" i="5"/>
  <c r="Z29262" i="5"/>
  <c r="Z29261" i="5"/>
  <c r="Z29260" i="5"/>
  <c r="Z29259" i="5"/>
  <c r="Z29258" i="5"/>
  <c r="Z29257" i="5"/>
  <c r="Z29256" i="5"/>
  <c r="Z29255" i="5"/>
  <c r="Z29254" i="5"/>
  <c r="Z29253" i="5"/>
  <c r="Z29252" i="5"/>
  <c r="Z29251" i="5"/>
  <c r="Z29250" i="5"/>
  <c r="Z29249" i="5"/>
  <c r="Z29248" i="5"/>
  <c r="Z29247" i="5"/>
  <c r="Z29246" i="5"/>
  <c r="Z29245" i="5"/>
  <c r="Z29244" i="5"/>
  <c r="Z29243" i="5"/>
  <c r="Z29242" i="5"/>
  <c r="Z29241" i="5"/>
  <c r="Z29240" i="5"/>
  <c r="Z29239" i="5"/>
  <c r="Z29238" i="5"/>
  <c r="Z29237" i="5"/>
  <c r="Z29236" i="5"/>
  <c r="Z29235" i="5"/>
  <c r="Z29234" i="5"/>
  <c r="Z29233" i="5"/>
  <c r="Z29232" i="5"/>
  <c r="Z29231" i="5"/>
  <c r="Z29230" i="5"/>
  <c r="Z29229" i="5"/>
  <c r="Z29228" i="5"/>
  <c r="Z29227" i="5"/>
  <c r="Z29226" i="5"/>
  <c r="Z29225" i="5"/>
  <c r="Z29224" i="5"/>
  <c r="Z29223" i="5"/>
  <c r="Z29222" i="5"/>
  <c r="Z29221" i="5"/>
  <c r="Z29220" i="5"/>
  <c r="Z29219" i="5"/>
  <c r="Z29218" i="5"/>
  <c r="Z29217" i="5"/>
  <c r="Z29216" i="5"/>
  <c r="Z29215" i="5"/>
  <c r="Z29214" i="5"/>
  <c r="Z29213" i="5"/>
  <c r="Z29212" i="5"/>
  <c r="Z29211" i="5"/>
  <c r="Z29210" i="5"/>
  <c r="Z29209" i="5"/>
  <c r="Z29208" i="5"/>
  <c r="Z29207" i="5"/>
  <c r="Z29206" i="5"/>
  <c r="Z29205" i="5"/>
  <c r="Z29204" i="5"/>
  <c r="Z29203" i="5"/>
  <c r="Z29202" i="5"/>
  <c r="Z29201" i="5"/>
  <c r="Z29200" i="5"/>
  <c r="Z29199" i="5"/>
  <c r="Z29198" i="5"/>
  <c r="Z29197" i="5"/>
  <c r="Z29196" i="5"/>
  <c r="Z29195" i="5"/>
  <c r="Z29194" i="5"/>
  <c r="Z29193" i="5"/>
  <c r="Z29192" i="5"/>
  <c r="Z29191" i="5"/>
  <c r="Z29190" i="5"/>
  <c r="Z29189" i="5"/>
  <c r="Z29188" i="5"/>
  <c r="Z29187" i="5"/>
  <c r="Z29186" i="5"/>
  <c r="Z29185" i="5"/>
  <c r="Z29184" i="5"/>
  <c r="Z29183" i="5"/>
  <c r="Z29182" i="5"/>
  <c r="Z29181" i="5"/>
  <c r="Z29180" i="5"/>
  <c r="Z29179" i="5"/>
  <c r="Z29178" i="5"/>
  <c r="Z29177" i="5"/>
  <c r="Z29176" i="5"/>
  <c r="Z29175" i="5"/>
  <c r="Z29174" i="5"/>
  <c r="Z29173" i="5"/>
  <c r="Z29172" i="5"/>
  <c r="Z29171" i="5"/>
  <c r="Z29170" i="5"/>
  <c r="Z29169" i="5"/>
  <c r="Z29168" i="5"/>
  <c r="Z29167" i="5"/>
  <c r="Z29166" i="5"/>
  <c r="Z29165" i="5"/>
  <c r="Z29164" i="5"/>
  <c r="Z29163" i="5"/>
  <c r="Z29162" i="5"/>
  <c r="Z29161" i="5"/>
  <c r="Z29160" i="5"/>
  <c r="Z29159" i="5"/>
  <c r="Z29158" i="5"/>
  <c r="Z29157" i="5"/>
  <c r="Z29156" i="5"/>
  <c r="Z29155" i="5"/>
  <c r="Z29154" i="5"/>
  <c r="Z29153" i="5"/>
  <c r="Z29152" i="5"/>
  <c r="Z29151" i="5"/>
  <c r="Z29150" i="5"/>
  <c r="Z29149" i="5"/>
  <c r="Z29148" i="5"/>
  <c r="Z29147" i="5"/>
  <c r="Z29146" i="5"/>
  <c r="Z29145" i="5"/>
  <c r="Z29144" i="5"/>
  <c r="Z29143" i="5"/>
  <c r="Z29142" i="5"/>
  <c r="Z29141" i="5"/>
  <c r="Z29140" i="5"/>
  <c r="Z29139" i="5"/>
  <c r="Z29138" i="5"/>
  <c r="Z29137" i="5"/>
  <c r="Z29136" i="5"/>
  <c r="Z29135" i="5"/>
  <c r="Z29134" i="5"/>
  <c r="Z29133" i="5"/>
  <c r="Z29132" i="5"/>
  <c r="Z29131" i="5"/>
  <c r="Z29130" i="5"/>
  <c r="Z29129" i="5"/>
  <c r="Z29128" i="5"/>
  <c r="Z29127" i="5"/>
  <c r="Z29126" i="5"/>
  <c r="Z29125" i="5"/>
  <c r="Z29124" i="5"/>
  <c r="Z29123" i="5"/>
  <c r="Z29122" i="5"/>
  <c r="Z29121" i="5"/>
  <c r="Z29120" i="5"/>
  <c r="Z29119" i="5"/>
  <c r="Z29118" i="5"/>
  <c r="Z29117" i="5"/>
  <c r="Z29116" i="5"/>
  <c r="Z29115" i="5"/>
  <c r="Z29114" i="5"/>
  <c r="Z29113" i="5"/>
  <c r="Z29112" i="5"/>
  <c r="Z29111" i="5"/>
  <c r="Z29110" i="5"/>
  <c r="Z29109" i="5"/>
  <c r="Z29108" i="5"/>
  <c r="Z29107" i="5"/>
  <c r="Z29106" i="5"/>
  <c r="Z29105" i="5"/>
  <c r="Z29104" i="5"/>
  <c r="Z29103" i="5"/>
  <c r="Z29102" i="5"/>
  <c r="Z29101" i="5"/>
  <c r="Z29100" i="5"/>
  <c r="Z29099" i="5"/>
  <c r="Z29098" i="5"/>
  <c r="Z29097" i="5"/>
  <c r="Z29096" i="5"/>
  <c r="Z29095" i="5"/>
  <c r="Z29094" i="5"/>
  <c r="Z29093" i="5"/>
  <c r="Z29092" i="5"/>
  <c r="Z29091" i="5"/>
  <c r="Z29090" i="5"/>
  <c r="Z29089" i="5"/>
  <c r="Z29088" i="5"/>
  <c r="Z29087" i="5"/>
  <c r="Z29086" i="5"/>
  <c r="Z29085" i="5"/>
  <c r="Z29084" i="5"/>
  <c r="Z29083" i="5"/>
  <c r="Z29082" i="5"/>
  <c r="Z29081" i="5"/>
  <c r="Z29080" i="5"/>
  <c r="Z29079" i="5"/>
  <c r="Z29078" i="5"/>
  <c r="Z29077" i="5"/>
  <c r="Z29076" i="5"/>
  <c r="Z29075" i="5"/>
  <c r="Z29074" i="5"/>
  <c r="Z29073" i="5"/>
  <c r="Z29072" i="5"/>
  <c r="Z29071" i="5"/>
  <c r="Z29070" i="5"/>
  <c r="Z29069" i="5"/>
  <c r="Z29068" i="5"/>
  <c r="Z29067" i="5"/>
  <c r="Z29066" i="5"/>
  <c r="Z29065" i="5"/>
  <c r="Z29064" i="5"/>
  <c r="Z29063" i="5"/>
  <c r="Z29062" i="5"/>
  <c r="Z29061" i="5"/>
  <c r="Z29060" i="5"/>
  <c r="Z29059" i="5"/>
  <c r="Z29058" i="5"/>
  <c r="Z29057" i="5"/>
  <c r="Z29056" i="5"/>
  <c r="Z29055" i="5"/>
  <c r="Z29054" i="5"/>
  <c r="Z29053" i="5"/>
  <c r="Z29052" i="5"/>
  <c r="Z29051" i="5"/>
  <c r="Z29050" i="5"/>
  <c r="Z29049" i="5"/>
  <c r="Z29048" i="5"/>
  <c r="Z29047" i="5"/>
  <c r="Z29046" i="5"/>
  <c r="Z29045" i="5"/>
  <c r="Z29044" i="5"/>
  <c r="Z29043" i="5"/>
  <c r="Z29042" i="5"/>
  <c r="Z29041" i="5"/>
  <c r="Z29040" i="5"/>
  <c r="Z29039" i="5"/>
  <c r="Z29038" i="5"/>
  <c r="Z29037" i="5"/>
  <c r="Z29036" i="5"/>
  <c r="Z29035" i="5"/>
  <c r="Z29034" i="5"/>
  <c r="Z29033" i="5"/>
  <c r="Z29032" i="5"/>
  <c r="Z29031" i="5"/>
  <c r="Z29030" i="5"/>
  <c r="Z29029" i="5"/>
  <c r="Z29028" i="5"/>
  <c r="Z29027" i="5"/>
  <c r="Z29026" i="5"/>
  <c r="Z29025" i="5"/>
  <c r="Z29024" i="5"/>
  <c r="Z29023" i="5"/>
  <c r="Z29022" i="5"/>
  <c r="Z29021" i="5"/>
  <c r="Z29020" i="5"/>
  <c r="Z29019" i="5"/>
  <c r="Z29018" i="5"/>
  <c r="Z29017" i="5"/>
  <c r="Z29016" i="5"/>
  <c r="Z29015" i="5"/>
  <c r="Z29014" i="5"/>
  <c r="Z29013" i="5"/>
  <c r="Z29012" i="5"/>
  <c r="Z29011" i="5"/>
  <c r="Z29010" i="5"/>
  <c r="Z29009" i="5"/>
  <c r="Z29008" i="5"/>
  <c r="Z29007" i="5"/>
  <c r="Z29006" i="5"/>
  <c r="Z29005" i="5"/>
  <c r="Z29004" i="5"/>
  <c r="Z29003" i="5"/>
  <c r="Z29002" i="5"/>
  <c r="Z29001" i="5"/>
  <c r="Z29000" i="5"/>
  <c r="Z28999" i="5"/>
  <c r="Z28998" i="5"/>
  <c r="Z28997" i="5"/>
  <c r="Z28996" i="5"/>
  <c r="Z28995" i="5"/>
  <c r="Z28994" i="5"/>
  <c r="Z28993" i="5"/>
  <c r="Z28992" i="5"/>
  <c r="Z28991" i="5"/>
  <c r="Z28990" i="5"/>
  <c r="Z28989" i="5"/>
  <c r="Z28988" i="5"/>
  <c r="Z28987" i="5"/>
  <c r="Z28986" i="5"/>
  <c r="Z28985" i="5"/>
  <c r="Z28984" i="5"/>
  <c r="Z28983" i="5"/>
  <c r="Z28982" i="5"/>
  <c r="Z28981" i="5"/>
  <c r="Z28980" i="5"/>
  <c r="Z28979" i="5"/>
  <c r="Z28978" i="5"/>
  <c r="Z28977" i="5"/>
  <c r="Z28976" i="5"/>
  <c r="Z28975" i="5"/>
  <c r="Z28974" i="5"/>
  <c r="Z28973" i="5"/>
  <c r="Z28972" i="5"/>
  <c r="Z28971" i="5"/>
  <c r="Z28970" i="5"/>
  <c r="Z28969" i="5"/>
  <c r="Z28968" i="5"/>
  <c r="Z28967" i="5"/>
  <c r="Z28966" i="5"/>
  <c r="Z28965" i="5"/>
  <c r="Z28964" i="5"/>
  <c r="Z28963" i="5"/>
  <c r="Z28962" i="5"/>
  <c r="Z28961" i="5"/>
  <c r="Z28960" i="5"/>
  <c r="Z28959" i="5"/>
  <c r="Z28958" i="5"/>
  <c r="Z28957" i="5"/>
  <c r="Z28956" i="5"/>
  <c r="Z28955" i="5"/>
  <c r="Z28954" i="5"/>
  <c r="Z28953" i="5"/>
  <c r="Z28952" i="5"/>
  <c r="Z28951" i="5"/>
  <c r="Z28950" i="5"/>
  <c r="Z28949" i="5"/>
  <c r="Z28948" i="5"/>
  <c r="Z28947" i="5"/>
  <c r="Z28946" i="5"/>
  <c r="Z28945" i="5"/>
  <c r="Z28944" i="5"/>
  <c r="Z28943" i="5"/>
  <c r="Z28942" i="5"/>
  <c r="Z28941" i="5"/>
  <c r="Z28940" i="5"/>
  <c r="Z28939" i="5"/>
  <c r="Z28938" i="5"/>
  <c r="Z28937" i="5"/>
  <c r="Z28936" i="5"/>
  <c r="Z28935" i="5"/>
  <c r="Z28934" i="5"/>
  <c r="Z28933" i="5"/>
  <c r="Z28932" i="5"/>
  <c r="Z28931" i="5"/>
  <c r="Z28930" i="5"/>
  <c r="Z28929" i="5"/>
  <c r="Z28928" i="5"/>
  <c r="Z28927" i="5"/>
  <c r="Z28926" i="5"/>
  <c r="Z28925" i="5"/>
  <c r="Z28924" i="5"/>
  <c r="Z28923" i="5"/>
  <c r="Z28922" i="5"/>
  <c r="Z28921" i="5"/>
  <c r="Z28920" i="5"/>
  <c r="Z28919" i="5"/>
  <c r="Z28918" i="5"/>
  <c r="Z28917" i="5"/>
  <c r="Z28916" i="5"/>
  <c r="Z28915" i="5"/>
  <c r="Z28914" i="5"/>
  <c r="Z28913" i="5"/>
  <c r="Z28912" i="5"/>
  <c r="Z28911" i="5"/>
  <c r="Z28910" i="5"/>
  <c r="Z28909" i="5"/>
  <c r="Z28908" i="5"/>
  <c r="Z28907" i="5"/>
  <c r="Z28906" i="5"/>
  <c r="Z28905" i="5"/>
  <c r="Z28904" i="5"/>
  <c r="Z28903" i="5"/>
  <c r="Z28902" i="5"/>
  <c r="Z28901" i="5"/>
  <c r="Z28900" i="5"/>
  <c r="Z28899" i="5"/>
  <c r="Z28898" i="5"/>
  <c r="Z28897" i="5"/>
  <c r="Z28896" i="5"/>
  <c r="Z28895" i="5"/>
  <c r="Z28894" i="5"/>
  <c r="Z28893" i="5"/>
  <c r="Z28892" i="5"/>
  <c r="Z28891" i="5"/>
  <c r="Z28890" i="5"/>
  <c r="Z28889" i="5"/>
  <c r="Z28888" i="5"/>
  <c r="Z28887" i="5"/>
  <c r="Z28886" i="5"/>
  <c r="Z28885" i="5"/>
  <c r="Z28884" i="5"/>
  <c r="Z28883" i="5"/>
  <c r="Z28882" i="5"/>
  <c r="Z28881" i="5"/>
  <c r="Z28880" i="5"/>
  <c r="Z28879" i="5"/>
  <c r="Z28878" i="5"/>
  <c r="Z28877" i="5"/>
  <c r="Z28876" i="5"/>
  <c r="Z28875" i="5"/>
  <c r="Z28874" i="5"/>
  <c r="Z28873" i="5"/>
  <c r="Z28872" i="5"/>
  <c r="Z28871" i="5"/>
  <c r="Z28870" i="5"/>
  <c r="Z28869" i="5"/>
  <c r="Z28868" i="5"/>
  <c r="Z28867" i="5"/>
  <c r="Z28866" i="5"/>
  <c r="Z28865" i="5"/>
  <c r="Z28864" i="5"/>
  <c r="Z28863" i="5"/>
  <c r="Z28862" i="5"/>
  <c r="Z28861" i="5"/>
  <c r="Z28860" i="5"/>
  <c r="Z28859" i="5"/>
  <c r="Z28858" i="5"/>
  <c r="Z28857" i="5"/>
  <c r="Z28856" i="5"/>
  <c r="Z28855" i="5"/>
  <c r="Z28854" i="5"/>
  <c r="Z28853" i="5"/>
  <c r="Z28852" i="5"/>
  <c r="Z28851" i="5"/>
  <c r="Z28850" i="5"/>
  <c r="Z28849" i="5"/>
  <c r="Z28848" i="5"/>
  <c r="Z28847" i="5"/>
  <c r="Z28846" i="5"/>
  <c r="Z28845" i="5"/>
  <c r="Z28844" i="5"/>
  <c r="Z28843" i="5"/>
  <c r="Z28842" i="5"/>
  <c r="Z28841" i="5"/>
  <c r="Z28840" i="5"/>
  <c r="Z28839" i="5"/>
  <c r="Z28838" i="5"/>
  <c r="Z28837" i="5"/>
  <c r="Z28836" i="5"/>
  <c r="Z28835" i="5"/>
  <c r="Z28834" i="5"/>
  <c r="Z28833" i="5"/>
  <c r="Z28832" i="5"/>
  <c r="Z28831" i="5"/>
  <c r="Z28830" i="5"/>
  <c r="Z28829" i="5"/>
  <c r="Z28828" i="5"/>
  <c r="Z28827" i="5"/>
  <c r="Z28826" i="5"/>
  <c r="Z28825" i="5"/>
  <c r="Z28824" i="5"/>
  <c r="Z28823" i="5"/>
  <c r="Z28822" i="5"/>
  <c r="Z28821" i="5"/>
  <c r="Z28820" i="5"/>
  <c r="Z28819" i="5"/>
  <c r="Z28818" i="5"/>
  <c r="Z28817" i="5"/>
  <c r="Z28816" i="5"/>
  <c r="Z28815" i="5"/>
  <c r="Z28814" i="5"/>
  <c r="Z28813" i="5"/>
  <c r="Z28812" i="5"/>
  <c r="Z28811" i="5"/>
  <c r="Z28810" i="5"/>
  <c r="Z28809" i="5"/>
  <c r="Z28808" i="5"/>
  <c r="Z28807" i="5"/>
  <c r="Z28806" i="5"/>
  <c r="Z28805" i="5"/>
  <c r="Z28804" i="5"/>
  <c r="Z28803" i="5"/>
  <c r="Z28802" i="5"/>
  <c r="Z28801" i="5"/>
  <c r="Z28800" i="5"/>
  <c r="Z28799" i="5"/>
  <c r="Z28798" i="5"/>
  <c r="Z28797" i="5"/>
  <c r="Z28796" i="5"/>
  <c r="Z28795" i="5"/>
  <c r="Z28794" i="5"/>
  <c r="Z28793" i="5"/>
  <c r="Z28792" i="5"/>
  <c r="Z28791" i="5"/>
  <c r="Z28790" i="5"/>
  <c r="Z28789" i="5"/>
  <c r="Z28788" i="5"/>
  <c r="Z28787" i="5"/>
  <c r="Z28786" i="5"/>
  <c r="Z28785" i="5"/>
  <c r="Z28784" i="5"/>
  <c r="Z28783" i="5"/>
  <c r="Z28782" i="5"/>
  <c r="Z28781" i="5"/>
  <c r="Z28780" i="5"/>
  <c r="Z28779" i="5"/>
  <c r="Z28778" i="5"/>
  <c r="Z28777" i="5"/>
  <c r="Z28776" i="5"/>
  <c r="Z28775" i="5"/>
  <c r="Z28774" i="5"/>
  <c r="Z28773" i="5"/>
  <c r="Z28772" i="5"/>
  <c r="Z28771" i="5"/>
  <c r="Z28770" i="5"/>
  <c r="Z28769" i="5"/>
  <c r="Z28768" i="5"/>
  <c r="Z28767" i="5"/>
  <c r="Z28766" i="5"/>
  <c r="Z28765" i="5"/>
  <c r="Z28764" i="5"/>
  <c r="Z28763" i="5"/>
  <c r="Z28762" i="5"/>
  <c r="Z28761" i="5"/>
  <c r="Z28760" i="5"/>
  <c r="Z28759" i="5"/>
  <c r="Z28758" i="5"/>
  <c r="Z28757" i="5"/>
  <c r="Z28756" i="5"/>
  <c r="Z28755" i="5"/>
  <c r="Z28754" i="5"/>
  <c r="Z28753" i="5"/>
  <c r="Z28752" i="5"/>
  <c r="Z28751" i="5"/>
  <c r="Z28750" i="5"/>
  <c r="Z28749" i="5"/>
  <c r="Z28748" i="5"/>
  <c r="Z28747" i="5"/>
  <c r="Z28746" i="5"/>
  <c r="Z28745" i="5"/>
  <c r="Z28744" i="5"/>
  <c r="Z28743" i="5"/>
  <c r="Z28742" i="5"/>
  <c r="Z28741" i="5"/>
  <c r="Z28740" i="5"/>
  <c r="Z28739" i="5"/>
  <c r="Z28738" i="5"/>
  <c r="Z28737" i="5"/>
  <c r="Z28736" i="5"/>
  <c r="Z28735" i="5"/>
  <c r="Z28734" i="5"/>
  <c r="Z28733" i="5"/>
  <c r="Z28732" i="5"/>
  <c r="Z28731" i="5"/>
  <c r="Z28730" i="5"/>
  <c r="Z28729" i="5"/>
  <c r="Z28728" i="5"/>
  <c r="Z28727" i="5"/>
  <c r="Z28726" i="5"/>
  <c r="Z28725" i="5"/>
  <c r="Z28724" i="5"/>
  <c r="Z28723" i="5"/>
  <c r="Z28722" i="5"/>
  <c r="Z28721" i="5"/>
  <c r="Z28720" i="5"/>
  <c r="Z28719" i="5"/>
  <c r="Z28718" i="5"/>
  <c r="Z28717" i="5"/>
  <c r="Z28716" i="5"/>
  <c r="Z28715" i="5"/>
  <c r="Z28714" i="5"/>
  <c r="Z28713" i="5"/>
  <c r="Z28712" i="5"/>
  <c r="Z28711" i="5"/>
  <c r="Z28710" i="5"/>
  <c r="Z28709" i="5"/>
  <c r="Z28708" i="5"/>
  <c r="Z28707" i="5"/>
  <c r="Z28706" i="5"/>
  <c r="Z28705" i="5"/>
  <c r="Z28704" i="5"/>
  <c r="Z28703" i="5"/>
  <c r="Z28702" i="5"/>
  <c r="Z28701" i="5"/>
  <c r="Z28700" i="5"/>
  <c r="Z28699" i="5"/>
  <c r="Z28698" i="5"/>
  <c r="Z28697" i="5"/>
  <c r="Z28696" i="5"/>
  <c r="Z28695" i="5"/>
  <c r="Z28694" i="5"/>
  <c r="Z28693" i="5"/>
  <c r="Z28692" i="5"/>
  <c r="Z28691" i="5"/>
  <c r="Z28690" i="5"/>
  <c r="Z28689" i="5"/>
  <c r="Z28688" i="5"/>
  <c r="Z28687" i="5"/>
  <c r="Z28686" i="5"/>
  <c r="Z28685" i="5"/>
  <c r="Z28684" i="5"/>
  <c r="Z28683" i="5"/>
  <c r="Z28682" i="5"/>
  <c r="Z28681" i="5"/>
  <c r="Z28680" i="5"/>
  <c r="Z28679" i="5"/>
  <c r="Z28678" i="5"/>
  <c r="Z28677" i="5"/>
  <c r="Z28676" i="5"/>
  <c r="Z28675" i="5"/>
  <c r="Z28674" i="5"/>
  <c r="Z28673" i="5"/>
  <c r="Z28672" i="5"/>
  <c r="Z28671" i="5"/>
  <c r="Z28670" i="5"/>
  <c r="Z28669" i="5"/>
  <c r="Z28668" i="5"/>
  <c r="Z28667" i="5"/>
  <c r="Z28666" i="5"/>
  <c r="Z28665" i="5"/>
  <c r="Z28664" i="5"/>
  <c r="Z28663" i="5"/>
  <c r="Z28662" i="5"/>
  <c r="Z28661" i="5"/>
  <c r="Z28660" i="5"/>
  <c r="Z28659" i="5"/>
  <c r="Z28658" i="5"/>
  <c r="Z28657" i="5"/>
  <c r="Z28656" i="5"/>
  <c r="Z28655" i="5"/>
  <c r="Z28654" i="5"/>
  <c r="Z28653" i="5"/>
  <c r="Z28652" i="5"/>
  <c r="Z28651" i="5"/>
  <c r="Z28650" i="5"/>
  <c r="Z28649" i="5"/>
  <c r="Z28648" i="5"/>
  <c r="Z28647" i="5"/>
  <c r="Z28646" i="5"/>
  <c r="Z28645" i="5"/>
  <c r="Z28644" i="5"/>
  <c r="Z28643" i="5"/>
  <c r="Z28642" i="5"/>
  <c r="Z28641" i="5"/>
  <c r="Z28640" i="5"/>
  <c r="Z28639" i="5"/>
  <c r="Z28638" i="5"/>
  <c r="Z28637" i="5"/>
  <c r="Z28636" i="5"/>
  <c r="Z28635" i="5"/>
  <c r="Z28634" i="5"/>
  <c r="Z28633" i="5"/>
  <c r="Z28632" i="5"/>
  <c r="Z28631" i="5"/>
  <c r="Z28630" i="5"/>
  <c r="Z28629" i="5"/>
  <c r="Z28628" i="5"/>
  <c r="Z28627" i="5"/>
  <c r="Z28626" i="5"/>
  <c r="Z28625" i="5"/>
  <c r="Z28624" i="5"/>
  <c r="Z28623" i="5"/>
  <c r="Z28622" i="5"/>
  <c r="Z28621" i="5"/>
  <c r="Z28620" i="5"/>
  <c r="Z28619" i="5"/>
  <c r="Z28618" i="5"/>
  <c r="Z28617" i="5"/>
  <c r="Z28616" i="5"/>
  <c r="Z28615" i="5"/>
  <c r="Z28614" i="5"/>
  <c r="Z28613" i="5"/>
  <c r="Z28612" i="5"/>
  <c r="Z28611" i="5"/>
  <c r="Z28610" i="5"/>
  <c r="Z28609" i="5"/>
  <c r="Z28608" i="5"/>
  <c r="Z28607" i="5"/>
  <c r="Z28606" i="5"/>
  <c r="Z28605" i="5"/>
  <c r="Z28604" i="5"/>
  <c r="Z28603" i="5"/>
  <c r="Z28602" i="5"/>
  <c r="Z28601" i="5"/>
  <c r="Z28600" i="5"/>
  <c r="Z28599" i="5"/>
  <c r="Z28598" i="5"/>
  <c r="Z28597" i="5"/>
  <c r="Z28596" i="5"/>
  <c r="Z28595" i="5"/>
  <c r="Z28594" i="5"/>
  <c r="Z28593" i="5"/>
  <c r="Z28592" i="5"/>
  <c r="Z28591" i="5"/>
  <c r="Z28590" i="5"/>
  <c r="Z28589" i="5"/>
  <c r="Z28588" i="5"/>
  <c r="Z28587" i="5"/>
  <c r="Z28586" i="5"/>
  <c r="Z28585" i="5"/>
  <c r="Z28584" i="5"/>
  <c r="Z28583" i="5"/>
  <c r="Z28582" i="5"/>
  <c r="Z28581" i="5"/>
  <c r="Z28580" i="5"/>
  <c r="Z28579" i="5"/>
  <c r="Z28578" i="5"/>
  <c r="Z28577" i="5"/>
  <c r="Z28576" i="5"/>
  <c r="Z28575" i="5"/>
  <c r="Z28574" i="5"/>
  <c r="Z28573" i="5"/>
  <c r="Z28572" i="5"/>
  <c r="Z28571" i="5"/>
  <c r="Z28570" i="5"/>
  <c r="Z28569" i="5"/>
  <c r="Z28568" i="5"/>
  <c r="Z28567" i="5"/>
  <c r="Z28566" i="5"/>
  <c r="Z28565" i="5"/>
  <c r="Z28564" i="5"/>
  <c r="Z28563" i="5"/>
  <c r="Z28562" i="5"/>
  <c r="Z28561" i="5"/>
  <c r="Z28560" i="5"/>
  <c r="Z28559" i="5"/>
  <c r="Z28558" i="5"/>
  <c r="Z28557" i="5"/>
  <c r="Z28556" i="5"/>
  <c r="Z28555" i="5"/>
  <c r="Z28554" i="5"/>
  <c r="Z28553" i="5"/>
  <c r="Z28552" i="5"/>
  <c r="Z28551" i="5"/>
  <c r="Z28550" i="5"/>
  <c r="Z28549" i="5"/>
  <c r="Z28548" i="5"/>
  <c r="Z28547" i="5"/>
  <c r="Z28546" i="5"/>
  <c r="Z28545" i="5"/>
  <c r="Z28544" i="5"/>
  <c r="Z28543" i="5"/>
  <c r="Z28542" i="5"/>
  <c r="Z28541" i="5"/>
  <c r="Z28540" i="5"/>
  <c r="Z28539" i="5"/>
  <c r="Z28538" i="5"/>
  <c r="Z28537" i="5"/>
  <c r="Z28536" i="5"/>
  <c r="Z28535" i="5"/>
  <c r="Z28534" i="5"/>
  <c r="Z28533" i="5"/>
  <c r="Z28532" i="5"/>
  <c r="Z28531" i="5"/>
  <c r="Z28530" i="5"/>
  <c r="Z28529" i="5"/>
  <c r="Z28528" i="5"/>
  <c r="Z28527" i="5"/>
  <c r="Z28526" i="5"/>
  <c r="Z28525" i="5"/>
  <c r="Z28524" i="5"/>
  <c r="Z28523" i="5"/>
  <c r="Z28522" i="5"/>
  <c r="Z28521" i="5"/>
  <c r="Z28520" i="5"/>
  <c r="Z28519" i="5"/>
  <c r="Z28518" i="5"/>
  <c r="Z28517" i="5"/>
  <c r="Z28516" i="5"/>
  <c r="Z28515" i="5"/>
  <c r="Z28514" i="5"/>
  <c r="Z28513" i="5"/>
  <c r="Z28512" i="5"/>
  <c r="Z28511" i="5"/>
  <c r="Z28510" i="5"/>
  <c r="Z28509" i="5"/>
  <c r="Z28508" i="5"/>
  <c r="Z28507" i="5"/>
  <c r="Z28506" i="5"/>
  <c r="Z28505" i="5"/>
  <c r="Z28504" i="5"/>
  <c r="Z28503" i="5"/>
  <c r="Z28502" i="5"/>
  <c r="Z28501" i="5"/>
  <c r="Z28500" i="5"/>
  <c r="Z28499" i="5"/>
  <c r="Z28498" i="5"/>
  <c r="Z28497" i="5"/>
  <c r="Z28496" i="5"/>
  <c r="Z28495" i="5"/>
  <c r="Z28494" i="5"/>
  <c r="Z28493" i="5"/>
  <c r="Z28492" i="5"/>
  <c r="Z28491" i="5"/>
  <c r="Z28490" i="5"/>
  <c r="Z28489" i="5"/>
  <c r="Z28488" i="5"/>
  <c r="Z28487" i="5"/>
  <c r="Z28486" i="5"/>
  <c r="Z28485" i="5"/>
  <c r="Z28484" i="5"/>
  <c r="Z28483" i="5"/>
  <c r="Z28482" i="5"/>
  <c r="Z28481" i="5"/>
  <c r="Z28480" i="5"/>
  <c r="Z28479" i="5"/>
  <c r="Z28478" i="5"/>
  <c r="Z28477" i="5"/>
  <c r="Z28476" i="5"/>
  <c r="Z28475" i="5"/>
  <c r="Z28474" i="5"/>
  <c r="Z28473" i="5"/>
  <c r="Z28472" i="5"/>
  <c r="Z28471" i="5"/>
  <c r="Z28470" i="5"/>
  <c r="Z28469" i="5"/>
  <c r="Z28468" i="5"/>
  <c r="Z28467" i="5"/>
  <c r="Z28466" i="5"/>
  <c r="Z28465" i="5"/>
  <c r="Z28464" i="5"/>
  <c r="Z28463" i="5"/>
  <c r="Z28462" i="5"/>
  <c r="Z28461" i="5"/>
  <c r="Z28460" i="5"/>
  <c r="Z28459" i="5"/>
  <c r="Z28458" i="5"/>
  <c r="Z28457" i="5"/>
  <c r="Z28456" i="5"/>
  <c r="Z28455" i="5"/>
  <c r="Z28454" i="5"/>
  <c r="Z28453" i="5"/>
  <c r="Z28452" i="5"/>
  <c r="Z28451" i="5"/>
  <c r="Z28450" i="5"/>
  <c r="Z28449" i="5"/>
  <c r="Z28448" i="5"/>
  <c r="Z28447" i="5"/>
  <c r="Z28446" i="5"/>
  <c r="Z28445" i="5"/>
  <c r="Z28444" i="5"/>
  <c r="Z28443" i="5"/>
  <c r="Z28442" i="5"/>
  <c r="Z28441" i="5"/>
  <c r="Z28440" i="5"/>
  <c r="Z28439" i="5"/>
  <c r="Z28438" i="5"/>
  <c r="Z28437" i="5"/>
  <c r="Z28436" i="5"/>
  <c r="Z28435" i="5"/>
  <c r="Z28434" i="5"/>
  <c r="Z28433" i="5"/>
  <c r="Z28432" i="5"/>
  <c r="Z28431" i="5"/>
  <c r="Z28430" i="5"/>
  <c r="Z28429" i="5"/>
  <c r="Z28428" i="5"/>
  <c r="Z28427" i="5"/>
  <c r="Z28426" i="5"/>
  <c r="Z28425" i="5"/>
  <c r="Z28424" i="5"/>
  <c r="Z28423" i="5"/>
  <c r="Z28422" i="5"/>
  <c r="Z28421" i="5"/>
  <c r="Z28420" i="5"/>
  <c r="Z28419" i="5"/>
  <c r="Z28418" i="5"/>
  <c r="Z28417" i="5"/>
  <c r="Z28416" i="5"/>
  <c r="Z28415" i="5"/>
  <c r="Z28414" i="5"/>
  <c r="Z28413" i="5"/>
  <c r="Z28412" i="5"/>
  <c r="Z28411" i="5"/>
  <c r="Z28410" i="5"/>
  <c r="Z28409" i="5"/>
  <c r="Z28408" i="5"/>
  <c r="Z28407" i="5"/>
  <c r="Z28406" i="5"/>
  <c r="Z28405" i="5"/>
  <c r="Z28404" i="5"/>
  <c r="Z28403" i="5"/>
  <c r="Z28402" i="5"/>
  <c r="Z28401" i="5"/>
  <c r="Z28400" i="5"/>
  <c r="Z28399" i="5"/>
  <c r="Z28398" i="5"/>
  <c r="Z28397" i="5"/>
  <c r="Z28396" i="5"/>
  <c r="Z28395" i="5"/>
  <c r="Z28394" i="5"/>
  <c r="Z28393" i="5"/>
  <c r="Z28392" i="5"/>
  <c r="Z28391" i="5"/>
  <c r="Z28390" i="5"/>
  <c r="Z28389" i="5"/>
  <c r="Z28388" i="5"/>
  <c r="Z28387" i="5"/>
  <c r="Z28386" i="5"/>
  <c r="Z28385" i="5"/>
  <c r="Z28384" i="5"/>
  <c r="Z28383" i="5"/>
  <c r="Z28382" i="5"/>
  <c r="Z28381" i="5"/>
  <c r="Z28380" i="5"/>
  <c r="Z28379" i="5"/>
  <c r="Z28378" i="5"/>
  <c r="Z28377" i="5"/>
  <c r="Z28376" i="5"/>
  <c r="Z28375" i="5"/>
  <c r="Z28374" i="5"/>
  <c r="Z28373" i="5"/>
  <c r="Z28372" i="5"/>
  <c r="Z28371" i="5"/>
  <c r="Z28370" i="5"/>
  <c r="Z28369" i="5"/>
  <c r="Z28368" i="5"/>
  <c r="Z28367" i="5"/>
  <c r="Z28366" i="5"/>
  <c r="Z28365" i="5"/>
  <c r="Z28364" i="5"/>
  <c r="Z28363" i="5"/>
  <c r="Z28362" i="5"/>
  <c r="Z28361" i="5"/>
  <c r="Z28360" i="5"/>
  <c r="Z28359" i="5"/>
  <c r="Z28358" i="5"/>
  <c r="Z28357" i="5"/>
  <c r="Z28356" i="5"/>
  <c r="Z28355" i="5"/>
  <c r="Z28354" i="5"/>
  <c r="Z28353" i="5"/>
  <c r="Z28352" i="5"/>
  <c r="Z28351" i="5"/>
  <c r="Z28350" i="5"/>
  <c r="Z28349" i="5"/>
  <c r="Z28348" i="5"/>
  <c r="Z28347" i="5"/>
  <c r="Z28346" i="5"/>
  <c r="Z28345" i="5"/>
  <c r="Z28344" i="5"/>
  <c r="Z28343" i="5"/>
  <c r="Z28342" i="5"/>
  <c r="Z28341" i="5"/>
  <c r="Z28340" i="5"/>
  <c r="Z28339" i="5"/>
  <c r="Z28338" i="5"/>
  <c r="Z28337" i="5"/>
  <c r="Z28336" i="5"/>
  <c r="Z28335" i="5"/>
  <c r="Z28334" i="5"/>
  <c r="Z28333" i="5"/>
  <c r="Z28332" i="5"/>
  <c r="Z28331" i="5"/>
  <c r="Z28330" i="5"/>
  <c r="Z28329" i="5"/>
  <c r="Z28328" i="5"/>
  <c r="Z28327" i="5"/>
  <c r="Z28326" i="5"/>
  <c r="Z28325" i="5"/>
  <c r="Z28324" i="5"/>
  <c r="Z28323" i="5"/>
  <c r="Z28322" i="5"/>
  <c r="Z28321" i="5"/>
  <c r="Z28320" i="5"/>
  <c r="Z28319" i="5"/>
  <c r="Z28318" i="5"/>
  <c r="Z28317" i="5"/>
  <c r="Z28316" i="5"/>
  <c r="Z28315" i="5"/>
  <c r="Z28314" i="5"/>
  <c r="Z28313" i="5"/>
  <c r="Z28312" i="5"/>
  <c r="Z28311" i="5"/>
  <c r="Z28310" i="5"/>
  <c r="Z28309" i="5"/>
  <c r="Z28308" i="5"/>
  <c r="Z28307" i="5"/>
  <c r="Z28306" i="5"/>
  <c r="Z28305" i="5"/>
  <c r="Z28304" i="5"/>
  <c r="Z28303" i="5"/>
  <c r="Z28302" i="5"/>
  <c r="Z28301" i="5"/>
  <c r="Z28300" i="5"/>
  <c r="Z28299" i="5"/>
  <c r="Z28298" i="5"/>
  <c r="Z28297" i="5"/>
  <c r="Z28296" i="5"/>
  <c r="Z28295" i="5"/>
  <c r="Z28294" i="5"/>
  <c r="Z28293" i="5"/>
  <c r="Z28292" i="5"/>
  <c r="Z28291" i="5"/>
  <c r="Z28290" i="5"/>
  <c r="Z28289" i="5"/>
  <c r="Z28288" i="5"/>
  <c r="Z28287" i="5"/>
  <c r="Z28286" i="5"/>
  <c r="Z28285" i="5"/>
  <c r="Z28284" i="5"/>
  <c r="Z28283" i="5"/>
  <c r="Z28282" i="5"/>
  <c r="Z28281" i="5"/>
  <c r="Z28280" i="5"/>
  <c r="Z28279" i="5"/>
  <c r="Z28278" i="5"/>
  <c r="Z28277" i="5"/>
  <c r="Z28276" i="5"/>
  <c r="Z28275" i="5"/>
  <c r="Z28274" i="5"/>
  <c r="Z28273" i="5"/>
  <c r="Z28272" i="5"/>
  <c r="Z28271" i="5"/>
  <c r="Z28270" i="5"/>
  <c r="Z28269" i="5"/>
  <c r="Z28268" i="5"/>
  <c r="Z28267" i="5"/>
  <c r="Z28266" i="5"/>
  <c r="Z28265" i="5"/>
  <c r="Z28264" i="5"/>
  <c r="Z28263" i="5"/>
  <c r="Z28262" i="5"/>
  <c r="Z28261" i="5"/>
  <c r="Z28260" i="5"/>
  <c r="Z28259" i="5"/>
  <c r="Z28258" i="5"/>
  <c r="Z28257" i="5"/>
  <c r="Z28256" i="5"/>
  <c r="Z28255" i="5"/>
  <c r="Z28254" i="5"/>
  <c r="Z28253" i="5"/>
  <c r="Z28252" i="5"/>
  <c r="Z28251" i="5"/>
  <c r="Z28250" i="5"/>
  <c r="Z28249" i="5"/>
  <c r="Z28248" i="5"/>
  <c r="Z28247" i="5"/>
  <c r="Z28246" i="5"/>
  <c r="Z28245" i="5"/>
  <c r="Z28244" i="5"/>
  <c r="Z28243" i="5"/>
  <c r="Z28242" i="5"/>
  <c r="Z28241" i="5"/>
  <c r="Z28240" i="5"/>
  <c r="Z28239" i="5"/>
  <c r="Z28238" i="5"/>
  <c r="Z28237" i="5"/>
  <c r="Z28236" i="5"/>
  <c r="Z28235" i="5"/>
  <c r="Z28234" i="5"/>
  <c r="Z28233" i="5"/>
  <c r="Z28232" i="5"/>
  <c r="Z28231" i="5"/>
  <c r="Z28230" i="5"/>
  <c r="Z28229" i="5"/>
  <c r="Z28228" i="5"/>
  <c r="Z28227" i="5"/>
  <c r="Z28226" i="5"/>
  <c r="Z28225" i="5"/>
  <c r="Z28224" i="5"/>
  <c r="Z28223" i="5"/>
  <c r="Z28222" i="5"/>
  <c r="Z28221" i="5"/>
  <c r="Z28220" i="5"/>
  <c r="Z28219" i="5"/>
  <c r="Z28218" i="5"/>
  <c r="Z28217" i="5"/>
  <c r="Z28216" i="5"/>
  <c r="Z28215" i="5"/>
  <c r="Z28214" i="5"/>
  <c r="Z28213" i="5"/>
  <c r="Z28212" i="5"/>
  <c r="Z28211" i="5"/>
  <c r="Z28210" i="5"/>
  <c r="Z28209" i="5"/>
  <c r="Z28208" i="5"/>
  <c r="Z28207" i="5"/>
  <c r="Z28206" i="5"/>
  <c r="Z28205" i="5"/>
  <c r="Z28204" i="5"/>
  <c r="Z28203" i="5"/>
  <c r="Z28202" i="5"/>
  <c r="Z28201" i="5"/>
  <c r="Z28200" i="5"/>
  <c r="Z28199" i="5"/>
  <c r="Z28198" i="5"/>
  <c r="Z28197" i="5"/>
  <c r="Z28196" i="5"/>
  <c r="Z28195" i="5"/>
  <c r="Z28194" i="5"/>
  <c r="Z28193" i="5"/>
  <c r="Z28192" i="5"/>
  <c r="Z28191" i="5"/>
  <c r="Z28190" i="5"/>
  <c r="Z28189" i="5"/>
  <c r="Z28188" i="5"/>
  <c r="Z28187" i="5"/>
  <c r="Z28186" i="5"/>
  <c r="Z28185" i="5"/>
  <c r="Z28184" i="5"/>
  <c r="Z28183" i="5"/>
  <c r="Z28182" i="5"/>
  <c r="Z28181" i="5"/>
  <c r="Z28180" i="5"/>
  <c r="Z28179" i="5"/>
  <c r="Z28178" i="5"/>
  <c r="Z28177" i="5"/>
  <c r="Z28176" i="5"/>
  <c r="Z28175" i="5"/>
  <c r="Z28174" i="5"/>
  <c r="Z28173" i="5"/>
  <c r="Z28172" i="5"/>
  <c r="Z28171" i="5"/>
  <c r="Z28170" i="5"/>
  <c r="Z28169" i="5"/>
  <c r="Z28168" i="5"/>
  <c r="Z28167" i="5"/>
  <c r="Z28166" i="5"/>
  <c r="Z28165" i="5"/>
  <c r="Z28164" i="5"/>
  <c r="Z28163" i="5"/>
  <c r="Z28162" i="5"/>
  <c r="Z28161" i="5"/>
  <c r="Z28160" i="5"/>
  <c r="Z28159" i="5"/>
  <c r="Z28158" i="5"/>
  <c r="Z28157" i="5"/>
  <c r="Z28156" i="5"/>
  <c r="Z28155" i="5"/>
  <c r="Z28154" i="5"/>
  <c r="Z28153" i="5"/>
  <c r="Z28152" i="5"/>
  <c r="Z28151" i="5"/>
  <c r="Z28150" i="5"/>
  <c r="Z28149" i="5"/>
  <c r="Z28148" i="5"/>
  <c r="Z28147" i="5"/>
  <c r="Z28146" i="5"/>
  <c r="Z28145" i="5"/>
  <c r="Z28144" i="5"/>
  <c r="Z28143" i="5"/>
  <c r="Z28142" i="5"/>
  <c r="Z28141" i="5"/>
  <c r="Z28140" i="5"/>
  <c r="Z28139" i="5"/>
  <c r="Z28138" i="5"/>
  <c r="Z28137" i="5"/>
  <c r="Z28136" i="5"/>
  <c r="Z28135" i="5"/>
  <c r="Z28134" i="5"/>
  <c r="Z28133" i="5"/>
  <c r="Z28132" i="5"/>
  <c r="Z28131" i="5"/>
  <c r="Z28130" i="5"/>
  <c r="Z28129" i="5"/>
  <c r="Z28128" i="5"/>
  <c r="Z28127" i="5"/>
  <c r="Z28126" i="5"/>
  <c r="Z28125" i="5"/>
  <c r="Z28124" i="5"/>
  <c r="Z28123" i="5"/>
  <c r="Z28122" i="5"/>
  <c r="Z28121" i="5"/>
  <c r="Z28120" i="5"/>
  <c r="Z28119" i="5"/>
  <c r="Z28118" i="5"/>
  <c r="Z28117" i="5"/>
  <c r="Z28116" i="5"/>
  <c r="Z28115" i="5"/>
  <c r="Z28114" i="5"/>
  <c r="Z28113" i="5"/>
  <c r="Z28112" i="5"/>
  <c r="Z28111" i="5"/>
  <c r="Z28110" i="5"/>
  <c r="Z28109" i="5"/>
  <c r="Z28108" i="5"/>
  <c r="Z28107" i="5"/>
  <c r="Z28106" i="5"/>
  <c r="Z28105" i="5"/>
  <c r="Z28104" i="5"/>
  <c r="Z28103" i="5"/>
  <c r="Z28102" i="5"/>
  <c r="Z28101" i="5"/>
  <c r="Z28100" i="5"/>
  <c r="Z28099" i="5"/>
  <c r="Z28098" i="5"/>
  <c r="Z28097" i="5"/>
  <c r="Z28096" i="5"/>
  <c r="Z28095" i="5"/>
  <c r="Z28094" i="5"/>
  <c r="Z28093" i="5"/>
  <c r="Z28092" i="5"/>
  <c r="Z28091" i="5"/>
  <c r="Z28090" i="5"/>
  <c r="Z28089" i="5"/>
  <c r="Z28088" i="5"/>
  <c r="Z28087" i="5"/>
  <c r="Z28086" i="5"/>
  <c r="Z28085" i="5"/>
  <c r="Z28084" i="5"/>
  <c r="Z28083" i="5"/>
  <c r="Z28082" i="5"/>
  <c r="Z28081" i="5"/>
  <c r="Z28080" i="5"/>
  <c r="Z28079" i="5"/>
  <c r="Z28078" i="5"/>
  <c r="Z28077" i="5"/>
  <c r="Z28076" i="5"/>
  <c r="Z28075" i="5"/>
  <c r="Z28074" i="5"/>
  <c r="Z28073" i="5"/>
  <c r="Z28072" i="5"/>
  <c r="Z28071" i="5"/>
  <c r="Z28070" i="5"/>
  <c r="Z28069" i="5"/>
  <c r="Z28068" i="5"/>
  <c r="Z28067" i="5"/>
  <c r="Z28066" i="5"/>
  <c r="Z28065" i="5"/>
  <c r="Z28064" i="5"/>
  <c r="Z28063" i="5"/>
  <c r="Z28062" i="5"/>
  <c r="Z28061" i="5"/>
  <c r="Z28060" i="5"/>
  <c r="Z28059" i="5"/>
  <c r="Z28058" i="5"/>
  <c r="Z28057" i="5"/>
  <c r="Z28056" i="5"/>
  <c r="Z28055" i="5"/>
  <c r="Z28054" i="5"/>
  <c r="Z28053" i="5"/>
  <c r="Z28052" i="5"/>
  <c r="Z28051" i="5"/>
  <c r="Z28050" i="5"/>
  <c r="Z28049" i="5"/>
  <c r="Z28048" i="5"/>
  <c r="Z28047" i="5"/>
  <c r="Z28046" i="5"/>
  <c r="Z28045" i="5"/>
  <c r="Z28044" i="5"/>
  <c r="Z28043" i="5"/>
  <c r="Z28042" i="5"/>
  <c r="Z28041" i="5"/>
  <c r="Z28040" i="5"/>
  <c r="Z28039" i="5"/>
  <c r="Z28038" i="5"/>
  <c r="Z28037" i="5"/>
  <c r="Z28036" i="5"/>
  <c r="Z28035" i="5"/>
  <c r="Z28034" i="5"/>
  <c r="Z28033" i="5"/>
  <c r="Z28032" i="5"/>
  <c r="Z28031" i="5"/>
  <c r="Z28030" i="5"/>
  <c r="Z28029" i="5"/>
  <c r="Z28028" i="5"/>
  <c r="Z28027" i="5"/>
  <c r="Z28026" i="5"/>
  <c r="Z28025" i="5"/>
  <c r="Z28024" i="5"/>
  <c r="Z28023" i="5"/>
  <c r="Z28022" i="5"/>
  <c r="Z28021" i="5"/>
  <c r="Z28020" i="5"/>
  <c r="Z28019" i="5"/>
  <c r="Z28018" i="5"/>
  <c r="Z28017" i="5"/>
  <c r="Z28016" i="5"/>
  <c r="Z28015" i="5"/>
  <c r="Z28014" i="5"/>
  <c r="Z28013" i="5"/>
  <c r="Z28012" i="5"/>
  <c r="Z28011" i="5"/>
  <c r="Z28010" i="5"/>
  <c r="Z28009" i="5"/>
  <c r="Z28008" i="5"/>
  <c r="Z28007" i="5"/>
  <c r="Z28006" i="5"/>
  <c r="Z28005" i="5"/>
  <c r="Z28004" i="5"/>
  <c r="Z28003" i="5"/>
  <c r="Z28002" i="5"/>
  <c r="Z28001" i="5"/>
  <c r="Z28000" i="5"/>
  <c r="Z27999" i="5"/>
  <c r="Z27998" i="5"/>
  <c r="Z27997" i="5"/>
  <c r="Z27996" i="5"/>
  <c r="Z27995" i="5"/>
  <c r="Z27994" i="5"/>
  <c r="Z27993" i="5"/>
  <c r="Z27992" i="5"/>
  <c r="Z27991" i="5"/>
  <c r="Z27990" i="5"/>
  <c r="Z27989" i="5"/>
  <c r="Z27988" i="5"/>
  <c r="Z27987" i="5"/>
  <c r="Z27986" i="5"/>
  <c r="Z27985" i="5"/>
  <c r="Z27984" i="5"/>
  <c r="Z27983" i="5"/>
  <c r="Z27982" i="5"/>
  <c r="Z27981" i="5"/>
  <c r="Z27980" i="5"/>
  <c r="Z27979" i="5"/>
  <c r="Z27978" i="5"/>
  <c r="Z27977" i="5"/>
  <c r="Z27976" i="5"/>
  <c r="Z27975" i="5"/>
  <c r="Z27974" i="5"/>
  <c r="Z27973" i="5"/>
  <c r="Z27972" i="5"/>
  <c r="Z27971" i="5"/>
  <c r="Z27970" i="5"/>
  <c r="Z27969" i="5"/>
  <c r="Z27968" i="5"/>
  <c r="Z27967" i="5"/>
  <c r="Z27966" i="5"/>
  <c r="Z27965" i="5"/>
  <c r="Z27964" i="5"/>
  <c r="Z27963" i="5"/>
  <c r="Z27962" i="5"/>
  <c r="Z27961" i="5"/>
  <c r="Z27960" i="5"/>
  <c r="Z27959" i="5"/>
  <c r="Z27958" i="5"/>
  <c r="Z27957" i="5"/>
  <c r="Z27956" i="5"/>
  <c r="Z27955" i="5"/>
  <c r="Z27954" i="5"/>
  <c r="Z27953" i="5"/>
  <c r="Z27952" i="5"/>
  <c r="Z27951" i="5"/>
  <c r="Z27950" i="5"/>
  <c r="Z27949" i="5"/>
  <c r="Z27948" i="5"/>
  <c r="Z27947" i="5"/>
  <c r="Z27946" i="5"/>
  <c r="Z27945" i="5"/>
  <c r="Z27944" i="5"/>
  <c r="Z27943" i="5"/>
  <c r="Z27942" i="5"/>
  <c r="Z27941" i="5"/>
  <c r="Z27940" i="5"/>
  <c r="Z27939" i="5"/>
  <c r="Z27938" i="5"/>
  <c r="Z27937" i="5"/>
  <c r="Z27936" i="5"/>
  <c r="Z27935" i="5"/>
  <c r="Z27934" i="5"/>
  <c r="Z27933" i="5"/>
  <c r="Z27932" i="5"/>
  <c r="Z27931" i="5"/>
  <c r="Z27930" i="5"/>
  <c r="Z27929" i="5"/>
  <c r="Z27928" i="5"/>
  <c r="Z27927" i="5"/>
  <c r="Z27926" i="5"/>
  <c r="Z27925" i="5"/>
  <c r="Z27924" i="5"/>
  <c r="Z27923" i="5"/>
  <c r="Z27922" i="5"/>
  <c r="Z27921" i="5"/>
  <c r="Z27920" i="5"/>
  <c r="Z27919" i="5"/>
  <c r="Z27918" i="5"/>
  <c r="Z27917" i="5"/>
  <c r="Z27916" i="5"/>
  <c r="Z27915" i="5"/>
  <c r="Z27914" i="5"/>
  <c r="Z27913" i="5"/>
  <c r="Z27912" i="5"/>
  <c r="Z27911" i="5"/>
  <c r="Z27910" i="5"/>
  <c r="Z27909" i="5"/>
  <c r="Z27908" i="5"/>
  <c r="Z27907" i="5"/>
  <c r="Z27906" i="5"/>
  <c r="Z27905" i="5"/>
  <c r="Z27904" i="5"/>
  <c r="Z27903" i="5"/>
  <c r="Z27902" i="5"/>
  <c r="Z27901" i="5"/>
  <c r="Z27900" i="5"/>
  <c r="Z27899" i="5"/>
  <c r="Z27898" i="5"/>
  <c r="Z27897" i="5"/>
  <c r="Z27896" i="5"/>
  <c r="Z27895" i="5"/>
  <c r="Z27894" i="5"/>
  <c r="Z27893" i="5"/>
  <c r="Z27892" i="5"/>
  <c r="Z27891" i="5"/>
  <c r="Z27890" i="5"/>
  <c r="Z27889" i="5"/>
  <c r="Z27888" i="5"/>
  <c r="Z27887" i="5"/>
  <c r="Z27886" i="5"/>
  <c r="Z27885" i="5"/>
  <c r="Z27884" i="5"/>
  <c r="Z27883" i="5"/>
  <c r="Z27882" i="5"/>
  <c r="Z27881" i="5"/>
  <c r="Z27880" i="5"/>
  <c r="Z27879" i="5"/>
  <c r="Z27878" i="5"/>
  <c r="Z27877" i="5"/>
  <c r="Z27876" i="5"/>
  <c r="Z27875" i="5"/>
  <c r="Z27874" i="5"/>
  <c r="Z27873" i="5"/>
  <c r="Z27872" i="5"/>
  <c r="Z27871" i="5"/>
  <c r="Z27870" i="5"/>
  <c r="Z27869" i="5"/>
  <c r="Z27868" i="5"/>
  <c r="Z27867" i="5"/>
  <c r="Z27866" i="5"/>
  <c r="Z27865" i="5"/>
  <c r="Z27864" i="5"/>
  <c r="Z27863" i="5"/>
  <c r="Z27862" i="5"/>
  <c r="Z27861" i="5"/>
  <c r="Z27860" i="5"/>
  <c r="Z27859" i="5"/>
  <c r="Z27858" i="5"/>
  <c r="Z27857" i="5"/>
  <c r="Z27856" i="5"/>
  <c r="Z27855" i="5"/>
  <c r="Z27854" i="5"/>
  <c r="Z27853" i="5"/>
  <c r="Z27852" i="5"/>
  <c r="Z27851" i="5"/>
  <c r="Z27850" i="5"/>
  <c r="Z27849" i="5"/>
  <c r="Z27848" i="5"/>
  <c r="Z27847" i="5"/>
  <c r="Z27846" i="5"/>
  <c r="Z27845" i="5"/>
  <c r="Z27844" i="5"/>
  <c r="Z27843" i="5"/>
  <c r="Z27842" i="5"/>
  <c r="Z27841" i="5"/>
  <c r="Z27840" i="5"/>
  <c r="Z27839" i="5"/>
  <c r="Z27838" i="5"/>
  <c r="Z27837" i="5"/>
  <c r="Z27836" i="5"/>
  <c r="Z27835" i="5"/>
  <c r="Z27834" i="5"/>
  <c r="Z27833" i="5"/>
  <c r="Z27832" i="5"/>
  <c r="Z27831" i="5"/>
  <c r="Z27830" i="5"/>
  <c r="Z27829" i="5"/>
  <c r="Z27828" i="5"/>
  <c r="Z27827" i="5"/>
  <c r="Z27826" i="5"/>
  <c r="Z27825" i="5"/>
  <c r="Z27824" i="5"/>
  <c r="Z27823" i="5"/>
  <c r="Z27822" i="5"/>
  <c r="Z27821" i="5"/>
  <c r="Z27820" i="5"/>
  <c r="Z27819" i="5"/>
  <c r="Z27818" i="5"/>
  <c r="Z27817" i="5"/>
  <c r="Z27816" i="5"/>
  <c r="Z27815" i="5"/>
  <c r="Z27814" i="5"/>
  <c r="Z27813" i="5"/>
  <c r="Z27812" i="5"/>
  <c r="Z27811" i="5"/>
  <c r="Z27810" i="5"/>
  <c r="Z27809" i="5"/>
  <c r="Z27808" i="5"/>
  <c r="Z27807" i="5"/>
  <c r="Z27806" i="5"/>
  <c r="Z27805" i="5"/>
  <c r="Z27804" i="5"/>
  <c r="Z27803" i="5"/>
  <c r="Z27802" i="5"/>
  <c r="Z27801" i="5"/>
  <c r="Z27800" i="5"/>
  <c r="Z27799" i="5"/>
  <c r="Z27798" i="5"/>
  <c r="Z27797" i="5"/>
  <c r="Z27796" i="5"/>
  <c r="Z27795" i="5"/>
  <c r="Z27794" i="5"/>
  <c r="Z27793" i="5"/>
  <c r="Z27792" i="5"/>
  <c r="Z27791" i="5"/>
  <c r="Z27790" i="5"/>
  <c r="Z27789" i="5"/>
  <c r="Z27788" i="5"/>
  <c r="Z27787" i="5"/>
  <c r="Z27786" i="5"/>
  <c r="Z27785" i="5"/>
  <c r="Z27784" i="5"/>
  <c r="Z27783" i="5"/>
  <c r="Z27782" i="5"/>
  <c r="Z27781" i="5"/>
  <c r="Z27780" i="5"/>
  <c r="Z27779" i="5"/>
  <c r="Z27778" i="5"/>
  <c r="Z27777" i="5"/>
  <c r="Z27776" i="5"/>
  <c r="Z27775" i="5"/>
  <c r="Z27774" i="5"/>
  <c r="Z27773" i="5"/>
  <c r="Z27772" i="5"/>
  <c r="Z27771" i="5"/>
  <c r="Z27770" i="5"/>
  <c r="Z27769" i="5"/>
  <c r="Z27768" i="5"/>
  <c r="Z27767" i="5"/>
  <c r="Z27766" i="5"/>
  <c r="Z27765" i="5"/>
  <c r="Z27764" i="5"/>
  <c r="Z27763" i="5"/>
  <c r="Z27762" i="5"/>
  <c r="Z27761" i="5"/>
  <c r="Z27760" i="5"/>
  <c r="Z27759" i="5"/>
  <c r="Z27758" i="5"/>
  <c r="Z27757" i="5"/>
  <c r="Z27756" i="5"/>
  <c r="Z27755" i="5"/>
  <c r="Z27754" i="5"/>
  <c r="Z27753" i="5"/>
  <c r="Z27752" i="5"/>
  <c r="Z27751" i="5"/>
  <c r="Z27750" i="5"/>
  <c r="Z27749" i="5"/>
  <c r="Z27748" i="5"/>
  <c r="Z27747" i="5"/>
  <c r="Z27746" i="5"/>
  <c r="Z27745" i="5"/>
  <c r="Z27744" i="5"/>
  <c r="Z27743" i="5"/>
  <c r="Z27742" i="5"/>
  <c r="Z27741" i="5"/>
  <c r="Z27740" i="5"/>
  <c r="Z27739" i="5"/>
  <c r="Z27738" i="5"/>
  <c r="Z27737" i="5"/>
  <c r="Z27736" i="5"/>
  <c r="Z27735" i="5"/>
  <c r="Z27734" i="5"/>
  <c r="Z27733" i="5"/>
  <c r="Z27732" i="5"/>
  <c r="Z27731" i="5"/>
  <c r="Z27730" i="5"/>
  <c r="Z27729" i="5"/>
  <c r="Z27728" i="5"/>
  <c r="Z27727" i="5"/>
  <c r="Z27726" i="5"/>
  <c r="Z27725" i="5"/>
  <c r="Z27724" i="5"/>
  <c r="Z27723" i="5"/>
  <c r="Z27722" i="5"/>
  <c r="Z27721" i="5"/>
  <c r="Z27720" i="5"/>
  <c r="Z27719" i="5"/>
  <c r="Z27718" i="5"/>
  <c r="Z27717" i="5"/>
  <c r="Z27716" i="5"/>
  <c r="Z27715" i="5"/>
  <c r="Z27714" i="5"/>
  <c r="Z27713" i="5"/>
  <c r="Z27712" i="5"/>
  <c r="Z27711" i="5"/>
  <c r="Z27710" i="5"/>
  <c r="Z27709" i="5"/>
  <c r="Z27708" i="5"/>
  <c r="Z27707" i="5"/>
  <c r="Z27706" i="5"/>
  <c r="Z27705" i="5"/>
  <c r="Z27704" i="5"/>
  <c r="Z27703" i="5"/>
  <c r="Z27702" i="5"/>
  <c r="Z27701" i="5"/>
  <c r="Z27700" i="5"/>
  <c r="Z27699" i="5"/>
  <c r="Z27698" i="5"/>
  <c r="Z27697" i="5"/>
  <c r="Z27696" i="5"/>
  <c r="Z27695" i="5"/>
  <c r="Z27694" i="5"/>
  <c r="Z27693" i="5"/>
  <c r="Z27692" i="5"/>
  <c r="Z27691" i="5"/>
  <c r="Z27690" i="5"/>
  <c r="Z27689" i="5"/>
  <c r="Z27688" i="5"/>
  <c r="Z27687" i="5"/>
  <c r="Z27686" i="5"/>
  <c r="Z27685" i="5"/>
  <c r="Z27684" i="5"/>
  <c r="Z27683" i="5"/>
  <c r="Z27682" i="5"/>
  <c r="Z27681" i="5"/>
  <c r="Z27680" i="5"/>
  <c r="Z27679" i="5"/>
  <c r="Z27678" i="5"/>
  <c r="Z27677" i="5"/>
  <c r="Z27676" i="5"/>
  <c r="Z27675" i="5"/>
  <c r="Z27674" i="5"/>
  <c r="Z27673" i="5"/>
  <c r="Z27672" i="5"/>
  <c r="Z27671" i="5"/>
  <c r="Z27670" i="5"/>
  <c r="Z27669" i="5"/>
  <c r="Z27668" i="5"/>
  <c r="Z27667" i="5"/>
  <c r="Z27666" i="5"/>
  <c r="Z27665" i="5"/>
  <c r="Z27664" i="5"/>
  <c r="Z27663" i="5"/>
  <c r="Z27662" i="5"/>
  <c r="Z27661" i="5"/>
  <c r="Z27660" i="5"/>
  <c r="Z27659" i="5"/>
  <c r="Z27658" i="5"/>
  <c r="Z27657" i="5"/>
  <c r="Z27656" i="5"/>
  <c r="Z27655" i="5"/>
  <c r="Z27654" i="5"/>
  <c r="Z27653" i="5"/>
  <c r="Z27652" i="5"/>
  <c r="Z27651" i="5"/>
  <c r="Z27650" i="5"/>
  <c r="Z27649" i="5"/>
  <c r="Z27648" i="5"/>
  <c r="Z27647" i="5"/>
  <c r="Z27646" i="5"/>
  <c r="Z27645" i="5"/>
  <c r="Z27644" i="5"/>
  <c r="Z27643" i="5"/>
  <c r="Z27642" i="5"/>
  <c r="Z27641" i="5"/>
  <c r="Z27640" i="5"/>
  <c r="Z27639" i="5"/>
  <c r="Z27638" i="5"/>
  <c r="Z27637" i="5"/>
  <c r="Z27636" i="5"/>
  <c r="Z27635" i="5"/>
  <c r="Z27634" i="5"/>
  <c r="Z27633" i="5"/>
  <c r="Z27632" i="5"/>
  <c r="Z27631" i="5"/>
  <c r="Z27630" i="5"/>
  <c r="Z27629" i="5"/>
  <c r="Z27628" i="5"/>
  <c r="Z27627" i="5"/>
  <c r="Z27626" i="5"/>
  <c r="Z27625" i="5"/>
  <c r="Z27624" i="5"/>
  <c r="Z27623" i="5"/>
  <c r="Z27622" i="5"/>
  <c r="Z27621" i="5"/>
  <c r="Z27620" i="5"/>
  <c r="Z27619" i="5"/>
  <c r="Z27618" i="5"/>
  <c r="Z27617" i="5"/>
  <c r="Z27616" i="5"/>
  <c r="Z27615" i="5"/>
  <c r="Z27614" i="5"/>
  <c r="Z27613" i="5"/>
  <c r="Z27612" i="5"/>
  <c r="Z27611" i="5"/>
  <c r="Z27610" i="5"/>
  <c r="Z27609" i="5"/>
  <c r="Z27608" i="5"/>
  <c r="Z27607" i="5"/>
  <c r="Z27606" i="5"/>
  <c r="Z27605" i="5"/>
  <c r="Z27604" i="5"/>
  <c r="Z27603" i="5"/>
  <c r="Z27602" i="5"/>
  <c r="Z27601" i="5"/>
  <c r="Z27600" i="5"/>
  <c r="Z27599" i="5"/>
  <c r="Z27598" i="5"/>
  <c r="Z27597" i="5"/>
  <c r="Z27596" i="5"/>
  <c r="Z27595" i="5"/>
  <c r="Z27594" i="5"/>
  <c r="Z27593" i="5"/>
  <c r="Z27592" i="5"/>
  <c r="Z27591" i="5"/>
  <c r="Z27590" i="5"/>
  <c r="Z27589" i="5"/>
  <c r="Z27588" i="5"/>
  <c r="Z27587" i="5"/>
  <c r="Z27586" i="5"/>
  <c r="Z27585" i="5"/>
  <c r="Z27584" i="5"/>
  <c r="Z27583" i="5"/>
  <c r="Z27582" i="5"/>
  <c r="Z27581" i="5"/>
  <c r="Z27580" i="5"/>
  <c r="Z27579" i="5"/>
  <c r="Z27578" i="5"/>
  <c r="Z27577" i="5"/>
  <c r="Z27576" i="5"/>
  <c r="Z27575" i="5"/>
  <c r="Z27574" i="5"/>
  <c r="Z27573" i="5"/>
  <c r="Z27572" i="5"/>
  <c r="Z27571" i="5"/>
  <c r="Z27570" i="5"/>
  <c r="Z27569" i="5"/>
  <c r="Z27568" i="5"/>
  <c r="Z27567" i="5"/>
  <c r="Z27566" i="5"/>
  <c r="Z27565" i="5"/>
  <c r="Z27564" i="5"/>
  <c r="Z27563" i="5"/>
  <c r="Z27562" i="5"/>
  <c r="Z27561" i="5"/>
  <c r="Z27560" i="5"/>
  <c r="Z27559" i="5"/>
  <c r="Z27558" i="5"/>
  <c r="Z27557" i="5"/>
  <c r="Z27556" i="5"/>
  <c r="Z27555" i="5"/>
  <c r="Z27554" i="5"/>
  <c r="Z27553" i="5"/>
  <c r="Z27552" i="5"/>
  <c r="Z27551" i="5"/>
  <c r="Z27550" i="5"/>
  <c r="Z27549" i="5"/>
  <c r="Z27548" i="5"/>
  <c r="Z27547" i="5"/>
  <c r="Z27546" i="5"/>
  <c r="Z27545" i="5"/>
  <c r="Z27544" i="5"/>
  <c r="Z27543" i="5"/>
  <c r="Z27542" i="5"/>
  <c r="Z27541" i="5"/>
  <c r="Z27540" i="5"/>
  <c r="Z27539" i="5"/>
  <c r="Z27538" i="5"/>
  <c r="Z27537" i="5"/>
  <c r="Z27536" i="5"/>
  <c r="Z27535" i="5"/>
  <c r="Z27534" i="5"/>
  <c r="Z27533" i="5"/>
  <c r="Z27532" i="5"/>
  <c r="Z27531" i="5"/>
  <c r="Z27530" i="5"/>
  <c r="Z27529" i="5"/>
  <c r="Z27528" i="5"/>
  <c r="Z27527" i="5"/>
  <c r="Z27526" i="5"/>
  <c r="Z27525" i="5"/>
  <c r="Z27524" i="5"/>
  <c r="Z27523" i="5"/>
  <c r="Z27522" i="5"/>
  <c r="Z27521" i="5"/>
  <c r="Z27520" i="5"/>
  <c r="Z27519" i="5"/>
  <c r="Z27518" i="5"/>
  <c r="Z27517" i="5"/>
  <c r="Z27516" i="5"/>
  <c r="Z27515" i="5"/>
  <c r="Z27514" i="5"/>
  <c r="Z27513" i="5"/>
  <c r="Z27512" i="5"/>
  <c r="Z27511" i="5"/>
  <c r="Z27510" i="5"/>
  <c r="Z27509" i="5"/>
  <c r="Z27508" i="5"/>
  <c r="Z27507" i="5"/>
  <c r="Z27506" i="5"/>
  <c r="Z27505" i="5"/>
  <c r="Z27504" i="5"/>
  <c r="Z27503" i="5"/>
  <c r="Z27502" i="5"/>
  <c r="Z27501" i="5"/>
  <c r="Z27500" i="5"/>
  <c r="Z27499" i="5"/>
  <c r="Z27498" i="5"/>
  <c r="Z27497" i="5"/>
  <c r="Z27496" i="5"/>
  <c r="Z27495" i="5"/>
  <c r="Z27494" i="5"/>
  <c r="Z27493" i="5"/>
  <c r="Z27492" i="5"/>
  <c r="Z27491" i="5"/>
  <c r="Z27490" i="5"/>
  <c r="Z27489" i="5"/>
  <c r="Z27488" i="5"/>
  <c r="Z27487" i="5"/>
  <c r="Z27486" i="5"/>
  <c r="Z27485" i="5"/>
  <c r="Z27484" i="5"/>
  <c r="Z27483" i="5"/>
  <c r="Z27482" i="5"/>
  <c r="Z27481" i="5"/>
  <c r="Z27480" i="5"/>
  <c r="Z27479" i="5"/>
  <c r="Z27478" i="5"/>
  <c r="Z27477" i="5"/>
  <c r="Z27476" i="5"/>
  <c r="Z27475" i="5"/>
  <c r="Z27474" i="5"/>
  <c r="Z27473" i="5"/>
  <c r="Z27472" i="5"/>
  <c r="Z27471" i="5"/>
  <c r="Z27470" i="5"/>
  <c r="Z27469" i="5"/>
  <c r="Z27468" i="5"/>
  <c r="Z27467" i="5"/>
  <c r="Z27466" i="5"/>
  <c r="Z27465" i="5"/>
  <c r="Z27464" i="5"/>
  <c r="Z27463" i="5"/>
  <c r="Z27462" i="5"/>
  <c r="Z27461" i="5"/>
  <c r="Z27460" i="5"/>
  <c r="Z27459" i="5"/>
  <c r="Z27458" i="5"/>
  <c r="Z27457" i="5"/>
  <c r="Z27456" i="5"/>
  <c r="Z27455" i="5"/>
  <c r="Z27454" i="5"/>
  <c r="Z27453" i="5"/>
  <c r="Z27452" i="5"/>
  <c r="Z27451" i="5"/>
  <c r="Z27450" i="5"/>
  <c r="Z27449" i="5"/>
  <c r="Z27448" i="5"/>
  <c r="Z27447" i="5"/>
  <c r="Z27446" i="5"/>
  <c r="Z27445" i="5"/>
  <c r="Z27444" i="5"/>
  <c r="Z27443" i="5"/>
  <c r="Z27442" i="5"/>
  <c r="Z27441" i="5"/>
  <c r="Z27440" i="5"/>
  <c r="Z27439" i="5"/>
  <c r="Z27438" i="5"/>
  <c r="Z27437" i="5"/>
  <c r="Z27436" i="5"/>
  <c r="Z27435" i="5"/>
  <c r="Z27434" i="5"/>
  <c r="Z27433" i="5"/>
  <c r="Z27432" i="5"/>
  <c r="Z27431" i="5"/>
  <c r="Z27430" i="5"/>
  <c r="Z27429" i="5"/>
  <c r="Z27428" i="5"/>
  <c r="Z27427" i="5"/>
  <c r="Z27426" i="5"/>
  <c r="Z27425" i="5"/>
  <c r="Z27424" i="5"/>
  <c r="Z27423" i="5"/>
  <c r="Z27422" i="5"/>
  <c r="Z27421" i="5"/>
  <c r="Z27420" i="5"/>
  <c r="Z27419" i="5"/>
  <c r="Z27418" i="5"/>
  <c r="Z27417" i="5"/>
  <c r="Z27416" i="5"/>
  <c r="Z27415" i="5"/>
  <c r="Z27414" i="5"/>
  <c r="Z27413" i="5"/>
  <c r="Z27412" i="5"/>
  <c r="Z27411" i="5"/>
  <c r="Z27410" i="5"/>
  <c r="Z27409" i="5"/>
  <c r="Z27408" i="5"/>
  <c r="Z27407" i="5"/>
  <c r="Z27406" i="5"/>
  <c r="Z27405" i="5"/>
  <c r="Z27404" i="5"/>
  <c r="Z27403" i="5"/>
  <c r="Z27402" i="5"/>
  <c r="Z27401" i="5"/>
  <c r="Z27400" i="5"/>
  <c r="Z27399" i="5"/>
  <c r="Z27398" i="5"/>
  <c r="Z27397" i="5"/>
  <c r="Z27396" i="5"/>
  <c r="Z27395" i="5"/>
  <c r="Z27394" i="5"/>
  <c r="Z27393" i="5"/>
  <c r="Z27392" i="5"/>
  <c r="Z27391" i="5"/>
  <c r="Z27390" i="5"/>
  <c r="Z27389" i="5"/>
  <c r="Z27388" i="5"/>
  <c r="Z27387" i="5"/>
  <c r="Z27386" i="5"/>
  <c r="Z27385" i="5"/>
  <c r="Z27384" i="5"/>
  <c r="Z27383" i="5"/>
  <c r="Z27382" i="5"/>
  <c r="Z27381" i="5"/>
  <c r="Z27380" i="5"/>
  <c r="Z27379" i="5"/>
  <c r="Z27378" i="5"/>
  <c r="Z27377" i="5"/>
  <c r="Z27376" i="5"/>
  <c r="Z27375" i="5"/>
  <c r="Z27374" i="5"/>
  <c r="Z27373" i="5"/>
  <c r="Z27372" i="5"/>
  <c r="Z27371" i="5"/>
  <c r="Z27370" i="5"/>
  <c r="Z27369" i="5"/>
  <c r="Z27368" i="5"/>
  <c r="Z27367" i="5"/>
  <c r="Z27366" i="5"/>
  <c r="Z27365" i="5"/>
  <c r="Z27364" i="5"/>
  <c r="Z27363" i="5"/>
  <c r="Z27362" i="5"/>
  <c r="Z27361" i="5"/>
  <c r="Z27360" i="5"/>
  <c r="Z27359" i="5"/>
  <c r="Z27358" i="5"/>
  <c r="Z27357" i="5"/>
  <c r="Z27356" i="5"/>
  <c r="Z27355" i="5"/>
  <c r="Z27354" i="5"/>
  <c r="Z27353" i="5"/>
  <c r="Z27352" i="5"/>
  <c r="Z27351" i="5"/>
  <c r="Z27350" i="5"/>
  <c r="Z27349" i="5"/>
  <c r="Z27348" i="5"/>
  <c r="Z27347" i="5"/>
  <c r="Z27346" i="5"/>
  <c r="Z27345" i="5"/>
  <c r="Z27344" i="5"/>
  <c r="Z27343" i="5"/>
  <c r="Z27342" i="5"/>
  <c r="Z27341" i="5"/>
  <c r="Z27340" i="5"/>
  <c r="Z27339" i="5"/>
  <c r="Z27338" i="5"/>
  <c r="Z27337" i="5"/>
  <c r="Z27336" i="5"/>
  <c r="Z27335" i="5"/>
  <c r="Z27334" i="5"/>
  <c r="Z27333" i="5"/>
  <c r="Z27332" i="5"/>
  <c r="Z27331" i="5"/>
  <c r="Z27330" i="5"/>
  <c r="Z27329" i="5"/>
  <c r="Z27328" i="5"/>
  <c r="Z27327" i="5"/>
  <c r="Z27326" i="5"/>
  <c r="Z27325" i="5"/>
  <c r="Z27324" i="5"/>
  <c r="Z27323" i="5"/>
  <c r="Z27322" i="5"/>
  <c r="Z27321" i="5"/>
  <c r="Z27320" i="5"/>
  <c r="Z27319" i="5"/>
  <c r="Z27318" i="5"/>
  <c r="Z27317" i="5"/>
  <c r="Z27316" i="5"/>
  <c r="Z27315" i="5"/>
  <c r="Z27314" i="5"/>
  <c r="Z27313" i="5"/>
  <c r="Z27312" i="5"/>
  <c r="Z27311" i="5"/>
  <c r="Z27310" i="5"/>
  <c r="Z27309" i="5"/>
  <c r="Z27308" i="5"/>
  <c r="Z27307" i="5"/>
  <c r="Z27306" i="5"/>
  <c r="Z27305" i="5"/>
  <c r="Z27304" i="5"/>
  <c r="Z27303" i="5"/>
  <c r="Z27302" i="5"/>
  <c r="Z27301" i="5"/>
  <c r="Z27300" i="5"/>
  <c r="Z27299" i="5"/>
  <c r="Z27298" i="5"/>
  <c r="Z27297" i="5"/>
  <c r="Z27296" i="5"/>
  <c r="Z27295" i="5"/>
  <c r="Z27294" i="5"/>
  <c r="Z27293" i="5"/>
  <c r="Z27292" i="5"/>
  <c r="Z27291" i="5"/>
  <c r="Z27290" i="5"/>
  <c r="Z27289" i="5"/>
  <c r="Z27288" i="5"/>
  <c r="Z27287" i="5"/>
  <c r="Z27286" i="5"/>
  <c r="Z27285" i="5"/>
  <c r="Z27284" i="5"/>
  <c r="Z27283" i="5"/>
  <c r="Z27282" i="5"/>
  <c r="Z27281" i="5"/>
  <c r="Z27280" i="5"/>
  <c r="Z27279" i="5"/>
  <c r="Z27278" i="5"/>
  <c r="Z27277" i="5"/>
  <c r="Z27276" i="5"/>
  <c r="Z27275" i="5"/>
  <c r="Z27274" i="5"/>
  <c r="Z27273" i="5"/>
  <c r="Z27272" i="5"/>
  <c r="Z27271" i="5"/>
  <c r="Z27270" i="5"/>
  <c r="Z27269" i="5"/>
  <c r="Z27268" i="5"/>
  <c r="Z27267" i="5"/>
  <c r="Z27266" i="5"/>
  <c r="Z27265" i="5"/>
  <c r="Z27264" i="5"/>
  <c r="Z27263" i="5"/>
  <c r="Z27262" i="5"/>
  <c r="Z27261" i="5"/>
  <c r="Z27260" i="5"/>
  <c r="Z27259" i="5"/>
  <c r="Z27258" i="5"/>
  <c r="Z27257" i="5"/>
  <c r="Z27256" i="5"/>
  <c r="Z27255" i="5"/>
  <c r="Z27254" i="5"/>
  <c r="Z27253" i="5"/>
  <c r="Z27252" i="5"/>
  <c r="Z27251" i="5"/>
  <c r="Z27250" i="5"/>
  <c r="Z27249" i="5"/>
  <c r="Z27248" i="5"/>
  <c r="Z27247" i="5"/>
  <c r="Z27246" i="5"/>
  <c r="Z27245" i="5"/>
  <c r="Z27244" i="5"/>
  <c r="Z27243" i="5"/>
  <c r="Z27242" i="5"/>
  <c r="Z27241" i="5"/>
  <c r="Z27240" i="5"/>
  <c r="Z27239" i="5"/>
  <c r="Z27238" i="5"/>
  <c r="Z27237" i="5"/>
  <c r="Z27236" i="5"/>
  <c r="Z27235" i="5"/>
  <c r="Z27234" i="5"/>
  <c r="Z27233" i="5"/>
  <c r="Z27232" i="5"/>
  <c r="Z27231" i="5"/>
  <c r="Z27230" i="5"/>
  <c r="Z27229" i="5"/>
  <c r="Z27228" i="5"/>
  <c r="Z27227" i="5"/>
  <c r="Z27226" i="5"/>
  <c r="Z27225" i="5"/>
  <c r="Z27224" i="5"/>
  <c r="Z27223" i="5"/>
  <c r="Z27222" i="5"/>
  <c r="Z27221" i="5"/>
  <c r="Z27220" i="5"/>
  <c r="Z27219" i="5"/>
  <c r="Z27218" i="5"/>
  <c r="Z27217" i="5"/>
  <c r="Z27216" i="5"/>
  <c r="Z27215" i="5"/>
  <c r="Z27214" i="5"/>
  <c r="Z27213" i="5"/>
  <c r="Z27212" i="5"/>
  <c r="Z27211" i="5"/>
  <c r="Z27210" i="5"/>
  <c r="Z27209" i="5"/>
  <c r="Z27208" i="5"/>
  <c r="Z27207" i="5"/>
  <c r="Z27206" i="5"/>
  <c r="Z27205" i="5"/>
  <c r="Z27204" i="5"/>
  <c r="Z27203" i="5"/>
  <c r="Z27202" i="5"/>
  <c r="Z27201" i="5"/>
  <c r="Z27200" i="5"/>
  <c r="Z27199" i="5"/>
  <c r="Z27198" i="5"/>
  <c r="Z27197" i="5"/>
  <c r="Z27196" i="5"/>
  <c r="Z27195" i="5"/>
  <c r="Z27194" i="5"/>
  <c r="Z27193" i="5"/>
  <c r="Z27192" i="5"/>
  <c r="Z27191" i="5"/>
  <c r="Z27190" i="5"/>
  <c r="Z27189" i="5"/>
  <c r="Z27188" i="5"/>
  <c r="Z27187" i="5"/>
  <c r="Z27186" i="5"/>
  <c r="Z27185" i="5"/>
  <c r="Z27184" i="5"/>
  <c r="Z27183" i="5"/>
  <c r="Z27182" i="5"/>
  <c r="Z27181" i="5"/>
  <c r="Z27180" i="5"/>
  <c r="Z27179" i="5"/>
  <c r="Z27178" i="5"/>
  <c r="Z27177" i="5"/>
  <c r="Z27176" i="5"/>
  <c r="Z27175" i="5"/>
  <c r="Z27174" i="5"/>
  <c r="Z27173" i="5"/>
  <c r="Z27172" i="5"/>
  <c r="Z27171" i="5"/>
  <c r="Z27170" i="5"/>
  <c r="Z27169" i="5"/>
  <c r="Z27168" i="5"/>
  <c r="Z27167" i="5"/>
  <c r="Z27166" i="5"/>
  <c r="Z27165" i="5"/>
  <c r="Z27164" i="5"/>
  <c r="Z27163" i="5"/>
  <c r="Z27162" i="5"/>
  <c r="Z27161" i="5"/>
  <c r="Z27160" i="5"/>
  <c r="Z27159" i="5"/>
  <c r="Z27158" i="5"/>
  <c r="Z27157" i="5"/>
  <c r="Z27156" i="5"/>
  <c r="Z27155" i="5"/>
  <c r="Z27154" i="5"/>
  <c r="Z27153" i="5"/>
  <c r="Z27152" i="5"/>
  <c r="Z27151" i="5"/>
  <c r="Z27150" i="5"/>
  <c r="Z27149" i="5"/>
  <c r="Z27148" i="5"/>
  <c r="Z27147" i="5"/>
  <c r="Z27146" i="5"/>
  <c r="Z27145" i="5"/>
  <c r="Z27144" i="5"/>
  <c r="Z27143" i="5"/>
  <c r="Z27142" i="5"/>
  <c r="Z27141" i="5"/>
  <c r="Z27140" i="5"/>
  <c r="Z27139" i="5"/>
  <c r="Z27138" i="5"/>
  <c r="Z27137" i="5"/>
  <c r="Z27136" i="5"/>
  <c r="Z27135" i="5"/>
  <c r="Z27134" i="5"/>
  <c r="Z27133" i="5"/>
  <c r="Z27132" i="5"/>
  <c r="Z27131" i="5"/>
  <c r="Z27130" i="5"/>
  <c r="Z27129" i="5"/>
  <c r="Z27128" i="5"/>
  <c r="Z27127" i="5"/>
  <c r="Z27126" i="5"/>
  <c r="Z27125" i="5"/>
  <c r="Z27124" i="5"/>
  <c r="Z27123" i="5"/>
  <c r="Z27122" i="5"/>
  <c r="Z27121" i="5"/>
  <c r="Z27120" i="5"/>
  <c r="Z27119" i="5"/>
  <c r="Z27118" i="5"/>
  <c r="Z27117" i="5"/>
  <c r="Z27116" i="5"/>
  <c r="Z27115" i="5"/>
  <c r="Z27114" i="5"/>
  <c r="Z27113" i="5"/>
  <c r="Z27112" i="5"/>
  <c r="Z27111" i="5"/>
  <c r="Z27110" i="5"/>
  <c r="Z27109" i="5"/>
  <c r="Z27108" i="5"/>
  <c r="Z27107" i="5"/>
  <c r="Z27106" i="5"/>
  <c r="Z27105" i="5"/>
  <c r="Z27104" i="5"/>
  <c r="Z27103" i="5"/>
  <c r="Z27102" i="5"/>
  <c r="Z27101" i="5"/>
  <c r="Z27100" i="5"/>
  <c r="Z27099" i="5"/>
  <c r="Z27098" i="5"/>
  <c r="Z27097" i="5"/>
  <c r="Z27096" i="5"/>
  <c r="Z27095" i="5"/>
  <c r="Z27094" i="5"/>
  <c r="Z27093" i="5"/>
  <c r="Z27092" i="5"/>
  <c r="Z27091" i="5"/>
  <c r="Z27090" i="5"/>
  <c r="Z27089" i="5"/>
  <c r="Z27088" i="5"/>
  <c r="Z27087" i="5"/>
  <c r="Z27086" i="5"/>
  <c r="Z27085" i="5"/>
  <c r="Z27084" i="5"/>
  <c r="Z27083" i="5"/>
  <c r="Z27082" i="5"/>
  <c r="Z27081" i="5"/>
  <c r="Z27080" i="5"/>
  <c r="Z27079" i="5"/>
  <c r="Z27078" i="5"/>
  <c r="Z27077" i="5"/>
  <c r="Z27076" i="5"/>
  <c r="Z27075" i="5"/>
  <c r="Z27074" i="5"/>
  <c r="Z27073" i="5"/>
  <c r="Z27072" i="5"/>
  <c r="Z27071" i="5"/>
  <c r="Z27070" i="5"/>
  <c r="Z27069" i="5"/>
  <c r="Z27068" i="5"/>
  <c r="Z27067" i="5"/>
  <c r="Z27066" i="5"/>
  <c r="Z27065" i="5"/>
  <c r="Z27064" i="5"/>
  <c r="Z27063" i="5"/>
  <c r="Z27062" i="5"/>
  <c r="Z27061" i="5"/>
  <c r="Z27060" i="5"/>
  <c r="Z27059" i="5"/>
  <c r="Z27058" i="5"/>
  <c r="Z27057" i="5"/>
  <c r="Z27056" i="5"/>
  <c r="Z27055" i="5"/>
  <c r="Z27054" i="5"/>
  <c r="Z27053" i="5"/>
  <c r="Z27052" i="5"/>
  <c r="Z27051" i="5"/>
  <c r="Z27050" i="5"/>
  <c r="Z27049" i="5"/>
  <c r="Z27048" i="5"/>
  <c r="Z27047" i="5"/>
  <c r="Z27046" i="5"/>
  <c r="Z27045" i="5"/>
  <c r="Z27044" i="5"/>
  <c r="Z27043" i="5"/>
  <c r="Z27042" i="5"/>
  <c r="Z27041" i="5"/>
  <c r="Z27040" i="5"/>
  <c r="Z27039" i="5"/>
  <c r="Z27038" i="5"/>
  <c r="Z27037" i="5"/>
  <c r="Z27036" i="5"/>
  <c r="Z27035" i="5"/>
  <c r="Z27034" i="5"/>
  <c r="Z27033" i="5"/>
  <c r="Z27032" i="5"/>
  <c r="Z27031" i="5"/>
  <c r="Z27030" i="5"/>
  <c r="Z27029" i="5"/>
  <c r="Z27028" i="5"/>
  <c r="Z27027" i="5"/>
  <c r="Z27026" i="5"/>
  <c r="Z27025" i="5"/>
  <c r="Z27024" i="5"/>
  <c r="Z27023" i="5"/>
  <c r="Z27022" i="5"/>
  <c r="Z27021" i="5"/>
  <c r="Z27020" i="5"/>
  <c r="Z27019" i="5"/>
  <c r="Z27018" i="5"/>
  <c r="Z27017" i="5"/>
  <c r="Z27016" i="5"/>
  <c r="Z27015" i="5"/>
  <c r="Z27014" i="5"/>
  <c r="Z27013" i="5"/>
  <c r="Z27012" i="5"/>
  <c r="Z27011" i="5"/>
  <c r="Z27010" i="5"/>
  <c r="Z27009" i="5"/>
  <c r="Z27008" i="5"/>
  <c r="Z27007" i="5"/>
  <c r="Z27006" i="5"/>
  <c r="Z27005" i="5"/>
  <c r="Z27004" i="5"/>
  <c r="Z27003" i="5"/>
  <c r="Z27002" i="5"/>
  <c r="Z27001" i="5"/>
  <c r="Z27000" i="5"/>
  <c r="Z26999" i="5"/>
  <c r="Z26998" i="5"/>
  <c r="Z26997" i="5"/>
  <c r="Z26996" i="5"/>
  <c r="Z26995" i="5"/>
  <c r="Z26994" i="5"/>
  <c r="Z26993" i="5"/>
  <c r="Z26992" i="5"/>
  <c r="Z26991" i="5"/>
  <c r="Z26990" i="5"/>
  <c r="Z26989" i="5"/>
  <c r="Z26988" i="5"/>
  <c r="Z26987" i="5"/>
  <c r="Z26986" i="5"/>
  <c r="Z26985" i="5"/>
  <c r="Z26984" i="5"/>
  <c r="Z26983" i="5"/>
  <c r="Z26982" i="5"/>
  <c r="Z26981" i="5"/>
  <c r="Z26980" i="5"/>
  <c r="Z26979" i="5"/>
  <c r="Z26978" i="5"/>
  <c r="Z26977" i="5"/>
  <c r="Z26976" i="5"/>
  <c r="Z26975" i="5"/>
  <c r="Z26974" i="5"/>
  <c r="Z26973" i="5"/>
  <c r="Z26972" i="5"/>
  <c r="Z26971" i="5"/>
  <c r="Z26970" i="5"/>
  <c r="Z26969" i="5"/>
  <c r="Z26968" i="5"/>
  <c r="Z26967" i="5"/>
  <c r="Z26966" i="5"/>
  <c r="Z26965" i="5"/>
  <c r="Z26964" i="5"/>
  <c r="Z26963" i="5"/>
  <c r="Z26962" i="5"/>
  <c r="Z26961" i="5"/>
  <c r="Z26960" i="5"/>
  <c r="Z26959" i="5"/>
  <c r="Z26958" i="5"/>
  <c r="Z26957" i="5"/>
  <c r="Z26956" i="5"/>
  <c r="Z26955" i="5"/>
  <c r="Z26954" i="5"/>
  <c r="Z26953" i="5"/>
  <c r="Z26952" i="5"/>
  <c r="Z26951" i="5"/>
  <c r="Z26950" i="5"/>
  <c r="Z26949" i="5"/>
  <c r="Z26948" i="5"/>
  <c r="Z26947" i="5"/>
  <c r="Z26946" i="5"/>
  <c r="Z26945" i="5"/>
  <c r="Z26944" i="5"/>
  <c r="Z26943" i="5"/>
  <c r="Z26942" i="5"/>
  <c r="Z26941" i="5"/>
  <c r="Z26940" i="5"/>
  <c r="Z26939" i="5"/>
  <c r="Z26938" i="5"/>
  <c r="Z26937" i="5"/>
  <c r="Z26936" i="5"/>
  <c r="Z26935" i="5"/>
  <c r="Z26934" i="5"/>
  <c r="Z26933" i="5"/>
  <c r="Z26932" i="5"/>
  <c r="Z26931" i="5"/>
  <c r="Z26930" i="5"/>
  <c r="Z26929" i="5"/>
  <c r="Z26928" i="5"/>
  <c r="Z26927" i="5"/>
  <c r="Z26926" i="5"/>
  <c r="Z26925" i="5"/>
  <c r="Z26924" i="5"/>
  <c r="Z26923" i="5"/>
  <c r="Z26922" i="5"/>
  <c r="Z26921" i="5"/>
  <c r="Z26920" i="5"/>
  <c r="Z26919" i="5"/>
  <c r="Z26918" i="5"/>
  <c r="Z26917" i="5"/>
  <c r="Z26916" i="5"/>
  <c r="Z26915" i="5"/>
  <c r="Z26914" i="5"/>
  <c r="Z26913" i="5"/>
  <c r="Z26912" i="5"/>
  <c r="Z26911" i="5"/>
  <c r="Z26910" i="5"/>
  <c r="Z26909" i="5"/>
  <c r="Z26908" i="5"/>
  <c r="Z26907" i="5"/>
  <c r="Z26906" i="5"/>
  <c r="Z26905" i="5"/>
  <c r="Z26904" i="5"/>
  <c r="Z26903" i="5"/>
  <c r="Z26902" i="5"/>
  <c r="Z26901" i="5"/>
  <c r="Z26900" i="5"/>
  <c r="Z26899" i="5"/>
  <c r="Z26898" i="5"/>
  <c r="Z26897" i="5"/>
  <c r="Z26896" i="5"/>
  <c r="Z26895" i="5"/>
  <c r="Z26894" i="5"/>
  <c r="Z26893" i="5"/>
  <c r="Z26892" i="5"/>
  <c r="Z26891" i="5"/>
  <c r="Z26890" i="5"/>
  <c r="Z26889" i="5"/>
  <c r="Z26888" i="5"/>
  <c r="Z26887" i="5"/>
  <c r="Z26886" i="5"/>
  <c r="Z26885" i="5"/>
  <c r="Z26884" i="5"/>
  <c r="Z26883" i="5"/>
  <c r="Z26882" i="5"/>
  <c r="Z26881" i="5"/>
  <c r="Z26880" i="5"/>
  <c r="Z26879" i="5"/>
  <c r="Z26878" i="5"/>
  <c r="Z26877" i="5"/>
  <c r="Z26876" i="5"/>
  <c r="Z26875" i="5"/>
  <c r="Z26874" i="5"/>
  <c r="Z26873" i="5"/>
  <c r="Z26872" i="5"/>
  <c r="Z26871" i="5"/>
  <c r="Z26870" i="5"/>
  <c r="Z26869" i="5"/>
  <c r="Z26868" i="5"/>
  <c r="Z26867" i="5"/>
  <c r="Z26866" i="5"/>
  <c r="Z26865" i="5"/>
  <c r="Z26864" i="5"/>
  <c r="Z26863" i="5"/>
  <c r="Z26862" i="5"/>
  <c r="Z26861" i="5"/>
  <c r="Z26860" i="5"/>
  <c r="Z26859" i="5"/>
  <c r="Z26858" i="5"/>
  <c r="Z26857" i="5"/>
  <c r="Z26856" i="5"/>
  <c r="Z26855" i="5"/>
  <c r="Z26854" i="5"/>
  <c r="Z26853" i="5"/>
  <c r="Z26852" i="5"/>
  <c r="Z26851" i="5"/>
  <c r="Z26850" i="5"/>
  <c r="Z26849" i="5"/>
  <c r="Z26848" i="5"/>
  <c r="Z26847" i="5"/>
  <c r="Z26846" i="5"/>
  <c r="Z26845" i="5"/>
  <c r="Z26844" i="5"/>
  <c r="Z26843" i="5"/>
  <c r="Z26842" i="5"/>
  <c r="Z26841" i="5"/>
  <c r="Z26840" i="5"/>
  <c r="Z26839" i="5"/>
  <c r="Z26838" i="5"/>
  <c r="Z26837" i="5"/>
  <c r="Z26836" i="5"/>
  <c r="Z26835" i="5"/>
  <c r="Z26834" i="5"/>
  <c r="Z26833" i="5"/>
  <c r="Z26832" i="5"/>
  <c r="Z26831" i="5"/>
  <c r="Z26830" i="5"/>
  <c r="Z26829" i="5"/>
  <c r="Z26828" i="5"/>
  <c r="Z26827" i="5"/>
  <c r="Z26826" i="5"/>
  <c r="Z26825" i="5"/>
  <c r="Z26824" i="5"/>
  <c r="Z26823" i="5"/>
  <c r="Z26822" i="5"/>
  <c r="Z26821" i="5"/>
  <c r="Z26820" i="5"/>
  <c r="Z26819" i="5"/>
  <c r="Z26818" i="5"/>
  <c r="Z26817" i="5"/>
  <c r="Z26816" i="5"/>
  <c r="Z26815" i="5"/>
  <c r="Z26814" i="5"/>
  <c r="Z26813" i="5"/>
  <c r="Z26812" i="5"/>
  <c r="Z26811" i="5"/>
  <c r="Z26810" i="5"/>
  <c r="Z26809" i="5"/>
  <c r="Z26808" i="5"/>
  <c r="Z26807" i="5"/>
  <c r="Z26806" i="5"/>
  <c r="Z26805" i="5"/>
  <c r="Z26804" i="5"/>
  <c r="Z26803" i="5"/>
  <c r="Z26802" i="5"/>
  <c r="Z26801" i="5"/>
  <c r="Z26800" i="5"/>
  <c r="Z26799" i="5"/>
  <c r="Z26798" i="5"/>
  <c r="Z26797" i="5"/>
  <c r="Z26796" i="5"/>
  <c r="Z26795" i="5"/>
  <c r="Z26794" i="5"/>
  <c r="Z26793" i="5"/>
  <c r="Z26792" i="5"/>
  <c r="Z26791" i="5"/>
  <c r="Z26790" i="5"/>
  <c r="Z26789" i="5"/>
  <c r="Z26788" i="5"/>
  <c r="Z26787" i="5"/>
  <c r="Z26786" i="5"/>
  <c r="Z26785" i="5"/>
  <c r="Z26784" i="5"/>
  <c r="Z26783" i="5"/>
  <c r="Z26782" i="5"/>
  <c r="Z26781" i="5"/>
  <c r="Z26780" i="5"/>
  <c r="Z26779" i="5"/>
  <c r="Z26778" i="5"/>
  <c r="Z26777" i="5"/>
  <c r="Z26776" i="5"/>
  <c r="Z26775" i="5"/>
  <c r="Z26774" i="5"/>
  <c r="Z26773" i="5"/>
  <c r="Z26772" i="5"/>
  <c r="Z26771" i="5"/>
  <c r="Z26770" i="5"/>
  <c r="Z26769" i="5"/>
  <c r="Z26768" i="5"/>
  <c r="Z26767" i="5"/>
  <c r="Z26766" i="5"/>
  <c r="Z26765" i="5"/>
  <c r="Z26764" i="5"/>
  <c r="Z26763" i="5"/>
  <c r="Z26762" i="5"/>
  <c r="Z26761" i="5"/>
  <c r="Z26760" i="5"/>
  <c r="Z26759" i="5"/>
  <c r="Z26758" i="5"/>
  <c r="Z26757" i="5"/>
  <c r="Z26756" i="5"/>
  <c r="Z26755" i="5"/>
  <c r="Z26754" i="5"/>
  <c r="Z26753" i="5"/>
  <c r="Z26752" i="5"/>
  <c r="Z26751" i="5"/>
  <c r="Z26750" i="5"/>
  <c r="Z26749" i="5"/>
  <c r="Z26748" i="5"/>
  <c r="Z26747" i="5"/>
  <c r="Z26746" i="5"/>
  <c r="Z26745" i="5"/>
  <c r="Z26744" i="5"/>
  <c r="Z26743" i="5"/>
  <c r="Z26742" i="5"/>
  <c r="Z26741" i="5"/>
  <c r="Z26740" i="5"/>
  <c r="Z26739" i="5"/>
  <c r="Z26738" i="5"/>
  <c r="Z26737" i="5"/>
  <c r="Z26736" i="5"/>
  <c r="Z26735" i="5"/>
  <c r="Z26734" i="5"/>
  <c r="Z26733" i="5"/>
  <c r="Z26732" i="5"/>
  <c r="Z26731" i="5"/>
  <c r="Z26730" i="5"/>
  <c r="Z26729" i="5"/>
  <c r="Z26728" i="5"/>
  <c r="Z26727" i="5"/>
  <c r="Z26726" i="5"/>
  <c r="Z26725" i="5"/>
  <c r="Z26724" i="5"/>
  <c r="Z26723" i="5"/>
  <c r="Z26722" i="5"/>
  <c r="Z26721" i="5"/>
  <c r="Z26720" i="5"/>
  <c r="Z26719" i="5"/>
  <c r="Z26718" i="5"/>
  <c r="Z26717" i="5"/>
  <c r="Z26716" i="5"/>
  <c r="Z26715" i="5"/>
  <c r="Z26714" i="5"/>
  <c r="Z26713" i="5"/>
  <c r="Z26712" i="5"/>
  <c r="Z26711" i="5"/>
  <c r="Z26710" i="5"/>
  <c r="Z26709" i="5"/>
  <c r="Z26708" i="5"/>
  <c r="Z26707" i="5"/>
  <c r="Z26706" i="5"/>
  <c r="Z26705" i="5"/>
  <c r="Z26704" i="5"/>
  <c r="Z26703" i="5"/>
  <c r="Z26702" i="5"/>
  <c r="Z26701" i="5"/>
  <c r="Z26700" i="5"/>
  <c r="Z26699" i="5"/>
  <c r="Z26698" i="5"/>
  <c r="Z26697" i="5"/>
  <c r="Z26696" i="5"/>
  <c r="Z26695" i="5"/>
  <c r="Z26694" i="5"/>
  <c r="Z26693" i="5"/>
  <c r="Z26692" i="5"/>
  <c r="Z26691" i="5"/>
  <c r="Z26690" i="5"/>
  <c r="Z26689" i="5"/>
  <c r="Z26688" i="5"/>
  <c r="Z26687" i="5"/>
  <c r="Z26686" i="5"/>
  <c r="Z26685" i="5"/>
  <c r="Z26684" i="5"/>
  <c r="Z26683" i="5"/>
  <c r="Z26682" i="5"/>
  <c r="Z26681" i="5"/>
  <c r="Z26680" i="5"/>
  <c r="Z26679" i="5"/>
  <c r="Z26678" i="5"/>
  <c r="Z26677" i="5"/>
  <c r="Z26676" i="5"/>
  <c r="Z26675" i="5"/>
  <c r="Z26674" i="5"/>
  <c r="Z26673" i="5"/>
  <c r="Z26672" i="5"/>
  <c r="Z26671" i="5"/>
  <c r="Z26670" i="5"/>
  <c r="Z26669" i="5"/>
  <c r="Z26668" i="5"/>
  <c r="Z26667" i="5"/>
  <c r="Z26666" i="5"/>
  <c r="Z26665" i="5"/>
  <c r="Z26664" i="5"/>
  <c r="Z26663" i="5"/>
  <c r="Z26662" i="5"/>
  <c r="Z26661" i="5"/>
  <c r="Z26660" i="5"/>
  <c r="Z26659" i="5"/>
  <c r="Z26658" i="5"/>
  <c r="Z26657" i="5"/>
  <c r="Z26656" i="5"/>
  <c r="Z26655" i="5"/>
  <c r="Z26654" i="5"/>
  <c r="Z26653" i="5"/>
  <c r="Z26652" i="5"/>
  <c r="Z26651" i="5"/>
  <c r="Z26650" i="5"/>
  <c r="Z26649" i="5"/>
  <c r="Z26648" i="5"/>
  <c r="Z26647" i="5"/>
  <c r="Z26646" i="5"/>
  <c r="Z26645" i="5"/>
  <c r="Z26644" i="5"/>
  <c r="Z26643" i="5"/>
  <c r="Z26642" i="5"/>
  <c r="Z26641" i="5"/>
  <c r="Z26640" i="5"/>
  <c r="Z26639" i="5"/>
  <c r="Z26638" i="5"/>
  <c r="Z26637" i="5"/>
  <c r="Z26636" i="5"/>
  <c r="Z26635" i="5"/>
  <c r="Z26634" i="5"/>
  <c r="Z26633" i="5"/>
  <c r="Z26632" i="5"/>
  <c r="Z26631" i="5"/>
  <c r="Z26630" i="5"/>
  <c r="Z26629" i="5"/>
  <c r="Z26628" i="5"/>
  <c r="Z26627" i="5"/>
  <c r="Z26626" i="5"/>
  <c r="Z26625" i="5"/>
  <c r="Z26624" i="5"/>
  <c r="Z26623" i="5"/>
  <c r="Z26622" i="5"/>
  <c r="Z26621" i="5"/>
  <c r="Z26620" i="5"/>
  <c r="Z26619" i="5"/>
  <c r="Z26618" i="5"/>
  <c r="Z26617" i="5"/>
  <c r="Z26616" i="5"/>
  <c r="Z26615" i="5"/>
  <c r="Z26614" i="5"/>
  <c r="Z26613" i="5"/>
  <c r="Z26612" i="5"/>
  <c r="Z26611" i="5"/>
  <c r="Z26610" i="5"/>
  <c r="Z26609" i="5"/>
  <c r="Z26608" i="5"/>
  <c r="Z26607" i="5"/>
  <c r="Z26606" i="5"/>
  <c r="Z26605" i="5"/>
  <c r="Z26604" i="5"/>
  <c r="Z26603" i="5"/>
  <c r="Z26602" i="5"/>
  <c r="Z26601" i="5"/>
  <c r="Z26600" i="5"/>
  <c r="Z26599" i="5"/>
  <c r="Z26598" i="5"/>
  <c r="Z26597" i="5"/>
  <c r="Z26596" i="5"/>
  <c r="Z26595" i="5"/>
  <c r="Z26594" i="5"/>
  <c r="Z26593" i="5"/>
  <c r="Z26592" i="5"/>
  <c r="Z26591" i="5"/>
  <c r="Z26590" i="5"/>
  <c r="Z26589" i="5"/>
  <c r="Z26588" i="5"/>
  <c r="Z26587" i="5"/>
  <c r="Z26586" i="5"/>
  <c r="Z26585" i="5"/>
  <c r="Z26584" i="5"/>
  <c r="Z26583" i="5"/>
  <c r="Z26582" i="5"/>
  <c r="Z26581" i="5"/>
  <c r="Z26580" i="5"/>
  <c r="Z26579" i="5"/>
  <c r="Z26578" i="5"/>
  <c r="Z26577" i="5"/>
  <c r="Z26576" i="5"/>
  <c r="Z26575" i="5"/>
  <c r="Z26574" i="5"/>
  <c r="Z26573" i="5"/>
  <c r="Z26572" i="5"/>
  <c r="Z26571" i="5"/>
  <c r="Z26570" i="5"/>
  <c r="Z26569" i="5"/>
  <c r="Z26568" i="5"/>
  <c r="Z26567" i="5"/>
  <c r="Z26566" i="5"/>
  <c r="Z26565" i="5"/>
  <c r="Z26564" i="5"/>
  <c r="Z26563" i="5"/>
  <c r="Z26562" i="5"/>
  <c r="Z26561" i="5"/>
  <c r="Z26560" i="5"/>
  <c r="Z26559" i="5"/>
  <c r="Z26558" i="5"/>
  <c r="Z26557" i="5"/>
  <c r="Z26556" i="5"/>
  <c r="Z26555" i="5"/>
  <c r="Z26554" i="5"/>
  <c r="Z26553" i="5"/>
  <c r="Z26552" i="5"/>
  <c r="Z26551" i="5"/>
  <c r="Z26550" i="5"/>
  <c r="Z26549" i="5"/>
  <c r="Z26548" i="5"/>
  <c r="Z26547" i="5"/>
  <c r="Z26546" i="5"/>
  <c r="Z26545" i="5"/>
  <c r="Z26544" i="5"/>
  <c r="Z26543" i="5"/>
  <c r="Z26542" i="5"/>
  <c r="Z26541" i="5"/>
  <c r="Z26540" i="5"/>
  <c r="Z26539" i="5"/>
  <c r="Z26538" i="5"/>
  <c r="Z26537" i="5"/>
  <c r="Z26536" i="5"/>
  <c r="Z26535" i="5"/>
  <c r="Z26534" i="5"/>
  <c r="Z26533" i="5"/>
  <c r="Z26532" i="5"/>
  <c r="Z26531" i="5"/>
  <c r="Z26530" i="5"/>
  <c r="Z26529" i="5"/>
  <c r="Z26528" i="5"/>
  <c r="Z26527" i="5"/>
  <c r="Z26526" i="5"/>
  <c r="Z26525" i="5"/>
  <c r="Z26524" i="5"/>
  <c r="Z26523" i="5"/>
  <c r="Z26522" i="5"/>
  <c r="Z26521" i="5"/>
  <c r="Z26520" i="5"/>
  <c r="Z26519" i="5"/>
  <c r="Z26518" i="5"/>
  <c r="Z26517" i="5"/>
  <c r="Z26516" i="5"/>
  <c r="Z26515" i="5"/>
  <c r="Z26514" i="5"/>
  <c r="Z26513" i="5"/>
  <c r="Z26512" i="5"/>
  <c r="Z26511" i="5"/>
  <c r="Z26510" i="5"/>
  <c r="Z26509" i="5"/>
  <c r="Z26508" i="5"/>
  <c r="Z26507" i="5"/>
  <c r="Z26506" i="5"/>
  <c r="Z26505" i="5"/>
  <c r="Z26504" i="5"/>
  <c r="Z26503" i="5"/>
  <c r="Z26502" i="5"/>
  <c r="Z26501" i="5"/>
  <c r="Z26500" i="5"/>
  <c r="Z26499" i="5"/>
  <c r="Z26498" i="5"/>
  <c r="Z26497" i="5"/>
  <c r="Z26496" i="5"/>
  <c r="Z26495" i="5"/>
  <c r="Z26494" i="5"/>
  <c r="Z26493" i="5"/>
  <c r="Z26492" i="5"/>
  <c r="Z26491" i="5"/>
  <c r="Z26490" i="5"/>
  <c r="Z26489" i="5"/>
  <c r="Z26488" i="5"/>
  <c r="Z26487" i="5"/>
  <c r="Z26486" i="5"/>
  <c r="Z26485" i="5"/>
  <c r="Z26484" i="5"/>
  <c r="Z26483" i="5"/>
  <c r="Z26482" i="5"/>
  <c r="Z26481" i="5"/>
  <c r="Z26480" i="5"/>
  <c r="Z26479" i="5"/>
  <c r="Z26478" i="5"/>
  <c r="Z26477" i="5"/>
  <c r="Z26476" i="5"/>
  <c r="Z26475" i="5"/>
  <c r="Z26474" i="5"/>
  <c r="Z26473" i="5"/>
  <c r="Z26472" i="5"/>
  <c r="Z26471" i="5"/>
  <c r="Z26470" i="5"/>
  <c r="Z26469" i="5"/>
  <c r="Z26468" i="5"/>
  <c r="Z26467" i="5"/>
  <c r="Z26466" i="5"/>
  <c r="Z26465" i="5"/>
  <c r="Z26464" i="5"/>
  <c r="Z26463" i="5"/>
  <c r="Z26462" i="5"/>
  <c r="Z26461" i="5"/>
  <c r="Z26460" i="5"/>
  <c r="Z26459" i="5"/>
  <c r="Z26458" i="5"/>
  <c r="Z26457" i="5"/>
  <c r="Z26456" i="5"/>
  <c r="Z26455" i="5"/>
  <c r="Z26454" i="5"/>
  <c r="Z26453" i="5"/>
  <c r="Z26452" i="5"/>
  <c r="Z26451" i="5"/>
  <c r="Z26450" i="5"/>
  <c r="Z26449" i="5"/>
  <c r="Z26448" i="5"/>
  <c r="Z26447" i="5"/>
  <c r="Z26446" i="5"/>
  <c r="Z26445" i="5"/>
  <c r="Z26444" i="5"/>
  <c r="Z26443" i="5"/>
  <c r="Z26442" i="5"/>
  <c r="Z26441" i="5"/>
  <c r="Z26440" i="5"/>
  <c r="Z26439" i="5"/>
  <c r="Z26438" i="5"/>
  <c r="Z26437" i="5"/>
  <c r="Z26436" i="5"/>
  <c r="Z26435" i="5"/>
  <c r="Z26434" i="5"/>
  <c r="Z26433" i="5"/>
  <c r="Z26432" i="5"/>
  <c r="Z26431" i="5"/>
  <c r="Z26430" i="5"/>
  <c r="Z26429" i="5"/>
  <c r="Z26428" i="5"/>
  <c r="Z26427" i="5"/>
  <c r="Z26426" i="5"/>
  <c r="Z26425" i="5"/>
  <c r="Z26424" i="5"/>
  <c r="Z26423" i="5"/>
  <c r="Z26422" i="5"/>
  <c r="Z26421" i="5"/>
  <c r="Z26420" i="5"/>
  <c r="Z26419" i="5"/>
  <c r="Z26418" i="5"/>
  <c r="Z26417" i="5"/>
  <c r="Z26416" i="5"/>
  <c r="Z26415" i="5"/>
  <c r="Z26414" i="5"/>
  <c r="Z26413" i="5"/>
  <c r="Z26412" i="5"/>
  <c r="Z26411" i="5"/>
  <c r="Z26410" i="5"/>
  <c r="Z26409" i="5"/>
  <c r="Z26408" i="5"/>
  <c r="Z26407" i="5"/>
  <c r="Z26406" i="5"/>
  <c r="Z26405" i="5"/>
  <c r="Z26404" i="5"/>
  <c r="Z26403" i="5"/>
  <c r="Z26402" i="5"/>
  <c r="Z26401" i="5"/>
  <c r="Z26400" i="5"/>
  <c r="Z26399" i="5"/>
  <c r="Z26398" i="5"/>
  <c r="Z26397" i="5"/>
  <c r="Z26396" i="5"/>
  <c r="Z26395" i="5"/>
  <c r="Z26394" i="5"/>
  <c r="Z26393" i="5"/>
  <c r="Z26392" i="5"/>
  <c r="Z26391" i="5"/>
  <c r="Z26390" i="5"/>
  <c r="Z26389" i="5"/>
  <c r="Z26388" i="5"/>
  <c r="Z26387" i="5"/>
  <c r="Z26386" i="5"/>
  <c r="Z26385" i="5"/>
  <c r="Z26384" i="5"/>
  <c r="Z26383" i="5"/>
  <c r="Z26382" i="5"/>
  <c r="Z26381" i="5"/>
  <c r="Z26380" i="5"/>
  <c r="Z26379" i="5"/>
  <c r="Z26378" i="5"/>
  <c r="Z26377" i="5"/>
  <c r="Z26376" i="5"/>
  <c r="Z26375" i="5"/>
  <c r="Z26374" i="5"/>
  <c r="Z26373" i="5"/>
  <c r="Z26372" i="5"/>
  <c r="Z26371" i="5"/>
  <c r="Z26370" i="5"/>
  <c r="Z26369" i="5"/>
  <c r="Z26368" i="5"/>
  <c r="Z26367" i="5"/>
  <c r="Z26366" i="5"/>
  <c r="Z26365" i="5"/>
  <c r="Z26364" i="5"/>
  <c r="Z26363" i="5"/>
  <c r="Z26362" i="5"/>
  <c r="Z26361" i="5"/>
  <c r="Z26360" i="5"/>
  <c r="Z26359" i="5"/>
  <c r="Z26358" i="5"/>
  <c r="Z26357" i="5"/>
  <c r="Z26356" i="5"/>
  <c r="Z26355" i="5"/>
  <c r="Z26354" i="5"/>
  <c r="Z26353" i="5"/>
  <c r="Z26352" i="5"/>
  <c r="Z26351" i="5"/>
  <c r="Z26350" i="5"/>
  <c r="Z26349" i="5"/>
  <c r="Z26348" i="5"/>
  <c r="Z26347" i="5"/>
  <c r="Z26346" i="5"/>
  <c r="Z26345" i="5"/>
  <c r="Z26344" i="5"/>
  <c r="Z26343" i="5"/>
  <c r="Z26342" i="5"/>
  <c r="Z26341" i="5"/>
  <c r="Z26340" i="5"/>
  <c r="Z26339" i="5"/>
  <c r="Z26338" i="5"/>
  <c r="Z26337" i="5"/>
  <c r="Z26336" i="5"/>
  <c r="Z26335" i="5"/>
  <c r="Z26334" i="5"/>
  <c r="Z26333" i="5"/>
  <c r="Z26332" i="5"/>
  <c r="Z26331" i="5"/>
  <c r="Z26330" i="5"/>
  <c r="Z26329" i="5"/>
  <c r="Z26328" i="5"/>
  <c r="Z26327" i="5"/>
  <c r="Z26326" i="5"/>
  <c r="Z26325" i="5"/>
  <c r="Z26324" i="5"/>
  <c r="Z26323" i="5"/>
  <c r="Z26322" i="5"/>
  <c r="Z26321" i="5"/>
  <c r="Z26320" i="5"/>
  <c r="Z26319" i="5"/>
  <c r="Z26318" i="5"/>
  <c r="Z26317" i="5"/>
  <c r="Z26316" i="5"/>
  <c r="Z26315" i="5"/>
  <c r="Z26314" i="5"/>
  <c r="Z26313" i="5"/>
  <c r="Z26312" i="5"/>
  <c r="Z26311" i="5"/>
  <c r="Z26310" i="5"/>
  <c r="Z26309" i="5"/>
  <c r="Z26308" i="5"/>
  <c r="Z26307" i="5"/>
  <c r="Z26306" i="5"/>
  <c r="Z26305" i="5"/>
  <c r="Z26304" i="5"/>
  <c r="Z26303" i="5"/>
  <c r="Z26302" i="5"/>
  <c r="Z26301" i="5"/>
  <c r="Z26300" i="5"/>
  <c r="Z26299" i="5"/>
  <c r="Z26298" i="5"/>
  <c r="Z26297" i="5"/>
  <c r="Z26296" i="5"/>
  <c r="Z26295" i="5"/>
  <c r="Z26294" i="5"/>
  <c r="Z26293" i="5"/>
  <c r="Z26292" i="5"/>
  <c r="Z26291" i="5"/>
  <c r="Z26290" i="5"/>
  <c r="Z26289" i="5"/>
  <c r="Z26288" i="5"/>
  <c r="Z26287" i="5"/>
  <c r="Z26286" i="5"/>
  <c r="Z26285" i="5"/>
  <c r="Z26284" i="5"/>
  <c r="Z26283" i="5"/>
  <c r="Z26282" i="5"/>
  <c r="Z26281" i="5"/>
  <c r="Z26280" i="5"/>
  <c r="Z26279" i="5"/>
  <c r="Z26278" i="5"/>
  <c r="Z26277" i="5"/>
  <c r="Z26276" i="5"/>
  <c r="Z26275" i="5"/>
  <c r="Z26274" i="5"/>
  <c r="Z26273" i="5"/>
  <c r="Z26272" i="5"/>
  <c r="Z26271" i="5"/>
  <c r="Z26270" i="5"/>
  <c r="Z26269" i="5"/>
  <c r="Z26268" i="5"/>
  <c r="Z26267" i="5"/>
  <c r="Z26266" i="5"/>
  <c r="Z26265" i="5"/>
  <c r="Z26264" i="5"/>
  <c r="Z26263" i="5"/>
  <c r="Z26262" i="5"/>
  <c r="Z26261" i="5"/>
  <c r="Z26260" i="5"/>
  <c r="Z26259" i="5"/>
  <c r="Z26258" i="5"/>
  <c r="Z26257" i="5"/>
  <c r="Z26256" i="5"/>
  <c r="Z26255" i="5"/>
  <c r="Z26254" i="5"/>
  <c r="Z26253" i="5"/>
  <c r="Z26252" i="5"/>
  <c r="Z26251" i="5"/>
  <c r="Z26250" i="5"/>
  <c r="Z26249" i="5"/>
  <c r="Z26248" i="5"/>
  <c r="Z26247" i="5"/>
  <c r="Z26246" i="5"/>
  <c r="Z26245" i="5"/>
  <c r="Z26244" i="5"/>
  <c r="Z26243" i="5"/>
  <c r="Z26242" i="5"/>
  <c r="Z26241" i="5"/>
  <c r="Z26240" i="5"/>
  <c r="Z26239" i="5"/>
  <c r="Z26238" i="5"/>
  <c r="Z26237" i="5"/>
  <c r="Z26236" i="5"/>
  <c r="Z26235" i="5"/>
  <c r="Z26234" i="5"/>
  <c r="Z26233" i="5"/>
  <c r="Z26232" i="5"/>
  <c r="Z26231" i="5"/>
  <c r="Z26230" i="5"/>
  <c r="Z26229" i="5"/>
  <c r="Z26228" i="5"/>
  <c r="Z26227" i="5"/>
  <c r="Z26226" i="5"/>
  <c r="Z26225" i="5"/>
  <c r="Z26224" i="5"/>
  <c r="Z26223" i="5"/>
  <c r="Z26222" i="5"/>
  <c r="Z26221" i="5"/>
  <c r="Z26220" i="5"/>
  <c r="Z26219" i="5"/>
  <c r="Z26218" i="5"/>
  <c r="Z26217" i="5"/>
  <c r="Z26216" i="5"/>
  <c r="Z26215" i="5"/>
  <c r="Z26214" i="5"/>
  <c r="Z26213" i="5"/>
  <c r="Z26212" i="5"/>
  <c r="Z26211" i="5"/>
  <c r="Z26210" i="5"/>
  <c r="Z26209" i="5"/>
  <c r="Z26208" i="5"/>
  <c r="Z26207" i="5"/>
  <c r="Z26206" i="5"/>
  <c r="Z26205" i="5"/>
  <c r="Z26204" i="5"/>
  <c r="Z26203" i="5"/>
  <c r="Z26202" i="5"/>
  <c r="Z26201" i="5"/>
  <c r="Z26200" i="5"/>
  <c r="Z26199" i="5"/>
  <c r="Z26198" i="5"/>
  <c r="Z26197" i="5"/>
  <c r="Z26196" i="5"/>
  <c r="Z26195" i="5"/>
  <c r="Z26194" i="5"/>
  <c r="Z26193" i="5"/>
  <c r="Z26192" i="5"/>
  <c r="Z26191" i="5"/>
  <c r="Z26190" i="5"/>
  <c r="Z26189" i="5"/>
  <c r="Z26188" i="5"/>
  <c r="Z26187" i="5"/>
  <c r="Z26186" i="5"/>
  <c r="Z26185" i="5"/>
  <c r="Z26184" i="5"/>
  <c r="Z26183" i="5"/>
  <c r="Z26182" i="5"/>
  <c r="Z26181" i="5"/>
  <c r="Z26180" i="5"/>
  <c r="Z26179" i="5"/>
  <c r="Z26178" i="5"/>
  <c r="Z26177" i="5"/>
  <c r="Z26176" i="5"/>
  <c r="Z26175" i="5"/>
  <c r="Z26174" i="5"/>
  <c r="Z26173" i="5"/>
  <c r="Z26172" i="5"/>
  <c r="Z26171" i="5"/>
  <c r="Z26170" i="5"/>
  <c r="Z26169" i="5"/>
  <c r="Z26168" i="5"/>
  <c r="Z26167" i="5"/>
  <c r="Z26166" i="5"/>
  <c r="Z26165" i="5"/>
  <c r="Z26164" i="5"/>
  <c r="Z26163" i="5"/>
  <c r="Z26162" i="5"/>
  <c r="Z26161" i="5"/>
  <c r="Z26160" i="5"/>
  <c r="Z26159" i="5"/>
  <c r="Z26158" i="5"/>
  <c r="Z26157" i="5"/>
  <c r="Z26156" i="5"/>
  <c r="Z26155" i="5"/>
  <c r="Z26154" i="5"/>
  <c r="Z26153" i="5"/>
  <c r="Z26152" i="5"/>
  <c r="Z26151" i="5"/>
  <c r="Z26150" i="5"/>
  <c r="Z26149" i="5"/>
  <c r="Z26148" i="5"/>
  <c r="Z26147" i="5"/>
  <c r="Z26146" i="5"/>
  <c r="Z26145" i="5"/>
  <c r="Z26144" i="5"/>
  <c r="Z26143" i="5"/>
  <c r="Z26142" i="5"/>
  <c r="Z26141" i="5"/>
  <c r="Z26140" i="5"/>
  <c r="Z26139" i="5"/>
  <c r="Z26138" i="5"/>
  <c r="Z26137" i="5"/>
  <c r="Z26136" i="5"/>
  <c r="Z26135" i="5"/>
  <c r="Z26134" i="5"/>
  <c r="Z26133" i="5"/>
  <c r="Z26132" i="5"/>
  <c r="Z26131" i="5"/>
  <c r="Z26130" i="5"/>
  <c r="Z26129" i="5"/>
  <c r="Z26128" i="5"/>
  <c r="Z26127" i="5"/>
  <c r="Z26126" i="5"/>
  <c r="Z26125" i="5"/>
  <c r="Z26124" i="5"/>
  <c r="Z26123" i="5"/>
  <c r="Z26122" i="5"/>
  <c r="Z26121" i="5"/>
  <c r="Z26120" i="5"/>
  <c r="Z26119" i="5"/>
  <c r="Z26118" i="5"/>
  <c r="Z26117" i="5"/>
  <c r="Z26116" i="5"/>
  <c r="Z26115" i="5"/>
  <c r="Z26114" i="5"/>
  <c r="Z26113" i="5"/>
  <c r="Z26112" i="5"/>
  <c r="Z26111" i="5"/>
  <c r="Z26110" i="5"/>
  <c r="Z26109" i="5"/>
  <c r="Z26108" i="5"/>
  <c r="Z26107" i="5"/>
  <c r="Z26106" i="5"/>
  <c r="Z26105" i="5"/>
  <c r="Z26104" i="5"/>
  <c r="Z26103" i="5"/>
  <c r="Z26102" i="5"/>
  <c r="Z26101" i="5"/>
  <c r="Z26100" i="5"/>
  <c r="Z26099" i="5"/>
  <c r="Z26098" i="5"/>
  <c r="Z26097" i="5"/>
  <c r="Z26096" i="5"/>
  <c r="Z26095" i="5"/>
  <c r="Z26094" i="5"/>
  <c r="Z26093" i="5"/>
  <c r="Z26092" i="5"/>
  <c r="Z26091" i="5"/>
  <c r="Z26090" i="5"/>
  <c r="Z26089" i="5"/>
  <c r="Z26088" i="5"/>
  <c r="Z26087" i="5"/>
  <c r="Z26086" i="5"/>
  <c r="Z26085" i="5"/>
  <c r="Z26084" i="5"/>
  <c r="Z26083" i="5"/>
  <c r="Z26082" i="5"/>
  <c r="Z26081" i="5"/>
  <c r="Z26080" i="5"/>
  <c r="Z26079" i="5"/>
  <c r="Z26078" i="5"/>
  <c r="Z26077" i="5"/>
  <c r="Z26076" i="5"/>
  <c r="Z26075" i="5"/>
  <c r="Z26074" i="5"/>
  <c r="Z26073" i="5"/>
  <c r="Z26072" i="5"/>
  <c r="Z26071" i="5"/>
  <c r="Z26070" i="5"/>
  <c r="Z26069" i="5"/>
  <c r="Z26068" i="5"/>
  <c r="Z26067" i="5"/>
  <c r="Z26066" i="5"/>
  <c r="Z26065" i="5"/>
  <c r="Z26064" i="5"/>
  <c r="Z26063" i="5"/>
  <c r="Z26062" i="5"/>
  <c r="Z26061" i="5"/>
  <c r="Z26060" i="5"/>
  <c r="Z26059" i="5"/>
  <c r="Z26058" i="5"/>
  <c r="Z26057" i="5"/>
  <c r="Z26056" i="5"/>
  <c r="Z26055" i="5"/>
  <c r="Z26054" i="5"/>
  <c r="Z26053" i="5"/>
  <c r="Z26052" i="5"/>
  <c r="Z26051" i="5"/>
  <c r="Z26050" i="5"/>
  <c r="Z26049" i="5"/>
  <c r="Z26048" i="5"/>
  <c r="Z26047" i="5"/>
  <c r="Z26046" i="5"/>
  <c r="Z26045" i="5"/>
  <c r="Z26044" i="5"/>
  <c r="Z26043" i="5"/>
  <c r="Z26042" i="5"/>
  <c r="Z26041" i="5"/>
  <c r="Z26040" i="5"/>
  <c r="Z26039" i="5"/>
  <c r="Z26038" i="5"/>
  <c r="Z26037" i="5"/>
  <c r="Z26036" i="5"/>
  <c r="Z26035" i="5"/>
  <c r="Z26034" i="5"/>
  <c r="Z26033" i="5"/>
  <c r="Z26032" i="5"/>
  <c r="Z26031" i="5"/>
  <c r="Z26030" i="5"/>
  <c r="Z26029" i="5"/>
  <c r="Z26028" i="5"/>
  <c r="Z26027" i="5"/>
  <c r="Z26026" i="5"/>
  <c r="Z26025" i="5"/>
  <c r="Z26024" i="5"/>
  <c r="Z26023" i="5"/>
  <c r="Z26022" i="5"/>
  <c r="Z26021" i="5"/>
  <c r="Z26020" i="5"/>
  <c r="Z26019" i="5"/>
  <c r="Z26018" i="5"/>
  <c r="Z26017" i="5"/>
  <c r="Z26016" i="5"/>
  <c r="Z26015" i="5"/>
  <c r="Z26014" i="5"/>
  <c r="Z26013" i="5"/>
  <c r="Z26012" i="5"/>
  <c r="Z26011" i="5"/>
  <c r="Z26010" i="5"/>
  <c r="Z26009" i="5"/>
  <c r="Z26008" i="5"/>
  <c r="Z26007" i="5"/>
  <c r="Z26006" i="5"/>
  <c r="Z26005" i="5"/>
  <c r="Z26004" i="5"/>
  <c r="Z26003" i="5"/>
  <c r="Z26002" i="5"/>
  <c r="Z26001" i="5"/>
  <c r="Z26000" i="5"/>
  <c r="Z25999" i="5"/>
  <c r="Z25998" i="5"/>
  <c r="Z25997" i="5"/>
  <c r="Z25996" i="5"/>
  <c r="Z25995" i="5"/>
  <c r="Z25994" i="5"/>
  <c r="Z25993" i="5"/>
  <c r="Z25992" i="5"/>
  <c r="Z25991" i="5"/>
  <c r="Z25990" i="5"/>
  <c r="Z25989" i="5"/>
  <c r="Z25988" i="5"/>
  <c r="Z25987" i="5"/>
  <c r="Z25986" i="5"/>
  <c r="Z25985" i="5"/>
  <c r="Z25984" i="5"/>
  <c r="Z25983" i="5"/>
  <c r="Z25982" i="5"/>
  <c r="Z25981" i="5"/>
  <c r="Z25980" i="5"/>
  <c r="Z25979" i="5"/>
  <c r="Z25978" i="5"/>
  <c r="Z25977" i="5"/>
  <c r="Z25976" i="5"/>
  <c r="Z25975" i="5"/>
  <c r="Z25974" i="5"/>
  <c r="Z25973" i="5"/>
  <c r="Z25972" i="5"/>
  <c r="Z25971" i="5"/>
  <c r="Z25970" i="5"/>
  <c r="Z25969" i="5"/>
  <c r="Z25968" i="5"/>
  <c r="Z25967" i="5"/>
  <c r="Z25966" i="5"/>
  <c r="Z25965" i="5"/>
  <c r="Z25964" i="5"/>
  <c r="Z25963" i="5"/>
  <c r="Z25962" i="5"/>
  <c r="Z25961" i="5"/>
  <c r="Z25960" i="5"/>
  <c r="Z25959" i="5"/>
  <c r="Z25958" i="5"/>
  <c r="Z25957" i="5"/>
  <c r="Z25956" i="5"/>
  <c r="Z25955" i="5"/>
  <c r="Z25954" i="5"/>
  <c r="Z25953" i="5"/>
  <c r="Z25952" i="5"/>
  <c r="Z25951" i="5"/>
  <c r="Z25950" i="5"/>
  <c r="Z25949" i="5"/>
  <c r="Z25948" i="5"/>
  <c r="Z25947" i="5"/>
  <c r="Z25946" i="5"/>
  <c r="Z25945" i="5"/>
  <c r="Z25944" i="5"/>
  <c r="Z25943" i="5"/>
  <c r="Z25942" i="5"/>
  <c r="Z25941" i="5"/>
  <c r="Z25940" i="5"/>
  <c r="Z25939" i="5"/>
  <c r="Z25938" i="5"/>
  <c r="Z25937" i="5"/>
  <c r="Z25936" i="5"/>
  <c r="Z25935" i="5"/>
  <c r="Z25934" i="5"/>
  <c r="Z25933" i="5"/>
  <c r="Z25932" i="5"/>
  <c r="Z25931" i="5"/>
  <c r="Z25930" i="5"/>
  <c r="Z25929" i="5"/>
  <c r="Z25928" i="5"/>
  <c r="Z25927" i="5"/>
  <c r="Z25926" i="5"/>
  <c r="Z25925" i="5"/>
  <c r="Z25924" i="5"/>
  <c r="Z25923" i="5"/>
  <c r="Z25922" i="5"/>
  <c r="Z25921" i="5"/>
  <c r="Z25920" i="5"/>
  <c r="Z25919" i="5"/>
  <c r="Z25918" i="5"/>
  <c r="Z25917" i="5"/>
  <c r="Z25916" i="5"/>
  <c r="Z25915" i="5"/>
  <c r="Z25914" i="5"/>
  <c r="Z25913" i="5"/>
  <c r="Z25912" i="5"/>
  <c r="Z25911" i="5"/>
  <c r="Z25910" i="5"/>
  <c r="Z25909" i="5"/>
  <c r="Z25908" i="5"/>
  <c r="Z25907" i="5"/>
  <c r="Z25906" i="5"/>
  <c r="Z25905" i="5"/>
  <c r="Z25904" i="5"/>
  <c r="Z25903" i="5"/>
  <c r="Z25902" i="5"/>
  <c r="Z25901" i="5"/>
  <c r="Z25900" i="5"/>
  <c r="Z25899" i="5"/>
  <c r="Z25898" i="5"/>
  <c r="Z25897" i="5"/>
  <c r="Z25896" i="5"/>
  <c r="Z25895" i="5"/>
  <c r="Z25894" i="5"/>
  <c r="Z25893" i="5"/>
  <c r="Z25892" i="5"/>
  <c r="Z25891" i="5"/>
  <c r="Z25890" i="5"/>
  <c r="Z25889" i="5"/>
  <c r="Z25888" i="5"/>
  <c r="Z25887" i="5"/>
  <c r="Z25886" i="5"/>
  <c r="Z25885" i="5"/>
  <c r="Z25884" i="5"/>
  <c r="Z25883" i="5"/>
  <c r="Z25882" i="5"/>
  <c r="Z25881" i="5"/>
  <c r="Z25880" i="5"/>
  <c r="Z25879" i="5"/>
  <c r="Z25878" i="5"/>
  <c r="Z25877" i="5"/>
  <c r="Z25876" i="5"/>
  <c r="Z25875" i="5"/>
  <c r="Z25874" i="5"/>
  <c r="Z25873" i="5"/>
  <c r="Z25872" i="5"/>
  <c r="Z25871" i="5"/>
  <c r="Z25870" i="5"/>
  <c r="Z25869" i="5"/>
  <c r="Z25868" i="5"/>
  <c r="Z25867" i="5"/>
  <c r="Z25866" i="5"/>
  <c r="Z25865" i="5"/>
  <c r="Z25864" i="5"/>
  <c r="Z25863" i="5"/>
  <c r="Z25862" i="5"/>
  <c r="Z25861" i="5"/>
  <c r="Z25860" i="5"/>
  <c r="Z25859" i="5"/>
  <c r="Z25858" i="5"/>
  <c r="Z25857" i="5"/>
  <c r="Z25856" i="5"/>
  <c r="Z25855" i="5"/>
  <c r="Z25854" i="5"/>
  <c r="Z25853" i="5"/>
  <c r="Z25852" i="5"/>
  <c r="Z25851" i="5"/>
  <c r="Z25850" i="5"/>
  <c r="Z25849" i="5"/>
  <c r="Z25848" i="5"/>
  <c r="Z25847" i="5"/>
  <c r="Z25846" i="5"/>
  <c r="Z25845" i="5"/>
  <c r="Z25844" i="5"/>
  <c r="Z25843" i="5"/>
  <c r="Z25842" i="5"/>
  <c r="Z25841" i="5"/>
  <c r="Z25840" i="5"/>
  <c r="Z25839" i="5"/>
  <c r="Z25838" i="5"/>
  <c r="Z25837" i="5"/>
  <c r="Z25836" i="5"/>
  <c r="Z25835" i="5"/>
  <c r="Z25834" i="5"/>
  <c r="Z25833" i="5"/>
  <c r="Z25832" i="5"/>
  <c r="Z25831" i="5"/>
  <c r="Z25830" i="5"/>
  <c r="Z25829" i="5"/>
  <c r="Z25828" i="5"/>
  <c r="Z25827" i="5"/>
  <c r="Z25826" i="5"/>
  <c r="Z25825" i="5"/>
  <c r="Z25824" i="5"/>
  <c r="Z25823" i="5"/>
  <c r="Z25822" i="5"/>
  <c r="Z25821" i="5"/>
  <c r="Z25820" i="5"/>
  <c r="Z25819" i="5"/>
  <c r="Z25818" i="5"/>
  <c r="Z25817" i="5"/>
  <c r="Z25816" i="5"/>
  <c r="Z25815" i="5"/>
  <c r="Z25814" i="5"/>
  <c r="Z25813" i="5"/>
  <c r="Z25812" i="5"/>
  <c r="Z25811" i="5"/>
  <c r="Z25810" i="5"/>
  <c r="Z25809" i="5"/>
  <c r="Z25808" i="5"/>
  <c r="Z25807" i="5"/>
  <c r="Z25806" i="5"/>
  <c r="Z25805" i="5"/>
  <c r="Z25804" i="5"/>
  <c r="Z25803" i="5"/>
  <c r="Z25802" i="5"/>
  <c r="Z25801" i="5"/>
  <c r="Z25800" i="5"/>
  <c r="Z25799" i="5"/>
  <c r="Z25798" i="5"/>
  <c r="Z25797" i="5"/>
  <c r="Z25796" i="5"/>
  <c r="Z25795" i="5"/>
  <c r="Z25794" i="5"/>
  <c r="Z25793" i="5"/>
  <c r="Z25792" i="5"/>
  <c r="Z25791" i="5"/>
  <c r="Z25790" i="5"/>
  <c r="Z25789" i="5"/>
  <c r="Z25788" i="5"/>
  <c r="Z25787" i="5"/>
  <c r="Z25786" i="5"/>
  <c r="Z25785" i="5"/>
  <c r="Z25784" i="5"/>
  <c r="Z25783" i="5"/>
  <c r="Z25782" i="5"/>
  <c r="Z25781" i="5"/>
  <c r="Z25780" i="5"/>
  <c r="Z25779" i="5"/>
  <c r="Z25778" i="5"/>
  <c r="Z25777" i="5"/>
  <c r="Z25776" i="5"/>
  <c r="Z25775" i="5"/>
  <c r="Z25774" i="5"/>
  <c r="Z25773" i="5"/>
  <c r="Z25772" i="5"/>
  <c r="Z25771" i="5"/>
  <c r="Z25770" i="5"/>
  <c r="Z25769" i="5"/>
  <c r="Z25768" i="5"/>
  <c r="Z25767" i="5"/>
  <c r="Z25766" i="5"/>
  <c r="Z25765" i="5"/>
  <c r="Z25764" i="5"/>
  <c r="Z25763" i="5"/>
  <c r="Z25762" i="5"/>
  <c r="Z25761" i="5"/>
  <c r="Z25760" i="5"/>
  <c r="Z25759" i="5"/>
  <c r="Z25758" i="5"/>
  <c r="Z25757" i="5"/>
  <c r="Z25756" i="5"/>
  <c r="Z25755" i="5"/>
  <c r="Z25754" i="5"/>
  <c r="Z25753" i="5"/>
  <c r="Z25752" i="5"/>
  <c r="Z25751" i="5"/>
  <c r="Z25750" i="5"/>
  <c r="Z25749" i="5"/>
  <c r="Z25748" i="5"/>
  <c r="Z25747" i="5"/>
  <c r="Z25746" i="5"/>
  <c r="Z25745" i="5"/>
  <c r="Z25744" i="5"/>
  <c r="Z25743" i="5"/>
  <c r="Z25742" i="5"/>
  <c r="Z25741" i="5"/>
  <c r="Z25740" i="5"/>
  <c r="Z25739" i="5"/>
  <c r="Z25738" i="5"/>
  <c r="Z25737" i="5"/>
  <c r="Z25736" i="5"/>
  <c r="Z25735" i="5"/>
  <c r="Z25734" i="5"/>
  <c r="Z25733" i="5"/>
  <c r="Z25732" i="5"/>
  <c r="Z25731" i="5"/>
  <c r="Z25730" i="5"/>
  <c r="Z25729" i="5"/>
  <c r="Z25728" i="5"/>
  <c r="Z25727" i="5"/>
  <c r="Z25726" i="5"/>
  <c r="Z25725" i="5"/>
  <c r="Z25724" i="5"/>
  <c r="Z25723" i="5"/>
  <c r="Z25722" i="5"/>
  <c r="Z25721" i="5"/>
  <c r="Z25720" i="5"/>
  <c r="Z25719" i="5"/>
  <c r="Z25718" i="5"/>
  <c r="Z25717" i="5"/>
  <c r="Z25716" i="5"/>
  <c r="Z25715" i="5"/>
  <c r="Z25714" i="5"/>
  <c r="Z25713" i="5"/>
  <c r="Z25712" i="5"/>
  <c r="Z25711" i="5"/>
  <c r="Z25710" i="5"/>
  <c r="Z25709" i="5"/>
  <c r="Z25708" i="5"/>
  <c r="Z25707" i="5"/>
  <c r="Z25706" i="5"/>
  <c r="Z25705" i="5"/>
  <c r="Z25704" i="5"/>
  <c r="Z25703" i="5"/>
  <c r="Z25702" i="5"/>
  <c r="Z25701" i="5"/>
  <c r="Z25700" i="5"/>
  <c r="Z25699" i="5"/>
  <c r="Z25698" i="5"/>
  <c r="Z25697" i="5"/>
  <c r="Z25696" i="5"/>
  <c r="Z25695" i="5"/>
  <c r="Z25694" i="5"/>
  <c r="Z25693" i="5"/>
  <c r="Z25692" i="5"/>
  <c r="Z25691" i="5"/>
  <c r="Z25690" i="5"/>
  <c r="Z25689" i="5"/>
  <c r="Z25688" i="5"/>
  <c r="Z25687" i="5"/>
  <c r="Z25686" i="5"/>
  <c r="Z25685" i="5"/>
  <c r="Z25684" i="5"/>
  <c r="Z25683" i="5"/>
  <c r="Z25682" i="5"/>
  <c r="Z25681" i="5"/>
  <c r="Z25680" i="5"/>
  <c r="Z25679" i="5"/>
  <c r="Z25678" i="5"/>
  <c r="Z25677" i="5"/>
  <c r="Z25676" i="5"/>
  <c r="Z25675" i="5"/>
  <c r="Z25674" i="5"/>
  <c r="Z25673" i="5"/>
  <c r="Z25672" i="5"/>
  <c r="Z25671" i="5"/>
  <c r="Z25670" i="5"/>
  <c r="Z25669" i="5"/>
  <c r="Z25668" i="5"/>
  <c r="Z25667" i="5"/>
  <c r="Z25666" i="5"/>
  <c r="Z25665" i="5"/>
  <c r="Z25664" i="5"/>
  <c r="Z25663" i="5"/>
  <c r="Z25662" i="5"/>
  <c r="Z25661" i="5"/>
  <c r="Z25660" i="5"/>
  <c r="Z25659" i="5"/>
  <c r="Z25658" i="5"/>
  <c r="Z25657" i="5"/>
  <c r="Z25656" i="5"/>
  <c r="Z25655" i="5"/>
  <c r="Z25654" i="5"/>
  <c r="Z25653" i="5"/>
  <c r="Z25652" i="5"/>
  <c r="Z25651" i="5"/>
  <c r="Z25650" i="5"/>
  <c r="Z25649" i="5"/>
  <c r="Z25648" i="5"/>
  <c r="Z25647" i="5"/>
  <c r="Z25646" i="5"/>
  <c r="Z25645" i="5"/>
  <c r="Z25644" i="5"/>
  <c r="Z25643" i="5"/>
  <c r="Z25642" i="5"/>
  <c r="Z25641" i="5"/>
  <c r="Z25640" i="5"/>
  <c r="Z25639" i="5"/>
  <c r="Z25638" i="5"/>
  <c r="Z25637" i="5"/>
  <c r="Z25636" i="5"/>
  <c r="Z25635" i="5"/>
  <c r="Z25634" i="5"/>
  <c r="Z25633" i="5"/>
  <c r="Z25632" i="5"/>
  <c r="Z25631" i="5"/>
  <c r="Z25630" i="5"/>
  <c r="Z25629" i="5"/>
  <c r="Z25628" i="5"/>
  <c r="Z25627" i="5"/>
  <c r="Z25626" i="5"/>
  <c r="Z25625" i="5"/>
  <c r="Z25624" i="5"/>
  <c r="Z25623" i="5"/>
  <c r="Z25622" i="5"/>
  <c r="Z25621" i="5"/>
  <c r="Z25620" i="5"/>
  <c r="Z25619" i="5"/>
  <c r="Z25618" i="5"/>
  <c r="Z25617" i="5"/>
  <c r="Z25616" i="5"/>
  <c r="Z25615" i="5"/>
  <c r="Z25614" i="5"/>
  <c r="Z25613" i="5"/>
  <c r="Z25612" i="5"/>
  <c r="Z25611" i="5"/>
  <c r="Z25610" i="5"/>
  <c r="Z25609" i="5"/>
  <c r="Z25608" i="5"/>
  <c r="Z25607" i="5"/>
  <c r="Z25606" i="5"/>
  <c r="Z25605" i="5"/>
  <c r="Z25604" i="5"/>
  <c r="Z25603" i="5"/>
  <c r="Z25602" i="5"/>
  <c r="Z25601" i="5"/>
  <c r="Z25600" i="5"/>
  <c r="Z25599" i="5"/>
  <c r="Z25598" i="5"/>
  <c r="Z25597" i="5"/>
  <c r="Z25596" i="5"/>
  <c r="Z25595" i="5"/>
  <c r="Z25594" i="5"/>
  <c r="Z25593" i="5"/>
  <c r="Z25592" i="5"/>
  <c r="Z25591" i="5"/>
  <c r="Z25590" i="5"/>
  <c r="Z25589" i="5"/>
  <c r="Z25588" i="5"/>
  <c r="Z25587" i="5"/>
  <c r="Z25586" i="5"/>
  <c r="Z25585" i="5"/>
  <c r="Z25584" i="5"/>
  <c r="Z25583" i="5"/>
  <c r="Z25582" i="5"/>
  <c r="Z25581" i="5"/>
  <c r="Z25580" i="5"/>
  <c r="Z25579" i="5"/>
  <c r="Z25578" i="5"/>
  <c r="Z25577" i="5"/>
  <c r="Z25576" i="5"/>
  <c r="Z25575" i="5"/>
  <c r="Z25574" i="5"/>
  <c r="Z25573" i="5"/>
  <c r="Z25572" i="5"/>
  <c r="Z25571" i="5"/>
  <c r="Z25570" i="5"/>
  <c r="Z25569" i="5"/>
  <c r="Z25568" i="5"/>
  <c r="Z25567" i="5"/>
  <c r="Z25566" i="5"/>
  <c r="Z25565" i="5"/>
  <c r="Z25564" i="5"/>
  <c r="Z25563" i="5"/>
  <c r="Z25562" i="5"/>
  <c r="Z25561" i="5"/>
  <c r="Z25560" i="5"/>
  <c r="Z25559" i="5"/>
  <c r="Z25558" i="5"/>
  <c r="Z25557" i="5"/>
  <c r="Z25556" i="5"/>
  <c r="Z25555" i="5"/>
  <c r="Z25554" i="5"/>
  <c r="Z25553" i="5"/>
  <c r="Z25552" i="5"/>
  <c r="Z25551" i="5"/>
  <c r="Z25550" i="5"/>
  <c r="Z25549" i="5"/>
  <c r="Z25548" i="5"/>
  <c r="Z25547" i="5"/>
  <c r="Z25546" i="5"/>
  <c r="Z25545" i="5"/>
  <c r="Z25544" i="5"/>
  <c r="Z25543" i="5"/>
  <c r="Z25542" i="5"/>
  <c r="Z25541" i="5"/>
  <c r="Z25540" i="5"/>
  <c r="Z25539" i="5"/>
  <c r="Z25538" i="5"/>
  <c r="Z25537" i="5"/>
  <c r="Z25536" i="5"/>
  <c r="Z25535" i="5"/>
  <c r="Z25534" i="5"/>
  <c r="Z25533" i="5"/>
  <c r="Z25532" i="5"/>
  <c r="Z25531" i="5"/>
  <c r="Z25530" i="5"/>
  <c r="Z25529" i="5"/>
  <c r="Z25528" i="5"/>
  <c r="Z25527" i="5"/>
  <c r="Z25526" i="5"/>
  <c r="Z25525" i="5"/>
  <c r="Z25524" i="5"/>
  <c r="Z25523" i="5"/>
  <c r="Z25522" i="5"/>
  <c r="Z25521" i="5"/>
  <c r="Z25520" i="5"/>
  <c r="Z25519" i="5"/>
  <c r="Z25518" i="5"/>
  <c r="Z25517" i="5"/>
  <c r="Z25516" i="5"/>
  <c r="Z25515" i="5"/>
  <c r="Z25514" i="5"/>
  <c r="Z25513" i="5"/>
  <c r="Z25512" i="5"/>
  <c r="Z25511" i="5"/>
  <c r="Z25510" i="5"/>
  <c r="Z25509" i="5"/>
  <c r="Z25508" i="5"/>
  <c r="Z25507" i="5"/>
  <c r="Z25506" i="5"/>
  <c r="Z25505" i="5"/>
  <c r="Z25504" i="5"/>
  <c r="Z25503" i="5"/>
  <c r="Z25502" i="5"/>
  <c r="Z25501" i="5"/>
  <c r="Z25500" i="5"/>
  <c r="Z25499" i="5"/>
  <c r="Z25498" i="5"/>
  <c r="Z25497" i="5"/>
  <c r="Z25496" i="5"/>
  <c r="Z25495" i="5"/>
  <c r="Z25494" i="5"/>
  <c r="Z25493" i="5"/>
  <c r="Z25492" i="5"/>
  <c r="Z25491" i="5"/>
  <c r="Z25490" i="5"/>
  <c r="Z25489" i="5"/>
  <c r="Z25488" i="5"/>
  <c r="Z25487" i="5"/>
  <c r="Z25486" i="5"/>
  <c r="Z25485" i="5"/>
  <c r="Z25484" i="5"/>
  <c r="Z25483" i="5"/>
  <c r="Z25482" i="5"/>
  <c r="Z25481" i="5"/>
  <c r="Z25480" i="5"/>
  <c r="Z25479" i="5"/>
  <c r="Z25478" i="5"/>
  <c r="Z25477" i="5"/>
  <c r="Z25476" i="5"/>
  <c r="Z25475" i="5"/>
  <c r="Z25474" i="5"/>
  <c r="Z25473" i="5"/>
  <c r="Z25472" i="5"/>
  <c r="Z25471" i="5"/>
  <c r="Z25470" i="5"/>
  <c r="Z25469" i="5"/>
  <c r="Z25468" i="5"/>
  <c r="Z25467" i="5"/>
  <c r="Z25466" i="5"/>
  <c r="Z25465" i="5"/>
  <c r="Z25464" i="5"/>
  <c r="Z25463" i="5"/>
  <c r="Z25462" i="5"/>
  <c r="Z25461" i="5"/>
  <c r="Z25460" i="5"/>
  <c r="Z25459" i="5"/>
  <c r="Z25458" i="5"/>
  <c r="Z25457" i="5"/>
  <c r="Z25456" i="5"/>
  <c r="Z25455" i="5"/>
  <c r="Z25454" i="5"/>
  <c r="Z25453" i="5"/>
  <c r="Z25452" i="5"/>
  <c r="Z25451" i="5"/>
  <c r="Z25450" i="5"/>
  <c r="Z25449" i="5"/>
  <c r="Z25448" i="5"/>
  <c r="Z25447" i="5"/>
  <c r="Z25446" i="5"/>
  <c r="Z25445" i="5"/>
  <c r="Z25444" i="5"/>
  <c r="Z25443" i="5"/>
  <c r="Z25442" i="5"/>
  <c r="Z25441" i="5"/>
  <c r="Z25440" i="5"/>
  <c r="Z25439" i="5"/>
  <c r="Z25438" i="5"/>
  <c r="Z25437" i="5"/>
  <c r="Z25436" i="5"/>
  <c r="Z25435" i="5"/>
  <c r="Z25434" i="5"/>
  <c r="Z25433" i="5"/>
  <c r="Z25432" i="5"/>
  <c r="Z25431" i="5"/>
  <c r="Z25430" i="5"/>
  <c r="Z25429" i="5"/>
  <c r="Z25428" i="5"/>
  <c r="Z25427" i="5"/>
  <c r="Z25426" i="5"/>
  <c r="Z25425" i="5"/>
  <c r="Z25424" i="5"/>
  <c r="Z25423" i="5"/>
  <c r="Z25422" i="5"/>
  <c r="Z25421" i="5"/>
  <c r="Z25420" i="5"/>
  <c r="Z25419" i="5"/>
  <c r="Z25418" i="5"/>
  <c r="Z25417" i="5"/>
  <c r="Z25416" i="5"/>
  <c r="Z25415" i="5"/>
  <c r="Z25414" i="5"/>
  <c r="Z25413" i="5"/>
  <c r="Z25412" i="5"/>
  <c r="Z25411" i="5"/>
  <c r="Z25410" i="5"/>
  <c r="Z25409" i="5"/>
  <c r="Z25408" i="5"/>
  <c r="Z25407" i="5"/>
  <c r="Z25406" i="5"/>
  <c r="Z25405" i="5"/>
  <c r="Z25404" i="5"/>
  <c r="Z25403" i="5"/>
  <c r="Z25402" i="5"/>
  <c r="Z25401" i="5"/>
  <c r="Z25400" i="5"/>
  <c r="Z25399" i="5"/>
  <c r="Z25398" i="5"/>
  <c r="Z25397" i="5"/>
  <c r="Z25396" i="5"/>
  <c r="Z25395" i="5"/>
  <c r="Z25394" i="5"/>
  <c r="Z25393" i="5"/>
  <c r="Z25392" i="5"/>
  <c r="Z25391" i="5"/>
  <c r="Z25390" i="5"/>
  <c r="Z25389" i="5"/>
  <c r="Z25388" i="5"/>
  <c r="Z25387" i="5"/>
  <c r="Z25386" i="5"/>
  <c r="Z25385" i="5"/>
  <c r="Z25384" i="5"/>
  <c r="Z25383" i="5"/>
  <c r="Z25382" i="5"/>
  <c r="Z25381" i="5"/>
  <c r="Z25380" i="5"/>
  <c r="Z25379" i="5"/>
  <c r="Z25378" i="5"/>
  <c r="Z25377" i="5"/>
  <c r="Z25376" i="5"/>
  <c r="Z25375" i="5"/>
  <c r="Z25374" i="5"/>
  <c r="Z25373" i="5"/>
  <c r="Z25372" i="5"/>
  <c r="Z25371" i="5"/>
  <c r="Z25370" i="5"/>
  <c r="Z25369" i="5"/>
  <c r="Z25368" i="5"/>
  <c r="Z25367" i="5"/>
  <c r="Z25366" i="5"/>
  <c r="Z25365" i="5"/>
  <c r="Z25364" i="5"/>
  <c r="Z25363" i="5"/>
  <c r="Z25362" i="5"/>
  <c r="Z25361" i="5"/>
  <c r="Z25360" i="5"/>
  <c r="Z25359" i="5"/>
  <c r="Z25358" i="5"/>
  <c r="Z25357" i="5"/>
  <c r="Z25356" i="5"/>
  <c r="Z25355" i="5"/>
  <c r="Z25354" i="5"/>
  <c r="Z25353" i="5"/>
  <c r="Z25352" i="5"/>
  <c r="Z25351" i="5"/>
  <c r="Z25350" i="5"/>
  <c r="Z25349" i="5"/>
  <c r="Z25348" i="5"/>
  <c r="Z25347" i="5"/>
  <c r="Z25346" i="5"/>
  <c r="Z25345" i="5"/>
  <c r="Z25344" i="5"/>
  <c r="Z25343" i="5"/>
  <c r="Z25342" i="5"/>
  <c r="Z25341" i="5"/>
  <c r="Z25340" i="5"/>
  <c r="Z25339" i="5"/>
  <c r="Z25338" i="5"/>
  <c r="Z25337" i="5"/>
  <c r="Z25336" i="5"/>
  <c r="Z25335" i="5"/>
  <c r="Z25334" i="5"/>
  <c r="Z25333" i="5"/>
  <c r="Z25332" i="5"/>
  <c r="Z25331" i="5"/>
  <c r="Z25330" i="5"/>
  <c r="Z25329" i="5"/>
  <c r="Z25328" i="5"/>
  <c r="Z25327" i="5"/>
  <c r="Z25326" i="5"/>
  <c r="Z25325" i="5"/>
  <c r="Z25324" i="5"/>
  <c r="Z25323" i="5"/>
  <c r="Z25322" i="5"/>
  <c r="Z25321" i="5"/>
  <c r="Z25320" i="5"/>
  <c r="Z25319" i="5"/>
  <c r="Z25318" i="5"/>
  <c r="Z25317" i="5"/>
  <c r="Z25316" i="5"/>
  <c r="Z25315" i="5"/>
  <c r="Z25314" i="5"/>
  <c r="Z25313" i="5"/>
  <c r="Z25312" i="5"/>
  <c r="Z25311" i="5"/>
  <c r="Z25310" i="5"/>
  <c r="Z25309" i="5"/>
  <c r="Z25308" i="5"/>
  <c r="Z25307" i="5"/>
  <c r="Z25306" i="5"/>
  <c r="Z25305" i="5"/>
  <c r="Z25304" i="5"/>
  <c r="Z25303" i="5"/>
  <c r="Z25302" i="5"/>
  <c r="Z25301" i="5"/>
  <c r="Z25300" i="5"/>
  <c r="Z25299" i="5"/>
  <c r="Z25298" i="5"/>
  <c r="Z25297" i="5"/>
  <c r="Z25296" i="5"/>
  <c r="Z25295" i="5"/>
  <c r="Z25294" i="5"/>
  <c r="Z25293" i="5"/>
  <c r="Z25292" i="5"/>
  <c r="Z25291" i="5"/>
  <c r="Z25290" i="5"/>
  <c r="Z25289" i="5"/>
  <c r="Z25288" i="5"/>
  <c r="Z25287" i="5"/>
  <c r="Z25286" i="5"/>
  <c r="Z25285" i="5"/>
  <c r="Z25284" i="5"/>
  <c r="Z25283" i="5"/>
  <c r="Z25282" i="5"/>
  <c r="Z25281" i="5"/>
  <c r="Z25280" i="5"/>
  <c r="Z25279" i="5"/>
  <c r="Z25278" i="5"/>
  <c r="Z25277" i="5"/>
  <c r="Z25276" i="5"/>
  <c r="Z25275" i="5"/>
  <c r="Z25274" i="5"/>
  <c r="Z25273" i="5"/>
  <c r="Z25272" i="5"/>
  <c r="Z25271" i="5"/>
  <c r="Z25270" i="5"/>
  <c r="Z25269" i="5"/>
  <c r="Z25268" i="5"/>
  <c r="Z25267" i="5"/>
  <c r="Z25266" i="5"/>
  <c r="Z25265" i="5"/>
  <c r="Z25264" i="5"/>
  <c r="Z25263" i="5"/>
  <c r="Z25262" i="5"/>
  <c r="Z25261" i="5"/>
  <c r="Z25260" i="5"/>
  <c r="Z25259" i="5"/>
  <c r="Z25258" i="5"/>
  <c r="Z25257" i="5"/>
  <c r="Z25256" i="5"/>
  <c r="Z25255" i="5"/>
  <c r="Z25254" i="5"/>
  <c r="Z25253" i="5"/>
  <c r="Z25252" i="5"/>
  <c r="Z25251" i="5"/>
  <c r="Z25250" i="5"/>
  <c r="Z25249" i="5"/>
  <c r="Z25248" i="5"/>
  <c r="Z25247" i="5"/>
  <c r="Z25246" i="5"/>
  <c r="Z25245" i="5"/>
  <c r="Z25244" i="5"/>
  <c r="Z25243" i="5"/>
  <c r="Z25242" i="5"/>
  <c r="Z25241" i="5"/>
  <c r="Z25240" i="5"/>
  <c r="Z25239" i="5"/>
  <c r="Z25238" i="5"/>
  <c r="Z25237" i="5"/>
  <c r="Z25236" i="5"/>
  <c r="Z25235" i="5"/>
  <c r="Z25234" i="5"/>
  <c r="Z25233" i="5"/>
  <c r="Z25232" i="5"/>
  <c r="Z25231" i="5"/>
  <c r="Z25230" i="5"/>
  <c r="Z25229" i="5"/>
  <c r="Z25228" i="5"/>
  <c r="Z25227" i="5"/>
  <c r="Z25226" i="5"/>
  <c r="Z25225" i="5"/>
  <c r="Z25224" i="5"/>
  <c r="Z25223" i="5"/>
  <c r="Z25222" i="5"/>
  <c r="Z25221" i="5"/>
  <c r="Z25220" i="5"/>
  <c r="Z25219" i="5"/>
  <c r="Z25218" i="5"/>
  <c r="Z25217" i="5"/>
  <c r="Z25216" i="5"/>
  <c r="Z25215" i="5"/>
  <c r="Z25214" i="5"/>
  <c r="Z25213" i="5"/>
  <c r="Z25212" i="5"/>
  <c r="Z25211" i="5"/>
  <c r="Z25210" i="5"/>
  <c r="Z25209" i="5"/>
  <c r="Z25208" i="5"/>
  <c r="Z25207" i="5"/>
  <c r="Z25206" i="5"/>
  <c r="Z25205" i="5"/>
  <c r="Z25204" i="5"/>
  <c r="Z25203" i="5"/>
  <c r="Z25202" i="5"/>
  <c r="Z25201" i="5"/>
  <c r="Z25200" i="5"/>
  <c r="Z25199" i="5"/>
  <c r="Z25198" i="5"/>
  <c r="Z25197" i="5"/>
  <c r="Z25196" i="5"/>
  <c r="Z25195" i="5"/>
  <c r="Z25194" i="5"/>
  <c r="Z25193" i="5"/>
  <c r="Z25192" i="5"/>
  <c r="Z25191" i="5"/>
  <c r="Z25190" i="5"/>
  <c r="Z25189" i="5"/>
  <c r="Z25188" i="5"/>
  <c r="Z25187" i="5"/>
  <c r="Z25186" i="5"/>
  <c r="Z25185" i="5"/>
  <c r="Z25184" i="5"/>
  <c r="Z25183" i="5"/>
  <c r="Z25182" i="5"/>
  <c r="Z25181" i="5"/>
  <c r="Z25180" i="5"/>
  <c r="Z25179" i="5"/>
  <c r="Z25178" i="5"/>
  <c r="Z25177" i="5"/>
  <c r="Z25176" i="5"/>
  <c r="Z25175" i="5"/>
  <c r="Z25174" i="5"/>
  <c r="Z25173" i="5"/>
  <c r="Z25172" i="5"/>
  <c r="Z25171" i="5"/>
  <c r="Z25170" i="5"/>
  <c r="Z25169" i="5"/>
  <c r="Z25168" i="5"/>
  <c r="Z25167" i="5"/>
  <c r="Z25166" i="5"/>
  <c r="Z25165" i="5"/>
  <c r="Z25164" i="5"/>
  <c r="Z25163" i="5"/>
  <c r="Z25162" i="5"/>
  <c r="Z25161" i="5"/>
  <c r="Z25160" i="5"/>
  <c r="Z25159" i="5"/>
  <c r="Z25158" i="5"/>
  <c r="Z25157" i="5"/>
  <c r="Z25156" i="5"/>
  <c r="Z25155" i="5"/>
  <c r="Z25154" i="5"/>
  <c r="Z25153" i="5"/>
  <c r="Z25152" i="5"/>
  <c r="Z25151" i="5"/>
  <c r="Z25150" i="5"/>
  <c r="Z25149" i="5"/>
  <c r="Z25148" i="5"/>
  <c r="Z25147" i="5"/>
  <c r="Z25146" i="5"/>
  <c r="Z25145" i="5"/>
  <c r="Z25144" i="5"/>
  <c r="Z25143" i="5"/>
  <c r="Z25142" i="5"/>
  <c r="Z25141" i="5"/>
  <c r="Z25140" i="5"/>
  <c r="Z25139" i="5"/>
  <c r="Z25138" i="5"/>
  <c r="Z25137" i="5"/>
  <c r="Z25136" i="5"/>
  <c r="Z25135" i="5"/>
  <c r="Z25134" i="5"/>
  <c r="Z25133" i="5"/>
  <c r="Z25132" i="5"/>
  <c r="Z25131" i="5"/>
  <c r="Z25130" i="5"/>
  <c r="Z25129" i="5"/>
  <c r="Z25128" i="5"/>
  <c r="Z25127" i="5"/>
  <c r="Z25126" i="5"/>
  <c r="Z25125" i="5"/>
  <c r="Z25124" i="5"/>
  <c r="Z25123" i="5"/>
  <c r="Z25122" i="5"/>
  <c r="Z25121" i="5"/>
  <c r="Z25120" i="5"/>
  <c r="Z25119" i="5"/>
  <c r="Z25118" i="5"/>
  <c r="Z25117" i="5"/>
  <c r="Z25116" i="5"/>
  <c r="Z25115" i="5"/>
  <c r="Z25114" i="5"/>
  <c r="Z25113" i="5"/>
  <c r="Z25112" i="5"/>
  <c r="Z25111" i="5"/>
  <c r="Z25110" i="5"/>
  <c r="Z25109" i="5"/>
  <c r="Z25108" i="5"/>
  <c r="Z25107" i="5"/>
  <c r="Z25106" i="5"/>
  <c r="Z25105" i="5"/>
  <c r="Z25104" i="5"/>
  <c r="Z25103" i="5"/>
  <c r="Z25102" i="5"/>
  <c r="Z25101" i="5"/>
  <c r="Z25100" i="5"/>
  <c r="Z25099" i="5"/>
  <c r="Z25098" i="5"/>
  <c r="Z25097" i="5"/>
  <c r="Z25096" i="5"/>
  <c r="Z25095" i="5"/>
  <c r="Z25094" i="5"/>
  <c r="Z25093" i="5"/>
  <c r="Z25092" i="5"/>
  <c r="Z25091" i="5"/>
  <c r="Z25090" i="5"/>
  <c r="Z25089" i="5"/>
  <c r="Z25088" i="5"/>
  <c r="Z25087" i="5"/>
  <c r="Z25086" i="5"/>
  <c r="Z25085" i="5"/>
  <c r="Z25084" i="5"/>
  <c r="Z25083" i="5"/>
  <c r="Z25082" i="5"/>
  <c r="Z25081" i="5"/>
  <c r="Z25080" i="5"/>
  <c r="Z25079" i="5"/>
  <c r="Z25078" i="5"/>
  <c r="Z25077" i="5"/>
  <c r="Z25076" i="5"/>
  <c r="Z25075" i="5"/>
  <c r="Z25074" i="5"/>
  <c r="Z25073" i="5"/>
  <c r="Z25072" i="5"/>
  <c r="Z25071" i="5"/>
  <c r="Z25070" i="5"/>
  <c r="Z25069" i="5"/>
  <c r="Z25068" i="5"/>
  <c r="Z25067" i="5"/>
  <c r="Z25066" i="5"/>
  <c r="Z25065" i="5"/>
  <c r="Z25064" i="5"/>
  <c r="Z25063" i="5"/>
  <c r="Z25062" i="5"/>
  <c r="Z25061" i="5"/>
  <c r="Z25060" i="5"/>
  <c r="Z25059" i="5"/>
  <c r="Z25058" i="5"/>
  <c r="Z25057" i="5"/>
  <c r="Z25056" i="5"/>
  <c r="Z25055" i="5"/>
  <c r="Z25054" i="5"/>
  <c r="Z25053" i="5"/>
  <c r="Z25052" i="5"/>
  <c r="Z25051" i="5"/>
  <c r="Z25050" i="5"/>
  <c r="Z25049" i="5"/>
  <c r="Z25048" i="5"/>
  <c r="Z25047" i="5"/>
  <c r="Z25046" i="5"/>
  <c r="Z25045" i="5"/>
  <c r="Z25044" i="5"/>
  <c r="Z25043" i="5"/>
  <c r="Z25042" i="5"/>
  <c r="Z25041" i="5"/>
  <c r="Z25040" i="5"/>
  <c r="Z25039" i="5"/>
  <c r="Z25038" i="5"/>
  <c r="Z25037" i="5"/>
  <c r="Z25036" i="5"/>
  <c r="Z25035" i="5"/>
  <c r="Z25034" i="5"/>
  <c r="Z25033" i="5"/>
  <c r="Z25032" i="5"/>
  <c r="Z25031" i="5"/>
  <c r="Z25030" i="5"/>
  <c r="Z25029" i="5"/>
  <c r="Z25028" i="5"/>
  <c r="Z25027" i="5"/>
  <c r="Z25026" i="5"/>
  <c r="Z25025" i="5"/>
  <c r="Z25024" i="5"/>
  <c r="Z25023" i="5"/>
  <c r="Z25022" i="5"/>
  <c r="Z25021" i="5"/>
  <c r="Z25020" i="5"/>
  <c r="Z25019" i="5"/>
  <c r="Z25018" i="5"/>
  <c r="Z25017" i="5"/>
  <c r="Z25016" i="5"/>
  <c r="Z25015" i="5"/>
  <c r="Z25014" i="5"/>
  <c r="Z25013" i="5"/>
  <c r="Z25012" i="5"/>
  <c r="Z25011" i="5"/>
  <c r="Z25010" i="5"/>
  <c r="Z25009" i="5"/>
  <c r="Z25008" i="5"/>
  <c r="Z25007" i="5"/>
  <c r="Z25006" i="5"/>
  <c r="Z25005" i="5"/>
  <c r="Z25004" i="5"/>
  <c r="Z25003" i="5"/>
  <c r="Z25002" i="5"/>
  <c r="Z25001" i="5"/>
  <c r="Z25000" i="5"/>
  <c r="Z24999" i="5"/>
  <c r="Z24998" i="5"/>
  <c r="Z24997" i="5"/>
  <c r="Z24996" i="5"/>
  <c r="Z24995" i="5"/>
  <c r="Z24994" i="5"/>
  <c r="Z24993" i="5"/>
  <c r="Z24992" i="5"/>
  <c r="Z24991" i="5"/>
  <c r="Z24990" i="5"/>
  <c r="Z24989" i="5"/>
  <c r="Z24988" i="5"/>
  <c r="Z24987" i="5"/>
  <c r="Z24986" i="5"/>
  <c r="Z24985" i="5"/>
  <c r="Z24984" i="5"/>
  <c r="Z24983" i="5"/>
  <c r="Z24982" i="5"/>
  <c r="Z24981" i="5"/>
  <c r="Z24980" i="5"/>
  <c r="Z24979" i="5"/>
  <c r="Z24978" i="5"/>
  <c r="Z24977" i="5"/>
  <c r="Z24976" i="5"/>
  <c r="Z24975" i="5"/>
  <c r="Z24974" i="5"/>
  <c r="Z24973" i="5"/>
  <c r="Z24972" i="5"/>
  <c r="Z24971" i="5"/>
  <c r="Z24970" i="5"/>
  <c r="Z24969" i="5"/>
  <c r="Z24968" i="5"/>
  <c r="Z24967" i="5"/>
  <c r="Z24966" i="5"/>
  <c r="Z24965" i="5"/>
  <c r="Z24964" i="5"/>
  <c r="Z24963" i="5"/>
  <c r="Z24962" i="5"/>
  <c r="Z24961" i="5"/>
  <c r="Z24960" i="5"/>
  <c r="Z24959" i="5"/>
  <c r="Z24958" i="5"/>
  <c r="Z24957" i="5"/>
  <c r="Z24956" i="5"/>
  <c r="Z24955" i="5"/>
  <c r="Z24954" i="5"/>
  <c r="Z24953" i="5"/>
  <c r="Z24952" i="5"/>
  <c r="Z24951" i="5"/>
  <c r="Z24950" i="5"/>
  <c r="Z24949" i="5"/>
  <c r="Z24948" i="5"/>
  <c r="Z24947" i="5"/>
  <c r="Z24946" i="5"/>
  <c r="Z24945" i="5"/>
  <c r="Z24944" i="5"/>
  <c r="Z24943" i="5"/>
  <c r="Z24942" i="5"/>
  <c r="Z24941" i="5"/>
  <c r="Z24940" i="5"/>
  <c r="Z24939" i="5"/>
  <c r="Z24938" i="5"/>
  <c r="Z24937" i="5"/>
  <c r="Z24936" i="5"/>
  <c r="Z24935" i="5"/>
  <c r="Z24934" i="5"/>
  <c r="Z24933" i="5"/>
  <c r="Z24932" i="5"/>
  <c r="Z24931" i="5"/>
  <c r="Z24930" i="5"/>
  <c r="Z24929" i="5"/>
  <c r="Z24928" i="5"/>
  <c r="Z24927" i="5"/>
  <c r="Z24926" i="5"/>
  <c r="Z24925" i="5"/>
  <c r="Z24924" i="5"/>
  <c r="Z24923" i="5"/>
  <c r="Z24922" i="5"/>
  <c r="Z24921" i="5"/>
  <c r="Z24920" i="5"/>
  <c r="Z24919" i="5"/>
  <c r="Z24918" i="5"/>
  <c r="Z24917" i="5"/>
  <c r="Z24916" i="5"/>
  <c r="Z24915" i="5"/>
  <c r="Z24914" i="5"/>
  <c r="Z24913" i="5"/>
  <c r="Z24912" i="5"/>
  <c r="Z24911" i="5"/>
  <c r="Z24910" i="5"/>
  <c r="Z24909" i="5"/>
  <c r="Z24908" i="5"/>
  <c r="Z24907" i="5"/>
  <c r="Z24906" i="5"/>
  <c r="Z24905" i="5"/>
  <c r="Z24904" i="5"/>
  <c r="Z24903" i="5"/>
  <c r="Z24902" i="5"/>
  <c r="Z24901" i="5"/>
  <c r="Z24900" i="5"/>
  <c r="Z24899" i="5"/>
  <c r="Z24898" i="5"/>
  <c r="Z24897" i="5"/>
  <c r="Z24896" i="5"/>
  <c r="Z24895" i="5"/>
  <c r="Z24894" i="5"/>
  <c r="Z24893" i="5"/>
  <c r="Z24892" i="5"/>
  <c r="Z24891" i="5"/>
  <c r="Z24890" i="5"/>
  <c r="Z24889" i="5"/>
  <c r="Z24888" i="5"/>
  <c r="Z24887" i="5"/>
  <c r="Z24886" i="5"/>
  <c r="Z24885" i="5"/>
  <c r="Z24884" i="5"/>
  <c r="Z24883" i="5"/>
  <c r="Z24882" i="5"/>
  <c r="Z24881" i="5"/>
  <c r="Z24880" i="5"/>
  <c r="Z24879" i="5"/>
  <c r="Z24878" i="5"/>
  <c r="Z24877" i="5"/>
  <c r="Z24876" i="5"/>
  <c r="Z24875" i="5"/>
  <c r="Z24874" i="5"/>
  <c r="Z24873" i="5"/>
  <c r="Z24872" i="5"/>
  <c r="Z24871" i="5"/>
  <c r="Z24870" i="5"/>
  <c r="Z24869" i="5"/>
  <c r="Z24868" i="5"/>
  <c r="Z24867" i="5"/>
  <c r="Z24866" i="5"/>
  <c r="Z24865" i="5"/>
  <c r="Z24864" i="5"/>
  <c r="Z24863" i="5"/>
  <c r="Z24862" i="5"/>
  <c r="Z24861" i="5"/>
  <c r="Z24860" i="5"/>
  <c r="Z24859" i="5"/>
  <c r="Z24858" i="5"/>
  <c r="Z24857" i="5"/>
  <c r="Z24856" i="5"/>
  <c r="Z24855" i="5"/>
  <c r="Z24854" i="5"/>
  <c r="Z24853" i="5"/>
  <c r="Z24852" i="5"/>
  <c r="Z24851" i="5"/>
  <c r="Z24850" i="5"/>
  <c r="Z24849" i="5"/>
  <c r="Z24848" i="5"/>
  <c r="Z24847" i="5"/>
  <c r="Z24846" i="5"/>
  <c r="Z24845" i="5"/>
  <c r="Z24844" i="5"/>
  <c r="Z24843" i="5"/>
  <c r="Z24842" i="5"/>
  <c r="Z24841" i="5"/>
  <c r="Z24840" i="5"/>
  <c r="Z24839" i="5"/>
  <c r="Z24838" i="5"/>
  <c r="Z24837" i="5"/>
  <c r="Z24836" i="5"/>
  <c r="Z24835" i="5"/>
  <c r="Z24834" i="5"/>
  <c r="Z24833" i="5"/>
  <c r="Z24832" i="5"/>
  <c r="Z24831" i="5"/>
  <c r="Z24830" i="5"/>
  <c r="Z24829" i="5"/>
  <c r="Z24828" i="5"/>
  <c r="Z24827" i="5"/>
  <c r="Z24826" i="5"/>
  <c r="Z24825" i="5"/>
  <c r="Z24824" i="5"/>
  <c r="Z24823" i="5"/>
  <c r="Z24822" i="5"/>
  <c r="Z24821" i="5"/>
  <c r="Z24820" i="5"/>
  <c r="Z24819" i="5"/>
  <c r="Z24818" i="5"/>
  <c r="Z24817" i="5"/>
  <c r="Z24816" i="5"/>
  <c r="Z24815" i="5"/>
  <c r="Z24814" i="5"/>
  <c r="Z24813" i="5"/>
  <c r="Z24812" i="5"/>
  <c r="Z24811" i="5"/>
  <c r="Z24810" i="5"/>
  <c r="Z24809" i="5"/>
  <c r="Z24808" i="5"/>
  <c r="Z24807" i="5"/>
  <c r="Z24806" i="5"/>
  <c r="Z24805" i="5"/>
  <c r="Z24804" i="5"/>
  <c r="Z24803" i="5"/>
  <c r="Z24802" i="5"/>
  <c r="Z24801" i="5"/>
  <c r="Z24800" i="5"/>
  <c r="Z24799" i="5"/>
  <c r="Z24798" i="5"/>
  <c r="Z24797" i="5"/>
  <c r="Z24796" i="5"/>
  <c r="Z24795" i="5"/>
  <c r="Z24794" i="5"/>
  <c r="Z24793" i="5"/>
  <c r="Z24792" i="5"/>
  <c r="Z24791" i="5"/>
  <c r="Z24790" i="5"/>
  <c r="Z24789" i="5"/>
  <c r="Z24788" i="5"/>
  <c r="Z24787" i="5"/>
  <c r="Z24786" i="5"/>
  <c r="Z24785" i="5"/>
  <c r="Z24784" i="5"/>
  <c r="Z24783" i="5"/>
  <c r="Z24782" i="5"/>
  <c r="Z24781" i="5"/>
  <c r="Z24780" i="5"/>
  <c r="Z24779" i="5"/>
  <c r="Z24778" i="5"/>
  <c r="Z24777" i="5"/>
  <c r="Z24776" i="5"/>
  <c r="Z24775" i="5"/>
  <c r="Z24774" i="5"/>
  <c r="Z24773" i="5"/>
  <c r="Z24772" i="5"/>
  <c r="Z24771" i="5"/>
  <c r="Z24770" i="5"/>
  <c r="Z24769" i="5"/>
  <c r="Z24768" i="5"/>
  <c r="Z24767" i="5"/>
  <c r="Z24766" i="5"/>
  <c r="Z24765" i="5"/>
  <c r="Z24764" i="5"/>
  <c r="Z24763" i="5"/>
  <c r="Z24762" i="5"/>
  <c r="Z24761" i="5"/>
  <c r="Z24760" i="5"/>
  <c r="Z24759" i="5"/>
  <c r="Z24758" i="5"/>
  <c r="Z24757" i="5"/>
  <c r="Z24756" i="5"/>
  <c r="Z24755" i="5"/>
  <c r="Z24754" i="5"/>
  <c r="Z24753" i="5"/>
  <c r="Z24752" i="5"/>
  <c r="Z24751" i="5"/>
  <c r="Z24750" i="5"/>
  <c r="Z24749" i="5"/>
  <c r="Z24748" i="5"/>
  <c r="Z24747" i="5"/>
  <c r="Z24746" i="5"/>
  <c r="Z24745" i="5"/>
  <c r="Z24744" i="5"/>
  <c r="Z24743" i="5"/>
  <c r="Z24742" i="5"/>
  <c r="Z24741" i="5"/>
  <c r="Z24740" i="5"/>
  <c r="Z24739" i="5"/>
  <c r="Z24738" i="5"/>
  <c r="Z24737" i="5"/>
  <c r="Z24736" i="5"/>
  <c r="Z24735" i="5"/>
  <c r="Z24734" i="5"/>
  <c r="Z24733" i="5"/>
  <c r="Z24732" i="5"/>
  <c r="Z24731" i="5"/>
  <c r="Z24730" i="5"/>
  <c r="Z24729" i="5"/>
  <c r="Z24728" i="5"/>
  <c r="Z24727" i="5"/>
  <c r="Z24726" i="5"/>
  <c r="Z24725" i="5"/>
  <c r="Z24724" i="5"/>
  <c r="Z24723" i="5"/>
  <c r="Z24722" i="5"/>
  <c r="Z24721" i="5"/>
  <c r="Z24720" i="5"/>
  <c r="Z24719" i="5"/>
  <c r="Z24718" i="5"/>
  <c r="Z24717" i="5"/>
  <c r="Z24716" i="5"/>
  <c r="Z24715" i="5"/>
  <c r="Z24714" i="5"/>
  <c r="Z24713" i="5"/>
  <c r="Z24712" i="5"/>
  <c r="Z24711" i="5"/>
  <c r="Z24710" i="5"/>
  <c r="Z24709" i="5"/>
  <c r="Z24708" i="5"/>
  <c r="Z24707" i="5"/>
  <c r="Z24706" i="5"/>
  <c r="Z24705" i="5"/>
  <c r="Z24704" i="5"/>
  <c r="Z24703" i="5"/>
  <c r="Z24702" i="5"/>
  <c r="Z24701" i="5"/>
  <c r="Z24700" i="5"/>
  <c r="Z24699" i="5"/>
  <c r="Z24698" i="5"/>
  <c r="Z24697" i="5"/>
  <c r="Z24696" i="5"/>
  <c r="Z24695" i="5"/>
  <c r="Z24694" i="5"/>
  <c r="Z24693" i="5"/>
  <c r="Z24692" i="5"/>
  <c r="Z24691" i="5"/>
  <c r="Z24690" i="5"/>
  <c r="Z24689" i="5"/>
  <c r="Z24688" i="5"/>
  <c r="Z24687" i="5"/>
  <c r="Z24686" i="5"/>
  <c r="Z24685" i="5"/>
  <c r="Z24684" i="5"/>
  <c r="Z24683" i="5"/>
  <c r="Z24682" i="5"/>
  <c r="Z24681" i="5"/>
  <c r="Z24680" i="5"/>
  <c r="Z24679" i="5"/>
  <c r="Z24678" i="5"/>
  <c r="Z24677" i="5"/>
  <c r="Z24676" i="5"/>
  <c r="Z24675" i="5"/>
  <c r="Z24674" i="5"/>
  <c r="Z24673" i="5"/>
  <c r="Z24672" i="5"/>
  <c r="Z24671" i="5"/>
  <c r="Z24670" i="5"/>
  <c r="Z24669" i="5"/>
  <c r="Z24668" i="5"/>
  <c r="Z24667" i="5"/>
  <c r="Z24666" i="5"/>
  <c r="Z24665" i="5"/>
  <c r="Z24664" i="5"/>
  <c r="Z24663" i="5"/>
  <c r="Z24662" i="5"/>
  <c r="Z24661" i="5"/>
  <c r="Z24660" i="5"/>
  <c r="Z24659" i="5"/>
  <c r="Z24658" i="5"/>
  <c r="Z24657" i="5"/>
  <c r="Z24656" i="5"/>
  <c r="Z24655" i="5"/>
  <c r="Z24654" i="5"/>
  <c r="Z24653" i="5"/>
  <c r="Z24652" i="5"/>
  <c r="Z24651" i="5"/>
  <c r="Z24650" i="5"/>
  <c r="Z24649" i="5"/>
  <c r="Z24648" i="5"/>
  <c r="Z24647" i="5"/>
  <c r="Z24646" i="5"/>
  <c r="Z24645" i="5"/>
  <c r="Z24644" i="5"/>
  <c r="Z24643" i="5"/>
  <c r="Z24642" i="5"/>
  <c r="Z24641" i="5"/>
  <c r="Z24640" i="5"/>
  <c r="Z24639" i="5"/>
  <c r="Z24638" i="5"/>
  <c r="Z24637" i="5"/>
  <c r="Z24636" i="5"/>
  <c r="Z24635" i="5"/>
  <c r="Z24634" i="5"/>
  <c r="Z24633" i="5"/>
  <c r="Z24632" i="5"/>
  <c r="Z24631" i="5"/>
  <c r="Z24630" i="5"/>
  <c r="Z24629" i="5"/>
  <c r="Z24628" i="5"/>
  <c r="Z24627" i="5"/>
  <c r="Z24626" i="5"/>
  <c r="Z24625" i="5"/>
  <c r="Z24624" i="5"/>
  <c r="Z24623" i="5"/>
  <c r="Z24622" i="5"/>
  <c r="Z24621" i="5"/>
  <c r="Z24620" i="5"/>
  <c r="Z24619" i="5"/>
  <c r="Z24618" i="5"/>
  <c r="Z24617" i="5"/>
  <c r="Z24616" i="5"/>
  <c r="Z24615" i="5"/>
  <c r="Z24614" i="5"/>
  <c r="Z24613" i="5"/>
  <c r="Z24612" i="5"/>
  <c r="Z24611" i="5"/>
  <c r="Z24610" i="5"/>
  <c r="Z24609" i="5"/>
  <c r="Z24608" i="5"/>
  <c r="Z24607" i="5"/>
  <c r="Z24606" i="5"/>
  <c r="Z24605" i="5"/>
  <c r="Z24604" i="5"/>
  <c r="Z24603" i="5"/>
  <c r="Z24602" i="5"/>
  <c r="Z24601" i="5"/>
  <c r="Z24600" i="5"/>
  <c r="Z24599" i="5"/>
  <c r="Z24598" i="5"/>
  <c r="Z24597" i="5"/>
  <c r="Z24596" i="5"/>
  <c r="Z24595" i="5"/>
  <c r="Z24594" i="5"/>
  <c r="Z24593" i="5"/>
  <c r="Z24592" i="5"/>
  <c r="Z24591" i="5"/>
  <c r="Z24590" i="5"/>
  <c r="Z24589" i="5"/>
  <c r="Z24588" i="5"/>
  <c r="Z24587" i="5"/>
  <c r="Z24586" i="5"/>
  <c r="Z24585" i="5"/>
  <c r="Z24584" i="5"/>
  <c r="Z24583" i="5"/>
  <c r="Z24582" i="5"/>
  <c r="Z24581" i="5"/>
  <c r="Z24580" i="5"/>
  <c r="Z24579" i="5"/>
  <c r="Z24578" i="5"/>
  <c r="Z24577" i="5"/>
  <c r="Z24576" i="5"/>
  <c r="Z24575" i="5"/>
  <c r="Z24574" i="5"/>
  <c r="Z24573" i="5"/>
  <c r="Z24572" i="5"/>
  <c r="Z24571" i="5"/>
  <c r="Z24570" i="5"/>
  <c r="Z24569" i="5"/>
  <c r="Z24568" i="5"/>
  <c r="Z24567" i="5"/>
  <c r="Z24566" i="5"/>
  <c r="Z24565" i="5"/>
  <c r="Z24564" i="5"/>
  <c r="Z24563" i="5"/>
  <c r="Z24562" i="5"/>
  <c r="Z24561" i="5"/>
  <c r="Z24560" i="5"/>
  <c r="Z24559" i="5"/>
  <c r="Z24558" i="5"/>
  <c r="Z24557" i="5"/>
  <c r="Z24556" i="5"/>
  <c r="Z24555" i="5"/>
  <c r="Z24554" i="5"/>
  <c r="Z24553" i="5"/>
  <c r="Z24552" i="5"/>
  <c r="Z24551" i="5"/>
  <c r="Z24550" i="5"/>
  <c r="Z24549" i="5"/>
  <c r="Z24548" i="5"/>
  <c r="Z24547" i="5"/>
  <c r="Z24546" i="5"/>
  <c r="Z24545" i="5"/>
  <c r="Z24544" i="5"/>
  <c r="Z24543" i="5"/>
  <c r="Z24542" i="5"/>
  <c r="Z24541" i="5"/>
  <c r="Z24540" i="5"/>
  <c r="Z24539" i="5"/>
  <c r="Z24538" i="5"/>
  <c r="Z24537" i="5"/>
  <c r="Z24536" i="5"/>
  <c r="Z24535" i="5"/>
  <c r="Z24534" i="5"/>
  <c r="Z24533" i="5"/>
  <c r="Z24532" i="5"/>
  <c r="Z24531" i="5"/>
  <c r="Z24530" i="5"/>
  <c r="Z24529" i="5"/>
  <c r="Z24528" i="5"/>
  <c r="Z24527" i="5"/>
  <c r="Z24526" i="5"/>
  <c r="Z24525" i="5"/>
  <c r="Z24524" i="5"/>
  <c r="Z24523" i="5"/>
  <c r="Z24522" i="5"/>
  <c r="Z24521" i="5"/>
  <c r="Z24520" i="5"/>
  <c r="Z24519" i="5"/>
  <c r="Z24518" i="5"/>
  <c r="Z24517" i="5"/>
  <c r="Z24516" i="5"/>
  <c r="Z24515" i="5"/>
  <c r="Z24514" i="5"/>
  <c r="Z24513" i="5"/>
  <c r="Z24512" i="5"/>
  <c r="Z24511" i="5"/>
  <c r="Z24510" i="5"/>
  <c r="Z24509" i="5"/>
  <c r="Z24508" i="5"/>
  <c r="Z24507" i="5"/>
  <c r="Z24506" i="5"/>
  <c r="Z24505" i="5"/>
  <c r="Z24504" i="5"/>
  <c r="Z24503" i="5"/>
  <c r="Z24502" i="5"/>
  <c r="Z24501" i="5"/>
  <c r="Z24500" i="5"/>
  <c r="Z24499" i="5"/>
  <c r="Z24498" i="5"/>
  <c r="Z24497" i="5"/>
  <c r="Z24496" i="5"/>
  <c r="Z24495" i="5"/>
  <c r="Z24494" i="5"/>
  <c r="Z24493" i="5"/>
  <c r="Z24492" i="5"/>
  <c r="Z24491" i="5"/>
  <c r="Z24490" i="5"/>
  <c r="Z24489" i="5"/>
  <c r="Z24488" i="5"/>
  <c r="Z24487" i="5"/>
  <c r="Z24486" i="5"/>
  <c r="Z24485" i="5"/>
  <c r="Z24484" i="5"/>
  <c r="Z24483" i="5"/>
  <c r="Z24482" i="5"/>
  <c r="Z24481" i="5"/>
  <c r="Z24480" i="5"/>
  <c r="Z24479" i="5"/>
  <c r="Z24478" i="5"/>
  <c r="Z24477" i="5"/>
  <c r="Z24476" i="5"/>
  <c r="Z24475" i="5"/>
  <c r="Z24474" i="5"/>
  <c r="Z24473" i="5"/>
  <c r="Z24472" i="5"/>
  <c r="Z24471" i="5"/>
  <c r="Z24470" i="5"/>
  <c r="Z24469" i="5"/>
  <c r="Z24468" i="5"/>
  <c r="Z24467" i="5"/>
  <c r="Z24466" i="5"/>
  <c r="Z24465" i="5"/>
  <c r="Z24464" i="5"/>
  <c r="Z24463" i="5"/>
  <c r="Z24462" i="5"/>
  <c r="Z24461" i="5"/>
  <c r="Z24460" i="5"/>
  <c r="Z24459" i="5"/>
  <c r="Z24458" i="5"/>
  <c r="Z24457" i="5"/>
  <c r="Z24456" i="5"/>
  <c r="Z24455" i="5"/>
  <c r="Z24454" i="5"/>
  <c r="Z24453" i="5"/>
  <c r="Z24452" i="5"/>
  <c r="Z24451" i="5"/>
  <c r="Z24450" i="5"/>
  <c r="Z24449" i="5"/>
  <c r="Z24448" i="5"/>
  <c r="Z24447" i="5"/>
  <c r="Z24446" i="5"/>
  <c r="Z24445" i="5"/>
  <c r="Z24444" i="5"/>
  <c r="Z24443" i="5"/>
  <c r="Z24442" i="5"/>
  <c r="Z24441" i="5"/>
  <c r="Z24440" i="5"/>
  <c r="Z24439" i="5"/>
  <c r="Z24438" i="5"/>
  <c r="Z24437" i="5"/>
  <c r="Z24436" i="5"/>
  <c r="Z24435" i="5"/>
  <c r="Z24434" i="5"/>
  <c r="Z24433" i="5"/>
  <c r="Z24432" i="5"/>
  <c r="Z24431" i="5"/>
  <c r="Z24430" i="5"/>
  <c r="Z24429" i="5"/>
  <c r="Z24428" i="5"/>
  <c r="Z24427" i="5"/>
  <c r="Z24426" i="5"/>
  <c r="Z24425" i="5"/>
  <c r="Z24424" i="5"/>
  <c r="Z24423" i="5"/>
  <c r="Z24422" i="5"/>
  <c r="Z24421" i="5"/>
  <c r="Z24420" i="5"/>
  <c r="Z24419" i="5"/>
  <c r="Z24418" i="5"/>
  <c r="Z24417" i="5"/>
  <c r="Z24416" i="5"/>
  <c r="Z24415" i="5"/>
  <c r="Z24414" i="5"/>
  <c r="Z24413" i="5"/>
  <c r="Z24412" i="5"/>
  <c r="Z24411" i="5"/>
  <c r="Z24410" i="5"/>
  <c r="Z24409" i="5"/>
  <c r="Z24408" i="5"/>
  <c r="Z24407" i="5"/>
  <c r="Z24406" i="5"/>
  <c r="Z24405" i="5"/>
  <c r="Z24404" i="5"/>
  <c r="Z24403" i="5"/>
  <c r="Z24402" i="5"/>
  <c r="Z24401" i="5"/>
  <c r="Z24400" i="5"/>
  <c r="Z24399" i="5"/>
  <c r="Z24398" i="5"/>
  <c r="Z24397" i="5"/>
  <c r="Z24396" i="5"/>
  <c r="Z24395" i="5"/>
  <c r="Z24394" i="5"/>
  <c r="Z24393" i="5"/>
  <c r="Z24392" i="5"/>
  <c r="Z24391" i="5"/>
  <c r="Z24390" i="5"/>
  <c r="Z24389" i="5"/>
  <c r="Z24388" i="5"/>
  <c r="Z24387" i="5"/>
  <c r="Z24386" i="5"/>
  <c r="Z24385" i="5"/>
  <c r="Z24384" i="5"/>
  <c r="Z24383" i="5"/>
  <c r="Z24382" i="5"/>
  <c r="Z24381" i="5"/>
  <c r="Z24380" i="5"/>
  <c r="Z24379" i="5"/>
  <c r="Z24378" i="5"/>
  <c r="Z24377" i="5"/>
  <c r="Z24376" i="5"/>
  <c r="Z24375" i="5"/>
  <c r="Z24374" i="5"/>
  <c r="Z24373" i="5"/>
  <c r="Z24372" i="5"/>
  <c r="Z24371" i="5"/>
  <c r="Z24370" i="5"/>
  <c r="Z24369" i="5"/>
  <c r="Z24368" i="5"/>
  <c r="Z24367" i="5"/>
  <c r="Z24366" i="5"/>
  <c r="Z24365" i="5"/>
  <c r="Z24364" i="5"/>
  <c r="Z24363" i="5"/>
  <c r="Z24362" i="5"/>
  <c r="Z24361" i="5"/>
  <c r="Z24360" i="5"/>
  <c r="Z24359" i="5"/>
  <c r="Z24358" i="5"/>
  <c r="Z24357" i="5"/>
  <c r="Z24356" i="5"/>
  <c r="Z24355" i="5"/>
  <c r="Z24354" i="5"/>
  <c r="Z24353" i="5"/>
  <c r="Z24352" i="5"/>
  <c r="Z24351" i="5"/>
  <c r="Z24350" i="5"/>
  <c r="Z24349" i="5"/>
  <c r="Z24348" i="5"/>
  <c r="Z24347" i="5"/>
  <c r="Z24346" i="5"/>
  <c r="Z24345" i="5"/>
  <c r="Z24344" i="5"/>
  <c r="Z24343" i="5"/>
  <c r="Z24342" i="5"/>
  <c r="Z24341" i="5"/>
  <c r="Z24340" i="5"/>
  <c r="Z24339" i="5"/>
  <c r="Z24338" i="5"/>
  <c r="Z24337" i="5"/>
  <c r="Z24336" i="5"/>
  <c r="Z24335" i="5"/>
  <c r="Z24334" i="5"/>
  <c r="Z24333" i="5"/>
  <c r="Z24332" i="5"/>
  <c r="Z24331" i="5"/>
  <c r="Z24330" i="5"/>
  <c r="Z24329" i="5"/>
  <c r="Z24328" i="5"/>
  <c r="Z24327" i="5"/>
  <c r="Z24326" i="5"/>
  <c r="Z24325" i="5"/>
  <c r="Z24324" i="5"/>
  <c r="Z24323" i="5"/>
  <c r="Z24322" i="5"/>
  <c r="Z24321" i="5"/>
  <c r="Z24320" i="5"/>
  <c r="Z24319" i="5"/>
  <c r="Z24318" i="5"/>
  <c r="Z24317" i="5"/>
  <c r="Z24316" i="5"/>
  <c r="Z24315" i="5"/>
  <c r="Z24314" i="5"/>
  <c r="Z24313" i="5"/>
  <c r="Z24312" i="5"/>
  <c r="Z24311" i="5"/>
  <c r="Z24310" i="5"/>
  <c r="Z24309" i="5"/>
  <c r="Z24308" i="5"/>
  <c r="Z24307" i="5"/>
  <c r="Z24306" i="5"/>
  <c r="Z24305" i="5"/>
  <c r="Z24304" i="5"/>
  <c r="Z24303" i="5"/>
  <c r="Z24302" i="5"/>
  <c r="Z24301" i="5"/>
  <c r="Z24300" i="5"/>
  <c r="Z24299" i="5"/>
  <c r="Z24298" i="5"/>
  <c r="Z24297" i="5"/>
  <c r="Z24296" i="5"/>
  <c r="Z24295" i="5"/>
  <c r="Z24294" i="5"/>
  <c r="Z24293" i="5"/>
  <c r="Z24292" i="5"/>
  <c r="Z24291" i="5"/>
  <c r="Z24290" i="5"/>
  <c r="Z24289" i="5"/>
  <c r="Z24288" i="5"/>
  <c r="Z24287" i="5"/>
  <c r="Z24286" i="5"/>
  <c r="Z24285" i="5"/>
  <c r="Z24284" i="5"/>
  <c r="Z24283" i="5"/>
  <c r="Z24282" i="5"/>
  <c r="Z24281" i="5"/>
  <c r="Z24280" i="5"/>
  <c r="Z24279" i="5"/>
  <c r="Z24278" i="5"/>
  <c r="Z24277" i="5"/>
  <c r="Z24276" i="5"/>
  <c r="Z24275" i="5"/>
  <c r="Z24274" i="5"/>
  <c r="Z24273" i="5"/>
  <c r="Z24272" i="5"/>
  <c r="Z24271" i="5"/>
  <c r="Z24270" i="5"/>
  <c r="Z24269" i="5"/>
  <c r="Z24268" i="5"/>
  <c r="Z24267" i="5"/>
  <c r="Z24266" i="5"/>
  <c r="Z24265" i="5"/>
  <c r="Z24264" i="5"/>
  <c r="Z24263" i="5"/>
  <c r="Z24262" i="5"/>
  <c r="Z24261" i="5"/>
  <c r="Z24260" i="5"/>
  <c r="Z24259" i="5"/>
  <c r="Z24258" i="5"/>
  <c r="Z24257" i="5"/>
  <c r="Z24256" i="5"/>
  <c r="Z24255" i="5"/>
  <c r="Z24254" i="5"/>
  <c r="Z24253" i="5"/>
  <c r="Z24252" i="5"/>
  <c r="Z24251" i="5"/>
  <c r="Z24250" i="5"/>
  <c r="Z24249" i="5"/>
  <c r="Z24248" i="5"/>
  <c r="Z24247" i="5"/>
  <c r="Z24246" i="5"/>
  <c r="Z24245" i="5"/>
  <c r="Z24244" i="5"/>
  <c r="Z24243" i="5"/>
  <c r="Z24242" i="5"/>
  <c r="Z24241" i="5"/>
  <c r="Z24240" i="5"/>
  <c r="Z24239" i="5"/>
  <c r="Z24238" i="5"/>
  <c r="Z24237" i="5"/>
  <c r="Z24236" i="5"/>
  <c r="Z24235" i="5"/>
  <c r="Z24234" i="5"/>
  <c r="Z24233" i="5"/>
  <c r="Z24232" i="5"/>
  <c r="Z24231" i="5"/>
  <c r="Z24230" i="5"/>
  <c r="Z24229" i="5"/>
  <c r="Z24228" i="5"/>
  <c r="Z24227" i="5"/>
  <c r="Z24226" i="5"/>
  <c r="Z24225" i="5"/>
  <c r="Z24224" i="5"/>
  <c r="Z24223" i="5"/>
  <c r="Z24222" i="5"/>
  <c r="Z24221" i="5"/>
  <c r="Z24220" i="5"/>
  <c r="Z24219" i="5"/>
  <c r="Z24218" i="5"/>
  <c r="Z24217" i="5"/>
  <c r="Z24216" i="5"/>
  <c r="Z24215" i="5"/>
  <c r="Z24214" i="5"/>
  <c r="Z24213" i="5"/>
  <c r="Z24212" i="5"/>
  <c r="Z24211" i="5"/>
  <c r="Z24210" i="5"/>
  <c r="Z24209" i="5"/>
  <c r="Z24208" i="5"/>
  <c r="Z24207" i="5"/>
  <c r="Z24206" i="5"/>
  <c r="Z24205" i="5"/>
  <c r="Z24204" i="5"/>
  <c r="Z24203" i="5"/>
  <c r="Z24202" i="5"/>
  <c r="Z24201" i="5"/>
  <c r="Z24200" i="5"/>
  <c r="Z24199" i="5"/>
  <c r="Z24198" i="5"/>
  <c r="Z24197" i="5"/>
  <c r="Z24196" i="5"/>
  <c r="Z24195" i="5"/>
  <c r="Z24194" i="5"/>
  <c r="Z24193" i="5"/>
  <c r="Z24192" i="5"/>
  <c r="Z24191" i="5"/>
  <c r="Z24190" i="5"/>
  <c r="Z24189" i="5"/>
  <c r="Z24188" i="5"/>
  <c r="Z24187" i="5"/>
  <c r="Z24186" i="5"/>
  <c r="Z24185" i="5"/>
  <c r="Z24184" i="5"/>
  <c r="Z24183" i="5"/>
  <c r="Z24182" i="5"/>
  <c r="Z24181" i="5"/>
  <c r="Z24180" i="5"/>
  <c r="Z24179" i="5"/>
  <c r="Z24178" i="5"/>
  <c r="Z24177" i="5"/>
  <c r="Z24176" i="5"/>
  <c r="Z24175" i="5"/>
  <c r="Z24174" i="5"/>
  <c r="Z24173" i="5"/>
  <c r="Z24172" i="5"/>
  <c r="Z24171" i="5"/>
  <c r="Z24170" i="5"/>
  <c r="Z24169" i="5"/>
  <c r="Z24168" i="5"/>
  <c r="Z24167" i="5"/>
  <c r="Z24166" i="5"/>
  <c r="Z24165" i="5"/>
  <c r="Z24164" i="5"/>
  <c r="Z24163" i="5"/>
  <c r="Z24162" i="5"/>
  <c r="Z24161" i="5"/>
  <c r="Z24160" i="5"/>
  <c r="Z24159" i="5"/>
  <c r="Z24158" i="5"/>
  <c r="Z24157" i="5"/>
  <c r="Z24156" i="5"/>
  <c r="Z24155" i="5"/>
  <c r="Z24154" i="5"/>
  <c r="Z24153" i="5"/>
  <c r="Z24152" i="5"/>
  <c r="Z24151" i="5"/>
  <c r="Z24150" i="5"/>
  <c r="Z24149" i="5"/>
  <c r="Z24148" i="5"/>
  <c r="Z24147" i="5"/>
  <c r="Z24146" i="5"/>
  <c r="Z24145" i="5"/>
  <c r="Z24144" i="5"/>
  <c r="Z24143" i="5"/>
  <c r="Z24142" i="5"/>
  <c r="Z24141" i="5"/>
  <c r="Z24140" i="5"/>
  <c r="Z24139" i="5"/>
  <c r="Z24138" i="5"/>
  <c r="Z24137" i="5"/>
  <c r="Z24136" i="5"/>
  <c r="Z24135" i="5"/>
  <c r="Z24134" i="5"/>
  <c r="Z24133" i="5"/>
  <c r="Z24132" i="5"/>
  <c r="Z24131" i="5"/>
  <c r="Z24130" i="5"/>
  <c r="Z24129" i="5"/>
  <c r="Z24128" i="5"/>
  <c r="Z24127" i="5"/>
  <c r="Z24126" i="5"/>
  <c r="Z24125" i="5"/>
  <c r="Z24124" i="5"/>
  <c r="Z24123" i="5"/>
  <c r="Z24122" i="5"/>
  <c r="Z24121" i="5"/>
  <c r="Z24120" i="5"/>
  <c r="Z24119" i="5"/>
  <c r="Z24118" i="5"/>
  <c r="Z24117" i="5"/>
  <c r="Z24116" i="5"/>
  <c r="Z24115" i="5"/>
  <c r="Z24114" i="5"/>
  <c r="Z24113" i="5"/>
  <c r="Z24112" i="5"/>
  <c r="Z24111" i="5"/>
  <c r="Z24110" i="5"/>
  <c r="Z24109" i="5"/>
  <c r="Z24108" i="5"/>
  <c r="Z24107" i="5"/>
  <c r="Z24106" i="5"/>
  <c r="Z24105" i="5"/>
  <c r="Z24104" i="5"/>
  <c r="Z24103" i="5"/>
  <c r="Z24102" i="5"/>
  <c r="Z24101" i="5"/>
  <c r="Z24100" i="5"/>
  <c r="Z24099" i="5"/>
  <c r="Z24098" i="5"/>
  <c r="Z24097" i="5"/>
  <c r="Z24096" i="5"/>
  <c r="Z24095" i="5"/>
  <c r="Z24094" i="5"/>
  <c r="Z24093" i="5"/>
  <c r="Z24092" i="5"/>
  <c r="Z24091" i="5"/>
  <c r="Z24090" i="5"/>
  <c r="Z24089" i="5"/>
  <c r="Z24088" i="5"/>
  <c r="Z24087" i="5"/>
  <c r="Z24086" i="5"/>
  <c r="Z24085" i="5"/>
  <c r="Z24084" i="5"/>
  <c r="Z24083" i="5"/>
  <c r="Z24082" i="5"/>
  <c r="Z24081" i="5"/>
  <c r="Z24080" i="5"/>
  <c r="Z24079" i="5"/>
  <c r="Z24078" i="5"/>
  <c r="Z24077" i="5"/>
  <c r="Z24076" i="5"/>
  <c r="Z24075" i="5"/>
  <c r="Z24074" i="5"/>
  <c r="Z24073" i="5"/>
  <c r="Z24072" i="5"/>
  <c r="Z24071" i="5"/>
  <c r="Z24070" i="5"/>
  <c r="Z24069" i="5"/>
  <c r="Z24068" i="5"/>
  <c r="Z24067" i="5"/>
  <c r="Z24066" i="5"/>
  <c r="Z24065" i="5"/>
  <c r="Z24064" i="5"/>
  <c r="Z24063" i="5"/>
  <c r="Z24062" i="5"/>
  <c r="Z24061" i="5"/>
  <c r="Z24060" i="5"/>
  <c r="Z24059" i="5"/>
  <c r="Z24058" i="5"/>
  <c r="Z24057" i="5"/>
  <c r="Z24056" i="5"/>
  <c r="Z24055" i="5"/>
  <c r="Z24054" i="5"/>
  <c r="Z24053" i="5"/>
  <c r="Z24052" i="5"/>
  <c r="Z24051" i="5"/>
  <c r="Z24050" i="5"/>
  <c r="Z24049" i="5"/>
  <c r="Z24048" i="5"/>
  <c r="Z24047" i="5"/>
  <c r="Z24046" i="5"/>
  <c r="Z24045" i="5"/>
  <c r="Z24044" i="5"/>
  <c r="Z24043" i="5"/>
  <c r="Z24042" i="5"/>
  <c r="Z24041" i="5"/>
  <c r="Z24040" i="5"/>
  <c r="Z24039" i="5"/>
  <c r="Z24038" i="5"/>
  <c r="Z24037" i="5"/>
  <c r="Z24036" i="5"/>
  <c r="Z24035" i="5"/>
  <c r="Z24034" i="5"/>
  <c r="Z24033" i="5"/>
  <c r="Z24032" i="5"/>
  <c r="Z24031" i="5"/>
  <c r="Z24030" i="5"/>
  <c r="Z24029" i="5"/>
  <c r="Z24028" i="5"/>
  <c r="Z24027" i="5"/>
  <c r="Z24026" i="5"/>
  <c r="Z24025" i="5"/>
  <c r="Z24024" i="5"/>
  <c r="Z24023" i="5"/>
  <c r="Z24022" i="5"/>
  <c r="Z24021" i="5"/>
  <c r="Z24020" i="5"/>
  <c r="Z24019" i="5"/>
  <c r="Z24018" i="5"/>
  <c r="Z24017" i="5"/>
  <c r="Z24016" i="5"/>
  <c r="Z24015" i="5"/>
  <c r="Z24014" i="5"/>
  <c r="Z24013" i="5"/>
  <c r="Z24012" i="5"/>
  <c r="Z24011" i="5"/>
  <c r="Z24010" i="5"/>
  <c r="Z24009" i="5"/>
  <c r="Z24008" i="5"/>
  <c r="Z24007" i="5"/>
  <c r="Z24006" i="5"/>
  <c r="Z24005" i="5"/>
  <c r="Z24004" i="5"/>
  <c r="Z24003" i="5"/>
  <c r="Z24002" i="5"/>
  <c r="Z24001" i="5"/>
  <c r="Z24000" i="5"/>
  <c r="Z23999" i="5"/>
  <c r="Z23998" i="5"/>
  <c r="Z23997" i="5"/>
  <c r="Z23996" i="5"/>
  <c r="Z23995" i="5"/>
  <c r="Z23994" i="5"/>
  <c r="Z23993" i="5"/>
  <c r="Z23992" i="5"/>
  <c r="Z23991" i="5"/>
  <c r="Z23990" i="5"/>
  <c r="Z23989" i="5"/>
  <c r="Z23988" i="5"/>
  <c r="Z23987" i="5"/>
  <c r="Z23986" i="5"/>
  <c r="Z23985" i="5"/>
  <c r="Z23984" i="5"/>
  <c r="Z23983" i="5"/>
  <c r="Z23982" i="5"/>
  <c r="Z23981" i="5"/>
  <c r="Z23980" i="5"/>
  <c r="Z23979" i="5"/>
  <c r="Z23978" i="5"/>
  <c r="Z23977" i="5"/>
  <c r="Z23976" i="5"/>
  <c r="Z23975" i="5"/>
  <c r="Z23974" i="5"/>
  <c r="Z23973" i="5"/>
  <c r="Z23972" i="5"/>
  <c r="Z23971" i="5"/>
  <c r="Z23970" i="5"/>
  <c r="Z23969" i="5"/>
  <c r="Z23968" i="5"/>
  <c r="Z23967" i="5"/>
  <c r="Z23966" i="5"/>
  <c r="Z23965" i="5"/>
  <c r="Z23964" i="5"/>
  <c r="Z23963" i="5"/>
  <c r="Z23962" i="5"/>
  <c r="Z23961" i="5"/>
  <c r="Z23960" i="5"/>
  <c r="Z23959" i="5"/>
  <c r="Z23958" i="5"/>
  <c r="Z23957" i="5"/>
  <c r="Z23956" i="5"/>
  <c r="Z23955" i="5"/>
  <c r="Z23954" i="5"/>
  <c r="Z23953" i="5"/>
  <c r="Z23952" i="5"/>
  <c r="Z23951" i="5"/>
  <c r="Z23950" i="5"/>
  <c r="Z23949" i="5"/>
  <c r="Z23948" i="5"/>
  <c r="Z23947" i="5"/>
  <c r="Z23946" i="5"/>
  <c r="Z23945" i="5"/>
  <c r="Z23944" i="5"/>
  <c r="Z23943" i="5"/>
  <c r="Z23942" i="5"/>
  <c r="Z23941" i="5"/>
  <c r="Z23940" i="5"/>
  <c r="Z23939" i="5"/>
  <c r="Z23938" i="5"/>
  <c r="Z23937" i="5"/>
  <c r="Z23936" i="5"/>
  <c r="Z23935" i="5"/>
  <c r="Z23934" i="5"/>
  <c r="Z23933" i="5"/>
  <c r="Z23932" i="5"/>
  <c r="Z23931" i="5"/>
  <c r="Z23930" i="5"/>
  <c r="Z23929" i="5"/>
  <c r="Z23928" i="5"/>
  <c r="Z23927" i="5"/>
  <c r="Z23926" i="5"/>
  <c r="Z23925" i="5"/>
  <c r="Z23924" i="5"/>
  <c r="Z23923" i="5"/>
  <c r="Z23922" i="5"/>
  <c r="Z23921" i="5"/>
  <c r="Z23920" i="5"/>
  <c r="Z23919" i="5"/>
  <c r="Z23918" i="5"/>
  <c r="Z23917" i="5"/>
  <c r="Z23916" i="5"/>
  <c r="Z23915" i="5"/>
  <c r="Z23914" i="5"/>
  <c r="Z23913" i="5"/>
  <c r="Z23912" i="5"/>
  <c r="Z23911" i="5"/>
  <c r="Z23910" i="5"/>
  <c r="Z23909" i="5"/>
  <c r="Z23908" i="5"/>
  <c r="Z23907" i="5"/>
  <c r="Z23906" i="5"/>
  <c r="Z23905" i="5"/>
  <c r="Z23904" i="5"/>
  <c r="Z23903" i="5"/>
  <c r="Z23902" i="5"/>
  <c r="Z23901" i="5"/>
  <c r="Z23900" i="5"/>
  <c r="Z23899" i="5"/>
  <c r="Z23898" i="5"/>
  <c r="Z23897" i="5"/>
  <c r="Z23896" i="5"/>
  <c r="Z23895" i="5"/>
  <c r="Z23894" i="5"/>
  <c r="Z23893" i="5"/>
  <c r="Z23892" i="5"/>
  <c r="Z23891" i="5"/>
  <c r="Z23890" i="5"/>
  <c r="Z23889" i="5"/>
  <c r="Z23888" i="5"/>
  <c r="Z23887" i="5"/>
  <c r="Z23886" i="5"/>
  <c r="Z23885" i="5"/>
  <c r="Z23884" i="5"/>
  <c r="Z23883" i="5"/>
  <c r="Z23882" i="5"/>
  <c r="Z23881" i="5"/>
  <c r="Z23880" i="5"/>
  <c r="Z23879" i="5"/>
  <c r="Z23878" i="5"/>
  <c r="Z23877" i="5"/>
  <c r="Z23876" i="5"/>
  <c r="Z23875" i="5"/>
  <c r="Z23874" i="5"/>
  <c r="Z23873" i="5"/>
  <c r="Z23872" i="5"/>
  <c r="Z23871" i="5"/>
  <c r="Z23870" i="5"/>
  <c r="Z23869" i="5"/>
  <c r="Z23868" i="5"/>
  <c r="Z23867" i="5"/>
  <c r="Z23866" i="5"/>
  <c r="Z23865" i="5"/>
  <c r="Z23864" i="5"/>
  <c r="Z23863" i="5"/>
  <c r="Z23862" i="5"/>
  <c r="Z23861" i="5"/>
  <c r="Z23860" i="5"/>
  <c r="Z23859" i="5"/>
  <c r="Z23858" i="5"/>
  <c r="Z23857" i="5"/>
  <c r="Z23856" i="5"/>
  <c r="Z23855" i="5"/>
  <c r="Z23854" i="5"/>
  <c r="Z23853" i="5"/>
  <c r="Z23852" i="5"/>
  <c r="Z23851" i="5"/>
  <c r="Z23850" i="5"/>
  <c r="Z23849" i="5"/>
  <c r="Z23848" i="5"/>
  <c r="Z23847" i="5"/>
  <c r="Z23846" i="5"/>
  <c r="Z23845" i="5"/>
  <c r="Z23844" i="5"/>
  <c r="Z23843" i="5"/>
  <c r="Z23842" i="5"/>
  <c r="Z23841" i="5"/>
  <c r="Z23840" i="5"/>
  <c r="Z23839" i="5"/>
  <c r="Z23838" i="5"/>
  <c r="Z23837" i="5"/>
  <c r="Z23836" i="5"/>
  <c r="Z23835" i="5"/>
  <c r="Z23834" i="5"/>
  <c r="Z23833" i="5"/>
  <c r="Z23832" i="5"/>
  <c r="Z23831" i="5"/>
  <c r="Z23830" i="5"/>
  <c r="Z23829" i="5"/>
  <c r="Z23828" i="5"/>
  <c r="Z23827" i="5"/>
  <c r="Z23826" i="5"/>
  <c r="Z23825" i="5"/>
  <c r="Z23824" i="5"/>
  <c r="Z23823" i="5"/>
  <c r="Z23822" i="5"/>
  <c r="Z23821" i="5"/>
  <c r="Z23820" i="5"/>
  <c r="Z23819" i="5"/>
  <c r="Z23818" i="5"/>
  <c r="Z23817" i="5"/>
  <c r="Z23816" i="5"/>
  <c r="Z23815" i="5"/>
  <c r="Z23814" i="5"/>
  <c r="Z23813" i="5"/>
  <c r="Z23812" i="5"/>
  <c r="Z23811" i="5"/>
  <c r="Z23810" i="5"/>
  <c r="Z23809" i="5"/>
  <c r="Z23808" i="5"/>
  <c r="Z23807" i="5"/>
  <c r="Z23806" i="5"/>
  <c r="Z23805" i="5"/>
  <c r="Z23804" i="5"/>
  <c r="Z23803" i="5"/>
  <c r="Z23802" i="5"/>
  <c r="Z23801" i="5"/>
  <c r="Z23800" i="5"/>
  <c r="Z23799" i="5"/>
  <c r="Z23798" i="5"/>
  <c r="Z23797" i="5"/>
  <c r="Z23796" i="5"/>
  <c r="Z23795" i="5"/>
  <c r="Z23794" i="5"/>
  <c r="Z23793" i="5"/>
  <c r="Z23792" i="5"/>
  <c r="Z23791" i="5"/>
  <c r="Z23790" i="5"/>
  <c r="Z23789" i="5"/>
  <c r="Z23788" i="5"/>
  <c r="Z23787" i="5"/>
  <c r="Z23786" i="5"/>
  <c r="Z23785" i="5"/>
  <c r="Z23784" i="5"/>
  <c r="Z23783" i="5"/>
  <c r="Z23782" i="5"/>
  <c r="Z23781" i="5"/>
  <c r="Z23780" i="5"/>
  <c r="Z23779" i="5"/>
  <c r="Z23778" i="5"/>
  <c r="Z23777" i="5"/>
  <c r="Z23776" i="5"/>
  <c r="Z23775" i="5"/>
  <c r="Z23774" i="5"/>
  <c r="Z23773" i="5"/>
  <c r="Z23772" i="5"/>
  <c r="Z23771" i="5"/>
  <c r="Z23770" i="5"/>
  <c r="Z23769" i="5"/>
  <c r="Z23768" i="5"/>
  <c r="Z23767" i="5"/>
  <c r="Z23766" i="5"/>
  <c r="Z23765" i="5"/>
  <c r="Z23764" i="5"/>
  <c r="Z23763" i="5"/>
  <c r="Z23762" i="5"/>
  <c r="Z23761" i="5"/>
  <c r="Z23760" i="5"/>
  <c r="Z23759" i="5"/>
  <c r="Z23758" i="5"/>
  <c r="Z23757" i="5"/>
  <c r="Z23756" i="5"/>
  <c r="Z23755" i="5"/>
  <c r="Z23754" i="5"/>
  <c r="Z23753" i="5"/>
  <c r="Z23752" i="5"/>
  <c r="Z23751" i="5"/>
  <c r="Z23750" i="5"/>
  <c r="Z23749" i="5"/>
  <c r="Z23748" i="5"/>
  <c r="Z23747" i="5"/>
  <c r="Z23746" i="5"/>
  <c r="Z23745" i="5"/>
  <c r="Z23744" i="5"/>
  <c r="Z23743" i="5"/>
  <c r="Z23742" i="5"/>
  <c r="Z23741" i="5"/>
  <c r="Z23740" i="5"/>
  <c r="Z23739" i="5"/>
  <c r="Z23738" i="5"/>
  <c r="Z23737" i="5"/>
  <c r="Z23736" i="5"/>
  <c r="Z23735" i="5"/>
  <c r="Z23734" i="5"/>
  <c r="Z23733" i="5"/>
  <c r="Z23732" i="5"/>
  <c r="Z23731" i="5"/>
  <c r="Z23730" i="5"/>
  <c r="Z23729" i="5"/>
  <c r="Z23728" i="5"/>
  <c r="Z23727" i="5"/>
  <c r="Z23726" i="5"/>
  <c r="Z23725" i="5"/>
  <c r="Z23724" i="5"/>
  <c r="Z23723" i="5"/>
  <c r="Z23722" i="5"/>
  <c r="Z23721" i="5"/>
  <c r="Z23720" i="5"/>
  <c r="Z23719" i="5"/>
  <c r="Z23718" i="5"/>
  <c r="Z23717" i="5"/>
  <c r="Z23716" i="5"/>
  <c r="Z23715" i="5"/>
  <c r="Z23714" i="5"/>
  <c r="Z23713" i="5"/>
  <c r="Z23712" i="5"/>
  <c r="Z23711" i="5"/>
  <c r="Z23710" i="5"/>
  <c r="Z23709" i="5"/>
  <c r="Z23708" i="5"/>
  <c r="Z23707" i="5"/>
  <c r="Z23706" i="5"/>
  <c r="Z23705" i="5"/>
  <c r="Z23704" i="5"/>
  <c r="Z23703" i="5"/>
  <c r="Z23702" i="5"/>
  <c r="Z23701" i="5"/>
  <c r="Z23700" i="5"/>
  <c r="Z23699" i="5"/>
  <c r="Z23698" i="5"/>
  <c r="Z23697" i="5"/>
  <c r="Z23696" i="5"/>
  <c r="Z23695" i="5"/>
  <c r="Z23694" i="5"/>
  <c r="Z23693" i="5"/>
  <c r="Z23692" i="5"/>
  <c r="Z23691" i="5"/>
  <c r="Z23690" i="5"/>
  <c r="Z23689" i="5"/>
  <c r="Z23688" i="5"/>
  <c r="Z23687" i="5"/>
  <c r="Z23686" i="5"/>
  <c r="Z23685" i="5"/>
  <c r="Z23684" i="5"/>
  <c r="Z23683" i="5"/>
  <c r="Z23682" i="5"/>
  <c r="Z23681" i="5"/>
  <c r="Z23680" i="5"/>
  <c r="Z23679" i="5"/>
  <c r="Z23678" i="5"/>
  <c r="Z23677" i="5"/>
  <c r="Z23676" i="5"/>
  <c r="Z23675" i="5"/>
  <c r="Z23674" i="5"/>
  <c r="Z23673" i="5"/>
  <c r="Z23672" i="5"/>
  <c r="Z23671" i="5"/>
  <c r="Z23670" i="5"/>
  <c r="Z23669" i="5"/>
  <c r="Z23668" i="5"/>
  <c r="Z23667" i="5"/>
  <c r="Z23666" i="5"/>
  <c r="Z23665" i="5"/>
  <c r="Z23664" i="5"/>
  <c r="Z23663" i="5"/>
  <c r="Z23662" i="5"/>
  <c r="Z23661" i="5"/>
  <c r="Z23660" i="5"/>
  <c r="Z23659" i="5"/>
  <c r="Z23658" i="5"/>
  <c r="Z23657" i="5"/>
  <c r="Z23656" i="5"/>
  <c r="Z23655" i="5"/>
  <c r="Z23654" i="5"/>
  <c r="Z23653" i="5"/>
  <c r="Z23652" i="5"/>
  <c r="Z23651" i="5"/>
  <c r="Z23650" i="5"/>
  <c r="Z23649" i="5"/>
  <c r="Z23648" i="5"/>
  <c r="Z23647" i="5"/>
  <c r="Z23646" i="5"/>
  <c r="Z23645" i="5"/>
  <c r="Z23644" i="5"/>
  <c r="Z23643" i="5"/>
  <c r="Z23642" i="5"/>
  <c r="Z23641" i="5"/>
  <c r="Z23640" i="5"/>
  <c r="Z23639" i="5"/>
  <c r="Z23638" i="5"/>
  <c r="Z23637" i="5"/>
  <c r="Z23636" i="5"/>
  <c r="Z23635" i="5"/>
  <c r="Z23634" i="5"/>
  <c r="Z23633" i="5"/>
  <c r="Z23632" i="5"/>
  <c r="Z23631" i="5"/>
  <c r="Z23630" i="5"/>
  <c r="Z23629" i="5"/>
  <c r="Z23628" i="5"/>
  <c r="Z23627" i="5"/>
  <c r="Z23626" i="5"/>
  <c r="Z23625" i="5"/>
  <c r="Z23624" i="5"/>
  <c r="Z23623" i="5"/>
  <c r="Z23622" i="5"/>
  <c r="Z23621" i="5"/>
  <c r="Z23620" i="5"/>
  <c r="Z23619" i="5"/>
  <c r="Z23618" i="5"/>
  <c r="Z23617" i="5"/>
  <c r="Z23616" i="5"/>
  <c r="Z23615" i="5"/>
  <c r="Z23614" i="5"/>
  <c r="Z23613" i="5"/>
  <c r="Z23612" i="5"/>
  <c r="Z23611" i="5"/>
  <c r="Z23610" i="5"/>
  <c r="Z23609" i="5"/>
  <c r="Z23608" i="5"/>
  <c r="Z23607" i="5"/>
  <c r="Z23606" i="5"/>
  <c r="Z23605" i="5"/>
  <c r="Z23604" i="5"/>
  <c r="Z23603" i="5"/>
  <c r="Z23602" i="5"/>
  <c r="Z23601" i="5"/>
  <c r="Z23600" i="5"/>
  <c r="Z23599" i="5"/>
  <c r="Z23598" i="5"/>
  <c r="Z23597" i="5"/>
  <c r="Z23596" i="5"/>
  <c r="Z23595" i="5"/>
  <c r="Z23594" i="5"/>
  <c r="Z23593" i="5"/>
  <c r="Z23592" i="5"/>
  <c r="Z23591" i="5"/>
  <c r="Z23590" i="5"/>
  <c r="Z23589" i="5"/>
  <c r="Z23588" i="5"/>
  <c r="Z23587" i="5"/>
  <c r="Z23586" i="5"/>
  <c r="Z23585" i="5"/>
  <c r="Z23584" i="5"/>
  <c r="Z23583" i="5"/>
  <c r="Z23582" i="5"/>
  <c r="Z23581" i="5"/>
  <c r="Z23580" i="5"/>
  <c r="Z23579" i="5"/>
  <c r="Z23578" i="5"/>
  <c r="Z23577" i="5"/>
  <c r="Z23576" i="5"/>
  <c r="Z23575" i="5"/>
  <c r="Z23574" i="5"/>
  <c r="Z23573" i="5"/>
  <c r="Z23572" i="5"/>
  <c r="Z23571" i="5"/>
  <c r="Z23570" i="5"/>
  <c r="Z23569" i="5"/>
  <c r="Z23568" i="5"/>
  <c r="Z23567" i="5"/>
  <c r="Z23566" i="5"/>
  <c r="Z23565" i="5"/>
  <c r="Z23564" i="5"/>
  <c r="Z23563" i="5"/>
  <c r="Z23562" i="5"/>
  <c r="Z23561" i="5"/>
  <c r="Z23560" i="5"/>
  <c r="Z23559" i="5"/>
  <c r="Z23558" i="5"/>
  <c r="Z23557" i="5"/>
  <c r="Z23556" i="5"/>
  <c r="Z23555" i="5"/>
  <c r="Z23554" i="5"/>
  <c r="Z23553" i="5"/>
  <c r="Z23552" i="5"/>
  <c r="Z23551" i="5"/>
  <c r="Z23550" i="5"/>
  <c r="Z23549" i="5"/>
  <c r="Z23548" i="5"/>
  <c r="Z23547" i="5"/>
  <c r="Z23546" i="5"/>
  <c r="Z23545" i="5"/>
  <c r="Z23544" i="5"/>
  <c r="Z23543" i="5"/>
  <c r="Z23542" i="5"/>
  <c r="Z23541" i="5"/>
  <c r="Z23540" i="5"/>
  <c r="Z23539" i="5"/>
  <c r="Z23538" i="5"/>
  <c r="Z23537" i="5"/>
  <c r="Z23536" i="5"/>
  <c r="Z23535" i="5"/>
  <c r="Z23534" i="5"/>
  <c r="Z23533" i="5"/>
  <c r="Z23532" i="5"/>
  <c r="Z23531" i="5"/>
  <c r="Z23530" i="5"/>
  <c r="Z23529" i="5"/>
  <c r="Z23528" i="5"/>
  <c r="Z23527" i="5"/>
  <c r="Z23526" i="5"/>
  <c r="Z23525" i="5"/>
  <c r="Z23524" i="5"/>
  <c r="Z23523" i="5"/>
  <c r="Z23522" i="5"/>
  <c r="Z23521" i="5"/>
  <c r="Z23520" i="5"/>
  <c r="Z23519" i="5"/>
  <c r="Z23518" i="5"/>
  <c r="Z23517" i="5"/>
  <c r="Z23516" i="5"/>
  <c r="Z23515" i="5"/>
  <c r="Z23514" i="5"/>
  <c r="Z23513" i="5"/>
  <c r="Z23512" i="5"/>
  <c r="Z23511" i="5"/>
  <c r="Z23510" i="5"/>
  <c r="Z23509" i="5"/>
  <c r="Z23508" i="5"/>
  <c r="Z23507" i="5"/>
  <c r="Z23506" i="5"/>
  <c r="Z23505" i="5"/>
  <c r="Z23504" i="5"/>
  <c r="Z23503" i="5"/>
  <c r="Z23502" i="5"/>
  <c r="Z23501" i="5"/>
  <c r="Z23500" i="5"/>
  <c r="Z23499" i="5"/>
  <c r="Z23498" i="5"/>
  <c r="Z23497" i="5"/>
  <c r="Z23496" i="5"/>
  <c r="Z23495" i="5"/>
  <c r="Z23494" i="5"/>
  <c r="Z23493" i="5"/>
  <c r="Z23492" i="5"/>
  <c r="Z23491" i="5"/>
  <c r="Z23490" i="5"/>
  <c r="Z23489" i="5"/>
  <c r="Z23488" i="5"/>
  <c r="Z23487" i="5"/>
  <c r="Z23486" i="5"/>
  <c r="Z23485" i="5"/>
  <c r="Z23484" i="5"/>
  <c r="Z23483" i="5"/>
  <c r="Z23482" i="5"/>
  <c r="Z23481" i="5"/>
  <c r="Z23480" i="5"/>
  <c r="Z23479" i="5"/>
  <c r="Z23478" i="5"/>
  <c r="Z23477" i="5"/>
  <c r="Z23476" i="5"/>
  <c r="Z23475" i="5"/>
  <c r="Z23474" i="5"/>
  <c r="Z23473" i="5"/>
  <c r="Z23472" i="5"/>
  <c r="Z23471" i="5"/>
  <c r="Z23470" i="5"/>
  <c r="Z23469" i="5"/>
  <c r="Z23468" i="5"/>
  <c r="Z23467" i="5"/>
  <c r="Z23466" i="5"/>
  <c r="Z23465" i="5"/>
  <c r="Z23464" i="5"/>
  <c r="Z23463" i="5"/>
  <c r="Z23462" i="5"/>
  <c r="Z23461" i="5"/>
  <c r="Z23460" i="5"/>
  <c r="Z23459" i="5"/>
  <c r="Z23458" i="5"/>
  <c r="Z23457" i="5"/>
  <c r="Z23456" i="5"/>
  <c r="Z23455" i="5"/>
  <c r="Z23454" i="5"/>
  <c r="Z23453" i="5"/>
  <c r="Z23452" i="5"/>
  <c r="Z23451" i="5"/>
  <c r="Z23450" i="5"/>
  <c r="Z23449" i="5"/>
  <c r="Z23448" i="5"/>
  <c r="Z23447" i="5"/>
  <c r="Z23446" i="5"/>
  <c r="Z23445" i="5"/>
  <c r="Z23444" i="5"/>
  <c r="Z23443" i="5"/>
  <c r="Z23442" i="5"/>
  <c r="Z23441" i="5"/>
  <c r="Z23440" i="5"/>
  <c r="Z23439" i="5"/>
  <c r="Z23438" i="5"/>
  <c r="Z23437" i="5"/>
  <c r="Z23436" i="5"/>
  <c r="Z23435" i="5"/>
  <c r="Z23434" i="5"/>
  <c r="Z23433" i="5"/>
  <c r="Z23432" i="5"/>
  <c r="Z23431" i="5"/>
  <c r="Z23430" i="5"/>
  <c r="Z23429" i="5"/>
  <c r="Z23428" i="5"/>
  <c r="Z23427" i="5"/>
  <c r="Z23426" i="5"/>
  <c r="Z23425" i="5"/>
  <c r="Z23424" i="5"/>
  <c r="Z23423" i="5"/>
  <c r="Z23422" i="5"/>
  <c r="Z23421" i="5"/>
  <c r="Z23420" i="5"/>
  <c r="Z23419" i="5"/>
  <c r="Z23418" i="5"/>
  <c r="Z23417" i="5"/>
  <c r="Z23416" i="5"/>
  <c r="Z23415" i="5"/>
  <c r="Z23414" i="5"/>
  <c r="Z23413" i="5"/>
  <c r="Z23412" i="5"/>
  <c r="Z23411" i="5"/>
  <c r="Z23410" i="5"/>
  <c r="Z23409" i="5"/>
  <c r="Z23408" i="5"/>
  <c r="Z23407" i="5"/>
  <c r="Z23406" i="5"/>
  <c r="Z23405" i="5"/>
  <c r="Z23404" i="5"/>
  <c r="Z23403" i="5"/>
  <c r="Z23402" i="5"/>
  <c r="Z23401" i="5"/>
  <c r="Z23400" i="5"/>
  <c r="Z23399" i="5"/>
  <c r="Z23398" i="5"/>
  <c r="Z23397" i="5"/>
  <c r="Z23396" i="5"/>
  <c r="Z23395" i="5"/>
  <c r="Z23394" i="5"/>
  <c r="Z23393" i="5"/>
  <c r="Z23392" i="5"/>
  <c r="Z23391" i="5"/>
  <c r="Z23390" i="5"/>
  <c r="Z23389" i="5"/>
  <c r="Z23388" i="5"/>
  <c r="Z23387" i="5"/>
  <c r="Z23386" i="5"/>
  <c r="Z23385" i="5"/>
  <c r="Z23384" i="5"/>
  <c r="Z23383" i="5"/>
  <c r="Z23382" i="5"/>
  <c r="Z23381" i="5"/>
  <c r="Z23380" i="5"/>
  <c r="Z23379" i="5"/>
  <c r="Z23378" i="5"/>
  <c r="Z23377" i="5"/>
  <c r="Z23376" i="5"/>
  <c r="Z23375" i="5"/>
  <c r="Z23374" i="5"/>
  <c r="Z23373" i="5"/>
  <c r="Z23372" i="5"/>
  <c r="Z23371" i="5"/>
  <c r="Z23370" i="5"/>
  <c r="Z23369" i="5"/>
  <c r="Z23368" i="5"/>
  <c r="Z23367" i="5"/>
  <c r="Z23366" i="5"/>
  <c r="Z23365" i="5"/>
  <c r="Z23364" i="5"/>
  <c r="Z23363" i="5"/>
  <c r="Z23362" i="5"/>
  <c r="Z23361" i="5"/>
  <c r="Z23360" i="5"/>
  <c r="Z23359" i="5"/>
  <c r="Z23358" i="5"/>
  <c r="Z23357" i="5"/>
  <c r="Z23356" i="5"/>
  <c r="Z23355" i="5"/>
  <c r="Z23354" i="5"/>
  <c r="Z23353" i="5"/>
  <c r="Z23352" i="5"/>
  <c r="Z23351" i="5"/>
  <c r="Z23350" i="5"/>
  <c r="Z23349" i="5"/>
  <c r="Z23348" i="5"/>
  <c r="Z23347" i="5"/>
  <c r="Z23346" i="5"/>
  <c r="Z23345" i="5"/>
  <c r="Z23344" i="5"/>
  <c r="Z23343" i="5"/>
  <c r="Z23342" i="5"/>
  <c r="Z23341" i="5"/>
  <c r="Z23340" i="5"/>
  <c r="Z23339" i="5"/>
  <c r="Z23338" i="5"/>
  <c r="Z23337" i="5"/>
  <c r="Z23336" i="5"/>
  <c r="Z23335" i="5"/>
  <c r="Z23334" i="5"/>
  <c r="Z23333" i="5"/>
  <c r="Z23332" i="5"/>
  <c r="Z23331" i="5"/>
  <c r="Z23330" i="5"/>
  <c r="Z23329" i="5"/>
  <c r="Z23328" i="5"/>
  <c r="Z23327" i="5"/>
  <c r="Z23326" i="5"/>
  <c r="Z23325" i="5"/>
  <c r="Z23324" i="5"/>
  <c r="Z23323" i="5"/>
  <c r="Z23322" i="5"/>
  <c r="Z23321" i="5"/>
  <c r="Z23320" i="5"/>
  <c r="Z23319" i="5"/>
  <c r="Z23318" i="5"/>
  <c r="Z23317" i="5"/>
  <c r="Z23316" i="5"/>
  <c r="Z23315" i="5"/>
  <c r="Z23314" i="5"/>
  <c r="Z23313" i="5"/>
  <c r="Z23312" i="5"/>
  <c r="Z23311" i="5"/>
  <c r="Z23310" i="5"/>
  <c r="Z23309" i="5"/>
  <c r="Z23308" i="5"/>
  <c r="Z23307" i="5"/>
  <c r="Z23306" i="5"/>
  <c r="Z23305" i="5"/>
  <c r="Z23304" i="5"/>
  <c r="Z23303" i="5"/>
  <c r="Z23302" i="5"/>
  <c r="Z23301" i="5"/>
  <c r="Z23300" i="5"/>
  <c r="Z23299" i="5"/>
  <c r="Z23298" i="5"/>
  <c r="Z23297" i="5"/>
  <c r="Z23296" i="5"/>
  <c r="Z23295" i="5"/>
  <c r="Z23294" i="5"/>
  <c r="Z23293" i="5"/>
  <c r="Z23292" i="5"/>
  <c r="Z23291" i="5"/>
  <c r="Z23290" i="5"/>
  <c r="Z23289" i="5"/>
  <c r="Z23288" i="5"/>
  <c r="Z23287" i="5"/>
  <c r="Z23286" i="5"/>
  <c r="Z23285" i="5"/>
  <c r="Z23284" i="5"/>
  <c r="Z23283" i="5"/>
  <c r="Z23282" i="5"/>
  <c r="Z23281" i="5"/>
  <c r="Z23280" i="5"/>
  <c r="Z23279" i="5"/>
  <c r="Z23278" i="5"/>
  <c r="Z23277" i="5"/>
  <c r="Z23276" i="5"/>
  <c r="Z23275" i="5"/>
  <c r="Z23274" i="5"/>
  <c r="Z23273" i="5"/>
  <c r="Z23272" i="5"/>
  <c r="Z23271" i="5"/>
  <c r="Z23270" i="5"/>
  <c r="Z23269" i="5"/>
  <c r="Z23268" i="5"/>
  <c r="Z23267" i="5"/>
  <c r="Z23266" i="5"/>
  <c r="Z23265" i="5"/>
  <c r="Z23264" i="5"/>
  <c r="Z23263" i="5"/>
  <c r="Z23262" i="5"/>
  <c r="Z23261" i="5"/>
  <c r="Z23260" i="5"/>
  <c r="Z23259" i="5"/>
  <c r="Z23258" i="5"/>
  <c r="Z23257" i="5"/>
  <c r="Z23256" i="5"/>
  <c r="Z23255" i="5"/>
  <c r="Z23254" i="5"/>
  <c r="Z23253" i="5"/>
  <c r="Z23252" i="5"/>
  <c r="Z23251" i="5"/>
  <c r="Z23250" i="5"/>
  <c r="Z23249" i="5"/>
  <c r="Z23248" i="5"/>
  <c r="Z23247" i="5"/>
  <c r="Z23246" i="5"/>
  <c r="Z23245" i="5"/>
  <c r="Z23244" i="5"/>
  <c r="Z23243" i="5"/>
  <c r="Z23242" i="5"/>
  <c r="Z23241" i="5"/>
  <c r="Z23240" i="5"/>
  <c r="Z23239" i="5"/>
  <c r="Z23238" i="5"/>
  <c r="Z23237" i="5"/>
  <c r="Z23236" i="5"/>
  <c r="Z23235" i="5"/>
  <c r="Z23234" i="5"/>
  <c r="Z23233" i="5"/>
  <c r="Z23232" i="5"/>
  <c r="Z23231" i="5"/>
  <c r="Z23230" i="5"/>
  <c r="Z23229" i="5"/>
  <c r="Z23228" i="5"/>
  <c r="Z23227" i="5"/>
  <c r="Z23226" i="5"/>
  <c r="Z23225" i="5"/>
  <c r="Z23224" i="5"/>
  <c r="Z23223" i="5"/>
  <c r="Z23222" i="5"/>
  <c r="Z23221" i="5"/>
  <c r="Z23220" i="5"/>
  <c r="Z23219" i="5"/>
  <c r="Z23218" i="5"/>
  <c r="Z23217" i="5"/>
  <c r="Z23216" i="5"/>
  <c r="Z23215" i="5"/>
  <c r="Z23214" i="5"/>
  <c r="Z23213" i="5"/>
  <c r="Z23212" i="5"/>
  <c r="Z23211" i="5"/>
  <c r="Z23210" i="5"/>
  <c r="Z23209" i="5"/>
  <c r="Z23208" i="5"/>
  <c r="Z23207" i="5"/>
  <c r="Z23206" i="5"/>
  <c r="Z23205" i="5"/>
  <c r="Z23204" i="5"/>
  <c r="Z23203" i="5"/>
  <c r="Z23202" i="5"/>
  <c r="Z23201" i="5"/>
  <c r="Z23200" i="5"/>
  <c r="Z23199" i="5"/>
  <c r="Z23198" i="5"/>
  <c r="Z23197" i="5"/>
  <c r="Z23196" i="5"/>
  <c r="Z23195" i="5"/>
  <c r="Z23194" i="5"/>
  <c r="Z23193" i="5"/>
  <c r="Z23192" i="5"/>
  <c r="Z23191" i="5"/>
  <c r="Z23190" i="5"/>
  <c r="Z23189" i="5"/>
  <c r="Z23188" i="5"/>
  <c r="Z23187" i="5"/>
  <c r="Z23186" i="5"/>
  <c r="Z23185" i="5"/>
  <c r="Z23184" i="5"/>
  <c r="Z23183" i="5"/>
  <c r="Z23182" i="5"/>
  <c r="Z23181" i="5"/>
  <c r="Z23180" i="5"/>
  <c r="Z23179" i="5"/>
  <c r="Z23178" i="5"/>
  <c r="Z23177" i="5"/>
  <c r="Z23176" i="5"/>
  <c r="Z23175" i="5"/>
  <c r="Z23174" i="5"/>
  <c r="Z23173" i="5"/>
  <c r="Z23172" i="5"/>
  <c r="Z23171" i="5"/>
  <c r="Z23170" i="5"/>
  <c r="Z23169" i="5"/>
  <c r="Z23168" i="5"/>
  <c r="Z23167" i="5"/>
  <c r="Z23166" i="5"/>
  <c r="Z23165" i="5"/>
  <c r="Z23164" i="5"/>
  <c r="Z23163" i="5"/>
  <c r="Z23162" i="5"/>
  <c r="Z23161" i="5"/>
  <c r="Z23160" i="5"/>
  <c r="Z23159" i="5"/>
  <c r="Z23158" i="5"/>
  <c r="Z23157" i="5"/>
  <c r="Z23156" i="5"/>
  <c r="Z23155" i="5"/>
  <c r="Z23154" i="5"/>
  <c r="Z23153" i="5"/>
  <c r="Z23152" i="5"/>
  <c r="Z23151" i="5"/>
  <c r="Z23150" i="5"/>
  <c r="Z23149" i="5"/>
  <c r="Z23148" i="5"/>
  <c r="Z23147" i="5"/>
  <c r="Z23146" i="5"/>
  <c r="Z23145" i="5"/>
  <c r="Z23144" i="5"/>
  <c r="Z23143" i="5"/>
  <c r="Z23142" i="5"/>
  <c r="Z23141" i="5"/>
  <c r="Z23140" i="5"/>
  <c r="Z23139" i="5"/>
  <c r="Z23138" i="5"/>
  <c r="Z23137" i="5"/>
  <c r="Z23136" i="5"/>
  <c r="Z23135" i="5"/>
  <c r="Z23134" i="5"/>
  <c r="Z23133" i="5"/>
  <c r="Z23132" i="5"/>
  <c r="Z23131" i="5"/>
  <c r="Z23130" i="5"/>
  <c r="Z23129" i="5"/>
  <c r="Z23128" i="5"/>
  <c r="Z23127" i="5"/>
  <c r="Z23126" i="5"/>
  <c r="Z23125" i="5"/>
  <c r="Z23124" i="5"/>
  <c r="Z23123" i="5"/>
  <c r="Z23122" i="5"/>
  <c r="Z23121" i="5"/>
  <c r="Z23120" i="5"/>
  <c r="Z23119" i="5"/>
  <c r="Z23118" i="5"/>
  <c r="Z23117" i="5"/>
  <c r="Z23116" i="5"/>
  <c r="Z23115" i="5"/>
  <c r="Z23114" i="5"/>
  <c r="Z23113" i="5"/>
  <c r="Z23112" i="5"/>
  <c r="Z23111" i="5"/>
  <c r="Z23110" i="5"/>
  <c r="Z23109" i="5"/>
  <c r="Z23108" i="5"/>
  <c r="Z23107" i="5"/>
  <c r="Z23106" i="5"/>
  <c r="Z23105" i="5"/>
  <c r="Z23104" i="5"/>
  <c r="Z23103" i="5"/>
  <c r="Z23102" i="5"/>
  <c r="Z23101" i="5"/>
  <c r="Z23100" i="5"/>
  <c r="Z23099" i="5"/>
  <c r="Z23098" i="5"/>
  <c r="Z23097" i="5"/>
  <c r="Z23096" i="5"/>
  <c r="Z23095" i="5"/>
  <c r="Z23094" i="5"/>
  <c r="Z23093" i="5"/>
  <c r="Z23092" i="5"/>
  <c r="Z23091" i="5"/>
  <c r="Z23090" i="5"/>
  <c r="Z23089" i="5"/>
  <c r="Z23088" i="5"/>
  <c r="Z23087" i="5"/>
  <c r="Z23086" i="5"/>
  <c r="Z23085" i="5"/>
  <c r="Z23084" i="5"/>
  <c r="Z23083" i="5"/>
  <c r="Z23082" i="5"/>
  <c r="Z23081" i="5"/>
  <c r="Z23080" i="5"/>
  <c r="Z23079" i="5"/>
  <c r="Z23078" i="5"/>
  <c r="Z23077" i="5"/>
  <c r="Z23076" i="5"/>
  <c r="Z23075" i="5"/>
  <c r="Z23074" i="5"/>
  <c r="Z23073" i="5"/>
  <c r="Z23072" i="5"/>
  <c r="Z23071" i="5"/>
  <c r="Z23070" i="5"/>
  <c r="Z23069" i="5"/>
  <c r="Z23068" i="5"/>
  <c r="Z23067" i="5"/>
  <c r="Z23066" i="5"/>
  <c r="Z23065" i="5"/>
  <c r="Z23064" i="5"/>
  <c r="Z23063" i="5"/>
  <c r="Z23062" i="5"/>
  <c r="Z23061" i="5"/>
  <c r="Z23060" i="5"/>
  <c r="Z23059" i="5"/>
  <c r="Z23058" i="5"/>
  <c r="Z23057" i="5"/>
  <c r="Z23056" i="5"/>
  <c r="Z23055" i="5"/>
  <c r="Z23054" i="5"/>
  <c r="Z23053" i="5"/>
  <c r="Z23052" i="5"/>
  <c r="Z23051" i="5"/>
  <c r="Z23050" i="5"/>
  <c r="Z23049" i="5"/>
  <c r="Z23048" i="5"/>
  <c r="Z23047" i="5"/>
  <c r="Z23046" i="5"/>
  <c r="Z23045" i="5"/>
  <c r="Z23044" i="5"/>
  <c r="Z23043" i="5"/>
  <c r="Z23042" i="5"/>
  <c r="Z23041" i="5"/>
  <c r="Z23040" i="5"/>
  <c r="Z23039" i="5"/>
  <c r="Z23038" i="5"/>
  <c r="Z23037" i="5"/>
  <c r="Z23036" i="5"/>
  <c r="Z23035" i="5"/>
  <c r="Z23034" i="5"/>
  <c r="Z23033" i="5"/>
  <c r="Z23032" i="5"/>
  <c r="Z23031" i="5"/>
  <c r="Z23030" i="5"/>
  <c r="Z23029" i="5"/>
  <c r="Z23028" i="5"/>
  <c r="Z23027" i="5"/>
  <c r="Z23026" i="5"/>
  <c r="Z23025" i="5"/>
  <c r="Z23024" i="5"/>
  <c r="Z23023" i="5"/>
  <c r="Z23022" i="5"/>
  <c r="Z23021" i="5"/>
  <c r="Z23020" i="5"/>
  <c r="Z23019" i="5"/>
  <c r="Z23018" i="5"/>
  <c r="Z23017" i="5"/>
  <c r="Z23016" i="5"/>
  <c r="Z23015" i="5"/>
  <c r="Z23014" i="5"/>
  <c r="Z23013" i="5"/>
  <c r="Z23012" i="5"/>
  <c r="Z23011" i="5"/>
  <c r="Z23010" i="5"/>
  <c r="Z23009" i="5"/>
  <c r="Z23008" i="5"/>
  <c r="Z23007" i="5"/>
  <c r="Z23006" i="5"/>
  <c r="Z23005" i="5"/>
  <c r="Z23004" i="5"/>
  <c r="Z23003" i="5"/>
  <c r="Z23002" i="5"/>
  <c r="Z23001" i="5"/>
  <c r="Z23000" i="5"/>
  <c r="Z22999" i="5"/>
  <c r="Z22998" i="5"/>
  <c r="Z22997" i="5"/>
  <c r="Z22996" i="5"/>
  <c r="Z22995" i="5"/>
  <c r="Z22994" i="5"/>
  <c r="Z22993" i="5"/>
  <c r="Z22992" i="5"/>
  <c r="Z22991" i="5"/>
  <c r="Z22990" i="5"/>
  <c r="Z22989" i="5"/>
  <c r="Z22988" i="5"/>
  <c r="Z22987" i="5"/>
  <c r="Z22986" i="5"/>
  <c r="Z22985" i="5"/>
  <c r="Z22984" i="5"/>
  <c r="Z22983" i="5"/>
  <c r="Z22982" i="5"/>
  <c r="Z22981" i="5"/>
  <c r="Z22980" i="5"/>
  <c r="Z22979" i="5"/>
  <c r="Z22978" i="5"/>
  <c r="Z22977" i="5"/>
  <c r="Z22976" i="5"/>
  <c r="Z22975" i="5"/>
  <c r="Z22974" i="5"/>
  <c r="Z22973" i="5"/>
  <c r="Z22972" i="5"/>
  <c r="Z22971" i="5"/>
  <c r="Z22970" i="5"/>
  <c r="Z22969" i="5"/>
  <c r="Z22968" i="5"/>
  <c r="Z22967" i="5"/>
  <c r="Z22966" i="5"/>
  <c r="Z22965" i="5"/>
  <c r="Z22964" i="5"/>
  <c r="Z22963" i="5"/>
  <c r="Z22962" i="5"/>
  <c r="Z22961" i="5"/>
  <c r="Z22960" i="5"/>
  <c r="Z22959" i="5"/>
  <c r="Z22958" i="5"/>
  <c r="Z22957" i="5"/>
  <c r="Z22956" i="5"/>
  <c r="Z22955" i="5"/>
  <c r="Z22954" i="5"/>
  <c r="Z22953" i="5"/>
  <c r="Z22952" i="5"/>
  <c r="Z22951" i="5"/>
  <c r="Z22950" i="5"/>
  <c r="Z22949" i="5"/>
  <c r="Z22948" i="5"/>
  <c r="Z22947" i="5"/>
  <c r="Z22946" i="5"/>
  <c r="Z22945" i="5"/>
  <c r="Z22944" i="5"/>
  <c r="Z22943" i="5"/>
  <c r="Z22942" i="5"/>
  <c r="Z22941" i="5"/>
  <c r="Z22940" i="5"/>
  <c r="Z22939" i="5"/>
  <c r="Z22938" i="5"/>
  <c r="Z22937" i="5"/>
  <c r="Z22936" i="5"/>
  <c r="Z22935" i="5"/>
  <c r="Z22934" i="5"/>
  <c r="Z22933" i="5"/>
  <c r="Z22932" i="5"/>
  <c r="Z22931" i="5"/>
  <c r="Z22930" i="5"/>
  <c r="Z22929" i="5"/>
  <c r="Z22928" i="5"/>
  <c r="Z22927" i="5"/>
  <c r="Z22926" i="5"/>
  <c r="Z22925" i="5"/>
  <c r="Z22924" i="5"/>
  <c r="Z22923" i="5"/>
  <c r="Z22922" i="5"/>
  <c r="Z22921" i="5"/>
  <c r="Z22920" i="5"/>
  <c r="Z22919" i="5"/>
  <c r="Z22918" i="5"/>
  <c r="Z22917" i="5"/>
  <c r="Z22916" i="5"/>
  <c r="Z22915" i="5"/>
  <c r="Z22914" i="5"/>
  <c r="Z22913" i="5"/>
  <c r="Z22912" i="5"/>
  <c r="Z22911" i="5"/>
  <c r="Z22910" i="5"/>
  <c r="Z22909" i="5"/>
  <c r="Z22908" i="5"/>
  <c r="Z22907" i="5"/>
  <c r="Z22906" i="5"/>
  <c r="Z22905" i="5"/>
  <c r="Z22904" i="5"/>
  <c r="Z22903" i="5"/>
  <c r="Z22902" i="5"/>
  <c r="Z22901" i="5"/>
  <c r="Z22900" i="5"/>
  <c r="Z22899" i="5"/>
  <c r="Z22898" i="5"/>
  <c r="Z22897" i="5"/>
  <c r="Z22896" i="5"/>
  <c r="Z22895" i="5"/>
  <c r="Z22894" i="5"/>
  <c r="Z22893" i="5"/>
  <c r="Z22892" i="5"/>
  <c r="Z22891" i="5"/>
  <c r="Z22890" i="5"/>
  <c r="Z22889" i="5"/>
  <c r="Z22888" i="5"/>
  <c r="Z22887" i="5"/>
  <c r="Z22886" i="5"/>
  <c r="Z22885" i="5"/>
  <c r="Z22884" i="5"/>
  <c r="Z22883" i="5"/>
  <c r="Z22882" i="5"/>
  <c r="Z22881" i="5"/>
  <c r="Z22880" i="5"/>
  <c r="Z22879" i="5"/>
  <c r="Z22878" i="5"/>
  <c r="Z22877" i="5"/>
  <c r="Z22876" i="5"/>
  <c r="Z22875" i="5"/>
  <c r="Z22874" i="5"/>
  <c r="Z22873" i="5"/>
  <c r="Z22872" i="5"/>
  <c r="Z22871" i="5"/>
  <c r="Z22870" i="5"/>
  <c r="Z22869" i="5"/>
  <c r="Z22868" i="5"/>
  <c r="Z22867" i="5"/>
  <c r="Z22866" i="5"/>
  <c r="Z22865" i="5"/>
  <c r="Z22864" i="5"/>
  <c r="Z22863" i="5"/>
  <c r="Z22862" i="5"/>
  <c r="Z22861" i="5"/>
  <c r="Z22860" i="5"/>
  <c r="Z22859" i="5"/>
  <c r="Z22858" i="5"/>
  <c r="Z22857" i="5"/>
  <c r="Z22856" i="5"/>
  <c r="Z22855" i="5"/>
  <c r="Z22854" i="5"/>
  <c r="Z22853" i="5"/>
  <c r="Z22852" i="5"/>
  <c r="Z22851" i="5"/>
  <c r="Z22850" i="5"/>
  <c r="Z22849" i="5"/>
  <c r="Z22848" i="5"/>
  <c r="Z22847" i="5"/>
  <c r="Z22846" i="5"/>
  <c r="Z22845" i="5"/>
  <c r="Z22844" i="5"/>
  <c r="Z22843" i="5"/>
  <c r="Z22842" i="5"/>
  <c r="Z22841" i="5"/>
  <c r="Z22840" i="5"/>
  <c r="Z22839" i="5"/>
  <c r="Z22838" i="5"/>
  <c r="Z22837" i="5"/>
  <c r="Z22836" i="5"/>
  <c r="Z22835" i="5"/>
  <c r="Z22834" i="5"/>
  <c r="Z22833" i="5"/>
  <c r="Z22832" i="5"/>
  <c r="Z22831" i="5"/>
  <c r="Z22830" i="5"/>
  <c r="Z22829" i="5"/>
  <c r="Z22828" i="5"/>
  <c r="Z22827" i="5"/>
  <c r="Z22826" i="5"/>
  <c r="Z22825" i="5"/>
  <c r="Z22824" i="5"/>
  <c r="Z22823" i="5"/>
  <c r="Z22822" i="5"/>
  <c r="Z22821" i="5"/>
  <c r="Z22820" i="5"/>
  <c r="Z22819" i="5"/>
  <c r="Z22818" i="5"/>
  <c r="Z22817" i="5"/>
  <c r="Z22816" i="5"/>
  <c r="Z22815" i="5"/>
  <c r="Z22814" i="5"/>
  <c r="Z22813" i="5"/>
  <c r="Z22812" i="5"/>
  <c r="Z22811" i="5"/>
  <c r="Z22810" i="5"/>
  <c r="Z22809" i="5"/>
  <c r="Z22808" i="5"/>
  <c r="Z22807" i="5"/>
  <c r="Z22806" i="5"/>
  <c r="Z22805" i="5"/>
  <c r="Z22804" i="5"/>
  <c r="Z22803" i="5"/>
  <c r="Z22802" i="5"/>
  <c r="Z22801" i="5"/>
  <c r="Z22800" i="5"/>
  <c r="Z22799" i="5"/>
  <c r="Z22798" i="5"/>
  <c r="Z22797" i="5"/>
  <c r="Z22796" i="5"/>
  <c r="Z22795" i="5"/>
  <c r="Z22794" i="5"/>
  <c r="Z22793" i="5"/>
  <c r="Z22792" i="5"/>
  <c r="Z22791" i="5"/>
  <c r="Z22790" i="5"/>
  <c r="Z22789" i="5"/>
  <c r="Z22788" i="5"/>
  <c r="Z22787" i="5"/>
  <c r="Z22786" i="5"/>
  <c r="Z22785" i="5"/>
  <c r="Z22784" i="5"/>
  <c r="Z22783" i="5"/>
  <c r="Z22782" i="5"/>
  <c r="Z22781" i="5"/>
  <c r="Z22780" i="5"/>
  <c r="Z22779" i="5"/>
  <c r="Z22778" i="5"/>
  <c r="Z22777" i="5"/>
  <c r="Z22776" i="5"/>
  <c r="Z22775" i="5"/>
  <c r="Z22774" i="5"/>
  <c r="Z22773" i="5"/>
  <c r="Z22772" i="5"/>
  <c r="Z22771" i="5"/>
  <c r="Z22770" i="5"/>
  <c r="Z22769" i="5"/>
  <c r="Z22768" i="5"/>
  <c r="Z22767" i="5"/>
  <c r="Z22766" i="5"/>
  <c r="Z22765" i="5"/>
  <c r="Z22764" i="5"/>
  <c r="Z22763" i="5"/>
  <c r="Z22762" i="5"/>
  <c r="Z22761" i="5"/>
  <c r="Z22760" i="5"/>
  <c r="Z22759" i="5"/>
  <c r="Z22758" i="5"/>
  <c r="Z22757" i="5"/>
  <c r="Z22756" i="5"/>
  <c r="Z22755" i="5"/>
  <c r="Z22754" i="5"/>
  <c r="Z22753" i="5"/>
  <c r="Z22752" i="5"/>
  <c r="Z22751" i="5"/>
  <c r="Z22750" i="5"/>
  <c r="Z22749" i="5"/>
  <c r="Z22748" i="5"/>
  <c r="Z22747" i="5"/>
  <c r="Z22746" i="5"/>
  <c r="Z22745" i="5"/>
  <c r="Z22744" i="5"/>
  <c r="Z22743" i="5"/>
  <c r="Z22742" i="5"/>
  <c r="Z22741" i="5"/>
  <c r="Z22740" i="5"/>
  <c r="Z22739" i="5"/>
  <c r="Z22738" i="5"/>
  <c r="Z22737" i="5"/>
  <c r="Z22736" i="5"/>
  <c r="Z22735" i="5"/>
  <c r="Z22734" i="5"/>
  <c r="Z22733" i="5"/>
  <c r="Z22732" i="5"/>
  <c r="Z22731" i="5"/>
  <c r="Z22730" i="5"/>
  <c r="Z22729" i="5"/>
  <c r="Z22728" i="5"/>
  <c r="Z22727" i="5"/>
  <c r="Z22726" i="5"/>
  <c r="Z22725" i="5"/>
  <c r="Z22724" i="5"/>
  <c r="Z22723" i="5"/>
  <c r="Z22722" i="5"/>
  <c r="Z22721" i="5"/>
  <c r="Z22720" i="5"/>
  <c r="Z22719" i="5"/>
  <c r="Z22718" i="5"/>
  <c r="Z22717" i="5"/>
  <c r="Z22716" i="5"/>
  <c r="Z22715" i="5"/>
  <c r="Z22714" i="5"/>
  <c r="Z22713" i="5"/>
  <c r="Z22712" i="5"/>
  <c r="Z22711" i="5"/>
  <c r="Z22710" i="5"/>
  <c r="Z22709" i="5"/>
  <c r="Z22708" i="5"/>
  <c r="Z22707" i="5"/>
  <c r="Z22706" i="5"/>
  <c r="Z22705" i="5"/>
  <c r="Z22704" i="5"/>
  <c r="Z22703" i="5"/>
  <c r="Z22702" i="5"/>
  <c r="Z22701" i="5"/>
  <c r="Z22700" i="5"/>
  <c r="Z22699" i="5"/>
  <c r="Z22698" i="5"/>
  <c r="Z22697" i="5"/>
  <c r="Z22696" i="5"/>
  <c r="Z22695" i="5"/>
  <c r="Z22694" i="5"/>
  <c r="Z22693" i="5"/>
  <c r="Z22692" i="5"/>
  <c r="Z22691" i="5"/>
  <c r="Z22690" i="5"/>
  <c r="Z22689" i="5"/>
  <c r="Z22688" i="5"/>
  <c r="Z22687" i="5"/>
  <c r="Z22686" i="5"/>
  <c r="Z22685" i="5"/>
  <c r="Z22684" i="5"/>
  <c r="Z22683" i="5"/>
  <c r="Z22682" i="5"/>
  <c r="Z22681" i="5"/>
  <c r="Z22680" i="5"/>
  <c r="Z22679" i="5"/>
  <c r="Z22678" i="5"/>
  <c r="Z22677" i="5"/>
  <c r="Z22676" i="5"/>
  <c r="Z22675" i="5"/>
  <c r="Z22674" i="5"/>
  <c r="Z22673" i="5"/>
  <c r="Z22672" i="5"/>
  <c r="Z22671" i="5"/>
  <c r="Z22670" i="5"/>
  <c r="Z22669" i="5"/>
  <c r="Z22668" i="5"/>
  <c r="Z22667" i="5"/>
  <c r="Z22666" i="5"/>
  <c r="Z22665" i="5"/>
  <c r="Z22664" i="5"/>
  <c r="Z22663" i="5"/>
  <c r="Z22662" i="5"/>
  <c r="Z22661" i="5"/>
  <c r="Z22660" i="5"/>
  <c r="Z22659" i="5"/>
  <c r="Z22658" i="5"/>
  <c r="Z22657" i="5"/>
  <c r="Z22656" i="5"/>
  <c r="Z22655" i="5"/>
  <c r="Z22654" i="5"/>
  <c r="Z22653" i="5"/>
  <c r="Z22652" i="5"/>
  <c r="Z22651" i="5"/>
  <c r="Z22650" i="5"/>
  <c r="Z22649" i="5"/>
  <c r="Z22648" i="5"/>
  <c r="Z22647" i="5"/>
  <c r="Z22646" i="5"/>
  <c r="Z22645" i="5"/>
  <c r="Z22644" i="5"/>
  <c r="Z22643" i="5"/>
  <c r="Z22642" i="5"/>
  <c r="Z22641" i="5"/>
  <c r="Z22640" i="5"/>
  <c r="Z22639" i="5"/>
  <c r="Z22638" i="5"/>
  <c r="Z22637" i="5"/>
  <c r="Z22636" i="5"/>
  <c r="Z22635" i="5"/>
  <c r="Z22634" i="5"/>
  <c r="Z22633" i="5"/>
  <c r="Z22632" i="5"/>
  <c r="Z22631" i="5"/>
  <c r="Z22630" i="5"/>
  <c r="Z22629" i="5"/>
  <c r="Z22628" i="5"/>
  <c r="Z22627" i="5"/>
  <c r="Z22626" i="5"/>
  <c r="Z22625" i="5"/>
  <c r="Z22624" i="5"/>
  <c r="Z22623" i="5"/>
  <c r="Z22622" i="5"/>
  <c r="Z22621" i="5"/>
  <c r="Z22620" i="5"/>
  <c r="Z22619" i="5"/>
  <c r="Z22618" i="5"/>
  <c r="Z22617" i="5"/>
  <c r="Z22616" i="5"/>
  <c r="Z22615" i="5"/>
  <c r="Z22614" i="5"/>
  <c r="Z22613" i="5"/>
  <c r="Z22612" i="5"/>
  <c r="Z22611" i="5"/>
  <c r="Z22610" i="5"/>
  <c r="Z22609" i="5"/>
  <c r="Z22608" i="5"/>
  <c r="Z22607" i="5"/>
  <c r="Z22606" i="5"/>
  <c r="Z22605" i="5"/>
  <c r="Z22604" i="5"/>
  <c r="Z22603" i="5"/>
  <c r="Z22602" i="5"/>
  <c r="Z22601" i="5"/>
  <c r="Z22600" i="5"/>
  <c r="Z22599" i="5"/>
  <c r="Z22598" i="5"/>
  <c r="Z22597" i="5"/>
  <c r="Z22596" i="5"/>
  <c r="Z22595" i="5"/>
  <c r="Z22594" i="5"/>
  <c r="Z22593" i="5"/>
  <c r="Z22592" i="5"/>
  <c r="Z22591" i="5"/>
  <c r="Z22590" i="5"/>
  <c r="Z22589" i="5"/>
  <c r="Z22588" i="5"/>
  <c r="Z22587" i="5"/>
  <c r="Z22586" i="5"/>
  <c r="Z22585" i="5"/>
  <c r="Z22584" i="5"/>
  <c r="Z22583" i="5"/>
  <c r="Z22582" i="5"/>
  <c r="Z22581" i="5"/>
  <c r="Z22580" i="5"/>
  <c r="Z22579" i="5"/>
  <c r="Z22578" i="5"/>
  <c r="Z22577" i="5"/>
  <c r="Z22576" i="5"/>
  <c r="Z22575" i="5"/>
  <c r="Z22574" i="5"/>
  <c r="Z22573" i="5"/>
  <c r="Z22572" i="5"/>
  <c r="Z22571" i="5"/>
  <c r="Z22570" i="5"/>
  <c r="Z22569" i="5"/>
  <c r="Z22568" i="5"/>
  <c r="Z22567" i="5"/>
  <c r="Z22566" i="5"/>
  <c r="Z22565" i="5"/>
  <c r="Z22564" i="5"/>
  <c r="Z22563" i="5"/>
  <c r="Z22562" i="5"/>
  <c r="Z22561" i="5"/>
  <c r="Z22560" i="5"/>
  <c r="Z22559" i="5"/>
  <c r="Z22558" i="5"/>
  <c r="Z22557" i="5"/>
  <c r="Z22556" i="5"/>
  <c r="Z22555" i="5"/>
  <c r="Z22554" i="5"/>
  <c r="Z22553" i="5"/>
  <c r="Z22552" i="5"/>
  <c r="Z22551" i="5"/>
  <c r="Z22550" i="5"/>
  <c r="Z22549" i="5"/>
  <c r="Z22548" i="5"/>
  <c r="Z22547" i="5"/>
  <c r="Z22546" i="5"/>
  <c r="Z22545" i="5"/>
  <c r="Z22544" i="5"/>
  <c r="Z22543" i="5"/>
  <c r="Z22542" i="5"/>
  <c r="Z22541" i="5"/>
  <c r="Z22540" i="5"/>
  <c r="Z22539" i="5"/>
  <c r="Z22538" i="5"/>
  <c r="Z22537" i="5"/>
  <c r="Z22536" i="5"/>
  <c r="Z22535" i="5"/>
  <c r="Z22534" i="5"/>
  <c r="Z22533" i="5"/>
  <c r="Z22532" i="5"/>
  <c r="Z22531" i="5"/>
  <c r="Z22530" i="5"/>
  <c r="Z22529" i="5"/>
  <c r="Z22528" i="5"/>
  <c r="Z22527" i="5"/>
  <c r="Z22526" i="5"/>
  <c r="Z22525" i="5"/>
  <c r="Z22524" i="5"/>
  <c r="Z22523" i="5"/>
  <c r="Z22522" i="5"/>
  <c r="Z22521" i="5"/>
  <c r="Z22520" i="5"/>
  <c r="Z22519" i="5"/>
  <c r="Z22518" i="5"/>
  <c r="Z22517" i="5"/>
  <c r="Z22516" i="5"/>
  <c r="Z22515" i="5"/>
  <c r="Z22514" i="5"/>
  <c r="Z22513" i="5"/>
  <c r="Z22512" i="5"/>
  <c r="Z22511" i="5"/>
  <c r="Z22510" i="5"/>
  <c r="Z22509" i="5"/>
  <c r="Z22508" i="5"/>
  <c r="Z22507" i="5"/>
  <c r="Z22506" i="5"/>
  <c r="Z22505" i="5"/>
  <c r="Z22504" i="5"/>
  <c r="Z22503" i="5"/>
  <c r="Z22502" i="5"/>
  <c r="Z22501" i="5"/>
  <c r="Z22500" i="5"/>
  <c r="Z22499" i="5"/>
  <c r="Z22498" i="5"/>
  <c r="Z22497" i="5"/>
  <c r="Z22496" i="5"/>
  <c r="Z22495" i="5"/>
  <c r="Z22494" i="5"/>
  <c r="Z22493" i="5"/>
  <c r="Z22492" i="5"/>
  <c r="Z22491" i="5"/>
  <c r="Z22490" i="5"/>
  <c r="Z22489" i="5"/>
  <c r="Z22488" i="5"/>
  <c r="Z22487" i="5"/>
  <c r="Z22486" i="5"/>
  <c r="Z22485" i="5"/>
  <c r="Z22484" i="5"/>
  <c r="Z22483" i="5"/>
  <c r="Z22482" i="5"/>
  <c r="Z22481" i="5"/>
  <c r="Z22480" i="5"/>
  <c r="Z22479" i="5"/>
  <c r="Z22478" i="5"/>
  <c r="Z22477" i="5"/>
  <c r="Z22476" i="5"/>
  <c r="Z22475" i="5"/>
  <c r="Z22474" i="5"/>
  <c r="Z22473" i="5"/>
  <c r="Z22472" i="5"/>
  <c r="Z22471" i="5"/>
  <c r="Z22470" i="5"/>
  <c r="Z22469" i="5"/>
  <c r="Z22468" i="5"/>
  <c r="Z22467" i="5"/>
  <c r="Z22466" i="5"/>
  <c r="Z22465" i="5"/>
  <c r="Z22464" i="5"/>
  <c r="Z22463" i="5"/>
  <c r="Z22462" i="5"/>
  <c r="Z22461" i="5"/>
  <c r="Z22460" i="5"/>
  <c r="Z22459" i="5"/>
  <c r="Z22458" i="5"/>
  <c r="Z22457" i="5"/>
  <c r="Z22456" i="5"/>
  <c r="Z22455" i="5"/>
  <c r="Z22454" i="5"/>
  <c r="Z22453" i="5"/>
  <c r="Z22452" i="5"/>
  <c r="Z22451" i="5"/>
  <c r="Z22450" i="5"/>
  <c r="Z22449" i="5"/>
  <c r="Z22448" i="5"/>
  <c r="Z22447" i="5"/>
  <c r="Z22446" i="5"/>
  <c r="Z22445" i="5"/>
  <c r="Z22444" i="5"/>
  <c r="Z22443" i="5"/>
  <c r="Z22442" i="5"/>
  <c r="Z22441" i="5"/>
  <c r="Z22440" i="5"/>
  <c r="Z22439" i="5"/>
  <c r="Z22438" i="5"/>
  <c r="Z22437" i="5"/>
  <c r="Z22436" i="5"/>
  <c r="Z22435" i="5"/>
  <c r="Z22434" i="5"/>
  <c r="Z22433" i="5"/>
  <c r="Z22432" i="5"/>
  <c r="Z22431" i="5"/>
  <c r="Z22430" i="5"/>
  <c r="Z22429" i="5"/>
  <c r="Z22428" i="5"/>
  <c r="Z22427" i="5"/>
  <c r="Z22426" i="5"/>
  <c r="Z22425" i="5"/>
  <c r="Z22424" i="5"/>
  <c r="Z22423" i="5"/>
  <c r="Z22422" i="5"/>
  <c r="Z22421" i="5"/>
  <c r="Z22420" i="5"/>
  <c r="Z22419" i="5"/>
  <c r="Z22418" i="5"/>
  <c r="Z22417" i="5"/>
  <c r="Z22416" i="5"/>
  <c r="Z22415" i="5"/>
  <c r="Z22414" i="5"/>
  <c r="Z22413" i="5"/>
  <c r="Z22412" i="5"/>
  <c r="Z22411" i="5"/>
  <c r="Z22410" i="5"/>
  <c r="Z22409" i="5"/>
  <c r="Z22408" i="5"/>
  <c r="Z22407" i="5"/>
  <c r="Z22406" i="5"/>
  <c r="Z22405" i="5"/>
  <c r="Z22404" i="5"/>
  <c r="Z22403" i="5"/>
  <c r="Z22402" i="5"/>
  <c r="Z22401" i="5"/>
  <c r="Z22400" i="5"/>
  <c r="Z22399" i="5"/>
  <c r="Z22398" i="5"/>
  <c r="Z22397" i="5"/>
  <c r="Z22396" i="5"/>
  <c r="Z22395" i="5"/>
  <c r="Z22394" i="5"/>
  <c r="Z22393" i="5"/>
  <c r="Z22392" i="5"/>
  <c r="Z22391" i="5"/>
  <c r="Z22390" i="5"/>
  <c r="Z22389" i="5"/>
  <c r="Z22388" i="5"/>
  <c r="Z22387" i="5"/>
  <c r="Z22386" i="5"/>
  <c r="Z22385" i="5"/>
  <c r="Z22384" i="5"/>
  <c r="Z22383" i="5"/>
  <c r="Z22382" i="5"/>
  <c r="Z22381" i="5"/>
  <c r="Z22380" i="5"/>
  <c r="Z22379" i="5"/>
  <c r="Z22378" i="5"/>
  <c r="Z22377" i="5"/>
  <c r="Z22376" i="5"/>
  <c r="Z22375" i="5"/>
  <c r="Z22374" i="5"/>
  <c r="Z22373" i="5"/>
  <c r="Z22372" i="5"/>
  <c r="Z22371" i="5"/>
  <c r="Z22370" i="5"/>
  <c r="Z22369" i="5"/>
  <c r="Z22368" i="5"/>
  <c r="Z22367" i="5"/>
  <c r="Z22366" i="5"/>
  <c r="Z22365" i="5"/>
  <c r="Z22364" i="5"/>
  <c r="Z22363" i="5"/>
  <c r="Z22362" i="5"/>
  <c r="Z22361" i="5"/>
  <c r="Z22360" i="5"/>
  <c r="Z22359" i="5"/>
  <c r="Z22358" i="5"/>
  <c r="Z22357" i="5"/>
  <c r="Z22356" i="5"/>
  <c r="Z22355" i="5"/>
  <c r="Z22354" i="5"/>
  <c r="Z22353" i="5"/>
  <c r="Z22352" i="5"/>
  <c r="Z22351" i="5"/>
  <c r="Z22350" i="5"/>
  <c r="Z22349" i="5"/>
  <c r="Z22348" i="5"/>
  <c r="Z22347" i="5"/>
  <c r="Z22346" i="5"/>
  <c r="Z22345" i="5"/>
  <c r="Z22344" i="5"/>
  <c r="Z22343" i="5"/>
  <c r="Z22342" i="5"/>
  <c r="Z22341" i="5"/>
  <c r="Z22340" i="5"/>
  <c r="Z22339" i="5"/>
  <c r="Z22338" i="5"/>
  <c r="Z22337" i="5"/>
  <c r="Z22336" i="5"/>
  <c r="Z22335" i="5"/>
  <c r="Z22334" i="5"/>
  <c r="Z22333" i="5"/>
  <c r="Z22332" i="5"/>
  <c r="Z22331" i="5"/>
  <c r="Z22330" i="5"/>
  <c r="Z22329" i="5"/>
  <c r="Z22328" i="5"/>
  <c r="Z22327" i="5"/>
  <c r="Z22326" i="5"/>
  <c r="Z22325" i="5"/>
  <c r="Z22324" i="5"/>
  <c r="Z22323" i="5"/>
  <c r="Z22322" i="5"/>
  <c r="Z22321" i="5"/>
  <c r="Z22320" i="5"/>
  <c r="Z22319" i="5"/>
  <c r="Z22318" i="5"/>
  <c r="Z22317" i="5"/>
  <c r="Z22316" i="5"/>
  <c r="Z22315" i="5"/>
  <c r="Z22314" i="5"/>
  <c r="Z22313" i="5"/>
  <c r="Z22312" i="5"/>
  <c r="Z22311" i="5"/>
  <c r="Z22310" i="5"/>
  <c r="Z22309" i="5"/>
  <c r="Z22308" i="5"/>
  <c r="Z22307" i="5"/>
  <c r="Z22306" i="5"/>
  <c r="Z22305" i="5"/>
  <c r="Z22304" i="5"/>
  <c r="Z22303" i="5"/>
  <c r="Z22302" i="5"/>
  <c r="Z22301" i="5"/>
  <c r="Z22300" i="5"/>
  <c r="Z22299" i="5"/>
  <c r="Z22298" i="5"/>
  <c r="Z22297" i="5"/>
  <c r="Z22296" i="5"/>
  <c r="Z22295" i="5"/>
  <c r="Z22294" i="5"/>
  <c r="Z22293" i="5"/>
  <c r="Z22292" i="5"/>
  <c r="Z22291" i="5"/>
  <c r="Z22290" i="5"/>
  <c r="Z22289" i="5"/>
  <c r="Z22288" i="5"/>
  <c r="Z22287" i="5"/>
  <c r="Z22286" i="5"/>
  <c r="Z22285" i="5"/>
  <c r="Z22284" i="5"/>
  <c r="Z22283" i="5"/>
  <c r="Z22282" i="5"/>
  <c r="Z22281" i="5"/>
  <c r="Z22280" i="5"/>
  <c r="Z22279" i="5"/>
  <c r="Z22278" i="5"/>
  <c r="Z22277" i="5"/>
  <c r="Z22276" i="5"/>
  <c r="Z22275" i="5"/>
  <c r="Z22274" i="5"/>
  <c r="Z22273" i="5"/>
  <c r="Z22272" i="5"/>
  <c r="Z22271" i="5"/>
  <c r="Z22270" i="5"/>
  <c r="Z22269" i="5"/>
  <c r="Z22268" i="5"/>
  <c r="Z22267" i="5"/>
  <c r="Z22266" i="5"/>
  <c r="Z22265" i="5"/>
  <c r="Z22264" i="5"/>
  <c r="Z22263" i="5"/>
  <c r="Z22262" i="5"/>
  <c r="Z22261" i="5"/>
  <c r="Z22260" i="5"/>
  <c r="Z22259" i="5"/>
  <c r="Z22258" i="5"/>
  <c r="Z22257" i="5"/>
  <c r="Z22256" i="5"/>
  <c r="Z22255" i="5"/>
  <c r="Z22254" i="5"/>
  <c r="Z22253" i="5"/>
  <c r="Z22252" i="5"/>
  <c r="Z22251" i="5"/>
  <c r="Z22250" i="5"/>
  <c r="Z22249" i="5"/>
  <c r="Z22248" i="5"/>
  <c r="Z22247" i="5"/>
  <c r="Z22246" i="5"/>
  <c r="Z22245" i="5"/>
  <c r="Z22244" i="5"/>
  <c r="Z22243" i="5"/>
  <c r="Z22242" i="5"/>
  <c r="Z22241" i="5"/>
  <c r="Z22240" i="5"/>
  <c r="Z22239" i="5"/>
  <c r="Z22238" i="5"/>
  <c r="Z22237" i="5"/>
  <c r="Z22236" i="5"/>
  <c r="Z22235" i="5"/>
  <c r="Z22234" i="5"/>
  <c r="Z22233" i="5"/>
  <c r="Z22232" i="5"/>
  <c r="Z22231" i="5"/>
  <c r="Z22230" i="5"/>
  <c r="Z22229" i="5"/>
  <c r="Z22228" i="5"/>
  <c r="Z22227" i="5"/>
  <c r="Z22226" i="5"/>
  <c r="Z22225" i="5"/>
  <c r="Z22224" i="5"/>
  <c r="Z22223" i="5"/>
  <c r="Z22222" i="5"/>
  <c r="Z22221" i="5"/>
  <c r="Z22220" i="5"/>
  <c r="Z22219" i="5"/>
  <c r="Z22218" i="5"/>
  <c r="Z22217" i="5"/>
  <c r="Z22216" i="5"/>
  <c r="Z22215" i="5"/>
  <c r="Z22214" i="5"/>
  <c r="Z22213" i="5"/>
  <c r="Z22212" i="5"/>
  <c r="Z22211" i="5"/>
  <c r="Z22210" i="5"/>
  <c r="Z22209" i="5"/>
  <c r="Z22208" i="5"/>
  <c r="Z22207" i="5"/>
  <c r="Z22206" i="5"/>
  <c r="Z22205" i="5"/>
  <c r="Z22204" i="5"/>
  <c r="Z22203" i="5"/>
  <c r="Z22202" i="5"/>
  <c r="Z22201" i="5"/>
  <c r="Z22200" i="5"/>
  <c r="Z22199" i="5"/>
  <c r="Z22198" i="5"/>
  <c r="Z22197" i="5"/>
  <c r="Z22196" i="5"/>
  <c r="Z22195" i="5"/>
  <c r="Z22194" i="5"/>
  <c r="Z22193" i="5"/>
  <c r="Z22192" i="5"/>
  <c r="Z22191" i="5"/>
  <c r="Z22190" i="5"/>
  <c r="Z22189" i="5"/>
  <c r="Z22188" i="5"/>
  <c r="Z22187" i="5"/>
  <c r="Z22186" i="5"/>
  <c r="Z22185" i="5"/>
  <c r="Z22184" i="5"/>
  <c r="Z22183" i="5"/>
  <c r="Z22182" i="5"/>
  <c r="Z22181" i="5"/>
  <c r="Z22180" i="5"/>
  <c r="Z22179" i="5"/>
  <c r="Z22178" i="5"/>
  <c r="Z22177" i="5"/>
  <c r="Z22176" i="5"/>
  <c r="Z22175" i="5"/>
  <c r="Z22174" i="5"/>
  <c r="Z22173" i="5"/>
  <c r="Z22172" i="5"/>
  <c r="Z22171" i="5"/>
  <c r="Z22170" i="5"/>
  <c r="Z22169" i="5"/>
  <c r="Z22168" i="5"/>
  <c r="Z22167" i="5"/>
  <c r="Z22166" i="5"/>
  <c r="Z22165" i="5"/>
  <c r="Z22164" i="5"/>
  <c r="Z22163" i="5"/>
  <c r="Z22162" i="5"/>
  <c r="Z22161" i="5"/>
  <c r="Z22160" i="5"/>
  <c r="Z22159" i="5"/>
  <c r="Z22158" i="5"/>
  <c r="Z22157" i="5"/>
  <c r="Z22156" i="5"/>
  <c r="Z22155" i="5"/>
  <c r="Z22154" i="5"/>
  <c r="Z22153" i="5"/>
  <c r="Z22152" i="5"/>
  <c r="Z22151" i="5"/>
  <c r="Z22150" i="5"/>
  <c r="Z22149" i="5"/>
  <c r="Z22148" i="5"/>
  <c r="Z22147" i="5"/>
  <c r="Z22146" i="5"/>
  <c r="Z22145" i="5"/>
  <c r="Z22144" i="5"/>
  <c r="Z22143" i="5"/>
  <c r="Z22142" i="5"/>
  <c r="Z22141" i="5"/>
  <c r="Z22140" i="5"/>
  <c r="Z22139" i="5"/>
  <c r="Z22138" i="5"/>
  <c r="Z22137" i="5"/>
  <c r="Z22136" i="5"/>
  <c r="Z22135" i="5"/>
  <c r="Z22134" i="5"/>
  <c r="Z22133" i="5"/>
  <c r="Z22132" i="5"/>
  <c r="Z22131" i="5"/>
  <c r="Z22130" i="5"/>
  <c r="Z22129" i="5"/>
  <c r="Z22128" i="5"/>
  <c r="Z22127" i="5"/>
  <c r="Z22126" i="5"/>
  <c r="Z22125" i="5"/>
  <c r="Z22124" i="5"/>
  <c r="Z22123" i="5"/>
  <c r="Z22122" i="5"/>
  <c r="Z22121" i="5"/>
  <c r="Z22120" i="5"/>
  <c r="Z22119" i="5"/>
  <c r="Z22118" i="5"/>
  <c r="Z22117" i="5"/>
  <c r="Z22116" i="5"/>
  <c r="Z22115" i="5"/>
  <c r="Z22114" i="5"/>
  <c r="Z22113" i="5"/>
  <c r="Z22112" i="5"/>
  <c r="Z22111" i="5"/>
  <c r="Z22110" i="5"/>
  <c r="Z22109" i="5"/>
  <c r="Z22108" i="5"/>
  <c r="Z22107" i="5"/>
  <c r="Z22106" i="5"/>
  <c r="Z22105" i="5"/>
  <c r="Z22104" i="5"/>
  <c r="Z22103" i="5"/>
  <c r="Z22102" i="5"/>
  <c r="Z22101" i="5"/>
  <c r="Z22100" i="5"/>
  <c r="Z22099" i="5"/>
  <c r="Z22098" i="5"/>
  <c r="Z22097" i="5"/>
  <c r="Z22096" i="5"/>
  <c r="Z22095" i="5"/>
  <c r="Z22094" i="5"/>
  <c r="Z22093" i="5"/>
  <c r="Z22092" i="5"/>
  <c r="Z22091" i="5"/>
  <c r="Z22090" i="5"/>
  <c r="Z22089" i="5"/>
  <c r="Z22088" i="5"/>
  <c r="Z22087" i="5"/>
  <c r="Z22086" i="5"/>
  <c r="Z22085" i="5"/>
  <c r="Z22084" i="5"/>
  <c r="Z22083" i="5"/>
  <c r="Z22082" i="5"/>
  <c r="Z22081" i="5"/>
  <c r="Z22080" i="5"/>
  <c r="Z22079" i="5"/>
  <c r="Z22078" i="5"/>
  <c r="Z22077" i="5"/>
  <c r="Z22076" i="5"/>
  <c r="Z22075" i="5"/>
  <c r="Z22074" i="5"/>
  <c r="Z22073" i="5"/>
  <c r="Z22072" i="5"/>
  <c r="Z22071" i="5"/>
  <c r="Z22070" i="5"/>
  <c r="Z22069" i="5"/>
  <c r="Z22068" i="5"/>
  <c r="Z22067" i="5"/>
  <c r="Z22066" i="5"/>
  <c r="Z22065" i="5"/>
  <c r="Z22064" i="5"/>
  <c r="Z22063" i="5"/>
  <c r="Z22062" i="5"/>
  <c r="Z22061" i="5"/>
  <c r="Z22060" i="5"/>
  <c r="Z22059" i="5"/>
  <c r="Z22058" i="5"/>
  <c r="Z22057" i="5"/>
  <c r="Z22056" i="5"/>
  <c r="Z22055" i="5"/>
  <c r="Z22054" i="5"/>
  <c r="Z22053" i="5"/>
  <c r="Z22052" i="5"/>
  <c r="Z22051" i="5"/>
  <c r="Z22050" i="5"/>
  <c r="Z22049" i="5"/>
  <c r="Z22048" i="5"/>
  <c r="Z22047" i="5"/>
  <c r="Z22046" i="5"/>
  <c r="Z22045" i="5"/>
  <c r="Z22044" i="5"/>
  <c r="Z22043" i="5"/>
  <c r="Z22042" i="5"/>
  <c r="Z22041" i="5"/>
  <c r="Z22040" i="5"/>
  <c r="Z22039" i="5"/>
  <c r="Z22038" i="5"/>
  <c r="Z22037" i="5"/>
  <c r="Z22036" i="5"/>
  <c r="Z22035" i="5"/>
  <c r="Z22034" i="5"/>
  <c r="Z22033" i="5"/>
  <c r="Z22032" i="5"/>
  <c r="Z22031" i="5"/>
  <c r="Z22030" i="5"/>
  <c r="Z22029" i="5"/>
  <c r="Z22028" i="5"/>
  <c r="Z22027" i="5"/>
  <c r="Z22026" i="5"/>
  <c r="Z22025" i="5"/>
  <c r="Z22024" i="5"/>
  <c r="Z22023" i="5"/>
  <c r="Z22022" i="5"/>
  <c r="Z22021" i="5"/>
  <c r="Z22020" i="5"/>
  <c r="Z22019" i="5"/>
  <c r="Z22018" i="5"/>
  <c r="Z22017" i="5"/>
  <c r="Z22016" i="5"/>
  <c r="Z22015" i="5"/>
  <c r="Z22014" i="5"/>
  <c r="Z22013" i="5"/>
  <c r="Z22012" i="5"/>
  <c r="Z22011" i="5"/>
  <c r="Z22010" i="5"/>
  <c r="Z22009" i="5"/>
  <c r="Z22008" i="5"/>
  <c r="Z22007" i="5"/>
  <c r="Z22006" i="5"/>
  <c r="Z22005" i="5"/>
  <c r="Z22004" i="5"/>
  <c r="Z22003" i="5"/>
  <c r="Z22002" i="5"/>
  <c r="Z22001" i="5"/>
  <c r="Z22000" i="5"/>
  <c r="Z21999" i="5"/>
  <c r="Z21998" i="5"/>
  <c r="Z21997" i="5"/>
  <c r="Z21996" i="5"/>
  <c r="Z21995" i="5"/>
  <c r="Z21994" i="5"/>
  <c r="Z21993" i="5"/>
  <c r="Z21992" i="5"/>
  <c r="Z21991" i="5"/>
  <c r="Z21990" i="5"/>
  <c r="Z21989" i="5"/>
  <c r="Z21988" i="5"/>
  <c r="Z21987" i="5"/>
  <c r="Z21986" i="5"/>
  <c r="Z21985" i="5"/>
  <c r="Z21984" i="5"/>
  <c r="Z21983" i="5"/>
  <c r="Z21982" i="5"/>
  <c r="Z21981" i="5"/>
  <c r="Z21980" i="5"/>
  <c r="Z21979" i="5"/>
  <c r="Z21978" i="5"/>
  <c r="Z21977" i="5"/>
  <c r="Z21976" i="5"/>
  <c r="Z21975" i="5"/>
  <c r="Z21974" i="5"/>
  <c r="Z21973" i="5"/>
  <c r="Z21972" i="5"/>
  <c r="Z21971" i="5"/>
  <c r="Z21970" i="5"/>
  <c r="Z21969" i="5"/>
  <c r="Z21968" i="5"/>
  <c r="Z21967" i="5"/>
  <c r="Z21966" i="5"/>
  <c r="Z21965" i="5"/>
  <c r="Z21964" i="5"/>
  <c r="Z21963" i="5"/>
  <c r="Z21962" i="5"/>
  <c r="Z21961" i="5"/>
  <c r="Z21960" i="5"/>
  <c r="Z21959" i="5"/>
  <c r="Z21958" i="5"/>
  <c r="Z21957" i="5"/>
  <c r="Z21956" i="5"/>
  <c r="Z21955" i="5"/>
  <c r="Z21954" i="5"/>
  <c r="Z21953" i="5"/>
  <c r="Z21952" i="5"/>
  <c r="Z21951" i="5"/>
  <c r="Z21950" i="5"/>
  <c r="Z21949" i="5"/>
  <c r="Z21948" i="5"/>
  <c r="Z21947" i="5"/>
  <c r="Z21946" i="5"/>
  <c r="Z21945" i="5"/>
  <c r="Z21944" i="5"/>
  <c r="Z21943" i="5"/>
  <c r="Z21942" i="5"/>
  <c r="Z21941" i="5"/>
  <c r="Z21940" i="5"/>
  <c r="Z21939" i="5"/>
  <c r="Z21938" i="5"/>
  <c r="Z21937" i="5"/>
  <c r="Z21936" i="5"/>
  <c r="Z21935" i="5"/>
  <c r="Z21934" i="5"/>
  <c r="Z21933" i="5"/>
  <c r="Z21932" i="5"/>
  <c r="Z21931" i="5"/>
  <c r="Z21930" i="5"/>
  <c r="Z21929" i="5"/>
  <c r="Z21928" i="5"/>
  <c r="Z21927" i="5"/>
  <c r="Z21926" i="5"/>
  <c r="Z21925" i="5"/>
  <c r="Z21924" i="5"/>
  <c r="Z21923" i="5"/>
  <c r="Z21922" i="5"/>
  <c r="Z21921" i="5"/>
  <c r="Z21920" i="5"/>
  <c r="Z21919" i="5"/>
  <c r="Z21918" i="5"/>
  <c r="Z21917" i="5"/>
  <c r="Z21916" i="5"/>
  <c r="Z21915" i="5"/>
  <c r="Z21914" i="5"/>
  <c r="Z21913" i="5"/>
  <c r="Z21912" i="5"/>
  <c r="Z21911" i="5"/>
  <c r="Z21910" i="5"/>
  <c r="Z21909" i="5"/>
  <c r="Z21908" i="5"/>
  <c r="Z21907" i="5"/>
  <c r="Z21906" i="5"/>
  <c r="Z21905" i="5"/>
  <c r="Z21904" i="5"/>
  <c r="Z21903" i="5"/>
  <c r="Z21902" i="5"/>
  <c r="Z21901" i="5"/>
  <c r="Z21900" i="5"/>
  <c r="Z21899" i="5"/>
  <c r="Z21898" i="5"/>
  <c r="Z21897" i="5"/>
  <c r="Z21896" i="5"/>
  <c r="Z21895" i="5"/>
  <c r="Z21894" i="5"/>
  <c r="Z21893" i="5"/>
  <c r="Z21892" i="5"/>
  <c r="Z21891" i="5"/>
  <c r="Z21890" i="5"/>
  <c r="Z21889" i="5"/>
  <c r="Z21888" i="5"/>
  <c r="Z21887" i="5"/>
  <c r="Z21886" i="5"/>
  <c r="Z21885" i="5"/>
  <c r="Z21884" i="5"/>
  <c r="Z21883" i="5"/>
  <c r="Z21882" i="5"/>
  <c r="Z21881" i="5"/>
  <c r="Z21880" i="5"/>
  <c r="Z21879" i="5"/>
  <c r="Z21878" i="5"/>
  <c r="Z21877" i="5"/>
  <c r="Z21876" i="5"/>
  <c r="Z21875" i="5"/>
  <c r="Z21874" i="5"/>
  <c r="Z21873" i="5"/>
  <c r="Z21872" i="5"/>
  <c r="Z21871" i="5"/>
  <c r="Z21870" i="5"/>
  <c r="Z21869" i="5"/>
  <c r="Z21868" i="5"/>
  <c r="Z21867" i="5"/>
  <c r="Z21866" i="5"/>
  <c r="Z21865" i="5"/>
  <c r="Z21864" i="5"/>
  <c r="Z21863" i="5"/>
  <c r="Z21862" i="5"/>
  <c r="Z21861" i="5"/>
  <c r="Z21860" i="5"/>
  <c r="Z21859" i="5"/>
  <c r="Z21858" i="5"/>
  <c r="Z21857" i="5"/>
  <c r="Z21856" i="5"/>
  <c r="Z21855" i="5"/>
  <c r="Z21854" i="5"/>
  <c r="Z21853" i="5"/>
  <c r="Z21852" i="5"/>
  <c r="Z21851" i="5"/>
  <c r="Z21850" i="5"/>
  <c r="Z21849" i="5"/>
  <c r="Z21848" i="5"/>
  <c r="Z21847" i="5"/>
  <c r="Z21846" i="5"/>
  <c r="Z21845" i="5"/>
  <c r="Z21844" i="5"/>
  <c r="Z21843" i="5"/>
  <c r="Z21842" i="5"/>
  <c r="Z21841" i="5"/>
  <c r="Z21840" i="5"/>
  <c r="Z21839" i="5"/>
  <c r="Z21838" i="5"/>
  <c r="Z21837" i="5"/>
  <c r="Z21836" i="5"/>
  <c r="Z21835" i="5"/>
  <c r="Z21834" i="5"/>
  <c r="Z21833" i="5"/>
  <c r="Z21832" i="5"/>
  <c r="Z21831" i="5"/>
  <c r="Z21830" i="5"/>
  <c r="Z21829" i="5"/>
  <c r="Z21828" i="5"/>
  <c r="Z21827" i="5"/>
  <c r="Z21826" i="5"/>
  <c r="Z21825" i="5"/>
  <c r="Z21824" i="5"/>
  <c r="Z21823" i="5"/>
  <c r="Z21822" i="5"/>
  <c r="Z21821" i="5"/>
  <c r="Z21820" i="5"/>
  <c r="Z21819" i="5"/>
  <c r="Z21818" i="5"/>
  <c r="Z21817" i="5"/>
  <c r="Z21816" i="5"/>
  <c r="Z21815" i="5"/>
  <c r="Z21814" i="5"/>
  <c r="Z21813" i="5"/>
  <c r="Z21812" i="5"/>
  <c r="Z21811" i="5"/>
  <c r="Z21810" i="5"/>
  <c r="Z21809" i="5"/>
  <c r="Z21808" i="5"/>
  <c r="Z21807" i="5"/>
  <c r="Z21806" i="5"/>
  <c r="Z21805" i="5"/>
  <c r="Z21804" i="5"/>
  <c r="Z21803" i="5"/>
  <c r="Z21802" i="5"/>
  <c r="Z21801" i="5"/>
  <c r="Z21800" i="5"/>
  <c r="Z21799" i="5"/>
  <c r="Z21798" i="5"/>
  <c r="Z21797" i="5"/>
  <c r="Z21796" i="5"/>
  <c r="Z21795" i="5"/>
  <c r="Z21794" i="5"/>
  <c r="Z21793" i="5"/>
  <c r="Z21792" i="5"/>
  <c r="Z21791" i="5"/>
  <c r="Z21790" i="5"/>
  <c r="Z21789" i="5"/>
  <c r="Z21788" i="5"/>
  <c r="Z21787" i="5"/>
  <c r="Z21786" i="5"/>
  <c r="Z21785" i="5"/>
  <c r="Z21784" i="5"/>
  <c r="Z21783" i="5"/>
  <c r="Z21782" i="5"/>
  <c r="Z21781" i="5"/>
  <c r="Z21780" i="5"/>
  <c r="Z21779" i="5"/>
  <c r="Z21778" i="5"/>
  <c r="Z21777" i="5"/>
  <c r="Z21776" i="5"/>
  <c r="Z21775" i="5"/>
  <c r="Z21774" i="5"/>
  <c r="Z21773" i="5"/>
  <c r="Z21772" i="5"/>
  <c r="Z21771" i="5"/>
  <c r="Z21770" i="5"/>
  <c r="Z21769" i="5"/>
  <c r="Z21768" i="5"/>
  <c r="Z21767" i="5"/>
  <c r="Z21766" i="5"/>
  <c r="Z21765" i="5"/>
  <c r="Z21764" i="5"/>
  <c r="Z21763" i="5"/>
  <c r="Z21762" i="5"/>
  <c r="Z21761" i="5"/>
  <c r="Z21760" i="5"/>
  <c r="Z21759" i="5"/>
  <c r="Z21758" i="5"/>
  <c r="Z21757" i="5"/>
  <c r="Z21756" i="5"/>
  <c r="Z21755" i="5"/>
  <c r="Z21754" i="5"/>
  <c r="Z21753" i="5"/>
  <c r="Z21752" i="5"/>
  <c r="Z21751" i="5"/>
  <c r="Z21750" i="5"/>
  <c r="Z21749" i="5"/>
  <c r="Z21748" i="5"/>
  <c r="Z21747" i="5"/>
  <c r="Z21746" i="5"/>
  <c r="Z21745" i="5"/>
  <c r="Z21744" i="5"/>
  <c r="Z21743" i="5"/>
  <c r="Z21742" i="5"/>
  <c r="Z21741" i="5"/>
  <c r="Z21740" i="5"/>
  <c r="Z21739" i="5"/>
  <c r="Z21738" i="5"/>
  <c r="Z21737" i="5"/>
  <c r="Z21736" i="5"/>
  <c r="Z21735" i="5"/>
  <c r="Z21734" i="5"/>
  <c r="Z21733" i="5"/>
  <c r="Z21732" i="5"/>
  <c r="Z21731" i="5"/>
  <c r="Z21730" i="5"/>
  <c r="Z21729" i="5"/>
  <c r="Z21728" i="5"/>
  <c r="Z21727" i="5"/>
  <c r="Z21726" i="5"/>
  <c r="Z21725" i="5"/>
  <c r="Z21724" i="5"/>
  <c r="Z21723" i="5"/>
  <c r="Z21722" i="5"/>
  <c r="Z21721" i="5"/>
  <c r="Z21720" i="5"/>
  <c r="Z21719" i="5"/>
  <c r="Z21718" i="5"/>
  <c r="Z21717" i="5"/>
  <c r="Z21716" i="5"/>
  <c r="Z21715" i="5"/>
  <c r="Z21714" i="5"/>
  <c r="Z21713" i="5"/>
  <c r="Z21712" i="5"/>
  <c r="Z21711" i="5"/>
  <c r="Z21710" i="5"/>
  <c r="Z21709" i="5"/>
  <c r="Z21708" i="5"/>
  <c r="Z21707" i="5"/>
  <c r="Z21706" i="5"/>
  <c r="Z21705" i="5"/>
  <c r="Z21704" i="5"/>
  <c r="Z21703" i="5"/>
  <c r="Z21702" i="5"/>
  <c r="Z21701" i="5"/>
  <c r="Z21700" i="5"/>
  <c r="Z21699" i="5"/>
  <c r="Z21698" i="5"/>
  <c r="Z21697" i="5"/>
  <c r="Z21696" i="5"/>
  <c r="Z21695" i="5"/>
  <c r="Z21694" i="5"/>
  <c r="Z21693" i="5"/>
  <c r="Z21692" i="5"/>
  <c r="Z21691" i="5"/>
  <c r="Z21690" i="5"/>
  <c r="Z21689" i="5"/>
  <c r="Z21688" i="5"/>
  <c r="Z21687" i="5"/>
  <c r="Z21686" i="5"/>
  <c r="Z21685" i="5"/>
  <c r="Z21684" i="5"/>
  <c r="Z21683" i="5"/>
  <c r="Z21682" i="5"/>
  <c r="Z21681" i="5"/>
  <c r="Z21680" i="5"/>
  <c r="Z21679" i="5"/>
  <c r="Z21678" i="5"/>
  <c r="Z21677" i="5"/>
  <c r="Z21676" i="5"/>
  <c r="Z21675" i="5"/>
  <c r="Z21674" i="5"/>
  <c r="Z21673" i="5"/>
  <c r="Z21672" i="5"/>
  <c r="Z21671" i="5"/>
  <c r="Z21670" i="5"/>
  <c r="Z21669" i="5"/>
  <c r="Z21668" i="5"/>
  <c r="Z21667" i="5"/>
  <c r="Z21666" i="5"/>
  <c r="Z21665" i="5"/>
  <c r="Z21664" i="5"/>
  <c r="Z21663" i="5"/>
  <c r="Z21662" i="5"/>
  <c r="Z21661" i="5"/>
  <c r="Z21660" i="5"/>
  <c r="Z21659" i="5"/>
  <c r="Z21658" i="5"/>
  <c r="Z21657" i="5"/>
  <c r="Z21656" i="5"/>
  <c r="Z21655" i="5"/>
  <c r="Z21654" i="5"/>
  <c r="Z21653" i="5"/>
  <c r="Z21652" i="5"/>
  <c r="Z21651" i="5"/>
  <c r="Z21650" i="5"/>
  <c r="Z21649" i="5"/>
  <c r="Z21648" i="5"/>
  <c r="Z21647" i="5"/>
  <c r="Z21646" i="5"/>
  <c r="Z21645" i="5"/>
  <c r="Z21644" i="5"/>
  <c r="Z21643" i="5"/>
  <c r="Z21642" i="5"/>
  <c r="Z21641" i="5"/>
  <c r="Z21640" i="5"/>
  <c r="Z21639" i="5"/>
  <c r="Z21638" i="5"/>
  <c r="Z21637" i="5"/>
  <c r="Z21636" i="5"/>
  <c r="Z21635" i="5"/>
  <c r="Z21634" i="5"/>
  <c r="Z21633" i="5"/>
  <c r="Z21632" i="5"/>
  <c r="Z21631" i="5"/>
  <c r="Z21630" i="5"/>
  <c r="Z21629" i="5"/>
  <c r="Z21628" i="5"/>
  <c r="Z21627" i="5"/>
  <c r="Z21626" i="5"/>
  <c r="Z21625" i="5"/>
  <c r="Z21624" i="5"/>
  <c r="Z21623" i="5"/>
  <c r="Z21622" i="5"/>
  <c r="Z21621" i="5"/>
  <c r="Z21620" i="5"/>
  <c r="Z21619" i="5"/>
  <c r="Z21618" i="5"/>
  <c r="Z21617" i="5"/>
  <c r="Z21616" i="5"/>
  <c r="Z21615" i="5"/>
  <c r="Z21614" i="5"/>
  <c r="Z21613" i="5"/>
  <c r="Z21612" i="5"/>
  <c r="Z21611" i="5"/>
  <c r="Z21610" i="5"/>
  <c r="Z21609" i="5"/>
  <c r="Z21608" i="5"/>
  <c r="Z21607" i="5"/>
  <c r="Z21606" i="5"/>
  <c r="Z21605" i="5"/>
  <c r="Z21604" i="5"/>
  <c r="Z21603" i="5"/>
  <c r="Z21602" i="5"/>
  <c r="Z21601" i="5"/>
  <c r="Z21600" i="5"/>
  <c r="Z21599" i="5"/>
  <c r="Z21598" i="5"/>
  <c r="Z21597" i="5"/>
  <c r="Z21596" i="5"/>
  <c r="Z21595" i="5"/>
  <c r="Z21594" i="5"/>
  <c r="Z21593" i="5"/>
  <c r="Z21592" i="5"/>
  <c r="Z21591" i="5"/>
  <c r="Z21590" i="5"/>
  <c r="Z21589" i="5"/>
  <c r="Z21588" i="5"/>
  <c r="Z21587" i="5"/>
  <c r="Z21586" i="5"/>
  <c r="Z21585" i="5"/>
  <c r="Z21584" i="5"/>
  <c r="Z21583" i="5"/>
  <c r="Z21582" i="5"/>
  <c r="Z21581" i="5"/>
  <c r="Z21580" i="5"/>
  <c r="Z21579" i="5"/>
  <c r="Z21578" i="5"/>
  <c r="Z21577" i="5"/>
  <c r="Z21576" i="5"/>
  <c r="Z21575" i="5"/>
  <c r="Z21574" i="5"/>
  <c r="Z21573" i="5"/>
  <c r="Z21572" i="5"/>
  <c r="Z21571" i="5"/>
  <c r="Z21570" i="5"/>
  <c r="Z21569" i="5"/>
  <c r="Z21568" i="5"/>
  <c r="Z21567" i="5"/>
  <c r="Z21566" i="5"/>
  <c r="Z21565" i="5"/>
  <c r="Z21564" i="5"/>
  <c r="Z21563" i="5"/>
  <c r="Z21562" i="5"/>
  <c r="Z21561" i="5"/>
  <c r="Z21560" i="5"/>
  <c r="Z21559" i="5"/>
  <c r="Z21558" i="5"/>
  <c r="Z21557" i="5"/>
  <c r="Z21556" i="5"/>
  <c r="Z21555" i="5"/>
  <c r="Z21554" i="5"/>
  <c r="Z21553" i="5"/>
  <c r="Z21552" i="5"/>
  <c r="Z21551" i="5"/>
  <c r="Z21550" i="5"/>
  <c r="Z21549" i="5"/>
  <c r="Z21548" i="5"/>
  <c r="Z21547" i="5"/>
  <c r="Z21546" i="5"/>
  <c r="Z21545" i="5"/>
  <c r="Z21544" i="5"/>
  <c r="Z21543" i="5"/>
  <c r="Z21542" i="5"/>
  <c r="Z21541" i="5"/>
  <c r="Z21540" i="5"/>
  <c r="Z21539" i="5"/>
  <c r="Z21538" i="5"/>
  <c r="Z21537" i="5"/>
  <c r="Z21536" i="5"/>
  <c r="Z21535" i="5"/>
  <c r="Z21534" i="5"/>
  <c r="Z21533" i="5"/>
  <c r="Z21532" i="5"/>
  <c r="Z21531" i="5"/>
  <c r="Z21530" i="5"/>
  <c r="Z21529" i="5"/>
  <c r="Z21528" i="5"/>
  <c r="Z21527" i="5"/>
  <c r="Z21526" i="5"/>
  <c r="Z21525" i="5"/>
  <c r="Z21524" i="5"/>
  <c r="Z21523" i="5"/>
  <c r="Z21522" i="5"/>
  <c r="Z21521" i="5"/>
  <c r="Z21520" i="5"/>
  <c r="Z21519" i="5"/>
  <c r="Z21518" i="5"/>
  <c r="Z21517" i="5"/>
  <c r="Z21516" i="5"/>
  <c r="Z21515" i="5"/>
  <c r="Z21514" i="5"/>
  <c r="Z21513" i="5"/>
  <c r="Z21512" i="5"/>
  <c r="Z21511" i="5"/>
  <c r="Z21510" i="5"/>
  <c r="Z21509" i="5"/>
  <c r="Z21508" i="5"/>
  <c r="Z21507" i="5"/>
  <c r="Z21506" i="5"/>
  <c r="Z21505" i="5"/>
  <c r="Z21504" i="5"/>
  <c r="Z21503" i="5"/>
  <c r="Z21502" i="5"/>
  <c r="Z21501" i="5"/>
  <c r="Z21500" i="5"/>
  <c r="Z21499" i="5"/>
  <c r="Z21498" i="5"/>
  <c r="Z21497" i="5"/>
  <c r="Z21496" i="5"/>
  <c r="Z21495" i="5"/>
  <c r="Z21494" i="5"/>
  <c r="Z21493" i="5"/>
  <c r="Z21492" i="5"/>
  <c r="Z21491" i="5"/>
  <c r="Z21490" i="5"/>
  <c r="Z21489" i="5"/>
  <c r="Z21488" i="5"/>
  <c r="Z21487" i="5"/>
  <c r="Z21486" i="5"/>
  <c r="Z21485" i="5"/>
  <c r="Z21484" i="5"/>
  <c r="Z21483" i="5"/>
  <c r="Z21482" i="5"/>
  <c r="Z21481" i="5"/>
  <c r="Z21480" i="5"/>
  <c r="Z21479" i="5"/>
  <c r="Z21478" i="5"/>
  <c r="Z21477" i="5"/>
  <c r="Z21476" i="5"/>
  <c r="Z21475" i="5"/>
  <c r="Z21474" i="5"/>
  <c r="Z21473" i="5"/>
  <c r="Z21472" i="5"/>
  <c r="Z21471" i="5"/>
  <c r="Z21470" i="5"/>
  <c r="Z21469" i="5"/>
  <c r="Z21468" i="5"/>
  <c r="Z21467" i="5"/>
  <c r="Z21466" i="5"/>
  <c r="Z21465" i="5"/>
  <c r="Z21464" i="5"/>
  <c r="Z21463" i="5"/>
  <c r="Z21462" i="5"/>
  <c r="Z21461" i="5"/>
  <c r="Z21460" i="5"/>
  <c r="Z21459" i="5"/>
  <c r="Z21458" i="5"/>
  <c r="Z21457" i="5"/>
  <c r="Z21456" i="5"/>
  <c r="Z21455" i="5"/>
  <c r="Z21454" i="5"/>
  <c r="Z21453" i="5"/>
  <c r="Z21452" i="5"/>
  <c r="Z21451" i="5"/>
  <c r="Z21450" i="5"/>
  <c r="Z21449" i="5"/>
  <c r="Z21448" i="5"/>
  <c r="Z21447" i="5"/>
  <c r="Z21446" i="5"/>
  <c r="Z21445" i="5"/>
  <c r="Z21444" i="5"/>
  <c r="Z21443" i="5"/>
  <c r="Z21442" i="5"/>
  <c r="Z21441" i="5"/>
  <c r="Z21440" i="5"/>
  <c r="Z21439" i="5"/>
  <c r="Z21438" i="5"/>
  <c r="Z21437" i="5"/>
  <c r="Z21436" i="5"/>
  <c r="Z21435" i="5"/>
  <c r="Z21434" i="5"/>
  <c r="Z21433" i="5"/>
  <c r="Z21432" i="5"/>
  <c r="Z21431" i="5"/>
  <c r="Z21430" i="5"/>
  <c r="Z21429" i="5"/>
  <c r="Z21428" i="5"/>
  <c r="Z21427" i="5"/>
  <c r="Z21426" i="5"/>
  <c r="Z21425" i="5"/>
  <c r="Z21424" i="5"/>
  <c r="Z21423" i="5"/>
  <c r="Z21422" i="5"/>
  <c r="Z21421" i="5"/>
  <c r="Z21420" i="5"/>
  <c r="Z21419" i="5"/>
  <c r="Z21418" i="5"/>
  <c r="Z21417" i="5"/>
  <c r="Z21416" i="5"/>
  <c r="Z21415" i="5"/>
  <c r="Z21414" i="5"/>
  <c r="Z21413" i="5"/>
  <c r="Z21412" i="5"/>
  <c r="Z21411" i="5"/>
  <c r="Z21410" i="5"/>
  <c r="Z21409" i="5"/>
  <c r="Z21408" i="5"/>
  <c r="Z21407" i="5"/>
  <c r="Z21406" i="5"/>
  <c r="Z21405" i="5"/>
  <c r="Z21404" i="5"/>
  <c r="Z21403" i="5"/>
  <c r="Z21402" i="5"/>
  <c r="Z21401" i="5"/>
  <c r="Z21400" i="5"/>
  <c r="Z21399" i="5"/>
  <c r="Z21398" i="5"/>
  <c r="Z21397" i="5"/>
  <c r="Z21396" i="5"/>
  <c r="Z21395" i="5"/>
  <c r="Z21394" i="5"/>
  <c r="Z21393" i="5"/>
  <c r="Z21392" i="5"/>
  <c r="Z21391" i="5"/>
  <c r="Z21390" i="5"/>
  <c r="Z21389" i="5"/>
  <c r="Z21388" i="5"/>
  <c r="Z21387" i="5"/>
  <c r="Z21386" i="5"/>
  <c r="Z21385" i="5"/>
  <c r="Z21384" i="5"/>
  <c r="Z21383" i="5"/>
  <c r="Z21382" i="5"/>
  <c r="Z21381" i="5"/>
  <c r="Z21380" i="5"/>
  <c r="Z21379" i="5"/>
  <c r="Z21378" i="5"/>
  <c r="Z21377" i="5"/>
  <c r="Z21376" i="5"/>
  <c r="Z21375" i="5"/>
  <c r="Z21374" i="5"/>
  <c r="Z21373" i="5"/>
  <c r="Z21372" i="5"/>
  <c r="Z21371" i="5"/>
  <c r="Z21370" i="5"/>
  <c r="Z21369" i="5"/>
  <c r="Z21368" i="5"/>
  <c r="Z21367" i="5"/>
  <c r="Z21366" i="5"/>
  <c r="Z21365" i="5"/>
  <c r="Z21364" i="5"/>
  <c r="Z21363" i="5"/>
  <c r="Z21362" i="5"/>
  <c r="Z21361" i="5"/>
  <c r="Z21360" i="5"/>
  <c r="Z21359" i="5"/>
  <c r="Z21358" i="5"/>
  <c r="Z21357" i="5"/>
  <c r="Z21356" i="5"/>
  <c r="Z21355" i="5"/>
  <c r="Z21354" i="5"/>
  <c r="Z21353" i="5"/>
  <c r="Z21352" i="5"/>
  <c r="Z21351" i="5"/>
  <c r="Z21350" i="5"/>
  <c r="Z21349" i="5"/>
  <c r="Z21348" i="5"/>
  <c r="Z21347" i="5"/>
  <c r="Z21346" i="5"/>
  <c r="Z21345" i="5"/>
  <c r="Z21344" i="5"/>
  <c r="Z21343" i="5"/>
  <c r="Z21342" i="5"/>
  <c r="Z21341" i="5"/>
  <c r="Z21340" i="5"/>
  <c r="Z21339" i="5"/>
  <c r="Z21338" i="5"/>
  <c r="Z21337" i="5"/>
  <c r="Z21336" i="5"/>
  <c r="Z21335" i="5"/>
  <c r="Z21334" i="5"/>
  <c r="Z21333" i="5"/>
  <c r="Z21332" i="5"/>
  <c r="Z21331" i="5"/>
  <c r="Z21330" i="5"/>
  <c r="Z21329" i="5"/>
  <c r="Z21328" i="5"/>
  <c r="Z21327" i="5"/>
  <c r="Z21326" i="5"/>
  <c r="Z21325" i="5"/>
  <c r="Z21324" i="5"/>
  <c r="Z21323" i="5"/>
  <c r="Z21322" i="5"/>
  <c r="Z21321" i="5"/>
  <c r="Z21320" i="5"/>
  <c r="Z21319" i="5"/>
  <c r="Z21318" i="5"/>
  <c r="Z21317" i="5"/>
  <c r="Z21316" i="5"/>
  <c r="Z21315" i="5"/>
  <c r="Z21314" i="5"/>
  <c r="Z21313" i="5"/>
  <c r="Z21312" i="5"/>
  <c r="Z21311" i="5"/>
  <c r="Z21310" i="5"/>
  <c r="Z21309" i="5"/>
  <c r="Z21308" i="5"/>
  <c r="Z21307" i="5"/>
  <c r="Z21306" i="5"/>
  <c r="Z21305" i="5"/>
  <c r="Z21304" i="5"/>
  <c r="Z21303" i="5"/>
  <c r="Z21302" i="5"/>
  <c r="Z21301" i="5"/>
  <c r="Z21300" i="5"/>
  <c r="Z21299" i="5"/>
  <c r="Z21298" i="5"/>
  <c r="Z21297" i="5"/>
  <c r="Z21296" i="5"/>
  <c r="Z21295" i="5"/>
  <c r="Z21294" i="5"/>
  <c r="Z21293" i="5"/>
  <c r="Z21292" i="5"/>
  <c r="Z21291" i="5"/>
  <c r="Z21290" i="5"/>
  <c r="Z21289" i="5"/>
  <c r="Z21288" i="5"/>
  <c r="Z21287" i="5"/>
  <c r="Z21286" i="5"/>
  <c r="Z21285" i="5"/>
  <c r="Z21284" i="5"/>
  <c r="Z21283" i="5"/>
  <c r="Z21282" i="5"/>
  <c r="Z21281" i="5"/>
  <c r="Z21280" i="5"/>
  <c r="Z21279" i="5"/>
  <c r="Z21278" i="5"/>
  <c r="Z21277" i="5"/>
  <c r="Z21276" i="5"/>
  <c r="Z21275" i="5"/>
  <c r="Z21274" i="5"/>
  <c r="Z21273" i="5"/>
  <c r="Z21272" i="5"/>
  <c r="Z21271" i="5"/>
  <c r="Z21270" i="5"/>
  <c r="Z21269" i="5"/>
  <c r="Z21268" i="5"/>
  <c r="Z21267" i="5"/>
  <c r="Z21266" i="5"/>
  <c r="Z21265" i="5"/>
  <c r="Z21264" i="5"/>
  <c r="Z21263" i="5"/>
  <c r="Z21262" i="5"/>
  <c r="Z21261" i="5"/>
  <c r="Z21260" i="5"/>
  <c r="Z21259" i="5"/>
  <c r="Z21258" i="5"/>
  <c r="Z21257" i="5"/>
  <c r="Z21256" i="5"/>
  <c r="Z21255" i="5"/>
  <c r="Z21254" i="5"/>
  <c r="Z21253" i="5"/>
  <c r="Z21252" i="5"/>
  <c r="Z21251" i="5"/>
  <c r="Z21250" i="5"/>
  <c r="Z21249" i="5"/>
  <c r="Z21248" i="5"/>
  <c r="Z21247" i="5"/>
  <c r="Z21246" i="5"/>
  <c r="Z21245" i="5"/>
  <c r="Z21244" i="5"/>
  <c r="Z21243" i="5"/>
  <c r="Z21242" i="5"/>
  <c r="Z21241" i="5"/>
  <c r="Z21240" i="5"/>
  <c r="Z21239" i="5"/>
  <c r="Z21238" i="5"/>
  <c r="Z21237" i="5"/>
  <c r="Z21236" i="5"/>
  <c r="Z21235" i="5"/>
  <c r="Z21234" i="5"/>
  <c r="Z21233" i="5"/>
  <c r="Z21232" i="5"/>
  <c r="Z21231" i="5"/>
  <c r="Z21230" i="5"/>
  <c r="Z21229" i="5"/>
  <c r="Z21228" i="5"/>
  <c r="Z21227" i="5"/>
  <c r="Z21226" i="5"/>
  <c r="Z21225" i="5"/>
  <c r="Z21224" i="5"/>
  <c r="Z21223" i="5"/>
  <c r="Z21222" i="5"/>
  <c r="Z21221" i="5"/>
  <c r="Z21220" i="5"/>
  <c r="Z21219" i="5"/>
  <c r="Z21218" i="5"/>
  <c r="Z21217" i="5"/>
  <c r="Z21216" i="5"/>
  <c r="Z21215" i="5"/>
  <c r="Z21214" i="5"/>
  <c r="Z21213" i="5"/>
  <c r="Z21212" i="5"/>
  <c r="Z21211" i="5"/>
  <c r="Z21210" i="5"/>
  <c r="Z21209" i="5"/>
  <c r="Z21208" i="5"/>
  <c r="Z21207" i="5"/>
  <c r="Z21206" i="5"/>
  <c r="Z21205" i="5"/>
  <c r="Z21204" i="5"/>
  <c r="Z21203" i="5"/>
  <c r="Z21202" i="5"/>
  <c r="Z21201" i="5"/>
  <c r="Z21200" i="5"/>
  <c r="Z21199" i="5"/>
  <c r="Z21198" i="5"/>
  <c r="Z21197" i="5"/>
  <c r="Z21196" i="5"/>
  <c r="Z21195" i="5"/>
  <c r="Z21194" i="5"/>
  <c r="Z21193" i="5"/>
  <c r="Z21192" i="5"/>
  <c r="Z21191" i="5"/>
  <c r="Z21190" i="5"/>
  <c r="Z21189" i="5"/>
  <c r="Z21188" i="5"/>
  <c r="Z21187" i="5"/>
  <c r="Z21186" i="5"/>
  <c r="Z21185" i="5"/>
  <c r="Z21184" i="5"/>
  <c r="Z21183" i="5"/>
  <c r="Z21182" i="5"/>
  <c r="Z21181" i="5"/>
  <c r="Z21180" i="5"/>
  <c r="Z21179" i="5"/>
  <c r="Z21178" i="5"/>
  <c r="Z21177" i="5"/>
  <c r="Z21176" i="5"/>
  <c r="Z21175" i="5"/>
  <c r="Z21174" i="5"/>
  <c r="Z21173" i="5"/>
  <c r="Z21172" i="5"/>
  <c r="Z21171" i="5"/>
  <c r="Z21170" i="5"/>
  <c r="Z21169" i="5"/>
  <c r="Z21168" i="5"/>
  <c r="Z21167" i="5"/>
  <c r="Z21166" i="5"/>
  <c r="Z21165" i="5"/>
  <c r="Z21164" i="5"/>
  <c r="Z21163" i="5"/>
  <c r="Z21162" i="5"/>
  <c r="Z21161" i="5"/>
  <c r="Z21160" i="5"/>
  <c r="Z21159" i="5"/>
  <c r="Z21158" i="5"/>
  <c r="Z21157" i="5"/>
  <c r="Z21156" i="5"/>
  <c r="Z21155" i="5"/>
  <c r="Z21154" i="5"/>
  <c r="Z21153" i="5"/>
  <c r="Z21152" i="5"/>
  <c r="Z21151" i="5"/>
  <c r="Z21150" i="5"/>
  <c r="Z21149" i="5"/>
  <c r="Z21148" i="5"/>
  <c r="Z21147" i="5"/>
  <c r="Z21146" i="5"/>
  <c r="Z21145" i="5"/>
  <c r="Z21144" i="5"/>
  <c r="Z21143" i="5"/>
  <c r="Z21142" i="5"/>
  <c r="Z21141" i="5"/>
  <c r="Z21140" i="5"/>
  <c r="Z21139" i="5"/>
  <c r="Z21138" i="5"/>
  <c r="Z21137" i="5"/>
  <c r="Z21136" i="5"/>
  <c r="Z21135" i="5"/>
  <c r="Z21134" i="5"/>
  <c r="Z21133" i="5"/>
  <c r="Z21132" i="5"/>
  <c r="Z21131" i="5"/>
  <c r="Z21130" i="5"/>
  <c r="Z21129" i="5"/>
  <c r="Z21128" i="5"/>
  <c r="Z21127" i="5"/>
  <c r="Z21126" i="5"/>
  <c r="Z21125" i="5"/>
  <c r="Z21124" i="5"/>
  <c r="Z21123" i="5"/>
  <c r="Z21122" i="5"/>
  <c r="Z21121" i="5"/>
  <c r="Z21120" i="5"/>
  <c r="Z21119" i="5"/>
  <c r="Z21118" i="5"/>
  <c r="Z21117" i="5"/>
  <c r="Z21116" i="5"/>
  <c r="Z21115" i="5"/>
  <c r="Z21114" i="5"/>
  <c r="Z21113" i="5"/>
  <c r="Z21112" i="5"/>
  <c r="Z21111" i="5"/>
  <c r="Z21110" i="5"/>
  <c r="Z21109" i="5"/>
  <c r="Z21108" i="5"/>
  <c r="Z21107" i="5"/>
  <c r="Z21106" i="5"/>
  <c r="Z21105" i="5"/>
  <c r="Z21104" i="5"/>
  <c r="Z21103" i="5"/>
  <c r="Z21102" i="5"/>
  <c r="Z21101" i="5"/>
  <c r="Z21100" i="5"/>
  <c r="Z21099" i="5"/>
  <c r="Z21098" i="5"/>
  <c r="Z21097" i="5"/>
  <c r="Z21096" i="5"/>
  <c r="Z21095" i="5"/>
  <c r="Z21094" i="5"/>
  <c r="Z21093" i="5"/>
  <c r="Z21092" i="5"/>
  <c r="Z21091" i="5"/>
  <c r="Z21090" i="5"/>
  <c r="Z21089" i="5"/>
  <c r="Z21088" i="5"/>
  <c r="Z21087" i="5"/>
  <c r="Z21086" i="5"/>
  <c r="Z21085" i="5"/>
  <c r="Z21084" i="5"/>
  <c r="Z21083" i="5"/>
  <c r="Z21082" i="5"/>
  <c r="Z21081" i="5"/>
  <c r="Z21080" i="5"/>
  <c r="Z21079" i="5"/>
  <c r="Z21078" i="5"/>
  <c r="Z21077" i="5"/>
  <c r="Z21076" i="5"/>
  <c r="Z21075" i="5"/>
  <c r="Z21074" i="5"/>
  <c r="Z21073" i="5"/>
  <c r="Z21072" i="5"/>
  <c r="Z21071" i="5"/>
  <c r="Z21070" i="5"/>
  <c r="Z21069" i="5"/>
  <c r="Z21068" i="5"/>
  <c r="Z21067" i="5"/>
  <c r="Z21066" i="5"/>
  <c r="Z21065" i="5"/>
  <c r="Z21064" i="5"/>
  <c r="Z21063" i="5"/>
  <c r="Z21062" i="5"/>
  <c r="Z21061" i="5"/>
  <c r="Z21060" i="5"/>
  <c r="Z21059" i="5"/>
  <c r="Z21058" i="5"/>
  <c r="Z21057" i="5"/>
  <c r="Z21056" i="5"/>
  <c r="Z21055" i="5"/>
  <c r="Z21054" i="5"/>
  <c r="Z21053" i="5"/>
  <c r="Z21052" i="5"/>
  <c r="Z21051" i="5"/>
  <c r="Z21050" i="5"/>
  <c r="Z21049" i="5"/>
  <c r="Z21048" i="5"/>
  <c r="Z21047" i="5"/>
  <c r="Z21046" i="5"/>
  <c r="Z21045" i="5"/>
  <c r="Z21044" i="5"/>
  <c r="Z21043" i="5"/>
  <c r="Z21042" i="5"/>
  <c r="Z21041" i="5"/>
  <c r="Z21040" i="5"/>
  <c r="Z21039" i="5"/>
  <c r="Z21038" i="5"/>
  <c r="Z21037" i="5"/>
  <c r="Z21036" i="5"/>
  <c r="Z21035" i="5"/>
  <c r="Z21034" i="5"/>
  <c r="Z21033" i="5"/>
  <c r="Z21032" i="5"/>
  <c r="Z21031" i="5"/>
  <c r="Z21030" i="5"/>
  <c r="Z21029" i="5"/>
  <c r="Z21028" i="5"/>
  <c r="Z21027" i="5"/>
  <c r="Z21026" i="5"/>
  <c r="Z21025" i="5"/>
  <c r="Z21024" i="5"/>
  <c r="Z21023" i="5"/>
  <c r="Z21022" i="5"/>
  <c r="Z21021" i="5"/>
  <c r="Z21020" i="5"/>
  <c r="Z21019" i="5"/>
  <c r="Z21018" i="5"/>
  <c r="Z21017" i="5"/>
  <c r="Z21016" i="5"/>
  <c r="Z21015" i="5"/>
  <c r="Z21014" i="5"/>
  <c r="Z21013" i="5"/>
  <c r="Z21012" i="5"/>
  <c r="Z21011" i="5"/>
  <c r="Z21010" i="5"/>
  <c r="Z21009" i="5"/>
  <c r="Z21008" i="5"/>
  <c r="Z21007" i="5"/>
  <c r="Z21006" i="5"/>
  <c r="Z21005" i="5"/>
  <c r="Z21004" i="5"/>
  <c r="Z21003" i="5"/>
  <c r="Z21002" i="5"/>
  <c r="Z21001" i="5"/>
  <c r="Z21000" i="5"/>
  <c r="Z20999" i="5"/>
  <c r="Z20998" i="5"/>
  <c r="Z20997" i="5"/>
  <c r="Z20996" i="5"/>
  <c r="Z20995" i="5"/>
  <c r="Z20994" i="5"/>
  <c r="Z20993" i="5"/>
  <c r="Z20992" i="5"/>
  <c r="Z20991" i="5"/>
  <c r="Z20990" i="5"/>
  <c r="Z20989" i="5"/>
  <c r="Z20988" i="5"/>
  <c r="Z20987" i="5"/>
  <c r="Z20986" i="5"/>
  <c r="Z20985" i="5"/>
  <c r="Z20984" i="5"/>
  <c r="Z20983" i="5"/>
  <c r="Z20982" i="5"/>
  <c r="Z20981" i="5"/>
  <c r="Z20980" i="5"/>
  <c r="Z20979" i="5"/>
  <c r="Z20978" i="5"/>
  <c r="Z20977" i="5"/>
  <c r="Z20976" i="5"/>
  <c r="Z20975" i="5"/>
  <c r="Z20974" i="5"/>
  <c r="Z20973" i="5"/>
  <c r="Z20972" i="5"/>
  <c r="Z20971" i="5"/>
  <c r="Z20970" i="5"/>
  <c r="Z20969" i="5"/>
  <c r="Z20968" i="5"/>
  <c r="Z20967" i="5"/>
  <c r="Z20966" i="5"/>
  <c r="Z20965" i="5"/>
  <c r="Z20964" i="5"/>
  <c r="Z20963" i="5"/>
  <c r="Z20962" i="5"/>
  <c r="Z20961" i="5"/>
  <c r="Z20960" i="5"/>
  <c r="Z20959" i="5"/>
  <c r="Z20958" i="5"/>
  <c r="Z20957" i="5"/>
  <c r="Z20956" i="5"/>
  <c r="Z20955" i="5"/>
  <c r="Z20954" i="5"/>
  <c r="Z20953" i="5"/>
  <c r="Z20952" i="5"/>
  <c r="Z20951" i="5"/>
  <c r="Z20950" i="5"/>
  <c r="Z20949" i="5"/>
  <c r="Z20948" i="5"/>
  <c r="Z20947" i="5"/>
  <c r="Z20946" i="5"/>
  <c r="Z20945" i="5"/>
  <c r="Z20944" i="5"/>
  <c r="Z20943" i="5"/>
  <c r="Z20942" i="5"/>
  <c r="Z20941" i="5"/>
  <c r="Z20940" i="5"/>
  <c r="Z20939" i="5"/>
  <c r="Z20938" i="5"/>
  <c r="Z20937" i="5"/>
  <c r="Z20936" i="5"/>
  <c r="Z20935" i="5"/>
  <c r="Z20934" i="5"/>
  <c r="Z20933" i="5"/>
  <c r="Z20932" i="5"/>
  <c r="Z20931" i="5"/>
  <c r="Z20930" i="5"/>
  <c r="Z20929" i="5"/>
  <c r="Z20928" i="5"/>
  <c r="Z20927" i="5"/>
  <c r="Z20926" i="5"/>
  <c r="Z20925" i="5"/>
  <c r="Z20924" i="5"/>
  <c r="Z20923" i="5"/>
  <c r="Z20922" i="5"/>
  <c r="Z20921" i="5"/>
  <c r="Z20920" i="5"/>
  <c r="Z20919" i="5"/>
  <c r="Z20918" i="5"/>
  <c r="Z20917" i="5"/>
  <c r="Z20916" i="5"/>
  <c r="Z20915" i="5"/>
  <c r="Z20914" i="5"/>
  <c r="Z20913" i="5"/>
  <c r="Z20912" i="5"/>
  <c r="Z20911" i="5"/>
  <c r="Z20910" i="5"/>
  <c r="Z20909" i="5"/>
  <c r="Z20908" i="5"/>
  <c r="Z20907" i="5"/>
  <c r="Z20906" i="5"/>
  <c r="Z20905" i="5"/>
  <c r="Z20904" i="5"/>
  <c r="Z20903" i="5"/>
  <c r="Z20902" i="5"/>
  <c r="Z20901" i="5"/>
  <c r="Z20900" i="5"/>
  <c r="Z20899" i="5"/>
  <c r="Z20898" i="5"/>
  <c r="Z20897" i="5"/>
  <c r="Z20896" i="5"/>
  <c r="Z20895" i="5"/>
  <c r="Z20894" i="5"/>
  <c r="Z20893" i="5"/>
  <c r="Z20892" i="5"/>
  <c r="Z20891" i="5"/>
  <c r="Z20890" i="5"/>
  <c r="Z20889" i="5"/>
  <c r="Z20888" i="5"/>
  <c r="Z20887" i="5"/>
  <c r="Z20886" i="5"/>
  <c r="Z20885" i="5"/>
  <c r="Z20884" i="5"/>
  <c r="Z20883" i="5"/>
  <c r="Z20882" i="5"/>
  <c r="Z20881" i="5"/>
  <c r="Z20880" i="5"/>
  <c r="Z20879" i="5"/>
  <c r="Z20878" i="5"/>
  <c r="Z20877" i="5"/>
  <c r="Z20876" i="5"/>
  <c r="Z20875" i="5"/>
  <c r="Z20874" i="5"/>
  <c r="Z20873" i="5"/>
  <c r="Z20872" i="5"/>
  <c r="Z20871" i="5"/>
  <c r="Z20870" i="5"/>
  <c r="Z20869" i="5"/>
  <c r="Z20868" i="5"/>
  <c r="Z20867" i="5"/>
  <c r="Z20866" i="5"/>
  <c r="Z20865" i="5"/>
  <c r="Z20864" i="5"/>
  <c r="Z20863" i="5"/>
  <c r="Z20862" i="5"/>
  <c r="Z20861" i="5"/>
  <c r="Z20860" i="5"/>
  <c r="Z20859" i="5"/>
  <c r="Z20858" i="5"/>
  <c r="Z20857" i="5"/>
  <c r="Z20856" i="5"/>
  <c r="Z20855" i="5"/>
  <c r="Z20854" i="5"/>
  <c r="Z20853" i="5"/>
  <c r="Z20852" i="5"/>
  <c r="Z20851" i="5"/>
  <c r="Z20850" i="5"/>
  <c r="Z20849" i="5"/>
  <c r="Z20848" i="5"/>
  <c r="Z20847" i="5"/>
  <c r="Z20846" i="5"/>
  <c r="Z20845" i="5"/>
  <c r="Z20844" i="5"/>
  <c r="Z20843" i="5"/>
  <c r="Z20842" i="5"/>
  <c r="Z20841" i="5"/>
  <c r="Z20840" i="5"/>
  <c r="Z20839" i="5"/>
  <c r="Z20838" i="5"/>
  <c r="Z20837" i="5"/>
  <c r="Z20836" i="5"/>
  <c r="Z20835" i="5"/>
  <c r="Z20834" i="5"/>
  <c r="Z20833" i="5"/>
  <c r="Z20832" i="5"/>
  <c r="Z20831" i="5"/>
  <c r="Z20830" i="5"/>
  <c r="Z20829" i="5"/>
  <c r="Z20828" i="5"/>
  <c r="Z20827" i="5"/>
  <c r="Z20826" i="5"/>
  <c r="Z20825" i="5"/>
  <c r="Z20824" i="5"/>
  <c r="Z20823" i="5"/>
  <c r="Z20822" i="5"/>
  <c r="Z20821" i="5"/>
  <c r="Z20820" i="5"/>
  <c r="Z20819" i="5"/>
  <c r="Z20818" i="5"/>
  <c r="Z20817" i="5"/>
  <c r="Z20816" i="5"/>
  <c r="Z20815" i="5"/>
  <c r="Z20814" i="5"/>
  <c r="Z20813" i="5"/>
  <c r="Z20812" i="5"/>
  <c r="Z20811" i="5"/>
  <c r="Z20810" i="5"/>
  <c r="Z20809" i="5"/>
  <c r="Z20808" i="5"/>
  <c r="Z20807" i="5"/>
  <c r="Z20806" i="5"/>
  <c r="Z20805" i="5"/>
  <c r="Z20804" i="5"/>
  <c r="Z20803" i="5"/>
  <c r="Z20802" i="5"/>
  <c r="Z20801" i="5"/>
  <c r="Z20800" i="5"/>
  <c r="Z20799" i="5"/>
  <c r="Z20798" i="5"/>
  <c r="Z20797" i="5"/>
  <c r="Z20796" i="5"/>
  <c r="Z20795" i="5"/>
  <c r="Z20794" i="5"/>
  <c r="Z20793" i="5"/>
  <c r="Z20792" i="5"/>
  <c r="Z20791" i="5"/>
  <c r="Z20790" i="5"/>
  <c r="Z20789" i="5"/>
  <c r="Z20788" i="5"/>
  <c r="Z20787" i="5"/>
  <c r="Z20786" i="5"/>
  <c r="Z20785" i="5"/>
  <c r="Z20784" i="5"/>
  <c r="Z20783" i="5"/>
  <c r="Z20782" i="5"/>
  <c r="Z20781" i="5"/>
  <c r="Z20780" i="5"/>
  <c r="Z20779" i="5"/>
  <c r="Z20778" i="5"/>
  <c r="Z20777" i="5"/>
  <c r="Z20776" i="5"/>
  <c r="Z20775" i="5"/>
  <c r="Z20774" i="5"/>
  <c r="Z20773" i="5"/>
  <c r="Z20772" i="5"/>
  <c r="Z20771" i="5"/>
  <c r="Z20770" i="5"/>
  <c r="Z20769" i="5"/>
  <c r="Z20768" i="5"/>
  <c r="Z20767" i="5"/>
  <c r="Z20766" i="5"/>
  <c r="Z20765" i="5"/>
  <c r="Z20764" i="5"/>
  <c r="Z20763" i="5"/>
  <c r="Z20762" i="5"/>
  <c r="Z20761" i="5"/>
  <c r="Z20760" i="5"/>
  <c r="Z20759" i="5"/>
  <c r="Z20758" i="5"/>
  <c r="Z20757" i="5"/>
  <c r="Z20756" i="5"/>
  <c r="Z20755" i="5"/>
  <c r="Z20754" i="5"/>
  <c r="Z20753" i="5"/>
  <c r="Z20752" i="5"/>
  <c r="Z20751" i="5"/>
  <c r="Z20750" i="5"/>
  <c r="Z20749" i="5"/>
  <c r="Z20748" i="5"/>
  <c r="Z20747" i="5"/>
  <c r="Z20746" i="5"/>
  <c r="Z20745" i="5"/>
  <c r="Z20744" i="5"/>
  <c r="Z20743" i="5"/>
  <c r="Z20742" i="5"/>
  <c r="Z20741" i="5"/>
  <c r="Z20740" i="5"/>
  <c r="Z20739" i="5"/>
  <c r="Z20738" i="5"/>
  <c r="Z20737" i="5"/>
  <c r="Z20736" i="5"/>
  <c r="Z20735" i="5"/>
  <c r="Z20734" i="5"/>
  <c r="Z20733" i="5"/>
  <c r="Z20732" i="5"/>
  <c r="Z20731" i="5"/>
  <c r="Z20730" i="5"/>
  <c r="Z20729" i="5"/>
  <c r="Z20728" i="5"/>
  <c r="Z20727" i="5"/>
  <c r="Z20726" i="5"/>
  <c r="Z20725" i="5"/>
  <c r="Z20724" i="5"/>
  <c r="Z20723" i="5"/>
  <c r="Z20722" i="5"/>
  <c r="Z20721" i="5"/>
  <c r="Z20720" i="5"/>
  <c r="Z20719" i="5"/>
  <c r="Z20718" i="5"/>
  <c r="Z20717" i="5"/>
  <c r="Z20716" i="5"/>
  <c r="Z20715" i="5"/>
  <c r="Z20714" i="5"/>
  <c r="Z20713" i="5"/>
  <c r="Z20712" i="5"/>
  <c r="Z20711" i="5"/>
  <c r="Z20710" i="5"/>
  <c r="Z20709" i="5"/>
  <c r="Z20708" i="5"/>
  <c r="Z20707" i="5"/>
  <c r="Z20706" i="5"/>
  <c r="Z20705" i="5"/>
  <c r="Z20704" i="5"/>
  <c r="Z20703" i="5"/>
  <c r="Z20702" i="5"/>
  <c r="Z20701" i="5"/>
  <c r="Z20700" i="5"/>
  <c r="Z20699" i="5"/>
  <c r="Z20698" i="5"/>
  <c r="Z20697" i="5"/>
  <c r="Z20696" i="5"/>
  <c r="Z20695" i="5"/>
  <c r="Z20694" i="5"/>
  <c r="Z20693" i="5"/>
  <c r="Z20692" i="5"/>
  <c r="Z20691" i="5"/>
  <c r="Z20690" i="5"/>
  <c r="Z20689" i="5"/>
  <c r="Z20688" i="5"/>
  <c r="Z20687" i="5"/>
  <c r="Z20686" i="5"/>
  <c r="Z20685" i="5"/>
  <c r="Z20684" i="5"/>
  <c r="Z20683" i="5"/>
  <c r="Z20682" i="5"/>
  <c r="Z20681" i="5"/>
  <c r="Z20680" i="5"/>
  <c r="Z20679" i="5"/>
  <c r="Z20678" i="5"/>
  <c r="Z20677" i="5"/>
  <c r="Z20676" i="5"/>
  <c r="Z20675" i="5"/>
  <c r="Z20674" i="5"/>
  <c r="Z20673" i="5"/>
  <c r="Z20672" i="5"/>
  <c r="Z20671" i="5"/>
  <c r="Z20670" i="5"/>
  <c r="Z20669" i="5"/>
  <c r="Z20668" i="5"/>
  <c r="Z20667" i="5"/>
  <c r="Z20666" i="5"/>
  <c r="Z20665" i="5"/>
  <c r="Z20664" i="5"/>
  <c r="Z20663" i="5"/>
  <c r="Z20662" i="5"/>
  <c r="Z20661" i="5"/>
  <c r="Z20660" i="5"/>
  <c r="Z20659" i="5"/>
  <c r="Z20658" i="5"/>
  <c r="Z20657" i="5"/>
  <c r="Z20656" i="5"/>
  <c r="Z20655" i="5"/>
  <c r="Z20654" i="5"/>
  <c r="Z20653" i="5"/>
  <c r="Z20652" i="5"/>
  <c r="Z20651" i="5"/>
  <c r="Z20650" i="5"/>
  <c r="Z20649" i="5"/>
  <c r="Z20648" i="5"/>
  <c r="Z20647" i="5"/>
  <c r="Z20646" i="5"/>
  <c r="Z20645" i="5"/>
  <c r="Z20644" i="5"/>
  <c r="Z20643" i="5"/>
  <c r="Z20642" i="5"/>
  <c r="Z20641" i="5"/>
  <c r="Z20640" i="5"/>
  <c r="Z20639" i="5"/>
  <c r="Z20638" i="5"/>
  <c r="Z20637" i="5"/>
  <c r="Z20636" i="5"/>
  <c r="Z20635" i="5"/>
  <c r="Z20634" i="5"/>
  <c r="Z20633" i="5"/>
  <c r="Z20632" i="5"/>
  <c r="Z20631" i="5"/>
  <c r="Z20630" i="5"/>
  <c r="Z20629" i="5"/>
  <c r="Z20628" i="5"/>
  <c r="Z20627" i="5"/>
  <c r="Z20626" i="5"/>
  <c r="Z20625" i="5"/>
  <c r="Z20624" i="5"/>
  <c r="Z20623" i="5"/>
  <c r="Z20622" i="5"/>
  <c r="Z20621" i="5"/>
  <c r="Z20620" i="5"/>
  <c r="Z20619" i="5"/>
  <c r="Z20618" i="5"/>
  <c r="Z20617" i="5"/>
  <c r="Z20616" i="5"/>
  <c r="Z20615" i="5"/>
  <c r="Z20614" i="5"/>
  <c r="Z20613" i="5"/>
  <c r="Z20612" i="5"/>
  <c r="Z20611" i="5"/>
  <c r="Z20610" i="5"/>
  <c r="Z20609" i="5"/>
  <c r="Z20608" i="5"/>
  <c r="Z20607" i="5"/>
  <c r="Z20606" i="5"/>
  <c r="Z20605" i="5"/>
  <c r="Z20604" i="5"/>
  <c r="Z20603" i="5"/>
  <c r="Z20602" i="5"/>
  <c r="Z20601" i="5"/>
  <c r="Z20600" i="5"/>
  <c r="Z20599" i="5"/>
  <c r="Z20598" i="5"/>
  <c r="Z20597" i="5"/>
  <c r="Z20596" i="5"/>
  <c r="Z20595" i="5"/>
  <c r="Z20594" i="5"/>
  <c r="Z20593" i="5"/>
  <c r="Z20592" i="5"/>
  <c r="Z20591" i="5"/>
  <c r="Z20590" i="5"/>
  <c r="Z20589" i="5"/>
  <c r="Z20588" i="5"/>
  <c r="Z20587" i="5"/>
  <c r="Z20586" i="5"/>
  <c r="Z20585" i="5"/>
  <c r="Z20584" i="5"/>
  <c r="Z20583" i="5"/>
  <c r="Z20582" i="5"/>
  <c r="Z20581" i="5"/>
  <c r="Z20580" i="5"/>
  <c r="Z20579" i="5"/>
  <c r="Z20578" i="5"/>
  <c r="Z20577" i="5"/>
  <c r="Z20576" i="5"/>
  <c r="Z20575" i="5"/>
  <c r="Z20574" i="5"/>
  <c r="Z20573" i="5"/>
  <c r="Z20572" i="5"/>
  <c r="Z20571" i="5"/>
  <c r="Z20570" i="5"/>
  <c r="Z20569" i="5"/>
  <c r="Z20568" i="5"/>
  <c r="Z20567" i="5"/>
  <c r="Z20566" i="5"/>
  <c r="Z20565" i="5"/>
  <c r="Z20564" i="5"/>
  <c r="Z20563" i="5"/>
  <c r="Z20562" i="5"/>
  <c r="Z20561" i="5"/>
  <c r="Z20560" i="5"/>
  <c r="Z20559" i="5"/>
  <c r="Z20558" i="5"/>
  <c r="Z20557" i="5"/>
  <c r="Z20556" i="5"/>
  <c r="Z20555" i="5"/>
  <c r="Z20554" i="5"/>
  <c r="Z20553" i="5"/>
  <c r="Z20552" i="5"/>
  <c r="Z20551" i="5"/>
  <c r="Z20550" i="5"/>
  <c r="Z20549" i="5"/>
  <c r="Z20548" i="5"/>
  <c r="Z20547" i="5"/>
  <c r="Z20546" i="5"/>
  <c r="Z20545" i="5"/>
  <c r="Z20544" i="5"/>
  <c r="Z20543" i="5"/>
  <c r="Z20542" i="5"/>
  <c r="Z20541" i="5"/>
  <c r="Z20540" i="5"/>
  <c r="Z20539" i="5"/>
  <c r="Z20538" i="5"/>
  <c r="Z20537" i="5"/>
  <c r="Z20536" i="5"/>
  <c r="Z20535" i="5"/>
  <c r="Z20534" i="5"/>
  <c r="Z20533" i="5"/>
  <c r="Z20532" i="5"/>
  <c r="Z20531" i="5"/>
  <c r="Z20530" i="5"/>
  <c r="Z20529" i="5"/>
  <c r="Z20528" i="5"/>
  <c r="Z20527" i="5"/>
  <c r="Z20526" i="5"/>
  <c r="Z20525" i="5"/>
  <c r="Z20524" i="5"/>
  <c r="Z20523" i="5"/>
  <c r="Z20522" i="5"/>
  <c r="Z20521" i="5"/>
  <c r="Z20520" i="5"/>
  <c r="Z20519" i="5"/>
  <c r="Z20518" i="5"/>
  <c r="Z20517" i="5"/>
  <c r="Z20516" i="5"/>
  <c r="Z20515" i="5"/>
  <c r="Z20514" i="5"/>
  <c r="Z20513" i="5"/>
  <c r="Z20512" i="5"/>
  <c r="Z20511" i="5"/>
  <c r="Z20510" i="5"/>
  <c r="Z20509" i="5"/>
  <c r="Z20508" i="5"/>
  <c r="Z20507" i="5"/>
  <c r="Z20506" i="5"/>
  <c r="Z20505" i="5"/>
  <c r="Z20504" i="5"/>
  <c r="Z20503" i="5"/>
  <c r="Z20502" i="5"/>
  <c r="Z20501" i="5"/>
  <c r="Z20500" i="5"/>
  <c r="Z20499" i="5"/>
  <c r="Z20498" i="5"/>
  <c r="Z20497" i="5"/>
  <c r="Z20496" i="5"/>
  <c r="Z20495" i="5"/>
  <c r="Z20494" i="5"/>
  <c r="Z20493" i="5"/>
  <c r="Z20492" i="5"/>
  <c r="Z20491" i="5"/>
  <c r="Z20490" i="5"/>
  <c r="Z20489" i="5"/>
  <c r="Z20488" i="5"/>
  <c r="Z20487" i="5"/>
  <c r="Z20486" i="5"/>
  <c r="Z20485" i="5"/>
  <c r="Z20484" i="5"/>
  <c r="Z20483" i="5"/>
  <c r="Z20482" i="5"/>
  <c r="Z20481" i="5"/>
  <c r="Z20480" i="5"/>
  <c r="Z20479" i="5"/>
  <c r="Z20478" i="5"/>
  <c r="Z20477" i="5"/>
  <c r="Z20476" i="5"/>
  <c r="Z20475" i="5"/>
  <c r="Z20474" i="5"/>
  <c r="Z20473" i="5"/>
  <c r="Z20472" i="5"/>
  <c r="Z20471" i="5"/>
  <c r="Z20470" i="5"/>
  <c r="Z20469" i="5"/>
  <c r="Z20468" i="5"/>
  <c r="Z20467" i="5"/>
  <c r="Z20466" i="5"/>
  <c r="Z20465" i="5"/>
  <c r="Z20464" i="5"/>
  <c r="Z20463" i="5"/>
  <c r="Z20462" i="5"/>
  <c r="Z20461" i="5"/>
  <c r="Z20460" i="5"/>
  <c r="Z20459" i="5"/>
  <c r="Z20458" i="5"/>
  <c r="Z20457" i="5"/>
  <c r="Z20456" i="5"/>
  <c r="Z20455" i="5"/>
  <c r="Z20454" i="5"/>
  <c r="Z20453" i="5"/>
  <c r="Z20452" i="5"/>
  <c r="Z20451" i="5"/>
  <c r="Z20450" i="5"/>
  <c r="Z20449" i="5"/>
  <c r="Z20448" i="5"/>
  <c r="Z20447" i="5"/>
  <c r="Z20446" i="5"/>
  <c r="Z20445" i="5"/>
  <c r="Z20444" i="5"/>
  <c r="Z20443" i="5"/>
  <c r="Z20442" i="5"/>
  <c r="Z20441" i="5"/>
  <c r="Z20440" i="5"/>
  <c r="Z20439" i="5"/>
  <c r="Z20438" i="5"/>
  <c r="Z20437" i="5"/>
  <c r="Z20436" i="5"/>
  <c r="Z20435" i="5"/>
  <c r="Z20434" i="5"/>
  <c r="Z20433" i="5"/>
  <c r="Z20432" i="5"/>
  <c r="Z20431" i="5"/>
  <c r="Z20430" i="5"/>
  <c r="Z20429" i="5"/>
  <c r="Z20428" i="5"/>
  <c r="Z20427" i="5"/>
  <c r="Z20426" i="5"/>
  <c r="Z20425" i="5"/>
  <c r="Z20424" i="5"/>
  <c r="Z20423" i="5"/>
  <c r="Z20422" i="5"/>
  <c r="Z20421" i="5"/>
  <c r="Z20420" i="5"/>
  <c r="Z20419" i="5"/>
  <c r="Z20418" i="5"/>
  <c r="Z20417" i="5"/>
  <c r="Z20416" i="5"/>
  <c r="Z20415" i="5"/>
  <c r="Z20414" i="5"/>
  <c r="Z20413" i="5"/>
  <c r="Z20412" i="5"/>
  <c r="Z20411" i="5"/>
  <c r="Z20410" i="5"/>
  <c r="Z20409" i="5"/>
  <c r="Z20408" i="5"/>
  <c r="Z20407" i="5"/>
  <c r="Z20406" i="5"/>
  <c r="Z20405" i="5"/>
  <c r="Z20404" i="5"/>
  <c r="Z20403" i="5"/>
  <c r="Z20402" i="5"/>
  <c r="Z20401" i="5"/>
  <c r="Z20400" i="5"/>
  <c r="Z20399" i="5"/>
  <c r="Z20398" i="5"/>
  <c r="Z20397" i="5"/>
  <c r="Z20396" i="5"/>
  <c r="Z20395" i="5"/>
  <c r="Z20394" i="5"/>
  <c r="Z20393" i="5"/>
  <c r="Z20392" i="5"/>
  <c r="Z20391" i="5"/>
  <c r="Z20390" i="5"/>
  <c r="Z20389" i="5"/>
  <c r="Z20388" i="5"/>
  <c r="Z20387" i="5"/>
  <c r="Z20386" i="5"/>
  <c r="Z20385" i="5"/>
  <c r="Z20384" i="5"/>
  <c r="Z20383" i="5"/>
  <c r="Z20382" i="5"/>
  <c r="Z20381" i="5"/>
  <c r="Z20380" i="5"/>
  <c r="Z20379" i="5"/>
  <c r="Z20378" i="5"/>
  <c r="Z20377" i="5"/>
  <c r="Z20376" i="5"/>
  <c r="Z20375" i="5"/>
  <c r="Z20374" i="5"/>
  <c r="Z20373" i="5"/>
  <c r="Z20372" i="5"/>
  <c r="Z20371" i="5"/>
  <c r="Z20370" i="5"/>
  <c r="Z20369" i="5"/>
  <c r="Z20368" i="5"/>
  <c r="Z20367" i="5"/>
  <c r="Z20366" i="5"/>
  <c r="Z20365" i="5"/>
  <c r="Z20364" i="5"/>
  <c r="Z20363" i="5"/>
  <c r="Z20362" i="5"/>
  <c r="Z20361" i="5"/>
  <c r="Z20360" i="5"/>
  <c r="Z20359" i="5"/>
  <c r="Z20358" i="5"/>
  <c r="Z20357" i="5"/>
  <c r="Z20356" i="5"/>
  <c r="Z20355" i="5"/>
  <c r="Z20354" i="5"/>
  <c r="Z20353" i="5"/>
  <c r="Z20352" i="5"/>
  <c r="Z20351" i="5"/>
  <c r="Z20350" i="5"/>
  <c r="Z20349" i="5"/>
  <c r="Z20348" i="5"/>
  <c r="Z20347" i="5"/>
  <c r="Z20346" i="5"/>
  <c r="Z20345" i="5"/>
  <c r="Z20344" i="5"/>
  <c r="Z20343" i="5"/>
  <c r="Z20342" i="5"/>
  <c r="Z20341" i="5"/>
  <c r="Z20340" i="5"/>
  <c r="Z20339" i="5"/>
  <c r="Z20338" i="5"/>
  <c r="Z20337" i="5"/>
  <c r="Z20336" i="5"/>
  <c r="Z20335" i="5"/>
  <c r="Z20334" i="5"/>
  <c r="Z20333" i="5"/>
  <c r="Z20332" i="5"/>
  <c r="Z20331" i="5"/>
  <c r="Z20330" i="5"/>
  <c r="Z20329" i="5"/>
  <c r="Z20328" i="5"/>
  <c r="Z20327" i="5"/>
  <c r="Z20326" i="5"/>
  <c r="Z20325" i="5"/>
  <c r="Z20324" i="5"/>
  <c r="Z20323" i="5"/>
  <c r="Z20322" i="5"/>
  <c r="Z20321" i="5"/>
  <c r="Z20320" i="5"/>
  <c r="Z20319" i="5"/>
  <c r="Z20318" i="5"/>
  <c r="Z20317" i="5"/>
  <c r="Z20316" i="5"/>
  <c r="Z20315" i="5"/>
  <c r="Z20314" i="5"/>
  <c r="Z20313" i="5"/>
  <c r="Z20312" i="5"/>
  <c r="Z20311" i="5"/>
  <c r="Z20310" i="5"/>
  <c r="Z20309" i="5"/>
  <c r="Z20308" i="5"/>
  <c r="Z20307" i="5"/>
  <c r="Z20306" i="5"/>
  <c r="Z20305" i="5"/>
  <c r="Z20304" i="5"/>
  <c r="Z20303" i="5"/>
  <c r="Z20302" i="5"/>
  <c r="Z20301" i="5"/>
  <c r="Z20300" i="5"/>
  <c r="Z20299" i="5"/>
  <c r="Z20298" i="5"/>
  <c r="Z20297" i="5"/>
  <c r="Z20296" i="5"/>
  <c r="Z20295" i="5"/>
  <c r="Z20294" i="5"/>
  <c r="Z20293" i="5"/>
  <c r="Z20292" i="5"/>
  <c r="Z20291" i="5"/>
  <c r="Z20290" i="5"/>
  <c r="Z20289" i="5"/>
  <c r="Z20288" i="5"/>
  <c r="Z20287" i="5"/>
  <c r="Z20286" i="5"/>
  <c r="Z20285" i="5"/>
  <c r="Z20284" i="5"/>
  <c r="Z20283" i="5"/>
  <c r="Z20282" i="5"/>
  <c r="Z20281" i="5"/>
  <c r="Z20280" i="5"/>
  <c r="Z20279" i="5"/>
  <c r="Z20278" i="5"/>
  <c r="Z20277" i="5"/>
  <c r="Z20276" i="5"/>
  <c r="Z20275" i="5"/>
  <c r="Z20274" i="5"/>
  <c r="Z20273" i="5"/>
  <c r="Z20272" i="5"/>
  <c r="Z20271" i="5"/>
  <c r="Z20270" i="5"/>
  <c r="Z20269" i="5"/>
  <c r="Z20268" i="5"/>
  <c r="Z20267" i="5"/>
  <c r="Z20266" i="5"/>
  <c r="Z20265" i="5"/>
  <c r="Z20264" i="5"/>
  <c r="Z20263" i="5"/>
  <c r="Z20262" i="5"/>
  <c r="Z20261" i="5"/>
  <c r="Z20260" i="5"/>
  <c r="Z20259" i="5"/>
  <c r="Z20258" i="5"/>
  <c r="Z20257" i="5"/>
  <c r="Z20256" i="5"/>
  <c r="Z20255" i="5"/>
  <c r="Z20254" i="5"/>
  <c r="Z20253" i="5"/>
  <c r="Z20252" i="5"/>
  <c r="Z20251" i="5"/>
  <c r="Z20250" i="5"/>
  <c r="Z20249" i="5"/>
  <c r="Z20248" i="5"/>
  <c r="Z20247" i="5"/>
  <c r="Z20246" i="5"/>
  <c r="Z20245" i="5"/>
  <c r="Z20244" i="5"/>
  <c r="Z20243" i="5"/>
  <c r="Z20242" i="5"/>
  <c r="Z20241" i="5"/>
  <c r="Z20240" i="5"/>
  <c r="Z20239" i="5"/>
  <c r="Z20238" i="5"/>
  <c r="Z20237" i="5"/>
  <c r="Z20236" i="5"/>
  <c r="Z20235" i="5"/>
  <c r="Z20234" i="5"/>
  <c r="Z20233" i="5"/>
  <c r="Z20232" i="5"/>
  <c r="Z20231" i="5"/>
  <c r="Z20230" i="5"/>
  <c r="Z20229" i="5"/>
  <c r="Z20228" i="5"/>
  <c r="Z20227" i="5"/>
  <c r="Z20226" i="5"/>
  <c r="Z20225" i="5"/>
  <c r="Z20224" i="5"/>
  <c r="Z20223" i="5"/>
  <c r="Z20222" i="5"/>
  <c r="Z20221" i="5"/>
  <c r="Z20220" i="5"/>
  <c r="Z20219" i="5"/>
  <c r="Z20218" i="5"/>
  <c r="Z20217" i="5"/>
  <c r="Z20216" i="5"/>
  <c r="Z20215" i="5"/>
  <c r="Z20214" i="5"/>
  <c r="Z20213" i="5"/>
  <c r="Z20212" i="5"/>
  <c r="Z20211" i="5"/>
  <c r="Z20210" i="5"/>
  <c r="Z20209" i="5"/>
  <c r="Z20208" i="5"/>
  <c r="Z20207" i="5"/>
  <c r="Z20206" i="5"/>
  <c r="Z20205" i="5"/>
  <c r="Z20204" i="5"/>
  <c r="Z20203" i="5"/>
  <c r="Z20202" i="5"/>
  <c r="Z20201" i="5"/>
  <c r="Z20200" i="5"/>
  <c r="Z20199" i="5"/>
  <c r="Z20198" i="5"/>
  <c r="Z20197" i="5"/>
  <c r="Z20196" i="5"/>
  <c r="Z20195" i="5"/>
  <c r="Z20194" i="5"/>
  <c r="Z20193" i="5"/>
  <c r="Z20192" i="5"/>
  <c r="Z20191" i="5"/>
  <c r="Z20190" i="5"/>
  <c r="Z20189" i="5"/>
  <c r="Z20188" i="5"/>
  <c r="Z20187" i="5"/>
  <c r="Z20186" i="5"/>
  <c r="Z20185" i="5"/>
  <c r="Z20184" i="5"/>
  <c r="Z20183" i="5"/>
  <c r="Z20182" i="5"/>
  <c r="Z20181" i="5"/>
  <c r="Z20180" i="5"/>
  <c r="Z20179" i="5"/>
  <c r="Z20178" i="5"/>
  <c r="Z20177" i="5"/>
  <c r="Z20176" i="5"/>
  <c r="Z20175" i="5"/>
  <c r="Z20174" i="5"/>
  <c r="Z20173" i="5"/>
  <c r="Z20172" i="5"/>
  <c r="Z20171" i="5"/>
  <c r="Z20170" i="5"/>
  <c r="Z20169" i="5"/>
  <c r="Z20168" i="5"/>
  <c r="Z20167" i="5"/>
  <c r="Z20166" i="5"/>
  <c r="Z20165" i="5"/>
  <c r="Z20164" i="5"/>
  <c r="Z20163" i="5"/>
  <c r="Z20162" i="5"/>
  <c r="Z20161" i="5"/>
  <c r="Z20160" i="5"/>
  <c r="Z20159" i="5"/>
  <c r="Z20158" i="5"/>
  <c r="Z20157" i="5"/>
  <c r="Z20156" i="5"/>
  <c r="Z20155" i="5"/>
  <c r="Z20154" i="5"/>
  <c r="Z20153" i="5"/>
  <c r="Z20152" i="5"/>
  <c r="Z20151" i="5"/>
  <c r="Z20150" i="5"/>
  <c r="Z20149" i="5"/>
  <c r="Z20148" i="5"/>
  <c r="Z20147" i="5"/>
  <c r="Z20146" i="5"/>
  <c r="Z20145" i="5"/>
  <c r="Z20144" i="5"/>
  <c r="Z20143" i="5"/>
  <c r="Z20142" i="5"/>
  <c r="Z20141" i="5"/>
  <c r="Z20140" i="5"/>
  <c r="Z20139" i="5"/>
  <c r="Z20138" i="5"/>
  <c r="Z20137" i="5"/>
  <c r="Z20136" i="5"/>
  <c r="Z20135" i="5"/>
  <c r="Z20134" i="5"/>
  <c r="Z20133" i="5"/>
  <c r="Z20132" i="5"/>
  <c r="Z20131" i="5"/>
  <c r="Z20130" i="5"/>
  <c r="Z20129" i="5"/>
  <c r="Z20128" i="5"/>
  <c r="Z20127" i="5"/>
  <c r="Z20126" i="5"/>
  <c r="Z20125" i="5"/>
  <c r="Z20124" i="5"/>
  <c r="Z20123" i="5"/>
  <c r="Z20122" i="5"/>
  <c r="Z20121" i="5"/>
  <c r="Z20120" i="5"/>
  <c r="Z20119" i="5"/>
  <c r="Z20118" i="5"/>
  <c r="Z20117" i="5"/>
  <c r="Z20116" i="5"/>
  <c r="Z20115" i="5"/>
  <c r="Z20114" i="5"/>
  <c r="Z20113" i="5"/>
  <c r="Z20112" i="5"/>
  <c r="Z20111" i="5"/>
  <c r="Z20110" i="5"/>
  <c r="Z20109" i="5"/>
  <c r="Z20108" i="5"/>
  <c r="Z20107" i="5"/>
  <c r="Z20106" i="5"/>
  <c r="Z20105" i="5"/>
  <c r="Z20104" i="5"/>
  <c r="Z20103" i="5"/>
  <c r="Z20102" i="5"/>
  <c r="Z20101" i="5"/>
  <c r="Z20100" i="5"/>
  <c r="Z20099" i="5"/>
  <c r="Z20098" i="5"/>
  <c r="Z20097" i="5"/>
  <c r="Z20096" i="5"/>
  <c r="Z20095" i="5"/>
  <c r="Z20094" i="5"/>
  <c r="Z20093" i="5"/>
  <c r="Z20092" i="5"/>
  <c r="Z20091" i="5"/>
  <c r="Z20090" i="5"/>
  <c r="Z20089" i="5"/>
  <c r="Z20088" i="5"/>
  <c r="Z20087" i="5"/>
  <c r="Z20086" i="5"/>
  <c r="Z20085" i="5"/>
  <c r="Z20084" i="5"/>
  <c r="Z20083" i="5"/>
  <c r="Z20082" i="5"/>
  <c r="Z20081" i="5"/>
  <c r="Z20080" i="5"/>
  <c r="Z20079" i="5"/>
  <c r="Z20078" i="5"/>
  <c r="Z20077" i="5"/>
  <c r="Z20076" i="5"/>
  <c r="Z20075" i="5"/>
  <c r="Z20074" i="5"/>
  <c r="Z20073" i="5"/>
  <c r="Z20072" i="5"/>
  <c r="Z20071" i="5"/>
  <c r="Z20070" i="5"/>
  <c r="Z20069" i="5"/>
  <c r="Z20068" i="5"/>
  <c r="Z20067" i="5"/>
  <c r="Z20066" i="5"/>
  <c r="Z20065" i="5"/>
  <c r="Z20064" i="5"/>
  <c r="Z20063" i="5"/>
  <c r="Z20062" i="5"/>
  <c r="Z20061" i="5"/>
  <c r="Z20060" i="5"/>
  <c r="Z20059" i="5"/>
  <c r="Z20058" i="5"/>
  <c r="Z20057" i="5"/>
  <c r="Z20056" i="5"/>
  <c r="Z20055" i="5"/>
  <c r="Z20054" i="5"/>
  <c r="Z20053" i="5"/>
  <c r="Z20052" i="5"/>
  <c r="Z20051" i="5"/>
  <c r="Z20050" i="5"/>
  <c r="Z20049" i="5"/>
  <c r="Z20048" i="5"/>
  <c r="Z20047" i="5"/>
  <c r="Z20046" i="5"/>
  <c r="Z20045" i="5"/>
  <c r="Z20044" i="5"/>
  <c r="Z20043" i="5"/>
  <c r="Z20042" i="5"/>
  <c r="Z20041" i="5"/>
  <c r="Z20040" i="5"/>
  <c r="Z20039" i="5"/>
  <c r="Z20038" i="5"/>
  <c r="Z20037" i="5"/>
  <c r="Z20036" i="5"/>
  <c r="Z20035" i="5"/>
  <c r="Z20034" i="5"/>
  <c r="Z20033" i="5"/>
  <c r="Z20032" i="5"/>
  <c r="Z20031" i="5"/>
  <c r="Z20030" i="5"/>
  <c r="Z20029" i="5"/>
  <c r="Z20028" i="5"/>
  <c r="Z20027" i="5"/>
  <c r="Z20026" i="5"/>
  <c r="Z20025" i="5"/>
  <c r="Z20024" i="5"/>
  <c r="Z20023" i="5"/>
  <c r="Z20022" i="5"/>
  <c r="Z20021" i="5"/>
  <c r="Z20020" i="5"/>
  <c r="Z20019" i="5"/>
  <c r="Z20018" i="5"/>
  <c r="Z20017" i="5"/>
  <c r="Z20016" i="5"/>
  <c r="Z20015" i="5"/>
  <c r="Z20014" i="5"/>
  <c r="Z20013" i="5"/>
  <c r="Z20012" i="5"/>
  <c r="Z20011" i="5"/>
  <c r="Z20010" i="5"/>
  <c r="Z20009" i="5"/>
  <c r="Z20008" i="5"/>
  <c r="Z20007" i="5"/>
  <c r="Z20006" i="5"/>
  <c r="Z20005" i="5"/>
  <c r="Z20004" i="5"/>
  <c r="Z20003" i="5"/>
  <c r="Z20002" i="5"/>
  <c r="Z20001" i="5"/>
  <c r="Z20000" i="5"/>
  <c r="Z19999" i="5"/>
  <c r="Z19998" i="5"/>
  <c r="Z19997" i="5"/>
  <c r="Z19996" i="5"/>
  <c r="Z19995" i="5"/>
  <c r="Z19994" i="5"/>
  <c r="Z19993" i="5"/>
  <c r="Z19992" i="5"/>
  <c r="Z19991" i="5"/>
  <c r="Z19990" i="5"/>
  <c r="Z19989" i="5"/>
  <c r="Z19988" i="5"/>
  <c r="Z19987" i="5"/>
  <c r="Z19986" i="5"/>
  <c r="Z19985" i="5"/>
  <c r="Z19984" i="5"/>
  <c r="Z19983" i="5"/>
  <c r="Z19982" i="5"/>
  <c r="Z19981" i="5"/>
  <c r="Z19980" i="5"/>
  <c r="Z19979" i="5"/>
  <c r="Z19978" i="5"/>
  <c r="Z19977" i="5"/>
  <c r="Z19976" i="5"/>
  <c r="Z19975" i="5"/>
  <c r="Z19974" i="5"/>
  <c r="Z19973" i="5"/>
  <c r="Z19972" i="5"/>
  <c r="Z19971" i="5"/>
  <c r="Z19970" i="5"/>
  <c r="Z19969" i="5"/>
  <c r="Z19968" i="5"/>
  <c r="Z19967" i="5"/>
  <c r="Z19966" i="5"/>
  <c r="Z19965" i="5"/>
  <c r="Z19964" i="5"/>
  <c r="Z19963" i="5"/>
  <c r="Z19962" i="5"/>
  <c r="Z19961" i="5"/>
  <c r="Z19960" i="5"/>
  <c r="Z19959" i="5"/>
  <c r="Z19958" i="5"/>
  <c r="Z19957" i="5"/>
  <c r="Z19956" i="5"/>
  <c r="Z19955" i="5"/>
  <c r="Z19954" i="5"/>
  <c r="Z19953" i="5"/>
  <c r="Z19952" i="5"/>
  <c r="Z19951" i="5"/>
  <c r="Z19950" i="5"/>
  <c r="Z19949" i="5"/>
  <c r="Z19948" i="5"/>
  <c r="Z19947" i="5"/>
  <c r="Z19946" i="5"/>
  <c r="Z19945" i="5"/>
  <c r="Z19944" i="5"/>
  <c r="Z19943" i="5"/>
  <c r="Z19942" i="5"/>
  <c r="Z19941" i="5"/>
  <c r="Z19940" i="5"/>
  <c r="Z19939" i="5"/>
  <c r="Z19938" i="5"/>
  <c r="Z19937" i="5"/>
  <c r="Z19936" i="5"/>
  <c r="Z19935" i="5"/>
  <c r="Z19934" i="5"/>
  <c r="Z19933" i="5"/>
  <c r="Z19932" i="5"/>
  <c r="Z19931" i="5"/>
  <c r="Z19930" i="5"/>
  <c r="Z19929" i="5"/>
  <c r="Z19928" i="5"/>
  <c r="Z19927" i="5"/>
  <c r="Z19926" i="5"/>
  <c r="Z19925" i="5"/>
  <c r="Z19924" i="5"/>
  <c r="Z19923" i="5"/>
  <c r="Z19922" i="5"/>
  <c r="Z19921" i="5"/>
  <c r="Z19920" i="5"/>
  <c r="Z19919" i="5"/>
  <c r="Z19918" i="5"/>
  <c r="Z19917" i="5"/>
  <c r="Z19916" i="5"/>
  <c r="Z19915" i="5"/>
  <c r="Z19914" i="5"/>
  <c r="Z19913" i="5"/>
  <c r="Z19912" i="5"/>
  <c r="Z19911" i="5"/>
  <c r="Z19910" i="5"/>
  <c r="Z19909" i="5"/>
  <c r="Z19908" i="5"/>
  <c r="Z19907" i="5"/>
  <c r="Z19906" i="5"/>
  <c r="Z19905" i="5"/>
  <c r="Z19904" i="5"/>
  <c r="Z19903" i="5"/>
  <c r="Z19902" i="5"/>
  <c r="Z19901" i="5"/>
  <c r="Z19900" i="5"/>
  <c r="Z19899" i="5"/>
  <c r="Z19898" i="5"/>
  <c r="Z19897" i="5"/>
  <c r="Z19896" i="5"/>
  <c r="Z19895" i="5"/>
  <c r="Z19894" i="5"/>
  <c r="Z19893" i="5"/>
  <c r="Z19892" i="5"/>
  <c r="Z19891" i="5"/>
  <c r="Z19890" i="5"/>
  <c r="Z19889" i="5"/>
  <c r="Z19888" i="5"/>
  <c r="Z19887" i="5"/>
  <c r="Z19886" i="5"/>
  <c r="Z19885" i="5"/>
  <c r="Z19884" i="5"/>
  <c r="Z19883" i="5"/>
  <c r="Z19882" i="5"/>
  <c r="Z19881" i="5"/>
  <c r="Z19880" i="5"/>
  <c r="Z19879" i="5"/>
  <c r="Z19878" i="5"/>
  <c r="Z19877" i="5"/>
  <c r="Z19876" i="5"/>
  <c r="Z19875" i="5"/>
  <c r="Z19874" i="5"/>
  <c r="Z19873" i="5"/>
  <c r="Z19872" i="5"/>
  <c r="Z19871" i="5"/>
  <c r="Z19870" i="5"/>
  <c r="Z19869" i="5"/>
  <c r="Z19868" i="5"/>
  <c r="Z19867" i="5"/>
  <c r="Z19866" i="5"/>
  <c r="Z19865" i="5"/>
  <c r="Z19864" i="5"/>
  <c r="Z19863" i="5"/>
  <c r="Z19862" i="5"/>
  <c r="Z19861" i="5"/>
  <c r="Z19860" i="5"/>
  <c r="Z19859" i="5"/>
  <c r="Z19858" i="5"/>
  <c r="Z19857" i="5"/>
  <c r="Z19856" i="5"/>
  <c r="Z19855" i="5"/>
  <c r="Z19854" i="5"/>
  <c r="Z19853" i="5"/>
  <c r="Z19852" i="5"/>
  <c r="Z19851" i="5"/>
  <c r="Z19850" i="5"/>
  <c r="Z19849" i="5"/>
  <c r="Z19848" i="5"/>
  <c r="Z19847" i="5"/>
  <c r="Z19846" i="5"/>
  <c r="Z19845" i="5"/>
  <c r="Z19844" i="5"/>
  <c r="Z19843" i="5"/>
  <c r="Z19842" i="5"/>
  <c r="Z19841" i="5"/>
  <c r="Z19840" i="5"/>
  <c r="Z19839" i="5"/>
  <c r="Z19838" i="5"/>
  <c r="Z19837" i="5"/>
  <c r="Z19836" i="5"/>
  <c r="Z19835" i="5"/>
  <c r="Z19834" i="5"/>
  <c r="Z19833" i="5"/>
  <c r="Z19832" i="5"/>
  <c r="Z19831" i="5"/>
  <c r="Z19830" i="5"/>
  <c r="Z19829" i="5"/>
  <c r="Z19828" i="5"/>
  <c r="Z19827" i="5"/>
  <c r="Z19826" i="5"/>
  <c r="Z19825" i="5"/>
  <c r="Z19824" i="5"/>
  <c r="Z19823" i="5"/>
  <c r="Z19822" i="5"/>
  <c r="Z19821" i="5"/>
  <c r="Z19820" i="5"/>
  <c r="Z19819" i="5"/>
  <c r="Z19818" i="5"/>
  <c r="Z19817" i="5"/>
  <c r="Z19816" i="5"/>
  <c r="Z19815" i="5"/>
  <c r="Z19814" i="5"/>
  <c r="Z19813" i="5"/>
  <c r="Z19812" i="5"/>
  <c r="Z19811" i="5"/>
  <c r="Z19810" i="5"/>
  <c r="Z19809" i="5"/>
  <c r="Z19808" i="5"/>
  <c r="Z19807" i="5"/>
  <c r="Z19806" i="5"/>
  <c r="Z19805" i="5"/>
  <c r="Z19804" i="5"/>
  <c r="Z19803" i="5"/>
  <c r="Z19802" i="5"/>
  <c r="Z19801" i="5"/>
  <c r="Z19800" i="5"/>
  <c r="Z19799" i="5"/>
  <c r="Z19798" i="5"/>
  <c r="Z19797" i="5"/>
  <c r="Z19796" i="5"/>
  <c r="Z19795" i="5"/>
  <c r="Z19794" i="5"/>
  <c r="Z19793" i="5"/>
  <c r="Z19792" i="5"/>
  <c r="Z19791" i="5"/>
  <c r="Z19790" i="5"/>
  <c r="Z19789" i="5"/>
  <c r="Z19788" i="5"/>
  <c r="Z19787" i="5"/>
  <c r="Z19786" i="5"/>
  <c r="Z19785" i="5"/>
  <c r="Z19784" i="5"/>
  <c r="Z19783" i="5"/>
  <c r="Z19782" i="5"/>
  <c r="Z19781" i="5"/>
  <c r="Z19780" i="5"/>
  <c r="Z19779" i="5"/>
  <c r="Z19778" i="5"/>
  <c r="Z19777" i="5"/>
  <c r="Z19776" i="5"/>
  <c r="Z19775" i="5"/>
  <c r="Z19774" i="5"/>
  <c r="Z19773" i="5"/>
  <c r="Z19772" i="5"/>
  <c r="Z19771" i="5"/>
  <c r="Z19770" i="5"/>
  <c r="Z19769" i="5"/>
  <c r="Z19768" i="5"/>
  <c r="Z19767" i="5"/>
  <c r="Z19766" i="5"/>
  <c r="Z19765" i="5"/>
  <c r="Z19764" i="5"/>
  <c r="Z19763" i="5"/>
  <c r="Z19762" i="5"/>
  <c r="Z19761" i="5"/>
  <c r="Z19760" i="5"/>
  <c r="Z19759" i="5"/>
  <c r="Z19758" i="5"/>
  <c r="Z19757" i="5"/>
  <c r="Z19756" i="5"/>
  <c r="Z19755" i="5"/>
  <c r="Z19754" i="5"/>
  <c r="Z19753" i="5"/>
  <c r="Z19752" i="5"/>
  <c r="Z19751" i="5"/>
  <c r="Z19750" i="5"/>
  <c r="Z19749" i="5"/>
  <c r="Z19748" i="5"/>
  <c r="Z19747" i="5"/>
  <c r="Z19746" i="5"/>
  <c r="Z19745" i="5"/>
  <c r="Z19744" i="5"/>
  <c r="Z19743" i="5"/>
  <c r="Z19742" i="5"/>
  <c r="Z19741" i="5"/>
  <c r="Z19740" i="5"/>
  <c r="Z19739" i="5"/>
  <c r="Z19738" i="5"/>
  <c r="Z19737" i="5"/>
  <c r="Z19736" i="5"/>
  <c r="Z19735" i="5"/>
  <c r="Z19734" i="5"/>
  <c r="Z19733" i="5"/>
  <c r="Z19732" i="5"/>
  <c r="Z19731" i="5"/>
  <c r="Z19730" i="5"/>
  <c r="Z19729" i="5"/>
  <c r="Z19728" i="5"/>
  <c r="Z19727" i="5"/>
  <c r="Z19726" i="5"/>
  <c r="Z19725" i="5"/>
  <c r="Z19724" i="5"/>
  <c r="Z19723" i="5"/>
  <c r="Z19722" i="5"/>
  <c r="Z19721" i="5"/>
  <c r="Z19720" i="5"/>
  <c r="Z19719" i="5"/>
  <c r="Z19718" i="5"/>
  <c r="Z19717" i="5"/>
  <c r="Z19716" i="5"/>
  <c r="Z19715" i="5"/>
  <c r="Z19714" i="5"/>
  <c r="Z19713" i="5"/>
  <c r="Z19712" i="5"/>
  <c r="Z19711" i="5"/>
  <c r="Z19710" i="5"/>
  <c r="Z19709" i="5"/>
  <c r="Z19708" i="5"/>
  <c r="Z19707" i="5"/>
  <c r="Z19706" i="5"/>
  <c r="Z19705" i="5"/>
  <c r="Z19704" i="5"/>
  <c r="Z19703" i="5"/>
  <c r="Z19702" i="5"/>
  <c r="Z19701" i="5"/>
  <c r="Z19700" i="5"/>
  <c r="Z19699" i="5"/>
  <c r="Z19698" i="5"/>
  <c r="Z19697" i="5"/>
  <c r="Z19696" i="5"/>
  <c r="Z19695" i="5"/>
  <c r="Z19694" i="5"/>
  <c r="Z19693" i="5"/>
  <c r="Z19692" i="5"/>
  <c r="Z19691" i="5"/>
  <c r="Z19690" i="5"/>
  <c r="Z19689" i="5"/>
  <c r="Z19688" i="5"/>
  <c r="Z19687" i="5"/>
  <c r="Z19686" i="5"/>
  <c r="Z19685" i="5"/>
  <c r="Z19684" i="5"/>
  <c r="Z19683" i="5"/>
  <c r="Z19682" i="5"/>
  <c r="Z19681" i="5"/>
  <c r="Z19680" i="5"/>
  <c r="Z19679" i="5"/>
  <c r="Z19678" i="5"/>
  <c r="Z19677" i="5"/>
  <c r="Z19676" i="5"/>
  <c r="Z19675" i="5"/>
  <c r="Z19674" i="5"/>
  <c r="Z19673" i="5"/>
  <c r="Z19672" i="5"/>
  <c r="Z19671" i="5"/>
  <c r="Z19670" i="5"/>
  <c r="Z19669" i="5"/>
  <c r="Z19668" i="5"/>
  <c r="Z19667" i="5"/>
  <c r="Z19666" i="5"/>
  <c r="Z19665" i="5"/>
  <c r="Z19664" i="5"/>
  <c r="Z19663" i="5"/>
  <c r="Z19662" i="5"/>
  <c r="Z19661" i="5"/>
  <c r="Z19660" i="5"/>
  <c r="Z19659" i="5"/>
  <c r="Z19658" i="5"/>
  <c r="Z19657" i="5"/>
  <c r="Z19656" i="5"/>
  <c r="Z19655" i="5"/>
  <c r="Z19654" i="5"/>
  <c r="Z19653" i="5"/>
  <c r="Z19652" i="5"/>
  <c r="Z19651" i="5"/>
  <c r="Z19650" i="5"/>
  <c r="Z19649" i="5"/>
  <c r="Z19648" i="5"/>
  <c r="Z19647" i="5"/>
  <c r="Z19646" i="5"/>
  <c r="Z19645" i="5"/>
  <c r="Z19644" i="5"/>
  <c r="Z19643" i="5"/>
  <c r="Z19642" i="5"/>
  <c r="Z19641" i="5"/>
  <c r="Z19640" i="5"/>
  <c r="Z19639" i="5"/>
  <c r="Z19638" i="5"/>
  <c r="Z19637" i="5"/>
  <c r="Z19636" i="5"/>
  <c r="Z19635" i="5"/>
  <c r="Z19634" i="5"/>
  <c r="Z19633" i="5"/>
  <c r="Z19632" i="5"/>
  <c r="Z19631" i="5"/>
  <c r="Z19630" i="5"/>
  <c r="Z19629" i="5"/>
  <c r="Z19628" i="5"/>
  <c r="Z19627" i="5"/>
  <c r="Z19626" i="5"/>
  <c r="Z19625" i="5"/>
  <c r="Z19624" i="5"/>
  <c r="Z19623" i="5"/>
  <c r="Z19622" i="5"/>
  <c r="Z19621" i="5"/>
  <c r="Z19620" i="5"/>
  <c r="Z19619" i="5"/>
  <c r="Z19618" i="5"/>
  <c r="Z19617" i="5"/>
  <c r="Z19616" i="5"/>
  <c r="Z19615" i="5"/>
  <c r="Z19614" i="5"/>
  <c r="Z19613" i="5"/>
  <c r="Z19612" i="5"/>
  <c r="Z19611" i="5"/>
  <c r="Z19610" i="5"/>
  <c r="Z19609" i="5"/>
  <c r="Z19608" i="5"/>
  <c r="Z19607" i="5"/>
  <c r="Z19606" i="5"/>
  <c r="Z19605" i="5"/>
  <c r="Z19604" i="5"/>
  <c r="Z19603" i="5"/>
  <c r="Z19602" i="5"/>
  <c r="Z19601" i="5"/>
  <c r="Z19600" i="5"/>
  <c r="Z19599" i="5"/>
  <c r="Z19598" i="5"/>
  <c r="Z19597" i="5"/>
  <c r="Z19596" i="5"/>
  <c r="Z19595" i="5"/>
  <c r="Z19594" i="5"/>
  <c r="Z19593" i="5"/>
  <c r="Z19592" i="5"/>
  <c r="Z19591" i="5"/>
  <c r="Z19590" i="5"/>
  <c r="Z19589" i="5"/>
  <c r="Z19588" i="5"/>
  <c r="Z19587" i="5"/>
  <c r="Z19586" i="5"/>
  <c r="Z19585" i="5"/>
  <c r="Z19584" i="5"/>
  <c r="Z19583" i="5"/>
  <c r="Z19582" i="5"/>
  <c r="Z19581" i="5"/>
  <c r="Z19580" i="5"/>
  <c r="Z19579" i="5"/>
  <c r="Z19578" i="5"/>
  <c r="Z19577" i="5"/>
  <c r="Z19576" i="5"/>
  <c r="Z19575" i="5"/>
  <c r="Z19574" i="5"/>
  <c r="Z19573" i="5"/>
  <c r="Z19572" i="5"/>
  <c r="Z19571" i="5"/>
  <c r="Z19570" i="5"/>
  <c r="Z19569" i="5"/>
  <c r="Z19568" i="5"/>
  <c r="Z19567" i="5"/>
  <c r="Z19566" i="5"/>
  <c r="Z19565" i="5"/>
  <c r="Z19564" i="5"/>
  <c r="Z19563" i="5"/>
  <c r="Z19562" i="5"/>
  <c r="Z19561" i="5"/>
  <c r="Z19560" i="5"/>
  <c r="Z19559" i="5"/>
  <c r="Z19558" i="5"/>
  <c r="Z19557" i="5"/>
  <c r="Z19556" i="5"/>
  <c r="Z19555" i="5"/>
  <c r="Z19554" i="5"/>
  <c r="Z19553" i="5"/>
  <c r="Z19552" i="5"/>
  <c r="Z19551" i="5"/>
  <c r="Z19550" i="5"/>
  <c r="Z19549" i="5"/>
  <c r="Z19548" i="5"/>
  <c r="Z19547" i="5"/>
  <c r="Z19546" i="5"/>
  <c r="Z19545" i="5"/>
  <c r="Z19544" i="5"/>
  <c r="Z19543" i="5"/>
  <c r="Z19542" i="5"/>
  <c r="Z19541" i="5"/>
  <c r="Z19540" i="5"/>
  <c r="Z19539" i="5"/>
  <c r="Z19538" i="5"/>
  <c r="Z19537" i="5"/>
  <c r="Z19536" i="5"/>
  <c r="Z19535" i="5"/>
  <c r="Z19534" i="5"/>
  <c r="Z19533" i="5"/>
  <c r="Z19532" i="5"/>
  <c r="Z19531" i="5"/>
  <c r="Z19530" i="5"/>
  <c r="Z19529" i="5"/>
  <c r="Z19528" i="5"/>
  <c r="Z19527" i="5"/>
  <c r="Z19526" i="5"/>
  <c r="Z19525" i="5"/>
  <c r="Z19524" i="5"/>
  <c r="Z19523" i="5"/>
  <c r="Z19522" i="5"/>
  <c r="Z19521" i="5"/>
  <c r="Z19520" i="5"/>
  <c r="Z19519" i="5"/>
  <c r="Z19518" i="5"/>
  <c r="Z19517" i="5"/>
  <c r="Z19516" i="5"/>
  <c r="Z19515" i="5"/>
  <c r="Z19514" i="5"/>
  <c r="Z19513" i="5"/>
  <c r="Z19512" i="5"/>
  <c r="Z19511" i="5"/>
  <c r="Z19510" i="5"/>
  <c r="Z19509" i="5"/>
  <c r="Z19508" i="5"/>
  <c r="Z19507" i="5"/>
  <c r="Z19506" i="5"/>
  <c r="Z19505" i="5"/>
  <c r="Z19504" i="5"/>
  <c r="Z19503" i="5"/>
  <c r="Z19502" i="5"/>
  <c r="Z19501" i="5"/>
  <c r="Z19500" i="5"/>
  <c r="Z19499" i="5"/>
  <c r="Z19498" i="5"/>
  <c r="Z19497" i="5"/>
  <c r="Z19496" i="5"/>
  <c r="Z19495" i="5"/>
  <c r="Z19494" i="5"/>
  <c r="Z19493" i="5"/>
  <c r="Z19492" i="5"/>
  <c r="Z19491" i="5"/>
  <c r="Z19490" i="5"/>
  <c r="Z19489" i="5"/>
  <c r="Z19488" i="5"/>
  <c r="Z19487" i="5"/>
  <c r="Z19486" i="5"/>
  <c r="Z19485" i="5"/>
  <c r="Z19484" i="5"/>
  <c r="Z19483" i="5"/>
  <c r="Z19482" i="5"/>
  <c r="Z19481" i="5"/>
  <c r="Z19480" i="5"/>
  <c r="Z19479" i="5"/>
  <c r="Z19478" i="5"/>
  <c r="Z19477" i="5"/>
  <c r="Z19476" i="5"/>
  <c r="Z19475" i="5"/>
  <c r="Z19474" i="5"/>
  <c r="Z19473" i="5"/>
  <c r="Z19472" i="5"/>
  <c r="Z19471" i="5"/>
  <c r="Z19470" i="5"/>
  <c r="Z19469" i="5"/>
  <c r="Z19468" i="5"/>
  <c r="Z19467" i="5"/>
  <c r="Z19466" i="5"/>
  <c r="Z19465" i="5"/>
  <c r="Z19464" i="5"/>
  <c r="Z19463" i="5"/>
  <c r="Z19462" i="5"/>
  <c r="Z19461" i="5"/>
  <c r="Z19460" i="5"/>
  <c r="Z19459" i="5"/>
  <c r="Z19458" i="5"/>
  <c r="Z19457" i="5"/>
  <c r="Z19456" i="5"/>
  <c r="Z19455" i="5"/>
  <c r="Z19454" i="5"/>
  <c r="Z19453" i="5"/>
  <c r="Z19452" i="5"/>
  <c r="Z19451" i="5"/>
  <c r="Z19450" i="5"/>
  <c r="Z19449" i="5"/>
  <c r="Z19448" i="5"/>
  <c r="Z19447" i="5"/>
  <c r="Z19446" i="5"/>
  <c r="Z19445" i="5"/>
  <c r="Z19444" i="5"/>
  <c r="Z19443" i="5"/>
  <c r="Z19442" i="5"/>
  <c r="Z19441" i="5"/>
  <c r="Z19440" i="5"/>
  <c r="Z19439" i="5"/>
  <c r="Z19438" i="5"/>
  <c r="Z19437" i="5"/>
  <c r="Z19436" i="5"/>
  <c r="Z19435" i="5"/>
  <c r="Z19434" i="5"/>
  <c r="Z19433" i="5"/>
  <c r="Z19432" i="5"/>
  <c r="Z19431" i="5"/>
  <c r="Z19430" i="5"/>
  <c r="Z19429" i="5"/>
  <c r="Z19428" i="5"/>
  <c r="Z19427" i="5"/>
  <c r="Z19426" i="5"/>
  <c r="Z19425" i="5"/>
  <c r="Z19424" i="5"/>
  <c r="Z19423" i="5"/>
  <c r="Z19422" i="5"/>
  <c r="Z19421" i="5"/>
  <c r="Z19420" i="5"/>
  <c r="Z19419" i="5"/>
  <c r="Z19418" i="5"/>
  <c r="Z19417" i="5"/>
  <c r="Z19416" i="5"/>
  <c r="Z19415" i="5"/>
  <c r="Z19414" i="5"/>
  <c r="Z19413" i="5"/>
  <c r="Z19412" i="5"/>
  <c r="Z19411" i="5"/>
  <c r="Z19410" i="5"/>
  <c r="Z19409" i="5"/>
  <c r="Z19408" i="5"/>
  <c r="Z19407" i="5"/>
  <c r="Z19406" i="5"/>
  <c r="Z19405" i="5"/>
  <c r="Z19404" i="5"/>
  <c r="Z19403" i="5"/>
  <c r="Z19402" i="5"/>
  <c r="Z19401" i="5"/>
  <c r="Z19400" i="5"/>
  <c r="Z19399" i="5"/>
  <c r="Z19398" i="5"/>
  <c r="Z19397" i="5"/>
  <c r="Z19396" i="5"/>
  <c r="Z19395" i="5"/>
  <c r="Z19394" i="5"/>
  <c r="Z19393" i="5"/>
  <c r="Z19392" i="5"/>
  <c r="Z19391" i="5"/>
  <c r="Z19390" i="5"/>
  <c r="Z19389" i="5"/>
  <c r="Z19388" i="5"/>
  <c r="Z19387" i="5"/>
  <c r="Z19386" i="5"/>
  <c r="Z19385" i="5"/>
  <c r="Z19384" i="5"/>
  <c r="Z19383" i="5"/>
  <c r="Z19382" i="5"/>
  <c r="Z19381" i="5"/>
  <c r="Z19380" i="5"/>
  <c r="Z19379" i="5"/>
  <c r="Z19378" i="5"/>
  <c r="Z19377" i="5"/>
  <c r="Z19376" i="5"/>
  <c r="Z19375" i="5"/>
  <c r="Z19374" i="5"/>
  <c r="Z19373" i="5"/>
  <c r="Z19372" i="5"/>
  <c r="Z19371" i="5"/>
  <c r="Z19370" i="5"/>
  <c r="Z19369" i="5"/>
  <c r="Z19368" i="5"/>
  <c r="Z19367" i="5"/>
  <c r="Z19366" i="5"/>
  <c r="Z19365" i="5"/>
  <c r="Z19364" i="5"/>
  <c r="Z19363" i="5"/>
  <c r="Z19362" i="5"/>
  <c r="Z19361" i="5"/>
  <c r="Z19360" i="5"/>
  <c r="Z19359" i="5"/>
  <c r="Z19358" i="5"/>
  <c r="Z19357" i="5"/>
  <c r="Z19356" i="5"/>
  <c r="Z19355" i="5"/>
  <c r="Z19354" i="5"/>
  <c r="Z19353" i="5"/>
  <c r="Z19352" i="5"/>
  <c r="Z19351" i="5"/>
  <c r="Z19350" i="5"/>
  <c r="Z19349" i="5"/>
  <c r="Z19348" i="5"/>
  <c r="Z19347" i="5"/>
  <c r="Z19346" i="5"/>
  <c r="Z19345" i="5"/>
  <c r="Z19344" i="5"/>
  <c r="Z19343" i="5"/>
  <c r="Z19342" i="5"/>
  <c r="Z19341" i="5"/>
  <c r="Z19340" i="5"/>
  <c r="Z19339" i="5"/>
  <c r="Z19338" i="5"/>
  <c r="Z19337" i="5"/>
  <c r="Z19336" i="5"/>
  <c r="Z19335" i="5"/>
  <c r="Z19334" i="5"/>
  <c r="Z19333" i="5"/>
  <c r="Z19332" i="5"/>
  <c r="Z19331" i="5"/>
  <c r="Z19330" i="5"/>
  <c r="Z19329" i="5"/>
  <c r="Z19328" i="5"/>
  <c r="Z19327" i="5"/>
  <c r="Z19326" i="5"/>
  <c r="Z19325" i="5"/>
  <c r="Z19324" i="5"/>
  <c r="Z19323" i="5"/>
  <c r="Z19322" i="5"/>
  <c r="Z19321" i="5"/>
  <c r="Z19320" i="5"/>
  <c r="Z19319" i="5"/>
  <c r="Z19318" i="5"/>
  <c r="Z19317" i="5"/>
  <c r="Z19316" i="5"/>
  <c r="Z19315" i="5"/>
  <c r="Z19314" i="5"/>
  <c r="Z19313" i="5"/>
  <c r="Z19312" i="5"/>
  <c r="Z19311" i="5"/>
  <c r="Z19310" i="5"/>
  <c r="Z19309" i="5"/>
  <c r="Z19308" i="5"/>
  <c r="Z19307" i="5"/>
  <c r="Z19306" i="5"/>
  <c r="Z19305" i="5"/>
  <c r="Z19304" i="5"/>
  <c r="Z19303" i="5"/>
  <c r="Z19302" i="5"/>
  <c r="Z19301" i="5"/>
  <c r="Z19300" i="5"/>
  <c r="Z19299" i="5"/>
  <c r="Z19298" i="5"/>
  <c r="Z19297" i="5"/>
  <c r="Z19296" i="5"/>
  <c r="Z19295" i="5"/>
  <c r="Z19294" i="5"/>
  <c r="Z19293" i="5"/>
  <c r="Z19292" i="5"/>
  <c r="Z19291" i="5"/>
  <c r="Z19290" i="5"/>
  <c r="Z19289" i="5"/>
  <c r="Z19288" i="5"/>
  <c r="Z19287" i="5"/>
  <c r="Z19286" i="5"/>
  <c r="Z19285" i="5"/>
  <c r="Z19284" i="5"/>
  <c r="Z19283" i="5"/>
  <c r="Z19282" i="5"/>
  <c r="Z19281" i="5"/>
  <c r="Z19280" i="5"/>
  <c r="Z19279" i="5"/>
  <c r="Z19278" i="5"/>
  <c r="Z19277" i="5"/>
  <c r="Z19276" i="5"/>
  <c r="Z19275" i="5"/>
  <c r="Z19274" i="5"/>
  <c r="Z19273" i="5"/>
  <c r="Z19272" i="5"/>
  <c r="Z19271" i="5"/>
  <c r="Z19270" i="5"/>
  <c r="Z19269" i="5"/>
  <c r="Z19268" i="5"/>
  <c r="Z19267" i="5"/>
  <c r="Z19266" i="5"/>
  <c r="Z19265" i="5"/>
  <c r="Z19264" i="5"/>
  <c r="Z19263" i="5"/>
  <c r="Z19262" i="5"/>
  <c r="Z19261" i="5"/>
  <c r="Z19260" i="5"/>
  <c r="Z19259" i="5"/>
  <c r="Z19258" i="5"/>
  <c r="Z19257" i="5"/>
  <c r="Z19256" i="5"/>
  <c r="Z19255" i="5"/>
  <c r="Z19254" i="5"/>
  <c r="Z19253" i="5"/>
  <c r="Z19252" i="5"/>
  <c r="Z19251" i="5"/>
  <c r="Z19250" i="5"/>
  <c r="Z19249" i="5"/>
  <c r="Z19248" i="5"/>
  <c r="Z19247" i="5"/>
  <c r="Z19246" i="5"/>
  <c r="Z19245" i="5"/>
  <c r="Z19244" i="5"/>
  <c r="Z19243" i="5"/>
  <c r="Z19242" i="5"/>
  <c r="Z19241" i="5"/>
  <c r="Z19240" i="5"/>
  <c r="Z19239" i="5"/>
  <c r="Z19238" i="5"/>
  <c r="Z19237" i="5"/>
  <c r="Z19236" i="5"/>
  <c r="Z19235" i="5"/>
  <c r="Z19234" i="5"/>
  <c r="Z19233" i="5"/>
  <c r="Z19232" i="5"/>
  <c r="Z19231" i="5"/>
  <c r="Z19230" i="5"/>
  <c r="Z19229" i="5"/>
  <c r="Z19228" i="5"/>
  <c r="Z19227" i="5"/>
  <c r="Z19226" i="5"/>
  <c r="Z19225" i="5"/>
  <c r="Z19224" i="5"/>
  <c r="Z19223" i="5"/>
  <c r="Z19222" i="5"/>
  <c r="Z19221" i="5"/>
  <c r="Z19220" i="5"/>
  <c r="Z19219" i="5"/>
  <c r="Z19218" i="5"/>
  <c r="Z19217" i="5"/>
  <c r="Z19216" i="5"/>
  <c r="Z19215" i="5"/>
  <c r="Z19214" i="5"/>
  <c r="Z19213" i="5"/>
  <c r="Z19212" i="5"/>
  <c r="Z19211" i="5"/>
  <c r="Z19210" i="5"/>
  <c r="Z19209" i="5"/>
  <c r="Z19208" i="5"/>
  <c r="Z19207" i="5"/>
  <c r="Z19206" i="5"/>
  <c r="Z19205" i="5"/>
  <c r="Z19204" i="5"/>
  <c r="Z19203" i="5"/>
  <c r="Z19202" i="5"/>
  <c r="Z19201" i="5"/>
  <c r="Z19200" i="5"/>
  <c r="Z19199" i="5"/>
  <c r="Z19198" i="5"/>
  <c r="Z19197" i="5"/>
  <c r="Z19196" i="5"/>
  <c r="Z19195" i="5"/>
  <c r="Z19194" i="5"/>
  <c r="Z19193" i="5"/>
  <c r="Z19192" i="5"/>
  <c r="Z19191" i="5"/>
  <c r="Z19190" i="5"/>
  <c r="Z19189" i="5"/>
  <c r="Z19188" i="5"/>
  <c r="Z19187" i="5"/>
  <c r="Z19186" i="5"/>
  <c r="Z19185" i="5"/>
  <c r="Z19184" i="5"/>
  <c r="Z19183" i="5"/>
  <c r="Z19182" i="5"/>
  <c r="Z19181" i="5"/>
  <c r="Z19180" i="5"/>
  <c r="Z19179" i="5"/>
  <c r="Z19178" i="5"/>
  <c r="Z19177" i="5"/>
  <c r="Z19176" i="5"/>
  <c r="Z19175" i="5"/>
  <c r="Z19174" i="5"/>
  <c r="Z19173" i="5"/>
  <c r="Z19172" i="5"/>
  <c r="Z19171" i="5"/>
  <c r="Z19170" i="5"/>
  <c r="Z19169" i="5"/>
  <c r="Z19168" i="5"/>
  <c r="Z19167" i="5"/>
  <c r="Z19166" i="5"/>
  <c r="Z19165" i="5"/>
  <c r="Z19164" i="5"/>
  <c r="Z19163" i="5"/>
  <c r="Z19162" i="5"/>
  <c r="Z19161" i="5"/>
  <c r="Z19160" i="5"/>
  <c r="Z19159" i="5"/>
  <c r="Z19158" i="5"/>
  <c r="Z19157" i="5"/>
  <c r="Z19156" i="5"/>
  <c r="Z19155" i="5"/>
  <c r="Z19154" i="5"/>
  <c r="Z19153" i="5"/>
  <c r="Z19152" i="5"/>
  <c r="Z19151" i="5"/>
  <c r="Z19150" i="5"/>
  <c r="Z19149" i="5"/>
  <c r="Z19148" i="5"/>
  <c r="Z19147" i="5"/>
  <c r="Z19146" i="5"/>
  <c r="Z19145" i="5"/>
  <c r="Z19144" i="5"/>
  <c r="Z19143" i="5"/>
  <c r="Z19142" i="5"/>
  <c r="Z19141" i="5"/>
  <c r="Z19140" i="5"/>
  <c r="Z19139" i="5"/>
  <c r="Z19138" i="5"/>
  <c r="Z19137" i="5"/>
  <c r="Z19136" i="5"/>
  <c r="Z19135" i="5"/>
  <c r="Z19134" i="5"/>
  <c r="Z19133" i="5"/>
  <c r="Z19132" i="5"/>
  <c r="Z19131" i="5"/>
  <c r="Z19130" i="5"/>
  <c r="Z19129" i="5"/>
  <c r="Z19128" i="5"/>
  <c r="Z19127" i="5"/>
  <c r="Z19126" i="5"/>
  <c r="Z19125" i="5"/>
  <c r="Z19124" i="5"/>
  <c r="Z19123" i="5"/>
  <c r="Z19122" i="5"/>
  <c r="Z19121" i="5"/>
  <c r="Z19120" i="5"/>
  <c r="Z19119" i="5"/>
  <c r="Z19118" i="5"/>
  <c r="Z19117" i="5"/>
  <c r="Z19116" i="5"/>
  <c r="Z19115" i="5"/>
  <c r="Z19114" i="5"/>
  <c r="Z19113" i="5"/>
  <c r="Z19112" i="5"/>
  <c r="Z19111" i="5"/>
  <c r="Z19110" i="5"/>
  <c r="Z19109" i="5"/>
  <c r="Z19108" i="5"/>
  <c r="Z19107" i="5"/>
  <c r="Z19106" i="5"/>
  <c r="Z19105" i="5"/>
  <c r="Z19104" i="5"/>
  <c r="Z19103" i="5"/>
  <c r="Z19102" i="5"/>
  <c r="Z19101" i="5"/>
  <c r="Z19100" i="5"/>
  <c r="Z19099" i="5"/>
  <c r="Z19098" i="5"/>
  <c r="Z19097" i="5"/>
  <c r="Z19096" i="5"/>
  <c r="Z19095" i="5"/>
  <c r="Z19094" i="5"/>
  <c r="Z19093" i="5"/>
  <c r="Z19092" i="5"/>
  <c r="Z19091" i="5"/>
  <c r="Z19090" i="5"/>
  <c r="Z19089" i="5"/>
  <c r="Z19088" i="5"/>
  <c r="Z19087" i="5"/>
  <c r="Z19086" i="5"/>
  <c r="Z19085" i="5"/>
  <c r="Z19084" i="5"/>
  <c r="Z19083" i="5"/>
  <c r="Z19082" i="5"/>
  <c r="Z19081" i="5"/>
  <c r="Z19080" i="5"/>
  <c r="Z19079" i="5"/>
  <c r="Z19078" i="5"/>
  <c r="Z19077" i="5"/>
  <c r="Z19076" i="5"/>
  <c r="Z19075" i="5"/>
  <c r="Z19074" i="5"/>
  <c r="Z19073" i="5"/>
  <c r="Z19072" i="5"/>
  <c r="Z19071" i="5"/>
  <c r="Z19070" i="5"/>
  <c r="Z19069" i="5"/>
  <c r="Z19068" i="5"/>
  <c r="Z19067" i="5"/>
  <c r="Z19066" i="5"/>
  <c r="Z19065" i="5"/>
  <c r="Z19064" i="5"/>
  <c r="Z19063" i="5"/>
  <c r="Z19062" i="5"/>
  <c r="Z19061" i="5"/>
  <c r="Z19060" i="5"/>
  <c r="Z19059" i="5"/>
  <c r="Z19058" i="5"/>
  <c r="Z19057" i="5"/>
  <c r="Z19056" i="5"/>
  <c r="Z19055" i="5"/>
  <c r="Z19054" i="5"/>
  <c r="Z19053" i="5"/>
  <c r="Z19052" i="5"/>
  <c r="Z19051" i="5"/>
  <c r="Z19050" i="5"/>
  <c r="Z19049" i="5"/>
  <c r="Z19048" i="5"/>
  <c r="Z19047" i="5"/>
  <c r="Z19046" i="5"/>
  <c r="Z19045" i="5"/>
  <c r="Z19044" i="5"/>
  <c r="Z19043" i="5"/>
  <c r="Z19042" i="5"/>
  <c r="Z19041" i="5"/>
  <c r="Z19040" i="5"/>
  <c r="Z19039" i="5"/>
  <c r="Z19038" i="5"/>
  <c r="Z19037" i="5"/>
  <c r="Z19036" i="5"/>
  <c r="Z19035" i="5"/>
  <c r="Z19034" i="5"/>
  <c r="Z19033" i="5"/>
  <c r="Z19032" i="5"/>
  <c r="Z19031" i="5"/>
  <c r="Z19030" i="5"/>
  <c r="Z19029" i="5"/>
  <c r="Z19028" i="5"/>
  <c r="Z19027" i="5"/>
  <c r="Z19026" i="5"/>
  <c r="Z19025" i="5"/>
  <c r="Z19024" i="5"/>
  <c r="Z19023" i="5"/>
  <c r="Z19022" i="5"/>
  <c r="Z19021" i="5"/>
  <c r="Z19020" i="5"/>
  <c r="Z19019" i="5"/>
  <c r="Z19018" i="5"/>
  <c r="Z19017" i="5"/>
  <c r="Z19016" i="5"/>
  <c r="Z19015" i="5"/>
  <c r="Z19014" i="5"/>
  <c r="Z19013" i="5"/>
  <c r="Z19012" i="5"/>
  <c r="Z19011" i="5"/>
  <c r="Z19010" i="5"/>
  <c r="Z19009" i="5"/>
  <c r="Z19008" i="5"/>
  <c r="Z19007" i="5"/>
  <c r="Z19006" i="5"/>
  <c r="Z19005" i="5"/>
  <c r="Z19004" i="5"/>
  <c r="Z19003" i="5"/>
  <c r="Z19002" i="5"/>
  <c r="Z19001" i="5"/>
  <c r="Z19000" i="5"/>
  <c r="Z18999" i="5"/>
  <c r="Z18998" i="5"/>
  <c r="Z18997" i="5"/>
  <c r="Z18996" i="5"/>
  <c r="Z18995" i="5"/>
  <c r="Z18994" i="5"/>
  <c r="Z18993" i="5"/>
  <c r="Z18992" i="5"/>
  <c r="Z18991" i="5"/>
  <c r="Z18990" i="5"/>
  <c r="Z18989" i="5"/>
  <c r="Z18988" i="5"/>
  <c r="Z18987" i="5"/>
  <c r="Z18986" i="5"/>
  <c r="Z18985" i="5"/>
  <c r="Z18984" i="5"/>
  <c r="Z18983" i="5"/>
  <c r="Z18982" i="5"/>
  <c r="Z18981" i="5"/>
  <c r="Z18980" i="5"/>
  <c r="Z18979" i="5"/>
  <c r="Z18978" i="5"/>
  <c r="Z18977" i="5"/>
  <c r="Z18976" i="5"/>
  <c r="Z18975" i="5"/>
  <c r="Z18974" i="5"/>
  <c r="Z18973" i="5"/>
  <c r="Z18972" i="5"/>
  <c r="Z18971" i="5"/>
  <c r="Z18970" i="5"/>
  <c r="Z18969" i="5"/>
  <c r="Z18968" i="5"/>
  <c r="Z18967" i="5"/>
  <c r="Z18966" i="5"/>
  <c r="Z18965" i="5"/>
  <c r="Z18964" i="5"/>
  <c r="Z18963" i="5"/>
  <c r="Z18962" i="5"/>
  <c r="Z18961" i="5"/>
  <c r="Z18960" i="5"/>
  <c r="Z18959" i="5"/>
  <c r="Z18958" i="5"/>
  <c r="Z18957" i="5"/>
  <c r="Z18956" i="5"/>
  <c r="Z18955" i="5"/>
  <c r="Z18954" i="5"/>
  <c r="Z18953" i="5"/>
  <c r="Z18952" i="5"/>
  <c r="Z18951" i="5"/>
  <c r="Z18950" i="5"/>
  <c r="Z18949" i="5"/>
  <c r="Z18948" i="5"/>
  <c r="Z18947" i="5"/>
  <c r="Z18946" i="5"/>
  <c r="Z18945" i="5"/>
  <c r="Z18944" i="5"/>
  <c r="Z18943" i="5"/>
  <c r="Z18942" i="5"/>
  <c r="Z18941" i="5"/>
  <c r="Z18940" i="5"/>
  <c r="Z18939" i="5"/>
  <c r="Z18938" i="5"/>
  <c r="Z18937" i="5"/>
  <c r="Z18936" i="5"/>
  <c r="Z18935" i="5"/>
  <c r="Z18934" i="5"/>
  <c r="Z18933" i="5"/>
  <c r="Z18932" i="5"/>
  <c r="Z18931" i="5"/>
  <c r="Z18930" i="5"/>
  <c r="Z18929" i="5"/>
  <c r="Z18928" i="5"/>
  <c r="Z18927" i="5"/>
  <c r="Z18926" i="5"/>
  <c r="Z18925" i="5"/>
  <c r="Z18924" i="5"/>
  <c r="Z18923" i="5"/>
  <c r="Z18922" i="5"/>
  <c r="Z18921" i="5"/>
  <c r="Z18920" i="5"/>
  <c r="Z18919" i="5"/>
  <c r="Z18918" i="5"/>
  <c r="Z18917" i="5"/>
  <c r="Z18916" i="5"/>
  <c r="Z18915" i="5"/>
  <c r="Z18914" i="5"/>
  <c r="Z18913" i="5"/>
  <c r="Z18912" i="5"/>
  <c r="Z18911" i="5"/>
  <c r="Z18910" i="5"/>
  <c r="Z18909" i="5"/>
  <c r="Z18908" i="5"/>
  <c r="Z18907" i="5"/>
  <c r="Z18906" i="5"/>
  <c r="Z18905" i="5"/>
  <c r="Z18904" i="5"/>
  <c r="Z18903" i="5"/>
  <c r="Z18902" i="5"/>
  <c r="Z18901" i="5"/>
  <c r="Z18900" i="5"/>
  <c r="Z18899" i="5"/>
  <c r="Z18898" i="5"/>
  <c r="Z18897" i="5"/>
  <c r="Z18896" i="5"/>
  <c r="Z18895" i="5"/>
  <c r="Z18894" i="5"/>
  <c r="Z18893" i="5"/>
  <c r="Z18892" i="5"/>
  <c r="Z18891" i="5"/>
  <c r="Z18890" i="5"/>
  <c r="Z18889" i="5"/>
  <c r="Z18888" i="5"/>
  <c r="Z18887" i="5"/>
  <c r="Z18886" i="5"/>
  <c r="Z18885" i="5"/>
  <c r="Z18884" i="5"/>
  <c r="Z18883" i="5"/>
  <c r="Z18882" i="5"/>
  <c r="Z18881" i="5"/>
  <c r="Z18880" i="5"/>
  <c r="Z18879" i="5"/>
  <c r="Z18878" i="5"/>
  <c r="Z18877" i="5"/>
  <c r="Z18876" i="5"/>
  <c r="Z18875" i="5"/>
  <c r="Z18874" i="5"/>
  <c r="Z18873" i="5"/>
  <c r="Z18872" i="5"/>
  <c r="Z18871" i="5"/>
  <c r="Z18870" i="5"/>
  <c r="Z18869" i="5"/>
  <c r="Z18868" i="5"/>
  <c r="Z18867" i="5"/>
  <c r="Z18866" i="5"/>
  <c r="Z18865" i="5"/>
  <c r="Z18864" i="5"/>
  <c r="Z18863" i="5"/>
  <c r="Z18862" i="5"/>
  <c r="Z18861" i="5"/>
  <c r="Z18860" i="5"/>
  <c r="Z18859" i="5"/>
  <c r="Z18858" i="5"/>
  <c r="Z18857" i="5"/>
  <c r="Z18856" i="5"/>
  <c r="Z18855" i="5"/>
  <c r="Z18854" i="5"/>
  <c r="Z18853" i="5"/>
  <c r="Z18852" i="5"/>
  <c r="Z18851" i="5"/>
  <c r="Z18850" i="5"/>
  <c r="Z18849" i="5"/>
  <c r="Z18848" i="5"/>
  <c r="Z18847" i="5"/>
  <c r="Z18846" i="5"/>
  <c r="Z18845" i="5"/>
  <c r="Z18844" i="5"/>
  <c r="Z18843" i="5"/>
  <c r="Z18842" i="5"/>
  <c r="Z18841" i="5"/>
  <c r="Z18840" i="5"/>
  <c r="Z18839" i="5"/>
  <c r="Z18838" i="5"/>
  <c r="Z18837" i="5"/>
  <c r="Z18836" i="5"/>
  <c r="Z18835" i="5"/>
  <c r="Z18834" i="5"/>
  <c r="Z18833" i="5"/>
  <c r="Z18832" i="5"/>
  <c r="Z18831" i="5"/>
  <c r="Z18830" i="5"/>
  <c r="Z18829" i="5"/>
  <c r="Z18828" i="5"/>
  <c r="Z18827" i="5"/>
  <c r="Z18826" i="5"/>
  <c r="Z18825" i="5"/>
  <c r="Z18824" i="5"/>
  <c r="Z18823" i="5"/>
  <c r="Z18822" i="5"/>
  <c r="Z18821" i="5"/>
  <c r="Z18820" i="5"/>
  <c r="Z18819" i="5"/>
  <c r="Z18818" i="5"/>
  <c r="Z18817" i="5"/>
  <c r="Z18816" i="5"/>
  <c r="Z18815" i="5"/>
  <c r="Z18814" i="5"/>
  <c r="Z18813" i="5"/>
  <c r="Z18812" i="5"/>
  <c r="Z18811" i="5"/>
  <c r="Z18810" i="5"/>
  <c r="Z18809" i="5"/>
  <c r="Z18808" i="5"/>
  <c r="Z18807" i="5"/>
  <c r="Z18806" i="5"/>
  <c r="Z18805" i="5"/>
  <c r="Z18804" i="5"/>
  <c r="Z18803" i="5"/>
  <c r="Z18802" i="5"/>
  <c r="Z18801" i="5"/>
  <c r="Z18800" i="5"/>
  <c r="Z18799" i="5"/>
  <c r="Z18798" i="5"/>
  <c r="Z18797" i="5"/>
  <c r="Z18796" i="5"/>
  <c r="Z18795" i="5"/>
  <c r="Z18794" i="5"/>
  <c r="Z18793" i="5"/>
  <c r="Z18792" i="5"/>
  <c r="Z18791" i="5"/>
  <c r="Z18790" i="5"/>
  <c r="Z18789" i="5"/>
  <c r="Z18788" i="5"/>
  <c r="Z18787" i="5"/>
  <c r="Z18786" i="5"/>
  <c r="Z18785" i="5"/>
  <c r="Z18784" i="5"/>
  <c r="Z18783" i="5"/>
  <c r="Z18782" i="5"/>
  <c r="Z18781" i="5"/>
  <c r="Z18780" i="5"/>
  <c r="Z18779" i="5"/>
  <c r="Z18778" i="5"/>
  <c r="Z18777" i="5"/>
  <c r="Z18776" i="5"/>
  <c r="Z18775" i="5"/>
  <c r="Z18774" i="5"/>
  <c r="Z18773" i="5"/>
  <c r="Z18772" i="5"/>
  <c r="Z18771" i="5"/>
  <c r="Z18770" i="5"/>
  <c r="Z18769" i="5"/>
  <c r="Z18768" i="5"/>
  <c r="Z18767" i="5"/>
  <c r="Z18766" i="5"/>
  <c r="Z18765" i="5"/>
  <c r="Z18764" i="5"/>
  <c r="Z18763" i="5"/>
  <c r="Z18762" i="5"/>
  <c r="Z18761" i="5"/>
  <c r="Z18760" i="5"/>
  <c r="Z18759" i="5"/>
  <c r="Z18758" i="5"/>
  <c r="Z18757" i="5"/>
  <c r="Z18756" i="5"/>
  <c r="Z18755" i="5"/>
  <c r="Z18754" i="5"/>
  <c r="Z18753" i="5"/>
  <c r="Z18752" i="5"/>
  <c r="Z18751" i="5"/>
  <c r="Z18750" i="5"/>
  <c r="Z18749" i="5"/>
  <c r="Z18748" i="5"/>
  <c r="Z18747" i="5"/>
  <c r="Z18746" i="5"/>
  <c r="Z18745" i="5"/>
  <c r="Z18744" i="5"/>
  <c r="Z18743" i="5"/>
  <c r="Z18742" i="5"/>
  <c r="Z18741" i="5"/>
  <c r="Z18740" i="5"/>
  <c r="Z18739" i="5"/>
  <c r="Z18738" i="5"/>
  <c r="Z18737" i="5"/>
  <c r="Z18736" i="5"/>
  <c r="Z18735" i="5"/>
  <c r="Z18734" i="5"/>
  <c r="Z18733" i="5"/>
  <c r="Z18732" i="5"/>
  <c r="Z18731" i="5"/>
  <c r="Z18730" i="5"/>
  <c r="Z18729" i="5"/>
  <c r="Z18728" i="5"/>
  <c r="Z18727" i="5"/>
  <c r="Z18726" i="5"/>
  <c r="Z18725" i="5"/>
  <c r="Z18724" i="5"/>
  <c r="Z18723" i="5"/>
  <c r="Z18722" i="5"/>
  <c r="Z18721" i="5"/>
  <c r="Z18720" i="5"/>
  <c r="Z18719" i="5"/>
  <c r="Z18718" i="5"/>
  <c r="Z18717" i="5"/>
  <c r="Z18716" i="5"/>
  <c r="Z18715" i="5"/>
  <c r="Z18714" i="5"/>
  <c r="Z18713" i="5"/>
  <c r="Z18712" i="5"/>
  <c r="Z18711" i="5"/>
  <c r="Z18710" i="5"/>
  <c r="Z18709" i="5"/>
  <c r="Z18708" i="5"/>
  <c r="Z18707" i="5"/>
  <c r="Z18706" i="5"/>
  <c r="Z18705" i="5"/>
  <c r="Z18704" i="5"/>
  <c r="Z18703" i="5"/>
  <c r="Z18702" i="5"/>
  <c r="Z18701" i="5"/>
  <c r="Z18700" i="5"/>
  <c r="Z18699" i="5"/>
  <c r="Z18698" i="5"/>
  <c r="Z18697" i="5"/>
  <c r="Z18696" i="5"/>
  <c r="Z18695" i="5"/>
  <c r="Z18694" i="5"/>
  <c r="Z18693" i="5"/>
  <c r="Z18692" i="5"/>
  <c r="Z18691" i="5"/>
  <c r="Z18690" i="5"/>
  <c r="Z18689" i="5"/>
  <c r="Z18688" i="5"/>
  <c r="Z18687" i="5"/>
  <c r="Z18686" i="5"/>
  <c r="Z18685" i="5"/>
  <c r="Z18684" i="5"/>
  <c r="Z18683" i="5"/>
  <c r="Z18682" i="5"/>
  <c r="Z18681" i="5"/>
  <c r="Z18680" i="5"/>
  <c r="Z18679" i="5"/>
  <c r="Z18678" i="5"/>
  <c r="Z18677" i="5"/>
  <c r="Z18676" i="5"/>
  <c r="Z18675" i="5"/>
  <c r="Z18674" i="5"/>
  <c r="Z18673" i="5"/>
  <c r="Z18672" i="5"/>
  <c r="Z18671" i="5"/>
  <c r="Z18670" i="5"/>
  <c r="Z18669" i="5"/>
  <c r="Z18668" i="5"/>
  <c r="Z18667" i="5"/>
  <c r="Z18666" i="5"/>
  <c r="Z18665" i="5"/>
  <c r="Z18664" i="5"/>
  <c r="Z18663" i="5"/>
  <c r="Z18662" i="5"/>
  <c r="Z18661" i="5"/>
  <c r="Z18660" i="5"/>
  <c r="Z18659" i="5"/>
  <c r="Z18658" i="5"/>
  <c r="Z18657" i="5"/>
  <c r="Z18656" i="5"/>
  <c r="Z18655" i="5"/>
  <c r="Z18654" i="5"/>
  <c r="Z18653" i="5"/>
  <c r="Z18652" i="5"/>
  <c r="Z18651" i="5"/>
  <c r="Z18650" i="5"/>
  <c r="Z18649" i="5"/>
  <c r="Z18648" i="5"/>
  <c r="Z18647" i="5"/>
  <c r="Z18646" i="5"/>
  <c r="Z18645" i="5"/>
  <c r="Z18644" i="5"/>
  <c r="Z18643" i="5"/>
  <c r="Z18642" i="5"/>
  <c r="Z18641" i="5"/>
  <c r="Z18640" i="5"/>
  <c r="Z18639" i="5"/>
  <c r="Z18638" i="5"/>
  <c r="Z18637" i="5"/>
  <c r="Z18636" i="5"/>
  <c r="Z18635" i="5"/>
  <c r="Z18634" i="5"/>
  <c r="Z18633" i="5"/>
  <c r="Z18632" i="5"/>
  <c r="Z18631" i="5"/>
  <c r="Z18630" i="5"/>
  <c r="Z18629" i="5"/>
  <c r="Z18628" i="5"/>
  <c r="Z18627" i="5"/>
  <c r="Z18626" i="5"/>
  <c r="Z18625" i="5"/>
  <c r="Z18624" i="5"/>
  <c r="Z18623" i="5"/>
  <c r="Z18622" i="5"/>
  <c r="Z18621" i="5"/>
  <c r="Z18620" i="5"/>
  <c r="Z18619" i="5"/>
  <c r="Z18618" i="5"/>
  <c r="Z18617" i="5"/>
  <c r="Z18616" i="5"/>
  <c r="Z18615" i="5"/>
  <c r="Z18614" i="5"/>
  <c r="Z18613" i="5"/>
  <c r="Z18612" i="5"/>
  <c r="Z18611" i="5"/>
  <c r="Z18610" i="5"/>
  <c r="Z18609" i="5"/>
  <c r="Z18608" i="5"/>
  <c r="Z18607" i="5"/>
  <c r="Z18606" i="5"/>
  <c r="Z18605" i="5"/>
  <c r="Z18604" i="5"/>
  <c r="Z18603" i="5"/>
  <c r="Z18602" i="5"/>
  <c r="Z18601" i="5"/>
  <c r="Z18600" i="5"/>
  <c r="Z18599" i="5"/>
  <c r="Z18598" i="5"/>
  <c r="Z18597" i="5"/>
  <c r="Z18596" i="5"/>
  <c r="Z18595" i="5"/>
  <c r="Z18594" i="5"/>
  <c r="Z18593" i="5"/>
  <c r="Z18592" i="5"/>
  <c r="Z18591" i="5"/>
  <c r="Z18590" i="5"/>
  <c r="Z18589" i="5"/>
  <c r="Z18588" i="5"/>
  <c r="Z18587" i="5"/>
  <c r="Z18586" i="5"/>
  <c r="Z18585" i="5"/>
  <c r="Z18584" i="5"/>
  <c r="Z18583" i="5"/>
  <c r="Z18582" i="5"/>
  <c r="Z18581" i="5"/>
  <c r="Z18580" i="5"/>
  <c r="Z18579" i="5"/>
  <c r="Z18578" i="5"/>
  <c r="Z18577" i="5"/>
  <c r="Z18576" i="5"/>
  <c r="Z18575" i="5"/>
  <c r="Z18574" i="5"/>
  <c r="Z18573" i="5"/>
  <c r="Z18572" i="5"/>
  <c r="Z18571" i="5"/>
  <c r="Z18570" i="5"/>
  <c r="Z18569" i="5"/>
  <c r="Z18568" i="5"/>
  <c r="Z18567" i="5"/>
  <c r="Z18566" i="5"/>
  <c r="Z18565" i="5"/>
  <c r="Z18564" i="5"/>
  <c r="Z18563" i="5"/>
  <c r="Z18562" i="5"/>
  <c r="Z18561" i="5"/>
  <c r="Z18560" i="5"/>
  <c r="Z18559" i="5"/>
  <c r="Z18558" i="5"/>
  <c r="Z18557" i="5"/>
  <c r="Z18556" i="5"/>
  <c r="Z18555" i="5"/>
  <c r="Z18554" i="5"/>
  <c r="Z18553" i="5"/>
  <c r="Z18552" i="5"/>
  <c r="Z18551" i="5"/>
  <c r="Z18550" i="5"/>
  <c r="Z18549" i="5"/>
  <c r="Z18548" i="5"/>
  <c r="Z18547" i="5"/>
  <c r="Z18546" i="5"/>
  <c r="Z18545" i="5"/>
  <c r="Z18544" i="5"/>
  <c r="Z18543" i="5"/>
  <c r="Z18542" i="5"/>
  <c r="Z18541" i="5"/>
  <c r="Z18540" i="5"/>
  <c r="Z18539" i="5"/>
  <c r="Z18538" i="5"/>
  <c r="Z18537" i="5"/>
  <c r="Z18536" i="5"/>
  <c r="Z18535" i="5"/>
  <c r="Z18534" i="5"/>
  <c r="Z18533" i="5"/>
  <c r="Z18532" i="5"/>
  <c r="Z18531" i="5"/>
  <c r="Z18530" i="5"/>
  <c r="Z18529" i="5"/>
  <c r="Z18528" i="5"/>
  <c r="Z18527" i="5"/>
  <c r="Z18526" i="5"/>
  <c r="Z18525" i="5"/>
  <c r="Z18524" i="5"/>
  <c r="Z18523" i="5"/>
  <c r="Z18522" i="5"/>
  <c r="Z18521" i="5"/>
  <c r="Z18520" i="5"/>
  <c r="Z18519" i="5"/>
  <c r="Z18518" i="5"/>
  <c r="Z18517" i="5"/>
  <c r="Z18516" i="5"/>
  <c r="Z18515" i="5"/>
  <c r="Z18514" i="5"/>
  <c r="Z18513" i="5"/>
  <c r="Z18512" i="5"/>
  <c r="Z18511" i="5"/>
  <c r="Z18510" i="5"/>
  <c r="Z18509" i="5"/>
  <c r="Z18508" i="5"/>
  <c r="Z18507" i="5"/>
  <c r="Z18506" i="5"/>
  <c r="Z18505" i="5"/>
  <c r="Z18504" i="5"/>
  <c r="Z18503" i="5"/>
  <c r="Z18502" i="5"/>
  <c r="Z18501" i="5"/>
  <c r="Z18500" i="5"/>
  <c r="Z18499" i="5"/>
  <c r="Z18498" i="5"/>
  <c r="Z18497" i="5"/>
  <c r="Z18496" i="5"/>
  <c r="Z18495" i="5"/>
  <c r="Z18494" i="5"/>
  <c r="Z18493" i="5"/>
  <c r="Z18492" i="5"/>
  <c r="Z18491" i="5"/>
  <c r="Z18490" i="5"/>
  <c r="Z18489" i="5"/>
  <c r="Z18488" i="5"/>
  <c r="Z18487" i="5"/>
  <c r="Z18486" i="5"/>
  <c r="Z18485" i="5"/>
  <c r="Z18484" i="5"/>
  <c r="Z18483" i="5"/>
  <c r="Z18482" i="5"/>
  <c r="Z18481" i="5"/>
  <c r="Z18480" i="5"/>
  <c r="Z18479" i="5"/>
  <c r="Z18478" i="5"/>
  <c r="Z18477" i="5"/>
  <c r="Z18476" i="5"/>
  <c r="Z18475" i="5"/>
  <c r="Z18474" i="5"/>
  <c r="Z18473" i="5"/>
  <c r="Z18472" i="5"/>
  <c r="Z18471" i="5"/>
  <c r="Z18470" i="5"/>
  <c r="Z18469" i="5"/>
  <c r="Z18468" i="5"/>
  <c r="Z18467" i="5"/>
  <c r="Z18466" i="5"/>
  <c r="Z18465" i="5"/>
  <c r="Z18464" i="5"/>
  <c r="Z18463" i="5"/>
  <c r="Z18462" i="5"/>
  <c r="Z18461" i="5"/>
  <c r="Z18460" i="5"/>
  <c r="Z18459" i="5"/>
  <c r="Z18458" i="5"/>
  <c r="Z18457" i="5"/>
  <c r="Z18456" i="5"/>
  <c r="Z18455" i="5"/>
  <c r="Z18454" i="5"/>
  <c r="Z18453" i="5"/>
  <c r="Z18452" i="5"/>
  <c r="Z18451" i="5"/>
  <c r="Z18450" i="5"/>
  <c r="Z18449" i="5"/>
  <c r="Z18448" i="5"/>
  <c r="Z18447" i="5"/>
  <c r="Z18446" i="5"/>
  <c r="Z18445" i="5"/>
  <c r="Z18444" i="5"/>
  <c r="Z18443" i="5"/>
  <c r="Z18442" i="5"/>
  <c r="Z18441" i="5"/>
  <c r="Z18440" i="5"/>
  <c r="Z18439" i="5"/>
  <c r="Z18438" i="5"/>
  <c r="Z18437" i="5"/>
  <c r="Z18436" i="5"/>
  <c r="Z18435" i="5"/>
  <c r="Z18434" i="5"/>
  <c r="Z18433" i="5"/>
  <c r="Z18432" i="5"/>
  <c r="Z18431" i="5"/>
  <c r="Z18430" i="5"/>
  <c r="Z18429" i="5"/>
  <c r="Z18428" i="5"/>
  <c r="Z18427" i="5"/>
  <c r="Z18426" i="5"/>
  <c r="Z18425" i="5"/>
  <c r="Z18424" i="5"/>
  <c r="Z18423" i="5"/>
  <c r="Z18422" i="5"/>
  <c r="Z18421" i="5"/>
  <c r="Z18420" i="5"/>
  <c r="Z18419" i="5"/>
  <c r="Z18418" i="5"/>
  <c r="Z18417" i="5"/>
  <c r="Z18416" i="5"/>
  <c r="Z18415" i="5"/>
  <c r="Z18414" i="5"/>
  <c r="Z18413" i="5"/>
  <c r="Z18412" i="5"/>
  <c r="Z18411" i="5"/>
  <c r="Z18410" i="5"/>
  <c r="Z18409" i="5"/>
  <c r="Z18408" i="5"/>
  <c r="Z18407" i="5"/>
  <c r="Z18406" i="5"/>
  <c r="Z18405" i="5"/>
  <c r="Z18404" i="5"/>
  <c r="Z18403" i="5"/>
  <c r="Z18402" i="5"/>
  <c r="Z18401" i="5"/>
  <c r="Z18400" i="5"/>
  <c r="Z18399" i="5"/>
  <c r="Z18398" i="5"/>
  <c r="Z18397" i="5"/>
  <c r="Z18396" i="5"/>
  <c r="Z18395" i="5"/>
  <c r="Z18394" i="5"/>
  <c r="Z18393" i="5"/>
  <c r="Z18392" i="5"/>
  <c r="Z18391" i="5"/>
  <c r="Z18390" i="5"/>
  <c r="Z18389" i="5"/>
  <c r="Z18388" i="5"/>
  <c r="Z18387" i="5"/>
  <c r="Z18386" i="5"/>
  <c r="Z18385" i="5"/>
  <c r="Z18384" i="5"/>
  <c r="Z18383" i="5"/>
  <c r="Z18382" i="5"/>
  <c r="Z18381" i="5"/>
  <c r="Z18380" i="5"/>
  <c r="Z18379" i="5"/>
  <c r="Z18378" i="5"/>
  <c r="Z18377" i="5"/>
  <c r="Z18376" i="5"/>
  <c r="Z18375" i="5"/>
  <c r="Z18374" i="5"/>
  <c r="Z18373" i="5"/>
  <c r="Z18372" i="5"/>
  <c r="Z18371" i="5"/>
  <c r="Z18370" i="5"/>
  <c r="Z18369" i="5"/>
  <c r="Z18368" i="5"/>
  <c r="Z18367" i="5"/>
  <c r="Z18366" i="5"/>
  <c r="Z18365" i="5"/>
  <c r="Z18364" i="5"/>
  <c r="Z18363" i="5"/>
  <c r="Z18362" i="5"/>
  <c r="Z18361" i="5"/>
  <c r="Z18360" i="5"/>
  <c r="Z18359" i="5"/>
  <c r="Z18358" i="5"/>
  <c r="Z18357" i="5"/>
  <c r="Z18356" i="5"/>
  <c r="Z18355" i="5"/>
  <c r="Z18354" i="5"/>
  <c r="Z18353" i="5"/>
  <c r="Z18352" i="5"/>
  <c r="Z18351" i="5"/>
  <c r="Z18350" i="5"/>
  <c r="Z18349" i="5"/>
  <c r="Z18348" i="5"/>
  <c r="Z18347" i="5"/>
  <c r="Z18346" i="5"/>
  <c r="Z18345" i="5"/>
  <c r="Z18344" i="5"/>
  <c r="Z18343" i="5"/>
  <c r="Z18342" i="5"/>
  <c r="Z18341" i="5"/>
  <c r="Z18340" i="5"/>
  <c r="Z18339" i="5"/>
  <c r="Z18338" i="5"/>
  <c r="Z18337" i="5"/>
  <c r="Z18336" i="5"/>
  <c r="Z18335" i="5"/>
  <c r="Z18334" i="5"/>
  <c r="Z18333" i="5"/>
  <c r="Z18332" i="5"/>
  <c r="Z18331" i="5"/>
  <c r="Z18330" i="5"/>
  <c r="Z18329" i="5"/>
  <c r="Z18328" i="5"/>
  <c r="Z18327" i="5"/>
  <c r="Z18326" i="5"/>
  <c r="Z18325" i="5"/>
  <c r="Z18324" i="5"/>
  <c r="Z18323" i="5"/>
  <c r="Z18322" i="5"/>
  <c r="Z18321" i="5"/>
  <c r="Z18320" i="5"/>
  <c r="Z18319" i="5"/>
  <c r="Z18318" i="5"/>
  <c r="Z18317" i="5"/>
  <c r="Z18316" i="5"/>
  <c r="Z18315" i="5"/>
  <c r="Z18314" i="5"/>
  <c r="Z18313" i="5"/>
  <c r="Z18312" i="5"/>
  <c r="Z18311" i="5"/>
  <c r="Z18310" i="5"/>
  <c r="Z18309" i="5"/>
  <c r="Z18308" i="5"/>
  <c r="Z18307" i="5"/>
  <c r="Z18306" i="5"/>
  <c r="Z18305" i="5"/>
  <c r="Z18304" i="5"/>
  <c r="Z18303" i="5"/>
  <c r="Z18302" i="5"/>
  <c r="Z18301" i="5"/>
  <c r="Z18300" i="5"/>
  <c r="Z18299" i="5"/>
  <c r="Z18298" i="5"/>
  <c r="Z18297" i="5"/>
  <c r="Z18296" i="5"/>
  <c r="Z18295" i="5"/>
  <c r="Z18294" i="5"/>
  <c r="Z18293" i="5"/>
  <c r="Z18292" i="5"/>
  <c r="Z18291" i="5"/>
  <c r="Z18290" i="5"/>
  <c r="Z18289" i="5"/>
  <c r="Z18288" i="5"/>
  <c r="Z18287" i="5"/>
  <c r="Z18286" i="5"/>
  <c r="Z18285" i="5"/>
  <c r="Z18284" i="5"/>
  <c r="Z18283" i="5"/>
  <c r="Z18282" i="5"/>
  <c r="Z18281" i="5"/>
  <c r="Z18280" i="5"/>
  <c r="Z18279" i="5"/>
  <c r="Z18278" i="5"/>
  <c r="Z18277" i="5"/>
  <c r="Z18276" i="5"/>
  <c r="Z18275" i="5"/>
  <c r="Z18274" i="5"/>
  <c r="Z18273" i="5"/>
  <c r="Z18272" i="5"/>
  <c r="Z18271" i="5"/>
  <c r="Z18270" i="5"/>
  <c r="Z18269" i="5"/>
  <c r="Z18268" i="5"/>
  <c r="Z18267" i="5"/>
  <c r="Z18266" i="5"/>
  <c r="Z18265" i="5"/>
  <c r="Z18264" i="5"/>
  <c r="Z18263" i="5"/>
  <c r="Z18262" i="5"/>
  <c r="Z18261" i="5"/>
  <c r="Z18260" i="5"/>
  <c r="Z18259" i="5"/>
  <c r="Z18258" i="5"/>
  <c r="Z18257" i="5"/>
  <c r="Z18256" i="5"/>
  <c r="Z18255" i="5"/>
  <c r="Z18254" i="5"/>
  <c r="Z18253" i="5"/>
  <c r="Z18252" i="5"/>
  <c r="Z18251" i="5"/>
  <c r="Z18250" i="5"/>
  <c r="Z18249" i="5"/>
  <c r="Z18248" i="5"/>
  <c r="Z18247" i="5"/>
  <c r="Z18246" i="5"/>
  <c r="Z18245" i="5"/>
  <c r="Z18244" i="5"/>
  <c r="Z18243" i="5"/>
  <c r="Z18242" i="5"/>
  <c r="Z18241" i="5"/>
  <c r="Z18240" i="5"/>
  <c r="Z18239" i="5"/>
  <c r="Z18238" i="5"/>
  <c r="Z18237" i="5"/>
  <c r="Z18236" i="5"/>
  <c r="Z18235" i="5"/>
  <c r="Z18234" i="5"/>
  <c r="Z18233" i="5"/>
  <c r="Z18232" i="5"/>
  <c r="Z18231" i="5"/>
  <c r="Z18230" i="5"/>
  <c r="Z18229" i="5"/>
  <c r="Z18228" i="5"/>
  <c r="Z18227" i="5"/>
  <c r="Z18226" i="5"/>
  <c r="Z18225" i="5"/>
  <c r="Z18224" i="5"/>
  <c r="Z18223" i="5"/>
  <c r="Z18222" i="5"/>
  <c r="Z18221" i="5"/>
  <c r="Z18220" i="5"/>
  <c r="Z18219" i="5"/>
  <c r="Z18218" i="5"/>
  <c r="Z18217" i="5"/>
  <c r="Z18216" i="5"/>
  <c r="Z18215" i="5"/>
  <c r="Z18214" i="5"/>
  <c r="Z18213" i="5"/>
  <c r="Z18212" i="5"/>
  <c r="Z18211" i="5"/>
  <c r="Z18210" i="5"/>
  <c r="Z18209" i="5"/>
  <c r="Z18208" i="5"/>
  <c r="Z18207" i="5"/>
  <c r="Z18206" i="5"/>
  <c r="Z18205" i="5"/>
  <c r="Z18204" i="5"/>
  <c r="Z18203" i="5"/>
  <c r="Z18202" i="5"/>
  <c r="Z18201" i="5"/>
  <c r="Z18200" i="5"/>
  <c r="Z18199" i="5"/>
  <c r="Z18198" i="5"/>
  <c r="Z18197" i="5"/>
  <c r="Z18196" i="5"/>
  <c r="Z18195" i="5"/>
  <c r="Z18194" i="5"/>
  <c r="Z18193" i="5"/>
  <c r="Z18192" i="5"/>
  <c r="Z18191" i="5"/>
  <c r="Z18190" i="5"/>
  <c r="Z18189" i="5"/>
  <c r="Z18188" i="5"/>
  <c r="Z18187" i="5"/>
  <c r="Z18186" i="5"/>
  <c r="Z18185" i="5"/>
  <c r="Z18184" i="5"/>
  <c r="Z18183" i="5"/>
  <c r="Z18182" i="5"/>
  <c r="Z18181" i="5"/>
  <c r="Z18180" i="5"/>
  <c r="Z18179" i="5"/>
  <c r="Z18178" i="5"/>
  <c r="Z18177" i="5"/>
  <c r="Z18176" i="5"/>
  <c r="Z18175" i="5"/>
  <c r="Z18174" i="5"/>
  <c r="Z18173" i="5"/>
  <c r="Z18172" i="5"/>
  <c r="Z18171" i="5"/>
  <c r="Z18170" i="5"/>
  <c r="Z18169" i="5"/>
  <c r="Z18168" i="5"/>
  <c r="Z18167" i="5"/>
  <c r="Z18166" i="5"/>
  <c r="Z18165" i="5"/>
  <c r="Z18164" i="5"/>
  <c r="Z18163" i="5"/>
  <c r="Z18162" i="5"/>
  <c r="Z18161" i="5"/>
  <c r="Z18160" i="5"/>
  <c r="Z18159" i="5"/>
  <c r="Z18158" i="5"/>
  <c r="Z18157" i="5"/>
  <c r="Z18156" i="5"/>
  <c r="Z18155" i="5"/>
  <c r="Z18154" i="5"/>
  <c r="Z18153" i="5"/>
  <c r="Z18152" i="5"/>
  <c r="Z18151" i="5"/>
  <c r="Z18150" i="5"/>
  <c r="Z18149" i="5"/>
  <c r="Z18148" i="5"/>
  <c r="Z18147" i="5"/>
  <c r="Z18146" i="5"/>
  <c r="Z18145" i="5"/>
  <c r="Z18144" i="5"/>
  <c r="Z18143" i="5"/>
  <c r="Z18142" i="5"/>
  <c r="Z18141" i="5"/>
  <c r="Z18140" i="5"/>
  <c r="Z18139" i="5"/>
  <c r="Z18138" i="5"/>
  <c r="Z18137" i="5"/>
  <c r="Z18136" i="5"/>
  <c r="Z18135" i="5"/>
  <c r="Z18134" i="5"/>
  <c r="Z18133" i="5"/>
  <c r="Z18132" i="5"/>
  <c r="Z18131" i="5"/>
  <c r="Z18130" i="5"/>
  <c r="Z18129" i="5"/>
  <c r="Z18128" i="5"/>
  <c r="Z18127" i="5"/>
  <c r="Z18126" i="5"/>
  <c r="Z18125" i="5"/>
  <c r="Z18124" i="5"/>
  <c r="Z18123" i="5"/>
  <c r="Z18122" i="5"/>
  <c r="Z18121" i="5"/>
  <c r="Z18120" i="5"/>
  <c r="Z18119" i="5"/>
  <c r="Z18118" i="5"/>
  <c r="Z18117" i="5"/>
  <c r="Z18116" i="5"/>
  <c r="Z18115" i="5"/>
  <c r="Z18114" i="5"/>
  <c r="Z18113" i="5"/>
  <c r="Z18112" i="5"/>
  <c r="Z18111" i="5"/>
  <c r="Z18110" i="5"/>
  <c r="Z18109" i="5"/>
  <c r="Z18108" i="5"/>
  <c r="Z18107" i="5"/>
  <c r="Z18106" i="5"/>
  <c r="Z18105" i="5"/>
  <c r="Z18104" i="5"/>
  <c r="Z18103" i="5"/>
  <c r="Z18102" i="5"/>
  <c r="Z18101" i="5"/>
  <c r="Z18100" i="5"/>
  <c r="Z18099" i="5"/>
  <c r="Z18098" i="5"/>
  <c r="Z18097" i="5"/>
  <c r="Z18096" i="5"/>
  <c r="Z18095" i="5"/>
  <c r="Z18094" i="5"/>
  <c r="Z18093" i="5"/>
  <c r="Z18092" i="5"/>
  <c r="Z18091" i="5"/>
  <c r="Z18090" i="5"/>
  <c r="Z18089" i="5"/>
  <c r="Z18088" i="5"/>
  <c r="Z18087" i="5"/>
  <c r="Z18086" i="5"/>
  <c r="Z18085" i="5"/>
  <c r="Z18084" i="5"/>
  <c r="Z18083" i="5"/>
  <c r="Z18082" i="5"/>
  <c r="Z18081" i="5"/>
  <c r="Z18080" i="5"/>
  <c r="Z18079" i="5"/>
  <c r="Z18078" i="5"/>
  <c r="Z18077" i="5"/>
  <c r="Z18076" i="5"/>
  <c r="Z18075" i="5"/>
  <c r="Z18074" i="5"/>
  <c r="Z18073" i="5"/>
  <c r="Z18072" i="5"/>
  <c r="Z18071" i="5"/>
  <c r="Z18070" i="5"/>
  <c r="Z18069" i="5"/>
  <c r="Z18068" i="5"/>
  <c r="Z18067" i="5"/>
  <c r="Z18066" i="5"/>
  <c r="Z18065" i="5"/>
  <c r="Z18064" i="5"/>
  <c r="Z18063" i="5"/>
  <c r="Z18062" i="5"/>
  <c r="Z18061" i="5"/>
  <c r="Z18060" i="5"/>
  <c r="Z18059" i="5"/>
  <c r="Z18058" i="5"/>
  <c r="Z18057" i="5"/>
  <c r="Z18056" i="5"/>
  <c r="Z18055" i="5"/>
  <c r="Z18054" i="5"/>
  <c r="Z18053" i="5"/>
  <c r="Z18052" i="5"/>
  <c r="Z18051" i="5"/>
  <c r="Z18050" i="5"/>
  <c r="Z18049" i="5"/>
  <c r="Z18048" i="5"/>
  <c r="Z18047" i="5"/>
  <c r="Z18046" i="5"/>
  <c r="Z18045" i="5"/>
  <c r="Z18044" i="5"/>
  <c r="Z18043" i="5"/>
  <c r="Z18042" i="5"/>
  <c r="Z18041" i="5"/>
  <c r="Z18040" i="5"/>
  <c r="Z18039" i="5"/>
  <c r="Z18038" i="5"/>
  <c r="Z18037" i="5"/>
  <c r="Z18036" i="5"/>
  <c r="Z18035" i="5"/>
  <c r="Z18034" i="5"/>
  <c r="Z18033" i="5"/>
  <c r="Z18032" i="5"/>
  <c r="Z18031" i="5"/>
  <c r="Z18030" i="5"/>
  <c r="Z18029" i="5"/>
  <c r="Z18028" i="5"/>
  <c r="Z18027" i="5"/>
  <c r="Z18026" i="5"/>
  <c r="Z18025" i="5"/>
  <c r="Z18024" i="5"/>
  <c r="Z18023" i="5"/>
  <c r="Z18022" i="5"/>
  <c r="Z18021" i="5"/>
  <c r="Z18020" i="5"/>
  <c r="Z18019" i="5"/>
  <c r="Z18018" i="5"/>
  <c r="Z18017" i="5"/>
  <c r="Z18016" i="5"/>
  <c r="Z18015" i="5"/>
  <c r="Z18014" i="5"/>
  <c r="Z18013" i="5"/>
  <c r="Z18012" i="5"/>
  <c r="Z18011" i="5"/>
  <c r="Z18010" i="5"/>
  <c r="Z18009" i="5"/>
  <c r="Z18008" i="5"/>
  <c r="Z18007" i="5"/>
  <c r="Z18006" i="5"/>
  <c r="Z18005" i="5"/>
  <c r="Z18004" i="5"/>
  <c r="Z18003" i="5"/>
  <c r="Z18002" i="5"/>
  <c r="Z18001" i="5"/>
  <c r="Z18000" i="5"/>
  <c r="Z17999" i="5"/>
  <c r="Z17998" i="5"/>
  <c r="Z17997" i="5"/>
  <c r="Z17996" i="5"/>
  <c r="Z17995" i="5"/>
  <c r="Z17994" i="5"/>
  <c r="Z17993" i="5"/>
  <c r="Z17992" i="5"/>
  <c r="Z17991" i="5"/>
  <c r="Z17990" i="5"/>
  <c r="Z17989" i="5"/>
  <c r="Z17988" i="5"/>
  <c r="Z17987" i="5"/>
  <c r="Z17986" i="5"/>
  <c r="Z17985" i="5"/>
  <c r="Z17984" i="5"/>
  <c r="Z17983" i="5"/>
  <c r="Z17982" i="5"/>
  <c r="Z17981" i="5"/>
  <c r="Z17980" i="5"/>
  <c r="Z17979" i="5"/>
  <c r="Z17978" i="5"/>
  <c r="Z17977" i="5"/>
  <c r="Z17976" i="5"/>
  <c r="Z17975" i="5"/>
  <c r="Z17974" i="5"/>
  <c r="Z17973" i="5"/>
  <c r="Z17972" i="5"/>
  <c r="Z17971" i="5"/>
  <c r="Z17970" i="5"/>
  <c r="Z17969" i="5"/>
  <c r="Z17968" i="5"/>
  <c r="Z17967" i="5"/>
  <c r="Z17966" i="5"/>
  <c r="Z17965" i="5"/>
  <c r="Z17964" i="5"/>
  <c r="Z17963" i="5"/>
  <c r="Z17962" i="5"/>
  <c r="Z17961" i="5"/>
  <c r="Z17960" i="5"/>
  <c r="Z17959" i="5"/>
  <c r="Z17958" i="5"/>
  <c r="Z17957" i="5"/>
  <c r="Z17956" i="5"/>
  <c r="Z17955" i="5"/>
  <c r="Z17954" i="5"/>
  <c r="Z17953" i="5"/>
  <c r="Z17952" i="5"/>
  <c r="Z17951" i="5"/>
  <c r="Z17950" i="5"/>
  <c r="Z17949" i="5"/>
  <c r="Z17948" i="5"/>
  <c r="Z17947" i="5"/>
  <c r="Z17946" i="5"/>
  <c r="Z17945" i="5"/>
  <c r="Z17944" i="5"/>
  <c r="Z17943" i="5"/>
  <c r="Z17942" i="5"/>
  <c r="Z17941" i="5"/>
  <c r="Z17940" i="5"/>
  <c r="Z17939" i="5"/>
  <c r="Z17938" i="5"/>
  <c r="Z17937" i="5"/>
  <c r="Z17936" i="5"/>
  <c r="Z17935" i="5"/>
  <c r="Z17934" i="5"/>
  <c r="Z17933" i="5"/>
  <c r="Z17932" i="5"/>
  <c r="Z17931" i="5"/>
  <c r="Z17930" i="5"/>
  <c r="Z17929" i="5"/>
  <c r="Z17928" i="5"/>
  <c r="Z17927" i="5"/>
  <c r="Z17926" i="5"/>
  <c r="Z17925" i="5"/>
  <c r="Z17924" i="5"/>
  <c r="Z17923" i="5"/>
  <c r="Z17922" i="5"/>
  <c r="Z17921" i="5"/>
  <c r="Z17920" i="5"/>
  <c r="Z17919" i="5"/>
  <c r="Z17918" i="5"/>
  <c r="Z17917" i="5"/>
  <c r="Z17916" i="5"/>
  <c r="Z17915" i="5"/>
  <c r="Z17914" i="5"/>
  <c r="Z17913" i="5"/>
  <c r="Z17912" i="5"/>
  <c r="Z17911" i="5"/>
  <c r="Z17910" i="5"/>
  <c r="Z17909" i="5"/>
  <c r="Z17908" i="5"/>
  <c r="Z17907" i="5"/>
  <c r="Z17906" i="5"/>
  <c r="Z17905" i="5"/>
  <c r="Z17904" i="5"/>
  <c r="Z17903" i="5"/>
  <c r="Z17902" i="5"/>
  <c r="Z17901" i="5"/>
  <c r="Z17900" i="5"/>
  <c r="Z17899" i="5"/>
  <c r="Z17898" i="5"/>
  <c r="Z17897" i="5"/>
  <c r="Z17896" i="5"/>
  <c r="Z17895" i="5"/>
  <c r="Z17894" i="5"/>
  <c r="Z17893" i="5"/>
  <c r="Z17892" i="5"/>
  <c r="Z17891" i="5"/>
  <c r="Z17890" i="5"/>
  <c r="Z17889" i="5"/>
  <c r="Z17888" i="5"/>
  <c r="Z17887" i="5"/>
  <c r="Z17886" i="5"/>
  <c r="Z17885" i="5"/>
  <c r="Z17884" i="5"/>
  <c r="Z17883" i="5"/>
  <c r="Z17882" i="5"/>
  <c r="Z17881" i="5"/>
  <c r="Z17880" i="5"/>
  <c r="Z17879" i="5"/>
  <c r="Z17878" i="5"/>
  <c r="Z17877" i="5"/>
  <c r="Z17876" i="5"/>
  <c r="Z17875" i="5"/>
  <c r="Z17874" i="5"/>
  <c r="Z17873" i="5"/>
  <c r="Z17872" i="5"/>
  <c r="Z17871" i="5"/>
  <c r="Z17870" i="5"/>
  <c r="Z17869" i="5"/>
  <c r="Z17868" i="5"/>
  <c r="Z17867" i="5"/>
  <c r="Z17866" i="5"/>
  <c r="Z17865" i="5"/>
  <c r="Z17864" i="5"/>
  <c r="Z17863" i="5"/>
  <c r="Z17862" i="5"/>
  <c r="Z17861" i="5"/>
  <c r="Z17860" i="5"/>
  <c r="Z17859" i="5"/>
  <c r="Z17858" i="5"/>
  <c r="Z17857" i="5"/>
  <c r="Z17856" i="5"/>
  <c r="Z17855" i="5"/>
  <c r="Z17854" i="5"/>
  <c r="Z17853" i="5"/>
  <c r="Z17852" i="5"/>
  <c r="Z17851" i="5"/>
  <c r="Z17850" i="5"/>
  <c r="Z17849" i="5"/>
  <c r="Z17848" i="5"/>
  <c r="Z17847" i="5"/>
  <c r="Z17846" i="5"/>
  <c r="Z17845" i="5"/>
  <c r="Z17844" i="5"/>
  <c r="Z17843" i="5"/>
  <c r="Z17842" i="5"/>
  <c r="Z17841" i="5"/>
  <c r="Z17840" i="5"/>
  <c r="Z17839" i="5"/>
  <c r="Z17838" i="5"/>
  <c r="Z17837" i="5"/>
  <c r="Z17836" i="5"/>
  <c r="Z17835" i="5"/>
  <c r="Z17834" i="5"/>
  <c r="Z17833" i="5"/>
  <c r="Z17832" i="5"/>
  <c r="Z17831" i="5"/>
  <c r="Z17830" i="5"/>
  <c r="Z17829" i="5"/>
  <c r="Z17828" i="5"/>
  <c r="Z17827" i="5"/>
  <c r="Z17826" i="5"/>
  <c r="Z17825" i="5"/>
  <c r="Z17824" i="5"/>
  <c r="Z17823" i="5"/>
  <c r="Z17822" i="5"/>
  <c r="Z17821" i="5"/>
  <c r="Z17820" i="5"/>
  <c r="Z17819" i="5"/>
  <c r="Z17818" i="5"/>
  <c r="Z17817" i="5"/>
  <c r="Z17816" i="5"/>
  <c r="Z17815" i="5"/>
  <c r="Z17814" i="5"/>
  <c r="Z17813" i="5"/>
  <c r="Z17812" i="5"/>
  <c r="Z17811" i="5"/>
  <c r="Z17810" i="5"/>
  <c r="Z17809" i="5"/>
  <c r="Z17808" i="5"/>
  <c r="Z17807" i="5"/>
  <c r="Z17806" i="5"/>
  <c r="Z17805" i="5"/>
  <c r="Z17804" i="5"/>
  <c r="Z17803" i="5"/>
  <c r="Z17802" i="5"/>
  <c r="Z17801" i="5"/>
  <c r="Z17800" i="5"/>
  <c r="Z17799" i="5"/>
  <c r="Z17798" i="5"/>
  <c r="Z17797" i="5"/>
  <c r="Z17796" i="5"/>
  <c r="Z17795" i="5"/>
  <c r="Z17794" i="5"/>
  <c r="Z17793" i="5"/>
  <c r="Z17792" i="5"/>
  <c r="Z17791" i="5"/>
  <c r="Z17790" i="5"/>
  <c r="Z17789" i="5"/>
  <c r="Z17788" i="5"/>
  <c r="Z17787" i="5"/>
  <c r="Z17786" i="5"/>
  <c r="Z17785" i="5"/>
  <c r="Z17784" i="5"/>
  <c r="Z17783" i="5"/>
  <c r="Z17782" i="5"/>
  <c r="Z17781" i="5"/>
  <c r="Z17780" i="5"/>
  <c r="Z17779" i="5"/>
  <c r="Z17778" i="5"/>
  <c r="Z17777" i="5"/>
  <c r="Z17776" i="5"/>
  <c r="Z17775" i="5"/>
  <c r="Z17774" i="5"/>
  <c r="Z17773" i="5"/>
  <c r="Z17772" i="5"/>
  <c r="Z17771" i="5"/>
  <c r="Z17770" i="5"/>
  <c r="Z17769" i="5"/>
  <c r="Z17768" i="5"/>
  <c r="Z17767" i="5"/>
  <c r="Z17766" i="5"/>
  <c r="Z17765" i="5"/>
  <c r="Z17764" i="5"/>
  <c r="Z17763" i="5"/>
  <c r="Z17762" i="5"/>
  <c r="Z17761" i="5"/>
  <c r="Z17760" i="5"/>
  <c r="Z17759" i="5"/>
  <c r="Z17758" i="5"/>
  <c r="Z17757" i="5"/>
  <c r="Z17756" i="5"/>
  <c r="Z17755" i="5"/>
  <c r="Z17754" i="5"/>
  <c r="Z17753" i="5"/>
  <c r="Z17752" i="5"/>
  <c r="Z17751" i="5"/>
  <c r="Z17750" i="5"/>
  <c r="Z17749" i="5"/>
  <c r="Z17748" i="5"/>
  <c r="Z17747" i="5"/>
  <c r="Z17746" i="5"/>
  <c r="Z17745" i="5"/>
  <c r="Z17744" i="5"/>
  <c r="Z17743" i="5"/>
  <c r="Z17742" i="5"/>
  <c r="Z17741" i="5"/>
  <c r="Z17740" i="5"/>
  <c r="Z17739" i="5"/>
  <c r="Z17738" i="5"/>
  <c r="Z17737" i="5"/>
  <c r="Z17736" i="5"/>
  <c r="Z17735" i="5"/>
  <c r="Z17734" i="5"/>
  <c r="Z17733" i="5"/>
  <c r="Z17732" i="5"/>
  <c r="Z17731" i="5"/>
  <c r="Z17730" i="5"/>
  <c r="Z17729" i="5"/>
  <c r="Z17728" i="5"/>
  <c r="Z17727" i="5"/>
  <c r="Z17726" i="5"/>
  <c r="Z17725" i="5"/>
  <c r="Z17724" i="5"/>
  <c r="Z17723" i="5"/>
  <c r="Z17722" i="5"/>
  <c r="Z17721" i="5"/>
  <c r="Z17720" i="5"/>
  <c r="Z17719" i="5"/>
  <c r="Z17718" i="5"/>
  <c r="Z17717" i="5"/>
  <c r="Z17716" i="5"/>
  <c r="Z17715" i="5"/>
  <c r="Z17714" i="5"/>
  <c r="Z17713" i="5"/>
  <c r="Z17712" i="5"/>
  <c r="Z17711" i="5"/>
  <c r="Z17710" i="5"/>
  <c r="Z17709" i="5"/>
  <c r="Z17708" i="5"/>
  <c r="Z17707" i="5"/>
  <c r="Z17706" i="5"/>
  <c r="Z17705" i="5"/>
  <c r="Z17704" i="5"/>
  <c r="Z17703" i="5"/>
  <c r="Z17702" i="5"/>
  <c r="Z17701" i="5"/>
  <c r="Z17700" i="5"/>
  <c r="Z17699" i="5"/>
  <c r="Z17698" i="5"/>
  <c r="Z17697" i="5"/>
  <c r="Z17696" i="5"/>
  <c r="Z17695" i="5"/>
  <c r="Z17694" i="5"/>
  <c r="Z17693" i="5"/>
  <c r="Z17692" i="5"/>
  <c r="Z17691" i="5"/>
  <c r="Z17690" i="5"/>
  <c r="Z17689" i="5"/>
  <c r="Z17688" i="5"/>
  <c r="Z17687" i="5"/>
  <c r="Z17686" i="5"/>
  <c r="Z17685" i="5"/>
  <c r="Z17684" i="5"/>
  <c r="Z17683" i="5"/>
  <c r="Z17682" i="5"/>
  <c r="Z17681" i="5"/>
  <c r="Z17680" i="5"/>
  <c r="Z17679" i="5"/>
  <c r="Z17678" i="5"/>
  <c r="Z17677" i="5"/>
  <c r="Z17676" i="5"/>
  <c r="Z17675" i="5"/>
  <c r="Z17674" i="5"/>
  <c r="Z17673" i="5"/>
  <c r="Z17672" i="5"/>
  <c r="Z17671" i="5"/>
  <c r="Z17670" i="5"/>
  <c r="Z17669" i="5"/>
  <c r="Z17668" i="5"/>
  <c r="Z17667" i="5"/>
  <c r="Z17666" i="5"/>
  <c r="Z17665" i="5"/>
  <c r="Z17664" i="5"/>
  <c r="Z17663" i="5"/>
  <c r="Z17662" i="5"/>
  <c r="Z17661" i="5"/>
  <c r="Z17660" i="5"/>
  <c r="Z17659" i="5"/>
  <c r="Z17658" i="5"/>
  <c r="Z17657" i="5"/>
  <c r="Z17656" i="5"/>
  <c r="Z17655" i="5"/>
  <c r="Z17654" i="5"/>
  <c r="Z17653" i="5"/>
  <c r="Z17652" i="5"/>
  <c r="Z17651" i="5"/>
  <c r="Z17650" i="5"/>
  <c r="Z17649" i="5"/>
  <c r="Z17648" i="5"/>
  <c r="Z17647" i="5"/>
  <c r="Z17646" i="5"/>
  <c r="Z17645" i="5"/>
  <c r="Z17644" i="5"/>
  <c r="Z17643" i="5"/>
  <c r="Z17642" i="5"/>
  <c r="Z17641" i="5"/>
  <c r="Z17640" i="5"/>
  <c r="Z17639" i="5"/>
  <c r="Z17638" i="5"/>
  <c r="Z17637" i="5"/>
  <c r="Z17636" i="5"/>
  <c r="Z17635" i="5"/>
  <c r="Z17634" i="5"/>
  <c r="Z17633" i="5"/>
  <c r="Z17632" i="5"/>
  <c r="Z17631" i="5"/>
  <c r="Z17630" i="5"/>
  <c r="Z17629" i="5"/>
  <c r="Z17628" i="5"/>
  <c r="Z17627" i="5"/>
  <c r="Z17626" i="5"/>
  <c r="Z17625" i="5"/>
  <c r="Z17624" i="5"/>
  <c r="Z17623" i="5"/>
  <c r="Z17622" i="5"/>
  <c r="Z17621" i="5"/>
  <c r="Z17620" i="5"/>
  <c r="Z17619" i="5"/>
  <c r="Z17618" i="5"/>
  <c r="Z17617" i="5"/>
  <c r="Z17616" i="5"/>
  <c r="Z17615" i="5"/>
  <c r="Z17614" i="5"/>
  <c r="Z17613" i="5"/>
  <c r="Z17612" i="5"/>
  <c r="Z17611" i="5"/>
  <c r="Z17610" i="5"/>
  <c r="Z17609" i="5"/>
  <c r="Z17608" i="5"/>
  <c r="Z17607" i="5"/>
  <c r="Z17606" i="5"/>
  <c r="Z17605" i="5"/>
  <c r="Z17604" i="5"/>
  <c r="Z17603" i="5"/>
  <c r="Z17602" i="5"/>
  <c r="Z17601" i="5"/>
  <c r="Z17600" i="5"/>
  <c r="Z17599" i="5"/>
  <c r="Z17598" i="5"/>
  <c r="Z17597" i="5"/>
  <c r="Z17596" i="5"/>
  <c r="Z17595" i="5"/>
  <c r="Z17594" i="5"/>
  <c r="Z17593" i="5"/>
  <c r="Z17592" i="5"/>
  <c r="Z17591" i="5"/>
  <c r="Z17590" i="5"/>
  <c r="Z17589" i="5"/>
  <c r="Z17588" i="5"/>
  <c r="Z17587" i="5"/>
  <c r="Z17586" i="5"/>
  <c r="Z17585" i="5"/>
  <c r="Z17584" i="5"/>
  <c r="Z17583" i="5"/>
  <c r="Z17582" i="5"/>
  <c r="Z17581" i="5"/>
  <c r="Z17580" i="5"/>
  <c r="Z17579" i="5"/>
  <c r="Z17578" i="5"/>
  <c r="Z17577" i="5"/>
  <c r="Z17576" i="5"/>
  <c r="Z17575" i="5"/>
  <c r="Z17574" i="5"/>
  <c r="Z17573" i="5"/>
  <c r="Z17572" i="5"/>
  <c r="Z17571" i="5"/>
  <c r="Z17570" i="5"/>
  <c r="Z17569" i="5"/>
  <c r="Z17568" i="5"/>
  <c r="Z17567" i="5"/>
  <c r="Z17566" i="5"/>
  <c r="Z17565" i="5"/>
  <c r="Z17564" i="5"/>
  <c r="Z17563" i="5"/>
  <c r="Z17562" i="5"/>
  <c r="Z17561" i="5"/>
  <c r="Z17560" i="5"/>
  <c r="Z17559" i="5"/>
  <c r="Z17558" i="5"/>
  <c r="Z17557" i="5"/>
  <c r="Z17556" i="5"/>
  <c r="Z17555" i="5"/>
  <c r="Z17554" i="5"/>
  <c r="Z17553" i="5"/>
  <c r="Z17552" i="5"/>
  <c r="Z17551" i="5"/>
  <c r="Z17550" i="5"/>
  <c r="Z17549" i="5"/>
  <c r="Z17548" i="5"/>
  <c r="Z17547" i="5"/>
  <c r="Z17546" i="5"/>
  <c r="Z17545" i="5"/>
  <c r="Z17544" i="5"/>
  <c r="Z17543" i="5"/>
  <c r="Z17542" i="5"/>
  <c r="Z17541" i="5"/>
  <c r="Z17540" i="5"/>
  <c r="Z17539" i="5"/>
  <c r="Z17538" i="5"/>
  <c r="Z17537" i="5"/>
  <c r="Z17536" i="5"/>
  <c r="Z17535" i="5"/>
  <c r="Z17534" i="5"/>
  <c r="Z17533" i="5"/>
  <c r="Z17532" i="5"/>
  <c r="Z17531" i="5"/>
  <c r="Z17530" i="5"/>
  <c r="Z17529" i="5"/>
  <c r="Z17528" i="5"/>
  <c r="Z17527" i="5"/>
  <c r="Z17526" i="5"/>
  <c r="Z17525" i="5"/>
  <c r="Z17524" i="5"/>
  <c r="Z17523" i="5"/>
  <c r="Z17522" i="5"/>
  <c r="Z17521" i="5"/>
  <c r="Z17520" i="5"/>
  <c r="Z17519" i="5"/>
  <c r="Z17518" i="5"/>
  <c r="Z17517" i="5"/>
  <c r="Z17516" i="5"/>
  <c r="Z17515" i="5"/>
  <c r="Z17514" i="5"/>
  <c r="Z17513" i="5"/>
  <c r="Z17512" i="5"/>
  <c r="Z17511" i="5"/>
  <c r="Z17510" i="5"/>
  <c r="Z17509" i="5"/>
  <c r="Z17508" i="5"/>
  <c r="Z17507" i="5"/>
  <c r="Z17506" i="5"/>
  <c r="Z17505" i="5"/>
  <c r="Z17504" i="5"/>
  <c r="Z17503" i="5"/>
  <c r="Z17502" i="5"/>
  <c r="Z17501" i="5"/>
  <c r="Z17500" i="5"/>
  <c r="Z17499" i="5"/>
  <c r="Z17498" i="5"/>
  <c r="Z17497" i="5"/>
  <c r="Z17496" i="5"/>
  <c r="Z17495" i="5"/>
  <c r="Z17494" i="5"/>
  <c r="Z17493" i="5"/>
  <c r="Z17492" i="5"/>
  <c r="Z17491" i="5"/>
  <c r="Z17490" i="5"/>
  <c r="Z17489" i="5"/>
  <c r="Z17488" i="5"/>
  <c r="Z17487" i="5"/>
  <c r="Z17486" i="5"/>
  <c r="Z17485" i="5"/>
  <c r="Z17484" i="5"/>
  <c r="Z17483" i="5"/>
  <c r="Z17482" i="5"/>
  <c r="Z17481" i="5"/>
  <c r="Z17480" i="5"/>
  <c r="Z17479" i="5"/>
  <c r="Z17478" i="5"/>
  <c r="Z17477" i="5"/>
  <c r="Z17476" i="5"/>
  <c r="Z17475" i="5"/>
  <c r="Z17474" i="5"/>
  <c r="Z17473" i="5"/>
  <c r="Z17472" i="5"/>
  <c r="Z17471" i="5"/>
  <c r="Z17470" i="5"/>
  <c r="Z17469" i="5"/>
  <c r="Z17468" i="5"/>
  <c r="Z17467" i="5"/>
  <c r="Z17466" i="5"/>
  <c r="Z17465" i="5"/>
  <c r="Z17464" i="5"/>
  <c r="Z17463" i="5"/>
  <c r="Z17462" i="5"/>
  <c r="Z17461" i="5"/>
  <c r="Z17460" i="5"/>
  <c r="Z17459" i="5"/>
  <c r="Z17458" i="5"/>
  <c r="Z17457" i="5"/>
  <c r="Z17456" i="5"/>
  <c r="Z17455" i="5"/>
  <c r="Z17454" i="5"/>
  <c r="Z17453" i="5"/>
  <c r="Z17452" i="5"/>
  <c r="Z17451" i="5"/>
  <c r="Z17450" i="5"/>
  <c r="Z17449" i="5"/>
  <c r="Z17448" i="5"/>
  <c r="Z17447" i="5"/>
  <c r="Z17446" i="5"/>
  <c r="Z17445" i="5"/>
  <c r="Z17444" i="5"/>
  <c r="Z17443" i="5"/>
  <c r="Z17442" i="5"/>
  <c r="Z17441" i="5"/>
  <c r="Z17440" i="5"/>
  <c r="Z17439" i="5"/>
  <c r="Z17438" i="5"/>
  <c r="Z17437" i="5"/>
  <c r="Z17436" i="5"/>
  <c r="Z17435" i="5"/>
  <c r="Z17434" i="5"/>
  <c r="Z17433" i="5"/>
  <c r="Z17432" i="5"/>
  <c r="Z17431" i="5"/>
  <c r="Z17430" i="5"/>
  <c r="Z17429" i="5"/>
  <c r="Z17428" i="5"/>
  <c r="Z17427" i="5"/>
  <c r="Z17426" i="5"/>
  <c r="Z17425" i="5"/>
  <c r="Z17424" i="5"/>
  <c r="Z17423" i="5"/>
  <c r="Z17422" i="5"/>
  <c r="Z17421" i="5"/>
  <c r="Z17420" i="5"/>
  <c r="Z17419" i="5"/>
  <c r="Z17418" i="5"/>
  <c r="Z17417" i="5"/>
  <c r="Z17416" i="5"/>
  <c r="Z17415" i="5"/>
  <c r="Z17414" i="5"/>
  <c r="Z17413" i="5"/>
  <c r="Z17412" i="5"/>
  <c r="Z17411" i="5"/>
  <c r="Z17410" i="5"/>
  <c r="Z17409" i="5"/>
  <c r="Z17408" i="5"/>
  <c r="Z17407" i="5"/>
  <c r="Z17406" i="5"/>
  <c r="Z17405" i="5"/>
  <c r="Z17404" i="5"/>
  <c r="Z17403" i="5"/>
  <c r="Z17402" i="5"/>
  <c r="Z17401" i="5"/>
  <c r="Z17400" i="5"/>
  <c r="Z17399" i="5"/>
  <c r="Z17398" i="5"/>
  <c r="Z17397" i="5"/>
  <c r="Z17396" i="5"/>
  <c r="Z17395" i="5"/>
  <c r="Z17394" i="5"/>
  <c r="Z17393" i="5"/>
  <c r="Z17392" i="5"/>
  <c r="Z17391" i="5"/>
  <c r="Z17390" i="5"/>
  <c r="Z17389" i="5"/>
  <c r="Z17388" i="5"/>
  <c r="Z17387" i="5"/>
  <c r="Z17386" i="5"/>
  <c r="Z17385" i="5"/>
  <c r="Z17384" i="5"/>
  <c r="Z17383" i="5"/>
  <c r="Z17382" i="5"/>
  <c r="Z17381" i="5"/>
  <c r="Z17380" i="5"/>
  <c r="Z17379" i="5"/>
  <c r="Z17378" i="5"/>
  <c r="Z17377" i="5"/>
  <c r="Z17376" i="5"/>
  <c r="Z17375" i="5"/>
  <c r="Z17374" i="5"/>
  <c r="Z17373" i="5"/>
  <c r="Z17372" i="5"/>
  <c r="Z17371" i="5"/>
  <c r="Z17370" i="5"/>
  <c r="Z17369" i="5"/>
  <c r="Z17368" i="5"/>
  <c r="Z17367" i="5"/>
  <c r="Z17366" i="5"/>
  <c r="Z17365" i="5"/>
  <c r="Z17364" i="5"/>
  <c r="Z17363" i="5"/>
  <c r="Z17362" i="5"/>
  <c r="Z17361" i="5"/>
  <c r="Z17360" i="5"/>
  <c r="Z17359" i="5"/>
  <c r="Z17358" i="5"/>
  <c r="Z17357" i="5"/>
  <c r="Z17356" i="5"/>
  <c r="Z17355" i="5"/>
  <c r="Z17354" i="5"/>
  <c r="Z17353" i="5"/>
  <c r="Z17352" i="5"/>
  <c r="Z17351" i="5"/>
  <c r="Z17350" i="5"/>
  <c r="Z17349" i="5"/>
  <c r="Z17348" i="5"/>
  <c r="Z17347" i="5"/>
  <c r="Z17346" i="5"/>
  <c r="Z17345" i="5"/>
  <c r="Z17344" i="5"/>
  <c r="Z17343" i="5"/>
  <c r="Z17342" i="5"/>
  <c r="Z17341" i="5"/>
  <c r="Z17340" i="5"/>
  <c r="Z17339" i="5"/>
  <c r="Z17338" i="5"/>
  <c r="Z17337" i="5"/>
  <c r="Z17336" i="5"/>
  <c r="Z17335" i="5"/>
  <c r="Z17334" i="5"/>
  <c r="Z17333" i="5"/>
  <c r="Z17332" i="5"/>
  <c r="Z17331" i="5"/>
  <c r="Z17330" i="5"/>
  <c r="Z17329" i="5"/>
  <c r="Z17328" i="5"/>
  <c r="Z17327" i="5"/>
  <c r="Z17326" i="5"/>
  <c r="Z17325" i="5"/>
  <c r="Z17324" i="5"/>
  <c r="Z17323" i="5"/>
  <c r="Z17322" i="5"/>
  <c r="Z17321" i="5"/>
  <c r="Z17320" i="5"/>
  <c r="Z17319" i="5"/>
  <c r="Z17318" i="5"/>
  <c r="Z17317" i="5"/>
  <c r="Z17316" i="5"/>
  <c r="Z17315" i="5"/>
  <c r="Z17314" i="5"/>
  <c r="Z17313" i="5"/>
  <c r="Z17312" i="5"/>
  <c r="Z17311" i="5"/>
  <c r="Z17310" i="5"/>
  <c r="Z17309" i="5"/>
  <c r="Z17308" i="5"/>
  <c r="Z17307" i="5"/>
  <c r="Z17306" i="5"/>
  <c r="Z17305" i="5"/>
  <c r="Z17304" i="5"/>
  <c r="Z17303" i="5"/>
  <c r="Z17302" i="5"/>
  <c r="Z17301" i="5"/>
  <c r="Z17300" i="5"/>
  <c r="Z17299" i="5"/>
  <c r="Z17298" i="5"/>
  <c r="Z17297" i="5"/>
  <c r="Z17296" i="5"/>
  <c r="Z17295" i="5"/>
  <c r="Z17294" i="5"/>
  <c r="Z17293" i="5"/>
  <c r="Z17292" i="5"/>
  <c r="Z17291" i="5"/>
  <c r="Z17290" i="5"/>
  <c r="Z17289" i="5"/>
  <c r="Z17288" i="5"/>
  <c r="Z17287" i="5"/>
  <c r="Z17286" i="5"/>
  <c r="Z17285" i="5"/>
  <c r="Z17284" i="5"/>
  <c r="Z17283" i="5"/>
  <c r="Z17282" i="5"/>
  <c r="Z17281" i="5"/>
  <c r="Z17280" i="5"/>
  <c r="Z17279" i="5"/>
  <c r="Z17278" i="5"/>
  <c r="Z17277" i="5"/>
  <c r="Z17276" i="5"/>
  <c r="Z17275" i="5"/>
  <c r="Z17274" i="5"/>
  <c r="Z17273" i="5"/>
  <c r="Z17272" i="5"/>
  <c r="Z17271" i="5"/>
  <c r="Z17270" i="5"/>
  <c r="Z17269" i="5"/>
  <c r="Z17268" i="5"/>
  <c r="Z17267" i="5"/>
  <c r="Z17266" i="5"/>
  <c r="Z17265" i="5"/>
  <c r="Z17264" i="5"/>
  <c r="Z17263" i="5"/>
  <c r="Z17262" i="5"/>
  <c r="Z17261" i="5"/>
  <c r="Z17260" i="5"/>
  <c r="Z17259" i="5"/>
  <c r="Z17258" i="5"/>
  <c r="Z17257" i="5"/>
  <c r="Z17256" i="5"/>
  <c r="Z17255" i="5"/>
  <c r="Z17254" i="5"/>
  <c r="Z17253" i="5"/>
  <c r="Z17252" i="5"/>
  <c r="Z17251" i="5"/>
  <c r="Z17250" i="5"/>
  <c r="Z17249" i="5"/>
  <c r="Z17248" i="5"/>
  <c r="Z17247" i="5"/>
  <c r="Z17246" i="5"/>
  <c r="Z17245" i="5"/>
  <c r="Z17244" i="5"/>
  <c r="Z17243" i="5"/>
  <c r="Z17242" i="5"/>
  <c r="Z17241" i="5"/>
  <c r="Z17240" i="5"/>
  <c r="Z17239" i="5"/>
  <c r="Z17238" i="5"/>
  <c r="Z17237" i="5"/>
  <c r="Z17236" i="5"/>
  <c r="Z17235" i="5"/>
  <c r="Z17234" i="5"/>
  <c r="Z17233" i="5"/>
  <c r="Z17232" i="5"/>
  <c r="Z17231" i="5"/>
  <c r="Z17230" i="5"/>
  <c r="Z17229" i="5"/>
  <c r="Z17228" i="5"/>
  <c r="Z17227" i="5"/>
  <c r="Z17226" i="5"/>
  <c r="Z17225" i="5"/>
  <c r="Z17224" i="5"/>
  <c r="Z17223" i="5"/>
  <c r="Z17222" i="5"/>
  <c r="Z17221" i="5"/>
  <c r="Z17220" i="5"/>
  <c r="Z17219" i="5"/>
  <c r="Z17218" i="5"/>
  <c r="Z17217" i="5"/>
  <c r="Z17216" i="5"/>
  <c r="Z17215" i="5"/>
  <c r="Z17214" i="5"/>
  <c r="Z17213" i="5"/>
  <c r="Z17212" i="5"/>
  <c r="Z17211" i="5"/>
  <c r="Z17210" i="5"/>
  <c r="Z17209" i="5"/>
  <c r="Z17208" i="5"/>
  <c r="Z17207" i="5"/>
  <c r="Z17206" i="5"/>
  <c r="Z17205" i="5"/>
  <c r="Z17204" i="5"/>
  <c r="Z17203" i="5"/>
  <c r="Z17202" i="5"/>
  <c r="Z17201" i="5"/>
  <c r="Z17200" i="5"/>
  <c r="Z17199" i="5"/>
  <c r="Z17198" i="5"/>
  <c r="Z17197" i="5"/>
  <c r="Z17196" i="5"/>
  <c r="Z17195" i="5"/>
  <c r="Z17194" i="5"/>
  <c r="Z17193" i="5"/>
  <c r="Z17192" i="5"/>
  <c r="Z17191" i="5"/>
  <c r="Z17190" i="5"/>
  <c r="Z17189" i="5"/>
  <c r="Z17188" i="5"/>
  <c r="Z17187" i="5"/>
  <c r="Z17186" i="5"/>
  <c r="Z17185" i="5"/>
  <c r="Z17184" i="5"/>
  <c r="Z17183" i="5"/>
  <c r="Z17182" i="5"/>
  <c r="Z17181" i="5"/>
  <c r="Z17180" i="5"/>
  <c r="Z17179" i="5"/>
  <c r="Z17178" i="5"/>
  <c r="Z17177" i="5"/>
  <c r="Z17176" i="5"/>
  <c r="Z17175" i="5"/>
  <c r="Z17174" i="5"/>
  <c r="Z17173" i="5"/>
  <c r="Z17172" i="5"/>
  <c r="Z17171" i="5"/>
  <c r="Z17170" i="5"/>
  <c r="Z17169" i="5"/>
  <c r="Z17168" i="5"/>
  <c r="Z17167" i="5"/>
  <c r="Z17166" i="5"/>
  <c r="Z17165" i="5"/>
  <c r="Z17164" i="5"/>
  <c r="Z17163" i="5"/>
  <c r="Z17162" i="5"/>
  <c r="Z17161" i="5"/>
  <c r="Z17160" i="5"/>
  <c r="Z17159" i="5"/>
  <c r="Z17158" i="5"/>
  <c r="Z17157" i="5"/>
  <c r="Z17156" i="5"/>
  <c r="Z17155" i="5"/>
  <c r="Z17154" i="5"/>
  <c r="Z17153" i="5"/>
  <c r="Z17152" i="5"/>
  <c r="Z17151" i="5"/>
  <c r="Z17150" i="5"/>
  <c r="Z17149" i="5"/>
  <c r="Z17148" i="5"/>
  <c r="Z17147" i="5"/>
  <c r="Z17146" i="5"/>
  <c r="Z17145" i="5"/>
  <c r="Z17144" i="5"/>
  <c r="Z17143" i="5"/>
  <c r="Z17142" i="5"/>
  <c r="Z17141" i="5"/>
  <c r="Z17140" i="5"/>
  <c r="Z17139" i="5"/>
  <c r="Z17138" i="5"/>
  <c r="Z17137" i="5"/>
  <c r="Z17136" i="5"/>
  <c r="Z17135" i="5"/>
  <c r="Z17134" i="5"/>
  <c r="Z17133" i="5"/>
  <c r="Z17132" i="5"/>
  <c r="Z17131" i="5"/>
  <c r="Z17130" i="5"/>
  <c r="Z17129" i="5"/>
  <c r="Z17128" i="5"/>
  <c r="Z17127" i="5"/>
  <c r="Z17126" i="5"/>
  <c r="Z17125" i="5"/>
  <c r="Z17124" i="5"/>
  <c r="Z17123" i="5"/>
  <c r="Z17122" i="5"/>
  <c r="Z17121" i="5"/>
  <c r="Z17120" i="5"/>
  <c r="Z17119" i="5"/>
  <c r="Z17118" i="5"/>
  <c r="Z17117" i="5"/>
  <c r="Z17116" i="5"/>
  <c r="Z17115" i="5"/>
  <c r="Z17114" i="5"/>
  <c r="Z17113" i="5"/>
  <c r="Z17112" i="5"/>
  <c r="Z17111" i="5"/>
  <c r="Z17110" i="5"/>
  <c r="Z17109" i="5"/>
  <c r="Z17108" i="5"/>
  <c r="Z17107" i="5"/>
  <c r="Z17106" i="5"/>
  <c r="Z17105" i="5"/>
  <c r="Z17104" i="5"/>
  <c r="Z17103" i="5"/>
  <c r="Z17102" i="5"/>
  <c r="Z17101" i="5"/>
  <c r="Z17100" i="5"/>
  <c r="Z17099" i="5"/>
  <c r="Z17098" i="5"/>
  <c r="Z17097" i="5"/>
  <c r="Z17096" i="5"/>
  <c r="Z17095" i="5"/>
  <c r="Z17094" i="5"/>
  <c r="Z17093" i="5"/>
  <c r="Z17092" i="5"/>
  <c r="Z17091" i="5"/>
  <c r="Z17090" i="5"/>
  <c r="Z17089" i="5"/>
  <c r="Z17088" i="5"/>
  <c r="Z17087" i="5"/>
  <c r="Z17086" i="5"/>
  <c r="Z17085" i="5"/>
  <c r="Z17084" i="5"/>
  <c r="Z17083" i="5"/>
  <c r="Z17082" i="5"/>
  <c r="Z17081" i="5"/>
  <c r="Z17080" i="5"/>
  <c r="Z17079" i="5"/>
  <c r="Z17078" i="5"/>
  <c r="Z17077" i="5"/>
  <c r="Z17076" i="5"/>
  <c r="Z17075" i="5"/>
  <c r="Z17074" i="5"/>
  <c r="Z17073" i="5"/>
  <c r="Z17072" i="5"/>
  <c r="Z17071" i="5"/>
  <c r="Z17070" i="5"/>
  <c r="Z17069" i="5"/>
  <c r="Z17068" i="5"/>
  <c r="Z17067" i="5"/>
  <c r="Z17066" i="5"/>
  <c r="Z17065" i="5"/>
  <c r="Z17064" i="5"/>
  <c r="Z17063" i="5"/>
  <c r="Z17062" i="5"/>
  <c r="Z17061" i="5"/>
  <c r="Z17060" i="5"/>
  <c r="Z17059" i="5"/>
  <c r="Z17058" i="5"/>
  <c r="Z17057" i="5"/>
  <c r="Z17056" i="5"/>
  <c r="Z17055" i="5"/>
  <c r="Z17054" i="5"/>
  <c r="Z17053" i="5"/>
  <c r="Z17052" i="5"/>
  <c r="Z17051" i="5"/>
  <c r="Z17050" i="5"/>
  <c r="Z17049" i="5"/>
  <c r="Z17048" i="5"/>
  <c r="Z17047" i="5"/>
  <c r="Z17046" i="5"/>
  <c r="Z17045" i="5"/>
  <c r="Z17044" i="5"/>
  <c r="Z17043" i="5"/>
  <c r="Z17042" i="5"/>
  <c r="Z17041" i="5"/>
  <c r="Z17040" i="5"/>
  <c r="Z17039" i="5"/>
  <c r="Z17038" i="5"/>
  <c r="Z17037" i="5"/>
  <c r="Z17036" i="5"/>
  <c r="Z17035" i="5"/>
  <c r="Z17034" i="5"/>
  <c r="Z17033" i="5"/>
  <c r="Z17032" i="5"/>
  <c r="Z17031" i="5"/>
  <c r="Z17030" i="5"/>
  <c r="Z17029" i="5"/>
  <c r="Z17028" i="5"/>
  <c r="Z17027" i="5"/>
  <c r="Z17026" i="5"/>
  <c r="Z17025" i="5"/>
  <c r="Z17024" i="5"/>
  <c r="Z17023" i="5"/>
  <c r="Z17022" i="5"/>
  <c r="Z17021" i="5"/>
  <c r="Z17020" i="5"/>
  <c r="Z17019" i="5"/>
  <c r="Z17018" i="5"/>
  <c r="Z17017" i="5"/>
  <c r="Z17016" i="5"/>
  <c r="Z17015" i="5"/>
  <c r="Z17014" i="5"/>
  <c r="Z17013" i="5"/>
  <c r="Z17012" i="5"/>
  <c r="Z17011" i="5"/>
  <c r="Z17010" i="5"/>
  <c r="Z17009" i="5"/>
  <c r="Z17008" i="5"/>
  <c r="Z17007" i="5"/>
  <c r="Z17006" i="5"/>
  <c r="Z17005" i="5"/>
  <c r="Z17004" i="5"/>
  <c r="Z17003" i="5"/>
  <c r="Z17002" i="5"/>
  <c r="Z17001" i="5"/>
  <c r="Z17000" i="5"/>
  <c r="Z16999" i="5"/>
  <c r="Z16998" i="5"/>
  <c r="Z16997" i="5"/>
  <c r="Z16996" i="5"/>
  <c r="Z16995" i="5"/>
  <c r="Z16994" i="5"/>
  <c r="Z16993" i="5"/>
  <c r="Z16992" i="5"/>
  <c r="Z16991" i="5"/>
  <c r="Z16990" i="5"/>
  <c r="Z16989" i="5"/>
  <c r="Z16988" i="5"/>
  <c r="Z16987" i="5"/>
  <c r="Z16986" i="5"/>
  <c r="Z16985" i="5"/>
  <c r="Z16984" i="5"/>
  <c r="Z16983" i="5"/>
  <c r="Z16982" i="5"/>
  <c r="Z16981" i="5"/>
  <c r="Z16980" i="5"/>
  <c r="Z16979" i="5"/>
  <c r="Z16978" i="5"/>
  <c r="Z16977" i="5"/>
  <c r="Z16976" i="5"/>
  <c r="Z16975" i="5"/>
  <c r="Z16974" i="5"/>
  <c r="Z16973" i="5"/>
  <c r="Z16972" i="5"/>
  <c r="Z16971" i="5"/>
  <c r="Z16970" i="5"/>
  <c r="Z16969" i="5"/>
  <c r="Z16968" i="5"/>
  <c r="Z16967" i="5"/>
  <c r="Z16966" i="5"/>
  <c r="Z16965" i="5"/>
  <c r="Z16964" i="5"/>
  <c r="Z16963" i="5"/>
  <c r="Z16962" i="5"/>
  <c r="Z16961" i="5"/>
  <c r="Z16960" i="5"/>
  <c r="Z16959" i="5"/>
  <c r="Z16958" i="5"/>
  <c r="Z16957" i="5"/>
  <c r="Z16956" i="5"/>
  <c r="Z16955" i="5"/>
  <c r="Z16954" i="5"/>
  <c r="Z16953" i="5"/>
  <c r="Z16952" i="5"/>
  <c r="Z16951" i="5"/>
  <c r="Z16950" i="5"/>
  <c r="Z16949" i="5"/>
  <c r="Z16948" i="5"/>
  <c r="Z16947" i="5"/>
  <c r="Z16946" i="5"/>
  <c r="Z16945" i="5"/>
  <c r="Z16944" i="5"/>
  <c r="Z16943" i="5"/>
  <c r="Z16942" i="5"/>
  <c r="Z16941" i="5"/>
  <c r="Z16940" i="5"/>
  <c r="Z16939" i="5"/>
  <c r="Z16938" i="5"/>
  <c r="Z16937" i="5"/>
  <c r="Z16936" i="5"/>
  <c r="Z16935" i="5"/>
  <c r="Z16934" i="5"/>
  <c r="Z16933" i="5"/>
  <c r="Z16932" i="5"/>
  <c r="Z16931" i="5"/>
  <c r="Z16930" i="5"/>
  <c r="Z16929" i="5"/>
  <c r="Z16928" i="5"/>
  <c r="Z16927" i="5"/>
  <c r="Z16926" i="5"/>
  <c r="Z16925" i="5"/>
  <c r="Z16924" i="5"/>
  <c r="Z16923" i="5"/>
  <c r="Z16922" i="5"/>
  <c r="Z16921" i="5"/>
  <c r="Z16920" i="5"/>
  <c r="Z16919" i="5"/>
  <c r="Z16918" i="5"/>
  <c r="Z16917" i="5"/>
  <c r="Z16916" i="5"/>
  <c r="Z16915" i="5"/>
  <c r="Z16914" i="5"/>
  <c r="Z16913" i="5"/>
  <c r="Z16912" i="5"/>
  <c r="Z16911" i="5"/>
  <c r="Z16910" i="5"/>
  <c r="Z16909" i="5"/>
  <c r="Z16908" i="5"/>
  <c r="Z16907" i="5"/>
  <c r="Z16906" i="5"/>
  <c r="Z16905" i="5"/>
  <c r="Z16904" i="5"/>
  <c r="Z16903" i="5"/>
  <c r="Z16902" i="5"/>
  <c r="Z16901" i="5"/>
  <c r="Z16900" i="5"/>
  <c r="Z16899" i="5"/>
  <c r="Z16898" i="5"/>
  <c r="Z16897" i="5"/>
  <c r="Z16896" i="5"/>
  <c r="Z16895" i="5"/>
  <c r="Z16894" i="5"/>
  <c r="Z16893" i="5"/>
  <c r="Z16892" i="5"/>
  <c r="Z16891" i="5"/>
  <c r="Z16890" i="5"/>
  <c r="Z16889" i="5"/>
  <c r="Z16888" i="5"/>
  <c r="Z16887" i="5"/>
  <c r="Z16886" i="5"/>
  <c r="Z16885" i="5"/>
  <c r="Z16884" i="5"/>
  <c r="Z16883" i="5"/>
  <c r="Z16882" i="5"/>
  <c r="Z16881" i="5"/>
  <c r="Z16880" i="5"/>
  <c r="Z16879" i="5"/>
  <c r="Z16878" i="5"/>
  <c r="Z16877" i="5"/>
  <c r="Z16876" i="5"/>
  <c r="Z16875" i="5"/>
  <c r="Z16874" i="5"/>
  <c r="Z16873" i="5"/>
  <c r="Z16872" i="5"/>
  <c r="Z16871" i="5"/>
  <c r="Z16870" i="5"/>
  <c r="Z16869" i="5"/>
  <c r="Z16868" i="5"/>
  <c r="Z16867" i="5"/>
  <c r="Z16866" i="5"/>
  <c r="Z16865" i="5"/>
  <c r="Z16864" i="5"/>
  <c r="Z16863" i="5"/>
  <c r="Z16862" i="5"/>
  <c r="Z16861" i="5"/>
  <c r="Z16860" i="5"/>
  <c r="Z16859" i="5"/>
  <c r="Z16858" i="5"/>
  <c r="Z16857" i="5"/>
  <c r="Z16856" i="5"/>
  <c r="Z16855" i="5"/>
  <c r="Z16854" i="5"/>
  <c r="Z16853" i="5"/>
  <c r="Z16852" i="5"/>
  <c r="Z16851" i="5"/>
  <c r="Z16850" i="5"/>
  <c r="Z16849" i="5"/>
  <c r="Z16848" i="5"/>
  <c r="Z16847" i="5"/>
  <c r="Z16846" i="5"/>
  <c r="Z16845" i="5"/>
  <c r="Z16844" i="5"/>
  <c r="Z16843" i="5"/>
  <c r="Z16842" i="5"/>
  <c r="Z16841" i="5"/>
  <c r="Z16840" i="5"/>
  <c r="Z16839" i="5"/>
  <c r="Z16838" i="5"/>
  <c r="Z16837" i="5"/>
  <c r="Z16836" i="5"/>
  <c r="Z16835" i="5"/>
  <c r="Z16834" i="5"/>
  <c r="Z16833" i="5"/>
  <c r="Z16832" i="5"/>
  <c r="Z16831" i="5"/>
  <c r="Z16830" i="5"/>
  <c r="Z16829" i="5"/>
  <c r="Z16828" i="5"/>
  <c r="Z16827" i="5"/>
  <c r="Z16826" i="5"/>
  <c r="Z16825" i="5"/>
  <c r="Z16824" i="5"/>
  <c r="Z16823" i="5"/>
  <c r="Z16822" i="5"/>
  <c r="Z16821" i="5"/>
  <c r="Z16820" i="5"/>
  <c r="Z16819" i="5"/>
  <c r="Z16818" i="5"/>
  <c r="Z16817" i="5"/>
  <c r="Z16816" i="5"/>
  <c r="Z16815" i="5"/>
  <c r="Z16814" i="5"/>
  <c r="Z16813" i="5"/>
  <c r="Z16812" i="5"/>
  <c r="Z16811" i="5"/>
  <c r="Z16810" i="5"/>
  <c r="Z16809" i="5"/>
  <c r="Z16808" i="5"/>
  <c r="Z16807" i="5"/>
  <c r="Z16806" i="5"/>
  <c r="Z16805" i="5"/>
  <c r="Z16804" i="5"/>
  <c r="Z16803" i="5"/>
  <c r="Z16802" i="5"/>
  <c r="Z16801" i="5"/>
  <c r="Z16800" i="5"/>
  <c r="Z16799" i="5"/>
  <c r="Z16798" i="5"/>
  <c r="Z16797" i="5"/>
  <c r="Z16796" i="5"/>
  <c r="Z16795" i="5"/>
  <c r="Z16794" i="5"/>
  <c r="Z16793" i="5"/>
  <c r="Z16792" i="5"/>
  <c r="Z16791" i="5"/>
  <c r="Z16790" i="5"/>
  <c r="Z16789" i="5"/>
  <c r="Z16788" i="5"/>
  <c r="Z16787" i="5"/>
  <c r="Z16786" i="5"/>
  <c r="Z16785" i="5"/>
  <c r="Z16784" i="5"/>
  <c r="Z16783" i="5"/>
  <c r="Z16782" i="5"/>
  <c r="Z16781" i="5"/>
  <c r="Z16780" i="5"/>
  <c r="Z16779" i="5"/>
  <c r="Z16778" i="5"/>
  <c r="Z16777" i="5"/>
  <c r="Z16776" i="5"/>
  <c r="Z16775" i="5"/>
  <c r="Z16774" i="5"/>
  <c r="Z16773" i="5"/>
  <c r="Z16772" i="5"/>
  <c r="Z16771" i="5"/>
  <c r="Z16770" i="5"/>
  <c r="Z16769" i="5"/>
  <c r="Z16768" i="5"/>
  <c r="Z16767" i="5"/>
  <c r="Z16766" i="5"/>
  <c r="Z16765" i="5"/>
  <c r="Z16764" i="5"/>
  <c r="Z16763" i="5"/>
  <c r="Z16762" i="5"/>
  <c r="Z16761" i="5"/>
  <c r="Z16760" i="5"/>
  <c r="Z16759" i="5"/>
  <c r="Z16758" i="5"/>
  <c r="Z16757" i="5"/>
  <c r="Z16756" i="5"/>
  <c r="Z16755" i="5"/>
  <c r="Z16754" i="5"/>
  <c r="Z16753" i="5"/>
  <c r="Z16752" i="5"/>
  <c r="Z16751" i="5"/>
  <c r="Z16750" i="5"/>
  <c r="Z16749" i="5"/>
  <c r="Z16748" i="5"/>
  <c r="Z16747" i="5"/>
  <c r="Z16746" i="5"/>
  <c r="Z16745" i="5"/>
  <c r="Z16744" i="5"/>
  <c r="Z16743" i="5"/>
  <c r="Z16742" i="5"/>
  <c r="Z16741" i="5"/>
  <c r="Z16740" i="5"/>
  <c r="Z16739" i="5"/>
  <c r="Z16738" i="5"/>
  <c r="Z16737" i="5"/>
  <c r="Z16736" i="5"/>
  <c r="Z16735" i="5"/>
  <c r="Z16734" i="5"/>
  <c r="Z16733" i="5"/>
  <c r="Z16732" i="5"/>
  <c r="Z16731" i="5"/>
  <c r="Z16730" i="5"/>
  <c r="Z16729" i="5"/>
  <c r="Z16728" i="5"/>
  <c r="Z16727" i="5"/>
  <c r="Z16726" i="5"/>
  <c r="Z16725" i="5"/>
  <c r="Z16724" i="5"/>
  <c r="Z16723" i="5"/>
  <c r="Z16722" i="5"/>
  <c r="Z16721" i="5"/>
  <c r="Z16720" i="5"/>
  <c r="Z16719" i="5"/>
  <c r="Z16718" i="5"/>
  <c r="Z16717" i="5"/>
  <c r="Z16716" i="5"/>
  <c r="Z16715" i="5"/>
  <c r="Z16714" i="5"/>
  <c r="Z16713" i="5"/>
  <c r="Z16712" i="5"/>
  <c r="Z16711" i="5"/>
  <c r="Z16710" i="5"/>
  <c r="Z16709" i="5"/>
  <c r="Z16708" i="5"/>
  <c r="Z16707" i="5"/>
  <c r="Z16706" i="5"/>
  <c r="Z16705" i="5"/>
  <c r="Z16704" i="5"/>
  <c r="Z16703" i="5"/>
  <c r="Z16702" i="5"/>
  <c r="Z16701" i="5"/>
  <c r="Z16700" i="5"/>
  <c r="Z16699" i="5"/>
  <c r="Z16698" i="5"/>
  <c r="Z16697" i="5"/>
  <c r="Z16696" i="5"/>
  <c r="Z16695" i="5"/>
  <c r="Z16694" i="5"/>
  <c r="Z16693" i="5"/>
  <c r="Z16692" i="5"/>
  <c r="Z16691" i="5"/>
  <c r="Z16690" i="5"/>
  <c r="Z16689" i="5"/>
  <c r="Z16688" i="5"/>
  <c r="Z16687" i="5"/>
  <c r="Z16686" i="5"/>
  <c r="Z16685" i="5"/>
  <c r="Z16684" i="5"/>
  <c r="Z16683" i="5"/>
  <c r="Z16682" i="5"/>
  <c r="Z16681" i="5"/>
  <c r="Z16680" i="5"/>
  <c r="Z16679" i="5"/>
  <c r="Z16678" i="5"/>
  <c r="Z16677" i="5"/>
  <c r="Z16676" i="5"/>
  <c r="Z16675" i="5"/>
  <c r="Z16674" i="5"/>
  <c r="Z16673" i="5"/>
  <c r="Z16672" i="5"/>
  <c r="Z16671" i="5"/>
  <c r="Z16670" i="5"/>
  <c r="Z16669" i="5"/>
  <c r="Z16668" i="5"/>
  <c r="Z16667" i="5"/>
  <c r="Z16666" i="5"/>
  <c r="Z16665" i="5"/>
  <c r="Z16664" i="5"/>
  <c r="Z16663" i="5"/>
  <c r="Z16662" i="5"/>
  <c r="Z16661" i="5"/>
  <c r="Z16660" i="5"/>
  <c r="Z16659" i="5"/>
  <c r="Z16658" i="5"/>
  <c r="Z16657" i="5"/>
  <c r="Z16656" i="5"/>
  <c r="Z16655" i="5"/>
  <c r="Z16654" i="5"/>
  <c r="Z16653" i="5"/>
  <c r="Z16652" i="5"/>
  <c r="Z16651" i="5"/>
  <c r="Z16650" i="5"/>
  <c r="Z16649" i="5"/>
  <c r="Z16648" i="5"/>
  <c r="Z16647" i="5"/>
  <c r="Z16646" i="5"/>
  <c r="Z16645" i="5"/>
  <c r="Z16644" i="5"/>
  <c r="Z16643" i="5"/>
  <c r="Z16642" i="5"/>
  <c r="Z16641" i="5"/>
  <c r="Z16640" i="5"/>
  <c r="Z16639" i="5"/>
  <c r="Z16638" i="5"/>
  <c r="Z16637" i="5"/>
  <c r="Z16636" i="5"/>
  <c r="Z16635" i="5"/>
  <c r="Z16634" i="5"/>
  <c r="Z16633" i="5"/>
  <c r="Z16632" i="5"/>
  <c r="Z16631" i="5"/>
  <c r="Z16630" i="5"/>
  <c r="Z16629" i="5"/>
  <c r="Z16628" i="5"/>
  <c r="Z16627" i="5"/>
  <c r="Z16626" i="5"/>
  <c r="Z16625" i="5"/>
  <c r="Z16624" i="5"/>
  <c r="Z16623" i="5"/>
  <c r="Z16622" i="5"/>
  <c r="Z16621" i="5"/>
  <c r="Z16620" i="5"/>
  <c r="Z16619" i="5"/>
  <c r="Z16618" i="5"/>
  <c r="Z16617" i="5"/>
  <c r="Z16616" i="5"/>
  <c r="Z16615" i="5"/>
  <c r="Z16614" i="5"/>
  <c r="Z16613" i="5"/>
  <c r="Z16612" i="5"/>
  <c r="Z16611" i="5"/>
  <c r="Z16610" i="5"/>
  <c r="Z16609" i="5"/>
  <c r="Z16608" i="5"/>
  <c r="Z16607" i="5"/>
  <c r="Z16606" i="5"/>
  <c r="Z16605" i="5"/>
  <c r="Z16604" i="5"/>
  <c r="Z16603" i="5"/>
  <c r="Z16602" i="5"/>
  <c r="Z16601" i="5"/>
  <c r="Z16600" i="5"/>
  <c r="Z16599" i="5"/>
  <c r="Z16598" i="5"/>
  <c r="Z16597" i="5"/>
  <c r="Z16596" i="5"/>
  <c r="Z16595" i="5"/>
  <c r="Z16594" i="5"/>
  <c r="Z16593" i="5"/>
  <c r="Z16592" i="5"/>
  <c r="Z16591" i="5"/>
  <c r="Z16590" i="5"/>
  <c r="Z16589" i="5"/>
  <c r="Z16588" i="5"/>
  <c r="Z16587" i="5"/>
  <c r="Z16586" i="5"/>
  <c r="Z16585" i="5"/>
  <c r="Z16584" i="5"/>
  <c r="Z16583" i="5"/>
  <c r="Z16582" i="5"/>
  <c r="Z16581" i="5"/>
  <c r="Z16580" i="5"/>
  <c r="Z16579" i="5"/>
  <c r="Z16578" i="5"/>
  <c r="Z16577" i="5"/>
  <c r="Z16576" i="5"/>
  <c r="Z16575" i="5"/>
  <c r="Z16574" i="5"/>
  <c r="Z16573" i="5"/>
  <c r="Z16572" i="5"/>
  <c r="Z16571" i="5"/>
  <c r="Z16570" i="5"/>
  <c r="Z16569" i="5"/>
  <c r="Z16568" i="5"/>
  <c r="Z16567" i="5"/>
  <c r="Z16566" i="5"/>
  <c r="Z16565" i="5"/>
  <c r="Z16564" i="5"/>
  <c r="Z16563" i="5"/>
  <c r="Z16562" i="5"/>
  <c r="Z16561" i="5"/>
  <c r="Z16560" i="5"/>
  <c r="Z16559" i="5"/>
  <c r="Z16558" i="5"/>
  <c r="Z16557" i="5"/>
  <c r="Z16556" i="5"/>
  <c r="Z16555" i="5"/>
  <c r="Z16554" i="5"/>
  <c r="Z16553" i="5"/>
  <c r="Z16552" i="5"/>
  <c r="Z16551" i="5"/>
  <c r="Z16550" i="5"/>
  <c r="Z16549" i="5"/>
  <c r="Z16548" i="5"/>
  <c r="Z16547" i="5"/>
  <c r="Z16546" i="5"/>
  <c r="Z16545" i="5"/>
  <c r="Z16544" i="5"/>
  <c r="Z16543" i="5"/>
  <c r="Z16542" i="5"/>
  <c r="Z16541" i="5"/>
  <c r="Z16540" i="5"/>
  <c r="Z16539" i="5"/>
  <c r="Z16538" i="5"/>
  <c r="Z16537" i="5"/>
  <c r="Z16536" i="5"/>
  <c r="Z16535" i="5"/>
  <c r="Z16534" i="5"/>
  <c r="Z16533" i="5"/>
  <c r="Z16532" i="5"/>
  <c r="Z16531" i="5"/>
  <c r="Z16530" i="5"/>
  <c r="Z16529" i="5"/>
  <c r="Z16528" i="5"/>
  <c r="Z16527" i="5"/>
  <c r="Z16526" i="5"/>
  <c r="Z16525" i="5"/>
  <c r="Z16524" i="5"/>
  <c r="Z16523" i="5"/>
  <c r="Z16522" i="5"/>
  <c r="Z16521" i="5"/>
  <c r="Z16520" i="5"/>
  <c r="Z16519" i="5"/>
  <c r="Z16518" i="5"/>
  <c r="Z16517" i="5"/>
  <c r="Z16516" i="5"/>
  <c r="Z16515" i="5"/>
  <c r="Z16514" i="5"/>
  <c r="Z16513" i="5"/>
  <c r="Z16512" i="5"/>
  <c r="Z16511" i="5"/>
  <c r="Z16510" i="5"/>
  <c r="Z16509" i="5"/>
  <c r="Z16508" i="5"/>
  <c r="Z16507" i="5"/>
  <c r="Z16506" i="5"/>
  <c r="Z16505" i="5"/>
  <c r="Z16504" i="5"/>
  <c r="Z16503" i="5"/>
  <c r="Z16502" i="5"/>
  <c r="Z16501" i="5"/>
  <c r="Z16500" i="5"/>
  <c r="Z16499" i="5"/>
  <c r="Z16498" i="5"/>
  <c r="Z16497" i="5"/>
  <c r="Z16496" i="5"/>
  <c r="Z16495" i="5"/>
  <c r="Z16494" i="5"/>
  <c r="Z16493" i="5"/>
  <c r="Z16492" i="5"/>
  <c r="Z16491" i="5"/>
  <c r="Z16490" i="5"/>
  <c r="Z16489" i="5"/>
  <c r="Z16488" i="5"/>
  <c r="Z16487" i="5"/>
  <c r="Z16486" i="5"/>
  <c r="Z16485" i="5"/>
  <c r="Z16484" i="5"/>
  <c r="Z16483" i="5"/>
  <c r="Z16482" i="5"/>
  <c r="Z16481" i="5"/>
  <c r="Z16480" i="5"/>
  <c r="Z16479" i="5"/>
  <c r="Z16478" i="5"/>
  <c r="Z16477" i="5"/>
  <c r="Z16476" i="5"/>
  <c r="Z16475" i="5"/>
  <c r="Z16474" i="5"/>
  <c r="Z16473" i="5"/>
  <c r="Z16472" i="5"/>
  <c r="Z16471" i="5"/>
  <c r="Z16470" i="5"/>
  <c r="Z16469" i="5"/>
  <c r="Z16468" i="5"/>
  <c r="Z16467" i="5"/>
  <c r="Z16466" i="5"/>
  <c r="Z16465" i="5"/>
  <c r="Z16464" i="5"/>
  <c r="Z16463" i="5"/>
  <c r="Z16462" i="5"/>
  <c r="Z16461" i="5"/>
  <c r="Z16460" i="5"/>
  <c r="Z16459" i="5"/>
  <c r="Z16458" i="5"/>
  <c r="Z16457" i="5"/>
  <c r="Z16456" i="5"/>
  <c r="Z16455" i="5"/>
  <c r="Z16454" i="5"/>
  <c r="Z16453" i="5"/>
  <c r="Z16452" i="5"/>
  <c r="Z16451" i="5"/>
  <c r="Z16450" i="5"/>
  <c r="Z16449" i="5"/>
  <c r="Z16448" i="5"/>
  <c r="Z16447" i="5"/>
  <c r="Z16446" i="5"/>
  <c r="Z16445" i="5"/>
  <c r="Z16444" i="5"/>
  <c r="Z16443" i="5"/>
  <c r="Z16442" i="5"/>
  <c r="Z16441" i="5"/>
  <c r="Z16440" i="5"/>
  <c r="Z16439" i="5"/>
  <c r="Z16438" i="5"/>
  <c r="Z16437" i="5"/>
  <c r="Z16436" i="5"/>
  <c r="Z16435" i="5"/>
  <c r="Z16434" i="5"/>
  <c r="Z16433" i="5"/>
  <c r="Z16432" i="5"/>
  <c r="Z16431" i="5"/>
  <c r="Z16430" i="5"/>
  <c r="Z16429" i="5"/>
  <c r="Z16428" i="5"/>
  <c r="Z16427" i="5"/>
  <c r="Z16426" i="5"/>
  <c r="Z16425" i="5"/>
  <c r="Z16424" i="5"/>
  <c r="Z16423" i="5"/>
  <c r="Z16422" i="5"/>
  <c r="Z16421" i="5"/>
  <c r="Z16420" i="5"/>
  <c r="Z16419" i="5"/>
  <c r="Z16418" i="5"/>
  <c r="Z16417" i="5"/>
  <c r="Z16416" i="5"/>
  <c r="Z16415" i="5"/>
  <c r="Z16414" i="5"/>
  <c r="Z16413" i="5"/>
  <c r="Z16412" i="5"/>
  <c r="Z16411" i="5"/>
  <c r="Z16410" i="5"/>
  <c r="Z16409" i="5"/>
  <c r="Z16408" i="5"/>
  <c r="Z16407" i="5"/>
  <c r="Z16406" i="5"/>
  <c r="Z16405" i="5"/>
  <c r="Z16404" i="5"/>
  <c r="Z16403" i="5"/>
  <c r="Z16402" i="5"/>
  <c r="Z16401" i="5"/>
  <c r="Z16400" i="5"/>
  <c r="Z16399" i="5"/>
  <c r="Z16398" i="5"/>
  <c r="Z16397" i="5"/>
  <c r="Z16396" i="5"/>
  <c r="Z16395" i="5"/>
  <c r="Z16394" i="5"/>
  <c r="Z16393" i="5"/>
  <c r="Z16392" i="5"/>
  <c r="Z16391" i="5"/>
  <c r="Z16390" i="5"/>
  <c r="Z16389" i="5"/>
  <c r="Z16388" i="5"/>
  <c r="Z16387" i="5"/>
  <c r="Z16386" i="5"/>
  <c r="Z16385" i="5"/>
  <c r="Z16384" i="5"/>
  <c r="Z16383" i="5"/>
  <c r="Z16382" i="5"/>
  <c r="Z16381" i="5"/>
  <c r="Z16380" i="5"/>
  <c r="Z16379" i="5"/>
  <c r="Z16378" i="5"/>
  <c r="Z16377" i="5"/>
  <c r="Z16376" i="5"/>
  <c r="Z16375" i="5"/>
  <c r="Z16374" i="5"/>
  <c r="Z16373" i="5"/>
  <c r="Z16372" i="5"/>
  <c r="Z16371" i="5"/>
  <c r="Z16370" i="5"/>
  <c r="Z16369" i="5"/>
  <c r="Z16368" i="5"/>
  <c r="Z16367" i="5"/>
  <c r="Z16366" i="5"/>
  <c r="Z16365" i="5"/>
  <c r="Z16364" i="5"/>
  <c r="Z16363" i="5"/>
  <c r="Z16362" i="5"/>
  <c r="Z16361" i="5"/>
  <c r="Z16360" i="5"/>
  <c r="Z16359" i="5"/>
  <c r="Z16358" i="5"/>
  <c r="Z16357" i="5"/>
  <c r="Z16356" i="5"/>
  <c r="Z16355" i="5"/>
  <c r="Z16354" i="5"/>
  <c r="Z16353" i="5"/>
  <c r="Z16352" i="5"/>
  <c r="Z16351" i="5"/>
  <c r="Z16350" i="5"/>
  <c r="Z16349" i="5"/>
  <c r="Z16348" i="5"/>
  <c r="Z16347" i="5"/>
  <c r="Z16346" i="5"/>
  <c r="Z16345" i="5"/>
  <c r="Z16344" i="5"/>
  <c r="Z16343" i="5"/>
  <c r="Z16342" i="5"/>
  <c r="Z16341" i="5"/>
  <c r="Z16340" i="5"/>
  <c r="Z16339" i="5"/>
  <c r="Z16338" i="5"/>
  <c r="Z16337" i="5"/>
  <c r="Z16336" i="5"/>
  <c r="Z16335" i="5"/>
  <c r="Z16334" i="5"/>
  <c r="Z16333" i="5"/>
  <c r="Z16332" i="5"/>
  <c r="Z16331" i="5"/>
  <c r="Z16330" i="5"/>
  <c r="Z16329" i="5"/>
  <c r="Z16328" i="5"/>
  <c r="Z16327" i="5"/>
  <c r="Z16326" i="5"/>
  <c r="Z16325" i="5"/>
  <c r="Z16324" i="5"/>
  <c r="Z16323" i="5"/>
  <c r="Z16322" i="5"/>
  <c r="Z16321" i="5"/>
  <c r="Z16320" i="5"/>
  <c r="Z16319" i="5"/>
  <c r="Z16318" i="5"/>
  <c r="Z16317" i="5"/>
  <c r="Z16316" i="5"/>
  <c r="Z16315" i="5"/>
  <c r="Z16314" i="5"/>
  <c r="Z16313" i="5"/>
  <c r="Z16312" i="5"/>
  <c r="Z16311" i="5"/>
  <c r="Z16310" i="5"/>
  <c r="Z16309" i="5"/>
  <c r="Z16308" i="5"/>
  <c r="Z16307" i="5"/>
  <c r="Z16306" i="5"/>
  <c r="Z16305" i="5"/>
  <c r="Z16304" i="5"/>
  <c r="Z16303" i="5"/>
  <c r="Z16302" i="5"/>
  <c r="Z16301" i="5"/>
  <c r="Z16300" i="5"/>
  <c r="Z16299" i="5"/>
  <c r="Z16298" i="5"/>
  <c r="Z16297" i="5"/>
  <c r="Z16296" i="5"/>
  <c r="Z16295" i="5"/>
  <c r="Z16294" i="5"/>
  <c r="Z16293" i="5"/>
  <c r="Z16292" i="5"/>
  <c r="Z16291" i="5"/>
  <c r="Z16290" i="5"/>
  <c r="Z16289" i="5"/>
  <c r="Z16288" i="5"/>
  <c r="Z16287" i="5"/>
  <c r="Z16286" i="5"/>
  <c r="Z16285" i="5"/>
  <c r="Z16284" i="5"/>
  <c r="Z16283" i="5"/>
  <c r="Z16282" i="5"/>
  <c r="Z16281" i="5"/>
  <c r="Z16280" i="5"/>
  <c r="Z16279" i="5"/>
  <c r="Z16278" i="5"/>
  <c r="Z16277" i="5"/>
  <c r="Z16276" i="5"/>
  <c r="Z16275" i="5"/>
  <c r="Z16274" i="5"/>
  <c r="Z16273" i="5"/>
  <c r="Z16272" i="5"/>
  <c r="Z16271" i="5"/>
  <c r="Z16270" i="5"/>
  <c r="Z16269" i="5"/>
  <c r="Z16268" i="5"/>
  <c r="Z16267" i="5"/>
  <c r="Z16266" i="5"/>
  <c r="Z16265" i="5"/>
  <c r="Z16264" i="5"/>
  <c r="Z16263" i="5"/>
  <c r="Z16262" i="5"/>
  <c r="Z16261" i="5"/>
  <c r="Z16260" i="5"/>
  <c r="Z16259" i="5"/>
  <c r="Z16258" i="5"/>
  <c r="Z16257" i="5"/>
  <c r="Z16256" i="5"/>
  <c r="Z16255" i="5"/>
  <c r="Z16254" i="5"/>
  <c r="Z16253" i="5"/>
  <c r="Z16252" i="5"/>
  <c r="Z16251" i="5"/>
  <c r="Z16250" i="5"/>
  <c r="Z16249" i="5"/>
  <c r="Z16248" i="5"/>
  <c r="Z16247" i="5"/>
  <c r="Z16246" i="5"/>
  <c r="Z16245" i="5"/>
  <c r="Z16244" i="5"/>
  <c r="Z16243" i="5"/>
  <c r="Z16242" i="5"/>
  <c r="Z16241" i="5"/>
  <c r="Z16240" i="5"/>
  <c r="Z16239" i="5"/>
  <c r="Z16238" i="5"/>
  <c r="Z16237" i="5"/>
  <c r="Z16236" i="5"/>
  <c r="Z16235" i="5"/>
  <c r="Z16234" i="5"/>
  <c r="Z16233" i="5"/>
  <c r="Z16232" i="5"/>
  <c r="Z16231" i="5"/>
  <c r="Z16230" i="5"/>
  <c r="Z16229" i="5"/>
  <c r="Z16228" i="5"/>
  <c r="Z16227" i="5"/>
  <c r="Z16226" i="5"/>
  <c r="Z16225" i="5"/>
  <c r="Z16224" i="5"/>
  <c r="Z16223" i="5"/>
  <c r="Z16222" i="5"/>
  <c r="Z16221" i="5"/>
  <c r="Z16220" i="5"/>
  <c r="Z16219" i="5"/>
  <c r="Z16218" i="5"/>
  <c r="Z16217" i="5"/>
  <c r="Z16216" i="5"/>
  <c r="Z16215" i="5"/>
  <c r="Z16214" i="5"/>
  <c r="Z16213" i="5"/>
  <c r="Z16212" i="5"/>
  <c r="Z16211" i="5"/>
  <c r="Z16210" i="5"/>
  <c r="Z16209" i="5"/>
  <c r="Z16208" i="5"/>
  <c r="Z16207" i="5"/>
  <c r="Z16206" i="5"/>
  <c r="Z16205" i="5"/>
  <c r="Z16204" i="5"/>
  <c r="Z16203" i="5"/>
  <c r="Z16202" i="5"/>
  <c r="Z16201" i="5"/>
  <c r="Z16200" i="5"/>
  <c r="Z16199" i="5"/>
  <c r="Z16198" i="5"/>
  <c r="Z16197" i="5"/>
  <c r="Z16196" i="5"/>
  <c r="Z16195" i="5"/>
  <c r="Z16194" i="5"/>
  <c r="Z16193" i="5"/>
  <c r="Z16192" i="5"/>
  <c r="Z16191" i="5"/>
  <c r="Z16190" i="5"/>
  <c r="Z16189" i="5"/>
  <c r="Z16188" i="5"/>
  <c r="Z16187" i="5"/>
  <c r="Z16186" i="5"/>
  <c r="Z16185" i="5"/>
  <c r="Z16184" i="5"/>
  <c r="Z16183" i="5"/>
  <c r="Z16182" i="5"/>
  <c r="Z16181" i="5"/>
  <c r="Z16180" i="5"/>
  <c r="Z16179" i="5"/>
  <c r="Z16178" i="5"/>
  <c r="Z16177" i="5"/>
  <c r="Z16176" i="5"/>
  <c r="Z16175" i="5"/>
  <c r="Z16174" i="5"/>
  <c r="Z16173" i="5"/>
  <c r="Z16172" i="5"/>
  <c r="Z16171" i="5"/>
  <c r="Z16170" i="5"/>
  <c r="Z16169" i="5"/>
  <c r="Z16168" i="5"/>
  <c r="Z16167" i="5"/>
  <c r="Z16166" i="5"/>
  <c r="Z16165" i="5"/>
  <c r="Z16164" i="5"/>
  <c r="Z16163" i="5"/>
  <c r="Z16162" i="5"/>
  <c r="Z16161" i="5"/>
  <c r="Z16160" i="5"/>
  <c r="Z16159" i="5"/>
  <c r="Z16158" i="5"/>
  <c r="Z16157" i="5"/>
  <c r="Z16156" i="5"/>
  <c r="Z16155" i="5"/>
  <c r="Z16154" i="5"/>
  <c r="Z16153" i="5"/>
  <c r="Z16152" i="5"/>
  <c r="Z16151" i="5"/>
  <c r="Z16150" i="5"/>
  <c r="Z16149" i="5"/>
  <c r="Z16148" i="5"/>
  <c r="Z16147" i="5"/>
  <c r="Z16146" i="5"/>
  <c r="Z16145" i="5"/>
  <c r="Z16144" i="5"/>
  <c r="Z16143" i="5"/>
  <c r="Z16142" i="5"/>
  <c r="Z16141" i="5"/>
  <c r="Z16140" i="5"/>
  <c r="Z16139" i="5"/>
  <c r="Z16138" i="5"/>
  <c r="Z16137" i="5"/>
  <c r="Z16136" i="5"/>
  <c r="Z16135" i="5"/>
  <c r="Z16134" i="5"/>
  <c r="Z16133" i="5"/>
  <c r="Z16132" i="5"/>
  <c r="Z16131" i="5"/>
  <c r="Z16130" i="5"/>
  <c r="Z16129" i="5"/>
  <c r="Z16128" i="5"/>
  <c r="Z16127" i="5"/>
  <c r="Z16126" i="5"/>
  <c r="Z16125" i="5"/>
  <c r="Z16124" i="5"/>
  <c r="Z16123" i="5"/>
  <c r="Z16122" i="5"/>
  <c r="Z16121" i="5"/>
  <c r="Z16120" i="5"/>
  <c r="Z16119" i="5"/>
  <c r="Z16118" i="5"/>
  <c r="Z16117" i="5"/>
  <c r="Z16116" i="5"/>
  <c r="Z16115" i="5"/>
  <c r="Z16114" i="5"/>
  <c r="Z16113" i="5"/>
  <c r="Z16112" i="5"/>
  <c r="Z16111" i="5"/>
  <c r="Z16110" i="5"/>
  <c r="Z16109" i="5"/>
  <c r="Z16108" i="5"/>
  <c r="Z16107" i="5"/>
  <c r="Z16106" i="5"/>
  <c r="Z16105" i="5"/>
  <c r="Z16104" i="5"/>
  <c r="Z16103" i="5"/>
  <c r="Z16102" i="5"/>
  <c r="Z16101" i="5"/>
  <c r="Z16100" i="5"/>
  <c r="Z16099" i="5"/>
  <c r="Z16098" i="5"/>
  <c r="Z16097" i="5"/>
  <c r="Z16096" i="5"/>
  <c r="Z16095" i="5"/>
  <c r="Z16094" i="5"/>
  <c r="Z16093" i="5"/>
  <c r="Z16092" i="5"/>
  <c r="Z16091" i="5"/>
  <c r="Z16090" i="5"/>
  <c r="Z16089" i="5"/>
  <c r="Z16088" i="5"/>
  <c r="Z16087" i="5"/>
  <c r="Z16086" i="5"/>
  <c r="Z16085" i="5"/>
  <c r="Z16084" i="5"/>
  <c r="Z16083" i="5"/>
  <c r="Z16082" i="5"/>
  <c r="Z16081" i="5"/>
  <c r="Z16080" i="5"/>
  <c r="Z16079" i="5"/>
  <c r="Z16078" i="5"/>
  <c r="Z16077" i="5"/>
  <c r="Z16076" i="5"/>
  <c r="Z16075" i="5"/>
  <c r="Z16074" i="5"/>
  <c r="Z16073" i="5"/>
  <c r="Z16072" i="5"/>
  <c r="Z16071" i="5"/>
  <c r="Z16070" i="5"/>
  <c r="Z16069" i="5"/>
  <c r="Z16068" i="5"/>
  <c r="Z16067" i="5"/>
  <c r="Z16066" i="5"/>
  <c r="Z16065" i="5"/>
  <c r="Z16064" i="5"/>
  <c r="Z16063" i="5"/>
  <c r="Z16062" i="5"/>
  <c r="Z16061" i="5"/>
  <c r="Z16060" i="5"/>
  <c r="Z16059" i="5"/>
  <c r="Z16058" i="5"/>
  <c r="Z16057" i="5"/>
  <c r="Z16056" i="5"/>
  <c r="Z16055" i="5"/>
  <c r="Z16054" i="5"/>
  <c r="Z16053" i="5"/>
  <c r="Z16052" i="5"/>
  <c r="Z16051" i="5"/>
  <c r="Z16050" i="5"/>
  <c r="Z16049" i="5"/>
  <c r="Z16048" i="5"/>
  <c r="Z16047" i="5"/>
  <c r="Z16046" i="5"/>
  <c r="Z16045" i="5"/>
  <c r="Z16044" i="5"/>
  <c r="Z16043" i="5"/>
  <c r="Z16042" i="5"/>
  <c r="Z16041" i="5"/>
  <c r="Z16040" i="5"/>
  <c r="Z16039" i="5"/>
  <c r="Z16038" i="5"/>
  <c r="Z16037" i="5"/>
  <c r="Z16036" i="5"/>
  <c r="Z16035" i="5"/>
  <c r="Z16034" i="5"/>
  <c r="Z16033" i="5"/>
  <c r="Z16032" i="5"/>
  <c r="Z16031" i="5"/>
  <c r="Z16030" i="5"/>
  <c r="Z16029" i="5"/>
  <c r="Z16028" i="5"/>
  <c r="Z16027" i="5"/>
  <c r="Z16026" i="5"/>
  <c r="Z16025" i="5"/>
  <c r="Z16024" i="5"/>
  <c r="Z16023" i="5"/>
  <c r="Z16022" i="5"/>
  <c r="Z16021" i="5"/>
  <c r="Z16020" i="5"/>
  <c r="Z16019" i="5"/>
  <c r="Z16018" i="5"/>
  <c r="Z16017" i="5"/>
  <c r="Z16016" i="5"/>
  <c r="Z16015" i="5"/>
  <c r="Z16014" i="5"/>
  <c r="Z16013" i="5"/>
  <c r="Z16012" i="5"/>
  <c r="Z16011" i="5"/>
  <c r="Z16010" i="5"/>
  <c r="Z16009" i="5"/>
  <c r="Z16008" i="5"/>
  <c r="Z16007" i="5"/>
  <c r="Z16006" i="5"/>
  <c r="Z16005" i="5"/>
  <c r="Z16004" i="5"/>
  <c r="Z16003" i="5"/>
  <c r="Z16002" i="5"/>
  <c r="Z16001" i="5"/>
  <c r="Z16000" i="5"/>
  <c r="Z15999" i="5"/>
  <c r="Z15998" i="5"/>
  <c r="Z15997" i="5"/>
  <c r="Z15996" i="5"/>
  <c r="Z15995" i="5"/>
  <c r="Z15994" i="5"/>
  <c r="Z15993" i="5"/>
  <c r="Z15992" i="5"/>
  <c r="Z15991" i="5"/>
  <c r="Z15990" i="5"/>
  <c r="Z15989" i="5"/>
  <c r="Z15988" i="5"/>
  <c r="Z15987" i="5"/>
  <c r="Z15986" i="5"/>
  <c r="Z15985" i="5"/>
  <c r="Z15984" i="5"/>
  <c r="Z15983" i="5"/>
  <c r="Z15982" i="5"/>
  <c r="Z15981" i="5"/>
  <c r="Z15980" i="5"/>
  <c r="Z15979" i="5"/>
  <c r="Z15978" i="5"/>
  <c r="Z15977" i="5"/>
  <c r="Z15976" i="5"/>
  <c r="Z15975" i="5"/>
  <c r="Z15974" i="5"/>
  <c r="Z15973" i="5"/>
  <c r="Z15972" i="5"/>
  <c r="Z15971" i="5"/>
  <c r="Z15970" i="5"/>
  <c r="Z15969" i="5"/>
  <c r="Z15968" i="5"/>
  <c r="Z15967" i="5"/>
  <c r="Z15966" i="5"/>
  <c r="Z15965" i="5"/>
  <c r="Z15964" i="5"/>
  <c r="Z15963" i="5"/>
  <c r="Z15962" i="5"/>
  <c r="Z15961" i="5"/>
  <c r="Z15960" i="5"/>
  <c r="Z15959" i="5"/>
  <c r="Z15958" i="5"/>
  <c r="Z15957" i="5"/>
  <c r="Z15956" i="5"/>
  <c r="Z15955" i="5"/>
  <c r="Z15954" i="5"/>
  <c r="Z15953" i="5"/>
  <c r="Z15952" i="5"/>
  <c r="Z15951" i="5"/>
  <c r="Z15950" i="5"/>
  <c r="Z15949" i="5"/>
  <c r="Z15948" i="5"/>
  <c r="Z15947" i="5"/>
  <c r="Z15946" i="5"/>
  <c r="Z15945" i="5"/>
  <c r="Z15944" i="5"/>
  <c r="Z15943" i="5"/>
  <c r="Z15942" i="5"/>
  <c r="Z15941" i="5"/>
  <c r="Z15940" i="5"/>
  <c r="Z15939" i="5"/>
  <c r="Z15938" i="5"/>
  <c r="Z15937" i="5"/>
  <c r="Z15936" i="5"/>
  <c r="Z15935" i="5"/>
  <c r="Z15934" i="5"/>
  <c r="Z15933" i="5"/>
  <c r="Z15932" i="5"/>
  <c r="Z15931" i="5"/>
  <c r="Z15930" i="5"/>
  <c r="Z15929" i="5"/>
  <c r="Z15928" i="5"/>
  <c r="Z15927" i="5"/>
  <c r="Z15926" i="5"/>
  <c r="Z15925" i="5"/>
  <c r="Z15924" i="5"/>
  <c r="Z15923" i="5"/>
  <c r="Z15922" i="5"/>
  <c r="Z15921" i="5"/>
  <c r="Z15920" i="5"/>
  <c r="Z15919" i="5"/>
  <c r="Z15918" i="5"/>
  <c r="Z15917" i="5"/>
  <c r="Z15916" i="5"/>
  <c r="Z15915" i="5"/>
  <c r="Z15914" i="5"/>
  <c r="Z15913" i="5"/>
  <c r="Z15912" i="5"/>
  <c r="Z15911" i="5"/>
  <c r="Z15910" i="5"/>
  <c r="Z15909" i="5"/>
  <c r="Z15908" i="5"/>
  <c r="Z15907" i="5"/>
  <c r="Z15906" i="5"/>
  <c r="Z15905" i="5"/>
  <c r="Z15904" i="5"/>
  <c r="Z15903" i="5"/>
  <c r="Z15902" i="5"/>
  <c r="Z15901" i="5"/>
  <c r="Z15900" i="5"/>
  <c r="Z15899" i="5"/>
  <c r="Z15898" i="5"/>
  <c r="Z15897" i="5"/>
  <c r="Z15896" i="5"/>
  <c r="Z15895" i="5"/>
  <c r="Z15894" i="5"/>
  <c r="Z15893" i="5"/>
  <c r="Z15892" i="5"/>
  <c r="Z15891" i="5"/>
  <c r="Z15890" i="5"/>
  <c r="Z15889" i="5"/>
  <c r="Z15888" i="5"/>
  <c r="Z15887" i="5"/>
  <c r="Z15886" i="5"/>
  <c r="Z15885" i="5"/>
  <c r="Z15884" i="5"/>
  <c r="Z15883" i="5"/>
  <c r="Z15882" i="5"/>
  <c r="Z15881" i="5"/>
  <c r="Z15880" i="5"/>
  <c r="Z15879" i="5"/>
  <c r="Z15878" i="5"/>
  <c r="Z15877" i="5"/>
  <c r="Z15876" i="5"/>
  <c r="Z15875" i="5"/>
  <c r="Z15874" i="5"/>
  <c r="Z15873" i="5"/>
  <c r="Z15872" i="5"/>
  <c r="Z15871" i="5"/>
  <c r="Z15870" i="5"/>
  <c r="Z15869" i="5"/>
  <c r="Z15868" i="5"/>
  <c r="Z15867" i="5"/>
  <c r="Z15866" i="5"/>
  <c r="Z15865" i="5"/>
  <c r="Z15864" i="5"/>
  <c r="Z15863" i="5"/>
  <c r="Z15862" i="5"/>
  <c r="Z15861" i="5"/>
  <c r="Z15860" i="5"/>
  <c r="Z15859" i="5"/>
  <c r="Z15858" i="5"/>
  <c r="Z15857" i="5"/>
  <c r="Z15856" i="5"/>
  <c r="Z15855" i="5"/>
  <c r="Z15854" i="5"/>
  <c r="Z15853" i="5"/>
  <c r="Z15852" i="5"/>
  <c r="Z15851" i="5"/>
  <c r="Z15850" i="5"/>
  <c r="Z15849" i="5"/>
  <c r="Z15848" i="5"/>
  <c r="Z15847" i="5"/>
  <c r="Z15846" i="5"/>
  <c r="Z15845" i="5"/>
  <c r="Z15844" i="5"/>
  <c r="Z15843" i="5"/>
  <c r="Z15842" i="5"/>
  <c r="Z15841" i="5"/>
  <c r="Z15840" i="5"/>
  <c r="Z15839" i="5"/>
  <c r="Z15838" i="5"/>
  <c r="Z15837" i="5"/>
  <c r="Z15836" i="5"/>
  <c r="Z15835" i="5"/>
  <c r="Z15834" i="5"/>
  <c r="Z15833" i="5"/>
  <c r="Z15832" i="5"/>
  <c r="Z15831" i="5"/>
  <c r="Z15830" i="5"/>
  <c r="Z15829" i="5"/>
  <c r="Z15828" i="5"/>
  <c r="Z15827" i="5"/>
  <c r="Z15826" i="5"/>
  <c r="Z15825" i="5"/>
  <c r="Z15824" i="5"/>
  <c r="Z15823" i="5"/>
  <c r="Z15822" i="5"/>
  <c r="Z15821" i="5"/>
  <c r="Z15820" i="5"/>
  <c r="Z15819" i="5"/>
  <c r="Z15818" i="5"/>
  <c r="Z15817" i="5"/>
  <c r="Z15816" i="5"/>
  <c r="Z15815" i="5"/>
  <c r="Z15814" i="5"/>
  <c r="Z15813" i="5"/>
  <c r="Z15812" i="5"/>
  <c r="Z15811" i="5"/>
  <c r="Z15810" i="5"/>
  <c r="Z15809" i="5"/>
  <c r="Z15808" i="5"/>
  <c r="Z15807" i="5"/>
  <c r="Z15806" i="5"/>
  <c r="Z15805" i="5"/>
  <c r="Z15804" i="5"/>
  <c r="Z15803" i="5"/>
  <c r="Z15802" i="5"/>
  <c r="Z15801" i="5"/>
  <c r="Z15800" i="5"/>
  <c r="Z15799" i="5"/>
  <c r="Z15798" i="5"/>
  <c r="Z15797" i="5"/>
  <c r="Z15796" i="5"/>
  <c r="Z15795" i="5"/>
  <c r="Z15794" i="5"/>
  <c r="Z15793" i="5"/>
  <c r="Z15792" i="5"/>
  <c r="Z15791" i="5"/>
  <c r="Z15790" i="5"/>
  <c r="Z15789" i="5"/>
  <c r="Z15788" i="5"/>
  <c r="Z15787" i="5"/>
  <c r="Z15786" i="5"/>
  <c r="Z15785" i="5"/>
  <c r="Z15784" i="5"/>
  <c r="Z15783" i="5"/>
  <c r="Z15782" i="5"/>
  <c r="Z15781" i="5"/>
  <c r="Z15780" i="5"/>
  <c r="Z15779" i="5"/>
  <c r="Z15778" i="5"/>
  <c r="Z15777" i="5"/>
  <c r="Z15776" i="5"/>
  <c r="Z15775" i="5"/>
  <c r="Z15774" i="5"/>
  <c r="Z15773" i="5"/>
  <c r="Z15772" i="5"/>
  <c r="Z15771" i="5"/>
  <c r="Z15770" i="5"/>
  <c r="Z15769" i="5"/>
  <c r="Z15768" i="5"/>
  <c r="Z15767" i="5"/>
  <c r="Z15766" i="5"/>
  <c r="Z15765" i="5"/>
  <c r="Z15764" i="5"/>
  <c r="Z15763" i="5"/>
  <c r="Z15762" i="5"/>
  <c r="Z15761" i="5"/>
  <c r="Z15760" i="5"/>
  <c r="Z15759" i="5"/>
  <c r="Z15758" i="5"/>
  <c r="Z15757" i="5"/>
  <c r="Z15756" i="5"/>
  <c r="Z15755" i="5"/>
  <c r="Z15754" i="5"/>
  <c r="Z15753" i="5"/>
  <c r="Z15752" i="5"/>
  <c r="Z15751" i="5"/>
  <c r="Z15750" i="5"/>
  <c r="Z15749" i="5"/>
  <c r="Z15748" i="5"/>
  <c r="Z15747" i="5"/>
  <c r="Z15746" i="5"/>
  <c r="Z15745" i="5"/>
  <c r="Z15744" i="5"/>
  <c r="Z15743" i="5"/>
  <c r="Z15742" i="5"/>
  <c r="Z15741" i="5"/>
  <c r="Z15740" i="5"/>
  <c r="Z15739" i="5"/>
  <c r="Z15738" i="5"/>
  <c r="Z15737" i="5"/>
  <c r="Z15736" i="5"/>
  <c r="Z15735" i="5"/>
  <c r="Z15734" i="5"/>
  <c r="Z15733" i="5"/>
  <c r="Z15732" i="5"/>
  <c r="Z15731" i="5"/>
  <c r="Z15730" i="5"/>
  <c r="Z15729" i="5"/>
  <c r="Z15728" i="5"/>
  <c r="Z15727" i="5"/>
  <c r="Z15726" i="5"/>
  <c r="Z15725" i="5"/>
  <c r="Z15724" i="5"/>
  <c r="Z15723" i="5"/>
  <c r="Z15722" i="5"/>
  <c r="Z15721" i="5"/>
  <c r="Z15720" i="5"/>
  <c r="Z15719" i="5"/>
  <c r="Z15718" i="5"/>
  <c r="Z15717" i="5"/>
  <c r="Z15716" i="5"/>
  <c r="Z15715" i="5"/>
  <c r="Z15714" i="5"/>
  <c r="Z15713" i="5"/>
  <c r="Z15712" i="5"/>
  <c r="Z15711" i="5"/>
  <c r="Z15710" i="5"/>
  <c r="Z15709" i="5"/>
  <c r="Z15708" i="5"/>
  <c r="Z15707" i="5"/>
  <c r="Z15706" i="5"/>
  <c r="Z15705" i="5"/>
  <c r="Z15704" i="5"/>
  <c r="Z15703" i="5"/>
  <c r="Z15702" i="5"/>
  <c r="Z15701" i="5"/>
  <c r="Z15700" i="5"/>
  <c r="Z15699" i="5"/>
  <c r="Z15698" i="5"/>
  <c r="Z15697" i="5"/>
  <c r="Z15696" i="5"/>
  <c r="Z15695" i="5"/>
  <c r="Z15694" i="5"/>
  <c r="Z15693" i="5"/>
  <c r="Z15692" i="5"/>
  <c r="Z15691" i="5"/>
  <c r="Z15690" i="5"/>
  <c r="Z15689" i="5"/>
  <c r="Z15688" i="5"/>
  <c r="Z15687" i="5"/>
  <c r="Z15686" i="5"/>
  <c r="Z15685" i="5"/>
  <c r="Z15684" i="5"/>
  <c r="Z15683" i="5"/>
  <c r="Z15682" i="5"/>
  <c r="Z15681" i="5"/>
  <c r="Z15680" i="5"/>
  <c r="Z15679" i="5"/>
  <c r="Z15678" i="5"/>
  <c r="Z15677" i="5"/>
  <c r="Z15676" i="5"/>
  <c r="Z15675" i="5"/>
  <c r="Z15674" i="5"/>
  <c r="Z15673" i="5"/>
  <c r="Z15672" i="5"/>
  <c r="Z15671" i="5"/>
  <c r="Z15670" i="5"/>
  <c r="Z15669" i="5"/>
  <c r="Z15668" i="5"/>
  <c r="Z15667" i="5"/>
  <c r="Z15666" i="5"/>
  <c r="Z15665" i="5"/>
  <c r="Z15664" i="5"/>
  <c r="Z15663" i="5"/>
  <c r="Z15662" i="5"/>
  <c r="Z15661" i="5"/>
  <c r="Z15660" i="5"/>
  <c r="Z15659" i="5"/>
  <c r="Z15658" i="5"/>
  <c r="Z15657" i="5"/>
  <c r="Z15656" i="5"/>
  <c r="Z15655" i="5"/>
  <c r="Z15654" i="5"/>
  <c r="Z15653" i="5"/>
  <c r="Z15652" i="5"/>
  <c r="Z15651" i="5"/>
  <c r="Z15650" i="5"/>
  <c r="Z15649" i="5"/>
  <c r="Z15648" i="5"/>
  <c r="Z15647" i="5"/>
  <c r="Z15646" i="5"/>
  <c r="Z15645" i="5"/>
  <c r="Z15644" i="5"/>
  <c r="Z15643" i="5"/>
  <c r="Z15642" i="5"/>
  <c r="Z15641" i="5"/>
  <c r="Z15640" i="5"/>
  <c r="Z15639" i="5"/>
  <c r="Z15638" i="5"/>
  <c r="Z15637" i="5"/>
  <c r="Z15636" i="5"/>
  <c r="Z15635" i="5"/>
  <c r="Z15634" i="5"/>
  <c r="Z15633" i="5"/>
  <c r="Z15632" i="5"/>
  <c r="Z15631" i="5"/>
  <c r="Z15630" i="5"/>
  <c r="Z15629" i="5"/>
  <c r="Z15628" i="5"/>
  <c r="Z15627" i="5"/>
  <c r="Z15626" i="5"/>
  <c r="Z15625" i="5"/>
  <c r="Z15624" i="5"/>
  <c r="Z15623" i="5"/>
  <c r="Z15622" i="5"/>
  <c r="Z15621" i="5"/>
  <c r="Z15620" i="5"/>
  <c r="Z15619" i="5"/>
  <c r="Z15618" i="5"/>
  <c r="Z15617" i="5"/>
  <c r="Z15616" i="5"/>
  <c r="Z15615" i="5"/>
  <c r="Z15614" i="5"/>
  <c r="Z15613" i="5"/>
  <c r="Z15612" i="5"/>
  <c r="Z15611" i="5"/>
  <c r="Z15610" i="5"/>
  <c r="Z15609" i="5"/>
  <c r="Z15608" i="5"/>
  <c r="Z15607" i="5"/>
  <c r="Z15606" i="5"/>
  <c r="Z15605" i="5"/>
  <c r="Z15604" i="5"/>
  <c r="Z15603" i="5"/>
  <c r="Z15602" i="5"/>
  <c r="Z15601" i="5"/>
  <c r="Z15600" i="5"/>
  <c r="Z15599" i="5"/>
  <c r="Z15598" i="5"/>
  <c r="Z15597" i="5"/>
  <c r="Z15596" i="5"/>
  <c r="Z15595" i="5"/>
  <c r="Z15594" i="5"/>
  <c r="Z15593" i="5"/>
  <c r="Z15592" i="5"/>
  <c r="Z15591" i="5"/>
  <c r="Z15590" i="5"/>
  <c r="Z15589" i="5"/>
  <c r="Z15588" i="5"/>
  <c r="Z15587" i="5"/>
  <c r="Z15586" i="5"/>
  <c r="Z15585" i="5"/>
  <c r="Z15584" i="5"/>
  <c r="Z15583" i="5"/>
  <c r="Z15582" i="5"/>
  <c r="Z15581" i="5"/>
  <c r="Z15580" i="5"/>
  <c r="Z15579" i="5"/>
  <c r="Z15578" i="5"/>
  <c r="Z15577" i="5"/>
  <c r="Z15576" i="5"/>
  <c r="Z15575" i="5"/>
  <c r="Z15574" i="5"/>
  <c r="Z15573" i="5"/>
  <c r="Z15572" i="5"/>
  <c r="Z15571" i="5"/>
  <c r="Z15570" i="5"/>
  <c r="Z15569" i="5"/>
  <c r="Z15568" i="5"/>
  <c r="Z15567" i="5"/>
  <c r="Z15566" i="5"/>
  <c r="Z15565" i="5"/>
  <c r="Z15564" i="5"/>
  <c r="Z15563" i="5"/>
  <c r="Z15562" i="5"/>
  <c r="Z15561" i="5"/>
  <c r="Z15560" i="5"/>
  <c r="Z15559" i="5"/>
  <c r="Z15558" i="5"/>
  <c r="Z15557" i="5"/>
  <c r="Z15556" i="5"/>
  <c r="Z15555" i="5"/>
  <c r="Z15554" i="5"/>
  <c r="Z15553" i="5"/>
  <c r="Z15552" i="5"/>
  <c r="Z15551" i="5"/>
  <c r="Z15550" i="5"/>
  <c r="Z15549" i="5"/>
  <c r="Z15548" i="5"/>
  <c r="Z15547" i="5"/>
  <c r="Z15546" i="5"/>
  <c r="Z15545" i="5"/>
  <c r="Z15544" i="5"/>
  <c r="Z15543" i="5"/>
  <c r="Z15542" i="5"/>
  <c r="Z15541" i="5"/>
  <c r="Z15540" i="5"/>
  <c r="Z15539" i="5"/>
  <c r="Z15538" i="5"/>
  <c r="Z15537" i="5"/>
  <c r="Z15536" i="5"/>
  <c r="Z15535" i="5"/>
  <c r="Z15534" i="5"/>
  <c r="Z15533" i="5"/>
  <c r="Z15532" i="5"/>
  <c r="Z15531" i="5"/>
  <c r="Z15530" i="5"/>
  <c r="Z15529" i="5"/>
  <c r="Z15528" i="5"/>
  <c r="Z15527" i="5"/>
  <c r="Z15526" i="5"/>
  <c r="Z15525" i="5"/>
  <c r="Z15524" i="5"/>
  <c r="Z15523" i="5"/>
  <c r="Z15522" i="5"/>
  <c r="Z15521" i="5"/>
  <c r="Z15520" i="5"/>
  <c r="Z15519" i="5"/>
  <c r="Z15518" i="5"/>
  <c r="Z15517" i="5"/>
  <c r="Z15516" i="5"/>
  <c r="Z15515" i="5"/>
  <c r="Z15514" i="5"/>
  <c r="Z15513" i="5"/>
  <c r="Z15512" i="5"/>
  <c r="Z15511" i="5"/>
  <c r="Z15510" i="5"/>
  <c r="Z15509" i="5"/>
  <c r="Z15508" i="5"/>
  <c r="Z15507" i="5"/>
  <c r="Z15506" i="5"/>
  <c r="Z15505" i="5"/>
  <c r="Z15504" i="5"/>
  <c r="Z15503" i="5"/>
  <c r="Z15502" i="5"/>
  <c r="Z15501" i="5"/>
  <c r="Z15500" i="5"/>
  <c r="Z15499" i="5"/>
  <c r="Z15498" i="5"/>
  <c r="Z15497" i="5"/>
  <c r="Z15496" i="5"/>
  <c r="Z15495" i="5"/>
  <c r="Z15494" i="5"/>
  <c r="Z15493" i="5"/>
  <c r="Z15492" i="5"/>
  <c r="Z15491" i="5"/>
  <c r="Z15490" i="5"/>
  <c r="Z15489" i="5"/>
  <c r="Z15488" i="5"/>
  <c r="Z15487" i="5"/>
  <c r="Z15486" i="5"/>
  <c r="Z15485" i="5"/>
  <c r="Z15484" i="5"/>
  <c r="Z15483" i="5"/>
  <c r="Z15482" i="5"/>
  <c r="Z15481" i="5"/>
  <c r="Z15480" i="5"/>
  <c r="Z15479" i="5"/>
  <c r="Z15478" i="5"/>
  <c r="Z15477" i="5"/>
  <c r="Z15476" i="5"/>
  <c r="Z15475" i="5"/>
  <c r="Z15474" i="5"/>
  <c r="Z15473" i="5"/>
  <c r="Z15472" i="5"/>
  <c r="Z15471" i="5"/>
  <c r="Z15470" i="5"/>
  <c r="Z15469" i="5"/>
  <c r="Z15468" i="5"/>
  <c r="Z15467" i="5"/>
  <c r="Z15466" i="5"/>
  <c r="Z15465" i="5"/>
  <c r="Z15464" i="5"/>
  <c r="Z15463" i="5"/>
  <c r="Z15462" i="5"/>
  <c r="Z15461" i="5"/>
  <c r="Z15460" i="5"/>
  <c r="Z15459" i="5"/>
  <c r="Z15458" i="5"/>
  <c r="Z15457" i="5"/>
  <c r="Z15456" i="5"/>
  <c r="Z15455" i="5"/>
  <c r="Z15454" i="5"/>
  <c r="Z15453" i="5"/>
  <c r="Z15452" i="5"/>
  <c r="Z15451" i="5"/>
  <c r="Z15450" i="5"/>
  <c r="Z15449" i="5"/>
  <c r="Z15448" i="5"/>
  <c r="Z15447" i="5"/>
  <c r="Z15446" i="5"/>
  <c r="Z15445" i="5"/>
  <c r="Z15444" i="5"/>
  <c r="Z15443" i="5"/>
  <c r="Z15442" i="5"/>
  <c r="Z15441" i="5"/>
  <c r="Z15440" i="5"/>
  <c r="Z15439" i="5"/>
  <c r="Z15438" i="5"/>
  <c r="Z15437" i="5"/>
  <c r="Z15436" i="5"/>
  <c r="Z15435" i="5"/>
  <c r="Z15434" i="5"/>
  <c r="Z15433" i="5"/>
  <c r="Z15432" i="5"/>
  <c r="Z15431" i="5"/>
  <c r="Z15430" i="5"/>
  <c r="Z15429" i="5"/>
  <c r="Z15428" i="5"/>
  <c r="Z15427" i="5"/>
  <c r="Z15426" i="5"/>
  <c r="Z15425" i="5"/>
  <c r="Z15424" i="5"/>
  <c r="Z15423" i="5"/>
  <c r="Z15422" i="5"/>
  <c r="Z15421" i="5"/>
  <c r="Z15420" i="5"/>
  <c r="Z15419" i="5"/>
  <c r="Z15418" i="5"/>
  <c r="Z15417" i="5"/>
  <c r="Z15416" i="5"/>
  <c r="Z15415" i="5"/>
  <c r="Z15414" i="5"/>
  <c r="Z15413" i="5"/>
  <c r="Z15412" i="5"/>
  <c r="Z15411" i="5"/>
  <c r="Z15410" i="5"/>
  <c r="Z15409" i="5"/>
  <c r="Z15408" i="5"/>
  <c r="Z15407" i="5"/>
  <c r="Z15406" i="5"/>
  <c r="Z15405" i="5"/>
  <c r="Z15404" i="5"/>
  <c r="Z15403" i="5"/>
  <c r="Z15402" i="5"/>
  <c r="Z15401" i="5"/>
  <c r="Z15400" i="5"/>
  <c r="Z15399" i="5"/>
  <c r="Z15398" i="5"/>
  <c r="Z15397" i="5"/>
  <c r="Z15396" i="5"/>
  <c r="Z15395" i="5"/>
  <c r="Z15394" i="5"/>
  <c r="Z15393" i="5"/>
  <c r="Z15392" i="5"/>
  <c r="Z15391" i="5"/>
  <c r="Z15390" i="5"/>
  <c r="Z15389" i="5"/>
  <c r="Z15388" i="5"/>
  <c r="Z15387" i="5"/>
  <c r="Z15386" i="5"/>
  <c r="Z15385" i="5"/>
  <c r="Z15384" i="5"/>
  <c r="Z15383" i="5"/>
  <c r="Z15382" i="5"/>
  <c r="Z15381" i="5"/>
  <c r="Z15380" i="5"/>
  <c r="Z15379" i="5"/>
  <c r="Z15378" i="5"/>
  <c r="Z15377" i="5"/>
  <c r="Z15376" i="5"/>
  <c r="Z15375" i="5"/>
  <c r="Z15374" i="5"/>
  <c r="Z15373" i="5"/>
  <c r="Z15372" i="5"/>
  <c r="Z15371" i="5"/>
  <c r="Z15370" i="5"/>
  <c r="Z15369" i="5"/>
  <c r="Z15368" i="5"/>
  <c r="Z15367" i="5"/>
  <c r="Z15366" i="5"/>
  <c r="Z15365" i="5"/>
  <c r="Z15364" i="5"/>
  <c r="Z15363" i="5"/>
  <c r="Z15362" i="5"/>
  <c r="Z15361" i="5"/>
  <c r="Z15360" i="5"/>
  <c r="Z15359" i="5"/>
  <c r="Z15358" i="5"/>
  <c r="Z15357" i="5"/>
  <c r="Z15356" i="5"/>
  <c r="Z15355" i="5"/>
  <c r="Z15354" i="5"/>
  <c r="Z15353" i="5"/>
  <c r="Z15352" i="5"/>
  <c r="Z15351" i="5"/>
  <c r="Z15350" i="5"/>
  <c r="Z15349" i="5"/>
  <c r="Z15348" i="5"/>
  <c r="Z15347" i="5"/>
  <c r="Z15346" i="5"/>
  <c r="Z15345" i="5"/>
  <c r="Z15344" i="5"/>
  <c r="Z15343" i="5"/>
  <c r="Z15342" i="5"/>
  <c r="Z15341" i="5"/>
  <c r="Z15340" i="5"/>
  <c r="Z15339" i="5"/>
  <c r="Z15338" i="5"/>
  <c r="Z15337" i="5"/>
  <c r="Z15336" i="5"/>
  <c r="Z15335" i="5"/>
  <c r="Z15334" i="5"/>
  <c r="Z15333" i="5"/>
  <c r="Z15332" i="5"/>
  <c r="Z15331" i="5"/>
  <c r="Z15330" i="5"/>
  <c r="Z15329" i="5"/>
  <c r="Z15328" i="5"/>
  <c r="Z15327" i="5"/>
  <c r="Z15326" i="5"/>
  <c r="Z15325" i="5"/>
  <c r="Z15324" i="5"/>
  <c r="Z15323" i="5"/>
  <c r="Z15322" i="5"/>
  <c r="Z15321" i="5"/>
  <c r="Z15320" i="5"/>
  <c r="Z15319" i="5"/>
  <c r="Z15318" i="5"/>
  <c r="Z15317" i="5"/>
  <c r="Z15316" i="5"/>
  <c r="Z15315" i="5"/>
  <c r="Z15314" i="5"/>
  <c r="Z15313" i="5"/>
  <c r="Z15312" i="5"/>
  <c r="Z15311" i="5"/>
  <c r="Z15310" i="5"/>
  <c r="Z15309" i="5"/>
  <c r="Z15308" i="5"/>
  <c r="Z15307" i="5"/>
  <c r="Z15306" i="5"/>
  <c r="Z15305" i="5"/>
  <c r="Z15304" i="5"/>
  <c r="Z15303" i="5"/>
  <c r="Z15302" i="5"/>
  <c r="Z15301" i="5"/>
  <c r="Z15300" i="5"/>
  <c r="Z15299" i="5"/>
  <c r="Z15298" i="5"/>
  <c r="Z15297" i="5"/>
  <c r="Z15296" i="5"/>
  <c r="Z15295" i="5"/>
  <c r="Z15294" i="5"/>
  <c r="Z15293" i="5"/>
  <c r="Z15292" i="5"/>
  <c r="Z15291" i="5"/>
  <c r="Z15290" i="5"/>
  <c r="Z15289" i="5"/>
  <c r="Z15288" i="5"/>
  <c r="Z15287" i="5"/>
  <c r="Z15286" i="5"/>
  <c r="Z15285" i="5"/>
  <c r="Z15284" i="5"/>
  <c r="Z15283" i="5"/>
  <c r="Z15282" i="5"/>
  <c r="Z15281" i="5"/>
  <c r="Z15280" i="5"/>
  <c r="Z15279" i="5"/>
  <c r="Z15278" i="5"/>
  <c r="Z15277" i="5"/>
  <c r="Z15276" i="5"/>
  <c r="Z15275" i="5"/>
  <c r="Z15274" i="5"/>
  <c r="Z15273" i="5"/>
  <c r="Z15272" i="5"/>
  <c r="Z15271" i="5"/>
  <c r="Z15270" i="5"/>
  <c r="Z15269" i="5"/>
  <c r="Z15268" i="5"/>
  <c r="Z15267" i="5"/>
  <c r="Z15266" i="5"/>
  <c r="Z15265" i="5"/>
  <c r="Z15264" i="5"/>
  <c r="Z15263" i="5"/>
  <c r="Z15262" i="5"/>
  <c r="Z15261" i="5"/>
  <c r="Z15260" i="5"/>
  <c r="Z15259" i="5"/>
  <c r="Z15258" i="5"/>
  <c r="Z15257" i="5"/>
  <c r="Z15256" i="5"/>
  <c r="Z15255" i="5"/>
  <c r="Z15254" i="5"/>
  <c r="Z15253" i="5"/>
  <c r="Z15252" i="5"/>
  <c r="Z15251" i="5"/>
  <c r="Z15250" i="5"/>
  <c r="Z15249" i="5"/>
  <c r="Z15248" i="5"/>
  <c r="Z15247" i="5"/>
  <c r="Z15246" i="5"/>
  <c r="Z15245" i="5"/>
  <c r="Z15244" i="5"/>
  <c r="Z15243" i="5"/>
  <c r="Z15242" i="5"/>
  <c r="Z15241" i="5"/>
  <c r="Z15240" i="5"/>
  <c r="Z15239" i="5"/>
  <c r="Z15238" i="5"/>
  <c r="Z15237" i="5"/>
  <c r="Z15236" i="5"/>
  <c r="Z15235" i="5"/>
  <c r="Z15234" i="5"/>
  <c r="Z15233" i="5"/>
  <c r="Z15232" i="5"/>
  <c r="Z15231" i="5"/>
  <c r="Z15230" i="5"/>
  <c r="Z15229" i="5"/>
  <c r="Z15228" i="5"/>
  <c r="Z15227" i="5"/>
  <c r="Z15226" i="5"/>
  <c r="Z15225" i="5"/>
  <c r="Z15224" i="5"/>
  <c r="Z15223" i="5"/>
  <c r="Z15222" i="5"/>
  <c r="Z15221" i="5"/>
  <c r="Z15220" i="5"/>
  <c r="Z15219" i="5"/>
  <c r="Z15218" i="5"/>
  <c r="Z15217" i="5"/>
  <c r="Z15216" i="5"/>
  <c r="Z15215" i="5"/>
  <c r="Z15214" i="5"/>
  <c r="Z15213" i="5"/>
  <c r="Z15212" i="5"/>
  <c r="Z15211" i="5"/>
  <c r="Z15210" i="5"/>
  <c r="Z15209" i="5"/>
  <c r="Z15208" i="5"/>
  <c r="Z15207" i="5"/>
  <c r="Z15206" i="5"/>
  <c r="Z15205" i="5"/>
  <c r="Z15204" i="5"/>
  <c r="Z15203" i="5"/>
  <c r="Z15202" i="5"/>
  <c r="Z15201" i="5"/>
  <c r="Z15200" i="5"/>
  <c r="Z15199" i="5"/>
  <c r="Z15198" i="5"/>
  <c r="Z15197" i="5"/>
  <c r="Z15196" i="5"/>
  <c r="Z15195" i="5"/>
  <c r="Z15194" i="5"/>
  <c r="Z15193" i="5"/>
  <c r="Z15192" i="5"/>
  <c r="Z15191" i="5"/>
  <c r="Z15190" i="5"/>
  <c r="Z15189" i="5"/>
  <c r="Z15188" i="5"/>
  <c r="Z15187" i="5"/>
  <c r="Z15186" i="5"/>
  <c r="Z15185" i="5"/>
  <c r="Z15184" i="5"/>
  <c r="Z15183" i="5"/>
  <c r="Z15182" i="5"/>
  <c r="Z15181" i="5"/>
  <c r="Z15180" i="5"/>
  <c r="Z15179" i="5"/>
  <c r="Z15178" i="5"/>
  <c r="Z15177" i="5"/>
  <c r="Z15176" i="5"/>
  <c r="Z15175" i="5"/>
  <c r="Z15174" i="5"/>
  <c r="Z15173" i="5"/>
  <c r="Z15172" i="5"/>
  <c r="Z15171" i="5"/>
  <c r="Z15170" i="5"/>
  <c r="Z15169" i="5"/>
  <c r="Z15168" i="5"/>
  <c r="Z15167" i="5"/>
  <c r="Z15166" i="5"/>
  <c r="Z15165" i="5"/>
  <c r="Z15164" i="5"/>
  <c r="Z15163" i="5"/>
  <c r="Z15162" i="5"/>
  <c r="Z15161" i="5"/>
  <c r="Z15160" i="5"/>
  <c r="Z15159" i="5"/>
  <c r="Z15158" i="5"/>
  <c r="Z15157" i="5"/>
  <c r="Z15156" i="5"/>
  <c r="Z15155" i="5"/>
  <c r="Z15154" i="5"/>
  <c r="Z15153" i="5"/>
  <c r="Z15152" i="5"/>
  <c r="Z15151" i="5"/>
  <c r="Z15150" i="5"/>
  <c r="Z15149" i="5"/>
  <c r="Z15148" i="5"/>
  <c r="Z15147" i="5"/>
  <c r="Z15146" i="5"/>
  <c r="Z15145" i="5"/>
  <c r="Z15144" i="5"/>
  <c r="Z15143" i="5"/>
  <c r="Z15142" i="5"/>
  <c r="Z15141" i="5"/>
  <c r="Z15140" i="5"/>
  <c r="Z15139" i="5"/>
  <c r="Z15138" i="5"/>
  <c r="Z15137" i="5"/>
  <c r="Z15136" i="5"/>
  <c r="Z15135" i="5"/>
  <c r="Z15134" i="5"/>
  <c r="Z15133" i="5"/>
  <c r="Z15132" i="5"/>
  <c r="Z15131" i="5"/>
  <c r="Z15130" i="5"/>
  <c r="Z15129" i="5"/>
  <c r="Z15128" i="5"/>
  <c r="Z15127" i="5"/>
  <c r="Z15126" i="5"/>
  <c r="Z15125" i="5"/>
  <c r="Z15124" i="5"/>
  <c r="Z15123" i="5"/>
  <c r="Z15122" i="5"/>
  <c r="Z15121" i="5"/>
  <c r="Z15120" i="5"/>
  <c r="Z15119" i="5"/>
  <c r="Z15118" i="5"/>
  <c r="Z15117" i="5"/>
  <c r="Z15116" i="5"/>
  <c r="Z15115" i="5"/>
  <c r="Z15114" i="5"/>
  <c r="Z15113" i="5"/>
  <c r="Z15112" i="5"/>
  <c r="Z15111" i="5"/>
  <c r="Z15110" i="5"/>
  <c r="Z15109" i="5"/>
  <c r="Z15108" i="5"/>
  <c r="Z15107" i="5"/>
  <c r="Z15106" i="5"/>
  <c r="Z15105" i="5"/>
  <c r="Z15104" i="5"/>
  <c r="Z15103" i="5"/>
  <c r="Z15102" i="5"/>
  <c r="Z15101" i="5"/>
  <c r="Z15100" i="5"/>
  <c r="Z15099" i="5"/>
  <c r="Z15098" i="5"/>
  <c r="Z15097" i="5"/>
  <c r="Z15096" i="5"/>
  <c r="Z15095" i="5"/>
  <c r="Z15094" i="5"/>
  <c r="Z15093" i="5"/>
  <c r="Z15092" i="5"/>
  <c r="Z15091" i="5"/>
  <c r="Z15090" i="5"/>
  <c r="Z15089" i="5"/>
  <c r="Z15088" i="5"/>
  <c r="Z15087" i="5"/>
  <c r="Z15086" i="5"/>
  <c r="Z15085" i="5"/>
  <c r="Z15084" i="5"/>
  <c r="Z15083" i="5"/>
  <c r="Z15082" i="5"/>
  <c r="Z15081" i="5"/>
  <c r="Z15080" i="5"/>
  <c r="Z15079" i="5"/>
  <c r="Z15078" i="5"/>
  <c r="Z15077" i="5"/>
  <c r="Z15076" i="5"/>
  <c r="Z15075" i="5"/>
  <c r="Z15074" i="5"/>
  <c r="Z15073" i="5"/>
  <c r="Z15072" i="5"/>
  <c r="Z15071" i="5"/>
  <c r="Z15070" i="5"/>
  <c r="Z15069" i="5"/>
  <c r="Z15068" i="5"/>
  <c r="Z15067" i="5"/>
  <c r="Z15066" i="5"/>
  <c r="Z15065" i="5"/>
  <c r="Z15064" i="5"/>
  <c r="Z15063" i="5"/>
  <c r="Z15062" i="5"/>
  <c r="Z15061" i="5"/>
  <c r="Z15060" i="5"/>
  <c r="Z15059" i="5"/>
  <c r="Z15058" i="5"/>
  <c r="Z15057" i="5"/>
  <c r="Z15056" i="5"/>
  <c r="Z15055" i="5"/>
  <c r="Z15054" i="5"/>
  <c r="Z15053" i="5"/>
  <c r="Z15052" i="5"/>
  <c r="Z15051" i="5"/>
  <c r="Z15050" i="5"/>
  <c r="Z15049" i="5"/>
  <c r="Z15048" i="5"/>
  <c r="Z15047" i="5"/>
  <c r="Z15046" i="5"/>
  <c r="Z15045" i="5"/>
  <c r="Z15044" i="5"/>
  <c r="Z15043" i="5"/>
  <c r="Z15042" i="5"/>
  <c r="Z15041" i="5"/>
  <c r="Z15040" i="5"/>
  <c r="Z15039" i="5"/>
  <c r="Z15038" i="5"/>
  <c r="Z15037" i="5"/>
  <c r="Z15036" i="5"/>
  <c r="Z15035" i="5"/>
  <c r="Z15034" i="5"/>
  <c r="Z15033" i="5"/>
  <c r="Z15032" i="5"/>
  <c r="Z15031" i="5"/>
  <c r="Z15030" i="5"/>
  <c r="Z15029" i="5"/>
  <c r="Z15028" i="5"/>
  <c r="Z15027" i="5"/>
  <c r="Z15026" i="5"/>
  <c r="Z15025" i="5"/>
  <c r="Z15024" i="5"/>
  <c r="Z15023" i="5"/>
  <c r="Z15022" i="5"/>
  <c r="Z15021" i="5"/>
  <c r="Z15020" i="5"/>
  <c r="Z15019" i="5"/>
  <c r="Z15018" i="5"/>
  <c r="Z15017" i="5"/>
  <c r="Z15016" i="5"/>
  <c r="Z15015" i="5"/>
  <c r="Z15014" i="5"/>
  <c r="Z15013" i="5"/>
  <c r="Z15012" i="5"/>
  <c r="Z15011" i="5"/>
  <c r="Z15010" i="5"/>
  <c r="Z15009" i="5"/>
  <c r="Z15008" i="5"/>
  <c r="Z15007" i="5"/>
  <c r="Z15006" i="5"/>
  <c r="Z15005" i="5"/>
  <c r="Z15004" i="5"/>
  <c r="Z15003" i="5"/>
  <c r="Z15002" i="5"/>
  <c r="Z15001" i="5"/>
  <c r="Z15000" i="5"/>
  <c r="Z14999" i="5"/>
  <c r="Z14998" i="5"/>
  <c r="Z14997" i="5"/>
  <c r="Z14996" i="5"/>
  <c r="Z14995" i="5"/>
  <c r="Z14994" i="5"/>
  <c r="Z14993" i="5"/>
  <c r="Z14992" i="5"/>
  <c r="Z14991" i="5"/>
  <c r="Z14990" i="5"/>
  <c r="Z14989" i="5"/>
  <c r="Z14988" i="5"/>
  <c r="Z14987" i="5"/>
  <c r="Z14986" i="5"/>
  <c r="Z14985" i="5"/>
  <c r="Z14984" i="5"/>
  <c r="Z14983" i="5"/>
  <c r="Z14982" i="5"/>
  <c r="Z14981" i="5"/>
  <c r="Z14980" i="5"/>
  <c r="Z14979" i="5"/>
  <c r="Z14978" i="5"/>
  <c r="Z14977" i="5"/>
  <c r="Z14976" i="5"/>
  <c r="Z14975" i="5"/>
  <c r="Z14974" i="5"/>
  <c r="Z14973" i="5"/>
  <c r="Z14972" i="5"/>
  <c r="Z14971" i="5"/>
  <c r="Z14970" i="5"/>
  <c r="Z14969" i="5"/>
  <c r="Z14968" i="5"/>
  <c r="Z14967" i="5"/>
  <c r="Z14966" i="5"/>
  <c r="Z14965" i="5"/>
  <c r="Z14964" i="5"/>
  <c r="Z14963" i="5"/>
  <c r="Z14962" i="5"/>
  <c r="Z14961" i="5"/>
  <c r="Z14960" i="5"/>
  <c r="Z14959" i="5"/>
  <c r="Z14958" i="5"/>
  <c r="Z14957" i="5"/>
  <c r="Z14956" i="5"/>
  <c r="Z14955" i="5"/>
  <c r="Z14954" i="5"/>
  <c r="Z14953" i="5"/>
  <c r="Z14952" i="5"/>
  <c r="Z14951" i="5"/>
  <c r="Z14950" i="5"/>
  <c r="Z14949" i="5"/>
  <c r="Z14948" i="5"/>
  <c r="Z14947" i="5"/>
  <c r="Z14946" i="5"/>
  <c r="Z14945" i="5"/>
  <c r="Z14944" i="5"/>
  <c r="Z14943" i="5"/>
  <c r="Z14942" i="5"/>
  <c r="Z14941" i="5"/>
  <c r="Z14940" i="5"/>
  <c r="Z14939" i="5"/>
  <c r="Z14938" i="5"/>
  <c r="Z14937" i="5"/>
  <c r="Z14936" i="5"/>
  <c r="Z14935" i="5"/>
  <c r="Z14934" i="5"/>
  <c r="Z14933" i="5"/>
  <c r="Z14932" i="5"/>
  <c r="Z14931" i="5"/>
  <c r="Z14930" i="5"/>
  <c r="Z14929" i="5"/>
  <c r="Z14928" i="5"/>
  <c r="Z14927" i="5"/>
  <c r="Z14926" i="5"/>
  <c r="Z14925" i="5"/>
  <c r="Z14924" i="5"/>
  <c r="Z14923" i="5"/>
  <c r="Z14922" i="5"/>
  <c r="Z14921" i="5"/>
  <c r="Z14920" i="5"/>
  <c r="Z14919" i="5"/>
  <c r="Z14918" i="5"/>
  <c r="Z14917" i="5"/>
  <c r="Z14916" i="5"/>
  <c r="Z14915" i="5"/>
  <c r="Z14914" i="5"/>
  <c r="Z14913" i="5"/>
  <c r="Z14912" i="5"/>
  <c r="Z14911" i="5"/>
  <c r="Z14910" i="5"/>
  <c r="Z14909" i="5"/>
  <c r="Z14908" i="5"/>
  <c r="Z14907" i="5"/>
  <c r="Z14906" i="5"/>
  <c r="Z14905" i="5"/>
  <c r="Z14904" i="5"/>
  <c r="Z14903" i="5"/>
  <c r="Z14902" i="5"/>
  <c r="Z14901" i="5"/>
  <c r="Z14900" i="5"/>
  <c r="Z14899" i="5"/>
  <c r="Z14898" i="5"/>
  <c r="Z14897" i="5"/>
  <c r="Z14896" i="5"/>
  <c r="Z14895" i="5"/>
  <c r="Z14894" i="5"/>
  <c r="Z14893" i="5"/>
  <c r="Z14892" i="5"/>
  <c r="Z14891" i="5"/>
  <c r="Z14890" i="5"/>
  <c r="Z14889" i="5"/>
  <c r="Z14888" i="5"/>
  <c r="Z14887" i="5"/>
  <c r="Z14886" i="5"/>
  <c r="Z14885" i="5"/>
  <c r="Z14884" i="5"/>
  <c r="Z14883" i="5"/>
  <c r="Z14882" i="5"/>
  <c r="Z14881" i="5"/>
  <c r="Z14880" i="5"/>
  <c r="Z14879" i="5"/>
  <c r="Z14878" i="5"/>
  <c r="Z14877" i="5"/>
  <c r="Z14876" i="5"/>
  <c r="Z14875" i="5"/>
  <c r="Z14874" i="5"/>
  <c r="Z14873" i="5"/>
  <c r="Z14872" i="5"/>
  <c r="Z14871" i="5"/>
  <c r="Z14870" i="5"/>
  <c r="Z14869" i="5"/>
  <c r="Z14868" i="5"/>
  <c r="Z14867" i="5"/>
  <c r="Z14866" i="5"/>
  <c r="Z14865" i="5"/>
  <c r="Z14864" i="5"/>
  <c r="Z14863" i="5"/>
  <c r="Z14862" i="5"/>
  <c r="Z14861" i="5"/>
  <c r="Z14860" i="5"/>
  <c r="Z14859" i="5"/>
  <c r="Z14858" i="5"/>
  <c r="Z14857" i="5"/>
  <c r="Z14856" i="5"/>
  <c r="Z14855" i="5"/>
  <c r="Z14854" i="5"/>
  <c r="Z14853" i="5"/>
  <c r="Z14852" i="5"/>
  <c r="Z14851" i="5"/>
  <c r="Z14850" i="5"/>
  <c r="Z14849" i="5"/>
  <c r="Z14848" i="5"/>
  <c r="Z14847" i="5"/>
  <c r="Z14846" i="5"/>
  <c r="Z14845" i="5"/>
  <c r="Z14844" i="5"/>
  <c r="Z14843" i="5"/>
  <c r="Z14842" i="5"/>
  <c r="Z14841" i="5"/>
  <c r="Z14840" i="5"/>
  <c r="Z14839" i="5"/>
  <c r="Z14838" i="5"/>
  <c r="Z14837" i="5"/>
  <c r="Z14836" i="5"/>
  <c r="Z14835" i="5"/>
  <c r="Z14834" i="5"/>
  <c r="Z14833" i="5"/>
  <c r="Z14832" i="5"/>
  <c r="Z14831" i="5"/>
  <c r="Z14830" i="5"/>
  <c r="Z14829" i="5"/>
  <c r="Z14828" i="5"/>
  <c r="Z14827" i="5"/>
  <c r="Z14826" i="5"/>
  <c r="Z14825" i="5"/>
  <c r="Z14824" i="5"/>
  <c r="Z14823" i="5"/>
  <c r="Z14822" i="5"/>
  <c r="Z14821" i="5"/>
  <c r="Z14820" i="5"/>
  <c r="Z14819" i="5"/>
  <c r="Z14818" i="5"/>
  <c r="Z14817" i="5"/>
  <c r="Z14816" i="5"/>
  <c r="Z14815" i="5"/>
  <c r="Z14814" i="5"/>
  <c r="Z14813" i="5"/>
  <c r="Z14812" i="5"/>
  <c r="Z14811" i="5"/>
  <c r="Z14810" i="5"/>
  <c r="Z14809" i="5"/>
  <c r="Z14808" i="5"/>
  <c r="Z14807" i="5"/>
  <c r="Z14806" i="5"/>
  <c r="Z14805" i="5"/>
  <c r="Z14804" i="5"/>
  <c r="Z14803" i="5"/>
  <c r="Z14802" i="5"/>
  <c r="Z14801" i="5"/>
  <c r="Z14800" i="5"/>
  <c r="Z14799" i="5"/>
  <c r="Z14798" i="5"/>
  <c r="Z14797" i="5"/>
  <c r="Z14796" i="5"/>
  <c r="Z14795" i="5"/>
  <c r="Z14794" i="5"/>
  <c r="Z14793" i="5"/>
  <c r="Z14792" i="5"/>
  <c r="Z14791" i="5"/>
  <c r="Z14790" i="5"/>
  <c r="Z14789" i="5"/>
  <c r="Z14788" i="5"/>
  <c r="Z14787" i="5"/>
  <c r="Z14786" i="5"/>
  <c r="Z14785" i="5"/>
  <c r="Z14784" i="5"/>
  <c r="Z14783" i="5"/>
  <c r="Z14782" i="5"/>
  <c r="Z14781" i="5"/>
  <c r="Z14780" i="5"/>
  <c r="Z14779" i="5"/>
  <c r="Z14778" i="5"/>
  <c r="Z14777" i="5"/>
  <c r="Z14776" i="5"/>
  <c r="Z14775" i="5"/>
  <c r="Z14774" i="5"/>
  <c r="Z14773" i="5"/>
  <c r="Z14772" i="5"/>
  <c r="Z14771" i="5"/>
  <c r="Z14770" i="5"/>
  <c r="Z14769" i="5"/>
  <c r="Z14768" i="5"/>
  <c r="Z14767" i="5"/>
  <c r="Z14766" i="5"/>
  <c r="Z14765" i="5"/>
  <c r="Z14764" i="5"/>
  <c r="Z14763" i="5"/>
  <c r="Z14762" i="5"/>
  <c r="Z14761" i="5"/>
  <c r="Z14760" i="5"/>
  <c r="Z14759" i="5"/>
  <c r="Z14758" i="5"/>
  <c r="Z14757" i="5"/>
  <c r="Z14756" i="5"/>
  <c r="Z14755" i="5"/>
  <c r="Z14754" i="5"/>
  <c r="Z14753" i="5"/>
  <c r="Z14752" i="5"/>
  <c r="Z14751" i="5"/>
  <c r="Z14750" i="5"/>
  <c r="Z14749" i="5"/>
  <c r="Z14748" i="5"/>
  <c r="Z14747" i="5"/>
  <c r="Z14746" i="5"/>
  <c r="Z14745" i="5"/>
  <c r="Z14744" i="5"/>
  <c r="Z14743" i="5"/>
  <c r="Z14742" i="5"/>
  <c r="Z14741" i="5"/>
  <c r="Z14740" i="5"/>
  <c r="Z14739" i="5"/>
  <c r="Z14738" i="5"/>
  <c r="Z14737" i="5"/>
  <c r="Z14736" i="5"/>
  <c r="Z14735" i="5"/>
  <c r="Z14734" i="5"/>
  <c r="Z14733" i="5"/>
  <c r="Z14732" i="5"/>
  <c r="Z14731" i="5"/>
  <c r="Z14730" i="5"/>
  <c r="Z14729" i="5"/>
  <c r="Z14728" i="5"/>
  <c r="Z14727" i="5"/>
  <c r="Z14726" i="5"/>
  <c r="Z14725" i="5"/>
  <c r="Z14724" i="5"/>
  <c r="Z14723" i="5"/>
  <c r="Z14722" i="5"/>
  <c r="Z14721" i="5"/>
  <c r="Z14720" i="5"/>
  <c r="Z14719" i="5"/>
  <c r="Z14718" i="5"/>
  <c r="Z14717" i="5"/>
  <c r="Z14716" i="5"/>
  <c r="Z14715" i="5"/>
  <c r="Z14714" i="5"/>
  <c r="Z14713" i="5"/>
  <c r="Z14712" i="5"/>
  <c r="Z14711" i="5"/>
  <c r="Z14710" i="5"/>
  <c r="Z14709" i="5"/>
  <c r="Z14708" i="5"/>
  <c r="Z14707" i="5"/>
  <c r="Z14706" i="5"/>
  <c r="Z14705" i="5"/>
  <c r="Z14704" i="5"/>
  <c r="Z14703" i="5"/>
  <c r="Z14702" i="5"/>
  <c r="Z14701" i="5"/>
  <c r="Z14700" i="5"/>
  <c r="Z14699" i="5"/>
  <c r="Z14698" i="5"/>
  <c r="Z14697" i="5"/>
  <c r="Z14696" i="5"/>
  <c r="Z14695" i="5"/>
  <c r="Z14694" i="5"/>
  <c r="Z14693" i="5"/>
  <c r="Z14692" i="5"/>
  <c r="Z14691" i="5"/>
  <c r="Z14690" i="5"/>
  <c r="Z14689" i="5"/>
  <c r="Z14688" i="5"/>
  <c r="Z14687" i="5"/>
  <c r="Z14686" i="5"/>
  <c r="Z14685" i="5"/>
  <c r="Z14684" i="5"/>
  <c r="Z14683" i="5"/>
  <c r="Z14682" i="5"/>
  <c r="Z14681" i="5"/>
  <c r="Z14680" i="5"/>
  <c r="Z14679" i="5"/>
  <c r="Z14678" i="5"/>
  <c r="Z14677" i="5"/>
  <c r="Z14676" i="5"/>
  <c r="Z14675" i="5"/>
  <c r="Z14674" i="5"/>
  <c r="Z14673" i="5"/>
  <c r="Z14672" i="5"/>
  <c r="Z14671" i="5"/>
  <c r="Z14670" i="5"/>
  <c r="Z14669" i="5"/>
  <c r="Z14668" i="5"/>
  <c r="Z14667" i="5"/>
  <c r="Z14666" i="5"/>
  <c r="Z14665" i="5"/>
  <c r="Z14664" i="5"/>
  <c r="Z14663" i="5"/>
  <c r="Z14662" i="5"/>
  <c r="Z14661" i="5"/>
  <c r="Z14660" i="5"/>
  <c r="Z14659" i="5"/>
  <c r="Z14658" i="5"/>
  <c r="Z14657" i="5"/>
  <c r="Z14656" i="5"/>
  <c r="Z14655" i="5"/>
  <c r="Z14654" i="5"/>
  <c r="Z14653" i="5"/>
  <c r="Z14652" i="5"/>
  <c r="Z14651" i="5"/>
  <c r="Z14650" i="5"/>
  <c r="Z14649" i="5"/>
  <c r="Z14648" i="5"/>
  <c r="Z14647" i="5"/>
  <c r="Z14646" i="5"/>
  <c r="Z14645" i="5"/>
  <c r="Z14644" i="5"/>
  <c r="Z14643" i="5"/>
  <c r="Z14642" i="5"/>
  <c r="Z14641" i="5"/>
  <c r="Z14640" i="5"/>
  <c r="Z14639" i="5"/>
  <c r="Z14638" i="5"/>
  <c r="Z14637" i="5"/>
  <c r="Z14636" i="5"/>
  <c r="Z14635" i="5"/>
  <c r="Z14634" i="5"/>
  <c r="Z14633" i="5"/>
  <c r="Z14632" i="5"/>
  <c r="Z14631" i="5"/>
  <c r="Z14630" i="5"/>
  <c r="Z14629" i="5"/>
  <c r="Z14628" i="5"/>
  <c r="Z14627" i="5"/>
  <c r="Z14626" i="5"/>
  <c r="Z14625" i="5"/>
  <c r="Z14624" i="5"/>
  <c r="Z14623" i="5"/>
  <c r="Z14622" i="5"/>
  <c r="Z14621" i="5"/>
  <c r="Z14620" i="5"/>
  <c r="Z14619" i="5"/>
  <c r="Z14618" i="5"/>
  <c r="Z14617" i="5"/>
  <c r="Z14616" i="5"/>
  <c r="Z14615" i="5"/>
  <c r="Z14614" i="5"/>
  <c r="Z14613" i="5"/>
  <c r="Z14612" i="5"/>
  <c r="Z14611" i="5"/>
  <c r="Z14610" i="5"/>
  <c r="Z14609" i="5"/>
  <c r="Z14608" i="5"/>
  <c r="Z14607" i="5"/>
  <c r="Z14606" i="5"/>
  <c r="Z14605" i="5"/>
  <c r="Z14604" i="5"/>
  <c r="Z14603" i="5"/>
  <c r="Z14602" i="5"/>
  <c r="Z14601" i="5"/>
  <c r="Z14600" i="5"/>
  <c r="Z14599" i="5"/>
  <c r="Z14598" i="5"/>
  <c r="Z14597" i="5"/>
  <c r="Z14596" i="5"/>
  <c r="Z14595" i="5"/>
  <c r="Z14594" i="5"/>
  <c r="Z14593" i="5"/>
  <c r="Z14592" i="5"/>
  <c r="Z14591" i="5"/>
  <c r="Z14590" i="5"/>
  <c r="Z14589" i="5"/>
  <c r="Z14588" i="5"/>
  <c r="Z14587" i="5"/>
  <c r="Z14586" i="5"/>
  <c r="Z14585" i="5"/>
  <c r="Z14584" i="5"/>
  <c r="Z14583" i="5"/>
  <c r="Z14582" i="5"/>
  <c r="Z14581" i="5"/>
  <c r="Z14580" i="5"/>
  <c r="Z14579" i="5"/>
  <c r="Z14578" i="5"/>
  <c r="Z14577" i="5"/>
  <c r="Z14576" i="5"/>
  <c r="Z14575" i="5"/>
  <c r="Z14574" i="5"/>
  <c r="Z14573" i="5"/>
  <c r="Z14572" i="5"/>
  <c r="Z14571" i="5"/>
  <c r="Z14570" i="5"/>
  <c r="Z14569" i="5"/>
  <c r="Z14568" i="5"/>
  <c r="Z14567" i="5"/>
  <c r="Z14566" i="5"/>
  <c r="Z14565" i="5"/>
  <c r="Z14564" i="5"/>
  <c r="Z14563" i="5"/>
  <c r="Z14562" i="5"/>
  <c r="Z14561" i="5"/>
  <c r="Z14560" i="5"/>
  <c r="Z14559" i="5"/>
  <c r="Z14558" i="5"/>
  <c r="Z14557" i="5"/>
  <c r="Z14556" i="5"/>
  <c r="Z14555" i="5"/>
  <c r="Z14554" i="5"/>
  <c r="Z14553" i="5"/>
  <c r="Z14552" i="5"/>
  <c r="Z14551" i="5"/>
  <c r="Z14550" i="5"/>
  <c r="Z14549" i="5"/>
  <c r="Z14548" i="5"/>
  <c r="Z14547" i="5"/>
  <c r="Z14546" i="5"/>
  <c r="Z14545" i="5"/>
  <c r="Z14544" i="5"/>
  <c r="Z14543" i="5"/>
  <c r="Z14542" i="5"/>
  <c r="Z14541" i="5"/>
  <c r="Z14540" i="5"/>
  <c r="Z14539" i="5"/>
  <c r="Z14538" i="5"/>
  <c r="Z14537" i="5"/>
  <c r="Z14536" i="5"/>
  <c r="Z14535" i="5"/>
  <c r="Z14534" i="5"/>
  <c r="Z14533" i="5"/>
  <c r="Z14532" i="5"/>
  <c r="Z14531" i="5"/>
  <c r="Z14530" i="5"/>
  <c r="Z14529" i="5"/>
  <c r="Z14528" i="5"/>
  <c r="Z14527" i="5"/>
  <c r="Z14526" i="5"/>
  <c r="Z14525" i="5"/>
  <c r="Z14524" i="5"/>
  <c r="Z14523" i="5"/>
  <c r="Z14522" i="5"/>
  <c r="Z14521" i="5"/>
  <c r="Z14520" i="5"/>
  <c r="Z14519" i="5"/>
  <c r="Z14518" i="5"/>
  <c r="Z14517" i="5"/>
  <c r="Z14516" i="5"/>
  <c r="Z14515" i="5"/>
  <c r="Z14514" i="5"/>
  <c r="Z14513" i="5"/>
  <c r="Z14512" i="5"/>
  <c r="Z14511" i="5"/>
  <c r="Z14510" i="5"/>
  <c r="Z14509" i="5"/>
  <c r="Z14508" i="5"/>
  <c r="Z14507" i="5"/>
  <c r="Z14506" i="5"/>
  <c r="Z14505" i="5"/>
  <c r="Z14504" i="5"/>
  <c r="Z14503" i="5"/>
  <c r="Z14502" i="5"/>
  <c r="Z14501" i="5"/>
  <c r="Z14500" i="5"/>
  <c r="Z14499" i="5"/>
  <c r="Z14498" i="5"/>
  <c r="Z14497" i="5"/>
  <c r="Z14496" i="5"/>
  <c r="Z14495" i="5"/>
  <c r="Z14494" i="5"/>
  <c r="Z14493" i="5"/>
  <c r="Z14492" i="5"/>
  <c r="Z14491" i="5"/>
  <c r="Z14490" i="5"/>
  <c r="Z14489" i="5"/>
  <c r="Z14488" i="5"/>
  <c r="Z14487" i="5"/>
  <c r="Z14486" i="5"/>
  <c r="Z14485" i="5"/>
  <c r="Z14484" i="5"/>
  <c r="Z14483" i="5"/>
  <c r="Z14482" i="5"/>
  <c r="Z14481" i="5"/>
  <c r="Z14480" i="5"/>
  <c r="Z14479" i="5"/>
  <c r="Z14478" i="5"/>
  <c r="Z14477" i="5"/>
  <c r="Z14476" i="5"/>
  <c r="Z14475" i="5"/>
  <c r="Z14474" i="5"/>
  <c r="Z14473" i="5"/>
  <c r="Z14472" i="5"/>
  <c r="Z14471" i="5"/>
  <c r="Z14470" i="5"/>
  <c r="Z14469" i="5"/>
  <c r="Z14468" i="5"/>
  <c r="Z14467" i="5"/>
  <c r="Z14466" i="5"/>
  <c r="Z14465" i="5"/>
  <c r="Z14464" i="5"/>
  <c r="Z14463" i="5"/>
  <c r="Z14462" i="5"/>
  <c r="Z14461" i="5"/>
  <c r="Z14460" i="5"/>
  <c r="Z14459" i="5"/>
  <c r="Z14458" i="5"/>
  <c r="Z14457" i="5"/>
  <c r="Z14456" i="5"/>
  <c r="Z14455" i="5"/>
  <c r="Z14454" i="5"/>
  <c r="Z14453" i="5"/>
  <c r="Z14452" i="5"/>
  <c r="Z14451" i="5"/>
  <c r="Z14450" i="5"/>
  <c r="Z14449" i="5"/>
  <c r="Z14448" i="5"/>
  <c r="Z14447" i="5"/>
  <c r="Z14446" i="5"/>
  <c r="Z14445" i="5"/>
  <c r="Z14444" i="5"/>
  <c r="Z14443" i="5"/>
  <c r="Z14442" i="5"/>
  <c r="Z14441" i="5"/>
  <c r="Z14440" i="5"/>
  <c r="Z14439" i="5"/>
  <c r="Z14438" i="5"/>
  <c r="Z14437" i="5"/>
  <c r="Z14436" i="5"/>
  <c r="Z14435" i="5"/>
  <c r="Z14434" i="5"/>
  <c r="Z14433" i="5"/>
  <c r="Z14432" i="5"/>
  <c r="Z14431" i="5"/>
  <c r="Z14430" i="5"/>
  <c r="Z14429" i="5"/>
  <c r="Z14428" i="5"/>
  <c r="Z14427" i="5"/>
  <c r="Z14426" i="5"/>
  <c r="Z14425" i="5"/>
  <c r="Z14424" i="5"/>
  <c r="Z14423" i="5"/>
  <c r="Z14422" i="5"/>
  <c r="Z14421" i="5"/>
  <c r="Z14420" i="5"/>
  <c r="Z14419" i="5"/>
  <c r="Z14418" i="5"/>
  <c r="Z14417" i="5"/>
  <c r="Z14416" i="5"/>
  <c r="Z14415" i="5"/>
  <c r="Z14414" i="5"/>
  <c r="Z14413" i="5"/>
  <c r="Z14412" i="5"/>
  <c r="Z14411" i="5"/>
  <c r="Z14410" i="5"/>
  <c r="Z14409" i="5"/>
  <c r="Z14408" i="5"/>
  <c r="Z14407" i="5"/>
  <c r="Z14406" i="5"/>
  <c r="Z14405" i="5"/>
  <c r="Z14404" i="5"/>
  <c r="Z14403" i="5"/>
  <c r="Z14402" i="5"/>
  <c r="Z14401" i="5"/>
  <c r="Z14400" i="5"/>
  <c r="Z14399" i="5"/>
  <c r="Z14398" i="5"/>
  <c r="Z14397" i="5"/>
  <c r="Z14396" i="5"/>
  <c r="Z14395" i="5"/>
  <c r="Z14394" i="5"/>
  <c r="Z14393" i="5"/>
  <c r="Z14392" i="5"/>
  <c r="Z14391" i="5"/>
  <c r="Z14390" i="5"/>
  <c r="Z14389" i="5"/>
  <c r="Z14388" i="5"/>
  <c r="Z14387" i="5"/>
  <c r="Z14386" i="5"/>
  <c r="Z14385" i="5"/>
  <c r="Z14384" i="5"/>
  <c r="Z14383" i="5"/>
  <c r="Z14382" i="5"/>
  <c r="Z14381" i="5"/>
  <c r="Z14380" i="5"/>
  <c r="Z14379" i="5"/>
  <c r="Z14378" i="5"/>
  <c r="Z14377" i="5"/>
  <c r="Z14376" i="5"/>
  <c r="Z14375" i="5"/>
  <c r="Z14374" i="5"/>
  <c r="Z14373" i="5"/>
  <c r="Z14372" i="5"/>
  <c r="Z14371" i="5"/>
  <c r="Z14370" i="5"/>
  <c r="Z14369" i="5"/>
  <c r="Z14368" i="5"/>
  <c r="Z14367" i="5"/>
  <c r="Z14366" i="5"/>
  <c r="Z14365" i="5"/>
  <c r="Z14364" i="5"/>
  <c r="Z14363" i="5"/>
  <c r="Z14362" i="5"/>
  <c r="Z14361" i="5"/>
  <c r="Z14360" i="5"/>
  <c r="Z14359" i="5"/>
  <c r="Z14358" i="5"/>
  <c r="Z14357" i="5"/>
  <c r="Z14356" i="5"/>
  <c r="Z14355" i="5"/>
  <c r="Z14354" i="5"/>
  <c r="Z14353" i="5"/>
  <c r="Z14352" i="5"/>
  <c r="Z14351" i="5"/>
  <c r="Z14350" i="5"/>
  <c r="Z14349" i="5"/>
  <c r="Z14348" i="5"/>
  <c r="Z14347" i="5"/>
  <c r="Z14346" i="5"/>
  <c r="Z14345" i="5"/>
  <c r="Z14344" i="5"/>
  <c r="Z14343" i="5"/>
  <c r="Z14342" i="5"/>
  <c r="Z14341" i="5"/>
  <c r="Z14340" i="5"/>
  <c r="Z14339" i="5"/>
  <c r="Z14338" i="5"/>
  <c r="Z14337" i="5"/>
  <c r="Z14336" i="5"/>
  <c r="Z14335" i="5"/>
  <c r="Z14334" i="5"/>
  <c r="Z14333" i="5"/>
  <c r="Z14332" i="5"/>
  <c r="Z14331" i="5"/>
  <c r="Z14330" i="5"/>
  <c r="Z14329" i="5"/>
  <c r="Z14328" i="5"/>
  <c r="Z14327" i="5"/>
  <c r="Z14326" i="5"/>
  <c r="Z14325" i="5"/>
  <c r="Z14324" i="5"/>
  <c r="Z14323" i="5"/>
  <c r="Z14322" i="5"/>
  <c r="Z14321" i="5"/>
  <c r="Z14320" i="5"/>
  <c r="Z14319" i="5"/>
  <c r="Z14318" i="5"/>
  <c r="Z14317" i="5"/>
  <c r="Z14316" i="5"/>
  <c r="Z14315" i="5"/>
  <c r="Z14314" i="5"/>
  <c r="Z14313" i="5"/>
  <c r="Z14312" i="5"/>
  <c r="Z14311" i="5"/>
  <c r="Z14310" i="5"/>
  <c r="Z14309" i="5"/>
  <c r="Z14308" i="5"/>
  <c r="Z14307" i="5"/>
  <c r="Z14306" i="5"/>
  <c r="Z14305" i="5"/>
  <c r="Z14304" i="5"/>
  <c r="Z14303" i="5"/>
  <c r="Z14302" i="5"/>
  <c r="Z14301" i="5"/>
  <c r="Z14300" i="5"/>
  <c r="Z14299" i="5"/>
  <c r="Z14298" i="5"/>
  <c r="Z14297" i="5"/>
  <c r="Z14296" i="5"/>
  <c r="Z14295" i="5"/>
  <c r="Z14294" i="5"/>
  <c r="Z14293" i="5"/>
  <c r="Z14292" i="5"/>
  <c r="Z14291" i="5"/>
  <c r="Z14290" i="5"/>
  <c r="Z14289" i="5"/>
  <c r="Z14288" i="5"/>
  <c r="Z14287" i="5"/>
  <c r="Z14286" i="5"/>
  <c r="Z14285" i="5"/>
  <c r="Z14284" i="5"/>
  <c r="Z14283" i="5"/>
  <c r="Z14282" i="5"/>
  <c r="Z14281" i="5"/>
  <c r="Z14280" i="5"/>
  <c r="Z14279" i="5"/>
  <c r="Z14278" i="5"/>
  <c r="Z14277" i="5"/>
  <c r="Z14276" i="5"/>
  <c r="Z14275" i="5"/>
  <c r="Z14274" i="5"/>
  <c r="Z14273" i="5"/>
  <c r="Z14272" i="5"/>
  <c r="Z14271" i="5"/>
  <c r="Z14270" i="5"/>
  <c r="Z14269" i="5"/>
  <c r="Z14268" i="5"/>
  <c r="Z14267" i="5"/>
  <c r="Z14266" i="5"/>
  <c r="Z14265" i="5"/>
  <c r="Z14264" i="5"/>
  <c r="Z14263" i="5"/>
  <c r="Z14262" i="5"/>
  <c r="Z14261" i="5"/>
  <c r="Z14260" i="5"/>
  <c r="Z14259" i="5"/>
  <c r="Z14258" i="5"/>
  <c r="Z14257" i="5"/>
  <c r="Z14256" i="5"/>
  <c r="Z14255" i="5"/>
  <c r="Z14254" i="5"/>
  <c r="Z14253" i="5"/>
  <c r="Z14252" i="5"/>
  <c r="Z14251" i="5"/>
  <c r="Z14250" i="5"/>
  <c r="Z14249" i="5"/>
  <c r="Z14248" i="5"/>
  <c r="Z14247" i="5"/>
  <c r="Z14246" i="5"/>
  <c r="Z14245" i="5"/>
  <c r="Z14244" i="5"/>
  <c r="Z14243" i="5"/>
  <c r="Z14242" i="5"/>
  <c r="Z14241" i="5"/>
  <c r="Z14240" i="5"/>
  <c r="Z14239" i="5"/>
  <c r="Z14238" i="5"/>
  <c r="Z14237" i="5"/>
  <c r="Z14236" i="5"/>
  <c r="Z14235" i="5"/>
  <c r="Z14234" i="5"/>
  <c r="Z14233" i="5"/>
  <c r="Z14232" i="5"/>
  <c r="Z14231" i="5"/>
  <c r="Z14230" i="5"/>
  <c r="Z14229" i="5"/>
  <c r="Z14228" i="5"/>
  <c r="Z14227" i="5"/>
  <c r="Z14226" i="5"/>
  <c r="Z14225" i="5"/>
  <c r="Z14224" i="5"/>
  <c r="Z14223" i="5"/>
  <c r="Z14222" i="5"/>
  <c r="Z14221" i="5"/>
  <c r="Z14220" i="5"/>
  <c r="Z14219" i="5"/>
  <c r="Z14218" i="5"/>
  <c r="Z14217" i="5"/>
  <c r="Z14216" i="5"/>
  <c r="Z14215" i="5"/>
  <c r="Z14214" i="5"/>
  <c r="Z14213" i="5"/>
  <c r="Z14212" i="5"/>
  <c r="Z14211" i="5"/>
  <c r="Z14210" i="5"/>
  <c r="Z14209" i="5"/>
  <c r="Z14208" i="5"/>
  <c r="Z14207" i="5"/>
  <c r="Z14206" i="5"/>
  <c r="Z14205" i="5"/>
  <c r="Z14204" i="5"/>
  <c r="Z14203" i="5"/>
  <c r="Z14202" i="5"/>
  <c r="Z14201" i="5"/>
  <c r="Z14200" i="5"/>
  <c r="Z14199" i="5"/>
  <c r="Z14198" i="5"/>
  <c r="Z14197" i="5"/>
  <c r="Z14196" i="5"/>
  <c r="Z14195" i="5"/>
  <c r="Z14194" i="5"/>
  <c r="Z14193" i="5"/>
  <c r="Z14192" i="5"/>
  <c r="Z14191" i="5"/>
  <c r="Z14190" i="5"/>
  <c r="Z14189" i="5"/>
  <c r="Z14188" i="5"/>
  <c r="Z14187" i="5"/>
  <c r="Z14186" i="5"/>
  <c r="Z14185" i="5"/>
  <c r="Z14184" i="5"/>
  <c r="Z14183" i="5"/>
  <c r="Z14182" i="5"/>
  <c r="Z14181" i="5"/>
  <c r="Z14180" i="5"/>
  <c r="Z14179" i="5"/>
  <c r="Z14178" i="5"/>
  <c r="Z14177" i="5"/>
  <c r="Z14176" i="5"/>
  <c r="Z14175" i="5"/>
  <c r="Z14174" i="5"/>
  <c r="Z14173" i="5"/>
  <c r="Z14172" i="5"/>
  <c r="Z14171" i="5"/>
  <c r="Z14170" i="5"/>
  <c r="Z14169" i="5"/>
  <c r="Z14168" i="5"/>
  <c r="Z14167" i="5"/>
  <c r="Z14166" i="5"/>
  <c r="Z14165" i="5"/>
  <c r="Z14164" i="5"/>
  <c r="Z14163" i="5"/>
  <c r="Z14162" i="5"/>
  <c r="Z14161" i="5"/>
  <c r="Z14160" i="5"/>
  <c r="Z14159" i="5"/>
  <c r="Z14158" i="5"/>
  <c r="Z14157" i="5"/>
  <c r="Z14156" i="5"/>
  <c r="Z14155" i="5"/>
  <c r="Z14154" i="5"/>
  <c r="Z14153" i="5"/>
  <c r="Z14152" i="5"/>
  <c r="Z14151" i="5"/>
  <c r="Z14150" i="5"/>
  <c r="Z14149" i="5"/>
  <c r="Z14148" i="5"/>
  <c r="Z14147" i="5"/>
  <c r="Z14146" i="5"/>
  <c r="Z14145" i="5"/>
  <c r="Z14144" i="5"/>
  <c r="Z14143" i="5"/>
  <c r="Z14142" i="5"/>
  <c r="Z14141" i="5"/>
  <c r="Z14140" i="5"/>
  <c r="Z14139" i="5"/>
  <c r="Z14138" i="5"/>
  <c r="Z14137" i="5"/>
  <c r="Z14136" i="5"/>
  <c r="Z14135" i="5"/>
  <c r="Z14134" i="5"/>
  <c r="Z14133" i="5"/>
  <c r="Z14132" i="5"/>
  <c r="Z14131" i="5"/>
  <c r="Z14130" i="5"/>
  <c r="Z14129" i="5"/>
  <c r="Z14128" i="5"/>
  <c r="Z14127" i="5"/>
  <c r="Z14126" i="5"/>
  <c r="Z14125" i="5"/>
  <c r="Z14124" i="5"/>
  <c r="Z14123" i="5"/>
  <c r="Z14122" i="5"/>
  <c r="Z14121" i="5"/>
  <c r="Z14120" i="5"/>
  <c r="Z14119" i="5"/>
  <c r="Z14118" i="5"/>
  <c r="Z14117" i="5"/>
  <c r="Z14116" i="5"/>
  <c r="Z14115" i="5"/>
  <c r="Z14114" i="5"/>
  <c r="Z14113" i="5"/>
  <c r="Z14112" i="5"/>
  <c r="Z14111" i="5"/>
  <c r="Z14110" i="5"/>
  <c r="Z14109" i="5"/>
  <c r="Z14108" i="5"/>
  <c r="Z14107" i="5"/>
  <c r="Z14106" i="5"/>
  <c r="Z14105" i="5"/>
  <c r="Z14104" i="5"/>
  <c r="Z14103" i="5"/>
  <c r="Z14102" i="5"/>
  <c r="Z14101" i="5"/>
  <c r="Z14100" i="5"/>
  <c r="Z14099" i="5"/>
  <c r="Z14098" i="5"/>
  <c r="Z14097" i="5"/>
  <c r="Z14096" i="5"/>
  <c r="Z14095" i="5"/>
  <c r="Z14094" i="5"/>
  <c r="Z14093" i="5"/>
  <c r="Z14092" i="5"/>
  <c r="Z14091" i="5"/>
  <c r="Z14090" i="5"/>
  <c r="Z14089" i="5"/>
  <c r="Z14088" i="5"/>
  <c r="Z14087" i="5"/>
  <c r="Z14086" i="5"/>
  <c r="Z14085" i="5"/>
  <c r="Z14084" i="5"/>
  <c r="Z14083" i="5"/>
  <c r="Z14082" i="5"/>
  <c r="Z14081" i="5"/>
  <c r="Z14080" i="5"/>
  <c r="Z14079" i="5"/>
  <c r="Z14078" i="5"/>
  <c r="Z14077" i="5"/>
  <c r="Z14076" i="5"/>
  <c r="Z14075" i="5"/>
  <c r="Z14074" i="5"/>
  <c r="Z14073" i="5"/>
  <c r="Z14072" i="5"/>
  <c r="Z14071" i="5"/>
  <c r="Z14070" i="5"/>
  <c r="Z14069" i="5"/>
  <c r="Z14068" i="5"/>
  <c r="Z14067" i="5"/>
  <c r="Z14066" i="5"/>
  <c r="Z14065" i="5"/>
  <c r="Z14064" i="5"/>
  <c r="Z14063" i="5"/>
  <c r="Z14062" i="5"/>
  <c r="Z14061" i="5"/>
  <c r="Z14060" i="5"/>
  <c r="Z14059" i="5"/>
  <c r="Z14058" i="5"/>
  <c r="Z14057" i="5"/>
  <c r="Z14056" i="5"/>
  <c r="Z14055" i="5"/>
  <c r="Z14054" i="5"/>
  <c r="Z14053" i="5"/>
  <c r="Z14052" i="5"/>
  <c r="Z14051" i="5"/>
  <c r="Z14050" i="5"/>
  <c r="Z14049" i="5"/>
  <c r="Z14048" i="5"/>
  <c r="Z14047" i="5"/>
  <c r="Z14046" i="5"/>
  <c r="Z14045" i="5"/>
  <c r="Z14044" i="5"/>
  <c r="Z14043" i="5"/>
  <c r="Z14042" i="5"/>
  <c r="Z14041" i="5"/>
  <c r="Z14040" i="5"/>
  <c r="Z14039" i="5"/>
  <c r="Z14038" i="5"/>
  <c r="Z14037" i="5"/>
  <c r="Z14036" i="5"/>
  <c r="Z14035" i="5"/>
  <c r="Z14034" i="5"/>
  <c r="Z14033" i="5"/>
  <c r="Z14032" i="5"/>
  <c r="Z14031" i="5"/>
  <c r="Z14030" i="5"/>
  <c r="Z14029" i="5"/>
  <c r="Z14028" i="5"/>
  <c r="Z14027" i="5"/>
  <c r="Z14026" i="5"/>
  <c r="Z14025" i="5"/>
  <c r="Z14024" i="5"/>
  <c r="Z14023" i="5"/>
  <c r="Z14022" i="5"/>
  <c r="Z14021" i="5"/>
  <c r="Z14020" i="5"/>
  <c r="Z14019" i="5"/>
  <c r="Z14018" i="5"/>
  <c r="Z14017" i="5"/>
  <c r="Z14016" i="5"/>
  <c r="Z14015" i="5"/>
  <c r="Z14014" i="5"/>
  <c r="Z14013" i="5"/>
  <c r="Z14012" i="5"/>
  <c r="Z14011" i="5"/>
  <c r="Z14010" i="5"/>
  <c r="Z14009" i="5"/>
  <c r="Z14008" i="5"/>
  <c r="Z14007" i="5"/>
  <c r="Z14006" i="5"/>
  <c r="Z14005" i="5"/>
  <c r="Z14004" i="5"/>
  <c r="Z14003" i="5"/>
  <c r="Z14002" i="5"/>
  <c r="Z14001" i="5"/>
  <c r="Z14000" i="5"/>
  <c r="Z13999" i="5"/>
  <c r="Z13998" i="5"/>
  <c r="Z13997" i="5"/>
  <c r="Z13996" i="5"/>
  <c r="Z13995" i="5"/>
  <c r="Z13994" i="5"/>
  <c r="Z13993" i="5"/>
  <c r="Z13992" i="5"/>
  <c r="Z13991" i="5"/>
  <c r="Z13990" i="5"/>
  <c r="Z13989" i="5"/>
  <c r="Z13988" i="5"/>
  <c r="Z13987" i="5"/>
  <c r="Z13986" i="5"/>
  <c r="Z13985" i="5"/>
  <c r="Z13984" i="5"/>
  <c r="Z13983" i="5"/>
  <c r="Z13982" i="5"/>
  <c r="Z13981" i="5"/>
  <c r="Z13980" i="5"/>
  <c r="Z13979" i="5"/>
  <c r="Z13978" i="5"/>
  <c r="Z13977" i="5"/>
  <c r="Z13976" i="5"/>
  <c r="Z13975" i="5"/>
  <c r="Z13974" i="5"/>
  <c r="Z13973" i="5"/>
  <c r="Z13972" i="5"/>
  <c r="Z13971" i="5"/>
  <c r="Z13970" i="5"/>
  <c r="Z13969" i="5"/>
  <c r="Z13968" i="5"/>
  <c r="Z13967" i="5"/>
  <c r="Z13966" i="5"/>
  <c r="Z13965" i="5"/>
  <c r="Z13964" i="5"/>
  <c r="Z13963" i="5"/>
  <c r="Z13962" i="5"/>
  <c r="Z13961" i="5"/>
  <c r="Z13960" i="5"/>
  <c r="Z13959" i="5"/>
  <c r="Z13958" i="5"/>
  <c r="Z13957" i="5"/>
  <c r="Z13956" i="5"/>
  <c r="Z13955" i="5"/>
  <c r="Z13954" i="5"/>
  <c r="Z13953" i="5"/>
  <c r="Z13952" i="5"/>
  <c r="Z13951" i="5"/>
  <c r="Z13950" i="5"/>
  <c r="Z13949" i="5"/>
  <c r="Z13948" i="5"/>
  <c r="Z13947" i="5"/>
  <c r="Z13946" i="5"/>
  <c r="Z13945" i="5"/>
  <c r="Z13944" i="5"/>
  <c r="Z13943" i="5"/>
  <c r="Z13942" i="5"/>
  <c r="Z13941" i="5"/>
  <c r="Z13940" i="5"/>
  <c r="Z13939" i="5"/>
  <c r="Z13938" i="5"/>
  <c r="Z13937" i="5"/>
  <c r="Z13936" i="5"/>
  <c r="Z13935" i="5"/>
  <c r="Z13934" i="5"/>
  <c r="Z13933" i="5"/>
  <c r="Z13932" i="5"/>
  <c r="Z13931" i="5"/>
  <c r="Z13930" i="5"/>
  <c r="Z13929" i="5"/>
  <c r="Z13928" i="5"/>
  <c r="Z13927" i="5"/>
  <c r="Z13926" i="5"/>
  <c r="Z13925" i="5"/>
  <c r="Z13924" i="5"/>
  <c r="Z13923" i="5"/>
  <c r="Z13922" i="5"/>
  <c r="Z13921" i="5"/>
  <c r="Z13920" i="5"/>
  <c r="Z13919" i="5"/>
  <c r="Z13918" i="5"/>
  <c r="Z13917" i="5"/>
  <c r="Z13916" i="5"/>
  <c r="Z13915" i="5"/>
  <c r="Z13914" i="5"/>
  <c r="Z13913" i="5"/>
  <c r="Z13912" i="5"/>
  <c r="Z13911" i="5"/>
  <c r="Z13910" i="5"/>
  <c r="Z13909" i="5"/>
  <c r="Z13908" i="5"/>
  <c r="Z13907" i="5"/>
  <c r="Z13906" i="5"/>
  <c r="Z13905" i="5"/>
  <c r="Z13904" i="5"/>
  <c r="Z13903" i="5"/>
  <c r="Z13902" i="5"/>
  <c r="Z13901" i="5"/>
  <c r="Z13900" i="5"/>
  <c r="Z13899" i="5"/>
  <c r="Z13898" i="5"/>
  <c r="Z13897" i="5"/>
  <c r="Z13896" i="5"/>
  <c r="Z13895" i="5"/>
  <c r="Z13894" i="5"/>
  <c r="Z13893" i="5"/>
  <c r="Z13892" i="5"/>
  <c r="Z13891" i="5"/>
  <c r="Z13890" i="5"/>
  <c r="Z13889" i="5"/>
  <c r="Z13888" i="5"/>
  <c r="Z13887" i="5"/>
  <c r="Z13886" i="5"/>
  <c r="Z13885" i="5"/>
  <c r="Z13884" i="5"/>
  <c r="Z13883" i="5"/>
  <c r="Z13882" i="5"/>
  <c r="Z13881" i="5"/>
  <c r="Z13880" i="5"/>
  <c r="Z13879" i="5"/>
  <c r="Z13878" i="5"/>
  <c r="Z13877" i="5"/>
  <c r="Z13876" i="5"/>
  <c r="Z13875" i="5"/>
  <c r="Z13874" i="5"/>
  <c r="Z13873" i="5"/>
  <c r="Z13872" i="5"/>
  <c r="Z13871" i="5"/>
  <c r="Z13870" i="5"/>
  <c r="Z13869" i="5"/>
  <c r="Z13868" i="5"/>
  <c r="Z13867" i="5"/>
  <c r="Z13866" i="5"/>
  <c r="Z13865" i="5"/>
  <c r="Z13864" i="5"/>
  <c r="Z13863" i="5"/>
  <c r="Z13862" i="5"/>
  <c r="Z13861" i="5"/>
  <c r="Z13860" i="5"/>
  <c r="Z13859" i="5"/>
  <c r="Z13858" i="5"/>
  <c r="Z13857" i="5"/>
  <c r="Z13856" i="5"/>
  <c r="Z13855" i="5"/>
  <c r="Z13854" i="5"/>
  <c r="Z13853" i="5"/>
  <c r="Z13852" i="5"/>
  <c r="Z13851" i="5"/>
  <c r="Z13850" i="5"/>
  <c r="Z13849" i="5"/>
  <c r="Z13848" i="5"/>
  <c r="Z13847" i="5"/>
  <c r="Z13846" i="5"/>
  <c r="Z13845" i="5"/>
  <c r="Z13844" i="5"/>
  <c r="Z13843" i="5"/>
  <c r="Z13842" i="5"/>
  <c r="Z13841" i="5"/>
  <c r="Z13840" i="5"/>
  <c r="Z13839" i="5"/>
  <c r="Z13838" i="5"/>
  <c r="Z13837" i="5"/>
  <c r="Z13836" i="5"/>
  <c r="Z13835" i="5"/>
  <c r="Z13834" i="5"/>
  <c r="Z13833" i="5"/>
  <c r="Z13832" i="5"/>
  <c r="Z13831" i="5"/>
  <c r="Z13830" i="5"/>
  <c r="Z13829" i="5"/>
  <c r="Z13828" i="5"/>
  <c r="Z13827" i="5"/>
  <c r="Z13826" i="5"/>
  <c r="Z13825" i="5"/>
  <c r="Z13824" i="5"/>
  <c r="Z13823" i="5"/>
  <c r="Z13822" i="5"/>
  <c r="Z13821" i="5"/>
  <c r="Z13820" i="5"/>
  <c r="Z13819" i="5"/>
  <c r="Z13818" i="5"/>
  <c r="Z13817" i="5"/>
  <c r="Z13816" i="5"/>
  <c r="Z13815" i="5"/>
  <c r="Z13814" i="5"/>
  <c r="Z13813" i="5"/>
  <c r="Z13812" i="5"/>
  <c r="Z13811" i="5"/>
  <c r="Z13810" i="5"/>
  <c r="Z13809" i="5"/>
  <c r="Z13808" i="5"/>
  <c r="Z13807" i="5"/>
  <c r="Z13806" i="5"/>
  <c r="Z13805" i="5"/>
  <c r="Z13804" i="5"/>
  <c r="Z13803" i="5"/>
  <c r="Z13802" i="5"/>
  <c r="Z13801" i="5"/>
  <c r="Z13800" i="5"/>
  <c r="Z13799" i="5"/>
  <c r="Z13798" i="5"/>
  <c r="Z13797" i="5"/>
  <c r="Z13796" i="5"/>
  <c r="Z13795" i="5"/>
  <c r="Z13794" i="5"/>
  <c r="Z13793" i="5"/>
  <c r="Z13792" i="5"/>
  <c r="Z13791" i="5"/>
  <c r="Z13790" i="5"/>
  <c r="Z13789" i="5"/>
  <c r="Z13788" i="5"/>
  <c r="Z13787" i="5"/>
  <c r="Z13786" i="5"/>
  <c r="Z13785" i="5"/>
  <c r="Z13784" i="5"/>
  <c r="Z13783" i="5"/>
  <c r="Z13782" i="5"/>
  <c r="Z13781" i="5"/>
  <c r="Z13780" i="5"/>
  <c r="Z13779" i="5"/>
  <c r="Z13778" i="5"/>
  <c r="Z13777" i="5"/>
  <c r="Z13776" i="5"/>
  <c r="Z13775" i="5"/>
  <c r="Z13774" i="5"/>
  <c r="Z13773" i="5"/>
  <c r="Z13772" i="5"/>
  <c r="Z13771" i="5"/>
  <c r="Z13770" i="5"/>
  <c r="Z13769" i="5"/>
  <c r="Z13768" i="5"/>
  <c r="Z13767" i="5"/>
  <c r="Z13766" i="5"/>
  <c r="Z13765" i="5"/>
  <c r="Z13764" i="5"/>
  <c r="Z13763" i="5"/>
  <c r="Z13762" i="5"/>
  <c r="Z13761" i="5"/>
  <c r="Z13760" i="5"/>
  <c r="Z13759" i="5"/>
  <c r="Z13758" i="5"/>
  <c r="Z13757" i="5"/>
  <c r="Z13756" i="5"/>
  <c r="Z13755" i="5"/>
  <c r="Z13754" i="5"/>
  <c r="Z13753" i="5"/>
  <c r="Z13752" i="5"/>
  <c r="Z13751" i="5"/>
  <c r="Z13750" i="5"/>
  <c r="Z13749" i="5"/>
  <c r="Z13748" i="5"/>
  <c r="Z13747" i="5"/>
  <c r="Z13746" i="5"/>
  <c r="Z13745" i="5"/>
  <c r="Z13744" i="5"/>
  <c r="Z13743" i="5"/>
  <c r="Z13742" i="5"/>
  <c r="Z13741" i="5"/>
  <c r="Z13740" i="5"/>
  <c r="Z13739" i="5"/>
  <c r="Z13738" i="5"/>
  <c r="Z13737" i="5"/>
  <c r="Z13736" i="5"/>
  <c r="Z13735" i="5"/>
  <c r="Z13734" i="5"/>
  <c r="Z13733" i="5"/>
  <c r="Z13732" i="5"/>
  <c r="Z13731" i="5"/>
  <c r="Z13730" i="5"/>
  <c r="Z13729" i="5"/>
  <c r="Z13728" i="5"/>
  <c r="Z13727" i="5"/>
  <c r="Z13726" i="5"/>
  <c r="Z13725" i="5"/>
  <c r="Z13724" i="5"/>
  <c r="Z13723" i="5"/>
  <c r="Z13722" i="5"/>
  <c r="Z13721" i="5"/>
  <c r="Z13720" i="5"/>
  <c r="Z13719" i="5"/>
  <c r="Z13718" i="5"/>
  <c r="Z13717" i="5"/>
  <c r="Z13716" i="5"/>
  <c r="Z13715" i="5"/>
  <c r="Z13714" i="5"/>
  <c r="Z13713" i="5"/>
  <c r="Z13712" i="5"/>
  <c r="Z13711" i="5"/>
  <c r="Z13710" i="5"/>
  <c r="Z13709" i="5"/>
  <c r="Z13708" i="5"/>
  <c r="Z13707" i="5"/>
  <c r="Z13706" i="5"/>
  <c r="Z13705" i="5"/>
  <c r="Z13704" i="5"/>
  <c r="Z13703" i="5"/>
  <c r="Z13702" i="5"/>
  <c r="Z13701" i="5"/>
  <c r="Z13700" i="5"/>
  <c r="Z13699" i="5"/>
  <c r="Z13698" i="5"/>
  <c r="Z13697" i="5"/>
  <c r="Z13696" i="5"/>
  <c r="Z13695" i="5"/>
  <c r="Z13694" i="5"/>
  <c r="Z13693" i="5"/>
  <c r="Z13692" i="5"/>
  <c r="Z13691" i="5"/>
  <c r="Z13690" i="5"/>
  <c r="Z13689" i="5"/>
  <c r="Z13688" i="5"/>
  <c r="Z13687" i="5"/>
  <c r="Z13686" i="5"/>
  <c r="Z13685" i="5"/>
  <c r="Z13684" i="5"/>
  <c r="Z13683" i="5"/>
  <c r="Z13682" i="5"/>
  <c r="Z13681" i="5"/>
  <c r="Z13680" i="5"/>
  <c r="Z13679" i="5"/>
  <c r="Z13678" i="5"/>
  <c r="Z13677" i="5"/>
  <c r="Z13676" i="5"/>
  <c r="Z13675" i="5"/>
  <c r="Z13674" i="5"/>
  <c r="Z13673" i="5"/>
  <c r="Z13672" i="5"/>
  <c r="Z13671" i="5"/>
  <c r="Z13670" i="5"/>
  <c r="Z13669" i="5"/>
  <c r="Z13668" i="5"/>
  <c r="Z13667" i="5"/>
  <c r="Z13666" i="5"/>
  <c r="Z13665" i="5"/>
  <c r="Z13664" i="5"/>
  <c r="Z13663" i="5"/>
  <c r="Z13662" i="5"/>
  <c r="Z13661" i="5"/>
  <c r="Z13660" i="5"/>
  <c r="Z13659" i="5"/>
  <c r="Z13658" i="5"/>
  <c r="Z13657" i="5"/>
  <c r="Z13656" i="5"/>
  <c r="Z13655" i="5"/>
  <c r="Z13654" i="5"/>
  <c r="Z13653" i="5"/>
  <c r="Z13652" i="5"/>
  <c r="Z13651" i="5"/>
  <c r="Z13650" i="5"/>
  <c r="Z13649" i="5"/>
  <c r="Z13648" i="5"/>
  <c r="Z13647" i="5"/>
  <c r="Z13646" i="5"/>
  <c r="Z13645" i="5"/>
  <c r="Z13644" i="5"/>
  <c r="Z13643" i="5"/>
  <c r="Z13642" i="5"/>
  <c r="Z13641" i="5"/>
  <c r="Z13640" i="5"/>
  <c r="Z13639" i="5"/>
  <c r="Z13638" i="5"/>
  <c r="Z13637" i="5"/>
  <c r="Z13636" i="5"/>
  <c r="Z13635" i="5"/>
  <c r="Z13634" i="5"/>
  <c r="Z13633" i="5"/>
  <c r="Z13632" i="5"/>
  <c r="Z13631" i="5"/>
  <c r="Z13630" i="5"/>
  <c r="Z13629" i="5"/>
  <c r="Z13628" i="5"/>
  <c r="Z13627" i="5"/>
  <c r="Z13626" i="5"/>
  <c r="Z13625" i="5"/>
  <c r="Z13624" i="5"/>
  <c r="Z13623" i="5"/>
  <c r="Z13622" i="5"/>
  <c r="Z13621" i="5"/>
  <c r="Z13620" i="5"/>
  <c r="Z13619" i="5"/>
  <c r="Z13618" i="5"/>
  <c r="Z13617" i="5"/>
  <c r="Z13616" i="5"/>
  <c r="Z13615" i="5"/>
  <c r="Z13614" i="5"/>
  <c r="Z13613" i="5"/>
  <c r="Z13612" i="5"/>
  <c r="Z13611" i="5"/>
  <c r="Z13610" i="5"/>
  <c r="Z13609" i="5"/>
  <c r="Z13608" i="5"/>
  <c r="Z13607" i="5"/>
  <c r="Z13606" i="5"/>
  <c r="Z13605" i="5"/>
  <c r="Z13604" i="5"/>
  <c r="Z13603" i="5"/>
  <c r="Z13602" i="5"/>
  <c r="Z13601" i="5"/>
  <c r="Z13600" i="5"/>
  <c r="Z13599" i="5"/>
  <c r="Z13598" i="5"/>
  <c r="Z13597" i="5"/>
  <c r="Z13596" i="5"/>
  <c r="Z13595" i="5"/>
  <c r="Z13594" i="5"/>
  <c r="Z13593" i="5"/>
  <c r="Z13592" i="5"/>
  <c r="Z13591" i="5"/>
  <c r="Z13590" i="5"/>
  <c r="Z13589" i="5"/>
  <c r="Z13588" i="5"/>
  <c r="Z13587" i="5"/>
  <c r="Z13586" i="5"/>
  <c r="Z13585" i="5"/>
  <c r="Z13584" i="5"/>
  <c r="Z13583" i="5"/>
  <c r="Z13582" i="5"/>
  <c r="Z13581" i="5"/>
  <c r="Z13580" i="5"/>
  <c r="Z13579" i="5"/>
  <c r="Z13578" i="5"/>
  <c r="Z13577" i="5"/>
  <c r="Z13576" i="5"/>
  <c r="Z13575" i="5"/>
  <c r="Z13574" i="5"/>
  <c r="Z13573" i="5"/>
  <c r="Z13572" i="5"/>
  <c r="Z13571" i="5"/>
  <c r="Z13570" i="5"/>
  <c r="Z13569" i="5"/>
  <c r="Z13568" i="5"/>
  <c r="Z13567" i="5"/>
  <c r="Z13566" i="5"/>
  <c r="Z13565" i="5"/>
  <c r="Z13564" i="5"/>
  <c r="Z13563" i="5"/>
  <c r="Z13562" i="5"/>
  <c r="Z13561" i="5"/>
  <c r="Z13560" i="5"/>
  <c r="Z13559" i="5"/>
  <c r="Z13558" i="5"/>
  <c r="Z13557" i="5"/>
  <c r="Z13556" i="5"/>
  <c r="Z13555" i="5"/>
  <c r="Z13554" i="5"/>
  <c r="Z13553" i="5"/>
  <c r="Z13552" i="5"/>
  <c r="Z13551" i="5"/>
  <c r="Z13550" i="5"/>
  <c r="Z13549" i="5"/>
  <c r="Z13548" i="5"/>
  <c r="Z13547" i="5"/>
  <c r="Z13546" i="5"/>
  <c r="Z13545" i="5"/>
  <c r="Z13544" i="5"/>
  <c r="Z13543" i="5"/>
  <c r="Z13542" i="5"/>
  <c r="Z13541" i="5"/>
  <c r="Z13540" i="5"/>
  <c r="Z13539" i="5"/>
  <c r="Z13538" i="5"/>
  <c r="Z13537" i="5"/>
  <c r="Z13536" i="5"/>
  <c r="Z13535" i="5"/>
  <c r="Z13534" i="5"/>
  <c r="Z13533" i="5"/>
  <c r="Z13532" i="5"/>
  <c r="Z13531" i="5"/>
  <c r="Z13530" i="5"/>
  <c r="Z13529" i="5"/>
  <c r="Z13528" i="5"/>
  <c r="Z13527" i="5"/>
  <c r="Z13526" i="5"/>
  <c r="Z13525" i="5"/>
  <c r="Z13524" i="5"/>
  <c r="Z13523" i="5"/>
  <c r="Z13522" i="5"/>
  <c r="Z13521" i="5"/>
  <c r="Z13520" i="5"/>
  <c r="Z13519" i="5"/>
  <c r="Z13518" i="5"/>
  <c r="Z13517" i="5"/>
  <c r="Z13516" i="5"/>
  <c r="Z13515" i="5"/>
  <c r="Z13514" i="5"/>
  <c r="Z13513" i="5"/>
  <c r="Z13512" i="5"/>
  <c r="Z13511" i="5"/>
  <c r="Z13510" i="5"/>
  <c r="Z13509" i="5"/>
  <c r="Z13508" i="5"/>
  <c r="Z13507" i="5"/>
  <c r="Z13506" i="5"/>
  <c r="Z13505" i="5"/>
  <c r="Z13504" i="5"/>
  <c r="Z13503" i="5"/>
  <c r="Z13502" i="5"/>
  <c r="Z13501" i="5"/>
  <c r="Z13500" i="5"/>
  <c r="Z13499" i="5"/>
  <c r="Z13498" i="5"/>
  <c r="Z13497" i="5"/>
  <c r="Z13496" i="5"/>
  <c r="Z13495" i="5"/>
  <c r="Z13494" i="5"/>
  <c r="Z13493" i="5"/>
  <c r="Z13492" i="5"/>
  <c r="Z13491" i="5"/>
  <c r="Z13490" i="5"/>
  <c r="Z13489" i="5"/>
  <c r="Z13488" i="5"/>
  <c r="Z13487" i="5"/>
  <c r="Z13486" i="5"/>
  <c r="Z13485" i="5"/>
  <c r="Z13484" i="5"/>
  <c r="Z13483" i="5"/>
  <c r="Z13482" i="5"/>
  <c r="Z13481" i="5"/>
  <c r="Z13480" i="5"/>
  <c r="Z13479" i="5"/>
  <c r="Z13478" i="5"/>
  <c r="Z13477" i="5"/>
  <c r="Z13476" i="5"/>
  <c r="Z13475" i="5"/>
  <c r="Z13474" i="5"/>
  <c r="Z13473" i="5"/>
  <c r="Z13472" i="5"/>
  <c r="Z13471" i="5"/>
  <c r="Z13470" i="5"/>
  <c r="Z13469" i="5"/>
  <c r="Z13468" i="5"/>
  <c r="Z13467" i="5"/>
  <c r="Z13466" i="5"/>
  <c r="Z13465" i="5"/>
  <c r="Z13464" i="5"/>
  <c r="Z13463" i="5"/>
  <c r="Z13462" i="5"/>
  <c r="Z13461" i="5"/>
  <c r="Z13460" i="5"/>
  <c r="Z13459" i="5"/>
  <c r="Z13458" i="5"/>
  <c r="Z13457" i="5"/>
  <c r="Z13456" i="5"/>
  <c r="Z13455" i="5"/>
  <c r="Z13454" i="5"/>
  <c r="Z13453" i="5"/>
  <c r="Z13452" i="5"/>
  <c r="Z13451" i="5"/>
  <c r="Z13450" i="5"/>
  <c r="Z13449" i="5"/>
  <c r="Z13448" i="5"/>
  <c r="Z13447" i="5"/>
  <c r="Z13446" i="5"/>
  <c r="Z13445" i="5"/>
  <c r="Z13444" i="5"/>
  <c r="Z13443" i="5"/>
  <c r="Z13442" i="5"/>
  <c r="Z13441" i="5"/>
  <c r="Z13440" i="5"/>
  <c r="Z13439" i="5"/>
  <c r="Z13438" i="5"/>
  <c r="Z13437" i="5"/>
  <c r="Z13436" i="5"/>
  <c r="Z13435" i="5"/>
  <c r="Z13434" i="5"/>
  <c r="Z13433" i="5"/>
  <c r="Z13432" i="5"/>
  <c r="Z13431" i="5"/>
  <c r="Z13430" i="5"/>
  <c r="Z13429" i="5"/>
  <c r="Z13428" i="5"/>
  <c r="Z13427" i="5"/>
  <c r="Z13426" i="5"/>
  <c r="Z13425" i="5"/>
  <c r="Z13424" i="5"/>
  <c r="Z13423" i="5"/>
  <c r="Z13422" i="5"/>
  <c r="Z13421" i="5"/>
  <c r="Z13420" i="5"/>
  <c r="Z13419" i="5"/>
  <c r="Z13418" i="5"/>
  <c r="Z13417" i="5"/>
  <c r="Z13416" i="5"/>
  <c r="Z13415" i="5"/>
  <c r="Z13414" i="5"/>
  <c r="Z13413" i="5"/>
  <c r="Z13412" i="5"/>
  <c r="Z13411" i="5"/>
  <c r="Z13410" i="5"/>
  <c r="Z13409" i="5"/>
  <c r="Z13408" i="5"/>
  <c r="Z13407" i="5"/>
  <c r="Z13406" i="5"/>
  <c r="Z13405" i="5"/>
  <c r="Z13404" i="5"/>
  <c r="Z13403" i="5"/>
  <c r="Z13402" i="5"/>
  <c r="Z13401" i="5"/>
  <c r="Z13400" i="5"/>
  <c r="Z13399" i="5"/>
  <c r="Z13398" i="5"/>
  <c r="Z13397" i="5"/>
  <c r="Z13396" i="5"/>
  <c r="Z13395" i="5"/>
  <c r="Z13394" i="5"/>
  <c r="Z13393" i="5"/>
  <c r="Z13392" i="5"/>
  <c r="Z13391" i="5"/>
  <c r="Z13390" i="5"/>
  <c r="Z13389" i="5"/>
  <c r="Z13388" i="5"/>
  <c r="Z13387" i="5"/>
  <c r="Z13386" i="5"/>
  <c r="Z13385" i="5"/>
  <c r="Z13384" i="5"/>
  <c r="Z13383" i="5"/>
  <c r="Z13382" i="5"/>
  <c r="Z13381" i="5"/>
  <c r="Z13380" i="5"/>
  <c r="Z13379" i="5"/>
  <c r="Z13378" i="5"/>
  <c r="Z13377" i="5"/>
  <c r="Z13376" i="5"/>
  <c r="Z13375" i="5"/>
  <c r="Z13374" i="5"/>
  <c r="Z13373" i="5"/>
  <c r="Z13372" i="5"/>
  <c r="Z13371" i="5"/>
  <c r="Z13370" i="5"/>
  <c r="Z13369" i="5"/>
  <c r="Z13368" i="5"/>
  <c r="Z13367" i="5"/>
  <c r="Z13366" i="5"/>
  <c r="Z13365" i="5"/>
  <c r="Z13364" i="5"/>
  <c r="Z13363" i="5"/>
  <c r="Z13362" i="5"/>
  <c r="Z13361" i="5"/>
  <c r="Z13360" i="5"/>
  <c r="Z13359" i="5"/>
  <c r="Z13358" i="5"/>
  <c r="Z13357" i="5"/>
  <c r="Z13356" i="5"/>
  <c r="Z13355" i="5"/>
  <c r="Z13354" i="5"/>
  <c r="Z13353" i="5"/>
  <c r="Z13352" i="5"/>
  <c r="Z13351" i="5"/>
  <c r="Z13350" i="5"/>
  <c r="Z13349" i="5"/>
  <c r="Z13348" i="5"/>
  <c r="Z13347" i="5"/>
  <c r="Z13346" i="5"/>
  <c r="Z13345" i="5"/>
  <c r="Z13344" i="5"/>
  <c r="Z13343" i="5"/>
  <c r="Z13342" i="5"/>
  <c r="Z13341" i="5"/>
  <c r="Z13340" i="5"/>
  <c r="Z13339" i="5"/>
  <c r="Z13338" i="5"/>
  <c r="Z13337" i="5"/>
  <c r="Z13336" i="5"/>
  <c r="Z13335" i="5"/>
  <c r="Z13334" i="5"/>
  <c r="Z13333" i="5"/>
  <c r="Z13332" i="5"/>
  <c r="Z13331" i="5"/>
  <c r="Z13330" i="5"/>
  <c r="Z13329" i="5"/>
  <c r="Z13328" i="5"/>
  <c r="Z13327" i="5"/>
  <c r="Z13326" i="5"/>
  <c r="Z13325" i="5"/>
  <c r="Z13324" i="5"/>
  <c r="Z13323" i="5"/>
  <c r="Z13322" i="5"/>
  <c r="Z13321" i="5"/>
  <c r="Z13320" i="5"/>
  <c r="Z13319" i="5"/>
  <c r="Z13318" i="5"/>
  <c r="Z13317" i="5"/>
  <c r="Z13316" i="5"/>
  <c r="Z13315" i="5"/>
  <c r="Z13314" i="5"/>
  <c r="Z13313" i="5"/>
  <c r="Z13312" i="5"/>
  <c r="Z13311" i="5"/>
  <c r="Z13310" i="5"/>
  <c r="Z13309" i="5"/>
  <c r="Z13308" i="5"/>
  <c r="Z13307" i="5"/>
  <c r="Z13306" i="5"/>
  <c r="Z13305" i="5"/>
  <c r="Z13304" i="5"/>
  <c r="Z13303" i="5"/>
  <c r="Z13302" i="5"/>
  <c r="Z13301" i="5"/>
  <c r="Z13300" i="5"/>
  <c r="Z13299" i="5"/>
  <c r="Z13298" i="5"/>
  <c r="Z13297" i="5"/>
  <c r="Z13296" i="5"/>
  <c r="Z13295" i="5"/>
  <c r="Z13294" i="5"/>
  <c r="Z13293" i="5"/>
  <c r="Z13292" i="5"/>
  <c r="Z13291" i="5"/>
  <c r="Z13290" i="5"/>
  <c r="Z13289" i="5"/>
  <c r="Z13288" i="5"/>
  <c r="Z13287" i="5"/>
  <c r="Z13286" i="5"/>
  <c r="Z13285" i="5"/>
  <c r="Z13284" i="5"/>
  <c r="Z13283" i="5"/>
  <c r="Z13282" i="5"/>
  <c r="Z13281" i="5"/>
  <c r="Z13280" i="5"/>
  <c r="Z13279" i="5"/>
  <c r="Z13278" i="5"/>
  <c r="Z13277" i="5"/>
  <c r="Z13276" i="5"/>
  <c r="Z13275" i="5"/>
  <c r="Z13274" i="5"/>
  <c r="Z13273" i="5"/>
  <c r="Z13272" i="5"/>
  <c r="Z13271" i="5"/>
  <c r="Z13270" i="5"/>
  <c r="Z13269" i="5"/>
  <c r="Z13268" i="5"/>
  <c r="Z13267" i="5"/>
  <c r="Z13266" i="5"/>
  <c r="Z13265" i="5"/>
  <c r="Z13264" i="5"/>
  <c r="Z13263" i="5"/>
  <c r="Z13262" i="5"/>
  <c r="Z13261" i="5"/>
  <c r="Z13260" i="5"/>
  <c r="Z13259" i="5"/>
  <c r="Z13258" i="5"/>
  <c r="Z13257" i="5"/>
  <c r="Z13256" i="5"/>
  <c r="Z13255" i="5"/>
  <c r="Z13254" i="5"/>
  <c r="Z13253" i="5"/>
  <c r="Z13252" i="5"/>
  <c r="Z13251" i="5"/>
  <c r="Z13250" i="5"/>
  <c r="Z13249" i="5"/>
  <c r="Z13248" i="5"/>
  <c r="Z13247" i="5"/>
  <c r="Z13246" i="5"/>
  <c r="Z13245" i="5"/>
  <c r="Z13244" i="5"/>
  <c r="Z13243" i="5"/>
  <c r="Z13242" i="5"/>
  <c r="Z13241" i="5"/>
  <c r="Z13240" i="5"/>
  <c r="Z13239" i="5"/>
  <c r="Z13238" i="5"/>
  <c r="Z13237" i="5"/>
  <c r="Z13236" i="5"/>
  <c r="Z13235" i="5"/>
  <c r="Z13234" i="5"/>
  <c r="Z13233" i="5"/>
  <c r="Z13232" i="5"/>
  <c r="Z13231" i="5"/>
  <c r="Z13230" i="5"/>
  <c r="Z13229" i="5"/>
  <c r="Z13228" i="5"/>
  <c r="Z13227" i="5"/>
  <c r="Z13226" i="5"/>
  <c r="Z13225" i="5"/>
  <c r="Z13224" i="5"/>
  <c r="Z13223" i="5"/>
  <c r="Z13222" i="5"/>
  <c r="Z13221" i="5"/>
  <c r="Z13220" i="5"/>
  <c r="Z13219" i="5"/>
  <c r="Z13218" i="5"/>
  <c r="Z13217" i="5"/>
  <c r="Z13216" i="5"/>
  <c r="Z13215" i="5"/>
  <c r="Z13214" i="5"/>
  <c r="Z13213" i="5"/>
  <c r="Z13212" i="5"/>
  <c r="Z13211" i="5"/>
  <c r="Z13210" i="5"/>
  <c r="Z13209" i="5"/>
  <c r="Z13208" i="5"/>
  <c r="Z13207" i="5"/>
  <c r="Z13206" i="5"/>
  <c r="Z13205" i="5"/>
  <c r="Z13204" i="5"/>
  <c r="Z13203" i="5"/>
  <c r="Z13202" i="5"/>
  <c r="Z13201" i="5"/>
  <c r="Z13200" i="5"/>
  <c r="Z13199" i="5"/>
  <c r="Z13198" i="5"/>
  <c r="Z13197" i="5"/>
  <c r="Z13196" i="5"/>
  <c r="Z13195" i="5"/>
  <c r="Z13194" i="5"/>
  <c r="Z13193" i="5"/>
  <c r="Z13192" i="5"/>
  <c r="Z13191" i="5"/>
  <c r="Z13190" i="5"/>
  <c r="Z13189" i="5"/>
  <c r="Z13188" i="5"/>
  <c r="Z13187" i="5"/>
  <c r="Z13186" i="5"/>
  <c r="Z13185" i="5"/>
  <c r="Z13184" i="5"/>
  <c r="Z13183" i="5"/>
  <c r="Z13182" i="5"/>
  <c r="Z13181" i="5"/>
  <c r="Z13180" i="5"/>
  <c r="Z13179" i="5"/>
  <c r="Z13178" i="5"/>
  <c r="Z13177" i="5"/>
  <c r="Z13176" i="5"/>
  <c r="Z13175" i="5"/>
  <c r="Z13174" i="5"/>
  <c r="Z13173" i="5"/>
  <c r="Z13172" i="5"/>
  <c r="Z13171" i="5"/>
  <c r="Z13170" i="5"/>
  <c r="Z13169" i="5"/>
  <c r="Z13168" i="5"/>
  <c r="Z13167" i="5"/>
  <c r="Z13166" i="5"/>
  <c r="Z13165" i="5"/>
  <c r="Z13164" i="5"/>
  <c r="Z13163" i="5"/>
  <c r="Z13162" i="5"/>
  <c r="Z13161" i="5"/>
  <c r="Z13160" i="5"/>
  <c r="Z13159" i="5"/>
  <c r="Z13158" i="5"/>
  <c r="Z13157" i="5"/>
  <c r="Z13156" i="5"/>
  <c r="Z13155" i="5"/>
  <c r="Z13154" i="5"/>
  <c r="Z13153" i="5"/>
  <c r="Z13152" i="5"/>
  <c r="Z13151" i="5"/>
  <c r="Z13150" i="5"/>
  <c r="Z13149" i="5"/>
  <c r="Z13148" i="5"/>
  <c r="Z13147" i="5"/>
  <c r="Z13146" i="5"/>
  <c r="Z13145" i="5"/>
  <c r="Z13144" i="5"/>
  <c r="Z13143" i="5"/>
  <c r="Z13142" i="5"/>
  <c r="Z13141" i="5"/>
  <c r="Z13140" i="5"/>
  <c r="Z13139" i="5"/>
  <c r="Z13138" i="5"/>
  <c r="Z13137" i="5"/>
  <c r="Z13136" i="5"/>
  <c r="Z13135" i="5"/>
  <c r="Z13134" i="5"/>
  <c r="Z13133" i="5"/>
  <c r="Z13132" i="5"/>
  <c r="Z13131" i="5"/>
  <c r="Z13130" i="5"/>
  <c r="Z13129" i="5"/>
  <c r="Z13128" i="5"/>
  <c r="Z13127" i="5"/>
  <c r="Z13126" i="5"/>
  <c r="Z13125" i="5"/>
  <c r="Z13124" i="5"/>
  <c r="Z13123" i="5"/>
  <c r="Z13122" i="5"/>
  <c r="Z13121" i="5"/>
  <c r="Z13120" i="5"/>
  <c r="Z13119" i="5"/>
  <c r="Z13118" i="5"/>
  <c r="Z13117" i="5"/>
  <c r="Z13116" i="5"/>
  <c r="Z13115" i="5"/>
  <c r="Z13114" i="5"/>
  <c r="Z13113" i="5"/>
  <c r="Z13112" i="5"/>
  <c r="Z13111" i="5"/>
  <c r="Z13110" i="5"/>
  <c r="Z13109" i="5"/>
  <c r="Z13108" i="5"/>
  <c r="Z13107" i="5"/>
  <c r="Z13106" i="5"/>
  <c r="Z13105" i="5"/>
  <c r="Z13104" i="5"/>
  <c r="Z13103" i="5"/>
  <c r="Z13102" i="5"/>
  <c r="Z13101" i="5"/>
  <c r="Z13100" i="5"/>
  <c r="Z13099" i="5"/>
  <c r="Z13098" i="5"/>
  <c r="Z13097" i="5"/>
  <c r="Z13096" i="5"/>
  <c r="Z13095" i="5"/>
  <c r="Z13094" i="5"/>
  <c r="Z13093" i="5"/>
  <c r="Z13092" i="5"/>
  <c r="Z13091" i="5"/>
  <c r="Z13090" i="5"/>
  <c r="Z13089" i="5"/>
  <c r="Z13088" i="5"/>
  <c r="Z13087" i="5"/>
  <c r="Z13086" i="5"/>
  <c r="Z13085" i="5"/>
  <c r="Z13084" i="5"/>
  <c r="Z13083" i="5"/>
  <c r="Z13082" i="5"/>
  <c r="Z13081" i="5"/>
  <c r="Z13080" i="5"/>
  <c r="Z13079" i="5"/>
  <c r="Z13078" i="5"/>
  <c r="Z13077" i="5"/>
  <c r="Z13076" i="5"/>
  <c r="Z13075" i="5"/>
  <c r="Z13074" i="5"/>
  <c r="Z13073" i="5"/>
  <c r="Z13072" i="5"/>
  <c r="Z13071" i="5"/>
  <c r="Z13070" i="5"/>
  <c r="Z13069" i="5"/>
  <c r="Z13068" i="5"/>
  <c r="Z13067" i="5"/>
  <c r="Z13066" i="5"/>
  <c r="Z13065" i="5"/>
  <c r="Z13064" i="5"/>
  <c r="Z13063" i="5"/>
  <c r="Z13062" i="5"/>
  <c r="Z13061" i="5"/>
  <c r="Z13060" i="5"/>
  <c r="Z13059" i="5"/>
  <c r="Z13058" i="5"/>
  <c r="Z13057" i="5"/>
  <c r="Z13056" i="5"/>
  <c r="Z13055" i="5"/>
  <c r="Z13054" i="5"/>
  <c r="Z13053" i="5"/>
  <c r="Z13052" i="5"/>
  <c r="Z13051" i="5"/>
  <c r="Z13050" i="5"/>
  <c r="Z13049" i="5"/>
  <c r="Z13048" i="5"/>
  <c r="Z13047" i="5"/>
  <c r="Z13046" i="5"/>
  <c r="Z13045" i="5"/>
  <c r="Z13044" i="5"/>
  <c r="Z13043" i="5"/>
  <c r="Z13042" i="5"/>
  <c r="Z13041" i="5"/>
  <c r="Z13040" i="5"/>
  <c r="Z13039" i="5"/>
  <c r="Z13038" i="5"/>
  <c r="Z13037" i="5"/>
  <c r="Z13036" i="5"/>
  <c r="Z13035" i="5"/>
  <c r="Z13034" i="5"/>
  <c r="Z13033" i="5"/>
  <c r="Z13032" i="5"/>
  <c r="Z13031" i="5"/>
  <c r="Z13030" i="5"/>
  <c r="Z13029" i="5"/>
  <c r="Z13028" i="5"/>
  <c r="Z13027" i="5"/>
  <c r="Z13026" i="5"/>
  <c r="Z13025" i="5"/>
  <c r="Z13024" i="5"/>
  <c r="Z13023" i="5"/>
  <c r="Z13022" i="5"/>
  <c r="Z13021" i="5"/>
  <c r="Z13020" i="5"/>
  <c r="Z13019" i="5"/>
  <c r="Z13018" i="5"/>
  <c r="Z13017" i="5"/>
  <c r="Z13016" i="5"/>
  <c r="Z13015" i="5"/>
  <c r="Z13014" i="5"/>
  <c r="Z13013" i="5"/>
  <c r="Z13012" i="5"/>
  <c r="Z13011" i="5"/>
  <c r="Z13010" i="5"/>
  <c r="Z13009" i="5"/>
  <c r="Z13008" i="5"/>
  <c r="Z13007" i="5"/>
  <c r="Z13006" i="5"/>
  <c r="Z13005" i="5"/>
  <c r="Z13004" i="5"/>
  <c r="Z13003" i="5"/>
  <c r="Z13002" i="5"/>
  <c r="Z13001" i="5"/>
  <c r="Z13000" i="5"/>
  <c r="Z12999" i="5"/>
  <c r="Z12998" i="5"/>
  <c r="Z12997" i="5"/>
  <c r="Z12996" i="5"/>
  <c r="Z12995" i="5"/>
  <c r="Z12994" i="5"/>
  <c r="Z12993" i="5"/>
  <c r="Z12992" i="5"/>
  <c r="Z12991" i="5"/>
  <c r="Z12990" i="5"/>
  <c r="Z12989" i="5"/>
  <c r="Z12988" i="5"/>
  <c r="Z12987" i="5"/>
  <c r="Z12986" i="5"/>
  <c r="Z12985" i="5"/>
  <c r="Z12984" i="5"/>
  <c r="Z12983" i="5"/>
  <c r="Z12982" i="5"/>
  <c r="Z12981" i="5"/>
  <c r="Z12980" i="5"/>
  <c r="Z12979" i="5"/>
  <c r="Z12978" i="5"/>
  <c r="Z12977" i="5"/>
  <c r="Z12976" i="5"/>
  <c r="Z12975" i="5"/>
  <c r="Z12974" i="5"/>
  <c r="Z12973" i="5"/>
  <c r="Z12972" i="5"/>
  <c r="Z12971" i="5"/>
  <c r="Z12970" i="5"/>
  <c r="Z12969" i="5"/>
  <c r="Z12968" i="5"/>
  <c r="Z12967" i="5"/>
  <c r="Z12966" i="5"/>
  <c r="Z12965" i="5"/>
  <c r="Z12964" i="5"/>
  <c r="Z12963" i="5"/>
  <c r="Z12962" i="5"/>
  <c r="Z12961" i="5"/>
  <c r="Z12960" i="5"/>
  <c r="Z12959" i="5"/>
  <c r="Z12958" i="5"/>
  <c r="Z12957" i="5"/>
  <c r="Z12956" i="5"/>
  <c r="Z12955" i="5"/>
  <c r="Z12954" i="5"/>
  <c r="Z12953" i="5"/>
  <c r="Z12952" i="5"/>
  <c r="Z12951" i="5"/>
  <c r="Z12950" i="5"/>
  <c r="Z12949" i="5"/>
  <c r="Z12948" i="5"/>
  <c r="Z12947" i="5"/>
  <c r="Z12946" i="5"/>
  <c r="Z12945" i="5"/>
  <c r="Z12944" i="5"/>
  <c r="Z12943" i="5"/>
  <c r="Z12942" i="5"/>
  <c r="Z12941" i="5"/>
  <c r="Z12940" i="5"/>
  <c r="Z12939" i="5"/>
  <c r="Z12938" i="5"/>
  <c r="Z12937" i="5"/>
  <c r="Z12936" i="5"/>
  <c r="Z12935" i="5"/>
  <c r="Z12934" i="5"/>
  <c r="Z12933" i="5"/>
  <c r="Z12932" i="5"/>
  <c r="Z12931" i="5"/>
  <c r="Z12930" i="5"/>
  <c r="Z12929" i="5"/>
  <c r="Z12928" i="5"/>
  <c r="Z12927" i="5"/>
  <c r="Z12926" i="5"/>
  <c r="Z12925" i="5"/>
  <c r="Z12924" i="5"/>
  <c r="Z12923" i="5"/>
  <c r="Z12922" i="5"/>
  <c r="Z12921" i="5"/>
  <c r="Z12920" i="5"/>
  <c r="Z12919" i="5"/>
  <c r="Z12918" i="5"/>
  <c r="Z12917" i="5"/>
  <c r="Z12916" i="5"/>
  <c r="Z12915" i="5"/>
  <c r="Z12914" i="5"/>
  <c r="Z12913" i="5"/>
  <c r="Z12912" i="5"/>
  <c r="Z12911" i="5"/>
  <c r="Z12910" i="5"/>
  <c r="Z12909" i="5"/>
  <c r="Z12908" i="5"/>
  <c r="Z12907" i="5"/>
  <c r="Z12906" i="5"/>
  <c r="Z12905" i="5"/>
  <c r="Z12904" i="5"/>
  <c r="Z12903" i="5"/>
  <c r="Z12902" i="5"/>
  <c r="Z12901" i="5"/>
  <c r="Z12900" i="5"/>
  <c r="Z12899" i="5"/>
  <c r="Z12898" i="5"/>
  <c r="Z12897" i="5"/>
  <c r="Z12896" i="5"/>
  <c r="Z12895" i="5"/>
  <c r="Z12894" i="5"/>
  <c r="Z12893" i="5"/>
  <c r="Z12892" i="5"/>
  <c r="Z12891" i="5"/>
  <c r="Z12890" i="5"/>
  <c r="Z12889" i="5"/>
  <c r="Z12888" i="5"/>
  <c r="Z12887" i="5"/>
  <c r="Z12886" i="5"/>
  <c r="Z12885" i="5"/>
  <c r="Z12884" i="5"/>
  <c r="Z12883" i="5"/>
  <c r="Z12882" i="5"/>
  <c r="Z12881" i="5"/>
  <c r="Z12880" i="5"/>
  <c r="Z12879" i="5"/>
  <c r="Z12878" i="5"/>
  <c r="Z12877" i="5"/>
  <c r="Z12876" i="5"/>
  <c r="Z12875" i="5"/>
  <c r="Z12874" i="5"/>
  <c r="Z12873" i="5"/>
  <c r="Z12872" i="5"/>
  <c r="Z12871" i="5"/>
  <c r="Z12870" i="5"/>
  <c r="Z12869" i="5"/>
  <c r="Z12868" i="5"/>
  <c r="Z12867" i="5"/>
  <c r="Z12866" i="5"/>
  <c r="Z12865" i="5"/>
  <c r="Z12864" i="5"/>
  <c r="Z12863" i="5"/>
  <c r="Z12862" i="5"/>
  <c r="Z12861" i="5"/>
  <c r="Z12860" i="5"/>
  <c r="Z12859" i="5"/>
  <c r="Z12858" i="5"/>
  <c r="Z12857" i="5"/>
  <c r="Z12856" i="5"/>
  <c r="Z12855" i="5"/>
  <c r="Z12854" i="5"/>
  <c r="Z12853" i="5"/>
  <c r="Z12852" i="5"/>
  <c r="Z12851" i="5"/>
  <c r="Z12850" i="5"/>
  <c r="Z12849" i="5"/>
  <c r="Z12848" i="5"/>
  <c r="Z12847" i="5"/>
  <c r="Z12846" i="5"/>
  <c r="Z12845" i="5"/>
  <c r="Z12844" i="5"/>
  <c r="Z12843" i="5"/>
  <c r="Z12842" i="5"/>
  <c r="Z12841" i="5"/>
  <c r="Z12840" i="5"/>
  <c r="Z12839" i="5"/>
  <c r="Z12838" i="5"/>
  <c r="Z12837" i="5"/>
  <c r="Z12836" i="5"/>
  <c r="Z12835" i="5"/>
  <c r="Z12834" i="5"/>
  <c r="Z12833" i="5"/>
  <c r="Z12832" i="5"/>
  <c r="Z12831" i="5"/>
  <c r="Z12830" i="5"/>
  <c r="Z12829" i="5"/>
  <c r="Z12828" i="5"/>
  <c r="Z12827" i="5"/>
  <c r="Z12826" i="5"/>
  <c r="Z12825" i="5"/>
  <c r="Z12824" i="5"/>
  <c r="Z12823" i="5"/>
  <c r="Z12822" i="5"/>
  <c r="Z12821" i="5"/>
  <c r="Z12820" i="5"/>
  <c r="Z12819" i="5"/>
  <c r="Z12818" i="5"/>
  <c r="Z12817" i="5"/>
  <c r="Z12816" i="5"/>
  <c r="Z12815" i="5"/>
  <c r="Z12814" i="5"/>
  <c r="Z12813" i="5"/>
  <c r="Z12812" i="5"/>
  <c r="Z12811" i="5"/>
  <c r="Z12810" i="5"/>
  <c r="Z12809" i="5"/>
  <c r="Z12808" i="5"/>
  <c r="Z12807" i="5"/>
  <c r="Z12806" i="5"/>
  <c r="Z12805" i="5"/>
  <c r="Z12804" i="5"/>
  <c r="Z12803" i="5"/>
  <c r="Z12802" i="5"/>
  <c r="Z12801" i="5"/>
  <c r="Z12800" i="5"/>
  <c r="Z12799" i="5"/>
  <c r="Z12798" i="5"/>
  <c r="Z12797" i="5"/>
  <c r="Z12796" i="5"/>
  <c r="Z12795" i="5"/>
  <c r="Z12794" i="5"/>
  <c r="Z12793" i="5"/>
  <c r="Z12792" i="5"/>
  <c r="Z12791" i="5"/>
  <c r="Z12790" i="5"/>
  <c r="Z12789" i="5"/>
  <c r="Z12788" i="5"/>
  <c r="Z12787" i="5"/>
  <c r="Z12786" i="5"/>
  <c r="Z12785" i="5"/>
  <c r="Z12784" i="5"/>
  <c r="Z12783" i="5"/>
  <c r="Z12782" i="5"/>
  <c r="Z12781" i="5"/>
  <c r="Z12780" i="5"/>
  <c r="Z12779" i="5"/>
  <c r="Z12778" i="5"/>
  <c r="Z12777" i="5"/>
  <c r="Z12776" i="5"/>
  <c r="Z12775" i="5"/>
  <c r="Z12774" i="5"/>
  <c r="Z12773" i="5"/>
  <c r="Z12772" i="5"/>
  <c r="Z12771" i="5"/>
  <c r="Z12770" i="5"/>
  <c r="Z12769" i="5"/>
  <c r="Z12768" i="5"/>
  <c r="Z12767" i="5"/>
  <c r="Z12766" i="5"/>
  <c r="Z12765" i="5"/>
  <c r="Z12764" i="5"/>
  <c r="Z12763" i="5"/>
  <c r="Z12762" i="5"/>
  <c r="Z12761" i="5"/>
  <c r="Z12760" i="5"/>
  <c r="Z12759" i="5"/>
  <c r="Z12758" i="5"/>
  <c r="Z12757" i="5"/>
  <c r="Z12756" i="5"/>
  <c r="Z12755" i="5"/>
  <c r="Z12754" i="5"/>
  <c r="Z12753" i="5"/>
  <c r="Z12752" i="5"/>
  <c r="Z12751" i="5"/>
  <c r="Z12750" i="5"/>
  <c r="Z12749" i="5"/>
  <c r="Z12748" i="5"/>
  <c r="Z12747" i="5"/>
  <c r="Z12746" i="5"/>
  <c r="Z12745" i="5"/>
  <c r="Z12744" i="5"/>
  <c r="Z12743" i="5"/>
  <c r="Z12742" i="5"/>
  <c r="Z12741" i="5"/>
  <c r="Z12740" i="5"/>
  <c r="Z12739" i="5"/>
  <c r="Z12738" i="5"/>
  <c r="Z12737" i="5"/>
  <c r="Z12736" i="5"/>
  <c r="Z12735" i="5"/>
  <c r="Z12734" i="5"/>
  <c r="Z12733" i="5"/>
  <c r="Z12732" i="5"/>
  <c r="Z12731" i="5"/>
  <c r="Z12730" i="5"/>
  <c r="Z12729" i="5"/>
  <c r="Z12728" i="5"/>
  <c r="Z12727" i="5"/>
  <c r="Z12726" i="5"/>
  <c r="Z12725" i="5"/>
  <c r="Z12724" i="5"/>
  <c r="Z12723" i="5"/>
  <c r="Z12722" i="5"/>
  <c r="Z12721" i="5"/>
  <c r="Z12720" i="5"/>
  <c r="Z12719" i="5"/>
  <c r="Z12718" i="5"/>
  <c r="Z12717" i="5"/>
  <c r="Z12716" i="5"/>
  <c r="Z12715" i="5"/>
  <c r="Z12714" i="5"/>
  <c r="Z12713" i="5"/>
  <c r="Z12712" i="5"/>
  <c r="Z12711" i="5"/>
  <c r="Z12710" i="5"/>
  <c r="Z12709" i="5"/>
  <c r="Z12708" i="5"/>
  <c r="Z12707" i="5"/>
  <c r="Z12706" i="5"/>
  <c r="Z12705" i="5"/>
  <c r="Z12704" i="5"/>
  <c r="Z12703" i="5"/>
  <c r="Z12702" i="5"/>
  <c r="Z12701" i="5"/>
  <c r="Z12700" i="5"/>
  <c r="Z12699" i="5"/>
  <c r="Z12698" i="5"/>
  <c r="Z12697" i="5"/>
  <c r="Z12696" i="5"/>
  <c r="Z12695" i="5"/>
  <c r="Z12694" i="5"/>
  <c r="Z12693" i="5"/>
  <c r="Z12692" i="5"/>
  <c r="Z12691" i="5"/>
  <c r="Z12690" i="5"/>
  <c r="Z12689" i="5"/>
  <c r="Z12688" i="5"/>
  <c r="Z12687" i="5"/>
  <c r="Z12686" i="5"/>
  <c r="Z12685" i="5"/>
  <c r="Z12684" i="5"/>
  <c r="Z12683" i="5"/>
  <c r="Z12682" i="5"/>
  <c r="Z12681" i="5"/>
  <c r="Z12680" i="5"/>
  <c r="Z12679" i="5"/>
  <c r="Z12678" i="5"/>
  <c r="Z12677" i="5"/>
  <c r="Z12676" i="5"/>
  <c r="Z12675" i="5"/>
  <c r="Z12674" i="5"/>
  <c r="Z12673" i="5"/>
  <c r="Z12672" i="5"/>
  <c r="Z12671" i="5"/>
  <c r="Z12670" i="5"/>
  <c r="Z12669" i="5"/>
  <c r="Z12668" i="5"/>
  <c r="Z12667" i="5"/>
  <c r="Z12666" i="5"/>
  <c r="Z12665" i="5"/>
  <c r="Z12664" i="5"/>
  <c r="Z12663" i="5"/>
  <c r="Z12662" i="5"/>
  <c r="Z12661" i="5"/>
  <c r="Z12660" i="5"/>
  <c r="Z12659" i="5"/>
  <c r="Z12658" i="5"/>
  <c r="Z12657" i="5"/>
  <c r="Z12656" i="5"/>
  <c r="Z12655" i="5"/>
  <c r="Z12654" i="5"/>
  <c r="Z12653" i="5"/>
  <c r="Z12652" i="5"/>
  <c r="Z12651" i="5"/>
  <c r="Z12650" i="5"/>
  <c r="Z12649" i="5"/>
  <c r="Z12648" i="5"/>
  <c r="Z12647" i="5"/>
  <c r="Z12646" i="5"/>
  <c r="Z12645" i="5"/>
  <c r="Z12644" i="5"/>
  <c r="Z12643" i="5"/>
  <c r="Z12642" i="5"/>
  <c r="Z12641" i="5"/>
  <c r="Z12640" i="5"/>
  <c r="Z12639" i="5"/>
  <c r="Z12638" i="5"/>
  <c r="Z12637" i="5"/>
  <c r="Z12636" i="5"/>
  <c r="Z12635" i="5"/>
  <c r="Z12634" i="5"/>
  <c r="Z12633" i="5"/>
  <c r="Z12632" i="5"/>
  <c r="Z12631" i="5"/>
  <c r="Z12630" i="5"/>
  <c r="Z12629" i="5"/>
  <c r="Z12628" i="5"/>
  <c r="Z12627" i="5"/>
  <c r="Z12626" i="5"/>
  <c r="Z12625" i="5"/>
  <c r="Z12624" i="5"/>
  <c r="Z12623" i="5"/>
  <c r="Z12622" i="5"/>
  <c r="Z12621" i="5"/>
  <c r="Z12620" i="5"/>
  <c r="Z12619" i="5"/>
  <c r="Z12618" i="5"/>
  <c r="Z12617" i="5"/>
  <c r="Z12616" i="5"/>
  <c r="Z12615" i="5"/>
  <c r="Z12614" i="5"/>
  <c r="Z12613" i="5"/>
  <c r="Z12612" i="5"/>
  <c r="Z12611" i="5"/>
  <c r="Z12610" i="5"/>
  <c r="Z12609" i="5"/>
  <c r="Z12608" i="5"/>
  <c r="Z12607" i="5"/>
  <c r="Z12606" i="5"/>
  <c r="Z12605" i="5"/>
  <c r="Z12604" i="5"/>
  <c r="Z12603" i="5"/>
  <c r="Z12602" i="5"/>
  <c r="Z12601" i="5"/>
  <c r="Z12600" i="5"/>
  <c r="Z12599" i="5"/>
  <c r="Z12598" i="5"/>
  <c r="Z12597" i="5"/>
  <c r="Z12596" i="5"/>
  <c r="Z12595" i="5"/>
  <c r="Z12594" i="5"/>
  <c r="Z12593" i="5"/>
  <c r="Z12592" i="5"/>
  <c r="Z12591" i="5"/>
  <c r="Z12590" i="5"/>
  <c r="Z12589" i="5"/>
  <c r="Z12588" i="5"/>
  <c r="Z12587" i="5"/>
  <c r="Z12586" i="5"/>
  <c r="Z12585" i="5"/>
  <c r="Z12584" i="5"/>
  <c r="Z12583" i="5"/>
  <c r="Z12582" i="5"/>
  <c r="Z12581" i="5"/>
  <c r="Z12580" i="5"/>
  <c r="Z12579" i="5"/>
  <c r="Z12578" i="5"/>
  <c r="Z12577" i="5"/>
  <c r="Z12576" i="5"/>
  <c r="Z12575" i="5"/>
  <c r="Z12574" i="5"/>
  <c r="Z12573" i="5"/>
  <c r="Z12572" i="5"/>
  <c r="Z12571" i="5"/>
  <c r="Z12570" i="5"/>
  <c r="Z12569" i="5"/>
  <c r="Z12568" i="5"/>
  <c r="Z12567" i="5"/>
  <c r="Z12566" i="5"/>
  <c r="Z12565" i="5"/>
  <c r="Z12564" i="5"/>
  <c r="Z12563" i="5"/>
  <c r="Z12562" i="5"/>
  <c r="Z12561" i="5"/>
  <c r="Z12560" i="5"/>
  <c r="Z12559" i="5"/>
  <c r="Z12558" i="5"/>
  <c r="Z12557" i="5"/>
  <c r="Z12556" i="5"/>
  <c r="Z12555" i="5"/>
  <c r="Z12554" i="5"/>
  <c r="Z12553" i="5"/>
  <c r="Z12552" i="5"/>
  <c r="Z12551" i="5"/>
  <c r="Z12550" i="5"/>
  <c r="Z12549" i="5"/>
  <c r="Z12548" i="5"/>
  <c r="Z12547" i="5"/>
  <c r="Z12546" i="5"/>
  <c r="Z12545" i="5"/>
  <c r="Z12544" i="5"/>
  <c r="Z12543" i="5"/>
  <c r="Z12542" i="5"/>
  <c r="Z12541" i="5"/>
  <c r="Z12540" i="5"/>
  <c r="Z12539" i="5"/>
  <c r="Z12538" i="5"/>
  <c r="Z12537" i="5"/>
  <c r="Z12536" i="5"/>
  <c r="Z12535" i="5"/>
  <c r="Z12534" i="5"/>
  <c r="Z12533" i="5"/>
  <c r="Z12532" i="5"/>
  <c r="Z12531" i="5"/>
  <c r="Z12530" i="5"/>
  <c r="Z12529" i="5"/>
  <c r="Z12528" i="5"/>
  <c r="Z12527" i="5"/>
  <c r="Z12526" i="5"/>
  <c r="Z12525" i="5"/>
  <c r="Z12524" i="5"/>
  <c r="Z12523" i="5"/>
  <c r="Z12522" i="5"/>
  <c r="Z12521" i="5"/>
  <c r="Z12520" i="5"/>
  <c r="Z12519" i="5"/>
  <c r="Z12518" i="5"/>
  <c r="Z12517" i="5"/>
  <c r="Z12516" i="5"/>
  <c r="Z12515" i="5"/>
  <c r="Z12514" i="5"/>
  <c r="Z12513" i="5"/>
  <c r="Z12512" i="5"/>
  <c r="Z12511" i="5"/>
  <c r="Z12510" i="5"/>
  <c r="Z12509" i="5"/>
  <c r="Z12508" i="5"/>
  <c r="Z12507" i="5"/>
  <c r="Z12506" i="5"/>
  <c r="Z12505" i="5"/>
  <c r="Z12504" i="5"/>
  <c r="Z12503" i="5"/>
  <c r="Z12502" i="5"/>
  <c r="Z12501" i="5"/>
  <c r="Z12500" i="5"/>
  <c r="Z12499" i="5"/>
  <c r="Z12498" i="5"/>
  <c r="Z12497" i="5"/>
  <c r="Z12496" i="5"/>
  <c r="Z12495" i="5"/>
  <c r="Z12494" i="5"/>
  <c r="Z12493" i="5"/>
  <c r="Z12492" i="5"/>
  <c r="Z12491" i="5"/>
  <c r="Z12490" i="5"/>
  <c r="Z12489" i="5"/>
  <c r="Z12488" i="5"/>
  <c r="Z12487" i="5"/>
  <c r="Z12486" i="5"/>
  <c r="Z12485" i="5"/>
  <c r="Z12484" i="5"/>
  <c r="Z12483" i="5"/>
  <c r="Z12482" i="5"/>
  <c r="Z12481" i="5"/>
  <c r="Z12480" i="5"/>
  <c r="Z12479" i="5"/>
  <c r="Z12478" i="5"/>
  <c r="Z12477" i="5"/>
  <c r="Z12476" i="5"/>
  <c r="Z12475" i="5"/>
  <c r="Z12474" i="5"/>
  <c r="Z12473" i="5"/>
  <c r="Z12472" i="5"/>
  <c r="Z12471" i="5"/>
  <c r="Z12470" i="5"/>
  <c r="Z12469" i="5"/>
  <c r="Z12468" i="5"/>
  <c r="Z12467" i="5"/>
  <c r="Z12466" i="5"/>
  <c r="Z12465" i="5"/>
  <c r="Z12464" i="5"/>
  <c r="Z12463" i="5"/>
  <c r="Z12462" i="5"/>
  <c r="Z12461" i="5"/>
  <c r="Z12460" i="5"/>
  <c r="Z12459" i="5"/>
  <c r="Z12458" i="5"/>
  <c r="Z12457" i="5"/>
  <c r="Z12456" i="5"/>
  <c r="Z12455" i="5"/>
  <c r="Z12454" i="5"/>
  <c r="Z12453" i="5"/>
  <c r="Z12452" i="5"/>
  <c r="Z12451" i="5"/>
  <c r="Z12450" i="5"/>
  <c r="Z12449" i="5"/>
  <c r="Z12448" i="5"/>
  <c r="Z12447" i="5"/>
  <c r="Z12446" i="5"/>
  <c r="Z12445" i="5"/>
  <c r="Z12444" i="5"/>
  <c r="Z12443" i="5"/>
  <c r="Z12442" i="5"/>
  <c r="Z12441" i="5"/>
  <c r="Z12440" i="5"/>
  <c r="Z12439" i="5"/>
  <c r="Z12438" i="5"/>
  <c r="Z12437" i="5"/>
  <c r="Z12436" i="5"/>
  <c r="Z12435" i="5"/>
  <c r="Z12434" i="5"/>
  <c r="Z12433" i="5"/>
  <c r="Z12432" i="5"/>
  <c r="Z12431" i="5"/>
  <c r="Z12430" i="5"/>
  <c r="Z12429" i="5"/>
  <c r="Z12428" i="5"/>
  <c r="Z12427" i="5"/>
  <c r="Z12426" i="5"/>
  <c r="Z12425" i="5"/>
  <c r="Z12424" i="5"/>
  <c r="Z12423" i="5"/>
  <c r="Z12422" i="5"/>
  <c r="Z12421" i="5"/>
  <c r="Z12420" i="5"/>
  <c r="Z12419" i="5"/>
  <c r="Z12418" i="5"/>
  <c r="Z12417" i="5"/>
  <c r="Z12416" i="5"/>
  <c r="Z12415" i="5"/>
  <c r="Z12414" i="5"/>
  <c r="Z12413" i="5"/>
  <c r="Z12412" i="5"/>
  <c r="Z12411" i="5"/>
  <c r="Z12410" i="5"/>
  <c r="Z12409" i="5"/>
  <c r="Z12408" i="5"/>
  <c r="Z12407" i="5"/>
  <c r="Z12406" i="5"/>
  <c r="Z12405" i="5"/>
  <c r="Z12404" i="5"/>
  <c r="Z12403" i="5"/>
  <c r="Z12402" i="5"/>
  <c r="Z12401" i="5"/>
  <c r="Z12400" i="5"/>
  <c r="Z12399" i="5"/>
  <c r="Z12398" i="5"/>
  <c r="Z12397" i="5"/>
  <c r="Z12396" i="5"/>
  <c r="Z12395" i="5"/>
  <c r="Z12394" i="5"/>
  <c r="Z12393" i="5"/>
  <c r="Z12392" i="5"/>
  <c r="Z12391" i="5"/>
  <c r="Z12390" i="5"/>
  <c r="Z12389" i="5"/>
  <c r="Z12388" i="5"/>
  <c r="Z12387" i="5"/>
  <c r="Z12386" i="5"/>
  <c r="Z12385" i="5"/>
  <c r="Z12384" i="5"/>
  <c r="Z12383" i="5"/>
  <c r="Z12382" i="5"/>
  <c r="Z12381" i="5"/>
  <c r="Z12380" i="5"/>
  <c r="Z12379" i="5"/>
  <c r="Z12378" i="5"/>
  <c r="Z12377" i="5"/>
  <c r="Z12376" i="5"/>
  <c r="Z12375" i="5"/>
  <c r="Z12374" i="5"/>
  <c r="Z12373" i="5"/>
  <c r="Z12372" i="5"/>
  <c r="Z12371" i="5"/>
  <c r="Z12370" i="5"/>
  <c r="Z12369" i="5"/>
  <c r="Z12368" i="5"/>
  <c r="Z12367" i="5"/>
  <c r="Z12366" i="5"/>
  <c r="Z12365" i="5"/>
  <c r="Z12364" i="5"/>
  <c r="Z12363" i="5"/>
  <c r="Z12362" i="5"/>
  <c r="Z12361" i="5"/>
  <c r="Z12360" i="5"/>
  <c r="Z12359" i="5"/>
  <c r="Z12358" i="5"/>
  <c r="Z12357" i="5"/>
  <c r="Z12356" i="5"/>
  <c r="Z12355" i="5"/>
  <c r="Z12354" i="5"/>
  <c r="Z12353" i="5"/>
  <c r="Z12352" i="5"/>
  <c r="Z12351" i="5"/>
  <c r="Z12350" i="5"/>
  <c r="Z12349" i="5"/>
  <c r="Z12348" i="5"/>
  <c r="Z12347" i="5"/>
  <c r="Z12346" i="5"/>
  <c r="Z12345" i="5"/>
  <c r="Z12344" i="5"/>
  <c r="Z12343" i="5"/>
  <c r="Z12342" i="5"/>
  <c r="Z12341" i="5"/>
  <c r="Z12340" i="5"/>
  <c r="Z12339" i="5"/>
  <c r="Z12338" i="5"/>
  <c r="Z12337" i="5"/>
  <c r="Z12336" i="5"/>
  <c r="Z12335" i="5"/>
  <c r="Z12334" i="5"/>
  <c r="Z12333" i="5"/>
  <c r="Z12332" i="5"/>
  <c r="Z12331" i="5"/>
  <c r="Z12330" i="5"/>
  <c r="Z12329" i="5"/>
  <c r="Z12328" i="5"/>
  <c r="Z12327" i="5"/>
  <c r="Z12326" i="5"/>
  <c r="Z12325" i="5"/>
  <c r="Z12324" i="5"/>
  <c r="Z12323" i="5"/>
  <c r="Z12322" i="5"/>
  <c r="Z12321" i="5"/>
  <c r="Z12320" i="5"/>
  <c r="Z12319" i="5"/>
  <c r="Z12318" i="5"/>
  <c r="Z12317" i="5"/>
  <c r="Z12316" i="5"/>
  <c r="Z12315" i="5"/>
  <c r="Z12314" i="5"/>
  <c r="Z12313" i="5"/>
  <c r="Z12312" i="5"/>
  <c r="Z12311" i="5"/>
  <c r="Z12310" i="5"/>
  <c r="Z12309" i="5"/>
  <c r="Z12308" i="5"/>
  <c r="Z12307" i="5"/>
  <c r="Z12306" i="5"/>
  <c r="Z12305" i="5"/>
  <c r="Z12304" i="5"/>
  <c r="Z12303" i="5"/>
  <c r="Z12302" i="5"/>
  <c r="Z12301" i="5"/>
  <c r="Z12300" i="5"/>
  <c r="Z12299" i="5"/>
  <c r="Z12298" i="5"/>
  <c r="Z12297" i="5"/>
  <c r="Z12296" i="5"/>
  <c r="Z12295" i="5"/>
  <c r="Z12294" i="5"/>
  <c r="Z12293" i="5"/>
  <c r="Z12292" i="5"/>
  <c r="Z12291" i="5"/>
  <c r="Z12290" i="5"/>
  <c r="Z12289" i="5"/>
  <c r="Z12288" i="5"/>
  <c r="Z12287" i="5"/>
  <c r="Z12286" i="5"/>
  <c r="Z12285" i="5"/>
  <c r="Z12284" i="5"/>
  <c r="Z12283" i="5"/>
  <c r="Z12282" i="5"/>
  <c r="Z12281" i="5"/>
  <c r="Z12280" i="5"/>
  <c r="Z12279" i="5"/>
  <c r="Z12278" i="5"/>
  <c r="Z12277" i="5"/>
  <c r="Z12276" i="5"/>
  <c r="Z12275" i="5"/>
  <c r="Z12274" i="5"/>
  <c r="Z12273" i="5"/>
  <c r="Z12272" i="5"/>
  <c r="Z12271" i="5"/>
  <c r="Z12270" i="5"/>
  <c r="Z12269" i="5"/>
  <c r="Z12268" i="5"/>
  <c r="Z12267" i="5"/>
  <c r="Z12266" i="5"/>
  <c r="Z12265" i="5"/>
  <c r="Z12264" i="5"/>
  <c r="Z12263" i="5"/>
  <c r="Z12262" i="5"/>
  <c r="Z12261" i="5"/>
  <c r="Z12260" i="5"/>
  <c r="Z12259" i="5"/>
  <c r="Z12258" i="5"/>
  <c r="Z12257" i="5"/>
  <c r="Z12256" i="5"/>
  <c r="Z12255" i="5"/>
  <c r="Z12254" i="5"/>
  <c r="Z12253" i="5"/>
  <c r="Z12252" i="5"/>
  <c r="Z12251" i="5"/>
  <c r="Z12250" i="5"/>
  <c r="Z12249" i="5"/>
  <c r="Z12248" i="5"/>
  <c r="Z12247" i="5"/>
  <c r="Z12246" i="5"/>
  <c r="Z12245" i="5"/>
  <c r="Z12244" i="5"/>
  <c r="Z12243" i="5"/>
  <c r="Z12242" i="5"/>
  <c r="Z12241" i="5"/>
  <c r="Z12240" i="5"/>
  <c r="Z12239" i="5"/>
  <c r="Z12238" i="5"/>
  <c r="Z12237" i="5"/>
  <c r="Z12236" i="5"/>
  <c r="Z12235" i="5"/>
  <c r="Z12234" i="5"/>
  <c r="Z12233" i="5"/>
  <c r="Z12232" i="5"/>
  <c r="Z12231" i="5"/>
  <c r="Z12230" i="5"/>
  <c r="Z12229" i="5"/>
  <c r="Z12228" i="5"/>
  <c r="Z12227" i="5"/>
  <c r="Z12226" i="5"/>
  <c r="Z12225" i="5"/>
  <c r="Z12224" i="5"/>
  <c r="Z12223" i="5"/>
  <c r="Z12222" i="5"/>
  <c r="Z12221" i="5"/>
  <c r="Z12220" i="5"/>
  <c r="Z12219" i="5"/>
  <c r="Z12218" i="5"/>
  <c r="Z12217" i="5"/>
  <c r="Z12216" i="5"/>
  <c r="Z12215" i="5"/>
  <c r="Z12214" i="5"/>
  <c r="Z12213" i="5"/>
  <c r="Z12212" i="5"/>
  <c r="Z12211" i="5"/>
  <c r="Z12210" i="5"/>
  <c r="Z12209" i="5"/>
  <c r="Z12208" i="5"/>
  <c r="Z12207" i="5"/>
  <c r="Z12206" i="5"/>
  <c r="Z12205" i="5"/>
  <c r="Z12204" i="5"/>
  <c r="Z12203" i="5"/>
  <c r="Z12202" i="5"/>
  <c r="Z12201" i="5"/>
  <c r="Z12200" i="5"/>
  <c r="Z12199" i="5"/>
  <c r="Z12198" i="5"/>
  <c r="Z12197" i="5"/>
  <c r="Z12196" i="5"/>
  <c r="Z12195" i="5"/>
  <c r="Z12194" i="5"/>
  <c r="Z12193" i="5"/>
  <c r="Z12192" i="5"/>
  <c r="Z12191" i="5"/>
  <c r="Z12190" i="5"/>
  <c r="Z12189" i="5"/>
  <c r="Z12188" i="5"/>
  <c r="Z12187" i="5"/>
  <c r="Z12186" i="5"/>
  <c r="Z12185" i="5"/>
  <c r="Z12184" i="5"/>
  <c r="Z12183" i="5"/>
  <c r="Z12182" i="5"/>
  <c r="Z12181" i="5"/>
  <c r="Z12180" i="5"/>
  <c r="Z12179" i="5"/>
  <c r="Z12178" i="5"/>
  <c r="Z12177" i="5"/>
  <c r="Z12176" i="5"/>
  <c r="Z12175" i="5"/>
  <c r="Z12174" i="5"/>
  <c r="Z12173" i="5"/>
  <c r="Z12172" i="5"/>
  <c r="Z12171" i="5"/>
  <c r="Z12170" i="5"/>
  <c r="Z12169" i="5"/>
  <c r="Z12168" i="5"/>
  <c r="Z12167" i="5"/>
  <c r="Z12166" i="5"/>
  <c r="Z12165" i="5"/>
  <c r="Z12164" i="5"/>
  <c r="Z12163" i="5"/>
  <c r="Z12162" i="5"/>
  <c r="Z12161" i="5"/>
  <c r="Z12160" i="5"/>
  <c r="Z12159" i="5"/>
  <c r="Z12158" i="5"/>
  <c r="Z12157" i="5"/>
  <c r="Z12156" i="5"/>
  <c r="Z12155" i="5"/>
  <c r="Z12154" i="5"/>
  <c r="Z12153" i="5"/>
  <c r="Z12152" i="5"/>
  <c r="Z12151" i="5"/>
  <c r="Z12150" i="5"/>
  <c r="Z12149" i="5"/>
  <c r="Z12148" i="5"/>
  <c r="Z12147" i="5"/>
  <c r="Z12146" i="5"/>
  <c r="Z12145" i="5"/>
  <c r="Z12144" i="5"/>
  <c r="Z12143" i="5"/>
  <c r="Z12142" i="5"/>
  <c r="Z12141" i="5"/>
  <c r="Z12140" i="5"/>
  <c r="Z12139" i="5"/>
  <c r="Z12138" i="5"/>
  <c r="Z12137" i="5"/>
  <c r="Z12136" i="5"/>
  <c r="Z12135" i="5"/>
  <c r="Z12134" i="5"/>
  <c r="Z12133" i="5"/>
  <c r="Z12132" i="5"/>
  <c r="Z12131" i="5"/>
  <c r="Z12130" i="5"/>
  <c r="Z12129" i="5"/>
  <c r="Z12128" i="5"/>
  <c r="Z12127" i="5"/>
  <c r="Z12126" i="5"/>
  <c r="Z12125" i="5"/>
  <c r="Z12124" i="5"/>
  <c r="Z12123" i="5"/>
  <c r="Z12122" i="5"/>
  <c r="Z12121" i="5"/>
  <c r="Z12120" i="5"/>
  <c r="Z12119" i="5"/>
  <c r="Z12118" i="5"/>
  <c r="Z12117" i="5"/>
  <c r="Z12116" i="5"/>
  <c r="Z12115" i="5"/>
  <c r="Z12114" i="5"/>
  <c r="Z12113" i="5"/>
  <c r="Z12112" i="5"/>
  <c r="Z12111" i="5"/>
  <c r="Z12110" i="5"/>
  <c r="Z12109" i="5"/>
  <c r="Z12108" i="5"/>
  <c r="Z12107" i="5"/>
  <c r="Z12106" i="5"/>
  <c r="Z12105" i="5"/>
  <c r="Z12104" i="5"/>
  <c r="Z12103" i="5"/>
  <c r="Z12102" i="5"/>
  <c r="Z12101" i="5"/>
  <c r="Z12100" i="5"/>
  <c r="Z12099" i="5"/>
  <c r="Z12098" i="5"/>
  <c r="Z12097" i="5"/>
  <c r="Z12096" i="5"/>
  <c r="Z12095" i="5"/>
  <c r="Z12094" i="5"/>
  <c r="Z12093" i="5"/>
  <c r="Z12092" i="5"/>
  <c r="Z12091" i="5"/>
  <c r="Z12090" i="5"/>
  <c r="Z12089" i="5"/>
  <c r="Z12088" i="5"/>
  <c r="Z12087" i="5"/>
  <c r="Z12086" i="5"/>
  <c r="Z12085" i="5"/>
  <c r="Z12084" i="5"/>
  <c r="Z12083" i="5"/>
  <c r="Z12082" i="5"/>
  <c r="Z12081" i="5"/>
  <c r="Z12080" i="5"/>
  <c r="Z12079" i="5"/>
  <c r="Z12078" i="5"/>
  <c r="Z12077" i="5"/>
  <c r="Z12076" i="5"/>
  <c r="Z12075" i="5"/>
  <c r="Z12074" i="5"/>
  <c r="Z12073" i="5"/>
  <c r="Z12072" i="5"/>
  <c r="Z12071" i="5"/>
  <c r="Z12070" i="5"/>
  <c r="Z12069" i="5"/>
  <c r="Z12068" i="5"/>
  <c r="Z12067" i="5"/>
  <c r="Z12066" i="5"/>
  <c r="Z12065" i="5"/>
  <c r="Z12064" i="5"/>
  <c r="Z12063" i="5"/>
  <c r="Z12062" i="5"/>
  <c r="Z12061" i="5"/>
  <c r="Z12060" i="5"/>
  <c r="Z12059" i="5"/>
  <c r="Z12058" i="5"/>
  <c r="Z12057" i="5"/>
  <c r="Z12056" i="5"/>
  <c r="Z12055" i="5"/>
  <c r="Z12054" i="5"/>
  <c r="Z12053" i="5"/>
  <c r="Z12052" i="5"/>
  <c r="Z12051" i="5"/>
  <c r="Z12050" i="5"/>
  <c r="Z12049" i="5"/>
  <c r="Z12048" i="5"/>
  <c r="Z12047" i="5"/>
  <c r="Z12046" i="5"/>
  <c r="Z12045" i="5"/>
  <c r="Z12044" i="5"/>
  <c r="Z12043" i="5"/>
  <c r="Z12042" i="5"/>
  <c r="Z12041" i="5"/>
  <c r="Z12040" i="5"/>
  <c r="Z12039" i="5"/>
  <c r="Z12038" i="5"/>
  <c r="Z12037" i="5"/>
  <c r="Z12036" i="5"/>
  <c r="Z12035" i="5"/>
  <c r="Z12034" i="5"/>
  <c r="Z12033" i="5"/>
  <c r="Z12032" i="5"/>
  <c r="Z12031" i="5"/>
  <c r="Z12030" i="5"/>
  <c r="Z12029" i="5"/>
  <c r="Z12028" i="5"/>
  <c r="Z12027" i="5"/>
  <c r="Z12026" i="5"/>
  <c r="Z12025" i="5"/>
  <c r="Z12024" i="5"/>
  <c r="Z12023" i="5"/>
  <c r="Z12022" i="5"/>
  <c r="Z12021" i="5"/>
  <c r="Z12020" i="5"/>
  <c r="Z12019" i="5"/>
  <c r="Z12018" i="5"/>
  <c r="Z12017" i="5"/>
  <c r="Z12016" i="5"/>
  <c r="Z12015" i="5"/>
  <c r="Z12014" i="5"/>
  <c r="Z12013" i="5"/>
  <c r="Z12012" i="5"/>
  <c r="Z12011" i="5"/>
  <c r="Z12010" i="5"/>
  <c r="Z12009" i="5"/>
  <c r="Z12008" i="5"/>
  <c r="Z12007" i="5"/>
  <c r="Z12006" i="5"/>
  <c r="Z12005" i="5"/>
  <c r="Z12004" i="5"/>
  <c r="Z12003" i="5"/>
  <c r="Z12002" i="5"/>
  <c r="Z12001" i="5"/>
  <c r="Z12000" i="5"/>
  <c r="Z11999" i="5"/>
  <c r="Z11998" i="5"/>
  <c r="Z11997" i="5"/>
  <c r="Z11996" i="5"/>
  <c r="Z11995" i="5"/>
  <c r="Z11994" i="5"/>
  <c r="Z11993" i="5"/>
  <c r="Z11992" i="5"/>
  <c r="Z11991" i="5"/>
  <c r="Z11990" i="5"/>
  <c r="Z11989" i="5"/>
  <c r="Z11988" i="5"/>
  <c r="Z11987" i="5"/>
  <c r="Z11986" i="5"/>
  <c r="Z11985" i="5"/>
  <c r="Z11984" i="5"/>
  <c r="Z11983" i="5"/>
  <c r="Z11982" i="5"/>
  <c r="Z11981" i="5"/>
  <c r="Z11980" i="5"/>
  <c r="Z11979" i="5"/>
  <c r="Z11978" i="5"/>
  <c r="Z11977" i="5"/>
  <c r="Z11976" i="5"/>
  <c r="Z11975" i="5"/>
  <c r="Z11974" i="5"/>
  <c r="Z11973" i="5"/>
  <c r="Z11972" i="5"/>
  <c r="Z11971" i="5"/>
  <c r="Z11970" i="5"/>
  <c r="Z11969" i="5"/>
  <c r="Z11968" i="5"/>
  <c r="Z11967" i="5"/>
  <c r="Z11966" i="5"/>
  <c r="Z11965" i="5"/>
  <c r="Z11964" i="5"/>
  <c r="Z11963" i="5"/>
  <c r="Z11962" i="5"/>
  <c r="Z11961" i="5"/>
  <c r="Z11960" i="5"/>
  <c r="Z11959" i="5"/>
  <c r="Z11958" i="5"/>
  <c r="Z11957" i="5"/>
  <c r="Z11956" i="5"/>
  <c r="Z11955" i="5"/>
  <c r="Z11954" i="5"/>
  <c r="Z11953" i="5"/>
  <c r="Z11952" i="5"/>
  <c r="Z11951" i="5"/>
  <c r="Z11950" i="5"/>
  <c r="Z11949" i="5"/>
  <c r="Z11948" i="5"/>
  <c r="Z11947" i="5"/>
  <c r="Z11946" i="5"/>
  <c r="Z11945" i="5"/>
  <c r="Z11944" i="5"/>
  <c r="Z11943" i="5"/>
  <c r="Z11942" i="5"/>
  <c r="Z11941" i="5"/>
  <c r="Z11940" i="5"/>
  <c r="Z11939" i="5"/>
  <c r="Z11938" i="5"/>
  <c r="Z11937" i="5"/>
  <c r="Z11936" i="5"/>
  <c r="Z11935" i="5"/>
  <c r="Z11934" i="5"/>
  <c r="Z11933" i="5"/>
  <c r="Z11932" i="5"/>
  <c r="Z11931" i="5"/>
  <c r="Z11930" i="5"/>
  <c r="Z11929" i="5"/>
  <c r="Z11928" i="5"/>
  <c r="Z11927" i="5"/>
  <c r="Z11926" i="5"/>
  <c r="Z11925" i="5"/>
  <c r="Z11924" i="5"/>
  <c r="Z11923" i="5"/>
  <c r="Z11922" i="5"/>
  <c r="Z11921" i="5"/>
  <c r="Z11920" i="5"/>
  <c r="Z11919" i="5"/>
  <c r="Z11918" i="5"/>
  <c r="Z11917" i="5"/>
  <c r="Z11916" i="5"/>
  <c r="Z11915" i="5"/>
  <c r="Z11914" i="5"/>
  <c r="Z11913" i="5"/>
  <c r="Z11912" i="5"/>
  <c r="Z11911" i="5"/>
  <c r="Z11910" i="5"/>
  <c r="Z11909" i="5"/>
  <c r="Z11908" i="5"/>
  <c r="Z11907" i="5"/>
  <c r="Z11906" i="5"/>
  <c r="Z11905" i="5"/>
  <c r="Z11904" i="5"/>
  <c r="Z11903" i="5"/>
  <c r="Z11902" i="5"/>
  <c r="Z11901" i="5"/>
  <c r="Z11900" i="5"/>
  <c r="Z11899" i="5"/>
  <c r="Z11898" i="5"/>
  <c r="Z11897" i="5"/>
  <c r="Z11896" i="5"/>
  <c r="Z11895" i="5"/>
  <c r="Z11894" i="5"/>
  <c r="Z11893" i="5"/>
  <c r="Z11892" i="5"/>
  <c r="Z11891" i="5"/>
  <c r="Z11890" i="5"/>
  <c r="Z11889" i="5"/>
  <c r="Z11888" i="5"/>
  <c r="Z11887" i="5"/>
  <c r="Z11886" i="5"/>
  <c r="Z11885" i="5"/>
  <c r="Z11884" i="5"/>
  <c r="Z11883" i="5"/>
  <c r="Z11882" i="5"/>
  <c r="Z11881" i="5"/>
  <c r="Z11880" i="5"/>
  <c r="Z11879" i="5"/>
  <c r="Z11878" i="5"/>
  <c r="Z11877" i="5"/>
  <c r="Z11876" i="5"/>
  <c r="Z11875" i="5"/>
  <c r="Z11874" i="5"/>
  <c r="Z11873" i="5"/>
  <c r="Z11872" i="5"/>
  <c r="Z11871" i="5"/>
  <c r="Z11870" i="5"/>
  <c r="Z11869" i="5"/>
  <c r="Z11868" i="5"/>
  <c r="Z11867" i="5"/>
  <c r="Z11866" i="5"/>
  <c r="Z11865" i="5"/>
  <c r="Z11864" i="5"/>
  <c r="Z11863" i="5"/>
  <c r="Z11862" i="5"/>
  <c r="Z11861" i="5"/>
  <c r="Z11860" i="5"/>
  <c r="Z11859" i="5"/>
  <c r="Z11858" i="5"/>
  <c r="Z11857" i="5"/>
  <c r="Z11856" i="5"/>
  <c r="Z11855" i="5"/>
  <c r="Z11854" i="5"/>
  <c r="Z11853" i="5"/>
  <c r="Z11852" i="5"/>
  <c r="Z11851" i="5"/>
  <c r="Z11850" i="5"/>
  <c r="Z11849" i="5"/>
  <c r="Z11848" i="5"/>
  <c r="Z11847" i="5"/>
  <c r="Z11846" i="5"/>
  <c r="Z11845" i="5"/>
  <c r="Z11844" i="5"/>
  <c r="Z11843" i="5"/>
  <c r="Z11842" i="5"/>
  <c r="Z11841" i="5"/>
  <c r="Z11840" i="5"/>
  <c r="Z11839" i="5"/>
  <c r="Z11838" i="5"/>
  <c r="Z11837" i="5"/>
  <c r="Z11836" i="5"/>
  <c r="Z11835" i="5"/>
  <c r="Z11834" i="5"/>
  <c r="Z11833" i="5"/>
  <c r="Z11832" i="5"/>
  <c r="Z11831" i="5"/>
  <c r="Z11830" i="5"/>
  <c r="Z11829" i="5"/>
  <c r="Z11828" i="5"/>
  <c r="Z11827" i="5"/>
  <c r="Z11826" i="5"/>
  <c r="Z11825" i="5"/>
  <c r="Z11824" i="5"/>
  <c r="Z11823" i="5"/>
  <c r="Z11822" i="5"/>
  <c r="Z11821" i="5"/>
  <c r="Z11820" i="5"/>
  <c r="Z11819" i="5"/>
  <c r="Z11818" i="5"/>
  <c r="Z11817" i="5"/>
  <c r="Z11816" i="5"/>
  <c r="Z11815" i="5"/>
  <c r="Z11814" i="5"/>
  <c r="Z11813" i="5"/>
  <c r="Z11812" i="5"/>
  <c r="Z11811" i="5"/>
  <c r="Z11810" i="5"/>
  <c r="Z11809" i="5"/>
  <c r="Z11808" i="5"/>
  <c r="Z11807" i="5"/>
  <c r="Z11806" i="5"/>
  <c r="Z11805" i="5"/>
  <c r="Z11804" i="5"/>
  <c r="Z11803" i="5"/>
  <c r="Z11802" i="5"/>
  <c r="Z11801" i="5"/>
  <c r="Z11800" i="5"/>
  <c r="Z11799" i="5"/>
  <c r="Z11798" i="5"/>
  <c r="Z11797" i="5"/>
  <c r="Z11796" i="5"/>
  <c r="Z11795" i="5"/>
  <c r="Z11794" i="5"/>
  <c r="Z11793" i="5"/>
  <c r="Z11792" i="5"/>
  <c r="Z11791" i="5"/>
  <c r="Z11790" i="5"/>
  <c r="Z11789" i="5"/>
  <c r="Z11788" i="5"/>
  <c r="Z11787" i="5"/>
  <c r="Z11786" i="5"/>
  <c r="Z11785" i="5"/>
  <c r="Z11784" i="5"/>
  <c r="Z11783" i="5"/>
  <c r="Z11782" i="5"/>
  <c r="Z11781" i="5"/>
  <c r="Z11780" i="5"/>
  <c r="Z11779" i="5"/>
  <c r="Z11778" i="5"/>
  <c r="Z11777" i="5"/>
  <c r="Z11776" i="5"/>
  <c r="Z11775" i="5"/>
  <c r="Z11774" i="5"/>
  <c r="Z11773" i="5"/>
  <c r="Z11772" i="5"/>
  <c r="Z11771" i="5"/>
  <c r="Z11770" i="5"/>
  <c r="Z11769" i="5"/>
  <c r="Z11768" i="5"/>
  <c r="Z11767" i="5"/>
  <c r="Z11766" i="5"/>
  <c r="Z11765" i="5"/>
  <c r="Z11764" i="5"/>
  <c r="Z11763" i="5"/>
  <c r="Z11762" i="5"/>
  <c r="Z11761" i="5"/>
  <c r="Z11760" i="5"/>
  <c r="Z11759" i="5"/>
  <c r="Z11758" i="5"/>
  <c r="Z11757" i="5"/>
  <c r="Z11756" i="5"/>
  <c r="Z11755" i="5"/>
  <c r="Z11754" i="5"/>
  <c r="Z11753" i="5"/>
  <c r="Z11752" i="5"/>
  <c r="Z11751" i="5"/>
  <c r="Z11750" i="5"/>
  <c r="Z11749" i="5"/>
  <c r="Z11748" i="5"/>
  <c r="Z11747" i="5"/>
  <c r="Z11746" i="5"/>
  <c r="Z11745" i="5"/>
  <c r="Z11744" i="5"/>
  <c r="Z11743" i="5"/>
  <c r="Z11742" i="5"/>
  <c r="Z11741" i="5"/>
  <c r="Z11740" i="5"/>
  <c r="Z11739" i="5"/>
  <c r="Z11738" i="5"/>
  <c r="Z11737" i="5"/>
  <c r="Z11736" i="5"/>
  <c r="Z11735" i="5"/>
  <c r="Z11734" i="5"/>
  <c r="Z11733" i="5"/>
  <c r="Z11732" i="5"/>
  <c r="Z11731" i="5"/>
  <c r="Z11730" i="5"/>
  <c r="Z11729" i="5"/>
  <c r="Z11728" i="5"/>
  <c r="Z11727" i="5"/>
  <c r="Z11726" i="5"/>
  <c r="Z11725" i="5"/>
  <c r="Z11724" i="5"/>
  <c r="Z11723" i="5"/>
  <c r="Z11722" i="5"/>
  <c r="Z11721" i="5"/>
  <c r="Z11720" i="5"/>
  <c r="Z11719" i="5"/>
  <c r="Z11718" i="5"/>
  <c r="Z11717" i="5"/>
  <c r="Z11716" i="5"/>
  <c r="Z11715" i="5"/>
  <c r="Z11714" i="5"/>
  <c r="Z11713" i="5"/>
  <c r="Z11712" i="5"/>
  <c r="Z11711" i="5"/>
  <c r="Z11710" i="5"/>
  <c r="Z11709" i="5"/>
  <c r="Z11708" i="5"/>
  <c r="Z11707" i="5"/>
  <c r="Z11706" i="5"/>
  <c r="Z11705" i="5"/>
  <c r="Z11704" i="5"/>
  <c r="Z11703" i="5"/>
  <c r="Z11702" i="5"/>
  <c r="Z11701" i="5"/>
  <c r="Z11700" i="5"/>
  <c r="Z11699" i="5"/>
  <c r="Z11698" i="5"/>
  <c r="Z11697" i="5"/>
  <c r="Z11696" i="5"/>
  <c r="Z11695" i="5"/>
  <c r="Z11694" i="5"/>
  <c r="Z11693" i="5"/>
  <c r="Z11692" i="5"/>
  <c r="Z11691" i="5"/>
  <c r="Z11690" i="5"/>
  <c r="Z11689" i="5"/>
  <c r="Z11688" i="5"/>
  <c r="Z11687" i="5"/>
  <c r="Z11686" i="5"/>
  <c r="Z11685" i="5"/>
  <c r="Z11684" i="5"/>
  <c r="Z11683" i="5"/>
  <c r="Z11682" i="5"/>
  <c r="Z11681" i="5"/>
  <c r="Z11680" i="5"/>
  <c r="Z11679" i="5"/>
  <c r="Z11678" i="5"/>
  <c r="Z11677" i="5"/>
  <c r="Z11676" i="5"/>
  <c r="Z11675" i="5"/>
  <c r="Z11674" i="5"/>
  <c r="Z11673" i="5"/>
  <c r="Z11672" i="5"/>
  <c r="Z11671" i="5"/>
  <c r="Z11670" i="5"/>
  <c r="Z11669" i="5"/>
  <c r="Z11668" i="5"/>
  <c r="Z11667" i="5"/>
  <c r="Z11666" i="5"/>
  <c r="Z11665" i="5"/>
  <c r="Z11664" i="5"/>
  <c r="Z11663" i="5"/>
  <c r="Z11662" i="5"/>
  <c r="Z11661" i="5"/>
  <c r="Z11660" i="5"/>
  <c r="Z11659" i="5"/>
  <c r="Z11658" i="5"/>
  <c r="Z11657" i="5"/>
  <c r="Z11656" i="5"/>
  <c r="Z11655" i="5"/>
  <c r="Z11654" i="5"/>
  <c r="Z11653" i="5"/>
  <c r="Z11652" i="5"/>
  <c r="Z11651" i="5"/>
  <c r="Z11650" i="5"/>
  <c r="Z11649" i="5"/>
  <c r="Z11648" i="5"/>
  <c r="Z11647" i="5"/>
  <c r="Z11646" i="5"/>
  <c r="Z11645" i="5"/>
  <c r="Z11644" i="5"/>
  <c r="Z11643" i="5"/>
  <c r="Z11642" i="5"/>
  <c r="Z11641" i="5"/>
  <c r="Z11640" i="5"/>
  <c r="Z11639" i="5"/>
  <c r="Z11638" i="5"/>
  <c r="Z11637" i="5"/>
  <c r="Z11636" i="5"/>
  <c r="Z11635" i="5"/>
  <c r="Z11634" i="5"/>
  <c r="Z11633" i="5"/>
  <c r="Z11632" i="5"/>
  <c r="Z11631" i="5"/>
  <c r="Z11630" i="5"/>
  <c r="Z11629" i="5"/>
  <c r="Z11628" i="5"/>
  <c r="Z11627" i="5"/>
  <c r="Z11626" i="5"/>
  <c r="Z11625" i="5"/>
  <c r="Z11624" i="5"/>
  <c r="Z11623" i="5"/>
  <c r="Z11622" i="5"/>
  <c r="Z11621" i="5"/>
  <c r="Z11620" i="5"/>
  <c r="Z11619" i="5"/>
  <c r="Z11618" i="5"/>
  <c r="Z11617" i="5"/>
  <c r="Z11616" i="5"/>
  <c r="Z11615" i="5"/>
  <c r="Z11614" i="5"/>
  <c r="Z11613" i="5"/>
  <c r="Z11612" i="5"/>
  <c r="Z11611" i="5"/>
  <c r="Z11610" i="5"/>
  <c r="Z11609" i="5"/>
  <c r="Z11608" i="5"/>
  <c r="Z11607" i="5"/>
  <c r="Z11606" i="5"/>
  <c r="Z11605" i="5"/>
  <c r="Z11604" i="5"/>
  <c r="Z11603" i="5"/>
  <c r="Z11602" i="5"/>
  <c r="Z11601" i="5"/>
  <c r="Z11600" i="5"/>
  <c r="Z11599" i="5"/>
  <c r="Z11598" i="5"/>
  <c r="Z11597" i="5"/>
  <c r="Z11596" i="5"/>
  <c r="Z11595" i="5"/>
  <c r="Z11594" i="5"/>
  <c r="Z11593" i="5"/>
  <c r="Z11592" i="5"/>
  <c r="Z11591" i="5"/>
  <c r="Z11590" i="5"/>
  <c r="Z11589" i="5"/>
  <c r="Z11588" i="5"/>
  <c r="Z11587" i="5"/>
  <c r="Z11586" i="5"/>
  <c r="Z11585" i="5"/>
  <c r="Z11584" i="5"/>
  <c r="Z11583" i="5"/>
  <c r="Z11582" i="5"/>
  <c r="Z11581" i="5"/>
  <c r="Z11580" i="5"/>
  <c r="Z11579" i="5"/>
  <c r="Z11578" i="5"/>
  <c r="Z11577" i="5"/>
  <c r="Z11576" i="5"/>
  <c r="Z11575" i="5"/>
  <c r="Z11574" i="5"/>
  <c r="Z11573" i="5"/>
  <c r="Z11572" i="5"/>
  <c r="Z11571" i="5"/>
  <c r="Z11570" i="5"/>
  <c r="Z11569" i="5"/>
  <c r="Z11568" i="5"/>
  <c r="Z11567" i="5"/>
  <c r="Z11566" i="5"/>
  <c r="Z11565" i="5"/>
  <c r="Z11564" i="5"/>
  <c r="Z11563" i="5"/>
  <c r="Z11562" i="5"/>
  <c r="Z11561" i="5"/>
  <c r="Z11560" i="5"/>
  <c r="Z11559" i="5"/>
  <c r="Z11558" i="5"/>
  <c r="Z11557" i="5"/>
  <c r="Z11556" i="5"/>
  <c r="Z11555" i="5"/>
  <c r="Z11554" i="5"/>
  <c r="Z11553" i="5"/>
  <c r="Z11552" i="5"/>
  <c r="Z11551" i="5"/>
  <c r="Z11550" i="5"/>
  <c r="Z11549" i="5"/>
  <c r="Z11548" i="5"/>
  <c r="Z11547" i="5"/>
  <c r="Z11546" i="5"/>
  <c r="Z11545" i="5"/>
  <c r="Z11544" i="5"/>
  <c r="Z11543" i="5"/>
  <c r="Z11542" i="5"/>
  <c r="Z11541" i="5"/>
  <c r="Z11540" i="5"/>
  <c r="Z11539" i="5"/>
  <c r="Z11538" i="5"/>
  <c r="Z11537" i="5"/>
  <c r="Z11536" i="5"/>
  <c r="Z11535" i="5"/>
  <c r="Z11534" i="5"/>
  <c r="Z11533" i="5"/>
  <c r="Z11532" i="5"/>
  <c r="Z11531" i="5"/>
  <c r="Z11530" i="5"/>
  <c r="Z11529" i="5"/>
  <c r="Z11528" i="5"/>
  <c r="Z11527" i="5"/>
  <c r="Z11526" i="5"/>
  <c r="Z11525" i="5"/>
  <c r="Z11524" i="5"/>
  <c r="Z11523" i="5"/>
  <c r="Z11522" i="5"/>
  <c r="Z11521" i="5"/>
  <c r="Z11520" i="5"/>
  <c r="Z11519" i="5"/>
  <c r="Z11518" i="5"/>
  <c r="Z11517" i="5"/>
  <c r="Z11516" i="5"/>
  <c r="Z11515" i="5"/>
  <c r="Z11514" i="5"/>
  <c r="Z11513" i="5"/>
  <c r="Z11512" i="5"/>
  <c r="Z11511" i="5"/>
  <c r="Z11510" i="5"/>
  <c r="Z11509" i="5"/>
  <c r="Z11508" i="5"/>
  <c r="Z11507" i="5"/>
  <c r="Z11506" i="5"/>
  <c r="Z11505" i="5"/>
  <c r="Z11504" i="5"/>
  <c r="Z11503" i="5"/>
  <c r="Z11502" i="5"/>
  <c r="Z11501" i="5"/>
  <c r="Z11500" i="5"/>
  <c r="Z11499" i="5"/>
  <c r="Z11498" i="5"/>
  <c r="Z11497" i="5"/>
  <c r="Z11496" i="5"/>
  <c r="Z11495" i="5"/>
  <c r="Z11494" i="5"/>
  <c r="Z11493" i="5"/>
  <c r="Z11492" i="5"/>
  <c r="Z11491" i="5"/>
  <c r="Z11490" i="5"/>
  <c r="Z11489" i="5"/>
  <c r="Z11488" i="5"/>
  <c r="Z11487" i="5"/>
  <c r="Z11486" i="5"/>
  <c r="Z11485" i="5"/>
  <c r="Z11484" i="5"/>
  <c r="Z11483" i="5"/>
  <c r="Z11482" i="5"/>
  <c r="Z11481" i="5"/>
  <c r="Z11480" i="5"/>
  <c r="Z11479" i="5"/>
  <c r="Z11478" i="5"/>
  <c r="Z11477" i="5"/>
  <c r="Z11476" i="5"/>
  <c r="Z11475" i="5"/>
  <c r="Z11474" i="5"/>
  <c r="Z11473" i="5"/>
  <c r="Z11472" i="5"/>
  <c r="Z11471" i="5"/>
  <c r="Z11470" i="5"/>
  <c r="Z11469" i="5"/>
  <c r="Z11468" i="5"/>
  <c r="Z11467" i="5"/>
  <c r="Z11466" i="5"/>
  <c r="Z11465" i="5"/>
  <c r="Z11464" i="5"/>
  <c r="Z11463" i="5"/>
  <c r="Z11462" i="5"/>
  <c r="Z11461" i="5"/>
  <c r="Z11460" i="5"/>
  <c r="Z11459" i="5"/>
  <c r="Z11458" i="5"/>
  <c r="Z11457" i="5"/>
  <c r="Z11456" i="5"/>
  <c r="Z11455" i="5"/>
  <c r="Z11454" i="5"/>
  <c r="Z11453" i="5"/>
  <c r="Z11452" i="5"/>
  <c r="Z11451" i="5"/>
  <c r="Z11450" i="5"/>
  <c r="Z11449" i="5"/>
  <c r="Z11448" i="5"/>
  <c r="Z11447" i="5"/>
  <c r="Z11446" i="5"/>
  <c r="Z11445" i="5"/>
  <c r="Z11444" i="5"/>
  <c r="Z11443" i="5"/>
  <c r="Z11442" i="5"/>
  <c r="Z11441" i="5"/>
  <c r="Z11440" i="5"/>
  <c r="Z11439" i="5"/>
  <c r="Z11438" i="5"/>
  <c r="Z11437" i="5"/>
  <c r="Z11436" i="5"/>
  <c r="Z11435" i="5"/>
  <c r="Z11434" i="5"/>
  <c r="Z11433" i="5"/>
  <c r="Z11432" i="5"/>
  <c r="Z11431" i="5"/>
  <c r="Z11430" i="5"/>
  <c r="Z11429" i="5"/>
  <c r="Z11428" i="5"/>
  <c r="Z11427" i="5"/>
  <c r="Z11426" i="5"/>
  <c r="Z11425" i="5"/>
  <c r="Z11424" i="5"/>
  <c r="Z11423" i="5"/>
  <c r="Z11422" i="5"/>
  <c r="Z11421" i="5"/>
  <c r="Z11420" i="5"/>
  <c r="Z11419" i="5"/>
  <c r="Z11418" i="5"/>
  <c r="Z11417" i="5"/>
  <c r="Z11416" i="5"/>
  <c r="Z11415" i="5"/>
  <c r="Z11414" i="5"/>
  <c r="Z11413" i="5"/>
  <c r="Z11412" i="5"/>
  <c r="Z11411" i="5"/>
  <c r="Z11410" i="5"/>
  <c r="Z11409" i="5"/>
  <c r="Z11408" i="5"/>
  <c r="Z11407" i="5"/>
  <c r="Z11406" i="5"/>
  <c r="Z11405" i="5"/>
  <c r="Z11404" i="5"/>
  <c r="Z11403" i="5"/>
  <c r="Z11402" i="5"/>
  <c r="Z11401" i="5"/>
  <c r="Z11400" i="5"/>
  <c r="Z11399" i="5"/>
  <c r="Z11398" i="5"/>
  <c r="Z11397" i="5"/>
  <c r="Z11396" i="5"/>
  <c r="Z11395" i="5"/>
  <c r="Z11394" i="5"/>
  <c r="Z11393" i="5"/>
  <c r="Z11392" i="5"/>
  <c r="Z11391" i="5"/>
  <c r="Z11390" i="5"/>
  <c r="Z11389" i="5"/>
  <c r="Z11388" i="5"/>
  <c r="Z11387" i="5"/>
  <c r="Z11386" i="5"/>
  <c r="Z11385" i="5"/>
  <c r="Z11384" i="5"/>
  <c r="Z11383" i="5"/>
  <c r="Z11382" i="5"/>
  <c r="Z11381" i="5"/>
  <c r="Z11380" i="5"/>
  <c r="Z11379" i="5"/>
  <c r="Z11378" i="5"/>
  <c r="Z11377" i="5"/>
  <c r="Z11376" i="5"/>
  <c r="Z11375" i="5"/>
  <c r="Z11374" i="5"/>
  <c r="Z11373" i="5"/>
  <c r="Z11372" i="5"/>
  <c r="Z11371" i="5"/>
  <c r="Z11370" i="5"/>
  <c r="Z11369" i="5"/>
  <c r="Z11368" i="5"/>
  <c r="Z11367" i="5"/>
  <c r="Z11366" i="5"/>
  <c r="Z11365" i="5"/>
  <c r="Z11364" i="5"/>
  <c r="Z11363" i="5"/>
  <c r="Z11362" i="5"/>
  <c r="Z11361" i="5"/>
  <c r="Z11360" i="5"/>
  <c r="Z11359" i="5"/>
  <c r="Z11358" i="5"/>
  <c r="Z11357" i="5"/>
  <c r="Z11356" i="5"/>
  <c r="Z11355" i="5"/>
  <c r="Z11354" i="5"/>
  <c r="Z11353" i="5"/>
  <c r="Z11352" i="5"/>
  <c r="Z11351" i="5"/>
  <c r="Z11350" i="5"/>
  <c r="Z11349" i="5"/>
  <c r="Z11348" i="5"/>
  <c r="Z11347" i="5"/>
  <c r="Z11346" i="5"/>
  <c r="Z11345" i="5"/>
  <c r="Z11344" i="5"/>
  <c r="Z11343" i="5"/>
  <c r="Z11342" i="5"/>
  <c r="Z11341" i="5"/>
  <c r="Z11340" i="5"/>
  <c r="Z11339" i="5"/>
  <c r="Z11338" i="5"/>
  <c r="Z11337" i="5"/>
  <c r="Z11336" i="5"/>
  <c r="Z11335" i="5"/>
  <c r="Z11334" i="5"/>
  <c r="Z11333" i="5"/>
  <c r="Z11332" i="5"/>
  <c r="Z11331" i="5"/>
  <c r="Z11330" i="5"/>
  <c r="Z11329" i="5"/>
  <c r="Z11328" i="5"/>
  <c r="Z11327" i="5"/>
  <c r="Z11326" i="5"/>
  <c r="Z11325" i="5"/>
  <c r="Z11324" i="5"/>
  <c r="Z11323" i="5"/>
  <c r="Z11322" i="5"/>
  <c r="Z11321" i="5"/>
  <c r="Z11320" i="5"/>
  <c r="Z11319" i="5"/>
  <c r="Z11318" i="5"/>
  <c r="Z11317" i="5"/>
  <c r="Z11316" i="5"/>
  <c r="Z11315" i="5"/>
  <c r="Z11314" i="5"/>
  <c r="Z11313" i="5"/>
  <c r="Z11312" i="5"/>
  <c r="Z11311" i="5"/>
  <c r="Z11310" i="5"/>
  <c r="Z11309" i="5"/>
  <c r="Z11308" i="5"/>
  <c r="Z11307" i="5"/>
  <c r="Z11306" i="5"/>
  <c r="Z11305" i="5"/>
  <c r="Z11304" i="5"/>
  <c r="Z11303" i="5"/>
  <c r="Z11302" i="5"/>
  <c r="Z11301" i="5"/>
  <c r="Z11300" i="5"/>
  <c r="Z11299" i="5"/>
  <c r="Z11298" i="5"/>
  <c r="Z11297" i="5"/>
  <c r="Z11296" i="5"/>
  <c r="Z11295" i="5"/>
  <c r="Z11294" i="5"/>
  <c r="Z11293" i="5"/>
  <c r="Z11292" i="5"/>
  <c r="Z11291" i="5"/>
  <c r="Z11290" i="5"/>
  <c r="Z11289" i="5"/>
  <c r="Z11288" i="5"/>
  <c r="Z11287" i="5"/>
  <c r="Z11286" i="5"/>
  <c r="Z11285" i="5"/>
  <c r="Z11284" i="5"/>
  <c r="Z11283" i="5"/>
  <c r="Z11282" i="5"/>
  <c r="Z11281" i="5"/>
  <c r="Z11280" i="5"/>
  <c r="Z11279" i="5"/>
  <c r="Z11278" i="5"/>
  <c r="Z11277" i="5"/>
  <c r="Z11276" i="5"/>
  <c r="Z11275" i="5"/>
  <c r="Z11274" i="5"/>
  <c r="Z11273" i="5"/>
  <c r="Z11272" i="5"/>
  <c r="Z11271" i="5"/>
  <c r="Z11270" i="5"/>
  <c r="Z11269" i="5"/>
  <c r="Z11268" i="5"/>
  <c r="Z11267" i="5"/>
  <c r="Z11266" i="5"/>
  <c r="Z11265" i="5"/>
  <c r="Z11264" i="5"/>
  <c r="Z11263" i="5"/>
  <c r="Z11262" i="5"/>
  <c r="Z11261" i="5"/>
  <c r="Z11260" i="5"/>
  <c r="Z11259" i="5"/>
  <c r="Z11258" i="5"/>
  <c r="Z11257" i="5"/>
  <c r="Z11256" i="5"/>
  <c r="Z11255" i="5"/>
  <c r="Z11254" i="5"/>
  <c r="Z11253" i="5"/>
  <c r="Z11252" i="5"/>
  <c r="Z11251" i="5"/>
  <c r="Z11250" i="5"/>
  <c r="Z11249" i="5"/>
  <c r="Z11248" i="5"/>
  <c r="Z11247" i="5"/>
  <c r="Z11246" i="5"/>
  <c r="Z11245" i="5"/>
  <c r="Z11244" i="5"/>
  <c r="Z11243" i="5"/>
  <c r="Z11242" i="5"/>
  <c r="Z11241" i="5"/>
  <c r="Z11240" i="5"/>
  <c r="Z11239" i="5"/>
  <c r="Z11238" i="5"/>
  <c r="Z11237" i="5"/>
  <c r="Z11236" i="5"/>
  <c r="Z11235" i="5"/>
  <c r="Z11234" i="5"/>
  <c r="Z11233" i="5"/>
  <c r="Z11232" i="5"/>
  <c r="Z11231" i="5"/>
  <c r="Z11230" i="5"/>
  <c r="Z11229" i="5"/>
  <c r="Z11228" i="5"/>
  <c r="Z11227" i="5"/>
  <c r="Z11226" i="5"/>
  <c r="Z11225" i="5"/>
  <c r="Z11224" i="5"/>
  <c r="Z11223" i="5"/>
  <c r="Z11222" i="5"/>
  <c r="Z11221" i="5"/>
  <c r="Z11220" i="5"/>
  <c r="Z11219" i="5"/>
  <c r="Z11218" i="5"/>
  <c r="Z11217" i="5"/>
  <c r="Z11216" i="5"/>
  <c r="Z11215" i="5"/>
  <c r="Z11214" i="5"/>
  <c r="Z11213" i="5"/>
  <c r="Z11212" i="5"/>
  <c r="Z11211" i="5"/>
  <c r="Z11210" i="5"/>
  <c r="Z11209" i="5"/>
  <c r="Z11208" i="5"/>
  <c r="Z11207" i="5"/>
  <c r="Z11206" i="5"/>
  <c r="Z11205" i="5"/>
  <c r="Z11204" i="5"/>
  <c r="Z11203" i="5"/>
  <c r="Z11202" i="5"/>
  <c r="Z11201" i="5"/>
  <c r="Z11200" i="5"/>
  <c r="Z11199" i="5"/>
  <c r="Z11198" i="5"/>
  <c r="Z11197" i="5"/>
  <c r="Z11196" i="5"/>
  <c r="Z11195" i="5"/>
  <c r="Z11194" i="5"/>
  <c r="Z11193" i="5"/>
  <c r="Z11192" i="5"/>
  <c r="Z11191" i="5"/>
  <c r="Z11190" i="5"/>
  <c r="Z11189" i="5"/>
  <c r="Z11188" i="5"/>
  <c r="Z11187" i="5"/>
  <c r="Z11186" i="5"/>
  <c r="Z11185" i="5"/>
  <c r="Z11184" i="5"/>
  <c r="Z11183" i="5"/>
  <c r="Z11182" i="5"/>
  <c r="Z11181" i="5"/>
  <c r="Z11180" i="5"/>
  <c r="Z11179" i="5"/>
  <c r="Z11178" i="5"/>
  <c r="Z11177" i="5"/>
  <c r="Z11176" i="5"/>
  <c r="Z11175" i="5"/>
  <c r="Z11174" i="5"/>
  <c r="Z11173" i="5"/>
  <c r="Z11172" i="5"/>
  <c r="Z11171" i="5"/>
  <c r="Z11170" i="5"/>
  <c r="Z11169" i="5"/>
  <c r="Z11168" i="5"/>
  <c r="Z11167" i="5"/>
  <c r="Z11166" i="5"/>
  <c r="Z11165" i="5"/>
  <c r="Z11164" i="5"/>
  <c r="Z11163" i="5"/>
  <c r="Z11162" i="5"/>
  <c r="Z11161" i="5"/>
  <c r="Z11160" i="5"/>
  <c r="Z11159" i="5"/>
  <c r="Z11158" i="5"/>
  <c r="Z11157" i="5"/>
  <c r="Z11156" i="5"/>
  <c r="Z11155" i="5"/>
  <c r="Z11154" i="5"/>
  <c r="Z11153" i="5"/>
  <c r="Z11152" i="5"/>
  <c r="Z11151" i="5"/>
  <c r="Z11150" i="5"/>
  <c r="Z11149" i="5"/>
  <c r="Z11148" i="5"/>
  <c r="Z11147" i="5"/>
  <c r="Z11146" i="5"/>
  <c r="Z11145" i="5"/>
  <c r="Z11144" i="5"/>
  <c r="Z11143" i="5"/>
  <c r="Z11142" i="5"/>
  <c r="Z11141" i="5"/>
  <c r="Z11140" i="5"/>
  <c r="Z11139" i="5"/>
  <c r="Z11138" i="5"/>
  <c r="Z11137" i="5"/>
  <c r="Z11136" i="5"/>
  <c r="Z11135" i="5"/>
  <c r="Z11134" i="5"/>
  <c r="Z11133" i="5"/>
  <c r="Z11132" i="5"/>
  <c r="Z11131" i="5"/>
  <c r="Z11130" i="5"/>
  <c r="Z11129" i="5"/>
  <c r="Z11128" i="5"/>
  <c r="Z11127" i="5"/>
  <c r="Z11126" i="5"/>
  <c r="Z11125" i="5"/>
  <c r="Z11124" i="5"/>
  <c r="Z11123" i="5"/>
  <c r="Z11122" i="5"/>
  <c r="Z11121" i="5"/>
  <c r="Z11120" i="5"/>
  <c r="Z11119" i="5"/>
  <c r="Z11118" i="5"/>
  <c r="Z11117" i="5"/>
  <c r="Z11116" i="5"/>
  <c r="Z11115" i="5"/>
  <c r="Z11114" i="5"/>
  <c r="Z11113" i="5"/>
  <c r="Z11112" i="5"/>
  <c r="Z11111" i="5"/>
  <c r="Z11110" i="5"/>
  <c r="Z11109" i="5"/>
  <c r="Z11108" i="5"/>
  <c r="Z11107" i="5"/>
  <c r="Z11106" i="5"/>
  <c r="Z11105" i="5"/>
  <c r="Z11104" i="5"/>
  <c r="Z11103" i="5"/>
  <c r="Z11102" i="5"/>
  <c r="Z11101" i="5"/>
  <c r="Z11100" i="5"/>
  <c r="Z11099" i="5"/>
  <c r="Z11098" i="5"/>
  <c r="Z11097" i="5"/>
  <c r="Z11096" i="5"/>
  <c r="Z11095" i="5"/>
  <c r="Z11094" i="5"/>
  <c r="Z11093" i="5"/>
  <c r="Z11092" i="5"/>
  <c r="Z11091" i="5"/>
  <c r="Z11090" i="5"/>
  <c r="Z11089" i="5"/>
  <c r="Z11088" i="5"/>
  <c r="Z11087" i="5"/>
  <c r="Z11086" i="5"/>
  <c r="Z11085" i="5"/>
  <c r="Z11084" i="5"/>
  <c r="Z11083" i="5"/>
  <c r="Z11082" i="5"/>
  <c r="Z11081" i="5"/>
  <c r="Z11080" i="5"/>
  <c r="Z11079" i="5"/>
  <c r="Z11078" i="5"/>
  <c r="Z11077" i="5"/>
  <c r="Z11076" i="5"/>
  <c r="Z11075" i="5"/>
  <c r="Z11074" i="5"/>
  <c r="Z11073" i="5"/>
  <c r="Z11072" i="5"/>
  <c r="Z11071" i="5"/>
  <c r="Z11070" i="5"/>
  <c r="Z11069" i="5"/>
  <c r="Z11068" i="5"/>
  <c r="Z11067" i="5"/>
  <c r="Z11066" i="5"/>
  <c r="Z11065" i="5"/>
  <c r="Z11064" i="5"/>
  <c r="Z11063" i="5"/>
  <c r="Z11062" i="5"/>
  <c r="Z11061" i="5"/>
  <c r="Z11060" i="5"/>
  <c r="Z11059" i="5"/>
  <c r="Z11058" i="5"/>
  <c r="Z11057" i="5"/>
  <c r="Z11056" i="5"/>
  <c r="Z11055" i="5"/>
  <c r="Z11054" i="5"/>
  <c r="Z11053" i="5"/>
  <c r="Z11052" i="5"/>
  <c r="Z11051" i="5"/>
  <c r="Z11050" i="5"/>
  <c r="Z11049" i="5"/>
  <c r="Z11048" i="5"/>
  <c r="Z11047" i="5"/>
  <c r="Z11046" i="5"/>
  <c r="Z11045" i="5"/>
  <c r="Z11044" i="5"/>
  <c r="Z11043" i="5"/>
  <c r="Z11042" i="5"/>
  <c r="Z11041" i="5"/>
  <c r="Z11040" i="5"/>
  <c r="Z11039" i="5"/>
  <c r="Z11038" i="5"/>
  <c r="Z11037" i="5"/>
  <c r="Z11036" i="5"/>
  <c r="Z11035" i="5"/>
  <c r="Z11034" i="5"/>
  <c r="Z11033" i="5"/>
  <c r="Z11032" i="5"/>
  <c r="Z11031" i="5"/>
  <c r="Z11030" i="5"/>
  <c r="Z11029" i="5"/>
  <c r="Z11028" i="5"/>
  <c r="Z11027" i="5"/>
  <c r="Z11026" i="5"/>
  <c r="Z11025" i="5"/>
  <c r="Z11024" i="5"/>
  <c r="Z11023" i="5"/>
  <c r="Z11022" i="5"/>
  <c r="Z11021" i="5"/>
  <c r="Z11020" i="5"/>
  <c r="Z11019" i="5"/>
  <c r="Z11018" i="5"/>
  <c r="Z11017" i="5"/>
  <c r="Z11016" i="5"/>
  <c r="Z11015" i="5"/>
  <c r="Z11014" i="5"/>
  <c r="Z11013" i="5"/>
  <c r="Z11012" i="5"/>
  <c r="Z11011" i="5"/>
  <c r="Z11010" i="5"/>
  <c r="Z11009" i="5"/>
  <c r="Z11008" i="5"/>
  <c r="Z11007" i="5"/>
  <c r="Z11006" i="5"/>
  <c r="Z11005" i="5"/>
  <c r="Z11004" i="5"/>
  <c r="Z11003" i="5"/>
  <c r="Z11002" i="5"/>
  <c r="Z11001" i="5"/>
  <c r="Z11000" i="5"/>
  <c r="Z10999" i="5"/>
  <c r="Z10998" i="5"/>
  <c r="Z10997" i="5"/>
  <c r="Z10996" i="5"/>
  <c r="Z10995" i="5"/>
  <c r="Z10994" i="5"/>
  <c r="Z10993" i="5"/>
  <c r="Z10992" i="5"/>
  <c r="Z10991" i="5"/>
  <c r="Z10990" i="5"/>
  <c r="Z10989" i="5"/>
  <c r="Z10988" i="5"/>
  <c r="Z10987" i="5"/>
  <c r="Z10986" i="5"/>
  <c r="Z10985" i="5"/>
  <c r="Z10984" i="5"/>
  <c r="Z10983" i="5"/>
  <c r="Z10982" i="5"/>
  <c r="Z10981" i="5"/>
  <c r="Z10980" i="5"/>
  <c r="Z10979" i="5"/>
  <c r="Z10978" i="5"/>
  <c r="Z10977" i="5"/>
  <c r="Z10976" i="5"/>
  <c r="Z10975" i="5"/>
  <c r="Z10974" i="5"/>
  <c r="Z10973" i="5"/>
  <c r="Z10972" i="5"/>
  <c r="Z10971" i="5"/>
  <c r="Z10970" i="5"/>
  <c r="Z10969" i="5"/>
  <c r="Z10968" i="5"/>
  <c r="Z10967" i="5"/>
  <c r="Z10966" i="5"/>
  <c r="Z10965" i="5"/>
  <c r="Z10964" i="5"/>
  <c r="Z10963" i="5"/>
  <c r="Z10962" i="5"/>
  <c r="Z10961" i="5"/>
  <c r="Z10960" i="5"/>
  <c r="Z10959" i="5"/>
  <c r="Z10958" i="5"/>
  <c r="Z10957" i="5"/>
  <c r="Z10956" i="5"/>
  <c r="Z10955" i="5"/>
  <c r="Z10954" i="5"/>
  <c r="Z10953" i="5"/>
  <c r="Z10952" i="5"/>
  <c r="Z10951" i="5"/>
  <c r="Z10950" i="5"/>
  <c r="Z10949" i="5"/>
  <c r="Z10948" i="5"/>
  <c r="Z10947" i="5"/>
  <c r="Z10946" i="5"/>
  <c r="Z10945" i="5"/>
  <c r="Z10944" i="5"/>
  <c r="Z10943" i="5"/>
  <c r="Z10942" i="5"/>
  <c r="Z10941" i="5"/>
  <c r="Z10940" i="5"/>
  <c r="Z10939" i="5"/>
  <c r="Z10938" i="5"/>
  <c r="Z10937" i="5"/>
  <c r="Z10936" i="5"/>
  <c r="Z10935" i="5"/>
  <c r="Z10934" i="5"/>
  <c r="Z10933" i="5"/>
  <c r="Z10932" i="5"/>
  <c r="Z10931" i="5"/>
  <c r="Z10930" i="5"/>
  <c r="Z10929" i="5"/>
  <c r="Z10928" i="5"/>
  <c r="Z10927" i="5"/>
  <c r="Z10926" i="5"/>
  <c r="Z10925" i="5"/>
  <c r="Z10924" i="5"/>
  <c r="Z10923" i="5"/>
  <c r="Z10922" i="5"/>
  <c r="Z10921" i="5"/>
  <c r="Z10920" i="5"/>
  <c r="Z10919" i="5"/>
  <c r="Z10918" i="5"/>
  <c r="Z10917" i="5"/>
  <c r="Z10916" i="5"/>
  <c r="Z10915" i="5"/>
  <c r="Z10914" i="5"/>
  <c r="Z10913" i="5"/>
  <c r="Z10912" i="5"/>
  <c r="Z10911" i="5"/>
  <c r="Z10910" i="5"/>
  <c r="Z10909" i="5"/>
  <c r="Z10908" i="5"/>
  <c r="Z10907" i="5"/>
  <c r="Z10906" i="5"/>
  <c r="Z10905" i="5"/>
  <c r="Z10904" i="5"/>
  <c r="Z10903" i="5"/>
  <c r="Z10902" i="5"/>
  <c r="Z10901" i="5"/>
  <c r="Z10900" i="5"/>
  <c r="Z10899" i="5"/>
  <c r="Z10898" i="5"/>
  <c r="Z10897" i="5"/>
  <c r="Z10896" i="5"/>
  <c r="Z10895" i="5"/>
  <c r="Z10894" i="5"/>
  <c r="Z10893" i="5"/>
  <c r="Z10892" i="5"/>
  <c r="Z10891" i="5"/>
  <c r="Z10890" i="5"/>
  <c r="Z10889" i="5"/>
  <c r="Z10888" i="5"/>
  <c r="Z10887" i="5"/>
  <c r="Z10886" i="5"/>
  <c r="Z10885" i="5"/>
  <c r="Z10884" i="5"/>
  <c r="Z10883" i="5"/>
  <c r="Z10882" i="5"/>
  <c r="Z10881" i="5"/>
  <c r="Z10880" i="5"/>
  <c r="Z10879" i="5"/>
  <c r="Z10878" i="5"/>
  <c r="Z10877" i="5"/>
  <c r="Z10876" i="5"/>
  <c r="Z10875" i="5"/>
  <c r="Z10874" i="5"/>
  <c r="Z10873" i="5"/>
  <c r="Z10872" i="5"/>
  <c r="Z10871" i="5"/>
  <c r="Z10870" i="5"/>
  <c r="Z10869" i="5"/>
  <c r="Z10868" i="5"/>
  <c r="Z10867" i="5"/>
  <c r="Z10866" i="5"/>
  <c r="Z10865" i="5"/>
  <c r="Z10864" i="5"/>
  <c r="Z10863" i="5"/>
  <c r="Z10862" i="5"/>
  <c r="Z10861" i="5"/>
  <c r="Z10860" i="5"/>
  <c r="Z10859" i="5"/>
  <c r="Z10858" i="5"/>
  <c r="Z10857" i="5"/>
  <c r="Z10856" i="5"/>
  <c r="Z10855" i="5"/>
  <c r="Z10854" i="5"/>
  <c r="Z10853" i="5"/>
  <c r="Z10852" i="5"/>
  <c r="Z10851" i="5"/>
  <c r="Z10850" i="5"/>
  <c r="Z10849" i="5"/>
  <c r="Z10848" i="5"/>
  <c r="Z10847" i="5"/>
  <c r="Z10846" i="5"/>
  <c r="Z10845" i="5"/>
  <c r="Z10844" i="5"/>
  <c r="Z10843" i="5"/>
  <c r="Z10842" i="5"/>
  <c r="Z10841" i="5"/>
  <c r="Z10840" i="5"/>
  <c r="Z10839" i="5"/>
  <c r="Z10838" i="5"/>
  <c r="Z10837" i="5"/>
  <c r="Z10836" i="5"/>
  <c r="Z10835" i="5"/>
  <c r="Z10834" i="5"/>
  <c r="Z10833" i="5"/>
  <c r="Z10832" i="5"/>
  <c r="Z10831" i="5"/>
  <c r="Z10830" i="5"/>
  <c r="Z10829" i="5"/>
  <c r="Z10828" i="5"/>
  <c r="Z10827" i="5"/>
  <c r="Z10826" i="5"/>
  <c r="Z10825" i="5"/>
  <c r="Z10824" i="5"/>
  <c r="Z10823" i="5"/>
  <c r="Z10822" i="5"/>
  <c r="Z10821" i="5"/>
  <c r="Z10820" i="5"/>
  <c r="Z10819" i="5"/>
  <c r="Z10818" i="5"/>
  <c r="Z10817" i="5"/>
  <c r="Z10816" i="5"/>
  <c r="Z10815" i="5"/>
  <c r="Z10814" i="5"/>
  <c r="Z10813" i="5"/>
  <c r="Z10812" i="5"/>
  <c r="Z10811" i="5"/>
  <c r="Z10810" i="5"/>
  <c r="Z10809" i="5"/>
  <c r="Z10808" i="5"/>
  <c r="Z10807" i="5"/>
  <c r="Z10806" i="5"/>
  <c r="Z10805" i="5"/>
  <c r="Z10804" i="5"/>
  <c r="Z10803" i="5"/>
  <c r="Z10802" i="5"/>
  <c r="Z10801" i="5"/>
  <c r="Z10800" i="5"/>
  <c r="Z10799" i="5"/>
  <c r="Z10798" i="5"/>
  <c r="Z10797" i="5"/>
  <c r="Z10796" i="5"/>
  <c r="Z10795" i="5"/>
  <c r="Z10794" i="5"/>
  <c r="Z10793" i="5"/>
  <c r="Z10792" i="5"/>
  <c r="Z10791" i="5"/>
  <c r="Z10790" i="5"/>
  <c r="Z10789" i="5"/>
  <c r="Z10788" i="5"/>
  <c r="Z10787" i="5"/>
  <c r="Z10786" i="5"/>
  <c r="Z10785" i="5"/>
  <c r="Z10784" i="5"/>
  <c r="Z10783" i="5"/>
  <c r="Z10782" i="5"/>
  <c r="Z10781" i="5"/>
  <c r="Z10780" i="5"/>
  <c r="Z10779" i="5"/>
  <c r="Z10778" i="5"/>
  <c r="Z10777" i="5"/>
  <c r="Z10776" i="5"/>
  <c r="Z10775" i="5"/>
  <c r="Z10774" i="5"/>
  <c r="Z10773" i="5"/>
  <c r="Z10772" i="5"/>
  <c r="Z10771" i="5"/>
  <c r="Z10770" i="5"/>
  <c r="Z10769" i="5"/>
  <c r="Z10768" i="5"/>
  <c r="Z10767" i="5"/>
  <c r="Z10766" i="5"/>
  <c r="Z10765" i="5"/>
  <c r="Z10764" i="5"/>
  <c r="Z10763" i="5"/>
  <c r="Z10762" i="5"/>
  <c r="Z10761" i="5"/>
  <c r="Z10760" i="5"/>
  <c r="Z10759" i="5"/>
  <c r="Z10758" i="5"/>
  <c r="Z10757" i="5"/>
  <c r="Z10756" i="5"/>
  <c r="Z10755" i="5"/>
  <c r="Z10754" i="5"/>
  <c r="Z10753" i="5"/>
  <c r="Z10752" i="5"/>
  <c r="Z10751" i="5"/>
  <c r="Z10750" i="5"/>
  <c r="Z10749" i="5"/>
  <c r="Z10748" i="5"/>
  <c r="Z10747" i="5"/>
  <c r="Z10746" i="5"/>
  <c r="Z10745" i="5"/>
  <c r="Z10744" i="5"/>
  <c r="Z10743" i="5"/>
  <c r="Z10742" i="5"/>
  <c r="Z10741" i="5"/>
  <c r="Z10740" i="5"/>
  <c r="Z10739" i="5"/>
  <c r="Z10738" i="5"/>
  <c r="Z10737" i="5"/>
  <c r="Z10736" i="5"/>
  <c r="Z10735" i="5"/>
  <c r="Z10734" i="5"/>
  <c r="Z10733" i="5"/>
  <c r="Z10732" i="5"/>
  <c r="Z10731" i="5"/>
  <c r="Z10730" i="5"/>
  <c r="Z10729" i="5"/>
  <c r="Z10728" i="5"/>
  <c r="Z10727" i="5"/>
  <c r="Z10726" i="5"/>
  <c r="Z10725" i="5"/>
  <c r="Z10724" i="5"/>
  <c r="Z10723" i="5"/>
  <c r="Z10722" i="5"/>
  <c r="Z10721" i="5"/>
  <c r="Z10720" i="5"/>
  <c r="Z10719" i="5"/>
  <c r="Z10718" i="5"/>
  <c r="Z10717" i="5"/>
  <c r="Z10716" i="5"/>
  <c r="Z10715" i="5"/>
  <c r="Z10714" i="5"/>
  <c r="Z10713" i="5"/>
  <c r="Z10712" i="5"/>
  <c r="Z10711" i="5"/>
  <c r="Z10710" i="5"/>
  <c r="Z10709" i="5"/>
  <c r="Z10708" i="5"/>
  <c r="Z10707" i="5"/>
  <c r="Z10706" i="5"/>
  <c r="Z10705" i="5"/>
  <c r="Z10704" i="5"/>
  <c r="Z10703" i="5"/>
  <c r="Z10702" i="5"/>
  <c r="Z10701" i="5"/>
  <c r="Z10700" i="5"/>
  <c r="Z10699" i="5"/>
  <c r="Z10698" i="5"/>
  <c r="Z10697" i="5"/>
  <c r="Z10696" i="5"/>
  <c r="Z10695" i="5"/>
  <c r="Z10694" i="5"/>
  <c r="Z10693" i="5"/>
  <c r="Z10692" i="5"/>
  <c r="Z10691" i="5"/>
  <c r="Z10690" i="5"/>
  <c r="Z10689" i="5"/>
  <c r="Z10688" i="5"/>
  <c r="Z10687" i="5"/>
  <c r="Z10686" i="5"/>
  <c r="Z10685" i="5"/>
  <c r="Z10684" i="5"/>
  <c r="Z10683" i="5"/>
  <c r="Z10682" i="5"/>
  <c r="Z10681" i="5"/>
  <c r="Z10680" i="5"/>
  <c r="Z10679" i="5"/>
  <c r="Z10678" i="5"/>
  <c r="Z10677" i="5"/>
  <c r="Z10676" i="5"/>
  <c r="Z10675" i="5"/>
  <c r="Z10674" i="5"/>
  <c r="Z10673" i="5"/>
  <c r="Z10672" i="5"/>
  <c r="Z10671" i="5"/>
  <c r="Z10670" i="5"/>
  <c r="Z10669" i="5"/>
  <c r="Z10668" i="5"/>
  <c r="Z10667" i="5"/>
  <c r="Z10666" i="5"/>
  <c r="Z10665" i="5"/>
  <c r="Z10664" i="5"/>
  <c r="Z10663" i="5"/>
  <c r="Z10662" i="5"/>
  <c r="Z10661" i="5"/>
  <c r="Z10660" i="5"/>
  <c r="Z10659" i="5"/>
  <c r="Z10658" i="5"/>
  <c r="Z10657" i="5"/>
  <c r="Z10656" i="5"/>
  <c r="Z10655" i="5"/>
  <c r="Z10654" i="5"/>
  <c r="Z10653" i="5"/>
  <c r="Z10652" i="5"/>
  <c r="Z10651" i="5"/>
  <c r="Z10650" i="5"/>
  <c r="Z10649" i="5"/>
  <c r="Z10648" i="5"/>
  <c r="Z10647" i="5"/>
  <c r="Z10646" i="5"/>
  <c r="Z10645" i="5"/>
  <c r="Z10644" i="5"/>
  <c r="Z10643" i="5"/>
  <c r="Z10642" i="5"/>
  <c r="Z10641" i="5"/>
  <c r="Z10640" i="5"/>
  <c r="Z10639" i="5"/>
  <c r="Z10638" i="5"/>
  <c r="Z10637" i="5"/>
  <c r="Z10636" i="5"/>
  <c r="Z10635" i="5"/>
  <c r="Z10634" i="5"/>
  <c r="Z10633" i="5"/>
  <c r="Z10632" i="5"/>
  <c r="Z10631" i="5"/>
  <c r="Z10630" i="5"/>
  <c r="Z10629" i="5"/>
  <c r="Z10628" i="5"/>
  <c r="Z10627" i="5"/>
  <c r="Z10626" i="5"/>
  <c r="Z10625" i="5"/>
  <c r="Z10624" i="5"/>
  <c r="Z10623" i="5"/>
  <c r="Z10622" i="5"/>
  <c r="Z10621" i="5"/>
  <c r="Z10620" i="5"/>
  <c r="Z10619" i="5"/>
  <c r="Z10618" i="5"/>
  <c r="Z10617" i="5"/>
  <c r="Z10616" i="5"/>
  <c r="Z10615" i="5"/>
  <c r="Z10614" i="5"/>
  <c r="Z10613" i="5"/>
  <c r="Z10612" i="5"/>
  <c r="Z10611" i="5"/>
  <c r="Z10610" i="5"/>
  <c r="Z10609" i="5"/>
  <c r="Z10608" i="5"/>
  <c r="Z10607" i="5"/>
  <c r="Z10606" i="5"/>
  <c r="Z10605" i="5"/>
  <c r="Z10604" i="5"/>
  <c r="Z10603" i="5"/>
  <c r="Z10602" i="5"/>
  <c r="Z10601" i="5"/>
  <c r="Z10600" i="5"/>
  <c r="Z10599" i="5"/>
  <c r="Z10598" i="5"/>
  <c r="Z10597" i="5"/>
  <c r="Z10596" i="5"/>
  <c r="Z10595" i="5"/>
  <c r="Z10594" i="5"/>
  <c r="Z10593" i="5"/>
  <c r="Z10592" i="5"/>
  <c r="Z10591" i="5"/>
  <c r="Z10590" i="5"/>
  <c r="Z10589" i="5"/>
  <c r="Z10588" i="5"/>
  <c r="Z10587" i="5"/>
  <c r="Z10586" i="5"/>
  <c r="Z10585" i="5"/>
  <c r="Z10584" i="5"/>
  <c r="Z10583" i="5"/>
  <c r="Z10582" i="5"/>
  <c r="Z10581" i="5"/>
  <c r="Z10580" i="5"/>
  <c r="Z10579" i="5"/>
  <c r="Z10578" i="5"/>
  <c r="Z10577" i="5"/>
  <c r="Z10576" i="5"/>
  <c r="Z10575" i="5"/>
  <c r="Z10574" i="5"/>
  <c r="Z10573" i="5"/>
  <c r="Z10572" i="5"/>
  <c r="Z10571" i="5"/>
  <c r="Z10570" i="5"/>
  <c r="Z10569" i="5"/>
  <c r="Z10568" i="5"/>
  <c r="Z10567" i="5"/>
  <c r="Z10566" i="5"/>
  <c r="Z10565" i="5"/>
  <c r="Z10564" i="5"/>
  <c r="Z10563" i="5"/>
  <c r="Z10562" i="5"/>
  <c r="Z10561" i="5"/>
  <c r="Z10560" i="5"/>
  <c r="Z10559" i="5"/>
  <c r="Z10558" i="5"/>
  <c r="Z10557" i="5"/>
  <c r="Z10556" i="5"/>
  <c r="Z10555" i="5"/>
  <c r="Z10554" i="5"/>
  <c r="Z10553" i="5"/>
  <c r="Z10552" i="5"/>
  <c r="Z10551" i="5"/>
  <c r="Z10550" i="5"/>
  <c r="Z10549" i="5"/>
  <c r="Z10548" i="5"/>
  <c r="Z10547" i="5"/>
  <c r="Z10546" i="5"/>
  <c r="Z10545" i="5"/>
  <c r="Z10544" i="5"/>
  <c r="Z10543" i="5"/>
  <c r="Z10542" i="5"/>
  <c r="Z10541" i="5"/>
  <c r="Z10540" i="5"/>
  <c r="Z10539" i="5"/>
  <c r="Z10538" i="5"/>
  <c r="Z10537" i="5"/>
  <c r="Z10536" i="5"/>
  <c r="Z10535" i="5"/>
  <c r="Z10534" i="5"/>
  <c r="Z10533" i="5"/>
  <c r="Z10532" i="5"/>
  <c r="Z10531" i="5"/>
  <c r="Z10530" i="5"/>
  <c r="Z10529" i="5"/>
  <c r="Z10528" i="5"/>
  <c r="Z10527" i="5"/>
  <c r="Z10526" i="5"/>
  <c r="Z10525" i="5"/>
  <c r="Z10524" i="5"/>
  <c r="Z10523" i="5"/>
  <c r="Z10522" i="5"/>
  <c r="Z10521" i="5"/>
  <c r="Z10520" i="5"/>
  <c r="Z10519" i="5"/>
  <c r="Z10518" i="5"/>
  <c r="Z10517" i="5"/>
  <c r="Z10516" i="5"/>
  <c r="Z10515" i="5"/>
  <c r="Z10514" i="5"/>
  <c r="Z10513" i="5"/>
  <c r="Z10512" i="5"/>
  <c r="Z10511" i="5"/>
  <c r="Z10510" i="5"/>
  <c r="Z10509" i="5"/>
  <c r="Z10508" i="5"/>
  <c r="Z10507" i="5"/>
  <c r="Z10506" i="5"/>
  <c r="Z10505" i="5"/>
  <c r="Z10504" i="5"/>
  <c r="Z10503" i="5"/>
  <c r="Z10502" i="5"/>
  <c r="Z10501" i="5"/>
  <c r="Z10500" i="5"/>
  <c r="Z10499" i="5"/>
  <c r="Z10498" i="5"/>
  <c r="Z10497" i="5"/>
  <c r="Z10496" i="5"/>
  <c r="Z10495" i="5"/>
  <c r="Z10494" i="5"/>
  <c r="Z10493" i="5"/>
  <c r="Z10492" i="5"/>
  <c r="Z10491" i="5"/>
  <c r="Z10490" i="5"/>
  <c r="Z10489" i="5"/>
  <c r="Z10488" i="5"/>
  <c r="Z10487" i="5"/>
  <c r="Z10486" i="5"/>
  <c r="Z10485" i="5"/>
  <c r="Z10484" i="5"/>
  <c r="Z10483" i="5"/>
  <c r="Z10482" i="5"/>
  <c r="Z10481" i="5"/>
  <c r="Z10480" i="5"/>
  <c r="Z10479" i="5"/>
  <c r="Z10478" i="5"/>
  <c r="Z10477" i="5"/>
  <c r="Z10476" i="5"/>
  <c r="Z10475" i="5"/>
  <c r="Z10474" i="5"/>
  <c r="Z10473" i="5"/>
  <c r="Z10472" i="5"/>
  <c r="Z10471" i="5"/>
  <c r="Z10470" i="5"/>
  <c r="Z10469" i="5"/>
  <c r="Z10468" i="5"/>
  <c r="Z10467" i="5"/>
  <c r="Z10466" i="5"/>
  <c r="Z10465" i="5"/>
  <c r="Z10464" i="5"/>
  <c r="Z10463" i="5"/>
  <c r="Z10462" i="5"/>
  <c r="Z10461" i="5"/>
  <c r="Z10460" i="5"/>
  <c r="Z10459" i="5"/>
  <c r="Z10458" i="5"/>
  <c r="Z10457" i="5"/>
  <c r="Z10456" i="5"/>
  <c r="Z10455" i="5"/>
  <c r="Z10454" i="5"/>
  <c r="Z10453" i="5"/>
  <c r="Z10452" i="5"/>
  <c r="Z10451" i="5"/>
  <c r="Z10450" i="5"/>
  <c r="Z10449" i="5"/>
  <c r="Z10448" i="5"/>
  <c r="Z10447" i="5"/>
  <c r="Z10446" i="5"/>
  <c r="Z10445" i="5"/>
  <c r="Z10444" i="5"/>
  <c r="Z10443" i="5"/>
  <c r="Z10442" i="5"/>
  <c r="Z10441" i="5"/>
  <c r="Z10440" i="5"/>
  <c r="Z10439" i="5"/>
  <c r="Z10438" i="5"/>
  <c r="Z10437" i="5"/>
  <c r="Z10436" i="5"/>
  <c r="Z10435" i="5"/>
  <c r="Z10434" i="5"/>
  <c r="Z10433" i="5"/>
  <c r="Z10432" i="5"/>
  <c r="Z10431" i="5"/>
  <c r="Z10430" i="5"/>
  <c r="Z10429" i="5"/>
  <c r="Z10428" i="5"/>
  <c r="Z10427" i="5"/>
  <c r="Z10426" i="5"/>
  <c r="Z10425" i="5"/>
  <c r="Z10424" i="5"/>
  <c r="Z10423" i="5"/>
  <c r="Z10422" i="5"/>
  <c r="Z10421" i="5"/>
  <c r="Z10420" i="5"/>
  <c r="Z10419" i="5"/>
  <c r="Z10418" i="5"/>
  <c r="Z10417" i="5"/>
  <c r="Z10416" i="5"/>
  <c r="Z10415" i="5"/>
  <c r="Z10414" i="5"/>
  <c r="Z10413" i="5"/>
  <c r="Z10412" i="5"/>
  <c r="Z10411" i="5"/>
  <c r="Z10410" i="5"/>
  <c r="Z10409" i="5"/>
  <c r="Z10408" i="5"/>
  <c r="Z10407" i="5"/>
  <c r="Z10406" i="5"/>
  <c r="Z10405" i="5"/>
  <c r="Z10404" i="5"/>
  <c r="Z10403" i="5"/>
  <c r="Z10402" i="5"/>
  <c r="Z10401" i="5"/>
  <c r="Z10400" i="5"/>
  <c r="Z10399" i="5"/>
  <c r="Z10398" i="5"/>
  <c r="Z10397" i="5"/>
  <c r="Z10396" i="5"/>
  <c r="Z10395" i="5"/>
  <c r="Z10394" i="5"/>
  <c r="Z10393" i="5"/>
  <c r="Z10392" i="5"/>
  <c r="Z10391" i="5"/>
  <c r="Z10390" i="5"/>
  <c r="Z10389" i="5"/>
  <c r="Z10388" i="5"/>
  <c r="Z10387" i="5"/>
  <c r="Z10386" i="5"/>
  <c r="Z10385" i="5"/>
  <c r="Z10384" i="5"/>
  <c r="Z10383" i="5"/>
  <c r="Z10382" i="5"/>
  <c r="Z10381" i="5"/>
  <c r="Z10380" i="5"/>
  <c r="Z10379" i="5"/>
  <c r="Z10378" i="5"/>
  <c r="Z10377" i="5"/>
  <c r="Z10376" i="5"/>
  <c r="Z10375" i="5"/>
  <c r="Z10374" i="5"/>
  <c r="Z10373" i="5"/>
  <c r="Z10372" i="5"/>
  <c r="Z10371" i="5"/>
  <c r="Z10370" i="5"/>
  <c r="Z10369" i="5"/>
  <c r="Z10368" i="5"/>
  <c r="Z10367" i="5"/>
  <c r="Z10366" i="5"/>
  <c r="Z10365" i="5"/>
  <c r="Z10364" i="5"/>
  <c r="Z10363" i="5"/>
  <c r="Z10362" i="5"/>
  <c r="Z10361" i="5"/>
  <c r="Z10360" i="5"/>
  <c r="Z10359" i="5"/>
  <c r="Z10358" i="5"/>
  <c r="Z10357" i="5"/>
  <c r="Z10356" i="5"/>
  <c r="Z10355" i="5"/>
  <c r="Z10354" i="5"/>
  <c r="Z10353" i="5"/>
  <c r="Z10352" i="5"/>
  <c r="Z10351" i="5"/>
  <c r="Z10350" i="5"/>
  <c r="Z10349" i="5"/>
  <c r="Z10348" i="5"/>
  <c r="Z10347" i="5"/>
  <c r="Z10346" i="5"/>
  <c r="Z10345" i="5"/>
  <c r="Z10344" i="5"/>
  <c r="Z10343" i="5"/>
  <c r="Z10342" i="5"/>
  <c r="Z10341" i="5"/>
  <c r="Z10340" i="5"/>
  <c r="Z10339" i="5"/>
  <c r="Z10338" i="5"/>
  <c r="Z10337" i="5"/>
  <c r="Z10336" i="5"/>
  <c r="Z10335" i="5"/>
  <c r="Z10334" i="5"/>
  <c r="Z10333" i="5"/>
  <c r="Z10332" i="5"/>
  <c r="Z10331" i="5"/>
  <c r="Z10330" i="5"/>
  <c r="Z10329" i="5"/>
  <c r="Z10328" i="5"/>
  <c r="Z10327" i="5"/>
  <c r="Z10326" i="5"/>
  <c r="Z10325" i="5"/>
  <c r="Z10324" i="5"/>
  <c r="Z10323" i="5"/>
  <c r="Z10322" i="5"/>
  <c r="Z10321" i="5"/>
  <c r="Z10320" i="5"/>
  <c r="Z10319" i="5"/>
  <c r="Z10318" i="5"/>
  <c r="Z10317" i="5"/>
  <c r="Z10316" i="5"/>
  <c r="Z10315" i="5"/>
  <c r="Z10314" i="5"/>
  <c r="Z10313" i="5"/>
  <c r="Z10312" i="5"/>
  <c r="Z10311" i="5"/>
  <c r="Z10310" i="5"/>
  <c r="Z10309" i="5"/>
  <c r="Z10308" i="5"/>
  <c r="Z10307" i="5"/>
  <c r="Z10306" i="5"/>
  <c r="Z10305" i="5"/>
  <c r="Z10304" i="5"/>
  <c r="Z10303" i="5"/>
  <c r="Z10302" i="5"/>
  <c r="Z10301" i="5"/>
  <c r="Z10300" i="5"/>
  <c r="Z10299" i="5"/>
  <c r="Z10298" i="5"/>
  <c r="Z10297" i="5"/>
  <c r="Z10296" i="5"/>
  <c r="Z10295" i="5"/>
  <c r="Z10294" i="5"/>
  <c r="Z10293" i="5"/>
  <c r="Z10292" i="5"/>
  <c r="Z10291" i="5"/>
  <c r="Z10290" i="5"/>
  <c r="Z10289" i="5"/>
  <c r="Z10288" i="5"/>
  <c r="Z10287" i="5"/>
  <c r="Z10286" i="5"/>
  <c r="Z10285" i="5"/>
  <c r="Z10284" i="5"/>
  <c r="Z10283" i="5"/>
  <c r="Z10282" i="5"/>
  <c r="Z10281" i="5"/>
  <c r="Z10280" i="5"/>
  <c r="Z10279" i="5"/>
  <c r="Z10278" i="5"/>
  <c r="Z10277" i="5"/>
  <c r="Z10276" i="5"/>
  <c r="Z10275" i="5"/>
  <c r="Z10274" i="5"/>
  <c r="Z10273" i="5"/>
  <c r="Z10272" i="5"/>
  <c r="Z10271" i="5"/>
  <c r="Z10270" i="5"/>
  <c r="Z10269" i="5"/>
  <c r="Z10268" i="5"/>
  <c r="Z10267" i="5"/>
  <c r="Z10266" i="5"/>
  <c r="Z10265" i="5"/>
  <c r="Z10264" i="5"/>
  <c r="Z10263" i="5"/>
  <c r="Z10262" i="5"/>
  <c r="Z10261" i="5"/>
  <c r="Z10260" i="5"/>
  <c r="Z10259" i="5"/>
  <c r="Z10258" i="5"/>
  <c r="Z10257" i="5"/>
  <c r="Z10256" i="5"/>
  <c r="Z10255" i="5"/>
  <c r="Z10254" i="5"/>
  <c r="Z10253" i="5"/>
  <c r="Z10252" i="5"/>
  <c r="Z10251" i="5"/>
  <c r="Z10250" i="5"/>
  <c r="Z10249" i="5"/>
  <c r="Z10248" i="5"/>
  <c r="Z10247" i="5"/>
  <c r="Z10246" i="5"/>
  <c r="Z10245" i="5"/>
  <c r="Z10244" i="5"/>
  <c r="Z10243" i="5"/>
  <c r="Z10242" i="5"/>
  <c r="Z10241" i="5"/>
  <c r="Z10240" i="5"/>
  <c r="Z10239" i="5"/>
  <c r="Z10238" i="5"/>
  <c r="Z10237" i="5"/>
  <c r="Z10236" i="5"/>
  <c r="Z10235" i="5"/>
  <c r="Z10234" i="5"/>
  <c r="Z10233" i="5"/>
  <c r="Z10232" i="5"/>
  <c r="Z10231" i="5"/>
  <c r="Z10230" i="5"/>
  <c r="Z10229" i="5"/>
  <c r="Z10228" i="5"/>
  <c r="Z10227" i="5"/>
  <c r="Z10226" i="5"/>
  <c r="Z10225" i="5"/>
  <c r="Z10224" i="5"/>
  <c r="Z10223" i="5"/>
  <c r="Z10222" i="5"/>
  <c r="Z10221" i="5"/>
  <c r="Z10220" i="5"/>
  <c r="Z10219" i="5"/>
  <c r="Z10218" i="5"/>
  <c r="Z10217" i="5"/>
  <c r="Z10216" i="5"/>
  <c r="Z10215" i="5"/>
  <c r="Z10214" i="5"/>
  <c r="Z10213" i="5"/>
  <c r="Z10212" i="5"/>
  <c r="Z10211" i="5"/>
  <c r="Z10210" i="5"/>
  <c r="Z10209" i="5"/>
  <c r="Z10208" i="5"/>
  <c r="Z10207" i="5"/>
  <c r="Z10206" i="5"/>
  <c r="Z10205" i="5"/>
  <c r="Z10204" i="5"/>
  <c r="Z10203" i="5"/>
  <c r="Z10202" i="5"/>
  <c r="Z10201" i="5"/>
  <c r="Z10200" i="5"/>
  <c r="Z10199" i="5"/>
  <c r="Z10198" i="5"/>
  <c r="Z10197" i="5"/>
  <c r="Z10196" i="5"/>
  <c r="Z10195" i="5"/>
  <c r="Z10194" i="5"/>
  <c r="Z10193" i="5"/>
  <c r="Z10192" i="5"/>
  <c r="Z10191" i="5"/>
  <c r="Z10190" i="5"/>
  <c r="Z10189" i="5"/>
  <c r="Z10188" i="5"/>
  <c r="Z10187" i="5"/>
  <c r="Z10186" i="5"/>
  <c r="Z10185" i="5"/>
  <c r="Z10184" i="5"/>
  <c r="Z10183" i="5"/>
  <c r="Z10182" i="5"/>
  <c r="Z10181" i="5"/>
  <c r="Z10180" i="5"/>
  <c r="Z10179" i="5"/>
  <c r="Z10178" i="5"/>
  <c r="Z10177" i="5"/>
  <c r="Z10176" i="5"/>
  <c r="Z10175" i="5"/>
  <c r="Z10174" i="5"/>
  <c r="Z10173" i="5"/>
  <c r="Z10172" i="5"/>
  <c r="Z10171" i="5"/>
  <c r="Z10170" i="5"/>
  <c r="Z10169" i="5"/>
  <c r="Z10168" i="5"/>
  <c r="Z10167" i="5"/>
  <c r="Z10166" i="5"/>
  <c r="Z10165" i="5"/>
  <c r="Z10164" i="5"/>
  <c r="Z10163" i="5"/>
  <c r="Z10162" i="5"/>
  <c r="Z10161" i="5"/>
  <c r="Z10160" i="5"/>
  <c r="Z10159" i="5"/>
  <c r="Z10158" i="5"/>
  <c r="Z10157" i="5"/>
  <c r="Z10156" i="5"/>
  <c r="Z10155" i="5"/>
  <c r="Z10154" i="5"/>
  <c r="Z10153" i="5"/>
  <c r="Z10152" i="5"/>
  <c r="Z10151" i="5"/>
  <c r="Z10150" i="5"/>
  <c r="Z10149" i="5"/>
  <c r="Z10148" i="5"/>
  <c r="Z10147" i="5"/>
  <c r="Z10146" i="5"/>
  <c r="Z10145" i="5"/>
  <c r="Z10144" i="5"/>
  <c r="Z10143" i="5"/>
  <c r="Z10142" i="5"/>
  <c r="Z10141" i="5"/>
  <c r="Z10140" i="5"/>
  <c r="Z10139" i="5"/>
  <c r="Z10138" i="5"/>
  <c r="Z10137" i="5"/>
  <c r="Z10136" i="5"/>
  <c r="Z10135" i="5"/>
  <c r="Z10134" i="5"/>
  <c r="Z10133" i="5"/>
  <c r="Z10132" i="5"/>
  <c r="Z10131" i="5"/>
  <c r="Z10130" i="5"/>
  <c r="Z10129" i="5"/>
  <c r="Z10128" i="5"/>
  <c r="Z10127" i="5"/>
  <c r="Z10126" i="5"/>
  <c r="Z10125" i="5"/>
  <c r="Z10124" i="5"/>
  <c r="Z10123" i="5"/>
  <c r="Z10122" i="5"/>
  <c r="Z10121" i="5"/>
  <c r="Z10120" i="5"/>
  <c r="Z10119" i="5"/>
  <c r="Z10118" i="5"/>
  <c r="Z10117" i="5"/>
  <c r="Z10116" i="5"/>
  <c r="Z10115" i="5"/>
  <c r="Z10114" i="5"/>
  <c r="Z10113" i="5"/>
  <c r="Z10112" i="5"/>
  <c r="Z10111" i="5"/>
  <c r="Z10110" i="5"/>
  <c r="Z10109" i="5"/>
  <c r="Z10108" i="5"/>
  <c r="Z10107" i="5"/>
  <c r="Z10106" i="5"/>
  <c r="Z10105" i="5"/>
  <c r="Z10104" i="5"/>
  <c r="Z10103" i="5"/>
  <c r="Z10102" i="5"/>
  <c r="Z10101" i="5"/>
  <c r="Z10100" i="5"/>
  <c r="Z10099" i="5"/>
  <c r="Z10098" i="5"/>
  <c r="Z10097" i="5"/>
  <c r="Z10096" i="5"/>
  <c r="Z10095" i="5"/>
  <c r="Z10094" i="5"/>
  <c r="Z10093" i="5"/>
  <c r="Z10092" i="5"/>
  <c r="Z10091" i="5"/>
  <c r="Z10090" i="5"/>
  <c r="Z10089" i="5"/>
  <c r="Z10088" i="5"/>
  <c r="Z10087" i="5"/>
  <c r="Z10086" i="5"/>
  <c r="Z10085" i="5"/>
  <c r="Z10084" i="5"/>
  <c r="Z10083" i="5"/>
  <c r="Z10082" i="5"/>
  <c r="Z10081" i="5"/>
  <c r="Z10080" i="5"/>
  <c r="Z10079" i="5"/>
  <c r="Z10078" i="5"/>
  <c r="Z10077" i="5"/>
  <c r="Z10076" i="5"/>
  <c r="Z10075" i="5"/>
  <c r="Z10074" i="5"/>
  <c r="Z10073" i="5"/>
  <c r="Z10072" i="5"/>
  <c r="Z10071" i="5"/>
  <c r="Z10070" i="5"/>
  <c r="Z10069" i="5"/>
  <c r="Z10068" i="5"/>
  <c r="Z10067" i="5"/>
  <c r="Z10066" i="5"/>
  <c r="Z10065" i="5"/>
  <c r="Z10064" i="5"/>
  <c r="Z10063" i="5"/>
  <c r="Z10062" i="5"/>
  <c r="Z10061" i="5"/>
  <c r="Z10060" i="5"/>
  <c r="Z10059" i="5"/>
  <c r="Z10058" i="5"/>
  <c r="Z10057" i="5"/>
  <c r="Z10056" i="5"/>
  <c r="Z10055" i="5"/>
  <c r="Z10054" i="5"/>
  <c r="Z10053" i="5"/>
  <c r="Z10052" i="5"/>
  <c r="Z10051" i="5"/>
  <c r="Z10050" i="5"/>
  <c r="Z10049" i="5"/>
  <c r="Z10048" i="5"/>
  <c r="Z10047" i="5"/>
  <c r="Z10046" i="5"/>
  <c r="Z10045" i="5"/>
  <c r="Z10044" i="5"/>
  <c r="Z10043" i="5"/>
  <c r="Z10042" i="5"/>
  <c r="Z10041" i="5"/>
  <c r="Z10040" i="5"/>
  <c r="Z10039" i="5"/>
  <c r="Z10038" i="5"/>
  <c r="Z10037" i="5"/>
  <c r="Z10036" i="5"/>
  <c r="Z10035" i="5"/>
  <c r="Z10034" i="5"/>
  <c r="Z10033" i="5"/>
  <c r="Z10032" i="5"/>
  <c r="Z10031" i="5"/>
  <c r="Z10030" i="5"/>
  <c r="Z10029" i="5"/>
  <c r="Z10028" i="5"/>
  <c r="Z10027" i="5"/>
  <c r="Z10026" i="5"/>
  <c r="Z10025" i="5"/>
  <c r="Z10024" i="5"/>
  <c r="Z10023" i="5"/>
  <c r="Z10022" i="5"/>
  <c r="Z10021" i="5"/>
  <c r="Z10020" i="5"/>
  <c r="Z10019" i="5"/>
  <c r="Z10018" i="5"/>
  <c r="Z10017" i="5"/>
  <c r="Z10016" i="5"/>
  <c r="Z10015" i="5"/>
  <c r="Z10014" i="5"/>
  <c r="Z10013" i="5"/>
  <c r="Z10012" i="5"/>
  <c r="Z10011" i="5"/>
  <c r="Z10010" i="5"/>
  <c r="Z10009" i="5"/>
  <c r="Z10008" i="5"/>
  <c r="Z10007" i="5"/>
  <c r="Z10006" i="5"/>
  <c r="Z10005" i="5"/>
  <c r="Z10004" i="5"/>
  <c r="Z10003" i="5"/>
  <c r="Z10002" i="5"/>
  <c r="Z10001" i="5"/>
  <c r="Z10000" i="5"/>
  <c r="Z9999" i="5"/>
  <c r="Z9998" i="5"/>
  <c r="Z9997" i="5"/>
  <c r="Z9996" i="5"/>
  <c r="Z9995" i="5"/>
  <c r="Z9994" i="5"/>
  <c r="Z9993" i="5"/>
  <c r="Z9992" i="5"/>
  <c r="Z9991" i="5"/>
  <c r="Z9990" i="5"/>
  <c r="Z9989" i="5"/>
  <c r="Z9988" i="5"/>
  <c r="Z9987" i="5"/>
  <c r="Z9986" i="5"/>
  <c r="Z9985" i="5"/>
  <c r="Z9984" i="5"/>
  <c r="Z9983" i="5"/>
  <c r="Z9982" i="5"/>
  <c r="Z9981" i="5"/>
  <c r="Z9980" i="5"/>
  <c r="Z9979" i="5"/>
  <c r="Z9978" i="5"/>
  <c r="Z9977" i="5"/>
  <c r="Z9976" i="5"/>
  <c r="Z9975" i="5"/>
  <c r="Z9974" i="5"/>
  <c r="Z9973" i="5"/>
  <c r="Z9972" i="5"/>
  <c r="Z9971" i="5"/>
  <c r="Z9970" i="5"/>
  <c r="Z9969" i="5"/>
  <c r="Z9968" i="5"/>
  <c r="Z9967" i="5"/>
  <c r="Z9966" i="5"/>
  <c r="Z9965" i="5"/>
  <c r="Z9964" i="5"/>
  <c r="Z9963" i="5"/>
  <c r="Z9962" i="5"/>
  <c r="Z9961" i="5"/>
  <c r="Z9960" i="5"/>
  <c r="Z9959" i="5"/>
  <c r="Z9958" i="5"/>
  <c r="Z9957" i="5"/>
  <c r="Z9956" i="5"/>
  <c r="Z9955" i="5"/>
  <c r="Z9954" i="5"/>
  <c r="Z9953" i="5"/>
  <c r="Z9952" i="5"/>
  <c r="Z9951" i="5"/>
  <c r="Z9950" i="5"/>
  <c r="Z9949" i="5"/>
  <c r="Z9948" i="5"/>
  <c r="Z9947" i="5"/>
  <c r="Z9946" i="5"/>
  <c r="Z9945" i="5"/>
  <c r="Z9944" i="5"/>
  <c r="Z9943" i="5"/>
  <c r="Z9942" i="5"/>
  <c r="Z9941" i="5"/>
  <c r="Z9940" i="5"/>
  <c r="Z9939" i="5"/>
  <c r="Z9938" i="5"/>
  <c r="Z9937" i="5"/>
  <c r="Z9936" i="5"/>
  <c r="Z9935" i="5"/>
  <c r="Z9934" i="5"/>
  <c r="Z9933" i="5"/>
  <c r="Z9932" i="5"/>
  <c r="Z9931" i="5"/>
  <c r="Z9930" i="5"/>
  <c r="Z9929" i="5"/>
  <c r="Z9928" i="5"/>
  <c r="Z9927" i="5"/>
  <c r="Z9926" i="5"/>
  <c r="Z9925" i="5"/>
  <c r="Z9924" i="5"/>
  <c r="Z9923" i="5"/>
  <c r="Z9922" i="5"/>
  <c r="Z9921" i="5"/>
  <c r="Z9920" i="5"/>
  <c r="Z9919" i="5"/>
  <c r="Z9918" i="5"/>
  <c r="Z9917" i="5"/>
  <c r="Z9916" i="5"/>
  <c r="Z9915" i="5"/>
  <c r="Z9914" i="5"/>
  <c r="Z9913" i="5"/>
  <c r="Z9912" i="5"/>
  <c r="Z9911" i="5"/>
  <c r="Z9910" i="5"/>
  <c r="Z9909" i="5"/>
  <c r="Z9908" i="5"/>
  <c r="Z9907" i="5"/>
  <c r="Z9906" i="5"/>
  <c r="Z9905" i="5"/>
  <c r="Z9904" i="5"/>
  <c r="Z9903" i="5"/>
  <c r="Z9902" i="5"/>
  <c r="Z9901" i="5"/>
  <c r="Z9900" i="5"/>
  <c r="Z9899" i="5"/>
  <c r="Z9898" i="5"/>
  <c r="Z9897" i="5"/>
  <c r="Z9896" i="5"/>
  <c r="Z9895" i="5"/>
  <c r="Z9894" i="5"/>
  <c r="Z9893" i="5"/>
  <c r="Z9892" i="5"/>
  <c r="Z9891" i="5"/>
  <c r="Z9890" i="5"/>
  <c r="Z9889" i="5"/>
  <c r="Z9888" i="5"/>
  <c r="Z9887" i="5"/>
  <c r="Z9886" i="5"/>
  <c r="Z9885" i="5"/>
  <c r="Z9884" i="5"/>
  <c r="Z9883" i="5"/>
  <c r="Z9882" i="5"/>
  <c r="Z9881" i="5"/>
  <c r="Z9880" i="5"/>
  <c r="Z9879" i="5"/>
  <c r="Z9878" i="5"/>
  <c r="Z9877" i="5"/>
  <c r="Z9876" i="5"/>
  <c r="Z9875" i="5"/>
  <c r="Z9874" i="5"/>
  <c r="Z9873" i="5"/>
  <c r="Z9872" i="5"/>
  <c r="Z9871" i="5"/>
  <c r="Z9870" i="5"/>
  <c r="Z9869" i="5"/>
  <c r="Z9868" i="5"/>
  <c r="Z9867" i="5"/>
  <c r="Z9866" i="5"/>
  <c r="Z9865" i="5"/>
  <c r="Z9864" i="5"/>
  <c r="Z9863" i="5"/>
  <c r="Z9862" i="5"/>
  <c r="Z9861" i="5"/>
  <c r="Z9860" i="5"/>
  <c r="Z9859" i="5"/>
  <c r="Z9858" i="5"/>
  <c r="Z9857" i="5"/>
  <c r="Z9856" i="5"/>
  <c r="Z9855" i="5"/>
  <c r="Z9854" i="5"/>
  <c r="Z9853" i="5"/>
  <c r="Z9852" i="5"/>
  <c r="Z9851" i="5"/>
  <c r="Z9850" i="5"/>
  <c r="Z9849" i="5"/>
  <c r="Z9848" i="5"/>
  <c r="Z9847" i="5"/>
  <c r="Z9846" i="5"/>
  <c r="Z9845" i="5"/>
  <c r="Z9844" i="5"/>
  <c r="Z9843" i="5"/>
  <c r="Z9842" i="5"/>
  <c r="Z9841" i="5"/>
  <c r="Z9840" i="5"/>
  <c r="Z9839" i="5"/>
  <c r="Z9838" i="5"/>
  <c r="Z9837" i="5"/>
  <c r="Z9836" i="5"/>
  <c r="Z9835" i="5"/>
  <c r="Z9834" i="5"/>
  <c r="Z9833" i="5"/>
  <c r="Z9832" i="5"/>
  <c r="Z9831" i="5"/>
  <c r="Z9830" i="5"/>
  <c r="Z9829" i="5"/>
  <c r="Z9828" i="5"/>
  <c r="Z9827" i="5"/>
  <c r="Z9826" i="5"/>
  <c r="Z9825" i="5"/>
  <c r="Z9824" i="5"/>
  <c r="Z9823" i="5"/>
  <c r="Z9822" i="5"/>
  <c r="Z9821" i="5"/>
  <c r="Z9820" i="5"/>
  <c r="Z9819" i="5"/>
  <c r="Z9818" i="5"/>
  <c r="Z9817" i="5"/>
  <c r="Z9816" i="5"/>
  <c r="Z9815" i="5"/>
  <c r="Z9814" i="5"/>
  <c r="Z9813" i="5"/>
  <c r="Z9812" i="5"/>
  <c r="Z9811" i="5"/>
  <c r="Z9810" i="5"/>
  <c r="Z9809" i="5"/>
  <c r="Z9808" i="5"/>
  <c r="Z9807" i="5"/>
  <c r="Z9806" i="5"/>
  <c r="Z9805" i="5"/>
  <c r="Z9804" i="5"/>
  <c r="Z9803" i="5"/>
  <c r="Z9802" i="5"/>
  <c r="Z9801" i="5"/>
  <c r="Z9800" i="5"/>
  <c r="Z9799" i="5"/>
  <c r="Z9798" i="5"/>
  <c r="Z9797" i="5"/>
  <c r="Z9796" i="5"/>
  <c r="Z9795" i="5"/>
  <c r="Z9794" i="5"/>
  <c r="Z9793" i="5"/>
  <c r="Z9792" i="5"/>
  <c r="Z9791" i="5"/>
  <c r="Z9790" i="5"/>
  <c r="Z9789" i="5"/>
  <c r="Z9788" i="5"/>
  <c r="Z9787" i="5"/>
  <c r="Z9786" i="5"/>
  <c r="Z9785" i="5"/>
  <c r="Z9784" i="5"/>
  <c r="Z9783" i="5"/>
  <c r="Z9782" i="5"/>
  <c r="Z9781" i="5"/>
  <c r="Z9780" i="5"/>
  <c r="Z9779" i="5"/>
  <c r="Z9778" i="5"/>
  <c r="Z9777" i="5"/>
  <c r="Z9776" i="5"/>
  <c r="Z9775" i="5"/>
  <c r="Z9774" i="5"/>
  <c r="Z9773" i="5"/>
  <c r="Z9772" i="5"/>
  <c r="Z9771" i="5"/>
  <c r="Z9770" i="5"/>
  <c r="Z9769" i="5"/>
  <c r="Z9768" i="5"/>
  <c r="Z9767" i="5"/>
  <c r="Z9766" i="5"/>
  <c r="Z9765" i="5"/>
  <c r="Z9764" i="5"/>
  <c r="Z9763" i="5"/>
  <c r="Z9762" i="5"/>
  <c r="Z9761" i="5"/>
  <c r="Z9760" i="5"/>
  <c r="Z9759" i="5"/>
  <c r="Z9758" i="5"/>
  <c r="Z9757" i="5"/>
  <c r="Z9756" i="5"/>
  <c r="Z9755" i="5"/>
  <c r="Z9754" i="5"/>
  <c r="Z9753" i="5"/>
  <c r="Z9752" i="5"/>
  <c r="Z9751" i="5"/>
  <c r="Z9750" i="5"/>
  <c r="Z9749" i="5"/>
  <c r="Z9748" i="5"/>
  <c r="Z9747" i="5"/>
  <c r="Z9746" i="5"/>
  <c r="Z9745" i="5"/>
  <c r="Z9744" i="5"/>
  <c r="Z9743" i="5"/>
  <c r="Z9742" i="5"/>
  <c r="Z9741" i="5"/>
  <c r="Z9740" i="5"/>
  <c r="Z9739" i="5"/>
  <c r="Z9738" i="5"/>
  <c r="Z9737" i="5"/>
  <c r="Z9736" i="5"/>
  <c r="Z9735" i="5"/>
  <c r="Z9734" i="5"/>
  <c r="Z9733" i="5"/>
  <c r="Z9732" i="5"/>
  <c r="Z9731" i="5"/>
  <c r="Z9730" i="5"/>
  <c r="Z9729" i="5"/>
  <c r="Z9728" i="5"/>
  <c r="Z9727" i="5"/>
  <c r="Z9726" i="5"/>
  <c r="Z9725" i="5"/>
  <c r="Z9724" i="5"/>
  <c r="Z9723" i="5"/>
  <c r="Z9722" i="5"/>
  <c r="Z9721" i="5"/>
  <c r="Z9720" i="5"/>
  <c r="Z9719" i="5"/>
  <c r="Z9718" i="5"/>
  <c r="Z9717" i="5"/>
  <c r="Z9716" i="5"/>
  <c r="Z9715" i="5"/>
  <c r="Z9714" i="5"/>
  <c r="Z9713" i="5"/>
  <c r="Z9712" i="5"/>
  <c r="Z9711" i="5"/>
  <c r="Z9710" i="5"/>
  <c r="Z9709" i="5"/>
  <c r="Z9708" i="5"/>
  <c r="Z9707" i="5"/>
  <c r="Z9706" i="5"/>
  <c r="Z9705" i="5"/>
  <c r="Z9704" i="5"/>
  <c r="Z9703" i="5"/>
  <c r="Z9702" i="5"/>
  <c r="Z9701" i="5"/>
  <c r="Z9700" i="5"/>
  <c r="Z9699" i="5"/>
  <c r="Z9698" i="5"/>
  <c r="Z9697" i="5"/>
  <c r="Z9696" i="5"/>
  <c r="Z9695" i="5"/>
  <c r="Z9694" i="5"/>
  <c r="Z9693" i="5"/>
  <c r="Z9692" i="5"/>
  <c r="Z9691" i="5"/>
  <c r="Z9690" i="5"/>
  <c r="Z9689" i="5"/>
  <c r="Z9688" i="5"/>
  <c r="Z9687" i="5"/>
  <c r="Z9686" i="5"/>
  <c r="Z9685" i="5"/>
  <c r="Z9684" i="5"/>
  <c r="Z9683" i="5"/>
  <c r="Z9682" i="5"/>
  <c r="Z9681" i="5"/>
  <c r="Z9680" i="5"/>
  <c r="Z9679" i="5"/>
  <c r="Z9678" i="5"/>
  <c r="Z9677" i="5"/>
  <c r="Z9676" i="5"/>
  <c r="Z9675" i="5"/>
  <c r="Z9674" i="5"/>
  <c r="Z9673" i="5"/>
  <c r="Z9672" i="5"/>
  <c r="Z9671" i="5"/>
  <c r="Z9670" i="5"/>
  <c r="Z9669" i="5"/>
  <c r="Z9668" i="5"/>
  <c r="Z9667" i="5"/>
  <c r="Z9666" i="5"/>
  <c r="Z9665" i="5"/>
  <c r="Z9664" i="5"/>
  <c r="Z9663" i="5"/>
  <c r="Z9662" i="5"/>
  <c r="Z9661" i="5"/>
  <c r="Z9660" i="5"/>
  <c r="Z9659" i="5"/>
  <c r="Z9658" i="5"/>
  <c r="Z9657" i="5"/>
  <c r="Z9656" i="5"/>
  <c r="Z9655" i="5"/>
  <c r="Z9654" i="5"/>
  <c r="Z9653" i="5"/>
  <c r="Z9652" i="5"/>
  <c r="Z9651" i="5"/>
  <c r="Z9650" i="5"/>
  <c r="Z9649" i="5"/>
  <c r="Z9648" i="5"/>
  <c r="Z9647" i="5"/>
  <c r="Z9646" i="5"/>
  <c r="Z9645" i="5"/>
  <c r="Z9644" i="5"/>
  <c r="Z9643" i="5"/>
  <c r="Z9642" i="5"/>
  <c r="Z9641" i="5"/>
  <c r="Z9640" i="5"/>
  <c r="Z9639" i="5"/>
  <c r="Z9638" i="5"/>
  <c r="Z9637" i="5"/>
  <c r="Z9636" i="5"/>
  <c r="Z9635" i="5"/>
  <c r="Z9634" i="5"/>
  <c r="Z9633" i="5"/>
  <c r="Z9632" i="5"/>
  <c r="Z9631" i="5"/>
  <c r="Z9630" i="5"/>
  <c r="Z9629" i="5"/>
  <c r="Z9628" i="5"/>
  <c r="Z9627" i="5"/>
  <c r="Z9626" i="5"/>
  <c r="Z9625" i="5"/>
  <c r="Z9624" i="5"/>
  <c r="Z9623" i="5"/>
  <c r="Z9622" i="5"/>
  <c r="Z9621" i="5"/>
  <c r="Z9620" i="5"/>
  <c r="Z9619" i="5"/>
  <c r="Z9618" i="5"/>
  <c r="Z9617" i="5"/>
  <c r="Z9616" i="5"/>
  <c r="Z9615" i="5"/>
  <c r="Z9614" i="5"/>
  <c r="Z9613" i="5"/>
  <c r="Z9612" i="5"/>
  <c r="Z9611" i="5"/>
  <c r="Z9610" i="5"/>
  <c r="Z9609" i="5"/>
  <c r="Z9608" i="5"/>
  <c r="Z9607" i="5"/>
  <c r="Z9606" i="5"/>
  <c r="Z9605" i="5"/>
  <c r="Z9604" i="5"/>
  <c r="Z9603" i="5"/>
  <c r="Z9602" i="5"/>
  <c r="Z9601" i="5"/>
  <c r="Z9600" i="5"/>
  <c r="Z9599" i="5"/>
  <c r="Z9598" i="5"/>
  <c r="Z9597" i="5"/>
  <c r="Z9596" i="5"/>
  <c r="Z9595" i="5"/>
  <c r="Z9594" i="5"/>
  <c r="Z9593" i="5"/>
  <c r="Z9592" i="5"/>
  <c r="Z9591" i="5"/>
  <c r="Z9590" i="5"/>
  <c r="Z9589" i="5"/>
  <c r="Z9588" i="5"/>
  <c r="Z9587" i="5"/>
  <c r="Z9586" i="5"/>
  <c r="Z9585" i="5"/>
  <c r="Z9584" i="5"/>
  <c r="Z9583" i="5"/>
  <c r="Z9582" i="5"/>
  <c r="Z9581" i="5"/>
  <c r="Z9580" i="5"/>
  <c r="Z9579" i="5"/>
  <c r="Z9578" i="5"/>
  <c r="Z9577" i="5"/>
  <c r="Z9576" i="5"/>
  <c r="Z9575" i="5"/>
  <c r="Z9574" i="5"/>
  <c r="Z9573" i="5"/>
  <c r="Z9572" i="5"/>
  <c r="Z9571" i="5"/>
  <c r="Z9570" i="5"/>
  <c r="Z9569" i="5"/>
  <c r="Z9568" i="5"/>
  <c r="Z9567" i="5"/>
  <c r="Z9566" i="5"/>
  <c r="Z9565" i="5"/>
  <c r="Z9564" i="5"/>
  <c r="Z9563" i="5"/>
  <c r="Z9562" i="5"/>
  <c r="Z9561" i="5"/>
  <c r="Z9560" i="5"/>
  <c r="Z9559" i="5"/>
  <c r="Z9558" i="5"/>
  <c r="Z9557" i="5"/>
  <c r="Z9556" i="5"/>
  <c r="Z9555" i="5"/>
  <c r="Z9554" i="5"/>
  <c r="Z9553" i="5"/>
  <c r="Z9552" i="5"/>
  <c r="Z9551" i="5"/>
  <c r="Z9550" i="5"/>
  <c r="Z9549" i="5"/>
  <c r="Z9548" i="5"/>
  <c r="Z9547" i="5"/>
  <c r="Z9546" i="5"/>
  <c r="Z9545" i="5"/>
  <c r="Z9544" i="5"/>
  <c r="Z9543" i="5"/>
  <c r="Z9542" i="5"/>
  <c r="Z9541" i="5"/>
  <c r="Z9540" i="5"/>
  <c r="Z9539" i="5"/>
  <c r="Z9538" i="5"/>
  <c r="Z9537" i="5"/>
  <c r="Z9536" i="5"/>
  <c r="Z9535" i="5"/>
  <c r="Z9534" i="5"/>
  <c r="Z9533" i="5"/>
  <c r="Z9532" i="5"/>
  <c r="Z9531" i="5"/>
  <c r="Z9530" i="5"/>
  <c r="Z9529" i="5"/>
  <c r="Z9528" i="5"/>
  <c r="Z9527" i="5"/>
  <c r="Z9526" i="5"/>
  <c r="Z9525" i="5"/>
  <c r="Z9524" i="5"/>
  <c r="Z9523" i="5"/>
  <c r="Z9522" i="5"/>
  <c r="Z9521" i="5"/>
  <c r="Z9520" i="5"/>
  <c r="Z9519" i="5"/>
  <c r="Z9518" i="5"/>
  <c r="Z9517" i="5"/>
  <c r="Z9516" i="5"/>
  <c r="Z9515" i="5"/>
  <c r="Z9514" i="5"/>
  <c r="Z9513" i="5"/>
  <c r="Z9512" i="5"/>
  <c r="Z9511" i="5"/>
  <c r="Z9510" i="5"/>
  <c r="Z9509" i="5"/>
  <c r="Z9508" i="5"/>
  <c r="Z9507" i="5"/>
  <c r="Z9506" i="5"/>
  <c r="Z9505" i="5"/>
  <c r="Z9504" i="5"/>
  <c r="Z9503" i="5"/>
  <c r="Z9502" i="5"/>
  <c r="Z9501" i="5"/>
  <c r="Z9500" i="5"/>
  <c r="Z9499" i="5"/>
  <c r="Z9498" i="5"/>
  <c r="Z9497" i="5"/>
  <c r="Z9496" i="5"/>
  <c r="Z9495" i="5"/>
  <c r="Z9494" i="5"/>
  <c r="Z9493" i="5"/>
  <c r="Z9492" i="5"/>
  <c r="Z9491" i="5"/>
  <c r="Z9490" i="5"/>
  <c r="Z9489" i="5"/>
  <c r="Z9488" i="5"/>
  <c r="Z9487" i="5"/>
  <c r="Z9486" i="5"/>
  <c r="Z9485" i="5"/>
  <c r="Z9484" i="5"/>
  <c r="Z9483" i="5"/>
  <c r="Z9482" i="5"/>
  <c r="Z9481" i="5"/>
  <c r="Z9480" i="5"/>
  <c r="Z9479" i="5"/>
  <c r="Z9478" i="5"/>
  <c r="Z9477" i="5"/>
  <c r="Z9476" i="5"/>
  <c r="Z9475" i="5"/>
  <c r="Z9474" i="5"/>
  <c r="Z9473" i="5"/>
  <c r="Z9472" i="5"/>
  <c r="Z9471" i="5"/>
  <c r="Z9470" i="5"/>
  <c r="Z9469" i="5"/>
  <c r="Z9468" i="5"/>
  <c r="Z9467" i="5"/>
  <c r="Z9466" i="5"/>
  <c r="Z9465" i="5"/>
  <c r="Z9464" i="5"/>
  <c r="Z9463" i="5"/>
  <c r="Z9462" i="5"/>
  <c r="Z9461" i="5"/>
  <c r="Z9460" i="5"/>
  <c r="Z9459" i="5"/>
  <c r="Z9458" i="5"/>
  <c r="Z9457" i="5"/>
  <c r="Z9456" i="5"/>
  <c r="Z9455" i="5"/>
  <c r="Z9454" i="5"/>
  <c r="Z9453" i="5"/>
  <c r="Z9452" i="5"/>
  <c r="Z9451" i="5"/>
  <c r="Z9450" i="5"/>
  <c r="Z9449" i="5"/>
  <c r="Z9448" i="5"/>
  <c r="Z9447" i="5"/>
  <c r="Z9446" i="5"/>
  <c r="Z9445" i="5"/>
  <c r="Z9444" i="5"/>
  <c r="Z9443" i="5"/>
  <c r="Z9442" i="5"/>
  <c r="Z9441" i="5"/>
  <c r="Z9440" i="5"/>
  <c r="Z9439" i="5"/>
  <c r="Z9438" i="5"/>
  <c r="Z9437" i="5"/>
  <c r="Z9436" i="5"/>
  <c r="Z9435" i="5"/>
  <c r="Z9434" i="5"/>
  <c r="Z9433" i="5"/>
  <c r="Z9432" i="5"/>
  <c r="Z9431" i="5"/>
  <c r="Z9430" i="5"/>
  <c r="Z9429" i="5"/>
  <c r="Z9428" i="5"/>
  <c r="Z9427" i="5"/>
  <c r="Z9426" i="5"/>
  <c r="Z9425" i="5"/>
  <c r="Z9424" i="5"/>
  <c r="Z9423" i="5"/>
  <c r="Z9422" i="5"/>
  <c r="Z9421" i="5"/>
  <c r="Z9420" i="5"/>
  <c r="Z9419" i="5"/>
  <c r="Z9418" i="5"/>
  <c r="Z9417" i="5"/>
  <c r="Z9416" i="5"/>
  <c r="Z9415" i="5"/>
  <c r="Z9414" i="5"/>
  <c r="Z9413" i="5"/>
  <c r="Z9412" i="5"/>
  <c r="Z9411" i="5"/>
  <c r="Z9410" i="5"/>
  <c r="Z9409" i="5"/>
  <c r="Z9408" i="5"/>
  <c r="Z9407" i="5"/>
  <c r="Z9406" i="5"/>
  <c r="Z9405" i="5"/>
  <c r="Z9404" i="5"/>
  <c r="Z9403" i="5"/>
  <c r="Z9402" i="5"/>
  <c r="Z9401" i="5"/>
  <c r="Z9400" i="5"/>
  <c r="Z9399" i="5"/>
  <c r="Z9398" i="5"/>
  <c r="Z9397" i="5"/>
  <c r="Z9396" i="5"/>
  <c r="Z9395" i="5"/>
  <c r="Z9394" i="5"/>
  <c r="Z9393" i="5"/>
  <c r="Z9392" i="5"/>
  <c r="Z9391" i="5"/>
  <c r="Z9390" i="5"/>
  <c r="Z9389" i="5"/>
  <c r="Z9388" i="5"/>
  <c r="Z9387" i="5"/>
  <c r="Z9386" i="5"/>
  <c r="Z9385" i="5"/>
  <c r="Z9384" i="5"/>
  <c r="Z9383" i="5"/>
  <c r="Z9382" i="5"/>
  <c r="Z9381" i="5"/>
  <c r="Z9380" i="5"/>
  <c r="Z9379" i="5"/>
  <c r="Z9378" i="5"/>
  <c r="Z9377" i="5"/>
  <c r="Z9376" i="5"/>
  <c r="Z9375" i="5"/>
  <c r="Z9374" i="5"/>
  <c r="Z9373" i="5"/>
  <c r="Z9372" i="5"/>
  <c r="Z9371" i="5"/>
  <c r="Z9370" i="5"/>
  <c r="Z9369" i="5"/>
  <c r="Z9368" i="5"/>
  <c r="Z9367" i="5"/>
  <c r="Z9366" i="5"/>
  <c r="Z9365" i="5"/>
  <c r="Z9364" i="5"/>
  <c r="Z9363" i="5"/>
  <c r="Z9362" i="5"/>
  <c r="Z9361" i="5"/>
  <c r="Z9360" i="5"/>
  <c r="Z9359" i="5"/>
  <c r="Z9358" i="5"/>
  <c r="Z9357" i="5"/>
  <c r="Z9356" i="5"/>
  <c r="Z9355" i="5"/>
  <c r="Z9354" i="5"/>
  <c r="Z9353" i="5"/>
  <c r="Z9352" i="5"/>
  <c r="Z9351" i="5"/>
  <c r="Z9350" i="5"/>
  <c r="Z9349" i="5"/>
  <c r="Z9348" i="5"/>
  <c r="Z9347" i="5"/>
  <c r="Z9346" i="5"/>
  <c r="Z9345" i="5"/>
  <c r="Z9344" i="5"/>
  <c r="Z9343" i="5"/>
  <c r="Z9342" i="5"/>
  <c r="Z9341" i="5"/>
  <c r="Z9340" i="5"/>
  <c r="Z9339" i="5"/>
  <c r="Z9338" i="5"/>
  <c r="Z9337" i="5"/>
  <c r="Z9336" i="5"/>
  <c r="Z9335" i="5"/>
  <c r="Z9334" i="5"/>
  <c r="Z9333" i="5"/>
  <c r="Z9332" i="5"/>
  <c r="Z9331" i="5"/>
  <c r="Z9330" i="5"/>
  <c r="Z9329" i="5"/>
  <c r="Z9328" i="5"/>
  <c r="Z9327" i="5"/>
  <c r="Z9326" i="5"/>
  <c r="Z9325" i="5"/>
  <c r="Z9324" i="5"/>
  <c r="Z9323" i="5"/>
  <c r="Z9322" i="5"/>
  <c r="Z9321" i="5"/>
  <c r="Z9320" i="5"/>
  <c r="Z9319" i="5"/>
  <c r="Z9318" i="5"/>
  <c r="Z9317" i="5"/>
  <c r="Z9316" i="5"/>
  <c r="Z9315" i="5"/>
  <c r="Z9314" i="5"/>
  <c r="Z9313" i="5"/>
  <c r="Z9312" i="5"/>
  <c r="Z9311" i="5"/>
  <c r="Z9310" i="5"/>
  <c r="Z9309" i="5"/>
  <c r="Z9308" i="5"/>
  <c r="Z9307" i="5"/>
  <c r="Z9306" i="5"/>
  <c r="Z9305" i="5"/>
  <c r="Z9304" i="5"/>
  <c r="Z9303" i="5"/>
  <c r="Z9302" i="5"/>
  <c r="Z9301" i="5"/>
  <c r="Z9300" i="5"/>
  <c r="Z9299" i="5"/>
  <c r="Z9298" i="5"/>
  <c r="Z9297" i="5"/>
  <c r="Z9296" i="5"/>
  <c r="Z9295" i="5"/>
  <c r="Z9294" i="5"/>
  <c r="Z9293" i="5"/>
  <c r="Z9292" i="5"/>
  <c r="Z9291" i="5"/>
  <c r="Z9290" i="5"/>
  <c r="Z9289" i="5"/>
  <c r="Z9288" i="5"/>
  <c r="Z9287" i="5"/>
  <c r="Z9286" i="5"/>
  <c r="Z9285" i="5"/>
  <c r="Z9284" i="5"/>
  <c r="Z9283" i="5"/>
  <c r="Z9282" i="5"/>
  <c r="Z9281" i="5"/>
  <c r="Z9280" i="5"/>
  <c r="Z9279" i="5"/>
  <c r="Z9278" i="5"/>
  <c r="Z9277" i="5"/>
  <c r="Z9276" i="5"/>
  <c r="Z9275" i="5"/>
  <c r="Z9274" i="5"/>
  <c r="Z9273" i="5"/>
  <c r="Z9272" i="5"/>
  <c r="Z9271" i="5"/>
  <c r="Z9270" i="5"/>
  <c r="Z9269" i="5"/>
  <c r="Z9268" i="5"/>
  <c r="Z9267" i="5"/>
  <c r="Z9266" i="5"/>
  <c r="Z9265" i="5"/>
  <c r="Z9264" i="5"/>
  <c r="Z9263" i="5"/>
  <c r="Z9262" i="5"/>
  <c r="Z9261" i="5"/>
  <c r="Z9260" i="5"/>
  <c r="Z9259" i="5"/>
  <c r="Z9258" i="5"/>
  <c r="Z9257" i="5"/>
  <c r="Z9256" i="5"/>
  <c r="Z9255" i="5"/>
  <c r="Z9254" i="5"/>
  <c r="Z9253" i="5"/>
  <c r="Z9252" i="5"/>
  <c r="Z9251" i="5"/>
  <c r="Z9250" i="5"/>
  <c r="Z9249" i="5"/>
  <c r="Z9248" i="5"/>
  <c r="Z9247" i="5"/>
  <c r="Z9246" i="5"/>
  <c r="Z9245" i="5"/>
  <c r="Z9244" i="5"/>
  <c r="Z9243" i="5"/>
  <c r="Z9242" i="5"/>
  <c r="Z9241" i="5"/>
  <c r="Z9240" i="5"/>
  <c r="Z9239" i="5"/>
  <c r="Z9238" i="5"/>
  <c r="Z9237" i="5"/>
  <c r="Z9236" i="5"/>
  <c r="Z9235" i="5"/>
  <c r="Z9234" i="5"/>
  <c r="Z9233" i="5"/>
  <c r="Z9232" i="5"/>
  <c r="Z9231" i="5"/>
  <c r="Z9230" i="5"/>
  <c r="Z9229" i="5"/>
  <c r="Z9228" i="5"/>
  <c r="Z9227" i="5"/>
  <c r="Z9226" i="5"/>
  <c r="Z9225" i="5"/>
  <c r="Z9224" i="5"/>
  <c r="Z9223" i="5"/>
  <c r="Z9222" i="5"/>
  <c r="Z9221" i="5"/>
  <c r="Z9220" i="5"/>
  <c r="Z9219" i="5"/>
  <c r="Z9218" i="5"/>
  <c r="Z9217" i="5"/>
  <c r="Z9216" i="5"/>
  <c r="Z9215" i="5"/>
  <c r="Z9214" i="5"/>
  <c r="Z9213" i="5"/>
  <c r="Z9212" i="5"/>
  <c r="Z9211" i="5"/>
  <c r="Z9210" i="5"/>
  <c r="Z9209" i="5"/>
  <c r="Z9208" i="5"/>
  <c r="Z9207" i="5"/>
  <c r="Z9206" i="5"/>
  <c r="Z9205" i="5"/>
  <c r="Z9204" i="5"/>
  <c r="Z9203" i="5"/>
  <c r="Z9202" i="5"/>
  <c r="Z9201" i="5"/>
  <c r="Z9200" i="5"/>
  <c r="Z9199" i="5"/>
  <c r="Z9198" i="5"/>
  <c r="Z9197" i="5"/>
  <c r="Z9196" i="5"/>
  <c r="Z9195" i="5"/>
  <c r="Z9194" i="5"/>
  <c r="Z9193" i="5"/>
  <c r="Z9192" i="5"/>
  <c r="Z9191" i="5"/>
  <c r="Z9190" i="5"/>
  <c r="Z9189" i="5"/>
  <c r="Z9188" i="5"/>
  <c r="Z9187" i="5"/>
  <c r="Z9186" i="5"/>
  <c r="Z9185" i="5"/>
  <c r="Z9184" i="5"/>
  <c r="Z9183" i="5"/>
  <c r="Z9182" i="5"/>
  <c r="Z9181" i="5"/>
  <c r="Z9180" i="5"/>
  <c r="Z9179" i="5"/>
  <c r="Z9178" i="5"/>
  <c r="Z9177" i="5"/>
  <c r="Z9176" i="5"/>
  <c r="Z9175" i="5"/>
  <c r="Z9174" i="5"/>
  <c r="Z9173" i="5"/>
  <c r="Z9172" i="5"/>
  <c r="Z9171" i="5"/>
  <c r="Z9170" i="5"/>
  <c r="Z9169" i="5"/>
  <c r="Z9168" i="5"/>
  <c r="Z9167" i="5"/>
  <c r="Z9166" i="5"/>
  <c r="Z9165" i="5"/>
  <c r="Z9164" i="5"/>
  <c r="Z9163" i="5"/>
  <c r="Z9162" i="5"/>
  <c r="Z9161" i="5"/>
  <c r="Z9160" i="5"/>
  <c r="Z9159" i="5"/>
  <c r="Z9158" i="5"/>
  <c r="Z9157" i="5"/>
  <c r="Z9156" i="5"/>
  <c r="Z9155" i="5"/>
  <c r="Z9154" i="5"/>
  <c r="Z9153" i="5"/>
  <c r="Z9152" i="5"/>
  <c r="Z9151" i="5"/>
  <c r="Z9150" i="5"/>
  <c r="Z9149" i="5"/>
  <c r="Z9148" i="5"/>
  <c r="Z9147" i="5"/>
  <c r="Z9146" i="5"/>
  <c r="Z9145" i="5"/>
  <c r="Z9144" i="5"/>
  <c r="Z9143" i="5"/>
  <c r="Z9142" i="5"/>
  <c r="Z9141" i="5"/>
  <c r="Z9140" i="5"/>
  <c r="Z9139" i="5"/>
  <c r="Z9138" i="5"/>
  <c r="Z9137" i="5"/>
  <c r="Z9136" i="5"/>
  <c r="Z9135" i="5"/>
  <c r="Z9134" i="5"/>
  <c r="Z9133" i="5"/>
  <c r="Z9132" i="5"/>
  <c r="Z9131" i="5"/>
  <c r="Z9130" i="5"/>
  <c r="Z9129" i="5"/>
  <c r="Z9128" i="5"/>
  <c r="Z9127" i="5"/>
  <c r="Z9126" i="5"/>
  <c r="Z9125" i="5"/>
  <c r="Z9124" i="5"/>
  <c r="Z9123" i="5"/>
  <c r="Z9122" i="5"/>
  <c r="Z9121" i="5"/>
  <c r="Z9120" i="5"/>
  <c r="Z9119" i="5"/>
  <c r="Z9118" i="5"/>
  <c r="Z9117" i="5"/>
  <c r="Z9116" i="5"/>
  <c r="Z9115" i="5"/>
  <c r="Z9114" i="5"/>
  <c r="Z9113" i="5"/>
  <c r="Z9112" i="5"/>
  <c r="Z9111" i="5"/>
  <c r="Z9110" i="5"/>
  <c r="Z9109" i="5"/>
  <c r="Z9108" i="5"/>
  <c r="Z9107" i="5"/>
  <c r="Z9106" i="5"/>
  <c r="Z9105" i="5"/>
  <c r="Z9104" i="5"/>
  <c r="Z9103" i="5"/>
  <c r="Z9102" i="5"/>
  <c r="Z9101" i="5"/>
  <c r="Z9100" i="5"/>
  <c r="Z9099" i="5"/>
  <c r="Z9098" i="5"/>
  <c r="Z9097" i="5"/>
  <c r="Z9096" i="5"/>
  <c r="Z9095" i="5"/>
  <c r="Z9094" i="5"/>
  <c r="Z9093" i="5"/>
  <c r="Z9092" i="5"/>
  <c r="Z9091" i="5"/>
  <c r="Z9090" i="5"/>
  <c r="Z9089" i="5"/>
  <c r="Z9088" i="5"/>
  <c r="Z9087" i="5"/>
  <c r="Z9086" i="5"/>
  <c r="Z9085" i="5"/>
  <c r="Z9084" i="5"/>
  <c r="Z9083" i="5"/>
  <c r="Z9082" i="5"/>
  <c r="Z9081" i="5"/>
  <c r="Z9080" i="5"/>
  <c r="Z9079" i="5"/>
  <c r="Z9078" i="5"/>
  <c r="Z9077" i="5"/>
  <c r="Z9076" i="5"/>
  <c r="Z9075" i="5"/>
  <c r="Z9074" i="5"/>
  <c r="Z9073" i="5"/>
  <c r="Z9072" i="5"/>
  <c r="Z9071" i="5"/>
  <c r="Z9070" i="5"/>
  <c r="Z9069" i="5"/>
  <c r="Z9068" i="5"/>
  <c r="Z9067" i="5"/>
  <c r="Z9066" i="5"/>
  <c r="Z9065" i="5"/>
  <c r="Z9064" i="5"/>
  <c r="Z9063" i="5"/>
  <c r="Z9062" i="5"/>
  <c r="Z9061" i="5"/>
  <c r="Z9060" i="5"/>
  <c r="Z9059" i="5"/>
  <c r="Z9058" i="5"/>
  <c r="Z9057" i="5"/>
  <c r="Z9056" i="5"/>
  <c r="Z9055" i="5"/>
  <c r="Z9054" i="5"/>
  <c r="Z9053" i="5"/>
  <c r="Z9052" i="5"/>
  <c r="Z9051" i="5"/>
  <c r="Z9050" i="5"/>
  <c r="Z9049" i="5"/>
  <c r="Z9048" i="5"/>
  <c r="Z9047" i="5"/>
  <c r="Z9046" i="5"/>
  <c r="Z9045" i="5"/>
  <c r="Z9044" i="5"/>
  <c r="Z9043" i="5"/>
  <c r="Z9042" i="5"/>
  <c r="Z9041" i="5"/>
  <c r="Z9040" i="5"/>
  <c r="Z9039" i="5"/>
  <c r="Z9038" i="5"/>
  <c r="Z9037" i="5"/>
  <c r="Z9036" i="5"/>
  <c r="Z9035" i="5"/>
  <c r="Z9034" i="5"/>
  <c r="Z9033" i="5"/>
  <c r="Z9032" i="5"/>
  <c r="Z9031" i="5"/>
  <c r="Z9030" i="5"/>
  <c r="Z9029" i="5"/>
  <c r="Z9028" i="5"/>
  <c r="Z9027" i="5"/>
  <c r="Z9026" i="5"/>
  <c r="Z9025" i="5"/>
  <c r="Z9024" i="5"/>
  <c r="Z9023" i="5"/>
  <c r="Z9022" i="5"/>
  <c r="Z9021" i="5"/>
  <c r="Z9020" i="5"/>
  <c r="Z9019" i="5"/>
  <c r="Z9018" i="5"/>
  <c r="Z9017" i="5"/>
  <c r="Z9016" i="5"/>
  <c r="Z9015" i="5"/>
  <c r="Z9014" i="5"/>
  <c r="Z9013" i="5"/>
  <c r="Z9012" i="5"/>
  <c r="Z9011" i="5"/>
  <c r="Z9010" i="5"/>
  <c r="Z9009" i="5"/>
  <c r="Z9008" i="5"/>
  <c r="Z9007" i="5"/>
  <c r="Z9006" i="5"/>
  <c r="Z9005" i="5"/>
  <c r="Z9004" i="5"/>
  <c r="Z9003" i="5"/>
  <c r="Z9002" i="5"/>
  <c r="Z9001" i="5"/>
  <c r="Z9000" i="5"/>
  <c r="Z8999" i="5"/>
  <c r="Z8998" i="5"/>
  <c r="Z8997" i="5"/>
  <c r="Z8996" i="5"/>
  <c r="Z8995" i="5"/>
  <c r="Z8994" i="5"/>
  <c r="Z8993" i="5"/>
  <c r="Z8992" i="5"/>
  <c r="Z8991" i="5"/>
  <c r="Z8990" i="5"/>
  <c r="Z8989" i="5"/>
  <c r="Z8988" i="5"/>
  <c r="Z8987" i="5"/>
  <c r="Z8986" i="5"/>
  <c r="Z8985" i="5"/>
  <c r="Z8984" i="5"/>
  <c r="Z8983" i="5"/>
  <c r="Z8982" i="5"/>
  <c r="Z8981" i="5"/>
  <c r="Z8980" i="5"/>
  <c r="Z8979" i="5"/>
  <c r="Z8978" i="5"/>
  <c r="Z8977" i="5"/>
  <c r="Z8976" i="5"/>
  <c r="Z8975" i="5"/>
  <c r="Z8974" i="5"/>
  <c r="Z8973" i="5"/>
  <c r="Z8972" i="5"/>
  <c r="Z8971" i="5"/>
  <c r="Z8970" i="5"/>
  <c r="Z8969" i="5"/>
  <c r="Z8968" i="5"/>
  <c r="Z8967" i="5"/>
  <c r="Z8966" i="5"/>
  <c r="Z8965" i="5"/>
  <c r="Z8964" i="5"/>
  <c r="Z8963" i="5"/>
  <c r="Z8962" i="5"/>
  <c r="Z8961" i="5"/>
  <c r="Z8960" i="5"/>
  <c r="Z8959" i="5"/>
  <c r="Z8958" i="5"/>
  <c r="Z8957" i="5"/>
  <c r="Z8956" i="5"/>
  <c r="Z8955" i="5"/>
  <c r="Z8954" i="5"/>
  <c r="Z8953" i="5"/>
  <c r="Z8952" i="5"/>
  <c r="Z8951" i="5"/>
  <c r="Z8950" i="5"/>
  <c r="Z8949" i="5"/>
  <c r="Z8948" i="5"/>
  <c r="Z8947" i="5"/>
  <c r="Z8946" i="5"/>
  <c r="Z8945" i="5"/>
  <c r="Z8944" i="5"/>
  <c r="Z8943" i="5"/>
  <c r="Z8942" i="5"/>
  <c r="Z8941" i="5"/>
  <c r="Z8940" i="5"/>
  <c r="Z8939" i="5"/>
  <c r="Z8938" i="5"/>
  <c r="Z8937" i="5"/>
  <c r="Z8936" i="5"/>
  <c r="Z8935" i="5"/>
  <c r="Z8934" i="5"/>
  <c r="Z8933" i="5"/>
  <c r="Z8932" i="5"/>
  <c r="Z8931" i="5"/>
  <c r="Z8930" i="5"/>
  <c r="Z8929" i="5"/>
  <c r="Z8928" i="5"/>
  <c r="Z8927" i="5"/>
  <c r="Z8926" i="5"/>
  <c r="Z8925" i="5"/>
  <c r="Z8924" i="5"/>
  <c r="Z8923" i="5"/>
  <c r="Z8922" i="5"/>
  <c r="Z8921" i="5"/>
  <c r="Z8920" i="5"/>
  <c r="Z8919" i="5"/>
  <c r="Z8918" i="5"/>
  <c r="Z8917" i="5"/>
  <c r="Z8916" i="5"/>
  <c r="Z8915" i="5"/>
  <c r="Z8914" i="5"/>
  <c r="Z8913" i="5"/>
  <c r="Z8912" i="5"/>
  <c r="Z8911" i="5"/>
  <c r="Z8910" i="5"/>
  <c r="Z8909" i="5"/>
  <c r="Z8908" i="5"/>
  <c r="Z8907" i="5"/>
  <c r="Z8906" i="5"/>
  <c r="Z8905" i="5"/>
  <c r="Z8904" i="5"/>
  <c r="Z8903" i="5"/>
  <c r="Z8902" i="5"/>
  <c r="Z8901" i="5"/>
  <c r="Z8900" i="5"/>
  <c r="Z8899" i="5"/>
  <c r="Z8898" i="5"/>
  <c r="Z8897" i="5"/>
  <c r="Z8896" i="5"/>
  <c r="Z8895" i="5"/>
  <c r="Z8894" i="5"/>
  <c r="Z8893" i="5"/>
  <c r="Z8892" i="5"/>
  <c r="Z8891" i="5"/>
  <c r="Z8890" i="5"/>
  <c r="Z8889" i="5"/>
  <c r="Z8888" i="5"/>
  <c r="Z8887" i="5"/>
  <c r="Z8886" i="5"/>
  <c r="Z8885" i="5"/>
  <c r="Z8884" i="5"/>
  <c r="Z8883" i="5"/>
  <c r="Z8882" i="5"/>
  <c r="Z8881" i="5"/>
  <c r="Z8880" i="5"/>
  <c r="Z8879" i="5"/>
  <c r="Z8878" i="5"/>
  <c r="Z8877" i="5"/>
  <c r="Z8876" i="5"/>
  <c r="Z8875" i="5"/>
  <c r="Z8874" i="5"/>
  <c r="Z8873" i="5"/>
  <c r="Z8872" i="5"/>
  <c r="Z8871" i="5"/>
  <c r="Z8870" i="5"/>
  <c r="Z8869" i="5"/>
  <c r="Z8868" i="5"/>
  <c r="Z8867" i="5"/>
  <c r="Z8866" i="5"/>
  <c r="Z8865" i="5"/>
  <c r="Z8864" i="5"/>
  <c r="Z8863" i="5"/>
  <c r="Z8862" i="5"/>
  <c r="Z8861" i="5"/>
  <c r="Z8860" i="5"/>
  <c r="Z8859" i="5"/>
  <c r="Z8858" i="5"/>
  <c r="Z8857" i="5"/>
  <c r="Z8856" i="5"/>
  <c r="Z8855" i="5"/>
  <c r="Z8854" i="5"/>
  <c r="Z8853" i="5"/>
  <c r="Z8852" i="5"/>
  <c r="Z8851" i="5"/>
  <c r="Z8850" i="5"/>
  <c r="Z8849" i="5"/>
  <c r="Z8848" i="5"/>
  <c r="Z8847" i="5"/>
  <c r="Z8846" i="5"/>
  <c r="Z8845" i="5"/>
  <c r="Z8844" i="5"/>
  <c r="Z8843" i="5"/>
  <c r="Z8842" i="5"/>
  <c r="Z8841" i="5"/>
  <c r="Z8840" i="5"/>
  <c r="Z8839" i="5"/>
  <c r="Z8838" i="5"/>
  <c r="Z8837" i="5"/>
  <c r="Z8836" i="5"/>
  <c r="Z8835" i="5"/>
  <c r="Z8834" i="5"/>
  <c r="Z8833" i="5"/>
  <c r="Z8832" i="5"/>
  <c r="Z8831" i="5"/>
  <c r="Z8830" i="5"/>
  <c r="Z8829" i="5"/>
  <c r="Z8828" i="5"/>
  <c r="Z8827" i="5"/>
  <c r="Z8826" i="5"/>
  <c r="Z8825" i="5"/>
  <c r="Z8824" i="5"/>
  <c r="Z8823" i="5"/>
  <c r="Z8822" i="5"/>
  <c r="Z8821" i="5"/>
  <c r="Z8820" i="5"/>
  <c r="Z8819" i="5"/>
  <c r="Z8818" i="5"/>
  <c r="Z8817" i="5"/>
  <c r="Z8816" i="5"/>
  <c r="Z8815" i="5"/>
  <c r="Z8814" i="5"/>
  <c r="Z8813" i="5"/>
  <c r="Z8812" i="5"/>
  <c r="Z8811" i="5"/>
  <c r="Z8810" i="5"/>
  <c r="Z8809" i="5"/>
  <c r="Z8808" i="5"/>
  <c r="Z8807" i="5"/>
  <c r="Z8806" i="5"/>
  <c r="Z8805" i="5"/>
  <c r="Z8804" i="5"/>
  <c r="Z8803" i="5"/>
  <c r="Z8802" i="5"/>
  <c r="Z8801" i="5"/>
  <c r="Z8800" i="5"/>
  <c r="Z8799" i="5"/>
  <c r="Z8798" i="5"/>
  <c r="Z8797" i="5"/>
  <c r="Z8796" i="5"/>
  <c r="Z8795" i="5"/>
  <c r="Z8794" i="5"/>
  <c r="Z8793" i="5"/>
  <c r="Z8792" i="5"/>
  <c r="Z8791" i="5"/>
  <c r="Z8790" i="5"/>
  <c r="Z8789" i="5"/>
  <c r="Z8788" i="5"/>
  <c r="Z8787" i="5"/>
  <c r="Z8786" i="5"/>
  <c r="Z8785" i="5"/>
  <c r="Z8784" i="5"/>
  <c r="Z8783" i="5"/>
  <c r="Z8782" i="5"/>
  <c r="Z8781" i="5"/>
  <c r="Z8780" i="5"/>
  <c r="Z8779" i="5"/>
  <c r="Z8778" i="5"/>
  <c r="Z8777" i="5"/>
  <c r="Z8776" i="5"/>
  <c r="Z8775" i="5"/>
  <c r="Z8774" i="5"/>
  <c r="Z8773" i="5"/>
  <c r="Z8772" i="5"/>
  <c r="Z8771" i="5"/>
  <c r="Z8770" i="5"/>
  <c r="Z8769" i="5"/>
  <c r="Z8768" i="5"/>
  <c r="Z8767" i="5"/>
  <c r="Z8766" i="5"/>
  <c r="Z8765" i="5"/>
  <c r="Z8764" i="5"/>
  <c r="Z8763" i="5"/>
  <c r="Z8762" i="5"/>
  <c r="Z8761" i="5"/>
  <c r="Z8760" i="5"/>
  <c r="Z8759" i="5"/>
  <c r="Z8758" i="5"/>
  <c r="Z8757" i="5"/>
  <c r="Z8756" i="5"/>
  <c r="Z8755" i="5"/>
  <c r="Z8754" i="5"/>
  <c r="Z8753" i="5"/>
  <c r="Z8752" i="5"/>
  <c r="Z8751" i="5"/>
  <c r="Z8750" i="5"/>
  <c r="Z8749" i="5"/>
  <c r="Z8748" i="5"/>
  <c r="Z8747" i="5"/>
  <c r="Z8746" i="5"/>
  <c r="Z8745" i="5"/>
  <c r="Z8744" i="5"/>
  <c r="Z8743" i="5"/>
  <c r="Z8742" i="5"/>
  <c r="Z8741" i="5"/>
  <c r="Z8740" i="5"/>
  <c r="Z8739" i="5"/>
  <c r="Z8738" i="5"/>
  <c r="Z8737" i="5"/>
  <c r="Z8736" i="5"/>
  <c r="Z8735" i="5"/>
  <c r="Z8734" i="5"/>
  <c r="Z8733" i="5"/>
  <c r="Z8732" i="5"/>
  <c r="Z8731" i="5"/>
  <c r="Z8730" i="5"/>
  <c r="Z8729" i="5"/>
  <c r="Z8728" i="5"/>
  <c r="Z8727" i="5"/>
  <c r="Z8726" i="5"/>
  <c r="Z8725" i="5"/>
  <c r="Z8724" i="5"/>
  <c r="Z8723" i="5"/>
  <c r="Z8722" i="5"/>
  <c r="Z8721" i="5"/>
  <c r="Z8720" i="5"/>
  <c r="Z8719" i="5"/>
  <c r="Z8718" i="5"/>
  <c r="Z8717" i="5"/>
  <c r="Z8716" i="5"/>
  <c r="Z8715" i="5"/>
  <c r="Z8714" i="5"/>
  <c r="Z8713" i="5"/>
  <c r="Z8712" i="5"/>
  <c r="Z8711" i="5"/>
  <c r="Z8710" i="5"/>
  <c r="Z8709" i="5"/>
  <c r="Z8708" i="5"/>
  <c r="Z8707" i="5"/>
  <c r="Z8706" i="5"/>
  <c r="Z8705" i="5"/>
  <c r="Z8704" i="5"/>
  <c r="Z8703" i="5"/>
  <c r="Z8702" i="5"/>
  <c r="Z8701" i="5"/>
  <c r="Z8700" i="5"/>
  <c r="Z8699" i="5"/>
  <c r="Z8698" i="5"/>
  <c r="Z8697" i="5"/>
  <c r="Z8696" i="5"/>
  <c r="Z8695" i="5"/>
  <c r="Z8694" i="5"/>
  <c r="Z8693" i="5"/>
  <c r="Z8692" i="5"/>
  <c r="Z8691" i="5"/>
  <c r="Z8690" i="5"/>
  <c r="Z8689" i="5"/>
  <c r="Z8688" i="5"/>
  <c r="Z8687" i="5"/>
  <c r="Z8686" i="5"/>
  <c r="Z8685" i="5"/>
  <c r="Z8684" i="5"/>
  <c r="Z8683" i="5"/>
  <c r="Z8682" i="5"/>
  <c r="Z8681" i="5"/>
  <c r="Z8680" i="5"/>
  <c r="Z8679" i="5"/>
  <c r="Z8678" i="5"/>
  <c r="Z8677" i="5"/>
  <c r="Z8676" i="5"/>
  <c r="Z8675" i="5"/>
  <c r="Z8674" i="5"/>
  <c r="Z8673" i="5"/>
  <c r="Z8672" i="5"/>
  <c r="Z8671" i="5"/>
  <c r="Z8670" i="5"/>
  <c r="Z8669" i="5"/>
  <c r="Z8668" i="5"/>
  <c r="Z8667" i="5"/>
  <c r="Z8666" i="5"/>
  <c r="Z8665" i="5"/>
  <c r="Z8664" i="5"/>
  <c r="Z8663" i="5"/>
  <c r="Z8662" i="5"/>
  <c r="Z8661" i="5"/>
  <c r="Z8660" i="5"/>
  <c r="Z8659" i="5"/>
  <c r="Z8658" i="5"/>
  <c r="Z8657" i="5"/>
  <c r="Z8656" i="5"/>
  <c r="Z8655" i="5"/>
  <c r="Z8654" i="5"/>
  <c r="Z8653" i="5"/>
  <c r="Z8652" i="5"/>
  <c r="Z8651" i="5"/>
  <c r="Z8650" i="5"/>
  <c r="Z8649" i="5"/>
  <c r="Z8648" i="5"/>
  <c r="Z8647" i="5"/>
  <c r="Z8646" i="5"/>
  <c r="Z8645" i="5"/>
  <c r="Z8644" i="5"/>
  <c r="Z8643" i="5"/>
  <c r="Z8642" i="5"/>
  <c r="Z8641" i="5"/>
  <c r="Z8640" i="5"/>
  <c r="Z8639" i="5"/>
  <c r="Z8638" i="5"/>
  <c r="Z8637" i="5"/>
  <c r="Z8636" i="5"/>
  <c r="Z8635" i="5"/>
  <c r="Z8634" i="5"/>
  <c r="Z8633" i="5"/>
  <c r="Z8632" i="5"/>
  <c r="Z8631" i="5"/>
  <c r="Z8630" i="5"/>
  <c r="Z8629" i="5"/>
  <c r="Z8628" i="5"/>
  <c r="Z8627" i="5"/>
  <c r="Z8626" i="5"/>
  <c r="Z8625" i="5"/>
  <c r="Z8624" i="5"/>
  <c r="Z8623" i="5"/>
  <c r="Z8622" i="5"/>
  <c r="Z8621" i="5"/>
  <c r="Z8620" i="5"/>
  <c r="Z8619" i="5"/>
  <c r="Z8618" i="5"/>
  <c r="Z8617" i="5"/>
  <c r="Z8616" i="5"/>
  <c r="Z8615" i="5"/>
  <c r="Z8614" i="5"/>
  <c r="Z8613" i="5"/>
  <c r="Z8612" i="5"/>
  <c r="Z8611" i="5"/>
  <c r="Z8610" i="5"/>
  <c r="Z8609" i="5"/>
  <c r="Z8608" i="5"/>
  <c r="Z8607" i="5"/>
  <c r="Z8606" i="5"/>
  <c r="Z8605" i="5"/>
  <c r="Z8604" i="5"/>
  <c r="Z8603" i="5"/>
  <c r="Z8602" i="5"/>
  <c r="Z8601" i="5"/>
  <c r="Z8600" i="5"/>
  <c r="Z8599" i="5"/>
  <c r="Z8598" i="5"/>
  <c r="Z8597" i="5"/>
  <c r="Z8596" i="5"/>
  <c r="Z8595" i="5"/>
  <c r="Z8594" i="5"/>
  <c r="Z8593" i="5"/>
  <c r="Z8592" i="5"/>
  <c r="Z8591" i="5"/>
  <c r="Z8590" i="5"/>
  <c r="Z8589" i="5"/>
  <c r="Z8588" i="5"/>
  <c r="Z8587" i="5"/>
  <c r="Z8586" i="5"/>
  <c r="Z8585" i="5"/>
  <c r="Z8584" i="5"/>
  <c r="Z8583" i="5"/>
  <c r="Z8582" i="5"/>
  <c r="Z8581" i="5"/>
  <c r="Z8580" i="5"/>
  <c r="Z8579" i="5"/>
  <c r="Z8578" i="5"/>
  <c r="Z8577" i="5"/>
  <c r="Z8576" i="5"/>
  <c r="Z8575" i="5"/>
  <c r="Z8574" i="5"/>
  <c r="Z8573" i="5"/>
  <c r="Z8572" i="5"/>
  <c r="Z8571" i="5"/>
  <c r="Z8570" i="5"/>
  <c r="Z8569" i="5"/>
  <c r="Z8568" i="5"/>
  <c r="Z8567" i="5"/>
  <c r="Z8566" i="5"/>
  <c r="Z8565" i="5"/>
  <c r="Z8564" i="5"/>
  <c r="Z8563" i="5"/>
  <c r="Z8562" i="5"/>
  <c r="Z8561" i="5"/>
  <c r="Z8560" i="5"/>
  <c r="Z8559" i="5"/>
  <c r="Z8558" i="5"/>
  <c r="Z8557" i="5"/>
  <c r="Z8556" i="5"/>
  <c r="Z8555" i="5"/>
  <c r="Z8554" i="5"/>
  <c r="Z8553" i="5"/>
  <c r="Z8552" i="5"/>
  <c r="Z8551" i="5"/>
  <c r="Z8550" i="5"/>
  <c r="Z8549" i="5"/>
  <c r="Z8548" i="5"/>
  <c r="Z8547" i="5"/>
  <c r="Z8546" i="5"/>
  <c r="Z8545" i="5"/>
  <c r="Z8544" i="5"/>
  <c r="Z8543" i="5"/>
  <c r="Z8542" i="5"/>
  <c r="Z8541" i="5"/>
  <c r="Z8540" i="5"/>
  <c r="Z8539" i="5"/>
  <c r="Z8538" i="5"/>
  <c r="Z8537" i="5"/>
  <c r="Z8536" i="5"/>
  <c r="Z8535" i="5"/>
  <c r="Z8534" i="5"/>
  <c r="Z8533" i="5"/>
  <c r="Z8532" i="5"/>
  <c r="Z8531" i="5"/>
  <c r="Z8530" i="5"/>
  <c r="Z8529" i="5"/>
  <c r="Z8528" i="5"/>
  <c r="Z8527" i="5"/>
  <c r="Z8526" i="5"/>
  <c r="Z8525" i="5"/>
  <c r="Z8524" i="5"/>
  <c r="Z8523" i="5"/>
  <c r="Z8522" i="5"/>
  <c r="Z8521" i="5"/>
  <c r="Z8520" i="5"/>
  <c r="Z8519" i="5"/>
  <c r="Z8518" i="5"/>
  <c r="Z8517" i="5"/>
  <c r="Z8516" i="5"/>
  <c r="Z8515" i="5"/>
  <c r="Z8514" i="5"/>
  <c r="Z8513" i="5"/>
  <c r="Z8512" i="5"/>
  <c r="Z8511" i="5"/>
  <c r="Z8510" i="5"/>
  <c r="Z8509" i="5"/>
  <c r="Z8508" i="5"/>
  <c r="Z8507" i="5"/>
  <c r="Z8506" i="5"/>
  <c r="Z8505" i="5"/>
  <c r="Z8504" i="5"/>
  <c r="Z8503" i="5"/>
  <c r="Z8502" i="5"/>
  <c r="Z8501" i="5"/>
  <c r="Z8500" i="5"/>
  <c r="Z8499" i="5"/>
  <c r="Z8498" i="5"/>
  <c r="Z8497" i="5"/>
  <c r="Z8496" i="5"/>
  <c r="Z8495" i="5"/>
  <c r="Z8494" i="5"/>
  <c r="Z8493" i="5"/>
  <c r="Z8492" i="5"/>
  <c r="Z8491" i="5"/>
  <c r="Z8490" i="5"/>
  <c r="Z8489" i="5"/>
  <c r="Z8488" i="5"/>
  <c r="Z8487" i="5"/>
  <c r="Z8486" i="5"/>
  <c r="Z8485" i="5"/>
  <c r="Z8484" i="5"/>
  <c r="Z8483" i="5"/>
  <c r="Z8482" i="5"/>
  <c r="Z8481" i="5"/>
  <c r="Z8480" i="5"/>
  <c r="Z8479" i="5"/>
  <c r="Z8478" i="5"/>
  <c r="Z8477" i="5"/>
  <c r="Z8476" i="5"/>
  <c r="Z8475" i="5"/>
  <c r="Z8474" i="5"/>
  <c r="Z8473" i="5"/>
  <c r="Z8472" i="5"/>
  <c r="Z8471" i="5"/>
  <c r="Z8470" i="5"/>
  <c r="Z8469" i="5"/>
  <c r="Z8468" i="5"/>
  <c r="Z8467" i="5"/>
  <c r="Z8466" i="5"/>
  <c r="Z8465" i="5"/>
  <c r="Z8464" i="5"/>
  <c r="Z8463" i="5"/>
  <c r="Z8462" i="5"/>
  <c r="Z8461" i="5"/>
  <c r="Z8460" i="5"/>
  <c r="Z8459" i="5"/>
  <c r="Z8458" i="5"/>
  <c r="Z8457" i="5"/>
  <c r="Z8456" i="5"/>
  <c r="Z8455" i="5"/>
  <c r="Z8454" i="5"/>
  <c r="Z8453" i="5"/>
  <c r="Z8452" i="5"/>
  <c r="Z8451" i="5"/>
  <c r="Z8450" i="5"/>
  <c r="Z8449" i="5"/>
  <c r="Z8448" i="5"/>
  <c r="Z8447" i="5"/>
  <c r="Z8446" i="5"/>
  <c r="Z8445" i="5"/>
  <c r="Z8444" i="5"/>
  <c r="Z8443" i="5"/>
  <c r="Z8442" i="5"/>
  <c r="Z8441" i="5"/>
  <c r="Z8440" i="5"/>
  <c r="Z8439" i="5"/>
  <c r="Z8438" i="5"/>
  <c r="Z8437" i="5"/>
  <c r="Z8436" i="5"/>
  <c r="Z8435" i="5"/>
  <c r="Z8434" i="5"/>
  <c r="Z8433" i="5"/>
  <c r="Z8432" i="5"/>
  <c r="Z8431" i="5"/>
  <c r="Z8430" i="5"/>
  <c r="Z8429" i="5"/>
  <c r="Z8428" i="5"/>
  <c r="Z8427" i="5"/>
  <c r="Z8426" i="5"/>
  <c r="Z8425" i="5"/>
  <c r="Z8424" i="5"/>
  <c r="Z8423" i="5"/>
  <c r="Z8422" i="5"/>
  <c r="Z8421" i="5"/>
  <c r="Z8420" i="5"/>
  <c r="Z8419" i="5"/>
  <c r="Z8418" i="5"/>
  <c r="Z8417" i="5"/>
  <c r="Z8416" i="5"/>
  <c r="Z8415" i="5"/>
  <c r="Z8414" i="5"/>
  <c r="Z8413" i="5"/>
  <c r="Z8412" i="5"/>
  <c r="Z8411" i="5"/>
  <c r="Z8410" i="5"/>
  <c r="Z8409" i="5"/>
  <c r="Z8408" i="5"/>
  <c r="Z8407" i="5"/>
  <c r="Z8406" i="5"/>
  <c r="Z8405" i="5"/>
  <c r="Z8404" i="5"/>
  <c r="Z8403" i="5"/>
  <c r="Z8402" i="5"/>
  <c r="Z8401" i="5"/>
  <c r="Z8400" i="5"/>
  <c r="Z8399" i="5"/>
  <c r="Z8398" i="5"/>
  <c r="Z8397" i="5"/>
  <c r="Z8396" i="5"/>
  <c r="Z8395" i="5"/>
  <c r="Z8394" i="5"/>
  <c r="Z8393" i="5"/>
  <c r="Z8392" i="5"/>
  <c r="Z8391" i="5"/>
  <c r="Z8390" i="5"/>
  <c r="Z8389" i="5"/>
  <c r="Z8388" i="5"/>
  <c r="Z8387" i="5"/>
  <c r="Z8386" i="5"/>
  <c r="Z8385" i="5"/>
  <c r="Z8384" i="5"/>
  <c r="Z8383" i="5"/>
  <c r="Z8382" i="5"/>
  <c r="Z8381" i="5"/>
  <c r="Z8380" i="5"/>
  <c r="Z8379" i="5"/>
  <c r="Z8378" i="5"/>
  <c r="Z8377" i="5"/>
  <c r="Z8376" i="5"/>
  <c r="Z8375" i="5"/>
  <c r="Z8374" i="5"/>
  <c r="Z8373" i="5"/>
  <c r="Z8372" i="5"/>
  <c r="Z8371" i="5"/>
  <c r="Z8370" i="5"/>
  <c r="Z8369" i="5"/>
  <c r="Z8368" i="5"/>
  <c r="Z8367" i="5"/>
  <c r="Z8366" i="5"/>
  <c r="Z8365" i="5"/>
  <c r="Z8364" i="5"/>
  <c r="Z8363" i="5"/>
  <c r="Z8362" i="5"/>
  <c r="Z8361" i="5"/>
  <c r="Z8360" i="5"/>
  <c r="Z8359" i="5"/>
  <c r="Z8358" i="5"/>
  <c r="Z8357" i="5"/>
  <c r="Z8356" i="5"/>
  <c r="Z8355" i="5"/>
  <c r="Z8354" i="5"/>
  <c r="Z8353" i="5"/>
  <c r="Z8352" i="5"/>
  <c r="Z8351" i="5"/>
  <c r="Z8350" i="5"/>
  <c r="Z8349" i="5"/>
  <c r="Z8348" i="5"/>
  <c r="Z8347" i="5"/>
  <c r="Z8346" i="5"/>
  <c r="Z8345" i="5"/>
  <c r="Z8344" i="5"/>
  <c r="Z8343" i="5"/>
  <c r="Z8342" i="5"/>
  <c r="Z8341" i="5"/>
  <c r="Z8340" i="5"/>
  <c r="Z8339" i="5"/>
  <c r="Z8338" i="5"/>
  <c r="Z8337" i="5"/>
  <c r="Z8336" i="5"/>
  <c r="Z8335" i="5"/>
  <c r="Z8334" i="5"/>
  <c r="Z8333" i="5"/>
  <c r="Z8332" i="5"/>
  <c r="Z8331" i="5"/>
  <c r="Z8330" i="5"/>
  <c r="Z8329" i="5"/>
  <c r="Z8328" i="5"/>
  <c r="Z8327" i="5"/>
  <c r="Z8326" i="5"/>
  <c r="Z8325" i="5"/>
  <c r="Z8324" i="5"/>
  <c r="Z8323" i="5"/>
  <c r="Z8322" i="5"/>
  <c r="Z8321" i="5"/>
  <c r="Z8320" i="5"/>
  <c r="Z8319" i="5"/>
  <c r="Z8318" i="5"/>
  <c r="Z8317" i="5"/>
  <c r="Z8316" i="5"/>
  <c r="Z8315" i="5"/>
  <c r="Z8314" i="5"/>
  <c r="Z8313" i="5"/>
  <c r="Z8312" i="5"/>
  <c r="Z8311" i="5"/>
  <c r="Z8310" i="5"/>
  <c r="Z8309" i="5"/>
  <c r="Z8308" i="5"/>
  <c r="Z8307" i="5"/>
  <c r="Z8306" i="5"/>
  <c r="Z8305" i="5"/>
  <c r="Z8304" i="5"/>
  <c r="Z8303" i="5"/>
  <c r="Z8302" i="5"/>
  <c r="Z8301" i="5"/>
  <c r="Z8300" i="5"/>
  <c r="Z8299" i="5"/>
  <c r="Z8298" i="5"/>
  <c r="Z8297" i="5"/>
  <c r="Z8296" i="5"/>
  <c r="Z8295" i="5"/>
  <c r="Z8294" i="5"/>
  <c r="Z8293" i="5"/>
  <c r="Z8292" i="5"/>
  <c r="Z8291" i="5"/>
  <c r="Z8290" i="5"/>
  <c r="Z8289" i="5"/>
  <c r="Z8288" i="5"/>
  <c r="Z8287" i="5"/>
  <c r="Z8286" i="5"/>
  <c r="Z8285" i="5"/>
  <c r="Z8284" i="5"/>
  <c r="Z8283" i="5"/>
  <c r="Z8282" i="5"/>
  <c r="Z8281" i="5"/>
  <c r="Z8280" i="5"/>
  <c r="Z8279" i="5"/>
  <c r="Z8278" i="5"/>
  <c r="Z8277" i="5"/>
  <c r="Z8276" i="5"/>
  <c r="Z8275" i="5"/>
  <c r="Z8274" i="5"/>
  <c r="Z8273" i="5"/>
  <c r="Z8272" i="5"/>
  <c r="Z8271" i="5"/>
  <c r="Z8270" i="5"/>
  <c r="Z8269" i="5"/>
  <c r="Z8268" i="5"/>
  <c r="Z8267" i="5"/>
  <c r="Z8266" i="5"/>
  <c r="Z8265" i="5"/>
  <c r="Z8264" i="5"/>
  <c r="Z8263" i="5"/>
  <c r="Z8262" i="5"/>
  <c r="Z8261" i="5"/>
  <c r="Z8260" i="5"/>
  <c r="Z8259" i="5"/>
  <c r="Z8258" i="5"/>
  <c r="Z8257" i="5"/>
  <c r="Z8256" i="5"/>
  <c r="Z8255" i="5"/>
  <c r="Z8254" i="5"/>
  <c r="Z8253" i="5"/>
  <c r="Z8252" i="5"/>
  <c r="Z8251" i="5"/>
  <c r="Z8250" i="5"/>
  <c r="Z8249" i="5"/>
  <c r="Z8248" i="5"/>
  <c r="Z8247" i="5"/>
  <c r="Z8246" i="5"/>
  <c r="Z8245" i="5"/>
  <c r="Z8244" i="5"/>
  <c r="Z8243" i="5"/>
  <c r="Z8242" i="5"/>
  <c r="Z8241" i="5"/>
  <c r="Z8240" i="5"/>
  <c r="Z8239" i="5"/>
  <c r="Z8238" i="5"/>
  <c r="Z8237" i="5"/>
  <c r="Z8236" i="5"/>
  <c r="Z8235" i="5"/>
  <c r="Z8234" i="5"/>
  <c r="Z8233" i="5"/>
  <c r="Z8232" i="5"/>
  <c r="Z8231" i="5"/>
  <c r="Z8230" i="5"/>
  <c r="Z8229" i="5"/>
  <c r="Z8228" i="5"/>
  <c r="Z8227" i="5"/>
  <c r="Z8226" i="5"/>
  <c r="Z8225" i="5"/>
  <c r="Z8224" i="5"/>
  <c r="Z8223" i="5"/>
  <c r="Z8222" i="5"/>
  <c r="Z8221" i="5"/>
  <c r="Z8220" i="5"/>
  <c r="Z8219" i="5"/>
  <c r="Z8218" i="5"/>
  <c r="Z8217" i="5"/>
  <c r="Z8216" i="5"/>
  <c r="Z8215" i="5"/>
  <c r="Z8214" i="5"/>
  <c r="Z8213" i="5"/>
  <c r="Z8212" i="5"/>
  <c r="Z8211" i="5"/>
  <c r="Z8210" i="5"/>
  <c r="Z8209" i="5"/>
  <c r="Z8208" i="5"/>
  <c r="Z8207" i="5"/>
  <c r="Z8206" i="5"/>
  <c r="Z8205" i="5"/>
  <c r="Z8204" i="5"/>
  <c r="Z8203" i="5"/>
  <c r="Z8202" i="5"/>
  <c r="Z8201" i="5"/>
  <c r="Z8200" i="5"/>
  <c r="Z8199" i="5"/>
  <c r="Z8198" i="5"/>
  <c r="Z8197" i="5"/>
  <c r="Z8196" i="5"/>
  <c r="Z8195" i="5"/>
  <c r="Z8194" i="5"/>
  <c r="Z8193" i="5"/>
  <c r="Z8192" i="5"/>
  <c r="Z8191" i="5"/>
  <c r="Z8190" i="5"/>
  <c r="Z8189" i="5"/>
  <c r="Z8188" i="5"/>
  <c r="Z8187" i="5"/>
  <c r="Z8186" i="5"/>
  <c r="Z8185" i="5"/>
  <c r="Z8184" i="5"/>
  <c r="Z8183" i="5"/>
  <c r="Z8182" i="5"/>
  <c r="Z8181" i="5"/>
  <c r="Z8180" i="5"/>
  <c r="Z8179" i="5"/>
  <c r="Z8178" i="5"/>
  <c r="Z8177" i="5"/>
  <c r="Z8176" i="5"/>
  <c r="Z8175" i="5"/>
  <c r="Z8174" i="5"/>
  <c r="Z8173" i="5"/>
  <c r="Z8172" i="5"/>
  <c r="Z8171" i="5"/>
  <c r="Z8170" i="5"/>
  <c r="Z8169" i="5"/>
  <c r="Z8168" i="5"/>
  <c r="Z8167" i="5"/>
  <c r="Z8166" i="5"/>
  <c r="Z8165" i="5"/>
  <c r="Z8164" i="5"/>
  <c r="Z8163" i="5"/>
  <c r="Z8162" i="5"/>
  <c r="Z8161" i="5"/>
  <c r="Z8160" i="5"/>
  <c r="Z8159" i="5"/>
  <c r="Z8158" i="5"/>
  <c r="Z8157" i="5"/>
  <c r="Z8156" i="5"/>
  <c r="Z8155" i="5"/>
  <c r="Z8154" i="5"/>
  <c r="Z8153" i="5"/>
  <c r="Z8152" i="5"/>
  <c r="Z8151" i="5"/>
  <c r="Z8150" i="5"/>
  <c r="Z8149" i="5"/>
  <c r="Z8148" i="5"/>
  <c r="Z8147" i="5"/>
  <c r="Z8146" i="5"/>
  <c r="Z8145" i="5"/>
  <c r="Z8144" i="5"/>
  <c r="Z8143" i="5"/>
  <c r="Z8142" i="5"/>
  <c r="Z8141" i="5"/>
  <c r="Z8140" i="5"/>
  <c r="Z8139" i="5"/>
  <c r="Z8138" i="5"/>
  <c r="Z8137" i="5"/>
  <c r="Z8136" i="5"/>
  <c r="Z8135" i="5"/>
  <c r="Z8134" i="5"/>
  <c r="Z8133" i="5"/>
  <c r="Z8132" i="5"/>
  <c r="Z8131" i="5"/>
  <c r="Z8130" i="5"/>
  <c r="Z8129" i="5"/>
  <c r="Z8128" i="5"/>
  <c r="Z8127" i="5"/>
  <c r="Z8126" i="5"/>
  <c r="Z8125" i="5"/>
  <c r="Z8124" i="5"/>
  <c r="Z8123" i="5"/>
  <c r="Z8122" i="5"/>
  <c r="Z8121" i="5"/>
  <c r="Z8120" i="5"/>
  <c r="Z8119" i="5"/>
  <c r="Z8118" i="5"/>
  <c r="Z8117" i="5"/>
  <c r="Z8116" i="5"/>
  <c r="Z8115" i="5"/>
  <c r="Z8114" i="5"/>
  <c r="Z8113" i="5"/>
  <c r="Z8112" i="5"/>
  <c r="Z8111" i="5"/>
  <c r="Z8110" i="5"/>
  <c r="Z8109" i="5"/>
  <c r="Z8108" i="5"/>
  <c r="Z8107" i="5"/>
  <c r="Z8106" i="5"/>
  <c r="Z8105" i="5"/>
  <c r="Z8104" i="5"/>
  <c r="Z8103" i="5"/>
  <c r="Z8102" i="5"/>
  <c r="Z8101" i="5"/>
  <c r="Z8100" i="5"/>
  <c r="Z8099" i="5"/>
  <c r="Z8098" i="5"/>
  <c r="Z8097" i="5"/>
  <c r="Z8096" i="5"/>
  <c r="Z8095" i="5"/>
  <c r="Z8094" i="5"/>
  <c r="Z8093" i="5"/>
  <c r="Z8092" i="5"/>
  <c r="Z8091" i="5"/>
  <c r="Z8090" i="5"/>
  <c r="Z8089" i="5"/>
  <c r="Z8088" i="5"/>
  <c r="Z8087" i="5"/>
  <c r="Z8086" i="5"/>
  <c r="Z8085" i="5"/>
  <c r="Z8084" i="5"/>
  <c r="Z8083" i="5"/>
  <c r="Z8082" i="5"/>
  <c r="Z8081" i="5"/>
  <c r="Z8080" i="5"/>
  <c r="Z8079" i="5"/>
  <c r="Z8078" i="5"/>
  <c r="Z8077" i="5"/>
  <c r="Z8076" i="5"/>
  <c r="Z8075" i="5"/>
  <c r="Z8074" i="5"/>
  <c r="Z8073" i="5"/>
  <c r="Z8072" i="5"/>
  <c r="Z8071" i="5"/>
  <c r="Z8070" i="5"/>
  <c r="Z8069" i="5"/>
  <c r="Z8068" i="5"/>
  <c r="Z8067" i="5"/>
  <c r="Z8066" i="5"/>
  <c r="Z8065" i="5"/>
  <c r="Z8064" i="5"/>
  <c r="Z8063" i="5"/>
  <c r="Z8062" i="5"/>
  <c r="Z8061" i="5"/>
  <c r="Z8060" i="5"/>
  <c r="Z8059" i="5"/>
  <c r="Z8058" i="5"/>
  <c r="Z8057" i="5"/>
  <c r="Z8056" i="5"/>
  <c r="Z8055" i="5"/>
  <c r="Z8054" i="5"/>
  <c r="Z8053" i="5"/>
  <c r="Z8052" i="5"/>
  <c r="Z8051" i="5"/>
  <c r="Z8050" i="5"/>
  <c r="Z8049" i="5"/>
  <c r="Z8048" i="5"/>
  <c r="Z8047" i="5"/>
  <c r="Z8046" i="5"/>
  <c r="Z8045" i="5"/>
  <c r="Z8044" i="5"/>
  <c r="Z8043" i="5"/>
  <c r="Z8042" i="5"/>
  <c r="Z8041" i="5"/>
  <c r="Z8040" i="5"/>
  <c r="Z8039" i="5"/>
  <c r="Z8038" i="5"/>
  <c r="Z8037" i="5"/>
  <c r="Z8036" i="5"/>
  <c r="Z8035" i="5"/>
  <c r="Z8034" i="5"/>
  <c r="Z8033" i="5"/>
  <c r="Z8032" i="5"/>
  <c r="Z8031" i="5"/>
  <c r="Z8030" i="5"/>
  <c r="Z8029" i="5"/>
  <c r="Z8028" i="5"/>
  <c r="Z8027" i="5"/>
  <c r="Z8026" i="5"/>
  <c r="Z8025" i="5"/>
  <c r="Z8024" i="5"/>
  <c r="Z8023" i="5"/>
  <c r="Z8022" i="5"/>
  <c r="Z8021" i="5"/>
  <c r="Z8020" i="5"/>
  <c r="Z8019" i="5"/>
  <c r="Z8018" i="5"/>
  <c r="Z8017" i="5"/>
  <c r="Z8016" i="5"/>
  <c r="Z8015" i="5"/>
  <c r="Z8014" i="5"/>
  <c r="Z8013" i="5"/>
  <c r="Z8012" i="5"/>
  <c r="Z8011" i="5"/>
  <c r="Z8010" i="5"/>
  <c r="Z8009" i="5"/>
  <c r="Z8008" i="5"/>
  <c r="Z8007" i="5"/>
  <c r="Z8006" i="5"/>
  <c r="Z8005" i="5"/>
  <c r="Z8004" i="5"/>
  <c r="Z8003" i="5"/>
  <c r="Z8002" i="5"/>
  <c r="Z8001" i="5"/>
  <c r="Z8000" i="5"/>
  <c r="Z7999" i="5"/>
  <c r="Z7998" i="5"/>
  <c r="Z7997" i="5"/>
  <c r="Z7996" i="5"/>
  <c r="Z7995" i="5"/>
  <c r="Z7994" i="5"/>
  <c r="Z7993" i="5"/>
  <c r="Z7992" i="5"/>
  <c r="Z7991" i="5"/>
  <c r="Z7990" i="5"/>
  <c r="Z7989" i="5"/>
  <c r="Z7988" i="5"/>
  <c r="Z7987" i="5"/>
  <c r="Z7986" i="5"/>
  <c r="Z7985" i="5"/>
  <c r="Z7984" i="5"/>
  <c r="Z7983" i="5"/>
  <c r="Z7982" i="5"/>
  <c r="Z7981" i="5"/>
  <c r="Z7980" i="5"/>
  <c r="Z7979" i="5"/>
  <c r="Z7978" i="5"/>
  <c r="Z7977" i="5"/>
  <c r="Z7976" i="5"/>
  <c r="Z7975" i="5"/>
  <c r="Z7974" i="5"/>
  <c r="Z7973" i="5"/>
  <c r="Z7972" i="5"/>
  <c r="Z7971" i="5"/>
  <c r="Z7970" i="5"/>
  <c r="Z7969" i="5"/>
  <c r="Z7968" i="5"/>
  <c r="Z7967" i="5"/>
  <c r="Z7966" i="5"/>
  <c r="Z7965" i="5"/>
  <c r="Z7964" i="5"/>
  <c r="Z7963" i="5"/>
  <c r="Z7962" i="5"/>
  <c r="Z7961" i="5"/>
  <c r="Z7960" i="5"/>
  <c r="Z7959" i="5"/>
  <c r="Z7958" i="5"/>
  <c r="Z7957" i="5"/>
  <c r="Z7956" i="5"/>
  <c r="Z7955" i="5"/>
  <c r="Z7954" i="5"/>
  <c r="Z7953" i="5"/>
  <c r="Z7952" i="5"/>
  <c r="Z7951" i="5"/>
  <c r="Z7950" i="5"/>
  <c r="Z7949" i="5"/>
  <c r="Z7948" i="5"/>
  <c r="Z7947" i="5"/>
  <c r="Z7946" i="5"/>
  <c r="Z7945" i="5"/>
  <c r="Z7944" i="5"/>
  <c r="Z7943" i="5"/>
  <c r="Z7942" i="5"/>
  <c r="Z7941" i="5"/>
  <c r="Z7940" i="5"/>
  <c r="Z7939" i="5"/>
  <c r="Z7938" i="5"/>
  <c r="Z7937" i="5"/>
  <c r="Z7936" i="5"/>
  <c r="Z7935" i="5"/>
  <c r="Z7934" i="5"/>
  <c r="Z7933" i="5"/>
  <c r="Z7932" i="5"/>
  <c r="Z7931" i="5"/>
  <c r="Z7930" i="5"/>
  <c r="Z7929" i="5"/>
  <c r="Z7928" i="5"/>
  <c r="Z7927" i="5"/>
  <c r="Z7926" i="5"/>
  <c r="Z7925" i="5"/>
  <c r="Z7924" i="5"/>
  <c r="Z7923" i="5"/>
  <c r="Z7922" i="5"/>
  <c r="Z7921" i="5"/>
  <c r="Z7920" i="5"/>
  <c r="Z7919" i="5"/>
  <c r="Z7918" i="5"/>
  <c r="Z7917" i="5"/>
  <c r="Z7916" i="5"/>
  <c r="Z7915" i="5"/>
  <c r="Z7914" i="5"/>
  <c r="Z7913" i="5"/>
  <c r="Z7912" i="5"/>
  <c r="Z7911" i="5"/>
  <c r="Z7910" i="5"/>
  <c r="Z7909" i="5"/>
  <c r="Z7908" i="5"/>
  <c r="Z7907" i="5"/>
  <c r="Z7906" i="5"/>
  <c r="Z7905" i="5"/>
  <c r="Z7904" i="5"/>
  <c r="Z7903" i="5"/>
  <c r="Z7902" i="5"/>
  <c r="Z7901" i="5"/>
  <c r="Z7900" i="5"/>
  <c r="Z7899" i="5"/>
  <c r="Z7898" i="5"/>
  <c r="Z7897" i="5"/>
  <c r="Z7896" i="5"/>
  <c r="Z7895" i="5"/>
  <c r="Z7894" i="5"/>
  <c r="Z7893" i="5"/>
  <c r="Z7892" i="5"/>
  <c r="Z7891" i="5"/>
  <c r="Z7890" i="5"/>
  <c r="Z7889" i="5"/>
  <c r="Z7888" i="5"/>
  <c r="Z7887" i="5"/>
  <c r="Z7886" i="5"/>
  <c r="Z7885" i="5"/>
  <c r="Z7884" i="5"/>
  <c r="Z7883" i="5"/>
  <c r="Z7882" i="5"/>
  <c r="Z7881" i="5"/>
  <c r="Z7880" i="5"/>
  <c r="Z7879" i="5"/>
  <c r="Z7878" i="5"/>
  <c r="Z7877" i="5"/>
  <c r="Z7876" i="5"/>
  <c r="Z7875" i="5"/>
  <c r="Z7874" i="5"/>
  <c r="Z7873" i="5"/>
  <c r="Z7872" i="5"/>
  <c r="Z7871" i="5"/>
  <c r="Z7870" i="5"/>
  <c r="Z7869" i="5"/>
  <c r="Z7868" i="5"/>
  <c r="Z7867" i="5"/>
  <c r="Z7866" i="5"/>
  <c r="Z7865" i="5"/>
  <c r="Z7864" i="5"/>
  <c r="Z7863" i="5"/>
  <c r="Z7862" i="5"/>
  <c r="Z7861" i="5"/>
  <c r="Z7860" i="5"/>
  <c r="Z7859" i="5"/>
  <c r="Z7858" i="5"/>
  <c r="Z7857" i="5"/>
  <c r="Z7856" i="5"/>
  <c r="Z7855" i="5"/>
  <c r="Z7854" i="5"/>
  <c r="Z7853" i="5"/>
  <c r="Z7852" i="5"/>
  <c r="Z7851" i="5"/>
  <c r="Z7850" i="5"/>
  <c r="Z7849" i="5"/>
  <c r="Z7848" i="5"/>
  <c r="Z7847" i="5"/>
  <c r="Z7846" i="5"/>
  <c r="Z7845" i="5"/>
  <c r="Z7844" i="5"/>
  <c r="Z7843" i="5"/>
  <c r="Z7842" i="5"/>
  <c r="Z7841" i="5"/>
  <c r="Z7840" i="5"/>
  <c r="Z7839" i="5"/>
  <c r="Z7838" i="5"/>
  <c r="Z7837" i="5"/>
  <c r="Z7836" i="5"/>
  <c r="Z7835" i="5"/>
  <c r="Z7834" i="5"/>
  <c r="Z7833" i="5"/>
  <c r="Z7832" i="5"/>
  <c r="Z7831" i="5"/>
  <c r="Z7830" i="5"/>
  <c r="Z7829" i="5"/>
  <c r="Z7828" i="5"/>
  <c r="Z7827" i="5"/>
  <c r="Z7826" i="5"/>
  <c r="Z7825" i="5"/>
  <c r="Z7824" i="5"/>
  <c r="Z7823" i="5"/>
  <c r="Z7822" i="5"/>
  <c r="Z7821" i="5"/>
  <c r="Z7820" i="5"/>
  <c r="Z7819" i="5"/>
  <c r="Z7818" i="5"/>
  <c r="Z7817" i="5"/>
  <c r="Z7816" i="5"/>
  <c r="Z7815" i="5"/>
  <c r="Z7814" i="5"/>
  <c r="Z7813" i="5"/>
  <c r="Z7812" i="5"/>
  <c r="Z7811" i="5"/>
  <c r="Z7810" i="5"/>
  <c r="Z7809" i="5"/>
  <c r="Z7808" i="5"/>
  <c r="Z7807" i="5"/>
  <c r="Z7806" i="5"/>
  <c r="Z7805" i="5"/>
  <c r="Z7804" i="5"/>
  <c r="Z7803" i="5"/>
  <c r="Z7802" i="5"/>
  <c r="Z7801" i="5"/>
  <c r="Z7800" i="5"/>
  <c r="Z7799" i="5"/>
  <c r="Z7798" i="5"/>
  <c r="Z7797" i="5"/>
  <c r="Z7796" i="5"/>
  <c r="Z7795" i="5"/>
  <c r="Z7794" i="5"/>
  <c r="Z7793" i="5"/>
  <c r="Z7792" i="5"/>
  <c r="Z7791" i="5"/>
  <c r="Z7790" i="5"/>
  <c r="Z7789" i="5"/>
  <c r="Z7788" i="5"/>
  <c r="Z7787" i="5"/>
  <c r="Z7786" i="5"/>
  <c r="Z7785" i="5"/>
  <c r="Z7784" i="5"/>
  <c r="Z7783" i="5"/>
  <c r="Z7782" i="5"/>
  <c r="Z7781" i="5"/>
  <c r="Z7780" i="5"/>
  <c r="Z7779" i="5"/>
  <c r="Z7778" i="5"/>
  <c r="Z7777" i="5"/>
  <c r="Z7776" i="5"/>
  <c r="Z7775" i="5"/>
  <c r="Z7774" i="5"/>
  <c r="Z7773" i="5"/>
  <c r="Z7772" i="5"/>
  <c r="Z7771" i="5"/>
  <c r="Z7770" i="5"/>
  <c r="Z7769" i="5"/>
  <c r="Z7768" i="5"/>
  <c r="Z7767" i="5"/>
  <c r="Z7766" i="5"/>
  <c r="Z7765" i="5"/>
  <c r="Z7764" i="5"/>
  <c r="Z7763" i="5"/>
  <c r="Z7762" i="5"/>
  <c r="Z7761" i="5"/>
  <c r="Z7760" i="5"/>
  <c r="Z7759" i="5"/>
  <c r="Z7758" i="5"/>
  <c r="Z7757" i="5"/>
  <c r="Z7756" i="5"/>
  <c r="Z7755" i="5"/>
  <c r="Z7754" i="5"/>
  <c r="Z7753" i="5"/>
  <c r="Z7752" i="5"/>
  <c r="Z7751" i="5"/>
  <c r="Z7750" i="5"/>
  <c r="Z7749" i="5"/>
  <c r="Z7748" i="5"/>
  <c r="Z7747" i="5"/>
  <c r="Z7746" i="5"/>
  <c r="Z7745" i="5"/>
  <c r="Z7744" i="5"/>
  <c r="Z7743" i="5"/>
  <c r="Z7742" i="5"/>
  <c r="Z7741" i="5"/>
  <c r="Z7740" i="5"/>
  <c r="Z7739" i="5"/>
  <c r="Z7738" i="5"/>
  <c r="Z7737" i="5"/>
  <c r="Z7736" i="5"/>
  <c r="Z7735" i="5"/>
  <c r="Z7734" i="5"/>
  <c r="Z7733" i="5"/>
  <c r="Z7732" i="5"/>
  <c r="Z7731" i="5"/>
  <c r="Z7730" i="5"/>
  <c r="Z7729" i="5"/>
  <c r="Z7728" i="5"/>
  <c r="Z7727" i="5"/>
  <c r="Z7726" i="5"/>
  <c r="Z7725" i="5"/>
  <c r="Z7724" i="5"/>
  <c r="Z7723" i="5"/>
  <c r="Z7722" i="5"/>
  <c r="Z7721" i="5"/>
  <c r="Z7720" i="5"/>
  <c r="Z7719" i="5"/>
  <c r="Z7718" i="5"/>
  <c r="Z7717" i="5"/>
  <c r="Z7716" i="5"/>
  <c r="Z7715" i="5"/>
  <c r="Z7714" i="5"/>
  <c r="Z7713" i="5"/>
  <c r="Z7712" i="5"/>
  <c r="Z7711" i="5"/>
  <c r="Z7710" i="5"/>
  <c r="Z7709" i="5"/>
  <c r="Z7708" i="5"/>
  <c r="Z7707" i="5"/>
  <c r="Z7706" i="5"/>
  <c r="Z7705" i="5"/>
  <c r="Z7704" i="5"/>
  <c r="Z7703" i="5"/>
  <c r="Z7702" i="5"/>
  <c r="Z7701" i="5"/>
  <c r="Z7700" i="5"/>
  <c r="Z7699" i="5"/>
  <c r="Z7698" i="5"/>
  <c r="Z7697" i="5"/>
  <c r="Z7696" i="5"/>
  <c r="Z7695" i="5"/>
  <c r="Z7694" i="5"/>
  <c r="Z7693" i="5"/>
  <c r="Z7692" i="5"/>
  <c r="Z7691" i="5"/>
  <c r="Z7690" i="5"/>
  <c r="Z7689" i="5"/>
  <c r="Z7688" i="5"/>
  <c r="Z7687" i="5"/>
  <c r="Z7686" i="5"/>
  <c r="Z7685" i="5"/>
  <c r="Z7684" i="5"/>
  <c r="Z7683" i="5"/>
  <c r="Z7682" i="5"/>
  <c r="Z7681" i="5"/>
  <c r="Z7680" i="5"/>
  <c r="Z7679" i="5"/>
  <c r="Z7678" i="5"/>
  <c r="Z7677" i="5"/>
  <c r="Z7676" i="5"/>
  <c r="Z7675" i="5"/>
  <c r="Z7674" i="5"/>
  <c r="Z7673" i="5"/>
  <c r="Z7672" i="5"/>
  <c r="Z7671" i="5"/>
  <c r="Z7670" i="5"/>
  <c r="Z7669" i="5"/>
  <c r="Z7668" i="5"/>
  <c r="Z7667" i="5"/>
  <c r="Z7666" i="5"/>
  <c r="Z7665" i="5"/>
  <c r="Z7664" i="5"/>
  <c r="Z7663" i="5"/>
  <c r="Z7662" i="5"/>
  <c r="Z7661" i="5"/>
  <c r="Z7660" i="5"/>
  <c r="Z7659" i="5"/>
  <c r="Z7658" i="5"/>
  <c r="Z7657" i="5"/>
  <c r="Z7656" i="5"/>
  <c r="Z7655" i="5"/>
  <c r="Z7654" i="5"/>
  <c r="Z7653" i="5"/>
  <c r="Z7652" i="5"/>
  <c r="Z7651" i="5"/>
  <c r="Z7650" i="5"/>
  <c r="Z7649" i="5"/>
  <c r="Z7648" i="5"/>
  <c r="Z7647" i="5"/>
  <c r="Z7646" i="5"/>
  <c r="Z7645" i="5"/>
  <c r="Z7644" i="5"/>
  <c r="Z7643" i="5"/>
  <c r="Z7642" i="5"/>
  <c r="Z7641" i="5"/>
  <c r="Z7640" i="5"/>
  <c r="Z7639" i="5"/>
  <c r="Z7638" i="5"/>
  <c r="Z7637" i="5"/>
  <c r="Z7636" i="5"/>
  <c r="Z7635" i="5"/>
  <c r="Z7634" i="5"/>
  <c r="Z7633" i="5"/>
  <c r="Z7632" i="5"/>
  <c r="Z7631" i="5"/>
  <c r="Z7630" i="5"/>
  <c r="Z7629" i="5"/>
  <c r="Z7628" i="5"/>
  <c r="Z7627" i="5"/>
  <c r="Z7626" i="5"/>
  <c r="Z7625" i="5"/>
  <c r="Z7624" i="5"/>
  <c r="Z7623" i="5"/>
  <c r="Z7622" i="5"/>
  <c r="Z7621" i="5"/>
  <c r="Z7620" i="5"/>
  <c r="Z7619" i="5"/>
  <c r="Z7618" i="5"/>
  <c r="Z7617" i="5"/>
  <c r="Z7616" i="5"/>
  <c r="Z7615" i="5"/>
  <c r="Z7614" i="5"/>
  <c r="Z7613" i="5"/>
  <c r="Z7612" i="5"/>
  <c r="Z7611" i="5"/>
  <c r="Z7610" i="5"/>
  <c r="Z7609" i="5"/>
  <c r="Z7608" i="5"/>
  <c r="Z7607" i="5"/>
  <c r="Z7606" i="5"/>
  <c r="Z7605" i="5"/>
  <c r="Z7604" i="5"/>
  <c r="Z7603" i="5"/>
  <c r="Z7602" i="5"/>
  <c r="Z7601" i="5"/>
  <c r="Z7600" i="5"/>
  <c r="Z7599" i="5"/>
  <c r="Z7598" i="5"/>
  <c r="Z7597" i="5"/>
  <c r="Z7596" i="5"/>
  <c r="Z7595" i="5"/>
  <c r="Z7594" i="5"/>
  <c r="Z7593" i="5"/>
  <c r="Z7592" i="5"/>
  <c r="Z7591" i="5"/>
  <c r="Z7590" i="5"/>
  <c r="Z7589" i="5"/>
  <c r="Z7588" i="5"/>
  <c r="Z7587" i="5"/>
  <c r="Z7586" i="5"/>
  <c r="Z7585" i="5"/>
  <c r="Z7584" i="5"/>
  <c r="Z7583" i="5"/>
  <c r="Z7582" i="5"/>
  <c r="Z7581" i="5"/>
  <c r="Z7580" i="5"/>
  <c r="Z7579" i="5"/>
  <c r="Z7578" i="5"/>
  <c r="Z7577" i="5"/>
  <c r="Z7576" i="5"/>
  <c r="Z7575" i="5"/>
  <c r="Z7574" i="5"/>
  <c r="Z7573" i="5"/>
  <c r="Z7572" i="5"/>
  <c r="Z7571" i="5"/>
  <c r="Z7570" i="5"/>
  <c r="Z7569" i="5"/>
  <c r="Z7568" i="5"/>
  <c r="Z7567" i="5"/>
  <c r="Z7566" i="5"/>
  <c r="Z7565" i="5"/>
  <c r="Z7564" i="5"/>
  <c r="Z7563" i="5"/>
  <c r="Z7562" i="5"/>
  <c r="Z7561" i="5"/>
  <c r="Z7560" i="5"/>
  <c r="Z7559" i="5"/>
  <c r="Z7558" i="5"/>
  <c r="Z7557" i="5"/>
  <c r="Z7556" i="5"/>
  <c r="Z7555" i="5"/>
  <c r="Z7554" i="5"/>
  <c r="Z7553" i="5"/>
  <c r="Z7552" i="5"/>
  <c r="Z7551" i="5"/>
  <c r="Z7550" i="5"/>
  <c r="Z7549" i="5"/>
  <c r="Z7548" i="5"/>
  <c r="Z7547" i="5"/>
  <c r="Z7546" i="5"/>
  <c r="Z7545" i="5"/>
  <c r="Z7544" i="5"/>
  <c r="Z7543" i="5"/>
  <c r="Z7542" i="5"/>
  <c r="Z7541" i="5"/>
  <c r="Z7540" i="5"/>
  <c r="Z7539" i="5"/>
  <c r="Z7538" i="5"/>
  <c r="Z7537" i="5"/>
  <c r="Z7536" i="5"/>
  <c r="Z7535" i="5"/>
  <c r="Z7534" i="5"/>
  <c r="Z7533" i="5"/>
  <c r="Z7532" i="5"/>
  <c r="Z7531" i="5"/>
  <c r="Z7530" i="5"/>
  <c r="Z7529" i="5"/>
  <c r="Z7528" i="5"/>
  <c r="Z7527" i="5"/>
  <c r="Z7526" i="5"/>
  <c r="Z7525" i="5"/>
  <c r="Z7524" i="5"/>
  <c r="Z7523" i="5"/>
  <c r="Z7522" i="5"/>
  <c r="Z7521" i="5"/>
  <c r="Z7520" i="5"/>
  <c r="Z7519" i="5"/>
  <c r="Z7518" i="5"/>
  <c r="Z7517" i="5"/>
  <c r="Z7516" i="5"/>
  <c r="Z7515" i="5"/>
  <c r="Z7514" i="5"/>
  <c r="Z7513" i="5"/>
  <c r="Z7512" i="5"/>
  <c r="Z7511" i="5"/>
  <c r="Z7510" i="5"/>
  <c r="Z7509" i="5"/>
  <c r="Z7508" i="5"/>
  <c r="Z7507" i="5"/>
  <c r="Z7506" i="5"/>
  <c r="Z7505" i="5"/>
  <c r="Z7504" i="5"/>
  <c r="Z7503" i="5"/>
  <c r="Z7502" i="5"/>
  <c r="Z7501" i="5"/>
  <c r="Z7500" i="5"/>
  <c r="Z7499" i="5"/>
  <c r="Z7498" i="5"/>
  <c r="Z7497" i="5"/>
  <c r="Z7496" i="5"/>
  <c r="Z7495" i="5"/>
  <c r="Z7494" i="5"/>
  <c r="Z7493" i="5"/>
  <c r="Z7492" i="5"/>
  <c r="Z7491" i="5"/>
  <c r="Z7490" i="5"/>
  <c r="Z7489" i="5"/>
  <c r="Z7488" i="5"/>
  <c r="Z7487" i="5"/>
  <c r="Z7486" i="5"/>
  <c r="Z7485" i="5"/>
  <c r="Z7484" i="5"/>
  <c r="Z7483" i="5"/>
  <c r="Z7482" i="5"/>
  <c r="Z7481" i="5"/>
  <c r="Z7480" i="5"/>
  <c r="Z7479" i="5"/>
  <c r="Z7478" i="5"/>
  <c r="Z7477" i="5"/>
  <c r="Z7476" i="5"/>
  <c r="Z7475" i="5"/>
  <c r="Z7474" i="5"/>
  <c r="Z7473" i="5"/>
  <c r="Z7472" i="5"/>
  <c r="Z7471" i="5"/>
  <c r="Z7470" i="5"/>
  <c r="Z7469" i="5"/>
  <c r="Z7468" i="5"/>
  <c r="Z7467" i="5"/>
  <c r="Z7466" i="5"/>
  <c r="Z7465" i="5"/>
  <c r="Z7464" i="5"/>
  <c r="Z7463" i="5"/>
  <c r="Z7462" i="5"/>
  <c r="Z7461" i="5"/>
  <c r="Z7460" i="5"/>
  <c r="Z7459" i="5"/>
  <c r="Z7458" i="5"/>
  <c r="Z7457" i="5"/>
  <c r="Z7456" i="5"/>
  <c r="Z7455" i="5"/>
  <c r="Z7454" i="5"/>
  <c r="Z7453" i="5"/>
  <c r="Z7452" i="5"/>
  <c r="Z7451" i="5"/>
  <c r="Z7450" i="5"/>
  <c r="Z7449" i="5"/>
  <c r="Z7448" i="5"/>
  <c r="Z7447" i="5"/>
  <c r="Z7446" i="5"/>
  <c r="Z7445" i="5"/>
  <c r="Z7444" i="5"/>
  <c r="Z7443" i="5"/>
  <c r="Z7442" i="5"/>
  <c r="Z7441" i="5"/>
  <c r="Z7440" i="5"/>
  <c r="Z7439" i="5"/>
  <c r="Z7438" i="5"/>
  <c r="Z7437" i="5"/>
  <c r="Z7436" i="5"/>
  <c r="Z7435" i="5"/>
  <c r="Z7434" i="5"/>
  <c r="Z7433" i="5"/>
  <c r="Z7432" i="5"/>
  <c r="Z7431" i="5"/>
  <c r="Z7430" i="5"/>
  <c r="Z7429" i="5"/>
  <c r="Z7428" i="5"/>
  <c r="Z7427" i="5"/>
  <c r="Z7426" i="5"/>
  <c r="Z7425" i="5"/>
  <c r="Z7424" i="5"/>
  <c r="Z7423" i="5"/>
  <c r="Z7422" i="5"/>
  <c r="Z7421" i="5"/>
  <c r="Z7420" i="5"/>
  <c r="Z7419" i="5"/>
  <c r="Z7418" i="5"/>
  <c r="Z7417" i="5"/>
  <c r="Z7416" i="5"/>
  <c r="Z7415" i="5"/>
  <c r="Z7414" i="5"/>
  <c r="Z7413" i="5"/>
  <c r="Z7412" i="5"/>
  <c r="Z7411" i="5"/>
  <c r="Z7410" i="5"/>
  <c r="Z7409" i="5"/>
  <c r="Z7408" i="5"/>
  <c r="Z7407" i="5"/>
  <c r="Z7406" i="5"/>
  <c r="Z7405" i="5"/>
  <c r="Z7404" i="5"/>
  <c r="Z7403" i="5"/>
  <c r="Z7402" i="5"/>
  <c r="Z7401" i="5"/>
  <c r="Z7400" i="5"/>
  <c r="Z7399" i="5"/>
  <c r="Z7398" i="5"/>
  <c r="Z7397" i="5"/>
  <c r="Z7396" i="5"/>
  <c r="Z7395" i="5"/>
  <c r="Z7394" i="5"/>
  <c r="Z7393" i="5"/>
  <c r="Z7392" i="5"/>
  <c r="Z7391" i="5"/>
  <c r="Z7390" i="5"/>
  <c r="Z7389" i="5"/>
  <c r="Z7388" i="5"/>
  <c r="Z7387" i="5"/>
  <c r="Z7386" i="5"/>
  <c r="Z7385" i="5"/>
  <c r="Z7384" i="5"/>
  <c r="Z7383" i="5"/>
  <c r="Z7382" i="5"/>
  <c r="Z7381" i="5"/>
  <c r="Z7380" i="5"/>
  <c r="Z7379" i="5"/>
  <c r="Z7378" i="5"/>
  <c r="Z7377" i="5"/>
  <c r="Z7376" i="5"/>
  <c r="Z7375" i="5"/>
  <c r="Z7374" i="5"/>
  <c r="Z7373" i="5"/>
  <c r="Z7372" i="5"/>
  <c r="Z7371" i="5"/>
  <c r="Z7370" i="5"/>
  <c r="Z7369" i="5"/>
  <c r="Z7368" i="5"/>
  <c r="Z7367" i="5"/>
  <c r="Z7366" i="5"/>
  <c r="Z7365" i="5"/>
  <c r="Z7364" i="5"/>
  <c r="Z7363" i="5"/>
  <c r="Z7362" i="5"/>
  <c r="Z7361" i="5"/>
  <c r="Z7360" i="5"/>
  <c r="Z7359" i="5"/>
  <c r="Z7358" i="5"/>
  <c r="Z7357" i="5"/>
  <c r="Z7356" i="5"/>
  <c r="Z7355" i="5"/>
  <c r="Z7354" i="5"/>
  <c r="Z7353" i="5"/>
  <c r="Z7352" i="5"/>
  <c r="Z7351" i="5"/>
  <c r="Z7350" i="5"/>
  <c r="Z7349" i="5"/>
  <c r="Z7348" i="5"/>
  <c r="Z7347" i="5"/>
  <c r="Z7346" i="5"/>
  <c r="Z7345" i="5"/>
  <c r="Z7344" i="5"/>
  <c r="Z7343" i="5"/>
  <c r="Z7342" i="5"/>
  <c r="Z7341" i="5"/>
  <c r="Z7340" i="5"/>
  <c r="Z7339" i="5"/>
  <c r="Z7338" i="5"/>
  <c r="Z7337" i="5"/>
  <c r="Z7336" i="5"/>
  <c r="Z7335" i="5"/>
  <c r="Z7334" i="5"/>
  <c r="Z7333" i="5"/>
  <c r="Z7332" i="5"/>
  <c r="Z7331" i="5"/>
  <c r="Z7330" i="5"/>
  <c r="Z7329" i="5"/>
  <c r="Z7328" i="5"/>
  <c r="Z7327" i="5"/>
  <c r="Z7326" i="5"/>
  <c r="Z7325" i="5"/>
  <c r="Z7324" i="5"/>
  <c r="Z7323" i="5"/>
  <c r="Z7322" i="5"/>
  <c r="Z7321" i="5"/>
  <c r="Z7320" i="5"/>
  <c r="Z7319" i="5"/>
  <c r="Z7318" i="5"/>
  <c r="Z7317" i="5"/>
  <c r="Z7316" i="5"/>
  <c r="Z7315" i="5"/>
  <c r="Z7314" i="5"/>
  <c r="Z7313" i="5"/>
  <c r="Z7312" i="5"/>
  <c r="Z7311" i="5"/>
  <c r="Z7310" i="5"/>
  <c r="Z7309" i="5"/>
  <c r="Z7308" i="5"/>
  <c r="Z7307" i="5"/>
  <c r="Z7306" i="5"/>
  <c r="Z7305" i="5"/>
  <c r="Z7304" i="5"/>
  <c r="Z7303" i="5"/>
  <c r="Z7302" i="5"/>
  <c r="Z7301" i="5"/>
  <c r="Z7300" i="5"/>
  <c r="Z7299" i="5"/>
  <c r="Z7298" i="5"/>
  <c r="Z7297" i="5"/>
  <c r="Z7296" i="5"/>
  <c r="Z7295" i="5"/>
  <c r="Z7294" i="5"/>
  <c r="Z7293" i="5"/>
  <c r="Z7292" i="5"/>
  <c r="Z7291" i="5"/>
  <c r="Z7290" i="5"/>
  <c r="Z7289" i="5"/>
  <c r="Z7288" i="5"/>
  <c r="Z7287" i="5"/>
  <c r="Z7286" i="5"/>
  <c r="Z7285" i="5"/>
  <c r="Z7284" i="5"/>
  <c r="Z7283" i="5"/>
  <c r="Z7282" i="5"/>
  <c r="Z7281" i="5"/>
  <c r="Z7280" i="5"/>
  <c r="Z7279" i="5"/>
  <c r="Z7278" i="5"/>
  <c r="Z7277" i="5"/>
  <c r="Z7276" i="5"/>
  <c r="Z7275" i="5"/>
  <c r="Z7274" i="5"/>
  <c r="Z7273" i="5"/>
  <c r="Z7272" i="5"/>
  <c r="Z7271" i="5"/>
  <c r="Z7270" i="5"/>
  <c r="Z7269" i="5"/>
  <c r="Z7268" i="5"/>
  <c r="Z7267" i="5"/>
  <c r="Z7266" i="5"/>
  <c r="Z7265" i="5"/>
  <c r="Z7264" i="5"/>
  <c r="Z7263" i="5"/>
  <c r="Z7262" i="5"/>
  <c r="Z7261" i="5"/>
  <c r="Z7260" i="5"/>
  <c r="Z7259" i="5"/>
  <c r="Z7258" i="5"/>
  <c r="Z7257" i="5"/>
  <c r="Z7256" i="5"/>
  <c r="Z7255" i="5"/>
  <c r="Z7254" i="5"/>
  <c r="Z7253" i="5"/>
  <c r="Z7252" i="5"/>
  <c r="Z7251" i="5"/>
  <c r="Z7250" i="5"/>
  <c r="Z7249" i="5"/>
  <c r="Z7248" i="5"/>
  <c r="Z7247" i="5"/>
  <c r="Z7246" i="5"/>
  <c r="Z7245" i="5"/>
  <c r="Z7244" i="5"/>
  <c r="Z7243" i="5"/>
  <c r="Z7242" i="5"/>
  <c r="Z7241" i="5"/>
  <c r="Z7240" i="5"/>
  <c r="Z7239" i="5"/>
  <c r="Z7238" i="5"/>
  <c r="Z7237" i="5"/>
  <c r="Z7236" i="5"/>
  <c r="Z7235" i="5"/>
  <c r="Z7234" i="5"/>
  <c r="Z7233" i="5"/>
  <c r="Z7232" i="5"/>
  <c r="Z7231" i="5"/>
  <c r="Z7230" i="5"/>
  <c r="Z7229" i="5"/>
  <c r="Z7228" i="5"/>
  <c r="Z7227" i="5"/>
  <c r="Z7226" i="5"/>
  <c r="Z7225" i="5"/>
  <c r="Z7224" i="5"/>
  <c r="Z7223" i="5"/>
  <c r="Z7222" i="5"/>
  <c r="Z7221" i="5"/>
  <c r="Z7220" i="5"/>
  <c r="Z7219" i="5"/>
  <c r="Z7218" i="5"/>
  <c r="Z7217" i="5"/>
  <c r="Z7216" i="5"/>
  <c r="Z7215" i="5"/>
  <c r="Z7214" i="5"/>
  <c r="Z7213" i="5"/>
  <c r="Z7212" i="5"/>
  <c r="Z7211" i="5"/>
  <c r="Z7210" i="5"/>
  <c r="Z7209" i="5"/>
  <c r="Z7208" i="5"/>
  <c r="Z7207" i="5"/>
  <c r="Z7206" i="5"/>
  <c r="Z7205" i="5"/>
  <c r="Z7204" i="5"/>
  <c r="Z7203" i="5"/>
  <c r="Z7202" i="5"/>
  <c r="Z7201" i="5"/>
  <c r="Z7200" i="5"/>
  <c r="Z7199" i="5"/>
  <c r="Z7198" i="5"/>
  <c r="Z7197" i="5"/>
  <c r="Z7196" i="5"/>
  <c r="Z7195" i="5"/>
  <c r="Z7194" i="5"/>
  <c r="Z7193" i="5"/>
  <c r="Z7192" i="5"/>
  <c r="Z7191" i="5"/>
  <c r="Z7190" i="5"/>
  <c r="Z7189" i="5"/>
  <c r="Z7188" i="5"/>
  <c r="Z7187" i="5"/>
  <c r="Z7186" i="5"/>
  <c r="Z7185" i="5"/>
  <c r="Z7184" i="5"/>
  <c r="Z7183" i="5"/>
  <c r="Z7182" i="5"/>
  <c r="Z7181" i="5"/>
  <c r="Z7180" i="5"/>
  <c r="Z7179" i="5"/>
  <c r="Z7178" i="5"/>
  <c r="Z7177" i="5"/>
  <c r="Z7176" i="5"/>
  <c r="Z7175" i="5"/>
  <c r="Z7174" i="5"/>
  <c r="Z7173" i="5"/>
  <c r="Z7172" i="5"/>
  <c r="Z7171" i="5"/>
  <c r="Z7170" i="5"/>
  <c r="Z7169" i="5"/>
  <c r="Z7168" i="5"/>
  <c r="Z7167" i="5"/>
  <c r="Z7166" i="5"/>
  <c r="Z7165" i="5"/>
  <c r="Z7164" i="5"/>
  <c r="Z7163" i="5"/>
  <c r="Z7162" i="5"/>
  <c r="Z7161" i="5"/>
  <c r="Z7160" i="5"/>
  <c r="Z7159" i="5"/>
  <c r="Z7158" i="5"/>
  <c r="Z7157" i="5"/>
  <c r="Z7156" i="5"/>
  <c r="Z7155" i="5"/>
  <c r="Z7154" i="5"/>
  <c r="Z7153" i="5"/>
  <c r="Z7152" i="5"/>
  <c r="Z7151" i="5"/>
  <c r="Z7150" i="5"/>
  <c r="Z7149" i="5"/>
  <c r="Z7148" i="5"/>
  <c r="Z7147" i="5"/>
  <c r="Z7146" i="5"/>
  <c r="Z7145" i="5"/>
  <c r="Z7144" i="5"/>
  <c r="Z7143" i="5"/>
  <c r="Z7142" i="5"/>
  <c r="Z7141" i="5"/>
  <c r="Z7140" i="5"/>
  <c r="Z7139" i="5"/>
  <c r="Z7138" i="5"/>
  <c r="Z7137" i="5"/>
  <c r="Z7136" i="5"/>
  <c r="Z7135" i="5"/>
  <c r="Z7134" i="5"/>
  <c r="Z7133" i="5"/>
  <c r="Z7132" i="5"/>
  <c r="Z7131" i="5"/>
  <c r="Z7130" i="5"/>
  <c r="Z7129" i="5"/>
  <c r="Z7128" i="5"/>
  <c r="Z7127" i="5"/>
  <c r="Z7126" i="5"/>
  <c r="Z7125" i="5"/>
  <c r="Z7124" i="5"/>
  <c r="Z7123" i="5"/>
  <c r="Z7122" i="5"/>
  <c r="Z7121" i="5"/>
  <c r="Z7120" i="5"/>
  <c r="Z7119" i="5"/>
  <c r="Z7118" i="5"/>
  <c r="Z7117" i="5"/>
  <c r="Z7116" i="5"/>
  <c r="Z7115" i="5"/>
  <c r="Z7114" i="5"/>
  <c r="Z7113" i="5"/>
  <c r="Z7112" i="5"/>
  <c r="Z7111" i="5"/>
  <c r="Z7110" i="5"/>
  <c r="Z7109" i="5"/>
  <c r="Z7108" i="5"/>
  <c r="Z7107" i="5"/>
  <c r="Z7106" i="5"/>
  <c r="Z7105" i="5"/>
  <c r="Z7104" i="5"/>
  <c r="Z7103" i="5"/>
  <c r="Z7102" i="5"/>
  <c r="Z7101" i="5"/>
  <c r="Z7100" i="5"/>
  <c r="Z7099" i="5"/>
  <c r="Z7098" i="5"/>
  <c r="Z7097" i="5"/>
  <c r="Z7096" i="5"/>
  <c r="Z7095" i="5"/>
  <c r="Z7094" i="5"/>
  <c r="Z7093" i="5"/>
  <c r="Z7092" i="5"/>
  <c r="Z7091" i="5"/>
  <c r="Z7090" i="5"/>
  <c r="Z7089" i="5"/>
  <c r="Z7088" i="5"/>
  <c r="Z7087" i="5"/>
  <c r="Z7086" i="5"/>
  <c r="Z7085" i="5"/>
  <c r="Z7084" i="5"/>
  <c r="Z7083" i="5"/>
  <c r="Z7082" i="5"/>
  <c r="Z7081" i="5"/>
  <c r="Z7080" i="5"/>
  <c r="Z7079" i="5"/>
  <c r="Z7078" i="5"/>
  <c r="Z7077" i="5"/>
  <c r="Z7076" i="5"/>
  <c r="Z7075" i="5"/>
  <c r="Z7074" i="5"/>
  <c r="Z7073" i="5"/>
  <c r="Z7072" i="5"/>
  <c r="Z7071" i="5"/>
  <c r="Z7070" i="5"/>
  <c r="Z7069" i="5"/>
  <c r="Z7068" i="5"/>
  <c r="Z7067" i="5"/>
  <c r="Z7066" i="5"/>
  <c r="Z7065" i="5"/>
  <c r="Z7064" i="5"/>
  <c r="Z7063" i="5"/>
  <c r="Z7062" i="5"/>
  <c r="Z7061" i="5"/>
  <c r="Z7060" i="5"/>
  <c r="Z7059" i="5"/>
  <c r="Z7058" i="5"/>
  <c r="Z7057" i="5"/>
  <c r="Z7056" i="5"/>
  <c r="Z7055" i="5"/>
  <c r="Z7054" i="5"/>
  <c r="Z7053" i="5"/>
  <c r="Z7052" i="5"/>
  <c r="Z7051" i="5"/>
  <c r="Z7050" i="5"/>
  <c r="Z7049" i="5"/>
  <c r="Z7048" i="5"/>
  <c r="Z7047" i="5"/>
  <c r="Z7046" i="5"/>
  <c r="Z7045" i="5"/>
  <c r="Z7044" i="5"/>
  <c r="Z7043" i="5"/>
  <c r="Z7042" i="5"/>
  <c r="Z7041" i="5"/>
  <c r="Z7040" i="5"/>
  <c r="Z7039" i="5"/>
  <c r="Z7038" i="5"/>
  <c r="Z7037" i="5"/>
  <c r="Z7036" i="5"/>
  <c r="Z7035" i="5"/>
  <c r="Z7034" i="5"/>
  <c r="Z7033" i="5"/>
  <c r="Z7032" i="5"/>
  <c r="Z7031" i="5"/>
  <c r="Z7030" i="5"/>
  <c r="Z7029" i="5"/>
  <c r="Z7028" i="5"/>
  <c r="Z7027" i="5"/>
  <c r="Z7026" i="5"/>
  <c r="Z7025" i="5"/>
  <c r="Z7024" i="5"/>
  <c r="Z7023" i="5"/>
  <c r="Z7022" i="5"/>
  <c r="Z7021" i="5"/>
  <c r="Z7020" i="5"/>
  <c r="Z7019" i="5"/>
  <c r="Z7018" i="5"/>
  <c r="Z7017" i="5"/>
  <c r="Z7016" i="5"/>
  <c r="Z7015" i="5"/>
  <c r="Z7014" i="5"/>
  <c r="Z7013" i="5"/>
  <c r="Z7012" i="5"/>
  <c r="Z7011" i="5"/>
  <c r="Z7010" i="5"/>
  <c r="Z7009" i="5"/>
  <c r="Z7008" i="5"/>
  <c r="Z7007" i="5"/>
  <c r="Z7006" i="5"/>
  <c r="Z7005" i="5"/>
  <c r="Z7004" i="5"/>
  <c r="Z7003" i="5"/>
  <c r="Z7002" i="5"/>
  <c r="Z7001" i="5"/>
  <c r="Z7000" i="5"/>
  <c r="Z6999" i="5"/>
  <c r="Z6998" i="5"/>
  <c r="Z6997" i="5"/>
  <c r="Z6996" i="5"/>
  <c r="Z6995" i="5"/>
  <c r="Z6994" i="5"/>
  <c r="Z6993" i="5"/>
  <c r="Z6992" i="5"/>
  <c r="Z6991" i="5"/>
  <c r="Z6990" i="5"/>
  <c r="Z6989" i="5"/>
  <c r="Z6988" i="5"/>
  <c r="Z6987" i="5"/>
  <c r="Z6986" i="5"/>
  <c r="Z6985" i="5"/>
  <c r="Z6984" i="5"/>
  <c r="Z6983" i="5"/>
  <c r="Z6982" i="5"/>
  <c r="Z6981" i="5"/>
  <c r="Z6980" i="5"/>
  <c r="Z6979" i="5"/>
  <c r="Z6978" i="5"/>
  <c r="Z6977" i="5"/>
  <c r="Z6976" i="5"/>
  <c r="Z6975" i="5"/>
  <c r="Z6974" i="5"/>
  <c r="Z6973" i="5"/>
  <c r="Z6972" i="5"/>
  <c r="Z6971" i="5"/>
  <c r="Z6970" i="5"/>
  <c r="Z6969" i="5"/>
  <c r="Z6968" i="5"/>
  <c r="Z6967" i="5"/>
  <c r="Z6966" i="5"/>
  <c r="Z6965" i="5"/>
  <c r="Z6964" i="5"/>
  <c r="Z6963" i="5"/>
  <c r="Z6962" i="5"/>
  <c r="Z6961" i="5"/>
  <c r="Z6960" i="5"/>
  <c r="Z6959" i="5"/>
  <c r="Z6958" i="5"/>
  <c r="Z6957" i="5"/>
  <c r="Z6956" i="5"/>
  <c r="Z6955" i="5"/>
  <c r="Z6954" i="5"/>
  <c r="Z6953" i="5"/>
  <c r="Z6952" i="5"/>
  <c r="Z6951" i="5"/>
  <c r="Z6950" i="5"/>
  <c r="Z6949" i="5"/>
  <c r="Z6948" i="5"/>
  <c r="Z6947" i="5"/>
  <c r="Z6946" i="5"/>
  <c r="Z6945" i="5"/>
  <c r="Z6944" i="5"/>
  <c r="Z6943" i="5"/>
  <c r="Z6942" i="5"/>
  <c r="Z6941" i="5"/>
  <c r="Z6940" i="5"/>
  <c r="Z6939" i="5"/>
  <c r="Z6938" i="5"/>
  <c r="Z6937" i="5"/>
  <c r="Z6936" i="5"/>
  <c r="Z6935" i="5"/>
  <c r="Z6934" i="5"/>
  <c r="Z6933" i="5"/>
  <c r="Z6932" i="5"/>
  <c r="Z6931" i="5"/>
  <c r="Z6930" i="5"/>
  <c r="Z6929" i="5"/>
  <c r="Z6928" i="5"/>
  <c r="Z6927" i="5"/>
  <c r="Z6926" i="5"/>
  <c r="Z6925" i="5"/>
  <c r="Z6924" i="5"/>
  <c r="Z6923" i="5"/>
  <c r="Z6922" i="5"/>
  <c r="Z6921" i="5"/>
  <c r="Z6920" i="5"/>
  <c r="Z6919" i="5"/>
  <c r="Z6918" i="5"/>
  <c r="Z6917" i="5"/>
  <c r="Z6916" i="5"/>
  <c r="Z6915" i="5"/>
  <c r="Z6914" i="5"/>
  <c r="Z6913" i="5"/>
  <c r="Z6912" i="5"/>
  <c r="Z6911" i="5"/>
  <c r="Z6910" i="5"/>
  <c r="Z6909" i="5"/>
  <c r="Z6908" i="5"/>
  <c r="Z6907" i="5"/>
  <c r="Z6906" i="5"/>
  <c r="Z6905" i="5"/>
  <c r="Z6904" i="5"/>
  <c r="Z6903" i="5"/>
  <c r="Z6902" i="5"/>
  <c r="Z6901" i="5"/>
  <c r="Z6900" i="5"/>
  <c r="Z6899" i="5"/>
  <c r="Z6898" i="5"/>
  <c r="Z6897" i="5"/>
  <c r="Z6896" i="5"/>
  <c r="Z6895" i="5"/>
  <c r="Z6894" i="5"/>
  <c r="Z6893" i="5"/>
  <c r="Z6892" i="5"/>
  <c r="Z6891" i="5"/>
  <c r="Z6890" i="5"/>
  <c r="Z6889" i="5"/>
  <c r="Z6888" i="5"/>
  <c r="Z6887" i="5"/>
  <c r="Z6886" i="5"/>
  <c r="Z6885" i="5"/>
  <c r="Z6884" i="5"/>
  <c r="Z6883" i="5"/>
  <c r="Z6882" i="5"/>
  <c r="Z6881" i="5"/>
  <c r="Z6880" i="5"/>
  <c r="Z6879" i="5"/>
  <c r="Z6878" i="5"/>
  <c r="Z6877" i="5"/>
  <c r="Z6876" i="5"/>
  <c r="Z6875" i="5"/>
  <c r="Z6874" i="5"/>
  <c r="Z6873" i="5"/>
  <c r="Z6872" i="5"/>
  <c r="Z6871" i="5"/>
  <c r="Z6870" i="5"/>
  <c r="Z6869" i="5"/>
  <c r="Z6868" i="5"/>
  <c r="Z6867" i="5"/>
  <c r="Z6866" i="5"/>
  <c r="Z6865" i="5"/>
  <c r="Z6864" i="5"/>
  <c r="Z6863" i="5"/>
  <c r="Z6862" i="5"/>
  <c r="Z6861" i="5"/>
  <c r="Z6860" i="5"/>
  <c r="Z6859" i="5"/>
  <c r="Z6858" i="5"/>
  <c r="Z6857" i="5"/>
  <c r="Z6856" i="5"/>
  <c r="Z6855" i="5"/>
  <c r="Z6854" i="5"/>
  <c r="Z6853" i="5"/>
  <c r="Z6852" i="5"/>
  <c r="Z6851" i="5"/>
  <c r="Z6850" i="5"/>
  <c r="Z6849" i="5"/>
  <c r="Z6848" i="5"/>
  <c r="Z6847" i="5"/>
  <c r="Z6846" i="5"/>
  <c r="Z6845" i="5"/>
  <c r="Z6844" i="5"/>
  <c r="Z6843" i="5"/>
  <c r="Z6842" i="5"/>
  <c r="Z6841" i="5"/>
  <c r="Z6840" i="5"/>
  <c r="Z6839" i="5"/>
  <c r="Z6838" i="5"/>
  <c r="Z6837" i="5"/>
  <c r="Z6836" i="5"/>
  <c r="Z6835" i="5"/>
  <c r="Z6834" i="5"/>
  <c r="Z6833" i="5"/>
  <c r="Z6832" i="5"/>
  <c r="Z6831" i="5"/>
  <c r="Z6830" i="5"/>
  <c r="Z6829" i="5"/>
  <c r="Z6828" i="5"/>
  <c r="Z6827" i="5"/>
  <c r="Z6826" i="5"/>
  <c r="Z6825" i="5"/>
  <c r="Z6824" i="5"/>
  <c r="Z6823" i="5"/>
  <c r="Z6822" i="5"/>
  <c r="Z6821" i="5"/>
  <c r="Z6820" i="5"/>
  <c r="Z6819" i="5"/>
  <c r="Z6818" i="5"/>
  <c r="Z6817" i="5"/>
  <c r="Z6816" i="5"/>
  <c r="Z6815" i="5"/>
  <c r="Z6814" i="5"/>
  <c r="Z6813" i="5"/>
  <c r="Z6812" i="5"/>
  <c r="Z6811" i="5"/>
  <c r="Z6810" i="5"/>
  <c r="Z6809" i="5"/>
  <c r="Z6808" i="5"/>
  <c r="Z6807" i="5"/>
  <c r="Z6806" i="5"/>
  <c r="Z6805" i="5"/>
  <c r="Z6804" i="5"/>
  <c r="Z6803" i="5"/>
  <c r="Z6802" i="5"/>
  <c r="Z6801" i="5"/>
  <c r="Z6800" i="5"/>
  <c r="Z6799" i="5"/>
  <c r="Z6798" i="5"/>
  <c r="Z6797" i="5"/>
  <c r="Z6796" i="5"/>
  <c r="Z6795" i="5"/>
  <c r="Z6794" i="5"/>
  <c r="Z6793" i="5"/>
  <c r="Z6792" i="5"/>
  <c r="Z6791" i="5"/>
  <c r="Z6790" i="5"/>
  <c r="Z6789" i="5"/>
  <c r="Z6788" i="5"/>
  <c r="Z6787" i="5"/>
  <c r="Z6786" i="5"/>
  <c r="Z6785" i="5"/>
  <c r="Z6784" i="5"/>
  <c r="Z6783" i="5"/>
  <c r="Z6782" i="5"/>
  <c r="Z6781" i="5"/>
  <c r="Z6780" i="5"/>
  <c r="Z6779" i="5"/>
  <c r="Z6778" i="5"/>
  <c r="Z6777" i="5"/>
  <c r="Z6776" i="5"/>
  <c r="Z6775" i="5"/>
  <c r="Z6774" i="5"/>
  <c r="Z6773" i="5"/>
  <c r="Z6772" i="5"/>
  <c r="Z6771" i="5"/>
  <c r="Z6770" i="5"/>
  <c r="Z6769" i="5"/>
  <c r="Z6768" i="5"/>
  <c r="Z6767" i="5"/>
  <c r="Z6766" i="5"/>
  <c r="Z6765" i="5"/>
  <c r="Z6764" i="5"/>
  <c r="Z6763" i="5"/>
  <c r="Z6762" i="5"/>
  <c r="Z6761" i="5"/>
  <c r="Z6760" i="5"/>
  <c r="Z6759" i="5"/>
  <c r="Z6758" i="5"/>
  <c r="Z6757" i="5"/>
  <c r="Z6756" i="5"/>
  <c r="Z6755" i="5"/>
  <c r="Z6754" i="5"/>
  <c r="Z6753" i="5"/>
  <c r="Z6752" i="5"/>
  <c r="Z6751" i="5"/>
  <c r="Z6750" i="5"/>
  <c r="Z6749" i="5"/>
  <c r="Z6748" i="5"/>
  <c r="Z6747" i="5"/>
  <c r="Z6746" i="5"/>
  <c r="Z6745" i="5"/>
  <c r="Z6744" i="5"/>
  <c r="Z6743" i="5"/>
  <c r="Z6742" i="5"/>
  <c r="Z6741" i="5"/>
  <c r="Z6740" i="5"/>
  <c r="Z6739" i="5"/>
  <c r="Z6738" i="5"/>
  <c r="Z6737" i="5"/>
  <c r="Z6736" i="5"/>
  <c r="Z6735" i="5"/>
  <c r="Z6734" i="5"/>
  <c r="Z6733" i="5"/>
  <c r="Z6732" i="5"/>
  <c r="Z6731" i="5"/>
  <c r="Z6730" i="5"/>
  <c r="Z6729" i="5"/>
  <c r="Z6728" i="5"/>
  <c r="Z6727" i="5"/>
  <c r="Z6726" i="5"/>
  <c r="Z6725" i="5"/>
  <c r="Z6724" i="5"/>
  <c r="Z6723" i="5"/>
  <c r="Z6722" i="5"/>
  <c r="Z6721" i="5"/>
  <c r="Z6720" i="5"/>
  <c r="Z6719" i="5"/>
  <c r="Z6718" i="5"/>
  <c r="Z6717" i="5"/>
  <c r="Z6716" i="5"/>
  <c r="Z6715" i="5"/>
  <c r="Z6714" i="5"/>
  <c r="Z6713" i="5"/>
  <c r="Z6712" i="5"/>
  <c r="Z6711" i="5"/>
  <c r="Z6710" i="5"/>
  <c r="Z6709" i="5"/>
  <c r="Z6708" i="5"/>
  <c r="Z6707" i="5"/>
  <c r="Z6706" i="5"/>
  <c r="Z6705" i="5"/>
  <c r="Z6704" i="5"/>
  <c r="Z6703" i="5"/>
  <c r="Z6702" i="5"/>
  <c r="Z6701" i="5"/>
  <c r="Z6700" i="5"/>
  <c r="Z6699" i="5"/>
  <c r="Z6698" i="5"/>
  <c r="Z6697" i="5"/>
  <c r="Z6696" i="5"/>
  <c r="Z6695" i="5"/>
  <c r="Z6694" i="5"/>
  <c r="Z6693" i="5"/>
  <c r="Z6692" i="5"/>
  <c r="Z6691" i="5"/>
  <c r="Z6690" i="5"/>
  <c r="Z6689" i="5"/>
  <c r="Z6688" i="5"/>
  <c r="Z6687" i="5"/>
  <c r="Z6686" i="5"/>
  <c r="Z6685" i="5"/>
  <c r="Z6684" i="5"/>
  <c r="Z6683" i="5"/>
  <c r="Z6682" i="5"/>
  <c r="Z6681" i="5"/>
  <c r="Z6680" i="5"/>
  <c r="Z6679" i="5"/>
  <c r="Z6678" i="5"/>
  <c r="Z6677" i="5"/>
  <c r="Z6676" i="5"/>
  <c r="Z6675" i="5"/>
  <c r="Z6674" i="5"/>
  <c r="Z6673" i="5"/>
  <c r="Z6672" i="5"/>
  <c r="Z6671" i="5"/>
  <c r="Z6670" i="5"/>
  <c r="Z6669" i="5"/>
  <c r="Z6668" i="5"/>
  <c r="Z6667" i="5"/>
  <c r="Z6666" i="5"/>
  <c r="Z6665" i="5"/>
  <c r="Z6664" i="5"/>
  <c r="Z6663" i="5"/>
  <c r="Z6662" i="5"/>
  <c r="Z6661" i="5"/>
  <c r="Z6660" i="5"/>
  <c r="Z6659" i="5"/>
  <c r="Z6658" i="5"/>
  <c r="Z6657" i="5"/>
  <c r="Z6656" i="5"/>
  <c r="Z6655" i="5"/>
  <c r="Z6654" i="5"/>
  <c r="Z6653" i="5"/>
  <c r="Z6652" i="5"/>
  <c r="Z6651" i="5"/>
  <c r="Z6650" i="5"/>
  <c r="Z6649" i="5"/>
  <c r="Z6648" i="5"/>
  <c r="Z6647" i="5"/>
  <c r="Z6646" i="5"/>
  <c r="Z6645" i="5"/>
  <c r="Z6644" i="5"/>
  <c r="Z6643" i="5"/>
  <c r="Z6642" i="5"/>
  <c r="Z6641" i="5"/>
  <c r="Z6640" i="5"/>
  <c r="Z6639" i="5"/>
  <c r="Z6638" i="5"/>
  <c r="Z6637" i="5"/>
  <c r="Z6636" i="5"/>
  <c r="Z6635" i="5"/>
  <c r="Z6634" i="5"/>
  <c r="Z6633" i="5"/>
  <c r="Z6632" i="5"/>
  <c r="Z6631" i="5"/>
  <c r="Z6630" i="5"/>
  <c r="Z6629" i="5"/>
  <c r="Z6628" i="5"/>
  <c r="Z6627" i="5"/>
  <c r="Z6626" i="5"/>
  <c r="Z6625" i="5"/>
  <c r="Z6624" i="5"/>
  <c r="Z6623" i="5"/>
  <c r="Z6622" i="5"/>
  <c r="Z6621" i="5"/>
  <c r="Z6620" i="5"/>
  <c r="Z6619" i="5"/>
  <c r="Z6618" i="5"/>
  <c r="Z6617" i="5"/>
  <c r="Z6616" i="5"/>
  <c r="Z6615" i="5"/>
  <c r="Z6614" i="5"/>
  <c r="Z6613" i="5"/>
  <c r="Z6612" i="5"/>
  <c r="Z6611" i="5"/>
  <c r="Z6610" i="5"/>
  <c r="Z6609" i="5"/>
  <c r="Z6608" i="5"/>
  <c r="Z6607" i="5"/>
  <c r="Z6606" i="5"/>
  <c r="Z6605" i="5"/>
  <c r="Z6604" i="5"/>
  <c r="Z6603" i="5"/>
  <c r="Z6602" i="5"/>
  <c r="Z6601" i="5"/>
  <c r="Z6600" i="5"/>
  <c r="Z6599" i="5"/>
  <c r="Z6598" i="5"/>
  <c r="Z6597" i="5"/>
  <c r="Z6596" i="5"/>
  <c r="Z6595" i="5"/>
  <c r="Z6594" i="5"/>
  <c r="Z6593" i="5"/>
  <c r="Z6592" i="5"/>
  <c r="Z6591" i="5"/>
  <c r="Z6590" i="5"/>
  <c r="Z6589" i="5"/>
  <c r="Z6588" i="5"/>
  <c r="Z6587" i="5"/>
  <c r="Z6586" i="5"/>
  <c r="Z6585" i="5"/>
  <c r="Z6584" i="5"/>
  <c r="Z6583" i="5"/>
  <c r="Z6582" i="5"/>
  <c r="Z6581" i="5"/>
  <c r="Z6580" i="5"/>
  <c r="Z6579" i="5"/>
  <c r="Z6578" i="5"/>
  <c r="Z6577" i="5"/>
  <c r="Z6576" i="5"/>
  <c r="Z6575" i="5"/>
  <c r="Z6574" i="5"/>
  <c r="Z6573" i="5"/>
  <c r="Z6572" i="5"/>
  <c r="Z6571" i="5"/>
  <c r="Z6570" i="5"/>
  <c r="Z6569" i="5"/>
  <c r="Z6568" i="5"/>
  <c r="Z6567" i="5"/>
  <c r="Z6566" i="5"/>
  <c r="Z6565" i="5"/>
  <c r="Z6564" i="5"/>
  <c r="Z6563" i="5"/>
  <c r="Z6562" i="5"/>
  <c r="Z6561" i="5"/>
  <c r="Z6560" i="5"/>
  <c r="Z6559" i="5"/>
  <c r="Z6558" i="5"/>
  <c r="Z6557" i="5"/>
  <c r="Z6556" i="5"/>
  <c r="Z6555" i="5"/>
  <c r="Z6554" i="5"/>
  <c r="Z6553" i="5"/>
  <c r="Z6552" i="5"/>
  <c r="Z6551" i="5"/>
  <c r="Z6550" i="5"/>
  <c r="Z6549" i="5"/>
  <c r="Z6548" i="5"/>
  <c r="Z6547" i="5"/>
  <c r="Z6546" i="5"/>
  <c r="Z6545" i="5"/>
  <c r="Z6544" i="5"/>
  <c r="Z6543" i="5"/>
  <c r="Z6542" i="5"/>
  <c r="Z6541" i="5"/>
  <c r="Z6540" i="5"/>
  <c r="Z6539" i="5"/>
  <c r="Z6538" i="5"/>
  <c r="Z6537" i="5"/>
  <c r="Z6536" i="5"/>
  <c r="Z6535" i="5"/>
  <c r="Z6534" i="5"/>
  <c r="Z6533" i="5"/>
  <c r="Z6532" i="5"/>
  <c r="Z6531" i="5"/>
  <c r="Z6530" i="5"/>
  <c r="Z6529" i="5"/>
  <c r="Z6528" i="5"/>
  <c r="Z6527" i="5"/>
  <c r="Z6526" i="5"/>
  <c r="Z6525" i="5"/>
  <c r="Z6524" i="5"/>
  <c r="Z6523" i="5"/>
  <c r="Z6522" i="5"/>
  <c r="Z6521" i="5"/>
  <c r="Z6520" i="5"/>
  <c r="Z6519" i="5"/>
  <c r="Z6518" i="5"/>
  <c r="Z6517" i="5"/>
  <c r="Z6516" i="5"/>
  <c r="Z6515" i="5"/>
  <c r="Z6514" i="5"/>
  <c r="Z6513" i="5"/>
  <c r="Z6512" i="5"/>
  <c r="Z6511" i="5"/>
  <c r="Z6510" i="5"/>
  <c r="Z6509" i="5"/>
  <c r="Z6508" i="5"/>
  <c r="Z6507" i="5"/>
  <c r="Z6506" i="5"/>
  <c r="Z6505" i="5"/>
  <c r="Z6504" i="5"/>
  <c r="Z6503" i="5"/>
  <c r="Z6502" i="5"/>
  <c r="Z6501" i="5"/>
  <c r="Z6500" i="5"/>
  <c r="Z6499" i="5"/>
  <c r="Z6498" i="5"/>
  <c r="Z6497" i="5"/>
  <c r="Z6496" i="5"/>
  <c r="Z6495" i="5"/>
  <c r="Z6494" i="5"/>
  <c r="Z6493" i="5"/>
  <c r="Z6492" i="5"/>
  <c r="Z6491" i="5"/>
  <c r="Z6490" i="5"/>
  <c r="Z6489" i="5"/>
  <c r="Z6488" i="5"/>
  <c r="Z6487" i="5"/>
  <c r="Z6486" i="5"/>
  <c r="Z6485" i="5"/>
  <c r="Z6484" i="5"/>
  <c r="Z6483" i="5"/>
  <c r="Z6482" i="5"/>
  <c r="Z6481" i="5"/>
  <c r="Z6480" i="5"/>
  <c r="Z6479" i="5"/>
  <c r="Z6478" i="5"/>
  <c r="Z6477" i="5"/>
  <c r="Z6476" i="5"/>
  <c r="Z6475" i="5"/>
  <c r="Z6474" i="5"/>
  <c r="Z6473" i="5"/>
  <c r="Z6472" i="5"/>
  <c r="Z6471" i="5"/>
  <c r="Z6470" i="5"/>
  <c r="Z6469" i="5"/>
  <c r="Z6468" i="5"/>
  <c r="Z6467" i="5"/>
  <c r="Z6466" i="5"/>
  <c r="Z6465" i="5"/>
  <c r="Z6464" i="5"/>
  <c r="Z6463" i="5"/>
  <c r="Z6462" i="5"/>
  <c r="Z6461" i="5"/>
  <c r="Z6460" i="5"/>
  <c r="Z6459" i="5"/>
  <c r="Z6458" i="5"/>
  <c r="Z6457" i="5"/>
  <c r="Z6456" i="5"/>
  <c r="Z6455" i="5"/>
  <c r="Z6454" i="5"/>
  <c r="Z6453" i="5"/>
  <c r="Z6452" i="5"/>
  <c r="Z6451" i="5"/>
  <c r="Z6450" i="5"/>
  <c r="Z6449" i="5"/>
  <c r="Z6448" i="5"/>
  <c r="Z6447" i="5"/>
  <c r="Z6446" i="5"/>
  <c r="Z6445" i="5"/>
  <c r="Z6444" i="5"/>
  <c r="Z6443" i="5"/>
  <c r="Z6442" i="5"/>
  <c r="Z6441" i="5"/>
  <c r="Z6440" i="5"/>
  <c r="Z6439" i="5"/>
  <c r="Z6438" i="5"/>
  <c r="Z6437" i="5"/>
  <c r="Z6436" i="5"/>
  <c r="Z6435" i="5"/>
  <c r="Z6434" i="5"/>
  <c r="Z6433" i="5"/>
  <c r="Z6432" i="5"/>
  <c r="Z6431" i="5"/>
  <c r="Z6430" i="5"/>
  <c r="Z6429" i="5"/>
  <c r="Z6428" i="5"/>
  <c r="Z6427" i="5"/>
  <c r="Z6426" i="5"/>
  <c r="Z6425" i="5"/>
  <c r="Z6424" i="5"/>
  <c r="Z6423" i="5"/>
  <c r="Z6422" i="5"/>
  <c r="Z6421" i="5"/>
  <c r="Z6420" i="5"/>
  <c r="Z6419" i="5"/>
  <c r="Z6418" i="5"/>
  <c r="Z6417" i="5"/>
  <c r="Z6416" i="5"/>
  <c r="Z6415" i="5"/>
  <c r="Z6414" i="5"/>
  <c r="Z6413" i="5"/>
  <c r="Z6412" i="5"/>
  <c r="Z6411" i="5"/>
  <c r="Z6410" i="5"/>
  <c r="Z6409" i="5"/>
  <c r="Z6408" i="5"/>
  <c r="Z6407" i="5"/>
  <c r="Z6406" i="5"/>
  <c r="Z6405" i="5"/>
  <c r="Z6404" i="5"/>
  <c r="Z6403" i="5"/>
  <c r="Z6402" i="5"/>
  <c r="Z6401" i="5"/>
  <c r="Z6400" i="5"/>
  <c r="Z6399" i="5"/>
  <c r="Z6398" i="5"/>
  <c r="Z6397" i="5"/>
  <c r="Z6396" i="5"/>
  <c r="Z6395" i="5"/>
  <c r="Z6394" i="5"/>
  <c r="Z6393" i="5"/>
  <c r="Z6392" i="5"/>
  <c r="Z6391" i="5"/>
  <c r="Z6390" i="5"/>
  <c r="Z6389" i="5"/>
  <c r="Z6388" i="5"/>
  <c r="Z6387" i="5"/>
  <c r="Z6386" i="5"/>
  <c r="Z6385" i="5"/>
  <c r="Z6384" i="5"/>
  <c r="Z6383" i="5"/>
  <c r="Z6382" i="5"/>
  <c r="Z6381" i="5"/>
  <c r="Z6380" i="5"/>
  <c r="Z6379" i="5"/>
  <c r="Z6378" i="5"/>
  <c r="Z6377" i="5"/>
  <c r="Z6376" i="5"/>
  <c r="Z6375" i="5"/>
  <c r="Z6374" i="5"/>
  <c r="Z6373" i="5"/>
  <c r="Z6372" i="5"/>
  <c r="Z6371" i="5"/>
  <c r="Z6370" i="5"/>
  <c r="Z6369" i="5"/>
  <c r="Z6368" i="5"/>
  <c r="Z6367" i="5"/>
  <c r="Z6366" i="5"/>
  <c r="Z6365" i="5"/>
  <c r="Z6364" i="5"/>
  <c r="Z6363" i="5"/>
  <c r="Z6362" i="5"/>
  <c r="Z6361" i="5"/>
  <c r="Z6360" i="5"/>
  <c r="Z6359" i="5"/>
  <c r="Z6358" i="5"/>
  <c r="Z6357" i="5"/>
  <c r="Z6356" i="5"/>
  <c r="Z6355" i="5"/>
  <c r="Z6354" i="5"/>
  <c r="Z6353" i="5"/>
  <c r="Z6352" i="5"/>
  <c r="Z6351" i="5"/>
  <c r="Z6350" i="5"/>
  <c r="Z6349" i="5"/>
  <c r="Z6348" i="5"/>
  <c r="Z6347" i="5"/>
  <c r="Z6346" i="5"/>
  <c r="Z6345" i="5"/>
  <c r="Z6344" i="5"/>
  <c r="Z6343" i="5"/>
  <c r="Z6342" i="5"/>
  <c r="Z6341" i="5"/>
  <c r="Z6340" i="5"/>
  <c r="Z6339" i="5"/>
  <c r="Z6338" i="5"/>
  <c r="Z6337" i="5"/>
  <c r="Z6336" i="5"/>
  <c r="Z6335" i="5"/>
  <c r="Z6334" i="5"/>
  <c r="Z6333" i="5"/>
  <c r="Z6332" i="5"/>
  <c r="Z6331" i="5"/>
  <c r="Z6330" i="5"/>
  <c r="Z6329" i="5"/>
  <c r="Z6328" i="5"/>
  <c r="Z6327" i="5"/>
  <c r="Z6326" i="5"/>
  <c r="Z6325" i="5"/>
  <c r="Z6324" i="5"/>
  <c r="Z6323" i="5"/>
  <c r="Z6322" i="5"/>
  <c r="Z6321" i="5"/>
  <c r="Z6320" i="5"/>
  <c r="Z6319" i="5"/>
  <c r="Z6318" i="5"/>
  <c r="Z6317" i="5"/>
  <c r="Z6316" i="5"/>
  <c r="Z6315" i="5"/>
  <c r="Z6314" i="5"/>
  <c r="Z6313" i="5"/>
  <c r="Z6312" i="5"/>
  <c r="Z6311" i="5"/>
  <c r="Z6310" i="5"/>
  <c r="Z6309" i="5"/>
  <c r="Z6308" i="5"/>
  <c r="Z6307" i="5"/>
  <c r="Z6306" i="5"/>
  <c r="Z6305" i="5"/>
  <c r="Z6304" i="5"/>
  <c r="Z6303" i="5"/>
  <c r="Z6302" i="5"/>
  <c r="Z6301" i="5"/>
  <c r="Z6300" i="5"/>
  <c r="Z6299" i="5"/>
  <c r="Z6298" i="5"/>
  <c r="Z6297" i="5"/>
  <c r="Z6296" i="5"/>
  <c r="Z6295" i="5"/>
  <c r="Z6294" i="5"/>
  <c r="Z6293" i="5"/>
  <c r="Z6292" i="5"/>
  <c r="Z6291" i="5"/>
  <c r="Z6290" i="5"/>
  <c r="Z6289" i="5"/>
  <c r="Z6288" i="5"/>
  <c r="Z6287" i="5"/>
  <c r="Z6286" i="5"/>
  <c r="Z6285" i="5"/>
  <c r="Z6284" i="5"/>
  <c r="Z6283" i="5"/>
  <c r="Z6282" i="5"/>
  <c r="Z6281" i="5"/>
  <c r="Z6280" i="5"/>
  <c r="Z6279" i="5"/>
  <c r="Z6278" i="5"/>
  <c r="Z6277" i="5"/>
  <c r="Z6276" i="5"/>
  <c r="Z6275" i="5"/>
  <c r="Z6274" i="5"/>
  <c r="Z6273" i="5"/>
  <c r="Z6272" i="5"/>
  <c r="Z6271" i="5"/>
  <c r="Z6270" i="5"/>
  <c r="Z6269" i="5"/>
  <c r="Z6268" i="5"/>
  <c r="Z6267" i="5"/>
  <c r="Z6266" i="5"/>
  <c r="Z6265" i="5"/>
  <c r="Z6264" i="5"/>
  <c r="Z6263" i="5"/>
  <c r="Z6262" i="5"/>
  <c r="Z6261" i="5"/>
  <c r="Z6260" i="5"/>
  <c r="Z6259" i="5"/>
  <c r="Z6258" i="5"/>
  <c r="Z6257" i="5"/>
  <c r="Z6256" i="5"/>
  <c r="Z6255" i="5"/>
  <c r="Z6254" i="5"/>
  <c r="Z6253" i="5"/>
  <c r="Z6252" i="5"/>
  <c r="Z6251" i="5"/>
  <c r="Z6250" i="5"/>
  <c r="Z6249" i="5"/>
  <c r="Z6248" i="5"/>
  <c r="Z6247" i="5"/>
  <c r="Z6246" i="5"/>
  <c r="Z6245" i="5"/>
  <c r="Z6244" i="5"/>
  <c r="Z6243" i="5"/>
  <c r="Z6242" i="5"/>
  <c r="Z6241" i="5"/>
  <c r="Z6240" i="5"/>
  <c r="Z6239" i="5"/>
  <c r="Z6238" i="5"/>
  <c r="Z6237" i="5"/>
  <c r="Z6236" i="5"/>
  <c r="Z6235" i="5"/>
  <c r="Z6234" i="5"/>
  <c r="Z6233" i="5"/>
  <c r="Z6232" i="5"/>
  <c r="Z6231" i="5"/>
  <c r="Z6230" i="5"/>
  <c r="Z6229" i="5"/>
  <c r="Z6228" i="5"/>
  <c r="Z6227" i="5"/>
  <c r="Z6226" i="5"/>
  <c r="Z6225" i="5"/>
  <c r="Z6224" i="5"/>
  <c r="Z6223" i="5"/>
  <c r="Z6222" i="5"/>
  <c r="Z6221" i="5"/>
  <c r="Z6220" i="5"/>
  <c r="Z6219" i="5"/>
  <c r="Z6218" i="5"/>
  <c r="Z6217" i="5"/>
  <c r="Z6216" i="5"/>
  <c r="Z6215" i="5"/>
  <c r="Z6214" i="5"/>
  <c r="Z6213" i="5"/>
  <c r="Z6212" i="5"/>
  <c r="Z6211" i="5"/>
  <c r="Z6210" i="5"/>
  <c r="Z6209" i="5"/>
  <c r="Z6208" i="5"/>
  <c r="Z6207" i="5"/>
  <c r="Z6206" i="5"/>
  <c r="Z6205" i="5"/>
  <c r="Z6204" i="5"/>
  <c r="Z6203" i="5"/>
  <c r="Z6202" i="5"/>
  <c r="Z6201" i="5"/>
  <c r="Z6200" i="5"/>
  <c r="Z6199" i="5"/>
  <c r="Z6198" i="5"/>
  <c r="Z6197" i="5"/>
  <c r="Z6196" i="5"/>
  <c r="Z6195" i="5"/>
  <c r="Z6194" i="5"/>
  <c r="Z6193" i="5"/>
  <c r="Z6192" i="5"/>
  <c r="Z6191" i="5"/>
  <c r="Z6190" i="5"/>
  <c r="Z6189" i="5"/>
  <c r="Z6188" i="5"/>
  <c r="Z6187" i="5"/>
  <c r="Z6186" i="5"/>
  <c r="Z6185" i="5"/>
  <c r="Z6184" i="5"/>
  <c r="Z6183" i="5"/>
  <c r="Z6182" i="5"/>
  <c r="Z6181" i="5"/>
  <c r="Z6180" i="5"/>
  <c r="Z6179" i="5"/>
  <c r="Z6178" i="5"/>
  <c r="Z6177" i="5"/>
  <c r="Z6176" i="5"/>
  <c r="Z6175" i="5"/>
  <c r="Z6174" i="5"/>
  <c r="Z6173" i="5"/>
  <c r="Z6172" i="5"/>
  <c r="Z6171" i="5"/>
  <c r="Z6170" i="5"/>
  <c r="Z6169" i="5"/>
  <c r="Z6168" i="5"/>
  <c r="Z6167" i="5"/>
  <c r="Z6166" i="5"/>
  <c r="Z6165" i="5"/>
  <c r="Z6164" i="5"/>
  <c r="Z6163" i="5"/>
  <c r="Z6162" i="5"/>
  <c r="Z6161" i="5"/>
  <c r="Z6160" i="5"/>
  <c r="Z6159" i="5"/>
  <c r="Z6158" i="5"/>
  <c r="Z6157" i="5"/>
  <c r="Z6156" i="5"/>
  <c r="Z6155" i="5"/>
  <c r="Z6154" i="5"/>
  <c r="Z6153" i="5"/>
  <c r="Z6152" i="5"/>
  <c r="Z6151" i="5"/>
  <c r="Z6150" i="5"/>
  <c r="Z6149" i="5"/>
  <c r="Z6148" i="5"/>
  <c r="Z6147" i="5"/>
  <c r="Z6146" i="5"/>
  <c r="Z6145" i="5"/>
  <c r="Z6144" i="5"/>
  <c r="Z6143" i="5"/>
  <c r="Z6142" i="5"/>
  <c r="Z6141" i="5"/>
  <c r="Z6140" i="5"/>
  <c r="Z6139" i="5"/>
  <c r="Z6138" i="5"/>
  <c r="Z6137" i="5"/>
  <c r="Z6136" i="5"/>
  <c r="Z6135" i="5"/>
  <c r="Z6134" i="5"/>
  <c r="Z6133" i="5"/>
  <c r="Z6132" i="5"/>
  <c r="Z6131" i="5"/>
  <c r="Z6130" i="5"/>
  <c r="Z6129" i="5"/>
  <c r="Z6128" i="5"/>
  <c r="Z6127" i="5"/>
  <c r="Z6126" i="5"/>
  <c r="Z6125" i="5"/>
  <c r="Z6124" i="5"/>
  <c r="Z6123" i="5"/>
  <c r="Z6122" i="5"/>
  <c r="Z6121" i="5"/>
  <c r="Z6120" i="5"/>
  <c r="Z6119" i="5"/>
  <c r="Z6118" i="5"/>
  <c r="Z6117" i="5"/>
  <c r="Z6116" i="5"/>
  <c r="Z6115" i="5"/>
  <c r="Z6114" i="5"/>
  <c r="Z6113" i="5"/>
  <c r="Z6112" i="5"/>
  <c r="Z6111" i="5"/>
  <c r="Z6110" i="5"/>
  <c r="Z6109" i="5"/>
  <c r="Z6108" i="5"/>
  <c r="Z6107" i="5"/>
  <c r="Z6106" i="5"/>
  <c r="Z6105" i="5"/>
  <c r="Z6104" i="5"/>
  <c r="Z6103" i="5"/>
  <c r="Z6102" i="5"/>
  <c r="Z6101" i="5"/>
  <c r="Z6100" i="5"/>
  <c r="Z6099" i="5"/>
  <c r="Z6098" i="5"/>
  <c r="Z6097" i="5"/>
  <c r="Z6096" i="5"/>
  <c r="Z6095" i="5"/>
  <c r="Z6094" i="5"/>
  <c r="Z6093" i="5"/>
  <c r="Z6092" i="5"/>
  <c r="Z6091" i="5"/>
  <c r="Z6090" i="5"/>
  <c r="Z6089" i="5"/>
  <c r="Z6088" i="5"/>
  <c r="Z6087" i="5"/>
  <c r="Z6086" i="5"/>
  <c r="Z6085" i="5"/>
  <c r="Z6084" i="5"/>
  <c r="Z6083" i="5"/>
  <c r="Z6082" i="5"/>
  <c r="Z6081" i="5"/>
  <c r="Z6080" i="5"/>
  <c r="Z6079" i="5"/>
  <c r="Z6078" i="5"/>
  <c r="Z6077" i="5"/>
  <c r="Z6076" i="5"/>
  <c r="Z6075" i="5"/>
  <c r="Z6074" i="5"/>
  <c r="Z6073" i="5"/>
  <c r="Z6072" i="5"/>
  <c r="Z6071" i="5"/>
  <c r="Z6070" i="5"/>
  <c r="Z6069" i="5"/>
  <c r="Z6068" i="5"/>
  <c r="Z6067" i="5"/>
  <c r="Z6066" i="5"/>
  <c r="Z6065" i="5"/>
  <c r="Z6064" i="5"/>
  <c r="Z6063" i="5"/>
  <c r="Z6062" i="5"/>
  <c r="Z6061" i="5"/>
  <c r="Z6060" i="5"/>
  <c r="Z6059" i="5"/>
  <c r="Z6058" i="5"/>
  <c r="Z6057" i="5"/>
  <c r="Z6056" i="5"/>
  <c r="Z6055" i="5"/>
  <c r="Z6054" i="5"/>
  <c r="Z6053" i="5"/>
  <c r="Z6052" i="5"/>
  <c r="Z6051" i="5"/>
  <c r="Z6050" i="5"/>
  <c r="Z6049" i="5"/>
  <c r="Z6048" i="5"/>
  <c r="Z6047" i="5"/>
  <c r="Z6046" i="5"/>
  <c r="Z6045" i="5"/>
  <c r="Z6044" i="5"/>
  <c r="Z6043" i="5"/>
  <c r="Z6042" i="5"/>
  <c r="Z6041" i="5"/>
  <c r="Z6040" i="5"/>
  <c r="Z6039" i="5"/>
  <c r="Z6038" i="5"/>
  <c r="Z6037" i="5"/>
  <c r="Z6036" i="5"/>
  <c r="Z6035" i="5"/>
  <c r="Z6034" i="5"/>
  <c r="Z6033" i="5"/>
  <c r="Z6032" i="5"/>
  <c r="Z6031" i="5"/>
  <c r="Z6030" i="5"/>
  <c r="Z6029" i="5"/>
  <c r="Z6028" i="5"/>
  <c r="Z6027" i="5"/>
  <c r="Z6026" i="5"/>
  <c r="Z6025" i="5"/>
  <c r="Z6024" i="5"/>
  <c r="Z6023" i="5"/>
  <c r="Z6022" i="5"/>
  <c r="Z6021" i="5"/>
  <c r="Z6020" i="5"/>
  <c r="Z6019" i="5"/>
  <c r="Z6018" i="5"/>
  <c r="Z6017" i="5"/>
  <c r="Z6016" i="5"/>
  <c r="Z6015" i="5"/>
  <c r="Z6014" i="5"/>
  <c r="Z6013" i="5"/>
  <c r="Z6012" i="5"/>
  <c r="Z6011" i="5"/>
  <c r="Z6010" i="5"/>
  <c r="Z6009" i="5"/>
  <c r="Z6008" i="5"/>
  <c r="Z6007" i="5"/>
  <c r="Z6006" i="5"/>
  <c r="Z6005" i="5"/>
  <c r="Z6004" i="5"/>
  <c r="Z6003" i="5"/>
  <c r="Z6002" i="5"/>
  <c r="Z6001" i="5"/>
  <c r="Z6000" i="5"/>
  <c r="Z5999" i="5"/>
  <c r="Z5998" i="5"/>
  <c r="Z5997" i="5"/>
  <c r="Z5996" i="5"/>
  <c r="Z5995" i="5"/>
  <c r="Z5994" i="5"/>
  <c r="Z5993" i="5"/>
  <c r="Z5992" i="5"/>
  <c r="Z5991" i="5"/>
  <c r="Z5990" i="5"/>
  <c r="Z5989" i="5"/>
  <c r="Z5988" i="5"/>
  <c r="Z5987" i="5"/>
  <c r="Z5986" i="5"/>
  <c r="Z5985" i="5"/>
  <c r="Z5984" i="5"/>
  <c r="Z5983" i="5"/>
  <c r="Z5982" i="5"/>
  <c r="Z5981" i="5"/>
  <c r="Z5980" i="5"/>
  <c r="Z5979" i="5"/>
  <c r="Z5978" i="5"/>
  <c r="Z5977" i="5"/>
  <c r="Z5976" i="5"/>
  <c r="Z5975" i="5"/>
  <c r="Z5974" i="5"/>
  <c r="Z5973" i="5"/>
  <c r="Z5972" i="5"/>
  <c r="Z5971" i="5"/>
  <c r="Z5970" i="5"/>
  <c r="Z5969" i="5"/>
  <c r="Z5968" i="5"/>
  <c r="Z5967" i="5"/>
  <c r="Z5966" i="5"/>
  <c r="Z5965" i="5"/>
  <c r="Z5964" i="5"/>
  <c r="Z5963" i="5"/>
  <c r="Z5962" i="5"/>
  <c r="Z5961" i="5"/>
  <c r="Z5960" i="5"/>
  <c r="Z5959" i="5"/>
  <c r="Z5958" i="5"/>
  <c r="Z5957" i="5"/>
  <c r="Z5956" i="5"/>
  <c r="Z5955" i="5"/>
  <c r="Z5954" i="5"/>
  <c r="Z5953" i="5"/>
  <c r="Z5952" i="5"/>
  <c r="Z5951" i="5"/>
  <c r="Z5950" i="5"/>
  <c r="Z5949" i="5"/>
  <c r="Z5948" i="5"/>
  <c r="Z5947" i="5"/>
  <c r="Z5946" i="5"/>
  <c r="Z5945" i="5"/>
  <c r="Z5944" i="5"/>
  <c r="Z5943" i="5"/>
  <c r="Z5942" i="5"/>
  <c r="Z5941" i="5"/>
  <c r="Z5940" i="5"/>
  <c r="Z5939" i="5"/>
  <c r="Z5938" i="5"/>
  <c r="Z5937" i="5"/>
  <c r="Z5936" i="5"/>
  <c r="Z5935" i="5"/>
  <c r="Z5934" i="5"/>
  <c r="Z5933" i="5"/>
  <c r="Z5932" i="5"/>
  <c r="Z5931" i="5"/>
  <c r="Z5930" i="5"/>
  <c r="Z5929" i="5"/>
  <c r="Z5928" i="5"/>
  <c r="Z5927" i="5"/>
  <c r="Z5926" i="5"/>
  <c r="Z5925" i="5"/>
  <c r="Z5924" i="5"/>
  <c r="Z5923" i="5"/>
  <c r="Z5922" i="5"/>
  <c r="Z5921" i="5"/>
  <c r="Z5920" i="5"/>
  <c r="Z5919" i="5"/>
  <c r="Z5918" i="5"/>
  <c r="Z5917" i="5"/>
  <c r="Z5916" i="5"/>
  <c r="Z5915" i="5"/>
  <c r="Z5914" i="5"/>
  <c r="Z5913" i="5"/>
  <c r="Z5912" i="5"/>
  <c r="Z5911" i="5"/>
  <c r="Z5910" i="5"/>
  <c r="Z5909" i="5"/>
  <c r="Z5908" i="5"/>
  <c r="Z5907" i="5"/>
  <c r="Z5906" i="5"/>
  <c r="Z5905" i="5"/>
  <c r="Z5904" i="5"/>
  <c r="Z5903" i="5"/>
  <c r="Z5902" i="5"/>
  <c r="Z5901" i="5"/>
  <c r="Z5900" i="5"/>
  <c r="Z5899" i="5"/>
  <c r="Z5898" i="5"/>
  <c r="Z5897" i="5"/>
  <c r="Z5896" i="5"/>
  <c r="Z5895" i="5"/>
  <c r="Z5894" i="5"/>
  <c r="Z5893" i="5"/>
  <c r="Z5892" i="5"/>
  <c r="Z5891" i="5"/>
  <c r="Z5890" i="5"/>
  <c r="Z5889" i="5"/>
  <c r="Z5888" i="5"/>
  <c r="Z5887" i="5"/>
  <c r="Z5886" i="5"/>
  <c r="Z5885" i="5"/>
  <c r="Z5884" i="5"/>
  <c r="Z5883" i="5"/>
  <c r="Z5882" i="5"/>
  <c r="Z5881" i="5"/>
  <c r="Z5880" i="5"/>
  <c r="Z5879" i="5"/>
  <c r="Z5878" i="5"/>
  <c r="Z5877" i="5"/>
  <c r="Z5876" i="5"/>
  <c r="Z5875" i="5"/>
  <c r="Z5874" i="5"/>
  <c r="Z5873" i="5"/>
  <c r="Z5872" i="5"/>
  <c r="Z5871" i="5"/>
  <c r="Z5870" i="5"/>
  <c r="Z5869" i="5"/>
  <c r="Z5868" i="5"/>
  <c r="Z5867" i="5"/>
  <c r="Z5866" i="5"/>
  <c r="Z5865" i="5"/>
  <c r="Z5864" i="5"/>
  <c r="Z5863" i="5"/>
  <c r="Z5862" i="5"/>
  <c r="Z5861" i="5"/>
  <c r="Z5860" i="5"/>
  <c r="Z5859" i="5"/>
  <c r="Z5858" i="5"/>
  <c r="Z5857" i="5"/>
  <c r="Z5856" i="5"/>
  <c r="Z5855" i="5"/>
  <c r="Z5854" i="5"/>
  <c r="Z5853" i="5"/>
  <c r="Z5852" i="5"/>
  <c r="Z5851" i="5"/>
  <c r="Z5850" i="5"/>
  <c r="Z5849" i="5"/>
  <c r="Z5848" i="5"/>
  <c r="Z5847" i="5"/>
  <c r="Z5846" i="5"/>
  <c r="Z5845" i="5"/>
  <c r="Z5844" i="5"/>
  <c r="Z5843" i="5"/>
  <c r="Z5842" i="5"/>
  <c r="Z5841" i="5"/>
  <c r="Z5840" i="5"/>
  <c r="Z5839" i="5"/>
  <c r="Z5838" i="5"/>
  <c r="Z5837" i="5"/>
  <c r="Z5836" i="5"/>
  <c r="Z5835" i="5"/>
  <c r="Z5834" i="5"/>
  <c r="Z5833" i="5"/>
  <c r="Z5832" i="5"/>
  <c r="Z5831" i="5"/>
  <c r="Z5830" i="5"/>
  <c r="Z5829" i="5"/>
  <c r="Z5828" i="5"/>
  <c r="Z5827" i="5"/>
  <c r="Z5826" i="5"/>
  <c r="Z5825" i="5"/>
  <c r="Z5824" i="5"/>
  <c r="Z5823" i="5"/>
  <c r="Z5822" i="5"/>
  <c r="Z5821" i="5"/>
  <c r="Z5820" i="5"/>
  <c r="Z5819" i="5"/>
  <c r="Z5818" i="5"/>
  <c r="Z5817" i="5"/>
  <c r="Z5816" i="5"/>
  <c r="Z5815" i="5"/>
  <c r="Z5814" i="5"/>
  <c r="Z5813" i="5"/>
  <c r="Z5812" i="5"/>
  <c r="Z5811" i="5"/>
  <c r="Z5810" i="5"/>
  <c r="Z5809" i="5"/>
  <c r="Z5808" i="5"/>
  <c r="Z5807" i="5"/>
  <c r="Z5806" i="5"/>
  <c r="Z5805" i="5"/>
  <c r="Z5804" i="5"/>
  <c r="Z5803" i="5"/>
  <c r="Z5802" i="5"/>
  <c r="Z5801" i="5"/>
  <c r="Z5800" i="5"/>
  <c r="Z5799" i="5"/>
  <c r="Z5798" i="5"/>
  <c r="Z5797" i="5"/>
  <c r="Z5796" i="5"/>
  <c r="Z5795" i="5"/>
  <c r="Z5794" i="5"/>
  <c r="Z5793" i="5"/>
  <c r="Z5792" i="5"/>
  <c r="Z5791" i="5"/>
  <c r="Z5790" i="5"/>
  <c r="Z5789" i="5"/>
  <c r="Z5788" i="5"/>
  <c r="Z5787" i="5"/>
  <c r="Z5786" i="5"/>
  <c r="Z5785" i="5"/>
  <c r="Z5784" i="5"/>
  <c r="Z5783" i="5"/>
  <c r="Z5782" i="5"/>
  <c r="Z5781" i="5"/>
  <c r="Z5780" i="5"/>
  <c r="Z5779" i="5"/>
  <c r="Z5778" i="5"/>
  <c r="Z5777" i="5"/>
  <c r="Z5776" i="5"/>
  <c r="Z5775" i="5"/>
  <c r="Z5774" i="5"/>
  <c r="Z5773" i="5"/>
  <c r="Z5772" i="5"/>
  <c r="Z5771" i="5"/>
  <c r="Z5770" i="5"/>
  <c r="Z5769" i="5"/>
  <c r="Z5768" i="5"/>
  <c r="Z5767" i="5"/>
  <c r="Z5766" i="5"/>
  <c r="Z5765" i="5"/>
  <c r="Z5764" i="5"/>
  <c r="Z5763" i="5"/>
  <c r="Z5762" i="5"/>
  <c r="Z5761" i="5"/>
  <c r="Z5760" i="5"/>
  <c r="Z5759" i="5"/>
  <c r="Z5758" i="5"/>
  <c r="Z5757" i="5"/>
  <c r="Z5756" i="5"/>
  <c r="Z5755" i="5"/>
  <c r="Z5754" i="5"/>
  <c r="Z5753" i="5"/>
  <c r="Z5752" i="5"/>
  <c r="Z5751" i="5"/>
  <c r="Z5750" i="5"/>
  <c r="Z5749" i="5"/>
  <c r="Z5748" i="5"/>
  <c r="Z5747" i="5"/>
  <c r="Z5746" i="5"/>
  <c r="Z5745" i="5"/>
  <c r="Z5744" i="5"/>
  <c r="Z5743" i="5"/>
  <c r="Z5742" i="5"/>
  <c r="Z5741" i="5"/>
  <c r="Z5740" i="5"/>
  <c r="Z5739" i="5"/>
  <c r="Z5738" i="5"/>
  <c r="Z5737" i="5"/>
  <c r="Z5736" i="5"/>
  <c r="Z5735" i="5"/>
  <c r="Z5734" i="5"/>
  <c r="Z5733" i="5"/>
  <c r="Z5732" i="5"/>
  <c r="Z5731" i="5"/>
  <c r="Z5730" i="5"/>
  <c r="Z5729" i="5"/>
  <c r="Z5728" i="5"/>
  <c r="Z5727" i="5"/>
  <c r="Z5726" i="5"/>
  <c r="Z5725" i="5"/>
  <c r="Z5724" i="5"/>
  <c r="Z5723" i="5"/>
  <c r="Z5722" i="5"/>
  <c r="Z5721" i="5"/>
  <c r="Z5720" i="5"/>
  <c r="Z5719" i="5"/>
  <c r="Z5718" i="5"/>
  <c r="Z5717" i="5"/>
  <c r="Z5716" i="5"/>
  <c r="Z5715" i="5"/>
  <c r="Z5714" i="5"/>
  <c r="Z5713" i="5"/>
  <c r="Z5712" i="5"/>
  <c r="Z5711" i="5"/>
  <c r="Z5710" i="5"/>
  <c r="Z5709" i="5"/>
  <c r="Z5708" i="5"/>
  <c r="Z5707" i="5"/>
  <c r="Z5706" i="5"/>
  <c r="Z5705" i="5"/>
  <c r="Z5704" i="5"/>
  <c r="Z5703" i="5"/>
  <c r="Z5702" i="5"/>
  <c r="Z5701" i="5"/>
  <c r="Z5700" i="5"/>
  <c r="Z5699" i="5"/>
  <c r="Z5698" i="5"/>
  <c r="Z5697" i="5"/>
  <c r="Z5696" i="5"/>
  <c r="Z5695" i="5"/>
  <c r="Z5694" i="5"/>
  <c r="Z5693" i="5"/>
  <c r="Z5692" i="5"/>
  <c r="Z5691" i="5"/>
  <c r="Z5690" i="5"/>
  <c r="Z5689" i="5"/>
  <c r="Z5688" i="5"/>
  <c r="Z5687" i="5"/>
  <c r="Z5686" i="5"/>
  <c r="Z5685" i="5"/>
  <c r="Z5684" i="5"/>
  <c r="Z5683" i="5"/>
  <c r="Z5682" i="5"/>
  <c r="Z5681" i="5"/>
  <c r="Z5680" i="5"/>
  <c r="Z5679" i="5"/>
  <c r="Z5678" i="5"/>
  <c r="Z5677" i="5"/>
  <c r="Z5676" i="5"/>
  <c r="Z5675" i="5"/>
  <c r="Z5674" i="5"/>
  <c r="Z5673" i="5"/>
  <c r="Z5672" i="5"/>
  <c r="Z5671" i="5"/>
  <c r="Z5670" i="5"/>
  <c r="Z5669" i="5"/>
  <c r="Z5668" i="5"/>
  <c r="Z5667" i="5"/>
  <c r="Z5666" i="5"/>
  <c r="Z5665" i="5"/>
  <c r="Z5664" i="5"/>
  <c r="Z5663" i="5"/>
  <c r="Z5662" i="5"/>
  <c r="Z5661" i="5"/>
  <c r="Z5660" i="5"/>
  <c r="Z5659" i="5"/>
  <c r="Z5658" i="5"/>
  <c r="Z5657" i="5"/>
  <c r="Z5656" i="5"/>
  <c r="Z5655" i="5"/>
  <c r="Z5654" i="5"/>
  <c r="Z5653" i="5"/>
  <c r="Z5652" i="5"/>
  <c r="Z5651" i="5"/>
  <c r="Z5650" i="5"/>
  <c r="Z5649" i="5"/>
  <c r="Z5648" i="5"/>
  <c r="Z5647" i="5"/>
  <c r="Z5646" i="5"/>
  <c r="Z5645" i="5"/>
  <c r="Z5644" i="5"/>
  <c r="Z5643" i="5"/>
  <c r="Z5642" i="5"/>
  <c r="Z5641" i="5"/>
  <c r="Z5640" i="5"/>
  <c r="Z5639" i="5"/>
  <c r="Z5638" i="5"/>
  <c r="Z5637" i="5"/>
  <c r="Z5636" i="5"/>
  <c r="Z5635" i="5"/>
  <c r="Z5634" i="5"/>
  <c r="Z5633" i="5"/>
  <c r="Z5632" i="5"/>
  <c r="Z5631" i="5"/>
  <c r="Z5630" i="5"/>
  <c r="Z5629" i="5"/>
  <c r="Z5628" i="5"/>
  <c r="Z5627" i="5"/>
  <c r="Z5626" i="5"/>
  <c r="Z5625" i="5"/>
  <c r="Z5624" i="5"/>
  <c r="Z5623" i="5"/>
  <c r="Z5622" i="5"/>
  <c r="Z5621" i="5"/>
  <c r="Z5620" i="5"/>
  <c r="Z5619" i="5"/>
  <c r="Z5618" i="5"/>
  <c r="Z5617" i="5"/>
  <c r="Z5616" i="5"/>
  <c r="Z5615" i="5"/>
  <c r="Z5614" i="5"/>
  <c r="Z5613" i="5"/>
  <c r="Z5612" i="5"/>
  <c r="Z5611" i="5"/>
  <c r="Z5610" i="5"/>
  <c r="Z5609" i="5"/>
  <c r="Z5608" i="5"/>
  <c r="Z5607" i="5"/>
  <c r="Z5606" i="5"/>
  <c r="Z5605" i="5"/>
  <c r="Z5604" i="5"/>
  <c r="Z5603" i="5"/>
  <c r="Z5602" i="5"/>
  <c r="Z5601" i="5"/>
  <c r="Z5600" i="5"/>
  <c r="Z5599" i="5"/>
  <c r="Z5598" i="5"/>
  <c r="Z5597" i="5"/>
  <c r="Z5596" i="5"/>
  <c r="Z5595" i="5"/>
  <c r="Z5594" i="5"/>
  <c r="Z5593" i="5"/>
  <c r="Z5592" i="5"/>
  <c r="Z5591" i="5"/>
  <c r="Z5590" i="5"/>
  <c r="Z5589" i="5"/>
  <c r="Z5588" i="5"/>
  <c r="Z5587" i="5"/>
  <c r="Z5586" i="5"/>
  <c r="Z5585" i="5"/>
  <c r="Z5584" i="5"/>
  <c r="Z5583" i="5"/>
  <c r="Z5582" i="5"/>
  <c r="Z5581" i="5"/>
  <c r="Z5580" i="5"/>
  <c r="Z5579" i="5"/>
  <c r="Z5578" i="5"/>
  <c r="Z5577" i="5"/>
  <c r="Z5576" i="5"/>
  <c r="Z5575" i="5"/>
  <c r="Z5574" i="5"/>
  <c r="Z5573" i="5"/>
  <c r="Z5572" i="5"/>
  <c r="Z5571" i="5"/>
  <c r="Z5570" i="5"/>
  <c r="Z5569" i="5"/>
  <c r="Z5568" i="5"/>
  <c r="Z5567" i="5"/>
  <c r="Z5566" i="5"/>
  <c r="Z5565" i="5"/>
  <c r="Z5564" i="5"/>
  <c r="Z5563" i="5"/>
  <c r="Z5562" i="5"/>
  <c r="Z5561" i="5"/>
  <c r="Z5560" i="5"/>
  <c r="Z5559" i="5"/>
  <c r="Z5558" i="5"/>
  <c r="Z5557" i="5"/>
  <c r="Z5556" i="5"/>
  <c r="Z5555" i="5"/>
  <c r="Z5554" i="5"/>
  <c r="Z5553" i="5"/>
  <c r="Z5552" i="5"/>
  <c r="Z5551" i="5"/>
  <c r="Z5550" i="5"/>
  <c r="Z5549" i="5"/>
  <c r="Z5548" i="5"/>
  <c r="Z5547" i="5"/>
  <c r="Z5546" i="5"/>
  <c r="Z5545" i="5"/>
  <c r="Z5544" i="5"/>
  <c r="Z5543" i="5"/>
  <c r="Z5542" i="5"/>
  <c r="Z5541" i="5"/>
  <c r="Z5540" i="5"/>
  <c r="Z5539" i="5"/>
  <c r="Z5538" i="5"/>
  <c r="Z5537" i="5"/>
  <c r="Z5536" i="5"/>
  <c r="Z5535" i="5"/>
  <c r="Z5534" i="5"/>
  <c r="Z5533" i="5"/>
  <c r="Z5532" i="5"/>
  <c r="Z5531" i="5"/>
  <c r="Z5530" i="5"/>
  <c r="Z5529" i="5"/>
  <c r="Z5528" i="5"/>
  <c r="Z5527" i="5"/>
  <c r="Z5526" i="5"/>
  <c r="Z5525" i="5"/>
  <c r="Z5524" i="5"/>
  <c r="Z5523" i="5"/>
  <c r="Z5522" i="5"/>
  <c r="Z5521" i="5"/>
  <c r="Z5520" i="5"/>
  <c r="Z5519" i="5"/>
  <c r="Z5518" i="5"/>
  <c r="Z5517" i="5"/>
  <c r="Z5516" i="5"/>
  <c r="Z5515" i="5"/>
  <c r="Z5514" i="5"/>
  <c r="Z5513" i="5"/>
  <c r="Z5512" i="5"/>
  <c r="Z5511" i="5"/>
  <c r="Z5510" i="5"/>
  <c r="Z5509" i="5"/>
  <c r="Z5508" i="5"/>
  <c r="Z5507" i="5"/>
  <c r="Z5506" i="5"/>
  <c r="Z5505" i="5"/>
  <c r="Z5504" i="5"/>
  <c r="Z5503" i="5"/>
  <c r="Z5502" i="5"/>
  <c r="Z5501" i="5"/>
  <c r="Z5500" i="5"/>
  <c r="Z5499" i="5"/>
  <c r="Z5498" i="5"/>
  <c r="Z5497" i="5"/>
  <c r="Z5496" i="5"/>
  <c r="Z5495" i="5"/>
  <c r="Z5494" i="5"/>
  <c r="Z5493" i="5"/>
  <c r="Z5492" i="5"/>
  <c r="Z5491" i="5"/>
  <c r="Z5490" i="5"/>
  <c r="Z5489" i="5"/>
  <c r="Z5488" i="5"/>
  <c r="Z5487" i="5"/>
  <c r="Z5486" i="5"/>
  <c r="Z5485" i="5"/>
  <c r="Z5484" i="5"/>
  <c r="Z5483" i="5"/>
  <c r="Z5482" i="5"/>
  <c r="Z5481" i="5"/>
  <c r="Z5480" i="5"/>
  <c r="Z5479" i="5"/>
  <c r="Z5478" i="5"/>
  <c r="Z5477" i="5"/>
  <c r="Z5476" i="5"/>
  <c r="Z5475" i="5"/>
  <c r="Z5474" i="5"/>
  <c r="Z5473" i="5"/>
  <c r="Z5472" i="5"/>
  <c r="Z5471" i="5"/>
  <c r="Z5470" i="5"/>
  <c r="Z5469" i="5"/>
  <c r="Z5468" i="5"/>
  <c r="Z5467" i="5"/>
  <c r="Z5466" i="5"/>
  <c r="Z5465" i="5"/>
  <c r="Z5464" i="5"/>
  <c r="Z5463" i="5"/>
  <c r="Z5462" i="5"/>
  <c r="Z5461" i="5"/>
  <c r="Z5460" i="5"/>
  <c r="Z5459" i="5"/>
  <c r="Z5458" i="5"/>
  <c r="Z5457" i="5"/>
  <c r="Z5456" i="5"/>
  <c r="Z5455" i="5"/>
  <c r="Z5454" i="5"/>
  <c r="Z5453" i="5"/>
  <c r="Z5452" i="5"/>
  <c r="Z5451" i="5"/>
  <c r="Z5450" i="5"/>
  <c r="Z5449" i="5"/>
  <c r="Z5448" i="5"/>
  <c r="Z5447" i="5"/>
  <c r="Z5446" i="5"/>
  <c r="Z5445" i="5"/>
  <c r="Z5444" i="5"/>
  <c r="Z5443" i="5"/>
  <c r="Z5442" i="5"/>
  <c r="Z5441" i="5"/>
  <c r="Z5440" i="5"/>
  <c r="Z5439" i="5"/>
  <c r="Z5438" i="5"/>
  <c r="Z5437" i="5"/>
  <c r="Z5436" i="5"/>
  <c r="Z5435" i="5"/>
  <c r="Z5434" i="5"/>
  <c r="Z5433" i="5"/>
  <c r="Z5432" i="5"/>
  <c r="Z5431" i="5"/>
  <c r="Z5430" i="5"/>
  <c r="Z5429" i="5"/>
  <c r="Z5428" i="5"/>
  <c r="Z5427" i="5"/>
  <c r="Z5426" i="5"/>
  <c r="Z5425" i="5"/>
  <c r="Z5424" i="5"/>
  <c r="Z5423" i="5"/>
  <c r="Z5422" i="5"/>
  <c r="Z5421" i="5"/>
  <c r="Z5420" i="5"/>
  <c r="Z5419" i="5"/>
  <c r="Z5418" i="5"/>
  <c r="Z5417" i="5"/>
  <c r="Z5416" i="5"/>
  <c r="Z5415" i="5"/>
  <c r="Z5414" i="5"/>
  <c r="Z5413" i="5"/>
  <c r="Z5412" i="5"/>
  <c r="Z5411" i="5"/>
  <c r="Z5410" i="5"/>
  <c r="Z5409" i="5"/>
  <c r="Z5408" i="5"/>
  <c r="Z5407" i="5"/>
  <c r="Z5406" i="5"/>
  <c r="Z5405" i="5"/>
  <c r="Z5404" i="5"/>
  <c r="Z5403" i="5"/>
  <c r="Z5402" i="5"/>
  <c r="Z5401" i="5"/>
  <c r="Z5400" i="5"/>
  <c r="Z5399" i="5"/>
  <c r="Z5398" i="5"/>
  <c r="Z5397" i="5"/>
  <c r="Z5396" i="5"/>
  <c r="Z5395" i="5"/>
  <c r="Z5394" i="5"/>
  <c r="Z5393" i="5"/>
  <c r="Z5392" i="5"/>
  <c r="Z5391" i="5"/>
  <c r="Z5390" i="5"/>
  <c r="Z5389" i="5"/>
  <c r="Z5388" i="5"/>
  <c r="Z5387" i="5"/>
  <c r="Z5386" i="5"/>
  <c r="Z5385" i="5"/>
  <c r="Z5384" i="5"/>
  <c r="Z5383" i="5"/>
  <c r="Z5382" i="5"/>
  <c r="Z5381" i="5"/>
  <c r="Z5380" i="5"/>
  <c r="Z5379" i="5"/>
  <c r="Z5378" i="5"/>
  <c r="Z5377" i="5"/>
  <c r="Z5376" i="5"/>
  <c r="Z5375" i="5"/>
  <c r="Z5374" i="5"/>
  <c r="Z5373" i="5"/>
  <c r="Z5372" i="5"/>
  <c r="Z5371" i="5"/>
  <c r="Z5370" i="5"/>
  <c r="Z5369" i="5"/>
  <c r="Z5368" i="5"/>
  <c r="Z5367" i="5"/>
  <c r="Z5366" i="5"/>
  <c r="Z5365" i="5"/>
  <c r="Z5364" i="5"/>
  <c r="Z5363" i="5"/>
  <c r="Z5362" i="5"/>
  <c r="Z5361" i="5"/>
  <c r="Z5360" i="5"/>
  <c r="Z5359" i="5"/>
  <c r="Z5358" i="5"/>
  <c r="Z5357" i="5"/>
  <c r="Z5356" i="5"/>
  <c r="Z5355" i="5"/>
  <c r="Z5354" i="5"/>
  <c r="Z5353" i="5"/>
  <c r="Z5352" i="5"/>
  <c r="Z5351" i="5"/>
  <c r="Z5350" i="5"/>
  <c r="Z5349" i="5"/>
  <c r="Z5348" i="5"/>
  <c r="Z5347" i="5"/>
  <c r="Z5346" i="5"/>
  <c r="Z5345" i="5"/>
  <c r="Z5344" i="5"/>
  <c r="Z5343" i="5"/>
  <c r="Z5342" i="5"/>
  <c r="Z5341" i="5"/>
  <c r="Z5340" i="5"/>
  <c r="Z5339" i="5"/>
  <c r="Z5338" i="5"/>
  <c r="Z5337" i="5"/>
  <c r="Z5336" i="5"/>
  <c r="Z5335" i="5"/>
  <c r="Z5334" i="5"/>
  <c r="Z5333" i="5"/>
  <c r="Z5332" i="5"/>
  <c r="Z5331" i="5"/>
  <c r="Z5330" i="5"/>
  <c r="Z5329" i="5"/>
  <c r="Z5328" i="5"/>
  <c r="Z5327" i="5"/>
  <c r="Z5326" i="5"/>
  <c r="Z5325" i="5"/>
  <c r="Z5324" i="5"/>
  <c r="Z5323" i="5"/>
  <c r="Z5322" i="5"/>
  <c r="Z5321" i="5"/>
  <c r="Z5320" i="5"/>
  <c r="Z5319" i="5"/>
  <c r="Z5318" i="5"/>
  <c r="Z5317" i="5"/>
  <c r="Z5316" i="5"/>
  <c r="Z5315" i="5"/>
  <c r="Z5314" i="5"/>
  <c r="Z5313" i="5"/>
  <c r="Z5312" i="5"/>
  <c r="Z5311" i="5"/>
  <c r="Z5310" i="5"/>
  <c r="Z5309" i="5"/>
  <c r="Z5308" i="5"/>
  <c r="Z5307" i="5"/>
  <c r="Z5306" i="5"/>
  <c r="Z5305" i="5"/>
  <c r="Z5304" i="5"/>
  <c r="Z5303" i="5"/>
  <c r="Z5302" i="5"/>
  <c r="Z5301" i="5"/>
  <c r="Z5300" i="5"/>
  <c r="Z5299" i="5"/>
  <c r="Z5298" i="5"/>
  <c r="Z5297" i="5"/>
  <c r="Z5296" i="5"/>
  <c r="Z5295" i="5"/>
  <c r="Z5294" i="5"/>
  <c r="Z5293" i="5"/>
  <c r="Z5292" i="5"/>
  <c r="Z5291" i="5"/>
  <c r="Z5290" i="5"/>
  <c r="Z5289" i="5"/>
  <c r="Z5288" i="5"/>
  <c r="Z5287" i="5"/>
  <c r="Z5286" i="5"/>
  <c r="Z5285" i="5"/>
  <c r="Z5284" i="5"/>
  <c r="Z5283" i="5"/>
  <c r="Z5282" i="5"/>
  <c r="Z5281" i="5"/>
  <c r="Z5280" i="5"/>
  <c r="Z5279" i="5"/>
  <c r="Z5278" i="5"/>
  <c r="Z5277" i="5"/>
  <c r="Z5276" i="5"/>
  <c r="Z5275" i="5"/>
  <c r="Z5274" i="5"/>
  <c r="Z5273" i="5"/>
  <c r="Z5272" i="5"/>
  <c r="Z5271" i="5"/>
  <c r="Z5270" i="5"/>
  <c r="Z5269" i="5"/>
  <c r="Z5268" i="5"/>
  <c r="Z5267" i="5"/>
  <c r="Z5266" i="5"/>
  <c r="Z5265" i="5"/>
  <c r="Z5264" i="5"/>
  <c r="Z5263" i="5"/>
  <c r="Z5262" i="5"/>
  <c r="Z5261" i="5"/>
  <c r="Z5260" i="5"/>
  <c r="Z5259" i="5"/>
  <c r="Z5258" i="5"/>
  <c r="Z5257" i="5"/>
  <c r="Z5256" i="5"/>
  <c r="Z5255" i="5"/>
  <c r="Z5254" i="5"/>
  <c r="Z5253" i="5"/>
  <c r="Z5252" i="5"/>
  <c r="Z5251" i="5"/>
  <c r="Z5250" i="5"/>
  <c r="Z5249" i="5"/>
  <c r="Z5248" i="5"/>
  <c r="Z5247" i="5"/>
  <c r="Z5246" i="5"/>
  <c r="Z5245" i="5"/>
  <c r="Z5244" i="5"/>
  <c r="Z5243" i="5"/>
  <c r="Z5242" i="5"/>
  <c r="Z5241" i="5"/>
  <c r="Z5240" i="5"/>
  <c r="Z5239" i="5"/>
  <c r="Z5238" i="5"/>
  <c r="Z5237" i="5"/>
  <c r="Z5236" i="5"/>
  <c r="Z5235" i="5"/>
  <c r="Z5234" i="5"/>
  <c r="Z5233" i="5"/>
  <c r="Z5232" i="5"/>
  <c r="Z5231" i="5"/>
  <c r="Z5230" i="5"/>
  <c r="Z5229" i="5"/>
  <c r="Z5228" i="5"/>
  <c r="Z5227" i="5"/>
  <c r="Z5226" i="5"/>
  <c r="Z5225" i="5"/>
  <c r="Z5224" i="5"/>
  <c r="Z5223" i="5"/>
  <c r="Z5222" i="5"/>
  <c r="Z5221" i="5"/>
  <c r="Z5220" i="5"/>
  <c r="Z5219" i="5"/>
  <c r="Z5218" i="5"/>
  <c r="Z5217" i="5"/>
  <c r="Z5216" i="5"/>
  <c r="Z5215" i="5"/>
  <c r="Z5214" i="5"/>
  <c r="Z5213" i="5"/>
  <c r="Z5212" i="5"/>
  <c r="Z5211" i="5"/>
  <c r="Z5210" i="5"/>
  <c r="Z5209" i="5"/>
  <c r="Z5208" i="5"/>
  <c r="Z5207" i="5"/>
  <c r="Z5206" i="5"/>
  <c r="Z5205" i="5"/>
  <c r="Z5204" i="5"/>
  <c r="Z5203" i="5"/>
  <c r="Z5202" i="5"/>
  <c r="Z5201" i="5"/>
  <c r="Z5200" i="5"/>
  <c r="Z5199" i="5"/>
  <c r="Z5198" i="5"/>
  <c r="Z5197" i="5"/>
  <c r="Z5196" i="5"/>
  <c r="Z5195" i="5"/>
  <c r="Z5194" i="5"/>
  <c r="Z5193" i="5"/>
  <c r="Z5192" i="5"/>
  <c r="Z5191" i="5"/>
  <c r="Z5190" i="5"/>
  <c r="Z5189" i="5"/>
  <c r="Z5188" i="5"/>
  <c r="Z5187" i="5"/>
  <c r="Z5186" i="5"/>
  <c r="Z5185" i="5"/>
  <c r="Z5184" i="5"/>
  <c r="Z5183" i="5"/>
  <c r="Z5182" i="5"/>
  <c r="Z5181" i="5"/>
  <c r="Z5180" i="5"/>
  <c r="Z5179" i="5"/>
  <c r="Z5178" i="5"/>
  <c r="Z5177" i="5"/>
  <c r="Z5176" i="5"/>
  <c r="Z5175" i="5"/>
  <c r="Z5174" i="5"/>
  <c r="Z5173" i="5"/>
  <c r="Z5172" i="5"/>
  <c r="Z5171" i="5"/>
  <c r="Z5170" i="5"/>
  <c r="Z5169" i="5"/>
  <c r="Z5168" i="5"/>
  <c r="Z5167" i="5"/>
  <c r="Z5166" i="5"/>
  <c r="Z5165" i="5"/>
  <c r="Z5164" i="5"/>
  <c r="Z5163" i="5"/>
  <c r="Z5162" i="5"/>
  <c r="Z5161" i="5"/>
  <c r="Z5160" i="5"/>
  <c r="Z5159" i="5"/>
  <c r="Z5158" i="5"/>
  <c r="Z5157" i="5"/>
  <c r="Z5156" i="5"/>
  <c r="Z5155" i="5"/>
  <c r="Z5154" i="5"/>
  <c r="Z5153" i="5"/>
  <c r="Z5152" i="5"/>
  <c r="Z5151" i="5"/>
  <c r="Z5150" i="5"/>
  <c r="Z5149" i="5"/>
  <c r="Z5148" i="5"/>
  <c r="Z5147" i="5"/>
  <c r="Z5146" i="5"/>
  <c r="Z5145" i="5"/>
  <c r="Z5144" i="5"/>
  <c r="Z5143" i="5"/>
  <c r="Z5142" i="5"/>
  <c r="Z5141" i="5"/>
  <c r="Z5140" i="5"/>
  <c r="Z5139" i="5"/>
  <c r="Z5138" i="5"/>
  <c r="Z5137" i="5"/>
  <c r="Z5136" i="5"/>
  <c r="Z5135" i="5"/>
  <c r="Z5134" i="5"/>
  <c r="Z5133" i="5"/>
  <c r="Z5132" i="5"/>
  <c r="Z5131" i="5"/>
  <c r="Z5130" i="5"/>
  <c r="Z5129" i="5"/>
  <c r="Z5128" i="5"/>
  <c r="Z5127" i="5"/>
  <c r="Z5126" i="5"/>
  <c r="Z5125" i="5"/>
  <c r="Z5124" i="5"/>
  <c r="Z5123" i="5"/>
  <c r="Z5122" i="5"/>
  <c r="Z5121" i="5"/>
  <c r="Z5120" i="5"/>
  <c r="Z5119" i="5"/>
  <c r="Z5118" i="5"/>
  <c r="Z5117" i="5"/>
  <c r="Z5116" i="5"/>
  <c r="Z5115" i="5"/>
  <c r="Z5114" i="5"/>
  <c r="Z5113" i="5"/>
  <c r="Z5112" i="5"/>
  <c r="Z5111" i="5"/>
  <c r="Z5110" i="5"/>
  <c r="Z5109" i="5"/>
  <c r="Z5108" i="5"/>
  <c r="Z5107" i="5"/>
  <c r="Z5106" i="5"/>
  <c r="Z5105" i="5"/>
  <c r="Z5104" i="5"/>
  <c r="Z5103" i="5"/>
  <c r="Z5102" i="5"/>
  <c r="Z5101" i="5"/>
  <c r="Z5100" i="5"/>
  <c r="Z5099" i="5"/>
  <c r="Z5098" i="5"/>
  <c r="Z5097" i="5"/>
  <c r="Z5096" i="5"/>
  <c r="Z5095" i="5"/>
  <c r="Z5094" i="5"/>
  <c r="Z5093" i="5"/>
  <c r="Z5092" i="5"/>
  <c r="Z5091" i="5"/>
  <c r="Z5090" i="5"/>
  <c r="Z5089" i="5"/>
  <c r="Z5088" i="5"/>
  <c r="Z5087" i="5"/>
  <c r="Z5086" i="5"/>
  <c r="Z5085" i="5"/>
  <c r="Z5084" i="5"/>
  <c r="Z5083" i="5"/>
  <c r="Z5082" i="5"/>
  <c r="Z5081" i="5"/>
  <c r="Z5080" i="5"/>
  <c r="Z5079" i="5"/>
  <c r="Z5078" i="5"/>
  <c r="Z5077" i="5"/>
  <c r="Z5076" i="5"/>
  <c r="Z5075" i="5"/>
  <c r="Z5074" i="5"/>
  <c r="Z5073" i="5"/>
  <c r="Z5072" i="5"/>
  <c r="Z5071" i="5"/>
  <c r="Z5070" i="5"/>
  <c r="Z5069" i="5"/>
  <c r="Z5068" i="5"/>
  <c r="Z5067" i="5"/>
  <c r="Z5066" i="5"/>
  <c r="Z5065" i="5"/>
  <c r="Z5064" i="5"/>
  <c r="Z5063" i="5"/>
  <c r="Z5062" i="5"/>
  <c r="Z5061" i="5"/>
  <c r="Z5060" i="5"/>
  <c r="Z5059" i="5"/>
  <c r="Z5058" i="5"/>
  <c r="Z5057" i="5"/>
  <c r="Z5056" i="5"/>
  <c r="Z5055" i="5"/>
  <c r="Z5054" i="5"/>
  <c r="Z5053" i="5"/>
  <c r="Z5052" i="5"/>
  <c r="Z5051" i="5"/>
  <c r="Z5050" i="5"/>
  <c r="Z5049" i="5"/>
  <c r="Z5048" i="5"/>
  <c r="Z5047" i="5"/>
  <c r="Z5046" i="5"/>
  <c r="Z5045" i="5"/>
  <c r="Z5044" i="5"/>
  <c r="Z5043" i="5"/>
  <c r="Z5042" i="5"/>
  <c r="Z5041" i="5"/>
  <c r="Z5040" i="5"/>
  <c r="Z5039" i="5"/>
  <c r="Z5038" i="5"/>
  <c r="Z5037" i="5"/>
  <c r="Z5036" i="5"/>
  <c r="Z5035" i="5"/>
  <c r="Z5034" i="5"/>
  <c r="Z5033" i="5"/>
  <c r="Z5032" i="5"/>
  <c r="Z5031" i="5"/>
  <c r="Z5030" i="5"/>
  <c r="Z5029" i="5"/>
  <c r="Z5028" i="5"/>
  <c r="Z5027" i="5"/>
  <c r="Z5026" i="5"/>
  <c r="Z5025" i="5"/>
  <c r="Z5024" i="5"/>
  <c r="Z5023" i="5"/>
  <c r="Z5022" i="5"/>
  <c r="Z5021" i="5"/>
  <c r="Z5020" i="5"/>
  <c r="Z5019" i="5"/>
  <c r="Z5018" i="5"/>
  <c r="Z5017" i="5"/>
  <c r="Z5016" i="5"/>
  <c r="Z5015" i="5"/>
  <c r="Z5014" i="5"/>
  <c r="Z5013" i="5"/>
  <c r="Z5012" i="5"/>
  <c r="Z5011" i="5"/>
  <c r="Z5010" i="5"/>
  <c r="Z5009" i="5"/>
  <c r="Z5008" i="5"/>
  <c r="Z5007" i="5"/>
  <c r="Z5006" i="5"/>
  <c r="Z5005" i="5"/>
  <c r="Z5004" i="5"/>
  <c r="Z5003" i="5"/>
  <c r="Z5002" i="5"/>
  <c r="Z5001" i="5"/>
  <c r="Z5000" i="5"/>
  <c r="Z4999" i="5"/>
  <c r="Z4998" i="5"/>
  <c r="Z4997" i="5"/>
  <c r="Z4996" i="5"/>
  <c r="Z4995" i="5"/>
  <c r="Z4994" i="5"/>
  <c r="Z4993" i="5"/>
  <c r="Z4992" i="5"/>
  <c r="Z4991" i="5"/>
  <c r="Z4990" i="5"/>
  <c r="Z4989" i="5"/>
  <c r="Z4988" i="5"/>
  <c r="Z4987" i="5"/>
  <c r="Z4986" i="5"/>
  <c r="Z4985" i="5"/>
  <c r="Z4984" i="5"/>
  <c r="Z4983" i="5"/>
  <c r="Z4982" i="5"/>
  <c r="Z4981" i="5"/>
  <c r="Z4980" i="5"/>
  <c r="Z4979" i="5"/>
  <c r="Z4978" i="5"/>
  <c r="Z4977" i="5"/>
  <c r="Z4976" i="5"/>
  <c r="Z4975" i="5"/>
  <c r="Z4974" i="5"/>
  <c r="Z4973" i="5"/>
  <c r="Z4972" i="5"/>
  <c r="Z4971" i="5"/>
  <c r="Z4970" i="5"/>
  <c r="Z4969" i="5"/>
  <c r="Z4968" i="5"/>
  <c r="Z4967" i="5"/>
  <c r="Z4966" i="5"/>
  <c r="Z4965" i="5"/>
  <c r="Z4964" i="5"/>
  <c r="Z4963" i="5"/>
  <c r="Z4962" i="5"/>
  <c r="Z4961" i="5"/>
  <c r="Z4960" i="5"/>
  <c r="Z4959" i="5"/>
  <c r="Z4958" i="5"/>
  <c r="Z4957" i="5"/>
  <c r="Z4956" i="5"/>
  <c r="Z4955" i="5"/>
  <c r="Z4954" i="5"/>
  <c r="Z4953" i="5"/>
  <c r="Z4952" i="5"/>
  <c r="Z4951" i="5"/>
  <c r="Z4950" i="5"/>
  <c r="Z4949" i="5"/>
  <c r="Z4948" i="5"/>
  <c r="Z4947" i="5"/>
  <c r="Z4946" i="5"/>
  <c r="Z4945" i="5"/>
  <c r="Z4944" i="5"/>
  <c r="Z4943" i="5"/>
  <c r="Z4942" i="5"/>
  <c r="Z4941" i="5"/>
  <c r="Z4940" i="5"/>
  <c r="Z4939" i="5"/>
  <c r="Z4938" i="5"/>
  <c r="Z4937" i="5"/>
  <c r="Z4936" i="5"/>
  <c r="Z4935" i="5"/>
  <c r="Z4934" i="5"/>
  <c r="Z4933" i="5"/>
  <c r="Z4932" i="5"/>
  <c r="Z4931" i="5"/>
  <c r="Z4930" i="5"/>
  <c r="Z4929" i="5"/>
  <c r="Z4928" i="5"/>
  <c r="Z4927" i="5"/>
  <c r="Z4926" i="5"/>
  <c r="Z4925" i="5"/>
  <c r="Z4924" i="5"/>
  <c r="Z4923" i="5"/>
  <c r="Z4922" i="5"/>
  <c r="Z4921" i="5"/>
  <c r="Z4920" i="5"/>
  <c r="Z4919" i="5"/>
  <c r="Z4918" i="5"/>
  <c r="Z4917" i="5"/>
  <c r="Z4916" i="5"/>
  <c r="Z4915" i="5"/>
  <c r="Z4914" i="5"/>
  <c r="Z4913" i="5"/>
  <c r="Z4912" i="5"/>
  <c r="Z4911" i="5"/>
  <c r="Z4910" i="5"/>
  <c r="Z4909" i="5"/>
  <c r="Z4908" i="5"/>
  <c r="Z4907" i="5"/>
  <c r="Z4906" i="5"/>
  <c r="Z4905" i="5"/>
  <c r="Z4904" i="5"/>
  <c r="Z4903" i="5"/>
  <c r="Z4902" i="5"/>
  <c r="Z4901" i="5"/>
  <c r="Z4900" i="5"/>
  <c r="Z4899" i="5"/>
  <c r="Z4898" i="5"/>
  <c r="Z4897" i="5"/>
  <c r="Z4896" i="5"/>
  <c r="Z4895" i="5"/>
  <c r="Z4894" i="5"/>
  <c r="Z4893" i="5"/>
  <c r="Z4892" i="5"/>
  <c r="Z4891" i="5"/>
  <c r="Z4890" i="5"/>
  <c r="Z4889" i="5"/>
  <c r="Z4888" i="5"/>
  <c r="Z4887" i="5"/>
  <c r="Z4886" i="5"/>
  <c r="Z4885" i="5"/>
  <c r="Z4884" i="5"/>
  <c r="Z4883" i="5"/>
  <c r="Z4882" i="5"/>
  <c r="Z4881" i="5"/>
  <c r="Z4880" i="5"/>
  <c r="Z4879" i="5"/>
  <c r="Z4878" i="5"/>
  <c r="Z4877" i="5"/>
  <c r="Z4876" i="5"/>
  <c r="Z4875" i="5"/>
  <c r="Z4874" i="5"/>
  <c r="Z4873" i="5"/>
  <c r="Z4872" i="5"/>
  <c r="Z4871" i="5"/>
  <c r="Z4870" i="5"/>
  <c r="Z4869" i="5"/>
  <c r="Z4868" i="5"/>
  <c r="Z4867" i="5"/>
  <c r="Z4866" i="5"/>
  <c r="Z4865" i="5"/>
  <c r="Z4864" i="5"/>
  <c r="Z4863" i="5"/>
  <c r="Z4862" i="5"/>
  <c r="Z4861" i="5"/>
  <c r="Z4860" i="5"/>
  <c r="Z4859" i="5"/>
  <c r="Z4858" i="5"/>
  <c r="Z4857" i="5"/>
  <c r="Z4856" i="5"/>
  <c r="Z4855" i="5"/>
  <c r="Z4854" i="5"/>
  <c r="Z4853" i="5"/>
  <c r="Z4852" i="5"/>
  <c r="Z4851" i="5"/>
  <c r="Z4850" i="5"/>
  <c r="Z4849" i="5"/>
  <c r="Z4848" i="5"/>
  <c r="Z4847" i="5"/>
  <c r="Z4846" i="5"/>
  <c r="Z4845" i="5"/>
  <c r="Z4844" i="5"/>
  <c r="Z4843" i="5"/>
  <c r="Z4842" i="5"/>
  <c r="Z4841" i="5"/>
  <c r="Z4840" i="5"/>
  <c r="Z4839" i="5"/>
  <c r="Z4838" i="5"/>
  <c r="Z4837" i="5"/>
  <c r="Z4836" i="5"/>
  <c r="Z4835" i="5"/>
  <c r="Z4834" i="5"/>
  <c r="Z4833" i="5"/>
  <c r="Z4832" i="5"/>
  <c r="Z4831" i="5"/>
  <c r="Z4830" i="5"/>
  <c r="Z4829" i="5"/>
  <c r="Z4828" i="5"/>
  <c r="Z4827" i="5"/>
  <c r="Z4826" i="5"/>
  <c r="Z4825" i="5"/>
  <c r="Z4824" i="5"/>
  <c r="Z4823" i="5"/>
  <c r="Z4822" i="5"/>
  <c r="Z4821" i="5"/>
  <c r="Z4820" i="5"/>
  <c r="Z4819" i="5"/>
  <c r="Z4818" i="5"/>
  <c r="Z4817" i="5"/>
  <c r="Z4816" i="5"/>
  <c r="Z4815" i="5"/>
  <c r="Z4814" i="5"/>
  <c r="Z4813" i="5"/>
  <c r="Z4812" i="5"/>
  <c r="Z4811" i="5"/>
  <c r="Z4810" i="5"/>
  <c r="Z4809" i="5"/>
  <c r="Z4808" i="5"/>
  <c r="Z4807" i="5"/>
  <c r="Z4806" i="5"/>
  <c r="Z4805" i="5"/>
  <c r="Z4804" i="5"/>
  <c r="Z4803" i="5"/>
  <c r="Z4802" i="5"/>
  <c r="Z4801" i="5"/>
  <c r="Z4800" i="5"/>
  <c r="Z4799" i="5"/>
  <c r="Z4798" i="5"/>
  <c r="Z4797" i="5"/>
  <c r="Z4796" i="5"/>
  <c r="Z4795" i="5"/>
  <c r="Z4794" i="5"/>
  <c r="Z4793" i="5"/>
  <c r="Z4792" i="5"/>
  <c r="Z4791" i="5"/>
  <c r="Z4790" i="5"/>
  <c r="Z4789" i="5"/>
  <c r="Z4788" i="5"/>
  <c r="Z4787" i="5"/>
  <c r="Z4786" i="5"/>
  <c r="Z4785" i="5"/>
  <c r="Z4784" i="5"/>
  <c r="Z4783" i="5"/>
  <c r="Z4782" i="5"/>
  <c r="Z4781" i="5"/>
  <c r="Z4780" i="5"/>
  <c r="Z4779" i="5"/>
  <c r="Z4778" i="5"/>
  <c r="Z4777" i="5"/>
  <c r="Z4776" i="5"/>
  <c r="Z4775" i="5"/>
  <c r="Z4774" i="5"/>
  <c r="Z4773" i="5"/>
  <c r="Z4772" i="5"/>
  <c r="Z4771" i="5"/>
  <c r="Z4770" i="5"/>
  <c r="Z4769" i="5"/>
  <c r="Z4768" i="5"/>
  <c r="Z4767" i="5"/>
  <c r="Z4766" i="5"/>
  <c r="Z4765" i="5"/>
  <c r="Z4764" i="5"/>
  <c r="Z4763" i="5"/>
  <c r="Z4762" i="5"/>
  <c r="Z4761" i="5"/>
  <c r="Z4760" i="5"/>
  <c r="Z4759" i="5"/>
  <c r="Z4758" i="5"/>
  <c r="Z4757" i="5"/>
  <c r="Z4756" i="5"/>
  <c r="Z4755" i="5"/>
  <c r="Z4754" i="5"/>
  <c r="Z4753" i="5"/>
  <c r="Z4752" i="5"/>
  <c r="Z4751" i="5"/>
  <c r="Z4750" i="5"/>
  <c r="Z4749" i="5"/>
  <c r="Z4748" i="5"/>
  <c r="Z4747" i="5"/>
  <c r="Z4746" i="5"/>
  <c r="Z4745" i="5"/>
  <c r="Z4744" i="5"/>
  <c r="Z4743" i="5"/>
  <c r="Z4742" i="5"/>
  <c r="Z4741" i="5"/>
  <c r="Z4740" i="5"/>
  <c r="Z4739" i="5"/>
  <c r="Z4738" i="5"/>
  <c r="Z4737" i="5"/>
  <c r="Z4736" i="5"/>
  <c r="Z4735" i="5"/>
  <c r="Z4734" i="5"/>
  <c r="Z4733" i="5"/>
  <c r="Z4732" i="5"/>
  <c r="Z4731" i="5"/>
  <c r="Z4730" i="5"/>
  <c r="Z4729" i="5"/>
  <c r="Z4728" i="5"/>
  <c r="Z4727" i="5"/>
  <c r="Z4726" i="5"/>
  <c r="Z4725" i="5"/>
  <c r="Z4724" i="5"/>
  <c r="Z4723" i="5"/>
  <c r="Z4722" i="5"/>
  <c r="Z4721" i="5"/>
  <c r="Z4720" i="5"/>
  <c r="Z4719" i="5"/>
  <c r="Z4718" i="5"/>
  <c r="Z4717" i="5"/>
  <c r="Z4716" i="5"/>
  <c r="Z4715" i="5"/>
  <c r="Z4714" i="5"/>
  <c r="Z4713" i="5"/>
  <c r="Z4712" i="5"/>
  <c r="Z4711" i="5"/>
  <c r="Z4710" i="5"/>
  <c r="Z4709" i="5"/>
  <c r="Z4708" i="5"/>
  <c r="Z4707" i="5"/>
  <c r="Z4706" i="5"/>
  <c r="Z4705" i="5"/>
  <c r="Z4704" i="5"/>
  <c r="Z4703" i="5"/>
  <c r="Z4702" i="5"/>
  <c r="Z4701" i="5"/>
  <c r="Z4700" i="5"/>
  <c r="Z4699" i="5"/>
  <c r="Z4698" i="5"/>
  <c r="Z4697" i="5"/>
  <c r="Z4696" i="5"/>
  <c r="Z4695" i="5"/>
  <c r="Z4694" i="5"/>
  <c r="Z4693" i="5"/>
  <c r="Z4692" i="5"/>
  <c r="Z4691" i="5"/>
  <c r="Z4690" i="5"/>
  <c r="Z4689" i="5"/>
  <c r="Z4688" i="5"/>
  <c r="Z4687" i="5"/>
  <c r="Z4686" i="5"/>
  <c r="Z4685" i="5"/>
  <c r="Z4684" i="5"/>
  <c r="Z4683" i="5"/>
  <c r="Z4682" i="5"/>
  <c r="Z4681" i="5"/>
  <c r="Z4680" i="5"/>
  <c r="Z4679" i="5"/>
  <c r="Z4678" i="5"/>
  <c r="Z4677" i="5"/>
  <c r="Z4676" i="5"/>
  <c r="Z4675" i="5"/>
  <c r="Z4674" i="5"/>
  <c r="Z4673" i="5"/>
  <c r="Z4672" i="5"/>
  <c r="Z4671" i="5"/>
  <c r="Z4670" i="5"/>
  <c r="Z4669" i="5"/>
  <c r="Z4668" i="5"/>
  <c r="Z4667" i="5"/>
  <c r="Z4666" i="5"/>
  <c r="Z4665" i="5"/>
  <c r="Z4664" i="5"/>
  <c r="Z4663" i="5"/>
  <c r="Z4662" i="5"/>
  <c r="Z4661" i="5"/>
  <c r="Z4660" i="5"/>
  <c r="Z4659" i="5"/>
  <c r="Z4658" i="5"/>
  <c r="Z4657" i="5"/>
  <c r="Z4656" i="5"/>
  <c r="Z4655" i="5"/>
  <c r="Z4654" i="5"/>
  <c r="Z4653" i="5"/>
  <c r="Z4652" i="5"/>
  <c r="Z4651" i="5"/>
  <c r="Z4650" i="5"/>
  <c r="Z4649" i="5"/>
  <c r="Z4648" i="5"/>
  <c r="Z4647" i="5"/>
  <c r="Z4646" i="5"/>
  <c r="Z4645" i="5"/>
  <c r="Z4644" i="5"/>
  <c r="Z4643" i="5"/>
  <c r="Z4642" i="5"/>
  <c r="Z4641" i="5"/>
  <c r="Z4640" i="5"/>
  <c r="Z4639" i="5"/>
  <c r="Z4638" i="5"/>
  <c r="Z4637" i="5"/>
  <c r="Z4636" i="5"/>
  <c r="Z4635" i="5"/>
  <c r="Z4634" i="5"/>
  <c r="Z4633" i="5"/>
  <c r="Z4632" i="5"/>
  <c r="Z4631" i="5"/>
  <c r="Z4630" i="5"/>
  <c r="Z4629" i="5"/>
  <c r="Z4628" i="5"/>
  <c r="Z4627" i="5"/>
  <c r="Z4626" i="5"/>
  <c r="Z4625" i="5"/>
  <c r="Z4624" i="5"/>
  <c r="Z4623" i="5"/>
  <c r="Z4622" i="5"/>
  <c r="Z4621" i="5"/>
  <c r="Z4620" i="5"/>
  <c r="Z4619" i="5"/>
  <c r="Z4618" i="5"/>
  <c r="Z4617" i="5"/>
  <c r="Z4616" i="5"/>
  <c r="Z4615" i="5"/>
  <c r="Z4614" i="5"/>
  <c r="Z4613" i="5"/>
  <c r="Z4612" i="5"/>
  <c r="Z4611" i="5"/>
  <c r="Z4610" i="5"/>
  <c r="Z4609" i="5"/>
  <c r="Z4608" i="5"/>
  <c r="Z4607" i="5"/>
  <c r="Z4606" i="5"/>
  <c r="Z4605" i="5"/>
  <c r="Z4604" i="5"/>
  <c r="Z4603" i="5"/>
  <c r="Z4602" i="5"/>
  <c r="Z4601" i="5"/>
  <c r="Z4600" i="5"/>
  <c r="Z4599" i="5"/>
  <c r="Z4598" i="5"/>
  <c r="Z4597" i="5"/>
  <c r="Z4596" i="5"/>
  <c r="Z4595" i="5"/>
  <c r="Z4594" i="5"/>
  <c r="Z4593" i="5"/>
  <c r="Z4592" i="5"/>
  <c r="Z4591" i="5"/>
  <c r="Z4590" i="5"/>
  <c r="Z4589" i="5"/>
  <c r="Z4588" i="5"/>
  <c r="Z4587" i="5"/>
  <c r="Z4586" i="5"/>
  <c r="Z4585" i="5"/>
  <c r="Z4584" i="5"/>
  <c r="Z4583" i="5"/>
  <c r="Z4582" i="5"/>
  <c r="Z4581" i="5"/>
  <c r="Z4580" i="5"/>
  <c r="Z4579" i="5"/>
  <c r="Z4578" i="5"/>
  <c r="Z4577" i="5"/>
  <c r="Z4576" i="5"/>
  <c r="Z4575" i="5"/>
  <c r="Z4574" i="5"/>
  <c r="Z4573" i="5"/>
  <c r="Z4572" i="5"/>
  <c r="Z4571" i="5"/>
  <c r="Z4570" i="5"/>
  <c r="Z4569" i="5"/>
  <c r="Z4568" i="5"/>
  <c r="Z4567" i="5"/>
  <c r="Z4566" i="5"/>
  <c r="Z4565" i="5"/>
  <c r="Z4564" i="5"/>
  <c r="Z4563" i="5"/>
  <c r="Z4562" i="5"/>
  <c r="Z4561" i="5"/>
  <c r="Z4560" i="5"/>
  <c r="Z4559" i="5"/>
  <c r="Z4558" i="5"/>
  <c r="Z4557" i="5"/>
  <c r="Z4556" i="5"/>
  <c r="Z4555" i="5"/>
  <c r="Z4554" i="5"/>
  <c r="Z4553" i="5"/>
  <c r="Z4552" i="5"/>
  <c r="Z4551" i="5"/>
  <c r="Z4550" i="5"/>
  <c r="Z4549" i="5"/>
  <c r="Z4548" i="5"/>
  <c r="Z4547" i="5"/>
  <c r="Z4546" i="5"/>
  <c r="Z4545" i="5"/>
  <c r="Z4544" i="5"/>
  <c r="Z4543" i="5"/>
  <c r="Z4542" i="5"/>
  <c r="Z4541" i="5"/>
  <c r="Z4540" i="5"/>
  <c r="Z4539" i="5"/>
  <c r="Z4538" i="5"/>
  <c r="Z4537" i="5"/>
  <c r="Z4536" i="5"/>
  <c r="Z4535" i="5"/>
  <c r="Z4534" i="5"/>
  <c r="Z4533" i="5"/>
  <c r="Z4532" i="5"/>
  <c r="Z4531" i="5"/>
  <c r="Z4530" i="5"/>
  <c r="Z4529" i="5"/>
  <c r="Z4528" i="5"/>
  <c r="Z4527" i="5"/>
  <c r="Z4526" i="5"/>
  <c r="Z4525" i="5"/>
  <c r="Z4524" i="5"/>
  <c r="Z4523" i="5"/>
  <c r="Z4522" i="5"/>
  <c r="Z4521" i="5"/>
  <c r="Z4520" i="5"/>
  <c r="Z4519" i="5"/>
  <c r="Z4518" i="5"/>
  <c r="Z4517" i="5"/>
  <c r="Z4516" i="5"/>
  <c r="Z4515" i="5"/>
  <c r="Z4514" i="5"/>
  <c r="Z4513" i="5"/>
  <c r="Z4512" i="5"/>
  <c r="Z4511" i="5"/>
  <c r="Z4510" i="5"/>
  <c r="Z4509" i="5"/>
  <c r="Z4508" i="5"/>
  <c r="Z4507" i="5"/>
  <c r="Z4506" i="5"/>
  <c r="Z4505" i="5"/>
  <c r="Z4504" i="5"/>
  <c r="Z4503" i="5"/>
  <c r="Z4502" i="5"/>
  <c r="Z4501" i="5"/>
  <c r="Z4500" i="5"/>
  <c r="Z4499" i="5"/>
  <c r="Z4498" i="5"/>
  <c r="Z4497" i="5"/>
  <c r="Z4496" i="5"/>
  <c r="Z4495" i="5"/>
  <c r="Z4494" i="5"/>
  <c r="Z4493" i="5"/>
  <c r="Z4492" i="5"/>
  <c r="Z4491" i="5"/>
  <c r="Z4490" i="5"/>
  <c r="Z4489" i="5"/>
  <c r="Z4488" i="5"/>
  <c r="Z4487" i="5"/>
  <c r="Z4486" i="5"/>
  <c r="Z4485" i="5"/>
  <c r="Z4484" i="5"/>
  <c r="Z4483" i="5"/>
  <c r="Z4482" i="5"/>
  <c r="Z4481" i="5"/>
  <c r="Z4480" i="5"/>
  <c r="Z4479" i="5"/>
  <c r="Z4478" i="5"/>
  <c r="Z4477" i="5"/>
  <c r="Z4476" i="5"/>
  <c r="Z4475" i="5"/>
  <c r="Z4474" i="5"/>
  <c r="Z4473" i="5"/>
  <c r="Z4472" i="5"/>
  <c r="Z4471" i="5"/>
  <c r="Z4470" i="5"/>
  <c r="Z4469" i="5"/>
  <c r="Z4468" i="5"/>
  <c r="Z4467" i="5"/>
  <c r="Z4466" i="5"/>
  <c r="Z4465" i="5"/>
  <c r="Z4464" i="5"/>
  <c r="Z4463" i="5"/>
  <c r="Z4462" i="5"/>
  <c r="Z4461" i="5"/>
  <c r="Z4460" i="5"/>
  <c r="Z4459" i="5"/>
  <c r="Z4458" i="5"/>
  <c r="Z4457" i="5"/>
  <c r="Z4456" i="5"/>
  <c r="Z4455" i="5"/>
  <c r="Z4454" i="5"/>
  <c r="Z4453" i="5"/>
  <c r="Z4452" i="5"/>
  <c r="Z4451" i="5"/>
  <c r="Z4450" i="5"/>
  <c r="Z4449" i="5"/>
  <c r="Z4448" i="5"/>
  <c r="Z4447" i="5"/>
  <c r="Z4446" i="5"/>
  <c r="Z4445" i="5"/>
  <c r="Z4444" i="5"/>
  <c r="Z4443" i="5"/>
  <c r="Z4442" i="5"/>
  <c r="Z4441" i="5"/>
  <c r="Z4440" i="5"/>
  <c r="Z4439" i="5"/>
  <c r="Z4438" i="5"/>
  <c r="Z4437" i="5"/>
  <c r="Z4436" i="5"/>
  <c r="Z4435" i="5"/>
  <c r="Z4434" i="5"/>
  <c r="Z4433" i="5"/>
  <c r="Z4432" i="5"/>
  <c r="Z4431" i="5"/>
  <c r="Z4430" i="5"/>
  <c r="Z4429" i="5"/>
  <c r="Z4428" i="5"/>
  <c r="Z4427" i="5"/>
  <c r="Z4426" i="5"/>
  <c r="Z4425" i="5"/>
  <c r="Z4424" i="5"/>
  <c r="Z4423" i="5"/>
  <c r="Z4422" i="5"/>
  <c r="Z4421" i="5"/>
  <c r="Z4420" i="5"/>
  <c r="Z4419" i="5"/>
  <c r="Z4418" i="5"/>
  <c r="Z4417" i="5"/>
  <c r="Z4416" i="5"/>
  <c r="Z4415" i="5"/>
  <c r="Z4414" i="5"/>
  <c r="Z4413" i="5"/>
  <c r="Z4412" i="5"/>
  <c r="Z4411" i="5"/>
  <c r="Z4410" i="5"/>
  <c r="Z4409" i="5"/>
  <c r="Z4408" i="5"/>
  <c r="Z4407" i="5"/>
  <c r="Z4406" i="5"/>
  <c r="Z4405" i="5"/>
  <c r="Z4404" i="5"/>
  <c r="Z4403" i="5"/>
  <c r="Z4402" i="5"/>
  <c r="Z4401" i="5"/>
  <c r="Z4400" i="5"/>
  <c r="Z4399" i="5"/>
  <c r="Z4398" i="5"/>
  <c r="Z4397" i="5"/>
  <c r="Z4396" i="5"/>
  <c r="Z4395" i="5"/>
  <c r="Z4394" i="5"/>
  <c r="Z4393" i="5"/>
  <c r="Z4392" i="5"/>
  <c r="Z4391" i="5"/>
  <c r="Z4390" i="5"/>
  <c r="Z4389" i="5"/>
  <c r="Z4388" i="5"/>
  <c r="Z4387" i="5"/>
  <c r="Z4386" i="5"/>
  <c r="Z4385" i="5"/>
  <c r="Z4384" i="5"/>
  <c r="Z4383" i="5"/>
  <c r="Z4382" i="5"/>
  <c r="Z4381" i="5"/>
  <c r="Z4380" i="5"/>
  <c r="Z4379" i="5"/>
  <c r="Z4378" i="5"/>
  <c r="Z4377" i="5"/>
  <c r="Z4376" i="5"/>
  <c r="Z4375" i="5"/>
  <c r="Z4374" i="5"/>
  <c r="Z4373" i="5"/>
  <c r="Z4372" i="5"/>
  <c r="Z4371" i="5"/>
  <c r="Z4370" i="5"/>
  <c r="Z4369" i="5"/>
  <c r="Z4368" i="5"/>
  <c r="Z4367" i="5"/>
  <c r="Z4366" i="5"/>
  <c r="Z4365" i="5"/>
  <c r="Z4364" i="5"/>
  <c r="Z4363" i="5"/>
  <c r="Z4362" i="5"/>
  <c r="Z4361" i="5"/>
  <c r="Z4360" i="5"/>
  <c r="Z4359" i="5"/>
  <c r="Z4358" i="5"/>
  <c r="Z4357" i="5"/>
  <c r="Z4356" i="5"/>
  <c r="Z4355" i="5"/>
  <c r="Z4354" i="5"/>
  <c r="Z4353" i="5"/>
  <c r="Z4352" i="5"/>
  <c r="Z4351" i="5"/>
  <c r="Z4350" i="5"/>
  <c r="Z4349" i="5"/>
  <c r="Z4348" i="5"/>
  <c r="Z4347" i="5"/>
  <c r="Z4346" i="5"/>
  <c r="Z4345" i="5"/>
  <c r="Z4344" i="5"/>
  <c r="Z4343" i="5"/>
  <c r="Z4342" i="5"/>
  <c r="Z4341" i="5"/>
  <c r="Z4340" i="5"/>
  <c r="Z4339" i="5"/>
  <c r="Z4338" i="5"/>
  <c r="Z4337" i="5"/>
  <c r="Z4336" i="5"/>
  <c r="Z4335" i="5"/>
  <c r="Z4334" i="5"/>
  <c r="Z4333" i="5"/>
  <c r="Z4332" i="5"/>
  <c r="Z4331" i="5"/>
  <c r="Z4330" i="5"/>
  <c r="Z4329" i="5"/>
  <c r="Z4328" i="5"/>
  <c r="Z4327" i="5"/>
  <c r="Z4326" i="5"/>
  <c r="Z4325" i="5"/>
  <c r="Z4324" i="5"/>
  <c r="Z4323" i="5"/>
  <c r="Z4322" i="5"/>
  <c r="Z4321" i="5"/>
  <c r="Z4320" i="5"/>
  <c r="Z4319" i="5"/>
  <c r="Z4318" i="5"/>
  <c r="Z4317" i="5"/>
  <c r="Z4316" i="5"/>
  <c r="Z4315" i="5"/>
  <c r="Z4314" i="5"/>
  <c r="Z4313" i="5"/>
  <c r="Z4312" i="5"/>
  <c r="Z4311" i="5"/>
  <c r="Z4310" i="5"/>
  <c r="Z4309" i="5"/>
  <c r="Z4308" i="5"/>
  <c r="Z4307" i="5"/>
  <c r="Z4306" i="5"/>
  <c r="Z4305" i="5"/>
  <c r="Z4304" i="5"/>
  <c r="Z4303" i="5"/>
  <c r="Z4302" i="5"/>
  <c r="Z4301" i="5"/>
  <c r="Z4300" i="5"/>
  <c r="Z4299" i="5"/>
  <c r="Z4298" i="5"/>
  <c r="Z4297" i="5"/>
  <c r="Z4296" i="5"/>
  <c r="Z4295" i="5"/>
  <c r="Z4294" i="5"/>
  <c r="Z4293" i="5"/>
  <c r="Z4292" i="5"/>
  <c r="Z4291" i="5"/>
  <c r="Z4290" i="5"/>
  <c r="Z4289" i="5"/>
  <c r="Z4288" i="5"/>
  <c r="Z4287" i="5"/>
  <c r="Z4286" i="5"/>
  <c r="Z4285" i="5"/>
  <c r="Z4284" i="5"/>
  <c r="Z4283" i="5"/>
  <c r="Z4282" i="5"/>
  <c r="Z4281" i="5"/>
  <c r="Z4280" i="5"/>
  <c r="Z4279" i="5"/>
  <c r="Z4278" i="5"/>
  <c r="Z4277" i="5"/>
  <c r="Z4276" i="5"/>
  <c r="Z4275" i="5"/>
  <c r="Z4274" i="5"/>
  <c r="Z4273" i="5"/>
  <c r="Z4272" i="5"/>
  <c r="Z4271" i="5"/>
  <c r="Z4270" i="5"/>
  <c r="Z4269" i="5"/>
  <c r="Z4268" i="5"/>
  <c r="Z4267" i="5"/>
  <c r="Z4266" i="5"/>
  <c r="Z4265" i="5"/>
  <c r="Z4264" i="5"/>
  <c r="Z4263" i="5"/>
  <c r="Z4262" i="5"/>
  <c r="Z4261" i="5"/>
  <c r="Z4260" i="5"/>
  <c r="Z4259" i="5"/>
  <c r="Z4258" i="5"/>
  <c r="Z4257" i="5"/>
  <c r="Z4256" i="5"/>
  <c r="Z4255" i="5"/>
  <c r="Z4254" i="5"/>
  <c r="Z4253" i="5"/>
  <c r="Z4252" i="5"/>
  <c r="Z4251" i="5"/>
  <c r="Z4250" i="5"/>
  <c r="Z4249" i="5"/>
  <c r="Z4248" i="5"/>
  <c r="Z4247" i="5"/>
  <c r="Z4246" i="5"/>
  <c r="Z4245" i="5"/>
  <c r="Z4244" i="5"/>
  <c r="Z4243" i="5"/>
  <c r="Z4242" i="5"/>
  <c r="Z4241" i="5"/>
  <c r="Z4240" i="5"/>
  <c r="Z4239" i="5"/>
  <c r="Z4238" i="5"/>
  <c r="Z4237" i="5"/>
  <c r="Z4236" i="5"/>
  <c r="Z4235" i="5"/>
  <c r="Z4234" i="5"/>
  <c r="Z4233" i="5"/>
  <c r="Z4232" i="5"/>
  <c r="Z4231" i="5"/>
  <c r="Z4230" i="5"/>
  <c r="Z4229" i="5"/>
  <c r="Z4228" i="5"/>
  <c r="Z4227" i="5"/>
  <c r="Z4226" i="5"/>
  <c r="Z4225" i="5"/>
  <c r="Z4224" i="5"/>
  <c r="Z4223" i="5"/>
  <c r="Z4222" i="5"/>
  <c r="Z4221" i="5"/>
  <c r="Z4220" i="5"/>
  <c r="Z4219" i="5"/>
  <c r="Z4218" i="5"/>
  <c r="Z4217" i="5"/>
  <c r="Z4216" i="5"/>
  <c r="Z4215" i="5"/>
  <c r="Z4214" i="5"/>
  <c r="Z4213" i="5"/>
  <c r="Z4212" i="5"/>
  <c r="Z4211" i="5"/>
  <c r="Z4210" i="5"/>
  <c r="Z4209" i="5"/>
  <c r="Z4208" i="5"/>
  <c r="Z4207" i="5"/>
  <c r="Z4206" i="5"/>
  <c r="Z4205" i="5"/>
  <c r="Z4204" i="5"/>
  <c r="Z4203" i="5"/>
  <c r="Z4202" i="5"/>
  <c r="Z4201" i="5"/>
  <c r="Z4200" i="5"/>
  <c r="Z4199" i="5"/>
  <c r="Z4198" i="5"/>
  <c r="Z4197" i="5"/>
  <c r="Z4196" i="5"/>
  <c r="Z4195" i="5"/>
  <c r="Z4194" i="5"/>
  <c r="Z4193" i="5"/>
  <c r="Z4192" i="5"/>
  <c r="Z4191" i="5"/>
  <c r="Z4190" i="5"/>
  <c r="Z4189" i="5"/>
  <c r="Z4188" i="5"/>
  <c r="Z4187" i="5"/>
  <c r="Z4186" i="5"/>
  <c r="Z4185" i="5"/>
  <c r="Z4184" i="5"/>
  <c r="Z4183" i="5"/>
  <c r="Z4182" i="5"/>
  <c r="Z4181" i="5"/>
  <c r="Z4180" i="5"/>
  <c r="Z4179" i="5"/>
  <c r="Z4178" i="5"/>
  <c r="Z4177" i="5"/>
  <c r="Z4176" i="5"/>
  <c r="Z4175" i="5"/>
  <c r="Z4174" i="5"/>
  <c r="Z4173" i="5"/>
  <c r="Z4172" i="5"/>
  <c r="Z4171" i="5"/>
  <c r="Z4170" i="5"/>
  <c r="Z4169" i="5"/>
  <c r="Z4168" i="5"/>
  <c r="Z4167" i="5"/>
  <c r="Z4166" i="5"/>
  <c r="Z4165" i="5"/>
  <c r="Z4164" i="5"/>
  <c r="Z4163" i="5"/>
  <c r="Z4162" i="5"/>
  <c r="Z4161" i="5"/>
  <c r="Z4160" i="5"/>
  <c r="Z4159" i="5"/>
  <c r="Z4158" i="5"/>
  <c r="Z4157" i="5"/>
  <c r="Z4156" i="5"/>
  <c r="Z4155" i="5"/>
  <c r="Z4154" i="5"/>
  <c r="Z4153" i="5"/>
  <c r="Z4152" i="5"/>
  <c r="Z4151" i="5"/>
  <c r="Z4150" i="5"/>
  <c r="Z4149" i="5"/>
  <c r="Z4148" i="5"/>
  <c r="Z4147" i="5"/>
  <c r="Z4146" i="5"/>
  <c r="Z4145" i="5"/>
  <c r="Z4144" i="5"/>
  <c r="Z4143" i="5"/>
  <c r="Z4142" i="5"/>
  <c r="Z4141" i="5"/>
  <c r="Z4140" i="5"/>
  <c r="Z4139" i="5"/>
  <c r="Z4138" i="5"/>
  <c r="Z4137" i="5"/>
  <c r="Z4136" i="5"/>
  <c r="Z4135" i="5"/>
  <c r="Z4134" i="5"/>
  <c r="Z4133" i="5"/>
  <c r="Z4132" i="5"/>
  <c r="Z4131" i="5"/>
  <c r="Z4130" i="5"/>
  <c r="Z4129" i="5"/>
  <c r="Z4128" i="5"/>
  <c r="Z4127" i="5"/>
  <c r="Z4126" i="5"/>
  <c r="Z4125" i="5"/>
  <c r="Z4124" i="5"/>
  <c r="Z4123" i="5"/>
  <c r="Z4122" i="5"/>
  <c r="Z4121" i="5"/>
  <c r="Z4120" i="5"/>
  <c r="Z4119" i="5"/>
  <c r="Z4118" i="5"/>
  <c r="Z4117" i="5"/>
  <c r="Z4116" i="5"/>
  <c r="Z4115" i="5"/>
  <c r="Z4114" i="5"/>
  <c r="Z4113" i="5"/>
  <c r="Z4112" i="5"/>
  <c r="Z4111" i="5"/>
  <c r="Z4110" i="5"/>
  <c r="Z4109" i="5"/>
  <c r="Z4108" i="5"/>
  <c r="Z4107" i="5"/>
  <c r="Z4106" i="5"/>
  <c r="Z4105" i="5"/>
  <c r="Z4104" i="5"/>
  <c r="Z4103" i="5"/>
  <c r="Z4102" i="5"/>
  <c r="Z4101" i="5"/>
  <c r="Z4100" i="5"/>
  <c r="Z4099" i="5"/>
  <c r="Z4098" i="5"/>
  <c r="Z4097" i="5"/>
  <c r="Z4096" i="5"/>
  <c r="Z4095" i="5"/>
  <c r="Z4094" i="5"/>
  <c r="Z4093" i="5"/>
  <c r="Z4092" i="5"/>
  <c r="Z4091" i="5"/>
  <c r="Z4090" i="5"/>
  <c r="Z4089" i="5"/>
  <c r="Z4088" i="5"/>
  <c r="Z4087" i="5"/>
  <c r="Z4086" i="5"/>
  <c r="Z4085" i="5"/>
  <c r="Z4084" i="5"/>
  <c r="Z4083" i="5"/>
  <c r="Z4082" i="5"/>
  <c r="Z4081" i="5"/>
  <c r="Z4080" i="5"/>
  <c r="Z4079" i="5"/>
  <c r="Z4078" i="5"/>
  <c r="Z4077" i="5"/>
  <c r="Z4076" i="5"/>
  <c r="Z4075" i="5"/>
  <c r="Z4074" i="5"/>
  <c r="Z4073" i="5"/>
  <c r="Z4072" i="5"/>
  <c r="Z4071" i="5"/>
  <c r="Z4070" i="5"/>
  <c r="Z4069" i="5"/>
  <c r="Z4068" i="5"/>
  <c r="Z4067" i="5"/>
  <c r="Z4066" i="5"/>
  <c r="Z4065" i="5"/>
  <c r="Z4064" i="5"/>
  <c r="Z4063" i="5"/>
  <c r="Z4062" i="5"/>
  <c r="Z4061" i="5"/>
  <c r="Z4060" i="5"/>
  <c r="Z4059" i="5"/>
  <c r="Z4058" i="5"/>
  <c r="Z4057" i="5"/>
  <c r="Z4056" i="5"/>
  <c r="Z4055" i="5"/>
  <c r="Z4054" i="5"/>
  <c r="Z4053" i="5"/>
  <c r="Z4052" i="5"/>
  <c r="Z4051" i="5"/>
  <c r="Z4050" i="5"/>
  <c r="Z4049" i="5"/>
  <c r="Z4048" i="5"/>
  <c r="Z4047" i="5"/>
  <c r="Z4046" i="5"/>
  <c r="Z4045" i="5"/>
  <c r="Z4044" i="5"/>
  <c r="Z4043" i="5"/>
  <c r="Z4042" i="5"/>
  <c r="Z4041" i="5"/>
  <c r="Z4040" i="5"/>
  <c r="Z4039" i="5"/>
  <c r="Z4038" i="5"/>
  <c r="Z4037" i="5"/>
  <c r="Z4036" i="5"/>
  <c r="Z4035" i="5"/>
  <c r="Z4034" i="5"/>
  <c r="Z4033" i="5"/>
  <c r="Z4032" i="5"/>
  <c r="Z4031" i="5"/>
  <c r="Z4030" i="5"/>
  <c r="Z4029" i="5"/>
  <c r="Z4028" i="5"/>
  <c r="Z4027" i="5"/>
  <c r="Z4026" i="5"/>
  <c r="Z4025" i="5"/>
  <c r="Z4024" i="5"/>
  <c r="Z4023" i="5"/>
  <c r="Z4022" i="5"/>
  <c r="Z4021" i="5"/>
  <c r="Z4020" i="5"/>
  <c r="Z4019" i="5"/>
  <c r="Z4018" i="5"/>
  <c r="Z4017" i="5"/>
  <c r="Z4016" i="5"/>
  <c r="Z4015" i="5"/>
  <c r="Z4014" i="5"/>
  <c r="Z4013" i="5"/>
  <c r="Z4012" i="5"/>
  <c r="Z4011" i="5"/>
  <c r="Z4010" i="5"/>
  <c r="Z4009" i="5"/>
  <c r="Z4008" i="5"/>
  <c r="Z4007" i="5"/>
  <c r="Z4006" i="5"/>
  <c r="Z4005" i="5"/>
  <c r="Z4004" i="5"/>
  <c r="Z4003" i="5"/>
  <c r="Z4002" i="5"/>
  <c r="Z4001" i="5"/>
  <c r="Z4000" i="5"/>
  <c r="Z3999" i="5"/>
  <c r="Z3998" i="5"/>
  <c r="Z3997" i="5"/>
  <c r="Z3996" i="5"/>
  <c r="Z3995" i="5"/>
  <c r="Z3994" i="5"/>
  <c r="Z3993" i="5"/>
  <c r="Z3992" i="5"/>
  <c r="Z3991" i="5"/>
  <c r="Z3990" i="5"/>
  <c r="Z3989" i="5"/>
  <c r="Z3988" i="5"/>
  <c r="Z3987" i="5"/>
  <c r="Z3986" i="5"/>
  <c r="Z3985" i="5"/>
  <c r="Z3984" i="5"/>
  <c r="Z3983" i="5"/>
  <c r="Z3982" i="5"/>
  <c r="Z3981" i="5"/>
  <c r="Z3980" i="5"/>
  <c r="Z3979" i="5"/>
  <c r="Z3978" i="5"/>
  <c r="Z3977" i="5"/>
  <c r="Z3976" i="5"/>
  <c r="Z3975" i="5"/>
  <c r="Z3974" i="5"/>
  <c r="Z3973" i="5"/>
  <c r="Z3972" i="5"/>
  <c r="Z3971" i="5"/>
  <c r="Z3970" i="5"/>
  <c r="Z3969" i="5"/>
  <c r="Z3968" i="5"/>
  <c r="Z3967" i="5"/>
  <c r="Z3966" i="5"/>
  <c r="Z3965" i="5"/>
  <c r="Z3964" i="5"/>
  <c r="Z3963" i="5"/>
  <c r="Z3962" i="5"/>
  <c r="Z3961" i="5"/>
  <c r="Z3960" i="5"/>
  <c r="Z3959" i="5"/>
  <c r="Z3958" i="5"/>
  <c r="Z3957" i="5"/>
  <c r="Z3956" i="5"/>
  <c r="Z3955" i="5"/>
  <c r="Z3954" i="5"/>
  <c r="Z3953" i="5"/>
  <c r="Z3952" i="5"/>
  <c r="Z3951" i="5"/>
  <c r="Z3950" i="5"/>
  <c r="Z3949" i="5"/>
  <c r="Z3948" i="5"/>
  <c r="Z3947" i="5"/>
  <c r="Z3946" i="5"/>
  <c r="Z3945" i="5"/>
  <c r="Z3944" i="5"/>
  <c r="Z3943" i="5"/>
  <c r="Z3942" i="5"/>
  <c r="Z3941" i="5"/>
  <c r="Z3940" i="5"/>
  <c r="Z3939" i="5"/>
  <c r="Z3938" i="5"/>
  <c r="Z3937" i="5"/>
  <c r="Z3936" i="5"/>
  <c r="Z3935" i="5"/>
  <c r="Z3934" i="5"/>
  <c r="Z3933" i="5"/>
  <c r="Z3932" i="5"/>
  <c r="Z3931" i="5"/>
  <c r="Z3930" i="5"/>
  <c r="Z3929" i="5"/>
  <c r="Z3928" i="5"/>
  <c r="Z3927" i="5"/>
  <c r="Z3926" i="5"/>
  <c r="Z3925" i="5"/>
  <c r="Z3924" i="5"/>
  <c r="Z3923" i="5"/>
  <c r="Z3922" i="5"/>
  <c r="Z3921" i="5"/>
  <c r="Z3920" i="5"/>
  <c r="Z3919" i="5"/>
  <c r="Z3918" i="5"/>
  <c r="Z3917" i="5"/>
  <c r="Z3916" i="5"/>
  <c r="Z3915" i="5"/>
  <c r="Z3914" i="5"/>
  <c r="Z3913" i="5"/>
  <c r="Z3912" i="5"/>
  <c r="Z3911" i="5"/>
  <c r="Z3910" i="5"/>
  <c r="Z3909" i="5"/>
  <c r="Z3908" i="5"/>
  <c r="Z3907" i="5"/>
  <c r="Z3906" i="5"/>
  <c r="Z3905" i="5"/>
  <c r="Z3904" i="5"/>
  <c r="Z3903" i="5"/>
  <c r="Z3902" i="5"/>
  <c r="Z3901" i="5"/>
  <c r="Z3900" i="5"/>
  <c r="Z3899" i="5"/>
  <c r="Z3898" i="5"/>
  <c r="Z3897" i="5"/>
  <c r="Z3896" i="5"/>
  <c r="Z3895" i="5"/>
  <c r="Z3894" i="5"/>
  <c r="Z3893" i="5"/>
  <c r="Z3892" i="5"/>
  <c r="Z3891" i="5"/>
  <c r="Z3890" i="5"/>
  <c r="Z3889" i="5"/>
  <c r="Z3888" i="5"/>
  <c r="Z3887" i="5"/>
  <c r="Z3886" i="5"/>
  <c r="Z3885" i="5"/>
  <c r="Z3884" i="5"/>
  <c r="Z3883" i="5"/>
  <c r="Z3882" i="5"/>
  <c r="Z3881" i="5"/>
  <c r="Z3880" i="5"/>
  <c r="Z3879" i="5"/>
  <c r="Z3878" i="5"/>
  <c r="Z3877" i="5"/>
  <c r="Z3876" i="5"/>
  <c r="Z3875" i="5"/>
  <c r="Z3874" i="5"/>
  <c r="Z3873" i="5"/>
  <c r="Z3872" i="5"/>
  <c r="Z3871" i="5"/>
  <c r="Z3870" i="5"/>
  <c r="Z3869" i="5"/>
  <c r="Z3868" i="5"/>
  <c r="Z3867" i="5"/>
  <c r="Z3866" i="5"/>
  <c r="Z3865" i="5"/>
  <c r="Z3864" i="5"/>
  <c r="Z3863" i="5"/>
  <c r="Z3862" i="5"/>
  <c r="Z3861" i="5"/>
  <c r="Z3860" i="5"/>
  <c r="Z3859" i="5"/>
  <c r="Z3858" i="5"/>
  <c r="Z3857" i="5"/>
  <c r="Z3856" i="5"/>
  <c r="Z3855" i="5"/>
  <c r="Z3854" i="5"/>
  <c r="Z3853" i="5"/>
  <c r="Z3852" i="5"/>
  <c r="Z3851" i="5"/>
  <c r="Z3850" i="5"/>
  <c r="Z3849" i="5"/>
  <c r="Z3848" i="5"/>
  <c r="Z3847" i="5"/>
  <c r="Z3846" i="5"/>
  <c r="Z3845" i="5"/>
  <c r="Z3844" i="5"/>
  <c r="Z3843" i="5"/>
  <c r="Z3842" i="5"/>
  <c r="Z3841" i="5"/>
  <c r="Z3840" i="5"/>
  <c r="Z3839" i="5"/>
  <c r="Z3838" i="5"/>
  <c r="Z3837" i="5"/>
  <c r="Z3836" i="5"/>
  <c r="Z3835" i="5"/>
  <c r="Z3834" i="5"/>
  <c r="Z3833" i="5"/>
  <c r="Z3832" i="5"/>
  <c r="Z3831" i="5"/>
  <c r="Z3830" i="5"/>
  <c r="Z3829" i="5"/>
  <c r="Z3828" i="5"/>
  <c r="Z3827" i="5"/>
  <c r="Z3826" i="5"/>
  <c r="Z3825" i="5"/>
  <c r="Z3824" i="5"/>
  <c r="Z3823" i="5"/>
  <c r="Z3822" i="5"/>
  <c r="Z3821" i="5"/>
  <c r="Z3820" i="5"/>
  <c r="Z3819" i="5"/>
  <c r="Z3818" i="5"/>
  <c r="Z3817" i="5"/>
  <c r="Z3816" i="5"/>
  <c r="Z3815" i="5"/>
  <c r="Z3814" i="5"/>
  <c r="Z3813" i="5"/>
  <c r="Z3812" i="5"/>
  <c r="Z3811" i="5"/>
  <c r="Z3810" i="5"/>
  <c r="Z3809" i="5"/>
  <c r="Z3808" i="5"/>
  <c r="Z3807" i="5"/>
  <c r="Z3806" i="5"/>
  <c r="Z3805" i="5"/>
  <c r="Z3804" i="5"/>
  <c r="Z3803" i="5"/>
  <c r="Z3802" i="5"/>
  <c r="Z3801" i="5"/>
  <c r="Z3800" i="5"/>
  <c r="Z3799" i="5"/>
  <c r="Z3798" i="5"/>
  <c r="Z3797" i="5"/>
  <c r="Z3796" i="5"/>
  <c r="Z3795" i="5"/>
  <c r="Z3794" i="5"/>
  <c r="Z3793" i="5"/>
  <c r="Z3792" i="5"/>
  <c r="Z3791" i="5"/>
  <c r="Z3790" i="5"/>
  <c r="Z3789" i="5"/>
  <c r="Z3788" i="5"/>
  <c r="Z3787" i="5"/>
  <c r="Z3786" i="5"/>
  <c r="Z3785" i="5"/>
  <c r="Z3784" i="5"/>
  <c r="Z3783" i="5"/>
  <c r="Z3782" i="5"/>
  <c r="Z3781" i="5"/>
  <c r="Z3780" i="5"/>
  <c r="Z3779" i="5"/>
  <c r="Z3778" i="5"/>
  <c r="Z3777" i="5"/>
  <c r="Z3776" i="5"/>
  <c r="Z3775" i="5"/>
  <c r="Z3774" i="5"/>
  <c r="Z3773" i="5"/>
  <c r="Z3772" i="5"/>
  <c r="Z3771" i="5"/>
  <c r="Z3770" i="5"/>
  <c r="Z3769" i="5"/>
  <c r="Z3768" i="5"/>
  <c r="Z3767" i="5"/>
  <c r="Z3766" i="5"/>
  <c r="Z3765" i="5"/>
  <c r="Z3764" i="5"/>
  <c r="Z3763" i="5"/>
  <c r="Z3762" i="5"/>
  <c r="Z3761" i="5"/>
  <c r="Z3760" i="5"/>
  <c r="Z3759" i="5"/>
  <c r="Z3758" i="5"/>
  <c r="Z3757" i="5"/>
  <c r="Z3756" i="5"/>
  <c r="Z3755" i="5"/>
  <c r="Z3754" i="5"/>
  <c r="Z3753" i="5"/>
  <c r="Z3752" i="5"/>
  <c r="Z3751" i="5"/>
  <c r="Z3750" i="5"/>
  <c r="Z3749" i="5"/>
  <c r="Z3748" i="5"/>
  <c r="Z3747" i="5"/>
  <c r="Z3746" i="5"/>
  <c r="Z3745" i="5"/>
  <c r="Z3744" i="5"/>
  <c r="Z3743" i="5"/>
  <c r="Z3742" i="5"/>
  <c r="Z3741" i="5"/>
  <c r="Z3740" i="5"/>
  <c r="Z3739" i="5"/>
  <c r="Z3738" i="5"/>
  <c r="Z3737" i="5"/>
  <c r="Z3736" i="5"/>
  <c r="Z3735" i="5"/>
  <c r="Z3734" i="5"/>
  <c r="Z3733" i="5"/>
  <c r="Z3732" i="5"/>
  <c r="Z3731" i="5"/>
  <c r="Z3730" i="5"/>
  <c r="Z3729" i="5"/>
  <c r="Z3728" i="5"/>
  <c r="Z3727" i="5"/>
  <c r="Z3726" i="5"/>
  <c r="Z3725" i="5"/>
  <c r="Z3724" i="5"/>
  <c r="Z3723" i="5"/>
  <c r="Z3722" i="5"/>
  <c r="Z3721" i="5"/>
  <c r="Z3720" i="5"/>
  <c r="Z3719" i="5"/>
  <c r="Z3718" i="5"/>
  <c r="Z3717" i="5"/>
  <c r="Z3716" i="5"/>
  <c r="Z3715" i="5"/>
  <c r="Z3714" i="5"/>
  <c r="Z3713" i="5"/>
  <c r="Z3712" i="5"/>
  <c r="Z3711" i="5"/>
  <c r="Z3710" i="5"/>
  <c r="Z3709" i="5"/>
  <c r="Z3708" i="5"/>
  <c r="Z3707" i="5"/>
  <c r="Z3706" i="5"/>
  <c r="Z3705" i="5"/>
  <c r="Z3704" i="5"/>
  <c r="Z3703" i="5"/>
  <c r="Z3702" i="5"/>
  <c r="Z3701" i="5"/>
  <c r="Z3700" i="5"/>
  <c r="Z3699" i="5"/>
  <c r="Z3698" i="5"/>
  <c r="Z3697" i="5"/>
  <c r="Z3696" i="5"/>
  <c r="Z3695" i="5"/>
  <c r="Z3694" i="5"/>
  <c r="Z3693" i="5"/>
  <c r="Z3692" i="5"/>
  <c r="Z3691" i="5"/>
  <c r="Z3690" i="5"/>
  <c r="Z3689" i="5"/>
  <c r="Z3688" i="5"/>
  <c r="Z3687" i="5"/>
  <c r="Z3686" i="5"/>
  <c r="Z3685" i="5"/>
  <c r="Z3684" i="5"/>
  <c r="Z3683" i="5"/>
  <c r="Z3682" i="5"/>
  <c r="Z3681" i="5"/>
  <c r="Z3680" i="5"/>
  <c r="Z3679" i="5"/>
  <c r="Z3678" i="5"/>
  <c r="Z3677" i="5"/>
  <c r="Z3676" i="5"/>
  <c r="Z3675" i="5"/>
  <c r="Z3674" i="5"/>
  <c r="Z3673" i="5"/>
  <c r="Z3672" i="5"/>
  <c r="Z3671" i="5"/>
  <c r="Z3670" i="5"/>
  <c r="Z3669" i="5"/>
  <c r="Z3668" i="5"/>
  <c r="Z3667" i="5"/>
  <c r="Z3666" i="5"/>
  <c r="Z3665" i="5"/>
  <c r="Z3664" i="5"/>
  <c r="Z3663" i="5"/>
  <c r="Z3662" i="5"/>
  <c r="Z3661" i="5"/>
  <c r="Z3660" i="5"/>
  <c r="Z3659" i="5"/>
  <c r="Z3658" i="5"/>
  <c r="Z3657" i="5"/>
  <c r="Z3656" i="5"/>
  <c r="Z3655" i="5"/>
  <c r="Z3654" i="5"/>
  <c r="Z3653" i="5"/>
  <c r="Z3652" i="5"/>
  <c r="Z3651" i="5"/>
  <c r="Z3650" i="5"/>
  <c r="Z3649" i="5"/>
  <c r="Z3648" i="5"/>
  <c r="Z3647" i="5"/>
  <c r="Z3646" i="5"/>
  <c r="Z3645" i="5"/>
  <c r="Z3644" i="5"/>
  <c r="Z3643" i="5"/>
  <c r="Z3642" i="5"/>
  <c r="Z3641" i="5"/>
  <c r="Z3640" i="5"/>
  <c r="Z3639" i="5"/>
  <c r="Z3638" i="5"/>
  <c r="Z3637" i="5"/>
  <c r="Z3636" i="5"/>
  <c r="Z3635" i="5"/>
  <c r="Z3634" i="5"/>
  <c r="Z3633" i="5"/>
  <c r="Z3632" i="5"/>
  <c r="Z3631" i="5"/>
  <c r="Z3630" i="5"/>
  <c r="Z3629" i="5"/>
  <c r="Z3628" i="5"/>
  <c r="Z3627" i="5"/>
  <c r="Z3626" i="5"/>
  <c r="Z3625" i="5"/>
  <c r="Z3624" i="5"/>
  <c r="Z3623" i="5"/>
  <c r="Z3622" i="5"/>
  <c r="Z3621" i="5"/>
  <c r="Z3620" i="5"/>
  <c r="Z3619" i="5"/>
  <c r="Z3618" i="5"/>
  <c r="Z3617" i="5"/>
  <c r="Z3616" i="5"/>
  <c r="Z3615" i="5"/>
  <c r="Z3614" i="5"/>
  <c r="Z3613" i="5"/>
  <c r="Z3612" i="5"/>
  <c r="Z3611" i="5"/>
  <c r="Z3610" i="5"/>
  <c r="Z3609" i="5"/>
  <c r="Z3608" i="5"/>
  <c r="Z3607" i="5"/>
  <c r="Z3606" i="5"/>
  <c r="Z3605" i="5"/>
  <c r="Z3604" i="5"/>
  <c r="Z3603" i="5"/>
  <c r="Z3602" i="5"/>
  <c r="Z3601" i="5"/>
  <c r="Z3600" i="5"/>
  <c r="Z3599" i="5"/>
  <c r="Z3598" i="5"/>
  <c r="Z3597" i="5"/>
  <c r="Z3596" i="5"/>
  <c r="Z3595" i="5"/>
  <c r="Z3594" i="5"/>
  <c r="Z3593" i="5"/>
  <c r="Z3592" i="5"/>
  <c r="Z3591" i="5"/>
  <c r="Z3590" i="5"/>
  <c r="Z3589" i="5"/>
  <c r="Z3588" i="5"/>
  <c r="Z3587" i="5"/>
  <c r="Z3586" i="5"/>
  <c r="Z3585" i="5"/>
  <c r="Z3584" i="5"/>
  <c r="Z3583" i="5"/>
  <c r="Z3582" i="5"/>
  <c r="Z3581" i="5"/>
  <c r="Z3580" i="5"/>
  <c r="Z3579" i="5"/>
  <c r="Z3578" i="5"/>
  <c r="Z3577" i="5"/>
  <c r="Z3576" i="5"/>
  <c r="Z3575" i="5"/>
  <c r="Z3574" i="5"/>
  <c r="Z3573" i="5"/>
  <c r="Z3572" i="5"/>
  <c r="Z3571" i="5"/>
  <c r="Z3570" i="5"/>
  <c r="Z3569" i="5"/>
  <c r="Z3568" i="5"/>
  <c r="Z3567" i="5"/>
  <c r="Z3566" i="5"/>
  <c r="Z3565" i="5"/>
  <c r="Z3564" i="5"/>
  <c r="Z3563" i="5"/>
  <c r="Z3562" i="5"/>
  <c r="Z3561" i="5"/>
  <c r="Z3560" i="5"/>
  <c r="Z3559" i="5"/>
  <c r="Z3558" i="5"/>
  <c r="Z3557" i="5"/>
  <c r="Z3556" i="5"/>
  <c r="Z3555" i="5"/>
  <c r="Z3554" i="5"/>
  <c r="Z3553" i="5"/>
  <c r="Z3552" i="5"/>
  <c r="Z3551" i="5"/>
  <c r="Z3550" i="5"/>
  <c r="Z3549" i="5"/>
  <c r="Z3548" i="5"/>
  <c r="Z3547" i="5"/>
  <c r="Z3546" i="5"/>
  <c r="Z3545" i="5"/>
  <c r="Z3544" i="5"/>
  <c r="Z3543" i="5"/>
  <c r="Z3542" i="5"/>
  <c r="Z3541" i="5"/>
  <c r="Z3540" i="5"/>
  <c r="Z3539" i="5"/>
  <c r="Z3538" i="5"/>
  <c r="Z3537" i="5"/>
  <c r="Z3536" i="5"/>
  <c r="Z3535" i="5"/>
  <c r="Z3534" i="5"/>
  <c r="Z3533" i="5"/>
  <c r="Z3532" i="5"/>
  <c r="Z3531" i="5"/>
  <c r="Z3530" i="5"/>
  <c r="Z3529" i="5"/>
  <c r="Z3528" i="5"/>
  <c r="Z3527" i="5"/>
  <c r="Z3526" i="5"/>
  <c r="Z3525" i="5"/>
  <c r="Z3524" i="5"/>
  <c r="Z3523" i="5"/>
  <c r="Z3522" i="5"/>
  <c r="Z3521" i="5"/>
  <c r="Z3520" i="5"/>
  <c r="Z3519" i="5"/>
  <c r="Z3518" i="5"/>
  <c r="Z3517" i="5"/>
  <c r="Z3516" i="5"/>
  <c r="Z3515" i="5"/>
  <c r="Z3514" i="5"/>
  <c r="Z3513" i="5"/>
  <c r="Z3512" i="5"/>
  <c r="Z3511" i="5"/>
  <c r="Z3510" i="5"/>
  <c r="Z3509" i="5"/>
  <c r="Z3508" i="5"/>
  <c r="Z3507" i="5"/>
  <c r="Z3506" i="5"/>
  <c r="Z3505" i="5"/>
  <c r="Z3504" i="5"/>
  <c r="Z3503" i="5"/>
  <c r="Z3502" i="5"/>
  <c r="Z3501" i="5"/>
  <c r="Z3500" i="5"/>
  <c r="Z3499" i="5"/>
  <c r="Z3498" i="5"/>
  <c r="Z3497" i="5"/>
  <c r="Z3496" i="5"/>
  <c r="Z3495" i="5"/>
  <c r="Z3494" i="5"/>
  <c r="Z3493" i="5"/>
  <c r="Z3492" i="5"/>
  <c r="Z3491" i="5"/>
  <c r="Z3490" i="5"/>
  <c r="Z3489" i="5"/>
  <c r="Z3488" i="5"/>
  <c r="Z3487" i="5"/>
  <c r="Z3486" i="5"/>
  <c r="Z3485" i="5"/>
  <c r="Z3484" i="5"/>
  <c r="Z3483" i="5"/>
  <c r="Z3482" i="5"/>
  <c r="Z3481" i="5"/>
  <c r="Z3480" i="5"/>
  <c r="Z3479" i="5"/>
  <c r="Z3478" i="5"/>
  <c r="Z3477" i="5"/>
  <c r="Z3476" i="5"/>
  <c r="Z3475" i="5"/>
  <c r="Z3474" i="5"/>
  <c r="Z3473" i="5"/>
  <c r="Z3472" i="5"/>
  <c r="Z3471" i="5"/>
  <c r="Z3470" i="5"/>
  <c r="Z3469" i="5"/>
  <c r="Z3468" i="5"/>
  <c r="Z3467" i="5"/>
  <c r="Z3466" i="5"/>
  <c r="Z3465" i="5"/>
  <c r="Z3464" i="5"/>
  <c r="Z3463" i="5"/>
  <c r="Z3462" i="5"/>
  <c r="Z3461" i="5"/>
  <c r="Z3460" i="5"/>
  <c r="Z3459" i="5"/>
  <c r="Z3458" i="5"/>
  <c r="Z3457" i="5"/>
  <c r="Z3456" i="5"/>
  <c r="Z3455" i="5"/>
  <c r="Z3454" i="5"/>
  <c r="Z3453" i="5"/>
  <c r="Z3452" i="5"/>
  <c r="Z3451" i="5"/>
  <c r="Z3450" i="5"/>
  <c r="Z3449" i="5"/>
  <c r="Z3448" i="5"/>
  <c r="Z3447" i="5"/>
  <c r="Z3446" i="5"/>
  <c r="Z3445" i="5"/>
  <c r="Z3444" i="5"/>
  <c r="Z3443" i="5"/>
  <c r="Z3442" i="5"/>
  <c r="Z3441" i="5"/>
  <c r="Z3440" i="5"/>
  <c r="Z3439" i="5"/>
  <c r="Z3438" i="5"/>
  <c r="Z3437" i="5"/>
  <c r="Z3436" i="5"/>
  <c r="Z3435" i="5"/>
  <c r="Z3434" i="5"/>
  <c r="Z3433" i="5"/>
  <c r="Z3432" i="5"/>
  <c r="Z3431" i="5"/>
  <c r="Z3430" i="5"/>
  <c r="Z3429" i="5"/>
  <c r="Z3428" i="5"/>
  <c r="Z3427" i="5"/>
  <c r="Z3426" i="5"/>
  <c r="Z3425" i="5"/>
  <c r="Z3424" i="5"/>
  <c r="Z3423" i="5"/>
  <c r="Z3422" i="5"/>
  <c r="Z3421" i="5"/>
  <c r="Z3420" i="5"/>
  <c r="Z3419" i="5"/>
  <c r="Z3418" i="5"/>
  <c r="Z3417" i="5"/>
  <c r="Z3416" i="5"/>
  <c r="Z3415" i="5"/>
  <c r="Z3414" i="5"/>
  <c r="Z3413" i="5"/>
  <c r="Z3412" i="5"/>
  <c r="Z3411" i="5"/>
  <c r="Z3410" i="5"/>
  <c r="Z3409" i="5"/>
  <c r="Z3408" i="5"/>
  <c r="Z3407" i="5"/>
  <c r="Z3406" i="5"/>
  <c r="Z3405" i="5"/>
  <c r="Z3404" i="5"/>
  <c r="Z3403" i="5"/>
  <c r="Z3402" i="5"/>
  <c r="Z3401" i="5"/>
  <c r="Z3400" i="5"/>
  <c r="Z3399" i="5"/>
  <c r="Z3398" i="5"/>
  <c r="Z3397" i="5"/>
  <c r="Z3396" i="5"/>
  <c r="Z3395" i="5"/>
  <c r="Z3394" i="5"/>
  <c r="Z3393" i="5"/>
  <c r="Z3392" i="5"/>
  <c r="Z3391" i="5"/>
  <c r="Z3390" i="5"/>
  <c r="Z3389" i="5"/>
  <c r="Z3388" i="5"/>
  <c r="Z3387" i="5"/>
  <c r="Z3386" i="5"/>
  <c r="Z3385" i="5"/>
  <c r="Z3384" i="5"/>
  <c r="Z3383" i="5"/>
  <c r="Z3382" i="5"/>
  <c r="Z3381" i="5"/>
  <c r="Z3380" i="5"/>
  <c r="Z3379" i="5"/>
  <c r="Z3378" i="5"/>
  <c r="Z3377" i="5"/>
  <c r="Z3376" i="5"/>
  <c r="Z3375" i="5"/>
  <c r="Z3374" i="5"/>
  <c r="Z3373" i="5"/>
  <c r="Z3372" i="5"/>
  <c r="Z3371" i="5"/>
  <c r="Z3370" i="5"/>
  <c r="Z3369" i="5"/>
  <c r="Z3368" i="5"/>
  <c r="Z3367" i="5"/>
  <c r="Z3366" i="5"/>
  <c r="Z3365" i="5"/>
  <c r="Z3364" i="5"/>
  <c r="Z3363" i="5"/>
  <c r="Z3362" i="5"/>
  <c r="Z3361" i="5"/>
  <c r="Z3360" i="5"/>
  <c r="Z3359" i="5"/>
  <c r="Z3358" i="5"/>
  <c r="Z3357" i="5"/>
  <c r="Z3356" i="5"/>
  <c r="Z3355" i="5"/>
  <c r="Z3354" i="5"/>
  <c r="Z3353" i="5"/>
  <c r="Z3352" i="5"/>
  <c r="Z3351" i="5"/>
  <c r="Z3350" i="5"/>
  <c r="Z3349" i="5"/>
  <c r="Z3348" i="5"/>
  <c r="Z3347" i="5"/>
  <c r="Z3346" i="5"/>
  <c r="Z3345" i="5"/>
  <c r="Z3344" i="5"/>
  <c r="Z3343" i="5"/>
  <c r="Z3342" i="5"/>
  <c r="Z3341" i="5"/>
  <c r="Z3340" i="5"/>
  <c r="Z3339" i="5"/>
  <c r="Z3338" i="5"/>
  <c r="Z3337" i="5"/>
  <c r="Z3336" i="5"/>
  <c r="Z3335" i="5"/>
  <c r="Z3334" i="5"/>
  <c r="Z3333" i="5"/>
  <c r="Z3332" i="5"/>
  <c r="Z3331" i="5"/>
  <c r="Z3330" i="5"/>
  <c r="Z3329" i="5"/>
  <c r="Z3328" i="5"/>
  <c r="Z3327" i="5"/>
  <c r="Z3326" i="5"/>
  <c r="Z3325" i="5"/>
  <c r="Z3324" i="5"/>
  <c r="Z3323" i="5"/>
  <c r="Z3322" i="5"/>
  <c r="Z3321" i="5"/>
  <c r="Z3320" i="5"/>
  <c r="Z3319" i="5"/>
  <c r="Z3318" i="5"/>
  <c r="Z3317" i="5"/>
  <c r="Z3316" i="5"/>
  <c r="Z3315" i="5"/>
  <c r="Z3314" i="5"/>
  <c r="Z3313" i="5"/>
  <c r="Z3312" i="5"/>
  <c r="Z3311" i="5"/>
  <c r="Z3310" i="5"/>
  <c r="Z3309" i="5"/>
  <c r="Z3308" i="5"/>
  <c r="Z3307" i="5"/>
  <c r="Z3306" i="5"/>
  <c r="Z3305" i="5"/>
  <c r="Z3304" i="5"/>
  <c r="Z3303" i="5"/>
  <c r="Z3302" i="5"/>
  <c r="Z3301" i="5"/>
  <c r="Z3300" i="5"/>
  <c r="Z3299" i="5"/>
  <c r="Z3298" i="5"/>
  <c r="Z3297" i="5"/>
  <c r="Z3296" i="5"/>
  <c r="Z3295" i="5"/>
  <c r="Z3294" i="5"/>
  <c r="Z3293" i="5"/>
  <c r="Z3292" i="5"/>
  <c r="Z3291" i="5"/>
  <c r="Z3290" i="5"/>
  <c r="Z3289" i="5"/>
  <c r="Z3288" i="5"/>
  <c r="Z3287" i="5"/>
  <c r="Z3286" i="5"/>
  <c r="Z3285" i="5"/>
  <c r="Z3284" i="5"/>
  <c r="Z3283" i="5"/>
  <c r="Z3282" i="5"/>
  <c r="Z3281" i="5"/>
  <c r="Z3280" i="5"/>
  <c r="Z3279" i="5"/>
  <c r="Z3278" i="5"/>
  <c r="Z3277" i="5"/>
  <c r="Z3276" i="5"/>
  <c r="Z3275" i="5"/>
  <c r="Z3274" i="5"/>
  <c r="Z3273" i="5"/>
  <c r="Z3272" i="5"/>
  <c r="Z3271" i="5"/>
  <c r="Z3270" i="5"/>
  <c r="Z3269" i="5"/>
  <c r="Z3268" i="5"/>
  <c r="Z3267" i="5"/>
  <c r="Z3266" i="5"/>
  <c r="Z3265" i="5"/>
  <c r="Z3264" i="5"/>
  <c r="Z3263" i="5"/>
  <c r="Z3262" i="5"/>
  <c r="Z3261" i="5"/>
  <c r="Z3260" i="5"/>
  <c r="Z3259" i="5"/>
  <c r="Z3258" i="5"/>
  <c r="Z3257" i="5"/>
  <c r="Z3256" i="5"/>
  <c r="Z3255" i="5"/>
  <c r="Z3254" i="5"/>
  <c r="Z3253" i="5"/>
  <c r="Z3252" i="5"/>
  <c r="Z3251" i="5"/>
  <c r="Z3250" i="5"/>
  <c r="Z3249" i="5"/>
  <c r="Z3248" i="5"/>
  <c r="Z3247" i="5"/>
  <c r="Z3246" i="5"/>
  <c r="Z3245" i="5"/>
  <c r="Z3244" i="5"/>
  <c r="Z3243" i="5"/>
  <c r="Z3242" i="5"/>
  <c r="Z3241" i="5"/>
  <c r="Z3240" i="5"/>
  <c r="Z3239" i="5"/>
  <c r="Z3238" i="5"/>
  <c r="Z3237" i="5"/>
  <c r="Z3236" i="5"/>
  <c r="Z3235" i="5"/>
  <c r="Z3234" i="5"/>
  <c r="Z3233" i="5"/>
  <c r="Z3232" i="5"/>
  <c r="Z3231" i="5"/>
  <c r="Z3230" i="5"/>
  <c r="Z3229" i="5"/>
  <c r="Z3228" i="5"/>
  <c r="Z3227" i="5"/>
  <c r="Z3226" i="5"/>
  <c r="Z3225" i="5"/>
  <c r="Z3224" i="5"/>
  <c r="Z3223" i="5"/>
  <c r="Z3222" i="5"/>
  <c r="Z3221" i="5"/>
  <c r="Z3220" i="5"/>
  <c r="Z3219" i="5"/>
  <c r="Z3218" i="5"/>
  <c r="Z3217" i="5"/>
  <c r="Z3216" i="5"/>
  <c r="Z3215" i="5"/>
  <c r="Z3214" i="5"/>
  <c r="Z3213" i="5"/>
  <c r="Z3212" i="5"/>
  <c r="Z3211" i="5"/>
  <c r="Z3210" i="5"/>
  <c r="Z3209" i="5"/>
  <c r="Z3208" i="5"/>
  <c r="Z3207" i="5"/>
  <c r="Z3206" i="5"/>
  <c r="Z3205" i="5"/>
  <c r="Z3204" i="5"/>
  <c r="Z3203" i="5"/>
  <c r="Z3202" i="5"/>
  <c r="Z3201" i="5"/>
  <c r="Z3200" i="5"/>
  <c r="Z3199" i="5"/>
  <c r="Z3198" i="5"/>
  <c r="Z3197" i="5"/>
  <c r="Z3196" i="5"/>
  <c r="Z3195" i="5"/>
  <c r="Z3194" i="5"/>
  <c r="Z3193" i="5"/>
  <c r="Z3192" i="5"/>
  <c r="Z3191" i="5"/>
  <c r="Z3190" i="5"/>
  <c r="Z3189" i="5"/>
  <c r="Z3188" i="5"/>
  <c r="Z3187" i="5"/>
  <c r="Z3186" i="5"/>
  <c r="Z3185" i="5"/>
  <c r="Z3184" i="5"/>
  <c r="Z3183" i="5"/>
  <c r="Z3182" i="5"/>
  <c r="Z3181" i="5"/>
  <c r="Z3180" i="5"/>
  <c r="Z3179" i="5"/>
  <c r="Z3178" i="5"/>
  <c r="Z3177" i="5"/>
  <c r="Z3176" i="5"/>
  <c r="Z3175" i="5"/>
  <c r="Z3174" i="5"/>
  <c r="Z3173" i="5"/>
  <c r="Z3172" i="5"/>
  <c r="Z3171" i="5"/>
  <c r="Z3170" i="5"/>
  <c r="Z3169" i="5"/>
  <c r="Z3168" i="5"/>
  <c r="Z3167" i="5"/>
  <c r="Z3166" i="5"/>
  <c r="Z3165" i="5"/>
  <c r="Z3164" i="5"/>
  <c r="Z3163" i="5"/>
  <c r="Z3162" i="5"/>
  <c r="Z3161" i="5"/>
  <c r="Z3160" i="5"/>
  <c r="Z3159" i="5"/>
  <c r="Z3158" i="5"/>
  <c r="Z3157" i="5"/>
  <c r="Z3156" i="5"/>
  <c r="Z3155" i="5"/>
  <c r="Z3154" i="5"/>
  <c r="Z3153" i="5"/>
  <c r="Z3152" i="5"/>
  <c r="Z3151" i="5"/>
  <c r="Z3150" i="5"/>
  <c r="Z3149" i="5"/>
  <c r="Z3148" i="5"/>
  <c r="Z3147" i="5"/>
  <c r="Z3146" i="5"/>
  <c r="Z3145" i="5"/>
  <c r="Z3144" i="5"/>
  <c r="Z3143" i="5"/>
  <c r="Z3142" i="5"/>
  <c r="Z3141" i="5"/>
  <c r="Z3140" i="5"/>
  <c r="Z3139" i="5"/>
  <c r="Z3138" i="5"/>
  <c r="Z3137" i="5"/>
  <c r="Z3136" i="5"/>
  <c r="Z3135" i="5"/>
  <c r="Z3134" i="5"/>
  <c r="Z3133" i="5"/>
  <c r="Z3132" i="5"/>
  <c r="Z3131" i="5"/>
  <c r="Z3130" i="5"/>
  <c r="Z3129" i="5"/>
  <c r="Z3128" i="5"/>
  <c r="Z3127" i="5"/>
  <c r="Z3126" i="5"/>
  <c r="Z3125" i="5"/>
  <c r="Z3124" i="5"/>
  <c r="Z3123" i="5"/>
  <c r="Z3122" i="5"/>
  <c r="Z3121" i="5"/>
  <c r="Z3120" i="5"/>
  <c r="Z3119" i="5"/>
  <c r="Z3118" i="5"/>
  <c r="Z3117" i="5"/>
  <c r="Z3116" i="5"/>
  <c r="Z3115" i="5"/>
  <c r="Z3114" i="5"/>
  <c r="Z3113" i="5"/>
  <c r="Z3112" i="5"/>
  <c r="Z3111" i="5"/>
  <c r="Z3110" i="5"/>
  <c r="Z3109" i="5"/>
  <c r="Z3108" i="5"/>
  <c r="Z3107" i="5"/>
  <c r="Z3106" i="5"/>
  <c r="Z3105" i="5"/>
  <c r="Z3104" i="5"/>
  <c r="Z3103" i="5"/>
  <c r="Z3102" i="5"/>
  <c r="Z3101" i="5"/>
  <c r="Z3100" i="5"/>
  <c r="Z3099" i="5"/>
  <c r="Z3098" i="5"/>
  <c r="Z3097" i="5"/>
  <c r="Z3096" i="5"/>
  <c r="Z3095" i="5"/>
  <c r="Z3094" i="5"/>
  <c r="Z3093" i="5"/>
  <c r="Z3092" i="5"/>
  <c r="Z3091" i="5"/>
  <c r="Z3090" i="5"/>
  <c r="Z3089" i="5"/>
  <c r="Z3088" i="5"/>
  <c r="Z3087" i="5"/>
  <c r="Z3086" i="5"/>
  <c r="Z3085" i="5"/>
  <c r="Z3084" i="5"/>
  <c r="Z3083" i="5"/>
  <c r="Z3082" i="5"/>
  <c r="Z3081" i="5"/>
  <c r="Z3080" i="5"/>
  <c r="Z3079" i="5"/>
  <c r="Z3078" i="5"/>
  <c r="Z3077" i="5"/>
  <c r="Z3076" i="5"/>
  <c r="Z3075" i="5"/>
  <c r="Z3074" i="5"/>
  <c r="Z3073" i="5"/>
  <c r="Z3072" i="5"/>
  <c r="Z3071" i="5"/>
  <c r="Z3070" i="5"/>
  <c r="Z3069" i="5"/>
  <c r="Z3068" i="5"/>
  <c r="Z3067" i="5"/>
  <c r="Z3066" i="5"/>
  <c r="Z3065" i="5"/>
  <c r="Z3064" i="5"/>
  <c r="Z3063" i="5"/>
  <c r="Z3062" i="5"/>
  <c r="Z3061" i="5"/>
  <c r="Z3060" i="5"/>
  <c r="Z3059" i="5"/>
  <c r="Z3058" i="5"/>
  <c r="Z3057" i="5"/>
  <c r="Z3056" i="5"/>
  <c r="Z3055" i="5"/>
  <c r="Z3054" i="5"/>
  <c r="Z3053" i="5"/>
  <c r="Z3052" i="5"/>
  <c r="Z3051" i="5"/>
  <c r="Z3050" i="5"/>
  <c r="Z3049" i="5"/>
  <c r="Z3048" i="5"/>
  <c r="Z3047" i="5"/>
  <c r="Z3046" i="5"/>
  <c r="Z3045" i="5"/>
  <c r="Z3044" i="5"/>
  <c r="Z3043" i="5"/>
  <c r="Z3042" i="5"/>
  <c r="Z3041" i="5"/>
  <c r="Z3040" i="5"/>
  <c r="Z3039" i="5"/>
  <c r="Z3038" i="5"/>
  <c r="Z3037" i="5"/>
  <c r="Z3036" i="5"/>
  <c r="Z3035" i="5"/>
  <c r="Z3034" i="5"/>
  <c r="Z3033" i="5"/>
  <c r="Z3032" i="5"/>
  <c r="Z3031" i="5"/>
  <c r="Z3030" i="5"/>
  <c r="Z3029" i="5"/>
  <c r="Z3028" i="5"/>
  <c r="Z3027" i="5"/>
  <c r="Z3026" i="5"/>
  <c r="Z3025" i="5"/>
  <c r="Z3024" i="5"/>
  <c r="Z3023" i="5"/>
  <c r="Z3022" i="5"/>
  <c r="Z3021" i="5"/>
  <c r="Z3020" i="5"/>
  <c r="Z3019" i="5"/>
  <c r="Z3018" i="5"/>
  <c r="Z3017" i="5"/>
  <c r="Z3016" i="5"/>
  <c r="Z3015" i="5"/>
  <c r="Z3014" i="5"/>
  <c r="Z3013" i="5"/>
  <c r="Z3012" i="5"/>
  <c r="Z3011" i="5"/>
  <c r="Z3010" i="5"/>
  <c r="Z3009" i="5"/>
  <c r="Z3008" i="5"/>
  <c r="Z3007" i="5"/>
  <c r="Z3006" i="5"/>
  <c r="Z3005" i="5"/>
  <c r="Z3004" i="5"/>
  <c r="Z3003" i="5"/>
  <c r="Z3002" i="5"/>
  <c r="Z3001" i="5"/>
  <c r="Z3000" i="5"/>
  <c r="Z2999" i="5"/>
  <c r="Z2998" i="5"/>
  <c r="Z2997" i="5"/>
  <c r="Z2996" i="5"/>
  <c r="Z2995" i="5"/>
  <c r="Z2994" i="5"/>
  <c r="Z2993" i="5"/>
  <c r="Z2992" i="5"/>
  <c r="Z2991" i="5"/>
  <c r="Z2990" i="5"/>
  <c r="Z2989" i="5"/>
  <c r="Z2988" i="5"/>
  <c r="Z2987" i="5"/>
  <c r="Z2986" i="5"/>
  <c r="Z2985" i="5"/>
  <c r="Z2984" i="5"/>
  <c r="Z2983" i="5"/>
  <c r="Z2982" i="5"/>
  <c r="Z2981" i="5"/>
  <c r="Z2980" i="5"/>
  <c r="Z2979" i="5"/>
  <c r="Z2978" i="5"/>
  <c r="Z2977" i="5"/>
  <c r="Z2976" i="5"/>
  <c r="Z2975" i="5"/>
  <c r="Z2974" i="5"/>
  <c r="Z2973" i="5"/>
  <c r="Z2972" i="5"/>
  <c r="Z2971" i="5"/>
  <c r="Z2970" i="5"/>
  <c r="Z2969" i="5"/>
  <c r="Z2968" i="5"/>
  <c r="Z2967" i="5"/>
  <c r="Z2966" i="5"/>
  <c r="Z2965" i="5"/>
  <c r="Z2964" i="5"/>
  <c r="Z2963" i="5"/>
  <c r="Z2962" i="5"/>
  <c r="Z2961" i="5"/>
  <c r="Z2960" i="5"/>
  <c r="Z2959" i="5"/>
  <c r="Z2958" i="5"/>
  <c r="Z2957" i="5"/>
  <c r="Z2956" i="5"/>
  <c r="Z2955" i="5"/>
  <c r="Z2954" i="5"/>
  <c r="Z2953" i="5"/>
  <c r="Z2952" i="5"/>
  <c r="Z2951" i="5"/>
  <c r="Z2950" i="5"/>
  <c r="Z2949" i="5"/>
  <c r="Z2948" i="5"/>
  <c r="Z2947" i="5"/>
  <c r="Z2946" i="5"/>
  <c r="Z2945" i="5"/>
  <c r="Z2944" i="5"/>
  <c r="Z2943" i="5"/>
  <c r="Z2942" i="5"/>
  <c r="Z2941" i="5"/>
  <c r="Z2940" i="5"/>
  <c r="Z2939" i="5"/>
  <c r="Z2938" i="5"/>
  <c r="Z2937" i="5"/>
  <c r="Z2936" i="5"/>
  <c r="Z2935" i="5"/>
  <c r="Z2934" i="5"/>
  <c r="Z2933" i="5"/>
  <c r="Z2932" i="5"/>
  <c r="Z2931" i="5"/>
  <c r="Z2930" i="5"/>
  <c r="Z2929" i="5"/>
  <c r="Z2928" i="5"/>
  <c r="Z2927" i="5"/>
  <c r="Z2926" i="5"/>
  <c r="Z2925" i="5"/>
  <c r="Z2924" i="5"/>
  <c r="Z2923" i="5"/>
  <c r="Z2922" i="5"/>
  <c r="Z2921" i="5"/>
  <c r="Z2920" i="5"/>
  <c r="Z2919" i="5"/>
  <c r="Z2918" i="5"/>
  <c r="Z2917" i="5"/>
  <c r="Z2916" i="5"/>
  <c r="Z2915" i="5"/>
  <c r="Z2914" i="5"/>
  <c r="Z2913" i="5"/>
  <c r="Z2912" i="5"/>
  <c r="Z2911" i="5"/>
  <c r="Z2910" i="5"/>
  <c r="Z2909" i="5"/>
  <c r="Z2908" i="5"/>
  <c r="Z2907" i="5"/>
  <c r="Z2906" i="5"/>
  <c r="Z2905" i="5"/>
  <c r="Z2904" i="5"/>
  <c r="Z2903" i="5"/>
  <c r="Z2902" i="5"/>
  <c r="Z2901" i="5"/>
  <c r="Z2900" i="5"/>
  <c r="Z2899" i="5"/>
  <c r="Z2898" i="5"/>
  <c r="Z2897" i="5"/>
  <c r="Z2896" i="5"/>
  <c r="Z2895" i="5"/>
  <c r="Z2894" i="5"/>
  <c r="Z2893" i="5"/>
  <c r="Z2892" i="5"/>
  <c r="Z2891" i="5"/>
  <c r="Z2890" i="5"/>
  <c r="Z2889" i="5"/>
  <c r="Z2888" i="5"/>
  <c r="Z2887" i="5"/>
  <c r="Z2886" i="5"/>
  <c r="Z2885" i="5"/>
  <c r="Z2884" i="5"/>
  <c r="Z2883" i="5"/>
  <c r="Z2882" i="5"/>
  <c r="Z2881" i="5"/>
  <c r="Z2880" i="5"/>
  <c r="Z2879" i="5"/>
  <c r="Z2878" i="5"/>
  <c r="Z2877" i="5"/>
  <c r="Z2876" i="5"/>
  <c r="Z2875" i="5"/>
  <c r="Z2874" i="5"/>
  <c r="Z2873" i="5"/>
  <c r="Z2872" i="5"/>
  <c r="Z2871" i="5"/>
  <c r="Z2870" i="5"/>
  <c r="Z2869" i="5"/>
  <c r="Z2868" i="5"/>
  <c r="Z2867" i="5"/>
  <c r="Z2866" i="5"/>
  <c r="Z2865" i="5"/>
  <c r="Z2864" i="5"/>
  <c r="Z2863" i="5"/>
  <c r="Z2862" i="5"/>
  <c r="Z2861" i="5"/>
  <c r="Z2860" i="5"/>
  <c r="Z2859" i="5"/>
  <c r="Z2858" i="5"/>
  <c r="Z2857" i="5"/>
  <c r="Z2856" i="5"/>
  <c r="Z2855" i="5"/>
  <c r="Z2854" i="5"/>
  <c r="Z2853" i="5"/>
  <c r="Z2852" i="5"/>
  <c r="Z2851" i="5"/>
  <c r="Z2850" i="5"/>
  <c r="Z2849" i="5"/>
  <c r="Z2848" i="5"/>
  <c r="Z2847" i="5"/>
  <c r="Z2846" i="5"/>
  <c r="Z2845" i="5"/>
  <c r="Z2844" i="5"/>
  <c r="Z2843" i="5"/>
  <c r="Z2842" i="5"/>
  <c r="Z2841" i="5"/>
  <c r="Z2840" i="5"/>
  <c r="Z2839" i="5"/>
  <c r="Z2838" i="5"/>
  <c r="Z2837" i="5"/>
  <c r="Z2836" i="5"/>
  <c r="Z2835" i="5"/>
  <c r="Z2834" i="5"/>
  <c r="Z2833" i="5"/>
  <c r="Z2832" i="5"/>
  <c r="Z2831" i="5"/>
  <c r="Z2830" i="5"/>
  <c r="Z2829" i="5"/>
  <c r="Z2828" i="5"/>
  <c r="Z2827" i="5"/>
  <c r="Z2826" i="5"/>
  <c r="Z2825" i="5"/>
  <c r="Z2824" i="5"/>
  <c r="Z2823" i="5"/>
  <c r="Z2822" i="5"/>
  <c r="Z2821" i="5"/>
  <c r="Z2820" i="5"/>
  <c r="Z2819" i="5"/>
  <c r="Z2818" i="5"/>
  <c r="Z2817" i="5"/>
  <c r="Z2816" i="5"/>
  <c r="Z2815" i="5"/>
  <c r="Z2814" i="5"/>
  <c r="Z2813" i="5"/>
  <c r="Z2812" i="5"/>
  <c r="Z2811" i="5"/>
  <c r="Z2810" i="5"/>
  <c r="Z2809" i="5"/>
  <c r="Z2808" i="5"/>
  <c r="Z2807" i="5"/>
  <c r="Z2806" i="5"/>
  <c r="Z2805" i="5"/>
  <c r="Z2804" i="5"/>
  <c r="Z2803" i="5"/>
  <c r="Z2802" i="5"/>
  <c r="Z2801" i="5"/>
  <c r="Z2800" i="5"/>
  <c r="Z2799" i="5"/>
  <c r="Z2798" i="5"/>
  <c r="Z2797" i="5"/>
  <c r="Z2796" i="5"/>
  <c r="Z2795" i="5"/>
  <c r="Z2794" i="5"/>
  <c r="Z2793" i="5"/>
  <c r="Z2792" i="5"/>
  <c r="Z2791" i="5"/>
  <c r="Z2790" i="5"/>
  <c r="Z2789" i="5"/>
  <c r="Z2788" i="5"/>
  <c r="Z2787" i="5"/>
  <c r="Z2786" i="5"/>
  <c r="Z2785" i="5"/>
  <c r="Z2784" i="5"/>
  <c r="Z2783" i="5"/>
  <c r="Z2782" i="5"/>
  <c r="Z2781" i="5"/>
  <c r="Z2780" i="5"/>
  <c r="Z2779" i="5"/>
  <c r="Z2778" i="5"/>
  <c r="Z2777" i="5"/>
  <c r="Z2776" i="5"/>
  <c r="Z2775" i="5"/>
  <c r="Z2774" i="5"/>
  <c r="Z2773" i="5"/>
  <c r="Z2772" i="5"/>
  <c r="Z2771" i="5"/>
  <c r="Z2770" i="5"/>
  <c r="Z2769" i="5"/>
  <c r="Z2768" i="5"/>
  <c r="Z2767" i="5"/>
  <c r="Z2766" i="5"/>
  <c r="Z2765" i="5"/>
  <c r="Z2764" i="5"/>
  <c r="Z2763" i="5"/>
  <c r="Z2762" i="5"/>
  <c r="Z2761" i="5"/>
  <c r="Z2760" i="5"/>
  <c r="Z2759" i="5"/>
  <c r="Z2758" i="5"/>
  <c r="Z2757" i="5"/>
  <c r="Z2756" i="5"/>
  <c r="Z2755" i="5"/>
  <c r="Z2754" i="5"/>
  <c r="Z2753" i="5"/>
  <c r="Z2752" i="5"/>
  <c r="Z2751" i="5"/>
  <c r="Z2750" i="5"/>
  <c r="Z2749" i="5"/>
  <c r="Z2748" i="5"/>
  <c r="Z2747" i="5"/>
  <c r="Z2746" i="5"/>
  <c r="Z2745" i="5"/>
  <c r="Z2744" i="5"/>
  <c r="Z2743" i="5"/>
  <c r="Z2742" i="5"/>
  <c r="Z2741" i="5"/>
  <c r="Z2740" i="5"/>
  <c r="Z2739" i="5"/>
  <c r="Z2738" i="5"/>
  <c r="Z2737" i="5"/>
  <c r="Z2736" i="5"/>
  <c r="Z2735" i="5"/>
  <c r="Z2734" i="5"/>
  <c r="Z2733" i="5"/>
  <c r="Z2732" i="5"/>
  <c r="Z2731" i="5"/>
  <c r="Z2730" i="5"/>
  <c r="Z2729" i="5"/>
  <c r="Z2728" i="5"/>
  <c r="Z2727" i="5"/>
  <c r="Z2726" i="5"/>
  <c r="Z2725" i="5"/>
  <c r="Z2724" i="5"/>
  <c r="Z2723" i="5"/>
  <c r="Z2722" i="5"/>
  <c r="Z2721" i="5"/>
  <c r="Z2720" i="5"/>
  <c r="Z2719" i="5"/>
  <c r="Z2718" i="5"/>
  <c r="Z2717" i="5"/>
  <c r="Z2716" i="5"/>
  <c r="Z2715" i="5"/>
  <c r="Z2714" i="5"/>
  <c r="Z2713" i="5"/>
  <c r="Z2712" i="5"/>
  <c r="Z2711" i="5"/>
  <c r="Z2710" i="5"/>
  <c r="Z2709" i="5"/>
  <c r="Z2708" i="5"/>
  <c r="Z2707" i="5"/>
  <c r="Z2706" i="5"/>
  <c r="Z2705" i="5"/>
  <c r="Z2704" i="5"/>
  <c r="Z2703" i="5"/>
  <c r="Z2702" i="5"/>
  <c r="Z2701" i="5"/>
  <c r="Z2700" i="5"/>
  <c r="Z2699" i="5"/>
  <c r="Z2698" i="5"/>
  <c r="Z2697" i="5"/>
  <c r="Z2696" i="5"/>
  <c r="Z2695" i="5"/>
  <c r="Z2694" i="5"/>
  <c r="Z2693" i="5"/>
  <c r="Z2692" i="5"/>
  <c r="Z2691" i="5"/>
  <c r="Z2690" i="5"/>
  <c r="Z2689" i="5"/>
  <c r="Z2688" i="5"/>
  <c r="Z2687" i="5"/>
  <c r="Z2686" i="5"/>
  <c r="Z2685" i="5"/>
  <c r="Z2684" i="5"/>
  <c r="Z2683" i="5"/>
  <c r="Z2682" i="5"/>
  <c r="Z2681" i="5"/>
  <c r="Z2680" i="5"/>
  <c r="Z2679" i="5"/>
  <c r="Z2678" i="5"/>
  <c r="Z2677" i="5"/>
  <c r="Z2676" i="5"/>
  <c r="Z2675" i="5"/>
  <c r="Z2674" i="5"/>
  <c r="Z2673" i="5"/>
  <c r="Z2672" i="5"/>
  <c r="Z2671" i="5"/>
  <c r="Z2670" i="5"/>
  <c r="Z2669" i="5"/>
  <c r="Z2668" i="5"/>
  <c r="Z2667" i="5"/>
  <c r="Z2666" i="5"/>
  <c r="Z2665" i="5"/>
  <c r="Z2664" i="5"/>
  <c r="Z2663" i="5"/>
  <c r="Z2662" i="5"/>
  <c r="Z2661" i="5"/>
  <c r="Z2660" i="5"/>
  <c r="Z2659" i="5"/>
  <c r="Z2658" i="5"/>
  <c r="Z2657" i="5"/>
  <c r="Z2656" i="5"/>
  <c r="Z2655" i="5"/>
  <c r="Z2654" i="5"/>
  <c r="Z2653" i="5"/>
  <c r="Z2652" i="5"/>
  <c r="Z2651" i="5"/>
  <c r="Z2650" i="5"/>
  <c r="Z2649" i="5"/>
  <c r="Z2648" i="5"/>
  <c r="Z2647" i="5"/>
  <c r="Z2646" i="5"/>
  <c r="Z2645" i="5"/>
  <c r="Z2644" i="5"/>
  <c r="Z2643" i="5"/>
  <c r="Z2642" i="5"/>
  <c r="Z2641" i="5"/>
  <c r="Z2640" i="5"/>
  <c r="Z2639" i="5"/>
  <c r="Z2638" i="5"/>
  <c r="Z2637" i="5"/>
  <c r="Z2636" i="5"/>
  <c r="Z2635" i="5"/>
  <c r="Z2634" i="5"/>
  <c r="Z2633" i="5"/>
  <c r="Z2632" i="5"/>
  <c r="Z2631" i="5"/>
  <c r="Z2630" i="5"/>
  <c r="Z2629" i="5"/>
  <c r="Z2628" i="5"/>
  <c r="Z2627" i="5"/>
  <c r="Z2626" i="5"/>
  <c r="Z2625" i="5"/>
  <c r="Z2624" i="5"/>
  <c r="Z2623" i="5"/>
  <c r="Z2622" i="5"/>
  <c r="Z2621" i="5"/>
  <c r="Z2620" i="5"/>
  <c r="Z2619" i="5"/>
  <c r="Z2618" i="5"/>
  <c r="Z2617" i="5"/>
  <c r="Z2616" i="5"/>
  <c r="Z2615" i="5"/>
  <c r="Z2614" i="5"/>
  <c r="Z2613" i="5"/>
  <c r="Z2612" i="5"/>
  <c r="Z2611" i="5"/>
  <c r="Z2610" i="5"/>
  <c r="Z2609" i="5"/>
  <c r="Z2608" i="5"/>
  <c r="Z2607" i="5"/>
  <c r="Z2606" i="5"/>
  <c r="Z2605" i="5"/>
  <c r="Z2604" i="5"/>
  <c r="Z2603" i="5"/>
  <c r="Z2602" i="5"/>
  <c r="Z2601" i="5"/>
  <c r="Z2600" i="5"/>
  <c r="Z2599" i="5"/>
  <c r="Z2598" i="5"/>
  <c r="Z2597" i="5"/>
  <c r="Z2596" i="5"/>
  <c r="Z2595" i="5"/>
  <c r="Z2594" i="5"/>
  <c r="Z2593" i="5"/>
  <c r="Z2592" i="5"/>
  <c r="Z2591" i="5"/>
  <c r="Z2590" i="5"/>
  <c r="Z2589" i="5"/>
  <c r="Z2588" i="5"/>
  <c r="Z2587" i="5"/>
  <c r="Z2586" i="5"/>
  <c r="Z2585" i="5"/>
  <c r="Z2584" i="5"/>
  <c r="Z2583" i="5"/>
  <c r="Z2582" i="5"/>
  <c r="Z2581" i="5"/>
  <c r="Z2580" i="5"/>
  <c r="Z2579" i="5"/>
  <c r="Z2578" i="5"/>
  <c r="Z2577" i="5"/>
  <c r="Z2576" i="5"/>
  <c r="Z2575" i="5"/>
  <c r="Z2574" i="5"/>
  <c r="Z2573" i="5"/>
  <c r="Z2572" i="5"/>
  <c r="Z2571" i="5"/>
  <c r="Z2570" i="5"/>
  <c r="Z2569" i="5"/>
  <c r="Z2568" i="5"/>
  <c r="Z2567" i="5"/>
  <c r="Z2566" i="5"/>
  <c r="Z2565" i="5"/>
  <c r="Z2564" i="5"/>
  <c r="Z2563" i="5"/>
  <c r="Z2562" i="5"/>
  <c r="Z2561" i="5"/>
  <c r="Z2560" i="5"/>
  <c r="Z2559" i="5"/>
  <c r="Z2558" i="5"/>
  <c r="Z2557" i="5"/>
  <c r="Z2556" i="5"/>
  <c r="Z2555" i="5"/>
  <c r="Z2554" i="5"/>
  <c r="Z2553" i="5"/>
  <c r="Z2552" i="5"/>
  <c r="Z2551" i="5"/>
  <c r="Z2550" i="5"/>
  <c r="Z2549" i="5"/>
  <c r="Z2548" i="5"/>
  <c r="Z2547" i="5"/>
  <c r="Z2546" i="5"/>
  <c r="Z2545" i="5"/>
  <c r="Z2544" i="5"/>
  <c r="Z2543" i="5"/>
  <c r="Z2542" i="5"/>
  <c r="Z2541" i="5"/>
  <c r="Z2540" i="5"/>
  <c r="Z2539" i="5"/>
  <c r="Z2538" i="5"/>
  <c r="Z2537" i="5"/>
  <c r="Z2536" i="5"/>
  <c r="Z2535" i="5"/>
  <c r="Z2534" i="5"/>
  <c r="Z2533" i="5"/>
  <c r="Z2532" i="5"/>
  <c r="Z2531" i="5"/>
  <c r="Z2530" i="5"/>
  <c r="Z2529" i="5"/>
  <c r="Z2528" i="5"/>
  <c r="Z2527" i="5"/>
  <c r="Z2526" i="5"/>
  <c r="Z2525" i="5"/>
  <c r="Z2524" i="5"/>
  <c r="Z2523" i="5"/>
  <c r="Z2522" i="5"/>
  <c r="Z2521" i="5"/>
  <c r="Z2520" i="5"/>
  <c r="Z2519" i="5"/>
  <c r="Z2518" i="5"/>
  <c r="Z2517" i="5"/>
  <c r="Z2516" i="5"/>
  <c r="Z2515" i="5"/>
  <c r="Z2514" i="5"/>
  <c r="Z2513" i="5"/>
  <c r="Z2512" i="5"/>
  <c r="Z2511" i="5"/>
  <c r="Z2510" i="5"/>
  <c r="Z2509" i="5"/>
  <c r="Z2508" i="5"/>
  <c r="Z2507" i="5"/>
  <c r="Z2506" i="5"/>
  <c r="Z2505" i="5"/>
  <c r="Z2504" i="5"/>
  <c r="Z2503" i="5"/>
  <c r="Z2502" i="5"/>
  <c r="Z2501" i="5"/>
  <c r="Z2500" i="5"/>
  <c r="Z2499" i="5"/>
  <c r="Z2498" i="5"/>
  <c r="Z2497" i="5"/>
  <c r="Z2496" i="5"/>
  <c r="Z2495" i="5"/>
  <c r="Z2494" i="5"/>
  <c r="Z2493" i="5"/>
  <c r="Z2492" i="5"/>
  <c r="Z2491" i="5"/>
  <c r="Z2490" i="5"/>
  <c r="Z2489" i="5"/>
  <c r="Z2488" i="5"/>
  <c r="Z2487" i="5"/>
  <c r="Z2486" i="5"/>
  <c r="Z2485" i="5"/>
  <c r="Z2484" i="5"/>
  <c r="Z2483" i="5"/>
  <c r="Z2482" i="5"/>
  <c r="Z2481" i="5"/>
  <c r="Z2480" i="5"/>
  <c r="Z2479" i="5"/>
  <c r="Z2478" i="5"/>
  <c r="Z2477" i="5"/>
  <c r="Z2476" i="5"/>
  <c r="Z2475" i="5"/>
  <c r="Z2474" i="5"/>
  <c r="Z2473" i="5"/>
  <c r="Z2472" i="5"/>
  <c r="Z2471" i="5"/>
  <c r="Z2470" i="5"/>
  <c r="Z2469" i="5"/>
  <c r="Z2468" i="5"/>
  <c r="Z2467" i="5"/>
  <c r="Z2466" i="5"/>
  <c r="Z2465" i="5"/>
  <c r="Z2464" i="5"/>
  <c r="Z2463" i="5"/>
  <c r="Z2462" i="5"/>
  <c r="Z2461" i="5"/>
  <c r="Z2460" i="5"/>
  <c r="Z2459" i="5"/>
  <c r="Z2458" i="5"/>
  <c r="Z2457" i="5"/>
  <c r="Z2456" i="5"/>
  <c r="Z2455" i="5"/>
  <c r="Z2454" i="5"/>
  <c r="Z2453" i="5"/>
  <c r="Z2452" i="5"/>
  <c r="Z2451" i="5"/>
  <c r="Z2450" i="5"/>
  <c r="Z2449" i="5"/>
  <c r="Z2448" i="5"/>
  <c r="Z2447" i="5"/>
  <c r="Z2446" i="5"/>
  <c r="Z2445" i="5"/>
  <c r="Z2444" i="5"/>
  <c r="Z2443" i="5"/>
  <c r="Z2442" i="5"/>
  <c r="Z2441" i="5"/>
  <c r="Z2440" i="5"/>
  <c r="Z2439" i="5"/>
  <c r="Z2438" i="5"/>
  <c r="Z2437" i="5"/>
  <c r="Z2436" i="5"/>
  <c r="Z2435" i="5"/>
  <c r="Z2434" i="5"/>
  <c r="Z2433" i="5"/>
  <c r="Z2432" i="5"/>
  <c r="Z2431" i="5"/>
  <c r="Z2430" i="5"/>
  <c r="Z2429" i="5"/>
  <c r="Z2428" i="5"/>
  <c r="Z2427" i="5"/>
  <c r="Z2426" i="5"/>
  <c r="Z2425" i="5"/>
  <c r="Z2424" i="5"/>
  <c r="Z2423" i="5"/>
  <c r="Z2422" i="5"/>
  <c r="Z2421" i="5"/>
  <c r="Z2420" i="5"/>
  <c r="Z2419" i="5"/>
  <c r="Z2418" i="5"/>
  <c r="Z2417" i="5"/>
  <c r="Z2416" i="5"/>
  <c r="Z2415" i="5"/>
  <c r="Z2414" i="5"/>
  <c r="Z2413" i="5"/>
  <c r="Z2412" i="5"/>
  <c r="Z2411" i="5"/>
  <c r="Z2410" i="5"/>
  <c r="Z2409" i="5"/>
  <c r="Z2408" i="5"/>
  <c r="Z2407" i="5"/>
  <c r="Z2406" i="5"/>
  <c r="Z2405" i="5"/>
  <c r="Z2404" i="5"/>
  <c r="Z2403" i="5"/>
  <c r="Z2402" i="5"/>
  <c r="Z2401" i="5"/>
  <c r="Z2400" i="5"/>
  <c r="Z2399" i="5"/>
  <c r="Z2398" i="5"/>
  <c r="Z2397" i="5"/>
  <c r="Z2396" i="5"/>
  <c r="Z2395" i="5"/>
  <c r="Z2394" i="5"/>
  <c r="Z2393" i="5"/>
  <c r="Z2392" i="5"/>
  <c r="Z2391" i="5"/>
  <c r="Z2390" i="5"/>
  <c r="Z2389" i="5"/>
  <c r="Z2388" i="5"/>
  <c r="Z2387" i="5"/>
  <c r="Z2386" i="5"/>
  <c r="Z2385" i="5"/>
  <c r="Z2384" i="5"/>
  <c r="Z2383" i="5"/>
  <c r="Z2382" i="5"/>
  <c r="Z2381" i="5"/>
  <c r="Z2380" i="5"/>
  <c r="Z2379" i="5"/>
  <c r="Z2378" i="5"/>
  <c r="Z2377" i="5"/>
  <c r="Z2376" i="5"/>
  <c r="Z2375" i="5"/>
  <c r="Z2374" i="5"/>
  <c r="Z2373" i="5"/>
  <c r="Z2372" i="5"/>
  <c r="Z2371" i="5"/>
  <c r="Z2370" i="5"/>
  <c r="Z2369" i="5"/>
  <c r="Z2368" i="5"/>
  <c r="Z2367" i="5"/>
  <c r="Z2366" i="5"/>
  <c r="Z2365" i="5"/>
  <c r="Z2364" i="5"/>
  <c r="Z2363" i="5"/>
  <c r="Z2362" i="5"/>
  <c r="Z2361" i="5"/>
  <c r="Z2360" i="5"/>
  <c r="Z2359" i="5"/>
  <c r="Z2358" i="5"/>
  <c r="Z2357" i="5"/>
  <c r="Z2356" i="5"/>
  <c r="Z2355" i="5"/>
  <c r="Z2354" i="5"/>
  <c r="Z2353" i="5"/>
  <c r="Z2352" i="5"/>
  <c r="Z2351" i="5"/>
  <c r="Z2350" i="5"/>
  <c r="Z2349" i="5"/>
  <c r="Z2348" i="5"/>
  <c r="Z2347" i="5"/>
  <c r="Z2346" i="5"/>
  <c r="Z2345" i="5"/>
  <c r="Z2344" i="5"/>
  <c r="Z2343" i="5"/>
  <c r="Z2342" i="5"/>
  <c r="Z2341" i="5"/>
  <c r="Z2340" i="5"/>
  <c r="Z2339" i="5"/>
  <c r="Z2338" i="5"/>
  <c r="Z2337" i="5"/>
  <c r="Z2336" i="5"/>
  <c r="Z2335" i="5"/>
  <c r="Z2334" i="5"/>
  <c r="Z2333" i="5"/>
  <c r="Z2332" i="5"/>
  <c r="Z2331" i="5"/>
  <c r="Z2330" i="5"/>
  <c r="Z2329" i="5"/>
  <c r="Z2328" i="5"/>
  <c r="Z2327" i="5"/>
  <c r="Z2326" i="5"/>
  <c r="Z2325" i="5"/>
  <c r="Z2324" i="5"/>
  <c r="Z2323" i="5"/>
  <c r="Z2322" i="5"/>
  <c r="Z2321" i="5"/>
  <c r="Z2320" i="5"/>
  <c r="Z2319" i="5"/>
  <c r="Z2318" i="5"/>
  <c r="Z2317" i="5"/>
  <c r="Z2316" i="5"/>
  <c r="Z2315" i="5"/>
  <c r="Z2314" i="5"/>
  <c r="Z2313" i="5"/>
  <c r="Z2312" i="5"/>
  <c r="Z2311" i="5"/>
  <c r="Z2310" i="5"/>
  <c r="Z2309" i="5"/>
  <c r="Z2308" i="5"/>
  <c r="Z2307" i="5"/>
  <c r="Z2306" i="5"/>
  <c r="Z2305" i="5"/>
  <c r="Z2304" i="5"/>
  <c r="Z2303" i="5"/>
  <c r="Z2302" i="5"/>
  <c r="Z2301" i="5"/>
  <c r="Z2300" i="5"/>
  <c r="Z2299" i="5"/>
  <c r="Z2298" i="5"/>
  <c r="Z2297" i="5"/>
  <c r="Z2296" i="5"/>
  <c r="Z2295" i="5"/>
  <c r="Z2294" i="5"/>
  <c r="Z2293" i="5"/>
  <c r="Z2292" i="5"/>
  <c r="Z2291" i="5"/>
  <c r="Z2290" i="5"/>
  <c r="Z2289" i="5"/>
  <c r="Z2288" i="5"/>
  <c r="Z2287" i="5"/>
  <c r="Z2286" i="5"/>
  <c r="Z2285" i="5"/>
  <c r="Z2284" i="5"/>
  <c r="Z2283" i="5"/>
  <c r="Z2282" i="5"/>
  <c r="Z2281" i="5"/>
  <c r="Z2280" i="5"/>
  <c r="Z2279" i="5"/>
  <c r="Z2278" i="5"/>
  <c r="Z2277" i="5"/>
  <c r="Z2276" i="5"/>
  <c r="Z2275" i="5"/>
  <c r="Z2274" i="5"/>
  <c r="Z2273" i="5"/>
  <c r="Z2272" i="5"/>
  <c r="Z2271" i="5"/>
  <c r="Z2270" i="5"/>
  <c r="Z2269" i="5"/>
  <c r="Z2268" i="5"/>
  <c r="Z2267" i="5"/>
  <c r="Z2266" i="5"/>
  <c r="Z2265" i="5"/>
  <c r="Z2264" i="5"/>
  <c r="Z2263" i="5"/>
  <c r="Z2262" i="5"/>
  <c r="Z2261" i="5"/>
  <c r="Z2260" i="5"/>
  <c r="Z2259" i="5"/>
  <c r="Z2258" i="5"/>
  <c r="Z2257" i="5"/>
  <c r="Z2256" i="5"/>
  <c r="Z2255" i="5"/>
  <c r="Z2254" i="5"/>
  <c r="Z2253" i="5"/>
  <c r="Z2252" i="5"/>
  <c r="Z2251" i="5"/>
  <c r="Z2250" i="5"/>
  <c r="Z2249" i="5"/>
  <c r="Z2248" i="5"/>
  <c r="Z2247" i="5"/>
  <c r="Z2246" i="5"/>
  <c r="Z2245" i="5"/>
  <c r="Z2244" i="5"/>
  <c r="Z2243" i="5"/>
  <c r="Z2242" i="5"/>
  <c r="Z2241" i="5"/>
  <c r="Z2240" i="5"/>
  <c r="Z2239" i="5"/>
  <c r="Z2238" i="5"/>
  <c r="Z2237" i="5"/>
  <c r="Z2236" i="5"/>
  <c r="Z2235" i="5"/>
  <c r="Z2234" i="5"/>
  <c r="Z2233" i="5"/>
  <c r="Z2232" i="5"/>
  <c r="Z2231" i="5"/>
  <c r="Z2230" i="5"/>
  <c r="Z2229" i="5"/>
  <c r="Z2228" i="5"/>
  <c r="Z2227" i="5"/>
  <c r="Z2226" i="5"/>
  <c r="Z2225" i="5"/>
  <c r="Z2224" i="5"/>
  <c r="Z2223" i="5"/>
  <c r="Z2222" i="5"/>
  <c r="Z2221" i="5"/>
  <c r="Z2220" i="5"/>
  <c r="Z2219" i="5"/>
  <c r="Z2218" i="5"/>
  <c r="Z2217" i="5"/>
  <c r="Z2216" i="5"/>
  <c r="Z2215" i="5"/>
  <c r="Z2214" i="5"/>
  <c r="Z2213" i="5"/>
  <c r="Z2212" i="5"/>
  <c r="Z2211" i="5"/>
  <c r="Z2210" i="5"/>
  <c r="Z2209" i="5"/>
  <c r="Z2208" i="5"/>
  <c r="Z2207" i="5"/>
  <c r="Z2206" i="5"/>
  <c r="Z2205" i="5"/>
  <c r="Z2204" i="5"/>
  <c r="Z2203" i="5"/>
  <c r="Z2202" i="5"/>
  <c r="Z2201" i="5"/>
  <c r="Z2200" i="5"/>
  <c r="Z2199" i="5"/>
  <c r="Z2198" i="5"/>
  <c r="Z2197" i="5"/>
  <c r="Z2196" i="5"/>
  <c r="Z2195" i="5"/>
  <c r="Z2194" i="5"/>
  <c r="Z2193" i="5"/>
  <c r="Z2192" i="5"/>
  <c r="Z2191" i="5"/>
  <c r="Z2190" i="5"/>
  <c r="Z2189" i="5"/>
  <c r="Z2188" i="5"/>
  <c r="Z2187" i="5"/>
  <c r="Z2186" i="5"/>
  <c r="Z2185" i="5"/>
  <c r="Z2184" i="5"/>
  <c r="Z2183" i="5"/>
  <c r="Z2182" i="5"/>
  <c r="Z2181" i="5"/>
  <c r="Z2180" i="5"/>
  <c r="Z2179" i="5"/>
  <c r="Z2178" i="5"/>
  <c r="Z2177" i="5"/>
  <c r="Z2176" i="5"/>
  <c r="Z2175" i="5"/>
  <c r="Z2174" i="5"/>
  <c r="Z2173" i="5"/>
  <c r="Z2172" i="5"/>
  <c r="Z2171" i="5"/>
  <c r="Z2170" i="5"/>
  <c r="Z2169" i="5"/>
  <c r="Z2168" i="5"/>
  <c r="Z2167" i="5"/>
  <c r="Z2166" i="5"/>
  <c r="Z2165" i="5"/>
  <c r="Z2164" i="5"/>
  <c r="Z2163" i="5"/>
  <c r="Z2162" i="5"/>
  <c r="Z2161" i="5"/>
  <c r="Z2160" i="5"/>
  <c r="Z2159" i="5"/>
  <c r="Z2158" i="5"/>
  <c r="Z2157" i="5"/>
  <c r="Z2156" i="5"/>
  <c r="Z2155" i="5"/>
  <c r="Z2154" i="5"/>
  <c r="Z2153" i="5"/>
  <c r="Z2152" i="5"/>
  <c r="Z2151" i="5"/>
  <c r="Z2150" i="5"/>
  <c r="Z2149" i="5"/>
  <c r="Z2148" i="5"/>
  <c r="Z2147" i="5"/>
  <c r="Z2146" i="5"/>
  <c r="Z2145" i="5"/>
  <c r="Z2144" i="5"/>
  <c r="Z2143" i="5"/>
  <c r="Z2142" i="5"/>
  <c r="Z2141" i="5"/>
  <c r="Z2140" i="5"/>
  <c r="Z2139" i="5"/>
  <c r="Z2138" i="5"/>
  <c r="Z2137" i="5"/>
  <c r="Z2136" i="5"/>
  <c r="Z2135" i="5"/>
  <c r="Z2134" i="5"/>
  <c r="Z2133" i="5"/>
  <c r="Z2132" i="5"/>
  <c r="Z2131" i="5"/>
  <c r="Z2130" i="5"/>
  <c r="Z2129" i="5"/>
  <c r="Z2128" i="5"/>
  <c r="Z2127" i="5"/>
  <c r="Z2126" i="5"/>
  <c r="Z2125" i="5"/>
  <c r="Z2124" i="5"/>
  <c r="Z2123" i="5"/>
  <c r="Z2122" i="5"/>
  <c r="Z2121" i="5"/>
  <c r="Z2120" i="5"/>
  <c r="Z2119" i="5"/>
  <c r="Z2118" i="5"/>
  <c r="Z2117" i="5"/>
  <c r="Z2116" i="5"/>
  <c r="Z2115" i="5"/>
  <c r="Z2114" i="5"/>
  <c r="Z2113" i="5"/>
  <c r="Z2112" i="5"/>
  <c r="Z2111" i="5"/>
  <c r="Z2110" i="5"/>
  <c r="Z2109" i="5"/>
  <c r="Z2108" i="5"/>
  <c r="Z2107" i="5"/>
  <c r="Z2106" i="5"/>
  <c r="Z2105" i="5"/>
  <c r="Z2104" i="5"/>
  <c r="Z2103" i="5"/>
  <c r="Z2102" i="5"/>
  <c r="Z2101" i="5"/>
  <c r="Z2100" i="5"/>
  <c r="Z2099" i="5"/>
  <c r="Z2098" i="5"/>
  <c r="Z2097" i="5"/>
  <c r="Z2096" i="5"/>
  <c r="Z2095" i="5"/>
  <c r="Z2094" i="5"/>
  <c r="Z2093" i="5"/>
  <c r="Z2092" i="5"/>
  <c r="Z2091" i="5"/>
  <c r="Z2090" i="5"/>
  <c r="Z2089" i="5"/>
  <c r="Z2088" i="5"/>
  <c r="Z2087" i="5"/>
  <c r="Z2086" i="5"/>
  <c r="Z2085" i="5"/>
  <c r="Z2084" i="5"/>
  <c r="Z2083" i="5"/>
  <c r="Z2082" i="5"/>
  <c r="Z2081" i="5"/>
  <c r="Z2080" i="5"/>
  <c r="Z2079" i="5"/>
  <c r="Z2078" i="5"/>
  <c r="Z2077" i="5"/>
  <c r="Z2076" i="5"/>
  <c r="Z2075" i="5"/>
  <c r="Z2074" i="5"/>
  <c r="Z2073" i="5"/>
  <c r="Z2072" i="5"/>
  <c r="Z2071" i="5"/>
  <c r="Z2070" i="5"/>
  <c r="Z2069" i="5"/>
  <c r="Z2068" i="5"/>
  <c r="Z2067" i="5"/>
  <c r="Z2066" i="5"/>
  <c r="Z2065" i="5"/>
  <c r="Z2064" i="5"/>
  <c r="Z2063" i="5"/>
  <c r="Z2062" i="5"/>
  <c r="Z2061" i="5"/>
  <c r="Z2060" i="5"/>
  <c r="Z2059" i="5"/>
  <c r="Z2058" i="5"/>
  <c r="Z2057" i="5"/>
  <c r="Z2056" i="5"/>
  <c r="Z2055" i="5"/>
  <c r="Z2054" i="5"/>
  <c r="Z2053" i="5"/>
  <c r="Z2052" i="5"/>
  <c r="Z2051" i="5"/>
  <c r="Z2050" i="5"/>
  <c r="Z2049" i="5"/>
  <c r="Z2048" i="5"/>
  <c r="Z2047" i="5"/>
  <c r="Z2046" i="5"/>
  <c r="Z2045" i="5"/>
  <c r="Z2044" i="5"/>
  <c r="Z2043" i="5"/>
  <c r="Z2042" i="5"/>
  <c r="Z2041" i="5"/>
  <c r="Z2040" i="5"/>
  <c r="Z2039" i="5"/>
  <c r="Z2038" i="5"/>
  <c r="Z2037" i="5"/>
  <c r="Z2036" i="5"/>
  <c r="Z2035" i="5"/>
  <c r="Z2034" i="5"/>
  <c r="Z2033" i="5"/>
  <c r="Z2032" i="5"/>
  <c r="Z2031" i="5"/>
  <c r="Z2030" i="5"/>
  <c r="Z2029" i="5"/>
  <c r="Z2028" i="5"/>
  <c r="Z2027" i="5"/>
  <c r="Z2026" i="5"/>
  <c r="Z2025" i="5"/>
  <c r="Z2024" i="5"/>
  <c r="Z2023" i="5"/>
  <c r="Z2022" i="5"/>
  <c r="Z2021" i="5"/>
  <c r="Z2020" i="5"/>
  <c r="Z2019" i="5"/>
  <c r="Z2018" i="5"/>
  <c r="Z2017" i="5"/>
  <c r="Z2016" i="5"/>
  <c r="Z2015" i="5"/>
  <c r="Z2014" i="5"/>
  <c r="Z2013" i="5"/>
  <c r="Z2012" i="5"/>
  <c r="Z2011" i="5"/>
  <c r="Z2010" i="5"/>
  <c r="Z2009" i="5"/>
  <c r="Z2008" i="5"/>
  <c r="Z2007" i="5"/>
  <c r="Z2006" i="5"/>
  <c r="Z2005" i="5"/>
  <c r="Z2004" i="5"/>
  <c r="Z2003" i="5"/>
  <c r="Z2002" i="5"/>
  <c r="Z2001" i="5"/>
  <c r="Z2000" i="5"/>
  <c r="Z1999" i="5"/>
  <c r="Z1998" i="5"/>
  <c r="Z1997" i="5"/>
  <c r="Z1996" i="5"/>
  <c r="Z1995" i="5"/>
  <c r="Z1994" i="5"/>
  <c r="Z1993" i="5"/>
  <c r="Z1992" i="5"/>
  <c r="Z1991" i="5"/>
  <c r="Z1990" i="5"/>
  <c r="Z1989" i="5"/>
  <c r="Z1988" i="5"/>
  <c r="Z1987" i="5"/>
  <c r="Z1986" i="5"/>
  <c r="Z1985" i="5"/>
  <c r="Z1984" i="5"/>
  <c r="Z1983" i="5"/>
  <c r="Z1982" i="5"/>
  <c r="Z1981" i="5"/>
  <c r="Z1980" i="5"/>
  <c r="Z1979" i="5"/>
  <c r="Z1978" i="5"/>
  <c r="Z1977" i="5"/>
  <c r="Z1976" i="5"/>
  <c r="Z1975" i="5"/>
  <c r="Z1974" i="5"/>
  <c r="Z1973" i="5"/>
  <c r="Z1972" i="5"/>
  <c r="Z1971" i="5"/>
  <c r="Z1970" i="5"/>
  <c r="Z1969" i="5"/>
  <c r="Z1968" i="5"/>
  <c r="Z1967" i="5"/>
  <c r="Z1966" i="5"/>
  <c r="Z1965" i="5"/>
  <c r="Z1964" i="5"/>
  <c r="Z1963" i="5"/>
  <c r="Z1962" i="5"/>
  <c r="Z1961" i="5"/>
  <c r="Z1960" i="5"/>
  <c r="Z1959" i="5"/>
  <c r="Z1958" i="5"/>
  <c r="Z1957" i="5"/>
  <c r="Z1956" i="5"/>
  <c r="Z1955" i="5"/>
  <c r="Z1954" i="5"/>
  <c r="Z1953" i="5"/>
  <c r="Z1952" i="5"/>
  <c r="Z1951" i="5"/>
  <c r="Z1950" i="5"/>
  <c r="Z1949" i="5"/>
  <c r="Z1948" i="5"/>
  <c r="Z1947" i="5"/>
  <c r="Z1946" i="5"/>
  <c r="Z1945" i="5"/>
  <c r="Z1944" i="5"/>
  <c r="Z1943" i="5"/>
  <c r="Z1942" i="5"/>
  <c r="Z1941" i="5"/>
  <c r="Z1940" i="5"/>
  <c r="Z1939" i="5"/>
  <c r="Z1938" i="5"/>
  <c r="Z1937" i="5"/>
  <c r="Z1936" i="5"/>
  <c r="Z1935" i="5"/>
  <c r="Z1934" i="5"/>
  <c r="Z1933" i="5"/>
  <c r="Z1932" i="5"/>
  <c r="Z1931" i="5"/>
  <c r="Z1930" i="5"/>
  <c r="Z1929" i="5"/>
  <c r="Z1928" i="5"/>
  <c r="Z1927" i="5"/>
  <c r="Z1926" i="5"/>
  <c r="Z1925" i="5"/>
  <c r="Z1924" i="5"/>
  <c r="Z1923" i="5"/>
  <c r="Z1922" i="5"/>
  <c r="Z1921" i="5"/>
  <c r="Z1920" i="5"/>
  <c r="Z1919" i="5"/>
  <c r="Z1918" i="5"/>
  <c r="Z1917" i="5"/>
  <c r="Z1916" i="5"/>
  <c r="Z1915" i="5"/>
  <c r="Z1914" i="5"/>
  <c r="Z1913" i="5"/>
  <c r="Z1912" i="5"/>
  <c r="Z1911" i="5"/>
  <c r="Z1910" i="5"/>
  <c r="Z1909" i="5"/>
  <c r="Z1908" i="5"/>
  <c r="Z1907" i="5"/>
  <c r="Z1906" i="5"/>
  <c r="Z1905" i="5"/>
  <c r="Z1904" i="5"/>
  <c r="Z1903" i="5"/>
  <c r="Z1902" i="5"/>
  <c r="Z1901" i="5"/>
  <c r="Z1900" i="5"/>
  <c r="Z1899" i="5"/>
  <c r="Z1898" i="5"/>
  <c r="Z1897" i="5"/>
  <c r="Z1896" i="5"/>
  <c r="Z1895" i="5"/>
  <c r="Z1894" i="5"/>
  <c r="Z1893" i="5"/>
  <c r="Z1892" i="5"/>
  <c r="Z1891" i="5"/>
  <c r="Z1890" i="5"/>
  <c r="Z1889" i="5"/>
  <c r="Z1888" i="5"/>
  <c r="Z1887" i="5"/>
  <c r="Z1886" i="5"/>
  <c r="Z1885" i="5"/>
  <c r="Z1884" i="5"/>
  <c r="Z1883" i="5"/>
  <c r="Z1882" i="5"/>
  <c r="Z1881" i="5"/>
  <c r="Z1880" i="5"/>
  <c r="Z1879" i="5"/>
  <c r="Z1878" i="5"/>
  <c r="Z1877" i="5"/>
  <c r="Z1876" i="5"/>
  <c r="Z1875" i="5"/>
  <c r="Z1874" i="5"/>
  <c r="Z1873" i="5"/>
  <c r="Z1872" i="5"/>
  <c r="Z1871" i="5"/>
  <c r="Z1870" i="5"/>
  <c r="Z1869" i="5"/>
  <c r="Z1868" i="5"/>
  <c r="Z1867" i="5"/>
  <c r="Z1866" i="5"/>
  <c r="Z1865" i="5"/>
  <c r="Z1864" i="5"/>
  <c r="Z1863" i="5"/>
  <c r="Z1862" i="5"/>
  <c r="Z1861" i="5"/>
  <c r="Z1860" i="5"/>
  <c r="Z1859" i="5"/>
  <c r="Z1858" i="5"/>
  <c r="Z1857" i="5"/>
  <c r="Z1856" i="5"/>
  <c r="Z1855" i="5"/>
  <c r="Z1854" i="5"/>
  <c r="Z1853" i="5"/>
  <c r="Z1852" i="5"/>
  <c r="Z1851" i="5"/>
  <c r="Z1850" i="5"/>
  <c r="Z1849" i="5"/>
  <c r="Z1848" i="5"/>
  <c r="Z1847" i="5"/>
  <c r="Z1846" i="5"/>
  <c r="Z1845" i="5"/>
  <c r="Z1844" i="5"/>
  <c r="Z1843" i="5"/>
  <c r="Z1842" i="5"/>
  <c r="Z1841" i="5"/>
  <c r="Z1840" i="5"/>
  <c r="Z1839" i="5"/>
  <c r="Z1838" i="5"/>
  <c r="Z1837" i="5"/>
  <c r="Z1836" i="5"/>
  <c r="Z1835" i="5"/>
  <c r="Z1834" i="5"/>
  <c r="Z1833" i="5"/>
  <c r="Z1832" i="5"/>
  <c r="Z1831" i="5"/>
  <c r="Z1830" i="5"/>
  <c r="Z1829" i="5"/>
  <c r="Z1828" i="5"/>
  <c r="Z1827" i="5"/>
  <c r="Z1826" i="5"/>
  <c r="Z1825" i="5"/>
  <c r="Z1824" i="5"/>
  <c r="Z1823" i="5"/>
  <c r="Z1822" i="5"/>
  <c r="Z1821" i="5"/>
  <c r="Z1820" i="5"/>
  <c r="Z1819" i="5"/>
  <c r="Z1818" i="5"/>
  <c r="Z1817" i="5"/>
  <c r="Z1816" i="5"/>
  <c r="Z1815" i="5"/>
  <c r="Z1814" i="5"/>
  <c r="Z1813" i="5"/>
  <c r="Z1812" i="5"/>
  <c r="Z1811" i="5"/>
  <c r="Z1810" i="5"/>
  <c r="Z1809" i="5"/>
  <c r="Z1808" i="5"/>
  <c r="Z1807" i="5"/>
  <c r="Z1806" i="5"/>
  <c r="Z1805" i="5"/>
  <c r="Z1804" i="5"/>
  <c r="Z1803" i="5"/>
  <c r="Z1802" i="5"/>
  <c r="Z1801" i="5"/>
  <c r="Z1800" i="5"/>
  <c r="Z1799" i="5"/>
  <c r="Z1798" i="5"/>
  <c r="Z1797" i="5"/>
  <c r="Z1796" i="5"/>
  <c r="Z1795" i="5"/>
  <c r="Z1794" i="5"/>
  <c r="Z1793" i="5"/>
  <c r="Z1792" i="5"/>
  <c r="Z1791" i="5"/>
  <c r="Z1790" i="5"/>
  <c r="Z1789" i="5"/>
  <c r="Z1788" i="5"/>
  <c r="Z1787" i="5"/>
  <c r="Z1786" i="5"/>
  <c r="Z1785" i="5"/>
  <c r="Z1784" i="5"/>
  <c r="Z1783" i="5"/>
  <c r="Z1782" i="5"/>
  <c r="Z1781" i="5"/>
  <c r="Z1780" i="5"/>
  <c r="Z1779" i="5"/>
  <c r="Z1778" i="5"/>
  <c r="Z1777" i="5"/>
  <c r="Z1776" i="5"/>
  <c r="Z1775" i="5"/>
  <c r="Z1774" i="5"/>
  <c r="Z1773" i="5"/>
  <c r="Z1772" i="5"/>
  <c r="Z1771" i="5"/>
  <c r="Z1770" i="5"/>
  <c r="Z1769" i="5"/>
  <c r="Z1768" i="5"/>
  <c r="Z1767" i="5"/>
  <c r="Z1766" i="5"/>
  <c r="Z1765" i="5"/>
  <c r="Z1764" i="5"/>
  <c r="Z1763" i="5"/>
  <c r="Z1762" i="5"/>
  <c r="Z1761" i="5"/>
  <c r="Z1760" i="5"/>
  <c r="Z1759" i="5"/>
  <c r="Z1758" i="5"/>
  <c r="Z1757" i="5"/>
  <c r="Z1756" i="5"/>
  <c r="Z1755" i="5"/>
  <c r="Z1754" i="5"/>
  <c r="Z1753" i="5"/>
  <c r="Z1752" i="5"/>
  <c r="Z1751" i="5"/>
  <c r="Z1750" i="5"/>
  <c r="Z1749" i="5"/>
  <c r="Z1748" i="5"/>
  <c r="Z1747" i="5"/>
  <c r="Z1746" i="5"/>
  <c r="Z1745" i="5"/>
  <c r="Z1744" i="5"/>
  <c r="Z1743" i="5"/>
  <c r="Z1742" i="5"/>
  <c r="Z1741" i="5"/>
  <c r="Z1740" i="5"/>
  <c r="Z1739" i="5"/>
  <c r="Z1738" i="5"/>
  <c r="Z1737" i="5"/>
  <c r="Z1736" i="5"/>
  <c r="Z1735" i="5"/>
  <c r="Z1734" i="5"/>
  <c r="Z1733" i="5"/>
  <c r="Z1732" i="5"/>
  <c r="Z1731" i="5"/>
  <c r="Z1730" i="5"/>
  <c r="Z1729" i="5"/>
  <c r="Z1728" i="5"/>
  <c r="Z1727" i="5"/>
  <c r="Z1726" i="5"/>
  <c r="Z1725" i="5"/>
  <c r="Z1724" i="5"/>
  <c r="Z1723" i="5"/>
  <c r="Z1722" i="5"/>
  <c r="Z1721" i="5"/>
  <c r="Z1720" i="5"/>
  <c r="Z1719" i="5"/>
  <c r="Z1718" i="5"/>
  <c r="Z1717" i="5"/>
  <c r="Z1716" i="5"/>
  <c r="Z1715" i="5"/>
  <c r="Z1714" i="5"/>
  <c r="Z1713" i="5"/>
  <c r="Z1712" i="5"/>
  <c r="Z1711" i="5"/>
  <c r="Z1710" i="5"/>
  <c r="Z1709" i="5"/>
  <c r="Z1708" i="5"/>
  <c r="Z1707" i="5"/>
  <c r="Z1706" i="5"/>
  <c r="Z1705" i="5"/>
  <c r="Z1704" i="5"/>
  <c r="Z1703" i="5"/>
  <c r="Z1702" i="5"/>
  <c r="Z1701" i="5"/>
  <c r="Z1700" i="5"/>
  <c r="Z1699" i="5"/>
  <c r="Z1698" i="5"/>
  <c r="Z1697" i="5"/>
  <c r="Z1696" i="5"/>
  <c r="Z1695" i="5"/>
  <c r="Z1694" i="5"/>
  <c r="Z1693" i="5"/>
  <c r="Z1692" i="5"/>
  <c r="Z1691" i="5"/>
  <c r="Z1690" i="5"/>
  <c r="Z1689" i="5"/>
  <c r="Z1688" i="5"/>
  <c r="Z1687" i="5"/>
  <c r="Z1686" i="5"/>
  <c r="Z1685" i="5"/>
  <c r="Z1684" i="5"/>
  <c r="Z1683" i="5"/>
  <c r="Z1682" i="5"/>
  <c r="Z1681" i="5"/>
  <c r="Z1680" i="5"/>
  <c r="Z1679" i="5"/>
  <c r="Z1678" i="5"/>
  <c r="Z1677" i="5"/>
  <c r="Z1676" i="5"/>
  <c r="Z1675" i="5"/>
  <c r="Z1674" i="5"/>
  <c r="Z1673" i="5"/>
  <c r="Z1672" i="5"/>
  <c r="Z1671" i="5"/>
  <c r="Z1670" i="5"/>
  <c r="Z1669" i="5"/>
  <c r="Z1668" i="5"/>
  <c r="Z1667" i="5"/>
  <c r="Z1666" i="5"/>
  <c r="Z1665" i="5"/>
  <c r="Z1664" i="5"/>
  <c r="Z1663" i="5"/>
  <c r="Z1662" i="5"/>
  <c r="Z1661" i="5"/>
  <c r="Z1660" i="5"/>
  <c r="Z1659" i="5"/>
  <c r="Z1658" i="5"/>
  <c r="Z1657" i="5"/>
  <c r="Z1656" i="5"/>
  <c r="Z1655" i="5"/>
  <c r="Z1654" i="5"/>
  <c r="Z1653" i="5"/>
  <c r="Z1652" i="5"/>
  <c r="Z1651" i="5"/>
  <c r="Z1650" i="5"/>
  <c r="Z1649" i="5"/>
  <c r="Z1648" i="5"/>
  <c r="Z1647" i="5"/>
  <c r="Z1646" i="5"/>
  <c r="Z1645" i="5"/>
  <c r="Z1644" i="5"/>
  <c r="Z1643" i="5"/>
  <c r="Z1642" i="5"/>
  <c r="Z1641" i="5"/>
  <c r="Z1640" i="5"/>
  <c r="Z1639" i="5"/>
  <c r="Z1638" i="5"/>
  <c r="Z1637" i="5"/>
  <c r="Z1636" i="5"/>
  <c r="Z1635" i="5"/>
  <c r="Z1634" i="5"/>
  <c r="Z1633" i="5"/>
  <c r="Z1632" i="5"/>
  <c r="Z1631" i="5"/>
  <c r="Z1630" i="5"/>
  <c r="Z1629" i="5"/>
  <c r="Z1628" i="5"/>
  <c r="Z1627" i="5"/>
  <c r="Z1626" i="5"/>
  <c r="Z1625" i="5"/>
  <c r="Z1624" i="5"/>
  <c r="Z1623" i="5"/>
  <c r="Z1622" i="5"/>
  <c r="Z1621" i="5"/>
  <c r="Z1620" i="5"/>
  <c r="Z1619" i="5"/>
  <c r="Z1618" i="5"/>
  <c r="Z1617" i="5"/>
  <c r="Z1616" i="5"/>
  <c r="Z1615" i="5"/>
  <c r="Z1614" i="5"/>
  <c r="Z1613" i="5"/>
  <c r="Z1612" i="5"/>
  <c r="Z1611" i="5"/>
  <c r="Z1610" i="5"/>
  <c r="Z1609" i="5"/>
  <c r="Z1608" i="5"/>
  <c r="Z1607" i="5"/>
  <c r="Z1606" i="5"/>
  <c r="Z1605" i="5"/>
  <c r="Z1604" i="5"/>
  <c r="Z1603" i="5"/>
  <c r="Z1602" i="5"/>
  <c r="Z1601" i="5"/>
  <c r="Z1600" i="5"/>
  <c r="Z1599" i="5"/>
  <c r="Z1598" i="5"/>
  <c r="Z1597" i="5"/>
  <c r="Z1596" i="5"/>
  <c r="Z1595" i="5"/>
  <c r="Z1594" i="5"/>
  <c r="Z1593" i="5"/>
  <c r="Z1592" i="5"/>
  <c r="Z1591" i="5"/>
  <c r="Z1590" i="5"/>
  <c r="Z1589" i="5"/>
  <c r="Z1588" i="5"/>
  <c r="Z1587" i="5"/>
  <c r="Z1586" i="5"/>
  <c r="Z1585" i="5"/>
  <c r="Z1584" i="5"/>
  <c r="Z1583" i="5"/>
  <c r="Z1582" i="5"/>
  <c r="Z1581" i="5"/>
  <c r="Z1580" i="5"/>
  <c r="Z1579" i="5"/>
  <c r="Z1578" i="5"/>
  <c r="Z1577" i="5"/>
  <c r="Z1576" i="5"/>
  <c r="Z1575" i="5"/>
  <c r="Z1574" i="5"/>
  <c r="Z1573" i="5"/>
  <c r="Z1572" i="5"/>
  <c r="Z1571" i="5"/>
  <c r="Z1570" i="5"/>
  <c r="Z1569" i="5"/>
  <c r="Z1568" i="5"/>
  <c r="Z1567" i="5"/>
  <c r="Z1566" i="5"/>
  <c r="Z1565" i="5"/>
  <c r="Z1564" i="5"/>
  <c r="Z1563" i="5"/>
  <c r="Z1562" i="5"/>
  <c r="Z1561" i="5"/>
  <c r="Z1560" i="5"/>
  <c r="Z1559" i="5"/>
  <c r="Z1558" i="5"/>
  <c r="Z1557" i="5"/>
  <c r="Z1556" i="5"/>
  <c r="Z1555" i="5"/>
  <c r="Z1554" i="5"/>
  <c r="Z1553" i="5"/>
  <c r="Z1552" i="5"/>
  <c r="Z1551" i="5"/>
  <c r="Z1550" i="5"/>
  <c r="Z1549" i="5"/>
  <c r="Z1548" i="5"/>
  <c r="Z1547" i="5"/>
  <c r="Z1546" i="5"/>
  <c r="Z1545" i="5"/>
  <c r="Z1544" i="5"/>
  <c r="Z1543" i="5"/>
  <c r="Z1542" i="5"/>
  <c r="Z1541" i="5"/>
  <c r="Z1540" i="5"/>
  <c r="Z1539" i="5"/>
  <c r="Z1538" i="5"/>
  <c r="Z1537" i="5"/>
  <c r="Z1536" i="5"/>
  <c r="Z1535" i="5"/>
  <c r="Z1534" i="5"/>
  <c r="Z1533" i="5"/>
  <c r="Z1532" i="5"/>
  <c r="Z1531" i="5"/>
  <c r="Z1530" i="5"/>
  <c r="Z1529" i="5"/>
  <c r="Z1528" i="5"/>
  <c r="Z1527" i="5"/>
  <c r="Z1526" i="5"/>
  <c r="Z1525" i="5"/>
  <c r="Z1524" i="5"/>
  <c r="Z1523" i="5"/>
  <c r="Z1522" i="5"/>
  <c r="Z1521" i="5"/>
  <c r="Z1520" i="5"/>
  <c r="Z1519" i="5"/>
  <c r="Z1518" i="5"/>
  <c r="Z1517" i="5"/>
  <c r="Z1516" i="5"/>
  <c r="Z1515" i="5"/>
  <c r="Z1514" i="5"/>
  <c r="Z1513" i="5"/>
  <c r="Z1512" i="5"/>
  <c r="Z1511" i="5"/>
  <c r="Z1510" i="5"/>
  <c r="Z1509" i="5"/>
  <c r="Z1508" i="5"/>
  <c r="Z1507" i="5"/>
  <c r="Z1506" i="5"/>
  <c r="Z1505" i="5"/>
  <c r="Z1504" i="5"/>
  <c r="Z1503" i="5"/>
  <c r="Z1502" i="5"/>
  <c r="Z1501" i="5"/>
  <c r="Z1500" i="5"/>
  <c r="Z1499" i="5"/>
  <c r="Z1498" i="5"/>
  <c r="Z1497" i="5"/>
  <c r="Z1496" i="5"/>
  <c r="Z1495" i="5"/>
  <c r="Z1494" i="5"/>
  <c r="Z1493" i="5"/>
  <c r="Z1492" i="5"/>
  <c r="Z1491" i="5"/>
  <c r="Z1490" i="5"/>
  <c r="Z1489" i="5"/>
  <c r="Z1488" i="5"/>
  <c r="Z1487" i="5"/>
  <c r="Z1486" i="5"/>
  <c r="Z1485" i="5"/>
  <c r="Z1484" i="5"/>
  <c r="Z1483" i="5"/>
  <c r="Z1482" i="5"/>
  <c r="Z1481" i="5"/>
  <c r="Z1480" i="5"/>
  <c r="Z1479" i="5"/>
  <c r="Z1478" i="5"/>
  <c r="Z1477" i="5"/>
  <c r="Z1476" i="5"/>
  <c r="Z1475" i="5"/>
  <c r="Z1474" i="5"/>
  <c r="Z1473" i="5"/>
  <c r="Z1472" i="5"/>
  <c r="Z1471" i="5"/>
  <c r="Z1470" i="5"/>
  <c r="Z1469" i="5"/>
  <c r="Z1468" i="5"/>
  <c r="Z1467" i="5"/>
  <c r="Z1466" i="5"/>
  <c r="Z1465" i="5"/>
  <c r="Z1464" i="5"/>
  <c r="Z1463" i="5"/>
  <c r="Z1462" i="5"/>
  <c r="Z1461" i="5"/>
  <c r="Z1460" i="5"/>
  <c r="Z1459" i="5"/>
  <c r="Z1458" i="5"/>
  <c r="Z1457" i="5"/>
  <c r="Z1456" i="5"/>
  <c r="Z1455" i="5"/>
  <c r="Z1454" i="5"/>
  <c r="Z1453" i="5"/>
  <c r="Z1452" i="5"/>
  <c r="Z1451" i="5"/>
  <c r="Z1450" i="5"/>
  <c r="Z1449" i="5"/>
  <c r="Z1448" i="5"/>
  <c r="Z1447" i="5"/>
  <c r="Z1446" i="5"/>
  <c r="Z1445" i="5"/>
  <c r="Z1444" i="5"/>
  <c r="Z1443" i="5"/>
  <c r="Z1442" i="5"/>
  <c r="Z1441" i="5"/>
  <c r="Z1440" i="5"/>
  <c r="Z1439" i="5"/>
  <c r="Z1438" i="5"/>
  <c r="Z1437" i="5"/>
  <c r="Z1436" i="5"/>
  <c r="Z1435" i="5"/>
  <c r="Z1434" i="5"/>
  <c r="Z1433" i="5"/>
  <c r="Z1432" i="5"/>
  <c r="Z1431" i="5"/>
  <c r="Z1430" i="5"/>
  <c r="Z1429" i="5"/>
  <c r="Z1428" i="5"/>
  <c r="Z1427" i="5"/>
  <c r="Z1426" i="5"/>
  <c r="Z1425" i="5"/>
  <c r="Z1424" i="5"/>
  <c r="Z1423" i="5"/>
  <c r="Z1422" i="5"/>
  <c r="Z1421" i="5"/>
  <c r="Z1420" i="5"/>
  <c r="Z1419" i="5"/>
  <c r="Z1418" i="5"/>
  <c r="Z1417" i="5"/>
  <c r="Z1416" i="5"/>
  <c r="Z1415" i="5"/>
  <c r="Z1414" i="5"/>
  <c r="Z1413" i="5"/>
  <c r="Z1412" i="5"/>
  <c r="Z1411" i="5"/>
  <c r="Z1410" i="5"/>
  <c r="Z1409" i="5"/>
  <c r="Z1408" i="5"/>
  <c r="Z1407" i="5"/>
  <c r="Z1406" i="5"/>
  <c r="Z1405" i="5"/>
  <c r="Z1404" i="5"/>
  <c r="Z1403" i="5"/>
  <c r="Z1402" i="5"/>
  <c r="Z1401" i="5"/>
  <c r="Z1400" i="5"/>
  <c r="Z1399" i="5"/>
  <c r="Z1398" i="5"/>
  <c r="Z1397" i="5"/>
  <c r="Z1396" i="5"/>
  <c r="Z1395" i="5"/>
  <c r="Z1394" i="5"/>
  <c r="Z1393" i="5"/>
  <c r="Z1392" i="5"/>
  <c r="Z1391" i="5"/>
  <c r="Z1390" i="5"/>
  <c r="Z1389" i="5"/>
  <c r="Z1388" i="5"/>
  <c r="Z1387" i="5"/>
  <c r="Z1386" i="5"/>
  <c r="Z1385" i="5"/>
  <c r="Z1384" i="5"/>
  <c r="Z1383" i="5"/>
  <c r="Z1382" i="5"/>
  <c r="Z1381" i="5"/>
  <c r="Z1380" i="5"/>
  <c r="Z1379" i="5"/>
  <c r="Z1378" i="5"/>
  <c r="Z1377" i="5"/>
  <c r="Z1376" i="5"/>
  <c r="Z1375" i="5"/>
  <c r="Z1374" i="5"/>
  <c r="Z1373" i="5"/>
  <c r="Z1372" i="5"/>
  <c r="Z1371" i="5"/>
  <c r="Z1370" i="5"/>
  <c r="Z1369" i="5"/>
  <c r="Z1368" i="5"/>
  <c r="Z1367" i="5"/>
  <c r="Z1366" i="5"/>
  <c r="Z1365" i="5"/>
  <c r="Z1364" i="5"/>
  <c r="Z1363" i="5"/>
  <c r="Z1362" i="5"/>
  <c r="Z1361" i="5"/>
  <c r="Z1360" i="5"/>
  <c r="Z1359" i="5"/>
  <c r="Z1358" i="5"/>
  <c r="Z1357" i="5"/>
  <c r="Z1356" i="5"/>
  <c r="Z1355" i="5"/>
  <c r="Z1354" i="5"/>
  <c r="Z1353" i="5"/>
  <c r="Z1352" i="5"/>
  <c r="Z1351" i="5"/>
  <c r="Z1350" i="5"/>
  <c r="Z1349" i="5"/>
  <c r="Z1348" i="5"/>
  <c r="Z1347" i="5"/>
  <c r="Z1346" i="5"/>
  <c r="Z1345" i="5"/>
  <c r="Z1344" i="5"/>
  <c r="Z1343" i="5"/>
  <c r="Z1342" i="5"/>
  <c r="Z1341" i="5"/>
  <c r="Z1340" i="5"/>
  <c r="Z1339" i="5"/>
  <c r="Z1338" i="5"/>
  <c r="Z1337" i="5"/>
  <c r="Z1336" i="5"/>
  <c r="Z1335" i="5"/>
  <c r="Z1334" i="5"/>
  <c r="Z1333" i="5"/>
  <c r="Z1332" i="5"/>
  <c r="Z1331" i="5"/>
  <c r="Z1330" i="5"/>
  <c r="Z1329" i="5"/>
  <c r="Z1328" i="5"/>
  <c r="Z1327" i="5"/>
  <c r="Z1326" i="5"/>
  <c r="Z1325" i="5"/>
  <c r="Z1324" i="5"/>
  <c r="Z1323" i="5"/>
  <c r="Z1322" i="5"/>
  <c r="Z1321" i="5"/>
  <c r="Z1320" i="5"/>
  <c r="Z1319" i="5"/>
  <c r="Z1318" i="5"/>
  <c r="Z1317" i="5"/>
  <c r="Z1316" i="5"/>
  <c r="Z1315" i="5"/>
  <c r="Z1314" i="5"/>
  <c r="Z1313" i="5"/>
  <c r="Z1312" i="5"/>
  <c r="Z1311" i="5"/>
  <c r="Z1310" i="5"/>
  <c r="Z1309" i="5"/>
  <c r="Z1308" i="5"/>
  <c r="Z1307" i="5"/>
  <c r="Z1306" i="5"/>
  <c r="Z1305" i="5"/>
  <c r="Z1304" i="5"/>
  <c r="Z1303" i="5"/>
  <c r="Z1302" i="5"/>
  <c r="Z1301" i="5"/>
  <c r="Z1300" i="5"/>
  <c r="Z1299" i="5"/>
  <c r="Z1298" i="5"/>
  <c r="Z1297" i="5"/>
  <c r="Z1296" i="5"/>
  <c r="Z1295" i="5"/>
  <c r="Z1294" i="5"/>
  <c r="Z1293" i="5"/>
  <c r="Z1292" i="5"/>
  <c r="Z1291" i="5"/>
  <c r="Z1290" i="5"/>
  <c r="Z1289" i="5"/>
  <c r="Z1288" i="5"/>
  <c r="Z1287" i="5"/>
  <c r="Z1286" i="5"/>
  <c r="Z1285" i="5"/>
  <c r="Z1284" i="5"/>
  <c r="Z1283" i="5"/>
  <c r="Z1282" i="5"/>
  <c r="Z1281" i="5"/>
  <c r="Z1280" i="5"/>
  <c r="Z1279" i="5"/>
  <c r="Z1278" i="5"/>
  <c r="Z1277" i="5"/>
  <c r="Z1276" i="5"/>
  <c r="Z1275" i="5"/>
  <c r="Z1274" i="5"/>
  <c r="Z1273" i="5"/>
  <c r="Z1272" i="5"/>
  <c r="Z1271" i="5"/>
  <c r="Z1270" i="5"/>
  <c r="Z1269" i="5"/>
  <c r="Z1268" i="5"/>
  <c r="Z1267" i="5"/>
  <c r="Z1266" i="5"/>
  <c r="Z1265" i="5"/>
  <c r="Z1264" i="5"/>
  <c r="Z1263" i="5"/>
  <c r="Z1262" i="5"/>
  <c r="Z1261" i="5"/>
  <c r="Z1260" i="5"/>
  <c r="Z1259" i="5"/>
  <c r="Z1258" i="5"/>
  <c r="Z1257" i="5"/>
  <c r="Z1256" i="5"/>
  <c r="Z1255" i="5"/>
  <c r="Z1254" i="5"/>
  <c r="Z1253" i="5"/>
  <c r="Z1252" i="5"/>
  <c r="Z1251" i="5"/>
  <c r="Z1250" i="5"/>
  <c r="Z1249" i="5"/>
  <c r="Z1248" i="5"/>
  <c r="Z1247" i="5"/>
  <c r="Z1246" i="5"/>
  <c r="Z1245" i="5"/>
  <c r="Z1244" i="5"/>
  <c r="Z1243" i="5"/>
  <c r="Z1242" i="5"/>
  <c r="Z1241" i="5"/>
  <c r="Z1240" i="5"/>
  <c r="Z1239" i="5"/>
  <c r="Z1238" i="5"/>
  <c r="Z1237" i="5"/>
  <c r="Z1236" i="5"/>
  <c r="Z1235" i="5"/>
  <c r="Z1234" i="5"/>
  <c r="Z1233" i="5"/>
  <c r="Z1232" i="5"/>
  <c r="Z1231" i="5"/>
  <c r="Z1230" i="5"/>
  <c r="Z1229" i="5"/>
  <c r="Z1228" i="5"/>
  <c r="Z1227" i="5"/>
  <c r="Z1226" i="5"/>
  <c r="Z1225" i="5"/>
  <c r="Z1224" i="5"/>
  <c r="Z1223" i="5"/>
  <c r="Z1222" i="5"/>
  <c r="Z1221" i="5"/>
  <c r="Z1220" i="5"/>
  <c r="Z1219" i="5"/>
  <c r="Z1218" i="5"/>
  <c r="Z1217" i="5"/>
  <c r="Z1216" i="5"/>
  <c r="Z1215" i="5"/>
  <c r="Z1214" i="5"/>
  <c r="Z1213" i="5"/>
  <c r="Z1212" i="5"/>
  <c r="Z1211" i="5"/>
  <c r="Z1210" i="5"/>
  <c r="Z1209" i="5"/>
  <c r="Z1208" i="5"/>
  <c r="Z1207" i="5"/>
  <c r="Z1206" i="5"/>
  <c r="Z1205" i="5"/>
  <c r="Z1204" i="5"/>
  <c r="Z1203" i="5"/>
  <c r="Z1202" i="5"/>
  <c r="Z1201" i="5"/>
  <c r="Z1200" i="5"/>
  <c r="Z1199" i="5"/>
  <c r="Z1198" i="5"/>
  <c r="Z1197" i="5"/>
  <c r="Z1196" i="5"/>
  <c r="Z1195" i="5"/>
  <c r="Z1194" i="5"/>
  <c r="Z1193" i="5"/>
  <c r="Z1192" i="5"/>
  <c r="Z1191" i="5"/>
  <c r="Z1190" i="5"/>
  <c r="Z1189" i="5"/>
  <c r="Z1188" i="5"/>
  <c r="Z1187" i="5"/>
  <c r="Z1186" i="5"/>
  <c r="Z1185" i="5"/>
  <c r="Z1184" i="5"/>
  <c r="Z1183" i="5"/>
  <c r="Z1182" i="5"/>
  <c r="Z1181" i="5"/>
  <c r="Z1180" i="5"/>
  <c r="Z1179" i="5"/>
  <c r="Z1178" i="5"/>
  <c r="Z1177" i="5"/>
  <c r="Z1176" i="5"/>
  <c r="Z1175" i="5"/>
  <c r="Z1174" i="5"/>
  <c r="Z1173" i="5"/>
  <c r="Z1172" i="5"/>
  <c r="Z1171" i="5"/>
  <c r="Z1170" i="5"/>
  <c r="Z1169" i="5"/>
  <c r="Z1168" i="5"/>
  <c r="Z1167" i="5"/>
  <c r="Z1166" i="5"/>
  <c r="Z1165" i="5"/>
  <c r="Z1164" i="5"/>
  <c r="Z1163" i="5"/>
  <c r="Z1162" i="5"/>
  <c r="Z1161" i="5"/>
  <c r="Z1160" i="5"/>
  <c r="Z1159" i="5"/>
  <c r="Z1158" i="5"/>
  <c r="Z1157" i="5"/>
  <c r="Z1156" i="5"/>
  <c r="Z1155" i="5"/>
  <c r="Z1154" i="5"/>
  <c r="Z1153" i="5"/>
  <c r="Z1152" i="5"/>
  <c r="Z1151" i="5"/>
  <c r="Z1150" i="5"/>
  <c r="Z1149" i="5"/>
  <c r="Z1148" i="5"/>
  <c r="Z1147" i="5"/>
  <c r="Z1146" i="5"/>
  <c r="Z1145" i="5"/>
  <c r="Z1144" i="5"/>
  <c r="Z1143" i="5"/>
  <c r="Z1142" i="5"/>
  <c r="Z1141" i="5"/>
  <c r="Z1140" i="5"/>
  <c r="Z1139" i="5"/>
  <c r="Z1138" i="5"/>
  <c r="Z1137" i="5"/>
  <c r="Z1136" i="5"/>
  <c r="Z1135" i="5"/>
  <c r="Z1134" i="5"/>
  <c r="Z1133" i="5"/>
  <c r="Z1132" i="5"/>
  <c r="Z1131" i="5"/>
  <c r="Z1130" i="5"/>
  <c r="Z1129" i="5"/>
  <c r="Z1128" i="5"/>
  <c r="Z1127" i="5"/>
  <c r="Z1126" i="5"/>
  <c r="Z1125" i="5"/>
  <c r="Z1124" i="5"/>
  <c r="Z1123" i="5"/>
  <c r="Z1122" i="5"/>
  <c r="Z1121" i="5"/>
  <c r="Z1120" i="5"/>
  <c r="Z1119" i="5"/>
  <c r="Z1118" i="5"/>
  <c r="Z1117" i="5"/>
  <c r="Z1116" i="5"/>
  <c r="Z1115" i="5"/>
  <c r="Z1114" i="5"/>
  <c r="Z1113" i="5"/>
  <c r="Z1112" i="5"/>
  <c r="Z1111" i="5"/>
  <c r="Z1110" i="5"/>
  <c r="Z1109" i="5"/>
  <c r="Z1108" i="5"/>
  <c r="Z1107" i="5"/>
  <c r="Z1106" i="5"/>
  <c r="Z1105" i="5"/>
  <c r="Z1104" i="5"/>
  <c r="Z1103" i="5"/>
  <c r="Z1102" i="5"/>
  <c r="Z1101" i="5"/>
  <c r="Z1100" i="5"/>
  <c r="Z1099" i="5"/>
  <c r="Z1098" i="5"/>
  <c r="Z1097" i="5"/>
  <c r="Z1096" i="5"/>
  <c r="Z1095" i="5"/>
  <c r="Z1094" i="5"/>
  <c r="Z1093" i="5"/>
  <c r="Z1092" i="5"/>
  <c r="Z1091" i="5"/>
  <c r="Z1090" i="5"/>
  <c r="Z1089" i="5"/>
  <c r="Z1088" i="5"/>
  <c r="Z1087" i="5"/>
  <c r="Z1086" i="5"/>
  <c r="Z1085" i="5"/>
  <c r="Z1084" i="5"/>
  <c r="Z1083" i="5"/>
  <c r="Z1082" i="5"/>
  <c r="Z1081" i="5"/>
  <c r="Z1080" i="5"/>
  <c r="Z1079" i="5"/>
  <c r="Z1078" i="5"/>
  <c r="Z1077" i="5"/>
  <c r="Z1076" i="5"/>
  <c r="Z1075" i="5"/>
  <c r="Z1074" i="5"/>
  <c r="Z1073" i="5"/>
  <c r="Z1072" i="5"/>
  <c r="Z1071" i="5"/>
  <c r="Z1070" i="5"/>
  <c r="Z1069" i="5"/>
  <c r="Z1068" i="5"/>
  <c r="Z1067" i="5"/>
  <c r="Z1066" i="5"/>
  <c r="Z1065" i="5"/>
  <c r="Z1064" i="5"/>
  <c r="Z1063" i="5"/>
  <c r="Z1062" i="5"/>
  <c r="Z1061" i="5"/>
  <c r="Z1060" i="5"/>
  <c r="Z1059" i="5"/>
  <c r="Z1058" i="5"/>
  <c r="Z1057" i="5"/>
  <c r="Z1056" i="5"/>
  <c r="Z1055" i="5"/>
  <c r="Z1054" i="5"/>
  <c r="Z1053" i="5"/>
  <c r="Z1052" i="5"/>
  <c r="Z1051" i="5"/>
  <c r="Z1050" i="5"/>
  <c r="Z1049" i="5"/>
  <c r="Z1048" i="5"/>
  <c r="Z1047" i="5"/>
  <c r="Z1046" i="5"/>
  <c r="Z1045" i="5"/>
  <c r="Z1044" i="5"/>
  <c r="Z1043" i="5"/>
  <c r="Z1042" i="5"/>
  <c r="Z1041" i="5"/>
  <c r="Z1040" i="5"/>
  <c r="Z1039" i="5"/>
  <c r="Z1038" i="5"/>
  <c r="Z1037" i="5"/>
  <c r="Z1036" i="5"/>
  <c r="Z1035" i="5"/>
  <c r="Z1034" i="5"/>
  <c r="Z1033" i="5"/>
  <c r="Z1032" i="5"/>
  <c r="Z1031" i="5"/>
  <c r="Z1030" i="5"/>
  <c r="Z1029" i="5"/>
  <c r="Z1028" i="5"/>
  <c r="Z1027" i="5"/>
  <c r="Z1026" i="5"/>
  <c r="Z1025" i="5"/>
  <c r="Z1024" i="5"/>
  <c r="Z1023" i="5"/>
  <c r="Z1022" i="5"/>
  <c r="Z1021" i="5"/>
  <c r="Z1020" i="5"/>
  <c r="Z1019" i="5"/>
  <c r="Z1018" i="5"/>
  <c r="Z1017" i="5"/>
  <c r="Z1016" i="5"/>
  <c r="Z1015" i="5"/>
  <c r="Z1014" i="5"/>
  <c r="Z1013" i="5"/>
  <c r="Z1012" i="5"/>
  <c r="Z1011" i="5"/>
  <c r="Z1010" i="5"/>
  <c r="Z1009" i="5"/>
  <c r="Z1008" i="5"/>
  <c r="Z1007" i="5"/>
  <c r="Z1006" i="5"/>
  <c r="Z1005" i="5"/>
  <c r="Z1004" i="5"/>
  <c r="Z1003" i="5"/>
  <c r="Z1002" i="5"/>
  <c r="Z1001" i="5"/>
  <c r="Z1000" i="5"/>
  <c r="Z999" i="5"/>
  <c r="Z998" i="5"/>
  <c r="Z997" i="5"/>
  <c r="Z996" i="5"/>
  <c r="Z995" i="5"/>
  <c r="Z994" i="5"/>
  <c r="Z993" i="5"/>
  <c r="Z992" i="5"/>
  <c r="Z991" i="5"/>
  <c r="Z990" i="5"/>
  <c r="Z989" i="5"/>
  <c r="Z988" i="5"/>
  <c r="Z987" i="5"/>
  <c r="Z986" i="5"/>
  <c r="Z985" i="5"/>
  <c r="Z984" i="5"/>
  <c r="Z983" i="5"/>
  <c r="Z982" i="5"/>
  <c r="Z981" i="5"/>
  <c r="Z980" i="5"/>
  <c r="Z979" i="5"/>
  <c r="Z978" i="5"/>
  <c r="Z977" i="5"/>
  <c r="Z976" i="5"/>
  <c r="Z975" i="5"/>
  <c r="Z974" i="5"/>
  <c r="Z973" i="5"/>
  <c r="Z972" i="5"/>
  <c r="Z971" i="5"/>
  <c r="Z970" i="5"/>
  <c r="Z969" i="5"/>
  <c r="Z968" i="5"/>
  <c r="Z967" i="5"/>
  <c r="Z966" i="5"/>
  <c r="Z965" i="5"/>
  <c r="Z964" i="5"/>
  <c r="Z963" i="5"/>
  <c r="Z962" i="5"/>
  <c r="Z961" i="5"/>
  <c r="Z960" i="5"/>
  <c r="Z959" i="5"/>
  <c r="Z958" i="5"/>
  <c r="Z957" i="5"/>
  <c r="Z956" i="5"/>
  <c r="Z955" i="5"/>
  <c r="Z954" i="5"/>
  <c r="Z953" i="5"/>
  <c r="Z952" i="5"/>
  <c r="Z951" i="5"/>
  <c r="Z950" i="5"/>
  <c r="Z949" i="5"/>
  <c r="Z948" i="5"/>
  <c r="Z947" i="5"/>
  <c r="Z946" i="5"/>
  <c r="Z945" i="5"/>
  <c r="Z944" i="5"/>
  <c r="Z943" i="5"/>
  <c r="Z942" i="5"/>
  <c r="Z941" i="5"/>
  <c r="Z940" i="5"/>
  <c r="Z939" i="5"/>
  <c r="Z938" i="5"/>
  <c r="Z937" i="5"/>
  <c r="Z936" i="5"/>
  <c r="Z935" i="5"/>
  <c r="Z934" i="5"/>
  <c r="Z933" i="5"/>
  <c r="Z932" i="5"/>
  <c r="Z931" i="5"/>
  <c r="Z930" i="5"/>
  <c r="Z929" i="5"/>
  <c r="Z928" i="5"/>
  <c r="Z927" i="5"/>
  <c r="Z926" i="5"/>
  <c r="Z925" i="5"/>
  <c r="Z924" i="5"/>
  <c r="Z923" i="5"/>
  <c r="Z922" i="5"/>
  <c r="Z921" i="5"/>
  <c r="Z920" i="5"/>
  <c r="Z919" i="5"/>
  <c r="Z918" i="5"/>
  <c r="Z917" i="5"/>
  <c r="Z916" i="5"/>
  <c r="Z915" i="5"/>
  <c r="Z914" i="5"/>
  <c r="Z913" i="5"/>
  <c r="Z912" i="5"/>
  <c r="Z911" i="5"/>
  <c r="Z910" i="5"/>
  <c r="Z909" i="5"/>
  <c r="Z908" i="5"/>
  <c r="Z907" i="5"/>
  <c r="Z906" i="5"/>
  <c r="Z905" i="5"/>
  <c r="Z904" i="5"/>
  <c r="Z903" i="5"/>
  <c r="Z902" i="5"/>
  <c r="Z901" i="5"/>
  <c r="Z900" i="5"/>
  <c r="Z899" i="5"/>
  <c r="Z898" i="5"/>
  <c r="Z897" i="5"/>
  <c r="Z896" i="5"/>
  <c r="Z895" i="5"/>
  <c r="Z894" i="5"/>
  <c r="Z893" i="5"/>
  <c r="Z892" i="5"/>
  <c r="Z891" i="5"/>
  <c r="Z890" i="5"/>
  <c r="Z889" i="5"/>
  <c r="Z888" i="5"/>
  <c r="Z887" i="5"/>
  <c r="Z886" i="5"/>
  <c r="Z885" i="5"/>
  <c r="Z884" i="5"/>
  <c r="Z883" i="5"/>
  <c r="Z882" i="5"/>
  <c r="Z881" i="5"/>
  <c r="Z880" i="5"/>
  <c r="Z879" i="5"/>
  <c r="Z878" i="5"/>
  <c r="Z877" i="5"/>
  <c r="Z876" i="5"/>
  <c r="Z875" i="5"/>
  <c r="Z874" i="5"/>
  <c r="Z873" i="5"/>
  <c r="Z872" i="5"/>
  <c r="Z871" i="5"/>
  <c r="Z870" i="5"/>
  <c r="Z869" i="5"/>
  <c r="Z868" i="5"/>
  <c r="Z867" i="5"/>
  <c r="Z866" i="5"/>
  <c r="Z865" i="5"/>
  <c r="Z864" i="5"/>
  <c r="Z863" i="5"/>
  <c r="Z862" i="5"/>
  <c r="Z861" i="5"/>
  <c r="Z860" i="5"/>
  <c r="Z859" i="5"/>
  <c r="Z858" i="5"/>
  <c r="Z857" i="5"/>
  <c r="Z856" i="5"/>
  <c r="Z855" i="5"/>
  <c r="Z854" i="5"/>
  <c r="Z853" i="5"/>
  <c r="Z852" i="5"/>
  <c r="Z851" i="5"/>
  <c r="Z850" i="5"/>
  <c r="Z849" i="5"/>
  <c r="Z848" i="5"/>
  <c r="Z847" i="5"/>
  <c r="Z846" i="5"/>
  <c r="Z845" i="5"/>
  <c r="Z844" i="5"/>
  <c r="Z843" i="5"/>
  <c r="Z842" i="5"/>
  <c r="Z841" i="5"/>
  <c r="Z840" i="5"/>
  <c r="Z839" i="5"/>
  <c r="Z838" i="5"/>
  <c r="Z837" i="5"/>
  <c r="Z836" i="5"/>
  <c r="Z835" i="5"/>
  <c r="Z834" i="5"/>
  <c r="Z833" i="5"/>
  <c r="Z832" i="5"/>
  <c r="Z831" i="5"/>
  <c r="Z830" i="5"/>
  <c r="Z829" i="5"/>
  <c r="Z828" i="5"/>
  <c r="Z827" i="5"/>
  <c r="Z826" i="5"/>
  <c r="Z825" i="5"/>
  <c r="Z824" i="5"/>
  <c r="Z823" i="5"/>
  <c r="Z822" i="5"/>
  <c r="Z821" i="5"/>
  <c r="Z820" i="5"/>
  <c r="Z819" i="5"/>
  <c r="Z818" i="5"/>
  <c r="Z817" i="5"/>
  <c r="Z816" i="5"/>
  <c r="Z815" i="5"/>
  <c r="Z814" i="5"/>
  <c r="Z813" i="5"/>
  <c r="Z812" i="5"/>
  <c r="Z811" i="5"/>
  <c r="Z810" i="5"/>
  <c r="Z809" i="5"/>
  <c r="Z808" i="5"/>
  <c r="Z807" i="5"/>
  <c r="Z806" i="5"/>
  <c r="Z805" i="5"/>
  <c r="Z804" i="5"/>
  <c r="Z803" i="5"/>
  <c r="Z802" i="5"/>
  <c r="Z801" i="5"/>
  <c r="Z800" i="5"/>
  <c r="Z799" i="5"/>
  <c r="Z798" i="5"/>
  <c r="Z797" i="5"/>
  <c r="Z796" i="5"/>
  <c r="Z795" i="5"/>
  <c r="Z794" i="5"/>
  <c r="Z793" i="5"/>
  <c r="Z792" i="5"/>
  <c r="Z791" i="5"/>
  <c r="Z790" i="5"/>
  <c r="Z789" i="5"/>
  <c r="Z788" i="5"/>
  <c r="Z787" i="5"/>
  <c r="Z786" i="5"/>
  <c r="Z785" i="5"/>
  <c r="Z784" i="5"/>
  <c r="Z783" i="5"/>
  <c r="Z782" i="5"/>
  <c r="Z781" i="5"/>
  <c r="Z780" i="5"/>
  <c r="Z779" i="5"/>
  <c r="Z778" i="5"/>
  <c r="Z777" i="5"/>
  <c r="Z776" i="5"/>
  <c r="Z775" i="5"/>
  <c r="Z774" i="5"/>
  <c r="Z773" i="5"/>
  <c r="Z772" i="5"/>
  <c r="Z771" i="5"/>
  <c r="Z770" i="5"/>
  <c r="Z769" i="5"/>
  <c r="Z768" i="5"/>
  <c r="Z767" i="5"/>
  <c r="Z766" i="5"/>
  <c r="Z765" i="5"/>
  <c r="Z764" i="5"/>
  <c r="Z763" i="5"/>
  <c r="Z762" i="5"/>
  <c r="Z761" i="5"/>
  <c r="Z760" i="5"/>
  <c r="Z759" i="5"/>
  <c r="Z758" i="5"/>
  <c r="Z757" i="5"/>
  <c r="Z756" i="5"/>
  <c r="Z755" i="5"/>
  <c r="Z754" i="5"/>
  <c r="Z753" i="5"/>
  <c r="Z752" i="5"/>
  <c r="Z751" i="5"/>
  <c r="Z750" i="5"/>
  <c r="Z749" i="5"/>
  <c r="Z748" i="5"/>
  <c r="Z747" i="5"/>
  <c r="Z746" i="5"/>
  <c r="Z745" i="5"/>
  <c r="Z744" i="5"/>
  <c r="Z743" i="5"/>
  <c r="Z742" i="5"/>
  <c r="Z741" i="5"/>
  <c r="Z740" i="5"/>
  <c r="Z739" i="5"/>
  <c r="Z738" i="5"/>
  <c r="Z737" i="5"/>
  <c r="Z736" i="5"/>
  <c r="Z735" i="5"/>
  <c r="Z734" i="5"/>
  <c r="Z733" i="5"/>
  <c r="Z732" i="5"/>
  <c r="Z731" i="5"/>
  <c r="Z730" i="5"/>
  <c r="Z729" i="5"/>
  <c r="Z728" i="5"/>
  <c r="Z727" i="5"/>
  <c r="Z726" i="5"/>
  <c r="Z725" i="5"/>
  <c r="Z724" i="5"/>
  <c r="Z723" i="5"/>
  <c r="Z722" i="5"/>
  <c r="Z721" i="5"/>
  <c r="Z720" i="5"/>
  <c r="Z719" i="5"/>
  <c r="Z718" i="5"/>
  <c r="Z717" i="5"/>
  <c r="Z716" i="5"/>
  <c r="Z715" i="5"/>
  <c r="Z714" i="5"/>
  <c r="Z713" i="5"/>
  <c r="Z712" i="5"/>
  <c r="Z711" i="5"/>
  <c r="Z710" i="5"/>
  <c r="Z709" i="5"/>
  <c r="Z708" i="5"/>
  <c r="Z707" i="5"/>
  <c r="Z706" i="5"/>
  <c r="Z705" i="5"/>
  <c r="Z704" i="5"/>
  <c r="Z703" i="5"/>
  <c r="Z702" i="5"/>
  <c r="Z701" i="5"/>
  <c r="Z700" i="5"/>
  <c r="Z699" i="5"/>
  <c r="Z698" i="5"/>
  <c r="Z697" i="5"/>
  <c r="Z696" i="5"/>
  <c r="Z695" i="5"/>
  <c r="Z694" i="5"/>
  <c r="Z693" i="5"/>
  <c r="Z692" i="5"/>
  <c r="Z691" i="5"/>
  <c r="Z690" i="5"/>
  <c r="Z689" i="5"/>
  <c r="Z688" i="5"/>
  <c r="Z687" i="5"/>
  <c r="Z686" i="5"/>
  <c r="Z685" i="5"/>
  <c r="Z684" i="5"/>
  <c r="Z683" i="5"/>
  <c r="Z682" i="5"/>
  <c r="Z681" i="5"/>
  <c r="Z680" i="5"/>
  <c r="Z679" i="5"/>
  <c r="Z678" i="5"/>
  <c r="Z677" i="5"/>
  <c r="Z676" i="5"/>
  <c r="Z675" i="5"/>
  <c r="Z674" i="5"/>
  <c r="Z673" i="5"/>
  <c r="Z672" i="5"/>
  <c r="Z671" i="5"/>
  <c r="Z670" i="5"/>
  <c r="Z669" i="5"/>
  <c r="Z668" i="5"/>
  <c r="Z667" i="5"/>
  <c r="Z666" i="5"/>
  <c r="Z665" i="5"/>
  <c r="Z664" i="5"/>
  <c r="Z663" i="5"/>
  <c r="Z662" i="5"/>
  <c r="Z661" i="5"/>
  <c r="Z660" i="5"/>
  <c r="Z659" i="5"/>
  <c r="Z658" i="5"/>
  <c r="Z657" i="5"/>
  <c r="Z656" i="5"/>
  <c r="Z655" i="5"/>
  <c r="Z654" i="5"/>
  <c r="Z653" i="5"/>
  <c r="Z652" i="5"/>
  <c r="Z651" i="5"/>
  <c r="Z650" i="5"/>
  <c r="Z649" i="5"/>
  <c r="Z648" i="5"/>
  <c r="Z647" i="5"/>
  <c r="Z646" i="5"/>
  <c r="Z645" i="5"/>
  <c r="Z644" i="5"/>
  <c r="Z643" i="5"/>
  <c r="Z642" i="5"/>
  <c r="Z641" i="5"/>
  <c r="Z640" i="5"/>
  <c r="Z639" i="5"/>
  <c r="Z638" i="5"/>
  <c r="Z637" i="5"/>
  <c r="Z636" i="5"/>
  <c r="Z635" i="5"/>
  <c r="Z634" i="5"/>
  <c r="Z633" i="5"/>
  <c r="Z632" i="5"/>
  <c r="Z631" i="5"/>
  <c r="Z630" i="5"/>
  <c r="Z629" i="5"/>
  <c r="Z628" i="5"/>
  <c r="Z627" i="5"/>
  <c r="Z626" i="5"/>
  <c r="Z625" i="5"/>
  <c r="Z624" i="5"/>
  <c r="Z623" i="5"/>
  <c r="Z622" i="5"/>
  <c r="Z621" i="5"/>
  <c r="Z620" i="5"/>
  <c r="Z619" i="5"/>
  <c r="Z618" i="5"/>
  <c r="Z617" i="5"/>
  <c r="Z616" i="5"/>
  <c r="Z615" i="5"/>
  <c r="Z614" i="5"/>
  <c r="Z613" i="5"/>
  <c r="Z612" i="5"/>
  <c r="Z611" i="5"/>
  <c r="Z610" i="5"/>
  <c r="Z609" i="5"/>
  <c r="Z608" i="5"/>
  <c r="Z607" i="5"/>
  <c r="Z606" i="5"/>
  <c r="Z605" i="5"/>
  <c r="Z604" i="5"/>
  <c r="Z603" i="5"/>
  <c r="Z602" i="5"/>
  <c r="Z601" i="5"/>
  <c r="Z600" i="5"/>
  <c r="Z599" i="5"/>
  <c r="Z598" i="5"/>
  <c r="Z597" i="5"/>
  <c r="Z596" i="5"/>
  <c r="Z595" i="5"/>
  <c r="Z594" i="5"/>
  <c r="Z593" i="5"/>
  <c r="Z592" i="5"/>
  <c r="Z591" i="5"/>
  <c r="Z590" i="5"/>
  <c r="Z589" i="5"/>
  <c r="Z588" i="5"/>
  <c r="Z587" i="5"/>
  <c r="Z586" i="5"/>
  <c r="Z585" i="5"/>
  <c r="Z584" i="5"/>
  <c r="Z583" i="5"/>
  <c r="Z582" i="5"/>
  <c r="Z581" i="5"/>
  <c r="Z580" i="5"/>
  <c r="Z579" i="5"/>
  <c r="Z578" i="5"/>
  <c r="Z577" i="5"/>
  <c r="Z576" i="5"/>
  <c r="Z575" i="5"/>
  <c r="Z574" i="5"/>
  <c r="Z573" i="5"/>
  <c r="Z572" i="5"/>
  <c r="Z571" i="5"/>
  <c r="Z570" i="5"/>
  <c r="Z569" i="5"/>
  <c r="Z568" i="5"/>
  <c r="Z567" i="5"/>
  <c r="Z566" i="5"/>
  <c r="Z565" i="5"/>
  <c r="Z564" i="5"/>
  <c r="Z563" i="5"/>
  <c r="Z562" i="5"/>
  <c r="Z561" i="5"/>
  <c r="Z560" i="5"/>
  <c r="Z559" i="5"/>
  <c r="Z558" i="5"/>
  <c r="Z557" i="5"/>
  <c r="Z556" i="5"/>
  <c r="Z555" i="5"/>
  <c r="Z554" i="5"/>
  <c r="Z553" i="5"/>
  <c r="Z552" i="5"/>
  <c r="Z551" i="5"/>
  <c r="Z550" i="5"/>
  <c r="Z549" i="5"/>
  <c r="Z548" i="5"/>
  <c r="Z547" i="5"/>
  <c r="Z546" i="5"/>
  <c r="Z545" i="5"/>
  <c r="Z544" i="5"/>
  <c r="Z543" i="5"/>
  <c r="Z542" i="5"/>
  <c r="Z541" i="5"/>
  <c r="Z540" i="5"/>
  <c r="Z539" i="5"/>
  <c r="Z538" i="5"/>
  <c r="Z537" i="5"/>
  <c r="Z536" i="5"/>
  <c r="Z535" i="5"/>
  <c r="Z534" i="5"/>
  <c r="Z533" i="5"/>
  <c r="Z532" i="5"/>
  <c r="Z531" i="5"/>
  <c r="Z530" i="5"/>
  <c r="Z529" i="5"/>
  <c r="Z528" i="5"/>
  <c r="Z527" i="5"/>
  <c r="Z526" i="5"/>
  <c r="Z525" i="5"/>
  <c r="Z524" i="5"/>
  <c r="Z523" i="5"/>
  <c r="Z522" i="5"/>
  <c r="Z521" i="5"/>
  <c r="Z520" i="5"/>
  <c r="Z519" i="5"/>
  <c r="Z518" i="5"/>
  <c r="Z517" i="5"/>
  <c r="Z516" i="5"/>
  <c r="Z515" i="5"/>
  <c r="Z514" i="5"/>
  <c r="Z513" i="5"/>
  <c r="Z512" i="5"/>
  <c r="Z511" i="5"/>
  <c r="Z510" i="5"/>
  <c r="Z509" i="5"/>
  <c r="Z508" i="5"/>
  <c r="Z507" i="5"/>
  <c r="Z506" i="5"/>
  <c r="Z505" i="5"/>
  <c r="Z504" i="5"/>
  <c r="Z503" i="5"/>
  <c r="Z502" i="5"/>
  <c r="Z501" i="5"/>
  <c r="Z500" i="5"/>
  <c r="Z499" i="5"/>
  <c r="Z498" i="5"/>
  <c r="Z497" i="5"/>
  <c r="Z496" i="5"/>
  <c r="Z495" i="5"/>
  <c r="Z494" i="5"/>
  <c r="Z493" i="5"/>
  <c r="Z492" i="5"/>
  <c r="Z491" i="5"/>
  <c r="Z490" i="5"/>
  <c r="Z489" i="5"/>
  <c r="Z488" i="5"/>
  <c r="Z487" i="5"/>
  <c r="Z486" i="5"/>
  <c r="Z485" i="5"/>
  <c r="Z484" i="5"/>
  <c r="Z483" i="5"/>
  <c r="Z482" i="5"/>
  <c r="Z481" i="5"/>
  <c r="Z480" i="5"/>
  <c r="Z479" i="5"/>
  <c r="Z478" i="5"/>
  <c r="Z477" i="5"/>
  <c r="Z476" i="5"/>
  <c r="Z475" i="5"/>
  <c r="Z474" i="5"/>
  <c r="Z473" i="5"/>
  <c r="Z472" i="5"/>
  <c r="Z471" i="5"/>
  <c r="Z470" i="5"/>
  <c r="Z469" i="5"/>
  <c r="Z468" i="5"/>
  <c r="Z467" i="5"/>
  <c r="Z466" i="5"/>
  <c r="Z465" i="5"/>
  <c r="Z464" i="5"/>
  <c r="Z463" i="5"/>
  <c r="Z462" i="5"/>
  <c r="Z461" i="5"/>
  <c r="Z460" i="5"/>
  <c r="Z459" i="5"/>
  <c r="Z458" i="5"/>
  <c r="Z457" i="5"/>
  <c r="Z456" i="5"/>
  <c r="Z455" i="5"/>
  <c r="Z454" i="5"/>
  <c r="Z453" i="5"/>
  <c r="Z452" i="5"/>
  <c r="Z451" i="5"/>
  <c r="Z450" i="5"/>
  <c r="Z449" i="5"/>
  <c r="Z448" i="5"/>
  <c r="Z447" i="5"/>
  <c r="Z446" i="5"/>
  <c r="Z445" i="5"/>
  <c r="Z444" i="5"/>
  <c r="Z443" i="5"/>
  <c r="Z442" i="5"/>
  <c r="Z441" i="5"/>
  <c r="Z440" i="5"/>
  <c r="Z439" i="5"/>
  <c r="Z438" i="5"/>
  <c r="Z437" i="5"/>
  <c r="Z436" i="5"/>
  <c r="Z435" i="5"/>
  <c r="Z434" i="5"/>
  <c r="Z433" i="5"/>
  <c r="Z432" i="5"/>
  <c r="Z431" i="5"/>
  <c r="Z430" i="5"/>
  <c r="Z429" i="5"/>
  <c r="Z428" i="5"/>
  <c r="Z427" i="5"/>
  <c r="Z426" i="5"/>
  <c r="Z425" i="5"/>
  <c r="Z424" i="5"/>
  <c r="Z423" i="5"/>
  <c r="Z422" i="5"/>
  <c r="Z421" i="5"/>
  <c r="Z420" i="5"/>
  <c r="Z419" i="5"/>
  <c r="Z418" i="5"/>
  <c r="Z417" i="5"/>
  <c r="Z416" i="5"/>
  <c r="Z415" i="5"/>
  <c r="Z414" i="5"/>
  <c r="Z413" i="5"/>
  <c r="Z412" i="5"/>
  <c r="Z411" i="5"/>
  <c r="Z410" i="5"/>
  <c r="Z409" i="5"/>
  <c r="Z408" i="5"/>
  <c r="Z407" i="5"/>
  <c r="Z406" i="5"/>
  <c r="Z405" i="5"/>
  <c r="Z404" i="5"/>
  <c r="Z403" i="5"/>
  <c r="Z402" i="5"/>
  <c r="Z401" i="5"/>
  <c r="Z400" i="5"/>
  <c r="Z399" i="5"/>
  <c r="Z398" i="5"/>
  <c r="Z397" i="5"/>
  <c r="Z396" i="5"/>
  <c r="Z395" i="5"/>
  <c r="Z394" i="5"/>
  <c r="Z393" i="5"/>
  <c r="Z392" i="5"/>
  <c r="Z391" i="5"/>
  <c r="Z390" i="5"/>
  <c r="Z389" i="5"/>
  <c r="Z388" i="5"/>
  <c r="Z387" i="5"/>
  <c r="Z386" i="5"/>
  <c r="Z385" i="5"/>
  <c r="Z384" i="5"/>
  <c r="Z383" i="5"/>
  <c r="Z382" i="5"/>
  <c r="Z381" i="5"/>
  <c r="Z380" i="5"/>
  <c r="Z379" i="5"/>
  <c r="Z378" i="5"/>
  <c r="Z377" i="5"/>
  <c r="Z376" i="5"/>
  <c r="Z375" i="5"/>
  <c r="Z374" i="5"/>
  <c r="Z373" i="5"/>
  <c r="Z372" i="5"/>
  <c r="Z371" i="5"/>
  <c r="Z370" i="5"/>
  <c r="Z369" i="5"/>
  <c r="Z368" i="5"/>
  <c r="Z367" i="5"/>
  <c r="Z366" i="5"/>
  <c r="Z365" i="5"/>
  <c r="Z364" i="5"/>
  <c r="Z363" i="5"/>
  <c r="Z362" i="5"/>
  <c r="Z361" i="5"/>
  <c r="Z360" i="5"/>
  <c r="Z359" i="5"/>
  <c r="Z358" i="5"/>
  <c r="Z357" i="5"/>
  <c r="Z356" i="5"/>
  <c r="Z355" i="5"/>
  <c r="Z354" i="5"/>
  <c r="Z353" i="5"/>
  <c r="Z352" i="5"/>
  <c r="Z351" i="5"/>
  <c r="Z350" i="5"/>
  <c r="Z349" i="5"/>
  <c r="Z348" i="5"/>
  <c r="Z347" i="5"/>
  <c r="Z346" i="5"/>
  <c r="Z345" i="5"/>
  <c r="Z344" i="5"/>
  <c r="Z343" i="5"/>
  <c r="Z342" i="5"/>
  <c r="Z341" i="5"/>
  <c r="Z340" i="5"/>
  <c r="Z339" i="5"/>
  <c r="Z338" i="5"/>
  <c r="Z337" i="5"/>
  <c r="Z336" i="5"/>
  <c r="Z335" i="5"/>
  <c r="Z334" i="5"/>
  <c r="Z333" i="5"/>
  <c r="Z332" i="5"/>
  <c r="Z331" i="5"/>
  <c r="Z330" i="5"/>
  <c r="Z329" i="5"/>
  <c r="Z328" i="5"/>
  <c r="Z327" i="5"/>
  <c r="Z326" i="5"/>
  <c r="Z325" i="5"/>
  <c r="Z324" i="5"/>
  <c r="Z323" i="5"/>
  <c r="Z322" i="5"/>
  <c r="Z321" i="5"/>
  <c r="Z320" i="5"/>
  <c r="Z319" i="5"/>
  <c r="Z318" i="5"/>
  <c r="Z317" i="5"/>
  <c r="Z316" i="5"/>
  <c r="Z315" i="5"/>
  <c r="Z314" i="5"/>
  <c r="Z313" i="5"/>
  <c r="Z312" i="5"/>
  <c r="Z311" i="5"/>
  <c r="Z310" i="5"/>
  <c r="Z309" i="5"/>
  <c r="Z308" i="5"/>
  <c r="Z307" i="5"/>
  <c r="Z306" i="5"/>
  <c r="Z305" i="5"/>
  <c r="Z304" i="5"/>
  <c r="Z303" i="5"/>
  <c r="Z302" i="5"/>
  <c r="Z301" i="5"/>
  <c r="Z300" i="5"/>
  <c r="Z299" i="5"/>
  <c r="Z298" i="5"/>
  <c r="Z297" i="5"/>
  <c r="Z296" i="5"/>
  <c r="Z295" i="5"/>
  <c r="Z294" i="5"/>
  <c r="Z293" i="5"/>
  <c r="Z292" i="5"/>
  <c r="Z291" i="5"/>
  <c r="Z290" i="5"/>
  <c r="Z289" i="5"/>
  <c r="Z288" i="5"/>
  <c r="Z287" i="5"/>
  <c r="Z286" i="5"/>
  <c r="Z285" i="5"/>
  <c r="Z284" i="5"/>
  <c r="Z283" i="5"/>
  <c r="Z282" i="5"/>
  <c r="Z281" i="5"/>
  <c r="Z280" i="5"/>
  <c r="Z279" i="5"/>
  <c r="Z278" i="5"/>
  <c r="Z277" i="5"/>
  <c r="Z276" i="5"/>
  <c r="Z275" i="5"/>
  <c r="Z274" i="5"/>
  <c r="Z273" i="5"/>
  <c r="Z272" i="5"/>
  <c r="Z271" i="5"/>
  <c r="Z270" i="5"/>
  <c r="Z269" i="5"/>
  <c r="Z268" i="5"/>
  <c r="Z267" i="5"/>
  <c r="Z266" i="5"/>
  <c r="Z265" i="5"/>
  <c r="Z264" i="5"/>
  <c r="Z263" i="5"/>
  <c r="Z262" i="5"/>
  <c r="Z261" i="5"/>
  <c r="Z260" i="5"/>
  <c r="Z259" i="5"/>
  <c r="Z258" i="5"/>
  <c r="Z257" i="5"/>
  <c r="Z256" i="5"/>
  <c r="Z255" i="5"/>
  <c r="Z254" i="5"/>
  <c r="Z253" i="5"/>
  <c r="Z252" i="5"/>
  <c r="Z251" i="5"/>
  <c r="Z250" i="5"/>
  <c r="Z249" i="5"/>
  <c r="Z248" i="5"/>
  <c r="Z247" i="5"/>
  <c r="Z246" i="5"/>
  <c r="Z245" i="5"/>
  <c r="Z244" i="5"/>
  <c r="Z243" i="5"/>
  <c r="Z242" i="5"/>
  <c r="Z241" i="5"/>
  <c r="Z240" i="5"/>
  <c r="Z239" i="5"/>
  <c r="Z238" i="5"/>
  <c r="Z237" i="5"/>
  <c r="Z236" i="5"/>
  <c r="Z235" i="5"/>
  <c r="Z234" i="5"/>
  <c r="Z233" i="5"/>
  <c r="Z232" i="5"/>
  <c r="Z231" i="5"/>
  <c r="Z230" i="5"/>
  <c r="Z229" i="5"/>
  <c r="Z228" i="5"/>
  <c r="Z227" i="5"/>
  <c r="Z226" i="5"/>
  <c r="Z225" i="5"/>
  <c r="Z224" i="5"/>
  <c r="Z223" i="5"/>
  <c r="Z222" i="5"/>
  <c r="Z221" i="5"/>
  <c r="Z220" i="5"/>
  <c r="Z219" i="5"/>
  <c r="Z218" i="5"/>
  <c r="Z217" i="5"/>
  <c r="Z216" i="5"/>
  <c r="Z215" i="5"/>
  <c r="Z214" i="5"/>
  <c r="Z213" i="5"/>
  <c r="Z212" i="5"/>
  <c r="Z211" i="5"/>
  <c r="Z210" i="5"/>
  <c r="Z209" i="5"/>
  <c r="Z208" i="5"/>
  <c r="Z207" i="5"/>
  <c r="Z206" i="5"/>
  <c r="Z205" i="5"/>
  <c r="Z204" i="5"/>
  <c r="Z203" i="5"/>
  <c r="Z202" i="5"/>
  <c r="Z201" i="5"/>
  <c r="Z200" i="5"/>
  <c r="Z199" i="5"/>
  <c r="Z198" i="5"/>
  <c r="Z197" i="5"/>
  <c r="Z196" i="5"/>
  <c r="Z195" i="5"/>
  <c r="Z194" i="5"/>
  <c r="Z193" i="5"/>
  <c r="Z192" i="5"/>
  <c r="Z191" i="5"/>
  <c r="Z190" i="5"/>
  <c r="Z189" i="5"/>
  <c r="Z188" i="5"/>
  <c r="Z187" i="5"/>
  <c r="Z186" i="5"/>
  <c r="Z185" i="5"/>
  <c r="Z184" i="5"/>
  <c r="Z183" i="5"/>
  <c r="Z182" i="5"/>
  <c r="Z181" i="5"/>
  <c r="Z180" i="5"/>
  <c r="Z179" i="5"/>
  <c r="Z178" i="5"/>
  <c r="Z177" i="5"/>
  <c r="Z176" i="5"/>
  <c r="Z175" i="5"/>
  <c r="Z174" i="5"/>
  <c r="Z173" i="5"/>
  <c r="Z172" i="5"/>
  <c r="Z171" i="5"/>
  <c r="Z170" i="5"/>
  <c r="Z169" i="5"/>
  <c r="Z168" i="5"/>
  <c r="Z167" i="5"/>
  <c r="Z166" i="5"/>
  <c r="Z165" i="5"/>
  <c r="Z164" i="5"/>
  <c r="Z163" i="5"/>
  <c r="Z162" i="5"/>
  <c r="Z161" i="5"/>
  <c r="Z160" i="5"/>
  <c r="Z159" i="5"/>
  <c r="Z158" i="5"/>
  <c r="Z157" i="5"/>
  <c r="Z156" i="5"/>
  <c r="Z155" i="5"/>
  <c r="Z154" i="5"/>
  <c r="Z153" i="5"/>
  <c r="Z152" i="5"/>
  <c r="Z151" i="5"/>
  <c r="Z150" i="5"/>
  <c r="Z149" i="5"/>
  <c r="Z148" i="5"/>
  <c r="Z147" i="5"/>
  <c r="Z146" i="5"/>
  <c r="Z145" i="5"/>
  <c r="Z144" i="5"/>
  <c r="Z143" i="5"/>
  <c r="Z142" i="5"/>
  <c r="Z141" i="5"/>
  <c r="Z140" i="5"/>
  <c r="Z139" i="5"/>
  <c r="Z138" i="5"/>
  <c r="Z137" i="5"/>
  <c r="Z136" i="5"/>
  <c r="Z135" i="5"/>
  <c r="Z134" i="5"/>
  <c r="Z133" i="5"/>
  <c r="Z132" i="5"/>
  <c r="Z131" i="5"/>
  <c r="Z130" i="5"/>
  <c r="Z129" i="5"/>
  <c r="Z128" i="5"/>
  <c r="Z127" i="5"/>
  <c r="Z126" i="5"/>
  <c r="Z125" i="5"/>
  <c r="Z124" i="5"/>
  <c r="Z123" i="5"/>
  <c r="Z122" i="5"/>
  <c r="Z121" i="5"/>
  <c r="Z120" i="5"/>
  <c r="Z119" i="5"/>
  <c r="Z118" i="5"/>
  <c r="Z117" i="5"/>
  <c r="Z116" i="5"/>
  <c r="Z115" i="5"/>
  <c r="Z114" i="5"/>
  <c r="Z113" i="5"/>
  <c r="Z112" i="5"/>
  <c r="Z111" i="5"/>
  <c r="Z110" i="5"/>
  <c r="Z109" i="5"/>
  <c r="Z108" i="5"/>
  <c r="Z107" i="5"/>
  <c r="Z106" i="5"/>
  <c r="Z105" i="5"/>
  <c r="Z104" i="5"/>
  <c r="Z103" i="5"/>
  <c r="Z102" i="5"/>
  <c r="Z101" i="5"/>
  <c r="Z100" i="5"/>
  <c r="Z99" i="5"/>
  <c r="Z98" i="5"/>
  <c r="Z97" i="5"/>
  <c r="Z96" i="5"/>
  <c r="Z95" i="5"/>
  <c r="Z94" i="5"/>
  <c r="Z93" i="5"/>
  <c r="Z92" i="5"/>
  <c r="Z91" i="5"/>
  <c r="Z90" i="5"/>
  <c r="Z89" i="5"/>
  <c r="Z88" i="5"/>
  <c r="Z87" i="5"/>
  <c r="Z86" i="5"/>
  <c r="Z85" i="5"/>
  <c r="Z84" i="5"/>
  <c r="Z83" i="5"/>
  <c r="Z82" i="5"/>
  <c r="Z81" i="5"/>
  <c r="Z80" i="5"/>
  <c r="Z79" i="5"/>
  <c r="Z78" i="5"/>
  <c r="Z77" i="5"/>
  <c r="Z76" i="5"/>
  <c r="Z75" i="5"/>
  <c r="Z74" i="5"/>
  <c r="Z73" i="5"/>
  <c r="Z72" i="5"/>
  <c r="Z71" i="5"/>
  <c r="Z70" i="5"/>
  <c r="Z69" i="5"/>
  <c r="Z68" i="5"/>
  <c r="Z67" i="5"/>
  <c r="Z66" i="5"/>
  <c r="Z65" i="5"/>
  <c r="Z64" i="5"/>
  <c r="Z63" i="5"/>
  <c r="Z62" i="5"/>
  <c r="Z61" i="5"/>
  <c r="Z60" i="5"/>
  <c r="Z59" i="5"/>
  <c r="Z58" i="5"/>
  <c r="Z57" i="5"/>
  <c r="Z56" i="5"/>
  <c r="Z55" i="5"/>
  <c r="Z54" i="5"/>
  <c r="Z53" i="5"/>
  <c r="Z52" i="5"/>
  <c r="Z51" i="5"/>
  <c r="Z50" i="5"/>
  <c r="Z49" i="5"/>
  <c r="Z48" i="5"/>
  <c r="Z47" i="5"/>
  <c r="Z46" i="5"/>
  <c r="Z45" i="5"/>
  <c r="Z44" i="5"/>
  <c r="Z43" i="5"/>
  <c r="Z42" i="5"/>
  <c r="Z41" i="5"/>
  <c r="Z40" i="5"/>
  <c r="Z39" i="5"/>
  <c r="Z38" i="5"/>
  <c r="Z37" i="5"/>
  <c r="Z36" i="5"/>
  <c r="Z35" i="5"/>
  <c r="Z34" i="5"/>
  <c r="Z33" i="5"/>
  <c r="Z32" i="5"/>
  <c r="Z31" i="5"/>
  <c r="Z30" i="5"/>
  <c r="Z29" i="5"/>
  <c r="Z28" i="5"/>
  <c r="Z27" i="5"/>
  <c r="Z26" i="5"/>
  <c r="Z25" i="5"/>
  <c r="Z24" i="5"/>
  <c r="Z23" i="5"/>
  <c r="Z22" i="5"/>
  <c r="Z21" i="5"/>
  <c r="Z20" i="5"/>
  <c r="Z19" i="5"/>
  <c r="Z18" i="5"/>
  <c r="Z17" i="5"/>
  <c r="Z16" i="5"/>
  <c r="Z15" i="5"/>
  <c r="Z14" i="5"/>
  <c r="Z13" i="5"/>
  <c r="Z12" i="5"/>
  <c r="Z11" i="5"/>
  <c r="Z10" i="5"/>
  <c r="Z9" i="5"/>
  <c r="Z8" i="5"/>
  <c r="Z7" i="5"/>
  <c r="Z6" i="5"/>
  <c r="Z5" i="5"/>
  <c r="Z4" i="5"/>
  <c r="Z3" i="5"/>
  <c r="B194" i="3"/>
  <c r="B189" i="3"/>
  <c r="B172" i="3"/>
  <c r="F136" i="3"/>
  <c r="D133" i="3"/>
  <c r="A104" i="3"/>
  <c r="G92" i="3"/>
  <c r="E88" i="3"/>
  <c r="C73" i="3"/>
  <c r="A66" i="3"/>
  <c r="G62" i="3"/>
  <c r="F62" i="3"/>
  <c r="C56" i="3"/>
  <c r="A54" i="3"/>
  <c r="A49" i="3"/>
  <c r="G42" i="3"/>
  <c r="F42" i="3"/>
  <c r="E35" i="3"/>
  <c r="D35" i="3"/>
  <c r="G32" i="3"/>
  <c r="C28" i="3"/>
  <c r="B28" i="3"/>
  <c r="G25" i="3"/>
  <c r="E25" i="3"/>
  <c r="C23" i="3"/>
  <c r="A21" i="3"/>
  <c r="E18" i="3"/>
  <c r="C18" i="3"/>
  <c r="C16" i="3"/>
  <c r="A16" i="3"/>
  <c r="C11" i="3"/>
  <c r="A11" i="3"/>
  <c r="A9" i="3"/>
  <c r="C6" i="3"/>
  <c r="A4" i="3"/>
  <c r="K1233" i="2"/>
  <c r="J1233" i="2"/>
  <c r="I1233" i="2"/>
  <c r="K1232" i="2"/>
  <c r="J1232" i="2"/>
  <c r="I1232" i="2"/>
  <c r="K1231" i="2"/>
  <c r="J1231" i="2"/>
  <c r="I1231" i="2"/>
  <c r="K1230" i="2"/>
  <c r="J1230" i="2"/>
  <c r="I1230" i="2"/>
  <c r="K1229" i="2"/>
  <c r="J1229" i="2"/>
  <c r="I1229" i="2"/>
  <c r="K1228" i="2"/>
  <c r="J1228" i="2"/>
  <c r="I1228" i="2"/>
  <c r="K1227" i="2"/>
  <c r="J1227" i="2"/>
  <c r="I1227" i="2"/>
  <c r="K1226" i="2"/>
  <c r="J1226" i="2"/>
  <c r="I1226" i="2"/>
  <c r="K1225" i="2"/>
  <c r="J1225" i="2"/>
  <c r="I1225" i="2"/>
  <c r="K1224" i="2"/>
  <c r="J1224" i="2"/>
  <c r="I1224" i="2"/>
  <c r="K1223" i="2"/>
  <c r="J1223" i="2"/>
  <c r="I1223" i="2"/>
  <c r="K1222" i="2"/>
  <c r="J1222" i="2"/>
  <c r="I1222" i="2"/>
  <c r="K1221" i="2"/>
  <c r="J1221" i="2"/>
  <c r="I1221" i="2"/>
  <c r="K1220" i="2"/>
  <c r="J1220" i="2"/>
  <c r="I1220" i="2"/>
  <c r="K1219" i="2"/>
  <c r="J1219" i="2"/>
  <c r="I1219" i="2"/>
  <c r="K1218" i="2"/>
  <c r="J1218" i="2"/>
  <c r="I1218" i="2"/>
  <c r="K1217" i="2"/>
  <c r="J1217" i="2"/>
  <c r="I1217" i="2"/>
  <c r="K1216" i="2"/>
  <c r="J1216" i="2"/>
  <c r="I1216" i="2"/>
  <c r="K1215" i="2"/>
  <c r="J1215" i="2"/>
  <c r="I1215" i="2"/>
  <c r="K1214" i="2"/>
  <c r="J1214" i="2"/>
  <c r="I1214" i="2"/>
  <c r="K1213" i="2"/>
  <c r="J1213" i="2"/>
  <c r="I1213" i="2"/>
  <c r="K1212" i="2"/>
  <c r="J1212" i="2"/>
  <c r="I1212" i="2"/>
  <c r="K1211" i="2"/>
  <c r="J1211" i="2"/>
  <c r="I1211" i="2"/>
  <c r="K1210" i="2"/>
  <c r="J1210" i="2"/>
  <c r="I1210" i="2"/>
  <c r="K1209" i="2"/>
  <c r="J1209" i="2"/>
  <c r="I1209" i="2"/>
  <c r="K1208" i="2"/>
  <c r="J1208" i="2"/>
  <c r="I1208" i="2"/>
  <c r="K1207" i="2"/>
  <c r="J1207" i="2"/>
  <c r="I1207" i="2"/>
  <c r="K1206" i="2"/>
  <c r="J1206" i="2"/>
  <c r="I1206" i="2"/>
  <c r="K1205" i="2"/>
  <c r="J1205" i="2"/>
  <c r="I1205" i="2"/>
  <c r="K1204" i="2"/>
  <c r="J1204" i="2"/>
  <c r="I1204" i="2"/>
  <c r="K1203" i="2"/>
  <c r="J1203" i="2"/>
  <c r="I1203" i="2"/>
  <c r="K1202" i="2"/>
  <c r="J1202" i="2"/>
  <c r="I1202" i="2"/>
  <c r="K1201" i="2"/>
  <c r="J1201" i="2"/>
  <c r="I1201" i="2"/>
  <c r="K1200" i="2"/>
  <c r="J1200" i="2"/>
  <c r="I1200" i="2"/>
  <c r="K1199" i="2"/>
  <c r="J1199" i="2"/>
  <c r="I1199" i="2"/>
  <c r="K1198" i="2"/>
  <c r="J1198" i="2"/>
  <c r="I1198" i="2"/>
  <c r="K1197" i="2"/>
  <c r="J1197" i="2"/>
  <c r="I1197" i="2"/>
  <c r="K1196" i="2"/>
  <c r="J1196" i="2"/>
  <c r="I1196" i="2"/>
  <c r="K1195" i="2"/>
  <c r="J1195" i="2"/>
  <c r="I1195" i="2"/>
  <c r="K1194" i="2"/>
  <c r="J1194" i="2"/>
  <c r="I1194" i="2"/>
  <c r="K1193" i="2"/>
  <c r="J1193" i="2"/>
  <c r="I1193" i="2"/>
  <c r="K1192" i="2"/>
  <c r="J1192" i="2"/>
  <c r="I1192" i="2"/>
  <c r="K1191" i="2"/>
  <c r="J1191" i="2"/>
  <c r="I1191" i="2"/>
  <c r="K1190" i="2"/>
  <c r="J1190" i="2"/>
  <c r="I1190" i="2"/>
  <c r="K1189" i="2"/>
  <c r="J1189" i="2"/>
  <c r="I1189" i="2"/>
  <c r="K1188" i="2"/>
  <c r="J1188" i="2"/>
  <c r="I1188" i="2"/>
  <c r="K1187" i="2"/>
  <c r="J1187" i="2"/>
  <c r="I1187" i="2"/>
  <c r="K1186" i="2"/>
  <c r="J1186" i="2"/>
  <c r="I1186" i="2"/>
  <c r="K1185" i="2"/>
  <c r="J1185" i="2"/>
  <c r="I1185" i="2"/>
  <c r="K1184" i="2"/>
  <c r="J1184" i="2"/>
  <c r="I1184" i="2"/>
  <c r="K1183" i="2"/>
  <c r="J1183" i="2"/>
  <c r="I1183" i="2"/>
  <c r="K1182" i="2"/>
  <c r="J1182" i="2"/>
  <c r="I1182" i="2"/>
  <c r="K1181" i="2"/>
  <c r="J1181" i="2"/>
  <c r="I1181" i="2"/>
  <c r="K1180" i="2"/>
  <c r="J1180" i="2"/>
  <c r="I1180" i="2"/>
  <c r="K1179" i="2"/>
  <c r="J1179" i="2"/>
  <c r="I1179" i="2"/>
  <c r="K1178" i="2"/>
  <c r="J1178" i="2"/>
  <c r="I1178" i="2"/>
  <c r="K1177" i="2"/>
  <c r="J1177" i="2"/>
  <c r="I1177" i="2"/>
  <c r="K1176" i="2"/>
  <c r="J1176" i="2"/>
  <c r="I1176" i="2"/>
  <c r="K1175" i="2"/>
  <c r="J1175" i="2"/>
  <c r="I1175" i="2"/>
  <c r="K1174" i="2"/>
  <c r="J1174" i="2"/>
  <c r="I1174" i="2"/>
  <c r="K1173" i="2"/>
  <c r="J1173" i="2"/>
  <c r="I1173" i="2"/>
  <c r="K1172" i="2"/>
  <c r="J1172" i="2"/>
  <c r="I1172" i="2"/>
  <c r="K1171" i="2"/>
  <c r="J1171" i="2"/>
  <c r="I1171" i="2"/>
  <c r="K1170" i="2"/>
  <c r="J1170" i="2"/>
  <c r="I1170" i="2"/>
  <c r="K1169" i="2"/>
  <c r="J1169" i="2"/>
  <c r="I1169" i="2"/>
  <c r="K1168" i="2"/>
  <c r="J1168" i="2"/>
  <c r="I1168" i="2"/>
  <c r="K1167" i="2"/>
  <c r="J1167" i="2"/>
  <c r="I1167" i="2"/>
  <c r="K1166" i="2"/>
  <c r="J1166" i="2"/>
  <c r="I1166" i="2"/>
  <c r="K1165" i="2"/>
  <c r="J1165" i="2"/>
  <c r="I1165" i="2"/>
  <c r="K1164" i="2"/>
  <c r="J1164" i="2"/>
  <c r="I1164" i="2"/>
  <c r="K1163" i="2"/>
  <c r="J1163" i="2"/>
  <c r="I1163" i="2"/>
  <c r="K1162" i="2"/>
  <c r="J1162" i="2"/>
  <c r="I1162" i="2"/>
  <c r="K1161" i="2"/>
  <c r="J1161" i="2"/>
  <c r="I1161" i="2"/>
  <c r="K1160" i="2"/>
  <c r="J1160" i="2"/>
  <c r="I1160" i="2"/>
  <c r="K1159" i="2"/>
  <c r="J1159" i="2"/>
  <c r="I1159" i="2"/>
  <c r="K1158" i="2"/>
  <c r="J1158" i="2"/>
  <c r="I1158" i="2"/>
  <c r="K1157" i="2"/>
  <c r="J1157" i="2"/>
  <c r="I1157" i="2"/>
  <c r="K1156" i="2"/>
  <c r="J1156" i="2"/>
  <c r="I1156" i="2"/>
  <c r="K1155" i="2"/>
  <c r="J1155" i="2"/>
  <c r="I1155" i="2"/>
  <c r="K1154" i="2"/>
  <c r="J1154" i="2"/>
  <c r="I1154" i="2"/>
  <c r="K1153" i="2"/>
  <c r="J1153" i="2"/>
  <c r="I1153" i="2"/>
  <c r="K1152" i="2"/>
  <c r="J1152" i="2"/>
  <c r="I1152" i="2"/>
  <c r="K1151" i="2"/>
  <c r="J1151" i="2"/>
  <c r="I1151" i="2"/>
  <c r="K1150" i="2"/>
  <c r="J1150" i="2"/>
  <c r="I1150" i="2"/>
  <c r="K1149" i="2"/>
  <c r="J1149" i="2"/>
  <c r="I1149" i="2"/>
  <c r="K1148" i="2"/>
  <c r="J1148" i="2"/>
  <c r="I1148" i="2"/>
  <c r="K1147" i="2"/>
  <c r="J1147" i="2"/>
  <c r="I1147" i="2"/>
  <c r="K1146" i="2"/>
  <c r="J1146" i="2"/>
  <c r="I1146" i="2"/>
  <c r="K1145" i="2"/>
  <c r="J1145" i="2"/>
  <c r="I1145" i="2"/>
  <c r="K1144" i="2"/>
  <c r="J1144" i="2"/>
  <c r="I1144" i="2"/>
  <c r="K1143" i="2"/>
  <c r="J1143" i="2"/>
  <c r="I1143" i="2"/>
  <c r="K1142" i="2"/>
  <c r="J1142" i="2"/>
  <c r="I1142" i="2"/>
  <c r="K1141" i="2"/>
  <c r="J1141" i="2"/>
  <c r="I1141" i="2"/>
  <c r="K1140" i="2"/>
  <c r="J1140" i="2"/>
  <c r="I1140" i="2"/>
  <c r="K1139" i="2"/>
  <c r="J1139" i="2"/>
  <c r="I1139" i="2"/>
  <c r="K1138" i="2"/>
  <c r="J1138" i="2"/>
  <c r="I1138" i="2"/>
  <c r="K1137" i="2"/>
  <c r="J1137" i="2"/>
  <c r="I1137" i="2"/>
  <c r="K1136" i="2"/>
  <c r="J1136" i="2"/>
  <c r="I1136" i="2"/>
  <c r="K1135" i="2"/>
  <c r="J1135" i="2"/>
  <c r="I1135" i="2"/>
  <c r="K1134" i="2"/>
  <c r="J1134" i="2"/>
  <c r="I1134" i="2"/>
  <c r="K1133" i="2"/>
  <c r="J1133" i="2"/>
  <c r="I1133" i="2"/>
  <c r="K1132" i="2"/>
  <c r="J1132" i="2"/>
  <c r="I1132" i="2"/>
  <c r="K1131" i="2"/>
  <c r="J1131" i="2"/>
  <c r="I1131" i="2"/>
  <c r="K1130" i="2"/>
  <c r="J1130" i="2"/>
  <c r="I1130" i="2"/>
  <c r="K1129" i="2"/>
  <c r="J1129" i="2"/>
  <c r="I1129" i="2"/>
  <c r="K1128" i="2"/>
  <c r="J1128" i="2"/>
  <c r="I1128" i="2"/>
  <c r="K1127" i="2"/>
  <c r="J1127" i="2"/>
  <c r="I1127" i="2"/>
  <c r="K1126" i="2"/>
  <c r="J1126" i="2"/>
  <c r="I1126" i="2"/>
  <c r="K1125" i="2"/>
  <c r="J1125" i="2"/>
  <c r="I1125" i="2"/>
  <c r="K1124" i="2"/>
  <c r="J1124" i="2"/>
  <c r="I1124" i="2"/>
  <c r="K1123" i="2"/>
  <c r="J1123" i="2"/>
  <c r="I1123" i="2"/>
  <c r="K1122" i="2"/>
  <c r="J1122" i="2"/>
  <c r="I1122" i="2"/>
  <c r="K1121" i="2"/>
  <c r="J1121" i="2"/>
  <c r="I1121" i="2"/>
  <c r="K1120" i="2"/>
  <c r="J1120" i="2"/>
  <c r="I1120" i="2"/>
  <c r="K1119" i="2"/>
  <c r="J1119" i="2"/>
  <c r="I1119" i="2"/>
  <c r="K1118" i="2"/>
  <c r="J1118" i="2"/>
  <c r="I1118" i="2"/>
  <c r="K1117" i="2"/>
  <c r="J1117" i="2"/>
  <c r="I1117" i="2"/>
  <c r="K1116" i="2"/>
  <c r="J1116" i="2"/>
  <c r="I1116" i="2"/>
  <c r="K1115" i="2"/>
  <c r="J1115" i="2"/>
  <c r="I1115" i="2"/>
  <c r="K1114" i="2"/>
  <c r="J1114" i="2"/>
  <c r="I1114" i="2"/>
  <c r="K1113" i="2"/>
  <c r="J1113" i="2"/>
  <c r="I1113" i="2"/>
  <c r="K1112" i="2"/>
  <c r="J1112" i="2"/>
  <c r="I1112" i="2"/>
  <c r="K1111" i="2"/>
  <c r="J1111" i="2"/>
  <c r="I1111" i="2"/>
  <c r="K1110" i="2"/>
  <c r="J1110" i="2"/>
  <c r="I1110" i="2"/>
  <c r="K1109" i="2"/>
  <c r="J1109" i="2"/>
  <c r="I1109" i="2"/>
  <c r="K1108" i="2"/>
  <c r="J1108" i="2"/>
  <c r="I1108" i="2"/>
  <c r="K1107" i="2"/>
  <c r="J1107" i="2"/>
  <c r="I1107" i="2"/>
  <c r="K1106" i="2"/>
  <c r="J1106" i="2"/>
  <c r="I1106" i="2"/>
  <c r="K1105" i="2"/>
  <c r="J1105" i="2"/>
  <c r="I1105" i="2"/>
  <c r="K1104" i="2"/>
  <c r="J1104" i="2"/>
  <c r="I1104" i="2"/>
  <c r="K1103" i="2"/>
  <c r="J1103" i="2"/>
  <c r="I1103" i="2"/>
  <c r="K1102" i="2"/>
  <c r="J1102" i="2"/>
  <c r="I1102" i="2"/>
  <c r="K1101" i="2"/>
  <c r="J1101" i="2"/>
  <c r="I1101" i="2"/>
  <c r="K1100" i="2"/>
  <c r="J1100" i="2"/>
  <c r="I1100" i="2"/>
  <c r="K1099" i="2"/>
  <c r="J1099" i="2"/>
  <c r="I1099" i="2"/>
  <c r="K1098" i="2"/>
  <c r="J1098" i="2"/>
  <c r="I1098" i="2"/>
  <c r="K1097" i="2"/>
  <c r="J1097" i="2"/>
  <c r="I1097" i="2"/>
  <c r="K1096" i="2"/>
  <c r="J1096" i="2"/>
  <c r="I1096" i="2"/>
  <c r="K1095" i="2"/>
  <c r="J1095" i="2"/>
  <c r="I1095" i="2"/>
  <c r="K1094" i="2"/>
  <c r="J1094" i="2"/>
  <c r="I1094" i="2"/>
  <c r="K1093" i="2"/>
  <c r="J1093" i="2"/>
  <c r="I1093" i="2"/>
  <c r="K1092" i="2"/>
  <c r="J1092" i="2"/>
  <c r="I1092" i="2"/>
  <c r="K1091" i="2"/>
  <c r="J1091" i="2"/>
  <c r="I1091" i="2"/>
  <c r="K1090" i="2"/>
  <c r="J1090" i="2"/>
  <c r="I1090" i="2"/>
  <c r="K1089" i="2"/>
  <c r="J1089" i="2"/>
  <c r="I1089" i="2"/>
  <c r="K1088" i="2"/>
  <c r="J1088" i="2"/>
  <c r="I1088" i="2"/>
  <c r="K1087" i="2"/>
  <c r="J1087" i="2"/>
  <c r="I1087" i="2"/>
  <c r="K1086" i="2"/>
  <c r="J1086" i="2"/>
  <c r="I1086" i="2"/>
  <c r="K1085" i="2"/>
  <c r="J1085" i="2"/>
  <c r="I1085" i="2"/>
  <c r="K1084" i="2"/>
  <c r="J1084" i="2"/>
  <c r="I1084" i="2"/>
  <c r="K1083" i="2"/>
  <c r="J1083" i="2"/>
  <c r="I1083" i="2"/>
  <c r="K1082" i="2"/>
  <c r="J1082" i="2"/>
  <c r="I1082" i="2"/>
  <c r="K1081" i="2"/>
  <c r="J1081" i="2"/>
  <c r="I1081" i="2"/>
  <c r="K1080" i="2"/>
  <c r="J1080" i="2"/>
  <c r="I1080" i="2"/>
  <c r="K1079" i="2"/>
  <c r="J1079" i="2"/>
  <c r="I1079" i="2"/>
  <c r="K1078" i="2"/>
  <c r="J1078" i="2"/>
  <c r="I1078" i="2"/>
  <c r="K1077" i="2"/>
  <c r="J1077" i="2"/>
  <c r="I1077" i="2"/>
  <c r="K1076" i="2"/>
  <c r="J1076" i="2"/>
  <c r="I1076" i="2"/>
  <c r="K1075" i="2"/>
  <c r="J1075" i="2"/>
  <c r="I1075" i="2"/>
  <c r="K1074" i="2"/>
  <c r="J1074" i="2"/>
  <c r="I1074" i="2"/>
  <c r="K1073" i="2"/>
  <c r="J1073" i="2"/>
  <c r="I1073" i="2"/>
  <c r="K1072" i="2"/>
  <c r="J1072" i="2"/>
  <c r="I1072" i="2"/>
  <c r="K1071" i="2"/>
  <c r="J1071" i="2"/>
  <c r="I1071" i="2"/>
  <c r="K1070" i="2"/>
  <c r="J1070" i="2"/>
  <c r="I1070" i="2"/>
  <c r="K1069" i="2"/>
  <c r="J1069" i="2"/>
  <c r="I1069" i="2"/>
  <c r="K1068" i="2"/>
  <c r="J1068" i="2"/>
  <c r="I1068" i="2"/>
  <c r="K1067" i="2"/>
  <c r="J1067" i="2"/>
  <c r="I1067" i="2"/>
  <c r="K1066" i="2"/>
  <c r="J1066" i="2"/>
  <c r="I1066" i="2"/>
  <c r="K1065" i="2"/>
  <c r="J1065" i="2"/>
  <c r="I1065" i="2"/>
  <c r="K1064" i="2"/>
  <c r="J1064" i="2"/>
  <c r="I1064" i="2"/>
  <c r="K1063" i="2"/>
  <c r="J1063" i="2"/>
  <c r="I1063" i="2"/>
  <c r="K1062" i="2"/>
  <c r="J1062" i="2"/>
  <c r="I1062" i="2"/>
  <c r="K1061" i="2"/>
  <c r="J1061" i="2"/>
  <c r="I1061" i="2"/>
  <c r="K1060" i="2"/>
  <c r="J1060" i="2"/>
  <c r="I1060" i="2"/>
  <c r="K1059" i="2"/>
  <c r="J1059" i="2"/>
  <c r="I1059" i="2"/>
  <c r="K1058" i="2"/>
  <c r="J1058" i="2"/>
  <c r="I1058" i="2"/>
  <c r="K1057" i="2"/>
  <c r="J1057" i="2"/>
  <c r="I1057" i="2"/>
  <c r="K1056" i="2"/>
  <c r="J1056" i="2"/>
  <c r="I1056" i="2"/>
  <c r="K1055" i="2"/>
  <c r="J1055" i="2"/>
  <c r="I1055" i="2"/>
  <c r="K1054" i="2"/>
  <c r="J1054" i="2"/>
  <c r="I1054" i="2"/>
  <c r="K1053" i="2"/>
  <c r="J1053" i="2"/>
  <c r="I1053" i="2"/>
  <c r="K1052" i="2"/>
  <c r="J1052" i="2"/>
  <c r="I1052" i="2"/>
  <c r="K1051" i="2"/>
  <c r="J1051" i="2"/>
  <c r="I1051" i="2"/>
  <c r="K1050" i="2"/>
  <c r="J1050" i="2"/>
  <c r="I1050" i="2"/>
  <c r="K1049" i="2"/>
  <c r="J1049" i="2"/>
  <c r="I1049" i="2"/>
  <c r="K1048" i="2"/>
  <c r="J1048" i="2"/>
  <c r="I1048" i="2"/>
  <c r="K1047" i="2"/>
  <c r="J1047" i="2"/>
  <c r="I1047" i="2"/>
  <c r="K1046" i="2"/>
  <c r="J1046" i="2"/>
  <c r="I1046" i="2"/>
  <c r="K1045" i="2"/>
  <c r="J1045" i="2"/>
  <c r="I1045" i="2"/>
  <c r="K1044" i="2"/>
  <c r="J1044" i="2"/>
  <c r="I1044" i="2"/>
  <c r="K1043" i="2"/>
  <c r="J1043" i="2"/>
  <c r="I1043" i="2"/>
  <c r="K1042" i="2"/>
  <c r="J1042" i="2"/>
  <c r="I1042" i="2"/>
  <c r="K1041" i="2"/>
  <c r="J1041" i="2"/>
  <c r="I1041" i="2"/>
  <c r="K1040" i="2"/>
  <c r="J1040" i="2"/>
  <c r="I1040" i="2"/>
  <c r="K1039" i="2"/>
  <c r="J1039" i="2"/>
  <c r="I1039" i="2"/>
  <c r="K1038" i="2"/>
  <c r="J1038" i="2"/>
  <c r="I1038" i="2"/>
  <c r="K1037" i="2"/>
  <c r="J1037" i="2"/>
  <c r="I1037" i="2"/>
  <c r="K1036" i="2"/>
  <c r="J1036" i="2"/>
  <c r="I1036" i="2"/>
  <c r="K1035" i="2"/>
  <c r="J1035" i="2"/>
  <c r="I1035" i="2"/>
  <c r="K1034" i="2"/>
  <c r="J1034" i="2"/>
  <c r="I1034" i="2"/>
  <c r="K1033" i="2"/>
  <c r="J1033" i="2"/>
  <c r="I1033" i="2"/>
  <c r="K1032" i="2"/>
  <c r="J1032" i="2"/>
  <c r="I1032" i="2"/>
  <c r="K1031" i="2"/>
  <c r="J1031" i="2"/>
  <c r="I1031" i="2"/>
  <c r="K1030" i="2"/>
  <c r="J1030" i="2"/>
  <c r="I1030" i="2"/>
  <c r="K1029" i="2"/>
  <c r="J1029" i="2"/>
  <c r="I1029" i="2"/>
  <c r="K1028" i="2"/>
  <c r="J1028" i="2"/>
  <c r="I1028" i="2"/>
  <c r="K1027" i="2"/>
  <c r="J1027" i="2"/>
  <c r="I1027" i="2"/>
  <c r="K1026" i="2"/>
  <c r="J1026" i="2"/>
  <c r="I1026" i="2"/>
  <c r="K1025" i="2"/>
  <c r="J1025" i="2"/>
  <c r="I1025" i="2"/>
  <c r="K1024" i="2"/>
  <c r="J1024" i="2"/>
  <c r="I1024" i="2"/>
  <c r="K1023" i="2"/>
  <c r="J1023" i="2"/>
  <c r="I1023" i="2"/>
  <c r="K1022" i="2"/>
  <c r="J1022" i="2"/>
  <c r="I1022" i="2"/>
  <c r="K1021" i="2"/>
  <c r="J1021" i="2"/>
  <c r="I1021" i="2"/>
  <c r="K1020" i="2"/>
  <c r="J1020" i="2"/>
  <c r="I1020" i="2"/>
  <c r="K1019" i="2"/>
  <c r="J1019" i="2"/>
  <c r="I1019" i="2"/>
  <c r="K1018" i="2"/>
  <c r="J1018" i="2"/>
  <c r="I1018" i="2"/>
  <c r="K1017" i="2"/>
  <c r="J1017" i="2"/>
  <c r="I1017" i="2"/>
  <c r="K1016" i="2"/>
  <c r="J1016" i="2"/>
  <c r="I1016" i="2"/>
  <c r="K1015" i="2"/>
  <c r="J1015" i="2"/>
  <c r="I1015" i="2"/>
  <c r="K1014" i="2"/>
  <c r="J1014" i="2"/>
  <c r="I1014" i="2"/>
  <c r="K1013" i="2"/>
  <c r="J1013" i="2"/>
  <c r="I1013" i="2"/>
  <c r="K1012" i="2"/>
  <c r="J1012" i="2"/>
  <c r="I1012" i="2"/>
  <c r="K1011" i="2"/>
  <c r="J1011" i="2"/>
  <c r="I1011" i="2"/>
  <c r="K1010" i="2"/>
  <c r="J1010" i="2"/>
  <c r="I1010" i="2"/>
  <c r="K1009" i="2"/>
  <c r="J1009" i="2"/>
  <c r="I1009" i="2"/>
  <c r="K1008" i="2"/>
  <c r="J1008" i="2"/>
  <c r="I1008" i="2"/>
  <c r="K1007" i="2"/>
  <c r="J1007" i="2"/>
  <c r="I1007" i="2"/>
  <c r="K1006" i="2"/>
  <c r="J1006" i="2"/>
  <c r="I1006" i="2"/>
  <c r="K1005" i="2"/>
  <c r="J1005" i="2"/>
  <c r="I1005" i="2"/>
  <c r="K1004" i="2"/>
  <c r="J1004" i="2"/>
  <c r="I1004" i="2"/>
  <c r="K1003" i="2"/>
  <c r="J1003" i="2"/>
  <c r="I1003" i="2"/>
  <c r="K1002" i="2"/>
  <c r="J1002" i="2"/>
  <c r="I1002" i="2"/>
  <c r="K1001" i="2"/>
  <c r="J1001" i="2"/>
  <c r="I1001" i="2"/>
  <c r="K1000" i="2"/>
  <c r="J1000" i="2"/>
  <c r="I1000" i="2"/>
  <c r="K999" i="2"/>
  <c r="J999" i="2"/>
  <c r="I999" i="2"/>
  <c r="K998" i="2"/>
  <c r="J998" i="2"/>
  <c r="I998" i="2"/>
  <c r="K997" i="2"/>
  <c r="J997" i="2"/>
  <c r="I997" i="2"/>
  <c r="K996" i="2"/>
  <c r="J996" i="2"/>
  <c r="I996" i="2"/>
  <c r="K995" i="2"/>
  <c r="J995" i="2"/>
  <c r="I995" i="2"/>
  <c r="K994" i="2"/>
  <c r="J994" i="2"/>
  <c r="I994" i="2"/>
  <c r="K993" i="2"/>
  <c r="J993" i="2"/>
  <c r="I993" i="2"/>
  <c r="K992" i="2"/>
  <c r="J992" i="2"/>
  <c r="I992" i="2"/>
  <c r="K991" i="2"/>
  <c r="J991" i="2"/>
  <c r="I991" i="2"/>
  <c r="K990" i="2"/>
  <c r="J990" i="2"/>
  <c r="I990" i="2"/>
  <c r="K989" i="2"/>
  <c r="J989" i="2"/>
  <c r="I989" i="2"/>
  <c r="K988" i="2"/>
  <c r="J988" i="2"/>
  <c r="I988" i="2"/>
  <c r="K987" i="2"/>
  <c r="J987" i="2"/>
  <c r="I987" i="2"/>
  <c r="K986" i="2"/>
  <c r="J986" i="2"/>
  <c r="I986" i="2"/>
  <c r="K985" i="2"/>
  <c r="J985" i="2"/>
  <c r="I985" i="2"/>
  <c r="K984" i="2"/>
  <c r="J984" i="2"/>
  <c r="I984" i="2"/>
  <c r="K983" i="2"/>
  <c r="J983" i="2"/>
  <c r="I983" i="2"/>
  <c r="K982" i="2"/>
  <c r="J982" i="2"/>
  <c r="I982" i="2"/>
  <c r="K981" i="2"/>
  <c r="J981" i="2"/>
  <c r="I981" i="2"/>
  <c r="K980" i="2"/>
  <c r="J980" i="2"/>
  <c r="I980" i="2"/>
  <c r="K979" i="2"/>
  <c r="J979" i="2"/>
  <c r="I979" i="2"/>
  <c r="K978" i="2"/>
  <c r="J978" i="2"/>
  <c r="I978" i="2"/>
  <c r="K977" i="2"/>
  <c r="J977" i="2"/>
  <c r="I977" i="2"/>
  <c r="K976" i="2"/>
  <c r="J976" i="2"/>
  <c r="I976" i="2"/>
  <c r="K975" i="2"/>
  <c r="J975" i="2"/>
  <c r="I975" i="2"/>
  <c r="K974" i="2"/>
  <c r="J974" i="2"/>
  <c r="I974" i="2"/>
  <c r="K973" i="2"/>
  <c r="J973" i="2"/>
  <c r="I973" i="2"/>
  <c r="K972" i="2"/>
  <c r="J972" i="2"/>
  <c r="I972" i="2"/>
  <c r="K971" i="2"/>
  <c r="J971" i="2"/>
  <c r="I971" i="2"/>
  <c r="K970" i="2"/>
  <c r="J970" i="2"/>
  <c r="I970" i="2"/>
  <c r="K969" i="2"/>
  <c r="J969" i="2"/>
  <c r="I969" i="2"/>
  <c r="K968" i="2"/>
  <c r="J968" i="2"/>
  <c r="I968" i="2"/>
  <c r="K967" i="2"/>
  <c r="J967" i="2"/>
  <c r="I967" i="2"/>
  <c r="K966" i="2"/>
  <c r="J966" i="2"/>
  <c r="I966" i="2"/>
  <c r="K965" i="2"/>
  <c r="J965" i="2"/>
  <c r="I965" i="2"/>
  <c r="K964" i="2"/>
  <c r="J964" i="2"/>
  <c r="I964" i="2"/>
  <c r="K963" i="2"/>
  <c r="J963" i="2"/>
  <c r="I963" i="2"/>
  <c r="K962" i="2"/>
  <c r="J962" i="2"/>
  <c r="I962" i="2"/>
  <c r="K961" i="2"/>
  <c r="J961" i="2"/>
  <c r="I961" i="2"/>
  <c r="K960" i="2"/>
  <c r="J960" i="2"/>
  <c r="I960" i="2"/>
  <c r="K959" i="2"/>
  <c r="J959" i="2"/>
  <c r="I959" i="2"/>
  <c r="K958" i="2"/>
  <c r="J958" i="2"/>
  <c r="I958" i="2"/>
  <c r="K957" i="2"/>
  <c r="J957" i="2"/>
  <c r="I957" i="2"/>
  <c r="K956" i="2"/>
  <c r="J956" i="2"/>
  <c r="I956" i="2"/>
  <c r="K955" i="2"/>
  <c r="J955" i="2"/>
  <c r="I955" i="2"/>
  <c r="K954" i="2"/>
  <c r="J954" i="2"/>
  <c r="I954" i="2"/>
  <c r="K953" i="2"/>
  <c r="J953" i="2"/>
  <c r="I953" i="2"/>
  <c r="K952" i="2"/>
  <c r="J952" i="2"/>
  <c r="I952" i="2"/>
  <c r="K951" i="2"/>
  <c r="J951" i="2"/>
  <c r="I951" i="2"/>
  <c r="K950" i="2"/>
  <c r="J950" i="2"/>
  <c r="I950" i="2"/>
  <c r="K949" i="2"/>
  <c r="J949" i="2"/>
  <c r="I949" i="2"/>
  <c r="K948" i="2"/>
  <c r="J948" i="2"/>
  <c r="I948" i="2"/>
  <c r="K947" i="2"/>
  <c r="J947" i="2"/>
  <c r="I947" i="2"/>
  <c r="K946" i="2"/>
  <c r="J946" i="2"/>
  <c r="I946" i="2"/>
  <c r="K945" i="2"/>
  <c r="J945" i="2"/>
  <c r="I945" i="2"/>
  <c r="K944" i="2"/>
  <c r="J944" i="2"/>
  <c r="I944" i="2"/>
  <c r="K943" i="2"/>
  <c r="J943" i="2"/>
  <c r="I943" i="2"/>
  <c r="K942" i="2"/>
  <c r="J942" i="2"/>
  <c r="I942" i="2"/>
  <c r="K941" i="2"/>
  <c r="J941" i="2"/>
  <c r="I941" i="2"/>
  <c r="K940" i="2"/>
  <c r="J940" i="2"/>
  <c r="I940" i="2"/>
  <c r="K939" i="2"/>
  <c r="J939" i="2"/>
  <c r="I939" i="2"/>
  <c r="K938" i="2"/>
  <c r="J938" i="2"/>
  <c r="I938" i="2"/>
  <c r="K937" i="2"/>
  <c r="J937" i="2"/>
  <c r="I937" i="2"/>
  <c r="K936" i="2"/>
  <c r="J936" i="2"/>
  <c r="I936" i="2"/>
  <c r="K935" i="2"/>
  <c r="J935" i="2"/>
  <c r="I935" i="2"/>
  <c r="K934" i="2"/>
  <c r="J934" i="2"/>
  <c r="I934" i="2"/>
  <c r="K933" i="2"/>
  <c r="J933" i="2"/>
  <c r="I933" i="2"/>
  <c r="K932" i="2"/>
  <c r="J932" i="2"/>
  <c r="I932" i="2"/>
  <c r="K931" i="2"/>
  <c r="J931" i="2"/>
  <c r="I931" i="2"/>
  <c r="K930" i="2"/>
  <c r="J930" i="2"/>
  <c r="I930" i="2"/>
  <c r="K929" i="2"/>
  <c r="J929" i="2"/>
  <c r="I929" i="2"/>
  <c r="K928" i="2"/>
  <c r="J928" i="2"/>
  <c r="I928" i="2"/>
  <c r="K927" i="2"/>
  <c r="J927" i="2"/>
  <c r="I927" i="2"/>
  <c r="K926" i="2"/>
  <c r="J926" i="2"/>
  <c r="I926" i="2"/>
  <c r="K925" i="2"/>
  <c r="J925" i="2"/>
  <c r="I925" i="2"/>
  <c r="K924" i="2"/>
  <c r="J924" i="2"/>
  <c r="I924" i="2"/>
  <c r="K923" i="2"/>
  <c r="J923" i="2"/>
  <c r="I923" i="2"/>
  <c r="K922" i="2"/>
  <c r="J922" i="2"/>
  <c r="I922" i="2"/>
  <c r="K921" i="2"/>
  <c r="J921" i="2"/>
  <c r="I921" i="2"/>
  <c r="K920" i="2"/>
  <c r="J920" i="2"/>
  <c r="I920" i="2"/>
  <c r="K919" i="2"/>
  <c r="J919" i="2"/>
  <c r="I919" i="2"/>
  <c r="K918" i="2"/>
  <c r="J918" i="2"/>
  <c r="I918" i="2"/>
  <c r="K917" i="2"/>
  <c r="J917" i="2"/>
  <c r="I917" i="2"/>
  <c r="K916" i="2"/>
  <c r="J916" i="2"/>
  <c r="I916" i="2"/>
  <c r="K915" i="2"/>
  <c r="J915" i="2"/>
  <c r="I915" i="2"/>
  <c r="K914" i="2"/>
  <c r="J914" i="2"/>
  <c r="I914" i="2"/>
  <c r="K913" i="2"/>
  <c r="J913" i="2"/>
  <c r="I913" i="2"/>
  <c r="K912" i="2"/>
  <c r="J912" i="2"/>
  <c r="I912" i="2"/>
  <c r="K911" i="2"/>
  <c r="J911" i="2"/>
  <c r="I911" i="2"/>
  <c r="K910" i="2"/>
  <c r="J910" i="2"/>
  <c r="I910" i="2"/>
  <c r="K909" i="2"/>
  <c r="J909" i="2"/>
  <c r="I909" i="2"/>
  <c r="K908" i="2"/>
  <c r="J908" i="2"/>
  <c r="I908" i="2"/>
  <c r="K907" i="2"/>
  <c r="J907" i="2"/>
  <c r="I907" i="2"/>
  <c r="K906" i="2"/>
  <c r="J906" i="2"/>
  <c r="I906" i="2"/>
  <c r="K905" i="2"/>
  <c r="J905" i="2"/>
  <c r="I905" i="2"/>
  <c r="K904" i="2"/>
  <c r="J904" i="2"/>
  <c r="I904" i="2"/>
  <c r="K903" i="2"/>
  <c r="J903" i="2"/>
  <c r="I903" i="2"/>
  <c r="K902" i="2"/>
  <c r="J902" i="2"/>
  <c r="I902" i="2"/>
  <c r="K901" i="2"/>
  <c r="J901" i="2"/>
  <c r="I901" i="2"/>
  <c r="K900" i="2"/>
  <c r="J900" i="2"/>
  <c r="I900" i="2"/>
  <c r="K899" i="2"/>
  <c r="J899" i="2"/>
  <c r="I899" i="2"/>
  <c r="K898" i="2"/>
  <c r="J898" i="2"/>
  <c r="I898" i="2"/>
  <c r="K897" i="2"/>
  <c r="J897" i="2"/>
  <c r="I897" i="2"/>
  <c r="K896" i="2"/>
  <c r="J896" i="2"/>
  <c r="I896" i="2"/>
  <c r="K895" i="2"/>
  <c r="J895" i="2"/>
  <c r="I895" i="2"/>
  <c r="K894" i="2"/>
  <c r="J894" i="2"/>
  <c r="I894" i="2"/>
  <c r="K893" i="2"/>
  <c r="J893" i="2"/>
  <c r="I893" i="2"/>
  <c r="K892" i="2"/>
  <c r="J892" i="2"/>
  <c r="I892" i="2"/>
  <c r="K891" i="2"/>
  <c r="J891" i="2"/>
  <c r="I891" i="2"/>
  <c r="K890" i="2"/>
  <c r="J890" i="2"/>
  <c r="I890" i="2"/>
  <c r="K889" i="2"/>
  <c r="J889" i="2"/>
  <c r="I889" i="2"/>
  <c r="K888" i="2"/>
  <c r="J888" i="2"/>
  <c r="I888" i="2"/>
  <c r="K887" i="2"/>
  <c r="J887" i="2"/>
  <c r="I887" i="2"/>
  <c r="K886" i="2"/>
  <c r="J886" i="2"/>
  <c r="I886" i="2"/>
  <c r="K885" i="2"/>
  <c r="J885" i="2"/>
  <c r="I885" i="2"/>
  <c r="K884" i="2"/>
  <c r="J884" i="2"/>
  <c r="I884" i="2"/>
  <c r="K883" i="2"/>
  <c r="J883" i="2"/>
  <c r="I883" i="2"/>
  <c r="K882" i="2"/>
  <c r="J882" i="2"/>
  <c r="I882" i="2"/>
  <c r="K881" i="2"/>
  <c r="J881" i="2"/>
  <c r="I881" i="2"/>
  <c r="K880" i="2"/>
  <c r="J880" i="2"/>
  <c r="I880" i="2"/>
  <c r="K879" i="2"/>
  <c r="J879" i="2"/>
  <c r="I879" i="2"/>
  <c r="K878" i="2"/>
  <c r="J878" i="2"/>
  <c r="I878" i="2"/>
  <c r="K877" i="2"/>
  <c r="J877" i="2"/>
  <c r="I877" i="2"/>
  <c r="K876" i="2"/>
  <c r="J876" i="2"/>
  <c r="I876" i="2"/>
  <c r="K875" i="2"/>
  <c r="J875" i="2"/>
  <c r="I875" i="2"/>
  <c r="K874" i="2"/>
  <c r="J874" i="2"/>
  <c r="I874" i="2"/>
  <c r="K873" i="2"/>
  <c r="J873" i="2"/>
  <c r="I873" i="2"/>
  <c r="K872" i="2"/>
  <c r="J872" i="2"/>
  <c r="I872" i="2"/>
  <c r="K871" i="2"/>
  <c r="J871" i="2"/>
  <c r="I871" i="2"/>
  <c r="K870" i="2"/>
  <c r="J870" i="2"/>
  <c r="I870" i="2"/>
  <c r="K869" i="2"/>
  <c r="J869" i="2"/>
  <c r="I869" i="2"/>
  <c r="K868" i="2"/>
  <c r="J868" i="2"/>
  <c r="I868" i="2"/>
  <c r="K867" i="2"/>
  <c r="J867" i="2"/>
  <c r="I867" i="2"/>
  <c r="K866" i="2"/>
  <c r="J866" i="2"/>
  <c r="I866" i="2"/>
  <c r="K865" i="2"/>
  <c r="J865" i="2"/>
  <c r="I865" i="2"/>
  <c r="K864" i="2"/>
  <c r="J864" i="2"/>
  <c r="I864" i="2"/>
  <c r="K863" i="2"/>
  <c r="J863" i="2"/>
  <c r="I863" i="2"/>
  <c r="K862" i="2"/>
  <c r="J862" i="2"/>
  <c r="I862" i="2"/>
  <c r="K861" i="2"/>
  <c r="J861" i="2"/>
  <c r="I861" i="2"/>
  <c r="K860" i="2"/>
  <c r="J860" i="2"/>
  <c r="I860" i="2"/>
  <c r="K859" i="2"/>
  <c r="J859" i="2"/>
  <c r="I859" i="2"/>
  <c r="K858" i="2"/>
  <c r="J858" i="2"/>
  <c r="I858" i="2"/>
  <c r="K857" i="2"/>
  <c r="J857" i="2"/>
  <c r="I857" i="2"/>
  <c r="K856" i="2"/>
  <c r="J856" i="2"/>
  <c r="I856" i="2"/>
  <c r="K855" i="2"/>
  <c r="J855" i="2"/>
  <c r="I855" i="2"/>
  <c r="K854" i="2"/>
  <c r="J854" i="2"/>
  <c r="I854" i="2"/>
  <c r="K853" i="2"/>
  <c r="J853" i="2"/>
  <c r="I853" i="2"/>
  <c r="K852" i="2"/>
  <c r="J852" i="2"/>
  <c r="I852" i="2"/>
  <c r="K851" i="2"/>
  <c r="J851" i="2"/>
  <c r="I851" i="2"/>
  <c r="K850" i="2"/>
  <c r="J850" i="2"/>
  <c r="I850" i="2"/>
  <c r="K849" i="2"/>
  <c r="J849" i="2"/>
  <c r="I849" i="2"/>
  <c r="K848" i="2"/>
  <c r="J848" i="2"/>
  <c r="I848" i="2"/>
  <c r="K847" i="2"/>
  <c r="J847" i="2"/>
  <c r="I847" i="2"/>
  <c r="K846" i="2"/>
  <c r="J846" i="2"/>
  <c r="I846" i="2"/>
  <c r="K845" i="2"/>
  <c r="J845" i="2"/>
  <c r="I845" i="2"/>
  <c r="K844" i="2"/>
  <c r="J844" i="2"/>
  <c r="I844" i="2"/>
  <c r="K843" i="2"/>
  <c r="J843" i="2"/>
  <c r="I843" i="2"/>
  <c r="K842" i="2"/>
  <c r="J842" i="2"/>
  <c r="I842" i="2"/>
  <c r="K841" i="2"/>
  <c r="J841" i="2"/>
  <c r="I841" i="2"/>
  <c r="K840" i="2"/>
  <c r="J840" i="2"/>
  <c r="I840" i="2"/>
  <c r="K839" i="2"/>
  <c r="J839" i="2"/>
  <c r="I839" i="2"/>
  <c r="K838" i="2"/>
  <c r="J838" i="2"/>
  <c r="I838" i="2"/>
  <c r="K837" i="2"/>
  <c r="J837" i="2"/>
  <c r="I837" i="2"/>
  <c r="K836" i="2"/>
  <c r="J836" i="2"/>
  <c r="I836" i="2"/>
  <c r="K835" i="2"/>
  <c r="J835" i="2"/>
  <c r="I835" i="2"/>
  <c r="K834" i="2"/>
  <c r="J834" i="2"/>
  <c r="I834" i="2"/>
  <c r="K833" i="2"/>
  <c r="J833" i="2"/>
  <c r="I833" i="2"/>
  <c r="K832" i="2"/>
  <c r="J832" i="2"/>
  <c r="I832" i="2"/>
  <c r="K831" i="2"/>
  <c r="J831" i="2"/>
  <c r="I831" i="2"/>
  <c r="K830" i="2"/>
  <c r="J830" i="2"/>
  <c r="I830" i="2"/>
  <c r="K829" i="2"/>
  <c r="J829" i="2"/>
  <c r="I829" i="2"/>
  <c r="K828" i="2"/>
  <c r="J828" i="2"/>
  <c r="I828" i="2"/>
  <c r="K827" i="2"/>
  <c r="J827" i="2"/>
  <c r="I827" i="2"/>
  <c r="K826" i="2"/>
  <c r="J826" i="2"/>
  <c r="I826" i="2"/>
  <c r="K825" i="2"/>
  <c r="J825" i="2"/>
  <c r="I825" i="2"/>
  <c r="K824" i="2"/>
  <c r="J824" i="2"/>
  <c r="I824" i="2"/>
  <c r="K823" i="2"/>
  <c r="J823" i="2"/>
  <c r="I823" i="2"/>
  <c r="K822" i="2"/>
  <c r="J822" i="2"/>
  <c r="I822" i="2"/>
  <c r="K821" i="2"/>
  <c r="J821" i="2"/>
  <c r="I821" i="2"/>
  <c r="K820" i="2"/>
  <c r="J820" i="2"/>
  <c r="I820" i="2"/>
  <c r="K819" i="2"/>
  <c r="J819" i="2"/>
  <c r="I819" i="2"/>
  <c r="K818" i="2"/>
  <c r="J818" i="2"/>
  <c r="I818" i="2"/>
  <c r="K817" i="2"/>
  <c r="J817" i="2"/>
  <c r="I817" i="2"/>
  <c r="K816" i="2"/>
  <c r="J816" i="2"/>
  <c r="I816" i="2"/>
  <c r="K815" i="2"/>
  <c r="J815" i="2"/>
  <c r="I815" i="2"/>
  <c r="K814" i="2"/>
  <c r="J814" i="2"/>
  <c r="I814" i="2"/>
  <c r="K813" i="2"/>
  <c r="J813" i="2"/>
  <c r="I813" i="2"/>
  <c r="K812" i="2"/>
  <c r="J812" i="2"/>
  <c r="I812" i="2"/>
  <c r="K811" i="2"/>
  <c r="J811" i="2"/>
  <c r="I811" i="2"/>
  <c r="K810" i="2"/>
  <c r="J810" i="2"/>
  <c r="I810" i="2"/>
  <c r="K809" i="2"/>
  <c r="J809" i="2"/>
  <c r="I809" i="2"/>
  <c r="K808" i="2"/>
  <c r="J808" i="2"/>
  <c r="I808" i="2"/>
  <c r="K807" i="2"/>
  <c r="J807" i="2"/>
  <c r="I807" i="2"/>
  <c r="K806" i="2"/>
  <c r="J806" i="2"/>
  <c r="I806" i="2"/>
  <c r="K805" i="2"/>
  <c r="J805" i="2"/>
  <c r="I805" i="2"/>
  <c r="K804" i="2"/>
  <c r="J804" i="2"/>
  <c r="I804" i="2"/>
  <c r="K803" i="2"/>
  <c r="J803" i="2"/>
  <c r="I803" i="2"/>
  <c r="K802" i="2"/>
  <c r="J802" i="2"/>
  <c r="I802" i="2"/>
  <c r="K801" i="2"/>
  <c r="J801" i="2"/>
  <c r="I801" i="2"/>
  <c r="K800" i="2"/>
  <c r="J800" i="2"/>
  <c r="I800" i="2"/>
  <c r="K799" i="2"/>
  <c r="J799" i="2"/>
  <c r="I799" i="2"/>
  <c r="K798" i="2"/>
  <c r="J798" i="2"/>
  <c r="I798" i="2"/>
  <c r="K797" i="2"/>
  <c r="J797" i="2"/>
  <c r="I797" i="2"/>
  <c r="K796" i="2"/>
  <c r="J796" i="2"/>
  <c r="I796" i="2"/>
  <c r="K795" i="2"/>
  <c r="J795" i="2"/>
  <c r="I795" i="2"/>
  <c r="K794" i="2"/>
  <c r="J794" i="2"/>
  <c r="I794" i="2"/>
  <c r="K793" i="2"/>
  <c r="J793" i="2"/>
  <c r="I793" i="2"/>
  <c r="K792" i="2"/>
  <c r="J792" i="2"/>
  <c r="I792" i="2"/>
  <c r="K791" i="2"/>
  <c r="J791" i="2"/>
  <c r="I791" i="2"/>
  <c r="K790" i="2"/>
  <c r="J790" i="2"/>
  <c r="I790" i="2"/>
  <c r="K789" i="2"/>
  <c r="J789" i="2"/>
  <c r="I789" i="2"/>
  <c r="K788" i="2"/>
  <c r="J788" i="2"/>
  <c r="I788" i="2"/>
  <c r="K787" i="2"/>
  <c r="J787" i="2"/>
  <c r="I787" i="2"/>
  <c r="K786" i="2"/>
  <c r="J786" i="2"/>
  <c r="I786" i="2"/>
  <c r="K785" i="2"/>
  <c r="J785" i="2"/>
  <c r="I785" i="2"/>
  <c r="K784" i="2"/>
  <c r="J784" i="2"/>
  <c r="I784" i="2"/>
  <c r="K783" i="2"/>
  <c r="J783" i="2"/>
  <c r="I783" i="2"/>
  <c r="K782" i="2"/>
  <c r="J782" i="2"/>
  <c r="I782" i="2"/>
  <c r="K781" i="2"/>
  <c r="J781" i="2"/>
  <c r="I781" i="2"/>
  <c r="K780" i="2"/>
  <c r="J780" i="2"/>
  <c r="I780" i="2"/>
  <c r="K779" i="2"/>
  <c r="J779" i="2"/>
  <c r="I779" i="2"/>
  <c r="K778" i="2"/>
  <c r="J778" i="2"/>
  <c r="I778" i="2"/>
  <c r="K777" i="2"/>
  <c r="J777" i="2"/>
  <c r="I777" i="2"/>
  <c r="K776" i="2"/>
  <c r="J776" i="2"/>
  <c r="I776" i="2"/>
  <c r="K775" i="2"/>
  <c r="J775" i="2"/>
  <c r="I775" i="2"/>
  <c r="K774" i="2"/>
  <c r="J774" i="2"/>
  <c r="I774" i="2"/>
  <c r="K773" i="2"/>
  <c r="J773" i="2"/>
  <c r="I773" i="2"/>
  <c r="K772" i="2"/>
  <c r="J772" i="2"/>
  <c r="I772" i="2"/>
  <c r="K771" i="2"/>
  <c r="J771" i="2"/>
  <c r="I771" i="2"/>
  <c r="K770" i="2"/>
  <c r="J770" i="2"/>
  <c r="I770" i="2"/>
  <c r="K769" i="2"/>
  <c r="J769" i="2"/>
  <c r="I769" i="2"/>
  <c r="K768" i="2"/>
  <c r="J768" i="2"/>
  <c r="I768" i="2"/>
  <c r="K767" i="2"/>
  <c r="J767" i="2"/>
  <c r="I767" i="2"/>
  <c r="K766" i="2"/>
  <c r="J766" i="2"/>
  <c r="I766" i="2"/>
  <c r="K765" i="2"/>
  <c r="J765" i="2"/>
  <c r="I765" i="2"/>
  <c r="K764" i="2"/>
  <c r="J764" i="2"/>
  <c r="I764" i="2"/>
  <c r="K763" i="2"/>
  <c r="J763" i="2"/>
  <c r="I763" i="2"/>
  <c r="K762" i="2"/>
  <c r="J762" i="2"/>
  <c r="I762" i="2"/>
  <c r="K761" i="2"/>
  <c r="J761" i="2"/>
  <c r="I761" i="2"/>
  <c r="K760" i="2"/>
  <c r="J760" i="2"/>
  <c r="I760" i="2"/>
  <c r="K759" i="2"/>
  <c r="J759" i="2"/>
  <c r="I759" i="2"/>
  <c r="K758" i="2"/>
  <c r="J758" i="2"/>
  <c r="I758" i="2"/>
  <c r="K757" i="2"/>
  <c r="J757" i="2"/>
  <c r="I757" i="2"/>
  <c r="K756" i="2"/>
  <c r="J756" i="2"/>
  <c r="I756" i="2"/>
  <c r="K755" i="2"/>
  <c r="J755" i="2"/>
  <c r="I755" i="2"/>
  <c r="K754" i="2"/>
  <c r="J754" i="2"/>
  <c r="I754" i="2"/>
  <c r="K753" i="2"/>
  <c r="J753" i="2"/>
  <c r="I753" i="2"/>
  <c r="K752" i="2"/>
  <c r="J752" i="2"/>
  <c r="I752" i="2"/>
  <c r="K751" i="2"/>
  <c r="J751" i="2"/>
  <c r="I751" i="2"/>
  <c r="K750" i="2"/>
  <c r="J750" i="2"/>
  <c r="I750" i="2"/>
  <c r="K749" i="2"/>
  <c r="J749" i="2"/>
  <c r="I749" i="2"/>
  <c r="K748" i="2"/>
  <c r="J748" i="2"/>
  <c r="I748" i="2"/>
  <c r="K747" i="2"/>
  <c r="J747" i="2"/>
  <c r="I747" i="2"/>
  <c r="K746" i="2"/>
  <c r="J746" i="2"/>
  <c r="I746" i="2"/>
  <c r="K745" i="2"/>
  <c r="J745" i="2"/>
  <c r="I745" i="2"/>
  <c r="K744" i="2"/>
  <c r="J744" i="2"/>
  <c r="I744" i="2"/>
  <c r="K743" i="2"/>
  <c r="J743" i="2"/>
  <c r="I743" i="2"/>
  <c r="K742" i="2"/>
  <c r="J742" i="2"/>
  <c r="I742" i="2"/>
  <c r="K741" i="2"/>
  <c r="J741" i="2"/>
  <c r="I741" i="2"/>
  <c r="K740" i="2"/>
  <c r="J740" i="2"/>
  <c r="I740" i="2"/>
  <c r="K739" i="2"/>
  <c r="J739" i="2"/>
  <c r="I739" i="2"/>
  <c r="K738" i="2"/>
  <c r="J738" i="2"/>
  <c r="I738" i="2"/>
  <c r="K737" i="2"/>
  <c r="J737" i="2"/>
  <c r="I737" i="2"/>
  <c r="K736" i="2"/>
  <c r="J736" i="2"/>
  <c r="I736" i="2"/>
  <c r="K735" i="2"/>
  <c r="J735" i="2"/>
  <c r="I735" i="2"/>
  <c r="K734" i="2"/>
  <c r="J734" i="2"/>
  <c r="I734" i="2"/>
  <c r="K733" i="2"/>
  <c r="J733" i="2"/>
  <c r="I733" i="2"/>
  <c r="K732" i="2"/>
  <c r="J732" i="2"/>
  <c r="I732" i="2"/>
  <c r="K731" i="2"/>
  <c r="J731" i="2"/>
  <c r="I731" i="2"/>
  <c r="K730" i="2"/>
  <c r="J730" i="2"/>
  <c r="I730" i="2"/>
  <c r="K729" i="2"/>
  <c r="J729" i="2"/>
  <c r="I729" i="2"/>
  <c r="K728" i="2"/>
  <c r="J728" i="2"/>
  <c r="I728" i="2"/>
  <c r="K727" i="2"/>
  <c r="J727" i="2"/>
  <c r="I727" i="2"/>
  <c r="K726" i="2"/>
  <c r="J726" i="2"/>
  <c r="I726" i="2"/>
  <c r="K725" i="2"/>
  <c r="J725" i="2"/>
  <c r="I725" i="2"/>
  <c r="K724" i="2"/>
  <c r="J724" i="2"/>
  <c r="I724" i="2"/>
  <c r="K723" i="2"/>
  <c r="J723" i="2"/>
  <c r="I723" i="2"/>
  <c r="K722" i="2"/>
  <c r="J722" i="2"/>
  <c r="I722" i="2"/>
  <c r="K721" i="2"/>
  <c r="J721" i="2"/>
  <c r="I721" i="2"/>
  <c r="K720" i="2"/>
  <c r="J720" i="2"/>
  <c r="I720" i="2"/>
  <c r="K719" i="2"/>
  <c r="J719" i="2"/>
  <c r="I719" i="2"/>
  <c r="K718" i="2"/>
  <c r="J718" i="2"/>
  <c r="I718" i="2"/>
  <c r="K717" i="2"/>
  <c r="J717" i="2"/>
  <c r="I717" i="2"/>
  <c r="K716" i="2"/>
  <c r="J716" i="2"/>
  <c r="I716" i="2"/>
  <c r="K715" i="2"/>
  <c r="J715" i="2"/>
  <c r="I715" i="2"/>
  <c r="K714" i="2"/>
  <c r="J714" i="2"/>
  <c r="I714" i="2"/>
  <c r="K713" i="2"/>
  <c r="J713" i="2"/>
  <c r="I713" i="2"/>
  <c r="K712" i="2"/>
  <c r="J712" i="2"/>
  <c r="I712" i="2"/>
  <c r="K711" i="2"/>
  <c r="J711" i="2"/>
  <c r="I711" i="2"/>
  <c r="K710" i="2"/>
  <c r="J710" i="2"/>
  <c r="I710" i="2"/>
  <c r="K709" i="2"/>
  <c r="J709" i="2"/>
  <c r="I709" i="2"/>
  <c r="K708" i="2"/>
  <c r="J708" i="2"/>
  <c r="I708" i="2"/>
  <c r="K707" i="2"/>
  <c r="J707" i="2"/>
  <c r="I707" i="2"/>
  <c r="K706" i="2"/>
  <c r="J706" i="2"/>
  <c r="I706" i="2"/>
  <c r="K705" i="2"/>
  <c r="J705" i="2"/>
  <c r="I705" i="2"/>
  <c r="K704" i="2"/>
  <c r="J704" i="2"/>
  <c r="I704" i="2"/>
  <c r="K703" i="2"/>
  <c r="J703" i="2"/>
  <c r="I703" i="2"/>
  <c r="K702" i="2"/>
  <c r="J702" i="2"/>
  <c r="I702" i="2"/>
  <c r="K701" i="2"/>
  <c r="J701" i="2"/>
  <c r="I701" i="2"/>
  <c r="K700" i="2"/>
  <c r="J700" i="2"/>
  <c r="I700" i="2"/>
  <c r="K699" i="2"/>
  <c r="J699" i="2"/>
  <c r="I699" i="2"/>
  <c r="K698" i="2"/>
  <c r="J698" i="2"/>
  <c r="I698" i="2"/>
  <c r="K697" i="2"/>
  <c r="J697" i="2"/>
  <c r="I697" i="2"/>
  <c r="K696" i="2"/>
  <c r="J696" i="2"/>
  <c r="I696" i="2"/>
  <c r="K695" i="2"/>
  <c r="J695" i="2"/>
  <c r="I695" i="2"/>
  <c r="K694" i="2"/>
  <c r="J694" i="2"/>
  <c r="I694" i="2"/>
  <c r="K693" i="2"/>
  <c r="J693" i="2"/>
  <c r="I693" i="2"/>
  <c r="K692" i="2"/>
  <c r="J692" i="2"/>
  <c r="I692" i="2"/>
  <c r="K691" i="2"/>
  <c r="J691" i="2"/>
  <c r="I691" i="2"/>
  <c r="K690" i="2"/>
  <c r="J690" i="2"/>
  <c r="I690" i="2"/>
  <c r="K689" i="2"/>
  <c r="J689" i="2"/>
  <c r="I689" i="2"/>
  <c r="K688" i="2"/>
  <c r="J688" i="2"/>
  <c r="I688" i="2"/>
  <c r="K687" i="2"/>
  <c r="J687" i="2"/>
  <c r="I687" i="2"/>
  <c r="K686" i="2"/>
  <c r="J686" i="2"/>
  <c r="I686" i="2"/>
  <c r="K685" i="2"/>
  <c r="J685" i="2"/>
  <c r="I685" i="2"/>
  <c r="K684" i="2"/>
  <c r="J684" i="2"/>
  <c r="I684" i="2"/>
  <c r="K683" i="2"/>
  <c r="J683" i="2"/>
  <c r="I683" i="2"/>
  <c r="K682" i="2"/>
  <c r="J682" i="2"/>
  <c r="I682" i="2"/>
  <c r="K681" i="2"/>
  <c r="J681" i="2"/>
  <c r="I681" i="2"/>
  <c r="K680" i="2"/>
  <c r="J680" i="2"/>
  <c r="I680" i="2"/>
  <c r="K679" i="2"/>
  <c r="J679" i="2"/>
  <c r="I679" i="2"/>
  <c r="K678" i="2"/>
  <c r="J678" i="2"/>
  <c r="I678" i="2"/>
  <c r="K677" i="2"/>
  <c r="J677" i="2"/>
  <c r="I677" i="2"/>
  <c r="K676" i="2"/>
  <c r="J676" i="2"/>
  <c r="I676" i="2"/>
  <c r="K675" i="2"/>
  <c r="J675" i="2"/>
  <c r="I675" i="2"/>
  <c r="K674" i="2"/>
  <c r="J674" i="2"/>
  <c r="I674" i="2"/>
  <c r="K673" i="2"/>
  <c r="J673" i="2"/>
  <c r="I673" i="2"/>
  <c r="K672" i="2"/>
  <c r="J672" i="2"/>
  <c r="I672" i="2"/>
  <c r="K671" i="2"/>
  <c r="J671" i="2"/>
  <c r="I671" i="2"/>
  <c r="K670" i="2"/>
  <c r="J670" i="2"/>
  <c r="I670" i="2"/>
  <c r="K669" i="2"/>
  <c r="J669" i="2"/>
  <c r="I669" i="2"/>
  <c r="K668" i="2"/>
  <c r="J668" i="2"/>
  <c r="I668" i="2"/>
  <c r="K667" i="2"/>
  <c r="J667" i="2"/>
  <c r="I667" i="2"/>
  <c r="K666" i="2"/>
  <c r="J666" i="2"/>
  <c r="I666" i="2"/>
  <c r="K665" i="2"/>
  <c r="J665" i="2"/>
  <c r="I665" i="2"/>
  <c r="K664" i="2"/>
  <c r="J664" i="2"/>
  <c r="I664" i="2"/>
  <c r="K663" i="2"/>
  <c r="J663" i="2"/>
  <c r="I663" i="2"/>
  <c r="K662" i="2"/>
  <c r="J662" i="2"/>
  <c r="I662" i="2"/>
  <c r="K661" i="2"/>
  <c r="J661" i="2"/>
  <c r="I661" i="2"/>
  <c r="K660" i="2"/>
  <c r="J660" i="2"/>
  <c r="I660" i="2"/>
  <c r="K659" i="2"/>
  <c r="J659" i="2"/>
  <c r="I659" i="2"/>
  <c r="K658" i="2"/>
  <c r="J658" i="2"/>
  <c r="I658" i="2"/>
  <c r="K657" i="2"/>
  <c r="J657" i="2"/>
  <c r="I657" i="2"/>
  <c r="K656" i="2"/>
  <c r="J656" i="2"/>
  <c r="I656" i="2"/>
  <c r="K655" i="2"/>
  <c r="J655" i="2"/>
  <c r="I655" i="2"/>
  <c r="K654" i="2"/>
  <c r="J654" i="2"/>
  <c r="I654" i="2"/>
  <c r="K653" i="2"/>
  <c r="J653" i="2"/>
  <c r="I653" i="2"/>
  <c r="K652" i="2"/>
  <c r="J652" i="2"/>
  <c r="I652" i="2"/>
  <c r="K651" i="2"/>
  <c r="J651" i="2"/>
  <c r="I651" i="2"/>
  <c r="K650" i="2"/>
  <c r="J650" i="2"/>
  <c r="I650" i="2"/>
  <c r="K649" i="2"/>
  <c r="J649" i="2"/>
  <c r="I649" i="2"/>
  <c r="K648" i="2"/>
  <c r="J648" i="2"/>
  <c r="I648" i="2"/>
  <c r="K647" i="2"/>
  <c r="J647" i="2"/>
  <c r="I647" i="2"/>
  <c r="K646" i="2"/>
  <c r="J646" i="2"/>
  <c r="I646" i="2"/>
  <c r="K645" i="2"/>
  <c r="J645" i="2"/>
  <c r="I645" i="2"/>
  <c r="K644" i="2"/>
  <c r="J644" i="2"/>
  <c r="I644" i="2"/>
  <c r="K643" i="2"/>
  <c r="J643" i="2"/>
  <c r="I643" i="2"/>
  <c r="K642" i="2"/>
  <c r="J642" i="2"/>
  <c r="I642" i="2"/>
  <c r="K641" i="2"/>
  <c r="J641" i="2"/>
  <c r="I641" i="2"/>
  <c r="K640" i="2"/>
  <c r="J640" i="2"/>
  <c r="I640" i="2"/>
  <c r="K639" i="2"/>
  <c r="J639" i="2"/>
  <c r="I639" i="2"/>
  <c r="K638" i="2"/>
  <c r="J638" i="2"/>
  <c r="I638" i="2"/>
  <c r="K637" i="2"/>
  <c r="J637" i="2"/>
  <c r="I637" i="2"/>
  <c r="K636" i="2"/>
  <c r="J636" i="2"/>
  <c r="I636" i="2"/>
  <c r="K635" i="2"/>
  <c r="J635" i="2"/>
  <c r="I635" i="2"/>
  <c r="K634" i="2"/>
  <c r="J634" i="2"/>
  <c r="I634" i="2"/>
  <c r="K633" i="2"/>
  <c r="J633" i="2"/>
  <c r="I633" i="2"/>
  <c r="K632" i="2"/>
  <c r="J632" i="2"/>
  <c r="I632" i="2"/>
  <c r="K631" i="2"/>
  <c r="J631" i="2"/>
  <c r="I631" i="2"/>
  <c r="K630" i="2"/>
  <c r="J630" i="2"/>
  <c r="I630" i="2"/>
  <c r="K629" i="2"/>
  <c r="J629" i="2"/>
  <c r="I629" i="2"/>
  <c r="K628" i="2"/>
  <c r="J628" i="2"/>
  <c r="I628" i="2"/>
  <c r="K627" i="2"/>
  <c r="J627" i="2"/>
  <c r="I627" i="2"/>
  <c r="K626" i="2"/>
  <c r="J626" i="2"/>
  <c r="I626" i="2"/>
  <c r="K625" i="2"/>
  <c r="J625" i="2"/>
  <c r="I625" i="2"/>
  <c r="K624" i="2"/>
  <c r="J624" i="2"/>
  <c r="I624" i="2"/>
  <c r="K623" i="2"/>
  <c r="J623" i="2"/>
  <c r="I623" i="2"/>
  <c r="K622" i="2"/>
  <c r="J622" i="2"/>
  <c r="I622" i="2"/>
  <c r="K621" i="2"/>
  <c r="J621" i="2"/>
  <c r="I621" i="2"/>
  <c r="K620" i="2"/>
  <c r="J620" i="2"/>
  <c r="I620" i="2"/>
  <c r="K619" i="2"/>
  <c r="J619" i="2"/>
  <c r="I619" i="2"/>
  <c r="K618" i="2"/>
  <c r="J618" i="2"/>
  <c r="I618" i="2"/>
  <c r="K617" i="2"/>
  <c r="J617" i="2"/>
  <c r="I617" i="2"/>
  <c r="K616" i="2"/>
  <c r="J616" i="2"/>
  <c r="I616" i="2"/>
  <c r="K615" i="2"/>
  <c r="J615" i="2"/>
  <c r="I615" i="2"/>
  <c r="K614" i="2"/>
  <c r="J614" i="2"/>
  <c r="I614" i="2"/>
  <c r="K613" i="2"/>
  <c r="J613" i="2"/>
  <c r="I613" i="2"/>
  <c r="K612" i="2"/>
  <c r="J612" i="2"/>
  <c r="I612" i="2"/>
  <c r="K611" i="2"/>
  <c r="J611" i="2"/>
  <c r="I611" i="2"/>
  <c r="K610" i="2"/>
  <c r="J610" i="2"/>
  <c r="I610" i="2"/>
  <c r="K609" i="2"/>
  <c r="J609" i="2"/>
  <c r="I609" i="2"/>
  <c r="K608" i="2"/>
  <c r="J608" i="2"/>
  <c r="I608" i="2"/>
  <c r="K607" i="2"/>
  <c r="J607" i="2"/>
  <c r="I607" i="2"/>
  <c r="K606" i="2"/>
  <c r="J606" i="2"/>
  <c r="I606" i="2"/>
  <c r="K605" i="2"/>
  <c r="J605" i="2"/>
  <c r="I605" i="2"/>
  <c r="K604" i="2"/>
  <c r="J604" i="2"/>
  <c r="I604" i="2"/>
  <c r="K603" i="2"/>
  <c r="J603" i="2"/>
  <c r="I603" i="2"/>
  <c r="K602" i="2"/>
  <c r="J602" i="2"/>
  <c r="I602" i="2"/>
  <c r="K601" i="2"/>
  <c r="J601" i="2"/>
  <c r="I601" i="2"/>
  <c r="K600" i="2"/>
  <c r="J600" i="2"/>
  <c r="I600" i="2"/>
  <c r="K599" i="2"/>
  <c r="J599" i="2"/>
  <c r="I599" i="2"/>
  <c r="K598" i="2"/>
  <c r="J598" i="2"/>
  <c r="I598" i="2"/>
  <c r="K597" i="2"/>
  <c r="J597" i="2"/>
  <c r="I597" i="2"/>
  <c r="K596" i="2"/>
  <c r="J596" i="2"/>
  <c r="I596" i="2"/>
  <c r="K595" i="2"/>
  <c r="J595" i="2"/>
  <c r="I595" i="2"/>
  <c r="K594" i="2"/>
  <c r="J594" i="2"/>
  <c r="I594" i="2"/>
  <c r="K593" i="2"/>
  <c r="J593" i="2"/>
  <c r="I593" i="2"/>
  <c r="K592" i="2"/>
  <c r="J592" i="2"/>
  <c r="I592" i="2"/>
  <c r="K591" i="2"/>
  <c r="J591" i="2"/>
  <c r="I591" i="2"/>
  <c r="K590" i="2"/>
  <c r="J590" i="2"/>
  <c r="I590" i="2"/>
  <c r="K589" i="2"/>
  <c r="J589" i="2"/>
  <c r="I589" i="2"/>
  <c r="K588" i="2"/>
  <c r="J588" i="2"/>
  <c r="I588" i="2"/>
  <c r="K587" i="2"/>
  <c r="J587" i="2"/>
  <c r="I587" i="2"/>
  <c r="K586" i="2"/>
  <c r="J586" i="2"/>
  <c r="I586" i="2"/>
  <c r="K585" i="2"/>
  <c r="J585" i="2"/>
  <c r="I585" i="2"/>
  <c r="K584" i="2"/>
  <c r="J584" i="2"/>
  <c r="I584" i="2"/>
  <c r="K583" i="2"/>
  <c r="J583" i="2"/>
  <c r="I583" i="2"/>
  <c r="K582" i="2"/>
  <c r="J582" i="2"/>
  <c r="I582" i="2"/>
  <c r="K581" i="2"/>
  <c r="J581" i="2"/>
  <c r="I581" i="2"/>
  <c r="K580" i="2"/>
  <c r="J580" i="2"/>
  <c r="I580" i="2"/>
  <c r="K579" i="2"/>
  <c r="J579" i="2"/>
  <c r="I579" i="2"/>
  <c r="K578" i="2"/>
  <c r="J578" i="2"/>
  <c r="I578" i="2"/>
  <c r="K577" i="2"/>
  <c r="J577" i="2"/>
  <c r="I577" i="2"/>
  <c r="K576" i="2"/>
  <c r="J576" i="2"/>
  <c r="I576" i="2"/>
  <c r="K575" i="2"/>
  <c r="J575" i="2"/>
  <c r="I575" i="2"/>
  <c r="K574" i="2"/>
  <c r="J574" i="2"/>
  <c r="I574" i="2"/>
  <c r="K573" i="2"/>
  <c r="J573" i="2"/>
  <c r="I573" i="2"/>
  <c r="K572" i="2"/>
  <c r="J572" i="2"/>
  <c r="I572" i="2"/>
  <c r="K571" i="2"/>
  <c r="J571" i="2"/>
  <c r="I571" i="2"/>
  <c r="K570" i="2"/>
  <c r="J570" i="2"/>
  <c r="I570" i="2"/>
  <c r="K569" i="2"/>
  <c r="J569" i="2"/>
  <c r="I569" i="2"/>
  <c r="K568" i="2"/>
  <c r="J568" i="2"/>
  <c r="I568" i="2"/>
  <c r="K567" i="2"/>
  <c r="J567" i="2"/>
  <c r="I567" i="2"/>
  <c r="K566" i="2"/>
  <c r="J566" i="2"/>
  <c r="I566" i="2"/>
  <c r="K565" i="2"/>
  <c r="J565" i="2"/>
  <c r="I565" i="2"/>
  <c r="K564" i="2"/>
  <c r="J564" i="2"/>
  <c r="I564" i="2"/>
  <c r="K563" i="2"/>
  <c r="J563" i="2"/>
  <c r="I563" i="2"/>
  <c r="K562" i="2"/>
  <c r="J562" i="2"/>
  <c r="I562" i="2"/>
  <c r="K561" i="2"/>
  <c r="J561" i="2"/>
  <c r="I561" i="2"/>
  <c r="K560" i="2"/>
  <c r="J560" i="2"/>
  <c r="I560" i="2"/>
  <c r="K559" i="2"/>
  <c r="J559" i="2"/>
  <c r="I559" i="2"/>
  <c r="K558" i="2"/>
  <c r="J558" i="2"/>
  <c r="I558" i="2"/>
  <c r="K557" i="2"/>
  <c r="J557" i="2"/>
  <c r="I557" i="2"/>
  <c r="K556" i="2"/>
  <c r="J556" i="2"/>
  <c r="I556" i="2"/>
  <c r="K555" i="2"/>
  <c r="J555" i="2"/>
  <c r="I555" i="2"/>
  <c r="K554" i="2"/>
  <c r="J554" i="2"/>
  <c r="I554" i="2"/>
  <c r="K553" i="2"/>
  <c r="J553" i="2"/>
  <c r="I553" i="2"/>
  <c r="K552" i="2"/>
  <c r="J552" i="2"/>
  <c r="I552" i="2"/>
  <c r="K551" i="2"/>
  <c r="J551" i="2"/>
  <c r="I551" i="2"/>
  <c r="K550" i="2"/>
  <c r="J550" i="2"/>
  <c r="I550" i="2"/>
  <c r="K549" i="2"/>
  <c r="J549" i="2"/>
  <c r="I549" i="2"/>
  <c r="K548" i="2"/>
  <c r="J548" i="2"/>
  <c r="I548" i="2"/>
  <c r="K547" i="2"/>
  <c r="J547" i="2"/>
  <c r="I547" i="2"/>
  <c r="K546" i="2"/>
  <c r="J546" i="2"/>
  <c r="I546" i="2"/>
  <c r="K545" i="2"/>
  <c r="J545" i="2"/>
  <c r="I545" i="2"/>
  <c r="K544" i="2"/>
  <c r="J544" i="2"/>
  <c r="I544" i="2"/>
  <c r="K543" i="2"/>
  <c r="J543" i="2"/>
  <c r="I543" i="2"/>
  <c r="K542" i="2"/>
  <c r="J542" i="2"/>
  <c r="I542" i="2"/>
  <c r="K541" i="2"/>
  <c r="J541" i="2"/>
  <c r="I541" i="2"/>
  <c r="K540" i="2"/>
  <c r="J540" i="2"/>
  <c r="I540" i="2"/>
  <c r="K539" i="2"/>
  <c r="J539" i="2"/>
  <c r="I539" i="2"/>
  <c r="K538" i="2"/>
  <c r="J538" i="2"/>
  <c r="I538" i="2"/>
  <c r="K537" i="2"/>
  <c r="J537" i="2"/>
  <c r="I537" i="2"/>
  <c r="K536" i="2"/>
  <c r="J536" i="2"/>
  <c r="I536" i="2"/>
  <c r="K535" i="2"/>
  <c r="J535" i="2"/>
  <c r="I535" i="2"/>
  <c r="K534" i="2"/>
  <c r="J534" i="2"/>
  <c r="I534" i="2"/>
  <c r="K533" i="2"/>
  <c r="J533" i="2"/>
  <c r="I533" i="2"/>
  <c r="K532" i="2"/>
  <c r="J532" i="2"/>
  <c r="I532" i="2"/>
  <c r="K531" i="2"/>
  <c r="J531" i="2"/>
  <c r="I531" i="2"/>
  <c r="K530" i="2"/>
  <c r="J530" i="2"/>
  <c r="I530" i="2"/>
  <c r="K529" i="2"/>
  <c r="J529" i="2"/>
  <c r="I529" i="2"/>
  <c r="K528" i="2"/>
  <c r="J528" i="2"/>
  <c r="I528" i="2"/>
  <c r="K527" i="2"/>
  <c r="J527" i="2"/>
  <c r="I527" i="2"/>
  <c r="K526" i="2"/>
  <c r="J526" i="2"/>
  <c r="I526" i="2"/>
  <c r="K525" i="2"/>
  <c r="J525" i="2"/>
  <c r="I525" i="2"/>
  <c r="K524" i="2"/>
  <c r="J524" i="2"/>
  <c r="I524" i="2"/>
  <c r="K523" i="2"/>
  <c r="J523" i="2"/>
  <c r="I523" i="2"/>
  <c r="K522" i="2"/>
  <c r="J522" i="2"/>
  <c r="I522" i="2"/>
  <c r="K521" i="2"/>
  <c r="J521" i="2"/>
  <c r="I521" i="2"/>
  <c r="K520" i="2"/>
  <c r="J520" i="2"/>
  <c r="I520" i="2"/>
  <c r="K519" i="2"/>
  <c r="J519" i="2"/>
  <c r="I519" i="2"/>
  <c r="K518" i="2"/>
  <c r="J518" i="2"/>
  <c r="I518" i="2"/>
  <c r="K517" i="2"/>
  <c r="J517" i="2"/>
  <c r="I517" i="2"/>
  <c r="K516" i="2"/>
  <c r="J516" i="2"/>
  <c r="I516" i="2"/>
  <c r="K515" i="2"/>
  <c r="J515" i="2"/>
  <c r="I515" i="2"/>
  <c r="K514" i="2"/>
  <c r="J514" i="2"/>
  <c r="I514" i="2"/>
  <c r="K513" i="2"/>
  <c r="J513" i="2"/>
  <c r="I513" i="2"/>
  <c r="K512" i="2"/>
  <c r="J512" i="2"/>
  <c r="I512" i="2"/>
  <c r="K511" i="2"/>
  <c r="J511" i="2"/>
  <c r="I511" i="2"/>
  <c r="K510" i="2"/>
  <c r="J510" i="2"/>
  <c r="I510" i="2"/>
  <c r="K509" i="2"/>
  <c r="J509" i="2"/>
  <c r="I509" i="2"/>
  <c r="K508" i="2"/>
  <c r="J508" i="2"/>
  <c r="I508" i="2"/>
  <c r="K507" i="2"/>
  <c r="J507" i="2"/>
  <c r="I507" i="2"/>
  <c r="K506" i="2"/>
  <c r="J506" i="2"/>
  <c r="I506" i="2"/>
  <c r="K505" i="2"/>
  <c r="J505" i="2"/>
  <c r="I505" i="2"/>
  <c r="K504" i="2"/>
  <c r="J504" i="2"/>
  <c r="I504" i="2"/>
  <c r="K503" i="2"/>
  <c r="J503" i="2"/>
  <c r="I503" i="2"/>
  <c r="K502" i="2"/>
  <c r="J502" i="2"/>
  <c r="I502" i="2"/>
  <c r="K501" i="2"/>
  <c r="J501" i="2"/>
  <c r="I501" i="2"/>
  <c r="K500" i="2"/>
  <c r="J500" i="2"/>
  <c r="I500" i="2"/>
  <c r="K499" i="2"/>
  <c r="J499" i="2"/>
  <c r="I499" i="2"/>
  <c r="K498" i="2"/>
  <c r="J498" i="2"/>
  <c r="I498" i="2"/>
  <c r="K497" i="2"/>
  <c r="J497" i="2"/>
  <c r="I497" i="2"/>
  <c r="K496" i="2"/>
  <c r="J496" i="2"/>
  <c r="I496" i="2"/>
  <c r="K495" i="2"/>
  <c r="J495" i="2"/>
  <c r="I495" i="2"/>
  <c r="K494" i="2"/>
  <c r="J494" i="2"/>
  <c r="I494" i="2"/>
  <c r="K493" i="2"/>
  <c r="J493" i="2"/>
  <c r="I493" i="2"/>
  <c r="K492" i="2"/>
  <c r="J492" i="2"/>
  <c r="I492" i="2"/>
  <c r="K491" i="2"/>
  <c r="J491" i="2"/>
  <c r="I491" i="2"/>
  <c r="K490" i="2"/>
  <c r="J490" i="2"/>
  <c r="I490" i="2"/>
  <c r="K489" i="2"/>
  <c r="J489" i="2"/>
  <c r="I489" i="2"/>
  <c r="K488" i="2"/>
  <c r="J488" i="2"/>
  <c r="I488" i="2"/>
  <c r="K487" i="2"/>
  <c r="J487" i="2"/>
  <c r="I487" i="2"/>
  <c r="K486" i="2"/>
  <c r="J486" i="2"/>
  <c r="I486" i="2"/>
  <c r="K485" i="2"/>
  <c r="J485" i="2"/>
  <c r="I485" i="2"/>
  <c r="K484" i="2"/>
  <c r="J484" i="2"/>
  <c r="I484" i="2"/>
  <c r="K483" i="2"/>
  <c r="J483" i="2"/>
  <c r="I483" i="2"/>
  <c r="K482" i="2"/>
  <c r="J482" i="2"/>
  <c r="I482" i="2"/>
  <c r="K481" i="2"/>
  <c r="J481" i="2"/>
  <c r="I481" i="2"/>
  <c r="K480" i="2"/>
  <c r="J480" i="2"/>
  <c r="I480" i="2"/>
  <c r="K479" i="2"/>
  <c r="J479" i="2"/>
  <c r="I479" i="2"/>
  <c r="K478" i="2"/>
  <c r="J478" i="2"/>
  <c r="I478" i="2"/>
  <c r="K477" i="2"/>
  <c r="J477" i="2"/>
  <c r="I477" i="2"/>
  <c r="K476" i="2"/>
  <c r="J476" i="2"/>
  <c r="I476" i="2"/>
  <c r="K475" i="2"/>
  <c r="J475" i="2"/>
  <c r="I475" i="2"/>
  <c r="K474" i="2"/>
  <c r="J474" i="2"/>
  <c r="I474" i="2"/>
  <c r="K473" i="2"/>
  <c r="J473" i="2"/>
  <c r="I473" i="2"/>
  <c r="K472" i="2"/>
  <c r="J472" i="2"/>
  <c r="I472" i="2"/>
  <c r="K471" i="2"/>
  <c r="J471" i="2"/>
  <c r="I471" i="2"/>
  <c r="K470" i="2"/>
  <c r="J470" i="2"/>
  <c r="I470" i="2"/>
  <c r="K469" i="2"/>
  <c r="J469" i="2"/>
  <c r="I469" i="2"/>
  <c r="K468" i="2"/>
  <c r="J468" i="2"/>
  <c r="I468" i="2"/>
  <c r="K467" i="2"/>
  <c r="J467" i="2"/>
  <c r="I467" i="2"/>
  <c r="K466" i="2"/>
  <c r="J466" i="2"/>
  <c r="I466" i="2"/>
  <c r="K465" i="2"/>
  <c r="J465" i="2"/>
  <c r="I465" i="2"/>
  <c r="K464" i="2"/>
  <c r="J464" i="2"/>
  <c r="I464" i="2"/>
  <c r="K463" i="2"/>
  <c r="J463" i="2"/>
  <c r="I463" i="2"/>
  <c r="K462" i="2"/>
  <c r="J462" i="2"/>
  <c r="I462" i="2"/>
  <c r="K461" i="2"/>
  <c r="J461" i="2"/>
  <c r="I461" i="2"/>
  <c r="K460" i="2"/>
  <c r="J460" i="2"/>
  <c r="I460" i="2"/>
  <c r="K459" i="2"/>
  <c r="J459" i="2"/>
  <c r="I459" i="2"/>
  <c r="K458" i="2"/>
  <c r="J458" i="2"/>
  <c r="I458" i="2"/>
  <c r="K457" i="2"/>
  <c r="J457" i="2"/>
  <c r="I457" i="2"/>
  <c r="K456" i="2"/>
  <c r="J456" i="2"/>
  <c r="I456" i="2"/>
  <c r="K455" i="2"/>
  <c r="J455" i="2"/>
  <c r="I455" i="2"/>
  <c r="K454" i="2"/>
  <c r="J454" i="2"/>
  <c r="I454" i="2"/>
  <c r="K453" i="2"/>
  <c r="J453" i="2"/>
  <c r="I453" i="2"/>
  <c r="K452" i="2"/>
  <c r="J452" i="2"/>
  <c r="I452" i="2"/>
  <c r="K451" i="2"/>
  <c r="J451" i="2"/>
  <c r="I451" i="2"/>
  <c r="K450" i="2"/>
  <c r="J450" i="2"/>
  <c r="I450" i="2"/>
  <c r="K449" i="2"/>
  <c r="J449" i="2"/>
  <c r="I449" i="2"/>
  <c r="K448" i="2"/>
  <c r="J448" i="2"/>
  <c r="I448" i="2"/>
  <c r="K447" i="2"/>
  <c r="J447" i="2"/>
  <c r="I447" i="2"/>
  <c r="K446" i="2"/>
  <c r="J446" i="2"/>
  <c r="I446" i="2"/>
  <c r="K445" i="2"/>
  <c r="J445" i="2"/>
  <c r="I445" i="2"/>
  <c r="K444" i="2"/>
  <c r="J444" i="2"/>
  <c r="I444" i="2"/>
  <c r="K443" i="2"/>
  <c r="J443" i="2"/>
  <c r="I443" i="2"/>
  <c r="K442" i="2"/>
  <c r="J442" i="2"/>
  <c r="I442" i="2"/>
  <c r="K441" i="2"/>
  <c r="J441" i="2"/>
  <c r="I441" i="2"/>
  <c r="K440" i="2"/>
  <c r="J440" i="2"/>
  <c r="I440" i="2"/>
  <c r="K439" i="2"/>
  <c r="J439" i="2"/>
  <c r="I439" i="2"/>
  <c r="K438" i="2"/>
  <c r="J438" i="2"/>
  <c r="I438" i="2"/>
  <c r="K437" i="2"/>
  <c r="J437" i="2"/>
  <c r="I437" i="2"/>
  <c r="K436" i="2"/>
  <c r="J436" i="2"/>
  <c r="I436" i="2"/>
  <c r="K435" i="2"/>
  <c r="J435" i="2"/>
  <c r="I435" i="2"/>
  <c r="K434" i="2"/>
  <c r="J434" i="2"/>
  <c r="I434" i="2"/>
  <c r="K433" i="2"/>
  <c r="J433" i="2"/>
  <c r="I433" i="2"/>
  <c r="K432" i="2"/>
  <c r="J432" i="2"/>
  <c r="I432" i="2"/>
  <c r="K431" i="2"/>
  <c r="J431" i="2"/>
  <c r="I431" i="2"/>
  <c r="K430" i="2"/>
  <c r="J430" i="2"/>
  <c r="I430" i="2"/>
  <c r="K429" i="2"/>
  <c r="J429" i="2"/>
  <c r="I429" i="2"/>
  <c r="K428" i="2"/>
  <c r="J428" i="2"/>
  <c r="I428" i="2"/>
  <c r="K427" i="2"/>
  <c r="J427" i="2"/>
  <c r="I427" i="2"/>
  <c r="K426" i="2"/>
  <c r="J426" i="2"/>
  <c r="I426" i="2"/>
  <c r="K425" i="2"/>
  <c r="J425" i="2"/>
  <c r="I425" i="2"/>
  <c r="K424" i="2"/>
  <c r="J424" i="2"/>
  <c r="I424" i="2"/>
  <c r="K423" i="2"/>
  <c r="J423" i="2"/>
  <c r="I423" i="2"/>
  <c r="K422" i="2"/>
  <c r="J422" i="2"/>
  <c r="I422" i="2"/>
  <c r="K421" i="2"/>
  <c r="J421" i="2"/>
  <c r="I421" i="2"/>
  <c r="K420" i="2"/>
  <c r="J420" i="2"/>
  <c r="I420" i="2"/>
  <c r="K419" i="2"/>
  <c r="J419" i="2"/>
  <c r="I419" i="2"/>
  <c r="K418" i="2"/>
  <c r="J418" i="2"/>
  <c r="I418" i="2"/>
  <c r="K417" i="2"/>
  <c r="J417" i="2"/>
  <c r="I417" i="2"/>
  <c r="K416" i="2"/>
  <c r="J416" i="2"/>
  <c r="I416" i="2"/>
  <c r="K415" i="2"/>
  <c r="J415" i="2"/>
  <c r="I415" i="2"/>
  <c r="K414" i="2"/>
  <c r="J414" i="2"/>
  <c r="I414" i="2"/>
  <c r="K413" i="2"/>
  <c r="J413" i="2"/>
  <c r="I413" i="2"/>
  <c r="K412" i="2"/>
  <c r="J412" i="2"/>
  <c r="I412" i="2"/>
  <c r="K411" i="2"/>
  <c r="J411" i="2"/>
  <c r="I411" i="2"/>
  <c r="K410" i="2"/>
  <c r="J410" i="2"/>
  <c r="I410" i="2"/>
  <c r="K409" i="2"/>
  <c r="J409" i="2"/>
  <c r="I409" i="2"/>
  <c r="K408" i="2"/>
  <c r="J408" i="2"/>
  <c r="I408" i="2"/>
  <c r="K407" i="2"/>
  <c r="J407" i="2"/>
  <c r="I407" i="2"/>
  <c r="K406" i="2"/>
  <c r="J406" i="2"/>
  <c r="I406" i="2"/>
  <c r="K405" i="2"/>
  <c r="J405" i="2"/>
  <c r="I405" i="2"/>
  <c r="K404" i="2"/>
  <c r="J404" i="2"/>
  <c r="I404" i="2"/>
  <c r="K403" i="2"/>
  <c r="J403" i="2"/>
  <c r="I403" i="2"/>
  <c r="K402" i="2"/>
  <c r="J402" i="2"/>
  <c r="I402" i="2"/>
  <c r="K401" i="2"/>
  <c r="J401" i="2"/>
  <c r="I401" i="2"/>
  <c r="K400" i="2"/>
  <c r="J400" i="2"/>
  <c r="I400" i="2"/>
  <c r="K399" i="2"/>
  <c r="J399" i="2"/>
  <c r="I399" i="2"/>
  <c r="K398" i="2"/>
  <c r="J398" i="2"/>
  <c r="I398" i="2"/>
  <c r="K397" i="2"/>
  <c r="J397" i="2"/>
  <c r="I397" i="2"/>
  <c r="K396" i="2"/>
  <c r="J396" i="2"/>
  <c r="I396" i="2"/>
  <c r="K395" i="2"/>
  <c r="J395" i="2"/>
  <c r="I395" i="2"/>
  <c r="K394" i="2"/>
  <c r="J394" i="2"/>
  <c r="I394" i="2"/>
  <c r="K393" i="2"/>
  <c r="J393" i="2"/>
  <c r="I393" i="2"/>
  <c r="K392" i="2"/>
  <c r="J392" i="2"/>
  <c r="I392" i="2"/>
  <c r="K391" i="2"/>
  <c r="J391" i="2"/>
  <c r="I391" i="2"/>
  <c r="K390" i="2"/>
  <c r="J390" i="2"/>
  <c r="I390" i="2"/>
  <c r="K389" i="2"/>
  <c r="J389" i="2"/>
  <c r="I389" i="2"/>
  <c r="K388" i="2"/>
  <c r="J388" i="2"/>
  <c r="I388" i="2"/>
  <c r="K387" i="2"/>
  <c r="J387" i="2"/>
  <c r="I387" i="2"/>
  <c r="K386" i="2"/>
  <c r="J386" i="2"/>
  <c r="I386" i="2"/>
  <c r="K385" i="2"/>
  <c r="J385" i="2"/>
  <c r="I385" i="2"/>
  <c r="K384" i="2"/>
  <c r="J384" i="2"/>
  <c r="I384" i="2"/>
  <c r="K383" i="2"/>
  <c r="J383" i="2"/>
  <c r="I383" i="2"/>
  <c r="K382" i="2"/>
  <c r="J382" i="2"/>
  <c r="I382" i="2"/>
  <c r="K381" i="2"/>
  <c r="J381" i="2"/>
  <c r="I381" i="2"/>
  <c r="K380" i="2"/>
  <c r="J380" i="2"/>
  <c r="I380" i="2"/>
  <c r="K379" i="2"/>
  <c r="J379" i="2"/>
  <c r="I379" i="2"/>
  <c r="K378" i="2"/>
  <c r="J378" i="2"/>
  <c r="I378" i="2"/>
  <c r="K377" i="2"/>
  <c r="J377" i="2"/>
  <c r="I377" i="2"/>
  <c r="K376" i="2"/>
  <c r="J376" i="2"/>
  <c r="I376" i="2"/>
  <c r="K375" i="2"/>
  <c r="J375" i="2"/>
  <c r="I375" i="2"/>
  <c r="K374" i="2"/>
  <c r="J374" i="2"/>
  <c r="I374" i="2"/>
  <c r="K373" i="2"/>
  <c r="J373" i="2"/>
  <c r="I373" i="2"/>
  <c r="K372" i="2"/>
  <c r="J372" i="2"/>
  <c r="I372" i="2"/>
  <c r="K371" i="2"/>
  <c r="J371" i="2"/>
  <c r="I371" i="2"/>
  <c r="K370" i="2"/>
  <c r="J370" i="2"/>
  <c r="I370" i="2"/>
  <c r="K369" i="2"/>
  <c r="J369" i="2"/>
  <c r="I369" i="2"/>
  <c r="K368" i="2"/>
  <c r="J368" i="2"/>
  <c r="I368" i="2"/>
  <c r="K367" i="2"/>
  <c r="J367" i="2"/>
  <c r="I367" i="2"/>
  <c r="K366" i="2"/>
  <c r="J366" i="2"/>
  <c r="I366" i="2"/>
  <c r="K365" i="2"/>
  <c r="J365" i="2"/>
  <c r="I365" i="2"/>
  <c r="K364" i="2"/>
  <c r="J364" i="2"/>
  <c r="I364" i="2"/>
  <c r="K363" i="2"/>
  <c r="J363" i="2"/>
  <c r="I363" i="2"/>
  <c r="K362" i="2"/>
  <c r="J362" i="2"/>
  <c r="I362" i="2"/>
  <c r="K361" i="2"/>
  <c r="J361" i="2"/>
  <c r="I361" i="2"/>
  <c r="K360" i="2"/>
  <c r="J360" i="2"/>
  <c r="I360" i="2"/>
  <c r="K359" i="2"/>
  <c r="J359" i="2"/>
  <c r="I359" i="2"/>
  <c r="K358" i="2"/>
  <c r="J358" i="2"/>
  <c r="I358" i="2"/>
  <c r="K357" i="2"/>
  <c r="J357" i="2"/>
  <c r="I357" i="2"/>
  <c r="K356" i="2"/>
  <c r="J356" i="2"/>
  <c r="I356" i="2"/>
  <c r="K355" i="2"/>
  <c r="J355" i="2"/>
  <c r="I355" i="2"/>
  <c r="K354" i="2"/>
  <c r="J354" i="2"/>
  <c r="I354" i="2"/>
  <c r="K353" i="2"/>
  <c r="J353" i="2"/>
  <c r="I353" i="2"/>
  <c r="K352" i="2"/>
  <c r="J352" i="2"/>
  <c r="I352" i="2"/>
  <c r="K351" i="2"/>
  <c r="J351" i="2"/>
  <c r="I351" i="2"/>
  <c r="K350" i="2"/>
  <c r="J350" i="2"/>
  <c r="I350" i="2"/>
  <c r="K349" i="2"/>
  <c r="J349" i="2"/>
  <c r="I349" i="2"/>
  <c r="K348" i="2"/>
  <c r="J348" i="2"/>
  <c r="I348" i="2"/>
  <c r="K347" i="2"/>
  <c r="J347" i="2"/>
  <c r="I347" i="2"/>
  <c r="K346" i="2"/>
  <c r="J346" i="2"/>
  <c r="I346" i="2"/>
  <c r="K345" i="2"/>
  <c r="J345" i="2"/>
  <c r="I345" i="2"/>
  <c r="K344" i="2"/>
  <c r="J344" i="2"/>
  <c r="I344" i="2"/>
  <c r="K343" i="2"/>
  <c r="J343" i="2"/>
  <c r="I343" i="2"/>
  <c r="K342" i="2"/>
  <c r="J342" i="2"/>
  <c r="I342" i="2"/>
  <c r="K341" i="2"/>
  <c r="J341" i="2"/>
  <c r="I341" i="2"/>
  <c r="K340" i="2"/>
  <c r="J340" i="2"/>
  <c r="I340" i="2"/>
  <c r="K339" i="2"/>
  <c r="J339" i="2"/>
  <c r="I339" i="2"/>
  <c r="K338" i="2"/>
  <c r="J338" i="2"/>
  <c r="I338" i="2"/>
  <c r="K337" i="2"/>
  <c r="J337" i="2"/>
  <c r="I337" i="2"/>
  <c r="K336" i="2"/>
  <c r="J336" i="2"/>
  <c r="I336" i="2"/>
  <c r="K335" i="2"/>
  <c r="J335" i="2"/>
  <c r="I335" i="2"/>
  <c r="K334" i="2"/>
  <c r="J334" i="2"/>
  <c r="I334" i="2"/>
  <c r="K333" i="2"/>
  <c r="J333" i="2"/>
  <c r="I333" i="2"/>
  <c r="K332" i="2"/>
  <c r="J332" i="2"/>
  <c r="I332" i="2"/>
  <c r="K331" i="2"/>
  <c r="J331" i="2"/>
  <c r="I331" i="2"/>
  <c r="K330" i="2"/>
  <c r="J330" i="2"/>
  <c r="I330" i="2"/>
  <c r="K329" i="2"/>
  <c r="J329" i="2"/>
  <c r="I329" i="2"/>
  <c r="K328" i="2"/>
  <c r="J328" i="2"/>
  <c r="I328" i="2"/>
  <c r="K327" i="2"/>
  <c r="J327" i="2"/>
  <c r="I327" i="2"/>
  <c r="K326" i="2"/>
  <c r="J326" i="2"/>
  <c r="I326" i="2"/>
  <c r="K325" i="2"/>
  <c r="J325" i="2"/>
  <c r="I325" i="2"/>
  <c r="K324" i="2"/>
  <c r="J324" i="2"/>
  <c r="I324" i="2"/>
  <c r="K323" i="2"/>
  <c r="J323" i="2"/>
  <c r="I323" i="2"/>
  <c r="K322" i="2"/>
  <c r="J322" i="2"/>
  <c r="I322" i="2"/>
  <c r="K321" i="2"/>
  <c r="J321" i="2"/>
  <c r="I321" i="2"/>
  <c r="K320" i="2"/>
  <c r="J320" i="2"/>
  <c r="I320" i="2"/>
  <c r="K319" i="2"/>
  <c r="J319" i="2"/>
  <c r="I319" i="2"/>
  <c r="K318" i="2"/>
  <c r="J318" i="2"/>
  <c r="I318" i="2"/>
  <c r="K317" i="2"/>
  <c r="J317" i="2"/>
  <c r="I317" i="2"/>
  <c r="K316" i="2"/>
  <c r="J316" i="2"/>
  <c r="I316" i="2"/>
  <c r="K315" i="2"/>
  <c r="J315" i="2"/>
  <c r="I315" i="2"/>
  <c r="K314" i="2"/>
  <c r="J314" i="2"/>
  <c r="I314" i="2"/>
  <c r="K313" i="2"/>
  <c r="J313" i="2"/>
  <c r="I313" i="2"/>
  <c r="K312" i="2"/>
  <c r="J312" i="2"/>
  <c r="I312" i="2"/>
  <c r="K311" i="2"/>
  <c r="J311" i="2"/>
  <c r="I311" i="2"/>
  <c r="K310" i="2"/>
  <c r="J310" i="2"/>
  <c r="I310" i="2"/>
  <c r="K309" i="2"/>
  <c r="J309" i="2"/>
  <c r="I309" i="2"/>
  <c r="K308" i="2"/>
  <c r="J308" i="2"/>
  <c r="I308" i="2"/>
  <c r="K307" i="2"/>
  <c r="J307" i="2"/>
  <c r="I307" i="2"/>
  <c r="K306" i="2"/>
  <c r="J306" i="2"/>
  <c r="I306" i="2"/>
  <c r="K305" i="2"/>
  <c r="J305" i="2"/>
  <c r="I305" i="2"/>
  <c r="K304" i="2"/>
  <c r="J304" i="2"/>
  <c r="I304" i="2"/>
  <c r="K303" i="2"/>
  <c r="J303" i="2"/>
  <c r="I303" i="2"/>
  <c r="K302" i="2"/>
  <c r="J302" i="2"/>
  <c r="I302" i="2"/>
  <c r="K301" i="2"/>
  <c r="J301" i="2"/>
  <c r="I301" i="2"/>
  <c r="K300" i="2"/>
  <c r="J300" i="2"/>
  <c r="I300" i="2"/>
  <c r="K299" i="2"/>
  <c r="J299" i="2"/>
  <c r="I299" i="2"/>
  <c r="K298" i="2"/>
  <c r="J298" i="2"/>
  <c r="I298" i="2"/>
  <c r="K297" i="2"/>
  <c r="J297" i="2"/>
  <c r="I297" i="2"/>
  <c r="K296" i="2"/>
  <c r="J296" i="2"/>
  <c r="I296" i="2"/>
  <c r="K295" i="2"/>
  <c r="J295" i="2"/>
  <c r="I295" i="2"/>
  <c r="K294" i="2"/>
  <c r="J294" i="2"/>
  <c r="I294" i="2"/>
  <c r="K293" i="2"/>
  <c r="J293" i="2"/>
  <c r="I293" i="2"/>
  <c r="K292" i="2"/>
  <c r="J292" i="2"/>
  <c r="I292" i="2"/>
  <c r="K291" i="2"/>
  <c r="J291" i="2"/>
  <c r="I291" i="2"/>
  <c r="K290" i="2"/>
  <c r="J290" i="2"/>
  <c r="I290" i="2"/>
  <c r="K289" i="2"/>
  <c r="J289" i="2"/>
  <c r="I289" i="2"/>
  <c r="K288" i="2"/>
  <c r="J288" i="2"/>
  <c r="I288" i="2"/>
  <c r="K287" i="2"/>
  <c r="J287" i="2"/>
  <c r="I287" i="2"/>
  <c r="K286" i="2"/>
  <c r="J286" i="2"/>
  <c r="I286" i="2"/>
  <c r="K285" i="2"/>
  <c r="J285" i="2"/>
  <c r="I285" i="2"/>
  <c r="K284" i="2"/>
  <c r="J284" i="2"/>
  <c r="I284" i="2"/>
  <c r="K283" i="2"/>
  <c r="J283" i="2"/>
  <c r="I283" i="2"/>
  <c r="K282" i="2"/>
  <c r="J282" i="2"/>
  <c r="I282" i="2"/>
  <c r="K281" i="2"/>
  <c r="J281" i="2"/>
  <c r="I281" i="2"/>
  <c r="K280" i="2"/>
  <c r="J280" i="2"/>
  <c r="I280" i="2"/>
  <c r="K279" i="2"/>
  <c r="J279" i="2"/>
  <c r="I279" i="2"/>
  <c r="K278" i="2"/>
  <c r="J278" i="2"/>
  <c r="I278" i="2"/>
  <c r="K277" i="2"/>
  <c r="J277" i="2"/>
  <c r="I277" i="2"/>
  <c r="K276" i="2"/>
  <c r="J276" i="2"/>
  <c r="I276" i="2"/>
  <c r="K275" i="2"/>
  <c r="J275" i="2"/>
  <c r="I275" i="2"/>
  <c r="K274" i="2"/>
  <c r="J274" i="2"/>
  <c r="I274" i="2"/>
  <c r="K273" i="2"/>
  <c r="J273" i="2"/>
  <c r="I273" i="2"/>
  <c r="K272" i="2"/>
  <c r="J272" i="2"/>
  <c r="I272" i="2"/>
  <c r="K271" i="2"/>
  <c r="J271" i="2"/>
  <c r="I271" i="2"/>
  <c r="K270" i="2"/>
  <c r="J270" i="2"/>
  <c r="I270" i="2"/>
  <c r="K269" i="2"/>
  <c r="J269" i="2"/>
  <c r="I269" i="2"/>
  <c r="K268" i="2"/>
  <c r="J268" i="2"/>
  <c r="I268" i="2"/>
  <c r="K267" i="2"/>
  <c r="J267" i="2"/>
  <c r="I267" i="2"/>
  <c r="K266" i="2"/>
  <c r="J266" i="2"/>
  <c r="I266" i="2"/>
  <c r="K265" i="2"/>
  <c r="J265" i="2"/>
  <c r="I265" i="2"/>
  <c r="K264" i="2"/>
  <c r="J264" i="2"/>
  <c r="I264" i="2"/>
  <c r="K263" i="2"/>
  <c r="J263" i="2"/>
  <c r="I263" i="2"/>
  <c r="K262" i="2"/>
  <c r="J262" i="2"/>
  <c r="I262" i="2"/>
  <c r="K261" i="2"/>
  <c r="J261" i="2"/>
  <c r="I261" i="2"/>
  <c r="K260" i="2"/>
  <c r="J260" i="2"/>
  <c r="I260" i="2"/>
  <c r="K259" i="2"/>
  <c r="J259" i="2"/>
  <c r="I259" i="2"/>
  <c r="K258" i="2"/>
  <c r="J258" i="2"/>
  <c r="I258" i="2"/>
  <c r="K257" i="2"/>
  <c r="J257" i="2"/>
  <c r="I257" i="2"/>
  <c r="K256" i="2"/>
  <c r="J256" i="2"/>
  <c r="I256" i="2"/>
  <c r="K255" i="2"/>
  <c r="J255" i="2"/>
  <c r="I255" i="2"/>
  <c r="K254" i="2"/>
  <c r="J254" i="2"/>
  <c r="I254" i="2"/>
  <c r="K253" i="2"/>
  <c r="J253" i="2"/>
  <c r="I253" i="2"/>
  <c r="K252" i="2"/>
  <c r="J252" i="2"/>
  <c r="I252" i="2"/>
  <c r="K251" i="2"/>
  <c r="J251" i="2"/>
  <c r="I251" i="2"/>
  <c r="K250" i="2"/>
  <c r="J250" i="2"/>
  <c r="I250" i="2"/>
  <c r="K249" i="2"/>
  <c r="J249" i="2"/>
  <c r="I249" i="2"/>
  <c r="K248" i="2"/>
  <c r="J248" i="2"/>
  <c r="I248" i="2"/>
  <c r="K247" i="2"/>
  <c r="J247" i="2"/>
  <c r="I247" i="2"/>
  <c r="K246" i="2"/>
  <c r="J246" i="2"/>
  <c r="I246" i="2"/>
  <c r="K245" i="2"/>
  <c r="J245" i="2"/>
  <c r="I245" i="2"/>
  <c r="K244" i="2"/>
  <c r="J244" i="2"/>
  <c r="I244" i="2"/>
  <c r="K243" i="2"/>
  <c r="J243" i="2"/>
  <c r="I243" i="2"/>
  <c r="K242" i="2"/>
  <c r="J242" i="2"/>
  <c r="I242" i="2"/>
  <c r="K241" i="2"/>
  <c r="J241" i="2"/>
  <c r="I241" i="2"/>
  <c r="K240" i="2"/>
  <c r="J240" i="2"/>
  <c r="I240" i="2"/>
  <c r="K239" i="2"/>
  <c r="J239" i="2"/>
  <c r="I239" i="2"/>
  <c r="K238" i="2"/>
  <c r="J238" i="2"/>
  <c r="I238" i="2"/>
  <c r="K237" i="2"/>
  <c r="J237" i="2"/>
  <c r="I237" i="2"/>
  <c r="K236" i="2"/>
  <c r="J236" i="2"/>
  <c r="I236" i="2"/>
  <c r="K235" i="2"/>
  <c r="J235" i="2"/>
  <c r="I235" i="2"/>
  <c r="K234" i="2"/>
  <c r="J234" i="2"/>
  <c r="I234" i="2"/>
  <c r="K233" i="2"/>
  <c r="J233" i="2"/>
  <c r="I233" i="2"/>
  <c r="K232" i="2"/>
  <c r="J232" i="2"/>
  <c r="I232" i="2"/>
  <c r="K231" i="2"/>
  <c r="J231" i="2"/>
  <c r="I231" i="2"/>
  <c r="K230" i="2"/>
  <c r="J230" i="2"/>
  <c r="I230" i="2"/>
  <c r="K229" i="2"/>
  <c r="J229" i="2"/>
  <c r="I229" i="2"/>
  <c r="K228" i="2"/>
  <c r="J228" i="2"/>
  <c r="I228" i="2"/>
  <c r="K227" i="2"/>
  <c r="J227" i="2"/>
  <c r="I227" i="2"/>
  <c r="K226" i="2"/>
  <c r="J226" i="2"/>
  <c r="I226" i="2"/>
  <c r="K225" i="2"/>
  <c r="J225" i="2"/>
  <c r="I225" i="2"/>
  <c r="K224" i="2"/>
  <c r="J224" i="2"/>
  <c r="I224" i="2"/>
  <c r="K223" i="2"/>
  <c r="J223" i="2"/>
  <c r="I223" i="2"/>
  <c r="K222" i="2"/>
  <c r="J222" i="2"/>
  <c r="I222" i="2"/>
  <c r="K221" i="2"/>
  <c r="J221" i="2"/>
  <c r="I221" i="2"/>
  <c r="K220" i="2"/>
  <c r="J220" i="2"/>
  <c r="I220" i="2"/>
  <c r="K219" i="2"/>
  <c r="J219" i="2"/>
  <c r="I219" i="2"/>
  <c r="K218" i="2"/>
  <c r="J218" i="2"/>
  <c r="I218" i="2"/>
  <c r="K217" i="2"/>
  <c r="J217" i="2"/>
  <c r="I217" i="2"/>
  <c r="K216" i="2"/>
  <c r="J216" i="2"/>
  <c r="I216" i="2"/>
  <c r="K215" i="2"/>
  <c r="J215" i="2"/>
  <c r="I215" i="2"/>
  <c r="K214" i="2"/>
  <c r="J214" i="2"/>
  <c r="I214" i="2"/>
  <c r="K213" i="2"/>
  <c r="J213" i="2"/>
  <c r="I213" i="2"/>
  <c r="K212" i="2"/>
  <c r="J212" i="2"/>
  <c r="I212" i="2"/>
  <c r="K211" i="2"/>
  <c r="J211" i="2"/>
  <c r="I211" i="2"/>
  <c r="K210" i="2"/>
  <c r="J210" i="2"/>
  <c r="I210" i="2"/>
  <c r="K209" i="2"/>
  <c r="J209" i="2"/>
  <c r="I209" i="2"/>
  <c r="K208" i="2"/>
  <c r="J208" i="2"/>
  <c r="I208" i="2"/>
  <c r="K207" i="2"/>
  <c r="J207" i="2"/>
  <c r="I207" i="2"/>
  <c r="K206" i="2"/>
  <c r="J206" i="2"/>
  <c r="I206" i="2"/>
  <c r="K205" i="2"/>
  <c r="J205" i="2"/>
  <c r="I205" i="2"/>
  <c r="K204" i="2"/>
  <c r="J204" i="2"/>
  <c r="I204" i="2"/>
  <c r="K203" i="2"/>
  <c r="J203" i="2"/>
  <c r="I203" i="2"/>
  <c r="K202" i="2"/>
  <c r="J202" i="2"/>
  <c r="I202" i="2"/>
  <c r="K201" i="2"/>
  <c r="J201" i="2"/>
  <c r="I201" i="2"/>
  <c r="K200" i="2"/>
  <c r="J200" i="2"/>
  <c r="I200" i="2"/>
  <c r="K199" i="2"/>
  <c r="J199" i="2"/>
  <c r="I199" i="2"/>
  <c r="K198" i="2"/>
  <c r="J198" i="2"/>
  <c r="I198" i="2"/>
  <c r="K197" i="2"/>
  <c r="J197" i="2"/>
  <c r="I197" i="2"/>
  <c r="K196" i="2"/>
  <c r="J196" i="2"/>
  <c r="I196" i="2"/>
  <c r="K195" i="2"/>
  <c r="J195" i="2"/>
  <c r="I195" i="2"/>
  <c r="K194" i="2"/>
  <c r="J194" i="2"/>
  <c r="I194" i="2"/>
  <c r="K193" i="2"/>
  <c r="J193" i="2"/>
  <c r="I193" i="2"/>
  <c r="K192" i="2"/>
  <c r="J192" i="2"/>
  <c r="I192" i="2"/>
  <c r="K191" i="2"/>
  <c r="J191" i="2"/>
  <c r="I191" i="2"/>
  <c r="K190" i="2"/>
  <c r="J190" i="2"/>
  <c r="I190" i="2"/>
  <c r="K189" i="2"/>
  <c r="J189" i="2"/>
  <c r="I189" i="2"/>
  <c r="K188" i="2"/>
  <c r="J188" i="2"/>
  <c r="I188" i="2"/>
  <c r="K187" i="2"/>
  <c r="J187" i="2"/>
  <c r="I187" i="2"/>
  <c r="K186" i="2"/>
  <c r="J186" i="2"/>
  <c r="I186" i="2"/>
  <c r="K185" i="2"/>
  <c r="J185" i="2"/>
  <c r="I185" i="2"/>
  <c r="K184" i="2"/>
  <c r="J184" i="2"/>
  <c r="I184" i="2"/>
  <c r="K183" i="2"/>
  <c r="J183" i="2"/>
  <c r="I183" i="2"/>
  <c r="K182" i="2"/>
  <c r="J182" i="2"/>
  <c r="I182" i="2"/>
  <c r="K181" i="2"/>
  <c r="J181" i="2"/>
  <c r="I181" i="2"/>
  <c r="K180" i="2"/>
  <c r="J180" i="2"/>
  <c r="I180" i="2"/>
  <c r="K179" i="2"/>
  <c r="D179" i="3" s="1"/>
  <c r="J179" i="2"/>
  <c r="I179" i="2"/>
  <c r="K178" i="2"/>
  <c r="J178" i="2"/>
  <c r="I178" i="2"/>
  <c r="K177" i="2"/>
  <c r="J177" i="2"/>
  <c r="I177" i="2"/>
  <c r="K176" i="2"/>
  <c r="B176" i="3" s="1"/>
  <c r="J176" i="2"/>
  <c r="I176" i="2"/>
  <c r="K175" i="2"/>
  <c r="J175" i="2"/>
  <c r="I175" i="2"/>
  <c r="K174" i="2"/>
  <c r="J174" i="2"/>
  <c r="I174" i="2"/>
  <c r="K173" i="2"/>
  <c r="J173" i="2"/>
  <c r="I173" i="2"/>
  <c r="K172" i="2"/>
  <c r="J172" i="2"/>
  <c r="I172" i="2"/>
  <c r="K171" i="2"/>
  <c r="J171" i="2"/>
  <c r="I171" i="2"/>
  <c r="K170" i="2"/>
  <c r="J170" i="2"/>
  <c r="I170" i="2"/>
  <c r="K169" i="2"/>
  <c r="J169" i="2"/>
  <c r="I169" i="2"/>
  <c r="K168" i="2"/>
  <c r="J168" i="2"/>
  <c r="I168" i="2"/>
  <c r="K167" i="2"/>
  <c r="J167" i="2"/>
  <c r="I167" i="2"/>
  <c r="K166" i="2"/>
  <c r="J166" i="2"/>
  <c r="I166" i="2"/>
  <c r="K165" i="2"/>
  <c r="J165" i="2"/>
  <c r="I165" i="2"/>
  <c r="K164" i="2"/>
  <c r="J164" i="2"/>
  <c r="I164" i="2"/>
  <c r="K163" i="2"/>
  <c r="J163" i="2"/>
  <c r="I163" i="2"/>
  <c r="K162" i="2"/>
  <c r="J162" i="2"/>
  <c r="I162" i="2"/>
  <c r="K161" i="2"/>
  <c r="J161" i="2"/>
  <c r="I161" i="2"/>
  <c r="K160" i="2"/>
  <c r="J160" i="2"/>
  <c r="I160" i="2"/>
  <c r="K159" i="2"/>
  <c r="J159" i="2"/>
  <c r="I159" i="2"/>
  <c r="K158" i="2"/>
  <c r="J158" i="2"/>
  <c r="I158" i="2"/>
  <c r="K157" i="2"/>
  <c r="J157" i="2"/>
  <c r="I157" i="2"/>
  <c r="K156" i="2"/>
  <c r="J156" i="2"/>
  <c r="I156" i="2"/>
  <c r="K155" i="2"/>
  <c r="J155" i="2"/>
  <c r="I155" i="2"/>
  <c r="K154" i="2"/>
  <c r="J154" i="2"/>
  <c r="I154" i="2"/>
  <c r="K153" i="2"/>
  <c r="J153" i="2"/>
  <c r="I153" i="2"/>
  <c r="K152" i="2"/>
  <c r="J152" i="2"/>
  <c r="I152" i="2"/>
  <c r="K151" i="2"/>
  <c r="J151" i="2"/>
  <c r="I151" i="2"/>
  <c r="K150" i="2"/>
  <c r="J150" i="2"/>
  <c r="I150" i="2"/>
  <c r="K149" i="2"/>
  <c r="J149" i="2"/>
  <c r="I149" i="2"/>
  <c r="K148" i="2"/>
  <c r="J148" i="2"/>
  <c r="I148" i="2"/>
  <c r="K147" i="2"/>
  <c r="F147" i="3" s="1"/>
  <c r="J147" i="2"/>
  <c r="I147" i="2"/>
  <c r="K146" i="2"/>
  <c r="J146" i="2"/>
  <c r="I146" i="2"/>
  <c r="K145" i="2"/>
  <c r="J145" i="2"/>
  <c r="I145" i="2"/>
  <c r="K144" i="2"/>
  <c r="J144" i="2"/>
  <c r="I144" i="2"/>
  <c r="K143" i="2"/>
  <c r="J143" i="2"/>
  <c r="I143" i="2"/>
  <c r="K142" i="2"/>
  <c r="J142" i="2"/>
  <c r="I142" i="2"/>
  <c r="K141" i="2"/>
  <c r="J141" i="2"/>
  <c r="I141" i="2"/>
  <c r="K140" i="2"/>
  <c r="J140" i="2"/>
  <c r="I140" i="2"/>
  <c r="K139" i="2"/>
  <c r="J139" i="2"/>
  <c r="I139" i="2"/>
  <c r="K138" i="2"/>
  <c r="J138" i="2"/>
  <c r="I138" i="2"/>
  <c r="K137" i="2"/>
  <c r="D137" i="3" s="1"/>
  <c r="J137" i="2"/>
  <c r="I137" i="2"/>
  <c r="K136" i="2"/>
  <c r="J136" i="2"/>
  <c r="I136" i="2"/>
  <c r="K135" i="2"/>
  <c r="J135" i="2"/>
  <c r="I135" i="2"/>
  <c r="K134" i="2"/>
  <c r="J134" i="2"/>
  <c r="I134" i="2"/>
  <c r="K133" i="2"/>
  <c r="J133" i="2"/>
  <c r="I133" i="2"/>
  <c r="K132" i="2"/>
  <c r="J132" i="2"/>
  <c r="I132" i="2"/>
  <c r="K131" i="2"/>
  <c r="J131" i="2"/>
  <c r="I131" i="2"/>
  <c r="K130" i="2"/>
  <c r="J130" i="2"/>
  <c r="I130" i="2"/>
  <c r="K129" i="2"/>
  <c r="J129" i="2"/>
  <c r="I129" i="2"/>
  <c r="K128" i="2"/>
  <c r="J128" i="2"/>
  <c r="I128" i="2"/>
  <c r="K127" i="2"/>
  <c r="J127" i="2"/>
  <c r="I127" i="2"/>
  <c r="K126" i="2"/>
  <c r="B126" i="3" s="1"/>
  <c r="J126" i="2"/>
  <c r="I126" i="2"/>
  <c r="K125" i="2"/>
  <c r="J125" i="2"/>
  <c r="I125" i="2"/>
  <c r="K124" i="2"/>
  <c r="J124" i="2"/>
  <c r="I124" i="2"/>
  <c r="K123" i="2"/>
  <c r="J123" i="2"/>
  <c r="I123" i="2"/>
  <c r="K122" i="2"/>
  <c r="F122" i="3" s="1"/>
  <c r="J122" i="2"/>
  <c r="I122" i="2"/>
  <c r="K121" i="2"/>
  <c r="J121" i="2"/>
  <c r="I121" i="2"/>
  <c r="K120" i="2"/>
  <c r="A120" i="3" s="1"/>
  <c r="J120" i="2"/>
  <c r="I120" i="2"/>
  <c r="K119" i="2"/>
  <c r="J119" i="2"/>
  <c r="I119" i="2"/>
  <c r="K118" i="2"/>
  <c r="J118" i="2"/>
  <c r="I118" i="2"/>
  <c r="K117" i="2"/>
  <c r="E117" i="3" s="1"/>
  <c r="J117" i="2"/>
  <c r="I117" i="2"/>
  <c r="K116" i="2"/>
  <c r="J116" i="2"/>
  <c r="I116" i="2"/>
  <c r="K115" i="2"/>
  <c r="J115" i="2"/>
  <c r="I115" i="2"/>
  <c r="K114" i="2"/>
  <c r="J114" i="2"/>
  <c r="I114" i="2"/>
  <c r="K113" i="2"/>
  <c r="J113" i="2"/>
  <c r="I113" i="2"/>
  <c r="K112" i="2"/>
  <c r="J112" i="2"/>
  <c r="I112" i="2"/>
  <c r="K111" i="2"/>
  <c r="J111" i="2"/>
  <c r="I111" i="2"/>
  <c r="K110" i="2"/>
  <c r="J110" i="2"/>
  <c r="I110" i="2"/>
  <c r="K109" i="2"/>
  <c r="J109" i="2"/>
  <c r="I109" i="2"/>
  <c r="K108" i="2"/>
  <c r="E108" i="3" s="1"/>
  <c r="J108" i="2"/>
  <c r="I108" i="2"/>
  <c r="K107" i="2"/>
  <c r="J107" i="2"/>
  <c r="I107" i="2"/>
  <c r="K106" i="2"/>
  <c r="J106" i="2"/>
  <c r="I106" i="2"/>
  <c r="K105" i="2"/>
  <c r="J105" i="2"/>
  <c r="I105" i="2"/>
  <c r="K104" i="2"/>
  <c r="J104" i="2"/>
  <c r="I104" i="2"/>
  <c r="K103" i="2"/>
  <c r="J103" i="2"/>
  <c r="I103" i="2"/>
  <c r="K102" i="2"/>
  <c r="J102" i="2"/>
  <c r="I102" i="2"/>
  <c r="K101" i="2"/>
  <c r="J101" i="2"/>
  <c r="I101" i="2"/>
  <c r="K100" i="2"/>
  <c r="J100" i="2"/>
  <c r="I100" i="2"/>
  <c r="K99" i="2"/>
  <c r="J99" i="2"/>
  <c r="I99" i="2"/>
  <c r="K98" i="2"/>
  <c r="C98" i="3" s="1"/>
  <c r="J98" i="2"/>
  <c r="I98" i="2"/>
  <c r="K97" i="2"/>
  <c r="J97" i="2"/>
  <c r="I97" i="2"/>
  <c r="K96" i="2"/>
  <c r="J96" i="2"/>
  <c r="I96" i="2"/>
  <c r="K95" i="2"/>
  <c r="J95" i="2"/>
  <c r="I95" i="2"/>
  <c r="K94" i="2"/>
  <c r="J94" i="2"/>
  <c r="I94" i="2"/>
  <c r="K93" i="2"/>
  <c r="J93" i="2"/>
  <c r="I93" i="2"/>
  <c r="K92" i="2"/>
  <c r="J92" i="2"/>
  <c r="I92" i="2"/>
  <c r="K91" i="2"/>
  <c r="J91" i="2"/>
  <c r="I91" i="2"/>
  <c r="K90" i="2"/>
  <c r="J90" i="2"/>
  <c r="I90" i="2"/>
  <c r="K89" i="2"/>
  <c r="C89" i="3" s="1"/>
  <c r="J89" i="2"/>
  <c r="I89" i="2"/>
  <c r="K88" i="2"/>
  <c r="F88" i="3" s="1"/>
  <c r="J88" i="2"/>
  <c r="I88" i="2"/>
  <c r="K87" i="2"/>
  <c r="J87" i="2"/>
  <c r="I87" i="2"/>
  <c r="K86" i="2"/>
  <c r="A86" i="3" s="1"/>
  <c r="J86" i="2"/>
  <c r="I86" i="2"/>
  <c r="K85" i="2"/>
  <c r="E85" i="3" s="1"/>
  <c r="J85" i="2"/>
  <c r="I85" i="2"/>
  <c r="K84" i="2"/>
  <c r="J84" i="2"/>
  <c r="I84" i="2"/>
  <c r="K83" i="2"/>
  <c r="J83" i="2"/>
  <c r="I83" i="2"/>
  <c r="K82" i="2"/>
  <c r="F82" i="3" s="1"/>
  <c r="J82" i="2"/>
  <c r="I82" i="2"/>
  <c r="K81" i="2"/>
  <c r="A81" i="3" s="1"/>
  <c r="J81" i="2"/>
  <c r="I81" i="2"/>
  <c r="K80" i="2"/>
  <c r="E80" i="3" s="1"/>
  <c r="J80" i="2"/>
  <c r="I80" i="2"/>
  <c r="K79" i="2"/>
  <c r="J79" i="2"/>
  <c r="I79" i="2"/>
  <c r="K78" i="2"/>
  <c r="B78" i="3" s="1"/>
  <c r="J78" i="2"/>
  <c r="I78" i="2"/>
  <c r="K77" i="2"/>
  <c r="G77" i="3" s="1"/>
  <c r="J77" i="2"/>
  <c r="I77" i="2"/>
  <c r="K76" i="2"/>
  <c r="J76" i="2"/>
  <c r="I76" i="2"/>
  <c r="K75" i="2"/>
  <c r="J75" i="2"/>
  <c r="I75" i="2"/>
  <c r="K74" i="2"/>
  <c r="J74" i="2"/>
  <c r="I74" i="2"/>
  <c r="K73" i="2"/>
  <c r="J73" i="2"/>
  <c r="I73" i="2"/>
  <c r="K72" i="2"/>
  <c r="J72" i="2"/>
  <c r="I72" i="2"/>
  <c r="K71" i="2"/>
  <c r="J71" i="2"/>
  <c r="I71" i="2"/>
  <c r="K70" i="2"/>
  <c r="J70" i="2"/>
  <c r="I70" i="2"/>
  <c r="K69" i="2"/>
  <c r="J69" i="2"/>
  <c r="I69" i="2"/>
  <c r="K68" i="2"/>
  <c r="J68" i="2"/>
  <c r="I68" i="2"/>
  <c r="K67" i="2"/>
  <c r="G67" i="3" s="1"/>
  <c r="J67" i="2"/>
  <c r="I67" i="2"/>
  <c r="K66" i="2"/>
  <c r="J66" i="2"/>
  <c r="I66" i="2"/>
  <c r="K65" i="2"/>
  <c r="J65" i="2"/>
  <c r="I65" i="2"/>
  <c r="K64" i="2"/>
  <c r="J64" i="2"/>
  <c r="I64" i="2"/>
  <c r="K63" i="2"/>
  <c r="J63" i="2"/>
  <c r="I63" i="2"/>
  <c r="K62" i="2"/>
  <c r="J62" i="2"/>
  <c r="I62" i="2"/>
  <c r="K61" i="2"/>
  <c r="J61" i="2"/>
  <c r="I61" i="2"/>
  <c r="K60" i="2"/>
  <c r="J60" i="2"/>
  <c r="I60" i="2"/>
  <c r="K59" i="2"/>
  <c r="J59" i="2"/>
  <c r="I59" i="2"/>
  <c r="K58" i="2"/>
  <c r="J58" i="2"/>
  <c r="I58" i="2"/>
  <c r="K57" i="2"/>
  <c r="G57" i="3" s="1"/>
  <c r="J57" i="2"/>
  <c r="I57" i="2"/>
  <c r="K56" i="2"/>
  <c r="J56" i="2"/>
  <c r="I56" i="2"/>
  <c r="K55" i="2"/>
  <c r="D55" i="3" s="1"/>
  <c r="J55" i="2"/>
  <c r="I55" i="2"/>
  <c r="K54" i="2"/>
  <c r="J54" i="2"/>
  <c r="I54" i="2"/>
  <c r="K53" i="2"/>
  <c r="J53" i="2"/>
  <c r="I53" i="2"/>
  <c r="K52" i="2"/>
  <c r="G52" i="3" s="1"/>
  <c r="J52" i="2"/>
  <c r="I52" i="2"/>
  <c r="K51" i="2"/>
  <c r="J51" i="2"/>
  <c r="I51" i="2"/>
  <c r="K50" i="2"/>
  <c r="J50" i="2"/>
  <c r="I50" i="2"/>
  <c r="K49" i="2"/>
  <c r="J49" i="2"/>
  <c r="I49" i="2"/>
  <c r="K48" i="2"/>
  <c r="J48" i="2"/>
  <c r="I48" i="2"/>
  <c r="K47" i="2"/>
  <c r="G47" i="3" s="1"/>
  <c r="J47" i="2"/>
  <c r="I47" i="2"/>
  <c r="K46" i="2"/>
  <c r="C46" i="3" s="1"/>
  <c r="J46" i="2"/>
  <c r="I46" i="2"/>
  <c r="K45" i="2"/>
  <c r="G45" i="3" s="1"/>
  <c r="J45" i="2"/>
  <c r="I45" i="2"/>
  <c r="K44" i="2"/>
  <c r="J44" i="2"/>
  <c r="I44" i="2"/>
  <c r="K43" i="2"/>
  <c r="J43" i="2"/>
  <c r="I43" i="2"/>
  <c r="K42" i="2"/>
  <c r="J42" i="2"/>
  <c r="I42" i="2"/>
  <c r="K41" i="2"/>
  <c r="J41" i="2"/>
  <c r="I41" i="2"/>
  <c r="K40" i="2"/>
  <c r="G40" i="3" s="1"/>
  <c r="J40" i="2"/>
  <c r="I40" i="2"/>
  <c r="K39" i="2"/>
  <c r="J39" i="2"/>
  <c r="I39" i="2"/>
  <c r="K38" i="2"/>
  <c r="C38" i="3" s="1"/>
  <c r="J38" i="2"/>
  <c r="I38" i="2"/>
  <c r="K37" i="2"/>
  <c r="G37" i="3" s="1"/>
  <c r="J37" i="2"/>
  <c r="I37" i="2"/>
  <c r="K36" i="2"/>
  <c r="C36" i="3" s="1"/>
  <c r="J36" i="2"/>
  <c r="I36" i="2"/>
  <c r="K35" i="2"/>
  <c r="G35" i="3" s="1"/>
  <c r="J35" i="2"/>
  <c r="I35" i="2"/>
  <c r="K34" i="2"/>
  <c r="J34" i="2"/>
  <c r="I34" i="2"/>
  <c r="K33" i="2"/>
  <c r="J33" i="2"/>
  <c r="I33" i="2"/>
  <c r="K32" i="2"/>
  <c r="J32" i="2"/>
  <c r="I32" i="2"/>
  <c r="K31" i="2"/>
  <c r="J31" i="2"/>
  <c r="I31" i="2"/>
  <c r="K30" i="2"/>
  <c r="J30" i="2"/>
  <c r="I30" i="2"/>
  <c r="K29" i="2"/>
  <c r="A29" i="3" s="1"/>
  <c r="J29" i="2"/>
  <c r="I29" i="2"/>
  <c r="K28" i="2"/>
  <c r="E28" i="3" s="1"/>
  <c r="J28" i="2"/>
  <c r="I28" i="2"/>
  <c r="K27" i="2"/>
  <c r="J27" i="2"/>
  <c r="I27" i="2"/>
  <c r="K26" i="2"/>
  <c r="C26" i="3" s="1"/>
  <c r="J26" i="2"/>
  <c r="I26" i="2"/>
  <c r="K25" i="2"/>
  <c r="J25" i="2"/>
  <c r="I25" i="2"/>
  <c r="K24" i="2"/>
  <c r="J24" i="2"/>
  <c r="I24" i="2"/>
  <c r="K23" i="2"/>
  <c r="J23" i="2"/>
  <c r="I23" i="2"/>
  <c r="K22" i="2"/>
  <c r="J22" i="2"/>
  <c r="I22" i="2"/>
  <c r="K21" i="2"/>
  <c r="C21" i="3" s="1"/>
  <c r="J21" i="2"/>
  <c r="I21" i="2"/>
  <c r="K20" i="2"/>
  <c r="D20" i="3" s="1"/>
  <c r="J20" i="2"/>
  <c r="I20" i="2"/>
  <c r="K19" i="2"/>
  <c r="A19" i="3" s="1"/>
  <c r="J19" i="2"/>
  <c r="I19" i="2"/>
  <c r="K18" i="2"/>
  <c r="J18" i="2"/>
  <c r="I18" i="2"/>
  <c r="K17" i="2"/>
  <c r="G17" i="3" s="1"/>
  <c r="J17" i="2"/>
  <c r="I17" i="2"/>
  <c r="K16" i="2"/>
  <c r="J16" i="2"/>
  <c r="I16" i="2"/>
  <c r="K15" i="2"/>
  <c r="J15" i="2"/>
  <c r="I15" i="2"/>
  <c r="K14" i="2"/>
  <c r="J14" i="2"/>
  <c r="I14" i="2"/>
  <c r="K13" i="2"/>
  <c r="J13" i="2"/>
  <c r="I13" i="2"/>
  <c r="K12" i="2"/>
  <c r="G12" i="3" s="1"/>
  <c r="J12" i="2"/>
  <c r="I12" i="2"/>
  <c r="K11" i="2"/>
  <c r="J11" i="2"/>
  <c r="I11" i="2"/>
  <c r="K10" i="2"/>
  <c r="J10" i="2"/>
  <c r="I10" i="2"/>
  <c r="K9" i="2"/>
  <c r="J9" i="2"/>
  <c r="I9" i="2"/>
  <c r="K8" i="2"/>
  <c r="J8" i="2"/>
  <c r="I8" i="2"/>
  <c r="K7" i="2"/>
  <c r="J7" i="2"/>
  <c r="I7" i="2"/>
  <c r="K6" i="2"/>
  <c r="J6" i="2"/>
  <c r="I6" i="2"/>
  <c r="K5" i="2"/>
  <c r="D5" i="3" s="1"/>
  <c r="J5" i="2"/>
  <c r="I5" i="2"/>
  <c r="K4" i="2"/>
  <c r="J4" i="2"/>
  <c r="I4" i="2"/>
  <c r="B7" i="1" s="1"/>
  <c r="E15" i="1"/>
  <c r="D15" i="1"/>
  <c r="C15" i="1"/>
  <c r="B15" i="1"/>
  <c r="E14" i="1"/>
  <c r="D14" i="1"/>
  <c r="C14" i="1"/>
  <c r="B14" i="1"/>
  <c r="D13" i="1"/>
  <c r="C13" i="1"/>
  <c r="B13" i="1"/>
  <c r="D12" i="1"/>
  <c r="C12" i="1"/>
  <c r="B12" i="1"/>
  <c r="B6" i="1"/>
  <c r="B5" i="1"/>
  <c r="N176" i="3" l="1"/>
  <c r="M176" i="3"/>
  <c r="K176" i="3"/>
  <c r="I176" i="3"/>
  <c r="L176" i="3"/>
  <c r="J176" i="3"/>
  <c r="H176" i="3"/>
  <c r="N126" i="3"/>
  <c r="M126" i="3"/>
  <c r="K126" i="3"/>
  <c r="I126" i="3"/>
  <c r="L126" i="3"/>
  <c r="J126" i="3"/>
  <c r="H126" i="3"/>
  <c r="K78" i="3"/>
  <c r="J78" i="3"/>
  <c r="I78" i="3"/>
  <c r="H78" i="3"/>
  <c r="N78" i="3"/>
  <c r="M78" i="3"/>
  <c r="L78" i="3"/>
  <c r="C30" i="3"/>
  <c r="B30" i="3"/>
  <c r="A30" i="3"/>
  <c r="F30" i="3"/>
  <c r="G110" i="3"/>
  <c r="E110" i="3"/>
  <c r="B110" i="3"/>
  <c r="A110" i="3"/>
  <c r="F110" i="3"/>
  <c r="D110" i="3"/>
  <c r="C110" i="3"/>
  <c r="G140" i="3"/>
  <c r="E140" i="3"/>
  <c r="C140" i="3"/>
  <c r="A140" i="3"/>
  <c r="B140" i="3"/>
  <c r="G170" i="3"/>
  <c r="E170" i="3"/>
  <c r="C170" i="3"/>
  <c r="A170" i="3"/>
  <c r="F170" i="3"/>
  <c r="D170" i="3"/>
  <c r="B170" i="3"/>
  <c r="C200" i="3"/>
  <c r="B200" i="3"/>
  <c r="A200" i="3"/>
  <c r="G200" i="3"/>
  <c r="E200" i="3"/>
  <c r="F200" i="3"/>
  <c r="D200" i="3"/>
  <c r="G4" i="4"/>
  <c r="F4" i="4"/>
  <c r="E4" i="4"/>
  <c r="C4" i="4"/>
  <c r="A4" i="4"/>
  <c r="D4" i="4"/>
  <c r="B4" i="4"/>
  <c r="E7" i="3"/>
  <c r="D7" i="3"/>
  <c r="C7" i="3"/>
  <c r="B7" i="3"/>
  <c r="A7" i="3"/>
  <c r="A24" i="4"/>
  <c r="D24" i="4"/>
  <c r="E24" i="4"/>
  <c r="C24" i="4"/>
  <c r="B24" i="4"/>
  <c r="G24" i="4"/>
  <c r="F24" i="4"/>
  <c r="F74" i="4"/>
  <c r="D74" i="4"/>
  <c r="B74" i="4"/>
  <c r="G74" i="4"/>
  <c r="C74" i="4"/>
  <c r="E74" i="4"/>
  <c r="A74" i="4"/>
  <c r="B8" i="1"/>
  <c r="G10" i="4"/>
  <c r="E10" i="4"/>
  <c r="D10" i="4"/>
  <c r="C10" i="4"/>
  <c r="B10" i="4"/>
  <c r="F10" i="4"/>
  <c r="A10" i="4"/>
  <c r="A13" i="3"/>
  <c r="G13" i="3"/>
  <c r="F13" i="3"/>
  <c r="D13" i="3"/>
  <c r="G20" i="4"/>
  <c r="C20" i="4"/>
  <c r="E20" i="4"/>
  <c r="D20" i="4"/>
  <c r="A20" i="4"/>
  <c r="F20" i="4"/>
  <c r="B20" i="4"/>
  <c r="A23" i="3"/>
  <c r="G23" i="3"/>
  <c r="F23" i="3"/>
  <c r="D23" i="3"/>
  <c r="G30" i="4"/>
  <c r="E30" i="4"/>
  <c r="C30" i="4"/>
  <c r="B30" i="4"/>
  <c r="A30" i="4"/>
  <c r="D30" i="4"/>
  <c r="F30" i="4"/>
  <c r="A33" i="3"/>
  <c r="G33" i="3"/>
  <c r="F33" i="3"/>
  <c r="D33" i="3"/>
  <c r="G40" i="4"/>
  <c r="E40" i="4"/>
  <c r="D40" i="4"/>
  <c r="B40" i="4"/>
  <c r="A40" i="4"/>
  <c r="C40" i="4"/>
  <c r="F40" i="4"/>
  <c r="A43" i="3"/>
  <c r="G43" i="3"/>
  <c r="F43" i="3"/>
  <c r="D43" i="3"/>
  <c r="G50" i="4"/>
  <c r="E50" i="4"/>
  <c r="C50" i="4"/>
  <c r="B50" i="4"/>
  <c r="D50" i="4"/>
  <c r="A50" i="4"/>
  <c r="F50" i="4"/>
  <c r="A53" i="3"/>
  <c r="G53" i="3"/>
  <c r="F53" i="3"/>
  <c r="D53" i="3"/>
  <c r="A60" i="4"/>
  <c r="G60" i="4"/>
  <c r="E60" i="4"/>
  <c r="F60" i="4"/>
  <c r="C60" i="4"/>
  <c r="D60" i="4"/>
  <c r="B60" i="4"/>
  <c r="A63" i="3"/>
  <c r="G63" i="3"/>
  <c r="F63" i="3"/>
  <c r="E63" i="3"/>
  <c r="D63" i="3"/>
  <c r="A70" i="4"/>
  <c r="G70" i="4"/>
  <c r="E70" i="4"/>
  <c r="C70" i="4"/>
  <c r="B70" i="4"/>
  <c r="F70" i="4"/>
  <c r="D70" i="4"/>
  <c r="A73" i="3"/>
  <c r="G73" i="3"/>
  <c r="F73" i="3"/>
  <c r="E73" i="3"/>
  <c r="D73" i="3"/>
  <c r="B80" i="4"/>
  <c r="D80" i="4"/>
  <c r="G80" i="4"/>
  <c r="E80" i="4"/>
  <c r="C80" i="4"/>
  <c r="F80" i="4"/>
  <c r="A80" i="4"/>
  <c r="A83" i="3"/>
  <c r="G83" i="3"/>
  <c r="F83" i="3"/>
  <c r="E83" i="3"/>
  <c r="D83" i="3"/>
  <c r="B90" i="4"/>
  <c r="C90" i="4"/>
  <c r="G90" i="4"/>
  <c r="D90" i="4"/>
  <c r="A90" i="4"/>
  <c r="F90" i="4"/>
  <c r="E90" i="4"/>
  <c r="G93" i="3"/>
  <c r="F93" i="3"/>
  <c r="A93" i="3"/>
  <c r="D93" i="3"/>
  <c r="C93" i="3"/>
  <c r="B93" i="3"/>
  <c r="B100" i="4"/>
  <c r="A100" i="4"/>
  <c r="C100" i="4"/>
  <c r="G100" i="4"/>
  <c r="F100" i="4"/>
  <c r="D100" i="4"/>
  <c r="E100" i="4"/>
  <c r="G103" i="3"/>
  <c r="F103" i="3"/>
  <c r="E103" i="3"/>
  <c r="D103" i="3"/>
  <c r="C103" i="3"/>
  <c r="B103" i="3"/>
  <c r="A103" i="3"/>
  <c r="B110" i="4"/>
  <c r="F110" i="4"/>
  <c r="A110" i="4"/>
  <c r="C110" i="4"/>
  <c r="G110" i="4"/>
  <c r="E110" i="4"/>
  <c r="D110" i="4"/>
  <c r="G113" i="3"/>
  <c r="F113" i="3"/>
  <c r="E113" i="3"/>
  <c r="C113" i="3"/>
  <c r="D113" i="3"/>
  <c r="B113" i="3"/>
  <c r="A113" i="3"/>
  <c r="B120" i="4"/>
  <c r="F120" i="4"/>
  <c r="G120" i="4"/>
  <c r="D120" i="4"/>
  <c r="E120" i="4"/>
  <c r="A120" i="4"/>
  <c r="C120" i="4"/>
  <c r="G123" i="3"/>
  <c r="F123" i="3"/>
  <c r="E123" i="3"/>
  <c r="C123" i="3"/>
  <c r="B123" i="3"/>
  <c r="A123" i="3"/>
  <c r="B130" i="4"/>
  <c r="F130" i="4"/>
  <c r="D130" i="4"/>
  <c r="G130" i="4"/>
  <c r="C130" i="4"/>
  <c r="E130" i="4"/>
  <c r="A130" i="4"/>
  <c r="G133" i="3"/>
  <c r="F133" i="3"/>
  <c r="E133" i="3"/>
  <c r="C133" i="3"/>
  <c r="A133" i="3"/>
  <c r="B140" i="4"/>
  <c r="C140" i="4"/>
  <c r="G140" i="4"/>
  <c r="A140" i="4"/>
  <c r="D140" i="4"/>
  <c r="E140" i="4"/>
  <c r="F140" i="4"/>
  <c r="G143" i="3"/>
  <c r="F143" i="3"/>
  <c r="E143" i="3"/>
  <c r="C143" i="3"/>
  <c r="A143" i="3"/>
  <c r="D143" i="3"/>
  <c r="B143" i="3"/>
  <c r="B150" i="4"/>
  <c r="F150" i="4"/>
  <c r="E150" i="4"/>
  <c r="C150" i="4"/>
  <c r="G150" i="4"/>
  <c r="A150" i="4"/>
  <c r="D150" i="4"/>
  <c r="G153" i="3"/>
  <c r="F153" i="3"/>
  <c r="E153" i="3"/>
  <c r="C153" i="3"/>
  <c r="A153" i="3"/>
  <c r="D153" i="3"/>
  <c r="B153" i="3"/>
  <c r="G160" i="4"/>
  <c r="B160" i="4"/>
  <c r="D160" i="4"/>
  <c r="E160" i="4"/>
  <c r="F160" i="4"/>
  <c r="A160" i="4"/>
  <c r="C160" i="4"/>
  <c r="G163" i="3"/>
  <c r="F163" i="3"/>
  <c r="E163" i="3"/>
  <c r="C163" i="3"/>
  <c r="A163" i="3"/>
  <c r="D163" i="3"/>
  <c r="B163" i="3"/>
  <c r="G170" i="4"/>
  <c r="E170" i="4"/>
  <c r="A170" i="4"/>
  <c r="C170" i="4"/>
  <c r="D170" i="4"/>
  <c r="F170" i="4"/>
  <c r="B170" i="4"/>
  <c r="G173" i="3"/>
  <c r="F173" i="3"/>
  <c r="E173" i="3"/>
  <c r="C173" i="3"/>
  <c r="A173" i="3"/>
  <c r="D173" i="3"/>
  <c r="B173" i="3"/>
  <c r="G180" i="4"/>
  <c r="C180" i="4"/>
  <c r="B180" i="4"/>
  <c r="F180" i="4"/>
  <c r="D180" i="4"/>
  <c r="A180" i="4"/>
  <c r="E180" i="4"/>
  <c r="G183" i="3"/>
  <c r="F183" i="3"/>
  <c r="E183" i="3"/>
  <c r="C183" i="3"/>
  <c r="A183" i="3"/>
  <c r="G190" i="4"/>
  <c r="A190" i="4"/>
  <c r="F190" i="4"/>
  <c r="B190" i="4"/>
  <c r="C190" i="4"/>
  <c r="E190" i="4"/>
  <c r="D190" i="4"/>
  <c r="A193" i="3"/>
  <c r="G193" i="3"/>
  <c r="F193" i="3"/>
  <c r="E193" i="3"/>
  <c r="C193" i="3"/>
  <c r="D193" i="3"/>
  <c r="B193" i="3"/>
  <c r="G200" i="4"/>
  <c r="E200" i="4"/>
  <c r="A200" i="4"/>
  <c r="D200" i="4"/>
  <c r="F200" i="4"/>
  <c r="C200" i="4"/>
  <c r="B200" i="4"/>
  <c r="B203" i="3"/>
  <c r="A203" i="3"/>
  <c r="G203" i="3"/>
  <c r="E203" i="3"/>
  <c r="F203" i="3"/>
  <c r="C203" i="3"/>
  <c r="D203" i="3"/>
  <c r="E13" i="3"/>
  <c r="G20" i="3"/>
  <c r="B23" i="3"/>
  <c r="D30" i="3"/>
  <c r="F37" i="3"/>
  <c r="B73" i="3"/>
  <c r="D80" i="3"/>
  <c r="B133" i="3"/>
  <c r="G37" i="4"/>
  <c r="C37" i="4"/>
  <c r="B37" i="4"/>
  <c r="A37" i="4"/>
  <c r="E37" i="4"/>
  <c r="D37" i="4"/>
  <c r="F37" i="4"/>
  <c r="C70" i="3"/>
  <c r="B70" i="3"/>
  <c r="A70" i="3"/>
  <c r="G70" i="3"/>
  <c r="F70" i="3"/>
  <c r="D87" i="4"/>
  <c r="F87" i="4"/>
  <c r="E87" i="4"/>
  <c r="C87" i="4"/>
  <c r="A87" i="4"/>
  <c r="B87" i="4"/>
  <c r="G87" i="4"/>
  <c r="G180" i="3"/>
  <c r="E180" i="3"/>
  <c r="C180" i="3"/>
  <c r="A180" i="3"/>
  <c r="F180" i="3"/>
  <c r="D180" i="3"/>
  <c r="K28" i="3"/>
  <c r="J28" i="3"/>
  <c r="I28" i="3"/>
  <c r="H28" i="3"/>
  <c r="N28" i="3"/>
  <c r="E30" i="3"/>
  <c r="M189" i="3"/>
  <c r="N189" i="3"/>
  <c r="L189" i="3"/>
  <c r="K189" i="3"/>
  <c r="I189" i="3"/>
  <c r="J189" i="3"/>
  <c r="H189" i="3"/>
  <c r="C10" i="3"/>
  <c r="B10" i="3"/>
  <c r="A10" i="3"/>
  <c r="F10" i="3"/>
  <c r="C50" i="3"/>
  <c r="B50" i="3"/>
  <c r="A50" i="3"/>
  <c r="F50" i="3"/>
  <c r="C60" i="3"/>
  <c r="B60" i="3"/>
  <c r="A60" i="3"/>
  <c r="G60" i="3"/>
  <c r="F60" i="3"/>
  <c r="C67" i="4"/>
  <c r="G67" i="4"/>
  <c r="D67" i="4"/>
  <c r="B67" i="4"/>
  <c r="A67" i="4"/>
  <c r="E67" i="4"/>
  <c r="F67" i="4"/>
  <c r="D137" i="4"/>
  <c r="G137" i="4"/>
  <c r="E137" i="4"/>
  <c r="F137" i="4"/>
  <c r="B137" i="4"/>
  <c r="C137" i="4"/>
  <c r="A137" i="4"/>
  <c r="E54" i="4"/>
  <c r="B54" i="4"/>
  <c r="G54" i="4"/>
  <c r="D54" i="4"/>
  <c r="C54" i="4"/>
  <c r="F54" i="4"/>
  <c r="A54" i="4"/>
  <c r="F84" i="4"/>
  <c r="C84" i="4"/>
  <c r="E84" i="4"/>
  <c r="G84" i="4"/>
  <c r="D84" i="4"/>
  <c r="B84" i="4"/>
  <c r="A84" i="4"/>
  <c r="A97" i="3"/>
  <c r="G97" i="3"/>
  <c r="F97" i="3"/>
  <c r="D97" i="3"/>
  <c r="E97" i="3"/>
  <c r="C97" i="3"/>
  <c r="B97" i="3"/>
  <c r="A127" i="3"/>
  <c r="G127" i="3"/>
  <c r="E127" i="3"/>
  <c r="C127" i="3"/>
  <c r="B127" i="3"/>
  <c r="F127" i="3"/>
  <c r="D127" i="3"/>
  <c r="C164" i="4"/>
  <c r="A164" i="4"/>
  <c r="B164" i="4"/>
  <c r="G164" i="4"/>
  <c r="F164" i="4"/>
  <c r="D164" i="4"/>
  <c r="E164" i="4"/>
  <c r="A177" i="3"/>
  <c r="G177" i="3"/>
  <c r="E177" i="3"/>
  <c r="C177" i="3"/>
  <c r="B177" i="3"/>
  <c r="F177" i="3"/>
  <c r="D177" i="3"/>
  <c r="C184" i="4"/>
  <c r="A184" i="4"/>
  <c r="G184" i="4"/>
  <c r="E184" i="4"/>
  <c r="B184" i="4"/>
  <c r="D184" i="4"/>
  <c r="F184" i="4"/>
  <c r="E23" i="3"/>
  <c r="G30" i="3"/>
  <c r="B33" i="3"/>
  <c r="D40" i="3"/>
  <c r="F47" i="3"/>
  <c r="B63" i="3"/>
  <c r="D70" i="3"/>
  <c r="F77" i="3"/>
  <c r="K172" i="3"/>
  <c r="J172" i="3"/>
  <c r="I172" i="3"/>
  <c r="M172" i="3"/>
  <c r="L172" i="3"/>
  <c r="H172" i="3"/>
  <c r="M194" i="3"/>
  <c r="K194" i="3"/>
  <c r="J194" i="3"/>
  <c r="I194" i="3"/>
  <c r="N194" i="3"/>
  <c r="L194" i="3"/>
  <c r="G47" i="4"/>
  <c r="F47" i="4"/>
  <c r="C47" i="4"/>
  <c r="B47" i="4"/>
  <c r="A47" i="4"/>
  <c r="E47" i="4"/>
  <c r="D47" i="4"/>
  <c r="D97" i="4"/>
  <c r="C97" i="4"/>
  <c r="A97" i="4"/>
  <c r="F97" i="4"/>
  <c r="B97" i="4"/>
  <c r="E97" i="4"/>
  <c r="G97" i="4"/>
  <c r="D127" i="4"/>
  <c r="G127" i="4"/>
  <c r="C127" i="4"/>
  <c r="F127" i="4"/>
  <c r="E127" i="4"/>
  <c r="A127" i="4"/>
  <c r="B127" i="4"/>
  <c r="A157" i="4"/>
  <c r="C157" i="4"/>
  <c r="F157" i="4"/>
  <c r="B157" i="4"/>
  <c r="E157" i="4"/>
  <c r="G157" i="4"/>
  <c r="D157" i="4"/>
  <c r="A187" i="4"/>
  <c r="E187" i="4"/>
  <c r="C187" i="4"/>
  <c r="F187" i="4"/>
  <c r="B187" i="4"/>
  <c r="D187" i="4"/>
  <c r="G187" i="4"/>
  <c r="G4" i="3"/>
  <c r="F4" i="3"/>
  <c r="E4" i="3"/>
  <c r="D4" i="3"/>
  <c r="C4" i="3"/>
  <c r="B4" i="3"/>
  <c r="C11" i="4"/>
  <c r="B11" i="4"/>
  <c r="A11" i="4"/>
  <c r="F11" i="4"/>
  <c r="E11" i="4"/>
  <c r="D11" i="4"/>
  <c r="G11" i="4"/>
  <c r="G14" i="3"/>
  <c r="F14" i="3"/>
  <c r="E14" i="3"/>
  <c r="D14" i="3"/>
  <c r="C14" i="3"/>
  <c r="B14" i="3"/>
  <c r="C21" i="4"/>
  <c r="G21" i="4"/>
  <c r="D21" i="4"/>
  <c r="E21" i="4"/>
  <c r="B21" i="4"/>
  <c r="A21" i="4"/>
  <c r="F21" i="4"/>
  <c r="G24" i="3"/>
  <c r="F24" i="3"/>
  <c r="E24" i="3"/>
  <c r="D24" i="3"/>
  <c r="C24" i="3"/>
  <c r="B24" i="3"/>
  <c r="C31" i="4"/>
  <c r="A31" i="4"/>
  <c r="F31" i="4"/>
  <c r="D31" i="4"/>
  <c r="B31" i="4"/>
  <c r="G31" i="4"/>
  <c r="E31" i="4"/>
  <c r="G34" i="3"/>
  <c r="F34" i="3"/>
  <c r="E34" i="3"/>
  <c r="D34" i="3"/>
  <c r="C34" i="3"/>
  <c r="B34" i="3"/>
  <c r="C41" i="4"/>
  <c r="A41" i="4"/>
  <c r="D41" i="4"/>
  <c r="B41" i="4"/>
  <c r="G41" i="4"/>
  <c r="F41" i="4"/>
  <c r="E41" i="4"/>
  <c r="G44" i="3"/>
  <c r="F44" i="3"/>
  <c r="E44" i="3"/>
  <c r="D44" i="3"/>
  <c r="C44" i="3"/>
  <c r="B44" i="3"/>
  <c r="C51" i="4"/>
  <c r="A51" i="4"/>
  <c r="B51" i="4"/>
  <c r="F51" i="4"/>
  <c r="E51" i="4"/>
  <c r="D51" i="4"/>
  <c r="G51" i="4"/>
  <c r="G54" i="3"/>
  <c r="F54" i="3"/>
  <c r="E54" i="3"/>
  <c r="D54" i="3"/>
  <c r="C54" i="3"/>
  <c r="B54" i="3"/>
  <c r="G61" i="4"/>
  <c r="D61" i="4"/>
  <c r="B61" i="4"/>
  <c r="A61" i="4"/>
  <c r="F61" i="4"/>
  <c r="E61" i="4"/>
  <c r="C61" i="4"/>
  <c r="G64" i="3"/>
  <c r="F64" i="3"/>
  <c r="E64" i="3"/>
  <c r="D64" i="3"/>
  <c r="C64" i="3"/>
  <c r="B64" i="3"/>
  <c r="A64" i="3"/>
  <c r="G71" i="4"/>
  <c r="F71" i="4"/>
  <c r="A71" i="4"/>
  <c r="D71" i="4"/>
  <c r="E71" i="4"/>
  <c r="B71" i="4"/>
  <c r="C71" i="4"/>
  <c r="G74" i="3"/>
  <c r="F74" i="3"/>
  <c r="E74" i="3"/>
  <c r="D74" i="3"/>
  <c r="C74" i="3"/>
  <c r="B74" i="3"/>
  <c r="A74" i="3"/>
  <c r="A81" i="4"/>
  <c r="E81" i="4"/>
  <c r="C81" i="4"/>
  <c r="F81" i="4"/>
  <c r="B81" i="4"/>
  <c r="D81" i="4"/>
  <c r="G81" i="4"/>
  <c r="G84" i="3"/>
  <c r="F84" i="3"/>
  <c r="E84" i="3"/>
  <c r="D84" i="3"/>
  <c r="C84" i="3"/>
  <c r="B84" i="3"/>
  <c r="A84" i="3"/>
  <c r="E91" i="4"/>
  <c r="A91" i="4"/>
  <c r="F91" i="4"/>
  <c r="G91" i="4"/>
  <c r="D91" i="4"/>
  <c r="B91" i="4"/>
  <c r="C91" i="4"/>
  <c r="C94" i="3"/>
  <c r="B94" i="3"/>
  <c r="E94" i="3"/>
  <c r="D94" i="3"/>
  <c r="A94" i="3"/>
  <c r="E101" i="4"/>
  <c r="B101" i="4"/>
  <c r="G101" i="4"/>
  <c r="D101" i="4"/>
  <c r="F101" i="4"/>
  <c r="C101" i="4"/>
  <c r="A101" i="4"/>
  <c r="C104" i="3"/>
  <c r="B104" i="3"/>
  <c r="F104" i="3"/>
  <c r="E104" i="3"/>
  <c r="D104" i="3"/>
  <c r="G104" i="3"/>
  <c r="C111" i="4"/>
  <c r="G111" i="4"/>
  <c r="E111" i="4"/>
  <c r="A111" i="4"/>
  <c r="F111" i="4"/>
  <c r="B111" i="4"/>
  <c r="D111" i="4"/>
  <c r="C114" i="3"/>
  <c r="B114" i="3"/>
  <c r="A114" i="3"/>
  <c r="G114" i="3"/>
  <c r="F114" i="3"/>
  <c r="E114" i="3"/>
  <c r="D114" i="3"/>
  <c r="G121" i="4"/>
  <c r="C121" i="4"/>
  <c r="F121" i="4"/>
  <c r="D121" i="4"/>
  <c r="B121" i="4"/>
  <c r="E121" i="4"/>
  <c r="A121" i="4"/>
  <c r="C124" i="3"/>
  <c r="B124" i="3"/>
  <c r="A124" i="3"/>
  <c r="F124" i="3"/>
  <c r="E124" i="3"/>
  <c r="D124" i="3"/>
  <c r="G124" i="3"/>
  <c r="F131" i="4"/>
  <c r="D131" i="4"/>
  <c r="E131" i="4"/>
  <c r="B131" i="4"/>
  <c r="G131" i="4"/>
  <c r="A131" i="4"/>
  <c r="C131" i="4"/>
  <c r="C134" i="3"/>
  <c r="B134" i="3"/>
  <c r="A134" i="3"/>
  <c r="G134" i="3"/>
  <c r="E134" i="3"/>
  <c r="D134" i="3"/>
  <c r="F134" i="3"/>
  <c r="E141" i="4"/>
  <c r="A141" i="4"/>
  <c r="D141" i="4"/>
  <c r="G141" i="4"/>
  <c r="C141" i="4"/>
  <c r="F141" i="4"/>
  <c r="B141" i="4"/>
  <c r="C144" i="3"/>
  <c r="B144" i="3"/>
  <c r="A144" i="3"/>
  <c r="G144" i="3"/>
  <c r="E144" i="3"/>
  <c r="D144" i="3"/>
  <c r="E151" i="4"/>
  <c r="D151" i="4"/>
  <c r="F151" i="4"/>
  <c r="G151" i="4"/>
  <c r="C151" i="4"/>
  <c r="B151" i="4"/>
  <c r="A151" i="4"/>
  <c r="C154" i="3"/>
  <c r="B154" i="3"/>
  <c r="A154" i="3"/>
  <c r="G154" i="3"/>
  <c r="E154" i="3"/>
  <c r="D154" i="3"/>
  <c r="F154" i="3"/>
  <c r="E161" i="4"/>
  <c r="C161" i="4"/>
  <c r="G161" i="4"/>
  <c r="A161" i="4"/>
  <c r="F161" i="4"/>
  <c r="B161" i="4"/>
  <c r="D161" i="4"/>
  <c r="C164" i="3"/>
  <c r="B164" i="3"/>
  <c r="A164" i="3"/>
  <c r="G164" i="3"/>
  <c r="E164" i="3"/>
  <c r="D164" i="3"/>
  <c r="F164" i="3"/>
  <c r="E171" i="4"/>
  <c r="C171" i="4"/>
  <c r="D171" i="4"/>
  <c r="F171" i="4"/>
  <c r="G171" i="4"/>
  <c r="A171" i="4"/>
  <c r="B171" i="4"/>
  <c r="C174" i="3"/>
  <c r="B174" i="3"/>
  <c r="A174" i="3"/>
  <c r="G174" i="3"/>
  <c r="E174" i="3"/>
  <c r="D174" i="3"/>
  <c r="F174" i="3"/>
  <c r="E181" i="4"/>
  <c r="C181" i="4"/>
  <c r="A181" i="4"/>
  <c r="D181" i="4"/>
  <c r="F181" i="4"/>
  <c r="B181" i="4"/>
  <c r="G181" i="4"/>
  <c r="G184" i="3"/>
  <c r="C184" i="3"/>
  <c r="D184" i="3"/>
  <c r="B184" i="3"/>
  <c r="A184" i="3"/>
  <c r="F184" i="3"/>
  <c r="E184" i="3"/>
  <c r="E191" i="4"/>
  <c r="C191" i="4"/>
  <c r="B191" i="4"/>
  <c r="G191" i="4"/>
  <c r="D191" i="4"/>
  <c r="A191" i="4"/>
  <c r="F191" i="4"/>
  <c r="G194" i="3"/>
  <c r="F194" i="3"/>
  <c r="E194" i="3"/>
  <c r="C194" i="3"/>
  <c r="D194" i="3"/>
  <c r="A194" i="3"/>
  <c r="E201" i="4"/>
  <c r="C201" i="4"/>
  <c r="G201" i="4"/>
  <c r="A201" i="4"/>
  <c r="B201" i="4"/>
  <c r="F201" i="4"/>
  <c r="D201" i="4"/>
  <c r="A14" i="3"/>
  <c r="A26" i="3"/>
  <c r="C33" i="3"/>
  <c r="B38" i="3"/>
  <c r="E40" i="3"/>
  <c r="D45" i="3"/>
  <c r="F52" i="3"/>
  <c r="C63" i="3"/>
  <c r="E70" i="3"/>
  <c r="N172" i="3"/>
  <c r="H194" i="3"/>
  <c r="B8" i="4"/>
  <c r="A8" i="4"/>
  <c r="G8" i="4"/>
  <c r="E8" i="4"/>
  <c r="F8" i="4"/>
  <c r="C8" i="4"/>
  <c r="D8" i="4"/>
  <c r="G11" i="3"/>
  <c r="F11" i="3"/>
  <c r="E11" i="3"/>
  <c r="D11" i="3"/>
  <c r="B11" i="3"/>
  <c r="E18" i="4"/>
  <c r="A18" i="4"/>
  <c r="F18" i="4"/>
  <c r="D18" i="4"/>
  <c r="C18" i="4"/>
  <c r="B18" i="4"/>
  <c r="G18" i="4"/>
  <c r="G21" i="3"/>
  <c r="F21" i="3"/>
  <c r="E21" i="3"/>
  <c r="D21" i="3"/>
  <c r="B21" i="3"/>
  <c r="E28" i="4"/>
  <c r="C28" i="4"/>
  <c r="D28" i="4"/>
  <c r="B28" i="4"/>
  <c r="A28" i="4"/>
  <c r="G28" i="4"/>
  <c r="F28" i="4"/>
  <c r="G31" i="3"/>
  <c r="F31" i="3"/>
  <c r="E31" i="3"/>
  <c r="D31" i="3"/>
  <c r="B31" i="3"/>
  <c r="E38" i="4"/>
  <c r="C38" i="4"/>
  <c r="B38" i="4"/>
  <c r="A38" i="4"/>
  <c r="G38" i="4"/>
  <c r="F38" i="4"/>
  <c r="D38" i="4"/>
  <c r="G41" i="3"/>
  <c r="F41" i="3"/>
  <c r="E41" i="3"/>
  <c r="D41" i="3"/>
  <c r="B41" i="3"/>
  <c r="E48" i="4"/>
  <c r="C48" i="4"/>
  <c r="F48" i="4"/>
  <c r="B48" i="4"/>
  <c r="A48" i="4"/>
  <c r="G48" i="4"/>
  <c r="D48" i="4"/>
  <c r="G51" i="3"/>
  <c r="F51" i="3"/>
  <c r="E51" i="3"/>
  <c r="D51" i="3"/>
  <c r="B51" i="3"/>
  <c r="B58" i="4"/>
  <c r="G58" i="4"/>
  <c r="F58" i="4"/>
  <c r="E58" i="4"/>
  <c r="D58" i="4"/>
  <c r="A58" i="4"/>
  <c r="C58" i="4"/>
  <c r="G61" i="3"/>
  <c r="F61" i="3"/>
  <c r="E61" i="3"/>
  <c r="D61" i="3"/>
  <c r="C61" i="3"/>
  <c r="B61" i="3"/>
  <c r="F68" i="4"/>
  <c r="D68" i="4"/>
  <c r="G68" i="4"/>
  <c r="E68" i="4"/>
  <c r="C68" i="4"/>
  <c r="B68" i="4"/>
  <c r="A68" i="4"/>
  <c r="G71" i="3"/>
  <c r="F71" i="3"/>
  <c r="E71" i="3"/>
  <c r="D71" i="3"/>
  <c r="C71" i="3"/>
  <c r="B71" i="3"/>
  <c r="G78" i="4"/>
  <c r="E78" i="4"/>
  <c r="D78" i="4"/>
  <c r="C78" i="4"/>
  <c r="F78" i="4"/>
  <c r="A78" i="4"/>
  <c r="B78" i="4"/>
  <c r="G81" i="3"/>
  <c r="F81" i="3"/>
  <c r="E81" i="3"/>
  <c r="D81" i="3"/>
  <c r="C81" i="3"/>
  <c r="B81" i="3"/>
  <c r="C88" i="4"/>
  <c r="F88" i="4"/>
  <c r="D88" i="4"/>
  <c r="E88" i="4"/>
  <c r="G88" i="4"/>
  <c r="B88" i="4"/>
  <c r="A88" i="4"/>
  <c r="D91" i="3"/>
  <c r="G91" i="3"/>
  <c r="F91" i="3"/>
  <c r="E91" i="3"/>
  <c r="C91" i="3"/>
  <c r="B91" i="3"/>
  <c r="A91" i="3"/>
  <c r="G98" i="4"/>
  <c r="C98" i="4"/>
  <c r="B98" i="4"/>
  <c r="F98" i="4"/>
  <c r="D98" i="4"/>
  <c r="A98" i="4"/>
  <c r="E98" i="4"/>
  <c r="E101" i="3"/>
  <c r="D101" i="3"/>
  <c r="A101" i="3"/>
  <c r="G101" i="3"/>
  <c r="F101" i="3"/>
  <c r="A108" i="4"/>
  <c r="G108" i="4"/>
  <c r="E108" i="4"/>
  <c r="C108" i="4"/>
  <c r="D108" i="4"/>
  <c r="F108" i="4"/>
  <c r="B108" i="4"/>
  <c r="E111" i="3"/>
  <c r="D111" i="3"/>
  <c r="C111" i="3"/>
  <c r="A111" i="3"/>
  <c r="F111" i="3"/>
  <c r="B111" i="3"/>
  <c r="E118" i="4"/>
  <c r="A118" i="4"/>
  <c r="G118" i="4"/>
  <c r="D118" i="4"/>
  <c r="F118" i="4"/>
  <c r="B118" i="4"/>
  <c r="C118" i="4"/>
  <c r="E121" i="3"/>
  <c r="D121" i="3"/>
  <c r="C121" i="3"/>
  <c r="A121" i="3"/>
  <c r="G121" i="3"/>
  <c r="F121" i="3"/>
  <c r="B121" i="3"/>
  <c r="D128" i="4"/>
  <c r="B128" i="4"/>
  <c r="G128" i="4"/>
  <c r="A128" i="4"/>
  <c r="E128" i="4"/>
  <c r="C128" i="4"/>
  <c r="F128" i="4"/>
  <c r="E131" i="3"/>
  <c r="D131" i="3"/>
  <c r="C131" i="3"/>
  <c r="A131" i="3"/>
  <c r="G131" i="3"/>
  <c r="F131" i="3"/>
  <c r="B131" i="3"/>
  <c r="E138" i="4"/>
  <c r="F138" i="4"/>
  <c r="A138" i="4"/>
  <c r="D138" i="4"/>
  <c r="B138" i="4"/>
  <c r="C138" i="4"/>
  <c r="G138" i="4"/>
  <c r="E141" i="3"/>
  <c r="D141" i="3"/>
  <c r="C141" i="3"/>
  <c r="A141" i="3"/>
  <c r="G141" i="3"/>
  <c r="F141" i="3"/>
  <c r="B141" i="3"/>
  <c r="G148" i="4"/>
  <c r="A148" i="4"/>
  <c r="E148" i="4"/>
  <c r="D148" i="4"/>
  <c r="B148" i="4"/>
  <c r="F148" i="4"/>
  <c r="C148" i="4"/>
  <c r="E151" i="3"/>
  <c r="D151" i="3"/>
  <c r="C151" i="3"/>
  <c r="A151" i="3"/>
  <c r="G151" i="3"/>
  <c r="F151" i="3"/>
  <c r="B151" i="3"/>
  <c r="G158" i="4"/>
  <c r="E158" i="4"/>
  <c r="B158" i="4"/>
  <c r="A158" i="4"/>
  <c r="F158" i="4"/>
  <c r="C158" i="4"/>
  <c r="D158" i="4"/>
  <c r="E161" i="3"/>
  <c r="D161" i="3"/>
  <c r="C161" i="3"/>
  <c r="A161" i="3"/>
  <c r="G161" i="3"/>
  <c r="F161" i="3"/>
  <c r="B161" i="3"/>
  <c r="G168" i="4"/>
  <c r="E168" i="4"/>
  <c r="A168" i="4"/>
  <c r="F168" i="4"/>
  <c r="B168" i="4"/>
  <c r="D168" i="4"/>
  <c r="C168" i="4"/>
  <c r="E171" i="3"/>
  <c r="D171" i="3"/>
  <c r="C171" i="3"/>
  <c r="A171" i="3"/>
  <c r="G171" i="3"/>
  <c r="F171" i="3"/>
  <c r="B171" i="3"/>
  <c r="G178" i="4"/>
  <c r="E178" i="4"/>
  <c r="F178" i="4"/>
  <c r="D178" i="4"/>
  <c r="C178" i="4"/>
  <c r="B178" i="4"/>
  <c r="A178" i="4"/>
  <c r="E181" i="3"/>
  <c r="D181" i="3"/>
  <c r="C181" i="3"/>
  <c r="A181" i="3"/>
  <c r="G181" i="3"/>
  <c r="F181" i="3"/>
  <c r="B181" i="3"/>
  <c r="G188" i="4"/>
  <c r="E188" i="4"/>
  <c r="C188" i="4"/>
  <c r="D188" i="4"/>
  <c r="A188" i="4"/>
  <c r="F188" i="4"/>
  <c r="B188" i="4"/>
  <c r="G191" i="3"/>
  <c r="E191" i="3"/>
  <c r="C191" i="3"/>
  <c r="B191" i="3"/>
  <c r="A191" i="3"/>
  <c r="F191" i="3"/>
  <c r="D191" i="3"/>
  <c r="G198" i="4"/>
  <c r="E198" i="4"/>
  <c r="A198" i="4"/>
  <c r="C198" i="4"/>
  <c r="F198" i="4"/>
  <c r="B198" i="4"/>
  <c r="D198" i="4"/>
  <c r="G201" i="3"/>
  <c r="E201" i="3"/>
  <c r="C201" i="3"/>
  <c r="D201" i="3"/>
  <c r="A201" i="3"/>
  <c r="F7" i="3"/>
  <c r="L28" i="3"/>
  <c r="A31" i="3"/>
  <c r="E33" i="3"/>
  <c r="B43" i="3"/>
  <c r="E45" i="3"/>
  <c r="D50" i="3"/>
  <c r="F57" i="3"/>
  <c r="D60" i="3"/>
  <c r="F67" i="3"/>
  <c r="D85" i="3"/>
  <c r="B89" i="3"/>
  <c r="E93" i="3"/>
  <c r="D140" i="3"/>
  <c r="B201" i="3"/>
  <c r="E27" i="3"/>
  <c r="D27" i="3"/>
  <c r="C27" i="3"/>
  <c r="B27" i="3"/>
  <c r="A27" i="3"/>
  <c r="A34" i="4"/>
  <c r="B34" i="4"/>
  <c r="D34" i="4"/>
  <c r="C34" i="4"/>
  <c r="F34" i="4"/>
  <c r="E34" i="4"/>
  <c r="G34" i="4"/>
  <c r="E64" i="4"/>
  <c r="G64" i="4"/>
  <c r="D64" i="4"/>
  <c r="F64" i="4"/>
  <c r="B64" i="4"/>
  <c r="C64" i="4"/>
  <c r="A64" i="4"/>
  <c r="B87" i="3"/>
  <c r="G87" i="3"/>
  <c r="F87" i="3"/>
  <c r="E87" i="3"/>
  <c r="D87" i="3"/>
  <c r="C87" i="3"/>
  <c r="A87" i="3"/>
  <c r="F134" i="4"/>
  <c r="D134" i="4"/>
  <c r="C134" i="4"/>
  <c r="A134" i="4"/>
  <c r="E134" i="4"/>
  <c r="G134" i="4"/>
  <c r="B134" i="4"/>
  <c r="C154" i="4"/>
  <c r="A154" i="4"/>
  <c r="E154" i="4"/>
  <c r="B154" i="4"/>
  <c r="F154" i="4"/>
  <c r="D154" i="4"/>
  <c r="G154" i="4"/>
  <c r="D5" i="4"/>
  <c r="C5" i="4"/>
  <c r="B5" i="4"/>
  <c r="A5" i="4"/>
  <c r="G5" i="4"/>
  <c r="F5" i="4"/>
  <c r="E5" i="4"/>
  <c r="A8" i="3"/>
  <c r="G8" i="3"/>
  <c r="F8" i="3"/>
  <c r="D8" i="3"/>
  <c r="G15" i="4"/>
  <c r="B15" i="4"/>
  <c r="A15" i="4"/>
  <c r="E15" i="4"/>
  <c r="D15" i="4"/>
  <c r="C15" i="4"/>
  <c r="F15" i="4"/>
  <c r="A18" i="3"/>
  <c r="G18" i="3"/>
  <c r="F18" i="3"/>
  <c r="D18" i="3"/>
  <c r="G25" i="4"/>
  <c r="E25" i="4"/>
  <c r="B25" i="4"/>
  <c r="D25" i="4"/>
  <c r="C25" i="4"/>
  <c r="A25" i="4"/>
  <c r="F25" i="4"/>
  <c r="A28" i="3"/>
  <c r="G28" i="3"/>
  <c r="F28" i="3"/>
  <c r="D28" i="3"/>
  <c r="G35" i="4"/>
  <c r="E35" i="4"/>
  <c r="C35" i="4"/>
  <c r="B35" i="4"/>
  <c r="A35" i="4"/>
  <c r="D35" i="4"/>
  <c r="F35" i="4"/>
  <c r="A38" i="3"/>
  <c r="G38" i="3"/>
  <c r="F38" i="3"/>
  <c r="D38" i="3"/>
  <c r="G45" i="4"/>
  <c r="E45" i="4"/>
  <c r="B45" i="4"/>
  <c r="A45" i="4"/>
  <c r="C45" i="4"/>
  <c r="F45" i="4"/>
  <c r="D45" i="4"/>
  <c r="A48" i="3"/>
  <c r="G48" i="3"/>
  <c r="F48" i="3"/>
  <c r="D48" i="3"/>
  <c r="A55" i="4"/>
  <c r="F55" i="4"/>
  <c r="E55" i="4"/>
  <c r="D55" i="4"/>
  <c r="C55" i="4"/>
  <c r="B55" i="4"/>
  <c r="G55" i="4"/>
  <c r="A58" i="3"/>
  <c r="G58" i="3"/>
  <c r="F58" i="3"/>
  <c r="D58" i="3"/>
  <c r="A65" i="4"/>
  <c r="D65" i="4"/>
  <c r="B65" i="4"/>
  <c r="F65" i="4"/>
  <c r="C65" i="4"/>
  <c r="E65" i="4"/>
  <c r="G65" i="4"/>
  <c r="A68" i="3"/>
  <c r="G68" i="3"/>
  <c r="F68" i="3"/>
  <c r="E68" i="3"/>
  <c r="D68" i="3"/>
  <c r="B75" i="4"/>
  <c r="G75" i="4"/>
  <c r="C75" i="4"/>
  <c r="A75" i="4"/>
  <c r="D75" i="4"/>
  <c r="E75" i="4"/>
  <c r="F75" i="4"/>
  <c r="A78" i="3"/>
  <c r="G78" i="3"/>
  <c r="F78" i="3"/>
  <c r="E78" i="3"/>
  <c r="D78" i="3"/>
  <c r="B85" i="4"/>
  <c r="D85" i="4"/>
  <c r="C85" i="4"/>
  <c r="A85" i="4"/>
  <c r="G85" i="4"/>
  <c r="E85" i="4"/>
  <c r="F85" i="4"/>
  <c r="D88" i="3"/>
  <c r="C88" i="3"/>
  <c r="B88" i="3"/>
  <c r="A88" i="3"/>
  <c r="G88" i="3"/>
  <c r="B95" i="4"/>
  <c r="E95" i="4"/>
  <c r="G95" i="4"/>
  <c r="D95" i="4"/>
  <c r="C95" i="4"/>
  <c r="A95" i="4"/>
  <c r="F95" i="4"/>
  <c r="G98" i="3"/>
  <c r="F98" i="3"/>
  <c r="E98" i="3"/>
  <c r="D98" i="3"/>
  <c r="B98" i="3"/>
  <c r="A98" i="3"/>
  <c r="B105" i="4"/>
  <c r="E105" i="4"/>
  <c r="C105" i="4"/>
  <c r="G105" i="4"/>
  <c r="F105" i="4"/>
  <c r="D105" i="4"/>
  <c r="A105" i="4"/>
  <c r="G108" i="3"/>
  <c r="F108" i="3"/>
  <c r="C108" i="3"/>
  <c r="B108" i="3"/>
  <c r="A108" i="3"/>
  <c r="D108" i="3"/>
  <c r="B115" i="4"/>
  <c r="C115" i="4"/>
  <c r="G115" i="4"/>
  <c r="E115" i="4"/>
  <c r="A115" i="4"/>
  <c r="D115" i="4"/>
  <c r="F115" i="4"/>
  <c r="G118" i="3"/>
  <c r="F118" i="3"/>
  <c r="E118" i="3"/>
  <c r="C118" i="3"/>
  <c r="D118" i="3"/>
  <c r="B118" i="3"/>
  <c r="A118" i="3"/>
  <c r="B125" i="4"/>
  <c r="G125" i="4"/>
  <c r="C125" i="4"/>
  <c r="F125" i="4"/>
  <c r="D125" i="4"/>
  <c r="A125" i="4"/>
  <c r="E125" i="4"/>
  <c r="G128" i="3"/>
  <c r="F128" i="3"/>
  <c r="E128" i="3"/>
  <c r="C128" i="3"/>
  <c r="A128" i="3"/>
  <c r="D128" i="3"/>
  <c r="B128" i="3"/>
  <c r="B135" i="4"/>
  <c r="F135" i="4"/>
  <c r="C135" i="4"/>
  <c r="E135" i="4"/>
  <c r="A135" i="4"/>
  <c r="D135" i="4"/>
  <c r="G135" i="4"/>
  <c r="G138" i="3"/>
  <c r="F138" i="3"/>
  <c r="E138" i="3"/>
  <c r="C138" i="3"/>
  <c r="A138" i="3"/>
  <c r="D138" i="3"/>
  <c r="B138" i="3"/>
  <c r="E145" i="4"/>
  <c r="B145" i="4"/>
  <c r="A145" i="4"/>
  <c r="G145" i="4"/>
  <c r="D145" i="4"/>
  <c r="C145" i="4"/>
  <c r="F145" i="4"/>
  <c r="G148" i="3"/>
  <c r="F148" i="3"/>
  <c r="E148" i="3"/>
  <c r="C148" i="3"/>
  <c r="A148" i="3"/>
  <c r="D148" i="3"/>
  <c r="B148" i="3"/>
  <c r="G155" i="4"/>
  <c r="C155" i="4"/>
  <c r="B155" i="4"/>
  <c r="D155" i="4"/>
  <c r="F155" i="4"/>
  <c r="E155" i="4"/>
  <c r="A155" i="4"/>
  <c r="G158" i="3"/>
  <c r="F158" i="3"/>
  <c r="E158" i="3"/>
  <c r="C158" i="3"/>
  <c r="A158" i="3"/>
  <c r="D158" i="3"/>
  <c r="B158" i="3"/>
  <c r="G165" i="4"/>
  <c r="A165" i="4"/>
  <c r="B165" i="4"/>
  <c r="C165" i="4"/>
  <c r="E165" i="4"/>
  <c r="D165" i="4"/>
  <c r="F165" i="4"/>
  <c r="G168" i="3"/>
  <c r="F168" i="3"/>
  <c r="E168" i="3"/>
  <c r="C168" i="3"/>
  <c r="A168" i="3"/>
  <c r="D168" i="3"/>
  <c r="B168" i="3"/>
  <c r="G175" i="4"/>
  <c r="A175" i="4"/>
  <c r="B175" i="4"/>
  <c r="F175" i="4"/>
  <c r="E175" i="4"/>
  <c r="C175" i="4"/>
  <c r="D175" i="4"/>
  <c r="G178" i="3"/>
  <c r="F178" i="3"/>
  <c r="E178" i="3"/>
  <c r="C178" i="3"/>
  <c r="A178" i="3"/>
  <c r="D178" i="3"/>
  <c r="B178" i="3"/>
  <c r="G185" i="4"/>
  <c r="A185" i="4"/>
  <c r="C185" i="4"/>
  <c r="F185" i="4"/>
  <c r="D185" i="4"/>
  <c r="B185" i="4"/>
  <c r="E185" i="4"/>
  <c r="A188" i="3"/>
  <c r="G188" i="3"/>
  <c r="E188" i="3"/>
  <c r="C188" i="3"/>
  <c r="F188" i="3"/>
  <c r="D188" i="3"/>
  <c r="B188" i="3"/>
  <c r="G195" i="4"/>
  <c r="E195" i="4"/>
  <c r="D195" i="4"/>
  <c r="F195" i="4"/>
  <c r="B195" i="4"/>
  <c r="A195" i="4"/>
  <c r="C195" i="4"/>
  <c r="A198" i="3"/>
  <c r="G198" i="3"/>
  <c r="E198" i="3"/>
  <c r="D198" i="3"/>
  <c r="C198" i="3"/>
  <c r="F198" i="3"/>
  <c r="B198" i="3"/>
  <c r="G7" i="3"/>
  <c r="F12" i="3"/>
  <c r="A24" i="3"/>
  <c r="M28" i="3"/>
  <c r="C31" i="3"/>
  <c r="A36" i="3"/>
  <c r="E38" i="3"/>
  <c r="C43" i="3"/>
  <c r="B48" i="3"/>
  <c r="E50" i="3"/>
  <c r="E60" i="3"/>
  <c r="A71" i="3"/>
  <c r="C78" i="3"/>
  <c r="D123" i="3"/>
  <c r="F140" i="3"/>
  <c r="F201" i="3"/>
  <c r="G27" i="4"/>
  <c r="D27" i="4"/>
  <c r="C27" i="4"/>
  <c r="B27" i="4"/>
  <c r="F27" i="4"/>
  <c r="A27" i="4"/>
  <c r="E27" i="4"/>
  <c r="G90" i="3"/>
  <c r="F90" i="3"/>
  <c r="E90" i="3"/>
  <c r="D90" i="3"/>
  <c r="C90" i="3"/>
  <c r="B90" i="3"/>
  <c r="G130" i="3"/>
  <c r="E130" i="3"/>
  <c r="C130" i="3"/>
  <c r="A130" i="3"/>
  <c r="F130" i="3"/>
  <c r="D130" i="3"/>
  <c r="G150" i="3"/>
  <c r="E150" i="3"/>
  <c r="C150" i="3"/>
  <c r="A150" i="3"/>
  <c r="F150" i="3"/>
  <c r="D150" i="3"/>
  <c r="B150" i="3"/>
  <c r="A177" i="4"/>
  <c r="G177" i="4"/>
  <c r="D177" i="4"/>
  <c r="F177" i="4"/>
  <c r="E177" i="4"/>
  <c r="B177" i="4"/>
  <c r="C177" i="4"/>
  <c r="A14" i="4"/>
  <c r="E14" i="4"/>
  <c r="D14" i="4"/>
  <c r="C14" i="4"/>
  <c r="B14" i="4"/>
  <c r="F14" i="4"/>
  <c r="A44" i="4"/>
  <c r="C44" i="4"/>
  <c r="B44" i="4"/>
  <c r="G44" i="4"/>
  <c r="E44" i="4"/>
  <c r="F44" i="4"/>
  <c r="D44" i="4"/>
  <c r="E67" i="3"/>
  <c r="D67" i="3"/>
  <c r="C67" i="3"/>
  <c r="B67" i="3"/>
  <c r="A67" i="3"/>
  <c r="F94" i="4"/>
  <c r="E94" i="4"/>
  <c r="A94" i="4"/>
  <c r="G94" i="4"/>
  <c r="D94" i="4"/>
  <c r="B94" i="4"/>
  <c r="C94" i="4"/>
  <c r="A117" i="3"/>
  <c r="G117" i="3"/>
  <c r="D117" i="3"/>
  <c r="C117" i="3"/>
  <c r="B117" i="3"/>
  <c r="F117" i="3"/>
  <c r="A137" i="3"/>
  <c r="G137" i="3"/>
  <c r="E137" i="3"/>
  <c r="C137" i="3"/>
  <c r="B137" i="3"/>
  <c r="F137" i="3"/>
  <c r="C174" i="4"/>
  <c r="A174" i="4"/>
  <c r="D174" i="4"/>
  <c r="E174" i="4"/>
  <c r="F174" i="4"/>
  <c r="B174" i="4"/>
  <c r="G174" i="4"/>
  <c r="C194" i="4"/>
  <c r="A194" i="4"/>
  <c r="G194" i="4"/>
  <c r="F194" i="4"/>
  <c r="D194" i="4"/>
  <c r="B194" i="4"/>
  <c r="E194" i="4"/>
  <c r="C5" i="3"/>
  <c r="B5" i="3"/>
  <c r="A5" i="3"/>
  <c r="F5" i="3"/>
  <c r="G12" i="4"/>
  <c r="E12" i="4"/>
  <c r="C12" i="4"/>
  <c r="D12" i="4"/>
  <c r="A12" i="4"/>
  <c r="F12" i="4"/>
  <c r="B12" i="4"/>
  <c r="C15" i="3"/>
  <c r="B15" i="3"/>
  <c r="A15" i="3"/>
  <c r="F15" i="3"/>
  <c r="F22" i="4"/>
  <c r="E22" i="4"/>
  <c r="B22" i="4"/>
  <c r="C22" i="4"/>
  <c r="A22" i="4"/>
  <c r="D22" i="4"/>
  <c r="G22" i="4"/>
  <c r="C25" i="3"/>
  <c r="B25" i="3"/>
  <c r="A25" i="3"/>
  <c r="F25" i="3"/>
  <c r="G32" i="4"/>
  <c r="D32" i="4"/>
  <c r="C32" i="4"/>
  <c r="B32" i="4"/>
  <c r="A32" i="4"/>
  <c r="F32" i="4"/>
  <c r="E32" i="4"/>
  <c r="C35" i="3"/>
  <c r="B35" i="3"/>
  <c r="A35" i="3"/>
  <c r="F35" i="3"/>
  <c r="G42" i="4"/>
  <c r="B42" i="4"/>
  <c r="C42" i="4"/>
  <c r="A42" i="4"/>
  <c r="E42" i="4"/>
  <c r="F42" i="4"/>
  <c r="D42" i="4"/>
  <c r="C45" i="3"/>
  <c r="B45" i="3"/>
  <c r="A45" i="3"/>
  <c r="F45" i="3"/>
  <c r="G52" i="4"/>
  <c r="A52" i="4"/>
  <c r="F52" i="4"/>
  <c r="E52" i="4"/>
  <c r="D52" i="4"/>
  <c r="C52" i="4"/>
  <c r="C55" i="3"/>
  <c r="B55" i="3"/>
  <c r="A55" i="3"/>
  <c r="F55" i="3"/>
  <c r="C62" i="4"/>
  <c r="A62" i="4"/>
  <c r="E62" i="4"/>
  <c r="D62" i="4"/>
  <c r="B62" i="4"/>
  <c r="F62" i="4"/>
  <c r="G62" i="4"/>
  <c r="C65" i="3"/>
  <c r="B65" i="3"/>
  <c r="A65" i="3"/>
  <c r="G65" i="3"/>
  <c r="F65" i="3"/>
  <c r="D72" i="4"/>
  <c r="E72" i="4"/>
  <c r="F72" i="4"/>
  <c r="C72" i="4"/>
  <c r="B72" i="4"/>
  <c r="A72" i="4"/>
  <c r="G72" i="4"/>
  <c r="C75" i="3"/>
  <c r="B75" i="3"/>
  <c r="A75" i="3"/>
  <c r="G75" i="3"/>
  <c r="F75" i="3"/>
  <c r="D82" i="4"/>
  <c r="C82" i="4"/>
  <c r="A82" i="4"/>
  <c r="G82" i="4"/>
  <c r="E82" i="4"/>
  <c r="F82" i="4"/>
  <c r="B82" i="4"/>
  <c r="C85" i="3"/>
  <c r="B85" i="3"/>
  <c r="A85" i="3"/>
  <c r="G85" i="3"/>
  <c r="F85" i="3"/>
  <c r="D92" i="4"/>
  <c r="B92" i="4"/>
  <c r="E92" i="4"/>
  <c r="F92" i="4"/>
  <c r="A92" i="4"/>
  <c r="G92" i="4"/>
  <c r="C92" i="4"/>
  <c r="E95" i="3"/>
  <c r="D95" i="3"/>
  <c r="C95" i="3"/>
  <c r="B95" i="3"/>
  <c r="A95" i="3"/>
  <c r="D102" i="4"/>
  <c r="G102" i="4"/>
  <c r="B102" i="4"/>
  <c r="C102" i="4"/>
  <c r="A102" i="4"/>
  <c r="F102" i="4"/>
  <c r="E102" i="4"/>
  <c r="G105" i="3"/>
  <c r="F105" i="3"/>
  <c r="E105" i="3"/>
  <c r="D105" i="3"/>
  <c r="C105" i="3"/>
  <c r="B105" i="3"/>
  <c r="A105" i="3"/>
  <c r="D112" i="4"/>
  <c r="G112" i="4"/>
  <c r="E112" i="4"/>
  <c r="B112" i="4"/>
  <c r="F112" i="4"/>
  <c r="C112" i="4"/>
  <c r="A112" i="4"/>
  <c r="G115" i="3"/>
  <c r="E115" i="3"/>
  <c r="F115" i="3"/>
  <c r="D115" i="3"/>
  <c r="C115" i="3"/>
  <c r="B115" i="3"/>
  <c r="A115" i="3"/>
  <c r="D122" i="4"/>
  <c r="E122" i="4"/>
  <c r="G122" i="4"/>
  <c r="C122" i="4"/>
  <c r="A122" i="4"/>
  <c r="B122" i="4"/>
  <c r="F122" i="4"/>
  <c r="G125" i="3"/>
  <c r="E125" i="3"/>
  <c r="C125" i="3"/>
  <c r="F125" i="3"/>
  <c r="D125" i="3"/>
  <c r="B125" i="3"/>
  <c r="A125" i="3"/>
  <c r="D132" i="4"/>
  <c r="C132" i="4"/>
  <c r="B132" i="4"/>
  <c r="G132" i="4"/>
  <c r="F132" i="4"/>
  <c r="A132" i="4"/>
  <c r="E132" i="4"/>
  <c r="G135" i="3"/>
  <c r="E135" i="3"/>
  <c r="C135" i="3"/>
  <c r="F135" i="3"/>
  <c r="D135" i="3"/>
  <c r="B135" i="3"/>
  <c r="A135" i="3"/>
  <c r="D142" i="4"/>
  <c r="C142" i="4"/>
  <c r="F142" i="4"/>
  <c r="B142" i="4"/>
  <c r="G142" i="4"/>
  <c r="E142" i="4"/>
  <c r="A142" i="4"/>
  <c r="G145" i="3"/>
  <c r="E145" i="3"/>
  <c r="C145" i="3"/>
  <c r="F145" i="3"/>
  <c r="D145" i="3"/>
  <c r="B145" i="3"/>
  <c r="A145" i="3"/>
  <c r="A152" i="4"/>
  <c r="G152" i="4"/>
  <c r="C152" i="4"/>
  <c r="B152" i="4"/>
  <c r="F152" i="4"/>
  <c r="D152" i="4"/>
  <c r="E152" i="4"/>
  <c r="G155" i="3"/>
  <c r="E155" i="3"/>
  <c r="C155" i="3"/>
  <c r="F155" i="3"/>
  <c r="D155" i="3"/>
  <c r="B155" i="3"/>
  <c r="A155" i="3"/>
  <c r="A162" i="4"/>
  <c r="E162" i="4"/>
  <c r="B162" i="4"/>
  <c r="G162" i="4"/>
  <c r="D162" i="4"/>
  <c r="F162" i="4"/>
  <c r="C162" i="4"/>
  <c r="G165" i="3"/>
  <c r="E165" i="3"/>
  <c r="C165" i="3"/>
  <c r="F165" i="3"/>
  <c r="D165" i="3"/>
  <c r="B165" i="3"/>
  <c r="A165" i="3"/>
  <c r="A172" i="4"/>
  <c r="C172" i="4"/>
  <c r="F172" i="4"/>
  <c r="D172" i="4"/>
  <c r="E172" i="4"/>
  <c r="B172" i="4"/>
  <c r="G172" i="4"/>
  <c r="G175" i="3"/>
  <c r="E175" i="3"/>
  <c r="C175" i="3"/>
  <c r="F175" i="3"/>
  <c r="D175" i="3"/>
  <c r="B175" i="3"/>
  <c r="A175" i="3"/>
  <c r="A182" i="4"/>
  <c r="E182" i="4"/>
  <c r="F182" i="4"/>
  <c r="C182" i="4"/>
  <c r="G182" i="4"/>
  <c r="B182" i="4"/>
  <c r="D182" i="4"/>
  <c r="C185" i="3"/>
  <c r="B185" i="3"/>
  <c r="A185" i="3"/>
  <c r="E185" i="3"/>
  <c r="D185" i="3"/>
  <c r="G185" i="3"/>
  <c r="F185" i="3"/>
  <c r="A192" i="4"/>
  <c r="D192" i="4"/>
  <c r="G192" i="4"/>
  <c r="B192" i="4"/>
  <c r="E192" i="4"/>
  <c r="F192" i="4"/>
  <c r="C192" i="4"/>
  <c r="C195" i="3"/>
  <c r="B195" i="3"/>
  <c r="A195" i="3"/>
  <c r="G195" i="3"/>
  <c r="E195" i="3"/>
  <c r="F195" i="3"/>
  <c r="D195" i="3"/>
  <c r="A202" i="4"/>
  <c r="G202" i="4"/>
  <c r="C202" i="4"/>
  <c r="F202" i="4"/>
  <c r="D202" i="4"/>
  <c r="B202" i="4"/>
  <c r="E202" i="4"/>
  <c r="E5" i="3"/>
  <c r="D10" i="3"/>
  <c r="F17" i="3"/>
  <c r="A41" i="3"/>
  <c r="E43" i="3"/>
  <c r="C48" i="3"/>
  <c r="G50" i="3"/>
  <c r="B53" i="3"/>
  <c r="E55" i="3"/>
  <c r="B68" i="3"/>
  <c r="D75" i="3"/>
  <c r="F94" i="3"/>
  <c r="B101" i="3"/>
  <c r="G14" i="4"/>
  <c r="F7" i="4"/>
  <c r="E7" i="4"/>
  <c r="D7" i="4"/>
  <c r="C7" i="4"/>
  <c r="A7" i="4"/>
  <c r="G7" i="4"/>
  <c r="B7" i="4"/>
  <c r="A17" i="4"/>
  <c r="C17" i="4"/>
  <c r="B17" i="4"/>
  <c r="D17" i="4"/>
  <c r="G17" i="4"/>
  <c r="F17" i="4"/>
  <c r="E17" i="4"/>
  <c r="D77" i="4"/>
  <c r="A77" i="4"/>
  <c r="E77" i="4"/>
  <c r="C77" i="4"/>
  <c r="G77" i="4"/>
  <c r="B77" i="4"/>
  <c r="F77" i="4"/>
  <c r="G120" i="3"/>
  <c r="E120" i="3"/>
  <c r="F120" i="3"/>
  <c r="D120" i="3"/>
  <c r="C120" i="3"/>
  <c r="B120" i="3"/>
  <c r="A147" i="4"/>
  <c r="B147" i="4"/>
  <c r="D147" i="4"/>
  <c r="E147" i="4"/>
  <c r="G147" i="4"/>
  <c r="C147" i="4"/>
  <c r="F147" i="4"/>
  <c r="A197" i="4"/>
  <c r="C197" i="4"/>
  <c r="B197" i="4"/>
  <c r="G197" i="4"/>
  <c r="F197" i="4"/>
  <c r="D197" i="4"/>
  <c r="E197" i="4"/>
  <c r="E37" i="3"/>
  <c r="D37" i="3"/>
  <c r="C37" i="3"/>
  <c r="B37" i="3"/>
  <c r="A37" i="3"/>
  <c r="F114" i="4"/>
  <c r="E114" i="4"/>
  <c r="A114" i="4"/>
  <c r="D114" i="4"/>
  <c r="G114" i="4"/>
  <c r="B114" i="4"/>
  <c r="C114" i="4"/>
  <c r="C144" i="4"/>
  <c r="D144" i="4"/>
  <c r="A144" i="4"/>
  <c r="E144" i="4"/>
  <c r="G144" i="4"/>
  <c r="B144" i="4"/>
  <c r="F144" i="4"/>
  <c r="A157" i="3"/>
  <c r="G157" i="3"/>
  <c r="E157" i="3"/>
  <c r="C157" i="3"/>
  <c r="B157" i="3"/>
  <c r="F157" i="3"/>
  <c r="D157" i="3"/>
  <c r="G9" i="4"/>
  <c r="F9" i="4"/>
  <c r="E9" i="4"/>
  <c r="C9" i="4"/>
  <c r="A9" i="4"/>
  <c r="D9" i="4"/>
  <c r="B9" i="4"/>
  <c r="E12" i="3"/>
  <c r="D12" i="3"/>
  <c r="C12" i="3"/>
  <c r="B12" i="3"/>
  <c r="A12" i="3"/>
  <c r="A19" i="4"/>
  <c r="F19" i="4"/>
  <c r="G19" i="4"/>
  <c r="E19" i="4"/>
  <c r="D19" i="4"/>
  <c r="B19" i="4"/>
  <c r="C19" i="4"/>
  <c r="E22" i="3"/>
  <c r="D22" i="3"/>
  <c r="C22" i="3"/>
  <c r="B22" i="3"/>
  <c r="A22" i="3"/>
  <c r="A29" i="4"/>
  <c r="D29" i="4"/>
  <c r="C29" i="4"/>
  <c r="B29" i="4"/>
  <c r="F29" i="4"/>
  <c r="G29" i="4"/>
  <c r="E29" i="4"/>
  <c r="E32" i="3"/>
  <c r="D32" i="3"/>
  <c r="C32" i="3"/>
  <c r="B32" i="3"/>
  <c r="A32" i="3"/>
  <c r="A39" i="4"/>
  <c r="F39" i="4"/>
  <c r="C39" i="4"/>
  <c r="B39" i="4"/>
  <c r="E39" i="4"/>
  <c r="D39" i="4"/>
  <c r="G39" i="4"/>
  <c r="E42" i="3"/>
  <c r="D42" i="3"/>
  <c r="C42" i="3"/>
  <c r="B42" i="3"/>
  <c r="A42" i="3"/>
  <c r="A49" i="4"/>
  <c r="D49" i="4"/>
  <c r="C49" i="4"/>
  <c r="B49" i="4"/>
  <c r="F49" i="4"/>
  <c r="G49" i="4"/>
  <c r="E49" i="4"/>
  <c r="E52" i="3"/>
  <c r="D52" i="3"/>
  <c r="C52" i="3"/>
  <c r="B52" i="3"/>
  <c r="A52" i="3"/>
  <c r="E59" i="4"/>
  <c r="G59" i="4"/>
  <c r="F59" i="4"/>
  <c r="C59" i="4"/>
  <c r="B59" i="4"/>
  <c r="A59" i="4"/>
  <c r="D59" i="4"/>
  <c r="E62" i="3"/>
  <c r="D62" i="3"/>
  <c r="C62" i="3"/>
  <c r="B62" i="3"/>
  <c r="A62" i="3"/>
  <c r="E69" i="4"/>
  <c r="C69" i="4"/>
  <c r="A69" i="4"/>
  <c r="G69" i="4"/>
  <c r="F69" i="4"/>
  <c r="B69" i="4"/>
  <c r="D69" i="4"/>
  <c r="E72" i="3"/>
  <c r="D72" i="3"/>
  <c r="C72" i="3"/>
  <c r="B72" i="3"/>
  <c r="A72" i="3"/>
  <c r="F79" i="4"/>
  <c r="G79" i="4"/>
  <c r="E79" i="4"/>
  <c r="D79" i="4"/>
  <c r="B79" i="4"/>
  <c r="A79" i="4"/>
  <c r="C79" i="4"/>
  <c r="E82" i="3"/>
  <c r="D82" i="3"/>
  <c r="C82" i="3"/>
  <c r="B82" i="3"/>
  <c r="A82" i="3"/>
  <c r="F89" i="4"/>
  <c r="D89" i="4"/>
  <c r="B89" i="4"/>
  <c r="E89" i="4"/>
  <c r="G89" i="4"/>
  <c r="C89" i="4"/>
  <c r="A89" i="4"/>
  <c r="D92" i="3"/>
  <c r="F92" i="3"/>
  <c r="E92" i="3"/>
  <c r="C92" i="3"/>
  <c r="B92" i="3"/>
  <c r="A92" i="3"/>
  <c r="F99" i="4"/>
  <c r="D99" i="4"/>
  <c r="B99" i="4"/>
  <c r="C99" i="4"/>
  <c r="A99" i="4"/>
  <c r="G99" i="4"/>
  <c r="E99" i="4"/>
  <c r="A102" i="3"/>
  <c r="G102" i="3"/>
  <c r="E102" i="3"/>
  <c r="D102" i="3"/>
  <c r="C102" i="3"/>
  <c r="B102" i="3"/>
  <c r="F109" i="4"/>
  <c r="D109" i="4"/>
  <c r="E109" i="4"/>
  <c r="B109" i="4"/>
  <c r="A109" i="4"/>
  <c r="G109" i="4"/>
  <c r="C109" i="4"/>
  <c r="A112" i="3"/>
  <c r="G112" i="3"/>
  <c r="F112" i="3"/>
  <c r="E112" i="3"/>
  <c r="D112" i="3"/>
  <c r="C112" i="3"/>
  <c r="B112" i="3"/>
  <c r="F119" i="4"/>
  <c r="B119" i="4"/>
  <c r="G119" i="4"/>
  <c r="D119" i="4"/>
  <c r="C119" i="4"/>
  <c r="E119" i="4"/>
  <c r="A119" i="4"/>
  <c r="A122" i="3"/>
  <c r="G122" i="3"/>
  <c r="B122" i="3"/>
  <c r="E122" i="3"/>
  <c r="D122" i="3"/>
  <c r="C122" i="3"/>
  <c r="F129" i="4"/>
  <c r="A129" i="4"/>
  <c r="C129" i="4"/>
  <c r="G129" i="4"/>
  <c r="D129" i="4"/>
  <c r="E129" i="4"/>
  <c r="B129" i="4"/>
  <c r="A132" i="3"/>
  <c r="G132" i="3"/>
  <c r="E132" i="3"/>
  <c r="F132" i="3"/>
  <c r="D132" i="3"/>
  <c r="C132" i="3"/>
  <c r="B132" i="3"/>
  <c r="F139" i="4"/>
  <c r="E139" i="4"/>
  <c r="C139" i="4"/>
  <c r="A139" i="4"/>
  <c r="G139" i="4"/>
  <c r="D139" i="4"/>
  <c r="B139" i="4"/>
  <c r="A142" i="3"/>
  <c r="G142" i="3"/>
  <c r="E142" i="3"/>
  <c r="F142" i="3"/>
  <c r="D142" i="3"/>
  <c r="C142" i="3"/>
  <c r="B142" i="3"/>
  <c r="C149" i="4"/>
  <c r="E149" i="4"/>
  <c r="B149" i="4"/>
  <c r="A149" i="4"/>
  <c r="F149" i="4"/>
  <c r="G149" i="4"/>
  <c r="D149" i="4"/>
  <c r="A152" i="3"/>
  <c r="G152" i="3"/>
  <c r="E152" i="3"/>
  <c r="F152" i="3"/>
  <c r="D152" i="3"/>
  <c r="C152" i="3"/>
  <c r="B152" i="3"/>
  <c r="C159" i="4"/>
  <c r="A159" i="4"/>
  <c r="B159" i="4"/>
  <c r="D159" i="4"/>
  <c r="G159" i="4"/>
  <c r="E159" i="4"/>
  <c r="F159" i="4"/>
  <c r="A162" i="3"/>
  <c r="G162" i="3"/>
  <c r="E162" i="3"/>
  <c r="F162" i="3"/>
  <c r="D162" i="3"/>
  <c r="C162" i="3"/>
  <c r="B162" i="3"/>
  <c r="C169" i="4"/>
  <c r="A169" i="4"/>
  <c r="G169" i="4"/>
  <c r="B169" i="4"/>
  <c r="F169" i="4"/>
  <c r="D169" i="4"/>
  <c r="E169" i="4"/>
  <c r="A172" i="3"/>
  <c r="G172" i="3"/>
  <c r="E172" i="3"/>
  <c r="F172" i="3"/>
  <c r="D172" i="3"/>
  <c r="C172" i="3"/>
  <c r="C179" i="4"/>
  <c r="A179" i="4"/>
  <c r="E179" i="4"/>
  <c r="G179" i="4"/>
  <c r="B179" i="4"/>
  <c r="F179" i="4"/>
  <c r="D179" i="4"/>
  <c r="A182" i="3"/>
  <c r="G182" i="3"/>
  <c r="E182" i="3"/>
  <c r="F182" i="3"/>
  <c r="D182" i="3"/>
  <c r="C182" i="3"/>
  <c r="B182" i="3"/>
  <c r="C189" i="4"/>
  <c r="A189" i="4"/>
  <c r="B189" i="4"/>
  <c r="F189" i="4"/>
  <c r="E189" i="4"/>
  <c r="D189" i="4"/>
  <c r="G189" i="4"/>
  <c r="E192" i="3"/>
  <c r="D192" i="3"/>
  <c r="C192" i="3"/>
  <c r="A192" i="3"/>
  <c r="G192" i="3"/>
  <c r="F192" i="3"/>
  <c r="B192" i="3"/>
  <c r="C199" i="4"/>
  <c r="A199" i="4"/>
  <c r="E199" i="4"/>
  <c r="G199" i="4"/>
  <c r="F199" i="4"/>
  <c r="B199" i="4"/>
  <c r="D199" i="4"/>
  <c r="E202" i="3"/>
  <c r="D202" i="3"/>
  <c r="C202" i="3"/>
  <c r="A202" i="3"/>
  <c r="B202" i="3"/>
  <c r="G202" i="3"/>
  <c r="F202" i="3"/>
  <c r="G5" i="3"/>
  <c r="B8" i="3"/>
  <c r="E10" i="3"/>
  <c r="D15" i="3"/>
  <c r="F22" i="3"/>
  <c r="A34" i="3"/>
  <c r="C41" i="3"/>
  <c r="A46" i="3"/>
  <c r="E48" i="3"/>
  <c r="C53" i="3"/>
  <c r="G55" i="3"/>
  <c r="B58" i="3"/>
  <c r="A61" i="3"/>
  <c r="C68" i="3"/>
  <c r="E75" i="3"/>
  <c r="G82" i="3"/>
  <c r="A90" i="3"/>
  <c r="G94" i="3"/>
  <c r="C101" i="3"/>
  <c r="G111" i="3"/>
  <c r="F144" i="3"/>
  <c r="B180" i="3"/>
  <c r="C80" i="3"/>
  <c r="B80" i="3"/>
  <c r="A80" i="3"/>
  <c r="G80" i="3"/>
  <c r="F80" i="3"/>
  <c r="C100" i="3"/>
  <c r="B100" i="3"/>
  <c r="G100" i="3"/>
  <c r="F100" i="3"/>
  <c r="E100" i="3"/>
  <c r="D100" i="3"/>
  <c r="A100" i="3"/>
  <c r="D107" i="4"/>
  <c r="C107" i="4"/>
  <c r="B107" i="4"/>
  <c r="F107" i="4"/>
  <c r="E107" i="4"/>
  <c r="A107" i="4"/>
  <c r="G107" i="4"/>
  <c r="D117" i="4"/>
  <c r="C117" i="4"/>
  <c r="G117" i="4"/>
  <c r="E117" i="4"/>
  <c r="B117" i="4"/>
  <c r="F117" i="4"/>
  <c r="A117" i="4"/>
  <c r="A167" i="4"/>
  <c r="B167" i="4"/>
  <c r="E167" i="4"/>
  <c r="D167" i="4"/>
  <c r="G167" i="4"/>
  <c r="C167" i="4"/>
  <c r="F167" i="4"/>
  <c r="E57" i="3"/>
  <c r="D57" i="3"/>
  <c r="C57" i="3"/>
  <c r="B57" i="3"/>
  <c r="A57" i="3"/>
  <c r="A107" i="3"/>
  <c r="E107" i="3"/>
  <c r="D107" i="3"/>
  <c r="C107" i="3"/>
  <c r="B107" i="3"/>
  <c r="G107" i="3"/>
  <c r="F107" i="3"/>
  <c r="F124" i="4"/>
  <c r="E124" i="4"/>
  <c r="G124" i="4"/>
  <c r="C124" i="4"/>
  <c r="D124" i="4"/>
  <c r="A124" i="4"/>
  <c r="B124" i="4"/>
  <c r="E187" i="3"/>
  <c r="D187" i="3"/>
  <c r="C187" i="3"/>
  <c r="A187" i="3"/>
  <c r="G187" i="3"/>
  <c r="B187" i="3"/>
  <c r="F187" i="3"/>
  <c r="G6" i="4"/>
  <c r="E6" i="4"/>
  <c r="C6" i="4"/>
  <c r="D6" i="4"/>
  <c r="F6" i="4"/>
  <c r="A6" i="4"/>
  <c r="B6" i="4"/>
  <c r="G9" i="3"/>
  <c r="F9" i="3"/>
  <c r="E9" i="3"/>
  <c r="D9" i="3"/>
  <c r="C9" i="3"/>
  <c r="B9" i="3"/>
  <c r="C16" i="4"/>
  <c r="D16" i="4"/>
  <c r="E16" i="4"/>
  <c r="F16" i="4"/>
  <c r="G16" i="4"/>
  <c r="A16" i="4"/>
  <c r="B16" i="4"/>
  <c r="G19" i="3"/>
  <c r="F19" i="3"/>
  <c r="E19" i="3"/>
  <c r="D19" i="3"/>
  <c r="C19" i="3"/>
  <c r="B19" i="3"/>
  <c r="C26" i="4"/>
  <c r="A26" i="4"/>
  <c r="E26" i="4"/>
  <c r="D26" i="4"/>
  <c r="B26" i="4"/>
  <c r="G26" i="4"/>
  <c r="F26" i="4"/>
  <c r="G29" i="3"/>
  <c r="F29" i="3"/>
  <c r="E29" i="3"/>
  <c r="D29" i="3"/>
  <c r="C29" i="3"/>
  <c r="B29" i="3"/>
  <c r="C36" i="4"/>
  <c r="A36" i="4"/>
  <c r="D36" i="4"/>
  <c r="B36" i="4"/>
  <c r="G36" i="4"/>
  <c r="F36" i="4"/>
  <c r="E36" i="4"/>
  <c r="G39" i="3"/>
  <c r="F39" i="3"/>
  <c r="E39" i="3"/>
  <c r="D39" i="3"/>
  <c r="C39" i="3"/>
  <c r="B39" i="3"/>
  <c r="C46" i="4"/>
  <c r="A46" i="4"/>
  <c r="B46" i="4"/>
  <c r="G46" i="4"/>
  <c r="F46" i="4"/>
  <c r="E46" i="4"/>
  <c r="D46" i="4"/>
  <c r="G49" i="3"/>
  <c r="F49" i="3"/>
  <c r="E49" i="3"/>
  <c r="D49" i="3"/>
  <c r="C49" i="3"/>
  <c r="B49" i="3"/>
  <c r="G56" i="4"/>
  <c r="E56" i="4"/>
  <c r="B56" i="4"/>
  <c r="A56" i="4"/>
  <c r="D56" i="4"/>
  <c r="C56" i="4"/>
  <c r="F56" i="4"/>
  <c r="G59" i="3"/>
  <c r="F59" i="3"/>
  <c r="E59" i="3"/>
  <c r="D59" i="3"/>
  <c r="C59" i="3"/>
  <c r="B59" i="3"/>
  <c r="A59" i="3"/>
  <c r="G66" i="4"/>
  <c r="A66" i="4"/>
  <c r="B66" i="4"/>
  <c r="E66" i="4"/>
  <c r="F66" i="4"/>
  <c r="D66" i="4"/>
  <c r="C66" i="4"/>
  <c r="G69" i="3"/>
  <c r="F69" i="3"/>
  <c r="E69" i="3"/>
  <c r="D69" i="3"/>
  <c r="C69" i="3"/>
  <c r="B69" i="3"/>
  <c r="A69" i="3"/>
  <c r="D76" i="4"/>
  <c r="A76" i="4"/>
  <c r="C76" i="4"/>
  <c r="B76" i="4"/>
  <c r="G76" i="4"/>
  <c r="F76" i="4"/>
  <c r="E76" i="4"/>
  <c r="G79" i="3"/>
  <c r="F79" i="3"/>
  <c r="E79" i="3"/>
  <c r="D79" i="3"/>
  <c r="C79" i="3"/>
  <c r="B79" i="3"/>
  <c r="A79" i="3"/>
  <c r="F86" i="4"/>
  <c r="B86" i="4"/>
  <c r="E86" i="4"/>
  <c r="D86" i="4"/>
  <c r="A86" i="4"/>
  <c r="G86" i="4"/>
  <c r="C86" i="4"/>
  <c r="D89" i="3"/>
  <c r="A89" i="3"/>
  <c r="G89" i="3"/>
  <c r="F89" i="3"/>
  <c r="E89" i="3"/>
  <c r="B96" i="4"/>
  <c r="E96" i="4"/>
  <c r="C96" i="4"/>
  <c r="G96" i="4"/>
  <c r="F96" i="4"/>
  <c r="A96" i="4"/>
  <c r="D96" i="4"/>
  <c r="C99" i="3"/>
  <c r="B99" i="3"/>
  <c r="E99" i="3"/>
  <c r="D99" i="3"/>
  <c r="G99" i="3"/>
  <c r="F99" i="3"/>
  <c r="A99" i="3"/>
  <c r="F106" i="4"/>
  <c r="B106" i="4"/>
  <c r="E106" i="4"/>
  <c r="G106" i="4"/>
  <c r="C106" i="4"/>
  <c r="D106" i="4"/>
  <c r="A106" i="4"/>
  <c r="C109" i="3"/>
  <c r="B109" i="3"/>
  <c r="A109" i="3"/>
  <c r="G109" i="3"/>
  <c r="F109" i="3"/>
  <c r="E109" i="3"/>
  <c r="D109" i="3"/>
  <c r="F116" i="4"/>
  <c r="G116" i="4"/>
  <c r="D116" i="4"/>
  <c r="E116" i="4"/>
  <c r="B116" i="4"/>
  <c r="C116" i="4"/>
  <c r="A116" i="4"/>
  <c r="C119" i="3"/>
  <c r="B119" i="3"/>
  <c r="A119" i="3"/>
  <c r="G119" i="3"/>
  <c r="F119" i="3"/>
  <c r="E119" i="3"/>
  <c r="D119" i="3"/>
  <c r="E126" i="4"/>
  <c r="A126" i="4"/>
  <c r="G126" i="4"/>
  <c r="D126" i="4"/>
  <c r="F126" i="4"/>
  <c r="B126" i="4"/>
  <c r="C126" i="4"/>
  <c r="C129" i="3"/>
  <c r="B129" i="3"/>
  <c r="A129" i="3"/>
  <c r="G129" i="3"/>
  <c r="F129" i="3"/>
  <c r="E129" i="3"/>
  <c r="C136" i="4"/>
  <c r="A136" i="4"/>
  <c r="F136" i="4"/>
  <c r="D136" i="4"/>
  <c r="G136" i="4"/>
  <c r="B136" i="4"/>
  <c r="E136" i="4"/>
  <c r="C139" i="3"/>
  <c r="B139" i="3"/>
  <c r="A139" i="3"/>
  <c r="G139" i="3"/>
  <c r="F139" i="3"/>
  <c r="E139" i="3"/>
  <c r="D139" i="3"/>
  <c r="E146" i="4"/>
  <c r="B146" i="4"/>
  <c r="A146" i="4"/>
  <c r="G146" i="4"/>
  <c r="D146" i="4"/>
  <c r="F146" i="4"/>
  <c r="C146" i="4"/>
  <c r="C149" i="3"/>
  <c r="B149" i="3"/>
  <c r="A149" i="3"/>
  <c r="G149" i="3"/>
  <c r="F149" i="3"/>
  <c r="E149" i="3"/>
  <c r="D149" i="3"/>
  <c r="E156" i="4"/>
  <c r="C156" i="4"/>
  <c r="A156" i="4"/>
  <c r="B156" i="4"/>
  <c r="F156" i="4"/>
  <c r="D156" i="4"/>
  <c r="G156" i="4"/>
  <c r="C159" i="3"/>
  <c r="B159" i="3"/>
  <c r="A159" i="3"/>
  <c r="G159" i="3"/>
  <c r="F159" i="3"/>
  <c r="E159" i="3"/>
  <c r="D159" i="3"/>
  <c r="E166" i="4"/>
  <c r="C166" i="4"/>
  <c r="A166" i="4"/>
  <c r="D166" i="4"/>
  <c r="G166" i="4"/>
  <c r="F166" i="4"/>
  <c r="B166" i="4"/>
  <c r="C169" i="3"/>
  <c r="B169" i="3"/>
  <c r="A169" i="3"/>
  <c r="G169" i="3"/>
  <c r="F169" i="3"/>
  <c r="E169" i="3"/>
  <c r="D169" i="3"/>
  <c r="E176" i="4"/>
  <c r="C176" i="4"/>
  <c r="B176" i="4"/>
  <c r="F176" i="4"/>
  <c r="A176" i="4"/>
  <c r="D176" i="4"/>
  <c r="G176" i="4"/>
  <c r="C179" i="3"/>
  <c r="B179" i="3"/>
  <c r="A179" i="3"/>
  <c r="G179" i="3"/>
  <c r="F179" i="3"/>
  <c r="E179" i="3"/>
  <c r="E186" i="4"/>
  <c r="C186" i="4"/>
  <c r="G186" i="4"/>
  <c r="A186" i="4"/>
  <c r="B186" i="4"/>
  <c r="F186" i="4"/>
  <c r="D186" i="4"/>
  <c r="G189" i="3"/>
  <c r="F189" i="3"/>
  <c r="E189" i="3"/>
  <c r="C189" i="3"/>
  <c r="D189" i="3"/>
  <c r="A189" i="3"/>
  <c r="E196" i="4"/>
  <c r="C196" i="4"/>
  <c r="D196" i="4"/>
  <c r="B196" i="4"/>
  <c r="G196" i="4"/>
  <c r="F196" i="4"/>
  <c r="A196" i="4"/>
  <c r="G199" i="3"/>
  <c r="F199" i="3"/>
  <c r="E199" i="3"/>
  <c r="C199" i="3"/>
  <c r="D199" i="3"/>
  <c r="A199" i="3"/>
  <c r="B199" i="3"/>
  <c r="C8" i="3"/>
  <c r="G10" i="3"/>
  <c r="B13" i="3"/>
  <c r="E15" i="3"/>
  <c r="G22" i="3"/>
  <c r="F27" i="3"/>
  <c r="A39" i="3"/>
  <c r="A51" i="3"/>
  <c r="E53" i="3"/>
  <c r="C58" i="3"/>
  <c r="D65" i="3"/>
  <c r="F72" i="3"/>
  <c r="B83" i="3"/>
  <c r="F95" i="3"/>
  <c r="F102" i="3"/>
  <c r="D129" i="3"/>
  <c r="B183" i="3"/>
  <c r="C20" i="3"/>
  <c r="B20" i="3"/>
  <c r="A20" i="3"/>
  <c r="F20" i="3"/>
  <c r="C40" i="3"/>
  <c r="B40" i="3"/>
  <c r="A40" i="3"/>
  <c r="F40" i="3"/>
  <c r="C57" i="4"/>
  <c r="E57" i="4"/>
  <c r="B57" i="4"/>
  <c r="F57" i="4"/>
  <c r="D57" i="4"/>
  <c r="A57" i="4"/>
  <c r="G57" i="4"/>
  <c r="G160" i="3"/>
  <c r="E160" i="3"/>
  <c r="C160" i="3"/>
  <c r="A160" i="3"/>
  <c r="F160" i="3"/>
  <c r="D160" i="3"/>
  <c r="B160" i="3"/>
  <c r="C190" i="3"/>
  <c r="B190" i="3"/>
  <c r="A190" i="3"/>
  <c r="G190" i="3"/>
  <c r="F190" i="3"/>
  <c r="E190" i="3"/>
  <c r="D190" i="3"/>
  <c r="E17" i="3"/>
  <c r="D17" i="3"/>
  <c r="C17" i="3"/>
  <c r="B17" i="3"/>
  <c r="A17" i="3"/>
  <c r="E47" i="3"/>
  <c r="D47" i="3"/>
  <c r="C47" i="3"/>
  <c r="B47" i="3"/>
  <c r="A47" i="3"/>
  <c r="E77" i="3"/>
  <c r="D77" i="3"/>
  <c r="C77" i="3"/>
  <c r="B77" i="3"/>
  <c r="A77" i="3"/>
  <c r="F104" i="4"/>
  <c r="A104" i="4"/>
  <c r="E104" i="4"/>
  <c r="G104" i="4"/>
  <c r="D104" i="4"/>
  <c r="C104" i="4"/>
  <c r="B104" i="4"/>
  <c r="A147" i="3"/>
  <c r="G147" i="3"/>
  <c r="E147" i="3"/>
  <c r="C147" i="3"/>
  <c r="B147" i="3"/>
  <c r="D147" i="3"/>
  <c r="A167" i="3"/>
  <c r="G167" i="3"/>
  <c r="E167" i="3"/>
  <c r="C167" i="3"/>
  <c r="B167" i="3"/>
  <c r="F167" i="3"/>
  <c r="D167" i="3"/>
  <c r="E197" i="3"/>
  <c r="D197" i="3"/>
  <c r="C197" i="3"/>
  <c r="A197" i="3"/>
  <c r="B197" i="3"/>
  <c r="G197" i="3"/>
  <c r="F197" i="3"/>
  <c r="G6" i="3"/>
  <c r="F6" i="3"/>
  <c r="E6" i="3"/>
  <c r="D6" i="3"/>
  <c r="B6" i="3"/>
  <c r="E13" i="4"/>
  <c r="G13" i="4"/>
  <c r="F13" i="4"/>
  <c r="D13" i="4"/>
  <c r="B13" i="4"/>
  <c r="C13" i="4"/>
  <c r="A13" i="4"/>
  <c r="G16" i="3"/>
  <c r="F16" i="3"/>
  <c r="E16" i="3"/>
  <c r="D16" i="3"/>
  <c r="B16" i="3"/>
  <c r="E23" i="4"/>
  <c r="F23" i="4"/>
  <c r="D23" i="4"/>
  <c r="C23" i="4"/>
  <c r="B23" i="4"/>
  <c r="G23" i="4"/>
  <c r="A23" i="4"/>
  <c r="G26" i="3"/>
  <c r="F26" i="3"/>
  <c r="E26" i="3"/>
  <c r="D26" i="3"/>
  <c r="B26" i="3"/>
  <c r="E33" i="4"/>
  <c r="C33" i="4"/>
  <c r="B33" i="4"/>
  <c r="D33" i="4"/>
  <c r="A33" i="4"/>
  <c r="G33" i="4"/>
  <c r="F33" i="4"/>
  <c r="G36" i="3"/>
  <c r="F36" i="3"/>
  <c r="E36" i="3"/>
  <c r="D36" i="3"/>
  <c r="B36" i="3"/>
  <c r="E43" i="4"/>
  <c r="C43" i="4"/>
  <c r="B43" i="4"/>
  <c r="A43" i="4"/>
  <c r="G43" i="4"/>
  <c r="F43" i="4"/>
  <c r="D43" i="4"/>
  <c r="G46" i="3"/>
  <c r="F46" i="3"/>
  <c r="E46" i="3"/>
  <c r="D46" i="3"/>
  <c r="B46" i="3"/>
  <c r="E53" i="4"/>
  <c r="C53" i="4"/>
  <c r="G53" i="4"/>
  <c r="F53" i="4"/>
  <c r="D53" i="4"/>
  <c r="A53" i="4"/>
  <c r="B53" i="4"/>
  <c r="G56" i="3"/>
  <c r="F56" i="3"/>
  <c r="E56" i="3"/>
  <c r="D56" i="3"/>
  <c r="B56" i="3"/>
  <c r="G63" i="4"/>
  <c r="F63" i="4"/>
  <c r="E63" i="4"/>
  <c r="D63" i="4"/>
  <c r="C63" i="4"/>
  <c r="A63" i="4"/>
  <c r="B63" i="4"/>
  <c r="G66" i="3"/>
  <c r="F66" i="3"/>
  <c r="E66" i="3"/>
  <c r="D66" i="3"/>
  <c r="C66" i="3"/>
  <c r="B66" i="3"/>
  <c r="B73" i="4"/>
  <c r="F73" i="4"/>
  <c r="D73" i="4"/>
  <c r="G73" i="4"/>
  <c r="E73" i="4"/>
  <c r="A73" i="4"/>
  <c r="C73" i="4"/>
  <c r="G76" i="3"/>
  <c r="F76" i="3"/>
  <c r="E76" i="3"/>
  <c r="D76" i="3"/>
  <c r="C76" i="3"/>
  <c r="B76" i="3"/>
  <c r="F83" i="4"/>
  <c r="B83" i="4"/>
  <c r="E83" i="4"/>
  <c r="G83" i="4"/>
  <c r="C83" i="4"/>
  <c r="D83" i="4"/>
  <c r="A83" i="4"/>
  <c r="F86" i="3"/>
  <c r="G86" i="3"/>
  <c r="E86" i="3"/>
  <c r="D86" i="3"/>
  <c r="C86" i="3"/>
  <c r="B86" i="3"/>
  <c r="G93" i="4"/>
  <c r="C93" i="4"/>
  <c r="E93" i="4"/>
  <c r="A93" i="4"/>
  <c r="F93" i="4"/>
  <c r="B93" i="4"/>
  <c r="D93" i="4"/>
  <c r="E96" i="3"/>
  <c r="D96" i="3"/>
  <c r="F96" i="3"/>
  <c r="G96" i="3"/>
  <c r="C96" i="3"/>
  <c r="B96" i="3"/>
  <c r="A96" i="3"/>
  <c r="D103" i="4"/>
  <c r="A103" i="4"/>
  <c r="F103" i="4"/>
  <c r="C103" i="4"/>
  <c r="G103" i="4"/>
  <c r="E103" i="4"/>
  <c r="B103" i="4"/>
  <c r="E106" i="3"/>
  <c r="D106" i="3"/>
  <c r="G106" i="3"/>
  <c r="F106" i="3"/>
  <c r="C106" i="3"/>
  <c r="B106" i="3"/>
  <c r="A106" i="3"/>
  <c r="D113" i="4"/>
  <c r="G113" i="4"/>
  <c r="E113" i="4"/>
  <c r="C113" i="4"/>
  <c r="F113" i="4"/>
  <c r="B113" i="4"/>
  <c r="A113" i="4"/>
  <c r="E116" i="3"/>
  <c r="D116" i="3"/>
  <c r="C116" i="3"/>
  <c r="A116" i="3"/>
  <c r="G116" i="3"/>
  <c r="F116" i="3"/>
  <c r="B116" i="3"/>
  <c r="B123" i="4"/>
  <c r="F123" i="4"/>
  <c r="D123" i="4"/>
  <c r="G123" i="4"/>
  <c r="C123" i="4"/>
  <c r="E123" i="4"/>
  <c r="A123" i="4"/>
  <c r="E126" i="3"/>
  <c r="D126" i="3"/>
  <c r="C126" i="3"/>
  <c r="A126" i="3"/>
  <c r="G126" i="3"/>
  <c r="F126" i="3"/>
  <c r="A133" i="4"/>
  <c r="F133" i="4"/>
  <c r="B133" i="4"/>
  <c r="C133" i="4"/>
  <c r="E133" i="4"/>
  <c r="G133" i="4"/>
  <c r="D133" i="4"/>
  <c r="E136" i="3"/>
  <c r="D136" i="3"/>
  <c r="C136" i="3"/>
  <c r="A136" i="3"/>
  <c r="G136" i="3"/>
  <c r="B136" i="3"/>
  <c r="G143" i="4"/>
  <c r="E143" i="4"/>
  <c r="B143" i="4"/>
  <c r="A143" i="4"/>
  <c r="F143" i="4"/>
  <c r="C143" i="4"/>
  <c r="D143" i="4"/>
  <c r="E146" i="3"/>
  <c r="D146" i="3"/>
  <c r="C146" i="3"/>
  <c r="A146" i="3"/>
  <c r="G146" i="3"/>
  <c r="F146" i="3"/>
  <c r="B146" i="3"/>
  <c r="G153" i="4"/>
  <c r="E153" i="4"/>
  <c r="F153" i="4"/>
  <c r="B153" i="4"/>
  <c r="D153" i="4"/>
  <c r="A153" i="4"/>
  <c r="C153" i="4"/>
  <c r="E156" i="3"/>
  <c r="D156" i="3"/>
  <c r="C156" i="3"/>
  <c r="A156" i="3"/>
  <c r="G156" i="3"/>
  <c r="F156" i="3"/>
  <c r="B156" i="3"/>
  <c r="G163" i="4"/>
  <c r="E163" i="4"/>
  <c r="C163" i="4"/>
  <c r="A163" i="4"/>
  <c r="B163" i="4"/>
  <c r="D163" i="4"/>
  <c r="F163" i="4"/>
  <c r="E166" i="3"/>
  <c r="D166" i="3"/>
  <c r="C166" i="3"/>
  <c r="A166" i="3"/>
  <c r="G166" i="3"/>
  <c r="F166" i="3"/>
  <c r="B166" i="3"/>
  <c r="G173" i="4"/>
  <c r="E173" i="4"/>
  <c r="A173" i="4"/>
  <c r="D173" i="4"/>
  <c r="F173" i="4"/>
  <c r="B173" i="4"/>
  <c r="C173" i="4"/>
  <c r="E176" i="3"/>
  <c r="D176" i="3"/>
  <c r="C176" i="3"/>
  <c r="A176" i="3"/>
  <c r="G176" i="3"/>
  <c r="F176" i="3"/>
  <c r="G183" i="4"/>
  <c r="E183" i="4"/>
  <c r="F183" i="4"/>
  <c r="C183" i="4"/>
  <c r="A183" i="4"/>
  <c r="D183" i="4"/>
  <c r="B183" i="4"/>
  <c r="G186" i="3"/>
  <c r="E186" i="3"/>
  <c r="F186" i="3"/>
  <c r="D186" i="3"/>
  <c r="C186" i="3"/>
  <c r="A186" i="3"/>
  <c r="B186" i="3"/>
  <c r="G193" i="4"/>
  <c r="E193" i="4"/>
  <c r="D193" i="4"/>
  <c r="F193" i="4"/>
  <c r="B193" i="4"/>
  <c r="C193" i="4"/>
  <c r="A193" i="4"/>
  <c r="G196" i="3"/>
  <c r="E196" i="3"/>
  <c r="A196" i="3"/>
  <c r="F196" i="3"/>
  <c r="C196" i="3"/>
  <c r="B196" i="3"/>
  <c r="D196" i="3"/>
  <c r="G203" i="4"/>
  <c r="E203" i="4"/>
  <c r="F203" i="4"/>
  <c r="C203" i="4"/>
  <c r="A203" i="4"/>
  <c r="D203" i="4"/>
  <c r="B203" i="4"/>
  <c r="A6" i="3"/>
  <c r="E8" i="3"/>
  <c r="C13" i="3"/>
  <c r="G15" i="3"/>
  <c r="B18" i="3"/>
  <c r="E20" i="3"/>
  <c r="D25" i="3"/>
  <c r="G27" i="3"/>
  <c r="F32" i="3"/>
  <c r="A44" i="3"/>
  <c r="C51" i="3"/>
  <c r="A56" i="3"/>
  <c r="E58" i="3"/>
  <c r="E65" i="3"/>
  <c r="G72" i="3"/>
  <c r="A76" i="3"/>
  <c r="C83" i="3"/>
  <c r="G95" i="3"/>
  <c r="B130" i="3"/>
  <c r="D183" i="3"/>
  <c r="B52" i="4"/>
  <c r="C19" i="1" l="1"/>
  <c r="M173" i="4"/>
  <c r="N173" i="4"/>
  <c r="L173" i="4"/>
  <c r="H173" i="4"/>
  <c r="I173" i="4"/>
  <c r="K173" i="4"/>
  <c r="J173" i="4"/>
  <c r="N153" i="4"/>
  <c r="J153" i="4"/>
  <c r="M153" i="4"/>
  <c r="H153" i="4"/>
  <c r="K153" i="4"/>
  <c r="L153" i="4"/>
  <c r="I153" i="4"/>
  <c r="J93" i="4"/>
  <c r="K93" i="4"/>
  <c r="I93" i="4"/>
  <c r="N93" i="4"/>
  <c r="M93" i="4"/>
  <c r="H93" i="4"/>
  <c r="L93" i="4"/>
  <c r="N96" i="3"/>
  <c r="I96" i="3"/>
  <c r="H96" i="3"/>
  <c r="J96" i="3"/>
  <c r="M96" i="3"/>
  <c r="L96" i="3"/>
  <c r="K96" i="3"/>
  <c r="N163" i="4"/>
  <c r="M163" i="4"/>
  <c r="I163" i="4"/>
  <c r="L163" i="4"/>
  <c r="J163" i="4"/>
  <c r="H163" i="4"/>
  <c r="K163" i="4"/>
  <c r="K143" i="4"/>
  <c r="J143" i="4"/>
  <c r="N143" i="4"/>
  <c r="H143" i="4"/>
  <c r="L143" i="4"/>
  <c r="I143" i="4"/>
  <c r="M143" i="4"/>
  <c r="J103" i="4"/>
  <c r="K103" i="4"/>
  <c r="H103" i="4"/>
  <c r="N103" i="4"/>
  <c r="M103" i="4"/>
  <c r="L103" i="4"/>
  <c r="I103" i="4"/>
  <c r="I56" i="3"/>
  <c r="H56" i="3"/>
  <c r="N56" i="3"/>
  <c r="L56" i="3"/>
  <c r="M56" i="3"/>
  <c r="K56" i="3"/>
  <c r="J56" i="3"/>
  <c r="I6" i="3"/>
  <c r="H6" i="3"/>
  <c r="N6" i="3"/>
  <c r="L6" i="3"/>
  <c r="M6" i="3"/>
  <c r="K6" i="3"/>
  <c r="J6" i="3"/>
  <c r="K147" i="3"/>
  <c r="J147" i="3"/>
  <c r="I147" i="3"/>
  <c r="N147" i="3"/>
  <c r="M147" i="3"/>
  <c r="L147" i="3"/>
  <c r="H147" i="3"/>
  <c r="M40" i="3"/>
  <c r="L40" i="3"/>
  <c r="K40" i="3"/>
  <c r="J40" i="3"/>
  <c r="I40" i="3"/>
  <c r="H40" i="3"/>
  <c r="N40" i="3"/>
  <c r="K83" i="3"/>
  <c r="J83" i="3"/>
  <c r="I83" i="3"/>
  <c r="H83" i="3"/>
  <c r="N83" i="3"/>
  <c r="M83" i="3"/>
  <c r="L83" i="3"/>
  <c r="K13" i="3"/>
  <c r="J13" i="3"/>
  <c r="I13" i="3"/>
  <c r="H13" i="3"/>
  <c r="N13" i="3"/>
  <c r="L13" i="3"/>
  <c r="M13" i="3"/>
  <c r="M176" i="4"/>
  <c r="I176" i="4"/>
  <c r="N176" i="4"/>
  <c r="K176" i="4"/>
  <c r="L176" i="4"/>
  <c r="J176" i="4"/>
  <c r="H176" i="4"/>
  <c r="M166" i="4"/>
  <c r="K166" i="4"/>
  <c r="L166" i="4"/>
  <c r="I166" i="4"/>
  <c r="N166" i="4"/>
  <c r="J166" i="4"/>
  <c r="H166" i="4"/>
  <c r="M139" i="3"/>
  <c r="L139" i="3"/>
  <c r="K139" i="3"/>
  <c r="I139" i="3"/>
  <c r="N139" i="3"/>
  <c r="J139" i="3"/>
  <c r="H139" i="3"/>
  <c r="M36" i="4"/>
  <c r="K36" i="4"/>
  <c r="J36" i="4"/>
  <c r="L36" i="4"/>
  <c r="I36" i="4"/>
  <c r="H36" i="4"/>
  <c r="N36" i="4"/>
  <c r="N9" i="3"/>
  <c r="M9" i="3"/>
  <c r="L9" i="3"/>
  <c r="J9" i="3"/>
  <c r="K9" i="3"/>
  <c r="I9" i="3"/>
  <c r="H9" i="3"/>
  <c r="J124" i="4"/>
  <c r="L124" i="4"/>
  <c r="M124" i="4"/>
  <c r="I124" i="4"/>
  <c r="H124" i="4"/>
  <c r="N124" i="4"/>
  <c r="K124" i="4"/>
  <c r="M80" i="3"/>
  <c r="L80" i="3"/>
  <c r="K80" i="3"/>
  <c r="J80" i="3"/>
  <c r="I80" i="3"/>
  <c r="H80" i="3"/>
  <c r="N80" i="3"/>
  <c r="M159" i="4"/>
  <c r="K159" i="4"/>
  <c r="I159" i="4"/>
  <c r="H159" i="4"/>
  <c r="L159" i="4"/>
  <c r="J159" i="4"/>
  <c r="N159" i="4"/>
  <c r="I22" i="4"/>
  <c r="H22" i="4"/>
  <c r="N22" i="4"/>
  <c r="L22" i="4"/>
  <c r="J22" i="4"/>
  <c r="K22" i="4"/>
  <c r="M22" i="4"/>
  <c r="M194" i="4"/>
  <c r="K194" i="4"/>
  <c r="L194" i="4"/>
  <c r="N194" i="4"/>
  <c r="J194" i="4"/>
  <c r="I194" i="4"/>
  <c r="H194" i="4"/>
  <c r="K117" i="3"/>
  <c r="J117" i="3"/>
  <c r="I117" i="3"/>
  <c r="N117" i="3"/>
  <c r="M117" i="3"/>
  <c r="L117" i="3"/>
  <c r="H117" i="3"/>
  <c r="J90" i="3"/>
  <c r="I90" i="3"/>
  <c r="H90" i="3"/>
  <c r="N90" i="3"/>
  <c r="M90" i="3"/>
  <c r="L90" i="3"/>
  <c r="K90" i="3"/>
  <c r="K48" i="3"/>
  <c r="J48" i="3"/>
  <c r="I48" i="3"/>
  <c r="H48" i="3"/>
  <c r="N48" i="3"/>
  <c r="M48" i="3"/>
  <c r="L48" i="3"/>
  <c r="L125" i="4"/>
  <c r="M125" i="4"/>
  <c r="K125" i="4"/>
  <c r="J125" i="4"/>
  <c r="H125" i="4"/>
  <c r="I125" i="4"/>
  <c r="N125" i="4"/>
  <c r="L95" i="4"/>
  <c r="K95" i="4"/>
  <c r="M95" i="4"/>
  <c r="N95" i="4"/>
  <c r="I95" i="4"/>
  <c r="H95" i="4"/>
  <c r="J95" i="4"/>
  <c r="M15" i="4"/>
  <c r="N15" i="4"/>
  <c r="L15" i="4"/>
  <c r="K15" i="4"/>
  <c r="J15" i="4"/>
  <c r="H15" i="4"/>
  <c r="I15" i="4"/>
  <c r="N5" i="4"/>
  <c r="M5" i="4"/>
  <c r="L5" i="4"/>
  <c r="K5" i="4"/>
  <c r="I5" i="4"/>
  <c r="J5" i="4"/>
  <c r="H5" i="4"/>
  <c r="N27" i="3"/>
  <c r="M27" i="3"/>
  <c r="L27" i="3"/>
  <c r="K27" i="3"/>
  <c r="J27" i="3"/>
  <c r="H27" i="3"/>
  <c r="I27" i="3"/>
  <c r="J138" i="4"/>
  <c r="H138" i="4"/>
  <c r="K138" i="4"/>
  <c r="I138" i="4"/>
  <c r="N138" i="4"/>
  <c r="L138" i="4"/>
  <c r="M138" i="4"/>
  <c r="I58" i="4"/>
  <c r="M58" i="4"/>
  <c r="K58" i="4"/>
  <c r="L58" i="4"/>
  <c r="J58" i="4"/>
  <c r="N58" i="4"/>
  <c r="H58" i="4"/>
  <c r="L8" i="4"/>
  <c r="K8" i="4"/>
  <c r="J8" i="4"/>
  <c r="I8" i="4"/>
  <c r="N8" i="4"/>
  <c r="M8" i="4"/>
  <c r="H8" i="4"/>
  <c r="M181" i="4"/>
  <c r="N181" i="4"/>
  <c r="L181" i="4"/>
  <c r="I181" i="4"/>
  <c r="K181" i="4"/>
  <c r="H181" i="4"/>
  <c r="J181" i="4"/>
  <c r="M124" i="3"/>
  <c r="L124" i="3"/>
  <c r="K124" i="3"/>
  <c r="I124" i="3"/>
  <c r="N124" i="3"/>
  <c r="J124" i="3"/>
  <c r="H124" i="3"/>
  <c r="H71" i="4"/>
  <c r="J71" i="4"/>
  <c r="L71" i="4"/>
  <c r="K71" i="4"/>
  <c r="N71" i="4"/>
  <c r="I71" i="4"/>
  <c r="M71" i="4"/>
  <c r="N54" i="3"/>
  <c r="M54" i="3"/>
  <c r="L54" i="3"/>
  <c r="J54" i="3"/>
  <c r="K54" i="3"/>
  <c r="I54" i="3"/>
  <c r="H54" i="3"/>
  <c r="M51" i="4"/>
  <c r="K51" i="4"/>
  <c r="N51" i="4"/>
  <c r="L51" i="4"/>
  <c r="J51" i="4"/>
  <c r="H51" i="4"/>
  <c r="I51" i="4"/>
  <c r="K63" i="3"/>
  <c r="J63" i="3"/>
  <c r="I63" i="3"/>
  <c r="H63" i="3"/>
  <c r="N63" i="3"/>
  <c r="M63" i="3"/>
  <c r="L63" i="3"/>
  <c r="M10" i="3"/>
  <c r="L10" i="3"/>
  <c r="K10" i="3"/>
  <c r="J10" i="3"/>
  <c r="I10" i="3"/>
  <c r="H10" i="3"/>
  <c r="N10" i="3"/>
  <c r="M133" i="3"/>
  <c r="K133" i="3"/>
  <c r="N133" i="3"/>
  <c r="L133" i="3"/>
  <c r="J133" i="3"/>
  <c r="I133" i="3"/>
  <c r="H133" i="3"/>
  <c r="M143" i="3"/>
  <c r="K143" i="3"/>
  <c r="N143" i="3"/>
  <c r="L143" i="3"/>
  <c r="J143" i="3"/>
  <c r="I143" i="3"/>
  <c r="H143" i="3"/>
  <c r="M113" i="3"/>
  <c r="J113" i="3"/>
  <c r="I113" i="3"/>
  <c r="H113" i="3"/>
  <c r="K113" i="3"/>
  <c r="N113" i="3"/>
  <c r="L113" i="3"/>
  <c r="I53" i="4"/>
  <c r="N53" i="4"/>
  <c r="L53" i="4"/>
  <c r="K53" i="4"/>
  <c r="H53" i="4"/>
  <c r="M53" i="4"/>
  <c r="J53" i="4"/>
  <c r="L104" i="4"/>
  <c r="H104" i="4"/>
  <c r="I104" i="4"/>
  <c r="N104" i="4"/>
  <c r="J104" i="4"/>
  <c r="K104" i="4"/>
  <c r="M104" i="4"/>
  <c r="J113" i="4"/>
  <c r="H113" i="4"/>
  <c r="M113" i="4"/>
  <c r="I113" i="4"/>
  <c r="L113" i="4"/>
  <c r="N113" i="4"/>
  <c r="K113" i="4"/>
  <c r="K18" i="3"/>
  <c r="J18" i="3"/>
  <c r="I18" i="3"/>
  <c r="H18" i="3"/>
  <c r="N18" i="3"/>
  <c r="M18" i="3"/>
  <c r="L18" i="3"/>
  <c r="I196" i="3"/>
  <c r="H196" i="3"/>
  <c r="N196" i="3"/>
  <c r="M196" i="3"/>
  <c r="K196" i="3"/>
  <c r="L196" i="3"/>
  <c r="J196" i="3"/>
  <c r="K183" i="4"/>
  <c r="M183" i="4"/>
  <c r="L183" i="4"/>
  <c r="J183" i="4"/>
  <c r="I183" i="4"/>
  <c r="N183" i="4"/>
  <c r="H183" i="4"/>
  <c r="N166" i="3"/>
  <c r="M166" i="3"/>
  <c r="K166" i="3"/>
  <c r="I166" i="3"/>
  <c r="L166" i="3"/>
  <c r="J166" i="3"/>
  <c r="H166" i="3"/>
  <c r="J86" i="3"/>
  <c r="I86" i="3"/>
  <c r="H86" i="3"/>
  <c r="N86" i="3"/>
  <c r="M86" i="3"/>
  <c r="L86" i="3"/>
  <c r="K86" i="3"/>
  <c r="M43" i="4"/>
  <c r="L43" i="4"/>
  <c r="N43" i="4"/>
  <c r="J43" i="4"/>
  <c r="K43" i="4"/>
  <c r="H43" i="4"/>
  <c r="I43" i="4"/>
  <c r="H116" i="4"/>
  <c r="K116" i="4"/>
  <c r="M116" i="4"/>
  <c r="N116" i="4"/>
  <c r="L116" i="4"/>
  <c r="J116" i="4"/>
  <c r="I116" i="4"/>
  <c r="M109" i="3"/>
  <c r="L109" i="3"/>
  <c r="K109" i="3"/>
  <c r="N109" i="3"/>
  <c r="J109" i="3"/>
  <c r="I109" i="3"/>
  <c r="H109" i="3"/>
  <c r="N69" i="3"/>
  <c r="M69" i="3"/>
  <c r="L69" i="3"/>
  <c r="K69" i="3"/>
  <c r="J69" i="3"/>
  <c r="I69" i="3"/>
  <c r="H69" i="3"/>
  <c r="L66" i="4"/>
  <c r="J66" i="4"/>
  <c r="K66" i="4"/>
  <c r="I66" i="4"/>
  <c r="N66" i="4"/>
  <c r="H66" i="4"/>
  <c r="M66" i="4"/>
  <c r="N39" i="3"/>
  <c r="M39" i="3"/>
  <c r="L39" i="3"/>
  <c r="J39" i="3"/>
  <c r="H39" i="3"/>
  <c r="K39" i="3"/>
  <c r="I39" i="3"/>
  <c r="M179" i="4"/>
  <c r="K179" i="4"/>
  <c r="N179" i="4"/>
  <c r="I179" i="4"/>
  <c r="J179" i="4"/>
  <c r="L179" i="4"/>
  <c r="H179" i="4"/>
  <c r="K132" i="3"/>
  <c r="J132" i="3"/>
  <c r="I132" i="3"/>
  <c r="M132" i="3"/>
  <c r="L132" i="3"/>
  <c r="H132" i="3"/>
  <c r="N132" i="3"/>
  <c r="N72" i="3"/>
  <c r="M72" i="3"/>
  <c r="L72" i="3"/>
  <c r="K72" i="3"/>
  <c r="J72" i="3"/>
  <c r="I72" i="3"/>
  <c r="H72" i="3"/>
  <c r="N22" i="3"/>
  <c r="M22" i="3"/>
  <c r="L22" i="3"/>
  <c r="K22" i="3"/>
  <c r="J22" i="3"/>
  <c r="H22" i="3"/>
  <c r="I22" i="3"/>
  <c r="N77" i="4"/>
  <c r="L77" i="4"/>
  <c r="K77" i="4"/>
  <c r="I77" i="4"/>
  <c r="M77" i="4"/>
  <c r="J77" i="4"/>
  <c r="H77" i="4"/>
  <c r="I17" i="4"/>
  <c r="L17" i="4"/>
  <c r="N17" i="4"/>
  <c r="J17" i="4"/>
  <c r="K17" i="4"/>
  <c r="M17" i="4"/>
  <c r="H17" i="4"/>
  <c r="M185" i="3"/>
  <c r="L185" i="3"/>
  <c r="K185" i="3"/>
  <c r="I185" i="3"/>
  <c r="J185" i="3"/>
  <c r="N185" i="3"/>
  <c r="H185" i="3"/>
  <c r="I175" i="3"/>
  <c r="H175" i="3"/>
  <c r="M175" i="3"/>
  <c r="K175" i="3"/>
  <c r="J175" i="3"/>
  <c r="L175" i="3"/>
  <c r="N175" i="3"/>
  <c r="I125" i="3"/>
  <c r="H125" i="3"/>
  <c r="M125" i="3"/>
  <c r="K125" i="3"/>
  <c r="J125" i="3"/>
  <c r="L125" i="3"/>
  <c r="N125" i="3"/>
  <c r="M65" i="3"/>
  <c r="L65" i="3"/>
  <c r="K65" i="3"/>
  <c r="J65" i="3"/>
  <c r="I65" i="3"/>
  <c r="H65" i="3"/>
  <c r="N65" i="3"/>
  <c r="K44" i="4"/>
  <c r="I44" i="4"/>
  <c r="L44" i="4"/>
  <c r="N44" i="4"/>
  <c r="J44" i="4"/>
  <c r="M44" i="4"/>
  <c r="H44" i="4"/>
  <c r="K177" i="4"/>
  <c r="I177" i="4"/>
  <c r="N177" i="4"/>
  <c r="M177" i="4"/>
  <c r="J177" i="4"/>
  <c r="L177" i="4"/>
  <c r="H177" i="4"/>
  <c r="I185" i="4"/>
  <c r="H185" i="4"/>
  <c r="M185" i="4"/>
  <c r="J185" i="4"/>
  <c r="N185" i="4"/>
  <c r="K185" i="4"/>
  <c r="L185" i="4"/>
  <c r="M168" i="3"/>
  <c r="K168" i="3"/>
  <c r="I168" i="3"/>
  <c r="H168" i="3"/>
  <c r="J168" i="3"/>
  <c r="N168" i="3"/>
  <c r="L168" i="3"/>
  <c r="I145" i="4"/>
  <c r="N145" i="4"/>
  <c r="J145" i="4"/>
  <c r="M145" i="4"/>
  <c r="H145" i="4"/>
  <c r="K145" i="4"/>
  <c r="L145" i="4"/>
  <c r="I134" i="4"/>
  <c r="L134" i="4"/>
  <c r="J134" i="4"/>
  <c r="M134" i="4"/>
  <c r="K134" i="4"/>
  <c r="H134" i="4"/>
  <c r="N134" i="4"/>
  <c r="N141" i="3"/>
  <c r="M141" i="3"/>
  <c r="K141" i="3"/>
  <c r="I141" i="3"/>
  <c r="L141" i="3"/>
  <c r="J141" i="3"/>
  <c r="H141" i="3"/>
  <c r="I51" i="3"/>
  <c r="H51" i="3"/>
  <c r="N51" i="3"/>
  <c r="L51" i="3"/>
  <c r="M51" i="3"/>
  <c r="K51" i="3"/>
  <c r="J51" i="3"/>
  <c r="M174" i="3"/>
  <c r="L174" i="3"/>
  <c r="K174" i="3"/>
  <c r="I174" i="3"/>
  <c r="N174" i="3"/>
  <c r="J174" i="3"/>
  <c r="H174" i="3"/>
  <c r="H131" i="4"/>
  <c r="J131" i="4"/>
  <c r="N131" i="4"/>
  <c r="L131" i="4"/>
  <c r="K131" i="4"/>
  <c r="M131" i="4"/>
  <c r="I131" i="4"/>
  <c r="K157" i="4"/>
  <c r="I157" i="4"/>
  <c r="M157" i="4"/>
  <c r="H157" i="4"/>
  <c r="N157" i="4"/>
  <c r="J157" i="4"/>
  <c r="L157" i="4"/>
  <c r="M70" i="3"/>
  <c r="L70" i="3"/>
  <c r="K70" i="3"/>
  <c r="J70" i="3"/>
  <c r="I70" i="3"/>
  <c r="H70" i="3"/>
  <c r="N70" i="3"/>
  <c r="L80" i="4"/>
  <c r="I80" i="4"/>
  <c r="H80" i="4"/>
  <c r="K80" i="4"/>
  <c r="J80" i="4"/>
  <c r="N80" i="4"/>
  <c r="M80" i="4"/>
  <c r="K24" i="4"/>
  <c r="I24" i="4"/>
  <c r="M24" i="4"/>
  <c r="N24" i="4"/>
  <c r="L24" i="4"/>
  <c r="J24" i="4"/>
  <c r="H24" i="4"/>
  <c r="H4" i="4"/>
  <c r="M4" i="4"/>
  <c r="K4" i="4"/>
  <c r="L4" i="4"/>
  <c r="I4" i="4"/>
  <c r="N4" i="4"/>
  <c r="J4" i="4"/>
  <c r="I110" i="3"/>
  <c r="H110" i="3"/>
  <c r="N110" i="3"/>
  <c r="M110" i="3"/>
  <c r="L110" i="3"/>
  <c r="K110" i="3"/>
  <c r="J110" i="3"/>
  <c r="I52" i="4"/>
  <c r="M52" i="4"/>
  <c r="L52" i="4"/>
  <c r="N52" i="4"/>
  <c r="K52" i="4"/>
  <c r="J52" i="4"/>
  <c r="H52" i="4"/>
  <c r="J83" i="4"/>
  <c r="N83" i="4"/>
  <c r="L83" i="4"/>
  <c r="M83" i="4"/>
  <c r="K83" i="4"/>
  <c r="H83" i="4"/>
  <c r="I83" i="4"/>
  <c r="I46" i="3"/>
  <c r="H46" i="3"/>
  <c r="N46" i="3"/>
  <c r="L46" i="3"/>
  <c r="J46" i="3"/>
  <c r="M46" i="3"/>
  <c r="K46" i="3"/>
  <c r="M190" i="3"/>
  <c r="L190" i="3"/>
  <c r="K190" i="3"/>
  <c r="I190" i="3"/>
  <c r="J190" i="3"/>
  <c r="N190" i="3"/>
  <c r="H190" i="3"/>
  <c r="M159" i="3"/>
  <c r="L159" i="3"/>
  <c r="K159" i="3"/>
  <c r="I159" i="3"/>
  <c r="N159" i="3"/>
  <c r="J159" i="3"/>
  <c r="H159" i="3"/>
  <c r="M26" i="4"/>
  <c r="K26" i="4"/>
  <c r="N26" i="4"/>
  <c r="L26" i="4"/>
  <c r="J26" i="4"/>
  <c r="I26" i="4"/>
  <c r="H26" i="4"/>
  <c r="I180" i="3"/>
  <c r="H180" i="3"/>
  <c r="M180" i="3"/>
  <c r="N180" i="3"/>
  <c r="L180" i="3"/>
  <c r="K180" i="3"/>
  <c r="J180" i="3"/>
  <c r="K58" i="3"/>
  <c r="J58" i="3"/>
  <c r="I58" i="3"/>
  <c r="H58" i="3"/>
  <c r="N58" i="3"/>
  <c r="M58" i="3"/>
  <c r="L58" i="3"/>
  <c r="K8" i="3"/>
  <c r="J8" i="3"/>
  <c r="I8" i="3"/>
  <c r="H8" i="3"/>
  <c r="N8" i="3"/>
  <c r="L8" i="3"/>
  <c r="M8" i="3"/>
  <c r="M199" i="4"/>
  <c r="K199" i="4"/>
  <c r="L199" i="4"/>
  <c r="J199" i="4"/>
  <c r="I199" i="4"/>
  <c r="N199" i="4"/>
  <c r="H199" i="4"/>
  <c r="K182" i="3"/>
  <c r="J182" i="3"/>
  <c r="I182" i="3"/>
  <c r="M182" i="3"/>
  <c r="L182" i="3"/>
  <c r="H182" i="3"/>
  <c r="N182" i="3"/>
  <c r="K102" i="3"/>
  <c r="J102" i="3"/>
  <c r="M102" i="3"/>
  <c r="L102" i="3"/>
  <c r="H102" i="3"/>
  <c r="N102" i="3"/>
  <c r="I102" i="3"/>
  <c r="K99" i="4"/>
  <c r="M99" i="4"/>
  <c r="H99" i="4"/>
  <c r="L99" i="4"/>
  <c r="N99" i="4"/>
  <c r="J99" i="4"/>
  <c r="I99" i="4"/>
  <c r="K49" i="4"/>
  <c r="I49" i="4"/>
  <c r="N49" i="4"/>
  <c r="M49" i="4"/>
  <c r="J49" i="4"/>
  <c r="H49" i="4"/>
  <c r="L49" i="4"/>
  <c r="M144" i="4"/>
  <c r="H144" i="4"/>
  <c r="J144" i="4"/>
  <c r="K144" i="4"/>
  <c r="L144" i="4"/>
  <c r="N144" i="4"/>
  <c r="I144" i="4"/>
  <c r="K147" i="4"/>
  <c r="J147" i="4"/>
  <c r="L147" i="4"/>
  <c r="H147" i="4"/>
  <c r="N147" i="4"/>
  <c r="I147" i="4"/>
  <c r="M147" i="4"/>
  <c r="N101" i="3"/>
  <c r="M101" i="3"/>
  <c r="L101" i="3"/>
  <c r="J101" i="3"/>
  <c r="I101" i="3"/>
  <c r="K101" i="3"/>
  <c r="H101" i="3"/>
  <c r="K192" i="4"/>
  <c r="I192" i="4"/>
  <c r="J192" i="4"/>
  <c r="M192" i="4"/>
  <c r="H192" i="4"/>
  <c r="N192" i="4"/>
  <c r="L192" i="4"/>
  <c r="N142" i="4"/>
  <c r="H142" i="4"/>
  <c r="K142" i="4"/>
  <c r="L142" i="4"/>
  <c r="J142" i="4"/>
  <c r="I142" i="4"/>
  <c r="M142" i="4"/>
  <c r="N92" i="4"/>
  <c r="M92" i="4"/>
  <c r="K92" i="4"/>
  <c r="I92" i="4"/>
  <c r="J92" i="4"/>
  <c r="H92" i="4"/>
  <c r="L92" i="4"/>
  <c r="M55" i="3"/>
  <c r="L55" i="3"/>
  <c r="K55" i="3"/>
  <c r="J55" i="3"/>
  <c r="I55" i="3"/>
  <c r="H55" i="3"/>
  <c r="N55" i="3"/>
  <c r="M45" i="3"/>
  <c r="L45" i="3"/>
  <c r="K45" i="3"/>
  <c r="J45" i="3"/>
  <c r="I45" i="3"/>
  <c r="H45" i="3"/>
  <c r="N45" i="3"/>
  <c r="I165" i="4"/>
  <c r="M165" i="4"/>
  <c r="K165" i="4"/>
  <c r="L165" i="4"/>
  <c r="N165" i="4"/>
  <c r="H165" i="4"/>
  <c r="J165" i="4"/>
  <c r="M118" i="3"/>
  <c r="H118" i="3"/>
  <c r="N118" i="3"/>
  <c r="L118" i="3"/>
  <c r="K118" i="3"/>
  <c r="J118" i="3"/>
  <c r="I118" i="3"/>
  <c r="L85" i="4"/>
  <c r="K85" i="4"/>
  <c r="J85" i="4"/>
  <c r="H85" i="4"/>
  <c r="M85" i="4"/>
  <c r="N85" i="4"/>
  <c r="I85" i="4"/>
  <c r="K55" i="4"/>
  <c r="J55" i="4"/>
  <c r="H55" i="4"/>
  <c r="M55" i="4"/>
  <c r="L55" i="4"/>
  <c r="N55" i="4"/>
  <c r="I55" i="4"/>
  <c r="I81" i="3"/>
  <c r="H81" i="3"/>
  <c r="N81" i="3"/>
  <c r="M81" i="3"/>
  <c r="L81" i="3"/>
  <c r="K81" i="3"/>
  <c r="J81" i="3"/>
  <c r="I68" i="4"/>
  <c r="K68" i="4"/>
  <c r="J68" i="4"/>
  <c r="M68" i="4"/>
  <c r="N68" i="4"/>
  <c r="H68" i="4"/>
  <c r="L68" i="4"/>
  <c r="M38" i="4"/>
  <c r="H38" i="4"/>
  <c r="N38" i="4"/>
  <c r="K38" i="4"/>
  <c r="L38" i="4"/>
  <c r="I38" i="4"/>
  <c r="J38" i="4"/>
  <c r="J151" i="4"/>
  <c r="M151" i="4"/>
  <c r="H151" i="4"/>
  <c r="I151" i="4"/>
  <c r="L151" i="4"/>
  <c r="N151" i="4"/>
  <c r="K151" i="4"/>
  <c r="M144" i="3"/>
  <c r="L144" i="3"/>
  <c r="K144" i="3"/>
  <c r="I144" i="3"/>
  <c r="N144" i="3"/>
  <c r="J144" i="3"/>
  <c r="H144" i="3"/>
  <c r="H91" i="4"/>
  <c r="M91" i="4"/>
  <c r="K91" i="4"/>
  <c r="L91" i="4"/>
  <c r="I91" i="4"/>
  <c r="J91" i="4"/>
  <c r="N91" i="4"/>
  <c r="M41" i="4"/>
  <c r="K41" i="4"/>
  <c r="N41" i="4"/>
  <c r="J41" i="4"/>
  <c r="I41" i="4"/>
  <c r="H41" i="4"/>
  <c r="L41" i="4"/>
  <c r="N14" i="3"/>
  <c r="M14" i="3"/>
  <c r="L14" i="3"/>
  <c r="J14" i="3"/>
  <c r="K14" i="3"/>
  <c r="I14" i="3"/>
  <c r="H14" i="3"/>
  <c r="I47" i="4"/>
  <c r="N47" i="4"/>
  <c r="M47" i="4"/>
  <c r="K47" i="4"/>
  <c r="J47" i="4"/>
  <c r="H47" i="4"/>
  <c r="L47" i="4"/>
  <c r="N84" i="4"/>
  <c r="L84" i="4"/>
  <c r="J84" i="4"/>
  <c r="K84" i="4"/>
  <c r="H84" i="4"/>
  <c r="M84" i="4"/>
  <c r="I84" i="4"/>
  <c r="M60" i="3"/>
  <c r="L60" i="3"/>
  <c r="K60" i="3"/>
  <c r="J60" i="3"/>
  <c r="I60" i="3"/>
  <c r="H60" i="3"/>
  <c r="N60" i="3"/>
  <c r="N87" i="4"/>
  <c r="H87" i="4"/>
  <c r="L87" i="4"/>
  <c r="J87" i="4"/>
  <c r="I87" i="4"/>
  <c r="K87" i="4"/>
  <c r="M87" i="4"/>
  <c r="K73" i="3"/>
  <c r="J73" i="3"/>
  <c r="I73" i="3"/>
  <c r="H73" i="3"/>
  <c r="N73" i="3"/>
  <c r="M73" i="3"/>
  <c r="L73" i="3"/>
  <c r="K193" i="3"/>
  <c r="J193" i="3"/>
  <c r="I193" i="3"/>
  <c r="H193" i="3"/>
  <c r="M193" i="3"/>
  <c r="L193" i="3"/>
  <c r="N193" i="3"/>
  <c r="I190" i="4"/>
  <c r="M190" i="4"/>
  <c r="L190" i="4"/>
  <c r="J190" i="4"/>
  <c r="K190" i="4"/>
  <c r="H190" i="4"/>
  <c r="N190" i="4"/>
  <c r="M163" i="3"/>
  <c r="K163" i="3"/>
  <c r="N163" i="3"/>
  <c r="L163" i="3"/>
  <c r="J163" i="3"/>
  <c r="I163" i="3"/>
  <c r="H163" i="3"/>
  <c r="L110" i="4"/>
  <c r="M110" i="4"/>
  <c r="H110" i="4"/>
  <c r="N110" i="4"/>
  <c r="K110" i="4"/>
  <c r="I110" i="4"/>
  <c r="J110" i="4"/>
  <c r="I140" i="3"/>
  <c r="H140" i="3"/>
  <c r="M140" i="3"/>
  <c r="N140" i="3"/>
  <c r="L140" i="3"/>
  <c r="K140" i="3"/>
  <c r="J140" i="3"/>
  <c r="N136" i="3"/>
  <c r="M136" i="3"/>
  <c r="K136" i="3"/>
  <c r="I136" i="3"/>
  <c r="L136" i="3"/>
  <c r="J136" i="3"/>
  <c r="H136" i="3"/>
  <c r="J133" i="4"/>
  <c r="L133" i="4"/>
  <c r="N133" i="4"/>
  <c r="H133" i="4"/>
  <c r="M133" i="4"/>
  <c r="I133" i="4"/>
  <c r="K133" i="4"/>
  <c r="I63" i="4"/>
  <c r="J63" i="4"/>
  <c r="L63" i="4"/>
  <c r="K63" i="4"/>
  <c r="N63" i="4"/>
  <c r="M63" i="4"/>
  <c r="H63" i="4"/>
  <c r="M33" i="4"/>
  <c r="N33" i="4"/>
  <c r="K33" i="4"/>
  <c r="H33" i="4"/>
  <c r="L33" i="4"/>
  <c r="I33" i="4"/>
  <c r="J33" i="4"/>
  <c r="M23" i="4"/>
  <c r="L23" i="4"/>
  <c r="I23" i="4"/>
  <c r="H23" i="4"/>
  <c r="N23" i="4"/>
  <c r="K23" i="4"/>
  <c r="J23" i="4"/>
  <c r="N77" i="3"/>
  <c r="M77" i="3"/>
  <c r="L77" i="3"/>
  <c r="K77" i="3"/>
  <c r="J77" i="3"/>
  <c r="I77" i="3"/>
  <c r="H77" i="3"/>
  <c r="N17" i="3"/>
  <c r="M17" i="3"/>
  <c r="L17" i="3"/>
  <c r="K17" i="3"/>
  <c r="J17" i="3"/>
  <c r="H17" i="3"/>
  <c r="I17" i="3"/>
  <c r="M199" i="3"/>
  <c r="I199" i="3"/>
  <c r="H199" i="3"/>
  <c r="N199" i="3"/>
  <c r="L199" i="3"/>
  <c r="K199" i="3"/>
  <c r="J199" i="3"/>
  <c r="M196" i="4"/>
  <c r="K196" i="4"/>
  <c r="I196" i="4"/>
  <c r="N196" i="4"/>
  <c r="J196" i="4"/>
  <c r="H196" i="4"/>
  <c r="L196" i="4"/>
  <c r="M146" i="4"/>
  <c r="L146" i="4"/>
  <c r="I146" i="4"/>
  <c r="J146" i="4"/>
  <c r="N146" i="4"/>
  <c r="H146" i="4"/>
  <c r="K146" i="4"/>
  <c r="H136" i="4"/>
  <c r="N136" i="4"/>
  <c r="M136" i="4"/>
  <c r="I136" i="4"/>
  <c r="L136" i="4"/>
  <c r="K136" i="4"/>
  <c r="J136" i="4"/>
  <c r="M129" i="3"/>
  <c r="L129" i="3"/>
  <c r="K129" i="3"/>
  <c r="I129" i="3"/>
  <c r="N129" i="3"/>
  <c r="J129" i="3"/>
  <c r="H129" i="3"/>
  <c r="H96" i="4"/>
  <c r="M96" i="4"/>
  <c r="J96" i="4"/>
  <c r="N96" i="4"/>
  <c r="L96" i="4"/>
  <c r="K96" i="4"/>
  <c r="I96" i="4"/>
  <c r="M16" i="4"/>
  <c r="K16" i="4"/>
  <c r="N16" i="4"/>
  <c r="L16" i="4"/>
  <c r="J16" i="4"/>
  <c r="H16" i="4"/>
  <c r="I16" i="4"/>
  <c r="K152" i="3"/>
  <c r="J152" i="3"/>
  <c r="I152" i="3"/>
  <c r="M152" i="3"/>
  <c r="L152" i="3"/>
  <c r="H152" i="3"/>
  <c r="N152" i="3"/>
  <c r="N62" i="3"/>
  <c r="M62" i="3"/>
  <c r="L62" i="3"/>
  <c r="K62" i="3"/>
  <c r="J62" i="3"/>
  <c r="I62" i="3"/>
  <c r="H62" i="3"/>
  <c r="N12" i="3"/>
  <c r="M12" i="3"/>
  <c r="L12" i="3"/>
  <c r="K12" i="3"/>
  <c r="J12" i="3"/>
  <c r="H12" i="3"/>
  <c r="I12" i="3"/>
  <c r="I145" i="3"/>
  <c r="H145" i="3"/>
  <c r="M145" i="3"/>
  <c r="K145" i="3"/>
  <c r="J145" i="3"/>
  <c r="N145" i="3"/>
  <c r="L145" i="3"/>
  <c r="I95" i="3"/>
  <c r="H95" i="3"/>
  <c r="K95" i="3"/>
  <c r="J95" i="3"/>
  <c r="N95" i="3"/>
  <c r="M95" i="3"/>
  <c r="L95" i="3"/>
  <c r="N72" i="4"/>
  <c r="H72" i="4"/>
  <c r="L72" i="4"/>
  <c r="K72" i="4"/>
  <c r="J72" i="4"/>
  <c r="M72" i="4"/>
  <c r="I72" i="4"/>
  <c r="M35" i="3"/>
  <c r="L35" i="3"/>
  <c r="K35" i="3"/>
  <c r="J35" i="3"/>
  <c r="I35" i="3"/>
  <c r="H35" i="3"/>
  <c r="N35" i="3"/>
  <c r="N67" i="3"/>
  <c r="M67" i="3"/>
  <c r="L67" i="3"/>
  <c r="K67" i="3"/>
  <c r="J67" i="3"/>
  <c r="I67" i="3"/>
  <c r="H67" i="3"/>
  <c r="K188" i="3"/>
  <c r="J188" i="3"/>
  <c r="I188" i="3"/>
  <c r="M188" i="3"/>
  <c r="L188" i="3"/>
  <c r="H188" i="3"/>
  <c r="N188" i="3"/>
  <c r="M138" i="3"/>
  <c r="K138" i="3"/>
  <c r="I138" i="3"/>
  <c r="H138" i="3"/>
  <c r="N138" i="3"/>
  <c r="L138" i="3"/>
  <c r="J138" i="3"/>
  <c r="H88" i="3"/>
  <c r="N88" i="3"/>
  <c r="M88" i="3"/>
  <c r="L88" i="3"/>
  <c r="K88" i="3"/>
  <c r="J88" i="3"/>
  <c r="I88" i="3"/>
  <c r="M178" i="4"/>
  <c r="N178" i="4"/>
  <c r="K178" i="4"/>
  <c r="L178" i="4"/>
  <c r="I178" i="4"/>
  <c r="H178" i="4"/>
  <c r="J178" i="4"/>
  <c r="N161" i="3"/>
  <c r="M161" i="3"/>
  <c r="K161" i="3"/>
  <c r="I161" i="3"/>
  <c r="H161" i="3"/>
  <c r="L161" i="3"/>
  <c r="J161" i="3"/>
  <c r="N111" i="3"/>
  <c r="M111" i="3"/>
  <c r="K111" i="3"/>
  <c r="L111" i="3"/>
  <c r="J111" i="3"/>
  <c r="I111" i="3"/>
  <c r="H111" i="3"/>
  <c r="I41" i="3"/>
  <c r="H41" i="3"/>
  <c r="N41" i="3"/>
  <c r="L41" i="3"/>
  <c r="K41" i="3"/>
  <c r="J41" i="3"/>
  <c r="M41" i="3"/>
  <c r="M28" i="4"/>
  <c r="J28" i="4"/>
  <c r="L28" i="4"/>
  <c r="H28" i="4"/>
  <c r="N28" i="4"/>
  <c r="K28" i="4"/>
  <c r="I28" i="4"/>
  <c r="I18" i="4"/>
  <c r="M18" i="4"/>
  <c r="L18" i="4"/>
  <c r="H18" i="4"/>
  <c r="K18" i="4"/>
  <c r="N18" i="4"/>
  <c r="J18" i="4"/>
  <c r="M171" i="4"/>
  <c r="N171" i="4"/>
  <c r="J171" i="4"/>
  <c r="L171" i="4"/>
  <c r="K171" i="4"/>
  <c r="H171" i="4"/>
  <c r="I171" i="4"/>
  <c r="N74" i="3"/>
  <c r="M74" i="3"/>
  <c r="L74" i="3"/>
  <c r="K74" i="3"/>
  <c r="J74" i="3"/>
  <c r="I74" i="3"/>
  <c r="H74" i="3"/>
  <c r="N44" i="3"/>
  <c r="M44" i="3"/>
  <c r="L44" i="3"/>
  <c r="J44" i="3"/>
  <c r="K44" i="3"/>
  <c r="I44" i="3"/>
  <c r="H44" i="3"/>
  <c r="M11" i="4"/>
  <c r="N11" i="4"/>
  <c r="L11" i="4"/>
  <c r="K11" i="4"/>
  <c r="J11" i="4"/>
  <c r="H11" i="4"/>
  <c r="I11" i="4"/>
  <c r="K187" i="4"/>
  <c r="I187" i="4"/>
  <c r="M187" i="4"/>
  <c r="L187" i="4"/>
  <c r="N187" i="4"/>
  <c r="H187" i="4"/>
  <c r="J187" i="4"/>
  <c r="K33" i="3"/>
  <c r="J33" i="3"/>
  <c r="I33" i="3"/>
  <c r="H33" i="3"/>
  <c r="N33" i="3"/>
  <c r="M33" i="3"/>
  <c r="L33" i="3"/>
  <c r="M54" i="4"/>
  <c r="K54" i="4"/>
  <c r="L54" i="4"/>
  <c r="J54" i="4"/>
  <c r="N54" i="4"/>
  <c r="I54" i="4"/>
  <c r="H54" i="4"/>
  <c r="L140" i="4"/>
  <c r="N140" i="4"/>
  <c r="K140" i="4"/>
  <c r="I140" i="4"/>
  <c r="H140" i="4"/>
  <c r="M140" i="4"/>
  <c r="J140" i="4"/>
  <c r="N50" i="4"/>
  <c r="M50" i="4"/>
  <c r="K50" i="4"/>
  <c r="J50" i="4"/>
  <c r="I50" i="4"/>
  <c r="H50" i="4"/>
  <c r="L50" i="4"/>
  <c r="N20" i="4"/>
  <c r="J20" i="4"/>
  <c r="I20" i="4"/>
  <c r="M20" i="4"/>
  <c r="L20" i="4"/>
  <c r="K20" i="4"/>
  <c r="H20" i="4"/>
  <c r="C20" i="1"/>
  <c r="M200" i="3"/>
  <c r="L200" i="3"/>
  <c r="K200" i="3"/>
  <c r="I200" i="3"/>
  <c r="J200" i="3"/>
  <c r="H200" i="3"/>
  <c r="N200" i="3"/>
  <c r="I76" i="3"/>
  <c r="H76" i="3"/>
  <c r="N76" i="3"/>
  <c r="M76" i="3"/>
  <c r="L76" i="3"/>
  <c r="K76" i="3"/>
  <c r="J76" i="3"/>
  <c r="I36" i="3"/>
  <c r="H36" i="3"/>
  <c r="N36" i="3"/>
  <c r="L36" i="3"/>
  <c r="M36" i="3"/>
  <c r="K36" i="3"/>
  <c r="J36" i="3"/>
  <c r="K167" i="3"/>
  <c r="J167" i="3"/>
  <c r="I167" i="3"/>
  <c r="N167" i="3"/>
  <c r="M167" i="3"/>
  <c r="L167" i="3"/>
  <c r="H167" i="3"/>
  <c r="I160" i="3"/>
  <c r="H160" i="3"/>
  <c r="M160" i="3"/>
  <c r="N160" i="3"/>
  <c r="L160" i="3"/>
  <c r="K160" i="3"/>
  <c r="J160" i="3"/>
  <c r="M20" i="3"/>
  <c r="L20" i="3"/>
  <c r="K20" i="3"/>
  <c r="J20" i="3"/>
  <c r="I20" i="3"/>
  <c r="H20" i="3"/>
  <c r="N20" i="3"/>
  <c r="M179" i="3"/>
  <c r="L179" i="3"/>
  <c r="K179" i="3"/>
  <c r="I179" i="3"/>
  <c r="N179" i="3"/>
  <c r="J179" i="3"/>
  <c r="H179" i="3"/>
  <c r="H86" i="4"/>
  <c r="I86" i="4"/>
  <c r="J86" i="4"/>
  <c r="N86" i="4"/>
  <c r="K86" i="4"/>
  <c r="L86" i="4"/>
  <c r="M86" i="4"/>
  <c r="N29" i="3"/>
  <c r="M29" i="3"/>
  <c r="L29" i="3"/>
  <c r="J29" i="3"/>
  <c r="K29" i="3"/>
  <c r="I29" i="3"/>
  <c r="H29" i="3"/>
  <c r="N187" i="3"/>
  <c r="M187" i="3"/>
  <c r="K187" i="3"/>
  <c r="I187" i="3"/>
  <c r="H187" i="3"/>
  <c r="L187" i="3"/>
  <c r="J187" i="3"/>
  <c r="K167" i="4"/>
  <c r="I167" i="4"/>
  <c r="J167" i="4"/>
  <c r="N167" i="4"/>
  <c r="L167" i="4"/>
  <c r="M167" i="4"/>
  <c r="H167" i="4"/>
  <c r="M149" i="4"/>
  <c r="H149" i="4"/>
  <c r="N149" i="4"/>
  <c r="I149" i="4"/>
  <c r="J149" i="4"/>
  <c r="K149" i="4"/>
  <c r="L149" i="4"/>
  <c r="I139" i="4"/>
  <c r="K139" i="4"/>
  <c r="H139" i="4"/>
  <c r="M139" i="4"/>
  <c r="J139" i="4"/>
  <c r="N139" i="4"/>
  <c r="L139" i="4"/>
  <c r="K39" i="4"/>
  <c r="I39" i="4"/>
  <c r="N39" i="4"/>
  <c r="L39" i="4"/>
  <c r="M39" i="4"/>
  <c r="J39" i="4"/>
  <c r="H39" i="4"/>
  <c r="K197" i="4"/>
  <c r="I197" i="4"/>
  <c r="L197" i="4"/>
  <c r="J197" i="4"/>
  <c r="M197" i="4"/>
  <c r="H197" i="4"/>
  <c r="N197" i="4"/>
  <c r="I120" i="3"/>
  <c r="H120" i="3"/>
  <c r="L120" i="3"/>
  <c r="K120" i="3"/>
  <c r="J120" i="3"/>
  <c r="N120" i="3"/>
  <c r="M120" i="3"/>
  <c r="N7" i="4"/>
  <c r="M7" i="4"/>
  <c r="K7" i="4"/>
  <c r="I7" i="4"/>
  <c r="H7" i="4"/>
  <c r="L7" i="4"/>
  <c r="J7" i="4"/>
  <c r="K182" i="4"/>
  <c r="I182" i="4"/>
  <c r="M182" i="4"/>
  <c r="N182" i="4"/>
  <c r="J182" i="4"/>
  <c r="L182" i="4"/>
  <c r="H182" i="4"/>
  <c r="N112" i="4"/>
  <c r="K112" i="4"/>
  <c r="H112" i="4"/>
  <c r="M112" i="4"/>
  <c r="J112" i="4"/>
  <c r="L112" i="4"/>
  <c r="I112" i="4"/>
  <c r="M25" i="3"/>
  <c r="L25" i="3"/>
  <c r="K25" i="3"/>
  <c r="J25" i="3"/>
  <c r="I25" i="3"/>
  <c r="H25" i="3"/>
  <c r="N25" i="3"/>
  <c r="K137" i="3"/>
  <c r="J137" i="3"/>
  <c r="I137" i="3"/>
  <c r="N137" i="3"/>
  <c r="M137" i="3"/>
  <c r="L137" i="3"/>
  <c r="H137" i="3"/>
  <c r="L115" i="4"/>
  <c r="N115" i="4"/>
  <c r="I115" i="4"/>
  <c r="M115" i="4"/>
  <c r="K115" i="4"/>
  <c r="H115" i="4"/>
  <c r="J115" i="4"/>
  <c r="L75" i="4"/>
  <c r="M75" i="4"/>
  <c r="N75" i="4"/>
  <c r="J75" i="4"/>
  <c r="H75" i="4"/>
  <c r="K75" i="4"/>
  <c r="I75" i="4"/>
  <c r="K65" i="4"/>
  <c r="M65" i="4"/>
  <c r="J65" i="4"/>
  <c r="I65" i="4"/>
  <c r="N65" i="4"/>
  <c r="L65" i="4"/>
  <c r="H65" i="4"/>
  <c r="L87" i="3"/>
  <c r="N87" i="3"/>
  <c r="M87" i="3"/>
  <c r="K87" i="3"/>
  <c r="J87" i="3"/>
  <c r="I87" i="3"/>
  <c r="H87" i="3"/>
  <c r="I201" i="3"/>
  <c r="H201" i="3"/>
  <c r="M201" i="3"/>
  <c r="N201" i="3"/>
  <c r="L201" i="3"/>
  <c r="J201" i="3"/>
  <c r="K201" i="3"/>
  <c r="K43" i="3"/>
  <c r="J43" i="3"/>
  <c r="I43" i="3"/>
  <c r="H43" i="3"/>
  <c r="N43" i="3"/>
  <c r="M43" i="3"/>
  <c r="L43" i="3"/>
  <c r="I191" i="3"/>
  <c r="H191" i="3"/>
  <c r="M191" i="3"/>
  <c r="K191" i="3"/>
  <c r="N191" i="3"/>
  <c r="L191" i="3"/>
  <c r="J191" i="3"/>
  <c r="K158" i="4"/>
  <c r="H158" i="4"/>
  <c r="M158" i="4"/>
  <c r="I158" i="4"/>
  <c r="L158" i="4"/>
  <c r="N158" i="4"/>
  <c r="J158" i="4"/>
  <c r="M201" i="4"/>
  <c r="I201" i="4"/>
  <c r="K201" i="4"/>
  <c r="J201" i="4"/>
  <c r="L201" i="4"/>
  <c r="H201" i="4"/>
  <c r="N201" i="4"/>
  <c r="H141" i="4"/>
  <c r="K141" i="4"/>
  <c r="M141" i="4"/>
  <c r="N141" i="4"/>
  <c r="J141" i="4"/>
  <c r="L141" i="4"/>
  <c r="I141" i="4"/>
  <c r="H121" i="4"/>
  <c r="N121" i="4"/>
  <c r="L121" i="4"/>
  <c r="K121" i="4"/>
  <c r="I121" i="4"/>
  <c r="M121" i="4"/>
  <c r="J121" i="4"/>
  <c r="M114" i="3"/>
  <c r="L114" i="3"/>
  <c r="K114" i="3"/>
  <c r="I114" i="3"/>
  <c r="N114" i="3"/>
  <c r="J114" i="3"/>
  <c r="H114" i="3"/>
  <c r="H101" i="4"/>
  <c r="J101" i="4"/>
  <c r="N101" i="4"/>
  <c r="M101" i="4"/>
  <c r="L101" i="4"/>
  <c r="I101" i="4"/>
  <c r="K101" i="4"/>
  <c r="M31" i="4"/>
  <c r="K31" i="4"/>
  <c r="L31" i="4"/>
  <c r="J31" i="4"/>
  <c r="I31" i="4"/>
  <c r="H31" i="4"/>
  <c r="N31" i="4"/>
  <c r="N97" i="4"/>
  <c r="J97" i="4"/>
  <c r="M97" i="4"/>
  <c r="H97" i="4"/>
  <c r="K97" i="4"/>
  <c r="I97" i="4"/>
  <c r="L97" i="4"/>
  <c r="M164" i="4"/>
  <c r="K164" i="4"/>
  <c r="I164" i="4"/>
  <c r="N164" i="4"/>
  <c r="H164" i="4"/>
  <c r="J164" i="4"/>
  <c r="L164" i="4"/>
  <c r="K97" i="3"/>
  <c r="J97" i="3"/>
  <c r="M97" i="3"/>
  <c r="L97" i="3"/>
  <c r="I97" i="3"/>
  <c r="H97" i="3"/>
  <c r="N97" i="3"/>
  <c r="L203" i="3"/>
  <c r="K203" i="3"/>
  <c r="J203" i="3"/>
  <c r="I203" i="3"/>
  <c r="N203" i="3"/>
  <c r="M203" i="3"/>
  <c r="H203" i="3"/>
  <c r="I160" i="4"/>
  <c r="H160" i="4"/>
  <c r="K160" i="4"/>
  <c r="M160" i="4"/>
  <c r="N160" i="4"/>
  <c r="L160" i="4"/>
  <c r="J160" i="4"/>
  <c r="K103" i="3"/>
  <c r="J103" i="3"/>
  <c r="H103" i="3"/>
  <c r="M103" i="3"/>
  <c r="L103" i="3"/>
  <c r="I103" i="3"/>
  <c r="N103" i="3"/>
  <c r="N40" i="4"/>
  <c r="M40" i="4"/>
  <c r="K40" i="4"/>
  <c r="L40" i="4"/>
  <c r="I40" i="4"/>
  <c r="J40" i="4"/>
  <c r="H40" i="4"/>
  <c r="N156" i="3"/>
  <c r="M156" i="3"/>
  <c r="K156" i="3"/>
  <c r="I156" i="3"/>
  <c r="L156" i="3"/>
  <c r="J156" i="3"/>
  <c r="H156" i="3"/>
  <c r="M57" i="4"/>
  <c r="N57" i="4"/>
  <c r="K57" i="4"/>
  <c r="J57" i="4"/>
  <c r="L57" i="4"/>
  <c r="I57" i="4"/>
  <c r="H57" i="4"/>
  <c r="M186" i="4"/>
  <c r="L186" i="4"/>
  <c r="J186" i="4"/>
  <c r="H186" i="4"/>
  <c r="K186" i="4"/>
  <c r="N186" i="4"/>
  <c r="I186" i="4"/>
  <c r="M99" i="3"/>
  <c r="L99" i="3"/>
  <c r="N99" i="3"/>
  <c r="K99" i="3"/>
  <c r="J99" i="3"/>
  <c r="I99" i="3"/>
  <c r="H99" i="3"/>
  <c r="N59" i="3"/>
  <c r="M59" i="3"/>
  <c r="L59" i="3"/>
  <c r="K59" i="3"/>
  <c r="J59" i="3"/>
  <c r="I59" i="3"/>
  <c r="H59" i="3"/>
  <c r="H56" i="4"/>
  <c r="L56" i="4"/>
  <c r="K56" i="4"/>
  <c r="N56" i="4"/>
  <c r="J56" i="4"/>
  <c r="I56" i="4"/>
  <c r="M56" i="4"/>
  <c r="N57" i="3"/>
  <c r="M57" i="3"/>
  <c r="L57" i="3"/>
  <c r="K57" i="3"/>
  <c r="J57" i="3"/>
  <c r="H57" i="3"/>
  <c r="I57" i="3"/>
  <c r="I100" i="3"/>
  <c r="H100" i="3"/>
  <c r="N100" i="3"/>
  <c r="L100" i="3"/>
  <c r="K100" i="3"/>
  <c r="M100" i="3"/>
  <c r="J100" i="3"/>
  <c r="M169" i="4"/>
  <c r="K169" i="4"/>
  <c r="H169" i="4"/>
  <c r="N169" i="4"/>
  <c r="L169" i="4"/>
  <c r="I169" i="4"/>
  <c r="J169" i="4"/>
  <c r="K89" i="4"/>
  <c r="N89" i="4"/>
  <c r="I89" i="4"/>
  <c r="L89" i="4"/>
  <c r="H89" i="4"/>
  <c r="J89" i="4"/>
  <c r="M89" i="4"/>
  <c r="I79" i="4"/>
  <c r="H79" i="4"/>
  <c r="M79" i="4"/>
  <c r="K79" i="4"/>
  <c r="N79" i="4"/>
  <c r="L79" i="4"/>
  <c r="J79" i="4"/>
  <c r="N52" i="3"/>
  <c r="M52" i="3"/>
  <c r="L52" i="3"/>
  <c r="K52" i="3"/>
  <c r="J52" i="3"/>
  <c r="H52" i="3"/>
  <c r="I52" i="3"/>
  <c r="K68" i="3"/>
  <c r="J68" i="3"/>
  <c r="I68" i="3"/>
  <c r="H68" i="3"/>
  <c r="N68" i="3"/>
  <c r="M68" i="3"/>
  <c r="L68" i="3"/>
  <c r="I165" i="3"/>
  <c r="H165" i="3"/>
  <c r="M165" i="3"/>
  <c r="K165" i="3"/>
  <c r="J165" i="3"/>
  <c r="N165" i="3"/>
  <c r="L165" i="3"/>
  <c r="K162" i="4"/>
  <c r="I162" i="4"/>
  <c r="M162" i="4"/>
  <c r="H162" i="4"/>
  <c r="L162" i="4"/>
  <c r="J162" i="4"/>
  <c r="N162" i="4"/>
  <c r="I115" i="3"/>
  <c r="H115" i="3"/>
  <c r="N115" i="3"/>
  <c r="M115" i="3"/>
  <c r="L115" i="3"/>
  <c r="K115" i="3"/>
  <c r="J115" i="3"/>
  <c r="M62" i="4"/>
  <c r="L62" i="4"/>
  <c r="J62" i="4"/>
  <c r="K62" i="4"/>
  <c r="I62" i="4"/>
  <c r="H62" i="4"/>
  <c r="N62" i="4"/>
  <c r="M15" i="3"/>
  <c r="L15" i="3"/>
  <c r="K15" i="3"/>
  <c r="J15" i="3"/>
  <c r="I15" i="3"/>
  <c r="H15" i="3"/>
  <c r="N15" i="3"/>
  <c r="K14" i="4"/>
  <c r="N14" i="4"/>
  <c r="M14" i="4"/>
  <c r="J14" i="4"/>
  <c r="H14" i="4"/>
  <c r="L14" i="4"/>
  <c r="I14" i="4"/>
  <c r="M158" i="3"/>
  <c r="K158" i="3"/>
  <c r="I158" i="3"/>
  <c r="H158" i="3"/>
  <c r="N158" i="3"/>
  <c r="L158" i="3"/>
  <c r="J158" i="3"/>
  <c r="M198" i="4"/>
  <c r="K198" i="4"/>
  <c r="L198" i="4"/>
  <c r="N198" i="4"/>
  <c r="I198" i="4"/>
  <c r="J198" i="4"/>
  <c r="H198" i="4"/>
  <c r="N181" i="3"/>
  <c r="M181" i="3"/>
  <c r="K181" i="3"/>
  <c r="I181" i="3"/>
  <c r="L181" i="3"/>
  <c r="J181" i="3"/>
  <c r="H181" i="3"/>
  <c r="N131" i="3"/>
  <c r="M131" i="3"/>
  <c r="K131" i="3"/>
  <c r="I131" i="3"/>
  <c r="L131" i="3"/>
  <c r="J131" i="3"/>
  <c r="H131" i="3"/>
  <c r="J98" i="4"/>
  <c r="N98" i="4"/>
  <c r="M98" i="4"/>
  <c r="H98" i="4"/>
  <c r="K98" i="4"/>
  <c r="L98" i="4"/>
  <c r="I98" i="4"/>
  <c r="I71" i="3"/>
  <c r="H71" i="3"/>
  <c r="N71" i="3"/>
  <c r="M71" i="3"/>
  <c r="L71" i="3"/>
  <c r="K71" i="3"/>
  <c r="J71" i="3"/>
  <c r="I31" i="3"/>
  <c r="H31" i="3"/>
  <c r="N31" i="3"/>
  <c r="L31" i="3"/>
  <c r="M31" i="3"/>
  <c r="K31" i="3"/>
  <c r="J31" i="3"/>
  <c r="M184" i="3"/>
  <c r="N184" i="3"/>
  <c r="K184" i="3"/>
  <c r="I184" i="3"/>
  <c r="L184" i="3"/>
  <c r="J184" i="3"/>
  <c r="H184" i="3"/>
  <c r="M164" i="3"/>
  <c r="L164" i="3"/>
  <c r="K164" i="3"/>
  <c r="I164" i="3"/>
  <c r="J164" i="3"/>
  <c r="H164" i="3"/>
  <c r="N164" i="3"/>
  <c r="N4" i="3"/>
  <c r="M4" i="3"/>
  <c r="L4" i="3"/>
  <c r="J4" i="3"/>
  <c r="K4" i="3"/>
  <c r="I4" i="3"/>
  <c r="H4" i="3"/>
  <c r="N127" i="4"/>
  <c r="K127" i="4"/>
  <c r="I127" i="4"/>
  <c r="M127" i="4"/>
  <c r="J127" i="4"/>
  <c r="L127" i="4"/>
  <c r="H127" i="4"/>
  <c r="K177" i="3"/>
  <c r="J177" i="3"/>
  <c r="I177" i="3"/>
  <c r="N177" i="3"/>
  <c r="M177" i="3"/>
  <c r="L177" i="3"/>
  <c r="H177" i="3"/>
  <c r="M67" i="4"/>
  <c r="I67" i="4"/>
  <c r="K67" i="4"/>
  <c r="J67" i="4"/>
  <c r="N67" i="4"/>
  <c r="H67" i="4"/>
  <c r="L67" i="4"/>
  <c r="K23" i="3"/>
  <c r="J23" i="3"/>
  <c r="I23" i="3"/>
  <c r="H23" i="3"/>
  <c r="N23" i="3"/>
  <c r="M23" i="3"/>
  <c r="L23" i="3"/>
  <c r="I200" i="4"/>
  <c r="K200" i="4"/>
  <c r="L200" i="4"/>
  <c r="M200" i="4"/>
  <c r="N200" i="4"/>
  <c r="H200" i="4"/>
  <c r="J200" i="4"/>
  <c r="I180" i="4"/>
  <c r="M180" i="4"/>
  <c r="H180" i="4"/>
  <c r="N180" i="4"/>
  <c r="L180" i="4"/>
  <c r="K180" i="4"/>
  <c r="J180" i="4"/>
  <c r="I170" i="4"/>
  <c r="N170" i="4"/>
  <c r="J170" i="4"/>
  <c r="L170" i="4"/>
  <c r="H170" i="4"/>
  <c r="M170" i="4"/>
  <c r="K170" i="4"/>
  <c r="L130" i="4"/>
  <c r="I130" i="4"/>
  <c r="K130" i="4"/>
  <c r="N130" i="4"/>
  <c r="J130" i="4"/>
  <c r="M130" i="4"/>
  <c r="H130" i="4"/>
  <c r="H30" i="4"/>
  <c r="N30" i="4"/>
  <c r="L30" i="4"/>
  <c r="M30" i="4"/>
  <c r="J30" i="4"/>
  <c r="K30" i="4"/>
  <c r="I30" i="4"/>
  <c r="I170" i="3"/>
  <c r="H170" i="3"/>
  <c r="M170" i="3"/>
  <c r="N170" i="3"/>
  <c r="L170" i="3"/>
  <c r="K170" i="3"/>
  <c r="J170" i="3"/>
  <c r="N106" i="3"/>
  <c r="M106" i="3"/>
  <c r="L106" i="3"/>
  <c r="K106" i="3"/>
  <c r="J106" i="3"/>
  <c r="I106" i="3"/>
  <c r="H106" i="3"/>
  <c r="M183" i="3"/>
  <c r="K183" i="3"/>
  <c r="N183" i="3"/>
  <c r="L183" i="3"/>
  <c r="J183" i="3"/>
  <c r="I183" i="3"/>
  <c r="H183" i="3"/>
  <c r="M149" i="3"/>
  <c r="L149" i="3"/>
  <c r="K149" i="3"/>
  <c r="I149" i="3"/>
  <c r="N149" i="3"/>
  <c r="J149" i="3"/>
  <c r="H149" i="3"/>
  <c r="H126" i="4"/>
  <c r="J126" i="4"/>
  <c r="M126" i="4"/>
  <c r="N126" i="4"/>
  <c r="L126" i="4"/>
  <c r="K126" i="4"/>
  <c r="I126" i="4"/>
  <c r="H76" i="4"/>
  <c r="M76" i="4"/>
  <c r="K76" i="4"/>
  <c r="L76" i="4"/>
  <c r="J76" i="4"/>
  <c r="I76" i="4"/>
  <c r="N76" i="4"/>
  <c r="J6" i="4"/>
  <c r="I6" i="4"/>
  <c r="H6" i="4"/>
  <c r="M6" i="4"/>
  <c r="N6" i="4"/>
  <c r="K6" i="4"/>
  <c r="L6" i="4"/>
  <c r="N202" i="3"/>
  <c r="M202" i="3"/>
  <c r="K202" i="3"/>
  <c r="I202" i="3"/>
  <c r="J202" i="3"/>
  <c r="L202" i="3"/>
  <c r="H202" i="3"/>
  <c r="M119" i="4"/>
  <c r="I119" i="4"/>
  <c r="L119" i="4"/>
  <c r="K119" i="4"/>
  <c r="J119" i="4"/>
  <c r="H119" i="4"/>
  <c r="N119" i="4"/>
  <c r="J92" i="3"/>
  <c r="N92" i="3"/>
  <c r="M92" i="3"/>
  <c r="L92" i="3"/>
  <c r="K92" i="3"/>
  <c r="I92" i="3"/>
  <c r="H92" i="3"/>
  <c r="N69" i="4"/>
  <c r="L69" i="4"/>
  <c r="J69" i="4"/>
  <c r="I69" i="4"/>
  <c r="K69" i="4"/>
  <c r="H69" i="4"/>
  <c r="M69" i="4"/>
  <c r="K29" i="4"/>
  <c r="I29" i="4"/>
  <c r="H29" i="4"/>
  <c r="M29" i="4"/>
  <c r="N29" i="4"/>
  <c r="L29" i="4"/>
  <c r="J29" i="4"/>
  <c r="K19" i="4"/>
  <c r="L19" i="4"/>
  <c r="J19" i="4"/>
  <c r="I19" i="4"/>
  <c r="H19" i="4"/>
  <c r="M19" i="4"/>
  <c r="N19" i="4"/>
  <c r="K157" i="3"/>
  <c r="J157" i="3"/>
  <c r="I157" i="3"/>
  <c r="N157" i="3"/>
  <c r="M157" i="3"/>
  <c r="H157" i="3"/>
  <c r="L157" i="3"/>
  <c r="N37" i="3"/>
  <c r="M37" i="3"/>
  <c r="L37" i="3"/>
  <c r="K37" i="3"/>
  <c r="J37" i="3"/>
  <c r="H37" i="3"/>
  <c r="I37" i="3"/>
  <c r="K202" i="4"/>
  <c r="I202" i="4"/>
  <c r="L202" i="4"/>
  <c r="H202" i="4"/>
  <c r="N202" i="4"/>
  <c r="J202" i="4"/>
  <c r="M202" i="4"/>
  <c r="M5" i="3"/>
  <c r="L5" i="3"/>
  <c r="K5" i="3"/>
  <c r="J5" i="3"/>
  <c r="I5" i="3"/>
  <c r="H5" i="3"/>
  <c r="N5" i="3"/>
  <c r="H94" i="4"/>
  <c r="I94" i="4"/>
  <c r="M94" i="4"/>
  <c r="L94" i="4"/>
  <c r="J94" i="4"/>
  <c r="N94" i="4"/>
  <c r="K94" i="4"/>
  <c r="I155" i="4"/>
  <c r="L155" i="4"/>
  <c r="J155" i="4"/>
  <c r="N155" i="4"/>
  <c r="K155" i="4"/>
  <c r="H155" i="4"/>
  <c r="M155" i="4"/>
  <c r="L135" i="4"/>
  <c r="J135" i="4"/>
  <c r="K135" i="4"/>
  <c r="M135" i="4"/>
  <c r="H135" i="4"/>
  <c r="I135" i="4"/>
  <c r="N135" i="4"/>
  <c r="J45" i="4"/>
  <c r="N45" i="4"/>
  <c r="M45" i="4"/>
  <c r="K45" i="4"/>
  <c r="L45" i="4"/>
  <c r="H45" i="4"/>
  <c r="I45" i="4"/>
  <c r="L35" i="4"/>
  <c r="N35" i="4"/>
  <c r="K35" i="4"/>
  <c r="M35" i="4"/>
  <c r="I35" i="4"/>
  <c r="J35" i="4"/>
  <c r="H35" i="4"/>
  <c r="H148" i="4"/>
  <c r="J148" i="4"/>
  <c r="N148" i="4"/>
  <c r="I148" i="4"/>
  <c r="M148" i="4"/>
  <c r="K148" i="4"/>
  <c r="L148" i="4"/>
  <c r="J88" i="4"/>
  <c r="N88" i="4"/>
  <c r="K88" i="4"/>
  <c r="M88" i="4"/>
  <c r="L88" i="4"/>
  <c r="H88" i="4"/>
  <c r="I88" i="4"/>
  <c r="M134" i="3"/>
  <c r="L134" i="3"/>
  <c r="K134" i="3"/>
  <c r="I134" i="3"/>
  <c r="N134" i="3"/>
  <c r="J134" i="3"/>
  <c r="H134" i="3"/>
  <c r="N34" i="3"/>
  <c r="M34" i="3"/>
  <c r="L34" i="3"/>
  <c r="J34" i="3"/>
  <c r="I34" i="3"/>
  <c r="H34" i="3"/>
  <c r="K34" i="3"/>
  <c r="M50" i="3"/>
  <c r="L50" i="3"/>
  <c r="K50" i="3"/>
  <c r="J50" i="3"/>
  <c r="I50" i="3"/>
  <c r="H50" i="3"/>
  <c r="N50" i="3"/>
  <c r="M153" i="3"/>
  <c r="K153" i="3"/>
  <c r="N153" i="3"/>
  <c r="L153" i="3"/>
  <c r="J153" i="3"/>
  <c r="I153" i="3"/>
  <c r="H153" i="3"/>
  <c r="L100" i="4"/>
  <c r="M100" i="4"/>
  <c r="H100" i="4"/>
  <c r="N100" i="4"/>
  <c r="I100" i="4"/>
  <c r="J100" i="4"/>
  <c r="K100" i="4"/>
  <c r="N10" i="4"/>
  <c r="M10" i="4"/>
  <c r="K10" i="4"/>
  <c r="I10" i="4"/>
  <c r="L10" i="4"/>
  <c r="J10" i="4"/>
  <c r="H10" i="4"/>
  <c r="J74" i="4"/>
  <c r="N74" i="4"/>
  <c r="M74" i="4"/>
  <c r="L74" i="4"/>
  <c r="K74" i="4"/>
  <c r="I74" i="4"/>
  <c r="H74" i="4"/>
  <c r="M30" i="3"/>
  <c r="L30" i="3"/>
  <c r="K30" i="3"/>
  <c r="J30" i="3"/>
  <c r="I30" i="3"/>
  <c r="H30" i="3"/>
  <c r="N30" i="3"/>
  <c r="I130" i="3"/>
  <c r="H130" i="3"/>
  <c r="M130" i="3"/>
  <c r="N130" i="3"/>
  <c r="L130" i="3"/>
  <c r="K130" i="3"/>
  <c r="J130" i="3"/>
  <c r="I66" i="3"/>
  <c r="H66" i="3"/>
  <c r="N66" i="3"/>
  <c r="M66" i="3"/>
  <c r="L66" i="3"/>
  <c r="K66" i="3"/>
  <c r="J66" i="3"/>
  <c r="N197" i="3"/>
  <c r="M197" i="3"/>
  <c r="K197" i="3"/>
  <c r="L197" i="3"/>
  <c r="I197" i="3"/>
  <c r="J197" i="3"/>
  <c r="H197" i="3"/>
  <c r="M156" i="4"/>
  <c r="N156" i="4"/>
  <c r="L156" i="4"/>
  <c r="J156" i="4"/>
  <c r="H156" i="4"/>
  <c r="K156" i="4"/>
  <c r="I156" i="4"/>
  <c r="M119" i="3"/>
  <c r="L119" i="3"/>
  <c r="K119" i="3"/>
  <c r="I119" i="3"/>
  <c r="H119" i="3"/>
  <c r="J119" i="3"/>
  <c r="N119" i="3"/>
  <c r="N79" i="3"/>
  <c r="M79" i="3"/>
  <c r="L79" i="3"/>
  <c r="K79" i="3"/>
  <c r="J79" i="3"/>
  <c r="I79" i="3"/>
  <c r="H79" i="3"/>
  <c r="N19" i="3"/>
  <c r="M19" i="3"/>
  <c r="L19" i="3"/>
  <c r="J19" i="3"/>
  <c r="K19" i="3"/>
  <c r="I19" i="3"/>
  <c r="H19" i="3"/>
  <c r="N107" i="4"/>
  <c r="J107" i="4"/>
  <c r="H107" i="4"/>
  <c r="M107" i="4"/>
  <c r="I107" i="4"/>
  <c r="L107" i="4"/>
  <c r="K107" i="4"/>
  <c r="K142" i="3"/>
  <c r="J142" i="3"/>
  <c r="I142" i="3"/>
  <c r="M142" i="3"/>
  <c r="L142" i="3"/>
  <c r="H142" i="3"/>
  <c r="N142" i="3"/>
  <c r="N42" i="3"/>
  <c r="M42" i="3"/>
  <c r="L42" i="3"/>
  <c r="K42" i="3"/>
  <c r="J42" i="3"/>
  <c r="H42" i="3"/>
  <c r="I42" i="3"/>
  <c r="K9" i="4"/>
  <c r="H9" i="4"/>
  <c r="N9" i="4"/>
  <c r="L9" i="4"/>
  <c r="M9" i="4"/>
  <c r="J9" i="4"/>
  <c r="I9" i="4"/>
  <c r="K53" i="3"/>
  <c r="J53" i="3"/>
  <c r="I53" i="3"/>
  <c r="H53" i="3"/>
  <c r="N53" i="3"/>
  <c r="L53" i="3"/>
  <c r="M53" i="3"/>
  <c r="M195" i="3"/>
  <c r="L195" i="3"/>
  <c r="K195" i="3"/>
  <c r="I195" i="3"/>
  <c r="N195" i="3"/>
  <c r="J195" i="3"/>
  <c r="H195" i="3"/>
  <c r="I135" i="3"/>
  <c r="H135" i="3"/>
  <c r="M135" i="3"/>
  <c r="K135" i="3"/>
  <c r="J135" i="3"/>
  <c r="N135" i="3"/>
  <c r="L135" i="3"/>
  <c r="N132" i="4"/>
  <c r="H132" i="4"/>
  <c r="L132" i="4"/>
  <c r="J132" i="4"/>
  <c r="M132" i="4"/>
  <c r="K132" i="4"/>
  <c r="I132" i="4"/>
  <c r="M85" i="3"/>
  <c r="L85" i="3"/>
  <c r="K85" i="3"/>
  <c r="J85" i="3"/>
  <c r="I85" i="3"/>
  <c r="H85" i="3"/>
  <c r="N85" i="3"/>
  <c r="I12" i="4"/>
  <c r="K12" i="4"/>
  <c r="J12" i="4"/>
  <c r="H12" i="4"/>
  <c r="N12" i="4"/>
  <c r="M12" i="4"/>
  <c r="L12" i="4"/>
  <c r="M174" i="4"/>
  <c r="K174" i="4"/>
  <c r="L174" i="4"/>
  <c r="H174" i="4"/>
  <c r="N174" i="4"/>
  <c r="I174" i="4"/>
  <c r="J174" i="4"/>
  <c r="I150" i="3"/>
  <c r="H150" i="3"/>
  <c r="M150" i="3"/>
  <c r="N150" i="3"/>
  <c r="L150" i="3"/>
  <c r="K150" i="3"/>
  <c r="J150" i="3"/>
  <c r="M178" i="3"/>
  <c r="K178" i="3"/>
  <c r="I178" i="3"/>
  <c r="H178" i="3"/>
  <c r="N178" i="3"/>
  <c r="L178" i="3"/>
  <c r="J178" i="3"/>
  <c r="M128" i="3"/>
  <c r="K128" i="3"/>
  <c r="I128" i="3"/>
  <c r="H128" i="3"/>
  <c r="N128" i="3"/>
  <c r="L128" i="3"/>
  <c r="J128" i="3"/>
  <c r="N108" i="3"/>
  <c r="M108" i="3"/>
  <c r="L108" i="3"/>
  <c r="K108" i="3"/>
  <c r="J108" i="3"/>
  <c r="I108" i="3"/>
  <c r="H108" i="3"/>
  <c r="L105" i="4"/>
  <c r="I105" i="4"/>
  <c r="H105" i="4"/>
  <c r="N105" i="4"/>
  <c r="M105" i="4"/>
  <c r="J105" i="4"/>
  <c r="K105" i="4"/>
  <c r="M154" i="4"/>
  <c r="K154" i="4"/>
  <c r="J154" i="4"/>
  <c r="L154" i="4"/>
  <c r="H154" i="4"/>
  <c r="I154" i="4"/>
  <c r="N154" i="4"/>
  <c r="K64" i="4"/>
  <c r="J64" i="4"/>
  <c r="L64" i="4"/>
  <c r="I64" i="4"/>
  <c r="H64" i="4"/>
  <c r="M64" i="4"/>
  <c r="N64" i="4"/>
  <c r="K34" i="4"/>
  <c r="I34" i="4"/>
  <c r="N34" i="4"/>
  <c r="L34" i="4"/>
  <c r="M34" i="4"/>
  <c r="J34" i="4"/>
  <c r="H34" i="4"/>
  <c r="N89" i="3"/>
  <c r="L89" i="3"/>
  <c r="K89" i="3"/>
  <c r="J89" i="3"/>
  <c r="I89" i="3"/>
  <c r="H89" i="3"/>
  <c r="M89" i="3"/>
  <c r="N151" i="3"/>
  <c r="M151" i="3"/>
  <c r="K151" i="3"/>
  <c r="I151" i="3"/>
  <c r="L151" i="3"/>
  <c r="J151" i="3"/>
  <c r="H151" i="3"/>
  <c r="J128" i="4"/>
  <c r="N128" i="4"/>
  <c r="I128" i="4"/>
  <c r="K128" i="4"/>
  <c r="M128" i="4"/>
  <c r="H128" i="4"/>
  <c r="L128" i="4"/>
  <c r="J118" i="4"/>
  <c r="L118" i="4"/>
  <c r="M118" i="4"/>
  <c r="N118" i="4"/>
  <c r="I118" i="4"/>
  <c r="H118" i="4"/>
  <c r="K118" i="4"/>
  <c r="I21" i="3"/>
  <c r="H21" i="3"/>
  <c r="N21" i="3"/>
  <c r="L21" i="3"/>
  <c r="M21" i="3"/>
  <c r="K21" i="3"/>
  <c r="J21" i="3"/>
  <c r="H111" i="4"/>
  <c r="N111" i="4"/>
  <c r="J111" i="4"/>
  <c r="M111" i="4"/>
  <c r="L111" i="4"/>
  <c r="K111" i="4"/>
  <c r="I111" i="4"/>
  <c r="M104" i="3"/>
  <c r="L104" i="3"/>
  <c r="I104" i="3"/>
  <c r="H104" i="3"/>
  <c r="N104" i="3"/>
  <c r="K104" i="3"/>
  <c r="J104" i="3"/>
  <c r="H81" i="4"/>
  <c r="L81" i="4"/>
  <c r="J81" i="4"/>
  <c r="I81" i="4"/>
  <c r="N81" i="4"/>
  <c r="K81" i="4"/>
  <c r="M81" i="4"/>
  <c r="N64" i="3"/>
  <c r="M64" i="3"/>
  <c r="L64" i="3"/>
  <c r="K64" i="3"/>
  <c r="J64" i="3"/>
  <c r="I64" i="3"/>
  <c r="H64" i="3"/>
  <c r="M61" i="4"/>
  <c r="K61" i="4"/>
  <c r="J61" i="4"/>
  <c r="N61" i="4"/>
  <c r="I61" i="4"/>
  <c r="H61" i="4"/>
  <c r="L61" i="4"/>
  <c r="M21" i="4"/>
  <c r="K21" i="4"/>
  <c r="H21" i="4"/>
  <c r="N21" i="4"/>
  <c r="L21" i="4"/>
  <c r="I21" i="4"/>
  <c r="J21" i="4"/>
  <c r="N137" i="4"/>
  <c r="K137" i="4"/>
  <c r="L137" i="4"/>
  <c r="H137" i="4"/>
  <c r="I137" i="4"/>
  <c r="M137" i="4"/>
  <c r="J137" i="4"/>
  <c r="I37" i="4"/>
  <c r="J37" i="4"/>
  <c r="N37" i="4"/>
  <c r="L37" i="4"/>
  <c r="M37" i="4"/>
  <c r="H37" i="4"/>
  <c r="K37" i="4"/>
  <c r="M123" i="3"/>
  <c r="N123" i="3"/>
  <c r="L123" i="3"/>
  <c r="K123" i="3"/>
  <c r="J123" i="3"/>
  <c r="I123" i="3"/>
  <c r="H123" i="3"/>
  <c r="M93" i="3"/>
  <c r="N93" i="3"/>
  <c r="L93" i="3"/>
  <c r="K93" i="3"/>
  <c r="J93" i="3"/>
  <c r="I93" i="3"/>
  <c r="H93" i="3"/>
  <c r="N7" i="3"/>
  <c r="M7" i="3"/>
  <c r="L7" i="3"/>
  <c r="K7" i="3"/>
  <c r="J7" i="3"/>
  <c r="H7" i="3"/>
  <c r="I7" i="3"/>
  <c r="K203" i="4"/>
  <c r="J203" i="4"/>
  <c r="M203" i="4"/>
  <c r="I203" i="4"/>
  <c r="L203" i="4"/>
  <c r="N203" i="4"/>
  <c r="H203" i="4"/>
  <c r="I186" i="3"/>
  <c r="H186" i="3"/>
  <c r="M186" i="3"/>
  <c r="K186" i="3"/>
  <c r="J186" i="3"/>
  <c r="N186" i="3"/>
  <c r="L186" i="3"/>
  <c r="I26" i="3"/>
  <c r="H26" i="3"/>
  <c r="N26" i="3"/>
  <c r="L26" i="3"/>
  <c r="M26" i="3"/>
  <c r="K26" i="3"/>
  <c r="J26" i="3"/>
  <c r="J123" i="4"/>
  <c r="M123" i="4"/>
  <c r="H123" i="4"/>
  <c r="L123" i="4"/>
  <c r="N123" i="4"/>
  <c r="K123" i="4"/>
  <c r="I123" i="4"/>
  <c r="I16" i="3"/>
  <c r="H16" i="3"/>
  <c r="N16" i="3"/>
  <c r="L16" i="3"/>
  <c r="M16" i="3"/>
  <c r="K16" i="3"/>
  <c r="J16" i="3"/>
  <c r="N47" i="3"/>
  <c r="M47" i="3"/>
  <c r="L47" i="3"/>
  <c r="K47" i="3"/>
  <c r="J47" i="3"/>
  <c r="H47" i="3"/>
  <c r="I47" i="3"/>
  <c r="M169" i="3"/>
  <c r="L169" i="3"/>
  <c r="K169" i="3"/>
  <c r="I169" i="3"/>
  <c r="N169" i="3"/>
  <c r="J169" i="3"/>
  <c r="H169" i="3"/>
  <c r="N117" i="4"/>
  <c r="H117" i="4"/>
  <c r="L117" i="4"/>
  <c r="K117" i="4"/>
  <c r="I117" i="4"/>
  <c r="J117" i="4"/>
  <c r="M117" i="4"/>
  <c r="N192" i="3"/>
  <c r="M192" i="3"/>
  <c r="K192" i="3"/>
  <c r="L192" i="3"/>
  <c r="J192" i="3"/>
  <c r="I192" i="3"/>
  <c r="H192" i="3"/>
  <c r="L129" i="4"/>
  <c r="M129" i="4"/>
  <c r="H129" i="4"/>
  <c r="K129" i="4"/>
  <c r="I129" i="4"/>
  <c r="J129" i="4"/>
  <c r="N129" i="4"/>
  <c r="K122" i="3"/>
  <c r="J122" i="3"/>
  <c r="I122" i="3"/>
  <c r="N122" i="3"/>
  <c r="M122" i="3"/>
  <c r="L122" i="3"/>
  <c r="H122" i="3"/>
  <c r="K112" i="3"/>
  <c r="J112" i="3"/>
  <c r="I112" i="3"/>
  <c r="N112" i="3"/>
  <c r="M112" i="3"/>
  <c r="L112" i="3"/>
  <c r="H112" i="3"/>
  <c r="I109" i="4"/>
  <c r="H109" i="4"/>
  <c r="M109" i="4"/>
  <c r="J109" i="4"/>
  <c r="N109" i="4"/>
  <c r="K109" i="4"/>
  <c r="L109" i="4"/>
  <c r="K172" i="4"/>
  <c r="I172" i="4"/>
  <c r="N172" i="4"/>
  <c r="L172" i="4"/>
  <c r="J172" i="4"/>
  <c r="H172" i="4"/>
  <c r="M172" i="4"/>
  <c r="K152" i="4"/>
  <c r="I152" i="4"/>
  <c r="N152" i="4"/>
  <c r="H152" i="4"/>
  <c r="M152" i="4"/>
  <c r="J152" i="4"/>
  <c r="L152" i="4"/>
  <c r="N122" i="4"/>
  <c r="K122" i="4"/>
  <c r="L122" i="4"/>
  <c r="M122" i="4"/>
  <c r="I122" i="4"/>
  <c r="J122" i="4"/>
  <c r="H122" i="4"/>
  <c r="I32" i="4"/>
  <c r="N32" i="4"/>
  <c r="L32" i="4"/>
  <c r="M32" i="4"/>
  <c r="J32" i="4"/>
  <c r="K32" i="4"/>
  <c r="H32" i="4"/>
  <c r="I195" i="4"/>
  <c r="L195" i="4"/>
  <c r="N195" i="4"/>
  <c r="H195" i="4"/>
  <c r="J195" i="4"/>
  <c r="M195" i="4"/>
  <c r="K195" i="4"/>
  <c r="I175" i="4"/>
  <c r="K175" i="4"/>
  <c r="N175" i="4"/>
  <c r="J175" i="4"/>
  <c r="L175" i="4"/>
  <c r="M175" i="4"/>
  <c r="H175" i="4"/>
  <c r="N25" i="4"/>
  <c r="L25" i="4"/>
  <c r="M25" i="4"/>
  <c r="J25" i="4"/>
  <c r="K25" i="4"/>
  <c r="I25" i="4"/>
  <c r="H25" i="4"/>
  <c r="L188" i="4"/>
  <c r="M188" i="4"/>
  <c r="J188" i="4"/>
  <c r="H188" i="4"/>
  <c r="K188" i="4"/>
  <c r="N188" i="4"/>
  <c r="I188" i="4"/>
  <c r="I168" i="4"/>
  <c r="N168" i="4"/>
  <c r="J168" i="4"/>
  <c r="M168" i="4"/>
  <c r="K168" i="4"/>
  <c r="L168" i="4"/>
  <c r="H168" i="4"/>
  <c r="J78" i="4"/>
  <c r="I78" i="4"/>
  <c r="K78" i="4"/>
  <c r="N78" i="4"/>
  <c r="M78" i="4"/>
  <c r="H78" i="4"/>
  <c r="L78" i="4"/>
  <c r="I61" i="3"/>
  <c r="H61" i="3"/>
  <c r="N61" i="3"/>
  <c r="M61" i="3"/>
  <c r="L61" i="3"/>
  <c r="K61" i="3"/>
  <c r="J61" i="3"/>
  <c r="K38" i="3"/>
  <c r="J38" i="3"/>
  <c r="I38" i="3"/>
  <c r="H38" i="3"/>
  <c r="N38" i="3"/>
  <c r="M38" i="3"/>
  <c r="L38" i="3"/>
  <c r="M161" i="4"/>
  <c r="K161" i="4"/>
  <c r="J161" i="4"/>
  <c r="N161" i="4"/>
  <c r="I161" i="4"/>
  <c r="L161" i="4"/>
  <c r="H161" i="4"/>
  <c r="M184" i="4"/>
  <c r="K184" i="4"/>
  <c r="I184" i="4"/>
  <c r="N184" i="4"/>
  <c r="H184" i="4"/>
  <c r="L184" i="4"/>
  <c r="J184" i="4"/>
  <c r="M173" i="3"/>
  <c r="K173" i="3"/>
  <c r="N173" i="3"/>
  <c r="L173" i="3"/>
  <c r="J173" i="3"/>
  <c r="I173" i="3"/>
  <c r="H173" i="3"/>
  <c r="L120" i="4"/>
  <c r="J120" i="4"/>
  <c r="M120" i="4"/>
  <c r="I120" i="4"/>
  <c r="N120" i="4"/>
  <c r="H120" i="4"/>
  <c r="K120" i="4"/>
  <c r="H13" i="4"/>
  <c r="M13" i="4"/>
  <c r="K13" i="4"/>
  <c r="L13" i="4"/>
  <c r="J13" i="4"/>
  <c r="I13" i="4"/>
  <c r="N13" i="4"/>
  <c r="J73" i="4"/>
  <c r="M73" i="4"/>
  <c r="N73" i="4"/>
  <c r="L73" i="4"/>
  <c r="I73" i="4"/>
  <c r="H73" i="4"/>
  <c r="K73" i="4"/>
  <c r="H106" i="4"/>
  <c r="M106" i="4"/>
  <c r="I106" i="4"/>
  <c r="N106" i="4"/>
  <c r="L106" i="4"/>
  <c r="K106" i="4"/>
  <c r="J106" i="4"/>
  <c r="N49" i="3"/>
  <c r="M49" i="3"/>
  <c r="L49" i="3"/>
  <c r="J49" i="3"/>
  <c r="K49" i="3"/>
  <c r="I49" i="3"/>
  <c r="H49" i="3"/>
  <c r="M46" i="4"/>
  <c r="K46" i="4"/>
  <c r="H46" i="4"/>
  <c r="N46" i="4"/>
  <c r="J46" i="4"/>
  <c r="I46" i="4"/>
  <c r="L46" i="4"/>
  <c r="I193" i="4"/>
  <c r="L193" i="4"/>
  <c r="K193" i="4"/>
  <c r="N193" i="4"/>
  <c r="M193" i="4"/>
  <c r="H193" i="4"/>
  <c r="J193" i="4"/>
  <c r="N146" i="3"/>
  <c r="M146" i="3"/>
  <c r="K146" i="3"/>
  <c r="I146" i="3"/>
  <c r="L146" i="3"/>
  <c r="J146" i="3"/>
  <c r="H146" i="3"/>
  <c r="N116" i="3"/>
  <c r="M116" i="3"/>
  <c r="K116" i="3"/>
  <c r="L116" i="3"/>
  <c r="J116" i="3"/>
  <c r="I116" i="3"/>
  <c r="H116" i="3"/>
  <c r="K107" i="3"/>
  <c r="J107" i="3"/>
  <c r="N107" i="3"/>
  <c r="M107" i="3"/>
  <c r="L107" i="3"/>
  <c r="I107" i="3"/>
  <c r="H107" i="3"/>
  <c r="M189" i="4"/>
  <c r="K189" i="4"/>
  <c r="L189" i="4"/>
  <c r="J189" i="4"/>
  <c r="N189" i="4"/>
  <c r="H189" i="4"/>
  <c r="I189" i="4"/>
  <c r="K162" i="3"/>
  <c r="J162" i="3"/>
  <c r="I162" i="3"/>
  <c r="M162" i="3"/>
  <c r="L162" i="3"/>
  <c r="H162" i="3"/>
  <c r="N162" i="3"/>
  <c r="N82" i="3"/>
  <c r="M82" i="3"/>
  <c r="L82" i="3"/>
  <c r="K82" i="3"/>
  <c r="J82" i="3"/>
  <c r="I82" i="3"/>
  <c r="H82" i="3"/>
  <c r="J59" i="4"/>
  <c r="H59" i="4"/>
  <c r="L59" i="4"/>
  <c r="K59" i="4"/>
  <c r="M59" i="4"/>
  <c r="I59" i="4"/>
  <c r="N59" i="4"/>
  <c r="N32" i="3"/>
  <c r="M32" i="3"/>
  <c r="L32" i="3"/>
  <c r="K32" i="3"/>
  <c r="J32" i="3"/>
  <c r="H32" i="3"/>
  <c r="I32" i="3"/>
  <c r="L114" i="4"/>
  <c r="H114" i="4"/>
  <c r="M114" i="4"/>
  <c r="N114" i="4"/>
  <c r="J114" i="4"/>
  <c r="K114" i="4"/>
  <c r="I114" i="4"/>
  <c r="I155" i="3"/>
  <c r="H155" i="3"/>
  <c r="M155" i="3"/>
  <c r="K155" i="3"/>
  <c r="J155" i="3"/>
  <c r="N155" i="3"/>
  <c r="L155" i="3"/>
  <c r="I105" i="3"/>
  <c r="H105" i="3"/>
  <c r="N105" i="3"/>
  <c r="L105" i="3"/>
  <c r="K105" i="3"/>
  <c r="J105" i="3"/>
  <c r="M105" i="3"/>
  <c r="N102" i="4"/>
  <c r="M102" i="4"/>
  <c r="I102" i="4"/>
  <c r="J102" i="4"/>
  <c r="L102" i="4"/>
  <c r="H102" i="4"/>
  <c r="K102" i="4"/>
  <c r="N82" i="4"/>
  <c r="I82" i="4"/>
  <c r="M82" i="4"/>
  <c r="K82" i="4"/>
  <c r="J82" i="4"/>
  <c r="H82" i="4"/>
  <c r="L82" i="4"/>
  <c r="M75" i="3"/>
  <c r="L75" i="3"/>
  <c r="K75" i="3"/>
  <c r="J75" i="3"/>
  <c r="I75" i="3"/>
  <c r="H75" i="3"/>
  <c r="N75" i="3"/>
  <c r="I42" i="4"/>
  <c r="N42" i="4"/>
  <c r="M42" i="4"/>
  <c r="K42" i="4"/>
  <c r="L42" i="4"/>
  <c r="H42" i="4"/>
  <c r="J42" i="4"/>
  <c r="I27" i="4"/>
  <c r="L27" i="4"/>
  <c r="M27" i="4"/>
  <c r="N27" i="4"/>
  <c r="J27" i="4"/>
  <c r="K27" i="4"/>
  <c r="H27" i="4"/>
  <c r="K198" i="3"/>
  <c r="J198" i="3"/>
  <c r="I198" i="3"/>
  <c r="M198" i="3"/>
  <c r="H198" i="3"/>
  <c r="N198" i="3"/>
  <c r="L198" i="3"/>
  <c r="M148" i="3"/>
  <c r="K148" i="3"/>
  <c r="I148" i="3"/>
  <c r="H148" i="3"/>
  <c r="N148" i="3"/>
  <c r="L148" i="3"/>
  <c r="J148" i="3"/>
  <c r="N98" i="3"/>
  <c r="M98" i="3"/>
  <c r="L98" i="3"/>
  <c r="K98" i="3"/>
  <c r="J98" i="3"/>
  <c r="I98" i="3"/>
  <c r="H98" i="3"/>
  <c r="N171" i="3"/>
  <c r="M171" i="3"/>
  <c r="K171" i="3"/>
  <c r="I171" i="3"/>
  <c r="L171" i="3"/>
  <c r="J171" i="3"/>
  <c r="H171" i="3"/>
  <c r="N121" i="3"/>
  <c r="M121" i="3"/>
  <c r="K121" i="3"/>
  <c r="L121" i="3"/>
  <c r="J121" i="3"/>
  <c r="I121" i="3"/>
  <c r="H121" i="3"/>
  <c r="J108" i="4"/>
  <c r="L108" i="4"/>
  <c r="H108" i="4"/>
  <c r="N108" i="4"/>
  <c r="M108" i="4"/>
  <c r="K108" i="4"/>
  <c r="I108" i="4"/>
  <c r="N91" i="3"/>
  <c r="H91" i="3"/>
  <c r="M91" i="3"/>
  <c r="L91" i="3"/>
  <c r="K91" i="3"/>
  <c r="J91" i="3"/>
  <c r="I91" i="3"/>
  <c r="M48" i="4"/>
  <c r="N48" i="4"/>
  <c r="L48" i="4"/>
  <c r="J48" i="4"/>
  <c r="I48" i="4"/>
  <c r="H48" i="4"/>
  <c r="K48" i="4"/>
  <c r="I11" i="3"/>
  <c r="H11" i="3"/>
  <c r="N11" i="3"/>
  <c r="L11" i="3"/>
  <c r="M11" i="3"/>
  <c r="K11" i="3"/>
  <c r="J11" i="3"/>
  <c r="M191" i="4"/>
  <c r="K191" i="4"/>
  <c r="L191" i="4"/>
  <c r="H191" i="4"/>
  <c r="N191" i="4"/>
  <c r="I191" i="4"/>
  <c r="J191" i="4"/>
  <c r="M154" i="3"/>
  <c r="L154" i="3"/>
  <c r="K154" i="3"/>
  <c r="I154" i="3"/>
  <c r="N154" i="3"/>
  <c r="J154" i="3"/>
  <c r="H154" i="3"/>
  <c r="M94" i="3"/>
  <c r="L94" i="3"/>
  <c r="K94" i="3"/>
  <c r="J94" i="3"/>
  <c r="N94" i="3"/>
  <c r="I94" i="3"/>
  <c r="H94" i="3"/>
  <c r="N84" i="3"/>
  <c r="M84" i="3"/>
  <c r="L84" i="3"/>
  <c r="K84" i="3"/>
  <c r="J84" i="3"/>
  <c r="I84" i="3"/>
  <c r="H84" i="3"/>
  <c r="N24" i="3"/>
  <c r="M24" i="3"/>
  <c r="L24" i="3"/>
  <c r="J24" i="3"/>
  <c r="K24" i="3"/>
  <c r="I24" i="3"/>
  <c r="H24" i="3"/>
  <c r="K127" i="3"/>
  <c r="J127" i="3"/>
  <c r="I127" i="3"/>
  <c r="N127" i="3"/>
  <c r="M127" i="3"/>
  <c r="L127" i="3"/>
  <c r="H127" i="3"/>
  <c r="I150" i="4"/>
  <c r="M150" i="4"/>
  <c r="N150" i="4"/>
  <c r="H150" i="4"/>
  <c r="L150" i="4"/>
  <c r="K150" i="4"/>
  <c r="J150" i="4"/>
  <c r="L90" i="4"/>
  <c r="H90" i="4"/>
  <c r="M90" i="4"/>
  <c r="K90" i="4"/>
  <c r="J90" i="4"/>
  <c r="I90" i="4"/>
  <c r="N90" i="4"/>
  <c r="K70" i="4"/>
  <c r="L70" i="4"/>
  <c r="I70" i="4"/>
  <c r="J70" i="4"/>
  <c r="H70" i="4"/>
  <c r="N70" i="4"/>
  <c r="M70" i="4"/>
  <c r="K60" i="4"/>
  <c r="L60" i="4"/>
  <c r="J60" i="4"/>
  <c r="N60" i="4"/>
  <c r="M60" i="4"/>
  <c r="I60" i="4"/>
  <c r="H60" i="4"/>
  <c r="D20" i="1" l="1"/>
  <c r="E20" i="1"/>
  <c r="D19" i="1"/>
  <c r="E19" i="1"/>
</calcChain>
</file>

<file path=xl/sharedStrings.xml><?xml version="1.0" encoding="utf-8"?>
<sst xmlns="http://schemas.openxmlformats.org/spreadsheetml/2006/main" count="111" uniqueCount="93">
  <si>
    <t>Fast Follower Analysis – Executive Summary</t>
  </si>
  <si>
    <t>APPLICATION UNIVERSE</t>
  </si>
  <si>
    <t>Metric</t>
  </si>
  <si>
    <t>Count</t>
  </si>
  <si>
    <t>Notes</t>
  </si>
  <si>
    <t>Total Business Apps (Risk File)</t>
  </si>
  <si>
    <t>Full app inventory</t>
  </si>
  <si>
    <t>Apps Active in Illumio (bus_active=TRUE)</t>
  </si>
  <si>
    <t>FUSE Members</t>
  </si>
  <si>
    <t>FND-17108 Finding Apps</t>
  </si>
  <si>
    <t>RISK RATING BREAKDOWN</t>
  </si>
  <si>
    <t>Risk Rating</t>
  </si>
  <si>
    <t>Total Apps</t>
  </si>
  <si>
    <t>Finding Apps</t>
  </si>
  <si>
    <t>Fast Follower Eligible</t>
  </si>
  <si>
    <t>Very High</t>
  </si>
  <si>
    <t>N/A – See Bucket 1</t>
  </si>
  <si>
    <t>High</t>
  </si>
  <si>
    <t>Moderate</t>
  </si>
  <si>
    <t>Low</t>
  </si>
  <si>
    <t>FAST FOLLOWER BUCKETS</t>
  </si>
  <si>
    <t>Bucket</t>
  </si>
  <si>
    <t>Description</t>
  </si>
  <si>
    <t>App Count</t>
  </si>
  <si>
    <t>Server Workloads</t>
  </si>
  <si>
    <t>Container Workloads</t>
  </si>
  <si>
    <t>Bucket 1</t>
  </si>
  <si>
    <t>High/Very High Risk – NOT in FND-17108 Findings</t>
  </si>
  <si>
    <t>Bucket 2</t>
  </si>
  <si>
    <t>Fast Followers – Low/Moderate, FUSE Member, NOT a Finding</t>
  </si>
  <si>
    <t>All Business Applications – Risk &amp; Classification</t>
  </si>
  <si>
    <t>rsk_u_application</t>
  </si>
  <si>
    <t>bus_correlation_id</t>
  </si>
  <si>
    <t>bus_active</t>
  </si>
  <si>
    <t>rsk_u_overall_risk_rating</t>
  </si>
  <si>
    <t>bus_application_manager</t>
  </si>
  <si>
    <t>bus_application_type</t>
  </si>
  <si>
    <t>rsk_u_segment_it_risk_manager</t>
  </si>
  <si>
    <t>dep_u_segment_risk_officer</t>
  </si>
  <si>
    <t>FUSE_Member</t>
  </si>
  <si>
    <t>Fast_Follower_Status</t>
  </si>
  <si>
    <t>FND_Finding</t>
  </si>
  <si>
    <t>⬇  PASTE your s_business_app_to_risk data starting in row 4 (columns A–H). Columns I, J, K are auto-calculated.</t>
  </si>
  <si>
    <t>BUCKET 1 – High / Very High Risk Apps NOT in FND-17108 Findings</t>
  </si>
  <si>
    <t>App Name</t>
  </si>
  <si>
    <t>CI (bus_correlation_id)</t>
  </si>
  <si>
    <t>Bus Active</t>
  </si>
  <si>
    <t>App Manager</t>
  </si>
  <si>
    <t>App Type</t>
  </si>
  <si>
    <t>FUSE Member</t>
  </si>
  <si>
    <t>Server Enforcement Mode</t>
  </si>
  <si>
    <t>Server Online Status</t>
  </si>
  <si>
    <t>Retired Servers (R-RETIRED_IN_CMDB)</t>
  </si>
  <si>
    <t>Container Enforcement Mode</t>
  </si>
  <si>
    <t>Finding App?</t>
  </si>
  <si>
    <t>Server Count</t>
  </si>
  <si>
    <t>Container Count</t>
  </si>
  <si>
    <t>⬇  These rows auto-populate from All_Risk_Apps where Risk = High or Very High AND FND_Finding = No. Paste source data in All_Risk_Apps, Server_Inventory, and Container_Inventory tabs first.</t>
  </si>
  <si>
    <t>BUCKET 2 – Fast Followers (Low/Moderate Risk | FUSE Member | NOT a Finding)</t>
  </si>
  <si>
    <t>⬇  Auto-populated from All_Risk_Apps where Fast_Follower_Status = 'Fast Follower'. Paste source data in All_Risk_Apps, Server_Inventory, and Container_Inventory tabs first.</t>
  </si>
  <si>
    <t>Server Inventory – Workloader Export (PASTE RAW DATA BELOW ROW 2)</t>
  </si>
  <si>
    <t>Col K
App Label
(A-NAME-CI#)</t>
  </si>
  <si>
    <t>Col P
Role
(R-RETIRED_IN_CMDB)</t>
  </si>
  <si>
    <t>Col R
Enforcement
Mode</t>
  </si>
  <si>
    <t>Col S
Online
Status</t>
  </si>
  <si>
    <t>Col Z ⬅ HELPER
Extracted CI#
(auto from col K)</t>
  </si>
  <si>
    <t>⬇  Paste your Workloader export here starting row 3. Column Z auto-extracts the CI number from column K.</t>
  </si>
  <si>
    <t>Container Inventory – API Export (PASTE RAW DATA BELOW ROW 2)</t>
  </si>
  <si>
    <t>Col F
Enforcement
Mode</t>
  </si>
  <si>
    <t>Col L
CI Number
(join key)</t>
  </si>
  <si>
    <t>⬇  Paste your Container Inventory API export here starting row 3. Col F = Enforcement Mode, Col L = CI Number.</t>
  </si>
  <si>
    <t>FUSE CI List (99 unique CIs)</t>
  </si>
  <si>
    <t>CI Number</t>
  </si>
  <si>
    <t>⬇  Paste your 99 deduplicated FUSE CI numbers here (one per row)</t>
  </si>
  <si>
    <t>FND-17108 Finding CI List (28 CIs)</t>
  </si>
  <si>
    <t>⬇  Paste your 28 FND-17108 Finding CI numbers here (one per row)</t>
  </si>
  <si>
    <t>Pivot – Instructions</t>
  </si>
  <si>
    <t>Step</t>
  </si>
  <si>
    <t>Action</t>
  </si>
  <si>
    <t>1</t>
  </si>
  <si>
    <t>Go to All_Risk_Apps tab → click any cell in the data</t>
  </si>
  <si>
    <t>2</t>
  </si>
  <si>
    <t>Insert → PivotTable → New Sheet (or use this sheet)</t>
  </si>
  <si>
    <t>3</t>
  </si>
  <si>
    <t>Rows: rsk_u_overall_risk_rating</t>
  </si>
  <si>
    <t>4</t>
  </si>
  <si>
    <t>Columns: FUSE_Member</t>
  </si>
  <si>
    <t>5</t>
  </si>
  <si>
    <t>Values: Count of rsk_u_application</t>
  </si>
  <si>
    <t>6</t>
  </si>
  <si>
    <t>Add Slicer on: Fast_Follower_Status, FND_Finding, bus_active</t>
  </si>
  <si>
    <t>7</t>
  </si>
  <si>
    <t>Insert Bar Chart from pivot for Summary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</si>
</sst>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i/>
      <sz val="10"/>
      <color rgb="FF7F7F7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6E4F7"/>
        <bgColor rgb="FFDEEAF1"/>
      </patternFill>
    </fill>
    <fill>
      <patternFill patternType="solid">
        <fgColor rgb="FFFFFFFF"/>
        <bgColor rgb="FFF0FFF0"/>
      </patternFill>
    </fill>
    <fill>
      <patternFill patternType="solid">
        <fgColor rgb="FFDEEAF1"/>
        <bgColor rgb="FFD6E4F7"/>
      </patternFill>
    </fill>
    <fill>
      <patternFill patternType="solid">
        <fgColor rgb="FFFFE0E0"/>
        <bgColor rgb="FFFFF0F0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AF4FB"/>
      </patternFill>
    </fill>
    <fill>
      <patternFill patternType="solid">
        <fgColor rgb="FFEAF4FB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FFF0F0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F0FFF0"/>
        <bgColor rgb="FFFFFFFF"/>
      </patternFill>
    </fill>
    <fill>
      <patternFill patternType="solid">
        <fgColor rgb="FF7030A0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0" borderId="0" xfId="0" applyFont="1"/>
    <xf numFmtId="0" fontId="7" fillId="15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4" fillId="9" borderId="1" xfId="0" applyFont="1" applyFill="1" applyBorder="1"/>
    <xf numFmtId="0" fontId="4" fillId="5" borderId="1" xfId="0" applyFont="1" applyFill="1" applyBorder="1"/>
    <xf numFmtId="0" fontId="4" fillId="7" borderId="1" xfId="0" applyFont="1" applyFill="1" applyBorder="1"/>
    <xf numFmtId="0" fontId="4" fillId="12" borderId="1" xfId="0" applyFont="1" applyFill="1" applyBorder="1"/>
    <xf numFmtId="0" fontId="9" fillId="5" borderId="1" xfId="0" applyFont="1" applyFill="1" applyBorder="1" applyAlignment="1">
      <alignment horizontal="left" vertical="center" wrapText="1"/>
    </xf>
    <xf numFmtId="0" fontId="7" fillId="15" borderId="0" xfId="0" applyFont="1" applyFill="1" applyAlignment="1">
      <alignment horizontal="center" vertical="center" wrapText="1"/>
    </xf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11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7030A0"/>
      <rgbColor rgb="FFF0FFF0"/>
      <rgbColor rgb="FFEAF4FB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0F0"/>
      <rgbColor rgb="FFF2F2F2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zoomScaleNormal="100" workbookViewId="0">
      <selection activeCell="C5" sqref="C5"/>
    </sheetView>
  </sheetViews>
  <sheetFormatPr baseColWidth="10" defaultColWidth="8.6640625" defaultRowHeight="15" x14ac:dyDescent="0.2"/>
  <cols>
    <col min="1" max="1" width="35" customWidth="1"/>
    <col min="2" max="2" width="8" customWidth="1"/>
    <col min="3" max="3" width="20" customWidth="1"/>
    <col min="4" max="4" width="18" customWidth="1"/>
    <col min="5" max="5" width="22" customWidth="1"/>
    <col min="6" max="6" width="15" customWidth="1"/>
  </cols>
  <sheetData>
    <row r="1" spans="1:6" ht="36" customHeight="1" x14ac:dyDescent="0.2">
      <c r="A1" s="24" t="s">
        <v>0</v>
      </c>
      <c r="B1" s="24"/>
      <c r="C1" s="24"/>
      <c r="D1" s="24"/>
      <c r="E1" s="24"/>
      <c r="F1" s="24"/>
    </row>
    <row r="3" spans="1:6" ht="30" customHeight="1" x14ac:dyDescent="0.2">
      <c r="A3" s="25" t="s">
        <v>1</v>
      </c>
      <c r="B3" s="25"/>
      <c r="C3" s="25"/>
      <c r="D3" s="25"/>
      <c r="E3" s="25"/>
      <c r="F3" s="25"/>
    </row>
    <row r="4" spans="1:6" ht="30" customHeight="1" x14ac:dyDescent="0.2">
      <c r="A4" s="4" t="s">
        <v>2</v>
      </c>
      <c r="B4" s="4" t="s">
        <v>3</v>
      </c>
      <c r="C4" s="4" t="s">
        <v>4</v>
      </c>
      <c r="D4" s="4"/>
      <c r="E4" s="4"/>
      <c r="F4" s="4"/>
    </row>
    <row r="5" spans="1:6" x14ac:dyDescent="0.2">
      <c r="A5" s="5" t="s">
        <v>5</v>
      </c>
      <c r="B5" s="5">
        <f>COUNTA(All_Risk_Apps!A:A)-1</f>
        <v>2</v>
      </c>
      <c r="C5" s="5" t="s">
        <v>6</v>
      </c>
      <c r="D5" s="5"/>
      <c r="E5" s="5"/>
      <c r="F5" s="5"/>
    </row>
    <row r="6" spans="1:6" x14ac:dyDescent="0.2">
      <c r="A6" s="6" t="s">
        <v>7</v>
      </c>
      <c r="B6" s="6">
        <f>COUNTIF(All_Risk_Apps!C:C,TRUE())</f>
        <v>0</v>
      </c>
      <c r="C6" s="6"/>
      <c r="D6" s="6"/>
      <c r="E6" s="6"/>
      <c r="F6" s="6"/>
    </row>
    <row r="7" spans="1:6" x14ac:dyDescent="0.2">
      <c r="A7" s="5" t="s">
        <v>8</v>
      </c>
      <c r="B7" s="5">
        <f>COUNTIF(All_Risk_Apps!I:I,"Yes")</f>
        <v>0</v>
      </c>
      <c r="C7" s="5"/>
      <c r="D7" s="5"/>
      <c r="E7" s="5"/>
      <c r="F7" s="5"/>
    </row>
    <row r="8" spans="1:6" x14ac:dyDescent="0.2">
      <c r="A8" s="6" t="s">
        <v>9</v>
      </c>
      <c r="B8" s="6">
        <f>COUNTIF(All_Risk_Apps!K:K,"Yes")</f>
        <v>0</v>
      </c>
      <c r="C8" s="6"/>
      <c r="D8" s="6"/>
      <c r="E8" s="6"/>
      <c r="F8" s="6"/>
    </row>
    <row r="10" spans="1:6" ht="30" customHeight="1" x14ac:dyDescent="0.2">
      <c r="A10" s="25" t="s">
        <v>10</v>
      </c>
      <c r="B10" s="25"/>
      <c r="C10" s="25"/>
      <c r="D10" s="25"/>
      <c r="E10" s="25"/>
      <c r="F10" s="25"/>
    </row>
    <row r="11" spans="1:6" ht="30" customHeight="1" x14ac:dyDescent="0.2">
      <c r="A11" s="4" t="s">
        <v>11</v>
      </c>
      <c r="B11" s="4" t="s">
        <v>12</v>
      </c>
      <c r="C11" s="4" t="s">
        <v>8</v>
      </c>
      <c r="D11" s="4" t="s">
        <v>13</v>
      </c>
      <c r="E11" s="4" t="s">
        <v>14</v>
      </c>
      <c r="F11" s="4"/>
    </row>
    <row r="12" spans="1:6" x14ac:dyDescent="0.2">
      <c r="A12" s="7" t="s">
        <v>15</v>
      </c>
      <c r="B12" s="7">
        <f>COUNTIF(All_Risk_Apps!D:D,"Very High")</f>
        <v>0</v>
      </c>
      <c r="C12" s="7">
        <f>COUNTIFS(All_Risk_Apps!D:D,"Very High",All_Risk_Apps!I:I,"Yes")</f>
        <v>0</v>
      </c>
      <c r="D12" s="7">
        <f>COUNTIFS(All_Risk_Apps!D:D,"Very High",All_Risk_Apps!K:K,"Yes")</f>
        <v>0</v>
      </c>
      <c r="E12" s="7" t="s">
        <v>16</v>
      </c>
      <c r="F12" s="7"/>
    </row>
    <row r="13" spans="1:6" x14ac:dyDescent="0.2">
      <c r="A13" s="7" t="s">
        <v>17</v>
      </c>
      <c r="B13" s="7">
        <f>COUNTIF(All_Risk_Apps!D:D,"High")</f>
        <v>0</v>
      </c>
      <c r="C13" s="7">
        <f>COUNTIFS(All_Risk_Apps!D:D,"High",All_Risk_Apps!I:I,"Yes")</f>
        <v>0</v>
      </c>
      <c r="D13" s="7">
        <f>COUNTIFS(All_Risk_Apps!D:D,"High",All_Risk_Apps!K:K,"Yes")</f>
        <v>0</v>
      </c>
      <c r="E13" s="7" t="s">
        <v>16</v>
      </c>
      <c r="F13" s="7"/>
    </row>
    <row r="14" spans="1:6" x14ac:dyDescent="0.2">
      <c r="A14" s="8" t="s">
        <v>18</v>
      </c>
      <c r="B14" s="8">
        <f>COUNTIF(All_Risk_Apps!D:D,"Moderate")</f>
        <v>0</v>
      </c>
      <c r="C14" s="8">
        <f>COUNTIFS(All_Risk_Apps!D:D,"Moderate",All_Risk_Apps!I:I,"Yes")</f>
        <v>0</v>
      </c>
      <c r="D14" s="8">
        <f>COUNTIFS(All_Risk_Apps!D:D,"Moderate",All_Risk_Apps!K:K,"Yes")</f>
        <v>0</v>
      </c>
      <c r="E14" s="8">
        <f>COUNTIFS(All_Risk_Apps!D:D,"Moderate",All_Risk_Apps!J:J,"Fast Follower")</f>
        <v>0</v>
      </c>
      <c r="F14" s="8"/>
    </row>
    <row r="15" spans="1:6" x14ac:dyDescent="0.2">
      <c r="A15" s="8" t="s">
        <v>19</v>
      </c>
      <c r="B15" s="8">
        <f>COUNTIF(All_Risk_Apps!D:D,"Low")</f>
        <v>0</v>
      </c>
      <c r="C15" s="8">
        <f>COUNTIFS(All_Risk_Apps!D:D,"Low",All_Risk_Apps!I:I,"Yes")</f>
        <v>0</v>
      </c>
      <c r="D15" s="8">
        <f>COUNTIFS(All_Risk_Apps!D:D,"Low",All_Risk_Apps!K:K,"Yes")</f>
        <v>0</v>
      </c>
      <c r="E15" s="8">
        <f>COUNTIFS(All_Risk_Apps!D:D,"Low",All_Risk_Apps!J:J,"Fast Follower")</f>
        <v>0</v>
      </c>
      <c r="F15" s="8"/>
    </row>
    <row r="17" spans="1:6" ht="30" customHeight="1" x14ac:dyDescent="0.2">
      <c r="A17" s="25" t="s">
        <v>20</v>
      </c>
      <c r="B17" s="25"/>
      <c r="C17" s="25"/>
      <c r="D17" s="25"/>
      <c r="E17" s="25"/>
      <c r="F17" s="25"/>
    </row>
    <row r="18" spans="1:6" ht="30" customHeight="1" x14ac:dyDescent="0.2">
      <c r="A18" s="4" t="s">
        <v>21</v>
      </c>
      <c r="B18" s="4" t="s">
        <v>22</v>
      </c>
      <c r="C18" s="4" t="s">
        <v>23</v>
      </c>
      <c r="D18" s="4" t="s">
        <v>24</v>
      </c>
      <c r="E18" s="4" t="s">
        <v>25</v>
      </c>
      <c r="F18" s="4"/>
    </row>
    <row r="19" spans="1:6" ht="98" x14ac:dyDescent="0.2">
      <c r="A19" s="7" t="s">
        <v>26</v>
      </c>
      <c r="B19" s="7" t="s">
        <v>27</v>
      </c>
      <c r="C19" s="7">
        <f ca="1">COUNTA(Bucket1_High_Risk!A:A)-1</f>
        <v>202</v>
      </c>
      <c r="D19" s="7">
        <f ca="1">SUMIF(Bucket1_High_Risk!A:A,"&lt;&gt;",Bucket1_High_Risk!M:M)</f>
        <v>0</v>
      </c>
      <c r="E19" s="7">
        <f ca="1">SUMIF(Bucket1_High_Risk!A:A,"&lt;&gt;",Bucket1_High_Risk!N:N)</f>
        <v>0</v>
      </c>
      <c r="F19" s="7"/>
    </row>
    <row r="20" spans="1:6" ht="126" x14ac:dyDescent="0.2">
      <c r="A20" s="8" t="s">
        <v>28</v>
      </c>
      <c r="B20" s="8" t="s">
        <v>29</v>
      </c>
      <c r="C20" s="8">
        <f ca="1">COUNTA(Bucket2_Fast_Followers!A:A)-1</f>
        <v>202</v>
      </c>
      <c r="D20" s="8">
        <f ca="1">SUMIF(Bucket2_Fast_Followers!A:A,"&lt;&gt;",Bucket2_Fast_Followers!M:M)</f>
        <v>0</v>
      </c>
      <c r="E20" s="8">
        <f ca="1">SUMIF(Bucket2_Fast_Followers!A:A,"&lt;&gt;",Bucket2_Fast_Followers!N:N)</f>
        <v>0</v>
      </c>
      <c r="F20" s="8"/>
    </row>
  </sheetData>
  <mergeCells count="4">
    <mergeCell ref="A1:F1"/>
    <mergeCell ref="A3:F3"/>
    <mergeCell ref="A10:F10"/>
    <mergeCell ref="A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33"/>
  <sheetViews>
    <sheetView showGridLines="0" zoomScaleNormal="100" workbookViewId="0">
      <selection sqref="A1:K1"/>
    </sheetView>
  </sheetViews>
  <sheetFormatPr baseColWidth="10" defaultColWidth="8.6640625" defaultRowHeight="15" x14ac:dyDescent="0.2"/>
  <cols>
    <col min="1" max="1" width="40" customWidth="1"/>
    <col min="2" max="2" width="18" customWidth="1"/>
    <col min="3" max="3" width="10" customWidth="1"/>
    <col min="4" max="4" width="20" customWidth="1"/>
    <col min="5" max="6" width="25" customWidth="1"/>
    <col min="7" max="8" width="28" customWidth="1"/>
    <col min="9" max="9" width="14" customWidth="1"/>
    <col min="10" max="10" width="18" customWidth="1"/>
    <col min="11" max="11" width="14" customWidth="1"/>
  </cols>
  <sheetData>
    <row r="1" spans="1:11" ht="30" customHeight="1" x14ac:dyDescent="0.2">
      <c r="A1" s="26" t="s">
        <v>30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27.75" customHeight="1" x14ac:dyDescent="0.2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 ht="19.5" customHeight="1" x14ac:dyDescent="0.2">
      <c r="A3" s="27" t="s">
        <v>42</v>
      </c>
      <c r="B3" s="27"/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">
      <c r="A4" s="9"/>
      <c r="B4" s="9"/>
      <c r="C4" s="9"/>
      <c r="D4" s="9"/>
      <c r="E4" s="9"/>
      <c r="F4" s="9"/>
      <c r="G4" s="9"/>
      <c r="H4" s="9"/>
      <c r="I4" s="10" t="str">
        <f>IF(B4="","",IF(COUNTIF(FUSE_CI!$A:$A,B4)&gt;0,"Yes","No"))</f>
        <v/>
      </c>
      <c r="J4" s="10" t="str">
        <f t="shared" ref="J4:J67" si="0">IF(B4="","",IF(AND(D4&lt;&gt;"High",D4&lt;&gt;"Very High",I4="Yes",K4="No"),"Fast Follower","Not Eligible"))</f>
        <v/>
      </c>
      <c r="K4" s="10" t="str">
        <f>IF(B4="","",IF(COUNTIF(Finding_List!$A:$A,B4)&gt;0,"Yes","No"))</f>
        <v/>
      </c>
    </row>
    <row r="5" spans="1:11" x14ac:dyDescent="0.2">
      <c r="A5" s="5"/>
      <c r="B5" s="5"/>
      <c r="C5" s="5"/>
      <c r="D5" s="5"/>
      <c r="E5" s="5"/>
      <c r="F5" s="5"/>
      <c r="G5" s="5"/>
      <c r="H5" s="5"/>
      <c r="I5" s="10" t="str">
        <f>IF(B5="","",IF(COUNTIF(FUSE_CI!$A:$A,B5)&gt;0,"Yes","No"))</f>
        <v/>
      </c>
      <c r="J5" s="10" t="str">
        <f t="shared" si="0"/>
        <v/>
      </c>
      <c r="K5" s="10" t="str">
        <f>IF(B5="","",IF(COUNTIF(Finding_List!$A:$A,B5)&gt;0,"Yes","No"))</f>
        <v/>
      </c>
    </row>
    <row r="6" spans="1:11" x14ac:dyDescent="0.2">
      <c r="A6" s="9"/>
      <c r="B6" s="9"/>
      <c r="C6" s="9"/>
      <c r="D6" s="9"/>
      <c r="E6" s="9"/>
      <c r="F6" s="9"/>
      <c r="G6" s="9"/>
      <c r="H6" s="9"/>
      <c r="I6" s="10" t="str">
        <f>IF(B6="","",IF(COUNTIF(FUSE_CI!$A:$A,B6)&gt;0,"Yes","No"))</f>
        <v/>
      </c>
      <c r="J6" s="10" t="str">
        <f t="shared" si="0"/>
        <v/>
      </c>
      <c r="K6" s="10" t="str">
        <f>IF(B6="","",IF(COUNTIF(Finding_List!$A:$A,B6)&gt;0,"Yes","No"))</f>
        <v/>
      </c>
    </row>
    <row r="7" spans="1:11" x14ac:dyDescent="0.2">
      <c r="A7" s="5"/>
      <c r="B7" s="5"/>
      <c r="C7" s="5"/>
      <c r="D7" s="5"/>
      <c r="E7" s="5"/>
      <c r="F7" s="5"/>
      <c r="G7" s="5"/>
      <c r="H7" s="5"/>
      <c r="I7" s="10" t="str">
        <f>IF(B7="","",IF(COUNTIF(FUSE_CI!$A:$A,B7)&gt;0,"Yes","No"))</f>
        <v/>
      </c>
      <c r="J7" s="10" t="str">
        <f t="shared" si="0"/>
        <v/>
      </c>
      <c r="K7" s="10" t="str">
        <f>IF(B7="","",IF(COUNTIF(Finding_List!$A:$A,B7)&gt;0,"Yes","No"))</f>
        <v/>
      </c>
    </row>
    <row r="8" spans="1:11" x14ac:dyDescent="0.2">
      <c r="A8" s="9"/>
      <c r="B8" s="9"/>
      <c r="C8" s="9"/>
      <c r="D8" s="9"/>
      <c r="E8" s="9"/>
      <c r="F8" s="9"/>
      <c r="G8" s="9"/>
      <c r="H8" s="9"/>
      <c r="I8" s="10" t="str">
        <f>IF(B8="","",IF(COUNTIF(FUSE_CI!$A:$A,B8)&gt;0,"Yes","No"))</f>
        <v/>
      </c>
      <c r="J8" s="10" t="str">
        <f t="shared" si="0"/>
        <v/>
      </c>
      <c r="K8" s="10" t="str">
        <f>IF(B8="","",IF(COUNTIF(Finding_List!$A:$A,B8)&gt;0,"Yes","No"))</f>
        <v/>
      </c>
    </row>
    <row r="9" spans="1:11" x14ac:dyDescent="0.2">
      <c r="A9" s="5"/>
      <c r="B9" s="5"/>
      <c r="C9" s="5"/>
      <c r="D9" s="5"/>
      <c r="E9" s="5"/>
      <c r="F9" s="5"/>
      <c r="G9" s="5"/>
      <c r="H9" s="5"/>
      <c r="I9" s="10" t="str">
        <f>IF(B9="","",IF(COUNTIF(FUSE_CI!$A:$A,B9)&gt;0,"Yes","No"))</f>
        <v/>
      </c>
      <c r="J9" s="10" t="str">
        <f t="shared" si="0"/>
        <v/>
      </c>
      <c r="K9" s="10" t="str">
        <f>IF(B9="","",IF(COUNTIF(Finding_List!$A:$A,B9)&gt;0,"Yes","No"))</f>
        <v/>
      </c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10" t="str">
        <f>IF(B10="","",IF(COUNTIF(FUSE_CI!$A:$A,B10)&gt;0,"Yes","No"))</f>
        <v/>
      </c>
      <c r="J10" s="10" t="str">
        <f t="shared" si="0"/>
        <v/>
      </c>
      <c r="K10" s="10" t="str">
        <f>IF(B10="","",IF(COUNTIF(Finding_List!$A:$A,B10)&gt;0,"Yes","No"))</f>
        <v/>
      </c>
    </row>
    <row r="11" spans="1:11" x14ac:dyDescent="0.2">
      <c r="A11" s="5"/>
      <c r="B11" s="5"/>
      <c r="C11" s="5"/>
      <c r="D11" s="5"/>
      <c r="E11" s="5"/>
      <c r="F11" s="5"/>
      <c r="G11" s="5"/>
      <c r="H11" s="5"/>
      <c r="I11" s="10" t="str">
        <f>IF(B11="","",IF(COUNTIF(FUSE_CI!$A:$A,B11)&gt;0,"Yes","No"))</f>
        <v/>
      </c>
      <c r="J11" s="10" t="str">
        <f t="shared" si="0"/>
        <v/>
      </c>
      <c r="K11" s="10" t="str">
        <f>IF(B11="","",IF(COUNTIF(Finding_List!$A:$A,B11)&gt;0,"Yes","No"))</f>
        <v/>
      </c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10" t="str">
        <f>IF(B12="","",IF(COUNTIF(FUSE_CI!$A:$A,B12)&gt;0,"Yes","No"))</f>
        <v/>
      </c>
      <c r="J12" s="10" t="str">
        <f t="shared" si="0"/>
        <v/>
      </c>
      <c r="K12" s="10" t="str">
        <f>IF(B12="","",IF(COUNTIF(Finding_List!$A:$A,B12)&gt;0,"Yes","No"))</f>
        <v/>
      </c>
    </row>
    <row r="13" spans="1:11" x14ac:dyDescent="0.2">
      <c r="A13" s="5"/>
      <c r="B13" s="5"/>
      <c r="C13" s="5"/>
      <c r="D13" s="5"/>
      <c r="E13" s="5"/>
      <c r="F13" s="5"/>
      <c r="G13" s="5"/>
      <c r="H13" s="5"/>
      <c r="I13" s="10" t="str">
        <f>IF(B13="","",IF(COUNTIF(FUSE_CI!$A:$A,B13)&gt;0,"Yes","No"))</f>
        <v/>
      </c>
      <c r="J13" s="10" t="str">
        <f t="shared" si="0"/>
        <v/>
      </c>
      <c r="K13" s="10" t="str">
        <f>IF(B13="","",IF(COUNTIF(Finding_List!$A:$A,B13)&gt;0,"Yes","No"))</f>
        <v/>
      </c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10" t="str">
        <f>IF(B14="","",IF(COUNTIF(FUSE_CI!$A:$A,B14)&gt;0,"Yes","No"))</f>
        <v/>
      </c>
      <c r="J14" s="10" t="str">
        <f t="shared" si="0"/>
        <v/>
      </c>
      <c r="K14" s="10" t="str">
        <f>IF(B14="","",IF(COUNTIF(Finding_List!$A:$A,B14)&gt;0,"Yes","No"))</f>
        <v/>
      </c>
    </row>
    <row r="15" spans="1:11" x14ac:dyDescent="0.2">
      <c r="A15" s="5"/>
      <c r="B15" s="5"/>
      <c r="C15" s="5"/>
      <c r="D15" s="5"/>
      <c r="E15" s="5"/>
      <c r="F15" s="5"/>
      <c r="G15" s="5"/>
      <c r="H15" s="5"/>
      <c r="I15" s="10" t="str">
        <f>IF(B15="","",IF(COUNTIF(FUSE_CI!$A:$A,B15)&gt;0,"Yes","No"))</f>
        <v/>
      </c>
      <c r="J15" s="10" t="str">
        <f t="shared" si="0"/>
        <v/>
      </c>
      <c r="K15" s="10" t="str">
        <f>IF(B15="","",IF(COUNTIF(Finding_List!$A:$A,B15)&gt;0,"Yes","No"))</f>
        <v/>
      </c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10" t="str">
        <f>IF(B16="","",IF(COUNTIF(FUSE_CI!$A:$A,B16)&gt;0,"Yes","No"))</f>
        <v/>
      </c>
      <c r="J16" s="10" t="str">
        <f t="shared" si="0"/>
        <v/>
      </c>
      <c r="K16" s="10" t="str">
        <f>IF(B16="","",IF(COUNTIF(Finding_List!$A:$A,B16)&gt;0,"Yes","No"))</f>
        <v/>
      </c>
    </row>
    <row r="17" spans="1:11" x14ac:dyDescent="0.2">
      <c r="A17" s="5"/>
      <c r="B17" s="5"/>
      <c r="C17" s="5"/>
      <c r="D17" s="5"/>
      <c r="E17" s="5"/>
      <c r="F17" s="5"/>
      <c r="G17" s="5"/>
      <c r="H17" s="5"/>
      <c r="I17" s="10" t="str">
        <f>IF(B17="","",IF(COUNTIF(FUSE_CI!$A:$A,B17)&gt;0,"Yes","No"))</f>
        <v/>
      </c>
      <c r="J17" s="10" t="str">
        <f t="shared" si="0"/>
        <v/>
      </c>
      <c r="K17" s="10" t="str">
        <f>IF(B17="","",IF(COUNTIF(Finding_List!$A:$A,B17)&gt;0,"Yes","No"))</f>
        <v/>
      </c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10" t="str">
        <f>IF(B18="","",IF(COUNTIF(FUSE_CI!$A:$A,B18)&gt;0,"Yes","No"))</f>
        <v/>
      </c>
      <c r="J18" s="10" t="str">
        <f t="shared" si="0"/>
        <v/>
      </c>
      <c r="K18" s="10" t="str">
        <f>IF(B18="","",IF(COUNTIF(Finding_List!$A:$A,B18)&gt;0,"Yes","No"))</f>
        <v/>
      </c>
    </row>
    <row r="19" spans="1:11" x14ac:dyDescent="0.2">
      <c r="A19" s="5"/>
      <c r="B19" s="5"/>
      <c r="C19" s="5"/>
      <c r="D19" s="5"/>
      <c r="E19" s="5"/>
      <c r="F19" s="5"/>
      <c r="G19" s="5"/>
      <c r="H19" s="5"/>
      <c r="I19" s="10" t="str">
        <f>IF(B19="","",IF(COUNTIF(FUSE_CI!$A:$A,B19)&gt;0,"Yes","No"))</f>
        <v/>
      </c>
      <c r="J19" s="10" t="str">
        <f t="shared" si="0"/>
        <v/>
      </c>
      <c r="K19" s="10" t="str">
        <f>IF(B19="","",IF(COUNTIF(Finding_List!$A:$A,B19)&gt;0,"Yes","No"))</f>
        <v/>
      </c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10" t="str">
        <f>IF(B20="","",IF(COUNTIF(FUSE_CI!$A:$A,B20)&gt;0,"Yes","No"))</f>
        <v/>
      </c>
      <c r="J20" s="10" t="str">
        <f t="shared" si="0"/>
        <v/>
      </c>
      <c r="K20" s="10" t="str">
        <f>IF(B20="","",IF(COUNTIF(Finding_List!$A:$A,B20)&gt;0,"Yes","No"))</f>
        <v/>
      </c>
    </row>
    <row r="21" spans="1:11" x14ac:dyDescent="0.2">
      <c r="A21" s="5"/>
      <c r="B21" s="5"/>
      <c r="C21" s="5"/>
      <c r="D21" s="5"/>
      <c r="E21" s="5"/>
      <c r="F21" s="5"/>
      <c r="G21" s="5"/>
      <c r="H21" s="5"/>
      <c r="I21" s="10" t="str">
        <f>IF(B21="","",IF(COUNTIF(FUSE_CI!$A:$A,B21)&gt;0,"Yes","No"))</f>
        <v/>
      </c>
      <c r="J21" s="10" t="str">
        <f t="shared" si="0"/>
        <v/>
      </c>
      <c r="K21" s="10" t="str">
        <f>IF(B21="","",IF(COUNTIF(Finding_List!$A:$A,B21)&gt;0,"Yes","No"))</f>
        <v/>
      </c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10" t="str">
        <f>IF(B22="","",IF(COUNTIF(FUSE_CI!$A:$A,B22)&gt;0,"Yes","No"))</f>
        <v/>
      </c>
      <c r="J22" s="10" t="str">
        <f t="shared" si="0"/>
        <v/>
      </c>
      <c r="K22" s="10" t="str">
        <f>IF(B22="","",IF(COUNTIF(Finding_List!$A:$A,B22)&gt;0,"Yes","No"))</f>
        <v/>
      </c>
    </row>
    <row r="23" spans="1:11" x14ac:dyDescent="0.2">
      <c r="A23" s="5"/>
      <c r="B23" s="5"/>
      <c r="C23" s="5"/>
      <c r="D23" s="5"/>
      <c r="E23" s="5"/>
      <c r="F23" s="5"/>
      <c r="G23" s="5"/>
      <c r="H23" s="5"/>
      <c r="I23" s="10" t="str">
        <f>IF(B23="","",IF(COUNTIF(FUSE_CI!$A:$A,B23)&gt;0,"Yes","No"))</f>
        <v/>
      </c>
      <c r="J23" s="10" t="str">
        <f t="shared" si="0"/>
        <v/>
      </c>
      <c r="K23" s="10" t="str">
        <f>IF(B23="","",IF(COUNTIF(Finding_List!$A:$A,B23)&gt;0,"Yes","No"))</f>
        <v/>
      </c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10" t="str">
        <f>IF(B24="","",IF(COUNTIF(FUSE_CI!$A:$A,B24)&gt;0,"Yes","No"))</f>
        <v/>
      </c>
      <c r="J24" s="10" t="str">
        <f t="shared" si="0"/>
        <v/>
      </c>
      <c r="K24" s="10" t="str">
        <f>IF(B24="","",IF(COUNTIF(Finding_List!$A:$A,B24)&gt;0,"Yes","No"))</f>
        <v/>
      </c>
    </row>
    <row r="25" spans="1:11" x14ac:dyDescent="0.2">
      <c r="A25" s="5"/>
      <c r="B25" s="5"/>
      <c r="C25" s="5"/>
      <c r="D25" s="5"/>
      <c r="E25" s="5"/>
      <c r="F25" s="5"/>
      <c r="G25" s="5"/>
      <c r="H25" s="5"/>
      <c r="I25" s="10" t="str">
        <f>IF(B25="","",IF(COUNTIF(FUSE_CI!$A:$A,B25)&gt;0,"Yes","No"))</f>
        <v/>
      </c>
      <c r="J25" s="10" t="str">
        <f t="shared" si="0"/>
        <v/>
      </c>
      <c r="K25" s="10" t="str">
        <f>IF(B25="","",IF(COUNTIF(Finding_List!$A:$A,B25)&gt;0,"Yes","No"))</f>
        <v/>
      </c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10" t="str">
        <f>IF(B26="","",IF(COUNTIF(FUSE_CI!$A:$A,B26)&gt;0,"Yes","No"))</f>
        <v/>
      </c>
      <c r="J26" s="10" t="str">
        <f t="shared" si="0"/>
        <v/>
      </c>
      <c r="K26" s="10" t="str">
        <f>IF(B26="","",IF(COUNTIF(Finding_List!$A:$A,B26)&gt;0,"Yes","No"))</f>
        <v/>
      </c>
    </row>
    <row r="27" spans="1:11" x14ac:dyDescent="0.2">
      <c r="A27" s="5"/>
      <c r="B27" s="5"/>
      <c r="C27" s="5"/>
      <c r="D27" s="5"/>
      <c r="E27" s="5"/>
      <c r="F27" s="5"/>
      <c r="G27" s="5"/>
      <c r="H27" s="5"/>
      <c r="I27" s="10" t="str">
        <f>IF(B27="","",IF(COUNTIF(FUSE_CI!$A:$A,B27)&gt;0,"Yes","No"))</f>
        <v/>
      </c>
      <c r="J27" s="10" t="str">
        <f t="shared" si="0"/>
        <v/>
      </c>
      <c r="K27" s="10" t="str">
        <f>IF(B27="","",IF(COUNTIF(Finding_List!$A:$A,B27)&gt;0,"Yes","No"))</f>
        <v/>
      </c>
    </row>
    <row r="28" spans="1:11" x14ac:dyDescent="0.2">
      <c r="A28" s="9"/>
      <c r="B28" s="9"/>
      <c r="C28" s="9"/>
      <c r="D28" s="9"/>
      <c r="E28" s="9"/>
      <c r="F28" s="9"/>
      <c r="G28" s="9"/>
      <c r="H28" s="9"/>
      <c r="I28" s="10" t="str">
        <f>IF(B28="","",IF(COUNTIF(FUSE_CI!$A:$A,B28)&gt;0,"Yes","No"))</f>
        <v/>
      </c>
      <c r="J28" s="10" t="str">
        <f t="shared" si="0"/>
        <v/>
      </c>
      <c r="K28" s="10" t="str">
        <f>IF(B28="","",IF(COUNTIF(Finding_List!$A:$A,B28)&gt;0,"Yes","No"))</f>
        <v/>
      </c>
    </row>
    <row r="29" spans="1:11" x14ac:dyDescent="0.2">
      <c r="A29" s="5"/>
      <c r="B29" s="5"/>
      <c r="C29" s="5"/>
      <c r="D29" s="5"/>
      <c r="E29" s="5"/>
      <c r="F29" s="5"/>
      <c r="G29" s="5"/>
      <c r="H29" s="5"/>
      <c r="I29" s="10" t="str">
        <f>IF(B29="","",IF(COUNTIF(FUSE_CI!$A:$A,B29)&gt;0,"Yes","No"))</f>
        <v/>
      </c>
      <c r="J29" s="10" t="str">
        <f t="shared" si="0"/>
        <v/>
      </c>
      <c r="K29" s="10" t="str">
        <f>IF(B29="","",IF(COUNTIF(Finding_List!$A:$A,B29)&gt;0,"Yes","No"))</f>
        <v/>
      </c>
    </row>
    <row r="30" spans="1:11" x14ac:dyDescent="0.2">
      <c r="A30" s="9"/>
      <c r="B30" s="9"/>
      <c r="C30" s="9"/>
      <c r="D30" s="9"/>
      <c r="E30" s="9"/>
      <c r="F30" s="9"/>
      <c r="G30" s="9"/>
      <c r="H30" s="9"/>
      <c r="I30" s="10" t="str">
        <f>IF(B30="","",IF(COUNTIF(FUSE_CI!$A:$A,B30)&gt;0,"Yes","No"))</f>
        <v/>
      </c>
      <c r="J30" s="10" t="str">
        <f t="shared" si="0"/>
        <v/>
      </c>
      <c r="K30" s="10" t="str">
        <f>IF(B30="","",IF(COUNTIF(Finding_List!$A:$A,B30)&gt;0,"Yes","No"))</f>
        <v/>
      </c>
    </row>
    <row r="31" spans="1:11" x14ac:dyDescent="0.2">
      <c r="A31" s="5"/>
      <c r="B31" s="5"/>
      <c r="C31" s="5"/>
      <c r="D31" s="5"/>
      <c r="E31" s="5"/>
      <c r="F31" s="5"/>
      <c r="G31" s="5"/>
      <c r="H31" s="5"/>
      <c r="I31" s="10" t="str">
        <f>IF(B31="","",IF(COUNTIF(FUSE_CI!$A:$A,B31)&gt;0,"Yes","No"))</f>
        <v/>
      </c>
      <c r="J31" s="10" t="str">
        <f t="shared" si="0"/>
        <v/>
      </c>
      <c r="K31" s="10" t="str">
        <f>IF(B31="","",IF(COUNTIF(Finding_List!$A:$A,B31)&gt;0,"Yes","No"))</f>
        <v/>
      </c>
    </row>
    <row r="32" spans="1:11" x14ac:dyDescent="0.2">
      <c r="A32" s="9"/>
      <c r="B32" s="9"/>
      <c r="C32" s="9"/>
      <c r="D32" s="9"/>
      <c r="E32" s="9"/>
      <c r="F32" s="9"/>
      <c r="G32" s="9"/>
      <c r="H32" s="9"/>
      <c r="I32" s="10" t="str">
        <f>IF(B32="","",IF(COUNTIF(FUSE_CI!$A:$A,B32)&gt;0,"Yes","No"))</f>
        <v/>
      </c>
      <c r="J32" s="10" t="str">
        <f t="shared" si="0"/>
        <v/>
      </c>
      <c r="K32" s="10" t="str">
        <f>IF(B32="","",IF(COUNTIF(Finding_List!$A:$A,B32)&gt;0,"Yes","No"))</f>
        <v/>
      </c>
    </row>
    <row r="33" spans="1:11" x14ac:dyDescent="0.2">
      <c r="A33" s="5"/>
      <c r="B33" s="5"/>
      <c r="C33" s="5"/>
      <c r="D33" s="5"/>
      <c r="E33" s="5"/>
      <c r="F33" s="5"/>
      <c r="G33" s="5"/>
      <c r="H33" s="5"/>
      <c r="I33" s="10" t="str">
        <f>IF(B33="","",IF(COUNTIF(FUSE_CI!$A:$A,B33)&gt;0,"Yes","No"))</f>
        <v/>
      </c>
      <c r="J33" s="10" t="str">
        <f t="shared" si="0"/>
        <v/>
      </c>
      <c r="K33" s="10" t="str">
        <f>IF(B33="","",IF(COUNTIF(Finding_List!$A:$A,B33)&gt;0,"Yes","No"))</f>
        <v/>
      </c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10" t="str">
        <f>IF(B34="","",IF(COUNTIF(FUSE_CI!$A:$A,B34)&gt;0,"Yes","No"))</f>
        <v/>
      </c>
      <c r="J34" s="10" t="str">
        <f t="shared" si="0"/>
        <v/>
      </c>
      <c r="K34" s="10" t="str">
        <f>IF(B34="","",IF(COUNTIF(Finding_List!$A:$A,B34)&gt;0,"Yes","No"))</f>
        <v/>
      </c>
    </row>
    <row r="35" spans="1:11" x14ac:dyDescent="0.2">
      <c r="A35" s="5"/>
      <c r="B35" s="5"/>
      <c r="C35" s="5"/>
      <c r="D35" s="5"/>
      <c r="E35" s="5"/>
      <c r="F35" s="5"/>
      <c r="G35" s="5"/>
      <c r="H35" s="5"/>
      <c r="I35" s="10" t="str">
        <f>IF(B35="","",IF(COUNTIF(FUSE_CI!$A:$A,B35)&gt;0,"Yes","No"))</f>
        <v/>
      </c>
      <c r="J35" s="10" t="str">
        <f t="shared" si="0"/>
        <v/>
      </c>
      <c r="K35" s="10" t="str">
        <f>IF(B35="","",IF(COUNTIF(Finding_List!$A:$A,B35)&gt;0,"Yes","No"))</f>
        <v/>
      </c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10" t="str">
        <f>IF(B36="","",IF(COUNTIF(FUSE_CI!$A:$A,B36)&gt;0,"Yes","No"))</f>
        <v/>
      </c>
      <c r="J36" s="10" t="str">
        <f t="shared" si="0"/>
        <v/>
      </c>
      <c r="K36" s="10" t="str">
        <f>IF(B36="","",IF(COUNTIF(Finding_List!$A:$A,B36)&gt;0,"Yes","No"))</f>
        <v/>
      </c>
    </row>
    <row r="37" spans="1:11" x14ac:dyDescent="0.2">
      <c r="A37" s="5"/>
      <c r="B37" s="5"/>
      <c r="C37" s="5"/>
      <c r="D37" s="5"/>
      <c r="E37" s="5"/>
      <c r="F37" s="5"/>
      <c r="G37" s="5"/>
      <c r="H37" s="5"/>
      <c r="I37" s="10" t="str">
        <f>IF(B37="","",IF(COUNTIF(FUSE_CI!$A:$A,B37)&gt;0,"Yes","No"))</f>
        <v/>
      </c>
      <c r="J37" s="10" t="str">
        <f t="shared" si="0"/>
        <v/>
      </c>
      <c r="K37" s="10" t="str">
        <f>IF(B37="","",IF(COUNTIF(Finding_List!$A:$A,B37)&gt;0,"Yes","No"))</f>
        <v/>
      </c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10" t="str">
        <f>IF(B38="","",IF(COUNTIF(FUSE_CI!$A:$A,B38)&gt;0,"Yes","No"))</f>
        <v/>
      </c>
      <c r="J38" s="10" t="str">
        <f t="shared" si="0"/>
        <v/>
      </c>
      <c r="K38" s="10" t="str">
        <f>IF(B38="","",IF(COUNTIF(Finding_List!$A:$A,B38)&gt;0,"Yes","No"))</f>
        <v/>
      </c>
    </row>
    <row r="39" spans="1:11" x14ac:dyDescent="0.2">
      <c r="A39" s="5"/>
      <c r="B39" s="5"/>
      <c r="C39" s="5"/>
      <c r="D39" s="5"/>
      <c r="E39" s="5"/>
      <c r="F39" s="5"/>
      <c r="G39" s="5"/>
      <c r="H39" s="5"/>
      <c r="I39" s="10" t="str">
        <f>IF(B39="","",IF(COUNTIF(FUSE_CI!$A:$A,B39)&gt;0,"Yes","No"))</f>
        <v/>
      </c>
      <c r="J39" s="10" t="str">
        <f t="shared" si="0"/>
        <v/>
      </c>
      <c r="K39" s="10" t="str">
        <f>IF(B39="","",IF(COUNTIF(Finding_List!$A:$A,B39)&gt;0,"Yes","No"))</f>
        <v/>
      </c>
    </row>
    <row r="40" spans="1:11" x14ac:dyDescent="0.2">
      <c r="A40" s="9"/>
      <c r="B40" s="9"/>
      <c r="C40" s="9"/>
      <c r="D40" s="9"/>
      <c r="E40" s="9"/>
      <c r="F40" s="9"/>
      <c r="G40" s="9"/>
      <c r="H40" s="9"/>
      <c r="I40" s="10" t="str">
        <f>IF(B40="","",IF(COUNTIF(FUSE_CI!$A:$A,B40)&gt;0,"Yes","No"))</f>
        <v/>
      </c>
      <c r="J40" s="10" t="str">
        <f t="shared" si="0"/>
        <v/>
      </c>
      <c r="K40" s="10" t="str">
        <f>IF(B40="","",IF(COUNTIF(Finding_List!$A:$A,B40)&gt;0,"Yes","No"))</f>
        <v/>
      </c>
    </row>
    <row r="41" spans="1:11" x14ac:dyDescent="0.2">
      <c r="A41" s="5"/>
      <c r="B41" s="5"/>
      <c r="C41" s="5"/>
      <c r="D41" s="5"/>
      <c r="E41" s="5"/>
      <c r="F41" s="5"/>
      <c r="G41" s="5"/>
      <c r="H41" s="5"/>
      <c r="I41" s="10" t="str">
        <f>IF(B41="","",IF(COUNTIF(FUSE_CI!$A:$A,B41)&gt;0,"Yes","No"))</f>
        <v/>
      </c>
      <c r="J41" s="10" t="str">
        <f t="shared" si="0"/>
        <v/>
      </c>
      <c r="K41" s="10" t="str">
        <f>IF(B41="","",IF(COUNTIF(Finding_List!$A:$A,B41)&gt;0,"Yes","No"))</f>
        <v/>
      </c>
    </row>
    <row r="42" spans="1:11" x14ac:dyDescent="0.2">
      <c r="A42" s="9"/>
      <c r="B42" s="9"/>
      <c r="C42" s="9"/>
      <c r="D42" s="9"/>
      <c r="E42" s="9"/>
      <c r="F42" s="9"/>
      <c r="G42" s="9"/>
      <c r="H42" s="9"/>
      <c r="I42" s="10" t="str">
        <f>IF(B42="","",IF(COUNTIF(FUSE_CI!$A:$A,B42)&gt;0,"Yes","No"))</f>
        <v/>
      </c>
      <c r="J42" s="10" t="str">
        <f t="shared" si="0"/>
        <v/>
      </c>
      <c r="K42" s="10" t="str">
        <f>IF(B42="","",IF(COUNTIF(Finding_List!$A:$A,B42)&gt;0,"Yes","No"))</f>
        <v/>
      </c>
    </row>
    <row r="43" spans="1:11" x14ac:dyDescent="0.2">
      <c r="A43" s="5"/>
      <c r="B43" s="5"/>
      <c r="C43" s="5"/>
      <c r="D43" s="5"/>
      <c r="E43" s="5"/>
      <c r="F43" s="5"/>
      <c r="G43" s="5"/>
      <c r="H43" s="5"/>
      <c r="I43" s="10" t="str">
        <f>IF(B43="","",IF(COUNTIF(FUSE_CI!$A:$A,B43)&gt;0,"Yes","No"))</f>
        <v/>
      </c>
      <c r="J43" s="10" t="str">
        <f t="shared" si="0"/>
        <v/>
      </c>
      <c r="K43" s="10" t="str">
        <f>IF(B43="","",IF(COUNTIF(Finding_List!$A:$A,B43)&gt;0,"Yes","No"))</f>
        <v/>
      </c>
    </row>
    <row r="44" spans="1:11" x14ac:dyDescent="0.2">
      <c r="A44" s="9"/>
      <c r="B44" s="9"/>
      <c r="C44" s="9"/>
      <c r="D44" s="9"/>
      <c r="E44" s="9"/>
      <c r="F44" s="9"/>
      <c r="G44" s="9"/>
      <c r="H44" s="9"/>
      <c r="I44" s="10" t="str">
        <f>IF(B44="","",IF(COUNTIF(FUSE_CI!$A:$A,B44)&gt;0,"Yes","No"))</f>
        <v/>
      </c>
      <c r="J44" s="10" t="str">
        <f t="shared" si="0"/>
        <v/>
      </c>
      <c r="K44" s="10" t="str">
        <f>IF(B44="","",IF(COUNTIF(Finding_List!$A:$A,B44)&gt;0,"Yes","No"))</f>
        <v/>
      </c>
    </row>
    <row r="45" spans="1:11" x14ac:dyDescent="0.2">
      <c r="A45" s="5"/>
      <c r="B45" s="5"/>
      <c r="C45" s="5"/>
      <c r="D45" s="5"/>
      <c r="E45" s="5"/>
      <c r="F45" s="5"/>
      <c r="G45" s="5"/>
      <c r="H45" s="5"/>
      <c r="I45" s="10" t="str">
        <f>IF(B45="","",IF(COUNTIF(FUSE_CI!$A:$A,B45)&gt;0,"Yes","No"))</f>
        <v/>
      </c>
      <c r="J45" s="10" t="str">
        <f t="shared" si="0"/>
        <v/>
      </c>
      <c r="K45" s="10" t="str">
        <f>IF(B45="","",IF(COUNTIF(Finding_List!$A:$A,B45)&gt;0,"Yes","No"))</f>
        <v/>
      </c>
    </row>
    <row r="46" spans="1:11" x14ac:dyDescent="0.2">
      <c r="A46" s="9"/>
      <c r="B46" s="9"/>
      <c r="C46" s="9"/>
      <c r="D46" s="9"/>
      <c r="E46" s="9"/>
      <c r="F46" s="9"/>
      <c r="G46" s="9"/>
      <c r="H46" s="9"/>
      <c r="I46" s="10" t="str">
        <f>IF(B46="","",IF(COUNTIF(FUSE_CI!$A:$A,B46)&gt;0,"Yes","No"))</f>
        <v/>
      </c>
      <c r="J46" s="10" t="str">
        <f t="shared" si="0"/>
        <v/>
      </c>
      <c r="K46" s="10" t="str">
        <f>IF(B46="","",IF(COUNTIF(Finding_List!$A:$A,B46)&gt;0,"Yes","No"))</f>
        <v/>
      </c>
    </row>
    <row r="47" spans="1:11" x14ac:dyDescent="0.2">
      <c r="A47" s="5"/>
      <c r="B47" s="5"/>
      <c r="C47" s="5"/>
      <c r="D47" s="5"/>
      <c r="E47" s="5"/>
      <c r="F47" s="5"/>
      <c r="G47" s="5"/>
      <c r="H47" s="5"/>
      <c r="I47" s="10" t="str">
        <f>IF(B47="","",IF(COUNTIF(FUSE_CI!$A:$A,B47)&gt;0,"Yes","No"))</f>
        <v/>
      </c>
      <c r="J47" s="10" t="str">
        <f t="shared" si="0"/>
        <v/>
      </c>
      <c r="K47" s="10" t="str">
        <f>IF(B47="","",IF(COUNTIF(Finding_List!$A:$A,B47)&gt;0,"Yes","No"))</f>
        <v/>
      </c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10" t="str">
        <f>IF(B48="","",IF(COUNTIF(FUSE_CI!$A:$A,B48)&gt;0,"Yes","No"))</f>
        <v/>
      </c>
      <c r="J48" s="10" t="str">
        <f t="shared" si="0"/>
        <v/>
      </c>
      <c r="K48" s="10" t="str">
        <f>IF(B48="","",IF(COUNTIF(Finding_List!$A:$A,B48)&gt;0,"Yes","No"))</f>
        <v/>
      </c>
    </row>
    <row r="49" spans="1:11" x14ac:dyDescent="0.2">
      <c r="A49" s="5"/>
      <c r="B49" s="5"/>
      <c r="C49" s="5"/>
      <c r="D49" s="5"/>
      <c r="E49" s="5"/>
      <c r="F49" s="5"/>
      <c r="G49" s="5"/>
      <c r="H49" s="5"/>
      <c r="I49" s="10" t="str">
        <f>IF(B49="","",IF(COUNTIF(FUSE_CI!$A:$A,B49)&gt;0,"Yes","No"))</f>
        <v/>
      </c>
      <c r="J49" s="10" t="str">
        <f t="shared" si="0"/>
        <v/>
      </c>
      <c r="K49" s="10" t="str">
        <f>IF(B49="","",IF(COUNTIF(Finding_List!$A:$A,B49)&gt;0,"Yes","No"))</f>
        <v/>
      </c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10" t="str">
        <f>IF(B50="","",IF(COUNTIF(FUSE_CI!$A:$A,B50)&gt;0,"Yes","No"))</f>
        <v/>
      </c>
      <c r="J50" s="10" t="str">
        <f t="shared" si="0"/>
        <v/>
      </c>
      <c r="K50" s="10" t="str">
        <f>IF(B50="","",IF(COUNTIF(Finding_List!$A:$A,B50)&gt;0,"Yes","No"))</f>
        <v/>
      </c>
    </row>
    <row r="51" spans="1:11" x14ac:dyDescent="0.2">
      <c r="A51" s="5"/>
      <c r="B51" s="5"/>
      <c r="C51" s="5"/>
      <c r="D51" s="5"/>
      <c r="E51" s="5"/>
      <c r="F51" s="5"/>
      <c r="G51" s="5"/>
      <c r="H51" s="5"/>
      <c r="I51" s="10" t="str">
        <f>IF(B51="","",IF(COUNTIF(FUSE_CI!$A:$A,B51)&gt;0,"Yes","No"))</f>
        <v/>
      </c>
      <c r="J51" s="10" t="str">
        <f t="shared" si="0"/>
        <v/>
      </c>
      <c r="K51" s="10" t="str">
        <f>IF(B51="","",IF(COUNTIF(Finding_List!$A:$A,B51)&gt;0,"Yes","No"))</f>
        <v/>
      </c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10" t="str">
        <f>IF(B52="","",IF(COUNTIF(FUSE_CI!$A:$A,B52)&gt;0,"Yes","No"))</f>
        <v/>
      </c>
      <c r="J52" s="10" t="str">
        <f t="shared" si="0"/>
        <v/>
      </c>
      <c r="K52" s="10" t="str">
        <f>IF(B52="","",IF(COUNTIF(Finding_List!$A:$A,B52)&gt;0,"Yes","No"))</f>
        <v/>
      </c>
    </row>
    <row r="53" spans="1:11" x14ac:dyDescent="0.2">
      <c r="A53" s="5"/>
      <c r="B53" s="5"/>
      <c r="C53" s="5"/>
      <c r="D53" s="5"/>
      <c r="E53" s="5"/>
      <c r="F53" s="5"/>
      <c r="G53" s="5"/>
      <c r="H53" s="5"/>
      <c r="I53" s="10" t="str">
        <f>IF(B53="","",IF(COUNTIF(FUSE_CI!$A:$A,B53)&gt;0,"Yes","No"))</f>
        <v/>
      </c>
      <c r="J53" s="10" t="str">
        <f t="shared" si="0"/>
        <v/>
      </c>
      <c r="K53" s="10" t="str">
        <f>IF(B53="","",IF(COUNTIF(Finding_List!$A:$A,B53)&gt;0,"Yes","No"))</f>
        <v/>
      </c>
    </row>
    <row r="54" spans="1:11" x14ac:dyDescent="0.2">
      <c r="A54" s="9"/>
      <c r="B54" s="9"/>
      <c r="C54" s="9"/>
      <c r="D54" s="9"/>
      <c r="E54" s="9"/>
      <c r="F54" s="9"/>
      <c r="G54" s="9"/>
      <c r="H54" s="9"/>
      <c r="I54" s="10" t="str">
        <f>IF(B54="","",IF(COUNTIF(FUSE_CI!$A:$A,B54)&gt;0,"Yes","No"))</f>
        <v/>
      </c>
      <c r="J54" s="10" t="str">
        <f t="shared" si="0"/>
        <v/>
      </c>
      <c r="K54" s="10" t="str">
        <f>IF(B54="","",IF(COUNTIF(Finding_List!$A:$A,B54)&gt;0,"Yes","No"))</f>
        <v/>
      </c>
    </row>
    <row r="55" spans="1:11" x14ac:dyDescent="0.2">
      <c r="A55" s="5"/>
      <c r="B55" s="5"/>
      <c r="C55" s="5"/>
      <c r="D55" s="5"/>
      <c r="E55" s="5"/>
      <c r="F55" s="5"/>
      <c r="G55" s="5"/>
      <c r="H55" s="5"/>
      <c r="I55" s="10" t="str">
        <f>IF(B55="","",IF(COUNTIF(FUSE_CI!$A:$A,B55)&gt;0,"Yes","No"))</f>
        <v/>
      </c>
      <c r="J55" s="10" t="str">
        <f t="shared" si="0"/>
        <v/>
      </c>
      <c r="K55" s="10" t="str">
        <f>IF(B55="","",IF(COUNTIF(Finding_List!$A:$A,B55)&gt;0,"Yes","No"))</f>
        <v/>
      </c>
    </row>
    <row r="56" spans="1:11" x14ac:dyDescent="0.2">
      <c r="A56" s="9"/>
      <c r="B56" s="9"/>
      <c r="C56" s="9"/>
      <c r="D56" s="9"/>
      <c r="E56" s="9"/>
      <c r="F56" s="9"/>
      <c r="G56" s="9"/>
      <c r="H56" s="9"/>
      <c r="I56" s="10" t="str">
        <f>IF(B56="","",IF(COUNTIF(FUSE_CI!$A:$A,B56)&gt;0,"Yes","No"))</f>
        <v/>
      </c>
      <c r="J56" s="10" t="str">
        <f t="shared" si="0"/>
        <v/>
      </c>
      <c r="K56" s="10" t="str">
        <f>IF(B56="","",IF(COUNTIF(Finding_List!$A:$A,B56)&gt;0,"Yes","No"))</f>
        <v/>
      </c>
    </row>
    <row r="57" spans="1:11" x14ac:dyDescent="0.2">
      <c r="A57" s="5"/>
      <c r="B57" s="5"/>
      <c r="C57" s="5"/>
      <c r="D57" s="5"/>
      <c r="E57" s="5"/>
      <c r="F57" s="5"/>
      <c r="G57" s="5"/>
      <c r="H57" s="5"/>
      <c r="I57" s="10" t="str">
        <f>IF(B57="","",IF(COUNTIF(FUSE_CI!$A:$A,B57)&gt;0,"Yes","No"))</f>
        <v/>
      </c>
      <c r="J57" s="10" t="str">
        <f t="shared" si="0"/>
        <v/>
      </c>
      <c r="K57" s="10" t="str">
        <f>IF(B57="","",IF(COUNTIF(Finding_List!$A:$A,B57)&gt;0,"Yes","No"))</f>
        <v/>
      </c>
    </row>
    <row r="58" spans="1:11" x14ac:dyDescent="0.2">
      <c r="A58" s="9"/>
      <c r="B58" s="9"/>
      <c r="C58" s="9"/>
      <c r="D58" s="9"/>
      <c r="E58" s="9"/>
      <c r="F58" s="9"/>
      <c r="G58" s="9"/>
      <c r="H58" s="9"/>
      <c r="I58" s="10" t="str">
        <f>IF(B58="","",IF(COUNTIF(FUSE_CI!$A:$A,B58)&gt;0,"Yes","No"))</f>
        <v/>
      </c>
      <c r="J58" s="10" t="str">
        <f t="shared" si="0"/>
        <v/>
      </c>
      <c r="K58" s="10" t="str">
        <f>IF(B58="","",IF(COUNTIF(Finding_List!$A:$A,B58)&gt;0,"Yes","No"))</f>
        <v/>
      </c>
    </row>
    <row r="59" spans="1:11" x14ac:dyDescent="0.2">
      <c r="A59" s="5"/>
      <c r="B59" s="5"/>
      <c r="C59" s="5"/>
      <c r="D59" s="5"/>
      <c r="E59" s="5"/>
      <c r="F59" s="5"/>
      <c r="G59" s="5"/>
      <c r="H59" s="5"/>
      <c r="I59" s="10" t="str">
        <f>IF(B59="","",IF(COUNTIF(FUSE_CI!$A:$A,B59)&gt;0,"Yes","No"))</f>
        <v/>
      </c>
      <c r="J59" s="10" t="str">
        <f t="shared" si="0"/>
        <v/>
      </c>
      <c r="K59" s="10" t="str">
        <f>IF(B59="","",IF(COUNTIF(Finding_List!$A:$A,B59)&gt;0,"Yes","No"))</f>
        <v/>
      </c>
    </row>
    <row r="60" spans="1:11" x14ac:dyDescent="0.2">
      <c r="A60" s="9"/>
      <c r="B60" s="9"/>
      <c r="C60" s="9"/>
      <c r="D60" s="9"/>
      <c r="E60" s="9"/>
      <c r="F60" s="9"/>
      <c r="G60" s="9"/>
      <c r="H60" s="9"/>
      <c r="I60" s="10" t="str">
        <f>IF(B60="","",IF(COUNTIF(FUSE_CI!$A:$A,B60)&gt;0,"Yes","No"))</f>
        <v/>
      </c>
      <c r="J60" s="10" t="str">
        <f t="shared" si="0"/>
        <v/>
      </c>
      <c r="K60" s="10" t="str">
        <f>IF(B60="","",IF(COUNTIF(Finding_List!$A:$A,B60)&gt;0,"Yes","No"))</f>
        <v/>
      </c>
    </row>
    <row r="61" spans="1:11" x14ac:dyDescent="0.2">
      <c r="A61" s="5"/>
      <c r="B61" s="5"/>
      <c r="C61" s="5"/>
      <c r="D61" s="5"/>
      <c r="E61" s="5"/>
      <c r="F61" s="5"/>
      <c r="G61" s="5"/>
      <c r="H61" s="5"/>
      <c r="I61" s="10" t="str">
        <f>IF(B61="","",IF(COUNTIF(FUSE_CI!$A:$A,B61)&gt;0,"Yes","No"))</f>
        <v/>
      </c>
      <c r="J61" s="10" t="str">
        <f t="shared" si="0"/>
        <v/>
      </c>
      <c r="K61" s="10" t="str">
        <f>IF(B61="","",IF(COUNTIF(Finding_List!$A:$A,B61)&gt;0,"Yes","No"))</f>
        <v/>
      </c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10" t="str">
        <f>IF(B62="","",IF(COUNTIF(FUSE_CI!$A:$A,B62)&gt;0,"Yes","No"))</f>
        <v/>
      </c>
      <c r="J62" s="10" t="str">
        <f t="shared" si="0"/>
        <v/>
      </c>
      <c r="K62" s="10" t="str">
        <f>IF(B62="","",IF(COUNTIF(Finding_List!$A:$A,B62)&gt;0,"Yes","No"))</f>
        <v/>
      </c>
    </row>
    <row r="63" spans="1:11" x14ac:dyDescent="0.2">
      <c r="A63" s="5"/>
      <c r="B63" s="5"/>
      <c r="C63" s="5"/>
      <c r="D63" s="5"/>
      <c r="E63" s="5"/>
      <c r="F63" s="5"/>
      <c r="G63" s="5"/>
      <c r="H63" s="5"/>
      <c r="I63" s="10" t="str">
        <f>IF(B63="","",IF(COUNTIF(FUSE_CI!$A:$A,B63)&gt;0,"Yes","No"))</f>
        <v/>
      </c>
      <c r="J63" s="10" t="str">
        <f t="shared" si="0"/>
        <v/>
      </c>
      <c r="K63" s="10" t="str">
        <f>IF(B63="","",IF(COUNTIF(Finding_List!$A:$A,B63)&gt;0,"Yes","No"))</f>
        <v/>
      </c>
    </row>
    <row r="64" spans="1:11" x14ac:dyDescent="0.2">
      <c r="A64" s="9"/>
      <c r="B64" s="9"/>
      <c r="C64" s="9"/>
      <c r="D64" s="9"/>
      <c r="E64" s="9"/>
      <c r="F64" s="9"/>
      <c r="G64" s="9"/>
      <c r="H64" s="9"/>
      <c r="I64" s="10" t="str">
        <f>IF(B64="","",IF(COUNTIF(FUSE_CI!$A:$A,B64)&gt;0,"Yes","No"))</f>
        <v/>
      </c>
      <c r="J64" s="10" t="str">
        <f t="shared" si="0"/>
        <v/>
      </c>
      <c r="K64" s="10" t="str">
        <f>IF(B64="","",IF(COUNTIF(Finding_List!$A:$A,B64)&gt;0,"Yes","No"))</f>
        <v/>
      </c>
    </row>
    <row r="65" spans="1:11" x14ac:dyDescent="0.2">
      <c r="A65" s="5"/>
      <c r="B65" s="5"/>
      <c r="C65" s="5"/>
      <c r="D65" s="5"/>
      <c r="E65" s="5"/>
      <c r="F65" s="5"/>
      <c r="G65" s="5"/>
      <c r="H65" s="5"/>
      <c r="I65" s="10" t="str">
        <f>IF(B65="","",IF(COUNTIF(FUSE_CI!$A:$A,B65)&gt;0,"Yes","No"))</f>
        <v/>
      </c>
      <c r="J65" s="10" t="str">
        <f t="shared" si="0"/>
        <v/>
      </c>
      <c r="K65" s="10" t="str">
        <f>IF(B65="","",IF(COUNTIF(Finding_List!$A:$A,B65)&gt;0,"Yes","No"))</f>
        <v/>
      </c>
    </row>
    <row r="66" spans="1:11" x14ac:dyDescent="0.2">
      <c r="A66" s="9"/>
      <c r="B66" s="9"/>
      <c r="C66" s="9"/>
      <c r="D66" s="9"/>
      <c r="E66" s="9"/>
      <c r="F66" s="9"/>
      <c r="G66" s="9"/>
      <c r="H66" s="9"/>
      <c r="I66" s="10" t="str">
        <f>IF(B66="","",IF(COUNTIF(FUSE_CI!$A:$A,B66)&gt;0,"Yes","No"))</f>
        <v/>
      </c>
      <c r="J66" s="10" t="str">
        <f t="shared" si="0"/>
        <v/>
      </c>
      <c r="K66" s="10" t="str">
        <f>IF(B66="","",IF(COUNTIF(Finding_List!$A:$A,B66)&gt;0,"Yes","No"))</f>
        <v/>
      </c>
    </row>
    <row r="67" spans="1:11" x14ac:dyDescent="0.2">
      <c r="A67" s="5"/>
      <c r="B67" s="5"/>
      <c r="C67" s="5"/>
      <c r="D67" s="5"/>
      <c r="E67" s="5"/>
      <c r="F67" s="5"/>
      <c r="G67" s="5"/>
      <c r="H67" s="5"/>
      <c r="I67" s="10" t="str">
        <f>IF(B67="","",IF(COUNTIF(FUSE_CI!$A:$A,B67)&gt;0,"Yes","No"))</f>
        <v/>
      </c>
      <c r="J67" s="10" t="str">
        <f t="shared" si="0"/>
        <v/>
      </c>
      <c r="K67" s="10" t="str">
        <f>IF(B67="","",IF(COUNTIF(Finding_List!$A:$A,B67)&gt;0,"Yes","No"))</f>
        <v/>
      </c>
    </row>
    <row r="68" spans="1:11" x14ac:dyDescent="0.2">
      <c r="A68" s="9"/>
      <c r="B68" s="9"/>
      <c r="C68" s="9"/>
      <c r="D68" s="9"/>
      <c r="E68" s="9"/>
      <c r="F68" s="9"/>
      <c r="G68" s="9"/>
      <c r="H68" s="9"/>
      <c r="I68" s="10" t="str">
        <f>IF(B68="","",IF(COUNTIF(FUSE_CI!$A:$A,B68)&gt;0,"Yes","No"))</f>
        <v/>
      </c>
      <c r="J68" s="10" t="str">
        <f t="shared" ref="J68:J131" si="1">IF(B68="","",IF(AND(D68&lt;&gt;"High",D68&lt;&gt;"Very High",I68="Yes",K68="No"),"Fast Follower","Not Eligible"))</f>
        <v/>
      </c>
      <c r="K68" s="10" t="str">
        <f>IF(B68="","",IF(COUNTIF(Finding_List!$A:$A,B68)&gt;0,"Yes","No"))</f>
        <v/>
      </c>
    </row>
    <row r="69" spans="1:11" x14ac:dyDescent="0.2">
      <c r="A69" s="5"/>
      <c r="B69" s="5"/>
      <c r="C69" s="5"/>
      <c r="D69" s="5"/>
      <c r="E69" s="5"/>
      <c r="F69" s="5"/>
      <c r="G69" s="5"/>
      <c r="H69" s="5"/>
      <c r="I69" s="10" t="str">
        <f>IF(B69="","",IF(COUNTIF(FUSE_CI!$A:$A,B69)&gt;0,"Yes","No"))</f>
        <v/>
      </c>
      <c r="J69" s="10" t="str">
        <f t="shared" si="1"/>
        <v/>
      </c>
      <c r="K69" s="10" t="str">
        <f>IF(B69="","",IF(COUNTIF(Finding_List!$A:$A,B69)&gt;0,"Yes","No"))</f>
        <v/>
      </c>
    </row>
    <row r="70" spans="1:11" x14ac:dyDescent="0.2">
      <c r="A70" s="9"/>
      <c r="B70" s="9"/>
      <c r="C70" s="9"/>
      <c r="D70" s="9"/>
      <c r="E70" s="9"/>
      <c r="F70" s="9"/>
      <c r="G70" s="9"/>
      <c r="H70" s="9"/>
      <c r="I70" s="10" t="str">
        <f>IF(B70="","",IF(COUNTIF(FUSE_CI!$A:$A,B70)&gt;0,"Yes","No"))</f>
        <v/>
      </c>
      <c r="J70" s="10" t="str">
        <f t="shared" si="1"/>
        <v/>
      </c>
      <c r="K70" s="10" t="str">
        <f>IF(B70="","",IF(COUNTIF(Finding_List!$A:$A,B70)&gt;0,"Yes","No"))</f>
        <v/>
      </c>
    </row>
    <row r="71" spans="1:11" x14ac:dyDescent="0.2">
      <c r="A71" s="5"/>
      <c r="B71" s="5"/>
      <c r="C71" s="5"/>
      <c r="D71" s="5"/>
      <c r="E71" s="5"/>
      <c r="F71" s="5"/>
      <c r="G71" s="5"/>
      <c r="H71" s="5"/>
      <c r="I71" s="10" t="str">
        <f>IF(B71="","",IF(COUNTIF(FUSE_CI!$A:$A,B71)&gt;0,"Yes","No"))</f>
        <v/>
      </c>
      <c r="J71" s="10" t="str">
        <f t="shared" si="1"/>
        <v/>
      </c>
      <c r="K71" s="10" t="str">
        <f>IF(B71="","",IF(COUNTIF(Finding_List!$A:$A,B71)&gt;0,"Yes","No"))</f>
        <v/>
      </c>
    </row>
    <row r="72" spans="1:11" x14ac:dyDescent="0.2">
      <c r="A72" s="9"/>
      <c r="B72" s="9"/>
      <c r="C72" s="9"/>
      <c r="D72" s="9"/>
      <c r="E72" s="9"/>
      <c r="F72" s="9"/>
      <c r="G72" s="9"/>
      <c r="H72" s="9"/>
      <c r="I72" s="10" t="str">
        <f>IF(B72="","",IF(COUNTIF(FUSE_CI!$A:$A,B72)&gt;0,"Yes","No"))</f>
        <v/>
      </c>
      <c r="J72" s="10" t="str">
        <f t="shared" si="1"/>
        <v/>
      </c>
      <c r="K72" s="10" t="str">
        <f>IF(B72="","",IF(COUNTIF(Finding_List!$A:$A,B72)&gt;0,"Yes","No"))</f>
        <v/>
      </c>
    </row>
    <row r="73" spans="1:11" x14ac:dyDescent="0.2">
      <c r="A73" s="5"/>
      <c r="B73" s="5"/>
      <c r="C73" s="5"/>
      <c r="D73" s="5"/>
      <c r="E73" s="5"/>
      <c r="F73" s="5"/>
      <c r="G73" s="5"/>
      <c r="H73" s="5"/>
      <c r="I73" s="10" t="str">
        <f>IF(B73="","",IF(COUNTIF(FUSE_CI!$A:$A,B73)&gt;0,"Yes","No"))</f>
        <v/>
      </c>
      <c r="J73" s="10" t="str">
        <f t="shared" si="1"/>
        <v/>
      </c>
      <c r="K73" s="10" t="str">
        <f>IF(B73="","",IF(COUNTIF(Finding_List!$A:$A,B73)&gt;0,"Yes","No"))</f>
        <v/>
      </c>
    </row>
    <row r="74" spans="1:11" x14ac:dyDescent="0.2">
      <c r="A74" s="9"/>
      <c r="B74" s="9"/>
      <c r="C74" s="9"/>
      <c r="D74" s="9"/>
      <c r="E74" s="9"/>
      <c r="F74" s="9"/>
      <c r="G74" s="9"/>
      <c r="H74" s="9"/>
      <c r="I74" s="10" t="str">
        <f>IF(B74="","",IF(COUNTIF(FUSE_CI!$A:$A,B74)&gt;0,"Yes","No"))</f>
        <v/>
      </c>
      <c r="J74" s="10" t="str">
        <f t="shared" si="1"/>
        <v/>
      </c>
      <c r="K74" s="10" t="str">
        <f>IF(B74="","",IF(COUNTIF(Finding_List!$A:$A,B74)&gt;0,"Yes","No"))</f>
        <v/>
      </c>
    </row>
    <row r="75" spans="1:11" x14ac:dyDescent="0.2">
      <c r="A75" s="5"/>
      <c r="B75" s="5"/>
      <c r="C75" s="5"/>
      <c r="D75" s="5"/>
      <c r="E75" s="5"/>
      <c r="F75" s="5"/>
      <c r="G75" s="5"/>
      <c r="H75" s="5"/>
      <c r="I75" s="10" t="str">
        <f>IF(B75="","",IF(COUNTIF(FUSE_CI!$A:$A,B75)&gt;0,"Yes","No"))</f>
        <v/>
      </c>
      <c r="J75" s="10" t="str">
        <f t="shared" si="1"/>
        <v/>
      </c>
      <c r="K75" s="10" t="str">
        <f>IF(B75="","",IF(COUNTIF(Finding_List!$A:$A,B75)&gt;0,"Yes","No"))</f>
        <v/>
      </c>
    </row>
    <row r="76" spans="1:11" x14ac:dyDescent="0.2">
      <c r="A76" s="9"/>
      <c r="B76" s="9"/>
      <c r="C76" s="9"/>
      <c r="D76" s="9"/>
      <c r="E76" s="9"/>
      <c r="F76" s="9"/>
      <c r="G76" s="9"/>
      <c r="H76" s="9"/>
      <c r="I76" s="10" t="str">
        <f>IF(B76="","",IF(COUNTIF(FUSE_CI!$A:$A,B76)&gt;0,"Yes","No"))</f>
        <v/>
      </c>
      <c r="J76" s="10" t="str">
        <f t="shared" si="1"/>
        <v/>
      </c>
      <c r="K76" s="10" t="str">
        <f>IF(B76="","",IF(COUNTIF(Finding_List!$A:$A,B76)&gt;0,"Yes","No"))</f>
        <v/>
      </c>
    </row>
    <row r="77" spans="1:11" x14ac:dyDescent="0.2">
      <c r="A77" s="5"/>
      <c r="B77" s="5"/>
      <c r="C77" s="5"/>
      <c r="D77" s="5"/>
      <c r="E77" s="5"/>
      <c r="F77" s="5"/>
      <c r="G77" s="5"/>
      <c r="H77" s="5"/>
      <c r="I77" s="10" t="str">
        <f>IF(B77="","",IF(COUNTIF(FUSE_CI!$A:$A,B77)&gt;0,"Yes","No"))</f>
        <v/>
      </c>
      <c r="J77" s="10" t="str">
        <f t="shared" si="1"/>
        <v/>
      </c>
      <c r="K77" s="10" t="str">
        <f>IF(B77="","",IF(COUNTIF(Finding_List!$A:$A,B77)&gt;0,"Yes","No"))</f>
        <v/>
      </c>
    </row>
    <row r="78" spans="1:11" x14ac:dyDescent="0.2">
      <c r="A78" s="9"/>
      <c r="B78" s="9"/>
      <c r="C78" s="9"/>
      <c r="D78" s="9"/>
      <c r="E78" s="9"/>
      <c r="F78" s="9"/>
      <c r="G78" s="9"/>
      <c r="H78" s="9"/>
      <c r="I78" s="10" t="str">
        <f>IF(B78="","",IF(COUNTIF(FUSE_CI!$A:$A,B78)&gt;0,"Yes","No"))</f>
        <v/>
      </c>
      <c r="J78" s="10" t="str">
        <f t="shared" si="1"/>
        <v/>
      </c>
      <c r="K78" s="10" t="str">
        <f>IF(B78="","",IF(COUNTIF(Finding_List!$A:$A,B78)&gt;0,"Yes","No"))</f>
        <v/>
      </c>
    </row>
    <row r="79" spans="1:11" x14ac:dyDescent="0.2">
      <c r="A79" s="5"/>
      <c r="B79" s="5"/>
      <c r="C79" s="5"/>
      <c r="D79" s="5"/>
      <c r="E79" s="5"/>
      <c r="F79" s="5"/>
      <c r="G79" s="5"/>
      <c r="H79" s="5"/>
      <c r="I79" s="10" t="str">
        <f>IF(B79="","",IF(COUNTIF(FUSE_CI!$A:$A,B79)&gt;0,"Yes","No"))</f>
        <v/>
      </c>
      <c r="J79" s="10" t="str">
        <f t="shared" si="1"/>
        <v/>
      </c>
      <c r="K79" s="10" t="str">
        <f>IF(B79="","",IF(COUNTIF(Finding_List!$A:$A,B79)&gt;0,"Yes","No"))</f>
        <v/>
      </c>
    </row>
    <row r="80" spans="1:11" x14ac:dyDescent="0.2">
      <c r="A80" s="9"/>
      <c r="B80" s="9"/>
      <c r="C80" s="9"/>
      <c r="D80" s="9"/>
      <c r="E80" s="9"/>
      <c r="F80" s="9"/>
      <c r="G80" s="9"/>
      <c r="H80" s="9"/>
      <c r="I80" s="10" t="str">
        <f>IF(B80="","",IF(COUNTIF(FUSE_CI!$A:$A,B80)&gt;0,"Yes","No"))</f>
        <v/>
      </c>
      <c r="J80" s="10" t="str">
        <f t="shared" si="1"/>
        <v/>
      </c>
      <c r="K80" s="10" t="str">
        <f>IF(B80="","",IF(COUNTIF(Finding_List!$A:$A,B80)&gt;0,"Yes","No"))</f>
        <v/>
      </c>
    </row>
    <row r="81" spans="1:11" x14ac:dyDescent="0.2">
      <c r="A81" s="5"/>
      <c r="B81" s="5"/>
      <c r="C81" s="5"/>
      <c r="D81" s="5"/>
      <c r="E81" s="5"/>
      <c r="F81" s="5"/>
      <c r="G81" s="5"/>
      <c r="H81" s="5"/>
      <c r="I81" s="10" t="str">
        <f>IF(B81="","",IF(COUNTIF(FUSE_CI!$A:$A,B81)&gt;0,"Yes","No"))</f>
        <v/>
      </c>
      <c r="J81" s="10" t="str">
        <f t="shared" si="1"/>
        <v/>
      </c>
      <c r="K81" s="10" t="str">
        <f>IF(B81="","",IF(COUNTIF(Finding_List!$A:$A,B81)&gt;0,"Yes","No"))</f>
        <v/>
      </c>
    </row>
    <row r="82" spans="1:11" x14ac:dyDescent="0.2">
      <c r="A82" s="9"/>
      <c r="B82" s="9"/>
      <c r="C82" s="9"/>
      <c r="D82" s="9"/>
      <c r="E82" s="9"/>
      <c r="F82" s="9"/>
      <c r="G82" s="9"/>
      <c r="H82" s="9"/>
      <c r="I82" s="10" t="str">
        <f>IF(B82="","",IF(COUNTIF(FUSE_CI!$A:$A,B82)&gt;0,"Yes","No"))</f>
        <v/>
      </c>
      <c r="J82" s="10" t="str">
        <f t="shared" si="1"/>
        <v/>
      </c>
      <c r="K82" s="10" t="str">
        <f>IF(B82="","",IF(COUNTIF(Finding_List!$A:$A,B82)&gt;0,"Yes","No"))</f>
        <v/>
      </c>
    </row>
    <row r="83" spans="1:11" x14ac:dyDescent="0.2">
      <c r="A83" s="5"/>
      <c r="B83" s="5"/>
      <c r="C83" s="5"/>
      <c r="D83" s="5"/>
      <c r="E83" s="5"/>
      <c r="F83" s="5"/>
      <c r="G83" s="5"/>
      <c r="H83" s="5"/>
      <c r="I83" s="10" t="str">
        <f>IF(B83="","",IF(COUNTIF(FUSE_CI!$A:$A,B83)&gt;0,"Yes","No"))</f>
        <v/>
      </c>
      <c r="J83" s="10" t="str">
        <f t="shared" si="1"/>
        <v/>
      </c>
      <c r="K83" s="10" t="str">
        <f>IF(B83="","",IF(COUNTIF(Finding_List!$A:$A,B83)&gt;0,"Yes","No"))</f>
        <v/>
      </c>
    </row>
    <row r="84" spans="1:11" x14ac:dyDescent="0.2">
      <c r="A84" s="9"/>
      <c r="B84" s="9"/>
      <c r="C84" s="9"/>
      <c r="D84" s="9"/>
      <c r="E84" s="9"/>
      <c r="F84" s="9"/>
      <c r="G84" s="9"/>
      <c r="H84" s="9"/>
      <c r="I84" s="10" t="str">
        <f>IF(B84="","",IF(COUNTIF(FUSE_CI!$A:$A,B84)&gt;0,"Yes","No"))</f>
        <v/>
      </c>
      <c r="J84" s="10" t="str">
        <f t="shared" si="1"/>
        <v/>
      </c>
      <c r="K84" s="10" t="str">
        <f>IF(B84="","",IF(COUNTIF(Finding_List!$A:$A,B84)&gt;0,"Yes","No"))</f>
        <v/>
      </c>
    </row>
    <row r="85" spans="1:11" x14ac:dyDescent="0.2">
      <c r="A85" s="5"/>
      <c r="B85" s="5"/>
      <c r="C85" s="5"/>
      <c r="D85" s="5"/>
      <c r="E85" s="5"/>
      <c r="F85" s="5"/>
      <c r="G85" s="5"/>
      <c r="H85" s="5"/>
      <c r="I85" s="10" t="str">
        <f>IF(B85="","",IF(COUNTIF(FUSE_CI!$A:$A,B85)&gt;0,"Yes","No"))</f>
        <v/>
      </c>
      <c r="J85" s="10" t="str">
        <f t="shared" si="1"/>
        <v/>
      </c>
      <c r="K85" s="10" t="str">
        <f>IF(B85="","",IF(COUNTIF(Finding_List!$A:$A,B85)&gt;0,"Yes","No"))</f>
        <v/>
      </c>
    </row>
    <row r="86" spans="1:11" x14ac:dyDescent="0.2">
      <c r="A86" s="9"/>
      <c r="B86" s="9"/>
      <c r="C86" s="9"/>
      <c r="D86" s="9"/>
      <c r="E86" s="9"/>
      <c r="F86" s="9"/>
      <c r="G86" s="9"/>
      <c r="H86" s="9"/>
      <c r="I86" s="10" t="str">
        <f>IF(B86="","",IF(COUNTIF(FUSE_CI!$A:$A,B86)&gt;0,"Yes","No"))</f>
        <v/>
      </c>
      <c r="J86" s="10" t="str">
        <f t="shared" si="1"/>
        <v/>
      </c>
      <c r="K86" s="10" t="str">
        <f>IF(B86="","",IF(COUNTIF(Finding_List!$A:$A,B86)&gt;0,"Yes","No"))</f>
        <v/>
      </c>
    </row>
    <row r="87" spans="1:11" x14ac:dyDescent="0.2">
      <c r="A87" s="5"/>
      <c r="B87" s="5"/>
      <c r="C87" s="5"/>
      <c r="D87" s="5"/>
      <c r="E87" s="5"/>
      <c r="F87" s="5"/>
      <c r="G87" s="5"/>
      <c r="H87" s="5"/>
      <c r="I87" s="10" t="str">
        <f>IF(B87="","",IF(COUNTIF(FUSE_CI!$A:$A,B87)&gt;0,"Yes","No"))</f>
        <v/>
      </c>
      <c r="J87" s="10" t="str">
        <f t="shared" si="1"/>
        <v/>
      </c>
      <c r="K87" s="10" t="str">
        <f>IF(B87="","",IF(COUNTIF(Finding_List!$A:$A,B87)&gt;0,"Yes","No"))</f>
        <v/>
      </c>
    </row>
    <row r="88" spans="1:11" x14ac:dyDescent="0.2">
      <c r="A88" s="9"/>
      <c r="B88" s="9"/>
      <c r="C88" s="9"/>
      <c r="D88" s="9"/>
      <c r="E88" s="9"/>
      <c r="F88" s="9"/>
      <c r="G88" s="9"/>
      <c r="H88" s="9"/>
      <c r="I88" s="10" t="str">
        <f>IF(B88="","",IF(COUNTIF(FUSE_CI!$A:$A,B88)&gt;0,"Yes","No"))</f>
        <v/>
      </c>
      <c r="J88" s="10" t="str">
        <f t="shared" si="1"/>
        <v/>
      </c>
      <c r="K88" s="10" t="str">
        <f>IF(B88="","",IF(COUNTIF(Finding_List!$A:$A,B88)&gt;0,"Yes","No"))</f>
        <v/>
      </c>
    </row>
    <row r="89" spans="1:11" x14ac:dyDescent="0.2">
      <c r="A89" s="5"/>
      <c r="B89" s="5"/>
      <c r="C89" s="5"/>
      <c r="D89" s="5"/>
      <c r="E89" s="5"/>
      <c r="F89" s="5"/>
      <c r="G89" s="5"/>
      <c r="H89" s="5"/>
      <c r="I89" s="10" t="str">
        <f>IF(B89="","",IF(COUNTIF(FUSE_CI!$A:$A,B89)&gt;0,"Yes","No"))</f>
        <v/>
      </c>
      <c r="J89" s="10" t="str">
        <f t="shared" si="1"/>
        <v/>
      </c>
      <c r="K89" s="10" t="str">
        <f>IF(B89="","",IF(COUNTIF(Finding_List!$A:$A,B89)&gt;0,"Yes","No"))</f>
        <v/>
      </c>
    </row>
    <row r="90" spans="1:11" x14ac:dyDescent="0.2">
      <c r="A90" s="9"/>
      <c r="B90" s="9"/>
      <c r="C90" s="9"/>
      <c r="D90" s="9"/>
      <c r="E90" s="9"/>
      <c r="F90" s="9"/>
      <c r="G90" s="9"/>
      <c r="H90" s="9"/>
      <c r="I90" s="10" t="str">
        <f>IF(B90="","",IF(COUNTIF(FUSE_CI!$A:$A,B90)&gt;0,"Yes","No"))</f>
        <v/>
      </c>
      <c r="J90" s="10" t="str">
        <f t="shared" si="1"/>
        <v/>
      </c>
      <c r="K90" s="10" t="str">
        <f>IF(B90="","",IF(COUNTIF(Finding_List!$A:$A,B90)&gt;0,"Yes","No"))</f>
        <v/>
      </c>
    </row>
    <row r="91" spans="1:11" x14ac:dyDescent="0.2">
      <c r="A91" s="5"/>
      <c r="B91" s="5"/>
      <c r="C91" s="5"/>
      <c r="D91" s="5"/>
      <c r="E91" s="5"/>
      <c r="F91" s="5"/>
      <c r="G91" s="5"/>
      <c r="H91" s="5"/>
      <c r="I91" s="10" t="str">
        <f>IF(B91="","",IF(COUNTIF(FUSE_CI!$A:$A,B91)&gt;0,"Yes","No"))</f>
        <v/>
      </c>
      <c r="J91" s="10" t="str">
        <f t="shared" si="1"/>
        <v/>
      </c>
      <c r="K91" s="10" t="str">
        <f>IF(B91="","",IF(COUNTIF(Finding_List!$A:$A,B91)&gt;0,"Yes","No"))</f>
        <v/>
      </c>
    </row>
    <row r="92" spans="1:11" x14ac:dyDescent="0.2">
      <c r="A92" s="9"/>
      <c r="B92" s="9"/>
      <c r="C92" s="9"/>
      <c r="D92" s="9"/>
      <c r="E92" s="9"/>
      <c r="F92" s="9"/>
      <c r="G92" s="9"/>
      <c r="H92" s="9"/>
      <c r="I92" s="10" t="str">
        <f>IF(B92="","",IF(COUNTIF(FUSE_CI!$A:$A,B92)&gt;0,"Yes","No"))</f>
        <v/>
      </c>
      <c r="J92" s="10" t="str">
        <f t="shared" si="1"/>
        <v/>
      </c>
      <c r="K92" s="10" t="str">
        <f>IF(B92="","",IF(COUNTIF(Finding_List!$A:$A,B92)&gt;0,"Yes","No"))</f>
        <v/>
      </c>
    </row>
    <row r="93" spans="1:11" x14ac:dyDescent="0.2">
      <c r="A93" s="5"/>
      <c r="B93" s="5"/>
      <c r="C93" s="5"/>
      <c r="D93" s="5"/>
      <c r="E93" s="5"/>
      <c r="F93" s="5"/>
      <c r="G93" s="5"/>
      <c r="H93" s="5"/>
      <c r="I93" s="10" t="str">
        <f>IF(B93="","",IF(COUNTIF(FUSE_CI!$A:$A,B93)&gt;0,"Yes","No"))</f>
        <v/>
      </c>
      <c r="J93" s="10" t="str">
        <f t="shared" si="1"/>
        <v/>
      </c>
      <c r="K93" s="10" t="str">
        <f>IF(B93="","",IF(COUNTIF(Finding_List!$A:$A,B93)&gt;0,"Yes","No"))</f>
        <v/>
      </c>
    </row>
    <row r="94" spans="1:11" x14ac:dyDescent="0.2">
      <c r="A94" s="9"/>
      <c r="B94" s="9"/>
      <c r="C94" s="9"/>
      <c r="D94" s="9"/>
      <c r="E94" s="9"/>
      <c r="F94" s="9"/>
      <c r="G94" s="9"/>
      <c r="H94" s="9"/>
      <c r="I94" s="10" t="str">
        <f>IF(B94="","",IF(COUNTIF(FUSE_CI!$A:$A,B94)&gt;0,"Yes","No"))</f>
        <v/>
      </c>
      <c r="J94" s="10" t="str">
        <f t="shared" si="1"/>
        <v/>
      </c>
      <c r="K94" s="10" t="str">
        <f>IF(B94="","",IF(COUNTIF(Finding_List!$A:$A,B94)&gt;0,"Yes","No"))</f>
        <v/>
      </c>
    </row>
    <row r="95" spans="1:11" x14ac:dyDescent="0.2">
      <c r="A95" s="5"/>
      <c r="B95" s="5"/>
      <c r="C95" s="5"/>
      <c r="D95" s="5"/>
      <c r="E95" s="5"/>
      <c r="F95" s="5"/>
      <c r="G95" s="5"/>
      <c r="H95" s="5"/>
      <c r="I95" s="10" t="str">
        <f>IF(B95="","",IF(COUNTIF(FUSE_CI!$A:$A,B95)&gt;0,"Yes","No"))</f>
        <v/>
      </c>
      <c r="J95" s="10" t="str">
        <f t="shared" si="1"/>
        <v/>
      </c>
      <c r="K95" s="10" t="str">
        <f>IF(B95="","",IF(COUNTIF(Finding_List!$A:$A,B95)&gt;0,"Yes","No"))</f>
        <v/>
      </c>
    </row>
    <row r="96" spans="1:11" x14ac:dyDescent="0.2">
      <c r="A96" s="9"/>
      <c r="B96" s="9"/>
      <c r="C96" s="9"/>
      <c r="D96" s="9"/>
      <c r="E96" s="9"/>
      <c r="F96" s="9"/>
      <c r="G96" s="9"/>
      <c r="H96" s="9"/>
      <c r="I96" s="10" t="str">
        <f>IF(B96="","",IF(COUNTIF(FUSE_CI!$A:$A,B96)&gt;0,"Yes","No"))</f>
        <v/>
      </c>
      <c r="J96" s="10" t="str">
        <f t="shared" si="1"/>
        <v/>
      </c>
      <c r="K96" s="10" t="str">
        <f>IF(B96="","",IF(COUNTIF(Finding_List!$A:$A,B96)&gt;0,"Yes","No"))</f>
        <v/>
      </c>
    </row>
    <row r="97" spans="1:11" x14ac:dyDescent="0.2">
      <c r="A97" s="5"/>
      <c r="B97" s="5"/>
      <c r="C97" s="5"/>
      <c r="D97" s="5"/>
      <c r="E97" s="5"/>
      <c r="F97" s="5"/>
      <c r="G97" s="5"/>
      <c r="H97" s="5"/>
      <c r="I97" s="10" t="str">
        <f>IF(B97="","",IF(COUNTIF(FUSE_CI!$A:$A,B97)&gt;0,"Yes","No"))</f>
        <v/>
      </c>
      <c r="J97" s="10" t="str">
        <f t="shared" si="1"/>
        <v/>
      </c>
      <c r="K97" s="10" t="str">
        <f>IF(B97="","",IF(COUNTIF(Finding_List!$A:$A,B97)&gt;0,"Yes","No"))</f>
        <v/>
      </c>
    </row>
    <row r="98" spans="1:11" x14ac:dyDescent="0.2">
      <c r="A98" s="9"/>
      <c r="B98" s="9"/>
      <c r="C98" s="9"/>
      <c r="D98" s="9"/>
      <c r="E98" s="9"/>
      <c r="F98" s="9"/>
      <c r="G98" s="9"/>
      <c r="H98" s="9"/>
      <c r="I98" s="10" t="str">
        <f>IF(B98="","",IF(COUNTIF(FUSE_CI!$A:$A,B98)&gt;0,"Yes","No"))</f>
        <v/>
      </c>
      <c r="J98" s="10" t="str">
        <f t="shared" si="1"/>
        <v/>
      </c>
      <c r="K98" s="10" t="str">
        <f>IF(B98="","",IF(COUNTIF(Finding_List!$A:$A,B98)&gt;0,"Yes","No"))</f>
        <v/>
      </c>
    </row>
    <row r="99" spans="1:11" x14ac:dyDescent="0.2">
      <c r="A99" s="5"/>
      <c r="B99" s="5"/>
      <c r="C99" s="5"/>
      <c r="D99" s="5"/>
      <c r="E99" s="5"/>
      <c r="F99" s="5"/>
      <c r="G99" s="5"/>
      <c r="H99" s="5"/>
      <c r="I99" s="10" t="str">
        <f>IF(B99="","",IF(COUNTIF(FUSE_CI!$A:$A,B99)&gt;0,"Yes","No"))</f>
        <v/>
      </c>
      <c r="J99" s="10" t="str">
        <f t="shared" si="1"/>
        <v/>
      </c>
      <c r="K99" s="10" t="str">
        <f>IF(B99="","",IF(COUNTIF(Finding_List!$A:$A,B99)&gt;0,"Yes","No"))</f>
        <v/>
      </c>
    </row>
    <row r="100" spans="1:11" x14ac:dyDescent="0.2">
      <c r="A100" s="9"/>
      <c r="B100" s="9"/>
      <c r="C100" s="9"/>
      <c r="D100" s="9"/>
      <c r="E100" s="9"/>
      <c r="F100" s="9"/>
      <c r="G100" s="9"/>
      <c r="H100" s="9"/>
      <c r="I100" s="10" t="str">
        <f>IF(B100="","",IF(COUNTIF(FUSE_CI!$A:$A,B100)&gt;0,"Yes","No"))</f>
        <v/>
      </c>
      <c r="J100" s="10" t="str">
        <f t="shared" si="1"/>
        <v/>
      </c>
      <c r="K100" s="10" t="str">
        <f>IF(B100="","",IF(COUNTIF(Finding_List!$A:$A,B100)&gt;0,"Yes","No"))</f>
        <v/>
      </c>
    </row>
    <row r="101" spans="1:11" x14ac:dyDescent="0.2">
      <c r="A101" s="5"/>
      <c r="B101" s="5"/>
      <c r="C101" s="5"/>
      <c r="D101" s="5"/>
      <c r="E101" s="5"/>
      <c r="F101" s="5"/>
      <c r="G101" s="5"/>
      <c r="H101" s="5"/>
      <c r="I101" s="10" t="str">
        <f>IF(B101="","",IF(COUNTIF(FUSE_CI!$A:$A,B101)&gt;0,"Yes","No"))</f>
        <v/>
      </c>
      <c r="J101" s="10" t="str">
        <f t="shared" si="1"/>
        <v/>
      </c>
      <c r="K101" s="10" t="str">
        <f>IF(B101="","",IF(COUNTIF(Finding_List!$A:$A,B101)&gt;0,"Yes","No"))</f>
        <v/>
      </c>
    </row>
    <row r="102" spans="1:11" x14ac:dyDescent="0.2">
      <c r="A102" s="9"/>
      <c r="B102" s="9"/>
      <c r="C102" s="9"/>
      <c r="D102" s="9"/>
      <c r="E102" s="9"/>
      <c r="F102" s="9"/>
      <c r="G102" s="9"/>
      <c r="H102" s="9"/>
      <c r="I102" s="10" t="str">
        <f>IF(B102="","",IF(COUNTIF(FUSE_CI!$A:$A,B102)&gt;0,"Yes","No"))</f>
        <v/>
      </c>
      <c r="J102" s="10" t="str">
        <f t="shared" si="1"/>
        <v/>
      </c>
      <c r="K102" s="10" t="str">
        <f>IF(B102="","",IF(COUNTIF(Finding_List!$A:$A,B102)&gt;0,"Yes","No"))</f>
        <v/>
      </c>
    </row>
    <row r="103" spans="1:11" x14ac:dyDescent="0.2">
      <c r="A103" s="5"/>
      <c r="B103" s="5"/>
      <c r="C103" s="5"/>
      <c r="D103" s="5"/>
      <c r="E103" s="5"/>
      <c r="F103" s="5"/>
      <c r="G103" s="5"/>
      <c r="H103" s="5"/>
      <c r="I103" s="10" t="str">
        <f>IF(B103="","",IF(COUNTIF(FUSE_CI!$A:$A,B103)&gt;0,"Yes","No"))</f>
        <v/>
      </c>
      <c r="J103" s="10" t="str">
        <f t="shared" si="1"/>
        <v/>
      </c>
      <c r="K103" s="10" t="str">
        <f>IF(B103="","",IF(COUNTIF(Finding_List!$A:$A,B103)&gt;0,"Yes","No"))</f>
        <v/>
      </c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10" t="str">
        <f>IF(B104="","",IF(COUNTIF(FUSE_CI!$A:$A,B104)&gt;0,"Yes","No"))</f>
        <v/>
      </c>
      <c r="J104" s="10" t="str">
        <f t="shared" si="1"/>
        <v/>
      </c>
      <c r="K104" s="10" t="str">
        <f>IF(B104="","",IF(COUNTIF(Finding_List!$A:$A,B104)&gt;0,"Yes","No"))</f>
        <v/>
      </c>
    </row>
    <row r="105" spans="1:11" x14ac:dyDescent="0.2">
      <c r="A105" s="5"/>
      <c r="B105" s="5"/>
      <c r="C105" s="5"/>
      <c r="D105" s="5"/>
      <c r="E105" s="5"/>
      <c r="F105" s="5"/>
      <c r="G105" s="5"/>
      <c r="H105" s="5"/>
      <c r="I105" s="10" t="str">
        <f>IF(B105="","",IF(COUNTIF(FUSE_CI!$A:$A,B105)&gt;0,"Yes","No"))</f>
        <v/>
      </c>
      <c r="J105" s="10" t="str">
        <f t="shared" si="1"/>
        <v/>
      </c>
      <c r="K105" s="10" t="str">
        <f>IF(B105="","",IF(COUNTIF(Finding_List!$A:$A,B105)&gt;0,"Yes","No"))</f>
        <v/>
      </c>
    </row>
    <row r="106" spans="1:11" x14ac:dyDescent="0.2">
      <c r="A106" s="9"/>
      <c r="B106" s="9"/>
      <c r="C106" s="9"/>
      <c r="D106" s="9"/>
      <c r="E106" s="9"/>
      <c r="F106" s="9"/>
      <c r="G106" s="9"/>
      <c r="H106" s="9"/>
      <c r="I106" s="10" t="str">
        <f>IF(B106="","",IF(COUNTIF(FUSE_CI!$A:$A,B106)&gt;0,"Yes","No"))</f>
        <v/>
      </c>
      <c r="J106" s="10" t="str">
        <f t="shared" si="1"/>
        <v/>
      </c>
      <c r="K106" s="10" t="str">
        <f>IF(B106="","",IF(COUNTIF(Finding_List!$A:$A,B106)&gt;0,"Yes","No"))</f>
        <v/>
      </c>
    </row>
    <row r="107" spans="1:11" x14ac:dyDescent="0.2">
      <c r="A107" s="5"/>
      <c r="B107" s="5"/>
      <c r="C107" s="5"/>
      <c r="D107" s="5"/>
      <c r="E107" s="5"/>
      <c r="F107" s="5"/>
      <c r="G107" s="5"/>
      <c r="H107" s="5"/>
      <c r="I107" s="10" t="str">
        <f>IF(B107="","",IF(COUNTIF(FUSE_CI!$A:$A,B107)&gt;0,"Yes","No"))</f>
        <v/>
      </c>
      <c r="J107" s="10" t="str">
        <f t="shared" si="1"/>
        <v/>
      </c>
      <c r="K107" s="10" t="str">
        <f>IF(B107="","",IF(COUNTIF(Finding_List!$A:$A,B107)&gt;0,"Yes","No"))</f>
        <v/>
      </c>
    </row>
    <row r="108" spans="1:11" x14ac:dyDescent="0.2">
      <c r="A108" s="9"/>
      <c r="B108" s="9"/>
      <c r="C108" s="9"/>
      <c r="D108" s="9"/>
      <c r="E108" s="9"/>
      <c r="F108" s="9"/>
      <c r="G108" s="9"/>
      <c r="H108" s="9"/>
      <c r="I108" s="10" t="str">
        <f>IF(B108="","",IF(COUNTIF(FUSE_CI!$A:$A,B108)&gt;0,"Yes","No"))</f>
        <v/>
      </c>
      <c r="J108" s="10" t="str">
        <f t="shared" si="1"/>
        <v/>
      </c>
      <c r="K108" s="10" t="str">
        <f>IF(B108="","",IF(COUNTIF(Finding_List!$A:$A,B108)&gt;0,"Yes","No"))</f>
        <v/>
      </c>
    </row>
    <row r="109" spans="1:11" x14ac:dyDescent="0.2">
      <c r="A109" s="5"/>
      <c r="B109" s="5"/>
      <c r="C109" s="5"/>
      <c r="D109" s="5"/>
      <c r="E109" s="5"/>
      <c r="F109" s="5"/>
      <c r="G109" s="5"/>
      <c r="H109" s="5"/>
      <c r="I109" s="10" t="str">
        <f>IF(B109="","",IF(COUNTIF(FUSE_CI!$A:$A,B109)&gt;0,"Yes","No"))</f>
        <v/>
      </c>
      <c r="J109" s="10" t="str">
        <f t="shared" si="1"/>
        <v/>
      </c>
      <c r="K109" s="10" t="str">
        <f>IF(B109="","",IF(COUNTIF(Finding_List!$A:$A,B109)&gt;0,"Yes","No"))</f>
        <v/>
      </c>
    </row>
    <row r="110" spans="1:11" x14ac:dyDescent="0.2">
      <c r="A110" s="9"/>
      <c r="B110" s="9"/>
      <c r="C110" s="9"/>
      <c r="D110" s="9"/>
      <c r="E110" s="9"/>
      <c r="F110" s="9"/>
      <c r="G110" s="9"/>
      <c r="H110" s="9"/>
      <c r="I110" s="10" t="str">
        <f>IF(B110="","",IF(COUNTIF(FUSE_CI!$A:$A,B110)&gt;0,"Yes","No"))</f>
        <v/>
      </c>
      <c r="J110" s="10" t="str">
        <f t="shared" si="1"/>
        <v/>
      </c>
      <c r="K110" s="10" t="str">
        <f>IF(B110="","",IF(COUNTIF(Finding_List!$A:$A,B110)&gt;0,"Yes","No"))</f>
        <v/>
      </c>
    </row>
    <row r="111" spans="1:11" x14ac:dyDescent="0.2">
      <c r="A111" s="5"/>
      <c r="B111" s="5"/>
      <c r="C111" s="5"/>
      <c r="D111" s="5"/>
      <c r="E111" s="5"/>
      <c r="F111" s="5"/>
      <c r="G111" s="5"/>
      <c r="H111" s="5"/>
      <c r="I111" s="10" t="str">
        <f>IF(B111="","",IF(COUNTIF(FUSE_CI!$A:$A,B111)&gt;0,"Yes","No"))</f>
        <v/>
      </c>
      <c r="J111" s="10" t="str">
        <f t="shared" si="1"/>
        <v/>
      </c>
      <c r="K111" s="10" t="str">
        <f>IF(B111="","",IF(COUNTIF(Finding_List!$A:$A,B111)&gt;0,"Yes","No"))</f>
        <v/>
      </c>
    </row>
    <row r="112" spans="1:11" x14ac:dyDescent="0.2">
      <c r="A112" s="9"/>
      <c r="B112" s="9"/>
      <c r="C112" s="9"/>
      <c r="D112" s="9"/>
      <c r="E112" s="9"/>
      <c r="F112" s="9"/>
      <c r="G112" s="9"/>
      <c r="H112" s="9"/>
      <c r="I112" s="10" t="str">
        <f>IF(B112="","",IF(COUNTIF(FUSE_CI!$A:$A,B112)&gt;0,"Yes","No"))</f>
        <v/>
      </c>
      <c r="J112" s="10" t="str">
        <f t="shared" si="1"/>
        <v/>
      </c>
      <c r="K112" s="10" t="str">
        <f>IF(B112="","",IF(COUNTIF(Finding_List!$A:$A,B112)&gt;0,"Yes","No"))</f>
        <v/>
      </c>
    </row>
    <row r="113" spans="1:11" x14ac:dyDescent="0.2">
      <c r="A113" s="5"/>
      <c r="B113" s="5"/>
      <c r="C113" s="5"/>
      <c r="D113" s="5"/>
      <c r="E113" s="5"/>
      <c r="F113" s="5"/>
      <c r="G113" s="5"/>
      <c r="H113" s="5"/>
      <c r="I113" s="10" t="str">
        <f>IF(B113="","",IF(COUNTIF(FUSE_CI!$A:$A,B113)&gt;0,"Yes","No"))</f>
        <v/>
      </c>
      <c r="J113" s="10" t="str">
        <f t="shared" si="1"/>
        <v/>
      </c>
      <c r="K113" s="10" t="str">
        <f>IF(B113="","",IF(COUNTIF(Finding_List!$A:$A,B113)&gt;0,"Yes","No"))</f>
        <v/>
      </c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10" t="str">
        <f>IF(B114="","",IF(COUNTIF(FUSE_CI!$A:$A,B114)&gt;0,"Yes","No"))</f>
        <v/>
      </c>
      <c r="J114" s="10" t="str">
        <f t="shared" si="1"/>
        <v/>
      </c>
      <c r="K114" s="10" t="str">
        <f>IF(B114="","",IF(COUNTIF(Finding_List!$A:$A,B114)&gt;0,"Yes","No"))</f>
        <v/>
      </c>
    </row>
    <row r="115" spans="1:11" x14ac:dyDescent="0.2">
      <c r="A115" s="5"/>
      <c r="B115" s="5"/>
      <c r="C115" s="5"/>
      <c r="D115" s="5"/>
      <c r="E115" s="5"/>
      <c r="F115" s="5"/>
      <c r="G115" s="5"/>
      <c r="H115" s="5"/>
      <c r="I115" s="10" t="str">
        <f>IF(B115="","",IF(COUNTIF(FUSE_CI!$A:$A,B115)&gt;0,"Yes","No"))</f>
        <v/>
      </c>
      <c r="J115" s="10" t="str">
        <f t="shared" si="1"/>
        <v/>
      </c>
      <c r="K115" s="10" t="str">
        <f>IF(B115="","",IF(COUNTIF(Finding_List!$A:$A,B115)&gt;0,"Yes","No"))</f>
        <v/>
      </c>
    </row>
    <row r="116" spans="1:11" x14ac:dyDescent="0.2">
      <c r="A116" s="9"/>
      <c r="B116" s="9"/>
      <c r="C116" s="9"/>
      <c r="D116" s="9"/>
      <c r="E116" s="9"/>
      <c r="F116" s="9"/>
      <c r="G116" s="9"/>
      <c r="H116" s="9"/>
      <c r="I116" s="10" t="str">
        <f>IF(B116="","",IF(COUNTIF(FUSE_CI!$A:$A,B116)&gt;0,"Yes","No"))</f>
        <v/>
      </c>
      <c r="J116" s="10" t="str">
        <f t="shared" si="1"/>
        <v/>
      </c>
      <c r="K116" s="10" t="str">
        <f>IF(B116="","",IF(COUNTIF(Finding_List!$A:$A,B116)&gt;0,"Yes","No"))</f>
        <v/>
      </c>
    </row>
    <row r="117" spans="1:11" x14ac:dyDescent="0.2">
      <c r="A117" s="5"/>
      <c r="B117" s="5"/>
      <c r="C117" s="5"/>
      <c r="D117" s="5"/>
      <c r="E117" s="5"/>
      <c r="F117" s="5"/>
      <c r="G117" s="5"/>
      <c r="H117" s="5"/>
      <c r="I117" s="10" t="str">
        <f>IF(B117="","",IF(COUNTIF(FUSE_CI!$A:$A,B117)&gt;0,"Yes","No"))</f>
        <v/>
      </c>
      <c r="J117" s="10" t="str">
        <f t="shared" si="1"/>
        <v/>
      </c>
      <c r="K117" s="10" t="str">
        <f>IF(B117="","",IF(COUNTIF(Finding_List!$A:$A,B117)&gt;0,"Yes","No"))</f>
        <v/>
      </c>
    </row>
    <row r="118" spans="1:11" x14ac:dyDescent="0.2">
      <c r="A118" s="9"/>
      <c r="B118" s="9"/>
      <c r="C118" s="9"/>
      <c r="D118" s="9"/>
      <c r="E118" s="9"/>
      <c r="F118" s="9"/>
      <c r="G118" s="9"/>
      <c r="H118" s="9"/>
      <c r="I118" s="10" t="str">
        <f>IF(B118="","",IF(COUNTIF(FUSE_CI!$A:$A,B118)&gt;0,"Yes","No"))</f>
        <v/>
      </c>
      <c r="J118" s="10" t="str">
        <f t="shared" si="1"/>
        <v/>
      </c>
      <c r="K118" s="10" t="str">
        <f>IF(B118="","",IF(COUNTIF(Finding_List!$A:$A,B118)&gt;0,"Yes","No"))</f>
        <v/>
      </c>
    </row>
    <row r="119" spans="1:11" x14ac:dyDescent="0.2">
      <c r="A119" s="5"/>
      <c r="B119" s="5"/>
      <c r="C119" s="5"/>
      <c r="D119" s="5"/>
      <c r="E119" s="5"/>
      <c r="F119" s="5"/>
      <c r="G119" s="5"/>
      <c r="H119" s="5"/>
      <c r="I119" s="10" t="str">
        <f>IF(B119="","",IF(COUNTIF(FUSE_CI!$A:$A,B119)&gt;0,"Yes","No"))</f>
        <v/>
      </c>
      <c r="J119" s="10" t="str">
        <f t="shared" si="1"/>
        <v/>
      </c>
      <c r="K119" s="10" t="str">
        <f>IF(B119="","",IF(COUNTIF(Finding_List!$A:$A,B119)&gt;0,"Yes","No"))</f>
        <v/>
      </c>
    </row>
    <row r="120" spans="1:11" x14ac:dyDescent="0.2">
      <c r="A120" s="9"/>
      <c r="B120" s="9"/>
      <c r="C120" s="9"/>
      <c r="D120" s="9"/>
      <c r="E120" s="9"/>
      <c r="F120" s="9"/>
      <c r="G120" s="9"/>
      <c r="H120" s="9"/>
      <c r="I120" s="10" t="str">
        <f>IF(B120="","",IF(COUNTIF(FUSE_CI!$A:$A,B120)&gt;0,"Yes","No"))</f>
        <v/>
      </c>
      <c r="J120" s="10" t="str">
        <f t="shared" si="1"/>
        <v/>
      </c>
      <c r="K120" s="10" t="str">
        <f>IF(B120="","",IF(COUNTIF(Finding_List!$A:$A,B120)&gt;0,"Yes","No"))</f>
        <v/>
      </c>
    </row>
    <row r="121" spans="1:11" x14ac:dyDescent="0.2">
      <c r="A121" s="5"/>
      <c r="B121" s="5"/>
      <c r="C121" s="5"/>
      <c r="D121" s="5"/>
      <c r="E121" s="5"/>
      <c r="F121" s="5"/>
      <c r="G121" s="5"/>
      <c r="H121" s="5"/>
      <c r="I121" s="10" t="str">
        <f>IF(B121="","",IF(COUNTIF(FUSE_CI!$A:$A,B121)&gt;0,"Yes","No"))</f>
        <v/>
      </c>
      <c r="J121" s="10" t="str">
        <f t="shared" si="1"/>
        <v/>
      </c>
      <c r="K121" s="10" t="str">
        <f>IF(B121="","",IF(COUNTIF(Finding_List!$A:$A,B121)&gt;0,"Yes","No"))</f>
        <v/>
      </c>
    </row>
    <row r="122" spans="1:11" x14ac:dyDescent="0.2">
      <c r="A122" s="9"/>
      <c r="B122" s="9"/>
      <c r="C122" s="9"/>
      <c r="D122" s="9"/>
      <c r="E122" s="9"/>
      <c r="F122" s="9"/>
      <c r="G122" s="9"/>
      <c r="H122" s="9"/>
      <c r="I122" s="10" t="str">
        <f>IF(B122="","",IF(COUNTIF(FUSE_CI!$A:$A,B122)&gt;0,"Yes","No"))</f>
        <v/>
      </c>
      <c r="J122" s="10" t="str">
        <f t="shared" si="1"/>
        <v/>
      </c>
      <c r="K122" s="10" t="str">
        <f>IF(B122="","",IF(COUNTIF(Finding_List!$A:$A,B122)&gt;0,"Yes","No"))</f>
        <v/>
      </c>
    </row>
    <row r="123" spans="1:11" x14ac:dyDescent="0.2">
      <c r="A123" s="5"/>
      <c r="B123" s="5"/>
      <c r="C123" s="5"/>
      <c r="D123" s="5"/>
      <c r="E123" s="5"/>
      <c r="F123" s="5"/>
      <c r="G123" s="5"/>
      <c r="H123" s="5"/>
      <c r="I123" s="10" t="str">
        <f>IF(B123="","",IF(COUNTIF(FUSE_CI!$A:$A,B123)&gt;0,"Yes","No"))</f>
        <v/>
      </c>
      <c r="J123" s="10" t="str">
        <f t="shared" si="1"/>
        <v/>
      </c>
      <c r="K123" s="10" t="str">
        <f>IF(B123="","",IF(COUNTIF(Finding_List!$A:$A,B123)&gt;0,"Yes","No"))</f>
        <v/>
      </c>
    </row>
    <row r="124" spans="1:11" x14ac:dyDescent="0.2">
      <c r="A124" s="9"/>
      <c r="B124" s="9"/>
      <c r="C124" s="9"/>
      <c r="D124" s="9"/>
      <c r="E124" s="9"/>
      <c r="F124" s="9"/>
      <c r="G124" s="9"/>
      <c r="H124" s="9"/>
      <c r="I124" s="10" t="str">
        <f>IF(B124="","",IF(COUNTIF(FUSE_CI!$A:$A,B124)&gt;0,"Yes","No"))</f>
        <v/>
      </c>
      <c r="J124" s="10" t="str">
        <f t="shared" si="1"/>
        <v/>
      </c>
      <c r="K124" s="10" t="str">
        <f>IF(B124="","",IF(COUNTIF(Finding_List!$A:$A,B124)&gt;0,"Yes","No"))</f>
        <v/>
      </c>
    </row>
    <row r="125" spans="1:11" x14ac:dyDescent="0.2">
      <c r="A125" s="5"/>
      <c r="B125" s="5"/>
      <c r="C125" s="5"/>
      <c r="D125" s="5"/>
      <c r="E125" s="5"/>
      <c r="F125" s="5"/>
      <c r="G125" s="5"/>
      <c r="H125" s="5"/>
      <c r="I125" s="10" t="str">
        <f>IF(B125="","",IF(COUNTIF(FUSE_CI!$A:$A,B125)&gt;0,"Yes","No"))</f>
        <v/>
      </c>
      <c r="J125" s="10" t="str">
        <f t="shared" si="1"/>
        <v/>
      </c>
      <c r="K125" s="10" t="str">
        <f>IF(B125="","",IF(COUNTIF(Finding_List!$A:$A,B125)&gt;0,"Yes","No"))</f>
        <v/>
      </c>
    </row>
    <row r="126" spans="1:11" x14ac:dyDescent="0.2">
      <c r="A126" s="9"/>
      <c r="B126" s="9"/>
      <c r="C126" s="9"/>
      <c r="D126" s="9"/>
      <c r="E126" s="9"/>
      <c r="F126" s="9"/>
      <c r="G126" s="9"/>
      <c r="H126" s="9"/>
      <c r="I126" s="10" t="str">
        <f>IF(B126="","",IF(COUNTIF(FUSE_CI!$A:$A,B126)&gt;0,"Yes","No"))</f>
        <v/>
      </c>
      <c r="J126" s="10" t="str">
        <f t="shared" si="1"/>
        <v/>
      </c>
      <c r="K126" s="10" t="str">
        <f>IF(B126="","",IF(COUNTIF(Finding_List!$A:$A,B126)&gt;0,"Yes","No"))</f>
        <v/>
      </c>
    </row>
    <row r="127" spans="1:11" x14ac:dyDescent="0.2">
      <c r="A127" s="5"/>
      <c r="B127" s="5"/>
      <c r="C127" s="5"/>
      <c r="D127" s="5"/>
      <c r="E127" s="5"/>
      <c r="F127" s="5"/>
      <c r="G127" s="5"/>
      <c r="H127" s="5"/>
      <c r="I127" s="10" t="str">
        <f>IF(B127="","",IF(COUNTIF(FUSE_CI!$A:$A,B127)&gt;0,"Yes","No"))</f>
        <v/>
      </c>
      <c r="J127" s="10" t="str">
        <f t="shared" si="1"/>
        <v/>
      </c>
      <c r="K127" s="10" t="str">
        <f>IF(B127="","",IF(COUNTIF(Finding_List!$A:$A,B127)&gt;0,"Yes","No"))</f>
        <v/>
      </c>
    </row>
    <row r="128" spans="1:11" x14ac:dyDescent="0.2">
      <c r="A128" s="9"/>
      <c r="B128" s="9"/>
      <c r="C128" s="9"/>
      <c r="D128" s="9"/>
      <c r="E128" s="9"/>
      <c r="F128" s="9"/>
      <c r="G128" s="9"/>
      <c r="H128" s="9"/>
      <c r="I128" s="10" t="str">
        <f>IF(B128="","",IF(COUNTIF(FUSE_CI!$A:$A,B128)&gt;0,"Yes","No"))</f>
        <v/>
      </c>
      <c r="J128" s="10" t="str">
        <f t="shared" si="1"/>
        <v/>
      </c>
      <c r="K128" s="10" t="str">
        <f>IF(B128="","",IF(COUNTIF(Finding_List!$A:$A,B128)&gt;0,"Yes","No"))</f>
        <v/>
      </c>
    </row>
    <row r="129" spans="1:11" x14ac:dyDescent="0.2">
      <c r="A129" s="5"/>
      <c r="B129" s="5"/>
      <c r="C129" s="5"/>
      <c r="D129" s="5"/>
      <c r="E129" s="5"/>
      <c r="F129" s="5"/>
      <c r="G129" s="5"/>
      <c r="H129" s="5"/>
      <c r="I129" s="10" t="str">
        <f>IF(B129="","",IF(COUNTIF(FUSE_CI!$A:$A,B129)&gt;0,"Yes","No"))</f>
        <v/>
      </c>
      <c r="J129" s="10" t="str">
        <f t="shared" si="1"/>
        <v/>
      </c>
      <c r="K129" s="10" t="str">
        <f>IF(B129="","",IF(COUNTIF(Finding_List!$A:$A,B129)&gt;0,"Yes","No"))</f>
        <v/>
      </c>
    </row>
    <row r="130" spans="1:11" x14ac:dyDescent="0.2">
      <c r="A130" s="9"/>
      <c r="B130" s="9"/>
      <c r="C130" s="9"/>
      <c r="D130" s="9"/>
      <c r="E130" s="9"/>
      <c r="F130" s="9"/>
      <c r="G130" s="9"/>
      <c r="H130" s="9"/>
      <c r="I130" s="10" t="str">
        <f>IF(B130="","",IF(COUNTIF(FUSE_CI!$A:$A,B130)&gt;0,"Yes","No"))</f>
        <v/>
      </c>
      <c r="J130" s="10" t="str">
        <f t="shared" si="1"/>
        <v/>
      </c>
      <c r="K130" s="10" t="str">
        <f>IF(B130="","",IF(COUNTIF(Finding_List!$A:$A,B130)&gt;0,"Yes","No"))</f>
        <v/>
      </c>
    </row>
    <row r="131" spans="1:11" x14ac:dyDescent="0.2">
      <c r="A131" s="5"/>
      <c r="B131" s="5"/>
      <c r="C131" s="5"/>
      <c r="D131" s="5"/>
      <c r="E131" s="5"/>
      <c r="F131" s="5"/>
      <c r="G131" s="5"/>
      <c r="H131" s="5"/>
      <c r="I131" s="10" t="str">
        <f>IF(B131="","",IF(COUNTIF(FUSE_CI!$A:$A,B131)&gt;0,"Yes","No"))</f>
        <v/>
      </c>
      <c r="J131" s="10" t="str">
        <f t="shared" si="1"/>
        <v/>
      </c>
      <c r="K131" s="10" t="str">
        <f>IF(B131="","",IF(COUNTIF(Finding_List!$A:$A,B131)&gt;0,"Yes","No"))</f>
        <v/>
      </c>
    </row>
    <row r="132" spans="1:11" x14ac:dyDescent="0.2">
      <c r="A132" s="9"/>
      <c r="B132" s="9"/>
      <c r="C132" s="9"/>
      <c r="D132" s="9"/>
      <c r="E132" s="9"/>
      <c r="F132" s="9"/>
      <c r="G132" s="9"/>
      <c r="H132" s="9"/>
      <c r="I132" s="10" t="str">
        <f>IF(B132="","",IF(COUNTIF(FUSE_CI!$A:$A,B132)&gt;0,"Yes","No"))</f>
        <v/>
      </c>
      <c r="J132" s="10" t="str">
        <f t="shared" ref="J132:J195" si="2">IF(B132="","",IF(AND(D132&lt;&gt;"High",D132&lt;&gt;"Very High",I132="Yes",K132="No"),"Fast Follower","Not Eligible"))</f>
        <v/>
      </c>
      <c r="K132" s="10" t="str">
        <f>IF(B132="","",IF(COUNTIF(Finding_List!$A:$A,B132)&gt;0,"Yes","No"))</f>
        <v/>
      </c>
    </row>
    <row r="133" spans="1:11" x14ac:dyDescent="0.2">
      <c r="A133" s="5"/>
      <c r="B133" s="5"/>
      <c r="C133" s="5"/>
      <c r="D133" s="5"/>
      <c r="E133" s="5"/>
      <c r="F133" s="5"/>
      <c r="G133" s="5"/>
      <c r="H133" s="5"/>
      <c r="I133" s="10" t="str">
        <f>IF(B133="","",IF(COUNTIF(FUSE_CI!$A:$A,B133)&gt;0,"Yes","No"))</f>
        <v/>
      </c>
      <c r="J133" s="10" t="str">
        <f t="shared" si="2"/>
        <v/>
      </c>
      <c r="K133" s="10" t="str">
        <f>IF(B133="","",IF(COUNTIF(Finding_List!$A:$A,B133)&gt;0,"Yes","No"))</f>
        <v/>
      </c>
    </row>
    <row r="134" spans="1:11" x14ac:dyDescent="0.2">
      <c r="A134" s="9"/>
      <c r="B134" s="9"/>
      <c r="C134" s="9"/>
      <c r="D134" s="9"/>
      <c r="E134" s="9"/>
      <c r="F134" s="9"/>
      <c r="G134" s="9"/>
      <c r="H134" s="9"/>
      <c r="I134" s="10" t="str">
        <f>IF(B134="","",IF(COUNTIF(FUSE_CI!$A:$A,B134)&gt;0,"Yes","No"))</f>
        <v/>
      </c>
      <c r="J134" s="10" t="str">
        <f t="shared" si="2"/>
        <v/>
      </c>
      <c r="K134" s="10" t="str">
        <f>IF(B134="","",IF(COUNTIF(Finding_List!$A:$A,B134)&gt;0,"Yes","No"))</f>
        <v/>
      </c>
    </row>
    <row r="135" spans="1:11" x14ac:dyDescent="0.2">
      <c r="A135" s="5"/>
      <c r="B135" s="5"/>
      <c r="C135" s="5"/>
      <c r="D135" s="5"/>
      <c r="E135" s="5"/>
      <c r="F135" s="5"/>
      <c r="G135" s="5"/>
      <c r="H135" s="5"/>
      <c r="I135" s="10" t="str">
        <f>IF(B135="","",IF(COUNTIF(FUSE_CI!$A:$A,B135)&gt;0,"Yes","No"))</f>
        <v/>
      </c>
      <c r="J135" s="10" t="str">
        <f t="shared" si="2"/>
        <v/>
      </c>
      <c r="K135" s="10" t="str">
        <f>IF(B135="","",IF(COUNTIF(Finding_List!$A:$A,B135)&gt;0,"Yes","No"))</f>
        <v/>
      </c>
    </row>
    <row r="136" spans="1:11" x14ac:dyDescent="0.2">
      <c r="A136" s="9"/>
      <c r="B136" s="9"/>
      <c r="C136" s="9"/>
      <c r="D136" s="9"/>
      <c r="E136" s="9"/>
      <c r="F136" s="9"/>
      <c r="G136" s="9"/>
      <c r="H136" s="9"/>
      <c r="I136" s="10" t="str">
        <f>IF(B136="","",IF(COUNTIF(FUSE_CI!$A:$A,B136)&gt;0,"Yes","No"))</f>
        <v/>
      </c>
      <c r="J136" s="10" t="str">
        <f t="shared" si="2"/>
        <v/>
      </c>
      <c r="K136" s="10" t="str">
        <f>IF(B136="","",IF(COUNTIF(Finding_List!$A:$A,B136)&gt;0,"Yes","No"))</f>
        <v/>
      </c>
    </row>
    <row r="137" spans="1:11" x14ac:dyDescent="0.2">
      <c r="A137" s="5"/>
      <c r="B137" s="5"/>
      <c r="C137" s="5"/>
      <c r="D137" s="5"/>
      <c r="E137" s="5"/>
      <c r="F137" s="5"/>
      <c r="G137" s="5"/>
      <c r="H137" s="5"/>
      <c r="I137" s="10" t="str">
        <f>IF(B137="","",IF(COUNTIF(FUSE_CI!$A:$A,B137)&gt;0,"Yes","No"))</f>
        <v/>
      </c>
      <c r="J137" s="10" t="str">
        <f t="shared" si="2"/>
        <v/>
      </c>
      <c r="K137" s="10" t="str">
        <f>IF(B137="","",IF(COUNTIF(Finding_List!$A:$A,B137)&gt;0,"Yes","No"))</f>
        <v/>
      </c>
    </row>
    <row r="138" spans="1:11" x14ac:dyDescent="0.2">
      <c r="A138" s="9"/>
      <c r="B138" s="9"/>
      <c r="C138" s="9"/>
      <c r="D138" s="9"/>
      <c r="E138" s="9"/>
      <c r="F138" s="9"/>
      <c r="G138" s="9"/>
      <c r="H138" s="9"/>
      <c r="I138" s="10" t="str">
        <f>IF(B138="","",IF(COUNTIF(FUSE_CI!$A:$A,B138)&gt;0,"Yes","No"))</f>
        <v/>
      </c>
      <c r="J138" s="10" t="str">
        <f t="shared" si="2"/>
        <v/>
      </c>
      <c r="K138" s="10" t="str">
        <f>IF(B138="","",IF(COUNTIF(Finding_List!$A:$A,B138)&gt;0,"Yes","No"))</f>
        <v/>
      </c>
    </row>
    <row r="139" spans="1:11" x14ac:dyDescent="0.2">
      <c r="A139" s="5"/>
      <c r="B139" s="5"/>
      <c r="C139" s="5"/>
      <c r="D139" s="5"/>
      <c r="E139" s="5"/>
      <c r="F139" s="5"/>
      <c r="G139" s="5"/>
      <c r="H139" s="5"/>
      <c r="I139" s="10" t="str">
        <f>IF(B139="","",IF(COUNTIF(FUSE_CI!$A:$A,B139)&gt;0,"Yes","No"))</f>
        <v/>
      </c>
      <c r="J139" s="10" t="str">
        <f t="shared" si="2"/>
        <v/>
      </c>
      <c r="K139" s="10" t="str">
        <f>IF(B139="","",IF(COUNTIF(Finding_List!$A:$A,B139)&gt;0,"Yes","No"))</f>
        <v/>
      </c>
    </row>
    <row r="140" spans="1:11" x14ac:dyDescent="0.2">
      <c r="A140" s="9"/>
      <c r="B140" s="9"/>
      <c r="C140" s="9"/>
      <c r="D140" s="9"/>
      <c r="E140" s="9"/>
      <c r="F140" s="9"/>
      <c r="G140" s="9"/>
      <c r="H140" s="9"/>
      <c r="I140" s="10" t="str">
        <f>IF(B140="","",IF(COUNTIF(FUSE_CI!$A:$A,B140)&gt;0,"Yes","No"))</f>
        <v/>
      </c>
      <c r="J140" s="10" t="str">
        <f t="shared" si="2"/>
        <v/>
      </c>
      <c r="K140" s="10" t="str">
        <f>IF(B140="","",IF(COUNTIF(Finding_List!$A:$A,B140)&gt;0,"Yes","No"))</f>
        <v/>
      </c>
    </row>
    <row r="141" spans="1:11" x14ac:dyDescent="0.2">
      <c r="A141" s="5"/>
      <c r="B141" s="5"/>
      <c r="C141" s="5"/>
      <c r="D141" s="5"/>
      <c r="E141" s="5"/>
      <c r="F141" s="5"/>
      <c r="G141" s="5"/>
      <c r="H141" s="5"/>
      <c r="I141" s="10" t="str">
        <f>IF(B141="","",IF(COUNTIF(FUSE_CI!$A:$A,B141)&gt;0,"Yes","No"))</f>
        <v/>
      </c>
      <c r="J141" s="10" t="str">
        <f t="shared" si="2"/>
        <v/>
      </c>
      <c r="K141" s="10" t="str">
        <f>IF(B141="","",IF(COUNTIF(Finding_List!$A:$A,B141)&gt;0,"Yes","No"))</f>
        <v/>
      </c>
    </row>
    <row r="142" spans="1:11" x14ac:dyDescent="0.2">
      <c r="A142" s="9"/>
      <c r="B142" s="9"/>
      <c r="C142" s="9"/>
      <c r="D142" s="9"/>
      <c r="E142" s="9"/>
      <c r="F142" s="9"/>
      <c r="G142" s="9"/>
      <c r="H142" s="9"/>
      <c r="I142" s="10" t="str">
        <f>IF(B142="","",IF(COUNTIF(FUSE_CI!$A:$A,B142)&gt;0,"Yes","No"))</f>
        <v/>
      </c>
      <c r="J142" s="10" t="str">
        <f t="shared" si="2"/>
        <v/>
      </c>
      <c r="K142" s="10" t="str">
        <f>IF(B142="","",IF(COUNTIF(Finding_List!$A:$A,B142)&gt;0,"Yes","No"))</f>
        <v/>
      </c>
    </row>
    <row r="143" spans="1:11" x14ac:dyDescent="0.2">
      <c r="A143" s="5"/>
      <c r="B143" s="5"/>
      <c r="C143" s="5"/>
      <c r="D143" s="5"/>
      <c r="E143" s="5"/>
      <c r="F143" s="5"/>
      <c r="G143" s="5"/>
      <c r="H143" s="5"/>
      <c r="I143" s="10" t="str">
        <f>IF(B143="","",IF(COUNTIF(FUSE_CI!$A:$A,B143)&gt;0,"Yes","No"))</f>
        <v/>
      </c>
      <c r="J143" s="10" t="str">
        <f t="shared" si="2"/>
        <v/>
      </c>
      <c r="K143" s="10" t="str">
        <f>IF(B143="","",IF(COUNTIF(Finding_List!$A:$A,B143)&gt;0,"Yes","No"))</f>
        <v/>
      </c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10" t="str">
        <f>IF(B144="","",IF(COUNTIF(FUSE_CI!$A:$A,B144)&gt;0,"Yes","No"))</f>
        <v/>
      </c>
      <c r="J144" s="10" t="str">
        <f t="shared" si="2"/>
        <v/>
      </c>
      <c r="K144" s="10" t="str">
        <f>IF(B144="","",IF(COUNTIF(Finding_List!$A:$A,B144)&gt;0,"Yes","No"))</f>
        <v/>
      </c>
    </row>
    <row r="145" spans="1:11" x14ac:dyDescent="0.2">
      <c r="A145" s="5"/>
      <c r="B145" s="5"/>
      <c r="C145" s="5"/>
      <c r="D145" s="5"/>
      <c r="E145" s="5"/>
      <c r="F145" s="5"/>
      <c r="G145" s="5"/>
      <c r="H145" s="5"/>
      <c r="I145" s="10" t="str">
        <f>IF(B145="","",IF(COUNTIF(FUSE_CI!$A:$A,B145)&gt;0,"Yes","No"))</f>
        <v/>
      </c>
      <c r="J145" s="10" t="str">
        <f t="shared" si="2"/>
        <v/>
      </c>
      <c r="K145" s="10" t="str">
        <f>IF(B145="","",IF(COUNTIF(Finding_List!$A:$A,B145)&gt;0,"Yes","No"))</f>
        <v/>
      </c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10" t="str">
        <f>IF(B146="","",IF(COUNTIF(FUSE_CI!$A:$A,B146)&gt;0,"Yes","No"))</f>
        <v/>
      </c>
      <c r="J146" s="10" t="str">
        <f t="shared" si="2"/>
        <v/>
      </c>
      <c r="K146" s="10" t="str">
        <f>IF(B146="","",IF(COUNTIF(Finding_List!$A:$A,B146)&gt;0,"Yes","No"))</f>
        <v/>
      </c>
    </row>
    <row r="147" spans="1:11" x14ac:dyDescent="0.2">
      <c r="A147" s="5"/>
      <c r="B147" s="5"/>
      <c r="C147" s="5"/>
      <c r="D147" s="5"/>
      <c r="E147" s="5"/>
      <c r="F147" s="5"/>
      <c r="G147" s="5"/>
      <c r="H147" s="5"/>
      <c r="I147" s="10" t="str">
        <f>IF(B147="","",IF(COUNTIF(FUSE_CI!$A:$A,B147)&gt;0,"Yes","No"))</f>
        <v/>
      </c>
      <c r="J147" s="10" t="str">
        <f t="shared" si="2"/>
        <v/>
      </c>
      <c r="K147" s="10" t="str">
        <f>IF(B147="","",IF(COUNTIF(Finding_List!$A:$A,B147)&gt;0,"Yes","No"))</f>
        <v/>
      </c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10" t="str">
        <f>IF(B148="","",IF(COUNTIF(FUSE_CI!$A:$A,B148)&gt;0,"Yes","No"))</f>
        <v/>
      </c>
      <c r="J148" s="10" t="str">
        <f t="shared" si="2"/>
        <v/>
      </c>
      <c r="K148" s="10" t="str">
        <f>IF(B148="","",IF(COUNTIF(Finding_List!$A:$A,B148)&gt;0,"Yes","No"))</f>
        <v/>
      </c>
    </row>
    <row r="149" spans="1:11" x14ac:dyDescent="0.2">
      <c r="A149" s="5"/>
      <c r="B149" s="5"/>
      <c r="C149" s="5"/>
      <c r="D149" s="5"/>
      <c r="E149" s="5"/>
      <c r="F149" s="5"/>
      <c r="G149" s="5"/>
      <c r="H149" s="5"/>
      <c r="I149" s="10" t="str">
        <f>IF(B149="","",IF(COUNTIF(FUSE_CI!$A:$A,B149)&gt;0,"Yes","No"))</f>
        <v/>
      </c>
      <c r="J149" s="10" t="str">
        <f t="shared" si="2"/>
        <v/>
      </c>
      <c r="K149" s="10" t="str">
        <f>IF(B149="","",IF(COUNTIF(Finding_List!$A:$A,B149)&gt;0,"Yes","No"))</f>
        <v/>
      </c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10" t="str">
        <f>IF(B150="","",IF(COUNTIF(FUSE_CI!$A:$A,B150)&gt;0,"Yes","No"))</f>
        <v/>
      </c>
      <c r="J150" s="10" t="str">
        <f t="shared" si="2"/>
        <v/>
      </c>
      <c r="K150" s="10" t="str">
        <f>IF(B150="","",IF(COUNTIF(Finding_List!$A:$A,B150)&gt;0,"Yes","No"))</f>
        <v/>
      </c>
    </row>
    <row r="151" spans="1:11" x14ac:dyDescent="0.2">
      <c r="A151" s="5"/>
      <c r="B151" s="5"/>
      <c r="C151" s="5"/>
      <c r="D151" s="5"/>
      <c r="E151" s="5"/>
      <c r="F151" s="5"/>
      <c r="G151" s="5"/>
      <c r="H151" s="5"/>
      <c r="I151" s="10" t="str">
        <f>IF(B151="","",IF(COUNTIF(FUSE_CI!$A:$A,B151)&gt;0,"Yes","No"))</f>
        <v/>
      </c>
      <c r="J151" s="10" t="str">
        <f t="shared" si="2"/>
        <v/>
      </c>
      <c r="K151" s="10" t="str">
        <f>IF(B151="","",IF(COUNTIF(Finding_List!$A:$A,B151)&gt;0,"Yes","No"))</f>
        <v/>
      </c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10" t="str">
        <f>IF(B152="","",IF(COUNTIF(FUSE_CI!$A:$A,B152)&gt;0,"Yes","No"))</f>
        <v/>
      </c>
      <c r="J152" s="10" t="str">
        <f t="shared" si="2"/>
        <v/>
      </c>
      <c r="K152" s="10" t="str">
        <f>IF(B152="","",IF(COUNTIF(Finding_List!$A:$A,B152)&gt;0,"Yes","No"))</f>
        <v/>
      </c>
    </row>
    <row r="153" spans="1:11" x14ac:dyDescent="0.2">
      <c r="A153" s="5"/>
      <c r="B153" s="5"/>
      <c r="C153" s="5"/>
      <c r="D153" s="5"/>
      <c r="E153" s="5"/>
      <c r="F153" s="5"/>
      <c r="G153" s="5"/>
      <c r="H153" s="5"/>
      <c r="I153" s="10" t="str">
        <f>IF(B153="","",IF(COUNTIF(FUSE_CI!$A:$A,B153)&gt;0,"Yes","No"))</f>
        <v/>
      </c>
      <c r="J153" s="10" t="str">
        <f t="shared" si="2"/>
        <v/>
      </c>
      <c r="K153" s="10" t="str">
        <f>IF(B153="","",IF(COUNTIF(Finding_List!$A:$A,B153)&gt;0,"Yes","No"))</f>
        <v/>
      </c>
    </row>
    <row r="154" spans="1:11" x14ac:dyDescent="0.2">
      <c r="A154" s="9"/>
      <c r="B154" s="9"/>
      <c r="C154" s="9"/>
      <c r="D154" s="9"/>
      <c r="E154" s="9"/>
      <c r="F154" s="9"/>
      <c r="G154" s="9"/>
      <c r="H154" s="9"/>
      <c r="I154" s="10" t="str">
        <f>IF(B154="","",IF(COUNTIF(FUSE_CI!$A:$A,B154)&gt;0,"Yes","No"))</f>
        <v/>
      </c>
      <c r="J154" s="10" t="str">
        <f t="shared" si="2"/>
        <v/>
      </c>
      <c r="K154" s="10" t="str">
        <f>IF(B154="","",IF(COUNTIF(Finding_List!$A:$A,B154)&gt;0,"Yes","No"))</f>
        <v/>
      </c>
    </row>
    <row r="155" spans="1:11" x14ac:dyDescent="0.2">
      <c r="A155" s="5"/>
      <c r="B155" s="5"/>
      <c r="C155" s="5"/>
      <c r="D155" s="5"/>
      <c r="E155" s="5"/>
      <c r="F155" s="5"/>
      <c r="G155" s="5"/>
      <c r="H155" s="5"/>
      <c r="I155" s="10" t="str">
        <f>IF(B155="","",IF(COUNTIF(FUSE_CI!$A:$A,B155)&gt;0,"Yes","No"))</f>
        <v/>
      </c>
      <c r="J155" s="10" t="str">
        <f t="shared" si="2"/>
        <v/>
      </c>
      <c r="K155" s="10" t="str">
        <f>IF(B155="","",IF(COUNTIF(Finding_List!$A:$A,B155)&gt;0,"Yes","No"))</f>
        <v/>
      </c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10" t="str">
        <f>IF(B156="","",IF(COUNTIF(FUSE_CI!$A:$A,B156)&gt;0,"Yes","No"))</f>
        <v/>
      </c>
      <c r="J156" s="10" t="str">
        <f t="shared" si="2"/>
        <v/>
      </c>
      <c r="K156" s="10" t="str">
        <f>IF(B156="","",IF(COUNTIF(Finding_List!$A:$A,B156)&gt;0,"Yes","No"))</f>
        <v/>
      </c>
    </row>
    <row r="157" spans="1:11" x14ac:dyDescent="0.2">
      <c r="A157" s="5"/>
      <c r="B157" s="5"/>
      <c r="C157" s="5"/>
      <c r="D157" s="5"/>
      <c r="E157" s="5"/>
      <c r="F157" s="5"/>
      <c r="G157" s="5"/>
      <c r="H157" s="5"/>
      <c r="I157" s="10" t="str">
        <f>IF(B157="","",IF(COUNTIF(FUSE_CI!$A:$A,B157)&gt;0,"Yes","No"))</f>
        <v/>
      </c>
      <c r="J157" s="10" t="str">
        <f t="shared" si="2"/>
        <v/>
      </c>
      <c r="K157" s="10" t="str">
        <f>IF(B157="","",IF(COUNTIF(Finding_List!$A:$A,B157)&gt;0,"Yes","No"))</f>
        <v/>
      </c>
    </row>
    <row r="158" spans="1:11" x14ac:dyDescent="0.2">
      <c r="A158" s="9"/>
      <c r="B158" s="9"/>
      <c r="C158" s="9"/>
      <c r="D158" s="9"/>
      <c r="E158" s="9"/>
      <c r="F158" s="9"/>
      <c r="G158" s="9"/>
      <c r="H158" s="9"/>
      <c r="I158" s="10" t="str">
        <f>IF(B158="","",IF(COUNTIF(FUSE_CI!$A:$A,B158)&gt;0,"Yes","No"))</f>
        <v/>
      </c>
      <c r="J158" s="10" t="str">
        <f t="shared" si="2"/>
        <v/>
      </c>
      <c r="K158" s="10" t="str">
        <f>IF(B158="","",IF(COUNTIF(Finding_List!$A:$A,B158)&gt;0,"Yes","No"))</f>
        <v/>
      </c>
    </row>
    <row r="159" spans="1:11" x14ac:dyDescent="0.2">
      <c r="A159" s="5"/>
      <c r="B159" s="5"/>
      <c r="C159" s="5"/>
      <c r="D159" s="5"/>
      <c r="E159" s="5"/>
      <c r="F159" s="5"/>
      <c r="G159" s="5"/>
      <c r="H159" s="5"/>
      <c r="I159" s="10" t="str">
        <f>IF(B159="","",IF(COUNTIF(FUSE_CI!$A:$A,B159)&gt;0,"Yes","No"))</f>
        <v/>
      </c>
      <c r="J159" s="10" t="str">
        <f t="shared" si="2"/>
        <v/>
      </c>
      <c r="K159" s="10" t="str">
        <f>IF(B159="","",IF(COUNTIF(Finding_List!$A:$A,B159)&gt;0,"Yes","No"))</f>
        <v/>
      </c>
    </row>
    <row r="160" spans="1:11" x14ac:dyDescent="0.2">
      <c r="A160" s="9"/>
      <c r="B160" s="9"/>
      <c r="C160" s="9"/>
      <c r="D160" s="9"/>
      <c r="E160" s="9"/>
      <c r="F160" s="9"/>
      <c r="G160" s="9"/>
      <c r="H160" s="9"/>
      <c r="I160" s="10" t="str">
        <f>IF(B160="","",IF(COUNTIF(FUSE_CI!$A:$A,B160)&gt;0,"Yes","No"))</f>
        <v/>
      </c>
      <c r="J160" s="10" t="str">
        <f t="shared" si="2"/>
        <v/>
      </c>
      <c r="K160" s="10" t="str">
        <f>IF(B160="","",IF(COUNTIF(Finding_List!$A:$A,B160)&gt;0,"Yes","No"))</f>
        <v/>
      </c>
    </row>
    <row r="161" spans="1:11" x14ac:dyDescent="0.2">
      <c r="A161" s="5"/>
      <c r="B161" s="5"/>
      <c r="C161" s="5"/>
      <c r="D161" s="5"/>
      <c r="E161" s="5"/>
      <c r="F161" s="5"/>
      <c r="G161" s="5"/>
      <c r="H161" s="5"/>
      <c r="I161" s="10" t="str">
        <f>IF(B161="","",IF(COUNTIF(FUSE_CI!$A:$A,B161)&gt;0,"Yes","No"))</f>
        <v/>
      </c>
      <c r="J161" s="10" t="str">
        <f t="shared" si="2"/>
        <v/>
      </c>
      <c r="K161" s="10" t="str">
        <f>IF(B161="","",IF(COUNTIF(Finding_List!$A:$A,B161)&gt;0,"Yes","No"))</f>
        <v/>
      </c>
    </row>
    <row r="162" spans="1:11" x14ac:dyDescent="0.2">
      <c r="A162" s="9"/>
      <c r="B162" s="9"/>
      <c r="C162" s="9"/>
      <c r="D162" s="9"/>
      <c r="E162" s="9"/>
      <c r="F162" s="9"/>
      <c r="G162" s="9"/>
      <c r="H162" s="9"/>
      <c r="I162" s="10" t="str">
        <f>IF(B162="","",IF(COUNTIF(FUSE_CI!$A:$A,B162)&gt;0,"Yes","No"))</f>
        <v/>
      </c>
      <c r="J162" s="10" t="str">
        <f t="shared" si="2"/>
        <v/>
      </c>
      <c r="K162" s="10" t="str">
        <f>IF(B162="","",IF(COUNTIF(Finding_List!$A:$A,B162)&gt;0,"Yes","No"))</f>
        <v/>
      </c>
    </row>
    <row r="163" spans="1:11" x14ac:dyDescent="0.2">
      <c r="A163" s="5"/>
      <c r="B163" s="5"/>
      <c r="C163" s="5"/>
      <c r="D163" s="5"/>
      <c r="E163" s="5"/>
      <c r="F163" s="5"/>
      <c r="G163" s="5"/>
      <c r="H163" s="5"/>
      <c r="I163" s="10" t="str">
        <f>IF(B163="","",IF(COUNTIF(FUSE_CI!$A:$A,B163)&gt;0,"Yes","No"))</f>
        <v/>
      </c>
      <c r="J163" s="10" t="str">
        <f t="shared" si="2"/>
        <v/>
      </c>
      <c r="K163" s="10" t="str">
        <f>IF(B163="","",IF(COUNTIF(Finding_List!$A:$A,B163)&gt;0,"Yes","No"))</f>
        <v/>
      </c>
    </row>
    <row r="164" spans="1:11" x14ac:dyDescent="0.2">
      <c r="A164" s="9"/>
      <c r="B164" s="9"/>
      <c r="C164" s="9"/>
      <c r="D164" s="9"/>
      <c r="E164" s="9"/>
      <c r="F164" s="9"/>
      <c r="G164" s="9"/>
      <c r="H164" s="9"/>
      <c r="I164" s="10" t="str">
        <f>IF(B164="","",IF(COUNTIF(FUSE_CI!$A:$A,B164)&gt;0,"Yes","No"))</f>
        <v/>
      </c>
      <c r="J164" s="10" t="str">
        <f t="shared" si="2"/>
        <v/>
      </c>
      <c r="K164" s="10" t="str">
        <f>IF(B164="","",IF(COUNTIF(Finding_List!$A:$A,B164)&gt;0,"Yes","No"))</f>
        <v/>
      </c>
    </row>
    <row r="165" spans="1:11" x14ac:dyDescent="0.2">
      <c r="A165" s="5"/>
      <c r="B165" s="5"/>
      <c r="C165" s="5"/>
      <c r="D165" s="5"/>
      <c r="E165" s="5"/>
      <c r="F165" s="5"/>
      <c r="G165" s="5"/>
      <c r="H165" s="5"/>
      <c r="I165" s="10" t="str">
        <f>IF(B165="","",IF(COUNTIF(FUSE_CI!$A:$A,B165)&gt;0,"Yes","No"))</f>
        <v/>
      </c>
      <c r="J165" s="10" t="str">
        <f t="shared" si="2"/>
        <v/>
      </c>
      <c r="K165" s="10" t="str">
        <f>IF(B165="","",IF(COUNTIF(Finding_List!$A:$A,B165)&gt;0,"Yes","No"))</f>
        <v/>
      </c>
    </row>
    <row r="166" spans="1:11" x14ac:dyDescent="0.2">
      <c r="A166" s="9"/>
      <c r="B166" s="9"/>
      <c r="C166" s="9"/>
      <c r="D166" s="9"/>
      <c r="E166" s="9"/>
      <c r="F166" s="9"/>
      <c r="G166" s="9"/>
      <c r="H166" s="9"/>
      <c r="I166" s="10" t="str">
        <f>IF(B166="","",IF(COUNTIF(FUSE_CI!$A:$A,B166)&gt;0,"Yes","No"))</f>
        <v/>
      </c>
      <c r="J166" s="10" t="str">
        <f t="shared" si="2"/>
        <v/>
      </c>
      <c r="K166" s="10" t="str">
        <f>IF(B166="","",IF(COUNTIF(Finding_List!$A:$A,B166)&gt;0,"Yes","No"))</f>
        <v/>
      </c>
    </row>
    <row r="167" spans="1:11" x14ac:dyDescent="0.2">
      <c r="A167" s="5"/>
      <c r="B167" s="5"/>
      <c r="C167" s="5"/>
      <c r="D167" s="5"/>
      <c r="E167" s="5"/>
      <c r="F167" s="5"/>
      <c r="G167" s="5"/>
      <c r="H167" s="5"/>
      <c r="I167" s="10" t="str">
        <f>IF(B167="","",IF(COUNTIF(FUSE_CI!$A:$A,B167)&gt;0,"Yes","No"))</f>
        <v/>
      </c>
      <c r="J167" s="10" t="str">
        <f t="shared" si="2"/>
        <v/>
      </c>
      <c r="K167" s="10" t="str">
        <f>IF(B167="","",IF(COUNTIF(Finding_List!$A:$A,B167)&gt;0,"Yes","No"))</f>
        <v/>
      </c>
    </row>
    <row r="168" spans="1:11" x14ac:dyDescent="0.2">
      <c r="A168" s="9"/>
      <c r="B168" s="9"/>
      <c r="C168" s="9"/>
      <c r="D168" s="9"/>
      <c r="E168" s="9"/>
      <c r="F168" s="9"/>
      <c r="G168" s="9"/>
      <c r="H168" s="9"/>
      <c r="I168" s="10" t="str">
        <f>IF(B168="","",IF(COUNTIF(FUSE_CI!$A:$A,B168)&gt;0,"Yes","No"))</f>
        <v/>
      </c>
      <c r="J168" s="10" t="str">
        <f t="shared" si="2"/>
        <v/>
      </c>
      <c r="K168" s="10" t="str">
        <f>IF(B168="","",IF(COUNTIF(Finding_List!$A:$A,B168)&gt;0,"Yes","No"))</f>
        <v/>
      </c>
    </row>
    <row r="169" spans="1:11" x14ac:dyDescent="0.2">
      <c r="A169" s="5"/>
      <c r="B169" s="5"/>
      <c r="C169" s="5"/>
      <c r="D169" s="5"/>
      <c r="E169" s="5"/>
      <c r="F169" s="5"/>
      <c r="G169" s="5"/>
      <c r="H169" s="5"/>
      <c r="I169" s="10" t="str">
        <f>IF(B169="","",IF(COUNTIF(FUSE_CI!$A:$A,B169)&gt;0,"Yes","No"))</f>
        <v/>
      </c>
      <c r="J169" s="10" t="str">
        <f t="shared" si="2"/>
        <v/>
      </c>
      <c r="K169" s="10" t="str">
        <f>IF(B169="","",IF(COUNTIF(Finding_List!$A:$A,B169)&gt;0,"Yes","No"))</f>
        <v/>
      </c>
    </row>
    <row r="170" spans="1:11" x14ac:dyDescent="0.2">
      <c r="A170" s="9"/>
      <c r="B170" s="9"/>
      <c r="C170" s="9"/>
      <c r="D170" s="9"/>
      <c r="E170" s="9"/>
      <c r="F170" s="9"/>
      <c r="G170" s="9"/>
      <c r="H170" s="9"/>
      <c r="I170" s="10" t="str">
        <f>IF(B170="","",IF(COUNTIF(FUSE_CI!$A:$A,B170)&gt;0,"Yes","No"))</f>
        <v/>
      </c>
      <c r="J170" s="10" t="str">
        <f t="shared" si="2"/>
        <v/>
      </c>
      <c r="K170" s="10" t="str">
        <f>IF(B170="","",IF(COUNTIF(Finding_List!$A:$A,B170)&gt;0,"Yes","No"))</f>
        <v/>
      </c>
    </row>
    <row r="171" spans="1:11" x14ac:dyDescent="0.2">
      <c r="A171" s="5"/>
      <c r="B171" s="5"/>
      <c r="C171" s="5"/>
      <c r="D171" s="5"/>
      <c r="E171" s="5"/>
      <c r="F171" s="5"/>
      <c r="G171" s="5"/>
      <c r="H171" s="5"/>
      <c r="I171" s="10" t="str">
        <f>IF(B171="","",IF(COUNTIF(FUSE_CI!$A:$A,B171)&gt;0,"Yes","No"))</f>
        <v/>
      </c>
      <c r="J171" s="10" t="str">
        <f t="shared" si="2"/>
        <v/>
      </c>
      <c r="K171" s="10" t="str">
        <f>IF(B171="","",IF(COUNTIF(Finding_List!$A:$A,B171)&gt;0,"Yes","No"))</f>
        <v/>
      </c>
    </row>
    <row r="172" spans="1:11" x14ac:dyDescent="0.2">
      <c r="A172" s="9"/>
      <c r="B172" s="9"/>
      <c r="C172" s="9"/>
      <c r="D172" s="9"/>
      <c r="E172" s="9"/>
      <c r="F172" s="9"/>
      <c r="G172" s="9"/>
      <c r="H172" s="9"/>
      <c r="I172" s="10" t="str">
        <f>IF(B172="","",IF(COUNTIF(FUSE_CI!$A:$A,B172)&gt;0,"Yes","No"))</f>
        <v/>
      </c>
      <c r="J172" s="10" t="str">
        <f t="shared" si="2"/>
        <v/>
      </c>
      <c r="K172" s="10" t="str">
        <f>IF(B172="","",IF(COUNTIF(Finding_List!$A:$A,B172)&gt;0,"Yes","No"))</f>
        <v/>
      </c>
    </row>
    <row r="173" spans="1:11" x14ac:dyDescent="0.2">
      <c r="A173" s="5"/>
      <c r="B173" s="5"/>
      <c r="C173" s="5"/>
      <c r="D173" s="5"/>
      <c r="E173" s="5"/>
      <c r="F173" s="5"/>
      <c r="G173" s="5"/>
      <c r="H173" s="5"/>
      <c r="I173" s="10" t="str">
        <f>IF(B173="","",IF(COUNTIF(FUSE_CI!$A:$A,B173)&gt;0,"Yes","No"))</f>
        <v/>
      </c>
      <c r="J173" s="10" t="str">
        <f t="shared" si="2"/>
        <v/>
      </c>
      <c r="K173" s="10" t="str">
        <f>IF(B173="","",IF(COUNTIF(Finding_List!$A:$A,B173)&gt;0,"Yes","No"))</f>
        <v/>
      </c>
    </row>
    <row r="174" spans="1:11" x14ac:dyDescent="0.2">
      <c r="A174" s="9"/>
      <c r="B174" s="9"/>
      <c r="C174" s="9"/>
      <c r="D174" s="9"/>
      <c r="E174" s="9"/>
      <c r="F174" s="9"/>
      <c r="G174" s="9"/>
      <c r="H174" s="9"/>
      <c r="I174" s="10" t="str">
        <f>IF(B174="","",IF(COUNTIF(FUSE_CI!$A:$A,B174)&gt;0,"Yes","No"))</f>
        <v/>
      </c>
      <c r="J174" s="10" t="str">
        <f t="shared" si="2"/>
        <v/>
      </c>
      <c r="K174" s="10" t="str">
        <f>IF(B174="","",IF(COUNTIF(Finding_List!$A:$A,B174)&gt;0,"Yes","No"))</f>
        <v/>
      </c>
    </row>
    <row r="175" spans="1:11" x14ac:dyDescent="0.2">
      <c r="A175" s="5"/>
      <c r="B175" s="5"/>
      <c r="C175" s="5"/>
      <c r="D175" s="5"/>
      <c r="E175" s="5"/>
      <c r="F175" s="5"/>
      <c r="G175" s="5"/>
      <c r="H175" s="5"/>
      <c r="I175" s="10" t="str">
        <f>IF(B175="","",IF(COUNTIF(FUSE_CI!$A:$A,B175)&gt;0,"Yes","No"))</f>
        <v/>
      </c>
      <c r="J175" s="10" t="str">
        <f t="shared" si="2"/>
        <v/>
      </c>
      <c r="K175" s="10" t="str">
        <f>IF(B175="","",IF(COUNTIF(Finding_List!$A:$A,B175)&gt;0,"Yes","No"))</f>
        <v/>
      </c>
    </row>
    <row r="176" spans="1:11" x14ac:dyDescent="0.2">
      <c r="A176" s="9"/>
      <c r="B176" s="9"/>
      <c r="C176" s="9"/>
      <c r="D176" s="9"/>
      <c r="E176" s="9"/>
      <c r="F176" s="9"/>
      <c r="G176" s="9"/>
      <c r="H176" s="9"/>
      <c r="I176" s="10" t="str">
        <f>IF(B176="","",IF(COUNTIF(FUSE_CI!$A:$A,B176)&gt;0,"Yes","No"))</f>
        <v/>
      </c>
      <c r="J176" s="10" t="str">
        <f t="shared" si="2"/>
        <v/>
      </c>
      <c r="K176" s="10" t="str">
        <f>IF(B176="","",IF(COUNTIF(Finding_List!$A:$A,B176)&gt;0,"Yes","No"))</f>
        <v/>
      </c>
    </row>
    <row r="177" spans="1:11" x14ac:dyDescent="0.2">
      <c r="A177" s="5"/>
      <c r="B177" s="5"/>
      <c r="C177" s="5"/>
      <c r="D177" s="5"/>
      <c r="E177" s="5"/>
      <c r="F177" s="5"/>
      <c r="G177" s="5"/>
      <c r="H177" s="5"/>
      <c r="I177" s="10" t="str">
        <f>IF(B177="","",IF(COUNTIF(FUSE_CI!$A:$A,B177)&gt;0,"Yes","No"))</f>
        <v/>
      </c>
      <c r="J177" s="10" t="str">
        <f t="shared" si="2"/>
        <v/>
      </c>
      <c r="K177" s="10" t="str">
        <f>IF(B177="","",IF(COUNTIF(Finding_List!$A:$A,B177)&gt;0,"Yes","No"))</f>
        <v/>
      </c>
    </row>
    <row r="178" spans="1:11" x14ac:dyDescent="0.2">
      <c r="A178" s="9"/>
      <c r="B178" s="9"/>
      <c r="C178" s="9"/>
      <c r="D178" s="9"/>
      <c r="E178" s="9"/>
      <c r="F178" s="9"/>
      <c r="G178" s="9"/>
      <c r="H178" s="9"/>
      <c r="I178" s="10" t="str">
        <f>IF(B178="","",IF(COUNTIF(FUSE_CI!$A:$A,B178)&gt;0,"Yes","No"))</f>
        <v/>
      </c>
      <c r="J178" s="10" t="str">
        <f t="shared" si="2"/>
        <v/>
      </c>
      <c r="K178" s="10" t="str">
        <f>IF(B178="","",IF(COUNTIF(Finding_List!$A:$A,B178)&gt;0,"Yes","No"))</f>
        <v/>
      </c>
    </row>
    <row r="179" spans="1:11" x14ac:dyDescent="0.2">
      <c r="A179" s="5"/>
      <c r="B179" s="5"/>
      <c r="C179" s="5"/>
      <c r="D179" s="5"/>
      <c r="E179" s="5"/>
      <c r="F179" s="5"/>
      <c r="G179" s="5"/>
      <c r="H179" s="5"/>
      <c r="I179" s="10" t="str">
        <f>IF(B179="","",IF(COUNTIF(FUSE_CI!$A:$A,B179)&gt;0,"Yes","No"))</f>
        <v/>
      </c>
      <c r="J179" s="10" t="str">
        <f t="shared" si="2"/>
        <v/>
      </c>
      <c r="K179" s="10" t="str">
        <f>IF(B179="","",IF(COUNTIF(Finding_List!$A:$A,B179)&gt;0,"Yes","No"))</f>
        <v/>
      </c>
    </row>
    <row r="180" spans="1:11" x14ac:dyDescent="0.2">
      <c r="A180" s="9"/>
      <c r="B180" s="9"/>
      <c r="C180" s="9"/>
      <c r="D180" s="9"/>
      <c r="E180" s="9"/>
      <c r="F180" s="9"/>
      <c r="G180" s="9"/>
      <c r="H180" s="9"/>
      <c r="I180" s="10" t="str">
        <f>IF(B180="","",IF(COUNTIF(FUSE_CI!$A:$A,B180)&gt;0,"Yes","No"))</f>
        <v/>
      </c>
      <c r="J180" s="10" t="str">
        <f t="shared" si="2"/>
        <v/>
      </c>
      <c r="K180" s="10" t="str">
        <f>IF(B180="","",IF(COUNTIF(Finding_List!$A:$A,B180)&gt;0,"Yes","No"))</f>
        <v/>
      </c>
    </row>
    <row r="181" spans="1:11" x14ac:dyDescent="0.2">
      <c r="A181" s="5"/>
      <c r="B181" s="5"/>
      <c r="C181" s="5"/>
      <c r="D181" s="5"/>
      <c r="E181" s="5"/>
      <c r="F181" s="5"/>
      <c r="G181" s="5"/>
      <c r="H181" s="5"/>
      <c r="I181" s="10" t="str">
        <f>IF(B181="","",IF(COUNTIF(FUSE_CI!$A:$A,B181)&gt;0,"Yes","No"))</f>
        <v/>
      </c>
      <c r="J181" s="10" t="str">
        <f t="shared" si="2"/>
        <v/>
      </c>
      <c r="K181" s="10" t="str">
        <f>IF(B181="","",IF(COUNTIF(Finding_List!$A:$A,B181)&gt;0,"Yes","No"))</f>
        <v/>
      </c>
    </row>
    <row r="182" spans="1:11" x14ac:dyDescent="0.2">
      <c r="A182" s="9"/>
      <c r="B182" s="9"/>
      <c r="C182" s="9"/>
      <c r="D182" s="9"/>
      <c r="E182" s="9"/>
      <c r="F182" s="9"/>
      <c r="G182" s="9"/>
      <c r="H182" s="9"/>
      <c r="I182" s="10" t="str">
        <f>IF(B182="","",IF(COUNTIF(FUSE_CI!$A:$A,B182)&gt;0,"Yes","No"))</f>
        <v/>
      </c>
      <c r="J182" s="10" t="str">
        <f t="shared" si="2"/>
        <v/>
      </c>
      <c r="K182" s="10" t="str">
        <f>IF(B182="","",IF(COUNTIF(Finding_List!$A:$A,B182)&gt;0,"Yes","No"))</f>
        <v/>
      </c>
    </row>
    <row r="183" spans="1:11" x14ac:dyDescent="0.2">
      <c r="A183" s="5"/>
      <c r="B183" s="5"/>
      <c r="C183" s="5"/>
      <c r="D183" s="5"/>
      <c r="E183" s="5"/>
      <c r="F183" s="5"/>
      <c r="G183" s="5"/>
      <c r="H183" s="5"/>
      <c r="I183" s="10" t="str">
        <f>IF(B183="","",IF(COUNTIF(FUSE_CI!$A:$A,B183)&gt;0,"Yes","No"))</f>
        <v/>
      </c>
      <c r="J183" s="10" t="str">
        <f t="shared" si="2"/>
        <v/>
      </c>
      <c r="K183" s="10" t="str">
        <f>IF(B183="","",IF(COUNTIF(Finding_List!$A:$A,B183)&gt;0,"Yes","No"))</f>
        <v/>
      </c>
    </row>
    <row r="184" spans="1:11" x14ac:dyDescent="0.2">
      <c r="A184" s="9"/>
      <c r="B184" s="9"/>
      <c r="C184" s="9"/>
      <c r="D184" s="9"/>
      <c r="E184" s="9"/>
      <c r="F184" s="9"/>
      <c r="G184" s="9"/>
      <c r="H184" s="9"/>
      <c r="I184" s="10" t="str">
        <f>IF(B184="","",IF(COUNTIF(FUSE_CI!$A:$A,B184)&gt;0,"Yes","No"))</f>
        <v/>
      </c>
      <c r="J184" s="10" t="str">
        <f t="shared" si="2"/>
        <v/>
      </c>
      <c r="K184" s="10" t="str">
        <f>IF(B184="","",IF(COUNTIF(Finding_List!$A:$A,B184)&gt;0,"Yes","No"))</f>
        <v/>
      </c>
    </row>
    <row r="185" spans="1:11" x14ac:dyDescent="0.2">
      <c r="A185" s="5"/>
      <c r="B185" s="5"/>
      <c r="C185" s="5"/>
      <c r="D185" s="5"/>
      <c r="E185" s="5"/>
      <c r="F185" s="5"/>
      <c r="G185" s="5"/>
      <c r="H185" s="5"/>
      <c r="I185" s="10" t="str">
        <f>IF(B185="","",IF(COUNTIF(FUSE_CI!$A:$A,B185)&gt;0,"Yes","No"))</f>
        <v/>
      </c>
      <c r="J185" s="10" t="str">
        <f t="shared" si="2"/>
        <v/>
      </c>
      <c r="K185" s="10" t="str">
        <f>IF(B185="","",IF(COUNTIF(Finding_List!$A:$A,B185)&gt;0,"Yes","No"))</f>
        <v/>
      </c>
    </row>
    <row r="186" spans="1:11" x14ac:dyDescent="0.2">
      <c r="A186" s="9"/>
      <c r="B186" s="9"/>
      <c r="C186" s="9"/>
      <c r="D186" s="9"/>
      <c r="E186" s="9"/>
      <c r="F186" s="9"/>
      <c r="G186" s="9"/>
      <c r="H186" s="9"/>
      <c r="I186" s="10" t="str">
        <f>IF(B186="","",IF(COUNTIF(FUSE_CI!$A:$A,B186)&gt;0,"Yes","No"))</f>
        <v/>
      </c>
      <c r="J186" s="10" t="str">
        <f t="shared" si="2"/>
        <v/>
      </c>
      <c r="K186" s="10" t="str">
        <f>IF(B186="","",IF(COUNTIF(Finding_List!$A:$A,B186)&gt;0,"Yes","No"))</f>
        <v/>
      </c>
    </row>
    <row r="187" spans="1:11" x14ac:dyDescent="0.2">
      <c r="A187" s="5"/>
      <c r="B187" s="5"/>
      <c r="C187" s="5"/>
      <c r="D187" s="5"/>
      <c r="E187" s="5"/>
      <c r="F187" s="5"/>
      <c r="G187" s="5"/>
      <c r="H187" s="5"/>
      <c r="I187" s="10" t="str">
        <f>IF(B187="","",IF(COUNTIF(FUSE_CI!$A:$A,B187)&gt;0,"Yes","No"))</f>
        <v/>
      </c>
      <c r="J187" s="10" t="str">
        <f t="shared" si="2"/>
        <v/>
      </c>
      <c r="K187" s="10" t="str">
        <f>IF(B187="","",IF(COUNTIF(Finding_List!$A:$A,B187)&gt;0,"Yes","No"))</f>
        <v/>
      </c>
    </row>
    <row r="188" spans="1:11" x14ac:dyDescent="0.2">
      <c r="A188" s="9"/>
      <c r="B188" s="9"/>
      <c r="C188" s="9"/>
      <c r="D188" s="9"/>
      <c r="E188" s="9"/>
      <c r="F188" s="9"/>
      <c r="G188" s="9"/>
      <c r="H188" s="9"/>
      <c r="I188" s="10" t="str">
        <f>IF(B188="","",IF(COUNTIF(FUSE_CI!$A:$A,B188)&gt;0,"Yes","No"))</f>
        <v/>
      </c>
      <c r="J188" s="10" t="str">
        <f t="shared" si="2"/>
        <v/>
      </c>
      <c r="K188" s="10" t="str">
        <f>IF(B188="","",IF(COUNTIF(Finding_List!$A:$A,B188)&gt;0,"Yes","No"))</f>
        <v/>
      </c>
    </row>
    <row r="189" spans="1:11" x14ac:dyDescent="0.2">
      <c r="A189" s="5"/>
      <c r="B189" s="5"/>
      <c r="C189" s="5"/>
      <c r="D189" s="5"/>
      <c r="E189" s="5"/>
      <c r="F189" s="5"/>
      <c r="G189" s="5"/>
      <c r="H189" s="5"/>
      <c r="I189" s="10" t="str">
        <f>IF(B189="","",IF(COUNTIF(FUSE_CI!$A:$A,B189)&gt;0,"Yes","No"))</f>
        <v/>
      </c>
      <c r="J189" s="10" t="str">
        <f t="shared" si="2"/>
        <v/>
      </c>
      <c r="K189" s="10" t="str">
        <f>IF(B189="","",IF(COUNTIF(Finding_List!$A:$A,B189)&gt;0,"Yes","No"))</f>
        <v/>
      </c>
    </row>
    <row r="190" spans="1:11" x14ac:dyDescent="0.2">
      <c r="A190" s="9"/>
      <c r="B190" s="9"/>
      <c r="C190" s="9"/>
      <c r="D190" s="9"/>
      <c r="E190" s="9"/>
      <c r="F190" s="9"/>
      <c r="G190" s="9"/>
      <c r="H190" s="9"/>
      <c r="I190" s="10" t="str">
        <f>IF(B190="","",IF(COUNTIF(FUSE_CI!$A:$A,B190)&gt;0,"Yes","No"))</f>
        <v/>
      </c>
      <c r="J190" s="10" t="str">
        <f t="shared" si="2"/>
        <v/>
      </c>
      <c r="K190" s="10" t="str">
        <f>IF(B190="","",IF(COUNTIF(Finding_List!$A:$A,B190)&gt;0,"Yes","No"))</f>
        <v/>
      </c>
    </row>
    <row r="191" spans="1:11" x14ac:dyDescent="0.2">
      <c r="A191" s="5"/>
      <c r="B191" s="5"/>
      <c r="C191" s="5"/>
      <c r="D191" s="5"/>
      <c r="E191" s="5"/>
      <c r="F191" s="5"/>
      <c r="G191" s="5"/>
      <c r="H191" s="5"/>
      <c r="I191" s="10" t="str">
        <f>IF(B191="","",IF(COUNTIF(FUSE_CI!$A:$A,B191)&gt;0,"Yes","No"))</f>
        <v/>
      </c>
      <c r="J191" s="10" t="str">
        <f t="shared" si="2"/>
        <v/>
      </c>
      <c r="K191" s="10" t="str">
        <f>IF(B191="","",IF(COUNTIF(Finding_List!$A:$A,B191)&gt;0,"Yes","No"))</f>
        <v/>
      </c>
    </row>
    <row r="192" spans="1:11" x14ac:dyDescent="0.2">
      <c r="A192" s="9"/>
      <c r="B192" s="9"/>
      <c r="C192" s="9"/>
      <c r="D192" s="9"/>
      <c r="E192" s="9"/>
      <c r="F192" s="9"/>
      <c r="G192" s="9"/>
      <c r="H192" s="9"/>
      <c r="I192" s="10" t="str">
        <f>IF(B192="","",IF(COUNTIF(FUSE_CI!$A:$A,B192)&gt;0,"Yes","No"))</f>
        <v/>
      </c>
      <c r="J192" s="10" t="str">
        <f t="shared" si="2"/>
        <v/>
      </c>
      <c r="K192" s="10" t="str">
        <f>IF(B192="","",IF(COUNTIF(Finding_List!$A:$A,B192)&gt;0,"Yes","No"))</f>
        <v/>
      </c>
    </row>
    <row r="193" spans="1:11" x14ac:dyDescent="0.2">
      <c r="A193" s="5"/>
      <c r="B193" s="5"/>
      <c r="C193" s="5"/>
      <c r="D193" s="5"/>
      <c r="E193" s="5"/>
      <c r="F193" s="5"/>
      <c r="G193" s="5"/>
      <c r="H193" s="5"/>
      <c r="I193" s="10" t="str">
        <f>IF(B193="","",IF(COUNTIF(FUSE_CI!$A:$A,B193)&gt;0,"Yes","No"))</f>
        <v/>
      </c>
      <c r="J193" s="10" t="str">
        <f t="shared" si="2"/>
        <v/>
      </c>
      <c r="K193" s="10" t="str">
        <f>IF(B193="","",IF(COUNTIF(Finding_List!$A:$A,B193)&gt;0,"Yes","No"))</f>
        <v/>
      </c>
    </row>
    <row r="194" spans="1:11" x14ac:dyDescent="0.2">
      <c r="A194" s="9"/>
      <c r="B194" s="9"/>
      <c r="C194" s="9"/>
      <c r="D194" s="9"/>
      <c r="E194" s="9"/>
      <c r="F194" s="9"/>
      <c r="G194" s="9"/>
      <c r="H194" s="9"/>
      <c r="I194" s="10" t="str">
        <f>IF(B194="","",IF(COUNTIF(FUSE_CI!$A:$A,B194)&gt;0,"Yes","No"))</f>
        <v/>
      </c>
      <c r="J194" s="10" t="str">
        <f t="shared" si="2"/>
        <v/>
      </c>
      <c r="K194" s="10" t="str">
        <f>IF(B194="","",IF(COUNTIF(Finding_List!$A:$A,B194)&gt;0,"Yes","No"))</f>
        <v/>
      </c>
    </row>
    <row r="195" spans="1:11" x14ac:dyDescent="0.2">
      <c r="A195" s="5"/>
      <c r="B195" s="5"/>
      <c r="C195" s="5"/>
      <c r="D195" s="5"/>
      <c r="E195" s="5"/>
      <c r="F195" s="5"/>
      <c r="G195" s="5"/>
      <c r="H195" s="5"/>
      <c r="I195" s="10" t="str">
        <f>IF(B195="","",IF(COUNTIF(FUSE_CI!$A:$A,B195)&gt;0,"Yes","No"))</f>
        <v/>
      </c>
      <c r="J195" s="10" t="str">
        <f t="shared" si="2"/>
        <v/>
      </c>
      <c r="K195" s="10" t="str">
        <f>IF(B195="","",IF(COUNTIF(Finding_List!$A:$A,B195)&gt;0,"Yes","No"))</f>
        <v/>
      </c>
    </row>
    <row r="196" spans="1:11" x14ac:dyDescent="0.2">
      <c r="A196" s="9"/>
      <c r="B196" s="9"/>
      <c r="C196" s="9"/>
      <c r="D196" s="9"/>
      <c r="E196" s="9"/>
      <c r="F196" s="9"/>
      <c r="G196" s="9"/>
      <c r="H196" s="9"/>
      <c r="I196" s="10" t="str">
        <f>IF(B196="","",IF(COUNTIF(FUSE_CI!$A:$A,B196)&gt;0,"Yes","No"))</f>
        <v/>
      </c>
      <c r="J196" s="10" t="str">
        <f t="shared" ref="J196:J259" si="3">IF(B196="","",IF(AND(D196&lt;&gt;"High",D196&lt;&gt;"Very High",I196="Yes",K196="No"),"Fast Follower","Not Eligible"))</f>
        <v/>
      </c>
      <c r="K196" s="10" t="str">
        <f>IF(B196="","",IF(COUNTIF(Finding_List!$A:$A,B196)&gt;0,"Yes","No"))</f>
        <v/>
      </c>
    </row>
    <row r="197" spans="1:11" x14ac:dyDescent="0.2">
      <c r="A197" s="5"/>
      <c r="B197" s="5"/>
      <c r="C197" s="5"/>
      <c r="D197" s="5"/>
      <c r="E197" s="5"/>
      <c r="F197" s="5"/>
      <c r="G197" s="5"/>
      <c r="H197" s="5"/>
      <c r="I197" s="10" t="str">
        <f>IF(B197="","",IF(COUNTIF(FUSE_CI!$A:$A,B197)&gt;0,"Yes","No"))</f>
        <v/>
      </c>
      <c r="J197" s="10" t="str">
        <f t="shared" si="3"/>
        <v/>
      </c>
      <c r="K197" s="10" t="str">
        <f>IF(B197="","",IF(COUNTIF(Finding_List!$A:$A,B197)&gt;0,"Yes","No"))</f>
        <v/>
      </c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10" t="str">
        <f>IF(B198="","",IF(COUNTIF(FUSE_CI!$A:$A,B198)&gt;0,"Yes","No"))</f>
        <v/>
      </c>
      <c r="J198" s="10" t="str">
        <f t="shared" si="3"/>
        <v/>
      </c>
      <c r="K198" s="10" t="str">
        <f>IF(B198="","",IF(COUNTIF(Finding_List!$A:$A,B198)&gt;0,"Yes","No"))</f>
        <v/>
      </c>
    </row>
    <row r="199" spans="1:11" x14ac:dyDescent="0.2">
      <c r="A199" s="5"/>
      <c r="B199" s="5"/>
      <c r="C199" s="5"/>
      <c r="D199" s="5"/>
      <c r="E199" s="5"/>
      <c r="F199" s="5"/>
      <c r="G199" s="5"/>
      <c r="H199" s="5"/>
      <c r="I199" s="10" t="str">
        <f>IF(B199="","",IF(COUNTIF(FUSE_CI!$A:$A,B199)&gt;0,"Yes","No"))</f>
        <v/>
      </c>
      <c r="J199" s="10" t="str">
        <f t="shared" si="3"/>
        <v/>
      </c>
      <c r="K199" s="10" t="str">
        <f>IF(B199="","",IF(COUNTIF(Finding_List!$A:$A,B199)&gt;0,"Yes","No"))</f>
        <v/>
      </c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10" t="str">
        <f>IF(B200="","",IF(COUNTIF(FUSE_CI!$A:$A,B200)&gt;0,"Yes","No"))</f>
        <v/>
      </c>
      <c r="J200" s="10" t="str">
        <f t="shared" si="3"/>
        <v/>
      </c>
      <c r="K200" s="10" t="str">
        <f>IF(B200="","",IF(COUNTIF(Finding_List!$A:$A,B200)&gt;0,"Yes","No"))</f>
        <v/>
      </c>
    </row>
    <row r="201" spans="1:11" x14ac:dyDescent="0.2">
      <c r="A201" s="5"/>
      <c r="B201" s="5"/>
      <c r="C201" s="5"/>
      <c r="D201" s="5"/>
      <c r="E201" s="5"/>
      <c r="F201" s="5"/>
      <c r="G201" s="5"/>
      <c r="H201" s="5"/>
      <c r="I201" s="10" t="str">
        <f>IF(B201="","",IF(COUNTIF(FUSE_CI!$A:$A,B201)&gt;0,"Yes","No"))</f>
        <v/>
      </c>
      <c r="J201" s="10" t="str">
        <f t="shared" si="3"/>
        <v/>
      </c>
      <c r="K201" s="10" t="str">
        <f>IF(B201="","",IF(COUNTIF(Finding_List!$A:$A,B201)&gt;0,"Yes","No"))</f>
        <v/>
      </c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10" t="str">
        <f>IF(B202="","",IF(COUNTIF(FUSE_CI!$A:$A,B202)&gt;0,"Yes","No"))</f>
        <v/>
      </c>
      <c r="J202" s="10" t="str">
        <f t="shared" si="3"/>
        <v/>
      </c>
      <c r="K202" s="10" t="str">
        <f>IF(B202="","",IF(COUNTIF(Finding_List!$A:$A,B202)&gt;0,"Yes","No"))</f>
        <v/>
      </c>
    </row>
    <row r="203" spans="1:11" x14ac:dyDescent="0.2">
      <c r="A203" s="5"/>
      <c r="B203" s="5"/>
      <c r="C203" s="5"/>
      <c r="D203" s="5"/>
      <c r="E203" s="5"/>
      <c r="F203" s="5"/>
      <c r="G203" s="5"/>
      <c r="H203" s="5"/>
      <c r="I203" s="10" t="str">
        <f>IF(B203="","",IF(COUNTIF(FUSE_CI!$A:$A,B203)&gt;0,"Yes","No"))</f>
        <v/>
      </c>
      <c r="J203" s="10" t="str">
        <f t="shared" si="3"/>
        <v/>
      </c>
      <c r="K203" s="10" t="str">
        <f>IF(B203="","",IF(COUNTIF(Finding_List!$A:$A,B203)&gt;0,"Yes","No"))</f>
        <v/>
      </c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10" t="str">
        <f>IF(B204="","",IF(COUNTIF(FUSE_CI!$A:$A,B204)&gt;0,"Yes","No"))</f>
        <v/>
      </c>
      <c r="J204" s="10" t="str">
        <f t="shared" si="3"/>
        <v/>
      </c>
      <c r="K204" s="10" t="str">
        <f>IF(B204="","",IF(COUNTIF(Finding_List!$A:$A,B204)&gt;0,"Yes","No"))</f>
        <v/>
      </c>
    </row>
    <row r="205" spans="1:11" x14ac:dyDescent="0.2">
      <c r="A205" s="5"/>
      <c r="B205" s="5"/>
      <c r="C205" s="5"/>
      <c r="D205" s="5"/>
      <c r="E205" s="5"/>
      <c r="F205" s="5"/>
      <c r="G205" s="5"/>
      <c r="H205" s="5"/>
      <c r="I205" s="10" t="str">
        <f>IF(B205="","",IF(COUNTIF(FUSE_CI!$A:$A,B205)&gt;0,"Yes","No"))</f>
        <v/>
      </c>
      <c r="J205" s="10" t="str">
        <f t="shared" si="3"/>
        <v/>
      </c>
      <c r="K205" s="10" t="str">
        <f>IF(B205="","",IF(COUNTIF(Finding_List!$A:$A,B205)&gt;0,"Yes","No"))</f>
        <v/>
      </c>
    </row>
    <row r="206" spans="1:11" x14ac:dyDescent="0.2">
      <c r="A206" s="9"/>
      <c r="B206" s="9"/>
      <c r="C206" s="9"/>
      <c r="D206" s="9"/>
      <c r="E206" s="9"/>
      <c r="F206" s="9"/>
      <c r="G206" s="9"/>
      <c r="H206" s="9"/>
      <c r="I206" s="10" t="str">
        <f>IF(B206="","",IF(COUNTIF(FUSE_CI!$A:$A,B206)&gt;0,"Yes","No"))</f>
        <v/>
      </c>
      <c r="J206" s="10" t="str">
        <f t="shared" si="3"/>
        <v/>
      </c>
      <c r="K206" s="10" t="str">
        <f>IF(B206="","",IF(COUNTIF(Finding_List!$A:$A,B206)&gt;0,"Yes","No"))</f>
        <v/>
      </c>
    </row>
    <row r="207" spans="1:11" x14ac:dyDescent="0.2">
      <c r="A207" s="5"/>
      <c r="B207" s="5"/>
      <c r="C207" s="5"/>
      <c r="D207" s="5"/>
      <c r="E207" s="5"/>
      <c r="F207" s="5"/>
      <c r="G207" s="5"/>
      <c r="H207" s="5"/>
      <c r="I207" s="10" t="str">
        <f>IF(B207="","",IF(COUNTIF(FUSE_CI!$A:$A,B207)&gt;0,"Yes","No"))</f>
        <v/>
      </c>
      <c r="J207" s="10" t="str">
        <f t="shared" si="3"/>
        <v/>
      </c>
      <c r="K207" s="10" t="str">
        <f>IF(B207="","",IF(COUNTIF(Finding_List!$A:$A,B207)&gt;0,"Yes","No"))</f>
        <v/>
      </c>
    </row>
    <row r="208" spans="1:11" x14ac:dyDescent="0.2">
      <c r="A208" s="9"/>
      <c r="B208" s="9"/>
      <c r="C208" s="9"/>
      <c r="D208" s="9"/>
      <c r="E208" s="9"/>
      <c r="F208" s="9"/>
      <c r="G208" s="9"/>
      <c r="H208" s="9"/>
      <c r="I208" s="10" t="str">
        <f>IF(B208="","",IF(COUNTIF(FUSE_CI!$A:$A,B208)&gt;0,"Yes","No"))</f>
        <v/>
      </c>
      <c r="J208" s="10" t="str">
        <f t="shared" si="3"/>
        <v/>
      </c>
      <c r="K208" s="10" t="str">
        <f>IF(B208="","",IF(COUNTIF(Finding_List!$A:$A,B208)&gt;0,"Yes","No"))</f>
        <v/>
      </c>
    </row>
    <row r="209" spans="1:11" x14ac:dyDescent="0.2">
      <c r="A209" s="5"/>
      <c r="B209" s="5"/>
      <c r="C209" s="5"/>
      <c r="D209" s="5"/>
      <c r="E209" s="5"/>
      <c r="F209" s="5"/>
      <c r="G209" s="5"/>
      <c r="H209" s="5"/>
      <c r="I209" s="10" t="str">
        <f>IF(B209="","",IF(COUNTIF(FUSE_CI!$A:$A,B209)&gt;0,"Yes","No"))</f>
        <v/>
      </c>
      <c r="J209" s="10" t="str">
        <f t="shared" si="3"/>
        <v/>
      </c>
      <c r="K209" s="10" t="str">
        <f>IF(B209="","",IF(COUNTIF(Finding_List!$A:$A,B209)&gt;0,"Yes","No"))</f>
        <v/>
      </c>
    </row>
    <row r="210" spans="1:11" x14ac:dyDescent="0.2">
      <c r="A210" s="9"/>
      <c r="B210" s="9"/>
      <c r="C210" s="9"/>
      <c r="D210" s="9"/>
      <c r="E210" s="9"/>
      <c r="F210" s="9"/>
      <c r="G210" s="9"/>
      <c r="H210" s="9"/>
      <c r="I210" s="10" t="str">
        <f>IF(B210="","",IF(COUNTIF(FUSE_CI!$A:$A,B210)&gt;0,"Yes","No"))</f>
        <v/>
      </c>
      <c r="J210" s="10" t="str">
        <f t="shared" si="3"/>
        <v/>
      </c>
      <c r="K210" s="10" t="str">
        <f>IF(B210="","",IF(COUNTIF(Finding_List!$A:$A,B210)&gt;0,"Yes","No"))</f>
        <v/>
      </c>
    </row>
    <row r="211" spans="1:11" x14ac:dyDescent="0.2">
      <c r="A211" s="5"/>
      <c r="B211" s="5"/>
      <c r="C211" s="5"/>
      <c r="D211" s="5"/>
      <c r="E211" s="5"/>
      <c r="F211" s="5"/>
      <c r="G211" s="5"/>
      <c r="H211" s="5"/>
      <c r="I211" s="10" t="str">
        <f>IF(B211="","",IF(COUNTIF(FUSE_CI!$A:$A,B211)&gt;0,"Yes","No"))</f>
        <v/>
      </c>
      <c r="J211" s="10" t="str">
        <f t="shared" si="3"/>
        <v/>
      </c>
      <c r="K211" s="10" t="str">
        <f>IF(B211="","",IF(COUNTIF(Finding_List!$A:$A,B211)&gt;0,"Yes","No"))</f>
        <v/>
      </c>
    </row>
    <row r="212" spans="1:11" x14ac:dyDescent="0.2">
      <c r="A212" s="9"/>
      <c r="B212" s="9"/>
      <c r="C212" s="9"/>
      <c r="D212" s="9"/>
      <c r="E212" s="9"/>
      <c r="F212" s="9"/>
      <c r="G212" s="9"/>
      <c r="H212" s="9"/>
      <c r="I212" s="10" t="str">
        <f>IF(B212="","",IF(COUNTIF(FUSE_CI!$A:$A,B212)&gt;0,"Yes","No"))</f>
        <v/>
      </c>
      <c r="J212" s="10" t="str">
        <f t="shared" si="3"/>
        <v/>
      </c>
      <c r="K212" s="10" t="str">
        <f>IF(B212="","",IF(COUNTIF(Finding_List!$A:$A,B212)&gt;0,"Yes","No"))</f>
        <v/>
      </c>
    </row>
    <row r="213" spans="1:11" x14ac:dyDescent="0.2">
      <c r="A213" s="5"/>
      <c r="B213" s="5"/>
      <c r="C213" s="5"/>
      <c r="D213" s="5"/>
      <c r="E213" s="5"/>
      <c r="F213" s="5"/>
      <c r="G213" s="5"/>
      <c r="H213" s="5"/>
      <c r="I213" s="10" t="str">
        <f>IF(B213="","",IF(COUNTIF(FUSE_CI!$A:$A,B213)&gt;0,"Yes","No"))</f>
        <v/>
      </c>
      <c r="J213" s="10" t="str">
        <f t="shared" si="3"/>
        <v/>
      </c>
      <c r="K213" s="10" t="str">
        <f>IF(B213="","",IF(COUNTIF(Finding_List!$A:$A,B213)&gt;0,"Yes","No"))</f>
        <v/>
      </c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10" t="str">
        <f>IF(B214="","",IF(COUNTIF(FUSE_CI!$A:$A,B214)&gt;0,"Yes","No"))</f>
        <v/>
      </c>
      <c r="J214" s="10" t="str">
        <f t="shared" si="3"/>
        <v/>
      </c>
      <c r="K214" s="10" t="str">
        <f>IF(B214="","",IF(COUNTIF(Finding_List!$A:$A,B214)&gt;0,"Yes","No"))</f>
        <v/>
      </c>
    </row>
    <row r="215" spans="1:11" x14ac:dyDescent="0.2">
      <c r="A215" s="5"/>
      <c r="B215" s="5"/>
      <c r="C215" s="5"/>
      <c r="D215" s="5"/>
      <c r="E215" s="5"/>
      <c r="F215" s="5"/>
      <c r="G215" s="5"/>
      <c r="H215" s="5"/>
      <c r="I215" s="10" t="str">
        <f>IF(B215="","",IF(COUNTIF(FUSE_CI!$A:$A,B215)&gt;0,"Yes","No"))</f>
        <v/>
      </c>
      <c r="J215" s="10" t="str">
        <f t="shared" si="3"/>
        <v/>
      </c>
      <c r="K215" s="10" t="str">
        <f>IF(B215="","",IF(COUNTIF(Finding_List!$A:$A,B215)&gt;0,"Yes","No"))</f>
        <v/>
      </c>
    </row>
    <row r="216" spans="1:11" x14ac:dyDescent="0.2">
      <c r="A216" s="9"/>
      <c r="B216" s="9"/>
      <c r="C216" s="9"/>
      <c r="D216" s="9"/>
      <c r="E216" s="9"/>
      <c r="F216" s="9"/>
      <c r="G216" s="9"/>
      <c r="H216" s="9"/>
      <c r="I216" s="10" t="str">
        <f>IF(B216="","",IF(COUNTIF(FUSE_CI!$A:$A,B216)&gt;0,"Yes","No"))</f>
        <v/>
      </c>
      <c r="J216" s="10" t="str">
        <f t="shared" si="3"/>
        <v/>
      </c>
      <c r="K216" s="10" t="str">
        <f>IF(B216="","",IF(COUNTIF(Finding_List!$A:$A,B216)&gt;0,"Yes","No"))</f>
        <v/>
      </c>
    </row>
    <row r="217" spans="1:11" x14ac:dyDescent="0.2">
      <c r="A217" s="5"/>
      <c r="B217" s="5"/>
      <c r="C217" s="5"/>
      <c r="D217" s="5"/>
      <c r="E217" s="5"/>
      <c r="F217" s="5"/>
      <c r="G217" s="5"/>
      <c r="H217" s="5"/>
      <c r="I217" s="10" t="str">
        <f>IF(B217="","",IF(COUNTIF(FUSE_CI!$A:$A,B217)&gt;0,"Yes","No"))</f>
        <v/>
      </c>
      <c r="J217" s="10" t="str">
        <f t="shared" si="3"/>
        <v/>
      </c>
      <c r="K217" s="10" t="str">
        <f>IF(B217="","",IF(COUNTIF(Finding_List!$A:$A,B217)&gt;0,"Yes","No"))</f>
        <v/>
      </c>
    </row>
    <row r="218" spans="1:11" x14ac:dyDescent="0.2">
      <c r="A218" s="9"/>
      <c r="B218" s="9"/>
      <c r="C218" s="9"/>
      <c r="D218" s="9"/>
      <c r="E218" s="9"/>
      <c r="F218" s="9"/>
      <c r="G218" s="9"/>
      <c r="H218" s="9"/>
      <c r="I218" s="10" t="str">
        <f>IF(B218="","",IF(COUNTIF(FUSE_CI!$A:$A,B218)&gt;0,"Yes","No"))</f>
        <v/>
      </c>
      <c r="J218" s="10" t="str">
        <f t="shared" si="3"/>
        <v/>
      </c>
      <c r="K218" s="10" t="str">
        <f>IF(B218="","",IF(COUNTIF(Finding_List!$A:$A,B218)&gt;0,"Yes","No"))</f>
        <v/>
      </c>
    </row>
    <row r="219" spans="1:11" x14ac:dyDescent="0.2">
      <c r="A219" s="5"/>
      <c r="B219" s="5"/>
      <c r="C219" s="5"/>
      <c r="D219" s="5"/>
      <c r="E219" s="5"/>
      <c r="F219" s="5"/>
      <c r="G219" s="5"/>
      <c r="H219" s="5"/>
      <c r="I219" s="10" t="str">
        <f>IF(B219="","",IF(COUNTIF(FUSE_CI!$A:$A,B219)&gt;0,"Yes","No"))</f>
        <v/>
      </c>
      <c r="J219" s="10" t="str">
        <f t="shared" si="3"/>
        <v/>
      </c>
      <c r="K219" s="10" t="str">
        <f>IF(B219="","",IF(COUNTIF(Finding_List!$A:$A,B219)&gt;0,"Yes","No"))</f>
        <v/>
      </c>
    </row>
    <row r="220" spans="1:11" x14ac:dyDescent="0.2">
      <c r="A220" s="9"/>
      <c r="B220" s="9"/>
      <c r="C220" s="9"/>
      <c r="D220" s="9"/>
      <c r="E220" s="9"/>
      <c r="F220" s="9"/>
      <c r="G220" s="9"/>
      <c r="H220" s="9"/>
      <c r="I220" s="10" t="str">
        <f>IF(B220="","",IF(COUNTIF(FUSE_CI!$A:$A,B220)&gt;0,"Yes","No"))</f>
        <v/>
      </c>
      <c r="J220" s="10" t="str">
        <f t="shared" si="3"/>
        <v/>
      </c>
      <c r="K220" s="10" t="str">
        <f>IF(B220="","",IF(COUNTIF(Finding_List!$A:$A,B220)&gt;0,"Yes","No"))</f>
        <v/>
      </c>
    </row>
    <row r="221" spans="1:11" x14ac:dyDescent="0.2">
      <c r="A221" s="5"/>
      <c r="B221" s="5"/>
      <c r="C221" s="5"/>
      <c r="D221" s="5"/>
      <c r="E221" s="5"/>
      <c r="F221" s="5"/>
      <c r="G221" s="5"/>
      <c r="H221" s="5"/>
      <c r="I221" s="10" t="str">
        <f>IF(B221="","",IF(COUNTIF(FUSE_CI!$A:$A,B221)&gt;0,"Yes","No"))</f>
        <v/>
      </c>
      <c r="J221" s="10" t="str">
        <f t="shared" si="3"/>
        <v/>
      </c>
      <c r="K221" s="10" t="str">
        <f>IF(B221="","",IF(COUNTIF(Finding_List!$A:$A,B221)&gt;0,"Yes","No"))</f>
        <v/>
      </c>
    </row>
    <row r="222" spans="1:11" x14ac:dyDescent="0.2">
      <c r="A222" s="9"/>
      <c r="B222" s="9"/>
      <c r="C222" s="9"/>
      <c r="D222" s="9"/>
      <c r="E222" s="9"/>
      <c r="F222" s="9"/>
      <c r="G222" s="9"/>
      <c r="H222" s="9"/>
      <c r="I222" s="10" t="str">
        <f>IF(B222="","",IF(COUNTIF(FUSE_CI!$A:$A,B222)&gt;0,"Yes","No"))</f>
        <v/>
      </c>
      <c r="J222" s="10" t="str">
        <f t="shared" si="3"/>
        <v/>
      </c>
      <c r="K222" s="10" t="str">
        <f>IF(B222="","",IF(COUNTIF(Finding_List!$A:$A,B222)&gt;0,"Yes","No"))</f>
        <v/>
      </c>
    </row>
    <row r="223" spans="1:11" x14ac:dyDescent="0.2">
      <c r="A223" s="5"/>
      <c r="B223" s="5"/>
      <c r="C223" s="5"/>
      <c r="D223" s="5"/>
      <c r="E223" s="5"/>
      <c r="F223" s="5"/>
      <c r="G223" s="5"/>
      <c r="H223" s="5"/>
      <c r="I223" s="10" t="str">
        <f>IF(B223="","",IF(COUNTIF(FUSE_CI!$A:$A,B223)&gt;0,"Yes","No"))</f>
        <v/>
      </c>
      <c r="J223" s="10" t="str">
        <f t="shared" si="3"/>
        <v/>
      </c>
      <c r="K223" s="10" t="str">
        <f>IF(B223="","",IF(COUNTIF(Finding_List!$A:$A,B223)&gt;0,"Yes","No"))</f>
        <v/>
      </c>
    </row>
    <row r="224" spans="1:11" x14ac:dyDescent="0.2">
      <c r="A224" s="9"/>
      <c r="B224" s="9"/>
      <c r="C224" s="9"/>
      <c r="D224" s="9"/>
      <c r="E224" s="9"/>
      <c r="F224" s="9"/>
      <c r="G224" s="9"/>
      <c r="H224" s="9"/>
      <c r="I224" s="10" t="str">
        <f>IF(B224="","",IF(COUNTIF(FUSE_CI!$A:$A,B224)&gt;0,"Yes","No"))</f>
        <v/>
      </c>
      <c r="J224" s="10" t="str">
        <f t="shared" si="3"/>
        <v/>
      </c>
      <c r="K224" s="10" t="str">
        <f>IF(B224="","",IF(COUNTIF(Finding_List!$A:$A,B224)&gt;0,"Yes","No"))</f>
        <v/>
      </c>
    </row>
    <row r="225" spans="1:11" x14ac:dyDescent="0.2">
      <c r="A225" s="5"/>
      <c r="B225" s="5"/>
      <c r="C225" s="5"/>
      <c r="D225" s="5"/>
      <c r="E225" s="5"/>
      <c r="F225" s="5"/>
      <c r="G225" s="5"/>
      <c r="H225" s="5"/>
      <c r="I225" s="10" t="str">
        <f>IF(B225="","",IF(COUNTIF(FUSE_CI!$A:$A,B225)&gt;0,"Yes","No"))</f>
        <v/>
      </c>
      <c r="J225" s="10" t="str">
        <f t="shared" si="3"/>
        <v/>
      </c>
      <c r="K225" s="10" t="str">
        <f>IF(B225="","",IF(COUNTIF(Finding_List!$A:$A,B225)&gt;0,"Yes","No"))</f>
        <v/>
      </c>
    </row>
    <row r="226" spans="1:11" x14ac:dyDescent="0.2">
      <c r="A226" s="9"/>
      <c r="B226" s="9"/>
      <c r="C226" s="9"/>
      <c r="D226" s="9"/>
      <c r="E226" s="9"/>
      <c r="F226" s="9"/>
      <c r="G226" s="9"/>
      <c r="H226" s="9"/>
      <c r="I226" s="10" t="str">
        <f>IF(B226="","",IF(COUNTIF(FUSE_CI!$A:$A,B226)&gt;0,"Yes","No"))</f>
        <v/>
      </c>
      <c r="J226" s="10" t="str">
        <f t="shared" si="3"/>
        <v/>
      </c>
      <c r="K226" s="10" t="str">
        <f>IF(B226="","",IF(COUNTIF(Finding_List!$A:$A,B226)&gt;0,"Yes","No"))</f>
        <v/>
      </c>
    </row>
    <row r="227" spans="1:11" x14ac:dyDescent="0.2">
      <c r="A227" s="5"/>
      <c r="B227" s="5"/>
      <c r="C227" s="5"/>
      <c r="D227" s="5"/>
      <c r="E227" s="5"/>
      <c r="F227" s="5"/>
      <c r="G227" s="5"/>
      <c r="H227" s="5"/>
      <c r="I227" s="10" t="str">
        <f>IF(B227="","",IF(COUNTIF(FUSE_CI!$A:$A,B227)&gt;0,"Yes","No"))</f>
        <v/>
      </c>
      <c r="J227" s="10" t="str">
        <f t="shared" si="3"/>
        <v/>
      </c>
      <c r="K227" s="10" t="str">
        <f>IF(B227="","",IF(COUNTIF(Finding_List!$A:$A,B227)&gt;0,"Yes","No"))</f>
        <v/>
      </c>
    </row>
    <row r="228" spans="1:11" x14ac:dyDescent="0.2">
      <c r="A228" s="9"/>
      <c r="B228" s="9"/>
      <c r="C228" s="9"/>
      <c r="D228" s="9"/>
      <c r="E228" s="9"/>
      <c r="F228" s="9"/>
      <c r="G228" s="9"/>
      <c r="H228" s="9"/>
      <c r="I228" s="10" t="str">
        <f>IF(B228="","",IF(COUNTIF(FUSE_CI!$A:$A,B228)&gt;0,"Yes","No"))</f>
        <v/>
      </c>
      <c r="J228" s="10" t="str">
        <f t="shared" si="3"/>
        <v/>
      </c>
      <c r="K228" s="10" t="str">
        <f>IF(B228="","",IF(COUNTIF(Finding_List!$A:$A,B228)&gt;0,"Yes","No"))</f>
        <v/>
      </c>
    </row>
    <row r="229" spans="1:11" x14ac:dyDescent="0.2">
      <c r="A229" s="5"/>
      <c r="B229" s="5"/>
      <c r="C229" s="5"/>
      <c r="D229" s="5"/>
      <c r="E229" s="5"/>
      <c r="F229" s="5"/>
      <c r="G229" s="5"/>
      <c r="H229" s="5"/>
      <c r="I229" s="10" t="str">
        <f>IF(B229="","",IF(COUNTIF(FUSE_CI!$A:$A,B229)&gt;0,"Yes","No"))</f>
        <v/>
      </c>
      <c r="J229" s="10" t="str">
        <f t="shared" si="3"/>
        <v/>
      </c>
      <c r="K229" s="10" t="str">
        <f>IF(B229="","",IF(COUNTIF(Finding_List!$A:$A,B229)&gt;0,"Yes","No"))</f>
        <v/>
      </c>
    </row>
    <row r="230" spans="1:11" x14ac:dyDescent="0.2">
      <c r="A230" s="9"/>
      <c r="B230" s="9"/>
      <c r="C230" s="9"/>
      <c r="D230" s="9"/>
      <c r="E230" s="9"/>
      <c r="F230" s="9"/>
      <c r="G230" s="9"/>
      <c r="H230" s="9"/>
      <c r="I230" s="10" t="str">
        <f>IF(B230="","",IF(COUNTIF(FUSE_CI!$A:$A,B230)&gt;0,"Yes","No"))</f>
        <v/>
      </c>
      <c r="J230" s="10" t="str">
        <f t="shared" si="3"/>
        <v/>
      </c>
      <c r="K230" s="10" t="str">
        <f>IF(B230="","",IF(COUNTIF(Finding_List!$A:$A,B230)&gt;0,"Yes","No"))</f>
        <v/>
      </c>
    </row>
    <row r="231" spans="1:11" x14ac:dyDescent="0.2">
      <c r="A231" s="5"/>
      <c r="B231" s="5"/>
      <c r="C231" s="5"/>
      <c r="D231" s="5"/>
      <c r="E231" s="5"/>
      <c r="F231" s="5"/>
      <c r="G231" s="5"/>
      <c r="H231" s="5"/>
      <c r="I231" s="10" t="str">
        <f>IF(B231="","",IF(COUNTIF(FUSE_CI!$A:$A,B231)&gt;0,"Yes","No"))</f>
        <v/>
      </c>
      <c r="J231" s="10" t="str">
        <f t="shared" si="3"/>
        <v/>
      </c>
      <c r="K231" s="10" t="str">
        <f>IF(B231="","",IF(COUNTIF(Finding_List!$A:$A,B231)&gt;0,"Yes","No"))</f>
        <v/>
      </c>
    </row>
    <row r="232" spans="1:11" x14ac:dyDescent="0.2">
      <c r="A232" s="9"/>
      <c r="B232" s="9"/>
      <c r="C232" s="9"/>
      <c r="D232" s="9"/>
      <c r="E232" s="9"/>
      <c r="F232" s="9"/>
      <c r="G232" s="9"/>
      <c r="H232" s="9"/>
      <c r="I232" s="10" t="str">
        <f>IF(B232="","",IF(COUNTIF(FUSE_CI!$A:$A,B232)&gt;0,"Yes","No"))</f>
        <v/>
      </c>
      <c r="J232" s="10" t="str">
        <f t="shared" si="3"/>
        <v/>
      </c>
      <c r="K232" s="10" t="str">
        <f>IF(B232="","",IF(COUNTIF(Finding_List!$A:$A,B232)&gt;0,"Yes","No"))</f>
        <v/>
      </c>
    </row>
    <row r="233" spans="1:11" x14ac:dyDescent="0.2">
      <c r="A233" s="5"/>
      <c r="B233" s="5"/>
      <c r="C233" s="5"/>
      <c r="D233" s="5"/>
      <c r="E233" s="5"/>
      <c r="F233" s="5"/>
      <c r="G233" s="5"/>
      <c r="H233" s="5"/>
      <c r="I233" s="10" t="str">
        <f>IF(B233="","",IF(COUNTIF(FUSE_CI!$A:$A,B233)&gt;0,"Yes","No"))</f>
        <v/>
      </c>
      <c r="J233" s="10" t="str">
        <f t="shared" si="3"/>
        <v/>
      </c>
      <c r="K233" s="10" t="str">
        <f>IF(B233="","",IF(COUNTIF(Finding_List!$A:$A,B233)&gt;0,"Yes","No"))</f>
        <v/>
      </c>
    </row>
    <row r="234" spans="1:11" x14ac:dyDescent="0.2">
      <c r="A234" s="9"/>
      <c r="B234" s="9"/>
      <c r="C234" s="9"/>
      <c r="D234" s="9"/>
      <c r="E234" s="9"/>
      <c r="F234" s="9"/>
      <c r="G234" s="9"/>
      <c r="H234" s="9"/>
      <c r="I234" s="10" t="str">
        <f>IF(B234="","",IF(COUNTIF(FUSE_CI!$A:$A,B234)&gt;0,"Yes","No"))</f>
        <v/>
      </c>
      <c r="J234" s="10" t="str">
        <f t="shared" si="3"/>
        <v/>
      </c>
      <c r="K234" s="10" t="str">
        <f>IF(B234="","",IF(COUNTIF(Finding_List!$A:$A,B234)&gt;0,"Yes","No"))</f>
        <v/>
      </c>
    </row>
    <row r="235" spans="1:11" x14ac:dyDescent="0.2">
      <c r="A235" s="5"/>
      <c r="B235" s="5"/>
      <c r="C235" s="5"/>
      <c r="D235" s="5"/>
      <c r="E235" s="5"/>
      <c r="F235" s="5"/>
      <c r="G235" s="5"/>
      <c r="H235" s="5"/>
      <c r="I235" s="10" t="str">
        <f>IF(B235="","",IF(COUNTIF(FUSE_CI!$A:$A,B235)&gt;0,"Yes","No"))</f>
        <v/>
      </c>
      <c r="J235" s="10" t="str">
        <f t="shared" si="3"/>
        <v/>
      </c>
      <c r="K235" s="10" t="str">
        <f>IF(B235="","",IF(COUNTIF(Finding_List!$A:$A,B235)&gt;0,"Yes","No"))</f>
        <v/>
      </c>
    </row>
    <row r="236" spans="1:11" x14ac:dyDescent="0.2">
      <c r="A236" s="9"/>
      <c r="B236" s="9"/>
      <c r="C236" s="9"/>
      <c r="D236" s="9"/>
      <c r="E236" s="9"/>
      <c r="F236" s="9"/>
      <c r="G236" s="9"/>
      <c r="H236" s="9"/>
      <c r="I236" s="10" t="str">
        <f>IF(B236="","",IF(COUNTIF(FUSE_CI!$A:$A,B236)&gt;0,"Yes","No"))</f>
        <v/>
      </c>
      <c r="J236" s="10" t="str">
        <f t="shared" si="3"/>
        <v/>
      </c>
      <c r="K236" s="10" t="str">
        <f>IF(B236="","",IF(COUNTIF(Finding_List!$A:$A,B236)&gt;0,"Yes","No"))</f>
        <v/>
      </c>
    </row>
    <row r="237" spans="1:11" x14ac:dyDescent="0.2">
      <c r="A237" s="5"/>
      <c r="B237" s="5"/>
      <c r="C237" s="5"/>
      <c r="D237" s="5"/>
      <c r="E237" s="5"/>
      <c r="F237" s="5"/>
      <c r="G237" s="5"/>
      <c r="H237" s="5"/>
      <c r="I237" s="10" t="str">
        <f>IF(B237="","",IF(COUNTIF(FUSE_CI!$A:$A,B237)&gt;0,"Yes","No"))</f>
        <v/>
      </c>
      <c r="J237" s="10" t="str">
        <f t="shared" si="3"/>
        <v/>
      </c>
      <c r="K237" s="10" t="str">
        <f>IF(B237="","",IF(COUNTIF(Finding_List!$A:$A,B237)&gt;0,"Yes","No"))</f>
        <v/>
      </c>
    </row>
    <row r="238" spans="1:11" x14ac:dyDescent="0.2">
      <c r="A238" s="9"/>
      <c r="B238" s="9"/>
      <c r="C238" s="9"/>
      <c r="D238" s="9"/>
      <c r="E238" s="9"/>
      <c r="F238" s="9"/>
      <c r="G238" s="9"/>
      <c r="H238" s="9"/>
      <c r="I238" s="10" t="str">
        <f>IF(B238="","",IF(COUNTIF(FUSE_CI!$A:$A,B238)&gt;0,"Yes","No"))</f>
        <v/>
      </c>
      <c r="J238" s="10" t="str">
        <f t="shared" si="3"/>
        <v/>
      </c>
      <c r="K238" s="10" t="str">
        <f>IF(B238="","",IF(COUNTIF(Finding_List!$A:$A,B238)&gt;0,"Yes","No"))</f>
        <v/>
      </c>
    </row>
    <row r="239" spans="1:11" x14ac:dyDescent="0.2">
      <c r="A239" s="5"/>
      <c r="B239" s="5"/>
      <c r="C239" s="5"/>
      <c r="D239" s="5"/>
      <c r="E239" s="5"/>
      <c r="F239" s="5"/>
      <c r="G239" s="5"/>
      <c r="H239" s="5"/>
      <c r="I239" s="10" t="str">
        <f>IF(B239="","",IF(COUNTIF(FUSE_CI!$A:$A,B239)&gt;0,"Yes","No"))</f>
        <v/>
      </c>
      <c r="J239" s="10" t="str">
        <f t="shared" si="3"/>
        <v/>
      </c>
      <c r="K239" s="10" t="str">
        <f>IF(B239="","",IF(COUNTIF(Finding_List!$A:$A,B239)&gt;0,"Yes","No"))</f>
        <v/>
      </c>
    </row>
    <row r="240" spans="1:11" x14ac:dyDescent="0.2">
      <c r="A240" s="9"/>
      <c r="B240" s="9"/>
      <c r="C240" s="9"/>
      <c r="D240" s="9"/>
      <c r="E240" s="9"/>
      <c r="F240" s="9"/>
      <c r="G240" s="9"/>
      <c r="H240" s="9"/>
      <c r="I240" s="10" t="str">
        <f>IF(B240="","",IF(COUNTIF(FUSE_CI!$A:$A,B240)&gt;0,"Yes","No"))</f>
        <v/>
      </c>
      <c r="J240" s="10" t="str">
        <f t="shared" si="3"/>
        <v/>
      </c>
      <c r="K240" s="10" t="str">
        <f>IF(B240="","",IF(COUNTIF(Finding_List!$A:$A,B240)&gt;0,"Yes","No"))</f>
        <v/>
      </c>
    </row>
    <row r="241" spans="1:11" x14ac:dyDescent="0.2">
      <c r="A241" s="5"/>
      <c r="B241" s="5"/>
      <c r="C241" s="5"/>
      <c r="D241" s="5"/>
      <c r="E241" s="5"/>
      <c r="F241" s="5"/>
      <c r="G241" s="5"/>
      <c r="H241" s="5"/>
      <c r="I241" s="10" t="str">
        <f>IF(B241="","",IF(COUNTIF(FUSE_CI!$A:$A,B241)&gt;0,"Yes","No"))</f>
        <v/>
      </c>
      <c r="J241" s="10" t="str">
        <f t="shared" si="3"/>
        <v/>
      </c>
      <c r="K241" s="10" t="str">
        <f>IF(B241="","",IF(COUNTIF(Finding_List!$A:$A,B241)&gt;0,"Yes","No"))</f>
        <v/>
      </c>
    </row>
    <row r="242" spans="1:11" x14ac:dyDescent="0.2">
      <c r="A242" s="9"/>
      <c r="B242" s="9"/>
      <c r="C242" s="9"/>
      <c r="D242" s="9"/>
      <c r="E242" s="9"/>
      <c r="F242" s="9"/>
      <c r="G242" s="9"/>
      <c r="H242" s="9"/>
      <c r="I242" s="10" t="str">
        <f>IF(B242="","",IF(COUNTIF(FUSE_CI!$A:$A,B242)&gt;0,"Yes","No"))</f>
        <v/>
      </c>
      <c r="J242" s="10" t="str">
        <f t="shared" si="3"/>
        <v/>
      </c>
      <c r="K242" s="10" t="str">
        <f>IF(B242="","",IF(COUNTIF(Finding_List!$A:$A,B242)&gt;0,"Yes","No"))</f>
        <v/>
      </c>
    </row>
    <row r="243" spans="1:11" x14ac:dyDescent="0.2">
      <c r="A243" s="5"/>
      <c r="B243" s="5"/>
      <c r="C243" s="5"/>
      <c r="D243" s="5"/>
      <c r="E243" s="5"/>
      <c r="F243" s="5"/>
      <c r="G243" s="5"/>
      <c r="H243" s="5"/>
      <c r="I243" s="10" t="str">
        <f>IF(B243="","",IF(COUNTIF(FUSE_CI!$A:$A,B243)&gt;0,"Yes","No"))</f>
        <v/>
      </c>
      <c r="J243" s="10" t="str">
        <f t="shared" si="3"/>
        <v/>
      </c>
      <c r="K243" s="10" t="str">
        <f>IF(B243="","",IF(COUNTIF(Finding_List!$A:$A,B243)&gt;0,"Yes","No"))</f>
        <v/>
      </c>
    </row>
    <row r="244" spans="1:11" x14ac:dyDescent="0.2">
      <c r="A244" s="9"/>
      <c r="B244" s="9"/>
      <c r="C244" s="9"/>
      <c r="D244" s="9"/>
      <c r="E244" s="9"/>
      <c r="F244" s="9"/>
      <c r="G244" s="9"/>
      <c r="H244" s="9"/>
      <c r="I244" s="10" t="str">
        <f>IF(B244="","",IF(COUNTIF(FUSE_CI!$A:$A,B244)&gt;0,"Yes","No"))</f>
        <v/>
      </c>
      <c r="J244" s="10" t="str">
        <f t="shared" si="3"/>
        <v/>
      </c>
      <c r="K244" s="10" t="str">
        <f>IF(B244="","",IF(COUNTIF(Finding_List!$A:$A,B244)&gt;0,"Yes","No"))</f>
        <v/>
      </c>
    </row>
    <row r="245" spans="1:11" x14ac:dyDescent="0.2">
      <c r="A245" s="5"/>
      <c r="B245" s="5"/>
      <c r="C245" s="5"/>
      <c r="D245" s="5"/>
      <c r="E245" s="5"/>
      <c r="F245" s="5"/>
      <c r="G245" s="5"/>
      <c r="H245" s="5"/>
      <c r="I245" s="10" t="str">
        <f>IF(B245="","",IF(COUNTIF(FUSE_CI!$A:$A,B245)&gt;0,"Yes","No"))</f>
        <v/>
      </c>
      <c r="J245" s="10" t="str">
        <f t="shared" si="3"/>
        <v/>
      </c>
      <c r="K245" s="10" t="str">
        <f>IF(B245="","",IF(COUNTIF(Finding_List!$A:$A,B245)&gt;0,"Yes","No"))</f>
        <v/>
      </c>
    </row>
    <row r="246" spans="1:11" x14ac:dyDescent="0.2">
      <c r="A246" s="9"/>
      <c r="B246" s="9"/>
      <c r="C246" s="9"/>
      <c r="D246" s="9"/>
      <c r="E246" s="9"/>
      <c r="F246" s="9"/>
      <c r="G246" s="9"/>
      <c r="H246" s="9"/>
      <c r="I246" s="10" t="str">
        <f>IF(B246="","",IF(COUNTIF(FUSE_CI!$A:$A,B246)&gt;0,"Yes","No"))</f>
        <v/>
      </c>
      <c r="J246" s="10" t="str">
        <f t="shared" si="3"/>
        <v/>
      </c>
      <c r="K246" s="10" t="str">
        <f>IF(B246="","",IF(COUNTIF(Finding_List!$A:$A,B246)&gt;0,"Yes","No"))</f>
        <v/>
      </c>
    </row>
    <row r="247" spans="1:11" x14ac:dyDescent="0.2">
      <c r="A247" s="5"/>
      <c r="B247" s="5"/>
      <c r="C247" s="5"/>
      <c r="D247" s="5"/>
      <c r="E247" s="5"/>
      <c r="F247" s="5"/>
      <c r="G247" s="5"/>
      <c r="H247" s="5"/>
      <c r="I247" s="10" t="str">
        <f>IF(B247="","",IF(COUNTIF(FUSE_CI!$A:$A,B247)&gt;0,"Yes","No"))</f>
        <v/>
      </c>
      <c r="J247" s="10" t="str">
        <f t="shared" si="3"/>
        <v/>
      </c>
      <c r="K247" s="10" t="str">
        <f>IF(B247="","",IF(COUNTIF(Finding_List!$A:$A,B247)&gt;0,"Yes","No"))</f>
        <v/>
      </c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10" t="str">
        <f>IF(B248="","",IF(COUNTIF(FUSE_CI!$A:$A,B248)&gt;0,"Yes","No"))</f>
        <v/>
      </c>
      <c r="J248" s="10" t="str">
        <f t="shared" si="3"/>
        <v/>
      </c>
      <c r="K248" s="10" t="str">
        <f>IF(B248="","",IF(COUNTIF(Finding_List!$A:$A,B248)&gt;0,"Yes","No"))</f>
        <v/>
      </c>
    </row>
    <row r="249" spans="1:11" x14ac:dyDescent="0.2">
      <c r="A249" s="5"/>
      <c r="B249" s="5"/>
      <c r="C249" s="5"/>
      <c r="D249" s="5"/>
      <c r="E249" s="5"/>
      <c r="F249" s="5"/>
      <c r="G249" s="5"/>
      <c r="H249" s="5"/>
      <c r="I249" s="10" t="str">
        <f>IF(B249="","",IF(COUNTIF(FUSE_CI!$A:$A,B249)&gt;0,"Yes","No"))</f>
        <v/>
      </c>
      <c r="J249" s="10" t="str">
        <f t="shared" si="3"/>
        <v/>
      </c>
      <c r="K249" s="10" t="str">
        <f>IF(B249="","",IF(COUNTIF(Finding_List!$A:$A,B249)&gt;0,"Yes","No"))</f>
        <v/>
      </c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10" t="str">
        <f>IF(B250="","",IF(COUNTIF(FUSE_CI!$A:$A,B250)&gt;0,"Yes","No"))</f>
        <v/>
      </c>
      <c r="J250" s="10" t="str">
        <f t="shared" si="3"/>
        <v/>
      </c>
      <c r="K250" s="10" t="str">
        <f>IF(B250="","",IF(COUNTIF(Finding_List!$A:$A,B250)&gt;0,"Yes","No"))</f>
        <v/>
      </c>
    </row>
    <row r="251" spans="1:11" x14ac:dyDescent="0.2">
      <c r="A251" s="5"/>
      <c r="B251" s="5"/>
      <c r="C251" s="5"/>
      <c r="D251" s="5"/>
      <c r="E251" s="5"/>
      <c r="F251" s="5"/>
      <c r="G251" s="5"/>
      <c r="H251" s="5"/>
      <c r="I251" s="10" t="str">
        <f>IF(B251="","",IF(COUNTIF(FUSE_CI!$A:$A,B251)&gt;0,"Yes","No"))</f>
        <v/>
      </c>
      <c r="J251" s="10" t="str">
        <f t="shared" si="3"/>
        <v/>
      </c>
      <c r="K251" s="10" t="str">
        <f>IF(B251="","",IF(COUNTIF(Finding_List!$A:$A,B251)&gt;0,"Yes","No"))</f>
        <v/>
      </c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10" t="str">
        <f>IF(B252="","",IF(COUNTIF(FUSE_CI!$A:$A,B252)&gt;0,"Yes","No"))</f>
        <v/>
      </c>
      <c r="J252" s="10" t="str">
        <f t="shared" si="3"/>
        <v/>
      </c>
      <c r="K252" s="10" t="str">
        <f>IF(B252="","",IF(COUNTIF(Finding_List!$A:$A,B252)&gt;0,"Yes","No"))</f>
        <v/>
      </c>
    </row>
    <row r="253" spans="1:11" x14ac:dyDescent="0.2">
      <c r="A253" s="5"/>
      <c r="B253" s="5"/>
      <c r="C253" s="5"/>
      <c r="D253" s="5"/>
      <c r="E253" s="5"/>
      <c r="F253" s="5"/>
      <c r="G253" s="5"/>
      <c r="H253" s="5"/>
      <c r="I253" s="10" t="str">
        <f>IF(B253="","",IF(COUNTIF(FUSE_CI!$A:$A,B253)&gt;0,"Yes","No"))</f>
        <v/>
      </c>
      <c r="J253" s="10" t="str">
        <f t="shared" si="3"/>
        <v/>
      </c>
      <c r="K253" s="10" t="str">
        <f>IF(B253="","",IF(COUNTIF(Finding_List!$A:$A,B253)&gt;0,"Yes","No"))</f>
        <v/>
      </c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10" t="str">
        <f>IF(B254="","",IF(COUNTIF(FUSE_CI!$A:$A,B254)&gt;0,"Yes","No"))</f>
        <v/>
      </c>
      <c r="J254" s="10" t="str">
        <f t="shared" si="3"/>
        <v/>
      </c>
      <c r="K254" s="10" t="str">
        <f>IF(B254="","",IF(COUNTIF(Finding_List!$A:$A,B254)&gt;0,"Yes","No"))</f>
        <v/>
      </c>
    </row>
    <row r="255" spans="1:11" x14ac:dyDescent="0.2">
      <c r="A255" s="5"/>
      <c r="B255" s="5"/>
      <c r="C255" s="5"/>
      <c r="D255" s="5"/>
      <c r="E255" s="5"/>
      <c r="F255" s="5"/>
      <c r="G255" s="5"/>
      <c r="H255" s="5"/>
      <c r="I255" s="10" t="str">
        <f>IF(B255="","",IF(COUNTIF(FUSE_CI!$A:$A,B255)&gt;0,"Yes","No"))</f>
        <v/>
      </c>
      <c r="J255" s="10" t="str">
        <f t="shared" si="3"/>
        <v/>
      </c>
      <c r="K255" s="10" t="str">
        <f>IF(B255="","",IF(COUNTIF(Finding_List!$A:$A,B255)&gt;0,"Yes","No"))</f>
        <v/>
      </c>
    </row>
    <row r="256" spans="1:11" x14ac:dyDescent="0.2">
      <c r="A256" s="9"/>
      <c r="B256" s="9"/>
      <c r="C256" s="9"/>
      <c r="D256" s="9"/>
      <c r="E256" s="9"/>
      <c r="F256" s="9"/>
      <c r="G256" s="9"/>
      <c r="H256" s="9"/>
      <c r="I256" s="10" t="str">
        <f>IF(B256="","",IF(COUNTIF(FUSE_CI!$A:$A,B256)&gt;0,"Yes","No"))</f>
        <v/>
      </c>
      <c r="J256" s="10" t="str">
        <f t="shared" si="3"/>
        <v/>
      </c>
      <c r="K256" s="10" t="str">
        <f>IF(B256="","",IF(COUNTIF(Finding_List!$A:$A,B256)&gt;0,"Yes","No"))</f>
        <v/>
      </c>
    </row>
    <row r="257" spans="1:11" x14ac:dyDescent="0.2">
      <c r="A257" s="5"/>
      <c r="B257" s="5"/>
      <c r="C257" s="5"/>
      <c r="D257" s="5"/>
      <c r="E257" s="5"/>
      <c r="F257" s="5"/>
      <c r="G257" s="5"/>
      <c r="H257" s="5"/>
      <c r="I257" s="10" t="str">
        <f>IF(B257="","",IF(COUNTIF(FUSE_CI!$A:$A,B257)&gt;0,"Yes","No"))</f>
        <v/>
      </c>
      <c r="J257" s="10" t="str">
        <f t="shared" si="3"/>
        <v/>
      </c>
      <c r="K257" s="10" t="str">
        <f>IF(B257="","",IF(COUNTIF(Finding_List!$A:$A,B257)&gt;0,"Yes","No"))</f>
        <v/>
      </c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10" t="str">
        <f>IF(B258="","",IF(COUNTIF(FUSE_CI!$A:$A,B258)&gt;0,"Yes","No"))</f>
        <v/>
      </c>
      <c r="J258" s="10" t="str">
        <f t="shared" si="3"/>
        <v/>
      </c>
      <c r="K258" s="10" t="str">
        <f>IF(B258="","",IF(COUNTIF(Finding_List!$A:$A,B258)&gt;0,"Yes","No"))</f>
        <v/>
      </c>
    </row>
    <row r="259" spans="1:11" x14ac:dyDescent="0.2">
      <c r="A259" s="5"/>
      <c r="B259" s="5"/>
      <c r="C259" s="5"/>
      <c r="D259" s="5"/>
      <c r="E259" s="5"/>
      <c r="F259" s="5"/>
      <c r="G259" s="5"/>
      <c r="H259" s="5"/>
      <c r="I259" s="10" t="str">
        <f>IF(B259="","",IF(COUNTIF(FUSE_CI!$A:$A,B259)&gt;0,"Yes","No"))</f>
        <v/>
      </c>
      <c r="J259" s="10" t="str">
        <f t="shared" si="3"/>
        <v/>
      </c>
      <c r="K259" s="10" t="str">
        <f>IF(B259="","",IF(COUNTIF(Finding_List!$A:$A,B259)&gt;0,"Yes","No"))</f>
        <v/>
      </c>
    </row>
    <row r="260" spans="1:11" x14ac:dyDescent="0.2">
      <c r="A260" s="9"/>
      <c r="B260" s="9"/>
      <c r="C260" s="9"/>
      <c r="D260" s="9"/>
      <c r="E260" s="9"/>
      <c r="F260" s="9"/>
      <c r="G260" s="9"/>
      <c r="H260" s="9"/>
      <c r="I260" s="10" t="str">
        <f>IF(B260="","",IF(COUNTIF(FUSE_CI!$A:$A,B260)&gt;0,"Yes","No"))</f>
        <v/>
      </c>
      <c r="J260" s="10" t="str">
        <f t="shared" ref="J260:J323" si="4">IF(B260="","",IF(AND(D260&lt;&gt;"High",D260&lt;&gt;"Very High",I260="Yes",K260="No"),"Fast Follower","Not Eligible"))</f>
        <v/>
      </c>
      <c r="K260" s="10" t="str">
        <f>IF(B260="","",IF(COUNTIF(Finding_List!$A:$A,B260)&gt;0,"Yes","No"))</f>
        <v/>
      </c>
    </row>
    <row r="261" spans="1:11" x14ac:dyDescent="0.2">
      <c r="A261" s="5"/>
      <c r="B261" s="5"/>
      <c r="C261" s="5"/>
      <c r="D261" s="5"/>
      <c r="E261" s="5"/>
      <c r="F261" s="5"/>
      <c r="G261" s="5"/>
      <c r="H261" s="5"/>
      <c r="I261" s="10" t="str">
        <f>IF(B261="","",IF(COUNTIF(FUSE_CI!$A:$A,B261)&gt;0,"Yes","No"))</f>
        <v/>
      </c>
      <c r="J261" s="10" t="str">
        <f t="shared" si="4"/>
        <v/>
      </c>
      <c r="K261" s="10" t="str">
        <f>IF(B261="","",IF(COUNTIF(Finding_List!$A:$A,B261)&gt;0,"Yes","No"))</f>
        <v/>
      </c>
    </row>
    <row r="262" spans="1:11" x14ac:dyDescent="0.2">
      <c r="A262" s="9"/>
      <c r="B262" s="9"/>
      <c r="C262" s="9"/>
      <c r="D262" s="9"/>
      <c r="E262" s="9"/>
      <c r="F262" s="9"/>
      <c r="G262" s="9"/>
      <c r="H262" s="9"/>
      <c r="I262" s="10" t="str">
        <f>IF(B262="","",IF(COUNTIF(FUSE_CI!$A:$A,B262)&gt;0,"Yes","No"))</f>
        <v/>
      </c>
      <c r="J262" s="10" t="str">
        <f t="shared" si="4"/>
        <v/>
      </c>
      <c r="K262" s="10" t="str">
        <f>IF(B262="","",IF(COUNTIF(Finding_List!$A:$A,B262)&gt;0,"Yes","No"))</f>
        <v/>
      </c>
    </row>
    <row r="263" spans="1:11" x14ac:dyDescent="0.2">
      <c r="A263" s="5"/>
      <c r="B263" s="5"/>
      <c r="C263" s="5"/>
      <c r="D263" s="5"/>
      <c r="E263" s="5"/>
      <c r="F263" s="5"/>
      <c r="G263" s="5"/>
      <c r="H263" s="5"/>
      <c r="I263" s="10" t="str">
        <f>IF(B263="","",IF(COUNTIF(FUSE_CI!$A:$A,B263)&gt;0,"Yes","No"))</f>
        <v/>
      </c>
      <c r="J263" s="10" t="str">
        <f t="shared" si="4"/>
        <v/>
      </c>
      <c r="K263" s="10" t="str">
        <f>IF(B263="","",IF(COUNTIF(Finding_List!$A:$A,B263)&gt;0,"Yes","No"))</f>
        <v/>
      </c>
    </row>
    <row r="264" spans="1:11" x14ac:dyDescent="0.2">
      <c r="A264" s="9"/>
      <c r="B264" s="9"/>
      <c r="C264" s="9"/>
      <c r="D264" s="9"/>
      <c r="E264" s="9"/>
      <c r="F264" s="9"/>
      <c r="G264" s="9"/>
      <c r="H264" s="9"/>
      <c r="I264" s="10" t="str">
        <f>IF(B264="","",IF(COUNTIF(FUSE_CI!$A:$A,B264)&gt;0,"Yes","No"))</f>
        <v/>
      </c>
      <c r="J264" s="10" t="str">
        <f t="shared" si="4"/>
        <v/>
      </c>
      <c r="K264" s="10" t="str">
        <f>IF(B264="","",IF(COUNTIF(Finding_List!$A:$A,B264)&gt;0,"Yes","No"))</f>
        <v/>
      </c>
    </row>
    <row r="265" spans="1:11" x14ac:dyDescent="0.2">
      <c r="A265" s="5"/>
      <c r="B265" s="5"/>
      <c r="C265" s="5"/>
      <c r="D265" s="5"/>
      <c r="E265" s="5"/>
      <c r="F265" s="5"/>
      <c r="G265" s="5"/>
      <c r="H265" s="5"/>
      <c r="I265" s="10" t="str">
        <f>IF(B265="","",IF(COUNTIF(FUSE_CI!$A:$A,B265)&gt;0,"Yes","No"))</f>
        <v/>
      </c>
      <c r="J265" s="10" t="str">
        <f t="shared" si="4"/>
        <v/>
      </c>
      <c r="K265" s="10" t="str">
        <f>IF(B265="","",IF(COUNTIF(Finding_List!$A:$A,B265)&gt;0,"Yes","No"))</f>
        <v/>
      </c>
    </row>
    <row r="266" spans="1:11" x14ac:dyDescent="0.2">
      <c r="A266" s="9"/>
      <c r="B266" s="9"/>
      <c r="C266" s="9"/>
      <c r="D266" s="9"/>
      <c r="E266" s="9"/>
      <c r="F266" s="9"/>
      <c r="G266" s="9"/>
      <c r="H266" s="9"/>
      <c r="I266" s="10" t="str">
        <f>IF(B266="","",IF(COUNTIF(FUSE_CI!$A:$A,B266)&gt;0,"Yes","No"))</f>
        <v/>
      </c>
      <c r="J266" s="10" t="str">
        <f t="shared" si="4"/>
        <v/>
      </c>
      <c r="K266" s="10" t="str">
        <f>IF(B266="","",IF(COUNTIF(Finding_List!$A:$A,B266)&gt;0,"Yes","No"))</f>
        <v/>
      </c>
    </row>
    <row r="267" spans="1:11" x14ac:dyDescent="0.2">
      <c r="A267" s="5"/>
      <c r="B267" s="5"/>
      <c r="C267" s="5"/>
      <c r="D267" s="5"/>
      <c r="E267" s="5"/>
      <c r="F267" s="5"/>
      <c r="G267" s="5"/>
      <c r="H267" s="5"/>
      <c r="I267" s="10" t="str">
        <f>IF(B267="","",IF(COUNTIF(FUSE_CI!$A:$A,B267)&gt;0,"Yes","No"))</f>
        <v/>
      </c>
      <c r="J267" s="10" t="str">
        <f t="shared" si="4"/>
        <v/>
      </c>
      <c r="K267" s="10" t="str">
        <f>IF(B267="","",IF(COUNTIF(Finding_List!$A:$A,B267)&gt;0,"Yes","No"))</f>
        <v/>
      </c>
    </row>
    <row r="268" spans="1:11" x14ac:dyDescent="0.2">
      <c r="A268" s="9"/>
      <c r="B268" s="9"/>
      <c r="C268" s="9"/>
      <c r="D268" s="9"/>
      <c r="E268" s="9"/>
      <c r="F268" s="9"/>
      <c r="G268" s="9"/>
      <c r="H268" s="9"/>
      <c r="I268" s="10" t="str">
        <f>IF(B268="","",IF(COUNTIF(FUSE_CI!$A:$A,B268)&gt;0,"Yes","No"))</f>
        <v/>
      </c>
      <c r="J268" s="10" t="str">
        <f t="shared" si="4"/>
        <v/>
      </c>
      <c r="K268" s="10" t="str">
        <f>IF(B268="","",IF(COUNTIF(Finding_List!$A:$A,B268)&gt;0,"Yes","No"))</f>
        <v/>
      </c>
    </row>
    <row r="269" spans="1:11" x14ac:dyDescent="0.2">
      <c r="A269" s="5"/>
      <c r="B269" s="5"/>
      <c r="C269" s="5"/>
      <c r="D269" s="5"/>
      <c r="E269" s="5"/>
      <c r="F269" s="5"/>
      <c r="G269" s="5"/>
      <c r="H269" s="5"/>
      <c r="I269" s="10" t="str">
        <f>IF(B269="","",IF(COUNTIF(FUSE_CI!$A:$A,B269)&gt;0,"Yes","No"))</f>
        <v/>
      </c>
      <c r="J269" s="10" t="str">
        <f t="shared" si="4"/>
        <v/>
      </c>
      <c r="K269" s="10" t="str">
        <f>IF(B269="","",IF(COUNTIF(Finding_List!$A:$A,B269)&gt;0,"Yes","No"))</f>
        <v/>
      </c>
    </row>
    <row r="270" spans="1:11" x14ac:dyDescent="0.2">
      <c r="A270" s="9"/>
      <c r="B270" s="9"/>
      <c r="C270" s="9"/>
      <c r="D270" s="9"/>
      <c r="E270" s="9"/>
      <c r="F270" s="9"/>
      <c r="G270" s="9"/>
      <c r="H270" s="9"/>
      <c r="I270" s="10" t="str">
        <f>IF(B270="","",IF(COUNTIF(FUSE_CI!$A:$A,B270)&gt;0,"Yes","No"))</f>
        <v/>
      </c>
      <c r="J270" s="10" t="str">
        <f t="shared" si="4"/>
        <v/>
      </c>
      <c r="K270" s="10" t="str">
        <f>IF(B270="","",IF(COUNTIF(Finding_List!$A:$A,B270)&gt;0,"Yes","No"))</f>
        <v/>
      </c>
    </row>
    <row r="271" spans="1:11" x14ac:dyDescent="0.2">
      <c r="A271" s="5"/>
      <c r="B271" s="5"/>
      <c r="C271" s="5"/>
      <c r="D271" s="5"/>
      <c r="E271" s="5"/>
      <c r="F271" s="5"/>
      <c r="G271" s="5"/>
      <c r="H271" s="5"/>
      <c r="I271" s="10" t="str">
        <f>IF(B271="","",IF(COUNTIF(FUSE_CI!$A:$A,B271)&gt;0,"Yes","No"))</f>
        <v/>
      </c>
      <c r="J271" s="10" t="str">
        <f t="shared" si="4"/>
        <v/>
      </c>
      <c r="K271" s="10" t="str">
        <f>IF(B271="","",IF(COUNTIF(Finding_List!$A:$A,B271)&gt;0,"Yes","No"))</f>
        <v/>
      </c>
    </row>
    <row r="272" spans="1:11" x14ac:dyDescent="0.2">
      <c r="A272" s="9"/>
      <c r="B272" s="9"/>
      <c r="C272" s="9"/>
      <c r="D272" s="9"/>
      <c r="E272" s="9"/>
      <c r="F272" s="9"/>
      <c r="G272" s="9"/>
      <c r="H272" s="9"/>
      <c r="I272" s="10" t="str">
        <f>IF(B272="","",IF(COUNTIF(FUSE_CI!$A:$A,B272)&gt;0,"Yes","No"))</f>
        <v/>
      </c>
      <c r="J272" s="10" t="str">
        <f t="shared" si="4"/>
        <v/>
      </c>
      <c r="K272" s="10" t="str">
        <f>IF(B272="","",IF(COUNTIF(Finding_List!$A:$A,B272)&gt;0,"Yes","No"))</f>
        <v/>
      </c>
    </row>
    <row r="273" spans="1:11" x14ac:dyDescent="0.2">
      <c r="A273" s="5"/>
      <c r="B273" s="5"/>
      <c r="C273" s="5"/>
      <c r="D273" s="5"/>
      <c r="E273" s="5"/>
      <c r="F273" s="5"/>
      <c r="G273" s="5"/>
      <c r="H273" s="5"/>
      <c r="I273" s="10" t="str">
        <f>IF(B273="","",IF(COUNTIF(FUSE_CI!$A:$A,B273)&gt;0,"Yes","No"))</f>
        <v/>
      </c>
      <c r="J273" s="10" t="str">
        <f t="shared" si="4"/>
        <v/>
      </c>
      <c r="K273" s="10" t="str">
        <f>IF(B273="","",IF(COUNTIF(Finding_List!$A:$A,B273)&gt;0,"Yes","No"))</f>
        <v/>
      </c>
    </row>
    <row r="274" spans="1:11" x14ac:dyDescent="0.2">
      <c r="A274" s="9"/>
      <c r="B274" s="9"/>
      <c r="C274" s="9"/>
      <c r="D274" s="9"/>
      <c r="E274" s="9"/>
      <c r="F274" s="9"/>
      <c r="G274" s="9"/>
      <c r="H274" s="9"/>
      <c r="I274" s="10" t="str">
        <f>IF(B274="","",IF(COUNTIF(FUSE_CI!$A:$A,B274)&gt;0,"Yes","No"))</f>
        <v/>
      </c>
      <c r="J274" s="10" t="str">
        <f t="shared" si="4"/>
        <v/>
      </c>
      <c r="K274" s="10" t="str">
        <f>IF(B274="","",IF(COUNTIF(Finding_List!$A:$A,B274)&gt;0,"Yes","No"))</f>
        <v/>
      </c>
    </row>
    <row r="275" spans="1:11" x14ac:dyDescent="0.2">
      <c r="A275" s="5"/>
      <c r="B275" s="5"/>
      <c r="C275" s="5"/>
      <c r="D275" s="5"/>
      <c r="E275" s="5"/>
      <c r="F275" s="5"/>
      <c r="G275" s="5"/>
      <c r="H275" s="5"/>
      <c r="I275" s="10" t="str">
        <f>IF(B275="","",IF(COUNTIF(FUSE_CI!$A:$A,B275)&gt;0,"Yes","No"))</f>
        <v/>
      </c>
      <c r="J275" s="10" t="str">
        <f t="shared" si="4"/>
        <v/>
      </c>
      <c r="K275" s="10" t="str">
        <f>IF(B275="","",IF(COUNTIF(Finding_List!$A:$A,B275)&gt;0,"Yes","No"))</f>
        <v/>
      </c>
    </row>
    <row r="276" spans="1:11" x14ac:dyDescent="0.2">
      <c r="A276" s="9"/>
      <c r="B276" s="9"/>
      <c r="C276" s="9"/>
      <c r="D276" s="9"/>
      <c r="E276" s="9"/>
      <c r="F276" s="9"/>
      <c r="G276" s="9"/>
      <c r="H276" s="9"/>
      <c r="I276" s="10" t="str">
        <f>IF(B276="","",IF(COUNTIF(FUSE_CI!$A:$A,B276)&gt;0,"Yes","No"))</f>
        <v/>
      </c>
      <c r="J276" s="10" t="str">
        <f t="shared" si="4"/>
        <v/>
      </c>
      <c r="K276" s="10" t="str">
        <f>IF(B276="","",IF(COUNTIF(Finding_List!$A:$A,B276)&gt;0,"Yes","No"))</f>
        <v/>
      </c>
    </row>
    <row r="277" spans="1:11" x14ac:dyDescent="0.2">
      <c r="A277" s="5"/>
      <c r="B277" s="5"/>
      <c r="C277" s="5"/>
      <c r="D277" s="5"/>
      <c r="E277" s="5"/>
      <c r="F277" s="5"/>
      <c r="G277" s="5"/>
      <c r="H277" s="5"/>
      <c r="I277" s="10" t="str">
        <f>IF(B277="","",IF(COUNTIF(FUSE_CI!$A:$A,B277)&gt;0,"Yes","No"))</f>
        <v/>
      </c>
      <c r="J277" s="10" t="str">
        <f t="shared" si="4"/>
        <v/>
      </c>
      <c r="K277" s="10" t="str">
        <f>IF(B277="","",IF(COUNTIF(Finding_List!$A:$A,B277)&gt;0,"Yes","No"))</f>
        <v/>
      </c>
    </row>
    <row r="278" spans="1:11" x14ac:dyDescent="0.2">
      <c r="A278" s="9"/>
      <c r="B278" s="9"/>
      <c r="C278" s="9"/>
      <c r="D278" s="9"/>
      <c r="E278" s="9"/>
      <c r="F278" s="9"/>
      <c r="G278" s="9"/>
      <c r="H278" s="9"/>
      <c r="I278" s="10" t="str">
        <f>IF(B278="","",IF(COUNTIF(FUSE_CI!$A:$A,B278)&gt;0,"Yes","No"))</f>
        <v/>
      </c>
      <c r="J278" s="10" t="str">
        <f t="shared" si="4"/>
        <v/>
      </c>
      <c r="K278" s="10" t="str">
        <f>IF(B278="","",IF(COUNTIF(Finding_List!$A:$A,B278)&gt;0,"Yes","No"))</f>
        <v/>
      </c>
    </row>
    <row r="279" spans="1:11" x14ac:dyDescent="0.2">
      <c r="A279" s="5"/>
      <c r="B279" s="5"/>
      <c r="C279" s="5"/>
      <c r="D279" s="5"/>
      <c r="E279" s="5"/>
      <c r="F279" s="5"/>
      <c r="G279" s="5"/>
      <c r="H279" s="5"/>
      <c r="I279" s="10" t="str">
        <f>IF(B279="","",IF(COUNTIF(FUSE_CI!$A:$A,B279)&gt;0,"Yes","No"))</f>
        <v/>
      </c>
      <c r="J279" s="10" t="str">
        <f t="shared" si="4"/>
        <v/>
      </c>
      <c r="K279" s="10" t="str">
        <f>IF(B279="","",IF(COUNTIF(Finding_List!$A:$A,B279)&gt;0,"Yes","No"))</f>
        <v/>
      </c>
    </row>
    <row r="280" spans="1:11" x14ac:dyDescent="0.2">
      <c r="A280" s="9"/>
      <c r="B280" s="9"/>
      <c r="C280" s="9"/>
      <c r="D280" s="9"/>
      <c r="E280" s="9"/>
      <c r="F280" s="9"/>
      <c r="G280" s="9"/>
      <c r="H280" s="9"/>
      <c r="I280" s="10" t="str">
        <f>IF(B280="","",IF(COUNTIF(FUSE_CI!$A:$A,B280)&gt;0,"Yes","No"))</f>
        <v/>
      </c>
      <c r="J280" s="10" t="str">
        <f t="shared" si="4"/>
        <v/>
      </c>
      <c r="K280" s="10" t="str">
        <f>IF(B280="","",IF(COUNTIF(Finding_List!$A:$A,B280)&gt;0,"Yes","No"))</f>
        <v/>
      </c>
    </row>
    <row r="281" spans="1:11" x14ac:dyDescent="0.2">
      <c r="A281" s="5"/>
      <c r="B281" s="5"/>
      <c r="C281" s="5"/>
      <c r="D281" s="5"/>
      <c r="E281" s="5"/>
      <c r="F281" s="5"/>
      <c r="G281" s="5"/>
      <c r="H281" s="5"/>
      <c r="I281" s="10" t="str">
        <f>IF(B281="","",IF(COUNTIF(FUSE_CI!$A:$A,B281)&gt;0,"Yes","No"))</f>
        <v/>
      </c>
      <c r="J281" s="10" t="str">
        <f t="shared" si="4"/>
        <v/>
      </c>
      <c r="K281" s="10" t="str">
        <f>IF(B281="","",IF(COUNTIF(Finding_List!$A:$A,B281)&gt;0,"Yes","No"))</f>
        <v/>
      </c>
    </row>
    <row r="282" spans="1:11" x14ac:dyDescent="0.2">
      <c r="A282" s="9"/>
      <c r="B282" s="9"/>
      <c r="C282" s="9"/>
      <c r="D282" s="9"/>
      <c r="E282" s="9"/>
      <c r="F282" s="9"/>
      <c r="G282" s="9"/>
      <c r="H282" s="9"/>
      <c r="I282" s="10" t="str">
        <f>IF(B282="","",IF(COUNTIF(FUSE_CI!$A:$A,B282)&gt;0,"Yes","No"))</f>
        <v/>
      </c>
      <c r="J282" s="10" t="str">
        <f t="shared" si="4"/>
        <v/>
      </c>
      <c r="K282" s="10" t="str">
        <f>IF(B282="","",IF(COUNTIF(Finding_List!$A:$A,B282)&gt;0,"Yes","No"))</f>
        <v/>
      </c>
    </row>
    <row r="283" spans="1:11" x14ac:dyDescent="0.2">
      <c r="A283" s="5"/>
      <c r="B283" s="5"/>
      <c r="C283" s="5"/>
      <c r="D283" s="5"/>
      <c r="E283" s="5"/>
      <c r="F283" s="5"/>
      <c r="G283" s="5"/>
      <c r="H283" s="5"/>
      <c r="I283" s="10" t="str">
        <f>IF(B283="","",IF(COUNTIF(FUSE_CI!$A:$A,B283)&gt;0,"Yes","No"))</f>
        <v/>
      </c>
      <c r="J283" s="10" t="str">
        <f t="shared" si="4"/>
        <v/>
      </c>
      <c r="K283" s="10" t="str">
        <f>IF(B283="","",IF(COUNTIF(Finding_List!$A:$A,B283)&gt;0,"Yes","No"))</f>
        <v/>
      </c>
    </row>
    <row r="284" spans="1:11" x14ac:dyDescent="0.2">
      <c r="A284" s="9"/>
      <c r="B284" s="9"/>
      <c r="C284" s="9"/>
      <c r="D284" s="9"/>
      <c r="E284" s="9"/>
      <c r="F284" s="9"/>
      <c r="G284" s="9"/>
      <c r="H284" s="9"/>
      <c r="I284" s="10" t="str">
        <f>IF(B284="","",IF(COUNTIF(FUSE_CI!$A:$A,B284)&gt;0,"Yes","No"))</f>
        <v/>
      </c>
      <c r="J284" s="10" t="str">
        <f t="shared" si="4"/>
        <v/>
      </c>
      <c r="K284" s="10" t="str">
        <f>IF(B284="","",IF(COUNTIF(Finding_List!$A:$A,B284)&gt;0,"Yes","No"))</f>
        <v/>
      </c>
    </row>
    <row r="285" spans="1:11" x14ac:dyDescent="0.2">
      <c r="A285" s="5"/>
      <c r="B285" s="5"/>
      <c r="C285" s="5"/>
      <c r="D285" s="5"/>
      <c r="E285" s="5"/>
      <c r="F285" s="5"/>
      <c r="G285" s="5"/>
      <c r="H285" s="5"/>
      <c r="I285" s="10" t="str">
        <f>IF(B285="","",IF(COUNTIF(FUSE_CI!$A:$A,B285)&gt;0,"Yes","No"))</f>
        <v/>
      </c>
      <c r="J285" s="10" t="str">
        <f t="shared" si="4"/>
        <v/>
      </c>
      <c r="K285" s="10" t="str">
        <f>IF(B285="","",IF(COUNTIF(Finding_List!$A:$A,B285)&gt;0,"Yes","No"))</f>
        <v/>
      </c>
    </row>
    <row r="286" spans="1:11" x14ac:dyDescent="0.2">
      <c r="A286" s="9"/>
      <c r="B286" s="9"/>
      <c r="C286" s="9"/>
      <c r="D286" s="9"/>
      <c r="E286" s="9"/>
      <c r="F286" s="9"/>
      <c r="G286" s="9"/>
      <c r="H286" s="9"/>
      <c r="I286" s="10" t="str">
        <f>IF(B286="","",IF(COUNTIF(FUSE_CI!$A:$A,B286)&gt;0,"Yes","No"))</f>
        <v/>
      </c>
      <c r="J286" s="10" t="str">
        <f t="shared" si="4"/>
        <v/>
      </c>
      <c r="K286" s="10" t="str">
        <f>IF(B286="","",IF(COUNTIF(Finding_List!$A:$A,B286)&gt;0,"Yes","No"))</f>
        <v/>
      </c>
    </row>
    <row r="287" spans="1:11" x14ac:dyDescent="0.2">
      <c r="A287" s="5"/>
      <c r="B287" s="5"/>
      <c r="C287" s="5"/>
      <c r="D287" s="5"/>
      <c r="E287" s="5"/>
      <c r="F287" s="5"/>
      <c r="G287" s="5"/>
      <c r="H287" s="5"/>
      <c r="I287" s="10" t="str">
        <f>IF(B287="","",IF(COUNTIF(FUSE_CI!$A:$A,B287)&gt;0,"Yes","No"))</f>
        <v/>
      </c>
      <c r="J287" s="10" t="str">
        <f t="shared" si="4"/>
        <v/>
      </c>
      <c r="K287" s="10" t="str">
        <f>IF(B287="","",IF(COUNTIF(Finding_List!$A:$A,B287)&gt;0,"Yes","No"))</f>
        <v/>
      </c>
    </row>
    <row r="288" spans="1:11" x14ac:dyDescent="0.2">
      <c r="A288" s="9"/>
      <c r="B288" s="9"/>
      <c r="C288" s="9"/>
      <c r="D288" s="9"/>
      <c r="E288" s="9"/>
      <c r="F288" s="9"/>
      <c r="G288" s="9"/>
      <c r="H288" s="9"/>
      <c r="I288" s="10" t="str">
        <f>IF(B288="","",IF(COUNTIF(FUSE_CI!$A:$A,B288)&gt;0,"Yes","No"))</f>
        <v/>
      </c>
      <c r="J288" s="10" t="str">
        <f t="shared" si="4"/>
        <v/>
      </c>
      <c r="K288" s="10" t="str">
        <f>IF(B288="","",IF(COUNTIF(Finding_List!$A:$A,B288)&gt;0,"Yes","No"))</f>
        <v/>
      </c>
    </row>
    <row r="289" spans="1:11" x14ac:dyDescent="0.2">
      <c r="A289" s="5"/>
      <c r="B289" s="5"/>
      <c r="C289" s="5"/>
      <c r="D289" s="5"/>
      <c r="E289" s="5"/>
      <c r="F289" s="5"/>
      <c r="G289" s="5"/>
      <c r="H289" s="5"/>
      <c r="I289" s="10" t="str">
        <f>IF(B289="","",IF(COUNTIF(FUSE_CI!$A:$A,B289)&gt;0,"Yes","No"))</f>
        <v/>
      </c>
      <c r="J289" s="10" t="str">
        <f t="shared" si="4"/>
        <v/>
      </c>
      <c r="K289" s="10" t="str">
        <f>IF(B289="","",IF(COUNTIF(Finding_List!$A:$A,B289)&gt;0,"Yes","No"))</f>
        <v/>
      </c>
    </row>
    <row r="290" spans="1:11" x14ac:dyDescent="0.2">
      <c r="A290" s="9"/>
      <c r="B290" s="9"/>
      <c r="C290" s="9"/>
      <c r="D290" s="9"/>
      <c r="E290" s="9"/>
      <c r="F290" s="9"/>
      <c r="G290" s="9"/>
      <c r="H290" s="9"/>
      <c r="I290" s="10" t="str">
        <f>IF(B290="","",IF(COUNTIF(FUSE_CI!$A:$A,B290)&gt;0,"Yes","No"))</f>
        <v/>
      </c>
      <c r="J290" s="10" t="str">
        <f t="shared" si="4"/>
        <v/>
      </c>
      <c r="K290" s="10" t="str">
        <f>IF(B290="","",IF(COUNTIF(Finding_List!$A:$A,B290)&gt;0,"Yes","No"))</f>
        <v/>
      </c>
    </row>
    <row r="291" spans="1:11" x14ac:dyDescent="0.2">
      <c r="A291" s="5"/>
      <c r="B291" s="5"/>
      <c r="C291" s="5"/>
      <c r="D291" s="5"/>
      <c r="E291" s="5"/>
      <c r="F291" s="5"/>
      <c r="G291" s="5"/>
      <c r="H291" s="5"/>
      <c r="I291" s="10" t="str">
        <f>IF(B291="","",IF(COUNTIF(FUSE_CI!$A:$A,B291)&gt;0,"Yes","No"))</f>
        <v/>
      </c>
      <c r="J291" s="10" t="str">
        <f t="shared" si="4"/>
        <v/>
      </c>
      <c r="K291" s="10" t="str">
        <f>IF(B291="","",IF(COUNTIF(Finding_List!$A:$A,B291)&gt;0,"Yes","No"))</f>
        <v/>
      </c>
    </row>
    <row r="292" spans="1:11" x14ac:dyDescent="0.2">
      <c r="A292" s="9"/>
      <c r="B292" s="9"/>
      <c r="C292" s="9"/>
      <c r="D292" s="9"/>
      <c r="E292" s="9"/>
      <c r="F292" s="9"/>
      <c r="G292" s="9"/>
      <c r="H292" s="9"/>
      <c r="I292" s="10" t="str">
        <f>IF(B292="","",IF(COUNTIF(FUSE_CI!$A:$A,B292)&gt;0,"Yes","No"))</f>
        <v/>
      </c>
      <c r="J292" s="10" t="str">
        <f t="shared" si="4"/>
        <v/>
      </c>
      <c r="K292" s="10" t="str">
        <f>IF(B292="","",IF(COUNTIF(Finding_List!$A:$A,B292)&gt;0,"Yes","No"))</f>
        <v/>
      </c>
    </row>
    <row r="293" spans="1:11" x14ac:dyDescent="0.2">
      <c r="A293" s="5"/>
      <c r="B293" s="5"/>
      <c r="C293" s="5"/>
      <c r="D293" s="5"/>
      <c r="E293" s="5"/>
      <c r="F293" s="5"/>
      <c r="G293" s="5"/>
      <c r="H293" s="5"/>
      <c r="I293" s="10" t="str">
        <f>IF(B293="","",IF(COUNTIF(FUSE_CI!$A:$A,B293)&gt;0,"Yes","No"))</f>
        <v/>
      </c>
      <c r="J293" s="10" t="str">
        <f t="shared" si="4"/>
        <v/>
      </c>
      <c r="K293" s="10" t="str">
        <f>IF(B293="","",IF(COUNTIF(Finding_List!$A:$A,B293)&gt;0,"Yes","No"))</f>
        <v/>
      </c>
    </row>
    <row r="294" spans="1:11" x14ac:dyDescent="0.2">
      <c r="A294" s="9"/>
      <c r="B294" s="9"/>
      <c r="C294" s="9"/>
      <c r="D294" s="9"/>
      <c r="E294" s="9"/>
      <c r="F294" s="9"/>
      <c r="G294" s="9"/>
      <c r="H294" s="9"/>
      <c r="I294" s="10" t="str">
        <f>IF(B294="","",IF(COUNTIF(FUSE_CI!$A:$A,B294)&gt;0,"Yes","No"))</f>
        <v/>
      </c>
      <c r="J294" s="10" t="str">
        <f t="shared" si="4"/>
        <v/>
      </c>
      <c r="K294" s="10" t="str">
        <f>IF(B294="","",IF(COUNTIF(Finding_List!$A:$A,B294)&gt;0,"Yes","No"))</f>
        <v/>
      </c>
    </row>
    <row r="295" spans="1:11" x14ac:dyDescent="0.2">
      <c r="A295" s="5"/>
      <c r="B295" s="5"/>
      <c r="C295" s="5"/>
      <c r="D295" s="5"/>
      <c r="E295" s="5"/>
      <c r="F295" s="5"/>
      <c r="G295" s="5"/>
      <c r="H295" s="5"/>
      <c r="I295" s="10" t="str">
        <f>IF(B295="","",IF(COUNTIF(FUSE_CI!$A:$A,B295)&gt;0,"Yes","No"))</f>
        <v/>
      </c>
      <c r="J295" s="10" t="str">
        <f t="shared" si="4"/>
        <v/>
      </c>
      <c r="K295" s="10" t="str">
        <f>IF(B295="","",IF(COUNTIF(Finding_List!$A:$A,B295)&gt;0,"Yes","No"))</f>
        <v/>
      </c>
    </row>
    <row r="296" spans="1:11" x14ac:dyDescent="0.2">
      <c r="A296" s="9"/>
      <c r="B296" s="9"/>
      <c r="C296" s="9"/>
      <c r="D296" s="9"/>
      <c r="E296" s="9"/>
      <c r="F296" s="9"/>
      <c r="G296" s="9"/>
      <c r="H296" s="9"/>
      <c r="I296" s="10" t="str">
        <f>IF(B296="","",IF(COUNTIF(FUSE_CI!$A:$A,B296)&gt;0,"Yes","No"))</f>
        <v/>
      </c>
      <c r="J296" s="10" t="str">
        <f t="shared" si="4"/>
        <v/>
      </c>
      <c r="K296" s="10" t="str">
        <f>IF(B296="","",IF(COUNTIF(Finding_List!$A:$A,B296)&gt;0,"Yes","No"))</f>
        <v/>
      </c>
    </row>
    <row r="297" spans="1:11" x14ac:dyDescent="0.2">
      <c r="A297" s="5"/>
      <c r="B297" s="5"/>
      <c r="C297" s="5"/>
      <c r="D297" s="5"/>
      <c r="E297" s="5"/>
      <c r="F297" s="5"/>
      <c r="G297" s="5"/>
      <c r="H297" s="5"/>
      <c r="I297" s="10" t="str">
        <f>IF(B297="","",IF(COUNTIF(FUSE_CI!$A:$A,B297)&gt;0,"Yes","No"))</f>
        <v/>
      </c>
      <c r="J297" s="10" t="str">
        <f t="shared" si="4"/>
        <v/>
      </c>
      <c r="K297" s="10" t="str">
        <f>IF(B297="","",IF(COUNTIF(Finding_List!$A:$A,B297)&gt;0,"Yes","No"))</f>
        <v/>
      </c>
    </row>
    <row r="298" spans="1:11" x14ac:dyDescent="0.2">
      <c r="A298" s="9"/>
      <c r="B298" s="9"/>
      <c r="C298" s="9"/>
      <c r="D298" s="9"/>
      <c r="E298" s="9"/>
      <c r="F298" s="9"/>
      <c r="G298" s="9"/>
      <c r="H298" s="9"/>
      <c r="I298" s="10" t="str">
        <f>IF(B298="","",IF(COUNTIF(FUSE_CI!$A:$A,B298)&gt;0,"Yes","No"))</f>
        <v/>
      </c>
      <c r="J298" s="10" t="str">
        <f t="shared" si="4"/>
        <v/>
      </c>
      <c r="K298" s="10" t="str">
        <f>IF(B298="","",IF(COUNTIF(Finding_List!$A:$A,B298)&gt;0,"Yes","No"))</f>
        <v/>
      </c>
    </row>
    <row r="299" spans="1:11" x14ac:dyDescent="0.2">
      <c r="A299" s="5"/>
      <c r="B299" s="5"/>
      <c r="C299" s="5"/>
      <c r="D299" s="5"/>
      <c r="E299" s="5"/>
      <c r="F299" s="5"/>
      <c r="G299" s="5"/>
      <c r="H299" s="5"/>
      <c r="I299" s="10" t="str">
        <f>IF(B299="","",IF(COUNTIF(FUSE_CI!$A:$A,B299)&gt;0,"Yes","No"))</f>
        <v/>
      </c>
      <c r="J299" s="10" t="str">
        <f t="shared" si="4"/>
        <v/>
      </c>
      <c r="K299" s="10" t="str">
        <f>IF(B299="","",IF(COUNTIF(Finding_List!$A:$A,B299)&gt;0,"Yes","No"))</f>
        <v/>
      </c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10" t="str">
        <f>IF(B300="","",IF(COUNTIF(FUSE_CI!$A:$A,B300)&gt;0,"Yes","No"))</f>
        <v/>
      </c>
      <c r="J300" s="10" t="str">
        <f t="shared" si="4"/>
        <v/>
      </c>
      <c r="K300" s="10" t="str">
        <f>IF(B300="","",IF(COUNTIF(Finding_List!$A:$A,B300)&gt;0,"Yes","No"))</f>
        <v/>
      </c>
    </row>
    <row r="301" spans="1:11" x14ac:dyDescent="0.2">
      <c r="A301" s="5"/>
      <c r="B301" s="5"/>
      <c r="C301" s="5"/>
      <c r="D301" s="5"/>
      <c r="E301" s="5"/>
      <c r="F301" s="5"/>
      <c r="G301" s="5"/>
      <c r="H301" s="5"/>
      <c r="I301" s="10" t="str">
        <f>IF(B301="","",IF(COUNTIF(FUSE_CI!$A:$A,B301)&gt;0,"Yes","No"))</f>
        <v/>
      </c>
      <c r="J301" s="10" t="str">
        <f t="shared" si="4"/>
        <v/>
      </c>
      <c r="K301" s="10" t="str">
        <f>IF(B301="","",IF(COUNTIF(Finding_List!$A:$A,B301)&gt;0,"Yes","No"))</f>
        <v/>
      </c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10" t="str">
        <f>IF(B302="","",IF(COUNTIF(FUSE_CI!$A:$A,B302)&gt;0,"Yes","No"))</f>
        <v/>
      </c>
      <c r="J302" s="10" t="str">
        <f t="shared" si="4"/>
        <v/>
      </c>
      <c r="K302" s="10" t="str">
        <f>IF(B302="","",IF(COUNTIF(Finding_List!$A:$A,B302)&gt;0,"Yes","No"))</f>
        <v/>
      </c>
    </row>
    <row r="303" spans="1:11" x14ac:dyDescent="0.2">
      <c r="A303" s="5"/>
      <c r="B303" s="5"/>
      <c r="C303" s="5"/>
      <c r="D303" s="5"/>
      <c r="E303" s="5"/>
      <c r="F303" s="5"/>
      <c r="G303" s="5"/>
      <c r="H303" s="5"/>
      <c r="I303" s="10" t="str">
        <f>IF(B303="","",IF(COUNTIF(FUSE_CI!$A:$A,B303)&gt;0,"Yes","No"))</f>
        <v/>
      </c>
      <c r="J303" s="10" t="str">
        <f t="shared" si="4"/>
        <v/>
      </c>
      <c r="K303" s="10" t="str">
        <f>IF(B303="","",IF(COUNTIF(Finding_List!$A:$A,B303)&gt;0,"Yes","No"))</f>
        <v/>
      </c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10" t="str">
        <f>IF(B304="","",IF(COUNTIF(FUSE_CI!$A:$A,B304)&gt;0,"Yes","No"))</f>
        <v/>
      </c>
      <c r="J304" s="10" t="str">
        <f t="shared" si="4"/>
        <v/>
      </c>
      <c r="K304" s="10" t="str">
        <f>IF(B304="","",IF(COUNTIF(Finding_List!$A:$A,B304)&gt;0,"Yes","No"))</f>
        <v/>
      </c>
    </row>
    <row r="305" spans="1:11" x14ac:dyDescent="0.2">
      <c r="A305" s="5"/>
      <c r="B305" s="5"/>
      <c r="C305" s="5"/>
      <c r="D305" s="5"/>
      <c r="E305" s="5"/>
      <c r="F305" s="5"/>
      <c r="G305" s="5"/>
      <c r="H305" s="5"/>
      <c r="I305" s="10" t="str">
        <f>IF(B305="","",IF(COUNTIF(FUSE_CI!$A:$A,B305)&gt;0,"Yes","No"))</f>
        <v/>
      </c>
      <c r="J305" s="10" t="str">
        <f t="shared" si="4"/>
        <v/>
      </c>
      <c r="K305" s="10" t="str">
        <f>IF(B305="","",IF(COUNTIF(Finding_List!$A:$A,B305)&gt;0,"Yes","No"))</f>
        <v/>
      </c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10" t="str">
        <f>IF(B306="","",IF(COUNTIF(FUSE_CI!$A:$A,B306)&gt;0,"Yes","No"))</f>
        <v/>
      </c>
      <c r="J306" s="10" t="str">
        <f t="shared" si="4"/>
        <v/>
      </c>
      <c r="K306" s="10" t="str">
        <f>IF(B306="","",IF(COUNTIF(Finding_List!$A:$A,B306)&gt;0,"Yes","No"))</f>
        <v/>
      </c>
    </row>
    <row r="307" spans="1:11" x14ac:dyDescent="0.2">
      <c r="A307" s="5"/>
      <c r="B307" s="5"/>
      <c r="C307" s="5"/>
      <c r="D307" s="5"/>
      <c r="E307" s="5"/>
      <c r="F307" s="5"/>
      <c r="G307" s="5"/>
      <c r="H307" s="5"/>
      <c r="I307" s="10" t="str">
        <f>IF(B307="","",IF(COUNTIF(FUSE_CI!$A:$A,B307)&gt;0,"Yes","No"))</f>
        <v/>
      </c>
      <c r="J307" s="10" t="str">
        <f t="shared" si="4"/>
        <v/>
      </c>
      <c r="K307" s="10" t="str">
        <f>IF(B307="","",IF(COUNTIF(Finding_List!$A:$A,B307)&gt;0,"Yes","No"))</f>
        <v/>
      </c>
    </row>
    <row r="308" spans="1:11" x14ac:dyDescent="0.2">
      <c r="A308" s="9"/>
      <c r="B308" s="9"/>
      <c r="C308" s="9"/>
      <c r="D308" s="9"/>
      <c r="E308" s="9"/>
      <c r="F308" s="9"/>
      <c r="G308" s="9"/>
      <c r="H308" s="9"/>
      <c r="I308" s="10" t="str">
        <f>IF(B308="","",IF(COUNTIF(FUSE_CI!$A:$A,B308)&gt;0,"Yes","No"))</f>
        <v/>
      </c>
      <c r="J308" s="10" t="str">
        <f t="shared" si="4"/>
        <v/>
      </c>
      <c r="K308" s="10" t="str">
        <f>IF(B308="","",IF(COUNTIF(Finding_List!$A:$A,B308)&gt;0,"Yes","No"))</f>
        <v/>
      </c>
    </row>
    <row r="309" spans="1:11" x14ac:dyDescent="0.2">
      <c r="A309" s="5"/>
      <c r="B309" s="5"/>
      <c r="C309" s="5"/>
      <c r="D309" s="5"/>
      <c r="E309" s="5"/>
      <c r="F309" s="5"/>
      <c r="G309" s="5"/>
      <c r="H309" s="5"/>
      <c r="I309" s="10" t="str">
        <f>IF(B309="","",IF(COUNTIF(FUSE_CI!$A:$A,B309)&gt;0,"Yes","No"))</f>
        <v/>
      </c>
      <c r="J309" s="10" t="str">
        <f t="shared" si="4"/>
        <v/>
      </c>
      <c r="K309" s="10" t="str">
        <f>IF(B309="","",IF(COUNTIF(Finding_List!$A:$A,B309)&gt;0,"Yes","No"))</f>
        <v/>
      </c>
    </row>
    <row r="310" spans="1:11" x14ac:dyDescent="0.2">
      <c r="A310" s="9"/>
      <c r="B310" s="9"/>
      <c r="C310" s="9"/>
      <c r="D310" s="9"/>
      <c r="E310" s="9"/>
      <c r="F310" s="9"/>
      <c r="G310" s="9"/>
      <c r="H310" s="9"/>
      <c r="I310" s="10" t="str">
        <f>IF(B310="","",IF(COUNTIF(FUSE_CI!$A:$A,B310)&gt;0,"Yes","No"))</f>
        <v/>
      </c>
      <c r="J310" s="10" t="str">
        <f t="shared" si="4"/>
        <v/>
      </c>
      <c r="K310" s="10" t="str">
        <f>IF(B310="","",IF(COUNTIF(Finding_List!$A:$A,B310)&gt;0,"Yes","No"))</f>
        <v/>
      </c>
    </row>
    <row r="311" spans="1:11" x14ac:dyDescent="0.2">
      <c r="A311" s="5"/>
      <c r="B311" s="5"/>
      <c r="C311" s="5"/>
      <c r="D311" s="5"/>
      <c r="E311" s="5"/>
      <c r="F311" s="5"/>
      <c r="G311" s="5"/>
      <c r="H311" s="5"/>
      <c r="I311" s="10" t="str">
        <f>IF(B311="","",IF(COUNTIF(FUSE_CI!$A:$A,B311)&gt;0,"Yes","No"))</f>
        <v/>
      </c>
      <c r="J311" s="10" t="str">
        <f t="shared" si="4"/>
        <v/>
      </c>
      <c r="K311" s="10" t="str">
        <f>IF(B311="","",IF(COUNTIF(Finding_List!$A:$A,B311)&gt;0,"Yes","No"))</f>
        <v/>
      </c>
    </row>
    <row r="312" spans="1:11" x14ac:dyDescent="0.2">
      <c r="A312" s="9"/>
      <c r="B312" s="9"/>
      <c r="C312" s="9"/>
      <c r="D312" s="9"/>
      <c r="E312" s="9"/>
      <c r="F312" s="9"/>
      <c r="G312" s="9"/>
      <c r="H312" s="9"/>
      <c r="I312" s="10" t="str">
        <f>IF(B312="","",IF(COUNTIF(FUSE_CI!$A:$A,B312)&gt;0,"Yes","No"))</f>
        <v/>
      </c>
      <c r="J312" s="10" t="str">
        <f t="shared" si="4"/>
        <v/>
      </c>
      <c r="K312" s="10" t="str">
        <f>IF(B312="","",IF(COUNTIF(Finding_List!$A:$A,B312)&gt;0,"Yes","No"))</f>
        <v/>
      </c>
    </row>
    <row r="313" spans="1:11" x14ac:dyDescent="0.2">
      <c r="A313" s="5"/>
      <c r="B313" s="5"/>
      <c r="C313" s="5"/>
      <c r="D313" s="5"/>
      <c r="E313" s="5"/>
      <c r="F313" s="5"/>
      <c r="G313" s="5"/>
      <c r="H313" s="5"/>
      <c r="I313" s="10" t="str">
        <f>IF(B313="","",IF(COUNTIF(FUSE_CI!$A:$A,B313)&gt;0,"Yes","No"))</f>
        <v/>
      </c>
      <c r="J313" s="10" t="str">
        <f t="shared" si="4"/>
        <v/>
      </c>
      <c r="K313" s="10" t="str">
        <f>IF(B313="","",IF(COUNTIF(Finding_List!$A:$A,B313)&gt;0,"Yes","No"))</f>
        <v/>
      </c>
    </row>
    <row r="314" spans="1:11" x14ac:dyDescent="0.2">
      <c r="A314" s="9"/>
      <c r="B314" s="9"/>
      <c r="C314" s="9"/>
      <c r="D314" s="9"/>
      <c r="E314" s="9"/>
      <c r="F314" s="9"/>
      <c r="G314" s="9"/>
      <c r="H314" s="9"/>
      <c r="I314" s="10" t="str">
        <f>IF(B314="","",IF(COUNTIF(FUSE_CI!$A:$A,B314)&gt;0,"Yes","No"))</f>
        <v/>
      </c>
      <c r="J314" s="10" t="str">
        <f t="shared" si="4"/>
        <v/>
      </c>
      <c r="K314" s="10" t="str">
        <f>IF(B314="","",IF(COUNTIF(Finding_List!$A:$A,B314)&gt;0,"Yes","No"))</f>
        <v/>
      </c>
    </row>
    <row r="315" spans="1:11" x14ac:dyDescent="0.2">
      <c r="A315" s="5"/>
      <c r="B315" s="5"/>
      <c r="C315" s="5"/>
      <c r="D315" s="5"/>
      <c r="E315" s="5"/>
      <c r="F315" s="5"/>
      <c r="G315" s="5"/>
      <c r="H315" s="5"/>
      <c r="I315" s="10" t="str">
        <f>IF(B315="","",IF(COUNTIF(FUSE_CI!$A:$A,B315)&gt;0,"Yes","No"))</f>
        <v/>
      </c>
      <c r="J315" s="10" t="str">
        <f t="shared" si="4"/>
        <v/>
      </c>
      <c r="K315" s="10" t="str">
        <f>IF(B315="","",IF(COUNTIF(Finding_List!$A:$A,B315)&gt;0,"Yes","No"))</f>
        <v/>
      </c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10" t="str">
        <f>IF(B316="","",IF(COUNTIF(FUSE_CI!$A:$A,B316)&gt;0,"Yes","No"))</f>
        <v/>
      </c>
      <c r="J316" s="10" t="str">
        <f t="shared" si="4"/>
        <v/>
      </c>
      <c r="K316" s="10" t="str">
        <f>IF(B316="","",IF(COUNTIF(Finding_List!$A:$A,B316)&gt;0,"Yes","No"))</f>
        <v/>
      </c>
    </row>
    <row r="317" spans="1:11" x14ac:dyDescent="0.2">
      <c r="A317" s="5"/>
      <c r="B317" s="5"/>
      <c r="C317" s="5"/>
      <c r="D317" s="5"/>
      <c r="E317" s="5"/>
      <c r="F317" s="5"/>
      <c r="G317" s="5"/>
      <c r="H317" s="5"/>
      <c r="I317" s="10" t="str">
        <f>IF(B317="","",IF(COUNTIF(FUSE_CI!$A:$A,B317)&gt;0,"Yes","No"))</f>
        <v/>
      </c>
      <c r="J317" s="10" t="str">
        <f t="shared" si="4"/>
        <v/>
      </c>
      <c r="K317" s="10" t="str">
        <f>IF(B317="","",IF(COUNTIF(Finding_List!$A:$A,B317)&gt;0,"Yes","No"))</f>
        <v/>
      </c>
    </row>
    <row r="318" spans="1:11" x14ac:dyDescent="0.2">
      <c r="A318" s="9"/>
      <c r="B318" s="9"/>
      <c r="C318" s="9"/>
      <c r="D318" s="9"/>
      <c r="E318" s="9"/>
      <c r="F318" s="9"/>
      <c r="G318" s="9"/>
      <c r="H318" s="9"/>
      <c r="I318" s="10" t="str">
        <f>IF(B318="","",IF(COUNTIF(FUSE_CI!$A:$A,B318)&gt;0,"Yes","No"))</f>
        <v/>
      </c>
      <c r="J318" s="10" t="str">
        <f t="shared" si="4"/>
        <v/>
      </c>
      <c r="K318" s="10" t="str">
        <f>IF(B318="","",IF(COUNTIF(Finding_List!$A:$A,B318)&gt;0,"Yes","No"))</f>
        <v/>
      </c>
    </row>
    <row r="319" spans="1:11" x14ac:dyDescent="0.2">
      <c r="A319" s="5"/>
      <c r="B319" s="5"/>
      <c r="C319" s="5"/>
      <c r="D319" s="5"/>
      <c r="E319" s="5"/>
      <c r="F319" s="5"/>
      <c r="G319" s="5"/>
      <c r="H319" s="5"/>
      <c r="I319" s="10" t="str">
        <f>IF(B319="","",IF(COUNTIF(FUSE_CI!$A:$A,B319)&gt;0,"Yes","No"))</f>
        <v/>
      </c>
      <c r="J319" s="10" t="str">
        <f t="shared" si="4"/>
        <v/>
      </c>
      <c r="K319" s="10" t="str">
        <f>IF(B319="","",IF(COUNTIF(Finding_List!$A:$A,B319)&gt;0,"Yes","No"))</f>
        <v/>
      </c>
    </row>
    <row r="320" spans="1:11" x14ac:dyDescent="0.2">
      <c r="A320" s="9"/>
      <c r="B320" s="9"/>
      <c r="C320" s="9"/>
      <c r="D320" s="9"/>
      <c r="E320" s="9"/>
      <c r="F320" s="9"/>
      <c r="G320" s="9"/>
      <c r="H320" s="9"/>
      <c r="I320" s="10" t="str">
        <f>IF(B320="","",IF(COUNTIF(FUSE_CI!$A:$A,B320)&gt;0,"Yes","No"))</f>
        <v/>
      </c>
      <c r="J320" s="10" t="str">
        <f t="shared" si="4"/>
        <v/>
      </c>
      <c r="K320" s="10" t="str">
        <f>IF(B320="","",IF(COUNTIF(Finding_List!$A:$A,B320)&gt;0,"Yes","No"))</f>
        <v/>
      </c>
    </row>
    <row r="321" spans="1:11" x14ac:dyDescent="0.2">
      <c r="A321" s="5"/>
      <c r="B321" s="5"/>
      <c r="C321" s="5"/>
      <c r="D321" s="5"/>
      <c r="E321" s="5"/>
      <c r="F321" s="5"/>
      <c r="G321" s="5"/>
      <c r="H321" s="5"/>
      <c r="I321" s="10" t="str">
        <f>IF(B321="","",IF(COUNTIF(FUSE_CI!$A:$A,B321)&gt;0,"Yes","No"))</f>
        <v/>
      </c>
      <c r="J321" s="10" t="str">
        <f t="shared" si="4"/>
        <v/>
      </c>
      <c r="K321" s="10" t="str">
        <f>IF(B321="","",IF(COUNTIF(Finding_List!$A:$A,B321)&gt;0,"Yes","No"))</f>
        <v/>
      </c>
    </row>
    <row r="322" spans="1:11" x14ac:dyDescent="0.2">
      <c r="A322" s="9"/>
      <c r="B322" s="9"/>
      <c r="C322" s="9"/>
      <c r="D322" s="9"/>
      <c r="E322" s="9"/>
      <c r="F322" s="9"/>
      <c r="G322" s="9"/>
      <c r="H322" s="9"/>
      <c r="I322" s="10" t="str">
        <f>IF(B322="","",IF(COUNTIF(FUSE_CI!$A:$A,B322)&gt;0,"Yes","No"))</f>
        <v/>
      </c>
      <c r="J322" s="10" t="str">
        <f t="shared" si="4"/>
        <v/>
      </c>
      <c r="K322" s="10" t="str">
        <f>IF(B322="","",IF(COUNTIF(Finding_List!$A:$A,B322)&gt;0,"Yes","No"))</f>
        <v/>
      </c>
    </row>
    <row r="323" spans="1:11" x14ac:dyDescent="0.2">
      <c r="A323" s="5"/>
      <c r="B323" s="5"/>
      <c r="C323" s="5"/>
      <c r="D323" s="5"/>
      <c r="E323" s="5"/>
      <c r="F323" s="5"/>
      <c r="G323" s="5"/>
      <c r="H323" s="5"/>
      <c r="I323" s="10" t="str">
        <f>IF(B323="","",IF(COUNTIF(FUSE_CI!$A:$A,B323)&gt;0,"Yes","No"))</f>
        <v/>
      </c>
      <c r="J323" s="10" t="str">
        <f t="shared" si="4"/>
        <v/>
      </c>
      <c r="K323" s="10" t="str">
        <f>IF(B323="","",IF(COUNTIF(Finding_List!$A:$A,B323)&gt;0,"Yes","No"))</f>
        <v/>
      </c>
    </row>
    <row r="324" spans="1:11" x14ac:dyDescent="0.2">
      <c r="A324" s="9"/>
      <c r="B324" s="9"/>
      <c r="C324" s="9"/>
      <c r="D324" s="9"/>
      <c r="E324" s="9"/>
      <c r="F324" s="9"/>
      <c r="G324" s="9"/>
      <c r="H324" s="9"/>
      <c r="I324" s="10" t="str">
        <f>IF(B324="","",IF(COUNTIF(FUSE_CI!$A:$A,B324)&gt;0,"Yes","No"))</f>
        <v/>
      </c>
      <c r="J324" s="10" t="str">
        <f t="shared" ref="J324:J387" si="5">IF(B324="","",IF(AND(D324&lt;&gt;"High",D324&lt;&gt;"Very High",I324="Yes",K324="No"),"Fast Follower","Not Eligible"))</f>
        <v/>
      </c>
      <c r="K324" s="10" t="str">
        <f>IF(B324="","",IF(COUNTIF(Finding_List!$A:$A,B324)&gt;0,"Yes","No"))</f>
        <v/>
      </c>
    </row>
    <row r="325" spans="1:11" x14ac:dyDescent="0.2">
      <c r="A325" s="5"/>
      <c r="B325" s="5"/>
      <c r="C325" s="5"/>
      <c r="D325" s="5"/>
      <c r="E325" s="5"/>
      <c r="F325" s="5"/>
      <c r="G325" s="5"/>
      <c r="H325" s="5"/>
      <c r="I325" s="10" t="str">
        <f>IF(B325="","",IF(COUNTIF(FUSE_CI!$A:$A,B325)&gt;0,"Yes","No"))</f>
        <v/>
      </c>
      <c r="J325" s="10" t="str">
        <f t="shared" si="5"/>
        <v/>
      </c>
      <c r="K325" s="10" t="str">
        <f>IF(B325="","",IF(COUNTIF(Finding_List!$A:$A,B325)&gt;0,"Yes","No"))</f>
        <v/>
      </c>
    </row>
    <row r="326" spans="1:11" x14ac:dyDescent="0.2">
      <c r="A326" s="9"/>
      <c r="B326" s="9"/>
      <c r="C326" s="9"/>
      <c r="D326" s="9"/>
      <c r="E326" s="9"/>
      <c r="F326" s="9"/>
      <c r="G326" s="9"/>
      <c r="H326" s="9"/>
      <c r="I326" s="10" t="str">
        <f>IF(B326="","",IF(COUNTIF(FUSE_CI!$A:$A,B326)&gt;0,"Yes","No"))</f>
        <v/>
      </c>
      <c r="J326" s="10" t="str">
        <f t="shared" si="5"/>
        <v/>
      </c>
      <c r="K326" s="10" t="str">
        <f>IF(B326="","",IF(COUNTIF(Finding_List!$A:$A,B326)&gt;0,"Yes","No"))</f>
        <v/>
      </c>
    </row>
    <row r="327" spans="1:11" x14ac:dyDescent="0.2">
      <c r="A327" s="5"/>
      <c r="B327" s="5"/>
      <c r="C327" s="5"/>
      <c r="D327" s="5"/>
      <c r="E327" s="5"/>
      <c r="F327" s="5"/>
      <c r="G327" s="5"/>
      <c r="H327" s="5"/>
      <c r="I327" s="10" t="str">
        <f>IF(B327="","",IF(COUNTIF(FUSE_CI!$A:$A,B327)&gt;0,"Yes","No"))</f>
        <v/>
      </c>
      <c r="J327" s="10" t="str">
        <f t="shared" si="5"/>
        <v/>
      </c>
      <c r="K327" s="10" t="str">
        <f>IF(B327="","",IF(COUNTIF(Finding_List!$A:$A,B327)&gt;0,"Yes","No"))</f>
        <v/>
      </c>
    </row>
    <row r="328" spans="1:11" x14ac:dyDescent="0.2">
      <c r="A328" s="9"/>
      <c r="B328" s="9"/>
      <c r="C328" s="9"/>
      <c r="D328" s="9"/>
      <c r="E328" s="9"/>
      <c r="F328" s="9"/>
      <c r="G328" s="9"/>
      <c r="H328" s="9"/>
      <c r="I328" s="10" t="str">
        <f>IF(B328="","",IF(COUNTIF(FUSE_CI!$A:$A,B328)&gt;0,"Yes","No"))</f>
        <v/>
      </c>
      <c r="J328" s="10" t="str">
        <f t="shared" si="5"/>
        <v/>
      </c>
      <c r="K328" s="10" t="str">
        <f>IF(B328="","",IF(COUNTIF(Finding_List!$A:$A,B328)&gt;0,"Yes","No"))</f>
        <v/>
      </c>
    </row>
    <row r="329" spans="1:11" x14ac:dyDescent="0.2">
      <c r="A329" s="5"/>
      <c r="B329" s="5"/>
      <c r="C329" s="5"/>
      <c r="D329" s="5"/>
      <c r="E329" s="5"/>
      <c r="F329" s="5"/>
      <c r="G329" s="5"/>
      <c r="H329" s="5"/>
      <c r="I329" s="10" t="str">
        <f>IF(B329="","",IF(COUNTIF(FUSE_CI!$A:$A,B329)&gt;0,"Yes","No"))</f>
        <v/>
      </c>
      <c r="J329" s="10" t="str">
        <f t="shared" si="5"/>
        <v/>
      </c>
      <c r="K329" s="10" t="str">
        <f>IF(B329="","",IF(COUNTIF(Finding_List!$A:$A,B329)&gt;0,"Yes","No"))</f>
        <v/>
      </c>
    </row>
    <row r="330" spans="1:11" x14ac:dyDescent="0.2">
      <c r="A330" s="9"/>
      <c r="B330" s="9"/>
      <c r="C330" s="9"/>
      <c r="D330" s="9"/>
      <c r="E330" s="9"/>
      <c r="F330" s="9"/>
      <c r="G330" s="9"/>
      <c r="H330" s="9"/>
      <c r="I330" s="10" t="str">
        <f>IF(B330="","",IF(COUNTIF(FUSE_CI!$A:$A,B330)&gt;0,"Yes","No"))</f>
        <v/>
      </c>
      <c r="J330" s="10" t="str">
        <f t="shared" si="5"/>
        <v/>
      </c>
      <c r="K330" s="10" t="str">
        <f>IF(B330="","",IF(COUNTIF(Finding_List!$A:$A,B330)&gt;0,"Yes","No"))</f>
        <v/>
      </c>
    </row>
    <row r="331" spans="1:11" x14ac:dyDescent="0.2">
      <c r="A331" s="5"/>
      <c r="B331" s="5"/>
      <c r="C331" s="5"/>
      <c r="D331" s="5"/>
      <c r="E331" s="5"/>
      <c r="F331" s="5"/>
      <c r="G331" s="5"/>
      <c r="H331" s="5"/>
      <c r="I331" s="10" t="str">
        <f>IF(B331="","",IF(COUNTIF(FUSE_CI!$A:$A,B331)&gt;0,"Yes","No"))</f>
        <v/>
      </c>
      <c r="J331" s="10" t="str">
        <f t="shared" si="5"/>
        <v/>
      </c>
      <c r="K331" s="10" t="str">
        <f>IF(B331="","",IF(COUNTIF(Finding_List!$A:$A,B331)&gt;0,"Yes","No"))</f>
        <v/>
      </c>
    </row>
    <row r="332" spans="1:11" x14ac:dyDescent="0.2">
      <c r="A332" s="9"/>
      <c r="B332" s="9"/>
      <c r="C332" s="9"/>
      <c r="D332" s="9"/>
      <c r="E332" s="9"/>
      <c r="F332" s="9"/>
      <c r="G332" s="9"/>
      <c r="H332" s="9"/>
      <c r="I332" s="10" t="str">
        <f>IF(B332="","",IF(COUNTIF(FUSE_CI!$A:$A,B332)&gt;0,"Yes","No"))</f>
        <v/>
      </c>
      <c r="J332" s="10" t="str">
        <f t="shared" si="5"/>
        <v/>
      </c>
      <c r="K332" s="10" t="str">
        <f>IF(B332="","",IF(COUNTIF(Finding_List!$A:$A,B332)&gt;0,"Yes","No"))</f>
        <v/>
      </c>
    </row>
    <row r="333" spans="1:11" x14ac:dyDescent="0.2">
      <c r="A333" s="5"/>
      <c r="B333" s="5"/>
      <c r="C333" s="5"/>
      <c r="D333" s="5"/>
      <c r="E333" s="5"/>
      <c r="F333" s="5"/>
      <c r="G333" s="5"/>
      <c r="H333" s="5"/>
      <c r="I333" s="10" t="str">
        <f>IF(B333="","",IF(COUNTIF(FUSE_CI!$A:$A,B333)&gt;0,"Yes","No"))</f>
        <v/>
      </c>
      <c r="J333" s="10" t="str">
        <f t="shared" si="5"/>
        <v/>
      </c>
      <c r="K333" s="10" t="str">
        <f>IF(B333="","",IF(COUNTIF(Finding_List!$A:$A,B333)&gt;0,"Yes","No"))</f>
        <v/>
      </c>
    </row>
    <row r="334" spans="1:11" x14ac:dyDescent="0.2">
      <c r="A334" s="9"/>
      <c r="B334" s="9"/>
      <c r="C334" s="9"/>
      <c r="D334" s="9"/>
      <c r="E334" s="9"/>
      <c r="F334" s="9"/>
      <c r="G334" s="9"/>
      <c r="H334" s="9"/>
      <c r="I334" s="10" t="str">
        <f>IF(B334="","",IF(COUNTIF(FUSE_CI!$A:$A,B334)&gt;0,"Yes","No"))</f>
        <v/>
      </c>
      <c r="J334" s="10" t="str">
        <f t="shared" si="5"/>
        <v/>
      </c>
      <c r="K334" s="10" t="str">
        <f>IF(B334="","",IF(COUNTIF(Finding_List!$A:$A,B334)&gt;0,"Yes","No"))</f>
        <v/>
      </c>
    </row>
    <row r="335" spans="1:11" x14ac:dyDescent="0.2">
      <c r="A335" s="5"/>
      <c r="B335" s="5"/>
      <c r="C335" s="5"/>
      <c r="D335" s="5"/>
      <c r="E335" s="5"/>
      <c r="F335" s="5"/>
      <c r="G335" s="5"/>
      <c r="H335" s="5"/>
      <c r="I335" s="10" t="str">
        <f>IF(B335="","",IF(COUNTIF(FUSE_CI!$A:$A,B335)&gt;0,"Yes","No"))</f>
        <v/>
      </c>
      <c r="J335" s="10" t="str">
        <f t="shared" si="5"/>
        <v/>
      </c>
      <c r="K335" s="10" t="str">
        <f>IF(B335="","",IF(COUNTIF(Finding_List!$A:$A,B335)&gt;0,"Yes","No"))</f>
        <v/>
      </c>
    </row>
    <row r="336" spans="1:11" x14ac:dyDescent="0.2">
      <c r="A336" s="9"/>
      <c r="B336" s="9"/>
      <c r="C336" s="9"/>
      <c r="D336" s="9"/>
      <c r="E336" s="9"/>
      <c r="F336" s="9"/>
      <c r="G336" s="9"/>
      <c r="H336" s="9"/>
      <c r="I336" s="10" t="str">
        <f>IF(B336="","",IF(COUNTIF(FUSE_CI!$A:$A,B336)&gt;0,"Yes","No"))</f>
        <v/>
      </c>
      <c r="J336" s="10" t="str">
        <f t="shared" si="5"/>
        <v/>
      </c>
      <c r="K336" s="10" t="str">
        <f>IF(B336="","",IF(COUNTIF(Finding_List!$A:$A,B336)&gt;0,"Yes","No"))</f>
        <v/>
      </c>
    </row>
    <row r="337" spans="1:11" x14ac:dyDescent="0.2">
      <c r="A337" s="5"/>
      <c r="B337" s="5"/>
      <c r="C337" s="5"/>
      <c r="D337" s="5"/>
      <c r="E337" s="5"/>
      <c r="F337" s="5"/>
      <c r="G337" s="5"/>
      <c r="H337" s="5"/>
      <c r="I337" s="10" t="str">
        <f>IF(B337="","",IF(COUNTIF(FUSE_CI!$A:$A,B337)&gt;0,"Yes","No"))</f>
        <v/>
      </c>
      <c r="J337" s="10" t="str">
        <f t="shared" si="5"/>
        <v/>
      </c>
      <c r="K337" s="10" t="str">
        <f>IF(B337="","",IF(COUNTIF(Finding_List!$A:$A,B337)&gt;0,"Yes","No"))</f>
        <v/>
      </c>
    </row>
    <row r="338" spans="1:11" x14ac:dyDescent="0.2">
      <c r="A338" s="9"/>
      <c r="B338" s="9"/>
      <c r="C338" s="9"/>
      <c r="D338" s="9"/>
      <c r="E338" s="9"/>
      <c r="F338" s="9"/>
      <c r="G338" s="9"/>
      <c r="H338" s="9"/>
      <c r="I338" s="10" t="str">
        <f>IF(B338="","",IF(COUNTIF(FUSE_CI!$A:$A,B338)&gt;0,"Yes","No"))</f>
        <v/>
      </c>
      <c r="J338" s="10" t="str">
        <f t="shared" si="5"/>
        <v/>
      </c>
      <c r="K338" s="10" t="str">
        <f>IF(B338="","",IF(COUNTIF(Finding_List!$A:$A,B338)&gt;0,"Yes","No"))</f>
        <v/>
      </c>
    </row>
    <row r="339" spans="1:11" x14ac:dyDescent="0.2">
      <c r="A339" s="5"/>
      <c r="B339" s="5"/>
      <c r="C339" s="5"/>
      <c r="D339" s="5"/>
      <c r="E339" s="5"/>
      <c r="F339" s="5"/>
      <c r="G339" s="5"/>
      <c r="H339" s="5"/>
      <c r="I339" s="10" t="str">
        <f>IF(B339="","",IF(COUNTIF(FUSE_CI!$A:$A,B339)&gt;0,"Yes","No"))</f>
        <v/>
      </c>
      <c r="J339" s="10" t="str">
        <f t="shared" si="5"/>
        <v/>
      </c>
      <c r="K339" s="10" t="str">
        <f>IF(B339="","",IF(COUNTIF(Finding_List!$A:$A,B339)&gt;0,"Yes","No"))</f>
        <v/>
      </c>
    </row>
    <row r="340" spans="1:11" x14ac:dyDescent="0.2">
      <c r="A340" s="9"/>
      <c r="B340" s="9"/>
      <c r="C340" s="9"/>
      <c r="D340" s="9"/>
      <c r="E340" s="9"/>
      <c r="F340" s="9"/>
      <c r="G340" s="9"/>
      <c r="H340" s="9"/>
      <c r="I340" s="10" t="str">
        <f>IF(B340="","",IF(COUNTIF(FUSE_CI!$A:$A,B340)&gt;0,"Yes","No"))</f>
        <v/>
      </c>
      <c r="J340" s="10" t="str">
        <f t="shared" si="5"/>
        <v/>
      </c>
      <c r="K340" s="10" t="str">
        <f>IF(B340="","",IF(COUNTIF(Finding_List!$A:$A,B340)&gt;0,"Yes","No"))</f>
        <v/>
      </c>
    </row>
    <row r="341" spans="1:11" x14ac:dyDescent="0.2">
      <c r="A341" s="5"/>
      <c r="B341" s="5"/>
      <c r="C341" s="5"/>
      <c r="D341" s="5"/>
      <c r="E341" s="5"/>
      <c r="F341" s="5"/>
      <c r="G341" s="5"/>
      <c r="H341" s="5"/>
      <c r="I341" s="10" t="str">
        <f>IF(B341="","",IF(COUNTIF(FUSE_CI!$A:$A,B341)&gt;0,"Yes","No"))</f>
        <v/>
      </c>
      <c r="J341" s="10" t="str">
        <f t="shared" si="5"/>
        <v/>
      </c>
      <c r="K341" s="10" t="str">
        <f>IF(B341="","",IF(COUNTIF(Finding_List!$A:$A,B341)&gt;0,"Yes","No"))</f>
        <v/>
      </c>
    </row>
    <row r="342" spans="1:11" x14ac:dyDescent="0.2">
      <c r="A342" s="9"/>
      <c r="B342" s="9"/>
      <c r="C342" s="9"/>
      <c r="D342" s="9"/>
      <c r="E342" s="9"/>
      <c r="F342" s="9"/>
      <c r="G342" s="9"/>
      <c r="H342" s="9"/>
      <c r="I342" s="10" t="str">
        <f>IF(B342="","",IF(COUNTIF(FUSE_CI!$A:$A,B342)&gt;0,"Yes","No"))</f>
        <v/>
      </c>
      <c r="J342" s="10" t="str">
        <f t="shared" si="5"/>
        <v/>
      </c>
      <c r="K342" s="10" t="str">
        <f>IF(B342="","",IF(COUNTIF(Finding_List!$A:$A,B342)&gt;0,"Yes","No"))</f>
        <v/>
      </c>
    </row>
    <row r="343" spans="1:11" x14ac:dyDescent="0.2">
      <c r="A343" s="5"/>
      <c r="B343" s="5"/>
      <c r="C343" s="5"/>
      <c r="D343" s="5"/>
      <c r="E343" s="5"/>
      <c r="F343" s="5"/>
      <c r="G343" s="5"/>
      <c r="H343" s="5"/>
      <c r="I343" s="10" t="str">
        <f>IF(B343="","",IF(COUNTIF(FUSE_CI!$A:$A,B343)&gt;0,"Yes","No"))</f>
        <v/>
      </c>
      <c r="J343" s="10" t="str">
        <f t="shared" si="5"/>
        <v/>
      </c>
      <c r="K343" s="10" t="str">
        <f>IF(B343="","",IF(COUNTIF(Finding_List!$A:$A,B343)&gt;0,"Yes","No"))</f>
        <v/>
      </c>
    </row>
    <row r="344" spans="1:11" x14ac:dyDescent="0.2">
      <c r="A344" s="9"/>
      <c r="B344" s="9"/>
      <c r="C344" s="9"/>
      <c r="D344" s="9"/>
      <c r="E344" s="9"/>
      <c r="F344" s="9"/>
      <c r="G344" s="9"/>
      <c r="H344" s="9"/>
      <c r="I344" s="10" t="str">
        <f>IF(B344="","",IF(COUNTIF(FUSE_CI!$A:$A,B344)&gt;0,"Yes","No"))</f>
        <v/>
      </c>
      <c r="J344" s="10" t="str">
        <f t="shared" si="5"/>
        <v/>
      </c>
      <c r="K344" s="10" t="str">
        <f>IF(B344="","",IF(COUNTIF(Finding_List!$A:$A,B344)&gt;0,"Yes","No"))</f>
        <v/>
      </c>
    </row>
    <row r="345" spans="1:11" x14ac:dyDescent="0.2">
      <c r="A345" s="5"/>
      <c r="B345" s="5"/>
      <c r="C345" s="5"/>
      <c r="D345" s="5"/>
      <c r="E345" s="5"/>
      <c r="F345" s="5"/>
      <c r="G345" s="5"/>
      <c r="H345" s="5"/>
      <c r="I345" s="10" t="str">
        <f>IF(B345="","",IF(COUNTIF(FUSE_CI!$A:$A,B345)&gt;0,"Yes","No"))</f>
        <v/>
      </c>
      <c r="J345" s="10" t="str">
        <f t="shared" si="5"/>
        <v/>
      </c>
      <c r="K345" s="10" t="str">
        <f>IF(B345="","",IF(COUNTIF(Finding_List!$A:$A,B345)&gt;0,"Yes","No"))</f>
        <v/>
      </c>
    </row>
    <row r="346" spans="1:11" x14ac:dyDescent="0.2">
      <c r="A346" s="9"/>
      <c r="B346" s="9"/>
      <c r="C346" s="9"/>
      <c r="D346" s="9"/>
      <c r="E346" s="9"/>
      <c r="F346" s="9"/>
      <c r="G346" s="9"/>
      <c r="H346" s="9"/>
      <c r="I346" s="10" t="str">
        <f>IF(B346="","",IF(COUNTIF(FUSE_CI!$A:$A,B346)&gt;0,"Yes","No"))</f>
        <v/>
      </c>
      <c r="J346" s="10" t="str">
        <f t="shared" si="5"/>
        <v/>
      </c>
      <c r="K346" s="10" t="str">
        <f>IF(B346="","",IF(COUNTIF(Finding_List!$A:$A,B346)&gt;0,"Yes","No"))</f>
        <v/>
      </c>
    </row>
    <row r="347" spans="1:11" x14ac:dyDescent="0.2">
      <c r="A347" s="5"/>
      <c r="B347" s="5"/>
      <c r="C347" s="5"/>
      <c r="D347" s="5"/>
      <c r="E347" s="5"/>
      <c r="F347" s="5"/>
      <c r="G347" s="5"/>
      <c r="H347" s="5"/>
      <c r="I347" s="10" t="str">
        <f>IF(B347="","",IF(COUNTIF(FUSE_CI!$A:$A,B347)&gt;0,"Yes","No"))</f>
        <v/>
      </c>
      <c r="J347" s="10" t="str">
        <f t="shared" si="5"/>
        <v/>
      </c>
      <c r="K347" s="10" t="str">
        <f>IF(B347="","",IF(COUNTIF(Finding_List!$A:$A,B347)&gt;0,"Yes","No"))</f>
        <v/>
      </c>
    </row>
    <row r="348" spans="1:11" x14ac:dyDescent="0.2">
      <c r="A348" s="9"/>
      <c r="B348" s="9"/>
      <c r="C348" s="9"/>
      <c r="D348" s="9"/>
      <c r="E348" s="9"/>
      <c r="F348" s="9"/>
      <c r="G348" s="9"/>
      <c r="H348" s="9"/>
      <c r="I348" s="10" t="str">
        <f>IF(B348="","",IF(COUNTIF(FUSE_CI!$A:$A,B348)&gt;0,"Yes","No"))</f>
        <v/>
      </c>
      <c r="J348" s="10" t="str">
        <f t="shared" si="5"/>
        <v/>
      </c>
      <c r="K348" s="10" t="str">
        <f>IF(B348="","",IF(COUNTIF(Finding_List!$A:$A,B348)&gt;0,"Yes","No"))</f>
        <v/>
      </c>
    </row>
    <row r="349" spans="1:11" x14ac:dyDescent="0.2">
      <c r="A349" s="5"/>
      <c r="B349" s="5"/>
      <c r="C349" s="5"/>
      <c r="D349" s="5"/>
      <c r="E349" s="5"/>
      <c r="F349" s="5"/>
      <c r="G349" s="5"/>
      <c r="H349" s="5"/>
      <c r="I349" s="10" t="str">
        <f>IF(B349="","",IF(COUNTIF(FUSE_CI!$A:$A,B349)&gt;0,"Yes","No"))</f>
        <v/>
      </c>
      <c r="J349" s="10" t="str">
        <f t="shared" si="5"/>
        <v/>
      </c>
      <c r="K349" s="10" t="str">
        <f>IF(B349="","",IF(COUNTIF(Finding_List!$A:$A,B349)&gt;0,"Yes","No"))</f>
        <v/>
      </c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10" t="str">
        <f>IF(B350="","",IF(COUNTIF(FUSE_CI!$A:$A,B350)&gt;0,"Yes","No"))</f>
        <v/>
      </c>
      <c r="J350" s="10" t="str">
        <f t="shared" si="5"/>
        <v/>
      </c>
      <c r="K350" s="10" t="str">
        <f>IF(B350="","",IF(COUNTIF(Finding_List!$A:$A,B350)&gt;0,"Yes","No"))</f>
        <v/>
      </c>
    </row>
    <row r="351" spans="1:11" x14ac:dyDescent="0.2">
      <c r="A351" s="5"/>
      <c r="B351" s="5"/>
      <c r="C351" s="5"/>
      <c r="D351" s="5"/>
      <c r="E351" s="5"/>
      <c r="F351" s="5"/>
      <c r="G351" s="5"/>
      <c r="H351" s="5"/>
      <c r="I351" s="10" t="str">
        <f>IF(B351="","",IF(COUNTIF(FUSE_CI!$A:$A,B351)&gt;0,"Yes","No"))</f>
        <v/>
      </c>
      <c r="J351" s="10" t="str">
        <f t="shared" si="5"/>
        <v/>
      </c>
      <c r="K351" s="10" t="str">
        <f>IF(B351="","",IF(COUNTIF(Finding_List!$A:$A,B351)&gt;0,"Yes","No"))</f>
        <v/>
      </c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10" t="str">
        <f>IF(B352="","",IF(COUNTIF(FUSE_CI!$A:$A,B352)&gt;0,"Yes","No"))</f>
        <v/>
      </c>
      <c r="J352" s="10" t="str">
        <f t="shared" si="5"/>
        <v/>
      </c>
      <c r="K352" s="10" t="str">
        <f>IF(B352="","",IF(COUNTIF(Finding_List!$A:$A,B352)&gt;0,"Yes","No"))</f>
        <v/>
      </c>
    </row>
    <row r="353" spans="1:11" x14ac:dyDescent="0.2">
      <c r="A353" s="5"/>
      <c r="B353" s="5"/>
      <c r="C353" s="5"/>
      <c r="D353" s="5"/>
      <c r="E353" s="5"/>
      <c r="F353" s="5"/>
      <c r="G353" s="5"/>
      <c r="H353" s="5"/>
      <c r="I353" s="10" t="str">
        <f>IF(B353="","",IF(COUNTIF(FUSE_CI!$A:$A,B353)&gt;0,"Yes","No"))</f>
        <v/>
      </c>
      <c r="J353" s="10" t="str">
        <f t="shared" si="5"/>
        <v/>
      </c>
      <c r="K353" s="10" t="str">
        <f>IF(B353="","",IF(COUNTIF(Finding_List!$A:$A,B353)&gt;0,"Yes","No"))</f>
        <v/>
      </c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10" t="str">
        <f>IF(B354="","",IF(COUNTIF(FUSE_CI!$A:$A,B354)&gt;0,"Yes","No"))</f>
        <v/>
      </c>
      <c r="J354" s="10" t="str">
        <f t="shared" si="5"/>
        <v/>
      </c>
      <c r="K354" s="10" t="str">
        <f>IF(B354="","",IF(COUNTIF(Finding_List!$A:$A,B354)&gt;0,"Yes","No"))</f>
        <v/>
      </c>
    </row>
    <row r="355" spans="1:11" x14ac:dyDescent="0.2">
      <c r="A355" s="5"/>
      <c r="B355" s="5"/>
      <c r="C355" s="5"/>
      <c r="D355" s="5"/>
      <c r="E355" s="5"/>
      <c r="F355" s="5"/>
      <c r="G355" s="5"/>
      <c r="H355" s="5"/>
      <c r="I355" s="10" t="str">
        <f>IF(B355="","",IF(COUNTIF(FUSE_CI!$A:$A,B355)&gt;0,"Yes","No"))</f>
        <v/>
      </c>
      <c r="J355" s="10" t="str">
        <f t="shared" si="5"/>
        <v/>
      </c>
      <c r="K355" s="10" t="str">
        <f>IF(B355="","",IF(COUNTIF(Finding_List!$A:$A,B355)&gt;0,"Yes","No"))</f>
        <v/>
      </c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10" t="str">
        <f>IF(B356="","",IF(COUNTIF(FUSE_CI!$A:$A,B356)&gt;0,"Yes","No"))</f>
        <v/>
      </c>
      <c r="J356" s="10" t="str">
        <f t="shared" si="5"/>
        <v/>
      </c>
      <c r="K356" s="10" t="str">
        <f>IF(B356="","",IF(COUNTIF(Finding_List!$A:$A,B356)&gt;0,"Yes","No"))</f>
        <v/>
      </c>
    </row>
    <row r="357" spans="1:11" x14ac:dyDescent="0.2">
      <c r="A357" s="5"/>
      <c r="B357" s="5"/>
      <c r="C357" s="5"/>
      <c r="D357" s="5"/>
      <c r="E357" s="5"/>
      <c r="F357" s="5"/>
      <c r="G357" s="5"/>
      <c r="H357" s="5"/>
      <c r="I357" s="10" t="str">
        <f>IF(B357="","",IF(COUNTIF(FUSE_CI!$A:$A,B357)&gt;0,"Yes","No"))</f>
        <v/>
      </c>
      <c r="J357" s="10" t="str">
        <f t="shared" si="5"/>
        <v/>
      </c>
      <c r="K357" s="10" t="str">
        <f>IF(B357="","",IF(COUNTIF(Finding_List!$A:$A,B357)&gt;0,"Yes","No"))</f>
        <v/>
      </c>
    </row>
    <row r="358" spans="1:11" x14ac:dyDescent="0.2">
      <c r="A358" s="9"/>
      <c r="B358" s="9"/>
      <c r="C358" s="9"/>
      <c r="D358" s="9"/>
      <c r="E358" s="9"/>
      <c r="F358" s="9"/>
      <c r="G358" s="9"/>
      <c r="H358" s="9"/>
      <c r="I358" s="10" t="str">
        <f>IF(B358="","",IF(COUNTIF(FUSE_CI!$A:$A,B358)&gt;0,"Yes","No"))</f>
        <v/>
      </c>
      <c r="J358" s="10" t="str">
        <f t="shared" si="5"/>
        <v/>
      </c>
      <c r="K358" s="10" t="str">
        <f>IF(B358="","",IF(COUNTIF(Finding_List!$A:$A,B358)&gt;0,"Yes","No"))</f>
        <v/>
      </c>
    </row>
    <row r="359" spans="1:11" x14ac:dyDescent="0.2">
      <c r="A359" s="5"/>
      <c r="B359" s="5"/>
      <c r="C359" s="5"/>
      <c r="D359" s="5"/>
      <c r="E359" s="5"/>
      <c r="F359" s="5"/>
      <c r="G359" s="5"/>
      <c r="H359" s="5"/>
      <c r="I359" s="10" t="str">
        <f>IF(B359="","",IF(COUNTIF(FUSE_CI!$A:$A,B359)&gt;0,"Yes","No"))</f>
        <v/>
      </c>
      <c r="J359" s="10" t="str">
        <f t="shared" si="5"/>
        <v/>
      </c>
      <c r="K359" s="10" t="str">
        <f>IF(B359="","",IF(COUNTIF(Finding_List!$A:$A,B359)&gt;0,"Yes","No"))</f>
        <v/>
      </c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10" t="str">
        <f>IF(B360="","",IF(COUNTIF(FUSE_CI!$A:$A,B360)&gt;0,"Yes","No"))</f>
        <v/>
      </c>
      <c r="J360" s="10" t="str">
        <f t="shared" si="5"/>
        <v/>
      </c>
      <c r="K360" s="10" t="str">
        <f>IF(B360="","",IF(COUNTIF(Finding_List!$A:$A,B360)&gt;0,"Yes","No"))</f>
        <v/>
      </c>
    </row>
    <row r="361" spans="1:11" x14ac:dyDescent="0.2">
      <c r="A361" s="5"/>
      <c r="B361" s="5"/>
      <c r="C361" s="5"/>
      <c r="D361" s="5"/>
      <c r="E361" s="5"/>
      <c r="F361" s="5"/>
      <c r="G361" s="5"/>
      <c r="H361" s="5"/>
      <c r="I361" s="10" t="str">
        <f>IF(B361="","",IF(COUNTIF(FUSE_CI!$A:$A,B361)&gt;0,"Yes","No"))</f>
        <v/>
      </c>
      <c r="J361" s="10" t="str">
        <f t="shared" si="5"/>
        <v/>
      </c>
      <c r="K361" s="10" t="str">
        <f>IF(B361="","",IF(COUNTIF(Finding_List!$A:$A,B361)&gt;0,"Yes","No"))</f>
        <v/>
      </c>
    </row>
    <row r="362" spans="1:11" x14ac:dyDescent="0.2">
      <c r="A362" s="9"/>
      <c r="B362" s="9"/>
      <c r="C362" s="9"/>
      <c r="D362" s="9"/>
      <c r="E362" s="9"/>
      <c r="F362" s="9"/>
      <c r="G362" s="9"/>
      <c r="H362" s="9"/>
      <c r="I362" s="10" t="str">
        <f>IF(B362="","",IF(COUNTIF(FUSE_CI!$A:$A,B362)&gt;0,"Yes","No"))</f>
        <v/>
      </c>
      <c r="J362" s="10" t="str">
        <f t="shared" si="5"/>
        <v/>
      </c>
      <c r="K362" s="10" t="str">
        <f>IF(B362="","",IF(COUNTIF(Finding_List!$A:$A,B362)&gt;0,"Yes","No"))</f>
        <v/>
      </c>
    </row>
    <row r="363" spans="1:11" x14ac:dyDescent="0.2">
      <c r="A363" s="5"/>
      <c r="B363" s="5"/>
      <c r="C363" s="5"/>
      <c r="D363" s="5"/>
      <c r="E363" s="5"/>
      <c r="F363" s="5"/>
      <c r="G363" s="5"/>
      <c r="H363" s="5"/>
      <c r="I363" s="10" t="str">
        <f>IF(B363="","",IF(COUNTIF(FUSE_CI!$A:$A,B363)&gt;0,"Yes","No"))</f>
        <v/>
      </c>
      <c r="J363" s="10" t="str">
        <f t="shared" si="5"/>
        <v/>
      </c>
      <c r="K363" s="10" t="str">
        <f>IF(B363="","",IF(COUNTIF(Finding_List!$A:$A,B363)&gt;0,"Yes","No"))</f>
        <v/>
      </c>
    </row>
    <row r="364" spans="1:11" x14ac:dyDescent="0.2">
      <c r="A364" s="9"/>
      <c r="B364" s="9"/>
      <c r="C364" s="9"/>
      <c r="D364" s="9"/>
      <c r="E364" s="9"/>
      <c r="F364" s="9"/>
      <c r="G364" s="9"/>
      <c r="H364" s="9"/>
      <c r="I364" s="10" t="str">
        <f>IF(B364="","",IF(COUNTIF(FUSE_CI!$A:$A,B364)&gt;0,"Yes","No"))</f>
        <v/>
      </c>
      <c r="J364" s="10" t="str">
        <f t="shared" si="5"/>
        <v/>
      </c>
      <c r="K364" s="10" t="str">
        <f>IF(B364="","",IF(COUNTIF(Finding_List!$A:$A,B364)&gt;0,"Yes","No"))</f>
        <v/>
      </c>
    </row>
    <row r="365" spans="1:11" x14ac:dyDescent="0.2">
      <c r="A365" s="5"/>
      <c r="B365" s="5"/>
      <c r="C365" s="5"/>
      <c r="D365" s="5"/>
      <c r="E365" s="5"/>
      <c r="F365" s="5"/>
      <c r="G365" s="5"/>
      <c r="H365" s="5"/>
      <c r="I365" s="10" t="str">
        <f>IF(B365="","",IF(COUNTIF(FUSE_CI!$A:$A,B365)&gt;0,"Yes","No"))</f>
        <v/>
      </c>
      <c r="J365" s="10" t="str">
        <f t="shared" si="5"/>
        <v/>
      </c>
      <c r="K365" s="10" t="str">
        <f>IF(B365="","",IF(COUNTIF(Finding_List!$A:$A,B365)&gt;0,"Yes","No"))</f>
        <v/>
      </c>
    </row>
    <row r="366" spans="1:11" x14ac:dyDescent="0.2">
      <c r="A366" s="9"/>
      <c r="B366" s="9"/>
      <c r="C366" s="9"/>
      <c r="D366" s="9"/>
      <c r="E366" s="9"/>
      <c r="F366" s="9"/>
      <c r="G366" s="9"/>
      <c r="H366" s="9"/>
      <c r="I366" s="10" t="str">
        <f>IF(B366="","",IF(COUNTIF(FUSE_CI!$A:$A,B366)&gt;0,"Yes","No"))</f>
        <v/>
      </c>
      <c r="J366" s="10" t="str">
        <f t="shared" si="5"/>
        <v/>
      </c>
      <c r="K366" s="10" t="str">
        <f>IF(B366="","",IF(COUNTIF(Finding_List!$A:$A,B366)&gt;0,"Yes","No"))</f>
        <v/>
      </c>
    </row>
    <row r="367" spans="1:11" x14ac:dyDescent="0.2">
      <c r="A367" s="5"/>
      <c r="B367" s="5"/>
      <c r="C367" s="5"/>
      <c r="D367" s="5"/>
      <c r="E367" s="5"/>
      <c r="F367" s="5"/>
      <c r="G367" s="5"/>
      <c r="H367" s="5"/>
      <c r="I367" s="10" t="str">
        <f>IF(B367="","",IF(COUNTIF(FUSE_CI!$A:$A,B367)&gt;0,"Yes","No"))</f>
        <v/>
      </c>
      <c r="J367" s="10" t="str">
        <f t="shared" si="5"/>
        <v/>
      </c>
      <c r="K367" s="10" t="str">
        <f>IF(B367="","",IF(COUNTIF(Finding_List!$A:$A,B367)&gt;0,"Yes","No"))</f>
        <v/>
      </c>
    </row>
    <row r="368" spans="1:11" x14ac:dyDescent="0.2">
      <c r="A368" s="9"/>
      <c r="B368" s="9"/>
      <c r="C368" s="9"/>
      <c r="D368" s="9"/>
      <c r="E368" s="9"/>
      <c r="F368" s="9"/>
      <c r="G368" s="9"/>
      <c r="H368" s="9"/>
      <c r="I368" s="10" t="str">
        <f>IF(B368="","",IF(COUNTIF(FUSE_CI!$A:$A,B368)&gt;0,"Yes","No"))</f>
        <v/>
      </c>
      <c r="J368" s="10" t="str">
        <f t="shared" si="5"/>
        <v/>
      </c>
      <c r="K368" s="10" t="str">
        <f>IF(B368="","",IF(COUNTIF(Finding_List!$A:$A,B368)&gt;0,"Yes","No"))</f>
        <v/>
      </c>
    </row>
    <row r="369" spans="1:11" x14ac:dyDescent="0.2">
      <c r="A369" s="5"/>
      <c r="B369" s="5"/>
      <c r="C369" s="5"/>
      <c r="D369" s="5"/>
      <c r="E369" s="5"/>
      <c r="F369" s="5"/>
      <c r="G369" s="5"/>
      <c r="H369" s="5"/>
      <c r="I369" s="10" t="str">
        <f>IF(B369="","",IF(COUNTIF(FUSE_CI!$A:$A,B369)&gt;0,"Yes","No"))</f>
        <v/>
      </c>
      <c r="J369" s="10" t="str">
        <f t="shared" si="5"/>
        <v/>
      </c>
      <c r="K369" s="10" t="str">
        <f>IF(B369="","",IF(COUNTIF(Finding_List!$A:$A,B369)&gt;0,"Yes","No"))</f>
        <v/>
      </c>
    </row>
    <row r="370" spans="1:11" x14ac:dyDescent="0.2">
      <c r="A370" s="9"/>
      <c r="B370" s="9"/>
      <c r="C370" s="9"/>
      <c r="D370" s="9"/>
      <c r="E370" s="9"/>
      <c r="F370" s="9"/>
      <c r="G370" s="9"/>
      <c r="H370" s="9"/>
      <c r="I370" s="10" t="str">
        <f>IF(B370="","",IF(COUNTIF(FUSE_CI!$A:$A,B370)&gt;0,"Yes","No"))</f>
        <v/>
      </c>
      <c r="J370" s="10" t="str">
        <f t="shared" si="5"/>
        <v/>
      </c>
      <c r="K370" s="10" t="str">
        <f>IF(B370="","",IF(COUNTIF(Finding_List!$A:$A,B370)&gt;0,"Yes","No"))</f>
        <v/>
      </c>
    </row>
    <row r="371" spans="1:11" x14ac:dyDescent="0.2">
      <c r="A371" s="5"/>
      <c r="B371" s="5"/>
      <c r="C371" s="5"/>
      <c r="D371" s="5"/>
      <c r="E371" s="5"/>
      <c r="F371" s="5"/>
      <c r="G371" s="5"/>
      <c r="H371" s="5"/>
      <c r="I371" s="10" t="str">
        <f>IF(B371="","",IF(COUNTIF(FUSE_CI!$A:$A,B371)&gt;0,"Yes","No"))</f>
        <v/>
      </c>
      <c r="J371" s="10" t="str">
        <f t="shared" si="5"/>
        <v/>
      </c>
      <c r="K371" s="10" t="str">
        <f>IF(B371="","",IF(COUNTIF(Finding_List!$A:$A,B371)&gt;0,"Yes","No"))</f>
        <v/>
      </c>
    </row>
    <row r="372" spans="1:11" x14ac:dyDescent="0.2">
      <c r="A372" s="9"/>
      <c r="B372" s="9"/>
      <c r="C372" s="9"/>
      <c r="D372" s="9"/>
      <c r="E372" s="9"/>
      <c r="F372" s="9"/>
      <c r="G372" s="9"/>
      <c r="H372" s="9"/>
      <c r="I372" s="10" t="str">
        <f>IF(B372="","",IF(COUNTIF(FUSE_CI!$A:$A,B372)&gt;0,"Yes","No"))</f>
        <v/>
      </c>
      <c r="J372" s="10" t="str">
        <f t="shared" si="5"/>
        <v/>
      </c>
      <c r="K372" s="10" t="str">
        <f>IF(B372="","",IF(COUNTIF(Finding_List!$A:$A,B372)&gt;0,"Yes","No"))</f>
        <v/>
      </c>
    </row>
    <row r="373" spans="1:11" x14ac:dyDescent="0.2">
      <c r="A373" s="5"/>
      <c r="B373" s="5"/>
      <c r="C373" s="5"/>
      <c r="D373" s="5"/>
      <c r="E373" s="5"/>
      <c r="F373" s="5"/>
      <c r="G373" s="5"/>
      <c r="H373" s="5"/>
      <c r="I373" s="10" t="str">
        <f>IF(B373="","",IF(COUNTIF(FUSE_CI!$A:$A,B373)&gt;0,"Yes","No"))</f>
        <v/>
      </c>
      <c r="J373" s="10" t="str">
        <f t="shared" si="5"/>
        <v/>
      </c>
      <c r="K373" s="10" t="str">
        <f>IF(B373="","",IF(COUNTIF(Finding_List!$A:$A,B373)&gt;0,"Yes","No"))</f>
        <v/>
      </c>
    </row>
    <row r="374" spans="1:11" x14ac:dyDescent="0.2">
      <c r="A374" s="9"/>
      <c r="B374" s="9"/>
      <c r="C374" s="9"/>
      <c r="D374" s="9"/>
      <c r="E374" s="9"/>
      <c r="F374" s="9"/>
      <c r="G374" s="9"/>
      <c r="H374" s="9"/>
      <c r="I374" s="10" t="str">
        <f>IF(B374="","",IF(COUNTIF(FUSE_CI!$A:$A,B374)&gt;0,"Yes","No"))</f>
        <v/>
      </c>
      <c r="J374" s="10" t="str">
        <f t="shared" si="5"/>
        <v/>
      </c>
      <c r="K374" s="10" t="str">
        <f>IF(B374="","",IF(COUNTIF(Finding_List!$A:$A,B374)&gt;0,"Yes","No"))</f>
        <v/>
      </c>
    </row>
    <row r="375" spans="1:11" x14ac:dyDescent="0.2">
      <c r="A375" s="5"/>
      <c r="B375" s="5"/>
      <c r="C375" s="5"/>
      <c r="D375" s="5"/>
      <c r="E375" s="5"/>
      <c r="F375" s="5"/>
      <c r="G375" s="5"/>
      <c r="H375" s="5"/>
      <c r="I375" s="10" t="str">
        <f>IF(B375="","",IF(COUNTIF(FUSE_CI!$A:$A,B375)&gt;0,"Yes","No"))</f>
        <v/>
      </c>
      <c r="J375" s="10" t="str">
        <f t="shared" si="5"/>
        <v/>
      </c>
      <c r="K375" s="10" t="str">
        <f>IF(B375="","",IF(COUNTIF(Finding_List!$A:$A,B375)&gt;0,"Yes","No"))</f>
        <v/>
      </c>
    </row>
    <row r="376" spans="1:11" x14ac:dyDescent="0.2">
      <c r="A376" s="9"/>
      <c r="B376" s="9"/>
      <c r="C376" s="9"/>
      <c r="D376" s="9"/>
      <c r="E376" s="9"/>
      <c r="F376" s="9"/>
      <c r="G376" s="9"/>
      <c r="H376" s="9"/>
      <c r="I376" s="10" t="str">
        <f>IF(B376="","",IF(COUNTIF(FUSE_CI!$A:$A,B376)&gt;0,"Yes","No"))</f>
        <v/>
      </c>
      <c r="J376" s="10" t="str">
        <f t="shared" si="5"/>
        <v/>
      </c>
      <c r="K376" s="10" t="str">
        <f>IF(B376="","",IF(COUNTIF(Finding_List!$A:$A,B376)&gt;0,"Yes","No"))</f>
        <v/>
      </c>
    </row>
    <row r="377" spans="1:11" x14ac:dyDescent="0.2">
      <c r="A377" s="5"/>
      <c r="B377" s="5"/>
      <c r="C377" s="5"/>
      <c r="D377" s="5"/>
      <c r="E377" s="5"/>
      <c r="F377" s="5"/>
      <c r="G377" s="5"/>
      <c r="H377" s="5"/>
      <c r="I377" s="10" t="str">
        <f>IF(B377="","",IF(COUNTIF(FUSE_CI!$A:$A,B377)&gt;0,"Yes","No"))</f>
        <v/>
      </c>
      <c r="J377" s="10" t="str">
        <f t="shared" si="5"/>
        <v/>
      </c>
      <c r="K377" s="10" t="str">
        <f>IF(B377="","",IF(COUNTIF(Finding_List!$A:$A,B377)&gt;0,"Yes","No"))</f>
        <v/>
      </c>
    </row>
    <row r="378" spans="1:11" x14ac:dyDescent="0.2">
      <c r="A378" s="9"/>
      <c r="B378" s="9"/>
      <c r="C378" s="9"/>
      <c r="D378" s="9"/>
      <c r="E378" s="9"/>
      <c r="F378" s="9"/>
      <c r="G378" s="9"/>
      <c r="H378" s="9"/>
      <c r="I378" s="10" t="str">
        <f>IF(B378="","",IF(COUNTIF(FUSE_CI!$A:$A,B378)&gt;0,"Yes","No"))</f>
        <v/>
      </c>
      <c r="J378" s="10" t="str">
        <f t="shared" si="5"/>
        <v/>
      </c>
      <c r="K378" s="10" t="str">
        <f>IF(B378="","",IF(COUNTIF(Finding_List!$A:$A,B378)&gt;0,"Yes","No"))</f>
        <v/>
      </c>
    </row>
    <row r="379" spans="1:11" x14ac:dyDescent="0.2">
      <c r="A379" s="5"/>
      <c r="B379" s="5"/>
      <c r="C379" s="5"/>
      <c r="D379" s="5"/>
      <c r="E379" s="5"/>
      <c r="F379" s="5"/>
      <c r="G379" s="5"/>
      <c r="H379" s="5"/>
      <c r="I379" s="10" t="str">
        <f>IF(B379="","",IF(COUNTIF(FUSE_CI!$A:$A,B379)&gt;0,"Yes","No"))</f>
        <v/>
      </c>
      <c r="J379" s="10" t="str">
        <f t="shared" si="5"/>
        <v/>
      </c>
      <c r="K379" s="10" t="str">
        <f>IF(B379="","",IF(COUNTIF(Finding_List!$A:$A,B379)&gt;0,"Yes","No"))</f>
        <v/>
      </c>
    </row>
    <row r="380" spans="1:11" x14ac:dyDescent="0.2">
      <c r="A380" s="9"/>
      <c r="B380" s="9"/>
      <c r="C380" s="9"/>
      <c r="D380" s="9"/>
      <c r="E380" s="9"/>
      <c r="F380" s="9"/>
      <c r="G380" s="9"/>
      <c r="H380" s="9"/>
      <c r="I380" s="10" t="str">
        <f>IF(B380="","",IF(COUNTIF(FUSE_CI!$A:$A,B380)&gt;0,"Yes","No"))</f>
        <v/>
      </c>
      <c r="J380" s="10" t="str">
        <f t="shared" si="5"/>
        <v/>
      </c>
      <c r="K380" s="10" t="str">
        <f>IF(B380="","",IF(COUNTIF(Finding_List!$A:$A,B380)&gt;0,"Yes","No"))</f>
        <v/>
      </c>
    </row>
    <row r="381" spans="1:11" x14ac:dyDescent="0.2">
      <c r="A381" s="5"/>
      <c r="B381" s="5"/>
      <c r="C381" s="5"/>
      <c r="D381" s="5"/>
      <c r="E381" s="5"/>
      <c r="F381" s="5"/>
      <c r="G381" s="5"/>
      <c r="H381" s="5"/>
      <c r="I381" s="10" t="str">
        <f>IF(B381="","",IF(COUNTIF(FUSE_CI!$A:$A,B381)&gt;0,"Yes","No"))</f>
        <v/>
      </c>
      <c r="J381" s="10" t="str">
        <f t="shared" si="5"/>
        <v/>
      </c>
      <c r="K381" s="10" t="str">
        <f>IF(B381="","",IF(COUNTIF(Finding_List!$A:$A,B381)&gt;0,"Yes","No"))</f>
        <v/>
      </c>
    </row>
    <row r="382" spans="1:11" x14ac:dyDescent="0.2">
      <c r="A382" s="9"/>
      <c r="B382" s="9"/>
      <c r="C382" s="9"/>
      <c r="D382" s="9"/>
      <c r="E382" s="9"/>
      <c r="F382" s="9"/>
      <c r="G382" s="9"/>
      <c r="H382" s="9"/>
      <c r="I382" s="10" t="str">
        <f>IF(B382="","",IF(COUNTIF(FUSE_CI!$A:$A,B382)&gt;0,"Yes","No"))</f>
        <v/>
      </c>
      <c r="J382" s="10" t="str">
        <f t="shared" si="5"/>
        <v/>
      </c>
      <c r="K382" s="10" t="str">
        <f>IF(B382="","",IF(COUNTIF(Finding_List!$A:$A,B382)&gt;0,"Yes","No"))</f>
        <v/>
      </c>
    </row>
    <row r="383" spans="1:11" x14ac:dyDescent="0.2">
      <c r="A383" s="5"/>
      <c r="B383" s="5"/>
      <c r="C383" s="5"/>
      <c r="D383" s="5"/>
      <c r="E383" s="5"/>
      <c r="F383" s="5"/>
      <c r="G383" s="5"/>
      <c r="H383" s="5"/>
      <c r="I383" s="10" t="str">
        <f>IF(B383="","",IF(COUNTIF(FUSE_CI!$A:$A,B383)&gt;0,"Yes","No"))</f>
        <v/>
      </c>
      <c r="J383" s="10" t="str">
        <f t="shared" si="5"/>
        <v/>
      </c>
      <c r="K383" s="10" t="str">
        <f>IF(B383="","",IF(COUNTIF(Finding_List!$A:$A,B383)&gt;0,"Yes","No"))</f>
        <v/>
      </c>
    </row>
    <row r="384" spans="1:11" x14ac:dyDescent="0.2">
      <c r="A384" s="9"/>
      <c r="B384" s="9"/>
      <c r="C384" s="9"/>
      <c r="D384" s="9"/>
      <c r="E384" s="9"/>
      <c r="F384" s="9"/>
      <c r="G384" s="9"/>
      <c r="H384" s="9"/>
      <c r="I384" s="10" t="str">
        <f>IF(B384="","",IF(COUNTIF(FUSE_CI!$A:$A,B384)&gt;0,"Yes","No"))</f>
        <v/>
      </c>
      <c r="J384" s="10" t="str">
        <f t="shared" si="5"/>
        <v/>
      </c>
      <c r="K384" s="10" t="str">
        <f>IF(B384="","",IF(COUNTIF(Finding_List!$A:$A,B384)&gt;0,"Yes","No"))</f>
        <v/>
      </c>
    </row>
    <row r="385" spans="1:11" x14ac:dyDescent="0.2">
      <c r="A385" s="5"/>
      <c r="B385" s="5"/>
      <c r="C385" s="5"/>
      <c r="D385" s="5"/>
      <c r="E385" s="5"/>
      <c r="F385" s="5"/>
      <c r="G385" s="5"/>
      <c r="H385" s="5"/>
      <c r="I385" s="10" t="str">
        <f>IF(B385="","",IF(COUNTIF(FUSE_CI!$A:$A,B385)&gt;0,"Yes","No"))</f>
        <v/>
      </c>
      <c r="J385" s="10" t="str">
        <f t="shared" si="5"/>
        <v/>
      </c>
      <c r="K385" s="10" t="str">
        <f>IF(B385="","",IF(COUNTIF(Finding_List!$A:$A,B385)&gt;0,"Yes","No"))</f>
        <v/>
      </c>
    </row>
    <row r="386" spans="1:11" x14ac:dyDescent="0.2">
      <c r="A386" s="9"/>
      <c r="B386" s="9"/>
      <c r="C386" s="9"/>
      <c r="D386" s="9"/>
      <c r="E386" s="9"/>
      <c r="F386" s="9"/>
      <c r="G386" s="9"/>
      <c r="H386" s="9"/>
      <c r="I386" s="10" t="str">
        <f>IF(B386="","",IF(COUNTIF(FUSE_CI!$A:$A,B386)&gt;0,"Yes","No"))</f>
        <v/>
      </c>
      <c r="J386" s="10" t="str">
        <f t="shared" si="5"/>
        <v/>
      </c>
      <c r="K386" s="10" t="str">
        <f>IF(B386="","",IF(COUNTIF(Finding_List!$A:$A,B386)&gt;0,"Yes","No"))</f>
        <v/>
      </c>
    </row>
    <row r="387" spans="1:11" x14ac:dyDescent="0.2">
      <c r="A387" s="5"/>
      <c r="B387" s="5"/>
      <c r="C387" s="5"/>
      <c r="D387" s="5"/>
      <c r="E387" s="5"/>
      <c r="F387" s="5"/>
      <c r="G387" s="5"/>
      <c r="H387" s="5"/>
      <c r="I387" s="10" t="str">
        <f>IF(B387="","",IF(COUNTIF(FUSE_CI!$A:$A,B387)&gt;0,"Yes","No"))</f>
        <v/>
      </c>
      <c r="J387" s="10" t="str">
        <f t="shared" si="5"/>
        <v/>
      </c>
      <c r="K387" s="10" t="str">
        <f>IF(B387="","",IF(COUNTIF(Finding_List!$A:$A,B387)&gt;0,"Yes","No"))</f>
        <v/>
      </c>
    </row>
    <row r="388" spans="1:11" x14ac:dyDescent="0.2">
      <c r="A388" s="9"/>
      <c r="B388" s="9"/>
      <c r="C388" s="9"/>
      <c r="D388" s="9"/>
      <c r="E388" s="9"/>
      <c r="F388" s="9"/>
      <c r="G388" s="9"/>
      <c r="H388" s="9"/>
      <c r="I388" s="10" t="str">
        <f>IF(B388="","",IF(COUNTIF(FUSE_CI!$A:$A,B388)&gt;0,"Yes","No"))</f>
        <v/>
      </c>
      <c r="J388" s="10" t="str">
        <f t="shared" ref="J388:J451" si="6">IF(B388="","",IF(AND(D388&lt;&gt;"High",D388&lt;&gt;"Very High",I388="Yes",K388="No"),"Fast Follower","Not Eligible"))</f>
        <v/>
      </c>
      <c r="K388" s="10" t="str">
        <f>IF(B388="","",IF(COUNTIF(Finding_List!$A:$A,B388)&gt;0,"Yes","No"))</f>
        <v/>
      </c>
    </row>
    <row r="389" spans="1:11" x14ac:dyDescent="0.2">
      <c r="A389" s="5"/>
      <c r="B389" s="5"/>
      <c r="C389" s="5"/>
      <c r="D389" s="5"/>
      <c r="E389" s="5"/>
      <c r="F389" s="5"/>
      <c r="G389" s="5"/>
      <c r="H389" s="5"/>
      <c r="I389" s="10" t="str">
        <f>IF(B389="","",IF(COUNTIF(FUSE_CI!$A:$A,B389)&gt;0,"Yes","No"))</f>
        <v/>
      </c>
      <c r="J389" s="10" t="str">
        <f t="shared" si="6"/>
        <v/>
      </c>
      <c r="K389" s="10" t="str">
        <f>IF(B389="","",IF(COUNTIF(Finding_List!$A:$A,B389)&gt;0,"Yes","No"))</f>
        <v/>
      </c>
    </row>
    <row r="390" spans="1:11" x14ac:dyDescent="0.2">
      <c r="A390" s="9"/>
      <c r="B390" s="9"/>
      <c r="C390" s="9"/>
      <c r="D390" s="9"/>
      <c r="E390" s="9"/>
      <c r="F390" s="9"/>
      <c r="G390" s="9"/>
      <c r="H390" s="9"/>
      <c r="I390" s="10" t="str">
        <f>IF(B390="","",IF(COUNTIF(FUSE_CI!$A:$A,B390)&gt;0,"Yes","No"))</f>
        <v/>
      </c>
      <c r="J390" s="10" t="str">
        <f t="shared" si="6"/>
        <v/>
      </c>
      <c r="K390" s="10" t="str">
        <f>IF(B390="","",IF(COUNTIF(Finding_List!$A:$A,B390)&gt;0,"Yes","No"))</f>
        <v/>
      </c>
    </row>
    <row r="391" spans="1:11" x14ac:dyDescent="0.2">
      <c r="A391" s="5"/>
      <c r="B391" s="5"/>
      <c r="C391" s="5"/>
      <c r="D391" s="5"/>
      <c r="E391" s="5"/>
      <c r="F391" s="5"/>
      <c r="G391" s="5"/>
      <c r="H391" s="5"/>
      <c r="I391" s="10" t="str">
        <f>IF(B391="","",IF(COUNTIF(FUSE_CI!$A:$A,B391)&gt;0,"Yes","No"))</f>
        <v/>
      </c>
      <c r="J391" s="10" t="str">
        <f t="shared" si="6"/>
        <v/>
      </c>
      <c r="K391" s="10" t="str">
        <f>IF(B391="","",IF(COUNTIF(Finding_List!$A:$A,B391)&gt;0,"Yes","No"))</f>
        <v/>
      </c>
    </row>
    <row r="392" spans="1:11" x14ac:dyDescent="0.2">
      <c r="A392" s="9"/>
      <c r="B392" s="9"/>
      <c r="C392" s="9"/>
      <c r="D392" s="9"/>
      <c r="E392" s="9"/>
      <c r="F392" s="9"/>
      <c r="G392" s="9"/>
      <c r="H392" s="9"/>
      <c r="I392" s="10" t="str">
        <f>IF(B392="","",IF(COUNTIF(FUSE_CI!$A:$A,B392)&gt;0,"Yes","No"))</f>
        <v/>
      </c>
      <c r="J392" s="10" t="str">
        <f t="shared" si="6"/>
        <v/>
      </c>
      <c r="K392" s="10" t="str">
        <f>IF(B392="","",IF(COUNTIF(Finding_List!$A:$A,B392)&gt;0,"Yes","No"))</f>
        <v/>
      </c>
    </row>
    <row r="393" spans="1:11" x14ac:dyDescent="0.2">
      <c r="A393" s="5"/>
      <c r="B393" s="5"/>
      <c r="C393" s="5"/>
      <c r="D393" s="5"/>
      <c r="E393" s="5"/>
      <c r="F393" s="5"/>
      <c r="G393" s="5"/>
      <c r="H393" s="5"/>
      <c r="I393" s="10" t="str">
        <f>IF(B393="","",IF(COUNTIF(FUSE_CI!$A:$A,B393)&gt;0,"Yes","No"))</f>
        <v/>
      </c>
      <c r="J393" s="10" t="str">
        <f t="shared" si="6"/>
        <v/>
      </c>
      <c r="K393" s="10" t="str">
        <f>IF(B393="","",IF(COUNTIF(Finding_List!$A:$A,B393)&gt;0,"Yes","No"))</f>
        <v/>
      </c>
    </row>
    <row r="394" spans="1:11" x14ac:dyDescent="0.2">
      <c r="A394" s="9"/>
      <c r="B394" s="9"/>
      <c r="C394" s="9"/>
      <c r="D394" s="9"/>
      <c r="E394" s="9"/>
      <c r="F394" s="9"/>
      <c r="G394" s="9"/>
      <c r="H394" s="9"/>
      <c r="I394" s="10" t="str">
        <f>IF(B394="","",IF(COUNTIF(FUSE_CI!$A:$A,B394)&gt;0,"Yes","No"))</f>
        <v/>
      </c>
      <c r="J394" s="10" t="str">
        <f t="shared" si="6"/>
        <v/>
      </c>
      <c r="K394" s="10" t="str">
        <f>IF(B394="","",IF(COUNTIF(Finding_List!$A:$A,B394)&gt;0,"Yes","No"))</f>
        <v/>
      </c>
    </row>
    <row r="395" spans="1:11" x14ac:dyDescent="0.2">
      <c r="A395" s="5"/>
      <c r="B395" s="5"/>
      <c r="C395" s="5"/>
      <c r="D395" s="5"/>
      <c r="E395" s="5"/>
      <c r="F395" s="5"/>
      <c r="G395" s="5"/>
      <c r="H395" s="5"/>
      <c r="I395" s="10" t="str">
        <f>IF(B395="","",IF(COUNTIF(FUSE_CI!$A:$A,B395)&gt;0,"Yes","No"))</f>
        <v/>
      </c>
      <c r="J395" s="10" t="str">
        <f t="shared" si="6"/>
        <v/>
      </c>
      <c r="K395" s="10" t="str">
        <f>IF(B395="","",IF(COUNTIF(Finding_List!$A:$A,B395)&gt;0,"Yes","No"))</f>
        <v/>
      </c>
    </row>
    <row r="396" spans="1:11" x14ac:dyDescent="0.2">
      <c r="A396" s="9"/>
      <c r="B396" s="9"/>
      <c r="C396" s="9"/>
      <c r="D396" s="9"/>
      <c r="E396" s="9"/>
      <c r="F396" s="9"/>
      <c r="G396" s="9"/>
      <c r="H396" s="9"/>
      <c r="I396" s="10" t="str">
        <f>IF(B396="","",IF(COUNTIF(FUSE_CI!$A:$A,B396)&gt;0,"Yes","No"))</f>
        <v/>
      </c>
      <c r="J396" s="10" t="str">
        <f t="shared" si="6"/>
        <v/>
      </c>
      <c r="K396" s="10" t="str">
        <f>IF(B396="","",IF(COUNTIF(Finding_List!$A:$A,B396)&gt;0,"Yes","No"))</f>
        <v/>
      </c>
    </row>
    <row r="397" spans="1:11" x14ac:dyDescent="0.2">
      <c r="A397" s="5"/>
      <c r="B397" s="5"/>
      <c r="C397" s="5"/>
      <c r="D397" s="5"/>
      <c r="E397" s="5"/>
      <c r="F397" s="5"/>
      <c r="G397" s="5"/>
      <c r="H397" s="5"/>
      <c r="I397" s="10" t="str">
        <f>IF(B397="","",IF(COUNTIF(FUSE_CI!$A:$A,B397)&gt;0,"Yes","No"))</f>
        <v/>
      </c>
      <c r="J397" s="10" t="str">
        <f t="shared" si="6"/>
        <v/>
      </c>
      <c r="K397" s="10" t="str">
        <f>IF(B397="","",IF(COUNTIF(Finding_List!$A:$A,B397)&gt;0,"Yes","No"))</f>
        <v/>
      </c>
    </row>
    <row r="398" spans="1:11" x14ac:dyDescent="0.2">
      <c r="A398" s="9"/>
      <c r="B398" s="9"/>
      <c r="C398" s="9"/>
      <c r="D398" s="9"/>
      <c r="E398" s="9"/>
      <c r="F398" s="9"/>
      <c r="G398" s="9"/>
      <c r="H398" s="9"/>
      <c r="I398" s="10" t="str">
        <f>IF(B398="","",IF(COUNTIF(FUSE_CI!$A:$A,B398)&gt;0,"Yes","No"))</f>
        <v/>
      </c>
      <c r="J398" s="10" t="str">
        <f t="shared" si="6"/>
        <v/>
      </c>
      <c r="K398" s="10" t="str">
        <f>IF(B398="","",IF(COUNTIF(Finding_List!$A:$A,B398)&gt;0,"Yes","No"))</f>
        <v/>
      </c>
    </row>
    <row r="399" spans="1:11" x14ac:dyDescent="0.2">
      <c r="A399" s="5"/>
      <c r="B399" s="5"/>
      <c r="C399" s="5"/>
      <c r="D399" s="5"/>
      <c r="E399" s="5"/>
      <c r="F399" s="5"/>
      <c r="G399" s="5"/>
      <c r="H399" s="5"/>
      <c r="I399" s="10" t="str">
        <f>IF(B399="","",IF(COUNTIF(FUSE_CI!$A:$A,B399)&gt;0,"Yes","No"))</f>
        <v/>
      </c>
      <c r="J399" s="10" t="str">
        <f t="shared" si="6"/>
        <v/>
      </c>
      <c r="K399" s="10" t="str">
        <f>IF(B399="","",IF(COUNTIF(Finding_List!$A:$A,B399)&gt;0,"Yes","No"))</f>
        <v/>
      </c>
    </row>
    <row r="400" spans="1:11" x14ac:dyDescent="0.2">
      <c r="A400" s="9"/>
      <c r="B400" s="9"/>
      <c r="C400" s="9"/>
      <c r="D400" s="9"/>
      <c r="E400" s="9"/>
      <c r="F400" s="9"/>
      <c r="G400" s="9"/>
      <c r="H400" s="9"/>
      <c r="I400" s="10" t="str">
        <f>IF(B400="","",IF(COUNTIF(FUSE_CI!$A:$A,B400)&gt;0,"Yes","No"))</f>
        <v/>
      </c>
      <c r="J400" s="10" t="str">
        <f t="shared" si="6"/>
        <v/>
      </c>
      <c r="K400" s="10" t="str">
        <f>IF(B400="","",IF(COUNTIF(Finding_List!$A:$A,B400)&gt;0,"Yes","No"))</f>
        <v/>
      </c>
    </row>
    <row r="401" spans="1:11" x14ac:dyDescent="0.2">
      <c r="A401" s="5"/>
      <c r="B401" s="5"/>
      <c r="C401" s="5"/>
      <c r="D401" s="5"/>
      <c r="E401" s="5"/>
      <c r="F401" s="5"/>
      <c r="G401" s="5"/>
      <c r="H401" s="5"/>
      <c r="I401" s="10" t="str">
        <f>IF(B401="","",IF(COUNTIF(FUSE_CI!$A:$A,B401)&gt;0,"Yes","No"))</f>
        <v/>
      </c>
      <c r="J401" s="10" t="str">
        <f t="shared" si="6"/>
        <v/>
      </c>
      <c r="K401" s="10" t="str">
        <f>IF(B401="","",IF(COUNTIF(Finding_List!$A:$A,B401)&gt;0,"Yes","No"))</f>
        <v/>
      </c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10" t="str">
        <f>IF(B402="","",IF(COUNTIF(FUSE_CI!$A:$A,B402)&gt;0,"Yes","No"))</f>
        <v/>
      </c>
      <c r="J402" s="10" t="str">
        <f t="shared" si="6"/>
        <v/>
      </c>
      <c r="K402" s="10" t="str">
        <f>IF(B402="","",IF(COUNTIF(Finding_List!$A:$A,B402)&gt;0,"Yes","No"))</f>
        <v/>
      </c>
    </row>
    <row r="403" spans="1:11" x14ac:dyDescent="0.2">
      <c r="A403" s="5"/>
      <c r="B403" s="5"/>
      <c r="C403" s="5"/>
      <c r="D403" s="5"/>
      <c r="E403" s="5"/>
      <c r="F403" s="5"/>
      <c r="G403" s="5"/>
      <c r="H403" s="5"/>
      <c r="I403" s="10" t="str">
        <f>IF(B403="","",IF(COUNTIF(FUSE_CI!$A:$A,B403)&gt;0,"Yes","No"))</f>
        <v/>
      </c>
      <c r="J403" s="10" t="str">
        <f t="shared" si="6"/>
        <v/>
      </c>
      <c r="K403" s="10" t="str">
        <f>IF(B403="","",IF(COUNTIF(Finding_List!$A:$A,B403)&gt;0,"Yes","No"))</f>
        <v/>
      </c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10" t="str">
        <f>IF(B404="","",IF(COUNTIF(FUSE_CI!$A:$A,B404)&gt;0,"Yes","No"))</f>
        <v/>
      </c>
      <c r="J404" s="10" t="str">
        <f t="shared" si="6"/>
        <v/>
      </c>
      <c r="K404" s="10" t="str">
        <f>IF(B404="","",IF(COUNTIF(Finding_List!$A:$A,B404)&gt;0,"Yes","No"))</f>
        <v/>
      </c>
    </row>
    <row r="405" spans="1:11" x14ac:dyDescent="0.2">
      <c r="A405" s="5"/>
      <c r="B405" s="5"/>
      <c r="C405" s="5"/>
      <c r="D405" s="5"/>
      <c r="E405" s="5"/>
      <c r="F405" s="5"/>
      <c r="G405" s="5"/>
      <c r="H405" s="5"/>
      <c r="I405" s="10" t="str">
        <f>IF(B405="","",IF(COUNTIF(FUSE_CI!$A:$A,B405)&gt;0,"Yes","No"))</f>
        <v/>
      </c>
      <c r="J405" s="10" t="str">
        <f t="shared" si="6"/>
        <v/>
      </c>
      <c r="K405" s="10" t="str">
        <f>IF(B405="","",IF(COUNTIF(Finding_List!$A:$A,B405)&gt;0,"Yes","No"))</f>
        <v/>
      </c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10" t="str">
        <f>IF(B406="","",IF(COUNTIF(FUSE_CI!$A:$A,B406)&gt;0,"Yes","No"))</f>
        <v/>
      </c>
      <c r="J406" s="10" t="str">
        <f t="shared" si="6"/>
        <v/>
      </c>
      <c r="K406" s="10" t="str">
        <f>IF(B406="","",IF(COUNTIF(Finding_List!$A:$A,B406)&gt;0,"Yes","No"))</f>
        <v/>
      </c>
    </row>
    <row r="407" spans="1:11" x14ac:dyDescent="0.2">
      <c r="A407" s="5"/>
      <c r="B407" s="5"/>
      <c r="C407" s="5"/>
      <c r="D407" s="5"/>
      <c r="E407" s="5"/>
      <c r="F407" s="5"/>
      <c r="G407" s="5"/>
      <c r="H407" s="5"/>
      <c r="I407" s="10" t="str">
        <f>IF(B407="","",IF(COUNTIF(FUSE_CI!$A:$A,B407)&gt;0,"Yes","No"))</f>
        <v/>
      </c>
      <c r="J407" s="10" t="str">
        <f t="shared" si="6"/>
        <v/>
      </c>
      <c r="K407" s="10" t="str">
        <f>IF(B407="","",IF(COUNTIF(Finding_List!$A:$A,B407)&gt;0,"Yes","No"))</f>
        <v/>
      </c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10" t="str">
        <f>IF(B408="","",IF(COUNTIF(FUSE_CI!$A:$A,B408)&gt;0,"Yes","No"))</f>
        <v/>
      </c>
      <c r="J408" s="10" t="str">
        <f t="shared" si="6"/>
        <v/>
      </c>
      <c r="K408" s="10" t="str">
        <f>IF(B408="","",IF(COUNTIF(Finding_List!$A:$A,B408)&gt;0,"Yes","No"))</f>
        <v/>
      </c>
    </row>
    <row r="409" spans="1:11" x14ac:dyDescent="0.2">
      <c r="A409" s="5"/>
      <c r="B409" s="5"/>
      <c r="C409" s="5"/>
      <c r="D409" s="5"/>
      <c r="E409" s="5"/>
      <c r="F409" s="5"/>
      <c r="G409" s="5"/>
      <c r="H409" s="5"/>
      <c r="I409" s="10" t="str">
        <f>IF(B409="","",IF(COUNTIF(FUSE_CI!$A:$A,B409)&gt;0,"Yes","No"))</f>
        <v/>
      </c>
      <c r="J409" s="10" t="str">
        <f t="shared" si="6"/>
        <v/>
      </c>
      <c r="K409" s="10" t="str">
        <f>IF(B409="","",IF(COUNTIF(Finding_List!$A:$A,B409)&gt;0,"Yes","No"))</f>
        <v/>
      </c>
    </row>
    <row r="410" spans="1:11" x14ac:dyDescent="0.2">
      <c r="A410" s="9"/>
      <c r="B410" s="9"/>
      <c r="C410" s="9"/>
      <c r="D410" s="9"/>
      <c r="E410" s="9"/>
      <c r="F410" s="9"/>
      <c r="G410" s="9"/>
      <c r="H410" s="9"/>
      <c r="I410" s="10" t="str">
        <f>IF(B410="","",IF(COUNTIF(FUSE_CI!$A:$A,B410)&gt;0,"Yes","No"))</f>
        <v/>
      </c>
      <c r="J410" s="10" t="str">
        <f t="shared" si="6"/>
        <v/>
      </c>
      <c r="K410" s="10" t="str">
        <f>IF(B410="","",IF(COUNTIF(Finding_List!$A:$A,B410)&gt;0,"Yes","No"))</f>
        <v/>
      </c>
    </row>
    <row r="411" spans="1:11" x14ac:dyDescent="0.2">
      <c r="A411" s="5"/>
      <c r="B411" s="5"/>
      <c r="C411" s="5"/>
      <c r="D411" s="5"/>
      <c r="E411" s="5"/>
      <c r="F411" s="5"/>
      <c r="G411" s="5"/>
      <c r="H411" s="5"/>
      <c r="I411" s="10" t="str">
        <f>IF(B411="","",IF(COUNTIF(FUSE_CI!$A:$A,B411)&gt;0,"Yes","No"))</f>
        <v/>
      </c>
      <c r="J411" s="10" t="str">
        <f t="shared" si="6"/>
        <v/>
      </c>
      <c r="K411" s="10" t="str">
        <f>IF(B411="","",IF(COUNTIF(Finding_List!$A:$A,B411)&gt;0,"Yes","No"))</f>
        <v/>
      </c>
    </row>
    <row r="412" spans="1:11" x14ac:dyDescent="0.2">
      <c r="A412" s="9"/>
      <c r="B412" s="9"/>
      <c r="C412" s="9"/>
      <c r="D412" s="9"/>
      <c r="E412" s="9"/>
      <c r="F412" s="9"/>
      <c r="G412" s="9"/>
      <c r="H412" s="9"/>
      <c r="I412" s="10" t="str">
        <f>IF(B412="","",IF(COUNTIF(FUSE_CI!$A:$A,B412)&gt;0,"Yes","No"))</f>
        <v/>
      </c>
      <c r="J412" s="10" t="str">
        <f t="shared" si="6"/>
        <v/>
      </c>
      <c r="K412" s="10" t="str">
        <f>IF(B412="","",IF(COUNTIF(Finding_List!$A:$A,B412)&gt;0,"Yes","No"))</f>
        <v/>
      </c>
    </row>
    <row r="413" spans="1:11" x14ac:dyDescent="0.2">
      <c r="A413" s="5"/>
      <c r="B413" s="5"/>
      <c r="C413" s="5"/>
      <c r="D413" s="5"/>
      <c r="E413" s="5"/>
      <c r="F413" s="5"/>
      <c r="G413" s="5"/>
      <c r="H413" s="5"/>
      <c r="I413" s="10" t="str">
        <f>IF(B413="","",IF(COUNTIF(FUSE_CI!$A:$A,B413)&gt;0,"Yes","No"))</f>
        <v/>
      </c>
      <c r="J413" s="10" t="str">
        <f t="shared" si="6"/>
        <v/>
      </c>
      <c r="K413" s="10" t="str">
        <f>IF(B413="","",IF(COUNTIF(Finding_List!$A:$A,B413)&gt;0,"Yes","No"))</f>
        <v/>
      </c>
    </row>
    <row r="414" spans="1:11" x14ac:dyDescent="0.2">
      <c r="A414" s="9"/>
      <c r="B414" s="9"/>
      <c r="C414" s="9"/>
      <c r="D414" s="9"/>
      <c r="E414" s="9"/>
      <c r="F414" s="9"/>
      <c r="G414" s="9"/>
      <c r="H414" s="9"/>
      <c r="I414" s="10" t="str">
        <f>IF(B414="","",IF(COUNTIF(FUSE_CI!$A:$A,B414)&gt;0,"Yes","No"))</f>
        <v/>
      </c>
      <c r="J414" s="10" t="str">
        <f t="shared" si="6"/>
        <v/>
      </c>
      <c r="K414" s="10" t="str">
        <f>IF(B414="","",IF(COUNTIF(Finding_List!$A:$A,B414)&gt;0,"Yes","No"))</f>
        <v/>
      </c>
    </row>
    <row r="415" spans="1:11" x14ac:dyDescent="0.2">
      <c r="A415" s="5"/>
      <c r="B415" s="5"/>
      <c r="C415" s="5"/>
      <c r="D415" s="5"/>
      <c r="E415" s="5"/>
      <c r="F415" s="5"/>
      <c r="G415" s="5"/>
      <c r="H415" s="5"/>
      <c r="I415" s="10" t="str">
        <f>IF(B415="","",IF(COUNTIF(FUSE_CI!$A:$A,B415)&gt;0,"Yes","No"))</f>
        <v/>
      </c>
      <c r="J415" s="10" t="str">
        <f t="shared" si="6"/>
        <v/>
      </c>
      <c r="K415" s="10" t="str">
        <f>IF(B415="","",IF(COUNTIF(Finding_List!$A:$A,B415)&gt;0,"Yes","No"))</f>
        <v/>
      </c>
    </row>
    <row r="416" spans="1:11" x14ac:dyDescent="0.2">
      <c r="A416" s="9"/>
      <c r="B416" s="9"/>
      <c r="C416" s="9"/>
      <c r="D416" s="9"/>
      <c r="E416" s="9"/>
      <c r="F416" s="9"/>
      <c r="G416" s="9"/>
      <c r="H416" s="9"/>
      <c r="I416" s="10" t="str">
        <f>IF(B416="","",IF(COUNTIF(FUSE_CI!$A:$A,B416)&gt;0,"Yes","No"))</f>
        <v/>
      </c>
      <c r="J416" s="10" t="str">
        <f t="shared" si="6"/>
        <v/>
      </c>
      <c r="K416" s="10" t="str">
        <f>IF(B416="","",IF(COUNTIF(Finding_List!$A:$A,B416)&gt;0,"Yes","No"))</f>
        <v/>
      </c>
    </row>
    <row r="417" spans="1:11" x14ac:dyDescent="0.2">
      <c r="A417" s="5"/>
      <c r="B417" s="5"/>
      <c r="C417" s="5"/>
      <c r="D417" s="5"/>
      <c r="E417" s="5"/>
      <c r="F417" s="5"/>
      <c r="G417" s="5"/>
      <c r="H417" s="5"/>
      <c r="I417" s="10" t="str">
        <f>IF(B417="","",IF(COUNTIF(FUSE_CI!$A:$A,B417)&gt;0,"Yes","No"))</f>
        <v/>
      </c>
      <c r="J417" s="10" t="str">
        <f t="shared" si="6"/>
        <v/>
      </c>
      <c r="K417" s="10" t="str">
        <f>IF(B417="","",IF(COUNTIF(Finding_List!$A:$A,B417)&gt;0,"Yes","No"))</f>
        <v/>
      </c>
    </row>
    <row r="418" spans="1:11" x14ac:dyDescent="0.2">
      <c r="A418" s="9"/>
      <c r="B418" s="9"/>
      <c r="C418" s="9"/>
      <c r="D418" s="9"/>
      <c r="E418" s="9"/>
      <c r="F418" s="9"/>
      <c r="G418" s="9"/>
      <c r="H418" s="9"/>
      <c r="I418" s="10" t="str">
        <f>IF(B418="","",IF(COUNTIF(FUSE_CI!$A:$A,B418)&gt;0,"Yes","No"))</f>
        <v/>
      </c>
      <c r="J418" s="10" t="str">
        <f t="shared" si="6"/>
        <v/>
      </c>
      <c r="K418" s="10" t="str">
        <f>IF(B418="","",IF(COUNTIF(Finding_List!$A:$A,B418)&gt;0,"Yes","No"))</f>
        <v/>
      </c>
    </row>
    <row r="419" spans="1:11" x14ac:dyDescent="0.2">
      <c r="A419" s="5"/>
      <c r="B419" s="5"/>
      <c r="C419" s="5"/>
      <c r="D419" s="5"/>
      <c r="E419" s="5"/>
      <c r="F419" s="5"/>
      <c r="G419" s="5"/>
      <c r="H419" s="5"/>
      <c r="I419" s="10" t="str">
        <f>IF(B419="","",IF(COUNTIF(FUSE_CI!$A:$A,B419)&gt;0,"Yes","No"))</f>
        <v/>
      </c>
      <c r="J419" s="10" t="str">
        <f t="shared" si="6"/>
        <v/>
      </c>
      <c r="K419" s="10" t="str">
        <f>IF(B419="","",IF(COUNTIF(Finding_List!$A:$A,B419)&gt;0,"Yes","No"))</f>
        <v/>
      </c>
    </row>
    <row r="420" spans="1:11" x14ac:dyDescent="0.2">
      <c r="A420" s="9"/>
      <c r="B420" s="9"/>
      <c r="C420" s="9"/>
      <c r="D420" s="9"/>
      <c r="E420" s="9"/>
      <c r="F420" s="9"/>
      <c r="G420" s="9"/>
      <c r="H420" s="9"/>
      <c r="I420" s="10" t="str">
        <f>IF(B420="","",IF(COUNTIF(FUSE_CI!$A:$A,B420)&gt;0,"Yes","No"))</f>
        <v/>
      </c>
      <c r="J420" s="10" t="str">
        <f t="shared" si="6"/>
        <v/>
      </c>
      <c r="K420" s="10" t="str">
        <f>IF(B420="","",IF(COUNTIF(Finding_List!$A:$A,B420)&gt;0,"Yes","No"))</f>
        <v/>
      </c>
    </row>
    <row r="421" spans="1:11" x14ac:dyDescent="0.2">
      <c r="A421" s="5"/>
      <c r="B421" s="5"/>
      <c r="C421" s="5"/>
      <c r="D421" s="5"/>
      <c r="E421" s="5"/>
      <c r="F421" s="5"/>
      <c r="G421" s="5"/>
      <c r="H421" s="5"/>
      <c r="I421" s="10" t="str">
        <f>IF(B421="","",IF(COUNTIF(FUSE_CI!$A:$A,B421)&gt;0,"Yes","No"))</f>
        <v/>
      </c>
      <c r="J421" s="10" t="str">
        <f t="shared" si="6"/>
        <v/>
      </c>
      <c r="K421" s="10" t="str">
        <f>IF(B421="","",IF(COUNTIF(Finding_List!$A:$A,B421)&gt;0,"Yes","No"))</f>
        <v/>
      </c>
    </row>
    <row r="422" spans="1:11" x14ac:dyDescent="0.2">
      <c r="A422" s="9"/>
      <c r="B422" s="9"/>
      <c r="C422" s="9"/>
      <c r="D422" s="9"/>
      <c r="E422" s="9"/>
      <c r="F422" s="9"/>
      <c r="G422" s="9"/>
      <c r="H422" s="9"/>
      <c r="I422" s="10" t="str">
        <f>IF(B422="","",IF(COUNTIF(FUSE_CI!$A:$A,B422)&gt;0,"Yes","No"))</f>
        <v/>
      </c>
      <c r="J422" s="10" t="str">
        <f t="shared" si="6"/>
        <v/>
      </c>
      <c r="K422" s="10" t="str">
        <f>IF(B422="","",IF(COUNTIF(Finding_List!$A:$A,B422)&gt;0,"Yes","No"))</f>
        <v/>
      </c>
    </row>
    <row r="423" spans="1:11" x14ac:dyDescent="0.2">
      <c r="A423" s="5"/>
      <c r="B423" s="5"/>
      <c r="C423" s="5"/>
      <c r="D423" s="5"/>
      <c r="E423" s="5"/>
      <c r="F423" s="5"/>
      <c r="G423" s="5"/>
      <c r="H423" s="5"/>
      <c r="I423" s="10" t="str">
        <f>IF(B423="","",IF(COUNTIF(FUSE_CI!$A:$A,B423)&gt;0,"Yes","No"))</f>
        <v/>
      </c>
      <c r="J423" s="10" t="str">
        <f t="shared" si="6"/>
        <v/>
      </c>
      <c r="K423" s="10" t="str">
        <f>IF(B423="","",IF(COUNTIF(Finding_List!$A:$A,B423)&gt;0,"Yes","No"))</f>
        <v/>
      </c>
    </row>
    <row r="424" spans="1:11" x14ac:dyDescent="0.2">
      <c r="A424" s="9"/>
      <c r="B424" s="9"/>
      <c r="C424" s="9"/>
      <c r="D424" s="9"/>
      <c r="E424" s="9"/>
      <c r="F424" s="9"/>
      <c r="G424" s="9"/>
      <c r="H424" s="9"/>
      <c r="I424" s="10" t="str">
        <f>IF(B424="","",IF(COUNTIF(FUSE_CI!$A:$A,B424)&gt;0,"Yes","No"))</f>
        <v/>
      </c>
      <c r="J424" s="10" t="str">
        <f t="shared" si="6"/>
        <v/>
      </c>
      <c r="K424" s="10" t="str">
        <f>IF(B424="","",IF(COUNTIF(Finding_List!$A:$A,B424)&gt;0,"Yes","No"))</f>
        <v/>
      </c>
    </row>
    <row r="425" spans="1:11" x14ac:dyDescent="0.2">
      <c r="A425" s="5"/>
      <c r="B425" s="5"/>
      <c r="C425" s="5"/>
      <c r="D425" s="5"/>
      <c r="E425" s="5"/>
      <c r="F425" s="5"/>
      <c r="G425" s="5"/>
      <c r="H425" s="5"/>
      <c r="I425" s="10" t="str">
        <f>IF(B425="","",IF(COUNTIF(FUSE_CI!$A:$A,B425)&gt;0,"Yes","No"))</f>
        <v/>
      </c>
      <c r="J425" s="10" t="str">
        <f t="shared" si="6"/>
        <v/>
      </c>
      <c r="K425" s="10" t="str">
        <f>IF(B425="","",IF(COUNTIF(Finding_List!$A:$A,B425)&gt;0,"Yes","No"))</f>
        <v/>
      </c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10" t="str">
        <f>IF(B426="","",IF(COUNTIF(FUSE_CI!$A:$A,B426)&gt;0,"Yes","No"))</f>
        <v/>
      </c>
      <c r="J426" s="10" t="str">
        <f t="shared" si="6"/>
        <v/>
      </c>
      <c r="K426" s="10" t="str">
        <f>IF(B426="","",IF(COUNTIF(Finding_List!$A:$A,B426)&gt;0,"Yes","No"))</f>
        <v/>
      </c>
    </row>
    <row r="427" spans="1:11" x14ac:dyDescent="0.2">
      <c r="A427" s="5"/>
      <c r="B427" s="5"/>
      <c r="C427" s="5"/>
      <c r="D427" s="5"/>
      <c r="E427" s="5"/>
      <c r="F427" s="5"/>
      <c r="G427" s="5"/>
      <c r="H427" s="5"/>
      <c r="I427" s="10" t="str">
        <f>IF(B427="","",IF(COUNTIF(FUSE_CI!$A:$A,B427)&gt;0,"Yes","No"))</f>
        <v/>
      </c>
      <c r="J427" s="10" t="str">
        <f t="shared" si="6"/>
        <v/>
      </c>
      <c r="K427" s="10" t="str">
        <f>IF(B427="","",IF(COUNTIF(Finding_List!$A:$A,B427)&gt;0,"Yes","No"))</f>
        <v/>
      </c>
    </row>
    <row r="428" spans="1:11" x14ac:dyDescent="0.2">
      <c r="A428" s="9"/>
      <c r="B428" s="9"/>
      <c r="C428" s="9"/>
      <c r="D428" s="9"/>
      <c r="E428" s="9"/>
      <c r="F428" s="9"/>
      <c r="G428" s="9"/>
      <c r="H428" s="9"/>
      <c r="I428" s="10" t="str">
        <f>IF(B428="","",IF(COUNTIF(FUSE_CI!$A:$A,B428)&gt;0,"Yes","No"))</f>
        <v/>
      </c>
      <c r="J428" s="10" t="str">
        <f t="shared" si="6"/>
        <v/>
      </c>
      <c r="K428" s="10" t="str">
        <f>IF(B428="","",IF(COUNTIF(Finding_List!$A:$A,B428)&gt;0,"Yes","No"))</f>
        <v/>
      </c>
    </row>
    <row r="429" spans="1:11" x14ac:dyDescent="0.2">
      <c r="A429" s="5"/>
      <c r="B429" s="5"/>
      <c r="C429" s="5"/>
      <c r="D429" s="5"/>
      <c r="E429" s="5"/>
      <c r="F429" s="5"/>
      <c r="G429" s="5"/>
      <c r="H429" s="5"/>
      <c r="I429" s="10" t="str">
        <f>IF(B429="","",IF(COUNTIF(FUSE_CI!$A:$A,B429)&gt;0,"Yes","No"))</f>
        <v/>
      </c>
      <c r="J429" s="10" t="str">
        <f t="shared" si="6"/>
        <v/>
      </c>
      <c r="K429" s="10" t="str">
        <f>IF(B429="","",IF(COUNTIF(Finding_List!$A:$A,B429)&gt;0,"Yes","No"))</f>
        <v/>
      </c>
    </row>
    <row r="430" spans="1:11" x14ac:dyDescent="0.2">
      <c r="A430" s="9"/>
      <c r="B430" s="9"/>
      <c r="C430" s="9"/>
      <c r="D430" s="9"/>
      <c r="E430" s="9"/>
      <c r="F430" s="9"/>
      <c r="G430" s="9"/>
      <c r="H430" s="9"/>
      <c r="I430" s="10" t="str">
        <f>IF(B430="","",IF(COUNTIF(FUSE_CI!$A:$A,B430)&gt;0,"Yes","No"))</f>
        <v/>
      </c>
      <c r="J430" s="10" t="str">
        <f t="shared" si="6"/>
        <v/>
      </c>
      <c r="K430" s="10" t="str">
        <f>IF(B430="","",IF(COUNTIF(Finding_List!$A:$A,B430)&gt;0,"Yes","No"))</f>
        <v/>
      </c>
    </row>
    <row r="431" spans="1:11" x14ac:dyDescent="0.2">
      <c r="A431" s="5"/>
      <c r="B431" s="5"/>
      <c r="C431" s="5"/>
      <c r="D431" s="5"/>
      <c r="E431" s="5"/>
      <c r="F431" s="5"/>
      <c r="G431" s="5"/>
      <c r="H431" s="5"/>
      <c r="I431" s="10" t="str">
        <f>IF(B431="","",IF(COUNTIF(FUSE_CI!$A:$A,B431)&gt;0,"Yes","No"))</f>
        <v/>
      </c>
      <c r="J431" s="10" t="str">
        <f t="shared" si="6"/>
        <v/>
      </c>
      <c r="K431" s="10" t="str">
        <f>IF(B431="","",IF(COUNTIF(Finding_List!$A:$A,B431)&gt;0,"Yes","No"))</f>
        <v/>
      </c>
    </row>
    <row r="432" spans="1:11" x14ac:dyDescent="0.2">
      <c r="A432" s="9"/>
      <c r="B432" s="9"/>
      <c r="C432" s="9"/>
      <c r="D432" s="9"/>
      <c r="E432" s="9"/>
      <c r="F432" s="9"/>
      <c r="G432" s="9"/>
      <c r="H432" s="9"/>
      <c r="I432" s="10" t="str">
        <f>IF(B432="","",IF(COUNTIF(FUSE_CI!$A:$A,B432)&gt;0,"Yes","No"))</f>
        <v/>
      </c>
      <c r="J432" s="10" t="str">
        <f t="shared" si="6"/>
        <v/>
      </c>
      <c r="K432" s="10" t="str">
        <f>IF(B432="","",IF(COUNTIF(Finding_List!$A:$A,B432)&gt;0,"Yes","No"))</f>
        <v/>
      </c>
    </row>
    <row r="433" spans="1:11" x14ac:dyDescent="0.2">
      <c r="A433" s="5"/>
      <c r="B433" s="5"/>
      <c r="C433" s="5"/>
      <c r="D433" s="5"/>
      <c r="E433" s="5"/>
      <c r="F433" s="5"/>
      <c r="G433" s="5"/>
      <c r="H433" s="5"/>
      <c r="I433" s="10" t="str">
        <f>IF(B433="","",IF(COUNTIF(FUSE_CI!$A:$A,B433)&gt;0,"Yes","No"))</f>
        <v/>
      </c>
      <c r="J433" s="10" t="str">
        <f t="shared" si="6"/>
        <v/>
      </c>
      <c r="K433" s="10" t="str">
        <f>IF(B433="","",IF(COUNTIF(Finding_List!$A:$A,B433)&gt;0,"Yes","No"))</f>
        <v/>
      </c>
    </row>
    <row r="434" spans="1:11" x14ac:dyDescent="0.2">
      <c r="A434" s="9"/>
      <c r="B434" s="9"/>
      <c r="C434" s="9"/>
      <c r="D434" s="9"/>
      <c r="E434" s="9"/>
      <c r="F434" s="9"/>
      <c r="G434" s="9"/>
      <c r="H434" s="9"/>
      <c r="I434" s="10" t="str">
        <f>IF(B434="","",IF(COUNTIF(FUSE_CI!$A:$A,B434)&gt;0,"Yes","No"))</f>
        <v/>
      </c>
      <c r="J434" s="10" t="str">
        <f t="shared" si="6"/>
        <v/>
      </c>
      <c r="K434" s="10" t="str">
        <f>IF(B434="","",IF(COUNTIF(Finding_List!$A:$A,B434)&gt;0,"Yes","No"))</f>
        <v/>
      </c>
    </row>
    <row r="435" spans="1:11" x14ac:dyDescent="0.2">
      <c r="A435" s="5"/>
      <c r="B435" s="5"/>
      <c r="C435" s="5"/>
      <c r="D435" s="5"/>
      <c r="E435" s="5"/>
      <c r="F435" s="5"/>
      <c r="G435" s="5"/>
      <c r="H435" s="5"/>
      <c r="I435" s="10" t="str">
        <f>IF(B435="","",IF(COUNTIF(FUSE_CI!$A:$A,B435)&gt;0,"Yes","No"))</f>
        <v/>
      </c>
      <c r="J435" s="10" t="str">
        <f t="shared" si="6"/>
        <v/>
      </c>
      <c r="K435" s="10" t="str">
        <f>IF(B435="","",IF(COUNTIF(Finding_List!$A:$A,B435)&gt;0,"Yes","No"))</f>
        <v/>
      </c>
    </row>
    <row r="436" spans="1:11" x14ac:dyDescent="0.2">
      <c r="A436" s="9"/>
      <c r="B436" s="9"/>
      <c r="C436" s="9"/>
      <c r="D436" s="9"/>
      <c r="E436" s="9"/>
      <c r="F436" s="9"/>
      <c r="G436" s="9"/>
      <c r="H436" s="9"/>
      <c r="I436" s="10" t="str">
        <f>IF(B436="","",IF(COUNTIF(FUSE_CI!$A:$A,B436)&gt;0,"Yes","No"))</f>
        <v/>
      </c>
      <c r="J436" s="10" t="str">
        <f t="shared" si="6"/>
        <v/>
      </c>
      <c r="K436" s="10" t="str">
        <f>IF(B436="","",IF(COUNTIF(Finding_List!$A:$A,B436)&gt;0,"Yes","No"))</f>
        <v/>
      </c>
    </row>
    <row r="437" spans="1:11" x14ac:dyDescent="0.2">
      <c r="A437" s="5"/>
      <c r="B437" s="5"/>
      <c r="C437" s="5"/>
      <c r="D437" s="5"/>
      <c r="E437" s="5"/>
      <c r="F437" s="5"/>
      <c r="G437" s="5"/>
      <c r="H437" s="5"/>
      <c r="I437" s="10" t="str">
        <f>IF(B437="","",IF(COUNTIF(FUSE_CI!$A:$A,B437)&gt;0,"Yes","No"))</f>
        <v/>
      </c>
      <c r="J437" s="10" t="str">
        <f t="shared" si="6"/>
        <v/>
      </c>
      <c r="K437" s="10" t="str">
        <f>IF(B437="","",IF(COUNTIF(Finding_List!$A:$A,B437)&gt;0,"Yes","No"))</f>
        <v/>
      </c>
    </row>
    <row r="438" spans="1:11" x14ac:dyDescent="0.2">
      <c r="A438" s="9"/>
      <c r="B438" s="9"/>
      <c r="C438" s="9"/>
      <c r="D438" s="9"/>
      <c r="E438" s="9"/>
      <c r="F438" s="9"/>
      <c r="G438" s="9"/>
      <c r="H438" s="9"/>
      <c r="I438" s="10" t="str">
        <f>IF(B438="","",IF(COUNTIF(FUSE_CI!$A:$A,B438)&gt;0,"Yes","No"))</f>
        <v/>
      </c>
      <c r="J438" s="10" t="str">
        <f t="shared" si="6"/>
        <v/>
      </c>
      <c r="K438" s="10" t="str">
        <f>IF(B438="","",IF(COUNTIF(Finding_List!$A:$A,B438)&gt;0,"Yes","No"))</f>
        <v/>
      </c>
    </row>
    <row r="439" spans="1:11" x14ac:dyDescent="0.2">
      <c r="A439" s="5"/>
      <c r="B439" s="5"/>
      <c r="C439" s="5"/>
      <c r="D439" s="5"/>
      <c r="E439" s="5"/>
      <c r="F439" s="5"/>
      <c r="G439" s="5"/>
      <c r="H439" s="5"/>
      <c r="I439" s="10" t="str">
        <f>IF(B439="","",IF(COUNTIF(FUSE_CI!$A:$A,B439)&gt;0,"Yes","No"))</f>
        <v/>
      </c>
      <c r="J439" s="10" t="str">
        <f t="shared" si="6"/>
        <v/>
      </c>
      <c r="K439" s="10" t="str">
        <f>IF(B439="","",IF(COUNTIF(Finding_List!$A:$A,B439)&gt;0,"Yes","No"))</f>
        <v/>
      </c>
    </row>
    <row r="440" spans="1:11" x14ac:dyDescent="0.2">
      <c r="A440" s="9"/>
      <c r="B440" s="9"/>
      <c r="C440" s="9"/>
      <c r="D440" s="9"/>
      <c r="E440" s="9"/>
      <c r="F440" s="9"/>
      <c r="G440" s="9"/>
      <c r="H440" s="9"/>
      <c r="I440" s="10" t="str">
        <f>IF(B440="","",IF(COUNTIF(FUSE_CI!$A:$A,B440)&gt;0,"Yes","No"))</f>
        <v/>
      </c>
      <c r="J440" s="10" t="str">
        <f t="shared" si="6"/>
        <v/>
      </c>
      <c r="K440" s="10" t="str">
        <f>IF(B440="","",IF(COUNTIF(Finding_List!$A:$A,B440)&gt;0,"Yes","No"))</f>
        <v/>
      </c>
    </row>
    <row r="441" spans="1:11" x14ac:dyDescent="0.2">
      <c r="A441" s="5"/>
      <c r="B441" s="5"/>
      <c r="C441" s="5"/>
      <c r="D441" s="5"/>
      <c r="E441" s="5"/>
      <c r="F441" s="5"/>
      <c r="G441" s="5"/>
      <c r="H441" s="5"/>
      <c r="I441" s="10" t="str">
        <f>IF(B441="","",IF(COUNTIF(FUSE_CI!$A:$A,B441)&gt;0,"Yes","No"))</f>
        <v/>
      </c>
      <c r="J441" s="10" t="str">
        <f t="shared" si="6"/>
        <v/>
      </c>
      <c r="K441" s="10" t="str">
        <f>IF(B441="","",IF(COUNTIF(Finding_List!$A:$A,B441)&gt;0,"Yes","No"))</f>
        <v/>
      </c>
    </row>
    <row r="442" spans="1:11" x14ac:dyDescent="0.2">
      <c r="A442" s="9"/>
      <c r="B442" s="9"/>
      <c r="C442" s="9"/>
      <c r="D442" s="9"/>
      <c r="E442" s="9"/>
      <c r="F442" s="9"/>
      <c r="G442" s="9"/>
      <c r="H442" s="9"/>
      <c r="I442" s="10" t="str">
        <f>IF(B442="","",IF(COUNTIF(FUSE_CI!$A:$A,B442)&gt;0,"Yes","No"))</f>
        <v/>
      </c>
      <c r="J442" s="10" t="str">
        <f t="shared" si="6"/>
        <v/>
      </c>
      <c r="K442" s="10" t="str">
        <f>IF(B442="","",IF(COUNTIF(Finding_List!$A:$A,B442)&gt;0,"Yes","No"))</f>
        <v/>
      </c>
    </row>
    <row r="443" spans="1:11" x14ac:dyDescent="0.2">
      <c r="A443" s="5"/>
      <c r="B443" s="5"/>
      <c r="C443" s="5"/>
      <c r="D443" s="5"/>
      <c r="E443" s="5"/>
      <c r="F443" s="5"/>
      <c r="G443" s="5"/>
      <c r="H443" s="5"/>
      <c r="I443" s="10" t="str">
        <f>IF(B443="","",IF(COUNTIF(FUSE_CI!$A:$A,B443)&gt;0,"Yes","No"))</f>
        <v/>
      </c>
      <c r="J443" s="10" t="str">
        <f t="shared" si="6"/>
        <v/>
      </c>
      <c r="K443" s="10" t="str">
        <f>IF(B443="","",IF(COUNTIF(Finding_List!$A:$A,B443)&gt;0,"Yes","No"))</f>
        <v/>
      </c>
    </row>
    <row r="444" spans="1:11" x14ac:dyDescent="0.2">
      <c r="A444" s="9"/>
      <c r="B444" s="9"/>
      <c r="C444" s="9"/>
      <c r="D444" s="9"/>
      <c r="E444" s="9"/>
      <c r="F444" s="9"/>
      <c r="G444" s="9"/>
      <c r="H444" s="9"/>
      <c r="I444" s="10" t="str">
        <f>IF(B444="","",IF(COUNTIF(FUSE_CI!$A:$A,B444)&gt;0,"Yes","No"))</f>
        <v/>
      </c>
      <c r="J444" s="10" t="str">
        <f t="shared" si="6"/>
        <v/>
      </c>
      <c r="K444" s="10" t="str">
        <f>IF(B444="","",IF(COUNTIF(Finding_List!$A:$A,B444)&gt;0,"Yes","No"))</f>
        <v/>
      </c>
    </row>
    <row r="445" spans="1:11" x14ac:dyDescent="0.2">
      <c r="A445" s="5"/>
      <c r="B445" s="5"/>
      <c r="C445" s="5"/>
      <c r="D445" s="5"/>
      <c r="E445" s="5"/>
      <c r="F445" s="5"/>
      <c r="G445" s="5"/>
      <c r="H445" s="5"/>
      <c r="I445" s="10" t="str">
        <f>IF(B445="","",IF(COUNTIF(FUSE_CI!$A:$A,B445)&gt;0,"Yes","No"))</f>
        <v/>
      </c>
      <c r="J445" s="10" t="str">
        <f t="shared" si="6"/>
        <v/>
      </c>
      <c r="K445" s="10" t="str">
        <f>IF(B445="","",IF(COUNTIF(Finding_List!$A:$A,B445)&gt;0,"Yes","No"))</f>
        <v/>
      </c>
    </row>
    <row r="446" spans="1:11" x14ac:dyDescent="0.2">
      <c r="A446" s="9"/>
      <c r="B446" s="9"/>
      <c r="C446" s="9"/>
      <c r="D446" s="9"/>
      <c r="E446" s="9"/>
      <c r="F446" s="9"/>
      <c r="G446" s="9"/>
      <c r="H446" s="9"/>
      <c r="I446" s="10" t="str">
        <f>IF(B446="","",IF(COUNTIF(FUSE_CI!$A:$A,B446)&gt;0,"Yes","No"))</f>
        <v/>
      </c>
      <c r="J446" s="10" t="str">
        <f t="shared" si="6"/>
        <v/>
      </c>
      <c r="K446" s="10" t="str">
        <f>IF(B446="","",IF(COUNTIF(Finding_List!$A:$A,B446)&gt;0,"Yes","No"))</f>
        <v/>
      </c>
    </row>
    <row r="447" spans="1:11" x14ac:dyDescent="0.2">
      <c r="A447" s="5"/>
      <c r="B447" s="5"/>
      <c r="C447" s="5"/>
      <c r="D447" s="5"/>
      <c r="E447" s="5"/>
      <c r="F447" s="5"/>
      <c r="G447" s="5"/>
      <c r="H447" s="5"/>
      <c r="I447" s="10" t="str">
        <f>IF(B447="","",IF(COUNTIF(FUSE_CI!$A:$A,B447)&gt;0,"Yes","No"))</f>
        <v/>
      </c>
      <c r="J447" s="10" t="str">
        <f t="shared" si="6"/>
        <v/>
      </c>
      <c r="K447" s="10" t="str">
        <f>IF(B447="","",IF(COUNTIF(Finding_List!$A:$A,B447)&gt;0,"Yes","No"))</f>
        <v/>
      </c>
    </row>
    <row r="448" spans="1:11" x14ac:dyDescent="0.2">
      <c r="A448" s="9"/>
      <c r="B448" s="9"/>
      <c r="C448" s="9"/>
      <c r="D448" s="9"/>
      <c r="E448" s="9"/>
      <c r="F448" s="9"/>
      <c r="G448" s="9"/>
      <c r="H448" s="9"/>
      <c r="I448" s="10" t="str">
        <f>IF(B448="","",IF(COUNTIF(FUSE_CI!$A:$A,B448)&gt;0,"Yes","No"))</f>
        <v/>
      </c>
      <c r="J448" s="10" t="str">
        <f t="shared" si="6"/>
        <v/>
      </c>
      <c r="K448" s="10" t="str">
        <f>IF(B448="","",IF(COUNTIF(Finding_List!$A:$A,B448)&gt;0,"Yes","No"))</f>
        <v/>
      </c>
    </row>
    <row r="449" spans="1:11" x14ac:dyDescent="0.2">
      <c r="A449" s="5"/>
      <c r="B449" s="5"/>
      <c r="C449" s="5"/>
      <c r="D449" s="5"/>
      <c r="E449" s="5"/>
      <c r="F449" s="5"/>
      <c r="G449" s="5"/>
      <c r="H449" s="5"/>
      <c r="I449" s="10" t="str">
        <f>IF(B449="","",IF(COUNTIF(FUSE_CI!$A:$A,B449)&gt;0,"Yes","No"))</f>
        <v/>
      </c>
      <c r="J449" s="10" t="str">
        <f t="shared" si="6"/>
        <v/>
      </c>
      <c r="K449" s="10" t="str">
        <f>IF(B449="","",IF(COUNTIF(Finding_List!$A:$A,B449)&gt;0,"Yes","No"))</f>
        <v/>
      </c>
    </row>
    <row r="450" spans="1:11" x14ac:dyDescent="0.2">
      <c r="A450" s="9"/>
      <c r="B450" s="9"/>
      <c r="C450" s="9"/>
      <c r="D450" s="9"/>
      <c r="E450" s="9"/>
      <c r="F450" s="9"/>
      <c r="G450" s="9"/>
      <c r="H450" s="9"/>
      <c r="I450" s="10" t="str">
        <f>IF(B450="","",IF(COUNTIF(FUSE_CI!$A:$A,B450)&gt;0,"Yes","No"))</f>
        <v/>
      </c>
      <c r="J450" s="10" t="str">
        <f t="shared" si="6"/>
        <v/>
      </c>
      <c r="K450" s="10" t="str">
        <f>IF(B450="","",IF(COUNTIF(Finding_List!$A:$A,B450)&gt;0,"Yes","No"))</f>
        <v/>
      </c>
    </row>
    <row r="451" spans="1:11" x14ac:dyDescent="0.2">
      <c r="A451" s="5"/>
      <c r="B451" s="5"/>
      <c r="C451" s="5"/>
      <c r="D451" s="5"/>
      <c r="E451" s="5"/>
      <c r="F451" s="5"/>
      <c r="G451" s="5"/>
      <c r="H451" s="5"/>
      <c r="I451" s="10" t="str">
        <f>IF(B451="","",IF(COUNTIF(FUSE_CI!$A:$A,B451)&gt;0,"Yes","No"))</f>
        <v/>
      </c>
      <c r="J451" s="10" t="str">
        <f t="shared" si="6"/>
        <v/>
      </c>
      <c r="K451" s="10" t="str">
        <f>IF(B451="","",IF(COUNTIF(Finding_List!$A:$A,B451)&gt;0,"Yes","No"))</f>
        <v/>
      </c>
    </row>
    <row r="452" spans="1:11" x14ac:dyDescent="0.2">
      <c r="A452" s="9"/>
      <c r="B452" s="9"/>
      <c r="C452" s="9"/>
      <c r="D452" s="9"/>
      <c r="E452" s="9"/>
      <c r="F452" s="9"/>
      <c r="G452" s="9"/>
      <c r="H452" s="9"/>
      <c r="I452" s="10" t="str">
        <f>IF(B452="","",IF(COUNTIF(FUSE_CI!$A:$A,B452)&gt;0,"Yes","No"))</f>
        <v/>
      </c>
      <c r="J452" s="10" t="str">
        <f t="shared" ref="J452:J515" si="7">IF(B452="","",IF(AND(D452&lt;&gt;"High",D452&lt;&gt;"Very High",I452="Yes",K452="No"),"Fast Follower","Not Eligible"))</f>
        <v/>
      </c>
      <c r="K452" s="10" t="str">
        <f>IF(B452="","",IF(COUNTIF(Finding_List!$A:$A,B452)&gt;0,"Yes","No"))</f>
        <v/>
      </c>
    </row>
    <row r="453" spans="1:11" x14ac:dyDescent="0.2">
      <c r="A453" s="5"/>
      <c r="B453" s="5"/>
      <c r="C453" s="5"/>
      <c r="D453" s="5"/>
      <c r="E453" s="5"/>
      <c r="F453" s="5"/>
      <c r="G453" s="5"/>
      <c r="H453" s="5"/>
      <c r="I453" s="10" t="str">
        <f>IF(B453="","",IF(COUNTIF(FUSE_CI!$A:$A,B453)&gt;0,"Yes","No"))</f>
        <v/>
      </c>
      <c r="J453" s="10" t="str">
        <f t="shared" si="7"/>
        <v/>
      </c>
      <c r="K453" s="10" t="str">
        <f>IF(B453="","",IF(COUNTIF(Finding_List!$A:$A,B453)&gt;0,"Yes","No"))</f>
        <v/>
      </c>
    </row>
    <row r="454" spans="1:11" x14ac:dyDescent="0.2">
      <c r="A454" s="9"/>
      <c r="B454" s="9"/>
      <c r="C454" s="9"/>
      <c r="D454" s="9"/>
      <c r="E454" s="9"/>
      <c r="F454" s="9"/>
      <c r="G454" s="9"/>
      <c r="H454" s="9"/>
      <c r="I454" s="10" t="str">
        <f>IF(B454="","",IF(COUNTIF(FUSE_CI!$A:$A,B454)&gt;0,"Yes","No"))</f>
        <v/>
      </c>
      <c r="J454" s="10" t="str">
        <f t="shared" si="7"/>
        <v/>
      </c>
      <c r="K454" s="10" t="str">
        <f>IF(B454="","",IF(COUNTIF(Finding_List!$A:$A,B454)&gt;0,"Yes","No"))</f>
        <v/>
      </c>
    </row>
    <row r="455" spans="1:11" x14ac:dyDescent="0.2">
      <c r="A455" s="5"/>
      <c r="B455" s="5"/>
      <c r="C455" s="5"/>
      <c r="D455" s="5"/>
      <c r="E455" s="5"/>
      <c r="F455" s="5"/>
      <c r="G455" s="5"/>
      <c r="H455" s="5"/>
      <c r="I455" s="10" t="str">
        <f>IF(B455="","",IF(COUNTIF(FUSE_CI!$A:$A,B455)&gt;0,"Yes","No"))</f>
        <v/>
      </c>
      <c r="J455" s="10" t="str">
        <f t="shared" si="7"/>
        <v/>
      </c>
      <c r="K455" s="10" t="str">
        <f>IF(B455="","",IF(COUNTIF(Finding_List!$A:$A,B455)&gt;0,"Yes","No"))</f>
        <v/>
      </c>
    </row>
    <row r="456" spans="1:11" x14ac:dyDescent="0.2">
      <c r="A456" s="9"/>
      <c r="B456" s="9"/>
      <c r="C456" s="9"/>
      <c r="D456" s="9"/>
      <c r="E456" s="9"/>
      <c r="F456" s="9"/>
      <c r="G456" s="9"/>
      <c r="H456" s="9"/>
      <c r="I456" s="10" t="str">
        <f>IF(B456="","",IF(COUNTIF(FUSE_CI!$A:$A,B456)&gt;0,"Yes","No"))</f>
        <v/>
      </c>
      <c r="J456" s="10" t="str">
        <f t="shared" si="7"/>
        <v/>
      </c>
      <c r="K456" s="10" t="str">
        <f>IF(B456="","",IF(COUNTIF(Finding_List!$A:$A,B456)&gt;0,"Yes","No"))</f>
        <v/>
      </c>
    </row>
    <row r="457" spans="1:11" x14ac:dyDescent="0.2">
      <c r="A457" s="5"/>
      <c r="B457" s="5"/>
      <c r="C457" s="5"/>
      <c r="D457" s="5"/>
      <c r="E457" s="5"/>
      <c r="F457" s="5"/>
      <c r="G457" s="5"/>
      <c r="H457" s="5"/>
      <c r="I457" s="10" t="str">
        <f>IF(B457="","",IF(COUNTIF(FUSE_CI!$A:$A,B457)&gt;0,"Yes","No"))</f>
        <v/>
      </c>
      <c r="J457" s="10" t="str">
        <f t="shared" si="7"/>
        <v/>
      </c>
      <c r="K457" s="10" t="str">
        <f>IF(B457="","",IF(COUNTIF(Finding_List!$A:$A,B457)&gt;0,"Yes","No"))</f>
        <v/>
      </c>
    </row>
    <row r="458" spans="1:11" x14ac:dyDescent="0.2">
      <c r="A458" s="9"/>
      <c r="B458" s="9"/>
      <c r="C458" s="9"/>
      <c r="D458" s="9"/>
      <c r="E458" s="9"/>
      <c r="F458" s="9"/>
      <c r="G458" s="9"/>
      <c r="H458" s="9"/>
      <c r="I458" s="10" t="str">
        <f>IF(B458="","",IF(COUNTIF(FUSE_CI!$A:$A,B458)&gt;0,"Yes","No"))</f>
        <v/>
      </c>
      <c r="J458" s="10" t="str">
        <f t="shared" si="7"/>
        <v/>
      </c>
      <c r="K458" s="10" t="str">
        <f>IF(B458="","",IF(COUNTIF(Finding_List!$A:$A,B458)&gt;0,"Yes","No"))</f>
        <v/>
      </c>
    </row>
    <row r="459" spans="1:11" x14ac:dyDescent="0.2">
      <c r="A459" s="5"/>
      <c r="B459" s="5"/>
      <c r="C459" s="5"/>
      <c r="D459" s="5"/>
      <c r="E459" s="5"/>
      <c r="F459" s="5"/>
      <c r="G459" s="5"/>
      <c r="H459" s="5"/>
      <c r="I459" s="10" t="str">
        <f>IF(B459="","",IF(COUNTIF(FUSE_CI!$A:$A,B459)&gt;0,"Yes","No"))</f>
        <v/>
      </c>
      <c r="J459" s="10" t="str">
        <f t="shared" si="7"/>
        <v/>
      </c>
      <c r="K459" s="10" t="str">
        <f>IF(B459="","",IF(COUNTIF(Finding_List!$A:$A,B459)&gt;0,"Yes","No"))</f>
        <v/>
      </c>
    </row>
    <row r="460" spans="1:11" x14ac:dyDescent="0.2">
      <c r="A460" s="9"/>
      <c r="B460" s="9"/>
      <c r="C460" s="9"/>
      <c r="D460" s="9"/>
      <c r="E460" s="9"/>
      <c r="F460" s="9"/>
      <c r="G460" s="9"/>
      <c r="H460" s="9"/>
      <c r="I460" s="10" t="str">
        <f>IF(B460="","",IF(COUNTIF(FUSE_CI!$A:$A,B460)&gt;0,"Yes","No"))</f>
        <v/>
      </c>
      <c r="J460" s="10" t="str">
        <f t="shared" si="7"/>
        <v/>
      </c>
      <c r="K460" s="10" t="str">
        <f>IF(B460="","",IF(COUNTIF(Finding_List!$A:$A,B460)&gt;0,"Yes","No"))</f>
        <v/>
      </c>
    </row>
    <row r="461" spans="1:11" x14ac:dyDescent="0.2">
      <c r="A461" s="5"/>
      <c r="B461" s="5"/>
      <c r="C461" s="5"/>
      <c r="D461" s="5"/>
      <c r="E461" s="5"/>
      <c r="F461" s="5"/>
      <c r="G461" s="5"/>
      <c r="H461" s="5"/>
      <c r="I461" s="10" t="str">
        <f>IF(B461="","",IF(COUNTIF(FUSE_CI!$A:$A,B461)&gt;0,"Yes","No"))</f>
        <v/>
      </c>
      <c r="J461" s="10" t="str">
        <f t="shared" si="7"/>
        <v/>
      </c>
      <c r="K461" s="10" t="str">
        <f>IF(B461="","",IF(COUNTIF(Finding_List!$A:$A,B461)&gt;0,"Yes","No"))</f>
        <v/>
      </c>
    </row>
    <row r="462" spans="1:11" x14ac:dyDescent="0.2">
      <c r="A462" s="9"/>
      <c r="B462" s="9"/>
      <c r="C462" s="9"/>
      <c r="D462" s="9"/>
      <c r="E462" s="9"/>
      <c r="F462" s="9"/>
      <c r="G462" s="9"/>
      <c r="H462" s="9"/>
      <c r="I462" s="10" t="str">
        <f>IF(B462="","",IF(COUNTIF(FUSE_CI!$A:$A,B462)&gt;0,"Yes","No"))</f>
        <v/>
      </c>
      <c r="J462" s="10" t="str">
        <f t="shared" si="7"/>
        <v/>
      </c>
      <c r="K462" s="10" t="str">
        <f>IF(B462="","",IF(COUNTIF(Finding_List!$A:$A,B462)&gt;0,"Yes","No"))</f>
        <v/>
      </c>
    </row>
    <row r="463" spans="1:11" x14ac:dyDescent="0.2">
      <c r="A463" s="5"/>
      <c r="B463" s="5"/>
      <c r="C463" s="5"/>
      <c r="D463" s="5"/>
      <c r="E463" s="5"/>
      <c r="F463" s="5"/>
      <c r="G463" s="5"/>
      <c r="H463" s="5"/>
      <c r="I463" s="10" t="str">
        <f>IF(B463="","",IF(COUNTIF(FUSE_CI!$A:$A,B463)&gt;0,"Yes","No"))</f>
        <v/>
      </c>
      <c r="J463" s="10" t="str">
        <f t="shared" si="7"/>
        <v/>
      </c>
      <c r="K463" s="10" t="str">
        <f>IF(B463="","",IF(COUNTIF(Finding_List!$A:$A,B463)&gt;0,"Yes","No"))</f>
        <v/>
      </c>
    </row>
    <row r="464" spans="1:11" x14ac:dyDescent="0.2">
      <c r="A464" s="9"/>
      <c r="B464" s="9"/>
      <c r="C464" s="9"/>
      <c r="D464" s="9"/>
      <c r="E464" s="9"/>
      <c r="F464" s="9"/>
      <c r="G464" s="9"/>
      <c r="H464" s="9"/>
      <c r="I464" s="10" t="str">
        <f>IF(B464="","",IF(COUNTIF(FUSE_CI!$A:$A,B464)&gt;0,"Yes","No"))</f>
        <v/>
      </c>
      <c r="J464" s="10" t="str">
        <f t="shared" si="7"/>
        <v/>
      </c>
      <c r="K464" s="10" t="str">
        <f>IF(B464="","",IF(COUNTIF(Finding_List!$A:$A,B464)&gt;0,"Yes","No"))</f>
        <v/>
      </c>
    </row>
    <row r="465" spans="1:11" x14ac:dyDescent="0.2">
      <c r="A465" s="5"/>
      <c r="B465" s="5"/>
      <c r="C465" s="5"/>
      <c r="D465" s="5"/>
      <c r="E465" s="5"/>
      <c r="F465" s="5"/>
      <c r="G465" s="5"/>
      <c r="H465" s="5"/>
      <c r="I465" s="10" t="str">
        <f>IF(B465="","",IF(COUNTIF(FUSE_CI!$A:$A,B465)&gt;0,"Yes","No"))</f>
        <v/>
      </c>
      <c r="J465" s="10" t="str">
        <f t="shared" si="7"/>
        <v/>
      </c>
      <c r="K465" s="10" t="str">
        <f>IF(B465="","",IF(COUNTIF(Finding_List!$A:$A,B465)&gt;0,"Yes","No"))</f>
        <v/>
      </c>
    </row>
    <row r="466" spans="1:11" x14ac:dyDescent="0.2">
      <c r="A466" s="9"/>
      <c r="B466" s="9"/>
      <c r="C466" s="9"/>
      <c r="D466" s="9"/>
      <c r="E466" s="9"/>
      <c r="F466" s="9"/>
      <c r="G466" s="9"/>
      <c r="H466" s="9"/>
      <c r="I466" s="10" t="str">
        <f>IF(B466="","",IF(COUNTIF(FUSE_CI!$A:$A,B466)&gt;0,"Yes","No"))</f>
        <v/>
      </c>
      <c r="J466" s="10" t="str">
        <f t="shared" si="7"/>
        <v/>
      </c>
      <c r="K466" s="10" t="str">
        <f>IF(B466="","",IF(COUNTIF(Finding_List!$A:$A,B466)&gt;0,"Yes","No"))</f>
        <v/>
      </c>
    </row>
    <row r="467" spans="1:11" x14ac:dyDescent="0.2">
      <c r="A467" s="5"/>
      <c r="B467" s="5"/>
      <c r="C467" s="5"/>
      <c r="D467" s="5"/>
      <c r="E467" s="5"/>
      <c r="F467" s="5"/>
      <c r="G467" s="5"/>
      <c r="H467" s="5"/>
      <c r="I467" s="10" t="str">
        <f>IF(B467="","",IF(COUNTIF(FUSE_CI!$A:$A,B467)&gt;0,"Yes","No"))</f>
        <v/>
      </c>
      <c r="J467" s="10" t="str">
        <f t="shared" si="7"/>
        <v/>
      </c>
      <c r="K467" s="10" t="str">
        <f>IF(B467="","",IF(COUNTIF(Finding_List!$A:$A,B467)&gt;0,"Yes","No"))</f>
        <v/>
      </c>
    </row>
    <row r="468" spans="1:11" x14ac:dyDescent="0.2">
      <c r="A468" s="9"/>
      <c r="B468" s="9"/>
      <c r="C468" s="9"/>
      <c r="D468" s="9"/>
      <c r="E468" s="9"/>
      <c r="F468" s="9"/>
      <c r="G468" s="9"/>
      <c r="H468" s="9"/>
      <c r="I468" s="10" t="str">
        <f>IF(B468="","",IF(COUNTIF(FUSE_CI!$A:$A,B468)&gt;0,"Yes","No"))</f>
        <v/>
      </c>
      <c r="J468" s="10" t="str">
        <f t="shared" si="7"/>
        <v/>
      </c>
      <c r="K468" s="10" t="str">
        <f>IF(B468="","",IF(COUNTIF(Finding_List!$A:$A,B468)&gt;0,"Yes","No"))</f>
        <v/>
      </c>
    </row>
    <row r="469" spans="1:11" x14ac:dyDescent="0.2">
      <c r="A469" s="5"/>
      <c r="B469" s="5"/>
      <c r="C469" s="5"/>
      <c r="D469" s="5"/>
      <c r="E469" s="5"/>
      <c r="F469" s="5"/>
      <c r="G469" s="5"/>
      <c r="H469" s="5"/>
      <c r="I469" s="10" t="str">
        <f>IF(B469="","",IF(COUNTIF(FUSE_CI!$A:$A,B469)&gt;0,"Yes","No"))</f>
        <v/>
      </c>
      <c r="J469" s="10" t="str">
        <f t="shared" si="7"/>
        <v/>
      </c>
      <c r="K469" s="10" t="str">
        <f>IF(B469="","",IF(COUNTIF(Finding_List!$A:$A,B469)&gt;0,"Yes","No"))</f>
        <v/>
      </c>
    </row>
    <row r="470" spans="1:11" x14ac:dyDescent="0.2">
      <c r="A470" s="9"/>
      <c r="B470" s="9"/>
      <c r="C470" s="9"/>
      <c r="D470" s="9"/>
      <c r="E470" s="9"/>
      <c r="F470" s="9"/>
      <c r="G470" s="9"/>
      <c r="H470" s="9"/>
      <c r="I470" s="10" t="str">
        <f>IF(B470="","",IF(COUNTIF(FUSE_CI!$A:$A,B470)&gt;0,"Yes","No"))</f>
        <v/>
      </c>
      <c r="J470" s="10" t="str">
        <f t="shared" si="7"/>
        <v/>
      </c>
      <c r="K470" s="10" t="str">
        <f>IF(B470="","",IF(COUNTIF(Finding_List!$A:$A,B470)&gt;0,"Yes","No"))</f>
        <v/>
      </c>
    </row>
    <row r="471" spans="1:11" x14ac:dyDescent="0.2">
      <c r="A471" s="5"/>
      <c r="B471" s="5"/>
      <c r="C471" s="5"/>
      <c r="D471" s="5"/>
      <c r="E471" s="5"/>
      <c r="F471" s="5"/>
      <c r="G471" s="5"/>
      <c r="H471" s="5"/>
      <c r="I471" s="10" t="str">
        <f>IF(B471="","",IF(COUNTIF(FUSE_CI!$A:$A,B471)&gt;0,"Yes","No"))</f>
        <v/>
      </c>
      <c r="J471" s="10" t="str">
        <f t="shared" si="7"/>
        <v/>
      </c>
      <c r="K471" s="10" t="str">
        <f>IF(B471="","",IF(COUNTIF(Finding_List!$A:$A,B471)&gt;0,"Yes","No"))</f>
        <v/>
      </c>
    </row>
    <row r="472" spans="1:11" x14ac:dyDescent="0.2">
      <c r="A472" s="9"/>
      <c r="B472" s="9"/>
      <c r="C472" s="9"/>
      <c r="D472" s="9"/>
      <c r="E472" s="9"/>
      <c r="F472" s="9"/>
      <c r="G472" s="9"/>
      <c r="H472" s="9"/>
      <c r="I472" s="10" t="str">
        <f>IF(B472="","",IF(COUNTIF(FUSE_CI!$A:$A,B472)&gt;0,"Yes","No"))</f>
        <v/>
      </c>
      <c r="J472" s="10" t="str">
        <f t="shared" si="7"/>
        <v/>
      </c>
      <c r="K472" s="10" t="str">
        <f>IF(B472="","",IF(COUNTIF(Finding_List!$A:$A,B472)&gt;0,"Yes","No"))</f>
        <v/>
      </c>
    </row>
    <row r="473" spans="1:11" x14ac:dyDescent="0.2">
      <c r="A473" s="5"/>
      <c r="B473" s="5"/>
      <c r="C473" s="5"/>
      <c r="D473" s="5"/>
      <c r="E473" s="5"/>
      <c r="F473" s="5"/>
      <c r="G473" s="5"/>
      <c r="H473" s="5"/>
      <c r="I473" s="10" t="str">
        <f>IF(B473="","",IF(COUNTIF(FUSE_CI!$A:$A,B473)&gt;0,"Yes","No"))</f>
        <v/>
      </c>
      <c r="J473" s="10" t="str">
        <f t="shared" si="7"/>
        <v/>
      </c>
      <c r="K473" s="10" t="str">
        <f>IF(B473="","",IF(COUNTIF(Finding_List!$A:$A,B473)&gt;0,"Yes","No"))</f>
        <v/>
      </c>
    </row>
    <row r="474" spans="1:11" x14ac:dyDescent="0.2">
      <c r="A474" s="9"/>
      <c r="B474" s="9"/>
      <c r="C474" s="9"/>
      <c r="D474" s="9"/>
      <c r="E474" s="9"/>
      <c r="F474" s="9"/>
      <c r="G474" s="9"/>
      <c r="H474" s="9"/>
      <c r="I474" s="10" t="str">
        <f>IF(B474="","",IF(COUNTIF(FUSE_CI!$A:$A,B474)&gt;0,"Yes","No"))</f>
        <v/>
      </c>
      <c r="J474" s="10" t="str">
        <f t="shared" si="7"/>
        <v/>
      </c>
      <c r="K474" s="10" t="str">
        <f>IF(B474="","",IF(COUNTIF(Finding_List!$A:$A,B474)&gt;0,"Yes","No"))</f>
        <v/>
      </c>
    </row>
    <row r="475" spans="1:11" x14ac:dyDescent="0.2">
      <c r="A475" s="5"/>
      <c r="B475" s="5"/>
      <c r="C475" s="5"/>
      <c r="D475" s="5"/>
      <c r="E475" s="5"/>
      <c r="F475" s="5"/>
      <c r="G475" s="5"/>
      <c r="H475" s="5"/>
      <c r="I475" s="10" t="str">
        <f>IF(B475="","",IF(COUNTIF(FUSE_CI!$A:$A,B475)&gt;0,"Yes","No"))</f>
        <v/>
      </c>
      <c r="J475" s="10" t="str">
        <f t="shared" si="7"/>
        <v/>
      </c>
      <c r="K475" s="10" t="str">
        <f>IF(B475="","",IF(COUNTIF(Finding_List!$A:$A,B475)&gt;0,"Yes","No"))</f>
        <v/>
      </c>
    </row>
    <row r="476" spans="1:11" x14ac:dyDescent="0.2">
      <c r="A476" s="9"/>
      <c r="B476" s="9"/>
      <c r="C476" s="9"/>
      <c r="D476" s="9"/>
      <c r="E476" s="9"/>
      <c r="F476" s="9"/>
      <c r="G476" s="9"/>
      <c r="H476" s="9"/>
      <c r="I476" s="10" t="str">
        <f>IF(B476="","",IF(COUNTIF(FUSE_CI!$A:$A,B476)&gt;0,"Yes","No"))</f>
        <v/>
      </c>
      <c r="J476" s="10" t="str">
        <f t="shared" si="7"/>
        <v/>
      </c>
      <c r="K476" s="10" t="str">
        <f>IF(B476="","",IF(COUNTIF(Finding_List!$A:$A,B476)&gt;0,"Yes","No"))</f>
        <v/>
      </c>
    </row>
    <row r="477" spans="1:11" x14ac:dyDescent="0.2">
      <c r="A477" s="5"/>
      <c r="B477" s="5"/>
      <c r="C477" s="5"/>
      <c r="D477" s="5"/>
      <c r="E477" s="5"/>
      <c r="F477" s="5"/>
      <c r="G477" s="5"/>
      <c r="H477" s="5"/>
      <c r="I477" s="10" t="str">
        <f>IF(B477="","",IF(COUNTIF(FUSE_CI!$A:$A,B477)&gt;0,"Yes","No"))</f>
        <v/>
      </c>
      <c r="J477" s="10" t="str">
        <f t="shared" si="7"/>
        <v/>
      </c>
      <c r="K477" s="10" t="str">
        <f>IF(B477="","",IF(COUNTIF(Finding_List!$A:$A,B477)&gt;0,"Yes","No"))</f>
        <v/>
      </c>
    </row>
    <row r="478" spans="1:11" x14ac:dyDescent="0.2">
      <c r="A478" s="9"/>
      <c r="B478" s="9"/>
      <c r="C478" s="9"/>
      <c r="D478" s="9"/>
      <c r="E478" s="9"/>
      <c r="F478" s="9"/>
      <c r="G478" s="9"/>
      <c r="H478" s="9"/>
      <c r="I478" s="10" t="str">
        <f>IF(B478="","",IF(COUNTIF(FUSE_CI!$A:$A,B478)&gt;0,"Yes","No"))</f>
        <v/>
      </c>
      <c r="J478" s="10" t="str">
        <f t="shared" si="7"/>
        <v/>
      </c>
      <c r="K478" s="10" t="str">
        <f>IF(B478="","",IF(COUNTIF(Finding_List!$A:$A,B478)&gt;0,"Yes","No"))</f>
        <v/>
      </c>
    </row>
    <row r="479" spans="1:11" x14ac:dyDescent="0.2">
      <c r="A479" s="5"/>
      <c r="B479" s="5"/>
      <c r="C479" s="5"/>
      <c r="D479" s="5"/>
      <c r="E479" s="5"/>
      <c r="F479" s="5"/>
      <c r="G479" s="5"/>
      <c r="H479" s="5"/>
      <c r="I479" s="10" t="str">
        <f>IF(B479="","",IF(COUNTIF(FUSE_CI!$A:$A,B479)&gt;0,"Yes","No"))</f>
        <v/>
      </c>
      <c r="J479" s="10" t="str">
        <f t="shared" si="7"/>
        <v/>
      </c>
      <c r="K479" s="10" t="str">
        <f>IF(B479="","",IF(COUNTIF(Finding_List!$A:$A,B479)&gt;0,"Yes","No"))</f>
        <v/>
      </c>
    </row>
    <row r="480" spans="1:11" x14ac:dyDescent="0.2">
      <c r="A480" s="9"/>
      <c r="B480" s="9"/>
      <c r="C480" s="9"/>
      <c r="D480" s="9"/>
      <c r="E480" s="9"/>
      <c r="F480" s="9"/>
      <c r="G480" s="9"/>
      <c r="H480" s="9"/>
      <c r="I480" s="10" t="str">
        <f>IF(B480="","",IF(COUNTIF(FUSE_CI!$A:$A,B480)&gt;0,"Yes","No"))</f>
        <v/>
      </c>
      <c r="J480" s="10" t="str">
        <f t="shared" si="7"/>
        <v/>
      </c>
      <c r="K480" s="10" t="str">
        <f>IF(B480="","",IF(COUNTIF(Finding_List!$A:$A,B480)&gt;0,"Yes","No"))</f>
        <v/>
      </c>
    </row>
    <row r="481" spans="1:11" x14ac:dyDescent="0.2">
      <c r="A481" s="5"/>
      <c r="B481" s="5"/>
      <c r="C481" s="5"/>
      <c r="D481" s="5"/>
      <c r="E481" s="5"/>
      <c r="F481" s="5"/>
      <c r="G481" s="5"/>
      <c r="H481" s="5"/>
      <c r="I481" s="10" t="str">
        <f>IF(B481="","",IF(COUNTIF(FUSE_CI!$A:$A,B481)&gt;0,"Yes","No"))</f>
        <v/>
      </c>
      <c r="J481" s="10" t="str">
        <f t="shared" si="7"/>
        <v/>
      </c>
      <c r="K481" s="10" t="str">
        <f>IF(B481="","",IF(COUNTIF(Finding_List!$A:$A,B481)&gt;0,"Yes","No"))</f>
        <v/>
      </c>
    </row>
    <row r="482" spans="1:11" x14ac:dyDescent="0.2">
      <c r="A482" s="9"/>
      <c r="B482" s="9"/>
      <c r="C482" s="9"/>
      <c r="D482" s="9"/>
      <c r="E482" s="9"/>
      <c r="F482" s="9"/>
      <c r="G482" s="9"/>
      <c r="H482" s="9"/>
      <c r="I482" s="10" t="str">
        <f>IF(B482="","",IF(COUNTIF(FUSE_CI!$A:$A,B482)&gt;0,"Yes","No"))</f>
        <v/>
      </c>
      <c r="J482" s="10" t="str">
        <f t="shared" si="7"/>
        <v/>
      </c>
      <c r="K482" s="10" t="str">
        <f>IF(B482="","",IF(COUNTIF(Finding_List!$A:$A,B482)&gt;0,"Yes","No"))</f>
        <v/>
      </c>
    </row>
    <row r="483" spans="1:11" x14ac:dyDescent="0.2">
      <c r="A483" s="5"/>
      <c r="B483" s="5"/>
      <c r="C483" s="5"/>
      <c r="D483" s="5"/>
      <c r="E483" s="5"/>
      <c r="F483" s="5"/>
      <c r="G483" s="5"/>
      <c r="H483" s="5"/>
      <c r="I483" s="10" t="str">
        <f>IF(B483="","",IF(COUNTIF(FUSE_CI!$A:$A,B483)&gt;0,"Yes","No"))</f>
        <v/>
      </c>
      <c r="J483" s="10" t="str">
        <f t="shared" si="7"/>
        <v/>
      </c>
      <c r="K483" s="10" t="str">
        <f>IF(B483="","",IF(COUNTIF(Finding_List!$A:$A,B483)&gt;0,"Yes","No"))</f>
        <v/>
      </c>
    </row>
    <row r="484" spans="1:11" x14ac:dyDescent="0.2">
      <c r="A484" s="9"/>
      <c r="B484" s="9"/>
      <c r="C484" s="9"/>
      <c r="D484" s="9"/>
      <c r="E484" s="9"/>
      <c r="F484" s="9"/>
      <c r="G484" s="9"/>
      <c r="H484" s="9"/>
      <c r="I484" s="10" t="str">
        <f>IF(B484="","",IF(COUNTIF(FUSE_CI!$A:$A,B484)&gt;0,"Yes","No"))</f>
        <v/>
      </c>
      <c r="J484" s="10" t="str">
        <f t="shared" si="7"/>
        <v/>
      </c>
      <c r="K484" s="10" t="str">
        <f>IF(B484="","",IF(COUNTIF(Finding_List!$A:$A,B484)&gt;0,"Yes","No"))</f>
        <v/>
      </c>
    </row>
    <row r="485" spans="1:11" x14ac:dyDescent="0.2">
      <c r="A485" s="5"/>
      <c r="B485" s="5"/>
      <c r="C485" s="5"/>
      <c r="D485" s="5"/>
      <c r="E485" s="5"/>
      <c r="F485" s="5"/>
      <c r="G485" s="5"/>
      <c r="H485" s="5"/>
      <c r="I485" s="10" t="str">
        <f>IF(B485="","",IF(COUNTIF(FUSE_CI!$A:$A,B485)&gt;0,"Yes","No"))</f>
        <v/>
      </c>
      <c r="J485" s="10" t="str">
        <f t="shared" si="7"/>
        <v/>
      </c>
      <c r="K485" s="10" t="str">
        <f>IF(B485="","",IF(COUNTIF(Finding_List!$A:$A,B485)&gt;0,"Yes","No"))</f>
        <v/>
      </c>
    </row>
    <row r="486" spans="1:11" x14ac:dyDescent="0.2">
      <c r="A486" s="9"/>
      <c r="B486" s="9"/>
      <c r="C486" s="9"/>
      <c r="D486" s="9"/>
      <c r="E486" s="9"/>
      <c r="F486" s="9"/>
      <c r="G486" s="9"/>
      <c r="H486" s="9"/>
      <c r="I486" s="10" t="str">
        <f>IF(B486="","",IF(COUNTIF(FUSE_CI!$A:$A,B486)&gt;0,"Yes","No"))</f>
        <v/>
      </c>
      <c r="J486" s="10" t="str">
        <f t="shared" si="7"/>
        <v/>
      </c>
      <c r="K486" s="10" t="str">
        <f>IF(B486="","",IF(COUNTIF(Finding_List!$A:$A,B486)&gt;0,"Yes","No"))</f>
        <v/>
      </c>
    </row>
    <row r="487" spans="1:11" x14ac:dyDescent="0.2">
      <c r="A487" s="5"/>
      <c r="B487" s="5"/>
      <c r="C487" s="5"/>
      <c r="D487" s="5"/>
      <c r="E487" s="5"/>
      <c r="F487" s="5"/>
      <c r="G487" s="5"/>
      <c r="H487" s="5"/>
      <c r="I487" s="10" t="str">
        <f>IF(B487="","",IF(COUNTIF(FUSE_CI!$A:$A,B487)&gt;0,"Yes","No"))</f>
        <v/>
      </c>
      <c r="J487" s="10" t="str">
        <f t="shared" si="7"/>
        <v/>
      </c>
      <c r="K487" s="10" t="str">
        <f>IF(B487="","",IF(COUNTIF(Finding_List!$A:$A,B487)&gt;0,"Yes","No"))</f>
        <v/>
      </c>
    </row>
    <row r="488" spans="1:11" x14ac:dyDescent="0.2">
      <c r="A488" s="9"/>
      <c r="B488" s="9"/>
      <c r="C488" s="9"/>
      <c r="D488" s="9"/>
      <c r="E488" s="9"/>
      <c r="F488" s="9"/>
      <c r="G488" s="9"/>
      <c r="H488" s="9"/>
      <c r="I488" s="10" t="str">
        <f>IF(B488="","",IF(COUNTIF(FUSE_CI!$A:$A,B488)&gt;0,"Yes","No"))</f>
        <v/>
      </c>
      <c r="J488" s="10" t="str">
        <f t="shared" si="7"/>
        <v/>
      </c>
      <c r="K488" s="10" t="str">
        <f>IF(B488="","",IF(COUNTIF(Finding_List!$A:$A,B488)&gt;0,"Yes","No"))</f>
        <v/>
      </c>
    </row>
    <row r="489" spans="1:11" x14ac:dyDescent="0.2">
      <c r="A489" s="5"/>
      <c r="B489" s="5"/>
      <c r="C489" s="5"/>
      <c r="D489" s="5"/>
      <c r="E489" s="5"/>
      <c r="F489" s="5"/>
      <c r="G489" s="5"/>
      <c r="H489" s="5"/>
      <c r="I489" s="10" t="str">
        <f>IF(B489="","",IF(COUNTIF(FUSE_CI!$A:$A,B489)&gt;0,"Yes","No"))</f>
        <v/>
      </c>
      <c r="J489" s="10" t="str">
        <f t="shared" si="7"/>
        <v/>
      </c>
      <c r="K489" s="10" t="str">
        <f>IF(B489="","",IF(COUNTIF(Finding_List!$A:$A,B489)&gt;0,"Yes","No"))</f>
        <v/>
      </c>
    </row>
    <row r="490" spans="1:11" x14ac:dyDescent="0.2">
      <c r="A490" s="9"/>
      <c r="B490" s="9"/>
      <c r="C490" s="9"/>
      <c r="D490" s="9"/>
      <c r="E490" s="9"/>
      <c r="F490" s="9"/>
      <c r="G490" s="9"/>
      <c r="H490" s="9"/>
      <c r="I490" s="10" t="str">
        <f>IF(B490="","",IF(COUNTIF(FUSE_CI!$A:$A,B490)&gt;0,"Yes","No"))</f>
        <v/>
      </c>
      <c r="J490" s="10" t="str">
        <f t="shared" si="7"/>
        <v/>
      </c>
      <c r="K490" s="10" t="str">
        <f>IF(B490="","",IF(COUNTIF(Finding_List!$A:$A,B490)&gt;0,"Yes","No"))</f>
        <v/>
      </c>
    </row>
    <row r="491" spans="1:11" x14ac:dyDescent="0.2">
      <c r="A491" s="5"/>
      <c r="B491" s="5"/>
      <c r="C491" s="5"/>
      <c r="D491" s="5"/>
      <c r="E491" s="5"/>
      <c r="F491" s="5"/>
      <c r="G491" s="5"/>
      <c r="H491" s="5"/>
      <c r="I491" s="10" t="str">
        <f>IF(B491="","",IF(COUNTIF(FUSE_CI!$A:$A,B491)&gt;0,"Yes","No"))</f>
        <v/>
      </c>
      <c r="J491" s="10" t="str">
        <f t="shared" si="7"/>
        <v/>
      </c>
      <c r="K491" s="10" t="str">
        <f>IF(B491="","",IF(COUNTIF(Finding_List!$A:$A,B491)&gt;0,"Yes","No"))</f>
        <v/>
      </c>
    </row>
    <row r="492" spans="1:11" x14ac:dyDescent="0.2">
      <c r="A492" s="9"/>
      <c r="B492" s="9"/>
      <c r="C492" s="9"/>
      <c r="D492" s="9"/>
      <c r="E492" s="9"/>
      <c r="F492" s="9"/>
      <c r="G492" s="9"/>
      <c r="H492" s="9"/>
      <c r="I492" s="10" t="str">
        <f>IF(B492="","",IF(COUNTIF(FUSE_CI!$A:$A,B492)&gt;0,"Yes","No"))</f>
        <v/>
      </c>
      <c r="J492" s="10" t="str">
        <f t="shared" si="7"/>
        <v/>
      </c>
      <c r="K492" s="10" t="str">
        <f>IF(B492="","",IF(COUNTIF(Finding_List!$A:$A,B492)&gt;0,"Yes","No"))</f>
        <v/>
      </c>
    </row>
    <row r="493" spans="1:11" x14ac:dyDescent="0.2">
      <c r="A493" s="5"/>
      <c r="B493" s="5"/>
      <c r="C493" s="5"/>
      <c r="D493" s="5"/>
      <c r="E493" s="5"/>
      <c r="F493" s="5"/>
      <c r="G493" s="5"/>
      <c r="H493" s="5"/>
      <c r="I493" s="10" t="str">
        <f>IF(B493="","",IF(COUNTIF(FUSE_CI!$A:$A,B493)&gt;0,"Yes","No"))</f>
        <v/>
      </c>
      <c r="J493" s="10" t="str">
        <f t="shared" si="7"/>
        <v/>
      </c>
      <c r="K493" s="10" t="str">
        <f>IF(B493="","",IF(COUNTIF(Finding_List!$A:$A,B493)&gt;0,"Yes","No"))</f>
        <v/>
      </c>
    </row>
    <row r="494" spans="1:11" x14ac:dyDescent="0.2">
      <c r="A494" s="9"/>
      <c r="B494" s="9"/>
      <c r="C494" s="9"/>
      <c r="D494" s="9"/>
      <c r="E494" s="9"/>
      <c r="F494" s="9"/>
      <c r="G494" s="9"/>
      <c r="H494" s="9"/>
      <c r="I494" s="10" t="str">
        <f>IF(B494="","",IF(COUNTIF(FUSE_CI!$A:$A,B494)&gt;0,"Yes","No"))</f>
        <v/>
      </c>
      <c r="J494" s="10" t="str">
        <f t="shared" si="7"/>
        <v/>
      </c>
      <c r="K494" s="10" t="str">
        <f>IF(B494="","",IF(COUNTIF(Finding_List!$A:$A,B494)&gt;0,"Yes","No"))</f>
        <v/>
      </c>
    </row>
    <row r="495" spans="1:11" x14ac:dyDescent="0.2">
      <c r="A495" s="5"/>
      <c r="B495" s="5"/>
      <c r="C495" s="5"/>
      <c r="D495" s="5"/>
      <c r="E495" s="5"/>
      <c r="F495" s="5"/>
      <c r="G495" s="5"/>
      <c r="H495" s="5"/>
      <c r="I495" s="10" t="str">
        <f>IF(B495="","",IF(COUNTIF(FUSE_CI!$A:$A,B495)&gt;0,"Yes","No"))</f>
        <v/>
      </c>
      <c r="J495" s="10" t="str">
        <f t="shared" si="7"/>
        <v/>
      </c>
      <c r="K495" s="10" t="str">
        <f>IF(B495="","",IF(COUNTIF(Finding_List!$A:$A,B495)&gt;0,"Yes","No"))</f>
        <v/>
      </c>
    </row>
    <row r="496" spans="1:11" x14ac:dyDescent="0.2">
      <c r="A496" s="9"/>
      <c r="B496" s="9"/>
      <c r="C496" s="9"/>
      <c r="D496" s="9"/>
      <c r="E496" s="9"/>
      <c r="F496" s="9"/>
      <c r="G496" s="9"/>
      <c r="H496" s="9"/>
      <c r="I496" s="10" t="str">
        <f>IF(B496="","",IF(COUNTIF(FUSE_CI!$A:$A,B496)&gt;0,"Yes","No"))</f>
        <v/>
      </c>
      <c r="J496" s="10" t="str">
        <f t="shared" si="7"/>
        <v/>
      </c>
      <c r="K496" s="10" t="str">
        <f>IF(B496="","",IF(COUNTIF(Finding_List!$A:$A,B496)&gt;0,"Yes","No"))</f>
        <v/>
      </c>
    </row>
    <row r="497" spans="1:11" x14ac:dyDescent="0.2">
      <c r="A497" s="5"/>
      <c r="B497" s="5"/>
      <c r="C497" s="5"/>
      <c r="D497" s="5"/>
      <c r="E497" s="5"/>
      <c r="F497" s="5"/>
      <c r="G497" s="5"/>
      <c r="H497" s="5"/>
      <c r="I497" s="10" t="str">
        <f>IF(B497="","",IF(COUNTIF(FUSE_CI!$A:$A,B497)&gt;0,"Yes","No"))</f>
        <v/>
      </c>
      <c r="J497" s="10" t="str">
        <f t="shared" si="7"/>
        <v/>
      </c>
      <c r="K497" s="10" t="str">
        <f>IF(B497="","",IF(COUNTIF(Finding_List!$A:$A,B497)&gt;0,"Yes","No"))</f>
        <v/>
      </c>
    </row>
    <row r="498" spans="1:11" x14ac:dyDescent="0.2">
      <c r="A498" s="9"/>
      <c r="B498" s="9"/>
      <c r="C498" s="9"/>
      <c r="D498" s="9"/>
      <c r="E498" s="9"/>
      <c r="F498" s="9"/>
      <c r="G498" s="9"/>
      <c r="H498" s="9"/>
      <c r="I498" s="10" t="str">
        <f>IF(B498="","",IF(COUNTIF(FUSE_CI!$A:$A,B498)&gt;0,"Yes","No"))</f>
        <v/>
      </c>
      <c r="J498" s="10" t="str">
        <f t="shared" si="7"/>
        <v/>
      </c>
      <c r="K498" s="10" t="str">
        <f>IF(B498="","",IF(COUNTIF(Finding_List!$A:$A,B498)&gt;0,"Yes","No"))</f>
        <v/>
      </c>
    </row>
    <row r="499" spans="1:11" x14ac:dyDescent="0.2">
      <c r="A499" s="5"/>
      <c r="B499" s="5"/>
      <c r="C499" s="5"/>
      <c r="D499" s="5"/>
      <c r="E499" s="5"/>
      <c r="F499" s="5"/>
      <c r="G499" s="5"/>
      <c r="H499" s="5"/>
      <c r="I499" s="10" t="str">
        <f>IF(B499="","",IF(COUNTIF(FUSE_CI!$A:$A,B499)&gt;0,"Yes","No"))</f>
        <v/>
      </c>
      <c r="J499" s="10" t="str">
        <f t="shared" si="7"/>
        <v/>
      </c>
      <c r="K499" s="10" t="str">
        <f>IF(B499="","",IF(COUNTIF(Finding_List!$A:$A,B499)&gt;0,"Yes","No"))</f>
        <v/>
      </c>
    </row>
    <row r="500" spans="1:11" x14ac:dyDescent="0.2">
      <c r="A500" s="9"/>
      <c r="B500" s="9"/>
      <c r="C500" s="9"/>
      <c r="D500" s="9"/>
      <c r="E500" s="9"/>
      <c r="F500" s="9"/>
      <c r="G500" s="9"/>
      <c r="H500" s="9"/>
      <c r="I500" s="10" t="str">
        <f>IF(B500="","",IF(COUNTIF(FUSE_CI!$A:$A,B500)&gt;0,"Yes","No"))</f>
        <v/>
      </c>
      <c r="J500" s="10" t="str">
        <f t="shared" si="7"/>
        <v/>
      </c>
      <c r="K500" s="10" t="str">
        <f>IF(B500="","",IF(COUNTIF(Finding_List!$A:$A,B500)&gt;0,"Yes","No"))</f>
        <v/>
      </c>
    </row>
    <row r="501" spans="1:11" x14ac:dyDescent="0.2">
      <c r="A501" s="5"/>
      <c r="B501" s="5"/>
      <c r="C501" s="5"/>
      <c r="D501" s="5"/>
      <c r="E501" s="5"/>
      <c r="F501" s="5"/>
      <c r="G501" s="5"/>
      <c r="H501" s="5"/>
      <c r="I501" s="10" t="str">
        <f>IF(B501="","",IF(COUNTIF(FUSE_CI!$A:$A,B501)&gt;0,"Yes","No"))</f>
        <v/>
      </c>
      <c r="J501" s="10" t="str">
        <f t="shared" si="7"/>
        <v/>
      </c>
      <c r="K501" s="10" t="str">
        <f>IF(B501="","",IF(COUNTIF(Finding_List!$A:$A,B501)&gt;0,"Yes","No"))</f>
        <v/>
      </c>
    </row>
    <row r="502" spans="1:11" x14ac:dyDescent="0.2">
      <c r="A502" s="9"/>
      <c r="B502" s="9"/>
      <c r="C502" s="9"/>
      <c r="D502" s="9"/>
      <c r="E502" s="9"/>
      <c r="F502" s="9"/>
      <c r="G502" s="9"/>
      <c r="H502" s="9"/>
      <c r="I502" s="10" t="str">
        <f>IF(B502="","",IF(COUNTIF(FUSE_CI!$A:$A,B502)&gt;0,"Yes","No"))</f>
        <v/>
      </c>
      <c r="J502" s="10" t="str">
        <f t="shared" si="7"/>
        <v/>
      </c>
      <c r="K502" s="10" t="str">
        <f>IF(B502="","",IF(COUNTIF(Finding_List!$A:$A,B502)&gt;0,"Yes","No"))</f>
        <v/>
      </c>
    </row>
    <row r="503" spans="1:11" x14ac:dyDescent="0.2">
      <c r="A503" s="5"/>
      <c r="B503" s="5"/>
      <c r="C503" s="5"/>
      <c r="D503" s="5"/>
      <c r="E503" s="5"/>
      <c r="F503" s="5"/>
      <c r="G503" s="5"/>
      <c r="H503" s="5"/>
      <c r="I503" s="10" t="str">
        <f>IF(B503="","",IF(COUNTIF(FUSE_CI!$A:$A,B503)&gt;0,"Yes","No"))</f>
        <v/>
      </c>
      <c r="J503" s="10" t="str">
        <f t="shared" si="7"/>
        <v/>
      </c>
      <c r="K503" s="10" t="str">
        <f>IF(B503="","",IF(COUNTIF(Finding_List!$A:$A,B503)&gt;0,"Yes","No"))</f>
        <v/>
      </c>
    </row>
    <row r="504" spans="1:11" x14ac:dyDescent="0.2">
      <c r="A504" s="9"/>
      <c r="B504" s="9"/>
      <c r="C504" s="9"/>
      <c r="D504" s="9"/>
      <c r="E504" s="9"/>
      <c r="F504" s="9"/>
      <c r="G504" s="9"/>
      <c r="H504" s="9"/>
      <c r="I504" s="10" t="str">
        <f>IF(B504="","",IF(COUNTIF(FUSE_CI!$A:$A,B504)&gt;0,"Yes","No"))</f>
        <v/>
      </c>
      <c r="J504" s="10" t="str">
        <f t="shared" si="7"/>
        <v/>
      </c>
      <c r="K504" s="10" t="str">
        <f>IF(B504="","",IF(COUNTIF(Finding_List!$A:$A,B504)&gt;0,"Yes","No"))</f>
        <v/>
      </c>
    </row>
    <row r="505" spans="1:11" x14ac:dyDescent="0.2">
      <c r="A505" s="5"/>
      <c r="B505" s="5"/>
      <c r="C505" s="5"/>
      <c r="D505" s="5"/>
      <c r="E505" s="5"/>
      <c r="F505" s="5"/>
      <c r="G505" s="5"/>
      <c r="H505" s="5"/>
      <c r="I505" s="10" t="str">
        <f>IF(B505="","",IF(COUNTIF(FUSE_CI!$A:$A,B505)&gt;0,"Yes","No"))</f>
        <v/>
      </c>
      <c r="J505" s="10" t="str">
        <f t="shared" si="7"/>
        <v/>
      </c>
      <c r="K505" s="10" t="str">
        <f>IF(B505="","",IF(COUNTIF(Finding_List!$A:$A,B505)&gt;0,"Yes","No"))</f>
        <v/>
      </c>
    </row>
    <row r="506" spans="1:11" x14ac:dyDescent="0.2">
      <c r="A506" s="9"/>
      <c r="B506" s="9"/>
      <c r="C506" s="9"/>
      <c r="D506" s="9"/>
      <c r="E506" s="9"/>
      <c r="F506" s="9"/>
      <c r="G506" s="9"/>
      <c r="H506" s="9"/>
      <c r="I506" s="10" t="str">
        <f>IF(B506="","",IF(COUNTIF(FUSE_CI!$A:$A,B506)&gt;0,"Yes","No"))</f>
        <v/>
      </c>
      <c r="J506" s="10" t="str">
        <f t="shared" si="7"/>
        <v/>
      </c>
      <c r="K506" s="10" t="str">
        <f>IF(B506="","",IF(COUNTIF(Finding_List!$A:$A,B506)&gt;0,"Yes","No"))</f>
        <v/>
      </c>
    </row>
    <row r="507" spans="1:11" x14ac:dyDescent="0.2">
      <c r="A507" s="5"/>
      <c r="B507" s="5"/>
      <c r="C507" s="5"/>
      <c r="D507" s="5"/>
      <c r="E507" s="5"/>
      <c r="F507" s="5"/>
      <c r="G507" s="5"/>
      <c r="H507" s="5"/>
      <c r="I507" s="10" t="str">
        <f>IF(B507="","",IF(COUNTIF(FUSE_CI!$A:$A,B507)&gt;0,"Yes","No"))</f>
        <v/>
      </c>
      <c r="J507" s="10" t="str">
        <f t="shared" si="7"/>
        <v/>
      </c>
      <c r="K507" s="10" t="str">
        <f>IF(B507="","",IF(COUNTIF(Finding_List!$A:$A,B507)&gt;0,"Yes","No"))</f>
        <v/>
      </c>
    </row>
    <row r="508" spans="1:11" x14ac:dyDescent="0.2">
      <c r="A508" s="9"/>
      <c r="B508" s="9"/>
      <c r="C508" s="9"/>
      <c r="D508" s="9"/>
      <c r="E508" s="9"/>
      <c r="F508" s="9"/>
      <c r="G508" s="9"/>
      <c r="H508" s="9"/>
      <c r="I508" s="10" t="str">
        <f>IF(B508="","",IF(COUNTIF(FUSE_CI!$A:$A,B508)&gt;0,"Yes","No"))</f>
        <v/>
      </c>
      <c r="J508" s="10" t="str">
        <f t="shared" si="7"/>
        <v/>
      </c>
      <c r="K508" s="10" t="str">
        <f>IF(B508="","",IF(COUNTIF(Finding_List!$A:$A,B508)&gt;0,"Yes","No"))</f>
        <v/>
      </c>
    </row>
    <row r="509" spans="1:11" x14ac:dyDescent="0.2">
      <c r="A509" s="5"/>
      <c r="B509" s="5"/>
      <c r="C509" s="5"/>
      <c r="D509" s="5"/>
      <c r="E509" s="5"/>
      <c r="F509" s="5"/>
      <c r="G509" s="5"/>
      <c r="H509" s="5"/>
      <c r="I509" s="10" t="str">
        <f>IF(B509="","",IF(COUNTIF(FUSE_CI!$A:$A,B509)&gt;0,"Yes","No"))</f>
        <v/>
      </c>
      <c r="J509" s="10" t="str">
        <f t="shared" si="7"/>
        <v/>
      </c>
      <c r="K509" s="10" t="str">
        <f>IF(B509="","",IF(COUNTIF(Finding_List!$A:$A,B509)&gt;0,"Yes","No"))</f>
        <v/>
      </c>
    </row>
    <row r="510" spans="1:11" x14ac:dyDescent="0.2">
      <c r="A510" s="9"/>
      <c r="B510" s="9"/>
      <c r="C510" s="9"/>
      <c r="D510" s="9"/>
      <c r="E510" s="9"/>
      <c r="F510" s="9"/>
      <c r="G510" s="9"/>
      <c r="H510" s="9"/>
      <c r="I510" s="10" t="str">
        <f>IF(B510="","",IF(COUNTIF(FUSE_CI!$A:$A,B510)&gt;0,"Yes","No"))</f>
        <v/>
      </c>
      <c r="J510" s="10" t="str">
        <f t="shared" si="7"/>
        <v/>
      </c>
      <c r="K510" s="10" t="str">
        <f>IF(B510="","",IF(COUNTIF(Finding_List!$A:$A,B510)&gt;0,"Yes","No"))</f>
        <v/>
      </c>
    </row>
    <row r="511" spans="1:11" x14ac:dyDescent="0.2">
      <c r="A511" s="5"/>
      <c r="B511" s="5"/>
      <c r="C511" s="5"/>
      <c r="D511" s="5"/>
      <c r="E511" s="5"/>
      <c r="F511" s="5"/>
      <c r="G511" s="5"/>
      <c r="H511" s="5"/>
      <c r="I511" s="10" t="str">
        <f>IF(B511="","",IF(COUNTIF(FUSE_CI!$A:$A,B511)&gt;0,"Yes","No"))</f>
        <v/>
      </c>
      <c r="J511" s="10" t="str">
        <f t="shared" si="7"/>
        <v/>
      </c>
      <c r="K511" s="10" t="str">
        <f>IF(B511="","",IF(COUNTIF(Finding_List!$A:$A,B511)&gt;0,"Yes","No"))</f>
        <v/>
      </c>
    </row>
    <row r="512" spans="1:11" x14ac:dyDescent="0.2">
      <c r="A512" s="9"/>
      <c r="B512" s="9"/>
      <c r="C512" s="9"/>
      <c r="D512" s="9"/>
      <c r="E512" s="9"/>
      <c r="F512" s="9"/>
      <c r="G512" s="9"/>
      <c r="H512" s="9"/>
      <c r="I512" s="10" t="str">
        <f>IF(B512="","",IF(COUNTIF(FUSE_CI!$A:$A,B512)&gt;0,"Yes","No"))</f>
        <v/>
      </c>
      <c r="J512" s="10" t="str">
        <f t="shared" si="7"/>
        <v/>
      </c>
      <c r="K512" s="10" t="str">
        <f>IF(B512="","",IF(COUNTIF(Finding_List!$A:$A,B512)&gt;0,"Yes","No"))</f>
        <v/>
      </c>
    </row>
    <row r="513" spans="1:11" x14ac:dyDescent="0.2">
      <c r="A513" s="5"/>
      <c r="B513" s="5"/>
      <c r="C513" s="5"/>
      <c r="D513" s="5"/>
      <c r="E513" s="5"/>
      <c r="F513" s="5"/>
      <c r="G513" s="5"/>
      <c r="H513" s="5"/>
      <c r="I513" s="10" t="str">
        <f>IF(B513="","",IF(COUNTIF(FUSE_CI!$A:$A,B513)&gt;0,"Yes","No"))</f>
        <v/>
      </c>
      <c r="J513" s="10" t="str">
        <f t="shared" si="7"/>
        <v/>
      </c>
      <c r="K513" s="10" t="str">
        <f>IF(B513="","",IF(COUNTIF(Finding_List!$A:$A,B513)&gt;0,"Yes","No"))</f>
        <v/>
      </c>
    </row>
    <row r="514" spans="1:11" x14ac:dyDescent="0.2">
      <c r="A514" s="9"/>
      <c r="B514" s="9"/>
      <c r="C514" s="9"/>
      <c r="D514" s="9"/>
      <c r="E514" s="9"/>
      <c r="F514" s="9"/>
      <c r="G514" s="9"/>
      <c r="H514" s="9"/>
      <c r="I514" s="10" t="str">
        <f>IF(B514="","",IF(COUNTIF(FUSE_CI!$A:$A,B514)&gt;0,"Yes","No"))</f>
        <v/>
      </c>
      <c r="J514" s="10" t="str">
        <f t="shared" si="7"/>
        <v/>
      </c>
      <c r="K514" s="10" t="str">
        <f>IF(B514="","",IF(COUNTIF(Finding_List!$A:$A,B514)&gt;0,"Yes","No"))</f>
        <v/>
      </c>
    </row>
    <row r="515" spans="1:11" x14ac:dyDescent="0.2">
      <c r="A515" s="5"/>
      <c r="B515" s="5"/>
      <c r="C515" s="5"/>
      <c r="D515" s="5"/>
      <c r="E515" s="5"/>
      <c r="F515" s="5"/>
      <c r="G515" s="5"/>
      <c r="H515" s="5"/>
      <c r="I515" s="10" t="str">
        <f>IF(B515="","",IF(COUNTIF(FUSE_CI!$A:$A,B515)&gt;0,"Yes","No"))</f>
        <v/>
      </c>
      <c r="J515" s="10" t="str">
        <f t="shared" si="7"/>
        <v/>
      </c>
      <c r="K515" s="10" t="str">
        <f>IF(B515="","",IF(COUNTIF(Finding_List!$A:$A,B515)&gt;0,"Yes","No"))</f>
        <v/>
      </c>
    </row>
    <row r="516" spans="1:11" x14ac:dyDescent="0.2">
      <c r="A516" s="9"/>
      <c r="B516" s="9"/>
      <c r="C516" s="9"/>
      <c r="D516" s="9"/>
      <c r="E516" s="9"/>
      <c r="F516" s="9"/>
      <c r="G516" s="9"/>
      <c r="H516" s="9"/>
      <c r="I516" s="10" t="str">
        <f>IF(B516="","",IF(COUNTIF(FUSE_CI!$A:$A,B516)&gt;0,"Yes","No"))</f>
        <v/>
      </c>
      <c r="J516" s="10" t="str">
        <f t="shared" ref="J516:J579" si="8">IF(B516="","",IF(AND(D516&lt;&gt;"High",D516&lt;&gt;"Very High",I516="Yes",K516="No"),"Fast Follower","Not Eligible"))</f>
        <v/>
      </c>
      <c r="K516" s="10" t="str">
        <f>IF(B516="","",IF(COUNTIF(Finding_List!$A:$A,B516)&gt;0,"Yes","No"))</f>
        <v/>
      </c>
    </row>
    <row r="517" spans="1:11" x14ac:dyDescent="0.2">
      <c r="A517" s="5"/>
      <c r="B517" s="5"/>
      <c r="C517" s="5"/>
      <c r="D517" s="5"/>
      <c r="E517" s="5"/>
      <c r="F517" s="5"/>
      <c r="G517" s="5"/>
      <c r="H517" s="5"/>
      <c r="I517" s="10" t="str">
        <f>IF(B517="","",IF(COUNTIF(FUSE_CI!$A:$A,B517)&gt;0,"Yes","No"))</f>
        <v/>
      </c>
      <c r="J517" s="10" t="str">
        <f t="shared" si="8"/>
        <v/>
      </c>
      <c r="K517" s="10" t="str">
        <f>IF(B517="","",IF(COUNTIF(Finding_List!$A:$A,B517)&gt;0,"Yes","No"))</f>
        <v/>
      </c>
    </row>
    <row r="518" spans="1:11" x14ac:dyDescent="0.2">
      <c r="A518" s="9"/>
      <c r="B518" s="9"/>
      <c r="C518" s="9"/>
      <c r="D518" s="9"/>
      <c r="E518" s="9"/>
      <c r="F518" s="9"/>
      <c r="G518" s="9"/>
      <c r="H518" s="9"/>
      <c r="I518" s="10" t="str">
        <f>IF(B518="","",IF(COUNTIF(FUSE_CI!$A:$A,B518)&gt;0,"Yes","No"))</f>
        <v/>
      </c>
      <c r="J518" s="10" t="str">
        <f t="shared" si="8"/>
        <v/>
      </c>
      <c r="K518" s="10" t="str">
        <f>IF(B518="","",IF(COUNTIF(Finding_List!$A:$A,B518)&gt;0,"Yes","No"))</f>
        <v/>
      </c>
    </row>
    <row r="519" spans="1:11" x14ac:dyDescent="0.2">
      <c r="A519" s="5"/>
      <c r="B519" s="5"/>
      <c r="C519" s="5"/>
      <c r="D519" s="5"/>
      <c r="E519" s="5"/>
      <c r="F519" s="5"/>
      <c r="G519" s="5"/>
      <c r="H519" s="5"/>
      <c r="I519" s="10" t="str">
        <f>IF(B519="","",IF(COUNTIF(FUSE_CI!$A:$A,B519)&gt;0,"Yes","No"))</f>
        <v/>
      </c>
      <c r="J519" s="10" t="str">
        <f t="shared" si="8"/>
        <v/>
      </c>
      <c r="K519" s="10" t="str">
        <f>IF(B519="","",IF(COUNTIF(Finding_List!$A:$A,B519)&gt;0,"Yes","No"))</f>
        <v/>
      </c>
    </row>
    <row r="520" spans="1:11" x14ac:dyDescent="0.2">
      <c r="A520" s="9"/>
      <c r="B520" s="9"/>
      <c r="C520" s="9"/>
      <c r="D520" s="9"/>
      <c r="E520" s="9"/>
      <c r="F520" s="9"/>
      <c r="G520" s="9"/>
      <c r="H520" s="9"/>
      <c r="I520" s="10" t="str">
        <f>IF(B520="","",IF(COUNTIF(FUSE_CI!$A:$A,B520)&gt;0,"Yes","No"))</f>
        <v/>
      </c>
      <c r="J520" s="10" t="str">
        <f t="shared" si="8"/>
        <v/>
      </c>
      <c r="K520" s="10" t="str">
        <f>IF(B520="","",IF(COUNTIF(Finding_List!$A:$A,B520)&gt;0,"Yes","No"))</f>
        <v/>
      </c>
    </row>
    <row r="521" spans="1:11" x14ac:dyDescent="0.2">
      <c r="A521" s="5"/>
      <c r="B521" s="5"/>
      <c r="C521" s="5"/>
      <c r="D521" s="5"/>
      <c r="E521" s="5"/>
      <c r="F521" s="5"/>
      <c r="G521" s="5"/>
      <c r="H521" s="5"/>
      <c r="I521" s="10" t="str">
        <f>IF(B521="","",IF(COUNTIF(FUSE_CI!$A:$A,B521)&gt;0,"Yes","No"))</f>
        <v/>
      </c>
      <c r="J521" s="10" t="str">
        <f t="shared" si="8"/>
        <v/>
      </c>
      <c r="K521" s="10" t="str">
        <f>IF(B521="","",IF(COUNTIF(Finding_List!$A:$A,B521)&gt;0,"Yes","No"))</f>
        <v/>
      </c>
    </row>
    <row r="522" spans="1:11" x14ac:dyDescent="0.2">
      <c r="A522" s="9"/>
      <c r="B522" s="9"/>
      <c r="C522" s="9"/>
      <c r="D522" s="9"/>
      <c r="E522" s="9"/>
      <c r="F522" s="9"/>
      <c r="G522" s="9"/>
      <c r="H522" s="9"/>
      <c r="I522" s="10" t="str">
        <f>IF(B522="","",IF(COUNTIF(FUSE_CI!$A:$A,B522)&gt;0,"Yes","No"))</f>
        <v/>
      </c>
      <c r="J522" s="10" t="str">
        <f t="shared" si="8"/>
        <v/>
      </c>
      <c r="K522" s="10" t="str">
        <f>IF(B522="","",IF(COUNTIF(Finding_List!$A:$A,B522)&gt;0,"Yes","No"))</f>
        <v/>
      </c>
    </row>
    <row r="523" spans="1:11" x14ac:dyDescent="0.2">
      <c r="A523" s="5"/>
      <c r="B523" s="5"/>
      <c r="C523" s="5"/>
      <c r="D523" s="5"/>
      <c r="E523" s="5"/>
      <c r="F523" s="5"/>
      <c r="G523" s="5"/>
      <c r="H523" s="5"/>
      <c r="I523" s="10" t="str">
        <f>IF(B523="","",IF(COUNTIF(FUSE_CI!$A:$A,B523)&gt;0,"Yes","No"))</f>
        <v/>
      </c>
      <c r="J523" s="10" t="str">
        <f t="shared" si="8"/>
        <v/>
      </c>
      <c r="K523" s="10" t="str">
        <f>IF(B523="","",IF(COUNTIF(Finding_List!$A:$A,B523)&gt;0,"Yes","No"))</f>
        <v/>
      </c>
    </row>
    <row r="524" spans="1:11" x14ac:dyDescent="0.2">
      <c r="A524" s="9"/>
      <c r="B524" s="9"/>
      <c r="C524" s="9"/>
      <c r="D524" s="9"/>
      <c r="E524" s="9"/>
      <c r="F524" s="9"/>
      <c r="G524" s="9"/>
      <c r="H524" s="9"/>
      <c r="I524" s="10" t="str">
        <f>IF(B524="","",IF(COUNTIF(FUSE_CI!$A:$A,B524)&gt;0,"Yes","No"))</f>
        <v/>
      </c>
      <c r="J524" s="10" t="str">
        <f t="shared" si="8"/>
        <v/>
      </c>
      <c r="K524" s="10" t="str">
        <f>IF(B524="","",IF(COUNTIF(Finding_List!$A:$A,B524)&gt;0,"Yes","No"))</f>
        <v/>
      </c>
    </row>
    <row r="525" spans="1:11" x14ac:dyDescent="0.2">
      <c r="A525" s="5"/>
      <c r="B525" s="5"/>
      <c r="C525" s="5"/>
      <c r="D525" s="5"/>
      <c r="E525" s="5"/>
      <c r="F525" s="5"/>
      <c r="G525" s="5"/>
      <c r="H525" s="5"/>
      <c r="I525" s="10" t="str">
        <f>IF(B525="","",IF(COUNTIF(FUSE_CI!$A:$A,B525)&gt;0,"Yes","No"))</f>
        <v/>
      </c>
      <c r="J525" s="10" t="str">
        <f t="shared" si="8"/>
        <v/>
      </c>
      <c r="K525" s="10" t="str">
        <f>IF(B525="","",IF(COUNTIF(Finding_List!$A:$A,B525)&gt;0,"Yes","No"))</f>
        <v/>
      </c>
    </row>
    <row r="526" spans="1:11" x14ac:dyDescent="0.2">
      <c r="A526" s="9"/>
      <c r="B526" s="9"/>
      <c r="C526" s="9"/>
      <c r="D526" s="9"/>
      <c r="E526" s="9"/>
      <c r="F526" s="9"/>
      <c r="G526" s="9"/>
      <c r="H526" s="9"/>
      <c r="I526" s="10" t="str">
        <f>IF(B526="","",IF(COUNTIF(FUSE_CI!$A:$A,B526)&gt;0,"Yes","No"))</f>
        <v/>
      </c>
      <c r="J526" s="10" t="str">
        <f t="shared" si="8"/>
        <v/>
      </c>
      <c r="K526" s="10" t="str">
        <f>IF(B526="","",IF(COUNTIF(Finding_List!$A:$A,B526)&gt;0,"Yes","No"))</f>
        <v/>
      </c>
    </row>
    <row r="527" spans="1:11" x14ac:dyDescent="0.2">
      <c r="A527" s="5"/>
      <c r="B527" s="5"/>
      <c r="C527" s="5"/>
      <c r="D527" s="5"/>
      <c r="E527" s="5"/>
      <c r="F527" s="5"/>
      <c r="G527" s="5"/>
      <c r="H527" s="5"/>
      <c r="I527" s="10" t="str">
        <f>IF(B527="","",IF(COUNTIF(FUSE_CI!$A:$A,B527)&gt;0,"Yes","No"))</f>
        <v/>
      </c>
      <c r="J527" s="10" t="str">
        <f t="shared" si="8"/>
        <v/>
      </c>
      <c r="K527" s="10" t="str">
        <f>IF(B527="","",IF(COUNTIF(Finding_List!$A:$A,B527)&gt;0,"Yes","No"))</f>
        <v/>
      </c>
    </row>
    <row r="528" spans="1:11" x14ac:dyDescent="0.2">
      <c r="A528" s="9"/>
      <c r="B528" s="9"/>
      <c r="C528" s="9"/>
      <c r="D528" s="9"/>
      <c r="E528" s="9"/>
      <c r="F528" s="9"/>
      <c r="G528" s="9"/>
      <c r="H528" s="9"/>
      <c r="I528" s="10" t="str">
        <f>IF(B528="","",IF(COUNTIF(FUSE_CI!$A:$A,B528)&gt;0,"Yes","No"))</f>
        <v/>
      </c>
      <c r="J528" s="10" t="str">
        <f t="shared" si="8"/>
        <v/>
      </c>
      <c r="K528" s="10" t="str">
        <f>IF(B528="","",IF(COUNTIF(Finding_List!$A:$A,B528)&gt;0,"Yes","No"))</f>
        <v/>
      </c>
    </row>
    <row r="529" spans="1:11" x14ac:dyDescent="0.2">
      <c r="A529" s="5"/>
      <c r="B529" s="5"/>
      <c r="C529" s="5"/>
      <c r="D529" s="5"/>
      <c r="E529" s="5"/>
      <c r="F529" s="5"/>
      <c r="G529" s="5"/>
      <c r="H529" s="5"/>
      <c r="I529" s="10" t="str">
        <f>IF(B529="","",IF(COUNTIF(FUSE_CI!$A:$A,B529)&gt;0,"Yes","No"))</f>
        <v/>
      </c>
      <c r="J529" s="10" t="str">
        <f t="shared" si="8"/>
        <v/>
      </c>
      <c r="K529" s="10" t="str">
        <f>IF(B529="","",IF(COUNTIF(Finding_List!$A:$A,B529)&gt;0,"Yes","No"))</f>
        <v/>
      </c>
    </row>
    <row r="530" spans="1:11" x14ac:dyDescent="0.2">
      <c r="A530" s="9"/>
      <c r="B530" s="9"/>
      <c r="C530" s="9"/>
      <c r="D530" s="9"/>
      <c r="E530" s="9"/>
      <c r="F530" s="9"/>
      <c r="G530" s="9"/>
      <c r="H530" s="9"/>
      <c r="I530" s="10" t="str">
        <f>IF(B530="","",IF(COUNTIF(FUSE_CI!$A:$A,B530)&gt;0,"Yes","No"))</f>
        <v/>
      </c>
      <c r="J530" s="10" t="str">
        <f t="shared" si="8"/>
        <v/>
      </c>
      <c r="K530" s="10" t="str">
        <f>IF(B530="","",IF(COUNTIF(Finding_List!$A:$A,B530)&gt;0,"Yes","No"))</f>
        <v/>
      </c>
    </row>
    <row r="531" spans="1:11" x14ac:dyDescent="0.2">
      <c r="A531" s="5"/>
      <c r="B531" s="5"/>
      <c r="C531" s="5"/>
      <c r="D531" s="5"/>
      <c r="E531" s="5"/>
      <c r="F531" s="5"/>
      <c r="G531" s="5"/>
      <c r="H531" s="5"/>
      <c r="I531" s="10" t="str">
        <f>IF(B531="","",IF(COUNTIF(FUSE_CI!$A:$A,B531)&gt;0,"Yes","No"))</f>
        <v/>
      </c>
      <c r="J531" s="10" t="str">
        <f t="shared" si="8"/>
        <v/>
      </c>
      <c r="K531" s="10" t="str">
        <f>IF(B531="","",IF(COUNTIF(Finding_List!$A:$A,B531)&gt;0,"Yes","No"))</f>
        <v/>
      </c>
    </row>
    <row r="532" spans="1:11" x14ac:dyDescent="0.2">
      <c r="A532" s="9"/>
      <c r="B532" s="9"/>
      <c r="C532" s="9"/>
      <c r="D532" s="9"/>
      <c r="E532" s="9"/>
      <c r="F532" s="9"/>
      <c r="G532" s="9"/>
      <c r="H532" s="9"/>
      <c r="I532" s="10" t="str">
        <f>IF(B532="","",IF(COUNTIF(FUSE_CI!$A:$A,B532)&gt;0,"Yes","No"))</f>
        <v/>
      </c>
      <c r="J532" s="10" t="str">
        <f t="shared" si="8"/>
        <v/>
      </c>
      <c r="K532" s="10" t="str">
        <f>IF(B532="","",IF(COUNTIF(Finding_List!$A:$A,B532)&gt;0,"Yes","No"))</f>
        <v/>
      </c>
    </row>
    <row r="533" spans="1:11" x14ac:dyDescent="0.2">
      <c r="A533" s="5"/>
      <c r="B533" s="5"/>
      <c r="C533" s="5"/>
      <c r="D533" s="5"/>
      <c r="E533" s="5"/>
      <c r="F533" s="5"/>
      <c r="G533" s="5"/>
      <c r="H533" s="5"/>
      <c r="I533" s="10" t="str">
        <f>IF(B533="","",IF(COUNTIF(FUSE_CI!$A:$A,B533)&gt;0,"Yes","No"))</f>
        <v/>
      </c>
      <c r="J533" s="10" t="str">
        <f t="shared" si="8"/>
        <v/>
      </c>
      <c r="K533" s="10" t="str">
        <f>IF(B533="","",IF(COUNTIF(Finding_List!$A:$A,B533)&gt;0,"Yes","No"))</f>
        <v/>
      </c>
    </row>
    <row r="534" spans="1:11" x14ac:dyDescent="0.2">
      <c r="A534" s="9"/>
      <c r="B534" s="9"/>
      <c r="C534" s="9"/>
      <c r="D534" s="9"/>
      <c r="E534" s="9"/>
      <c r="F534" s="9"/>
      <c r="G534" s="9"/>
      <c r="H534" s="9"/>
      <c r="I534" s="10" t="str">
        <f>IF(B534="","",IF(COUNTIF(FUSE_CI!$A:$A,B534)&gt;0,"Yes","No"))</f>
        <v/>
      </c>
      <c r="J534" s="10" t="str">
        <f t="shared" si="8"/>
        <v/>
      </c>
      <c r="K534" s="10" t="str">
        <f>IF(B534="","",IF(COUNTIF(Finding_List!$A:$A,B534)&gt;0,"Yes","No"))</f>
        <v/>
      </c>
    </row>
    <row r="535" spans="1:11" x14ac:dyDescent="0.2">
      <c r="A535" s="5"/>
      <c r="B535" s="5"/>
      <c r="C535" s="5"/>
      <c r="D535" s="5"/>
      <c r="E535" s="5"/>
      <c r="F535" s="5"/>
      <c r="G535" s="5"/>
      <c r="H535" s="5"/>
      <c r="I535" s="10" t="str">
        <f>IF(B535="","",IF(COUNTIF(FUSE_CI!$A:$A,B535)&gt;0,"Yes","No"))</f>
        <v/>
      </c>
      <c r="J535" s="10" t="str">
        <f t="shared" si="8"/>
        <v/>
      </c>
      <c r="K535" s="10" t="str">
        <f>IF(B535="","",IF(COUNTIF(Finding_List!$A:$A,B535)&gt;0,"Yes","No"))</f>
        <v/>
      </c>
    </row>
    <row r="536" spans="1:11" x14ac:dyDescent="0.2">
      <c r="A536" s="9"/>
      <c r="B536" s="9"/>
      <c r="C536" s="9"/>
      <c r="D536" s="9"/>
      <c r="E536" s="9"/>
      <c r="F536" s="9"/>
      <c r="G536" s="9"/>
      <c r="H536" s="9"/>
      <c r="I536" s="10" t="str">
        <f>IF(B536="","",IF(COUNTIF(FUSE_CI!$A:$A,B536)&gt;0,"Yes","No"))</f>
        <v/>
      </c>
      <c r="J536" s="10" t="str">
        <f t="shared" si="8"/>
        <v/>
      </c>
      <c r="K536" s="10" t="str">
        <f>IF(B536="","",IF(COUNTIF(Finding_List!$A:$A,B536)&gt;0,"Yes","No"))</f>
        <v/>
      </c>
    </row>
    <row r="537" spans="1:11" x14ac:dyDescent="0.2">
      <c r="A537" s="5"/>
      <c r="B537" s="5"/>
      <c r="C537" s="5"/>
      <c r="D537" s="5"/>
      <c r="E537" s="5"/>
      <c r="F537" s="5"/>
      <c r="G537" s="5"/>
      <c r="H537" s="5"/>
      <c r="I537" s="10" t="str">
        <f>IF(B537="","",IF(COUNTIF(FUSE_CI!$A:$A,B537)&gt;0,"Yes","No"))</f>
        <v/>
      </c>
      <c r="J537" s="10" t="str">
        <f t="shared" si="8"/>
        <v/>
      </c>
      <c r="K537" s="10" t="str">
        <f>IF(B537="","",IF(COUNTIF(Finding_List!$A:$A,B537)&gt;0,"Yes","No"))</f>
        <v/>
      </c>
    </row>
    <row r="538" spans="1:11" x14ac:dyDescent="0.2">
      <c r="A538" s="9"/>
      <c r="B538" s="9"/>
      <c r="C538" s="9"/>
      <c r="D538" s="9"/>
      <c r="E538" s="9"/>
      <c r="F538" s="9"/>
      <c r="G538" s="9"/>
      <c r="H538" s="9"/>
      <c r="I538" s="10" t="str">
        <f>IF(B538="","",IF(COUNTIF(FUSE_CI!$A:$A,B538)&gt;0,"Yes","No"))</f>
        <v/>
      </c>
      <c r="J538" s="10" t="str">
        <f t="shared" si="8"/>
        <v/>
      </c>
      <c r="K538" s="10" t="str">
        <f>IF(B538="","",IF(COUNTIF(Finding_List!$A:$A,B538)&gt;0,"Yes","No"))</f>
        <v/>
      </c>
    </row>
    <row r="539" spans="1:11" x14ac:dyDescent="0.2">
      <c r="A539" s="5"/>
      <c r="B539" s="5"/>
      <c r="C539" s="5"/>
      <c r="D539" s="5"/>
      <c r="E539" s="5"/>
      <c r="F539" s="5"/>
      <c r="G539" s="5"/>
      <c r="H539" s="5"/>
      <c r="I539" s="10" t="str">
        <f>IF(B539="","",IF(COUNTIF(FUSE_CI!$A:$A,B539)&gt;0,"Yes","No"))</f>
        <v/>
      </c>
      <c r="J539" s="10" t="str">
        <f t="shared" si="8"/>
        <v/>
      </c>
      <c r="K539" s="10" t="str">
        <f>IF(B539="","",IF(COUNTIF(Finding_List!$A:$A,B539)&gt;0,"Yes","No"))</f>
        <v/>
      </c>
    </row>
    <row r="540" spans="1:11" x14ac:dyDescent="0.2">
      <c r="A540" s="9"/>
      <c r="B540" s="9"/>
      <c r="C540" s="9"/>
      <c r="D540" s="9"/>
      <c r="E540" s="9"/>
      <c r="F540" s="9"/>
      <c r="G540" s="9"/>
      <c r="H540" s="9"/>
      <c r="I540" s="10" t="str">
        <f>IF(B540="","",IF(COUNTIF(FUSE_CI!$A:$A,B540)&gt;0,"Yes","No"))</f>
        <v/>
      </c>
      <c r="J540" s="10" t="str">
        <f t="shared" si="8"/>
        <v/>
      </c>
      <c r="K540" s="10" t="str">
        <f>IF(B540="","",IF(COUNTIF(Finding_List!$A:$A,B540)&gt;0,"Yes","No"))</f>
        <v/>
      </c>
    </row>
    <row r="541" spans="1:11" x14ac:dyDescent="0.2">
      <c r="A541" s="5"/>
      <c r="B541" s="5"/>
      <c r="C541" s="5"/>
      <c r="D541" s="5"/>
      <c r="E541" s="5"/>
      <c r="F541" s="5"/>
      <c r="G541" s="5"/>
      <c r="H541" s="5"/>
      <c r="I541" s="10" t="str">
        <f>IF(B541="","",IF(COUNTIF(FUSE_CI!$A:$A,B541)&gt;0,"Yes","No"))</f>
        <v/>
      </c>
      <c r="J541" s="10" t="str">
        <f t="shared" si="8"/>
        <v/>
      </c>
      <c r="K541" s="10" t="str">
        <f>IF(B541="","",IF(COUNTIF(Finding_List!$A:$A,B541)&gt;0,"Yes","No"))</f>
        <v/>
      </c>
    </row>
    <row r="542" spans="1:11" x14ac:dyDescent="0.2">
      <c r="A542" s="9"/>
      <c r="B542" s="9"/>
      <c r="C542" s="9"/>
      <c r="D542" s="9"/>
      <c r="E542" s="9"/>
      <c r="F542" s="9"/>
      <c r="G542" s="9"/>
      <c r="H542" s="9"/>
      <c r="I542" s="10" t="str">
        <f>IF(B542="","",IF(COUNTIF(FUSE_CI!$A:$A,B542)&gt;0,"Yes","No"))</f>
        <v/>
      </c>
      <c r="J542" s="10" t="str">
        <f t="shared" si="8"/>
        <v/>
      </c>
      <c r="K542" s="10" t="str">
        <f>IF(B542="","",IF(COUNTIF(Finding_List!$A:$A,B542)&gt;0,"Yes","No"))</f>
        <v/>
      </c>
    </row>
    <row r="543" spans="1:11" x14ac:dyDescent="0.2">
      <c r="A543" s="5"/>
      <c r="B543" s="5"/>
      <c r="C543" s="5"/>
      <c r="D543" s="5"/>
      <c r="E543" s="5"/>
      <c r="F543" s="5"/>
      <c r="G543" s="5"/>
      <c r="H543" s="5"/>
      <c r="I543" s="10" t="str">
        <f>IF(B543="","",IF(COUNTIF(FUSE_CI!$A:$A,B543)&gt;0,"Yes","No"))</f>
        <v/>
      </c>
      <c r="J543" s="10" t="str">
        <f t="shared" si="8"/>
        <v/>
      </c>
      <c r="K543" s="10" t="str">
        <f>IF(B543="","",IF(COUNTIF(Finding_List!$A:$A,B543)&gt;0,"Yes","No"))</f>
        <v/>
      </c>
    </row>
    <row r="544" spans="1:11" x14ac:dyDescent="0.2">
      <c r="A544" s="9"/>
      <c r="B544" s="9"/>
      <c r="C544" s="9"/>
      <c r="D544" s="9"/>
      <c r="E544" s="9"/>
      <c r="F544" s="9"/>
      <c r="G544" s="9"/>
      <c r="H544" s="9"/>
      <c r="I544" s="10" t="str">
        <f>IF(B544="","",IF(COUNTIF(FUSE_CI!$A:$A,B544)&gt;0,"Yes","No"))</f>
        <v/>
      </c>
      <c r="J544" s="10" t="str">
        <f t="shared" si="8"/>
        <v/>
      </c>
      <c r="K544" s="10" t="str">
        <f>IF(B544="","",IF(COUNTIF(Finding_List!$A:$A,B544)&gt;0,"Yes","No"))</f>
        <v/>
      </c>
    </row>
    <row r="545" spans="1:11" x14ac:dyDescent="0.2">
      <c r="A545" s="5"/>
      <c r="B545" s="5"/>
      <c r="C545" s="5"/>
      <c r="D545" s="5"/>
      <c r="E545" s="5"/>
      <c r="F545" s="5"/>
      <c r="G545" s="5"/>
      <c r="H545" s="5"/>
      <c r="I545" s="10" t="str">
        <f>IF(B545="","",IF(COUNTIF(FUSE_CI!$A:$A,B545)&gt;0,"Yes","No"))</f>
        <v/>
      </c>
      <c r="J545" s="10" t="str">
        <f t="shared" si="8"/>
        <v/>
      </c>
      <c r="K545" s="10" t="str">
        <f>IF(B545="","",IF(COUNTIF(Finding_List!$A:$A,B545)&gt;0,"Yes","No"))</f>
        <v/>
      </c>
    </row>
    <row r="546" spans="1:11" x14ac:dyDescent="0.2">
      <c r="A546" s="9"/>
      <c r="B546" s="9"/>
      <c r="C546" s="9"/>
      <c r="D546" s="9"/>
      <c r="E546" s="9"/>
      <c r="F546" s="9"/>
      <c r="G546" s="9"/>
      <c r="H546" s="9"/>
      <c r="I546" s="10" t="str">
        <f>IF(B546="","",IF(COUNTIF(FUSE_CI!$A:$A,B546)&gt;0,"Yes","No"))</f>
        <v/>
      </c>
      <c r="J546" s="10" t="str">
        <f t="shared" si="8"/>
        <v/>
      </c>
      <c r="K546" s="10" t="str">
        <f>IF(B546="","",IF(COUNTIF(Finding_List!$A:$A,B546)&gt;0,"Yes","No"))</f>
        <v/>
      </c>
    </row>
    <row r="547" spans="1:11" x14ac:dyDescent="0.2">
      <c r="A547" s="5"/>
      <c r="B547" s="5"/>
      <c r="C547" s="5"/>
      <c r="D547" s="5"/>
      <c r="E547" s="5"/>
      <c r="F547" s="5"/>
      <c r="G547" s="5"/>
      <c r="H547" s="5"/>
      <c r="I547" s="10" t="str">
        <f>IF(B547="","",IF(COUNTIF(FUSE_CI!$A:$A,B547)&gt;0,"Yes","No"))</f>
        <v/>
      </c>
      <c r="J547" s="10" t="str">
        <f t="shared" si="8"/>
        <v/>
      </c>
      <c r="K547" s="10" t="str">
        <f>IF(B547="","",IF(COUNTIF(Finding_List!$A:$A,B547)&gt;0,"Yes","No"))</f>
        <v/>
      </c>
    </row>
    <row r="548" spans="1:11" x14ac:dyDescent="0.2">
      <c r="A548" s="9"/>
      <c r="B548" s="9"/>
      <c r="C548" s="9"/>
      <c r="D548" s="9"/>
      <c r="E548" s="9"/>
      <c r="F548" s="9"/>
      <c r="G548" s="9"/>
      <c r="H548" s="9"/>
      <c r="I548" s="10" t="str">
        <f>IF(B548="","",IF(COUNTIF(FUSE_CI!$A:$A,B548)&gt;0,"Yes","No"))</f>
        <v/>
      </c>
      <c r="J548" s="10" t="str">
        <f t="shared" si="8"/>
        <v/>
      </c>
      <c r="K548" s="10" t="str">
        <f>IF(B548="","",IF(COUNTIF(Finding_List!$A:$A,B548)&gt;0,"Yes","No"))</f>
        <v/>
      </c>
    </row>
    <row r="549" spans="1:11" x14ac:dyDescent="0.2">
      <c r="A549" s="5"/>
      <c r="B549" s="5"/>
      <c r="C549" s="5"/>
      <c r="D549" s="5"/>
      <c r="E549" s="5"/>
      <c r="F549" s="5"/>
      <c r="G549" s="5"/>
      <c r="H549" s="5"/>
      <c r="I549" s="10" t="str">
        <f>IF(B549="","",IF(COUNTIF(FUSE_CI!$A:$A,B549)&gt;0,"Yes","No"))</f>
        <v/>
      </c>
      <c r="J549" s="10" t="str">
        <f t="shared" si="8"/>
        <v/>
      </c>
      <c r="K549" s="10" t="str">
        <f>IF(B549="","",IF(COUNTIF(Finding_List!$A:$A,B549)&gt;0,"Yes","No"))</f>
        <v/>
      </c>
    </row>
    <row r="550" spans="1:11" x14ac:dyDescent="0.2">
      <c r="A550" s="9"/>
      <c r="B550" s="9"/>
      <c r="C550" s="9"/>
      <c r="D550" s="9"/>
      <c r="E550" s="9"/>
      <c r="F550" s="9"/>
      <c r="G550" s="9"/>
      <c r="H550" s="9"/>
      <c r="I550" s="10" t="str">
        <f>IF(B550="","",IF(COUNTIF(FUSE_CI!$A:$A,B550)&gt;0,"Yes","No"))</f>
        <v/>
      </c>
      <c r="J550" s="10" t="str">
        <f t="shared" si="8"/>
        <v/>
      </c>
      <c r="K550" s="10" t="str">
        <f>IF(B550="","",IF(COUNTIF(Finding_List!$A:$A,B550)&gt;0,"Yes","No"))</f>
        <v/>
      </c>
    </row>
    <row r="551" spans="1:11" x14ac:dyDescent="0.2">
      <c r="A551" s="5"/>
      <c r="B551" s="5"/>
      <c r="C551" s="5"/>
      <c r="D551" s="5"/>
      <c r="E551" s="5"/>
      <c r="F551" s="5"/>
      <c r="G551" s="5"/>
      <c r="H551" s="5"/>
      <c r="I551" s="10" t="str">
        <f>IF(B551="","",IF(COUNTIF(FUSE_CI!$A:$A,B551)&gt;0,"Yes","No"))</f>
        <v/>
      </c>
      <c r="J551" s="10" t="str">
        <f t="shared" si="8"/>
        <v/>
      </c>
      <c r="K551" s="10" t="str">
        <f>IF(B551="","",IF(COUNTIF(Finding_List!$A:$A,B551)&gt;0,"Yes","No"))</f>
        <v/>
      </c>
    </row>
    <row r="552" spans="1:11" x14ac:dyDescent="0.2">
      <c r="A552" s="9"/>
      <c r="B552" s="9"/>
      <c r="C552" s="9"/>
      <c r="D552" s="9"/>
      <c r="E552" s="9"/>
      <c r="F552" s="9"/>
      <c r="G552" s="9"/>
      <c r="H552" s="9"/>
      <c r="I552" s="10" t="str">
        <f>IF(B552="","",IF(COUNTIF(FUSE_CI!$A:$A,B552)&gt;0,"Yes","No"))</f>
        <v/>
      </c>
      <c r="J552" s="10" t="str">
        <f t="shared" si="8"/>
        <v/>
      </c>
      <c r="K552" s="10" t="str">
        <f>IF(B552="","",IF(COUNTIF(Finding_List!$A:$A,B552)&gt;0,"Yes","No"))</f>
        <v/>
      </c>
    </row>
    <row r="553" spans="1:11" x14ac:dyDescent="0.2">
      <c r="A553" s="5"/>
      <c r="B553" s="5"/>
      <c r="C553" s="5"/>
      <c r="D553" s="5"/>
      <c r="E553" s="5"/>
      <c r="F553" s="5"/>
      <c r="G553" s="5"/>
      <c r="H553" s="5"/>
      <c r="I553" s="10" t="str">
        <f>IF(B553="","",IF(COUNTIF(FUSE_CI!$A:$A,B553)&gt;0,"Yes","No"))</f>
        <v/>
      </c>
      <c r="J553" s="10" t="str">
        <f t="shared" si="8"/>
        <v/>
      </c>
      <c r="K553" s="10" t="str">
        <f>IF(B553="","",IF(COUNTIF(Finding_List!$A:$A,B553)&gt;0,"Yes","No"))</f>
        <v/>
      </c>
    </row>
    <row r="554" spans="1:11" x14ac:dyDescent="0.2">
      <c r="A554" s="9"/>
      <c r="B554" s="9"/>
      <c r="C554" s="9"/>
      <c r="D554" s="9"/>
      <c r="E554" s="9"/>
      <c r="F554" s="9"/>
      <c r="G554" s="9"/>
      <c r="H554" s="9"/>
      <c r="I554" s="10" t="str">
        <f>IF(B554="","",IF(COUNTIF(FUSE_CI!$A:$A,B554)&gt;0,"Yes","No"))</f>
        <v/>
      </c>
      <c r="J554" s="10" t="str">
        <f t="shared" si="8"/>
        <v/>
      </c>
      <c r="K554" s="10" t="str">
        <f>IF(B554="","",IF(COUNTIF(Finding_List!$A:$A,B554)&gt;0,"Yes","No"))</f>
        <v/>
      </c>
    </row>
    <row r="555" spans="1:11" x14ac:dyDescent="0.2">
      <c r="A555" s="5"/>
      <c r="B555" s="5"/>
      <c r="C555" s="5"/>
      <c r="D555" s="5"/>
      <c r="E555" s="5"/>
      <c r="F555" s="5"/>
      <c r="G555" s="5"/>
      <c r="H555" s="5"/>
      <c r="I555" s="10" t="str">
        <f>IF(B555="","",IF(COUNTIF(FUSE_CI!$A:$A,B555)&gt;0,"Yes","No"))</f>
        <v/>
      </c>
      <c r="J555" s="10" t="str">
        <f t="shared" si="8"/>
        <v/>
      </c>
      <c r="K555" s="10" t="str">
        <f>IF(B555="","",IF(COUNTIF(Finding_List!$A:$A,B555)&gt;0,"Yes","No"))</f>
        <v/>
      </c>
    </row>
    <row r="556" spans="1:11" x14ac:dyDescent="0.2">
      <c r="A556" s="9"/>
      <c r="B556" s="9"/>
      <c r="C556" s="9"/>
      <c r="D556" s="9"/>
      <c r="E556" s="9"/>
      <c r="F556" s="9"/>
      <c r="G556" s="9"/>
      <c r="H556" s="9"/>
      <c r="I556" s="10" t="str">
        <f>IF(B556="","",IF(COUNTIF(FUSE_CI!$A:$A,B556)&gt;0,"Yes","No"))</f>
        <v/>
      </c>
      <c r="J556" s="10" t="str">
        <f t="shared" si="8"/>
        <v/>
      </c>
      <c r="K556" s="10" t="str">
        <f>IF(B556="","",IF(COUNTIF(Finding_List!$A:$A,B556)&gt;0,"Yes","No"))</f>
        <v/>
      </c>
    </row>
    <row r="557" spans="1:11" x14ac:dyDescent="0.2">
      <c r="A557" s="5"/>
      <c r="B557" s="5"/>
      <c r="C557" s="5"/>
      <c r="D557" s="5"/>
      <c r="E557" s="5"/>
      <c r="F557" s="5"/>
      <c r="G557" s="5"/>
      <c r="H557" s="5"/>
      <c r="I557" s="10" t="str">
        <f>IF(B557="","",IF(COUNTIF(FUSE_CI!$A:$A,B557)&gt;0,"Yes","No"))</f>
        <v/>
      </c>
      <c r="J557" s="10" t="str">
        <f t="shared" si="8"/>
        <v/>
      </c>
      <c r="K557" s="10" t="str">
        <f>IF(B557="","",IF(COUNTIF(Finding_List!$A:$A,B557)&gt;0,"Yes","No"))</f>
        <v/>
      </c>
    </row>
    <row r="558" spans="1:11" x14ac:dyDescent="0.2">
      <c r="A558" s="9"/>
      <c r="B558" s="9"/>
      <c r="C558" s="9"/>
      <c r="D558" s="9"/>
      <c r="E558" s="9"/>
      <c r="F558" s="9"/>
      <c r="G558" s="9"/>
      <c r="H558" s="9"/>
      <c r="I558" s="10" t="str">
        <f>IF(B558="","",IF(COUNTIF(FUSE_CI!$A:$A,B558)&gt;0,"Yes","No"))</f>
        <v/>
      </c>
      <c r="J558" s="10" t="str">
        <f t="shared" si="8"/>
        <v/>
      </c>
      <c r="K558" s="10" t="str">
        <f>IF(B558="","",IF(COUNTIF(Finding_List!$A:$A,B558)&gt;0,"Yes","No"))</f>
        <v/>
      </c>
    </row>
    <row r="559" spans="1:11" x14ac:dyDescent="0.2">
      <c r="A559" s="5"/>
      <c r="B559" s="5"/>
      <c r="C559" s="5"/>
      <c r="D559" s="5"/>
      <c r="E559" s="5"/>
      <c r="F559" s="5"/>
      <c r="G559" s="5"/>
      <c r="H559" s="5"/>
      <c r="I559" s="10" t="str">
        <f>IF(B559="","",IF(COUNTIF(FUSE_CI!$A:$A,B559)&gt;0,"Yes","No"))</f>
        <v/>
      </c>
      <c r="J559" s="10" t="str">
        <f t="shared" si="8"/>
        <v/>
      </c>
      <c r="K559" s="10" t="str">
        <f>IF(B559="","",IF(COUNTIF(Finding_List!$A:$A,B559)&gt;0,"Yes","No"))</f>
        <v/>
      </c>
    </row>
    <row r="560" spans="1:11" x14ac:dyDescent="0.2">
      <c r="A560" s="9"/>
      <c r="B560" s="9"/>
      <c r="C560" s="9"/>
      <c r="D560" s="9"/>
      <c r="E560" s="9"/>
      <c r="F560" s="9"/>
      <c r="G560" s="9"/>
      <c r="H560" s="9"/>
      <c r="I560" s="10" t="str">
        <f>IF(B560="","",IF(COUNTIF(FUSE_CI!$A:$A,B560)&gt;0,"Yes","No"))</f>
        <v/>
      </c>
      <c r="J560" s="10" t="str">
        <f t="shared" si="8"/>
        <v/>
      </c>
      <c r="K560" s="10" t="str">
        <f>IF(B560="","",IF(COUNTIF(Finding_List!$A:$A,B560)&gt;0,"Yes","No"))</f>
        <v/>
      </c>
    </row>
    <row r="561" spans="1:11" x14ac:dyDescent="0.2">
      <c r="A561" s="5"/>
      <c r="B561" s="5"/>
      <c r="C561" s="5"/>
      <c r="D561" s="5"/>
      <c r="E561" s="5"/>
      <c r="F561" s="5"/>
      <c r="G561" s="5"/>
      <c r="H561" s="5"/>
      <c r="I561" s="10" t="str">
        <f>IF(B561="","",IF(COUNTIF(FUSE_CI!$A:$A,B561)&gt;0,"Yes","No"))</f>
        <v/>
      </c>
      <c r="J561" s="10" t="str">
        <f t="shared" si="8"/>
        <v/>
      </c>
      <c r="K561" s="10" t="str">
        <f>IF(B561="","",IF(COUNTIF(Finding_List!$A:$A,B561)&gt;0,"Yes","No"))</f>
        <v/>
      </c>
    </row>
    <row r="562" spans="1:11" x14ac:dyDescent="0.2">
      <c r="A562" s="9"/>
      <c r="B562" s="9"/>
      <c r="C562" s="9"/>
      <c r="D562" s="9"/>
      <c r="E562" s="9"/>
      <c r="F562" s="9"/>
      <c r="G562" s="9"/>
      <c r="H562" s="9"/>
      <c r="I562" s="10" t="str">
        <f>IF(B562="","",IF(COUNTIF(FUSE_CI!$A:$A,B562)&gt;0,"Yes","No"))</f>
        <v/>
      </c>
      <c r="J562" s="10" t="str">
        <f t="shared" si="8"/>
        <v/>
      </c>
      <c r="K562" s="10" t="str">
        <f>IF(B562="","",IF(COUNTIF(Finding_List!$A:$A,B562)&gt;0,"Yes","No"))</f>
        <v/>
      </c>
    </row>
    <row r="563" spans="1:11" x14ac:dyDescent="0.2">
      <c r="A563" s="5"/>
      <c r="B563" s="5"/>
      <c r="C563" s="5"/>
      <c r="D563" s="5"/>
      <c r="E563" s="5"/>
      <c r="F563" s="5"/>
      <c r="G563" s="5"/>
      <c r="H563" s="5"/>
      <c r="I563" s="10" t="str">
        <f>IF(B563="","",IF(COUNTIF(FUSE_CI!$A:$A,B563)&gt;0,"Yes","No"))</f>
        <v/>
      </c>
      <c r="J563" s="10" t="str">
        <f t="shared" si="8"/>
        <v/>
      </c>
      <c r="K563" s="10" t="str">
        <f>IF(B563="","",IF(COUNTIF(Finding_List!$A:$A,B563)&gt;0,"Yes","No"))</f>
        <v/>
      </c>
    </row>
    <row r="564" spans="1:11" x14ac:dyDescent="0.2">
      <c r="A564" s="9"/>
      <c r="B564" s="9"/>
      <c r="C564" s="9"/>
      <c r="D564" s="9"/>
      <c r="E564" s="9"/>
      <c r="F564" s="9"/>
      <c r="G564" s="9"/>
      <c r="H564" s="9"/>
      <c r="I564" s="10" t="str">
        <f>IF(B564="","",IF(COUNTIF(FUSE_CI!$A:$A,B564)&gt;0,"Yes","No"))</f>
        <v/>
      </c>
      <c r="J564" s="10" t="str">
        <f t="shared" si="8"/>
        <v/>
      </c>
      <c r="K564" s="10" t="str">
        <f>IF(B564="","",IF(COUNTIF(Finding_List!$A:$A,B564)&gt;0,"Yes","No"))</f>
        <v/>
      </c>
    </row>
    <row r="565" spans="1:11" x14ac:dyDescent="0.2">
      <c r="A565" s="5"/>
      <c r="B565" s="5"/>
      <c r="C565" s="5"/>
      <c r="D565" s="5"/>
      <c r="E565" s="5"/>
      <c r="F565" s="5"/>
      <c r="G565" s="5"/>
      <c r="H565" s="5"/>
      <c r="I565" s="10" t="str">
        <f>IF(B565="","",IF(COUNTIF(FUSE_CI!$A:$A,B565)&gt;0,"Yes","No"))</f>
        <v/>
      </c>
      <c r="J565" s="10" t="str">
        <f t="shared" si="8"/>
        <v/>
      </c>
      <c r="K565" s="10" t="str">
        <f>IF(B565="","",IF(COUNTIF(Finding_List!$A:$A,B565)&gt;0,"Yes","No"))</f>
        <v/>
      </c>
    </row>
    <row r="566" spans="1:11" x14ac:dyDescent="0.2">
      <c r="A566" s="9"/>
      <c r="B566" s="9"/>
      <c r="C566" s="9"/>
      <c r="D566" s="9"/>
      <c r="E566" s="9"/>
      <c r="F566" s="9"/>
      <c r="G566" s="9"/>
      <c r="H566" s="9"/>
      <c r="I566" s="10" t="str">
        <f>IF(B566="","",IF(COUNTIF(FUSE_CI!$A:$A,B566)&gt;0,"Yes","No"))</f>
        <v/>
      </c>
      <c r="J566" s="10" t="str">
        <f t="shared" si="8"/>
        <v/>
      </c>
      <c r="K566" s="10" t="str">
        <f>IF(B566="","",IF(COUNTIF(Finding_List!$A:$A,B566)&gt;0,"Yes","No"))</f>
        <v/>
      </c>
    </row>
    <row r="567" spans="1:11" x14ac:dyDescent="0.2">
      <c r="A567" s="5"/>
      <c r="B567" s="5"/>
      <c r="C567" s="5"/>
      <c r="D567" s="5"/>
      <c r="E567" s="5"/>
      <c r="F567" s="5"/>
      <c r="G567" s="5"/>
      <c r="H567" s="5"/>
      <c r="I567" s="10" t="str">
        <f>IF(B567="","",IF(COUNTIF(FUSE_CI!$A:$A,B567)&gt;0,"Yes","No"))</f>
        <v/>
      </c>
      <c r="J567" s="10" t="str">
        <f t="shared" si="8"/>
        <v/>
      </c>
      <c r="K567" s="10" t="str">
        <f>IF(B567="","",IF(COUNTIF(Finding_List!$A:$A,B567)&gt;0,"Yes","No"))</f>
        <v/>
      </c>
    </row>
    <row r="568" spans="1:11" x14ac:dyDescent="0.2">
      <c r="A568" s="9"/>
      <c r="B568" s="9"/>
      <c r="C568" s="9"/>
      <c r="D568" s="9"/>
      <c r="E568" s="9"/>
      <c r="F568" s="9"/>
      <c r="G568" s="9"/>
      <c r="H568" s="9"/>
      <c r="I568" s="10" t="str">
        <f>IF(B568="","",IF(COUNTIF(FUSE_CI!$A:$A,B568)&gt;0,"Yes","No"))</f>
        <v/>
      </c>
      <c r="J568" s="10" t="str">
        <f t="shared" si="8"/>
        <v/>
      </c>
      <c r="K568" s="10" t="str">
        <f>IF(B568="","",IF(COUNTIF(Finding_List!$A:$A,B568)&gt;0,"Yes","No"))</f>
        <v/>
      </c>
    </row>
    <row r="569" spans="1:11" x14ac:dyDescent="0.2">
      <c r="A569" s="5"/>
      <c r="B569" s="5"/>
      <c r="C569" s="5"/>
      <c r="D569" s="5"/>
      <c r="E569" s="5"/>
      <c r="F569" s="5"/>
      <c r="G569" s="5"/>
      <c r="H569" s="5"/>
      <c r="I569" s="10" t="str">
        <f>IF(B569="","",IF(COUNTIF(FUSE_CI!$A:$A,B569)&gt;0,"Yes","No"))</f>
        <v/>
      </c>
      <c r="J569" s="10" t="str">
        <f t="shared" si="8"/>
        <v/>
      </c>
      <c r="K569" s="10" t="str">
        <f>IF(B569="","",IF(COUNTIF(Finding_List!$A:$A,B569)&gt;0,"Yes","No"))</f>
        <v/>
      </c>
    </row>
    <row r="570" spans="1:11" x14ac:dyDescent="0.2">
      <c r="A570" s="9"/>
      <c r="B570" s="9"/>
      <c r="C570" s="9"/>
      <c r="D570" s="9"/>
      <c r="E570" s="9"/>
      <c r="F570" s="9"/>
      <c r="G570" s="9"/>
      <c r="H570" s="9"/>
      <c r="I570" s="10" t="str">
        <f>IF(B570="","",IF(COUNTIF(FUSE_CI!$A:$A,B570)&gt;0,"Yes","No"))</f>
        <v/>
      </c>
      <c r="J570" s="10" t="str">
        <f t="shared" si="8"/>
        <v/>
      </c>
      <c r="K570" s="10" t="str">
        <f>IF(B570="","",IF(COUNTIF(Finding_List!$A:$A,B570)&gt;0,"Yes","No"))</f>
        <v/>
      </c>
    </row>
    <row r="571" spans="1:11" x14ac:dyDescent="0.2">
      <c r="A571" s="5"/>
      <c r="B571" s="5"/>
      <c r="C571" s="5"/>
      <c r="D571" s="5"/>
      <c r="E571" s="5"/>
      <c r="F571" s="5"/>
      <c r="G571" s="5"/>
      <c r="H571" s="5"/>
      <c r="I571" s="10" t="str">
        <f>IF(B571="","",IF(COUNTIF(FUSE_CI!$A:$A,B571)&gt;0,"Yes","No"))</f>
        <v/>
      </c>
      <c r="J571" s="10" t="str">
        <f t="shared" si="8"/>
        <v/>
      </c>
      <c r="K571" s="10" t="str">
        <f>IF(B571="","",IF(COUNTIF(Finding_List!$A:$A,B571)&gt;0,"Yes","No"))</f>
        <v/>
      </c>
    </row>
    <row r="572" spans="1:11" x14ac:dyDescent="0.2">
      <c r="A572" s="9"/>
      <c r="B572" s="9"/>
      <c r="C572" s="9"/>
      <c r="D572" s="9"/>
      <c r="E572" s="9"/>
      <c r="F572" s="9"/>
      <c r="G572" s="9"/>
      <c r="H572" s="9"/>
      <c r="I572" s="10" t="str">
        <f>IF(B572="","",IF(COUNTIF(FUSE_CI!$A:$A,B572)&gt;0,"Yes","No"))</f>
        <v/>
      </c>
      <c r="J572" s="10" t="str">
        <f t="shared" si="8"/>
        <v/>
      </c>
      <c r="K572" s="10" t="str">
        <f>IF(B572="","",IF(COUNTIF(Finding_List!$A:$A,B572)&gt;0,"Yes","No"))</f>
        <v/>
      </c>
    </row>
    <row r="573" spans="1:11" x14ac:dyDescent="0.2">
      <c r="A573" s="5"/>
      <c r="B573" s="5"/>
      <c r="C573" s="5"/>
      <c r="D573" s="5"/>
      <c r="E573" s="5"/>
      <c r="F573" s="5"/>
      <c r="G573" s="5"/>
      <c r="H573" s="5"/>
      <c r="I573" s="10" t="str">
        <f>IF(B573="","",IF(COUNTIF(FUSE_CI!$A:$A,B573)&gt;0,"Yes","No"))</f>
        <v/>
      </c>
      <c r="J573" s="10" t="str">
        <f t="shared" si="8"/>
        <v/>
      </c>
      <c r="K573" s="10" t="str">
        <f>IF(B573="","",IF(COUNTIF(Finding_List!$A:$A,B573)&gt;0,"Yes","No"))</f>
        <v/>
      </c>
    </row>
    <row r="574" spans="1:11" x14ac:dyDescent="0.2">
      <c r="A574" s="9"/>
      <c r="B574" s="9"/>
      <c r="C574" s="9"/>
      <c r="D574" s="9"/>
      <c r="E574" s="9"/>
      <c r="F574" s="9"/>
      <c r="G574" s="9"/>
      <c r="H574" s="9"/>
      <c r="I574" s="10" t="str">
        <f>IF(B574="","",IF(COUNTIF(FUSE_CI!$A:$A,B574)&gt;0,"Yes","No"))</f>
        <v/>
      </c>
      <c r="J574" s="10" t="str">
        <f t="shared" si="8"/>
        <v/>
      </c>
      <c r="K574" s="10" t="str">
        <f>IF(B574="","",IF(COUNTIF(Finding_List!$A:$A,B574)&gt;0,"Yes","No"))</f>
        <v/>
      </c>
    </row>
    <row r="575" spans="1:11" x14ac:dyDescent="0.2">
      <c r="A575" s="5"/>
      <c r="B575" s="5"/>
      <c r="C575" s="5"/>
      <c r="D575" s="5"/>
      <c r="E575" s="5"/>
      <c r="F575" s="5"/>
      <c r="G575" s="5"/>
      <c r="H575" s="5"/>
      <c r="I575" s="10" t="str">
        <f>IF(B575="","",IF(COUNTIF(FUSE_CI!$A:$A,B575)&gt;0,"Yes","No"))</f>
        <v/>
      </c>
      <c r="J575" s="10" t="str">
        <f t="shared" si="8"/>
        <v/>
      </c>
      <c r="K575" s="10" t="str">
        <f>IF(B575="","",IF(COUNTIF(Finding_List!$A:$A,B575)&gt;0,"Yes","No"))</f>
        <v/>
      </c>
    </row>
    <row r="576" spans="1:11" x14ac:dyDescent="0.2">
      <c r="A576" s="9"/>
      <c r="B576" s="9"/>
      <c r="C576" s="9"/>
      <c r="D576" s="9"/>
      <c r="E576" s="9"/>
      <c r="F576" s="9"/>
      <c r="G576" s="9"/>
      <c r="H576" s="9"/>
      <c r="I576" s="10" t="str">
        <f>IF(B576="","",IF(COUNTIF(FUSE_CI!$A:$A,B576)&gt;0,"Yes","No"))</f>
        <v/>
      </c>
      <c r="J576" s="10" t="str">
        <f t="shared" si="8"/>
        <v/>
      </c>
      <c r="K576" s="10" t="str">
        <f>IF(B576="","",IF(COUNTIF(Finding_List!$A:$A,B576)&gt;0,"Yes","No"))</f>
        <v/>
      </c>
    </row>
    <row r="577" spans="1:11" x14ac:dyDescent="0.2">
      <c r="A577" s="5"/>
      <c r="B577" s="5"/>
      <c r="C577" s="5"/>
      <c r="D577" s="5"/>
      <c r="E577" s="5"/>
      <c r="F577" s="5"/>
      <c r="G577" s="5"/>
      <c r="H577" s="5"/>
      <c r="I577" s="10" t="str">
        <f>IF(B577="","",IF(COUNTIF(FUSE_CI!$A:$A,B577)&gt;0,"Yes","No"))</f>
        <v/>
      </c>
      <c r="J577" s="10" t="str">
        <f t="shared" si="8"/>
        <v/>
      </c>
      <c r="K577" s="10" t="str">
        <f>IF(B577="","",IF(COUNTIF(Finding_List!$A:$A,B577)&gt;0,"Yes","No"))</f>
        <v/>
      </c>
    </row>
    <row r="578" spans="1:11" x14ac:dyDescent="0.2">
      <c r="A578" s="9"/>
      <c r="B578" s="9"/>
      <c r="C578" s="9"/>
      <c r="D578" s="9"/>
      <c r="E578" s="9"/>
      <c r="F578" s="9"/>
      <c r="G578" s="9"/>
      <c r="H578" s="9"/>
      <c r="I578" s="10" t="str">
        <f>IF(B578="","",IF(COUNTIF(FUSE_CI!$A:$A,B578)&gt;0,"Yes","No"))</f>
        <v/>
      </c>
      <c r="J578" s="10" t="str">
        <f t="shared" si="8"/>
        <v/>
      </c>
      <c r="K578" s="10" t="str">
        <f>IF(B578="","",IF(COUNTIF(Finding_List!$A:$A,B578)&gt;0,"Yes","No"))</f>
        <v/>
      </c>
    </row>
    <row r="579" spans="1:11" x14ac:dyDescent="0.2">
      <c r="A579" s="5"/>
      <c r="B579" s="5"/>
      <c r="C579" s="5"/>
      <c r="D579" s="5"/>
      <c r="E579" s="5"/>
      <c r="F579" s="5"/>
      <c r="G579" s="5"/>
      <c r="H579" s="5"/>
      <c r="I579" s="10" t="str">
        <f>IF(B579="","",IF(COUNTIF(FUSE_CI!$A:$A,B579)&gt;0,"Yes","No"))</f>
        <v/>
      </c>
      <c r="J579" s="10" t="str">
        <f t="shared" si="8"/>
        <v/>
      </c>
      <c r="K579" s="10" t="str">
        <f>IF(B579="","",IF(COUNTIF(Finding_List!$A:$A,B579)&gt;0,"Yes","No"))</f>
        <v/>
      </c>
    </row>
    <row r="580" spans="1:11" x14ac:dyDescent="0.2">
      <c r="A580" s="9"/>
      <c r="B580" s="9"/>
      <c r="C580" s="9"/>
      <c r="D580" s="9"/>
      <c r="E580" s="9"/>
      <c r="F580" s="9"/>
      <c r="G580" s="9"/>
      <c r="H580" s="9"/>
      <c r="I580" s="10" t="str">
        <f>IF(B580="","",IF(COUNTIF(FUSE_CI!$A:$A,B580)&gt;0,"Yes","No"))</f>
        <v/>
      </c>
      <c r="J580" s="10" t="str">
        <f t="shared" ref="J580:J643" si="9">IF(B580="","",IF(AND(D580&lt;&gt;"High",D580&lt;&gt;"Very High",I580="Yes",K580="No"),"Fast Follower","Not Eligible"))</f>
        <v/>
      </c>
      <c r="K580" s="10" t="str">
        <f>IF(B580="","",IF(COUNTIF(Finding_List!$A:$A,B580)&gt;0,"Yes","No"))</f>
        <v/>
      </c>
    </row>
    <row r="581" spans="1:11" x14ac:dyDescent="0.2">
      <c r="A581" s="5"/>
      <c r="B581" s="5"/>
      <c r="C581" s="5"/>
      <c r="D581" s="5"/>
      <c r="E581" s="5"/>
      <c r="F581" s="5"/>
      <c r="G581" s="5"/>
      <c r="H581" s="5"/>
      <c r="I581" s="10" t="str">
        <f>IF(B581="","",IF(COUNTIF(FUSE_CI!$A:$A,B581)&gt;0,"Yes","No"))</f>
        <v/>
      </c>
      <c r="J581" s="10" t="str">
        <f t="shared" si="9"/>
        <v/>
      </c>
      <c r="K581" s="10" t="str">
        <f>IF(B581="","",IF(COUNTIF(Finding_List!$A:$A,B581)&gt;0,"Yes","No"))</f>
        <v/>
      </c>
    </row>
    <row r="582" spans="1:11" x14ac:dyDescent="0.2">
      <c r="A582" s="9"/>
      <c r="B582" s="9"/>
      <c r="C582" s="9"/>
      <c r="D582" s="9"/>
      <c r="E582" s="9"/>
      <c r="F582" s="9"/>
      <c r="G582" s="9"/>
      <c r="H582" s="9"/>
      <c r="I582" s="10" t="str">
        <f>IF(B582="","",IF(COUNTIF(FUSE_CI!$A:$A,B582)&gt;0,"Yes","No"))</f>
        <v/>
      </c>
      <c r="J582" s="10" t="str">
        <f t="shared" si="9"/>
        <v/>
      </c>
      <c r="K582" s="10" t="str">
        <f>IF(B582="","",IF(COUNTIF(Finding_List!$A:$A,B582)&gt;0,"Yes","No"))</f>
        <v/>
      </c>
    </row>
    <row r="583" spans="1:11" x14ac:dyDescent="0.2">
      <c r="A583" s="5"/>
      <c r="B583" s="5"/>
      <c r="C583" s="5"/>
      <c r="D583" s="5"/>
      <c r="E583" s="5"/>
      <c r="F583" s="5"/>
      <c r="G583" s="5"/>
      <c r="H583" s="5"/>
      <c r="I583" s="10" t="str">
        <f>IF(B583="","",IF(COUNTIF(FUSE_CI!$A:$A,B583)&gt;0,"Yes","No"))</f>
        <v/>
      </c>
      <c r="J583" s="10" t="str">
        <f t="shared" si="9"/>
        <v/>
      </c>
      <c r="K583" s="10" t="str">
        <f>IF(B583="","",IF(COUNTIF(Finding_List!$A:$A,B583)&gt;0,"Yes","No"))</f>
        <v/>
      </c>
    </row>
    <row r="584" spans="1:11" x14ac:dyDescent="0.2">
      <c r="A584" s="9"/>
      <c r="B584" s="9"/>
      <c r="C584" s="9"/>
      <c r="D584" s="9"/>
      <c r="E584" s="9"/>
      <c r="F584" s="9"/>
      <c r="G584" s="9"/>
      <c r="H584" s="9"/>
      <c r="I584" s="10" t="str">
        <f>IF(B584="","",IF(COUNTIF(FUSE_CI!$A:$A,B584)&gt;0,"Yes","No"))</f>
        <v/>
      </c>
      <c r="J584" s="10" t="str">
        <f t="shared" si="9"/>
        <v/>
      </c>
      <c r="K584" s="10" t="str">
        <f>IF(B584="","",IF(COUNTIF(Finding_List!$A:$A,B584)&gt;0,"Yes","No"))</f>
        <v/>
      </c>
    </row>
    <row r="585" spans="1:11" x14ac:dyDescent="0.2">
      <c r="A585" s="5"/>
      <c r="B585" s="5"/>
      <c r="C585" s="5"/>
      <c r="D585" s="5"/>
      <c r="E585" s="5"/>
      <c r="F585" s="5"/>
      <c r="G585" s="5"/>
      <c r="H585" s="5"/>
      <c r="I585" s="10" t="str">
        <f>IF(B585="","",IF(COUNTIF(FUSE_CI!$A:$A,B585)&gt;0,"Yes","No"))</f>
        <v/>
      </c>
      <c r="J585" s="10" t="str">
        <f t="shared" si="9"/>
        <v/>
      </c>
      <c r="K585" s="10" t="str">
        <f>IF(B585="","",IF(COUNTIF(Finding_List!$A:$A,B585)&gt;0,"Yes","No"))</f>
        <v/>
      </c>
    </row>
    <row r="586" spans="1:11" x14ac:dyDescent="0.2">
      <c r="A586" s="9"/>
      <c r="B586" s="9"/>
      <c r="C586" s="9"/>
      <c r="D586" s="9"/>
      <c r="E586" s="9"/>
      <c r="F586" s="9"/>
      <c r="G586" s="9"/>
      <c r="H586" s="9"/>
      <c r="I586" s="10" t="str">
        <f>IF(B586="","",IF(COUNTIF(FUSE_CI!$A:$A,B586)&gt;0,"Yes","No"))</f>
        <v/>
      </c>
      <c r="J586" s="10" t="str">
        <f t="shared" si="9"/>
        <v/>
      </c>
      <c r="K586" s="10" t="str">
        <f>IF(B586="","",IF(COUNTIF(Finding_List!$A:$A,B586)&gt;0,"Yes","No"))</f>
        <v/>
      </c>
    </row>
    <row r="587" spans="1:11" x14ac:dyDescent="0.2">
      <c r="A587" s="5"/>
      <c r="B587" s="5"/>
      <c r="C587" s="5"/>
      <c r="D587" s="5"/>
      <c r="E587" s="5"/>
      <c r="F587" s="5"/>
      <c r="G587" s="5"/>
      <c r="H587" s="5"/>
      <c r="I587" s="10" t="str">
        <f>IF(B587="","",IF(COUNTIF(FUSE_CI!$A:$A,B587)&gt;0,"Yes","No"))</f>
        <v/>
      </c>
      <c r="J587" s="10" t="str">
        <f t="shared" si="9"/>
        <v/>
      </c>
      <c r="K587" s="10" t="str">
        <f>IF(B587="","",IF(COUNTIF(Finding_List!$A:$A,B587)&gt;0,"Yes","No"))</f>
        <v/>
      </c>
    </row>
    <row r="588" spans="1:11" x14ac:dyDescent="0.2">
      <c r="A588" s="9"/>
      <c r="B588" s="9"/>
      <c r="C588" s="9"/>
      <c r="D588" s="9"/>
      <c r="E588" s="9"/>
      <c r="F588" s="9"/>
      <c r="G588" s="9"/>
      <c r="H588" s="9"/>
      <c r="I588" s="10" t="str">
        <f>IF(B588="","",IF(COUNTIF(FUSE_CI!$A:$A,B588)&gt;0,"Yes","No"))</f>
        <v/>
      </c>
      <c r="J588" s="10" t="str">
        <f t="shared" si="9"/>
        <v/>
      </c>
      <c r="K588" s="10" t="str">
        <f>IF(B588="","",IF(COUNTIF(Finding_List!$A:$A,B588)&gt;0,"Yes","No"))</f>
        <v/>
      </c>
    </row>
    <row r="589" spans="1:11" x14ac:dyDescent="0.2">
      <c r="A589" s="5"/>
      <c r="B589" s="5"/>
      <c r="C589" s="5"/>
      <c r="D589" s="5"/>
      <c r="E589" s="5"/>
      <c r="F589" s="5"/>
      <c r="G589" s="5"/>
      <c r="H589" s="5"/>
      <c r="I589" s="10" t="str">
        <f>IF(B589="","",IF(COUNTIF(FUSE_CI!$A:$A,B589)&gt;0,"Yes","No"))</f>
        <v/>
      </c>
      <c r="J589" s="10" t="str">
        <f t="shared" si="9"/>
        <v/>
      </c>
      <c r="K589" s="10" t="str">
        <f>IF(B589="","",IF(COUNTIF(Finding_List!$A:$A,B589)&gt;0,"Yes","No"))</f>
        <v/>
      </c>
    </row>
    <row r="590" spans="1:11" x14ac:dyDescent="0.2">
      <c r="A590" s="9"/>
      <c r="B590" s="9"/>
      <c r="C590" s="9"/>
      <c r="D590" s="9"/>
      <c r="E590" s="9"/>
      <c r="F590" s="9"/>
      <c r="G590" s="9"/>
      <c r="H590" s="9"/>
      <c r="I590" s="10" t="str">
        <f>IF(B590="","",IF(COUNTIF(FUSE_CI!$A:$A,B590)&gt;0,"Yes","No"))</f>
        <v/>
      </c>
      <c r="J590" s="10" t="str">
        <f t="shared" si="9"/>
        <v/>
      </c>
      <c r="K590" s="10" t="str">
        <f>IF(B590="","",IF(COUNTIF(Finding_List!$A:$A,B590)&gt;0,"Yes","No"))</f>
        <v/>
      </c>
    </row>
    <row r="591" spans="1:11" x14ac:dyDescent="0.2">
      <c r="A591" s="5"/>
      <c r="B591" s="5"/>
      <c r="C591" s="5"/>
      <c r="D591" s="5"/>
      <c r="E591" s="5"/>
      <c r="F591" s="5"/>
      <c r="G591" s="5"/>
      <c r="H591" s="5"/>
      <c r="I591" s="10" t="str">
        <f>IF(B591="","",IF(COUNTIF(FUSE_CI!$A:$A,B591)&gt;0,"Yes","No"))</f>
        <v/>
      </c>
      <c r="J591" s="10" t="str">
        <f t="shared" si="9"/>
        <v/>
      </c>
      <c r="K591" s="10" t="str">
        <f>IF(B591="","",IF(COUNTIF(Finding_List!$A:$A,B591)&gt;0,"Yes","No"))</f>
        <v/>
      </c>
    </row>
    <row r="592" spans="1:11" x14ac:dyDescent="0.2">
      <c r="A592" s="9"/>
      <c r="B592" s="9"/>
      <c r="C592" s="9"/>
      <c r="D592" s="9"/>
      <c r="E592" s="9"/>
      <c r="F592" s="9"/>
      <c r="G592" s="9"/>
      <c r="H592" s="9"/>
      <c r="I592" s="10" t="str">
        <f>IF(B592="","",IF(COUNTIF(FUSE_CI!$A:$A,B592)&gt;0,"Yes","No"))</f>
        <v/>
      </c>
      <c r="J592" s="10" t="str">
        <f t="shared" si="9"/>
        <v/>
      </c>
      <c r="K592" s="10" t="str">
        <f>IF(B592="","",IF(COUNTIF(Finding_List!$A:$A,B592)&gt;0,"Yes","No"))</f>
        <v/>
      </c>
    </row>
    <row r="593" spans="1:11" x14ac:dyDescent="0.2">
      <c r="A593" s="5"/>
      <c r="B593" s="5"/>
      <c r="C593" s="5"/>
      <c r="D593" s="5"/>
      <c r="E593" s="5"/>
      <c r="F593" s="5"/>
      <c r="G593" s="5"/>
      <c r="H593" s="5"/>
      <c r="I593" s="10" t="str">
        <f>IF(B593="","",IF(COUNTIF(FUSE_CI!$A:$A,B593)&gt;0,"Yes","No"))</f>
        <v/>
      </c>
      <c r="J593" s="10" t="str">
        <f t="shared" si="9"/>
        <v/>
      </c>
      <c r="K593" s="10" t="str">
        <f>IF(B593="","",IF(COUNTIF(Finding_List!$A:$A,B593)&gt;0,"Yes","No"))</f>
        <v/>
      </c>
    </row>
    <row r="594" spans="1:11" x14ac:dyDescent="0.2">
      <c r="A594" s="9"/>
      <c r="B594" s="9"/>
      <c r="C594" s="9"/>
      <c r="D594" s="9"/>
      <c r="E594" s="9"/>
      <c r="F594" s="9"/>
      <c r="G594" s="9"/>
      <c r="H594" s="9"/>
      <c r="I594" s="10" t="str">
        <f>IF(B594="","",IF(COUNTIF(FUSE_CI!$A:$A,B594)&gt;0,"Yes","No"))</f>
        <v/>
      </c>
      <c r="J594" s="10" t="str">
        <f t="shared" si="9"/>
        <v/>
      </c>
      <c r="K594" s="10" t="str">
        <f>IF(B594="","",IF(COUNTIF(Finding_List!$A:$A,B594)&gt;0,"Yes","No"))</f>
        <v/>
      </c>
    </row>
    <row r="595" spans="1:11" x14ac:dyDescent="0.2">
      <c r="A595" s="5"/>
      <c r="B595" s="5"/>
      <c r="C595" s="5"/>
      <c r="D595" s="5"/>
      <c r="E595" s="5"/>
      <c r="F595" s="5"/>
      <c r="G595" s="5"/>
      <c r="H595" s="5"/>
      <c r="I595" s="10" t="str">
        <f>IF(B595="","",IF(COUNTIF(FUSE_CI!$A:$A,B595)&gt;0,"Yes","No"))</f>
        <v/>
      </c>
      <c r="J595" s="10" t="str">
        <f t="shared" si="9"/>
        <v/>
      </c>
      <c r="K595" s="10" t="str">
        <f>IF(B595="","",IF(COUNTIF(Finding_List!$A:$A,B595)&gt;0,"Yes","No"))</f>
        <v/>
      </c>
    </row>
    <row r="596" spans="1:11" x14ac:dyDescent="0.2">
      <c r="A596" s="9"/>
      <c r="B596" s="9"/>
      <c r="C596" s="9"/>
      <c r="D596" s="9"/>
      <c r="E596" s="9"/>
      <c r="F596" s="9"/>
      <c r="G596" s="9"/>
      <c r="H596" s="9"/>
      <c r="I596" s="10" t="str">
        <f>IF(B596="","",IF(COUNTIF(FUSE_CI!$A:$A,B596)&gt;0,"Yes","No"))</f>
        <v/>
      </c>
      <c r="J596" s="10" t="str">
        <f t="shared" si="9"/>
        <v/>
      </c>
      <c r="K596" s="10" t="str">
        <f>IF(B596="","",IF(COUNTIF(Finding_List!$A:$A,B596)&gt;0,"Yes","No"))</f>
        <v/>
      </c>
    </row>
    <row r="597" spans="1:11" x14ac:dyDescent="0.2">
      <c r="A597" s="5"/>
      <c r="B597" s="5"/>
      <c r="C597" s="5"/>
      <c r="D597" s="5"/>
      <c r="E597" s="5"/>
      <c r="F597" s="5"/>
      <c r="G597" s="5"/>
      <c r="H597" s="5"/>
      <c r="I597" s="10" t="str">
        <f>IF(B597="","",IF(COUNTIF(FUSE_CI!$A:$A,B597)&gt;0,"Yes","No"))</f>
        <v/>
      </c>
      <c r="J597" s="10" t="str">
        <f t="shared" si="9"/>
        <v/>
      </c>
      <c r="K597" s="10" t="str">
        <f>IF(B597="","",IF(COUNTIF(Finding_List!$A:$A,B597)&gt;0,"Yes","No"))</f>
        <v/>
      </c>
    </row>
    <row r="598" spans="1:11" x14ac:dyDescent="0.2">
      <c r="A598" s="9"/>
      <c r="B598" s="9"/>
      <c r="C598" s="9"/>
      <c r="D598" s="9"/>
      <c r="E598" s="9"/>
      <c r="F598" s="9"/>
      <c r="G598" s="9"/>
      <c r="H598" s="9"/>
      <c r="I598" s="10" t="str">
        <f>IF(B598="","",IF(COUNTIF(FUSE_CI!$A:$A,B598)&gt;0,"Yes","No"))</f>
        <v/>
      </c>
      <c r="J598" s="10" t="str">
        <f t="shared" si="9"/>
        <v/>
      </c>
      <c r="K598" s="10" t="str">
        <f>IF(B598="","",IF(COUNTIF(Finding_List!$A:$A,B598)&gt;0,"Yes","No"))</f>
        <v/>
      </c>
    </row>
    <row r="599" spans="1:11" x14ac:dyDescent="0.2">
      <c r="A599" s="5"/>
      <c r="B599" s="5"/>
      <c r="C599" s="5"/>
      <c r="D599" s="5"/>
      <c r="E599" s="5"/>
      <c r="F599" s="5"/>
      <c r="G599" s="5"/>
      <c r="H599" s="5"/>
      <c r="I599" s="10" t="str">
        <f>IF(B599="","",IF(COUNTIF(FUSE_CI!$A:$A,B599)&gt;0,"Yes","No"))</f>
        <v/>
      </c>
      <c r="J599" s="10" t="str">
        <f t="shared" si="9"/>
        <v/>
      </c>
      <c r="K599" s="10" t="str">
        <f>IF(B599="","",IF(COUNTIF(Finding_List!$A:$A,B599)&gt;0,"Yes","No"))</f>
        <v/>
      </c>
    </row>
    <row r="600" spans="1:11" x14ac:dyDescent="0.2">
      <c r="A600" s="9"/>
      <c r="B600" s="9"/>
      <c r="C600" s="9"/>
      <c r="D600" s="9"/>
      <c r="E600" s="9"/>
      <c r="F600" s="9"/>
      <c r="G600" s="9"/>
      <c r="H600" s="9"/>
      <c r="I600" s="10" t="str">
        <f>IF(B600="","",IF(COUNTIF(FUSE_CI!$A:$A,B600)&gt;0,"Yes","No"))</f>
        <v/>
      </c>
      <c r="J600" s="10" t="str">
        <f t="shared" si="9"/>
        <v/>
      </c>
      <c r="K600" s="10" t="str">
        <f>IF(B600="","",IF(COUNTIF(Finding_List!$A:$A,B600)&gt;0,"Yes","No"))</f>
        <v/>
      </c>
    </row>
    <row r="601" spans="1:11" x14ac:dyDescent="0.2">
      <c r="A601" s="5"/>
      <c r="B601" s="5"/>
      <c r="C601" s="5"/>
      <c r="D601" s="5"/>
      <c r="E601" s="5"/>
      <c r="F601" s="5"/>
      <c r="G601" s="5"/>
      <c r="H601" s="5"/>
      <c r="I601" s="10" t="str">
        <f>IF(B601="","",IF(COUNTIF(FUSE_CI!$A:$A,B601)&gt;0,"Yes","No"))</f>
        <v/>
      </c>
      <c r="J601" s="10" t="str">
        <f t="shared" si="9"/>
        <v/>
      </c>
      <c r="K601" s="10" t="str">
        <f>IF(B601="","",IF(COUNTIF(Finding_List!$A:$A,B601)&gt;0,"Yes","No"))</f>
        <v/>
      </c>
    </row>
    <row r="602" spans="1:11" x14ac:dyDescent="0.2">
      <c r="A602" s="9"/>
      <c r="B602" s="9"/>
      <c r="C602" s="9"/>
      <c r="D602" s="9"/>
      <c r="E602" s="9"/>
      <c r="F602" s="9"/>
      <c r="G602" s="9"/>
      <c r="H602" s="9"/>
      <c r="I602" s="10" t="str">
        <f>IF(B602="","",IF(COUNTIF(FUSE_CI!$A:$A,B602)&gt;0,"Yes","No"))</f>
        <v/>
      </c>
      <c r="J602" s="10" t="str">
        <f t="shared" si="9"/>
        <v/>
      </c>
      <c r="K602" s="10" t="str">
        <f>IF(B602="","",IF(COUNTIF(Finding_List!$A:$A,B602)&gt;0,"Yes","No"))</f>
        <v/>
      </c>
    </row>
    <row r="603" spans="1:11" x14ac:dyDescent="0.2">
      <c r="A603" s="5"/>
      <c r="B603" s="5"/>
      <c r="C603" s="5"/>
      <c r="D603" s="5"/>
      <c r="E603" s="5"/>
      <c r="F603" s="5"/>
      <c r="G603" s="5"/>
      <c r="H603" s="5"/>
      <c r="I603" s="10" t="str">
        <f>IF(B603="","",IF(COUNTIF(FUSE_CI!$A:$A,B603)&gt;0,"Yes","No"))</f>
        <v/>
      </c>
      <c r="J603" s="10" t="str">
        <f t="shared" si="9"/>
        <v/>
      </c>
      <c r="K603" s="10" t="str">
        <f>IF(B603="","",IF(COUNTIF(Finding_List!$A:$A,B603)&gt;0,"Yes","No"))</f>
        <v/>
      </c>
    </row>
    <row r="604" spans="1:11" x14ac:dyDescent="0.2">
      <c r="A604" s="9"/>
      <c r="B604" s="9"/>
      <c r="C604" s="9"/>
      <c r="D604" s="9"/>
      <c r="E604" s="9"/>
      <c r="F604" s="9"/>
      <c r="G604" s="9"/>
      <c r="H604" s="9"/>
      <c r="I604" s="10" t="str">
        <f>IF(B604="","",IF(COUNTIF(FUSE_CI!$A:$A,B604)&gt;0,"Yes","No"))</f>
        <v/>
      </c>
      <c r="J604" s="10" t="str">
        <f t="shared" si="9"/>
        <v/>
      </c>
      <c r="K604" s="10" t="str">
        <f>IF(B604="","",IF(COUNTIF(Finding_List!$A:$A,B604)&gt;0,"Yes","No"))</f>
        <v/>
      </c>
    </row>
    <row r="605" spans="1:11" x14ac:dyDescent="0.2">
      <c r="A605" s="5"/>
      <c r="B605" s="5"/>
      <c r="C605" s="5"/>
      <c r="D605" s="5"/>
      <c r="E605" s="5"/>
      <c r="F605" s="5"/>
      <c r="G605" s="5"/>
      <c r="H605" s="5"/>
      <c r="I605" s="10" t="str">
        <f>IF(B605="","",IF(COUNTIF(FUSE_CI!$A:$A,B605)&gt;0,"Yes","No"))</f>
        <v/>
      </c>
      <c r="J605" s="10" t="str">
        <f t="shared" si="9"/>
        <v/>
      </c>
      <c r="K605" s="10" t="str">
        <f>IF(B605="","",IF(COUNTIF(Finding_List!$A:$A,B605)&gt;0,"Yes","No"))</f>
        <v/>
      </c>
    </row>
    <row r="606" spans="1:11" x14ac:dyDescent="0.2">
      <c r="A606" s="9"/>
      <c r="B606" s="9"/>
      <c r="C606" s="9"/>
      <c r="D606" s="9"/>
      <c r="E606" s="9"/>
      <c r="F606" s="9"/>
      <c r="G606" s="9"/>
      <c r="H606" s="9"/>
      <c r="I606" s="10" t="str">
        <f>IF(B606="","",IF(COUNTIF(FUSE_CI!$A:$A,B606)&gt;0,"Yes","No"))</f>
        <v/>
      </c>
      <c r="J606" s="10" t="str">
        <f t="shared" si="9"/>
        <v/>
      </c>
      <c r="K606" s="10" t="str">
        <f>IF(B606="","",IF(COUNTIF(Finding_List!$A:$A,B606)&gt;0,"Yes","No"))</f>
        <v/>
      </c>
    </row>
    <row r="607" spans="1:11" x14ac:dyDescent="0.2">
      <c r="A607" s="5"/>
      <c r="B607" s="5"/>
      <c r="C607" s="5"/>
      <c r="D607" s="5"/>
      <c r="E607" s="5"/>
      <c r="F607" s="5"/>
      <c r="G607" s="5"/>
      <c r="H607" s="5"/>
      <c r="I607" s="10" t="str">
        <f>IF(B607="","",IF(COUNTIF(FUSE_CI!$A:$A,B607)&gt;0,"Yes","No"))</f>
        <v/>
      </c>
      <c r="J607" s="10" t="str">
        <f t="shared" si="9"/>
        <v/>
      </c>
      <c r="K607" s="10" t="str">
        <f>IF(B607="","",IF(COUNTIF(Finding_List!$A:$A,B607)&gt;0,"Yes","No"))</f>
        <v/>
      </c>
    </row>
    <row r="608" spans="1:11" x14ac:dyDescent="0.2">
      <c r="A608" s="9"/>
      <c r="B608" s="9"/>
      <c r="C608" s="9"/>
      <c r="D608" s="9"/>
      <c r="E608" s="9"/>
      <c r="F608" s="9"/>
      <c r="G608" s="9"/>
      <c r="H608" s="9"/>
      <c r="I608" s="10" t="str">
        <f>IF(B608="","",IF(COUNTIF(FUSE_CI!$A:$A,B608)&gt;0,"Yes","No"))</f>
        <v/>
      </c>
      <c r="J608" s="10" t="str">
        <f t="shared" si="9"/>
        <v/>
      </c>
      <c r="K608" s="10" t="str">
        <f>IF(B608="","",IF(COUNTIF(Finding_List!$A:$A,B608)&gt;0,"Yes","No"))</f>
        <v/>
      </c>
    </row>
    <row r="609" spans="1:11" x14ac:dyDescent="0.2">
      <c r="A609" s="5"/>
      <c r="B609" s="5"/>
      <c r="C609" s="5"/>
      <c r="D609" s="5"/>
      <c r="E609" s="5"/>
      <c r="F609" s="5"/>
      <c r="G609" s="5"/>
      <c r="H609" s="5"/>
      <c r="I609" s="10" t="str">
        <f>IF(B609="","",IF(COUNTIF(FUSE_CI!$A:$A,B609)&gt;0,"Yes","No"))</f>
        <v/>
      </c>
      <c r="J609" s="10" t="str">
        <f t="shared" si="9"/>
        <v/>
      </c>
      <c r="K609" s="10" t="str">
        <f>IF(B609="","",IF(COUNTIF(Finding_List!$A:$A,B609)&gt;0,"Yes","No"))</f>
        <v/>
      </c>
    </row>
    <row r="610" spans="1:11" x14ac:dyDescent="0.2">
      <c r="A610" s="9"/>
      <c r="B610" s="9"/>
      <c r="C610" s="9"/>
      <c r="D610" s="9"/>
      <c r="E610" s="9"/>
      <c r="F610" s="9"/>
      <c r="G610" s="9"/>
      <c r="H610" s="9"/>
      <c r="I610" s="10" t="str">
        <f>IF(B610="","",IF(COUNTIF(FUSE_CI!$A:$A,B610)&gt;0,"Yes","No"))</f>
        <v/>
      </c>
      <c r="J610" s="10" t="str">
        <f t="shared" si="9"/>
        <v/>
      </c>
      <c r="K610" s="10" t="str">
        <f>IF(B610="","",IF(COUNTIF(Finding_List!$A:$A,B610)&gt;0,"Yes","No"))</f>
        <v/>
      </c>
    </row>
    <row r="611" spans="1:11" x14ac:dyDescent="0.2">
      <c r="A611" s="5"/>
      <c r="B611" s="5"/>
      <c r="C611" s="5"/>
      <c r="D611" s="5"/>
      <c r="E611" s="5"/>
      <c r="F611" s="5"/>
      <c r="G611" s="5"/>
      <c r="H611" s="5"/>
      <c r="I611" s="10" t="str">
        <f>IF(B611="","",IF(COUNTIF(FUSE_CI!$A:$A,B611)&gt;0,"Yes","No"))</f>
        <v/>
      </c>
      <c r="J611" s="10" t="str">
        <f t="shared" si="9"/>
        <v/>
      </c>
      <c r="K611" s="10" t="str">
        <f>IF(B611="","",IF(COUNTIF(Finding_List!$A:$A,B611)&gt;0,"Yes","No"))</f>
        <v/>
      </c>
    </row>
    <row r="612" spans="1:11" x14ac:dyDescent="0.2">
      <c r="A612" s="9"/>
      <c r="B612" s="9"/>
      <c r="C612" s="9"/>
      <c r="D612" s="9"/>
      <c r="E612" s="9"/>
      <c r="F612" s="9"/>
      <c r="G612" s="9"/>
      <c r="H612" s="9"/>
      <c r="I612" s="10" t="str">
        <f>IF(B612="","",IF(COUNTIF(FUSE_CI!$A:$A,B612)&gt;0,"Yes","No"))</f>
        <v/>
      </c>
      <c r="J612" s="10" t="str">
        <f t="shared" si="9"/>
        <v/>
      </c>
      <c r="K612" s="10" t="str">
        <f>IF(B612="","",IF(COUNTIF(Finding_List!$A:$A,B612)&gt;0,"Yes","No"))</f>
        <v/>
      </c>
    </row>
    <row r="613" spans="1:11" x14ac:dyDescent="0.2">
      <c r="A613" s="5"/>
      <c r="B613" s="5"/>
      <c r="C613" s="5"/>
      <c r="D613" s="5"/>
      <c r="E613" s="5"/>
      <c r="F613" s="5"/>
      <c r="G613" s="5"/>
      <c r="H613" s="5"/>
      <c r="I613" s="10" t="str">
        <f>IF(B613="","",IF(COUNTIF(FUSE_CI!$A:$A,B613)&gt;0,"Yes","No"))</f>
        <v/>
      </c>
      <c r="J613" s="10" t="str">
        <f t="shared" si="9"/>
        <v/>
      </c>
      <c r="K613" s="10" t="str">
        <f>IF(B613="","",IF(COUNTIF(Finding_List!$A:$A,B613)&gt;0,"Yes","No"))</f>
        <v/>
      </c>
    </row>
    <row r="614" spans="1:11" x14ac:dyDescent="0.2">
      <c r="A614" s="9"/>
      <c r="B614" s="9"/>
      <c r="C614" s="9"/>
      <c r="D614" s="9"/>
      <c r="E614" s="9"/>
      <c r="F614" s="9"/>
      <c r="G614" s="9"/>
      <c r="H614" s="9"/>
      <c r="I614" s="10" t="str">
        <f>IF(B614="","",IF(COUNTIF(FUSE_CI!$A:$A,B614)&gt;0,"Yes","No"))</f>
        <v/>
      </c>
      <c r="J614" s="10" t="str">
        <f t="shared" si="9"/>
        <v/>
      </c>
      <c r="K614" s="10" t="str">
        <f>IF(B614="","",IF(COUNTIF(Finding_List!$A:$A,B614)&gt;0,"Yes","No"))</f>
        <v/>
      </c>
    </row>
    <row r="615" spans="1:11" x14ac:dyDescent="0.2">
      <c r="A615" s="5"/>
      <c r="B615" s="5"/>
      <c r="C615" s="5"/>
      <c r="D615" s="5"/>
      <c r="E615" s="5"/>
      <c r="F615" s="5"/>
      <c r="G615" s="5"/>
      <c r="H615" s="5"/>
      <c r="I615" s="10" t="str">
        <f>IF(B615="","",IF(COUNTIF(FUSE_CI!$A:$A,B615)&gt;0,"Yes","No"))</f>
        <v/>
      </c>
      <c r="J615" s="10" t="str">
        <f t="shared" si="9"/>
        <v/>
      </c>
      <c r="K615" s="10" t="str">
        <f>IF(B615="","",IF(COUNTIF(Finding_List!$A:$A,B615)&gt;0,"Yes","No"))</f>
        <v/>
      </c>
    </row>
    <row r="616" spans="1:11" x14ac:dyDescent="0.2">
      <c r="A616" s="9"/>
      <c r="B616" s="9"/>
      <c r="C616" s="9"/>
      <c r="D616" s="9"/>
      <c r="E616" s="9"/>
      <c r="F616" s="9"/>
      <c r="G616" s="9"/>
      <c r="H616" s="9"/>
      <c r="I616" s="10" t="str">
        <f>IF(B616="","",IF(COUNTIF(FUSE_CI!$A:$A,B616)&gt;0,"Yes","No"))</f>
        <v/>
      </c>
      <c r="J616" s="10" t="str">
        <f t="shared" si="9"/>
        <v/>
      </c>
      <c r="K616" s="10" t="str">
        <f>IF(B616="","",IF(COUNTIF(Finding_List!$A:$A,B616)&gt;0,"Yes","No"))</f>
        <v/>
      </c>
    </row>
    <row r="617" spans="1:11" x14ac:dyDescent="0.2">
      <c r="A617" s="5"/>
      <c r="B617" s="5"/>
      <c r="C617" s="5"/>
      <c r="D617" s="5"/>
      <c r="E617" s="5"/>
      <c r="F617" s="5"/>
      <c r="G617" s="5"/>
      <c r="H617" s="5"/>
      <c r="I617" s="10" t="str">
        <f>IF(B617="","",IF(COUNTIF(FUSE_CI!$A:$A,B617)&gt;0,"Yes","No"))</f>
        <v/>
      </c>
      <c r="J617" s="10" t="str">
        <f t="shared" si="9"/>
        <v/>
      </c>
      <c r="K617" s="10" t="str">
        <f>IF(B617="","",IF(COUNTIF(Finding_List!$A:$A,B617)&gt;0,"Yes","No"))</f>
        <v/>
      </c>
    </row>
    <row r="618" spans="1:11" x14ac:dyDescent="0.2">
      <c r="A618" s="9"/>
      <c r="B618" s="9"/>
      <c r="C618" s="9"/>
      <c r="D618" s="9"/>
      <c r="E618" s="9"/>
      <c r="F618" s="9"/>
      <c r="G618" s="9"/>
      <c r="H618" s="9"/>
      <c r="I618" s="10" t="str">
        <f>IF(B618="","",IF(COUNTIF(FUSE_CI!$A:$A,B618)&gt;0,"Yes","No"))</f>
        <v/>
      </c>
      <c r="J618" s="10" t="str">
        <f t="shared" si="9"/>
        <v/>
      </c>
      <c r="K618" s="10" t="str">
        <f>IF(B618="","",IF(COUNTIF(Finding_List!$A:$A,B618)&gt;0,"Yes","No"))</f>
        <v/>
      </c>
    </row>
    <row r="619" spans="1:11" x14ac:dyDescent="0.2">
      <c r="A619" s="5"/>
      <c r="B619" s="5"/>
      <c r="C619" s="5"/>
      <c r="D619" s="5"/>
      <c r="E619" s="5"/>
      <c r="F619" s="5"/>
      <c r="G619" s="5"/>
      <c r="H619" s="5"/>
      <c r="I619" s="10" t="str">
        <f>IF(B619="","",IF(COUNTIF(FUSE_CI!$A:$A,B619)&gt;0,"Yes","No"))</f>
        <v/>
      </c>
      <c r="J619" s="10" t="str">
        <f t="shared" si="9"/>
        <v/>
      </c>
      <c r="K619" s="10" t="str">
        <f>IF(B619="","",IF(COUNTIF(Finding_List!$A:$A,B619)&gt;0,"Yes","No"))</f>
        <v/>
      </c>
    </row>
    <row r="620" spans="1:11" x14ac:dyDescent="0.2">
      <c r="A620" s="9"/>
      <c r="B620" s="9"/>
      <c r="C620" s="9"/>
      <c r="D620" s="9"/>
      <c r="E620" s="9"/>
      <c r="F620" s="9"/>
      <c r="G620" s="9"/>
      <c r="H620" s="9"/>
      <c r="I620" s="10" t="str">
        <f>IF(B620="","",IF(COUNTIF(FUSE_CI!$A:$A,B620)&gt;0,"Yes","No"))</f>
        <v/>
      </c>
      <c r="J620" s="10" t="str">
        <f t="shared" si="9"/>
        <v/>
      </c>
      <c r="K620" s="10" t="str">
        <f>IF(B620="","",IF(COUNTIF(Finding_List!$A:$A,B620)&gt;0,"Yes","No"))</f>
        <v/>
      </c>
    </row>
    <row r="621" spans="1:11" x14ac:dyDescent="0.2">
      <c r="A621" s="5"/>
      <c r="B621" s="5"/>
      <c r="C621" s="5"/>
      <c r="D621" s="5"/>
      <c r="E621" s="5"/>
      <c r="F621" s="5"/>
      <c r="G621" s="5"/>
      <c r="H621" s="5"/>
      <c r="I621" s="10" t="str">
        <f>IF(B621="","",IF(COUNTIF(FUSE_CI!$A:$A,B621)&gt;0,"Yes","No"))</f>
        <v/>
      </c>
      <c r="J621" s="10" t="str">
        <f t="shared" si="9"/>
        <v/>
      </c>
      <c r="K621" s="10" t="str">
        <f>IF(B621="","",IF(COUNTIF(Finding_List!$A:$A,B621)&gt;0,"Yes","No"))</f>
        <v/>
      </c>
    </row>
    <row r="622" spans="1:11" x14ac:dyDescent="0.2">
      <c r="A622" s="9"/>
      <c r="B622" s="9"/>
      <c r="C622" s="9"/>
      <c r="D622" s="9"/>
      <c r="E622" s="9"/>
      <c r="F622" s="9"/>
      <c r="G622" s="9"/>
      <c r="H622" s="9"/>
      <c r="I622" s="10" t="str">
        <f>IF(B622="","",IF(COUNTIF(FUSE_CI!$A:$A,B622)&gt;0,"Yes","No"))</f>
        <v/>
      </c>
      <c r="J622" s="10" t="str">
        <f t="shared" si="9"/>
        <v/>
      </c>
      <c r="K622" s="10" t="str">
        <f>IF(B622="","",IF(COUNTIF(Finding_List!$A:$A,B622)&gt;0,"Yes","No"))</f>
        <v/>
      </c>
    </row>
    <row r="623" spans="1:11" x14ac:dyDescent="0.2">
      <c r="A623" s="5"/>
      <c r="B623" s="5"/>
      <c r="C623" s="5"/>
      <c r="D623" s="5"/>
      <c r="E623" s="5"/>
      <c r="F623" s="5"/>
      <c r="G623" s="5"/>
      <c r="H623" s="5"/>
      <c r="I623" s="10" t="str">
        <f>IF(B623="","",IF(COUNTIF(FUSE_CI!$A:$A,B623)&gt;0,"Yes","No"))</f>
        <v/>
      </c>
      <c r="J623" s="10" t="str">
        <f t="shared" si="9"/>
        <v/>
      </c>
      <c r="K623" s="10" t="str">
        <f>IF(B623="","",IF(COUNTIF(Finding_List!$A:$A,B623)&gt;0,"Yes","No"))</f>
        <v/>
      </c>
    </row>
    <row r="624" spans="1:11" x14ac:dyDescent="0.2">
      <c r="A624" s="9"/>
      <c r="B624" s="9"/>
      <c r="C624" s="9"/>
      <c r="D624" s="9"/>
      <c r="E624" s="9"/>
      <c r="F624" s="9"/>
      <c r="G624" s="9"/>
      <c r="H624" s="9"/>
      <c r="I624" s="10" t="str">
        <f>IF(B624="","",IF(COUNTIF(FUSE_CI!$A:$A,B624)&gt;0,"Yes","No"))</f>
        <v/>
      </c>
      <c r="J624" s="10" t="str">
        <f t="shared" si="9"/>
        <v/>
      </c>
      <c r="K624" s="10" t="str">
        <f>IF(B624="","",IF(COUNTIF(Finding_List!$A:$A,B624)&gt;0,"Yes","No"))</f>
        <v/>
      </c>
    </row>
    <row r="625" spans="1:11" x14ac:dyDescent="0.2">
      <c r="A625" s="5"/>
      <c r="B625" s="5"/>
      <c r="C625" s="5"/>
      <c r="D625" s="5"/>
      <c r="E625" s="5"/>
      <c r="F625" s="5"/>
      <c r="G625" s="5"/>
      <c r="H625" s="5"/>
      <c r="I625" s="10" t="str">
        <f>IF(B625="","",IF(COUNTIF(FUSE_CI!$A:$A,B625)&gt;0,"Yes","No"))</f>
        <v/>
      </c>
      <c r="J625" s="10" t="str">
        <f t="shared" si="9"/>
        <v/>
      </c>
      <c r="K625" s="10" t="str">
        <f>IF(B625="","",IF(COUNTIF(Finding_List!$A:$A,B625)&gt;0,"Yes","No"))</f>
        <v/>
      </c>
    </row>
    <row r="626" spans="1:11" x14ac:dyDescent="0.2">
      <c r="A626" s="9"/>
      <c r="B626" s="9"/>
      <c r="C626" s="9"/>
      <c r="D626" s="9"/>
      <c r="E626" s="9"/>
      <c r="F626" s="9"/>
      <c r="G626" s="9"/>
      <c r="H626" s="9"/>
      <c r="I626" s="10" t="str">
        <f>IF(B626="","",IF(COUNTIF(FUSE_CI!$A:$A,B626)&gt;0,"Yes","No"))</f>
        <v/>
      </c>
      <c r="J626" s="10" t="str">
        <f t="shared" si="9"/>
        <v/>
      </c>
      <c r="K626" s="10" t="str">
        <f>IF(B626="","",IF(COUNTIF(Finding_List!$A:$A,B626)&gt;0,"Yes","No"))</f>
        <v/>
      </c>
    </row>
    <row r="627" spans="1:11" x14ac:dyDescent="0.2">
      <c r="A627" s="5"/>
      <c r="B627" s="5"/>
      <c r="C627" s="5"/>
      <c r="D627" s="5"/>
      <c r="E627" s="5"/>
      <c r="F627" s="5"/>
      <c r="G627" s="5"/>
      <c r="H627" s="5"/>
      <c r="I627" s="10" t="str">
        <f>IF(B627="","",IF(COUNTIF(FUSE_CI!$A:$A,B627)&gt;0,"Yes","No"))</f>
        <v/>
      </c>
      <c r="J627" s="10" t="str">
        <f t="shared" si="9"/>
        <v/>
      </c>
      <c r="K627" s="10" t="str">
        <f>IF(B627="","",IF(COUNTIF(Finding_List!$A:$A,B627)&gt;0,"Yes","No"))</f>
        <v/>
      </c>
    </row>
    <row r="628" spans="1:11" x14ac:dyDescent="0.2">
      <c r="A628" s="9"/>
      <c r="B628" s="9"/>
      <c r="C628" s="9"/>
      <c r="D628" s="9"/>
      <c r="E628" s="9"/>
      <c r="F628" s="9"/>
      <c r="G628" s="9"/>
      <c r="H628" s="9"/>
      <c r="I628" s="10" t="str">
        <f>IF(B628="","",IF(COUNTIF(FUSE_CI!$A:$A,B628)&gt;0,"Yes","No"))</f>
        <v/>
      </c>
      <c r="J628" s="10" t="str">
        <f t="shared" si="9"/>
        <v/>
      </c>
      <c r="K628" s="10" t="str">
        <f>IF(B628="","",IF(COUNTIF(Finding_List!$A:$A,B628)&gt;0,"Yes","No"))</f>
        <v/>
      </c>
    </row>
    <row r="629" spans="1:11" x14ac:dyDescent="0.2">
      <c r="A629" s="5"/>
      <c r="B629" s="5"/>
      <c r="C629" s="5"/>
      <c r="D629" s="5"/>
      <c r="E629" s="5"/>
      <c r="F629" s="5"/>
      <c r="G629" s="5"/>
      <c r="H629" s="5"/>
      <c r="I629" s="10" t="str">
        <f>IF(B629="","",IF(COUNTIF(FUSE_CI!$A:$A,B629)&gt;0,"Yes","No"))</f>
        <v/>
      </c>
      <c r="J629" s="10" t="str">
        <f t="shared" si="9"/>
        <v/>
      </c>
      <c r="K629" s="10" t="str">
        <f>IF(B629="","",IF(COUNTIF(Finding_List!$A:$A,B629)&gt;0,"Yes","No"))</f>
        <v/>
      </c>
    </row>
    <row r="630" spans="1:11" x14ac:dyDescent="0.2">
      <c r="A630" s="9"/>
      <c r="B630" s="9"/>
      <c r="C630" s="9"/>
      <c r="D630" s="9"/>
      <c r="E630" s="9"/>
      <c r="F630" s="9"/>
      <c r="G630" s="9"/>
      <c r="H630" s="9"/>
      <c r="I630" s="10" t="str">
        <f>IF(B630="","",IF(COUNTIF(FUSE_CI!$A:$A,B630)&gt;0,"Yes","No"))</f>
        <v/>
      </c>
      <c r="J630" s="10" t="str">
        <f t="shared" si="9"/>
        <v/>
      </c>
      <c r="K630" s="10" t="str">
        <f>IF(B630="","",IF(COUNTIF(Finding_List!$A:$A,B630)&gt;0,"Yes","No"))</f>
        <v/>
      </c>
    </row>
    <row r="631" spans="1:11" x14ac:dyDescent="0.2">
      <c r="A631" s="5"/>
      <c r="B631" s="5"/>
      <c r="C631" s="5"/>
      <c r="D631" s="5"/>
      <c r="E631" s="5"/>
      <c r="F631" s="5"/>
      <c r="G631" s="5"/>
      <c r="H631" s="5"/>
      <c r="I631" s="10" t="str">
        <f>IF(B631="","",IF(COUNTIF(FUSE_CI!$A:$A,B631)&gt;0,"Yes","No"))</f>
        <v/>
      </c>
      <c r="J631" s="10" t="str">
        <f t="shared" si="9"/>
        <v/>
      </c>
      <c r="K631" s="10" t="str">
        <f>IF(B631="","",IF(COUNTIF(Finding_List!$A:$A,B631)&gt;0,"Yes","No"))</f>
        <v/>
      </c>
    </row>
    <row r="632" spans="1:11" x14ac:dyDescent="0.2">
      <c r="A632" s="9"/>
      <c r="B632" s="9"/>
      <c r="C632" s="9"/>
      <c r="D632" s="9"/>
      <c r="E632" s="9"/>
      <c r="F632" s="9"/>
      <c r="G632" s="9"/>
      <c r="H632" s="9"/>
      <c r="I632" s="10" t="str">
        <f>IF(B632="","",IF(COUNTIF(FUSE_CI!$A:$A,B632)&gt;0,"Yes","No"))</f>
        <v/>
      </c>
      <c r="J632" s="10" t="str">
        <f t="shared" si="9"/>
        <v/>
      </c>
      <c r="K632" s="10" t="str">
        <f>IF(B632="","",IF(COUNTIF(Finding_List!$A:$A,B632)&gt;0,"Yes","No"))</f>
        <v/>
      </c>
    </row>
    <row r="633" spans="1:11" x14ac:dyDescent="0.2">
      <c r="A633" s="5"/>
      <c r="B633" s="5"/>
      <c r="C633" s="5"/>
      <c r="D633" s="5"/>
      <c r="E633" s="5"/>
      <c r="F633" s="5"/>
      <c r="G633" s="5"/>
      <c r="H633" s="5"/>
      <c r="I633" s="10" t="str">
        <f>IF(B633="","",IF(COUNTIF(FUSE_CI!$A:$A,B633)&gt;0,"Yes","No"))</f>
        <v/>
      </c>
      <c r="J633" s="10" t="str">
        <f t="shared" si="9"/>
        <v/>
      </c>
      <c r="K633" s="10" t="str">
        <f>IF(B633="","",IF(COUNTIF(Finding_List!$A:$A,B633)&gt;0,"Yes","No"))</f>
        <v/>
      </c>
    </row>
    <row r="634" spans="1:11" x14ac:dyDescent="0.2">
      <c r="A634" s="9"/>
      <c r="B634" s="9"/>
      <c r="C634" s="9"/>
      <c r="D634" s="9"/>
      <c r="E634" s="9"/>
      <c r="F634" s="9"/>
      <c r="G634" s="9"/>
      <c r="H634" s="9"/>
      <c r="I634" s="10" t="str">
        <f>IF(B634="","",IF(COUNTIF(FUSE_CI!$A:$A,B634)&gt;0,"Yes","No"))</f>
        <v/>
      </c>
      <c r="J634" s="10" t="str">
        <f t="shared" si="9"/>
        <v/>
      </c>
      <c r="K634" s="10" t="str">
        <f>IF(B634="","",IF(COUNTIF(Finding_List!$A:$A,B634)&gt;0,"Yes","No"))</f>
        <v/>
      </c>
    </row>
    <row r="635" spans="1:11" x14ac:dyDescent="0.2">
      <c r="A635" s="5"/>
      <c r="B635" s="5"/>
      <c r="C635" s="5"/>
      <c r="D635" s="5"/>
      <c r="E635" s="5"/>
      <c r="F635" s="5"/>
      <c r="G635" s="5"/>
      <c r="H635" s="5"/>
      <c r="I635" s="10" t="str">
        <f>IF(B635="","",IF(COUNTIF(FUSE_CI!$A:$A,B635)&gt;0,"Yes","No"))</f>
        <v/>
      </c>
      <c r="J635" s="10" t="str">
        <f t="shared" si="9"/>
        <v/>
      </c>
      <c r="K635" s="10" t="str">
        <f>IF(B635="","",IF(COUNTIF(Finding_List!$A:$A,B635)&gt;0,"Yes","No"))</f>
        <v/>
      </c>
    </row>
    <row r="636" spans="1:11" x14ac:dyDescent="0.2">
      <c r="A636" s="9"/>
      <c r="B636" s="9"/>
      <c r="C636" s="9"/>
      <c r="D636" s="9"/>
      <c r="E636" s="9"/>
      <c r="F636" s="9"/>
      <c r="G636" s="9"/>
      <c r="H636" s="9"/>
      <c r="I636" s="10" t="str">
        <f>IF(B636="","",IF(COUNTIF(FUSE_CI!$A:$A,B636)&gt;0,"Yes","No"))</f>
        <v/>
      </c>
      <c r="J636" s="10" t="str">
        <f t="shared" si="9"/>
        <v/>
      </c>
      <c r="K636" s="10" t="str">
        <f>IF(B636="","",IF(COUNTIF(Finding_List!$A:$A,B636)&gt;0,"Yes","No"))</f>
        <v/>
      </c>
    </row>
    <row r="637" spans="1:11" x14ac:dyDescent="0.2">
      <c r="A637" s="5"/>
      <c r="B637" s="5"/>
      <c r="C637" s="5"/>
      <c r="D637" s="5"/>
      <c r="E637" s="5"/>
      <c r="F637" s="5"/>
      <c r="G637" s="5"/>
      <c r="H637" s="5"/>
      <c r="I637" s="10" t="str">
        <f>IF(B637="","",IF(COUNTIF(FUSE_CI!$A:$A,B637)&gt;0,"Yes","No"))</f>
        <v/>
      </c>
      <c r="J637" s="10" t="str">
        <f t="shared" si="9"/>
        <v/>
      </c>
      <c r="K637" s="10" t="str">
        <f>IF(B637="","",IF(COUNTIF(Finding_List!$A:$A,B637)&gt;0,"Yes","No"))</f>
        <v/>
      </c>
    </row>
    <row r="638" spans="1:11" x14ac:dyDescent="0.2">
      <c r="A638" s="9"/>
      <c r="B638" s="9"/>
      <c r="C638" s="9"/>
      <c r="D638" s="9"/>
      <c r="E638" s="9"/>
      <c r="F638" s="9"/>
      <c r="G638" s="9"/>
      <c r="H638" s="9"/>
      <c r="I638" s="10" t="str">
        <f>IF(B638="","",IF(COUNTIF(FUSE_CI!$A:$A,B638)&gt;0,"Yes","No"))</f>
        <v/>
      </c>
      <c r="J638" s="10" t="str">
        <f t="shared" si="9"/>
        <v/>
      </c>
      <c r="K638" s="10" t="str">
        <f>IF(B638="","",IF(COUNTIF(Finding_List!$A:$A,B638)&gt;0,"Yes","No"))</f>
        <v/>
      </c>
    </row>
    <row r="639" spans="1:11" x14ac:dyDescent="0.2">
      <c r="A639" s="5"/>
      <c r="B639" s="5"/>
      <c r="C639" s="5"/>
      <c r="D639" s="5"/>
      <c r="E639" s="5"/>
      <c r="F639" s="5"/>
      <c r="G639" s="5"/>
      <c r="H639" s="5"/>
      <c r="I639" s="10" t="str">
        <f>IF(B639="","",IF(COUNTIF(FUSE_CI!$A:$A,B639)&gt;0,"Yes","No"))</f>
        <v/>
      </c>
      <c r="J639" s="10" t="str">
        <f t="shared" si="9"/>
        <v/>
      </c>
      <c r="K639" s="10" t="str">
        <f>IF(B639="","",IF(COUNTIF(Finding_List!$A:$A,B639)&gt;0,"Yes","No"))</f>
        <v/>
      </c>
    </row>
    <row r="640" spans="1:11" x14ac:dyDescent="0.2">
      <c r="A640" s="9"/>
      <c r="B640" s="9"/>
      <c r="C640" s="9"/>
      <c r="D640" s="9"/>
      <c r="E640" s="9"/>
      <c r="F640" s="9"/>
      <c r="G640" s="9"/>
      <c r="H640" s="9"/>
      <c r="I640" s="10" t="str">
        <f>IF(B640="","",IF(COUNTIF(FUSE_CI!$A:$A,B640)&gt;0,"Yes","No"))</f>
        <v/>
      </c>
      <c r="J640" s="10" t="str">
        <f t="shared" si="9"/>
        <v/>
      </c>
      <c r="K640" s="10" t="str">
        <f>IF(B640="","",IF(COUNTIF(Finding_List!$A:$A,B640)&gt;0,"Yes","No"))</f>
        <v/>
      </c>
    </row>
    <row r="641" spans="1:11" x14ac:dyDescent="0.2">
      <c r="A641" s="5"/>
      <c r="B641" s="5"/>
      <c r="C641" s="5"/>
      <c r="D641" s="5"/>
      <c r="E641" s="5"/>
      <c r="F641" s="5"/>
      <c r="G641" s="5"/>
      <c r="H641" s="5"/>
      <c r="I641" s="10" t="str">
        <f>IF(B641="","",IF(COUNTIF(FUSE_CI!$A:$A,B641)&gt;0,"Yes","No"))</f>
        <v/>
      </c>
      <c r="J641" s="10" t="str">
        <f t="shared" si="9"/>
        <v/>
      </c>
      <c r="K641" s="10" t="str">
        <f>IF(B641="","",IF(COUNTIF(Finding_List!$A:$A,B641)&gt;0,"Yes","No"))</f>
        <v/>
      </c>
    </row>
    <row r="642" spans="1:11" x14ac:dyDescent="0.2">
      <c r="A642" s="9"/>
      <c r="B642" s="9"/>
      <c r="C642" s="9"/>
      <c r="D642" s="9"/>
      <c r="E642" s="9"/>
      <c r="F642" s="9"/>
      <c r="G642" s="9"/>
      <c r="H642" s="9"/>
      <c r="I642" s="10" t="str">
        <f>IF(B642="","",IF(COUNTIF(FUSE_CI!$A:$A,B642)&gt;0,"Yes","No"))</f>
        <v/>
      </c>
      <c r="J642" s="10" t="str">
        <f t="shared" si="9"/>
        <v/>
      </c>
      <c r="K642" s="10" t="str">
        <f>IF(B642="","",IF(COUNTIF(Finding_List!$A:$A,B642)&gt;0,"Yes","No"))</f>
        <v/>
      </c>
    </row>
    <row r="643" spans="1:11" x14ac:dyDescent="0.2">
      <c r="A643" s="5"/>
      <c r="B643" s="5"/>
      <c r="C643" s="5"/>
      <c r="D643" s="5"/>
      <c r="E643" s="5"/>
      <c r="F643" s="5"/>
      <c r="G643" s="5"/>
      <c r="H643" s="5"/>
      <c r="I643" s="10" t="str">
        <f>IF(B643="","",IF(COUNTIF(FUSE_CI!$A:$A,B643)&gt;0,"Yes","No"))</f>
        <v/>
      </c>
      <c r="J643" s="10" t="str">
        <f t="shared" si="9"/>
        <v/>
      </c>
      <c r="K643" s="10" t="str">
        <f>IF(B643="","",IF(COUNTIF(Finding_List!$A:$A,B643)&gt;0,"Yes","No"))</f>
        <v/>
      </c>
    </row>
    <row r="644" spans="1:11" x14ac:dyDescent="0.2">
      <c r="A644" s="9"/>
      <c r="B644" s="9"/>
      <c r="C644" s="9"/>
      <c r="D644" s="9"/>
      <c r="E644" s="9"/>
      <c r="F644" s="9"/>
      <c r="G644" s="9"/>
      <c r="H644" s="9"/>
      <c r="I644" s="10" t="str">
        <f>IF(B644="","",IF(COUNTIF(FUSE_CI!$A:$A,B644)&gt;0,"Yes","No"))</f>
        <v/>
      </c>
      <c r="J644" s="10" t="str">
        <f t="shared" ref="J644:J707" si="10">IF(B644="","",IF(AND(D644&lt;&gt;"High",D644&lt;&gt;"Very High",I644="Yes",K644="No"),"Fast Follower","Not Eligible"))</f>
        <v/>
      </c>
      <c r="K644" s="10" t="str">
        <f>IF(B644="","",IF(COUNTIF(Finding_List!$A:$A,B644)&gt;0,"Yes","No"))</f>
        <v/>
      </c>
    </row>
    <row r="645" spans="1:11" x14ac:dyDescent="0.2">
      <c r="A645" s="5"/>
      <c r="B645" s="5"/>
      <c r="C645" s="5"/>
      <c r="D645" s="5"/>
      <c r="E645" s="5"/>
      <c r="F645" s="5"/>
      <c r="G645" s="5"/>
      <c r="H645" s="5"/>
      <c r="I645" s="10" t="str">
        <f>IF(B645="","",IF(COUNTIF(FUSE_CI!$A:$A,B645)&gt;0,"Yes","No"))</f>
        <v/>
      </c>
      <c r="J645" s="10" t="str">
        <f t="shared" si="10"/>
        <v/>
      </c>
      <c r="K645" s="10" t="str">
        <f>IF(B645="","",IF(COUNTIF(Finding_List!$A:$A,B645)&gt;0,"Yes","No"))</f>
        <v/>
      </c>
    </row>
    <row r="646" spans="1:11" x14ac:dyDescent="0.2">
      <c r="A646" s="9"/>
      <c r="B646" s="9"/>
      <c r="C646" s="9"/>
      <c r="D646" s="9"/>
      <c r="E646" s="9"/>
      <c r="F646" s="9"/>
      <c r="G646" s="9"/>
      <c r="H646" s="9"/>
      <c r="I646" s="10" t="str">
        <f>IF(B646="","",IF(COUNTIF(FUSE_CI!$A:$A,B646)&gt;0,"Yes","No"))</f>
        <v/>
      </c>
      <c r="J646" s="10" t="str">
        <f t="shared" si="10"/>
        <v/>
      </c>
      <c r="K646" s="10" t="str">
        <f>IF(B646="","",IF(COUNTIF(Finding_List!$A:$A,B646)&gt;0,"Yes","No"))</f>
        <v/>
      </c>
    </row>
    <row r="647" spans="1:11" x14ac:dyDescent="0.2">
      <c r="A647" s="5"/>
      <c r="B647" s="5"/>
      <c r="C647" s="5"/>
      <c r="D647" s="5"/>
      <c r="E647" s="5"/>
      <c r="F647" s="5"/>
      <c r="G647" s="5"/>
      <c r="H647" s="5"/>
      <c r="I647" s="10" t="str">
        <f>IF(B647="","",IF(COUNTIF(FUSE_CI!$A:$A,B647)&gt;0,"Yes","No"))</f>
        <v/>
      </c>
      <c r="J647" s="10" t="str">
        <f t="shared" si="10"/>
        <v/>
      </c>
      <c r="K647" s="10" t="str">
        <f>IF(B647="","",IF(COUNTIF(Finding_List!$A:$A,B647)&gt;0,"Yes","No"))</f>
        <v/>
      </c>
    </row>
    <row r="648" spans="1:11" x14ac:dyDescent="0.2">
      <c r="A648" s="9"/>
      <c r="B648" s="9"/>
      <c r="C648" s="9"/>
      <c r="D648" s="9"/>
      <c r="E648" s="9"/>
      <c r="F648" s="9"/>
      <c r="G648" s="9"/>
      <c r="H648" s="9"/>
      <c r="I648" s="10" t="str">
        <f>IF(B648="","",IF(COUNTIF(FUSE_CI!$A:$A,B648)&gt;0,"Yes","No"))</f>
        <v/>
      </c>
      <c r="J648" s="10" t="str">
        <f t="shared" si="10"/>
        <v/>
      </c>
      <c r="K648" s="10" t="str">
        <f>IF(B648="","",IF(COUNTIF(Finding_List!$A:$A,B648)&gt;0,"Yes","No"))</f>
        <v/>
      </c>
    </row>
    <row r="649" spans="1:11" x14ac:dyDescent="0.2">
      <c r="A649" s="5"/>
      <c r="B649" s="5"/>
      <c r="C649" s="5"/>
      <c r="D649" s="5"/>
      <c r="E649" s="5"/>
      <c r="F649" s="5"/>
      <c r="G649" s="5"/>
      <c r="H649" s="5"/>
      <c r="I649" s="10" t="str">
        <f>IF(B649="","",IF(COUNTIF(FUSE_CI!$A:$A,B649)&gt;0,"Yes","No"))</f>
        <v/>
      </c>
      <c r="J649" s="10" t="str">
        <f t="shared" si="10"/>
        <v/>
      </c>
      <c r="K649" s="10" t="str">
        <f>IF(B649="","",IF(COUNTIF(Finding_List!$A:$A,B649)&gt;0,"Yes","No"))</f>
        <v/>
      </c>
    </row>
    <row r="650" spans="1:11" x14ac:dyDescent="0.2">
      <c r="A650" s="9"/>
      <c r="B650" s="9"/>
      <c r="C650" s="9"/>
      <c r="D650" s="9"/>
      <c r="E650" s="9"/>
      <c r="F650" s="9"/>
      <c r="G650" s="9"/>
      <c r="H650" s="9"/>
      <c r="I650" s="10" t="str">
        <f>IF(B650="","",IF(COUNTIF(FUSE_CI!$A:$A,B650)&gt;0,"Yes","No"))</f>
        <v/>
      </c>
      <c r="J650" s="10" t="str">
        <f t="shared" si="10"/>
        <v/>
      </c>
      <c r="K650" s="10" t="str">
        <f>IF(B650="","",IF(COUNTIF(Finding_List!$A:$A,B650)&gt;0,"Yes","No"))</f>
        <v/>
      </c>
    </row>
    <row r="651" spans="1:11" x14ac:dyDescent="0.2">
      <c r="A651" s="5"/>
      <c r="B651" s="5"/>
      <c r="C651" s="5"/>
      <c r="D651" s="5"/>
      <c r="E651" s="5"/>
      <c r="F651" s="5"/>
      <c r="G651" s="5"/>
      <c r="H651" s="5"/>
      <c r="I651" s="10" t="str">
        <f>IF(B651="","",IF(COUNTIF(FUSE_CI!$A:$A,B651)&gt;0,"Yes","No"))</f>
        <v/>
      </c>
      <c r="J651" s="10" t="str">
        <f t="shared" si="10"/>
        <v/>
      </c>
      <c r="K651" s="10" t="str">
        <f>IF(B651="","",IF(COUNTIF(Finding_List!$A:$A,B651)&gt;0,"Yes","No"))</f>
        <v/>
      </c>
    </row>
    <row r="652" spans="1:11" x14ac:dyDescent="0.2">
      <c r="A652" s="9"/>
      <c r="B652" s="9"/>
      <c r="C652" s="9"/>
      <c r="D652" s="9"/>
      <c r="E652" s="9"/>
      <c r="F652" s="9"/>
      <c r="G652" s="9"/>
      <c r="H652" s="9"/>
      <c r="I652" s="10" t="str">
        <f>IF(B652="","",IF(COUNTIF(FUSE_CI!$A:$A,B652)&gt;0,"Yes","No"))</f>
        <v/>
      </c>
      <c r="J652" s="10" t="str">
        <f t="shared" si="10"/>
        <v/>
      </c>
      <c r="K652" s="10" t="str">
        <f>IF(B652="","",IF(COUNTIF(Finding_List!$A:$A,B652)&gt;0,"Yes","No"))</f>
        <v/>
      </c>
    </row>
    <row r="653" spans="1:11" x14ac:dyDescent="0.2">
      <c r="A653" s="5"/>
      <c r="B653" s="5"/>
      <c r="C653" s="5"/>
      <c r="D653" s="5"/>
      <c r="E653" s="5"/>
      <c r="F653" s="5"/>
      <c r="G653" s="5"/>
      <c r="H653" s="5"/>
      <c r="I653" s="10" t="str">
        <f>IF(B653="","",IF(COUNTIF(FUSE_CI!$A:$A,B653)&gt;0,"Yes","No"))</f>
        <v/>
      </c>
      <c r="J653" s="10" t="str">
        <f t="shared" si="10"/>
        <v/>
      </c>
      <c r="K653" s="10" t="str">
        <f>IF(B653="","",IF(COUNTIF(Finding_List!$A:$A,B653)&gt;0,"Yes","No"))</f>
        <v/>
      </c>
    </row>
    <row r="654" spans="1:11" x14ac:dyDescent="0.2">
      <c r="A654" s="9"/>
      <c r="B654" s="9"/>
      <c r="C654" s="9"/>
      <c r="D654" s="9"/>
      <c r="E654" s="9"/>
      <c r="F654" s="9"/>
      <c r="G654" s="9"/>
      <c r="H654" s="9"/>
      <c r="I654" s="10" t="str">
        <f>IF(B654="","",IF(COUNTIF(FUSE_CI!$A:$A,B654)&gt;0,"Yes","No"))</f>
        <v/>
      </c>
      <c r="J654" s="10" t="str">
        <f t="shared" si="10"/>
        <v/>
      </c>
      <c r="K654" s="10" t="str">
        <f>IF(B654="","",IF(COUNTIF(Finding_List!$A:$A,B654)&gt;0,"Yes","No"))</f>
        <v/>
      </c>
    </row>
    <row r="655" spans="1:11" x14ac:dyDescent="0.2">
      <c r="A655" s="5"/>
      <c r="B655" s="5"/>
      <c r="C655" s="5"/>
      <c r="D655" s="5"/>
      <c r="E655" s="5"/>
      <c r="F655" s="5"/>
      <c r="G655" s="5"/>
      <c r="H655" s="5"/>
      <c r="I655" s="10" t="str">
        <f>IF(B655="","",IF(COUNTIF(FUSE_CI!$A:$A,B655)&gt;0,"Yes","No"))</f>
        <v/>
      </c>
      <c r="J655" s="10" t="str">
        <f t="shared" si="10"/>
        <v/>
      </c>
      <c r="K655" s="10" t="str">
        <f>IF(B655="","",IF(COUNTIF(Finding_List!$A:$A,B655)&gt;0,"Yes","No"))</f>
        <v/>
      </c>
    </row>
    <row r="656" spans="1:11" x14ac:dyDescent="0.2">
      <c r="A656" s="9"/>
      <c r="B656" s="9"/>
      <c r="C656" s="9"/>
      <c r="D656" s="9"/>
      <c r="E656" s="9"/>
      <c r="F656" s="9"/>
      <c r="G656" s="9"/>
      <c r="H656" s="9"/>
      <c r="I656" s="10" t="str">
        <f>IF(B656="","",IF(COUNTIF(FUSE_CI!$A:$A,B656)&gt;0,"Yes","No"))</f>
        <v/>
      </c>
      <c r="J656" s="10" t="str">
        <f t="shared" si="10"/>
        <v/>
      </c>
      <c r="K656" s="10" t="str">
        <f>IF(B656="","",IF(COUNTIF(Finding_List!$A:$A,B656)&gt;0,"Yes","No"))</f>
        <v/>
      </c>
    </row>
    <row r="657" spans="1:11" x14ac:dyDescent="0.2">
      <c r="A657" s="5"/>
      <c r="B657" s="5"/>
      <c r="C657" s="5"/>
      <c r="D657" s="5"/>
      <c r="E657" s="5"/>
      <c r="F657" s="5"/>
      <c r="G657" s="5"/>
      <c r="H657" s="5"/>
      <c r="I657" s="10" t="str">
        <f>IF(B657="","",IF(COUNTIF(FUSE_CI!$A:$A,B657)&gt;0,"Yes","No"))</f>
        <v/>
      </c>
      <c r="J657" s="10" t="str">
        <f t="shared" si="10"/>
        <v/>
      </c>
      <c r="K657" s="10" t="str">
        <f>IF(B657="","",IF(COUNTIF(Finding_List!$A:$A,B657)&gt;0,"Yes","No"))</f>
        <v/>
      </c>
    </row>
    <row r="658" spans="1:11" x14ac:dyDescent="0.2">
      <c r="A658" s="9"/>
      <c r="B658" s="9"/>
      <c r="C658" s="9"/>
      <c r="D658" s="9"/>
      <c r="E658" s="9"/>
      <c r="F658" s="9"/>
      <c r="G658" s="9"/>
      <c r="H658" s="9"/>
      <c r="I658" s="10" t="str">
        <f>IF(B658="","",IF(COUNTIF(FUSE_CI!$A:$A,B658)&gt;0,"Yes","No"))</f>
        <v/>
      </c>
      <c r="J658" s="10" t="str">
        <f t="shared" si="10"/>
        <v/>
      </c>
      <c r="K658" s="10" t="str">
        <f>IF(B658="","",IF(COUNTIF(Finding_List!$A:$A,B658)&gt;0,"Yes","No"))</f>
        <v/>
      </c>
    </row>
    <row r="659" spans="1:11" x14ac:dyDescent="0.2">
      <c r="A659" s="5"/>
      <c r="B659" s="5"/>
      <c r="C659" s="5"/>
      <c r="D659" s="5"/>
      <c r="E659" s="5"/>
      <c r="F659" s="5"/>
      <c r="G659" s="5"/>
      <c r="H659" s="5"/>
      <c r="I659" s="10" t="str">
        <f>IF(B659="","",IF(COUNTIF(FUSE_CI!$A:$A,B659)&gt;0,"Yes","No"))</f>
        <v/>
      </c>
      <c r="J659" s="10" t="str">
        <f t="shared" si="10"/>
        <v/>
      </c>
      <c r="K659" s="10" t="str">
        <f>IF(B659="","",IF(COUNTIF(Finding_List!$A:$A,B659)&gt;0,"Yes","No"))</f>
        <v/>
      </c>
    </row>
    <row r="660" spans="1:11" x14ac:dyDescent="0.2">
      <c r="A660" s="9"/>
      <c r="B660" s="9"/>
      <c r="C660" s="9"/>
      <c r="D660" s="9"/>
      <c r="E660" s="9"/>
      <c r="F660" s="9"/>
      <c r="G660" s="9"/>
      <c r="H660" s="9"/>
      <c r="I660" s="10" t="str">
        <f>IF(B660="","",IF(COUNTIF(FUSE_CI!$A:$A,B660)&gt;0,"Yes","No"))</f>
        <v/>
      </c>
      <c r="J660" s="10" t="str">
        <f t="shared" si="10"/>
        <v/>
      </c>
      <c r="K660" s="10" t="str">
        <f>IF(B660="","",IF(COUNTIF(Finding_List!$A:$A,B660)&gt;0,"Yes","No"))</f>
        <v/>
      </c>
    </row>
    <row r="661" spans="1:11" x14ac:dyDescent="0.2">
      <c r="A661" s="5"/>
      <c r="B661" s="5"/>
      <c r="C661" s="5"/>
      <c r="D661" s="5"/>
      <c r="E661" s="5"/>
      <c r="F661" s="5"/>
      <c r="G661" s="5"/>
      <c r="H661" s="5"/>
      <c r="I661" s="10" t="str">
        <f>IF(B661="","",IF(COUNTIF(FUSE_CI!$A:$A,B661)&gt;0,"Yes","No"))</f>
        <v/>
      </c>
      <c r="J661" s="10" t="str">
        <f t="shared" si="10"/>
        <v/>
      </c>
      <c r="K661" s="10" t="str">
        <f>IF(B661="","",IF(COUNTIF(Finding_List!$A:$A,B661)&gt;0,"Yes","No"))</f>
        <v/>
      </c>
    </row>
    <row r="662" spans="1:11" x14ac:dyDescent="0.2">
      <c r="A662" s="9"/>
      <c r="B662" s="9"/>
      <c r="C662" s="9"/>
      <c r="D662" s="9"/>
      <c r="E662" s="9"/>
      <c r="F662" s="9"/>
      <c r="G662" s="9"/>
      <c r="H662" s="9"/>
      <c r="I662" s="10" t="str">
        <f>IF(B662="","",IF(COUNTIF(FUSE_CI!$A:$A,B662)&gt;0,"Yes","No"))</f>
        <v/>
      </c>
      <c r="J662" s="10" t="str">
        <f t="shared" si="10"/>
        <v/>
      </c>
      <c r="K662" s="10" t="str">
        <f>IF(B662="","",IF(COUNTIF(Finding_List!$A:$A,B662)&gt;0,"Yes","No"))</f>
        <v/>
      </c>
    </row>
    <row r="663" spans="1:11" x14ac:dyDescent="0.2">
      <c r="A663" s="5"/>
      <c r="B663" s="5"/>
      <c r="C663" s="5"/>
      <c r="D663" s="5"/>
      <c r="E663" s="5"/>
      <c r="F663" s="5"/>
      <c r="G663" s="5"/>
      <c r="H663" s="5"/>
      <c r="I663" s="10" t="str">
        <f>IF(B663="","",IF(COUNTIF(FUSE_CI!$A:$A,B663)&gt;0,"Yes","No"))</f>
        <v/>
      </c>
      <c r="J663" s="10" t="str">
        <f t="shared" si="10"/>
        <v/>
      </c>
      <c r="K663" s="10" t="str">
        <f>IF(B663="","",IF(COUNTIF(Finding_List!$A:$A,B663)&gt;0,"Yes","No"))</f>
        <v/>
      </c>
    </row>
    <row r="664" spans="1:11" x14ac:dyDescent="0.2">
      <c r="A664" s="9"/>
      <c r="B664" s="9"/>
      <c r="C664" s="9"/>
      <c r="D664" s="9"/>
      <c r="E664" s="9"/>
      <c r="F664" s="9"/>
      <c r="G664" s="9"/>
      <c r="H664" s="9"/>
      <c r="I664" s="10" t="str">
        <f>IF(B664="","",IF(COUNTIF(FUSE_CI!$A:$A,B664)&gt;0,"Yes","No"))</f>
        <v/>
      </c>
      <c r="J664" s="10" t="str">
        <f t="shared" si="10"/>
        <v/>
      </c>
      <c r="K664" s="10" t="str">
        <f>IF(B664="","",IF(COUNTIF(Finding_List!$A:$A,B664)&gt;0,"Yes","No"))</f>
        <v/>
      </c>
    </row>
    <row r="665" spans="1:11" x14ac:dyDescent="0.2">
      <c r="A665" s="5"/>
      <c r="B665" s="5"/>
      <c r="C665" s="5"/>
      <c r="D665" s="5"/>
      <c r="E665" s="5"/>
      <c r="F665" s="5"/>
      <c r="G665" s="5"/>
      <c r="H665" s="5"/>
      <c r="I665" s="10" t="str">
        <f>IF(B665="","",IF(COUNTIF(FUSE_CI!$A:$A,B665)&gt;0,"Yes","No"))</f>
        <v/>
      </c>
      <c r="J665" s="10" t="str">
        <f t="shared" si="10"/>
        <v/>
      </c>
      <c r="K665" s="10" t="str">
        <f>IF(B665="","",IF(COUNTIF(Finding_List!$A:$A,B665)&gt;0,"Yes","No"))</f>
        <v/>
      </c>
    </row>
    <row r="666" spans="1:11" x14ac:dyDescent="0.2">
      <c r="A666" s="9"/>
      <c r="B666" s="9"/>
      <c r="C666" s="9"/>
      <c r="D666" s="9"/>
      <c r="E666" s="9"/>
      <c r="F666" s="9"/>
      <c r="G666" s="9"/>
      <c r="H666" s="9"/>
      <c r="I666" s="10" t="str">
        <f>IF(B666="","",IF(COUNTIF(FUSE_CI!$A:$A,B666)&gt;0,"Yes","No"))</f>
        <v/>
      </c>
      <c r="J666" s="10" t="str">
        <f t="shared" si="10"/>
        <v/>
      </c>
      <c r="K666" s="10" t="str">
        <f>IF(B666="","",IF(COUNTIF(Finding_List!$A:$A,B666)&gt;0,"Yes","No"))</f>
        <v/>
      </c>
    </row>
    <row r="667" spans="1:11" x14ac:dyDescent="0.2">
      <c r="A667" s="5"/>
      <c r="B667" s="5"/>
      <c r="C667" s="5"/>
      <c r="D667" s="5"/>
      <c r="E667" s="5"/>
      <c r="F667" s="5"/>
      <c r="G667" s="5"/>
      <c r="H667" s="5"/>
      <c r="I667" s="10" t="str">
        <f>IF(B667="","",IF(COUNTIF(FUSE_CI!$A:$A,B667)&gt;0,"Yes","No"))</f>
        <v/>
      </c>
      <c r="J667" s="10" t="str">
        <f t="shared" si="10"/>
        <v/>
      </c>
      <c r="K667" s="10" t="str">
        <f>IF(B667="","",IF(COUNTIF(Finding_List!$A:$A,B667)&gt;0,"Yes","No"))</f>
        <v/>
      </c>
    </row>
    <row r="668" spans="1:11" x14ac:dyDescent="0.2">
      <c r="A668" s="9"/>
      <c r="B668" s="9"/>
      <c r="C668" s="9"/>
      <c r="D668" s="9"/>
      <c r="E668" s="9"/>
      <c r="F668" s="9"/>
      <c r="G668" s="9"/>
      <c r="H668" s="9"/>
      <c r="I668" s="10" t="str">
        <f>IF(B668="","",IF(COUNTIF(FUSE_CI!$A:$A,B668)&gt;0,"Yes","No"))</f>
        <v/>
      </c>
      <c r="J668" s="10" t="str">
        <f t="shared" si="10"/>
        <v/>
      </c>
      <c r="K668" s="10" t="str">
        <f>IF(B668="","",IF(COUNTIF(Finding_List!$A:$A,B668)&gt;0,"Yes","No"))</f>
        <v/>
      </c>
    </row>
    <row r="669" spans="1:11" x14ac:dyDescent="0.2">
      <c r="A669" s="5"/>
      <c r="B669" s="5"/>
      <c r="C669" s="5"/>
      <c r="D669" s="5"/>
      <c r="E669" s="5"/>
      <c r="F669" s="5"/>
      <c r="G669" s="5"/>
      <c r="H669" s="5"/>
      <c r="I669" s="10" t="str">
        <f>IF(B669="","",IF(COUNTIF(FUSE_CI!$A:$A,B669)&gt;0,"Yes","No"))</f>
        <v/>
      </c>
      <c r="J669" s="10" t="str">
        <f t="shared" si="10"/>
        <v/>
      </c>
      <c r="K669" s="10" t="str">
        <f>IF(B669="","",IF(COUNTIF(Finding_List!$A:$A,B669)&gt;0,"Yes","No"))</f>
        <v/>
      </c>
    </row>
    <row r="670" spans="1:11" x14ac:dyDescent="0.2">
      <c r="A670" s="9"/>
      <c r="B670" s="9"/>
      <c r="C670" s="9"/>
      <c r="D670" s="9"/>
      <c r="E670" s="9"/>
      <c r="F670" s="9"/>
      <c r="G670" s="9"/>
      <c r="H670" s="9"/>
      <c r="I670" s="10" t="str">
        <f>IF(B670="","",IF(COUNTIF(FUSE_CI!$A:$A,B670)&gt;0,"Yes","No"))</f>
        <v/>
      </c>
      <c r="J670" s="10" t="str">
        <f t="shared" si="10"/>
        <v/>
      </c>
      <c r="K670" s="10" t="str">
        <f>IF(B670="","",IF(COUNTIF(Finding_List!$A:$A,B670)&gt;0,"Yes","No"))</f>
        <v/>
      </c>
    </row>
    <row r="671" spans="1:11" x14ac:dyDescent="0.2">
      <c r="A671" s="5"/>
      <c r="B671" s="5"/>
      <c r="C671" s="5"/>
      <c r="D671" s="5"/>
      <c r="E671" s="5"/>
      <c r="F671" s="5"/>
      <c r="G671" s="5"/>
      <c r="H671" s="5"/>
      <c r="I671" s="10" t="str">
        <f>IF(B671="","",IF(COUNTIF(FUSE_CI!$A:$A,B671)&gt;0,"Yes","No"))</f>
        <v/>
      </c>
      <c r="J671" s="10" t="str">
        <f t="shared" si="10"/>
        <v/>
      </c>
      <c r="K671" s="10" t="str">
        <f>IF(B671="","",IF(COUNTIF(Finding_List!$A:$A,B671)&gt;0,"Yes","No"))</f>
        <v/>
      </c>
    </row>
    <row r="672" spans="1:11" x14ac:dyDescent="0.2">
      <c r="A672" s="9"/>
      <c r="B672" s="9"/>
      <c r="C672" s="9"/>
      <c r="D672" s="9"/>
      <c r="E672" s="9"/>
      <c r="F672" s="9"/>
      <c r="G672" s="9"/>
      <c r="H672" s="9"/>
      <c r="I672" s="10" t="str">
        <f>IF(B672="","",IF(COUNTIF(FUSE_CI!$A:$A,B672)&gt;0,"Yes","No"))</f>
        <v/>
      </c>
      <c r="J672" s="10" t="str">
        <f t="shared" si="10"/>
        <v/>
      </c>
      <c r="K672" s="10" t="str">
        <f>IF(B672="","",IF(COUNTIF(Finding_List!$A:$A,B672)&gt;0,"Yes","No"))</f>
        <v/>
      </c>
    </row>
    <row r="673" spans="1:11" x14ac:dyDescent="0.2">
      <c r="A673" s="5"/>
      <c r="B673" s="5"/>
      <c r="C673" s="5"/>
      <c r="D673" s="5"/>
      <c r="E673" s="5"/>
      <c r="F673" s="5"/>
      <c r="G673" s="5"/>
      <c r="H673" s="5"/>
      <c r="I673" s="10" t="str">
        <f>IF(B673="","",IF(COUNTIF(FUSE_CI!$A:$A,B673)&gt;0,"Yes","No"))</f>
        <v/>
      </c>
      <c r="J673" s="10" t="str">
        <f t="shared" si="10"/>
        <v/>
      </c>
      <c r="K673" s="10" t="str">
        <f>IF(B673="","",IF(COUNTIF(Finding_List!$A:$A,B673)&gt;0,"Yes","No"))</f>
        <v/>
      </c>
    </row>
    <row r="674" spans="1:11" x14ac:dyDescent="0.2">
      <c r="A674" s="9"/>
      <c r="B674" s="9"/>
      <c r="C674" s="9"/>
      <c r="D674" s="9"/>
      <c r="E674" s="9"/>
      <c r="F674" s="9"/>
      <c r="G674" s="9"/>
      <c r="H674" s="9"/>
      <c r="I674" s="10" t="str">
        <f>IF(B674="","",IF(COUNTIF(FUSE_CI!$A:$A,B674)&gt;0,"Yes","No"))</f>
        <v/>
      </c>
      <c r="J674" s="10" t="str">
        <f t="shared" si="10"/>
        <v/>
      </c>
      <c r="K674" s="10" t="str">
        <f>IF(B674="","",IF(COUNTIF(Finding_List!$A:$A,B674)&gt;0,"Yes","No"))</f>
        <v/>
      </c>
    </row>
    <row r="675" spans="1:11" x14ac:dyDescent="0.2">
      <c r="A675" s="5"/>
      <c r="B675" s="5"/>
      <c r="C675" s="5"/>
      <c r="D675" s="5"/>
      <c r="E675" s="5"/>
      <c r="F675" s="5"/>
      <c r="G675" s="5"/>
      <c r="H675" s="5"/>
      <c r="I675" s="10" t="str">
        <f>IF(B675="","",IF(COUNTIF(FUSE_CI!$A:$A,B675)&gt;0,"Yes","No"))</f>
        <v/>
      </c>
      <c r="J675" s="10" t="str">
        <f t="shared" si="10"/>
        <v/>
      </c>
      <c r="K675" s="10" t="str">
        <f>IF(B675="","",IF(COUNTIF(Finding_List!$A:$A,B675)&gt;0,"Yes","No"))</f>
        <v/>
      </c>
    </row>
    <row r="676" spans="1:11" x14ac:dyDescent="0.2">
      <c r="A676" s="9"/>
      <c r="B676" s="9"/>
      <c r="C676" s="9"/>
      <c r="D676" s="9"/>
      <c r="E676" s="9"/>
      <c r="F676" s="9"/>
      <c r="G676" s="9"/>
      <c r="H676" s="9"/>
      <c r="I676" s="10" t="str">
        <f>IF(B676="","",IF(COUNTIF(FUSE_CI!$A:$A,B676)&gt;0,"Yes","No"))</f>
        <v/>
      </c>
      <c r="J676" s="10" t="str">
        <f t="shared" si="10"/>
        <v/>
      </c>
      <c r="K676" s="10" t="str">
        <f>IF(B676="","",IF(COUNTIF(Finding_List!$A:$A,B676)&gt;0,"Yes","No"))</f>
        <v/>
      </c>
    </row>
    <row r="677" spans="1:11" x14ac:dyDescent="0.2">
      <c r="A677" s="5"/>
      <c r="B677" s="5"/>
      <c r="C677" s="5"/>
      <c r="D677" s="5"/>
      <c r="E677" s="5"/>
      <c r="F677" s="5"/>
      <c r="G677" s="5"/>
      <c r="H677" s="5"/>
      <c r="I677" s="10" t="str">
        <f>IF(B677="","",IF(COUNTIF(FUSE_CI!$A:$A,B677)&gt;0,"Yes","No"))</f>
        <v/>
      </c>
      <c r="J677" s="10" t="str">
        <f t="shared" si="10"/>
        <v/>
      </c>
      <c r="K677" s="10" t="str">
        <f>IF(B677="","",IF(COUNTIF(Finding_List!$A:$A,B677)&gt;0,"Yes","No"))</f>
        <v/>
      </c>
    </row>
    <row r="678" spans="1:11" x14ac:dyDescent="0.2">
      <c r="A678" s="9"/>
      <c r="B678" s="9"/>
      <c r="C678" s="9"/>
      <c r="D678" s="9"/>
      <c r="E678" s="9"/>
      <c r="F678" s="9"/>
      <c r="G678" s="9"/>
      <c r="H678" s="9"/>
      <c r="I678" s="10" t="str">
        <f>IF(B678="","",IF(COUNTIF(FUSE_CI!$A:$A,B678)&gt;0,"Yes","No"))</f>
        <v/>
      </c>
      <c r="J678" s="10" t="str">
        <f t="shared" si="10"/>
        <v/>
      </c>
      <c r="K678" s="10" t="str">
        <f>IF(B678="","",IF(COUNTIF(Finding_List!$A:$A,B678)&gt;0,"Yes","No"))</f>
        <v/>
      </c>
    </row>
    <row r="679" spans="1:11" x14ac:dyDescent="0.2">
      <c r="A679" s="5"/>
      <c r="B679" s="5"/>
      <c r="C679" s="5"/>
      <c r="D679" s="5"/>
      <c r="E679" s="5"/>
      <c r="F679" s="5"/>
      <c r="G679" s="5"/>
      <c r="H679" s="5"/>
      <c r="I679" s="10" t="str">
        <f>IF(B679="","",IF(COUNTIF(FUSE_CI!$A:$A,B679)&gt;0,"Yes","No"))</f>
        <v/>
      </c>
      <c r="J679" s="10" t="str">
        <f t="shared" si="10"/>
        <v/>
      </c>
      <c r="K679" s="10" t="str">
        <f>IF(B679="","",IF(COUNTIF(Finding_List!$A:$A,B679)&gt;0,"Yes","No"))</f>
        <v/>
      </c>
    </row>
    <row r="680" spans="1:11" x14ac:dyDescent="0.2">
      <c r="A680" s="9"/>
      <c r="B680" s="9"/>
      <c r="C680" s="9"/>
      <c r="D680" s="9"/>
      <c r="E680" s="9"/>
      <c r="F680" s="9"/>
      <c r="G680" s="9"/>
      <c r="H680" s="9"/>
      <c r="I680" s="10" t="str">
        <f>IF(B680="","",IF(COUNTIF(FUSE_CI!$A:$A,B680)&gt;0,"Yes","No"))</f>
        <v/>
      </c>
      <c r="J680" s="10" t="str">
        <f t="shared" si="10"/>
        <v/>
      </c>
      <c r="K680" s="10" t="str">
        <f>IF(B680="","",IF(COUNTIF(Finding_List!$A:$A,B680)&gt;0,"Yes","No"))</f>
        <v/>
      </c>
    </row>
    <row r="681" spans="1:11" x14ac:dyDescent="0.2">
      <c r="A681" s="5"/>
      <c r="B681" s="5"/>
      <c r="C681" s="5"/>
      <c r="D681" s="5"/>
      <c r="E681" s="5"/>
      <c r="F681" s="5"/>
      <c r="G681" s="5"/>
      <c r="H681" s="5"/>
      <c r="I681" s="10" t="str">
        <f>IF(B681="","",IF(COUNTIF(FUSE_CI!$A:$A,B681)&gt;0,"Yes","No"))</f>
        <v/>
      </c>
      <c r="J681" s="10" t="str">
        <f t="shared" si="10"/>
        <v/>
      </c>
      <c r="K681" s="10" t="str">
        <f>IF(B681="","",IF(COUNTIF(Finding_List!$A:$A,B681)&gt;0,"Yes","No"))</f>
        <v/>
      </c>
    </row>
    <row r="682" spans="1:11" x14ac:dyDescent="0.2">
      <c r="A682" s="9"/>
      <c r="B682" s="9"/>
      <c r="C682" s="9"/>
      <c r="D682" s="9"/>
      <c r="E682" s="9"/>
      <c r="F682" s="9"/>
      <c r="G682" s="9"/>
      <c r="H682" s="9"/>
      <c r="I682" s="10" t="str">
        <f>IF(B682="","",IF(COUNTIF(FUSE_CI!$A:$A,B682)&gt;0,"Yes","No"))</f>
        <v/>
      </c>
      <c r="J682" s="10" t="str">
        <f t="shared" si="10"/>
        <v/>
      </c>
      <c r="K682" s="10" t="str">
        <f>IF(B682="","",IF(COUNTIF(Finding_List!$A:$A,B682)&gt;0,"Yes","No"))</f>
        <v/>
      </c>
    </row>
    <row r="683" spans="1:11" x14ac:dyDescent="0.2">
      <c r="A683" s="5"/>
      <c r="B683" s="5"/>
      <c r="C683" s="5"/>
      <c r="D683" s="5"/>
      <c r="E683" s="5"/>
      <c r="F683" s="5"/>
      <c r="G683" s="5"/>
      <c r="H683" s="5"/>
      <c r="I683" s="10" t="str">
        <f>IF(B683="","",IF(COUNTIF(FUSE_CI!$A:$A,B683)&gt;0,"Yes","No"))</f>
        <v/>
      </c>
      <c r="J683" s="10" t="str">
        <f t="shared" si="10"/>
        <v/>
      </c>
      <c r="K683" s="10" t="str">
        <f>IF(B683="","",IF(COUNTIF(Finding_List!$A:$A,B683)&gt;0,"Yes","No"))</f>
        <v/>
      </c>
    </row>
    <row r="684" spans="1:11" x14ac:dyDescent="0.2">
      <c r="A684" s="9"/>
      <c r="B684" s="9"/>
      <c r="C684" s="9"/>
      <c r="D684" s="9"/>
      <c r="E684" s="9"/>
      <c r="F684" s="9"/>
      <c r="G684" s="9"/>
      <c r="H684" s="9"/>
      <c r="I684" s="10" t="str">
        <f>IF(B684="","",IF(COUNTIF(FUSE_CI!$A:$A,B684)&gt;0,"Yes","No"))</f>
        <v/>
      </c>
      <c r="J684" s="10" t="str">
        <f t="shared" si="10"/>
        <v/>
      </c>
      <c r="K684" s="10" t="str">
        <f>IF(B684="","",IF(COUNTIF(Finding_List!$A:$A,B684)&gt;0,"Yes","No"))</f>
        <v/>
      </c>
    </row>
    <row r="685" spans="1:11" x14ac:dyDescent="0.2">
      <c r="A685" s="5"/>
      <c r="B685" s="5"/>
      <c r="C685" s="5"/>
      <c r="D685" s="5"/>
      <c r="E685" s="5"/>
      <c r="F685" s="5"/>
      <c r="G685" s="5"/>
      <c r="H685" s="5"/>
      <c r="I685" s="10" t="str">
        <f>IF(B685="","",IF(COUNTIF(FUSE_CI!$A:$A,B685)&gt;0,"Yes","No"))</f>
        <v/>
      </c>
      <c r="J685" s="10" t="str">
        <f t="shared" si="10"/>
        <v/>
      </c>
      <c r="K685" s="10" t="str">
        <f>IF(B685="","",IF(COUNTIF(Finding_List!$A:$A,B685)&gt;0,"Yes","No"))</f>
        <v/>
      </c>
    </row>
    <row r="686" spans="1:11" x14ac:dyDescent="0.2">
      <c r="A686" s="9"/>
      <c r="B686" s="9"/>
      <c r="C686" s="9"/>
      <c r="D686" s="9"/>
      <c r="E686" s="9"/>
      <c r="F686" s="9"/>
      <c r="G686" s="9"/>
      <c r="H686" s="9"/>
      <c r="I686" s="10" t="str">
        <f>IF(B686="","",IF(COUNTIF(FUSE_CI!$A:$A,B686)&gt;0,"Yes","No"))</f>
        <v/>
      </c>
      <c r="J686" s="10" t="str">
        <f t="shared" si="10"/>
        <v/>
      </c>
      <c r="K686" s="10" t="str">
        <f>IF(B686="","",IF(COUNTIF(Finding_List!$A:$A,B686)&gt;0,"Yes","No"))</f>
        <v/>
      </c>
    </row>
    <row r="687" spans="1:11" x14ac:dyDescent="0.2">
      <c r="A687" s="5"/>
      <c r="B687" s="5"/>
      <c r="C687" s="5"/>
      <c r="D687" s="5"/>
      <c r="E687" s="5"/>
      <c r="F687" s="5"/>
      <c r="G687" s="5"/>
      <c r="H687" s="5"/>
      <c r="I687" s="10" t="str">
        <f>IF(B687="","",IF(COUNTIF(FUSE_CI!$A:$A,B687)&gt;0,"Yes","No"))</f>
        <v/>
      </c>
      <c r="J687" s="10" t="str">
        <f t="shared" si="10"/>
        <v/>
      </c>
      <c r="K687" s="10" t="str">
        <f>IF(B687="","",IF(COUNTIF(Finding_List!$A:$A,B687)&gt;0,"Yes","No"))</f>
        <v/>
      </c>
    </row>
    <row r="688" spans="1:11" x14ac:dyDescent="0.2">
      <c r="A688" s="9"/>
      <c r="B688" s="9"/>
      <c r="C688" s="9"/>
      <c r="D688" s="9"/>
      <c r="E688" s="9"/>
      <c r="F688" s="9"/>
      <c r="G688" s="9"/>
      <c r="H688" s="9"/>
      <c r="I688" s="10" t="str">
        <f>IF(B688="","",IF(COUNTIF(FUSE_CI!$A:$A,B688)&gt;0,"Yes","No"))</f>
        <v/>
      </c>
      <c r="J688" s="10" t="str">
        <f t="shared" si="10"/>
        <v/>
      </c>
      <c r="K688" s="10" t="str">
        <f>IF(B688="","",IF(COUNTIF(Finding_List!$A:$A,B688)&gt;0,"Yes","No"))</f>
        <v/>
      </c>
    </row>
    <row r="689" spans="1:11" x14ac:dyDescent="0.2">
      <c r="A689" s="5"/>
      <c r="B689" s="5"/>
      <c r="C689" s="5"/>
      <c r="D689" s="5"/>
      <c r="E689" s="5"/>
      <c r="F689" s="5"/>
      <c r="G689" s="5"/>
      <c r="H689" s="5"/>
      <c r="I689" s="10" t="str">
        <f>IF(B689="","",IF(COUNTIF(FUSE_CI!$A:$A,B689)&gt;0,"Yes","No"))</f>
        <v/>
      </c>
      <c r="J689" s="10" t="str">
        <f t="shared" si="10"/>
        <v/>
      </c>
      <c r="K689" s="10" t="str">
        <f>IF(B689="","",IF(COUNTIF(Finding_List!$A:$A,B689)&gt;0,"Yes","No"))</f>
        <v/>
      </c>
    </row>
    <row r="690" spans="1:11" x14ac:dyDescent="0.2">
      <c r="A690" s="9"/>
      <c r="B690" s="9"/>
      <c r="C690" s="9"/>
      <c r="D690" s="9"/>
      <c r="E690" s="9"/>
      <c r="F690" s="9"/>
      <c r="G690" s="9"/>
      <c r="H690" s="9"/>
      <c r="I690" s="10" t="str">
        <f>IF(B690="","",IF(COUNTIF(FUSE_CI!$A:$A,B690)&gt;0,"Yes","No"))</f>
        <v/>
      </c>
      <c r="J690" s="10" t="str">
        <f t="shared" si="10"/>
        <v/>
      </c>
      <c r="K690" s="10" t="str">
        <f>IF(B690="","",IF(COUNTIF(Finding_List!$A:$A,B690)&gt;0,"Yes","No"))</f>
        <v/>
      </c>
    </row>
    <row r="691" spans="1:11" x14ac:dyDescent="0.2">
      <c r="A691" s="5"/>
      <c r="B691" s="5"/>
      <c r="C691" s="5"/>
      <c r="D691" s="5"/>
      <c r="E691" s="5"/>
      <c r="F691" s="5"/>
      <c r="G691" s="5"/>
      <c r="H691" s="5"/>
      <c r="I691" s="10" t="str">
        <f>IF(B691="","",IF(COUNTIF(FUSE_CI!$A:$A,B691)&gt;0,"Yes","No"))</f>
        <v/>
      </c>
      <c r="J691" s="10" t="str">
        <f t="shared" si="10"/>
        <v/>
      </c>
      <c r="K691" s="10" t="str">
        <f>IF(B691="","",IF(COUNTIF(Finding_List!$A:$A,B691)&gt;0,"Yes","No"))</f>
        <v/>
      </c>
    </row>
    <row r="692" spans="1:11" x14ac:dyDescent="0.2">
      <c r="A692" s="9"/>
      <c r="B692" s="9"/>
      <c r="C692" s="9"/>
      <c r="D692" s="9"/>
      <c r="E692" s="9"/>
      <c r="F692" s="9"/>
      <c r="G692" s="9"/>
      <c r="H692" s="9"/>
      <c r="I692" s="10" t="str">
        <f>IF(B692="","",IF(COUNTIF(FUSE_CI!$A:$A,B692)&gt;0,"Yes","No"))</f>
        <v/>
      </c>
      <c r="J692" s="10" t="str">
        <f t="shared" si="10"/>
        <v/>
      </c>
      <c r="K692" s="10" t="str">
        <f>IF(B692="","",IF(COUNTIF(Finding_List!$A:$A,B692)&gt;0,"Yes","No"))</f>
        <v/>
      </c>
    </row>
    <row r="693" spans="1:11" x14ac:dyDescent="0.2">
      <c r="A693" s="5"/>
      <c r="B693" s="5"/>
      <c r="C693" s="5"/>
      <c r="D693" s="5"/>
      <c r="E693" s="5"/>
      <c r="F693" s="5"/>
      <c r="G693" s="5"/>
      <c r="H693" s="5"/>
      <c r="I693" s="10" t="str">
        <f>IF(B693="","",IF(COUNTIF(FUSE_CI!$A:$A,B693)&gt;0,"Yes","No"))</f>
        <v/>
      </c>
      <c r="J693" s="10" t="str">
        <f t="shared" si="10"/>
        <v/>
      </c>
      <c r="K693" s="10" t="str">
        <f>IF(B693="","",IF(COUNTIF(Finding_List!$A:$A,B693)&gt;0,"Yes","No"))</f>
        <v/>
      </c>
    </row>
    <row r="694" spans="1:11" x14ac:dyDescent="0.2">
      <c r="A694" s="9"/>
      <c r="B694" s="9"/>
      <c r="C694" s="9"/>
      <c r="D694" s="9"/>
      <c r="E694" s="9"/>
      <c r="F694" s="9"/>
      <c r="G694" s="9"/>
      <c r="H694" s="9"/>
      <c r="I694" s="10" t="str">
        <f>IF(B694="","",IF(COUNTIF(FUSE_CI!$A:$A,B694)&gt;0,"Yes","No"))</f>
        <v/>
      </c>
      <c r="J694" s="10" t="str">
        <f t="shared" si="10"/>
        <v/>
      </c>
      <c r="K694" s="10" t="str">
        <f>IF(B694="","",IF(COUNTIF(Finding_List!$A:$A,B694)&gt;0,"Yes","No"))</f>
        <v/>
      </c>
    </row>
    <row r="695" spans="1:11" x14ac:dyDescent="0.2">
      <c r="A695" s="5"/>
      <c r="B695" s="5"/>
      <c r="C695" s="5"/>
      <c r="D695" s="5"/>
      <c r="E695" s="5"/>
      <c r="F695" s="5"/>
      <c r="G695" s="5"/>
      <c r="H695" s="5"/>
      <c r="I695" s="10" t="str">
        <f>IF(B695="","",IF(COUNTIF(FUSE_CI!$A:$A,B695)&gt;0,"Yes","No"))</f>
        <v/>
      </c>
      <c r="J695" s="10" t="str">
        <f t="shared" si="10"/>
        <v/>
      </c>
      <c r="K695" s="10" t="str">
        <f>IF(B695="","",IF(COUNTIF(Finding_List!$A:$A,B695)&gt;0,"Yes","No"))</f>
        <v/>
      </c>
    </row>
    <row r="696" spans="1:11" x14ac:dyDescent="0.2">
      <c r="A696" s="9"/>
      <c r="B696" s="9"/>
      <c r="C696" s="9"/>
      <c r="D696" s="9"/>
      <c r="E696" s="9"/>
      <c r="F696" s="9"/>
      <c r="G696" s="9"/>
      <c r="H696" s="9"/>
      <c r="I696" s="10" t="str">
        <f>IF(B696="","",IF(COUNTIF(FUSE_CI!$A:$A,B696)&gt;0,"Yes","No"))</f>
        <v/>
      </c>
      <c r="J696" s="10" t="str">
        <f t="shared" si="10"/>
        <v/>
      </c>
      <c r="K696" s="10" t="str">
        <f>IF(B696="","",IF(COUNTIF(Finding_List!$A:$A,B696)&gt;0,"Yes","No"))</f>
        <v/>
      </c>
    </row>
    <row r="697" spans="1:11" x14ac:dyDescent="0.2">
      <c r="A697" s="5"/>
      <c r="B697" s="5"/>
      <c r="C697" s="5"/>
      <c r="D697" s="5"/>
      <c r="E697" s="5"/>
      <c r="F697" s="5"/>
      <c r="G697" s="5"/>
      <c r="H697" s="5"/>
      <c r="I697" s="10" t="str">
        <f>IF(B697="","",IF(COUNTIF(FUSE_CI!$A:$A,B697)&gt;0,"Yes","No"))</f>
        <v/>
      </c>
      <c r="J697" s="10" t="str">
        <f t="shared" si="10"/>
        <v/>
      </c>
      <c r="K697" s="10" t="str">
        <f>IF(B697="","",IF(COUNTIF(Finding_List!$A:$A,B697)&gt;0,"Yes","No"))</f>
        <v/>
      </c>
    </row>
    <row r="698" spans="1:11" x14ac:dyDescent="0.2">
      <c r="A698" s="9"/>
      <c r="B698" s="9"/>
      <c r="C698" s="9"/>
      <c r="D698" s="9"/>
      <c r="E698" s="9"/>
      <c r="F698" s="9"/>
      <c r="G698" s="9"/>
      <c r="H698" s="9"/>
      <c r="I698" s="10" t="str">
        <f>IF(B698="","",IF(COUNTIF(FUSE_CI!$A:$A,B698)&gt;0,"Yes","No"))</f>
        <v/>
      </c>
      <c r="J698" s="10" t="str">
        <f t="shared" si="10"/>
        <v/>
      </c>
      <c r="K698" s="10" t="str">
        <f>IF(B698="","",IF(COUNTIF(Finding_List!$A:$A,B698)&gt;0,"Yes","No"))</f>
        <v/>
      </c>
    </row>
    <row r="699" spans="1:11" x14ac:dyDescent="0.2">
      <c r="A699" s="5"/>
      <c r="B699" s="5"/>
      <c r="C699" s="5"/>
      <c r="D699" s="5"/>
      <c r="E699" s="5"/>
      <c r="F699" s="5"/>
      <c r="G699" s="5"/>
      <c r="H699" s="5"/>
      <c r="I699" s="10" t="str">
        <f>IF(B699="","",IF(COUNTIF(FUSE_CI!$A:$A,B699)&gt;0,"Yes","No"))</f>
        <v/>
      </c>
      <c r="J699" s="10" t="str">
        <f t="shared" si="10"/>
        <v/>
      </c>
      <c r="K699" s="10" t="str">
        <f>IF(B699="","",IF(COUNTIF(Finding_List!$A:$A,B699)&gt;0,"Yes","No"))</f>
        <v/>
      </c>
    </row>
    <row r="700" spans="1:11" x14ac:dyDescent="0.2">
      <c r="A700" s="9"/>
      <c r="B700" s="9"/>
      <c r="C700" s="9"/>
      <c r="D700" s="9"/>
      <c r="E700" s="9"/>
      <c r="F700" s="9"/>
      <c r="G700" s="9"/>
      <c r="H700" s="9"/>
      <c r="I700" s="10" t="str">
        <f>IF(B700="","",IF(COUNTIF(FUSE_CI!$A:$A,B700)&gt;0,"Yes","No"))</f>
        <v/>
      </c>
      <c r="J700" s="10" t="str">
        <f t="shared" si="10"/>
        <v/>
      </c>
      <c r="K700" s="10" t="str">
        <f>IF(B700="","",IF(COUNTIF(Finding_List!$A:$A,B700)&gt;0,"Yes","No"))</f>
        <v/>
      </c>
    </row>
    <row r="701" spans="1:11" x14ac:dyDescent="0.2">
      <c r="A701" s="5"/>
      <c r="B701" s="5"/>
      <c r="C701" s="5"/>
      <c r="D701" s="5"/>
      <c r="E701" s="5"/>
      <c r="F701" s="5"/>
      <c r="G701" s="5"/>
      <c r="H701" s="5"/>
      <c r="I701" s="10" t="str">
        <f>IF(B701="","",IF(COUNTIF(FUSE_CI!$A:$A,B701)&gt;0,"Yes","No"))</f>
        <v/>
      </c>
      <c r="J701" s="10" t="str">
        <f t="shared" si="10"/>
        <v/>
      </c>
      <c r="K701" s="10" t="str">
        <f>IF(B701="","",IF(COUNTIF(Finding_List!$A:$A,B701)&gt;0,"Yes","No"))</f>
        <v/>
      </c>
    </row>
    <row r="702" spans="1:11" x14ac:dyDescent="0.2">
      <c r="A702" s="9"/>
      <c r="B702" s="9"/>
      <c r="C702" s="9"/>
      <c r="D702" s="9"/>
      <c r="E702" s="9"/>
      <c r="F702" s="9"/>
      <c r="G702" s="9"/>
      <c r="H702" s="9"/>
      <c r="I702" s="10" t="str">
        <f>IF(B702="","",IF(COUNTIF(FUSE_CI!$A:$A,B702)&gt;0,"Yes","No"))</f>
        <v/>
      </c>
      <c r="J702" s="10" t="str">
        <f t="shared" si="10"/>
        <v/>
      </c>
      <c r="K702" s="10" t="str">
        <f>IF(B702="","",IF(COUNTIF(Finding_List!$A:$A,B702)&gt;0,"Yes","No"))</f>
        <v/>
      </c>
    </row>
    <row r="703" spans="1:11" x14ac:dyDescent="0.2">
      <c r="A703" s="5"/>
      <c r="B703" s="5"/>
      <c r="C703" s="5"/>
      <c r="D703" s="5"/>
      <c r="E703" s="5"/>
      <c r="F703" s="5"/>
      <c r="G703" s="5"/>
      <c r="H703" s="5"/>
      <c r="I703" s="10" t="str">
        <f>IF(B703="","",IF(COUNTIF(FUSE_CI!$A:$A,B703)&gt;0,"Yes","No"))</f>
        <v/>
      </c>
      <c r="J703" s="10" t="str">
        <f t="shared" si="10"/>
        <v/>
      </c>
      <c r="K703" s="10" t="str">
        <f>IF(B703="","",IF(COUNTIF(Finding_List!$A:$A,B703)&gt;0,"Yes","No"))</f>
        <v/>
      </c>
    </row>
    <row r="704" spans="1:11" x14ac:dyDescent="0.2">
      <c r="A704" s="9"/>
      <c r="B704" s="9"/>
      <c r="C704" s="9"/>
      <c r="D704" s="9"/>
      <c r="E704" s="9"/>
      <c r="F704" s="9"/>
      <c r="G704" s="9"/>
      <c r="H704" s="9"/>
      <c r="I704" s="10" t="str">
        <f>IF(B704="","",IF(COUNTIF(FUSE_CI!$A:$A,B704)&gt;0,"Yes","No"))</f>
        <v/>
      </c>
      <c r="J704" s="10" t="str">
        <f t="shared" si="10"/>
        <v/>
      </c>
      <c r="K704" s="10" t="str">
        <f>IF(B704="","",IF(COUNTIF(Finding_List!$A:$A,B704)&gt;0,"Yes","No"))</f>
        <v/>
      </c>
    </row>
    <row r="705" spans="1:11" x14ac:dyDescent="0.2">
      <c r="A705" s="5"/>
      <c r="B705" s="5"/>
      <c r="C705" s="5"/>
      <c r="D705" s="5"/>
      <c r="E705" s="5"/>
      <c r="F705" s="5"/>
      <c r="G705" s="5"/>
      <c r="H705" s="5"/>
      <c r="I705" s="10" t="str">
        <f>IF(B705="","",IF(COUNTIF(FUSE_CI!$A:$A,B705)&gt;0,"Yes","No"))</f>
        <v/>
      </c>
      <c r="J705" s="10" t="str">
        <f t="shared" si="10"/>
        <v/>
      </c>
      <c r="K705" s="10" t="str">
        <f>IF(B705="","",IF(COUNTIF(Finding_List!$A:$A,B705)&gt;0,"Yes","No"))</f>
        <v/>
      </c>
    </row>
    <row r="706" spans="1:11" x14ac:dyDescent="0.2">
      <c r="A706" s="9"/>
      <c r="B706" s="9"/>
      <c r="C706" s="9"/>
      <c r="D706" s="9"/>
      <c r="E706" s="9"/>
      <c r="F706" s="9"/>
      <c r="G706" s="9"/>
      <c r="H706" s="9"/>
      <c r="I706" s="10" t="str">
        <f>IF(B706="","",IF(COUNTIF(FUSE_CI!$A:$A,B706)&gt;0,"Yes","No"))</f>
        <v/>
      </c>
      <c r="J706" s="10" t="str">
        <f t="shared" si="10"/>
        <v/>
      </c>
      <c r="K706" s="10" t="str">
        <f>IF(B706="","",IF(COUNTIF(Finding_List!$A:$A,B706)&gt;0,"Yes","No"))</f>
        <v/>
      </c>
    </row>
    <row r="707" spans="1:11" x14ac:dyDescent="0.2">
      <c r="A707" s="5"/>
      <c r="B707" s="5"/>
      <c r="C707" s="5"/>
      <c r="D707" s="5"/>
      <c r="E707" s="5"/>
      <c r="F707" s="5"/>
      <c r="G707" s="5"/>
      <c r="H707" s="5"/>
      <c r="I707" s="10" t="str">
        <f>IF(B707="","",IF(COUNTIF(FUSE_CI!$A:$A,B707)&gt;0,"Yes","No"))</f>
        <v/>
      </c>
      <c r="J707" s="10" t="str">
        <f t="shared" si="10"/>
        <v/>
      </c>
      <c r="K707" s="10" t="str">
        <f>IF(B707="","",IF(COUNTIF(Finding_List!$A:$A,B707)&gt;0,"Yes","No"))</f>
        <v/>
      </c>
    </row>
    <row r="708" spans="1:11" x14ac:dyDescent="0.2">
      <c r="A708" s="9"/>
      <c r="B708" s="9"/>
      <c r="C708" s="9"/>
      <c r="D708" s="9"/>
      <c r="E708" s="9"/>
      <c r="F708" s="9"/>
      <c r="G708" s="9"/>
      <c r="H708" s="9"/>
      <c r="I708" s="10" t="str">
        <f>IF(B708="","",IF(COUNTIF(FUSE_CI!$A:$A,B708)&gt;0,"Yes","No"))</f>
        <v/>
      </c>
      <c r="J708" s="10" t="str">
        <f t="shared" ref="J708:J771" si="11">IF(B708="","",IF(AND(D708&lt;&gt;"High",D708&lt;&gt;"Very High",I708="Yes",K708="No"),"Fast Follower","Not Eligible"))</f>
        <v/>
      </c>
      <c r="K708" s="10" t="str">
        <f>IF(B708="","",IF(COUNTIF(Finding_List!$A:$A,B708)&gt;0,"Yes","No"))</f>
        <v/>
      </c>
    </row>
    <row r="709" spans="1:11" x14ac:dyDescent="0.2">
      <c r="A709" s="5"/>
      <c r="B709" s="5"/>
      <c r="C709" s="5"/>
      <c r="D709" s="5"/>
      <c r="E709" s="5"/>
      <c r="F709" s="5"/>
      <c r="G709" s="5"/>
      <c r="H709" s="5"/>
      <c r="I709" s="10" t="str">
        <f>IF(B709="","",IF(COUNTIF(FUSE_CI!$A:$A,B709)&gt;0,"Yes","No"))</f>
        <v/>
      </c>
      <c r="J709" s="10" t="str">
        <f t="shared" si="11"/>
        <v/>
      </c>
      <c r="K709" s="10" t="str">
        <f>IF(B709="","",IF(COUNTIF(Finding_List!$A:$A,B709)&gt;0,"Yes","No"))</f>
        <v/>
      </c>
    </row>
    <row r="710" spans="1:11" x14ac:dyDescent="0.2">
      <c r="A710" s="9"/>
      <c r="B710" s="9"/>
      <c r="C710" s="9"/>
      <c r="D710" s="9"/>
      <c r="E710" s="9"/>
      <c r="F710" s="9"/>
      <c r="G710" s="9"/>
      <c r="H710" s="9"/>
      <c r="I710" s="10" t="str">
        <f>IF(B710="","",IF(COUNTIF(FUSE_CI!$A:$A,B710)&gt;0,"Yes","No"))</f>
        <v/>
      </c>
      <c r="J710" s="10" t="str">
        <f t="shared" si="11"/>
        <v/>
      </c>
      <c r="K710" s="10" t="str">
        <f>IF(B710="","",IF(COUNTIF(Finding_List!$A:$A,B710)&gt;0,"Yes","No"))</f>
        <v/>
      </c>
    </row>
    <row r="711" spans="1:11" x14ac:dyDescent="0.2">
      <c r="A711" s="5"/>
      <c r="B711" s="5"/>
      <c r="C711" s="5"/>
      <c r="D711" s="5"/>
      <c r="E711" s="5"/>
      <c r="F711" s="5"/>
      <c r="G711" s="5"/>
      <c r="H711" s="5"/>
      <c r="I711" s="10" t="str">
        <f>IF(B711="","",IF(COUNTIF(FUSE_CI!$A:$A,B711)&gt;0,"Yes","No"))</f>
        <v/>
      </c>
      <c r="J711" s="10" t="str">
        <f t="shared" si="11"/>
        <v/>
      </c>
      <c r="K711" s="10" t="str">
        <f>IF(B711="","",IF(COUNTIF(Finding_List!$A:$A,B711)&gt;0,"Yes","No"))</f>
        <v/>
      </c>
    </row>
    <row r="712" spans="1:11" x14ac:dyDescent="0.2">
      <c r="A712" s="9"/>
      <c r="B712" s="9"/>
      <c r="C712" s="9"/>
      <c r="D712" s="9"/>
      <c r="E712" s="9"/>
      <c r="F712" s="9"/>
      <c r="G712" s="9"/>
      <c r="H712" s="9"/>
      <c r="I712" s="10" t="str">
        <f>IF(B712="","",IF(COUNTIF(FUSE_CI!$A:$A,B712)&gt;0,"Yes","No"))</f>
        <v/>
      </c>
      <c r="J712" s="10" t="str">
        <f t="shared" si="11"/>
        <v/>
      </c>
      <c r="K712" s="10" t="str">
        <f>IF(B712="","",IF(COUNTIF(Finding_List!$A:$A,B712)&gt;0,"Yes","No"))</f>
        <v/>
      </c>
    </row>
    <row r="713" spans="1:11" x14ac:dyDescent="0.2">
      <c r="A713" s="5"/>
      <c r="B713" s="5"/>
      <c r="C713" s="5"/>
      <c r="D713" s="5"/>
      <c r="E713" s="5"/>
      <c r="F713" s="5"/>
      <c r="G713" s="5"/>
      <c r="H713" s="5"/>
      <c r="I713" s="10" t="str">
        <f>IF(B713="","",IF(COUNTIF(FUSE_CI!$A:$A,B713)&gt;0,"Yes","No"))</f>
        <v/>
      </c>
      <c r="J713" s="10" t="str">
        <f t="shared" si="11"/>
        <v/>
      </c>
      <c r="K713" s="10" t="str">
        <f>IF(B713="","",IF(COUNTIF(Finding_List!$A:$A,B713)&gt;0,"Yes","No"))</f>
        <v/>
      </c>
    </row>
    <row r="714" spans="1:11" x14ac:dyDescent="0.2">
      <c r="A714" s="9"/>
      <c r="B714" s="9"/>
      <c r="C714" s="9"/>
      <c r="D714" s="9"/>
      <c r="E714" s="9"/>
      <c r="F714" s="9"/>
      <c r="G714" s="9"/>
      <c r="H714" s="9"/>
      <c r="I714" s="10" t="str">
        <f>IF(B714="","",IF(COUNTIF(FUSE_CI!$A:$A,B714)&gt;0,"Yes","No"))</f>
        <v/>
      </c>
      <c r="J714" s="10" t="str">
        <f t="shared" si="11"/>
        <v/>
      </c>
      <c r="K714" s="10" t="str">
        <f>IF(B714="","",IF(COUNTIF(Finding_List!$A:$A,B714)&gt;0,"Yes","No"))</f>
        <v/>
      </c>
    </row>
    <row r="715" spans="1:11" x14ac:dyDescent="0.2">
      <c r="A715" s="5"/>
      <c r="B715" s="5"/>
      <c r="C715" s="5"/>
      <c r="D715" s="5"/>
      <c r="E715" s="5"/>
      <c r="F715" s="5"/>
      <c r="G715" s="5"/>
      <c r="H715" s="5"/>
      <c r="I715" s="10" t="str">
        <f>IF(B715="","",IF(COUNTIF(FUSE_CI!$A:$A,B715)&gt;0,"Yes","No"))</f>
        <v/>
      </c>
      <c r="J715" s="10" t="str">
        <f t="shared" si="11"/>
        <v/>
      </c>
      <c r="K715" s="10" t="str">
        <f>IF(B715="","",IF(COUNTIF(Finding_List!$A:$A,B715)&gt;0,"Yes","No"))</f>
        <v/>
      </c>
    </row>
    <row r="716" spans="1:11" x14ac:dyDescent="0.2">
      <c r="A716" s="9"/>
      <c r="B716" s="9"/>
      <c r="C716" s="9"/>
      <c r="D716" s="9"/>
      <c r="E716" s="9"/>
      <c r="F716" s="9"/>
      <c r="G716" s="9"/>
      <c r="H716" s="9"/>
      <c r="I716" s="10" t="str">
        <f>IF(B716="","",IF(COUNTIF(FUSE_CI!$A:$A,B716)&gt;0,"Yes","No"))</f>
        <v/>
      </c>
      <c r="J716" s="10" t="str">
        <f t="shared" si="11"/>
        <v/>
      </c>
      <c r="K716" s="10" t="str">
        <f>IF(B716="","",IF(COUNTIF(Finding_List!$A:$A,B716)&gt;0,"Yes","No"))</f>
        <v/>
      </c>
    </row>
    <row r="717" spans="1:11" x14ac:dyDescent="0.2">
      <c r="A717" s="5"/>
      <c r="B717" s="5"/>
      <c r="C717" s="5"/>
      <c r="D717" s="5"/>
      <c r="E717" s="5"/>
      <c r="F717" s="5"/>
      <c r="G717" s="5"/>
      <c r="H717" s="5"/>
      <c r="I717" s="10" t="str">
        <f>IF(B717="","",IF(COUNTIF(FUSE_CI!$A:$A,B717)&gt;0,"Yes","No"))</f>
        <v/>
      </c>
      <c r="J717" s="10" t="str">
        <f t="shared" si="11"/>
        <v/>
      </c>
      <c r="K717" s="10" t="str">
        <f>IF(B717="","",IF(COUNTIF(Finding_List!$A:$A,B717)&gt;0,"Yes","No"))</f>
        <v/>
      </c>
    </row>
    <row r="718" spans="1:11" x14ac:dyDescent="0.2">
      <c r="A718" s="9"/>
      <c r="B718" s="9"/>
      <c r="C718" s="9"/>
      <c r="D718" s="9"/>
      <c r="E718" s="9"/>
      <c r="F718" s="9"/>
      <c r="G718" s="9"/>
      <c r="H718" s="9"/>
      <c r="I718" s="10" t="str">
        <f>IF(B718="","",IF(COUNTIF(FUSE_CI!$A:$A,B718)&gt;0,"Yes","No"))</f>
        <v/>
      </c>
      <c r="J718" s="10" t="str">
        <f t="shared" si="11"/>
        <v/>
      </c>
      <c r="K718" s="10" t="str">
        <f>IF(B718="","",IF(COUNTIF(Finding_List!$A:$A,B718)&gt;0,"Yes","No"))</f>
        <v/>
      </c>
    </row>
    <row r="719" spans="1:11" x14ac:dyDescent="0.2">
      <c r="A719" s="5"/>
      <c r="B719" s="5"/>
      <c r="C719" s="5"/>
      <c r="D719" s="5"/>
      <c r="E719" s="5"/>
      <c r="F719" s="5"/>
      <c r="G719" s="5"/>
      <c r="H719" s="5"/>
      <c r="I719" s="10" t="str">
        <f>IF(B719="","",IF(COUNTIF(FUSE_CI!$A:$A,B719)&gt;0,"Yes","No"))</f>
        <v/>
      </c>
      <c r="J719" s="10" t="str">
        <f t="shared" si="11"/>
        <v/>
      </c>
      <c r="K719" s="10" t="str">
        <f>IF(B719="","",IF(COUNTIF(Finding_List!$A:$A,B719)&gt;0,"Yes","No"))</f>
        <v/>
      </c>
    </row>
    <row r="720" spans="1:11" x14ac:dyDescent="0.2">
      <c r="A720" s="9"/>
      <c r="B720" s="9"/>
      <c r="C720" s="9"/>
      <c r="D720" s="9"/>
      <c r="E720" s="9"/>
      <c r="F720" s="9"/>
      <c r="G720" s="9"/>
      <c r="H720" s="9"/>
      <c r="I720" s="10" t="str">
        <f>IF(B720="","",IF(COUNTIF(FUSE_CI!$A:$A,B720)&gt;0,"Yes","No"))</f>
        <v/>
      </c>
      <c r="J720" s="10" t="str">
        <f t="shared" si="11"/>
        <v/>
      </c>
      <c r="K720" s="10" t="str">
        <f>IF(B720="","",IF(COUNTIF(Finding_List!$A:$A,B720)&gt;0,"Yes","No"))</f>
        <v/>
      </c>
    </row>
    <row r="721" spans="1:11" x14ac:dyDescent="0.2">
      <c r="A721" s="5"/>
      <c r="B721" s="5"/>
      <c r="C721" s="5"/>
      <c r="D721" s="5"/>
      <c r="E721" s="5"/>
      <c r="F721" s="5"/>
      <c r="G721" s="5"/>
      <c r="H721" s="5"/>
      <c r="I721" s="10" t="str">
        <f>IF(B721="","",IF(COUNTIF(FUSE_CI!$A:$A,B721)&gt;0,"Yes","No"))</f>
        <v/>
      </c>
      <c r="J721" s="10" t="str">
        <f t="shared" si="11"/>
        <v/>
      </c>
      <c r="K721" s="10" t="str">
        <f>IF(B721="","",IF(COUNTIF(Finding_List!$A:$A,B721)&gt;0,"Yes","No"))</f>
        <v/>
      </c>
    </row>
    <row r="722" spans="1:11" x14ac:dyDescent="0.2">
      <c r="A722" s="9"/>
      <c r="B722" s="9"/>
      <c r="C722" s="9"/>
      <c r="D722" s="9"/>
      <c r="E722" s="9"/>
      <c r="F722" s="9"/>
      <c r="G722" s="9"/>
      <c r="H722" s="9"/>
      <c r="I722" s="10" t="str">
        <f>IF(B722="","",IF(COUNTIF(FUSE_CI!$A:$A,B722)&gt;0,"Yes","No"))</f>
        <v/>
      </c>
      <c r="J722" s="10" t="str">
        <f t="shared" si="11"/>
        <v/>
      </c>
      <c r="K722" s="10" t="str">
        <f>IF(B722="","",IF(COUNTIF(Finding_List!$A:$A,B722)&gt;0,"Yes","No"))</f>
        <v/>
      </c>
    </row>
    <row r="723" spans="1:11" x14ac:dyDescent="0.2">
      <c r="A723" s="5"/>
      <c r="B723" s="5"/>
      <c r="C723" s="5"/>
      <c r="D723" s="5"/>
      <c r="E723" s="5"/>
      <c r="F723" s="5"/>
      <c r="G723" s="5"/>
      <c r="H723" s="5"/>
      <c r="I723" s="10" t="str">
        <f>IF(B723="","",IF(COUNTIF(FUSE_CI!$A:$A,B723)&gt;0,"Yes","No"))</f>
        <v/>
      </c>
      <c r="J723" s="10" t="str">
        <f t="shared" si="11"/>
        <v/>
      </c>
      <c r="K723" s="10" t="str">
        <f>IF(B723="","",IF(COUNTIF(Finding_List!$A:$A,B723)&gt;0,"Yes","No"))</f>
        <v/>
      </c>
    </row>
    <row r="724" spans="1:11" x14ac:dyDescent="0.2">
      <c r="A724" s="9"/>
      <c r="B724" s="9"/>
      <c r="C724" s="9"/>
      <c r="D724" s="9"/>
      <c r="E724" s="9"/>
      <c r="F724" s="9"/>
      <c r="G724" s="9"/>
      <c r="H724" s="9"/>
      <c r="I724" s="10" t="str">
        <f>IF(B724="","",IF(COUNTIF(FUSE_CI!$A:$A,B724)&gt;0,"Yes","No"))</f>
        <v/>
      </c>
      <c r="J724" s="10" t="str">
        <f t="shared" si="11"/>
        <v/>
      </c>
      <c r="K724" s="10" t="str">
        <f>IF(B724="","",IF(COUNTIF(Finding_List!$A:$A,B724)&gt;0,"Yes","No"))</f>
        <v/>
      </c>
    </row>
    <row r="725" spans="1:11" x14ac:dyDescent="0.2">
      <c r="A725" s="5"/>
      <c r="B725" s="5"/>
      <c r="C725" s="5"/>
      <c r="D725" s="5"/>
      <c r="E725" s="5"/>
      <c r="F725" s="5"/>
      <c r="G725" s="5"/>
      <c r="H725" s="5"/>
      <c r="I725" s="10" t="str">
        <f>IF(B725="","",IF(COUNTIF(FUSE_CI!$A:$A,B725)&gt;0,"Yes","No"))</f>
        <v/>
      </c>
      <c r="J725" s="10" t="str">
        <f t="shared" si="11"/>
        <v/>
      </c>
      <c r="K725" s="10" t="str">
        <f>IF(B725="","",IF(COUNTIF(Finding_List!$A:$A,B725)&gt;0,"Yes","No"))</f>
        <v/>
      </c>
    </row>
    <row r="726" spans="1:11" x14ac:dyDescent="0.2">
      <c r="A726" s="9"/>
      <c r="B726" s="9"/>
      <c r="C726" s="9"/>
      <c r="D726" s="9"/>
      <c r="E726" s="9"/>
      <c r="F726" s="9"/>
      <c r="G726" s="9"/>
      <c r="H726" s="9"/>
      <c r="I726" s="10" t="str">
        <f>IF(B726="","",IF(COUNTIF(FUSE_CI!$A:$A,B726)&gt;0,"Yes","No"))</f>
        <v/>
      </c>
      <c r="J726" s="10" t="str">
        <f t="shared" si="11"/>
        <v/>
      </c>
      <c r="K726" s="10" t="str">
        <f>IF(B726="","",IF(COUNTIF(Finding_List!$A:$A,B726)&gt;0,"Yes","No"))</f>
        <v/>
      </c>
    </row>
    <row r="727" spans="1:11" x14ac:dyDescent="0.2">
      <c r="A727" s="5"/>
      <c r="B727" s="5"/>
      <c r="C727" s="5"/>
      <c r="D727" s="5"/>
      <c r="E727" s="5"/>
      <c r="F727" s="5"/>
      <c r="G727" s="5"/>
      <c r="H727" s="5"/>
      <c r="I727" s="10" t="str">
        <f>IF(B727="","",IF(COUNTIF(FUSE_CI!$A:$A,B727)&gt;0,"Yes","No"))</f>
        <v/>
      </c>
      <c r="J727" s="10" t="str">
        <f t="shared" si="11"/>
        <v/>
      </c>
      <c r="K727" s="10" t="str">
        <f>IF(B727="","",IF(COUNTIF(Finding_List!$A:$A,B727)&gt;0,"Yes","No"))</f>
        <v/>
      </c>
    </row>
    <row r="728" spans="1:11" x14ac:dyDescent="0.2">
      <c r="A728" s="9"/>
      <c r="B728" s="9"/>
      <c r="C728" s="9"/>
      <c r="D728" s="9"/>
      <c r="E728" s="9"/>
      <c r="F728" s="9"/>
      <c r="G728" s="9"/>
      <c r="H728" s="9"/>
      <c r="I728" s="10" t="str">
        <f>IF(B728="","",IF(COUNTIF(FUSE_CI!$A:$A,B728)&gt;0,"Yes","No"))</f>
        <v/>
      </c>
      <c r="J728" s="10" t="str">
        <f t="shared" si="11"/>
        <v/>
      </c>
      <c r="K728" s="10" t="str">
        <f>IF(B728="","",IF(COUNTIF(Finding_List!$A:$A,B728)&gt;0,"Yes","No"))</f>
        <v/>
      </c>
    </row>
    <row r="729" spans="1:11" x14ac:dyDescent="0.2">
      <c r="A729" s="5"/>
      <c r="B729" s="5"/>
      <c r="C729" s="5"/>
      <c r="D729" s="5"/>
      <c r="E729" s="5"/>
      <c r="F729" s="5"/>
      <c r="G729" s="5"/>
      <c r="H729" s="5"/>
      <c r="I729" s="10" t="str">
        <f>IF(B729="","",IF(COUNTIF(FUSE_CI!$A:$A,B729)&gt;0,"Yes","No"))</f>
        <v/>
      </c>
      <c r="J729" s="10" t="str">
        <f t="shared" si="11"/>
        <v/>
      </c>
      <c r="K729" s="10" t="str">
        <f>IF(B729="","",IF(COUNTIF(Finding_List!$A:$A,B729)&gt;0,"Yes","No"))</f>
        <v/>
      </c>
    </row>
    <row r="730" spans="1:11" x14ac:dyDescent="0.2">
      <c r="A730" s="9"/>
      <c r="B730" s="9"/>
      <c r="C730" s="9"/>
      <c r="D730" s="9"/>
      <c r="E730" s="9"/>
      <c r="F730" s="9"/>
      <c r="G730" s="9"/>
      <c r="H730" s="9"/>
      <c r="I730" s="10" t="str">
        <f>IF(B730="","",IF(COUNTIF(FUSE_CI!$A:$A,B730)&gt;0,"Yes","No"))</f>
        <v/>
      </c>
      <c r="J730" s="10" t="str">
        <f t="shared" si="11"/>
        <v/>
      </c>
      <c r="K730" s="10" t="str">
        <f>IF(B730="","",IF(COUNTIF(Finding_List!$A:$A,B730)&gt;0,"Yes","No"))</f>
        <v/>
      </c>
    </row>
    <row r="731" spans="1:11" x14ac:dyDescent="0.2">
      <c r="A731" s="5"/>
      <c r="B731" s="5"/>
      <c r="C731" s="5"/>
      <c r="D731" s="5"/>
      <c r="E731" s="5"/>
      <c r="F731" s="5"/>
      <c r="G731" s="5"/>
      <c r="H731" s="5"/>
      <c r="I731" s="10" t="str">
        <f>IF(B731="","",IF(COUNTIF(FUSE_CI!$A:$A,B731)&gt;0,"Yes","No"))</f>
        <v/>
      </c>
      <c r="J731" s="10" t="str">
        <f t="shared" si="11"/>
        <v/>
      </c>
      <c r="K731" s="10" t="str">
        <f>IF(B731="","",IF(COUNTIF(Finding_List!$A:$A,B731)&gt;0,"Yes","No"))</f>
        <v/>
      </c>
    </row>
    <row r="732" spans="1:11" x14ac:dyDescent="0.2">
      <c r="A732" s="9"/>
      <c r="B732" s="9"/>
      <c r="C732" s="9"/>
      <c r="D732" s="9"/>
      <c r="E732" s="9"/>
      <c r="F732" s="9"/>
      <c r="G732" s="9"/>
      <c r="H732" s="9"/>
      <c r="I732" s="10" t="str">
        <f>IF(B732="","",IF(COUNTIF(FUSE_CI!$A:$A,B732)&gt;0,"Yes","No"))</f>
        <v/>
      </c>
      <c r="J732" s="10" t="str">
        <f t="shared" si="11"/>
        <v/>
      </c>
      <c r="K732" s="10" t="str">
        <f>IF(B732="","",IF(COUNTIF(Finding_List!$A:$A,B732)&gt;0,"Yes","No"))</f>
        <v/>
      </c>
    </row>
    <row r="733" spans="1:11" x14ac:dyDescent="0.2">
      <c r="A733" s="5"/>
      <c r="B733" s="5"/>
      <c r="C733" s="5"/>
      <c r="D733" s="5"/>
      <c r="E733" s="5"/>
      <c r="F733" s="5"/>
      <c r="G733" s="5"/>
      <c r="H733" s="5"/>
      <c r="I733" s="10" t="str">
        <f>IF(B733="","",IF(COUNTIF(FUSE_CI!$A:$A,B733)&gt;0,"Yes","No"))</f>
        <v/>
      </c>
      <c r="J733" s="10" t="str">
        <f t="shared" si="11"/>
        <v/>
      </c>
      <c r="K733" s="10" t="str">
        <f>IF(B733="","",IF(COUNTIF(Finding_List!$A:$A,B733)&gt;0,"Yes","No"))</f>
        <v/>
      </c>
    </row>
    <row r="734" spans="1:11" x14ac:dyDescent="0.2">
      <c r="A734" s="9"/>
      <c r="B734" s="9"/>
      <c r="C734" s="9"/>
      <c r="D734" s="9"/>
      <c r="E734" s="9"/>
      <c r="F734" s="9"/>
      <c r="G734" s="9"/>
      <c r="H734" s="9"/>
      <c r="I734" s="10" t="str">
        <f>IF(B734="","",IF(COUNTIF(FUSE_CI!$A:$A,B734)&gt;0,"Yes","No"))</f>
        <v/>
      </c>
      <c r="J734" s="10" t="str">
        <f t="shared" si="11"/>
        <v/>
      </c>
      <c r="K734" s="10" t="str">
        <f>IF(B734="","",IF(COUNTIF(Finding_List!$A:$A,B734)&gt;0,"Yes","No"))</f>
        <v/>
      </c>
    </row>
    <row r="735" spans="1:11" x14ac:dyDescent="0.2">
      <c r="A735" s="5"/>
      <c r="B735" s="5"/>
      <c r="C735" s="5"/>
      <c r="D735" s="5"/>
      <c r="E735" s="5"/>
      <c r="F735" s="5"/>
      <c r="G735" s="5"/>
      <c r="H735" s="5"/>
      <c r="I735" s="10" t="str">
        <f>IF(B735="","",IF(COUNTIF(FUSE_CI!$A:$A,B735)&gt;0,"Yes","No"))</f>
        <v/>
      </c>
      <c r="J735" s="10" t="str">
        <f t="shared" si="11"/>
        <v/>
      </c>
      <c r="K735" s="10" t="str">
        <f>IF(B735="","",IF(COUNTIF(Finding_List!$A:$A,B735)&gt;0,"Yes","No"))</f>
        <v/>
      </c>
    </row>
    <row r="736" spans="1:11" x14ac:dyDescent="0.2">
      <c r="A736" s="9"/>
      <c r="B736" s="9"/>
      <c r="C736" s="9"/>
      <c r="D736" s="9"/>
      <c r="E736" s="9"/>
      <c r="F736" s="9"/>
      <c r="G736" s="9"/>
      <c r="H736" s="9"/>
      <c r="I736" s="10" t="str">
        <f>IF(B736="","",IF(COUNTIF(FUSE_CI!$A:$A,B736)&gt;0,"Yes","No"))</f>
        <v/>
      </c>
      <c r="J736" s="10" t="str">
        <f t="shared" si="11"/>
        <v/>
      </c>
      <c r="K736" s="10" t="str">
        <f>IF(B736="","",IF(COUNTIF(Finding_List!$A:$A,B736)&gt;0,"Yes","No"))</f>
        <v/>
      </c>
    </row>
    <row r="737" spans="1:11" x14ac:dyDescent="0.2">
      <c r="A737" s="5"/>
      <c r="B737" s="5"/>
      <c r="C737" s="5"/>
      <c r="D737" s="5"/>
      <c r="E737" s="5"/>
      <c r="F737" s="5"/>
      <c r="G737" s="5"/>
      <c r="H737" s="5"/>
      <c r="I737" s="10" t="str">
        <f>IF(B737="","",IF(COUNTIF(FUSE_CI!$A:$A,B737)&gt;0,"Yes","No"))</f>
        <v/>
      </c>
      <c r="J737" s="10" t="str">
        <f t="shared" si="11"/>
        <v/>
      </c>
      <c r="K737" s="10" t="str">
        <f>IF(B737="","",IF(COUNTIF(Finding_List!$A:$A,B737)&gt;0,"Yes","No"))</f>
        <v/>
      </c>
    </row>
    <row r="738" spans="1:11" x14ac:dyDescent="0.2">
      <c r="A738" s="9"/>
      <c r="B738" s="9"/>
      <c r="C738" s="9"/>
      <c r="D738" s="9"/>
      <c r="E738" s="9"/>
      <c r="F738" s="9"/>
      <c r="G738" s="9"/>
      <c r="H738" s="9"/>
      <c r="I738" s="10" t="str">
        <f>IF(B738="","",IF(COUNTIF(FUSE_CI!$A:$A,B738)&gt;0,"Yes","No"))</f>
        <v/>
      </c>
      <c r="J738" s="10" t="str">
        <f t="shared" si="11"/>
        <v/>
      </c>
      <c r="K738" s="10" t="str">
        <f>IF(B738="","",IF(COUNTIF(Finding_List!$A:$A,B738)&gt;0,"Yes","No"))</f>
        <v/>
      </c>
    </row>
    <row r="739" spans="1:11" x14ac:dyDescent="0.2">
      <c r="A739" s="5"/>
      <c r="B739" s="5"/>
      <c r="C739" s="5"/>
      <c r="D739" s="5"/>
      <c r="E739" s="5"/>
      <c r="F739" s="5"/>
      <c r="G739" s="5"/>
      <c r="H739" s="5"/>
      <c r="I739" s="10" t="str">
        <f>IF(B739="","",IF(COUNTIF(FUSE_CI!$A:$A,B739)&gt;0,"Yes","No"))</f>
        <v/>
      </c>
      <c r="J739" s="10" t="str">
        <f t="shared" si="11"/>
        <v/>
      </c>
      <c r="K739" s="10" t="str">
        <f>IF(B739="","",IF(COUNTIF(Finding_List!$A:$A,B739)&gt;0,"Yes","No"))</f>
        <v/>
      </c>
    </row>
    <row r="740" spans="1:11" x14ac:dyDescent="0.2">
      <c r="A740" s="9"/>
      <c r="B740" s="9"/>
      <c r="C740" s="9"/>
      <c r="D740" s="9"/>
      <c r="E740" s="9"/>
      <c r="F740" s="9"/>
      <c r="G740" s="9"/>
      <c r="H740" s="9"/>
      <c r="I740" s="10" t="str">
        <f>IF(B740="","",IF(COUNTIF(FUSE_CI!$A:$A,B740)&gt;0,"Yes","No"))</f>
        <v/>
      </c>
      <c r="J740" s="10" t="str">
        <f t="shared" si="11"/>
        <v/>
      </c>
      <c r="K740" s="10" t="str">
        <f>IF(B740="","",IF(COUNTIF(Finding_List!$A:$A,B740)&gt;0,"Yes","No"))</f>
        <v/>
      </c>
    </row>
    <row r="741" spans="1:11" x14ac:dyDescent="0.2">
      <c r="A741" s="5"/>
      <c r="B741" s="5"/>
      <c r="C741" s="5"/>
      <c r="D741" s="5"/>
      <c r="E741" s="5"/>
      <c r="F741" s="5"/>
      <c r="G741" s="5"/>
      <c r="H741" s="5"/>
      <c r="I741" s="10" t="str">
        <f>IF(B741="","",IF(COUNTIF(FUSE_CI!$A:$A,B741)&gt;0,"Yes","No"))</f>
        <v/>
      </c>
      <c r="J741" s="10" t="str">
        <f t="shared" si="11"/>
        <v/>
      </c>
      <c r="K741" s="10" t="str">
        <f>IF(B741="","",IF(COUNTIF(Finding_List!$A:$A,B741)&gt;0,"Yes","No"))</f>
        <v/>
      </c>
    </row>
    <row r="742" spans="1:11" x14ac:dyDescent="0.2">
      <c r="A742" s="9"/>
      <c r="B742" s="9"/>
      <c r="C742" s="9"/>
      <c r="D742" s="9"/>
      <c r="E742" s="9"/>
      <c r="F742" s="9"/>
      <c r="G742" s="9"/>
      <c r="H742" s="9"/>
      <c r="I742" s="10" t="str">
        <f>IF(B742="","",IF(COUNTIF(FUSE_CI!$A:$A,B742)&gt;0,"Yes","No"))</f>
        <v/>
      </c>
      <c r="J742" s="10" t="str">
        <f t="shared" si="11"/>
        <v/>
      </c>
      <c r="K742" s="10" t="str">
        <f>IF(B742="","",IF(COUNTIF(Finding_List!$A:$A,B742)&gt;0,"Yes","No"))</f>
        <v/>
      </c>
    </row>
    <row r="743" spans="1:11" x14ac:dyDescent="0.2">
      <c r="A743" s="5"/>
      <c r="B743" s="5"/>
      <c r="C743" s="5"/>
      <c r="D743" s="5"/>
      <c r="E743" s="5"/>
      <c r="F743" s="5"/>
      <c r="G743" s="5"/>
      <c r="H743" s="5"/>
      <c r="I743" s="10" t="str">
        <f>IF(B743="","",IF(COUNTIF(FUSE_CI!$A:$A,B743)&gt;0,"Yes","No"))</f>
        <v/>
      </c>
      <c r="J743" s="10" t="str">
        <f t="shared" si="11"/>
        <v/>
      </c>
      <c r="K743" s="10" t="str">
        <f>IF(B743="","",IF(COUNTIF(Finding_List!$A:$A,B743)&gt;0,"Yes","No"))</f>
        <v/>
      </c>
    </row>
    <row r="744" spans="1:11" x14ac:dyDescent="0.2">
      <c r="A744" s="9"/>
      <c r="B744" s="9"/>
      <c r="C744" s="9"/>
      <c r="D744" s="9"/>
      <c r="E744" s="9"/>
      <c r="F744" s="9"/>
      <c r="G744" s="9"/>
      <c r="H744" s="9"/>
      <c r="I744" s="10" t="str">
        <f>IF(B744="","",IF(COUNTIF(FUSE_CI!$A:$A,B744)&gt;0,"Yes","No"))</f>
        <v/>
      </c>
      <c r="J744" s="10" t="str">
        <f t="shared" si="11"/>
        <v/>
      </c>
      <c r="K744" s="10" t="str">
        <f>IF(B744="","",IF(COUNTIF(Finding_List!$A:$A,B744)&gt;0,"Yes","No"))</f>
        <v/>
      </c>
    </row>
    <row r="745" spans="1:11" x14ac:dyDescent="0.2">
      <c r="A745" s="5"/>
      <c r="B745" s="5"/>
      <c r="C745" s="5"/>
      <c r="D745" s="5"/>
      <c r="E745" s="5"/>
      <c r="F745" s="5"/>
      <c r="G745" s="5"/>
      <c r="H745" s="5"/>
      <c r="I745" s="10" t="str">
        <f>IF(B745="","",IF(COUNTIF(FUSE_CI!$A:$A,B745)&gt;0,"Yes","No"))</f>
        <v/>
      </c>
      <c r="J745" s="10" t="str">
        <f t="shared" si="11"/>
        <v/>
      </c>
      <c r="K745" s="10" t="str">
        <f>IF(B745="","",IF(COUNTIF(Finding_List!$A:$A,B745)&gt;0,"Yes","No"))</f>
        <v/>
      </c>
    </row>
    <row r="746" spans="1:11" x14ac:dyDescent="0.2">
      <c r="A746" s="9"/>
      <c r="B746" s="9"/>
      <c r="C746" s="9"/>
      <c r="D746" s="9"/>
      <c r="E746" s="9"/>
      <c r="F746" s="9"/>
      <c r="G746" s="9"/>
      <c r="H746" s="9"/>
      <c r="I746" s="10" t="str">
        <f>IF(B746="","",IF(COUNTIF(FUSE_CI!$A:$A,B746)&gt;0,"Yes","No"))</f>
        <v/>
      </c>
      <c r="J746" s="10" t="str">
        <f t="shared" si="11"/>
        <v/>
      </c>
      <c r="K746" s="10" t="str">
        <f>IF(B746="","",IF(COUNTIF(Finding_List!$A:$A,B746)&gt;0,"Yes","No"))</f>
        <v/>
      </c>
    </row>
    <row r="747" spans="1:11" x14ac:dyDescent="0.2">
      <c r="A747" s="5"/>
      <c r="B747" s="5"/>
      <c r="C747" s="5"/>
      <c r="D747" s="5"/>
      <c r="E747" s="5"/>
      <c r="F747" s="5"/>
      <c r="G747" s="5"/>
      <c r="H747" s="5"/>
      <c r="I747" s="10" t="str">
        <f>IF(B747="","",IF(COUNTIF(FUSE_CI!$A:$A,B747)&gt;0,"Yes","No"))</f>
        <v/>
      </c>
      <c r="J747" s="10" t="str">
        <f t="shared" si="11"/>
        <v/>
      </c>
      <c r="K747" s="10" t="str">
        <f>IF(B747="","",IF(COUNTIF(Finding_List!$A:$A,B747)&gt;0,"Yes","No"))</f>
        <v/>
      </c>
    </row>
    <row r="748" spans="1:11" x14ac:dyDescent="0.2">
      <c r="A748" s="9"/>
      <c r="B748" s="9"/>
      <c r="C748" s="9"/>
      <c r="D748" s="9"/>
      <c r="E748" s="9"/>
      <c r="F748" s="9"/>
      <c r="G748" s="9"/>
      <c r="H748" s="9"/>
      <c r="I748" s="10" t="str">
        <f>IF(B748="","",IF(COUNTIF(FUSE_CI!$A:$A,B748)&gt;0,"Yes","No"))</f>
        <v/>
      </c>
      <c r="J748" s="10" t="str">
        <f t="shared" si="11"/>
        <v/>
      </c>
      <c r="K748" s="10" t="str">
        <f>IF(B748="","",IF(COUNTIF(Finding_List!$A:$A,B748)&gt;0,"Yes","No"))</f>
        <v/>
      </c>
    </row>
    <row r="749" spans="1:11" x14ac:dyDescent="0.2">
      <c r="A749" s="5"/>
      <c r="B749" s="5"/>
      <c r="C749" s="5"/>
      <c r="D749" s="5"/>
      <c r="E749" s="5"/>
      <c r="F749" s="5"/>
      <c r="G749" s="5"/>
      <c r="H749" s="5"/>
      <c r="I749" s="10" t="str">
        <f>IF(B749="","",IF(COUNTIF(FUSE_CI!$A:$A,B749)&gt;0,"Yes","No"))</f>
        <v/>
      </c>
      <c r="J749" s="10" t="str">
        <f t="shared" si="11"/>
        <v/>
      </c>
      <c r="K749" s="10" t="str">
        <f>IF(B749="","",IF(COUNTIF(Finding_List!$A:$A,B749)&gt;0,"Yes","No"))</f>
        <v/>
      </c>
    </row>
    <row r="750" spans="1:11" x14ac:dyDescent="0.2">
      <c r="A750" s="9"/>
      <c r="B750" s="9"/>
      <c r="C750" s="9"/>
      <c r="D750" s="9"/>
      <c r="E750" s="9"/>
      <c r="F750" s="9"/>
      <c r="G750" s="9"/>
      <c r="H750" s="9"/>
      <c r="I750" s="10" t="str">
        <f>IF(B750="","",IF(COUNTIF(FUSE_CI!$A:$A,B750)&gt;0,"Yes","No"))</f>
        <v/>
      </c>
      <c r="J750" s="10" t="str">
        <f t="shared" si="11"/>
        <v/>
      </c>
      <c r="K750" s="10" t="str">
        <f>IF(B750="","",IF(COUNTIF(Finding_List!$A:$A,B750)&gt;0,"Yes","No"))</f>
        <v/>
      </c>
    </row>
    <row r="751" spans="1:11" x14ac:dyDescent="0.2">
      <c r="A751" s="5"/>
      <c r="B751" s="5"/>
      <c r="C751" s="5"/>
      <c r="D751" s="5"/>
      <c r="E751" s="5"/>
      <c r="F751" s="5"/>
      <c r="G751" s="5"/>
      <c r="H751" s="5"/>
      <c r="I751" s="10" t="str">
        <f>IF(B751="","",IF(COUNTIF(FUSE_CI!$A:$A,B751)&gt;0,"Yes","No"))</f>
        <v/>
      </c>
      <c r="J751" s="10" t="str">
        <f t="shared" si="11"/>
        <v/>
      </c>
      <c r="K751" s="10" t="str">
        <f>IF(B751="","",IF(COUNTIF(Finding_List!$A:$A,B751)&gt;0,"Yes","No"))</f>
        <v/>
      </c>
    </row>
    <row r="752" spans="1:11" x14ac:dyDescent="0.2">
      <c r="A752" s="9"/>
      <c r="B752" s="9"/>
      <c r="C752" s="9"/>
      <c r="D752" s="9"/>
      <c r="E752" s="9"/>
      <c r="F752" s="9"/>
      <c r="G752" s="9"/>
      <c r="H752" s="9"/>
      <c r="I752" s="10" t="str">
        <f>IF(B752="","",IF(COUNTIF(FUSE_CI!$A:$A,B752)&gt;0,"Yes","No"))</f>
        <v/>
      </c>
      <c r="J752" s="10" t="str">
        <f t="shared" si="11"/>
        <v/>
      </c>
      <c r="K752" s="10" t="str">
        <f>IF(B752="","",IF(COUNTIF(Finding_List!$A:$A,B752)&gt;0,"Yes","No"))</f>
        <v/>
      </c>
    </row>
    <row r="753" spans="1:11" x14ac:dyDescent="0.2">
      <c r="A753" s="5"/>
      <c r="B753" s="5"/>
      <c r="C753" s="5"/>
      <c r="D753" s="5"/>
      <c r="E753" s="5"/>
      <c r="F753" s="5"/>
      <c r="G753" s="5"/>
      <c r="H753" s="5"/>
      <c r="I753" s="10" t="str">
        <f>IF(B753="","",IF(COUNTIF(FUSE_CI!$A:$A,B753)&gt;0,"Yes","No"))</f>
        <v/>
      </c>
      <c r="J753" s="10" t="str">
        <f t="shared" si="11"/>
        <v/>
      </c>
      <c r="K753" s="10" t="str">
        <f>IF(B753="","",IF(COUNTIF(Finding_List!$A:$A,B753)&gt;0,"Yes","No"))</f>
        <v/>
      </c>
    </row>
    <row r="754" spans="1:11" x14ac:dyDescent="0.2">
      <c r="A754" s="9"/>
      <c r="B754" s="9"/>
      <c r="C754" s="9"/>
      <c r="D754" s="9"/>
      <c r="E754" s="9"/>
      <c r="F754" s="9"/>
      <c r="G754" s="9"/>
      <c r="H754" s="9"/>
      <c r="I754" s="10" t="str">
        <f>IF(B754="","",IF(COUNTIF(FUSE_CI!$A:$A,B754)&gt;0,"Yes","No"))</f>
        <v/>
      </c>
      <c r="J754" s="10" t="str">
        <f t="shared" si="11"/>
        <v/>
      </c>
      <c r="K754" s="10" t="str">
        <f>IF(B754="","",IF(COUNTIF(Finding_List!$A:$A,B754)&gt;0,"Yes","No"))</f>
        <v/>
      </c>
    </row>
    <row r="755" spans="1:11" x14ac:dyDescent="0.2">
      <c r="A755" s="5"/>
      <c r="B755" s="5"/>
      <c r="C755" s="5"/>
      <c r="D755" s="5"/>
      <c r="E755" s="5"/>
      <c r="F755" s="5"/>
      <c r="G755" s="5"/>
      <c r="H755" s="5"/>
      <c r="I755" s="10" t="str">
        <f>IF(B755="","",IF(COUNTIF(FUSE_CI!$A:$A,B755)&gt;0,"Yes","No"))</f>
        <v/>
      </c>
      <c r="J755" s="10" t="str">
        <f t="shared" si="11"/>
        <v/>
      </c>
      <c r="K755" s="10" t="str">
        <f>IF(B755="","",IF(COUNTIF(Finding_List!$A:$A,B755)&gt;0,"Yes","No"))</f>
        <v/>
      </c>
    </row>
    <row r="756" spans="1:11" x14ac:dyDescent="0.2">
      <c r="A756" s="9"/>
      <c r="B756" s="9"/>
      <c r="C756" s="9"/>
      <c r="D756" s="9"/>
      <c r="E756" s="9"/>
      <c r="F756" s="9"/>
      <c r="G756" s="9"/>
      <c r="H756" s="9"/>
      <c r="I756" s="10" t="str">
        <f>IF(B756="","",IF(COUNTIF(FUSE_CI!$A:$A,B756)&gt;0,"Yes","No"))</f>
        <v/>
      </c>
      <c r="J756" s="10" t="str">
        <f t="shared" si="11"/>
        <v/>
      </c>
      <c r="K756" s="10" t="str">
        <f>IF(B756="","",IF(COUNTIF(Finding_List!$A:$A,B756)&gt;0,"Yes","No"))</f>
        <v/>
      </c>
    </row>
    <row r="757" spans="1:11" x14ac:dyDescent="0.2">
      <c r="A757" s="5"/>
      <c r="B757" s="5"/>
      <c r="C757" s="5"/>
      <c r="D757" s="5"/>
      <c r="E757" s="5"/>
      <c r="F757" s="5"/>
      <c r="G757" s="5"/>
      <c r="H757" s="5"/>
      <c r="I757" s="10" t="str">
        <f>IF(B757="","",IF(COUNTIF(FUSE_CI!$A:$A,B757)&gt;0,"Yes","No"))</f>
        <v/>
      </c>
      <c r="J757" s="10" t="str">
        <f t="shared" si="11"/>
        <v/>
      </c>
      <c r="K757" s="10" t="str">
        <f>IF(B757="","",IF(COUNTIF(Finding_List!$A:$A,B757)&gt;0,"Yes","No"))</f>
        <v/>
      </c>
    </row>
    <row r="758" spans="1:11" x14ac:dyDescent="0.2">
      <c r="A758" s="9"/>
      <c r="B758" s="9"/>
      <c r="C758" s="9"/>
      <c r="D758" s="9"/>
      <c r="E758" s="9"/>
      <c r="F758" s="9"/>
      <c r="G758" s="9"/>
      <c r="H758" s="9"/>
      <c r="I758" s="10" t="str">
        <f>IF(B758="","",IF(COUNTIF(FUSE_CI!$A:$A,B758)&gt;0,"Yes","No"))</f>
        <v/>
      </c>
      <c r="J758" s="10" t="str">
        <f t="shared" si="11"/>
        <v/>
      </c>
      <c r="K758" s="10" t="str">
        <f>IF(B758="","",IF(COUNTIF(Finding_List!$A:$A,B758)&gt;0,"Yes","No"))</f>
        <v/>
      </c>
    </row>
    <row r="759" spans="1:11" x14ac:dyDescent="0.2">
      <c r="A759" s="5"/>
      <c r="B759" s="5"/>
      <c r="C759" s="5"/>
      <c r="D759" s="5"/>
      <c r="E759" s="5"/>
      <c r="F759" s="5"/>
      <c r="G759" s="5"/>
      <c r="H759" s="5"/>
      <c r="I759" s="10" t="str">
        <f>IF(B759="","",IF(COUNTIF(FUSE_CI!$A:$A,B759)&gt;0,"Yes","No"))</f>
        <v/>
      </c>
      <c r="J759" s="10" t="str">
        <f t="shared" si="11"/>
        <v/>
      </c>
      <c r="K759" s="10" t="str">
        <f>IF(B759="","",IF(COUNTIF(Finding_List!$A:$A,B759)&gt;0,"Yes","No"))</f>
        <v/>
      </c>
    </row>
    <row r="760" spans="1:11" x14ac:dyDescent="0.2">
      <c r="A760" s="9"/>
      <c r="B760" s="9"/>
      <c r="C760" s="9"/>
      <c r="D760" s="9"/>
      <c r="E760" s="9"/>
      <c r="F760" s="9"/>
      <c r="G760" s="9"/>
      <c r="H760" s="9"/>
      <c r="I760" s="10" t="str">
        <f>IF(B760="","",IF(COUNTIF(FUSE_CI!$A:$A,B760)&gt;0,"Yes","No"))</f>
        <v/>
      </c>
      <c r="J760" s="10" t="str">
        <f t="shared" si="11"/>
        <v/>
      </c>
      <c r="K760" s="10" t="str">
        <f>IF(B760="","",IF(COUNTIF(Finding_List!$A:$A,B760)&gt;0,"Yes","No"))</f>
        <v/>
      </c>
    </row>
    <row r="761" spans="1:11" x14ac:dyDescent="0.2">
      <c r="A761" s="5"/>
      <c r="B761" s="5"/>
      <c r="C761" s="5"/>
      <c r="D761" s="5"/>
      <c r="E761" s="5"/>
      <c r="F761" s="5"/>
      <c r="G761" s="5"/>
      <c r="H761" s="5"/>
      <c r="I761" s="10" t="str">
        <f>IF(B761="","",IF(COUNTIF(FUSE_CI!$A:$A,B761)&gt;0,"Yes","No"))</f>
        <v/>
      </c>
      <c r="J761" s="10" t="str">
        <f t="shared" si="11"/>
        <v/>
      </c>
      <c r="K761" s="10" t="str">
        <f>IF(B761="","",IF(COUNTIF(Finding_List!$A:$A,B761)&gt;0,"Yes","No"))</f>
        <v/>
      </c>
    </row>
    <row r="762" spans="1:11" x14ac:dyDescent="0.2">
      <c r="A762" s="9"/>
      <c r="B762" s="9"/>
      <c r="C762" s="9"/>
      <c r="D762" s="9"/>
      <c r="E762" s="9"/>
      <c r="F762" s="9"/>
      <c r="G762" s="9"/>
      <c r="H762" s="9"/>
      <c r="I762" s="10" t="str">
        <f>IF(B762="","",IF(COUNTIF(FUSE_CI!$A:$A,B762)&gt;0,"Yes","No"))</f>
        <v/>
      </c>
      <c r="J762" s="10" t="str">
        <f t="shared" si="11"/>
        <v/>
      </c>
      <c r="K762" s="10" t="str">
        <f>IF(B762="","",IF(COUNTIF(Finding_List!$A:$A,B762)&gt;0,"Yes","No"))</f>
        <v/>
      </c>
    </row>
    <row r="763" spans="1:11" x14ac:dyDescent="0.2">
      <c r="A763" s="5"/>
      <c r="B763" s="5"/>
      <c r="C763" s="5"/>
      <c r="D763" s="5"/>
      <c r="E763" s="5"/>
      <c r="F763" s="5"/>
      <c r="G763" s="5"/>
      <c r="H763" s="5"/>
      <c r="I763" s="10" t="str">
        <f>IF(B763="","",IF(COUNTIF(FUSE_CI!$A:$A,B763)&gt;0,"Yes","No"))</f>
        <v/>
      </c>
      <c r="J763" s="10" t="str">
        <f t="shared" si="11"/>
        <v/>
      </c>
      <c r="K763" s="10" t="str">
        <f>IF(B763="","",IF(COUNTIF(Finding_List!$A:$A,B763)&gt;0,"Yes","No"))</f>
        <v/>
      </c>
    </row>
    <row r="764" spans="1:11" x14ac:dyDescent="0.2">
      <c r="A764" s="9"/>
      <c r="B764" s="9"/>
      <c r="C764" s="9"/>
      <c r="D764" s="9"/>
      <c r="E764" s="9"/>
      <c r="F764" s="9"/>
      <c r="G764" s="9"/>
      <c r="H764" s="9"/>
      <c r="I764" s="10" t="str">
        <f>IF(B764="","",IF(COUNTIF(FUSE_CI!$A:$A,B764)&gt;0,"Yes","No"))</f>
        <v/>
      </c>
      <c r="J764" s="10" t="str">
        <f t="shared" si="11"/>
        <v/>
      </c>
      <c r="K764" s="10" t="str">
        <f>IF(B764="","",IF(COUNTIF(Finding_List!$A:$A,B764)&gt;0,"Yes","No"))</f>
        <v/>
      </c>
    </row>
    <row r="765" spans="1:11" x14ac:dyDescent="0.2">
      <c r="A765" s="5"/>
      <c r="B765" s="5"/>
      <c r="C765" s="5"/>
      <c r="D765" s="5"/>
      <c r="E765" s="5"/>
      <c r="F765" s="5"/>
      <c r="G765" s="5"/>
      <c r="H765" s="5"/>
      <c r="I765" s="10" t="str">
        <f>IF(B765="","",IF(COUNTIF(FUSE_CI!$A:$A,B765)&gt;0,"Yes","No"))</f>
        <v/>
      </c>
      <c r="J765" s="10" t="str">
        <f t="shared" si="11"/>
        <v/>
      </c>
      <c r="K765" s="10" t="str">
        <f>IF(B765="","",IF(COUNTIF(Finding_List!$A:$A,B765)&gt;0,"Yes","No"))</f>
        <v/>
      </c>
    </row>
    <row r="766" spans="1:11" x14ac:dyDescent="0.2">
      <c r="A766" s="9"/>
      <c r="B766" s="9"/>
      <c r="C766" s="9"/>
      <c r="D766" s="9"/>
      <c r="E766" s="9"/>
      <c r="F766" s="9"/>
      <c r="G766" s="9"/>
      <c r="H766" s="9"/>
      <c r="I766" s="10" t="str">
        <f>IF(B766="","",IF(COUNTIF(FUSE_CI!$A:$A,B766)&gt;0,"Yes","No"))</f>
        <v/>
      </c>
      <c r="J766" s="10" t="str">
        <f t="shared" si="11"/>
        <v/>
      </c>
      <c r="K766" s="10" t="str">
        <f>IF(B766="","",IF(COUNTIF(Finding_List!$A:$A,B766)&gt;0,"Yes","No"))</f>
        <v/>
      </c>
    </row>
    <row r="767" spans="1:11" x14ac:dyDescent="0.2">
      <c r="A767" s="5"/>
      <c r="B767" s="5"/>
      <c r="C767" s="5"/>
      <c r="D767" s="5"/>
      <c r="E767" s="5"/>
      <c r="F767" s="5"/>
      <c r="G767" s="5"/>
      <c r="H767" s="5"/>
      <c r="I767" s="10" t="str">
        <f>IF(B767="","",IF(COUNTIF(FUSE_CI!$A:$A,B767)&gt;0,"Yes","No"))</f>
        <v/>
      </c>
      <c r="J767" s="10" t="str">
        <f t="shared" si="11"/>
        <v/>
      </c>
      <c r="K767" s="10" t="str">
        <f>IF(B767="","",IF(COUNTIF(Finding_List!$A:$A,B767)&gt;0,"Yes","No"))</f>
        <v/>
      </c>
    </row>
    <row r="768" spans="1:11" x14ac:dyDescent="0.2">
      <c r="A768" s="9"/>
      <c r="B768" s="9"/>
      <c r="C768" s="9"/>
      <c r="D768" s="9"/>
      <c r="E768" s="9"/>
      <c r="F768" s="9"/>
      <c r="G768" s="9"/>
      <c r="H768" s="9"/>
      <c r="I768" s="10" t="str">
        <f>IF(B768="","",IF(COUNTIF(FUSE_CI!$A:$A,B768)&gt;0,"Yes","No"))</f>
        <v/>
      </c>
      <c r="J768" s="10" t="str">
        <f t="shared" si="11"/>
        <v/>
      </c>
      <c r="K768" s="10" t="str">
        <f>IF(B768="","",IF(COUNTIF(Finding_List!$A:$A,B768)&gt;0,"Yes","No"))</f>
        <v/>
      </c>
    </row>
    <row r="769" spans="1:11" x14ac:dyDescent="0.2">
      <c r="A769" s="5"/>
      <c r="B769" s="5"/>
      <c r="C769" s="5"/>
      <c r="D769" s="5"/>
      <c r="E769" s="5"/>
      <c r="F769" s="5"/>
      <c r="G769" s="5"/>
      <c r="H769" s="5"/>
      <c r="I769" s="10" t="str">
        <f>IF(B769="","",IF(COUNTIF(FUSE_CI!$A:$A,B769)&gt;0,"Yes","No"))</f>
        <v/>
      </c>
      <c r="J769" s="10" t="str">
        <f t="shared" si="11"/>
        <v/>
      </c>
      <c r="K769" s="10" t="str">
        <f>IF(B769="","",IF(COUNTIF(Finding_List!$A:$A,B769)&gt;0,"Yes","No"))</f>
        <v/>
      </c>
    </row>
    <row r="770" spans="1:11" x14ac:dyDescent="0.2">
      <c r="A770" s="9"/>
      <c r="B770" s="9"/>
      <c r="C770" s="9"/>
      <c r="D770" s="9"/>
      <c r="E770" s="9"/>
      <c r="F770" s="9"/>
      <c r="G770" s="9"/>
      <c r="H770" s="9"/>
      <c r="I770" s="10" t="str">
        <f>IF(B770="","",IF(COUNTIF(FUSE_CI!$A:$A,B770)&gt;0,"Yes","No"))</f>
        <v/>
      </c>
      <c r="J770" s="10" t="str">
        <f t="shared" si="11"/>
        <v/>
      </c>
      <c r="K770" s="10" t="str">
        <f>IF(B770="","",IF(COUNTIF(Finding_List!$A:$A,B770)&gt;0,"Yes","No"))</f>
        <v/>
      </c>
    </row>
    <row r="771" spans="1:11" x14ac:dyDescent="0.2">
      <c r="A771" s="5"/>
      <c r="B771" s="5"/>
      <c r="C771" s="5"/>
      <c r="D771" s="5"/>
      <c r="E771" s="5"/>
      <c r="F771" s="5"/>
      <c r="G771" s="5"/>
      <c r="H771" s="5"/>
      <c r="I771" s="10" t="str">
        <f>IF(B771="","",IF(COUNTIF(FUSE_CI!$A:$A,B771)&gt;0,"Yes","No"))</f>
        <v/>
      </c>
      <c r="J771" s="10" t="str">
        <f t="shared" si="11"/>
        <v/>
      </c>
      <c r="K771" s="10" t="str">
        <f>IF(B771="","",IF(COUNTIF(Finding_List!$A:$A,B771)&gt;0,"Yes","No"))</f>
        <v/>
      </c>
    </row>
    <row r="772" spans="1:11" x14ac:dyDescent="0.2">
      <c r="A772" s="9"/>
      <c r="B772" s="9"/>
      <c r="C772" s="9"/>
      <c r="D772" s="9"/>
      <c r="E772" s="9"/>
      <c r="F772" s="9"/>
      <c r="G772" s="9"/>
      <c r="H772" s="9"/>
      <c r="I772" s="10" t="str">
        <f>IF(B772="","",IF(COUNTIF(FUSE_CI!$A:$A,B772)&gt;0,"Yes","No"))</f>
        <v/>
      </c>
      <c r="J772" s="10" t="str">
        <f t="shared" ref="J772:J835" si="12">IF(B772="","",IF(AND(D772&lt;&gt;"High",D772&lt;&gt;"Very High",I772="Yes",K772="No"),"Fast Follower","Not Eligible"))</f>
        <v/>
      </c>
      <c r="K772" s="10" t="str">
        <f>IF(B772="","",IF(COUNTIF(Finding_List!$A:$A,B772)&gt;0,"Yes","No"))</f>
        <v/>
      </c>
    </row>
    <row r="773" spans="1:11" x14ac:dyDescent="0.2">
      <c r="A773" s="5"/>
      <c r="B773" s="5"/>
      <c r="C773" s="5"/>
      <c r="D773" s="5"/>
      <c r="E773" s="5"/>
      <c r="F773" s="5"/>
      <c r="G773" s="5"/>
      <c r="H773" s="5"/>
      <c r="I773" s="10" t="str">
        <f>IF(B773="","",IF(COUNTIF(FUSE_CI!$A:$A,B773)&gt;0,"Yes","No"))</f>
        <v/>
      </c>
      <c r="J773" s="10" t="str">
        <f t="shared" si="12"/>
        <v/>
      </c>
      <c r="K773" s="10" t="str">
        <f>IF(B773="","",IF(COUNTIF(Finding_List!$A:$A,B773)&gt;0,"Yes","No"))</f>
        <v/>
      </c>
    </row>
    <row r="774" spans="1:11" x14ac:dyDescent="0.2">
      <c r="A774" s="9"/>
      <c r="B774" s="9"/>
      <c r="C774" s="9"/>
      <c r="D774" s="9"/>
      <c r="E774" s="9"/>
      <c r="F774" s="9"/>
      <c r="G774" s="9"/>
      <c r="H774" s="9"/>
      <c r="I774" s="10" t="str">
        <f>IF(B774="","",IF(COUNTIF(FUSE_CI!$A:$A,B774)&gt;0,"Yes","No"))</f>
        <v/>
      </c>
      <c r="J774" s="10" t="str">
        <f t="shared" si="12"/>
        <v/>
      </c>
      <c r="K774" s="10" t="str">
        <f>IF(B774="","",IF(COUNTIF(Finding_List!$A:$A,B774)&gt;0,"Yes","No"))</f>
        <v/>
      </c>
    </row>
    <row r="775" spans="1:11" x14ac:dyDescent="0.2">
      <c r="A775" s="5"/>
      <c r="B775" s="5"/>
      <c r="C775" s="5"/>
      <c r="D775" s="5"/>
      <c r="E775" s="5"/>
      <c r="F775" s="5"/>
      <c r="G775" s="5"/>
      <c r="H775" s="5"/>
      <c r="I775" s="10" t="str">
        <f>IF(B775="","",IF(COUNTIF(FUSE_CI!$A:$A,B775)&gt;0,"Yes","No"))</f>
        <v/>
      </c>
      <c r="J775" s="10" t="str">
        <f t="shared" si="12"/>
        <v/>
      </c>
      <c r="K775" s="10" t="str">
        <f>IF(B775="","",IF(COUNTIF(Finding_List!$A:$A,B775)&gt;0,"Yes","No"))</f>
        <v/>
      </c>
    </row>
    <row r="776" spans="1:11" x14ac:dyDescent="0.2">
      <c r="A776" s="9"/>
      <c r="B776" s="9"/>
      <c r="C776" s="9"/>
      <c r="D776" s="9"/>
      <c r="E776" s="9"/>
      <c r="F776" s="9"/>
      <c r="G776" s="9"/>
      <c r="H776" s="9"/>
      <c r="I776" s="10" t="str">
        <f>IF(B776="","",IF(COUNTIF(FUSE_CI!$A:$A,B776)&gt;0,"Yes","No"))</f>
        <v/>
      </c>
      <c r="J776" s="10" t="str">
        <f t="shared" si="12"/>
        <v/>
      </c>
      <c r="K776" s="10" t="str">
        <f>IF(B776="","",IF(COUNTIF(Finding_List!$A:$A,B776)&gt;0,"Yes","No"))</f>
        <v/>
      </c>
    </row>
    <row r="777" spans="1:11" x14ac:dyDescent="0.2">
      <c r="A777" s="5"/>
      <c r="B777" s="5"/>
      <c r="C777" s="5"/>
      <c r="D777" s="5"/>
      <c r="E777" s="5"/>
      <c r="F777" s="5"/>
      <c r="G777" s="5"/>
      <c r="H777" s="5"/>
      <c r="I777" s="10" t="str">
        <f>IF(B777="","",IF(COUNTIF(FUSE_CI!$A:$A,B777)&gt;0,"Yes","No"))</f>
        <v/>
      </c>
      <c r="J777" s="10" t="str">
        <f t="shared" si="12"/>
        <v/>
      </c>
      <c r="K777" s="10" t="str">
        <f>IF(B777="","",IF(COUNTIF(Finding_List!$A:$A,B777)&gt;0,"Yes","No"))</f>
        <v/>
      </c>
    </row>
    <row r="778" spans="1:11" x14ac:dyDescent="0.2">
      <c r="A778" s="9"/>
      <c r="B778" s="9"/>
      <c r="C778" s="9"/>
      <c r="D778" s="9"/>
      <c r="E778" s="9"/>
      <c r="F778" s="9"/>
      <c r="G778" s="9"/>
      <c r="H778" s="9"/>
      <c r="I778" s="10" t="str">
        <f>IF(B778="","",IF(COUNTIF(FUSE_CI!$A:$A,B778)&gt;0,"Yes","No"))</f>
        <v/>
      </c>
      <c r="J778" s="10" t="str">
        <f t="shared" si="12"/>
        <v/>
      </c>
      <c r="K778" s="10" t="str">
        <f>IF(B778="","",IF(COUNTIF(Finding_List!$A:$A,B778)&gt;0,"Yes","No"))</f>
        <v/>
      </c>
    </row>
    <row r="779" spans="1:11" x14ac:dyDescent="0.2">
      <c r="A779" s="5"/>
      <c r="B779" s="5"/>
      <c r="C779" s="5"/>
      <c r="D779" s="5"/>
      <c r="E779" s="5"/>
      <c r="F779" s="5"/>
      <c r="G779" s="5"/>
      <c r="H779" s="5"/>
      <c r="I779" s="10" t="str">
        <f>IF(B779="","",IF(COUNTIF(FUSE_CI!$A:$A,B779)&gt;0,"Yes","No"))</f>
        <v/>
      </c>
      <c r="J779" s="10" t="str">
        <f t="shared" si="12"/>
        <v/>
      </c>
      <c r="K779" s="10" t="str">
        <f>IF(B779="","",IF(COUNTIF(Finding_List!$A:$A,B779)&gt;0,"Yes","No"))</f>
        <v/>
      </c>
    </row>
    <row r="780" spans="1:11" x14ac:dyDescent="0.2">
      <c r="A780" s="9"/>
      <c r="B780" s="9"/>
      <c r="C780" s="9"/>
      <c r="D780" s="9"/>
      <c r="E780" s="9"/>
      <c r="F780" s="9"/>
      <c r="G780" s="9"/>
      <c r="H780" s="9"/>
      <c r="I780" s="10" t="str">
        <f>IF(B780="","",IF(COUNTIF(FUSE_CI!$A:$A,B780)&gt;0,"Yes","No"))</f>
        <v/>
      </c>
      <c r="J780" s="10" t="str">
        <f t="shared" si="12"/>
        <v/>
      </c>
      <c r="K780" s="10" t="str">
        <f>IF(B780="","",IF(COUNTIF(Finding_List!$A:$A,B780)&gt;0,"Yes","No"))</f>
        <v/>
      </c>
    </row>
    <row r="781" spans="1:11" x14ac:dyDescent="0.2">
      <c r="A781" s="5"/>
      <c r="B781" s="5"/>
      <c r="C781" s="5"/>
      <c r="D781" s="5"/>
      <c r="E781" s="5"/>
      <c r="F781" s="5"/>
      <c r="G781" s="5"/>
      <c r="H781" s="5"/>
      <c r="I781" s="10" t="str">
        <f>IF(B781="","",IF(COUNTIF(FUSE_CI!$A:$A,B781)&gt;0,"Yes","No"))</f>
        <v/>
      </c>
      <c r="J781" s="10" t="str">
        <f t="shared" si="12"/>
        <v/>
      </c>
      <c r="K781" s="10" t="str">
        <f>IF(B781="","",IF(COUNTIF(Finding_List!$A:$A,B781)&gt;0,"Yes","No"))</f>
        <v/>
      </c>
    </row>
    <row r="782" spans="1:11" x14ac:dyDescent="0.2">
      <c r="A782" s="9"/>
      <c r="B782" s="9"/>
      <c r="C782" s="9"/>
      <c r="D782" s="9"/>
      <c r="E782" s="9"/>
      <c r="F782" s="9"/>
      <c r="G782" s="9"/>
      <c r="H782" s="9"/>
      <c r="I782" s="10" t="str">
        <f>IF(B782="","",IF(COUNTIF(FUSE_CI!$A:$A,B782)&gt;0,"Yes","No"))</f>
        <v/>
      </c>
      <c r="J782" s="10" t="str">
        <f t="shared" si="12"/>
        <v/>
      </c>
      <c r="K782" s="10" t="str">
        <f>IF(B782="","",IF(COUNTIF(Finding_List!$A:$A,B782)&gt;0,"Yes","No"))</f>
        <v/>
      </c>
    </row>
    <row r="783" spans="1:11" x14ac:dyDescent="0.2">
      <c r="A783" s="5"/>
      <c r="B783" s="5"/>
      <c r="C783" s="5"/>
      <c r="D783" s="5"/>
      <c r="E783" s="5"/>
      <c r="F783" s="5"/>
      <c r="G783" s="5"/>
      <c r="H783" s="5"/>
      <c r="I783" s="10" t="str">
        <f>IF(B783="","",IF(COUNTIF(FUSE_CI!$A:$A,B783)&gt;0,"Yes","No"))</f>
        <v/>
      </c>
      <c r="J783" s="10" t="str">
        <f t="shared" si="12"/>
        <v/>
      </c>
      <c r="K783" s="10" t="str">
        <f>IF(B783="","",IF(COUNTIF(Finding_List!$A:$A,B783)&gt;0,"Yes","No"))</f>
        <v/>
      </c>
    </row>
    <row r="784" spans="1:11" x14ac:dyDescent="0.2">
      <c r="A784" s="9"/>
      <c r="B784" s="9"/>
      <c r="C784" s="9"/>
      <c r="D784" s="9"/>
      <c r="E784" s="9"/>
      <c r="F784" s="9"/>
      <c r="G784" s="9"/>
      <c r="H784" s="9"/>
      <c r="I784" s="10" t="str">
        <f>IF(B784="","",IF(COUNTIF(FUSE_CI!$A:$A,B784)&gt;0,"Yes","No"))</f>
        <v/>
      </c>
      <c r="J784" s="10" t="str">
        <f t="shared" si="12"/>
        <v/>
      </c>
      <c r="K784" s="10" t="str">
        <f>IF(B784="","",IF(COUNTIF(Finding_List!$A:$A,B784)&gt;0,"Yes","No"))</f>
        <v/>
      </c>
    </row>
    <row r="785" spans="1:11" x14ac:dyDescent="0.2">
      <c r="A785" s="5"/>
      <c r="B785" s="5"/>
      <c r="C785" s="5"/>
      <c r="D785" s="5"/>
      <c r="E785" s="5"/>
      <c r="F785" s="5"/>
      <c r="G785" s="5"/>
      <c r="H785" s="5"/>
      <c r="I785" s="10" t="str">
        <f>IF(B785="","",IF(COUNTIF(FUSE_CI!$A:$A,B785)&gt;0,"Yes","No"))</f>
        <v/>
      </c>
      <c r="J785" s="10" t="str">
        <f t="shared" si="12"/>
        <v/>
      </c>
      <c r="K785" s="10" t="str">
        <f>IF(B785="","",IF(COUNTIF(Finding_List!$A:$A,B785)&gt;0,"Yes","No"))</f>
        <v/>
      </c>
    </row>
    <row r="786" spans="1:11" x14ac:dyDescent="0.2">
      <c r="A786" s="9"/>
      <c r="B786" s="9"/>
      <c r="C786" s="9"/>
      <c r="D786" s="9"/>
      <c r="E786" s="9"/>
      <c r="F786" s="9"/>
      <c r="G786" s="9"/>
      <c r="H786" s="9"/>
      <c r="I786" s="10" t="str">
        <f>IF(B786="","",IF(COUNTIF(FUSE_CI!$A:$A,B786)&gt;0,"Yes","No"))</f>
        <v/>
      </c>
      <c r="J786" s="10" t="str">
        <f t="shared" si="12"/>
        <v/>
      </c>
      <c r="K786" s="10" t="str">
        <f>IF(B786="","",IF(COUNTIF(Finding_List!$A:$A,B786)&gt;0,"Yes","No"))</f>
        <v/>
      </c>
    </row>
    <row r="787" spans="1:11" x14ac:dyDescent="0.2">
      <c r="A787" s="5"/>
      <c r="B787" s="5"/>
      <c r="C787" s="5"/>
      <c r="D787" s="5"/>
      <c r="E787" s="5"/>
      <c r="F787" s="5"/>
      <c r="G787" s="5"/>
      <c r="H787" s="5"/>
      <c r="I787" s="10" t="str">
        <f>IF(B787="","",IF(COUNTIF(FUSE_CI!$A:$A,B787)&gt;0,"Yes","No"))</f>
        <v/>
      </c>
      <c r="J787" s="10" t="str">
        <f t="shared" si="12"/>
        <v/>
      </c>
      <c r="K787" s="10" t="str">
        <f>IF(B787="","",IF(COUNTIF(Finding_List!$A:$A,B787)&gt;0,"Yes","No"))</f>
        <v/>
      </c>
    </row>
    <row r="788" spans="1:11" x14ac:dyDescent="0.2">
      <c r="A788" s="9"/>
      <c r="B788" s="9"/>
      <c r="C788" s="9"/>
      <c r="D788" s="9"/>
      <c r="E788" s="9"/>
      <c r="F788" s="9"/>
      <c r="G788" s="9"/>
      <c r="H788" s="9"/>
      <c r="I788" s="10" t="str">
        <f>IF(B788="","",IF(COUNTIF(FUSE_CI!$A:$A,B788)&gt;0,"Yes","No"))</f>
        <v/>
      </c>
      <c r="J788" s="10" t="str">
        <f t="shared" si="12"/>
        <v/>
      </c>
      <c r="K788" s="10" t="str">
        <f>IF(B788="","",IF(COUNTIF(Finding_List!$A:$A,B788)&gt;0,"Yes","No"))</f>
        <v/>
      </c>
    </row>
    <row r="789" spans="1:11" x14ac:dyDescent="0.2">
      <c r="A789" s="5"/>
      <c r="B789" s="5"/>
      <c r="C789" s="5"/>
      <c r="D789" s="5"/>
      <c r="E789" s="5"/>
      <c r="F789" s="5"/>
      <c r="G789" s="5"/>
      <c r="H789" s="5"/>
      <c r="I789" s="10" t="str">
        <f>IF(B789="","",IF(COUNTIF(FUSE_CI!$A:$A,B789)&gt;0,"Yes","No"))</f>
        <v/>
      </c>
      <c r="J789" s="10" t="str">
        <f t="shared" si="12"/>
        <v/>
      </c>
      <c r="K789" s="10" t="str">
        <f>IF(B789="","",IF(COUNTIF(Finding_List!$A:$A,B789)&gt;0,"Yes","No"))</f>
        <v/>
      </c>
    </row>
    <row r="790" spans="1:11" x14ac:dyDescent="0.2">
      <c r="A790" s="9"/>
      <c r="B790" s="9"/>
      <c r="C790" s="9"/>
      <c r="D790" s="9"/>
      <c r="E790" s="9"/>
      <c r="F790" s="9"/>
      <c r="G790" s="9"/>
      <c r="H790" s="9"/>
      <c r="I790" s="10" t="str">
        <f>IF(B790="","",IF(COUNTIF(FUSE_CI!$A:$A,B790)&gt;0,"Yes","No"))</f>
        <v/>
      </c>
      <c r="J790" s="10" t="str">
        <f t="shared" si="12"/>
        <v/>
      </c>
      <c r="K790" s="10" t="str">
        <f>IF(B790="","",IF(COUNTIF(Finding_List!$A:$A,B790)&gt;0,"Yes","No"))</f>
        <v/>
      </c>
    </row>
    <row r="791" spans="1:11" x14ac:dyDescent="0.2">
      <c r="A791" s="5"/>
      <c r="B791" s="5"/>
      <c r="C791" s="5"/>
      <c r="D791" s="5"/>
      <c r="E791" s="5"/>
      <c r="F791" s="5"/>
      <c r="G791" s="5"/>
      <c r="H791" s="5"/>
      <c r="I791" s="10" t="str">
        <f>IF(B791="","",IF(COUNTIF(FUSE_CI!$A:$A,B791)&gt;0,"Yes","No"))</f>
        <v/>
      </c>
      <c r="J791" s="10" t="str">
        <f t="shared" si="12"/>
        <v/>
      </c>
      <c r="K791" s="10" t="str">
        <f>IF(B791="","",IF(COUNTIF(Finding_List!$A:$A,B791)&gt;0,"Yes","No"))</f>
        <v/>
      </c>
    </row>
    <row r="792" spans="1:11" x14ac:dyDescent="0.2">
      <c r="A792" s="9"/>
      <c r="B792" s="9"/>
      <c r="C792" s="9"/>
      <c r="D792" s="9"/>
      <c r="E792" s="9"/>
      <c r="F792" s="9"/>
      <c r="G792" s="9"/>
      <c r="H792" s="9"/>
      <c r="I792" s="10" t="str">
        <f>IF(B792="","",IF(COUNTIF(FUSE_CI!$A:$A,B792)&gt;0,"Yes","No"))</f>
        <v/>
      </c>
      <c r="J792" s="10" t="str">
        <f t="shared" si="12"/>
        <v/>
      </c>
      <c r="K792" s="10" t="str">
        <f>IF(B792="","",IF(COUNTIF(Finding_List!$A:$A,B792)&gt;0,"Yes","No"))</f>
        <v/>
      </c>
    </row>
    <row r="793" spans="1:11" x14ac:dyDescent="0.2">
      <c r="A793" s="5"/>
      <c r="B793" s="5"/>
      <c r="C793" s="5"/>
      <c r="D793" s="5"/>
      <c r="E793" s="5"/>
      <c r="F793" s="5"/>
      <c r="G793" s="5"/>
      <c r="H793" s="5"/>
      <c r="I793" s="10" t="str">
        <f>IF(B793="","",IF(COUNTIF(FUSE_CI!$A:$A,B793)&gt;0,"Yes","No"))</f>
        <v/>
      </c>
      <c r="J793" s="10" t="str">
        <f t="shared" si="12"/>
        <v/>
      </c>
      <c r="K793" s="10" t="str">
        <f>IF(B793="","",IF(COUNTIF(Finding_List!$A:$A,B793)&gt;0,"Yes","No"))</f>
        <v/>
      </c>
    </row>
    <row r="794" spans="1:11" x14ac:dyDescent="0.2">
      <c r="A794" s="9"/>
      <c r="B794" s="9"/>
      <c r="C794" s="9"/>
      <c r="D794" s="9"/>
      <c r="E794" s="9"/>
      <c r="F794" s="9"/>
      <c r="G794" s="9"/>
      <c r="H794" s="9"/>
      <c r="I794" s="10" t="str">
        <f>IF(B794="","",IF(COUNTIF(FUSE_CI!$A:$A,B794)&gt;0,"Yes","No"))</f>
        <v/>
      </c>
      <c r="J794" s="10" t="str">
        <f t="shared" si="12"/>
        <v/>
      </c>
      <c r="K794" s="10" t="str">
        <f>IF(B794="","",IF(COUNTIF(Finding_List!$A:$A,B794)&gt;0,"Yes","No"))</f>
        <v/>
      </c>
    </row>
    <row r="795" spans="1:11" x14ac:dyDescent="0.2">
      <c r="A795" s="5"/>
      <c r="B795" s="5"/>
      <c r="C795" s="5"/>
      <c r="D795" s="5"/>
      <c r="E795" s="5"/>
      <c r="F795" s="5"/>
      <c r="G795" s="5"/>
      <c r="H795" s="5"/>
      <c r="I795" s="10" t="str">
        <f>IF(B795="","",IF(COUNTIF(FUSE_CI!$A:$A,B795)&gt;0,"Yes","No"))</f>
        <v/>
      </c>
      <c r="J795" s="10" t="str">
        <f t="shared" si="12"/>
        <v/>
      </c>
      <c r="K795" s="10" t="str">
        <f>IF(B795="","",IF(COUNTIF(Finding_List!$A:$A,B795)&gt;0,"Yes","No"))</f>
        <v/>
      </c>
    </row>
    <row r="796" spans="1:11" x14ac:dyDescent="0.2">
      <c r="A796" s="9"/>
      <c r="B796" s="9"/>
      <c r="C796" s="9"/>
      <c r="D796" s="9"/>
      <c r="E796" s="9"/>
      <c r="F796" s="9"/>
      <c r="G796" s="9"/>
      <c r="H796" s="9"/>
      <c r="I796" s="10" t="str">
        <f>IF(B796="","",IF(COUNTIF(FUSE_CI!$A:$A,B796)&gt;0,"Yes","No"))</f>
        <v/>
      </c>
      <c r="J796" s="10" t="str">
        <f t="shared" si="12"/>
        <v/>
      </c>
      <c r="K796" s="10" t="str">
        <f>IF(B796="","",IF(COUNTIF(Finding_List!$A:$A,B796)&gt;0,"Yes","No"))</f>
        <v/>
      </c>
    </row>
    <row r="797" spans="1:11" x14ac:dyDescent="0.2">
      <c r="A797" s="5"/>
      <c r="B797" s="5"/>
      <c r="C797" s="5"/>
      <c r="D797" s="5"/>
      <c r="E797" s="5"/>
      <c r="F797" s="5"/>
      <c r="G797" s="5"/>
      <c r="H797" s="5"/>
      <c r="I797" s="10" t="str">
        <f>IF(B797="","",IF(COUNTIF(FUSE_CI!$A:$A,B797)&gt;0,"Yes","No"))</f>
        <v/>
      </c>
      <c r="J797" s="10" t="str">
        <f t="shared" si="12"/>
        <v/>
      </c>
      <c r="K797" s="10" t="str">
        <f>IF(B797="","",IF(COUNTIF(Finding_List!$A:$A,B797)&gt;0,"Yes","No"))</f>
        <v/>
      </c>
    </row>
    <row r="798" spans="1:11" x14ac:dyDescent="0.2">
      <c r="A798" s="9"/>
      <c r="B798" s="9"/>
      <c r="C798" s="9"/>
      <c r="D798" s="9"/>
      <c r="E798" s="9"/>
      <c r="F798" s="9"/>
      <c r="G798" s="9"/>
      <c r="H798" s="9"/>
      <c r="I798" s="10" t="str">
        <f>IF(B798="","",IF(COUNTIF(FUSE_CI!$A:$A,B798)&gt;0,"Yes","No"))</f>
        <v/>
      </c>
      <c r="J798" s="10" t="str">
        <f t="shared" si="12"/>
        <v/>
      </c>
      <c r="K798" s="10" t="str">
        <f>IF(B798="","",IF(COUNTIF(Finding_List!$A:$A,B798)&gt;0,"Yes","No"))</f>
        <v/>
      </c>
    </row>
    <row r="799" spans="1:11" x14ac:dyDescent="0.2">
      <c r="A799" s="5"/>
      <c r="B799" s="5"/>
      <c r="C799" s="5"/>
      <c r="D799" s="5"/>
      <c r="E799" s="5"/>
      <c r="F799" s="5"/>
      <c r="G799" s="5"/>
      <c r="H799" s="5"/>
      <c r="I799" s="10" t="str">
        <f>IF(B799="","",IF(COUNTIF(FUSE_CI!$A:$A,B799)&gt;0,"Yes","No"))</f>
        <v/>
      </c>
      <c r="J799" s="10" t="str">
        <f t="shared" si="12"/>
        <v/>
      </c>
      <c r="K799" s="10" t="str">
        <f>IF(B799="","",IF(COUNTIF(Finding_List!$A:$A,B799)&gt;0,"Yes","No"))</f>
        <v/>
      </c>
    </row>
    <row r="800" spans="1:11" x14ac:dyDescent="0.2">
      <c r="A800" s="9"/>
      <c r="B800" s="9"/>
      <c r="C800" s="9"/>
      <c r="D800" s="9"/>
      <c r="E800" s="9"/>
      <c r="F800" s="9"/>
      <c r="G800" s="9"/>
      <c r="H800" s="9"/>
      <c r="I800" s="10" t="str">
        <f>IF(B800="","",IF(COUNTIF(FUSE_CI!$A:$A,B800)&gt;0,"Yes","No"))</f>
        <v/>
      </c>
      <c r="J800" s="10" t="str">
        <f t="shared" si="12"/>
        <v/>
      </c>
      <c r="K800" s="10" t="str">
        <f>IF(B800="","",IF(COUNTIF(Finding_List!$A:$A,B800)&gt;0,"Yes","No"))</f>
        <v/>
      </c>
    </row>
    <row r="801" spans="1:11" x14ac:dyDescent="0.2">
      <c r="A801" s="5"/>
      <c r="B801" s="5"/>
      <c r="C801" s="5"/>
      <c r="D801" s="5"/>
      <c r="E801" s="5"/>
      <c r="F801" s="5"/>
      <c r="G801" s="5"/>
      <c r="H801" s="5"/>
      <c r="I801" s="10" t="str">
        <f>IF(B801="","",IF(COUNTIF(FUSE_CI!$A:$A,B801)&gt;0,"Yes","No"))</f>
        <v/>
      </c>
      <c r="J801" s="10" t="str">
        <f t="shared" si="12"/>
        <v/>
      </c>
      <c r="K801" s="10" t="str">
        <f>IF(B801="","",IF(COUNTIF(Finding_List!$A:$A,B801)&gt;0,"Yes","No"))</f>
        <v/>
      </c>
    </row>
    <row r="802" spans="1:11" x14ac:dyDescent="0.2">
      <c r="A802" s="9"/>
      <c r="B802" s="9"/>
      <c r="C802" s="9"/>
      <c r="D802" s="9"/>
      <c r="E802" s="9"/>
      <c r="F802" s="9"/>
      <c r="G802" s="9"/>
      <c r="H802" s="9"/>
      <c r="I802" s="10" t="str">
        <f>IF(B802="","",IF(COUNTIF(FUSE_CI!$A:$A,B802)&gt;0,"Yes","No"))</f>
        <v/>
      </c>
      <c r="J802" s="10" t="str">
        <f t="shared" si="12"/>
        <v/>
      </c>
      <c r="K802" s="10" t="str">
        <f>IF(B802="","",IF(COUNTIF(Finding_List!$A:$A,B802)&gt;0,"Yes","No"))</f>
        <v/>
      </c>
    </row>
    <row r="803" spans="1:11" x14ac:dyDescent="0.2">
      <c r="A803" s="5"/>
      <c r="B803" s="5"/>
      <c r="C803" s="5"/>
      <c r="D803" s="5"/>
      <c r="E803" s="5"/>
      <c r="F803" s="5"/>
      <c r="G803" s="5"/>
      <c r="H803" s="5"/>
      <c r="I803" s="10" t="str">
        <f>IF(B803="","",IF(COUNTIF(FUSE_CI!$A:$A,B803)&gt;0,"Yes","No"))</f>
        <v/>
      </c>
      <c r="J803" s="10" t="str">
        <f t="shared" si="12"/>
        <v/>
      </c>
      <c r="K803" s="10" t="str">
        <f>IF(B803="","",IF(COUNTIF(Finding_List!$A:$A,B803)&gt;0,"Yes","No"))</f>
        <v/>
      </c>
    </row>
    <row r="804" spans="1:11" x14ac:dyDescent="0.2">
      <c r="A804" s="9"/>
      <c r="B804" s="9"/>
      <c r="C804" s="9"/>
      <c r="D804" s="9"/>
      <c r="E804" s="9"/>
      <c r="F804" s="9"/>
      <c r="G804" s="9"/>
      <c r="H804" s="9"/>
      <c r="I804" s="10" t="str">
        <f>IF(B804="","",IF(COUNTIF(FUSE_CI!$A:$A,B804)&gt;0,"Yes","No"))</f>
        <v/>
      </c>
      <c r="J804" s="10" t="str">
        <f t="shared" si="12"/>
        <v/>
      </c>
      <c r="K804" s="10" t="str">
        <f>IF(B804="","",IF(COUNTIF(Finding_List!$A:$A,B804)&gt;0,"Yes","No"))</f>
        <v/>
      </c>
    </row>
    <row r="805" spans="1:11" x14ac:dyDescent="0.2">
      <c r="A805" s="5"/>
      <c r="B805" s="5"/>
      <c r="C805" s="5"/>
      <c r="D805" s="5"/>
      <c r="E805" s="5"/>
      <c r="F805" s="5"/>
      <c r="G805" s="5"/>
      <c r="H805" s="5"/>
      <c r="I805" s="10" t="str">
        <f>IF(B805="","",IF(COUNTIF(FUSE_CI!$A:$A,B805)&gt;0,"Yes","No"))</f>
        <v/>
      </c>
      <c r="J805" s="10" t="str">
        <f t="shared" si="12"/>
        <v/>
      </c>
      <c r="K805" s="10" t="str">
        <f>IF(B805="","",IF(COUNTIF(Finding_List!$A:$A,B805)&gt;0,"Yes","No"))</f>
        <v/>
      </c>
    </row>
    <row r="806" spans="1:11" x14ac:dyDescent="0.2">
      <c r="A806" s="9"/>
      <c r="B806" s="9"/>
      <c r="C806" s="9"/>
      <c r="D806" s="9"/>
      <c r="E806" s="9"/>
      <c r="F806" s="9"/>
      <c r="G806" s="9"/>
      <c r="H806" s="9"/>
      <c r="I806" s="10" t="str">
        <f>IF(B806="","",IF(COUNTIF(FUSE_CI!$A:$A,B806)&gt;0,"Yes","No"))</f>
        <v/>
      </c>
      <c r="J806" s="10" t="str">
        <f t="shared" si="12"/>
        <v/>
      </c>
      <c r="K806" s="10" t="str">
        <f>IF(B806="","",IF(COUNTIF(Finding_List!$A:$A,B806)&gt;0,"Yes","No"))</f>
        <v/>
      </c>
    </row>
    <row r="807" spans="1:11" x14ac:dyDescent="0.2">
      <c r="A807" s="5"/>
      <c r="B807" s="5"/>
      <c r="C807" s="5"/>
      <c r="D807" s="5"/>
      <c r="E807" s="5"/>
      <c r="F807" s="5"/>
      <c r="G807" s="5"/>
      <c r="H807" s="5"/>
      <c r="I807" s="10" t="str">
        <f>IF(B807="","",IF(COUNTIF(FUSE_CI!$A:$A,B807)&gt;0,"Yes","No"))</f>
        <v/>
      </c>
      <c r="J807" s="10" t="str">
        <f t="shared" si="12"/>
        <v/>
      </c>
      <c r="K807" s="10" t="str">
        <f>IF(B807="","",IF(COUNTIF(Finding_List!$A:$A,B807)&gt;0,"Yes","No"))</f>
        <v/>
      </c>
    </row>
    <row r="808" spans="1:11" x14ac:dyDescent="0.2">
      <c r="A808" s="9"/>
      <c r="B808" s="9"/>
      <c r="C808" s="9"/>
      <c r="D808" s="9"/>
      <c r="E808" s="9"/>
      <c r="F808" s="9"/>
      <c r="G808" s="9"/>
      <c r="H808" s="9"/>
      <c r="I808" s="10" t="str">
        <f>IF(B808="","",IF(COUNTIF(FUSE_CI!$A:$A,B808)&gt;0,"Yes","No"))</f>
        <v/>
      </c>
      <c r="J808" s="10" t="str">
        <f t="shared" si="12"/>
        <v/>
      </c>
      <c r="K808" s="10" t="str">
        <f>IF(B808="","",IF(COUNTIF(Finding_List!$A:$A,B808)&gt;0,"Yes","No"))</f>
        <v/>
      </c>
    </row>
    <row r="809" spans="1:11" x14ac:dyDescent="0.2">
      <c r="A809" s="5"/>
      <c r="B809" s="5"/>
      <c r="C809" s="5"/>
      <c r="D809" s="5"/>
      <c r="E809" s="5"/>
      <c r="F809" s="5"/>
      <c r="G809" s="5"/>
      <c r="H809" s="5"/>
      <c r="I809" s="10" t="str">
        <f>IF(B809="","",IF(COUNTIF(FUSE_CI!$A:$A,B809)&gt;0,"Yes","No"))</f>
        <v/>
      </c>
      <c r="J809" s="10" t="str">
        <f t="shared" si="12"/>
        <v/>
      </c>
      <c r="K809" s="10" t="str">
        <f>IF(B809="","",IF(COUNTIF(Finding_List!$A:$A,B809)&gt;0,"Yes","No"))</f>
        <v/>
      </c>
    </row>
    <row r="810" spans="1:11" x14ac:dyDescent="0.2">
      <c r="A810" s="9"/>
      <c r="B810" s="9"/>
      <c r="C810" s="9"/>
      <c r="D810" s="9"/>
      <c r="E810" s="9"/>
      <c r="F810" s="9"/>
      <c r="G810" s="9"/>
      <c r="H810" s="9"/>
      <c r="I810" s="10" t="str">
        <f>IF(B810="","",IF(COUNTIF(FUSE_CI!$A:$A,B810)&gt;0,"Yes","No"))</f>
        <v/>
      </c>
      <c r="J810" s="10" t="str">
        <f t="shared" si="12"/>
        <v/>
      </c>
      <c r="K810" s="10" t="str">
        <f>IF(B810="","",IF(COUNTIF(Finding_List!$A:$A,B810)&gt;0,"Yes","No"))</f>
        <v/>
      </c>
    </row>
    <row r="811" spans="1:11" x14ac:dyDescent="0.2">
      <c r="A811" s="5"/>
      <c r="B811" s="5"/>
      <c r="C811" s="5"/>
      <c r="D811" s="5"/>
      <c r="E811" s="5"/>
      <c r="F811" s="5"/>
      <c r="G811" s="5"/>
      <c r="H811" s="5"/>
      <c r="I811" s="10" t="str">
        <f>IF(B811="","",IF(COUNTIF(FUSE_CI!$A:$A,B811)&gt;0,"Yes","No"))</f>
        <v/>
      </c>
      <c r="J811" s="10" t="str">
        <f t="shared" si="12"/>
        <v/>
      </c>
      <c r="K811" s="10" t="str">
        <f>IF(B811="","",IF(COUNTIF(Finding_List!$A:$A,B811)&gt;0,"Yes","No"))</f>
        <v/>
      </c>
    </row>
    <row r="812" spans="1:11" x14ac:dyDescent="0.2">
      <c r="A812" s="9"/>
      <c r="B812" s="9"/>
      <c r="C812" s="9"/>
      <c r="D812" s="9"/>
      <c r="E812" s="9"/>
      <c r="F812" s="9"/>
      <c r="G812" s="9"/>
      <c r="H812" s="9"/>
      <c r="I812" s="10" t="str">
        <f>IF(B812="","",IF(COUNTIF(FUSE_CI!$A:$A,B812)&gt;0,"Yes","No"))</f>
        <v/>
      </c>
      <c r="J812" s="10" t="str">
        <f t="shared" si="12"/>
        <v/>
      </c>
      <c r="K812" s="10" t="str">
        <f>IF(B812="","",IF(COUNTIF(Finding_List!$A:$A,B812)&gt;0,"Yes","No"))</f>
        <v/>
      </c>
    </row>
    <row r="813" spans="1:11" x14ac:dyDescent="0.2">
      <c r="A813" s="5"/>
      <c r="B813" s="5"/>
      <c r="C813" s="5"/>
      <c r="D813" s="5"/>
      <c r="E813" s="5"/>
      <c r="F813" s="5"/>
      <c r="G813" s="5"/>
      <c r="H813" s="5"/>
      <c r="I813" s="10" t="str">
        <f>IF(B813="","",IF(COUNTIF(FUSE_CI!$A:$A,B813)&gt;0,"Yes","No"))</f>
        <v/>
      </c>
      <c r="J813" s="10" t="str">
        <f t="shared" si="12"/>
        <v/>
      </c>
      <c r="K813" s="10" t="str">
        <f>IF(B813="","",IF(COUNTIF(Finding_List!$A:$A,B813)&gt;0,"Yes","No"))</f>
        <v/>
      </c>
    </row>
    <row r="814" spans="1:11" x14ac:dyDescent="0.2">
      <c r="A814" s="9"/>
      <c r="B814" s="9"/>
      <c r="C814" s="9"/>
      <c r="D814" s="9"/>
      <c r="E814" s="9"/>
      <c r="F814" s="9"/>
      <c r="G814" s="9"/>
      <c r="H814" s="9"/>
      <c r="I814" s="10" t="str">
        <f>IF(B814="","",IF(COUNTIF(FUSE_CI!$A:$A,B814)&gt;0,"Yes","No"))</f>
        <v/>
      </c>
      <c r="J814" s="10" t="str">
        <f t="shared" si="12"/>
        <v/>
      </c>
      <c r="K814" s="10" t="str">
        <f>IF(B814="","",IF(COUNTIF(Finding_List!$A:$A,B814)&gt;0,"Yes","No"))</f>
        <v/>
      </c>
    </row>
    <row r="815" spans="1:11" x14ac:dyDescent="0.2">
      <c r="A815" s="5"/>
      <c r="B815" s="5"/>
      <c r="C815" s="5"/>
      <c r="D815" s="5"/>
      <c r="E815" s="5"/>
      <c r="F815" s="5"/>
      <c r="G815" s="5"/>
      <c r="H815" s="5"/>
      <c r="I815" s="10" t="str">
        <f>IF(B815="","",IF(COUNTIF(FUSE_CI!$A:$A,B815)&gt;0,"Yes","No"))</f>
        <v/>
      </c>
      <c r="J815" s="10" t="str">
        <f t="shared" si="12"/>
        <v/>
      </c>
      <c r="K815" s="10" t="str">
        <f>IF(B815="","",IF(COUNTIF(Finding_List!$A:$A,B815)&gt;0,"Yes","No"))</f>
        <v/>
      </c>
    </row>
    <row r="816" spans="1:11" x14ac:dyDescent="0.2">
      <c r="A816" s="9"/>
      <c r="B816" s="9"/>
      <c r="C816" s="9"/>
      <c r="D816" s="9"/>
      <c r="E816" s="9"/>
      <c r="F816" s="9"/>
      <c r="G816" s="9"/>
      <c r="H816" s="9"/>
      <c r="I816" s="10" t="str">
        <f>IF(B816="","",IF(COUNTIF(FUSE_CI!$A:$A,B816)&gt;0,"Yes","No"))</f>
        <v/>
      </c>
      <c r="J816" s="10" t="str">
        <f t="shared" si="12"/>
        <v/>
      </c>
      <c r="K816" s="10" t="str">
        <f>IF(B816="","",IF(COUNTIF(Finding_List!$A:$A,B816)&gt;0,"Yes","No"))</f>
        <v/>
      </c>
    </row>
    <row r="817" spans="1:11" x14ac:dyDescent="0.2">
      <c r="A817" s="5"/>
      <c r="B817" s="5"/>
      <c r="C817" s="5"/>
      <c r="D817" s="5"/>
      <c r="E817" s="5"/>
      <c r="F817" s="5"/>
      <c r="G817" s="5"/>
      <c r="H817" s="5"/>
      <c r="I817" s="10" t="str">
        <f>IF(B817="","",IF(COUNTIF(FUSE_CI!$A:$A,B817)&gt;0,"Yes","No"))</f>
        <v/>
      </c>
      <c r="J817" s="10" t="str">
        <f t="shared" si="12"/>
        <v/>
      </c>
      <c r="K817" s="10" t="str">
        <f>IF(B817="","",IF(COUNTIF(Finding_List!$A:$A,B817)&gt;0,"Yes","No"))</f>
        <v/>
      </c>
    </row>
    <row r="818" spans="1:11" x14ac:dyDescent="0.2">
      <c r="A818" s="9"/>
      <c r="B818" s="9"/>
      <c r="C818" s="9"/>
      <c r="D818" s="9"/>
      <c r="E818" s="9"/>
      <c r="F818" s="9"/>
      <c r="G818" s="9"/>
      <c r="H818" s="9"/>
      <c r="I818" s="10" t="str">
        <f>IF(B818="","",IF(COUNTIF(FUSE_CI!$A:$A,B818)&gt;0,"Yes","No"))</f>
        <v/>
      </c>
      <c r="J818" s="10" t="str">
        <f t="shared" si="12"/>
        <v/>
      </c>
      <c r="K818" s="10" t="str">
        <f>IF(B818="","",IF(COUNTIF(Finding_List!$A:$A,B818)&gt;0,"Yes","No"))</f>
        <v/>
      </c>
    </row>
    <row r="819" spans="1:11" x14ac:dyDescent="0.2">
      <c r="A819" s="5"/>
      <c r="B819" s="5"/>
      <c r="C819" s="5"/>
      <c r="D819" s="5"/>
      <c r="E819" s="5"/>
      <c r="F819" s="5"/>
      <c r="G819" s="5"/>
      <c r="H819" s="5"/>
      <c r="I819" s="10" t="str">
        <f>IF(B819="","",IF(COUNTIF(FUSE_CI!$A:$A,B819)&gt;0,"Yes","No"))</f>
        <v/>
      </c>
      <c r="J819" s="10" t="str">
        <f t="shared" si="12"/>
        <v/>
      </c>
      <c r="K819" s="10" t="str">
        <f>IF(B819="","",IF(COUNTIF(Finding_List!$A:$A,B819)&gt;0,"Yes","No"))</f>
        <v/>
      </c>
    </row>
    <row r="820" spans="1:11" x14ac:dyDescent="0.2">
      <c r="A820" s="9"/>
      <c r="B820" s="9"/>
      <c r="C820" s="9"/>
      <c r="D820" s="9"/>
      <c r="E820" s="9"/>
      <c r="F820" s="9"/>
      <c r="G820" s="9"/>
      <c r="H820" s="9"/>
      <c r="I820" s="10" t="str">
        <f>IF(B820="","",IF(COUNTIF(FUSE_CI!$A:$A,B820)&gt;0,"Yes","No"))</f>
        <v/>
      </c>
      <c r="J820" s="10" t="str">
        <f t="shared" si="12"/>
        <v/>
      </c>
      <c r="K820" s="10" t="str">
        <f>IF(B820="","",IF(COUNTIF(Finding_List!$A:$A,B820)&gt;0,"Yes","No"))</f>
        <v/>
      </c>
    </row>
    <row r="821" spans="1:11" x14ac:dyDescent="0.2">
      <c r="A821" s="5"/>
      <c r="B821" s="5"/>
      <c r="C821" s="5"/>
      <c r="D821" s="5"/>
      <c r="E821" s="5"/>
      <c r="F821" s="5"/>
      <c r="G821" s="5"/>
      <c r="H821" s="5"/>
      <c r="I821" s="10" t="str">
        <f>IF(B821="","",IF(COUNTIF(FUSE_CI!$A:$A,B821)&gt;0,"Yes","No"))</f>
        <v/>
      </c>
      <c r="J821" s="10" t="str">
        <f t="shared" si="12"/>
        <v/>
      </c>
      <c r="K821" s="10" t="str">
        <f>IF(B821="","",IF(COUNTIF(Finding_List!$A:$A,B821)&gt;0,"Yes","No"))</f>
        <v/>
      </c>
    </row>
    <row r="822" spans="1:11" x14ac:dyDescent="0.2">
      <c r="A822" s="9"/>
      <c r="B822" s="9"/>
      <c r="C822" s="9"/>
      <c r="D822" s="9"/>
      <c r="E822" s="9"/>
      <c r="F822" s="9"/>
      <c r="G822" s="9"/>
      <c r="H822" s="9"/>
      <c r="I822" s="10" t="str">
        <f>IF(B822="","",IF(COUNTIF(FUSE_CI!$A:$A,B822)&gt;0,"Yes","No"))</f>
        <v/>
      </c>
      <c r="J822" s="10" t="str">
        <f t="shared" si="12"/>
        <v/>
      </c>
      <c r="K822" s="10" t="str">
        <f>IF(B822="","",IF(COUNTIF(Finding_List!$A:$A,B822)&gt;0,"Yes","No"))</f>
        <v/>
      </c>
    </row>
    <row r="823" spans="1:11" x14ac:dyDescent="0.2">
      <c r="A823" s="5"/>
      <c r="B823" s="5"/>
      <c r="C823" s="5"/>
      <c r="D823" s="5"/>
      <c r="E823" s="5"/>
      <c r="F823" s="5"/>
      <c r="G823" s="5"/>
      <c r="H823" s="5"/>
      <c r="I823" s="10" t="str">
        <f>IF(B823="","",IF(COUNTIF(FUSE_CI!$A:$A,B823)&gt;0,"Yes","No"))</f>
        <v/>
      </c>
      <c r="J823" s="10" t="str">
        <f t="shared" si="12"/>
        <v/>
      </c>
      <c r="K823" s="10" t="str">
        <f>IF(B823="","",IF(COUNTIF(Finding_List!$A:$A,B823)&gt;0,"Yes","No"))</f>
        <v/>
      </c>
    </row>
    <row r="824" spans="1:11" x14ac:dyDescent="0.2">
      <c r="A824" s="9"/>
      <c r="B824" s="9"/>
      <c r="C824" s="9"/>
      <c r="D824" s="9"/>
      <c r="E824" s="9"/>
      <c r="F824" s="9"/>
      <c r="G824" s="9"/>
      <c r="H824" s="9"/>
      <c r="I824" s="10" t="str">
        <f>IF(B824="","",IF(COUNTIF(FUSE_CI!$A:$A,B824)&gt;0,"Yes","No"))</f>
        <v/>
      </c>
      <c r="J824" s="10" t="str">
        <f t="shared" si="12"/>
        <v/>
      </c>
      <c r="K824" s="10" t="str">
        <f>IF(B824="","",IF(COUNTIF(Finding_List!$A:$A,B824)&gt;0,"Yes","No"))</f>
        <v/>
      </c>
    </row>
    <row r="825" spans="1:11" x14ac:dyDescent="0.2">
      <c r="A825" s="5"/>
      <c r="B825" s="5"/>
      <c r="C825" s="5"/>
      <c r="D825" s="5"/>
      <c r="E825" s="5"/>
      <c r="F825" s="5"/>
      <c r="G825" s="5"/>
      <c r="H825" s="5"/>
      <c r="I825" s="10" t="str">
        <f>IF(B825="","",IF(COUNTIF(FUSE_CI!$A:$A,B825)&gt;0,"Yes","No"))</f>
        <v/>
      </c>
      <c r="J825" s="10" t="str">
        <f t="shared" si="12"/>
        <v/>
      </c>
      <c r="K825" s="10" t="str">
        <f>IF(B825="","",IF(COUNTIF(Finding_List!$A:$A,B825)&gt;0,"Yes","No"))</f>
        <v/>
      </c>
    </row>
    <row r="826" spans="1:11" x14ac:dyDescent="0.2">
      <c r="A826" s="9"/>
      <c r="B826" s="9"/>
      <c r="C826" s="9"/>
      <c r="D826" s="9"/>
      <c r="E826" s="9"/>
      <c r="F826" s="9"/>
      <c r="G826" s="9"/>
      <c r="H826" s="9"/>
      <c r="I826" s="10" t="str">
        <f>IF(B826="","",IF(COUNTIF(FUSE_CI!$A:$A,B826)&gt;0,"Yes","No"))</f>
        <v/>
      </c>
      <c r="J826" s="10" t="str">
        <f t="shared" si="12"/>
        <v/>
      </c>
      <c r="K826" s="10" t="str">
        <f>IF(B826="","",IF(COUNTIF(Finding_List!$A:$A,B826)&gt;0,"Yes","No"))</f>
        <v/>
      </c>
    </row>
    <row r="827" spans="1:11" x14ac:dyDescent="0.2">
      <c r="A827" s="5"/>
      <c r="B827" s="5"/>
      <c r="C827" s="5"/>
      <c r="D827" s="5"/>
      <c r="E827" s="5"/>
      <c r="F827" s="5"/>
      <c r="G827" s="5"/>
      <c r="H827" s="5"/>
      <c r="I827" s="10" t="str">
        <f>IF(B827="","",IF(COUNTIF(FUSE_CI!$A:$A,B827)&gt;0,"Yes","No"))</f>
        <v/>
      </c>
      <c r="J827" s="10" t="str">
        <f t="shared" si="12"/>
        <v/>
      </c>
      <c r="K827" s="10" t="str">
        <f>IF(B827="","",IF(COUNTIF(Finding_List!$A:$A,B827)&gt;0,"Yes","No"))</f>
        <v/>
      </c>
    </row>
    <row r="828" spans="1:11" x14ac:dyDescent="0.2">
      <c r="A828" s="9"/>
      <c r="B828" s="9"/>
      <c r="C828" s="9"/>
      <c r="D828" s="9"/>
      <c r="E828" s="9"/>
      <c r="F828" s="9"/>
      <c r="G828" s="9"/>
      <c r="H828" s="9"/>
      <c r="I828" s="10" t="str">
        <f>IF(B828="","",IF(COUNTIF(FUSE_CI!$A:$A,B828)&gt;0,"Yes","No"))</f>
        <v/>
      </c>
      <c r="J828" s="10" t="str">
        <f t="shared" si="12"/>
        <v/>
      </c>
      <c r="K828" s="10" t="str">
        <f>IF(B828="","",IF(COUNTIF(Finding_List!$A:$A,B828)&gt;0,"Yes","No"))</f>
        <v/>
      </c>
    </row>
    <row r="829" spans="1:11" x14ac:dyDescent="0.2">
      <c r="A829" s="5"/>
      <c r="B829" s="5"/>
      <c r="C829" s="5"/>
      <c r="D829" s="5"/>
      <c r="E829" s="5"/>
      <c r="F829" s="5"/>
      <c r="G829" s="5"/>
      <c r="H829" s="5"/>
      <c r="I829" s="10" t="str">
        <f>IF(B829="","",IF(COUNTIF(FUSE_CI!$A:$A,B829)&gt;0,"Yes","No"))</f>
        <v/>
      </c>
      <c r="J829" s="10" t="str">
        <f t="shared" si="12"/>
        <v/>
      </c>
      <c r="K829" s="10" t="str">
        <f>IF(B829="","",IF(COUNTIF(Finding_List!$A:$A,B829)&gt;0,"Yes","No"))</f>
        <v/>
      </c>
    </row>
    <row r="830" spans="1:11" x14ac:dyDescent="0.2">
      <c r="A830" s="9"/>
      <c r="B830" s="9"/>
      <c r="C830" s="9"/>
      <c r="D830" s="9"/>
      <c r="E830" s="9"/>
      <c r="F830" s="9"/>
      <c r="G830" s="9"/>
      <c r="H830" s="9"/>
      <c r="I830" s="10" t="str">
        <f>IF(B830="","",IF(COUNTIF(FUSE_CI!$A:$A,B830)&gt;0,"Yes","No"))</f>
        <v/>
      </c>
      <c r="J830" s="10" t="str">
        <f t="shared" si="12"/>
        <v/>
      </c>
      <c r="K830" s="10" t="str">
        <f>IF(B830="","",IF(COUNTIF(Finding_List!$A:$A,B830)&gt;0,"Yes","No"))</f>
        <v/>
      </c>
    </row>
    <row r="831" spans="1:11" x14ac:dyDescent="0.2">
      <c r="A831" s="5"/>
      <c r="B831" s="5"/>
      <c r="C831" s="5"/>
      <c r="D831" s="5"/>
      <c r="E831" s="5"/>
      <c r="F831" s="5"/>
      <c r="G831" s="5"/>
      <c r="H831" s="5"/>
      <c r="I831" s="10" t="str">
        <f>IF(B831="","",IF(COUNTIF(FUSE_CI!$A:$A,B831)&gt;0,"Yes","No"))</f>
        <v/>
      </c>
      <c r="J831" s="10" t="str">
        <f t="shared" si="12"/>
        <v/>
      </c>
      <c r="K831" s="10" t="str">
        <f>IF(B831="","",IF(COUNTIF(Finding_List!$A:$A,B831)&gt;0,"Yes","No"))</f>
        <v/>
      </c>
    </row>
    <row r="832" spans="1:11" x14ac:dyDescent="0.2">
      <c r="A832" s="9"/>
      <c r="B832" s="9"/>
      <c r="C832" s="9"/>
      <c r="D832" s="9"/>
      <c r="E832" s="9"/>
      <c r="F832" s="9"/>
      <c r="G832" s="9"/>
      <c r="H832" s="9"/>
      <c r="I832" s="10" t="str">
        <f>IF(B832="","",IF(COUNTIF(FUSE_CI!$A:$A,B832)&gt;0,"Yes","No"))</f>
        <v/>
      </c>
      <c r="J832" s="10" t="str">
        <f t="shared" si="12"/>
        <v/>
      </c>
      <c r="K832" s="10" t="str">
        <f>IF(B832="","",IF(COUNTIF(Finding_List!$A:$A,B832)&gt;0,"Yes","No"))</f>
        <v/>
      </c>
    </row>
    <row r="833" spans="1:11" x14ac:dyDescent="0.2">
      <c r="A833" s="5"/>
      <c r="B833" s="5"/>
      <c r="C833" s="5"/>
      <c r="D833" s="5"/>
      <c r="E833" s="5"/>
      <c r="F833" s="5"/>
      <c r="G833" s="5"/>
      <c r="H833" s="5"/>
      <c r="I833" s="10" t="str">
        <f>IF(B833="","",IF(COUNTIF(FUSE_CI!$A:$A,B833)&gt;0,"Yes","No"))</f>
        <v/>
      </c>
      <c r="J833" s="10" t="str">
        <f t="shared" si="12"/>
        <v/>
      </c>
      <c r="K833" s="10" t="str">
        <f>IF(B833="","",IF(COUNTIF(Finding_List!$A:$A,B833)&gt;0,"Yes","No"))</f>
        <v/>
      </c>
    </row>
    <row r="834" spans="1:11" x14ac:dyDescent="0.2">
      <c r="A834" s="9"/>
      <c r="B834" s="9"/>
      <c r="C834" s="9"/>
      <c r="D834" s="9"/>
      <c r="E834" s="9"/>
      <c r="F834" s="9"/>
      <c r="G834" s="9"/>
      <c r="H834" s="9"/>
      <c r="I834" s="10" t="str">
        <f>IF(B834="","",IF(COUNTIF(FUSE_CI!$A:$A,B834)&gt;0,"Yes","No"))</f>
        <v/>
      </c>
      <c r="J834" s="10" t="str">
        <f t="shared" si="12"/>
        <v/>
      </c>
      <c r="K834" s="10" t="str">
        <f>IF(B834="","",IF(COUNTIF(Finding_List!$A:$A,B834)&gt;0,"Yes","No"))</f>
        <v/>
      </c>
    </row>
    <row r="835" spans="1:11" x14ac:dyDescent="0.2">
      <c r="A835" s="5"/>
      <c r="B835" s="5"/>
      <c r="C835" s="5"/>
      <c r="D835" s="5"/>
      <c r="E835" s="5"/>
      <c r="F835" s="5"/>
      <c r="G835" s="5"/>
      <c r="H835" s="5"/>
      <c r="I835" s="10" t="str">
        <f>IF(B835="","",IF(COUNTIF(FUSE_CI!$A:$A,B835)&gt;0,"Yes","No"))</f>
        <v/>
      </c>
      <c r="J835" s="10" t="str">
        <f t="shared" si="12"/>
        <v/>
      </c>
      <c r="K835" s="10" t="str">
        <f>IF(B835="","",IF(COUNTIF(Finding_List!$A:$A,B835)&gt;0,"Yes","No"))</f>
        <v/>
      </c>
    </row>
    <row r="836" spans="1:11" x14ac:dyDescent="0.2">
      <c r="A836" s="9"/>
      <c r="B836" s="9"/>
      <c r="C836" s="9"/>
      <c r="D836" s="9"/>
      <c r="E836" s="9"/>
      <c r="F836" s="9"/>
      <c r="G836" s="9"/>
      <c r="H836" s="9"/>
      <c r="I836" s="10" t="str">
        <f>IF(B836="","",IF(COUNTIF(FUSE_CI!$A:$A,B836)&gt;0,"Yes","No"))</f>
        <v/>
      </c>
      <c r="J836" s="10" t="str">
        <f t="shared" ref="J836:J899" si="13">IF(B836="","",IF(AND(D836&lt;&gt;"High",D836&lt;&gt;"Very High",I836="Yes",K836="No"),"Fast Follower","Not Eligible"))</f>
        <v/>
      </c>
      <c r="K836" s="10" t="str">
        <f>IF(B836="","",IF(COUNTIF(Finding_List!$A:$A,B836)&gt;0,"Yes","No"))</f>
        <v/>
      </c>
    </row>
    <row r="837" spans="1:11" x14ac:dyDescent="0.2">
      <c r="A837" s="5"/>
      <c r="B837" s="5"/>
      <c r="C837" s="5"/>
      <c r="D837" s="5"/>
      <c r="E837" s="5"/>
      <c r="F837" s="5"/>
      <c r="G837" s="5"/>
      <c r="H837" s="5"/>
      <c r="I837" s="10" t="str">
        <f>IF(B837="","",IF(COUNTIF(FUSE_CI!$A:$A,B837)&gt;0,"Yes","No"))</f>
        <v/>
      </c>
      <c r="J837" s="10" t="str">
        <f t="shared" si="13"/>
        <v/>
      </c>
      <c r="K837" s="10" t="str">
        <f>IF(B837="","",IF(COUNTIF(Finding_List!$A:$A,B837)&gt;0,"Yes","No"))</f>
        <v/>
      </c>
    </row>
    <row r="838" spans="1:11" x14ac:dyDescent="0.2">
      <c r="A838" s="9"/>
      <c r="B838" s="9"/>
      <c r="C838" s="9"/>
      <c r="D838" s="9"/>
      <c r="E838" s="9"/>
      <c r="F838" s="9"/>
      <c r="G838" s="9"/>
      <c r="H838" s="9"/>
      <c r="I838" s="10" t="str">
        <f>IF(B838="","",IF(COUNTIF(FUSE_CI!$A:$A,B838)&gt;0,"Yes","No"))</f>
        <v/>
      </c>
      <c r="J838" s="10" t="str">
        <f t="shared" si="13"/>
        <v/>
      </c>
      <c r="K838" s="10" t="str">
        <f>IF(B838="","",IF(COUNTIF(Finding_List!$A:$A,B838)&gt;0,"Yes","No"))</f>
        <v/>
      </c>
    </row>
    <row r="839" spans="1:11" x14ac:dyDescent="0.2">
      <c r="A839" s="5"/>
      <c r="B839" s="5"/>
      <c r="C839" s="5"/>
      <c r="D839" s="5"/>
      <c r="E839" s="5"/>
      <c r="F839" s="5"/>
      <c r="G839" s="5"/>
      <c r="H839" s="5"/>
      <c r="I839" s="10" t="str">
        <f>IF(B839="","",IF(COUNTIF(FUSE_CI!$A:$A,B839)&gt;0,"Yes","No"))</f>
        <v/>
      </c>
      <c r="J839" s="10" t="str">
        <f t="shared" si="13"/>
        <v/>
      </c>
      <c r="K839" s="10" t="str">
        <f>IF(B839="","",IF(COUNTIF(Finding_List!$A:$A,B839)&gt;0,"Yes","No"))</f>
        <v/>
      </c>
    </row>
    <row r="840" spans="1:11" x14ac:dyDescent="0.2">
      <c r="A840" s="9"/>
      <c r="B840" s="9"/>
      <c r="C840" s="9"/>
      <c r="D840" s="9"/>
      <c r="E840" s="9"/>
      <c r="F840" s="9"/>
      <c r="G840" s="9"/>
      <c r="H840" s="9"/>
      <c r="I840" s="10" t="str">
        <f>IF(B840="","",IF(COUNTIF(FUSE_CI!$A:$A,B840)&gt;0,"Yes","No"))</f>
        <v/>
      </c>
      <c r="J840" s="10" t="str">
        <f t="shared" si="13"/>
        <v/>
      </c>
      <c r="K840" s="10" t="str">
        <f>IF(B840="","",IF(COUNTIF(Finding_List!$A:$A,B840)&gt;0,"Yes","No"))</f>
        <v/>
      </c>
    </row>
    <row r="841" spans="1:11" x14ac:dyDescent="0.2">
      <c r="A841" s="5"/>
      <c r="B841" s="5"/>
      <c r="C841" s="5"/>
      <c r="D841" s="5"/>
      <c r="E841" s="5"/>
      <c r="F841" s="5"/>
      <c r="G841" s="5"/>
      <c r="H841" s="5"/>
      <c r="I841" s="10" t="str">
        <f>IF(B841="","",IF(COUNTIF(FUSE_CI!$A:$A,B841)&gt;0,"Yes","No"))</f>
        <v/>
      </c>
      <c r="J841" s="10" t="str">
        <f t="shared" si="13"/>
        <v/>
      </c>
      <c r="K841" s="10" t="str">
        <f>IF(B841="","",IF(COUNTIF(Finding_List!$A:$A,B841)&gt;0,"Yes","No"))</f>
        <v/>
      </c>
    </row>
    <row r="842" spans="1:11" x14ac:dyDescent="0.2">
      <c r="A842" s="9"/>
      <c r="B842" s="9"/>
      <c r="C842" s="9"/>
      <c r="D842" s="9"/>
      <c r="E842" s="9"/>
      <c r="F842" s="9"/>
      <c r="G842" s="9"/>
      <c r="H842" s="9"/>
      <c r="I842" s="10" t="str">
        <f>IF(B842="","",IF(COUNTIF(FUSE_CI!$A:$A,B842)&gt;0,"Yes","No"))</f>
        <v/>
      </c>
      <c r="J842" s="10" t="str">
        <f t="shared" si="13"/>
        <v/>
      </c>
      <c r="K842" s="10" t="str">
        <f>IF(B842="","",IF(COUNTIF(Finding_List!$A:$A,B842)&gt;0,"Yes","No"))</f>
        <v/>
      </c>
    </row>
    <row r="843" spans="1:11" x14ac:dyDescent="0.2">
      <c r="A843" s="5"/>
      <c r="B843" s="5"/>
      <c r="C843" s="5"/>
      <c r="D843" s="5"/>
      <c r="E843" s="5"/>
      <c r="F843" s="5"/>
      <c r="G843" s="5"/>
      <c r="H843" s="5"/>
      <c r="I843" s="10" t="str">
        <f>IF(B843="","",IF(COUNTIF(FUSE_CI!$A:$A,B843)&gt;0,"Yes","No"))</f>
        <v/>
      </c>
      <c r="J843" s="10" t="str">
        <f t="shared" si="13"/>
        <v/>
      </c>
      <c r="K843" s="10" t="str">
        <f>IF(B843="","",IF(COUNTIF(Finding_List!$A:$A,B843)&gt;0,"Yes","No"))</f>
        <v/>
      </c>
    </row>
    <row r="844" spans="1:11" x14ac:dyDescent="0.2">
      <c r="A844" s="9"/>
      <c r="B844" s="9"/>
      <c r="C844" s="9"/>
      <c r="D844" s="9"/>
      <c r="E844" s="9"/>
      <c r="F844" s="9"/>
      <c r="G844" s="9"/>
      <c r="H844" s="9"/>
      <c r="I844" s="10" t="str">
        <f>IF(B844="","",IF(COUNTIF(FUSE_CI!$A:$A,B844)&gt;0,"Yes","No"))</f>
        <v/>
      </c>
      <c r="J844" s="10" t="str">
        <f t="shared" si="13"/>
        <v/>
      </c>
      <c r="K844" s="10" t="str">
        <f>IF(B844="","",IF(COUNTIF(Finding_List!$A:$A,B844)&gt;0,"Yes","No"))</f>
        <v/>
      </c>
    </row>
    <row r="845" spans="1:11" x14ac:dyDescent="0.2">
      <c r="A845" s="5"/>
      <c r="B845" s="5"/>
      <c r="C845" s="5"/>
      <c r="D845" s="5"/>
      <c r="E845" s="5"/>
      <c r="F845" s="5"/>
      <c r="G845" s="5"/>
      <c r="H845" s="5"/>
      <c r="I845" s="10" t="str">
        <f>IF(B845="","",IF(COUNTIF(FUSE_CI!$A:$A,B845)&gt;0,"Yes","No"))</f>
        <v/>
      </c>
      <c r="J845" s="10" t="str">
        <f t="shared" si="13"/>
        <v/>
      </c>
      <c r="K845" s="10" t="str">
        <f>IF(B845="","",IF(COUNTIF(Finding_List!$A:$A,B845)&gt;0,"Yes","No"))</f>
        <v/>
      </c>
    </row>
    <row r="846" spans="1:11" x14ac:dyDescent="0.2">
      <c r="A846" s="9"/>
      <c r="B846" s="9"/>
      <c r="C846" s="9"/>
      <c r="D846" s="9"/>
      <c r="E846" s="9"/>
      <c r="F846" s="9"/>
      <c r="G846" s="9"/>
      <c r="H846" s="9"/>
      <c r="I846" s="10" t="str">
        <f>IF(B846="","",IF(COUNTIF(FUSE_CI!$A:$A,B846)&gt;0,"Yes","No"))</f>
        <v/>
      </c>
      <c r="J846" s="10" t="str">
        <f t="shared" si="13"/>
        <v/>
      </c>
      <c r="K846" s="10" t="str">
        <f>IF(B846="","",IF(COUNTIF(Finding_List!$A:$A,B846)&gt;0,"Yes","No"))</f>
        <v/>
      </c>
    </row>
    <row r="847" spans="1:11" x14ac:dyDescent="0.2">
      <c r="A847" s="5"/>
      <c r="B847" s="5"/>
      <c r="C847" s="5"/>
      <c r="D847" s="5"/>
      <c r="E847" s="5"/>
      <c r="F847" s="5"/>
      <c r="G847" s="5"/>
      <c r="H847" s="5"/>
      <c r="I847" s="10" t="str">
        <f>IF(B847="","",IF(COUNTIF(FUSE_CI!$A:$A,B847)&gt;0,"Yes","No"))</f>
        <v/>
      </c>
      <c r="J847" s="10" t="str">
        <f t="shared" si="13"/>
        <v/>
      </c>
      <c r="K847" s="10" t="str">
        <f>IF(B847="","",IF(COUNTIF(Finding_List!$A:$A,B847)&gt;0,"Yes","No"))</f>
        <v/>
      </c>
    </row>
    <row r="848" spans="1:11" x14ac:dyDescent="0.2">
      <c r="A848" s="9"/>
      <c r="B848" s="9"/>
      <c r="C848" s="9"/>
      <c r="D848" s="9"/>
      <c r="E848" s="9"/>
      <c r="F848" s="9"/>
      <c r="G848" s="9"/>
      <c r="H848" s="9"/>
      <c r="I848" s="10" t="str">
        <f>IF(B848="","",IF(COUNTIF(FUSE_CI!$A:$A,B848)&gt;0,"Yes","No"))</f>
        <v/>
      </c>
      <c r="J848" s="10" t="str">
        <f t="shared" si="13"/>
        <v/>
      </c>
      <c r="K848" s="10" t="str">
        <f>IF(B848="","",IF(COUNTIF(Finding_List!$A:$A,B848)&gt;0,"Yes","No"))</f>
        <v/>
      </c>
    </row>
    <row r="849" spans="1:11" x14ac:dyDescent="0.2">
      <c r="A849" s="5"/>
      <c r="B849" s="5"/>
      <c r="C849" s="5"/>
      <c r="D849" s="5"/>
      <c r="E849" s="5"/>
      <c r="F849" s="5"/>
      <c r="G849" s="5"/>
      <c r="H849" s="5"/>
      <c r="I849" s="10" t="str">
        <f>IF(B849="","",IF(COUNTIF(FUSE_CI!$A:$A,B849)&gt;0,"Yes","No"))</f>
        <v/>
      </c>
      <c r="J849" s="10" t="str">
        <f t="shared" si="13"/>
        <v/>
      </c>
      <c r="K849" s="10" t="str">
        <f>IF(B849="","",IF(COUNTIF(Finding_List!$A:$A,B849)&gt;0,"Yes","No"))</f>
        <v/>
      </c>
    </row>
    <row r="850" spans="1:11" x14ac:dyDescent="0.2">
      <c r="A850" s="9"/>
      <c r="B850" s="9"/>
      <c r="C850" s="9"/>
      <c r="D850" s="9"/>
      <c r="E850" s="9"/>
      <c r="F850" s="9"/>
      <c r="G850" s="9"/>
      <c r="H850" s="9"/>
      <c r="I850" s="10" t="str">
        <f>IF(B850="","",IF(COUNTIF(FUSE_CI!$A:$A,B850)&gt;0,"Yes","No"))</f>
        <v/>
      </c>
      <c r="J850" s="10" t="str">
        <f t="shared" si="13"/>
        <v/>
      </c>
      <c r="K850" s="10" t="str">
        <f>IF(B850="","",IF(COUNTIF(Finding_List!$A:$A,B850)&gt;0,"Yes","No"))</f>
        <v/>
      </c>
    </row>
    <row r="851" spans="1:11" x14ac:dyDescent="0.2">
      <c r="A851" s="5"/>
      <c r="B851" s="5"/>
      <c r="C851" s="5"/>
      <c r="D851" s="5"/>
      <c r="E851" s="5"/>
      <c r="F851" s="5"/>
      <c r="G851" s="5"/>
      <c r="H851" s="5"/>
      <c r="I851" s="10" t="str">
        <f>IF(B851="","",IF(COUNTIF(FUSE_CI!$A:$A,B851)&gt;0,"Yes","No"))</f>
        <v/>
      </c>
      <c r="J851" s="10" t="str">
        <f t="shared" si="13"/>
        <v/>
      </c>
      <c r="K851" s="10" t="str">
        <f>IF(B851="","",IF(COUNTIF(Finding_List!$A:$A,B851)&gt;0,"Yes","No"))</f>
        <v/>
      </c>
    </row>
    <row r="852" spans="1:11" x14ac:dyDescent="0.2">
      <c r="A852" s="9"/>
      <c r="B852" s="9"/>
      <c r="C852" s="9"/>
      <c r="D852" s="9"/>
      <c r="E852" s="9"/>
      <c r="F852" s="9"/>
      <c r="G852" s="9"/>
      <c r="H852" s="9"/>
      <c r="I852" s="10" t="str">
        <f>IF(B852="","",IF(COUNTIF(FUSE_CI!$A:$A,B852)&gt;0,"Yes","No"))</f>
        <v/>
      </c>
      <c r="J852" s="10" t="str">
        <f t="shared" si="13"/>
        <v/>
      </c>
      <c r="K852" s="10" t="str">
        <f>IF(B852="","",IF(COUNTIF(Finding_List!$A:$A,B852)&gt;0,"Yes","No"))</f>
        <v/>
      </c>
    </row>
    <row r="853" spans="1:11" x14ac:dyDescent="0.2">
      <c r="A853" s="5"/>
      <c r="B853" s="5"/>
      <c r="C853" s="5"/>
      <c r="D853" s="5"/>
      <c r="E853" s="5"/>
      <c r="F853" s="5"/>
      <c r="G853" s="5"/>
      <c r="H853" s="5"/>
      <c r="I853" s="10" t="str">
        <f>IF(B853="","",IF(COUNTIF(FUSE_CI!$A:$A,B853)&gt;0,"Yes","No"))</f>
        <v/>
      </c>
      <c r="J853" s="10" t="str">
        <f t="shared" si="13"/>
        <v/>
      </c>
      <c r="K853" s="10" t="str">
        <f>IF(B853="","",IF(COUNTIF(Finding_List!$A:$A,B853)&gt;0,"Yes","No"))</f>
        <v/>
      </c>
    </row>
    <row r="854" spans="1:11" x14ac:dyDescent="0.2">
      <c r="A854" s="9"/>
      <c r="B854" s="9"/>
      <c r="C854" s="9"/>
      <c r="D854" s="9"/>
      <c r="E854" s="9"/>
      <c r="F854" s="9"/>
      <c r="G854" s="9"/>
      <c r="H854" s="9"/>
      <c r="I854" s="10" t="str">
        <f>IF(B854="","",IF(COUNTIF(FUSE_CI!$A:$A,B854)&gt;0,"Yes","No"))</f>
        <v/>
      </c>
      <c r="J854" s="10" t="str">
        <f t="shared" si="13"/>
        <v/>
      </c>
      <c r="K854" s="10" t="str">
        <f>IF(B854="","",IF(COUNTIF(Finding_List!$A:$A,B854)&gt;0,"Yes","No"))</f>
        <v/>
      </c>
    </row>
    <row r="855" spans="1:11" x14ac:dyDescent="0.2">
      <c r="A855" s="5"/>
      <c r="B855" s="5"/>
      <c r="C855" s="5"/>
      <c r="D855" s="5"/>
      <c r="E855" s="5"/>
      <c r="F855" s="5"/>
      <c r="G855" s="5"/>
      <c r="H855" s="5"/>
      <c r="I855" s="10" t="str">
        <f>IF(B855="","",IF(COUNTIF(FUSE_CI!$A:$A,B855)&gt;0,"Yes","No"))</f>
        <v/>
      </c>
      <c r="J855" s="10" t="str">
        <f t="shared" si="13"/>
        <v/>
      </c>
      <c r="K855" s="10" t="str">
        <f>IF(B855="","",IF(COUNTIF(Finding_List!$A:$A,B855)&gt;0,"Yes","No"))</f>
        <v/>
      </c>
    </row>
    <row r="856" spans="1:11" x14ac:dyDescent="0.2">
      <c r="A856" s="9"/>
      <c r="B856" s="9"/>
      <c r="C856" s="9"/>
      <c r="D856" s="9"/>
      <c r="E856" s="9"/>
      <c r="F856" s="9"/>
      <c r="G856" s="9"/>
      <c r="H856" s="9"/>
      <c r="I856" s="10" t="str">
        <f>IF(B856="","",IF(COUNTIF(FUSE_CI!$A:$A,B856)&gt;0,"Yes","No"))</f>
        <v/>
      </c>
      <c r="J856" s="10" t="str">
        <f t="shared" si="13"/>
        <v/>
      </c>
      <c r="K856" s="10" t="str">
        <f>IF(B856="","",IF(COUNTIF(Finding_List!$A:$A,B856)&gt;0,"Yes","No"))</f>
        <v/>
      </c>
    </row>
    <row r="857" spans="1:11" x14ac:dyDescent="0.2">
      <c r="A857" s="5"/>
      <c r="B857" s="5"/>
      <c r="C857" s="5"/>
      <c r="D857" s="5"/>
      <c r="E857" s="5"/>
      <c r="F857" s="5"/>
      <c r="G857" s="5"/>
      <c r="H857" s="5"/>
      <c r="I857" s="10" t="str">
        <f>IF(B857="","",IF(COUNTIF(FUSE_CI!$A:$A,B857)&gt;0,"Yes","No"))</f>
        <v/>
      </c>
      <c r="J857" s="10" t="str">
        <f t="shared" si="13"/>
        <v/>
      </c>
      <c r="K857" s="10" t="str">
        <f>IF(B857="","",IF(COUNTIF(Finding_List!$A:$A,B857)&gt;0,"Yes","No"))</f>
        <v/>
      </c>
    </row>
    <row r="858" spans="1:11" x14ac:dyDescent="0.2">
      <c r="A858" s="9"/>
      <c r="B858" s="9"/>
      <c r="C858" s="9"/>
      <c r="D858" s="9"/>
      <c r="E858" s="9"/>
      <c r="F858" s="9"/>
      <c r="G858" s="9"/>
      <c r="H858" s="9"/>
      <c r="I858" s="10" t="str">
        <f>IF(B858="","",IF(COUNTIF(FUSE_CI!$A:$A,B858)&gt;0,"Yes","No"))</f>
        <v/>
      </c>
      <c r="J858" s="10" t="str">
        <f t="shared" si="13"/>
        <v/>
      </c>
      <c r="K858" s="10" t="str">
        <f>IF(B858="","",IF(COUNTIF(Finding_List!$A:$A,B858)&gt;0,"Yes","No"))</f>
        <v/>
      </c>
    </row>
    <row r="859" spans="1:11" x14ac:dyDescent="0.2">
      <c r="A859" s="5"/>
      <c r="B859" s="5"/>
      <c r="C859" s="5"/>
      <c r="D859" s="5"/>
      <c r="E859" s="5"/>
      <c r="F859" s="5"/>
      <c r="G859" s="5"/>
      <c r="H859" s="5"/>
      <c r="I859" s="10" t="str">
        <f>IF(B859="","",IF(COUNTIF(FUSE_CI!$A:$A,B859)&gt;0,"Yes","No"))</f>
        <v/>
      </c>
      <c r="J859" s="10" t="str">
        <f t="shared" si="13"/>
        <v/>
      </c>
      <c r="K859" s="10" t="str">
        <f>IF(B859="","",IF(COUNTIF(Finding_List!$A:$A,B859)&gt;0,"Yes","No"))</f>
        <v/>
      </c>
    </row>
    <row r="860" spans="1:11" x14ac:dyDescent="0.2">
      <c r="A860" s="9"/>
      <c r="B860" s="9"/>
      <c r="C860" s="9"/>
      <c r="D860" s="9"/>
      <c r="E860" s="9"/>
      <c r="F860" s="9"/>
      <c r="G860" s="9"/>
      <c r="H860" s="9"/>
      <c r="I860" s="10" t="str">
        <f>IF(B860="","",IF(COUNTIF(FUSE_CI!$A:$A,B860)&gt;0,"Yes","No"))</f>
        <v/>
      </c>
      <c r="J860" s="10" t="str">
        <f t="shared" si="13"/>
        <v/>
      </c>
      <c r="K860" s="10" t="str">
        <f>IF(B860="","",IF(COUNTIF(Finding_List!$A:$A,B860)&gt;0,"Yes","No"))</f>
        <v/>
      </c>
    </row>
    <row r="861" spans="1:11" x14ac:dyDescent="0.2">
      <c r="A861" s="5"/>
      <c r="B861" s="5"/>
      <c r="C861" s="5"/>
      <c r="D861" s="5"/>
      <c r="E861" s="5"/>
      <c r="F861" s="5"/>
      <c r="G861" s="5"/>
      <c r="H861" s="5"/>
      <c r="I861" s="10" t="str">
        <f>IF(B861="","",IF(COUNTIF(FUSE_CI!$A:$A,B861)&gt;0,"Yes","No"))</f>
        <v/>
      </c>
      <c r="J861" s="10" t="str">
        <f t="shared" si="13"/>
        <v/>
      </c>
      <c r="K861" s="10" t="str">
        <f>IF(B861="","",IF(COUNTIF(Finding_List!$A:$A,B861)&gt;0,"Yes","No"))</f>
        <v/>
      </c>
    </row>
    <row r="862" spans="1:11" x14ac:dyDescent="0.2">
      <c r="A862" s="9"/>
      <c r="B862" s="9"/>
      <c r="C862" s="9"/>
      <c r="D862" s="9"/>
      <c r="E862" s="9"/>
      <c r="F862" s="9"/>
      <c r="G862" s="9"/>
      <c r="H862" s="9"/>
      <c r="I862" s="10" t="str">
        <f>IF(B862="","",IF(COUNTIF(FUSE_CI!$A:$A,B862)&gt;0,"Yes","No"))</f>
        <v/>
      </c>
      <c r="J862" s="10" t="str">
        <f t="shared" si="13"/>
        <v/>
      </c>
      <c r="K862" s="10" t="str">
        <f>IF(B862="","",IF(COUNTIF(Finding_List!$A:$A,B862)&gt;0,"Yes","No"))</f>
        <v/>
      </c>
    </row>
    <row r="863" spans="1:11" x14ac:dyDescent="0.2">
      <c r="A863" s="5"/>
      <c r="B863" s="5"/>
      <c r="C863" s="5"/>
      <c r="D863" s="5"/>
      <c r="E863" s="5"/>
      <c r="F863" s="5"/>
      <c r="G863" s="5"/>
      <c r="H863" s="5"/>
      <c r="I863" s="10" t="str">
        <f>IF(B863="","",IF(COUNTIF(FUSE_CI!$A:$A,B863)&gt;0,"Yes","No"))</f>
        <v/>
      </c>
      <c r="J863" s="10" t="str">
        <f t="shared" si="13"/>
        <v/>
      </c>
      <c r="K863" s="10" t="str">
        <f>IF(B863="","",IF(COUNTIF(Finding_List!$A:$A,B863)&gt;0,"Yes","No"))</f>
        <v/>
      </c>
    </row>
    <row r="864" spans="1:11" x14ac:dyDescent="0.2">
      <c r="A864" s="9"/>
      <c r="B864" s="9"/>
      <c r="C864" s="9"/>
      <c r="D864" s="9"/>
      <c r="E864" s="9"/>
      <c r="F864" s="9"/>
      <c r="G864" s="9"/>
      <c r="H864" s="9"/>
      <c r="I864" s="10" t="str">
        <f>IF(B864="","",IF(COUNTIF(FUSE_CI!$A:$A,B864)&gt;0,"Yes","No"))</f>
        <v/>
      </c>
      <c r="J864" s="10" t="str">
        <f t="shared" si="13"/>
        <v/>
      </c>
      <c r="K864" s="10" t="str">
        <f>IF(B864="","",IF(COUNTIF(Finding_List!$A:$A,B864)&gt;0,"Yes","No"))</f>
        <v/>
      </c>
    </row>
    <row r="865" spans="1:11" x14ac:dyDescent="0.2">
      <c r="A865" s="5"/>
      <c r="B865" s="5"/>
      <c r="C865" s="5"/>
      <c r="D865" s="5"/>
      <c r="E865" s="5"/>
      <c r="F865" s="5"/>
      <c r="G865" s="5"/>
      <c r="H865" s="5"/>
      <c r="I865" s="10" t="str">
        <f>IF(B865="","",IF(COUNTIF(FUSE_CI!$A:$A,B865)&gt;0,"Yes","No"))</f>
        <v/>
      </c>
      <c r="J865" s="10" t="str">
        <f t="shared" si="13"/>
        <v/>
      </c>
      <c r="K865" s="10" t="str">
        <f>IF(B865="","",IF(COUNTIF(Finding_List!$A:$A,B865)&gt;0,"Yes","No"))</f>
        <v/>
      </c>
    </row>
    <row r="866" spans="1:11" x14ac:dyDescent="0.2">
      <c r="A866" s="9"/>
      <c r="B866" s="9"/>
      <c r="C866" s="9"/>
      <c r="D866" s="9"/>
      <c r="E866" s="9"/>
      <c r="F866" s="9"/>
      <c r="G866" s="9"/>
      <c r="H866" s="9"/>
      <c r="I866" s="10" t="str">
        <f>IF(B866="","",IF(COUNTIF(FUSE_CI!$A:$A,B866)&gt;0,"Yes","No"))</f>
        <v/>
      </c>
      <c r="J866" s="10" t="str">
        <f t="shared" si="13"/>
        <v/>
      </c>
      <c r="K866" s="10" t="str">
        <f>IF(B866="","",IF(COUNTIF(Finding_List!$A:$A,B866)&gt;0,"Yes","No"))</f>
        <v/>
      </c>
    </row>
    <row r="867" spans="1:11" x14ac:dyDescent="0.2">
      <c r="A867" s="5"/>
      <c r="B867" s="5"/>
      <c r="C867" s="5"/>
      <c r="D867" s="5"/>
      <c r="E867" s="5"/>
      <c r="F867" s="5"/>
      <c r="G867" s="5"/>
      <c r="H867" s="5"/>
      <c r="I867" s="10" t="str">
        <f>IF(B867="","",IF(COUNTIF(FUSE_CI!$A:$A,B867)&gt;0,"Yes","No"))</f>
        <v/>
      </c>
      <c r="J867" s="10" t="str">
        <f t="shared" si="13"/>
        <v/>
      </c>
      <c r="K867" s="10" t="str">
        <f>IF(B867="","",IF(COUNTIF(Finding_List!$A:$A,B867)&gt;0,"Yes","No"))</f>
        <v/>
      </c>
    </row>
    <row r="868" spans="1:11" x14ac:dyDescent="0.2">
      <c r="A868" s="9"/>
      <c r="B868" s="9"/>
      <c r="C868" s="9"/>
      <c r="D868" s="9"/>
      <c r="E868" s="9"/>
      <c r="F868" s="9"/>
      <c r="G868" s="9"/>
      <c r="H868" s="9"/>
      <c r="I868" s="10" t="str">
        <f>IF(B868="","",IF(COUNTIF(FUSE_CI!$A:$A,B868)&gt;0,"Yes","No"))</f>
        <v/>
      </c>
      <c r="J868" s="10" t="str">
        <f t="shared" si="13"/>
        <v/>
      </c>
      <c r="K868" s="10" t="str">
        <f>IF(B868="","",IF(COUNTIF(Finding_List!$A:$A,B868)&gt;0,"Yes","No"))</f>
        <v/>
      </c>
    </row>
    <row r="869" spans="1:11" x14ac:dyDescent="0.2">
      <c r="A869" s="5"/>
      <c r="B869" s="5"/>
      <c r="C869" s="5"/>
      <c r="D869" s="5"/>
      <c r="E869" s="5"/>
      <c r="F869" s="5"/>
      <c r="G869" s="5"/>
      <c r="H869" s="5"/>
      <c r="I869" s="10" t="str">
        <f>IF(B869="","",IF(COUNTIF(FUSE_CI!$A:$A,B869)&gt;0,"Yes","No"))</f>
        <v/>
      </c>
      <c r="J869" s="10" t="str">
        <f t="shared" si="13"/>
        <v/>
      </c>
      <c r="K869" s="10" t="str">
        <f>IF(B869="","",IF(COUNTIF(Finding_List!$A:$A,B869)&gt;0,"Yes","No"))</f>
        <v/>
      </c>
    </row>
    <row r="870" spans="1:11" x14ac:dyDescent="0.2">
      <c r="A870" s="9"/>
      <c r="B870" s="9"/>
      <c r="C870" s="9"/>
      <c r="D870" s="9"/>
      <c r="E870" s="9"/>
      <c r="F870" s="9"/>
      <c r="G870" s="9"/>
      <c r="H870" s="9"/>
      <c r="I870" s="10" t="str">
        <f>IF(B870="","",IF(COUNTIF(FUSE_CI!$A:$A,B870)&gt;0,"Yes","No"))</f>
        <v/>
      </c>
      <c r="J870" s="10" t="str">
        <f t="shared" si="13"/>
        <v/>
      </c>
      <c r="K870" s="10" t="str">
        <f>IF(B870="","",IF(COUNTIF(Finding_List!$A:$A,B870)&gt;0,"Yes","No"))</f>
        <v/>
      </c>
    </row>
    <row r="871" spans="1:11" x14ac:dyDescent="0.2">
      <c r="A871" s="5"/>
      <c r="B871" s="5"/>
      <c r="C871" s="5"/>
      <c r="D871" s="5"/>
      <c r="E871" s="5"/>
      <c r="F871" s="5"/>
      <c r="G871" s="5"/>
      <c r="H871" s="5"/>
      <c r="I871" s="10" t="str">
        <f>IF(B871="","",IF(COUNTIF(FUSE_CI!$A:$A,B871)&gt;0,"Yes","No"))</f>
        <v/>
      </c>
      <c r="J871" s="10" t="str">
        <f t="shared" si="13"/>
        <v/>
      </c>
      <c r="K871" s="10" t="str">
        <f>IF(B871="","",IF(COUNTIF(Finding_List!$A:$A,B871)&gt;0,"Yes","No"))</f>
        <v/>
      </c>
    </row>
    <row r="872" spans="1:11" x14ac:dyDescent="0.2">
      <c r="A872" s="9"/>
      <c r="B872" s="9"/>
      <c r="C872" s="9"/>
      <c r="D872" s="9"/>
      <c r="E872" s="9"/>
      <c r="F872" s="9"/>
      <c r="G872" s="9"/>
      <c r="H872" s="9"/>
      <c r="I872" s="10" t="str">
        <f>IF(B872="","",IF(COUNTIF(FUSE_CI!$A:$A,B872)&gt;0,"Yes","No"))</f>
        <v/>
      </c>
      <c r="J872" s="10" t="str">
        <f t="shared" si="13"/>
        <v/>
      </c>
      <c r="K872" s="10" t="str">
        <f>IF(B872="","",IF(COUNTIF(Finding_List!$A:$A,B872)&gt;0,"Yes","No"))</f>
        <v/>
      </c>
    </row>
    <row r="873" spans="1:11" x14ac:dyDescent="0.2">
      <c r="A873" s="5"/>
      <c r="B873" s="5"/>
      <c r="C873" s="5"/>
      <c r="D873" s="5"/>
      <c r="E873" s="5"/>
      <c r="F873" s="5"/>
      <c r="G873" s="5"/>
      <c r="H873" s="5"/>
      <c r="I873" s="10" t="str">
        <f>IF(B873="","",IF(COUNTIF(FUSE_CI!$A:$A,B873)&gt;0,"Yes","No"))</f>
        <v/>
      </c>
      <c r="J873" s="10" t="str">
        <f t="shared" si="13"/>
        <v/>
      </c>
      <c r="K873" s="10" t="str">
        <f>IF(B873="","",IF(COUNTIF(Finding_List!$A:$A,B873)&gt;0,"Yes","No"))</f>
        <v/>
      </c>
    </row>
    <row r="874" spans="1:11" x14ac:dyDescent="0.2">
      <c r="A874" s="9"/>
      <c r="B874" s="9"/>
      <c r="C874" s="9"/>
      <c r="D874" s="9"/>
      <c r="E874" s="9"/>
      <c r="F874" s="9"/>
      <c r="G874" s="9"/>
      <c r="H874" s="9"/>
      <c r="I874" s="10" t="str">
        <f>IF(B874="","",IF(COUNTIF(FUSE_CI!$A:$A,B874)&gt;0,"Yes","No"))</f>
        <v/>
      </c>
      <c r="J874" s="10" t="str">
        <f t="shared" si="13"/>
        <v/>
      </c>
      <c r="K874" s="10" t="str">
        <f>IF(B874="","",IF(COUNTIF(Finding_List!$A:$A,B874)&gt;0,"Yes","No"))</f>
        <v/>
      </c>
    </row>
    <row r="875" spans="1:11" x14ac:dyDescent="0.2">
      <c r="A875" s="5"/>
      <c r="B875" s="5"/>
      <c r="C875" s="5"/>
      <c r="D875" s="5"/>
      <c r="E875" s="5"/>
      <c r="F875" s="5"/>
      <c r="G875" s="5"/>
      <c r="H875" s="5"/>
      <c r="I875" s="10" t="str">
        <f>IF(B875="","",IF(COUNTIF(FUSE_CI!$A:$A,B875)&gt;0,"Yes","No"))</f>
        <v/>
      </c>
      <c r="J875" s="10" t="str">
        <f t="shared" si="13"/>
        <v/>
      </c>
      <c r="K875" s="10" t="str">
        <f>IF(B875="","",IF(COUNTIF(Finding_List!$A:$A,B875)&gt;0,"Yes","No"))</f>
        <v/>
      </c>
    </row>
    <row r="876" spans="1:11" x14ac:dyDescent="0.2">
      <c r="A876" s="9"/>
      <c r="B876" s="9"/>
      <c r="C876" s="9"/>
      <c r="D876" s="9"/>
      <c r="E876" s="9"/>
      <c r="F876" s="9"/>
      <c r="G876" s="9"/>
      <c r="H876" s="9"/>
      <c r="I876" s="10" t="str">
        <f>IF(B876="","",IF(COUNTIF(FUSE_CI!$A:$A,B876)&gt;0,"Yes","No"))</f>
        <v/>
      </c>
      <c r="J876" s="10" t="str">
        <f t="shared" si="13"/>
        <v/>
      </c>
      <c r="K876" s="10" t="str">
        <f>IF(B876="","",IF(COUNTIF(Finding_List!$A:$A,B876)&gt;0,"Yes","No"))</f>
        <v/>
      </c>
    </row>
    <row r="877" spans="1:11" x14ac:dyDescent="0.2">
      <c r="A877" s="5"/>
      <c r="B877" s="5"/>
      <c r="C877" s="5"/>
      <c r="D877" s="5"/>
      <c r="E877" s="5"/>
      <c r="F877" s="5"/>
      <c r="G877" s="5"/>
      <c r="H877" s="5"/>
      <c r="I877" s="10" t="str">
        <f>IF(B877="","",IF(COUNTIF(FUSE_CI!$A:$A,B877)&gt;0,"Yes","No"))</f>
        <v/>
      </c>
      <c r="J877" s="10" t="str">
        <f t="shared" si="13"/>
        <v/>
      </c>
      <c r="K877" s="10" t="str">
        <f>IF(B877="","",IF(COUNTIF(Finding_List!$A:$A,B877)&gt;0,"Yes","No"))</f>
        <v/>
      </c>
    </row>
    <row r="878" spans="1:11" x14ac:dyDescent="0.2">
      <c r="A878" s="9"/>
      <c r="B878" s="9"/>
      <c r="C878" s="9"/>
      <c r="D878" s="9"/>
      <c r="E878" s="9"/>
      <c r="F878" s="9"/>
      <c r="G878" s="9"/>
      <c r="H878" s="9"/>
      <c r="I878" s="10" t="str">
        <f>IF(B878="","",IF(COUNTIF(FUSE_CI!$A:$A,B878)&gt;0,"Yes","No"))</f>
        <v/>
      </c>
      <c r="J878" s="10" t="str">
        <f t="shared" si="13"/>
        <v/>
      </c>
      <c r="K878" s="10" t="str">
        <f>IF(B878="","",IF(COUNTIF(Finding_List!$A:$A,B878)&gt;0,"Yes","No"))</f>
        <v/>
      </c>
    </row>
    <row r="879" spans="1:11" x14ac:dyDescent="0.2">
      <c r="A879" s="5"/>
      <c r="B879" s="5"/>
      <c r="C879" s="5"/>
      <c r="D879" s="5"/>
      <c r="E879" s="5"/>
      <c r="F879" s="5"/>
      <c r="G879" s="5"/>
      <c r="H879" s="5"/>
      <c r="I879" s="10" t="str">
        <f>IF(B879="","",IF(COUNTIF(FUSE_CI!$A:$A,B879)&gt;0,"Yes","No"))</f>
        <v/>
      </c>
      <c r="J879" s="10" t="str">
        <f t="shared" si="13"/>
        <v/>
      </c>
      <c r="K879" s="10" t="str">
        <f>IF(B879="","",IF(COUNTIF(Finding_List!$A:$A,B879)&gt;0,"Yes","No"))</f>
        <v/>
      </c>
    </row>
    <row r="880" spans="1:11" x14ac:dyDescent="0.2">
      <c r="A880" s="9"/>
      <c r="B880" s="9"/>
      <c r="C880" s="9"/>
      <c r="D880" s="9"/>
      <c r="E880" s="9"/>
      <c r="F880" s="9"/>
      <c r="G880" s="9"/>
      <c r="H880" s="9"/>
      <c r="I880" s="10" t="str">
        <f>IF(B880="","",IF(COUNTIF(FUSE_CI!$A:$A,B880)&gt;0,"Yes","No"))</f>
        <v/>
      </c>
      <c r="J880" s="10" t="str">
        <f t="shared" si="13"/>
        <v/>
      </c>
      <c r="K880" s="10" t="str">
        <f>IF(B880="","",IF(COUNTIF(Finding_List!$A:$A,B880)&gt;0,"Yes","No"))</f>
        <v/>
      </c>
    </row>
    <row r="881" spans="1:11" x14ac:dyDescent="0.2">
      <c r="A881" s="5"/>
      <c r="B881" s="5"/>
      <c r="C881" s="5"/>
      <c r="D881" s="5"/>
      <c r="E881" s="5"/>
      <c r="F881" s="5"/>
      <c r="G881" s="5"/>
      <c r="H881" s="5"/>
      <c r="I881" s="10" t="str">
        <f>IF(B881="","",IF(COUNTIF(FUSE_CI!$A:$A,B881)&gt;0,"Yes","No"))</f>
        <v/>
      </c>
      <c r="J881" s="10" t="str">
        <f t="shared" si="13"/>
        <v/>
      </c>
      <c r="K881" s="10" t="str">
        <f>IF(B881="","",IF(COUNTIF(Finding_List!$A:$A,B881)&gt;0,"Yes","No"))</f>
        <v/>
      </c>
    </row>
    <row r="882" spans="1:11" x14ac:dyDescent="0.2">
      <c r="A882" s="9"/>
      <c r="B882" s="9"/>
      <c r="C882" s="9"/>
      <c r="D882" s="9"/>
      <c r="E882" s="9"/>
      <c r="F882" s="9"/>
      <c r="G882" s="9"/>
      <c r="H882" s="9"/>
      <c r="I882" s="10" t="str">
        <f>IF(B882="","",IF(COUNTIF(FUSE_CI!$A:$A,B882)&gt;0,"Yes","No"))</f>
        <v/>
      </c>
      <c r="J882" s="10" t="str">
        <f t="shared" si="13"/>
        <v/>
      </c>
      <c r="K882" s="10" t="str">
        <f>IF(B882="","",IF(COUNTIF(Finding_List!$A:$A,B882)&gt;0,"Yes","No"))</f>
        <v/>
      </c>
    </row>
    <row r="883" spans="1:11" x14ac:dyDescent="0.2">
      <c r="A883" s="5"/>
      <c r="B883" s="5"/>
      <c r="C883" s="5"/>
      <c r="D883" s="5"/>
      <c r="E883" s="5"/>
      <c r="F883" s="5"/>
      <c r="G883" s="5"/>
      <c r="H883" s="5"/>
      <c r="I883" s="10" t="str">
        <f>IF(B883="","",IF(COUNTIF(FUSE_CI!$A:$A,B883)&gt;0,"Yes","No"))</f>
        <v/>
      </c>
      <c r="J883" s="10" t="str">
        <f t="shared" si="13"/>
        <v/>
      </c>
      <c r="K883" s="10" t="str">
        <f>IF(B883="","",IF(COUNTIF(Finding_List!$A:$A,B883)&gt;0,"Yes","No"))</f>
        <v/>
      </c>
    </row>
    <row r="884" spans="1:11" x14ac:dyDescent="0.2">
      <c r="A884" s="9"/>
      <c r="B884" s="9"/>
      <c r="C884" s="9"/>
      <c r="D884" s="9"/>
      <c r="E884" s="9"/>
      <c r="F884" s="9"/>
      <c r="G884" s="9"/>
      <c r="H884" s="9"/>
      <c r="I884" s="10" t="str">
        <f>IF(B884="","",IF(COUNTIF(FUSE_CI!$A:$A,B884)&gt;0,"Yes","No"))</f>
        <v/>
      </c>
      <c r="J884" s="10" t="str">
        <f t="shared" si="13"/>
        <v/>
      </c>
      <c r="K884" s="10" t="str">
        <f>IF(B884="","",IF(COUNTIF(Finding_List!$A:$A,B884)&gt;0,"Yes","No"))</f>
        <v/>
      </c>
    </row>
    <row r="885" spans="1:11" x14ac:dyDescent="0.2">
      <c r="A885" s="5"/>
      <c r="B885" s="5"/>
      <c r="C885" s="5"/>
      <c r="D885" s="5"/>
      <c r="E885" s="5"/>
      <c r="F885" s="5"/>
      <c r="G885" s="5"/>
      <c r="H885" s="5"/>
      <c r="I885" s="10" t="str">
        <f>IF(B885="","",IF(COUNTIF(FUSE_CI!$A:$A,B885)&gt;0,"Yes","No"))</f>
        <v/>
      </c>
      <c r="J885" s="10" t="str">
        <f t="shared" si="13"/>
        <v/>
      </c>
      <c r="K885" s="10" t="str">
        <f>IF(B885="","",IF(COUNTIF(Finding_List!$A:$A,B885)&gt;0,"Yes","No"))</f>
        <v/>
      </c>
    </row>
    <row r="886" spans="1:11" x14ac:dyDescent="0.2">
      <c r="A886" s="9"/>
      <c r="B886" s="9"/>
      <c r="C886" s="9"/>
      <c r="D886" s="9"/>
      <c r="E886" s="9"/>
      <c r="F886" s="9"/>
      <c r="G886" s="9"/>
      <c r="H886" s="9"/>
      <c r="I886" s="10" t="str">
        <f>IF(B886="","",IF(COUNTIF(FUSE_CI!$A:$A,B886)&gt;0,"Yes","No"))</f>
        <v/>
      </c>
      <c r="J886" s="10" t="str">
        <f t="shared" si="13"/>
        <v/>
      </c>
      <c r="K886" s="10" t="str">
        <f>IF(B886="","",IF(COUNTIF(Finding_List!$A:$A,B886)&gt;0,"Yes","No"))</f>
        <v/>
      </c>
    </row>
    <row r="887" spans="1:11" x14ac:dyDescent="0.2">
      <c r="A887" s="5"/>
      <c r="B887" s="5"/>
      <c r="C887" s="5"/>
      <c r="D887" s="5"/>
      <c r="E887" s="5"/>
      <c r="F887" s="5"/>
      <c r="G887" s="5"/>
      <c r="H887" s="5"/>
      <c r="I887" s="10" t="str">
        <f>IF(B887="","",IF(COUNTIF(FUSE_CI!$A:$A,B887)&gt;0,"Yes","No"))</f>
        <v/>
      </c>
      <c r="J887" s="10" t="str">
        <f t="shared" si="13"/>
        <v/>
      </c>
      <c r="K887" s="10" t="str">
        <f>IF(B887="","",IF(COUNTIF(Finding_List!$A:$A,B887)&gt;0,"Yes","No"))</f>
        <v/>
      </c>
    </row>
    <row r="888" spans="1:11" x14ac:dyDescent="0.2">
      <c r="A888" s="9"/>
      <c r="B888" s="9"/>
      <c r="C888" s="9"/>
      <c r="D888" s="9"/>
      <c r="E888" s="9"/>
      <c r="F888" s="9"/>
      <c r="G888" s="9"/>
      <c r="H888" s="9"/>
      <c r="I888" s="10" t="str">
        <f>IF(B888="","",IF(COUNTIF(FUSE_CI!$A:$A,B888)&gt;0,"Yes","No"))</f>
        <v/>
      </c>
      <c r="J888" s="10" t="str">
        <f t="shared" si="13"/>
        <v/>
      </c>
      <c r="K888" s="10" t="str">
        <f>IF(B888="","",IF(COUNTIF(Finding_List!$A:$A,B888)&gt;0,"Yes","No"))</f>
        <v/>
      </c>
    </row>
    <row r="889" spans="1:11" x14ac:dyDescent="0.2">
      <c r="A889" s="5"/>
      <c r="B889" s="5"/>
      <c r="C889" s="5"/>
      <c r="D889" s="5"/>
      <c r="E889" s="5"/>
      <c r="F889" s="5"/>
      <c r="G889" s="5"/>
      <c r="H889" s="5"/>
      <c r="I889" s="10" t="str">
        <f>IF(B889="","",IF(COUNTIF(FUSE_CI!$A:$A,B889)&gt;0,"Yes","No"))</f>
        <v/>
      </c>
      <c r="J889" s="10" t="str">
        <f t="shared" si="13"/>
        <v/>
      </c>
      <c r="K889" s="10" t="str">
        <f>IF(B889="","",IF(COUNTIF(Finding_List!$A:$A,B889)&gt;0,"Yes","No"))</f>
        <v/>
      </c>
    </row>
    <row r="890" spans="1:11" x14ac:dyDescent="0.2">
      <c r="A890" s="9"/>
      <c r="B890" s="9"/>
      <c r="C890" s="9"/>
      <c r="D890" s="9"/>
      <c r="E890" s="9"/>
      <c r="F890" s="9"/>
      <c r="G890" s="9"/>
      <c r="H890" s="9"/>
      <c r="I890" s="10" t="str">
        <f>IF(B890="","",IF(COUNTIF(FUSE_CI!$A:$A,B890)&gt;0,"Yes","No"))</f>
        <v/>
      </c>
      <c r="J890" s="10" t="str">
        <f t="shared" si="13"/>
        <v/>
      </c>
      <c r="K890" s="10" t="str">
        <f>IF(B890="","",IF(COUNTIF(Finding_List!$A:$A,B890)&gt;0,"Yes","No"))</f>
        <v/>
      </c>
    </row>
    <row r="891" spans="1:11" x14ac:dyDescent="0.2">
      <c r="A891" s="5"/>
      <c r="B891" s="5"/>
      <c r="C891" s="5"/>
      <c r="D891" s="5"/>
      <c r="E891" s="5"/>
      <c r="F891" s="5"/>
      <c r="G891" s="5"/>
      <c r="H891" s="5"/>
      <c r="I891" s="10" t="str">
        <f>IF(B891="","",IF(COUNTIF(FUSE_CI!$A:$A,B891)&gt;0,"Yes","No"))</f>
        <v/>
      </c>
      <c r="J891" s="10" t="str">
        <f t="shared" si="13"/>
        <v/>
      </c>
      <c r="K891" s="10" t="str">
        <f>IF(B891="","",IF(COUNTIF(Finding_List!$A:$A,B891)&gt;0,"Yes","No"))</f>
        <v/>
      </c>
    </row>
    <row r="892" spans="1:11" x14ac:dyDescent="0.2">
      <c r="A892" s="9"/>
      <c r="B892" s="9"/>
      <c r="C892" s="9"/>
      <c r="D892" s="9"/>
      <c r="E892" s="9"/>
      <c r="F892" s="9"/>
      <c r="G892" s="9"/>
      <c r="H892" s="9"/>
      <c r="I892" s="10" t="str">
        <f>IF(B892="","",IF(COUNTIF(FUSE_CI!$A:$A,B892)&gt;0,"Yes","No"))</f>
        <v/>
      </c>
      <c r="J892" s="10" t="str">
        <f t="shared" si="13"/>
        <v/>
      </c>
      <c r="K892" s="10" t="str">
        <f>IF(B892="","",IF(COUNTIF(Finding_List!$A:$A,B892)&gt;0,"Yes","No"))</f>
        <v/>
      </c>
    </row>
    <row r="893" spans="1:11" x14ac:dyDescent="0.2">
      <c r="A893" s="5"/>
      <c r="B893" s="5"/>
      <c r="C893" s="5"/>
      <c r="D893" s="5"/>
      <c r="E893" s="5"/>
      <c r="F893" s="5"/>
      <c r="G893" s="5"/>
      <c r="H893" s="5"/>
      <c r="I893" s="10" t="str">
        <f>IF(B893="","",IF(COUNTIF(FUSE_CI!$A:$A,B893)&gt;0,"Yes","No"))</f>
        <v/>
      </c>
      <c r="J893" s="10" t="str">
        <f t="shared" si="13"/>
        <v/>
      </c>
      <c r="K893" s="10" t="str">
        <f>IF(B893="","",IF(COUNTIF(Finding_List!$A:$A,B893)&gt;0,"Yes","No"))</f>
        <v/>
      </c>
    </row>
    <row r="894" spans="1:11" x14ac:dyDescent="0.2">
      <c r="A894" s="9"/>
      <c r="B894" s="9"/>
      <c r="C894" s="9"/>
      <c r="D894" s="9"/>
      <c r="E894" s="9"/>
      <c r="F894" s="9"/>
      <c r="G894" s="9"/>
      <c r="H894" s="9"/>
      <c r="I894" s="10" t="str">
        <f>IF(B894="","",IF(COUNTIF(FUSE_CI!$A:$A,B894)&gt;0,"Yes","No"))</f>
        <v/>
      </c>
      <c r="J894" s="10" t="str">
        <f t="shared" si="13"/>
        <v/>
      </c>
      <c r="K894" s="10" t="str">
        <f>IF(B894="","",IF(COUNTIF(Finding_List!$A:$A,B894)&gt;0,"Yes","No"))</f>
        <v/>
      </c>
    </row>
    <row r="895" spans="1:11" x14ac:dyDescent="0.2">
      <c r="A895" s="5"/>
      <c r="B895" s="5"/>
      <c r="C895" s="5"/>
      <c r="D895" s="5"/>
      <c r="E895" s="5"/>
      <c r="F895" s="5"/>
      <c r="G895" s="5"/>
      <c r="H895" s="5"/>
      <c r="I895" s="10" t="str">
        <f>IF(B895="","",IF(COUNTIF(FUSE_CI!$A:$A,B895)&gt;0,"Yes","No"))</f>
        <v/>
      </c>
      <c r="J895" s="10" t="str">
        <f t="shared" si="13"/>
        <v/>
      </c>
      <c r="K895" s="10" t="str">
        <f>IF(B895="","",IF(COUNTIF(Finding_List!$A:$A,B895)&gt;0,"Yes","No"))</f>
        <v/>
      </c>
    </row>
    <row r="896" spans="1:11" x14ac:dyDescent="0.2">
      <c r="A896" s="9"/>
      <c r="B896" s="9"/>
      <c r="C896" s="9"/>
      <c r="D896" s="9"/>
      <c r="E896" s="9"/>
      <c r="F896" s="9"/>
      <c r="G896" s="9"/>
      <c r="H896" s="9"/>
      <c r="I896" s="10" t="str">
        <f>IF(B896="","",IF(COUNTIF(FUSE_CI!$A:$A,B896)&gt;0,"Yes","No"))</f>
        <v/>
      </c>
      <c r="J896" s="10" t="str">
        <f t="shared" si="13"/>
        <v/>
      </c>
      <c r="K896" s="10" t="str">
        <f>IF(B896="","",IF(COUNTIF(Finding_List!$A:$A,B896)&gt;0,"Yes","No"))</f>
        <v/>
      </c>
    </row>
    <row r="897" spans="1:11" x14ac:dyDescent="0.2">
      <c r="A897" s="5"/>
      <c r="B897" s="5"/>
      <c r="C897" s="5"/>
      <c r="D897" s="5"/>
      <c r="E897" s="5"/>
      <c r="F897" s="5"/>
      <c r="G897" s="5"/>
      <c r="H897" s="5"/>
      <c r="I897" s="10" t="str">
        <f>IF(B897="","",IF(COUNTIF(FUSE_CI!$A:$A,B897)&gt;0,"Yes","No"))</f>
        <v/>
      </c>
      <c r="J897" s="10" t="str">
        <f t="shared" si="13"/>
        <v/>
      </c>
      <c r="K897" s="10" t="str">
        <f>IF(B897="","",IF(COUNTIF(Finding_List!$A:$A,B897)&gt;0,"Yes","No"))</f>
        <v/>
      </c>
    </row>
    <row r="898" spans="1:11" x14ac:dyDescent="0.2">
      <c r="A898" s="9"/>
      <c r="B898" s="9"/>
      <c r="C898" s="9"/>
      <c r="D898" s="9"/>
      <c r="E898" s="9"/>
      <c r="F898" s="9"/>
      <c r="G898" s="9"/>
      <c r="H898" s="9"/>
      <c r="I898" s="10" t="str">
        <f>IF(B898="","",IF(COUNTIF(FUSE_CI!$A:$A,B898)&gt;0,"Yes","No"))</f>
        <v/>
      </c>
      <c r="J898" s="10" t="str">
        <f t="shared" si="13"/>
        <v/>
      </c>
      <c r="K898" s="10" t="str">
        <f>IF(B898="","",IF(COUNTIF(Finding_List!$A:$A,B898)&gt;0,"Yes","No"))</f>
        <v/>
      </c>
    </row>
    <row r="899" spans="1:11" x14ac:dyDescent="0.2">
      <c r="A899" s="5"/>
      <c r="B899" s="5"/>
      <c r="C899" s="5"/>
      <c r="D899" s="5"/>
      <c r="E899" s="5"/>
      <c r="F899" s="5"/>
      <c r="G899" s="5"/>
      <c r="H899" s="5"/>
      <c r="I899" s="10" t="str">
        <f>IF(B899="","",IF(COUNTIF(FUSE_CI!$A:$A,B899)&gt;0,"Yes","No"))</f>
        <v/>
      </c>
      <c r="J899" s="10" t="str">
        <f t="shared" si="13"/>
        <v/>
      </c>
      <c r="K899" s="10" t="str">
        <f>IF(B899="","",IF(COUNTIF(Finding_List!$A:$A,B899)&gt;0,"Yes","No"))</f>
        <v/>
      </c>
    </row>
    <row r="900" spans="1:11" x14ac:dyDescent="0.2">
      <c r="A900" s="9"/>
      <c r="B900" s="9"/>
      <c r="C900" s="9"/>
      <c r="D900" s="9"/>
      <c r="E900" s="9"/>
      <c r="F900" s="9"/>
      <c r="G900" s="9"/>
      <c r="H900" s="9"/>
      <c r="I900" s="10" t="str">
        <f>IF(B900="","",IF(COUNTIF(FUSE_CI!$A:$A,B900)&gt;0,"Yes","No"))</f>
        <v/>
      </c>
      <c r="J900" s="10" t="str">
        <f t="shared" ref="J900:J963" si="14">IF(B900="","",IF(AND(D900&lt;&gt;"High",D900&lt;&gt;"Very High",I900="Yes",K900="No"),"Fast Follower","Not Eligible"))</f>
        <v/>
      </c>
      <c r="K900" s="10" t="str">
        <f>IF(B900="","",IF(COUNTIF(Finding_List!$A:$A,B900)&gt;0,"Yes","No"))</f>
        <v/>
      </c>
    </row>
    <row r="901" spans="1:11" x14ac:dyDescent="0.2">
      <c r="A901" s="5"/>
      <c r="B901" s="5"/>
      <c r="C901" s="5"/>
      <c r="D901" s="5"/>
      <c r="E901" s="5"/>
      <c r="F901" s="5"/>
      <c r="G901" s="5"/>
      <c r="H901" s="5"/>
      <c r="I901" s="10" t="str">
        <f>IF(B901="","",IF(COUNTIF(FUSE_CI!$A:$A,B901)&gt;0,"Yes","No"))</f>
        <v/>
      </c>
      <c r="J901" s="10" t="str">
        <f t="shared" si="14"/>
        <v/>
      </c>
      <c r="K901" s="10" t="str">
        <f>IF(B901="","",IF(COUNTIF(Finding_List!$A:$A,B901)&gt;0,"Yes","No"))</f>
        <v/>
      </c>
    </row>
    <row r="902" spans="1:11" x14ac:dyDescent="0.2">
      <c r="A902" s="9"/>
      <c r="B902" s="9"/>
      <c r="C902" s="9"/>
      <c r="D902" s="9"/>
      <c r="E902" s="9"/>
      <c r="F902" s="9"/>
      <c r="G902" s="9"/>
      <c r="H902" s="9"/>
      <c r="I902" s="10" t="str">
        <f>IF(B902="","",IF(COUNTIF(FUSE_CI!$A:$A,B902)&gt;0,"Yes","No"))</f>
        <v/>
      </c>
      <c r="J902" s="10" t="str">
        <f t="shared" si="14"/>
        <v/>
      </c>
      <c r="K902" s="10" t="str">
        <f>IF(B902="","",IF(COUNTIF(Finding_List!$A:$A,B902)&gt;0,"Yes","No"))</f>
        <v/>
      </c>
    </row>
    <row r="903" spans="1:11" x14ac:dyDescent="0.2">
      <c r="A903" s="5"/>
      <c r="B903" s="5"/>
      <c r="C903" s="5"/>
      <c r="D903" s="5"/>
      <c r="E903" s="5"/>
      <c r="F903" s="5"/>
      <c r="G903" s="5"/>
      <c r="H903" s="5"/>
      <c r="I903" s="10" t="str">
        <f>IF(B903="","",IF(COUNTIF(FUSE_CI!$A:$A,B903)&gt;0,"Yes","No"))</f>
        <v/>
      </c>
      <c r="J903" s="10" t="str">
        <f t="shared" si="14"/>
        <v/>
      </c>
      <c r="K903" s="10" t="str">
        <f>IF(B903="","",IF(COUNTIF(Finding_List!$A:$A,B903)&gt;0,"Yes","No"))</f>
        <v/>
      </c>
    </row>
    <row r="904" spans="1:11" x14ac:dyDescent="0.2">
      <c r="A904" s="9"/>
      <c r="B904" s="9"/>
      <c r="C904" s="9"/>
      <c r="D904" s="9"/>
      <c r="E904" s="9"/>
      <c r="F904" s="9"/>
      <c r="G904" s="9"/>
      <c r="H904" s="9"/>
      <c r="I904" s="10" t="str">
        <f>IF(B904="","",IF(COUNTIF(FUSE_CI!$A:$A,B904)&gt;0,"Yes","No"))</f>
        <v/>
      </c>
      <c r="J904" s="10" t="str">
        <f t="shared" si="14"/>
        <v/>
      </c>
      <c r="K904" s="10" t="str">
        <f>IF(B904="","",IF(COUNTIF(Finding_List!$A:$A,B904)&gt;0,"Yes","No"))</f>
        <v/>
      </c>
    </row>
    <row r="905" spans="1:11" x14ac:dyDescent="0.2">
      <c r="A905" s="5"/>
      <c r="B905" s="5"/>
      <c r="C905" s="5"/>
      <c r="D905" s="5"/>
      <c r="E905" s="5"/>
      <c r="F905" s="5"/>
      <c r="G905" s="5"/>
      <c r="H905" s="5"/>
      <c r="I905" s="10" t="str">
        <f>IF(B905="","",IF(COUNTIF(FUSE_CI!$A:$A,B905)&gt;0,"Yes","No"))</f>
        <v/>
      </c>
      <c r="J905" s="10" t="str">
        <f t="shared" si="14"/>
        <v/>
      </c>
      <c r="K905" s="10" t="str">
        <f>IF(B905="","",IF(COUNTIF(Finding_List!$A:$A,B905)&gt;0,"Yes","No"))</f>
        <v/>
      </c>
    </row>
    <row r="906" spans="1:11" x14ac:dyDescent="0.2">
      <c r="A906" s="9"/>
      <c r="B906" s="9"/>
      <c r="C906" s="9"/>
      <c r="D906" s="9"/>
      <c r="E906" s="9"/>
      <c r="F906" s="9"/>
      <c r="G906" s="9"/>
      <c r="H906" s="9"/>
      <c r="I906" s="10" t="str">
        <f>IF(B906="","",IF(COUNTIF(FUSE_CI!$A:$A,B906)&gt;0,"Yes","No"))</f>
        <v/>
      </c>
      <c r="J906" s="10" t="str">
        <f t="shared" si="14"/>
        <v/>
      </c>
      <c r="K906" s="10" t="str">
        <f>IF(B906="","",IF(COUNTIF(Finding_List!$A:$A,B906)&gt;0,"Yes","No"))</f>
        <v/>
      </c>
    </row>
    <row r="907" spans="1:11" x14ac:dyDescent="0.2">
      <c r="A907" s="5"/>
      <c r="B907" s="5"/>
      <c r="C907" s="5"/>
      <c r="D907" s="5"/>
      <c r="E907" s="5"/>
      <c r="F907" s="5"/>
      <c r="G907" s="5"/>
      <c r="H907" s="5"/>
      <c r="I907" s="10" t="str">
        <f>IF(B907="","",IF(COUNTIF(FUSE_CI!$A:$A,B907)&gt;0,"Yes","No"))</f>
        <v/>
      </c>
      <c r="J907" s="10" t="str">
        <f t="shared" si="14"/>
        <v/>
      </c>
      <c r="K907" s="10" t="str">
        <f>IF(B907="","",IF(COUNTIF(Finding_List!$A:$A,B907)&gt;0,"Yes","No"))</f>
        <v/>
      </c>
    </row>
    <row r="908" spans="1:11" x14ac:dyDescent="0.2">
      <c r="A908" s="9"/>
      <c r="B908" s="9"/>
      <c r="C908" s="9"/>
      <c r="D908" s="9"/>
      <c r="E908" s="9"/>
      <c r="F908" s="9"/>
      <c r="G908" s="9"/>
      <c r="H908" s="9"/>
      <c r="I908" s="10" t="str">
        <f>IF(B908="","",IF(COUNTIF(FUSE_CI!$A:$A,B908)&gt;0,"Yes","No"))</f>
        <v/>
      </c>
      <c r="J908" s="10" t="str">
        <f t="shared" si="14"/>
        <v/>
      </c>
      <c r="K908" s="10" t="str">
        <f>IF(B908="","",IF(COUNTIF(Finding_List!$A:$A,B908)&gt;0,"Yes","No"))</f>
        <v/>
      </c>
    </row>
    <row r="909" spans="1:11" x14ac:dyDescent="0.2">
      <c r="A909" s="5"/>
      <c r="B909" s="5"/>
      <c r="C909" s="5"/>
      <c r="D909" s="5"/>
      <c r="E909" s="5"/>
      <c r="F909" s="5"/>
      <c r="G909" s="5"/>
      <c r="H909" s="5"/>
      <c r="I909" s="10" t="str">
        <f>IF(B909="","",IF(COUNTIF(FUSE_CI!$A:$A,B909)&gt;0,"Yes","No"))</f>
        <v/>
      </c>
      <c r="J909" s="10" t="str">
        <f t="shared" si="14"/>
        <v/>
      </c>
      <c r="K909" s="10" t="str">
        <f>IF(B909="","",IF(COUNTIF(Finding_List!$A:$A,B909)&gt;0,"Yes","No"))</f>
        <v/>
      </c>
    </row>
    <row r="910" spans="1:11" x14ac:dyDescent="0.2">
      <c r="A910" s="9"/>
      <c r="B910" s="9"/>
      <c r="C910" s="9"/>
      <c r="D910" s="9"/>
      <c r="E910" s="9"/>
      <c r="F910" s="9"/>
      <c r="G910" s="9"/>
      <c r="H910" s="9"/>
      <c r="I910" s="10" t="str">
        <f>IF(B910="","",IF(COUNTIF(FUSE_CI!$A:$A,B910)&gt;0,"Yes","No"))</f>
        <v/>
      </c>
      <c r="J910" s="10" t="str">
        <f t="shared" si="14"/>
        <v/>
      </c>
      <c r="K910" s="10" t="str">
        <f>IF(B910="","",IF(COUNTIF(Finding_List!$A:$A,B910)&gt;0,"Yes","No"))</f>
        <v/>
      </c>
    </row>
    <row r="911" spans="1:11" x14ac:dyDescent="0.2">
      <c r="A911" s="5"/>
      <c r="B911" s="5"/>
      <c r="C911" s="5"/>
      <c r="D911" s="5"/>
      <c r="E911" s="5"/>
      <c r="F911" s="5"/>
      <c r="G911" s="5"/>
      <c r="H911" s="5"/>
      <c r="I911" s="10" t="str">
        <f>IF(B911="","",IF(COUNTIF(FUSE_CI!$A:$A,B911)&gt;0,"Yes","No"))</f>
        <v/>
      </c>
      <c r="J911" s="10" t="str">
        <f t="shared" si="14"/>
        <v/>
      </c>
      <c r="K911" s="10" t="str">
        <f>IF(B911="","",IF(COUNTIF(Finding_List!$A:$A,B911)&gt;0,"Yes","No"))</f>
        <v/>
      </c>
    </row>
    <row r="912" spans="1:11" x14ac:dyDescent="0.2">
      <c r="A912" s="9"/>
      <c r="B912" s="9"/>
      <c r="C912" s="9"/>
      <c r="D912" s="9"/>
      <c r="E912" s="9"/>
      <c r="F912" s="9"/>
      <c r="G912" s="9"/>
      <c r="H912" s="9"/>
      <c r="I912" s="10" t="str">
        <f>IF(B912="","",IF(COUNTIF(FUSE_CI!$A:$A,B912)&gt;0,"Yes","No"))</f>
        <v/>
      </c>
      <c r="J912" s="10" t="str">
        <f t="shared" si="14"/>
        <v/>
      </c>
      <c r="K912" s="10" t="str">
        <f>IF(B912="","",IF(COUNTIF(Finding_List!$A:$A,B912)&gt;0,"Yes","No"))</f>
        <v/>
      </c>
    </row>
    <row r="913" spans="1:11" x14ac:dyDescent="0.2">
      <c r="A913" s="5"/>
      <c r="B913" s="5"/>
      <c r="C913" s="5"/>
      <c r="D913" s="5"/>
      <c r="E913" s="5"/>
      <c r="F913" s="5"/>
      <c r="G913" s="5"/>
      <c r="H913" s="5"/>
      <c r="I913" s="10" t="str">
        <f>IF(B913="","",IF(COUNTIF(FUSE_CI!$A:$A,B913)&gt;0,"Yes","No"))</f>
        <v/>
      </c>
      <c r="J913" s="10" t="str">
        <f t="shared" si="14"/>
        <v/>
      </c>
      <c r="K913" s="10" t="str">
        <f>IF(B913="","",IF(COUNTIF(Finding_List!$A:$A,B913)&gt;0,"Yes","No"))</f>
        <v/>
      </c>
    </row>
    <row r="914" spans="1:11" x14ac:dyDescent="0.2">
      <c r="A914" s="9"/>
      <c r="B914" s="9"/>
      <c r="C914" s="9"/>
      <c r="D914" s="9"/>
      <c r="E914" s="9"/>
      <c r="F914" s="9"/>
      <c r="G914" s="9"/>
      <c r="H914" s="9"/>
      <c r="I914" s="10" t="str">
        <f>IF(B914="","",IF(COUNTIF(FUSE_CI!$A:$A,B914)&gt;0,"Yes","No"))</f>
        <v/>
      </c>
      <c r="J914" s="10" t="str">
        <f t="shared" si="14"/>
        <v/>
      </c>
      <c r="K914" s="10" t="str">
        <f>IF(B914="","",IF(COUNTIF(Finding_List!$A:$A,B914)&gt;0,"Yes","No"))</f>
        <v/>
      </c>
    </row>
    <row r="915" spans="1:11" x14ac:dyDescent="0.2">
      <c r="A915" s="5"/>
      <c r="B915" s="5"/>
      <c r="C915" s="5"/>
      <c r="D915" s="5"/>
      <c r="E915" s="5"/>
      <c r="F915" s="5"/>
      <c r="G915" s="5"/>
      <c r="H915" s="5"/>
      <c r="I915" s="10" t="str">
        <f>IF(B915="","",IF(COUNTIF(FUSE_CI!$A:$A,B915)&gt;0,"Yes","No"))</f>
        <v/>
      </c>
      <c r="J915" s="10" t="str">
        <f t="shared" si="14"/>
        <v/>
      </c>
      <c r="K915" s="10" t="str">
        <f>IF(B915="","",IF(COUNTIF(Finding_List!$A:$A,B915)&gt;0,"Yes","No"))</f>
        <v/>
      </c>
    </row>
    <row r="916" spans="1:11" x14ac:dyDescent="0.2">
      <c r="A916" s="9"/>
      <c r="B916" s="9"/>
      <c r="C916" s="9"/>
      <c r="D916" s="9"/>
      <c r="E916" s="9"/>
      <c r="F916" s="9"/>
      <c r="G916" s="9"/>
      <c r="H916" s="9"/>
      <c r="I916" s="10" t="str">
        <f>IF(B916="","",IF(COUNTIF(FUSE_CI!$A:$A,B916)&gt;0,"Yes","No"))</f>
        <v/>
      </c>
      <c r="J916" s="10" t="str">
        <f t="shared" si="14"/>
        <v/>
      </c>
      <c r="K916" s="10" t="str">
        <f>IF(B916="","",IF(COUNTIF(Finding_List!$A:$A,B916)&gt;0,"Yes","No"))</f>
        <v/>
      </c>
    </row>
    <row r="917" spans="1:11" x14ac:dyDescent="0.2">
      <c r="A917" s="5"/>
      <c r="B917" s="5"/>
      <c r="C917" s="5"/>
      <c r="D917" s="5"/>
      <c r="E917" s="5"/>
      <c r="F917" s="5"/>
      <c r="G917" s="5"/>
      <c r="H917" s="5"/>
      <c r="I917" s="10" t="str">
        <f>IF(B917="","",IF(COUNTIF(FUSE_CI!$A:$A,B917)&gt;0,"Yes","No"))</f>
        <v/>
      </c>
      <c r="J917" s="10" t="str">
        <f t="shared" si="14"/>
        <v/>
      </c>
      <c r="K917" s="10" t="str">
        <f>IF(B917="","",IF(COUNTIF(Finding_List!$A:$A,B917)&gt;0,"Yes","No"))</f>
        <v/>
      </c>
    </row>
    <row r="918" spans="1:11" x14ac:dyDescent="0.2">
      <c r="A918" s="9"/>
      <c r="B918" s="9"/>
      <c r="C918" s="9"/>
      <c r="D918" s="9"/>
      <c r="E918" s="9"/>
      <c r="F918" s="9"/>
      <c r="G918" s="9"/>
      <c r="H918" s="9"/>
      <c r="I918" s="10" t="str">
        <f>IF(B918="","",IF(COUNTIF(FUSE_CI!$A:$A,B918)&gt;0,"Yes","No"))</f>
        <v/>
      </c>
      <c r="J918" s="10" t="str">
        <f t="shared" si="14"/>
        <v/>
      </c>
      <c r="K918" s="10" t="str">
        <f>IF(B918="","",IF(COUNTIF(Finding_List!$A:$A,B918)&gt;0,"Yes","No"))</f>
        <v/>
      </c>
    </row>
    <row r="919" spans="1:11" x14ac:dyDescent="0.2">
      <c r="A919" s="5"/>
      <c r="B919" s="5"/>
      <c r="C919" s="5"/>
      <c r="D919" s="5"/>
      <c r="E919" s="5"/>
      <c r="F919" s="5"/>
      <c r="G919" s="5"/>
      <c r="H919" s="5"/>
      <c r="I919" s="10" t="str">
        <f>IF(B919="","",IF(COUNTIF(FUSE_CI!$A:$A,B919)&gt;0,"Yes","No"))</f>
        <v/>
      </c>
      <c r="J919" s="10" t="str">
        <f t="shared" si="14"/>
        <v/>
      </c>
      <c r="K919" s="10" t="str">
        <f>IF(B919="","",IF(COUNTIF(Finding_List!$A:$A,B919)&gt;0,"Yes","No"))</f>
        <v/>
      </c>
    </row>
    <row r="920" spans="1:11" x14ac:dyDescent="0.2">
      <c r="A920" s="9"/>
      <c r="B920" s="9"/>
      <c r="C920" s="9"/>
      <c r="D920" s="9"/>
      <c r="E920" s="9"/>
      <c r="F920" s="9"/>
      <c r="G920" s="9"/>
      <c r="H920" s="9"/>
      <c r="I920" s="10" t="str">
        <f>IF(B920="","",IF(COUNTIF(FUSE_CI!$A:$A,B920)&gt;0,"Yes","No"))</f>
        <v/>
      </c>
      <c r="J920" s="10" t="str">
        <f t="shared" si="14"/>
        <v/>
      </c>
      <c r="K920" s="10" t="str">
        <f>IF(B920="","",IF(COUNTIF(Finding_List!$A:$A,B920)&gt;0,"Yes","No"))</f>
        <v/>
      </c>
    </row>
    <row r="921" spans="1:11" x14ac:dyDescent="0.2">
      <c r="A921" s="5"/>
      <c r="B921" s="5"/>
      <c r="C921" s="5"/>
      <c r="D921" s="5"/>
      <c r="E921" s="5"/>
      <c r="F921" s="5"/>
      <c r="G921" s="5"/>
      <c r="H921" s="5"/>
      <c r="I921" s="10" t="str">
        <f>IF(B921="","",IF(COUNTIF(FUSE_CI!$A:$A,B921)&gt;0,"Yes","No"))</f>
        <v/>
      </c>
      <c r="J921" s="10" t="str">
        <f t="shared" si="14"/>
        <v/>
      </c>
      <c r="K921" s="10" t="str">
        <f>IF(B921="","",IF(COUNTIF(Finding_List!$A:$A,B921)&gt;0,"Yes","No"))</f>
        <v/>
      </c>
    </row>
    <row r="922" spans="1:11" x14ac:dyDescent="0.2">
      <c r="A922" s="9"/>
      <c r="B922" s="9"/>
      <c r="C922" s="9"/>
      <c r="D922" s="9"/>
      <c r="E922" s="9"/>
      <c r="F922" s="9"/>
      <c r="G922" s="9"/>
      <c r="H922" s="9"/>
      <c r="I922" s="10" t="str">
        <f>IF(B922="","",IF(COUNTIF(FUSE_CI!$A:$A,B922)&gt;0,"Yes","No"))</f>
        <v/>
      </c>
      <c r="J922" s="10" t="str">
        <f t="shared" si="14"/>
        <v/>
      </c>
      <c r="K922" s="10" t="str">
        <f>IF(B922="","",IF(COUNTIF(Finding_List!$A:$A,B922)&gt;0,"Yes","No"))</f>
        <v/>
      </c>
    </row>
    <row r="923" spans="1:11" x14ac:dyDescent="0.2">
      <c r="A923" s="5"/>
      <c r="B923" s="5"/>
      <c r="C923" s="5"/>
      <c r="D923" s="5"/>
      <c r="E923" s="5"/>
      <c r="F923" s="5"/>
      <c r="G923" s="5"/>
      <c r="H923" s="5"/>
      <c r="I923" s="10" t="str">
        <f>IF(B923="","",IF(COUNTIF(FUSE_CI!$A:$A,B923)&gt;0,"Yes","No"))</f>
        <v/>
      </c>
      <c r="J923" s="10" t="str">
        <f t="shared" si="14"/>
        <v/>
      </c>
      <c r="K923" s="10" t="str">
        <f>IF(B923="","",IF(COUNTIF(Finding_List!$A:$A,B923)&gt;0,"Yes","No"))</f>
        <v/>
      </c>
    </row>
    <row r="924" spans="1:11" x14ac:dyDescent="0.2">
      <c r="A924" s="9"/>
      <c r="B924" s="9"/>
      <c r="C924" s="9"/>
      <c r="D924" s="9"/>
      <c r="E924" s="9"/>
      <c r="F924" s="9"/>
      <c r="G924" s="9"/>
      <c r="H924" s="9"/>
      <c r="I924" s="10" t="str">
        <f>IF(B924="","",IF(COUNTIF(FUSE_CI!$A:$A,B924)&gt;0,"Yes","No"))</f>
        <v/>
      </c>
      <c r="J924" s="10" t="str">
        <f t="shared" si="14"/>
        <v/>
      </c>
      <c r="K924" s="10" t="str">
        <f>IF(B924="","",IF(COUNTIF(Finding_List!$A:$A,B924)&gt;0,"Yes","No"))</f>
        <v/>
      </c>
    </row>
    <row r="925" spans="1:11" x14ac:dyDescent="0.2">
      <c r="A925" s="5"/>
      <c r="B925" s="5"/>
      <c r="C925" s="5"/>
      <c r="D925" s="5"/>
      <c r="E925" s="5"/>
      <c r="F925" s="5"/>
      <c r="G925" s="5"/>
      <c r="H925" s="5"/>
      <c r="I925" s="10" t="str">
        <f>IF(B925="","",IF(COUNTIF(FUSE_CI!$A:$A,B925)&gt;0,"Yes","No"))</f>
        <v/>
      </c>
      <c r="J925" s="10" t="str">
        <f t="shared" si="14"/>
        <v/>
      </c>
      <c r="K925" s="10" t="str">
        <f>IF(B925="","",IF(COUNTIF(Finding_List!$A:$A,B925)&gt;0,"Yes","No"))</f>
        <v/>
      </c>
    </row>
    <row r="926" spans="1:11" x14ac:dyDescent="0.2">
      <c r="A926" s="9"/>
      <c r="B926" s="9"/>
      <c r="C926" s="9"/>
      <c r="D926" s="9"/>
      <c r="E926" s="9"/>
      <c r="F926" s="9"/>
      <c r="G926" s="9"/>
      <c r="H926" s="9"/>
      <c r="I926" s="10" t="str">
        <f>IF(B926="","",IF(COUNTIF(FUSE_CI!$A:$A,B926)&gt;0,"Yes","No"))</f>
        <v/>
      </c>
      <c r="J926" s="10" t="str">
        <f t="shared" si="14"/>
        <v/>
      </c>
      <c r="K926" s="10" t="str">
        <f>IF(B926="","",IF(COUNTIF(Finding_List!$A:$A,B926)&gt;0,"Yes","No"))</f>
        <v/>
      </c>
    </row>
    <row r="927" spans="1:11" x14ac:dyDescent="0.2">
      <c r="A927" s="5"/>
      <c r="B927" s="5"/>
      <c r="C927" s="5"/>
      <c r="D927" s="5"/>
      <c r="E927" s="5"/>
      <c r="F927" s="5"/>
      <c r="G927" s="5"/>
      <c r="H927" s="5"/>
      <c r="I927" s="10" t="str">
        <f>IF(B927="","",IF(COUNTIF(FUSE_CI!$A:$A,B927)&gt;0,"Yes","No"))</f>
        <v/>
      </c>
      <c r="J927" s="10" t="str">
        <f t="shared" si="14"/>
        <v/>
      </c>
      <c r="K927" s="10" t="str">
        <f>IF(B927="","",IF(COUNTIF(Finding_List!$A:$A,B927)&gt;0,"Yes","No"))</f>
        <v/>
      </c>
    </row>
    <row r="928" spans="1:11" x14ac:dyDescent="0.2">
      <c r="A928" s="9"/>
      <c r="B928" s="9"/>
      <c r="C928" s="9"/>
      <c r="D928" s="9"/>
      <c r="E928" s="9"/>
      <c r="F928" s="9"/>
      <c r="G928" s="9"/>
      <c r="H928" s="9"/>
      <c r="I928" s="10" t="str">
        <f>IF(B928="","",IF(COUNTIF(FUSE_CI!$A:$A,B928)&gt;0,"Yes","No"))</f>
        <v/>
      </c>
      <c r="J928" s="10" t="str">
        <f t="shared" si="14"/>
        <v/>
      </c>
      <c r="K928" s="10" t="str">
        <f>IF(B928="","",IF(COUNTIF(Finding_List!$A:$A,B928)&gt;0,"Yes","No"))</f>
        <v/>
      </c>
    </row>
    <row r="929" spans="1:11" x14ac:dyDescent="0.2">
      <c r="A929" s="5"/>
      <c r="B929" s="5"/>
      <c r="C929" s="5"/>
      <c r="D929" s="5"/>
      <c r="E929" s="5"/>
      <c r="F929" s="5"/>
      <c r="G929" s="5"/>
      <c r="H929" s="5"/>
      <c r="I929" s="10" t="str">
        <f>IF(B929="","",IF(COUNTIF(FUSE_CI!$A:$A,B929)&gt;0,"Yes","No"))</f>
        <v/>
      </c>
      <c r="J929" s="10" t="str">
        <f t="shared" si="14"/>
        <v/>
      </c>
      <c r="K929" s="10" t="str">
        <f>IF(B929="","",IF(COUNTIF(Finding_List!$A:$A,B929)&gt;0,"Yes","No"))</f>
        <v/>
      </c>
    </row>
    <row r="930" spans="1:11" x14ac:dyDescent="0.2">
      <c r="A930" s="9"/>
      <c r="B930" s="9"/>
      <c r="C930" s="9"/>
      <c r="D930" s="9"/>
      <c r="E930" s="9"/>
      <c r="F930" s="9"/>
      <c r="G930" s="9"/>
      <c r="H930" s="9"/>
      <c r="I930" s="10" t="str">
        <f>IF(B930="","",IF(COUNTIF(FUSE_CI!$A:$A,B930)&gt;0,"Yes","No"))</f>
        <v/>
      </c>
      <c r="J930" s="10" t="str">
        <f t="shared" si="14"/>
        <v/>
      </c>
      <c r="K930" s="10" t="str">
        <f>IF(B930="","",IF(COUNTIF(Finding_List!$A:$A,B930)&gt;0,"Yes","No"))</f>
        <v/>
      </c>
    </row>
    <row r="931" spans="1:11" x14ac:dyDescent="0.2">
      <c r="A931" s="5"/>
      <c r="B931" s="5"/>
      <c r="C931" s="5"/>
      <c r="D931" s="5"/>
      <c r="E931" s="5"/>
      <c r="F931" s="5"/>
      <c r="G931" s="5"/>
      <c r="H931" s="5"/>
      <c r="I931" s="10" t="str">
        <f>IF(B931="","",IF(COUNTIF(FUSE_CI!$A:$A,B931)&gt;0,"Yes","No"))</f>
        <v/>
      </c>
      <c r="J931" s="10" t="str">
        <f t="shared" si="14"/>
        <v/>
      </c>
      <c r="K931" s="10" t="str">
        <f>IF(B931="","",IF(COUNTIF(Finding_List!$A:$A,B931)&gt;0,"Yes","No"))</f>
        <v/>
      </c>
    </row>
    <row r="932" spans="1:11" x14ac:dyDescent="0.2">
      <c r="A932" s="9"/>
      <c r="B932" s="9"/>
      <c r="C932" s="9"/>
      <c r="D932" s="9"/>
      <c r="E932" s="9"/>
      <c r="F932" s="9"/>
      <c r="G932" s="9"/>
      <c r="H932" s="9"/>
      <c r="I932" s="10" t="str">
        <f>IF(B932="","",IF(COUNTIF(FUSE_CI!$A:$A,B932)&gt;0,"Yes","No"))</f>
        <v/>
      </c>
      <c r="J932" s="10" t="str">
        <f t="shared" si="14"/>
        <v/>
      </c>
      <c r="K932" s="10" t="str">
        <f>IF(B932="","",IF(COUNTIF(Finding_List!$A:$A,B932)&gt;0,"Yes","No"))</f>
        <v/>
      </c>
    </row>
    <row r="933" spans="1:11" x14ac:dyDescent="0.2">
      <c r="A933" s="5"/>
      <c r="B933" s="5"/>
      <c r="C933" s="5"/>
      <c r="D933" s="5"/>
      <c r="E933" s="5"/>
      <c r="F933" s="5"/>
      <c r="G933" s="5"/>
      <c r="H933" s="5"/>
      <c r="I933" s="10" t="str">
        <f>IF(B933="","",IF(COUNTIF(FUSE_CI!$A:$A,B933)&gt;0,"Yes","No"))</f>
        <v/>
      </c>
      <c r="J933" s="10" t="str">
        <f t="shared" si="14"/>
        <v/>
      </c>
      <c r="K933" s="10" t="str">
        <f>IF(B933="","",IF(COUNTIF(Finding_List!$A:$A,B933)&gt;0,"Yes","No"))</f>
        <v/>
      </c>
    </row>
    <row r="934" spans="1:11" x14ac:dyDescent="0.2">
      <c r="A934" s="9"/>
      <c r="B934" s="9"/>
      <c r="C934" s="9"/>
      <c r="D934" s="9"/>
      <c r="E934" s="9"/>
      <c r="F934" s="9"/>
      <c r="G934" s="9"/>
      <c r="H934" s="9"/>
      <c r="I934" s="10" t="str">
        <f>IF(B934="","",IF(COUNTIF(FUSE_CI!$A:$A,B934)&gt;0,"Yes","No"))</f>
        <v/>
      </c>
      <c r="J934" s="10" t="str">
        <f t="shared" si="14"/>
        <v/>
      </c>
      <c r="K934" s="10" t="str">
        <f>IF(B934="","",IF(COUNTIF(Finding_List!$A:$A,B934)&gt;0,"Yes","No"))</f>
        <v/>
      </c>
    </row>
    <row r="935" spans="1:11" x14ac:dyDescent="0.2">
      <c r="A935" s="5"/>
      <c r="B935" s="5"/>
      <c r="C935" s="5"/>
      <c r="D935" s="5"/>
      <c r="E935" s="5"/>
      <c r="F935" s="5"/>
      <c r="G935" s="5"/>
      <c r="H935" s="5"/>
      <c r="I935" s="10" t="str">
        <f>IF(B935="","",IF(COUNTIF(FUSE_CI!$A:$A,B935)&gt;0,"Yes","No"))</f>
        <v/>
      </c>
      <c r="J935" s="10" t="str">
        <f t="shared" si="14"/>
        <v/>
      </c>
      <c r="K935" s="10" t="str">
        <f>IF(B935="","",IF(COUNTIF(Finding_List!$A:$A,B935)&gt;0,"Yes","No"))</f>
        <v/>
      </c>
    </row>
    <row r="936" spans="1:11" x14ac:dyDescent="0.2">
      <c r="A936" s="9"/>
      <c r="B936" s="9"/>
      <c r="C936" s="9"/>
      <c r="D936" s="9"/>
      <c r="E936" s="9"/>
      <c r="F936" s="9"/>
      <c r="G936" s="9"/>
      <c r="H936" s="9"/>
      <c r="I936" s="10" t="str">
        <f>IF(B936="","",IF(COUNTIF(FUSE_CI!$A:$A,B936)&gt;0,"Yes","No"))</f>
        <v/>
      </c>
      <c r="J936" s="10" t="str">
        <f t="shared" si="14"/>
        <v/>
      </c>
      <c r="K936" s="10" t="str">
        <f>IF(B936="","",IF(COUNTIF(Finding_List!$A:$A,B936)&gt;0,"Yes","No"))</f>
        <v/>
      </c>
    </row>
    <row r="937" spans="1:11" x14ac:dyDescent="0.2">
      <c r="A937" s="5"/>
      <c r="B937" s="5"/>
      <c r="C937" s="5"/>
      <c r="D937" s="5"/>
      <c r="E937" s="5"/>
      <c r="F937" s="5"/>
      <c r="G937" s="5"/>
      <c r="H937" s="5"/>
      <c r="I937" s="10" t="str">
        <f>IF(B937="","",IF(COUNTIF(FUSE_CI!$A:$A,B937)&gt;0,"Yes","No"))</f>
        <v/>
      </c>
      <c r="J937" s="10" t="str">
        <f t="shared" si="14"/>
        <v/>
      </c>
      <c r="K937" s="10" t="str">
        <f>IF(B937="","",IF(COUNTIF(Finding_List!$A:$A,B937)&gt;0,"Yes","No"))</f>
        <v/>
      </c>
    </row>
    <row r="938" spans="1:11" x14ac:dyDescent="0.2">
      <c r="A938" s="9"/>
      <c r="B938" s="9"/>
      <c r="C938" s="9"/>
      <c r="D938" s="9"/>
      <c r="E938" s="9"/>
      <c r="F938" s="9"/>
      <c r="G938" s="9"/>
      <c r="H938" s="9"/>
      <c r="I938" s="10" t="str">
        <f>IF(B938="","",IF(COUNTIF(FUSE_CI!$A:$A,B938)&gt;0,"Yes","No"))</f>
        <v/>
      </c>
      <c r="J938" s="10" t="str">
        <f t="shared" si="14"/>
        <v/>
      </c>
      <c r="K938" s="10" t="str">
        <f>IF(B938="","",IF(COUNTIF(Finding_List!$A:$A,B938)&gt;0,"Yes","No"))</f>
        <v/>
      </c>
    </row>
    <row r="939" spans="1:11" x14ac:dyDescent="0.2">
      <c r="A939" s="5"/>
      <c r="B939" s="5"/>
      <c r="C939" s="5"/>
      <c r="D939" s="5"/>
      <c r="E939" s="5"/>
      <c r="F939" s="5"/>
      <c r="G939" s="5"/>
      <c r="H939" s="5"/>
      <c r="I939" s="10" t="str">
        <f>IF(B939="","",IF(COUNTIF(FUSE_CI!$A:$A,B939)&gt;0,"Yes","No"))</f>
        <v/>
      </c>
      <c r="J939" s="10" t="str">
        <f t="shared" si="14"/>
        <v/>
      </c>
      <c r="K939" s="10" t="str">
        <f>IF(B939="","",IF(COUNTIF(Finding_List!$A:$A,B939)&gt;0,"Yes","No"))</f>
        <v/>
      </c>
    </row>
    <row r="940" spans="1:11" x14ac:dyDescent="0.2">
      <c r="A940" s="9"/>
      <c r="B940" s="9"/>
      <c r="C940" s="9"/>
      <c r="D940" s="9"/>
      <c r="E940" s="9"/>
      <c r="F940" s="9"/>
      <c r="G940" s="9"/>
      <c r="H940" s="9"/>
      <c r="I940" s="10" t="str">
        <f>IF(B940="","",IF(COUNTIF(FUSE_CI!$A:$A,B940)&gt;0,"Yes","No"))</f>
        <v/>
      </c>
      <c r="J940" s="10" t="str">
        <f t="shared" si="14"/>
        <v/>
      </c>
      <c r="K940" s="10" t="str">
        <f>IF(B940="","",IF(COUNTIF(Finding_List!$A:$A,B940)&gt;0,"Yes","No"))</f>
        <v/>
      </c>
    </row>
    <row r="941" spans="1:11" x14ac:dyDescent="0.2">
      <c r="A941" s="5"/>
      <c r="B941" s="5"/>
      <c r="C941" s="5"/>
      <c r="D941" s="5"/>
      <c r="E941" s="5"/>
      <c r="F941" s="5"/>
      <c r="G941" s="5"/>
      <c r="H941" s="5"/>
      <c r="I941" s="10" t="str">
        <f>IF(B941="","",IF(COUNTIF(FUSE_CI!$A:$A,B941)&gt;0,"Yes","No"))</f>
        <v/>
      </c>
      <c r="J941" s="10" t="str">
        <f t="shared" si="14"/>
        <v/>
      </c>
      <c r="K941" s="10" t="str">
        <f>IF(B941="","",IF(COUNTIF(Finding_List!$A:$A,B941)&gt;0,"Yes","No"))</f>
        <v/>
      </c>
    </row>
    <row r="942" spans="1:11" x14ac:dyDescent="0.2">
      <c r="A942" s="9"/>
      <c r="B942" s="9"/>
      <c r="C942" s="9"/>
      <c r="D942" s="9"/>
      <c r="E942" s="9"/>
      <c r="F942" s="9"/>
      <c r="G942" s="9"/>
      <c r="H942" s="9"/>
      <c r="I942" s="10" t="str">
        <f>IF(B942="","",IF(COUNTIF(FUSE_CI!$A:$A,B942)&gt;0,"Yes","No"))</f>
        <v/>
      </c>
      <c r="J942" s="10" t="str">
        <f t="shared" si="14"/>
        <v/>
      </c>
      <c r="K942" s="10" t="str">
        <f>IF(B942="","",IF(COUNTIF(Finding_List!$A:$A,B942)&gt;0,"Yes","No"))</f>
        <v/>
      </c>
    </row>
    <row r="943" spans="1:11" x14ac:dyDescent="0.2">
      <c r="A943" s="5"/>
      <c r="B943" s="5"/>
      <c r="C943" s="5"/>
      <c r="D943" s="5"/>
      <c r="E943" s="5"/>
      <c r="F943" s="5"/>
      <c r="G943" s="5"/>
      <c r="H943" s="5"/>
      <c r="I943" s="10" t="str">
        <f>IF(B943="","",IF(COUNTIF(FUSE_CI!$A:$A,B943)&gt;0,"Yes","No"))</f>
        <v/>
      </c>
      <c r="J943" s="10" t="str">
        <f t="shared" si="14"/>
        <v/>
      </c>
      <c r="K943" s="10" t="str">
        <f>IF(B943="","",IF(COUNTIF(Finding_List!$A:$A,B943)&gt;0,"Yes","No"))</f>
        <v/>
      </c>
    </row>
    <row r="944" spans="1:11" x14ac:dyDescent="0.2">
      <c r="A944" s="9"/>
      <c r="B944" s="9"/>
      <c r="C944" s="9"/>
      <c r="D944" s="9"/>
      <c r="E944" s="9"/>
      <c r="F944" s="9"/>
      <c r="G944" s="9"/>
      <c r="H944" s="9"/>
      <c r="I944" s="10" t="str">
        <f>IF(B944="","",IF(COUNTIF(FUSE_CI!$A:$A,B944)&gt;0,"Yes","No"))</f>
        <v/>
      </c>
      <c r="J944" s="10" t="str">
        <f t="shared" si="14"/>
        <v/>
      </c>
      <c r="K944" s="10" t="str">
        <f>IF(B944="","",IF(COUNTIF(Finding_List!$A:$A,B944)&gt;0,"Yes","No"))</f>
        <v/>
      </c>
    </row>
    <row r="945" spans="1:11" x14ac:dyDescent="0.2">
      <c r="A945" s="5"/>
      <c r="B945" s="5"/>
      <c r="C945" s="5"/>
      <c r="D945" s="5"/>
      <c r="E945" s="5"/>
      <c r="F945" s="5"/>
      <c r="G945" s="5"/>
      <c r="H945" s="5"/>
      <c r="I945" s="10" t="str">
        <f>IF(B945="","",IF(COUNTIF(FUSE_CI!$A:$A,B945)&gt;0,"Yes","No"))</f>
        <v/>
      </c>
      <c r="J945" s="10" t="str">
        <f t="shared" si="14"/>
        <v/>
      </c>
      <c r="K945" s="10" t="str">
        <f>IF(B945="","",IF(COUNTIF(Finding_List!$A:$A,B945)&gt;0,"Yes","No"))</f>
        <v/>
      </c>
    </row>
    <row r="946" spans="1:11" x14ac:dyDescent="0.2">
      <c r="A946" s="9"/>
      <c r="B946" s="9"/>
      <c r="C946" s="9"/>
      <c r="D946" s="9"/>
      <c r="E946" s="9"/>
      <c r="F946" s="9"/>
      <c r="G946" s="9"/>
      <c r="H946" s="9"/>
      <c r="I946" s="10" t="str">
        <f>IF(B946="","",IF(COUNTIF(FUSE_CI!$A:$A,B946)&gt;0,"Yes","No"))</f>
        <v/>
      </c>
      <c r="J946" s="10" t="str">
        <f t="shared" si="14"/>
        <v/>
      </c>
      <c r="K946" s="10" t="str">
        <f>IF(B946="","",IF(COUNTIF(Finding_List!$A:$A,B946)&gt;0,"Yes","No"))</f>
        <v/>
      </c>
    </row>
    <row r="947" spans="1:11" x14ac:dyDescent="0.2">
      <c r="A947" s="5"/>
      <c r="B947" s="5"/>
      <c r="C947" s="5"/>
      <c r="D947" s="5"/>
      <c r="E947" s="5"/>
      <c r="F947" s="5"/>
      <c r="G947" s="5"/>
      <c r="H947" s="5"/>
      <c r="I947" s="10" t="str">
        <f>IF(B947="","",IF(COUNTIF(FUSE_CI!$A:$A,B947)&gt;0,"Yes","No"))</f>
        <v/>
      </c>
      <c r="J947" s="10" t="str">
        <f t="shared" si="14"/>
        <v/>
      </c>
      <c r="K947" s="10" t="str">
        <f>IF(B947="","",IF(COUNTIF(Finding_List!$A:$A,B947)&gt;0,"Yes","No"))</f>
        <v/>
      </c>
    </row>
    <row r="948" spans="1:11" x14ac:dyDescent="0.2">
      <c r="A948" s="9"/>
      <c r="B948" s="9"/>
      <c r="C948" s="9"/>
      <c r="D948" s="9"/>
      <c r="E948" s="9"/>
      <c r="F948" s="9"/>
      <c r="G948" s="9"/>
      <c r="H948" s="9"/>
      <c r="I948" s="10" t="str">
        <f>IF(B948="","",IF(COUNTIF(FUSE_CI!$A:$A,B948)&gt;0,"Yes","No"))</f>
        <v/>
      </c>
      <c r="J948" s="10" t="str">
        <f t="shared" si="14"/>
        <v/>
      </c>
      <c r="K948" s="10" t="str">
        <f>IF(B948="","",IF(COUNTIF(Finding_List!$A:$A,B948)&gt;0,"Yes","No"))</f>
        <v/>
      </c>
    </row>
    <row r="949" spans="1:11" x14ac:dyDescent="0.2">
      <c r="A949" s="5"/>
      <c r="B949" s="5"/>
      <c r="C949" s="5"/>
      <c r="D949" s="5"/>
      <c r="E949" s="5"/>
      <c r="F949" s="5"/>
      <c r="G949" s="5"/>
      <c r="H949" s="5"/>
      <c r="I949" s="10" t="str">
        <f>IF(B949="","",IF(COUNTIF(FUSE_CI!$A:$A,B949)&gt;0,"Yes","No"))</f>
        <v/>
      </c>
      <c r="J949" s="10" t="str">
        <f t="shared" si="14"/>
        <v/>
      </c>
      <c r="K949" s="10" t="str">
        <f>IF(B949="","",IF(COUNTIF(Finding_List!$A:$A,B949)&gt;0,"Yes","No"))</f>
        <v/>
      </c>
    </row>
    <row r="950" spans="1:11" x14ac:dyDescent="0.2">
      <c r="A950" s="9"/>
      <c r="B950" s="9"/>
      <c r="C950" s="9"/>
      <c r="D950" s="9"/>
      <c r="E950" s="9"/>
      <c r="F950" s="9"/>
      <c r="G950" s="9"/>
      <c r="H950" s="9"/>
      <c r="I950" s="10" t="str">
        <f>IF(B950="","",IF(COUNTIF(FUSE_CI!$A:$A,B950)&gt;0,"Yes","No"))</f>
        <v/>
      </c>
      <c r="J950" s="10" t="str">
        <f t="shared" si="14"/>
        <v/>
      </c>
      <c r="K950" s="10" t="str">
        <f>IF(B950="","",IF(COUNTIF(Finding_List!$A:$A,B950)&gt;0,"Yes","No"))</f>
        <v/>
      </c>
    </row>
    <row r="951" spans="1:11" x14ac:dyDescent="0.2">
      <c r="A951" s="5"/>
      <c r="B951" s="5"/>
      <c r="C951" s="5"/>
      <c r="D951" s="5"/>
      <c r="E951" s="5"/>
      <c r="F951" s="5"/>
      <c r="G951" s="5"/>
      <c r="H951" s="5"/>
      <c r="I951" s="10" t="str">
        <f>IF(B951="","",IF(COUNTIF(FUSE_CI!$A:$A,B951)&gt;0,"Yes","No"))</f>
        <v/>
      </c>
      <c r="J951" s="10" t="str">
        <f t="shared" si="14"/>
        <v/>
      </c>
      <c r="K951" s="10" t="str">
        <f>IF(B951="","",IF(COUNTIF(Finding_List!$A:$A,B951)&gt;0,"Yes","No"))</f>
        <v/>
      </c>
    </row>
    <row r="952" spans="1:11" x14ac:dyDescent="0.2">
      <c r="A952" s="9"/>
      <c r="B952" s="9"/>
      <c r="C952" s="9"/>
      <c r="D952" s="9"/>
      <c r="E952" s="9"/>
      <c r="F952" s="9"/>
      <c r="G952" s="9"/>
      <c r="H952" s="9"/>
      <c r="I952" s="10" t="str">
        <f>IF(B952="","",IF(COUNTIF(FUSE_CI!$A:$A,B952)&gt;0,"Yes","No"))</f>
        <v/>
      </c>
      <c r="J952" s="10" t="str">
        <f t="shared" si="14"/>
        <v/>
      </c>
      <c r="K952" s="10" t="str">
        <f>IF(B952="","",IF(COUNTIF(Finding_List!$A:$A,B952)&gt;0,"Yes","No"))</f>
        <v/>
      </c>
    </row>
    <row r="953" spans="1:11" x14ac:dyDescent="0.2">
      <c r="A953" s="5"/>
      <c r="B953" s="5"/>
      <c r="C953" s="5"/>
      <c r="D953" s="5"/>
      <c r="E953" s="5"/>
      <c r="F953" s="5"/>
      <c r="G953" s="5"/>
      <c r="H953" s="5"/>
      <c r="I953" s="10" t="str">
        <f>IF(B953="","",IF(COUNTIF(FUSE_CI!$A:$A,B953)&gt;0,"Yes","No"))</f>
        <v/>
      </c>
      <c r="J953" s="10" t="str">
        <f t="shared" si="14"/>
        <v/>
      </c>
      <c r="K953" s="10" t="str">
        <f>IF(B953="","",IF(COUNTIF(Finding_List!$A:$A,B953)&gt;0,"Yes","No"))</f>
        <v/>
      </c>
    </row>
    <row r="954" spans="1:11" x14ac:dyDescent="0.2">
      <c r="A954" s="9"/>
      <c r="B954" s="9"/>
      <c r="C954" s="9"/>
      <c r="D954" s="9"/>
      <c r="E954" s="9"/>
      <c r="F954" s="9"/>
      <c r="G954" s="9"/>
      <c r="H954" s="9"/>
      <c r="I954" s="10" t="str">
        <f>IF(B954="","",IF(COUNTIF(FUSE_CI!$A:$A,B954)&gt;0,"Yes","No"))</f>
        <v/>
      </c>
      <c r="J954" s="10" t="str">
        <f t="shared" si="14"/>
        <v/>
      </c>
      <c r="K954" s="10" t="str">
        <f>IF(B954="","",IF(COUNTIF(Finding_List!$A:$A,B954)&gt;0,"Yes","No"))</f>
        <v/>
      </c>
    </row>
    <row r="955" spans="1:11" x14ac:dyDescent="0.2">
      <c r="A955" s="5"/>
      <c r="B955" s="5"/>
      <c r="C955" s="5"/>
      <c r="D955" s="5"/>
      <c r="E955" s="5"/>
      <c r="F955" s="5"/>
      <c r="G955" s="5"/>
      <c r="H955" s="5"/>
      <c r="I955" s="10" t="str">
        <f>IF(B955="","",IF(COUNTIF(FUSE_CI!$A:$A,B955)&gt;0,"Yes","No"))</f>
        <v/>
      </c>
      <c r="J955" s="10" t="str">
        <f t="shared" si="14"/>
        <v/>
      </c>
      <c r="K955" s="10" t="str">
        <f>IF(B955="","",IF(COUNTIF(Finding_List!$A:$A,B955)&gt;0,"Yes","No"))</f>
        <v/>
      </c>
    </row>
    <row r="956" spans="1:11" x14ac:dyDescent="0.2">
      <c r="A956" s="9"/>
      <c r="B956" s="9"/>
      <c r="C956" s="9"/>
      <c r="D956" s="9"/>
      <c r="E956" s="9"/>
      <c r="F956" s="9"/>
      <c r="G956" s="9"/>
      <c r="H956" s="9"/>
      <c r="I956" s="10" t="str">
        <f>IF(B956="","",IF(COUNTIF(FUSE_CI!$A:$A,B956)&gt;0,"Yes","No"))</f>
        <v/>
      </c>
      <c r="J956" s="10" t="str">
        <f t="shared" si="14"/>
        <v/>
      </c>
      <c r="K956" s="10" t="str">
        <f>IF(B956="","",IF(COUNTIF(Finding_List!$A:$A,B956)&gt;0,"Yes","No"))</f>
        <v/>
      </c>
    </row>
    <row r="957" spans="1:11" x14ac:dyDescent="0.2">
      <c r="A957" s="5"/>
      <c r="B957" s="5"/>
      <c r="C957" s="5"/>
      <c r="D957" s="5"/>
      <c r="E957" s="5"/>
      <c r="F957" s="5"/>
      <c r="G957" s="5"/>
      <c r="H957" s="5"/>
      <c r="I957" s="10" t="str">
        <f>IF(B957="","",IF(COUNTIF(FUSE_CI!$A:$A,B957)&gt;0,"Yes","No"))</f>
        <v/>
      </c>
      <c r="J957" s="10" t="str">
        <f t="shared" si="14"/>
        <v/>
      </c>
      <c r="K957" s="10" t="str">
        <f>IF(B957="","",IF(COUNTIF(Finding_List!$A:$A,B957)&gt;0,"Yes","No"))</f>
        <v/>
      </c>
    </row>
    <row r="958" spans="1:11" x14ac:dyDescent="0.2">
      <c r="A958" s="9"/>
      <c r="B958" s="9"/>
      <c r="C958" s="9"/>
      <c r="D958" s="9"/>
      <c r="E958" s="9"/>
      <c r="F958" s="9"/>
      <c r="G958" s="9"/>
      <c r="H958" s="9"/>
      <c r="I958" s="10" t="str">
        <f>IF(B958="","",IF(COUNTIF(FUSE_CI!$A:$A,B958)&gt;0,"Yes","No"))</f>
        <v/>
      </c>
      <c r="J958" s="10" t="str">
        <f t="shared" si="14"/>
        <v/>
      </c>
      <c r="K958" s="10" t="str">
        <f>IF(B958="","",IF(COUNTIF(Finding_List!$A:$A,B958)&gt;0,"Yes","No"))</f>
        <v/>
      </c>
    </row>
    <row r="959" spans="1:11" x14ac:dyDescent="0.2">
      <c r="A959" s="5"/>
      <c r="B959" s="5"/>
      <c r="C959" s="5"/>
      <c r="D959" s="5"/>
      <c r="E959" s="5"/>
      <c r="F959" s="5"/>
      <c r="G959" s="5"/>
      <c r="H959" s="5"/>
      <c r="I959" s="10" t="str">
        <f>IF(B959="","",IF(COUNTIF(FUSE_CI!$A:$A,B959)&gt;0,"Yes","No"))</f>
        <v/>
      </c>
      <c r="J959" s="10" t="str">
        <f t="shared" si="14"/>
        <v/>
      </c>
      <c r="K959" s="10" t="str">
        <f>IF(B959="","",IF(COUNTIF(Finding_List!$A:$A,B959)&gt;0,"Yes","No"))</f>
        <v/>
      </c>
    </row>
    <row r="960" spans="1:11" x14ac:dyDescent="0.2">
      <c r="A960" s="9"/>
      <c r="B960" s="9"/>
      <c r="C960" s="9"/>
      <c r="D960" s="9"/>
      <c r="E960" s="9"/>
      <c r="F960" s="9"/>
      <c r="G960" s="9"/>
      <c r="H960" s="9"/>
      <c r="I960" s="10" t="str">
        <f>IF(B960="","",IF(COUNTIF(FUSE_CI!$A:$A,B960)&gt;0,"Yes","No"))</f>
        <v/>
      </c>
      <c r="J960" s="10" t="str">
        <f t="shared" si="14"/>
        <v/>
      </c>
      <c r="K960" s="10" t="str">
        <f>IF(B960="","",IF(COUNTIF(Finding_List!$A:$A,B960)&gt;0,"Yes","No"))</f>
        <v/>
      </c>
    </row>
    <row r="961" spans="1:11" x14ac:dyDescent="0.2">
      <c r="A961" s="5"/>
      <c r="B961" s="5"/>
      <c r="C961" s="5"/>
      <c r="D961" s="5"/>
      <c r="E961" s="5"/>
      <c r="F961" s="5"/>
      <c r="G961" s="5"/>
      <c r="H961" s="5"/>
      <c r="I961" s="10" t="str">
        <f>IF(B961="","",IF(COUNTIF(FUSE_CI!$A:$A,B961)&gt;0,"Yes","No"))</f>
        <v/>
      </c>
      <c r="J961" s="10" t="str">
        <f t="shared" si="14"/>
        <v/>
      </c>
      <c r="K961" s="10" t="str">
        <f>IF(B961="","",IF(COUNTIF(Finding_List!$A:$A,B961)&gt;0,"Yes","No"))</f>
        <v/>
      </c>
    </row>
    <row r="962" spans="1:11" x14ac:dyDescent="0.2">
      <c r="A962" s="9"/>
      <c r="B962" s="9"/>
      <c r="C962" s="9"/>
      <c r="D962" s="9"/>
      <c r="E962" s="9"/>
      <c r="F962" s="9"/>
      <c r="G962" s="9"/>
      <c r="H962" s="9"/>
      <c r="I962" s="10" t="str">
        <f>IF(B962="","",IF(COUNTIF(FUSE_CI!$A:$A,B962)&gt;0,"Yes","No"))</f>
        <v/>
      </c>
      <c r="J962" s="10" t="str">
        <f t="shared" si="14"/>
        <v/>
      </c>
      <c r="K962" s="10" t="str">
        <f>IF(B962="","",IF(COUNTIF(Finding_List!$A:$A,B962)&gt;0,"Yes","No"))</f>
        <v/>
      </c>
    </row>
    <row r="963" spans="1:11" x14ac:dyDescent="0.2">
      <c r="A963" s="5"/>
      <c r="B963" s="5"/>
      <c r="C963" s="5"/>
      <c r="D963" s="5"/>
      <c r="E963" s="5"/>
      <c r="F963" s="5"/>
      <c r="G963" s="5"/>
      <c r="H963" s="5"/>
      <c r="I963" s="10" t="str">
        <f>IF(B963="","",IF(COUNTIF(FUSE_CI!$A:$A,B963)&gt;0,"Yes","No"))</f>
        <v/>
      </c>
      <c r="J963" s="10" t="str">
        <f t="shared" si="14"/>
        <v/>
      </c>
      <c r="K963" s="10" t="str">
        <f>IF(B963="","",IF(COUNTIF(Finding_List!$A:$A,B963)&gt;0,"Yes","No"))</f>
        <v/>
      </c>
    </row>
    <row r="964" spans="1:11" x14ac:dyDescent="0.2">
      <c r="A964" s="9"/>
      <c r="B964" s="9"/>
      <c r="C964" s="9"/>
      <c r="D964" s="9"/>
      <c r="E964" s="9"/>
      <c r="F964" s="9"/>
      <c r="G964" s="9"/>
      <c r="H964" s="9"/>
      <c r="I964" s="10" t="str">
        <f>IF(B964="","",IF(COUNTIF(FUSE_CI!$A:$A,B964)&gt;0,"Yes","No"))</f>
        <v/>
      </c>
      <c r="J964" s="10" t="str">
        <f t="shared" ref="J964:J1027" si="15">IF(B964="","",IF(AND(D964&lt;&gt;"High",D964&lt;&gt;"Very High",I964="Yes",K964="No"),"Fast Follower","Not Eligible"))</f>
        <v/>
      </c>
      <c r="K964" s="10" t="str">
        <f>IF(B964="","",IF(COUNTIF(Finding_List!$A:$A,B964)&gt;0,"Yes","No"))</f>
        <v/>
      </c>
    </row>
    <row r="965" spans="1:11" x14ac:dyDescent="0.2">
      <c r="A965" s="5"/>
      <c r="B965" s="5"/>
      <c r="C965" s="5"/>
      <c r="D965" s="5"/>
      <c r="E965" s="5"/>
      <c r="F965" s="5"/>
      <c r="G965" s="5"/>
      <c r="H965" s="5"/>
      <c r="I965" s="10" t="str">
        <f>IF(B965="","",IF(COUNTIF(FUSE_CI!$A:$A,B965)&gt;0,"Yes","No"))</f>
        <v/>
      </c>
      <c r="J965" s="10" t="str">
        <f t="shared" si="15"/>
        <v/>
      </c>
      <c r="K965" s="10" t="str">
        <f>IF(B965="","",IF(COUNTIF(Finding_List!$A:$A,B965)&gt;0,"Yes","No"))</f>
        <v/>
      </c>
    </row>
    <row r="966" spans="1:11" x14ac:dyDescent="0.2">
      <c r="A966" s="9"/>
      <c r="B966" s="9"/>
      <c r="C966" s="9"/>
      <c r="D966" s="9"/>
      <c r="E966" s="9"/>
      <c r="F966" s="9"/>
      <c r="G966" s="9"/>
      <c r="H966" s="9"/>
      <c r="I966" s="10" t="str">
        <f>IF(B966="","",IF(COUNTIF(FUSE_CI!$A:$A,B966)&gt;0,"Yes","No"))</f>
        <v/>
      </c>
      <c r="J966" s="10" t="str">
        <f t="shared" si="15"/>
        <v/>
      </c>
      <c r="K966" s="10" t="str">
        <f>IF(B966="","",IF(COUNTIF(Finding_List!$A:$A,B966)&gt;0,"Yes","No"))</f>
        <v/>
      </c>
    </row>
    <row r="967" spans="1:11" x14ac:dyDescent="0.2">
      <c r="A967" s="5"/>
      <c r="B967" s="5"/>
      <c r="C967" s="5"/>
      <c r="D967" s="5"/>
      <c r="E967" s="5"/>
      <c r="F967" s="5"/>
      <c r="G967" s="5"/>
      <c r="H967" s="5"/>
      <c r="I967" s="10" t="str">
        <f>IF(B967="","",IF(COUNTIF(FUSE_CI!$A:$A,B967)&gt;0,"Yes","No"))</f>
        <v/>
      </c>
      <c r="J967" s="10" t="str">
        <f t="shared" si="15"/>
        <v/>
      </c>
      <c r="K967" s="10" t="str">
        <f>IF(B967="","",IF(COUNTIF(Finding_List!$A:$A,B967)&gt;0,"Yes","No"))</f>
        <v/>
      </c>
    </row>
    <row r="968" spans="1:11" x14ac:dyDescent="0.2">
      <c r="A968" s="9"/>
      <c r="B968" s="9"/>
      <c r="C968" s="9"/>
      <c r="D968" s="9"/>
      <c r="E968" s="9"/>
      <c r="F968" s="9"/>
      <c r="G968" s="9"/>
      <c r="H968" s="9"/>
      <c r="I968" s="10" t="str">
        <f>IF(B968="","",IF(COUNTIF(FUSE_CI!$A:$A,B968)&gt;0,"Yes","No"))</f>
        <v/>
      </c>
      <c r="J968" s="10" t="str">
        <f t="shared" si="15"/>
        <v/>
      </c>
      <c r="K968" s="10" t="str">
        <f>IF(B968="","",IF(COUNTIF(Finding_List!$A:$A,B968)&gt;0,"Yes","No"))</f>
        <v/>
      </c>
    </row>
    <row r="969" spans="1:11" x14ac:dyDescent="0.2">
      <c r="A969" s="5"/>
      <c r="B969" s="5"/>
      <c r="C969" s="5"/>
      <c r="D969" s="5"/>
      <c r="E969" s="5"/>
      <c r="F969" s="5"/>
      <c r="G969" s="5"/>
      <c r="H969" s="5"/>
      <c r="I969" s="10" t="str">
        <f>IF(B969="","",IF(COUNTIF(FUSE_CI!$A:$A,B969)&gt;0,"Yes","No"))</f>
        <v/>
      </c>
      <c r="J969" s="10" t="str">
        <f t="shared" si="15"/>
        <v/>
      </c>
      <c r="K969" s="10" t="str">
        <f>IF(B969="","",IF(COUNTIF(Finding_List!$A:$A,B969)&gt;0,"Yes","No"))</f>
        <v/>
      </c>
    </row>
    <row r="970" spans="1:11" x14ac:dyDescent="0.2">
      <c r="A970" s="9"/>
      <c r="B970" s="9"/>
      <c r="C970" s="9"/>
      <c r="D970" s="9"/>
      <c r="E970" s="9"/>
      <c r="F970" s="9"/>
      <c r="G970" s="9"/>
      <c r="H970" s="9"/>
      <c r="I970" s="10" t="str">
        <f>IF(B970="","",IF(COUNTIF(FUSE_CI!$A:$A,B970)&gt;0,"Yes","No"))</f>
        <v/>
      </c>
      <c r="J970" s="10" t="str">
        <f t="shared" si="15"/>
        <v/>
      </c>
      <c r="K970" s="10" t="str">
        <f>IF(B970="","",IF(COUNTIF(Finding_List!$A:$A,B970)&gt;0,"Yes","No"))</f>
        <v/>
      </c>
    </row>
    <row r="971" spans="1:11" x14ac:dyDescent="0.2">
      <c r="A971" s="5"/>
      <c r="B971" s="5"/>
      <c r="C971" s="5"/>
      <c r="D971" s="5"/>
      <c r="E971" s="5"/>
      <c r="F971" s="5"/>
      <c r="G971" s="5"/>
      <c r="H971" s="5"/>
      <c r="I971" s="10" t="str">
        <f>IF(B971="","",IF(COUNTIF(FUSE_CI!$A:$A,B971)&gt;0,"Yes","No"))</f>
        <v/>
      </c>
      <c r="J971" s="10" t="str">
        <f t="shared" si="15"/>
        <v/>
      </c>
      <c r="K971" s="10" t="str">
        <f>IF(B971="","",IF(COUNTIF(Finding_List!$A:$A,B971)&gt;0,"Yes","No"))</f>
        <v/>
      </c>
    </row>
    <row r="972" spans="1:11" x14ac:dyDescent="0.2">
      <c r="A972" s="9"/>
      <c r="B972" s="9"/>
      <c r="C972" s="9"/>
      <c r="D972" s="9"/>
      <c r="E972" s="9"/>
      <c r="F972" s="9"/>
      <c r="G972" s="9"/>
      <c r="H972" s="9"/>
      <c r="I972" s="10" t="str">
        <f>IF(B972="","",IF(COUNTIF(FUSE_CI!$A:$A,B972)&gt;0,"Yes","No"))</f>
        <v/>
      </c>
      <c r="J972" s="10" t="str">
        <f t="shared" si="15"/>
        <v/>
      </c>
      <c r="K972" s="10" t="str">
        <f>IF(B972="","",IF(COUNTIF(Finding_List!$A:$A,B972)&gt;0,"Yes","No"))</f>
        <v/>
      </c>
    </row>
    <row r="973" spans="1:11" x14ac:dyDescent="0.2">
      <c r="A973" s="5"/>
      <c r="B973" s="5"/>
      <c r="C973" s="5"/>
      <c r="D973" s="5"/>
      <c r="E973" s="5"/>
      <c r="F973" s="5"/>
      <c r="G973" s="5"/>
      <c r="H973" s="5"/>
      <c r="I973" s="10" t="str">
        <f>IF(B973="","",IF(COUNTIF(FUSE_CI!$A:$A,B973)&gt;0,"Yes","No"))</f>
        <v/>
      </c>
      <c r="J973" s="10" t="str">
        <f t="shared" si="15"/>
        <v/>
      </c>
      <c r="K973" s="10" t="str">
        <f>IF(B973="","",IF(COUNTIF(Finding_List!$A:$A,B973)&gt;0,"Yes","No"))</f>
        <v/>
      </c>
    </row>
    <row r="974" spans="1:11" x14ac:dyDescent="0.2">
      <c r="A974" s="9"/>
      <c r="B974" s="9"/>
      <c r="C974" s="9"/>
      <c r="D974" s="9"/>
      <c r="E974" s="9"/>
      <c r="F974" s="9"/>
      <c r="G974" s="9"/>
      <c r="H974" s="9"/>
      <c r="I974" s="10" t="str">
        <f>IF(B974="","",IF(COUNTIF(FUSE_CI!$A:$A,B974)&gt;0,"Yes","No"))</f>
        <v/>
      </c>
      <c r="J974" s="10" t="str">
        <f t="shared" si="15"/>
        <v/>
      </c>
      <c r="K974" s="10" t="str">
        <f>IF(B974="","",IF(COUNTIF(Finding_List!$A:$A,B974)&gt;0,"Yes","No"))</f>
        <v/>
      </c>
    </row>
    <row r="975" spans="1:11" x14ac:dyDescent="0.2">
      <c r="A975" s="5"/>
      <c r="B975" s="5"/>
      <c r="C975" s="5"/>
      <c r="D975" s="5"/>
      <c r="E975" s="5"/>
      <c r="F975" s="5"/>
      <c r="G975" s="5"/>
      <c r="H975" s="5"/>
      <c r="I975" s="10" t="str">
        <f>IF(B975="","",IF(COUNTIF(FUSE_CI!$A:$A,B975)&gt;0,"Yes","No"))</f>
        <v/>
      </c>
      <c r="J975" s="10" t="str">
        <f t="shared" si="15"/>
        <v/>
      </c>
      <c r="K975" s="10" t="str">
        <f>IF(B975="","",IF(COUNTIF(Finding_List!$A:$A,B975)&gt;0,"Yes","No"))</f>
        <v/>
      </c>
    </row>
    <row r="976" spans="1:11" x14ac:dyDescent="0.2">
      <c r="A976" s="9"/>
      <c r="B976" s="9"/>
      <c r="C976" s="9"/>
      <c r="D976" s="9"/>
      <c r="E976" s="9"/>
      <c r="F976" s="9"/>
      <c r="G976" s="9"/>
      <c r="H976" s="9"/>
      <c r="I976" s="10" t="str">
        <f>IF(B976="","",IF(COUNTIF(FUSE_CI!$A:$A,B976)&gt;0,"Yes","No"))</f>
        <v/>
      </c>
      <c r="J976" s="10" t="str">
        <f t="shared" si="15"/>
        <v/>
      </c>
      <c r="K976" s="10" t="str">
        <f>IF(B976="","",IF(COUNTIF(Finding_List!$A:$A,B976)&gt;0,"Yes","No"))</f>
        <v/>
      </c>
    </row>
    <row r="977" spans="1:11" x14ac:dyDescent="0.2">
      <c r="A977" s="5"/>
      <c r="B977" s="5"/>
      <c r="C977" s="5"/>
      <c r="D977" s="5"/>
      <c r="E977" s="5"/>
      <c r="F977" s="5"/>
      <c r="G977" s="5"/>
      <c r="H977" s="5"/>
      <c r="I977" s="10" t="str">
        <f>IF(B977="","",IF(COUNTIF(FUSE_CI!$A:$A,B977)&gt;0,"Yes","No"))</f>
        <v/>
      </c>
      <c r="J977" s="10" t="str">
        <f t="shared" si="15"/>
        <v/>
      </c>
      <c r="K977" s="10" t="str">
        <f>IF(B977="","",IF(COUNTIF(Finding_List!$A:$A,B977)&gt;0,"Yes","No"))</f>
        <v/>
      </c>
    </row>
    <row r="978" spans="1:11" x14ac:dyDescent="0.2">
      <c r="A978" s="9"/>
      <c r="B978" s="9"/>
      <c r="C978" s="9"/>
      <c r="D978" s="9"/>
      <c r="E978" s="9"/>
      <c r="F978" s="9"/>
      <c r="G978" s="9"/>
      <c r="H978" s="9"/>
      <c r="I978" s="10" t="str">
        <f>IF(B978="","",IF(COUNTIF(FUSE_CI!$A:$A,B978)&gt;0,"Yes","No"))</f>
        <v/>
      </c>
      <c r="J978" s="10" t="str">
        <f t="shared" si="15"/>
        <v/>
      </c>
      <c r="K978" s="10" t="str">
        <f>IF(B978="","",IF(COUNTIF(Finding_List!$A:$A,B978)&gt;0,"Yes","No"))</f>
        <v/>
      </c>
    </row>
    <row r="979" spans="1:11" x14ac:dyDescent="0.2">
      <c r="A979" s="5"/>
      <c r="B979" s="5"/>
      <c r="C979" s="5"/>
      <c r="D979" s="5"/>
      <c r="E979" s="5"/>
      <c r="F979" s="5"/>
      <c r="G979" s="5"/>
      <c r="H979" s="5"/>
      <c r="I979" s="10" t="str">
        <f>IF(B979="","",IF(COUNTIF(FUSE_CI!$A:$A,B979)&gt;0,"Yes","No"))</f>
        <v/>
      </c>
      <c r="J979" s="10" t="str">
        <f t="shared" si="15"/>
        <v/>
      </c>
      <c r="K979" s="10" t="str">
        <f>IF(B979="","",IF(COUNTIF(Finding_List!$A:$A,B979)&gt;0,"Yes","No"))</f>
        <v/>
      </c>
    </row>
    <row r="980" spans="1:11" x14ac:dyDescent="0.2">
      <c r="A980" s="9"/>
      <c r="B980" s="9"/>
      <c r="C980" s="9"/>
      <c r="D980" s="9"/>
      <c r="E980" s="9"/>
      <c r="F980" s="9"/>
      <c r="G980" s="9"/>
      <c r="H980" s="9"/>
      <c r="I980" s="10" t="str">
        <f>IF(B980="","",IF(COUNTIF(FUSE_CI!$A:$A,B980)&gt;0,"Yes","No"))</f>
        <v/>
      </c>
      <c r="J980" s="10" t="str">
        <f t="shared" si="15"/>
        <v/>
      </c>
      <c r="K980" s="10" t="str">
        <f>IF(B980="","",IF(COUNTIF(Finding_List!$A:$A,B980)&gt;0,"Yes","No"))</f>
        <v/>
      </c>
    </row>
    <row r="981" spans="1:11" x14ac:dyDescent="0.2">
      <c r="A981" s="5"/>
      <c r="B981" s="5"/>
      <c r="C981" s="5"/>
      <c r="D981" s="5"/>
      <c r="E981" s="5"/>
      <c r="F981" s="5"/>
      <c r="G981" s="5"/>
      <c r="H981" s="5"/>
      <c r="I981" s="10" t="str">
        <f>IF(B981="","",IF(COUNTIF(FUSE_CI!$A:$A,B981)&gt;0,"Yes","No"))</f>
        <v/>
      </c>
      <c r="J981" s="10" t="str">
        <f t="shared" si="15"/>
        <v/>
      </c>
      <c r="K981" s="10" t="str">
        <f>IF(B981="","",IF(COUNTIF(Finding_List!$A:$A,B981)&gt;0,"Yes","No"))</f>
        <v/>
      </c>
    </row>
    <row r="982" spans="1:11" x14ac:dyDescent="0.2">
      <c r="A982" s="9"/>
      <c r="B982" s="9"/>
      <c r="C982" s="9"/>
      <c r="D982" s="9"/>
      <c r="E982" s="9"/>
      <c r="F982" s="9"/>
      <c r="G982" s="9"/>
      <c r="H982" s="9"/>
      <c r="I982" s="10" t="str">
        <f>IF(B982="","",IF(COUNTIF(FUSE_CI!$A:$A,B982)&gt;0,"Yes","No"))</f>
        <v/>
      </c>
      <c r="J982" s="10" t="str">
        <f t="shared" si="15"/>
        <v/>
      </c>
      <c r="K982" s="10" t="str">
        <f>IF(B982="","",IF(COUNTIF(Finding_List!$A:$A,B982)&gt;0,"Yes","No"))</f>
        <v/>
      </c>
    </row>
    <row r="983" spans="1:11" x14ac:dyDescent="0.2">
      <c r="A983" s="5"/>
      <c r="B983" s="5"/>
      <c r="C983" s="5"/>
      <c r="D983" s="5"/>
      <c r="E983" s="5"/>
      <c r="F983" s="5"/>
      <c r="G983" s="5"/>
      <c r="H983" s="5"/>
      <c r="I983" s="10" t="str">
        <f>IF(B983="","",IF(COUNTIF(FUSE_CI!$A:$A,B983)&gt;0,"Yes","No"))</f>
        <v/>
      </c>
      <c r="J983" s="10" t="str">
        <f t="shared" si="15"/>
        <v/>
      </c>
      <c r="K983" s="10" t="str">
        <f>IF(B983="","",IF(COUNTIF(Finding_List!$A:$A,B983)&gt;0,"Yes","No"))</f>
        <v/>
      </c>
    </row>
    <row r="984" spans="1:11" x14ac:dyDescent="0.2">
      <c r="A984" s="9"/>
      <c r="B984" s="9"/>
      <c r="C984" s="9"/>
      <c r="D984" s="9"/>
      <c r="E984" s="9"/>
      <c r="F984" s="9"/>
      <c r="G984" s="9"/>
      <c r="H984" s="9"/>
      <c r="I984" s="10" t="str">
        <f>IF(B984="","",IF(COUNTIF(FUSE_CI!$A:$A,B984)&gt;0,"Yes","No"))</f>
        <v/>
      </c>
      <c r="J984" s="10" t="str">
        <f t="shared" si="15"/>
        <v/>
      </c>
      <c r="K984" s="10" t="str">
        <f>IF(B984="","",IF(COUNTIF(Finding_List!$A:$A,B984)&gt;0,"Yes","No"))</f>
        <v/>
      </c>
    </row>
    <row r="985" spans="1:11" x14ac:dyDescent="0.2">
      <c r="A985" s="5"/>
      <c r="B985" s="5"/>
      <c r="C985" s="5"/>
      <c r="D985" s="5"/>
      <c r="E985" s="5"/>
      <c r="F985" s="5"/>
      <c r="G985" s="5"/>
      <c r="H985" s="5"/>
      <c r="I985" s="10" t="str">
        <f>IF(B985="","",IF(COUNTIF(FUSE_CI!$A:$A,B985)&gt;0,"Yes","No"))</f>
        <v/>
      </c>
      <c r="J985" s="10" t="str">
        <f t="shared" si="15"/>
        <v/>
      </c>
      <c r="K985" s="10" t="str">
        <f>IF(B985="","",IF(COUNTIF(Finding_List!$A:$A,B985)&gt;0,"Yes","No"))</f>
        <v/>
      </c>
    </row>
    <row r="986" spans="1:11" x14ac:dyDescent="0.2">
      <c r="A986" s="9"/>
      <c r="B986" s="9"/>
      <c r="C986" s="9"/>
      <c r="D986" s="9"/>
      <c r="E986" s="9"/>
      <c r="F986" s="9"/>
      <c r="G986" s="9"/>
      <c r="H986" s="9"/>
      <c r="I986" s="10" t="str">
        <f>IF(B986="","",IF(COUNTIF(FUSE_CI!$A:$A,B986)&gt;0,"Yes","No"))</f>
        <v/>
      </c>
      <c r="J986" s="10" t="str">
        <f t="shared" si="15"/>
        <v/>
      </c>
      <c r="K986" s="10" t="str">
        <f>IF(B986="","",IF(COUNTIF(Finding_List!$A:$A,B986)&gt;0,"Yes","No"))</f>
        <v/>
      </c>
    </row>
    <row r="987" spans="1:11" x14ac:dyDescent="0.2">
      <c r="A987" s="5"/>
      <c r="B987" s="5"/>
      <c r="C987" s="5"/>
      <c r="D987" s="5"/>
      <c r="E987" s="5"/>
      <c r="F987" s="5"/>
      <c r="G987" s="5"/>
      <c r="H987" s="5"/>
      <c r="I987" s="10" t="str">
        <f>IF(B987="","",IF(COUNTIF(FUSE_CI!$A:$A,B987)&gt;0,"Yes","No"))</f>
        <v/>
      </c>
      <c r="J987" s="10" t="str">
        <f t="shared" si="15"/>
        <v/>
      </c>
      <c r="K987" s="10" t="str">
        <f>IF(B987="","",IF(COUNTIF(Finding_List!$A:$A,B987)&gt;0,"Yes","No"))</f>
        <v/>
      </c>
    </row>
    <row r="988" spans="1:11" x14ac:dyDescent="0.2">
      <c r="A988" s="9"/>
      <c r="B988" s="9"/>
      <c r="C988" s="9"/>
      <c r="D988" s="9"/>
      <c r="E988" s="9"/>
      <c r="F988" s="9"/>
      <c r="G988" s="9"/>
      <c r="H988" s="9"/>
      <c r="I988" s="10" t="str">
        <f>IF(B988="","",IF(COUNTIF(FUSE_CI!$A:$A,B988)&gt;0,"Yes","No"))</f>
        <v/>
      </c>
      <c r="J988" s="10" t="str">
        <f t="shared" si="15"/>
        <v/>
      </c>
      <c r="K988" s="10" t="str">
        <f>IF(B988="","",IF(COUNTIF(Finding_List!$A:$A,B988)&gt;0,"Yes","No"))</f>
        <v/>
      </c>
    </row>
    <row r="989" spans="1:11" x14ac:dyDescent="0.2">
      <c r="A989" s="5"/>
      <c r="B989" s="5"/>
      <c r="C989" s="5"/>
      <c r="D989" s="5"/>
      <c r="E989" s="5"/>
      <c r="F989" s="5"/>
      <c r="G989" s="5"/>
      <c r="H989" s="5"/>
      <c r="I989" s="10" t="str">
        <f>IF(B989="","",IF(COUNTIF(FUSE_CI!$A:$A,B989)&gt;0,"Yes","No"))</f>
        <v/>
      </c>
      <c r="J989" s="10" t="str">
        <f t="shared" si="15"/>
        <v/>
      </c>
      <c r="K989" s="10" t="str">
        <f>IF(B989="","",IF(COUNTIF(Finding_List!$A:$A,B989)&gt;0,"Yes","No"))</f>
        <v/>
      </c>
    </row>
    <row r="990" spans="1:11" x14ac:dyDescent="0.2">
      <c r="A990" s="9"/>
      <c r="B990" s="9"/>
      <c r="C990" s="9"/>
      <c r="D990" s="9"/>
      <c r="E990" s="9"/>
      <c r="F990" s="9"/>
      <c r="G990" s="9"/>
      <c r="H990" s="9"/>
      <c r="I990" s="10" t="str">
        <f>IF(B990="","",IF(COUNTIF(FUSE_CI!$A:$A,B990)&gt;0,"Yes","No"))</f>
        <v/>
      </c>
      <c r="J990" s="10" t="str">
        <f t="shared" si="15"/>
        <v/>
      </c>
      <c r="K990" s="10" t="str">
        <f>IF(B990="","",IF(COUNTIF(Finding_List!$A:$A,B990)&gt;0,"Yes","No"))</f>
        <v/>
      </c>
    </row>
    <row r="991" spans="1:11" x14ac:dyDescent="0.2">
      <c r="A991" s="5"/>
      <c r="B991" s="5"/>
      <c r="C991" s="5"/>
      <c r="D991" s="5"/>
      <c r="E991" s="5"/>
      <c r="F991" s="5"/>
      <c r="G991" s="5"/>
      <c r="H991" s="5"/>
      <c r="I991" s="10" t="str">
        <f>IF(B991="","",IF(COUNTIF(FUSE_CI!$A:$A,B991)&gt;0,"Yes","No"))</f>
        <v/>
      </c>
      <c r="J991" s="10" t="str">
        <f t="shared" si="15"/>
        <v/>
      </c>
      <c r="K991" s="10" t="str">
        <f>IF(B991="","",IF(COUNTIF(Finding_List!$A:$A,B991)&gt;0,"Yes","No"))</f>
        <v/>
      </c>
    </row>
    <row r="992" spans="1:11" x14ac:dyDescent="0.2">
      <c r="A992" s="9"/>
      <c r="B992" s="9"/>
      <c r="C992" s="9"/>
      <c r="D992" s="9"/>
      <c r="E992" s="9"/>
      <c r="F992" s="9"/>
      <c r="G992" s="9"/>
      <c r="H992" s="9"/>
      <c r="I992" s="10" t="str">
        <f>IF(B992="","",IF(COUNTIF(FUSE_CI!$A:$A,B992)&gt;0,"Yes","No"))</f>
        <v/>
      </c>
      <c r="J992" s="10" t="str">
        <f t="shared" si="15"/>
        <v/>
      </c>
      <c r="K992" s="10" t="str">
        <f>IF(B992="","",IF(COUNTIF(Finding_List!$A:$A,B992)&gt;0,"Yes","No"))</f>
        <v/>
      </c>
    </row>
    <row r="993" spans="1:11" x14ac:dyDescent="0.2">
      <c r="A993" s="5"/>
      <c r="B993" s="5"/>
      <c r="C993" s="5"/>
      <c r="D993" s="5"/>
      <c r="E993" s="5"/>
      <c r="F993" s="5"/>
      <c r="G993" s="5"/>
      <c r="H993" s="5"/>
      <c r="I993" s="10" t="str">
        <f>IF(B993="","",IF(COUNTIF(FUSE_CI!$A:$A,B993)&gt;0,"Yes","No"))</f>
        <v/>
      </c>
      <c r="J993" s="10" t="str">
        <f t="shared" si="15"/>
        <v/>
      </c>
      <c r="K993" s="10" t="str">
        <f>IF(B993="","",IF(COUNTIF(Finding_List!$A:$A,B993)&gt;0,"Yes","No"))</f>
        <v/>
      </c>
    </row>
    <row r="994" spans="1:11" x14ac:dyDescent="0.2">
      <c r="A994" s="9"/>
      <c r="B994" s="9"/>
      <c r="C994" s="9"/>
      <c r="D994" s="9"/>
      <c r="E994" s="9"/>
      <c r="F994" s="9"/>
      <c r="G994" s="9"/>
      <c r="H994" s="9"/>
      <c r="I994" s="10" t="str">
        <f>IF(B994="","",IF(COUNTIF(FUSE_CI!$A:$A,B994)&gt;0,"Yes","No"))</f>
        <v/>
      </c>
      <c r="J994" s="10" t="str">
        <f t="shared" si="15"/>
        <v/>
      </c>
      <c r="K994" s="10" t="str">
        <f>IF(B994="","",IF(COUNTIF(Finding_List!$A:$A,B994)&gt;0,"Yes","No"))</f>
        <v/>
      </c>
    </row>
    <row r="995" spans="1:11" x14ac:dyDescent="0.2">
      <c r="A995" s="5"/>
      <c r="B995" s="5"/>
      <c r="C995" s="5"/>
      <c r="D995" s="5"/>
      <c r="E995" s="5"/>
      <c r="F995" s="5"/>
      <c r="G995" s="5"/>
      <c r="H995" s="5"/>
      <c r="I995" s="10" t="str">
        <f>IF(B995="","",IF(COUNTIF(FUSE_CI!$A:$A,B995)&gt;0,"Yes","No"))</f>
        <v/>
      </c>
      <c r="J995" s="10" t="str">
        <f t="shared" si="15"/>
        <v/>
      </c>
      <c r="K995" s="10" t="str">
        <f>IF(B995="","",IF(COUNTIF(Finding_List!$A:$A,B995)&gt;0,"Yes","No"))</f>
        <v/>
      </c>
    </row>
    <row r="996" spans="1:11" x14ac:dyDescent="0.2">
      <c r="A996" s="9"/>
      <c r="B996" s="9"/>
      <c r="C996" s="9"/>
      <c r="D996" s="9"/>
      <c r="E996" s="9"/>
      <c r="F996" s="9"/>
      <c r="G996" s="9"/>
      <c r="H996" s="9"/>
      <c r="I996" s="10" t="str">
        <f>IF(B996="","",IF(COUNTIF(FUSE_CI!$A:$A,B996)&gt;0,"Yes","No"))</f>
        <v/>
      </c>
      <c r="J996" s="10" t="str">
        <f t="shared" si="15"/>
        <v/>
      </c>
      <c r="K996" s="10" t="str">
        <f>IF(B996="","",IF(COUNTIF(Finding_List!$A:$A,B996)&gt;0,"Yes","No"))</f>
        <v/>
      </c>
    </row>
    <row r="997" spans="1:11" x14ac:dyDescent="0.2">
      <c r="A997" s="5"/>
      <c r="B997" s="5"/>
      <c r="C997" s="5"/>
      <c r="D997" s="5"/>
      <c r="E997" s="5"/>
      <c r="F997" s="5"/>
      <c r="G997" s="5"/>
      <c r="H997" s="5"/>
      <c r="I997" s="10" t="str">
        <f>IF(B997="","",IF(COUNTIF(FUSE_CI!$A:$A,B997)&gt;0,"Yes","No"))</f>
        <v/>
      </c>
      <c r="J997" s="10" t="str">
        <f t="shared" si="15"/>
        <v/>
      </c>
      <c r="K997" s="10" t="str">
        <f>IF(B997="","",IF(COUNTIF(Finding_List!$A:$A,B997)&gt;0,"Yes","No"))</f>
        <v/>
      </c>
    </row>
    <row r="998" spans="1:11" x14ac:dyDescent="0.2">
      <c r="A998" s="9"/>
      <c r="B998" s="9"/>
      <c r="C998" s="9"/>
      <c r="D998" s="9"/>
      <c r="E998" s="9"/>
      <c r="F998" s="9"/>
      <c r="G998" s="9"/>
      <c r="H998" s="9"/>
      <c r="I998" s="10" t="str">
        <f>IF(B998="","",IF(COUNTIF(FUSE_CI!$A:$A,B998)&gt;0,"Yes","No"))</f>
        <v/>
      </c>
      <c r="J998" s="10" t="str">
        <f t="shared" si="15"/>
        <v/>
      </c>
      <c r="K998" s="10" t="str">
        <f>IF(B998="","",IF(COUNTIF(Finding_List!$A:$A,B998)&gt;0,"Yes","No"))</f>
        <v/>
      </c>
    </row>
    <row r="999" spans="1:11" x14ac:dyDescent="0.2">
      <c r="A999" s="5"/>
      <c r="B999" s="5"/>
      <c r="C999" s="5"/>
      <c r="D999" s="5"/>
      <c r="E999" s="5"/>
      <c r="F999" s="5"/>
      <c r="G999" s="5"/>
      <c r="H999" s="5"/>
      <c r="I999" s="10" t="str">
        <f>IF(B999="","",IF(COUNTIF(FUSE_CI!$A:$A,B999)&gt;0,"Yes","No"))</f>
        <v/>
      </c>
      <c r="J999" s="10" t="str">
        <f t="shared" si="15"/>
        <v/>
      </c>
      <c r="K999" s="10" t="str">
        <f>IF(B999="","",IF(COUNTIF(Finding_List!$A:$A,B999)&gt;0,"Yes","No"))</f>
        <v/>
      </c>
    </row>
    <row r="1000" spans="1:11" x14ac:dyDescent="0.2">
      <c r="A1000" s="9"/>
      <c r="B1000" s="9"/>
      <c r="C1000" s="9"/>
      <c r="D1000" s="9"/>
      <c r="E1000" s="9"/>
      <c r="F1000" s="9"/>
      <c r="G1000" s="9"/>
      <c r="H1000" s="9"/>
      <c r="I1000" s="10" t="str">
        <f>IF(B1000="","",IF(COUNTIF(FUSE_CI!$A:$A,B1000)&gt;0,"Yes","No"))</f>
        <v/>
      </c>
      <c r="J1000" s="10" t="str">
        <f t="shared" si="15"/>
        <v/>
      </c>
      <c r="K1000" s="10" t="str">
        <f>IF(B1000="","",IF(COUNTIF(Finding_List!$A:$A,B1000)&gt;0,"Yes","No"))</f>
        <v/>
      </c>
    </row>
    <row r="1001" spans="1:11" x14ac:dyDescent="0.2">
      <c r="A1001" s="5"/>
      <c r="B1001" s="5"/>
      <c r="C1001" s="5"/>
      <c r="D1001" s="5"/>
      <c r="E1001" s="5"/>
      <c r="F1001" s="5"/>
      <c r="G1001" s="5"/>
      <c r="H1001" s="5"/>
      <c r="I1001" s="10" t="str">
        <f>IF(B1001="","",IF(COUNTIF(FUSE_CI!$A:$A,B1001)&gt;0,"Yes","No"))</f>
        <v/>
      </c>
      <c r="J1001" s="10" t="str">
        <f t="shared" si="15"/>
        <v/>
      </c>
      <c r="K1001" s="10" t="str">
        <f>IF(B1001="","",IF(COUNTIF(Finding_List!$A:$A,B1001)&gt;0,"Yes","No"))</f>
        <v/>
      </c>
    </row>
    <row r="1002" spans="1:11" x14ac:dyDescent="0.2">
      <c r="A1002" s="9"/>
      <c r="B1002" s="9"/>
      <c r="C1002" s="9"/>
      <c r="D1002" s="9"/>
      <c r="E1002" s="9"/>
      <c r="F1002" s="9"/>
      <c r="G1002" s="9"/>
      <c r="H1002" s="9"/>
      <c r="I1002" s="10" t="str">
        <f>IF(B1002="","",IF(COUNTIF(FUSE_CI!$A:$A,B1002)&gt;0,"Yes","No"))</f>
        <v/>
      </c>
      <c r="J1002" s="10" t="str">
        <f t="shared" si="15"/>
        <v/>
      </c>
      <c r="K1002" s="10" t="str">
        <f>IF(B1002="","",IF(COUNTIF(Finding_List!$A:$A,B1002)&gt;0,"Yes","No"))</f>
        <v/>
      </c>
    </row>
    <row r="1003" spans="1:11" x14ac:dyDescent="0.2">
      <c r="A1003" s="5"/>
      <c r="B1003" s="5"/>
      <c r="C1003" s="5"/>
      <c r="D1003" s="5"/>
      <c r="E1003" s="5"/>
      <c r="F1003" s="5"/>
      <c r="G1003" s="5"/>
      <c r="H1003" s="5"/>
      <c r="I1003" s="10" t="str">
        <f>IF(B1003="","",IF(COUNTIF(FUSE_CI!$A:$A,B1003)&gt;0,"Yes","No"))</f>
        <v/>
      </c>
      <c r="J1003" s="10" t="str">
        <f t="shared" si="15"/>
        <v/>
      </c>
      <c r="K1003" s="10" t="str">
        <f>IF(B1003="","",IF(COUNTIF(Finding_List!$A:$A,B1003)&gt;0,"Yes","No"))</f>
        <v/>
      </c>
    </row>
    <row r="1004" spans="1:11" x14ac:dyDescent="0.2">
      <c r="A1004" s="9"/>
      <c r="B1004" s="9"/>
      <c r="C1004" s="9"/>
      <c r="D1004" s="9"/>
      <c r="E1004" s="9"/>
      <c r="F1004" s="9"/>
      <c r="G1004" s="9"/>
      <c r="H1004" s="9"/>
      <c r="I1004" s="10" t="str">
        <f>IF(B1004="","",IF(COUNTIF(FUSE_CI!$A:$A,B1004)&gt;0,"Yes","No"))</f>
        <v/>
      </c>
      <c r="J1004" s="10" t="str">
        <f t="shared" si="15"/>
        <v/>
      </c>
      <c r="K1004" s="10" t="str">
        <f>IF(B1004="","",IF(COUNTIF(Finding_List!$A:$A,B1004)&gt;0,"Yes","No"))</f>
        <v/>
      </c>
    </row>
    <row r="1005" spans="1:11" x14ac:dyDescent="0.2">
      <c r="A1005" s="5"/>
      <c r="B1005" s="5"/>
      <c r="C1005" s="5"/>
      <c r="D1005" s="5"/>
      <c r="E1005" s="5"/>
      <c r="F1005" s="5"/>
      <c r="G1005" s="5"/>
      <c r="H1005" s="5"/>
      <c r="I1005" s="10" t="str">
        <f>IF(B1005="","",IF(COUNTIF(FUSE_CI!$A:$A,B1005)&gt;0,"Yes","No"))</f>
        <v/>
      </c>
      <c r="J1005" s="10" t="str">
        <f t="shared" si="15"/>
        <v/>
      </c>
      <c r="K1005" s="10" t="str">
        <f>IF(B1005="","",IF(COUNTIF(Finding_List!$A:$A,B1005)&gt;0,"Yes","No"))</f>
        <v/>
      </c>
    </row>
    <row r="1006" spans="1:11" x14ac:dyDescent="0.2">
      <c r="A1006" s="9"/>
      <c r="B1006" s="9"/>
      <c r="C1006" s="9"/>
      <c r="D1006" s="9"/>
      <c r="E1006" s="9"/>
      <c r="F1006" s="9"/>
      <c r="G1006" s="9"/>
      <c r="H1006" s="9"/>
      <c r="I1006" s="10" t="str">
        <f>IF(B1006="","",IF(COUNTIF(FUSE_CI!$A:$A,B1006)&gt;0,"Yes","No"))</f>
        <v/>
      </c>
      <c r="J1006" s="10" t="str">
        <f t="shared" si="15"/>
        <v/>
      </c>
      <c r="K1006" s="10" t="str">
        <f>IF(B1006="","",IF(COUNTIF(Finding_List!$A:$A,B1006)&gt;0,"Yes","No"))</f>
        <v/>
      </c>
    </row>
    <row r="1007" spans="1:11" x14ac:dyDescent="0.2">
      <c r="A1007" s="5"/>
      <c r="B1007" s="5"/>
      <c r="C1007" s="5"/>
      <c r="D1007" s="5"/>
      <c r="E1007" s="5"/>
      <c r="F1007" s="5"/>
      <c r="G1007" s="5"/>
      <c r="H1007" s="5"/>
      <c r="I1007" s="10" t="str">
        <f>IF(B1007="","",IF(COUNTIF(FUSE_CI!$A:$A,B1007)&gt;0,"Yes","No"))</f>
        <v/>
      </c>
      <c r="J1007" s="10" t="str">
        <f t="shared" si="15"/>
        <v/>
      </c>
      <c r="K1007" s="10" t="str">
        <f>IF(B1007="","",IF(COUNTIF(Finding_List!$A:$A,B1007)&gt;0,"Yes","No"))</f>
        <v/>
      </c>
    </row>
    <row r="1008" spans="1:11" x14ac:dyDescent="0.2">
      <c r="A1008" s="9"/>
      <c r="B1008" s="9"/>
      <c r="C1008" s="9"/>
      <c r="D1008" s="9"/>
      <c r="E1008" s="9"/>
      <c r="F1008" s="9"/>
      <c r="G1008" s="9"/>
      <c r="H1008" s="9"/>
      <c r="I1008" s="10" t="str">
        <f>IF(B1008="","",IF(COUNTIF(FUSE_CI!$A:$A,B1008)&gt;0,"Yes","No"))</f>
        <v/>
      </c>
      <c r="J1008" s="10" t="str">
        <f t="shared" si="15"/>
        <v/>
      </c>
      <c r="K1008" s="10" t="str">
        <f>IF(B1008="","",IF(COUNTIF(Finding_List!$A:$A,B1008)&gt;0,"Yes","No"))</f>
        <v/>
      </c>
    </row>
    <row r="1009" spans="1:11" x14ac:dyDescent="0.2">
      <c r="A1009" s="5"/>
      <c r="B1009" s="5"/>
      <c r="C1009" s="5"/>
      <c r="D1009" s="5"/>
      <c r="E1009" s="5"/>
      <c r="F1009" s="5"/>
      <c r="G1009" s="5"/>
      <c r="H1009" s="5"/>
      <c r="I1009" s="10" t="str">
        <f>IF(B1009="","",IF(COUNTIF(FUSE_CI!$A:$A,B1009)&gt;0,"Yes","No"))</f>
        <v/>
      </c>
      <c r="J1009" s="10" t="str">
        <f t="shared" si="15"/>
        <v/>
      </c>
      <c r="K1009" s="10" t="str">
        <f>IF(B1009="","",IF(COUNTIF(Finding_List!$A:$A,B1009)&gt;0,"Yes","No"))</f>
        <v/>
      </c>
    </row>
    <row r="1010" spans="1:11" x14ac:dyDescent="0.2">
      <c r="A1010" s="9"/>
      <c r="B1010" s="9"/>
      <c r="C1010" s="9"/>
      <c r="D1010" s="9"/>
      <c r="E1010" s="9"/>
      <c r="F1010" s="9"/>
      <c r="G1010" s="9"/>
      <c r="H1010" s="9"/>
      <c r="I1010" s="10" t="str">
        <f>IF(B1010="","",IF(COUNTIF(FUSE_CI!$A:$A,B1010)&gt;0,"Yes","No"))</f>
        <v/>
      </c>
      <c r="J1010" s="10" t="str">
        <f t="shared" si="15"/>
        <v/>
      </c>
      <c r="K1010" s="10" t="str">
        <f>IF(B1010="","",IF(COUNTIF(Finding_List!$A:$A,B1010)&gt;0,"Yes","No"))</f>
        <v/>
      </c>
    </row>
    <row r="1011" spans="1:11" x14ac:dyDescent="0.2">
      <c r="A1011" s="5"/>
      <c r="B1011" s="5"/>
      <c r="C1011" s="5"/>
      <c r="D1011" s="5"/>
      <c r="E1011" s="5"/>
      <c r="F1011" s="5"/>
      <c r="G1011" s="5"/>
      <c r="H1011" s="5"/>
      <c r="I1011" s="10" t="str">
        <f>IF(B1011="","",IF(COUNTIF(FUSE_CI!$A:$A,B1011)&gt;0,"Yes","No"))</f>
        <v/>
      </c>
      <c r="J1011" s="10" t="str">
        <f t="shared" si="15"/>
        <v/>
      </c>
      <c r="K1011" s="10" t="str">
        <f>IF(B1011="","",IF(COUNTIF(Finding_List!$A:$A,B1011)&gt;0,"Yes","No"))</f>
        <v/>
      </c>
    </row>
    <row r="1012" spans="1:11" x14ac:dyDescent="0.2">
      <c r="A1012" s="9"/>
      <c r="B1012" s="9"/>
      <c r="C1012" s="9"/>
      <c r="D1012" s="9"/>
      <c r="E1012" s="9"/>
      <c r="F1012" s="9"/>
      <c r="G1012" s="9"/>
      <c r="H1012" s="9"/>
      <c r="I1012" s="10" t="str">
        <f>IF(B1012="","",IF(COUNTIF(FUSE_CI!$A:$A,B1012)&gt;0,"Yes","No"))</f>
        <v/>
      </c>
      <c r="J1012" s="10" t="str">
        <f t="shared" si="15"/>
        <v/>
      </c>
      <c r="K1012" s="10" t="str">
        <f>IF(B1012="","",IF(COUNTIF(Finding_List!$A:$A,B1012)&gt;0,"Yes","No"))</f>
        <v/>
      </c>
    </row>
    <row r="1013" spans="1:11" x14ac:dyDescent="0.2">
      <c r="A1013" s="5"/>
      <c r="B1013" s="5"/>
      <c r="C1013" s="5"/>
      <c r="D1013" s="5"/>
      <c r="E1013" s="5"/>
      <c r="F1013" s="5"/>
      <c r="G1013" s="5"/>
      <c r="H1013" s="5"/>
      <c r="I1013" s="10" t="str">
        <f>IF(B1013="","",IF(COUNTIF(FUSE_CI!$A:$A,B1013)&gt;0,"Yes","No"))</f>
        <v/>
      </c>
      <c r="J1013" s="10" t="str">
        <f t="shared" si="15"/>
        <v/>
      </c>
      <c r="K1013" s="10" t="str">
        <f>IF(B1013="","",IF(COUNTIF(Finding_List!$A:$A,B1013)&gt;0,"Yes","No"))</f>
        <v/>
      </c>
    </row>
    <row r="1014" spans="1:11" x14ac:dyDescent="0.2">
      <c r="A1014" s="9"/>
      <c r="B1014" s="9"/>
      <c r="C1014" s="9"/>
      <c r="D1014" s="9"/>
      <c r="E1014" s="9"/>
      <c r="F1014" s="9"/>
      <c r="G1014" s="9"/>
      <c r="H1014" s="9"/>
      <c r="I1014" s="10" t="str">
        <f>IF(B1014="","",IF(COUNTIF(FUSE_CI!$A:$A,B1014)&gt;0,"Yes","No"))</f>
        <v/>
      </c>
      <c r="J1014" s="10" t="str">
        <f t="shared" si="15"/>
        <v/>
      </c>
      <c r="K1014" s="10" t="str">
        <f>IF(B1014="","",IF(COUNTIF(Finding_List!$A:$A,B1014)&gt;0,"Yes","No"))</f>
        <v/>
      </c>
    </row>
    <row r="1015" spans="1:11" x14ac:dyDescent="0.2">
      <c r="A1015" s="5"/>
      <c r="B1015" s="5"/>
      <c r="C1015" s="5"/>
      <c r="D1015" s="5"/>
      <c r="E1015" s="5"/>
      <c r="F1015" s="5"/>
      <c r="G1015" s="5"/>
      <c r="H1015" s="5"/>
      <c r="I1015" s="10" t="str">
        <f>IF(B1015="","",IF(COUNTIF(FUSE_CI!$A:$A,B1015)&gt;0,"Yes","No"))</f>
        <v/>
      </c>
      <c r="J1015" s="10" t="str">
        <f t="shared" si="15"/>
        <v/>
      </c>
      <c r="K1015" s="10" t="str">
        <f>IF(B1015="","",IF(COUNTIF(Finding_List!$A:$A,B1015)&gt;0,"Yes","No"))</f>
        <v/>
      </c>
    </row>
    <row r="1016" spans="1:11" x14ac:dyDescent="0.2">
      <c r="A1016" s="9"/>
      <c r="B1016" s="9"/>
      <c r="C1016" s="9"/>
      <c r="D1016" s="9"/>
      <c r="E1016" s="9"/>
      <c r="F1016" s="9"/>
      <c r="G1016" s="9"/>
      <c r="H1016" s="9"/>
      <c r="I1016" s="10" t="str">
        <f>IF(B1016="","",IF(COUNTIF(FUSE_CI!$A:$A,B1016)&gt;0,"Yes","No"))</f>
        <v/>
      </c>
      <c r="J1016" s="10" t="str">
        <f t="shared" si="15"/>
        <v/>
      </c>
      <c r="K1016" s="10" t="str">
        <f>IF(B1016="","",IF(COUNTIF(Finding_List!$A:$A,B1016)&gt;0,"Yes","No"))</f>
        <v/>
      </c>
    </row>
    <row r="1017" spans="1:11" x14ac:dyDescent="0.2">
      <c r="A1017" s="5"/>
      <c r="B1017" s="5"/>
      <c r="C1017" s="5"/>
      <c r="D1017" s="5"/>
      <c r="E1017" s="5"/>
      <c r="F1017" s="5"/>
      <c r="G1017" s="5"/>
      <c r="H1017" s="5"/>
      <c r="I1017" s="10" t="str">
        <f>IF(B1017="","",IF(COUNTIF(FUSE_CI!$A:$A,B1017)&gt;0,"Yes","No"))</f>
        <v/>
      </c>
      <c r="J1017" s="10" t="str">
        <f t="shared" si="15"/>
        <v/>
      </c>
      <c r="K1017" s="10" t="str">
        <f>IF(B1017="","",IF(COUNTIF(Finding_List!$A:$A,B1017)&gt;0,"Yes","No"))</f>
        <v/>
      </c>
    </row>
    <row r="1018" spans="1:11" x14ac:dyDescent="0.2">
      <c r="A1018" s="9"/>
      <c r="B1018" s="9"/>
      <c r="C1018" s="9"/>
      <c r="D1018" s="9"/>
      <c r="E1018" s="9"/>
      <c r="F1018" s="9"/>
      <c r="G1018" s="9"/>
      <c r="H1018" s="9"/>
      <c r="I1018" s="10" t="str">
        <f>IF(B1018="","",IF(COUNTIF(FUSE_CI!$A:$A,B1018)&gt;0,"Yes","No"))</f>
        <v/>
      </c>
      <c r="J1018" s="10" t="str">
        <f t="shared" si="15"/>
        <v/>
      </c>
      <c r="K1018" s="10" t="str">
        <f>IF(B1018="","",IF(COUNTIF(Finding_List!$A:$A,B1018)&gt;0,"Yes","No"))</f>
        <v/>
      </c>
    </row>
    <row r="1019" spans="1:11" x14ac:dyDescent="0.2">
      <c r="A1019" s="5"/>
      <c r="B1019" s="5"/>
      <c r="C1019" s="5"/>
      <c r="D1019" s="5"/>
      <c r="E1019" s="5"/>
      <c r="F1019" s="5"/>
      <c r="G1019" s="5"/>
      <c r="H1019" s="5"/>
      <c r="I1019" s="10" t="str">
        <f>IF(B1019="","",IF(COUNTIF(FUSE_CI!$A:$A,B1019)&gt;0,"Yes","No"))</f>
        <v/>
      </c>
      <c r="J1019" s="10" t="str">
        <f t="shared" si="15"/>
        <v/>
      </c>
      <c r="K1019" s="10" t="str">
        <f>IF(B1019="","",IF(COUNTIF(Finding_List!$A:$A,B1019)&gt;0,"Yes","No"))</f>
        <v/>
      </c>
    </row>
    <row r="1020" spans="1:11" x14ac:dyDescent="0.2">
      <c r="A1020" s="9"/>
      <c r="B1020" s="9"/>
      <c r="C1020" s="9"/>
      <c r="D1020" s="9"/>
      <c r="E1020" s="9"/>
      <c r="F1020" s="9"/>
      <c r="G1020" s="9"/>
      <c r="H1020" s="9"/>
      <c r="I1020" s="10" t="str">
        <f>IF(B1020="","",IF(COUNTIF(FUSE_CI!$A:$A,B1020)&gt;0,"Yes","No"))</f>
        <v/>
      </c>
      <c r="J1020" s="10" t="str">
        <f t="shared" si="15"/>
        <v/>
      </c>
      <c r="K1020" s="10" t="str">
        <f>IF(B1020="","",IF(COUNTIF(Finding_List!$A:$A,B1020)&gt;0,"Yes","No"))</f>
        <v/>
      </c>
    </row>
    <row r="1021" spans="1:11" x14ac:dyDescent="0.2">
      <c r="A1021" s="5"/>
      <c r="B1021" s="5"/>
      <c r="C1021" s="5"/>
      <c r="D1021" s="5"/>
      <c r="E1021" s="5"/>
      <c r="F1021" s="5"/>
      <c r="G1021" s="5"/>
      <c r="H1021" s="5"/>
      <c r="I1021" s="10" t="str">
        <f>IF(B1021="","",IF(COUNTIF(FUSE_CI!$A:$A,B1021)&gt;0,"Yes","No"))</f>
        <v/>
      </c>
      <c r="J1021" s="10" t="str">
        <f t="shared" si="15"/>
        <v/>
      </c>
      <c r="K1021" s="10" t="str">
        <f>IF(B1021="","",IF(COUNTIF(Finding_List!$A:$A,B1021)&gt;0,"Yes","No"))</f>
        <v/>
      </c>
    </row>
    <row r="1022" spans="1:11" x14ac:dyDescent="0.2">
      <c r="A1022" s="9"/>
      <c r="B1022" s="9"/>
      <c r="C1022" s="9"/>
      <c r="D1022" s="9"/>
      <c r="E1022" s="9"/>
      <c r="F1022" s="9"/>
      <c r="G1022" s="9"/>
      <c r="H1022" s="9"/>
      <c r="I1022" s="10" t="str">
        <f>IF(B1022="","",IF(COUNTIF(FUSE_CI!$A:$A,B1022)&gt;0,"Yes","No"))</f>
        <v/>
      </c>
      <c r="J1022" s="10" t="str">
        <f t="shared" si="15"/>
        <v/>
      </c>
      <c r="K1022" s="10" t="str">
        <f>IF(B1022="","",IF(COUNTIF(Finding_List!$A:$A,B1022)&gt;0,"Yes","No"))</f>
        <v/>
      </c>
    </row>
    <row r="1023" spans="1:11" x14ac:dyDescent="0.2">
      <c r="A1023" s="5"/>
      <c r="B1023" s="5"/>
      <c r="C1023" s="5"/>
      <c r="D1023" s="5"/>
      <c r="E1023" s="5"/>
      <c r="F1023" s="5"/>
      <c r="G1023" s="5"/>
      <c r="H1023" s="5"/>
      <c r="I1023" s="10" t="str">
        <f>IF(B1023="","",IF(COUNTIF(FUSE_CI!$A:$A,B1023)&gt;0,"Yes","No"))</f>
        <v/>
      </c>
      <c r="J1023" s="10" t="str">
        <f t="shared" si="15"/>
        <v/>
      </c>
      <c r="K1023" s="10" t="str">
        <f>IF(B1023="","",IF(COUNTIF(Finding_List!$A:$A,B1023)&gt;0,"Yes","No"))</f>
        <v/>
      </c>
    </row>
    <row r="1024" spans="1:11" x14ac:dyDescent="0.2">
      <c r="A1024" s="9"/>
      <c r="B1024" s="9"/>
      <c r="C1024" s="9"/>
      <c r="D1024" s="9"/>
      <c r="E1024" s="9"/>
      <c r="F1024" s="9"/>
      <c r="G1024" s="9"/>
      <c r="H1024" s="9"/>
      <c r="I1024" s="10" t="str">
        <f>IF(B1024="","",IF(COUNTIF(FUSE_CI!$A:$A,B1024)&gt;0,"Yes","No"))</f>
        <v/>
      </c>
      <c r="J1024" s="10" t="str">
        <f t="shared" si="15"/>
        <v/>
      </c>
      <c r="K1024" s="10" t="str">
        <f>IF(B1024="","",IF(COUNTIF(Finding_List!$A:$A,B1024)&gt;0,"Yes","No"))</f>
        <v/>
      </c>
    </row>
    <row r="1025" spans="1:11" x14ac:dyDescent="0.2">
      <c r="A1025" s="5"/>
      <c r="B1025" s="5"/>
      <c r="C1025" s="5"/>
      <c r="D1025" s="5"/>
      <c r="E1025" s="5"/>
      <c r="F1025" s="5"/>
      <c r="G1025" s="5"/>
      <c r="H1025" s="5"/>
      <c r="I1025" s="10" t="str">
        <f>IF(B1025="","",IF(COUNTIF(FUSE_CI!$A:$A,B1025)&gt;0,"Yes","No"))</f>
        <v/>
      </c>
      <c r="J1025" s="10" t="str">
        <f t="shared" si="15"/>
        <v/>
      </c>
      <c r="K1025" s="10" t="str">
        <f>IF(B1025="","",IF(COUNTIF(Finding_List!$A:$A,B1025)&gt;0,"Yes","No"))</f>
        <v/>
      </c>
    </row>
    <row r="1026" spans="1:11" x14ac:dyDescent="0.2">
      <c r="A1026" s="9"/>
      <c r="B1026" s="9"/>
      <c r="C1026" s="9"/>
      <c r="D1026" s="9"/>
      <c r="E1026" s="9"/>
      <c r="F1026" s="9"/>
      <c r="G1026" s="9"/>
      <c r="H1026" s="9"/>
      <c r="I1026" s="10" t="str">
        <f>IF(B1026="","",IF(COUNTIF(FUSE_CI!$A:$A,B1026)&gt;0,"Yes","No"))</f>
        <v/>
      </c>
      <c r="J1026" s="10" t="str">
        <f t="shared" si="15"/>
        <v/>
      </c>
      <c r="K1026" s="10" t="str">
        <f>IF(B1026="","",IF(COUNTIF(Finding_List!$A:$A,B1026)&gt;0,"Yes","No"))</f>
        <v/>
      </c>
    </row>
    <row r="1027" spans="1:11" x14ac:dyDescent="0.2">
      <c r="A1027" s="5"/>
      <c r="B1027" s="5"/>
      <c r="C1027" s="5"/>
      <c r="D1027" s="5"/>
      <c r="E1027" s="5"/>
      <c r="F1027" s="5"/>
      <c r="G1027" s="5"/>
      <c r="H1027" s="5"/>
      <c r="I1027" s="10" t="str">
        <f>IF(B1027="","",IF(COUNTIF(FUSE_CI!$A:$A,B1027)&gt;0,"Yes","No"))</f>
        <v/>
      </c>
      <c r="J1027" s="10" t="str">
        <f t="shared" si="15"/>
        <v/>
      </c>
      <c r="K1027" s="10" t="str">
        <f>IF(B1027="","",IF(COUNTIF(Finding_List!$A:$A,B1027)&gt;0,"Yes","No"))</f>
        <v/>
      </c>
    </row>
    <row r="1028" spans="1:11" x14ac:dyDescent="0.2">
      <c r="A1028" s="9"/>
      <c r="B1028" s="9"/>
      <c r="C1028" s="9"/>
      <c r="D1028" s="9"/>
      <c r="E1028" s="9"/>
      <c r="F1028" s="9"/>
      <c r="G1028" s="9"/>
      <c r="H1028" s="9"/>
      <c r="I1028" s="10" t="str">
        <f>IF(B1028="","",IF(COUNTIF(FUSE_CI!$A:$A,B1028)&gt;0,"Yes","No"))</f>
        <v/>
      </c>
      <c r="J1028" s="10" t="str">
        <f t="shared" ref="J1028:J1091" si="16">IF(B1028="","",IF(AND(D1028&lt;&gt;"High",D1028&lt;&gt;"Very High",I1028="Yes",K1028="No"),"Fast Follower","Not Eligible"))</f>
        <v/>
      </c>
      <c r="K1028" s="10" t="str">
        <f>IF(B1028="","",IF(COUNTIF(Finding_List!$A:$A,B1028)&gt;0,"Yes","No"))</f>
        <v/>
      </c>
    </row>
    <row r="1029" spans="1:11" x14ac:dyDescent="0.2">
      <c r="A1029" s="5"/>
      <c r="B1029" s="5"/>
      <c r="C1029" s="5"/>
      <c r="D1029" s="5"/>
      <c r="E1029" s="5"/>
      <c r="F1029" s="5"/>
      <c r="G1029" s="5"/>
      <c r="H1029" s="5"/>
      <c r="I1029" s="10" t="str">
        <f>IF(B1029="","",IF(COUNTIF(FUSE_CI!$A:$A,B1029)&gt;0,"Yes","No"))</f>
        <v/>
      </c>
      <c r="J1029" s="10" t="str">
        <f t="shared" si="16"/>
        <v/>
      </c>
      <c r="K1029" s="10" t="str">
        <f>IF(B1029="","",IF(COUNTIF(Finding_List!$A:$A,B1029)&gt;0,"Yes","No"))</f>
        <v/>
      </c>
    </row>
    <row r="1030" spans="1:11" x14ac:dyDescent="0.2">
      <c r="A1030" s="9"/>
      <c r="B1030" s="9"/>
      <c r="C1030" s="9"/>
      <c r="D1030" s="9"/>
      <c r="E1030" s="9"/>
      <c r="F1030" s="9"/>
      <c r="G1030" s="9"/>
      <c r="H1030" s="9"/>
      <c r="I1030" s="10" t="str">
        <f>IF(B1030="","",IF(COUNTIF(FUSE_CI!$A:$A,B1030)&gt;0,"Yes","No"))</f>
        <v/>
      </c>
      <c r="J1030" s="10" t="str">
        <f t="shared" si="16"/>
        <v/>
      </c>
      <c r="K1030" s="10" t="str">
        <f>IF(B1030="","",IF(COUNTIF(Finding_List!$A:$A,B1030)&gt;0,"Yes","No"))</f>
        <v/>
      </c>
    </row>
    <row r="1031" spans="1:11" x14ac:dyDescent="0.2">
      <c r="A1031" s="5"/>
      <c r="B1031" s="5"/>
      <c r="C1031" s="5"/>
      <c r="D1031" s="5"/>
      <c r="E1031" s="5"/>
      <c r="F1031" s="5"/>
      <c r="G1031" s="5"/>
      <c r="H1031" s="5"/>
      <c r="I1031" s="10" t="str">
        <f>IF(B1031="","",IF(COUNTIF(FUSE_CI!$A:$A,B1031)&gt;0,"Yes","No"))</f>
        <v/>
      </c>
      <c r="J1031" s="10" t="str">
        <f t="shared" si="16"/>
        <v/>
      </c>
      <c r="K1031" s="10" t="str">
        <f>IF(B1031="","",IF(COUNTIF(Finding_List!$A:$A,B1031)&gt;0,"Yes","No"))</f>
        <v/>
      </c>
    </row>
    <row r="1032" spans="1:11" x14ac:dyDescent="0.2">
      <c r="A1032" s="9"/>
      <c r="B1032" s="9"/>
      <c r="C1032" s="9"/>
      <c r="D1032" s="9"/>
      <c r="E1032" s="9"/>
      <c r="F1032" s="9"/>
      <c r="G1032" s="9"/>
      <c r="H1032" s="9"/>
      <c r="I1032" s="10" t="str">
        <f>IF(B1032="","",IF(COUNTIF(FUSE_CI!$A:$A,B1032)&gt;0,"Yes","No"))</f>
        <v/>
      </c>
      <c r="J1032" s="10" t="str">
        <f t="shared" si="16"/>
        <v/>
      </c>
      <c r="K1032" s="10" t="str">
        <f>IF(B1032="","",IF(COUNTIF(Finding_List!$A:$A,B1032)&gt;0,"Yes","No"))</f>
        <v/>
      </c>
    </row>
    <row r="1033" spans="1:11" x14ac:dyDescent="0.2">
      <c r="A1033" s="5"/>
      <c r="B1033" s="5"/>
      <c r="C1033" s="5"/>
      <c r="D1033" s="5"/>
      <c r="E1033" s="5"/>
      <c r="F1033" s="5"/>
      <c r="G1033" s="5"/>
      <c r="H1033" s="5"/>
      <c r="I1033" s="10" t="str">
        <f>IF(B1033="","",IF(COUNTIF(FUSE_CI!$A:$A,B1033)&gt;0,"Yes","No"))</f>
        <v/>
      </c>
      <c r="J1033" s="10" t="str">
        <f t="shared" si="16"/>
        <v/>
      </c>
      <c r="K1033" s="10" t="str">
        <f>IF(B1033="","",IF(COUNTIF(Finding_List!$A:$A,B1033)&gt;0,"Yes","No"))</f>
        <v/>
      </c>
    </row>
    <row r="1034" spans="1:11" x14ac:dyDescent="0.2">
      <c r="A1034" s="9"/>
      <c r="B1034" s="9"/>
      <c r="C1034" s="9"/>
      <c r="D1034" s="9"/>
      <c r="E1034" s="9"/>
      <c r="F1034" s="9"/>
      <c r="G1034" s="9"/>
      <c r="H1034" s="9"/>
      <c r="I1034" s="10" t="str">
        <f>IF(B1034="","",IF(COUNTIF(FUSE_CI!$A:$A,B1034)&gt;0,"Yes","No"))</f>
        <v/>
      </c>
      <c r="J1034" s="10" t="str">
        <f t="shared" si="16"/>
        <v/>
      </c>
      <c r="K1034" s="10" t="str">
        <f>IF(B1034="","",IF(COUNTIF(Finding_List!$A:$A,B1034)&gt;0,"Yes","No"))</f>
        <v/>
      </c>
    </row>
    <row r="1035" spans="1:11" x14ac:dyDescent="0.2">
      <c r="A1035" s="5"/>
      <c r="B1035" s="5"/>
      <c r="C1035" s="5"/>
      <c r="D1035" s="5"/>
      <c r="E1035" s="5"/>
      <c r="F1035" s="5"/>
      <c r="G1035" s="5"/>
      <c r="H1035" s="5"/>
      <c r="I1035" s="10" t="str">
        <f>IF(B1035="","",IF(COUNTIF(FUSE_CI!$A:$A,B1035)&gt;0,"Yes","No"))</f>
        <v/>
      </c>
      <c r="J1035" s="10" t="str">
        <f t="shared" si="16"/>
        <v/>
      </c>
      <c r="K1035" s="10" t="str">
        <f>IF(B1035="","",IF(COUNTIF(Finding_List!$A:$A,B1035)&gt;0,"Yes","No"))</f>
        <v/>
      </c>
    </row>
    <row r="1036" spans="1:11" x14ac:dyDescent="0.2">
      <c r="A1036" s="9"/>
      <c r="B1036" s="9"/>
      <c r="C1036" s="9"/>
      <c r="D1036" s="9"/>
      <c r="E1036" s="9"/>
      <c r="F1036" s="9"/>
      <c r="G1036" s="9"/>
      <c r="H1036" s="9"/>
      <c r="I1036" s="10" t="str">
        <f>IF(B1036="","",IF(COUNTIF(FUSE_CI!$A:$A,B1036)&gt;0,"Yes","No"))</f>
        <v/>
      </c>
      <c r="J1036" s="10" t="str">
        <f t="shared" si="16"/>
        <v/>
      </c>
      <c r="K1036" s="10" t="str">
        <f>IF(B1036="","",IF(COUNTIF(Finding_List!$A:$A,B1036)&gt;0,"Yes","No"))</f>
        <v/>
      </c>
    </row>
    <row r="1037" spans="1:11" x14ac:dyDescent="0.2">
      <c r="A1037" s="5"/>
      <c r="B1037" s="5"/>
      <c r="C1037" s="5"/>
      <c r="D1037" s="5"/>
      <c r="E1037" s="5"/>
      <c r="F1037" s="5"/>
      <c r="G1037" s="5"/>
      <c r="H1037" s="5"/>
      <c r="I1037" s="10" t="str">
        <f>IF(B1037="","",IF(COUNTIF(FUSE_CI!$A:$A,B1037)&gt;0,"Yes","No"))</f>
        <v/>
      </c>
      <c r="J1037" s="10" t="str">
        <f t="shared" si="16"/>
        <v/>
      </c>
      <c r="K1037" s="10" t="str">
        <f>IF(B1037="","",IF(COUNTIF(Finding_List!$A:$A,B1037)&gt;0,"Yes","No"))</f>
        <v/>
      </c>
    </row>
    <row r="1038" spans="1:11" x14ac:dyDescent="0.2">
      <c r="A1038" s="9"/>
      <c r="B1038" s="9"/>
      <c r="C1038" s="9"/>
      <c r="D1038" s="9"/>
      <c r="E1038" s="9"/>
      <c r="F1038" s="9"/>
      <c r="G1038" s="9"/>
      <c r="H1038" s="9"/>
      <c r="I1038" s="10" t="str">
        <f>IF(B1038="","",IF(COUNTIF(FUSE_CI!$A:$A,B1038)&gt;0,"Yes","No"))</f>
        <v/>
      </c>
      <c r="J1038" s="10" t="str">
        <f t="shared" si="16"/>
        <v/>
      </c>
      <c r="K1038" s="10" t="str">
        <f>IF(B1038="","",IF(COUNTIF(Finding_List!$A:$A,B1038)&gt;0,"Yes","No"))</f>
        <v/>
      </c>
    </row>
    <row r="1039" spans="1:11" x14ac:dyDescent="0.2">
      <c r="A1039" s="5"/>
      <c r="B1039" s="5"/>
      <c r="C1039" s="5"/>
      <c r="D1039" s="5"/>
      <c r="E1039" s="5"/>
      <c r="F1039" s="5"/>
      <c r="G1039" s="5"/>
      <c r="H1039" s="5"/>
      <c r="I1039" s="10" t="str">
        <f>IF(B1039="","",IF(COUNTIF(FUSE_CI!$A:$A,B1039)&gt;0,"Yes","No"))</f>
        <v/>
      </c>
      <c r="J1039" s="10" t="str">
        <f t="shared" si="16"/>
        <v/>
      </c>
      <c r="K1039" s="10" t="str">
        <f>IF(B1039="","",IF(COUNTIF(Finding_List!$A:$A,B1039)&gt;0,"Yes","No"))</f>
        <v/>
      </c>
    </row>
    <row r="1040" spans="1:11" x14ac:dyDescent="0.2">
      <c r="A1040" s="9"/>
      <c r="B1040" s="9"/>
      <c r="C1040" s="9"/>
      <c r="D1040" s="9"/>
      <c r="E1040" s="9"/>
      <c r="F1040" s="9"/>
      <c r="G1040" s="9"/>
      <c r="H1040" s="9"/>
      <c r="I1040" s="10" t="str">
        <f>IF(B1040="","",IF(COUNTIF(FUSE_CI!$A:$A,B1040)&gt;0,"Yes","No"))</f>
        <v/>
      </c>
      <c r="J1040" s="10" t="str">
        <f t="shared" si="16"/>
        <v/>
      </c>
      <c r="K1040" s="10" t="str">
        <f>IF(B1040="","",IF(COUNTIF(Finding_List!$A:$A,B1040)&gt;0,"Yes","No"))</f>
        <v/>
      </c>
    </row>
    <row r="1041" spans="1:11" x14ac:dyDescent="0.2">
      <c r="A1041" s="5"/>
      <c r="B1041" s="5"/>
      <c r="C1041" s="5"/>
      <c r="D1041" s="5"/>
      <c r="E1041" s="5"/>
      <c r="F1041" s="5"/>
      <c r="G1041" s="5"/>
      <c r="H1041" s="5"/>
      <c r="I1041" s="10" t="str">
        <f>IF(B1041="","",IF(COUNTIF(FUSE_CI!$A:$A,B1041)&gt;0,"Yes","No"))</f>
        <v/>
      </c>
      <c r="J1041" s="10" t="str">
        <f t="shared" si="16"/>
        <v/>
      </c>
      <c r="K1041" s="10" t="str">
        <f>IF(B1041="","",IF(COUNTIF(Finding_List!$A:$A,B1041)&gt;0,"Yes","No"))</f>
        <v/>
      </c>
    </row>
    <row r="1042" spans="1:11" x14ac:dyDescent="0.2">
      <c r="A1042" s="9"/>
      <c r="B1042" s="9"/>
      <c r="C1042" s="9"/>
      <c r="D1042" s="9"/>
      <c r="E1042" s="9"/>
      <c r="F1042" s="9"/>
      <c r="G1042" s="9"/>
      <c r="H1042" s="9"/>
      <c r="I1042" s="10" t="str">
        <f>IF(B1042="","",IF(COUNTIF(FUSE_CI!$A:$A,B1042)&gt;0,"Yes","No"))</f>
        <v/>
      </c>
      <c r="J1042" s="10" t="str">
        <f t="shared" si="16"/>
        <v/>
      </c>
      <c r="K1042" s="10" t="str">
        <f>IF(B1042="","",IF(COUNTIF(Finding_List!$A:$A,B1042)&gt;0,"Yes","No"))</f>
        <v/>
      </c>
    </row>
    <row r="1043" spans="1:11" x14ac:dyDescent="0.2">
      <c r="A1043" s="5"/>
      <c r="B1043" s="5"/>
      <c r="C1043" s="5"/>
      <c r="D1043" s="5"/>
      <c r="E1043" s="5"/>
      <c r="F1043" s="5"/>
      <c r="G1043" s="5"/>
      <c r="H1043" s="5"/>
      <c r="I1043" s="10" t="str">
        <f>IF(B1043="","",IF(COUNTIF(FUSE_CI!$A:$A,B1043)&gt;0,"Yes","No"))</f>
        <v/>
      </c>
      <c r="J1043" s="10" t="str">
        <f t="shared" si="16"/>
        <v/>
      </c>
      <c r="K1043" s="10" t="str">
        <f>IF(B1043="","",IF(COUNTIF(Finding_List!$A:$A,B1043)&gt;0,"Yes","No"))</f>
        <v/>
      </c>
    </row>
    <row r="1044" spans="1:11" x14ac:dyDescent="0.2">
      <c r="A1044" s="9"/>
      <c r="B1044" s="9"/>
      <c r="C1044" s="9"/>
      <c r="D1044" s="9"/>
      <c r="E1044" s="9"/>
      <c r="F1044" s="9"/>
      <c r="G1044" s="9"/>
      <c r="H1044" s="9"/>
      <c r="I1044" s="10" t="str">
        <f>IF(B1044="","",IF(COUNTIF(FUSE_CI!$A:$A,B1044)&gt;0,"Yes","No"))</f>
        <v/>
      </c>
      <c r="J1044" s="10" t="str">
        <f t="shared" si="16"/>
        <v/>
      </c>
      <c r="K1044" s="10" t="str">
        <f>IF(B1044="","",IF(COUNTIF(Finding_List!$A:$A,B1044)&gt;0,"Yes","No"))</f>
        <v/>
      </c>
    </row>
    <row r="1045" spans="1:11" x14ac:dyDescent="0.2">
      <c r="A1045" s="5"/>
      <c r="B1045" s="5"/>
      <c r="C1045" s="5"/>
      <c r="D1045" s="5"/>
      <c r="E1045" s="5"/>
      <c r="F1045" s="5"/>
      <c r="G1045" s="5"/>
      <c r="H1045" s="5"/>
      <c r="I1045" s="10" t="str">
        <f>IF(B1045="","",IF(COUNTIF(FUSE_CI!$A:$A,B1045)&gt;0,"Yes","No"))</f>
        <v/>
      </c>
      <c r="J1045" s="10" t="str">
        <f t="shared" si="16"/>
        <v/>
      </c>
      <c r="K1045" s="10" t="str">
        <f>IF(B1045="","",IF(COUNTIF(Finding_List!$A:$A,B1045)&gt;0,"Yes","No"))</f>
        <v/>
      </c>
    </row>
    <row r="1046" spans="1:11" x14ac:dyDescent="0.2">
      <c r="A1046" s="9"/>
      <c r="B1046" s="9"/>
      <c r="C1046" s="9"/>
      <c r="D1046" s="9"/>
      <c r="E1046" s="9"/>
      <c r="F1046" s="9"/>
      <c r="G1046" s="9"/>
      <c r="H1046" s="9"/>
      <c r="I1046" s="10" t="str">
        <f>IF(B1046="","",IF(COUNTIF(FUSE_CI!$A:$A,B1046)&gt;0,"Yes","No"))</f>
        <v/>
      </c>
      <c r="J1046" s="10" t="str">
        <f t="shared" si="16"/>
        <v/>
      </c>
      <c r="K1046" s="10" t="str">
        <f>IF(B1046="","",IF(COUNTIF(Finding_List!$A:$A,B1046)&gt;0,"Yes","No"))</f>
        <v/>
      </c>
    </row>
    <row r="1047" spans="1:11" x14ac:dyDescent="0.2">
      <c r="A1047" s="5"/>
      <c r="B1047" s="5"/>
      <c r="C1047" s="5"/>
      <c r="D1047" s="5"/>
      <c r="E1047" s="5"/>
      <c r="F1047" s="5"/>
      <c r="G1047" s="5"/>
      <c r="H1047" s="5"/>
      <c r="I1047" s="10" t="str">
        <f>IF(B1047="","",IF(COUNTIF(FUSE_CI!$A:$A,B1047)&gt;0,"Yes","No"))</f>
        <v/>
      </c>
      <c r="J1047" s="10" t="str">
        <f t="shared" si="16"/>
        <v/>
      </c>
      <c r="K1047" s="10" t="str">
        <f>IF(B1047="","",IF(COUNTIF(Finding_List!$A:$A,B1047)&gt;0,"Yes","No"))</f>
        <v/>
      </c>
    </row>
    <row r="1048" spans="1:11" x14ac:dyDescent="0.2">
      <c r="A1048" s="9"/>
      <c r="B1048" s="9"/>
      <c r="C1048" s="9"/>
      <c r="D1048" s="9"/>
      <c r="E1048" s="9"/>
      <c r="F1048" s="9"/>
      <c r="G1048" s="9"/>
      <c r="H1048" s="9"/>
      <c r="I1048" s="10" t="str">
        <f>IF(B1048="","",IF(COUNTIF(FUSE_CI!$A:$A,B1048)&gt;0,"Yes","No"))</f>
        <v/>
      </c>
      <c r="J1048" s="10" t="str">
        <f t="shared" si="16"/>
        <v/>
      </c>
      <c r="K1048" s="10" t="str">
        <f>IF(B1048="","",IF(COUNTIF(Finding_List!$A:$A,B1048)&gt;0,"Yes","No"))</f>
        <v/>
      </c>
    </row>
    <row r="1049" spans="1:11" x14ac:dyDescent="0.2">
      <c r="A1049" s="5"/>
      <c r="B1049" s="5"/>
      <c r="C1049" s="5"/>
      <c r="D1049" s="5"/>
      <c r="E1049" s="5"/>
      <c r="F1049" s="5"/>
      <c r="G1049" s="5"/>
      <c r="H1049" s="5"/>
      <c r="I1049" s="10" t="str">
        <f>IF(B1049="","",IF(COUNTIF(FUSE_CI!$A:$A,B1049)&gt;0,"Yes","No"))</f>
        <v/>
      </c>
      <c r="J1049" s="10" t="str">
        <f t="shared" si="16"/>
        <v/>
      </c>
      <c r="K1049" s="10" t="str">
        <f>IF(B1049="","",IF(COUNTIF(Finding_List!$A:$A,B1049)&gt;0,"Yes","No"))</f>
        <v/>
      </c>
    </row>
    <row r="1050" spans="1:11" x14ac:dyDescent="0.2">
      <c r="A1050" s="9"/>
      <c r="B1050" s="9"/>
      <c r="C1050" s="9"/>
      <c r="D1050" s="9"/>
      <c r="E1050" s="9"/>
      <c r="F1050" s="9"/>
      <c r="G1050" s="9"/>
      <c r="H1050" s="9"/>
      <c r="I1050" s="10" t="str">
        <f>IF(B1050="","",IF(COUNTIF(FUSE_CI!$A:$A,B1050)&gt;0,"Yes","No"))</f>
        <v/>
      </c>
      <c r="J1050" s="10" t="str">
        <f t="shared" si="16"/>
        <v/>
      </c>
      <c r="K1050" s="10" t="str">
        <f>IF(B1050="","",IF(COUNTIF(Finding_List!$A:$A,B1050)&gt;0,"Yes","No"))</f>
        <v/>
      </c>
    </row>
    <row r="1051" spans="1:11" x14ac:dyDescent="0.2">
      <c r="A1051" s="5"/>
      <c r="B1051" s="5"/>
      <c r="C1051" s="5"/>
      <c r="D1051" s="5"/>
      <c r="E1051" s="5"/>
      <c r="F1051" s="5"/>
      <c r="G1051" s="5"/>
      <c r="H1051" s="5"/>
      <c r="I1051" s="10" t="str">
        <f>IF(B1051="","",IF(COUNTIF(FUSE_CI!$A:$A,B1051)&gt;0,"Yes","No"))</f>
        <v/>
      </c>
      <c r="J1051" s="10" t="str">
        <f t="shared" si="16"/>
        <v/>
      </c>
      <c r="K1051" s="10" t="str">
        <f>IF(B1051="","",IF(COUNTIF(Finding_List!$A:$A,B1051)&gt;0,"Yes","No"))</f>
        <v/>
      </c>
    </row>
    <row r="1052" spans="1:11" x14ac:dyDescent="0.2">
      <c r="A1052" s="9"/>
      <c r="B1052" s="9"/>
      <c r="C1052" s="9"/>
      <c r="D1052" s="9"/>
      <c r="E1052" s="9"/>
      <c r="F1052" s="9"/>
      <c r="G1052" s="9"/>
      <c r="H1052" s="9"/>
      <c r="I1052" s="10" t="str">
        <f>IF(B1052="","",IF(COUNTIF(FUSE_CI!$A:$A,B1052)&gt;0,"Yes","No"))</f>
        <v/>
      </c>
      <c r="J1052" s="10" t="str">
        <f t="shared" si="16"/>
        <v/>
      </c>
      <c r="K1052" s="10" t="str">
        <f>IF(B1052="","",IF(COUNTIF(Finding_List!$A:$A,B1052)&gt;0,"Yes","No"))</f>
        <v/>
      </c>
    </row>
    <row r="1053" spans="1:11" x14ac:dyDescent="0.2">
      <c r="A1053" s="5"/>
      <c r="B1053" s="5"/>
      <c r="C1053" s="5"/>
      <c r="D1053" s="5"/>
      <c r="E1053" s="5"/>
      <c r="F1053" s="5"/>
      <c r="G1053" s="5"/>
      <c r="H1053" s="5"/>
      <c r="I1053" s="10" t="str">
        <f>IF(B1053="","",IF(COUNTIF(FUSE_CI!$A:$A,B1053)&gt;0,"Yes","No"))</f>
        <v/>
      </c>
      <c r="J1053" s="10" t="str">
        <f t="shared" si="16"/>
        <v/>
      </c>
      <c r="K1053" s="10" t="str">
        <f>IF(B1053="","",IF(COUNTIF(Finding_List!$A:$A,B1053)&gt;0,"Yes","No"))</f>
        <v/>
      </c>
    </row>
    <row r="1054" spans="1:11" x14ac:dyDescent="0.2">
      <c r="A1054" s="9"/>
      <c r="B1054" s="9"/>
      <c r="C1054" s="9"/>
      <c r="D1054" s="9"/>
      <c r="E1054" s="9"/>
      <c r="F1054" s="9"/>
      <c r="G1054" s="9"/>
      <c r="H1054" s="9"/>
      <c r="I1054" s="10" t="str">
        <f>IF(B1054="","",IF(COUNTIF(FUSE_CI!$A:$A,B1054)&gt;0,"Yes","No"))</f>
        <v/>
      </c>
      <c r="J1054" s="10" t="str">
        <f t="shared" si="16"/>
        <v/>
      </c>
      <c r="K1054" s="10" t="str">
        <f>IF(B1054="","",IF(COUNTIF(Finding_List!$A:$A,B1054)&gt;0,"Yes","No"))</f>
        <v/>
      </c>
    </row>
    <row r="1055" spans="1:11" x14ac:dyDescent="0.2">
      <c r="A1055" s="5"/>
      <c r="B1055" s="5"/>
      <c r="C1055" s="5"/>
      <c r="D1055" s="5"/>
      <c r="E1055" s="5"/>
      <c r="F1055" s="5"/>
      <c r="G1055" s="5"/>
      <c r="H1055" s="5"/>
      <c r="I1055" s="10" t="str">
        <f>IF(B1055="","",IF(COUNTIF(FUSE_CI!$A:$A,B1055)&gt;0,"Yes","No"))</f>
        <v/>
      </c>
      <c r="J1055" s="10" t="str">
        <f t="shared" si="16"/>
        <v/>
      </c>
      <c r="K1055" s="10" t="str">
        <f>IF(B1055="","",IF(COUNTIF(Finding_List!$A:$A,B1055)&gt;0,"Yes","No"))</f>
        <v/>
      </c>
    </row>
    <row r="1056" spans="1:11" x14ac:dyDescent="0.2">
      <c r="A1056" s="9"/>
      <c r="B1056" s="9"/>
      <c r="C1056" s="9"/>
      <c r="D1056" s="9"/>
      <c r="E1056" s="9"/>
      <c r="F1056" s="9"/>
      <c r="G1056" s="9"/>
      <c r="H1056" s="9"/>
      <c r="I1056" s="10" t="str">
        <f>IF(B1056="","",IF(COUNTIF(FUSE_CI!$A:$A,B1056)&gt;0,"Yes","No"))</f>
        <v/>
      </c>
      <c r="J1056" s="10" t="str">
        <f t="shared" si="16"/>
        <v/>
      </c>
      <c r="K1056" s="10" t="str">
        <f>IF(B1056="","",IF(COUNTIF(Finding_List!$A:$A,B1056)&gt;0,"Yes","No"))</f>
        <v/>
      </c>
    </row>
    <row r="1057" spans="1:11" x14ac:dyDescent="0.2">
      <c r="A1057" s="5"/>
      <c r="B1057" s="5"/>
      <c r="C1057" s="5"/>
      <c r="D1057" s="5"/>
      <c r="E1057" s="5"/>
      <c r="F1057" s="5"/>
      <c r="G1057" s="5"/>
      <c r="H1057" s="5"/>
      <c r="I1057" s="10" t="str">
        <f>IF(B1057="","",IF(COUNTIF(FUSE_CI!$A:$A,B1057)&gt;0,"Yes","No"))</f>
        <v/>
      </c>
      <c r="J1057" s="10" t="str">
        <f t="shared" si="16"/>
        <v/>
      </c>
      <c r="K1057" s="10" t="str">
        <f>IF(B1057="","",IF(COUNTIF(Finding_List!$A:$A,B1057)&gt;0,"Yes","No"))</f>
        <v/>
      </c>
    </row>
    <row r="1058" spans="1:11" x14ac:dyDescent="0.2">
      <c r="A1058" s="9"/>
      <c r="B1058" s="9"/>
      <c r="C1058" s="9"/>
      <c r="D1058" s="9"/>
      <c r="E1058" s="9"/>
      <c r="F1058" s="9"/>
      <c r="G1058" s="9"/>
      <c r="H1058" s="9"/>
      <c r="I1058" s="10" t="str">
        <f>IF(B1058="","",IF(COUNTIF(FUSE_CI!$A:$A,B1058)&gt;0,"Yes","No"))</f>
        <v/>
      </c>
      <c r="J1058" s="10" t="str">
        <f t="shared" si="16"/>
        <v/>
      </c>
      <c r="K1058" s="10" t="str">
        <f>IF(B1058="","",IF(COUNTIF(Finding_List!$A:$A,B1058)&gt;0,"Yes","No"))</f>
        <v/>
      </c>
    </row>
    <row r="1059" spans="1:11" x14ac:dyDescent="0.2">
      <c r="A1059" s="5"/>
      <c r="B1059" s="5"/>
      <c r="C1059" s="5"/>
      <c r="D1059" s="5"/>
      <c r="E1059" s="5"/>
      <c r="F1059" s="5"/>
      <c r="G1059" s="5"/>
      <c r="H1059" s="5"/>
      <c r="I1059" s="10" t="str">
        <f>IF(B1059="","",IF(COUNTIF(FUSE_CI!$A:$A,B1059)&gt;0,"Yes","No"))</f>
        <v/>
      </c>
      <c r="J1059" s="10" t="str">
        <f t="shared" si="16"/>
        <v/>
      </c>
      <c r="K1059" s="10" t="str">
        <f>IF(B1059="","",IF(COUNTIF(Finding_List!$A:$A,B1059)&gt;0,"Yes","No"))</f>
        <v/>
      </c>
    </row>
    <row r="1060" spans="1:11" x14ac:dyDescent="0.2">
      <c r="A1060" s="9"/>
      <c r="B1060" s="9"/>
      <c r="C1060" s="9"/>
      <c r="D1060" s="9"/>
      <c r="E1060" s="9"/>
      <c r="F1060" s="9"/>
      <c r="G1060" s="9"/>
      <c r="H1060" s="9"/>
      <c r="I1060" s="10" t="str">
        <f>IF(B1060="","",IF(COUNTIF(FUSE_CI!$A:$A,B1060)&gt;0,"Yes","No"))</f>
        <v/>
      </c>
      <c r="J1060" s="10" t="str">
        <f t="shared" si="16"/>
        <v/>
      </c>
      <c r="K1060" s="10" t="str">
        <f>IF(B1060="","",IF(COUNTIF(Finding_List!$A:$A,B1060)&gt;0,"Yes","No"))</f>
        <v/>
      </c>
    </row>
    <row r="1061" spans="1:11" x14ac:dyDescent="0.2">
      <c r="A1061" s="5"/>
      <c r="B1061" s="5"/>
      <c r="C1061" s="5"/>
      <c r="D1061" s="5"/>
      <c r="E1061" s="5"/>
      <c r="F1061" s="5"/>
      <c r="G1061" s="5"/>
      <c r="H1061" s="5"/>
      <c r="I1061" s="10" t="str">
        <f>IF(B1061="","",IF(COUNTIF(FUSE_CI!$A:$A,B1061)&gt;0,"Yes","No"))</f>
        <v/>
      </c>
      <c r="J1061" s="10" t="str">
        <f t="shared" si="16"/>
        <v/>
      </c>
      <c r="K1061" s="10" t="str">
        <f>IF(B1061="","",IF(COUNTIF(Finding_List!$A:$A,B1061)&gt;0,"Yes","No"))</f>
        <v/>
      </c>
    </row>
    <row r="1062" spans="1:11" x14ac:dyDescent="0.2">
      <c r="A1062" s="9"/>
      <c r="B1062" s="9"/>
      <c r="C1062" s="9"/>
      <c r="D1062" s="9"/>
      <c r="E1062" s="9"/>
      <c r="F1062" s="9"/>
      <c r="G1062" s="9"/>
      <c r="H1062" s="9"/>
      <c r="I1062" s="10" t="str">
        <f>IF(B1062="","",IF(COUNTIF(FUSE_CI!$A:$A,B1062)&gt;0,"Yes","No"))</f>
        <v/>
      </c>
      <c r="J1062" s="10" t="str">
        <f t="shared" si="16"/>
        <v/>
      </c>
      <c r="K1062" s="10" t="str">
        <f>IF(B1062="","",IF(COUNTIF(Finding_List!$A:$A,B1062)&gt;0,"Yes","No"))</f>
        <v/>
      </c>
    </row>
    <row r="1063" spans="1:11" x14ac:dyDescent="0.2">
      <c r="A1063" s="5"/>
      <c r="B1063" s="5"/>
      <c r="C1063" s="5"/>
      <c r="D1063" s="5"/>
      <c r="E1063" s="5"/>
      <c r="F1063" s="5"/>
      <c r="G1063" s="5"/>
      <c r="H1063" s="5"/>
      <c r="I1063" s="10" t="str">
        <f>IF(B1063="","",IF(COUNTIF(FUSE_CI!$A:$A,B1063)&gt;0,"Yes","No"))</f>
        <v/>
      </c>
      <c r="J1063" s="10" t="str">
        <f t="shared" si="16"/>
        <v/>
      </c>
      <c r="K1063" s="10" t="str">
        <f>IF(B1063="","",IF(COUNTIF(Finding_List!$A:$A,B1063)&gt;0,"Yes","No"))</f>
        <v/>
      </c>
    </row>
    <row r="1064" spans="1:11" x14ac:dyDescent="0.2">
      <c r="A1064" s="9"/>
      <c r="B1064" s="9"/>
      <c r="C1064" s="9"/>
      <c r="D1064" s="9"/>
      <c r="E1064" s="9"/>
      <c r="F1064" s="9"/>
      <c r="G1064" s="9"/>
      <c r="H1064" s="9"/>
      <c r="I1064" s="10" t="str">
        <f>IF(B1064="","",IF(COUNTIF(FUSE_CI!$A:$A,B1064)&gt;0,"Yes","No"))</f>
        <v/>
      </c>
      <c r="J1064" s="10" t="str">
        <f t="shared" si="16"/>
        <v/>
      </c>
      <c r="K1064" s="10" t="str">
        <f>IF(B1064="","",IF(COUNTIF(Finding_List!$A:$A,B1064)&gt;0,"Yes","No"))</f>
        <v/>
      </c>
    </row>
    <row r="1065" spans="1:11" x14ac:dyDescent="0.2">
      <c r="A1065" s="5"/>
      <c r="B1065" s="5"/>
      <c r="C1065" s="5"/>
      <c r="D1065" s="5"/>
      <c r="E1065" s="5"/>
      <c r="F1065" s="5"/>
      <c r="G1065" s="5"/>
      <c r="H1065" s="5"/>
      <c r="I1065" s="10" t="str">
        <f>IF(B1065="","",IF(COUNTIF(FUSE_CI!$A:$A,B1065)&gt;0,"Yes","No"))</f>
        <v/>
      </c>
      <c r="J1065" s="10" t="str">
        <f t="shared" si="16"/>
        <v/>
      </c>
      <c r="K1065" s="10" t="str">
        <f>IF(B1065="","",IF(COUNTIF(Finding_List!$A:$A,B1065)&gt;0,"Yes","No"))</f>
        <v/>
      </c>
    </row>
    <row r="1066" spans="1:11" x14ac:dyDescent="0.2">
      <c r="A1066" s="9"/>
      <c r="B1066" s="9"/>
      <c r="C1066" s="9"/>
      <c r="D1066" s="9"/>
      <c r="E1066" s="9"/>
      <c r="F1066" s="9"/>
      <c r="G1066" s="9"/>
      <c r="H1066" s="9"/>
      <c r="I1066" s="10" t="str">
        <f>IF(B1066="","",IF(COUNTIF(FUSE_CI!$A:$A,B1066)&gt;0,"Yes","No"))</f>
        <v/>
      </c>
      <c r="J1066" s="10" t="str">
        <f t="shared" si="16"/>
        <v/>
      </c>
      <c r="K1066" s="10" t="str">
        <f>IF(B1066="","",IF(COUNTIF(Finding_List!$A:$A,B1066)&gt;0,"Yes","No"))</f>
        <v/>
      </c>
    </row>
    <row r="1067" spans="1:11" x14ac:dyDescent="0.2">
      <c r="A1067" s="5"/>
      <c r="B1067" s="5"/>
      <c r="C1067" s="5"/>
      <c r="D1067" s="5"/>
      <c r="E1067" s="5"/>
      <c r="F1067" s="5"/>
      <c r="G1067" s="5"/>
      <c r="H1067" s="5"/>
      <c r="I1067" s="10" t="str">
        <f>IF(B1067="","",IF(COUNTIF(FUSE_CI!$A:$A,B1067)&gt;0,"Yes","No"))</f>
        <v/>
      </c>
      <c r="J1067" s="10" t="str">
        <f t="shared" si="16"/>
        <v/>
      </c>
      <c r="K1067" s="10" t="str">
        <f>IF(B1067="","",IF(COUNTIF(Finding_List!$A:$A,B1067)&gt;0,"Yes","No"))</f>
        <v/>
      </c>
    </row>
    <row r="1068" spans="1:11" x14ac:dyDescent="0.2">
      <c r="A1068" s="9"/>
      <c r="B1068" s="9"/>
      <c r="C1068" s="9"/>
      <c r="D1068" s="9"/>
      <c r="E1068" s="9"/>
      <c r="F1068" s="9"/>
      <c r="G1068" s="9"/>
      <c r="H1068" s="9"/>
      <c r="I1068" s="10" t="str">
        <f>IF(B1068="","",IF(COUNTIF(FUSE_CI!$A:$A,B1068)&gt;0,"Yes","No"))</f>
        <v/>
      </c>
      <c r="J1068" s="10" t="str">
        <f t="shared" si="16"/>
        <v/>
      </c>
      <c r="K1068" s="10" t="str">
        <f>IF(B1068="","",IF(COUNTIF(Finding_List!$A:$A,B1068)&gt;0,"Yes","No"))</f>
        <v/>
      </c>
    </row>
    <row r="1069" spans="1:11" x14ac:dyDescent="0.2">
      <c r="A1069" s="5"/>
      <c r="B1069" s="5"/>
      <c r="C1069" s="5"/>
      <c r="D1069" s="5"/>
      <c r="E1069" s="5"/>
      <c r="F1069" s="5"/>
      <c r="G1069" s="5"/>
      <c r="H1069" s="5"/>
      <c r="I1069" s="10" t="str">
        <f>IF(B1069="","",IF(COUNTIF(FUSE_CI!$A:$A,B1069)&gt;0,"Yes","No"))</f>
        <v/>
      </c>
      <c r="J1069" s="10" t="str">
        <f t="shared" si="16"/>
        <v/>
      </c>
      <c r="K1069" s="10" t="str">
        <f>IF(B1069="","",IF(COUNTIF(Finding_List!$A:$A,B1069)&gt;0,"Yes","No"))</f>
        <v/>
      </c>
    </row>
    <row r="1070" spans="1:11" x14ac:dyDescent="0.2">
      <c r="A1070" s="9"/>
      <c r="B1070" s="9"/>
      <c r="C1070" s="9"/>
      <c r="D1070" s="9"/>
      <c r="E1070" s="9"/>
      <c r="F1070" s="9"/>
      <c r="G1070" s="9"/>
      <c r="H1070" s="9"/>
      <c r="I1070" s="10" t="str">
        <f>IF(B1070="","",IF(COUNTIF(FUSE_CI!$A:$A,B1070)&gt;0,"Yes","No"))</f>
        <v/>
      </c>
      <c r="J1070" s="10" t="str">
        <f t="shared" si="16"/>
        <v/>
      </c>
      <c r="K1070" s="10" t="str">
        <f>IF(B1070="","",IF(COUNTIF(Finding_List!$A:$A,B1070)&gt;0,"Yes","No"))</f>
        <v/>
      </c>
    </row>
    <row r="1071" spans="1:11" x14ac:dyDescent="0.2">
      <c r="A1071" s="5"/>
      <c r="B1071" s="5"/>
      <c r="C1071" s="5"/>
      <c r="D1071" s="5"/>
      <c r="E1071" s="5"/>
      <c r="F1071" s="5"/>
      <c r="G1071" s="5"/>
      <c r="H1071" s="5"/>
      <c r="I1071" s="10" t="str">
        <f>IF(B1071="","",IF(COUNTIF(FUSE_CI!$A:$A,B1071)&gt;0,"Yes","No"))</f>
        <v/>
      </c>
      <c r="J1071" s="10" t="str">
        <f t="shared" si="16"/>
        <v/>
      </c>
      <c r="K1071" s="10" t="str">
        <f>IF(B1071="","",IF(COUNTIF(Finding_List!$A:$A,B1071)&gt;0,"Yes","No"))</f>
        <v/>
      </c>
    </row>
    <row r="1072" spans="1:11" x14ac:dyDescent="0.2">
      <c r="A1072" s="9"/>
      <c r="B1072" s="9"/>
      <c r="C1072" s="9"/>
      <c r="D1072" s="9"/>
      <c r="E1072" s="9"/>
      <c r="F1072" s="9"/>
      <c r="G1072" s="9"/>
      <c r="H1072" s="9"/>
      <c r="I1072" s="10" t="str">
        <f>IF(B1072="","",IF(COUNTIF(FUSE_CI!$A:$A,B1072)&gt;0,"Yes","No"))</f>
        <v/>
      </c>
      <c r="J1072" s="10" t="str">
        <f t="shared" si="16"/>
        <v/>
      </c>
      <c r="K1072" s="10" t="str">
        <f>IF(B1072="","",IF(COUNTIF(Finding_List!$A:$A,B1072)&gt;0,"Yes","No"))</f>
        <v/>
      </c>
    </row>
    <row r="1073" spans="1:11" x14ac:dyDescent="0.2">
      <c r="A1073" s="5"/>
      <c r="B1073" s="5"/>
      <c r="C1073" s="5"/>
      <c r="D1073" s="5"/>
      <c r="E1073" s="5"/>
      <c r="F1073" s="5"/>
      <c r="G1073" s="5"/>
      <c r="H1073" s="5"/>
      <c r="I1073" s="10" t="str">
        <f>IF(B1073="","",IF(COUNTIF(FUSE_CI!$A:$A,B1073)&gt;0,"Yes","No"))</f>
        <v/>
      </c>
      <c r="J1073" s="10" t="str">
        <f t="shared" si="16"/>
        <v/>
      </c>
      <c r="K1073" s="10" t="str">
        <f>IF(B1073="","",IF(COUNTIF(Finding_List!$A:$A,B1073)&gt;0,"Yes","No"))</f>
        <v/>
      </c>
    </row>
    <row r="1074" spans="1:11" x14ac:dyDescent="0.2">
      <c r="A1074" s="9"/>
      <c r="B1074" s="9"/>
      <c r="C1074" s="9"/>
      <c r="D1074" s="9"/>
      <c r="E1074" s="9"/>
      <c r="F1074" s="9"/>
      <c r="G1074" s="9"/>
      <c r="H1074" s="9"/>
      <c r="I1074" s="10" t="str">
        <f>IF(B1074="","",IF(COUNTIF(FUSE_CI!$A:$A,B1074)&gt;0,"Yes","No"))</f>
        <v/>
      </c>
      <c r="J1074" s="10" t="str">
        <f t="shared" si="16"/>
        <v/>
      </c>
      <c r="K1074" s="10" t="str">
        <f>IF(B1074="","",IF(COUNTIF(Finding_List!$A:$A,B1074)&gt;0,"Yes","No"))</f>
        <v/>
      </c>
    </row>
    <row r="1075" spans="1:11" x14ac:dyDescent="0.2">
      <c r="A1075" s="5"/>
      <c r="B1075" s="5"/>
      <c r="C1075" s="5"/>
      <c r="D1075" s="5"/>
      <c r="E1075" s="5"/>
      <c r="F1075" s="5"/>
      <c r="G1075" s="5"/>
      <c r="H1075" s="5"/>
      <c r="I1075" s="10" t="str">
        <f>IF(B1075="","",IF(COUNTIF(FUSE_CI!$A:$A,B1075)&gt;0,"Yes","No"))</f>
        <v/>
      </c>
      <c r="J1075" s="10" t="str">
        <f t="shared" si="16"/>
        <v/>
      </c>
      <c r="K1075" s="10" t="str">
        <f>IF(B1075="","",IF(COUNTIF(Finding_List!$A:$A,B1075)&gt;0,"Yes","No"))</f>
        <v/>
      </c>
    </row>
    <row r="1076" spans="1:11" x14ac:dyDescent="0.2">
      <c r="A1076" s="9"/>
      <c r="B1076" s="9"/>
      <c r="C1076" s="9"/>
      <c r="D1076" s="9"/>
      <c r="E1076" s="9"/>
      <c r="F1076" s="9"/>
      <c r="G1076" s="9"/>
      <c r="H1076" s="9"/>
      <c r="I1076" s="10" t="str">
        <f>IF(B1076="","",IF(COUNTIF(FUSE_CI!$A:$A,B1076)&gt;0,"Yes","No"))</f>
        <v/>
      </c>
      <c r="J1076" s="10" t="str">
        <f t="shared" si="16"/>
        <v/>
      </c>
      <c r="K1076" s="10" t="str">
        <f>IF(B1076="","",IF(COUNTIF(Finding_List!$A:$A,B1076)&gt;0,"Yes","No"))</f>
        <v/>
      </c>
    </row>
    <row r="1077" spans="1:11" x14ac:dyDescent="0.2">
      <c r="A1077" s="5"/>
      <c r="B1077" s="5"/>
      <c r="C1077" s="5"/>
      <c r="D1077" s="5"/>
      <c r="E1077" s="5"/>
      <c r="F1077" s="5"/>
      <c r="G1077" s="5"/>
      <c r="H1077" s="5"/>
      <c r="I1077" s="10" t="str">
        <f>IF(B1077="","",IF(COUNTIF(FUSE_CI!$A:$A,B1077)&gt;0,"Yes","No"))</f>
        <v/>
      </c>
      <c r="J1077" s="10" t="str">
        <f t="shared" si="16"/>
        <v/>
      </c>
      <c r="K1077" s="10" t="str">
        <f>IF(B1077="","",IF(COUNTIF(Finding_List!$A:$A,B1077)&gt;0,"Yes","No"))</f>
        <v/>
      </c>
    </row>
    <row r="1078" spans="1:11" x14ac:dyDescent="0.2">
      <c r="A1078" s="9"/>
      <c r="B1078" s="9"/>
      <c r="C1078" s="9"/>
      <c r="D1078" s="9"/>
      <c r="E1078" s="9"/>
      <c r="F1078" s="9"/>
      <c r="G1078" s="9"/>
      <c r="H1078" s="9"/>
      <c r="I1078" s="10" t="str">
        <f>IF(B1078="","",IF(COUNTIF(FUSE_CI!$A:$A,B1078)&gt;0,"Yes","No"))</f>
        <v/>
      </c>
      <c r="J1078" s="10" t="str">
        <f t="shared" si="16"/>
        <v/>
      </c>
      <c r="K1078" s="10" t="str">
        <f>IF(B1078="","",IF(COUNTIF(Finding_List!$A:$A,B1078)&gt;0,"Yes","No"))</f>
        <v/>
      </c>
    </row>
    <row r="1079" spans="1:11" x14ac:dyDescent="0.2">
      <c r="A1079" s="5"/>
      <c r="B1079" s="5"/>
      <c r="C1079" s="5"/>
      <c r="D1079" s="5"/>
      <c r="E1079" s="5"/>
      <c r="F1079" s="5"/>
      <c r="G1079" s="5"/>
      <c r="H1079" s="5"/>
      <c r="I1079" s="10" t="str">
        <f>IF(B1079="","",IF(COUNTIF(FUSE_CI!$A:$A,B1079)&gt;0,"Yes","No"))</f>
        <v/>
      </c>
      <c r="J1079" s="10" t="str">
        <f t="shared" si="16"/>
        <v/>
      </c>
      <c r="K1079" s="10" t="str">
        <f>IF(B1079="","",IF(COUNTIF(Finding_List!$A:$A,B1079)&gt;0,"Yes","No"))</f>
        <v/>
      </c>
    </row>
    <row r="1080" spans="1:11" x14ac:dyDescent="0.2">
      <c r="A1080" s="9"/>
      <c r="B1080" s="9"/>
      <c r="C1080" s="9"/>
      <c r="D1080" s="9"/>
      <c r="E1080" s="9"/>
      <c r="F1080" s="9"/>
      <c r="G1080" s="9"/>
      <c r="H1080" s="9"/>
      <c r="I1080" s="10" t="str">
        <f>IF(B1080="","",IF(COUNTIF(FUSE_CI!$A:$A,B1080)&gt;0,"Yes","No"))</f>
        <v/>
      </c>
      <c r="J1080" s="10" t="str">
        <f t="shared" si="16"/>
        <v/>
      </c>
      <c r="K1080" s="10" t="str">
        <f>IF(B1080="","",IF(COUNTIF(Finding_List!$A:$A,B1080)&gt;0,"Yes","No"))</f>
        <v/>
      </c>
    </row>
    <row r="1081" spans="1:11" x14ac:dyDescent="0.2">
      <c r="A1081" s="5"/>
      <c r="B1081" s="5"/>
      <c r="C1081" s="5"/>
      <c r="D1081" s="5"/>
      <c r="E1081" s="5"/>
      <c r="F1081" s="5"/>
      <c r="G1081" s="5"/>
      <c r="H1081" s="5"/>
      <c r="I1081" s="10" t="str">
        <f>IF(B1081="","",IF(COUNTIF(FUSE_CI!$A:$A,B1081)&gt;0,"Yes","No"))</f>
        <v/>
      </c>
      <c r="J1081" s="10" t="str">
        <f t="shared" si="16"/>
        <v/>
      </c>
      <c r="K1081" s="10" t="str">
        <f>IF(B1081="","",IF(COUNTIF(Finding_List!$A:$A,B1081)&gt;0,"Yes","No"))</f>
        <v/>
      </c>
    </row>
    <row r="1082" spans="1:11" x14ac:dyDescent="0.2">
      <c r="A1082" s="9"/>
      <c r="B1082" s="9"/>
      <c r="C1082" s="9"/>
      <c r="D1082" s="9"/>
      <c r="E1082" s="9"/>
      <c r="F1082" s="9"/>
      <c r="G1082" s="9"/>
      <c r="H1082" s="9"/>
      <c r="I1082" s="10" t="str">
        <f>IF(B1082="","",IF(COUNTIF(FUSE_CI!$A:$A,B1082)&gt;0,"Yes","No"))</f>
        <v/>
      </c>
      <c r="J1082" s="10" t="str">
        <f t="shared" si="16"/>
        <v/>
      </c>
      <c r="K1082" s="10" t="str">
        <f>IF(B1082="","",IF(COUNTIF(Finding_List!$A:$A,B1082)&gt;0,"Yes","No"))</f>
        <v/>
      </c>
    </row>
    <row r="1083" spans="1:11" x14ac:dyDescent="0.2">
      <c r="A1083" s="5"/>
      <c r="B1083" s="5"/>
      <c r="C1083" s="5"/>
      <c r="D1083" s="5"/>
      <c r="E1083" s="5"/>
      <c r="F1083" s="5"/>
      <c r="G1083" s="5"/>
      <c r="H1083" s="5"/>
      <c r="I1083" s="10" t="str">
        <f>IF(B1083="","",IF(COUNTIF(FUSE_CI!$A:$A,B1083)&gt;0,"Yes","No"))</f>
        <v/>
      </c>
      <c r="J1083" s="10" t="str">
        <f t="shared" si="16"/>
        <v/>
      </c>
      <c r="K1083" s="10" t="str">
        <f>IF(B1083="","",IF(COUNTIF(Finding_List!$A:$A,B1083)&gt;0,"Yes","No"))</f>
        <v/>
      </c>
    </row>
    <row r="1084" spans="1:11" x14ac:dyDescent="0.2">
      <c r="A1084" s="9"/>
      <c r="B1084" s="9"/>
      <c r="C1084" s="9"/>
      <c r="D1084" s="9"/>
      <c r="E1084" s="9"/>
      <c r="F1084" s="9"/>
      <c r="G1084" s="9"/>
      <c r="H1084" s="9"/>
      <c r="I1084" s="10" t="str">
        <f>IF(B1084="","",IF(COUNTIF(FUSE_CI!$A:$A,B1084)&gt;0,"Yes","No"))</f>
        <v/>
      </c>
      <c r="J1084" s="10" t="str">
        <f t="shared" si="16"/>
        <v/>
      </c>
      <c r="K1084" s="10" t="str">
        <f>IF(B1084="","",IF(COUNTIF(Finding_List!$A:$A,B1084)&gt;0,"Yes","No"))</f>
        <v/>
      </c>
    </row>
    <row r="1085" spans="1:11" x14ac:dyDescent="0.2">
      <c r="A1085" s="5"/>
      <c r="B1085" s="5"/>
      <c r="C1085" s="5"/>
      <c r="D1085" s="5"/>
      <c r="E1085" s="5"/>
      <c r="F1085" s="5"/>
      <c r="G1085" s="5"/>
      <c r="H1085" s="5"/>
      <c r="I1085" s="10" t="str">
        <f>IF(B1085="","",IF(COUNTIF(FUSE_CI!$A:$A,B1085)&gt;0,"Yes","No"))</f>
        <v/>
      </c>
      <c r="J1085" s="10" t="str">
        <f t="shared" si="16"/>
        <v/>
      </c>
      <c r="K1085" s="10" t="str">
        <f>IF(B1085="","",IF(COUNTIF(Finding_List!$A:$A,B1085)&gt;0,"Yes","No"))</f>
        <v/>
      </c>
    </row>
    <row r="1086" spans="1:11" x14ac:dyDescent="0.2">
      <c r="A1086" s="9"/>
      <c r="B1086" s="9"/>
      <c r="C1086" s="9"/>
      <c r="D1086" s="9"/>
      <c r="E1086" s="9"/>
      <c r="F1086" s="9"/>
      <c r="G1086" s="9"/>
      <c r="H1086" s="9"/>
      <c r="I1086" s="10" t="str">
        <f>IF(B1086="","",IF(COUNTIF(FUSE_CI!$A:$A,B1086)&gt;0,"Yes","No"))</f>
        <v/>
      </c>
      <c r="J1086" s="10" t="str">
        <f t="shared" si="16"/>
        <v/>
      </c>
      <c r="K1086" s="10" t="str">
        <f>IF(B1086="","",IF(COUNTIF(Finding_List!$A:$A,B1086)&gt;0,"Yes","No"))</f>
        <v/>
      </c>
    </row>
    <row r="1087" spans="1:11" x14ac:dyDescent="0.2">
      <c r="A1087" s="5"/>
      <c r="B1087" s="5"/>
      <c r="C1087" s="5"/>
      <c r="D1087" s="5"/>
      <c r="E1087" s="5"/>
      <c r="F1087" s="5"/>
      <c r="G1087" s="5"/>
      <c r="H1087" s="5"/>
      <c r="I1087" s="10" t="str">
        <f>IF(B1087="","",IF(COUNTIF(FUSE_CI!$A:$A,B1087)&gt;0,"Yes","No"))</f>
        <v/>
      </c>
      <c r="J1087" s="10" t="str">
        <f t="shared" si="16"/>
        <v/>
      </c>
      <c r="K1087" s="10" t="str">
        <f>IF(B1087="","",IF(COUNTIF(Finding_List!$A:$A,B1087)&gt;0,"Yes","No"))</f>
        <v/>
      </c>
    </row>
    <row r="1088" spans="1:11" x14ac:dyDescent="0.2">
      <c r="A1088" s="9"/>
      <c r="B1088" s="9"/>
      <c r="C1088" s="9"/>
      <c r="D1088" s="9"/>
      <c r="E1088" s="9"/>
      <c r="F1088" s="9"/>
      <c r="G1088" s="9"/>
      <c r="H1088" s="9"/>
      <c r="I1088" s="10" t="str">
        <f>IF(B1088="","",IF(COUNTIF(FUSE_CI!$A:$A,B1088)&gt;0,"Yes","No"))</f>
        <v/>
      </c>
      <c r="J1088" s="10" t="str">
        <f t="shared" si="16"/>
        <v/>
      </c>
      <c r="K1088" s="10" t="str">
        <f>IF(B1088="","",IF(COUNTIF(Finding_List!$A:$A,B1088)&gt;0,"Yes","No"))</f>
        <v/>
      </c>
    </row>
    <row r="1089" spans="1:11" x14ac:dyDescent="0.2">
      <c r="A1089" s="5"/>
      <c r="B1089" s="5"/>
      <c r="C1089" s="5"/>
      <c r="D1089" s="5"/>
      <c r="E1089" s="5"/>
      <c r="F1089" s="5"/>
      <c r="G1089" s="5"/>
      <c r="H1089" s="5"/>
      <c r="I1089" s="10" t="str">
        <f>IF(B1089="","",IF(COUNTIF(FUSE_CI!$A:$A,B1089)&gt;0,"Yes","No"))</f>
        <v/>
      </c>
      <c r="J1089" s="10" t="str">
        <f t="shared" si="16"/>
        <v/>
      </c>
      <c r="K1089" s="10" t="str">
        <f>IF(B1089="","",IF(COUNTIF(Finding_List!$A:$A,B1089)&gt;0,"Yes","No"))</f>
        <v/>
      </c>
    </row>
    <row r="1090" spans="1:11" x14ac:dyDescent="0.2">
      <c r="A1090" s="9"/>
      <c r="B1090" s="9"/>
      <c r="C1090" s="9"/>
      <c r="D1090" s="9"/>
      <c r="E1090" s="9"/>
      <c r="F1090" s="9"/>
      <c r="G1090" s="9"/>
      <c r="H1090" s="9"/>
      <c r="I1090" s="10" t="str">
        <f>IF(B1090="","",IF(COUNTIF(FUSE_CI!$A:$A,B1090)&gt;0,"Yes","No"))</f>
        <v/>
      </c>
      <c r="J1090" s="10" t="str">
        <f t="shared" si="16"/>
        <v/>
      </c>
      <c r="K1090" s="10" t="str">
        <f>IF(B1090="","",IF(COUNTIF(Finding_List!$A:$A,B1090)&gt;0,"Yes","No"))</f>
        <v/>
      </c>
    </row>
    <row r="1091" spans="1:11" x14ac:dyDescent="0.2">
      <c r="A1091" s="5"/>
      <c r="B1091" s="5"/>
      <c r="C1091" s="5"/>
      <c r="D1091" s="5"/>
      <c r="E1091" s="5"/>
      <c r="F1091" s="5"/>
      <c r="G1091" s="5"/>
      <c r="H1091" s="5"/>
      <c r="I1091" s="10" t="str">
        <f>IF(B1091="","",IF(COUNTIF(FUSE_CI!$A:$A,B1091)&gt;0,"Yes","No"))</f>
        <v/>
      </c>
      <c r="J1091" s="10" t="str">
        <f t="shared" si="16"/>
        <v/>
      </c>
      <c r="K1091" s="10" t="str">
        <f>IF(B1091="","",IF(COUNTIF(Finding_List!$A:$A,B1091)&gt;0,"Yes","No"))</f>
        <v/>
      </c>
    </row>
    <row r="1092" spans="1:11" x14ac:dyDescent="0.2">
      <c r="A1092" s="9"/>
      <c r="B1092" s="9"/>
      <c r="C1092" s="9"/>
      <c r="D1092" s="9"/>
      <c r="E1092" s="9"/>
      <c r="F1092" s="9"/>
      <c r="G1092" s="9"/>
      <c r="H1092" s="9"/>
      <c r="I1092" s="10" t="str">
        <f>IF(B1092="","",IF(COUNTIF(FUSE_CI!$A:$A,B1092)&gt;0,"Yes","No"))</f>
        <v/>
      </c>
      <c r="J1092" s="10" t="str">
        <f t="shared" ref="J1092:J1155" si="17">IF(B1092="","",IF(AND(D1092&lt;&gt;"High",D1092&lt;&gt;"Very High",I1092="Yes",K1092="No"),"Fast Follower","Not Eligible"))</f>
        <v/>
      </c>
      <c r="K1092" s="10" t="str">
        <f>IF(B1092="","",IF(COUNTIF(Finding_List!$A:$A,B1092)&gt;0,"Yes","No"))</f>
        <v/>
      </c>
    </row>
    <row r="1093" spans="1:11" x14ac:dyDescent="0.2">
      <c r="A1093" s="5"/>
      <c r="B1093" s="5"/>
      <c r="C1093" s="5"/>
      <c r="D1093" s="5"/>
      <c r="E1093" s="5"/>
      <c r="F1093" s="5"/>
      <c r="G1093" s="5"/>
      <c r="H1093" s="5"/>
      <c r="I1093" s="10" t="str">
        <f>IF(B1093="","",IF(COUNTIF(FUSE_CI!$A:$A,B1093)&gt;0,"Yes","No"))</f>
        <v/>
      </c>
      <c r="J1093" s="10" t="str">
        <f t="shared" si="17"/>
        <v/>
      </c>
      <c r="K1093" s="10" t="str">
        <f>IF(B1093="","",IF(COUNTIF(Finding_List!$A:$A,B1093)&gt;0,"Yes","No"))</f>
        <v/>
      </c>
    </row>
    <row r="1094" spans="1:11" x14ac:dyDescent="0.2">
      <c r="A1094" s="9"/>
      <c r="B1094" s="9"/>
      <c r="C1094" s="9"/>
      <c r="D1094" s="9"/>
      <c r="E1094" s="9"/>
      <c r="F1094" s="9"/>
      <c r="G1094" s="9"/>
      <c r="H1094" s="9"/>
      <c r="I1094" s="10" t="str">
        <f>IF(B1094="","",IF(COUNTIF(FUSE_CI!$A:$A,B1094)&gt;0,"Yes","No"))</f>
        <v/>
      </c>
      <c r="J1094" s="10" t="str">
        <f t="shared" si="17"/>
        <v/>
      </c>
      <c r="K1094" s="10" t="str">
        <f>IF(B1094="","",IF(COUNTIF(Finding_List!$A:$A,B1094)&gt;0,"Yes","No"))</f>
        <v/>
      </c>
    </row>
    <row r="1095" spans="1:11" x14ac:dyDescent="0.2">
      <c r="A1095" s="5"/>
      <c r="B1095" s="5"/>
      <c r="C1095" s="5"/>
      <c r="D1095" s="5"/>
      <c r="E1095" s="5"/>
      <c r="F1095" s="5"/>
      <c r="G1095" s="5"/>
      <c r="H1095" s="5"/>
      <c r="I1095" s="10" t="str">
        <f>IF(B1095="","",IF(COUNTIF(FUSE_CI!$A:$A,B1095)&gt;0,"Yes","No"))</f>
        <v/>
      </c>
      <c r="J1095" s="10" t="str">
        <f t="shared" si="17"/>
        <v/>
      </c>
      <c r="K1095" s="10" t="str">
        <f>IF(B1095="","",IF(COUNTIF(Finding_List!$A:$A,B1095)&gt;0,"Yes","No"))</f>
        <v/>
      </c>
    </row>
    <row r="1096" spans="1:11" x14ac:dyDescent="0.2">
      <c r="A1096" s="9"/>
      <c r="B1096" s="9"/>
      <c r="C1096" s="9"/>
      <c r="D1096" s="9"/>
      <c r="E1096" s="9"/>
      <c r="F1096" s="9"/>
      <c r="G1096" s="9"/>
      <c r="H1096" s="9"/>
      <c r="I1096" s="10" t="str">
        <f>IF(B1096="","",IF(COUNTIF(FUSE_CI!$A:$A,B1096)&gt;0,"Yes","No"))</f>
        <v/>
      </c>
      <c r="J1096" s="10" t="str">
        <f t="shared" si="17"/>
        <v/>
      </c>
      <c r="K1096" s="10" t="str">
        <f>IF(B1096="","",IF(COUNTIF(Finding_List!$A:$A,B1096)&gt;0,"Yes","No"))</f>
        <v/>
      </c>
    </row>
    <row r="1097" spans="1:11" x14ac:dyDescent="0.2">
      <c r="A1097" s="5"/>
      <c r="B1097" s="5"/>
      <c r="C1097" s="5"/>
      <c r="D1097" s="5"/>
      <c r="E1097" s="5"/>
      <c r="F1097" s="5"/>
      <c r="G1097" s="5"/>
      <c r="H1097" s="5"/>
      <c r="I1097" s="10" t="str">
        <f>IF(B1097="","",IF(COUNTIF(FUSE_CI!$A:$A,B1097)&gt;0,"Yes","No"))</f>
        <v/>
      </c>
      <c r="J1097" s="10" t="str">
        <f t="shared" si="17"/>
        <v/>
      </c>
      <c r="K1097" s="10" t="str">
        <f>IF(B1097="","",IF(COUNTIF(Finding_List!$A:$A,B1097)&gt;0,"Yes","No"))</f>
        <v/>
      </c>
    </row>
    <row r="1098" spans="1:11" x14ac:dyDescent="0.2">
      <c r="A1098" s="9"/>
      <c r="B1098" s="9"/>
      <c r="C1098" s="9"/>
      <c r="D1098" s="9"/>
      <c r="E1098" s="9"/>
      <c r="F1098" s="9"/>
      <c r="G1098" s="9"/>
      <c r="H1098" s="9"/>
      <c r="I1098" s="10" t="str">
        <f>IF(B1098="","",IF(COUNTIF(FUSE_CI!$A:$A,B1098)&gt;0,"Yes","No"))</f>
        <v/>
      </c>
      <c r="J1098" s="10" t="str">
        <f t="shared" si="17"/>
        <v/>
      </c>
      <c r="K1098" s="10" t="str">
        <f>IF(B1098="","",IF(COUNTIF(Finding_List!$A:$A,B1098)&gt;0,"Yes","No"))</f>
        <v/>
      </c>
    </row>
    <row r="1099" spans="1:11" x14ac:dyDescent="0.2">
      <c r="A1099" s="5"/>
      <c r="B1099" s="5"/>
      <c r="C1099" s="5"/>
      <c r="D1099" s="5"/>
      <c r="E1099" s="5"/>
      <c r="F1099" s="5"/>
      <c r="G1099" s="5"/>
      <c r="H1099" s="5"/>
      <c r="I1099" s="10" t="str">
        <f>IF(B1099="","",IF(COUNTIF(FUSE_CI!$A:$A,B1099)&gt;0,"Yes","No"))</f>
        <v/>
      </c>
      <c r="J1099" s="10" t="str">
        <f t="shared" si="17"/>
        <v/>
      </c>
      <c r="K1099" s="10" t="str">
        <f>IF(B1099="","",IF(COUNTIF(Finding_List!$A:$A,B1099)&gt;0,"Yes","No"))</f>
        <v/>
      </c>
    </row>
    <row r="1100" spans="1:11" x14ac:dyDescent="0.2">
      <c r="A1100" s="9"/>
      <c r="B1100" s="9"/>
      <c r="C1100" s="9"/>
      <c r="D1100" s="9"/>
      <c r="E1100" s="9"/>
      <c r="F1100" s="9"/>
      <c r="G1100" s="9"/>
      <c r="H1100" s="9"/>
      <c r="I1100" s="10" t="str">
        <f>IF(B1100="","",IF(COUNTIF(FUSE_CI!$A:$A,B1100)&gt;0,"Yes","No"))</f>
        <v/>
      </c>
      <c r="J1100" s="10" t="str">
        <f t="shared" si="17"/>
        <v/>
      </c>
      <c r="K1100" s="10" t="str">
        <f>IF(B1100="","",IF(COUNTIF(Finding_List!$A:$A,B1100)&gt;0,"Yes","No"))</f>
        <v/>
      </c>
    </row>
    <row r="1101" spans="1:11" x14ac:dyDescent="0.2">
      <c r="A1101" s="5"/>
      <c r="B1101" s="5"/>
      <c r="C1101" s="5"/>
      <c r="D1101" s="5"/>
      <c r="E1101" s="5"/>
      <c r="F1101" s="5"/>
      <c r="G1101" s="5"/>
      <c r="H1101" s="5"/>
      <c r="I1101" s="10" t="str">
        <f>IF(B1101="","",IF(COUNTIF(FUSE_CI!$A:$A,B1101)&gt;0,"Yes","No"))</f>
        <v/>
      </c>
      <c r="J1101" s="10" t="str">
        <f t="shared" si="17"/>
        <v/>
      </c>
      <c r="K1101" s="10" t="str">
        <f>IF(B1101="","",IF(COUNTIF(Finding_List!$A:$A,B1101)&gt;0,"Yes","No"))</f>
        <v/>
      </c>
    </row>
    <row r="1102" spans="1:11" x14ac:dyDescent="0.2">
      <c r="A1102" s="9"/>
      <c r="B1102" s="9"/>
      <c r="C1102" s="9"/>
      <c r="D1102" s="9"/>
      <c r="E1102" s="9"/>
      <c r="F1102" s="9"/>
      <c r="G1102" s="9"/>
      <c r="H1102" s="9"/>
      <c r="I1102" s="10" t="str">
        <f>IF(B1102="","",IF(COUNTIF(FUSE_CI!$A:$A,B1102)&gt;0,"Yes","No"))</f>
        <v/>
      </c>
      <c r="J1102" s="10" t="str">
        <f t="shared" si="17"/>
        <v/>
      </c>
      <c r="K1102" s="10" t="str">
        <f>IF(B1102="","",IF(COUNTIF(Finding_List!$A:$A,B1102)&gt;0,"Yes","No"))</f>
        <v/>
      </c>
    </row>
    <row r="1103" spans="1:11" x14ac:dyDescent="0.2">
      <c r="A1103" s="5"/>
      <c r="B1103" s="5"/>
      <c r="C1103" s="5"/>
      <c r="D1103" s="5"/>
      <c r="E1103" s="5"/>
      <c r="F1103" s="5"/>
      <c r="G1103" s="5"/>
      <c r="H1103" s="5"/>
      <c r="I1103" s="10" t="str">
        <f>IF(B1103="","",IF(COUNTIF(FUSE_CI!$A:$A,B1103)&gt;0,"Yes","No"))</f>
        <v/>
      </c>
      <c r="J1103" s="10" t="str">
        <f t="shared" si="17"/>
        <v/>
      </c>
      <c r="K1103" s="10" t="str">
        <f>IF(B1103="","",IF(COUNTIF(Finding_List!$A:$A,B1103)&gt;0,"Yes","No"))</f>
        <v/>
      </c>
    </row>
    <row r="1104" spans="1:11" x14ac:dyDescent="0.2">
      <c r="A1104" s="9"/>
      <c r="B1104" s="9"/>
      <c r="C1104" s="9"/>
      <c r="D1104" s="9"/>
      <c r="E1104" s="9"/>
      <c r="F1104" s="9"/>
      <c r="G1104" s="9"/>
      <c r="H1104" s="9"/>
      <c r="I1104" s="10" t="str">
        <f>IF(B1104="","",IF(COUNTIF(FUSE_CI!$A:$A,B1104)&gt;0,"Yes","No"))</f>
        <v/>
      </c>
      <c r="J1104" s="10" t="str">
        <f t="shared" si="17"/>
        <v/>
      </c>
      <c r="K1104" s="10" t="str">
        <f>IF(B1104="","",IF(COUNTIF(Finding_List!$A:$A,B1104)&gt;0,"Yes","No"))</f>
        <v/>
      </c>
    </row>
    <row r="1105" spans="1:11" x14ac:dyDescent="0.2">
      <c r="A1105" s="5"/>
      <c r="B1105" s="5"/>
      <c r="C1105" s="5"/>
      <c r="D1105" s="5"/>
      <c r="E1105" s="5"/>
      <c r="F1105" s="5"/>
      <c r="G1105" s="5"/>
      <c r="H1105" s="5"/>
      <c r="I1105" s="10" t="str">
        <f>IF(B1105="","",IF(COUNTIF(FUSE_CI!$A:$A,B1105)&gt;0,"Yes","No"))</f>
        <v/>
      </c>
      <c r="J1105" s="10" t="str">
        <f t="shared" si="17"/>
        <v/>
      </c>
      <c r="K1105" s="10" t="str">
        <f>IF(B1105="","",IF(COUNTIF(Finding_List!$A:$A,B1105)&gt;0,"Yes","No"))</f>
        <v/>
      </c>
    </row>
    <row r="1106" spans="1:11" x14ac:dyDescent="0.2">
      <c r="A1106" s="9"/>
      <c r="B1106" s="9"/>
      <c r="C1106" s="9"/>
      <c r="D1106" s="9"/>
      <c r="E1106" s="9"/>
      <c r="F1106" s="9"/>
      <c r="G1106" s="9"/>
      <c r="H1106" s="9"/>
      <c r="I1106" s="10" t="str">
        <f>IF(B1106="","",IF(COUNTIF(FUSE_CI!$A:$A,B1106)&gt;0,"Yes","No"))</f>
        <v/>
      </c>
      <c r="J1106" s="10" t="str">
        <f t="shared" si="17"/>
        <v/>
      </c>
      <c r="K1106" s="10" t="str">
        <f>IF(B1106="","",IF(COUNTIF(Finding_List!$A:$A,B1106)&gt;0,"Yes","No"))</f>
        <v/>
      </c>
    </row>
    <row r="1107" spans="1:11" x14ac:dyDescent="0.2">
      <c r="A1107" s="5"/>
      <c r="B1107" s="5"/>
      <c r="C1107" s="5"/>
      <c r="D1107" s="5"/>
      <c r="E1107" s="5"/>
      <c r="F1107" s="5"/>
      <c r="G1107" s="5"/>
      <c r="H1107" s="5"/>
      <c r="I1107" s="10" t="str">
        <f>IF(B1107="","",IF(COUNTIF(FUSE_CI!$A:$A,B1107)&gt;0,"Yes","No"))</f>
        <v/>
      </c>
      <c r="J1107" s="10" t="str">
        <f t="shared" si="17"/>
        <v/>
      </c>
      <c r="K1107" s="10" t="str">
        <f>IF(B1107="","",IF(COUNTIF(Finding_List!$A:$A,B1107)&gt;0,"Yes","No"))</f>
        <v/>
      </c>
    </row>
    <row r="1108" spans="1:11" x14ac:dyDescent="0.2">
      <c r="A1108" s="9"/>
      <c r="B1108" s="9"/>
      <c r="C1108" s="9"/>
      <c r="D1108" s="9"/>
      <c r="E1108" s="9"/>
      <c r="F1108" s="9"/>
      <c r="G1108" s="9"/>
      <c r="H1108" s="9"/>
      <c r="I1108" s="10" t="str">
        <f>IF(B1108="","",IF(COUNTIF(FUSE_CI!$A:$A,B1108)&gt;0,"Yes","No"))</f>
        <v/>
      </c>
      <c r="J1108" s="10" t="str">
        <f t="shared" si="17"/>
        <v/>
      </c>
      <c r="K1108" s="10" t="str">
        <f>IF(B1108="","",IF(COUNTIF(Finding_List!$A:$A,B1108)&gt;0,"Yes","No"))</f>
        <v/>
      </c>
    </row>
    <row r="1109" spans="1:11" x14ac:dyDescent="0.2">
      <c r="A1109" s="5"/>
      <c r="B1109" s="5"/>
      <c r="C1109" s="5"/>
      <c r="D1109" s="5"/>
      <c r="E1109" s="5"/>
      <c r="F1109" s="5"/>
      <c r="G1109" s="5"/>
      <c r="H1109" s="5"/>
      <c r="I1109" s="10" t="str">
        <f>IF(B1109="","",IF(COUNTIF(FUSE_CI!$A:$A,B1109)&gt;0,"Yes","No"))</f>
        <v/>
      </c>
      <c r="J1109" s="10" t="str">
        <f t="shared" si="17"/>
        <v/>
      </c>
      <c r="K1109" s="10" t="str">
        <f>IF(B1109="","",IF(COUNTIF(Finding_List!$A:$A,B1109)&gt;0,"Yes","No"))</f>
        <v/>
      </c>
    </row>
    <row r="1110" spans="1:11" x14ac:dyDescent="0.2">
      <c r="A1110" s="9"/>
      <c r="B1110" s="9"/>
      <c r="C1110" s="9"/>
      <c r="D1110" s="9"/>
      <c r="E1110" s="9"/>
      <c r="F1110" s="9"/>
      <c r="G1110" s="9"/>
      <c r="H1110" s="9"/>
      <c r="I1110" s="10" t="str">
        <f>IF(B1110="","",IF(COUNTIF(FUSE_CI!$A:$A,B1110)&gt;0,"Yes","No"))</f>
        <v/>
      </c>
      <c r="J1110" s="10" t="str">
        <f t="shared" si="17"/>
        <v/>
      </c>
      <c r="K1110" s="10" t="str">
        <f>IF(B1110="","",IF(COUNTIF(Finding_List!$A:$A,B1110)&gt;0,"Yes","No"))</f>
        <v/>
      </c>
    </row>
    <row r="1111" spans="1:11" x14ac:dyDescent="0.2">
      <c r="A1111" s="5"/>
      <c r="B1111" s="5"/>
      <c r="C1111" s="5"/>
      <c r="D1111" s="5"/>
      <c r="E1111" s="5"/>
      <c r="F1111" s="5"/>
      <c r="G1111" s="5"/>
      <c r="H1111" s="5"/>
      <c r="I1111" s="10" t="str">
        <f>IF(B1111="","",IF(COUNTIF(FUSE_CI!$A:$A,B1111)&gt;0,"Yes","No"))</f>
        <v/>
      </c>
      <c r="J1111" s="10" t="str">
        <f t="shared" si="17"/>
        <v/>
      </c>
      <c r="K1111" s="10" t="str">
        <f>IF(B1111="","",IF(COUNTIF(Finding_List!$A:$A,B1111)&gt;0,"Yes","No"))</f>
        <v/>
      </c>
    </row>
    <row r="1112" spans="1:11" x14ac:dyDescent="0.2">
      <c r="A1112" s="9"/>
      <c r="B1112" s="9"/>
      <c r="C1112" s="9"/>
      <c r="D1112" s="9"/>
      <c r="E1112" s="9"/>
      <c r="F1112" s="9"/>
      <c r="G1112" s="9"/>
      <c r="H1112" s="9"/>
      <c r="I1112" s="10" t="str">
        <f>IF(B1112="","",IF(COUNTIF(FUSE_CI!$A:$A,B1112)&gt;0,"Yes","No"))</f>
        <v/>
      </c>
      <c r="J1112" s="10" t="str">
        <f t="shared" si="17"/>
        <v/>
      </c>
      <c r="K1112" s="10" t="str">
        <f>IF(B1112="","",IF(COUNTIF(Finding_List!$A:$A,B1112)&gt;0,"Yes","No"))</f>
        <v/>
      </c>
    </row>
    <row r="1113" spans="1:11" x14ac:dyDescent="0.2">
      <c r="A1113" s="5"/>
      <c r="B1113" s="5"/>
      <c r="C1113" s="5"/>
      <c r="D1113" s="5"/>
      <c r="E1113" s="5"/>
      <c r="F1113" s="5"/>
      <c r="G1113" s="5"/>
      <c r="H1113" s="5"/>
      <c r="I1113" s="10" t="str">
        <f>IF(B1113="","",IF(COUNTIF(FUSE_CI!$A:$A,B1113)&gt;0,"Yes","No"))</f>
        <v/>
      </c>
      <c r="J1113" s="10" t="str">
        <f t="shared" si="17"/>
        <v/>
      </c>
      <c r="K1113" s="10" t="str">
        <f>IF(B1113="","",IF(COUNTIF(Finding_List!$A:$A,B1113)&gt;0,"Yes","No"))</f>
        <v/>
      </c>
    </row>
    <row r="1114" spans="1:11" x14ac:dyDescent="0.2">
      <c r="A1114" s="9"/>
      <c r="B1114" s="9"/>
      <c r="C1114" s="9"/>
      <c r="D1114" s="9"/>
      <c r="E1114" s="9"/>
      <c r="F1114" s="9"/>
      <c r="G1114" s="9"/>
      <c r="H1114" s="9"/>
      <c r="I1114" s="10" t="str">
        <f>IF(B1114="","",IF(COUNTIF(FUSE_CI!$A:$A,B1114)&gt;0,"Yes","No"))</f>
        <v/>
      </c>
      <c r="J1114" s="10" t="str">
        <f t="shared" si="17"/>
        <v/>
      </c>
      <c r="K1114" s="10" t="str">
        <f>IF(B1114="","",IF(COUNTIF(Finding_List!$A:$A,B1114)&gt;0,"Yes","No"))</f>
        <v/>
      </c>
    </row>
    <row r="1115" spans="1:11" x14ac:dyDescent="0.2">
      <c r="A1115" s="5"/>
      <c r="B1115" s="5"/>
      <c r="C1115" s="5"/>
      <c r="D1115" s="5"/>
      <c r="E1115" s="5"/>
      <c r="F1115" s="5"/>
      <c r="G1115" s="5"/>
      <c r="H1115" s="5"/>
      <c r="I1115" s="10" t="str">
        <f>IF(B1115="","",IF(COUNTIF(FUSE_CI!$A:$A,B1115)&gt;0,"Yes","No"))</f>
        <v/>
      </c>
      <c r="J1115" s="10" t="str">
        <f t="shared" si="17"/>
        <v/>
      </c>
      <c r="K1115" s="10" t="str">
        <f>IF(B1115="","",IF(COUNTIF(Finding_List!$A:$A,B1115)&gt;0,"Yes","No"))</f>
        <v/>
      </c>
    </row>
    <row r="1116" spans="1:11" x14ac:dyDescent="0.2">
      <c r="A1116" s="9"/>
      <c r="B1116" s="9"/>
      <c r="C1116" s="9"/>
      <c r="D1116" s="9"/>
      <c r="E1116" s="9"/>
      <c r="F1116" s="9"/>
      <c r="G1116" s="9"/>
      <c r="H1116" s="9"/>
      <c r="I1116" s="10" t="str">
        <f>IF(B1116="","",IF(COUNTIF(FUSE_CI!$A:$A,B1116)&gt;0,"Yes","No"))</f>
        <v/>
      </c>
      <c r="J1116" s="10" t="str">
        <f t="shared" si="17"/>
        <v/>
      </c>
      <c r="K1116" s="10" t="str">
        <f>IF(B1116="","",IF(COUNTIF(Finding_List!$A:$A,B1116)&gt;0,"Yes","No"))</f>
        <v/>
      </c>
    </row>
    <row r="1117" spans="1:11" x14ac:dyDescent="0.2">
      <c r="A1117" s="5"/>
      <c r="B1117" s="5"/>
      <c r="C1117" s="5"/>
      <c r="D1117" s="5"/>
      <c r="E1117" s="5"/>
      <c r="F1117" s="5"/>
      <c r="G1117" s="5"/>
      <c r="H1117" s="5"/>
      <c r="I1117" s="10" t="str">
        <f>IF(B1117="","",IF(COUNTIF(FUSE_CI!$A:$A,B1117)&gt;0,"Yes","No"))</f>
        <v/>
      </c>
      <c r="J1117" s="10" t="str">
        <f t="shared" si="17"/>
        <v/>
      </c>
      <c r="K1117" s="10" t="str">
        <f>IF(B1117="","",IF(COUNTIF(Finding_List!$A:$A,B1117)&gt;0,"Yes","No"))</f>
        <v/>
      </c>
    </row>
    <row r="1118" spans="1:11" x14ac:dyDescent="0.2">
      <c r="A1118" s="9"/>
      <c r="B1118" s="9"/>
      <c r="C1118" s="9"/>
      <c r="D1118" s="9"/>
      <c r="E1118" s="9"/>
      <c r="F1118" s="9"/>
      <c r="G1118" s="9"/>
      <c r="H1118" s="9"/>
      <c r="I1118" s="10" t="str">
        <f>IF(B1118="","",IF(COUNTIF(FUSE_CI!$A:$A,B1118)&gt;0,"Yes","No"))</f>
        <v/>
      </c>
      <c r="J1118" s="10" t="str">
        <f t="shared" si="17"/>
        <v/>
      </c>
      <c r="K1118" s="10" t="str">
        <f>IF(B1118="","",IF(COUNTIF(Finding_List!$A:$A,B1118)&gt;0,"Yes","No"))</f>
        <v/>
      </c>
    </row>
    <row r="1119" spans="1:11" x14ac:dyDescent="0.2">
      <c r="A1119" s="5"/>
      <c r="B1119" s="5"/>
      <c r="C1119" s="5"/>
      <c r="D1119" s="5"/>
      <c r="E1119" s="5"/>
      <c r="F1119" s="5"/>
      <c r="G1119" s="5"/>
      <c r="H1119" s="5"/>
      <c r="I1119" s="10" t="str">
        <f>IF(B1119="","",IF(COUNTIF(FUSE_CI!$A:$A,B1119)&gt;0,"Yes","No"))</f>
        <v/>
      </c>
      <c r="J1119" s="10" t="str">
        <f t="shared" si="17"/>
        <v/>
      </c>
      <c r="K1119" s="10" t="str">
        <f>IF(B1119="","",IF(COUNTIF(Finding_List!$A:$A,B1119)&gt;0,"Yes","No"))</f>
        <v/>
      </c>
    </row>
    <row r="1120" spans="1:11" x14ac:dyDescent="0.2">
      <c r="A1120" s="9"/>
      <c r="B1120" s="9"/>
      <c r="C1120" s="9"/>
      <c r="D1120" s="9"/>
      <c r="E1120" s="9"/>
      <c r="F1120" s="9"/>
      <c r="G1120" s="9"/>
      <c r="H1120" s="9"/>
      <c r="I1120" s="10" t="str">
        <f>IF(B1120="","",IF(COUNTIF(FUSE_CI!$A:$A,B1120)&gt;0,"Yes","No"))</f>
        <v/>
      </c>
      <c r="J1120" s="10" t="str">
        <f t="shared" si="17"/>
        <v/>
      </c>
      <c r="K1120" s="10" t="str">
        <f>IF(B1120="","",IF(COUNTIF(Finding_List!$A:$A,B1120)&gt;0,"Yes","No"))</f>
        <v/>
      </c>
    </row>
    <row r="1121" spans="1:11" x14ac:dyDescent="0.2">
      <c r="A1121" s="5"/>
      <c r="B1121" s="5"/>
      <c r="C1121" s="5"/>
      <c r="D1121" s="5"/>
      <c r="E1121" s="5"/>
      <c r="F1121" s="5"/>
      <c r="G1121" s="5"/>
      <c r="H1121" s="5"/>
      <c r="I1121" s="10" t="str">
        <f>IF(B1121="","",IF(COUNTIF(FUSE_CI!$A:$A,B1121)&gt;0,"Yes","No"))</f>
        <v/>
      </c>
      <c r="J1121" s="10" t="str">
        <f t="shared" si="17"/>
        <v/>
      </c>
      <c r="K1121" s="10" t="str">
        <f>IF(B1121="","",IF(COUNTIF(Finding_List!$A:$A,B1121)&gt;0,"Yes","No"))</f>
        <v/>
      </c>
    </row>
    <row r="1122" spans="1:11" x14ac:dyDescent="0.2">
      <c r="A1122" s="9"/>
      <c r="B1122" s="9"/>
      <c r="C1122" s="9"/>
      <c r="D1122" s="9"/>
      <c r="E1122" s="9"/>
      <c r="F1122" s="9"/>
      <c r="G1122" s="9"/>
      <c r="H1122" s="9"/>
      <c r="I1122" s="10" t="str">
        <f>IF(B1122="","",IF(COUNTIF(FUSE_CI!$A:$A,B1122)&gt;0,"Yes","No"))</f>
        <v/>
      </c>
      <c r="J1122" s="10" t="str">
        <f t="shared" si="17"/>
        <v/>
      </c>
      <c r="K1122" s="10" t="str">
        <f>IF(B1122="","",IF(COUNTIF(Finding_List!$A:$A,B1122)&gt;0,"Yes","No"))</f>
        <v/>
      </c>
    </row>
    <row r="1123" spans="1:11" x14ac:dyDescent="0.2">
      <c r="A1123" s="5"/>
      <c r="B1123" s="5"/>
      <c r="C1123" s="5"/>
      <c r="D1123" s="5"/>
      <c r="E1123" s="5"/>
      <c r="F1123" s="5"/>
      <c r="G1123" s="5"/>
      <c r="H1123" s="5"/>
      <c r="I1123" s="10" t="str">
        <f>IF(B1123="","",IF(COUNTIF(FUSE_CI!$A:$A,B1123)&gt;0,"Yes","No"))</f>
        <v/>
      </c>
      <c r="J1123" s="10" t="str">
        <f t="shared" si="17"/>
        <v/>
      </c>
      <c r="K1123" s="10" t="str">
        <f>IF(B1123="","",IF(COUNTIF(Finding_List!$A:$A,B1123)&gt;0,"Yes","No"))</f>
        <v/>
      </c>
    </row>
    <row r="1124" spans="1:11" x14ac:dyDescent="0.2">
      <c r="A1124" s="9"/>
      <c r="B1124" s="9"/>
      <c r="C1124" s="9"/>
      <c r="D1124" s="9"/>
      <c r="E1124" s="9"/>
      <c r="F1124" s="9"/>
      <c r="G1124" s="9"/>
      <c r="H1124" s="9"/>
      <c r="I1124" s="10" t="str">
        <f>IF(B1124="","",IF(COUNTIF(FUSE_CI!$A:$A,B1124)&gt;0,"Yes","No"))</f>
        <v/>
      </c>
      <c r="J1124" s="10" t="str">
        <f t="shared" si="17"/>
        <v/>
      </c>
      <c r="K1124" s="10" t="str">
        <f>IF(B1124="","",IF(COUNTIF(Finding_List!$A:$A,B1124)&gt;0,"Yes","No"))</f>
        <v/>
      </c>
    </row>
    <row r="1125" spans="1:11" x14ac:dyDescent="0.2">
      <c r="A1125" s="5"/>
      <c r="B1125" s="5"/>
      <c r="C1125" s="5"/>
      <c r="D1125" s="5"/>
      <c r="E1125" s="5"/>
      <c r="F1125" s="5"/>
      <c r="G1125" s="5"/>
      <c r="H1125" s="5"/>
      <c r="I1125" s="10" t="str">
        <f>IF(B1125="","",IF(COUNTIF(FUSE_CI!$A:$A,B1125)&gt;0,"Yes","No"))</f>
        <v/>
      </c>
      <c r="J1125" s="10" t="str">
        <f t="shared" si="17"/>
        <v/>
      </c>
      <c r="K1125" s="10" t="str">
        <f>IF(B1125="","",IF(COUNTIF(Finding_List!$A:$A,B1125)&gt;0,"Yes","No"))</f>
        <v/>
      </c>
    </row>
    <row r="1126" spans="1:11" x14ac:dyDescent="0.2">
      <c r="A1126" s="9"/>
      <c r="B1126" s="9"/>
      <c r="C1126" s="9"/>
      <c r="D1126" s="9"/>
      <c r="E1126" s="9"/>
      <c r="F1126" s="9"/>
      <c r="G1126" s="9"/>
      <c r="H1126" s="9"/>
      <c r="I1126" s="10" t="str">
        <f>IF(B1126="","",IF(COUNTIF(FUSE_CI!$A:$A,B1126)&gt;0,"Yes","No"))</f>
        <v/>
      </c>
      <c r="J1126" s="10" t="str">
        <f t="shared" si="17"/>
        <v/>
      </c>
      <c r="K1126" s="10" t="str">
        <f>IF(B1126="","",IF(COUNTIF(Finding_List!$A:$A,B1126)&gt;0,"Yes","No"))</f>
        <v/>
      </c>
    </row>
    <row r="1127" spans="1:11" x14ac:dyDescent="0.2">
      <c r="A1127" s="5"/>
      <c r="B1127" s="5"/>
      <c r="C1127" s="5"/>
      <c r="D1127" s="5"/>
      <c r="E1127" s="5"/>
      <c r="F1127" s="5"/>
      <c r="G1127" s="5"/>
      <c r="H1127" s="5"/>
      <c r="I1127" s="10" t="str">
        <f>IF(B1127="","",IF(COUNTIF(FUSE_CI!$A:$A,B1127)&gt;0,"Yes","No"))</f>
        <v/>
      </c>
      <c r="J1127" s="10" t="str">
        <f t="shared" si="17"/>
        <v/>
      </c>
      <c r="K1127" s="10" t="str">
        <f>IF(B1127="","",IF(COUNTIF(Finding_List!$A:$A,B1127)&gt;0,"Yes","No"))</f>
        <v/>
      </c>
    </row>
    <row r="1128" spans="1:11" x14ac:dyDescent="0.2">
      <c r="A1128" s="9"/>
      <c r="B1128" s="9"/>
      <c r="C1128" s="9"/>
      <c r="D1128" s="9"/>
      <c r="E1128" s="9"/>
      <c r="F1128" s="9"/>
      <c r="G1128" s="9"/>
      <c r="H1128" s="9"/>
      <c r="I1128" s="10" t="str">
        <f>IF(B1128="","",IF(COUNTIF(FUSE_CI!$A:$A,B1128)&gt;0,"Yes","No"))</f>
        <v/>
      </c>
      <c r="J1128" s="10" t="str">
        <f t="shared" si="17"/>
        <v/>
      </c>
      <c r="K1128" s="10" t="str">
        <f>IF(B1128="","",IF(COUNTIF(Finding_List!$A:$A,B1128)&gt;0,"Yes","No"))</f>
        <v/>
      </c>
    </row>
    <row r="1129" spans="1:11" x14ac:dyDescent="0.2">
      <c r="A1129" s="5"/>
      <c r="B1129" s="5"/>
      <c r="C1129" s="5"/>
      <c r="D1129" s="5"/>
      <c r="E1129" s="5"/>
      <c r="F1129" s="5"/>
      <c r="G1129" s="5"/>
      <c r="H1129" s="5"/>
      <c r="I1129" s="10" t="str">
        <f>IF(B1129="","",IF(COUNTIF(FUSE_CI!$A:$A,B1129)&gt;0,"Yes","No"))</f>
        <v/>
      </c>
      <c r="J1129" s="10" t="str">
        <f t="shared" si="17"/>
        <v/>
      </c>
      <c r="K1129" s="10" t="str">
        <f>IF(B1129="","",IF(COUNTIF(Finding_List!$A:$A,B1129)&gt;0,"Yes","No"))</f>
        <v/>
      </c>
    </row>
    <row r="1130" spans="1:11" x14ac:dyDescent="0.2">
      <c r="A1130" s="9"/>
      <c r="B1130" s="9"/>
      <c r="C1130" s="9"/>
      <c r="D1130" s="9"/>
      <c r="E1130" s="9"/>
      <c r="F1130" s="9"/>
      <c r="G1130" s="9"/>
      <c r="H1130" s="9"/>
      <c r="I1130" s="10" t="str">
        <f>IF(B1130="","",IF(COUNTIF(FUSE_CI!$A:$A,B1130)&gt;0,"Yes","No"))</f>
        <v/>
      </c>
      <c r="J1130" s="10" t="str">
        <f t="shared" si="17"/>
        <v/>
      </c>
      <c r="K1130" s="10" t="str">
        <f>IF(B1130="","",IF(COUNTIF(Finding_List!$A:$A,B1130)&gt;0,"Yes","No"))</f>
        <v/>
      </c>
    </row>
    <row r="1131" spans="1:11" x14ac:dyDescent="0.2">
      <c r="A1131" s="5"/>
      <c r="B1131" s="5"/>
      <c r="C1131" s="5"/>
      <c r="D1131" s="5"/>
      <c r="E1131" s="5"/>
      <c r="F1131" s="5"/>
      <c r="G1131" s="5"/>
      <c r="H1131" s="5"/>
      <c r="I1131" s="10" t="str">
        <f>IF(B1131="","",IF(COUNTIF(FUSE_CI!$A:$A,B1131)&gt;0,"Yes","No"))</f>
        <v/>
      </c>
      <c r="J1131" s="10" t="str">
        <f t="shared" si="17"/>
        <v/>
      </c>
      <c r="K1131" s="10" t="str">
        <f>IF(B1131="","",IF(COUNTIF(Finding_List!$A:$A,B1131)&gt;0,"Yes","No"))</f>
        <v/>
      </c>
    </row>
    <row r="1132" spans="1:11" x14ac:dyDescent="0.2">
      <c r="A1132" s="9"/>
      <c r="B1132" s="9"/>
      <c r="C1132" s="9"/>
      <c r="D1132" s="9"/>
      <c r="E1132" s="9"/>
      <c r="F1132" s="9"/>
      <c r="G1132" s="9"/>
      <c r="H1132" s="9"/>
      <c r="I1132" s="10" t="str">
        <f>IF(B1132="","",IF(COUNTIF(FUSE_CI!$A:$A,B1132)&gt;0,"Yes","No"))</f>
        <v/>
      </c>
      <c r="J1132" s="10" t="str">
        <f t="shared" si="17"/>
        <v/>
      </c>
      <c r="K1132" s="10" t="str">
        <f>IF(B1132="","",IF(COUNTIF(Finding_List!$A:$A,B1132)&gt;0,"Yes","No"))</f>
        <v/>
      </c>
    </row>
    <row r="1133" spans="1:11" x14ac:dyDescent="0.2">
      <c r="A1133" s="5"/>
      <c r="B1133" s="5"/>
      <c r="C1133" s="5"/>
      <c r="D1133" s="5"/>
      <c r="E1133" s="5"/>
      <c r="F1133" s="5"/>
      <c r="G1133" s="5"/>
      <c r="H1133" s="5"/>
      <c r="I1133" s="10" t="str">
        <f>IF(B1133="","",IF(COUNTIF(FUSE_CI!$A:$A,B1133)&gt;0,"Yes","No"))</f>
        <v/>
      </c>
      <c r="J1133" s="10" t="str">
        <f t="shared" si="17"/>
        <v/>
      </c>
      <c r="K1133" s="10" t="str">
        <f>IF(B1133="","",IF(COUNTIF(Finding_List!$A:$A,B1133)&gt;0,"Yes","No"))</f>
        <v/>
      </c>
    </row>
    <row r="1134" spans="1:11" x14ac:dyDescent="0.2">
      <c r="A1134" s="9"/>
      <c r="B1134" s="9"/>
      <c r="C1134" s="9"/>
      <c r="D1134" s="9"/>
      <c r="E1134" s="9"/>
      <c r="F1134" s="9"/>
      <c r="G1134" s="9"/>
      <c r="H1134" s="9"/>
      <c r="I1134" s="10" t="str">
        <f>IF(B1134="","",IF(COUNTIF(FUSE_CI!$A:$A,B1134)&gt;0,"Yes","No"))</f>
        <v/>
      </c>
      <c r="J1134" s="10" t="str">
        <f t="shared" si="17"/>
        <v/>
      </c>
      <c r="K1134" s="10" t="str">
        <f>IF(B1134="","",IF(COUNTIF(Finding_List!$A:$A,B1134)&gt;0,"Yes","No"))</f>
        <v/>
      </c>
    </row>
    <row r="1135" spans="1:11" x14ac:dyDescent="0.2">
      <c r="A1135" s="5"/>
      <c r="B1135" s="5"/>
      <c r="C1135" s="5"/>
      <c r="D1135" s="5"/>
      <c r="E1135" s="5"/>
      <c r="F1135" s="5"/>
      <c r="G1135" s="5"/>
      <c r="H1135" s="5"/>
      <c r="I1135" s="10" t="str">
        <f>IF(B1135="","",IF(COUNTIF(FUSE_CI!$A:$A,B1135)&gt;0,"Yes","No"))</f>
        <v/>
      </c>
      <c r="J1135" s="10" t="str">
        <f t="shared" si="17"/>
        <v/>
      </c>
      <c r="K1135" s="10" t="str">
        <f>IF(B1135="","",IF(COUNTIF(Finding_List!$A:$A,B1135)&gt;0,"Yes","No"))</f>
        <v/>
      </c>
    </row>
    <row r="1136" spans="1:11" x14ac:dyDescent="0.2">
      <c r="A1136" s="9"/>
      <c r="B1136" s="9"/>
      <c r="C1136" s="9"/>
      <c r="D1136" s="9"/>
      <c r="E1136" s="9"/>
      <c r="F1136" s="9"/>
      <c r="G1136" s="9"/>
      <c r="H1136" s="9"/>
      <c r="I1136" s="10" t="str">
        <f>IF(B1136="","",IF(COUNTIF(FUSE_CI!$A:$A,B1136)&gt;0,"Yes","No"))</f>
        <v/>
      </c>
      <c r="J1136" s="10" t="str">
        <f t="shared" si="17"/>
        <v/>
      </c>
      <c r="K1136" s="10" t="str">
        <f>IF(B1136="","",IF(COUNTIF(Finding_List!$A:$A,B1136)&gt;0,"Yes","No"))</f>
        <v/>
      </c>
    </row>
    <row r="1137" spans="1:11" x14ac:dyDescent="0.2">
      <c r="A1137" s="5"/>
      <c r="B1137" s="5"/>
      <c r="C1137" s="5"/>
      <c r="D1137" s="5"/>
      <c r="E1137" s="5"/>
      <c r="F1137" s="5"/>
      <c r="G1137" s="5"/>
      <c r="H1137" s="5"/>
      <c r="I1137" s="10" t="str">
        <f>IF(B1137="","",IF(COUNTIF(FUSE_CI!$A:$A,B1137)&gt;0,"Yes","No"))</f>
        <v/>
      </c>
      <c r="J1137" s="10" t="str">
        <f t="shared" si="17"/>
        <v/>
      </c>
      <c r="K1137" s="10" t="str">
        <f>IF(B1137="","",IF(COUNTIF(Finding_List!$A:$A,B1137)&gt;0,"Yes","No"))</f>
        <v/>
      </c>
    </row>
    <row r="1138" spans="1:11" x14ac:dyDescent="0.2">
      <c r="A1138" s="9"/>
      <c r="B1138" s="9"/>
      <c r="C1138" s="9"/>
      <c r="D1138" s="9"/>
      <c r="E1138" s="9"/>
      <c r="F1138" s="9"/>
      <c r="G1138" s="9"/>
      <c r="H1138" s="9"/>
      <c r="I1138" s="10" t="str">
        <f>IF(B1138="","",IF(COUNTIF(FUSE_CI!$A:$A,B1138)&gt;0,"Yes","No"))</f>
        <v/>
      </c>
      <c r="J1138" s="10" t="str">
        <f t="shared" si="17"/>
        <v/>
      </c>
      <c r="K1138" s="10" t="str">
        <f>IF(B1138="","",IF(COUNTIF(Finding_List!$A:$A,B1138)&gt;0,"Yes","No"))</f>
        <v/>
      </c>
    </row>
    <row r="1139" spans="1:11" x14ac:dyDescent="0.2">
      <c r="A1139" s="5"/>
      <c r="B1139" s="5"/>
      <c r="C1139" s="5"/>
      <c r="D1139" s="5"/>
      <c r="E1139" s="5"/>
      <c r="F1139" s="5"/>
      <c r="G1139" s="5"/>
      <c r="H1139" s="5"/>
      <c r="I1139" s="10" t="str">
        <f>IF(B1139="","",IF(COUNTIF(FUSE_CI!$A:$A,B1139)&gt;0,"Yes","No"))</f>
        <v/>
      </c>
      <c r="J1139" s="10" t="str">
        <f t="shared" si="17"/>
        <v/>
      </c>
      <c r="K1139" s="10" t="str">
        <f>IF(B1139="","",IF(COUNTIF(Finding_List!$A:$A,B1139)&gt;0,"Yes","No"))</f>
        <v/>
      </c>
    </row>
    <row r="1140" spans="1:11" x14ac:dyDescent="0.2">
      <c r="A1140" s="9"/>
      <c r="B1140" s="9"/>
      <c r="C1140" s="9"/>
      <c r="D1140" s="9"/>
      <c r="E1140" s="9"/>
      <c r="F1140" s="9"/>
      <c r="G1140" s="9"/>
      <c r="H1140" s="9"/>
      <c r="I1140" s="10" t="str">
        <f>IF(B1140="","",IF(COUNTIF(FUSE_CI!$A:$A,B1140)&gt;0,"Yes","No"))</f>
        <v/>
      </c>
      <c r="J1140" s="10" t="str">
        <f t="shared" si="17"/>
        <v/>
      </c>
      <c r="K1140" s="10" t="str">
        <f>IF(B1140="","",IF(COUNTIF(Finding_List!$A:$A,B1140)&gt;0,"Yes","No"))</f>
        <v/>
      </c>
    </row>
    <row r="1141" spans="1:11" x14ac:dyDescent="0.2">
      <c r="A1141" s="5"/>
      <c r="B1141" s="5"/>
      <c r="C1141" s="5"/>
      <c r="D1141" s="5"/>
      <c r="E1141" s="5"/>
      <c r="F1141" s="5"/>
      <c r="G1141" s="5"/>
      <c r="H1141" s="5"/>
      <c r="I1141" s="10" t="str">
        <f>IF(B1141="","",IF(COUNTIF(FUSE_CI!$A:$A,B1141)&gt;0,"Yes","No"))</f>
        <v/>
      </c>
      <c r="J1141" s="10" t="str">
        <f t="shared" si="17"/>
        <v/>
      </c>
      <c r="K1141" s="10" t="str">
        <f>IF(B1141="","",IF(COUNTIF(Finding_List!$A:$A,B1141)&gt;0,"Yes","No"))</f>
        <v/>
      </c>
    </row>
    <row r="1142" spans="1:11" x14ac:dyDescent="0.2">
      <c r="A1142" s="9"/>
      <c r="B1142" s="9"/>
      <c r="C1142" s="9"/>
      <c r="D1142" s="9"/>
      <c r="E1142" s="9"/>
      <c r="F1142" s="9"/>
      <c r="G1142" s="9"/>
      <c r="H1142" s="9"/>
      <c r="I1142" s="10" t="str">
        <f>IF(B1142="","",IF(COUNTIF(FUSE_CI!$A:$A,B1142)&gt;0,"Yes","No"))</f>
        <v/>
      </c>
      <c r="J1142" s="10" t="str">
        <f t="shared" si="17"/>
        <v/>
      </c>
      <c r="K1142" s="10" t="str">
        <f>IF(B1142="","",IF(COUNTIF(Finding_List!$A:$A,B1142)&gt;0,"Yes","No"))</f>
        <v/>
      </c>
    </row>
    <row r="1143" spans="1:11" x14ac:dyDescent="0.2">
      <c r="A1143" s="5"/>
      <c r="B1143" s="5"/>
      <c r="C1143" s="5"/>
      <c r="D1143" s="5"/>
      <c r="E1143" s="5"/>
      <c r="F1143" s="5"/>
      <c r="G1143" s="5"/>
      <c r="H1143" s="5"/>
      <c r="I1143" s="10" t="str">
        <f>IF(B1143="","",IF(COUNTIF(FUSE_CI!$A:$A,B1143)&gt;0,"Yes","No"))</f>
        <v/>
      </c>
      <c r="J1143" s="10" t="str">
        <f t="shared" si="17"/>
        <v/>
      </c>
      <c r="K1143" s="10" t="str">
        <f>IF(B1143="","",IF(COUNTIF(Finding_List!$A:$A,B1143)&gt;0,"Yes","No"))</f>
        <v/>
      </c>
    </row>
    <row r="1144" spans="1:11" x14ac:dyDescent="0.2">
      <c r="A1144" s="9"/>
      <c r="B1144" s="9"/>
      <c r="C1144" s="9"/>
      <c r="D1144" s="9"/>
      <c r="E1144" s="9"/>
      <c r="F1144" s="9"/>
      <c r="G1144" s="9"/>
      <c r="H1144" s="9"/>
      <c r="I1144" s="10" t="str">
        <f>IF(B1144="","",IF(COUNTIF(FUSE_CI!$A:$A,B1144)&gt;0,"Yes","No"))</f>
        <v/>
      </c>
      <c r="J1144" s="10" t="str">
        <f t="shared" si="17"/>
        <v/>
      </c>
      <c r="K1144" s="10" t="str">
        <f>IF(B1144="","",IF(COUNTIF(Finding_List!$A:$A,B1144)&gt;0,"Yes","No"))</f>
        <v/>
      </c>
    </row>
    <row r="1145" spans="1:11" x14ac:dyDescent="0.2">
      <c r="A1145" s="5"/>
      <c r="B1145" s="5"/>
      <c r="C1145" s="5"/>
      <c r="D1145" s="5"/>
      <c r="E1145" s="5"/>
      <c r="F1145" s="5"/>
      <c r="G1145" s="5"/>
      <c r="H1145" s="5"/>
      <c r="I1145" s="10" t="str">
        <f>IF(B1145="","",IF(COUNTIF(FUSE_CI!$A:$A,B1145)&gt;0,"Yes","No"))</f>
        <v/>
      </c>
      <c r="J1145" s="10" t="str">
        <f t="shared" si="17"/>
        <v/>
      </c>
      <c r="K1145" s="10" t="str">
        <f>IF(B1145="","",IF(COUNTIF(Finding_List!$A:$A,B1145)&gt;0,"Yes","No"))</f>
        <v/>
      </c>
    </row>
    <row r="1146" spans="1:11" x14ac:dyDescent="0.2">
      <c r="A1146" s="9"/>
      <c r="B1146" s="9"/>
      <c r="C1146" s="9"/>
      <c r="D1146" s="9"/>
      <c r="E1146" s="9"/>
      <c r="F1146" s="9"/>
      <c r="G1146" s="9"/>
      <c r="H1146" s="9"/>
      <c r="I1146" s="10" t="str">
        <f>IF(B1146="","",IF(COUNTIF(FUSE_CI!$A:$A,B1146)&gt;0,"Yes","No"))</f>
        <v/>
      </c>
      <c r="J1146" s="10" t="str">
        <f t="shared" si="17"/>
        <v/>
      </c>
      <c r="K1146" s="10" t="str">
        <f>IF(B1146="","",IF(COUNTIF(Finding_List!$A:$A,B1146)&gt;0,"Yes","No"))</f>
        <v/>
      </c>
    </row>
    <row r="1147" spans="1:11" x14ac:dyDescent="0.2">
      <c r="A1147" s="5"/>
      <c r="B1147" s="5"/>
      <c r="C1147" s="5"/>
      <c r="D1147" s="5"/>
      <c r="E1147" s="5"/>
      <c r="F1147" s="5"/>
      <c r="G1147" s="5"/>
      <c r="H1147" s="5"/>
      <c r="I1147" s="10" t="str">
        <f>IF(B1147="","",IF(COUNTIF(FUSE_CI!$A:$A,B1147)&gt;0,"Yes","No"))</f>
        <v/>
      </c>
      <c r="J1147" s="10" t="str">
        <f t="shared" si="17"/>
        <v/>
      </c>
      <c r="K1147" s="10" t="str">
        <f>IF(B1147="","",IF(COUNTIF(Finding_List!$A:$A,B1147)&gt;0,"Yes","No"))</f>
        <v/>
      </c>
    </row>
    <row r="1148" spans="1:11" x14ac:dyDescent="0.2">
      <c r="A1148" s="9"/>
      <c r="B1148" s="9"/>
      <c r="C1148" s="9"/>
      <c r="D1148" s="9"/>
      <c r="E1148" s="9"/>
      <c r="F1148" s="9"/>
      <c r="G1148" s="9"/>
      <c r="H1148" s="9"/>
      <c r="I1148" s="10" t="str">
        <f>IF(B1148="","",IF(COUNTIF(FUSE_CI!$A:$A,B1148)&gt;0,"Yes","No"))</f>
        <v/>
      </c>
      <c r="J1148" s="10" t="str">
        <f t="shared" si="17"/>
        <v/>
      </c>
      <c r="K1148" s="10" t="str">
        <f>IF(B1148="","",IF(COUNTIF(Finding_List!$A:$A,B1148)&gt;0,"Yes","No"))</f>
        <v/>
      </c>
    </row>
    <row r="1149" spans="1:11" x14ac:dyDescent="0.2">
      <c r="A1149" s="5"/>
      <c r="B1149" s="5"/>
      <c r="C1149" s="5"/>
      <c r="D1149" s="5"/>
      <c r="E1149" s="5"/>
      <c r="F1149" s="5"/>
      <c r="G1149" s="5"/>
      <c r="H1149" s="5"/>
      <c r="I1149" s="10" t="str">
        <f>IF(B1149="","",IF(COUNTIF(FUSE_CI!$A:$A,B1149)&gt;0,"Yes","No"))</f>
        <v/>
      </c>
      <c r="J1149" s="10" t="str">
        <f t="shared" si="17"/>
        <v/>
      </c>
      <c r="K1149" s="10" t="str">
        <f>IF(B1149="","",IF(COUNTIF(Finding_List!$A:$A,B1149)&gt;0,"Yes","No"))</f>
        <v/>
      </c>
    </row>
    <row r="1150" spans="1:11" x14ac:dyDescent="0.2">
      <c r="A1150" s="9"/>
      <c r="B1150" s="9"/>
      <c r="C1150" s="9"/>
      <c r="D1150" s="9"/>
      <c r="E1150" s="9"/>
      <c r="F1150" s="9"/>
      <c r="G1150" s="9"/>
      <c r="H1150" s="9"/>
      <c r="I1150" s="10" t="str">
        <f>IF(B1150="","",IF(COUNTIF(FUSE_CI!$A:$A,B1150)&gt;0,"Yes","No"))</f>
        <v/>
      </c>
      <c r="J1150" s="10" t="str">
        <f t="shared" si="17"/>
        <v/>
      </c>
      <c r="K1150" s="10" t="str">
        <f>IF(B1150="","",IF(COUNTIF(Finding_List!$A:$A,B1150)&gt;0,"Yes","No"))</f>
        <v/>
      </c>
    </row>
    <row r="1151" spans="1:11" x14ac:dyDescent="0.2">
      <c r="A1151" s="5"/>
      <c r="B1151" s="5"/>
      <c r="C1151" s="5"/>
      <c r="D1151" s="5"/>
      <c r="E1151" s="5"/>
      <c r="F1151" s="5"/>
      <c r="G1151" s="5"/>
      <c r="H1151" s="5"/>
      <c r="I1151" s="10" t="str">
        <f>IF(B1151="","",IF(COUNTIF(FUSE_CI!$A:$A,B1151)&gt;0,"Yes","No"))</f>
        <v/>
      </c>
      <c r="J1151" s="10" t="str">
        <f t="shared" si="17"/>
        <v/>
      </c>
      <c r="K1151" s="10" t="str">
        <f>IF(B1151="","",IF(COUNTIF(Finding_List!$A:$A,B1151)&gt;0,"Yes","No"))</f>
        <v/>
      </c>
    </row>
    <row r="1152" spans="1:11" x14ac:dyDescent="0.2">
      <c r="A1152" s="9"/>
      <c r="B1152" s="9"/>
      <c r="C1152" s="9"/>
      <c r="D1152" s="9"/>
      <c r="E1152" s="9"/>
      <c r="F1152" s="9"/>
      <c r="G1152" s="9"/>
      <c r="H1152" s="9"/>
      <c r="I1152" s="10" t="str">
        <f>IF(B1152="","",IF(COUNTIF(FUSE_CI!$A:$A,B1152)&gt;0,"Yes","No"))</f>
        <v/>
      </c>
      <c r="J1152" s="10" t="str">
        <f t="shared" si="17"/>
        <v/>
      </c>
      <c r="K1152" s="10" t="str">
        <f>IF(B1152="","",IF(COUNTIF(Finding_List!$A:$A,B1152)&gt;0,"Yes","No"))</f>
        <v/>
      </c>
    </row>
    <row r="1153" spans="1:11" x14ac:dyDescent="0.2">
      <c r="A1153" s="5"/>
      <c r="B1153" s="5"/>
      <c r="C1153" s="5"/>
      <c r="D1153" s="5"/>
      <c r="E1153" s="5"/>
      <c r="F1153" s="5"/>
      <c r="G1153" s="5"/>
      <c r="H1153" s="5"/>
      <c r="I1153" s="10" t="str">
        <f>IF(B1153="","",IF(COUNTIF(FUSE_CI!$A:$A,B1153)&gt;0,"Yes","No"))</f>
        <v/>
      </c>
      <c r="J1153" s="10" t="str">
        <f t="shared" si="17"/>
        <v/>
      </c>
      <c r="K1153" s="10" t="str">
        <f>IF(B1153="","",IF(COUNTIF(Finding_List!$A:$A,B1153)&gt;0,"Yes","No"))</f>
        <v/>
      </c>
    </row>
    <row r="1154" spans="1:11" x14ac:dyDescent="0.2">
      <c r="A1154" s="9"/>
      <c r="B1154" s="9"/>
      <c r="C1154" s="9"/>
      <c r="D1154" s="9"/>
      <c r="E1154" s="9"/>
      <c r="F1154" s="9"/>
      <c r="G1154" s="9"/>
      <c r="H1154" s="9"/>
      <c r="I1154" s="10" t="str">
        <f>IF(B1154="","",IF(COUNTIF(FUSE_CI!$A:$A,B1154)&gt;0,"Yes","No"))</f>
        <v/>
      </c>
      <c r="J1154" s="10" t="str">
        <f t="shared" si="17"/>
        <v/>
      </c>
      <c r="K1154" s="10" t="str">
        <f>IF(B1154="","",IF(COUNTIF(Finding_List!$A:$A,B1154)&gt;0,"Yes","No"))</f>
        <v/>
      </c>
    </row>
    <row r="1155" spans="1:11" x14ac:dyDescent="0.2">
      <c r="A1155" s="5"/>
      <c r="B1155" s="5"/>
      <c r="C1155" s="5"/>
      <c r="D1155" s="5"/>
      <c r="E1155" s="5"/>
      <c r="F1155" s="5"/>
      <c r="G1155" s="5"/>
      <c r="H1155" s="5"/>
      <c r="I1155" s="10" t="str">
        <f>IF(B1155="","",IF(COUNTIF(FUSE_CI!$A:$A,B1155)&gt;0,"Yes","No"))</f>
        <v/>
      </c>
      <c r="J1155" s="10" t="str">
        <f t="shared" si="17"/>
        <v/>
      </c>
      <c r="K1155" s="10" t="str">
        <f>IF(B1155="","",IF(COUNTIF(Finding_List!$A:$A,B1155)&gt;0,"Yes","No"))</f>
        <v/>
      </c>
    </row>
    <row r="1156" spans="1:11" x14ac:dyDescent="0.2">
      <c r="A1156" s="9"/>
      <c r="B1156" s="9"/>
      <c r="C1156" s="9"/>
      <c r="D1156" s="9"/>
      <c r="E1156" s="9"/>
      <c r="F1156" s="9"/>
      <c r="G1156" s="9"/>
      <c r="H1156" s="9"/>
      <c r="I1156" s="10" t="str">
        <f>IF(B1156="","",IF(COUNTIF(FUSE_CI!$A:$A,B1156)&gt;0,"Yes","No"))</f>
        <v/>
      </c>
      <c r="J1156" s="10" t="str">
        <f t="shared" ref="J1156:J1219" si="18">IF(B1156="","",IF(AND(D1156&lt;&gt;"High",D1156&lt;&gt;"Very High",I1156="Yes",K1156="No"),"Fast Follower","Not Eligible"))</f>
        <v/>
      </c>
      <c r="K1156" s="10" t="str">
        <f>IF(B1156="","",IF(COUNTIF(Finding_List!$A:$A,B1156)&gt;0,"Yes","No"))</f>
        <v/>
      </c>
    </row>
    <row r="1157" spans="1:11" x14ac:dyDescent="0.2">
      <c r="A1157" s="5"/>
      <c r="B1157" s="5"/>
      <c r="C1157" s="5"/>
      <c r="D1157" s="5"/>
      <c r="E1157" s="5"/>
      <c r="F1157" s="5"/>
      <c r="G1157" s="5"/>
      <c r="H1157" s="5"/>
      <c r="I1157" s="10" t="str">
        <f>IF(B1157="","",IF(COUNTIF(FUSE_CI!$A:$A,B1157)&gt;0,"Yes","No"))</f>
        <v/>
      </c>
      <c r="J1157" s="10" t="str">
        <f t="shared" si="18"/>
        <v/>
      </c>
      <c r="K1157" s="10" t="str">
        <f>IF(B1157="","",IF(COUNTIF(Finding_List!$A:$A,B1157)&gt;0,"Yes","No"))</f>
        <v/>
      </c>
    </row>
    <row r="1158" spans="1:11" x14ac:dyDescent="0.2">
      <c r="A1158" s="9"/>
      <c r="B1158" s="9"/>
      <c r="C1158" s="9"/>
      <c r="D1158" s="9"/>
      <c r="E1158" s="9"/>
      <c r="F1158" s="9"/>
      <c r="G1158" s="9"/>
      <c r="H1158" s="9"/>
      <c r="I1158" s="10" t="str">
        <f>IF(B1158="","",IF(COUNTIF(FUSE_CI!$A:$A,B1158)&gt;0,"Yes","No"))</f>
        <v/>
      </c>
      <c r="J1158" s="10" t="str">
        <f t="shared" si="18"/>
        <v/>
      </c>
      <c r="K1158" s="10" t="str">
        <f>IF(B1158="","",IF(COUNTIF(Finding_List!$A:$A,B1158)&gt;0,"Yes","No"))</f>
        <v/>
      </c>
    </row>
    <row r="1159" spans="1:11" x14ac:dyDescent="0.2">
      <c r="A1159" s="5"/>
      <c r="B1159" s="5"/>
      <c r="C1159" s="5"/>
      <c r="D1159" s="5"/>
      <c r="E1159" s="5"/>
      <c r="F1159" s="5"/>
      <c r="G1159" s="5"/>
      <c r="H1159" s="5"/>
      <c r="I1159" s="10" t="str">
        <f>IF(B1159="","",IF(COUNTIF(FUSE_CI!$A:$A,B1159)&gt;0,"Yes","No"))</f>
        <v/>
      </c>
      <c r="J1159" s="10" t="str">
        <f t="shared" si="18"/>
        <v/>
      </c>
      <c r="K1159" s="10" t="str">
        <f>IF(B1159="","",IF(COUNTIF(Finding_List!$A:$A,B1159)&gt;0,"Yes","No"))</f>
        <v/>
      </c>
    </row>
    <row r="1160" spans="1:11" x14ac:dyDescent="0.2">
      <c r="A1160" s="9"/>
      <c r="B1160" s="9"/>
      <c r="C1160" s="9"/>
      <c r="D1160" s="9"/>
      <c r="E1160" s="9"/>
      <c r="F1160" s="9"/>
      <c r="G1160" s="9"/>
      <c r="H1160" s="9"/>
      <c r="I1160" s="10" t="str">
        <f>IF(B1160="","",IF(COUNTIF(FUSE_CI!$A:$A,B1160)&gt;0,"Yes","No"))</f>
        <v/>
      </c>
      <c r="J1160" s="10" t="str">
        <f t="shared" si="18"/>
        <v/>
      </c>
      <c r="K1160" s="10" t="str">
        <f>IF(B1160="","",IF(COUNTIF(Finding_List!$A:$A,B1160)&gt;0,"Yes","No"))</f>
        <v/>
      </c>
    </row>
    <row r="1161" spans="1:11" x14ac:dyDescent="0.2">
      <c r="A1161" s="5"/>
      <c r="B1161" s="5"/>
      <c r="C1161" s="5"/>
      <c r="D1161" s="5"/>
      <c r="E1161" s="5"/>
      <c r="F1161" s="5"/>
      <c r="G1161" s="5"/>
      <c r="H1161" s="5"/>
      <c r="I1161" s="10" t="str">
        <f>IF(B1161="","",IF(COUNTIF(FUSE_CI!$A:$A,B1161)&gt;0,"Yes","No"))</f>
        <v/>
      </c>
      <c r="J1161" s="10" t="str">
        <f t="shared" si="18"/>
        <v/>
      </c>
      <c r="K1161" s="10" t="str">
        <f>IF(B1161="","",IF(COUNTIF(Finding_List!$A:$A,B1161)&gt;0,"Yes","No"))</f>
        <v/>
      </c>
    </row>
    <row r="1162" spans="1:11" x14ac:dyDescent="0.2">
      <c r="A1162" s="9"/>
      <c r="B1162" s="9"/>
      <c r="C1162" s="9"/>
      <c r="D1162" s="9"/>
      <c r="E1162" s="9"/>
      <c r="F1162" s="9"/>
      <c r="G1162" s="9"/>
      <c r="H1162" s="9"/>
      <c r="I1162" s="10" t="str">
        <f>IF(B1162="","",IF(COUNTIF(FUSE_CI!$A:$A,B1162)&gt;0,"Yes","No"))</f>
        <v/>
      </c>
      <c r="J1162" s="10" t="str">
        <f t="shared" si="18"/>
        <v/>
      </c>
      <c r="K1162" s="10" t="str">
        <f>IF(B1162="","",IF(COUNTIF(Finding_List!$A:$A,B1162)&gt;0,"Yes","No"))</f>
        <v/>
      </c>
    </row>
    <row r="1163" spans="1:11" x14ac:dyDescent="0.2">
      <c r="A1163" s="5"/>
      <c r="B1163" s="5"/>
      <c r="C1163" s="5"/>
      <c r="D1163" s="5"/>
      <c r="E1163" s="5"/>
      <c r="F1163" s="5"/>
      <c r="G1163" s="5"/>
      <c r="H1163" s="5"/>
      <c r="I1163" s="10" t="str">
        <f>IF(B1163="","",IF(COUNTIF(FUSE_CI!$A:$A,B1163)&gt;0,"Yes","No"))</f>
        <v/>
      </c>
      <c r="J1163" s="10" t="str">
        <f t="shared" si="18"/>
        <v/>
      </c>
      <c r="K1163" s="10" t="str">
        <f>IF(B1163="","",IF(COUNTIF(Finding_List!$A:$A,B1163)&gt;0,"Yes","No"))</f>
        <v/>
      </c>
    </row>
    <row r="1164" spans="1:11" x14ac:dyDescent="0.2">
      <c r="A1164" s="9"/>
      <c r="B1164" s="9"/>
      <c r="C1164" s="9"/>
      <c r="D1164" s="9"/>
      <c r="E1164" s="9"/>
      <c r="F1164" s="9"/>
      <c r="G1164" s="9"/>
      <c r="H1164" s="9"/>
      <c r="I1164" s="10" t="str">
        <f>IF(B1164="","",IF(COUNTIF(FUSE_CI!$A:$A,B1164)&gt;0,"Yes","No"))</f>
        <v/>
      </c>
      <c r="J1164" s="10" t="str">
        <f t="shared" si="18"/>
        <v/>
      </c>
      <c r="K1164" s="10" t="str">
        <f>IF(B1164="","",IF(COUNTIF(Finding_List!$A:$A,B1164)&gt;0,"Yes","No"))</f>
        <v/>
      </c>
    </row>
    <row r="1165" spans="1:11" x14ac:dyDescent="0.2">
      <c r="A1165" s="5"/>
      <c r="B1165" s="5"/>
      <c r="C1165" s="5"/>
      <c r="D1165" s="5"/>
      <c r="E1165" s="5"/>
      <c r="F1165" s="5"/>
      <c r="G1165" s="5"/>
      <c r="H1165" s="5"/>
      <c r="I1165" s="10" t="str">
        <f>IF(B1165="","",IF(COUNTIF(FUSE_CI!$A:$A,B1165)&gt;0,"Yes","No"))</f>
        <v/>
      </c>
      <c r="J1165" s="10" t="str">
        <f t="shared" si="18"/>
        <v/>
      </c>
      <c r="K1165" s="10" t="str">
        <f>IF(B1165="","",IF(COUNTIF(Finding_List!$A:$A,B1165)&gt;0,"Yes","No"))</f>
        <v/>
      </c>
    </row>
    <row r="1166" spans="1:11" x14ac:dyDescent="0.2">
      <c r="A1166" s="9"/>
      <c r="B1166" s="9"/>
      <c r="C1166" s="9"/>
      <c r="D1166" s="9"/>
      <c r="E1166" s="9"/>
      <c r="F1166" s="9"/>
      <c r="G1166" s="9"/>
      <c r="H1166" s="9"/>
      <c r="I1166" s="10" t="str">
        <f>IF(B1166="","",IF(COUNTIF(FUSE_CI!$A:$A,B1166)&gt;0,"Yes","No"))</f>
        <v/>
      </c>
      <c r="J1166" s="10" t="str">
        <f t="shared" si="18"/>
        <v/>
      </c>
      <c r="K1166" s="10" t="str">
        <f>IF(B1166="","",IF(COUNTIF(Finding_List!$A:$A,B1166)&gt;0,"Yes","No"))</f>
        <v/>
      </c>
    </row>
    <row r="1167" spans="1:11" x14ac:dyDescent="0.2">
      <c r="A1167" s="5"/>
      <c r="B1167" s="5"/>
      <c r="C1167" s="5"/>
      <c r="D1167" s="5"/>
      <c r="E1167" s="5"/>
      <c r="F1167" s="5"/>
      <c r="G1167" s="5"/>
      <c r="H1167" s="5"/>
      <c r="I1167" s="10" t="str">
        <f>IF(B1167="","",IF(COUNTIF(FUSE_CI!$A:$A,B1167)&gt;0,"Yes","No"))</f>
        <v/>
      </c>
      <c r="J1167" s="10" t="str">
        <f t="shared" si="18"/>
        <v/>
      </c>
      <c r="K1167" s="10" t="str">
        <f>IF(B1167="","",IF(COUNTIF(Finding_List!$A:$A,B1167)&gt;0,"Yes","No"))</f>
        <v/>
      </c>
    </row>
    <row r="1168" spans="1:11" x14ac:dyDescent="0.2">
      <c r="A1168" s="9"/>
      <c r="B1168" s="9"/>
      <c r="C1168" s="9"/>
      <c r="D1168" s="9"/>
      <c r="E1168" s="9"/>
      <c r="F1168" s="9"/>
      <c r="G1168" s="9"/>
      <c r="H1168" s="9"/>
      <c r="I1168" s="10" t="str">
        <f>IF(B1168="","",IF(COUNTIF(FUSE_CI!$A:$A,B1168)&gt;0,"Yes","No"))</f>
        <v/>
      </c>
      <c r="J1168" s="10" t="str">
        <f t="shared" si="18"/>
        <v/>
      </c>
      <c r="K1168" s="10" t="str">
        <f>IF(B1168="","",IF(COUNTIF(Finding_List!$A:$A,B1168)&gt;0,"Yes","No"))</f>
        <v/>
      </c>
    </row>
    <row r="1169" spans="1:11" x14ac:dyDescent="0.2">
      <c r="A1169" s="5"/>
      <c r="B1169" s="5"/>
      <c r="C1169" s="5"/>
      <c r="D1169" s="5"/>
      <c r="E1169" s="5"/>
      <c r="F1169" s="5"/>
      <c r="G1169" s="5"/>
      <c r="H1169" s="5"/>
      <c r="I1169" s="10" t="str">
        <f>IF(B1169="","",IF(COUNTIF(FUSE_CI!$A:$A,B1169)&gt;0,"Yes","No"))</f>
        <v/>
      </c>
      <c r="J1169" s="10" t="str">
        <f t="shared" si="18"/>
        <v/>
      </c>
      <c r="K1169" s="10" t="str">
        <f>IF(B1169="","",IF(COUNTIF(Finding_List!$A:$A,B1169)&gt;0,"Yes","No"))</f>
        <v/>
      </c>
    </row>
    <row r="1170" spans="1:11" x14ac:dyDescent="0.2">
      <c r="A1170" s="9"/>
      <c r="B1170" s="9"/>
      <c r="C1170" s="9"/>
      <c r="D1170" s="9"/>
      <c r="E1170" s="9"/>
      <c r="F1170" s="9"/>
      <c r="G1170" s="9"/>
      <c r="H1170" s="9"/>
      <c r="I1170" s="10" t="str">
        <f>IF(B1170="","",IF(COUNTIF(FUSE_CI!$A:$A,B1170)&gt;0,"Yes","No"))</f>
        <v/>
      </c>
      <c r="J1170" s="10" t="str">
        <f t="shared" si="18"/>
        <v/>
      </c>
      <c r="K1170" s="10" t="str">
        <f>IF(B1170="","",IF(COUNTIF(Finding_List!$A:$A,B1170)&gt;0,"Yes","No"))</f>
        <v/>
      </c>
    </row>
    <row r="1171" spans="1:11" x14ac:dyDescent="0.2">
      <c r="A1171" s="5"/>
      <c r="B1171" s="5"/>
      <c r="C1171" s="5"/>
      <c r="D1171" s="5"/>
      <c r="E1171" s="5"/>
      <c r="F1171" s="5"/>
      <c r="G1171" s="5"/>
      <c r="H1171" s="5"/>
      <c r="I1171" s="10" t="str">
        <f>IF(B1171="","",IF(COUNTIF(FUSE_CI!$A:$A,B1171)&gt;0,"Yes","No"))</f>
        <v/>
      </c>
      <c r="J1171" s="10" t="str">
        <f t="shared" si="18"/>
        <v/>
      </c>
      <c r="K1171" s="10" t="str">
        <f>IF(B1171="","",IF(COUNTIF(Finding_List!$A:$A,B1171)&gt;0,"Yes","No"))</f>
        <v/>
      </c>
    </row>
    <row r="1172" spans="1:11" x14ac:dyDescent="0.2">
      <c r="A1172" s="9"/>
      <c r="B1172" s="9"/>
      <c r="C1172" s="9"/>
      <c r="D1172" s="9"/>
      <c r="E1172" s="9"/>
      <c r="F1172" s="9"/>
      <c r="G1172" s="9"/>
      <c r="H1172" s="9"/>
      <c r="I1172" s="10" t="str">
        <f>IF(B1172="","",IF(COUNTIF(FUSE_CI!$A:$A,B1172)&gt;0,"Yes","No"))</f>
        <v/>
      </c>
      <c r="J1172" s="10" t="str">
        <f t="shared" si="18"/>
        <v/>
      </c>
      <c r="K1172" s="10" t="str">
        <f>IF(B1172="","",IF(COUNTIF(Finding_List!$A:$A,B1172)&gt;0,"Yes","No"))</f>
        <v/>
      </c>
    </row>
    <row r="1173" spans="1:11" x14ac:dyDescent="0.2">
      <c r="A1173" s="5"/>
      <c r="B1173" s="5"/>
      <c r="C1173" s="5"/>
      <c r="D1173" s="5"/>
      <c r="E1173" s="5"/>
      <c r="F1173" s="5"/>
      <c r="G1173" s="5"/>
      <c r="H1173" s="5"/>
      <c r="I1173" s="10" t="str">
        <f>IF(B1173="","",IF(COUNTIF(FUSE_CI!$A:$A,B1173)&gt;0,"Yes","No"))</f>
        <v/>
      </c>
      <c r="J1173" s="10" t="str">
        <f t="shared" si="18"/>
        <v/>
      </c>
      <c r="K1173" s="10" t="str">
        <f>IF(B1173="","",IF(COUNTIF(Finding_List!$A:$A,B1173)&gt;0,"Yes","No"))</f>
        <v/>
      </c>
    </row>
    <row r="1174" spans="1:11" x14ac:dyDescent="0.2">
      <c r="A1174" s="9"/>
      <c r="B1174" s="9"/>
      <c r="C1174" s="9"/>
      <c r="D1174" s="9"/>
      <c r="E1174" s="9"/>
      <c r="F1174" s="9"/>
      <c r="G1174" s="9"/>
      <c r="H1174" s="9"/>
      <c r="I1174" s="10" t="str">
        <f>IF(B1174="","",IF(COUNTIF(FUSE_CI!$A:$A,B1174)&gt;0,"Yes","No"))</f>
        <v/>
      </c>
      <c r="J1174" s="10" t="str">
        <f t="shared" si="18"/>
        <v/>
      </c>
      <c r="K1174" s="10" t="str">
        <f>IF(B1174="","",IF(COUNTIF(Finding_List!$A:$A,B1174)&gt;0,"Yes","No"))</f>
        <v/>
      </c>
    </row>
    <row r="1175" spans="1:11" x14ac:dyDescent="0.2">
      <c r="A1175" s="5"/>
      <c r="B1175" s="5"/>
      <c r="C1175" s="5"/>
      <c r="D1175" s="5"/>
      <c r="E1175" s="5"/>
      <c r="F1175" s="5"/>
      <c r="G1175" s="5"/>
      <c r="H1175" s="5"/>
      <c r="I1175" s="10" t="str">
        <f>IF(B1175="","",IF(COUNTIF(FUSE_CI!$A:$A,B1175)&gt;0,"Yes","No"))</f>
        <v/>
      </c>
      <c r="J1175" s="10" t="str">
        <f t="shared" si="18"/>
        <v/>
      </c>
      <c r="K1175" s="10" t="str">
        <f>IF(B1175="","",IF(COUNTIF(Finding_List!$A:$A,B1175)&gt;0,"Yes","No"))</f>
        <v/>
      </c>
    </row>
    <row r="1176" spans="1:11" x14ac:dyDescent="0.2">
      <c r="A1176" s="9"/>
      <c r="B1176" s="9"/>
      <c r="C1176" s="9"/>
      <c r="D1176" s="9"/>
      <c r="E1176" s="9"/>
      <c r="F1176" s="9"/>
      <c r="G1176" s="9"/>
      <c r="H1176" s="9"/>
      <c r="I1176" s="10" t="str">
        <f>IF(B1176="","",IF(COUNTIF(FUSE_CI!$A:$A,B1176)&gt;0,"Yes","No"))</f>
        <v/>
      </c>
      <c r="J1176" s="10" t="str">
        <f t="shared" si="18"/>
        <v/>
      </c>
      <c r="K1176" s="10" t="str">
        <f>IF(B1176="","",IF(COUNTIF(Finding_List!$A:$A,B1176)&gt;0,"Yes","No"))</f>
        <v/>
      </c>
    </row>
    <row r="1177" spans="1:11" x14ac:dyDescent="0.2">
      <c r="A1177" s="5"/>
      <c r="B1177" s="5"/>
      <c r="C1177" s="5"/>
      <c r="D1177" s="5"/>
      <c r="E1177" s="5"/>
      <c r="F1177" s="5"/>
      <c r="G1177" s="5"/>
      <c r="H1177" s="5"/>
      <c r="I1177" s="10" t="str">
        <f>IF(B1177="","",IF(COUNTIF(FUSE_CI!$A:$A,B1177)&gt;0,"Yes","No"))</f>
        <v/>
      </c>
      <c r="J1177" s="10" t="str">
        <f t="shared" si="18"/>
        <v/>
      </c>
      <c r="K1177" s="10" t="str">
        <f>IF(B1177="","",IF(COUNTIF(Finding_List!$A:$A,B1177)&gt;0,"Yes","No"))</f>
        <v/>
      </c>
    </row>
    <row r="1178" spans="1:11" x14ac:dyDescent="0.2">
      <c r="A1178" s="9"/>
      <c r="B1178" s="9"/>
      <c r="C1178" s="9"/>
      <c r="D1178" s="9"/>
      <c r="E1178" s="9"/>
      <c r="F1178" s="9"/>
      <c r="G1178" s="9"/>
      <c r="H1178" s="9"/>
      <c r="I1178" s="10" t="str">
        <f>IF(B1178="","",IF(COUNTIF(FUSE_CI!$A:$A,B1178)&gt;0,"Yes","No"))</f>
        <v/>
      </c>
      <c r="J1178" s="10" t="str">
        <f t="shared" si="18"/>
        <v/>
      </c>
      <c r="K1178" s="10" t="str">
        <f>IF(B1178="","",IF(COUNTIF(Finding_List!$A:$A,B1178)&gt;0,"Yes","No"))</f>
        <v/>
      </c>
    </row>
    <row r="1179" spans="1:11" x14ac:dyDescent="0.2">
      <c r="A1179" s="5"/>
      <c r="B1179" s="5"/>
      <c r="C1179" s="5"/>
      <c r="D1179" s="5"/>
      <c r="E1179" s="5"/>
      <c r="F1179" s="5"/>
      <c r="G1179" s="5"/>
      <c r="H1179" s="5"/>
      <c r="I1179" s="10" t="str">
        <f>IF(B1179="","",IF(COUNTIF(FUSE_CI!$A:$A,B1179)&gt;0,"Yes","No"))</f>
        <v/>
      </c>
      <c r="J1179" s="10" t="str">
        <f t="shared" si="18"/>
        <v/>
      </c>
      <c r="K1179" s="10" t="str">
        <f>IF(B1179="","",IF(COUNTIF(Finding_List!$A:$A,B1179)&gt;0,"Yes","No"))</f>
        <v/>
      </c>
    </row>
    <row r="1180" spans="1:11" x14ac:dyDescent="0.2">
      <c r="A1180" s="9"/>
      <c r="B1180" s="9"/>
      <c r="C1180" s="9"/>
      <c r="D1180" s="9"/>
      <c r="E1180" s="9"/>
      <c r="F1180" s="9"/>
      <c r="G1180" s="9"/>
      <c r="H1180" s="9"/>
      <c r="I1180" s="10" t="str">
        <f>IF(B1180="","",IF(COUNTIF(FUSE_CI!$A:$A,B1180)&gt;0,"Yes","No"))</f>
        <v/>
      </c>
      <c r="J1180" s="10" t="str">
        <f t="shared" si="18"/>
        <v/>
      </c>
      <c r="K1180" s="10" t="str">
        <f>IF(B1180="","",IF(COUNTIF(Finding_List!$A:$A,B1180)&gt;0,"Yes","No"))</f>
        <v/>
      </c>
    </row>
    <row r="1181" spans="1:11" x14ac:dyDescent="0.2">
      <c r="A1181" s="5"/>
      <c r="B1181" s="5"/>
      <c r="C1181" s="5"/>
      <c r="D1181" s="5"/>
      <c r="E1181" s="5"/>
      <c r="F1181" s="5"/>
      <c r="G1181" s="5"/>
      <c r="H1181" s="5"/>
      <c r="I1181" s="10" t="str">
        <f>IF(B1181="","",IF(COUNTIF(FUSE_CI!$A:$A,B1181)&gt;0,"Yes","No"))</f>
        <v/>
      </c>
      <c r="J1181" s="10" t="str">
        <f t="shared" si="18"/>
        <v/>
      </c>
      <c r="K1181" s="10" t="str">
        <f>IF(B1181="","",IF(COUNTIF(Finding_List!$A:$A,B1181)&gt;0,"Yes","No"))</f>
        <v/>
      </c>
    </row>
    <row r="1182" spans="1:11" x14ac:dyDescent="0.2">
      <c r="A1182" s="9"/>
      <c r="B1182" s="9"/>
      <c r="C1182" s="9"/>
      <c r="D1182" s="9"/>
      <c r="E1182" s="9"/>
      <c r="F1182" s="9"/>
      <c r="G1182" s="9"/>
      <c r="H1182" s="9"/>
      <c r="I1182" s="10" t="str">
        <f>IF(B1182="","",IF(COUNTIF(FUSE_CI!$A:$A,B1182)&gt;0,"Yes","No"))</f>
        <v/>
      </c>
      <c r="J1182" s="10" t="str">
        <f t="shared" si="18"/>
        <v/>
      </c>
      <c r="K1182" s="10" t="str">
        <f>IF(B1182="","",IF(COUNTIF(Finding_List!$A:$A,B1182)&gt;0,"Yes","No"))</f>
        <v/>
      </c>
    </row>
    <row r="1183" spans="1:11" x14ac:dyDescent="0.2">
      <c r="A1183" s="5"/>
      <c r="B1183" s="5"/>
      <c r="C1183" s="5"/>
      <c r="D1183" s="5"/>
      <c r="E1183" s="5"/>
      <c r="F1183" s="5"/>
      <c r="G1183" s="5"/>
      <c r="H1183" s="5"/>
      <c r="I1183" s="10" t="str">
        <f>IF(B1183="","",IF(COUNTIF(FUSE_CI!$A:$A,B1183)&gt;0,"Yes","No"))</f>
        <v/>
      </c>
      <c r="J1183" s="10" t="str">
        <f t="shared" si="18"/>
        <v/>
      </c>
      <c r="K1183" s="10" t="str">
        <f>IF(B1183="","",IF(COUNTIF(Finding_List!$A:$A,B1183)&gt;0,"Yes","No"))</f>
        <v/>
      </c>
    </row>
    <row r="1184" spans="1:11" x14ac:dyDescent="0.2">
      <c r="A1184" s="9"/>
      <c r="B1184" s="9"/>
      <c r="C1184" s="9"/>
      <c r="D1184" s="9"/>
      <c r="E1184" s="9"/>
      <c r="F1184" s="9"/>
      <c r="G1184" s="9"/>
      <c r="H1184" s="9"/>
      <c r="I1184" s="10" t="str">
        <f>IF(B1184="","",IF(COUNTIF(FUSE_CI!$A:$A,B1184)&gt;0,"Yes","No"))</f>
        <v/>
      </c>
      <c r="J1184" s="10" t="str">
        <f t="shared" si="18"/>
        <v/>
      </c>
      <c r="K1184" s="10" t="str">
        <f>IF(B1184="","",IF(COUNTIF(Finding_List!$A:$A,B1184)&gt;0,"Yes","No"))</f>
        <v/>
      </c>
    </row>
    <row r="1185" spans="1:11" x14ac:dyDescent="0.2">
      <c r="A1185" s="5"/>
      <c r="B1185" s="5"/>
      <c r="C1185" s="5"/>
      <c r="D1185" s="5"/>
      <c r="E1185" s="5"/>
      <c r="F1185" s="5"/>
      <c r="G1185" s="5"/>
      <c r="H1185" s="5"/>
      <c r="I1185" s="10" t="str">
        <f>IF(B1185="","",IF(COUNTIF(FUSE_CI!$A:$A,B1185)&gt;0,"Yes","No"))</f>
        <v/>
      </c>
      <c r="J1185" s="10" t="str">
        <f t="shared" si="18"/>
        <v/>
      </c>
      <c r="K1185" s="10" t="str">
        <f>IF(B1185="","",IF(COUNTIF(Finding_List!$A:$A,B1185)&gt;0,"Yes","No"))</f>
        <v/>
      </c>
    </row>
    <row r="1186" spans="1:11" x14ac:dyDescent="0.2">
      <c r="A1186" s="9"/>
      <c r="B1186" s="9"/>
      <c r="C1186" s="9"/>
      <c r="D1186" s="9"/>
      <c r="E1186" s="9"/>
      <c r="F1186" s="9"/>
      <c r="G1186" s="9"/>
      <c r="H1186" s="9"/>
      <c r="I1186" s="10" t="str">
        <f>IF(B1186="","",IF(COUNTIF(FUSE_CI!$A:$A,B1186)&gt;0,"Yes","No"))</f>
        <v/>
      </c>
      <c r="J1186" s="10" t="str">
        <f t="shared" si="18"/>
        <v/>
      </c>
      <c r="K1186" s="10" t="str">
        <f>IF(B1186="","",IF(COUNTIF(Finding_List!$A:$A,B1186)&gt;0,"Yes","No"))</f>
        <v/>
      </c>
    </row>
    <row r="1187" spans="1:11" x14ac:dyDescent="0.2">
      <c r="A1187" s="5"/>
      <c r="B1187" s="5"/>
      <c r="C1187" s="5"/>
      <c r="D1187" s="5"/>
      <c r="E1187" s="5"/>
      <c r="F1187" s="5"/>
      <c r="G1187" s="5"/>
      <c r="H1187" s="5"/>
      <c r="I1187" s="10" t="str">
        <f>IF(B1187="","",IF(COUNTIF(FUSE_CI!$A:$A,B1187)&gt;0,"Yes","No"))</f>
        <v/>
      </c>
      <c r="J1187" s="10" t="str">
        <f t="shared" si="18"/>
        <v/>
      </c>
      <c r="K1187" s="10" t="str">
        <f>IF(B1187="","",IF(COUNTIF(Finding_List!$A:$A,B1187)&gt;0,"Yes","No"))</f>
        <v/>
      </c>
    </row>
    <row r="1188" spans="1:11" x14ac:dyDescent="0.2">
      <c r="A1188" s="9"/>
      <c r="B1188" s="9"/>
      <c r="C1188" s="9"/>
      <c r="D1188" s="9"/>
      <c r="E1188" s="9"/>
      <c r="F1188" s="9"/>
      <c r="G1188" s="9"/>
      <c r="H1188" s="9"/>
      <c r="I1188" s="10" t="str">
        <f>IF(B1188="","",IF(COUNTIF(FUSE_CI!$A:$A,B1188)&gt;0,"Yes","No"))</f>
        <v/>
      </c>
      <c r="J1188" s="10" t="str">
        <f t="shared" si="18"/>
        <v/>
      </c>
      <c r="K1188" s="10" t="str">
        <f>IF(B1188="","",IF(COUNTIF(Finding_List!$A:$A,B1188)&gt;0,"Yes","No"))</f>
        <v/>
      </c>
    </row>
    <row r="1189" spans="1:11" x14ac:dyDescent="0.2">
      <c r="A1189" s="5"/>
      <c r="B1189" s="5"/>
      <c r="C1189" s="5"/>
      <c r="D1189" s="5"/>
      <c r="E1189" s="5"/>
      <c r="F1189" s="5"/>
      <c r="G1189" s="5"/>
      <c r="H1189" s="5"/>
      <c r="I1189" s="10" t="str">
        <f>IF(B1189="","",IF(COUNTIF(FUSE_CI!$A:$A,B1189)&gt;0,"Yes","No"))</f>
        <v/>
      </c>
      <c r="J1189" s="10" t="str">
        <f t="shared" si="18"/>
        <v/>
      </c>
      <c r="K1189" s="10" t="str">
        <f>IF(B1189="","",IF(COUNTIF(Finding_List!$A:$A,B1189)&gt;0,"Yes","No"))</f>
        <v/>
      </c>
    </row>
    <row r="1190" spans="1:11" x14ac:dyDescent="0.2">
      <c r="A1190" s="9"/>
      <c r="B1190" s="9"/>
      <c r="C1190" s="9"/>
      <c r="D1190" s="9"/>
      <c r="E1190" s="9"/>
      <c r="F1190" s="9"/>
      <c r="G1190" s="9"/>
      <c r="H1190" s="9"/>
      <c r="I1190" s="10" t="str">
        <f>IF(B1190="","",IF(COUNTIF(FUSE_CI!$A:$A,B1190)&gt;0,"Yes","No"))</f>
        <v/>
      </c>
      <c r="J1190" s="10" t="str">
        <f t="shared" si="18"/>
        <v/>
      </c>
      <c r="K1190" s="10" t="str">
        <f>IF(B1190="","",IF(COUNTIF(Finding_List!$A:$A,B1190)&gt;0,"Yes","No"))</f>
        <v/>
      </c>
    </row>
    <row r="1191" spans="1:11" x14ac:dyDescent="0.2">
      <c r="A1191" s="5"/>
      <c r="B1191" s="5"/>
      <c r="C1191" s="5"/>
      <c r="D1191" s="5"/>
      <c r="E1191" s="5"/>
      <c r="F1191" s="5"/>
      <c r="G1191" s="5"/>
      <c r="H1191" s="5"/>
      <c r="I1191" s="10" t="str">
        <f>IF(B1191="","",IF(COUNTIF(FUSE_CI!$A:$A,B1191)&gt;0,"Yes","No"))</f>
        <v/>
      </c>
      <c r="J1191" s="10" t="str">
        <f t="shared" si="18"/>
        <v/>
      </c>
      <c r="K1191" s="10" t="str">
        <f>IF(B1191="","",IF(COUNTIF(Finding_List!$A:$A,B1191)&gt;0,"Yes","No"))</f>
        <v/>
      </c>
    </row>
    <row r="1192" spans="1:11" x14ac:dyDescent="0.2">
      <c r="A1192" s="9"/>
      <c r="B1192" s="9"/>
      <c r="C1192" s="9"/>
      <c r="D1192" s="9"/>
      <c r="E1192" s="9"/>
      <c r="F1192" s="9"/>
      <c r="G1192" s="9"/>
      <c r="H1192" s="9"/>
      <c r="I1192" s="10" t="str">
        <f>IF(B1192="","",IF(COUNTIF(FUSE_CI!$A:$A,B1192)&gt;0,"Yes","No"))</f>
        <v/>
      </c>
      <c r="J1192" s="10" t="str">
        <f t="shared" si="18"/>
        <v/>
      </c>
      <c r="K1192" s="10" t="str">
        <f>IF(B1192="","",IF(COUNTIF(Finding_List!$A:$A,B1192)&gt;0,"Yes","No"))</f>
        <v/>
      </c>
    </row>
    <row r="1193" spans="1:11" x14ac:dyDescent="0.2">
      <c r="A1193" s="5"/>
      <c r="B1193" s="5"/>
      <c r="C1193" s="5"/>
      <c r="D1193" s="5"/>
      <c r="E1193" s="5"/>
      <c r="F1193" s="5"/>
      <c r="G1193" s="5"/>
      <c r="H1193" s="5"/>
      <c r="I1193" s="10" t="str">
        <f>IF(B1193="","",IF(COUNTIF(FUSE_CI!$A:$A,B1193)&gt;0,"Yes","No"))</f>
        <v/>
      </c>
      <c r="J1193" s="10" t="str">
        <f t="shared" si="18"/>
        <v/>
      </c>
      <c r="K1193" s="10" t="str">
        <f>IF(B1193="","",IF(COUNTIF(Finding_List!$A:$A,B1193)&gt;0,"Yes","No"))</f>
        <v/>
      </c>
    </row>
    <row r="1194" spans="1:11" x14ac:dyDescent="0.2">
      <c r="A1194" s="9"/>
      <c r="B1194" s="9"/>
      <c r="C1194" s="9"/>
      <c r="D1194" s="9"/>
      <c r="E1194" s="9"/>
      <c r="F1194" s="9"/>
      <c r="G1194" s="9"/>
      <c r="H1194" s="9"/>
      <c r="I1194" s="10" t="str">
        <f>IF(B1194="","",IF(COUNTIF(FUSE_CI!$A:$A,B1194)&gt;0,"Yes","No"))</f>
        <v/>
      </c>
      <c r="J1194" s="10" t="str">
        <f t="shared" si="18"/>
        <v/>
      </c>
      <c r="K1194" s="10" t="str">
        <f>IF(B1194="","",IF(COUNTIF(Finding_List!$A:$A,B1194)&gt;0,"Yes","No"))</f>
        <v/>
      </c>
    </row>
    <row r="1195" spans="1:11" x14ac:dyDescent="0.2">
      <c r="A1195" s="5"/>
      <c r="B1195" s="5"/>
      <c r="C1195" s="5"/>
      <c r="D1195" s="5"/>
      <c r="E1195" s="5"/>
      <c r="F1195" s="5"/>
      <c r="G1195" s="5"/>
      <c r="H1195" s="5"/>
      <c r="I1195" s="10" t="str">
        <f>IF(B1195="","",IF(COUNTIF(FUSE_CI!$A:$A,B1195)&gt;0,"Yes","No"))</f>
        <v/>
      </c>
      <c r="J1195" s="10" t="str">
        <f t="shared" si="18"/>
        <v/>
      </c>
      <c r="K1195" s="10" t="str">
        <f>IF(B1195="","",IF(COUNTIF(Finding_List!$A:$A,B1195)&gt;0,"Yes","No"))</f>
        <v/>
      </c>
    </row>
    <row r="1196" spans="1:11" x14ac:dyDescent="0.2">
      <c r="A1196" s="9"/>
      <c r="B1196" s="9"/>
      <c r="C1196" s="9"/>
      <c r="D1196" s="9"/>
      <c r="E1196" s="9"/>
      <c r="F1196" s="9"/>
      <c r="G1196" s="9"/>
      <c r="H1196" s="9"/>
      <c r="I1196" s="10" t="str">
        <f>IF(B1196="","",IF(COUNTIF(FUSE_CI!$A:$A,B1196)&gt;0,"Yes","No"))</f>
        <v/>
      </c>
      <c r="J1196" s="10" t="str">
        <f t="shared" si="18"/>
        <v/>
      </c>
      <c r="K1196" s="10" t="str">
        <f>IF(B1196="","",IF(COUNTIF(Finding_List!$A:$A,B1196)&gt;0,"Yes","No"))</f>
        <v/>
      </c>
    </row>
    <row r="1197" spans="1:11" x14ac:dyDescent="0.2">
      <c r="A1197" s="5"/>
      <c r="B1197" s="5"/>
      <c r="C1197" s="5"/>
      <c r="D1197" s="5"/>
      <c r="E1197" s="5"/>
      <c r="F1197" s="5"/>
      <c r="G1197" s="5"/>
      <c r="H1197" s="5"/>
      <c r="I1197" s="10" t="str">
        <f>IF(B1197="","",IF(COUNTIF(FUSE_CI!$A:$A,B1197)&gt;0,"Yes","No"))</f>
        <v/>
      </c>
      <c r="J1197" s="10" t="str">
        <f t="shared" si="18"/>
        <v/>
      </c>
      <c r="K1197" s="10" t="str">
        <f>IF(B1197="","",IF(COUNTIF(Finding_List!$A:$A,B1197)&gt;0,"Yes","No"))</f>
        <v/>
      </c>
    </row>
    <row r="1198" spans="1:11" x14ac:dyDescent="0.2">
      <c r="A1198" s="9"/>
      <c r="B1198" s="9"/>
      <c r="C1198" s="9"/>
      <c r="D1198" s="9"/>
      <c r="E1198" s="9"/>
      <c r="F1198" s="9"/>
      <c r="G1198" s="9"/>
      <c r="H1198" s="9"/>
      <c r="I1198" s="10" t="str">
        <f>IF(B1198="","",IF(COUNTIF(FUSE_CI!$A:$A,B1198)&gt;0,"Yes","No"))</f>
        <v/>
      </c>
      <c r="J1198" s="10" t="str">
        <f t="shared" si="18"/>
        <v/>
      </c>
      <c r="K1198" s="10" t="str">
        <f>IF(B1198="","",IF(COUNTIF(Finding_List!$A:$A,B1198)&gt;0,"Yes","No"))</f>
        <v/>
      </c>
    </row>
    <row r="1199" spans="1:11" x14ac:dyDescent="0.2">
      <c r="A1199" s="5"/>
      <c r="B1199" s="5"/>
      <c r="C1199" s="5"/>
      <c r="D1199" s="5"/>
      <c r="E1199" s="5"/>
      <c r="F1199" s="5"/>
      <c r="G1199" s="5"/>
      <c r="H1199" s="5"/>
      <c r="I1199" s="10" t="str">
        <f>IF(B1199="","",IF(COUNTIF(FUSE_CI!$A:$A,B1199)&gt;0,"Yes","No"))</f>
        <v/>
      </c>
      <c r="J1199" s="10" t="str">
        <f t="shared" si="18"/>
        <v/>
      </c>
      <c r="K1199" s="10" t="str">
        <f>IF(B1199="","",IF(COUNTIF(Finding_List!$A:$A,B1199)&gt;0,"Yes","No"))</f>
        <v/>
      </c>
    </row>
    <row r="1200" spans="1:11" x14ac:dyDescent="0.2">
      <c r="A1200" s="9"/>
      <c r="B1200" s="9"/>
      <c r="C1200" s="9"/>
      <c r="D1200" s="9"/>
      <c r="E1200" s="9"/>
      <c r="F1200" s="9"/>
      <c r="G1200" s="9"/>
      <c r="H1200" s="9"/>
      <c r="I1200" s="10" t="str">
        <f>IF(B1200="","",IF(COUNTIF(FUSE_CI!$A:$A,B1200)&gt;0,"Yes","No"))</f>
        <v/>
      </c>
      <c r="J1200" s="10" t="str">
        <f t="shared" si="18"/>
        <v/>
      </c>
      <c r="K1200" s="10" t="str">
        <f>IF(B1200="","",IF(COUNTIF(Finding_List!$A:$A,B1200)&gt;0,"Yes","No"))</f>
        <v/>
      </c>
    </row>
    <row r="1201" spans="1:11" x14ac:dyDescent="0.2">
      <c r="A1201" s="5"/>
      <c r="B1201" s="5"/>
      <c r="C1201" s="5"/>
      <c r="D1201" s="5"/>
      <c r="E1201" s="5"/>
      <c r="F1201" s="5"/>
      <c r="G1201" s="5"/>
      <c r="H1201" s="5"/>
      <c r="I1201" s="10" t="str">
        <f>IF(B1201="","",IF(COUNTIF(FUSE_CI!$A:$A,B1201)&gt;0,"Yes","No"))</f>
        <v/>
      </c>
      <c r="J1201" s="10" t="str">
        <f t="shared" si="18"/>
        <v/>
      </c>
      <c r="K1201" s="10" t="str">
        <f>IF(B1201="","",IF(COUNTIF(Finding_List!$A:$A,B1201)&gt;0,"Yes","No"))</f>
        <v/>
      </c>
    </row>
    <row r="1202" spans="1:11" x14ac:dyDescent="0.2">
      <c r="A1202" s="9"/>
      <c r="B1202" s="9"/>
      <c r="C1202" s="9"/>
      <c r="D1202" s="9"/>
      <c r="E1202" s="9"/>
      <c r="F1202" s="9"/>
      <c r="G1202" s="9"/>
      <c r="H1202" s="9"/>
      <c r="I1202" s="10" t="str">
        <f>IF(B1202="","",IF(COUNTIF(FUSE_CI!$A:$A,B1202)&gt;0,"Yes","No"))</f>
        <v/>
      </c>
      <c r="J1202" s="10" t="str">
        <f t="shared" si="18"/>
        <v/>
      </c>
      <c r="K1202" s="10" t="str">
        <f>IF(B1202="","",IF(COUNTIF(Finding_List!$A:$A,B1202)&gt;0,"Yes","No"))</f>
        <v/>
      </c>
    </row>
    <row r="1203" spans="1:11" x14ac:dyDescent="0.2">
      <c r="A1203" s="5"/>
      <c r="B1203" s="5"/>
      <c r="C1203" s="5"/>
      <c r="D1203" s="5"/>
      <c r="E1203" s="5"/>
      <c r="F1203" s="5"/>
      <c r="G1203" s="5"/>
      <c r="H1203" s="5"/>
      <c r="I1203" s="10" t="str">
        <f>IF(B1203="","",IF(COUNTIF(FUSE_CI!$A:$A,B1203)&gt;0,"Yes","No"))</f>
        <v/>
      </c>
      <c r="J1203" s="10" t="str">
        <f t="shared" si="18"/>
        <v/>
      </c>
      <c r="K1203" s="10" t="str">
        <f>IF(B1203="","",IF(COUNTIF(Finding_List!$A:$A,B1203)&gt;0,"Yes","No"))</f>
        <v/>
      </c>
    </row>
    <row r="1204" spans="1:11" x14ac:dyDescent="0.2">
      <c r="A1204" s="9"/>
      <c r="B1204" s="9"/>
      <c r="C1204" s="9"/>
      <c r="D1204" s="9"/>
      <c r="E1204" s="9"/>
      <c r="F1204" s="9"/>
      <c r="G1204" s="9"/>
      <c r="H1204" s="9"/>
      <c r="I1204" s="10" t="str">
        <f>IF(B1204="","",IF(COUNTIF(FUSE_CI!$A:$A,B1204)&gt;0,"Yes","No"))</f>
        <v/>
      </c>
      <c r="J1204" s="10" t="str">
        <f t="shared" si="18"/>
        <v/>
      </c>
      <c r="K1204" s="10" t="str">
        <f>IF(B1204="","",IF(COUNTIF(Finding_List!$A:$A,B1204)&gt;0,"Yes","No"))</f>
        <v/>
      </c>
    </row>
    <row r="1205" spans="1:11" x14ac:dyDescent="0.2">
      <c r="A1205" s="5"/>
      <c r="B1205" s="5"/>
      <c r="C1205" s="5"/>
      <c r="D1205" s="5"/>
      <c r="E1205" s="5"/>
      <c r="F1205" s="5"/>
      <c r="G1205" s="5"/>
      <c r="H1205" s="5"/>
      <c r="I1205" s="10" t="str">
        <f>IF(B1205="","",IF(COUNTIF(FUSE_CI!$A:$A,B1205)&gt;0,"Yes","No"))</f>
        <v/>
      </c>
      <c r="J1205" s="10" t="str">
        <f t="shared" si="18"/>
        <v/>
      </c>
      <c r="K1205" s="10" t="str">
        <f>IF(B1205="","",IF(COUNTIF(Finding_List!$A:$A,B1205)&gt;0,"Yes","No"))</f>
        <v/>
      </c>
    </row>
    <row r="1206" spans="1:11" x14ac:dyDescent="0.2">
      <c r="A1206" s="9"/>
      <c r="B1206" s="9"/>
      <c r="C1206" s="9"/>
      <c r="D1206" s="9"/>
      <c r="E1206" s="9"/>
      <c r="F1206" s="9"/>
      <c r="G1206" s="9"/>
      <c r="H1206" s="9"/>
      <c r="I1206" s="10" t="str">
        <f>IF(B1206="","",IF(COUNTIF(FUSE_CI!$A:$A,B1206)&gt;0,"Yes","No"))</f>
        <v/>
      </c>
      <c r="J1206" s="10" t="str">
        <f t="shared" si="18"/>
        <v/>
      </c>
      <c r="K1206" s="10" t="str">
        <f>IF(B1206="","",IF(COUNTIF(Finding_List!$A:$A,B1206)&gt;0,"Yes","No"))</f>
        <v/>
      </c>
    </row>
    <row r="1207" spans="1:11" x14ac:dyDescent="0.2">
      <c r="A1207" s="5"/>
      <c r="B1207" s="5"/>
      <c r="C1207" s="5"/>
      <c r="D1207" s="5"/>
      <c r="E1207" s="5"/>
      <c r="F1207" s="5"/>
      <c r="G1207" s="5"/>
      <c r="H1207" s="5"/>
      <c r="I1207" s="10" t="str">
        <f>IF(B1207="","",IF(COUNTIF(FUSE_CI!$A:$A,B1207)&gt;0,"Yes","No"))</f>
        <v/>
      </c>
      <c r="J1207" s="10" t="str">
        <f t="shared" si="18"/>
        <v/>
      </c>
      <c r="K1207" s="10" t="str">
        <f>IF(B1207="","",IF(COUNTIF(Finding_List!$A:$A,B1207)&gt;0,"Yes","No"))</f>
        <v/>
      </c>
    </row>
    <row r="1208" spans="1:11" x14ac:dyDescent="0.2">
      <c r="A1208" s="9"/>
      <c r="B1208" s="9"/>
      <c r="C1208" s="9"/>
      <c r="D1208" s="9"/>
      <c r="E1208" s="9"/>
      <c r="F1208" s="9"/>
      <c r="G1208" s="9"/>
      <c r="H1208" s="9"/>
      <c r="I1208" s="10" t="str">
        <f>IF(B1208="","",IF(COUNTIF(FUSE_CI!$A:$A,B1208)&gt;0,"Yes","No"))</f>
        <v/>
      </c>
      <c r="J1208" s="10" t="str">
        <f t="shared" si="18"/>
        <v/>
      </c>
      <c r="K1208" s="10" t="str">
        <f>IF(B1208="","",IF(COUNTIF(Finding_List!$A:$A,B1208)&gt;0,"Yes","No"))</f>
        <v/>
      </c>
    </row>
    <row r="1209" spans="1:11" x14ac:dyDescent="0.2">
      <c r="A1209" s="5"/>
      <c r="B1209" s="5"/>
      <c r="C1209" s="5"/>
      <c r="D1209" s="5"/>
      <c r="E1209" s="5"/>
      <c r="F1209" s="5"/>
      <c r="G1209" s="5"/>
      <c r="H1209" s="5"/>
      <c r="I1209" s="10" t="str">
        <f>IF(B1209="","",IF(COUNTIF(FUSE_CI!$A:$A,B1209)&gt;0,"Yes","No"))</f>
        <v/>
      </c>
      <c r="J1209" s="10" t="str">
        <f t="shared" si="18"/>
        <v/>
      </c>
      <c r="K1209" s="10" t="str">
        <f>IF(B1209="","",IF(COUNTIF(Finding_List!$A:$A,B1209)&gt;0,"Yes","No"))</f>
        <v/>
      </c>
    </row>
    <row r="1210" spans="1:11" x14ac:dyDescent="0.2">
      <c r="A1210" s="9"/>
      <c r="B1210" s="9"/>
      <c r="C1210" s="9"/>
      <c r="D1210" s="9"/>
      <c r="E1210" s="9"/>
      <c r="F1210" s="9"/>
      <c r="G1210" s="9"/>
      <c r="H1210" s="9"/>
      <c r="I1210" s="10" t="str">
        <f>IF(B1210="","",IF(COUNTIF(FUSE_CI!$A:$A,B1210)&gt;0,"Yes","No"))</f>
        <v/>
      </c>
      <c r="J1210" s="10" t="str">
        <f t="shared" si="18"/>
        <v/>
      </c>
      <c r="K1210" s="10" t="str">
        <f>IF(B1210="","",IF(COUNTIF(Finding_List!$A:$A,B1210)&gt;0,"Yes","No"))</f>
        <v/>
      </c>
    </row>
    <row r="1211" spans="1:11" x14ac:dyDescent="0.2">
      <c r="A1211" s="5"/>
      <c r="B1211" s="5"/>
      <c r="C1211" s="5"/>
      <c r="D1211" s="5"/>
      <c r="E1211" s="5"/>
      <c r="F1211" s="5"/>
      <c r="G1211" s="5"/>
      <c r="H1211" s="5"/>
      <c r="I1211" s="10" t="str">
        <f>IF(B1211="","",IF(COUNTIF(FUSE_CI!$A:$A,B1211)&gt;0,"Yes","No"))</f>
        <v/>
      </c>
      <c r="J1211" s="10" t="str">
        <f t="shared" si="18"/>
        <v/>
      </c>
      <c r="K1211" s="10" t="str">
        <f>IF(B1211="","",IF(COUNTIF(Finding_List!$A:$A,B1211)&gt;0,"Yes","No"))</f>
        <v/>
      </c>
    </row>
    <row r="1212" spans="1:11" x14ac:dyDescent="0.2">
      <c r="A1212" s="9"/>
      <c r="B1212" s="9"/>
      <c r="C1212" s="9"/>
      <c r="D1212" s="9"/>
      <c r="E1212" s="9"/>
      <c r="F1212" s="9"/>
      <c r="G1212" s="9"/>
      <c r="H1212" s="9"/>
      <c r="I1212" s="10" t="str">
        <f>IF(B1212="","",IF(COUNTIF(FUSE_CI!$A:$A,B1212)&gt;0,"Yes","No"))</f>
        <v/>
      </c>
      <c r="J1212" s="10" t="str">
        <f t="shared" si="18"/>
        <v/>
      </c>
      <c r="K1212" s="10" t="str">
        <f>IF(B1212="","",IF(COUNTIF(Finding_List!$A:$A,B1212)&gt;0,"Yes","No"))</f>
        <v/>
      </c>
    </row>
    <row r="1213" spans="1:11" x14ac:dyDescent="0.2">
      <c r="A1213" s="5"/>
      <c r="B1213" s="5"/>
      <c r="C1213" s="5"/>
      <c r="D1213" s="5"/>
      <c r="E1213" s="5"/>
      <c r="F1213" s="5"/>
      <c r="G1213" s="5"/>
      <c r="H1213" s="5"/>
      <c r="I1213" s="10" t="str">
        <f>IF(B1213="","",IF(COUNTIF(FUSE_CI!$A:$A,B1213)&gt;0,"Yes","No"))</f>
        <v/>
      </c>
      <c r="J1213" s="10" t="str">
        <f t="shared" si="18"/>
        <v/>
      </c>
      <c r="K1213" s="10" t="str">
        <f>IF(B1213="","",IF(COUNTIF(Finding_List!$A:$A,B1213)&gt;0,"Yes","No"))</f>
        <v/>
      </c>
    </row>
    <row r="1214" spans="1:11" x14ac:dyDescent="0.2">
      <c r="A1214" s="9"/>
      <c r="B1214" s="9"/>
      <c r="C1214" s="9"/>
      <c r="D1214" s="9"/>
      <c r="E1214" s="9"/>
      <c r="F1214" s="9"/>
      <c r="G1214" s="9"/>
      <c r="H1214" s="9"/>
      <c r="I1214" s="10" t="str">
        <f>IF(B1214="","",IF(COUNTIF(FUSE_CI!$A:$A,B1214)&gt;0,"Yes","No"))</f>
        <v/>
      </c>
      <c r="J1214" s="10" t="str">
        <f t="shared" si="18"/>
        <v/>
      </c>
      <c r="K1214" s="10" t="str">
        <f>IF(B1214="","",IF(COUNTIF(Finding_List!$A:$A,B1214)&gt;0,"Yes","No"))</f>
        <v/>
      </c>
    </row>
    <row r="1215" spans="1:11" x14ac:dyDescent="0.2">
      <c r="A1215" s="5"/>
      <c r="B1215" s="5"/>
      <c r="C1215" s="5"/>
      <c r="D1215" s="5"/>
      <c r="E1215" s="5"/>
      <c r="F1215" s="5"/>
      <c r="G1215" s="5"/>
      <c r="H1215" s="5"/>
      <c r="I1215" s="10" t="str">
        <f>IF(B1215="","",IF(COUNTIF(FUSE_CI!$A:$A,B1215)&gt;0,"Yes","No"))</f>
        <v/>
      </c>
      <c r="J1215" s="10" t="str">
        <f t="shared" si="18"/>
        <v/>
      </c>
      <c r="K1215" s="10" t="str">
        <f>IF(B1215="","",IF(COUNTIF(Finding_List!$A:$A,B1215)&gt;0,"Yes","No"))</f>
        <v/>
      </c>
    </row>
    <row r="1216" spans="1:11" x14ac:dyDescent="0.2">
      <c r="A1216" s="9"/>
      <c r="B1216" s="9"/>
      <c r="C1216" s="9"/>
      <c r="D1216" s="9"/>
      <c r="E1216" s="9"/>
      <c r="F1216" s="9"/>
      <c r="G1216" s="9"/>
      <c r="H1216" s="9"/>
      <c r="I1216" s="10" t="str">
        <f>IF(B1216="","",IF(COUNTIF(FUSE_CI!$A:$A,B1216)&gt;0,"Yes","No"))</f>
        <v/>
      </c>
      <c r="J1216" s="10" t="str">
        <f t="shared" si="18"/>
        <v/>
      </c>
      <c r="K1216" s="10" t="str">
        <f>IF(B1216="","",IF(COUNTIF(Finding_List!$A:$A,B1216)&gt;0,"Yes","No"))</f>
        <v/>
      </c>
    </row>
    <row r="1217" spans="1:11" x14ac:dyDescent="0.2">
      <c r="A1217" s="5"/>
      <c r="B1217" s="5"/>
      <c r="C1217" s="5"/>
      <c r="D1217" s="5"/>
      <c r="E1217" s="5"/>
      <c r="F1217" s="5"/>
      <c r="G1217" s="5"/>
      <c r="H1217" s="5"/>
      <c r="I1217" s="10" t="str">
        <f>IF(B1217="","",IF(COUNTIF(FUSE_CI!$A:$A,B1217)&gt;0,"Yes","No"))</f>
        <v/>
      </c>
      <c r="J1217" s="10" t="str">
        <f t="shared" si="18"/>
        <v/>
      </c>
      <c r="K1217" s="10" t="str">
        <f>IF(B1217="","",IF(COUNTIF(Finding_List!$A:$A,B1217)&gt;0,"Yes","No"))</f>
        <v/>
      </c>
    </row>
    <row r="1218" spans="1:11" x14ac:dyDescent="0.2">
      <c r="A1218" s="9"/>
      <c r="B1218" s="9"/>
      <c r="C1218" s="9"/>
      <c r="D1218" s="9"/>
      <c r="E1218" s="9"/>
      <c r="F1218" s="9"/>
      <c r="G1218" s="9"/>
      <c r="H1218" s="9"/>
      <c r="I1218" s="10" t="str">
        <f>IF(B1218="","",IF(COUNTIF(FUSE_CI!$A:$A,B1218)&gt;0,"Yes","No"))</f>
        <v/>
      </c>
      <c r="J1218" s="10" t="str">
        <f t="shared" si="18"/>
        <v/>
      </c>
      <c r="K1218" s="10" t="str">
        <f>IF(B1218="","",IF(COUNTIF(Finding_List!$A:$A,B1218)&gt;0,"Yes","No"))</f>
        <v/>
      </c>
    </row>
    <row r="1219" spans="1:11" x14ac:dyDescent="0.2">
      <c r="A1219" s="5"/>
      <c r="B1219" s="5"/>
      <c r="C1219" s="5"/>
      <c r="D1219" s="5"/>
      <c r="E1219" s="5"/>
      <c r="F1219" s="5"/>
      <c r="G1219" s="5"/>
      <c r="H1219" s="5"/>
      <c r="I1219" s="10" t="str">
        <f>IF(B1219="","",IF(COUNTIF(FUSE_CI!$A:$A,B1219)&gt;0,"Yes","No"))</f>
        <v/>
      </c>
      <c r="J1219" s="10" t="str">
        <f t="shared" si="18"/>
        <v/>
      </c>
      <c r="K1219" s="10" t="str">
        <f>IF(B1219="","",IF(COUNTIF(Finding_List!$A:$A,B1219)&gt;0,"Yes","No"))</f>
        <v/>
      </c>
    </row>
    <row r="1220" spans="1:11" x14ac:dyDescent="0.2">
      <c r="A1220" s="9"/>
      <c r="B1220" s="9"/>
      <c r="C1220" s="9"/>
      <c r="D1220" s="9"/>
      <c r="E1220" s="9"/>
      <c r="F1220" s="9"/>
      <c r="G1220" s="9"/>
      <c r="H1220" s="9"/>
      <c r="I1220" s="10" t="str">
        <f>IF(B1220="","",IF(COUNTIF(FUSE_CI!$A:$A,B1220)&gt;0,"Yes","No"))</f>
        <v/>
      </c>
      <c r="J1220" s="10" t="str">
        <f t="shared" ref="J1220:J1233" si="19">IF(B1220="","",IF(AND(D1220&lt;&gt;"High",D1220&lt;&gt;"Very High",I1220="Yes",K1220="No"),"Fast Follower","Not Eligible"))</f>
        <v/>
      </c>
      <c r="K1220" s="10" t="str">
        <f>IF(B1220="","",IF(COUNTIF(Finding_List!$A:$A,B1220)&gt;0,"Yes","No"))</f>
        <v/>
      </c>
    </row>
    <row r="1221" spans="1:11" x14ac:dyDescent="0.2">
      <c r="A1221" s="5"/>
      <c r="B1221" s="5"/>
      <c r="C1221" s="5"/>
      <c r="D1221" s="5"/>
      <c r="E1221" s="5"/>
      <c r="F1221" s="5"/>
      <c r="G1221" s="5"/>
      <c r="H1221" s="5"/>
      <c r="I1221" s="10" t="str">
        <f>IF(B1221="","",IF(COUNTIF(FUSE_CI!$A:$A,B1221)&gt;0,"Yes","No"))</f>
        <v/>
      </c>
      <c r="J1221" s="10" t="str">
        <f t="shared" si="19"/>
        <v/>
      </c>
      <c r="K1221" s="10" t="str">
        <f>IF(B1221="","",IF(COUNTIF(Finding_List!$A:$A,B1221)&gt;0,"Yes","No"))</f>
        <v/>
      </c>
    </row>
    <row r="1222" spans="1:11" x14ac:dyDescent="0.2">
      <c r="A1222" s="9"/>
      <c r="B1222" s="9"/>
      <c r="C1222" s="9"/>
      <c r="D1222" s="9"/>
      <c r="E1222" s="9"/>
      <c r="F1222" s="9"/>
      <c r="G1222" s="9"/>
      <c r="H1222" s="9"/>
      <c r="I1222" s="10" t="str">
        <f>IF(B1222="","",IF(COUNTIF(FUSE_CI!$A:$A,B1222)&gt;0,"Yes","No"))</f>
        <v/>
      </c>
      <c r="J1222" s="10" t="str">
        <f t="shared" si="19"/>
        <v/>
      </c>
      <c r="K1222" s="10" t="str">
        <f>IF(B1222="","",IF(COUNTIF(Finding_List!$A:$A,B1222)&gt;0,"Yes","No"))</f>
        <v/>
      </c>
    </row>
    <row r="1223" spans="1:11" x14ac:dyDescent="0.2">
      <c r="A1223" s="5"/>
      <c r="B1223" s="5"/>
      <c r="C1223" s="5"/>
      <c r="D1223" s="5"/>
      <c r="E1223" s="5"/>
      <c r="F1223" s="5"/>
      <c r="G1223" s="5"/>
      <c r="H1223" s="5"/>
      <c r="I1223" s="10" t="str">
        <f>IF(B1223="","",IF(COUNTIF(FUSE_CI!$A:$A,B1223)&gt;0,"Yes","No"))</f>
        <v/>
      </c>
      <c r="J1223" s="10" t="str">
        <f t="shared" si="19"/>
        <v/>
      </c>
      <c r="K1223" s="10" t="str">
        <f>IF(B1223="","",IF(COUNTIF(Finding_List!$A:$A,B1223)&gt;0,"Yes","No"))</f>
        <v/>
      </c>
    </row>
    <row r="1224" spans="1:11" x14ac:dyDescent="0.2">
      <c r="A1224" s="9"/>
      <c r="B1224" s="9"/>
      <c r="C1224" s="9"/>
      <c r="D1224" s="9"/>
      <c r="E1224" s="9"/>
      <c r="F1224" s="9"/>
      <c r="G1224" s="9"/>
      <c r="H1224" s="9"/>
      <c r="I1224" s="10" t="str">
        <f>IF(B1224="","",IF(COUNTIF(FUSE_CI!$A:$A,B1224)&gt;0,"Yes","No"))</f>
        <v/>
      </c>
      <c r="J1224" s="10" t="str">
        <f t="shared" si="19"/>
        <v/>
      </c>
      <c r="K1224" s="10" t="str">
        <f>IF(B1224="","",IF(COUNTIF(Finding_List!$A:$A,B1224)&gt;0,"Yes","No"))</f>
        <v/>
      </c>
    </row>
    <row r="1225" spans="1:11" x14ac:dyDescent="0.2">
      <c r="A1225" s="5"/>
      <c r="B1225" s="5"/>
      <c r="C1225" s="5"/>
      <c r="D1225" s="5"/>
      <c r="E1225" s="5"/>
      <c r="F1225" s="5"/>
      <c r="G1225" s="5"/>
      <c r="H1225" s="5"/>
      <c r="I1225" s="10" t="str">
        <f>IF(B1225="","",IF(COUNTIF(FUSE_CI!$A:$A,B1225)&gt;0,"Yes","No"))</f>
        <v/>
      </c>
      <c r="J1225" s="10" t="str">
        <f t="shared" si="19"/>
        <v/>
      </c>
      <c r="K1225" s="10" t="str">
        <f>IF(B1225="","",IF(COUNTIF(Finding_List!$A:$A,B1225)&gt;0,"Yes","No"))</f>
        <v/>
      </c>
    </row>
    <row r="1226" spans="1:11" x14ac:dyDescent="0.2">
      <c r="A1226" s="9"/>
      <c r="B1226" s="9"/>
      <c r="C1226" s="9"/>
      <c r="D1226" s="9"/>
      <c r="E1226" s="9"/>
      <c r="F1226" s="9"/>
      <c r="G1226" s="9"/>
      <c r="H1226" s="9"/>
      <c r="I1226" s="10" t="str">
        <f>IF(B1226="","",IF(COUNTIF(FUSE_CI!$A:$A,B1226)&gt;0,"Yes","No"))</f>
        <v/>
      </c>
      <c r="J1226" s="10" t="str">
        <f t="shared" si="19"/>
        <v/>
      </c>
      <c r="K1226" s="10" t="str">
        <f>IF(B1226="","",IF(COUNTIF(Finding_List!$A:$A,B1226)&gt;0,"Yes","No"))</f>
        <v/>
      </c>
    </row>
    <row r="1227" spans="1:11" x14ac:dyDescent="0.2">
      <c r="A1227" s="5"/>
      <c r="B1227" s="5"/>
      <c r="C1227" s="5"/>
      <c r="D1227" s="5"/>
      <c r="E1227" s="5"/>
      <c r="F1227" s="5"/>
      <c r="G1227" s="5"/>
      <c r="H1227" s="5"/>
      <c r="I1227" s="10" t="str">
        <f>IF(B1227="","",IF(COUNTIF(FUSE_CI!$A:$A,B1227)&gt;0,"Yes","No"))</f>
        <v/>
      </c>
      <c r="J1227" s="10" t="str">
        <f t="shared" si="19"/>
        <v/>
      </c>
      <c r="K1227" s="10" t="str">
        <f>IF(B1227="","",IF(COUNTIF(Finding_List!$A:$A,B1227)&gt;0,"Yes","No"))</f>
        <v/>
      </c>
    </row>
    <row r="1228" spans="1:11" x14ac:dyDescent="0.2">
      <c r="A1228" s="9"/>
      <c r="B1228" s="9"/>
      <c r="C1228" s="9"/>
      <c r="D1228" s="9"/>
      <c r="E1228" s="9"/>
      <c r="F1228" s="9"/>
      <c r="G1228" s="9"/>
      <c r="H1228" s="9"/>
      <c r="I1228" s="10" t="str">
        <f>IF(B1228="","",IF(COUNTIF(FUSE_CI!$A:$A,B1228)&gt;0,"Yes","No"))</f>
        <v/>
      </c>
      <c r="J1228" s="10" t="str">
        <f t="shared" si="19"/>
        <v/>
      </c>
      <c r="K1228" s="10" t="str">
        <f>IF(B1228="","",IF(COUNTIF(Finding_List!$A:$A,B1228)&gt;0,"Yes","No"))</f>
        <v/>
      </c>
    </row>
    <row r="1229" spans="1:11" x14ac:dyDescent="0.2">
      <c r="A1229" s="5"/>
      <c r="B1229" s="5"/>
      <c r="C1229" s="5"/>
      <c r="D1229" s="5"/>
      <c r="E1229" s="5"/>
      <c r="F1229" s="5"/>
      <c r="G1229" s="5"/>
      <c r="H1229" s="5"/>
      <c r="I1229" s="10" t="str">
        <f>IF(B1229="","",IF(COUNTIF(FUSE_CI!$A:$A,B1229)&gt;0,"Yes","No"))</f>
        <v/>
      </c>
      <c r="J1229" s="10" t="str">
        <f t="shared" si="19"/>
        <v/>
      </c>
      <c r="K1229" s="10" t="str">
        <f>IF(B1229="","",IF(COUNTIF(Finding_List!$A:$A,B1229)&gt;0,"Yes","No"))</f>
        <v/>
      </c>
    </row>
    <row r="1230" spans="1:11" x14ac:dyDescent="0.2">
      <c r="A1230" s="9"/>
      <c r="B1230" s="9"/>
      <c r="C1230" s="9"/>
      <c r="D1230" s="9"/>
      <c r="E1230" s="9"/>
      <c r="F1230" s="9"/>
      <c r="G1230" s="9"/>
      <c r="H1230" s="9"/>
      <c r="I1230" s="10" t="str">
        <f>IF(B1230="","",IF(COUNTIF(FUSE_CI!$A:$A,B1230)&gt;0,"Yes","No"))</f>
        <v/>
      </c>
      <c r="J1230" s="10" t="str">
        <f t="shared" si="19"/>
        <v/>
      </c>
      <c r="K1230" s="10" t="str">
        <f>IF(B1230="","",IF(COUNTIF(Finding_List!$A:$A,B1230)&gt;0,"Yes","No"))</f>
        <v/>
      </c>
    </row>
    <row r="1231" spans="1:11" x14ac:dyDescent="0.2">
      <c r="A1231" s="5"/>
      <c r="B1231" s="5"/>
      <c r="C1231" s="5"/>
      <c r="D1231" s="5"/>
      <c r="E1231" s="5"/>
      <c r="F1231" s="5"/>
      <c r="G1231" s="5"/>
      <c r="H1231" s="5"/>
      <c r="I1231" s="10" t="str">
        <f>IF(B1231="","",IF(COUNTIF(FUSE_CI!$A:$A,B1231)&gt;0,"Yes","No"))</f>
        <v/>
      </c>
      <c r="J1231" s="10" t="str">
        <f t="shared" si="19"/>
        <v/>
      </c>
      <c r="K1231" s="10" t="str">
        <f>IF(B1231="","",IF(COUNTIF(Finding_List!$A:$A,B1231)&gt;0,"Yes","No"))</f>
        <v/>
      </c>
    </row>
    <row r="1232" spans="1:11" x14ac:dyDescent="0.2">
      <c r="A1232" s="9"/>
      <c r="B1232" s="9"/>
      <c r="C1232" s="9"/>
      <c r="D1232" s="9"/>
      <c r="E1232" s="9"/>
      <c r="F1232" s="9"/>
      <c r="G1232" s="9"/>
      <c r="H1232" s="9"/>
      <c r="I1232" s="10" t="str">
        <f>IF(B1232="","",IF(COUNTIF(FUSE_CI!$A:$A,B1232)&gt;0,"Yes","No"))</f>
        <v/>
      </c>
      <c r="J1232" s="10" t="str">
        <f t="shared" si="19"/>
        <v/>
      </c>
      <c r="K1232" s="10" t="str">
        <f>IF(B1232="","",IF(COUNTIF(Finding_List!$A:$A,B1232)&gt;0,"Yes","No"))</f>
        <v/>
      </c>
    </row>
    <row r="1233" spans="1:11" x14ac:dyDescent="0.2">
      <c r="A1233" s="5"/>
      <c r="B1233" s="5"/>
      <c r="C1233" s="5"/>
      <c r="D1233" s="5"/>
      <c r="E1233" s="5"/>
      <c r="F1233" s="5"/>
      <c r="G1233" s="5"/>
      <c r="H1233" s="5"/>
      <c r="I1233" s="10" t="str">
        <f>IF(B1233="","",IF(COUNTIF(FUSE_CI!$A:$A,B1233)&gt;0,"Yes","No"))</f>
        <v/>
      </c>
      <c r="J1233" s="10" t="str">
        <f t="shared" si="19"/>
        <v/>
      </c>
      <c r="K1233" s="10" t="str">
        <f>IF(B1233="","",IF(COUNTIF(Finding_List!$A:$A,B1233)&gt;0,"Yes","No"))</f>
        <v/>
      </c>
    </row>
  </sheetData>
  <mergeCells count="2">
    <mergeCell ref="A1:K1"/>
    <mergeCell ref="A3:K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3"/>
  <sheetViews>
    <sheetView showGridLines="0" zoomScaleNormal="100" workbookViewId="0">
      <selection sqref="A1:N1"/>
    </sheetView>
  </sheetViews>
  <sheetFormatPr baseColWidth="10" defaultColWidth="8.6640625" defaultRowHeight="15" x14ac:dyDescent="0.2"/>
  <cols>
    <col min="1" max="1" width="38" customWidth="1"/>
    <col min="2" max="2" width="20" customWidth="1"/>
    <col min="3" max="3" width="14" customWidth="1"/>
    <col min="4" max="4" width="12" customWidth="1"/>
    <col min="5" max="5" width="25" customWidth="1"/>
    <col min="6" max="6" width="22" customWidth="1"/>
    <col min="7" max="7" width="14" customWidth="1"/>
    <col min="8" max="8" width="22" customWidth="1"/>
    <col min="9" max="9" width="18" customWidth="1"/>
    <col min="10" max="10" width="28" customWidth="1"/>
    <col min="11" max="11" width="24" customWidth="1"/>
    <col min="12" max="13" width="14" customWidth="1"/>
    <col min="14" max="14" width="16" customWidth="1"/>
  </cols>
  <sheetData>
    <row r="1" spans="1:14" ht="30" customHeight="1" x14ac:dyDescent="0.2">
      <c r="A1" s="28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34.5" customHeight="1" x14ac:dyDescent="0.2">
      <c r="A2" s="11" t="s">
        <v>44</v>
      </c>
      <c r="B2" s="11" t="s">
        <v>45</v>
      </c>
      <c r="C2" s="11" t="s">
        <v>11</v>
      </c>
      <c r="D2" s="11" t="s">
        <v>46</v>
      </c>
      <c r="E2" s="11" t="s">
        <v>47</v>
      </c>
      <c r="F2" s="11" t="s">
        <v>48</v>
      </c>
      <c r="G2" s="11" t="s">
        <v>49</v>
      </c>
      <c r="H2" s="11" t="s">
        <v>50</v>
      </c>
      <c r="I2" s="11" t="s">
        <v>51</v>
      </c>
      <c r="J2" s="11" t="s">
        <v>52</v>
      </c>
      <c r="K2" s="11" t="s">
        <v>53</v>
      </c>
      <c r="L2" s="11" t="s">
        <v>54</v>
      </c>
      <c r="M2" s="11" t="s">
        <v>55</v>
      </c>
      <c r="N2" s="11" t="s">
        <v>56</v>
      </c>
    </row>
    <row r="3" spans="1:14" ht="19.5" customHeight="1" x14ac:dyDescent="0.2">
      <c r="A3" s="27" t="s">
        <v>57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">
      <c r="A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High"}))*(All_Risk_Apps!$K$4:$K$1233="No")*(All_Risk_Apps!$A$4:$A$1233&lt;&gt;"")),1)),"")</f>
        <v/>
      </c>
      <c r="B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High"}))*(All_Risk_Apps!$K$4:$K$1233="No")*(All_Risk_Apps!$A$4:$A$1233&lt;&gt;"")),1)),"")</f>
        <v/>
      </c>
      <c r="C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High"}))*(All_Risk_Apps!$K$4:$K$1233="No")*(All_Risk_Apps!$A$4:$A$1233&lt;&gt;"")),1)),"")</f>
        <v/>
      </c>
      <c r="D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High"}))*(All_Risk_Apps!$K$4:$K$1233="No")*(All_Risk_Apps!$A$4:$A$1233&lt;&gt;"")),1)),"")</f>
        <v/>
      </c>
      <c r="E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High"}))*(All_Risk_Apps!$K$4:$K$1233="No")*(All_Risk_Apps!$A$4:$A$1233&lt;&gt;"")),1)),"")</f>
        <v/>
      </c>
      <c r="F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High"}))*(All_Risk_Apps!$K$4:$K$1233="No")*(All_Risk_Apps!$A$4:$A$1233&lt;&gt;"")),1)),"")</f>
        <v/>
      </c>
      <c r="G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High"}))*(All_Risk_Apps!$K$4:$K$1233="No")*(All_Risk_Apps!$A$4:$A$1233&lt;&gt;"")),1)),"")</f>
        <v/>
      </c>
      <c r="H4" s="7" t="str">
        <f ca="1">IF(B4="","",IFERROR(INDEX(Server_Inventory!$R:$R,MATCH(B4,Server_Inventory!$Z:$Z,0)),"Not Found"))</f>
        <v/>
      </c>
      <c r="I4" s="7" t="str">
        <f ca="1">IF(B4="","",IFERROR(INDEX(Server_Inventory!$S:$S,MATCH(B4,Server_Inventory!$Z:$Z,0)),"Not Found"))</f>
        <v/>
      </c>
      <c r="J4" s="7" t="str">
        <f ca="1">IF(B4="","",COUNTIFS(Server_Inventory!$Z:$Z,B4,Server_Inventory!$P:$P,"R-RETIRED_IN_CMDB"))</f>
        <v/>
      </c>
      <c r="K4" s="7" t="str">
        <f ca="1">IF(B4="","",IFERROR(INDEX(Container_Inventory!$F:$F,MATCH(B4,Container_Inventory!$L:$L,0)),"Not Found"))</f>
        <v/>
      </c>
      <c r="L4" s="7" t="str">
        <f ca="1">IF(B4="","",IF(COUNTIF(Finding_List!$A:$A,B4)&gt;0,"Yes","No"))</f>
        <v/>
      </c>
      <c r="M4" s="7" t="str">
        <f ca="1">IF(B4="","",COUNTIF(Server_Inventory!$Z:$Z,B4))</f>
        <v/>
      </c>
      <c r="N4" s="7" t="str">
        <f ca="1">IF(B4="","",COUNTIF(Container_Inventory!$L:$L,B4))</f>
        <v/>
      </c>
    </row>
    <row r="5" spans="1:14" x14ac:dyDescent="0.2">
      <c r="A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High"}))*(All_Risk_Apps!$K$4:$K$1233="No")*(All_Risk_Apps!$A$4:$A$1233&lt;&gt;"")),2)),"")</f>
        <v/>
      </c>
      <c r="B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High"}))*(All_Risk_Apps!$K$4:$K$1233="No")*(All_Risk_Apps!$A$4:$A$1233&lt;&gt;"")),2)),"")</f>
        <v/>
      </c>
      <c r="C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High"}))*(All_Risk_Apps!$K$4:$K$1233="No")*(All_Risk_Apps!$A$4:$A$1233&lt;&gt;"")),2)),"")</f>
        <v/>
      </c>
      <c r="D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High"}))*(All_Risk_Apps!$K$4:$K$1233="No")*(All_Risk_Apps!$A$4:$A$1233&lt;&gt;"")),2)),"")</f>
        <v/>
      </c>
      <c r="E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High"}))*(All_Risk_Apps!$K$4:$K$1233="No")*(All_Risk_Apps!$A$4:$A$1233&lt;&gt;"")),2)),"")</f>
        <v/>
      </c>
      <c r="F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High"}))*(All_Risk_Apps!$K$4:$K$1233="No")*(All_Risk_Apps!$A$4:$A$1233&lt;&gt;"")),2)),"")</f>
        <v/>
      </c>
      <c r="G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High"}))*(All_Risk_Apps!$K$4:$K$1233="No")*(All_Risk_Apps!$A$4:$A$1233&lt;&gt;"")),2)),"")</f>
        <v/>
      </c>
      <c r="H5" s="12" t="str">
        <f ca="1">IF(B5="","",IFERROR(INDEX(Server_Inventory!$R:$R,MATCH(B5,Server_Inventory!$Z:$Z,0)),"Not Found"))</f>
        <v/>
      </c>
      <c r="I5" s="12" t="str">
        <f ca="1">IF(B5="","",IFERROR(INDEX(Server_Inventory!$S:$S,MATCH(B5,Server_Inventory!$Z:$Z,0)),"Not Found"))</f>
        <v/>
      </c>
      <c r="J5" s="12" t="str">
        <f ca="1">IF(B5="","",COUNTIFS(Server_Inventory!$Z:$Z,B5,Server_Inventory!$P:$P,"R-RETIRED_IN_CMDB"))</f>
        <v/>
      </c>
      <c r="K5" s="12" t="str">
        <f ca="1">IF(B5="","",IFERROR(INDEX(Container_Inventory!$F:$F,MATCH(B5,Container_Inventory!$L:$L,0)),"Not Found"))</f>
        <v/>
      </c>
      <c r="L5" s="12" t="str">
        <f ca="1">IF(B5="","",IF(COUNTIF(Finding_List!$A:$A,B5)&gt;0,"Yes","No"))</f>
        <v/>
      </c>
      <c r="M5" s="12" t="str">
        <f ca="1">IF(B5="","",COUNTIF(Server_Inventory!$Z:$Z,B5))</f>
        <v/>
      </c>
      <c r="N5" s="12" t="str">
        <f ca="1">IF(B5="","",COUNTIF(Container_Inventory!$L:$L,B5))</f>
        <v/>
      </c>
    </row>
    <row r="6" spans="1:14" x14ac:dyDescent="0.2">
      <c r="A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High"}))*(All_Risk_Apps!$K$4:$K$1233="No")*(All_Risk_Apps!$A$4:$A$1233&lt;&gt;"")),3)),"")</f>
        <v/>
      </c>
      <c r="B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High"}))*(All_Risk_Apps!$K$4:$K$1233="No")*(All_Risk_Apps!$A$4:$A$1233&lt;&gt;"")),3)),"")</f>
        <v/>
      </c>
      <c r="C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High"}))*(All_Risk_Apps!$K$4:$K$1233="No")*(All_Risk_Apps!$A$4:$A$1233&lt;&gt;"")),3)),"")</f>
        <v/>
      </c>
      <c r="D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High"}))*(All_Risk_Apps!$K$4:$K$1233="No")*(All_Risk_Apps!$A$4:$A$1233&lt;&gt;"")),3)),"")</f>
        <v/>
      </c>
      <c r="E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High"}))*(All_Risk_Apps!$K$4:$K$1233="No")*(All_Risk_Apps!$A$4:$A$1233&lt;&gt;"")),3)),"")</f>
        <v/>
      </c>
      <c r="F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High"}))*(All_Risk_Apps!$K$4:$K$1233="No")*(All_Risk_Apps!$A$4:$A$1233&lt;&gt;"")),3)),"")</f>
        <v/>
      </c>
      <c r="G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High"}))*(All_Risk_Apps!$K$4:$K$1233="No")*(All_Risk_Apps!$A$4:$A$1233&lt;&gt;"")),3)),"")</f>
        <v/>
      </c>
      <c r="H6" s="7" t="str">
        <f ca="1">IF(B6="","",IFERROR(INDEX(Server_Inventory!$R:$R,MATCH(B6,Server_Inventory!$Z:$Z,0)),"Not Found"))</f>
        <v/>
      </c>
      <c r="I6" s="7" t="str">
        <f ca="1">IF(B6="","",IFERROR(INDEX(Server_Inventory!$S:$S,MATCH(B6,Server_Inventory!$Z:$Z,0)),"Not Found"))</f>
        <v/>
      </c>
      <c r="J6" s="7" t="str">
        <f ca="1">IF(B6="","",COUNTIFS(Server_Inventory!$Z:$Z,B6,Server_Inventory!$P:$P,"R-RETIRED_IN_CMDB"))</f>
        <v/>
      </c>
      <c r="K6" s="7" t="str">
        <f ca="1">IF(B6="","",IFERROR(INDEX(Container_Inventory!$F:$F,MATCH(B6,Container_Inventory!$L:$L,0)),"Not Found"))</f>
        <v/>
      </c>
      <c r="L6" s="7" t="str">
        <f ca="1">IF(B6="","",IF(COUNTIF(Finding_List!$A:$A,B6)&gt;0,"Yes","No"))</f>
        <v/>
      </c>
      <c r="M6" s="7" t="str">
        <f ca="1">IF(B6="","",COUNTIF(Server_Inventory!$Z:$Z,B6))</f>
        <v/>
      </c>
      <c r="N6" s="7" t="str">
        <f ca="1">IF(B6="","",COUNTIF(Container_Inventory!$L:$L,B6))</f>
        <v/>
      </c>
    </row>
    <row r="7" spans="1:14" x14ac:dyDescent="0.2">
      <c r="A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High"}))*(All_Risk_Apps!$K$4:$K$1233="No")*(All_Risk_Apps!$A$4:$A$1233&lt;&gt;"")),4)),"")</f>
        <v/>
      </c>
      <c r="B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High"}))*(All_Risk_Apps!$K$4:$K$1233="No")*(All_Risk_Apps!$A$4:$A$1233&lt;&gt;"")),4)),"")</f>
        <v/>
      </c>
      <c r="C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High"}))*(All_Risk_Apps!$K$4:$K$1233="No")*(All_Risk_Apps!$A$4:$A$1233&lt;&gt;"")),4)),"")</f>
        <v/>
      </c>
      <c r="D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High"}))*(All_Risk_Apps!$K$4:$K$1233="No")*(All_Risk_Apps!$A$4:$A$1233&lt;&gt;"")),4)),"")</f>
        <v/>
      </c>
      <c r="E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High"}))*(All_Risk_Apps!$K$4:$K$1233="No")*(All_Risk_Apps!$A$4:$A$1233&lt;&gt;"")),4)),"")</f>
        <v/>
      </c>
      <c r="F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High"}))*(All_Risk_Apps!$K$4:$K$1233="No")*(All_Risk_Apps!$A$4:$A$1233&lt;&gt;"")),4)),"")</f>
        <v/>
      </c>
      <c r="G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High"}))*(All_Risk_Apps!$K$4:$K$1233="No")*(All_Risk_Apps!$A$4:$A$1233&lt;&gt;"")),4)),"")</f>
        <v/>
      </c>
      <c r="H7" s="12" t="str">
        <f ca="1">IF(B7="","",IFERROR(INDEX(Server_Inventory!$R:$R,MATCH(B7,Server_Inventory!$Z:$Z,0)),"Not Found"))</f>
        <v/>
      </c>
      <c r="I7" s="12" t="str">
        <f ca="1">IF(B7="","",IFERROR(INDEX(Server_Inventory!$S:$S,MATCH(B7,Server_Inventory!$Z:$Z,0)),"Not Found"))</f>
        <v/>
      </c>
      <c r="J7" s="12" t="str">
        <f ca="1">IF(B7="","",COUNTIFS(Server_Inventory!$Z:$Z,B7,Server_Inventory!$P:$P,"R-RETIRED_IN_CMDB"))</f>
        <v/>
      </c>
      <c r="K7" s="12" t="str">
        <f ca="1">IF(B7="","",IFERROR(INDEX(Container_Inventory!$F:$F,MATCH(B7,Container_Inventory!$L:$L,0)),"Not Found"))</f>
        <v/>
      </c>
      <c r="L7" s="12" t="str">
        <f ca="1">IF(B7="","",IF(COUNTIF(Finding_List!$A:$A,B7)&gt;0,"Yes","No"))</f>
        <v/>
      </c>
      <c r="M7" s="12" t="str">
        <f ca="1">IF(B7="","",COUNTIF(Server_Inventory!$Z:$Z,B7))</f>
        <v/>
      </c>
      <c r="N7" s="12" t="str">
        <f ca="1">IF(B7="","",COUNTIF(Container_Inventory!$L:$L,B7))</f>
        <v/>
      </c>
    </row>
    <row r="8" spans="1:14" x14ac:dyDescent="0.2">
      <c r="A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High"}))*(All_Risk_Apps!$K$4:$K$1233="No")*(All_Risk_Apps!$A$4:$A$1233&lt;&gt;"")),5)),"")</f>
        <v/>
      </c>
      <c r="B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High"}))*(All_Risk_Apps!$K$4:$K$1233="No")*(All_Risk_Apps!$A$4:$A$1233&lt;&gt;"")),5)),"")</f>
        <v/>
      </c>
      <c r="C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High"}))*(All_Risk_Apps!$K$4:$K$1233="No")*(All_Risk_Apps!$A$4:$A$1233&lt;&gt;"")),5)),"")</f>
        <v/>
      </c>
      <c r="D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High"}))*(All_Risk_Apps!$K$4:$K$1233="No")*(All_Risk_Apps!$A$4:$A$1233&lt;&gt;"")),5)),"")</f>
        <v/>
      </c>
      <c r="E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High"}))*(All_Risk_Apps!$K$4:$K$1233="No")*(All_Risk_Apps!$A$4:$A$1233&lt;&gt;"")),5)),"")</f>
        <v/>
      </c>
      <c r="F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High"}))*(All_Risk_Apps!$K$4:$K$1233="No")*(All_Risk_Apps!$A$4:$A$1233&lt;&gt;"")),5)),"")</f>
        <v/>
      </c>
      <c r="G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High"}))*(All_Risk_Apps!$K$4:$K$1233="No")*(All_Risk_Apps!$A$4:$A$1233&lt;&gt;"")),5)),"")</f>
        <v/>
      </c>
      <c r="H8" s="7" t="str">
        <f ca="1">IF(B8="","",IFERROR(INDEX(Server_Inventory!$R:$R,MATCH(B8,Server_Inventory!$Z:$Z,0)),"Not Found"))</f>
        <v/>
      </c>
      <c r="I8" s="7" t="str">
        <f ca="1">IF(B8="","",IFERROR(INDEX(Server_Inventory!$S:$S,MATCH(B8,Server_Inventory!$Z:$Z,0)),"Not Found"))</f>
        <v/>
      </c>
      <c r="J8" s="7" t="str">
        <f ca="1">IF(B8="","",COUNTIFS(Server_Inventory!$Z:$Z,B8,Server_Inventory!$P:$P,"R-RETIRED_IN_CMDB"))</f>
        <v/>
      </c>
      <c r="K8" s="7" t="str">
        <f ca="1">IF(B8="","",IFERROR(INDEX(Container_Inventory!$F:$F,MATCH(B8,Container_Inventory!$L:$L,0)),"Not Found"))</f>
        <v/>
      </c>
      <c r="L8" s="7" t="str">
        <f ca="1">IF(B8="","",IF(COUNTIF(Finding_List!$A:$A,B8)&gt;0,"Yes","No"))</f>
        <v/>
      </c>
      <c r="M8" s="7" t="str">
        <f ca="1">IF(B8="","",COUNTIF(Server_Inventory!$Z:$Z,B8))</f>
        <v/>
      </c>
      <c r="N8" s="7" t="str">
        <f ca="1">IF(B8="","",COUNTIF(Container_Inventory!$L:$L,B8))</f>
        <v/>
      </c>
    </row>
    <row r="9" spans="1:14" x14ac:dyDescent="0.2">
      <c r="A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High"}))*(All_Risk_Apps!$K$4:$K$1233="No")*(All_Risk_Apps!$A$4:$A$1233&lt;&gt;"")),6)),"")</f>
        <v/>
      </c>
      <c r="B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High"}))*(All_Risk_Apps!$K$4:$K$1233="No")*(All_Risk_Apps!$A$4:$A$1233&lt;&gt;"")),6)),"")</f>
        <v/>
      </c>
      <c r="C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High"}))*(All_Risk_Apps!$K$4:$K$1233="No")*(All_Risk_Apps!$A$4:$A$1233&lt;&gt;"")),6)),"")</f>
        <v/>
      </c>
      <c r="D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High"}))*(All_Risk_Apps!$K$4:$K$1233="No")*(All_Risk_Apps!$A$4:$A$1233&lt;&gt;"")),6)),"")</f>
        <v/>
      </c>
      <c r="E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High"}))*(All_Risk_Apps!$K$4:$K$1233="No")*(All_Risk_Apps!$A$4:$A$1233&lt;&gt;"")),6)),"")</f>
        <v/>
      </c>
      <c r="F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High"}))*(All_Risk_Apps!$K$4:$K$1233="No")*(All_Risk_Apps!$A$4:$A$1233&lt;&gt;"")),6)),"")</f>
        <v/>
      </c>
      <c r="G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High"}))*(All_Risk_Apps!$K$4:$K$1233="No")*(All_Risk_Apps!$A$4:$A$1233&lt;&gt;"")),6)),"")</f>
        <v/>
      </c>
      <c r="H9" s="12" t="str">
        <f ca="1">IF(B9="","",IFERROR(INDEX(Server_Inventory!$R:$R,MATCH(B9,Server_Inventory!$Z:$Z,0)),"Not Found"))</f>
        <v/>
      </c>
      <c r="I9" s="12" t="str">
        <f ca="1">IF(B9="","",IFERROR(INDEX(Server_Inventory!$S:$S,MATCH(B9,Server_Inventory!$Z:$Z,0)),"Not Found"))</f>
        <v/>
      </c>
      <c r="J9" s="12" t="str">
        <f ca="1">IF(B9="","",COUNTIFS(Server_Inventory!$Z:$Z,B9,Server_Inventory!$P:$P,"R-RETIRED_IN_CMDB"))</f>
        <v/>
      </c>
      <c r="K9" s="12" t="str">
        <f ca="1">IF(B9="","",IFERROR(INDEX(Container_Inventory!$F:$F,MATCH(B9,Container_Inventory!$L:$L,0)),"Not Found"))</f>
        <v/>
      </c>
      <c r="L9" s="12" t="str">
        <f ca="1">IF(B9="","",IF(COUNTIF(Finding_List!$A:$A,B9)&gt;0,"Yes","No"))</f>
        <v/>
      </c>
      <c r="M9" s="12" t="str">
        <f ca="1">IF(B9="","",COUNTIF(Server_Inventory!$Z:$Z,B9))</f>
        <v/>
      </c>
      <c r="N9" s="12" t="str">
        <f ca="1">IF(B9="","",COUNTIF(Container_Inventory!$L:$L,B9))</f>
        <v/>
      </c>
    </row>
    <row r="10" spans="1:14" x14ac:dyDescent="0.2">
      <c r="A1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High"}))*(All_Risk_Apps!$K$4:$K$1233="No")*(All_Risk_Apps!$A$4:$A$1233&lt;&gt;"")),7)),"")</f>
        <v/>
      </c>
      <c r="B1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High"}))*(All_Risk_Apps!$K$4:$K$1233="No")*(All_Risk_Apps!$A$4:$A$1233&lt;&gt;"")),7)),"")</f>
        <v/>
      </c>
      <c r="C1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High"}))*(All_Risk_Apps!$K$4:$K$1233="No")*(All_Risk_Apps!$A$4:$A$1233&lt;&gt;"")),7)),"")</f>
        <v/>
      </c>
      <c r="D1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High"}))*(All_Risk_Apps!$K$4:$K$1233="No")*(All_Risk_Apps!$A$4:$A$1233&lt;&gt;"")),7)),"")</f>
        <v/>
      </c>
      <c r="E1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High"}))*(All_Risk_Apps!$K$4:$K$1233="No")*(All_Risk_Apps!$A$4:$A$1233&lt;&gt;"")),7)),"")</f>
        <v/>
      </c>
      <c r="F1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High"}))*(All_Risk_Apps!$K$4:$K$1233="No")*(All_Risk_Apps!$A$4:$A$1233&lt;&gt;"")),7)),"")</f>
        <v/>
      </c>
      <c r="G1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High"}))*(All_Risk_Apps!$K$4:$K$1233="No")*(All_Risk_Apps!$A$4:$A$1233&lt;&gt;"")),7)),"")</f>
        <v/>
      </c>
      <c r="H10" s="7" t="str">
        <f ca="1">IF(B10="","",IFERROR(INDEX(Server_Inventory!$R:$R,MATCH(B10,Server_Inventory!$Z:$Z,0)),"Not Found"))</f>
        <v/>
      </c>
      <c r="I10" s="7" t="str">
        <f ca="1">IF(B10="","",IFERROR(INDEX(Server_Inventory!$S:$S,MATCH(B10,Server_Inventory!$Z:$Z,0)),"Not Found"))</f>
        <v/>
      </c>
      <c r="J10" s="7" t="str">
        <f ca="1">IF(B10="","",COUNTIFS(Server_Inventory!$Z:$Z,B10,Server_Inventory!$P:$P,"R-RETIRED_IN_CMDB"))</f>
        <v/>
      </c>
      <c r="K10" s="7" t="str">
        <f ca="1">IF(B10="","",IFERROR(INDEX(Container_Inventory!$F:$F,MATCH(B10,Container_Inventory!$L:$L,0)),"Not Found"))</f>
        <v/>
      </c>
      <c r="L10" s="7" t="str">
        <f ca="1">IF(B10="","",IF(COUNTIF(Finding_List!$A:$A,B10)&gt;0,"Yes","No"))</f>
        <v/>
      </c>
      <c r="M10" s="7" t="str">
        <f ca="1">IF(B10="","",COUNTIF(Server_Inventory!$Z:$Z,B10))</f>
        <v/>
      </c>
      <c r="N10" s="7" t="str">
        <f ca="1">IF(B10="","",COUNTIF(Container_Inventory!$L:$L,B10))</f>
        <v/>
      </c>
    </row>
    <row r="11" spans="1:14" x14ac:dyDescent="0.2">
      <c r="A1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High"}))*(All_Risk_Apps!$K$4:$K$1233="No")*(All_Risk_Apps!$A$4:$A$1233&lt;&gt;"")),8)),"")</f>
        <v/>
      </c>
      <c r="B1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High"}))*(All_Risk_Apps!$K$4:$K$1233="No")*(All_Risk_Apps!$A$4:$A$1233&lt;&gt;"")),8)),"")</f>
        <v/>
      </c>
      <c r="C1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High"}))*(All_Risk_Apps!$K$4:$K$1233="No")*(All_Risk_Apps!$A$4:$A$1233&lt;&gt;"")),8)),"")</f>
        <v/>
      </c>
      <c r="D1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High"}))*(All_Risk_Apps!$K$4:$K$1233="No")*(All_Risk_Apps!$A$4:$A$1233&lt;&gt;"")),8)),"")</f>
        <v/>
      </c>
      <c r="E1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High"}))*(All_Risk_Apps!$K$4:$K$1233="No")*(All_Risk_Apps!$A$4:$A$1233&lt;&gt;"")),8)),"")</f>
        <v/>
      </c>
      <c r="F1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High"}))*(All_Risk_Apps!$K$4:$K$1233="No")*(All_Risk_Apps!$A$4:$A$1233&lt;&gt;"")),8)),"")</f>
        <v/>
      </c>
      <c r="G1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High"}))*(All_Risk_Apps!$K$4:$K$1233="No")*(All_Risk_Apps!$A$4:$A$1233&lt;&gt;"")),8)),"")</f>
        <v/>
      </c>
      <c r="H11" s="12" t="str">
        <f ca="1">IF(B11="","",IFERROR(INDEX(Server_Inventory!$R:$R,MATCH(B11,Server_Inventory!$Z:$Z,0)),"Not Found"))</f>
        <v/>
      </c>
      <c r="I11" s="12" t="str">
        <f ca="1">IF(B11="","",IFERROR(INDEX(Server_Inventory!$S:$S,MATCH(B11,Server_Inventory!$Z:$Z,0)),"Not Found"))</f>
        <v/>
      </c>
      <c r="J11" s="12" t="str">
        <f ca="1">IF(B11="","",COUNTIFS(Server_Inventory!$Z:$Z,B11,Server_Inventory!$P:$P,"R-RETIRED_IN_CMDB"))</f>
        <v/>
      </c>
      <c r="K11" s="12" t="str">
        <f ca="1">IF(B11="","",IFERROR(INDEX(Container_Inventory!$F:$F,MATCH(B11,Container_Inventory!$L:$L,0)),"Not Found"))</f>
        <v/>
      </c>
      <c r="L11" s="12" t="str">
        <f ca="1">IF(B11="","",IF(COUNTIF(Finding_List!$A:$A,B11)&gt;0,"Yes","No"))</f>
        <v/>
      </c>
      <c r="M11" s="12" t="str">
        <f ca="1">IF(B11="","",COUNTIF(Server_Inventory!$Z:$Z,B11))</f>
        <v/>
      </c>
      <c r="N11" s="12" t="str">
        <f ca="1">IF(B11="","",COUNTIF(Container_Inventory!$L:$L,B11))</f>
        <v/>
      </c>
    </row>
    <row r="12" spans="1:14" x14ac:dyDescent="0.2">
      <c r="A1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High"}))*(All_Risk_Apps!$K$4:$K$1233="No")*(All_Risk_Apps!$A$4:$A$1233&lt;&gt;"")),9)),"")</f>
        <v/>
      </c>
      <c r="B1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High"}))*(All_Risk_Apps!$K$4:$K$1233="No")*(All_Risk_Apps!$A$4:$A$1233&lt;&gt;"")),9)),"")</f>
        <v/>
      </c>
      <c r="C1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High"}))*(All_Risk_Apps!$K$4:$K$1233="No")*(All_Risk_Apps!$A$4:$A$1233&lt;&gt;"")),9)),"")</f>
        <v/>
      </c>
      <c r="D1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High"}))*(All_Risk_Apps!$K$4:$K$1233="No")*(All_Risk_Apps!$A$4:$A$1233&lt;&gt;"")),9)),"")</f>
        <v/>
      </c>
      <c r="E1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High"}))*(All_Risk_Apps!$K$4:$K$1233="No")*(All_Risk_Apps!$A$4:$A$1233&lt;&gt;"")),9)),"")</f>
        <v/>
      </c>
      <c r="F1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High"}))*(All_Risk_Apps!$K$4:$K$1233="No")*(All_Risk_Apps!$A$4:$A$1233&lt;&gt;"")),9)),"")</f>
        <v/>
      </c>
      <c r="G1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High"}))*(All_Risk_Apps!$K$4:$K$1233="No")*(All_Risk_Apps!$A$4:$A$1233&lt;&gt;"")),9)),"")</f>
        <v/>
      </c>
      <c r="H12" s="7" t="str">
        <f ca="1">IF(B12="","",IFERROR(INDEX(Server_Inventory!$R:$R,MATCH(B12,Server_Inventory!$Z:$Z,0)),"Not Found"))</f>
        <v/>
      </c>
      <c r="I12" s="7" t="str">
        <f ca="1">IF(B12="","",IFERROR(INDEX(Server_Inventory!$S:$S,MATCH(B12,Server_Inventory!$Z:$Z,0)),"Not Found"))</f>
        <v/>
      </c>
      <c r="J12" s="7" t="str">
        <f ca="1">IF(B12="","",COUNTIFS(Server_Inventory!$Z:$Z,B12,Server_Inventory!$P:$P,"R-RETIRED_IN_CMDB"))</f>
        <v/>
      </c>
      <c r="K12" s="7" t="str">
        <f ca="1">IF(B12="","",IFERROR(INDEX(Container_Inventory!$F:$F,MATCH(B12,Container_Inventory!$L:$L,0)),"Not Found"))</f>
        <v/>
      </c>
      <c r="L12" s="7" t="str">
        <f ca="1">IF(B12="","",IF(COUNTIF(Finding_List!$A:$A,B12)&gt;0,"Yes","No"))</f>
        <v/>
      </c>
      <c r="M12" s="7" t="str">
        <f ca="1">IF(B12="","",COUNTIF(Server_Inventory!$Z:$Z,B12))</f>
        <v/>
      </c>
      <c r="N12" s="7" t="str">
        <f ca="1">IF(B12="","",COUNTIF(Container_Inventory!$L:$L,B12))</f>
        <v/>
      </c>
    </row>
    <row r="13" spans="1:14" x14ac:dyDescent="0.2">
      <c r="A1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High"}))*(All_Risk_Apps!$K$4:$K$1233="No")*(All_Risk_Apps!$A$4:$A$1233&lt;&gt;"")),10)),"")</f>
        <v/>
      </c>
      <c r="B1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High"}))*(All_Risk_Apps!$K$4:$K$1233="No")*(All_Risk_Apps!$A$4:$A$1233&lt;&gt;"")),10)),"")</f>
        <v/>
      </c>
      <c r="C1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High"}))*(All_Risk_Apps!$K$4:$K$1233="No")*(All_Risk_Apps!$A$4:$A$1233&lt;&gt;"")),10)),"")</f>
        <v/>
      </c>
      <c r="D1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High"}))*(All_Risk_Apps!$K$4:$K$1233="No")*(All_Risk_Apps!$A$4:$A$1233&lt;&gt;"")),10)),"")</f>
        <v/>
      </c>
      <c r="E1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High"}))*(All_Risk_Apps!$K$4:$K$1233="No")*(All_Risk_Apps!$A$4:$A$1233&lt;&gt;"")),10)),"")</f>
        <v/>
      </c>
      <c r="F1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High"}))*(All_Risk_Apps!$K$4:$K$1233="No")*(All_Risk_Apps!$A$4:$A$1233&lt;&gt;"")),10)),"")</f>
        <v/>
      </c>
      <c r="G1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High"}))*(All_Risk_Apps!$K$4:$K$1233="No")*(All_Risk_Apps!$A$4:$A$1233&lt;&gt;"")),10)),"")</f>
        <v/>
      </c>
      <c r="H13" s="12" t="str">
        <f ca="1">IF(B13="","",IFERROR(INDEX(Server_Inventory!$R:$R,MATCH(B13,Server_Inventory!$Z:$Z,0)),"Not Found"))</f>
        <v/>
      </c>
      <c r="I13" s="12" t="str">
        <f ca="1">IF(B13="","",IFERROR(INDEX(Server_Inventory!$S:$S,MATCH(B13,Server_Inventory!$Z:$Z,0)),"Not Found"))</f>
        <v/>
      </c>
      <c r="J13" s="12" t="str">
        <f ca="1">IF(B13="","",COUNTIFS(Server_Inventory!$Z:$Z,B13,Server_Inventory!$P:$P,"R-RETIRED_IN_CMDB"))</f>
        <v/>
      </c>
      <c r="K13" s="12" t="str">
        <f ca="1">IF(B13="","",IFERROR(INDEX(Container_Inventory!$F:$F,MATCH(B13,Container_Inventory!$L:$L,0)),"Not Found"))</f>
        <v/>
      </c>
      <c r="L13" s="12" t="str">
        <f ca="1">IF(B13="","",IF(COUNTIF(Finding_List!$A:$A,B13)&gt;0,"Yes","No"))</f>
        <v/>
      </c>
      <c r="M13" s="12" t="str">
        <f ca="1">IF(B13="","",COUNTIF(Server_Inventory!$Z:$Z,B13))</f>
        <v/>
      </c>
      <c r="N13" s="12" t="str">
        <f ca="1">IF(B13="","",COUNTIF(Container_Inventory!$L:$L,B13))</f>
        <v/>
      </c>
    </row>
    <row r="14" spans="1:14" x14ac:dyDescent="0.2">
      <c r="A1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High"}))*(All_Risk_Apps!$K$4:$K$1233="No")*(All_Risk_Apps!$A$4:$A$1233&lt;&gt;"")),11)),"")</f>
        <v/>
      </c>
      <c r="B1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High"}))*(All_Risk_Apps!$K$4:$K$1233="No")*(All_Risk_Apps!$A$4:$A$1233&lt;&gt;"")),11)),"")</f>
        <v/>
      </c>
      <c r="C1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High"}))*(All_Risk_Apps!$K$4:$K$1233="No")*(All_Risk_Apps!$A$4:$A$1233&lt;&gt;"")),11)),"")</f>
        <v/>
      </c>
      <c r="D1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High"}))*(All_Risk_Apps!$K$4:$K$1233="No")*(All_Risk_Apps!$A$4:$A$1233&lt;&gt;"")),11)),"")</f>
        <v/>
      </c>
      <c r="E1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High"}))*(All_Risk_Apps!$K$4:$K$1233="No")*(All_Risk_Apps!$A$4:$A$1233&lt;&gt;"")),11)),"")</f>
        <v/>
      </c>
      <c r="F1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High"}))*(All_Risk_Apps!$K$4:$K$1233="No")*(All_Risk_Apps!$A$4:$A$1233&lt;&gt;"")),11)),"")</f>
        <v/>
      </c>
      <c r="G1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High"}))*(All_Risk_Apps!$K$4:$K$1233="No")*(All_Risk_Apps!$A$4:$A$1233&lt;&gt;"")),11)),"")</f>
        <v/>
      </c>
      <c r="H14" s="7" t="str">
        <f ca="1">IF(B14="","",IFERROR(INDEX(Server_Inventory!$R:$R,MATCH(B14,Server_Inventory!$Z:$Z,0)),"Not Found"))</f>
        <v/>
      </c>
      <c r="I14" s="7" t="str">
        <f ca="1">IF(B14="","",IFERROR(INDEX(Server_Inventory!$S:$S,MATCH(B14,Server_Inventory!$Z:$Z,0)),"Not Found"))</f>
        <v/>
      </c>
      <c r="J14" s="7" t="str">
        <f ca="1">IF(B14="","",COUNTIFS(Server_Inventory!$Z:$Z,B14,Server_Inventory!$P:$P,"R-RETIRED_IN_CMDB"))</f>
        <v/>
      </c>
      <c r="K14" s="7" t="str">
        <f ca="1">IF(B14="","",IFERROR(INDEX(Container_Inventory!$F:$F,MATCH(B14,Container_Inventory!$L:$L,0)),"Not Found"))</f>
        <v/>
      </c>
      <c r="L14" s="7" t="str">
        <f ca="1">IF(B14="","",IF(COUNTIF(Finding_List!$A:$A,B14)&gt;0,"Yes","No"))</f>
        <v/>
      </c>
      <c r="M14" s="7" t="str">
        <f ca="1">IF(B14="","",COUNTIF(Server_Inventory!$Z:$Z,B14))</f>
        <v/>
      </c>
      <c r="N14" s="7" t="str">
        <f ca="1">IF(B14="","",COUNTIF(Container_Inventory!$L:$L,B14))</f>
        <v/>
      </c>
    </row>
    <row r="15" spans="1:14" x14ac:dyDescent="0.2">
      <c r="A1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High"}))*(All_Risk_Apps!$K$4:$K$1233="No")*(All_Risk_Apps!$A$4:$A$1233&lt;&gt;"")),12)),"")</f>
        <v/>
      </c>
      <c r="B1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High"}))*(All_Risk_Apps!$K$4:$K$1233="No")*(All_Risk_Apps!$A$4:$A$1233&lt;&gt;"")),12)),"")</f>
        <v/>
      </c>
      <c r="C1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High"}))*(All_Risk_Apps!$K$4:$K$1233="No")*(All_Risk_Apps!$A$4:$A$1233&lt;&gt;"")),12)),"")</f>
        <v/>
      </c>
      <c r="D1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High"}))*(All_Risk_Apps!$K$4:$K$1233="No")*(All_Risk_Apps!$A$4:$A$1233&lt;&gt;"")),12)),"")</f>
        <v/>
      </c>
      <c r="E1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High"}))*(All_Risk_Apps!$K$4:$K$1233="No")*(All_Risk_Apps!$A$4:$A$1233&lt;&gt;"")),12)),"")</f>
        <v/>
      </c>
      <c r="F1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High"}))*(All_Risk_Apps!$K$4:$K$1233="No")*(All_Risk_Apps!$A$4:$A$1233&lt;&gt;"")),12)),"")</f>
        <v/>
      </c>
      <c r="G1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High"}))*(All_Risk_Apps!$K$4:$K$1233="No")*(All_Risk_Apps!$A$4:$A$1233&lt;&gt;"")),12)),"")</f>
        <v/>
      </c>
      <c r="H15" s="12" t="str">
        <f ca="1">IF(B15="","",IFERROR(INDEX(Server_Inventory!$R:$R,MATCH(B15,Server_Inventory!$Z:$Z,0)),"Not Found"))</f>
        <v/>
      </c>
      <c r="I15" s="12" t="str">
        <f ca="1">IF(B15="","",IFERROR(INDEX(Server_Inventory!$S:$S,MATCH(B15,Server_Inventory!$Z:$Z,0)),"Not Found"))</f>
        <v/>
      </c>
      <c r="J15" s="12" t="str">
        <f ca="1">IF(B15="","",COUNTIFS(Server_Inventory!$Z:$Z,B15,Server_Inventory!$P:$P,"R-RETIRED_IN_CMDB"))</f>
        <v/>
      </c>
      <c r="K15" s="12" t="str">
        <f ca="1">IF(B15="","",IFERROR(INDEX(Container_Inventory!$F:$F,MATCH(B15,Container_Inventory!$L:$L,0)),"Not Found"))</f>
        <v/>
      </c>
      <c r="L15" s="12" t="str">
        <f ca="1">IF(B15="","",IF(COUNTIF(Finding_List!$A:$A,B15)&gt;0,"Yes","No"))</f>
        <v/>
      </c>
      <c r="M15" s="12" t="str">
        <f ca="1">IF(B15="","",COUNTIF(Server_Inventory!$Z:$Z,B15))</f>
        <v/>
      </c>
      <c r="N15" s="12" t="str">
        <f ca="1">IF(B15="","",COUNTIF(Container_Inventory!$L:$L,B15))</f>
        <v/>
      </c>
    </row>
    <row r="16" spans="1:14" x14ac:dyDescent="0.2">
      <c r="A1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High"}))*(All_Risk_Apps!$K$4:$K$1233="No")*(All_Risk_Apps!$A$4:$A$1233&lt;&gt;"")),13)),"")</f>
        <v/>
      </c>
      <c r="B1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High"}))*(All_Risk_Apps!$K$4:$K$1233="No")*(All_Risk_Apps!$A$4:$A$1233&lt;&gt;"")),13)),"")</f>
        <v/>
      </c>
      <c r="C1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High"}))*(All_Risk_Apps!$K$4:$K$1233="No")*(All_Risk_Apps!$A$4:$A$1233&lt;&gt;"")),13)),"")</f>
        <v/>
      </c>
      <c r="D1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High"}))*(All_Risk_Apps!$K$4:$K$1233="No")*(All_Risk_Apps!$A$4:$A$1233&lt;&gt;"")),13)),"")</f>
        <v/>
      </c>
      <c r="E1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High"}))*(All_Risk_Apps!$K$4:$K$1233="No")*(All_Risk_Apps!$A$4:$A$1233&lt;&gt;"")),13)),"")</f>
        <v/>
      </c>
      <c r="F1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High"}))*(All_Risk_Apps!$K$4:$K$1233="No")*(All_Risk_Apps!$A$4:$A$1233&lt;&gt;"")),13)),"")</f>
        <v/>
      </c>
      <c r="G1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High"}))*(All_Risk_Apps!$K$4:$K$1233="No")*(All_Risk_Apps!$A$4:$A$1233&lt;&gt;"")),13)),"")</f>
        <v/>
      </c>
      <c r="H16" s="7" t="str">
        <f ca="1">IF(B16="","",IFERROR(INDEX(Server_Inventory!$R:$R,MATCH(B16,Server_Inventory!$Z:$Z,0)),"Not Found"))</f>
        <v/>
      </c>
      <c r="I16" s="7" t="str">
        <f ca="1">IF(B16="","",IFERROR(INDEX(Server_Inventory!$S:$S,MATCH(B16,Server_Inventory!$Z:$Z,0)),"Not Found"))</f>
        <v/>
      </c>
      <c r="J16" s="7" t="str">
        <f ca="1">IF(B16="","",COUNTIFS(Server_Inventory!$Z:$Z,B16,Server_Inventory!$P:$P,"R-RETIRED_IN_CMDB"))</f>
        <v/>
      </c>
      <c r="K16" s="7" t="str">
        <f ca="1">IF(B16="","",IFERROR(INDEX(Container_Inventory!$F:$F,MATCH(B16,Container_Inventory!$L:$L,0)),"Not Found"))</f>
        <v/>
      </c>
      <c r="L16" s="7" t="str">
        <f ca="1">IF(B16="","",IF(COUNTIF(Finding_List!$A:$A,B16)&gt;0,"Yes","No"))</f>
        <v/>
      </c>
      <c r="M16" s="7" t="str">
        <f ca="1">IF(B16="","",COUNTIF(Server_Inventory!$Z:$Z,B16))</f>
        <v/>
      </c>
      <c r="N16" s="7" t="str">
        <f ca="1">IF(B16="","",COUNTIF(Container_Inventory!$L:$L,B16))</f>
        <v/>
      </c>
    </row>
    <row r="17" spans="1:14" x14ac:dyDescent="0.2">
      <c r="A1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High"}))*(All_Risk_Apps!$K$4:$K$1233="No")*(All_Risk_Apps!$A$4:$A$1233&lt;&gt;"")),14)),"")</f>
        <v/>
      </c>
      <c r="B1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High"}))*(All_Risk_Apps!$K$4:$K$1233="No")*(All_Risk_Apps!$A$4:$A$1233&lt;&gt;"")),14)),"")</f>
        <v/>
      </c>
      <c r="C1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High"}))*(All_Risk_Apps!$K$4:$K$1233="No")*(All_Risk_Apps!$A$4:$A$1233&lt;&gt;"")),14)),"")</f>
        <v/>
      </c>
      <c r="D1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High"}))*(All_Risk_Apps!$K$4:$K$1233="No")*(All_Risk_Apps!$A$4:$A$1233&lt;&gt;"")),14)),"")</f>
        <v/>
      </c>
      <c r="E1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High"}))*(All_Risk_Apps!$K$4:$K$1233="No")*(All_Risk_Apps!$A$4:$A$1233&lt;&gt;"")),14)),"")</f>
        <v/>
      </c>
      <c r="F1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High"}))*(All_Risk_Apps!$K$4:$K$1233="No")*(All_Risk_Apps!$A$4:$A$1233&lt;&gt;"")),14)),"")</f>
        <v/>
      </c>
      <c r="G1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High"}))*(All_Risk_Apps!$K$4:$K$1233="No")*(All_Risk_Apps!$A$4:$A$1233&lt;&gt;"")),14)),"")</f>
        <v/>
      </c>
      <c r="H17" s="12" t="str">
        <f ca="1">IF(B17="","",IFERROR(INDEX(Server_Inventory!$R:$R,MATCH(B17,Server_Inventory!$Z:$Z,0)),"Not Found"))</f>
        <v/>
      </c>
      <c r="I17" s="12" t="str">
        <f ca="1">IF(B17="","",IFERROR(INDEX(Server_Inventory!$S:$S,MATCH(B17,Server_Inventory!$Z:$Z,0)),"Not Found"))</f>
        <v/>
      </c>
      <c r="J17" s="12" t="str">
        <f ca="1">IF(B17="","",COUNTIFS(Server_Inventory!$Z:$Z,B17,Server_Inventory!$P:$P,"R-RETIRED_IN_CMDB"))</f>
        <v/>
      </c>
      <c r="K17" s="12" t="str">
        <f ca="1">IF(B17="","",IFERROR(INDEX(Container_Inventory!$F:$F,MATCH(B17,Container_Inventory!$L:$L,0)),"Not Found"))</f>
        <v/>
      </c>
      <c r="L17" s="12" t="str">
        <f ca="1">IF(B17="","",IF(COUNTIF(Finding_List!$A:$A,B17)&gt;0,"Yes","No"))</f>
        <v/>
      </c>
      <c r="M17" s="12" t="str">
        <f ca="1">IF(B17="","",COUNTIF(Server_Inventory!$Z:$Z,B17))</f>
        <v/>
      </c>
      <c r="N17" s="12" t="str">
        <f ca="1">IF(B17="","",COUNTIF(Container_Inventory!$L:$L,B17))</f>
        <v/>
      </c>
    </row>
    <row r="18" spans="1:14" x14ac:dyDescent="0.2">
      <c r="A1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High"}))*(All_Risk_Apps!$K$4:$K$1233="No")*(All_Risk_Apps!$A$4:$A$1233&lt;&gt;"")),15)),"")</f>
        <v/>
      </c>
      <c r="B1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High"}))*(All_Risk_Apps!$K$4:$K$1233="No")*(All_Risk_Apps!$A$4:$A$1233&lt;&gt;"")),15)),"")</f>
        <v/>
      </c>
      <c r="C1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High"}))*(All_Risk_Apps!$K$4:$K$1233="No")*(All_Risk_Apps!$A$4:$A$1233&lt;&gt;"")),15)),"")</f>
        <v/>
      </c>
      <c r="D1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High"}))*(All_Risk_Apps!$K$4:$K$1233="No")*(All_Risk_Apps!$A$4:$A$1233&lt;&gt;"")),15)),"")</f>
        <v/>
      </c>
      <c r="E1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High"}))*(All_Risk_Apps!$K$4:$K$1233="No")*(All_Risk_Apps!$A$4:$A$1233&lt;&gt;"")),15)),"")</f>
        <v/>
      </c>
      <c r="F1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High"}))*(All_Risk_Apps!$K$4:$K$1233="No")*(All_Risk_Apps!$A$4:$A$1233&lt;&gt;"")),15)),"")</f>
        <v/>
      </c>
      <c r="G1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High"}))*(All_Risk_Apps!$K$4:$K$1233="No")*(All_Risk_Apps!$A$4:$A$1233&lt;&gt;"")),15)),"")</f>
        <v/>
      </c>
      <c r="H18" s="7" t="str">
        <f ca="1">IF(B18="","",IFERROR(INDEX(Server_Inventory!$R:$R,MATCH(B18,Server_Inventory!$Z:$Z,0)),"Not Found"))</f>
        <v/>
      </c>
      <c r="I18" s="7" t="str">
        <f ca="1">IF(B18="","",IFERROR(INDEX(Server_Inventory!$S:$S,MATCH(B18,Server_Inventory!$Z:$Z,0)),"Not Found"))</f>
        <v/>
      </c>
      <c r="J18" s="7" t="str">
        <f ca="1">IF(B18="","",COUNTIFS(Server_Inventory!$Z:$Z,B18,Server_Inventory!$P:$P,"R-RETIRED_IN_CMDB"))</f>
        <v/>
      </c>
      <c r="K18" s="7" t="str">
        <f ca="1">IF(B18="","",IFERROR(INDEX(Container_Inventory!$F:$F,MATCH(B18,Container_Inventory!$L:$L,0)),"Not Found"))</f>
        <v/>
      </c>
      <c r="L18" s="7" t="str">
        <f ca="1">IF(B18="","",IF(COUNTIF(Finding_List!$A:$A,B18)&gt;0,"Yes","No"))</f>
        <v/>
      </c>
      <c r="M18" s="7" t="str">
        <f ca="1">IF(B18="","",COUNTIF(Server_Inventory!$Z:$Z,B18))</f>
        <v/>
      </c>
      <c r="N18" s="7" t="str">
        <f ca="1">IF(B18="","",COUNTIF(Container_Inventory!$L:$L,B18))</f>
        <v/>
      </c>
    </row>
    <row r="19" spans="1:14" x14ac:dyDescent="0.2">
      <c r="A1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High"}))*(All_Risk_Apps!$K$4:$K$1233="No")*(All_Risk_Apps!$A$4:$A$1233&lt;&gt;"")),16)),"")</f>
        <v/>
      </c>
      <c r="B1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High"}))*(All_Risk_Apps!$K$4:$K$1233="No")*(All_Risk_Apps!$A$4:$A$1233&lt;&gt;"")),16)),"")</f>
        <v/>
      </c>
      <c r="C1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High"}))*(All_Risk_Apps!$K$4:$K$1233="No")*(All_Risk_Apps!$A$4:$A$1233&lt;&gt;"")),16)),"")</f>
        <v/>
      </c>
      <c r="D1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High"}))*(All_Risk_Apps!$K$4:$K$1233="No")*(All_Risk_Apps!$A$4:$A$1233&lt;&gt;"")),16)),"")</f>
        <v/>
      </c>
      <c r="E1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High"}))*(All_Risk_Apps!$K$4:$K$1233="No")*(All_Risk_Apps!$A$4:$A$1233&lt;&gt;"")),16)),"")</f>
        <v/>
      </c>
      <c r="F1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High"}))*(All_Risk_Apps!$K$4:$K$1233="No")*(All_Risk_Apps!$A$4:$A$1233&lt;&gt;"")),16)),"")</f>
        <v/>
      </c>
      <c r="G1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High"}))*(All_Risk_Apps!$K$4:$K$1233="No")*(All_Risk_Apps!$A$4:$A$1233&lt;&gt;"")),16)),"")</f>
        <v/>
      </c>
      <c r="H19" s="12" t="str">
        <f ca="1">IF(B19="","",IFERROR(INDEX(Server_Inventory!$R:$R,MATCH(B19,Server_Inventory!$Z:$Z,0)),"Not Found"))</f>
        <v/>
      </c>
      <c r="I19" s="12" t="str">
        <f ca="1">IF(B19="","",IFERROR(INDEX(Server_Inventory!$S:$S,MATCH(B19,Server_Inventory!$Z:$Z,0)),"Not Found"))</f>
        <v/>
      </c>
      <c r="J19" s="12" t="str">
        <f ca="1">IF(B19="","",COUNTIFS(Server_Inventory!$Z:$Z,B19,Server_Inventory!$P:$P,"R-RETIRED_IN_CMDB"))</f>
        <v/>
      </c>
      <c r="K19" s="12" t="str">
        <f ca="1">IF(B19="","",IFERROR(INDEX(Container_Inventory!$F:$F,MATCH(B19,Container_Inventory!$L:$L,0)),"Not Found"))</f>
        <v/>
      </c>
      <c r="L19" s="12" t="str">
        <f ca="1">IF(B19="","",IF(COUNTIF(Finding_List!$A:$A,B19)&gt;0,"Yes","No"))</f>
        <v/>
      </c>
      <c r="M19" s="12" t="str">
        <f ca="1">IF(B19="","",COUNTIF(Server_Inventory!$Z:$Z,B19))</f>
        <v/>
      </c>
      <c r="N19" s="12" t="str">
        <f ca="1">IF(B19="","",COUNTIF(Container_Inventory!$L:$L,B19))</f>
        <v/>
      </c>
    </row>
    <row r="20" spans="1:14" x14ac:dyDescent="0.2">
      <c r="A2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High"}))*(All_Risk_Apps!$K$4:$K$1233="No")*(All_Risk_Apps!$A$4:$A$1233&lt;&gt;"")),17)),"")</f>
        <v/>
      </c>
      <c r="B2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High"}))*(All_Risk_Apps!$K$4:$K$1233="No")*(All_Risk_Apps!$A$4:$A$1233&lt;&gt;"")),17)),"")</f>
        <v/>
      </c>
      <c r="C2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High"}))*(All_Risk_Apps!$K$4:$K$1233="No")*(All_Risk_Apps!$A$4:$A$1233&lt;&gt;"")),17)),"")</f>
        <v/>
      </c>
      <c r="D2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High"}))*(All_Risk_Apps!$K$4:$K$1233="No")*(All_Risk_Apps!$A$4:$A$1233&lt;&gt;"")),17)),"")</f>
        <v/>
      </c>
      <c r="E2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High"}))*(All_Risk_Apps!$K$4:$K$1233="No")*(All_Risk_Apps!$A$4:$A$1233&lt;&gt;"")),17)),"")</f>
        <v/>
      </c>
      <c r="F2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High"}))*(All_Risk_Apps!$K$4:$K$1233="No")*(All_Risk_Apps!$A$4:$A$1233&lt;&gt;"")),17)),"")</f>
        <v/>
      </c>
      <c r="G2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High"}))*(All_Risk_Apps!$K$4:$K$1233="No")*(All_Risk_Apps!$A$4:$A$1233&lt;&gt;"")),17)),"")</f>
        <v/>
      </c>
      <c r="H20" s="7" t="str">
        <f ca="1">IF(B20="","",IFERROR(INDEX(Server_Inventory!$R:$R,MATCH(B20,Server_Inventory!$Z:$Z,0)),"Not Found"))</f>
        <v/>
      </c>
      <c r="I20" s="7" t="str">
        <f ca="1">IF(B20="","",IFERROR(INDEX(Server_Inventory!$S:$S,MATCH(B20,Server_Inventory!$Z:$Z,0)),"Not Found"))</f>
        <v/>
      </c>
      <c r="J20" s="7" t="str">
        <f ca="1">IF(B20="","",COUNTIFS(Server_Inventory!$Z:$Z,B20,Server_Inventory!$P:$P,"R-RETIRED_IN_CMDB"))</f>
        <v/>
      </c>
      <c r="K20" s="7" t="str">
        <f ca="1">IF(B20="","",IFERROR(INDEX(Container_Inventory!$F:$F,MATCH(B20,Container_Inventory!$L:$L,0)),"Not Found"))</f>
        <v/>
      </c>
      <c r="L20" s="7" t="str">
        <f ca="1">IF(B20="","",IF(COUNTIF(Finding_List!$A:$A,B20)&gt;0,"Yes","No"))</f>
        <v/>
      </c>
      <c r="M20" s="7" t="str">
        <f ca="1">IF(B20="","",COUNTIF(Server_Inventory!$Z:$Z,B20))</f>
        <v/>
      </c>
      <c r="N20" s="7" t="str">
        <f ca="1">IF(B20="","",COUNTIF(Container_Inventory!$L:$L,B20))</f>
        <v/>
      </c>
    </row>
    <row r="21" spans="1:14" x14ac:dyDescent="0.2">
      <c r="A2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High"}))*(All_Risk_Apps!$K$4:$K$1233="No")*(All_Risk_Apps!$A$4:$A$1233&lt;&gt;"")),18)),"")</f>
        <v/>
      </c>
      <c r="B2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High"}))*(All_Risk_Apps!$K$4:$K$1233="No")*(All_Risk_Apps!$A$4:$A$1233&lt;&gt;"")),18)),"")</f>
        <v/>
      </c>
      <c r="C2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High"}))*(All_Risk_Apps!$K$4:$K$1233="No")*(All_Risk_Apps!$A$4:$A$1233&lt;&gt;"")),18)),"")</f>
        <v/>
      </c>
      <c r="D2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High"}))*(All_Risk_Apps!$K$4:$K$1233="No")*(All_Risk_Apps!$A$4:$A$1233&lt;&gt;"")),18)),"")</f>
        <v/>
      </c>
      <c r="E2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High"}))*(All_Risk_Apps!$K$4:$K$1233="No")*(All_Risk_Apps!$A$4:$A$1233&lt;&gt;"")),18)),"")</f>
        <v/>
      </c>
      <c r="F2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High"}))*(All_Risk_Apps!$K$4:$K$1233="No")*(All_Risk_Apps!$A$4:$A$1233&lt;&gt;"")),18)),"")</f>
        <v/>
      </c>
      <c r="G2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High"}))*(All_Risk_Apps!$K$4:$K$1233="No")*(All_Risk_Apps!$A$4:$A$1233&lt;&gt;"")),18)),"")</f>
        <v/>
      </c>
      <c r="H21" s="12" t="str">
        <f ca="1">IF(B21="","",IFERROR(INDEX(Server_Inventory!$R:$R,MATCH(B21,Server_Inventory!$Z:$Z,0)),"Not Found"))</f>
        <v/>
      </c>
      <c r="I21" s="12" t="str">
        <f ca="1">IF(B21="","",IFERROR(INDEX(Server_Inventory!$S:$S,MATCH(B21,Server_Inventory!$Z:$Z,0)),"Not Found"))</f>
        <v/>
      </c>
      <c r="J21" s="12" t="str">
        <f ca="1">IF(B21="","",COUNTIFS(Server_Inventory!$Z:$Z,B21,Server_Inventory!$P:$P,"R-RETIRED_IN_CMDB"))</f>
        <v/>
      </c>
      <c r="K21" s="12" t="str">
        <f ca="1">IF(B21="","",IFERROR(INDEX(Container_Inventory!$F:$F,MATCH(B21,Container_Inventory!$L:$L,0)),"Not Found"))</f>
        <v/>
      </c>
      <c r="L21" s="12" t="str">
        <f ca="1">IF(B21="","",IF(COUNTIF(Finding_List!$A:$A,B21)&gt;0,"Yes","No"))</f>
        <v/>
      </c>
      <c r="M21" s="12" t="str">
        <f ca="1">IF(B21="","",COUNTIF(Server_Inventory!$Z:$Z,B21))</f>
        <v/>
      </c>
      <c r="N21" s="12" t="str">
        <f ca="1">IF(B21="","",COUNTIF(Container_Inventory!$L:$L,B21))</f>
        <v/>
      </c>
    </row>
    <row r="22" spans="1:14" x14ac:dyDescent="0.2">
      <c r="A2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High"}))*(All_Risk_Apps!$K$4:$K$1233="No")*(All_Risk_Apps!$A$4:$A$1233&lt;&gt;"")),19)),"")</f>
        <v/>
      </c>
      <c r="B2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High"}))*(All_Risk_Apps!$K$4:$K$1233="No")*(All_Risk_Apps!$A$4:$A$1233&lt;&gt;"")),19)),"")</f>
        <v/>
      </c>
      <c r="C2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High"}))*(All_Risk_Apps!$K$4:$K$1233="No")*(All_Risk_Apps!$A$4:$A$1233&lt;&gt;"")),19)),"")</f>
        <v/>
      </c>
      <c r="D2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High"}))*(All_Risk_Apps!$K$4:$K$1233="No")*(All_Risk_Apps!$A$4:$A$1233&lt;&gt;"")),19)),"")</f>
        <v/>
      </c>
      <c r="E2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High"}))*(All_Risk_Apps!$K$4:$K$1233="No")*(All_Risk_Apps!$A$4:$A$1233&lt;&gt;"")),19)),"")</f>
        <v/>
      </c>
      <c r="F2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High"}))*(All_Risk_Apps!$K$4:$K$1233="No")*(All_Risk_Apps!$A$4:$A$1233&lt;&gt;"")),19)),"")</f>
        <v/>
      </c>
      <c r="G2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High"}))*(All_Risk_Apps!$K$4:$K$1233="No")*(All_Risk_Apps!$A$4:$A$1233&lt;&gt;"")),19)),"")</f>
        <v/>
      </c>
      <c r="H22" s="7" t="str">
        <f ca="1">IF(B22="","",IFERROR(INDEX(Server_Inventory!$R:$R,MATCH(B22,Server_Inventory!$Z:$Z,0)),"Not Found"))</f>
        <v/>
      </c>
      <c r="I22" s="7" t="str">
        <f ca="1">IF(B22="","",IFERROR(INDEX(Server_Inventory!$S:$S,MATCH(B22,Server_Inventory!$Z:$Z,0)),"Not Found"))</f>
        <v/>
      </c>
      <c r="J22" s="7" t="str">
        <f ca="1">IF(B22="","",COUNTIFS(Server_Inventory!$Z:$Z,B22,Server_Inventory!$P:$P,"R-RETIRED_IN_CMDB"))</f>
        <v/>
      </c>
      <c r="K22" s="7" t="str">
        <f ca="1">IF(B22="","",IFERROR(INDEX(Container_Inventory!$F:$F,MATCH(B22,Container_Inventory!$L:$L,0)),"Not Found"))</f>
        <v/>
      </c>
      <c r="L22" s="7" t="str">
        <f ca="1">IF(B22="","",IF(COUNTIF(Finding_List!$A:$A,B22)&gt;0,"Yes","No"))</f>
        <v/>
      </c>
      <c r="M22" s="7" t="str">
        <f ca="1">IF(B22="","",COUNTIF(Server_Inventory!$Z:$Z,B22))</f>
        <v/>
      </c>
      <c r="N22" s="7" t="str">
        <f ca="1">IF(B22="","",COUNTIF(Container_Inventory!$L:$L,B22))</f>
        <v/>
      </c>
    </row>
    <row r="23" spans="1:14" x14ac:dyDescent="0.2">
      <c r="A2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High"}))*(All_Risk_Apps!$K$4:$K$1233="No")*(All_Risk_Apps!$A$4:$A$1233&lt;&gt;"")),20)),"")</f>
        <v/>
      </c>
      <c r="B2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High"}))*(All_Risk_Apps!$K$4:$K$1233="No")*(All_Risk_Apps!$A$4:$A$1233&lt;&gt;"")),20)),"")</f>
        <v/>
      </c>
      <c r="C2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High"}))*(All_Risk_Apps!$K$4:$K$1233="No")*(All_Risk_Apps!$A$4:$A$1233&lt;&gt;"")),20)),"")</f>
        <v/>
      </c>
      <c r="D2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High"}))*(All_Risk_Apps!$K$4:$K$1233="No")*(All_Risk_Apps!$A$4:$A$1233&lt;&gt;"")),20)),"")</f>
        <v/>
      </c>
      <c r="E2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High"}))*(All_Risk_Apps!$K$4:$K$1233="No")*(All_Risk_Apps!$A$4:$A$1233&lt;&gt;"")),20)),"")</f>
        <v/>
      </c>
      <c r="F2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High"}))*(All_Risk_Apps!$K$4:$K$1233="No")*(All_Risk_Apps!$A$4:$A$1233&lt;&gt;"")),20)),"")</f>
        <v/>
      </c>
      <c r="G2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High"}))*(All_Risk_Apps!$K$4:$K$1233="No")*(All_Risk_Apps!$A$4:$A$1233&lt;&gt;"")),20)),"")</f>
        <v/>
      </c>
      <c r="H23" s="12" t="str">
        <f ca="1">IF(B23="","",IFERROR(INDEX(Server_Inventory!$R:$R,MATCH(B23,Server_Inventory!$Z:$Z,0)),"Not Found"))</f>
        <v/>
      </c>
      <c r="I23" s="12" t="str">
        <f ca="1">IF(B23="","",IFERROR(INDEX(Server_Inventory!$S:$S,MATCH(B23,Server_Inventory!$Z:$Z,0)),"Not Found"))</f>
        <v/>
      </c>
      <c r="J23" s="12" t="str">
        <f ca="1">IF(B23="","",COUNTIFS(Server_Inventory!$Z:$Z,B23,Server_Inventory!$P:$P,"R-RETIRED_IN_CMDB"))</f>
        <v/>
      </c>
      <c r="K23" s="12" t="str">
        <f ca="1">IF(B23="","",IFERROR(INDEX(Container_Inventory!$F:$F,MATCH(B23,Container_Inventory!$L:$L,0)),"Not Found"))</f>
        <v/>
      </c>
      <c r="L23" s="12" t="str">
        <f ca="1">IF(B23="","",IF(COUNTIF(Finding_List!$A:$A,B23)&gt;0,"Yes","No"))</f>
        <v/>
      </c>
      <c r="M23" s="12" t="str">
        <f ca="1">IF(B23="","",COUNTIF(Server_Inventory!$Z:$Z,B23))</f>
        <v/>
      </c>
      <c r="N23" s="12" t="str">
        <f ca="1">IF(B23="","",COUNTIF(Container_Inventory!$L:$L,B23))</f>
        <v/>
      </c>
    </row>
    <row r="24" spans="1:14" x14ac:dyDescent="0.2">
      <c r="A2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High"}))*(All_Risk_Apps!$K$4:$K$1233="No")*(All_Risk_Apps!$A$4:$A$1233&lt;&gt;"")),21)),"")</f>
        <v/>
      </c>
      <c r="B2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High"}))*(All_Risk_Apps!$K$4:$K$1233="No")*(All_Risk_Apps!$A$4:$A$1233&lt;&gt;"")),21)),"")</f>
        <v/>
      </c>
      <c r="C2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High"}))*(All_Risk_Apps!$K$4:$K$1233="No")*(All_Risk_Apps!$A$4:$A$1233&lt;&gt;"")),21)),"")</f>
        <v/>
      </c>
      <c r="D2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High"}))*(All_Risk_Apps!$K$4:$K$1233="No")*(All_Risk_Apps!$A$4:$A$1233&lt;&gt;"")),21)),"")</f>
        <v/>
      </c>
      <c r="E2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High"}))*(All_Risk_Apps!$K$4:$K$1233="No")*(All_Risk_Apps!$A$4:$A$1233&lt;&gt;"")),21)),"")</f>
        <v/>
      </c>
      <c r="F2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High"}))*(All_Risk_Apps!$K$4:$K$1233="No")*(All_Risk_Apps!$A$4:$A$1233&lt;&gt;"")),21)),"")</f>
        <v/>
      </c>
      <c r="G2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High"}))*(All_Risk_Apps!$K$4:$K$1233="No")*(All_Risk_Apps!$A$4:$A$1233&lt;&gt;"")),21)),"")</f>
        <v/>
      </c>
      <c r="H24" s="7" t="str">
        <f ca="1">IF(B24="","",IFERROR(INDEX(Server_Inventory!$R:$R,MATCH(B24,Server_Inventory!$Z:$Z,0)),"Not Found"))</f>
        <v/>
      </c>
      <c r="I24" s="7" t="str">
        <f ca="1">IF(B24="","",IFERROR(INDEX(Server_Inventory!$S:$S,MATCH(B24,Server_Inventory!$Z:$Z,0)),"Not Found"))</f>
        <v/>
      </c>
      <c r="J24" s="7" t="str">
        <f ca="1">IF(B24="","",COUNTIFS(Server_Inventory!$Z:$Z,B24,Server_Inventory!$P:$P,"R-RETIRED_IN_CMDB"))</f>
        <v/>
      </c>
      <c r="K24" s="7" t="str">
        <f ca="1">IF(B24="","",IFERROR(INDEX(Container_Inventory!$F:$F,MATCH(B24,Container_Inventory!$L:$L,0)),"Not Found"))</f>
        <v/>
      </c>
      <c r="L24" s="7" t="str">
        <f ca="1">IF(B24="","",IF(COUNTIF(Finding_List!$A:$A,B24)&gt;0,"Yes","No"))</f>
        <v/>
      </c>
      <c r="M24" s="7" t="str">
        <f ca="1">IF(B24="","",COUNTIF(Server_Inventory!$Z:$Z,B24))</f>
        <v/>
      </c>
      <c r="N24" s="7" t="str">
        <f ca="1">IF(B24="","",COUNTIF(Container_Inventory!$L:$L,B24))</f>
        <v/>
      </c>
    </row>
    <row r="25" spans="1:14" x14ac:dyDescent="0.2">
      <c r="A2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High"}))*(All_Risk_Apps!$K$4:$K$1233="No")*(All_Risk_Apps!$A$4:$A$1233&lt;&gt;"")),22)),"")</f>
        <v/>
      </c>
      <c r="B2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High"}))*(All_Risk_Apps!$K$4:$K$1233="No")*(All_Risk_Apps!$A$4:$A$1233&lt;&gt;"")),22)),"")</f>
        <v/>
      </c>
      <c r="C2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High"}))*(All_Risk_Apps!$K$4:$K$1233="No")*(All_Risk_Apps!$A$4:$A$1233&lt;&gt;"")),22)),"")</f>
        <v/>
      </c>
      <c r="D2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High"}))*(All_Risk_Apps!$K$4:$K$1233="No")*(All_Risk_Apps!$A$4:$A$1233&lt;&gt;"")),22)),"")</f>
        <v/>
      </c>
      <c r="E2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High"}))*(All_Risk_Apps!$K$4:$K$1233="No")*(All_Risk_Apps!$A$4:$A$1233&lt;&gt;"")),22)),"")</f>
        <v/>
      </c>
      <c r="F2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High"}))*(All_Risk_Apps!$K$4:$K$1233="No")*(All_Risk_Apps!$A$4:$A$1233&lt;&gt;"")),22)),"")</f>
        <v/>
      </c>
      <c r="G2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High"}))*(All_Risk_Apps!$K$4:$K$1233="No")*(All_Risk_Apps!$A$4:$A$1233&lt;&gt;"")),22)),"")</f>
        <v/>
      </c>
      <c r="H25" s="12" t="str">
        <f ca="1">IF(B25="","",IFERROR(INDEX(Server_Inventory!$R:$R,MATCH(B25,Server_Inventory!$Z:$Z,0)),"Not Found"))</f>
        <v/>
      </c>
      <c r="I25" s="12" t="str">
        <f ca="1">IF(B25="","",IFERROR(INDEX(Server_Inventory!$S:$S,MATCH(B25,Server_Inventory!$Z:$Z,0)),"Not Found"))</f>
        <v/>
      </c>
      <c r="J25" s="12" t="str">
        <f ca="1">IF(B25="","",COUNTIFS(Server_Inventory!$Z:$Z,B25,Server_Inventory!$P:$P,"R-RETIRED_IN_CMDB"))</f>
        <v/>
      </c>
      <c r="K25" s="12" t="str">
        <f ca="1">IF(B25="","",IFERROR(INDEX(Container_Inventory!$F:$F,MATCH(B25,Container_Inventory!$L:$L,0)),"Not Found"))</f>
        <v/>
      </c>
      <c r="L25" s="12" t="str">
        <f ca="1">IF(B25="","",IF(COUNTIF(Finding_List!$A:$A,B25)&gt;0,"Yes","No"))</f>
        <v/>
      </c>
      <c r="M25" s="12" t="str">
        <f ca="1">IF(B25="","",COUNTIF(Server_Inventory!$Z:$Z,B25))</f>
        <v/>
      </c>
      <c r="N25" s="12" t="str">
        <f ca="1">IF(B25="","",COUNTIF(Container_Inventory!$L:$L,B25))</f>
        <v/>
      </c>
    </row>
    <row r="26" spans="1:14" x14ac:dyDescent="0.2">
      <c r="A2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High"}))*(All_Risk_Apps!$K$4:$K$1233="No")*(All_Risk_Apps!$A$4:$A$1233&lt;&gt;"")),23)),"")</f>
        <v/>
      </c>
      <c r="B2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High"}))*(All_Risk_Apps!$K$4:$K$1233="No")*(All_Risk_Apps!$A$4:$A$1233&lt;&gt;"")),23)),"")</f>
        <v/>
      </c>
      <c r="C2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High"}))*(All_Risk_Apps!$K$4:$K$1233="No")*(All_Risk_Apps!$A$4:$A$1233&lt;&gt;"")),23)),"")</f>
        <v/>
      </c>
      <c r="D2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High"}))*(All_Risk_Apps!$K$4:$K$1233="No")*(All_Risk_Apps!$A$4:$A$1233&lt;&gt;"")),23)),"")</f>
        <v/>
      </c>
      <c r="E2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High"}))*(All_Risk_Apps!$K$4:$K$1233="No")*(All_Risk_Apps!$A$4:$A$1233&lt;&gt;"")),23)),"")</f>
        <v/>
      </c>
      <c r="F2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High"}))*(All_Risk_Apps!$K$4:$K$1233="No")*(All_Risk_Apps!$A$4:$A$1233&lt;&gt;"")),23)),"")</f>
        <v/>
      </c>
      <c r="G2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High"}))*(All_Risk_Apps!$K$4:$K$1233="No")*(All_Risk_Apps!$A$4:$A$1233&lt;&gt;"")),23)),"")</f>
        <v/>
      </c>
      <c r="H26" s="7" t="str">
        <f ca="1">IF(B26="","",IFERROR(INDEX(Server_Inventory!$R:$R,MATCH(B26,Server_Inventory!$Z:$Z,0)),"Not Found"))</f>
        <v/>
      </c>
      <c r="I26" s="7" t="str">
        <f ca="1">IF(B26="","",IFERROR(INDEX(Server_Inventory!$S:$S,MATCH(B26,Server_Inventory!$Z:$Z,0)),"Not Found"))</f>
        <v/>
      </c>
      <c r="J26" s="7" t="str">
        <f ca="1">IF(B26="","",COUNTIFS(Server_Inventory!$Z:$Z,B26,Server_Inventory!$P:$P,"R-RETIRED_IN_CMDB"))</f>
        <v/>
      </c>
      <c r="K26" s="7" t="str">
        <f ca="1">IF(B26="","",IFERROR(INDEX(Container_Inventory!$F:$F,MATCH(B26,Container_Inventory!$L:$L,0)),"Not Found"))</f>
        <v/>
      </c>
      <c r="L26" s="7" t="str">
        <f ca="1">IF(B26="","",IF(COUNTIF(Finding_List!$A:$A,B26)&gt;0,"Yes","No"))</f>
        <v/>
      </c>
      <c r="M26" s="7" t="str">
        <f ca="1">IF(B26="","",COUNTIF(Server_Inventory!$Z:$Z,B26))</f>
        <v/>
      </c>
      <c r="N26" s="7" t="str">
        <f ca="1">IF(B26="","",COUNTIF(Container_Inventory!$L:$L,B26))</f>
        <v/>
      </c>
    </row>
    <row r="27" spans="1:14" x14ac:dyDescent="0.2">
      <c r="A2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High"}))*(All_Risk_Apps!$K$4:$K$1233="No")*(All_Risk_Apps!$A$4:$A$1233&lt;&gt;"")),24)),"")</f>
        <v/>
      </c>
      <c r="B2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High"}))*(All_Risk_Apps!$K$4:$K$1233="No")*(All_Risk_Apps!$A$4:$A$1233&lt;&gt;"")),24)),"")</f>
        <v/>
      </c>
      <c r="C2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High"}))*(All_Risk_Apps!$K$4:$K$1233="No")*(All_Risk_Apps!$A$4:$A$1233&lt;&gt;"")),24)),"")</f>
        <v/>
      </c>
      <c r="D2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High"}))*(All_Risk_Apps!$K$4:$K$1233="No")*(All_Risk_Apps!$A$4:$A$1233&lt;&gt;"")),24)),"")</f>
        <v/>
      </c>
      <c r="E2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High"}))*(All_Risk_Apps!$K$4:$K$1233="No")*(All_Risk_Apps!$A$4:$A$1233&lt;&gt;"")),24)),"")</f>
        <v/>
      </c>
      <c r="F2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High"}))*(All_Risk_Apps!$K$4:$K$1233="No")*(All_Risk_Apps!$A$4:$A$1233&lt;&gt;"")),24)),"")</f>
        <v/>
      </c>
      <c r="G2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High"}))*(All_Risk_Apps!$K$4:$K$1233="No")*(All_Risk_Apps!$A$4:$A$1233&lt;&gt;"")),24)),"")</f>
        <v/>
      </c>
      <c r="H27" s="12" t="str">
        <f ca="1">IF(B27="","",IFERROR(INDEX(Server_Inventory!$R:$R,MATCH(B27,Server_Inventory!$Z:$Z,0)),"Not Found"))</f>
        <v/>
      </c>
      <c r="I27" s="12" t="str">
        <f ca="1">IF(B27="","",IFERROR(INDEX(Server_Inventory!$S:$S,MATCH(B27,Server_Inventory!$Z:$Z,0)),"Not Found"))</f>
        <v/>
      </c>
      <c r="J27" s="12" t="str">
        <f ca="1">IF(B27="","",COUNTIFS(Server_Inventory!$Z:$Z,B27,Server_Inventory!$P:$P,"R-RETIRED_IN_CMDB"))</f>
        <v/>
      </c>
      <c r="K27" s="12" t="str">
        <f ca="1">IF(B27="","",IFERROR(INDEX(Container_Inventory!$F:$F,MATCH(B27,Container_Inventory!$L:$L,0)),"Not Found"))</f>
        <v/>
      </c>
      <c r="L27" s="12" t="str">
        <f ca="1">IF(B27="","",IF(COUNTIF(Finding_List!$A:$A,B27)&gt;0,"Yes","No"))</f>
        <v/>
      </c>
      <c r="M27" s="12" t="str">
        <f ca="1">IF(B27="","",COUNTIF(Server_Inventory!$Z:$Z,B27))</f>
        <v/>
      </c>
      <c r="N27" s="12" t="str">
        <f ca="1">IF(B27="","",COUNTIF(Container_Inventory!$L:$L,B27))</f>
        <v/>
      </c>
    </row>
    <row r="28" spans="1:14" x14ac:dyDescent="0.2">
      <c r="A2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High"}))*(All_Risk_Apps!$K$4:$K$1233="No")*(All_Risk_Apps!$A$4:$A$1233&lt;&gt;"")),25)),"")</f>
        <v/>
      </c>
      <c r="B2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High"}))*(All_Risk_Apps!$K$4:$K$1233="No")*(All_Risk_Apps!$A$4:$A$1233&lt;&gt;"")),25)),"")</f>
        <v/>
      </c>
      <c r="C2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High"}))*(All_Risk_Apps!$K$4:$K$1233="No")*(All_Risk_Apps!$A$4:$A$1233&lt;&gt;"")),25)),"")</f>
        <v/>
      </c>
      <c r="D2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High"}))*(All_Risk_Apps!$K$4:$K$1233="No")*(All_Risk_Apps!$A$4:$A$1233&lt;&gt;"")),25)),"")</f>
        <v/>
      </c>
      <c r="E2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High"}))*(All_Risk_Apps!$K$4:$K$1233="No")*(All_Risk_Apps!$A$4:$A$1233&lt;&gt;"")),25)),"")</f>
        <v/>
      </c>
      <c r="F2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High"}))*(All_Risk_Apps!$K$4:$K$1233="No")*(All_Risk_Apps!$A$4:$A$1233&lt;&gt;"")),25)),"")</f>
        <v/>
      </c>
      <c r="G2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High"}))*(All_Risk_Apps!$K$4:$K$1233="No")*(All_Risk_Apps!$A$4:$A$1233&lt;&gt;"")),25)),"")</f>
        <v/>
      </c>
      <c r="H28" s="7" t="str">
        <f ca="1">IF(B28="","",IFERROR(INDEX(Server_Inventory!$R:$R,MATCH(B28,Server_Inventory!$Z:$Z,0)),"Not Found"))</f>
        <v/>
      </c>
      <c r="I28" s="7" t="str">
        <f ca="1">IF(B28="","",IFERROR(INDEX(Server_Inventory!$S:$S,MATCH(B28,Server_Inventory!$Z:$Z,0)),"Not Found"))</f>
        <v/>
      </c>
      <c r="J28" s="7" t="str">
        <f ca="1">IF(B28="","",COUNTIFS(Server_Inventory!$Z:$Z,B28,Server_Inventory!$P:$P,"R-RETIRED_IN_CMDB"))</f>
        <v/>
      </c>
      <c r="K28" s="7" t="str">
        <f ca="1">IF(B28="","",IFERROR(INDEX(Container_Inventory!$F:$F,MATCH(B28,Container_Inventory!$L:$L,0)),"Not Found"))</f>
        <v/>
      </c>
      <c r="L28" s="7" t="str">
        <f ca="1">IF(B28="","",IF(COUNTIF(Finding_List!$A:$A,B28)&gt;0,"Yes","No"))</f>
        <v/>
      </c>
      <c r="M28" s="7" t="str">
        <f ca="1">IF(B28="","",COUNTIF(Server_Inventory!$Z:$Z,B28))</f>
        <v/>
      </c>
      <c r="N28" s="7" t="str">
        <f ca="1">IF(B28="","",COUNTIF(Container_Inventory!$L:$L,B28))</f>
        <v/>
      </c>
    </row>
    <row r="29" spans="1:14" x14ac:dyDescent="0.2">
      <c r="A2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High"}))*(All_Risk_Apps!$K$4:$K$1233="No")*(All_Risk_Apps!$A$4:$A$1233&lt;&gt;"")),26)),"")</f>
        <v/>
      </c>
      <c r="B2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High"}))*(All_Risk_Apps!$K$4:$K$1233="No")*(All_Risk_Apps!$A$4:$A$1233&lt;&gt;"")),26)),"")</f>
        <v/>
      </c>
      <c r="C2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High"}))*(All_Risk_Apps!$K$4:$K$1233="No")*(All_Risk_Apps!$A$4:$A$1233&lt;&gt;"")),26)),"")</f>
        <v/>
      </c>
      <c r="D2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High"}))*(All_Risk_Apps!$K$4:$K$1233="No")*(All_Risk_Apps!$A$4:$A$1233&lt;&gt;"")),26)),"")</f>
        <v/>
      </c>
      <c r="E2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High"}))*(All_Risk_Apps!$K$4:$K$1233="No")*(All_Risk_Apps!$A$4:$A$1233&lt;&gt;"")),26)),"")</f>
        <v/>
      </c>
      <c r="F2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High"}))*(All_Risk_Apps!$K$4:$K$1233="No")*(All_Risk_Apps!$A$4:$A$1233&lt;&gt;"")),26)),"")</f>
        <v/>
      </c>
      <c r="G2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High"}))*(All_Risk_Apps!$K$4:$K$1233="No")*(All_Risk_Apps!$A$4:$A$1233&lt;&gt;"")),26)),"")</f>
        <v/>
      </c>
      <c r="H29" s="12" t="str">
        <f ca="1">IF(B29="","",IFERROR(INDEX(Server_Inventory!$R:$R,MATCH(B29,Server_Inventory!$Z:$Z,0)),"Not Found"))</f>
        <v/>
      </c>
      <c r="I29" s="12" t="str">
        <f ca="1">IF(B29="","",IFERROR(INDEX(Server_Inventory!$S:$S,MATCH(B29,Server_Inventory!$Z:$Z,0)),"Not Found"))</f>
        <v/>
      </c>
      <c r="J29" s="12" t="str">
        <f ca="1">IF(B29="","",COUNTIFS(Server_Inventory!$Z:$Z,B29,Server_Inventory!$P:$P,"R-RETIRED_IN_CMDB"))</f>
        <v/>
      </c>
      <c r="K29" s="12" t="str">
        <f ca="1">IF(B29="","",IFERROR(INDEX(Container_Inventory!$F:$F,MATCH(B29,Container_Inventory!$L:$L,0)),"Not Found"))</f>
        <v/>
      </c>
      <c r="L29" s="12" t="str">
        <f ca="1">IF(B29="","",IF(COUNTIF(Finding_List!$A:$A,B29)&gt;0,"Yes","No"))</f>
        <v/>
      </c>
      <c r="M29" s="12" t="str">
        <f ca="1">IF(B29="","",COUNTIF(Server_Inventory!$Z:$Z,B29))</f>
        <v/>
      </c>
      <c r="N29" s="12" t="str">
        <f ca="1">IF(B29="","",COUNTIF(Container_Inventory!$L:$L,B29))</f>
        <v/>
      </c>
    </row>
    <row r="30" spans="1:14" x14ac:dyDescent="0.2">
      <c r="A3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High"}))*(All_Risk_Apps!$K$4:$K$1233="No")*(All_Risk_Apps!$A$4:$A$1233&lt;&gt;"")),27)),"")</f>
        <v/>
      </c>
      <c r="B3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High"}))*(All_Risk_Apps!$K$4:$K$1233="No")*(All_Risk_Apps!$A$4:$A$1233&lt;&gt;"")),27)),"")</f>
        <v/>
      </c>
      <c r="C3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High"}))*(All_Risk_Apps!$K$4:$K$1233="No")*(All_Risk_Apps!$A$4:$A$1233&lt;&gt;"")),27)),"")</f>
        <v/>
      </c>
      <c r="D3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High"}))*(All_Risk_Apps!$K$4:$K$1233="No")*(All_Risk_Apps!$A$4:$A$1233&lt;&gt;"")),27)),"")</f>
        <v/>
      </c>
      <c r="E3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High"}))*(All_Risk_Apps!$K$4:$K$1233="No")*(All_Risk_Apps!$A$4:$A$1233&lt;&gt;"")),27)),"")</f>
        <v/>
      </c>
      <c r="F3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High"}))*(All_Risk_Apps!$K$4:$K$1233="No")*(All_Risk_Apps!$A$4:$A$1233&lt;&gt;"")),27)),"")</f>
        <v/>
      </c>
      <c r="G3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High"}))*(All_Risk_Apps!$K$4:$K$1233="No")*(All_Risk_Apps!$A$4:$A$1233&lt;&gt;"")),27)),"")</f>
        <v/>
      </c>
      <c r="H30" s="7" t="str">
        <f ca="1">IF(B30="","",IFERROR(INDEX(Server_Inventory!$R:$R,MATCH(B30,Server_Inventory!$Z:$Z,0)),"Not Found"))</f>
        <v/>
      </c>
      <c r="I30" s="7" t="str">
        <f ca="1">IF(B30="","",IFERROR(INDEX(Server_Inventory!$S:$S,MATCH(B30,Server_Inventory!$Z:$Z,0)),"Not Found"))</f>
        <v/>
      </c>
      <c r="J30" s="7" t="str">
        <f ca="1">IF(B30="","",COUNTIFS(Server_Inventory!$Z:$Z,B30,Server_Inventory!$P:$P,"R-RETIRED_IN_CMDB"))</f>
        <v/>
      </c>
      <c r="K30" s="7" t="str">
        <f ca="1">IF(B30="","",IFERROR(INDEX(Container_Inventory!$F:$F,MATCH(B30,Container_Inventory!$L:$L,0)),"Not Found"))</f>
        <v/>
      </c>
      <c r="L30" s="7" t="str">
        <f ca="1">IF(B30="","",IF(COUNTIF(Finding_List!$A:$A,B30)&gt;0,"Yes","No"))</f>
        <v/>
      </c>
      <c r="M30" s="7" t="str">
        <f ca="1">IF(B30="","",COUNTIF(Server_Inventory!$Z:$Z,B30))</f>
        <v/>
      </c>
      <c r="N30" s="7" t="str">
        <f ca="1">IF(B30="","",COUNTIF(Container_Inventory!$L:$L,B30))</f>
        <v/>
      </c>
    </row>
    <row r="31" spans="1:14" x14ac:dyDescent="0.2">
      <c r="A3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High"}))*(All_Risk_Apps!$K$4:$K$1233="No")*(All_Risk_Apps!$A$4:$A$1233&lt;&gt;"")),28)),"")</f>
        <v/>
      </c>
      <c r="B3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High"}))*(All_Risk_Apps!$K$4:$K$1233="No")*(All_Risk_Apps!$A$4:$A$1233&lt;&gt;"")),28)),"")</f>
        <v/>
      </c>
      <c r="C3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High"}))*(All_Risk_Apps!$K$4:$K$1233="No")*(All_Risk_Apps!$A$4:$A$1233&lt;&gt;"")),28)),"")</f>
        <v/>
      </c>
      <c r="D3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High"}))*(All_Risk_Apps!$K$4:$K$1233="No")*(All_Risk_Apps!$A$4:$A$1233&lt;&gt;"")),28)),"")</f>
        <v/>
      </c>
      <c r="E3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High"}))*(All_Risk_Apps!$K$4:$K$1233="No")*(All_Risk_Apps!$A$4:$A$1233&lt;&gt;"")),28)),"")</f>
        <v/>
      </c>
      <c r="F3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High"}))*(All_Risk_Apps!$K$4:$K$1233="No")*(All_Risk_Apps!$A$4:$A$1233&lt;&gt;"")),28)),"")</f>
        <v/>
      </c>
      <c r="G3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High"}))*(All_Risk_Apps!$K$4:$K$1233="No")*(All_Risk_Apps!$A$4:$A$1233&lt;&gt;"")),28)),"")</f>
        <v/>
      </c>
      <c r="H31" s="12" t="str">
        <f ca="1">IF(B31="","",IFERROR(INDEX(Server_Inventory!$R:$R,MATCH(B31,Server_Inventory!$Z:$Z,0)),"Not Found"))</f>
        <v/>
      </c>
      <c r="I31" s="12" t="str">
        <f ca="1">IF(B31="","",IFERROR(INDEX(Server_Inventory!$S:$S,MATCH(B31,Server_Inventory!$Z:$Z,0)),"Not Found"))</f>
        <v/>
      </c>
      <c r="J31" s="12" t="str">
        <f ca="1">IF(B31="","",COUNTIFS(Server_Inventory!$Z:$Z,B31,Server_Inventory!$P:$P,"R-RETIRED_IN_CMDB"))</f>
        <v/>
      </c>
      <c r="K31" s="12" t="str">
        <f ca="1">IF(B31="","",IFERROR(INDEX(Container_Inventory!$F:$F,MATCH(B31,Container_Inventory!$L:$L,0)),"Not Found"))</f>
        <v/>
      </c>
      <c r="L31" s="12" t="str">
        <f ca="1">IF(B31="","",IF(COUNTIF(Finding_List!$A:$A,B31)&gt;0,"Yes","No"))</f>
        <v/>
      </c>
      <c r="M31" s="12" t="str">
        <f ca="1">IF(B31="","",COUNTIF(Server_Inventory!$Z:$Z,B31))</f>
        <v/>
      </c>
      <c r="N31" s="12" t="str">
        <f ca="1">IF(B31="","",COUNTIF(Container_Inventory!$L:$L,B31))</f>
        <v/>
      </c>
    </row>
    <row r="32" spans="1:14" x14ac:dyDescent="0.2">
      <c r="A3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High"}))*(All_Risk_Apps!$K$4:$K$1233="No")*(All_Risk_Apps!$A$4:$A$1233&lt;&gt;"")),29)),"")</f>
        <v/>
      </c>
      <c r="B3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High"}))*(All_Risk_Apps!$K$4:$K$1233="No")*(All_Risk_Apps!$A$4:$A$1233&lt;&gt;"")),29)),"")</f>
        <v/>
      </c>
      <c r="C3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High"}))*(All_Risk_Apps!$K$4:$K$1233="No")*(All_Risk_Apps!$A$4:$A$1233&lt;&gt;"")),29)),"")</f>
        <v/>
      </c>
      <c r="D3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High"}))*(All_Risk_Apps!$K$4:$K$1233="No")*(All_Risk_Apps!$A$4:$A$1233&lt;&gt;"")),29)),"")</f>
        <v/>
      </c>
      <c r="E3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High"}))*(All_Risk_Apps!$K$4:$K$1233="No")*(All_Risk_Apps!$A$4:$A$1233&lt;&gt;"")),29)),"")</f>
        <v/>
      </c>
      <c r="F3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High"}))*(All_Risk_Apps!$K$4:$K$1233="No")*(All_Risk_Apps!$A$4:$A$1233&lt;&gt;"")),29)),"")</f>
        <v/>
      </c>
      <c r="G3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High"}))*(All_Risk_Apps!$K$4:$K$1233="No")*(All_Risk_Apps!$A$4:$A$1233&lt;&gt;"")),29)),"")</f>
        <v/>
      </c>
      <c r="H32" s="7" t="str">
        <f ca="1">IF(B32="","",IFERROR(INDEX(Server_Inventory!$R:$R,MATCH(B32,Server_Inventory!$Z:$Z,0)),"Not Found"))</f>
        <v/>
      </c>
      <c r="I32" s="7" t="str">
        <f ca="1">IF(B32="","",IFERROR(INDEX(Server_Inventory!$S:$S,MATCH(B32,Server_Inventory!$Z:$Z,0)),"Not Found"))</f>
        <v/>
      </c>
      <c r="J32" s="7" t="str">
        <f ca="1">IF(B32="","",COUNTIFS(Server_Inventory!$Z:$Z,B32,Server_Inventory!$P:$P,"R-RETIRED_IN_CMDB"))</f>
        <v/>
      </c>
      <c r="K32" s="7" t="str">
        <f ca="1">IF(B32="","",IFERROR(INDEX(Container_Inventory!$F:$F,MATCH(B32,Container_Inventory!$L:$L,0)),"Not Found"))</f>
        <v/>
      </c>
      <c r="L32" s="7" t="str">
        <f ca="1">IF(B32="","",IF(COUNTIF(Finding_List!$A:$A,B32)&gt;0,"Yes","No"))</f>
        <v/>
      </c>
      <c r="M32" s="7" t="str">
        <f ca="1">IF(B32="","",COUNTIF(Server_Inventory!$Z:$Z,B32))</f>
        <v/>
      </c>
      <c r="N32" s="7" t="str">
        <f ca="1">IF(B32="","",COUNTIF(Container_Inventory!$L:$L,B32))</f>
        <v/>
      </c>
    </row>
    <row r="33" spans="1:14" x14ac:dyDescent="0.2">
      <c r="A3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High"}))*(All_Risk_Apps!$K$4:$K$1233="No")*(All_Risk_Apps!$A$4:$A$1233&lt;&gt;"")),30)),"")</f>
        <v/>
      </c>
      <c r="B3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High"}))*(All_Risk_Apps!$K$4:$K$1233="No")*(All_Risk_Apps!$A$4:$A$1233&lt;&gt;"")),30)),"")</f>
        <v/>
      </c>
      <c r="C3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High"}))*(All_Risk_Apps!$K$4:$K$1233="No")*(All_Risk_Apps!$A$4:$A$1233&lt;&gt;"")),30)),"")</f>
        <v/>
      </c>
      <c r="D3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High"}))*(All_Risk_Apps!$K$4:$K$1233="No")*(All_Risk_Apps!$A$4:$A$1233&lt;&gt;"")),30)),"")</f>
        <v/>
      </c>
      <c r="E3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High"}))*(All_Risk_Apps!$K$4:$K$1233="No")*(All_Risk_Apps!$A$4:$A$1233&lt;&gt;"")),30)),"")</f>
        <v/>
      </c>
      <c r="F3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High"}))*(All_Risk_Apps!$K$4:$K$1233="No")*(All_Risk_Apps!$A$4:$A$1233&lt;&gt;"")),30)),"")</f>
        <v/>
      </c>
      <c r="G3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High"}))*(All_Risk_Apps!$K$4:$K$1233="No")*(All_Risk_Apps!$A$4:$A$1233&lt;&gt;"")),30)),"")</f>
        <v/>
      </c>
      <c r="H33" s="12" t="str">
        <f ca="1">IF(B33="","",IFERROR(INDEX(Server_Inventory!$R:$R,MATCH(B33,Server_Inventory!$Z:$Z,0)),"Not Found"))</f>
        <v/>
      </c>
      <c r="I33" s="12" t="str">
        <f ca="1">IF(B33="","",IFERROR(INDEX(Server_Inventory!$S:$S,MATCH(B33,Server_Inventory!$Z:$Z,0)),"Not Found"))</f>
        <v/>
      </c>
      <c r="J33" s="12" t="str">
        <f ca="1">IF(B33="","",COUNTIFS(Server_Inventory!$Z:$Z,B33,Server_Inventory!$P:$P,"R-RETIRED_IN_CMDB"))</f>
        <v/>
      </c>
      <c r="K33" s="12" t="str">
        <f ca="1">IF(B33="","",IFERROR(INDEX(Container_Inventory!$F:$F,MATCH(B33,Container_Inventory!$L:$L,0)),"Not Found"))</f>
        <v/>
      </c>
      <c r="L33" s="12" t="str">
        <f ca="1">IF(B33="","",IF(COUNTIF(Finding_List!$A:$A,B33)&gt;0,"Yes","No"))</f>
        <v/>
      </c>
      <c r="M33" s="12" t="str">
        <f ca="1">IF(B33="","",COUNTIF(Server_Inventory!$Z:$Z,B33))</f>
        <v/>
      </c>
      <c r="N33" s="12" t="str">
        <f ca="1">IF(B33="","",COUNTIF(Container_Inventory!$L:$L,B33))</f>
        <v/>
      </c>
    </row>
    <row r="34" spans="1:14" x14ac:dyDescent="0.2">
      <c r="A3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High"}))*(All_Risk_Apps!$K$4:$K$1233="No")*(All_Risk_Apps!$A$4:$A$1233&lt;&gt;"")),31)),"")</f>
        <v/>
      </c>
      <c r="B3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High"}))*(All_Risk_Apps!$K$4:$K$1233="No")*(All_Risk_Apps!$A$4:$A$1233&lt;&gt;"")),31)),"")</f>
        <v/>
      </c>
      <c r="C3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High"}))*(All_Risk_Apps!$K$4:$K$1233="No")*(All_Risk_Apps!$A$4:$A$1233&lt;&gt;"")),31)),"")</f>
        <v/>
      </c>
      <c r="D3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High"}))*(All_Risk_Apps!$K$4:$K$1233="No")*(All_Risk_Apps!$A$4:$A$1233&lt;&gt;"")),31)),"")</f>
        <v/>
      </c>
      <c r="E3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High"}))*(All_Risk_Apps!$K$4:$K$1233="No")*(All_Risk_Apps!$A$4:$A$1233&lt;&gt;"")),31)),"")</f>
        <v/>
      </c>
      <c r="F3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High"}))*(All_Risk_Apps!$K$4:$K$1233="No")*(All_Risk_Apps!$A$4:$A$1233&lt;&gt;"")),31)),"")</f>
        <v/>
      </c>
      <c r="G3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High"}))*(All_Risk_Apps!$K$4:$K$1233="No")*(All_Risk_Apps!$A$4:$A$1233&lt;&gt;"")),31)),"")</f>
        <v/>
      </c>
      <c r="H34" s="7" t="str">
        <f ca="1">IF(B34="","",IFERROR(INDEX(Server_Inventory!$R:$R,MATCH(B34,Server_Inventory!$Z:$Z,0)),"Not Found"))</f>
        <v/>
      </c>
      <c r="I34" s="7" t="str">
        <f ca="1">IF(B34="","",IFERROR(INDEX(Server_Inventory!$S:$S,MATCH(B34,Server_Inventory!$Z:$Z,0)),"Not Found"))</f>
        <v/>
      </c>
      <c r="J34" s="7" t="str">
        <f ca="1">IF(B34="","",COUNTIFS(Server_Inventory!$Z:$Z,B34,Server_Inventory!$P:$P,"R-RETIRED_IN_CMDB"))</f>
        <v/>
      </c>
      <c r="K34" s="7" t="str">
        <f ca="1">IF(B34="","",IFERROR(INDEX(Container_Inventory!$F:$F,MATCH(B34,Container_Inventory!$L:$L,0)),"Not Found"))</f>
        <v/>
      </c>
      <c r="L34" s="7" t="str">
        <f ca="1">IF(B34="","",IF(COUNTIF(Finding_List!$A:$A,B34)&gt;0,"Yes","No"))</f>
        <v/>
      </c>
      <c r="M34" s="7" t="str">
        <f ca="1">IF(B34="","",COUNTIF(Server_Inventory!$Z:$Z,B34))</f>
        <v/>
      </c>
      <c r="N34" s="7" t="str">
        <f ca="1">IF(B34="","",COUNTIF(Container_Inventory!$L:$L,B34))</f>
        <v/>
      </c>
    </row>
    <row r="35" spans="1:14" x14ac:dyDescent="0.2">
      <c r="A3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High"}))*(All_Risk_Apps!$K$4:$K$1233="No")*(All_Risk_Apps!$A$4:$A$1233&lt;&gt;"")),32)),"")</f>
        <v/>
      </c>
      <c r="B3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High"}))*(All_Risk_Apps!$K$4:$K$1233="No")*(All_Risk_Apps!$A$4:$A$1233&lt;&gt;"")),32)),"")</f>
        <v/>
      </c>
      <c r="C3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High"}))*(All_Risk_Apps!$K$4:$K$1233="No")*(All_Risk_Apps!$A$4:$A$1233&lt;&gt;"")),32)),"")</f>
        <v/>
      </c>
      <c r="D3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High"}))*(All_Risk_Apps!$K$4:$K$1233="No")*(All_Risk_Apps!$A$4:$A$1233&lt;&gt;"")),32)),"")</f>
        <v/>
      </c>
      <c r="E3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High"}))*(All_Risk_Apps!$K$4:$K$1233="No")*(All_Risk_Apps!$A$4:$A$1233&lt;&gt;"")),32)),"")</f>
        <v/>
      </c>
      <c r="F3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High"}))*(All_Risk_Apps!$K$4:$K$1233="No")*(All_Risk_Apps!$A$4:$A$1233&lt;&gt;"")),32)),"")</f>
        <v/>
      </c>
      <c r="G3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High"}))*(All_Risk_Apps!$K$4:$K$1233="No")*(All_Risk_Apps!$A$4:$A$1233&lt;&gt;"")),32)),"")</f>
        <v/>
      </c>
      <c r="H35" s="12" t="str">
        <f ca="1">IF(B35="","",IFERROR(INDEX(Server_Inventory!$R:$R,MATCH(B35,Server_Inventory!$Z:$Z,0)),"Not Found"))</f>
        <v/>
      </c>
      <c r="I35" s="12" t="str">
        <f ca="1">IF(B35="","",IFERROR(INDEX(Server_Inventory!$S:$S,MATCH(B35,Server_Inventory!$Z:$Z,0)),"Not Found"))</f>
        <v/>
      </c>
      <c r="J35" s="12" t="str">
        <f ca="1">IF(B35="","",COUNTIFS(Server_Inventory!$Z:$Z,B35,Server_Inventory!$P:$P,"R-RETIRED_IN_CMDB"))</f>
        <v/>
      </c>
      <c r="K35" s="12" t="str">
        <f ca="1">IF(B35="","",IFERROR(INDEX(Container_Inventory!$F:$F,MATCH(B35,Container_Inventory!$L:$L,0)),"Not Found"))</f>
        <v/>
      </c>
      <c r="L35" s="12" t="str">
        <f ca="1">IF(B35="","",IF(COUNTIF(Finding_List!$A:$A,B35)&gt;0,"Yes","No"))</f>
        <v/>
      </c>
      <c r="M35" s="12" t="str">
        <f ca="1">IF(B35="","",COUNTIF(Server_Inventory!$Z:$Z,B35))</f>
        <v/>
      </c>
      <c r="N35" s="12" t="str">
        <f ca="1">IF(B35="","",COUNTIF(Container_Inventory!$L:$L,B35))</f>
        <v/>
      </c>
    </row>
    <row r="36" spans="1:14" x14ac:dyDescent="0.2">
      <c r="A3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High"}))*(All_Risk_Apps!$K$4:$K$1233="No")*(All_Risk_Apps!$A$4:$A$1233&lt;&gt;"")),33)),"")</f>
        <v/>
      </c>
      <c r="B3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High"}))*(All_Risk_Apps!$K$4:$K$1233="No")*(All_Risk_Apps!$A$4:$A$1233&lt;&gt;"")),33)),"")</f>
        <v/>
      </c>
      <c r="C3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High"}))*(All_Risk_Apps!$K$4:$K$1233="No")*(All_Risk_Apps!$A$4:$A$1233&lt;&gt;"")),33)),"")</f>
        <v/>
      </c>
      <c r="D3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High"}))*(All_Risk_Apps!$K$4:$K$1233="No")*(All_Risk_Apps!$A$4:$A$1233&lt;&gt;"")),33)),"")</f>
        <v/>
      </c>
      <c r="E3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High"}))*(All_Risk_Apps!$K$4:$K$1233="No")*(All_Risk_Apps!$A$4:$A$1233&lt;&gt;"")),33)),"")</f>
        <v/>
      </c>
      <c r="F3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High"}))*(All_Risk_Apps!$K$4:$K$1233="No")*(All_Risk_Apps!$A$4:$A$1233&lt;&gt;"")),33)),"")</f>
        <v/>
      </c>
      <c r="G3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High"}))*(All_Risk_Apps!$K$4:$K$1233="No")*(All_Risk_Apps!$A$4:$A$1233&lt;&gt;"")),33)),"")</f>
        <v/>
      </c>
      <c r="H36" s="7" t="str">
        <f ca="1">IF(B36="","",IFERROR(INDEX(Server_Inventory!$R:$R,MATCH(B36,Server_Inventory!$Z:$Z,0)),"Not Found"))</f>
        <v/>
      </c>
      <c r="I36" s="7" t="str">
        <f ca="1">IF(B36="","",IFERROR(INDEX(Server_Inventory!$S:$S,MATCH(B36,Server_Inventory!$Z:$Z,0)),"Not Found"))</f>
        <v/>
      </c>
      <c r="J36" s="7" t="str">
        <f ca="1">IF(B36="","",COUNTIFS(Server_Inventory!$Z:$Z,B36,Server_Inventory!$P:$P,"R-RETIRED_IN_CMDB"))</f>
        <v/>
      </c>
      <c r="K36" s="7" t="str">
        <f ca="1">IF(B36="","",IFERROR(INDEX(Container_Inventory!$F:$F,MATCH(B36,Container_Inventory!$L:$L,0)),"Not Found"))</f>
        <v/>
      </c>
      <c r="L36" s="7" t="str">
        <f ca="1">IF(B36="","",IF(COUNTIF(Finding_List!$A:$A,B36)&gt;0,"Yes","No"))</f>
        <v/>
      </c>
      <c r="M36" s="7" t="str">
        <f ca="1">IF(B36="","",COUNTIF(Server_Inventory!$Z:$Z,B36))</f>
        <v/>
      </c>
      <c r="N36" s="7" t="str">
        <f ca="1">IF(B36="","",COUNTIF(Container_Inventory!$L:$L,B36))</f>
        <v/>
      </c>
    </row>
    <row r="37" spans="1:14" x14ac:dyDescent="0.2">
      <c r="A3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High"}))*(All_Risk_Apps!$K$4:$K$1233="No")*(All_Risk_Apps!$A$4:$A$1233&lt;&gt;"")),34)),"")</f>
        <v/>
      </c>
      <c r="B3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High"}))*(All_Risk_Apps!$K$4:$K$1233="No")*(All_Risk_Apps!$A$4:$A$1233&lt;&gt;"")),34)),"")</f>
        <v/>
      </c>
      <c r="C3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High"}))*(All_Risk_Apps!$K$4:$K$1233="No")*(All_Risk_Apps!$A$4:$A$1233&lt;&gt;"")),34)),"")</f>
        <v/>
      </c>
      <c r="D3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High"}))*(All_Risk_Apps!$K$4:$K$1233="No")*(All_Risk_Apps!$A$4:$A$1233&lt;&gt;"")),34)),"")</f>
        <v/>
      </c>
      <c r="E3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High"}))*(All_Risk_Apps!$K$4:$K$1233="No")*(All_Risk_Apps!$A$4:$A$1233&lt;&gt;"")),34)),"")</f>
        <v/>
      </c>
      <c r="F3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High"}))*(All_Risk_Apps!$K$4:$K$1233="No")*(All_Risk_Apps!$A$4:$A$1233&lt;&gt;"")),34)),"")</f>
        <v/>
      </c>
      <c r="G3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High"}))*(All_Risk_Apps!$K$4:$K$1233="No")*(All_Risk_Apps!$A$4:$A$1233&lt;&gt;"")),34)),"")</f>
        <v/>
      </c>
      <c r="H37" s="12" t="str">
        <f ca="1">IF(B37="","",IFERROR(INDEX(Server_Inventory!$R:$R,MATCH(B37,Server_Inventory!$Z:$Z,0)),"Not Found"))</f>
        <v/>
      </c>
      <c r="I37" s="12" t="str">
        <f ca="1">IF(B37="","",IFERROR(INDEX(Server_Inventory!$S:$S,MATCH(B37,Server_Inventory!$Z:$Z,0)),"Not Found"))</f>
        <v/>
      </c>
      <c r="J37" s="12" t="str">
        <f ca="1">IF(B37="","",COUNTIFS(Server_Inventory!$Z:$Z,B37,Server_Inventory!$P:$P,"R-RETIRED_IN_CMDB"))</f>
        <v/>
      </c>
      <c r="K37" s="12" t="str">
        <f ca="1">IF(B37="","",IFERROR(INDEX(Container_Inventory!$F:$F,MATCH(B37,Container_Inventory!$L:$L,0)),"Not Found"))</f>
        <v/>
      </c>
      <c r="L37" s="12" t="str">
        <f ca="1">IF(B37="","",IF(COUNTIF(Finding_List!$A:$A,B37)&gt;0,"Yes","No"))</f>
        <v/>
      </c>
      <c r="M37" s="12" t="str">
        <f ca="1">IF(B37="","",COUNTIF(Server_Inventory!$Z:$Z,B37))</f>
        <v/>
      </c>
      <c r="N37" s="12" t="str">
        <f ca="1">IF(B37="","",COUNTIF(Container_Inventory!$L:$L,B37))</f>
        <v/>
      </c>
    </row>
    <row r="38" spans="1:14" x14ac:dyDescent="0.2">
      <c r="A3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High"}))*(All_Risk_Apps!$K$4:$K$1233="No")*(All_Risk_Apps!$A$4:$A$1233&lt;&gt;"")),35)),"")</f>
        <v/>
      </c>
      <c r="B3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High"}))*(All_Risk_Apps!$K$4:$K$1233="No")*(All_Risk_Apps!$A$4:$A$1233&lt;&gt;"")),35)),"")</f>
        <v/>
      </c>
      <c r="C3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High"}))*(All_Risk_Apps!$K$4:$K$1233="No")*(All_Risk_Apps!$A$4:$A$1233&lt;&gt;"")),35)),"")</f>
        <v/>
      </c>
      <c r="D3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High"}))*(All_Risk_Apps!$K$4:$K$1233="No")*(All_Risk_Apps!$A$4:$A$1233&lt;&gt;"")),35)),"")</f>
        <v/>
      </c>
      <c r="E3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High"}))*(All_Risk_Apps!$K$4:$K$1233="No")*(All_Risk_Apps!$A$4:$A$1233&lt;&gt;"")),35)),"")</f>
        <v/>
      </c>
      <c r="F3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High"}))*(All_Risk_Apps!$K$4:$K$1233="No")*(All_Risk_Apps!$A$4:$A$1233&lt;&gt;"")),35)),"")</f>
        <v/>
      </c>
      <c r="G3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High"}))*(All_Risk_Apps!$K$4:$K$1233="No")*(All_Risk_Apps!$A$4:$A$1233&lt;&gt;"")),35)),"")</f>
        <v/>
      </c>
      <c r="H38" s="7" t="str">
        <f ca="1">IF(B38="","",IFERROR(INDEX(Server_Inventory!$R:$R,MATCH(B38,Server_Inventory!$Z:$Z,0)),"Not Found"))</f>
        <v/>
      </c>
      <c r="I38" s="7" t="str">
        <f ca="1">IF(B38="","",IFERROR(INDEX(Server_Inventory!$S:$S,MATCH(B38,Server_Inventory!$Z:$Z,0)),"Not Found"))</f>
        <v/>
      </c>
      <c r="J38" s="7" t="str">
        <f ca="1">IF(B38="","",COUNTIFS(Server_Inventory!$Z:$Z,B38,Server_Inventory!$P:$P,"R-RETIRED_IN_CMDB"))</f>
        <v/>
      </c>
      <c r="K38" s="7" t="str">
        <f ca="1">IF(B38="","",IFERROR(INDEX(Container_Inventory!$F:$F,MATCH(B38,Container_Inventory!$L:$L,0)),"Not Found"))</f>
        <v/>
      </c>
      <c r="L38" s="7" t="str">
        <f ca="1">IF(B38="","",IF(COUNTIF(Finding_List!$A:$A,B38)&gt;0,"Yes","No"))</f>
        <v/>
      </c>
      <c r="M38" s="7" t="str">
        <f ca="1">IF(B38="","",COUNTIF(Server_Inventory!$Z:$Z,B38))</f>
        <v/>
      </c>
      <c r="N38" s="7" t="str">
        <f ca="1">IF(B38="","",COUNTIF(Container_Inventory!$L:$L,B38))</f>
        <v/>
      </c>
    </row>
    <row r="39" spans="1:14" x14ac:dyDescent="0.2">
      <c r="A3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High"}))*(All_Risk_Apps!$K$4:$K$1233="No")*(All_Risk_Apps!$A$4:$A$1233&lt;&gt;"")),36)),"")</f>
        <v/>
      </c>
      <c r="B3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High"}))*(All_Risk_Apps!$K$4:$K$1233="No")*(All_Risk_Apps!$A$4:$A$1233&lt;&gt;"")),36)),"")</f>
        <v/>
      </c>
      <c r="C3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High"}))*(All_Risk_Apps!$K$4:$K$1233="No")*(All_Risk_Apps!$A$4:$A$1233&lt;&gt;"")),36)),"")</f>
        <v/>
      </c>
      <c r="D3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High"}))*(All_Risk_Apps!$K$4:$K$1233="No")*(All_Risk_Apps!$A$4:$A$1233&lt;&gt;"")),36)),"")</f>
        <v/>
      </c>
      <c r="E3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High"}))*(All_Risk_Apps!$K$4:$K$1233="No")*(All_Risk_Apps!$A$4:$A$1233&lt;&gt;"")),36)),"")</f>
        <v/>
      </c>
      <c r="F3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High"}))*(All_Risk_Apps!$K$4:$K$1233="No")*(All_Risk_Apps!$A$4:$A$1233&lt;&gt;"")),36)),"")</f>
        <v/>
      </c>
      <c r="G3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High"}))*(All_Risk_Apps!$K$4:$K$1233="No")*(All_Risk_Apps!$A$4:$A$1233&lt;&gt;"")),36)),"")</f>
        <v/>
      </c>
      <c r="H39" s="12" t="str">
        <f ca="1">IF(B39="","",IFERROR(INDEX(Server_Inventory!$R:$R,MATCH(B39,Server_Inventory!$Z:$Z,0)),"Not Found"))</f>
        <v/>
      </c>
      <c r="I39" s="12" t="str">
        <f ca="1">IF(B39="","",IFERROR(INDEX(Server_Inventory!$S:$S,MATCH(B39,Server_Inventory!$Z:$Z,0)),"Not Found"))</f>
        <v/>
      </c>
      <c r="J39" s="12" t="str">
        <f ca="1">IF(B39="","",COUNTIFS(Server_Inventory!$Z:$Z,B39,Server_Inventory!$P:$P,"R-RETIRED_IN_CMDB"))</f>
        <v/>
      </c>
      <c r="K39" s="12" t="str">
        <f ca="1">IF(B39="","",IFERROR(INDEX(Container_Inventory!$F:$F,MATCH(B39,Container_Inventory!$L:$L,0)),"Not Found"))</f>
        <v/>
      </c>
      <c r="L39" s="12" t="str">
        <f ca="1">IF(B39="","",IF(COUNTIF(Finding_List!$A:$A,B39)&gt;0,"Yes","No"))</f>
        <v/>
      </c>
      <c r="M39" s="12" t="str">
        <f ca="1">IF(B39="","",COUNTIF(Server_Inventory!$Z:$Z,B39))</f>
        <v/>
      </c>
      <c r="N39" s="12" t="str">
        <f ca="1">IF(B39="","",COUNTIF(Container_Inventory!$L:$L,B39))</f>
        <v/>
      </c>
    </row>
    <row r="40" spans="1:14" x14ac:dyDescent="0.2">
      <c r="A4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High"}))*(All_Risk_Apps!$K$4:$K$1233="No")*(All_Risk_Apps!$A$4:$A$1233&lt;&gt;"")),37)),"")</f>
        <v/>
      </c>
      <c r="B4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High"}))*(All_Risk_Apps!$K$4:$K$1233="No")*(All_Risk_Apps!$A$4:$A$1233&lt;&gt;"")),37)),"")</f>
        <v/>
      </c>
      <c r="C4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High"}))*(All_Risk_Apps!$K$4:$K$1233="No")*(All_Risk_Apps!$A$4:$A$1233&lt;&gt;"")),37)),"")</f>
        <v/>
      </c>
      <c r="D4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High"}))*(All_Risk_Apps!$K$4:$K$1233="No")*(All_Risk_Apps!$A$4:$A$1233&lt;&gt;"")),37)),"")</f>
        <v/>
      </c>
      <c r="E4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High"}))*(All_Risk_Apps!$K$4:$K$1233="No")*(All_Risk_Apps!$A$4:$A$1233&lt;&gt;"")),37)),"")</f>
        <v/>
      </c>
      <c r="F4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High"}))*(All_Risk_Apps!$K$4:$K$1233="No")*(All_Risk_Apps!$A$4:$A$1233&lt;&gt;"")),37)),"")</f>
        <v/>
      </c>
      <c r="G4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High"}))*(All_Risk_Apps!$K$4:$K$1233="No")*(All_Risk_Apps!$A$4:$A$1233&lt;&gt;"")),37)),"")</f>
        <v/>
      </c>
      <c r="H40" s="7" t="str">
        <f ca="1">IF(B40="","",IFERROR(INDEX(Server_Inventory!$R:$R,MATCH(B40,Server_Inventory!$Z:$Z,0)),"Not Found"))</f>
        <v/>
      </c>
      <c r="I40" s="7" t="str">
        <f ca="1">IF(B40="","",IFERROR(INDEX(Server_Inventory!$S:$S,MATCH(B40,Server_Inventory!$Z:$Z,0)),"Not Found"))</f>
        <v/>
      </c>
      <c r="J40" s="7" t="str">
        <f ca="1">IF(B40="","",COUNTIFS(Server_Inventory!$Z:$Z,B40,Server_Inventory!$P:$P,"R-RETIRED_IN_CMDB"))</f>
        <v/>
      </c>
      <c r="K40" s="7" t="str">
        <f ca="1">IF(B40="","",IFERROR(INDEX(Container_Inventory!$F:$F,MATCH(B40,Container_Inventory!$L:$L,0)),"Not Found"))</f>
        <v/>
      </c>
      <c r="L40" s="7" t="str">
        <f ca="1">IF(B40="","",IF(COUNTIF(Finding_List!$A:$A,B40)&gt;0,"Yes","No"))</f>
        <v/>
      </c>
      <c r="M40" s="7" t="str">
        <f ca="1">IF(B40="","",COUNTIF(Server_Inventory!$Z:$Z,B40))</f>
        <v/>
      </c>
      <c r="N40" s="7" t="str">
        <f ca="1">IF(B40="","",COUNTIF(Container_Inventory!$L:$L,B40))</f>
        <v/>
      </c>
    </row>
    <row r="41" spans="1:14" x14ac:dyDescent="0.2">
      <c r="A4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High"}))*(All_Risk_Apps!$K$4:$K$1233="No")*(All_Risk_Apps!$A$4:$A$1233&lt;&gt;"")),38)),"")</f>
        <v/>
      </c>
      <c r="B4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High"}))*(All_Risk_Apps!$K$4:$K$1233="No")*(All_Risk_Apps!$A$4:$A$1233&lt;&gt;"")),38)),"")</f>
        <v/>
      </c>
      <c r="C4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High"}))*(All_Risk_Apps!$K$4:$K$1233="No")*(All_Risk_Apps!$A$4:$A$1233&lt;&gt;"")),38)),"")</f>
        <v/>
      </c>
      <c r="D4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High"}))*(All_Risk_Apps!$K$4:$K$1233="No")*(All_Risk_Apps!$A$4:$A$1233&lt;&gt;"")),38)),"")</f>
        <v/>
      </c>
      <c r="E4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High"}))*(All_Risk_Apps!$K$4:$K$1233="No")*(All_Risk_Apps!$A$4:$A$1233&lt;&gt;"")),38)),"")</f>
        <v/>
      </c>
      <c r="F4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High"}))*(All_Risk_Apps!$K$4:$K$1233="No")*(All_Risk_Apps!$A$4:$A$1233&lt;&gt;"")),38)),"")</f>
        <v/>
      </c>
      <c r="G4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High"}))*(All_Risk_Apps!$K$4:$K$1233="No")*(All_Risk_Apps!$A$4:$A$1233&lt;&gt;"")),38)),"")</f>
        <v/>
      </c>
      <c r="H41" s="12" t="str">
        <f ca="1">IF(B41="","",IFERROR(INDEX(Server_Inventory!$R:$R,MATCH(B41,Server_Inventory!$Z:$Z,0)),"Not Found"))</f>
        <v/>
      </c>
      <c r="I41" s="12" t="str">
        <f ca="1">IF(B41="","",IFERROR(INDEX(Server_Inventory!$S:$S,MATCH(B41,Server_Inventory!$Z:$Z,0)),"Not Found"))</f>
        <v/>
      </c>
      <c r="J41" s="12" t="str">
        <f ca="1">IF(B41="","",COUNTIFS(Server_Inventory!$Z:$Z,B41,Server_Inventory!$P:$P,"R-RETIRED_IN_CMDB"))</f>
        <v/>
      </c>
      <c r="K41" s="12" t="str">
        <f ca="1">IF(B41="","",IFERROR(INDEX(Container_Inventory!$F:$F,MATCH(B41,Container_Inventory!$L:$L,0)),"Not Found"))</f>
        <v/>
      </c>
      <c r="L41" s="12" t="str">
        <f ca="1">IF(B41="","",IF(COUNTIF(Finding_List!$A:$A,B41)&gt;0,"Yes","No"))</f>
        <v/>
      </c>
      <c r="M41" s="12" t="str">
        <f ca="1">IF(B41="","",COUNTIF(Server_Inventory!$Z:$Z,B41))</f>
        <v/>
      </c>
      <c r="N41" s="12" t="str">
        <f ca="1">IF(B41="","",COUNTIF(Container_Inventory!$L:$L,B41))</f>
        <v/>
      </c>
    </row>
    <row r="42" spans="1:14" x14ac:dyDescent="0.2">
      <c r="A4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High"}))*(All_Risk_Apps!$K$4:$K$1233="No")*(All_Risk_Apps!$A$4:$A$1233&lt;&gt;"")),39)),"")</f>
        <v/>
      </c>
      <c r="B4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High"}))*(All_Risk_Apps!$K$4:$K$1233="No")*(All_Risk_Apps!$A$4:$A$1233&lt;&gt;"")),39)),"")</f>
        <v/>
      </c>
      <c r="C4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High"}))*(All_Risk_Apps!$K$4:$K$1233="No")*(All_Risk_Apps!$A$4:$A$1233&lt;&gt;"")),39)),"")</f>
        <v/>
      </c>
      <c r="D4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High"}))*(All_Risk_Apps!$K$4:$K$1233="No")*(All_Risk_Apps!$A$4:$A$1233&lt;&gt;"")),39)),"")</f>
        <v/>
      </c>
      <c r="E4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High"}))*(All_Risk_Apps!$K$4:$K$1233="No")*(All_Risk_Apps!$A$4:$A$1233&lt;&gt;"")),39)),"")</f>
        <v/>
      </c>
      <c r="F4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High"}))*(All_Risk_Apps!$K$4:$K$1233="No")*(All_Risk_Apps!$A$4:$A$1233&lt;&gt;"")),39)),"")</f>
        <v/>
      </c>
      <c r="G4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High"}))*(All_Risk_Apps!$K$4:$K$1233="No")*(All_Risk_Apps!$A$4:$A$1233&lt;&gt;"")),39)),"")</f>
        <v/>
      </c>
      <c r="H42" s="7" t="str">
        <f ca="1">IF(B42="","",IFERROR(INDEX(Server_Inventory!$R:$R,MATCH(B42,Server_Inventory!$Z:$Z,0)),"Not Found"))</f>
        <v/>
      </c>
      <c r="I42" s="7" t="str">
        <f ca="1">IF(B42="","",IFERROR(INDEX(Server_Inventory!$S:$S,MATCH(B42,Server_Inventory!$Z:$Z,0)),"Not Found"))</f>
        <v/>
      </c>
      <c r="J42" s="7" t="str">
        <f ca="1">IF(B42="","",COUNTIFS(Server_Inventory!$Z:$Z,B42,Server_Inventory!$P:$P,"R-RETIRED_IN_CMDB"))</f>
        <v/>
      </c>
      <c r="K42" s="7" t="str">
        <f ca="1">IF(B42="","",IFERROR(INDEX(Container_Inventory!$F:$F,MATCH(B42,Container_Inventory!$L:$L,0)),"Not Found"))</f>
        <v/>
      </c>
      <c r="L42" s="7" t="str">
        <f ca="1">IF(B42="","",IF(COUNTIF(Finding_List!$A:$A,B42)&gt;0,"Yes","No"))</f>
        <v/>
      </c>
      <c r="M42" s="7" t="str">
        <f ca="1">IF(B42="","",COUNTIF(Server_Inventory!$Z:$Z,B42))</f>
        <v/>
      </c>
      <c r="N42" s="7" t="str">
        <f ca="1">IF(B42="","",COUNTIF(Container_Inventory!$L:$L,B42))</f>
        <v/>
      </c>
    </row>
    <row r="43" spans="1:14" x14ac:dyDescent="0.2">
      <c r="A4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High"}))*(All_Risk_Apps!$K$4:$K$1233="No")*(All_Risk_Apps!$A$4:$A$1233&lt;&gt;"")),40)),"")</f>
        <v/>
      </c>
      <c r="B4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High"}))*(All_Risk_Apps!$K$4:$K$1233="No")*(All_Risk_Apps!$A$4:$A$1233&lt;&gt;"")),40)),"")</f>
        <v/>
      </c>
      <c r="C4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High"}))*(All_Risk_Apps!$K$4:$K$1233="No")*(All_Risk_Apps!$A$4:$A$1233&lt;&gt;"")),40)),"")</f>
        <v/>
      </c>
      <c r="D4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High"}))*(All_Risk_Apps!$K$4:$K$1233="No")*(All_Risk_Apps!$A$4:$A$1233&lt;&gt;"")),40)),"")</f>
        <v/>
      </c>
      <c r="E4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High"}))*(All_Risk_Apps!$K$4:$K$1233="No")*(All_Risk_Apps!$A$4:$A$1233&lt;&gt;"")),40)),"")</f>
        <v/>
      </c>
      <c r="F4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High"}))*(All_Risk_Apps!$K$4:$K$1233="No")*(All_Risk_Apps!$A$4:$A$1233&lt;&gt;"")),40)),"")</f>
        <v/>
      </c>
      <c r="G4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High"}))*(All_Risk_Apps!$K$4:$K$1233="No")*(All_Risk_Apps!$A$4:$A$1233&lt;&gt;"")),40)),"")</f>
        <v/>
      </c>
      <c r="H43" s="12" t="str">
        <f ca="1">IF(B43="","",IFERROR(INDEX(Server_Inventory!$R:$R,MATCH(B43,Server_Inventory!$Z:$Z,0)),"Not Found"))</f>
        <v/>
      </c>
      <c r="I43" s="12" t="str">
        <f ca="1">IF(B43="","",IFERROR(INDEX(Server_Inventory!$S:$S,MATCH(B43,Server_Inventory!$Z:$Z,0)),"Not Found"))</f>
        <v/>
      </c>
      <c r="J43" s="12" t="str">
        <f ca="1">IF(B43="","",COUNTIFS(Server_Inventory!$Z:$Z,B43,Server_Inventory!$P:$P,"R-RETIRED_IN_CMDB"))</f>
        <v/>
      </c>
      <c r="K43" s="12" t="str">
        <f ca="1">IF(B43="","",IFERROR(INDEX(Container_Inventory!$F:$F,MATCH(B43,Container_Inventory!$L:$L,0)),"Not Found"))</f>
        <v/>
      </c>
      <c r="L43" s="12" t="str">
        <f ca="1">IF(B43="","",IF(COUNTIF(Finding_List!$A:$A,B43)&gt;0,"Yes","No"))</f>
        <v/>
      </c>
      <c r="M43" s="12" t="str">
        <f ca="1">IF(B43="","",COUNTIF(Server_Inventory!$Z:$Z,B43))</f>
        <v/>
      </c>
      <c r="N43" s="12" t="str">
        <f ca="1">IF(B43="","",COUNTIF(Container_Inventory!$L:$L,B43))</f>
        <v/>
      </c>
    </row>
    <row r="44" spans="1:14" x14ac:dyDescent="0.2">
      <c r="A4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High"}))*(All_Risk_Apps!$K$4:$K$1233="No")*(All_Risk_Apps!$A$4:$A$1233&lt;&gt;"")),41)),"")</f>
        <v/>
      </c>
      <c r="B4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High"}))*(All_Risk_Apps!$K$4:$K$1233="No")*(All_Risk_Apps!$A$4:$A$1233&lt;&gt;"")),41)),"")</f>
        <v/>
      </c>
      <c r="C4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High"}))*(All_Risk_Apps!$K$4:$K$1233="No")*(All_Risk_Apps!$A$4:$A$1233&lt;&gt;"")),41)),"")</f>
        <v/>
      </c>
      <c r="D4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High"}))*(All_Risk_Apps!$K$4:$K$1233="No")*(All_Risk_Apps!$A$4:$A$1233&lt;&gt;"")),41)),"")</f>
        <v/>
      </c>
      <c r="E4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High"}))*(All_Risk_Apps!$K$4:$K$1233="No")*(All_Risk_Apps!$A$4:$A$1233&lt;&gt;"")),41)),"")</f>
        <v/>
      </c>
      <c r="F4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High"}))*(All_Risk_Apps!$K$4:$K$1233="No")*(All_Risk_Apps!$A$4:$A$1233&lt;&gt;"")),41)),"")</f>
        <v/>
      </c>
      <c r="G4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High"}))*(All_Risk_Apps!$K$4:$K$1233="No")*(All_Risk_Apps!$A$4:$A$1233&lt;&gt;"")),41)),"")</f>
        <v/>
      </c>
      <c r="H44" s="7" t="str">
        <f ca="1">IF(B44="","",IFERROR(INDEX(Server_Inventory!$R:$R,MATCH(B44,Server_Inventory!$Z:$Z,0)),"Not Found"))</f>
        <v/>
      </c>
      <c r="I44" s="7" t="str">
        <f ca="1">IF(B44="","",IFERROR(INDEX(Server_Inventory!$S:$S,MATCH(B44,Server_Inventory!$Z:$Z,0)),"Not Found"))</f>
        <v/>
      </c>
      <c r="J44" s="7" t="str">
        <f ca="1">IF(B44="","",COUNTIFS(Server_Inventory!$Z:$Z,B44,Server_Inventory!$P:$P,"R-RETIRED_IN_CMDB"))</f>
        <v/>
      </c>
      <c r="K44" s="7" t="str">
        <f ca="1">IF(B44="","",IFERROR(INDEX(Container_Inventory!$F:$F,MATCH(B44,Container_Inventory!$L:$L,0)),"Not Found"))</f>
        <v/>
      </c>
      <c r="L44" s="7" t="str">
        <f ca="1">IF(B44="","",IF(COUNTIF(Finding_List!$A:$A,B44)&gt;0,"Yes","No"))</f>
        <v/>
      </c>
      <c r="M44" s="7" t="str">
        <f ca="1">IF(B44="","",COUNTIF(Server_Inventory!$Z:$Z,B44))</f>
        <v/>
      </c>
      <c r="N44" s="7" t="str">
        <f ca="1">IF(B44="","",COUNTIF(Container_Inventory!$L:$L,B44))</f>
        <v/>
      </c>
    </row>
    <row r="45" spans="1:14" x14ac:dyDescent="0.2">
      <c r="A4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High"}))*(All_Risk_Apps!$K$4:$K$1233="No")*(All_Risk_Apps!$A$4:$A$1233&lt;&gt;"")),42)),"")</f>
        <v/>
      </c>
      <c r="B4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High"}))*(All_Risk_Apps!$K$4:$K$1233="No")*(All_Risk_Apps!$A$4:$A$1233&lt;&gt;"")),42)),"")</f>
        <v/>
      </c>
      <c r="C4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High"}))*(All_Risk_Apps!$K$4:$K$1233="No")*(All_Risk_Apps!$A$4:$A$1233&lt;&gt;"")),42)),"")</f>
        <v/>
      </c>
      <c r="D4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High"}))*(All_Risk_Apps!$K$4:$K$1233="No")*(All_Risk_Apps!$A$4:$A$1233&lt;&gt;"")),42)),"")</f>
        <v/>
      </c>
      <c r="E4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High"}))*(All_Risk_Apps!$K$4:$K$1233="No")*(All_Risk_Apps!$A$4:$A$1233&lt;&gt;"")),42)),"")</f>
        <v/>
      </c>
      <c r="F4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High"}))*(All_Risk_Apps!$K$4:$K$1233="No")*(All_Risk_Apps!$A$4:$A$1233&lt;&gt;"")),42)),"")</f>
        <v/>
      </c>
      <c r="G4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High"}))*(All_Risk_Apps!$K$4:$K$1233="No")*(All_Risk_Apps!$A$4:$A$1233&lt;&gt;"")),42)),"")</f>
        <v/>
      </c>
      <c r="H45" s="12" t="str">
        <f ca="1">IF(B45="","",IFERROR(INDEX(Server_Inventory!$R:$R,MATCH(B45,Server_Inventory!$Z:$Z,0)),"Not Found"))</f>
        <v/>
      </c>
      <c r="I45" s="12" t="str">
        <f ca="1">IF(B45="","",IFERROR(INDEX(Server_Inventory!$S:$S,MATCH(B45,Server_Inventory!$Z:$Z,0)),"Not Found"))</f>
        <v/>
      </c>
      <c r="J45" s="12" t="str">
        <f ca="1">IF(B45="","",COUNTIFS(Server_Inventory!$Z:$Z,B45,Server_Inventory!$P:$P,"R-RETIRED_IN_CMDB"))</f>
        <v/>
      </c>
      <c r="K45" s="12" t="str">
        <f ca="1">IF(B45="","",IFERROR(INDEX(Container_Inventory!$F:$F,MATCH(B45,Container_Inventory!$L:$L,0)),"Not Found"))</f>
        <v/>
      </c>
      <c r="L45" s="12" t="str">
        <f ca="1">IF(B45="","",IF(COUNTIF(Finding_List!$A:$A,B45)&gt;0,"Yes","No"))</f>
        <v/>
      </c>
      <c r="M45" s="12" t="str">
        <f ca="1">IF(B45="","",COUNTIF(Server_Inventory!$Z:$Z,B45))</f>
        <v/>
      </c>
      <c r="N45" s="12" t="str">
        <f ca="1">IF(B45="","",COUNTIF(Container_Inventory!$L:$L,B45))</f>
        <v/>
      </c>
    </row>
    <row r="46" spans="1:14" x14ac:dyDescent="0.2">
      <c r="A4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High"}))*(All_Risk_Apps!$K$4:$K$1233="No")*(All_Risk_Apps!$A$4:$A$1233&lt;&gt;"")),43)),"")</f>
        <v/>
      </c>
      <c r="B4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High"}))*(All_Risk_Apps!$K$4:$K$1233="No")*(All_Risk_Apps!$A$4:$A$1233&lt;&gt;"")),43)),"")</f>
        <v/>
      </c>
      <c r="C4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High"}))*(All_Risk_Apps!$K$4:$K$1233="No")*(All_Risk_Apps!$A$4:$A$1233&lt;&gt;"")),43)),"")</f>
        <v/>
      </c>
      <c r="D4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High"}))*(All_Risk_Apps!$K$4:$K$1233="No")*(All_Risk_Apps!$A$4:$A$1233&lt;&gt;"")),43)),"")</f>
        <v/>
      </c>
      <c r="E4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High"}))*(All_Risk_Apps!$K$4:$K$1233="No")*(All_Risk_Apps!$A$4:$A$1233&lt;&gt;"")),43)),"")</f>
        <v/>
      </c>
      <c r="F4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High"}))*(All_Risk_Apps!$K$4:$K$1233="No")*(All_Risk_Apps!$A$4:$A$1233&lt;&gt;"")),43)),"")</f>
        <v/>
      </c>
      <c r="G4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High"}))*(All_Risk_Apps!$K$4:$K$1233="No")*(All_Risk_Apps!$A$4:$A$1233&lt;&gt;"")),43)),"")</f>
        <v/>
      </c>
      <c r="H46" s="7" t="str">
        <f ca="1">IF(B46="","",IFERROR(INDEX(Server_Inventory!$R:$R,MATCH(B46,Server_Inventory!$Z:$Z,0)),"Not Found"))</f>
        <v/>
      </c>
      <c r="I46" s="7" t="str">
        <f ca="1">IF(B46="","",IFERROR(INDEX(Server_Inventory!$S:$S,MATCH(B46,Server_Inventory!$Z:$Z,0)),"Not Found"))</f>
        <v/>
      </c>
      <c r="J46" s="7" t="str">
        <f ca="1">IF(B46="","",COUNTIFS(Server_Inventory!$Z:$Z,B46,Server_Inventory!$P:$P,"R-RETIRED_IN_CMDB"))</f>
        <v/>
      </c>
      <c r="K46" s="7" t="str">
        <f ca="1">IF(B46="","",IFERROR(INDEX(Container_Inventory!$F:$F,MATCH(B46,Container_Inventory!$L:$L,0)),"Not Found"))</f>
        <v/>
      </c>
      <c r="L46" s="7" t="str">
        <f ca="1">IF(B46="","",IF(COUNTIF(Finding_List!$A:$A,B46)&gt;0,"Yes","No"))</f>
        <v/>
      </c>
      <c r="M46" s="7" t="str">
        <f ca="1">IF(B46="","",COUNTIF(Server_Inventory!$Z:$Z,B46))</f>
        <v/>
      </c>
      <c r="N46" s="7" t="str">
        <f ca="1">IF(B46="","",COUNTIF(Container_Inventory!$L:$L,B46))</f>
        <v/>
      </c>
    </row>
    <row r="47" spans="1:14" x14ac:dyDescent="0.2">
      <c r="A4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High"}))*(All_Risk_Apps!$K$4:$K$1233="No")*(All_Risk_Apps!$A$4:$A$1233&lt;&gt;"")),44)),"")</f>
        <v/>
      </c>
      <c r="B4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High"}))*(All_Risk_Apps!$K$4:$K$1233="No")*(All_Risk_Apps!$A$4:$A$1233&lt;&gt;"")),44)),"")</f>
        <v/>
      </c>
      <c r="C4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High"}))*(All_Risk_Apps!$K$4:$K$1233="No")*(All_Risk_Apps!$A$4:$A$1233&lt;&gt;"")),44)),"")</f>
        <v/>
      </c>
      <c r="D4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High"}))*(All_Risk_Apps!$K$4:$K$1233="No")*(All_Risk_Apps!$A$4:$A$1233&lt;&gt;"")),44)),"")</f>
        <v/>
      </c>
      <c r="E4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High"}))*(All_Risk_Apps!$K$4:$K$1233="No")*(All_Risk_Apps!$A$4:$A$1233&lt;&gt;"")),44)),"")</f>
        <v/>
      </c>
      <c r="F4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High"}))*(All_Risk_Apps!$K$4:$K$1233="No")*(All_Risk_Apps!$A$4:$A$1233&lt;&gt;"")),44)),"")</f>
        <v/>
      </c>
      <c r="G4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High"}))*(All_Risk_Apps!$K$4:$K$1233="No")*(All_Risk_Apps!$A$4:$A$1233&lt;&gt;"")),44)),"")</f>
        <v/>
      </c>
      <c r="H47" s="12" t="str">
        <f ca="1">IF(B47="","",IFERROR(INDEX(Server_Inventory!$R:$R,MATCH(B47,Server_Inventory!$Z:$Z,0)),"Not Found"))</f>
        <v/>
      </c>
      <c r="I47" s="12" t="str">
        <f ca="1">IF(B47="","",IFERROR(INDEX(Server_Inventory!$S:$S,MATCH(B47,Server_Inventory!$Z:$Z,0)),"Not Found"))</f>
        <v/>
      </c>
      <c r="J47" s="12" t="str">
        <f ca="1">IF(B47="","",COUNTIFS(Server_Inventory!$Z:$Z,B47,Server_Inventory!$P:$P,"R-RETIRED_IN_CMDB"))</f>
        <v/>
      </c>
      <c r="K47" s="12" t="str">
        <f ca="1">IF(B47="","",IFERROR(INDEX(Container_Inventory!$F:$F,MATCH(B47,Container_Inventory!$L:$L,0)),"Not Found"))</f>
        <v/>
      </c>
      <c r="L47" s="12" t="str">
        <f ca="1">IF(B47="","",IF(COUNTIF(Finding_List!$A:$A,B47)&gt;0,"Yes","No"))</f>
        <v/>
      </c>
      <c r="M47" s="12" t="str">
        <f ca="1">IF(B47="","",COUNTIF(Server_Inventory!$Z:$Z,B47))</f>
        <v/>
      </c>
      <c r="N47" s="12" t="str">
        <f ca="1">IF(B47="","",COUNTIF(Container_Inventory!$L:$L,B47))</f>
        <v/>
      </c>
    </row>
    <row r="48" spans="1:14" x14ac:dyDescent="0.2">
      <c r="A4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High"}))*(All_Risk_Apps!$K$4:$K$1233="No")*(All_Risk_Apps!$A$4:$A$1233&lt;&gt;"")),45)),"")</f>
        <v/>
      </c>
      <c r="B4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High"}))*(All_Risk_Apps!$K$4:$K$1233="No")*(All_Risk_Apps!$A$4:$A$1233&lt;&gt;"")),45)),"")</f>
        <v/>
      </c>
      <c r="C4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High"}))*(All_Risk_Apps!$K$4:$K$1233="No")*(All_Risk_Apps!$A$4:$A$1233&lt;&gt;"")),45)),"")</f>
        <v/>
      </c>
      <c r="D4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High"}))*(All_Risk_Apps!$K$4:$K$1233="No")*(All_Risk_Apps!$A$4:$A$1233&lt;&gt;"")),45)),"")</f>
        <v/>
      </c>
      <c r="E4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High"}))*(All_Risk_Apps!$K$4:$K$1233="No")*(All_Risk_Apps!$A$4:$A$1233&lt;&gt;"")),45)),"")</f>
        <v/>
      </c>
      <c r="F4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High"}))*(All_Risk_Apps!$K$4:$K$1233="No")*(All_Risk_Apps!$A$4:$A$1233&lt;&gt;"")),45)),"")</f>
        <v/>
      </c>
      <c r="G4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High"}))*(All_Risk_Apps!$K$4:$K$1233="No")*(All_Risk_Apps!$A$4:$A$1233&lt;&gt;"")),45)),"")</f>
        <v/>
      </c>
      <c r="H48" s="7" t="str">
        <f ca="1">IF(B48="","",IFERROR(INDEX(Server_Inventory!$R:$R,MATCH(B48,Server_Inventory!$Z:$Z,0)),"Not Found"))</f>
        <v/>
      </c>
      <c r="I48" s="7" t="str">
        <f ca="1">IF(B48="","",IFERROR(INDEX(Server_Inventory!$S:$S,MATCH(B48,Server_Inventory!$Z:$Z,0)),"Not Found"))</f>
        <v/>
      </c>
      <c r="J48" s="7" t="str">
        <f ca="1">IF(B48="","",COUNTIFS(Server_Inventory!$Z:$Z,B48,Server_Inventory!$P:$P,"R-RETIRED_IN_CMDB"))</f>
        <v/>
      </c>
      <c r="K48" s="7" t="str">
        <f ca="1">IF(B48="","",IFERROR(INDEX(Container_Inventory!$F:$F,MATCH(B48,Container_Inventory!$L:$L,0)),"Not Found"))</f>
        <v/>
      </c>
      <c r="L48" s="7" t="str">
        <f ca="1">IF(B48="","",IF(COUNTIF(Finding_List!$A:$A,B48)&gt;0,"Yes","No"))</f>
        <v/>
      </c>
      <c r="M48" s="7" t="str">
        <f ca="1">IF(B48="","",COUNTIF(Server_Inventory!$Z:$Z,B48))</f>
        <v/>
      </c>
      <c r="N48" s="7" t="str">
        <f ca="1">IF(B48="","",COUNTIF(Container_Inventory!$L:$L,B48))</f>
        <v/>
      </c>
    </row>
    <row r="49" spans="1:14" x14ac:dyDescent="0.2">
      <c r="A4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High"}))*(All_Risk_Apps!$K$4:$K$1233="No")*(All_Risk_Apps!$A$4:$A$1233&lt;&gt;"")),46)),"")</f>
        <v/>
      </c>
      <c r="B4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High"}))*(All_Risk_Apps!$K$4:$K$1233="No")*(All_Risk_Apps!$A$4:$A$1233&lt;&gt;"")),46)),"")</f>
        <v/>
      </c>
      <c r="C4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High"}))*(All_Risk_Apps!$K$4:$K$1233="No")*(All_Risk_Apps!$A$4:$A$1233&lt;&gt;"")),46)),"")</f>
        <v/>
      </c>
      <c r="D4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High"}))*(All_Risk_Apps!$K$4:$K$1233="No")*(All_Risk_Apps!$A$4:$A$1233&lt;&gt;"")),46)),"")</f>
        <v/>
      </c>
      <c r="E4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High"}))*(All_Risk_Apps!$K$4:$K$1233="No")*(All_Risk_Apps!$A$4:$A$1233&lt;&gt;"")),46)),"")</f>
        <v/>
      </c>
      <c r="F4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High"}))*(All_Risk_Apps!$K$4:$K$1233="No")*(All_Risk_Apps!$A$4:$A$1233&lt;&gt;"")),46)),"")</f>
        <v/>
      </c>
      <c r="G4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High"}))*(All_Risk_Apps!$K$4:$K$1233="No")*(All_Risk_Apps!$A$4:$A$1233&lt;&gt;"")),46)),"")</f>
        <v/>
      </c>
      <c r="H49" s="12" t="str">
        <f ca="1">IF(B49="","",IFERROR(INDEX(Server_Inventory!$R:$R,MATCH(B49,Server_Inventory!$Z:$Z,0)),"Not Found"))</f>
        <v/>
      </c>
      <c r="I49" s="12" t="str">
        <f ca="1">IF(B49="","",IFERROR(INDEX(Server_Inventory!$S:$S,MATCH(B49,Server_Inventory!$Z:$Z,0)),"Not Found"))</f>
        <v/>
      </c>
      <c r="J49" s="12" t="str">
        <f ca="1">IF(B49="","",COUNTIFS(Server_Inventory!$Z:$Z,B49,Server_Inventory!$P:$P,"R-RETIRED_IN_CMDB"))</f>
        <v/>
      </c>
      <c r="K49" s="12" t="str">
        <f ca="1">IF(B49="","",IFERROR(INDEX(Container_Inventory!$F:$F,MATCH(B49,Container_Inventory!$L:$L,0)),"Not Found"))</f>
        <v/>
      </c>
      <c r="L49" s="12" t="str">
        <f ca="1">IF(B49="","",IF(COUNTIF(Finding_List!$A:$A,B49)&gt;0,"Yes","No"))</f>
        <v/>
      </c>
      <c r="M49" s="12" t="str">
        <f ca="1">IF(B49="","",COUNTIF(Server_Inventory!$Z:$Z,B49))</f>
        <v/>
      </c>
      <c r="N49" s="12" t="str">
        <f ca="1">IF(B49="","",COUNTIF(Container_Inventory!$L:$L,B49))</f>
        <v/>
      </c>
    </row>
    <row r="50" spans="1:14" x14ac:dyDescent="0.2">
      <c r="A5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High"}))*(All_Risk_Apps!$K$4:$K$1233="No")*(All_Risk_Apps!$A$4:$A$1233&lt;&gt;"")),47)),"")</f>
        <v/>
      </c>
      <c r="B5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High"}))*(All_Risk_Apps!$K$4:$K$1233="No")*(All_Risk_Apps!$A$4:$A$1233&lt;&gt;"")),47)),"")</f>
        <v/>
      </c>
      <c r="C5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High"}))*(All_Risk_Apps!$K$4:$K$1233="No")*(All_Risk_Apps!$A$4:$A$1233&lt;&gt;"")),47)),"")</f>
        <v/>
      </c>
      <c r="D5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High"}))*(All_Risk_Apps!$K$4:$K$1233="No")*(All_Risk_Apps!$A$4:$A$1233&lt;&gt;"")),47)),"")</f>
        <v/>
      </c>
      <c r="E5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High"}))*(All_Risk_Apps!$K$4:$K$1233="No")*(All_Risk_Apps!$A$4:$A$1233&lt;&gt;"")),47)),"")</f>
        <v/>
      </c>
      <c r="F5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High"}))*(All_Risk_Apps!$K$4:$K$1233="No")*(All_Risk_Apps!$A$4:$A$1233&lt;&gt;"")),47)),"")</f>
        <v/>
      </c>
      <c r="G5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High"}))*(All_Risk_Apps!$K$4:$K$1233="No")*(All_Risk_Apps!$A$4:$A$1233&lt;&gt;"")),47)),"")</f>
        <v/>
      </c>
      <c r="H50" s="7" t="str">
        <f ca="1">IF(B50="","",IFERROR(INDEX(Server_Inventory!$R:$R,MATCH(B50,Server_Inventory!$Z:$Z,0)),"Not Found"))</f>
        <v/>
      </c>
      <c r="I50" s="7" t="str">
        <f ca="1">IF(B50="","",IFERROR(INDEX(Server_Inventory!$S:$S,MATCH(B50,Server_Inventory!$Z:$Z,0)),"Not Found"))</f>
        <v/>
      </c>
      <c r="J50" s="7" t="str">
        <f ca="1">IF(B50="","",COUNTIFS(Server_Inventory!$Z:$Z,B50,Server_Inventory!$P:$P,"R-RETIRED_IN_CMDB"))</f>
        <v/>
      </c>
      <c r="K50" s="7" t="str">
        <f ca="1">IF(B50="","",IFERROR(INDEX(Container_Inventory!$F:$F,MATCH(B50,Container_Inventory!$L:$L,0)),"Not Found"))</f>
        <v/>
      </c>
      <c r="L50" s="7" t="str">
        <f ca="1">IF(B50="","",IF(COUNTIF(Finding_List!$A:$A,B50)&gt;0,"Yes","No"))</f>
        <v/>
      </c>
      <c r="M50" s="7" t="str">
        <f ca="1">IF(B50="","",COUNTIF(Server_Inventory!$Z:$Z,B50))</f>
        <v/>
      </c>
      <c r="N50" s="7" t="str">
        <f ca="1">IF(B50="","",COUNTIF(Container_Inventory!$L:$L,B50))</f>
        <v/>
      </c>
    </row>
    <row r="51" spans="1:14" x14ac:dyDescent="0.2">
      <c r="A5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High"}))*(All_Risk_Apps!$K$4:$K$1233="No")*(All_Risk_Apps!$A$4:$A$1233&lt;&gt;"")),48)),"")</f>
        <v/>
      </c>
      <c r="B5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High"}))*(All_Risk_Apps!$K$4:$K$1233="No")*(All_Risk_Apps!$A$4:$A$1233&lt;&gt;"")),48)),"")</f>
        <v/>
      </c>
      <c r="C5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High"}))*(All_Risk_Apps!$K$4:$K$1233="No")*(All_Risk_Apps!$A$4:$A$1233&lt;&gt;"")),48)),"")</f>
        <v/>
      </c>
      <c r="D5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High"}))*(All_Risk_Apps!$K$4:$K$1233="No")*(All_Risk_Apps!$A$4:$A$1233&lt;&gt;"")),48)),"")</f>
        <v/>
      </c>
      <c r="E5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High"}))*(All_Risk_Apps!$K$4:$K$1233="No")*(All_Risk_Apps!$A$4:$A$1233&lt;&gt;"")),48)),"")</f>
        <v/>
      </c>
      <c r="F5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High"}))*(All_Risk_Apps!$K$4:$K$1233="No")*(All_Risk_Apps!$A$4:$A$1233&lt;&gt;"")),48)),"")</f>
        <v/>
      </c>
      <c r="G5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High"}))*(All_Risk_Apps!$K$4:$K$1233="No")*(All_Risk_Apps!$A$4:$A$1233&lt;&gt;"")),48)),"")</f>
        <v/>
      </c>
      <c r="H51" s="12" t="str">
        <f ca="1">IF(B51="","",IFERROR(INDEX(Server_Inventory!$R:$R,MATCH(B51,Server_Inventory!$Z:$Z,0)),"Not Found"))</f>
        <v/>
      </c>
      <c r="I51" s="12" t="str">
        <f ca="1">IF(B51="","",IFERROR(INDEX(Server_Inventory!$S:$S,MATCH(B51,Server_Inventory!$Z:$Z,0)),"Not Found"))</f>
        <v/>
      </c>
      <c r="J51" s="12" t="str">
        <f ca="1">IF(B51="","",COUNTIFS(Server_Inventory!$Z:$Z,B51,Server_Inventory!$P:$P,"R-RETIRED_IN_CMDB"))</f>
        <v/>
      </c>
      <c r="K51" s="12" t="str">
        <f ca="1">IF(B51="","",IFERROR(INDEX(Container_Inventory!$F:$F,MATCH(B51,Container_Inventory!$L:$L,0)),"Not Found"))</f>
        <v/>
      </c>
      <c r="L51" s="12" t="str">
        <f ca="1">IF(B51="","",IF(COUNTIF(Finding_List!$A:$A,B51)&gt;0,"Yes","No"))</f>
        <v/>
      </c>
      <c r="M51" s="12" t="str">
        <f ca="1">IF(B51="","",COUNTIF(Server_Inventory!$Z:$Z,B51))</f>
        <v/>
      </c>
      <c r="N51" s="12" t="str">
        <f ca="1">IF(B51="","",COUNTIF(Container_Inventory!$L:$L,B51))</f>
        <v/>
      </c>
    </row>
    <row r="52" spans="1:14" x14ac:dyDescent="0.2">
      <c r="A5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High"}))*(All_Risk_Apps!$K$4:$K$1233="No")*(All_Risk_Apps!$A$4:$A$1233&lt;&gt;"")),49)),"")</f>
        <v/>
      </c>
      <c r="B5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High"}))*(All_Risk_Apps!$K$4:$K$1233="No")*(All_Risk_Apps!$A$4:$A$1233&lt;&gt;"")),49)),"")</f>
        <v/>
      </c>
      <c r="C5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High"}))*(All_Risk_Apps!$K$4:$K$1233="No")*(All_Risk_Apps!$A$4:$A$1233&lt;&gt;"")),49)),"")</f>
        <v/>
      </c>
      <c r="D5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High"}))*(All_Risk_Apps!$K$4:$K$1233="No")*(All_Risk_Apps!$A$4:$A$1233&lt;&gt;"")),49)),"")</f>
        <v/>
      </c>
      <c r="E5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High"}))*(All_Risk_Apps!$K$4:$K$1233="No")*(All_Risk_Apps!$A$4:$A$1233&lt;&gt;"")),49)),"")</f>
        <v/>
      </c>
      <c r="F5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High"}))*(All_Risk_Apps!$K$4:$K$1233="No")*(All_Risk_Apps!$A$4:$A$1233&lt;&gt;"")),49)),"")</f>
        <v/>
      </c>
      <c r="G5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High"}))*(All_Risk_Apps!$K$4:$K$1233="No")*(All_Risk_Apps!$A$4:$A$1233&lt;&gt;"")),49)),"")</f>
        <v/>
      </c>
      <c r="H52" s="7" t="str">
        <f ca="1">IF(B52="","",IFERROR(INDEX(Server_Inventory!$R:$R,MATCH(B52,Server_Inventory!$Z:$Z,0)),"Not Found"))</f>
        <v/>
      </c>
      <c r="I52" s="7" t="str">
        <f ca="1">IF(B52="","",IFERROR(INDEX(Server_Inventory!$S:$S,MATCH(B52,Server_Inventory!$Z:$Z,0)),"Not Found"))</f>
        <v/>
      </c>
      <c r="J52" s="7" t="str">
        <f ca="1">IF(B52="","",COUNTIFS(Server_Inventory!$Z:$Z,B52,Server_Inventory!$P:$P,"R-RETIRED_IN_CMDB"))</f>
        <v/>
      </c>
      <c r="K52" s="7" t="str">
        <f ca="1">IF(B52="","",IFERROR(INDEX(Container_Inventory!$F:$F,MATCH(B52,Container_Inventory!$L:$L,0)),"Not Found"))</f>
        <v/>
      </c>
      <c r="L52" s="7" t="str">
        <f ca="1">IF(B52="","",IF(COUNTIF(Finding_List!$A:$A,B52)&gt;0,"Yes","No"))</f>
        <v/>
      </c>
      <c r="M52" s="7" t="str">
        <f ca="1">IF(B52="","",COUNTIF(Server_Inventory!$Z:$Z,B52))</f>
        <v/>
      </c>
      <c r="N52" s="7" t="str">
        <f ca="1">IF(B52="","",COUNTIF(Container_Inventory!$L:$L,B52))</f>
        <v/>
      </c>
    </row>
    <row r="53" spans="1:14" x14ac:dyDescent="0.2">
      <c r="A5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High"}))*(All_Risk_Apps!$K$4:$K$1233="No")*(All_Risk_Apps!$A$4:$A$1233&lt;&gt;"")),50)),"")</f>
        <v/>
      </c>
      <c r="B5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High"}))*(All_Risk_Apps!$K$4:$K$1233="No")*(All_Risk_Apps!$A$4:$A$1233&lt;&gt;"")),50)),"")</f>
        <v/>
      </c>
      <c r="C5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High"}))*(All_Risk_Apps!$K$4:$K$1233="No")*(All_Risk_Apps!$A$4:$A$1233&lt;&gt;"")),50)),"")</f>
        <v/>
      </c>
      <c r="D5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High"}))*(All_Risk_Apps!$K$4:$K$1233="No")*(All_Risk_Apps!$A$4:$A$1233&lt;&gt;"")),50)),"")</f>
        <v/>
      </c>
      <c r="E5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High"}))*(All_Risk_Apps!$K$4:$K$1233="No")*(All_Risk_Apps!$A$4:$A$1233&lt;&gt;"")),50)),"")</f>
        <v/>
      </c>
      <c r="F5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High"}))*(All_Risk_Apps!$K$4:$K$1233="No")*(All_Risk_Apps!$A$4:$A$1233&lt;&gt;"")),50)),"")</f>
        <v/>
      </c>
      <c r="G5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High"}))*(All_Risk_Apps!$K$4:$K$1233="No")*(All_Risk_Apps!$A$4:$A$1233&lt;&gt;"")),50)),"")</f>
        <v/>
      </c>
      <c r="H53" s="12" t="str">
        <f ca="1">IF(B53="","",IFERROR(INDEX(Server_Inventory!$R:$R,MATCH(B53,Server_Inventory!$Z:$Z,0)),"Not Found"))</f>
        <v/>
      </c>
      <c r="I53" s="12" t="str">
        <f ca="1">IF(B53="","",IFERROR(INDEX(Server_Inventory!$S:$S,MATCH(B53,Server_Inventory!$Z:$Z,0)),"Not Found"))</f>
        <v/>
      </c>
      <c r="J53" s="12" t="str">
        <f ca="1">IF(B53="","",COUNTIFS(Server_Inventory!$Z:$Z,B53,Server_Inventory!$P:$P,"R-RETIRED_IN_CMDB"))</f>
        <v/>
      </c>
      <c r="K53" s="12" t="str">
        <f ca="1">IF(B53="","",IFERROR(INDEX(Container_Inventory!$F:$F,MATCH(B53,Container_Inventory!$L:$L,0)),"Not Found"))</f>
        <v/>
      </c>
      <c r="L53" s="12" t="str">
        <f ca="1">IF(B53="","",IF(COUNTIF(Finding_List!$A:$A,B53)&gt;0,"Yes","No"))</f>
        <v/>
      </c>
      <c r="M53" s="12" t="str">
        <f ca="1">IF(B53="","",COUNTIF(Server_Inventory!$Z:$Z,B53))</f>
        <v/>
      </c>
      <c r="N53" s="12" t="str">
        <f ca="1">IF(B53="","",COUNTIF(Container_Inventory!$L:$L,B53))</f>
        <v/>
      </c>
    </row>
    <row r="54" spans="1:14" x14ac:dyDescent="0.2">
      <c r="A5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High"}))*(All_Risk_Apps!$K$4:$K$1233="No")*(All_Risk_Apps!$A$4:$A$1233&lt;&gt;"")),51)),"")</f>
        <v/>
      </c>
      <c r="B5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High"}))*(All_Risk_Apps!$K$4:$K$1233="No")*(All_Risk_Apps!$A$4:$A$1233&lt;&gt;"")),51)),"")</f>
        <v/>
      </c>
      <c r="C5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High"}))*(All_Risk_Apps!$K$4:$K$1233="No")*(All_Risk_Apps!$A$4:$A$1233&lt;&gt;"")),51)),"")</f>
        <v/>
      </c>
      <c r="D5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High"}))*(All_Risk_Apps!$K$4:$K$1233="No")*(All_Risk_Apps!$A$4:$A$1233&lt;&gt;"")),51)),"")</f>
        <v/>
      </c>
      <c r="E5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High"}))*(All_Risk_Apps!$K$4:$K$1233="No")*(All_Risk_Apps!$A$4:$A$1233&lt;&gt;"")),51)),"")</f>
        <v/>
      </c>
      <c r="F5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High"}))*(All_Risk_Apps!$K$4:$K$1233="No")*(All_Risk_Apps!$A$4:$A$1233&lt;&gt;"")),51)),"")</f>
        <v/>
      </c>
      <c r="G5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High"}))*(All_Risk_Apps!$K$4:$K$1233="No")*(All_Risk_Apps!$A$4:$A$1233&lt;&gt;"")),51)),"")</f>
        <v/>
      </c>
      <c r="H54" s="7" t="str">
        <f ca="1">IF(B54="","",IFERROR(INDEX(Server_Inventory!$R:$R,MATCH(B54,Server_Inventory!$Z:$Z,0)),"Not Found"))</f>
        <v/>
      </c>
      <c r="I54" s="7" t="str">
        <f ca="1">IF(B54="","",IFERROR(INDEX(Server_Inventory!$S:$S,MATCH(B54,Server_Inventory!$Z:$Z,0)),"Not Found"))</f>
        <v/>
      </c>
      <c r="J54" s="7" t="str">
        <f ca="1">IF(B54="","",COUNTIFS(Server_Inventory!$Z:$Z,B54,Server_Inventory!$P:$P,"R-RETIRED_IN_CMDB"))</f>
        <v/>
      </c>
      <c r="K54" s="7" t="str">
        <f ca="1">IF(B54="","",IFERROR(INDEX(Container_Inventory!$F:$F,MATCH(B54,Container_Inventory!$L:$L,0)),"Not Found"))</f>
        <v/>
      </c>
      <c r="L54" s="7" t="str">
        <f ca="1">IF(B54="","",IF(COUNTIF(Finding_List!$A:$A,B54)&gt;0,"Yes","No"))</f>
        <v/>
      </c>
      <c r="M54" s="7" t="str">
        <f ca="1">IF(B54="","",COUNTIF(Server_Inventory!$Z:$Z,B54))</f>
        <v/>
      </c>
      <c r="N54" s="7" t="str">
        <f ca="1">IF(B54="","",COUNTIF(Container_Inventory!$L:$L,B54))</f>
        <v/>
      </c>
    </row>
    <row r="55" spans="1:14" x14ac:dyDescent="0.2">
      <c r="A5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High"}))*(All_Risk_Apps!$K$4:$K$1233="No")*(All_Risk_Apps!$A$4:$A$1233&lt;&gt;"")),52)),"")</f>
        <v/>
      </c>
      <c r="B5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High"}))*(All_Risk_Apps!$K$4:$K$1233="No")*(All_Risk_Apps!$A$4:$A$1233&lt;&gt;"")),52)),"")</f>
        <v/>
      </c>
      <c r="C5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High"}))*(All_Risk_Apps!$K$4:$K$1233="No")*(All_Risk_Apps!$A$4:$A$1233&lt;&gt;"")),52)),"")</f>
        <v/>
      </c>
      <c r="D5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High"}))*(All_Risk_Apps!$K$4:$K$1233="No")*(All_Risk_Apps!$A$4:$A$1233&lt;&gt;"")),52)),"")</f>
        <v/>
      </c>
      <c r="E5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High"}))*(All_Risk_Apps!$K$4:$K$1233="No")*(All_Risk_Apps!$A$4:$A$1233&lt;&gt;"")),52)),"")</f>
        <v/>
      </c>
      <c r="F5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High"}))*(All_Risk_Apps!$K$4:$K$1233="No")*(All_Risk_Apps!$A$4:$A$1233&lt;&gt;"")),52)),"")</f>
        <v/>
      </c>
      <c r="G5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High"}))*(All_Risk_Apps!$K$4:$K$1233="No")*(All_Risk_Apps!$A$4:$A$1233&lt;&gt;"")),52)),"")</f>
        <v/>
      </c>
      <c r="H55" s="12" t="str">
        <f ca="1">IF(B55="","",IFERROR(INDEX(Server_Inventory!$R:$R,MATCH(B55,Server_Inventory!$Z:$Z,0)),"Not Found"))</f>
        <v/>
      </c>
      <c r="I55" s="12" t="str">
        <f ca="1">IF(B55="","",IFERROR(INDEX(Server_Inventory!$S:$S,MATCH(B55,Server_Inventory!$Z:$Z,0)),"Not Found"))</f>
        <v/>
      </c>
      <c r="J55" s="12" t="str">
        <f ca="1">IF(B55="","",COUNTIFS(Server_Inventory!$Z:$Z,B55,Server_Inventory!$P:$P,"R-RETIRED_IN_CMDB"))</f>
        <v/>
      </c>
      <c r="K55" s="12" t="str">
        <f ca="1">IF(B55="","",IFERROR(INDEX(Container_Inventory!$F:$F,MATCH(B55,Container_Inventory!$L:$L,0)),"Not Found"))</f>
        <v/>
      </c>
      <c r="L55" s="12" t="str">
        <f ca="1">IF(B55="","",IF(COUNTIF(Finding_List!$A:$A,B55)&gt;0,"Yes","No"))</f>
        <v/>
      </c>
      <c r="M55" s="12" t="str">
        <f ca="1">IF(B55="","",COUNTIF(Server_Inventory!$Z:$Z,B55))</f>
        <v/>
      </c>
      <c r="N55" s="12" t="str">
        <f ca="1">IF(B55="","",COUNTIF(Container_Inventory!$L:$L,B55))</f>
        <v/>
      </c>
    </row>
    <row r="56" spans="1:14" x14ac:dyDescent="0.2">
      <c r="A5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High"}))*(All_Risk_Apps!$K$4:$K$1233="No")*(All_Risk_Apps!$A$4:$A$1233&lt;&gt;"")),53)),"")</f>
        <v/>
      </c>
      <c r="B5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High"}))*(All_Risk_Apps!$K$4:$K$1233="No")*(All_Risk_Apps!$A$4:$A$1233&lt;&gt;"")),53)),"")</f>
        <v/>
      </c>
      <c r="C5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High"}))*(All_Risk_Apps!$K$4:$K$1233="No")*(All_Risk_Apps!$A$4:$A$1233&lt;&gt;"")),53)),"")</f>
        <v/>
      </c>
      <c r="D5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High"}))*(All_Risk_Apps!$K$4:$K$1233="No")*(All_Risk_Apps!$A$4:$A$1233&lt;&gt;"")),53)),"")</f>
        <v/>
      </c>
      <c r="E5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High"}))*(All_Risk_Apps!$K$4:$K$1233="No")*(All_Risk_Apps!$A$4:$A$1233&lt;&gt;"")),53)),"")</f>
        <v/>
      </c>
      <c r="F5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High"}))*(All_Risk_Apps!$K$4:$K$1233="No")*(All_Risk_Apps!$A$4:$A$1233&lt;&gt;"")),53)),"")</f>
        <v/>
      </c>
      <c r="G5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High"}))*(All_Risk_Apps!$K$4:$K$1233="No")*(All_Risk_Apps!$A$4:$A$1233&lt;&gt;"")),53)),"")</f>
        <v/>
      </c>
      <c r="H56" s="7" t="str">
        <f ca="1">IF(B56="","",IFERROR(INDEX(Server_Inventory!$R:$R,MATCH(B56,Server_Inventory!$Z:$Z,0)),"Not Found"))</f>
        <v/>
      </c>
      <c r="I56" s="7" t="str">
        <f ca="1">IF(B56="","",IFERROR(INDEX(Server_Inventory!$S:$S,MATCH(B56,Server_Inventory!$Z:$Z,0)),"Not Found"))</f>
        <v/>
      </c>
      <c r="J56" s="7" t="str">
        <f ca="1">IF(B56="","",COUNTIFS(Server_Inventory!$Z:$Z,B56,Server_Inventory!$P:$P,"R-RETIRED_IN_CMDB"))</f>
        <v/>
      </c>
      <c r="K56" s="7" t="str">
        <f ca="1">IF(B56="","",IFERROR(INDEX(Container_Inventory!$F:$F,MATCH(B56,Container_Inventory!$L:$L,0)),"Not Found"))</f>
        <v/>
      </c>
      <c r="L56" s="7" t="str">
        <f ca="1">IF(B56="","",IF(COUNTIF(Finding_List!$A:$A,B56)&gt;0,"Yes","No"))</f>
        <v/>
      </c>
      <c r="M56" s="7" t="str">
        <f ca="1">IF(B56="","",COUNTIF(Server_Inventory!$Z:$Z,B56))</f>
        <v/>
      </c>
      <c r="N56" s="7" t="str">
        <f ca="1">IF(B56="","",COUNTIF(Container_Inventory!$L:$L,B56))</f>
        <v/>
      </c>
    </row>
    <row r="57" spans="1:14" x14ac:dyDescent="0.2">
      <c r="A5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High"}))*(All_Risk_Apps!$K$4:$K$1233="No")*(All_Risk_Apps!$A$4:$A$1233&lt;&gt;"")),54)),"")</f>
        <v/>
      </c>
      <c r="B5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High"}))*(All_Risk_Apps!$K$4:$K$1233="No")*(All_Risk_Apps!$A$4:$A$1233&lt;&gt;"")),54)),"")</f>
        <v/>
      </c>
      <c r="C5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High"}))*(All_Risk_Apps!$K$4:$K$1233="No")*(All_Risk_Apps!$A$4:$A$1233&lt;&gt;"")),54)),"")</f>
        <v/>
      </c>
      <c r="D5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High"}))*(All_Risk_Apps!$K$4:$K$1233="No")*(All_Risk_Apps!$A$4:$A$1233&lt;&gt;"")),54)),"")</f>
        <v/>
      </c>
      <c r="E5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High"}))*(All_Risk_Apps!$K$4:$K$1233="No")*(All_Risk_Apps!$A$4:$A$1233&lt;&gt;"")),54)),"")</f>
        <v/>
      </c>
      <c r="F5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High"}))*(All_Risk_Apps!$K$4:$K$1233="No")*(All_Risk_Apps!$A$4:$A$1233&lt;&gt;"")),54)),"")</f>
        <v/>
      </c>
      <c r="G5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High"}))*(All_Risk_Apps!$K$4:$K$1233="No")*(All_Risk_Apps!$A$4:$A$1233&lt;&gt;"")),54)),"")</f>
        <v/>
      </c>
      <c r="H57" s="12" t="str">
        <f ca="1">IF(B57="","",IFERROR(INDEX(Server_Inventory!$R:$R,MATCH(B57,Server_Inventory!$Z:$Z,0)),"Not Found"))</f>
        <v/>
      </c>
      <c r="I57" s="12" t="str">
        <f ca="1">IF(B57="","",IFERROR(INDEX(Server_Inventory!$S:$S,MATCH(B57,Server_Inventory!$Z:$Z,0)),"Not Found"))</f>
        <v/>
      </c>
      <c r="J57" s="12" t="str">
        <f ca="1">IF(B57="","",COUNTIFS(Server_Inventory!$Z:$Z,B57,Server_Inventory!$P:$P,"R-RETIRED_IN_CMDB"))</f>
        <v/>
      </c>
      <c r="K57" s="12" t="str">
        <f ca="1">IF(B57="","",IFERROR(INDEX(Container_Inventory!$F:$F,MATCH(B57,Container_Inventory!$L:$L,0)),"Not Found"))</f>
        <v/>
      </c>
      <c r="L57" s="12" t="str">
        <f ca="1">IF(B57="","",IF(COUNTIF(Finding_List!$A:$A,B57)&gt;0,"Yes","No"))</f>
        <v/>
      </c>
      <c r="M57" s="12" t="str">
        <f ca="1">IF(B57="","",COUNTIF(Server_Inventory!$Z:$Z,B57))</f>
        <v/>
      </c>
      <c r="N57" s="12" t="str">
        <f ca="1">IF(B57="","",COUNTIF(Container_Inventory!$L:$L,B57))</f>
        <v/>
      </c>
    </row>
    <row r="58" spans="1:14" x14ac:dyDescent="0.2">
      <c r="A5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High"}))*(All_Risk_Apps!$K$4:$K$1233="No")*(All_Risk_Apps!$A$4:$A$1233&lt;&gt;"")),55)),"")</f>
        <v/>
      </c>
      <c r="B5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High"}))*(All_Risk_Apps!$K$4:$K$1233="No")*(All_Risk_Apps!$A$4:$A$1233&lt;&gt;"")),55)),"")</f>
        <v/>
      </c>
      <c r="C5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High"}))*(All_Risk_Apps!$K$4:$K$1233="No")*(All_Risk_Apps!$A$4:$A$1233&lt;&gt;"")),55)),"")</f>
        <v/>
      </c>
      <c r="D5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High"}))*(All_Risk_Apps!$K$4:$K$1233="No")*(All_Risk_Apps!$A$4:$A$1233&lt;&gt;"")),55)),"")</f>
        <v/>
      </c>
      <c r="E5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High"}))*(All_Risk_Apps!$K$4:$K$1233="No")*(All_Risk_Apps!$A$4:$A$1233&lt;&gt;"")),55)),"")</f>
        <v/>
      </c>
      <c r="F5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High"}))*(All_Risk_Apps!$K$4:$K$1233="No")*(All_Risk_Apps!$A$4:$A$1233&lt;&gt;"")),55)),"")</f>
        <v/>
      </c>
      <c r="G5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High"}))*(All_Risk_Apps!$K$4:$K$1233="No")*(All_Risk_Apps!$A$4:$A$1233&lt;&gt;"")),55)),"")</f>
        <v/>
      </c>
      <c r="H58" s="7" t="str">
        <f ca="1">IF(B58="","",IFERROR(INDEX(Server_Inventory!$R:$R,MATCH(B58,Server_Inventory!$Z:$Z,0)),"Not Found"))</f>
        <v/>
      </c>
      <c r="I58" s="7" t="str">
        <f ca="1">IF(B58="","",IFERROR(INDEX(Server_Inventory!$S:$S,MATCH(B58,Server_Inventory!$Z:$Z,0)),"Not Found"))</f>
        <v/>
      </c>
      <c r="J58" s="7" t="str">
        <f ca="1">IF(B58="","",COUNTIFS(Server_Inventory!$Z:$Z,B58,Server_Inventory!$P:$P,"R-RETIRED_IN_CMDB"))</f>
        <v/>
      </c>
      <c r="K58" s="7" t="str">
        <f ca="1">IF(B58="","",IFERROR(INDEX(Container_Inventory!$F:$F,MATCH(B58,Container_Inventory!$L:$L,0)),"Not Found"))</f>
        <v/>
      </c>
      <c r="L58" s="7" t="str">
        <f ca="1">IF(B58="","",IF(COUNTIF(Finding_List!$A:$A,B58)&gt;0,"Yes","No"))</f>
        <v/>
      </c>
      <c r="M58" s="7" t="str">
        <f ca="1">IF(B58="","",COUNTIF(Server_Inventory!$Z:$Z,B58))</f>
        <v/>
      </c>
      <c r="N58" s="7" t="str">
        <f ca="1">IF(B58="","",COUNTIF(Container_Inventory!$L:$L,B58))</f>
        <v/>
      </c>
    </row>
    <row r="59" spans="1:14" x14ac:dyDescent="0.2">
      <c r="A5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High"}))*(All_Risk_Apps!$K$4:$K$1233="No")*(All_Risk_Apps!$A$4:$A$1233&lt;&gt;"")),56)),"")</f>
        <v/>
      </c>
      <c r="B5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High"}))*(All_Risk_Apps!$K$4:$K$1233="No")*(All_Risk_Apps!$A$4:$A$1233&lt;&gt;"")),56)),"")</f>
        <v/>
      </c>
      <c r="C5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High"}))*(All_Risk_Apps!$K$4:$K$1233="No")*(All_Risk_Apps!$A$4:$A$1233&lt;&gt;"")),56)),"")</f>
        <v/>
      </c>
      <c r="D5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High"}))*(All_Risk_Apps!$K$4:$K$1233="No")*(All_Risk_Apps!$A$4:$A$1233&lt;&gt;"")),56)),"")</f>
        <v/>
      </c>
      <c r="E5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High"}))*(All_Risk_Apps!$K$4:$K$1233="No")*(All_Risk_Apps!$A$4:$A$1233&lt;&gt;"")),56)),"")</f>
        <v/>
      </c>
      <c r="F5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High"}))*(All_Risk_Apps!$K$4:$K$1233="No")*(All_Risk_Apps!$A$4:$A$1233&lt;&gt;"")),56)),"")</f>
        <v/>
      </c>
      <c r="G5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High"}))*(All_Risk_Apps!$K$4:$K$1233="No")*(All_Risk_Apps!$A$4:$A$1233&lt;&gt;"")),56)),"")</f>
        <v/>
      </c>
      <c r="H59" s="12" t="str">
        <f ca="1">IF(B59="","",IFERROR(INDEX(Server_Inventory!$R:$R,MATCH(B59,Server_Inventory!$Z:$Z,0)),"Not Found"))</f>
        <v/>
      </c>
      <c r="I59" s="12" t="str">
        <f ca="1">IF(B59="","",IFERROR(INDEX(Server_Inventory!$S:$S,MATCH(B59,Server_Inventory!$Z:$Z,0)),"Not Found"))</f>
        <v/>
      </c>
      <c r="J59" s="12" t="str">
        <f ca="1">IF(B59="","",COUNTIFS(Server_Inventory!$Z:$Z,B59,Server_Inventory!$P:$P,"R-RETIRED_IN_CMDB"))</f>
        <v/>
      </c>
      <c r="K59" s="12" t="str">
        <f ca="1">IF(B59="","",IFERROR(INDEX(Container_Inventory!$F:$F,MATCH(B59,Container_Inventory!$L:$L,0)),"Not Found"))</f>
        <v/>
      </c>
      <c r="L59" s="12" t="str">
        <f ca="1">IF(B59="","",IF(COUNTIF(Finding_List!$A:$A,B59)&gt;0,"Yes","No"))</f>
        <v/>
      </c>
      <c r="M59" s="12" t="str">
        <f ca="1">IF(B59="","",COUNTIF(Server_Inventory!$Z:$Z,B59))</f>
        <v/>
      </c>
      <c r="N59" s="12" t="str">
        <f ca="1">IF(B59="","",COUNTIF(Container_Inventory!$L:$L,B59))</f>
        <v/>
      </c>
    </row>
    <row r="60" spans="1:14" x14ac:dyDescent="0.2">
      <c r="A6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High"}))*(All_Risk_Apps!$K$4:$K$1233="No")*(All_Risk_Apps!$A$4:$A$1233&lt;&gt;"")),57)),"")</f>
        <v/>
      </c>
      <c r="B6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High"}))*(All_Risk_Apps!$K$4:$K$1233="No")*(All_Risk_Apps!$A$4:$A$1233&lt;&gt;"")),57)),"")</f>
        <v/>
      </c>
      <c r="C6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High"}))*(All_Risk_Apps!$K$4:$K$1233="No")*(All_Risk_Apps!$A$4:$A$1233&lt;&gt;"")),57)),"")</f>
        <v/>
      </c>
      <c r="D6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High"}))*(All_Risk_Apps!$K$4:$K$1233="No")*(All_Risk_Apps!$A$4:$A$1233&lt;&gt;"")),57)),"")</f>
        <v/>
      </c>
      <c r="E6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High"}))*(All_Risk_Apps!$K$4:$K$1233="No")*(All_Risk_Apps!$A$4:$A$1233&lt;&gt;"")),57)),"")</f>
        <v/>
      </c>
      <c r="F6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High"}))*(All_Risk_Apps!$K$4:$K$1233="No")*(All_Risk_Apps!$A$4:$A$1233&lt;&gt;"")),57)),"")</f>
        <v/>
      </c>
      <c r="G6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High"}))*(All_Risk_Apps!$K$4:$K$1233="No")*(All_Risk_Apps!$A$4:$A$1233&lt;&gt;"")),57)),"")</f>
        <v/>
      </c>
      <c r="H60" s="7" t="str">
        <f ca="1">IF(B60="","",IFERROR(INDEX(Server_Inventory!$R:$R,MATCH(B60,Server_Inventory!$Z:$Z,0)),"Not Found"))</f>
        <v/>
      </c>
      <c r="I60" s="7" t="str">
        <f ca="1">IF(B60="","",IFERROR(INDEX(Server_Inventory!$S:$S,MATCH(B60,Server_Inventory!$Z:$Z,0)),"Not Found"))</f>
        <v/>
      </c>
      <c r="J60" s="7" t="str">
        <f ca="1">IF(B60="","",COUNTIFS(Server_Inventory!$Z:$Z,B60,Server_Inventory!$P:$P,"R-RETIRED_IN_CMDB"))</f>
        <v/>
      </c>
      <c r="K60" s="7" t="str">
        <f ca="1">IF(B60="","",IFERROR(INDEX(Container_Inventory!$F:$F,MATCH(B60,Container_Inventory!$L:$L,0)),"Not Found"))</f>
        <v/>
      </c>
      <c r="L60" s="7" t="str">
        <f ca="1">IF(B60="","",IF(COUNTIF(Finding_List!$A:$A,B60)&gt;0,"Yes","No"))</f>
        <v/>
      </c>
      <c r="M60" s="7" t="str">
        <f ca="1">IF(B60="","",COUNTIF(Server_Inventory!$Z:$Z,B60))</f>
        <v/>
      </c>
      <c r="N60" s="7" t="str">
        <f ca="1">IF(B60="","",COUNTIF(Container_Inventory!$L:$L,B60))</f>
        <v/>
      </c>
    </row>
    <row r="61" spans="1:14" x14ac:dyDescent="0.2">
      <c r="A6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High"}))*(All_Risk_Apps!$K$4:$K$1233="No")*(All_Risk_Apps!$A$4:$A$1233&lt;&gt;"")),58)),"")</f>
        <v/>
      </c>
      <c r="B6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High"}))*(All_Risk_Apps!$K$4:$K$1233="No")*(All_Risk_Apps!$A$4:$A$1233&lt;&gt;"")),58)),"")</f>
        <v/>
      </c>
      <c r="C6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High"}))*(All_Risk_Apps!$K$4:$K$1233="No")*(All_Risk_Apps!$A$4:$A$1233&lt;&gt;"")),58)),"")</f>
        <v/>
      </c>
      <c r="D6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High"}))*(All_Risk_Apps!$K$4:$K$1233="No")*(All_Risk_Apps!$A$4:$A$1233&lt;&gt;"")),58)),"")</f>
        <v/>
      </c>
      <c r="E6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High"}))*(All_Risk_Apps!$K$4:$K$1233="No")*(All_Risk_Apps!$A$4:$A$1233&lt;&gt;"")),58)),"")</f>
        <v/>
      </c>
      <c r="F6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High"}))*(All_Risk_Apps!$K$4:$K$1233="No")*(All_Risk_Apps!$A$4:$A$1233&lt;&gt;"")),58)),"")</f>
        <v/>
      </c>
      <c r="G6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High"}))*(All_Risk_Apps!$K$4:$K$1233="No")*(All_Risk_Apps!$A$4:$A$1233&lt;&gt;"")),58)),"")</f>
        <v/>
      </c>
      <c r="H61" s="12" t="str">
        <f ca="1">IF(B61="","",IFERROR(INDEX(Server_Inventory!$R:$R,MATCH(B61,Server_Inventory!$Z:$Z,0)),"Not Found"))</f>
        <v/>
      </c>
      <c r="I61" s="12" t="str">
        <f ca="1">IF(B61="","",IFERROR(INDEX(Server_Inventory!$S:$S,MATCH(B61,Server_Inventory!$Z:$Z,0)),"Not Found"))</f>
        <v/>
      </c>
      <c r="J61" s="12" t="str">
        <f ca="1">IF(B61="","",COUNTIFS(Server_Inventory!$Z:$Z,B61,Server_Inventory!$P:$P,"R-RETIRED_IN_CMDB"))</f>
        <v/>
      </c>
      <c r="K61" s="12" t="str">
        <f ca="1">IF(B61="","",IFERROR(INDEX(Container_Inventory!$F:$F,MATCH(B61,Container_Inventory!$L:$L,0)),"Not Found"))</f>
        <v/>
      </c>
      <c r="L61" s="12" t="str">
        <f ca="1">IF(B61="","",IF(COUNTIF(Finding_List!$A:$A,B61)&gt;0,"Yes","No"))</f>
        <v/>
      </c>
      <c r="M61" s="12" t="str">
        <f ca="1">IF(B61="","",COUNTIF(Server_Inventory!$Z:$Z,B61))</f>
        <v/>
      </c>
      <c r="N61" s="12" t="str">
        <f ca="1">IF(B61="","",COUNTIF(Container_Inventory!$L:$L,B61))</f>
        <v/>
      </c>
    </row>
    <row r="62" spans="1:14" x14ac:dyDescent="0.2">
      <c r="A6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High"}))*(All_Risk_Apps!$K$4:$K$1233="No")*(All_Risk_Apps!$A$4:$A$1233&lt;&gt;"")),59)),"")</f>
        <v/>
      </c>
      <c r="B6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High"}))*(All_Risk_Apps!$K$4:$K$1233="No")*(All_Risk_Apps!$A$4:$A$1233&lt;&gt;"")),59)),"")</f>
        <v/>
      </c>
      <c r="C6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High"}))*(All_Risk_Apps!$K$4:$K$1233="No")*(All_Risk_Apps!$A$4:$A$1233&lt;&gt;"")),59)),"")</f>
        <v/>
      </c>
      <c r="D6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High"}))*(All_Risk_Apps!$K$4:$K$1233="No")*(All_Risk_Apps!$A$4:$A$1233&lt;&gt;"")),59)),"")</f>
        <v/>
      </c>
      <c r="E6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High"}))*(All_Risk_Apps!$K$4:$K$1233="No")*(All_Risk_Apps!$A$4:$A$1233&lt;&gt;"")),59)),"")</f>
        <v/>
      </c>
      <c r="F6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High"}))*(All_Risk_Apps!$K$4:$K$1233="No")*(All_Risk_Apps!$A$4:$A$1233&lt;&gt;"")),59)),"")</f>
        <v/>
      </c>
      <c r="G6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High"}))*(All_Risk_Apps!$K$4:$K$1233="No")*(All_Risk_Apps!$A$4:$A$1233&lt;&gt;"")),59)),"")</f>
        <v/>
      </c>
      <c r="H62" s="7" t="str">
        <f ca="1">IF(B62="","",IFERROR(INDEX(Server_Inventory!$R:$R,MATCH(B62,Server_Inventory!$Z:$Z,0)),"Not Found"))</f>
        <v/>
      </c>
      <c r="I62" s="7" t="str">
        <f ca="1">IF(B62="","",IFERROR(INDEX(Server_Inventory!$S:$S,MATCH(B62,Server_Inventory!$Z:$Z,0)),"Not Found"))</f>
        <v/>
      </c>
      <c r="J62" s="7" t="str">
        <f ca="1">IF(B62="","",COUNTIFS(Server_Inventory!$Z:$Z,B62,Server_Inventory!$P:$P,"R-RETIRED_IN_CMDB"))</f>
        <v/>
      </c>
      <c r="K62" s="7" t="str">
        <f ca="1">IF(B62="","",IFERROR(INDEX(Container_Inventory!$F:$F,MATCH(B62,Container_Inventory!$L:$L,0)),"Not Found"))</f>
        <v/>
      </c>
      <c r="L62" s="7" t="str">
        <f ca="1">IF(B62="","",IF(COUNTIF(Finding_List!$A:$A,B62)&gt;0,"Yes","No"))</f>
        <v/>
      </c>
      <c r="M62" s="7" t="str">
        <f ca="1">IF(B62="","",COUNTIF(Server_Inventory!$Z:$Z,B62))</f>
        <v/>
      </c>
      <c r="N62" s="7" t="str">
        <f ca="1">IF(B62="","",COUNTIF(Container_Inventory!$L:$L,B62))</f>
        <v/>
      </c>
    </row>
    <row r="63" spans="1:14" x14ac:dyDescent="0.2">
      <c r="A6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High"}))*(All_Risk_Apps!$K$4:$K$1233="No")*(All_Risk_Apps!$A$4:$A$1233&lt;&gt;"")),60)),"")</f>
        <v/>
      </c>
      <c r="B6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High"}))*(All_Risk_Apps!$K$4:$K$1233="No")*(All_Risk_Apps!$A$4:$A$1233&lt;&gt;"")),60)),"")</f>
        <v/>
      </c>
      <c r="C6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High"}))*(All_Risk_Apps!$K$4:$K$1233="No")*(All_Risk_Apps!$A$4:$A$1233&lt;&gt;"")),60)),"")</f>
        <v/>
      </c>
      <c r="D6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High"}))*(All_Risk_Apps!$K$4:$K$1233="No")*(All_Risk_Apps!$A$4:$A$1233&lt;&gt;"")),60)),"")</f>
        <v/>
      </c>
      <c r="E6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High"}))*(All_Risk_Apps!$K$4:$K$1233="No")*(All_Risk_Apps!$A$4:$A$1233&lt;&gt;"")),60)),"")</f>
        <v/>
      </c>
      <c r="F6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High"}))*(All_Risk_Apps!$K$4:$K$1233="No")*(All_Risk_Apps!$A$4:$A$1233&lt;&gt;"")),60)),"")</f>
        <v/>
      </c>
      <c r="G6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High"}))*(All_Risk_Apps!$K$4:$K$1233="No")*(All_Risk_Apps!$A$4:$A$1233&lt;&gt;"")),60)),"")</f>
        <v/>
      </c>
      <c r="H63" s="12" t="str">
        <f ca="1">IF(B63="","",IFERROR(INDEX(Server_Inventory!$R:$R,MATCH(B63,Server_Inventory!$Z:$Z,0)),"Not Found"))</f>
        <v/>
      </c>
      <c r="I63" s="12" t="str">
        <f ca="1">IF(B63="","",IFERROR(INDEX(Server_Inventory!$S:$S,MATCH(B63,Server_Inventory!$Z:$Z,0)),"Not Found"))</f>
        <v/>
      </c>
      <c r="J63" s="12" t="str">
        <f ca="1">IF(B63="","",COUNTIFS(Server_Inventory!$Z:$Z,B63,Server_Inventory!$P:$P,"R-RETIRED_IN_CMDB"))</f>
        <v/>
      </c>
      <c r="K63" s="12" t="str">
        <f ca="1">IF(B63="","",IFERROR(INDEX(Container_Inventory!$F:$F,MATCH(B63,Container_Inventory!$L:$L,0)),"Not Found"))</f>
        <v/>
      </c>
      <c r="L63" s="12" t="str">
        <f ca="1">IF(B63="","",IF(COUNTIF(Finding_List!$A:$A,B63)&gt;0,"Yes","No"))</f>
        <v/>
      </c>
      <c r="M63" s="12" t="str">
        <f ca="1">IF(B63="","",COUNTIF(Server_Inventory!$Z:$Z,B63))</f>
        <v/>
      </c>
      <c r="N63" s="12" t="str">
        <f ca="1">IF(B63="","",COUNTIF(Container_Inventory!$L:$L,B63))</f>
        <v/>
      </c>
    </row>
    <row r="64" spans="1:14" x14ac:dyDescent="0.2">
      <c r="A6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High"}))*(All_Risk_Apps!$K$4:$K$1233="No")*(All_Risk_Apps!$A$4:$A$1233&lt;&gt;"")),61)),"")</f>
        <v/>
      </c>
      <c r="B6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High"}))*(All_Risk_Apps!$K$4:$K$1233="No")*(All_Risk_Apps!$A$4:$A$1233&lt;&gt;"")),61)),"")</f>
        <v/>
      </c>
      <c r="C6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High"}))*(All_Risk_Apps!$K$4:$K$1233="No")*(All_Risk_Apps!$A$4:$A$1233&lt;&gt;"")),61)),"")</f>
        <v/>
      </c>
      <c r="D6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High"}))*(All_Risk_Apps!$K$4:$K$1233="No")*(All_Risk_Apps!$A$4:$A$1233&lt;&gt;"")),61)),"")</f>
        <v/>
      </c>
      <c r="E6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High"}))*(All_Risk_Apps!$K$4:$K$1233="No")*(All_Risk_Apps!$A$4:$A$1233&lt;&gt;"")),61)),"")</f>
        <v/>
      </c>
      <c r="F6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High"}))*(All_Risk_Apps!$K$4:$K$1233="No")*(All_Risk_Apps!$A$4:$A$1233&lt;&gt;"")),61)),"")</f>
        <v/>
      </c>
      <c r="G6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High"}))*(All_Risk_Apps!$K$4:$K$1233="No")*(All_Risk_Apps!$A$4:$A$1233&lt;&gt;"")),61)),"")</f>
        <v/>
      </c>
      <c r="H64" s="7" t="str">
        <f ca="1">IF(B64="","",IFERROR(INDEX(Server_Inventory!$R:$R,MATCH(B64,Server_Inventory!$Z:$Z,0)),"Not Found"))</f>
        <v/>
      </c>
      <c r="I64" s="7" t="str">
        <f ca="1">IF(B64="","",IFERROR(INDEX(Server_Inventory!$S:$S,MATCH(B64,Server_Inventory!$Z:$Z,0)),"Not Found"))</f>
        <v/>
      </c>
      <c r="J64" s="7" t="str">
        <f ca="1">IF(B64="","",COUNTIFS(Server_Inventory!$Z:$Z,B64,Server_Inventory!$P:$P,"R-RETIRED_IN_CMDB"))</f>
        <v/>
      </c>
      <c r="K64" s="7" t="str">
        <f ca="1">IF(B64="","",IFERROR(INDEX(Container_Inventory!$F:$F,MATCH(B64,Container_Inventory!$L:$L,0)),"Not Found"))</f>
        <v/>
      </c>
      <c r="L64" s="7" t="str">
        <f ca="1">IF(B64="","",IF(COUNTIF(Finding_List!$A:$A,B64)&gt;0,"Yes","No"))</f>
        <v/>
      </c>
      <c r="M64" s="7" t="str">
        <f ca="1">IF(B64="","",COUNTIF(Server_Inventory!$Z:$Z,B64))</f>
        <v/>
      </c>
      <c r="N64" s="7" t="str">
        <f ca="1">IF(B64="","",COUNTIF(Container_Inventory!$L:$L,B64))</f>
        <v/>
      </c>
    </row>
    <row r="65" spans="1:14" x14ac:dyDescent="0.2">
      <c r="A6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High"}))*(All_Risk_Apps!$K$4:$K$1233="No")*(All_Risk_Apps!$A$4:$A$1233&lt;&gt;"")),62)),"")</f>
        <v/>
      </c>
      <c r="B6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High"}))*(All_Risk_Apps!$K$4:$K$1233="No")*(All_Risk_Apps!$A$4:$A$1233&lt;&gt;"")),62)),"")</f>
        <v/>
      </c>
      <c r="C6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High"}))*(All_Risk_Apps!$K$4:$K$1233="No")*(All_Risk_Apps!$A$4:$A$1233&lt;&gt;"")),62)),"")</f>
        <v/>
      </c>
      <c r="D6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High"}))*(All_Risk_Apps!$K$4:$K$1233="No")*(All_Risk_Apps!$A$4:$A$1233&lt;&gt;"")),62)),"")</f>
        <v/>
      </c>
      <c r="E6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High"}))*(All_Risk_Apps!$K$4:$K$1233="No")*(All_Risk_Apps!$A$4:$A$1233&lt;&gt;"")),62)),"")</f>
        <v/>
      </c>
      <c r="F6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High"}))*(All_Risk_Apps!$K$4:$K$1233="No")*(All_Risk_Apps!$A$4:$A$1233&lt;&gt;"")),62)),"")</f>
        <v/>
      </c>
      <c r="G6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High"}))*(All_Risk_Apps!$K$4:$K$1233="No")*(All_Risk_Apps!$A$4:$A$1233&lt;&gt;"")),62)),"")</f>
        <v/>
      </c>
      <c r="H65" s="12" t="str">
        <f ca="1">IF(B65="","",IFERROR(INDEX(Server_Inventory!$R:$R,MATCH(B65,Server_Inventory!$Z:$Z,0)),"Not Found"))</f>
        <v/>
      </c>
      <c r="I65" s="12" t="str">
        <f ca="1">IF(B65="","",IFERROR(INDEX(Server_Inventory!$S:$S,MATCH(B65,Server_Inventory!$Z:$Z,0)),"Not Found"))</f>
        <v/>
      </c>
      <c r="J65" s="12" t="str">
        <f ca="1">IF(B65="","",COUNTIFS(Server_Inventory!$Z:$Z,B65,Server_Inventory!$P:$P,"R-RETIRED_IN_CMDB"))</f>
        <v/>
      </c>
      <c r="K65" s="12" t="str">
        <f ca="1">IF(B65="","",IFERROR(INDEX(Container_Inventory!$F:$F,MATCH(B65,Container_Inventory!$L:$L,0)),"Not Found"))</f>
        <v/>
      </c>
      <c r="L65" s="12" t="str">
        <f ca="1">IF(B65="","",IF(COUNTIF(Finding_List!$A:$A,B65)&gt;0,"Yes","No"))</f>
        <v/>
      </c>
      <c r="M65" s="12" t="str">
        <f ca="1">IF(B65="","",COUNTIF(Server_Inventory!$Z:$Z,B65))</f>
        <v/>
      </c>
      <c r="N65" s="12" t="str">
        <f ca="1">IF(B65="","",COUNTIF(Container_Inventory!$L:$L,B65))</f>
        <v/>
      </c>
    </row>
    <row r="66" spans="1:14" x14ac:dyDescent="0.2">
      <c r="A6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High"}))*(All_Risk_Apps!$K$4:$K$1233="No")*(All_Risk_Apps!$A$4:$A$1233&lt;&gt;"")),63)),"")</f>
        <v/>
      </c>
      <c r="B6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High"}))*(All_Risk_Apps!$K$4:$K$1233="No")*(All_Risk_Apps!$A$4:$A$1233&lt;&gt;"")),63)),"")</f>
        <v/>
      </c>
      <c r="C6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High"}))*(All_Risk_Apps!$K$4:$K$1233="No")*(All_Risk_Apps!$A$4:$A$1233&lt;&gt;"")),63)),"")</f>
        <v/>
      </c>
      <c r="D6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High"}))*(All_Risk_Apps!$K$4:$K$1233="No")*(All_Risk_Apps!$A$4:$A$1233&lt;&gt;"")),63)),"")</f>
        <v/>
      </c>
      <c r="E6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High"}))*(All_Risk_Apps!$K$4:$K$1233="No")*(All_Risk_Apps!$A$4:$A$1233&lt;&gt;"")),63)),"")</f>
        <v/>
      </c>
      <c r="F6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High"}))*(All_Risk_Apps!$K$4:$K$1233="No")*(All_Risk_Apps!$A$4:$A$1233&lt;&gt;"")),63)),"")</f>
        <v/>
      </c>
      <c r="G6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High"}))*(All_Risk_Apps!$K$4:$K$1233="No")*(All_Risk_Apps!$A$4:$A$1233&lt;&gt;"")),63)),"")</f>
        <v/>
      </c>
      <c r="H66" s="7" t="str">
        <f ca="1">IF(B66="","",IFERROR(INDEX(Server_Inventory!$R:$R,MATCH(B66,Server_Inventory!$Z:$Z,0)),"Not Found"))</f>
        <v/>
      </c>
      <c r="I66" s="7" t="str">
        <f ca="1">IF(B66="","",IFERROR(INDEX(Server_Inventory!$S:$S,MATCH(B66,Server_Inventory!$Z:$Z,0)),"Not Found"))</f>
        <v/>
      </c>
      <c r="J66" s="7" t="str">
        <f ca="1">IF(B66="","",COUNTIFS(Server_Inventory!$Z:$Z,B66,Server_Inventory!$P:$P,"R-RETIRED_IN_CMDB"))</f>
        <v/>
      </c>
      <c r="K66" s="7" t="str">
        <f ca="1">IF(B66="","",IFERROR(INDEX(Container_Inventory!$F:$F,MATCH(B66,Container_Inventory!$L:$L,0)),"Not Found"))</f>
        <v/>
      </c>
      <c r="L66" s="7" t="str">
        <f ca="1">IF(B66="","",IF(COUNTIF(Finding_List!$A:$A,B66)&gt;0,"Yes","No"))</f>
        <v/>
      </c>
      <c r="M66" s="7" t="str">
        <f ca="1">IF(B66="","",COUNTIF(Server_Inventory!$Z:$Z,B66))</f>
        <v/>
      </c>
      <c r="N66" s="7" t="str">
        <f ca="1">IF(B66="","",COUNTIF(Container_Inventory!$L:$L,B66))</f>
        <v/>
      </c>
    </row>
    <row r="67" spans="1:14" x14ac:dyDescent="0.2">
      <c r="A6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High"}))*(All_Risk_Apps!$K$4:$K$1233="No")*(All_Risk_Apps!$A$4:$A$1233&lt;&gt;"")),64)),"")</f>
        <v/>
      </c>
      <c r="B6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High"}))*(All_Risk_Apps!$K$4:$K$1233="No")*(All_Risk_Apps!$A$4:$A$1233&lt;&gt;"")),64)),"")</f>
        <v/>
      </c>
      <c r="C6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High"}))*(All_Risk_Apps!$K$4:$K$1233="No")*(All_Risk_Apps!$A$4:$A$1233&lt;&gt;"")),64)),"")</f>
        <v/>
      </c>
      <c r="D6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High"}))*(All_Risk_Apps!$K$4:$K$1233="No")*(All_Risk_Apps!$A$4:$A$1233&lt;&gt;"")),64)),"")</f>
        <v/>
      </c>
      <c r="E6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High"}))*(All_Risk_Apps!$K$4:$K$1233="No")*(All_Risk_Apps!$A$4:$A$1233&lt;&gt;"")),64)),"")</f>
        <v/>
      </c>
      <c r="F6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High"}))*(All_Risk_Apps!$K$4:$K$1233="No")*(All_Risk_Apps!$A$4:$A$1233&lt;&gt;"")),64)),"")</f>
        <v/>
      </c>
      <c r="G6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High"}))*(All_Risk_Apps!$K$4:$K$1233="No")*(All_Risk_Apps!$A$4:$A$1233&lt;&gt;"")),64)),"")</f>
        <v/>
      </c>
      <c r="H67" s="12" t="str">
        <f ca="1">IF(B67="","",IFERROR(INDEX(Server_Inventory!$R:$R,MATCH(B67,Server_Inventory!$Z:$Z,0)),"Not Found"))</f>
        <v/>
      </c>
      <c r="I67" s="12" t="str">
        <f ca="1">IF(B67="","",IFERROR(INDEX(Server_Inventory!$S:$S,MATCH(B67,Server_Inventory!$Z:$Z,0)),"Not Found"))</f>
        <v/>
      </c>
      <c r="J67" s="12" t="str">
        <f ca="1">IF(B67="","",COUNTIFS(Server_Inventory!$Z:$Z,B67,Server_Inventory!$P:$P,"R-RETIRED_IN_CMDB"))</f>
        <v/>
      </c>
      <c r="K67" s="12" t="str">
        <f ca="1">IF(B67="","",IFERROR(INDEX(Container_Inventory!$F:$F,MATCH(B67,Container_Inventory!$L:$L,0)),"Not Found"))</f>
        <v/>
      </c>
      <c r="L67" s="12" t="str">
        <f ca="1">IF(B67="","",IF(COUNTIF(Finding_List!$A:$A,B67)&gt;0,"Yes","No"))</f>
        <v/>
      </c>
      <c r="M67" s="12" t="str">
        <f ca="1">IF(B67="","",COUNTIF(Server_Inventory!$Z:$Z,B67))</f>
        <v/>
      </c>
      <c r="N67" s="12" t="str">
        <f ca="1">IF(B67="","",COUNTIF(Container_Inventory!$L:$L,B67))</f>
        <v/>
      </c>
    </row>
    <row r="68" spans="1:14" x14ac:dyDescent="0.2">
      <c r="A6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High"}))*(All_Risk_Apps!$K$4:$K$1233="No")*(All_Risk_Apps!$A$4:$A$1233&lt;&gt;"")),65)),"")</f>
        <v/>
      </c>
      <c r="B6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High"}))*(All_Risk_Apps!$K$4:$K$1233="No")*(All_Risk_Apps!$A$4:$A$1233&lt;&gt;"")),65)),"")</f>
        <v/>
      </c>
      <c r="C6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High"}))*(All_Risk_Apps!$K$4:$K$1233="No")*(All_Risk_Apps!$A$4:$A$1233&lt;&gt;"")),65)),"")</f>
        <v/>
      </c>
      <c r="D6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High"}))*(All_Risk_Apps!$K$4:$K$1233="No")*(All_Risk_Apps!$A$4:$A$1233&lt;&gt;"")),65)),"")</f>
        <v/>
      </c>
      <c r="E6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High"}))*(All_Risk_Apps!$K$4:$K$1233="No")*(All_Risk_Apps!$A$4:$A$1233&lt;&gt;"")),65)),"")</f>
        <v/>
      </c>
      <c r="F6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High"}))*(All_Risk_Apps!$K$4:$K$1233="No")*(All_Risk_Apps!$A$4:$A$1233&lt;&gt;"")),65)),"")</f>
        <v/>
      </c>
      <c r="G6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High"}))*(All_Risk_Apps!$K$4:$K$1233="No")*(All_Risk_Apps!$A$4:$A$1233&lt;&gt;"")),65)),"")</f>
        <v/>
      </c>
      <c r="H68" s="7" t="str">
        <f ca="1">IF(B68="","",IFERROR(INDEX(Server_Inventory!$R:$R,MATCH(B68,Server_Inventory!$Z:$Z,0)),"Not Found"))</f>
        <v/>
      </c>
      <c r="I68" s="7" t="str">
        <f ca="1">IF(B68="","",IFERROR(INDEX(Server_Inventory!$S:$S,MATCH(B68,Server_Inventory!$Z:$Z,0)),"Not Found"))</f>
        <v/>
      </c>
      <c r="J68" s="7" t="str">
        <f ca="1">IF(B68="","",COUNTIFS(Server_Inventory!$Z:$Z,B68,Server_Inventory!$P:$P,"R-RETIRED_IN_CMDB"))</f>
        <v/>
      </c>
      <c r="K68" s="7" t="str">
        <f ca="1">IF(B68="","",IFERROR(INDEX(Container_Inventory!$F:$F,MATCH(B68,Container_Inventory!$L:$L,0)),"Not Found"))</f>
        <v/>
      </c>
      <c r="L68" s="7" t="str">
        <f ca="1">IF(B68="","",IF(COUNTIF(Finding_List!$A:$A,B68)&gt;0,"Yes","No"))</f>
        <v/>
      </c>
      <c r="M68" s="7" t="str">
        <f ca="1">IF(B68="","",COUNTIF(Server_Inventory!$Z:$Z,B68))</f>
        <v/>
      </c>
      <c r="N68" s="7" t="str">
        <f ca="1">IF(B68="","",COUNTIF(Container_Inventory!$L:$L,B68))</f>
        <v/>
      </c>
    </row>
    <row r="69" spans="1:14" x14ac:dyDescent="0.2">
      <c r="A6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High"}))*(All_Risk_Apps!$K$4:$K$1233="No")*(All_Risk_Apps!$A$4:$A$1233&lt;&gt;"")),66)),"")</f>
        <v/>
      </c>
      <c r="B6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High"}))*(All_Risk_Apps!$K$4:$K$1233="No")*(All_Risk_Apps!$A$4:$A$1233&lt;&gt;"")),66)),"")</f>
        <v/>
      </c>
      <c r="C6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High"}))*(All_Risk_Apps!$K$4:$K$1233="No")*(All_Risk_Apps!$A$4:$A$1233&lt;&gt;"")),66)),"")</f>
        <v/>
      </c>
      <c r="D6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High"}))*(All_Risk_Apps!$K$4:$K$1233="No")*(All_Risk_Apps!$A$4:$A$1233&lt;&gt;"")),66)),"")</f>
        <v/>
      </c>
      <c r="E6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High"}))*(All_Risk_Apps!$K$4:$K$1233="No")*(All_Risk_Apps!$A$4:$A$1233&lt;&gt;"")),66)),"")</f>
        <v/>
      </c>
      <c r="F6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High"}))*(All_Risk_Apps!$K$4:$K$1233="No")*(All_Risk_Apps!$A$4:$A$1233&lt;&gt;"")),66)),"")</f>
        <v/>
      </c>
      <c r="G6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High"}))*(All_Risk_Apps!$K$4:$K$1233="No")*(All_Risk_Apps!$A$4:$A$1233&lt;&gt;"")),66)),"")</f>
        <v/>
      </c>
      <c r="H69" s="12" t="str">
        <f ca="1">IF(B69="","",IFERROR(INDEX(Server_Inventory!$R:$R,MATCH(B69,Server_Inventory!$Z:$Z,0)),"Not Found"))</f>
        <v/>
      </c>
      <c r="I69" s="12" t="str">
        <f ca="1">IF(B69="","",IFERROR(INDEX(Server_Inventory!$S:$S,MATCH(B69,Server_Inventory!$Z:$Z,0)),"Not Found"))</f>
        <v/>
      </c>
      <c r="J69" s="12" t="str">
        <f ca="1">IF(B69="","",COUNTIFS(Server_Inventory!$Z:$Z,B69,Server_Inventory!$P:$P,"R-RETIRED_IN_CMDB"))</f>
        <v/>
      </c>
      <c r="K69" s="12" t="str">
        <f ca="1">IF(B69="","",IFERROR(INDEX(Container_Inventory!$F:$F,MATCH(B69,Container_Inventory!$L:$L,0)),"Not Found"))</f>
        <v/>
      </c>
      <c r="L69" s="12" t="str">
        <f ca="1">IF(B69="","",IF(COUNTIF(Finding_List!$A:$A,B69)&gt;0,"Yes","No"))</f>
        <v/>
      </c>
      <c r="M69" s="12" t="str">
        <f ca="1">IF(B69="","",COUNTIF(Server_Inventory!$Z:$Z,B69))</f>
        <v/>
      </c>
      <c r="N69" s="12" t="str">
        <f ca="1">IF(B69="","",COUNTIF(Container_Inventory!$L:$L,B69))</f>
        <v/>
      </c>
    </row>
    <row r="70" spans="1:14" x14ac:dyDescent="0.2">
      <c r="A7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High"}))*(All_Risk_Apps!$K$4:$K$1233="No")*(All_Risk_Apps!$A$4:$A$1233&lt;&gt;"")),67)),"")</f>
        <v/>
      </c>
      <c r="B7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High"}))*(All_Risk_Apps!$K$4:$K$1233="No")*(All_Risk_Apps!$A$4:$A$1233&lt;&gt;"")),67)),"")</f>
        <v/>
      </c>
      <c r="C7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High"}))*(All_Risk_Apps!$K$4:$K$1233="No")*(All_Risk_Apps!$A$4:$A$1233&lt;&gt;"")),67)),"")</f>
        <v/>
      </c>
      <c r="D7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High"}))*(All_Risk_Apps!$K$4:$K$1233="No")*(All_Risk_Apps!$A$4:$A$1233&lt;&gt;"")),67)),"")</f>
        <v/>
      </c>
      <c r="E7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High"}))*(All_Risk_Apps!$K$4:$K$1233="No")*(All_Risk_Apps!$A$4:$A$1233&lt;&gt;"")),67)),"")</f>
        <v/>
      </c>
      <c r="F7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High"}))*(All_Risk_Apps!$K$4:$K$1233="No")*(All_Risk_Apps!$A$4:$A$1233&lt;&gt;"")),67)),"")</f>
        <v/>
      </c>
      <c r="G7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High"}))*(All_Risk_Apps!$K$4:$K$1233="No")*(All_Risk_Apps!$A$4:$A$1233&lt;&gt;"")),67)),"")</f>
        <v/>
      </c>
      <c r="H70" s="7" t="str">
        <f ca="1">IF(B70="","",IFERROR(INDEX(Server_Inventory!$R:$R,MATCH(B70,Server_Inventory!$Z:$Z,0)),"Not Found"))</f>
        <v/>
      </c>
      <c r="I70" s="7" t="str">
        <f ca="1">IF(B70="","",IFERROR(INDEX(Server_Inventory!$S:$S,MATCH(B70,Server_Inventory!$Z:$Z,0)),"Not Found"))</f>
        <v/>
      </c>
      <c r="J70" s="7" t="str">
        <f ca="1">IF(B70="","",COUNTIFS(Server_Inventory!$Z:$Z,B70,Server_Inventory!$P:$P,"R-RETIRED_IN_CMDB"))</f>
        <v/>
      </c>
      <c r="K70" s="7" t="str">
        <f ca="1">IF(B70="","",IFERROR(INDEX(Container_Inventory!$F:$F,MATCH(B70,Container_Inventory!$L:$L,0)),"Not Found"))</f>
        <v/>
      </c>
      <c r="L70" s="7" t="str">
        <f ca="1">IF(B70="","",IF(COUNTIF(Finding_List!$A:$A,B70)&gt;0,"Yes","No"))</f>
        <v/>
      </c>
      <c r="M70" s="7" t="str">
        <f ca="1">IF(B70="","",COUNTIF(Server_Inventory!$Z:$Z,B70))</f>
        <v/>
      </c>
      <c r="N70" s="7" t="str">
        <f ca="1">IF(B70="","",COUNTIF(Container_Inventory!$L:$L,B70))</f>
        <v/>
      </c>
    </row>
    <row r="71" spans="1:14" x14ac:dyDescent="0.2">
      <c r="A7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High"}))*(All_Risk_Apps!$K$4:$K$1233="No")*(All_Risk_Apps!$A$4:$A$1233&lt;&gt;"")),68)),"")</f>
        <v/>
      </c>
      <c r="B7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High"}))*(All_Risk_Apps!$K$4:$K$1233="No")*(All_Risk_Apps!$A$4:$A$1233&lt;&gt;"")),68)),"")</f>
        <v/>
      </c>
      <c r="C7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High"}))*(All_Risk_Apps!$K$4:$K$1233="No")*(All_Risk_Apps!$A$4:$A$1233&lt;&gt;"")),68)),"")</f>
        <v/>
      </c>
      <c r="D7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High"}))*(All_Risk_Apps!$K$4:$K$1233="No")*(All_Risk_Apps!$A$4:$A$1233&lt;&gt;"")),68)),"")</f>
        <v/>
      </c>
      <c r="E7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High"}))*(All_Risk_Apps!$K$4:$K$1233="No")*(All_Risk_Apps!$A$4:$A$1233&lt;&gt;"")),68)),"")</f>
        <v/>
      </c>
      <c r="F7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High"}))*(All_Risk_Apps!$K$4:$K$1233="No")*(All_Risk_Apps!$A$4:$A$1233&lt;&gt;"")),68)),"")</f>
        <v/>
      </c>
      <c r="G7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High"}))*(All_Risk_Apps!$K$4:$K$1233="No")*(All_Risk_Apps!$A$4:$A$1233&lt;&gt;"")),68)),"")</f>
        <v/>
      </c>
      <c r="H71" s="12" t="str">
        <f ca="1">IF(B71="","",IFERROR(INDEX(Server_Inventory!$R:$R,MATCH(B71,Server_Inventory!$Z:$Z,0)),"Not Found"))</f>
        <v/>
      </c>
      <c r="I71" s="12" t="str">
        <f ca="1">IF(B71="","",IFERROR(INDEX(Server_Inventory!$S:$S,MATCH(B71,Server_Inventory!$Z:$Z,0)),"Not Found"))</f>
        <v/>
      </c>
      <c r="J71" s="12" t="str">
        <f ca="1">IF(B71="","",COUNTIFS(Server_Inventory!$Z:$Z,B71,Server_Inventory!$P:$P,"R-RETIRED_IN_CMDB"))</f>
        <v/>
      </c>
      <c r="K71" s="12" t="str">
        <f ca="1">IF(B71="","",IFERROR(INDEX(Container_Inventory!$F:$F,MATCH(B71,Container_Inventory!$L:$L,0)),"Not Found"))</f>
        <v/>
      </c>
      <c r="L71" s="12" t="str">
        <f ca="1">IF(B71="","",IF(COUNTIF(Finding_List!$A:$A,B71)&gt;0,"Yes","No"))</f>
        <v/>
      </c>
      <c r="M71" s="12" t="str">
        <f ca="1">IF(B71="","",COUNTIF(Server_Inventory!$Z:$Z,B71))</f>
        <v/>
      </c>
      <c r="N71" s="12" t="str">
        <f ca="1">IF(B71="","",COUNTIF(Container_Inventory!$L:$L,B71))</f>
        <v/>
      </c>
    </row>
    <row r="72" spans="1:14" x14ac:dyDescent="0.2">
      <c r="A7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High"}))*(All_Risk_Apps!$K$4:$K$1233="No")*(All_Risk_Apps!$A$4:$A$1233&lt;&gt;"")),69)),"")</f>
        <v/>
      </c>
      <c r="B7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High"}))*(All_Risk_Apps!$K$4:$K$1233="No")*(All_Risk_Apps!$A$4:$A$1233&lt;&gt;"")),69)),"")</f>
        <v/>
      </c>
      <c r="C7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High"}))*(All_Risk_Apps!$K$4:$K$1233="No")*(All_Risk_Apps!$A$4:$A$1233&lt;&gt;"")),69)),"")</f>
        <v/>
      </c>
      <c r="D7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High"}))*(All_Risk_Apps!$K$4:$K$1233="No")*(All_Risk_Apps!$A$4:$A$1233&lt;&gt;"")),69)),"")</f>
        <v/>
      </c>
      <c r="E7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High"}))*(All_Risk_Apps!$K$4:$K$1233="No")*(All_Risk_Apps!$A$4:$A$1233&lt;&gt;"")),69)),"")</f>
        <v/>
      </c>
      <c r="F7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High"}))*(All_Risk_Apps!$K$4:$K$1233="No")*(All_Risk_Apps!$A$4:$A$1233&lt;&gt;"")),69)),"")</f>
        <v/>
      </c>
      <c r="G7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High"}))*(All_Risk_Apps!$K$4:$K$1233="No")*(All_Risk_Apps!$A$4:$A$1233&lt;&gt;"")),69)),"")</f>
        <v/>
      </c>
      <c r="H72" s="7" t="str">
        <f ca="1">IF(B72="","",IFERROR(INDEX(Server_Inventory!$R:$R,MATCH(B72,Server_Inventory!$Z:$Z,0)),"Not Found"))</f>
        <v/>
      </c>
      <c r="I72" s="7" t="str">
        <f ca="1">IF(B72="","",IFERROR(INDEX(Server_Inventory!$S:$S,MATCH(B72,Server_Inventory!$Z:$Z,0)),"Not Found"))</f>
        <v/>
      </c>
      <c r="J72" s="7" t="str">
        <f ca="1">IF(B72="","",COUNTIFS(Server_Inventory!$Z:$Z,B72,Server_Inventory!$P:$P,"R-RETIRED_IN_CMDB"))</f>
        <v/>
      </c>
      <c r="K72" s="7" t="str">
        <f ca="1">IF(B72="","",IFERROR(INDEX(Container_Inventory!$F:$F,MATCH(B72,Container_Inventory!$L:$L,0)),"Not Found"))</f>
        <v/>
      </c>
      <c r="L72" s="7" t="str">
        <f ca="1">IF(B72="","",IF(COUNTIF(Finding_List!$A:$A,B72)&gt;0,"Yes","No"))</f>
        <v/>
      </c>
      <c r="M72" s="7" t="str">
        <f ca="1">IF(B72="","",COUNTIF(Server_Inventory!$Z:$Z,B72))</f>
        <v/>
      </c>
      <c r="N72" s="7" t="str">
        <f ca="1">IF(B72="","",COUNTIF(Container_Inventory!$L:$L,B72))</f>
        <v/>
      </c>
    </row>
    <row r="73" spans="1:14" x14ac:dyDescent="0.2">
      <c r="A7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High"}))*(All_Risk_Apps!$K$4:$K$1233="No")*(All_Risk_Apps!$A$4:$A$1233&lt;&gt;"")),70)),"")</f>
        <v/>
      </c>
      <c r="B7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High"}))*(All_Risk_Apps!$K$4:$K$1233="No")*(All_Risk_Apps!$A$4:$A$1233&lt;&gt;"")),70)),"")</f>
        <v/>
      </c>
      <c r="C7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High"}))*(All_Risk_Apps!$K$4:$K$1233="No")*(All_Risk_Apps!$A$4:$A$1233&lt;&gt;"")),70)),"")</f>
        <v/>
      </c>
      <c r="D7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High"}))*(All_Risk_Apps!$K$4:$K$1233="No")*(All_Risk_Apps!$A$4:$A$1233&lt;&gt;"")),70)),"")</f>
        <v/>
      </c>
      <c r="E7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High"}))*(All_Risk_Apps!$K$4:$K$1233="No")*(All_Risk_Apps!$A$4:$A$1233&lt;&gt;"")),70)),"")</f>
        <v/>
      </c>
      <c r="F7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High"}))*(All_Risk_Apps!$K$4:$K$1233="No")*(All_Risk_Apps!$A$4:$A$1233&lt;&gt;"")),70)),"")</f>
        <v/>
      </c>
      <c r="G7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High"}))*(All_Risk_Apps!$K$4:$K$1233="No")*(All_Risk_Apps!$A$4:$A$1233&lt;&gt;"")),70)),"")</f>
        <v/>
      </c>
      <c r="H73" s="12" t="str">
        <f ca="1">IF(B73="","",IFERROR(INDEX(Server_Inventory!$R:$R,MATCH(B73,Server_Inventory!$Z:$Z,0)),"Not Found"))</f>
        <v/>
      </c>
      <c r="I73" s="12" t="str">
        <f ca="1">IF(B73="","",IFERROR(INDEX(Server_Inventory!$S:$S,MATCH(B73,Server_Inventory!$Z:$Z,0)),"Not Found"))</f>
        <v/>
      </c>
      <c r="J73" s="12" t="str">
        <f ca="1">IF(B73="","",COUNTIFS(Server_Inventory!$Z:$Z,B73,Server_Inventory!$P:$P,"R-RETIRED_IN_CMDB"))</f>
        <v/>
      </c>
      <c r="K73" s="12" t="str">
        <f ca="1">IF(B73="","",IFERROR(INDEX(Container_Inventory!$F:$F,MATCH(B73,Container_Inventory!$L:$L,0)),"Not Found"))</f>
        <v/>
      </c>
      <c r="L73" s="12" t="str">
        <f ca="1">IF(B73="","",IF(COUNTIF(Finding_List!$A:$A,B73)&gt;0,"Yes","No"))</f>
        <v/>
      </c>
      <c r="M73" s="12" t="str">
        <f ca="1">IF(B73="","",COUNTIF(Server_Inventory!$Z:$Z,B73))</f>
        <v/>
      </c>
      <c r="N73" s="12" t="str">
        <f ca="1">IF(B73="","",COUNTIF(Container_Inventory!$L:$L,B73))</f>
        <v/>
      </c>
    </row>
    <row r="74" spans="1:14" x14ac:dyDescent="0.2">
      <c r="A7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High"}))*(All_Risk_Apps!$K$4:$K$1233="No")*(All_Risk_Apps!$A$4:$A$1233&lt;&gt;"")),71)),"")</f>
        <v/>
      </c>
      <c r="B7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High"}))*(All_Risk_Apps!$K$4:$K$1233="No")*(All_Risk_Apps!$A$4:$A$1233&lt;&gt;"")),71)),"")</f>
        <v/>
      </c>
      <c r="C7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High"}))*(All_Risk_Apps!$K$4:$K$1233="No")*(All_Risk_Apps!$A$4:$A$1233&lt;&gt;"")),71)),"")</f>
        <v/>
      </c>
      <c r="D7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High"}))*(All_Risk_Apps!$K$4:$K$1233="No")*(All_Risk_Apps!$A$4:$A$1233&lt;&gt;"")),71)),"")</f>
        <v/>
      </c>
      <c r="E7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High"}))*(All_Risk_Apps!$K$4:$K$1233="No")*(All_Risk_Apps!$A$4:$A$1233&lt;&gt;"")),71)),"")</f>
        <v/>
      </c>
      <c r="F7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High"}))*(All_Risk_Apps!$K$4:$K$1233="No")*(All_Risk_Apps!$A$4:$A$1233&lt;&gt;"")),71)),"")</f>
        <v/>
      </c>
      <c r="G7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High"}))*(All_Risk_Apps!$K$4:$K$1233="No")*(All_Risk_Apps!$A$4:$A$1233&lt;&gt;"")),71)),"")</f>
        <v/>
      </c>
      <c r="H74" s="7" t="str">
        <f ca="1">IF(B74="","",IFERROR(INDEX(Server_Inventory!$R:$R,MATCH(B74,Server_Inventory!$Z:$Z,0)),"Not Found"))</f>
        <v/>
      </c>
      <c r="I74" s="7" t="str">
        <f ca="1">IF(B74="","",IFERROR(INDEX(Server_Inventory!$S:$S,MATCH(B74,Server_Inventory!$Z:$Z,0)),"Not Found"))</f>
        <v/>
      </c>
      <c r="J74" s="7" t="str">
        <f ca="1">IF(B74="","",COUNTIFS(Server_Inventory!$Z:$Z,B74,Server_Inventory!$P:$P,"R-RETIRED_IN_CMDB"))</f>
        <v/>
      </c>
      <c r="K74" s="7" t="str">
        <f ca="1">IF(B74="","",IFERROR(INDEX(Container_Inventory!$F:$F,MATCH(B74,Container_Inventory!$L:$L,0)),"Not Found"))</f>
        <v/>
      </c>
      <c r="L74" s="7" t="str">
        <f ca="1">IF(B74="","",IF(COUNTIF(Finding_List!$A:$A,B74)&gt;0,"Yes","No"))</f>
        <v/>
      </c>
      <c r="M74" s="7" t="str">
        <f ca="1">IF(B74="","",COUNTIF(Server_Inventory!$Z:$Z,B74))</f>
        <v/>
      </c>
      <c r="N74" s="7" t="str">
        <f ca="1">IF(B74="","",COUNTIF(Container_Inventory!$L:$L,B74))</f>
        <v/>
      </c>
    </row>
    <row r="75" spans="1:14" x14ac:dyDescent="0.2">
      <c r="A7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High"}))*(All_Risk_Apps!$K$4:$K$1233="No")*(All_Risk_Apps!$A$4:$A$1233&lt;&gt;"")),72)),"")</f>
        <v/>
      </c>
      <c r="B7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High"}))*(All_Risk_Apps!$K$4:$K$1233="No")*(All_Risk_Apps!$A$4:$A$1233&lt;&gt;"")),72)),"")</f>
        <v/>
      </c>
      <c r="C7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High"}))*(All_Risk_Apps!$K$4:$K$1233="No")*(All_Risk_Apps!$A$4:$A$1233&lt;&gt;"")),72)),"")</f>
        <v/>
      </c>
      <c r="D7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High"}))*(All_Risk_Apps!$K$4:$K$1233="No")*(All_Risk_Apps!$A$4:$A$1233&lt;&gt;"")),72)),"")</f>
        <v/>
      </c>
      <c r="E7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High"}))*(All_Risk_Apps!$K$4:$K$1233="No")*(All_Risk_Apps!$A$4:$A$1233&lt;&gt;"")),72)),"")</f>
        <v/>
      </c>
      <c r="F7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High"}))*(All_Risk_Apps!$K$4:$K$1233="No")*(All_Risk_Apps!$A$4:$A$1233&lt;&gt;"")),72)),"")</f>
        <v/>
      </c>
      <c r="G7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High"}))*(All_Risk_Apps!$K$4:$K$1233="No")*(All_Risk_Apps!$A$4:$A$1233&lt;&gt;"")),72)),"")</f>
        <v/>
      </c>
      <c r="H75" s="12" t="str">
        <f ca="1">IF(B75="","",IFERROR(INDEX(Server_Inventory!$R:$R,MATCH(B75,Server_Inventory!$Z:$Z,0)),"Not Found"))</f>
        <v/>
      </c>
      <c r="I75" s="12" t="str">
        <f ca="1">IF(B75="","",IFERROR(INDEX(Server_Inventory!$S:$S,MATCH(B75,Server_Inventory!$Z:$Z,0)),"Not Found"))</f>
        <v/>
      </c>
      <c r="J75" s="12" t="str">
        <f ca="1">IF(B75="","",COUNTIFS(Server_Inventory!$Z:$Z,B75,Server_Inventory!$P:$P,"R-RETIRED_IN_CMDB"))</f>
        <v/>
      </c>
      <c r="K75" s="12" t="str">
        <f ca="1">IF(B75="","",IFERROR(INDEX(Container_Inventory!$F:$F,MATCH(B75,Container_Inventory!$L:$L,0)),"Not Found"))</f>
        <v/>
      </c>
      <c r="L75" s="12" t="str">
        <f ca="1">IF(B75="","",IF(COUNTIF(Finding_List!$A:$A,B75)&gt;0,"Yes","No"))</f>
        <v/>
      </c>
      <c r="M75" s="12" t="str">
        <f ca="1">IF(B75="","",COUNTIF(Server_Inventory!$Z:$Z,B75))</f>
        <v/>
      </c>
      <c r="N75" s="12" t="str">
        <f ca="1">IF(B75="","",COUNTIF(Container_Inventory!$L:$L,B75))</f>
        <v/>
      </c>
    </row>
    <row r="76" spans="1:14" x14ac:dyDescent="0.2">
      <c r="A7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High"}))*(All_Risk_Apps!$K$4:$K$1233="No")*(All_Risk_Apps!$A$4:$A$1233&lt;&gt;"")),73)),"")</f>
        <v/>
      </c>
      <c r="B7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High"}))*(All_Risk_Apps!$K$4:$K$1233="No")*(All_Risk_Apps!$A$4:$A$1233&lt;&gt;"")),73)),"")</f>
        <v/>
      </c>
      <c r="C7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High"}))*(All_Risk_Apps!$K$4:$K$1233="No")*(All_Risk_Apps!$A$4:$A$1233&lt;&gt;"")),73)),"")</f>
        <v/>
      </c>
      <c r="D7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High"}))*(All_Risk_Apps!$K$4:$K$1233="No")*(All_Risk_Apps!$A$4:$A$1233&lt;&gt;"")),73)),"")</f>
        <v/>
      </c>
      <c r="E7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High"}))*(All_Risk_Apps!$K$4:$K$1233="No")*(All_Risk_Apps!$A$4:$A$1233&lt;&gt;"")),73)),"")</f>
        <v/>
      </c>
      <c r="F7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High"}))*(All_Risk_Apps!$K$4:$K$1233="No")*(All_Risk_Apps!$A$4:$A$1233&lt;&gt;"")),73)),"")</f>
        <v/>
      </c>
      <c r="G7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High"}))*(All_Risk_Apps!$K$4:$K$1233="No")*(All_Risk_Apps!$A$4:$A$1233&lt;&gt;"")),73)),"")</f>
        <v/>
      </c>
      <c r="H76" s="7" t="str">
        <f ca="1">IF(B76="","",IFERROR(INDEX(Server_Inventory!$R:$R,MATCH(B76,Server_Inventory!$Z:$Z,0)),"Not Found"))</f>
        <v/>
      </c>
      <c r="I76" s="7" t="str">
        <f ca="1">IF(B76="","",IFERROR(INDEX(Server_Inventory!$S:$S,MATCH(B76,Server_Inventory!$Z:$Z,0)),"Not Found"))</f>
        <v/>
      </c>
      <c r="J76" s="7" t="str">
        <f ca="1">IF(B76="","",COUNTIFS(Server_Inventory!$Z:$Z,B76,Server_Inventory!$P:$P,"R-RETIRED_IN_CMDB"))</f>
        <v/>
      </c>
      <c r="K76" s="7" t="str">
        <f ca="1">IF(B76="","",IFERROR(INDEX(Container_Inventory!$F:$F,MATCH(B76,Container_Inventory!$L:$L,0)),"Not Found"))</f>
        <v/>
      </c>
      <c r="L76" s="7" t="str">
        <f ca="1">IF(B76="","",IF(COUNTIF(Finding_List!$A:$A,B76)&gt;0,"Yes","No"))</f>
        <v/>
      </c>
      <c r="M76" s="7" t="str">
        <f ca="1">IF(B76="","",COUNTIF(Server_Inventory!$Z:$Z,B76))</f>
        <v/>
      </c>
      <c r="N76" s="7" t="str">
        <f ca="1">IF(B76="","",COUNTIF(Container_Inventory!$L:$L,B76))</f>
        <v/>
      </c>
    </row>
    <row r="77" spans="1:14" x14ac:dyDescent="0.2">
      <c r="A7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High"}))*(All_Risk_Apps!$K$4:$K$1233="No")*(All_Risk_Apps!$A$4:$A$1233&lt;&gt;"")),74)),"")</f>
        <v/>
      </c>
      <c r="B7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High"}))*(All_Risk_Apps!$K$4:$K$1233="No")*(All_Risk_Apps!$A$4:$A$1233&lt;&gt;"")),74)),"")</f>
        <v/>
      </c>
      <c r="C7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High"}))*(All_Risk_Apps!$K$4:$K$1233="No")*(All_Risk_Apps!$A$4:$A$1233&lt;&gt;"")),74)),"")</f>
        <v/>
      </c>
      <c r="D7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High"}))*(All_Risk_Apps!$K$4:$K$1233="No")*(All_Risk_Apps!$A$4:$A$1233&lt;&gt;"")),74)),"")</f>
        <v/>
      </c>
      <c r="E7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High"}))*(All_Risk_Apps!$K$4:$K$1233="No")*(All_Risk_Apps!$A$4:$A$1233&lt;&gt;"")),74)),"")</f>
        <v/>
      </c>
      <c r="F7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High"}))*(All_Risk_Apps!$K$4:$K$1233="No")*(All_Risk_Apps!$A$4:$A$1233&lt;&gt;"")),74)),"")</f>
        <v/>
      </c>
      <c r="G7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High"}))*(All_Risk_Apps!$K$4:$K$1233="No")*(All_Risk_Apps!$A$4:$A$1233&lt;&gt;"")),74)),"")</f>
        <v/>
      </c>
      <c r="H77" s="12" t="str">
        <f ca="1">IF(B77="","",IFERROR(INDEX(Server_Inventory!$R:$R,MATCH(B77,Server_Inventory!$Z:$Z,0)),"Not Found"))</f>
        <v/>
      </c>
      <c r="I77" s="12" t="str">
        <f ca="1">IF(B77="","",IFERROR(INDEX(Server_Inventory!$S:$S,MATCH(B77,Server_Inventory!$Z:$Z,0)),"Not Found"))</f>
        <v/>
      </c>
      <c r="J77" s="12" t="str">
        <f ca="1">IF(B77="","",COUNTIFS(Server_Inventory!$Z:$Z,B77,Server_Inventory!$P:$P,"R-RETIRED_IN_CMDB"))</f>
        <v/>
      </c>
      <c r="K77" s="12" t="str">
        <f ca="1">IF(B77="","",IFERROR(INDEX(Container_Inventory!$F:$F,MATCH(B77,Container_Inventory!$L:$L,0)),"Not Found"))</f>
        <v/>
      </c>
      <c r="L77" s="12" t="str">
        <f ca="1">IF(B77="","",IF(COUNTIF(Finding_List!$A:$A,B77)&gt;0,"Yes","No"))</f>
        <v/>
      </c>
      <c r="M77" s="12" t="str">
        <f ca="1">IF(B77="","",COUNTIF(Server_Inventory!$Z:$Z,B77))</f>
        <v/>
      </c>
      <c r="N77" s="12" t="str">
        <f ca="1">IF(B77="","",COUNTIF(Container_Inventory!$L:$L,B77))</f>
        <v/>
      </c>
    </row>
    <row r="78" spans="1:14" x14ac:dyDescent="0.2">
      <c r="A7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High"}))*(All_Risk_Apps!$K$4:$K$1233="No")*(All_Risk_Apps!$A$4:$A$1233&lt;&gt;"")),75)),"")</f>
        <v/>
      </c>
      <c r="B7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High"}))*(All_Risk_Apps!$K$4:$K$1233="No")*(All_Risk_Apps!$A$4:$A$1233&lt;&gt;"")),75)),"")</f>
        <v/>
      </c>
      <c r="C7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High"}))*(All_Risk_Apps!$K$4:$K$1233="No")*(All_Risk_Apps!$A$4:$A$1233&lt;&gt;"")),75)),"")</f>
        <v/>
      </c>
      <c r="D7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High"}))*(All_Risk_Apps!$K$4:$K$1233="No")*(All_Risk_Apps!$A$4:$A$1233&lt;&gt;"")),75)),"")</f>
        <v/>
      </c>
      <c r="E7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High"}))*(All_Risk_Apps!$K$4:$K$1233="No")*(All_Risk_Apps!$A$4:$A$1233&lt;&gt;"")),75)),"")</f>
        <v/>
      </c>
      <c r="F7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High"}))*(All_Risk_Apps!$K$4:$K$1233="No")*(All_Risk_Apps!$A$4:$A$1233&lt;&gt;"")),75)),"")</f>
        <v/>
      </c>
      <c r="G7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High"}))*(All_Risk_Apps!$K$4:$K$1233="No")*(All_Risk_Apps!$A$4:$A$1233&lt;&gt;"")),75)),"")</f>
        <v/>
      </c>
      <c r="H78" s="7" t="str">
        <f ca="1">IF(B78="","",IFERROR(INDEX(Server_Inventory!$R:$R,MATCH(B78,Server_Inventory!$Z:$Z,0)),"Not Found"))</f>
        <v/>
      </c>
      <c r="I78" s="7" t="str">
        <f ca="1">IF(B78="","",IFERROR(INDEX(Server_Inventory!$S:$S,MATCH(B78,Server_Inventory!$Z:$Z,0)),"Not Found"))</f>
        <v/>
      </c>
      <c r="J78" s="7" t="str">
        <f ca="1">IF(B78="","",COUNTIFS(Server_Inventory!$Z:$Z,B78,Server_Inventory!$P:$P,"R-RETIRED_IN_CMDB"))</f>
        <v/>
      </c>
      <c r="K78" s="7" t="str">
        <f ca="1">IF(B78="","",IFERROR(INDEX(Container_Inventory!$F:$F,MATCH(B78,Container_Inventory!$L:$L,0)),"Not Found"))</f>
        <v/>
      </c>
      <c r="L78" s="7" t="str">
        <f ca="1">IF(B78="","",IF(COUNTIF(Finding_List!$A:$A,B78)&gt;0,"Yes","No"))</f>
        <v/>
      </c>
      <c r="M78" s="7" t="str">
        <f ca="1">IF(B78="","",COUNTIF(Server_Inventory!$Z:$Z,B78))</f>
        <v/>
      </c>
      <c r="N78" s="7" t="str">
        <f ca="1">IF(B78="","",COUNTIF(Container_Inventory!$L:$L,B78))</f>
        <v/>
      </c>
    </row>
    <row r="79" spans="1:14" x14ac:dyDescent="0.2">
      <c r="A7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High"}))*(All_Risk_Apps!$K$4:$K$1233="No")*(All_Risk_Apps!$A$4:$A$1233&lt;&gt;"")),76)),"")</f>
        <v/>
      </c>
      <c r="B7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High"}))*(All_Risk_Apps!$K$4:$K$1233="No")*(All_Risk_Apps!$A$4:$A$1233&lt;&gt;"")),76)),"")</f>
        <v/>
      </c>
      <c r="C7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High"}))*(All_Risk_Apps!$K$4:$K$1233="No")*(All_Risk_Apps!$A$4:$A$1233&lt;&gt;"")),76)),"")</f>
        <v/>
      </c>
      <c r="D7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High"}))*(All_Risk_Apps!$K$4:$K$1233="No")*(All_Risk_Apps!$A$4:$A$1233&lt;&gt;"")),76)),"")</f>
        <v/>
      </c>
      <c r="E7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High"}))*(All_Risk_Apps!$K$4:$K$1233="No")*(All_Risk_Apps!$A$4:$A$1233&lt;&gt;"")),76)),"")</f>
        <v/>
      </c>
      <c r="F7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High"}))*(All_Risk_Apps!$K$4:$K$1233="No")*(All_Risk_Apps!$A$4:$A$1233&lt;&gt;"")),76)),"")</f>
        <v/>
      </c>
      <c r="G7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High"}))*(All_Risk_Apps!$K$4:$K$1233="No")*(All_Risk_Apps!$A$4:$A$1233&lt;&gt;"")),76)),"")</f>
        <v/>
      </c>
      <c r="H79" s="12" t="str">
        <f ca="1">IF(B79="","",IFERROR(INDEX(Server_Inventory!$R:$R,MATCH(B79,Server_Inventory!$Z:$Z,0)),"Not Found"))</f>
        <v/>
      </c>
      <c r="I79" s="12" t="str">
        <f ca="1">IF(B79="","",IFERROR(INDEX(Server_Inventory!$S:$S,MATCH(B79,Server_Inventory!$Z:$Z,0)),"Not Found"))</f>
        <v/>
      </c>
      <c r="J79" s="12" t="str">
        <f ca="1">IF(B79="","",COUNTIFS(Server_Inventory!$Z:$Z,B79,Server_Inventory!$P:$P,"R-RETIRED_IN_CMDB"))</f>
        <v/>
      </c>
      <c r="K79" s="12" t="str">
        <f ca="1">IF(B79="","",IFERROR(INDEX(Container_Inventory!$F:$F,MATCH(B79,Container_Inventory!$L:$L,0)),"Not Found"))</f>
        <v/>
      </c>
      <c r="L79" s="12" t="str">
        <f ca="1">IF(B79="","",IF(COUNTIF(Finding_List!$A:$A,B79)&gt;0,"Yes","No"))</f>
        <v/>
      </c>
      <c r="M79" s="12" t="str">
        <f ca="1">IF(B79="","",COUNTIF(Server_Inventory!$Z:$Z,B79))</f>
        <v/>
      </c>
      <c r="N79" s="12" t="str">
        <f ca="1">IF(B79="","",COUNTIF(Container_Inventory!$L:$L,B79))</f>
        <v/>
      </c>
    </row>
    <row r="80" spans="1:14" x14ac:dyDescent="0.2">
      <c r="A8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High"}))*(All_Risk_Apps!$K$4:$K$1233="No")*(All_Risk_Apps!$A$4:$A$1233&lt;&gt;"")),77)),"")</f>
        <v/>
      </c>
      <c r="B8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High"}))*(All_Risk_Apps!$K$4:$K$1233="No")*(All_Risk_Apps!$A$4:$A$1233&lt;&gt;"")),77)),"")</f>
        <v/>
      </c>
      <c r="C8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High"}))*(All_Risk_Apps!$K$4:$K$1233="No")*(All_Risk_Apps!$A$4:$A$1233&lt;&gt;"")),77)),"")</f>
        <v/>
      </c>
      <c r="D8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High"}))*(All_Risk_Apps!$K$4:$K$1233="No")*(All_Risk_Apps!$A$4:$A$1233&lt;&gt;"")),77)),"")</f>
        <v/>
      </c>
      <c r="E8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High"}))*(All_Risk_Apps!$K$4:$K$1233="No")*(All_Risk_Apps!$A$4:$A$1233&lt;&gt;"")),77)),"")</f>
        <v/>
      </c>
      <c r="F8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High"}))*(All_Risk_Apps!$K$4:$K$1233="No")*(All_Risk_Apps!$A$4:$A$1233&lt;&gt;"")),77)),"")</f>
        <v/>
      </c>
      <c r="G8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High"}))*(All_Risk_Apps!$K$4:$K$1233="No")*(All_Risk_Apps!$A$4:$A$1233&lt;&gt;"")),77)),"")</f>
        <v/>
      </c>
      <c r="H80" s="7" t="str">
        <f ca="1">IF(B80="","",IFERROR(INDEX(Server_Inventory!$R:$R,MATCH(B80,Server_Inventory!$Z:$Z,0)),"Not Found"))</f>
        <v/>
      </c>
      <c r="I80" s="7" t="str">
        <f ca="1">IF(B80="","",IFERROR(INDEX(Server_Inventory!$S:$S,MATCH(B80,Server_Inventory!$Z:$Z,0)),"Not Found"))</f>
        <v/>
      </c>
      <c r="J80" s="7" t="str">
        <f ca="1">IF(B80="","",COUNTIFS(Server_Inventory!$Z:$Z,B80,Server_Inventory!$P:$P,"R-RETIRED_IN_CMDB"))</f>
        <v/>
      </c>
      <c r="K80" s="7" t="str">
        <f ca="1">IF(B80="","",IFERROR(INDEX(Container_Inventory!$F:$F,MATCH(B80,Container_Inventory!$L:$L,0)),"Not Found"))</f>
        <v/>
      </c>
      <c r="L80" s="7" t="str">
        <f ca="1">IF(B80="","",IF(COUNTIF(Finding_List!$A:$A,B80)&gt;0,"Yes","No"))</f>
        <v/>
      </c>
      <c r="M80" s="7" t="str">
        <f ca="1">IF(B80="","",COUNTIF(Server_Inventory!$Z:$Z,B80))</f>
        <v/>
      </c>
      <c r="N80" s="7" t="str">
        <f ca="1">IF(B80="","",COUNTIF(Container_Inventory!$L:$L,B80))</f>
        <v/>
      </c>
    </row>
    <row r="81" spans="1:14" x14ac:dyDescent="0.2">
      <c r="A8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High"}))*(All_Risk_Apps!$K$4:$K$1233="No")*(All_Risk_Apps!$A$4:$A$1233&lt;&gt;"")),78)),"")</f>
        <v/>
      </c>
      <c r="B8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High"}))*(All_Risk_Apps!$K$4:$K$1233="No")*(All_Risk_Apps!$A$4:$A$1233&lt;&gt;"")),78)),"")</f>
        <v/>
      </c>
      <c r="C8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High"}))*(All_Risk_Apps!$K$4:$K$1233="No")*(All_Risk_Apps!$A$4:$A$1233&lt;&gt;"")),78)),"")</f>
        <v/>
      </c>
      <c r="D8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High"}))*(All_Risk_Apps!$K$4:$K$1233="No")*(All_Risk_Apps!$A$4:$A$1233&lt;&gt;"")),78)),"")</f>
        <v/>
      </c>
      <c r="E8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High"}))*(All_Risk_Apps!$K$4:$K$1233="No")*(All_Risk_Apps!$A$4:$A$1233&lt;&gt;"")),78)),"")</f>
        <v/>
      </c>
      <c r="F8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High"}))*(All_Risk_Apps!$K$4:$K$1233="No")*(All_Risk_Apps!$A$4:$A$1233&lt;&gt;"")),78)),"")</f>
        <v/>
      </c>
      <c r="G8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High"}))*(All_Risk_Apps!$K$4:$K$1233="No")*(All_Risk_Apps!$A$4:$A$1233&lt;&gt;"")),78)),"")</f>
        <v/>
      </c>
      <c r="H81" s="12" t="str">
        <f ca="1">IF(B81="","",IFERROR(INDEX(Server_Inventory!$R:$R,MATCH(B81,Server_Inventory!$Z:$Z,0)),"Not Found"))</f>
        <v/>
      </c>
      <c r="I81" s="12" t="str">
        <f ca="1">IF(B81="","",IFERROR(INDEX(Server_Inventory!$S:$S,MATCH(B81,Server_Inventory!$Z:$Z,0)),"Not Found"))</f>
        <v/>
      </c>
      <c r="J81" s="12" t="str">
        <f ca="1">IF(B81="","",COUNTIFS(Server_Inventory!$Z:$Z,B81,Server_Inventory!$P:$P,"R-RETIRED_IN_CMDB"))</f>
        <v/>
      </c>
      <c r="K81" s="12" t="str">
        <f ca="1">IF(B81="","",IFERROR(INDEX(Container_Inventory!$F:$F,MATCH(B81,Container_Inventory!$L:$L,0)),"Not Found"))</f>
        <v/>
      </c>
      <c r="L81" s="12" t="str">
        <f ca="1">IF(B81="","",IF(COUNTIF(Finding_List!$A:$A,B81)&gt;0,"Yes","No"))</f>
        <v/>
      </c>
      <c r="M81" s="12" t="str">
        <f ca="1">IF(B81="","",COUNTIF(Server_Inventory!$Z:$Z,B81))</f>
        <v/>
      </c>
      <c r="N81" s="12" t="str">
        <f ca="1">IF(B81="","",COUNTIF(Container_Inventory!$L:$L,B81))</f>
        <v/>
      </c>
    </row>
    <row r="82" spans="1:14" x14ac:dyDescent="0.2">
      <c r="A8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High"}))*(All_Risk_Apps!$K$4:$K$1233="No")*(All_Risk_Apps!$A$4:$A$1233&lt;&gt;"")),79)),"")</f>
        <v/>
      </c>
      <c r="B8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High"}))*(All_Risk_Apps!$K$4:$K$1233="No")*(All_Risk_Apps!$A$4:$A$1233&lt;&gt;"")),79)),"")</f>
        <v/>
      </c>
      <c r="C8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High"}))*(All_Risk_Apps!$K$4:$K$1233="No")*(All_Risk_Apps!$A$4:$A$1233&lt;&gt;"")),79)),"")</f>
        <v/>
      </c>
      <c r="D8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High"}))*(All_Risk_Apps!$K$4:$K$1233="No")*(All_Risk_Apps!$A$4:$A$1233&lt;&gt;"")),79)),"")</f>
        <v/>
      </c>
      <c r="E8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High"}))*(All_Risk_Apps!$K$4:$K$1233="No")*(All_Risk_Apps!$A$4:$A$1233&lt;&gt;"")),79)),"")</f>
        <v/>
      </c>
      <c r="F8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High"}))*(All_Risk_Apps!$K$4:$K$1233="No")*(All_Risk_Apps!$A$4:$A$1233&lt;&gt;"")),79)),"")</f>
        <v/>
      </c>
      <c r="G8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High"}))*(All_Risk_Apps!$K$4:$K$1233="No")*(All_Risk_Apps!$A$4:$A$1233&lt;&gt;"")),79)),"")</f>
        <v/>
      </c>
      <c r="H82" s="7" t="str">
        <f ca="1">IF(B82="","",IFERROR(INDEX(Server_Inventory!$R:$R,MATCH(B82,Server_Inventory!$Z:$Z,0)),"Not Found"))</f>
        <v/>
      </c>
      <c r="I82" s="7" t="str">
        <f ca="1">IF(B82="","",IFERROR(INDEX(Server_Inventory!$S:$S,MATCH(B82,Server_Inventory!$Z:$Z,0)),"Not Found"))</f>
        <v/>
      </c>
      <c r="J82" s="7" t="str">
        <f ca="1">IF(B82="","",COUNTIFS(Server_Inventory!$Z:$Z,B82,Server_Inventory!$P:$P,"R-RETIRED_IN_CMDB"))</f>
        <v/>
      </c>
      <c r="K82" s="7" t="str">
        <f ca="1">IF(B82="","",IFERROR(INDEX(Container_Inventory!$F:$F,MATCH(B82,Container_Inventory!$L:$L,0)),"Not Found"))</f>
        <v/>
      </c>
      <c r="L82" s="7" t="str">
        <f ca="1">IF(B82="","",IF(COUNTIF(Finding_List!$A:$A,B82)&gt;0,"Yes","No"))</f>
        <v/>
      </c>
      <c r="M82" s="7" t="str">
        <f ca="1">IF(B82="","",COUNTIF(Server_Inventory!$Z:$Z,B82))</f>
        <v/>
      </c>
      <c r="N82" s="7" t="str">
        <f ca="1">IF(B82="","",COUNTIF(Container_Inventory!$L:$L,B82))</f>
        <v/>
      </c>
    </row>
    <row r="83" spans="1:14" x14ac:dyDescent="0.2">
      <c r="A8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High"}))*(All_Risk_Apps!$K$4:$K$1233="No")*(All_Risk_Apps!$A$4:$A$1233&lt;&gt;"")),80)),"")</f>
        <v/>
      </c>
      <c r="B8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High"}))*(All_Risk_Apps!$K$4:$K$1233="No")*(All_Risk_Apps!$A$4:$A$1233&lt;&gt;"")),80)),"")</f>
        <v/>
      </c>
      <c r="C8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High"}))*(All_Risk_Apps!$K$4:$K$1233="No")*(All_Risk_Apps!$A$4:$A$1233&lt;&gt;"")),80)),"")</f>
        <v/>
      </c>
      <c r="D8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High"}))*(All_Risk_Apps!$K$4:$K$1233="No")*(All_Risk_Apps!$A$4:$A$1233&lt;&gt;"")),80)),"")</f>
        <v/>
      </c>
      <c r="E8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High"}))*(All_Risk_Apps!$K$4:$K$1233="No")*(All_Risk_Apps!$A$4:$A$1233&lt;&gt;"")),80)),"")</f>
        <v/>
      </c>
      <c r="F8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High"}))*(All_Risk_Apps!$K$4:$K$1233="No")*(All_Risk_Apps!$A$4:$A$1233&lt;&gt;"")),80)),"")</f>
        <v/>
      </c>
      <c r="G8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High"}))*(All_Risk_Apps!$K$4:$K$1233="No")*(All_Risk_Apps!$A$4:$A$1233&lt;&gt;"")),80)),"")</f>
        <v/>
      </c>
      <c r="H83" s="12" t="str">
        <f ca="1">IF(B83="","",IFERROR(INDEX(Server_Inventory!$R:$R,MATCH(B83,Server_Inventory!$Z:$Z,0)),"Not Found"))</f>
        <v/>
      </c>
      <c r="I83" s="12" t="str">
        <f ca="1">IF(B83="","",IFERROR(INDEX(Server_Inventory!$S:$S,MATCH(B83,Server_Inventory!$Z:$Z,0)),"Not Found"))</f>
        <v/>
      </c>
      <c r="J83" s="12" t="str">
        <f ca="1">IF(B83="","",COUNTIFS(Server_Inventory!$Z:$Z,B83,Server_Inventory!$P:$P,"R-RETIRED_IN_CMDB"))</f>
        <v/>
      </c>
      <c r="K83" s="12" t="str">
        <f ca="1">IF(B83="","",IFERROR(INDEX(Container_Inventory!$F:$F,MATCH(B83,Container_Inventory!$L:$L,0)),"Not Found"))</f>
        <v/>
      </c>
      <c r="L83" s="12" t="str">
        <f ca="1">IF(B83="","",IF(COUNTIF(Finding_List!$A:$A,B83)&gt;0,"Yes","No"))</f>
        <v/>
      </c>
      <c r="M83" s="12" t="str">
        <f ca="1">IF(B83="","",COUNTIF(Server_Inventory!$Z:$Z,B83))</f>
        <v/>
      </c>
      <c r="N83" s="12" t="str">
        <f ca="1">IF(B83="","",COUNTIF(Container_Inventory!$L:$L,B83))</f>
        <v/>
      </c>
    </row>
    <row r="84" spans="1:14" x14ac:dyDescent="0.2">
      <c r="A8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High"}))*(All_Risk_Apps!$K$4:$K$1233="No")*(All_Risk_Apps!$A$4:$A$1233&lt;&gt;"")),81)),"")</f>
        <v/>
      </c>
      <c r="B8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High"}))*(All_Risk_Apps!$K$4:$K$1233="No")*(All_Risk_Apps!$A$4:$A$1233&lt;&gt;"")),81)),"")</f>
        <v/>
      </c>
      <c r="C8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High"}))*(All_Risk_Apps!$K$4:$K$1233="No")*(All_Risk_Apps!$A$4:$A$1233&lt;&gt;"")),81)),"")</f>
        <v/>
      </c>
      <c r="D8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High"}))*(All_Risk_Apps!$K$4:$K$1233="No")*(All_Risk_Apps!$A$4:$A$1233&lt;&gt;"")),81)),"")</f>
        <v/>
      </c>
      <c r="E8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High"}))*(All_Risk_Apps!$K$4:$K$1233="No")*(All_Risk_Apps!$A$4:$A$1233&lt;&gt;"")),81)),"")</f>
        <v/>
      </c>
      <c r="F8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High"}))*(All_Risk_Apps!$K$4:$K$1233="No")*(All_Risk_Apps!$A$4:$A$1233&lt;&gt;"")),81)),"")</f>
        <v/>
      </c>
      <c r="G8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High"}))*(All_Risk_Apps!$K$4:$K$1233="No")*(All_Risk_Apps!$A$4:$A$1233&lt;&gt;"")),81)),"")</f>
        <v/>
      </c>
      <c r="H84" s="7" t="str">
        <f ca="1">IF(B84="","",IFERROR(INDEX(Server_Inventory!$R:$R,MATCH(B84,Server_Inventory!$Z:$Z,0)),"Not Found"))</f>
        <v/>
      </c>
      <c r="I84" s="7" t="str">
        <f ca="1">IF(B84="","",IFERROR(INDEX(Server_Inventory!$S:$S,MATCH(B84,Server_Inventory!$Z:$Z,0)),"Not Found"))</f>
        <v/>
      </c>
      <c r="J84" s="7" t="str">
        <f ca="1">IF(B84="","",COUNTIFS(Server_Inventory!$Z:$Z,B84,Server_Inventory!$P:$P,"R-RETIRED_IN_CMDB"))</f>
        <v/>
      </c>
      <c r="K84" s="7" t="str">
        <f ca="1">IF(B84="","",IFERROR(INDEX(Container_Inventory!$F:$F,MATCH(B84,Container_Inventory!$L:$L,0)),"Not Found"))</f>
        <v/>
      </c>
      <c r="L84" s="7" t="str">
        <f ca="1">IF(B84="","",IF(COUNTIF(Finding_List!$A:$A,B84)&gt;0,"Yes","No"))</f>
        <v/>
      </c>
      <c r="M84" s="7" t="str">
        <f ca="1">IF(B84="","",COUNTIF(Server_Inventory!$Z:$Z,B84))</f>
        <v/>
      </c>
      <c r="N84" s="7" t="str">
        <f ca="1">IF(B84="","",COUNTIF(Container_Inventory!$L:$L,B84))</f>
        <v/>
      </c>
    </row>
    <row r="85" spans="1:14" x14ac:dyDescent="0.2">
      <c r="A8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High"}))*(All_Risk_Apps!$K$4:$K$1233="No")*(All_Risk_Apps!$A$4:$A$1233&lt;&gt;"")),82)),"")</f>
        <v/>
      </c>
      <c r="B8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High"}))*(All_Risk_Apps!$K$4:$K$1233="No")*(All_Risk_Apps!$A$4:$A$1233&lt;&gt;"")),82)),"")</f>
        <v/>
      </c>
      <c r="C8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High"}))*(All_Risk_Apps!$K$4:$K$1233="No")*(All_Risk_Apps!$A$4:$A$1233&lt;&gt;"")),82)),"")</f>
        <v/>
      </c>
      <c r="D8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High"}))*(All_Risk_Apps!$K$4:$K$1233="No")*(All_Risk_Apps!$A$4:$A$1233&lt;&gt;"")),82)),"")</f>
        <v/>
      </c>
      <c r="E8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High"}))*(All_Risk_Apps!$K$4:$K$1233="No")*(All_Risk_Apps!$A$4:$A$1233&lt;&gt;"")),82)),"")</f>
        <v/>
      </c>
      <c r="F8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High"}))*(All_Risk_Apps!$K$4:$K$1233="No")*(All_Risk_Apps!$A$4:$A$1233&lt;&gt;"")),82)),"")</f>
        <v/>
      </c>
      <c r="G8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High"}))*(All_Risk_Apps!$K$4:$K$1233="No")*(All_Risk_Apps!$A$4:$A$1233&lt;&gt;"")),82)),"")</f>
        <v/>
      </c>
      <c r="H85" s="12" t="str">
        <f ca="1">IF(B85="","",IFERROR(INDEX(Server_Inventory!$R:$R,MATCH(B85,Server_Inventory!$Z:$Z,0)),"Not Found"))</f>
        <v/>
      </c>
      <c r="I85" s="12" t="str">
        <f ca="1">IF(B85="","",IFERROR(INDEX(Server_Inventory!$S:$S,MATCH(B85,Server_Inventory!$Z:$Z,0)),"Not Found"))</f>
        <v/>
      </c>
      <c r="J85" s="12" t="str">
        <f ca="1">IF(B85="","",COUNTIFS(Server_Inventory!$Z:$Z,B85,Server_Inventory!$P:$P,"R-RETIRED_IN_CMDB"))</f>
        <v/>
      </c>
      <c r="K85" s="12" t="str">
        <f ca="1">IF(B85="","",IFERROR(INDEX(Container_Inventory!$F:$F,MATCH(B85,Container_Inventory!$L:$L,0)),"Not Found"))</f>
        <v/>
      </c>
      <c r="L85" s="12" t="str">
        <f ca="1">IF(B85="","",IF(COUNTIF(Finding_List!$A:$A,B85)&gt;0,"Yes","No"))</f>
        <v/>
      </c>
      <c r="M85" s="12" t="str">
        <f ca="1">IF(B85="","",COUNTIF(Server_Inventory!$Z:$Z,B85))</f>
        <v/>
      </c>
      <c r="N85" s="12" t="str">
        <f ca="1">IF(B85="","",COUNTIF(Container_Inventory!$L:$L,B85))</f>
        <v/>
      </c>
    </row>
    <row r="86" spans="1:14" x14ac:dyDescent="0.2">
      <c r="A8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High"}))*(All_Risk_Apps!$K$4:$K$1233="No")*(All_Risk_Apps!$A$4:$A$1233&lt;&gt;"")),83)),"")</f>
        <v/>
      </c>
      <c r="B8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High"}))*(All_Risk_Apps!$K$4:$K$1233="No")*(All_Risk_Apps!$A$4:$A$1233&lt;&gt;"")),83)),"")</f>
        <v/>
      </c>
      <c r="C8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High"}))*(All_Risk_Apps!$K$4:$K$1233="No")*(All_Risk_Apps!$A$4:$A$1233&lt;&gt;"")),83)),"")</f>
        <v/>
      </c>
      <c r="D8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High"}))*(All_Risk_Apps!$K$4:$K$1233="No")*(All_Risk_Apps!$A$4:$A$1233&lt;&gt;"")),83)),"")</f>
        <v/>
      </c>
      <c r="E8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High"}))*(All_Risk_Apps!$K$4:$K$1233="No")*(All_Risk_Apps!$A$4:$A$1233&lt;&gt;"")),83)),"")</f>
        <v/>
      </c>
      <c r="F8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High"}))*(All_Risk_Apps!$K$4:$K$1233="No")*(All_Risk_Apps!$A$4:$A$1233&lt;&gt;"")),83)),"")</f>
        <v/>
      </c>
      <c r="G8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High"}))*(All_Risk_Apps!$K$4:$K$1233="No")*(All_Risk_Apps!$A$4:$A$1233&lt;&gt;"")),83)),"")</f>
        <v/>
      </c>
      <c r="H86" s="7" t="str">
        <f ca="1">IF(B86="","",IFERROR(INDEX(Server_Inventory!$R:$R,MATCH(B86,Server_Inventory!$Z:$Z,0)),"Not Found"))</f>
        <v/>
      </c>
      <c r="I86" s="7" t="str">
        <f ca="1">IF(B86="","",IFERROR(INDEX(Server_Inventory!$S:$S,MATCH(B86,Server_Inventory!$Z:$Z,0)),"Not Found"))</f>
        <v/>
      </c>
      <c r="J86" s="7" t="str">
        <f ca="1">IF(B86="","",COUNTIFS(Server_Inventory!$Z:$Z,B86,Server_Inventory!$P:$P,"R-RETIRED_IN_CMDB"))</f>
        <v/>
      </c>
      <c r="K86" s="7" t="str">
        <f ca="1">IF(B86="","",IFERROR(INDEX(Container_Inventory!$F:$F,MATCH(B86,Container_Inventory!$L:$L,0)),"Not Found"))</f>
        <v/>
      </c>
      <c r="L86" s="7" t="str">
        <f ca="1">IF(B86="","",IF(COUNTIF(Finding_List!$A:$A,B86)&gt;0,"Yes","No"))</f>
        <v/>
      </c>
      <c r="M86" s="7" t="str">
        <f ca="1">IF(B86="","",COUNTIF(Server_Inventory!$Z:$Z,B86))</f>
        <v/>
      </c>
      <c r="N86" s="7" t="str">
        <f ca="1">IF(B86="","",COUNTIF(Container_Inventory!$L:$L,B86))</f>
        <v/>
      </c>
    </row>
    <row r="87" spans="1:14" x14ac:dyDescent="0.2">
      <c r="A8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High"}))*(All_Risk_Apps!$K$4:$K$1233="No")*(All_Risk_Apps!$A$4:$A$1233&lt;&gt;"")),84)),"")</f>
        <v/>
      </c>
      <c r="B8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High"}))*(All_Risk_Apps!$K$4:$K$1233="No")*(All_Risk_Apps!$A$4:$A$1233&lt;&gt;"")),84)),"")</f>
        <v/>
      </c>
      <c r="C8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High"}))*(All_Risk_Apps!$K$4:$K$1233="No")*(All_Risk_Apps!$A$4:$A$1233&lt;&gt;"")),84)),"")</f>
        <v/>
      </c>
      <c r="D8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High"}))*(All_Risk_Apps!$K$4:$K$1233="No")*(All_Risk_Apps!$A$4:$A$1233&lt;&gt;"")),84)),"")</f>
        <v/>
      </c>
      <c r="E8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High"}))*(All_Risk_Apps!$K$4:$K$1233="No")*(All_Risk_Apps!$A$4:$A$1233&lt;&gt;"")),84)),"")</f>
        <v/>
      </c>
      <c r="F8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High"}))*(All_Risk_Apps!$K$4:$K$1233="No")*(All_Risk_Apps!$A$4:$A$1233&lt;&gt;"")),84)),"")</f>
        <v/>
      </c>
      <c r="G8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High"}))*(All_Risk_Apps!$K$4:$K$1233="No")*(All_Risk_Apps!$A$4:$A$1233&lt;&gt;"")),84)),"")</f>
        <v/>
      </c>
      <c r="H87" s="12" t="str">
        <f ca="1">IF(B87="","",IFERROR(INDEX(Server_Inventory!$R:$R,MATCH(B87,Server_Inventory!$Z:$Z,0)),"Not Found"))</f>
        <v/>
      </c>
      <c r="I87" s="12" t="str">
        <f ca="1">IF(B87="","",IFERROR(INDEX(Server_Inventory!$S:$S,MATCH(B87,Server_Inventory!$Z:$Z,0)),"Not Found"))</f>
        <v/>
      </c>
      <c r="J87" s="12" t="str">
        <f ca="1">IF(B87="","",COUNTIFS(Server_Inventory!$Z:$Z,B87,Server_Inventory!$P:$P,"R-RETIRED_IN_CMDB"))</f>
        <v/>
      </c>
      <c r="K87" s="12" t="str">
        <f ca="1">IF(B87="","",IFERROR(INDEX(Container_Inventory!$F:$F,MATCH(B87,Container_Inventory!$L:$L,0)),"Not Found"))</f>
        <v/>
      </c>
      <c r="L87" s="12" t="str">
        <f ca="1">IF(B87="","",IF(COUNTIF(Finding_List!$A:$A,B87)&gt;0,"Yes","No"))</f>
        <v/>
      </c>
      <c r="M87" s="12" t="str">
        <f ca="1">IF(B87="","",COUNTIF(Server_Inventory!$Z:$Z,B87))</f>
        <v/>
      </c>
      <c r="N87" s="12" t="str">
        <f ca="1">IF(B87="","",COUNTIF(Container_Inventory!$L:$L,B87))</f>
        <v/>
      </c>
    </row>
    <row r="88" spans="1:14" x14ac:dyDescent="0.2">
      <c r="A8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High"}))*(All_Risk_Apps!$K$4:$K$1233="No")*(All_Risk_Apps!$A$4:$A$1233&lt;&gt;"")),85)),"")</f>
        <v/>
      </c>
      <c r="B8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High"}))*(All_Risk_Apps!$K$4:$K$1233="No")*(All_Risk_Apps!$A$4:$A$1233&lt;&gt;"")),85)),"")</f>
        <v/>
      </c>
      <c r="C8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High"}))*(All_Risk_Apps!$K$4:$K$1233="No")*(All_Risk_Apps!$A$4:$A$1233&lt;&gt;"")),85)),"")</f>
        <v/>
      </c>
      <c r="D8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High"}))*(All_Risk_Apps!$K$4:$K$1233="No")*(All_Risk_Apps!$A$4:$A$1233&lt;&gt;"")),85)),"")</f>
        <v/>
      </c>
      <c r="E8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High"}))*(All_Risk_Apps!$K$4:$K$1233="No")*(All_Risk_Apps!$A$4:$A$1233&lt;&gt;"")),85)),"")</f>
        <v/>
      </c>
      <c r="F8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High"}))*(All_Risk_Apps!$K$4:$K$1233="No")*(All_Risk_Apps!$A$4:$A$1233&lt;&gt;"")),85)),"")</f>
        <v/>
      </c>
      <c r="G8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High"}))*(All_Risk_Apps!$K$4:$K$1233="No")*(All_Risk_Apps!$A$4:$A$1233&lt;&gt;"")),85)),"")</f>
        <v/>
      </c>
      <c r="H88" s="7" t="str">
        <f ca="1">IF(B88="","",IFERROR(INDEX(Server_Inventory!$R:$R,MATCH(B88,Server_Inventory!$Z:$Z,0)),"Not Found"))</f>
        <v/>
      </c>
      <c r="I88" s="7" t="str">
        <f ca="1">IF(B88="","",IFERROR(INDEX(Server_Inventory!$S:$S,MATCH(B88,Server_Inventory!$Z:$Z,0)),"Not Found"))</f>
        <v/>
      </c>
      <c r="J88" s="7" t="str">
        <f ca="1">IF(B88="","",COUNTIFS(Server_Inventory!$Z:$Z,B88,Server_Inventory!$P:$P,"R-RETIRED_IN_CMDB"))</f>
        <v/>
      </c>
      <c r="K88" s="7" t="str">
        <f ca="1">IF(B88="","",IFERROR(INDEX(Container_Inventory!$F:$F,MATCH(B88,Container_Inventory!$L:$L,0)),"Not Found"))</f>
        <v/>
      </c>
      <c r="L88" s="7" t="str">
        <f ca="1">IF(B88="","",IF(COUNTIF(Finding_List!$A:$A,B88)&gt;0,"Yes","No"))</f>
        <v/>
      </c>
      <c r="M88" s="7" t="str">
        <f ca="1">IF(B88="","",COUNTIF(Server_Inventory!$Z:$Z,B88))</f>
        <v/>
      </c>
      <c r="N88" s="7" t="str">
        <f ca="1">IF(B88="","",COUNTIF(Container_Inventory!$L:$L,B88))</f>
        <v/>
      </c>
    </row>
    <row r="89" spans="1:14" x14ac:dyDescent="0.2">
      <c r="A8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High"}))*(All_Risk_Apps!$K$4:$K$1233="No")*(All_Risk_Apps!$A$4:$A$1233&lt;&gt;"")),86)),"")</f>
        <v/>
      </c>
      <c r="B8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High"}))*(All_Risk_Apps!$K$4:$K$1233="No")*(All_Risk_Apps!$A$4:$A$1233&lt;&gt;"")),86)),"")</f>
        <v/>
      </c>
      <c r="C8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High"}))*(All_Risk_Apps!$K$4:$K$1233="No")*(All_Risk_Apps!$A$4:$A$1233&lt;&gt;"")),86)),"")</f>
        <v/>
      </c>
      <c r="D8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High"}))*(All_Risk_Apps!$K$4:$K$1233="No")*(All_Risk_Apps!$A$4:$A$1233&lt;&gt;"")),86)),"")</f>
        <v/>
      </c>
      <c r="E8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High"}))*(All_Risk_Apps!$K$4:$K$1233="No")*(All_Risk_Apps!$A$4:$A$1233&lt;&gt;"")),86)),"")</f>
        <v/>
      </c>
      <c r="F8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High"}))*(All_Risk_Apps!$K$4:$K$1233="No")*(All_Risk_Apps!$A$4:$A$1233&lt;&gt;"")),86)),"")</f>
        <v/>
      </c>
      <c r="G8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High"}))*(All_Risk_Apps!$K$4:$K$1233="No")*(All_Risk_Apps!$A$4:$A$1233&lt;&gt;"")),86)),"")</f>
        <v/>
      </c>
      <c r="H89" s="12" t="str">
        <f ca="1">IF(B89="","",IFERROR(INDEX(Server_Inventory!$R:$R,MATCH(B89,Server_Inventory!$Z:$Z,0)),"Not Found"))</f>
        <v/>
      </c>
      <c r="I89" s="12" t="str">
        <f ca="1">IF(B89="","",IFERROR(INDEX(Server_Inventory!$S:$S,MATCH(B89,Server_Inventory!$Z:$Z,0)),"Not Found"))</f>
        <v/>
      </c>
      <c r="J89" s="12" t="str">
        <f ca="1">IF(B89="","",COUNTIFS(Server_Inventory!$Z:$Z,B89,Server_Inventory!$P:$P,"R-RETIRED_IN_CMDB"))</f>
        <v/>
      </c>
      <c r="K89" s="12" t="str">
        <f ca="1">IF(B89="","",IFERROR(INDEX(Container_Inventory!$F:$F,MATCH(B89,Container_Inventory!$L:$L,0)),"Not Found"))</f>
        <v/>
      </c>
      <c r="L89" s="12" t="str">
        <f ca="1">IF(B89="","",IF(COUNTIF(Finding_List!$A:$A,B89)&gt;0,"Yes","No"))</f>
        <v/>
      </c>
      <c r="M89" s="12" t="str">
        <f ca="1">IF(B89="","",COUNTIF(Server_Inventory!$Z:$Z,B89))</f>
        <v/>
      </c>
      <c r="N89" s="12" t="str">
        <f ca="1">IF(B89="","",COUNTIF(Container_Inventory!$L:$L,B89))</f>
        <v/>
      </c>
    </row>
    <row r="90" spans="1:14" x14ac:dyDescent="0.2">
      <c r="A9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High"}))*(All_Risk_Apps!$K$4:$K$1233="No")*(All_Risk_Apps!$A$4:$A$1233&lt;&gt;"")),87)),"")</f>
        <v/>
      </c>
      <c r="B9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High"}))*(All_Risk_Apps!$K$4:$K$1233="No")*(All_Risk_Apps!$A$4:$A$1233&lt;&gt;"")),87)),"")</f>
        <v/>
      </c>
      <c r="C9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High"}))*(All_Risk_Apps!$K$4:$K$1233="No")*(All_Risk_Apps!$A$4:$A$1233&lt;&gt;"")),87)),"")</f>
        <v/>
      </c>
      <c r="D9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High"}))*(All_Risk_Apps!$K$4:$K$1233="No")*(All_Risk_Apps!$A$4:$A$1233&lt;&gt;"")),87)),"")</f>
        <v/>
      </c>
      <c r="E9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High"}))*(All_Risk_Apps!$K$4:$K$1233="No")*(All_Risk_Apps!$A$4:$A$1233&lt;&gt;"")),87)),"")</f>
        <v/>
      </c>
      <c r="F9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High"}))*(All_Risk_Apps!$K$4:$K$1233="No")*(All_Risk_Apps!$A$4:$A$1233&lt;&gt;"")),87)),"")</f>
        <v/>
      </c>
      <c r="G9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High"}))*(All_Risk_Apps!$K$4:$K$1233="No")*(All_Risk_Apps!$A$4:$A$1233&lt;&gt;"")),87)),"")</f>
        <v/>
      </c>
      <c r="H90" s="7" t="str">
        <f ca="1">IF(B90="","",IFERROR(INDEX(Server_Inventory!$R:$R,MATCH(B90,Server_Inventory!$Z:$Z,0)),"Not Found"))</f>
        <v/>
      </c>
      <c r="I90" s="7" t="str">
        <f ca="1">IF(B90="","",IFERROR(INDEX(Server_Inventory!$S:$S,MATCH(B90,Server_Inventory!$Z:$Z,0)),"Not Found"))</f>
        <v/>
      </c>
      <c r="J90" s="7" t="str">
        <f ca="1">IF(B90="","",COUNTIFS(Server_Inventory!$Z:$Z,B90,Server_Inventory!$P:$P,"R-RETIRED_IN_CMDB"))</f>
        <v/>
      </c>
      <c r="K90" s="7" t="str">
        <f ca="1">IF(B90="","",IFERROR(INDEX(Container_Inventory!$F:$F,MATCH(B90,Container_Inventory!$L:$L,0)),"Not Found"))</f>
        <v/>
      </c>
      <c r="L90" s="7" t="str">
        <f ca="1">IF(B90="","",IF(COUNTIF(Finding_List!$A:$A,B90)&gt;0,"Yes","No"))</f>
        <v/>
      </c>
      <c r="M90" s="7" t="str">
        <f ca="1">IF(B90="","",COUNTIF(Server_Inventory!$Z:$Z,B90))</f>
        <v/>
      </c>
      <c r="N90" s="7" t="str">
        <f ca="1">IF(B90="","",COUNTIF(Container_Inventory!$L:$L,B90))</f>
        <v/>
      </c>
    </row>
    <row r="91" spans="1:14" x14ac:dyDescent="0.2">
      <c r="A9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High"}))*(All_Risk_Apps!$K$4:$K$1233="No")*(All_Risk_Apps!$A$4:$A$1233&lt;&gt;"")),88)),"")</f>
        <v/>
      </c>
      <c r="B9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High"}))*(All_Risk_Apps!$K$4:$K$1233="No")*(All_Risk_Apps!$A$4:$A$1233&lt;&gt;"")),88)),"")</f>
        <v/>
      </c>
      <c r="C9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High"}))*(All_Risk_Apps!$K$4:$K$1233="No")*(All_Risk_Apps!$A$4:$A$1233&lt;&gt;"")),88)),"")</f>
        <v/>
      </c>
      <c r="D9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High"}))*(All_Risk_Apps!$K$4:$K$1233="No")*(All_Risk_Apps!$A$4:$A$1233&lt;&gt;"")),88)),"")</f>
        <v/>
      </c>
      <c r="E9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High"}))*(All_Risk_Apps!$K$4:$K$1233="No")*(All_Risk_Apps!$A$4:$A$1233&lt;&gt;"")),88)),"")</f>
        <v/>
      </c>
      <c r="F9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High"}))*(All_Risk_Apps!$K$4:$K$1233="No")*(All_Risk_Apps!$A$4:$A$1233&lt;&gt;"")),88)),"")</f>
        <v/>
      </c>
      <c r="G9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High"}))*(All_Risk_Apps!$K$4:$K$1233="No")*(All_Risk_Apps!$A$4:$A$1233&lt;&gt;"")),88)),"")</f>
        <v/>
      </c>
      <c r="H91" s="12" t="str">
        <f ca="1">IF(B91="","",IFERROR(INDEX(Server_Inventory!$R:$R,MATCH(B91,Server_Inventory!$Z:$Z,0)),"Not Found"))</f>
        <v/>
      </c>
      <c r="I91" s="12" t="str">
        <f ca="1">IF(B91="","",IFERROR(INDEX(Server_Inventory!$S:$S,MATCH(B91,Server_Inventory!$Z:$Z,0)),"Not Found"))</f>
        <v/>
      </c>
      <c r="J91" s="12" t="str">
        <f ca="1">IF(B91="","",COUNTIFS(Server_Inventory!$Z:$Z,B91,Server_Inventory!$P:$P,"R-RETIRED_IN_CMDB"))</f>
        <v/>
      </c>
      <c r="K91" s="12" t="str">
        <f ca="1">IF(B91="","",IFERROR(INDEX(Container_Inventory!$F:$F,MATCH(B91,Container_Inventory!$L:$L,0)),"Not Found"))</f>
        <v/>
      </c>
      <c r="L91" s="12" t="str">
        <f ca="1">IF(B91="","",IF(COUNTIF(Finding_List!$A:$A,B91)&gt;0,"Yes","No"))</f>
        <v/>
      </c>
      <c r="M91" s="12" t="str">
        <f ca="1">IF(B91="","",COUNTIF(Server_Inventory!$Z:$Z,B91))</f>
        <v/>
      </c>
      <c r="N91" s="12" t="str">
        <f ca="1">IF(B91="","",COUNTIF(Container_Inventory!$L:$L,B91))</f>
        <v/>
      </c>
    </row>
    <row r="92" spans="1:14" x14ac:dyDescent="0.2">
      <c r="A9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High"}))*(All_Risk_Apps!$K$4:$K$1233="No")*(All_Risk_Apps!$A$4:$A$1233&lt;&gt;"")),89)),"")</f>
        <v/>
      </c>
      <c r="B9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High"}))*(All_Risk_Apps!$K$4:$K$1233="No")*(All_Risk_Apps!$A$4:$A$1233&lt;&gt;"")),89)),"")</f>
        <v/>
      </c>
      <c r="C9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High"}))*(All_Risk_Apps!$K$4:$K$1233="No")*(All_Risk_Apps!$A$4:$A$1233&lt;&gt;"")),89)),"")</f>
        <v/>
      </c>
      <c r="D9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High"}))*(All_Risk_Apps!$K$4:$K$1233="No")*(All_Risk_Apps!$A$4:$A$1233&lt;&gt;"")),89)),"")</f>
        <v/>
      </c>
      <c r="E9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High"}))*(All_Risk_Apps!$K$4:$K$1233="No")*(All_Risk_Apps!$A$4:$A$1233&lt;&gt;"")),89)),"")</f>
        <v/>
      </c>
      <c r="F9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High"}))*(All_Risk_Apps!$K$4:$K$1233="No")*(All_Risk_Apps!$A$4:$A$1233&lt;&gt;"")),89)),"")</f>
        <v/>
      </c>
      <c r="G9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High"}))*(All_Risk_Apps!$K$4:$K$1233="No")*(All_Risk_Apps!$A$4:$A$1233&lt;&gt;"")),89)),"")</f>
        <v/>
      </c>
      <c r="H92" s="7" t="str">
        <f ca="1">IF(B92="","",IFERROR(INDEX(Server_Inventory!$R:$R,MATCH(B92,Server_Inventory!$Z:$Z,0)),"Not Found"))</f>
        <v/>
      </c>
      <c r="I92" s="7" t="str">
        <f ca="1">IF(B92="","",IFERROR(INDEX(Server_Inventory!$S:$S,MATCH(B92,Server_Inventory!$Z:$Z,0)),"Not Found"))</f>
        <v/>
      </c>
      <c r="J92" s="7" t="str">
        <f ca="1">IF(B92="","",COUNTIFS(Server_Inventory!$Z:$Z,B92,Server_Inventory!$P:$P,"R-RETIRED_IN_CMDB"))</f>
        <v/>
      </c>
      <c r="K92" s="7" t="str">
        <f ca="1">IF(B92="","",IFERROR(INDEX(Container_Inventory!$F:$F,MATCH(B92,Container_Inventory!$L:$L,0)),"Not Found"))</f>
        <v/>
      </c>
      <c r="L92" s="7" t="str">
        <f ca="1">IF(B92="","",IF(COUNTIF(Finding_List!$A:$A,B92)&gt;0,"Yes","No"))</f>
        <v/>
      </c>
      <c r="M92" s="7" t="str">
        <f ca="1">IF(B92="","",COUNTIF(Server_Inventory!$Z:$Z,B92))</f>
        <v/>
      </c>
      <c r="N92" s="7" t="str">
        <f ca="1">IF(B92="","",COUNTIF(Container_Inventory!$L:$L,B92))</f>
        <v/>
      </c>
    </row>
    <row r="93" spans="1:14" x14ac:dyDescent="0.2">
      <c r="A9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High"}))*(All_Risk_Apps!$K$4:$K$1233="No")*(All_Risk_Apps!$A$4:$A$1233&lt;&gt;"")),90)),"")</f>
        <v/>
      </c>
      <c r="B9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High"}))*(All_Risk_Apps!$K$4:$K$1233="No")*(All_Risk_Apps!$A$4:$A$1233&lt;&gt;"")),90)),"")</f>
        <v/>
      </c>
      <c r="C9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High"}))*(All_Risk_Apps!$K$4:$K$1233="No")*(All_Risk_Apps!$A$4:$A$1233&lt;&gt;"")),90)),"")</f>
        <v/>
      </c>
      <c r="D9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High"}))*(All_Risk_Apps!$K$4:$K$1233="No")*(All_Risk_Apps!$A$4:$A$1233&lt;&gt;"")),90)),"")</f>
        <v/>
      </c>
      <c r="E9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High"}))*(All_Risk_Apps!$K$4:$K$1233="No")*(All_Risk_Apps!$A$4:$A$1233&lt;&gt;"")),90)),"")</f>
        <v/>
      </c>
      <c r="F9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High"}))*(All_Risk_Apps!$K$4:$K$1233="No")*(All_Risk_Apps!$A$4:$A$1233&lt;&gt;"")),90)),"")</f>
        <v/>
      </c>
      <c r="G9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High"}))*(All_Risk_Apps!$K$4:$K$1233="No")*(All_Risk_Apps!$A$4:$A$1233&lt;&gt;"")),90)),"")</f>
        <v/>
      </c>
      <c r="H93" s="12" t="str">
        <f ca="1">IF(B93="","",IFERROR(INDEX(Server_Inventory!$R:$R,MATCH(B93,Server_Inventory!$Z:$Z,0)),"Not Found"))</f>
        <v/>
      </c>
      <c r="I93" s="12" t="str">
        <f ca="1">IF(B93="","",IFERROR(INDEX(Server_Inventory!$S:$S,MATCH(B93,Server_Inventory!$Z:$Z,0)),"Not Found"))</f>
        <v/>
      </c>
      <c r="J93" s="12" t="str">
        <f ca="1">IF(B93="","",COUNTIFS(Server_Inventory!$Z:$Z,B93,Server_Inventory!$P:$P,"R-RETIRED_IN_CMDB"))</f>
        <v/>
      </c>
      <c r="K93" s="12" t="str">
        <f ca="1">IF(B93="","",IFERROR(INDEX(Container_Inventory!$F:$F,MATCH(B93,Container_Inventory!$L:$L,0)),"Not Found"))</f>
        <v/>
      </c>
      <c r="L93" s="12" t="str">
        <f ca="1">IF(B93="","",IF(COUNTIF(Finding_List!$A:$A,B93)&gt;0,"Yes","No"))</f>
        <v/>
      </c>
      <c r="M93" s="12" t="str">
        <f ca="1">IF(B93="","",COUNTIF(Server_Inventory!$Z:$Z,B93))</f>
        <v/>
      </c>
      <c r="N93" s="12" t="str">
        <f ca="1">IF(B93="","",COUNTIF(Container_Inventory!$L:$L,B93))</f>
        <v/>
      </c>
    </row>
    <row r="94" spans="1:14" x14ac:dyDescent="0.2">
      <c r="A9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High"}))*(All_Risk_Apps!$K$4:$K$1233="No")*(All_Risk_Apps!$A$4:$A$1233&lt;&gt;"")),91)),"")</f>
        <v/>
      </c>
      <c r="B9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High"}))*(All_Risk_Apps!$K$4:$K$1233="No")*(All_Risk_Apps!$A$4:$A$1233&lt;&gt;"")),91)),"")</f>
        <v/>
      </c>
      <c r="C9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High"}))*(All_Risk_Apps!$K$4:$K$1233="No")*(All_Risk_Apps!$A$4:$A$1233&lt;&gt;"")),91)),"")</f>
        <v/>
      </c>
      <c r="D9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High"}))*(All_Risk_Apps!$K$4:$K$1233="No")*(All_Risk_Apps!$A$4:$A$1233&lt;&gt;"")),91)),"")</f>
        <v/>
      </c>
      <c r="E9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High"}))*(All_Risk_Apps!$K$4:$K$1233="No")*(All_Risk_Apps!$A$4:$A$1233&lt;&gt;"")),91)),"")</f>
        <v/>
      </c>
      <c r="F9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High"}))*(All_Risk_Apps!$K$4:$K$1233="No")*(All_Risk_Apps!$A$4:$A$1233&lt;&gt;"")),91)),"")</f>
        <v/>
      </c>
      <c r="G9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High"}))*(All_Risk_Apps!$K$4:$K$1233="No")*(All_Risk_Apps!$A$4:$A$1233&lt;&gt;"")),91)),"")</f>
        <v/>
      </c>
      <c r="H94" s="7" t="str">
        <f ca="1">IF(B94="","",IFERROR(INDEX(Server_Inventory!$R:$R,MATCH(B94,Server_Inventory!$Z:$Z,0)),"Not Found"))</f>
        <v/>
      </c>
      <c r="I94" s="7" t="str">
        <f ca="1">IF(B94="","",IFERROR(INDEX(Server_Inventory!$S:$S,MATCH(B94,Server_Inventory!$Z:$Z,0)),"Not Found"))</f>
        <v/>
      </c>
      <c r="J94" s="7" t="str">
        <f ca="1">IF(B94="","",COUNTIFS(Server_Inventory!$Z:$Z,B94,Server_Inventory!$P:$P,"R-RETIRED_IN_CMDB"))</f>
        <v/>
      </c>
      <c r="K94" s="7" t="str">
        <f ca="1">IF(B94="","",IFERROR(INDEX(Container_Inventory!$F:$F,MATCH(B94,Container_Inventory!$L:$L,0)),"Not Found"))</f>
        <v/>
      </c>
      <c r="L94" s="7" t="str">
        <f ca="1">IF(B94="","",IF(COUNTIF(Finding_List!$A:$A,B94)&gt;0,"Yes","No"))</f>
        <v/>
      </c>
      <c r="M94" s="7" t="str">
        <f ca="1">IF(B94="","",COUNTIF(Server_Inventory!$Z:$Z,B94))</f>
        <v/>
      </c>
      <c r="N94" s="7" t="str">
        <f ca="1">IF(B94="","",COUNTIF(Container_Inventory!$L:$L,B94))</f>
        <v/>
      </c>
    </row>
    <row r="95" spans="1:14" x14ac:dyDescent="0.2">
      <c r="A9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High"}))*(All_Risk_Apps!$K$4:$K$1233="No")*(All_Risk_Apps!$A$4:$A$1233&lt;&gt;"")),92)),"")</f>
        <v/>
      </c>
      <c r="B9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High"}))*(All_Risk_Apps!$K$4:$K$1233="No")*(All_Risk_Apps!$A$4:$A$1233&lt;&gt;"")),92)),"")</f>
        <v/>
      </c>
      <c r="C9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High"}))*(All_Risk_Apps!$K$4:$K$1233="No")*(All_Risk_Apps!$A$4:$A$1233&lt;&gt;"")),92)),"")</f>
        <v/>
      </c>
      <c r="D9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High"}))*(All_Risk_Apps!$K$4:$K$1233="No")*(All_Risk_Apps!$A$4:$A$1233&lt;&gt;"")),92)),"")</f>
        <v/>
      </c>
      <c r="E9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High"}))*(All_Risk_Apps!$K$4:$K$1233="No")*(All_Risk_Apps!$A$4:$A$1233&lt;&gt;"")),92)),"")</f>
        <v/>
      </c>
      <c r="F9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High"}))*(All_Risk_Apps!$K$4:$K$1233="No")*(All_Risk_Apps!$A$4:$A$1233&lt;&gt;"")),92)),"")</f>
        <v/>
      </c>
      <c r="G9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High"}))*(All_Risk_Apps!$K$4:$K$1233="No")*(All_Risk_Apps!$A$4:$A$1233&lt;&gt;"")),92)),"")</f>
        <v/>
      </c>
      <c r="H95" s="12" t="str">
        <f ca="1">IF(B95="","",IFERROR(INDEX(Server_Inventory!$R:$R,MATCH(B95,Server_Inventory!$Z:$Z,0)),"Not Found"))</f>
        <v/>
      </c>
      <c r="I95" s="12" t="str">
        <f ca="1">IF(B95="","",IFERROR(INDEX(Server_Inventory!$S:$S,MATCH(B95,Server_Inventory!$Z:$Z,0)),"Not Found"))</f>
        <v/>
      </c>
      <c r="J95" s="12" t="str">
        <f ca="1">IF(B95="","",COUNTIFS(Server_Inventory!$Z:$Z,B95,Server_Inventory!$P:$P,"R-RETIRED_IN_CMDB"))</f>
        <v/>
      </c>
      <c r="K95" s="12" t="str">
        <f ca="1">IF(B95="","",IFERROR(INDEX(Container_Inventory!$F:$F,MATCH(B95,Container_Inventory!$L:$L,0)),"Not Found"))</f>
        <v/>
      </c>
      <c r="L95" s="12" t="str">
        <f ca="1">IF(B95="","",IF(COUNTIF(Finding_List!$A:$A,B95)&gt;0,"Yes","No"))</f>
        <v/>
      </c>
      <c r="M95" s="12" t="str">
        <f ca="1">IF(B95="","",COUNTIF(Server_Inventory!$Z:$Z,B95))</f>
        <v/>
      </c>
      <c r="N95" s="12" t="str">
        <f ca="1">IF(B95="","",COUNTIF(Container_Inventory!$L:$L,B95))</f>
        <v/>
      </c>
    </row>
    <row r="96" spans="1:14" x14ac:dyDescent="0.2">
      <c r="A9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High"}))*(All_Risk_Apps!$K$4:$K$1233="No")*(All_Risk_Apps!$A$4:$A$1233&lt;&gt;"")),93)),"")</f>
        <v/>
      </c>
      <c r="B9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High"}))*(All_Risk_Apps!$K$4:$K$1233="No")*(All_Risk_Apps!$A$4:$A$1233&lt;&gt;"")),93)),"")</f>
        <v/>
      </c>
      <c r="C9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High"}))*(All_Risk_Apps!$K$4:$K$1233="No")*(All_Risk_Apps!$A$4:$A$1233&lt;&gt;"")),93)),"")</f>
        <v/>
      </c>
      <c r="D9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High"}))*(All_Risk_Apps!$K$4:$K$1233="No")*(All_Risk_Apps!$A$4:$A$1233&lt;&gt;"")),93)),"")</f>
        <v/>
      </c>
      <c r="E9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High"}))*(All_Risk_Apps!$K$4:$K$1233="No")*(All_Risk_Apps!$A$4:$A$1233&lt;&gt;"")),93)),"")</f>
        <v/>
      </c>
      <c r="F9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High"}))*(All_Risk_Apps!$K$4:$K$1233="No")*(All_Risk_Apps!$A$4:$A$1233&lt;&gt;"")),93)),"")</f>
        <v/>
      </c>
      <c r="G9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High"}))*(All_Risk_Apps!$K$4:$K$1233="No")*(All_Risk_Apps!$A$4:$A$1233&lt;&gt;"")),93)),"")</f>
        <v/>
      </c>
      <c r="H96" s="7" t="str">
        <f ca="1">IF(B96="","",IFERROR(INDEX(Server_Inventory!$R:$R,MATCH(B96,Server_Inventory!$Z:$Z,0)),"Not Found"))</f>
        <v/>
      </c>
      <c r="I96" s="7" t="str">
        <f ca="1">IF(B96="","",IFERROR(INDEX(Server_Inventory!$S:$S,MATCH(B96,Server_Inventory!$Z:$Z,0)),"Not Found"))</f>
        <v/>
      </c>
      <c r="J96" s="7" t="str">
        <f ca="1">IF(B96="","",COUNTIFS(Server_Inventory!$Z:$Z,B96,Server_Inventory!$P:$P,"R-RETIRED_IN_CMDB"))</f>
        <v/>
      </c>
      <c r="K96" s="7" t="str">
        <f ca="1">IF(B96="","",IFERROR(INDEX(Container_Inventory!$F:$F,MATCH(B96,Container_Inventory!$L:$L,0)),"Not Found"))</f>
        <v/>
      </c>
      <c r="L96" s="7" t="str">
        <f ca="1">IF(B96="","",IF(COUNTIF(Finding_List!$A:$A,B96)&gt;0,"Yes","No"))</f>
        <v/>
      </c>
      <c r="M96" s="7" t="str">
        <f ca="1">IF(B96="","",COUNTIF(Server_Inventory!$Z:$Z,B96))</f>
        <v/>
      </c>
      <c r="N96" s="7" t="str">
        <f ca="1">IF(B96="","",COUNTIF(Container_Inventory!$L:$L,B96))</f>
        <v/>
      </c>
    </row>
    <row r="97" spans="1:14" x14ac:dyDescent="0.2">
      <c r="A9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High"}))*(All_Risk_Apps!$K$4:$K$1233="No")*(All_Risk_Apps!$A$4:$A$1233&lt;&gt;"")),94)),"")</f>
        <v/>
      </c>
      <c r="B9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High"}))*(All_Risk_Apps!$K$4:$K$1233="No")*(All_Risk_Apps!$A$4:$A$1233&lt;&gt;"")),94)),"")</f>
        <v/>
      </c>
      <c r="C9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High"}))*(All_Risk_Apps!$K$4:$K$1233="No")*(All_Risk_Apps!$A$4:$A$1233&lt;&gt;"")),94)),"")</f>
        <v/>
      </c>
      <c r="D9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High"}))*(All_Risk_Apps!$K$4:$K$1233="No")*(All_Risk_Apps!$A$4:$A$1233&lt;&gt;"")),94)),"")</f>
        <v/>
      </c>
      <c r="E9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High"}))*(All_Risk_Apps!$K$4:$K$1233="No")*(All_Risk_Apps!$A$4:$A$1233&lt;&gt;"")),94)),"")</f>
        <v/>
      </c>
      <c r="F9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High"}))*(All_Risk_Apps!$K$4:$K$1233="No")*(All_Risk_Apps!$A$4:$A$1233&lt;&gt;"")),94)),"")</f>
        <v/>
      </c>
      <c r="G9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High"}))*(All_Risk_Apps!$K$4:$K$1233="No")*(All_Risk_Apps!$A$4:$A$1233&lt;&gt;"")),94)),"")</f>
        <v/>
      </c>
      <c r="H97" s="12" t="str">
        <f ca="1">IF(B97="","",IFERROR(INDEX(Server_Inventory!$R:$R,MATCH(B97,Server_Inventory!$Z:$Z,0)),"Not Found"))</f>
        <v/>
      </c>
      <c r="I97" s="12" t="str">
        <f ca="1">IF(B97="","",IFERROR(INDEX(Server_Inventory!$S:$S,MATCH(B97,Server_Inventory!$Z:$Z,0)),"Not Found"))</f>
        <v/>
      </c>
      <c r="J97" s="12" t="str">
        <f ca="1">IF(B97="","",COUNTIFS(Server_Inventory!$Z:$Z,B97,Server_Inventory!$P:$P,"R-RETIRED_IN_CMDB"))</f>
        <v/>
      </c>
      <c r="K97" s="12" t="str">
        <f ca="1">IF(B97="","",IFERROR(INDEX(Container_Inventory!$F:$F,MATCH(B97,Container_Inventory!$L:$L,0)),"Not Found"))</f>
        <v/>
      </c>
      <c r="L97" s="12" t="str">
        <f ca="1">IF(B97="","",IF(COUNTIF(Finding_List!$A:$A,B97)&gt;0,"Yes","No"))</f>
        <v/>
      </c>
      <c r="M97" s="12" t="str">
        <f ca="1">IF(B97="","",COUNTIF(Server_Inventory!$Z:$Z,B97))</f>
        <v/>
      </c>
      <c r="N97" s="12" t="str">
        <f ca="1">IF(B97="","",COUNTIF(Container_Inventory!$L:$L,B97))</f>
        <v/>
      </c>
    </row>
    <row r="98" spans="1:14" x14ac:dyDescent="0.2">
      <c r="A9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High"}))*(All_Risk_Apps!$K$4:$K$1233="No")*(All_Risk_Apps!$A$4:$A$1233&lt;&gt;"")),95)),"")</f>
        <v/>
      </c>
      <c r="B9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High"}))*(All_Risk_Apps!$K$4:$K$1233="No")*(All_Risk_Apps!$A$4:$A$1233&lt;&gt;"")),95)),"")</f>
        <v/>
      </c>
      <c r="C9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High"}))*(All_Risk_Apps!$K$4:$K$1233="No")*(All_Risk_Apps!$A$4:$A$1233&lt;&gt;"")),95)),"")</f>
        <v/>
      </c>
      <c r="D9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High"}))*(All_Risk_Apps!$K$4:$K$1233="No")*(All_Risk_Apps!$A$4:$A$1233&lt;&gt;"")),95)),"")</f>
        <v/>
      </c>
      <c r="E9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High"}))*(All_Risk_Apps!$K$4:$K$1233="No")*(All_Risk_Apps!$A$4:$A$1233&lt;&gt;"")),95)),"")</f>
        <v/>
      </c>
      <c r="F9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High"}))*(All_Risk_Apps!$K$4:$K$1233="No")*(All_Risk_Apps!$A$4:$A$1233&lt;&gt;"")),95)),"")</f>
        <v/>
      </c>
      <c r="G9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High"}))*(All_Risk_Apps!$K$4:$K$1233="No")*(All_Risk_Apps!$A$4:$A$1233&lt;&gt;"")),95)),"")</f>
        <v/>
      </c>
      <c r="H98" s="7" t="str">
        <f ca="1">IF(B98="","",IFERROR(INDEX(Server_Inventory!$R:$R,MATCH(B98,Server_Inventory!$Z:$Z,0)),"Not Found"))</f>
        <v/>
      </c>
      <c r="I98" s="7" t="str">
        <f ca="1">IF(B98="","",IFERROR(INDEX(Server_Inventory!$S:$S,MATCH(B98,Server_Inventory!$Z:$Z,0)),"Not Found"))</f>
        <v/>
      </c>
      <c r="J98" s="7" t="str">
        <f ca="1">IF(B98="","",COUNTIFS(Server_Inventory!$Z:$Z,B98,Server_Inventory!$P:$P,"R-RETIRED_IN_CMDB"))</f>
        <v/>
      </c>
      <c r="K98" s="7" t="str">
        <f ca="1">IF(B98="","",IFERROR(INDEX(Container_Inventory!$F:$F,MATCH(B98,Container_Inventory!$L:$L,0)),"Not Found"))</f>
        <v/>
      </c>
      <c r="L98" s="7" t="str">
        <f ca="1">IF(B98="","",IF(COUNTIF(Finding_List!$A:$A,B98)&gt;0,"Yes","No"))</f>
        <v/>
      </c>
      <c r="M98" s="7" t="str">
        <f ca="1">IF(B98="","",COUNTIF(Server_Inventory!$Z:$Z,B98))</f>
        <v/>
      </c>
      <c r="N98" s="7" t="str">
        <f ca="1">IF(B98="","",COUNTIF(Container_Inventory!$L:$L,B98))</f>
        <v/>
      </c>
    </row>
    <row r="99" spans="1:14" x14ac:dyDescent="0.2">
      <c r="A9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High"}))*(All_Risk_Apps!$K$4:$K$1233="No")*(All_Risk_Apps!$A$4:$A$1233&lt;&gt;"")),96)),"")</f>
        <v/>
      </c>
      <c r="B9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High"}))*(All_Risk_Apps!$K$4:$K$1233="No")*(All_Risk_Apps!$A$4:$A$1233&lt;&gt;"")),96)),"")</f>
        <v/>
      </c>
      <c r="C9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High"}))*(All_Risk_Apps!$K$4:$K$1233="No")*(All_Risk_Apps!$A$4:$A$1233&lt;&gt;"")),96)),"")</f>
        <v/>
      </c>
      <c r="D9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High"}))*(All_Risk_Apps!$K$4:$K$1233="No")*(All_Risk_Apps!$A$4:$A$1233&lt;&gt;"")),96)),"")</f>
        <v/>
      </c>
      <c r="E9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High"}))*(All_Risk_Apps!$K$4:$K$1233="No")*(All_Risk_Apps!$A$4:$A$1233&lt;&gt;"")),96)),"")</f>
        <v/>
      </c>
      <c r="F9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High"}))*(All_Risk_Apps!$K$4:$K$1233="No")*(All_Risk_Apps!$A$4:$A$1233&lt;&gt;"")),96)),"")</f>
        <v/>
      </c>
      <c r="G9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High"}))*(All_Risk_Apps!$K$4:$K$1233="No")*(All_Risk_Apps!$A$4:$A$1233&lt;&gt;"")),96)),"")</f>
        <v/>
      </c>
      <c r="H99" s="12" t="str">
        <f ca="1">IF(B99="","",IFERROR(INDEX(Server_Inventory!$R:$R,MATCH(B99,Server_Inventory!$Z:$Z,0)),"Not Found"))</f>
        <v/>
      </c>
      <c r="I99" s="12" t="str">
        <f ca="1">IF(B99="","",IFERROR(INDEX(Server_Inventory!$S:$S,MATCH(B99,Server_Inventory!$Z:$Z,0)),"Not Found"))</f>
        <v/>
      </c>
      <c r="J99" s="12" t="str">
        <f ca="1">IF(B99="","",COUNTIFS(Server_Inventory!$Z:$Z,B99,Server_Inventory!$P:$P,"R-RETIRED_IN_CMDB"))</f>
        <v/>
      </c>
      <c r="K99" s="12" t="str">
        <f ca="1">IF(B99="","",IFERROR(INDEX(Container_Inventory!$F:$F,MATCH(B99,Container_Inventory!$L:$L,0)),"Not Found"))</f>
        <v/>
      </c>
      <c r="L99" s="12" t="str">
        <f ca="1">IF(B99="","",IF(COUNTIF(Finding_List!$A:$A,B99)&gt;0,"Yes","No"))</f>
        <v/>
      </c>
      <c r="M99" s="12" t="str">
        <f ca="1">IF(B99="","",COUNTIF(Server_Inventory!$Z:$Z,B99))</f>
        <v/>
      </c>
      <c r="N99" s="12" t="str">
        <f ca="1">IF(B99="","",COUNTIF(Container_Inventory!$L:$L,B99))</f>
        <v/>
      </c>
    </row>
    <row r="100" spans="1:14" x14ac:dyDescent="0.2">
      <c r="A10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High"}))*(All_Risk_Apps!$K$4:$K$1233="No")*(All_Risk_Apps!$A$4:$A$1233&lt;&gt;"")),97)),"")</f>
        <v/>
      </c>
      <c r="B10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High"}))*(All_Risk_Apps!$K$4:$K$1233="No")*(All_Risk_Apps!$A$4:$A$1233&lt;&gt;"")),97)),"")</f>
        <v/>
      </c>
      <c r="C10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High"}))*(All_Risk_Apps!$K$4:$K$1233="No")*(All_Risk_Apps!$A$4:$A$1233&lt;&gt;"")),97)),"")</f>
        <v/>
      </c>
      <c r="D10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High"}))*(All_Risk_Apps!$K$4:$K$1233="No")*(All_Risk_Apps!$A$4:$A$1233&lt;&gt;"")),97)),"")</f>
        <v/>
      </c>
      <c r="E10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High"}))*(All_Risk_Apps!$K$4:$K$1233="No")*(All_Risk_Apps!$A$4:$A$1233&lt;&gt;"")),97)),"")</f>
        <v/>
      </c>
      <c r="F10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High"}))*(All_Risk_Apps!$K$4:$K$1233="No")*(All_Risk_Apps!$A$4:$A$1233&lt;&gt;"")),97)),"")</f>
        <v/>
      </c>
      <c r="G10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High"}))*(All_Risk_Apps!$K$4:$K$1233="No")*(All_Risk_Apps!$A$4:$A$1233&lt;&gt;"")),97)),"")</f>
        <v/>
      </c>
      <c r="H100" s="7" t="str">
        <f ca="1">IF(B100="","",IFERROR(INDEX(Server_Inventory!$R:$R,MATCH(B100,Server_Inventory!$Z:$Z,0)),"Not Found"))</f>
        <v/>
      </c>
      <c r="I100" s="7" t="str">
        <f ca="1">IF(B100="","",IFERROR(INDEX(Server_Inventory!$S:$S,MATCH(B100,Server_Inventory!$Z:$Z,0)),"Not Found"))</f>
        <v/>
      </c>
      <c r="J100" s="7" t="str">
        <f ca="1">IF(B100="","",COUNTIFS(Server_Inventory!$Z:$Z,B100,Server_Inventory!$P:$P,"R-RETIRED_IN_CMDB"))</f>
        <v/>
      </c>
      <c r="K100" s="7" t="str">
        <f ca="1">IF(B100="","",IFERROR(INDEX(Container_Inventory!$F:$F,MATCH(B100,Container_Inventory!$L:$L,0)),"Not Found"))</f>
        <v/>
      </c>
      <c r="L100" s="7" t="str">
        <f ca="1">IF(B100="","",IF(COUNTIF(Finding_List!$A:$A,B100)&gt;0,"Yes","No"))</f>
        <v/>
      </c>
      <c r="M100" s="7" t="str">
        <f ca="1">IF(B100="","",COUNTIF(Server_Inventory!$Z:$Z,B100))</f>
        <v/>
      </c>
      <c r="N100" s="7" t="str">
        <f ca="1">IF(B100="","",COUNTIF(Container_Inventory!$L:$L,B100))</f>
        <v/>
      </c>
    </row>
    <row r="101" spans="1:14" x14ac:dyDescent="0.2">
      <c r="A10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High"}))*(All_Risk_Apps!$K$4:$K$1233="No")*(All_Risk_Apps!$A$4:$A$1233&lt;&gt;"")),98)),"")</f>
        <v/>
      </c>
      <c r="B10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High"}))*(All_Risk_Apps!$K$4:$K$1233="No")*(All_Risk_Apps!$A$4:$A$1233&lt;&gt;"")),98)),"")</f>
        <v/>
      </c>
      <c r="C10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High"}))*(All_Risk_Apps!$K$4:$K$1233="No")*(All_Risk_Apps!$A$4:$A$1233&lt;&gt;"")),98)),"")</f>
        <v/>
      </c>
      <c r="D10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High"}))*(All_Risk_Apps!$K$4:$K$1233="No")*(All_Risk_Apps!$A$4:$A$1233&lt;&gt;"")),98)),"")</f>
        <v/>
      </c>
      <c r="E10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High"}))*(All_Risk_Apps!$K$4:$K$1233="No")*(All_Risk_Apps!$A$4:$A$1233&lt;&gt;"")),98)),"")</f>
        <v/>
      </c>
      <c r="F10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High"}))*(All_Risk_Apps!$K$4:$K$1233="No")*(All_Risk_Apps!$A$4:$A$1233&lt;&gt;"")),98)),"")</f>
        <v/>
      </c>
      <c r="G10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High"}))*(All_Risk_Apps!$K$4:$K$1233="No")*(All_Risk_Apps!$A$4:$A$1233&lt;&gt;"")),98)),"")</f>
        <v/>
      </c>
      <c r="H101" s="12" t="str">
        <f ca="1">IF(B101="","",IFERROR(INDEX(Server_Inventory!$R:$R,MATCH(B101,Server_Inventory!$Z:$Z,0)),"Not Found"))</f>
        <v/>
      </c>
      <c r="I101" s="12" t="str">
        <f ca="1">IF(B101="","",IFERROR(INDEX(Server_Inventory!$S:$S,MATCH(B101,Server_Inventory!$Z:$Z,0)),"Not Found"))</f>
        <v/>
      </c>
      <c r="J101" s="12" t="str">
        <f ca="1">IF(B101="","",COUNTIFS(Server_Inventory!$Z:$Z,B101,Server_Inventory!$P:$P,"R-RETIRED_IN_CMDB"))</f>
        <v/>
      </c>
      <c r="K101" s="12" t="str">
        <f ca="1">IF(B101="","",IFERROR(INDEX(Container_Inventory!$F:$F,MATCH(B101,Container_Inventory!$L:$L,0)),"Not Found"))</f>
        <v/>
      </c>
      <c r="L101" s="12" t="str">
        <f ca="1">IF(B101="","",IF(COUNTIF(Finding_List!$A:$A,B101)&gt;0,"Yes","No"))</f>
        <v/>
      </c>
      <c r="M101" s="12" t="str">
        <f ca="1">IF(B101="","",COUNTIF(Server_Inventory!$Z:$Z,B101))</f>
        <v/>
      </c>
      <c r="N101" s="12" t="str">
        <f ca="1">IF(B101="","",COUNTIF(Container_Inventory!$L:$L,B101))</f>
        <v/>
      </c>
    </row>
    <row r="102" spans="1:14" x14ac:dyDescent="0.2">
      <c r="A10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High"}))*(All_Risk_Apps!$K$4:$K$1233="No")*(All_Risk_Apps!$A$4:$A$1233&lt;&gt;"")),99)),"")</f>
        <v/>
      </c>
      <c r="B10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High"}))*(All_Risk_Apps!$K$4:$K$1233="No")*(All_Risk_Apps!$A$4:$A$1233&lt;&gt;"")),99)),"")</f>
        <v/>
      </c>
      <c r="C10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High"}))*(All_Risk_Apps!$K$4:$K$1233="No")*(All_Risk_Apps!$A$4:$A$1233&lt;&gt;"")),99)),"")</f>
        <v/>
      </c>
      <c r="D10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High"}))*(All_Risk_Apps!$K$4:$K$1233="No")*(All_Risk_Apps!$A$4:$A$1233&lt;&gt;"")),99)),"")</f>
        <v/>
      </c>
      <c r="E10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High"}))*(All_Risk_Apps!$K$4:$K$1233="No")*(All_Risk_Apps!$A$4:$A$1233&lt;&gt;"")),99)),"")</f>
        <v/>
      </c>
      <c r="F10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High"}))*(All_Risk_Apps!$K$4:$K$1233="No")*(All_Risk_Apps!$A$4:$A$1233&lt;&gt;"")),99)),"")</f>
        <v/>
      </c>
      <c r="G10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High"}))*(All_Risk_Apps!$K$4:$K$1233="No")*(All_Risk_Apps!$A$4:$A$1233&lt;&gt;"")),99)),"")</f>
        <v/>
      </c>
      <c r="H102" s="7" t="str">
        <f ca="1">IF(B102="","",IFERROR(INDEX(Server_Inventory!$R:$R,MATCH(B102,Server_Inventory!$Z:$Z,0)),"Not Found"))</f>
        <v/>
      </c>
      <c r="I102" s="7" t="str">
        <f ca="1">IF(B102="","",IFERROR(INDEX(Server_Inventory!$S:$S,MATCH(B102,Server_Inventory!$Z:$Z,0)),"Not Found"))</f>
        <v/>
      </c>
      <c r="J102" s="7" t="str">
        <f ca="1">IF(B102="","",COUNTIFS(Server_Inventory!$Z:$Z,B102,Server_Inventory!$P:$P,"R-RETIRED_IN_CMDB"))</f>
        <v/>
      </c>
      <c r="K102" s="7" t="str">
        <f ca="1">IF(B102="","",IFERROR(INDEX(Container_Inventory!$F:$F,MATCH(B102,Container_Inventory!$L:$L,0)),"Not Found"))</f>
        <v/>
      </c>
      <c r="L102" s="7" t="str">
        <f ca="1">IF(B102="","",IF(COUNTIF(Finding_List!$A:$A,B102)&gt;0,"Yes","No"))</f>
        <v/>
      </c>
      <c r="M102" s="7" t="str">
        <f ca="1">IF(B102="","",COUNTIF(Server_Inventory!$Z:$Z,B102))</f>
        <v/>
      </c>
      <c r="N102" s="7" t="str">
        <f ca="1">IF(B102="","",COUNTIF(Container_Inventory!$L:$L,B102))</f>
        <v/>
      </c>
    </row>
    <row r="103" spans="1:14" x14ac:dyDescent="0.2">
      <c r="A10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High"}))*(All_Risk_Apps!$K$4:$K$1233="No")*(All_Risk_Apps!$A$4:$A$1233&lt;&gt;"")),100)),"")</f>
        <v/>
      </c>
      <c r="B10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High"}))*(All_Risk_Apps!$K$4:$K$1233="No")*(All_Risk_Apps!$A$4:$A$1233&lt;&gt;"")),100)),"")</f>
        <v/>
      </c>
      <c r="C10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High"}))*(All_Risk_Apps!$K$4:$K$1233="No")*(All_Risk_Apps!$A$4:$A$1233&lt;&gt;"")),100)),"")</f>
        <v/>
      </c>
      <c r="D10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High"}))*(All_Risk_Apps!$K$4:$K$1233="No")*(All_Risk_Apps!$A$4:$A$1233&lt;&gt;"")),100)),"")</f>
        <v/>
      </c>
      <c r="E10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High"}))*(All_Risk_Apps!$K$4:$K$1233="No")*(All_Risk_Apps!$A$4:$A$1233&lt;&gt;"")),100)),"")</f>
        <v/>
      </c>
      <c r="F10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High"}))*(All_Risk_Apps!$K$4:$K$1233="No")*(All_Risk_Apps!$A$4:$A$1233&lt;&gt;"")),100)),"")</f>
        <v/>
      </c>
      <c r="G10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High"}))*(All_Risk_Apps!$K$4:$K$1233="No")*(All_Risk_Apps!$A$4:$A$1233&lt;&gt;"")),100)),"")</f>
        <v/>
      </c>
      <c r="H103" s="12" t="str">
        <f ca="1">IF(B103="","",IFERROR(INDEX(Server_Inventory!$R:$R,MATCH(B103,Server_Inventory!$Z:$Z,0)),"Not Found"))</f>
        <v/>
      </c>
      <c r="I103" s="12" t="str">
        <f ca="1">IF(B103="","",IFERROR(INDEX(Server_Inventory!$S:$S,MATCH(B103,Server_Inventory!$Z:$Z,0)),"Not Found"))</f>
        <v/>
      </c>
      <c r="J103" s="12" t="str">
        <f ca="1">IF(B103="","",COUNTIFS(Server_Inventory!$Z:$Z,B103,Server_Inventory!$P:$P,"R-RETIRED_IN_CMDB"))</f>
        <v/>
      </c>
      <c r="K103" s="12" t="str">
        <f ca="1">IF(B103="","",IFERROR(INDEX(Container_Inventory!$F:$F,MATCH(B103,Container_Inventory!$L:$L,0)),"Not Found"))</f>
        <v/>
      </c>
      <c r="L103" s="12" t="str">
        <f ca="1">IF(B103="","",IF(COUNTIF(Finding_List!$A:$A,B103)&gt;0,"Yes","No"))</f>
        <v/>
      </c>
      <c r="M103" s="12" t="str">
        <f ca="1">IF(B103="","",COUNTIF(Server_Inventory!$Z:$Z,B103))</f>
        <v/>
      </c>
      <c r="N103" s="12" t="str">
        <f ca="1">IF(B103="","",COUNTIF(Container_Inventory!$L:$L,B103))</f>
        <v/>
      </c>
    </row>
    <row r="104" spans="1:14" x14ac:dyDescent="0.2">
      <c r="A10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High"}))*(All_Risk_Apps!$K$4:$K$1233="No")*(All_Risk_Apps!$A$4:$A$1233&lt;&gt;"")),101)),"")</f>
        <v/>
      </c>
      <c r="B10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High"}))*(All_Risk_Apps!$K$4:$K$1233="No")*(All_Risk_Apps!$A$4:$A$1233&lt;&gt;"")),101)),"")</f>
        <v/>
      </c>
      <c r="C10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High"}))*(All_Risk_Apps!$K$4:$K$1233="No")*(All_Risk_Apps!$A$4:$A$1233&lt;&gt;"")),101)),"")</f>
        <v/>
      </c>
      <c r="D10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High"}))*(All_Risk_Apps!$K$4:$K$1233="No")*(All_Risk_Apps!$A$4:$A$1233&lt;&gt;"")),101)),"")</f>
        <v/>
      </c>
      <c r="E10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High"}))*(All_Risk_Apps!$K$4:$K$1233="No")*(All_Risk_Apps!$A$4:$A$1233&lt;&gt;"")),101)),"")</f>
        <v/>
      </c>
      <c r="F10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High"}))*(All_Risk_Apps!$K$4:$K$1233="No")*(All_Risk_Apps!$A$4:$A$1233&lt;&gt;"")),101)),"")</f>
        <v/>
      </c>
      <c r="G10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High"}))*(All_Risk_Apps!$K$4:$K$1233="No")*(All_Risk_Apps!$A$4:$A$1233&lt;&gt;"")),101)),"")</f>
        <v/>
      </c>
      <c r="H104" s="7" t="str">
        <f ca="1">IF(B104="","",IFERROR(INDEX(Server_Inventory!$R:$R,MATCH(B104,Server_Inventory!$Z:$Z,0)),"Not Found"))</f>
        <v/>
      </c>
      <c r="I104" s="7" t="str">
        <f ca="1">IF(B104="","",IFERROR(INDEX(Server_Inventory!$S:$S,MATCH(B104,Server_Inventory!$Z:$Z,0)),"Not Found"))</f>
        <v/>
      </c>
      <c r="J104" s="7" t="str">
        <f ca="1">IF(B104="","",COUNTIFS(Server_Inventory!$Z:$Z,B104,Server_Inventory!$P:$P,"R-RETIRED_IN_CMDB"))</f>
        <v/>
      </c>
      <c r="K104" s="7" t="str">
        <f ca="1">IF(B104="","",IFERROR(INDEX(Container_Inventory!$F:$F,MATCH(B104,Container_Inventory!$L:$L,0)),"Not Found"))</f>
        <v/>
      </c>
      <c r="L104" s="7" t="str">
        <f ca="1">IF(B104="","",IF(COUNTIF(Finding_List!$A:$A,B104)&gt;0,"Yes","No"))</f>
        <v/>
      </c>
      <c r="M104" s="7" t="str">
        <f ca="1">IF(B104="","",COUNTIF(Server_Inventory!$Z:$Z,B104))</f>
        <v/>
      </c>
      <c r="N104" s="7" t="str">
        <f ca="1">IF(B104="","",COUNTIF(Container_Inventory!$L:$L,B104))</f>
        <v/>
      </c>
    </row>
    <row r="105" spans="1:14" x14ac:dyDescent="0.2">
      <c r="A10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High"}))*(All_Risk_Apps!$K$4:$K$1233="No")*(All_Risk_Apps!$A$4:$A$1233&lt;&gt;"")),102)),"")</f>
        <v/>
      </c>
      <c r="B10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High"}))*(All_Risk_Apps!$K$4:$K$1233="No")*(All_Risk_Apps!$A$4:$A$1233&lt;&gt;"")),102)),"")</f>
        <v/>
      </c>
      <c r="C10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High"}))*(All_Risk_Apps!$K$4:$K$1233="No")*(All_Risk_Apps!$A$4:$A$1233&lt;&gt;"")),102)),"")</f>
        <v/>
      </c>
      <c r="D10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High"}))*(All_Risk_Apps!$K$4:$K$1233="No")*(All_Risk_Apps!$A$4:$A$1233&lt;&gt;"")),102)),"")</f>
        <v/>
      </c>
      <c r="E10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High"}))*(All_Risk_Apps!$K$4:$K$1233="No")*(All_Risk_Apps!$A$4:$A$1233&lt;&gt;"")),102)),"")</f>
        <v/>
      </c>
      <c r="F10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High"}))*(All_Risk_Apps!$K$4:$K$1233="No")*(All_Risk_Apps!$A$4:$A$1233&lt;&gt;"")),102)),"")</f>
        <v/>
      </c>
      <c r="G10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High"}))*(All_Risk_Apps!$K$4:$K$1233="No")*(All_Risk_Apps!$A$4:$A$1233&lt;&gt;"")),102)),"")</f>
        <v/>
      </c>
      <c r="H105" s="12" t="str">
        <f ca="1">IF(B105="","",IFERROR(INDEX(Server_Inventory!$R:$R,MATCH(B105,Server_Inventory!$Z:$Z,0)),"Not Found"))</f>
        <v/>
      </c>
      <c r="I105" s="12" t="str">
        <f ca="1">IF(B105="","",IFERROR(INDEX(Server_Inventory!$S:$S,MATCH(B105,Server_Inventory!$Z:$Z,0)),"Not Found"))</f>
        <v/>
      </c>
      <c r="J105" s="12" t="str">
        <f ca="1">IF(B105="","",COUNTIFS(Server_Inventory!$Z:$Z,B105,Server_Inventory!$P:$P,"R-RETIRED_IN_CMDB"))</f>
        <v/>
      </c>
      <c r="K105" s="12" t="str">
        <f ca="1">IF(B105="","",IFERROR(INDEX(Container_Inventory!$F:$F,MATCH(B105,Container_Inventory!$L:$L,0)),"Not Found"))</f>
        <v/>
      </c>
      <c r="L105" s="12" t="str">
        <f ca="1">IF(B105="","",IF(COUNTIF(Finding_List!$A:$A,B105)&gt;0,"Yes","No"))</f>
        <v/>
      </c>
      <c r="M105" s="12" t="str">
        <f ca="1">IF(B105="","",COUNTIF(Server_Inventory!$Z:$Z,B105))</f>
        <v/>
      </c>
      <c r="N105" s="12" t="str">
        <f ca="1">IF(B105="","",COUNTIF(Container_Inventory!$L:$L,B105))</f>
        <v/>
      </c>
    </row>
    <row r="106" spans="1:14" x14ac:dyDescent="0.2">
      <c r="A10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High"}))*(All_Risk_Apps!$K$4:$K$1233="No")*(All_Risk_Apps!$A$4:$A$1233&lt;&gt;"")),103)),"")</f>
        <v/>
      </c>
      <c r="B10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High"}))*(All_Risk_Apps!$K$4:$K$1233="No")*(All_Risk_Apps!$A$4:$A$1233&lt;&gt;"")),103)),"")</f>
        <v/>
      </c>
      <c r="C10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High"}))*(All_Risk_Apps!$K$4:$K$1233="No")*(All_Risk_Apps!$A$4:$A$1233&lt;&gt;"")),103)),"")</f>
        <v/>
      </c>
      <c r="D10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High"}))*(All_Risk_Apps!$K$4:$K$1233="No")*(All_Risk_Apps!$A$4:$A$1233&lt;&gt;"")),103)),"")</f>
        <v/>
      </c>
      <c r="E10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High"}))*(All_Risk_Apps!$K$4:$K$1233="No")*(All_Risk_Apps!$A$4:$A$1233&lt;&gt;"")),103)),"")</f>
        <v/>
      </c>
      <c r="F10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High"}))*(All_Risk_Apps!$K$4:$K$1233="No")*(All_Risk_Apps!$A$4:$A$1233&lt;&gt;"")),103)),"")</f>
        <v/>
      </c>
      <c r="G10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High"}))*(All_Risk_Apps!$K$4:$K$1233="No")*(All_Risk_Apps!$A$4:$A$1233&lt;&gt;"")),103)),"")</f>
        <v/>
      </c>
      <c r="H106" s="7" t="str">
        <f ca="1">IF(B106="","",IFERROR(INDEX(Server_Inventory!$R:$R,MATCH(B106,Server_Inventory!$Z:$Z,0)),"Not Found"))</f>
        <v/>
      </c>
      <c r="I106" s="7" t="str">
        <f ca="1">IF(B106="","",IFERROR(INDEX(Server_Inventory!$S:$S,MATCH(B106,Server_Inventory!$Z:$Z,0)),"Not Found"))</f>
        <v/>
      </c>
      <c r="J106" s="7" t="str">
        <f ca="1">IF(B106="","",COUNTIFS(Server_Inventory!$Z:$Z,B106,Server_Inventory!$P:$P,"R-RETIRED_IN_CMDB"))</f>
        <v/>
      </c>
      <c r="K106" s="7" t="str">
        <f ca="1">IF(B106="","",IFERROR(INDEX(Container_Inventory!$F:$F,MATCH(B106,Container_Inventory!$L:$L,0)),"Not Found"))</f>
        <v/>
      </c>
      <c r="L106" s="7" t="str">
        <f ca="1">IF(B106="","",IF(COUNTIF(Finding_List!$A:$A,B106)&gt;0,"Yes","No"))</f>
        <v/>
      </c>
      <c r="M106" s="7" t="str">
        <f ca="1">IF(B106="","",COUNTIF(Server_Inventory!$Z:$Z,B106))</f>
        <v/>
      </c>
      <c r="N106" s="7" t="str">
        <f ca="1">IF(B106="","",COUNTIF(Container_Inventory!$L:$L,B106))</f>
        <v/>
      </c>
    </row>
    <row r="107" spans="1:14" x14ac:dyDescent="0.2">
      <c r="A10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High"}))*(All_Risk_Apps!$K$4:$K$1233="No")*(All_Risk_Apps!$A$4:$A$1233&lt;&gt;"")),104)),"")</f>
        <v/>
      </c>
      <c r="B10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High"}))*(All_Risk_Apps!$K$4:$K$1233="No")*(All_Risk_Apps!$A$4:$A$1233&lt;&gt;"")),104)),"")</f>
        <v/>
      </c>
      <c r="C10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High"}))*(All_Risk_Apps!$K$4:$K$1233="No")*(All_Risk_Apps!$A$4:$A$1233&lt;&gt;"")),104)),"")</f>
        <v/>
      </c>
      <c r="D10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High"}))*(All_Risk_Apps!$K$4:$K$1233="No")*(All_Risk_Apps!$A$4:$A$1233&lt;&gt;"")),104)),"")</f>
        <v/>
      </c>
      <c r="E10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High"}))*(All_Risk_Apps!$K$4:$K$1233="No")*(All_Risk_Apps!$A$4:$A$1233&lt;&gt;"")),104)),"")</f>
        <v/>
      </c>
      <c r="F10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High"}))*(All_Risk_Apps!$K$4:$K$1233="No")*(All_Risk_Apps!$A$4:$A$1233&lt;&gt;"")),104)),"")</f>
        <v/>
      </c>
      <c r="G10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High"}))*(All_Risk_Apps!$K$4:$K$1233="No")*(All_Risk_Apps!$A$4:$A$1233&lt;&gt;"")),104)),"")</f>
        <v/>
      </c>
      <c r="H107" s="12" t="str">
        <f ca="1">IF(B107="","",IFERROR(INDEX(Server_Inventory!$R:$R,MATCH(B107,Server_Inventory!$Z:$Z,0)),"Not Found"))</f>
        <v/>
      </c>
      <c r="I107" s="12" t="str">
        <f ca="1">IF(B107="","",IFERROR(INDEX(Server_Inventory!$S:$S,MATCH(B107,Server_Inventory!$Z:$Z,0)),"Not Found"))</f>
        <v/>
      </c>
      <c r="J107" s="12" t="str">
        <f ca="1">IF(B107="","",COUNTIFS(Server_Inventory!$Z:$Z,B107,Server_Inventory!$P:$P,"R-RETIRED_IN_CMDB"))</f>
        <v/>
      </c>
      <c r="K107" s="12" t="str">
        <f ca="1">IF(B107="","",IFERROR(INDEX(Container_Inventory!$F:$F,MATCH(B107,Container_Inventory!$L:$L,0)),"Not Found"))</f>
        <v/>
      </c>
      <c r="L107" s="12" t="str">
        <f ca="1">IF(B107="","",IF(COUNTIF(Finding_List!$A:$A,B107)&gt;0,"Yes","No"))</f>
        <v/>
      </c>
      <c r="M107" s="12" t="str">
        <f ca="1">IF(B107="","",COUNTIF(Server_Inventory!$Z:$Z,B107))</f>
        <v/>
      </c>
      <c r="N107" s="12" t="str">
        <f ca="1">IF(B107="","",COUNTIF(Container_Inventory!$L:$L,B107))</f>
        <v/>
      </c>
    </row>
    <row r="108" spans="1:14" x14ac:dyDescent="0.2">
      <c r="A10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High"}))*(All_Risk_Apps!$K$4:$K$1233="No")*(All_Risk_Apps!$A$4:$A$1233&lt;&gt;"")),105)),"")</f>
        <v/>
      </c>
      <c r="B10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High"}))*(All_Risk_Apps!$K$4:$K$1233="No")*(All_Risk_Apps!$A$4:$A$1233&lt;&gt;"")),105)),"")</f>
        <v/>
      </c>
      <c r="C10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High"}))*(All_Risk_Apps!$K$4:$K$1233="No")*(All_Risk_Apps!$A$4:$A$1233&lt;&gt;"")),105)),"")</f>
        <v/>
      </c>
      <c r="D10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High"}))*(All_Risk_Apps!$K$4:$K$1233="No")*(All_Risk_Apps!$A$4:$A$1233&lt;&gt;"")),105)),"")</f>
        <v/>
      </c>
      <c r="E10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High"}))*(All_Risk_Apps!$K$4:$K$1233="No")*(All_Risk_Apps!$A$4:$A$1233&lt;&gt;"")),105)),"")</f>
        <v/>
      </c>
      <c r="F10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High"}))*(All_Risk_Apps!$K$4:$K$1233="No")*(All_Risk_Apps!$A$4:$A$1233&lt;&gt;"")),105)),"")</f>
        <v/>
      </c>
      <c r="G10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High"}))*(All_Risk_Apps!$K$4:$K$1233="No")*(All_Risk_Apps!$A$4:$A$1233&lt;&gt;"")),105)),"")</f>
        <v/>
      </c>
      <c r="H108" s="7" t="str">
        <f ca="1">IF(B108="","",IFERROR(INDEX(Server_Inventory!$R:$R,MATCH(B108,Server_Inventory!$Z:$Z,0)),"Not Found"))</f>
        <v/>
      </c>
      <c r="I108" s="7" t="str">
        <f ca="1">IF(B108="","",IFERROR(INDEX(Server_Inventory!$S:$S,MATCH(B108,Server_Inventory!$Z:$Z,0)),"Not Found"))</f>
        <v/>
      </c>
      <c r="J108" s="7" t="str">
        <f ca="1">IF(B108="","",COUNTIFS(Server_Inventory!$Z:$Z,B108,Server_Inventory!$P:$P,"R-RETIRED_IN_CMDB"))</f>
        <v/>
      </c>
      <c r="K108" s="7" t="str">
        <f ca="1">IF(B108="","",IFERROR(INDEX(Container_Inventory!$F:$F,MATCH(B108,Container_Inventory!$L:$L,0)),"Not Found"))</f>
        <v/>
      </c>
      <c r="L108" s="7" t="str">
        <f ca="1">IF(B108="","",IF(COUNTIF(Finding_List!$A:$A,B108)&gt;0,"Yes","No"))</f>
        <v/>
      </c>
      <c r="M108" s="7" t="str">
        <f ca="1">IF(B108="","",COUNTIF(Server_Inventory!$Z:$Z,B108))</f>
        <v/>
      </c>
      <c r="N108" s="7" t="str">
        <f ca="1">IF(B108="","",COUNTIF(Container_Inventory!$L:$L,B108))</f>
        <v/>
      </c>
    </row>
    <row r="109" spans="1:14" x14ac:dyDescent="0.2">
      <c r="A10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High"}))*(All_Risk_Apps!$K$4:$K$1233="No")*(All_Risk_Apps!$A$4:$A$1233&lt;&gt;"")),106)),"")</f>
        <v/>
      </c>
      <c r="B10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High"}))*(All_Risk_Apps!$K$4:$K$1233="No")*(All_Risk_Apps!$A$4:$A$1233&lt;&gt;"")),106)),"")</f>
        <v/>
      </c>
      <c r="C10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High"}))*(All_Risk_Apps!$K$4:$K$1233="No")*(All_Risk_Apps!$A$4:$A$1233&lt;&gt;"")),106)),"")</f>
        <v/>
      </c>
      <c r="D10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High"}))*(All_Risk_Apps!$K$4:$K$1233="No")*(All_Risk_Apps!$A$4:$A$1233&lt;&gt;"")),106)),"")</f>
        <v/>
      </c>
      <c r="E10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High"}))*(All_Risk_Apps!$K$4:$K$1233="No")*(All_Risk_Apps!$A$4:$A$1233&lt;&gt;"")),106)),"")</f>
        <v/>
      </c>
      <c r="F10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High"}))*(All_Risk_Apps!$K$4:$K$1233="No")*(All_Risk_Apps!$A$4:$A$1233&lt;&gt;"")),106)),"")</f>
        <v/>
      </c>
      <c r="G10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High"}))*(All_Risk_Apps!$K$4:$K$1233="No")*(All_Risk_Apps!$A$4:$A$1233&lt;&gt;"")),106)),"")</f>
        <v/>
      </c>
      <c r="H109" s="12" t="str">
        <f ca="1">IF(B109="","",IFERROR(INDEX(Server_Inventory!$R:$R,MATCH(B109,Server_Inventory!$Z:$Z,0)),"Not Found"))</f>
        <v/>
      </c>
      <c r="I109" s="12" t="str">
        <f ca="1">IF(B109="","",IFERROR(INDEX(Server_Inventory!$S:$S,MATCH(B109,Server_Inventory!$Z:$Z,0)),"Not Found"))</f>
        <v/>
      </c>
      <c r="J109" s="12" t="str">
        <f ca="1">IF(B109="","",COUNTIFS(Server_Inventory!$Z:$Z,B109,Server_Inventory!$P:$P,"R-RETIRED_IN_CMDB"))</f>
        <v/>
      </c>
      <c r="K109" s="12" t="str">
        <f ca="1">IF(B109="","",IFERROR(INDEX(Container_Inventory!$F:$F,MATCH(B109,Container_Inventory!$L:$L,0)),"Not Found"))</f>
        <v/>
      </c>
      <c r="L109" s="12" t="str">
        <f ca="1">IF(B109="","",IF(COUNTIF(Finding_List!$A:$A,B109)&gt;0,"Yes","No"))</f>
        <v/>
      </c>
      <c r="M109" s="12" t="str">
        <f ca="1">IF(B109="","",COUNTIF(Server_Inventory!$Z:$Z,B109))</f>
        <v/>
      </c>
      <c r="N109" s="12" t="str">
        <f ca="1">IF(B109="","",COUNTIF(Container_Inventory!$L:$L,B109))</f>
        <v/>
      </c>
    </row>
    <row r="110" spans="1:14" x14ac:dyDescent="0.2">
      <c r="A11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High"}))*(All_Risk_Apps!$K$4:$K$1233="No")*(All_Risk_Apps!$A$4:$A$1233&lt;&gt;"")),107)),"")</f>
        <v/>
      </c>
      <c r="B11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High"}))*(All_Risk_Apps!$K$4:$K$1233="No")*(All_Risk_Apps!$A$4:$A$1233&lt;&gt;"")),107)),"")</f>
        <v/>
      </c>
      <c r="C11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High"}))*(All_Risk_Apps!$K$4:$K$1233="No")*(All_Risk_Apps!$A$4:$A$1233&lt;&gt;"")),107)),"")</f>
        <v/>
      </c>
      <c r="D11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High"}))*(All_Risk_Apps!$K$4:$K$1233="No")*(All_Risk_Apps!$A$4:$A$1233&lt;&gt;"")),107)),"")</f>
        <v/>
      </c>
      <c r="E11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High"}))*(All_Risk_Apps!$K$4:$K$1233="No")*(All_Risk_Apps!$A$4:$A$1233&lt;&gt;"")),107)),"")</f>
        <v/>
      </c>
      <c r="F11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High"}))*(All_Risk_Apps!$K$4:$K$1233="No")*(All_Risk_Apps!$A$4:$A$1233&lt;&gt;"")),107)),"")</f>
        <v/>
      </c>
      <c r="G11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High"}))*(All_Risk_Apps!$K$4:$K$1233="No")*(All_Risk_Apps!$A$4:$A$1233&lt;&gt;"")),107)),"")</f>
        <v/>
      </c>
      <c r="H110" s="7" t="str">
        <f ca="1">IF(B110="","",IFERROR(INDEX(Server_Inventory!$R:$R,MATCH(B110,Server_Inventory!$Z:$Z,0)),"Not Found"))</f>
        <v/>
      </c>
      <c r="I110" s="7" t="str">
        <f ca="1">IF(B110="","",IFERROR(INDEX(Server_Inventory!$S:$S,MATCH(B110,Server_Inventory!$Z:$Z,0)),"Not Found"))</f>
        <v/>
      </c>
      <c r="J110" s="7" t="str">
        <f ca="1">IF(B110="","",COUNTIFS(Server_Inventory!$Z:$Z,B110,Server_Inventory!$P:$P,"R-RETIRED_IN_CMDB"))</f>
        <v/>
      </c>
      <c r="K110" s="7" t="str">
        <f ca="1">IF(B110="","",IFERROR(INDEX(Container_Inventory!$F:$F,MATCH(B110,Container_Inventory!$L:$L,0)),"Not Found"))</f>
        <v/>
      </c>
      <c r="L110" s="7" t="str">
        <f ca="1">IF(B110="","",IF(COUNTIF(Finding_List!$A:$A,B110)&gt;0,"Yes","No"))</f>
        <v/>
      </c>
      <c r="M110" s="7" t="str">
        <f ca="1">IF(B110="","",COUNTIF(Server_Inventory!$Z:$Z,B110))</f>
        <v/>
      </c>
      <c r="N110" s="7" t="str">
        <f ca="1">IF(B110="","",COUNTIF(Container_Inventory!$L:$L,B110))</f>
        <v/>
      </c>
    </row>
    <row r="111" spans="1:14" x14ac:dyDescent="0.2">
      <c r="A11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High"}))*(All_Risk_Apps!$K$4:$K$1233="No")*(All_Risk_Apps!$A$4:$A$1233&lt;&gt;"")),108)),"")</f>
        <v/>
      </c>
      <c r="B11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High"}))*(All_Risk_Apps!$K$4:$K$1233="No")*(All_Risk_Apps!$A$4:$A$1233&lt;&gt;"")),108)),"")</f>
        <v/>
      </c>
      <c r="C11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High"}))*(All_Risk_Apps!$K$4:$K$1233="No")*(All_Risk_Apps!$A$4:$A$1233&lt;&gt;"")),108)),"")</f>
        <v/>
      </c>
      <c r="D11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High"}))*(All_Risk_Apps!$K$4:$K$1233="No")*(All_Risk_Apps!$A$4:$A$1233&lt;&gt;"")),108)),"")</f>
        <v/>
      </c>
      <c r="E11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High"}))*(All_Risk_Apps!$K$4:$K$1233="No")*(All_Risk_Apps!$A$4:$A$1233&lt;&gt;"")),108)),"")</f>
        <v/>
      </c>
      <c r="F11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High"}))*(All_Risk_Apps!$K$4:$K$1233="No")*(All_Risk_Apps!$A$4:$A$1233&lt;&gt;"")),108)),"")</f>
        <v/>
      </c>
      <c r="G11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High"}))*(All_Risk_Apps!$K$4:$K$1233="No")*(All_Risk_Apps!$A$4:$A$1233&lt;&gt;"")),108)),"")</f>
        <v/>
      </c>
      <c r="H111" s="12" t="str">
        <f ca="1">IF(B111="","",IFERROR(INDEX(Server_Inventory!$R:$R,MATCH(B111,Server_Inventory!$Z:$Z,0)),"Not Found"))</f>
        <v/>
      </c>
      <c r="I111" s="12" t="str">
        <f ca="1">IF(B111="","",IFERROR(INDEX(Server_Inventory!$S:$S,MATCH(B111,Server_Inventory!$Z:$Z,0)),"Not Found"))</f>
        <v/>
      </c>
      <c r="J111" s="12" t="str">
        <f ca="1">IF(B111="","",COUNTIFS(Server_Inventory!$Z:$Z,B111,Server_Inventory!$P:$P,"R-RETIRED_IN_CMDB"))</f>
        <v/>
      </c>
      <c r="K111" s="12" t="str">
        <f ca="1">IF(B111="","",IFERROR(INDEX(Container_Inventory!$F:$F,MATCH(B111,Container_Inventory!$L:$L,0)),"Not Found"))</f>
        <v/>
      </c>
      <c r="L111" s="12" t="str">
        <f ca="1">IF(B111="","",IF(COUNTIF(Finding_List!$A:$A,B111)&gt;0,"Yes","No"))</f>
        <v/>
      </c>
      <c r="M111" s="12" t="str">
        <f ca="1">IF(B111="","",COUNTIF(Server_Inventory!$Z:$Z,B111))</f>
        <v/>
      </c>
      <c r="N111" s="12" t="str">
        <f ca="1">IF(B111="","",COUNTIF(Container_Inventory!$L:$L,B111))</f>
        <v/>
      </c>
    </row>
    <row r="112" spans="1:14" x14ac:dyDescent="0.2">
      <c r="A11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High"}))*(All_Risk_Apps!$K$4:$K$1233="No")*(All_Risk_Apps!$A$4:$A$1233&lt;&gt;"")),109)),"")</f>
        <v/>
      </c>
      <c r="B11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High"}))*(All_Risk_Apps!$K$4:$K$1233="No")*(All_Risk_Apps!$A$4:$A$1233&lt;&gt;"")),109)),"")</f>
        <v/>
      </c>
      <c r="C11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High"}))*(All_Risk_Apps!$K$4:$K$1233="No")*(All_Risk_Apps!$A$4:$A$1233&lt;&gt;"")),109)),"")</f>
        <v/>
      </c>
      <c r="D11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High"}))*(All_Risk_Apps!$K$4:$K$1233="No")*(All_Risk_Apps!$A$4:$A$1233&lt;&gt;"")),109)),"")</f>
        <v/>
      </c>
      <c r="E11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High"}))*(All_Risk_Apps!$K$4:$K$1233="No")*(All_Risk_Apps!$A$4:$A$1233&lt;&gt;"")),109)),"")</f>
        <v/>
      </c>
      <c r="F11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High"}))*(All_Risk_Apps!$K$4:$K$1233="No")*(All_Risk_Apps!$A$4:$A$1233&lt;&gt;"")),109)),"")</f>
        <v/>
      </c>
      <c r="G11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High"}))*(All_Risk_Apps!$K$4:$K$1233="No")*(All_Risk_Apps!$A$4:$A$1233&lt;&gt;"")),109)),"")</f>
        <v/>
      </c>
      <c r="H112" s="7" t="str">
        <f ca="1">IF(B112="","",IFERROR(INDEX(Server_Inventory!$R:$R,MATCH(B112,Server_Inventory!$Z:$Z,0)),"Not Found"))</f>
        <v/>
      </c>
      <c r="I112" s="7" t="str">
        <f ca="1">IF(B112="","",IFERROR(INDEX(Server_Inventory!$S:$S,MATCH(B112,Server_Inventory!$Z:$Z,0)),"Not Found"))</f>
        <v/>
      </c>
      <c r="J112" s="7" t="str">
        <f ca="1">IF(B112="","",COUNTIFS(Server_Inventory!$Z:$Z,B112,Server_Inventory!$P:$P,"R-RETIRED_IN_CMDB"))</f>
        <v/>
      </c>
      <c r="K112" s="7" t="str">
        <f ca="1">IF(B112="","",IFERROR(INDEX(Container_Inventory!$F:$F,MATCH(B112,Container_Inventory!$L:$L,0)),"Not Found"))</f>
        <v/>
      </c>
      <c r="L112" s="7" t="str">
        <f ca="1">IF(B112="","",IF(COUNTIF(Finding_List!$A:$A,B112)&gt;0,"Yes","No"))</f>
        <v/>
      </c>
      <c r="M112" s="7" t="str">
        <f ca="1">IF(B112="","",COUNTIF(Server_Inventory!$Z:$Z,B112))</f>
        <v/>
      </c>
      <c r="N112" s="7" t="str">
        <f ca="1">IF(B112="","",COUNTIF(Container_Inventory!$L:$L,B112))</f>
        <v/>
      </c>
    </row>
    <row r="113" spans="1:14" x14ac:dyDescent="0.2">
      <c r="A11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High"}))*(All_Risk_Apps!$K$4:$K$1233="No")*(All_Risk_Apps!$A$4:$A$1233&lt;&gt;"")),110)),"")</f>
        <v/>
      </c>
      <c r="B11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High"}))*(All_Risk_Apps!$K$4:$K$1233="No")*(All_Risk_Apps!$A$4:$A$1233&lt;&gt;"")),110)),"")</f>
        <v/>
      </c>
      <c r="C11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High"}))*(All_Risk_Apps!$K$4:$K$1233="No")*(All_Risk_Apps!$A$4:$A$1233&lt;&gt;"")),110)),"")</f>
        <v/>
      </c>
      <c r="D11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High"}))*(All_Risk_Apps!$K$4:$K$1233="No")*(All_Risk_Apps!$A$4:$A$1233&lt;&gt;"")),110)),"")</f>
        <v/>
      </c>
      <c r="E11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High"}))*(All_Risk_Apps!$K$4:$K$1233="No")*(All_Risk_Apps!$A$4:$A$1233&lt;&gt;"")),110)),"")</f>
        <v/>
      </c>
      <c r="F11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High"}))*(All_Risk_Apps!$K$4:$K$1233="No")*(All_Risk_Apps!$A$4:$A$1233&lt;&gt;"")),110)),"")</f>
        <v/>
      </c>
      <c r="G11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High"}))*(All_Risk_Apps!$K$4:$K$1233="No")*(All_Risk_Apps!$A$4:$A$1233&lt;&gt;"")),110)),"")</f>
        <v/>
      </c>
      <c r="H113" s="12" t="str">
        <f ca="1">IF(B113="","",IFERROR(INDEX(Server_Inventory!$R:$R,MATCH(B113,Server_Inventory!$Z:$Z,0)),"Not Found"))</f>
        <v/>
      </c>
      <c r="I113" s="12" t="str">
        <f ca="1">IF(B113="","",IFERROR(INDEX(Server_Inventory!$S:$S,MATCH(B113,Server_Inventory!$Z:$Z,0)),"Not Found"))</f>
        <v/>
      </c>
      <c r="J113" s="12" t="str">
        <f ca="1">IF(B113="","",COUNTIFS(Server_Inventory!$Z:$Z,B113,Server_Inventory!$P:$P,"R-RETIRED_IN_CMDB"))</f>
        <v/>
      </c>
      <c r="K113" s="12" t="str">
        <f ca="1">IF(B113="","",IFERROR(INDEX(Container_Inventory!$F:$F,MATCH(B113,Container_Inventory!$L:$L,0)),"Not Found"))</f>
        <v/>
      </c>
      <c r="L113" s="12" t="str">
        <f ca="1">IF(B113="","",IF(COUNTIF(Finding_List!$A:$A,B113)&gt;0,"Yes","No"))</f>
        <v/>
      </c>
      <c r="M113" s="12" t="str">
        <f ca="1">IF(B113="","",COUNTIF(Server_Inventory!$Z:$Z,B113))</f>
        <v/>
      </c>
      <c r="N113" s="12" t="str">
        <f ca="1">IF(B113="","",COUNTIF(Container_Inventory!$L:$L,B113))</f>
        <v/>
      </c>
    </row>
    <row r="114" spans="1:14" x14ac:dyDescent="0.2">
      <c r="A11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High"}))*(All_Risk_Apps!$K$4:$K$1233="No")*(All_Risk_Apps!$A$4:$A$1233&lt;&gt;"")),111)),"")</f>
        <v/>
      </c>
      <c r="B11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High"}))*(All_Risk_Apps!$K$4:$K$1233="No")*(All_Risk_Apps!$A$4:$A$1233&lt;&gt;"")),111)),"")</f>
        <v/>
      </c>
      <c r="C11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High"}))*(All_Risk_Apps!$K$4:$K$1233="No")*(All_Risk_Apps!$A$4:$A$1233&lt;&gt;"")),111)),"")</f>
        <v/>
      </c>
      <c r="D11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High"}))*(All_Risk_Apps!$K$4:$K$1233="No")*(All_Risk_Apps!$A$4:$A$1233&lt;&gt;"")),111)),"")</f>
        <v/>
      </c>
      <c r="E11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High"}))*(All_Risk_Apps!$K$4:$K$1233="No")*(All_Risk_Apps!$A$4:$A$1233&lt;&gt;"")),111)),"")</f>
        <v/>
      </c>
      <c r="F11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High"}))*(All_Risk_Apps!$K$4:$K$1233="No")*(All_Risk_Apps!$A$4:$A$1233&lt;&gt;"")),111)),"")</f>
        <v/>
      </c>
      <c r="G11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High"}))*(All_Risk_Apps!$K$4:$K$1233="No")*(All_Risk_Apps!$A$4:$A$1233&lt;&gt;"")),111)),"")</f>
        <v/>
      </c>
      <c r="H114" s="7" t="str">
        <f ca="1">IF(B114="","",IFERROR(INDEX(Server_Inventory!$R:$R,MATCH(B114,Server_Inventory!$Z:$Z,0)),"Not Found"))</f>
        <v/>
      </c>
      <c r="I114" s="7" t="str">
        <f ca="1">IF(B114="","",IFERROR(INDEX(Server_Inventory!$S:$S,MATCH(B114,Server_Inventory!$Z:$Z,0)),"Not Found"))</f>
        <v/>
      </c>
      <c r="J114" s="7" t="str">
        <f ca="1">IF(B114="","",COUNTIFS(Server_Inventory!$Z:$Z,B114,Server_Inventory!$P:$P,"R-RETIRED_IN_CMDB"))</f>
        <v/>
      </c>
      <c r="K114" s="7" t="str">
        <f ca="1">IF(B114="","",IFERROR(INDEX(Container_Inventory!$F:$F,MATCH(B114,Container_Inventory!$L:$L,0)),"Not Found"))</f>
        <v/>
      </c>
      <c r="L114" s="7" t="str">
        <f ca="1">IF(B114="","",IF(COUNTIF(Finding_List!$A:$A,B114)&gt;0,"Yes","No"))</f>
        <v/>
      </c>
      <c r="M114" s="7" t="str">
        <f ca="1">IF(B114="","",COUNTIF(Server_Inventory!$Z:$Z,B114))</f>
        <v/>
      </c>
      <c r="N114" s="7" t="str">
        <f ca="1">IF(B114="","",COUNTIF(Container_Inventory!$L:$L,B114))</f>
        <v/>
      </c>
    </row>
    <row r="115" spans="1:14" x14ac:dyDescent="0.2">
      <c r="A11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High"}))*(All_Risk_Apps!$K$4:$K$1233="No")*(All_Risk_Apps!$A$4:$A$1233&lt;&gt;"")),112)),"")</f>
        <v/>
      </c>
      <c r="B11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High"}))*(All_Risk_Apps!$K$4:$K$1233="No")*(All_Risk_Apps!$A$4:$A$1233&lt;&gt;"")),112)),"")</f>
        <v/>
      </c>
      <c r="C11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High"}))*(All_Risk_Apps!$K$4:$K$1233="No")*(All_Risk_Apps!$A$4:$A$1233&lt;&gt;"")),112)),"")</f>
        <v/>
      </c>
      <c r="D11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High"}))*(All_Risk_Apps!$K$4:$K$1233="No")*(All_Risk_Apps!$A$4:$A$1233&lt;&gt;"")),112)),"")</f>
        <v/>
      </c>
      <c r="E11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High"}))*(All_Risk_Apps!$K$4:$K$1233="No")*(All_Risk_Apps!$A$4:$A$1233&lt;&gt;"")),112)),"")</f>
        <v/>
      </c>
      <c r="F11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High"}))*(All_Risk_Apps!$K$4:$K$1233="No")*(All_Risk_Apps!$A$4:$A$1233&lt;&gt;"")),112)),"")</f>
        <v/>
      </c>
      <c r="G11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High"}))*(All_Risk_Apps!$K$4:$K$1233="No")*(All_Risk_Apps!$A$4:$A$1233&lt;&gt;"")),112)),"")</f>
        <v/>
      </c>
      <c r="H115" s="12" t="str">
        <f ca="1">IF(B115="","",IFERROR(INDEX(Server_Inventory!$R:$R,MATCH(B115,Server_Inventory!$Z:$Z,0)),"Not Found"))</f>
        <v/>
      </c>
      <c r="I115" s="12" t="str">
        <f ca="1">IF(B115="","",IFERROR(INDEX(Server_Inventory!$S:$S,MATCH(B115,Server_Inventory!$Z:$Z,0)),"Not Found"))</f>
        <v/>
      </c>
      <c r="J115" s="12" t="str">
        <f ca="1">IF(B115="","",COUNTIFS(Server_Inventory!$Z:$Z,B115,Server_Inventory!$P:$P,"R-RETIRED_IN_CMDB"))</f>
        <v/>
      </c>
      <c r="K115" s="12" t="str">
        <f ca="1">IF(B115="","",IFERROR(INDEX(Container_Inventory!$F:$F,MATCH(B115,Container_Inventory!$L:$L,0)),"Not Found"))</f>
        <v/>
      </c>
      <c r="L115" s="12" t="str">
        <f ca="1">IF(B115="","",IF(COUNTIF(Finding_List!$A:$A,B115)&gt;0,"Yes","No"))</f>
        <v/>
      </c>
      <c r="M115" s="12" t="str">
        <f ca="1">IF(B115="","",COUNTIF(Server_Inventory!$Z:$Z,B115))</f>
        <v/>
      </c>
      <c r="N115" s="12" t="str">
        <f ca="1">IF(B115="","",COUNTIF(Container_Inventory!$L:$L,B115))</f>
        <v/>
      </c>
    </row>
    <row r="116" spans="1:14" x14ac:dyDescent="0.2">
      <c r="A11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High"}))*(All_Risk_Apps!$K$4:$K$1233="No")*(All_Risk_Apps!$A$4:$A$1233&lt;&gt;"")),113)),"")</f>
        <v/>
      </c>
      <c r="B11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High"}))*(All_Risk_Apps!$K$4:$K$1233="No")*(All_Risk_Apps!$A$4:$A$1233&lt;&gt;"")),113)),"")</f>
        <v/>
      </c>
      <c r="C11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High"}))*(All_Risk_Apps!$K$4:$K$1233="No")*(All_Risk_Apps!$A$4:$A$1233&lt;&gt;"")),113)),"")</f>
        <v/>
      </c>
      <c r="D11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High"}))*(All_Risk_Apps!$K$4:$K$1233="No")*(All_Risk_Apps!$A$4:$A$1233&lt;&gt;"")),113)),"")</f>
        <v/>
      </c>
      <c r="E11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High"}))*(All_Risk_Apps!$K$4:$K$1233="No")*(All_Risk_Apps!$A$4:$A$1233&lt;&gt;"")),113)),"")</f>
        <v/>
      </c>
      <c r="F11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High"}))*(All_Risk_Apps!$K$4:$K$1233="No")*(All_Risk_Apps!$A$4:$A$1233&lt;&gt;"")),113)),"")</f>
        <v/>
      </c>
      <c r="G11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High"}))*(All_Risk_Apps!$K$4:$K$1233="No")*(All_Risk_Apps!$A$4:$A$1233&lt;&gt;"")),113)),"")</f>
        <v/>
      </c>
      <c r="H116" s="7" t="str">
        <f ca="1">IF(B116="","",IFERROR(INDEX(Server_Inventory!$R:$R,MATCH(B116,Server_Inventory!$Z:$Z,0)),"Not Found"))</f>
        <v/>
      </c>
      <c r="I116" s="7" t="str">
        <f ca="1">IF(B116="","",IFERROR(INDEX(Server_Inventory!$S:$S,MATCH(B116,Server_Inventory!$Z:$Z,0)),"Not Found"))</f>
        <v/>
      </c>
      <c r="J116" s="7" t="str">
        <f ca="1">IF(B116="","",COUNTIFS(Server_Inventory!$Z:$Z,B116,Server_Inventory!$P:$P,"R-RETIRED_IN_CMDB"))</f>
        <v/>
      </c>
      <c r="K116" s="7" t="str">
        <f ca="1">IF(B116="","",IFERROR(INDEX(Container_Inventory!$F:$F,MATCH(B116,Container_Inventory!$L:$L,0)),"Not Found"))</f>
        <v/>
      </c>
      <c r="L116" s="7" t="str">
        <f ca="1">IF(B116="","",IF(COUNTIF(Finding_List!$A:$A,B116)&gt;0,"Yes","No"))</f>
        <v/>
      </c>
      <c r="M116" s="7" t="str">
        <f ca="1">IF(B116="","",COUNTIF(Server_Inventory!$Z:$Z,B116))</f>
        <v/>
      </c>
      <c r="N116" s="7" t="str">
        <f ca="1">IF(B116="","",COUNTIF(Container_Inventory!$L:$L,B116))</f>
        <v/>
      </c>
    </row>
    <row r="117" spans="1:14" x14ac:dyDescent="0.2">
      <c r="A11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High"}))*(All_Risk_Apps!$K$4:$K$1233="No")*(All_Risk_Apps!$A$4:$A$1233&lt;&gt;"")),114)),"")</f>
        <v/>
      </c>
      <c r="B11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High"}))*(All_Risk_Apps!$K$4:$K$1233="No")*(All_Risk_Apps!$A$4:$A$1233&lt;&gt;"")),114)),"")</f>
        <v/>
      </c>
      <c r="C11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High"}))*(All_Risk_Apps!$K$4:$K$1233="No")*(All_Risk_Apps!$A$4:$A$1233&lt;&gt;"")),114)),"")</f>
        <v/>
      </c>
      <c r="D11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High"}))*(All_Risk_Apps!$K$4:$K$1233="No")*(All_Risk_Apps!$A$4:$A$1233&lt;&gt;"")),114)),"")</f>
        <v/>
      </c>
      <c r="E11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High"}))*(All_Risk_Apps!$K$4:$K$1233="No")*(All_Risk_Apps!$A$4:$A$1233&lt;&gt;"")),114)),"")</f>
        <v/>
      </c>
      <c r="F11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High"}))*(All_Risk_Apps!$K$4:$K$1233="No")*(All_Risk_Apps!$A$4:$A$1233&lt;&gt;"")),114)),"")</f>
        <v/>
      </c>
      <c r="G11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High"}))*(All_Risk_Apps!$K$4:$K$1233="No")*(All_Risk_Apps!$A$4:$A$1233&lt;&gt;"")),114)),"")</f>
        <v/>
      </c>
      <c r="H117" s="12" t="str">
        <f ca="1">IF(B117="","",IFERROR(INDEX(Server_Inventory!$R:$R,MATCH(B117,Server_Inventory!$Z:$Z,0)),"Not Found"))</f>
        <v/>
      </c>
      <c r="I117" s="12" t="str">
        <f ca="1">IF(B117="","",IFERROR(INDEX(Server_Inventory!$S:$S,MATCH(B117,Server_Inventory!$Z:$Z,0)),"Not Found"))</f>
        <v/>
      </c>
      <c r="J117" s="12" t="str">
        <f ca="1">IF(B117="","",COUNTIFS(Server_Inventory!$Z:$Z,B117,Server_Inventory!$P:$P,"R-RETIRED_IN_CMDB"))</f>
        <v/>
      </c>
      <c r="K117" s="12" t="str">
        <f ca="1">IF(B117="","",IFERROR(INDEX(Container_Inventory!$F:$F,MATCH(B117,Container_Inventory!$L:$L,0)),"Not Found"))</f>
        <v/>
      </c>
      <c r="L117" s="12" t="str">
        <f ca="1">IF(B117="","",IF(COUNTIF(Finding_List!$A:$A,B117)&gt;0,"Yes","No"))</f>
        <v/>
      </c>
      <c r="M117" s="12" t="str">
        <f ca="1">IF(B117="","",COUNTIF(Server_Inventory!$Z:$Z,B117))</f>
        <v/>
      </c>
      <c r="N117" s="12" t="str">
        <f ca="1">IF(B117="","",COUNTIF(Container_Inventory!$L:$L,B117))</f>
        <v/>
      </c>
    </row>
    <row r="118" spans="1:14" x14ac:dyDescent="0.2">
      <c r="A11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High"}))*(All_Risk_Apps!$K$4:$K$1233="No")*(All_Risk_Apps!$A$4:$A$1233&lt;&gt;"")),115)),"")</f>
        <v/>
      </c>
      <c r="B11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High"}))*(All_Risk_Apps!$K$4:$K$1233="No")*(All_Risk_Apps!$A$4:$A$1233&lt;&gt;"")),115)),"")</f>
        <v/>
      </c>
      <c r="C11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High"}))*(All_Risk_Apps!$K$4:$K$1233="No")*(All_Risk_Apps!$A$4:$A$1233&lt;&gt;"")),115)),"")</f>
        <v/>
      </c>
      <c r="D11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High"}))*(All_Risk_Apps!$K$4:$K$1233="No")*(All_Risk_Apps!$A$4:$A$1233&lt;&gt;"")),115)),"")</f>
        <v/>
      </c>
      <c r="E11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High"}))*(All_Risk_Apps!$K$4:$K$1233="No")*(All_Risk_Apps!$A$4:$A$1233&lt;&gt;"")),115)),"")</f>
        <v/>
      </c>
      <c r="F11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High"}))*(All_Risk_Apps!$K$4:$K$1233="No")*(All_Risk_Apps!$A$4:$A$1233&lt;&gt;"")),115)),"")</f>
        <v/>
      </c>
      <c r="G11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High"}))*(All_Risk_Apps!$K$4:$K$1233="No")*(All_Risk_Apps!$A$4:$A$1233&lt;&gt;"")),115)),"")</f>
        <v/>
      </c>
      <c r="H118" s="7" t="str">
        <f ca="1">IF(B118="","",IFERROR(INDEX(Server_Inventory!$R:$R,MATCH(B118,Server_Inventory!$Z:$Z,0)),"Not Found"))</f>
        <v/>
      </c>
      <c r="I118" s="7" t="str">
        <f ca="1">IF(B118="","",IFERROR(INDEX(Server_Inventory!$S:$S,MATCH(B118,Server_Inventory!$Z:$Z,0)),"Not Found"))</f>
        <v/>
      </c>
      <c r="J118" s="7" t="str">
        <f ca="1">IF(B118="","",COUNTIFS(Server_Inventory!$Z:$Z,B118,Server_Inventory!$P:$P,"R-RETIRED_IN_CMDB"))</f>
        <v/>
      </c>
      <c r="K118" s="7" t="str">
        <f ca="1">IF(B118="","",IFERROR(INDEX(Container_Inventory!$F:$F,MATCH(B118,Container_Inventory!$L:$L,0)),"Not Found"))</f>
        <v/>
      </c>
      <c r="L118" s="7" t="str">
        <f ca="1">IF(B118="","",IF(COUNTIF(Finding_List!$A:$A,B118)&gt;0,"Yes","No"))</f>
        <v/>
      </c>
      <c r="M118" s="7" t="str">
        <f ca="1">IF(B118="","",COUNTIF(Server_Inventory!$Z:$Z,B118))</f>
        <v/>
      </c>
      <c r="N118" s="7" t="str">
        <f ca="1">IF(B118="","",COUNTIF(Container_Inventory!$L:$L,B118))</f>
        <v/>
      </c>
    </row>
    <row r="119" spans="1:14" x14ac:dyDescent="0.2">
      <c r="A11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High"}))*(All_Risk_Apps!$K$4:$K$1233="No")*(All_Risk_Apps!$A$4:$A$1233&lt;&gt;"")),116)),"")</f>
        <v/>
      </c>
      <c r="B11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High"}))*(All_Risk_Apps!$K$4:$K$1233="No")*(All_Risk_Apps!$A$4:$A$1233&lt;&gt;"")),116)),"")</f>
        <v/>
      </c>
      <c r="C11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High"}))*(All_Risk_Apps!$K$4:$K$1233="No")*(All_Risk_Apps!$A$4:$A$1233&lt;&gt;"")),116)),"")</f>
        <v/>
      </c>
      <c r="D11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High"}))*(All_Risk_Apps!$K$4:$K$1233="No")*(All_Risk_Apps!$A$4:$A$1233&lt;&gt;"")),116)),"")</f>
        <v/>
      </c>
      <c r="E11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High"}))*(All_Risk_Apps!$K$4:$K$1233="No")*(All_Risk_Apps!$A$4:$A$1233&lt;&gt;"")),116)),"")</f>
        <v/>
      </c>
      <c r="F11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High"}))*(All_Risk_Apps!$K$4:$K$1233="No")*(All_Risk_Apps!$A$4:$A$1233&lt;&gt;"")),116)),"")</f>
        <v/>
      </c>
      <c r="G11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High"}))*(All_Risk_Apps!$K$4:$K$1233="No")*(All_Risk_Apps!$A$4:$A$1233&lt;&gt;"")),116)),"")</f>
        <v/>
      </c>
      <c r="H119" s="12" t="str">
        <f ca="1">IF(B119="","",IFERROR(INDEX(Server_Inventory!$R:$R,MATCH(B119,Server_Inventory!$Z:$Z,0)),"Not Found"))</f>
        <v/>
      </c>
      <c r="I119" s="12" t="str">
        <f ca="1">IF(B119="","",IFERROR(INDEX(Server_Inventory!$S:$S,MATCH(B119,Server_Inventory!$Z:$Z,0)),"Not Found"))</f>
        <v/>
      </c>
      <c r="J119" s="12" t="str">
        <f ca="1">IF(B119="","",COUNTIFS(Server_Inventory!$Z:$Z,B119,Server_Inventory!$P:$P,"R-RETIRED_IN_CMDB"))</f>
        <v/>
      </c>
      <c r="K119" s="12" t="str">
        <f ca="1">IF(B119="","",IFERROR(INDEX(Container_Inventory!$F:$F,MATCH(B119,Container_Inventory!$L:$L,0)),"Not Found"))</f>
        <v/>
      </c>
      <c r="L119" s="12" t="str">
        <f ca="1">IF(B119="","",IF(COUNTIF(Finding_List!$A:$A,B119)&gt;0,"Yes","No"))</f>
        <v/>
      </c>
      <c r="M119" s="12" t="str">
        <f ca="1">IF(B119="","",COUNTIF(Server_Inventory!$Z:$Z,B119))</f>
        <v/>
      </c>
      <c r="N119" s="12" t="str">
        <f ca="1">IF(B119="","",COUNTIF(Container_Inventory!$L:$L,B119))</f>
        <v/>
      </c>
    </row>
    <row r="120" spans="1:14" x14ac:dyDescent="0.2">
      <c r="A12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High"}))*(All_Risk_Apps!$K$4:$K$1233="No")*(All_Risk_Apps!$A$4:$A$1233&lt;&gt;"")),117)),"")</f>
        <v/>
      </c>
      <c r="B12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High"}))*(All_Risk_Apps!$K$4:$K$1233="No")*(All_Risk_Apps!$A$4:$A$1233&lt;&gt;"")),117)),"")</f>
        <v/>
      </c>
      <c r="C12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High"}))*(All_Risk_Apps!$K$4:$K$1233="No")*(All_Risk_Apps!$A$4:$A$1233&lt;&gt;"")),117)),"")</f>
        <v/>
      </c>
      <c r="D12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High"}))*(All_Risk_Apps!$K$4:$K$1233="No")*(All_Risk_Apps!$A$4:$A$1233&lt;&gt;"")),117)),"")</f>
        <v/>
      </c>
      <c r="E12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High"}))*(All_Risk_Apps!$K$4:$K$1233="No")*(All_Risk_Apps!$A$4:$A$1233&lt;&gt;"")),117)),"")</f>
        <v/>
      </c>
      <c r="F12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High"}))*(All_Risk_Apps!$K$4:$K$1233="No")*(All_Risk_Apps!$A$4:$A$1233&lt;&gt;"")),117)),"")</f>
        <v/>
      </c>
      <c r="G12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High"}))*(All_Risk_Apps!$K$4:$K$1233="No")*(All_Risk_Apps!$A$4:$A$1233&lt;&gt;"")),117)),"")</f>
        <v/>
      </c>
      <c r="H120" s="7" t="str">
        <f ca="1">IF(B120="","",IFERROR(INDEX(Server_Inventory!$R:$R,MATCH(B120,Server_Inventory!$Z:$Z,0)),"Not Found"))</f>
        <v/>
      </c>
      <c r="I120" s="7" t="str">
        <f ca="1">IF(B120="","",IFERROR(INDEX(Server_Inventory!$S:$S,MATCH(B120,Server_Inventory!$Z:$Z,0)),"Not Found"))</f>
        <v/>
      </c>
      <c r="J120" s="7" t="str">
        <f ca="1">IF(B120="","",COUNTIFS(Server_Inventory!$Z:$Z,B120,Server_Inventory!$P:$P,"R-RETIRED_IN_CMDB"))</f>
        <v/>
      </c>
      <c r="K120" s="7" t="str">
        <f ca="1">IF(B120="","",IFERROR(INDEX(Container_Inventory!$F:$F,MATCH(B120,Container_Inventory!$L:$L,0)),"Not Found"))</f>
        <v/>
      </c>
      <c r="L120" s="7" t="str">
        <f ca="1">IF(B120="","",IF(COUNTIF(Finding_List!$A:$A,B120)&gt;0,"Yes","No"))</f>
        <v/>
      </c>
      <c r="M120" s="7" t="str">
        <f ca="1">IF(B120="","",COUNTIF(Server_Inventory!$Z:$Z,B120))</f>
        <v/>
      </c>
      <c r="N120" s="7" t="str">
        <f ca="1">IF(B120="","",COUNTIF(Container_Inventory!$L:$L,B120))</f>
        <v/>
      </c>
    </row>
    <row r="121" spans="1:14" x14ac:dyDescent="0.2">
      <c r="A12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High"}))*(All_Risk_Apps!$K$4:$K$1233="No")*(All_Risk_Apps!$A$4:$A$1233&lt;&gt;"")),118)),"")</f>
        <v/>
      </c>
      <c r="B12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High"}))*(All_Risk_Apps!$K$4:$K$1233="No")*(All_Risk_Apps!$A$4:$A$1233&lt;&gt;"")),118)),"")</f>
        <v/>
      </c>
      <c r="C12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High"}))*(All_Risk_Apps!$K$4:$K$1233="No")*(All_Risk_Apps!$A$4:$A$1233&lt;&gt;"")),118)),"")</f>
        <v/>
      </c>
      <c r="D12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High"}))*(All_Risk_Apps!$K$4:$K$1233="No")*(All_Risk_Apps!$A$4:$A$1233&lt;&gt;"")),118)),"")</f>
        <v/>
      </c>
      <c r="E12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High"}))*(All_Risk_Apps!$K$4:$K$1233="No")*(All_Risk_Apps!$A$4:$A$1233&lt;&gt;"")),118)),"")</f>
        <v/>
      </c>
      <c r="F12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High"}))*(All_Risk_Apps!$K$4:$K$1233="No")*(All_Risk_Apps!$A$4:$A$1233&lt;&gt;"")),118)),"")</f>
        <v/>
      </c>
      <c r="G12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High"}))*(All_Risk_Apps!$K$4:$K$1233="No")*(All_Risk_Apps!$A$4:$A$1233&lt;&gt;"")),118)),"")</f>
        <v/>
      </c>
      <c r="H121" s="12" t="str">
        <f ca="1">IF(B121="","",IFERROR(INDEX(Server_Inventory!$R:$R,MATCH(B121,Server_Inventory!$Z:$Z,0)),"Not Found"))</f>
        <v/>
      </c>
      <c r="I121" s="12" t="str">
        <f ca="1">IF(B121="","",IFERROR(INDEX(Server_Inventory!$S:$S,MATCH(B121,Server_Inventory!$Z:$Z,0)),"Not Found"))</f>
        <v/>
      </c>
      <c r="J121" s="12" t="str">
        <f ca="1">IF(B121="","",COUNTIFS(Server_Inventory!$Z:$Z,B121,Server_Inventory!$P:$P,"R-RETIRED_IN_CMDB"))</f>
        <v/>
      </c>
      <c r="K121" s="12" t="str">
        <f ca="1">IF(B121="","",IFERROR(INDEX(Container_Inventory!$F:$F,MATCH(B121,Container_Inventory!$L:$L,0)),"Not Found"))</f>
        <v/>
      </c>
      <c r="L121" s="12" t="str">
        <f ca="1">IF(B121="","",IF(COUNTIF(Finding_List!$A:$A,B121)&gt;0,"Yes","No"))</f>
        <v/>
      </c>
      <c r="M121" s="12" t="str">
        <f ca="1">IF(B121="","",COUNTIF(Server_Inventory!$Z:$Z,B121))</f>
        <v/>
      </c>
      <c r="N121" s="12" t="str">
        <f ca="1">IF(B121="","",COUNTIF(Container_Inventory!$L:$L,B121))</f>
        <v/>
      </c>
    </row>
    <row r="122" spans="1:14" x14ac:dyDescent="0.2">
      <c r="A12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High"}))*(All_Risk_Apps!$K$4:$K$1233="No")*(All_Risk_Apps!$A$4:$A$1233&lt;&gt;"")),119)),"")</f>
        <v/>
      </c>
      <c r="B12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High"}))*(All_Risk_Apps!$K$4:$K$1233="No")*(All_Risk_Apps!$A$4:$A$1233&lt;&gt;"")),119)),"")</f>
        <v/>
      </c>
      <c r="C12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High"}))*(All_Risk_Apps!$K$4:$K$1233="No")*(All_Risk_Apps!$A$4:$A$1233&lt;&gt;"")),119)),"")</f>
        <v/>
      </c>
      <c r="D12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High"}))*(All_Risk_Apps!$K$4:$K$1233="No")*(All_Risk_Apps!$A$4:$A$1233&lt;&gt;"")),119)),"")</f>
        <v/>
      </c>
      <c r="E12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High"}))*(All_Risk_Apps!$K$4:$K$1233="No")*(All_Risk_Apps!$A$4:$A$1233&lt;&gt;"")),119)),"")</f>
        <v/>
      </c>
      <c r="F12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High"}))*(All_Risk_Apps!$K$4:$K$1233="No")*(All_Risk_Apps!$A$4:$A$1233&lt;&gt;"")),119)),"")</f>
        <v/>
      </c>
      <c r="G12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High"}))*(All_Risk_Apps!$K$4:$K$1233="No")*(All_Risk_Apps!$A$4:$A$1233&lt;&gt;"")),119)),"")</f>
        <v/>
      </c>
      <c r="H122" s="7" t="str">
        <f ca="1">IF(B122="","",IFERROR(INDEX(Server_Inventory!$R:$R,MATCH(B122,Server_Inventory!$Z:$Z,0)),"Not Found"))</f>
        <v/>
      </c>
      <c r="I122" s="7" t="str">
        <f ca="1">IF(B122="","",IFERROR(INDEX(Server_Inventory!$S:$S,MATCH(B122,Server_Inventory!$Z:$Z,0)),"Not Found"))</f>
        <v/>
      </c>
      <c r="J122" s="7" t="str">
        <f ca="1">IF(B122="","",COUNTIFS(Server_Inventory!$Z:$Z,B122,Server_Inventory!$P:$P,"R-RETIRED_IN_CMDB"))</f>
        <v/>
      </c>
      <c r="K122" s="7" t="str">
        <f ca="1">IF(B122="","",IFERROR(INDEX(Container_Inventory!$F:$F,MATCH(B122,Container_Inventory!$L:$L,0)),"Not Found"))</f>
        <v/>
      </c>
      <c r="L122" s="7" t="str">
        <f ca="1">IF(B122="","",IF(COUNTIF(Finding_List!$A:$A,B122)&gt;0,"Yes","No"))</f>
        <v/>
      </c>
      <c r="M122" s="7" t="str">
        <f ca="1">IF(B122="","",COUNTIF(Server_Inventory!$Z:$Z,B122))</f>
        <v/>
      </c>
      <c r="N122" s="7" t="str">
        <f ca="1">IF(B122="","",COUNTIF(Container_Inventory!$L:$L,B122))</f>
        <v/>
      </c>
    </row>
    <row r="123" spans="1:14" x14ac:dyDescent="0.2">
      <c r="A12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High"}))*(All_Risk_Apps!$K$4:$K$1233="No")*(All_Risk_Apps!$A$4:$A$1233&lt;&gt;"")),120)),"")</f>
        <v/>
      </c>
      <c r="B12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High"}))*(All_Risk_Apps!$K$4:$K$1233="No")*(All_Risk_Apps!$A$4:$A$1233&lt;&gt;"")),120)),"")</f>
        <v/>
      </c>
      <c r="C12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High"}))*(All_Risk_Apps!$K$4:$K$1233="No")*(All_Risk_Apps!$A$4:$A$1233&lt;&gt;"")),120)),"")</f>
        <v/>
      </c>
      <c r="D12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High"}))*(All_Risk_Apps!$K$4:$K$1233="No")*(All_Risk_Apps!$A$4:$A$1233&lt;&gt;"")),120)),"")</f>
        <v/>
      </c>
      <c r="E12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High"}))*(All_Risk_Apps!$K$4:$K$1233="No")*(All_Risk_Apps!$A$4:$A$1233&lt;&gt;"")),120)),"")</f>
        <v/>
      </c>
      <c r="F12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High"}))*(All_Risk_Apps!$K$4:$K$1233="No")*(All_Risk_Apps!$A$4:$A$1233&lt;&gt;"")),120)),"")</f>
        <v/>
      </c>
      <c r="G12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High"}))*(All_Risk_Apps!$K$4:$K$1233="No")*(All_Risk_Apps!$A$4:$A$1233&lt;&gt;"")),120)),"")</f>
        <v/>
      </c>
      <c r="H123" s="12" t="str">
        <f ca="1">IF(B123="","",IFERROR(INDEX(Server_Inventory!$R:$R,MATCH(B123,Server_Inventory!$Z:$Z,0)),"Not Found"))</f>
        <v/>
      </c>
      <c r="I123" s="12" t="str">
        <f ca="1">IF(B123="","",IFERROR(INDEX(Server_Inventory!$S:$S,MATCH(B123,Server_Inventory!$Z:$Z,0)),"Not Found"))</f>
        <v/>
      </c>
      <c r="J123" s="12" t="str">
        <f ca="1">IF(B123="","",COUNTIFS(Server_Inventory!$Z:$Z,B123,Server_Inventory!$P:$P,"R-RETIRED_IN_CMDB"))</f>
        <v/>
      </c>
      <c r="K123" s="12" t="str">
        <f ca="1">IF(B123="","",IFERROR(INDEX(Container_Inventory!$F:$F,MATCH(B123,Container_Inventory!$L:$L,0)),"Not Found"))</f>
        <v/>
      </c>
      <c r="L123" s="12" t="str">
        <f ca="1">IF(B123="","",IF(COUNTIF(Finding_List!$A:$A,B123)&gt;0,"Yes","No"))</f>
        <v/>
      </c>
      <c r="M123" s="12" t="str">
        <f ca="1">IF(B123="","",COUNTIF(Server_Inventory!$Z:$Z,B123))</f>
        <v/>
      </c>
      <c r="N123" s="12" t="str">
        <f ca="1">IF(B123="","",COUNTIF(Container_Inventory!$L:$L,B123))</f>
        <v/>
      </c>
    </row>
    <row r="124" spans="1:14" x14ac:dyDescent="0.2">
      <c r="A12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High"}))*(All_Risk_Apps!$K$4:$K$1233="No")*(All_Risk_Apps!$A$4:$A$1233&lt;&gt;"")),121)),"")</f>
        <v/>
      </c>
      <c r="B12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High"}))*(All_Risk_Apps!$K$4:$K$1233="No")*(All_Risk_Apps!$A$4:$A$1233&lt;&gt;"")),121)),"")</f>
        <v/>
      </c>
      <c r="C12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High"}))*(All_Risk_Apps!$K$4:$K$1233="No")*(All_Risk_Apps!$A$4:$A$1233&lt;&gt;"")),121)),"")</f>
        <v/>
      </c>
      <c r="D12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High"}))*(All_Risk_Apps!$K$4:$K$1233="No")*(All_Risk_Apps!$A$4:$A$1233&lt;&gt;"")),121)),"")</f>
        <v/>
      </c>
      <c r="E12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High"}))*(All_Risk_Apps!$K$4:$K$1233="No")*(All_Risk_Apps!$A$4:$A$1233&lt;&gt;"")),121)),"")</f>
        <v/>
      </c>
      <c r="F12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High"}))*(All_Risk_Apps!$K$4:$K$1233="No")*(All_Risk_Apps!$A$4:$A$1233&lt;&gt;"")),121)),"")</f>
        <v/>
      </c>
      <c r="G12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High"}))*(All_Risk_Apps!$K$4:$K$1233="No")*(All_Risk_Apps!$A$4:$A$1233&lt;&gt;"")),121)),"")</f>
        <v/>
      </c>
      <c r="H124" s="7" t="str">
        <f ca="1">IF(B124="","",IFERROR(INDEX(Server_Inventory!$R:$R,MATCH(B124,Server_Inventory!$Z:$Z,0)),"Not Found"))</f>
        <v/>
      </c>
      <c r="I124" s="7" t="str">
        <f ca="1">IF(B124="","",IFERROR(INDEX(Server_Inventory!$S:$S,MATCH(B124,Server_Inventory!$Z:$Z,0)),"Not Found"))</f>
        <v/>
      </c>
      <c r="J124" s="7" t="str">
        <f ca="1">IF(B124="","",COUNTIFS(Server_Inventory!$Z:$Z,B124,Server_Inventory!$P:$P,"R-RETIRED_IN_CMDB"))</f>
        <v/>
      </c>
      <c r="K124" s="7" t="str">
        <f ca="1">IF(B124="","",IFERROR(INDEX(Container_Inventory!$F:$F,MATCH(B124,Container_Inventory!$L:$L,0)),"Not Found"))</f>
        <v/>
      </c>
      <c r="L124" s="7" t="str">
        <f ca="1">IF(B124="","",IF(COUNTIF(Finding_List!$A:$A,B124)&gt;0,"Yes","No"))</f>
        <v/>
      </c>
      <c r="M124" s="7" t="str">
        <f ca="1">IF(B124="","",COUNTIF(Server_Inventory!$Z:$Z,B124))</f>
        <v/>
      </c>
      <c r="N124" s="7" t="str">
        <f ca="1">IF(B124="","",COUNTIF(Container_Inventory!$L:$L,B124))</f>
        <v/>
      </c>
    </row>
    <row r="125" spans="1:14" x14ac:dyDescent="0.2">
      <c r="A12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High"}))*(All_Risk_Apps!$K$4:$K$1233="No")*(All_Risk_Apps!$A$4:$A$1233&lt;&gt;"")),122)),"")</f>
        <v/>
      </c>
      <c r="B12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High"}))*(All_Risk_Apps!$K$4:$K$1233="No")*(All_Risk_Apps!$A$4:$A$1233&lt;&gt;"")),122)),"")</f>
        <v/>
      </c>
      <c r="C12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High"}))*(All_Risk_Apps!$K$4:$K$1233="No")*(All_Risk_Apps!$A$4:$A$1233&lt;&gt;"")),122)),"")</f>
        <v/>
      </c>
      <c r="D12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High"}))*(All_Risk_Apps!$K$4:$K$1233="No")*(All_Risk_Apps!$A$4:$A$1233&lt;&gt;"")),122)),"")</f>
        <v/>
      </c>
      <c r="E12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High"}))*(All_Risk_Apps!$K$4:$K$1233="No")*(All_Risk_Apps!$A$4:$A$1233&lt;&gt;"")),122)),"")</f>
        <v/>
      </c>
      <c r="F12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High"}))*(All_Risk_Apps!$K$4:$K$1233="No")*(All_Risk_Apps!$A$4:$A$1233&lt;&gt;"")),122)),"")</f>
        <v/>
      </c>
      <c r="G12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High"}))*(All_Risk_Apps!$K$4:$K$1233="No")*(All_Risk_Apps!$A$4:$A$1233&lt;&gt;"")),122)),"")</f>
        <v/>
      </c>
      <c r="H125" s="12" t="str">
        <f ca="1">IF(B125="","",IFERROR(INDEX(Server_Inventory!$R:$R,MATCH(B125,Server_Inventory!$Z:$Z,0)),"Not Found"))</f>
        <v/>
      </c>
      <c r="I125" s="12" t="str">
        <f ca="1">IF(B125="","",IFERROR(INDEX(Server_Inventory!$S:$S,MATCH(B125,Server_Inventory!$Z:$Z,0)),"Not Found"))</f>
        <v/>
      </c>
      <c r="J125" s="12" t="str">
        <f ca="1">IF(B125="","",COUNTIFS(Server_Inventory!$Z:$Z,B125,Server_Inventory!$P:$P,"R-RETIRED_IN_CMDB"))</f>
        <v/>
      </c>
      <c r="K125" s="12" t="str">
        <f ca="1">IF(B125="","",IFERROR(INDEX(Container_Inventory!$F:$F,MATCH(B125,Container_Inventory!$L:$L,0)),"Not Found"))</f>
        <v/>
      </c>
      <c r="L125" s="12" t="str">
        <f ca="1">IF(B125="","",IF(COUNTIF(Finding_List!$A:$A,B125)&gt;0,"Yes","No"))</f>
        <v/>
      </c>
      <c r="M125" s="12" t="str">
        <f ca="1">IF(B125="","",COUNTIF(Server_Inventory!$Z:$Z,B125))</f>
        <v/>
      </c>
      <c r="N125" s="12" t="str">
        <f ca="1">IF(B125="","",COUNTIF(Container_Inventory!$L:$L,B125))</f>
        <v/>
      </c>
    </row>
    <row r="126" spans="1:14" x14ac:dyDescent="0.2">
      <c r="A12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High"}))*(All_Risk_Apps!$K$4:$K$1233="No")*(All_Risk_Apps!$A$4:$A$1233&lt;&gt;"")),123)),"")</f>
        <v/>
      </c>
      <c r="B12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High"}))*(All_Risk_Apps!$K$4:$K$1233="No")*(All_Risk_Apps!$A$4:$A$1233&lt;&gt;"")),123)),"")</f>
        <v/>
      </c>
      <c r="C12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High"}))*(All_Risk_Apps!$K$4:$K$1233="No")*(All_Risk_Apps!$A$4:$A$1233&lt;&gt;"")),123)),"")</f>
        <v/>
      </c>
      <c r="D12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High"}))*(All_Risk_Apps!$K$4:$K$1233="No")*(All_Risk_Apps!$A$4:$A$1233&lt;&gt;"")),123)),"")</f>
        <v/>
      </c>
      <c r="E12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High"}))*(All_Risk_Apps!$K$4:$K$1233="No")*(All_Risk_Apps!$A$4:$A$1233&lt;&gt;"")),123)),"")</f>
        <v/>
      </c>
      <c r="F12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High"}))*(All_Risk_Apps!$K$4:$K$1233="No")*(All_Risk_Apps!$A$4:$A$1233&lt;&gt;"")),123)),"")</f>
        <v/>
      </c>
      <c r="G12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High"}))*(All_Risk_Apps!$K$4:$K$1233="No")*(All_Risk_Apps!$A$4:$A$1233&lt;&gt;"")),123)),"")</f>
        <v/>
      </c>
      <c r="H126" s="7" t="str">
        <f ca="1">IF(B126="","",IFERROR(INDEX(Server_Inventory!$R:$R,MATCH(B126,Server_Inventory!$Z:$Z,0)),"Not Found"))</f>
        <v/>
      </c>
      <c r="I126" s="7" t="str">
        <f ca="1">IF(B126="","",IFERROR(INDEX(Server_Inventory!$S:$S,MATCH(B126,Server_Inventory!$Z:$Z,0)),"Not Found"))</f>
        <v/>
      </c>
      <c r="J126" s="7" t="str">
        <f ca="1">IF(B126="","",COUNTIFS(Server_Inventory!$Z:$Z,B126,Server_Inventory!$P:$P,"R-RETIRED_IN_CMDB"))</f>
        <v/>
      </c>
      <c r="K126" s="7" t="str">
        <f ca="1">IF(B126="","",IFERROR(INDEX(Container_Inventory!$F:$F,MATCH(B126,Container_Inventory!$L:$L,0)),"Not Found"))</f>
        <v/>
      </c>
      <c r="L126" s="7" t="str">
        <f ca="1">IF(B126="","",IF(COUNTIF(Finding_List!$A:$A,B126)&gt;0,"Yes","No"))</f>
        <v/>
      </c>
      <c r="M126" s="7" t="str">
        <f ca="1">IF(B126="","",COUNTIF(Server_Inventory!$Z:$Z,B126))</f>
        <v/>
      </c>
      <c r="N126" s="7" t="str">
        <f ca="1">IF(B126="","",COUNTIF(Container_Inventory!$L:$L,B126))</f>
        <v/>
      </c>
    </row>
    <row r="127" spans="1:14" x14ac:dyDescent="0.2">
      <c r="A12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High"}))*(All_Risk_Apps!$K$4:$K$1233="No")*(All_Risk_Apps!$A$4:$A$1233&lt;&gt;"")),124)),"")</f>
        <v/>
      </c>
      <c r="B12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High"}))*(All_Risk_Apps!$K$4:$K$1233="No")*(All_Risk_Apps!$A$4:$A$1233&lt;&gt;"")),124)),"")</f>
        <v/>
      </c>
      <c r="C12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High"}))*(All_Risk_Apps!$K$4:$K$1233="No")*(All_Risk_Apps!$A$4:$A$1233&lt;&gt;"")),124)),"")</f>
        <v/>
      </c>
      <c r="D12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High"}))*(All_Risk_Apps!$K$4:$K$1233="No")*(All_Risk_Apps!$A$4:$A$1233&lt;&gt;"")),124)),"")</f>
        <v/>
      </c>
      <c r="E12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High"}))*(All_Risk_Apps!$K$4:$K$1233="No")*(All_Risk_Apps!$A$4:$A$1233&lt;&gt;"")),124)),"")</f>
        <v/>
      </c>
      <c r="F12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High"}))*(All_Risk_Apps!$K$4:$K$1233="No")*(All_Risk_Apps!$A$4:$A$1233&lt;&gt;"")),124)),"")</f>
        <v/>
      </c>
      <c r="G12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High"}))*(All_Risk_Apps!$K$4:$K$1233="No")*(All_Risk_Apps!$A$4:$A$1233&lt;&gt;"")),124)),"")</f>
        <v/>
      </c>
      <c r="H127" s="12" t="str">
        <f ca="1">IF(B127="","",IFERROR(INDEX(Server_Inventory!$R:$R,MATCH(B127,Server_Inventory!$Z:$Z,0)),"Not Found"))</f>
        <v/>
      </c>
      <c r="I127" s="12" t="str">
        <f ca="1">IF(B127="","",IFERROR(INDEX(Server_Inventory!$S:$S,MATCH(B127,Server_Inventory!$Z:$Z,0)),"Not Found"))</f>
        <v/>
      </c>
      <c r="J127" s="12" t="str">
        <f ca="1">IF(B127="","",COUNTIFS(Server_Inventory!$Z:$Z,B127,Server_Inventory!$P:$P,"R-RETIRED_IN_CMDB"))</f>
        <v/>
      </c>
      <c r="K127" s="12" t="str">
        <f ca="1">IF(B127="","",IFERROR(INDEX(Container_Inventory!$F:$F,MATCH(B127,Container_Inventory!$L:$L,0)),"Not Found"))</f>
        <v/>
      </c>
      <c r="L127" s="12" t="str">
        <f ca="1">IF(B127="","",IF(COUNTIF(Finding_List!$A:$A,B127)&gt;0,"Yes","No"))</f>
        <v/>
      </c>
      <c r="M127" s="12" t="str">
        <f ca="1">IF(B127="","",COUNTIF(Server_Inventory!$Z:$Z,B127))</f>
        <v/>
      </c>
      <c r="N127" s="12" t="str">
        <f ca="1">IF(B127="","",COUNTIF(Container_Inventory!$L:$L,B127))</f>
        <v/>
      </c>
    </row>
    <row r="128" spans="1:14" x14ac:dyDescent="0.2">
      <c r="A12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High"}))*(All_Risk_Apps!$K$4:$K$1233="No")*(All_Risk_Apps!$A$4:$A$1233&lt;&gt;"")),125)),"")</f>
        <v/>
      </c>
      <c r="B12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High"}))*(All_Risk_Apps!$K$4:$K$1233="No")*(All_Risk_Apps!$A$4:$A$1233&lt;&gt;"")),125)),"")</f>
        <v/>
      </c>
      <c r="C12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High"}))*(All_Risk_Apps!$K$4:$K$1233="No")*(All_Risk_Apps!$A$4:$A$1233&lt;&gt;"")),125)),"")</f>
        <v/>
      </c>
      <c r="D12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High"}))*(All_Risk_Apps!$K$4:$K$1233="No")*(All_Risk_Apps!$A$4:$A$1233&lt;&gt;"")),125)),"")</f>
        <v/>
      </c>
      <c r="E12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High"}))*(All_Risk_Apps!$K$4:$K$1233="No")*(All_Risk_Apps!$A$4:$A$1233&lt;&gt;"")),125)),"")</f>
        <v/>
      </c>
      <c r="F12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High"}))*(All_Risk_Apps!$K$4:$K$1233="No")*(All_Risk_Apps!$A$4:$A$1233&lt;&gt;"")),125)),"")</f>
        <v/>
      </c>
      <c r="G12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High"}))*(All_Risk_Apps!$K$4:$K$1233="No")*(All_Risk_Apps!$A$4:$A$1233&lt;&gt;"")),125)),"")</f>
        <v/>
      </c>
      <c r="H128" s="7" t="str">
        <f ca="1">IF(B128="","",IFERROR(INDEX(Server_Inventory!$R:$R,MATCH(B128,Server_Inventory!$Z:$Z,0)),"Not Found"))</f>
        <v/>
      </c>
      <c r="I128" s="7" t="str">
        <f ca="1">IF(B128="","",IFERROR(INDEX(Server_Inventory!$S:$S,MATCH(B128,Server_Inventory!$Z:$Z,0)),"Not Found"))</f>
        <v/>
      </c>
      <c r="J128" s="7" t="str">
        <f ca="1">IF(B128="","",COUNTIFS(Server_Inventory!$Z:$Z,B128,Server_Inventory!$P:$P,"R-RETIRED_IN_CMDB"))</f>
        <v/>
      </c>
      <c r="K128" s="7" t="str">
        <f ca="1">IF(B128="","",IFERROR(INDEX(Container_Inventory!$F:$F,MATCH(B128,Container_Inventory!$L:$L,0)),"Not Found"))</f>
        <v/>
      </c>
      <c r="L128" s="7" t="str">
        <f ca="1">IF(B128="","",IF(COUNTIF(Finding_List!$A:$A,B128)&gt;0,"Yes","No"))</f>
        <v/>
      </c>
      <c r="M128" s="7" t="str">
        <f ca="1">IF(B128="","",COUNTIF(Server_Inventory!$Z:$Z,B128))</f>
        <v/>
      </c>
      <c r="N128" s="7" t="str">
        <f ca="1">IF(B128="","",COUNTIF(Container_Inventory!$L:$L,B128))</f>
        <v/>
      </c>
    </row>
    <row r="129" spans="1:14" x14ac:dyDescent="0.2">
      <c r="A12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High"}))*(All_Risk_Apps!$K$4:$K$1233="No")*(All_Risk_Apps!$A$4:$A$1233&lt;&gt;"")),126)),"")</f>
        <v/>
      </c>
      <c r="B12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High"}))*(All_Risk_Apps!$K$4:$K$1233="No")*(All_Risk_Apps!$A$4:$A$1233&lt;&gt;"")),126)),"")</f>
        <v/>
      </c>
      <c r="C12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High"}))*(All_Risk_Apps!$K$4:$K$1233="No")*(All_Risk_Apps!$A$4:$A$1233&lt;&gt;"")),126)),"")</f>
        <v/>
      </c>
      <c r="D12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High"}))*(All_Risk_Apps!$K$4:$K$1233="No")*(All_Risk_Apps!$A$4:$A$1233&lt;&gt;"")),126)),"")</f>
        <v/>
      </c>
      <c r="E12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High"}))*(All_Risk_Apps!$K$4:$K$1233="No")*(All_Risk_Apps!$A$4:$A$1233&lt;&gt;"")),126)),"")</f>
        <v/>
      </c>
      <c r="F12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High"}))*(All_Risk_Apps!$K$4:$K$1233="No")*(All_Risk_Apps!$A$4:$A$1233&lt;&gt;"")),126)),"")</f>
        <v/>
      </c>
      <c r="G12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High"}))*(All_Risk_Apps!$K$4:$K$1233="No")*(All_Risk_Apps!$A$4:$A$1233&lt;&gt;"")),126)),"")</f>
        <v/>
      </c>
      <c r="H129" s="12" t="str">
        <f ca="1">IF(B129="","",IFERROR(INDEX(Server_Inventory!$R:$R,MATCH(B129,Server_Inventory!$Z:$Z,0)),"Not Found"))</f>
        <v/>
      </c>
      <c r="I129" s="12" t="str">
        <f ca="1">IF(B129="","",IFERROR(INDEX(Server_Inventory!$S:$S,MATCH(B129,Server_Inventory!$Z:$Z,0)),"Not Found"))</f>
        <v/>
      </c>
      <c r="J129" s="12" t="str">
        <f ca="1">IF(B129="","",COUNTIFS(Server_Inventory!$Z:$Z,B129,Server_Inventory!$P:$P,"R-RETIRED_IN_CMDB"))</f>
        <v/>
      </c>
      <c r="K129" s="12" t="str">
        <f ca="1">IF(B129="","",IFERROR(INDEX(Container_Inventory!$F:$F,MATCH(B129,Container_Inventory!$L:$L,0)),"Not Found"))</f>
        <v/>
      </c>
      <c r="L129" s="12" t="str">
        <f ca="1">IF(B129="","",IF(COUNTIF(Finding_List!$A:$A,B129)&gt;0,"Yes","No"))</f>
        <v/>
      </c>
      <c r="M129" s="12" t="str">
        <f ca="1">IF(B129="","",COUNTIF(Server_Inventory!$Z:$Z,B129))</f>
        <v/>
      </c>
      <c r="N129" s="12" t="str">
        <f ca="1">IF(B129="","",COUNTIF(Container_Inventory!$L:$L,B129))</f>
        <v/>
      </c>
    </row>
    <row r="130" spans="1:14" x14ac:dyDescent="0.2">
      <c r="A13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High"}))*(All_Risk_Apps!$K$4:$K$1233="No")*(All_Risk_Apps!$A$4:$A$1233&lt;&gt;"")),127)),"")</f>
        <v/>
      </c>
      <c r="B13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High"}))*(All_Risk_Apps!$K$4:$K$1233="No")*(All_Risk_Apps!$A$4:$A$1233&lt;&gt;"")),127)),"")</f>
        <v/>
      </c>
      <c r="C13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High"}))*(All_Risk_Apps!$K$4:$K$1233="No")*(All_Risk_Apps!$A$4:$A$1233&lt;&gt;"")),127)),"")</f>
        <v/>
      </c>
      <c r="D13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High"}))*(All_Risk_Apps!$K$4:$K$1233="No")*(All_Risk_Apps!$A$4:$A$1233&lt;&gt;"")),127)),"")</f>
        <v/>
      </c>
      <c r="E13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High"}))*(All_Risk_Apps!$K$4:$K$1233="No")*(All_Risk_Apps!$A$4:$A$1233&lt;&gt;"")),127)),"")</f>
        <v/>
      </c>
      <c r="F13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High"}))*(All_Risk_Apps!$K$4:$K$1233="No")*(All_Risk_Apps!$A$4:$A$1233&lt;&gt;"")),127)),"")</f>
        <v/>
      </c>
      <c r="G13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High"}))*(All_Risk_Apps!$K$4:$K$1233="No")*(All_Risk_Apps!$A$4:$A$1233&lt;&gt;"")),127)),"")</f>
        <v/>
      </c>
      <c r="H130" s="7" t="str">
        <f ca="1">IF(B130="","",IFERROR(INDEX(Server_Inventory!$R:$R,MATCH(B130,Server_Inventory!$Z:$Z,0)),"Not Found"))</f>
        <v/>
      </c>
      <c r="I130" s="7" t="str">
        <f ca="1">IF(B130="","",IFERROR(INDEX(Server_Inventory!$S:$S,MATCH(B130,Server_Inventory!$Z:$Z,0)),"Not Found"))</f>
        <v/>
      </c>
      <c r="J130" s="7" t="str">
        <f ca="1">IF(B130="","",COUNTIFS(Server_Inventory!$Z:$Z,B130,Server_Inventory!$P:$P,"R-RETIRED_IN_CMDB"))</f>
        <v/>
      </c>
      <c r="K130" s="7" t="str">
        <f ca="1">IF(B130="","",IFERROR(INDEX(Container_Inventory!$F:$F,MATCH(B130,Container_Inventory!$L:$L,0)),"Not Found"))</f>
        <v/>
      </c>
      <c r="L130" s="7" t="str">
        <f ca="1">IF(B130="","",IF(COUNTIF(Finding_List!$A:$A,B130)&gt;0,"Yes","No"))</f>
        <v/>
      </c>
      <c r="M130" s="7" t="str">
        <f ca="1">IF(B130="","",COUNTIF(Server_Inventory!$Z:$Z,B130))</f>
        <v/>
      </c>
      <c r="N130" s="7" t="str">
        <f ca="1">IF(B130="","",COUNTIF(Container_Inventory!$L:$L,B130))</f>
        <v/>
      </c>
    </row>
    <row r="131" spans="1:14" x14ac:dyDescent="0.2">
      <c r="A13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High"}))*(All_Risk_Apps!$K$4:$K$1233="No")*(All_Risk_Apps!$A$4:$A$1233&lt;&gt;"")),128)),"")</f>
        <v/>
      </c>
      <c r="B13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High"}))*(All_Risk_Apps!$K$4:$K$1233="No")*(All_Risk_Apps!$A$4:$A$1233&lt;&gt;"")),128)),"")</f>
        <v/>
      </c>
      <c r="C13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High"}))*(All_Risk_Apps!$K$4:$K$1233="No")*(All_Risk_Apps!$A$4:$A$1233&lt;&gt;"")),128)),"")</f>
        <v/>
      </c>
      <c r="D13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High"}))*(All_Risk_Apps!$K$4:$K$1233="No")*(All_Risk_Apps!$A$4:$A$1233&lt;&gt;"")),128)),"")</f>
        <v/>
      </c>
      <c r="E13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High"}))*(All_Risk_Apps!$K$4:$K$1233="No")*(All_Risk_Apps!$A$4:$A$1233&lt;&gt;"")),128)),"")</f>
        <v/>
      </c>
      <c r="F13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High"}))*(All_Risk_Apps!$K$4:$K$1233="No")*(All_Risk_Apps!$A$4:$A$1233&lt;&gt;"")),128)),"")</f>
        <v/>
      </c>
      <c r="G13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High"}))*(All_Risk_Apps!$K$4:$K$1233="No")*(All_Risk_Apps!$A$4:$A$1233&lt;&gt;"")),128)),"")</f>
        <v/>
      </c>
      <c r="H131" s="12" t="str">
        <f ca="1">IF(B131="","",IFERROR(INDEX(Server_Inventory!$R:$R,MATCH(B131,Server_Inventory!$Z:$Z,0)),"Not Found"))</f>
        <v/>
      </c>
      <c r="I131" s="12" t="str">
        <f ca="1">IF(B131="","",IFERROR(INDEX(Server_Inventory!$S:$S,MATCH(B131,Server_Inventory!$Z:$Z,0)),"Not Found"))</f>
        <v/>
      </c>
      <c r="J131" s="12" t="str">
        <f ca="1">IF(B131="","",COUNTIFS(Server_Inventory!$Z:$Z,B131,Server_Inventory!$P:$P,"R-RETIRED_IN_CMDB"))</f>
        <v/>
      </c>
      <c r="K131" s="12" t="str">
        <f ca="1">IF(B131="","",IFERROR(INDEX(Container_Inventory!$F:$F,MATCH(B131,Container_Inventory!$L:$L,0)),"Not Found"))</f>
        <v/>
      </c>
      <c r="L131" s="12" t="str">
        <f ca="1">IF(B131="","",IF(COUNTIF(Finding_List!$A:$A,B131)&gt;0,"Yes","No"))</f>
        <v/>
      </c>
      <c r="M131" s="12" t="str">
        <f ca="1">IF(B131="","",COUNTIF(Server_Inventory!$Z:$Z,B131))</f>
        <v/>
      </c>
      <c r="N131" s="12" t="str">
        <f ca="1">IF(B131="","",COUNTIF(Container_Inventory!$L:$L,B131))</f>
        <v/>
      </c>
    </row>
    <row r="132" spans="1:14" x14ac:dyDescent="0.2">
      <c r="A13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High"}))*(All_Risk_Apps!$K$4:$K$1233="No")*(All_Risk_Apps!$A$4:$A$1233&lt;&gt;"")),129)),"")</f>
        <v/>
      </c>
      <c r="B13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High"}))*(All_Risk_Apps!$K$4:$K$1233="No")*(All_Risk_Apps!$A$4:$A$1233&lt;&gt;"")),129)),"")</f>
        <v/>
      </c>
      <c r="C13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High"}))*(All_Risk_Apps!$K$4:$K$1233="No")*(All_Risk_Apps!$A$4:$A$1233&lt;&gt;"")),129)),"")</f>
        <v/>
      </c>
      <c r="D13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High"}))*(All_Risk_Apps!$K$4:$K$1233="No")*(All_Risk_Apps!$A$4:$A$1233&lt;&gt;"")),129)),"")</f>
        <v/>
      </c>
      <c r="E13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High"}))*(All_Risk_Apps!$K$4:$K$1233="No")*(All_Risk_Apps!$A$4:$A$1233&lt;&gt;"")),129)),"")</f>
        <v/>
      </c>
      <c r="F13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High"}))*(All_Risk_Apps!$K$4:$K$1233="No")*(All_Risk_Apps!$A$4:$A$1233&lt;&gt;"")),129)),"")</f>
        <v/>
      </c>
      <c r="G13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High"}))*(All_Risk_Apps!$K$4:$K$1233="No")*(All_Risk_Apps!$A$4:$A$1233&lt;&gt;"")),129)),"")</f>
        <v/>
      </c>
      <c r="H132" s="7" t="str">
        <f ca="1">IF(B132="","",IFERROR(INDEX(Server_Inventory!$R:$R,MATCH(B132,Server_Inventory!$Z:$Z,0)),"Not Found"))</f>
        <v/>
      </c>
      <c r="I132" s="7" t="str">
        <f ca="1">IF(B132="","",IFERROR(INDEX(Server_Inventory!$S:$S,MATCH(B132,Server_Inventory!$Z:$Z,0)),"Not Found"))</f>
        <v/>
      </c>
      <c r="J132" s="7" t="str">
        <f ca="1">IF(B132="","",COUNTIFS(Server_Inventory!$Z:$Z,B132,Server_Inventory!$P:$P,"R-RETIRED_IN_CMDB"))</f>
        <v/>
      </c>
      <c r="K132" s="7" t="str">
        <f ca="1">IF(B132="","",IFERROR(INDEX(Container_Inventory!$F:$F,MATCH(B132,Container_Inventory!$L:$L,0)),"Not Found"))</f>
        <v/>
      </c>
      <c r="L132" s="7" t="str">
        <f ca="1">IF(B132="","",IF(COUNTIF(Finding_List!$A:$A,B132)&gt;0,"Yes","No"))</f>
        <v/>
      </c>
      <c r="M132" s="7" t="str">
        <f ca="1">IF(B132="","",COUNTIF(Server_Inventory!$Z:$Z,B132))</f>
        <v/>
      </c>
      <c r="N132" s="7" t="str">
        <f ca="1">IF(B132="","",COUNTIF(Container_Inventory!$L:$L,B132))</f>
        <v/>
      </c>
    </row>
    <row r="133" spans="1:14" x14ac:dyDescent="0.2">
      <c r="A13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High"}))*(All_Risk_Apps!$K$4:$K$1233="No")*(All_Risk_Apps!$A$4:$A$1233&lt;&gt;"")),130)),"")</f>
        <v/>
      </c>
      <c r="B13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High"}))*(All_Risk_Apps!$K$4:$K$1233="No")*(All_Risk_Apps!$A$4:$A$1233&lt;&gt;"")),130)),"")</f>
        <v/>
      </c>
      <c r="C13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High"}))*(All_Risk_Apps!$K$4:$K$1233="No")*(All_Risk_Apps!$A$4:$A$1233&lt;&gt;"")),130)),"")</f>
        <v/>
      </c>
      <c r="D13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High"}))*(All_Risk_Apps!$K$4:$K$1233="No")*(All_Risk_Apps!$A$4:$A$1233&lt;&gt;"")),130)),"")</f>
        <v/>
      </c>
      <c r="E13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High"}))*(All_Risk_Apps!$K$4:$K$1233="No")*(All_Risk_Apps!$A$4:$A$1233&lt;&gt;"")),130)),"")</f>
        <v/>
      </c>
      <c r="F13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High"}))*(All_Risk_Apps!$K$4:$K$1233="No")*(All_Risk_Apps!$A$4:$A$1233&lt;&gt;"")),130)),"")</f>
        <v/>
      </c>
      <c r="G13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High"}))*(All_Risk_Apps!$K$4:$K$1233="No")*(All_Risk_Apps!$A$4:$A$1233&lt;&gt;"")),130)),"")</f>
        <v/>
      </c>
      <c r="H133" s="12" t="str">
        <f ca="1">IF(B133="","",IFERROR(INDEX(Server_Inventory!$R:$R,MATCH(B133,Server_Inventory!$Z:$Z,0)),"Not Found"))</f>
        <v/>
      </c>
      <c r="I133" s="12" t="str">
        <f ca="1">IF(B133="","",IFERROR(INDEX(Server_Inventory!$S:$S,MATCH(B133,Server_Inventory!$Z:$Z,0)),"Not Found"))</f>
        <v/>
      </c>
      <c r="J133" s="12" t="str">
        <f ca="1">IF(B133="","",COUNTIFS(Server_Inventory!$Z:$Z,B133,Server_Inventory!$P:$P,"R-RETIRED_IN_CMDB"))</f>
        <v/>
      </c>
      <c r="K133" s="12" t="str">
        <f ca="1">IF(B133="","",IFERROR(INDEX(Container_Inventory!$F:$F,MATCH(B133,Container_Inventory!$L:$L,0)),"Not Found"))</f>
        <v/>
      </c>
      <c r="L133" s="12" t="str">
        <f ca="1">IF(B133="","",IF(COUNTIF(Finding_List!$A:$A,B133)&gt;0,"Yes","No"))</f>
        <v/>
      </c>
      <c r="M133" s="12" t="str">
        <f ca="1">IF(B133="","",COUNTIF(Server_Inventory!$Z:$Z,B133))</f>
        <v/>
      </c>
      <c r="N133" s="12" t="str">
        <f ca="1">IF(B133="","",COUNTIF(Container_Inventory!$L:$L,B133))</f>
        <v/>
      </c>
    </row>
    <row r="134" spans="1:14" x14ac:dyDescent="0.2">
      <c r="A13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High"}))*(All_Risk_Apps!$K$4:$K$1233="No")*(All_Risk_Apps!$A$4:$A$1233&lt;&gt;"")),131)),"")</f>
        <v/>
      </c>
      <c r="B13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High"}))*(All_Risk_Apps!$K$4:$K$1233="No")*(All_Risk_Apps!$A$4:$A$1233&lt;&gt;"")),131)),"")</f>
        <v/>
      </c>
      <c r="C13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High"}))*(All_Risk_Apps!$K$4:$K$1233="No")*(All_Risk_Apps!$A$4:$A$1233&lt;&gt;"")),131)),"")</f>
        <v/>
      </c>
      <c r="D13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High"}))*(All_Risk_Apps!$K$4:$K$1233="No")*(All_Risk_Apps!$A$4:$A$1233&lt;&gt;"")),131)),"")</f>
        <v/>
      </c>
      <c r="E13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High"}))*(All_Risk_Apps!$K$4:$K$1233="No")*(All_Risk_Apps!$A$4:$A$1233&lt;&gt;"")),131)),"")</f>
        <v/>
      </c>
      <c r="F13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High"}))*(All_Risk_Apps!$K$4:$K$1233="No")*(All_Risk_Apps!$A$4:$A$1233&lt;&gt;"")),131)),"")</f>
        <v/>
      </c>
      <c r="G13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High"}))*(All_Risk_Apps!$K$4:$K$1233="No")*(All_Risk_Apps!$A$4:$A$1233&lt;&gt;"")),131)),"")</f>
        <v/>
      </c>
      <c r="H134" s="7" t="str">
        <f ca="1">IF(B134="","",IFERROR(INDEX(Server_Inventory!$R:$R,MATCH(B134,Server_Inventory!$Z:$Z,0)),"Not Found"))</f>
        <v/>
      </c>
      <c r="I134" s="7" t="str">
        <f ca="1">IF(B134="","",IFERROR(INDEX(Server_Inventory!$S:$S,MATCH(B134,Server_Inventory!$Z:$Z,0)),"Not Found"))</f>
        <v/>
      </c>
      <c r="J134" s="7" t="str">
        <f ca="1">IF(B134="","",COUNTIFS(Server_Inventory!$Z:$Z,B134,Server_Inventory!$P:$P,"R-RETIRED_IN_CMDB"))</f>
        <v/>
      </c>
      <c r="K134" s="7" t="str">
        <f ca="1">IF(B134="","",IFERROR(INDEX(Container_Inventory!$F:$F,MATCH(B134,Container_Inventory!$L:$L,0)),"Not Found"))</f>
        <v/>
      </c>
      <c r="L134" s="7" t="str">
        <f ca="1">IF(B134="","",IF(COUNTIF(Finding_List!$A:$A,B134)&gt;0,"Yes","No"))</f>
        <v/>
      </c>
      <c r="M134" s="7" t="str">
        <f ca="1">IF(B134="","",COUNTIF(Server_Inventory!$Z:$Z,B134))</f>
        <v/>
      </c>
      <c r="N134" s="7" t="str">
        <f ca="1">IF(B134="","",COUNTIF(Container_Inventory!$L:$L,B134))</f>
        <v/>
      </c>
    </row>
    <row r="135" spans="1:14" x14ac:dyDescent="0.2">
      <c r="A13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High"}))*(All_Risk_Apps!$K$4:$K$1233="No")*(All_Risk_Apps!$A$4:$A$1233&lt;&gt;"")),132)),"")</f>
        <v/>
      </c>
      <c r="B13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High"}))*(All_Risk_Apps!$K$4:$K$1233="No")*(All_Risk_Apps!$A$4:$A$1233&lt;&gt;"")),132)),"")</f>
        <v/>
      </c>
      <c r="C13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High"}))*(All_Risk_Apps!$K$4:$K$1233="No")*(All_Risk_Apps!$A$4:$A$1233&lt;&gt;"")),132)),"")</f>
        <v/>
      </c>
      <c r="D13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High"}))*(All_Risk_Apps!$K$4:$K$1233="No")*(All_Risk_Apps!$A$4:$A$1233&lt;&gt;"")),132)),"")</f>
        <v/>
      </c>
      <c r="E13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High"}))*(All_Risk_Apps!$K$4:$K$1233="No")*(All_Risk_Apps!$A$4:$A$1233&lt;&gt;"")),132)),"")</f>
        <v/>
      </c>
      <c r="F13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High"}))*(All_Risk_Apps!$K$4:$K$1233="No")*(All_Risk_Apps!$A$4:$A$1233&lt;&gt;"")),132)),"")</f>
        <v/>
      </c>
      <c r="G13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High"}))*(All_Risk_Apps!$K$4:$K$1233="No")*(All_Risk_Apps!$A$4:$A$1233&lt;&gt;"")),132)),"")</f>
        <v/>
      </c>
      <c r="H135" s="12" t="str">
        <f ca="1">IF(B135="","",IFERROR(INDEX(Server_Inventory!$R:$R,MATCH(B135,Server_Inventory!$Z:$Z,0)),"Not Found"))</f>
        <v/>
      </c>
      <c r="I135" s="12" t="str">
        <f ca="1">IF(B135="","",IFERROR(INDEX(Server_Inventory!$S:$S,MATCH(B135,Server_Inventory!$Z:$Z,0)),"Not Found"))</f>
        <v/>
      </c>
      <c r="J135" s="12" t="str">
        <f ca="1">IF(B135="","",COUNTIFS(Server_Inventory!$Z:$Z,B135,Server_Inventory!$P:$P,"R-RETIRED_IN_CMDB"))</f>
        <v/>
      </c>
      <c r="K135" s="12" t="str">
        <f ca="1">IF(B135="","",IFERROR(INDEX(Container_Inventory!$F:$F,MATCH(B135,Container_Inventory!$L:$L,0)),"Not Found"))</f>
        <v/>
      </c>
      <c r="L135" s="12" t="str">
        <f ca="1">IF(B135="","",IF(COUNTIF(Finding_List!$A:$A,B135)&gt;0,"Yes","No"))</f>
        <v/>
      </c>
      <c r="M135" s="12" t="str">
        <f ca="1">IF(B135="","",COUNTIF(Server_Inventory!$Z:$Z,B135))</f>
        <v/>
      </c>
      <c r="N135" s="12" t="str">
        <f ca="1">IF(B135="","",COUNTIF(Container_Inventory!$L:$L,B135))</f>
        <v/>
      </c>
    </row>
    <row r="136" spans="1:14" x14ac:dyDescent="0.2">
      <c r="A13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High"}))*(All_Risk_Apps!$K$4:$K$1233="No")*(All_Risk_Apps!$A$4:$A$1233&lt;&gt;"")),133)),"")</f>
        <v/>
      </c>
      <c r="B13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High"}))*(All_Risk_Apps!$K$4:$K$1233="No")*(All_Risk_Apps!$A$4:$A$1233&lt;&gt;"")),133)),"")</f>
        <v/>
      </c>
      <c r="C13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High"}))*(All_Risk_Apps!$K$4:$K$1233="No")*(All_Risk_Apps!$A$4:$A$1233&lt;&gt;"")),133)),"")</f>
        <v/>
      </c>
      <c r="D13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High"}))*(All_Risk_Apps!$K$4:$K$1233="No")*(All_Risk_Apps!$A$4:$A$1233&lt;&gt;"")),133)),"")</f>
        <v/>
      </c>
      <c r="E13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High"}))*(All_Risk_Apps!$K$4:$K$1233="No")*(All_Risk_Apps!$A$4:$A$1233&lt;&gt;"")),133)),"")</f>
        <v/>
      </c>
      <c r="F13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High"}))*(All_Risk_Apps!$K$4:$K$1233="No")*(All_Risk_Apps!$A$4:$A$1233&lt;&gt;"")),133)),"")</f>
        <v/>
      </c>
      <c r="G13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High"}))*(All_Risk_Apps!$K$4:$K$1233="No")*(All_Risk_Apps!$A$4:$A$1233&lt;&gt;"")),133)),"")</f>
        <v/>
      </c>
      <c r="H136" s="7" t="str">
        <f ca="1">IF(B136="","",IFERROR(INDEX(Server_Inventory!$R:$R,MATCH(B136,Server_Inventory!$Z:$Z,0)),"Not Found"))</f>
        <v/>
      </c>
      <c r="I136" s="7" t="str">
        <f ca="1">IF(B136="","",IFERROR(INDEX(Server_Inventory!$S:$S,MATCH(B136,Server_Inventory!$Z:$Z,0)),"Not Found"))</f>
        <v/>
      </c>
      <c r="J136" s="7" t="str">
        <f ca="1">IF(B136="","",COUNTIFS(Server_Inventory!$Z:$Z,B136,Server_Inventory!$P:$P,"R-RETIRED_IN_CMDB"))</f>
        <v/>
      </c>
      <c r="K136" s="7" t="str">
        <f ca="1">IF(B136="","",IFERROR(INDEX(Container_Inventory!$F:$F,MATCH(B136,Container_Inventory!$L:$L,0)),"Not Found"))</f>
        <v/>
      </c>
      <c r="L136" s="7" t="str">
        <f ca="1">IF(B136="","",IF(COUNTIF(Finding_List!$A:$A,B136)&gt;0,"Yes","No"))</f>
        <v/>
      </c>
      <c r="M136" s="7" t="str">
        <f ca="1">IF(B136="","",COUNTIF(Server_Inventory!$Z:$Z,B136))</f>
        <v/>
      </c>
      <c r="N136" s="7" t="str">
        <f ca="1">IF(B136="","",COUNTIF(Container_Inventory!$L:$L,B136))</f>
        <v/>
      </c>
    </row>
    <row r="137" spans="1:14" x14ac:dyDescent="0.2">
      <c r="A13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High"}))*(All_Risk_Apps!$K$4:$K$1233="No")*(All_Risk_Apps!$A$4:$A$1233&lt;&gt;"")),134)),"")</f>
        <v/>
      </c>
      <c r="B13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High"}))*(All_Risk_Apps!$K$4:$K$1233="No")*(All_Risk_Apps!$A$4:$A$1233&lt;&gt;"")),134)),"")</f>
        <v/>
      </c>
      <c r="C13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High"}))*(All_Risk_Apps!$K$4:$K$1233="No")*(All_Risk_Apps!$A$4:$A$1233&lt;&gt;"")),134)),"")</f>
        <v/>
      </c>
      <c r="D13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High"}))*(All_Risk_Apps!$K$4:$K$1233="No")*(All_Risk_Apps!$A$4:$A$1233&lt;&gt;"")),134)),"")</f>
        <v/>
      </c>
      <c r="E13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High"}))*(All_Risk_Apps!$K$4:$K$1233="No")*(All_Risk_Apps!$A$4:$A$1233&lt;&gt;"")),134)),"")</f>
        <v/>
      </c>
      <c r="F13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High"}))*(All_Risk_Apps!$K$4:$K$1233="No")*(All_Risk_Apps!$A$4:$A$1233&lt;&gt;"")),134)),"")</f>
        <v/>
      </c>
      <c r="G13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High"}))*(All_Risk_Apps!$K$4:$K$1233="No")*(All_Risk_Apps!$A$4:$A$1233&lt;&gt;"")),134)),"")</f>
        <v/>
      </c>
      <c r="H137" s="12" t="str">
        <f ca="1">IF(B137="","",IFERROR(INDEX(Server_Inventory!$R:$R,MATCH(B137,Server_Inventory!$Z:$Z,0)),"Not Found"))</f>
        <v/>
      </c>
      <c r="I137" s="12" t="str">
        <f ca="1">IF(B137="","",IFERROR(INDEX(Server_Inventory!$S:$S,MATCH(B137,Server_Inventory!$Z:$Z,0)),"Not Found"))</f>
        <v/>
      </c>
      <c r="J137" s="12" t="str">
        <f ca="1">IF(B137="","",COUNTIFS(Server_Inventory!$Z:$Z,B137,Server_Inventory!$P:$P,"R-RETIRED_IN_CMDB"))</f>
        <v/>
      </c>
      <c r="K137" s="12" t="str">
        <f ca="1">IF(B137="","",IFERROR(INDEX(Container_Inventory!$F:$F,MATCH(B137,Container_Inventory!$L:$L,0)),"Not Found"))</f>
        <v/>
      </c>
      <c r="L137" s="12" t="str">
        <f ca="1">IF(B137="","",IF(COUNTIF(Finding_List!$A:$A,B137)&gt;0,"Yes","No"))</f>
        <v/>
      </c>
      <c r="M137" s="12" t="str">
        <f ca="1">IF(B137="","",COUNTIF(Server_Inventory!$Z:$Z,B137))</f>
        <v/>
      </c>
      <c r="N137" s="12" t="str">
        <f ca="1">IF(B137="","",COUNTIF(Container_Inventory!$L:$L,B137))</f>
        <v/>
      </c>
    </row>
    <row r="138" spans="1:14" x14ac:dyDescent="0.2">
      <c r="A13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High"}))*(All_Risk_Apps!$K$4:$K$1233="No")*(All_Risk_Apps!$A$4:$A$1233&lt;&gt;"")),135)),"")</f>
        <v/>
      </c>
      <c r="B13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High"}))*(All_Risk_Apps!$K$4:$K$1233="No")*(All_Risk_Apps!$A$4:$A$1233&lt;&gt;"")),135)),"")</f>
        <v/>
      </c>
      <c r="C13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High"}))*(All_Risk_Apps!$K$4:$K$1233="No")*(All_Risk_Apps!$A$4:$A$1233&lt;&gt;"")),135)),"")</f>
        <v/>
      </c>
      <c r="D13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High"}))*(All_Risk_Apps!$K$4:$K$1233="No")*(All_Risk_Apps!$A$4:$A$1233&lt;&gt;"")),135)),"")</f>
        <v/>
      </c>
      <c r="E13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High"}))*(All_Risk_Apps!$K$4:$K$1233="No")*(All_Risk_Apps!$A$4:$A$1233&lt;&gt;"")),135)),"")</f>
        <v/>
      </c>
      <c r="F13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High"}))*(All_Risk_Apps!$K$4:$K$1233="No")*(All_Risk_Apps!$A$4:$A$1233&lt;&gt;"")),135)),"")</f>
        <v/>
      </c>
      <c r="G13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High"}))*(All_Risk_Apps!$K$4:$K$1233="No")*(All_Risk_Apps!$A$4:$A$1233&lt;&gt;"")),135)),"")</f>
        <v/>
      </c>
      <c r="H138" s="7" t="str">
        <f ca="1">IF(B138="","",IFERROR(INDEX(Server_Inventory!$R:$R,MATCH(B138,Server_Inventory!$Z:$Z,0)),"Not Found"))</f>
        <v/>
      </c>
      <c r="I138" s="7" t="str">
        <f ca="1">IF(B138="","",IFERROR(INDEX(Server_Inventory!$S:$S,MATCH(B138,Server_Inventory!$Z:$Z,0)),"Not Found"))</f>
        <v/>
      </c>
      <c r="J138" s="7" t="str">
        <f ca="1">IF(B138="","",COUNTIFS(Server_Inventory!$Z:$Z,B138,Server_Inventory!$P:$P,"R-RETIRED_IN_CMDB"))</f>
        <v/>
      </c>
      <c r="K138" s="7" t="str">
        <f ca="1">IF(B138="","",IFERROR(INDEX(Container_Inventory!$F:$F,MATCH(B138,Container_Inventory!$L:$L,0)),"Not Found"))</f>
        <v/>
      </c>
      <c r="L138" s="7" t="str">
        <f ca="1">IF(B138="","",IF(COUNTIF(Finding_List!$A:$A,B138)&gt;0,"Yes","No"))</f>
        <v/>
      </c>
      <c r="M138" s="7" t="str">
        <f ca="1">IF(B138="","",COUNTIF(Server_Inventory!$Z:$Z,B138))</f>
        <v/>
      </c>
      <c r="N138" s="7" t="str">
        <f ca="1">IF(B138="","",COUNTIF(Container_Inventory!$L:$L,B138))</f>
        <v/>
      </c>
    </row>
    <row r="139" spans="1:14" x14ac:dyDescent="0.2">
      <c r="A13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High"}))*(All_Risk_Apps!$K$4:$K$1233="No")*(All_Risk_Apps!$A$4:$A$1233&lt;&gt;"")),136)),"")</f>
        <v/>
      </c>
      <c r="B13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High"}))*(All_Risk_Apps!$K$4:$K$1233="No")*(All_Risk_Apps!$A$4:$A$1233&lt;&gt;"")),136)),"")</f>
        <v/>
      </c>
      <c r="C13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High"}))*(All_Risk_Apps!$K$4:$K$1233="No")*(All_Risk_Apps!$A$4:$A$1233&lt;&gt;"")),136)),"")</f>
        <v/>
      </c>
      <c r="D13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High"}))*(All_Risk_Apps!$K$4:$K$1233="No")*(All_Risk_Apps!$A$4:$A$1233&lt;&gt;"")),136)),"")</f>
        <v/>
      </c>
      <c r="E13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High"}))*(All_Risk_Apps!$K$4:$K$1233="No")*(All_Risk_Apps!$A$4:$A$1233&lt;&gt;"")),136)),"")</f>
        <v/>
      </c>
      <c r="F13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High"}))*(All_Risk_Apps!$K$4:$K$1233="No")*(All_Risk_Apps!$A$4:$A$1233&lt;&gt;"")),136)),"")</f>
        <v/>
      </c>
      <c r="G13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High"}))*(All_Risk_Apps!$K$4:$K$1233="No")*(All_Risk_Apps!$A$4:$A$1233&lt;&gt;"")),136)),"")</f>
        <v/>
      </c>
      <c r="H139" s="12" t="str">
        <f ca="1">IF(B139="","",IFERROR(INDEX(Server_Inventory!$R:$R,MATCH(B139,Server_Inventory!$Z:$Z,0)),"Not Found"))</f>
        <v/>
      </c>
      <c r="I139" s="12" t="str">
        <f ca="1">IF(B139="","",IFERROR(INDEX(Server_Inventory!$S:$S,MATCH(B139,Server_Inventory!$Z:$Z,0)),"Not Found"))</f>
        <v/>
      </c>
      <c r="J139" s="12" t="str">
        <f ca="1">IF(B139="","",COUNTIFS(Server_Inventory!$Z:$Z,B139,Server_Inventory!$P:$P,"R-RETIRED_IN_CMDB"))</f>
        <v/>
      </c>
      <c r="K139" s="12" t="str">
        <f ca="1">IF(B139="","",IFERROR(INDEX(Container_Inventory!$F:$F,MATCH(B139,Container_Inventory!$L:$L,0)),"Not Found"))</f>
        <v/>
      </c>
      <c r="L139" s="12" t="str">
        <f ca="1">IF(B139="","",IF(COUNTIF(Finding_List!$A:$A,B139)&gt;0,"Yes","No"))</f>
        <v/>
      </c>
      <c r="M139" s="12" t="str">
        <f ca="1">IF(B139="","",COUNTIF(Server_Inventory!$Z:$Z,B139))</f>
        <v/>
      </c>
      <c r="N139" s="12" t="str">
        <f ca="1">IF(B139="","",COUNTIF(Container_Inventory!$L:$L,B139))</f>
        <v/>
      </c>
    </row>
    <row r="140" spans="1:14" x14ac:dyDescent="0.2">
      <c r="A14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High"}))*(All_Risk_Apps!$K$4:$K$1233="No")*(All_Risk_Apps!$A$4:$A$1233&lt;&gt;"")),137)),"")</f>
        <v/>
      </c>
      <c r="B14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High"}))*(All_Risk_Apps!$K$4:$K$1233="No")*(All_Risk_Apps!$A$4:$A$1233&lt;&gt;"")),137)),"")</f>
        <v/>
      </c>
      <c r="C14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High"}))*(All_Risk_Apps!$K$4:$K$1233="No")*(All_Risk_Apps!$A$4:$A$1233&lt;&gt;"")),137)),"")</f>
        <v/>
      </c>
      <c r="D14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High"}))*(All_Risk_Apps!$K$4:$K$1233="No")*(All_Risk_Apps!$A$4:$A$1233&lt;&gt;"")),137)),"")</f>
        <v/>
      </c>
      <c r="E14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High"}))*(All_Risk_Apps!$K$4:$K$1233="No")*(All_Risk_Apps!$A$4:$A$1233&lt;&gt;"")),137)),"")</f>
        <v/>
      </c>
      <c r="F14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High"}))*(All_Risk_Apps!$K$4:$K$1233="No")*(All_Risk_Apps!$A$4:$A$1233&lt;&gt;"")),137)),"")</f>
        <v/>
      </c>
      <c r="G14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High"}))*(All_Risk_Apps!$K$4:$K$1233="No")*(All_Risk_Apps!$A$4:$A$1233&lt;&gt;"")),137)),"")</f>
        <v/>
      </c>
      <c r="H140" s="7" t="str">
        <f ca="1">IF(B140="","",IFERROR(INDEX(Server_Inventory!$R:$R,MATCH(B140,Server_Inventory!$Z:$Z,0)),"Not Found"))</f>
        <v/>
      </c>
      <c r="I140" s="7" t="str">
        <f ca="1">IF(B140="","",IFERROR(INDEX(Server_Inventory!$S:$S,MATCH(B140,Server_Inventory!$Z:$Z,0)),"Not Found"))</f>
        <v/>
      </c>
      <c r="J140" s="7" t="str">
        <f ca="1">IF(B140="","",COUNTIFS(Server_Inventory!$Z:$Z,B140,Server_Inventory!$P:$P,"R-RETIRED_IN_CMDB"))</f>
        <v/>
      </c>
      <c r="K140" s="7" t="str">
        <f ca="1">IF(B140="","",IFERROR(INDEX(Container_Inventory!$F:$F,MATCH(B140,Container_Inventory!$L:$L,0)),"Not Found"))</f>
        <v/>
      </c>
      <c r="L140" s="7" t="str">
        <f ca="1">IF(B140="","",IF(COUNTIF(Finding_List!$A:$A,B140)&gt;0,"Yes","No"))</f>
        <v/>
      </c>
      <c r="M140" s="7" t="str">
        <f ca="1">IF(B140="","",COUNTIF(Server_Inventory!$Z:$Z,B140))</f>
        <v/>
      </c>
      <c r="N140" s="7" t="str">
        <f ca="1">IF(B140="","",COUNTIF(Container_Inventory!$L:$L,B140))</f>
        <v/>
      </c>
    </row>
    <row r="141" spans="1:14" x14ac:dyDescent="0.2">
      <c r="A14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High"}))*(All_Risk_Apps!$K$4:$K$1233="No")*(All_Risk_Apps!$A$4:$A$1233&lt;&gt;"")),138)),"")</f>
        <v/>
      </c>
      <c r="B14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High"}))*(All_Risk_Apps!$K$4:$K$1233="No")*(All_Risk_Apps!$A$4:$A$1233&lt;&gt;"")),138)),"")</f>
        <v/>
      </c>
      <c r="C14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High"}))*(All_Risk_Apps!$K$4:$K$1233="No")*(All_Risk_Apps!$A$4:$A$1233&lt;&gt;"")),138)),"")</f>
        <v/>
      </c>
      <c r="D14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High"}))*(All_Risk_Apps!$K$4:$K$1233="No")*(All_Risk_Apps!$A$4:$A$1233&lt;&gt;"")),138)),"")</f>
        <v/>
      </c>
      <c r="E14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High"}))*(All_Risk_Apps!$K$4:$K$1233="No")*(All_Risk_Apps!$A$4:$A$1233&lt;&gt;"")),138)),"")</f>
        <v/>
      </c>
      <c r="F14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High"}))*(All_Risk_Apps!$K$4:$K$1233="No")*(All_Risk_Apps!$A$4:$A$1233&lt;&gt;"")),138)),"")</f>
        <v/>
      </c>
      <c r="G14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High"}))*(All_Risk_Apps!$K$4:$K$1233="No")*(All_Risk_Apps!$A$4:$A$1233&lt;&gt;"")),138)),"")</f>
        <v/>
      </c>
      <c r="H141" s="12" t="str">
        <f ca="1">IF(B141="","",IFERROR(INDEX(Server_Inventory!$R:$R,MATCH(B141,Server_Inventory!$Z:$Z,0)),"Not Found"))</f>
        <v/>
      </c>
      <c r="I141" s="12" t="str">
        <f ca="1">IF(B141="","",IFERROR(INDEX(Server_Inventory!$S:$S,MATCH(B141,Server_Inventory!$Z:$Z,0)),"Not Found"))</f>
        <v/>
      </c>
      <c r="J141" s="12" t="str">
        <f ca="1">IF(B141="","",COUNTIFS(Server_Inventory!$Z:$Z,B141,Server_Inventory!$P:$P,"R-RETIRED_IN_CMDB"))</f>
        <v/>
      </c>
      <c r="K141" s="12" t="str">
        <f ca="1">IF(B141="","",IFERROR(INDEX(Container_Inventory!$F:$F,MATCH(B141,Container_Inventory!$L:$L,0)),"Not Found"))</f>
        <v/>
      </c>
      <c r="L141" s="12" t="str">
        <f ca="1">IF(B141="","",IF(COUNTIF(Finding_List!$A:$A,B141)&gt;0,"Yes","No"))</f>
        <v/>
      </c>
      <c r="M141" s="12" t="str">
        <f ca="1">IF(B141="","",COUNTIF(Server_Inventory!$Z:$Z,B141))</f>
        <v/>
      </c>
      <c r="N141" s="12" t="str">
        <f ca="1">IF(B141="","",COUNTIF(Container_Inventory!$L:$L,B141))</f>
        <v/>
      </c>
    </row>
    <row r="142" spans="1:14" x14ac:dyDescent="0.2">
      <c r="A14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High"}))*(All_Risk_Apps!$K$4:$K$1233="No")*(All_Risk_Apps!$A$4:$A$1233&lt;&gt;"")),139)),"")</f>
        <v/>
      </c>
      <c r="B14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High"}))*(All_Risk_Apps!$K$4:$K$1233="No")*(All_Risk_Apps!$A$4:$A$1233&lt;&gt;"")),139)),"")</f>
        <v/>
      </c>
      <c r="C14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High"}))*(All_Risk_Apps!$K$4:$K$1233="No")*(All_Risk_Apps!$A$4:$A$1233&lt;&gt;"")),139)),"")</f>
        <v/>
      </c>
      <c r="D14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High"}))*(All_Risk_Apps!$K$4:$K$1233="No")*(All_Risk_Apps!$A$4:$A$1233&lt;&gt;"")),139)),"")</f>
        <v/>
      </c>
      <c r="E14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High"}))*(All_Risk_Apps!$K$4:$K$1233="No")*(All_Risk_Apps!$A$4:$A$1233&lt;&gt;"")),139)),"")</f>
        <v/>
      </c>
      <c r="F14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High"}))*(All_Risk_Apps!$K$4:$K$1233="No")*(All_Risk_Apps!$A$4:$A$1233&lt;&gt;"")),139)),"")</f>
        <v/>
      </c>
      <c r="G14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High"}))*(All_Risk_Apps!$K$4:$K$1233="No")*(All_Risk_Apps!$A$4:$A$1233&lt;&gt;"")),139)),"")</f>
        <v/>
      </c>
      <c r="H142" s="7" t="str">
        <f ca="1">IF(B142="","",IFERROR(INDEX(Server_Inventory!$R:$R,MATCH(B142,Server_Inventory!$Z:$Z,0)),"Not Found"))</f>
        <v/>
      </c>
      <c r="I142" s="7" t="str">
        <f ca="1">IF(B142="","",IFERROR(INDEX(Server_Inventory!$S:$S,MATCH(B142,Server_Inventory!$Z:$Z,0)),"Not Found"))</f>
        <v/>
      </c>
      <c r="J142" s="7" t="str">
        <f ca="1">IF(B142="","",COUNTIFS(Server_Inventory!$Z:$Z,B142,Server_Inventory!$P:$P,"R-RETIRED_IN_CMDB"))</f>
        <v/>
      </c>
      <c r="K142" s="7" t="str">
        <f ca="1">IF(B142="","",IFERROR(INDEX(Container_Inventory!$F:$F,MATCH(B142,Container_Inventory!$L:$L,0)),"Not Found"))</f>
        <v/>
      </c>
      <c r="L142" s="7" t="str">
        <f ca="1">IF(B142="","",IF(COUNTIF(Finding_List!$A:$A,B142)&gt;0,"Yes","No"))</f>
        <v/>
      </c>
      <c r="M142" s="7" t="str">
        <f ca="1">IF(B142="","",COUNTIF(Server_Inventory!$Z:$Z,B142))</f>
        <v/>
      </c>
      <c r="N142" s="7" t="str">
        <f ca="1">IF(B142="","",COUNTIF(Container_Inventory!$L:$L,B142))</f>
        <v/>
      </c>
    </row>
    <row r="143" spans="1:14" x14ac:dyDescent="0.2">
      <c r="A14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High"}))*(All_Risk_Apps!$K$4:$K$1233="No")*(All_Risk_Apps!$A$4:$A$1233&lt;&gt;"")),140)),"")</f>
        <v/>
      </c>
      <c r="B14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High"}))*(All_Risk_Apps!$K$4:$K$1233="No")*(All_Risk_Apps!$A$4:$A$1233&lt;&gt;"")),140)),"")</f>
        <v/>
      </c>
      <c r="C14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High"}))*(All_Risk_Apps!$K$4:$K$1233="No")*(All_Risk_Apps!$A$4:$A$1233&lt;&gt;"")),140)),"")</f>
        <v/>
      </c>
      <c r="D14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High"}))*(All_Risk_Apps!$K$4:$K$1233="No")*(All_Risk_Apps!$A$4:$A$1233&lt;&gt;"")),140)),"")</f>
        <v/>
      </c>
      <c r="E14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High"}))*(All_Risk_Apps!$K$4:$K$1233="No")*(All_Risk_Apps!$A$4:$A$1233&lt;&gt;"")),140)),"")</f>
        <v/>
      </c>
      <c r="F14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High"}))*(All_Risk_Apps!$K$4:$K$1233="No")*(All_Risk_Apps!$A$4:$A$1233&lt;&gt;"")),140)),"")</f>
        <v/>
      </c>
      <c r="G14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High"}))*(All_Risk_Apps!$K$4:$K$1233="No")*(All_Risk_Apps!$A$4:$A$1233&lt;&gt;"")),140)),"")</f>
        <v/>
      </c>
      <c r="H143" s="12" t="str">
        <f ca="1">IF(B143="","",IFERROR(INDEX(Server_Inventory!$R:$R,MATCH(B143,Server_Inventory!$Z:$Z,0)),"Not Found"))</f>
        <v/>
      </c>
      <c r="I143" s="12" t="str">
        <f ca="1">IF(B143="","",IFERROR(INDEX(Server_Inventory!$S:$S,MATCH(B143,Server_Inventory!$Z:$Z,0)),"Not Found"))</f>
        <v/>
      </c>
      <c r="J143" s="12" t="str">
        <f ca="1">IF(B143="","",COUNTIFS(Server_Inventory!$Z:$Z,B143,Server_Inventory!$P:$P,"R-RETIRED_IN_CMDB"))</f>
        <v/>
      </c>
      <c r="K143" s="12" t="str">
        <f ca="1">IF(B143="","",IFERROR(INDEX(Container_Inventory!$F:$F,MATCH(B143,Container_Inventory!$L:$L,0)),"Not Found"))</f>
        <v/>
      </c>
      <c r="L143" s="12" t="str">
        <f ca="1">IF(B143="","",IF(COUNTIF(Finding_List!$A:$A,B143)&gt;0,"Yes","No"))</f>
        <v/>
      </c>
      <c r="M143" s="12" t="str">
        <f ca="1">IF(B143="","",COUNTIF(Server_Inventory!$Z:$Z,B143))</f>
        <v/>
      </c>
      <c r="N143" s="12" t="str">
        <f ca="1">IF(B143="","",COUNTIF(Container_Inventory!$L:$L,B143))</f>
        <v/>
      </c>
    </row>
    <row r="144" spans="1:14" x14ac:dyDescent="0.2">
      <c r="A14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High"}))*(All_Risk_Apps!$K$4:$K$1233="No")*(All_Risk_Apps!$A$4:$A$1233&lt;&gt;"")),141)),"")</f>
        <v/>
      </c>
      <c r="B14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High"}))*(All_Risk_Apps!$K$4:$K$1233="No")*(All_Risk_Apps!$A$4:$A$1233&lt;&gt;"")),141)),"")</f>
        <v/>
      </c>
      <c r="C14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High"}))*(All_Risk_Apps!$K$4:$K$1233="No")*(All_Risk_Apps!$A$4:$A$1233&lt;&gt;"")),141)),"")</f>
        <v/>
      </c>
      <c r="D14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High"}))*(All_Risk_Apps!$K$4:$K$1233="No")*(All_Risk_Apps!$A$4:$A$1233&lt;&gt;"")),141)),"")</f>
        <v/>
      </c>
      <c r="E14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High"}))*(All_Risk_Apps!$K$4:$K$1233="No")*(All_Risk_Apps!$A$4:$A$1233&lt;&gt;"")),141)),"")</f>
        <v/>
      </c>
      <c r="F14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High"}))*(All_Risk_Apps!$K$4:$K$1233="No")*(All_Risk_Apps!$A$4:$A$1233&lt;&gt;"")),141)),"")</f>
        <v/>
      </c>
      <c r="G14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High"}))*(All_Risk_Apps!$K$4:$K$1233="No")*(All_Risk_Apps!$A$4:$A$1233&lt;&gt;"")),141)),"")</f>
        <v/>
      </c>
      <c r="H144" s="7" t="str">
        <f ca="1">IF(B144="","",IFERROR(INDEX(Server_Inventory!$R:$R,MATCH(B144,Server_Inventory!$Z:$Z,0)),"Not Found"))</f>
        <v/>
      </c>
      <c r="I144" s="7" t="str">
        <f ca="1">IF(B144="","",IFERROR(INDEX(Server_Inventory!$S:$S,MATCH(B144,Server_Inventory!$Z:$Z,0)),"Not Found"))</f>
        <v/>
      </c>
      <c r="J144" s="7" t="str">
        <f ca="1">IF(B144="","",COUNTIFS(Server_Inventory!$Z:$Z,B144,Server_Inventory!$P:$P,"R-RETIRED_IN_CMDB"))</f>
        <v/>
      </c>
      <c r="K144" s="7" t="str">
        <f ca="1">IF(B144="","",IFERROR(INDEX(Container_Inventory!$F:$F,MATCH(B144,Container_Inventory!$L:$L,0)),"Not Found"))</f>
        <v/>
      </c>
      <c r="L144" s="7" t="str">
        <f ca="1">IF(B144="","",IF(COUNTIF(Finding_List!$A:$A,B144)&gt;0,"Yes","No"))</f>
        <v/>
      </c>
      <c r="M144" s="7" t="str">
        <f ca="1">IF(B144="","",COUNTIF(Server_Inventory!$Z:$Z,B144))</f>
        <v/>
      </c>
      <c r="N144" s="7" t="str">
        <f ca="1">IF(B144="","",COUNTIF(Container_Inventory!$L:$L,B144))</f>
        <v/>
      </c>
    </row>
    <row r="145" spans="1:14" x14ac:dyDescent="0.2">
      <c r="A14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High"}))*(All_Risk_Apps!$K$4:$K$1233="No")*(All_Risk_Apps!$A$4:$A$1233&lt;&gt;"")),142)),"")</f>
        <v/>
      </c>
      <c r="B14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High"}))*(All_Risk_Apps!$K$4:$K$1233="No")*(All_Risk_Apps!$A$4:$A$1233&lt;&gt;"")),142)),"")</f>
        <v/>
      </c>
      <c r="C14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High"}))*(All_Risk_Apps!$K$4:$K$1233="No")*(All_Risk_Apps!$A$4:$A$1233&lt;&gt;"")),142)),"")</f>
        <v/>
      </c>
      <c r="D14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High"}))*(All_Risk_Apps!$K$4:$K$1233="No")*(All_Risk_Apps!$A$4:$A$1233&lt;&gt;"")),142)),"")</f>
        <v/>
      </c>
      <c r="E14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High"}))*(All_Risk_Apps!$K$4:$K$1233="No")*(All_Risk_Apps!$A$4:$A$1233&lt;&gt;"")),142)),"")</f>
        <v/>
      </c>
      <c r="F14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High"}))*(All_Risk_Apps!$K$4:$K$1233="No")*(All_Risk_Apps!$A$4:$A$1233&lt;&gt;"")),142)),"")</f>
        <v/>
      </c>
      <c r="G14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High"}))*(All_Risk_Apps!$K$4:$K$1233="No")*(All_Risk_Apps!$A$4:$A$1233&lt;&gt;"")),142)),"")</f>
        <v/>
      </c>
      <c r="H145" s="12" t="str">
        <f ca="1">IF(B145="","",IFERROR(INDEX(Server_Inventory!$R:$R,MATCH(B145,Server_Inventory!$Z:$Z,0)),"Not Found"))</f>
        <v/>
      </c>
      <c r="I145" s="12" t="str">
        <f ca="1">IF(B145="","",IFERROR(INDEX(Server_Inventory!$S:$S,MATCH(B145,Server_Inventory!$Z:$Z,0)),"Not Found"))</f>
        <v/>
      </c>
      <c r="J145" s="12" t="str">
        <f ca="1">IF(B145="","",COUNTIFS(Server_Inventory!$Z:$Z,B145,Server_Inventory!$P:$P,"R-RETIRED_IN_CMDB"))</f>
        <v/>
      </c>
      <c r="K145" s="12" t="str">
        <f ca="1">IF(B145="","",IFERROR(INDEX(Container_Inventory!$F:$F,MATCH(B145,Container_Inventory!$L:$L,0)),"Not Found"))</f>
        <v/>
      </c>
      <c r="L145" s="12" t="str">
        <f ca="1">IF(B145="","",IF(COUNTIF(Finding_List!$A:$A,B145)&gt;0,"Yes","No"))</f>
        <v/>
      </c>
      <c r="M145" s="12" t="str">
        <f ca="1">IF(B145="","",COUNTIF(Server_Inventory!$Z:$Z,B145))</f>
        <v/>
      </c>
      <c r="N145" s="12" t="str">
        <f ca="1">IF(B145="","",COUNTIF(Container_Inventory!$L:$L,B145))</f>
        <v/>
      </c>
    </row>
    <row r="146" spans="1:14" x14ac:dyDescent="0.2">
      <c r="A14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High"}))*(All_Risk_Apps!$K$4:$K$1233="No")*(All_Risk_Apps!$A$4:$A$1233&lt;&gt;"")),143)),"")</f>
        <v/>
      </c>
      <c r="B14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High"}))*(All_Risk_Apps!$K$4:$K$1233="No")*(All_Risk_Apps!$A$4:$A$1233&lt;&gt;"")),143)),"")</f>
        <v/>
      </c>
      <c r="C14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High"}))*(All_Risk_Apps!$K$4:$K$1233="No")*(All_Risk_Apps!$A$4:$A$1233&lt;&gt;"")),143)),"")</f>
        <v/>
      </c>
      <c r="D14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High"}))*(All_Risk_Apps!$K$4:$K$1233="No")*(All_Risk_Apps!$A$4:$A$1233&lt;&gt;"")),143)),"")</f>
        <v/>
      </c>
      <c r="E14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High"}))*(All_Risk_Apps!$K$4:$K$1233="No")*(All_Risk_Apps!$A$4:$A$1233&lt;&gt;"")),143)),"")</f>
        <v/>
      </c>
      <c r="F14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High"}))*(All_Risk_Apps!$K$4:$K$1233="No")*(All_Risk_Apps!$A$4:$A$1233&lt;&gt;"")),143)),"")</f>
        <v/>
      </c>
      <c r="G14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High"}))*(All_Risk_Apps!$K$4:$K$1233="No")*(All_Risk_Apps!$A$4:$A$1233&lt;&gt;"")),143)),"")</f>
        <v/>
      </c>
      <c r="H146" s="7" t="str">
        <f ca="1">IF(B146="","",IFERROR(INDEX(Server_Inventory!$R:$R,MATCH(B146,Server_Inventory!$Z:$Z,0)),"Not Found"))</f>
        <v/>
      </c>
      <c r="I146" s="7" t="str">
        <f ca="1">IF(B146="","",IFERROR(INDEX(Server_Inventory!$S:$S,MATCH(B146,Server_Inventory!$Z:$Z,0)),"Not Found"))</f>
        <v/>
      </c>
      <c r="J146" s="7" t="str">
        <f ca="1">IF(B146="","",COUNTIFS(Server_Inventory!$Z:$Z,B146,Server_Inventory!$P:$P,"R-RETIRED_IN_CMDB"))</f>
        <v/>
      </c>
      <c r="K146" s="7" t="str">
        <f ca="1">IF(B146="","",IFERROR(INDEX(Container_Inventory!$F:$F,MATCH(B146,Container_Inventory!$L:$L,0)),"Not Found"))</f>
        <v/>
      </c>
      <c r="L146" s="7" t="str">
        <f ca="1">IF(B146="","",IF(COUNTIF(Finding_List!$A:$A,B146)&gt;0,"Yes","No"))</f>
        <v/>
      </c>
      <c r="M146" s="7" t="str">
        <f ca="1">IF(B146="","",COUNTIF(Server_Inventory!$Z:$Z,B146))</f>
        <v/>
      </c>
      <c r="N146" s="7" t="str">
        <f ca="1">IF(B146="","",COUNTIF(Container_Inventory!$L:$L,B146))</f>
        <v/>
      </c>
    </row>
    <row r="147" spans="1:14" x14ac:dyDescent="0.2">
      <c r="A14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High"}))*(All_Risk_Apps!$K$4:$K$1233="No")*(All_Risk_Apps!$A$4:$A$1233&lt;&gt;"")),144)),"")</f>
        <v/>
      </c>
      <c r="B14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High"}))*(All_Risk_Apps!$K$4:$K$1233="No")*(All_Risk_Apps!$A$4:$A$1233&lt;&gt;"")),144)),"")</f>
        <v/>
      </c>
      <c r="C14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High"}))*(All_Risk_Apps!$K$4:$K$1233="No")*(All_Risk_Apps!$A$4:$A$1233&lt;&gt;"")),144)),"")</f>
        <v/>
      </c>
      <c r="D14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High"}))*(All_Risk_Apps!$K$4:$K$1233="No")*(All_Risk_Apps!$A$4:$A$1233&lt;&gt;"")),144)),"")</f>
        <v/>
      </c>
      <c r="E14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High"}))*(All_Risk_Apps!$K$4:$K$1233="No")*(All_Risk_Apps!$A$4:$A$1233&lt;&gt;"")),144)),"")</f>
        <v/>
      </c>
      <c r="F14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High"}))*(All_Risk_Apps!$K$4:$K$1233="No")*(All_Risk_Apps!$A$4:$A$1233&lt;&gt;"")),144)),"")</f>
        <v/>
      </c>
      <c r="G14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High"}))*(All_Risk_Apps!$K$4:$K$1233="No")*(All_Risk_Apps!$A$4:$A$1233&lt;&gt;"")),144)),"")</f>
        <v/>
      </c>
      <c r="H147" s="12" t="str">
        <f ca="1">IF(B147="","",IFERROR(INDEX(Server_Inventory!$R:$R,MATCH(B147,Server_Inventory!$Z:$Z,0)),"Not Found"))</f>
        <v/>
      </c>
      <c r="I147" s="12" t="str">
        <f ca="1">IF(B147="","",IFERROR(INDEX(Server_Inventory!$S:$S,MATCH(B147,Server_Inventory!$Z:$Z,0)),"Not Found"))</f>
        <v/>
      </c>
      <c r="J147" s="12" t="str">
        <f ca="1">IF(B147="","",COUNTIFS(Server_Inventory!$Z:$Z,B147,Server_Inventory!$P:$P,"R-RETIRED_IN_CMDB"))</f>
        <v/>
      </c>
      <c r="K147" s="12" t="str">
        <f ca="1">IF(B147="","",IFERROR(INDEX(Container_Inventory!$F:$F,MATCH(B147,Container_Inventory!$L:$L,0)),"Not Found"))</f>
        <v/>
      </c>
      <c r="L147" s="12" t="str">
        <f ca="1">IF(B147="","",IF(COUNTIF(Finding_List!$A:$A,B147)&gt;0,"Yes","No"))</f>
        <v/>
      </c>
      <c r="M147" s="12" t="str">
        <f ca="1">IF(B147="","",COUNTIF(Server_Inventory!$Z:$Z,B147))</f>
        <v/>
      </c>
      <c r="N147" s="12" t="str">
        <f ca="1">IF(B147="","",COUNTIF(Container_Inventory!$L:$L,B147))</f>
        <v/>
      </c>
    </row>
    <row r="148" spans="1:14" x14ac:dyDescent="0.2">
      <c r="A14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High"}))*(All_Risk_Apps!$K$4:$K$1233="No")*(All_Risk_Apps!$A$4:$A$1233&lt;&gt;"")),145)),"")</f>
        <v/>
      </c>
      <c r="B14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High"}))*(All_Risk_Apps!$K$4:$K$1233="No")*(All_Risk_Apps!$A$4:$A$1233&lt;&gt;"")),145)),"")</f>
        <v/>
      </c>
      <c r="C14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High"}))*(All_Risk_Apps!$K$4:$K$1233="No")*(All_Risk_Apps!$A$4:$A$1233&lt;&gt;"")),145)),"")</f>
        <v/>
      </c>
      <c r="D14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High"}))*(All_Risk_Apps!$K$4:$K$1233="No")*(All_Risk_Apps!$A$4:$A$1233&lt;&gt;"")),145)),"")</f>
        <v/>
      </c>
      <c r="E14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High"}))*(All_Risk_Apps!$K$4:$K$1233="No")*(All_Risk_Apps!$A$4:$A$1233&lt;&gt;"")),145)),"")</f>
        <v/>
      </c>
      <c r="F14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High"}))*(All_Risk_Apps!$K$4:$K$1233="No")*(All_Risk_Apps!$A$4:$A$1233&lt;&gt;"")),145)),"")</f>
        <v/>
      </c>
      <c r="G14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High"}))*(All_Risk_Apps!$K$4:$K$1233="No")*(All_Risk_Apps!$A$4:$A$1233&lt;&gt;"")),145)),"")</f>
        <v/>
      </c>
      <c r="H148" s="7" t="str">
        <f ca="1">IF(B148="","",IFERROR(INDEX(Server_Inventory!$R:$R,MATCH(B148,Server_Inventory!$Z:$Z,0)),"Not Found"))</f>
        <v/>
      </c>
      <c r="I148" s="7" t="str">
        <f ca="1">IF(B148="","",IFERROR(INDEX(Server_Inventory!$S:$S,MATCH(B148,Server_Inventory!$Z:$Z,0)),"Not Found"))</f>
        <v/>
      </c>
      <c r="J148" s="7" t="str">
        <f ca="1">IF(B148="","",COUNTIFS(Server_Inventory!$Z:$Z,B148,Server_Inventory!$P:$P,"R-RETIRED_IN_CMDB"))</f>
        <v/>
      </c>
      <c r="K148" s="7" t="str">
        <f ca="1">IF(B148="","",IFERROR(INDEX(Container_Inventory!$F:$F,MATCH(B148,Container_Inventory!$L:$L,0)),"Not Found"))</f>
        <v/>
      </c>
      <c r="L148" s="7" t="str">
        <f ca="1">IF(B148="","",IF(COUNTIF(Finding_List!$A:$A,B148)&gt;0,"Yes","No"))</f>
        <v/>
      </c>
      <c r="M148" s="7" t="str">
        <f ca="1">IF(B148="","",COUNTIF(Server_Inventory!$Z:$Z,B148))</f>
        <v/>
      </c>
      <c r="N148" s="7" t="str">
        <f ca="1">IF(B148="","",COUNTIF(Container_Inventory!$L:$L,B148))</f>
        <v/>
      </c>
    </row>
    <row r="149" spans="1:14" x14ac:dyDescent="0.2">
      <c r="A14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High"}))*(All_Risk_Apps!$K$4:$K$1233="No")*(All_Risk_Apps!$A$4:$A$1233&lt;&gt;"")),146)),"")</f>
        <v/>
      </c>
      <c r="B14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High"}))*(All_Risk_Apps!$K$4:$K$1233="No")*(All_Risk_Apps!$A$4:$A$1233&lt;&gt;"")),146)),"")</f>
        <v/>
      </c>
      <c r="C14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High"}))*(All_Risk_Apps!$K$4:$K$1233="No")*(All_Risk_Apps!$A$4:$A$1233&lt;&gt;"")),146)),"")</f>
        <v/>
      </c>
      <c r="D14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High"}))*(All_Risk_Apps!$K$4:$K$1233="No")*(All_Risk_Apps!$A$4:$A$1233&lt;&gt;"")),146)),"")</f>
        <v/>
      </c>
      <c r="E14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High"}))*(All_Risk_Apps!$K$4:$K$1233="No")*(All_Risk_Apps!$A$4:$A$1233&lt;&gt;"")),146)),"")</f>
        <v/>
      </c>
      <c r="F14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High"}))*(All_Risk_Apps!$K$4:$K$1233="No")*(All_Risk_Apps!$A$4:$A$1233&lt;&gt;"")),146)),"")</f>
        <v/>
      </c>
      <c r="G14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High"}))*(All_Risk_Apps!$K$4:$K$1233="No")*(All_Risk_Apps!$A$4:$A$1233&lt;&gt;"")),146)),"")</f>
        <v/>
      </c>
      <c r="H149" s="12" t="str">
        <f ca="1">IF(B149="","",IFERROR(INDEX(Server_Inventory!$R:$R,MATCH(B149,Server_Inventory!$Z:$Z,0)),"Not Found"))</f>
        <v/>
      </c>
      <c r="I149" s="12" t="str">
        <f ca="1">IF(B149="","",IFERROR(INDEX(Server_Inventory!$S:$S,MATCH(B149,Server_Inventory!$Z:$Z,0)),"Not Found"))</f>
        <v/>
      </c>
      <c r="J149" s="12" t="str">
        <f ca="1">IF(B149="","",COUNTIFS(Server_Inventory!$Z:$Z,B149,Server_Inventory!$P:$P,"R-RETIRED_IN_CMDB"))</f>
        <v/>
      </c>
      <c r="K149" s="12" t="str">
        <f ca="1">IF(B149="","",IFERROR(INDEX(Container_Inventory!$F:$F,MATCH(B149,Container_Inventory!$L:$L,0)),"Not Found"))</f>
        <v/>
      </c>
      <c r="L149" s="12" t="str">
        <f ca="1">IF(B149="","",IF(COUNTIF(Finding_List!$A:$A,B149)&gt;0,"Yes","No"))</f>
        <v/>
      </c>
      <c r="M149" s="12" t="str">
        <f ca="1">IF(B149="","",COUNTIF(Server_Inventory!$Z:$Z,B149))</f>
        <v/>
      </c>
      <c r="N149" s="12" t="str">
        <f ca="1">IF(B149="","",COUNTIF(Container_Inventory!$L:$L,B149))</f>
        <v/>
      </c>
    </row>
    <row r="150" spans="1:14" x14ac:dyDescent="0.2">
      <c r="A15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High"}))*(All_Risk_Apps!$K$4:$K$1233="No")*(All_Risk_Apps!$A$4:$A$1233&lt;&gt;"")),147)),"")</f>
        <v/>
      </c>
      <c r="B15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High"}))*(All_Risk_Apps!$K$4:$K$1233="No")*(All_Risk_Apps!$A$4:$A$1233&lt;&gt;"")),147)),"")</f>
        <v/>
      </c>
      <c r="C15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High"}))*(All_Risk_Apps!$K$4:$K$1233="No")*(All_Risk_Apps!$A$4:$A$1233&lt;&gt;"")),147)),"")</f>
        <v/>
      </c>
      <c r="D15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High"}))*(All_Risk_Apps!$K$4:$K$1233="No")*(All_Risk_Apps!$A$4:$A$1233&lt;&gt;"")),147)),"")</f>
        <v/>
      </c>
      <c r="E15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High"}))*(All_Risk_Apps!$K$4:$K$1233="No")*(All_Risk_Apps!$A$4:$A$1233&lt;&gt;"")),147)),"")</f>
        <v/>
      </c>
      <c r="F15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High"}))*(All_Risk_Apps!$K$4:$K$1233="No")*(All_Risk_Apps!$A$4:$A$1233&lt;&gt;"")),147)),"")</f>
        <v/>
      </c>
      <c r="G15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High"}))*(All_Risk_Apps!$K$4:$K$1233="No")*(All_Risk_Apps!$A$4:$A$1233&lt;&gt;"")),147)),"")</f>
        <v/>
      </c>
      <c r="H150" s="7" t="str">
        <f ca="1">IF(B150="","",IFERROR(INDEX(Server_Inventory!$R:$R,MATCH(B150,Server_Inventory!$Z:$Z,0)),"Not Found"))</f>
        <v/>
      </c>
      <c r="I150" s="7" t="str">
        <f ca="1">IF(B150="","",IFERROR(INDEX(Server_Inventory!$S:$S,MATCH(B150,Server_Inventory!$Z:$Z,0)),"Not Found"))</f>
        <v/>
      </c>
      <c r="J150" s="7" t="str">
        <f ca="1">IF(B150="","",COUNTIFS(Server_Inventory!$Z:$Z,B150,Server_Inventory!$P:$P,"R-RETIRED_IN_CMDB"))</f>
        <v/>
      </c>
      <c r="K150" s="7" t="str">
        <f ca="1">IF(B150="","",IFERROR(INDEX(Container_Inventory!$F:$F,MATCH(B150,Container_Inventory!$L:$L,0)),"Not Found"))</f>
        <v/>
      </c>
      <c r="L150" s="7" t="str">
        <f ca="1">IF(B150="","",IF(COUNTIF(Finding_List!$A:$A,B150)&gt;0,"Yes","No"))</f>
        <v/>
      </c>
      <c r="M150" s="7" t="str">
        <f ca="1">IF(B150="","",COUNTIF(Server_Inventory!$Z:$Z,B150))</f>
        <v/>
      </c>
      <c r="N150" s="7" t="str">
        <f ca="1">IF(B150="","",COUNTIF(Container_Inventory!$L:$L,B150))</f>
        <v/>
      </c>
    </row>
    <row r="151" spans="1:14" x14ac:dyDescent="0.2">
      <c r="A15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High"}))*(All_Risk_Apps!$K$4:$K$1233="No")*(All_Risk_Apps!$A$4:$A$1233&lt;&gt;"")),148)),"")</f>
        <v/>
      </c>
      <c r="B15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High"}))*(All_Risk_Apps!$K$4:$K$1233="No")*(All_Risk_Apps!$A$4:$A$1233&lt;&gt;"")),148)),"")</f>
        <v/>
      </c>
      <c r="C15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High"}))*(All_Risk_Apps!$K$4:$K$1233="No")*(All_Risk_Apps!$A$4:$A$1233&lt;&gt;"")),148)),"")</f>
        <v/>
      </c>
      <c r="D15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High"}))*(All_Risk_Apps!$K$4:$K$1233="No")*(All_Risk_Apps!$A$4:$A$1233&lt;&gt;"")),148)),"")</f>
        <v/>
      </c>
      <c r="E15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High"}))*(All_Risk_Apps!$K$4:$K$1233="No")*(All_Risk_Apps!$A$4:$A$1233&lt;&gt;"")),148)),"")</f>
        <v/>
      </c>
      <c r="F15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High"}))*(All_Risk_Apps!$K$4:$K$1233="No")*(All_Risk_Apps!$A$4:$A$1233&lt;&gt;"")),148)),"")</f>
        <v/>
      </c>
      <c r="G15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High"}))*(All_Risk_Apps!$K$4:$K$1233="No")*(All_Risk_Apps!$A$4:$A$1233&lt;&gt;"")),148)),"")</f>
        <v/>
      </c>
      <c r="H151" s="12" t="str">
        <f ca="1">IF(B151="","",IFERROR(INDEX(Server_Inventory!$R:$R,MATCH(B151,Server_Inventory!$Z:$Z,0)),"Not Found"))</f>
        <v/>
      </c>
      <c r="I151" s="12" t="str">
        <f ca="1">IF(B151="","",IFERROR(INDEX(Server_Inventory!$S:$S,MATCH(B151,Server_Inventory!$Z:$Z,0)),"Not Found"))</f>
        <v/>
      </c>
      <c r="J151" s="12" t="str">
        <f ca="1">IF(B151="","",COUNTIFS(Server_Inventory!$Z:$Z,B151,Server_Inventory!$P:$P,"R-RETIRED_IN_CMDB"))</f>
        <v/>
      </c>
      <c r="K151" s="12" t="str">
        <f ca="1">IF(B151="","",IFERROR(INDEX(Container_Inventory!$F:$F,MATCH(B151,Container_Inventory!$L:$L,0)),"Not Found"))</f>
        <v/>
      </c>
      <c r="L151" s="12" t="str">
        <f ca="1">IF(B151="","",IF(COUNTIF(Finding_List!$A:$A,B151)&gt;0,"Yes","No"))</f>
        <v/>
      </c>
      <c r="M151" s="12" t="str">
        <f ca="1">IF(B151="","",COUNTIF(Server_Inventory!$Z:$Z,B151))</f>
        <v/>
      </c>
      <c r="N151" s="12" t="str">
        <f ca="1">IF(B151="","",COUNTIF(Container_Inventory!$L:$L,B151))</f>
        <v/>
      </c>
    </row>
    <row r="152" spans="1:14" x14ac:dyDescent="0.2">
      <c r="A15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High"}))*(All_Risk_Apps!$K$4:$K$1233="No")*(All_Risk_Apps!$A$4:$A$1233&lt;&gt;"")),149)),"")</f>
        <v/>
      </c>
      <c r="B15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High"}))*(All_Risk_Apps!$K$4:$K$1233="No")*(All_Risk_Apps!$A$4:$A$1233&lt;&gt;"")),149)),"")</f>
        <v/>
      </c>
      <c r="C15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High"}))*(All_Risk_Apps!$K$4:$K$1233="No")*(All_Risk_Apps!$A$4:$A$1233&lt;&gt;"")),149)),"")</f>
        <v/>
      </c>
      <c r="D15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High"}))*(All_Risk_Apps!$K$4:$K$1233="No")*(All_Risk_Apps!$A$4:$A$1233&lt;&gt;"")),149)),"")</f>
        <v/>
      </c>
      <c r="E15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High"}))*(All_Risk_Apps!$K$4:$K$1233="No")*(All_Risk_Apps!$A$4:$A$1233&lt;&gt;"")),149)),"")</f>
        <v/>
      </c>
      <c r="F15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High"}))*(All_Risk_Apps!$K$4:$K$1233="No")*(All_Risk_Apps!$A$4:$A$1233&lt;&gt;"")),149)),"")</f>
        <v/>
      </c>
      <c r="G15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High"}))*(All_Risk_Apps!$K$4:$K$1233="No")*(All_Risk_Apps!$A$4:$A$1233&lt;&gt;"")),149)),"")</f>
        <v/>
      </c>
      <c r="H152" s="7" t="str">
        <f ca="1">IF(B152="","",IFERROR(INDEX(Server_Inventory!$R:$R,MATCH(B152,Server_Inventory!$Z:$Z,0)),"Not Found"))</f>
        <v/>
      </c>
      <c r="I152" s="7" t="str">
        <f ca="1">IF(B152="","",IFERROR(INDEX(Server_Inventory!$S:$S,MATCH(B152,Server_Inventory!$Z:$Z,0)),"Not Found"))</f>
        <v/>
      </c>
      <c r="J152" s="7" t="str">
        <f ca="1">IF(B152="","",COUNTIFS(Server_Inventory!$Z:$Z,B152,Server_Inventory!$P:$P,"R-RETIRED_IN_CMDB"))</f>
        <v/>
      </c>
      <c r="K152" s="7" t="str">
        <f ca="1">IF(B152="","",IFERROR(INDEX(Container_Inventory!$F:$F,MATCH(B152,Container_Inventory!$L:$L,0)),"Not Found"))</f>
        <v/>
      </c>
      <c r="L152" s="7" t="str">
        <f ca="1">IF(B152="","",IF(COUNTIF(Finding_List!$A:$A,B152)&gt;0,"Yes","No"))</f>
        <v/>
      </c>
      <c r="M152" s="7" t="str">
        <f ca="1">IF(B152="","",COUNTIF(Server_Inventory!$Z:$Z,B152))</f>
        <v/>
      </c>
      <c r="N152" s="7" t="str">
        <f ca="1">IF(B152="","",COUNTIF(Container_Inventory!$L:$L,B152))</f>
        <v/>
      </c>
    </row>
    <row r="153" spans="1:14" x14ac:dyDescent="0.2">
      <c r="A15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High"}))*(All_Risk_Apps!$K$4:$K$1233="No")*(All_Risk_Apps!$A$4:$A$1233&lt;&gt;"")),150)),"")</f>
        <v/>
      </c>
      <c r="B15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High"}))*(All_Risk_Apps!$K$4:$K$1233="No")*(All_Risk_Apps!$A$4:$A$1233&lt;&gt;"")),150)),"")</f>
        <v/>
      </c>
      <c r="C15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High"}))*(All_Risk_Apps!$K$4:$K$1233="No")*(All_Risk_Apps!$A$4:$A$1233&lt;&gt;"")),150)),"")</f>
        <v/>
      </c>
      <c r="D15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High"}))*(All_Risk_Apps!$K$4:$K$1233="No")*(All_Risk_Apps!$A$4:$A$1233&lt;&gt;"")),150)),"")</f>
        <v/>
      </c>
      <c r="E15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High"}))*(All_Risk_Apps!$K$4:$K$1233="No")*(All_Risk_Apps!$A$4:$A$1233&lt;&gt;"")),150)),"")</f>
        <v/>
      </c>
      <c r="F15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High"}))*(All_Risk_Apps!$K$4:$K$1233="No")*(All_Risk_Apps!$A$4:$A$1233&lt;&gt;"")),150)),"")</f>
        <v/>
      </c>
      <c r="G15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High"}))*(All_Risk_Apps!$K$4:$K$1233="No")*(All_Risk_Apps!$A$4:$A$1233&lt;&gt;"")),150)),"")</f>
        <v/>
      </c>
      <c r="H153" s="12" t="str">
        <f ca="1">IF(B153="","",IFERROR(INDEX(Server_Inventory!$R:$R,MATCH(B153,Server_Inventory!$Z:$Z,0)),"Not Found"))</f>
        <v/>
      </c>
      <c r="I153" s="12" t="str">
        <f ca="1">IF(B153="","",IFERROR(INDEX(Server_Inventory!$S:$S,MATCH(B153,Server_Inventory!$Z:$Z,0)),"Not Found"))</f>
        <v/>
      </c>
      <c r="J153" s="12" t="str">
        <f ca="1">IF(B153="","",COUNTIFS(Server_Inventory!$Z:$Z,B153,Server_Inventory!$P:$P,"R-RETIRED_IN_CMDB"))</f>
        <v/>
      </c>
      <c r="K153" s="12" t="str">
        <f ca="1">IF(B153="","",IFERROR(INDEX(Container_Inventory!$F:$F,MATCH(B153,Container_Inventory!$L:$L,0)),"Not Found"))</f>
        <v/>
      </c>
      <c r="L153" s="12" t="str">
        <f ca="1">IF(B153="","",IF(COUNTIF(Finding_List!$A:$A,B153)&gt;0,"Yes","No"))</f>
        <v/>
      </c>
      <c r="M153" s="12" t="str">
        <f ca="1">IF(B153="","",COUNTIF(Server_Inventory!$Z:$Z,B153))</f>
        <v/>
      </c>
      <c r="N153" s="12" t="str">
        <f ca="1">IF(B153="","",COUNTIF(Container_Inventory!$L:$L,B153))</f>
        <v/>
      </c>
    </row>
    <row r="154" spans="1:14" x14ac:dyDescent="0.2">
      <c r="A15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High"}))*(All_Risk_Apps!$K$4:$K$1233="No")*(All_Risk_Apps!$A$4:$A$1233&lt;&gt;"")),151)),"")</f>
        <v/>
      </c>
      <c r="B15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High"}))*(All_Risk_Apps!$K$4:$K$1233="No")*(All_Risk_Apps!$A$4:$A$1233&lt;&gt;"")),151)),"")</f>
        <v/>
      </c>
      <c r="C15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High"}))*(All_Risk_Apps!$K$4:$K$1233="No")*(All_Risk_Apps!$A$4:$A$1233&lt;&gt;"")),151)),"")</f>
        <v/>
      </c>
      <c r="D15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High"}))*(All_Risk_Apps!$K$4:$K$1233="No")*(All_Risk_Apps!$A$4:$A$1233&lt;&gt;"")),151)),"")</f>
        <v/>
      </c>
      <c r="E15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High"}))*(All_Risk_Apps!$K$4:$K$1233="No")*(All_Risk_Apps!$A$4:$A$1233&lt;&gt;"")),151)),"")</f>
        <v/>
      </c>
      <c r="F15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High"}))*(All_Risk_Apps!$K$4:$K$1233="No")*(All_Risk_Apps!$A$4:$A$1233&lt;&gt;"")),151)),"")</f>
        <v/>
      </c>
      <c r="G15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High"}))*(All_Risk_Apps!$K$4:$K$1233="No")*(All_Risk_Apps!$A$4:$A$1233&lt;&gt;"")),151)),"")</f>
        <v/>
      </c>
      <c r="H154" s="7" t="str">
        <f ca="1">IF(B154="","",IFERROR(INDEX(Server_Inventory!$R:$R,MATCH(B154,Server_Inventory!$Z:$Z,0)),"Not Found"))</f>
        <v/>
      </c>
      <c r="I154" s="7" t="str">
        <f ca="1">IF(B154="","",IFERROR(INDEX(Server_Inventory!$S:$S,MATCH(B154,Server_Inventory!$Z:$Z,0)),"Not Found"))</f>
        <v/>
      </c>
      <c r="J154" s="7" t="str">
        <f ca="1">IF(B154="","",COUNTIFS(Server_Inventory!$Z:$Z,B154,Server_Inventory!$P:$P,"R-RETIRED_IN_CMDB"))</f>
        <v/>
      </c>
      <c r="K154" s="7" t="str">
        <f ca="1">IF(B154="","",IFERROR(INDEX(Container_Inventory!$F:$F,MATCH(B154,Container_Inventory!$L:$L,0)),"Not Found"))</f>
        <v/>
      </c>
      <c r="L154" s="7" t="str">
        <f ca="1">IF(B154="","",IF(COUNTIF(Finding_List!$A:$A,B154)&gt;0,"Yes","No"))</f>
        <v/>
      </c>
      <c r="M154" s="7" t="str">
        <f ca="1">IF(B154="","",COUNTIF(Server_Inventory!$Z:$Z,B154))</f>
        <v/>
      </c>
      <c r="N154" s="7" t="str">
        <f ca="1">IF(B154="","",COUNTIF(Container_Inventory!$L:$L,B154))</f>
        <v/>
      </c>
    </row>
    <row r="155" spans="1:14" x14ac:dyDescent="0.2">
      <c r="A15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High"}))*(All_Risk_Apps!$K$4:$K$1233="No")*(All_Risk_Apps!$A$4:$A$1233&lt;&gt;"")),152)),"")</f>
        <v/>
      </c>
      <c r="B15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High"}))*(All_Risk_Apps!$K$4:$K$1233="No")*(All_Risk_Apps!$A$4:$A$1233&lt;&gt;"")),152)),"")</f>
        <v/>
      </c>
      <c r="C15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High"}))*(All_Risk_Apps!$K$4:$K$1233="No")*(All_Risk_Apps!$A$4:$A$1233&lt;&gt;"")),152)),"")</f>
        <v/>
      </c>
      <c r="D15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High"}))*(All_Risk_Apps!$K$4:$K$1233="No")*(All_Risk_Apps!$A$4:$A$1233&lt;&gt;"")),152)),"")</f>
        <v/>
      </c>
      <c r="E15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High"}))*(All_Risk_Apps!$K$4:$K$1233="No")*(All_Risk_Apps!$A$4:$A$1233&lt;&gt;"")),152)),"")</f>
        <v/>
      </c>
      <c r="F15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High"}))*(All_Risk_Apps!$K$4:$K$1233="No")*(All_Risk_Apps!$A$4:$A$1233&lt;&gt;"")),152)),"")</f>
        <v/>
      </c>
      <c r="G15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High"}))*(All_Risk_Apps!$K$4:$K$1233="No")*(All_Risk_Apps!$A$4:$A$1233&lt;&gt;"")),152)),"")</f>
        <v/>
      </c>
      <c r="H155" s="12" t="str">
        <f ca="1">IF(B155="","",IFERROR(INDEX(Server_Inventory!$R:$R,MATCH(B155,Server_Inventory!$Z:$Z,0)),"Not Found"))</f>
        <v/>
      </c>
      <c r="I155" s="12" t="str">
        <f ca="1">IF(B155="","",IFERROR(INDEX(Server_Inventory!$S:$S,MATCH(B155,Server_Inventory!$Z:$Z,0)),"Not Found"))</f>
        <v/>
      </c>
      <c r="J155" s="12" t="str">
        <f ca="1">IF(B155="","",COUNTIFS(Server_Inventory!$Z:$Z,B155,Server_Inventory!$P:$P,"R-RETIRED_IN_CMDB"))</f>
        <v/>
      </c>
      <c r="K155" s="12" t="str">
        <f ca="1">IF(B155="","",IFERROR(INDEX(Container_Inventory!$F:$F,MATCH(B155,Container_Inventory!$L:$L,0)),"Not Found"))</f>
        <v/>
      </c>
      <c r="L155" s="12" t="str">
        <f ca="1">IF(B155="","",IF(COUNTIF(Finding_List!$A:$A,B155)&gt;0,"Yes","No"))</f>
        <v/>
      </c>
      <c r="M155" s="12" t="str">
        <f ca="1">IF(B155="","",COUNTIF(Server_Inventory!$Z:$Z,B155))</f>
        <v/>
      </c>
      <c r="N155" s="12" t="str">
        <f ca="1">IF(B155="","",COUNTIF(Container_Inventory!$L:$L,B155))</f>
        <v/>
      </c>
    </row>
    <row r="156" spans="1:14" x14ac:dyDescent="0.2">
      <c r="A15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High"}))*(All_Risk_Apps!$K$4:$K$1233="No")*(All_Risk_Apps!$A$4:$A$1233&lt;&gt;"")),153)),"")</f>
        <v/>
      </c>
      <c r="B15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High"}))*(All_Risk_Apps!$K$4:$K$1233="No")*(All_Risk_Apps!$A$4:$A$1233&lt;&gt;"")),153)),"")</f>
        <v/>
      </c>
      <c r="C15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High"}))*(All_Risk_Apps!$K$4:$K$1233="No")*(All_Risk_Apps!$A$4:$A$1233&lt;&gt;"")),153)),"")</f>
        <v/>
      </c>
      <c r="D15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High"}))*(All_Risk_Apps!$K$4:$K$1233="No")*(All_Risk_Apps!$A$4:$A$1233&lt;&gt;"")),153)),"")</f>
        <v/>
      </c>
      <c r="E15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High"}))*(All_Risk_Apps!$K$4:$K$1233="No")*(All_Risk_Apps!$A$4:$A$1233&lt;&gt;"")),153)),"")</f>
        <v/>
      </c>
      <c r="F15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High"}))*(All_Risk_Apps!$K$4:$K$1233="No")*(All_Risk_Apps!$A$4:$A$1233&lt;&gt;"")),153)),"")</f>
        <v/>
      </c>
      <c r="G15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High"}))*(All_Risk_Apps!$K$4:$K$1233="No")*(All_Risk_Apps!$A$4:$A$1233&lt;&gt;"")),153)),"")</f>
        <v/>
      </c>
      <c r="H156" s="7" t="str">
        <f ca="1">IF(B156="","",IFERROR(INDEX(Server_Inventory!$R:$R,MATCH(B156,Server_Inventory!$Z:$Z,0)),"Not Found"))</f>
        <v/>
      </c>
      <c r="I156" s="7" t="str">
        <f ca="1">IF(B156="","",IFERROR(INDEX(Server_Inventory!$S:$S,MATCH(B156,Server_Inventory!$Z:$Z,0)),"Not Found"))</f>
        <v/>
      </c>
      <c r="J156" s="7" t="str">
        <f ca="1">IF(B156="","",COUNTIFS(Server_Inventory!$Z:$Z,B156,Server_Inventory!$P:$P,"R-RETIRED_IN_CMDB"))</f>
        <v/>
      </c>
      <c r="K156" s="7" t="str">
        <f ca="1">IF(B156="","",IFERROR(INDEX(Container_Inventory!$F:$F,MATCH(B156,Container_Inventory!$L:$L,0)),"Not Found"))</f>
        <v/>
      </c>
      <c r="L156" s="7" t="str">
        <f ca="1">IF(B156="","",IF(COUNTIF(Finding_List!$A:$A,B156)&gt;0,"Yes","No"))</f>
        <v/>
      </c>
      <c r="M156" s="7" t="str">
        <f ca="1">IF(B156="","",COUNTIF(Server_Inventory!$Z:$Z,B156))</f>
        <v/>
      </c>
      <c r="N156" s="7" t="str">
        <f ca="1">IF(B156="","",COUNTIF(Container_Inventory!$L:$L,B156))</f>
        <v/>
      </c>
    </row>
    <row r="157" spans="1:14" x14ac:dyDescent="0.2">
      <c r="A15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High"}))*(All_Risk_Apps!$K$4:$K$1233="No")*(All_Risk_Apps!$A$4:$A$1233&lt;&gt;"")),154)),"")</f>
        <v/>
      </c>
      <c r="B15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High"}))*(All_Risk_Apps!$K$4:$K$1233="No")*(All_Risk_Apps!$A$4:$A$1233&lt;&gt;"")),154)),"")</f>
        <v/>
      </c>
      <c r="C15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High"}))*(All_Risk_Apps!$K$4:$K$1233="No")*(All_Risk_Apps!$A$4:$A$1233&lt;&gt;"")),154)),"")</f>
        <v/>
      </c>
      <c r="D15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High"}))*(All_Risk_Apps!$K$4:$K$1233="No")*(All_Risk_Apps!$A$4:$A$1233&lt;&gt;"")),154)),"")</f>
        <v/>
      </c>
      <c r="E15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High"}))*(All_Risk_Apps!$K$4:$K$1233="No")*(All_Risk_Apps!$A$4:$A$1233&lt;&gt;"")),154)),"")</f>
        <v/>
      </c>
      <c r="F15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High"}))*(All_Risk_Apps!$K$4:$K$1233="No")*(All_Risk_Apps!$A$4:$A$1233&lt;&gt;"")),154)),"")</f>
        <v/>
      </c>
      <c r="G15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High"}))*(All_Risk_Apps!$K$4:$K$1233="No")*(All_Risk_Apps!$A$4:$A$1233&lt;&gt;"")),154)),"")</f>
        <v/>
      </c>
      <c r="H157" s="12" t="str">
        <f ca="1">IF(B157="","",IFERROR(INDEX(Server_Inventory!$R:$R,MATCH(B157,Server_Inventory!$Z:$Z,0)),"Not Found"))</f>
        <v/>
      </c>
      <c r="I157" s="12" t="str">
        <f ca="1">IF(B157="","",IFERROR(INDEX(Server_Inventory!$S:$S,MATCH(B157,Server_Inventory!$Z:$Z,0)),"Not Found"))</f>
        <v/>
      </c>
      <c r="J157" s="12" t="str">
        <f ca="1">IF(B157="","",COUNTIFS(Server_Inventory!$Z:$Z,B157,Server_Inventory!$P:$P,"R-RETIRED_IN_CMDB"))</f>
        <v/>
      </c>
      <c r="K157" s="12" t="str">
        <f ca="1">IF(B157="","",IFERROR(INDEX(Container_Inventory!$F:$F,MATCH(B157,Container_Inventory!$L:$L,0)),"Not Found"))</f>
        <v/>
      </c>
      <c r="L157" s="12" t="str">
        <f ca="1">IF(B157="","",IF(COUNTIF(Finding_List!$A:$A,B157)&gt;0,"Yes","No"))</f>
        <v/>
      </c>
      <c r="M157" s="12" t="str">
        <f ca="1">IF(B157="","",COUNTIF(Server_Inventory!$Z:$Z,B157))</f>
        <v/>
      </c>
      <c r="N157" s="12" t="str">
        <f ca="1">IF(B157="","",COUNTIF(Container_Inventory!$L:$L,B157))</f>
        <v/>
      </c>
    </row>
    <row r="158" spans="1:14" x14ac:dyDescent="0.2">
      <c r="A15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High"}))*(All_Risk_Apps!$K$4:$K$1233="No")*(All_Risk_Apps!$A$4:$A$1233&lt;&gt;"")),155)),"")</f>
        <v/>
      </c>
      <c r="B15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High"}))*(All_Risk_Apps!$K$4:$K$1233="No")*(All_Risk_Apps!$A$4:$A$1233&lt;&gt;"")),155)),"")</f>
        <v/>
      </c>
      <c r="C15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High"}))*(All_Risk_Apps!$K$4:$K$1233="No")*(All_Risk_Apps!$A$4:$A$1233&lt;&gt;"")),155)),"")</f>
        <v/>
      </c>
      <c r="D15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High"}))*(All_Risk_Apps!$K$4:$K$1233="No")*(All_Risk_Apps!$A$4:$A$1233&lt;&gt;"")),155)),"")</f>
        <v/>
      </c>
      <c r="E15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High"}))*(All_Risk_Apps!$K$4:$K$1233="No")*(All_Risk_Apps!$A$4:$A$1233&lt;&gt;"")),155)),"")</f>
        <v/>
      </c>
      <c r="F15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High"}))*(All_Risk_Apps!$K$4:$K$1233="No")*(All_Risk_Apps!$A$4:$A$1233&lt;&gt;"")),155)),"")</f>
        <v/>
      </c>
      <c r="G15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High"}))*(All_Risk_Apps!$K$4:$K$1233="No")*(All_Risk_Apps!$A$4:$A$1233&lt;&gt;"")),155)),"")</f>
        <v/>
      </c>
      <c r="H158" s="7" t="str">
        <f ca="1">IF(B158="","",IFERROR(INDEX(Server_Inventory!$R:$R,MATCH(B158,Server_Inventory!$Z:$Z,0)),"Not Found"))</f>
        <v/>
      </c>
      <c r="I158" s="7" t="str">
        <f ca="1">IF(B158="","",IFERROR(INDEX(Server_Inventory!$S:$S,MATCH(B158,Server_Inventory!$Z:$Z,0)),"Not Found"))</f>
        <v/>
      </c>
      <c r="J158" s="7" t="str">
        <f ca="1">IF(B158="","",COUNTIFS(Server_Inventory!$Z:$Z,B158,Server_Inventory!$P:$P,"R-RETIRED_IN_CMDB"))</f>
        <v/>
      </c>
      <c r="K158" s="7" t="str">
        <f ca="1">IF(B158="","",IFERROR(INDEX(Container_Inventory!$F:$F,MATCH(B158,Container_Inventory!$L:$L,0)),"Not Found"))</f>
        <v/>
      </c>
      <c r="L158" s="7" t="str">
        <f ca="1">IF(B158="","",IF(COUNTIF(Finding_List!$A:$A,B158)&gt;0,"Yes","No"))</f>
        <v/>
      </c>
      <c r="M158" s="7" t="str">
        <f ca="1">IF(B158="","",COUNTIF(Server_Inventory!$Z:$Z,B158))</f>
        <v/>
      </c>
      <c r="N158" s="7" t="str">
        <f ca="1">IF(B158="","",COUNTIF(Container_Inventory!$L:$L,B158))</f>
        <v/>
      </c>
    </row>
    <row r="159" spans="1:14" x14ac:dyDescent="0.2">
      <c r="A15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High"}))*(All_Risk_Apps!$K$4:$K$1233="No")*(All_Risk_Apps!$A$4:$A$1233&lt;&gt;"")),156)),"")</f>
        <v/>
      </c>
      <c r="B15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High"}))*(All_Risk_Apps!$K$4:$K$1233="No")*(All_Risk_Apps!$A$4:$A$1233&lt;&gt;"")),156)),"")</f>
        <v/>
      </c>
      <c r="C15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High"}))*(All_Risk_Apps!$K$4:$K$1233="No")*(All_Risk_Apps!$A$4:$A$1233&lt;&gt;"")),156)),"")</f>
        <v/>
      </c>
      <c r="D15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High"}))*(All_Risk_Apps!$K$4:$K$1233="No")*(All_Risk_Apps!$A$4:$A$1233&lt;&gt;"")),156)),"")</f>
        <v/>
      </c>
      <c r="E15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High"}))*(All_Risk_Apps!$K$4:$K$1233="No")*(All_Risk_Apps!$A$4:$A$1233&lt;&gt;"")),156)),"")</f>
        <v/>
      </c>
      <c r="F15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High"}))*(All_Risk_Apps!$K$4:$K$1233="No")*(All_Risk_Apps!$A$4:$A$1233&lt;&gt;"")),156)),"")</f>
        <v/>
      </c>
      <c r="G15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High"}))*(All_Risk_Apps!$K$4:$K$1233="No")*(All_Risk_Apps!$A$4:$A$1233&lt;&gt;"")),156)),"")</f>
        <v/>
      </c>
      <c r="H159" s="12" t="str">
        <f ca="1">IF(B159="","",IFERROR(INDEX(Server_Inventory!$R:$R,MATCH(B159,Server_Inventory!$Z:$Z,0)),"Not Found"))</f>
        <v/>
      </c>
      <c r="I159" s="12" t="str">
        <f ca="1">IF(B159="","",IFERROR(INDEX(Server_Inventory!$S:$S,MATCH(B159,Server_Inventory!$Z:$Z,0)),"Not Found"))</f>
        <v/>
      </c>
      <c r="J159" s="12" t="str">
        <f ca="1">IF(B159="","",COUNTIFS(Server_Inventory!$Z:$Z,B159,Server_Inventory!$P:$P,"R-RETIRED_IN_CMDB"))</f>
        <v/>
      </c>
      <c r="K159" s="12" t="str">
        <f ca="1">IF(B159="","",IFERROR(INDEX(Container_Inventory!$F:$F,MATCH(B159,Container_Inventory!$L:$L,0)),"Not Found"))</f>
        <v/>
      </c>
      <c r="L159" s="12" t="str">
        <f ca="1">IF(B159="","",IF(COUNTIF(Finding_List!$A:$A,B159)&gt;0,"Yes","No"))</f>
        <v/>
      </c>
      <c r="M159" s="12" t="str">
        <f ca="1">IF(B159="","",COUNTIF(Server_Inventory!$Z:$Z,B159))</f>
        <v/>
      </c>
      <c r="N159" s="12" t="str">
        <f ca="1">IF(B159="","",COUNTIF(Container_Inventory!$L:$L,B159))</f>
        <v/>
      </c>
    </row>
    <row r="160" spans="1:14" x14ac:dyDescent="0.2">
      <c r="A16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High"}))*(All_Risk_Apps!$K$4:$K$1233="No")*(All_Risk_Apps!$A$4:$A$1233&lt;&gt;"")),157)),"")</f>
        <v/>
      </c>
      <c r="B16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High"}))*(All_Risk_Apps!$K$4:$K$1233="No")*(All_Risk_Apps!$A$4:$A$1233&lt;&gt;"")),157)),"")</f>
        <v/>
      </c>
      <c r="C16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High"}))*(All_Risk_Apps!$K$4:$K$1233="No")*(All_Risk_Apps!$A$4:$A$1233&lt;&gt;"")),157)),"")</f>
        <v/>
      </c>
      <c r="D16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High"}))*(All_Risk_Apps!$K$4:$K$1233="No")*(All_Risk_Apps!$A$4:$A$1233&lt;&gt;"")),157)),"")</f>
        <v/>
      </c>
      <c r="E16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High"}))*(All_Risk_Apps!$K$4:$K$1233="No")*(All_Risk_Apps!$A$4:$A$1233&lt;&gt;"")),157)),"")</f>
        <v/>
      </c>
      <c r="F16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High"}))*(All_Risk_Apps!$K$4:$K$1233="No")*(All_Risk_Apps!$A$4:$A$1233&lt;&gt;"")),157)),"")</f>
        <v/>
      </c>
      <c r="G16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High"}))*(All_Risk_Apps!$K$4:$K$1233="No")*(All_Risk_Apps!$A$4:$A$1233&lt;&gt;"")),157)),"")</f>
        <v/>
      </c>
      <c r="H160" s="7" t="str">
        <f ca="1">IF(B160="","",IFERROR(INDEX(Server_Inventory!$R:$R,MATCH(B160,Server_Inventory!$Z:$Z,0)),"Not Found"))</f>
        <v/>
      </c>
      <c r="I160" s="7" t="str">
        <f ca="1">IF(B160="","",IFERROR(INDEX(Server_Inventory!$S:$S,MATCH(B160,Server_Inventory!$Z:$Z,0)),"Not Found"))</f>
        <v/>
      </c>
      <c r="J160" s="7" t="str">
        <f ca="1">IF(B160="","",COUNTIFS(Server_Inventory!$Z:$Z,B160,Server_Inventory!$P:$P,"R-RETIRED_IN_CMDB"))</f>
        <v/>
      </c>
      <c r="K160" s="7" t="str">
        <f ca="1">IF(B160="","",IFERROR(INDEX(Container_Inventory!$F:$F,MATCH(B160,Container_Inventory!$L:$L,0)),"Not Found"))</f>
        <v/>
      </c>
      <c r="L160" s="7" t="str">
        <f ca="1">IF(B160="","",IF(COUNTIF(Finding_List!$A:$A,B160)&gt;0,"Yes","No"))</f>
        <v/>
      </c>
      <c r="M160" s="7" t="str">
        <f ca="1">IF(B160="","",COUNTIF(Server_Inventory!$Z:$Z,B160))</f>
        <v/>
      </c>
      <c r="N160" s="7" t="str">
        <f ca="1">IF(B160="","",COUNTIF(Container_Inventory!$L:$L,B160))</f>
        <v/>
      </c>
    </row>
    <row r="161" spans="1:14" x14ac:dyDescent="0.2">
      <c r="A16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High"}))*(All_Risk_Apps!$K$4:$K$1233="No")*(All_Risk_Apps!$A$4:$A$1233&lt;&gt;"")),158)),"")</f>
        <v/>
      </c>
      <c r="B16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High"}))*(All_Risk_Apps!$K$4:$K$1233="No")*(All_Risk_Apps!$A$4:$A$1233&lt;&gt;"")),158)),"")</f>
        <v/>
      </c>
      <c r="C16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High"}))*(All_Risk_Apps!$K$4:$K$1233="No")*(All_Risk_Apps!$A$4:$A$1233&lt;&gt;"")),158)),"")</f>
        <v/>
      </c>
      <c r="D16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High"}))*(All_Risk_Apps!$K$4:$K$1233="No")*(All_Risk_Apps!$A$4:$A$1233&lt;&gt;"")),158)),"")</f>
        <v/>
      </c>
      <c r="E16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High"}))*(All_Risk_Apps!$K$4:$K$1233="No")*(All_Risk_Apps!$A$4:$A$1233&lt;&gt;"")),158)),"")</f>
        <v/>
      </c>
      <c r="F16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High"}))*(All_Risk_Apps!$K$4:$K$1233="No")*(All_Risk_Apps!$A$4:$A$1233&lt;&gt;"")),158)),"")</f>
        <v/>
      </c>
      <c r="G16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High"}))*(All_Risk_Apps!$K$4:$K$1233="No")*(All_Risk_Apps!$A$4:$A$1233&lt;&gt;"")),158)),"")</f>
        <v/>
      </c>
      <c r="H161" s="12" t="str">
        <f ca="1">IF(B161="","",IFERROR(INDEX(Server_Inventory!$R:$R,MATCH(B161,Server_Inventory!$Z:$Z,0)),"Not Found"))</f>
        <v/>
      </c>
      <c r="I161" s="12" t="str">
        <f ca="1">IF(B161="","",IFERROR(INDEX(Server_Inventory!$S:$S,MATCH(B161,Server_Inventory!$Z:$Z,0)),"Not Found"))</f>
        <v/>
      </c>
      <c r="J161" s="12" t="str">
        <f ca="1">IF(B161="","",COUNTIFS(Server_Inventory!$Z:$Z,B161,Server_Inventory!$P:$P,"R-RETIRED_IN_CMDB"))</f>
        <v/>
      </c>
      <c r="K161" s="12" t="str">
        <f ca="1">IF(B161="","",IFERROR(INDEX(Container_Inventory!$F:$F,MATCH(B161,Container_Inventory!$L:$L,0)),"Not Found"))</f>
        <v/>
      </c>
      <c r="L161" s="12" t="str">
        <f ca="1">IF(B161="","",IF(COUNTIF(Finding_List!$A:$A,B161)&gt;0,"Yes","No"))</f>
        <v/>
      </c>
      <c r="M161" s="12" t="str">
        <f ca="1">IF(B161="","",COUNTIF(Server_Inventory!$Z:$Z,B161))</f>
        <v/>
      </c>
      <c r="N161" s="12" t="str">
        <f ca="1">IF(B161="","",COUNTIF(Container_Inventory!$L:$L,B161))</f>
        <v/>
      </c>
    </row>
    <row r="162" spans="1:14" x14ac:dyDescent="0.2">
      <c r="A16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High"}))*(All_Risk_Apps!$K$4:$K$1233="No")*(All_Risk_Apps!$A$4:$A$1233&lt;&gt;"")),159)),"")</f>
        <v/>
      </c>
      <c r="B16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High"}))*(All_Risk_Apps!$K$4:$K$1233="No")*(All_Risk_Apps!$A$4:$A$1233&lt;&gt;"")),159)),"")</f>
        <v/>
      </c>
      <c r="C16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High"}))*(All_Risk_Apps!$K$4:$K$1233="No")*(All_Risk_Apps!$A$4:$A$1233&lt;&gt;"")),159)),"")</f>
        <v/>
      </c>
      <c r="D16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High"}))*(All_Risk_Apps!$K$4:$K$1233="No")*(All_Risk_Apps!$A$4:$A$1233&lt;&gt;"")),159)),"")</f>
        <v/>
      </c>
      <c r="E16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High"}))*(All_Risk_Apps!$K$4:$K$1233="No")*(All_Risk_Apps!$A$4:$A$1233&lt;&gt;"")),159)),"")</f>
        <v/>
      </c>
      <c r="F16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High"}))*(All_Risk_Apps!$K$4:$K$1233="No")*(All_Risk_Apps!$A$4:$A$1233&lt;&gt;"")),159)),"")</f>
        <v/>
      </c>
      <c r="G16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High"}))*(All_Risk_Apps!$K$4:$K$1233="No")*(All_Risk_Apps!$A$4:$A$1233&lt;&gt;"")),159)),"")</f>
        <v/>
      </c>
      <c r="H162" s="7" t="str">
        <f ca="1">IF(B162="","",IFERROR(INDEX(Server_Inventory!$R:$R,MATCH(B162,Server_Inventory!$Z:$Z,0)),"Not Found"))</f>
        <v/>
      </c>
      <c r="I162" s="7" t="str">
        <f ca="1">IF(B162="","",IFERROR(INDEX(Server_Inventory!$S:$S,MATCH(B162,Server_Inventory!$Z:$Z,0)),"Not Found"))</f>
        <v/>
      </c>
      <c r="J162" s="7" t="str">
        <f ca="1">IF(B162="","",COUNTIFS(Server_Inventory!$Z:$Z,B162,Server_Inventory!$P:$P,"R-RETIRED_IN_CMDB"))</f>
        <v/>
      </c>
      <c r="K162" s="7" t="str">
        <f ca="1">IF(B162="","",IFERROR(INDEX(Container_Inventory!$F:$F,MATCH(B162,Container_Inventory!$L:$L,0)),"Not Found"))</f>
        <v/>
      </c>
      <c r="L162" s="7" t="str">
        <f ca="1">IF(B162="","",IF(COUNTIF(Finding_List!$A:$A,B162)&gt;0,"Yes","No"))</f>
        <v/>
      </c>
      <c r="M162" s="7" t="str">
        <f ca="1">IF(B162="","",COUNTIF(Server_Inventory!$Z:$Z,B162))</f>
        <v/>
      </c>
      <c r="N162" s="7" t="str">
        <f ca="1">IF(B162="","",COUNTIF(Container_Inventory!$L:$L,B162))</f>
        <v/>
      </c>
    </row>
    <row r="163" spans="1:14" x14ac:dyDescent="0.2">
      <c r="A16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High"}))*(All_Risk_Apps!$K$4:$K$1233="No")*(All_Risk_Apps!$A$4:$A$1233&lt;&gt;"")),160)),"")</f>
        <v/>
      </c>
      <c r="B16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High"}))*(All_Risk_Apps!$K$4:$K$1233="No")*(All_Risk_Apps!$A$4:$A$1233&lt;&gt;"")),160)),"")</f>
        <v/>
      </c>
      <c r="C16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High"}))*(All_Risk_Apps!$K$4:$K$1233="No")*(All_Risk_Apps!$A$4:$A$1233&lt;&gt;"")),160)),"")</f>
        <v/>
      </c>
      <c r="D16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High"}))*(All_Risk_Apps!$K$4:$K$1233="No")*(All_Risk_Apps!$A$4:$A$1233&lt;&gt;"")),160)),"")</f>
        <v/>
      </c>
      <c r="E16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High"}))*(All_Risk_Apps!$K$4:$K$1233="No")*(All_Risk_Apps!$A$4:$A$1233&lt;&gt;"")),160)),"")</f>
        <v/>
      </c>
      <c r="F16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High"}))*(All_Risk_Apps!$K$4:$K$1233="No")*(All_Risk_Apps!$A$4:$A$1233&lt;&gt;"")),160)),"")</f>
        <v/>
      </c>
      <c r="G16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High"}))*(All_Risk_Apps!$K$4:$K$1233="No")*(All_Risk_Apps!$A$4:$A$1233&lt;&gt;"")),160)),"")</f>
        <v/>
      </c>
      <c r="H163" s="12" t="str">
        <f ca="1">IF(B163="","",IFERROR(INDEX(Server_Inventory!$R:$R,MATCH(B163,Server_Inventory!$Z:$Z,0)),"Not Found"))</f>
        <v/>
      </c>
      <c r="I163" s="12" t="str">
        <f ca="1">IF(B163="","",IFERROR(INDEX(Server_Inventory!$S:$S,MATCH(B163,Server_Inventory!$Z:$Z,0)),"Not Found"))</f>
        <v/>
      </c>
      <c r="J163" s="12" t="str">
        <f ca="1">IF(B163="","",COUNTIFS(Server_Inventory!$Z:$Z,B163,Server_Inventory!$P:$P,"R-RETIRED_IN_CMDB"))</f>
        <v/>
      </c>
      <c r="K163" s="12" t="str">
        <f ca="1">IF(B163="","",IFERROR(INDEX(Container_Inventory!$F:$F,MATCH(B163,Container_Inventory!$L:$L,0)),"Not Found"))</f>
        <v/>
      </c>
      <c r="L163" s="12" t="str">
        <f ca="1">IF(B163="","",IF(COUNTIF(Finding_List!$A:$A,B163)&gt;0,"Yes","No"))</f>
        <v/>
      </c>
      <c r="M163" s="12" t="str">
        <f ca="1">IF(B163="","",COUNTIF(Server_Inventory!$Z:$Z,B163))</f>
        <v/>
      </c>
      <c r="N163" s="12" t="str">
        <f ca="1">IF(B163="","",COUNTIF(Container_Inventory!$L:$L,B163))</f>
        <v/>
      </c>
    </row>
    <row r="164" spans="1:14" x14ac:dyDescent="0.2">
      <c r="A16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High"}))*(All_Risk_Apps!$K$4:$K$1233="No")*(All_Risk_Apps!$A$4:$A$1233&lt;&gt;"")),161)),"")</f>
        <v/>
      </c>
      <c r="B16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High"}))*(All_Risk_Apps!$K$4:$K$1233="No")*(All_Risk_Apps!$A$4:$A$1233&lt;&gt;"")),161)),"")</f>
        <v/>
      </c>
      <c r="C16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High"}))*(All_Risk_Apps!$K$4:$K$1233="No")*(All_Risk_Apps!$A$4:$A$1233&lt;&gt;"")),161)),"")</f>
        <v/>
      </c>
      <c r="D16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High"}))*(All_Risk_Apps!$K$4:$K$1233="No")*(All_Risk_Apps!$A$4:$A$1233&lt;&gt;"")),161)),"")</f>
        <v/>
      </c>
      <c r="E16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High"}))*(All_Risk_Apps!$K$4:$K$1233="No")*(All_Risk_Apps!$A$4:$A$1233&lt;&gt;"")),161)),"")</f>
        <v/>
      </c>
      <c r="F16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High"}))*(All_Risk_Apps!$K$4:$K$1233="No")*(All_Risk_Apps!$A$4:$A$1233&lt;&gt;"")),161)),"")</f>
        <v/>
      </c>
      <c r="G16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High"}))*(All_Risk_Apps!$K$4:$K$1233="No")*(All_Risk_Apps!$A$4:$A$1233&lt;&gt;"")),161)),"")</f>
        <v/>
      </c>
      <c r="H164" s="7" t="str">
        <f ca="1">IF(B164="","",IFERROR(INDEX(Server_Inventory!$R:$R,MATCH(B164,Server_Inventory!$Z:$Z,0)),"Not Found"))</f>
        <v/>
      </c>
      <c r="I164" s="7" t="str">
        <f ca="1">IF(B164="","",IFERROR(INDEX(Server_Inventory!$S:$S,MATCH(B164,Server_Inventory!$Z:$Z,0)),"Not Found"))</f>
        <v/>
      </c>
      <c r="J164" s="7" t="str">
        <f ca="1">IF(B164="","",COUNTIFS(Server_Inventory!$Z:$Z,B164,Server_Inventory!$P:$P,"R-RETIRED_IN_CMDB"))</f>
        <v/>
      </c>
      <c r="K164" s="7" t="str">
        <f ca="1">IF(B164="","",IFERROR(INDEX(Container_Inventory!$F:$F,MATCH(B164,Container_Inventory!$L:$L,0)),"Not Found"))</f>
        <v/>
      </c>
      <c r="L164" s="7" t="str">
        <f ca="1">IF(B164="","",IF(COUNTIF(Finding_List!$A:$A,B164)&gt;0,"Yes","No"))</f>
        <v/>
      </c>
      <c r="M164" s="7" t="str">
        <f ca="1">IF(B164="","",COUNTIF(Server_Inventory!$Z:$Z,B164))</f>
        <v/>
      </c>
      <c r="N164" s="7" t="str">
        <f ca="1">IF(B164="","",COUNTIF(Container_Inventory!$L:$L,B164))</f>
        <v/>
      </c>
    </row>
    <row r="165" spans="1:14" x14ac:dyDescent="0.2">
      <c r="A16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High"}))*(All_Risk_Apps!$K$4:$K$1233="No")*(All_Risk_Apps!$A$4:$A$1233&lt;&gt;"")),162)),"")</f>
        <v/>
      </c>
      <c r="B16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High"}))*(All_Risk_Apps!$K$4:$K$1233="No")*(All_Risk_Apps!$A$4:$A$1233&lt;&gt;"")),162)),"")</f>
        <v/>
      </c>
      <c r="C16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High"}))*(All_Risk_Apps!$K$4:$K$1233="No")*(All_Risk_Apps!$A$4:$A$1233&lt;&gt;"")),162)),"")</f>
        <v/>
      </c>
      <c r="D16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High"}))*(All_Risk_Apps!$K$4:$K$1233="No")*(All_Risk_Apps!$A$4:$A$1233&lt;&gt;"")),162)),"")</f>
        <v/>
      </c>
      <c r="E16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High"}))*(All_Risk_Apps!$K$4:$K$1233="No")*(All_Risk_Apps!$A$4:$A$1233&lt;&gt;"")),162)),"")</f>
        <v/>
      </c>
      <c r="F16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High"}))*(All_Risk_Apps!$K$4:$K$1233="No")*(All_Risk_Apps!$A$4:$A$1233&lt;&gt;"")),162)),"")</f>
        <v/>
      </c>
      <c r="G16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High"}))*(All_Risk_Apps!$K$4:$K$1233="No")*(All_Risk_Apps!$A$4:$A$1233&lt;&gt;"")),162)),"")</f>
        <v/>
      </c>
      <c r="H165" s="12" t="str">
        <f ca="1">IF(B165="","",IFERROR(INDEX(Server_Inventory!$R:$R,MATCH(B165,Server_Inventory!$Z:$Z,0)),"Not Found"))</f>
        <v/>
      </c>
      <c r="I165" s="12" t="str">
        <f ca="1">IF(B165="","",IFERROR(INDEX(Server_Inventory!$S:$S,MATCH(B165,Server_Inventory!$Z:$Z,0)),"Not Found"))</f>
        <v/>
      </c>
      <c r="J165" s="12" t="str">
        <f ca="1">IF(B165="","",COUNTIFS(Server_Inventory!$Z:$Z,B165,Server_Inventory!$P:$P,"R-RETIRED_IN_CMDB"))</f>
        <v/>
      </c>
      <c r="K165" s="12" t="str">
        <f ca="1">IF(B165="","",IFERROR(INDEX(Container_Inventory!$F:$F,MATCH(B165,Container_Inventory!$L:$L,0)),"Not Found"))</f>
        <v/>
      </c>
      <c r="L165" s="12" t="str">
        <f ca="1">IF(B165="","",IF(COUNTIF(Finding_List!$A:$A,B165)&gt;0,"Yes","No"))</f>
        <v/>
      </c>
      <c r="M165" s="12" t="str">
        <f ca="1">IF(B165="","",COUNTIF(Server_Inventory!$Z:$Z,B165))</f>
        <v/>
      </c>
      <c r="N165" s="12" t="str">
        <f ca="1">IF(B165="","",COUNTIF(Container_Inventory!$L:$L,B165))</f>
        <v/>
      </c>
    </row>
    <row r="166" spans="1:14" x14ac:dyDescent="0.2">
      <c r="A16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High"}))*(All_Risk_Apps!$K$4:$K$1233="No")*(All_Risk_Apps!$A$4:$A$1233&lt;&gt;"")),163)),"")</f>
        <v/>
      </c>
      <c r="B16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High"}))*(All_Risk_Apps!$K$4:$K$1233="No")*(All_Risk_Apps!$A$4:$A$1233&lt;&gt;"")),163)),"")</f>
        <v/>
      </c>
      <c r="C16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High"}))*(All_Risk_Apps!$K$4:$K$1233="No")*(All_Risk_Apps!$A$4:$A$1233&lt;&gt;"")),163)),"")</f>
        <v/>
      </c>
      <c r="D16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High"}))*(All_Risk_Apps!$K$4:$K$1233="No")*(All_Risk_Apps!$A$4:$A$1233&lt;&gt;"")),163)),"")</f>
        <v/>
      </c>
      <c r="E16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High"}))*(All_Risk_Apps!$K$4:$K$1233="No")*(All_Risk_Apps!$A$4:$A$1233&lt;&gt;"")),163)),"")</f>
        <v/>
      </c>
      <c r="F16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High"}))*(All_Risk_Apps!$K$4:$K$1233="No")*(All_Risk_Apps!$A$4:$A$1233&lt;&gt;"")),163)),"")</f>
        <v/>
      </c>
      <c r="G16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High"}))*(All_Risk_Apps!$K$4:$K$1233="No")*(All_Risk_Apps!$A$4:$A$1233&lt;&gt;"")),163)),"")</f>
        <v/>
      </c>
      <c r="H166" s="7" t="str">
        <f ca="1">IF(B166="","",IFERROR(INDEX(Server_Inventory!$R:$R,MATCH(B166,Server_Inventory!$Z:$Z,0)),"Not Found"))</f>
        <v/>
      </c>
      <c r="I166" s="7" t="str">
        <f ca="1">IF(B166="","",IFERROR(INDEX(Server_Inventory!$S:$S,MATCH(B166,Server_Inventory!$Z:$Z,0)),"Not Found"))</f>
        <v/>
      </c>
      <c r="J166" s="7" t="str">
        <f ca="1">IF(B166="","",COUNTIFS(Server_Inventory!$Z:$Z,B166,Server_Inventory!$P:$P,"R-RETIRED_IN_CMDB"))</f>
        <v/>
      </c>
      <c r="K166" s="7" t="str">
        <f ca="1">IF(B166="","",IFERROR(INDEX(Container_Inventory!$F:$F,MATCH(B166,Container_Inventory!$L:$L,0)),"Not Found"))</f>
        <v/>
      </c>
      <c r="L166" s="7" t="str">
        <f ca="1">IF(B166="","",IF(COUNTIF(Finding_List!$A:$A,B166)&gt;0,"Yes","No"))</f>
        <v/>
      </c>
      <c r="M166" s="7" t="str">
        <f ca="1">IF(B166="","",COUNTIF(Server_Inventory!$Z:$Z,B166))</f>
        <v/>
      </c>
      <c r="N166" s="7" t="str">
        <f ca="1">IF(B166="","",COUNTIF(Container_Inventory!$L:$L,B166))</f>
        <v/>
      </c>
    </row>
    <row r="167" spans="1:14" x14ac:dyDescent="0.2">
      <c r="A16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High"}))*(All_Risk_Apps!$K$4:$K$1233="No")*(All_Risk_Apps!$A$4:$A$1233&lt;&gt;"")),164)),"")</f>
        <v/>
      </c>
      <c r="B16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High"}))*(All_Risk_Apps!$K$4:$K$1233="No")*(All_Risk_Apps!$A$4:$A$1233&lt;&gt;"")),164)),"")</f>
        <v/>
      </c>
      <c r="C16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High"}))*(All_Risk_Apps!$K$4:$K$1233="No")*(All_Risk_Apps!$A$4:$A$1233&lt;&gt;"")),164)),"")</f>
        <v/>
      </c>
      <c r="D16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High"}))*(All_Risk_Apps!$K$4:$K$1233="No")*(All_Risk_Apps!$A$4:$A$1233&lt;&gt;"")),164)),"")</f>
        <v/>
      </c>
      <c r="E16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High"}))*(All_Risk_Apps!$K$4:$K$1233="No")*(All_Risk_Apps!$A$4:$A$1233&lt;&gt;"")),164)),"")</f>
        <v/>
      </c>
      <c r="F16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High"}))*(All_Risk_Apps!$K$4:$K$1233="No")*(All_Risk_Apps!$A$4:$A$1233&lt;&gt;"")),164)),"")</f>
        <v/>
      </c>
      <c r="G16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High"}))*(All_Risk_Apps!$K$4:$K$1233="No")*(All_Risk_Apps!$A$4:$A$1233&lt;&gt;"")),164)),"")</f>
        <v/>
      </c>
      <c r="H167" s="12" t="str">
        <f ca="1">IF(B167="","",IFERROR(INDEX(Server_Inventory!$R:$R,MATCH(B167,Server_Inventory!$Z:$Z,0)),"Not Found"))</f>
        <v/>
      </c>
      <c r="I167" s="12" t="str">
        <f ca="1">IF(B167="","",IFERROR(INDEX(Server_Inventory!$S:$S,MATCH(B167,Server_Inventory!$Z:$Z,0)),"Not Found"))</f>
        <v/>
      </c>
      <c r="J167" s="12" t="str">
        <f ca="1">IF(B167="","",COUNTIFS(Server_Inventory!$Z:$Z,B167,Server_Inventory!$P:$P,"R-RETIRED_IN_CMDB"))</f>
        <v/>
      </c>
      <c r="K167" s="12" t="str">
        <f ca="1">IF(B167="","",IFERROR(INDEX(Container_Inventory!$F:$F,MATCH(B167,Container_Inventory!$L:$L,0)),"Not Found"))</f>
        <v/>
      </c>
      <c r="L167" s="12" t="str">
        <f ca="1">IF(B167="","",IF(COUNTIF(Finding_List!$A:$A,B167)&gt;0,"Yes","No"))</f>
        <v/>
      </c>
      <c r="M167" s="12" t="str">
        <f ca="1">IF(B167="","",COUNTIF(Server_Inventory!$Z:$Z,B167))</f>
        <v/>
      </c>
      <c r="N167" s="12" t="str">
        <f ca="1">IF(B167="","",COUNTIF(Container_Inventory!$L:$L,B167))</f>
        <v/>
      </c>
    </row>
    <row r="168" spans="1:14" x14ac:dyDescent="0.2">
      <c r="A16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High"}))*(All_Risk_Apps!$K$4:$K$1233="No")*(All_Risk_Apps!$A$4:$A$1233&lt;&gt;"")),165)),"")</f>
        <v/>
      </c>
      <c r="B16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High"}))*(All_Risk_Apps!$K$4:$K$1233="No")*(All_Risk_Apps!$A$4:$A$1233&lt;&gt;"")),165)),"")</f>
        <v/>
      </c>
      <c r="C16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High"}))*(All_Risk_Apps!$K$4:$K$1233="No")*(All_Risk_Apps!$A$4:$A$1233&lt;&gt;"")),165)),"")</f>
        <v/>
      </c>
      <c r="D16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High"}))*(All_Risk_Apps!$K$4:$K$1233="No")*(All_Risk_Apps!$A$4:$A$1233&lt;&gt;"")),165)),"")</f>
        <v/>
      </c>
      <c r="E16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High"}))*(All_Risk_Apps!$K$4:$K$1233="No")*(All_Risk_Apps!$A$4:$A$1233&lt;&gt;"")),165)),"")</f>
        <v/>
      </c>
      <c r="F16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High"}))*(All_Risk_Apps!$K$4:$K$1233="No")*(All_Risk_Apps!$A$4:$A$1233&lt;&gt;"")),165)),"")</f>
        <v/>
      </c>
      <c r="G16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High"}))*(All_Risk_Apps!$K$4:$K$1233="No")*(All_Risk_Apps!$A$4:$A$1233&lt;&gt;"")),165)),"")</f>
        <v/>
      </c>
      <c r="H168" s="7" t="str">
        <f ca="1">IF(B168="","",IFERROR(INDEX(Server_Inventory!$R:$R,MATCH(B168,Server_Inventory!$Z:$Z,0)),"Not Found"))</f>
        <v/>
      </c>
      <c r="I168" s="7" t="str">
        <f ca="1">IF(B168="","",IFERROR(INDEX(Server_Inventory!$S:$S,MATCH(B168,Server_Inventory!$Z:$Z,0)),"Not Found"))</f>
        <v/>
      </c>
      <c r="J168" s="7" t="str">
        <f ca="1">IF(B168="","",COUNTIFS(Server_Inventory!$Z:$Z,B168,Server_Inventory!$P:$P,"R-RETIRED_IN_CMDB"))</f>
        <v/>
      </c>
      <c r="K168" s="7" t="str">
        <f ca="1">IF(B168="","",IFERROR(INDEX(Container_Inventory!$F:$F,MATCH(B168,Container_Inventory!$L:$L,0)),"Not Found"))</f>
        <v/>
      </c>
      <c r="L168" s="7" t="str">
        <f ca="1">IF(B168="","",IF(COUNTIF(Finding_List!$A:$A,B168)&gt;0,"Yes","No"))</f>
        <v/>
      </c>
      <c r="M168" s="7" t="str">
        <f ca="1">IF(B168="","",COUNTIF(Server_Inventory!$Z:$Z,B168))</f>
        <v/>
      </c>
      <c r="N168" s="7" t="str">
        <f ca="1">IF(B168="","",COUNTIF(Container_Inventory!$L:$L,B168))</f>
        <v/>
      </c>
    </row>
    <row r="169" spans="1:14" x14ac:dyDescent="0.2">
      <c r="A16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High"}))*(All_Risk_Apps!$K$4:$K$1233="No")*(All_Risk_Apps!$A$4:$A$1233&lt;&gt;"")),166)),"")</f>
        <v/>
      </c>
      <c r="B16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High"}))*(All_Risk_Apps!$K$4:$K$1233="No")*(All_Risk_Apps!$A$4:$A$1233&lt;&gt;"")),166)),"")</f>
        <v/>
      </c>
      <c r="C16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High"}))*(All_Risk_Apps!$K$4:$K$1233="No")*(All_Risk_Apps!$A$4:$A$1233&lt;&gt;"")),166)),"")</f>
        <v/>
      </c>
      <c r="D16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High"}))*(All_Risk_Apps!$K$4:$K$1233="No")*(All_Risk_Apps!$A$4:$A$1233&lt;&gt;"")),166)),"")</f>
        <v/>
      </c>
      <c r="E16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High"}))*(All_Risk_Apps!$K$4:$K$1233="No")*(All_Risk_Apps!$A$4:$A$1233&lt;&gt;"")),166)),"")</f>
        <v/>
      </c>
      <c r="F16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High"}))*(All_Risk_Apps!$K$4:$K$1233="No")*(All_Risk_Apps!$A$4:$A$1233&lt;&gt;"")),166)),"")</f>
        <v/>
      </c>
      <c r="G16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High"}))*(All_Risk_Apps!$K$4:$K$1233="No")*(All_Risk_Apps!$A$4:$A$1233&lt;&gt;"")),166)),"")</f>
        <v/>
      </c>
      <c r="H169" s="12" t="str">
        <f ca="1">IF(B169="","",IFERROR(INDEX(Server_Inventory!$R:$R,MATCH(B169,Server_Inventory!$Z:$Z,0)),"Not Found"))</f>
        <v/>
      </c>
      <c r="I169" s="12" t="str">
        <f ca="1">IF(B169="","",IFERROR(INDEX(Server_Inventory!$S:$S,MATCH(B169,Server_Inventory!$Z:$Z,0)),"Not Found"))</f>
        <v/>
      </c>
      <c r="J169" s="12" t="str">
        <f ca="1">IF(B169="","",COUNTIFS(Server_Inventory!$Z:$Z,B169,Server_Inventory!$P:$P,"R-RETIRED_IN_CMDB"))</f>
        <v/>
      </c>
      <c r="K169" s="12" t="str">
        <f ca="1">IF(B169="","",IFERROR(INDEX(Container_Inventory!$F:$F,MATCH(B169,Container_Inventory!$L:$L,0)),"Not Found"))</f>
        <v/>
      </c>
      <c r="L169" s="12" t="str">
        <f ca="1">IF(B169="","",IF(COUNTIF(Finding_List!$A:$A,B169)&gt;0,"Yes","No"))</f>
        <v/>
      </c>
      <c r="M169" s="12" t="str">
        <f ca="1">IF(B169="","",COUNTIF(Server_Inventory!$Z:$Z,B169))</f>
        <v/>
      </c>
      <c r="N169" s="12" t="str">
        <f ca="1">IF(B169="","",COUNTIF(Container_Inventory!$L:$L,B169))</f>
        <v/>
      </c>
    </row>
    <row r="170" spans="1:14" x14ac:dyDescent="0.2">
      <c r="A17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High"}))*(All_Risk_Apps!$K$4:$K$1233="No")*(All_Risk_Apps!$A$4:$A$1233&lt;&gt;"")),167)),"")</f>
        <v/>
      </c>
      <c r="B17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High"}))*(All_Risk_Apps!$K$4:$K$1233="No")*(All_Risk_Apps!$A$4:$A$1233&lt;&gt;"")),167)),"")</f>
        <v/>
      </c>
      <c r="C17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High"}))*(All_Risk_Apps!$K$4:$K$1233="No")*(All_Risk_Apps!$A$4:$A$1233&lt;&gt;"")),167)),"")</f>
        <v/>
      </c>
      <c r="D17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High"}))*(All_Risk_Apps!$K$4:$K$1233="No")*(All_Risk_Apps!$A$4:$A$1233&lt;&gt;"")),167)),"")</f>
        <v/>
      </c>
      <c r="E17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High"}))*(All_Risk_Apps!$K$4:$K$1233="No")*(All_Risk_Apps!$A$4:$A$1233&lt;&gt;"")),167)),"")</f>
        <v/>
      </c>
      <c r="F17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High"}))*(All_Risk_Apps!$K$4:$K$1233="No")*(All_Risk_Apps!$A$4:$A$1233&lt;&gt;"")),167)),"")</f>
        <v/>
      </c>
      <c r="G17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High"}))*(All_Risk_Apps!$K$4:$K$1233="No")*(All_Risk_Apps!$A$4:$A$1233&lt;&gt;"")),167)),"")</f>
        <v/>
      </c>
      <c r="H170" s="7" t="str">
        <f ca="1">IF(B170="","",IFERROR(INDEX(Server_Inventory!$R:$R,MATCH(B170,Server_Inventory!$Z:$Z,0)),"Not Found"))</f>
        <v/>
      </c>
      <c r="I170" s="7" t="str">
        <f ca="1">IF(B170="","",IFERROR(INDEX(Server_Inventory!$S:$S,MATCH(B170,Server_Inventory!$Z:$Z,0)),"Not Found"))</f>
        <v/>
      </c>
      <c r="J170" s="7" t="str">
        <f ca="1">IF(B170="","",COUNTIFS(Server_Inventory!$Z:$Z,B170,Server_Inventory!$P:$P,"R-RETIRED_IN_CMDB"))</f>
        <v/>
      </c>
      <c r="K170" s="7" t="str">
        <f ca="1">IF(B170="","",IFERROR(INDEX(Container_Inventory!$F:$F,MATCH(B170,Container_Inventory!$L:$L,0)),"Not Found"))</f>
        <v/>
      </c>
      <c r="L170" s="7" t="str">
        <f ca="1">IF(B170="","",IF(COUNTIF(Finding_List!$A:$A,B170)&gt;0,"Yes","No"))</f>
        <v/>
      </c>
      <c r="M170" s="7" t="str">
        <f ca="1">IF(B170="","",COUNTIF(Server_Inventory!$Z:$Z,B170))</f>
        <v/>
      </c>
      <c r="N170" s="7" t="str">
        <f ca="1">IF(B170="","",COUNTIF(Container_Inventory!$L:$L,B170))</f>
        <v/>
      </c>
    </row>
    <row r="171" spans="1:14" x14ac:dyDescent="0.2">
      <c r="A17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High"}))*(All_Risk_Apps!$K$4:$K$1233="No")*(All_Risk_Apps!$A$4:$A$1233&lt;&gt;"")),168)),"")</f>
        <v/>
      </c>
      <c r="B17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High"}))*(All_Risk_Apps!$K$4:$K$1233="No")*(All_Risk_Apps!$A$4:$A$1233&lt;&gt;"")),168)),"")</f>
        <v/>
      </c>
      <c r="C17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High"}))*(All_Risk_Apps!$K$4:$K$1233="No")*(All_Risk_Apps!$A$4:$A$1233&lt;&gt;"")),168)),"")</f>
        <v/>
      </c>
      <c r="D17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High"}))*(All_Risk_Apps!$K$4:$K$1233="No")*(All_Risk_Apps!$A$4:$A$1233&lt;&gt;"")),168)),"")</f>
        <v/>
      </c>
      <c r="E17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High"}))*(All_Risk_Apps!$K$4:$K$1233="No")*(All_Risk_Apps!$A$4:$A$1233&lt;&gt;"")),168)),"")</f>
        <v/>
      </c>
      <c r="F17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High"}))*(All_Risk_Apps!$K$4:$K$1233="No")*(All_Risk_Apps!$A$4:$A$1233&lt;&gt;"")),168)),"")</f>
        <v/>
      </c>
      <c r="G17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High"}))*(All_Risk_Apps!$K$4:$K$1233="No")*(All_Risk_Apps!$A$4:$A$1233&lt;&gt;"")),168)),"")</f>
        <v/>
      </c>
      <c r="H171" s="12" t="str">
        <f ca="1">IF(B171="","",IFERROR(INDEX(Server_Inventory!$R:$R,MATCH(B171,Server_Inventory!$Z:$Z,0)),"Not Found"))</f>
        <v/>
      </c>
      <c r="I171" s="12" t="str">
        <f ca="1">IF(B171="","",IFERROR(INDEX(Server_Inventory!$S:$S,MATCH(B171,Server_Inventory!$Z:$Z,0)),"Not Found"))</f>
        <v/>
      </c>
      <c r="J171" s="12" t="str">
        <f ca="1">IF(B171="","",COUNTIFS(Server_Inventory!$Z:$Z,B171,Server_Inventory!$P:$P,"R-RETIRED_IN_CMDB"))</f>
        <v/>
      </c>
      <c r="K171" s="12" t="str">
        <f ca="1">IF(B171="","",IFERROR(INDEX(Container_Inventory!$F:$F,MATCH(B171,Container_Inventory!$L:$L,0)),"Not Found"))</f>
        <v/>
      </c>
      <c r="L171" s="12" t="str">
        <f ca="1">IF(B171="","",IF(COUNTIF(Finding_List!$A:$A,B171)&gt;0,"Yes","No"))</f>
        <v/>
      </c>
      <c r="M171" s="12" t="str">
        <f ca="1">IF(B171="","",COUNTIF(Server_Inventory!$Z:$Z,B171))</f>
        <v/>
      </c>
      <c r="N171" s="12" t="str">
        <f ca="1">IF(B171="","",COUNTIF(Container_Inventory!$L:$L,B171))</f>
        <v/>
      </c>
    </row>
    <row r="172" spans="1:14" x14ac:dyDescent="0.2">
      <c r="A17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High"}))*(All_Risk_Apps!$K$4:$K$1233="No")*(All_Risk_Apps!$A$4:$A$1233&lt;&gt;"")),169)),"")</f>
        <v/>
      </c>
      <c r="B17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High"}))*(All_Risk_Apps!$K$4:$K$1233="No")*(All_Risk_Apps!$A$4:$A$1233&lt;&gt;"")),169)),"")</f>
        <v/>
      </c>
      <c r="C17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High"}))*(All_Risk_Apps!$K$4:$K$1233="No")*(All_Risk_Apps!$A$4:$A$1233&lt;&gt;"")),169)),"")</f>
        <v/>
      </c>
      <c r="D17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High"}))*(All_Risk_Apps!$K$4:$K$1233="No")*(All_Risk_Apps!$A$4:$A$1233&lt;&gt;"")),169)),"")</f>
        <v/>
      </c>
      <c r="E17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High"}))*(All_Risk_Apps!$K$4:$K$1233="No")*(All_Risk_Apps!$A$4:$A$1233&lt;&gt;"")),169)),"")</f>
        <v/>
      </c>
      <c r="F17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High"}))*(All_Risk_Apps!$K$4:$K$1233="No")*(All_Risk_Apps!$A$4:$A$1233&lt;&gt;"")),169)),"")</f>
        <v/>
      </c>
      <c r="G17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High"}))*(All_Risk_Apps!$K$4:$K$1233="No")*(All_Risk_Apps!$A$4:$A$1233&lt;&gt;"")),169)),"")</f>
        <v/>
      </c>
      <c r="H172" s="7" t="str">
        <f ca="1">IF(B172="","",IFERROR(INDEX(Server_Inventory!$R:$R,MATCH(B172,Server_Inventory!$Z:$Z,0)),"Not Found"))</f>
        <v/>
      </c>
      <c r="I172" s="7" t="str">
        <f ca="1">IF(B172="","",IFERROR(INDEX(Server_Inventory!$S:$S,MATCH(B172,Server_Inventory!$Z:$Z,0)),"Not Found"))</f>
        <v/>
      </c>
      <c r="J172" s="7" t="str">
        <f ca="1">IF(B172="","",COUNTIFS(Server_Inventory!$Z:$Z,B172,Server_Inventory!$P:$P,"R-RETIRED_IN_CMDB"))</f>
        <v/>
      </c>
      <c r="K172" s="7" t="str">
        <f ca="1">IF(B172="","",IFERROR(INDEX(Container_Inventory!$F:$F,MATCH(B172,Container_Inventory!$L:$L,0)),"Not Found"))</f>
        <v/>
      </c>
      <c r="L172" s="7" t="str">
        <f ca="1">IF(B172="","",IF(COUNTIF(Finding_List!$A:$A,B172)&gt;0,"Yes","No"))</f>
        <v/>
      </c>
      <c r="M172" s="7" t="str">
        <f ca="1">IF(B172="","",COUNTIF(Server_Inventory!$Z:$Z,B172))</f>
        <v/>
      </c>
      <c r="N172" s="7" t="str">
        <f ca="1">IF(B172="","",COUNTIF(Container_Inventory!$L:$L,B172))</f>
        <v/>
      </c>
    </row>
    <row r="173" spans="1:14" x14ac:dyDescent="0.2">
      <c r="A17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High"}))*(All_Risk_Apps!$K$4:$K$1233="No")*(All_Risk_Apps!$A$4:$A$1233&lt;&gt;"")),170)),"")</f>
        <v/>
      </c>
      <c r="B17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High"}))*(All_Risk_Apps!$K$4:$K$1233="No")*(All_Risk_Apps!$A$4:$A$1233&lt;&gt;"")),170)),"")</f>
        <v/>
      </c>
      <c r="C17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High"}))*(All_Risk_Apps!$K$4:$K$1233="No")*(All_Risk_Apps!$A$4:$A$1233&lt;&gt;"")),170)),"")</f>
        <v/>
      </c>
      <c r="D17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High"}))*(All_Risk_Apps!$K$4:$K$1233="No")*(All_Risk_Apps!$A$4:$A$1233&lt;&gt;"")),170)),"")</f>
        <v/>
      </c>
      <c r="E17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High"}))*(All_Risk_Apps!$K$4:$K$1233="No")*(All_Risk_Apps!$A$4:$A$1233&lt;&gt;"")),170)),"")</f>
        <v/>
      </c>
      <c r="F17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High"}))*(All_Risk_Apps!$K$4:$K$1233="No")*(All_Risk_Apps!$A$4:$A$1233&lt;&gt;"")),170)),"")</f>
        <v/>
      </c>
      <c r="G17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High"}))*(All_Risk_Apps!$K$4:$K$1233="No")*(All_Risk_Apps!$A$4:$A$1233&lt;&gt;"")),170)),"")</f>
        <v/>
      </c>
      <c r="H173" s="12" t="str">
        <f ca="1">IF(B173="","",IFERROR(INDEX(Server_Inventory!$R:$R,MATCH(B173,Server_Inventory!$Z:$Z,0)),"Not Found"))</f>
        <v/>
      </c>
      <c r="I173" s="12" t="str">
        <f ca="1">IF(B173="","",IFERROR(INDEX(Server_Inventory!$S:$S,MATCH(B173,Server_Inventory!$Z:$Z,0)),"Not Found"))</f>
        <v/>
      </c>
      <c r="J173" s="12" t="str">
        <f ca="1">IF(B173="","",COUNTIFS(Server_Inventory!$Z:$Z,B173,Server_Inventory!$P:$P,"R-RETIRED_IN_CMDB"))</f>
        <v/>
      </c>
      <c r="K173" s="12" t="str">
        <f ca="1">IF(B173="","",IFERROR(INDEX(Container_Inventory!$F:$F,MATCH(B173,Container_Inventory!$L:$L,0)),"Not Found"))</f>
        <v/>
      </c>
      <c r="L173" s="12" t="str">
        <f ca="1">IF(B173="","",IF(COUNTIF(Finding_List!$A:$A,B173)&gt;0,"Yes","No"))</f>
        <v/>
      </c>
      <c r="M173" s="12" t="str">
        <f ca="1">IF(B173="","",COUNTIF(Server_Inventory!$Z:$Z,B173))</f>
        <v/>
      </c>
      <c r="N173" s="12" t="str">
        <f ca="1">IF(B173="","",COUNTIF(Container_Inventory!$L:$L,B173))</f>
        <v/>
      </c>
    </row>
    <row r="174" spans="1:14" x14ac:dyDescent="0.2">
      <c r="A17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High"}))*(All_Risk_Apps!$K$4:$K$1233="No")*(All_Risk_Apps!$A$4:$A$1233&lt;&gt;"")),171)),"")</f>
        <v/>
      </c>
      <c r="B17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High"}))*(All_Risk_Apps!$K$4:$K$1233="No")*(All_Risk_Apps!$A$4:$A$1233&lt;&gt;"")),171)),"")</f>
        <v/>
      </c>
      <c r="C17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High"}))*(All_Risk_Apps!$K$4:$K$1233="No")*(All_Risk_Apps!$A$4:$A$1233&lt;&gt;"")),171)),"")</f>
        <v/>
      </c>
      <c r="D17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High"}))*(All_Risk_Apps!$K$4:$K$1233="No")*(All_Risk_Apps!$A$4:$A$1233&lt;&gt;"")),171)),"")</f>
        <v/>
      </c>
      <c r="E17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High"}))*(All_Risk_Apps!$K$4:$K$1233="No")*(All_Risk_Apps!$A$4:$A$1233&lt;&gt;"")),171)),"")</f>
        <v/>
      </c>
      <c r="F17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High"}))*(All_Risk_Apps!$K$4:$K$1233="No")*(All_Risk_Apps!$A$4:$A$1233&lt;&gt;"")),171)),"")</f>
        <v/>
      </c>
      <c r="G17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High"}))*(All_Risk_Apps!$K$4:$K$1233="No")*(All_Risk_Apps!$A$4:$A$1233&lt;&gt;"")),171)),"")</f>
        <v/>
      </c>
      <c r="H174" s="7" t="str">
        <f ca="1">IF(B174="","",IFERROR(INDEX(Server_Inventory!$R:$R,MATCH(B174,Server_Inventory!$Z:$Z,0)),"Not Found"))</f>
        <v/>
      </c>
      <c r="I174" s="7" t="str">
        <f ca="1">IF(B174="","",IFERROR(INDEX(Server_Inventory!$S:$S,MATCH(B174,Server_Inventory!$Z:$Z,0)),"Not Found"))</f>
        <v/>
      </c>
      <c r="J174" s="7" t="str">
        <f ca="1">IF(B174="","",COUNTIFS(Server_Inventory!$Z:$Z,B174,Server_Inventory!$P:$P,"R-RETIRED_IN_CMDB"))</f>
        <v/>
      </c>
      <c r="K174" s="7" t="str">
        <f ca="1">IF(B174="","",IFERROR(INDEX(Container_Inventory!$F:$F,MATCH(B174,Container_Inventory!$L:$L,0)),"Not Found"))</f>
        <v/>
      </c>
      <c r="L174" s="7" t="str">
        <f ca="1">IF(B174="","",IF(COUNTIF(Finding_List!$A:$A,B174)&gt;0,"Yes","No"))</f>
        <v/>
      </c>
      <c r="M174" s="7" t="str">
        <f ca="1">IF(B174="","",COUNTIF(Server_Inventory!$Z:$Z,B174))</f>
        <v/>
      </c>
      <c r="N174" s="7" t="str">
        <f ca="1">IF(B174="","",COUNTIF(Container_Inventory!$L:$L,B174))</f>
        <v/>
      </c>
    </row>
    <row r="175" spans="1:14" x14ac:dyDescent="0.2">
      <c r="A17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High"}))*(All_Risk_Apps!$K$4:$K$1233="No")*(All_Risk_Apps!$A$4:$A$1233&lt;&gt;"")),172)),"")</f>
        <v/>
      </c>
      <c r="B17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High"}))*(All_Risk_Apps!$K$4:$K$1233="No")*(All_Risk_Apps!$A$4:$A$1233&lt;&gt;"")),172)),"")</f>
        <v/>
      </c>
      <c r="C17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High"}))*(All_Risk_Apps!$K$4:$K$1233="No")*(All_Risk_Apps!$A$4:$A$1233&lt;&gt;"")),172)),"")</f>
        <v/>
      </c>
      <c r="D17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High"}))*(All_Risk_Apps!$K$4:$K$1233="No")*(All_Risk_Apps!$A$4:$A$1233&lt;&gt;"")),172)),"")</f>
        <v/>
      </c>
      <c r="E17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High"}))*(All_Risk_Apps!$K$4:$K$1233="No")*(All_Risk_Apps!$A$4:$A$1233&lt;&gt;"")),172)),"")</f>
        <v/>
      </c>
      <c r="F17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High"}))*(All_Risk_Apps!$K$4:$K$1233="No")*(All_Risk_Apps!$A$4:$A$1233&lt;&gt;"")),172)),"")</f>
        <v/>
      </c>
      <c r="G17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High"}))*(All_Risk_Apps!$K$4:$K$1233="No")*(All_Risk_Apps!$A$4:$A$1233&lt;&gt;"")),172)),"")</f>
        <v/>
      </c>
      <c r="H175" s="12" t="str">
        <f ca="1">IF(B175="","",IFERROR(INDEX(Server_Inventory!$R:$R,MATCH(B175,Server_Inventory!$Z:$Z,0)),"Not Found"))</f>
        <v/>
      </c>
      <c r="I175" s="12" t="str">
        <f ca="1">IF(B175="","",IFERROR(INDEX(Server_Inventory!$S:$S,MATCH(B175,Server_Inventory!$Z:$Z,0)),"Not Found"))</f>
        <v/>
      </c>
      <c r="J175" s="12" t="str">
        <f ca="1">IF(B175="","",COUNTIFS(Server_Inventory!$Z:$Z,B175,Server_Inventory!$P:$P,"R-RETIRED_IN_CMDB"))</f>
        <v/>
      </c>
      <c r="K175" s="12" t="str">
        <f ca="1">IF(B175="","",IFERROR(INDEX(Container_Inventory!$F:$F,MATCH(B175,Container_Inventory!$L:$L,0)),"Not Found"))</f>
        <v/>
      </c>
      <c r="L175" s="12" t="str">
        <f ca="1">IF(B175="","",IF(COUNTIF(Finding_List!$A:$A,B175)&gt;0,"Yes","No"))</f>
        <v/>
      </c>
      <c r="M175" s="12" t="str">
        <f ca="1">IF(B175="","",COUNTIF(Server_Inventory!$Z:$Z,B175))</f>
        <v/>
      </c>
      <c r="N175" s="12" t="str">
        <f ca="1">IF(B175="","",COUNTIF(Container_Inventory!$L:$L,B175))</f>
        <v/>
      </c>
    </row>
    <row r="176" spans="1:14" x14ac:dyDescent="0.2">
      <c r="A17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High"}))*(All_Risk_Apps!$K$4:$K$1233="No")*(All_Risk_Apps!$A$4:$A$1233&lt;&gt;"")),173)),"")</f>
        <v/>
      </c>
      <c r="B17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High"}))*(All_Risk_Apps!$K$4:$K$1233="No")*(All_Risk_Apps!$A$4:$A$1233&lt;&gt;"")),173)),"")</f>
        <v/>
      </c>
      <c r="C17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High"}))*(All_Risk_Apps!$K$4:$K$1233="No")*(All_Risk_Apps!$A$4:$A$1233&lt;&gt;"")),173)),"")</f>
        <v/>
      </c>
      <c r="D17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High"}))*(All_Risk_Apps!$K$4:$K$1233="No")*(All_Risk_Apps!$A$4:$A$1233&lt;&gt;"")),173)),"")</f>
        <v/>
      </c>
      <c r="E17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High"}))*(All_Risk_Apps!$K$4:$K$1233="No")*(All_Risk_Apps!$A$4:$A$1233&lt;&gt;"")),173)),"")</f>
        <v/>
      </c>
      <c r="F17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High"}))*(All_Risk_Apps!$K$4:$K$1233="No")*(All_Risk_Apps!$A$4:$A$1233&lt;&gt;"")),173)),"")</f>
        <v/>
      </c>
      <c r="G17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High"}))*(All_Risk_Apps!$K$4:$K$1233="No")*(All_Risk_Apps!$A$4:$A$1233&lt;&gt;"")),173)),"")</f>
        <v/>
      </c>
      <c r="H176" s="7" t="str">
        <f ca="1">IF(B176="","",IFERROR(INDEX(Server_Inventory!$R:$R,MATCH(B176,Server_Inventory!$Z:$Z,0)),"Not Found"))</f>
        <v/>
      </c>
      <c r="I176" s="7" t="str">
        <f ca="1">IF(B176="","",IFERROR(INDEX(Server_Inventory!$S:$S,MATCH(B176,Server_Inventory!$Z:$Z,0)),"Not Found"))</f>
        <v/>
      </c>
      <c r="J176" s="7" t="str">
        <f ca="1">IF(B176="","",COUNTIFS(Server_Inventory!$Z:$Z,B176,Server_Inventory!$P:$P,"R-RETIRED_IN_CMDB"))</f>
        <v/>
      </c>
      <c r="K176" s="7" t="str">
        <f ca="1">IF(B176="","",IFERROR(INDEX(Container_Inventory!$F:$F,MATCH(B176,Container_Inventory!$L:$L,0)),"Not Found"))</f>
        <v/>
      </c>
      <c r="L176" s="7" t="str">
        <f ca="1">IF(B176="","",IF(COUNTIF(Finding_List!$A:$A,B176)&gt;0,"Yes","No"))</f>
        <v/>
      </c>
      <c r="M176" s="7" t="str">
        <f ca="1">IF(B176="","",COUNTIF(Server_Inventory!$Z:$Z,B176))</f>
        <v/>
      </c>
      <c r="N176" s="7" t="str">
        <f ca="1">IF(B176="","",COUNTIF(Container_Inventory!$L:$L,B176))</f>
        <v/>
      </c>
    </row>
    <row r="177" spans="1:14" x14ac:dyDescent="0.2">
      <c r="A17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High"}))*(All_Risk_Apps!$K$4:$K$1233="No")*(All_Risk_Apps!$A$4:$A$1233&lt;&gt;"")),174)),"")</f>
        <v/>
      </c>
      <c r="B17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High"}))*(All_Risk_Apps!$K$4:$K$1233="No")*(All_Risk_Apps!$A$4:$A$1233&lt;&gt;"")),174)),"")</f>
        <v/>
      </c>
      <c r="C17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High"}))*(All_Risk_Apps!$K$4:$K$1233="No")*(All_Risk_Apps!$A$4:$A$1233&lt;&gt;"")),174)),"")</f>
        <v/>
      </c>
      <c r="D17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High"}))*(All_Risk_Apps!$K$4:$K$1233="No")*(All_Risk_Apps!$A$4:$A$1233&lt;&gt;"")),174)),"")</f>
        <v/>
      </c>
      <c r="E17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High"}))*(All_Risk_Apps!$K$4:$K$1233="No")*(All_Risk_Apps!$A$4:$A$1233&lt;&gt;"")),174)),"")</f>
        <v/>
      </c>
      <c r="F17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High"}))*(All_Risk_Apps!$K$4:$K$1233="No")*(All_Risk_Apps!$A$4:$A$1233&lt;&gt;"")),174)),"")</f>
        <v/>
      </c>
      <c r="G17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High"}))*(All_Risk_Apps!$K$4:$K$1233="No")*(All_Risk_Apps!$A$4:$A$1233&lt;&gt;"")),174)),"")</f>
        <v/>
      </c>
      <c r="H177" s="12" t="str">
        <f ca="1">IF(B177="","",IFERROR(INDEX(Server_Inventory!$R:$R,MATCH(B177,Server_Inventory!$Z:$Z,0)),"Not Found"))</f>
        <v/>
      </c>
      <c r="I177" s="12" t="str">
        <f ca="1">IF(B177="","",IFERROR(INDEX(Server_Inventory!$S:$S,MATCH(B177,Server_Inventory!$Z:$Z,0)),"Not Found"))</f>
        <v/>
      </c>
      <c r="J177" s="12" t="str">
        <f ca="1">IF(B177="","",COUNTIFS(Server_Inventory!$Z:$Z,B177,Server_Inventory!$P:$P,"R-RETIRED_IN_CMDB"))</f>
        <v/>
      </c>
      <c r="K177" s="12" t="str">
        <f ca="1">IF(B177="","",IFERROR(INDEX(Container_Inventory!$F:$F,MATCH(B177,Container_Inventory!$L:$L,0)),"Not Found"))</f>
        <v/>
      </c>
      <c r="L177" s="12" t="str">
        <f ca="1">IF(B177="","",IF(COUNTIF(Finding_List!$A:$A,B177)&gt;0,"Yes","No"))</f>
        <v/>
      </c>
      <c r="M177" s="12" t="str">
        <f ca="1">IF(B177="","",COUNTIF(Server_Inventory!$Z:$Z,B177))</f>
        <v/>
      </c>
      <c r="N177" s="12" t="str">
        <f ca="1">IF(B177="","",COUNTIF(Container_Inventory!$L:$L,B177))</f>
        <v/>
      </c>
    </row>
    <row r="178" spans="1:14" x14ac:dyDescent="0.2">
      <c r="A17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High"}))*(All_Risk_Apps!$K$4:$K$1233="No")*(All_Risk_Apps!$A$4:$A$1233&lt;&gt;"")),175)),"")</f>
        <v/>
      </c>
      <c r="B17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High"}))*(All_Risk_Apps!$K$4:$K$1233="No")*(All_Risk_Apps!$A$4:$A$1233&lt;&gt;"")),175)),"")</f>
        <v/>
      </c>
      <c r="C17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High"}))*(All_Risk_Apps!$K$4:$K$1233="No")*(All_Risk_Apps!$A$4:$A$1233&lt;&gt;"")),175)),"")</f>
        <v/>
      </c>
      <c r="D17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High"}))*(All_Risk_Apps!$K$4:$K$1233="No")*(All_Risk_Apps!$A$4:$A$1233&lt;&gt;"")),175)),"")</f>
        <v/>
      </c>
      <c r="E17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High"}))*(All_Risk_Apps!$K$4:$K$1233="No")*(All_Risk_Apps!$A$4:$A$1233&lt;&gt;"")),175)),"")</f>
        <v/>
      </c>
      <c r="F17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High"}))*(All_Risk_Apps!$K$4:$K$1233="No")*(All_Risk_Apps!$A$4:$A$1233&lt;&gt;"")),175)),"")</f>
        <v/>
      </c>
      <c r="G17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High"}))*(All_Risk_Apps!$K$4:$K$1233="No")*(All_Risk_Apps!$A$4:$A$1233&lt;&gt;"")),175)),"")</f>
        <v/>
      </c>
      <c r="H178" s="7" t="str">
        <f ca="1">IF(B178="","",IFERROR(INDEX(Server_Inventory!$R:$R,MATCH(B178,Server_Inventory!$Z:$Z,0)),"Not Found"))</f>
        <v/>
      </c>
      <c r="I178" s="7" t="str">
        <f ca="1">IF(B178="","",IFERROR(INDEX(Server_Inventory!$S:$S,MATCH(B178,Server_Inventory!$Z:$Z,0)),"Not Found"))</f>
        <v/>
      </c>
      <c r="J178" s="7" t="str">
        <f ca="1">IF(B178="","",COUNTIFS(Server_Inventory!$Z:$Z,B178,Server_Inventory!$P:$P,"R-RETIRED_IN_CMDB"))</f>
        <v/>
      </c>
      <c r="K178" s="7" t="str">
        <f ca="1">IF(B178="","",IFERROR(INDEX(Container_Inventory!$F:$F,MATCH(B178,Container_Inventory!$L:$L,0)),"Not Found"))</f>
        <v/>
      </c>
      <c r="L178" s="7" t="str">
        <f ca="1">IF(B178="","",IF(COUNTIF(Finding_List!$A:$A,B178)&gt;0,"Yes","No"))</f>
        <v/>
      </c>
      <c r="M178" s="7" t="str">
        <f ca="1">IF(B178="","",COUNTIF(Server_Inventory!$Z:$Z,B178))</f>
        <v/>
      </c>
      <c r="N178" s="7" t="str">
        <f ca="1">IF(B178="","",COUNTIF(Container_Inventory!$L:$L,B178))</f>
        <v/>
      </c>
    </row>
    <row r="179" spans="1:14" x14ac:dyDescent="0.2">
      <c r="A17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High"}))*(All_Risk_Apps!$K$4:$K$1233="No")*(All_Risk_Apps!$A$4:$A$1233&lt;&gt;"")),176)),"")</f>
        <v/>
      </c>
      <c r="B17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High"}))*(All_Risk_Apps!$K$4:$K$1233="No")*(All_Risk_Apps!$A$4:$A$1233&lt;&gt;"")),176)),"")</f>
        <v/>
      </c>
      <c r="C17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High"}))*(All_Risk_Apps!$K$4:$K$1233="No")*(All_Risk_Apps!$A$4:$A$1233&lt;&gt;"")),176)),"")</f>
        <v/>
      </c>
      <c r="D17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High"}))*(All_Risk_Apps!$K$4:$K$1233="No")*(All_Risk_Apps!$A$4:$A$1233&lt;&gt;"")),176)),"")</f>
        <v/>
      </c>
      <c r="E17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High"}))*(All_Risk_Apps!$K$4:$K$1233="No")*(All_Risk_Apps!$A$4:$A$1233&lt;&gt;"")),176)),"")</f>
        <v/>
      </c>
      <c r="F17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High"}))*(All_Risk_Apps!$K$4:$K$1233="No")*(All_Risk_Apps!$A$4:$A$1233&lt;&gt;"")),176)),"")</f>
        <v/>
      </c>
      <c r="G17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High"}))*(All_Risk_Apps!$K$4:$K$1233="No")*(All_Risk_Apps!$A$4:$A$1233&lt;&gt;"")),176)),"")</f>
        <v/>
      </c>
      <c r="H179" s="12" t="str">
        <f ca="1">IF(B179="","",IFERROR(INDEX(Server_Inventory!$R:$R,MATCH(B179,Server_Inventory!$Z:$Z,0)),"Not Found"))</f>
        <v/>
      </c>
      <c r="I179" s="12" t="str">
        <f ca="1">IF(B179="","",IFERROR(INDEX(Server_Inventory!$S:$S,MATCH(B179,Server_Inventory!$Z:$Z,0)),"Not Found"))</f>
        <v/>
      </c>
      <c r="J179" s="12" t="str">
        <f ca="1">IF(B179="","",COUNTIFS(Server_Inventory!$Z:$Z,B179,Server_Inventory!$P:$P,"R-RETIRED_IN_CMDB"))</f>
        <v/>
      </c>
      <c r="K179" s="12" t="str">
        <f ca="1">IF(B179="","",IFERROR(INDEX(Container_Inventory!$F:$F,MATCH(B179,Container_Inventory!$L:$L,0)),"Not Found"))</f>
        <v/>
      </c>
      <c r="L179" s="12" t="str">
        <f ca="1">IF(B179="","",IF(COUNTIF(Finding_List!$A:$A,B179)&gt;0,"Yes","No"))</f>
        <v/>
      </c>
      <c r="M179" s="12" t="str">
        <f ca="1">IF(B179="","",COUNTIF(Server_Inventory!$Z:$Z,B179))</f>
        <v/>
      </c>
      <c r="N179" s="12" t="str">
        <f ca="1">IF(B179="","",COUNTIF(Container_Inventory!$L:$L,B179))</f>
        <v/>
      </c>
    </row>
    <row r="180" spans="1:14" x14ac:dyDescent="0.2">
      <c r="A18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High"}))*(All_Risk_Apps!$K$4:$K$1233="No")*(All_Risk_Apps!$A$4:$A$1233&lt;&gt;"")),177)),"")</f>
        <v/>
      </c>
      <c r="B18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High"}))*(All_Risk_Apps!$K$4:$K$1233="No")*(All_Risk_Apps!$A$4:$A$1233&lt;&gt;"")),177)),"")</f>
        <v/>
      </c>
      <c r="C18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High"}))*(All_Risk_Apps!$K$4:$K$1233="No")*(All_Risk_Apps!$A$4:$A$1233&lt;&gt;"")),177)),"")</f>
        <v/>
      </c>
      <c r="D18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High"}))*(All_Risk_Apps!$K$4:$K$1233="No")*(All_Risk_Apps!$A$4:$A$1233&lt;&gt;"")),177)),"")</f>
        <v/>
      </c>
      <c r="E18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High"}))*(All_Risk_Apps!$K$4:$K$1233="No")*(All_Risk_Apps!$A$4:$A$1233&lt;&gt;"")),177)),"")</f>
        <v/>
      </c>
      <c r="F18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High"}))*(All_Risk_Apps!$K$4:$K$1233="No")*(All_Risk_Apps!$A$4:$A$1233&lt;&gt;"")),177)),"")</f>
        <v/>
      </c>
      <c r="G18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High"}))*(All_Risk_Apps!$K$4:$K$1233="No")*(All_Risk_Apps!$A$4:$A$1233&lt;&gt;"")),177)),"")</f>
        <v/>
      </c>
      <c r="H180" s="7" t="str">
        <f ca="1">IF(B180="","",IFERROR(INDEX(Server_Inventory!$R:$R,MATCH(B180,Server_Inventory!$Z:$Z,0)),"Not Found"))</f>
        <v/>
      </c>
      <c r="I180" s="7" t="str">
        <f ca="1">IF(B180="","",IFERROR(INDEX(Server_Inventory!$S:$S,MATCH(B180,Server_Inventory!$Z:$Z,0)),"Not Found"))</f>
        <v/>
      </c>
      <c r="J180" s="7" t="str">
        <f ca="1">IF(B180="","",COUNTIFS(Server_Inventory!$Z:$Z,B180,Server_Inventory!$P:$P,"R-RETIRED_IN_CMDB"))</f>
        <v/>
      </c>
      <c r="K180" s="7" t="str">
        <f ca="1">IF(B180="","",IFERROR(INDEX(Container_Inventory!$F:$F,MATCH(B180,Container_Inventory!$L:$L,0)),"Not Found"))</f>
        <v/>
      </c>
      <c r="L180" s="7" t="str">
        <f ca="1">IF(B180="","",IF(COUNTIF(Finding_List!$A:$A,B180)&gt;0,"Yes","No"))</f>
        <v/>
      </c>
      <c r="M180" s="7" t="str">
        <f ca="1">IF(B180="","",COUNTIF(Server_Inventory!$Z:$Z,B180))</f>
        <v/>
      </c>
      <c r="N180" s="7" t="str">
        <f ca="1">IF(B180="","",COUNTIF(Container_Inventory!$L:$L,B180))</f>
        <v/>
      </c>
    </row>
    <row r="181" spans="1:14" x14ac:dyDescent="0.2">
      <c r="A18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High"}))*(All_Risk_Apps!$K$4:$K$1233="No")*(All_Risk_Apps!$A$4:$A$1233&lt;&gt;"")),178)),"")</f>
        <v/>
      </c>
      <c r="B18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High"}))*(All_Risk_Apps!$K$4:$K$1233="No")*(All_Risk_Apps!$A$4:$A$1233&lt;&gt;"")),178)),"")</f>
        <v/>
      </c>
      <c r="C18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High"}))*(All_Risk_Apps!$K$4:$K$1233="No")*(All_Risk_Apps!$A$4:$A$1233&lt;&gt;"")),178)),"")</f>
        <v/>
      </c>
      <c r="D18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High"}))*(All_Risk_Apps!$K$4:$K$1233="No")*(All_Risk_Apps!$A$4:$A$1233&lt;&gt;"")),178)),"")</f>
        <v/>
      </c>
      <c r="E18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High"}))*(All_Risk_Apps!$K$4:$K$1233="No")*(All_Risk_Apps!$A$4:$A$1233&lt;&gt;"")),178)),"")</f>
        <v/>
      </c>
      <c r="F18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High"}))*(All_Risk_Apps!$K$4:$K$1233="No")*(All_Risk_Apps!$A$4:$A$1233&lt;&gt;"")),178)),"")</f>
        <v/>
      </c>
      <c r="G18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High"}))*(All_Risk_Apps!$K$4:$K$1233="No")*(All_Risk_Apps!$A$4:$A$1233&lt;&gt;"")),178)),"")</f>
        <v/>
      </c>
      <c r="H181" s="12" t="str">
        <f ca="1">IF(B181="","",IFERROR(INDEX(Server_Inventory!$R:$R,MATCH(B181,Server_Inventory!$Z:$Z,0)),"Not Found"))</f>
        <v/>
      </c>
      <c r="I181" s="12" t="str">
        <f ca="1">IF(B181="","",IFERROR(INDEX(Server_Inventory!$S:$S,MATCH(B181,Server_Inventory!$Z:$Z,0)),"Not Found"))</f>
        <v/>
      </c>
      <c r="J181" s="12" t="str">
        <f ca="1">IF(B181="","",COUNTIFS(Server_Inventory!$Z:$Z,B181,Server_Inventory!$P:$P,"R-RETIRED_IN_CMDB"))</f>
        <v/>
      </c>
      <c r="K181" s="12" t="str">
        <f ca="1">IF(B181="","",IFERROR(INDEX(Container_Inventory!$F:$F,MATCH(B181,Container_Inventory!$L:$L,0)),"Not Found"))</f>
        <v/>
      </c>
      <c r="L181" s="12" t="str">
        <f ca="1">IF(B181="","",IF(COUNTIF(Finding_List!$A:$A,B181)&gt;0,"Yes","No"))</f>
        <v/>
      </c>
      <c r="M181" s="12" t="str">
        <f ca="1">IF(B181="","",COUNTIF(Server_Inventory!$Z:$Z,B181))</f>
        <v/>
      </c>
      <c r="N181" s="12" t="str">
        <f ca="1">IF(B181="","",COUNTIF(Container_Inventory!$L:$L,B181))</f>
        <v/>
      </c>
    </row>
    <row r="182" spans="1:14" x14ac:dyDescent="0.2">
      <c r="A18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High"}))*(All_Risk_Apps!$K$4:$K$1233="No")*(All_Risk_Apps!$A$4:$A$1233&lt;&gt;"")),179)),"")</f>
        <v/>
      </c>
      <c r="B18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High"}))*(All_Risk_Apps!$K$4:$K$1233="No")*(All_Risk_Apps!$A$4:$A$1233&lt;&gt;"")),179)),"")</f>
        <v/>
      </c>
      <c r="C18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High"}))*(All_Risk_Apps!$K$4:$K$1233="No")*(All_Risk_Apps!$A$4:$A$1233&lt;&gt;"")),179)),"")</f>
        <v/>
      </c>
      <c r="D18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High"}))*(All_Risk_Apps!$K$4:$K$1233="No")*(All_Risk_Apps!$A$4:$A$1233&lt;&gt;"")),179)),"")</f>
        <v/>
      </c>
      <c r="E18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High"}))*(All_Risk_Apps!$K$4:$K$1233="No")*(All_Risk_Apps!$A$4:$A$1233&lt;&gt;"")),179)),"")</f>
        <v/>
      </c>
      <c r="F18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High"}))*(All_Risk_Apps!$K$4:$K$1233="No")*(All_Risk_Apps!$A$4:$A$1233&lt;&gt;"")),179)),"")</f>
        <v/>
      </c>
      <c r="G18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High"}))*(All_Risk_Apps!$K$4:$K$1233="No")*(All_Risk_Apps!$A$4:$A$1233&lt;&gt;"")),179)),"")</f>
        <v/>
      </c>
      <c r="H182" s="7" t="str">
        <f ca="1">IF(B182="","",IFERROR(INDEX(Server_Inventory!$R:$R,MATCH(B182,Server_Inventory!$Z:$Z,0)),"Not Found"))</f>
        <v/>
      </c>
      <c r="I182" s="7" t="str">
        <f ca="1">IF(B182="","",IFERROR(INDEX(Server_Inventory!$S:$S,MATCH(B182,Server_Inventory!$Z:$Z,0)),"Not Found"))</f>
        <v/>
      </c>
      <c r="J182" s="7" t="str">
        <f ca="1">IF(B182="","",COUNTIFS(Server_Inventory!$Z:$Z,B182,Server_Inventory!$P:$P,"R-RETIRED_IN_CMDB"))</f>
        <v/>
      </c>
      <c r="K182" s="7" t="str">
        <f ca="1">IF(B182="","",IFERROR(INDEX(Container_Inventory!$F:$F,MATCH(B182,Container_Inventory!$L:$L,0)),"Not Found"))</f>
        <v/>
      </c>
      <c r="L182" s="7" t="str">
        <f ca="1">IF(B182="","",IF(COUNTIF(Finding_List!$A:$A,B182)&gt;0,"Yes","No"))</f>
        <v/>
      </c>
      <c r="M182" s="7" t="str">
        <f ca="1">IF(B182="","",COUNTIF(Server_Inventory!$Z:$Z,B182))</f>
        <v/>
      </c>
      <c r="N182" s="7" t="str">
        <f ca="1">IF(B182="","",COUNTIF(Container_Inventory!$L:$L,B182))</f>
        <v/>
      </c>
    </row>
    <row r="183" spans="1:14" x14ac:dyDescent="0.2">
      <c r="A18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High"}))*(All_Risk_Apps!$K$4:$K$1233="No")*(All_Risk_Apps!$A$4:$A$1233&lt;&gt;"")),180)),"")</f>
        <v/>
      </c>
      <c r="B18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High"}))*(All_Risk_Apps!$K$4:$K$1233="No")*(All_Risk_Apps!$A$4:$A$1233&lt;&gt;"")),180)),"")</f>
        <v/>
      </c>
      <c r="C18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High"}))*(All_Risk_Apps!$K$4:$K$1233="No")*(All_Risk_Apps!$A$4:$A$1233&lt;&gt;"")),180)),"")</f>
        <v/>
      </c>
      <c r="D18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High"}))*(All_Risk_Apps!$K$4:$K$1233="No")*(All_Risk_Apps!$A$4:$A$1233&lt;&gt;"")),180)),"")</f>
        <v/>
      </c>
      <c r="E18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High"}))*(All_Risk_Apps!$K$4:$K$1233="No")*(All_Risk_Apps!$A$4:$A$1233&lt;&gt;"")),180)),"")</f>
        <v/>
      </c>
      <c r="F18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High"}))*(All_Risk_Apps!$K$4:$K$1233="No")*(All_Risk_Apps!$A$4:$A$1233&lt;&gt;"")),180)),"")</f>
        <v/>
      </c>
      <c r="G18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High"}))*(All_Risk_Apps!$K$4:$K$1233="No")*(All_Risk_Apps!$A$4:$A$1233&lt;&gt;"")),180)),"")</f>
        <v/>
      </c>
      <c r="H183" s="12" t="str">
        <f ca="1">IF(B183="","",IFERROR(INDEX(Server_Inventory!$R:$R,MATCH(B183,Server_Inventory!$Z:$Z,0)),"Not Found"))</f>
        <v/>
      </c>
      <c r="I183" s="12" t="str">
        <f ca="1">IF(B183="","",IFERROR(INDEX(Server_Inventory!$S:$S,MATCH(B183,Server_Inventory!$Z:$Z,0)),"Not Found"))</f>
        <v/>
      </c>
      <c r="J183" s="12" t="str">
        <f ca="1">IF(B183="","",COUNTIFS(Server_Inventory!$Z:$Z,B183,Server_Inventory!$P:$P,"R-RETIRED_IN_CMDB"))</f>
        <v/>
      </c>
      <c r="K183" s="12" t="str">
        <f ca="1">IF(B183="","",IFERROR(INDEX(Container_Inventory!$F:$F,MATCH(B183,Container_Inventory!$L:$L,0)),"Not Found"))</f>
        <v/>
      </c>
      <c r="L183" s="12" t="str">
        <f ca="1">IF(B183="","",IF(COUNTIF(Finding_List!$A:$A,B183)&gt;0,"Yes","No"))</f>
        <v/>
      </c>
      <c r="M183" s="12" t="str">
        <f ca="1">IF(B183="","",COUNTIF(Server_Inventory!$Z:$Z,B183))</f>
        <v/>
      </c>
      <c r="N183" s="12" t="str">
        <f ca="1">IF(B183="","",COUNTIF(Container_Inventory!$L:$L,B183))</f>
        <v/>
      </c>
    </row>
    <row r="184" spans="1:14" x14ac:dyDescent="0.2">
      <c r="A18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High"}))*(All_Risk_Apps!$K$4:$K$1233="No")*(All_Risk_Apps!$A$4:$A$1233&lt;&gt;"")),181)),"")</f>
        <v/>
      </c>
      <c r="B18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High"}))*(All_Risk_Apps!$K$4:$K$1233="No")*(All_Risk_Apps!$A$4:$A$1233&lt;&gt;"")),181)),"")</f>
        <v/>
      </c>
      <c r="C18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High"}))*(All_Risk_Apps!$K$4:$K$1233="No")*(All_Risk_Apps!$A$4:$A$1233&lt;&gt;"")),181)),"")</f>
        <v/>
      </c>
      <c r="D18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High"}))*(All_Risk_Apps!$K$4:$K$1233="No")*(All_Risk_Apps!$A$4:$A$1233&lt;&gt;"")),181)),"")</f>
        <v/>
      </c>
      <c r="E18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High"}))*(All_Risk_Apps!$K$4:$K$1233="No")*(All_Risk_Apps!$A$4:$A$1233&lt;&gt;"")),181)),"")</f>
        <v/>
      </c>
      <c r="F18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High"}))*(All_Risk_Apps!$K$4:$K$1233="No")*(All_Risk_Apps!$A$4:$A$1233&lt;&gt;"")),181)),"")</f>
        <v/>
      </c>
      <c r="G18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High"}))*(All_Risk_Apps!$K$4:$K$1233="No")*(All_Risk_Apps!$A$4:$A$1233&lt;&gt;"")),181)),"")</f>
        <v/>
      </c>
      <c r="H184" s="7" t="str">
        <f ca="1">IF(B184="","",IFERROR(INDEX(Server_Inventory!$R:$R,MATCH(B184,Server_Inventory!$Z:$Z,0)),"Not Found"))</f>
        <v/>
      </c>
      <c r="I184" s="7" t="str">
        <f ca="1">IF(B184="","",IFERROR(INDEX(Server_Inventory!$S:$S,MATCH(B184,Server_Inventory!$Z:$Z,0)),"Not Found"))</f>
        <v/>
      </c>
      <c r="J184" s="7" t="str">
        <f ca="1">IF(B184="","",COUNTIFS(Server_Inventory!$Z:$Z,B184,Server_Inventory!$P:$P,"R-RETIRED_IN_CMDB"))</f>
        <v/>
      </c>
      <c r="K184" s="7" t="str">
        <f ca="1">IF(B184="","",IFERROR(INDEX(Container_Inventory!$F:$F,MATCH(B184,Container_Inventory!$L:$L,0)),"Not Found"))</f>
        <v/>
      </c>
      <c r="L184" s="7" t="str">
        <f ca="1">IF(B184="","",IF(COUNTIF(Finding_List!$A:$A,B184)&gt;0,"Yes","No"))</f>
        <v/>
      </c>
      <c r="M184" s="7" t="str">
        <f ca="1">IF(B184="","",COUNTIF(Server_Inventory!$Z:$Z,B184))</f>
        <v/>
      </c>
      <c r="N184" s="7" t="str">
        <f ca="1">IF(B184="","",COUNTIF(Container_Inventory!$L:$L,B184))</f>
        <v/>
      </c>
    </row>
    <row r="185" spans="1:14" x14ac:dyDescent="0.2">
      <c r="A18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High"}))*(All_Risk_Apps!$K$4:$K$1233="No")*(All_Risk_Apps!$A$4:$A$1233&lt;&gt;"")),182)),"")</f>
        <v/>
      </c>
      <c r="B18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High"}))*(All_Risk_Apps!$K$4:$K$1233="No")*(All_Risk_Apps!$A$4:$A$1233&lt;&gt;"")),182)),"")</f>
        <v/>
      </c>
      <c r="C18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High"}))*(All_Risk_Apps!$K$4:$K$1233="No")*(All_Risk_Apps!$A$4:$A$1233&lt;&gt;"")),182)),"")</f>
        <v/>
      </c>
      <c r="D18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High"}))*(All_Risk_Apps!$K$4:$K$1233="No")*(All_Risk_Apps!$A$4:$A$1233&lt;&gt;"")),182)),"")</f>
        <v/>
      </c>
      <c r="E18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High"}))*(All_Risk_Apps!$K$4:$K$1233="No")*(All_Risk_Apps!$A$4:$A$1233&lt;&gt;"")),182)),"")</f>
        <v/>
      </c>
      <c r="F18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High"}))*(All_Risk_Apps!$K$4:$K$1233="No")*(All_Risk_Apps!$A$4:$A$1233&lt;&gt;"")),182)),"")</f>
        <v/>
      </c>
      <c r="G18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High"}))*(All_Risk_Apps!$K$4:$K$1233="No")*(All_Risk_Apps!$A$4:$A$1233&lt;&gt;"")),182)),"")</f>
        <v/>
      </c>
      <c r="H185" s="12" t="str">
        <f ca="1">IF(B185="","",IFERROR(INDEX(Server_Inventory!$R:$R,MATCH(B185,Server_Inventory!$Z:$Z,0)),"Not Found"))</f>
        <v/>
      </c>
      <c r="I185" s="12" t="str">
        <f ca="1">IF(B185="","",IFERROR(INDEX(Server_Inventory!$S:$S,MATCH(B185,Server_Inventory!$Z:$Z,0)),"Not Found"))</f>
        <v/>
      </c>
      <c r="J185" s="12" t="str">
        <f ca="1">IF(B185="","",COUNTIFS(Server_Inventory!$Z:$Z,B185,Server_Inventory!$P:$P,"R-RETIRED_IN_CMDB"))</f>
        <v/>
      </c>
      <c r="K185" s="12" t="str">
        <f ca="1">IF(B185="","",IFERROR(INDEX(Container_Inventory!$F:$F,MATCH(B185,Container_Inventory!$L:$L,0)),"Not Found"))</f>
        <v/>
      </c>
      <c r="L185" s="12" t="str">
        <f ca="1">IF(B185="","",IF(COUNTIF(Finding_List!$A:$A,B185)&gt;0,"Yes","No"))</f>
        <v/>
      </c>
      <c r="M185" s="12" t="str">
        <f ca="1">IF(B185="","",COUNTIF(Server_Inventory!$Z:$Z,B185))</f>
        <v/>
      </c>
      <c r="N185" s="12" t="str">
        <f ca="1">IF(B185="","",COUNTIF(Container_Inventory!$L:$L,B185))</f>
        <v/>
      </c>
    </row>
    <row r="186" spans="1:14" x14ac:dyDescent="0.2">
      <c r="A18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High"}))*(All_Risk_Apps!$K$4:$K$1233="No")*(All_Risk_Apps!$A$4:$A$1233&lt;&gt;"")),183)),"")</f>
        <v/>
      </c>
      <c r="B18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High"}))*(All_Risk_Apps!$K$4:$K$1233="No")*(All_Risk_Apps!$A$4:$A$1233&lt;&gt;"")),183)),"")</f>
        <v/>
      </c>
      <c r="C18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High"}))*(All_Risk_Apps!$K$4:$K$1233="No")*(All_Risk_Apps!$A$4:$A$1233&lt;&gt;"")),183)),"")</f>
        <v/>
      </c>
      <c r="D18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High"}))*(All_Risk_Apps!$K$4:$K$1233="No")*(All_Risk_Apps!$A$4:$A$1233&lt;&gt;"")),183)),"")</f>
        <v/>
      </c>
      <c r="E18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High"}))*(All_Risk_Apps!$K$4:$K$1233="No")*(All_Risk_Apps!$A$4:$A$1233&lt;&gt;"")),183)),"")</f>
        <v/>
      </c>
      <c r="F18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High"}))*(All_Risk_Apps!$K$4:$K$1233="No")*(All_Risk_Apps!$A$4:$A$1233&lt;&gt;"")),183)),"")</f>
        <v/>
      </c>
      <c r="G18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High"}))*(All_Risk_Apps!$K$4:$K$1233="No")*(All_Risk_Apps!$A$4:$A$1233&lt;&gt;"")),183)),"")</f>
        <v/>
      </c>
      <c r="H186" s="7" t="str">
        <f ca="1">IF(B186="","",IFERROR(INDEX(Server_Inventory!$R:$R,MATCH(B186,Server_Inventory!$Z:$Z,0)),"Not Found"))</f>
        <v/>
      </c>
      <c r="I186" s="7" t="str">
        <f ca="1">IF(B186="","",IFERROR(INDEX(Server_Inventory!$S:$S,MATCH(B186,Server_Inventory!$Z:$Z,0)),"Not Found"))</f>
        <v/>
      </c>
      <c r="J186" s="7" t="str">
        <f ca="1">IF(B186="","",COUNTIFS(Server_Inventory!$Z:$Z,B186,Server_Inventory!$P:$P,"R-RETIRED_IN_CMDB"))</f>
        <v/>
      </c>
      <c r="K186" s="7" t="str">
        <f ca="1">IF(B186="","",IFERROR(INDEX(Container_Inventory!$F:$F,MATCH(B186,Container_Inventory!$L:$L,0)),"Not Found"))</f>
        <v/>
      </c>
      <c r="L186" s="7" t="str">
        <f ca="1">IF(B186="","",IF(COUNTIF(Finding_List!$A:$A,B186)&gt;0,"Yes","No"))</f>
        <v/>
      </c>
      <c r="M186" s="7" t="str">
        <f ca="1">IF(B186="","",COUNTIF(Server_Inventory!$Z:$Z,B186))</f>
        <v/>
      </c>
      <c r="N186" s="7" t="str">
        <f ca="1">IF(B186="","",COUNTIF(Container_Inventory!$L:$L,B186))</f>
        <v/>
      </c>
    </row>
    <row r="187" spans="1:14" x14ac:dyDescent="0.2">
      <c r="A18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High"}))*(All_Risk_Apps!$K$4:$K$1233="No")*(All_Risk_Apps!$A$4:$A$1233&lt;&gt;"")),184)),"")</f>
        <v/>
      </c>
      <c r="B18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High"}))*(All_Risk_Apps!$K$4:$K$1233="No")*(All_Risk_Apps!$A$4:$A$1233&lt;&gt;"")),184)),"")</f>
        <v/>
      </c>
      <c r="C18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High"}))*(All_Risk_Apps!$K$4:$K$1233="No")*(All_Risk_Apps!$A$4:$A$1233&lt;&gt;"")),184)),"")</f>
        <v/>
      </c>
      <c r="D18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High"}))*(All_Risk_Apps!$K$4:$K$1233="No")*(All_Risk_Apps!$A$4:$A$1233&lt;&gt;"")),184)),"")</f>
        <v/>
      </c>
      <c r="E18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High"}))*(All_Risk_Apps!$K$4:$K$1233="No")*(All_Risk_Apps!$A$4:$A$1233&lt;&gt;"")),184)),"")</f>
        <v/>
      </c>
      <c r="F18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High"}))*(All_Risk_Apps!$K$4:$K$1233="No")*(All_Risk_Apps!$A$4:$A$1233&lt;&gt;"")),184)),"")</f>
        <v/>
      </c>
      <c r="G18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High"}))*(All_Risk_Apps!$K$4:$K$1233="No")*(All_Risk_Apps!$A$4:$A$1233&lt;&gt;"")),184)),"")</f>
        <v/>
      </c>
      <c r="H187" s="12" t="str">
        <f ca="1">IF(B187="","",IFERROR(INDEX(Server_Inventory!$R:$R,MATCH(B187,Server_Inventory!$Z:$Z,0)),"Not Found"))</f>
        <v/>
      </c>
      <c r="I187" s="12" t="str">
        <f ca="1">IF(B187="","",IFERROR(INDEX(Server_Inventory!$S:$S,MATCH(B187,Server_Inventory!$Z:$Z,0)),"Not Found"))</f>
        <v/>
      </c>
      <c r="J187" s="12" t="str">
        <f ca="1">IF(B187="","",COUNTIFS(Server_Inventory!$Z:$Z,B187,Server_Inventory!$P:$P,"R-RETIRED_IN_CMDB"))</f>
        <v/>
      </c>
      <c r="K187" s="12" t="str">
        <f ca="1">IF(B187="","",IFERROR(INDEX(Container_Inventory!$F:$F,MATCH(B187,Container_Inventory!$L:$L,0)),"Not Found"))</f>
        <v/>
      </c>
      <c r="L187" s="12" t="str">
        <f ca="1">IF(B187="","",IF(COUNTIF(Finding_List!$A:$A,B187)&gt;0,"Yes","No"))</f>
        <v/>
      </c>
      <c r="M187" s="12" t="str">
        <f ca="1">IF(B187="","",COUNTIF(Server_Inventory!$Z:$Z,B187))</f>
        <v/>
      </c>
      <c r="N187" s="12" t="str">
        <f ca="1">IF(B187="","",COUNTIF(Container_Inventory!$L:$L,B187))</f>
        <v/>
      </c>
    </row>
    <row r="188" spans="1:14" x14ac:dyDescent="0.2">
      <c r="A18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High"}))*(All_Risk_Apps!$K$4:$K$1233="No")*(All_Risk_Apps!$A$4:$A$1233&lt;&gt;"")),185)),"")</f>
        <v/>
      </c>
      <c r="B18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High"}))*(All_Risk_Apps!$K$4:$K$1233="No")*(All_Risk_Apps!$A$4:$A$1233&lt;&gt;"")),185)),"")</f>
        <v/>
      </c>
      <c r="C18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High"}))*(All_Risk_Apps!$K$4:$K$1233="No")*(All_Risk_Apps!$A$4:$A$1233&lt;&gt;"")),185)),"")</f>
        <v/>
      </c>
      <c r="D18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High"}))*(All_Risk_Apps!$K$4:$K$1233="No")*(All_Risk_Apps!$A$4:$A$1233&lt;&gt;"")),185)),"")</f>
        <v/>
      </c>
      <c r="E18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High"}))*(All_Risk_Apps!$K$4:$K$1233="No")*(All_Risk_Apps!$A$4:$A$1233&lt;&gt;"")),185)),"")</f>
        <v/>
      </c>
      <c r="F18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High"}))*(All_Risk_Apps!$K$4:$K$1233="No")*(All_Risk_Apps!$A$4:$A$1233&lt;&gt;"")),185)),"")</f>
        <v/>
      </c>
      <c r="G18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High"}))*(All_Risk_Apps!$K$4:$K$1233="No")*(All_Risk_Apps!$A$4:$A$1233&lt;&gt;"")),185)),"")</f>
        <v/>
      </c>
      <c r="H188" s="7" t="str">
        <f ca="1">IF(B188="","",IFERROR(INDEX(Server_Inventory!$R:$R,MATCH(B188,Server_Inventory!$Z:$Z,0)),"Not Found"))</f>
        <v/>
      </c>
      <c r="I188" s="7" t="str">
        <f ca="1">IF(B188="","",IFERROR(INDEX(Server_Inventory!$S:$S,MATCH(B188,Server_Inventory!$Z:$Z,0)),"Not Found"))</f>
        <v/>
      </c>
      <c r="J188" s="7" t="str">
        <f ca="1">IF(B188="","",COUNTIFS(Server_Inventory!$Z:$Z,B188,Server_Inventory!$P:$P,"R-RETIRED_IN_CMDB"))</f>
        <v/>
      </c>
      <c r="K188" s="7" t="str">
        <f ca="1">IF(B188="","",IFERROR(INDEX(Container_Inventory!$F:$F,MATCH(B188,Container_Inventory!$L:$L,0)),"Not Found"))</f>
        <v/>
      </c>
      <c r="L188" s="7" t="str">
        <f ca="1">IF(B188="","",IF(COUNTIF(Finding_List!$A:$A,B188)&gt;0,"Yes","No"))</f>
        <v/>
      </c>
      <c r="M188" s="7" t="str">
        <f ca="1">IF(B188="","",COUNTIF(Server_Inventory!$Z:$Z,B188))</f>
        <v/>
      </c>
      <c r="N188" s="7" t="str">
        <f ca="1">IF(B188="","",COUNTIF(Container_Inventory!$L:$L,B188))</f>
        <v/>
      </c>
    </row>
    <row r="189" spans="1:14" x14ac:dyDescent="0.2">
      <c r="A18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High"}))*(All_Risk_Apps!$K$4:$K$1233="No")*(All_Risk_Apps!$A$4:$A$1233&lt;&gt;"")),186)),"")</f>
        <v/>
      </c>
      <c r="B18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High"}))*(All_Risk_Apps!$K$4:$K$1233="No")*(All_Risk_Apps!$A$4:$A$1233&lt;&gt;"")),186)),"")</f>
        <v/>
      </c>
      <c r="C18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High"}))*(All_Risk_Apps!$K$4:$K$1233="No")*(All_Risk_Apps!$A$4:$A$1233&lt;&gt;"")),186)),"")</f>
        <v/>
      </c>
      <c r="D18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High"}))*(All_Risk_Apps!$K$4:$K$1233="No")*(All_Risk_Apps!$A$4:$A$1233&lt;&gt;"")),186)),"")</f>
        <v/>
      </c>
      <c r="E18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High"}))*(All_Risk_Apps!$K$4:$K$1233="No")*(All_Risk_Apps!$A$4:$A$1233&lt;&gt;"")),186)),"")</f>
        <v/>
      </c>
      <c r="F18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High"}))*(All_Risk_Apps!$K$4:$K$1233="No")*(All_Risk_Apps!$A$4:$A$1233&lt;&gt;"")),186)),"")</f>
        <v/>
      </c>
      <c r="G18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High"}))*(All_Risk_Apps!$K$4:$K$1233="No")*(All_Risk_Apps!$A$4:$A$1233&lt;&gt;"")),186)),"")</f>
        <v/>
      </c>
      <c r="H189" s="12" t="str">
        <f ca="1">IF(B189="","",IFERROR(INDEX(Server_Inventory!$R:$R,MATCH(B189,Server_Inventory!$Z:$Z,0)),"Not Found"))</f>
        <v/>
      </c>
      <c r="I189" s="12" t="str">
        <f ca="1">IF(B189="","",IFERROR(INDEX(Server_Inventory!$S:$S,MATCH(B189,Server_Inventory!$Z:$Z,0)),"Not Found"))</f>
        <v/>
      </c>
      <c r="J189" s="12" t="str">
        <f ca="1">IF(B189="","",COUNTIFS(Server_Inventory!$Z:$Z,B189,Server_Inventory!$P:$P,"R-RETIRED_IN_CMDB"))</f>
        <v/>
      </c>
      <c r="K189" s="12" t="str">
        <f ca="1">IF(B189="","",IFERROR(INDEX(Container_Inventory!$F:$F,MATCH(B189,Container_Inventory!$L:$L,0)),"Not Found"))</f>
        <v/>
      </c>
      <c r="L189" s="12" t="str">
        <f ca="1">IF(B189="","",IF(COUNTIF(Finding_List!$A:$A,B189)&gt;0,"Yes","No"))</f>
        <v/>
      </c>
      <c r="M189" s="12" t="str">
        <f ca="1">IF(B189="","",COUNTIF(Server_Inventory!$Z:$Z,B189))</f>
        <v/>
      </c>
      <c r="N189" s="12" t="str">
        <f ca="1">IF(B189="","",COUNTIF(Container_Inventory!$L:$L,B189))</f>
        <v/>
      </c>
    </row>
    <row r="190" spans="1:14" x14ac:dyDescent="0.2">
      <c r="A19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High"}))*(All_Risk_Apps!$K$4:$K$1233="No")*(All_Risk_Apps!$A$4:$A$1233&lt;&gt;"")),187)),"")</f>
        <v/>
      </c>
      <c r="B19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High"}))*(All_Risk_Apps!$K$4:$K$1233="No")*(All_Risk_Apps!$A$4:$A$1233&lt;&gt;"")),187)),"")</f>
        <v/>
      </c>
      <c r="C19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High"}))*(All_Risk_Apps!$K$4:$K$1233="No")*(All_Risk_Apps!$A$4:$A$1233&lt;&gt;"")),187)),"")</f>
        <v/>
      </c>
      <c r="D19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High"}))*(All_Risk_Apps!$K$4:$K$1233="No")*(All_Risk_Apps!$A$4:$A$1233&lt;&gt;"")),187)),"")</f>
        <v/>
      </c>
      <c r="E19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High"}))*(All_Risk_Apps!$K$4:$K$1233="No")*(All_Risk_Apps!$A$4:$A$1233&lt;&gt;"")),187)),"")</f>
        <v/>
      </c>
      <c r="F19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High"}))*(All_Risk_Apps!$K$4:$K$1233="No")*(All_Risk_Apps!$A$4:$A$1233&lt;&gt;"")),187)),"")</f>
        <v/>
      </c>
      <c r="G19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High"}))*(All_Risk_Apps!$K$4:$K$1233="No")*(All_Risk_Apps!$A$4:$A$1233&lt;&gt;"")),187)),"")</f>
        <v/>
      </c>
      <c r="H190" s="7" t="str">
        <f ca="1">IF(B190="","",IFERROR(INDEX(Server_Inventory!$R:$R,MATCH(B190,Server_Inventory!$Z:$Z,0)),"Not Found"))</f>
        <v/>
      </c>
      <c r="I190" s="7" t="str">
        <f ca="1">IF(B190="","",IFERROR(INDEX(Server_Inventory!$S:$S,MATCH(B190,Server_Inventory!$Z:$Z,0)),"Not Found"))</f>
        <v/>
      </c>
      <c r="J190" s="7" t="str">
        <f ca="1">IF(B190="","",COUNTIFS(Server_Inventory!$Z:$Z,B190,Server_Inventory!$P:$P,"R-RETIRED_IN_CMDB"))</f>
        <v/>
      </c>
      <c r="K190" s="7" t="str">
        <f ca="1">IF(B190="","",IFERROR(INDEX(Container_Inventory!$F:$F,MATCH(B190,Container_Inventory!$L:$L,0)),"Not Found"))</f>
        <v/>
      </c>
      <c r="L190" s="7" t="str">
        <f ca="1">IF(B190="","",IF(COUNTIF(Finding_List!$A:$A,B190)&gt;0,"Yes","No"))</f>
        <v/>
      </c>
      <c r="M190" s="7" t="str">
        <f ca="1">IF(B190="","",COUNTIF(Server_Inventory!$Z:$Z,B190))</f>
        <v/>
      </c>
      <c r="N190" s="7" t="str">
        <f ca="1">IF(B190="","",COUNTIF(Container_Inventory!$L:$L,B190))</f>
        <v/>
      </c>
    </row>
    <row r="191" spans="1:14" x14ac:dyDescent="0.2">
      <c r="A19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High"}))*(All_Risk_Apps!$K$4:$K$1233="No")*(All_Risk_Apps!$A$4:$A$1233&lt;&gt;"")),188)),"")</f>
        <v/>
      </c>
      <c r="B19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High"}))*(All_Risk_Apps!$K$4:$K$1233="No")*(All_Risk_Apps!$A$4:$A$1233&lt;&gt;"")),188)),"")</f>
        <v/>
      </c>
      <c r="C19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High"}))*(All_Risk_Apps!$K$4:$K$1233="No")*(All_Risk_Apps!$A$4:$A$1233&lt;&gt;"")),188)),"")</f>
        <v/>
      </c>
      <c r="D19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High"}))*(All_Risk_Apps!$K$4:$K$1233="No")*(All_Risk_Apps!$A$4:$A$1233&lt;&gt;"")),188)),"")</f>
        <v/>
      </c>
      <c r="E19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High"}))*(All_Risk_Apps!$K$4:$K$1233="No")*(All_Risk_Apps!$A$4:$A$1233&lt;&gt;"")),188)),"")</f>
        <v/>
      </c>
      <c r="F19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High"}))*(All_Risk_Apps!$K$4:$K$1233="No")*(All_Risk_Apps!$A$4:$A$1233&lt;&gt;"")),188)),"")</f>
        <v/>
      </c>
      <c r="G19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High"}))*(All_Risk_Apps!$K$4:$K$1233="No")*(All_Risk_Apps!$A$4:$A$1233&lt;&gt;"")),188)),"")</f>
        <v/>
      </c>
      <c r="H191" s="12" t="str">
        <f ca="1">IF(B191="","",IFERROR(INDEX(Server_Inventory!$R:$R,MATCH(B191,Server_Inventory!$Z:$Z,0)),"Not Found"))</f>
        <v/>
      </c>
      <c r="I191" s="12" t="str">
        <f ca="1">IF(B191="","",IFERROR(INDEX(Server_Inventory!$S:$S,MATCH(B191,Server_Inventory!$Z:$Z,0)),"Not Found"))</f>
        <v/>
      </c>
      <c r="J191" s="12" t="str">
        <f ca="1">IF(B191="","",COUNTIFS(Server_Inventory!$Z:$Z,B191,Server_Inventory!$P:$P,"R-RETIRED_IN_CMDB"))</f>
        <v/>
      </c>
      <c r="K191" s="12" t="str">
        <f ca="1">IF(B191="","",IFERROR(INDEX(Container_Inventory!$F:$F,MATCH(B191,Container_Inventory!$L:$L,0)),"Not Found"))</f>
        <v/>
      </c>
      <c r="L191" s="12" t="str">
        <f ca="1">IF(B191="","",IF(COUNTIF(Finding_List!$A:$A,B191)&gt;0,"Yes","No"))</f>
        <v/>
      </c>
      <c r="M191" s="12" t="str">
        <f ca="1">IF(B191="","",COUNTIF(Server_Inventory!$Z:$Z,B191))</f>
        <v/>
      </c>
      <c r="N191" s="12" t="str">
        <f ca="1">IF(B191="","",COUNTIF(Container_Inventory!$L:$L,B191))</f>
        <v/>
      </c>
    </row>
    <row r="192" spans="1:14" x14ac:dyDescent="0.2">
      <c r="A19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High"}))*(All_Risk_Apps!$K$4:$K$1233="No")*(All_Risk_Apps!$A$4:$A$1233&lt;&gt;"")),189)),"")</f>
        <v/>
      </c>
      <c r="B19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High"}))*(All_Risk_Apps!$K$4:$K$1233="No")*(All_Risk_Apps!$A$4:$A$1233&lt;&gt;"")),189)),"")</f>
        <v/>
      </c>
      <c r="C19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High"}))*(All_Risk_Apps!$K$4:$K$1233="No")*(All_Risk_Apps!$A$4:$A$1233&lt;&gt;"")),189)),"")</f>
        <v/>
      </c>
      <c r="D19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High"}))*(All_Risk_Apps!$K$4:$K$1233="No")*(All_Risk_Apps!$A$4:$A$1233&lt;&gt;"")),189)),"")</f>
        <v/>
      </c>
      <c r="E19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High"}))*(All_Risk_Apps!$K$4:$K$1233="No")*(All_Risk_Apps!$A$4:$A$1233&lt;&gt;"")),189)),"")</f>
        <v/>
      </c>
      <c r="F19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High"}))*(All_Risk_Apps!$K$4:$K$1233="No")*(All_Risk_Apps!$A$4:$A$1233&lt;&gt;"")),189)),"")</f>
        <v/>
      </c>
      <c r="G19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High"}))*(All_Risk_Apps!$K$4:$K$1233="No")*(All_Risk_Apps!$A$4:$A$1233&lt;&gt;"")),189)),"")</f>
        <v/>
      </c>
      <c r="H192" s="7" t="str">
        <f ca="1">IF(B192="","",IFERROR(INDEX(Server_Inventory!$R:$R,MATCH(B192,Server_Inventory!$Z:$Z,0)),"Not Found"))</f>
        <v/>
      </c>
      <c r="I192" s="7" t="str">
        <f ca="1">IF(B192="","",IFERROR(INDEX(Server_Inventory!$S:$S,MATCH(B192,Server_Inventory!$Z:$Z,0)),"Not Found"))</f>
        <v/>
      </c>
      <c r="J192" s="7" t="str">
        <f ca="1">IF(B192="","",COUNTIFS(Server_Inventory!$Z:$Z,B192,Server_Inventory!$P:$P,"R-RETIRED_IN_CMDB"))</f>
        <v/>
      </c>
      <c r="K192" s="7" t="str">
        <f ca="1">IF(B192="","",IFERROR(INDEX(Container_Inventory!$F:$F,MATCH(B192,Container_Inventory!$L:$L,0)),"Not Found"))</f>
        <v/>
      </c>
      <c r="L192" s="7" t="str">
        <f ca="1">IF(B192="","",IF(COUNTIF(Finding_List!$A:$A,B192)&gt;0,"Yes","No"))</f>
        <v/>
      </c>
      <c r="M192" s="7" t="str">
        <f ca="1">IF(B192="","",COUNTIF(Server_Inventory!$Z:$Z,B192))</f>
        <v/>
      </c>
      <c r="N192" s="7" t="str">
        <f ca="1">IF(B192="","",COUNTIF(Container_Inventory!$L:$L,B192))</f>
        <v/>
      </c>
    </row>
    <row r="193" spans="1:14" x14ac:dyDescent="0.2">
      <c r="A19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High"}))*(All_Risk_Apps!$K$4:$K$1233="No")*(All_Risk_Apps!$A$4:$A$1233&lt;&gt;"")),190)),"")</f>
        <v/>
      </c>
      <c r="B19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High"}))*(All_Risk_Apps!$K$4:$K$1233="No")*(All_Risk_Apps!$A$4:$A$1233&lt;&gt;"")),190)),"")</f>
        <v/>
      </c>
      <c r="C19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High"}))*(All_Risk_Apps!$K$4:$K$1233="No")*(All_Risk_Apps!$A$4:$A$1233&lt;&gt;"")),190)),"")</f>
        <v/>
      </c>
      <c r="D19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High"}))*(All_Risk_Apps!$K$4:$K$1233="No")*(All_Risk_Apps!$A$4:$A$1233&lt;&gt;"")),190)),"")</f>
        <v/>
      </c>
      <c r="E19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High"}))*(All_Risk_Apps!$K$4:$K$1233="No")*(All_Risk_Apps!$A$4:$A$1233&lt;&gt;"")),190)),"")</f>
        <v/>
      </c>
      <c r="F19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High"}))*(All_Risk_Apps!$K$4:$K$1233="No")*(All_Risk_Apps!$A$4:$A$1233&lt;&gt;"")),190)),"")</f>
        <v/>
      </c>
      <c r="G19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High"}))*(All_Risk_Apps!$K$4:$K$1233="No")*(All_Risk_Apps!$A$4:$A$1233&lt;&gt;"")),190)),"")</f>
        <v/>
      </c>
      <c r="H193" s="12" t="str">
        <f ca="1">IF(B193="","",IFERROR(INDEX(Server_Inventory!$R:$R,MATCH(B193,Server_Inventory!$Z:$Z,0)),"Not Found"))</f>
        <v/>
      </c>
      <c r="I193" s="12" t="str">
        <f ca="1">IF(B193="","",IFERROR(INDEX(Server_Inventory!$S:$S,MATCH(B193,Server_Inventory!$Z:$Z,0)),"Not Found"))</f>
        <v/>
      </c>
      <c r="J193" s="12" t="str">
        <f ca="1">IF(B193="","",COUNTIFS(Server_Inventory!$Z:$Z,B193,Server_Inventory!$P:$P,"R-RETIRED_IN_CMDB"))</f>
        <v/>
      </c>
      <c r="K193" s="12" t="str">
        <f ca="1">IF(B193="","",IFERROR(INDEX(Container_Inventory!$F:$F,MATCH(B193,Container_Inventory!$L:$L,0)),"Not Found"))</f>
        <v/>
      </c>
      <c r="L193" s="12" t="str">
        <f ca="1">IF(B193="","",IF(COUNTIF(Finding_List!$A:$A,B193)&gt;0,"Yes","No"))</f>
        <v/>
      </c>
      <c r="M193" s="12" t="str">
        <f ca="1">IF(B193="","",COUNTIF(Server_Inventory!$Z:$Z,B193))</f>
        <v/>
      </c>
      <c r="N193" s="12" t="str">
        <f ca="1">IF(B193="","",COUNTIF(Container_Inventory!$L:$L,B193))</f>
        <v/>
      </c>
    </row>
    <row r="194" spans="1:14" x14ac:dyDescent="0.2">
      <c r="A194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High"}))*(All_Risk_Apps!$K$4:$K$1233="No")*(All_Risk_Apps!$A$4:$A$1233&lt;&gt;"")),191)),"")</f>
        <v/>
      </c>
      <c r="B194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High"}))*(All_Risk_Apps!$K$4:$K$1233="No")*(All_Risk_Apps!$A$4:$A$1233&lt;&gt;"")),191)),"")</f>
        <v/>
      </c>
      <c r="C194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High"}))*(All_Risk_Apps!$K$4:$K$1233="No")*(All_Risk_Apps!$A$4:$A$1233&lt;&gt;"")),191)),"")</f>
        <v/>
      </c>
      <c r="D194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High"}))*(All_Risk_Apps!$K$4:$K$1233="No")*(All_Risk_Apps!$A$4:$A$1233&lt;&gt;"")),191)),"")</f>
        <v/>
      </c>
      <c r="E194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High"}))*(All_Risk_Apps!$K$4:$K$1233="No")*(All_Risk_Apps!$A$4:$A$1233&lt;&gt;"")),191)),"")</f>
        <v/>
      </c>
      <c r="F194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High"}))*(All_Risk_Apps!$K$4:$K$1233="No")*(All_Risk_Apps!$A$4:$A$1233&lt;&gt;"")),191)),"")</f>
        <v/>
      </c>
      <c r="G194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High"}))*(All_Risk_Apps!$K$4:$K$1233="No")*(All_Risk_Apps!$A$4:$A$1233&lt;&gt;"")),191)),"")</f>
        <v/>
      </c>
      <c r="H194" s="7" t="str">
        <f ca="1">IF(B194="","",IFERROR(INDEX(Server_Inventory!$R:$R,MATCH(B194,Server_Inventory!$Z:$Z,0)),"Not Found"))</f>
        <v/>
      </c>
      <c r="I194" s="7" t="str">
        <f ca="1">IF(B194="","",IFERROR(INDEX(Server_Inventory!$S:$S,MATCH(B194,Server_Inventory!$Z:$Z,0)),"Not Found"))</f>
        <v/>
      </c>
      <c r="J194" s="7" t="str">
        <f ca="1">IF(B194="","",COUNTIFS(Server_Inventory!$Z:$Z,B194,Server_Inventory!$P:$P,"R-RETIRED_IN_CMDB"))</f>
        <v/>
      </c>
      <c r="K194" s="7" t="str">
        <f ca="1">IF(B194="","",IFERROR(INDEX(Container_Inventory!$F:$F,MATCH(B194,Container_Inventory!$L:$L,0)),"Not Found"))</f>
        <v/>
      </c>
      <c r="L194" s="7" t="str">
        <f ca="1">IF(B194="","",IF(COUNTIF(Finding_List!$A:$A,B194)&gt;0,"Yes","No"))</f>
        <v/>
      </c>
      <c r="M194" s="7" t="str">
        <f ca="1">IF(B194="","",COUNTIF(Server_Inventory!$Z:$Z,B194))</f>
        <v/>
      </c>
      <c r="N194" s="7" t="str">
        <f ca="1">IF(B194="","",COUNTIF(Container_Inventory!$L:$L,B194))</f>
        <v/>
      </c>
    </row>
    <row r="195" spans="1:14" x14ac:dyDescent="0.2">
      <c r="A195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High"}))*(All_Risk_Apps!$K$4:$K$1233="No")*(All_Risk_Apps!$A$4:$A$1233&lt;&gt;"")),192)),"")</f>
        <v/>
      </c>
      <c r="B195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High"}))*(All_Risk_Apps!$K$4:$K$1233="No")*(All_Risk_Apps!$A$4:$A$1233&lt;&gt;"")),192)),"")</f>
        <v/>
      </c>
      <c r="C195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High"}))*(All_Risk_Apps!$K$4:$K$1233="No")*(All_Risk_Apps!$A$4:$A$1233&lt;&gt;"")),192)),"")</f>
        <v/>
      </c>
      <c r="D195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High"}))*(All_Risk_Apps!$K$4:$K$1233="No")*(All_Risk_Apps!$A$4:$A$1233&lt;&gt;"")),192)),"")</f>
        <v/>
      </c>
      <c r="E195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High"}))*(All_Risk_Apps!$K$4:$K$1233="No")*(All_Risk_Apps!$A$4:$A$1233&lt;&gt;"")),192)),"")</f>
        <v/>
      </c>
      <c r="F195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High"}))*(All_Risk_Apps!$K$4:$K$1233="No")*(All_Risk_Apps!$A$4:$A$1233&lt;&gt;"")),192)),"")</f>
        <v/>
      </c>
      <c r="G195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High"}))*(All_Risk_Apps!$K$4:$K$1233="No")*(All_Risk_Apps!$A$4:$A$1233&lt;&gt;"")),192)),"")</f>
        <v/>
      </c>
      <c r="H195" s="12" t="str">
        <f ca="1">IF(B195="","",IFERROR(INDEX(Server_Inventory!$R:$R,MATCH(B195,Server_Inventory!$Z:$Z,0)),"Not Found"))</f>
        <v/>
      </c>
      <c r="I195" s="12" t="str">
        <f ca="1">IF(B195="","",IFERROR(INDEX(Server_Inventory!$S:$S,MATCH(B195,Server_Inventory!$Z:$Z,0)),"Not Found"))</f>
        <v/>
      </c>
      <c r="J195" s="12" t="str">
        <f ca="1">IF(B195="","",COUNTIFS(Server_Inventory!$Z:$Z,B195,Server_Inventory!$P:$P,"R-RETIRED_IN_CMDB"))</f>
        <v/>
      </c>
      <c r="K195" s="12" t="str">
        <f ca="1">IF(B195="","",IFERROR(INDEX(Container_Inventory!$F:$F,MATCH(B195,Container_Inventory!$L:$L,0)),"Not Found"))</f>
        <v/>
      </c>
      <c r="L195" s="12" t="str">
        <f ca="1">IF(B195="","",IF(COUNTIF(Finding_List!$A:$A,B195)&gt;0,"Yes","No"))</f>
        <v/>
      </c>
      <c r="M195" s="12" t="str">
        <f ca="1">IF(B195="","",COUNTIF(Server_Inventory!$Z:$Z,B195))</f>
        <v/>
      </c>
      <c r="N195" s="12" t="str">
        <f ca="1">IF(B195="","",COUNTIF(Container_Inventory!$L:$L,B195))</f>
        <v/>
      </c>
    </row>
    <row r="196" spans="1:14" x14ac:dyDescent="0.2">
      <c r="A196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High"}))*(All_Risk_Apps!$K$4:$K$1233="No")*(All_Risk_Apps!$A$4:$A$1233&lt;&gt;"")),193)),"")</f>
        <v/>
      </c>
      <c r="B196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High"}))*(All_Risk_Apps!$K$4:$K$1233="No")*(All_Risk_Apps!$A$4:$A$1233&lt;&gt;"")),193)),"")</f>
        <v/>
      </c>
      <c r="C196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High"}))*(All_Risk_Apps!$K$4:$K$1233="No")*(All_Risk_Apps!$A$4:$A$1233&lt;&gt;"")),193)),"")</f>
        <v/>
      </c>
      <c r="D196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High"}))*(All_Risk_Apps!$K$4:$K$1233="No")*(All_Risk_Apps!$A$4:$A$1233&lt;&gt;"")),193)),"")</f>
        <v/>
      </c>
      <c r="E196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High"}))*(All_Risk_Apps!$K$4:$K$1233="No")*(All_Risk_Apps!$A$4:$A$1233&lt;&gt;"")),193)),"")</f>
        <v/>
      </c>
      <c r="F196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High"}))*(All_Risk_Apps!$K$4:$K$1233="No")*(All_Risk_Apps!$A$4:$A$1233&lt;&gt;"")),193)),"")</f>
        <v/>
      </c>
      <c r="G196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High"}))*(All_Risk_Apps!$K$4:$K$1233="No")*(All_Risk_Apps!$A$4:$A$1233&lt;&gt;"")),193)),"")</f>
        <v/>
      </c>
      <c r="H196" s="7" t="str">
        <f ca="1">IF(B196="","",IFERROR(INDEX(Server_Inventory!$R:$R,MATCH(B196,Server_Inventory!$Z:$Z,0)),"Not Found"))</f>
        <v/>
      </c>
      <c r="I196" s="7" t="str">
        <f ca="1">IF(B196="","",IFERROR(INDEX(Server_Inventory!$S:$S,MATCH(B196,Server_Inventory!$Z:$Z,0)),"Not Found"))</f>
        <v/>
      </c>
      <c r="J196" s="7" t="str">
        <f ca="1">IF(B196="","",COUNTIFS(Server_Inventory!$Z:$Z,B196,Server_Inventory!$P:$P,"R-RETIRED_IN_CMDB"))</f>
        <v/>
      </c>
      <c r="K196" s="7" t="str">
        <f ca="1">IF(B196="","",IFERROR(INDEX(Container_Inventory!$F:$F,MATCH(B196,Container_Inventory!$L:$L,0)),"Not Found"))</f>
        <v/>
      </c>
      <c r="L196" s="7" t="str">
        <f ca="1">IF(B196="","",IF(COUNTIF(Finding_List!$A:$A,B196)&gt;0,"Yes","No"))</f>
        <v/>
      </c>
      <c r="M196" s="7" t="str">
        <f ca="1">IF(B196="","",COUNTIF(Server_Inventory!$Z:$Z,B196))</f>
        <v/>
      </c>
      <c r="N196" s="7" t="str">
        <f ca="1">IF(B196="","",COUNTIF(Container_Inventory!$L:$L,B196))</f>
        <v/>
      </c>
    </row>
    <row r="197" spans="1:14" x14ac:dyDescent="0.2">
      <c r="A197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High"}))*(All_Risk_Apps!$K$4:$K$1233="No")*(All_Risk_Apps!$A$4:$A$1233&lt;&gt;"")),194)),"")</f>
        <v/>
      </c>
      <c r="B197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High"}))*(All_Risk_Apps!$K$4:$K$1233="No")*(All_Risk_Apps!$A$4:$A$1233&lt;&gt;"")),194)),"")</f>
        <v/>
      </c>
      <c r="C197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High"}))*(All_Risk_Apps!$K$4:$K$1233="No")*(All_Risk_Apps!$A$4:$A$1233&lt;&gt;"")),194)),"")</f>
        <v/>
      </c>
      <c r="D197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High"}))*(All_Risk_Apps!$K$4:$K$1233="No")*(All_Risk_Apps!$A$4:$A$1233&lt;&gt;"")),194)),"")</f>
        <v/>
      </c>
      <c r="E197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High"}))*(All_Risk_Apps!$K$4:$K$1233="No")*(All_Risk_Apps!$A$4:$A$1233&lt;&gt;"")),194)),"")</f>
        <v/>
      </c>
      <c r="F197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High"}))*(All_Risk_Apps!$K$4:$K$1233="No")*(All_Risk_Apps!$A$4:$A$1233&lt;&gt;"")),194)),"")</f>
        <v/>
      </c>
      <c r="G197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High"}))*(All_Risk_Apps!$K$4:$K$1233="No")*(All_Risk_Apps!$A$4:$A$1233&lt;&gt;"")),194)),"")</f>
        <v/>
      </c>
      <c r="H197" s="12" t="str">
        <f ca="1">IF(B197="","",IFERROR(INDEX(Server_Inventory!$R:$R,MATCH(B197,Server_Inventory!$Z:$Z,0)),"Not Found"))</f>
        <v/>
      </c>
      <c r="I197" s="12" t="str">
        <f ca="1">IF(B197="","",IFERROR(INDEX(Server_Inventory!$S:$S,MATCH(B197,Server_Inventory!$Z:$Z,0)),"Not Found"))</f>
        <v/>
      </c>
      <c r="J197" s="12" t="str">
        <f ca="1">IF(B197="","",COUNTIFS(Server_Inventory!$Z:$Z,B197,Server_Inventory!$P:$P,"R-RETIRED_IN_CMDB"))</f>
        <v/>
      </c>
      <c r="K197" s="12" t="str">
        <f ca="1">IF(B197="","",IFERROR(INDEX(Container_Inventory!$F:$F,MATCH(B197,Container_Inventory!$L:$L,0)),"Not Found"))</f>
        <v/>
      </c>
      <c r="L197" s="12" t="str">
        <f ca="1">IF(B197="","",IF(COUNTIF(Finding_List!$A:$A,B197)&gt;0,"Yes","No"))</f>
        <v/>
      </c>
      <c r="M197" s="12" t="str">
        <f ca="1">IF(B197="","",COUNTIF(Server_Inventory!$Z:$Z,B197))</f>
        <v/>
      </c>
      <c r="N197" s="12" t="str">
        <f ca="1">IF(B197="","",COUNTIF(Container_Inventory!$L:$L,B197))</f>
        <v/>
      </c>
    </row>
    <row r="198" spans="1:14" x14ac:dyDescent="0.2">
      <c r="A198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High"}))*(All_Risk_Apps!$K$4:$K$1233="No")*(All_Risk_Apps!$A$4:$A$1233&lt;&gt;"")),195)),"")</f>
        <v/>
      </c>
      <c r="B198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High"}))*(All_Risk_Apps!$K$4:$K$1233="No")*(All_Risk_Apps!$A$4:$A$1233&lt;&gt;"")),195)),"")</f>
        <v/>
      </c>
      <c r="C198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High"}))*(All_Risk_Apps!$K$4:$K$1233="No")*(All_Risk_Apps!$A$4:$A$1233&lt;&gt;"")),195)),"")</f>
        <v/>
      </c>
      <c r="D198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High"}))*(All_Risk_Apps!$K$4:$K$1233="No")*(All_Risk_Apps!$A$4:$A$1233&lt;&gt;"")),195)),"")</f>
        <v/>
      </c>
      <c r="E198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High"}))*(All_Risk_Apps!$K$4:$K$1233="No")*(All_Risk_Apps!$A$4:$A$1233&lt;&gt;"")),195)),"")</f>
        <v/>
      </c>
      <c r="F198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High"}))*(All_Risk_Apps!$K$4:$K$1233="No")*(All_Risk_Apps!$A$4:$A$1233&lt;&gt;"")),195)),"")</f>
        <v/>
      </c>
      <c r="G198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High"}))*(All_Risk_Apps!$K$4:$K$1233="No")*(All_Risk_Apps!$A$4:$A$1233&lt;&gt;"")),195)),"")</f>
        <v/>
      </c>
      <c r="H198" s="7" t="str">
        <f ca="1">IF(B198="","",IFERROR(INDEX(Server_Inventory!$R:$R,MATCH(B198,Server_Inventory!$Z:$Z,0)),"Not Found"))</f>
        <v/>
      </c>
      <c r="I198" s="7" t="str">
        <f ca="1">IF(B198="","",IFERROR(INDEX(Server_Inventory!$S:$S,MATCH(B198,Server_Inventory!$Z:$Z,0)),"Not Found"))</f>
        <v/>
      </c>
      <c r="J198" s="7" t="str">
        <f ca="1">IF(B198="","",COUNTIFS(Server_Inventory!$Z:$Z,B198,Server_Inventory!$P:$P,"R-RETIRED_IN_CMDB"))</f>
        <v/>
      </c>
      <c r="K198" s="7" t="str">
        <f ca="1">IF(B198="","",IFERROR(INDEX(Container_Inventory!$F:$F,MATCH(B198,Container_Inventory!$L:$L,0)),"Not Found"))</f>
        <v/>
      </c>
      <c r="L198" s="7" t="str">
        <f ca="1">IF(B198="","",IF(COUNTIF(Finding_List!$A:$A,B198)&gt;0,"Yes","No"))</f>
        <v/>
      </c>
      <c r="M198" s="7" t="str">
        <f ca="1">IF(B198="","",COUNTIF(Server_Inventory!$Z:$Z,B198))</f>
        <v/>
      </c>
      <c r="N198" s="7" t="str">
        <f ca="1">IF(B198="","",COUNTIF(Container_Inventory!$L:$L,B198))</f>
        <v/>
      </c>
    </row>
    <row r="199" spans="1:14" x14ac:dyDescent="0.2">
      <c r="A199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High"}))*(All_Risk_Apps!$K$4:$K$1233="No")*(All_Risk_Apps!$A$4:$A$1233&lt;&gt;"")),196)),"")</f>
        <v/>
      </c>
      <c r="B199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High"}))*(All_Risk_Apps!$K$4:$K$1233="No")*(All_Risk_Apps!$A$4:$A$1233&lt;&gt;"")),196)),"")</f>
        <v/>
      </c>
      <c r="C199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High"}))*(All_Risk_Apps!$K$4:$K$1233="No")*(All_Risk_Apps!$A$4:$A$1233&lt;&gt;"")),196)),"")</f>
        <v/>
      </c>
      <c r="D199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High"}))*(All_Risk_Apps!$K$4:$K$1233="No")*(All_Risk_Apps!$A$4:$A$1233&lt;&gt;"")),196)),"")</f>
        <v/>
      </c>
      <c r="E199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High"}))*(All_Risk_Apps!$K$4:$K$1233="No")*(All_Risk_Apps!$A$4:$A$1233&lt;&gt;"")),196)),"")</f>
        <v/>
      </c>
      <c r="F199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High"}))*(All_Risk_Apps!$K$4:$K$1233="No")*(All_Risk_Apps!$A$4:$A$1233&lt;&gt;"")),196)),"")</f>
        <v/>
      </c>
      <c r="G199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High"}))*(All_Risk_Apps!$K$4:$K$1233="No")*(All_Risk_Apps!$A$4:$A$1233&lt;&gt;"")),196)),"")</f>
        <v/>
      </c>
      <c r="H199" s="12" t="str">
        <f ca="1">IF(B199="","",IFERROR(INDEX(Server_Inventory!$R:$R,MATCH(B199,Server_Inventory!$Z:$Z,0)),"Not Found"))</f>
        <v/>
      </c>
      <c r="I199" s="12" t="str">
        <f ca="1">IF(B199="","",IFERROR(INDEX(Server_Inventory!$S:$S,MATCH(B199,Server_Inventory!$Z:$Z,0)),"Not Found"))</f>
        <v/>
      </c>
      <c r="J199" s="12" t="str">
        <f ca="1">IF(B199="","",COUNTIFS(Server_Inventory!$Z:$Z,B199,Server_Inventory!$P:$P,"R-RETIRED_IN_CMDB"))</f>
        <v/>
      </c>
      <c r="K199" s="12" t="str">
        <f ca="1">IF(B199="","",IFERROR(INDEX(Container_Inventory!$F:$F,MATCH(B199,Container_Inventory!$L:$L,0)),"Not Found"))</f>
        <v/>
      </c>
      <c r="L199" s="12" t="str">
        <f ca="1">IF(B199="","",IF(COUNTIF(Finding_List!$A:$A,B199)&gt;0,"Yes","No"))</f>
        <v/>
      </c>
      <c r="M199" s="12" t="str">
        <f ca="1">IF(B199="","",COUNTIF(Server_Inventory!$Z:$Z,B199))</f>
        <v/>
      </c>
      <c r="N199" s="12" t="str">
        <f ca="1">IF(B199="","",COUNTIF(Container_Inventory!$L:$L,B199))</f>
        <v/>
      </c>
    </row>
    <row r="200" spans="1:14" x14ac:dyDescent="0.2">
      <c r="A200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High"}))*(All_Risk_Apps!$K$4:$K$1233="No")*(All_Risk_Apps!$A$4:$A$1233&lt;&gt;"")),197)),"")</f>
        <v/>
      </c>
      <c r="B200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High"}))*(All_Risk_Apps!$K$4:$K$1233="No")*(All_Risk_Apps!$A$4:$A$1233&lt;&gt;"")),197)),"")</f>
        <v/>
      </c>
      <c r="C200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High"}))*(All_Risk_Apps!$K$4:$K$1233="No")*(All_Risk_Apps!$A$4:$A$1233&lt;&gt;"")),197)),"")</f>
        <v/>
      </c>
      <c r="D200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High"}))*(All_Risk_Apps!$K$4:$K$1233="No")*(All_Risk_Apps!$A$4:$A$1233&lt;&gt;"")),197)),"")</f>
        <v/>
      </c>
      <c r="E200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High"}))*(All_Risk_Apps!$K$4:$K$1233="No")*(All_Risk_Apps!$A$4:$A$1233&lt;&gt;"")),197)),"")</f>
        <v/>
      </c>
      <c r="F200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High"}))*(All_Risk_Apps!$K$4:$K$1233="No")*(All_Risk_Apps!$A$4:$A$1233&lt;&gt;"")),197)),"")</f>
        <v/>
      </c>
      <c r="G200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High"}))*(All_Risk_Apps!$K$4:$K$1233="No")*(All_Risk_Apps!$A$4:$A$1233&lt;&gt;"")),197)),"")</f>
        <v/>
      </c>
      <c r="H200" s="7" t="str">
        <f ca="1">IF(B200="","",IFERROR(INDEX(Server_Inventory!$R:$R,MATCH(B200,Server_Inventory!$Z:$Z,0)),"Not Found"))</f>
        <v/>
      </c>
      <c r="I200" s="7" t="str">
        <f ca="1">IF(B200="","",IFERROR(INDEX(Server_Inventory!$S:$S,MATCH(B200,Server_Inventory!$Z:$Z,0)),"Not Found"))</f>
        <v/>
      </c>
      <c r="J200" s="7" t="str">
        <f ca="1">IF(B200="","",COUNTIFS(Server_Inventory!$Z:$Z,B200,Server_Inventory!$P:$P,"R-RETIRED_IN_CMDB"))</f>
        <v/>
      </c>
      <c r="K200" s="7" t="str">
        <f ca="1">IF(B200="","",IFERROR(INDEX(Container_Inventory!$F:$F,MATCH(B200,Container_Inventory!$L:$L,0)),"Not Found"))</f>
        <v/>
      </c>
      <c r="L200" s="7" t="str">
        <f ca="1">IF(B200="","",IF(COUNTIF(Finding_List!$A:$A,B200)&gt;0,"Yes","No"))</f>
        <v/>
      </c>
      <c r="M200" s="7" t="str">
        <f ca="1">IF(B200="","",COUNTIF(Server_Inventory!$Z:$Z,B200))</f>
        <v/>
      </c>
      <c r="N200" s="7" t="str">
        <f ca="1">IF(B200="","",COUNTIF(Container_Inventory!$L:$L,B200))</f>
        <v/>
      </c>
    </row>
    <row r="201" spans="1:14" x14ac:dyDescent="0.2">
      <c r="A201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High"}))*(All_Risk_Apps!$K$4:$K$1233="No")*(All_Risk_Apps!$A$4:$A$1233&lt;&gt;"")),198)),"")</f>
        <v/>
      </c>
      <c r="B201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High"}))*(All_Risk_Apps!$K$4:$K$1233="No")*(All_Risk_Apps!$A$4:$A$1233&lt;&gt;"")),198)),"")</f>
        <v/>
      </c>
      <c r="C201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High"}))*(All_Risk_Apps!$K$4:$K$1233="No")*(All_Risk_Apps!$A$4:$A$1233&lt;&gt;"")),198)),"")</f>
        <v/>
      </c>
      <c r="D201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High"}))*(All_Risk_Apps!$K$4:$K$1233="No")*(All_Risk_Apps!$A$4:$A$1233&lt;&gt;"")),198)),"")</f>
        <v/>
      </c>
      <c r="E201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High"}))*(All_Risk_Apps!$K$4:$K$1233="No")*(All_Risk_Apps!$A$4:$A$1233&lt;&gt;"")),198)),"")</f>
        <v/>
      </c>
      <c r="F201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High"}))*(All_Risk_Apps!$K$4:$K$1233="No")*(All_Risk_Apps!$A$4:$A$1233&lt;&gt;"")),198)),"")</f>
        <v/>
      </c>
      <c r="G201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High"}))*(All_Risk_Apps!$K$4:$K$1233="No")*(All_Risk_Apps!$A$4:$A$1233&lt;&gt;"")),198)),"")</f>
        <v/>
      </c>
      <c r="H201" s="12" t="str">
        <f ca="1">IF(B201="","",IFERROR(INDEX(Server_Inventory!$R:$R,MATCH(B201,Server_Inventory!$Z:$Z,0)),"Not Found"))</f>
        <v/>
      </c>
      <c r="I201" s="12" t="str">
        <f ca="1">IF(B201="","",IFERROR(INDEX(Server_Inventory!$S:$S,MATCH(B201,Server_Inventory!$Z:$Z,0)),"Not Found"))</f>
        <v/>
      </c>
      <c r="J201" s="12" t="str">
        <f ca="1">IF(B201="","",COUNTIFS(Server_Inventory!$Z:$Z,B201,Server_Inventory!$P:$P,"R-RETIRED_IN_CMDB"))</f>
        <v/>
      </c>
      <c r="K201" s="12" t="str">
        <f ca="1">IF(B201="","",IFERROR(INDEX(Container_Inventory!$F:$F,MATCH(B201,Container_Inventory!$L:$L,0)),"Not Found"))</f>
        <v/>
      </c>
      <c r="L201" s="12" t="str">
        <f ca="1">IF(B201="","",IF(COUNTIF(Finding_List!$A:$A,B201)&gt;0,"Yes","No"))</f>
        <v/>
      </c>
      <c r="M201" s="12" t="str">
        <f ca="1">IF(B201="","",COUNTIF(Server_Inventory!$Z:$Z,B201))</f>
        <v/>
      </c>
      <c r="N201" s="12" t="str">
        <f ca="1">IF(B201="","",COUNTIF(Container_Inventory!$L:$L,B201))</f>
        <v/>
      </c>
    </row>
    <row r="202" spans="1:14" x14ac:dyDescent="0.2">
      <c r="A202" s="7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High"}))*(All_Risk_Apps!$K$4:$K$1233="No")*(All_Risk_Apps!$A$4:$A$1233&lt;&gt;"")),199)),"")</f>
        <v/>
      </c>
      <c r="B202" s="7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High"}))*(All_Risk_Apps!$K$4:$K$1233="No")*(All_Risk_Apps!$A$4:$A$1233&lt;&gt;"")),199)),"")</f>
        <v/>
      </c>
      <c r="C202" s="7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High"}))*(All_Risk_Apps!$K$4:$K$1233="No")*(All_Risk_Apps!$A$4:$A$1233&lt;&gt;"")),199)),"")</f>
        <v/>
      </c>
      <c r="D202" s="7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High"}))*(All_Risk_Apps!$K$4:$K$1233="No")*(All_Risk_Apps!$A$4:$A$1233&lt;&gt;"")),199)),"")</f>
        <v/>
      </c>
      <c r="E202" s="7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High"}))*(All_Risk_Apps!$K$4:$K$1233="No")*(All_Risk_Apps!$A$4:$A$1233&lt;&gt;"")),199)),"")</f>
        <v/>
      </c>
      <c r="F202" s="7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High"}))*(All_Risk_Apps!$K$4:$K$1233="No")*(All_Risk_Apps!$A$4:$A$1233&lt;&gt;"")),199)),"")</f>
        <v/>
      </c>
      <c r="G202" s="7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High"}))*(All_Risk_Apps!$K$4:$K$1233="No")*(All_Risk_Apps!$A$4:$A$1233&lt;&gt;"")),199)),"")</f>
        <v/>
      </c>
      <c r="H202" s="7" t="str">
        <f ca="1">IF(B202="","",IFERROR(INDEX(Server_Inventory!$R:$R,MATCH(B202,Server_Inventory!$Z:$Z,0)),"Not Found"))</f>
        <v/>
      </c>
      <c r="I202" s="7" t="str">
        <f ca="1">IF(B202="","",IFERROR(INDEX(Server_Inventory!$S:$S,MATCH(B202,Server_Inventory!$Z:$Z,0)),"Not Found"))</f>
        <v/>
      </c>
      <c r="J202" s="7" t="str">
        <f ca="1">IF(B202="","",COUNTIFS(Server_Inventory!$Z:$Z,B202,Server_Inventory!$P:$P,"R-RETIRED_IN_CMDB"))</f>
        <v/>
      </c>
      <c r="K202" s="7" t="str">
        <f ca="1">IF(B202="","",IFERROR(INDEX(Container_Inventory!$F:$F,MATCH(B202,Container_Inventory!$L:$L,0)),"Not Found"))</f>
        <v/>
      </c>
      <c r="L202" s="7" t="str">
        <f ca="1">IF(B202="","",IF(COUNTIF(Finding_List!$A:$A,B202)&gt;0,"Yes","No"))</f>
        <v/>
      </c>
      <c r="M202" s="7" t="str">
        <f ca="1">IF(B202="","",COUNTIF(Server_Inventory!$Z:$Z,B202))</f>
        <v/>
      </c>
      <c r="N202" s="7" t="str">
        <f ca="1">IF(B202="","",COUNTIF(Container_Inventory!$L:$L,B202))</f>
        <v/>
      </c>
    </row>
    <row r="203" spans="1:14" x14ac:dyDescent="0.2">
      <c r="A203" s="12" t="str">
        <f ca="1">IFERROR(INDEX(All_Risk_Apps!$A$4:$A$1233,_xludf.aggregate(15,6,(ROW(All_Risk_Apps!$A$4:$A$1233)-ROW(All_Risk_Apps!$A$4)+1)/((OR(All_Risk_Apps!$D$4:$D$1233={"High","Very High"}))*(All_Risk_Apps!$K$4:$K$1233="No")*(All_Risk_Apps!$A$4:$A$1233&lt;&gt;"")),200)),"")</f>
        <v/>
      </c>
      <c r="B203" s="12" t="str">
        <f ca="1">IFERROR(INDEX(All_Risk_Apps!$B$4:$B$1233,_xludf.aggregate(15,6,(ROW(All_Risk_Apps!$A$4:$A$1233)-ROW(All_Risk_Apps!$A$4)+1)/((OR(All_Risk_Apps!$D$4:$D$1233={"High","Very High"}))*(All_Risk_Apps!$K$4:$K$1233="No")*(All_Risk_Apps!$A$4:$A$1233&lt;&gt;"")),200)),"")</f>
        <v/>
      </c>
      <c r="C203" s="12" t="str">
        <f ca="1">IFERROR(INDEX(All_Risk_Apps!$D$4:$D$1233,_xludf.aggregate(15,6,(ROW(All_Risk_Apps!$A$4:$A$1233)-ROW(All_Risk_Apps!$A$4)+1)/((OR(All_Risk_Apps!$D$4:$D$1233={"High","Very High"}))*(All_Risk_Apps!$K$4:$K$1233="No")*(All_Risk_Apps!$A$4:$A$1233&lt;&gt;"")),200)),"")</f>
        <v/>
      </c>
      <c r="D203" s="12" t="str">
        <f ca="1">IFERROR(INDEX(All_Risk_Apps!$C$4:$C$1233,_xludf.aggregate(15,6,(ROW(All_Risk_Apps!$A$4:$A$1233)-ROW(All_Risk_Apps!$A$4)+1)/((OR(All_Risk_Apps!$D$4:$D$1233={"High","Very High"}))*(All_Risk_Apps!$K$4:$K$1233="No")*(All_Risk_Apps!$A$4:$A$1233&lt;&gt;"")),200)),"")</f>
        <v/>
      </c>
      <c r="E203" s="12" t="str">
        <f ca="1">IFERROR(INDEX(All_Risk_Apps!$E$4:$E$1233,_xludf.aggregate(15,6,(ROW(All_Risk_Apps!$A$4:$A$1233)-ROW(All_Risk_Apps!$A$4)+1)/((OR(All_Risk_Apps!$D$4:$D$1233={"High","Very High"}))*(All_Risk_Apps!$K$4:$K$1233="No")*(All_Risk_Apps!$A$4:$A$1233&lt;&gt;"")),200)),"")</f>
        <v/>
      </c>
      <c r="F203" s="12" t="str">
        <f ca="1">IFERROR(INDEX(All_Risk_Apps!$F$4:$F$1233,_xludf.aggregate(15,6,(ROW(All_Risk_Apps!$A$4:$A$1233)-ROW(All_Risk_Apps!$A$4)+1)/((OR(All_Risk_Apps!$D$4:$D$1233={"High","Very High"}))*(All_Risk_Apps!$K$4:$K$1233="No")*(All_Risk_Apps!$A$4:$A$1233&lt;&gt;"")),200)),"")</f>
        <v/>
      </c>
      <c r="G203" s="12" t="str">
        <f ca="1">IFERROR(INDEX(All_Risk_Apps!$I$4:$I$1233,_xludf.aggregate(15,6,(ROW(All_Risk_Apps!$A$4:$A$1233)-ROW(All_Risk_Apps!$A$4)+1)/((OR(All_Risk_Apps!$D$4:$D$1233={"High","Very High"}))*(All_Risk_Apps!$K$4:$K$1233="No")*(All_Risk_Apps!$A$4:$A$1233&lt;&gt;"")),200)),"")</f>
        <v/>
      </c>
      <c r="H203" s="12" t="str">
        <f ca="1">IF(B203="","",IFERROR(INDEX(Server_Inventory!$R:$R,MATCH(B203,Server_Inventory!$Z:$Z,0)),"Not Found"))</f>
        <v/>
      </c>
      <c r="I203" s="12" t="str">
        <f ca="1">IF(B203="","",IFERROR(INDEX(Server_Inventory!$S:$S,MATCH(B203,Server_Inventory!$Z:$Z,0)),"Not Found"))</f>
        <v/>
      </c>
      <c r="J203" s="12" t="str">
        <f ca="1">IF(B203="","",COUNTIFS(Server_Inventory!$Z:$Z,B203,Server_Inventory!$P:$P,"R-RETIRED_IN_CMDB"))</f>
        <v/>
      </c>
      <c r="K203" s="12" t="str">
        <f ca="1">IF(B203="","",IFERROR(INDEX(Container_Inventory!$F:$F,MATCH(B203,Container_Inventory!$L:$L,0)),"Not Found"))</f>
        <v/>
      </c>
      <c r="L203" s="12" t="str">
        <f ca="1">IF(B203="","",IF(COUNTIF(Finding_List!$A:$A,B203)&gt;0,"Yes","No"))</f>
        <v/>
      </c>
      <c r="M203" s="12" t="str">
        <f ca="1">IF(B203="","",COUNTIF(Server_Inventory!$Z:$Z,B203))</f>
        <v/>
      </c>
      <c r="N203" s="12" t="str">
        <f ca="1">IF(B203="","",COUNTIF(Container_Inventory!$L:$L,B203))</f>
        <v/>
      </c>
    </row>
  </sheetData>
  <mergeCells count="2">
    <mergeCell ref="A1:N1"/>
    <mergeCell ref="A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3"/>
  <sheetViews>
    <sheetView showGridLines="0" zoomScaleNormal="100" workbookViewId="0"/>
  </sheetViews>
  <sheetFormatPr baseColWidth="10" defaultColWidth="8.6640625" defaultRowHeight="15" x14ac:dyDescent="0.2"/>
  <cols>
    <col min="1" max="1" width="38" customWidth="1"/>
    <col min="2" max="2" width="20" customWidth="1"/>
    <col min="3" max="3" width="14" customWidth="1"/>
    <col min="4" max="4" width="12" customWidth="1"/>
    <col min="5" max="5" width="25" customWidth="1"/>
    <col min="6" max="6" width="22" customWidth="1"/>
    <col min="7" max="7" width="14" customWidth="1"/>
    <col min="8" max="8" width="22" customWidth="1"/>
    <col min="9" max="9" width="18" customWidth="1"/>
    <col min="10" max="10" width="28" customWidth="1"/>
    <col min="11" max="11" width="24" customWidth="1"/>
    <col min="12" max="13" width="14" customWidth="1"/>
    <col min="14" max="14" width="16" customWidth="1"/>
  </cols>
  <sheetData>
    <row r="1" spans="1:14" ht="30" customHeight="1" x14ac:dyDescent="0.2">
      <c r="A1" s="29" t="s">
        <v>58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ht="34.5" customHeight="1" x14ac:dyDescent="0.2">
      <c r="A2" s="13" t="s">
        <v>44</v>
      </c>
      <c r="B2" s="13" t="s">
        <v>45</v>
      </c>
      <c r="C2" s="13" t="s">
        <v>11</v>
      </c>
      <c r="D2" s="13" t="s">
        <v>46</v>
      </c>
      <c r="E2" s="13" t="s">
        <v>47</v>
      </c>
      <c r="F2" s="13" t="s">
        <v>48</v>
      </c>
      <c r="G2" s="13" t="s">
        <v>49</v>
      </c>
      <c r="H2" s="13" t="s">
        <v>50</v>
      </c>
      <c r="I2" s="13" t="s">
        <v>51</v>
      </c>
      <c r="J2" s="13" t="s">
        <v>52</v>
      </c>
      <c r="K2" s="13" t="s">
        <v>53</v>
      </c>
      <c r="L2" s="13" t="s">
        <v>54</v>
      </c>
      <c r="M2" s="13" t="s">
        <v>55</v>
      </c>
      <c r="N2" s="13" t="s">
        <v>56</v>
      </c>
    </row>
    <row r="3" spans="1:14" ht="15" customHeight="1" x14ac:dyDescent="0.2">
      <c r="A3" s="27" t="s">
        <v>59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x14ac:dyDescent="0.2">
      <c r="A4" s="8" t="str">
        <f ca="1">IFERROR(INDEX(All_Risk_Apps!$A$4:$A$1233,_xludf.aggregate(15,6,(ROW(All_Risk_Apps!$A$4:$A$1233)-ROW(All_Risk_Apps!$A$4)+1)/(All_Risk_Apps!$J$4:$J$1233="Fast Follower")*(All_Risk_Apps!$A$4:$A$1233&lt;&gt;""),1)),"")</f>
        <v/>
      </c>
      <c r="B4" s="8" t="str">
        <f ca="1">IFERROR(INDEX(All_Risk_Apps!$B$4:$B$1233,_xludf.aggregate(15,6,(ROW(All_Risk_Apps!$A$4:$A$1233)-ROW(All_Risk_Apps!$A$4)+1)/(All_Risk_Apps!$J$4:$J$1233="Fast Follower")*(All_Risk_Apps!$A$4:$A$1233&lt;&gt;""),1)),"")</f>
        <v/>
      </c>
      <c r="C4" s="8" t="str">
        <f ca="1">IFERROR(INDEX(All_Risk_Apps!$D$4:$D$1233,_xludf.aggregate(15,6,(ROW(All_Risk_Apps!$A$4:$A$1233)-ROW(All_Risk_Apps!$A$4)+1)/(All_Risk_Apps!$J$4:$J$1233="Fast Follower")*(All_Risk_Apps!$A$4:$A$1233&lt;&gt;""),1)),"")</f>
        <v/>
      </c>
      <c r="D4" s="8" t="str">
        <f ca="1">IFERROR(INDEX(All_Risk_Apps!$C$4:$C$1233,_xludf.aggregate(15,6,(ROW(All_Risk_Apps!$A$4:$A$1233)-ROW(All_Risk_Apps!$A$4)+1)/(All_Risk_Apps!$J$4:$J$1233="Fast Follower")*(All_Risk_Apps!$A$4:$A$1233&lt;&gt;""),1)),"")</f>
        <v/>
      </c>
      <c r="E4" s="8" t="str">
        <f ca="1">IFERROR(INDEX(All_Risk_Apps!$E$4:$E$1233,_xludf.aggregate(15,6,(ROW(All_Risk_Apps!$A$4:$A$1233)-ROW(All_Risk_Apps!$A$4)+1)/(All_Risk_Apps!$J$4:$J$1233="Fast Follower")*(All_Risk_Apps!$A$4:$A$1233&lt;&gt;""),1)),"")</f>
        <v/>
      </c>
      <c r="F4" s="8" t="str">
        <f ca="1">IFERROR(INDEX(All_Risk_Apps!$F$4:$F$1233,_xludf.aggregate(15,6,(ROW(All_Risk_Apps!$A$4:$A$1233)-ROW(All_Risk_Apps!$A$4)+1)/(All_Risk_Apps!$J$4:$J$1233="Fast Follower")*(All_Risk_Apps!$A$4:$A$1233&lt;&gt;""),1)),"")</f>
        <v/>
      </c>
      <c r="G4" s="8" t="str">
        <f ca="1">IFERROR(INDEX(All_Risk_Apps!$I$4:$I$1233,_xludf.aggregate(15,6,(ROW(All_Risk_Apps!$A$4:$A$1233)-ROW(All_Risk_Apps!$A$4)+1)/(All_Risk_Apps!$J$4:$J$1233="Fast Follower")*(All_Risk_Apps!$A$4:$A$1233&lt;&gt;""),1)),"")</f>
        <v/>
      </c>
      <c r="H4" s="8" t="str">
        <f ca="1">IF(B4="","",IFERROR(INDEX(Server_Inventory!$R:$R,MATCH(B4,Server_Inventory!$Z:$Z,0)),"Not Found"))</f>
        <v/>
      </c>
      <c r="I4" s="8" t="str">
        <f ca="1">IF(B4="","",IFERROR(INDEX(Server_Inventory!$S:$S,MATCH(B4,Server_Inventory!$Z:$Z,0)),"Not Found"))</f>
        <v/>
      </c>
      <c r="J4" s="8" t="str">
        <f ca="1">IF(B4="","",COUNTIFS(Server_Inventory!$Z:$Z,B4,Server_Inventory!$P:$P,"R-RETIRED_IN_CMDB"))</f>
        <v/>
      </c>
      <c r="K4" s="8" t="str">
        <f ca="1">IF(B4="","",IFERROR(INDEX(Container_Inventory!$F:$F,MATCH(B4,Container_Inventory!$L:$L,0)),"Not Found"))</f>
        <v/>
      </c>
      <c r="L4" s="8" t="str">
        <f ca="1">IF(B4="","",IF(COUNTIF(Finding_List!$A:$A,B4)&gt;0,"Yes","No"))</f>
        <v/>
      </c>
      <c r="M4" s="8" t="str">
        <f ca="1">IF(B4="","",COUNTIF(Server_Inventory!$Z:$Z,B4))</f>
        <v/>
      </c>
      <c r="N4" s="8" t="str">
        <f ca="1">IF(B4="","",COUNTIF(Container_Inventory!$L:$L,B4))</f>
        <v/>
      </c>
    </row>
    <row r="5" spans="1:14" x14ac:dyDescent="0.2">
      <c r="A5" s="14" t="str">
        <f ca="1">IFERROR(INDEX(All_Risk_Apps!$A$4:$A$1233,_xludf.aggregate(15,6,(ROW(All_Risk_Apps!$A$4:$A$1233)-ROW(All_Risk_Apps!$A$4)+1)/(All_Risk_Apps!$J$4:$J$1233="Fast Follower")*(All_Risk_Apps!$A$4:$A$1233&lt;&gt;""),2)),"")</f>
        <v/>
      </c>
      <c r="B5" s="14" t="str">
        <f ca="1">IFERROR(INDEX(All_Risk_Apps!$B$4:$B$1233,_xludf.aggregate(15,6,(ROW(All_Risk_Apps!$A$4:$A$1233)-ROW(All_Risk_Apps!$A$4)+1)/(All_Risk_Apps!$J$4:$J$1233="Fast Follower")*(All_Risk_Apps!$A$4:$A$1233&lt;&gt;""),2)),"")</f>
        <v/>
      </c>
      <c r="C5" s="14" t="str">
        <f ca="1">IFERROR(INDEX(All_Risk_Apps!$D$4:$D$1233,_xludf.aggregate(15,6,(ROW(All_Risk_Apps!$A$4:$A$1233)-ROW(All_Risk_Apps!$A$4)+1)/(All_Risk_Apps!$J$4:$J$1233="Fast Follower")*(All_Risk_Apps!$A$4:$A$1233&lt;&gt;""),2)),"")</f>
        <v/>
      </c>
      <c r="D5" s="14" t="str">
        <f ca="1">IFERROR(INDEX(All_Risk_Apps!$C$4:$C$1233,_xludf.aggregate(15,6,(ROW(All_Risk_Apps!$A$4:$A$1233)-ROW(All_Risk_Apps!$A$4)+1)/(All_Risk_Apps!$J$4:$J$1233="Fast Follower")*(All_Risk_Apps!$A$4:$A$1233&lt;&gt;""),2)),"")</f>
        <v/>
      </c>
      <c r="E5" s="14" t="str">
        <f ca="1">IFERROR(INDEX(All_Risk_Apps!$E$4:$E$1233,_xludf.aggregate(15,6,(ROW(All_Risk_Apps!$A$4:$A$1233)-ROW(All_Risk_Apps!$A$4)+1)/(All_Risk_Apps!$J$4:$J$1233="Fast Follower")*(All_Risk_Apps!$A$4:$A$1233&lt;&gt;""),2)),"")</f>
        <v/>
      </c>
      <c r="F5" s="14" t="str">
        <f ca="1">IFERROR(INDEX(All_Risk_Apps!$F$4:$F$1233,_xludf.aggregate(15,6,(ROW(All_Risk_Apps!$A$4:$A$1233)-ROW(All_Risk_Apps!$A$4)+1)/(All_Risk_Apps!$J$4:$J$1233="Fast Follower")*(All_Risk_Apps!$A$4:$A$1233&lt;&gt;""),2)),"")</f>
        <v/>
      </c>
      <c r="G5" s="14" t="str">
        <f ca="1">IFERROR(INDEX(All_Risk_Apps!$I$4:$I$1233,_xludf.aggregate(15,6,(ROW(All_Risk_Apps!$A$4:$A$1233)-ROW(All_Risk_Apps!$A$4)+1)/(All_Risk_Apps!$J$4:$J$1233="Fast Follower")*(All_Risk_Apps!$A$4:$A$1233&lt;&gt;""),2)),"")</f>
        <v/>
      </c>
      <c r="H5" s="14" t="str">
        <f ca="1">IF(B5="","",IFERROR(INDEX(Server_Inventory!$R:$R,MATCH(B5,Server_Inventory!$Z:$Z,0)),"Not Found"))</f>
        <v/>
      </c>
      <c r="I5" s="14" t="str">
        <f ca="1">IF(B5="","",IFERROR(INDEX(Server_Inventory!$S:$S,MATCH(B5,Server_Inventory!$Z:$Z,0)),"Not Found"))</f>
        <v/>
      </c>
      <c r="J5" s="14" t="str">
        <f ca="1">IF(B5="","",COUNTIFS(Server_Inventory!$Z:$Z,B5,Server_Inventory!$P:$P,"R-RETIRED_IN_CMDB"))</f>
        <v/>
      </c>
      <c r="K5" s="14" t="str">
        <f ca="1">IF(B5="","",IFERROR(INDEX(Container_Inventory!$F:$F,MATCH(B5,Container_Inventory!$L:$L,0)),"Not Found"))</f>
        <v/>
      </c>
      <c r="L5" s="14" t="str">
        <f ca="1">IF(B5="","",IF(COUNTIF(Finding_List!$A:$A,B5)&gt;0,"Yes","No"))</f>
        <v/>
      </c>
      <c r="M5" s="14" t="str">
        <f ca="1">IF(B5="","",COUNTIF(Server_Inventory!$Z:$Z,B5))</f>
        <v/>
      </c>
      <c r="N5" s="14" t="str">
        <f ca="1">IF(B5="","",COUNTIF(Container_Inventory!$L:$L,B5))</f>
        <v/>
      </c>
    </row>
    <row r="6" spans="1:14" x14ac:dyDescent="0.2">
      <c r="A6" s="8" t="str">
        <f ca="1">IFERROR(INDEX(All_Risk_Apps!$A$4:$A$1233,_xludf.aggregate(15,6,(ROW(All_Risk_Apps!$A$4:$A$1233)-ROW(All_Risk_Apps!$A$4)+1)/(All_Risk_Apps!$J$4:$J$1233="Fast Follower")*(All_Risk_Apps!$A$4:$A$1233&lt;&gt;""),3)),"")</f>
        <v/>
      </c>
      <c r="B6" s="8" t="str">
        <f ca="1">IFERROR(INDEX(All_Risk_Apps!$B$4:$B$1233,_xludf.aggregate(15,6,(ROW(All_Risk_Apps!$A$4:$A$1233)-ROW(All_Risk_Apps!$A$4)+1)/(All_Risk_Apps!$J$4:$J$1233="Fast Follower")*(All_Risk_Apps!$A$4:$A$1233&lt;&gt;""),3)),"")</f>
        <v/>
      </c>
      <c r="C6" s="8" t="str">
        <f ca="1">IFERROR(INDEX(All_Risk_Apps!$D$4:$D$1233,_xludf.aggregate(15,6,(ROW(All_Risk_Apps!$A$4:$A$1233)-ROW(All_Risk_Apps!$A$4)+1)/(All_Risk_Apps!$J$4:$J$1233="Fast Follower")*(All_Risk_Apps!$A$4:$A$1233&lt;&gt;""),3)),"")</f>
        <v/>
      </c>
      <c r="D6" s="8" t="str">
        <f ca="1">IFERROR(INDEX(All_Risk_Apps!$C$4:$C$1233,_xludf.aggregate(15,6,(ROW(All_Risk_Apps!$A$4:$A$1233)-ROW(All_Risk_Apps!$A$4)+1)/(All_Risk_Apps!$J$4:$J$1233="Fast Follower")*(All_Risk_Apps!$A$4:$A$1233&lt;&gt;""),3)),"")</f>
        <v/>
      </c>
      <c r="E6" s="8" t="str">
        <f ca="1">IFERROR(INDEX(All_Risk_Apps!$E$4:$E$1233,_xludf.aggregate(15,6,(ROW(All_Risk_Apps!$A$4:$A$1233)-ROW(All_Risk_Apps!$A$4)+1)/(All_Risk_Apps!$J$4:$J$1233="Fast Follower")*(All_Risk_Apps!$A$4:$A$1233&lt;&gt;""),3)),"")</f>
        <v/>
      </c>
      <c r="F6" s="8" t="str">
        <f ca="1">IFERROR(INDEX(All_Risk_Apps!$F$4:$F$1233,_xludf.aggregate(15,6,(ROW(All_Risk_Apps!$A$4:$A$1233)-ROW(All_Risk_Apps!$A$4)+1)/(All_Risk_Apps!$J$4:$J$1233="Fast Follower")*(All_Risk_Apps!$A$4:$A$1233&lt;&gt;""),3)),"")</f>
        <v/>
      </c>
      <c r="G6" s="8" t="str">
        <f ca="1">IFERROR(INDEX(All_Risk_Apps!$I$4:$I$1233,_xludf.aggregate(15,6,(ROW(All_Risk_Apps!$A$4:$A$1233)-ROW(All_Risk_Apps!$A$4)+1)/(All_Risk_Apps!$J$4:$J$1233="Fast Follower")*(All_Risk_Apps!$A$4:$A$1233&lt;&gt;""),3)),"")</f>
        <v/>
      </c>
      <c r="H6" s="8" t="str">
        <f ca="1">IF(B6="","",IFERROR(INDEX(Server_Inventory!$R:$R,MATCH(B6,Server_Inventory!$Z:$Z,0)),"Not Found"))</f>
        <v/>
      </c>
      <c r="I6" s="8" t="str">
        <f ca="1">IF(B6="","",IFERROR(INDEX(Server_Inventory!$S:$S,MATCH(B6,Server_Inventory!$Z:$Z,0)),"Not Found"))</f>
        <v/>
      </c>
      <c r="J6" s="8" t="str">
        <f ca="1">IF(B6="","",COUNTIFS(Server_Inventory!$Z:$Z,B6,Server_Inventory!$P:$P,"R-RETIRED_IN_CMDB"))</f>
        <v/>
      </c>
      <c r="K6" s="8" t="str">
        <f ca="1">IF(B6="","",IFERROR(INDEX(Container_Inventory!$F:$F,MATCH(B6,Container_Inventory!$L:$L,0)),"Not Found"))</f>
        <v/>
      </c>
      <c r="L6" s="8" t="str">
        <f ca="1">IF(B6="","",IF(COUNTIF(Finding_List!$A:$A,B6)&gt;0,"Yes","No"))</f>
        <v/>
      </c>
      <c r="M6" s="8" t="str">
        <f ca="1">IF(B6="","",COUNTIF(Server_Inventory!$Z:$Z,B6))</f>
        <v/>
      </c>
      <c r="N6" s="8" t="str">
        <f ca="1">IF(B6="","",COUNTIF(Container_Inventory!$L:$L,B6))</f>
        <v/>
      </c>
    </row>
    <row r="7" spans="1:14" x14ac:dyDescent="0.2">
      <c r="A7" s="14" t="str">
        <f ca="1">IFERROR(INDEX(All_Risk_Apps!$A$4:$A$1233,_xludf.aggregate(15,6,(ROW(All_Risk_Apps!$A$4:$A$1233)-ROW(All_Risk_Apps!$A$4)+1)/(All_Risk_Apps!$J$4:$J$1233="Fast Follower")*(All_Risk_Apps!$A$4:$A$1233&lt;&gt;""),4)),"")</f>
        <v/>
      </c>
      <c r="B7" s="14" t="str">
        <f ca="1">IFERROR(INDEX(All_Risk_Apps!$B$4:$B$1233,_xludf.aggregate(15,6,(ROW(All_Risk_Apps!$A$4:$A$1233)-ROW(All_Risk_Apps!$A$4)+1)/(All_Risk_Apps!$J$4:$J$1233="Fast Follower")*(All_Risk_Apps!$A$4:$A$1233&lt;&gt;""),4)),"")</f>
        <v/>
      </c>
      <c r="C7" s="14" t="str">
        <f ca="1">IFERROR(INDEX(All_Risk_Apps!$D$4:$D$1233,_xludf.aggregate(15,6,(ROW(All_Risk_Apps!$A$4:$A$1233)-ROW(All_Risk_Apps!$A$4)+1)/(All_Risk_Apps!$J$4:$J$1233="Fast Follower")*(All_Risk_Apps!$A$4:$A$1233&lt;&gt;""),4)),"")</f>
        <v/>
      </c>
      <c r="D7" s="14" t="str">
        <f ca="1">IFERROR(INDEX(All_Risk_Apps!$C$4:$C$1233,_xludf.aggregate(15,6,(ROW(All_Risk_Apps!$A$4:$A$1233)-ROW(All_Risk_Apps!$A$4)+1)/(All_Risk_Apps!$J$4:$J$1233="Fast Follower")*(All_Risk_Apps!$A$4:$A$1233&lt;&gt;""),4)),"")</f>
        <v/>
      </c>
      <c r="E7" s="14" t="str">
        <f ca="1">IFERROR(INDEX(All_Risk_Apps!$E$4:$E$1233,_xludf.aggregate(15,6,(ROW(All_Risk_Apps!$A$4:$A$1233)-ROW(All_Risk_Apps!$A$4)+1)/(All_Risk_Apps!$J$4:$J$1233="Fast Follower")*(All_Risk_Apps!$A$4:$A$1233&lt;&gt;""),4)),"")</f>
        <v/>
      </c>
      <c r="F7" s="14" t="str">
        <f ca="1">IFERROR(INDEX(All_Risk_Apps!$F$4:$F$1233,_xludf.aggregate(15,6,(ROW(All_Risk_Apps!$A$4:$A$1233)-ROW(All_Risk_Apps!$A$4)+1)/(All_Risk_Apps!$J$4:$J$1233="Fast Follower")*(All_Risk_Apps!$A$4:$A$1233&lt;&gt;""),4)),"")</f>
        <v/>
      </c>
      <c r="G7" s="14" t="str">
        <f ca="1">IFERROR(INDEX(All_Risk_Apps!$I$4:$I$1233,_xludf.aggregate(15,6,(ROW(All_Risk_Apps!$A$4:$A$1233)-ROW(All_Risk_Apps!$A$4)+1)/(All_Risk_Apps!$J$4:$J$1233="Fast Follower")*(All_Risk_Apps!$A$4:$A$1233&lt;&gt;""),4)),"")</f>
        <v/>
      </c>
      <c r="H7" s="14" t="str">
        <f ca="1">IF(B7="","",IFERROR(INDEX(Server_Inventory!$R:$R,MATCH(B7,Server_Inventory!$Z:$Z,0)),"Not Found"))</f>
        <v/>
      </c>
      <c r="I7" s="14" t="str">
        <f ca="1">IF(B7="","",IFERROR(INDEX(Server_Inventory!$S:$S,MATCH(B7,Server_Inventory!$Z:$Z,0)),"Not Found"))</f>
        <v/>
      </c>
      <c r="J7" s="14" t="str">
        <f ca="1">IF(B7="","",COUNTIFS(Server_Inventory!$Z:$Z,B7,Server_Inventory!$P:$P,"R-RETIRED_IN_CMDB"))</f>
        <v/>
      </c>
      <c r="K7" s="14" t="str">
        <f ca="1">IF(B7="","",IFERROR(INDEX(Container_Inventory!$F:$F,MATCH(B7,Container_Inventory!$L:$L,0)),"Not Found"))</f>
        <v/>
      </c>
      <c r="L7" s="14" t="str">
        <f ca="1">IF(B7="","",IF(COUNTIF(Finding_List!$A:$A,B7)&gt;0,"Yes","No"))</f>
        <v/>
      </c>
      <c r="M7" s="14" t="str">
        <f ca="1">IF(B7="","",COUNTIF(Server_Inventory!$Z:$Z,B7))</f>
        <v/>
      </c>
      <c r="N7" s="14" t="str">
        <f ca="1">IF(B7="","",COUNTIF(Container_Inventory!$L:$L,B7))</f>
        <v/>
      </c>
    </row>
    <row r="8" spans="1:14" x14ac:dyDescent="0.2">
      <c r="A8" s="8" t="str">
        <f ca="1">IFERROR(INDEX(All_Risk_Apps!$A$4:$A$1233,_xludf.aggregate(15,6,(ROW(All_Risk_Apps!$A$4:$A$1233)-ROW(All_Risk_Apps!$A$4)+1)/(All_Risk_Apps!$J$4:$J$1233="Fast Follower")*(All_Risk_Apps!$A$4:$A$1233&lt;&gt;""),5)),"")</f>
        <v/>
      </c>
      <c r="B8" s="8" t="str">
        <f ca="1">IFERROR(INDEX(All_Risk_Apps!$B$4:$B$1233,_xludf.aggregate(15,6,(ROW(All_Risk_Apps!$A$4:$A$1233)-ROW(All_Risk_Apps!$A$4)+1)/(All_Risk_Apps!$J$4:$J$1233="Fast Follower")*(All_Risk_Apps!$A$4:$A$1233&lt;&gt;""),5)),"")</f>
        <v/>
      </c>
      <c r="C8" s="8" t="str">
        <f ca="1">IFERROR(INDEX(All_Risk_Apps!$D$4:$D$1233,_xludf.aggregate(15,6,(ROW(All_Risk_Apps!$A$4:$A$1233)-ROW(All_Risk_Apps!$A$4)+1)/(All_Risk_Apps!$J$4:$J$1233="Fast Follower")*(All_Risk_Apps!$A$4:$A$1233&lt;&gt;""),5)),"")</f>
        <v/>
      </c>
      <c r="D8" s="8" t="str">
        <f ca="1">IFERROR(INDEX(All_Risk_Apps!$C$4:$C$1233,_xludf.aggregate(15,6,(ROW(All_Risk_Apps!$A$4:$A$1233)-ROW(All_Risk_Apps!$A$4)+1)/(All_Risk_Apps!$J$4:$J$1233="Fast Follower")*(All_Risk_Apps!$A$4:$A$1233&lt;&gt;""),5)),"")</f>
        <v/>
      </c>
      <c r="E8" s="8" t="str">
        <f ca="1">IFERROR(INDEX(All_Risk_Apps!$E$4:$E$1233,_xludf.aggregate(15,6,(ROW(All_Risk_Apps!$A$4:$A$1233)-ROW(All_Risk_Apps!$A$4)+1)/(All_Risk_Apps!$J$4:$J$1233="Fast Follower")*(All_Risk_Apps!$A$4:$A$1233&lt;&gt;""),5)),"")</f>
        <v/>
      </c>
      <c r="F8" s="8" t="str">
        <f ca="1">IFERROR(INDEX(All_Risk_Apps!$F$4:$F$1233,_xludf.aggregate(15,6,(ROW(All_Risk_Apps!$A$4:$A$1233)-ROW(All_Risk_Apps!$A$4)+1)/(All_Risk_Apps!$J$4:$J$1233="Fast Follower")*(All_Risk_Apps!$A$4:$A$1233&lt;&gt;""),5)),"")</f>
        <v/>
      </c>
      <c r="G8" s="8" t="str">
        <f ca="1">IFERROR(INDEX(All_Risk_Apps!$I$4:$I$1233,_xludf.aggregate(15,6,(ROW(All_Risk_Apps!$A$4:$A$1233)-ROW(All_Risk_Apps!$A$4)+1)/(All_Risk_Apps!$J$4:$J$1233="Fast Follower")*(All_Risk_Apps!$A$4:$A$1233&lt;&gt;""),5)),"")</f>
        <v/>
      </c>
      <c r="H8" s="8" t="str">
        <f ca="1">IF(B8="","",IFERROR(INDEX(Server_Inventory!$R:$R,MATCH(B8,Server_Inventory!$Z:$Z,0)),"Not Found"))</f>
        <v/>
      </c>
      <c r="I8" s="8" t="str">
        <f ca="1">IF(B8="","",IFERROR(INDEX(Server_Inventory!$S:$S,MATCH(B8,Server_Inventory!$Z:$Z,0)),"Not Found"))</f>
        <v/>
      </c>
      <c r="J8" s="8" t="str">
        <f ca="1">IF(B8="","",COUNTIFS(Server_Inventory!$Z:$Z,B8,Server_Inventory!$P:$P,"R-RETIRED_IN_CMDB"))</f>
        <v/>
      </c>
      <c r="K8" s="8" t="str">
        <f ca="1">IF(B8="","",IFERROR(INDEX(Container_Inventory!$F:$F,MATCH(B8,Container_Inventory!$L:$L,0)),"Not Found"))</f>
        <v/>
      </c>
      <c r="L8" s="8" t="str">
        <f ca="1">IF(B8="","",IF(COUNTIF(Finding_List!$A:$A,B8)&gt;0,"Yes","No"))</f>
        <v/>
      </c>
      <c r="M8" s="8" t="str">
        <f ca="1">IF(B8="","",COUNTIF(Server_Inventory!$Z:$Z,B8))</f>
        <v/>
      </c>
      <c r="N8" s="8" t="str">
        <f ca="1">IF(B8="","",COUNTIF(Container_Inventory!$L:$L,B8))</f>
        <v/>
      </c>
    </row>
    <row r="9" spans="1:14" x14ac:dyDescent="0.2">
      <c r="A9" s="14" t="str">
        <f ca="1">IFERROR(INDEX(All_Risk_Apps!$A$4:$A$1233,_xludf.aggregate(15,6,(ROW(All_Risk_Apps!$A$4:$A$1233)-ROW(All_Risk_Apps!$A$4)+1)/(All_Risk_Apps!$J$4:$J$1233="Fast Follower")*(All_Risk_Apps!$A$4:$A$1233&lt;&gt;""),6)),"")</f>
        <v/>
      </c>
      <c r="B9" s="14" t="str">
        <f ca="1">IFERROR(INDEX(All_Risk_Apps!$B$4:$B$1233,_xludf.aggregate(15,6,(ROW(All_Risk_Apps!$A$4:$A$1233)-ROW(All_Risk_Apps!$A$4)+1)/(All_Risk_Apps!$J$4:$J$1233="Fast Follower")*(All_Risk_Apps!$A$4:$A$1233&lt;&gt;""),6)),"")</f>
        <v/>
      </c>
      <c r="C9" s="14" t="str">
        <f ca="1">IFERROR(INDEX(All_Risk_Apps!$D$4:$D$1233,_xludf.aggregate(15,6,(ROW(All_Risk_Apps!$A$4:$A$1233)-ROW(All_Risk_Apps!$A$4)+1)/(All_Risk_Apps!$J$4:$J$1233="Fast Follower")*(All_Risk_Apps!$A$4:$A$1233&lt;&gt;""),6)),"")</f>
        <v/>
      </c>
      <c r="D9" s="14" t="str">
        <f ca="1">IFERROR(INDEX(All_Risk_Apps!$C$4:$C$1233,_xludf.aggregate(15,6,(ROW(All_Risk_Apps!$A$4:$A$1233)-ROW(All_Risk_Apps!$A$4)+1)/(All_Risk_Apps!$J$4:$J$1233="Fast Follower")*(All_Risk_Apps!$A$4:$A$1233&lt;&gt;""),6)),"")</f>
        <v/>
      </c>
      <c r="E9" s="14" t="str">
        <f ca="1">IFERROR(INDEX(All_Risk_Apps!$E$4:$E$1233,_xludf.aggregate(15,6,(ROW(All_Risk_Apps!$A$4:$A$1233)-ROW(All_Risk_Apps!$A$4)+1)/(All_Risk_Apps!$J$4:$J$1233="Fast Follower")*(All_Risk_Apps!$A$4:$A$1233&lt;&gt;""),6)),"")</f>
        <v/>
      </c>
      <c r="F9" s="14" t="str">
        <f ca="1">IFERROR(INDEX(All_Risk_Apps!$F$4:$F$1233,_xludf.aggregate(15,6,(ROW(All_Risk_Apps!$A$4:$A$1233)-ROW(All_Risk_Apps!$A$4)+1)/(All_Risk_Apps!$J$4:$J$1233="Fast Follower")*(All_Risk_Apps!$A$4:$A$1233&lt;&gt;""),6)),"")</f>
        <v/>
      </c>
      <c r="G9" s="14" t="str">
        <f ca="1">IFERROR(INDEX(All_Risk_Apps!$I$4:$I$1233,_xludf.aggregate(15,6,(ROW(All_Risk_Apps!$A$4:$A$1233)-ROW(All_Risk_Apps!$A$4)+1)/(All_Risk_Apps!$J$4:$J$1233="Fast Follower")*(All_Risk_Apps!$A$4:$A$1233&lt;&gt;""),6)),"")</f>
        <v/>
      </c>
      <c r="H9" s="14" t="str">
        <f ca="1">IF(B9="","",IFERROR(INDEX(Server_Inventory!$R:$R,MATCH(B9,Server_Inventory!$Z:$Z,0)),"Not Found"))</f>
        <v/>
      </c>
      <c r="I9" s="14" t="str">
        <f ca="1">IF(B9="","",IFERROR(INDEX(Server_Inventory!$S:$S,MATCH(B9,Server_Inventory!$Z:$Z,0)),"Not Found"))</f>
        <v/>
      </c>
      <c r="J9" s="14" t="str">
        <f ca="1">IF(B9="","",COUNTIFS(Server_Inventory!$Z:$Z,B9,Server_Inventory!$P:$P,"R-RETIRED_IN_CMDB"))</f>
        <v/>
      </c>
      <c r="K9" s="14" t="str">
        <f ca="1">IF(B9="","",IFERROR(INDEX(Container_Inventory!$F:$F,MATCH(B9,Container_Inventory!$L:$L,0)),"Not Found"))</f>
        <v/>
      </c>
      <c r="L9" s="14" t="str">
        <f ca="1">IF(B9="","",IF(COUNTIF(Finding_List!$A:$A,B9)&gt;0,"Yes","No"))</f>
        <v/>
      </c>
      <c r="M9" s="14" t="str">
        <f ca="1">IF(B9="","",COUNTIF(Server_Inventory!$Z:$Z,B9))</f>
        <v/>
      </c>
      <c r="N9" s="14" t="str">
        <f ca="1">IF(B9="","",COUNTIF(Container_Inventory!$L:$L,B9))</f>
        <v/>
      </c>
    </row>
    <row r="10" spans="1:14" x14ac:dyDescent="0.2">
      <c r="A10" s="8" t="str">
        <f ca="1">IFERROR(INDEX(All_Risk_Apps!$A$4:$A$1233,_xludf.aggregate(15,6,(ROW(All_Risk_Apps!$A$4:$A$1233)-ROW(All_Risk_Apps!$A$4)+1)/(All_Risk_Apps!$J$4:$J$1233="Fast Follower")*(All_Risk_Apps!$A$4:$A$1233&lt;&gt;""),7)),"")</f>
        <v/>
      </c>
      <c r="B10" s="8" t="str">
        <f ca="1">IFERROR(INDEX(All_Risk_Apps!$B$4:$B$1233,_xludf.aggregate(15,6,(ROW(All_Risk_Apps!$A$4:$A$1233)-ROW(All_Risk_Apps!$A$4)+1)/(All_Risk_Apps!$J$4:$J$1233="Fast Follower")*(All_Risk_Apps!$A$4:$A$1233&lt;&gt;""),7)),"")</f>
        <v/>
      </c>
      <c r="C10" s="8" t="str">
        <f ca="1">IFERROR(INDEX(All_Risk_Apps!$D$4:$D$1233,_xludf.aggregate(15,6,(ROW(All_Risk_Apps!$A$4:$A$1233)-ROW(All_Risk_Apps!$A$4)+1)/(All_Risk_Apps!$J$4:$J$1233="Fast Follower")*(All_Risk_Apps!$A$4:$A$1233&lt;&gt;""),7)),"")</f>
        <v/>
      </c>
      <c r="D10" s="8" t="str">
        <f ca="1">IFERROR(INDEX(All_Risk_Apps!$C$4:$C$1233,_xludf.aggregate(15,6,(ROW(All_Risk_Apps!$A$4:$A$1233)-ROW(All_Risk_Apps!$A$4)+1)/(All_Risk_Apps!$J$4:$J$1233="Fast Follower")*(All_Risk_Apps!$A$4:$A$1233&lt;&gt;""),7)),"")</f>
        <v/>
      </c>
      <c r="E10" s="8" t="str">
        <f ca="1">IFERROR(INDEX(All_Risk_Apps!$E$4:$E$1233,_xludf.aggregate(15,6,(ROW(All_Risk_Apps!$A$4:$A$1233)-ROW(All_Risk_Apps!$A$4)+1)/(All_Risk_Apps!$J$4:$J$1233="Fast Follower")*(All_Risk_Apps!$A$4:$A$1233&lt;&gt;""),7)),"")</f>
        <v/>
      </c>
      <c r="F10" s="8" t="str">
        <f ca="1">IFERROR(INDEX(All_Risk_Apps!$F$4:$F$1233,_xludf.aggregate(15,6,(ROW(All_Risk_Apps!$A$4:$A$1233)-ROW(All_Risk_Apps!$A$4)+1)/(All_Risk_Apps!$J$4:$J$1233="Fast Follower")*(All_Risk_Apps!$A$4:$A$1233&lt;&gt;""),7)),"")</f>
        <v/>
      </c>
      <c r="G10" s="8" t="str">
        <f ca="1">IFERROR(INDEX(All_Risk_Apps!$I$4:$I$1233,_xludf.aggregate(15,6,(ROW(All_Risk_Apps!$A$4:$A$1233)-ROW(All_Risk_Apps!$A$4)+1)/(All_Risk_Apps!$J$4:$J$1233="Fast Follower")*(All_Risk_Apps!$A$4:$A$1233&lt;&gt;""),7)),"")</f>
        <v/>
      </c>
      <c r="H10" s="8" t="str">
        <f ca="1">IF(B10="","",IFERROR(INDEX(Server_Inventory!$R:$R,MATCH(B10,Server_Inventory!$Z:$Z,0)),"Not Found"))</f>
        <v/>
      </c>
      <c r="I10" s="8" t="str">
        <f ca="1">IF(B10="","",IFERROR(INDEX(Server_Inventory!$S:$S,MATCH(B10,Server_Inventory!$Z:$Z,0)),"Not Found"))</f>
        <v/>
      </c>
      <c r="J10" s="8" t="str">
        <f ca="1">IF(B10="","",COUNTIFS(Server_Inventory!$Z:$Z,B10,Server_Inventory!$P:$P,"R-RETIRED_IN_CMDB"))</f>
        <v/>
      </c>
      <c r="K10" s="8" t="str">
        <f ca="1">IF(B10="","",IFERROR(INDEX(Container_Inventory!$F:$F,MATCH(B10,Container_Inventory!$L:$L,0)),"Not Found"))</f>
        <v/>
      </c>
      <c r="L10" s="8" t="str">
        <f ca="1">IF(B10="","",IF(COUNTIF(Finding_List!$A:$A,B10)&gt;0,"Yes","No"))</f>
        <v/>
      </c>
      <c r="M10" s="8" t="str">
        <f ca="1">IF(B10="","",COUNTIF(Server_Inventory!$Z:$Z,B10))</f>
        <v/>
      </c>
      <c r="N10" s="8" t="str">
        <f ca="1">IF(B10="","",COUNTIF(Container_Inventory!$L:$L,B10))</f>
        <v/>
      </c>
    </row>
    <row r="11" spans="1:14" x14ac:dyDescent="0.2">
      <c r="A11" s="14" t="str">
        <f ca="1">IFERROR(INDEX(All_Risk_Apps!$A$4:$A$1233,_xludf.aggregate(15,6,(ROW(All_Risk_Apps!$A$4:$A$1233)-ROW(All_Risk_Apps!$A$4)+1)/(All_Risk_Apps!$J$4:$J$1233="Fast Follower")*(All_Risk_Apps!$A$4:$A$1233&lt;&gt;""),8)),"")</f>
        <v/>
      </c>
      <c r="B11" s="14" t="str">
        <f ca="1">IFERROR(INDEX(All_Risk_Apps!$B$4:$B$1233,_xludf.aggregate(15,6,(ROW(All_Risk_Apps!$A$4:$A$1233)-ROW(All_Risk_Apps!$A$4)+1)/(All_Risk_Apps!$J$4:$J$1233="Fast Follower")*(All_Risk_Apps!$A$4:$A$1233&lt;&gt;""),8)),"")</f>
        <v/>
      </c>
      <c r="C11" s="14" t="str">
        <f ca="1">IFERROR(INDEX(All_Risk_Apps!$D$4:$D$1233,_xludf.aggregate(15,6,(ROW(All_Risk_Apps!$A$4:$A$1233)-ROW(All_Risk_Apps!$A$4)+1)/(All_Risk_Apps!$J$4:$J$1233="Fast Follower")*(All_Risk_Apps!$A$4:$A$1233&lt;&gt;""),8)),"")</f>
        <v/>
      </c>
      <c r="D11" s="14" t="str">
        <f ca="1">IFERROR(INDEX(All_Risk_Apps!$C$4:$C$1233,_xludf.aggregate(15,6,(ROW(All_Risk_Apps!$A$4:$A$1233)-ROW(All_Risk_Apps!$A$4)+1)/(All_Risk_Apps!$J$4:$J$1233="Fast Follower")*(All_Risk_Apps!$A$4:$A$1233&lt;&gt;""),8)),"")</f>
        <v/>
      </c>
      <c r="E11" s="14" t="str">
        <f ca="1">IFERROR(INDEX(All_Risk_Apps!$E$4:$E$1233,_xludf.aggregate(15,6,(ROW(All_Risk_Apps!$A$4:$A$1233)-ROW(All_Risk_Apps!$A$4)+1)/(All_Risk_Apps!$J$4:$J$1233="Fast Follower")*(All_Risk_Apps!$A$4:$A$1233&lt;&gt;""),8)),"")</f>
        <v/>
      </c>
      <c r="F11" s="14" t="str">
        <f ca="1">IFERROR(INDEX(All_Risk_Apps!$F$4:$F$1233,_xludf.aggregate(15,6,(ROW(All_Risk_Apps!$A$4:$A$1233)-ROW(All_Risk_Apps!$A$4)+1)/(All_Risk_Apps!$J$4:$J$1233="Fast Follower")*(All_Risk_Apps!$A$4:$A$1233&lt;&gt;""),8)),"")</f>
        <v/>
      </c>
      <c r="G11" s="14" t="str">
        <f ca="1">IFERROR(INDEX(All_Risk_Apps!$I$4:$I$1233,_xludf.aggregate(15,6,(ROW(All_Risk_Apps!$A$4:$A$1233)-ROW(All_Risk_Apps!$A$4)+1)/(All_Risk_Apps!$J$4:$J$1233="Fast Follower")*(All_Risk_Apps!$A$4:$A$1233&lt;&gt;""),8)),"")</f>
        <v/>
      </c>
      <c r="H11" s="14" t="str">
        <f ca="1">IF(B11="","",IFERROR(INDEX(Server_Inventory!$R:$R,MATCH(B11,Server_Inventory!$Z:$Z,0)),"Not Found"))</f>
        <v/>
      </c>
      <c r="I11" s="14" t="str">
        <f ca="1">IF(B11="","",IFERROR(INDEX(Server_Inventory!$S:$S,MATCH(B11,Server_Inventory!$Z:$Z,0)),"Not Found"))</f>
        <v/>
      </c>
      <c r="J11" s="14" t="str">
        <f ca="1">IF(B11="","",COUNTIFS(Server_Inventory!$Z:$Z,B11,Server_Inventory!$P:$P,"R-RETIRED_IN_CMDB"))</f>
        <v/>
      </c>
      <c r="K11" s="14" t="str">
        <f ca="1">IF(B11="","",IFERROR(INDEX(Container_Inventory!$F:$F,MATCH(B11,Container_Inventory!$L:$L,0)),"Not Found"))</f>
        <v/>
      </c>
      <c r="L11" s="14" t="str">
        <f ca="1">IF(B11="","",IF(COUNTIF(Finding_List!$A:$A,B11)&gt;0,"Yes","No"))</f>
        <v/>
      </c>
      <c r="M11" s="14" t="str">
        <f ca="1">IF(B11="","",COUNTIF(Server_Inventory!$Z:$Z,B11))</f>
        <v/>
      </c>
      <c r="N11" s="14" t="str">
        <f ca="1">IF(B11="","",COUNTIF(Container_Inventory!$L:$L,B11))</f>
        <v/>
      </c>
    </row>
    <row r="12" spans="1:14" x14ac:dyDescent="0.2">
      <c r="A12" s="8" t="str">
        <f ca="1">IFERROR(INDEX(All_Risk_Apps!$A$4:$A$1233,_xludf.aggregate(15,6,(ROW(All_Risk_Apps!$A$4:$A$1233)-ROW(All_Risk_Apps!$A$4)+1)/(All_Risk_Apps!$J$4:$J$1233="Fast Follower")*(All_Risk_Apps!$A$4:$A$1233&lt;&gt;""),9)),"")</f>
        <v/>
      </c>
      <c r="B12" s="8" t="str">
        <f ca="1">IFERROR(INDEX(All_Risk_Apps!$B$4:$B$1233,_xludf.aggregate(15,6,(ROW(All_Risk_Apps!$A$4:$A$1233)-ROW(All_Risk_Apps!$A$4)+1)/(All_Risk_Apps!$J$4:$J$1233="Fast Follower")*(All_Risk_Apps!$A$4:$A$1233&lt;&gt;""),9)),"")</f>
        <v/>
      </c>
      <c r="C12" s="8" t="str">
        <f ca="1">IFERROR(INDEX(All_Risk_Apps!$D$4:$D$1233,_xludf.aggregate(15,6,(ROW(All_Risk_Apps!$A$4:$A$1233)-ROW(All_Risk_Apps!$A$4)+1)/(All_Risk_Apps!$J$4:$J$1233="Fast Follower")*(All_Risk_Apps!$A$4:$A$1233&lt;&gt;""),9)),"")</f>
        <v/>
      </c>
      <c r="D12" s="8" t="str">
        <f ca="1">IFERROR(INDEX(All_Risk_Apps!$C$4:$C$1233,_xludf.aggregate(15,6,(ROW(All_Risk_Apps!$A$4:$A$1233)-ROW(All_Risk_Apps!$A$4)+1)/(All_Risk_Apps!$J$4:$J$1233="Fast Follower")*(All_Risk_Apps!$A$4:$A$1233&lt;&gt;""),9)),"")</f>
        <v/>
      </c>
      <c r="E12" s="8" t="str">
        <f ca="1">IFERROR(INDEX(All_Risk_Apps!$E$4:$E$1233,_xludf.aggregate(15,6,(ROW(All_Risk_Apps!$A$4:$A$1233)-ROW(All_Risk_Apps!$A$4)+1)/(All_Risk_Apps!$J$4:$J$1233="Fast Follower")*(All_Risk_Apps!$A$4:$A$1233&lt;&gt;""),9)),"")</f>
        <v/>
      </c>
      <c r="F12" s="8" t="str">
        <f ca="1">IFERROR(INDEX(All_Risk_Apps!$F$4:$F$1233,_xludf.aggregate(15,6,(ROW(All_Risk_Apps!$A$4:$A$1233)-ROW(All_Risk_Apps!$A$4)+1)/(All_Risk_Apps!$J$4:$J$1233="Fast Follower")*(All_Risk_Apps!$A$4:$A$1233&lt;&gt;""),9)),"")</f>
        <v/>
      </c>
      <c r="G12" s="8" t="str">
        <f ca="1">IFERROR(INDEX(All_Risk_Apps!$I$4:$I$1233,_xludf.aggregate(15,6,(ROW(All_Risk_Apps!$A$4:$A$1233)-ROW(All_Risk_Apps!$A$4)+1)/(All_Risk_Apps!$J$4:$J$1233="Fast Follower")*(All_Risk_Apps!$A$4:$A$1233&lt;&gt;""),9)),"")</f>
        <v/>
      </c>
      <c r="H12" s="8" t="str">
        <f ca="1">IF(B12="","",IFERROR(INDEX(Server_Inventory!$R:$R,MATCH(B12,Server_Inventory!$Z:$Z,0)),"Not Found"))</f>
        <v/>
      </c>
      <c r="I12" s="8" t="str">
        <f ca="1">IF(B12="","",IFERROR(INDEX(Server_Inventory!$S:$S,MATCH(B12,Server_Inventory!$Z:$Z,0)),"Not Found"))</f>
        <v/>
      </c>
      <c r="J12" s="8" t="str">
        <f ca="1">IF(B12="","",COUNTIFS(Server_Inventory!$Z:$Z,B12,Server_Inventory!$P:$P,"R-RETIRED_IN_CMDB"))</f>
        <v/>
      </c>
      <c r="K12" s="8" t="str">
        <f ca="1">IF(B12="","",IFERROR(INDEX(Container_Inventory!$F:$F,MATCH(B12,Container_Inventory!$L:$L,0)),"Not Found"))</f>
        <v/>
      </c>
      <c r="L12" s="8" t="str">
        <f ca="1">IF(B12="","",IF(COUNTIF(Finding_List!$A:$A,B12)&gt;0,"Yes","No"))</f>
        <v/>
      </c>
      <c r="M12" s="8" t="str">
        <f ca="1">IF(B12="","",COUNTIF(Server_Inventory!$Z:$Z,B12))</f>
        <v/>
      </c>
      <c r="N12" s="8" t="str">
        <f ca="1">IF(B12="","",COUNTIF(Container_Inventory!$L:$L,B12))</f>
        <v/>
      </c>
    </row>
    <row r="13" spans="1:14" x14ac:dyDescent="0.2">
      <c r="A13" s="14" t="str">
        <f ca="1">IFERROR(INDEX(All_Risk_Apps!$A$4:$A$1233,_xludf.aggregate(15,6,(ROW(All_Risk_Apps!$A$4:$A$1233)-ROW(All_Risk_Apps!$A$4)+1)/(All_Risk_Apps!$J$4:$J$1233="Fast Follower")*(All_Risk_Apps!$A$4:$A$1233&lt;&gt;""),10)),"")</f>
        <v/>
      </c>
      <c r="B13" s="14" t="str">
        <f ca="1">IFERROR(INDEX(All_Risk_Apps!$B$4:$B$1233,_xludf.aggregate(15,6,(ROW(All_Risk_Apps!$A$4:$A$1233)-ROW(All_Risk_Apps!$A$4)+1)/(All_Risk_Apps!$J$4:$J$1233="Fast Follower")*(All_Risk_Apps!$A$4:$A$1233&lt;&gt;""),10)),"")</f>
        <v/>
      </c>
      <c r="C13" s="14" t="str">
        <f ca="1">IFERROR(INDEX(All_Risk_Apps!$D$4:$D$1233,_xludf.aggregate(15,6,(ROW(All_Risk_Apps!$A$4:$A$1233)-ROW(All_Risk_Apps!$A$4)+1)/(All_Risk_Apps!$J$4:$J$1233="Fast Follower")*(All_Risk_Apps!$A$4:$A$1233&lt;&gt;""),10)),"")</f>
        <v/>
      </c>
      <c r="D13" s="14" t="str">
        <f ca="1">IFERROR(INDEX(All_Risk_Apps!$C$4:$C$1233,_xludf.aggregate(15,6,(ROW(All_Risk_Apps!$A$4:$A$1233)-ROW(All_Risk_Apps!$A$4)+1)/(All_Risk_Apps!$J$4:$J$1233="Fast Follower")*(All_Risk_Apps!$A$4:$A$1233&lt;&gt;""),10)),"")</f>
        <v/>
      </c>
      <c r="E13" s="14" t="str">
        <f ca="1">IFERROR(INDEX(All_Risk_Apps!$E$4:$E$1233,_xludf.aggregate(15,6,(ROW(All_Risk_Apps!$A$4:$A$1233)-ROW(All_Risk_Apps!$A$4)+1)/(All_Risk_Apps!$J$4:$J$1233="Fast Follower")*(All_Risk_Apps!$A$4:$A$1233&lt;&gt;""),10)),"")</f>
        <v/>
      </c>
      <c r="F13" s="14" t="str">
        <f ca="1">IFERROR(INDEX(All_Risk_Apps!$F$4:$F$1233,_xludf.aggregate(15,6,(ROW(All_Risk_Apps!$A$4:$A$1233)-ROW(All_Risk_Apps!$A$4)+1)/(All_Risk_Apps!$J$4:$J$1233="Fast Follower")*(All_Risk_Apps!$A$4:$A$1233&lt;&gt;""),10)),"")</f>
        <v/>
      </c>
      <c r="G13" s="14" t="str">
        <f ca="1">IFERROR(INDEX(All_Risk_Apps!$I$4:$I$1233,_xludf.aggregate(15,6,(ROW(All_Risk_Apps!$A$4:$A$1233)-ROW(All_Risk_Apps!$A$4)+1)/(All_Risk_Apps!$J$4:$J$1233="Fast Follower")*(All_Risk_Apps!$A$4:$A$1233&lt;&gt;""),10)),"")</f>
        <v/>
      </c>
      <c r="H13" s="14" t="str">
        <f ca="1">IF(B13="","",IFERROR(INDEX(Server_Inventory!$R:$R,MATCH(B13,Server_Inventory!$Z:$Z,0)),"Not Found"))</f>
        <v/>
      </c>
      <c r="I13" s="14" t="str">
        <f ca="1">IF(B13="","",IFERROR(INDEX(Server_Inventory!$S:$S,MATCH(B13,Server_Inventory!$Z:$Z,0)),"Not Found"))</f>
        <v/>
      </c>
      <c r="J13" s="14" t="str">
        <f ca="1">IF(B13="","",COUNTIFS(Server_Inventory!$Z:$Z,B13,Server_Inventory!$P:$P,"R-RETIRED_IN_CMDB"))</f>
        <v/>
      </c>
      <c r="K13" s="14" t="str">
        <f ca="1">IF(B13="","",IFERROR(INDEX(Container_Inventory!$F:$F,MATCH(B13,Container_Inventory!$L:$L,0)),"Not Found"))</f>
        <v/>
      </c>
      <c r="L13" s="14" t="str">
        <f ca="1">IF(B13="","",IF(COUNTIF(Finding_List!$A:$A,B13)&gt;0,"Yes","No"))</f>
        <v/>
      </c>
      <c r="M13" s="14" t="str">
        <f ca="1">IF(B13="","",COUNTIF(Server_Inventory!$Z:$Z,B13))</f>
        <v/>
      </c>
      <c r="N13" s="14" t="str">
        <f ca="1">IF(B13="","",COUNTIF(Container_Inventory!$L:$L,B13))</f>
        <v/>
      </c>
    </row>
    <row r="14" spans="1:14" x14ac:dyDescent="0.2">
      <c r="A14" s="8" t="str">
        <f ca="1">IFERROR(INDEX(All_Risk_Apps!$A$4:$A$1233,_xludf.aggregate(15,6,(ROW(All_Risk_Apps!$A$4:$A$1233)-ROW(All_Risk_Apps!$A$4)+1)/(All_Risk_Apps!$J$4:$J$1233="Fast Follower")*(All_Risk_Apps!$A$4:$A$1233&lt;&gt;""),11)),"")</f>
        <v/>
      </c>
      <c r="B14" s="8" t="str">
        <f ca="1">IFERROR(INDEX(All_Risk_Apps!$B$4:$B$1233,_xludf.aggregate(15,6,(ROW(All_Risk_Apps!$A$4:$A$1233)-ROW(All_Risk_Apps!$A$4)+1)/(All_Risk_Apps!$J$4:$J$1233="Fast Follower")*(All_Risk_Apps!$A$4:$A$1233&lt;&gt;""),11)),"")</f>
        <v/>
      </c>
      <c r="C14" s="8" t="str">
        <f ca="1">IFERROR(INDEX(All_Risk_Apps!$D$4:$D$1233,_xludf.aggregate(15,6,(ROW(All_Risk_Apps!$A$4:$A$1233)-ROW(All_Risk_Apps!$A$4)+1)/(All_Risk_Apps!$J$4:$J$1233="Fast Follower")*(All_Risk_Apps!$A$4:$A$1233&lt;&gt;""),11)),"")</f>
        <v/>
      </c>
      <c r="D14" s="8" t="str">
        <f ca="1">IFERROR(INDEX(All_Risk_Apps!$C$4:$C$1233,_xludf.aggregate(15,6,(ROW(All_Risk_Apps!$A$4:$A$1233)-ROW(All_Risk_Apps!$A$4)+1)/(All_Risk_Apps!$J$4:$J$1233="Fast Follower")*(All_Risk_Apps!$A$4:$A$1233&lt;&gt;""),11)),"")</f>
        <v/>
      </c>
      <c r="E14" s="8" t="str">
        <f ca="1">IFERROR(INDEX(All_Risk_Apps!$E$4:$E$1233,_xludf.aggregate(15,6,(ROW(All_Risk_Apps!$A$4:$A$1233)-ROW(All_Risk_Apps!$A$4)+1)/(All_Risk_Apps!$J$4:$J$1233="Fast Follower")*(All_Risk_Apps!$A$4:$A$1233&lt;&gt;""),11)),"")</f>
        <v/>
      </c>
      <c r="F14" s="8" t="str">
        <f ca="1">IFERROR(INDEX(All_Risk_Apps!$F$4:$F$1233,_xludf.aggregate(15,6,(ROW(All_Risk_Apps!$A$4:$A$1233)-ROW(All_Risk_Apps!$A$4)+1)/(All_Risk_Apps!$J$4:$J$1233="Fast Follower")*(All_Risk_Apps!$A$4:$A$1233&lt;&gt;""),11)),"")</f>
        <v/>
      </c>
      <c r="G14" s="8" t="str">
        <f ca="1">IFERROR(INDEX(All_Risk_Apps!$I$4:$I$1233,_xludf.aggregate(15,6,(ROW(All_Risk_Apps!$A$4:$A$1233)-ROW(All_Risk_Apps!$A$4)+1)/(All_Risk_Apps!$J$4:$J$1233="Fast Follower")*(All_Risk_Apps!$A$4:$A$1233&lt;&gt;""),11)),"")</f>
        <v/>
      </c>
      <c r="H14" s="8" t="str">
        <f ca="1">IF(B14="","",IFERROR(INDEX(Server_Inventory!$R:$R,MATCH(B14,Server_Inventory!$Z:$Z,0)),"Not Found"))</f>
        <v/>
      </c>
      <c r="I14" s="8" t="str">
        <f ca="1">IF(B14="","",IFERROR(INDEX(Server_Inventory!$S:$S,MATCH(B14,Server_Inventory!$Z:$Z,0)),"Not Found"))</f>
        <v/>
      </c>
      <c r="J14" s="8" t="str">
        <f ca="1">IF(B14="","",COUNTIFS(Server_Inventory!$Z:$Z,B14,Server_Inventory!$P:$P,"R-RETIRED_IN_CMDB"))</f>
        <v/>
      </c>
      <c r="K14" s="8" t="str">
        <f ca="1">IF(B14="","",IFERROR(INDEX(Container_Inventory!$F:$F,MATCH(B14,Container_Inventory!$L:$L,0)),"Not Found"))</f>
        <v/>
      </c>
      <c r="L14" s="8" t="str">
        <f ca="1">IF(B14="","",IF(COUNTIF(Finding_List!$A:$A,B14)&gt;0,"Yes","No"))</f>
        <v/>
      </c>
      <c r="M14" s="8" t="str">
        <f ca="1">IF(B14="","",COUNTIF(Server_Inventory!$Z:$Z,B14))</f>
        <v/>
      </c>
      <c r="N14" s="8" t="str">
        <f ca="1">IF(B14="","",COUNTIF(Container_Inventory!$L:$L,B14))</f>
        <v/>
      </c>
    </row>
    <row r="15" spans="1:14" x14ac:dyDescent="0.2">
      <c r="A15" s="14" t="str">
        <f ca="1">IFERROR(INDEX(All_Risk_Apps!$A$4:$A$1233,_xludf.aggregate(15,6,(ROW(All_Risk_Apps!$A$4:$A$1233)-ROW(All_Risk_Apps!$A$4)+1)/(All_Risk_Apps!$J$4:$J$1233="Fast Follower")*(All_Risk_Apps!$A$4:$A$1233&lt;&gt;""),12)),"")</f>
        <v/>
      </c>
      <c r="B15" s="14" t="str">
        <f ca="1">IFERROR(INDEX(All_Risk_Apps!$B$4:$B$1233,_xludf.aggregate(15,6,(ROW(All_Risk_Apps!$A$4:$A$1233)-ROW(All_Risk_Apps!$A$4)+1)/(All_Risk_Apps!$J$4:$J$1233="Fast Follower")*(All_Risk_Apps!$A$4:$A$1233&lt;&gt;""),12)),"")</f>
        <v/>
      </c>
      <c r="C15" s="14" t="str">
        <f ca="1">IFERROR(INDEX(All_Risk_Apps!$D$4:$D$1233,_xludf.aggregate(15,6,(ROW(All_Risk_Apps!$A$4:$A$1233)-ROW(All_Risk_Apps!$A$4)+1)/(All_Risk_Apps!$J$4:$J$1233="Fast Follower")*(All_Risk_Apps!$A$4:$A$1233&lt;&gt;""),12)),"")</f>
        <v/>
      </c>
      <c r="D15" s="14" t="str">
        <f ca="1">IFERROR(INDEX(All_Risk_Apps!$C$4:$C$1233,_xludf.aggregate(15,6,(ROW(All_Risk_Apps!$A$4:$A$1233)-ROW(All_Risk_Apps!$A$4)+1)/(All_Risk_Apps!$J$4:$J$1233="Fast Follower")*(All_Risk_Apps!$A$4:$A$1233&lt;&gt;""),12)),"")</f>
        <v/>
      </c>
      <c r="E15" s="14" t="str">
        <f ca="1">IFERROR(INDEX(All_Risk_Apps!$E$4:$E$1233,_xludf.aggregate(15,6,(ROW(All_Risk_Apps!$A$4:$A$1233)-ROW(All_Risk_Apps!$A$4)+1)/(All_Risk_Apps!$J$4:$J$1233="Fast Follower")*(All_Risk_Apps!$A$4:$A$1233&lt;&gt;""),12)),"")</f>
        <v/>
      </c>
      <c r="F15" s="14" t="str">
        <f ca="1">IFERROR(INDEX(All_Risk_Apps!$F$4:$F$1233,_xludf.aggregate(15,6,(ROW(All_Risk_Apps!$A$4:$A$1233)-ROW(All_Risk_Apps!$A$4)+1)/(All_Risk_Apps!$J$4:$J$1233="Fast Follower")*(All_Risk_Apps!$A$4:$A$1233&lt;&gt;""),12)),"")</f>
        <v/>
      </c>
      <c r="G15" s="14" t="str">
        <f ca="1">IFERROR(INDEX(All_Risk_Apps!$I$4:$I$1233,_xludf.aggregate(15,6,(ROW(All_Risk_Apps!$A$4:$A$1233)-ROW(All_Risk_Apps!$A$4)+1)/(All_Risk_Apps!$J$4:$J$1233="Fast Follower")*(All_Risk_Apps!$A$4:$A$1233&lt;&gt;""),12)),"")</f>
        <v/>
      </c>
      <c r="H15" s="14" t="str">
        <f ca="1">IF(B15="","",IFERROR(INDEX(Server_Inventory!$R:$R,MATCH(B15,Server_Inventory!$Z:$Z,0)),"Not Found"))</f>
        <v/>
      </c>
      <c r="I15" s="14" t="str">
        <f ca="1">IF(B15="","",IFERROR(INDEX(Server_Inventory!$S:$S,MATCH(B15,Server_Inventory!$Z:$Z,0)),"Not Found"))</f>
        <v/>
      </c>
      <c r="J15" s="14" t="str">
        <f ca="1">IF(B15="","",COUNTIFS(Server_Inventory!$Z:$Z,B15,Server_Inventory!$P:$P,"R-RETIRED_IN_CMDB"))</f>
        <v/>
      </c>
      <c r="K15" s="14" t="str">
        <f ca="1">IF(B15="","",IFERROR(INDEX(Container_Inventory!$F:$F,MATCH(B15,Container_Inventory!$L:$L,0)),"Not Found"))</f>
        <v/>
      </c>
      <c r="L15" s="14" t="str">
        <f ca="1">IF(B15="","",IF(COUNTIF(Finding_List!$A:$A,B15)&gt;0,"Yes","No"))</f>
        <v/>
      </c>
      <c r="M15" s="14" t="str">
        <f ca="1">IF(B15="","",COUNTIF(Server_Inventory!$Z:$Z,B15))</f>
        <v/>
      </c>
      <c r="N15" s="14" t="str">
        <f ca="1">IF(B15="","",COUNTIF(Container_Inventory!$L:$L,B15))</f>
        <v/>
      </c>
    </row>
    <row r="16" spans="1:14" x14ac:dyDescent="0.2">
      <c r="A16" s="8" t="str">
        <f ca="1">IFERROR(INDEX(All_Risk_Apps!$A$4:$A$1233,_xludf.aggregate(15,6,(ROW(All_Risk_Apps!$A$4:$A$1233)-ROW(All_Risk_Apps!$A$4)+1)/(All_Risk_Apps!$J$4:$J$1233="Fast Follower")*(All_Risk_Apps!$A$4:$A$1233&lt;&gt;""),13)),"")</f>
        <v/>
      </c>
      <c r="B16" s="8" t="str">
        <f ca="1">IFERROR(INDEX(All_Risk_Apps!$B$4:$B$1233,_xludf.aggregate(15,6,(ROW(All_Risk_Apps!$A$4:$A$1233)-ROW(All_Risk_Apps!$A$4)+1)/(All_Risk_Apps!$J$4:$J$1233="Fast Follower")*(All_Risk_Apps!$A$4:$A$1233&lt;&gt;""),13)),"")</f>
        <v/>
      </c>
      <c r="C16" s="8" t="str">
        <f ca="1">IFERROR(INDEX(All_Risk_Apps!$D$4:$D$1233,_xludf.aggregate(15,6,(ROW(All_Risk_Apps!$A$4:$A$1233)-ROW(All_Risk_Apps!$A$4)+1)/(All_Risk_Apps!$J$4:$J$1233="Fast Follower")*(All_Risk_Apps!$A$4:$A$1233&lt;&gt;""),13)),"")</f>
        <v/>
      </c>
      <c r="D16" s="8" t="str">
        <f ca="1">IFERROR(INDEX(All_Risk_Apps!$C$4:$C$1233,_xludf.aggregate(15,6,(ROW(All_Risk_Apps!$A$4:$A$1233)-ROW(All_Risk_Apps!$A$4)+1)/(All_Risk_Apps!$J$4:$J$1233="Fast Follower")*(All_Risk_Apps!$A$4:$A$1233&lt;&gt;""),13)),"")</f>
        <v/>
      </c>
      <c r="E16" s="8" t="str">
        <f ca="1">IFERROR(INDEX(All_Risk_Apps!$E$4:$E$1233,_xludf.aggregate(15,6,(ROW(All_Risk_Apps!$A$4:$A$1233)-ROW(All_Risk_Apps!$A$4)+1)/(All_Risk_Apps!$J$4:$J$1233="Fast Follower")*(All_Risk_Apps!$A$4:$A$1233&lt;&gt;""),13)),"")</f>
        <v/>
      </c>
      <c r="F16" s="8" t="str">
        <f ca="1">IFERROR(INDEX(All_Risk_Apps!$F$4:$F$1233,_xludf.aggregate(15,6,(ROW(All_Risk_Apps!$A$4:$A$1233)-ROW(All_Risk_Apps!$A$4)+1)/(All_Risk_Apps!$J$4:$J$1233="Fast Follower")*(All_Risk_Apps!$A$4:$A$1233&lt;&gt;""),13)),"")</f>
        <v/>
      </c>
      <c r="G16" s="8" t="str">
        <f ca="1">IFERROR(INDEX(All_Risk_Apps!$I$4:$I$1233,_xludf.aggregate(15,6,(ROW(All_Risk_Apps!$A$4:$A$1233)-ROW(All_Risk_Apps!$A$4)+1)/(All_Risk_Apps!$J$4:$J$1233="Fast Follower")*(All_Risk_Apps!$A$4:$A$1233&lt;&gt;""),13)),"")</f>
        <v/>
      </c>
      <c r="H16" s="8" t="str">
        <f ca="1">IF(B16="","",IFERROR(INDEX(Server_Inventory!$R:$R,MATCH(B16,Server_Inventory!$Z:$Z,0)),"Not Found"))</f>
        <v/>
      </c>
      <c r="I16" s="8" t="str">
        <f ca="1">IF(B16="","",IFERROR(INDEX(Server_Inventory!$S:$S,MATCH(B16,Server_Inventory!$Z:$Z,0)),"Not Found"))</f>
        <v/>
      </c>
      <c r="J16" s="8" t="str">
        <f ca="1">IF(B16="","",COUNTIFS(Server_Inventory!$Z:$Z,B16,Server_Inventory!$P:$P,"R-RETIRED_IN_CMDB"))</f>
        <v/>
      </c>
      <c r="K16" s="8" t="str">
        <f ca="1">IF(B16="","",IFERROR(INDEX(Container_Inventory!$F:$F,MATCH(B16,Container_Inventory!$L:$L,0)),"Not Found"))</f>
        <v/>
      </c>
      <c r="L16" s="8" t="str">
        <f ca="1">IF(B16="","",IF(COUNTIF(Finding_List!$A:$A,B16)&gt;0,"Yes","No"))</f>
        <v/>
      </c>
      <c r="M16" s="8" t="str">
        <f ca="1">IF(B16="","",COUNTIF(Server_Inventory!$Z:$Z,B16))</f>
        <v/>
      </c>
      <c r="N16" s="8" t="str">
        <f ca="1">IF(B16="","",COUNTIF(Container_Inventory!$L:$L,B16))</f>
        <v/>
      </c>
    </row>
    <row r="17" spans="1:14" x14ac:dyDescent="0.2">
      <c r="A17" s="14" t="str">
        <f ca="1">IFERROR(INDEX(All_Risk_Apps!$A$4:$A$1233,_xludf.aggregate(15,6,(ROW(All_Risk_Apps!$A$4:$A$1233)-ROW(All_Risk_Apps!$A$4)+1)/(All_Risk_Apps!$J$4:$J$1233="Fast Follower")*(All_Risk_Apps!$A$4:$A$1233&lt;&gt;""),14)),"")</f>
        <v/>
      </c>
      <c r="B17" s="14" t="str">
        <f ca="1">IFERROR(INDEX(All_Risk_Apps!$B$4:$B$1233,_xludf.aggregate(15,6,(ROW(All_Risk_Apps!$A$4:$A$1233)-ROW(All_Risk_Apps!$A$4)+1)/(All_Risk_Apps!$J$4:$J$1233="Fast Follower")*(All_Risk_Apps!$A$4:$A$1233&lt;&gt;""),14)),"")</f>
        <v/>
      </c>
      <c r="C17" s="14" t="str">
        <f ca="1">IFERROR(INDEX(All_Risk_Apps!$D$4:$D$1233,_xludf.aggregate(15,6,(ROW(All_Risk_Apps!$A$4:$A$1233)-ROW(All_Risk_Apps!$A$4)+1)/(All_Risk_Apps!$J$4:$J$1233="Fast Follower")*(All_Risk_Apps!$A$4:$A$1233&lt;&gt;""),14)),"")</f>
        <v/>
      </c>
      <c r="D17" s="14" t="str">
        <f ca="1">IFERROR(INDEX(All_Risk_Apps!$C$4:$C$1233,_xludf.aggregate(15,6,(ROW(All_Risk_Apps!$A$4:$A$1233)-ROW(All_Risk_Apps!$A$4)+1)/(All_Risk_Apps!$J$4:$J$1233="Fast Follower")*(All_Risk_Apps!$A$4:$A$1233&lt;&gt;""),14)),"")</f>
        <v/>
      </c>
      <c r="E17" s="14" t="str">
        <f ca="1">IFERROR(INDEX(All_Risk_Apps!$E$4:$E$1233,_xludf.aggregate(15,6,(ROW(All_Risk_Apps!$A$4:$A$1233)-ROW(All_Risk_Apps!$A$4)+1)/(All_Risk_Apps!$J$4:$J$1233="Fast Follower")*(All_Risk_Apps!$A$4:$A$1233&lt;&gt;""),14)),"")</f>
        <v/>
      </c>
      <c r="F17" s="14" t="str">
        <f ca="1">IFERROR(INDEX(All_Risk_Apps!$F$4:$F$1233,_xludf.aggregate(15,6,(ROW(All_Risk_Apps!$A$4:$A$1233)-ROW(All_Risk_Apps!$A$4)+1)/(All_Risk_Apps!$J$4:$J$1233="Fast Follower")*(All_Risk_Apps!$A$4:$A$1233&lt;&gt;""),14)),"")</f>
        <v/>
      </c>
      <c r="G17" s="14" t="str">
        <f ca="1">IFERROR(INDEX(All_Risk_Apps!$I$4:$I$1233,_xludf.aggregate(15,6,(ROW(All_Risk_Apps!$A$4:$A$1233)-ROW(All_Risk_Apps!$A$4)+1)/(All_Risk_Apps!$J$4:$J$1233="Fast Follower")*(All_Risk_Apps!$A$4:$A$1233&lt;&gt;""),14)),"")</f>
        <v/>
      </c>
      <c r="H17" s="14" t="str">
        <f ca="1">IF(B17="","",IFERROR(INDEX(Server_Inventory!$R:$R,MATCH(B17,Server_Inventory!$Z:$Z,0)),"Not Found"))</f>
        <v/>
      </c>
      <c r="I17" s="14" t="str">
        <f ca="1">IF(B17="","",IFERROR(INDEX(Server_Inventory!$S:$S,MATCH(B17,Server_Inventory!$Z:$Z,0)),"Not Found"))</f>
        <v/>
      </c>
      <c r="J17" s="14" t="str">
        <f ca="1">IF(B17="","",COUNTIFS(Server_Inventory!$Z:$Z,B17,Server_Inventory!$P:$P,"R-RETIRED_IN_CMDB"))</f>
        <v/>
      </c>
      <c r="K17" s="14" t="str">
        <f ca="1">IF(B17="","",IFERROR(INDEX(Container_Inventory!$F:$F,MATCH(B17,Container_Inventory!$L:$L,0)),"Not Found"))</f>
        <v/>
      </c>
      <c r="L17" s="14" t="str">
        <f ca="1">IF(B17="","",IF(COUNTIF(Finding_List!$A:$A,B17)&gt;0,"Yes","No"))</f>
        <v/>
      </c>
      <c r="M17" s="14" t="str">
        <f ca="1">IF(B17="","",COUNTIF(Server_Inventory!$Z:$Z,B17))</f>
        <v/>
      </c>
      <c r="N17" s="14" t="str">
        <f ca="1">IF(B17="","",COUNTIF(Container_Inventory!$L:$L,B17))</f>
        <v/>
      </c>
    </row>
    <row r="18" spans="1:14" x14ac:dyDescent="0.2">
      <c r="A18" s="8" t="str">
        <f ca="1">IFERROR(INDEX(All_Risk_Apps!$A$4:$A$1233,_xludf.aggregate(15,6,(ROW(All_Risk_Apps!$A$4:$A$1233)-ROW(All_Risk_Apps!$A$4)+1)/(All_Risk_Apps!$J$4:$J$1233="Fast Follower")*(All_Risk_Apps!$A$4:$A$1233&lt;&gt;""),15)),"")</f>
        <v/>
      </c>
      <c r="B18" s="8" t="str">
        <f ca="1">IFERROR(INDEX(All_Risk_Apps!$B$4:$B$1233,_xludf.aggregate(15,6,(ROW(All_Risk_Apps!$A$4:$A$1233)-ROW(All_Risk_Apps!$A$4)+1)/(All_Risk_Apps!$J$4:$J$1233="Fast Follower")*(All_Risk_Apps!$A$4:$A$1233&lt;&gt;""),15)),"")</f>
        <v/>
      </c>
      <c r="C18" s="8" t="str">
        <f ca="1">IFERROR(INDEX(All_Risk_Apps!$D$4:$D$1233,_xludf.aggregate(15,6,(ROW(All_Risk_Apps!$A$4:$A$1233)-ROW(All_Risk_Apps!$A$4)+1)/(All_Risk_Apps!$J$4:$J$1233="Fast Follower")*(All_Risk_Apps!$A$4:$A$1233&lt;&gt;""),15)),"")</f>
        <v/>
      </c>
      <c r="D18" s="8" t="str">
        <f ca="1">IFERROR(INDEX(All_Risk_Apps!$C$4:$C$1233,_xludf.aggregate(15,6,(ROW(All_Risk_Apps!$A$4:$A$1233)-ROW(All_Risk_Apps!$A$4)+1)/(All_Risk_Apps!$J$4:$J$1233="Fast Follower")*(All_Risk_Apps!$A$4:$A$1233&lt;&gt;""),15)),"")</f>
        <v/>
      </c>
      <c r="E18" s="8" t="str">
        <f ca="1">IFERROR(INDEX(All_Risk_Apps!$E$4:$E$1233,_xludf.aggregate(15,6,(ROW(All_Risk_Apps!$A$4:$A$1233)-ROW(All_Risk_Apps!$A$4)+1)/(All_Risk_Apps!$J$4:$J$1233="Fast Follower")*(All_Risk_Apps!$A$4:$A$1233&lt;&gt;""),15)),"")</f>
        <v/>
      </c>
      <c r="F18" s="8" t="str">
        <f ca="1">IFERROR(INDEX(All_Risk_Apps!$F$4:$F$1233,_xludf.aggregate(15,6,(ROW(All_Risk_Apps!$A$4:$A$1233)-ROW(All_Risk_Apps!$A$4)+1)/(All_Risk_Apps!$J$4:$J$1233="Fast Follower")*(All_Risk_Apps!$A$4:$A$1233&lt;&gt;""),15)),"")</f>
        <v/>
      </c>
      <c r="G18" s="8" t="str">
        <f ca="1">IFERROR(INDEX(All_Risk_Apps!$I$4:$I$1233,_xludf.aggregate(15,6,(ROW(All_Risk_Apps!$A$4:$A$1233)-ROW(All_Risk_Apps!$A$4)+1)/(All_Risk_Apps!$J$4:$J$1233="Fast Follower")*(All_Risk_Apps!$A$4:$A$1233&lt;&gt;""),15)),"")</f>
        <v/>
      </c>
      <c r="H18" s="8" t="str">
        <f ca="1">IF(B18="","",IFERROR(INDEX(Server_Inventory!$R:$R,MATCH(B18,Server_Inventory!$Z:$Z,0)),"Not Found"))</f>
        <v/>
      </c>
      <c r="I18" s="8" t="str">
        <f ca="1">IF(B18="","",IFERROR(INDEX(Server_Inventory!$S:$S,MATCH(B18,Server_Inventory!$Z:$Z,0)),"Not Found"))</f>
        <v/>
      </c>
      <c r="J18" s="8" t="str">
        <f ca="1">IF(B18="","",COUNTIFS(Server_Inventory!$Z:$Z,B18,Server_Inventory!$P:$P,"R-RETIRED_IN_CMDB"))</f>
        <v/>
      </c>
      <c r="K18" s="8" t="str">
        <f ca="1">IF(B18="","",IFERROR(INDEX(Container_Inventory!$F:$F,MATCH(B18,Container_Inventory!$L:$L,0)),"Not Found"))</f>
        <v/>
      </c>
      <c r="L18" s="8" t="str">
        <f ca="1">IF(B18="","",IF(COUNTIF(Finding_List!$A:$A,B18)&gt;0,"Yes","No"))</f>
        <v/>
      </c>
      <c r="M18" s="8" t="str">
        <f ca="1">IF(B18="","",COUNTIF(Server_Inventory!$Z:$Z,B18))</f>
        <v/>
      </c>
      <c r="N18" s="8" t="str">
        <f ca="1">IF(B18="","",COUNTIF(Container_Inventory!$L:$L,B18))</f>
        <v/>
      </c>
    </row>
    <row r="19" spans="1:14" x14ac:dyDescent="0.2">
      <c r="A19" s="14" t="str">
        <f ca="1">IFERROR(INDEX(All_Risk_Apps!$A$4:$A$1233,_xludf.aggregate(15,6,(ROW(All_Risk_Apps!$A$4:$A$1233)-ROW(All_Risk_Apps!$A$4)+1)/(All_Risk_Apps!$J$4:$J$1233="Fast Follower")*(All_Risk_Apps!$A$4:$A$1233&lt;&gt;""),16)),"")</f>
        <v/>
      </c>
      <c r="B19" s="14" t="str">
        <f ca="1">IFERROR(INDEX(All_Risk_Apps!$B$4:$B$1233,_xludf.aggregate(15,6,(ROW(All_Risk_Apps!$A$4:$A$1233)-ROW(All_Risk_Apps!$A$4)+1)/(All_Risk_Apps!$J$4:$J$1233="Fast Follower")*(All_Risk_Apps!$A$4:$A$1233&lt;&gt;""),16)),"")</f>
        <v/>
      </c>
      <c r="C19" s="14" t="str">
        <f ca="1">IFERROR(INDEX(All_Risk_Apps!$D$4:$D$1233,_xludf.aggregate(15,6,(ROW(All_Risk_Apps!$A$4:$A$1233)-ROW(All_Risk_Apps!$A$4)+1)/(All_Risk_Apps!$J$4:$J$1233="Fast Follower")*(All_Risk_Apps!$A$4:$A$1233&lt;&gt;""),16)),"")</f>
        <v/>
      </c>
      <c r="D19" s="14" t="str">
        <f ca="1">IFERROR(INDEX(All_Risk_Apps!$C$4:$C$1233,_xludf.aggregate(15,6,(ROW(All_Risk_Apps!$A$4:$A$1233)-ROW(All_Risk_Apps!$A$4)+1)/(All_Risk_Apps!$J$4:$J$1233="Fast Follower")*(All_Risk_Apps!$A$4:$A$1233&lt;&gt;""),16)),"")</f>
        <v/>
      </c>
      <c r="E19" s="14" t="str">
        <f ca="1">IFERROR(INDEX(All_Risk_Apps!$E$4:$E$1233,_xludf.aggregate(15,6,(ROW(All_Risk_Apps!$A$4:$A$1233)-ROW(All_Risk_Apps!$A$4)+1)/(All_Risk_Apps!$J$4:$J$1233="Fast Follower")*(All_Risk_Apps!$A$4:$A$1233&lt;&gt;""),16)),"")</f>
        <v/>
      </c>
      <c r="F19" s="14" t="str">
        <f ca="1">IFERROR(INDEX(All_Risk_Apps!$F$4:$F$1233,_xludf.aggregate(15,6,(ROW(All_Risk_Apps!$A$4:$A$1233)-ROW(All_Risk_Apps!$A$4)+1)/(All_Risk_Apps!$J$4:$J$1233="Fast Follower")*(All_Risk_Apps!$A$4:$A$1233&lt;&gt;""),16)),"")</f>
        <v/>
      </c>
      <c r="G19" s="14" t="str">
        <f ca="1">IFERROR(INDEX(All_Risk_Apps!$I$4:$I$1233,_xludf.aggregate(15,6,(ROW(All_Risk_Apps!$A$4:$A$1233)-ROW(All_Risk_Apps!$A$4)+1)/(All_Risk_Apps!$J$4:$J$1233="Fast Follower")*(All_Risk_Apps!$A$4:$A$1233&lt;&gt;""),16)),"")</f>
        <v/>
      </c>
      <c r="H19" s="14" t="str">
        <f ca="1">IF(B19="","",IFERROR(INDEX(Server_Inventory!$R:$R,MATCH(B19,Server_Inventory!$Z:$Z,0)),"Not Found"))</f>
        <v/>
      </c>
      <c r="I19" s="14" t="str">
        <f ca="1">IF(B19="","",IFERROR(INDEX(Server_Inventory!$S:$S,MATCH(B19,Server_Inventory!$Z:$Z,0)),"Not Found"))</f>
        <v/>
      </c>
      <c r="J19" s="14" t="str">
        <f ca="1">IF(B19="","",COUNTIFS(Server_Inventory!$Z:$Z,B19,Server_Inventory!$P:$P,"R-RETIRED_IN_CMDB"))</f>
        <v/>
      </c>
      <c r="K19" s="14" t="str">
        <f ca="1">IF(B19="","",IFERROR(INDEX(Container_Inventory!$F:$F,MATCH(B19,Container_Inventory!$L:$L,0)),"Not Found"))</f>
        <v/>
      </c>
      <c r="L19" s="14" t="str">
        <f ca="1">IF(B19="","",IF(COUNTIF(Finding_List!$A:$A,B19)&gt;0,"Yes","No"))</f>
        <v/>
      </c>
      <c r="M19" s="14" t="str">
        <f ca="1">IF(B19="","",COUNTIF(Server_Inventory!$Z:$Z,B19))</f>
        <v/>
      </c>
      <c r="N19" s="14" t="str">
        <f ca="1">IF(B19="","",COUNTIF(Container_Inventory!$L:$L,B19))</f>
        <v/>
      </c>
    </row>
    <row r="20" spans="1:14" x14ac:dyDescent="0.2">
      <c r="A20" s="8" t="str">
        <f ca="1">IFERROR(INDEX(All_Risk_Apps!$A$4:$A$1233,_xludf.aggregate(15,6,(ROW(All_Risk_Apps!$A$4:$A$1233)-ROW(All_Risk_Apps!$A$4)+1)/(All_Risk_Apps!$J$4:$J$1233="Fast Follower")*(All_Risk_Apps!$A$4:$A$1233&lt;&gt;""),17)),"")</f>
        <v/>
      </c>
      <c r="B20" s="8" t="str">
        <f ca="1">IFERROR(INDEX(All_Risk_Apps!$B$4:$B$1233,_xludf.aggregate(15,6,(ROW(All_Risk_Apps!$A$4:$A$1233)-ROW(All_Risk_Apps!$A$4)+1)/(All_Risk_Apps!$J$4:$J$1233="Fast Follower")*(All_Risk_Apps!$A$4:$A$1233&lt;&gt;""),17)),"")</f>
        <v/>
      </c>
      <c r="C20" s="8" t="str">
        <f ca="1">IFERROR(INDEX(All_Risk_Apps!$D$4:$D$1233,_xludf.aggregate(15,6,(ROW(All_Risk_Apps!$A$4:$A$1233)-ROW(All_Risk_Apps!$A$4)+1)/(All_Risk_Apps!$J$4:$J$1233="Fast Follower")*(All_Risk_Apps!$A$4:$A$1233&lt;&gt;""),17)),"")</f>
        <v/>
      </c>
      <c r="D20" s="8" t="str">
        <f ca="1">IFERROR(INDEX(All_Risk_Apps!$C$4:$C$1233,_xludf.aggregate(15,6,(ROW(All_Risk_Apps!$A$4:$A$1233)-ROW(All_Risk_Apps!$A$4)+1)/(All_Risk_Apps!$J$4:$J$1233="Fast Follower")*(All_Risk_Apps!$A$4:$A$1233&lt;&gt;""),17)),"")</f>
        <v/>
      </c>
      <c r="E20" s="8" t="str">
        <f ca="1">IFERROR(INDEX(All_Risk_Apps!$E$4:$E$1233,_xludf.aggregate(15,6,(ROW(All_Risk_Apps!$A$4:$A$1233)-ROW(All_Risk_Apps!$A$4)+1)/(All_Risk_Apps!$J$4:$J$1233="Fast Follower")*(All_Risk_Apps!$A$4:$A$1233&lt;&gt;""),17)),"")</f>
        <v/>
      </c>
      <c r="F20" s="8" t="str">
        <f ca="1">IFERROR(INDEX(All_Risk_Apps!$F$4:$F$1233,_xludf.aggregate(15,6,(ROW(All_Risk_Apps!$A$4:$A$1233)-ROW(All_Risk_Apps!$A$4)+1)/(All_Risk_Apps!$J$4:$J$1233="Fast Follower")*(All_Risk_Apps!$A$4:$A$1233&lt;&gt;""),17)),"")</f>
        <v/>
      </c>
      <c r="G20" s="8" t="str">
        <f ca="1">IFERROR(INDEX(All_Risk_Apps!$I$4:$I$1233,_xludf.aggregate(15,6,(ROW(All_Risk_Apps!$A$4:$A$1233)-ROW(All_Risk_Apps!$A$4)+1)/(All_Risk_Apps!$J$4:$J$1233="Fast Follower")*(All_Risk_Apps!$A$4:$A$1233&lt;&gt;""),17)),"")</f>
        <v/>
      </c>
      <c r="H20" s="8" t="str">
        <f ca="1">IF(B20="","",IFERROR(INDEX(Server_Inventory!$R:$R,MATCH(B20,Server_Inventory!$Z:$Z,0)),"Not Found"))</f>
        <v/>
      </c>
      <c r="I20" s="8" t="str">
        <f ca="1">IF(B20="","",IFERROR(INDEX(Server_Inventory!$S:$S,MATCH(B20,Server_Inventory!$Z:$Z,0)),"Not Found"))</f>
        <v/>
      </c>
      <c r="J20" s="8" t="str">
        <f ca="1">IF(B20="","",COUNTIFS(Server_Inventory!$Z:$Z,B20,Server_Inventory!$P:$P,"R-RETIRED_IN_CMDB"))</f>
        <v/>
      </c>
      <c r="K20" s="8" t="str">
        <f ca="1">IF(B20="","",IFERROR(INDEX(Container_Inventory!$F:$F,MATCH(B20,Container_Inventory!$L:$L,0)),"Not Found"))</f>
        <v/>
      </c>
      <c r="L20" s="8" t="str">
        <f ca="1">IF(B20="","",IF(COUNTIF(Finding_List!$A:$A,B20)&gt;0,"Yes","No"))</f>
        <v/>
      </c>
      <c r="M20" s="8" t="str">
        <f ca="1">IF(B20="","",COUNTIF(Server_Inventory!$Z:$Z,B20))</f>
        <v/>
      </c>
      <c r="N20" s="8" t="str">
        <f ca="1">IF(B20="","",COUNTIF(Container_Inventory!$L:$L,B20))</f>
        <v/>
      </c>
    </row>
    <row r="21" spans="1:14" x14ac:dyDescent="0.2">
      <c r="A21" s="14" t="str">
        <f ca="1">IFERROR(INDEX(All_Risk_Apps!$A$4:$A$1233,_xludf.aggregate(15,6,(ROW(All_Risk_Apps!$A$4:$A$1233)-ROW(All_Risk_Apps!$A$4)+1)/(All_Risk_Apps!$J$4:$J$1233="Fast Follower")*(All_Risk_Apps!$A$4:$A$1233&lt;&gt;""),18)),"")</f>
        <v/>
      </c>
      <c r="B21" s="14" t="str">
        <f ca="1">IFERROR(INDEX(All_Risk_Apps!$B$4:$B$1233,_xludf.aggregate(15,6,(ROW(All_Risk_Apps!$A$4:$A$1233)-ROW(All_Risk_Apps!$A$4)+1)/(All_Risk_Apps!$J$4:$J$1233="Fast Follower")*(All_Risk_Apps!$A$4:$A$1233&lt;&gt;""),18)),"")</f>
        <v/>
      </c>
      <c r="C21" s="14" t="str">
        <f ca="1">IFERROR(INDEX(All_Risk_Apps!$D$4:$D$1233,_xludf.aggregate(15,6,(ROW(All_Risk_Apps!$A$4:$A$1233)-ROW(All_Risk_Apps!$A$4)+1)/(All_Risk_Apps!$J$4:$J$1233="Fast Follower")*(All_Risk_Apps!$A$4:$A$1233&lt;&gt;""),18)),"")</f>
        <v/>
      </c>
      <c r="D21" s="14" t="str">
        <f ca="1">IFERROR(INDEX(All_Risk_Apps!$C$4:$C$1233,_xludf.aggregate(15,6,(ROW(All_Risk_Apps!$A$4:$A$1233)-ROW(All_Risk_Apps!$A$4)+1)/(All_Risk_Apps!$J$4:$J$1233="Fast Follower")*(All_Risk_Apps!$A$4:$A$1233&lt;&gt;""),18)),"")</f>
        <v/>
      </c>
      <c r="E21" s="14" t="str">
        <f ca="1">IFERROR(INDEX(All_Risk_Apps!$E$4:$E$1233,_xludf.aggregate(15,6,(ROW(All_Risk_Apps!$A$4:$A$1233)-ROW(All_Risk_Apps!$A$4)+1)/(All_Risk_Apps!$J$4:$J$1233="Fast Follower")*(All_Risk_Apps!$A$4:$A$1233&lt;&gt;""),18)),"")</f>
        <v/>
      </c>
      <c r="F21" s="14" t="str">
        <f ca="1">IFERROR(INDEX(All_Risk_Apps!$F$4:$F$1233,_xludf.aggregate(15,6,(ROW(All_Risk_Apps!$A$4:$A$1233)-ROW(All_Risk_Apps!$A$4)+1)/(All_Risk_Apps!$J$4:$J$1233="Fast Follower")*(All_Risk_Apps!$A$4:$A$1233&lt;&gt;""),18)),"")</f>
        <v/>
      </c>
      <c r="G21" s="14" t="str">
        <f ca="1">IFERROR(INDEX(All_Risk_Apps!$I$4:$I$1233,_xludf.aggregate(15,6,(ROW(All_Risk_Apps!$A$4:$A$1233)-ROW(All_Risk_Apps!$A$4)+1)/(All_Risk_Apps!$J$4:$J$1233="Fast Follower")*(All_Risk_Apps!$A$4:$A$1233&lt;&gt;""),18)),"")</f>
        <v/>
      </c>
      <c r="H21" s="14" t="str">
        <f ca="1">IF(B21="","",IFERROR(INDEX(Server_Inventory!$R:$R,MATCH(B21,Server_Inventory!$Z:$Z,0)),"Not Found"))</f>
        <v/>
      </c>
      <c r="I21" s="14" t="str">
        <f ca="1">IF(B21="","",IFERROR(INDEX(Server_Inventory!$S:$S,MATCH(B21,Server_Inventory!$Z:$Z,0)),"Not Found"))</f>
        <v/>
      </c>
      <c r="J21" s="14" t="str">
        <f ca="1">IF(B21="","",COUNTIFS(Server_Inventory!$Z:$Z,B21,Server_Inventory!$P:$P,"R-RETIRED_IN_CMDB"))</f>
        <v/>
      </c>
      <c r="K21" s="14" t="str">
        <f ca="1">IF(B21="","",IFERROR(INDEX(Container_Inventory!$F:$F,MATCH(B21,Container_Inventory!$L:$L,0)),"Not Found"))</f>
        <v/>
      </c>
      <c r="L21" s="14" t="str">
        <f ca="1">IF(B21="","",IF(COUNTIF(Finding_List!$A:$A,B21)&gt;0,"Yes","No"))</f>
        <v/>
      </c>
      <c r="M21" s="14" t="str">
        <f ca="1">IF(B21="","",COUNTIF(Server_Inventory!$Z:$Z,B21))</f>
        <v/>
      </c>
      <c r="N21" s="14" t="str">
        <f ca="1">IF(B21="","",COUNTIF(Container_Inventory!$L:$L,B21))</f>
        <v/>
      </c>
    </row>
    <row r="22" spans="1:14" x14ac:dyDescent="0.2">
      <c r="A22" s="8" t="str">
        <f ca="1">IFERROR(INDEX(All_Risk_Apps!$A$4:$A$1233,_xludf.aggregate(15,6,(ROW(All_Risk_Apps!$A$4:$A$1233)-ROW(All_Risk_Apps!$A$4)+1)/(All_Risk_Apps!$J$4:$J$1233="Fast Follower")*(All_Risk_Apps!$A$4:$A$1233&lt;&gt;""),19)),"")</f>
        <v/>
      </c>
      <c r="B22" s="8" t="str">
        <f ca="1">IFERROR(INDEX(All_Risk_Apps!$B$4:$B$1233,_xludf.aggregate(15,6,(ROW(All_Risk_Apps!$A$4:$A$1233)-ROW(All_Risk_Apps!$A$4)+1)/(All_Risk_Apps!$J$4:$J$1233="Fast Follower")*(All_Risk_Apps!$A$4:$A$1233&lt;&gt;""),19)),"")</f>
        <v/>
      </c>
      <c r="C22" s="8" t="str">
        <f ca="1">IFERROR(INDEX(All_Risk_Apps!$D$4:$D$1233,_xludf.aggregate(15,6,(ROW(All_Risk_Apps!$A$4:$A$1233)-ROW(All_Risk_Apps!$A$4)+1)/(All_Risk_Apps!$J$4:$J$1233="Fast Follower")*(All_Risk_Apps!$A$4:$A$1233&lt;&gt;""),19)),"")</f>
        <v/>
      </c>
      <c r="D22" s="8" t="str">
        <f ca="1">IFERROR(INDEX(All_Risk_Apps!$C$4:$C$1233,_xludf.aggregate(15,6,(ROW(All_Risk_Apps!$A$4:$A$1233)-ROW(All_Risk_Apps!$A$4)+1)/(All_Risk_Apps!$J$4:$J$1233="Fast Follower")*(All_Risk_Apps!$A$4:$A$1233&lt;&gt;""),19)),"")</f>
        <v/>
      </c>
      <c r="E22" s="8" t="str">
        <f ca="1">IFERROR(INDEX(All_Risk_Apps!$E$4:$E$1233,_xludf.aggregate(15,6,(ROW(All_Risk_Apps!$A$4:$A$1233)-ROW(All_Risk_Apps!$A$4)+1)/(All_Risk_Apps!$J$4:$J$1233="Fast Follower")*(All_Risk_Apps!$A$4:$A$1233&lt;&gt;""),19)),"")</f>
        <v/>
      </c>
      <c r="F22" s="8" t="str">
        <f ca="1">IFERROR(INDEX(All_Risk_Apps!$F$4:$F$1233,_xludf.aggregate(15,6,(ROW(All_Risk_Apps!$A$4:$A$1233)-ROW(All_Risk_Apps!$A$4)+1)/(All_Risk_Apps!$J$4:$J$1233="Fast Follower")*(All_Risk_Apps!$A$4:$A$1233&lt;&gt;""),19)),"")</f>
        <v/>
      </c>
      <c r="G22" s="8" t="str">
        <f ca="1">IFERROR(INDEX(All_Risk_Apps!$I$4:$I$1233,_xludf.aggregate(15,6,(ROW(All_Risk_Apps!$A$4:$A$1233)-ROW(All_Risk_Apps!$A$4)+1)/(All_Risk_Apps!$J$4:$J$1233="Fast Follower")*(All_Risk_Apps!$A$4:$A$1233&lt;&gt;""),19)),"")</f>
        <v/>
      </c>
      <c r="H22" s="8" t="str">
        <f ca="1">IF(B22="","",IFERROR(INDEX(Server_Inventory!$R:$R,MATCH(B22,Server_Inventory!$Z:$Z,0)),"Not Found"))</f>
        <v/>
      </c>
      <c r="I22" s="8" t="str">
        <f ca="1">IF(B22="","",IFERROR(INDEX(Server_Inventory!$S:$S,MATCH(B22,Server_Inventory!$Z:$Z,0)),"Not Found"))</f>
        <v/>
      </c>
      <c r="J22" s="8" t="str">
        <f ca="1">IF(B22="","",COUNTIFS(Server_Inventory!$Z:$Z,B22,Server_Inventory!$P:$P,"R-RETIRED_IN_CMDB"))</f>
        <v/>
      </c>
      <c r="K22" s="8" t="str">
        <f ca="1">IF(B22="","",IFERROR(INDEX(Container_Inventory!$F:$F,MATCH(B22,Container_Inventory!$L:$L,0)),"Not Found"))</f>
        <v/>
      </c>
      <c r="L22" s="8" t="str">
        <f ca="1">IF(B22="","",IF(COUNTIF(Finding_List!$A:$A,B22)&gt;0,"Yes","No"))</f>
        <v/>
      </c>
      <c r="M22" s="8" t="str">
        <f ca="1">IF(B22="","",COUNTIF(Server_Inventory!$Z:$Z,B22))</f>
        <v/>
      </c>
      <c r="N22" s="8" t="str">
        <f ca="1">IF(B22="","",COUNTIF(Container_Inventory!$L:$L,B22))</f>
        <v/>
      </c>
    </row>
    <row r="23" spans="1:14" x14ac:dyDescent="0.2">
      <c r="A23" s="14" t="str">
        <f ca="1">IFERROR(INDEX(All_Risk_Apps!$A$4:$A$1233,_xludf.aggregate(15,6,(ROW(All_Risk_Apps!$A$4:$A$1233)-ROW(All_Risk_Apps!$A$4)+1)/(All_Risk_Apps!$J$4:$J$1233="Fast Follower")*(All_Risk_Apps!$A$4:$A$1233&lt;&gt;""),20)),"")</f>
        <v/>
      </c>
      <c r="B23" s="14" t="str">
        <f ca="1">IFERROR(INDEX(All_Risk_Apps!$B$4:$B$1233,_xludf.aggregate(15,6,(ROW(All_Risk_Apps!$A$4:$A$1233)-ROW(All_Risk_Apps!$A$4)+1)/(All_Risk_Apps!$J$4:$J$1233="Fast Follower")*(All_Risk_Apps!$A$4:$A$1233&lt;&gt;""),20)),"")</f>
        <v/>
      </c>
      <c r="C23" s="14" t="str">
        <f ca="1">IFERROR(INDEX(All_Risk_Apps!$D$4:$D$1233,_xludf.aggregate(15,6,(ROW(All_Risk_Apps!$A$4:$A$1233)-ROW(All_Risk_Apps!$A$4)+1)/(All_Risk_Apps!$J$4:$J$1233="Fast Follower")*(All_Risk_Apps!$A$4:$A$1233&lt;&gt;""),20)),"")</f>
        <v/>
      </c>
      <c r="D23" s="14" t="str">
        <f ca="1">IFERROR(INDEX(All_Risk_Apps!$C$4:$C$1233,_xludf.aggregate(15,6,(ROW(All_Risk_Apps!$A$4:$A$1233)-ROW(All_Risk_Apps!$A$4)+1)/(All_Risk_Apps!$J$4:$J$1233="Fast Follower")*(All_Risk_Apps!$A$4:$A$1233&lt;&gt;""),20)),"")</f>
        <v/>
      </c>
      <c r="E23" s="14" t="str">
        <f ca="1">IFERROR(INDEX(All_Risk_Apps!$E$4:$E$1233,_xludf.aggregate(15,6,(ROW(All_Risk_Apps!$A$4:$A$1233)-ROW(All_Risk_Apps!$A$4)+1)/(All_Risk_Apps!$J$4:$J$1233="Fast Follower")*(All_Risk_Apps!$A$4:$A$1233&lt;&gt;""),20)),"")</f>
        <v/>
      </c>
      <c r="F23" s="14" t="str">
        <f ca="1">IFERROR(INDEX(All_Risk_Apps!$F$4:$F$1233,_xludf.aggregate(15,6,(ROW(All_Risk_Apps!$A$4:$A$1233)-ROW(All_Risk_Apps!$A$4)+1)/(All_Risk_Apps!$J$4:$J$1233="Fast Follower")*(All_Risk_Apps!$A$4:$A$1233&lt;&gt;""),20)),"")</f>
        <v/>
      </c>
      <c r="G23" s="14" t="str">
        <f ca="1">IFERROR(INDEX(All_Risk_Apps!$I$4:$I$1233,_xludf.aggregate(15,6,(ROW(All_Risk_Apps!$A$4:$A$1233)-ROW(All_Risk_Apps!$A$4)+1)/(All_Risk_Apps!$J$4:$J$1233="Fast Follower")*(All_Risk_Apps!$A$4:$A$1233&lt;&gt;""),20)),"")</f>
        <v/>
      </c>
      <c r="H23" s="14" t="str">
        <f ca="1">IF(B23="","",IFERROR(INDEX(Server_Inventory!$R:$R,MATCH(B23,Server_Inventory!$Z:$Z,0)),"Not Found"))</f>
        <v/>
      </c>
      <c r="I23" s="14" t="str">
        <f ca="1">IF(B23="","",IFERROR(INDEX(Server_Inventory!$S:$S,MATCH(B23,Server_Inventory!$Z:$Z,0)),"Not Found"))</f>
        <v/>
      </c>
      <c r="J23" s="14" t="str">
        <f ca="1">IF(B23="","",COUNTIFS(Server_Inventory!$Z:$Z,B23,Server_Inventory!$P:$P,"R-RETIRED_IN_CMDB"))</f>
        <v/>
      </c>
      <c r="K23" s="14" t="str">
        <f ca="1">IF(B23="","",IFERROR(INDEX(Container_Inventory!$F:$F,MATCH(B23,Container_Inventory!$L:$L,0)),"Not Found"))</f>
        <v/>
      </c>
      <c r="L23" s="14" t="str">
        <f ca="1">IF(B23="","",IF(COUNTIF(Finding_List!$A:$A,B23)&gt;0,"Yes","No"))</f>
        <v/>
      </c>
      <c r="M23" s="14" t="str">
        <f ca="1">IF(B23="","",COUNTIF(Server_Inventory!$Z:$Z,B23))</f>
        <v/>
      </c>
      <c r="N23" s="14" t="str">
        <f ca="1">IF(B23="","",COUNTIF(Container_Inventory!$L:$L,B23))</f>
        <v/>
      </c>
    </row>
    <row r="24" spans="1:14" x14ac:dyDescent="0.2">
      <c r="A24" s="8" t="str">
        <f ca="1">IFERROR(INDEX(All_Risk_Apps!$A$4:$A$1233,_xludf.aggregate(15,6,(ROW(All_Risk_Apps!$A$4:$A$1233)-ROW(All_Risk_Apps!$A$4)+1)/(All_Risk_Apps!$J$4:$J$1233="Fast Follower")*(All_Risk_Apps!$A$4:$A$1233&lt;&gt;""),21)),"")</f>
        <v/>
      </c>
      <c r="B24" s="8" t="str">
        <f ca="1">IFERROR(INDEX(All_Risk_Apps!$B$4:$B$1233,_xludf.aggregate(15,6,(ROW(All_Risk_Apps!$A$4:$A$1233)-ROW(All_Risk_Apps!$A$4)+1)/(All_Risk_Apps!$J$4:$J$1233="Fast Follower")*(All_Risk_Apps!$A$4:$A$1233&lt;&gt;""),21)),"")</f>
        <v/>
      </c>
      <c r="C24" s="8" t="str">
        <f ca="1">IFERROR(INDEX(All_Risk_Apps!$D$4:$D$1233,_xludf.aggregate(15,6,(ROW(All_Risk_Apps!$A$4:$A$1233)-ROW(All_Risk_Apps!$A$4)+1)/(All_Risk_Apps!$J$4:$J$1233="Fast Follower")*(All_Risk_Apps!$A$4:$A$1233&lt;&gt;""),21)),"")</f>
        <v/>
      </c>
      <c r="D24" s="8" t="str">
        <f ca="1">IFERROR(INDEX(All_Risk_Apps!$C$4:$C$1233,_xludf.aggregate(15,6,(ROW(All_Risk_Apps!$A$4:$A$1233)-ROW(All_Risk_Apps!$A$4)+1)/(All_Risk_Apps!$J$4:$J$1233="Fast Follower")*(All_Risk_Apps!$A$4:$A$1233&lt;&gt;""),21)),"")</f>
        <v/>
      </c>
      <c r="E24" s="8" t="str">
        <f ca="1">IFERROR(INDEX(All_Risk_Apps!$E$4:$E$1233,_xludf.aggregate(15,6,(ROW(All_Risk_Apps!$A$4:$A$1233)-ROW(All_Risk_Apps!$A$4)+1)/(All_Risk_Apps!$J$4:$J$1233="Fast Follower")*(All_Risk_Apps!$A$4:$A$1233&lt;&gt;""),21)),"")</f>
        <v/>
      </c>
      <c r="F24" s="8" t="str">
        <f ca="1">IFERROR(INDEX(All_Risk_Apps!$F$4:$F$1233,_xludf.aggregate(15,6,(ROW(All_Risk_Apps!$A$4:$A$1233)-ROW(All_Risk_Apps!$A$4)+1)/(All_Risk_Apps!$J$4:$J$1233="Fast Follower")*(All_Risk_Apps!$A$4:$A$1233&lt;&gt;""),21)),"")</f>
        <v/>
      </c>
      <c r="G24" s="8" t="str">
        <f ca="1">IFERROR(INDEX(All_Risk_Apps!$I$4:$I$1233,_xludf.aggregate(15,6,(ROW(All_Risk_Apps!$A$4:$A$1233)-ROW(All_Risk_Apps!$A$4)+1)/(All_Risk_Apps!$J$4:$J$1233="Fast Follower")*(All_Risk_Apps!$A$4:$A$1233&lt;&gt;""),21)),"")</f>
        <v/>
      </c>
      <c r="H24" s="8" t="str">
        <f ca="1">IF(B24="","",IFERROR(INDEX(Server_Inventory!$R:$R,MATCH(B24,Server_Inventory!$Z:$Z,0)),"Not Found"))</f>
        <v/>
      </c>
      <c r="I24" s="8" t="str">
        <f ca="1">IF(B24="","",IFERROR(INDEX(Server_Inventory!$S:$S,MATCH(B24,Server_Inventory!$Z:$Z,0)),"Not Found"))</f>
        <v/>
      </c>
      <c r="J24" s="8" t="str">
        <f ca="1">IF(B24="","",COUNTIFS(Server_Inventory!$Z:$Z,B24,Server_Inventory!$P:$P,"R-RETIRED_IN_CMDB"))</f>
        <v/>
      </c>
      <c r="K24" s="8" t="str">
        <f ca="1">IF(B24="","",IFERROR(INDEX(Container_Inventory!$F:$F,MATCH(B24,Container_Inventory!$L:$L,0)),"Not Found"))</f>
        <v/>
      </c>
      <c r="L24" s="8" t="str">
        <f ca="1">IF(B24="","",IF(COUNTIF(Finding_List!$A:$A,B24)&gt;0,"Yes","No"))</f>
        <v/>
      </c>
      <c r="M24" s="8" t="str">
        <f ca="1">IF(B24="","",COUNTIF(Server_Inventory!$Z:$Z,B24))</f>
        <v/>
      </c>
      <c r="N24" s="8" t="str">
        <f ca="1">IF(B24="","",COUNTIF(Container_Inventory!$L:$L,B24))</f>
        <v/>
      </c>
    </row>
    <row r="25" spans="1:14" x14ac:dyDescent="0.2">
      <c r="A25" s="14" t="str">
        <f ca="1">IFERROR(INDEX(All_Risk_Apps!$A$4:$A$1233,_xludf.aggregate(15,6,(ROW(All_Risk_Apps!$A$4:$A$1233)-ROW(All_Risk_Apps!$A$4)+1)/(All_Risk_Apps!$J$4:$J$1233="Fast Follower")*(All_Risk_Apps!$A$4:$A$1233&lt;&gt;""),22)),"")</f>
        <v/>
      </c>
      <c r="B25" s="14" t="str">
        <f ca="1">IFERROR(INDEX(All_Risk_Apps!$B$4:$B$1233,_xludf.aggregate(15,6,(ROW(All_Risk_Apps!$A$4:$A$1233)-ROW(All_Risk_Apps!$A$4)+1)/(All_Risk_Apps!$J$4:$J$1233="Fast Follower")*(All_Risk_Apps!$A$4:$A$1233&lt;&gt;""),22)),"")</f>
        <v/>
      </c>
      <c r="C25" s="14" t="str">
        <f ca="1">IFERROR(INDEX(All_Risk_Apps!$D$4:$D$1233,_xludf.aggregate(15,6,(ROW(All_Risk_Apps!$A$4:$A$1233)-ROW(All_Risk_Apps!$A$4)+1)/(All_Risk_Apps!$J$4:$J$1233="Fast Follower")*(All_Risk_Apps!$A$4:$A$1233&lt;&gt;""),22)),"")</f>
        <v/>
      </c>
      <c r="D25" s="14" t="str">
        <f ca="1">IFERROR(INDEX(All_Risk_Apps!$C$4:$C$1233,_xludf.aggregate(15,6,(ROW(All_Risk_Apps!$A$4:$A$1233)-ROW(All_Risk_Apps!$A$4)+1)/(All_Risk_Apps!$J$4:$J$1233="Fast Follower")*(All_Risk_Apps!$A$4:$A$1233&lt;&gt;""),22)),"")</f>
        <v/>
      </c>
      <c r="E25" s="14" t="str">
        <f ca="1">IFERROR(INDEX(All_Risk_Apps!$E$4:$E$1233,_xludf.aggregate(15,6,(ROW(All_Risk_Apps!$A$4:$A$1233)-ROW(All_Risk_Apps!$A$4)+1)/(All_Risk_Apps!$J$4:$J$1233="Fast Follower")*(All_Risk_Apps!$A$4:$A$1233&lt;&gt;""),22)),"")</f>
        <v/>
      </c>
      <c r="F25" s="14" t="str">
        <f ca="1">IFERROR(INDEX(All_Risk_Apps!$F$4:$F$1233,_xludf.aggregate(15,6,(ROW(All_Risk_Apps!$A$4:$A$1233)-ROW(All_Risk_Apps!$A$4)+1)/(All_Risk_Apps!$J$4:$J$1233="Fast Follower")*(All_Risk_Apps!$A$4:$A$1233&lt;&gt;""),22)),"")</f>
        <v/>
      </c>
      <c r="G25" s="14" t="str">
        <f ca="1">IFERROR(INDEX(All_Risk_Apps!$I$4:$I$1233,_xludf.aggregate(15,6,(ROW(All_Risk_Apps!$A$4:$A$1233)-ROW(All_Risk_Apps!$A$4)+1)/(All_Risk_Apps!$J$4:$J$1233="Fast Follower")*(All_Risk_Apps!$A$4:$A$1233&lt;&gt;""),22)),"")</f>
        <v/>
      </c>
      <c r="H25" s="14" t="str">
        <f ca="1">IF(B25="","",IFERROR(INDEX(Server_Inventory!$R:$R,MATCH(B25,Server_Inventory!$Z:$Z,0)),"Not Found"))</f>
        <v/>
      </c>
      <c r="I25" s="14" t="str">
        <f ca="1">IF(B25="","",IFERROR(INDEX(Server_Inventory!$S:$S,MATCH(B25,Server_Inventory!$Z:$Z,0)),"Not Found"))</f>
        <v/>
      </c>
      <c r="J25" s="14" t="str">
        <f ca="1">IF(B25="","",COUNTIFS(Server_Inventory!$Z:$Z,B25,Server_Inventory!$P:$P,"R-RETIRED_IN_CMDB"))</f>
        <v/>
      </c>
      <c r="K25" s="14" t="str">
        <f ca="1">IF(B25="","",IFERROR(INDEX(Container_Inventory!$F:$F,MATCH(B25,Container_Inventory!$L:$L,0)),"Not Found"))</f>
        <v/>
      </c>
      <c r="L25" s="14" t="str">
        <f ca="1">IF(B25="","",IF(COUNTIF(Finding_List!$A:$A,B25)&gt;0,"Yes","No"))</f>
        <v/>
      </c>
      <c r="M25" s="14" t="str">
        <f ca="1">IF(B25="","",COUNTIF(Server_Inventory!$Z:$Z,B25))</f>
        <v/>
      </c>
      <c r="N25" s="14" t="str">
        <f ca="1">IF(B25="","",COUNTIF(Container_Inventory!$L:$L,B25))</f>
        <v/>
      </c>
    </row>
    <row r="26" spans="1:14" x14ac:dyDescent="0.2">
      <c r="A26" s="8" t="str">
        <f ca="1">IFERROR(INDEX(All_Risk_Apps!$A$4:$A$1233,_xludf.aggregate(15,6,(ROW(All_Risk_Apps!$A$4:$A$1233)-ROW(All_Risk_Apps!$A$4)+1)/(All_Risk_Apps!$J$4:$J$1233="Fast Follower")*(All_Risk_Apps!$A$4:$A$1233&lt;&gt;""),23)),"")</f>
        <v/>
      </c>
      <c r="B26" s="8" t="str">
        <f ca="1">IFERROR(INDEX(All_Risk_Apps!$B$4:$B$1233,_xludf.aggregate(15,6,(ROW(All_Risk_Apps!$A$4:$A$1233)-ROW(All_Risk_Apps!$A$4)+1)/(All_Risk_Apps!$J$4:$J$1233="Fast Follower")*(All_Risk_Apps!$A$4:$A$1233&lt;&gt;""),23)),"")</f>
        <v/>
      </c>
      <c r="C26" s="8" t="str">
        <f ca="1">IFERROR(INDEX(All_Risk_Apps!$D$4:$D$1233,_xludf.aggregate(15,6,(ROW(All_Risk_Apps!$A$4:$A$1233)-ROW(All_Risk_Apps!$A$4)+1)/(All_Risk_Apps!$J$4:$J$1233="Fast Follower")*(All_Risk_Apps!$A$4:$A$1233&lt;&gt;""),23)),"")</f>
        <v/>
      </c>
      <c r="D26" s="8" t="str">
        <f ca="1">IFERROR(INDEX(All_Risk_Apps!$C$4:$C$1233,_xludf.aggregate(15,6,(ROW(All_Risk_Apps!$A$4:$A$1233)-ROW(All_Risk_Apps!$A$4)+1)/(All_Risk_Apps!$J$4:$J$1233="Fast Follower")*(All_Risk_Apps!$A$4:$A$1233&lt;&gt;""),23)),"")</f>
        <v/>
      </c>
      <c r="E26" s="8" t="str">
        <f ca="1">IFERROR(INDEX(All_Risk_Apps!$E$4:$E$1233,_xludf.aggregate(15,6,(ROW(All_Risk_Apps!$A$4:$A$1233)-ROW(All_Risk_Apps!$A$4)+1)/(All_Risk_Apps!$J$4:$J$1233="Fast Follower")*(All_Risk_Apps!$A$4:$A$1233&lt;&gt;""),23)),"")</f>
        <v/>
      </c>
      <c r="F26" s="8" t="str">
        <f ca="1">IFERROR(INDEX(All_Risk_Apps!$F$4:$F$1233,_xludf.aggregate(15,6,(ROW(All_Risk_Apps!$A$4:$A$1233)-ROW(All_Risk_Apps!$A$4)+1)/(All_Risk_Apps!$J$4:$J$1233="Fast Follower")*(All_Risk_Apps!$A$4:$A$1233&lt;&gt;""),23)),"")</f>
        <v/>
      </c>
      <c r="G26" s="8" t="str">
        <f ca="1">IFERROR(INDEX(All_Risk_Apps!$I$4:$I$1233,_xludf.aggregate(15,6,(ROW(All_Risk_Apps!$A$4:$A$1233)-ROW(All_Risk_Apps!$A$4)+1)/(All_Risk_Apps!$J$4:$J$1233="Fast Follower")*(All_Risk_Apps!$A$4:$A$1233&lt;&gt;""),23)),"")</f>
        <v/>
      </c>
      <c r="H26" s="8" t="str">
        <f ca="1">IF(B26="","",IFERROR(INDEX(Server_Inventory!$R:$R,MATCH(B26,Server_Inventory!$Z:$Z,0)),"Not Found"))</f>
        <v/>
      </c>
      <c r="I26" s="8" t="str">
        <f ca="1">IF(B26="","",IFERROR(INDEX(Server_Inventory!$S:$S,MATCH(B26,Server_Inventory!$Z:$Z,0)),"Not Found"))</f>
        <v/>
      </c>
      <c r="J26" s="8" t="str">
        <f ca="1">IF(B26="","",COUNTIFS(Server_Inventory!$Z:$Z,B26,Server_Inventory!$P:$P,"R-RETIRED_IN_CMDB"))</f>
        <v/>
      </c>
      <c r="K26" s="8" t="str">
        <f ca="1">IF(B26="","",IFERROR(INDEX(Container_Inventory!$F:$F,MATCH(B26,Container_Inventory!$L:$L,0)),"Not Found"))</f>
        <v/>
      </c>
      <c r="L26" s="8" t="str">
        <f ca="1">IF(B26="","",IF(COUNTIF(Finding_List!$A:$A,B26)&gt;0,"Yes","No"))</f>
        <v/>
      </c>
      <c r="M26" s="8" t="str">
        <f ca="1">IF(B26="","",COUNTIF(Server_Inventory!$Z:$Z,B26))</f>
        <v/>
      </c>
      <c r="N26" s="8" t="str">
        <f ca="1">IF(B26="","",COUNTIF(Container_Inventory!$L:$L,B26))</f>
        <v/>
      </c>
    </row>
    <row r="27" spans="1:14" x14ac:dyDescent="0.2">
      <c r="A27" s="14" t="str">
        <f ca="1">IFERROR(INDEX(All_Risk_Apps!$A$4:$A$1233,_xludf.aggregate(15,6,(ROW(All_Risk_Apps!$A$4:$A$1233)-ROW(All_Risk_Apps!$A$4)+1)/(All_Risk_Apps!$J$4:$J$1233="Fast Follower")*(All_Risk_Apps!$A$4:$A$1233&lt;&gt;""),24)),"")</f>
        <v/>
      </c>
      <c r="B27" s="14" t="str">
        <f ca="1">IFERROR(INDEX(All_Risk_Apps!$B$4:$B$1233,_xludf.aggregate(15,6,(ROW(All_Risk_Apps!$A$4:$A$1233)-ROW(All_Risk_Apps!$A$4)+1)/(All_Risk_Apps!$J$4:$J$1233="Fast Follower")*(All_Risk_Apps!$A$4:$A$1233&lt;&gt;""),24)),"")</f>
        <v/>
      </c>
      <c r="C27" s="14" t="str">
        <f ca="1">IFERROR(INDEX(All_Risk_Apps!$D$4:$D$1233,_xludf.aggregate(15,6,(ROW(All_Risk_Apps!$A$4:$A$1233)-ROW(All_Risk_Apps!$A$4)+1)/(All_Risk_Apps!$J$4:$J$1233="Fast Follower")*(All_Risk_Apps!$A$4:$A$1233&lt;&gt;""),24)),"")</f>
        <v/>
      </c>
      <c r="D27" s="14" t="str">
        <f ca="1">IFERROR(INDEX(All_Risk_Apps!$C$4:$C$1233,_xludf.aggregate(15,6,(ROW(All_Risk_Apps!$A$4:$A$1233)-ROW(All_Risk_Apps!$A$4)+1)/(All_Risk_Apps!$J$4:$J$1233="Fast Follower")*(All_Risk_Apps!$A$4:$A$1233&lt;&gt;""),24)),"")</f>
        <v/>
      </c>
      <c r="E27" s="14" t="str">
        <f ca="1">IFERROR(INDEX(All_Risk_Apps!$E$4:$E$1233,_xludf.aggregate(15,6,(ROW(All_Risk_Apps!$A$4:$A$1233)-ROW(All_Risk_Apps!$A$4)+1)/(All_Risk_Apps!$J$4:$J$1233="Fast Follower")*(All_Risk_Apps!$A$4:$A$1233&lt;&gt;""),24)),"")</f>
        <v/>
      </c>
      <c r="F27" s="14" t="str">
        <f ca="1">IFERROR(INDEX(All_Risk_Apps!$F$4:$F$1233,_xludf.aggregate(15,6,(ROW(All_Risk_Apps!$A$4:$A$1233)-ROW(All_Risk_Apps!$A$4)+1)/(All_Risk_Apps!$J$4:$J$1233="Fast Follower")*(All_Risk_Apps!$A$4:$A$1233&lt;&gt;""),24)),"")</f>
        <v/>
      </c>
      <c r="G27" s="14" t="str">
        <f ca="1">IFERROR(INDEX(All_Risk_Apps!$I$4:$I$1233,_xludf.aggregate(15,6,(ROW(All_Risk_Apps!$A$4:$A$1233)-ROW(All_Risk_Apps!$A$4)+1)/(All_Risk_Apps!$J$4:$J$1233="Fast Follower")*(All_Risk_Apps!$A$4:$A$1233&lt;&gt;""),24)),"")</f>
        <v/>
      </c>
      <c r="H27" s="14" t="str">
        <f ca="1">IF(B27="","",IFERROR(INDEX(Server_Inventory!$R:$R,MATCH(B27,Server_Inventory!$Z:$Z,0)),"Not Found"))</f>
        <v/>
      </c>
      <c r="I27" s="14" t="str">
        <f ca="1">IF(B27="","",IFERROR(INDEX(Server_Inventory!$S:$S,MATCH(B27,Server_Inventory!$Z:$Z,0)),"Not Found"))</f>
        <v/>
      </c>
      <c r="J27" s="14" t="str">
        <f ca="1">IF(B27="","",COUNTIFS(Server_Inventory!$Z:$Z,B27,Server_Inventory!$P:$P,"R-RETIRED_IN_CMDB"))</f>
        <v/>
      </c>
      <c r="K27" s="14" t="str">
        <f ca="1">IF(B27="","",IFERROR(INDEX(Container_Inventory!$F:$F,MATCH(B27,Container_Inventory!$L:$L,0)),"Not Found"))</f>
        <v/>
      </c>
      <c r="L27" s="14" t="str">
        <f ca="1">IF(B27="","",IF(COUNTIF(Finding_List!$A:$A,B27)&gt;0,"Yes","No"))</f>
        <v/>
      </c>
      <c r="M27" s="14" t="str">
        <f ca="1">IF(B27="","",COUNTIF(Server_Inventory!$Z:$Z,B27))</f>
        <v/>
      </c>
      <c r="N27" s="14" t="str">
        <f ca="1">IF(B27="","",COUNTIF(Container_Inventory!$L:$L,B27))</f>
        <v/>
      </c>
    </row>
    <row r="28" spans="1:14" x14ac:dyDescent="0.2">
      <c r="A28" s="8" t="str">
        <f ca="1">IFERROR(INDEX(All_Risk_Apps!$A$4:$A$1233,_xludf.aggregate(15,6,(ROW(All_Risk_Apps!$A$4:$A$1233)-ROW(All_Risk_Apps!$A$4)+1)/(All_Risk_Apps!$J$4:$J$1233="Fast Follower")*(All_Risk_Apps!$A$4:$A$1233&lt;&gt;""),25)),"")</f>
        <v/>
      </c>
      <c r="B28" s="8" t="str">
        <f ca="1">IFERROR(INDEX(All_Risk_Apps!$B$4:$B$1233,_xludf.aggregate(15,6,(ROW(All_Risk_Apps!$A$4:$A$1233)-ROW(All_Risk_Apps!$A$4)+1)/(All_Risk_Apps!$J$4:$J$1233="Fast Follower")*(All_Risk_Apps!$A$4:$A$1233&lt;&gt;""),25)),"")</f>
        <v/>
      </c>
      <c r="C28" s="8" t="str">
        <f ca="1">IFERROR(INDEX(All_Risk_Apps!$D$4:$D$1233,_xludf.aggregate(15,6,(ROW(All_Risk_Apps!$A$4:$A$1233)-ROW(All_Risk_Apps!$A$4)+1)/(All_Risk_Apps!$J$4:$J$1233="Fast Follower")*(All_Risk_Apps!$A$4:$A$1233&lt;&gt;""),25)),"")</f>
        <v/>
      </c>
      <c r="D28" s="8" t="str">
        <f ca="1">IFERROR(INDEX(All_Risk_Apps!$C$4:$C$1233,_xludf.aggregate(15,6,(ROW(All_Risk_Apps!$A$4:$A$1233)-ROW(All_Risk_Apps!$A$4)+1)/(All_Risk_Apps!$J$4:$J$1233="Fast Follower")*(All_Risk_Apps!$A$4:$A$1233&lt;&gt;""),25)),"")</f>
        <v/>
      </c>
      <c r="E28" s="8" t="str">
        <f ca="1">IFERROR(INDEX(All_Risk_Apps!$E$4:$E$1233,_xludf.aggregate(15,6,(ROW(All_Risk_Apps!$A$4:$A$1233)-ROW(All_Risk_Apps!$A$4)+1)/(All_Risk_Apps!$J$4:$J$1233="Fast Follower")*(All_Risk_Apps!$A$4:$A$1233&lt;&gt;""),25)),"")</f>
        <v/>
      </c>
      <c r="F28" s="8" t="str">
        <f ca="1">IFERROR(INDEX(All_Risk_Apps!$F$4:$F$1233,_xludf.aggregate(15,6,(ROW(All_Risk_Apps!$A$4:$A$1233)-ROW(All_Risk_Apps!$A$4)+1)/(All_Risk_Apps!$J$4:$J$1233="Fast Follower")*(All_Risk_Apps!$A$4:$A$1233&lt;&gt;""),25)),"")</f>
        <v/>
      </c>
      <c r="G28" s="8" t="str">
        <f ca="1">IFERROR(INDEX(All_Risk_Apps!$I$4:$I$1233,_xludf.aggregate(15,6,(ROW(All_Risk_Apps!$A$4:$A$1233)-ROW(All_Risk_Apps!$A$4)+1)/(All_Risk_Apps!$J$4:$J$1233="Fast Follower")*(All_Risk_Apps!$A$4:$A$1233&lt;&gt;""),25)),"")</f>
        <v/>
      </c>
      <c r="H28" s="8" t="str">
        <f ca="1">IF(B28="","",IFERROR(INDEX(Server_Inventory!$R:$R,MATCH(B28,Server_Inventory!$Z:$Z,0)),"Not Found"))</f>
        <v/>
      </c>
      <c r="I28" s="8" t="str">
        <f ca="1">IF(B28="","",IFERROR(INDEX(Server_Inventory!$S:$S,MATCH(B28,Server_Inventory!$Z:$Z,0)),"Not Found"))</f>
        <v/>
      </c>
      <c r="J28" s="8" t="str">
        <f ca="1">IF(B28="","",COUNTIFS(Server_Inventory!$Z:$Z,B28,Server_Inventory!$P:$P,"R-RETIRED_IN_CMDB"))</f>
        <v/>
      </c>
      <c r="K28" s="8" t="str">
        <f ca="1">IF(B28="","",IFERROR(INDEX(Container_Inventory!$F:$F,MATCH(B28,Container_Inventory!$L:$L,0)),"Not Found"))</f>
        <v/>
      </c>
      <c r="L28" s="8" t="str">
        <f ca="1">IF(B28="","",IF(COUNTIF(Finding_List!$A:$A,B28)&gt;0,"Yes","No"))</f>
        <v/>
      </c>
      <c r="M28" s="8" t="str">
        <f ca="1">IF(B28="","",COUNTIF(Server_Inventory!$Z:$Z,B28))</f>
        <v/>
      </c>
      <c r="N28" s="8" t="str">
        <f ca="1">IF(B28="","",COUNTIF(Container_Inventory!$L:$L,B28))</f>
        <v/>
      </c>
    </row>
    <row r="29" spans="1:14" x14ac:dyDescent="0.2">
      <c r="A29" s="14" t="str">
        <f ca="1">IFERROR(INDEX(All_Risk_Apps!$A$4:$A$1233,_xludf.aggregate(15,6,(ROW(All_Risk_Apps!$A$4:$A$1233)-ROW(All_Risk_Apps!$A$4)+1)/(All_Risk_Apps!$J$4:$J$1233="Fast Follower")*(All_Risk_Apps!$A$4:$A$1233&lt;&gt;""),26)),"")</f>
        <v/>
      </c>
      <c r="B29" s="14" t="str">
        <f ca="1">IFERROR(INDEX(All_Risk_Apps!$B$4:$B$1233,_xludf.aggregate(15,6,(ROW(All_Risk_Apps!$A$4:$A$1233)-ROW(All_Risk_Apps!$A$4)+1)/(All_Risk_Apps!$J$4:$J$1233="Fast Follower")*(All_Risk_Apps!$A$4:$A$1233&lt;&gt;""),26)),"")</f>
        <v/>
      </c>
      <c r="C29" s="14" t="str">
        <f ca="1">IFERROR(INDEX(All_Risk_Apps!$D$4:$D$1233,_xludf.aggregate(15,6,(ROW(All_Risk_Apps!$A$4:$A$1233)-ROW(All_Risk_Apps!$A$4)+1)/(All_Risk_Apps!$J$4:$J$1233="Fast Follower")*(All_Risk_Apps!$A$4:$A$1233&lt;&gt;""),26)),"")</f>
        <v/>
      </c>
      <c r="D29" s="14" t="str">
        <f ca="1">IFERROR(INDEX(All_Risk_Apps!$C$4:$C$1233,_xludf.aggregate(15,6,(ROW(All_Risk_Apps!$A$4:$A$1233)-ROW(All_Risk_Apps!$A$4)+1)/(All_Risk_Apps!$J$4:$J$1233="Fast Follower")*(All_Risk_Apps!$A$4:$A$1233&lt;&gt;""),26)),"")</f>
        <v/>
      </c>
      <c r="E29" s="14" t="str">
        <f ca="1">IFERROR(INDEX(All_Risk_Apps!$E$4:$E$1233,_xludf.aggregate(15,6,(ROW(All_Risk_Apps!$A$4:$A$1233)-ROW(All_Risk_Apps!$A$4)+1)/(All_Risk_Apps!$J$4:$J$1233="Fast Follower")*(All_Risk_Apps!$A$4:$A$1233&lt;&gt;""),26)),"")</f>
        <v/>
      </c>
      <c r="F29" s="14" t="str">
        <f ca="1">IFERROR(INDEX(All_Risk_Apps!$F$4:$F$1233,_xludf.aggregate(15,6,(ROW(All_Risk_Apps!$A$4:$A$1233)-ROW(All_Risk_Apps!$A$4)+1)/(All_Risk_Apps!$J$4:$J$1233="Fast Follower")*(All_Risk_Apps!$A$4:$A$1233&lt;&gt;""),26)),"")</f>
        <v/>
      </c>
      <c r="G29" s="14" t="str">
        <f ca="1">IFERROR(INDEX(All_Risk_Apps!$I$4:$I$1233,_xludf.aggregate(15,6,(ROW(All_Risk_Apps!$A$4:$A$1233)-ROW(All_Risk_Apps!$A$4)+1)/(All_Risk_Apps!$J$4:$J$1233="Fast Follower")*(All_Risk_Apps!$A$4:$A$1233&lt;&gt;""),26)),"")</f>
        <v/>
      </c>
      <c r="H29" s="14" t="str">
        <f ca="1">IF(B29="","",IFERROR(INDEX(Server_Inventory!$R:$R,MATCH(B29,Server_Inventory!$Z:$Z,0)),"Not Found"))</f>
        <v/>
      </c>
      <c r="I29" s="14" t="str">
        <f ca="1">IF(B29="","",IFERROR(INDEX(Server_Inventory!$S:$S,MATCH(B29,Server_Inventory!$Z:$Z,0)),"Not Found"))</f>
        <v/>
      </c>
      <c r="J29" s="14" t="str">
        <f ca="1">IF(B29="","",COUNTIFS(Server_Inventory!$Z:$Z,B29,Server_Inventory!$P:$P,"R-RETIRED_IN_CMDB"))</f>
        <v/>
      </c>
      <c r="K29" s="14" t="str">
        <f ca="1">IF(B29="","",IFERROR(INDEX(Container_Inventory!$F:$F,MATCH(B29,Container_Inventory!$L:$L,0)),"Not Found"))</f>
        <v/>
      </c>
      <c r="L29" s="14" t="str">
        <f ca="1">IF(B29="","",IF(COUNTIF(Finding_List!$A:$A,B29)&gt;0,"Yes","No"))</f>
        <v/>
      </c>
      <c r="M29" s="14" t="str">
        <f ca="1">IF(B29="","",COUNTIF(Server_Inventory!$Z:$Z,B29))</f>
        <v/>
      </c>
      <c r="N29" s="14" t="str">
        <f ca="1">IF(B29="","",COUNTIF(Container_Inventory!$L:$L,B29))</f>
        <v/>
      </c>
    </row>
    <row r="30" spans="1:14" x14ac:dyDescent="0.2">
      <c r="A30" s="8" t="str">
        <f ca="1">IFERROR(INDEX(All_Risk_Apps!$A$4:$A$1233,_xludf.aggregate(15,6,(ROW(All_Risk_Apps!$A$4:$A$1233)-ROW(All_Risk_Apps!$A$4)+1)/(All_Risk_Apps!$J$4:$J$1233="Fast Follower")*(All_Risk_Apps!$A$4:$A$1233&lt;&gt;""),27)),"")</f>
        <v/>
      </c>
      <c r="B30" s="8" t="str">
        <f ca="1">IFERROR(INDEX(All_Risk_Apps!$B$4:$B$1233,_xludf.aggregate(15,6,(ROW(All_Risk_Apps!$A$4:$A$1233)-ROW(All_Risk_Apps!$A$4)+1)/(All_Risk_Apps!$J$4:$J$1233="Fast Follower")*(All_Risk_Apps!$A$4:$A$1233&lt;&gt;""),27)),"")</f>
        <v/>
      </c>
      <c r="C30" s="8" t="str">
        <f ca="1">IFERROR(INDEX(All_Risk_Apps!$D$4:$D$1233,_xludf.aggregate(15,6,(ROW(All_Risk_Apps!$A$4:$A$1233)-ROW(All_Risk_Apps!$A$4)+1)/(All_Risk_Apps!$J$4:$J$1233="Fast Follower")*(All_Risk_Apps!$A$4:$A$1233&lt;&gt;""),27)),"")</f>
        <v/>
      </c>
      <c r="D30" s="8" t="str">
        <f ca="1">IFERROR(INDEX(All_Risk_Apps!$C$4:$C$1233,_xludf.aggregate(15,6,(ROW(All_Risk_Apps!$A$4:$A$1233)-ROW(All_Risk_Apps!$A$4)+1)/(All_Risk_Apps!$J$4:$J$1233="Fast Follower")*(All_Risk_Apps!$A$4:$A$1233&lt;&gt;""),27)),"")</f>
        <v/>
      </c>
      <c r="E30" s="8" t="str">
        <f ca="1">IFERROR(INDEX(All_Risk_Apps!$E$4:$E$1233,_xludf.aggregate(15,6,(ROW(All_Risk_Apps!$A$4:$A$1233)-ROW(All_Risk_Apps!$A$4)+1)/(All_Risk_Apps!$J$4:$J$1233="Fast Follower")*(All_Risk_Apps!$A$4:$A$1233&lt;&gt;""),27)),"")</f>
        <v/>
      </c>
      <c r="F30" s="8" t="str">
        <f ca="1">IFERROR(INDEX(All_Risk_Apps!$F$4:$F$1233,_xludf.aggregate(15,6,(ROW(All_Risk_Apps!$A$4:$A$1233)-ROW(All_Risk_Apps!$A$4)+1)/(All_Risk_Apps!$J$4:$J$1233="Fast Follower")*(All_Risk_Apps!$A$4:$A$1233&lt;&gt;""),27)),"")</f>
        <v/>
      </c>
      <c r="G30" s="8" t="str">
        <f ca="1">IFERROR(INDEX(All_Risk_Apps!$I$4:$I$1233,_xludf.aggregate(15,6,(ROW(All_Risk_Apps!$A$4:$A$1233)-ROW(All_Risk_Apps!$A$4)+1)/(All_Risk_Apps!$J$4:$J$1233="Fast Follower")*(All_Risk_Apps!$A$4:$A$1233&lt;&gt;""),27)),"")</f>
        <v/>
      </c>
      <c r="H30" s="8" t="str">
        <f ca="1">IF(B30="","",IFERROR(INDEX(Server_Inventory!$R:$R,MATCH(B30,Server_Inventory!$Z:$Z,0)),"Not Found"))</f>
        <v/>
      </c>
      <c r="I30" s="8" t="str">
        <f ca="1">IF(B30="","",IFERROR(INDEX(Server_Inventory!$S:$S,MATCH(B30,Server_Inventory!$Z:$Z,0)),"Not Found"))</f>
        <v/>
      </c>
      <c r="J30" s="8" t="str">
        <f ca="1">IF(B30="","",COUNTIFS(Server_Inventory!$Z:$Z,B30,Server_Inventory!$P:$P,"R-RETIRED_IN_CMDB"))</f>
        <v/>
      </c>
      <c r="K30" s="8" t="str">
        <f ca="1">IF(B30="","",IFERROR(INDEX(Container_Inventory!$F:$F,MATCH(B30,Container_Inventory!$L:$L,0)),"Not Found"))</f>
        <v/>
      </c>
      <c r="L30" s="8" t="str">
        <f ca="1">IF(B30="","",IF(COUNTIF(Finding_List!$A:$A,B30)&gt;0,"Yes","No"))</f>
        <v/>
      </c>
      <c r="M30" s="8" t="str">
        <f ca="1">IF(B30="","",COUNTIF(Server_Inventory!$Z:$Z,B30))</f>
        <v/>
      </c>
      <c r="N30" s="8" t="str">
        <f ca="1">IF(B30="","",COUNTIF(Container_Inventory!$L:$L,B30))</f>
        <v/>
      </c>
    </row>
    <row r="31" spans="1:14" x14ac:dyDescent="0.2">
      <c r="A31" s="14" t="str">
        <f ca="1">IFERROR(INDEX(All_Risk_Apps!$A$4:$A$1233,_xludf.aggregate(15,6,(ROW(All_Risk_Apps!$A$4:$A$1233)-ROW(All_Risk_Apps!$A$4)+1)/(All_Risk_Apps!$J$4:$J$1233="Fast Follower")*(All_Risk_Apps!$A$4:$A$1233&lt;&gt;""),28)),"")</f>
        <v/>
      </c>
      <c r="B31" s="14" t="str">
        <f ca="1">IFERROR(INDEX(All_Risk_Apps!$B$4:$B$1233,_xludf.aggregate(15,6,(ROW(All_Risk_Apps!$A$4:$A$1233)-ROW(All_Risk_Apps!$A$4)+1)/(All_Risk_Apps!$J$4:$J$1233="Fast Follower")*(All_Risk_Apps!$A$4:$A$1233&lt;&gt;""),28)),"")</f>
        <v/>
      </c>
      <c r="C31" s="14" t="str">
        <f ca="1">IFERROR(INDEX(All_Risk_Apps!$D$4:$D$1233,_xludf.aggregate(15,6,(ROW(All_Risk_Apps!$A$4:$A$1233)-ROW(All_Risk_Apps!$A$4)+1)/(All_Risk_Apps!$J$4:$J$1233="Fast Follower")*(All_Risk_Apps!$A$4:$A$1233&lt;&gt;""),28)),"")</f>
        <v/>
      </c>
      <c r="D31" s="14" t="str">
        <f ca="1">IFERROR(INDEX(All_Risk_Apps!$C$4:$C$1233,_xludf.aggregate(15,6,(ROW(All_Risk_Apps!$A$4:$A$1233)-ROW(All_Risk_Apps!$A$4)+1)/(All_Risk_Apps!$J$4:$J$1233="Fast Follower")*(All_Risk_Apps!$A$4:$A$1233&lt;&gt;""),28)),"")</f>
        <v/>
      </c>
      <c r="E31" s="14" t="str">
        <f ca="1">IFERROR(INDEX(All_Risk_Apps!$E$4:$E$1233,_xludf.aggregate(15,6,(ROW(All_Risk_Apps!$A$4:$A$1233)-ROW(All_Risk_Apps!$A$4)+1)/(All_Risk_Apps!$J$4:$J$1233="Fast Follower")*(All_Risk_Apps!$A$4:$A$1233&lt;&gt;""),28)),"")</f>
        <v/>
      </c>
      <c r="F31" s="14" t="str">
        <f ca="1">IFERROR(INDEX(All_Risk_Apps!$F$4:$F$1233,_xludf.aggregate(15,6,(ROW(All_Risk_Apps!$A$4:$A$1233)-ROW(All_Risk_Apps!$A$4)+1)/(All_Risk_Apps!$J$4:$J$1233="Fast Follower")*(All_Risk_Apps!$A$4:$A$1233&lt;&gt;""),28)),"")</f>
        <v/>
      </c>
      <c r="G31" s="14" t="str">
        <f ca="1">IFERROR(INDEX(All_Risk_Apps!$I$4:$I$1233,_xludf.aggregate(15,6,(ROW(All_Risk_Apps!$A$4:$A$1233)-ROW(All_Risk_Apps!$A$4)+1)/(All_Risk_Apps!$J$4:$J$1233="Fast Follower")*(All_Risk_Apps!$A$4:$A$1233&lt;&gt;""),28)),"")</f>
        <v/>
      </c>
      <c r="H31" s="14" t="str">
        <f ca="1">IF(B31="","",IFERROR(INDEX(Server_Inventory!$R:$R,MATCH(B31,Server_Inventory!$Z:$Z,0)),"Not Found"))</f>
        <v/>
      </c>
      <c r="I31" s="14" t="str">
        <f ca="1">IF(B31="","",IFERROR(INDEX(Server_Inventory!$S:$S,MATCH(B31,Server_Inventory!$Z:$Z,0)),"Not Found"))</f>
        <v/>
      </c>
      <c r="J31" s="14" t="str">
        <f ca="1">IF(B31="","",COUNTIFS(Server_Inventory!$Z:$Z,B31,Server_Inventory!$P:$P,"R-RETIRED_IN_CMDB"))</f>
        <v/>
      </c>
      <c r="K31" s="14" t="str">
        <f ca="1">IF(B31="","",IFERROR(INDEX(Container_Inventory!$F:$F,MATCH(B31,Container_Inventory!$L:$L,0)),"Not Found"))</f>
        <v/>
      </c>
      <c r="L31" s="14" t="str">
        <f ca="1">IF(B31="","",IF(COUNTIF(Finding_List!$A:$A,B31)&gt;0,"Yes","No"))</f>
        <v/>
      </c>
      <c r="M31" s="14" t="str">
        <f ca="1">IF(B31="","",COUNTIF(Server_Inventory!$Z:$Z,B31))</f>
        <v/>
      </c>
      <c r="N31" s="14" t="str">
        <f ca="1">IF(B31="","",COUNTIF(Container_Inventory!$L:$L,B31))</f>
        <v/>
      </c>
    </row>
    <row r="32" spans="1:14" x14ac:dyDescent="0.2">
      <c r="A32" s="8" t="str">
        <f ca="1">IFERROR(INDEX(All_Risk_Apps!$A$4:$A$1233,_xludf.aggregate(15,6,(ROW(All_Risk_Apps!$A$4:$A$1233)-ROW(All_Risk_Apps!$A$4)+1)/(All_Risk_Apps!$J$4:$J$1233="Fast Follower")*(All_Risk_Apps!$A$4:$A$1233&lt;&gt;""),29)),"")</f>
        <v/>
      </c>
      <c r="B32" s="8" t="str">
        <f ca="1">IFERROR(INDEX(All_Risk_Apps!$B$4:$B$1233,_xludf.aggregate(15,6,(ROW(All_Risk_Apps!$A$4:$A$1233)-ROW(All_Risk_Apps!$A$4)+1)/(All_Risk_Apps!$J$4:$J$1233="Fast Follower")*(All_Risk_Apps!$A$4:$A$1233&lt;&gt;""),29)),"")</f>
        <v/>
      </c>
      <c r="C32" s="8" t="str">
        <f ca="1">IFERROR(INDEX(All_Risk_Apps!$D$4:$D$1233,_xludf.aggregate(15,6,(ROW(All_Risk_Apps!$A$4:$A$1233)-ROW(All_Risk_Apps!$A$4)+1)/(All_Risk_Apps!$J$4:$J$1233="Fast Follower")*(All_Risk_Apps!$A$4:$A$1233&lt;&gt;""),29)),"")</f>
        <v/>
      </c>
      <c r="D32" s="8" t="str">
        <f ca="1">IFERROR(INDEX(All_Risk_Apps!$C$4:$C$1233,_xludf.aggregate(15,6,(ROW(All_Risk_Apps!$A$4:$A$1233)-ROW(All_Risk_Apps!$A$4)+1)/(All_Risk_Apps!$J$4:$J$1233="Fast Follower")*(All_Risk_Apps!$A$4:$A$1233&lt;&gt;""),29)),"")</f>
        <v/>
      </c>
      <c r="E32" s="8" t="str">
        <f ca="1">IFERROR(INDEX(All_Risk_Apps!$E$4:$E$1233,_xludf.aggregate(15,6,(ROW(All_Risk_Apps!$A$4:$A$1233)-ROW(All_Risk_Apps!$A$4)+1)/(All_Risk_Apps!$J$4:$J$1233="Fast Follower")*(All_Risk_Apps!$A$4:$A$1233&lt;&gt;""),29)),"")</f>
        <v/>
      </c>
      <c r="F32" s="8" t="str">
        <f ca="1">IFERROR(INDEX(All_Risk_Apps!$F$4:$F$1233,_xludf.aggregate(15,6,(ROW(All_Risk_Apps!$A$4:$A$1233)-ROW(All_Risk_Apps!$A$4)+1)/(All_Risk_Apps!$J$4:$J$1233="Fast Follower")*(All_Risk_Apps!$A$4:$A$1233&lt;&gt;""),29)),"")</f>
        <v/>
      </c>
      <c r="G32" s="8" t="str">
        <f ca="1">IFERROR(INDEX(All_Risk_Apps!$I$4:$I$1233,_xludf.aggregate(15,6,(ROW(All_Risk_Apps!$A$4:$A$1233)-ROW(All_Risk_Apps!$A$4)+1)/(All_Risk_Apps!$J$4:$J$1233="Fast Follower")*(All_Risk_Apps!$A$4:$A$1233&lt;&gt;""),29)),"")</f>
        <v/>
      </c>
      <c r="H32" s="8" t="str">
        <f ca="1">IF(B32="","",IFERROR(INDEX(Server_Inventory!$R:$R,MATCH(B32,Server_Inventory!$Z:$Z,0)),"Not Found"))</f>
        <v/>
      </c>
      <c r="I32" s="8" t="str">
        <f ca="1">IF(B32="","",IFERROR(INDEX(Server_Inventory!$S:$S,MATCH(B32,Server_Inventory!$Z:$Z,0)),"Not Found"))</f>
        <v/>
      </c>
      <c r="J32" s="8" t="str">
        <f ca="1">IF(B32="","",COUNTIFS(Server_Inventory!$Z:$Z,B32,Server_Inventory!$P:$P,"R-RETIRED_IN_CMDB"))</f>
        <v/>
      </c>
      <c r="K32" s="8" t="str">
        <f ca="1">IF(B32="","",IFERROR(INDEX(Container_Inventory!$F:$F,MATCH(B32,Container_Inventory!$L:$L,0)),"Not Found"))</f>
        <v/>
      </c>
      <c r="L32" s="8" t="str">
        <f ca="1">IF(B32="","",IF(COUNTIF(Finding_List!$A:$A,B32)&gt;0,"Yes","No"))</f>
        <v/>
      </c>
      <c r="M32" s="8" t="str">
        <f ca="1">IF(B32="","",COUNTIF(Server_Inventory!$Z:$Z,B32))</f>
        <v/>
      </c>
      <c r="N32" s="8" t="str">
        <f ca="1">IF(B32="","",COUNTIF(Container_Inventory!$L:$L,B32))</f>
        <v/>
      </c>
    </row>
    <row r="33" spans="1:14" x14ac:dyDescent="0.2">
      <c r="A33" s="14" t="str">
        <f ca="1">IFERROR(INDEX(All_Risk_Apps!$A$4:$A$1233,_xludf.aggregate(15,6,(ROW(All_Risk_Apps!$A$4:$A$1233)-ROW(All_Risk_Apps!$A$4)+1)/(All_Risk_Apps!$J$4:$J$1233="Fast Follower")*(All_Risk_Apps!$A$4:$A$1233&lt;&gt;""),30)),"")</f>
        <v/>
      </c>
      <c r="B33" s="14" t="str">
        <f ca="1">IFERROR(INDEX(All_Risk_Apps!$B$4:$B$1233,_xludf.aggregate(15,6,(ROW(All_Risk_Apps!$A$4:$A$1233)-ROW(All_Risk_Apps!$A$4)+1)/(All_Risk_Apps!$J$4:$J$1233="Fast Follower")*(All_Risk_Apps!$A$4:$A$1233&lt;&gt;""),30)),"")</f>
        <v/>
      </c>
      <c r="C33" s="14" t="str">
        <f ca="1">IFERROR(INDEX(All_Risk_Apps!$D$4:$D$1233,_xludf.aggregate(15,6,(ROW(All_Risk_Apps!$A$4:$A$1233)-ROW(All_Risk_Apps!$A$4)+1)/(All_Risk_Apps!$J$4:$J$1233="Fast Follower")*(All_Risk_Apps!$A$4:$A$1233&lt;&gt;""),30)),"")</f>
        <v/>
      </c>
      <c r="D33" s="14" t="str">
        <f ca="1">IFERROR(INDEX(All_Risk_Apps!$C$4:$C$1233,_xludf.aggregate(15,6,(ROW(All_Risk_Apps!$A$4:$A$1233)-ROW(All_Risk_Apps!$A$4)+1)/(All_Risk_Apps!$J$4:$J$1233="Fast Follower")*(All_Risk_Apps!$A$4:$A$1233&lt;&gt;""),30)),"")</f>
        <v/>
      </c>
      <c r="E33" s="14" t="str">
        <f ca="1">IFERROR(INDEX(All_Risk_Apps!$E$4:$E$1233,_xludf.aggregate(15,6,(ROW(All_Risk_Apps!$A$4:$A$1233)-ROW(All_Risk_Apps!$A$4)+1)/(All_Risk_Apps!$J$4:$J$1233="Fast Follower")*(All_Risk_Apps!$A$4:$A$1233&lt;&gt;""),30)),"")</f>
        <v/>
      </c>
      <c r="F33" s="14" t="str">
        <f ca="1">IFERROR(INDEX(All_Risk_Apps!$F$4:$F$1233,_xludf.aggregate(15,6,(ROW(All_Risk_Apps!$A$4:$A$1233)-ROW(All_Risk_Apps!$A$4)+1)/(All_Risk_Apps!$J$4:$J$1233="Fast Follower")*(All_Risk_Apps!$A$4:$A$1233&lt;&gt;""),30)),"")</f>
        <v/>
      </c>
      <c r="G33" s="14" t="str">
        <f ca="1">IFERROR(INDEX(All_Risk_Apps!$I$4:$I$1233,_xludf.aggregate(15,6,(ROW(All_Risk_Apps!$A$4:$A$1233)-ROW(All_Risk_Apps!$A$4)+1)/(All_Risk_Apps!$J$4:$J$1233="Fast Follower")*(All_Risk_Apps!$A$4:$A$1233&lt;&gt;""),30)),"")</f>
        <v/>
      </c>
      <c r="H33" s="14" t="str">
        <f ca="1">IF(B33="","",IFERROR(INDEX(Server_Inventory!$R:$R,MATCH(B33,Server_Inventory!$Z:$Z,0)),"Not Found"))</f>
        <v/>
      </c>
      <c r="I33" s="14" t="str">
        <f ca="1">IF(B33="","",IFERROR(INDEX(Server_Inventory!$S:$S,MATCH(B33,Server_Inventory!$Z:$Z,0)),"Not Found"))</f>
        <v/>
      </c>
      <c r="J33" s="14" t="str">
        <f ca="1">IF(B33="","",COUNTIFS(Server_Inventory!$Z:$Z,B33,Server_Inventory!$P:$P,"R-RETIRED_IN_CMDB"))</f>
        <v/>
      </c>
      <c r="K33" s="14" t="str">
        <f ca="1">IF(B33="","",IFERROR(INDEX(Container_Inventory!$F:$F,MATCH(B33,Container_Inventory!$L:$L,0)),"Not Found"))</f>
        <v/>
      </c>
      <c r="L33" s="14" t="str">
        <f ca="1">IF(B33="","",IF(COUNTIF(Finding_List!$A:$A,B33)&gt;0,"Yes","No"))</f>
        <v/>
      </c>
      <c r="M33" s="14" t="str">
        <f ca="1">IF(B33="","",COUNTIF(Server_Inventory!$Z:$Z,B33))</f>
        <v/>
      </c>
      <c r="N33" s="14" t="str">
        <f ca="1">IF(B33="","",COUNTIF(Container_Inventory!$L:$L,B33))</f>
        <v/>
      </c>
    </row>
    <row r="34" spans="1:14" x14ac:dyDescent="0.2">
      <c r="A34" s="8" t="str">
        <f ca="1">IFERROR(INDEX(All_Risk_Apps!$A$4:$A$1233,_xludf.aggregate(15,6,(ROW(All_Risk_Apps!$A$4:$A$1233)-ROW(All_Risk_Apps!$A$4)+1)/(All_Risk_Apps!$J$4:$J$1233="Fast Follower")*(All_Risk_Apps!$A$4:$A$1233&lt;&gt;""),31)),"")</f>
        <v/>
      </c>
      <c r="B34" s="8" t="str">
        <f ca="1">IFERROR(INDEX(All_Risk_Apps!$B$4:$B$1233,_xludf.aggregate(15,6,(ROW(All_Risk_Apps!$A$4:$A$1233)-ROW(All_Risk_Apps!$A$4)+1)/(All_Risk_Apps!$J$4:$J$1233="Fast Follower")*(All_Risk_Apps!$A$4:$A$1233&lt;&gt;""),31)),"")</f>
        <v/>
      </c>
      <c r="C34" s="8" t="str">
        <f ca="1">IFERROR(INDEX(All_Risk_Apps!$D$4:$D$1233,_xludf.aggregate(15,6,(ROW(All_Risk_Apps!$A$4:$A$1233)-ROW(All_Risk_Apps!$A$4)+1)/(All_Risk_Apps!$J$4:$J$1233="Fast Follower")*(All_Risk_Apps!$A$4:$A$1233&lt;&gt;""),31)),"")</f>
        <v/>
      </c>
      <c r="D34" s="8" t="str">
        <f ca="1">IFERROR(INDEX(All_Risk_Apps!$C$4:$C$1233,_xludf.aggregate(15,6,(ROW(All_Risk_Apps!$A$4:$A$1233)-ROW(All_Risk_Apps!$A$4)+1)/(All_Risk_Apps!$J$4:$J$1233="Fast Follower")*(All_Risk_Apps!$A$4:$A$1233&lt;&gt;""),31)),"")</f>
        <v/>
      </c>
      <c r="E34" s="8" t="str">
        <f ca="1">IFERROR(INDEX(All_Risk_Apps!$E$4:$E$1233,_xludf.aggregate(15,6,(ROW(All_Risk_Apps!$A$4:$A$1233)-ROW(All_Risk_Apps!$A$4)+1)/(All_Risk_Apps!$J$4:$J$1233="Fast Follower")*(All_Risk_Apps!$A$4:$A$1233&lt;&gt;""),31)),"")</f>
        <v/>
      </c>
      <c r="F34" s="8" t="str">
        <f ca="1">IFERROR(INDEX(All_Risk_Apps!$F$4:$F$1233,_xludf.aggregate(15,6,(ROW(All_Risk_Apps!$A$4:$A$1233)-ROW(All_Risk_Apps!$A$4)+1)/(All_Risk_Apps!$J$4:$J$1233="Fast Follower")*(All_Risk_Apps!$A$4:$A$1233&lt;&gt;""),31)),"")</f>
        <v/>
      </c>
      <c r="G34" s="8" t="str">
        <f ca="1">IFERROR(INDEX(All_Risk_Apps!$I$4:$I$1233,_xludf.aggregate(15,6,(ROW(All_Risk_Apps!$A$4:$A$1233)-ROW(All_Risk_Apps!$A$4)+1)/(All_Risk_Apps!$J$4:$J$1233="Fast Follower")*(All_Risk_Apps!$A$4:$A$1233&lt;&gt;""),31)),"")</f>
        <v/>
      </c>
      <c r="H34" s="8" t="str">
        <f ca="1">IF(B34="","",IFERROR(INDEX(Server_Inventory!$R:$R,MATCH(B34,Server_Inventory!$Z:$Z,0)),"Not Found"))</f>
        <v/>
      </c>
      <c r="I34" s="8" t="str">
        <f ca="1">IF(B34="","",IFERROR(INDEX(Server_Inventory!$S:$S,MATCH(B34,Server_Inventory!$Z:$Z,0)),"Not Found"))</f>
        <v/>
      </c>
      <c r="J34" s="8" t="str">
        <f ca="1">IF(B34="","",COUNTIFS(Server_Inventory!$Z:$Z,B34,Server_Inventory!$P:$P,"R-RETIRED_IN_CMDB"))</f>
        <v/>
      </c>
      <c r="K34" s="8" t="str">
        <f ca="1">IF(B34="","",IFERROR(INDEX(Container_Inventory!$F:$F,MATCH(B34,Container_Inventory!$L:$L,0)),"Not Found"))</f>
        <v/>
      </c>
      <c r="L34" s="8" t="str">
        <f ca="1">IF(B34="","",IF(COUNTIF(Finding_List!$A:$A,B34)&gt;0,"Yes","No"))</f>
        <v/>
      </c>
      <c r="M34" s="8" t="str">
        <f ca="1">IF(B34="","",COUNTIF(Server_Inventory!$Z:$Z,B34))</f>
        <v/>
      </c>
      <c r="N34" s="8" t="str">
        <f ca="1">IF(B34="","",COUNTIF(Container_Inventory!$L:$L,B34))</f>
        <v/>
      </c>
    </row>
    <row r="35" spans="1:14" x14ac:dyDescent="0.2">
      <c r="A35" s="14" t="str">
        <f ca="1">IFERROR(INDEX(All_Risk_Apps!$A$4:$A$1233,_xludf.aggregate(15,6,(ROW(All_Risk_Apps!$A$4:$A$1233)-ROW(All_Risk_Apps!$A$4)+1)/(All_Risk_Apps!$J$4:$J$1233="Fast Follower")*(All_Risk_Apps!$A$4:$A$1233&lt;&gt;""),32)),"")</f>
        <v/>
      </c>
      <c r="B35" s="14" t="str">
        <f ca="1">IFERROR(INDEX(All_Risk_Apps!$B$4:$B$1233,_xludf.aggregate(15,6,(ROW(All_Risk_Apps!$A$4:$A$1233)-ROW(All_Risk_Apps!$A$4)+1)/(All_Risk_Apps!$J$4:$J$1233="Fast Follower")*(All_Risk_Apps!$A$4:$A$1233&lt;&gt;""),32)),"")</f>
        <v/>
      </c>
      <c r="C35" s="14" t="str">
        <f ca="1">IFERROR(INDEX(All_Risk_Apps!$D$4:$D$1233,_xludf.aggregate(15,6,(ROW(All_Risk_Apps!$A$4:$A$1233)-ROW(All_Risk_Apps!$A$4)+1)/(All_Risk_Apps!$J$4:$J$1233="Fast Follower")*(All_Risk_Apps!$A$4:$A$1233&lt;&gt;""),32)),"")</f>
        <v/>
      </c>
      <c r="D35" s="14" t="str">
        <f ca="1">IFERROR(INDEX(All_Risk_Apps!$C$4:$C$1233,_xludf.aggregate(15,6,(ROW(All_Risk_Apps!$A$4:$A$1233)-ROW(All_Risk_Apps!$A$4)+1)/(All_Risk_Apps!$J$4:$J$1233="Fast Follower")*(All_Risk_Apps!$A$4:$A$1233&lt;&gt;""),32)),"")</f>
        <v/>
      </c>
      <c r="E35" s="14" t="str">
        <f ca="1">IFERROR(INDEX(All_Risk_Apps!$E$4:$E$1233,_xludf.aggregate(15,6,(ROW(All_Risk_Apps!$A$4:$A$1233)-ROW(All_Risk_Apps!$A$4)+1)/(All_Risk_Apps!$J$4:$J$1233="Fast Follower")*(All_Risk_Apps!$A$4:$A$1233&lt;&gt;""),32)),"")</f>
        <v/>
      </c>
      <c r="F35" s="14" t="str">
        <f ca="1">IFERROR(INDEX(All_Risk_Apps!$F$4:$F$1233,_xludf.aggregate(15,6,(ROW(All_Risk_Apps!$A$4:$A$1233)-ROW(All_Risk_Apps!$A$4)+1)/(All_Risk_Apps!$J$4:$J$1233="Fast Follower")*(All_Risk_Apps!$A$4:$A$1233&lt;&gt;""),32)),"")</f>
        <v/>
      </c>
      <c r="G35" s="14" t="str">
        <f ca="1">IFERROR(INDEX(All_Risk_Apps!$I$4:$I$1233,_xludf.aggregate(15,6,(ROW(All_Risk_Apps!$A$4:$A$1233)-ROW(All_Risk_Apps!$A$4)+1)/(All_Risk_Apps!$J$4:$J$1233="Fast Follower")*(All_Risk_Apps!$A$4:$A$1233&lt;&gt;""),32)),"")</f>
        <v/>
      </c>
      <c r="H35" s="14" t="str">
        <f ca="1">IF(B35="","",IFERROR(INDEX(Server_Inventory!$R:$R,MATCH(B35,Server_Inventory!$Z:$Z,0)),"Not Found"))</f>
        <v/>
      </c>
      <c r="I35" s="14" t="str">
        <f ca="1">IF(B35="","",IFERROR(INDEX(Server_Inventory!$S:$S,MATCH(B35,Server_Inventory!$Z:$Z,0)),"Not Found"))</f>
        <v/>
      </c>
      <c r="J35" s="14" t="str">
        <f ca="1">IF(B35="","",COUNTIFS(Server_Inventory!$Z:$Z,B35,Server_Inventory!$P:$P,"R-RETIRED_IN_CMDB"))</f>
        <v/>
      </c>
      <c r="K35" s="14" t="str">
        <f ca="1">IF(B35="","",IFERROR(INDEX(Container_Inventory!$F:$F,MATCH(B35,Container_Inventory!$L:$L,0)),"Not Found"))</f>
        <v/>
      </c>
      <c r="L35" s="14" t="str">
        <f ca="1">IF(B35="","",IF(COUNTIF(Finding_List!$A:$A,B35)&gt;0,"Yes","No"))</f>
        <v/>
      </c>
      <c r="M35" s="14" t="str">
        <f ca="1">IF(B35="","",COUNTIF(Server_Inventory!$Z:$Z,B35))</f>
        <v/>
      </c>
      <c r="N35" s="14" t="str">
        <f ca="1">IF(B35="","",COUNTIF(Container_Inventory!$L:$L,B35))</f>
        <v/>
      </c>
    </row>
    <row r="36" spans="1:14" x14ac:dyDescent="0.2">
      <c r="A36" s="8" t="str">
        <f ca="1">IFERROR(INDEX(All_Risk_Apps!$A$4:$A$1233,_xludf.aggregate(15,6,(ROW(All_Risk_Apps!$A$4:$A$1233)-ROW(All_Risk_Apps!$A$4)+1)/(All_Risk_Apps!$J$4:$J$1233="Fast Follower")*(All_Risk_Apps!$A$4:$A$1233&lt;&gt;""),33)),"")</f>
        <v/>
      </c>
      <c r="B36" s="8" t="str">
        <f ca="1">IFERROR(INDEX(All_Risk_Apps!$B$4:$B$1233,_xludf.aggregate(15,6,(ROW(All_Risk_Apps!$A$4:$A$1233)-ROW(All_Risk_Apps!$A$4)+1)/(All_Risk_Apps!$J$4:$J$1233="Fast Follower")*(All_Risk_Apps!$A$4:$A$1233&lt;&gt;""),33)),"")</f>
        <v/>
      </c>
      <c r="C36" s="8" t="str">
        <f ca="1">IFERROR(INDEX(All_Risk_Apps!$D$4:$D$1233,_xludf.aggregate(15,6,(ROW(All_Risk_Apps!$A$4:$A$1233)-ROW(All_Risk_Apps!$A$4)+1)/(All_Risk_Apps!$J$4:$J$1233="Fast Follower")*(All_Risk_Apps!$A$4:$A$1233&lt;&gt;""),33)),"")</f>
        <v/>
      </c>
      <c r="D36" s="8" t="str">
        <f ca="1">IFERROR(INDEX(All_Risk_Apps!$C$4:$C$1233,_xludf.aggregate(15,6,(ROW(All_Risk_Apps!$A$4:$A$1233)-ROW(All_Risk_Apps!$A$4)+1)/(All_Risk_Apps!$J$4:$J$1233="Fast Follower")*(All_Risk_Apps!$A$4:$A$1233&lt;&gt;""),33)),"")</f>
        <v/>
      </c>
      <c r="E36" s="8" t="str">
        <f ca="1">IFERROR(INDEX(All_Risk_Apps!$E$4:$E$1233,_xludf.aggregate(15,6,(ROW(All_Risk_Apps!$A$4:$A$1233)-ROW(All_Risk_Apps!$A$4)+1)/(All_Risk_Apps!$J$4:$J$1233="Fast Follower")*(All_Risk_Apps!$A$4:$A$1233&lt;&gt;""),33)),"")</f>
        <v/>
      </c>
      <c r="F36" s="8" t="str">
        <f ca="1">IFERROR(INDEX(All_Risk_Apps!$F$4:$F$1233,_xludf.aggregate(15,6,(ROW(All_Risk_Apps!$A$4:$A$1233)-ROW(All_Risk_Apps!$A$4)+1)/(All_Risk_Apps!$J$4:$J$1233="Fast Follower")*(All_Risk_Apps!$A$4:$A$1233&lt;&gt;""),33)),"")</f>
        <v/>
      </c>
      <c r="G36" s="8" t="str">
        <f ca="1">IFERROR(INDEX(All_Risk_Apps!$I$4:$I$1233,_xludf.aggregate(15,6,(ROW(All_Risk_Apps!$A$4:$A$1233)-ROW(All_Risk_Apps!$A$4)+1)/(All_Risk_Apps!$J$4:$J$1233="Fast Follower")*(All_Risk_Apps!$A$4:$A$1233&lt;&gt;""),33)),"")</f>
        <v/>
      </c>
      <c r="H36" s="8" t="str">
        <f ca="1">IF(B36="","",IFERROR(INDEX(Server_Inventory!$R:$R,MATCH(B36,Server_Inventory!$Z:$Z,0)),"Not Found"))</f>
        <v/>
      </c>
      <c r="I36" s="8" t="str">
        <f ca="1">IF(B36="","",IFERROR(INDEX(Server_Inventory!$S:$S,MATCH(B36,Server_Inventory!$Z:$Z,0)),"Not Found"))</f>
        <v/>
      </c>
      <c r="J36" s="8" t="str">
        <f ca="1">IF(B36="","",COUNTIFS(Server_Inventory!$Z:$Z,B36,Server_Inventory!$P:$P,"R-RETIRED_IN_CMDB"))</f>
        <v/>
      </c>
      <c r="K36" s="8" t="str">
        <f ca="1">IF(B36="","",IFERROR(INDEX(Container_Inventory!$F:$F,MATCH(B36,Container_Inventory!$L:$L,0)),"Not Found"))</f>
        <v/>
      </c>
      <c r="L36" s="8" t="str">
        <f ca="1">IF(B36="","",IF(COUNTIF(Finding_List!$A:$A,B36)&gt;0,"Yes","No"))</f>
        <v/>
      </c>
      <c r="M36" s="8" t="str">
        <f ca="1">IF(B36="","",COUNTIF(Server_Inventory!$Z:$Z,B36))</f>
        <v/>
      </c>
      <c r="N36" s="8" t="str">
        <f ca="1">IF(B36="","",COUNTIF(Container_Inventory!$L:$L,B36))</f>
        <v/>
      </c>
    </row>
    <row r="37" spans="1:14" x14ac:dyDescent="0.2">
      <c r="A37" s="14" t="str">
        <f ca="1">IFERROR(INDEX(All_Risk_Apps!$A$4:$A$1233,_xludf.aggregate(15,6,(ROW(All_Risk_Apps!$A$4:$A$1233)-ROW(All_Risk_Apps!$A$4)+1)/(All_Risk_Apps!$J$4:$J$1233="Fast Follower")*(All_Risk_Apps!$A$4:$A$1233&lt;&gt;""),34)),"")</f>
        <v/>
      </c>
      <c r="B37" s="14" t="str">
        <f ca="1">IFERROR(INDEX(All_Risk_Apps!$B$4:$B$1233,_xludf.aggregate(15,6,(ROW(All_Risk_Apps!$A$4:$A$1233)-ROW(All_Risk_Apps!$A$4)+1)/(All_Risk_Apps!$J$4:$J$1233="Fast Follower")*(All_Risk_Apps!$A$4:$A$1233&lt;&gt;""),34)),"")</f>
        <v/>
      </c>
      <c r="C37" s="14" t="str">
        <f ca="1">IFERROR(INDEX(All_Risk_Apps!$D$4:$D$1233,_xludf.aggregate(15,6,(ROW(All_Risk_Apps!$A$4:$A$1233)-ROW(All_Risk_Apps!$A$4)+1)/(All_Risk_Apps!$J$4:$J$1233="Fast Follower")*(All_Risk_Apps!$A$4:$A$1233&lt;&gt;""),34)),"")</f>
        <v/>
      </c>
      <c r="D37" s="14" t="str">
        <f ca="1">IFERROR(INDEX(All_Risk_Apps!$C$4:$C$1233,_xludf.aggregate(15,6,(ROW(All_Risk_Apps!$A$4:$A$1233)-ROW(All_Risk_Apps!$A$4)+1)/(All_Risk_Apps!$J$4:$J$1233="Fast Follower")*(All_Risk_Apps!$A$4:$A$1233&lt;&gt;""),34)),"")</f>
        <v/>
      </c>
      <c r="E37" s="14" t="str">
        <f ca="1">IFERROR(INDEX(All_Risk_Apps!$E$4:$E$1233,_xludf.aggregate(15,6,(ROW(All_Risk_Apps!$A$4:$A$1233)-ROW(All_Risk_Apps!$A$4)+1)/(All_Risk_Apps!$J$4:$J$1233="Fast Follower")*(All_Risk_Apps!$A$4:$A$1233&lt;&gt;""),34)),"")</f>
        <v/>
      </c>
      <c r="F37" s="14" t="str">
        <f ca="1">IFERROR(INDEX(All_Risk_Apps!$F$4:$F$1233,_xludf.aggregate(15,6,(ROW(All_Risk_Apps!$A$4:$A$1233)-ROW(All_Risk_Apps!$A$4)+1)/(All_Risk_Apps!$J$4:$J$1233="Fast Follower")*(All_Risk_Apps!$A$4:$A$1233&lt;&gt;""),34)),"")</f>
        <v/>
      </c>
      <c r="G37" s="14" t="str">
        <f ca="1">IFERROR(INDEX(All_Risk_Apps!$I$4:$I$1233,_xludf.aggregate(15,6,(ROW(All_Risk_Apps!$A$4:$A$1233)-ROW(All_Risk_Apps!$A$4)+1)/(All_Risk_Apps!$J$4:$J$1233="Fast Follower")*(All_Risk_Apps!$A$4:$A$1233&lt;&gt;""),34)),"")</f>
        <v/>
      </c>
      <c r="H37" s="14" t="str">
        <f ca="1">IF(B37="","",IFERROR(INDEX(Server_Inventory!$R:$R,MATCH(B37,Server_Inventory!$Z:$Z,0)),"Not Found"))</f>
        <v/>
      </c>
      <c r="I37" s="14" t="str">
        <f ca="1">IF(B37="","",IFERROR(INDEX(Server_Inventory!$S:$S,MATCH(B37,Server_Inventory!$Z:$Z,0)),"Not Found"))</f>
        <v/>
      </c>
      <c r="J37" s="14" t="str">
        <f ca="1">IF(B37="","",COUNTIFS(Server_Inventory!$Z:$Z,B37,Server_Inventory!$P:$P,"R-RETIRED_IN_CMDB"))</f>
        <v/>
      </c>
      <c r="K37" s="14" t="str">
        <f ca="1">IF(B37="","",IFERROR(INDEX(Container_Inventory!$F:$F,MATCH(B37,Container_Inventory!$L:$L,0)),"Not Found"))</f>
        <v/>
      </c>
      <c r="L37" s="14" t="str">
        <f ca="1">IF(B37="","",IF(COUNTIF(Finding_List!$A:$A,B37)&gt;0,"Yes","No"))</f>
        <v/>
      </c>
      <c r="M37" s="14" t="str">
        <f ca="1">IF(B37="","",COUNTIF(Server_Inventory!$Z:$Z,B37))</f>
        <v/>
      </c>
      <c r="N37" s="14" t="str">
        <f ca="1">IF(B37="","",COUNTIF(Container_Inventory!$L:$L,B37))</f>
        <v/>
      </c>
    </row>
    <row r="38" spans="1:14" x14ac:dyDescent="0.2">
      <c r="A38" s="8" t="str">
        <f ca="1">IFERROR(INDEX(All_Risk_Apps!$A$4:$A$1233,_xludf.aggregate(15,6,(ROW(All_Risk_Apps!$A$4:$A$1233)-ROW(All_Risk_Apps!$A$4)+1)/(All_Risk_Apps!$J$4:$J$1233="Fast Follower")*(All_Risk_Apps!$A$4:$A$1233&lt;&gt;""),35)),"")</f>
        <v/>
      </c>
      <c r="B38" s="8" t="str">
        <f ca="1">IFERROR(INDEX(All_Risk_Apps!$B$4:$B$1233,_xludf.aggregate(15,6,(ROW(All_Risk_Apps!$A$4:$A$1233)-ROW(All_Risk_Apps!$A$4)+1)/(All_Risk_Apps!$J$4:$J$1233="Fast Follower")*(All_Risk_Apps!$A$4:$A$1233&lt;&gt;""),35)),"")</f>
        <v/>
      </c>
      <c r="C38" s="8" t="str">
        <f ca="1">IFERROR(INDEX(All_Risk_Apps!$D$4:$D$1233,_xludf.aggregate(15,6,(ROW(All_Risk_Apps!$A$4:$A$1233)-ROW(All_Risk_Apps!$A$4)+1)/(All_Risk_Apps!$J$4:$J$1233="Fast Follower")*(All_Risk_Apps!$A$4:$A$1233&lt;&gt;""),35)),"")</f>
        <v/>
      </c>
      <c r="D38" s="8" t="str">
        <f ca="1">IFERROR(INDEX(All_Risk_Apps!$C$4:$C$1233,_xludf.aggregate(15,6,(ROW(All_Risk_Apps!$A$4:$A$1233)-ROW(All_Risk_Apps!$A$4)+1)/(All_Risk_Apps!$J$4:$J$1233="Fast Follower")*(All_Risk_Apps!$A$4:$A$1233&lt;&gt;""),35)),"")</f>
        <v/>
      </c>
      <c r="E38" s="8" t="str">
        <f ca="1">IFERROR(INDEX(All_Risk_Apps!$E$4:$E$1233,_xludf.aggregate(15,6,(ROW(All_Risk_Apps!$A$4:$A$1233)-ROW(All_Risk_Apps!$A$4)+1)/(All_Risk_Apps!$J$4:$J$1233="Fast Follower")*(All_Risk_Apps!$A$4:$A$1233&lt;&gt;""),35)),"")</f>
        <v/>
      </c>
      <c r="F38" s="8" t="str">
        <f ca="1">IFERROR(INDEX(All_Risk_Apps!$F$4:$F$1233,_xludf.aggregate(15,6,(ROW(All_Risk_Apps!$A$4:$A$1233)-ROW(All_Risk_Apps!$A$4)+1)/(All_Risk_Apps!$J$4:$J$1233="Fast Follower")*(All_Risk_Apps!$A$4:$A$1233&lt;&gt;""),35)),"")</f>
        <v/>
      </c>
      <c r="G38" s="8" t="str">
        <f ca="1">IFERROR(INDEX(All_Risk_Apps!$I$4:$I$1233,_xludf.aggregate(15,6,(ROW(All_Risk_Apps!$A$4:$A$1233)-ROW(All_Risk_Apps!$A$4)+1)/(All_Risk_Apps!$J$4:$J$1233="Fast Follower")*(All_Risk_Apps!$A$4:$A$1233&lt;&gt;""),35)),"")</f>
        <v/>
      </c>
      <c r="H38" s="8" t="str">
        <f ca="1">IF(B38="","",IFERROR(INDEX(Server_Inventory!$R:$R,MATCH(B38,Server_Inventory!$Z:$Z,0)),"Not Found"))</f>
        <v/>
      </c>
      <c r="I38" s="8" t="str">
        <f ca="1">IF(B38="","",IFERROR(INDEX(Server_Inventory!$S:$S,MATCH(B38,Server_Inventory!$Z:$Z,0)),"Not Found"))</f>
        <v/>
      </c>
      <c r="J38" s="8" t="str">
        <f ca="1">IF(B38="","",COUNTIFS(Server_Inventory!$Z:$Z,B38,Server_Inventory!$P:$P,"R-RETIRED_IN_CMDB"))</f>
        <v/>
      </c>
      <c r="K38" s="8" t="str">
        <f ca="1">IF(B38="","",IFERROR(INDEX(Container_Inventory!$F:$F,MATCH(B38,Container_Inventory!$L:$L,0)),"Not Found"))</f>
        <v/>
      </c>
      <c r="L38" s="8" t="str">
        <f ca="1">IF(B38="","",IF(COUNTIF(Finding_List!$A:$A,B38)&gt;0,"Yes","No"))</f>
        <v/>
      </c>
      <c r="M38" s="8" t="str">
        <f ca="1">IF(B38="","",COUNTIF(Server_Inventory!$Z:$Z,B38))</f>
        <v/>
      </c>
      <c r="N38" s="8" t="str">
        <f ca="1">IF(B38="","",COUNTIF(Container_Inventory!$L:$L,B38))</f>
        <v/>
      </c>
    </row>
    <row r="39" spans="1:14" x14ac:dyDescent="0.2">
      <c r="A39" s="14" t="str">
        <f ca="1">IFERROR(INDEX(All_Risk_Apps!$A$4:$A$1233,_xludf.aggregate(15,6,(ROW(All_Risk_Apps!$A$4:$A$1233)-ROW(All_Risk_Apps!$A$4)+1)/(All_Risk_Apps!$J$4:$J$1233="Fast Follower")*(All_Risk_Apps!$A$4:$A$1233&lt;&gt;""),36)),"")</f>
        <v/>
      </c>
      <c r="B39" s="14" t="str">
        <f ca="1">IFERROR(INDEX(All_Risk_Apps!$B$4:$B$1233,_xludf.aggregate(15,6,(ROW(All_Risk_Apps!$A$4:$A$1233)-ROW(All_Risk_Apps!$A$4)+1)/(All_Risk_Apps!$J$4:$J$1233="Fast Follower")*(All_Risk_Apps!$A$4:$A$1233&lt;&gt;""),36)),"")</f>
        <v/>
      </c>
      <c r="C39" s="14" t="str">
        <f ca="1">IFERROR(INDEX(All_Risk_Apps!$D$4:$D$1233,_xludf.aggregate(15,6,(ROW(All_Risk_Apps!$A$4:$A$1233)-ROW(All_Risk_Apps!$A$4)+1)/(All_Risk_Apps!$J$4:$J$1233="Fast Follower")*(All_Risk_Apps!$A$4:$A$1233&lt;&gt;""),36)),"")</f>
        <v/>
      </c>
      <c r="D39" s="14" t="str">
        <f ca="1">IFERROR(INDEX(All_Risk_Apps!$C$4:$C$1233,_xludf.aggregate(15,6,(ROW(All_Risk_Apps!$A$4:$A$1233)-ROW(All_Risk_Apps!$A$4)+1)/(All_Risk_Apps!$J$4:$J$1233="Fast Follower")*(All_Risk_Apps!$A$4:$A$1233&lt;&gt;""),36)),"")</f>
        <v/>
      </c>
      <c r="E39" s="14" t="str">
        <f ca="1">IFERROR(INDEX(All_Risk_Apps!$E$4:$E$1233,_xludf.aggregate(15,6,(ROW(All_Risk_Apps!$A$4:$A$1233)-ROW(All_Risk_Apps!$A$4)+1)/(All_Risk_Apps!$J$4:$J$1233="Fast Follower")*(All_Risk_Apps!$A$4:$A$1233&lt;&gt;""),36)),"")</f>
        <v/>
      </c>
      <c r="F39" s="14" t="str">
        <f ca="1">IFERROR(INDEX(All_Risk_Apps!$F$4:$F$1233,_xludf.aggregate(15,6,(ROW(All_Risk_Apps!$A$4:$A$1233)-ROW(All_Risk_Apps!$A$4)+1)/(All_Risk_Apps!$J$4:$J$1233="Fast Follower")*(All_Risk_Apps!$A$4:$A$1233&lt;&gt;""),36)),"")</f>
        <v/>
      </c>
      <c r="G39" s="14" t="str">
        <f ca="1">IFERROR(INDEX(All_Risk_Apps!$I$4:$I$1233,_xludf.aggregate(15,6,(ROW(All_Risk_Apps!$A$4:$A$1233)-ROW(All_Risk_Apps!$A$4)+1)/(All_Risk_Apps!$J$4:$J$1233="Fast Follower")*(All_Risk_Apps!$A$4:$A$1233&lt;&gt;""),36)),"")</f>
        <v/>
      </c>
      <c r="H39" s="14" t="str">
        <f ca="1">IF(B39="","",IFERROR(INDEX(Server_Inventory!$R:$R,MATCH(B39,Server_Inventory!$Z:$Z,0)),"Not Found"))</f>
        <v/>
      </c>
      <c r="I39" s="14" t="str">
        <f ca="1">IF(B39="","",IFERROR(INDEX(Server_Inventory!$S:$S,MATCH(B39,Server_Inventory!$Z:$Z,0)),"Not Found"))</f>
        <v/>
      </c>
      <c r="J39" s="14" t="str">
        <f ca="1">IF(B39="","",COUNTIFS(Server_Inventory!$Z:$Z,B39,Server_Inventory!$P:$P,"R-RETIRED_IN_CMDB"))</f>
        <v/>
      </c>
      <c r="K39" s="14" t="str">
        <f ca="1">IF(B39="","",IFERROR(INDEX(Container_Inventory!$F:$F,MATCH(B39,Container_Inventory!$L:$L,0)),"Not Found"))</f>
        <v/>
      </c>
      <c r="L39" s="14" t="str">
        <f ca="1">IF(B39="","",IF(COUNTIF(Finding_List!$A:$A,B39)&gt;0,"Yes","No"))</f>
        <v/>
      </c>
      <c r="M39" s="14" t="str">
        <f ca="1">IF(B39="","",COUNTIF(Server_Inventory!$Z:$Z,B39))</f>
        <v/>
      </c>
      <c r="N39" s="14" t="str">
        <f ca="1">IF(B39="","",COUNTIF(Container_Inventory!$L:$L,B39))</f>
        <v/>
      </c>
    </row>
    <row r="40" spans="1:14" x14ac:dyDescent="0.2">
      <c r="A40" s="8" t="str">
        <f ca="1">IFERROR(INDEX(All_Risk_Apps!$A$4:$A$1233,_xludf.aggregate(15,6,(ROW(All_Risk_Apps!$A$4:$A$1233)-ROW(All_Risk_Apps!$A$4)+1)/(All_Risk_Apps!$J$4:$J$1233="Fast Follower")*(All_Risk_Apps!$A$4:$A$1233&lt;&gt;""),37)),"")</f>
        <v/>
      </c>
      <c r="B40" s="8" t="str">
        <f ca="1">IFERROR(INDEX(All_Risk_Apps!$B$4:$B$1233,_xludf.aggregate(15,6,(ROW(All_Risk_Apps!$A$4:$A$1233)-ROW(All_Risk_Apps!$A$4)+1)/(All_Risk_Apps!$J$4:$J$1233="Fast Follower")*(All_Risk_Apps!$A$4:$A$1233&lt;&gt;""),37)),"")</f>
        <v/>
      </c>
      <c r="C40" s="8" t="str">
        <f ca="1">IFERROR(INDEX(All_Risk_Apps!$D$4:$D$1233,_xludf.aggregate(15,6,(ROW(All_Risk_Apps!$A$4:$A$1233)-ROW(All_Risk_Apps!$A$4)+1)/(All_Risk_Apps!$J$4:$J$1233="Fast Follower")*(All_Risk_Apps!$A$4:$A$1233&lt;&gt;""),37)),"")</f>
        <v/>
      </c>
      <c r="D40" s="8" t="str">
        <f ca="1">IFERROR(INDEX(All_Risk_Apps!$C$4:$C$1233,_xludf.aggregate(15,6,(ROW(All_Risk_Apps!$A$4:$A$1233)-ROW(All_Risk_Apps!$A$4)+1)/(All_Risk_Apps!$J$4:$J$1233="Fast Follower")*(All_Risk_Apps!$A$4:$A$1233&lt;&gt;""),37)),"")</f>
        <v/>
      </c>
      <c r="E40" s="8" t="str">
        <f ca="1">IFERROR(INDEX(All_Risk_Apps!$E$4:$E$1233,_xludf.aggregate(15,6,(ROW(All_Risk_Apps!$A$4:$A$1233)-ROW(All_Risk_Apps!$A$4)+1)/(All_Risk_Apps!$J$4:$J$1233="Fast Follower")*(All_Risk_Apps!$A$4:$A$1233&lt;&gt;""),37)),"")</f>
        <v/>
      </c>
      <c r="F40" s="8" t="str">
        <f ca="1">IFERROR(INDEX(All_Risk_Apps!$F$4:$F$1233,_xludf.aggregate(15,6,(ROW(All_Risk_Apps!$A$4:$A$1233)-ROW(All_Risk_Apps!$A$4)+1)/(All_Risk_Apps!$J$4:$J$1233="Fast Follower")*(All_Risk_Apps!$A$4:$A$1233&lt;&gt;""),37)),"")</f>
        <v/>
      </c>
      <c r="G40" s="8" t="str">
        <f ca="1">IFERROR(INDEX(All_Risk_Apps!$I$4:$I$1233,_xludf.aggregate(15,6,(ROW(All_Risk_Apps!$A$4:$A$1233)-ROW(All_Risk_Apps!$A$4)+1)/(All_Risk_Apps!$J$4:$J$1233="Fast Follower")*(All_Risk_Apps!$A$4:$A$1233&lt;&gt;""),37)),"")</f>
        <v/>
      </c>
      <c r="H40" s="8" t="str">
        <f ca="1">IF(B40="","",IFERROR(INDEX(Server_Inventory!$R:$R,MATCH(B40,Server_Inventory!$Z:$Z,0)),"Not Found"))</f>
        <v/>
      </c>
      <c r="I40" s="8" t="str">
        <f ca="1">IF(B40="","",IFERROR(INDEX(Server_Inventory!$S:$S,MATCH(B40,Server_Inventory!$Z:$Z,0)),"Not Found"))</f>
        <v/>
      </c>
      <c r="J40" s="8" t="str">
        <f ca="1">IF(B40="","",COUNTIFS(Server_Inventory!$Z:$Z,B40,Server_Inventory!$P:$P,"R-RETIRED_IN_CMDB"))</f>
        <v/>
      </c>
      <c r="K40" s="8" t="str">
        <f ca="1">IF(B40="","",IFERROR(INDEX(Container_Inventory!$F:$F,MATCH(B40,Container_Inventory!$L:$L,0)),"Not Found"))</f>
        <v/>
      </c>
      <c r="L40" s="8" t="str">
        <f ca="1">IF(B40="","",IF(COUNTIF(Finding_List!$A:$A,B40)&gt;0,"Yes","No"))</f>
        <v/>
      </c>
      <c r="M40" s="8" t="str">
        <f ca="1">IF(B40="","",COUNTIF(Server_Inventory!$Z:$Z,B40))</f>
        <v/>
      </c>
      <c r="N40" s="8" t="str">
        <f ca="1">IF(B40="","",COUNTIF(Container_Inventory!$L:$L,B40))</f>
        <v/>
      </c>
    </row>
    <row r="41" spans="1:14" x14ac:dyDescent="0.2">
      <c r="A41" s="14" t="str">
        <f ca="1">IFERROR(INDEX(All_Risk_Apps!$A$4:$A$1233,_xludf.aggregate(15,6,(ROW(All_Risk_Apps!$A$4:$A$1233)-ROW(All_Risk_Apps!$A$4)+1)/(All_Risk_Apps!$J$4:$J$1233="Fast Follower")*(All_Risk_Apps!$A$4:$A$1233&lt;&gt;""),38)),"")</f>
        <v/>
      </c>
      <c r="B41" s="14" t="str">
        <f ca="1">IFERROR(INDEX(All_Risk_Apps!$B$4:$B$1233,_xludf.aggregate(15,6,(ROW(All_Risk_Apps!$A$4:$A$1233)-ROW(All_Risk_Apps!$A$4)+1)/(All_Risk_Apps!$J$4:$J$1233="Fast Follower")*(All_Risk_Apps!$A$4:$A$1233&lt;&gt;""),38)),"")</f>
        <v/>
      </c>
      <c r="C41" s="14" t="str">
        <f ca="1">IFERROR(INDEX(All_Risk_Apps!$D$4:$D$1233,_xludf.aggregate(15,6,(ROW(All_Risk_Apps!$A$4:$A$1233)-ROW(All_Risk_Apps!$A$4)+1)/(All_Risk_Apps!$J$4:$J$1233="Fast Follower")*(All_Risk_Apps!$A$4:$A$1233&lt;&gt;""),38)),"")</f>
        <v/>
      </c>
      <c r="D41" s="14" t="str">
        <f ca="1">IFERROR(INDEX(All_Risk_Apps!$C$4:$C$1233,_xludf.aggregate(15,6,(ROW(All_Risk_Apps!$A$4:$A$1233)-ROW(All_Risk_Apps!$A$4)+1)/(All_Risk_Apps!$J$4:$J$1233="Fast Follower")*(All_Risk_Apps!$A$4:$A$1233&lt;&gt;""),38)),"")</f>
        <v/>
      </c>
      <c r="E41" s="14" t="str">
        <f ca="1">IFERROR(INDEX(All_Risk_Apps!$E$4:$E$1233,_xludf.aggregate(15,6,(ROW(All_Risk_Apps!$A$4:$A$1233)-ROW(All_Risk_Apps!$A$4)+1)/(All_Risk_Apps!$J$4:$J$1233="Fast Follower")*(All_Risk_Apps!$A$4:$A$1233&lt;&gt;""),38)),"")</f>
        <v/>
      </c>
      <c r="F41" s="14" t="str">
        <f ca="1">IFERROR(INDEX(All_Risk_Apps!$F$4:$F$1233,_xludf.aggregate(15,6,(ROW(All_Risk_Apps!$A$4:$A$1233)-ROW(All_Risk_Apps!$A$4)+1)/(All_Risk_Apps!$J$4:$J$1233="Fast Follower")*(All_Risk_Apps!$A$4:$A$1233&lt;&gt;""),38)),"")</f>
        <v/>
      </c>
      <c r="G41" s="14" t="str">
        <f ca="1">IFERROR(INDEX(All_Risk_Apps!$I$4:$I$1233,_xludf.aggregate(15,6,(ROW(All_Risk_Apps!$A$4:$A$1233)-ROW(All_Risk_Apps!$A$4)+1)/(All_Risk_Apps!$J$4:$J$1233="Fast Follower")*(All_Risk_Apps!$A$4:$A$1233&lt;&gt;""),38)),"")</f>
        <v/>
      </c>
      <c r="H41" s="14" t="str">
        <f ca="1">IF(B41="","",IFERROR(INDEX(Server_Inventory!$R:$R,MATCH(B41,Server_Inventory!$Z:$Z,0)),"Not Found"))</f>
        <v/>
      </c>
      <c r="I41" s="14" t="str">
        <f ca="1">IF(B41="","",IFERROR(INDEX(Server_Inventory!$S:$S,MATCH(B41,Server_Inventory!$Z:$Z,0)),"Not Found"))</f>
        <v/>
      </c>
      <c r="J41" s="14" t="str">
        <f ca="1">IF(B41="","",COUNTIFS(Server_Inventory!$Z:$Z,B41,Server_Inventory!$P:$P,"R-RETIRED_IN_CMDB"))</f>
        <v/>
      </c>
      <c r="K41" s="14" t="str">
        <f ca="1">IF(B41="","",IFERROR(INDEX(Container_Inventory!$F:$F,MATCH(B41,Container_Inventory!$L:$L,0)),"Not Found"))</f>
        <v/>
      </c>
      <c r="L41" s="14" t="str">
        <f ca="1">IF(B41="","",IF(COUNTIF(Finding_List!$A:$A,B41)&gt;0,"Yes","No"))</f>
        <v/>
      </c>
      <c r="M41" s="14" t="str">
        <f ca="1">IF(B41="","",COUNTIF(Server_Inventory!$Z:$Z,B41))</f>
        <v/>
      </c>
      <c r="N41" s="14" t="str">
        <f ca="1">IF(B41="","",COUNTIF(Container_Inventory!$L:$L,B41))</f>
        <v/>
      </c>
    </row>
    <row r="42" spans="1:14" x14ac:dyDescent="0.2">
      <c r="A42" s="8" t="str">
        <f ca="1">IFERROR(INDEX(All_Risk_Apps!$A$4:$A$1233,_xludf.aggregate(15,6,(ROW(All_Risk_Apps!$A$4:$A$1233)-ROW(All_Risk_Apps!$A$4)+1)/(All_Risk_Apps!$J$4:$J$1233="Fast Follower")*(All_Risk_Apps!$A$4:$A$1233&lt;&gt;""),39)),"")</f>
        <v/>
      </c>
      <c r="B42" s="8" t="str">
        <f ca="1">IFERROR(INDEX(All_Risk_Apps!$B$4:$B$1233,_xludf.aggregate(15,6,(ROW(All_Risk_Apps!$A$4:$A$1233)-ROW(All_Risk_Apps!$A$4)+1)/(All_Risk_Apps!$J$4:$J$1233="Fast Follower")*(All_Risk_Apps!$A$4:$A$1233&lt;&gt;""),39)),"")</f>
        <v/>
      </c>
      <c r="C42" s="8" t="str">
        <f ca="1">IFERROR(INDEX(All_Risk_Apps!$D$4:$D$1233,_xludf.aggregate(15,6,(ROW(All_Risk_Apps!$A$4:$A$1233)-ROW(All_Risk_Apps!$A$4)+1)/(All_Risk_Apps!$J$4:$J$1233="Fast Follower")*(All_Risk_Apps!$A$4:$A$1233&lt;&gt;""),39)),"")</f>
        <v/>
      </c>
      <c r="D42" s="8" t="str">
        <f ca="1">IFERROR(INDEX(All_Risk_Apps!$C$4:$C$1233,_xludf.aggregate(15,6,(ROW(All_Risk_Apps!$A$4:$A$1233)-ROW(All_Risk_Apps!$A$4)+1)/(All_Risk_Apps!$J$4:$J$1233="Fast Follower")*(All_Risk_Apps!$A$4:$A$1233&lt;&gt;""),39)),"")</f>
        <v/>
      </c>
      <c r="E42" s="8" t="str">
        <f ca="1">IFERROR(INDEX(All_Risk_Apps!$E$4:$E$1233,_xludf.aggregate(15,6,(ROW(All_Risk_Apps!$A$4:$A$1233)-ROW(All_Risk_Apps!$A$4)+1)/(All_Risk_Apps!$J$4:$J$1233="Fast Follower")*(All_Risk_Apps!$A$4:$A$1233&lt;&gt;""),39)),"")</f>
        <v/>
      </c>
      <c r="F42" s="8" t="str">
        <f ca="1">IFERROR(INDEX(All_Risk_Apps!$F$4:$F$1233,_xludf.aggregate(15,6,(ROW(All_Risk_Apps!$A$4:$A$1233)-ROW(All_Risk_Apps!$A$4)+1)/(All_Risk_Apps!$J$4:$J$1233="Fast Follower")*(All_Risk_Apps!$A$4:$A$1233&lt;&gt;""),39)),"")</f>
        <v/>
      </c>
      <c r="G42" s="8" t="str">
        <f ca="1">IFERROR(INDEX(All_Risk_Apps!$I$4:$I$1233,_xludf.aggregate(15,6,(ROW(All_Risk_Apps!$A$4:$A$1233)-ROW(All_Risk_Apps!$A$4)+1)/(All_Risk_Apps!$J$4:$J$1233="Fast Follower")*(All_Risk_Apps!$A$4:$A$1233&lt;&gt;""),39)),"")</f>
        <v/>
      </c>
      <c r="H42" s="8" t="str">
        <f ca="1">IF(B42="","",IFERROR(INDEX(Server_Inventory!$R:$R,MATCH(B42,Server_Inventory!$Z:$Z,0)),"Not Found"))</f>
        <v/>
      </c>
      <c r="I42" s="8" t="str">
        <f ca="1">IF(B42="","",IFERROR(INDEX(Server_Inventory!$S:$S,MATCH(B42,Server_Inventory!$Z:$Z,0)),"Not Found"))</f>
        <v/>
      </c>
      <c r="J42" s="8" t="str">
        <f ca="1">IF(B42="","",COUNTIFS(Server_Inventory!$Z:$Z,B42,Server_Inventory!$P:$P,"R-RETIRED_IN_CMDB"))</f>
        <v/>
      </c>
      <c r="K42" s="8" t="str">
        <f ca="1">IF(B42="","",IFERROR(INDEX(Container_Inventory!$F:$F,MATCH(B42,Container_Inventory!$L:$L,0)),"Not Found"))</f>
        <v/>
      </c>
      <c r="L42" s="8" t="str">
        <f ca="1">IF(B42="","",IF(COUNTIF(Finding_List!$A:$A,B42)&gt;0,"Yes","No"))</f>
        <v/>
      </c>
      <c r="M42" s="8" t="str">
        <f ca="1">IF(B42="","",COUNTIF(Server_Inventory!$Z:$Z,B42))</f>
        <v/>
      </c>
      <c r="N42" s="8" t="str">
        <f ca="1">IF(B42="","",COUNTIF(Container_Inventory!$L:$L,B42))</f>
        <v/>
      </c>
    </row>
    <row r="43" spans="1:14" x14ac:dyDescent="0.2">
      <c r="A43" s="14" t="str">
        <f ca="1">IFERROR(INDEX(All_Risk_Apps!$A$4:$A$1233,_xludf.aggregate(15,6,(ROW(All_Risk_Apps!$A$4:$A$1233)-ROW(All_Risk_Apps!$A$4)+1)/(All_Risk_Apps!$J$4:$J$1233="Fast Follower")*(All_Risk_Apps!$A$4:$A$1233&lt;&gt;""),40)),"")</f>
        <v/>
      </c>
      <c r="B43" s="14" t="str">
        <f ca="1">IFERROR(INDEX(All_Risk_Apps!$B$4:$B$1233,_xludf.aggregate(15,6,(ROW(All_Risk_Apps!$A$4:$A$1233)-ROW(All_Risk_Apps!$A$4)+1)/(All_Risk_Apps!$J$4:$J$1233="Fast Follower")*(All_Risk_Apps!$A$4:$A$1233&lt;&gt;""),40)),"")</f>
        <v/>
      </c>
      <c r="C43" s="14" t="str">
        <f ca="1">IFERROR(INDEX(All_Risk_Apps!$D$4:$D$1233,_xludf.aggregate(15,6,(ROW(All_Risk_Apps!$A$4:$A$1233)-ROW(All_Risk_Apps!$A$4)+1)/(All_Risk_Apps!$J$4:$J$1233="Fast Follower")*(All_Risk_Apps!$A$4:$A$1233&lt;&gt;""),40)),"")</f>
        <v/>
      </c>
      <c r="D43" s="14" t="str">
        <f ca="1">IFERROR(INDEX(All_Risk_Apps!$C$4:$C$1233,_xludf.aggregate(15,6,(ROW(All_Risk_Apps!$A$4:$A$1233)-ROW(All_Risk_Apps!$A$4)+1)/(All_Risk_Apps!$J$4:$J$1233="Fast Follower")*(All_Risk_Apps!$A$4:$A$1233&lt;&gt;""),40)),"")</f>
        <v/>
      </c>
      <c r="E43" s="14" t="str">
        <f ca="1">IFERROR(INDEX(All_Risk_Apps!$E$4:$E$1233,_xludf.aggregate(15,6,(ROW(All_Risk_Apps!$A$4:$A$1233)-ROW(All_Risk_Apps!$A$4)+1)/(All_Risk_Apps!$J$4:$J$1233="Fast Follower")*(All_Risk_Apps!$A$4:$A$1233&lt;&gt;""),40)),"")</f>
        <v/>
      </c>
      <c r="F43" s="14" t="str">
        <f ca="1">IFERROR(INDEX(All_Risk_Apps!$F$4:$F$1233,_xludf.aggregate(15,6,(ROW(All_Risk_Apps!$A$4:$A$1233)-ROW(All_Risk_Apps!$A$4)+1)/(All_Risk_Apps!$J$4:$J$1233="Fast Follower")*(All_Risk_Apps!$A$4:$A$1233&lt;&gt;""),40)),"")</f>
        <v/>
      </c>
      <c r="G43" s="14" t="str">
        <f ca="1">IFERROR(INDEX(All_Risk_Apps!$I$4:$I$1233,_xludf.aggregate(15,6,(ROW(All_Risk_Apps!$A$4:$A$1233)-ROW(All_Risk_Apps!$A$4)+1)/(All_Risk_Apps!$J$4:$J$1233="Fast Follower")*(All_Risk_Apps!$A$4:$A$1233&lt;&gt;""),40)),"")</f>
        <v/>
      </c>
      <c r="H43" s="14" t="str">
        <f ca="1">IF(B43="","",IFERROR(INDEX(Server_Inventory!$R:$R,MATCH(B43,Server_Inventory!$Z:$Z,0)),"Not Found"))</f>
        <v/>
      </c>
      <c r="I43" s="14" t="str">
        <f ca="1">IF(B43="","",IFERROR(INDEX(Server_Inventory!$S:$S,MATCH(B43,Server_Inventory!$Z:$Z,0)),"Not Found"))</f>
        <v/>
      </c>
      <c r="J43" s="14" t="str">
        <f ca="1">IF(B43="","",COUNTIFS(Server_Inventory!$Z:$Z,B43,Server_Inventory!$P:$P,"R-RETIRED_IN_CMDB"))</f>
        <v/>
      </c>
      <c r="K43" s="14" t="str">
        <f ca="1">IF(B43="","",IFERROR(INDEX(Container_Inventory!$F:$F,MATCH(B43,Container_Inventory!$L:$L,0)),"Not Found"))</f>
        <v/>
      </c>
      <c r="L43" s="14" t="str">
        <f ca="1">IF(B43="","",IF(COUNTIF(Finding_List!$A:$A,B43)&gt;0,"Yes","No"))</f>
        <v/>
      </c>
      <c r="M43" s="14" t="str">
        <f ca="1">IF(B43="","",COUNTIF(Server_Inventory!$Z:$Z,B43))</f>
        <v/>
      </c>
      <c r="N43" s="14" t="str">
        <f ca="1">IF(B43="","",COUNTIF(Container_Inventory!$L:$L,B43))</f>
        <v/>
      </c>
    </row>
    <row r="44" spans="1:14" x14ac:dyDescent="0.2">
      <c r="A44" s="8" t="str">
        <f ca="1">IFERROR(INDEX(All_Risk_Apps!$A$4:$A$1233,_xludf.aggregate(15,6,(ROW(All_Risk_Apps!$A$4:$A$1233)-ROW(All_Risk_Apps!$A$4)+1)/(All_Risk_Apps!$J$4:$J$1233="Fast Follower")*(All_Risk_Apps!$A$4:$A$1233&lt;&gt;""),41)),"")</f>
        <v/>
      </c>
      <c r="B44" s="8" t="str">
        <f ca="1">IFERROR(INDEX(All_Risk_Apps!$B$4:$B$1233,_xludf.aggregate(15,6,(ROW(All_Risk_Apps!$A$4:$A$1233)-ROW(All_Risk_Apps!$A$4)+1)/(All_Risk_Apps!$J$4:$J$1233="Fast Follower")*(All_Risk_Apps!$A$4:$A$1233&lt;&gt;""),41)),"")</f>
        <v/>
      </c>
      <c r="C44" s="8" t="str">
        <f ca="1">IFERROR(INDEX(All_Risk_Apps!$D$4:$D$1233,_xludf.aggregate(15,6,(ROW(All_Risk_Apps!$A$4:$A$1233)-ROW(All_Risk_Apps!$A$4)+1)/(All_Risk_Apps!$J$4:$J$1233="Fast Follower")*(All_Risk_Apps!$A$4:$A$1233&lt;&gt;""),41)),"")</f>
        <v/>
      </c>
      <c r="D44" s="8" t="str">
        <f ca="1">IFERROR(INDEX(All_Risk_Apps!$C$4:$C$1233,_xludf.aggregate(15,6,(ROW(All_Risk_Apps!$A$4:$A$1233)-ROW(All_Risk_Apps!$A$4)+1)/(All_Risk_Apps!$J$4:$J$1233="Fast Follower")*(All_Risk_Apps!$A$4:$A$1233&lt;&gt;""),41)),"")</f>
        <v/>
      </c>
      <c r="E44" s="8" t="str">
        <f ca="1">IFERROR(INDEX(All_Risk_Apps!$E$4:$E$1233,_xludf.aggregate(15,6,(ROW(All_Risk_Apps!$A$4:$A$1233)-ROW(All_Risk_Apps!$A$4)+1)/(All_Risk_Apps!$J$4:$J$1233="Fast Follower")*(All_Risk_Apps!$A$4:$A$1233&lt;&gt;""),41)),"")</f>
        <v/>
      </c>
      <c r="F44" s="8" t="str">
        <f ca="1">IFERROR(INDEX(All_Risk_Apps!$F$4:$F$1233,_xludf.aggregate(15,6,(ROW(All_Risk_Apps!$A$4:$A$1233)-ROW(All_Risk_Apps!$A$4)+1)/(All_Risk_Apps!$J$4:$J$1233="Fast Follower")*(All_Risk_Apps!$A$4:$A$1233&lt;&gt;""),41)),"")</f>
        <v/>
      </c>
      <c r="G44" s="8" t="str">
        <f ca="1">IFERROR(INDEX(All_Risk_Apps!$I$4:$I$1233,_xludf.aggregate(15,6,(ROW(All_Risk_Apps!$A$4:$A$1233)-ROW(All_Risk_Apps!$A$4)+1)/(All_Risk_Apps!$J$4:$J$1233="Fast Follower")*(All_Risk_Apps!$A$4:$A$1233&lt;&gt;""),41)),"")</f>
        <v/>
      </c>
      <c r="H44" s="8" t="str">
        <f ca="1">IF(B44="","",IFERROR(INDEX(Server_Inventory!$R:$R,MATCH(B44,Server_Inventory!$Z:$Z,0)),"Not Found"))</f>
        <v/>
      </c>
      <c r="I44" s="8" t="str">
        <f ca="1">IF(B44="","",IFERROR(INDEX(Server_Inventory!$S:$S,MATCH(B44,Server_Inventory!$Z:$Z,0)),"Not Found"))</f>
        <v/>
      </c>
      <c r="J44" s="8" t="str">
        <f ca="1">IF(B44="","",COUNTIFS(Server_Inventory!$Z:$Z,B44,Server_Inventory!$P:$P,"R-RETIRED_IN_CMDB"))</f>
        <v/>
      </c>
      <c r="K44" s="8" t="str">
        <f ca="1">IF(B44="","",IFERROR(INDEX(Container_Inventory!$F:$F,MATCH(B44,Container_Inventory!$L:$L,0)),"Not Found"))</f>
        <v/>
      </c>
      <c r="L44" s="8" t="str">
        <f ca="1">IF(B44="","",IF(COUNTIF(Finding_List!$A:$A,B44)&gt;0,"Yes","No"))</f>
        <v/>
      </c>
      <c r="M44" s="8" t="str">
        <f ca="1">IF(B44="","",COUNTIF(Server_Inventory!$Z:$Z,B44))</f>
        <v/>
      </c>
      <c r="N44" s="8" t="str">
        <f ca="1">IF(B44="","",COUNTIF(Container_Inventory!$L:$L,B44))</f>
        <v/>
      </c>
    </row>
    <row r="45" spans="1:14" x14ac:dyDescent="0.2">
      <c r="A45" s="14" t="str">
        <f ca="1">IFERROR(INDEX(All_Risk_Apps!$A$4:$A$1233,_xludf.aggregate(15,6,(ROW(All_Risk_Apps!$A$4:$A$1233)-ROW(All_Risk_Apps!$A$4)+1)/(All_Risk_Apps!$J$4:$J$1233="Fast Follower")*(All_Risk_Apps!$A$4:$A$1233&lt;&gt;""),42)),"")</f>
        <v/>
      </c>
      <c r="B45" s="14" t="str">
        <f ca="1">IFERROR(INDEX(All_Risk_Apps!$B$4:$B$1233,_xludf.aggregate(15,6,(ROW(All_Risk_Apps!$A$4:$A$1233)-ROW(All_Risk_Apps!$A$4)+1)/(All_Risk_Apps!$J$4:$J$1233="Fast Follower")*(All_Risk_Apps!$A$4:$A$1233&lt;&gt;""),42)),"")</f>
        <v/>
      </c>
      <c r="C45" s="14" t="str">
        <f ca="1">IFERROR(INDEX(All_Risk_Apps!$D$4:$D$1233,_xludf.aggregate(15,6,(ROW(All_Risk_Apps!$A$4:$A$1233)-ROW(All_Risk_Apps!$A$4)+1)/(All_Risk_Apps!$J$4:$J$1233="Fast Follower")*(All_Risk_Apps!$A$4:$A$1233&lt;&gt;""),42)),"")</f>
        <v/>
      </c>
      <c r="D45" s="14" t="str">
        <f ca="1">IFERROR(INDEX(All_Risk_Apps!$C$4:$C$1233,_xludf.aggregate(15,6,(ROW(All_Risk_Apps!$A$4:$A$1233)-ROW(All_Risk_Apps!$A$4)+1)/(All_Risk_Apps!$J$4:$J$1233="Fast Follower")*(All_Risk_Apps!$A$4:$A$1233&lt;&gt;""),42)),"")</f>
        <v/>
      </c>
      <c r="E45" s="14" t="str">
        <f ca="1">IFERROR(INDEX(All_Risk_Apps!$E$4:$E$1233,_xludf.aggregate(15,6,(ROW(All_Risk_Apps!$A$4:$A$1233)-ROW(All_Risk_Apps!$A$4)+1)/(All_Risk_Apps!$J$4:$J$1233="Fast Follower")*(All_Risk_Apps!$A$4:$A$1233&lt;&gt;""),42)),"")</f>
        <v/>
      </c>
      <c r="F45" s="14" t="str">
        <f ca="1">IFERROR(INDEX(All_Risk_Apps!$F$4:$F$1233,_xludf.aggregate(15,6,(ROW(All_Risk_Apps!$A$4:$A$1233)-ROW(All_Risk_Apps!$A$4)+1)/(All_Risk_Apps!$J$4:$J$1233="Fast Follower")*(All_Risk_Apps!$A$4:$A$1233&lt;&gt;""),42)),"")</f>
        <v/>
      </c>
      <c r="G45" s="14" t="str">
        <f ca="1">IFERROR(INDEX(All_Risk_Apps!$I$4:$I$1233,_xludf.aggregate(15,6,(ROW(All_Risk_Apps!$A$4:$A$1233)-ROW(All_Risk_Apps!$A$4)+1)/(All_Risk_Apps!$J$4:$J$1233="Fast Follower")*(All_Risk_Apps!$A$4:$A$1233&lt;&gt;""),42)),"")</f>
        <v/>
      </c>
      <c r="H45" s="14" t="str">
        <f ca="1">IF(B45="","",IFERROR(INDEX(Server_Inventory!$R:$R,MATCH(B45,Server_Inventory!$Z:$Z,0)),"Not Found"))</f>
        <v/>
      </c>
      <c r="I45" s="14" t="str">
        <f ca="1">IF(B45="","",IFERROR(INDEX(Server_Inventory!$S:$S,MATCH(B45,Server_Inventory!$Z:$Z,0)),"Not Found"))</f>
        <v/>
      </c>
      <c r="J45" s="14" t="str">
        <f ca="1">IF(B45="","",COUNTIFS(Server_Inventory!$Z:$Z,B45,Server_Inventory!$P:$P,"R-RETIRED_IN_CMDB"))</f>
        <v/>
      </c>
      <c r="K45" s="14" t="str">
        <f ca="1">IF(B45="","",IFERROR(INDEX(Container_Inventory!$F:$F,MATCH(B45,Container_Inventory!$L:$L,0)),"Not Found"))</f>
        <v/>
      </c>
      <c r="L45" s="14" t="str">
        <f ca="1">IF(B45="","",IF(COUNTIF(Finding_List!$A:$A,B45)&gt;0,"Yes","No"))</f>
        <v/>
      </c>
      <c r="M45" s="14" t="str">
        <f ca="1">IF(B45="","",COUNTIF(Server_Inventory!$Z:$Z,B45))</f>
        <v/>
      </c>
      <c r="N45" s="14" t="str">
        <f ca="1">IF(B45="","",COUNTIF(Container_Inventory!$L:$L,B45))</f>
        <v/>
      </c>
    </row>
    <row r="46" spans="1:14" x14ac:dyDescent="0.2">
      <c r="A46" s="8" t="str">
        <f ca="1">IFERROR(INDEX(All_Risk_Apps!$A$4:$A$1233,_xludf.aggregate(15,6,(ROW(All_Risk_Apps!$A$4:$A$1233)-ROW(All_Risk_Apps!$A$4)+1)/(All_Risk_Apps!$J$4:$J$1233="Fast Follower")*(All_Risk_Apps!$A$4:$A$1233&lt;&gt;""),43)),"")</f>
        <v/>
      </c>
      <c r="B46" s="8" t="str">
        <f ca="1">IFERROR(INDEX(All_Risk_Apps!$B$4:$B$1233,_xludf.aggregate(15,6,(ROW(All_Risk_Apps!$A$4:$A$1233)-ROW(All_Risk_Apps!$A$4)+1)/(All_Risk_Apps!$J$4:$J$1233="Fast Follower")*(All_Risk_Apps!$A$4:$A$1233&lt;&gt;""),43)),"")</f>
        <v/>
      </c>
      <c r="C46" s="8" t="str">
        <f ca="1">IFERROR(INDEX(All_Risk_Apps!$D$4:$D$1233,_xludf.aggregate(15,6,(ROW(All_Risk_Apps!$A$4:$A$1233)-ROW(All_Risk_Apps!$A$4)+1)/(All_Risk_Apps!$J$4:$J$1233="Fast Follower")*(All_Risk_Apps!$A$4:$A$1233&lt;&gt;""),43)),"")</f>
        <v/>
      </c>
      <c r="D46" s="8" t="str">
        <f ca="1">IFERROR(INDEX(All_Risk_Apps!$C$4:$C$1233,_xludf.aggregate(15,6,(ROW(All_Risk_Apps!$A$4:$A$1233)-ROW(All_Risk_Apps!$A$4)+1)/(All_Risk_Apps!$J$4:$J$1233="Fast Follower")*(All_Risk_Apps!$A$4:$A$1233&lt;&gt;""),43)),"")</f>
        <v/>
      </c>
      <c r="E46" s="8" t="str">
        <f ca="1">IFERROR(INDEX(All_Risk_Apps!$E$4:$E$1233,_xludf.aggregate(15,6,(ROW(All_Risk_Apps!$A$4:$A$1233)-ROW(All_Risk_Apps!$A$4)+1)/(All_Risk_Apps!$J$4:$J$1233="Fast Follower")*(All_Risk_Apps!$A$4:$A$1233&lt;&gt;""),43)),"")</f>
        <v/>
      </c>
      <c r="F46" s="8" t="str">
        <f ca="1">IFERROR(INDEX(All_Risk_Apps!$F$4:$F$1233,_xludf.aggregate(15,6,(ROW(All_Risk_Apps!$A$4:$A$1233)-ROW(All_Risk_Apps!$A$4)+1)/(All_Risk_Apps!$J$4:$J$1233="Fast Follower")*(All_Risk_Apps!$A$4:$A$1233&lt;&gt;""),43)),"")</f>
        <v/>
      </c>
      <c r="G46" s="8" t="str">
        <f ca="1">IFERROR(INDEX(All_Risk_Apps!$I$4:$I$1233,_xludf.aggregate(15,6,(ROW(All_Risk_Apps!$A$4:$A$1233)-ROW(All_Risk_Apps!$A$4)+1)/(All_Risk_Apps!$J$4:$J$1233="Fast Follower")*(All_Risk_Apps!$A$4:$A$1233&lt;&gt;""),43)),"")</f>
        <v/>
      </c>
      <c r="H46" s="8" t="str">
        <f ca="1">IF(B46="","",IFERROR(INDEX(Server_Inventory!$R:$R,MATCH(B46,Server_Inventory!$Z:$Z,0)),"Not Found"))</f>
        <v/>
      </c>
      <c r="I46" s="8" t="str">
        <f ca="1">IF(B46="","",IFERROR(INDEX(Server_Inventory!$S:$S,MATCH(B46,Server_Inventory!$Z:$Z,0)),"Not Found"))</f>
        <v/>
      </c>
      <c r="J46" s="8" t="str">
        <f ca="1">IF(B46="","",COUNTIFS(Server_Inventory!$Z:$Z,B46,Server_Inventory!$P:$P,"R-RETIRED_IN_CMDB"))</f>
        <v/>
      </c>
      <c r="K46" s="8" t="str">
        <f ca="1">IF(B46="","",IFERROR(INDEX(Container_Inventory!$F:$F,MATCH(B46,Container_Inventory!$L:$L,0)),"Not Found"))</f>
        <v/>
      </c>
      <c r="L46" s="8" t="str">
        <f ca="1">IF(B46="","",IF(COUNTIF(Finding_List!$A:$A,B46)&gt;0,"Yes","No"))</f>
        <v/>
      </c>
      <c r="M46" s="8" t="str">
        <f ca="1">IF(B46="","",COUNTIF(Server_Inventory!$Z:$Z,B46))</f>
        <v/>
      </c>
      <c r="N46" s="8" t="str">
        <f ca="1">IF(B46="","",COUNTIF(Container_Inventory!$L:$L,B46))</f>
        <v/>
      </c>
    </row>
    <row r="47" spans="1:14" x14ac:dyDescent="0.2">
      <c r="A47" s="14" t="str">
        <f ca="1">IFERROR(INDEX(All_Risk_Apps!$A$4:$A$1233,_xludf.aggregate(15,6,(ROW(All_Risk_Apps!$A$4:$A$1233)-ROW(All_Risk_Apps!$A$4)+1)/(All_Risk_Apps!$J$4:$J$1233="Fast Follower")*(All_Risk_Apps!$A$4:$A$1233&lt;&gt;""),44)),"")</f>
        <v/>
      </c>
      <c r="B47" s="14" t="str">
        <f ca="1">IFERROR(INDEX(All_Risk_Apps!$B$4:$B$1233,_xludf.aggregate(15,6,(ROW(All_Risk_Apps!$A$4:$A$1233)-ROW(All_Risk_Apps!$A$4)+1)/(All_Risk_Apps!$J$4:$J$1233="Fast Follower")*(All_Risk_Apps!$A$4:$A$1233&lt;&gt;""),44)),"")</f>
        <v/>
      </c>
      <c r="C47" s="14" t="str">
        <f ca="1">IFERROR(INDEX(All_Risk_Apps!$D$4:$D$1233,_xludf.aggregate(15,6,(ROW(All_Risk_Apps!$A$4:$A$1233)-ROW(All_Risk_Apps!$A$4)+1)/(All_Risk_Apps!$J$4:$J$1233="Fast Follower")*(All_Risk_Apps!$A$4:$A$1233&lt;&gt;""),44)),"")</f>
        <v/>
      </c>
      <c r="D47" s="14" t="str">
        <f ca="1">IFERROR(INDEX(All_Risk_Apps!$C$4:$C$1233,_xludf.aggregate(15,6,(ROW(All_Risk_Apps!$A$4:$A$1233)-ROW(All_Risk_Apps!$A$4)+1)/(All_Risk_Apps!$J$4:$J$1233="Fast Follower")*(All_Risk_Apps!$A$4:$A$1233&lt;&gt;""),44)),"")</f>
        <v/>
      </c>
      <c r="E47" s="14" t="str">
        <f ca="1">IFERROR(INDEX(All_Risk_Apps!$E$4:$E$1233,_xludf.aggregate(15,6,(ROW(All_Risk_Apps!$A$4:$A$1233)-ROW(All_Risk_Apps!$A$4)+1)/(All_Risk_Apps!$J$4:$J$1233="Fast Follower")*(All_Risk_Apps!$A$4:$A$1233&lt;&gt;""),44)),"")</f>
        <v/>
      </c>
      <c r="F47" s="14" t="str">
        <f ca="1">IFERROR(INDEX(All_Risk_Apps!$F$4:$F$1233,_xludf.aggregate(15,6,(ROW(All_Risk_Apps!$A$4:$A$1233)-ROW(All_Risk_Apps!$A$4)+1)/(All_Risk_Apps!$J$4:$J$1233="Fast Follower")*(All_Risk_Apps!$A$4:$A$1233&lt;&gt;""),44)),"")</f>
        <v/>
      </c>
      <c r="G47" s="14" t="str">
        <f ca="1">IFERROR(INDEX(All_Risk_Apps!$I$4:$I$1233,_xludf.aggregate(15,6,(ROW(All_Risk_Apps!$A$4:$A$1233)-ROW(All_Risk_Apps!$A$4)+1)/(All_Risk_Apps!$J$4:$J$1233="Fast Follower")*(All_Risk_Apps!$A$4:$A$1233&lt;&gt;""),44)),"")</f>
        <v/>
      </c>
      <c r="H47" s="14" t="str">
        <f ca="1">IF(B47="","",IFERROR(INDEX(Server_Inventory!$R:$R,MATCH(B47,Server_Inventory!$Z:$Z,0)),"Not Found"))</f>
        <v/>
      </c>
      <c r="I47" s="14" t="str">
        <f ca="1">IF(B47="","",IFERROR(INDEX(Server_Inventory!$S:$S,MATCH(B47,Server_Inventory!$Z:$Z,0)),"Not Found"))</f>
        <v/>
      </c>
      <c r="J47" s="14" t="str">
        <f ca="1">IF(B47="","",COUNTIFS(Server_Inventory!$Z:$Z,B47,Server_Inventory!$P:$P,"R-RETIRED_IN_CMDB"))</f>
        <v/>
      </c>
      <c r="K47" s="14" t="str">
        <f ca="1">IF(B47="","",IFERROR(INDEX(Container_Inventory!$F:$F,MATCH(B47,Container_Inventory!$L:$L,0)),"Not Found"))</f>
        <v/>
      </c>
      <c r="L47" s="14" t="str">
        <f ca="1">IF(B47="","",IF(COUNTIF(Finding_List!$A:$A,B47)&gt;0,"Yes","No"))</f>
        <v/>
      </c>
      <c r="M47" s="14" t="str">
        <f ca="1">IF(B47="","",COUNTIF(Server_Inventory!$Z:$Z,B47))</f>
        <v/>
      </c>
      <c r="N47" s="14" t="str">
        <f ca="1">IF(B47="","",COUNTIF(Container_Inventory!$L:$L,B47))</f>
        <v/>
      </c>
    </row>
    <row r="48" spans="1:14" x14ac:dyDescent="0.2">
      <c r="A48" s="8" t="str">
        <f ca="1">IFERROR(INDEX(All_Risk_Apps!$A$4:$A$1233,_xludf.aggregate(15,6,(ROW(All_Risk_Apps!$A$4:$A$1233)-ROW(All_Risk_Apps!$A$4)+1)/(All_Risk_Apps!$J$4:$J$1233="Fast Follower")*(All_Risk_Apps!$A$4:$A$1233&lt;&gt;""),45)),"")</f>
        <v/>
      </c>
      <c r="B48" s="8" t="str">
        <f ca="1">IFERROR(INDEX(All_Risk_Apps!$B$4:$B$1233,_xludf.aggregate(15,6,(ROW(All_Risk_Apps!$A$4:$A$1233)-ROW(All_Risk_Apps!$A$4)+1)/(All_Risk_Apps!$J$4:$J$1233="Fast Follower")*(All_Risk_Apps!$A$4:$A$1233&lt;&gt;""),45)),"")</f>
        <v/>
      </c>
      <c r="C48" s="8" t="str">
        <f ca="1">IFERROR(INDEX(All_Risk_Apps!$D$4:$D$1233,_xludf.aggregate(15,6,(ROW(All_Risk_Apps!$A$4:$A$1233)-ROW(All_Risk_Apps!$A$4)+1)/(All_Risk_Apps!$J$4:$J$1233="Fast Follower")*(All_Risk_Apps!$A$4:$A$1233&lt;&gt;""),45)),"")</f>
        <v/>
      </c>
      <c r="D48" s="8" t="str">
        <f ca="1">IFERROR(INDEX(All_Risk_Apps!$C$4:$C$1233,_xludf.aggregate(15,6,(ROW(All_Risk_Apps!$A$4:$A$1233)-ROW(All_Risk_Apps!$A$4)+1)/(All_Risk_Apps!$J$4:$J$1233="Fast Follower")*(All_Risk_Apps!$A$4:$A$1233&lt;&gt;""),45)),"")</f>
        <v/>
      </c>
      <c r="E48" s="8" t="str">
        <f ca="1">IFERROR(INDEX(All_Risk_Apps!$E$4:$E$1233,_xludf.aggregate(15,6,(ROW(All_Risk_Apps!$A$4:$A$1233)-ROW(All_Risk_Apps!$A$4)+1)/(All_Risk_Apps!$J$4:$J$1233="Fast Follower")*(All_Risk_Apps!$A$4:$A$1233&lt;&gt;""),45)),"")</f>
        <v/>
      </c>
      <c r="F48" s="8" t="str">
        <f ca="1">IFERROR(INDEX(All_Risk_Apps!$F$4:$F$1233,_xludf.aggregate(15,6,(ROW(All_Risk_Apps!$A$4:$A$1233)-ROW(All_Risk_Apps!$A$4)+1)/(All_Risk_Apps!$J$4:$J$1233="Fast Follower")*(All_Risk_Apps!$A$4:$A$1233&lt;&gt;""),45)),"")</f>
        <v/>
      </c>
      <c r="G48" s="8" t="str">
        <f ca="1">IFERROR(INDEX(All_Risk_Apps!$I$4:$I$1233,_xludf.aggregate(15,6,(ROW(All_Risk_Apps!$A$4:$A$1233)-ROW(All_Risk_Apps!$A$4)+1)/(All_Risk_Apps!$J$4:$J$1233="Fast Follower")*(All_Risk_Apps!$A$4:$A$1233&lt;&gt;""),45)),"")</f>
        <v/>
      </c>
      <c r="H48" s="8" t="str">
        <f ca="1">IF(B48="","",IFERROR(INDEX(Server_Inventory!$R:$R,MATCH(B48,Server_Inventory!$Z:$Z,0)),"Not Found"))</f>
        <v/>
      </c>
      <c r="I48" s="8" t="str">
        <f ca="1">IF(B48="","",IFERROR(INDEX(Server_Inventory!$S:$S,MATCH(B48,Server_Inventory!$Z:$Z,0)),"Not Found"))</f>
        <v/>
      </c>
      <c r="J48" s="8" t="str">
        <f ca="1">IF(B48="","",COUNTIFS(Server_Inventory!$Z:$Z,B48,Server_Inventory!$P:$P,"R-RETIRED_IN_CMDB"))</f>
        <v/>
      </c>
      <c r="K48" s="8" t="str">
        <f ca="1">IF(B48="","",IFERROR(INDEX(Container_Inventory!$F:$F,MATCH(B48,Container_Inventory!$L:$L,0)),"Not Found"))</f>
        <v/>
      </c>
      <c r="L48" s="8" t="str">
        <f ca="1">IF(B48="","",IF(COUNTIF(Finding_List!$A:$A,B48)&gt;0,"Yes","No"))</f>
        <v/>
      </c>
      <c r="M48" s="8" t="str">
        <f ca="1">IF(B48="","",COUNTIF(Server_Inventory!$Z:$Z,B48))</f>
        <v/>
      </c>
      <c r="N48" s="8" t="str">
        <f ca="1">IF(B48="","",COUNTIF(Container_Inventory!$L:$L,B48))</f>
        <v/>
      </c>
    </row>
    <row r="49" spans="1:14" x14ac:dyDescent="0.2">
      <c r="A49" s="14" t="str">
        <f ca="1">IFERROR(INDEX(All_Risk_Apps!$A$4:$A$1233,_xludf.aggregate(15,6,(ROW(All_Risk_Apps!$A$4:$A$1233)-ROW(All_Risk_Apps!$A$4)+1)/(All_Risk_Apps!$J$4:$J$1233="Fast Follower")*(All_Risk_Apps!$A$4:$A$1233&lt;&gt;""),46)),"")</f>
        <v/>
      </c>
      <c r="B49" s="14" t="str">
        <f ca="1">IFERROR(INDEX(All_Risk_Apps!$B$4:$B$1233,_xludf.aggregate(15,6,(ROW(All_Risk_Apps!$A$4:$A$1233)-ROW(All_Risk_Apps!$A$4)+1)/(All_Risk_Apps!$J$4:$J$1233="Fast Follower")*(All_Risk_Apps!$A$4:$A$1233&lt;&gt;""),46)),"")</f>
        <v/>
      </c>
      <c r="C49" s="14" t="str">
        <f ca="1">IFERROR(INDEX(All_Risk_Apps!$D$4:$D$1233,_xludf.aggregate(15,6,(ROW(All_Risk_Apps!$A$4:$A$1233)-ROW(All_Risk_Apps!$A$4)+1)/(All_Risk_Apps!$J$4:$J$1233="Fast Follower")*(All_Risk_Apps!$A$4:$A$1233&lt;&gt;""),46)),"")</f>
        <v/>
      </c>
      <c r="D49" s="14" t="str">
        <f ca="1">IFERROR(INDEX(All_Risk_Apps!$C$4:$C$1233,_xludf.aggregate(15,6,(ROW(All_Risk_Apps!$A$4:$A$1233)-ROW(All_Risk_Apps!$A$4)+1)/(All_Risk_Apps!$J$4:$J$1233="Fast Follower")*(All_Risk_Apps!$A$4:$A$1233&lt;&gt;""),46)),"")</f>
        <v/>
      </c>
      <c r="E49" s="14" t="str">
        <f ca="1">IFERROR(INDEX(All_Risk_Apps!$E$4:$E$1233,_xludf.aggregate(15,6,(ROW(All_Risk_Apps!$A$4:$A$1233)-ROW(All_Risk_Apps!$A$4)+1)/(All_Risk_Apps!$J$4:$J$1233="Fast Follower")*(All_Risk_Apps!$A$4:$A$1233&lt;&gt;""),46)),"")</f>
        <v/>
      </c>
      <c r="F49" s="14" t="str">
        <f ca="1">IFERROR(INDEX(All_Risk_Apps!$F$4:$F$1233,_xludf.aggregate(15,6,(ROW(All_Risk_Apps!$A$4:$A$1233)-ROW(All_Risk_Apps!$A$4)+1)/(All_Risk_Apps!$J$4:$J$1233="Fast Follower")*(All_Risk_Apps!$A$4:$A$1233&lt;&gt;""),46)),"")</f>
        <v/>
      </c>
      <c r="G49" s="14" t="str">
        <f ca="1">IFERROR(INDEX(All_Risk_Apps!$I$4:$I$1233,_xludf.aggregate(15,6,(ROW(All_Risk_Apps!$A$4:$A$1233)-ROW(All_Risk_Apps!$A$4)+1)/(All_Risk_Apps!$J$4:$J$1233="Fast Follower")*(All_Risk_Apps!$A$4:$A$1233&lt;&gt;""),46)),"")</f>
        <v/>
      </c>
      <c r="H49" s="14" t="str">
        <f ca="1">IF(B49="","",IFERROR(INDEX(Server_Inventory!$R:$R,MATCH(B49,Server_Inventory!$Z:$Z,0)),"Not Found"))</f>
        <v/>
      </c>
      <c r="I49" s="14" t="str">
        <f ca="1">IF(B49="","",IFERROR(INDEX(Server_Inventory!$S:$S,MATCH(B49,Server_Inventory!$Z:$Z,0)),"Not Found"))</f>
        <v/>
      </c>
      <c r="J49" s="14" t="str">
        <f ca="1">IF(B49="","",COUNTIFS(Server_Inventory!$Z:$Z,B49,Server_Inventory!$P:$P,"R-RETIRED_IN_CMDB"))</f>
        <v/>
      </c>
      <c r="K49" s="14" t="str">
        <f ca="1">IF(B49="","",IFERROR(INDEX(Container_Inventory!$F:$F,MATCH(B49,Container_Inventory!$L:$L,0)),"Not Found"))</f>
        <v/>
      </c>
      <c r="L49" s="14" t="str">
        <f ca="1">IF(B49="","",IF(COUNTIF(Finding_List!$A:$A,B49)&gt;0,"Yes","No"))</f>
        <v/>
      </c>
      <c r="M49" s="14" t="str">
        <f ca="1">IF(B49="","",COUNTIF(Server_Inventory!$Z:$Z,B49))</f>
        <v/>
      </c>
      <c r="N49" s="14" t="str">
        <f ca="1">IF(B49="","",COUNTIF(Container_Inventory!$L:$L,B49))</f>
        <v/>
      </c>
    </row>
    <row r="50" spans="1:14" x14ac:dyDescent="0.2">
      <c r="A50" s="8" t="str">
        <f ca="1">IFERROR(INDEX(All_Risk_Apps!$A$4:$A$1233,_xludf.aggregate(15,6,(ROW(All_Risk_Apps!$A$4:$A$1233)-ROW(All_Risk_Apps!$A$4)+1)/(All_Risk_Apps!$J$4:$J$1233="Fast Follower")*(All_Risk_Apps!$A$4:$A$1233&lt;&gt;""),47)),"")</f>
        <v/>
      </c>
      <c r="B50" s="8" t="str">
        <f ca="1">IFERROR(INDEX(All_Risk_Apps!$B$4:$B$1233,_xludf.aggregate(15,6,(ROW(All_Risk_Apps!$A$4:$A$1233)-ROW(All_Risk_Apps!$A$4)+1)/(All_Risk_Apps!$J$4:$J$1233="Fast Follower")*(All_Risk_Apps!$A$4:$A$1233&lt;&gt;""),47)),"")</f>
        <v/>
      </c>
      <c r="C50" s="8" t="str">
        <f ca="1">IFERROR(INDEX(All_Risk_Apps!$D$4:$D$1233,_xludf.aggregate(15,6,(ROW(All_Risk_Apps!$A$4:$A$1233)-ROW(All_Risk_Apps!$A$4)+1)/(All_Risk_Apps!$J$4:$J$1233="Fast Follower")*(All_Risk_Apps!$A$4:$A$1233&lt;&gt;""),47)),"")</f>
        <v/>
      </c>
      <c r="D50" s="8" t="str">
        <f ca="1">IFERROR(INDEX(All_Risk_Apps!$C$4:$C$1233,_xludf.aggregate(15,6,(ROW(All_Risk_Apps!$A$4:$A$1233)-ROW(All_Risk_Apps!$A$4)+1)/(All_Risk_Apps!$J$4:$J$1233="Fast Follower")*(All_Risk_Apps!$A$4:$A$1233&lt;&gt;""),47)),"")</f>
        <v/>
      </c>
      <c r="E50" s="8" t="str">
        <f ca="1">IFERROR(INDEX(All_Risk_Apps!$E$4:$E$1233,_xludf.aggregate(15,6,(ROW(All_Risk_Apps!$A$4:$A$1233)-ROW(All_Risk_Apps!$A$4)+1)/(All_Risk_Apps!$J$4:$J$1233="Fast Follower")*(All_Risk_Apps!$A$4:$A$1233&lt;&gt;""),47)),"")</f>
        <v/>
      </c>
      <c r="F50" s="8" t="str">
        <f ca="1">IFERROR(INDEX(All_Risk_Apps!$F$4:$F$1233,_xludf.aggregate(15,6,(ROW(All_Risk_Apps!$A$4:$A$1233)-ROW(All_Risk_Apps!$A$4)+1)/(All_Risk_Apps!$J$4:$J$1233="Fast Follower")*(All_Risk_Apps!$A$4:$A$1233&lt;&gt;""),47)),"")</f>
        <v/>
      </c>
      <c r="G50" s="8" t="str">
        <f ca="1">IFERROR(INDEX(All_Risk_Apps!$I$4:$I$1233,_xludf.aggregate(15,6,(ROW(All_Risk_Apps!$A$4:$A$1233)-ROW(All_Risk_Apps!$A$4)+1)/(All_Risk_Apps!$J$4:$J$1233="Fast Follower")*(All_Risk_Apps!$A$4:$A$1233&lt;&gt;""),47)),"")</f>
        <v/>
      </c>
      <c r="H50" s="8" t="str">
        <f ca="1">IF(B50="","",IFERROR(INDEX(Server_Inventory!$R:$R,MATCH(B50,Server_Inventory!$Z:$Z,0)),"Not Found"))</f>
        <v/>
      </c>
      <c r="I50" s="8" t="str">
        <f ca="1">IF(B50="","",IFERROR(INDEX(Server_Inventory!$S:$S,MATCH(B50,Server_Inventory!$Z:$Z,0)),"Not Found"))</f>
        <v/>
      </c>
      <c r="J50" s="8" t="str">
        <f ca="1">IF(B50="","",COUNTIFS(Server_Inventory!$Z:$Z,B50,Server_Inventory!$P:$P,"R-RETIRED_IN_CMDB"))</f>
        <v/>
      </c>
      <c r="K50" s="8" t="str">
        <f ca="1">IF(B50="","",IFERROR(INDEX(Container_Inventory!$F:$F,MATCH(B50,Container_Inventory!$L:$L,0)),"Not Found"))</f>
        <v/>
      </c>
      <c r="L50" s="8" t="str">
        <f ca="1">IF(B50="","",IF(COUNTIF(Finding_List!$A:$A,B50)&gt;0,"Yes","No"))</f>
        <v/>
      </c>
      <c r="M50" s="8" t="str">
        <f ca="1">IF(B50="","",COUNTIF(Server_Inventory!$Z:$Z,B50))</f>
        <v/>
      </c>
      <c r="N50" s="8" t="str">
        <f ca="1">IF(B50="","",COUNTIF(Container_Inventory!$L:$L,B50))</f>
        <v/>
      </c>
    </row>
    <row r="51" spans="1:14" x14ac:dyDescent="0.2">
      <c r="A51" s="14" t="str">
        <f ca="1">IFERROR(INDEX(All_Risk_Apps!$A$4:$A$1233,_xludf.aggregate(15,6,(ROW(All_Risk_Apps!$A$4:$A$1233)-ROW(All_Risk_Apps!$A$4)+1)/(All_Risk_Apps!$J$4:$J$1233="Fast Follower")*(All_Risk_Apps!$A$4:$A$1233&lt;&gt;""),48)),"")</f>
        <v/>
      </c>
      <c r="B51" s="14" t="str">
        <f ca="1">IFERROR(INDEX(All_Risk_Apps!$B$4:$B$1233,_xludf.aggregate(15,6,(ROW(All_Risk_Apps!$A$4:$A$1233)-ROW(All_Risk_Apps!$A$4)+1)/(All_Risk_Apps!$J$4:$J$1233="Fast Follower")*(All_Risk_Apps!$A$4:$A$1233&lt;&gt;""),48)),"")</f>
        <v/>
      </c>
      <c r="C51" s="14" t="str">
        <f ca="1">IFERROR(INDEX(All_Risk_Apps!$D$4:$D$1233,_xludf.aggregate(15,6,(ROW(All_Risk_Apps!$A$4:$A$1233)-ROW(All_Risk_Apps!$A$4)+1)/(All_Risk_Apps!$J$4:$J$1233="Fast Follower")*(All_Risk_Apps!$A$4:$A$1233&lt;&gt;""),48)),"")</f>
        <v/>
      </c>
      <c r="D51" s="14" t="str">
        <f ca="1">IFERROR(INDEX(All_Risk_Apps!$C$4:$C$1233,_xludf.aggregate(15,6,(ROW(All_Risk_Apps!$A$4:$A$1233)-ROW(All_Risk_Apps!$A$4)+1)/(All_Risk_Apps!$J$4:$J$1233="Fast Follower")*(All_Risk_Apps!$A$4:$A$1233&lt;&gt;""),48)),"")</f>
        <v/>
      </c>
      <c r="E51" s="14" t="str">
        <f ca="1">IFERROR(INDEX(All_Risk_Apps!$E$4:$E$1233,_xludf.aggregate(15,6,(ROW(All_Risk_Apps!$A$4:$A$1233)-ROW(All_Risk_Apps!$A$4)+1)/(All_Risk_Apps!$J$4:$J$1233="Fast Follower")*(All_Risk_Apps!$A$4:$A$1233&lt;&gt;""),48)),"")</f>
        <v/>
      </c>
      <c r="F51" s="14" t="str">
        <f ca="1">IFERROR(INDEX(All_Risk_Apps!$F$4:$F$1233,_xludf.aggregate(15,6,(ROW(All_Risk_Apps!$A$4:$A$1233)-ROW(All_Risk_Apps!$A$4)+1)/(All_Risk_Apps!$J$4:$J$1233="Fast Follower")*(All_Risk_Apps!$A$4:$A$1233&lt;&gt;""),48)),"")</f>
        <v/>
      </c>
      <c r="G51" s="14" t="str">
        <f ca="1">IFERROR(INDEX(All_Risk_Apps!$I$4:$I$1233,_xludf.aggregate(15,6,(ROW(All_Risk_Apps!$A$4:$A$1233)-ROW(All_Risk_Apps!$A$4)+1)/(All_Risk_Apps!$J$4:$J$1233="Fast Follower")*(All_Risk_Apps!$A$4:$A$1233&lt;&gt;""),48)),"")</f>
        <v/>
      </c>
      <c r="H51" s="14" t="str">
        <f ca="1">IF(B51="","",IFERROR(INDEX(Server_Inventory!$R:$R,MATCH(B51,Server_Inventory!$Z:$Z,0)),"Not Found"))</f>
        <v/>
      </c>
      <c r="I51" s="14" t="str">
        <f ca="1">IF(B51="","",IFERROR(INDEX(Server_Inventory!$S:$S,MATCH(B51,Server_Inventory!$Z:$Z,0)),"Not Found"))</f>
        <v/>
      </c>
      <c r="J51" s="14" t="str">
        <f ca="1">IF(B51="","",COUNTIFS(Server_Inventory!$Z:$Z,B51,Server_Inventory!$P:$P,"R-RETIRED_IN_CMDB"))</f>
        <v/>
      </c>
      <c r="K51" s="14" t="str">
        <f ca="1">IF(B51="","",IFERROR(INDEX(Container_Inventory!$F:$F,MATCH(B51,Container_Inventory!$L:$L,0)),"Not Found"))</f>
        <v/>
      </c>
      <c r="L51" s="14" t="str">
        <f ca="1">IF(B51="","",IF(COUNTIF(Finding_List!$A:$A,B51)&gt;0,"Yes","No"))</f>
        <v/>
      </c>
      <c r="M51" s="14" t="str">
        <f ca="1">IF(B51="","",COUNTIF(Server_Inventory!$Z:$Z,B51))</f>
        <v/>
      </c>
      <c r="N51" s="14" t="str">
        <f ca="1">IF(B51="","",COUNTIF(Container_Inventory!$L:$L,B51))</f>
        <v/>
      </c>
    </row>
    <row r="52" spans="1:14" x14ac:dyDescent="0.2">
      <c r="A52" s="8" t="str">
        <f ca="1">IFERROR(INDEX(All_Risk_Apps!$A$4:$A$1233,_xludf.aggregate(15,6,(ROW(All_Risk_Apps!$A$4:$A$1233)-ROW(All_Risk_Apps!$A$4)+1)/(All_Risk_Apps!$J$4:$J$1233="Fast Follower")*(All_Risk_Apps!$A$4:$A$1233&lt;&gt;""),49)),"")</f>
        <v/>
      </c>
      <c r="B52" s="8" t="str">
        <f ca="1">IFERROR(INDEX(All_Risk_Apps!$B$4:$B$1233,_xludf.aggregate(15,6,(ROW(All_Risk_Apps!$A$4:$A$1233)-ROW(All_Risk_Apps!$A$4)+1)/(All_Risk_Apps!$J$4:$J$1233="Fast Follower")*(All_Risk_Apps!$A$4:$A$1233&lt;&gt;""),49)),"")</f>
        <v/>
      </c>
      <c r="C52" s="8" t="str">
        <f ca="1">IFERROR(INDEX(All_Risk_Apps!$D$4:$D$1233,_xludf.aggregate(15,6,(ROW(All_Risk_Apps!$A$4:$A$1233)-ROW(All_Risk_Apps!$A$4)+1)/(All_Risk_Apps!$J$4:$J$1233="Fast Follower")*(All_Risk_Apps!$A$4:$A$1233&lt;&gt;""),49)),"")</f>
        <v/>
      </c>
      <c r="D52" s="8" t="str">
        <f ca="1">IFERROR(INDEX(All_Risk_Apps!$C$4:$C$1233,_xludf.aggregate(15,6,(ROW(All_Risk_Apps!$A$4:$A$1233)-ROW(All_Risk_Apps!$A$4)+1)/(All_Risk_Apps!$J$4:$J$1233="Fast Follower")*(All_Risk_Apps!$A$4:$A$1233&lt;&gt;""),49)),"")</f>
        <v/>
      </c>
      <c r="E52" s="8" t="str">
        <f ca="1">IFERROR(INDEX(All_Risk_Apps!$E$4:$E$1233,_xludf.aggregate(15,6,(ROW(All_Risk_Apps!$A$4:$A$1233)-ROW(All_Risk_Apps!$A$4)+1)/(All_Risk_Apps!$J$4:$J$1233="Fast Follower")*(All_Risk_Apps!$A$4:$A$1233&lt;&gt;""),49)),"")</f>
        <v/>
      </c>
      <c r="F52" s="8" t="str">
        <f ca="1">IFERROR(INDEX(All_Risk_Apps!$F$4:$F$1233,_xludf.aggregate(15,6,(ROW(All_Risk_Apps!$A$4:$A$1233)-ROW(All_Risk_Apps!$A$4)+1)/(All_Risk_Apps!$J$4:$J$1233="Fast Follower")*(All_Risk_Apps!$A$4:$A$1233&lt;&gt;""),49)),"")</f>
        <v/>
      </c>
      <c r="G52" s="8" t="str">
        <f ca="1">IFERROR(INDEX(All_Risk_Apps!$I$4:$I$1233,_xludf.aggregate(15,6,(ROW(All_Risk_Apps!$A$4:$A$1233)-ROW(All_Risk_Apps!$A$4)+1)/(All_Risk_Apps!$J$4:$J$1233="Fast Follower")*(All_Risk_Apps!$A$4:$A$1233&lt;&gt;""),49)),"")</f>
        <v/>
      </c>
      <c r="H52" s="8" t="str">
        <f ca="1">IF(B52="","",IFERROR(INDEX(Server_Inventory!$R:$R,MATCH(B52,Server_Inventory!$Z:$Z,0)),"Not Found"))</f>
        <v/>
      </c>
      <c r="I52" s="8" t="str">
        <f ca="1">IF(B52="","",IFERROR(INDEX(Server_Inventory!$S:$S,MATCH(B52,Server_Inventory!$Z:$Z,0)),"Not Found"))</f>
        <v/>
      </c>
      <c r="J52" s="8" t="str">
        <f ca="1">IF(B52="","",COUNTIFS(Server_Inventory!$Z:$Z,B52,Server_Inventory!$P:$P,"R-RETIRED_IN_CMDB"))</f>
        <v/>
      </c>
      <c r="K52" s="8" t="str">
        <f ca="1">IF(B52="","",IFERROR(INDEX(Container_Inventory!$F:$F,MATCH(B52,Container_Inventory!$L:$L,0)),"Not Found"))</f>
        <v/>
      </c>
      <c r="L52" s="8" t="str">
        <f ca="1">IF(B52="","",IF(COUNTIF(Finding_List!$A:$A,B52)&gt;0,"Yes","No"))</f>
        <v/>
      </c>
      <c r="M52" s="8" t="str">
        <f ca="1">IF(B52="","",COUNTIF(Server_Inventory!$Z:$Z,B52))</f>
        <v/>
      </c>
      <c r="N52" s="8" t="str">
        <f ca="1">IF(B52="","",COUNTIF(Container_Inventory!$L:$L,B52))</f>
        <v/>
      </c>
    </row>
    <row r="53" spans="1:14" x14ac:dyDescent="0.2">
      <c r="A53" s="14" t="str">
        <f ca="1">IFERROR(INDEX(All_Risk_Apps!$A$4:$A$1233,_xludf.aggregate(15,6,(ROW(All_Risk_Apps!$A$4:$A$1233)-ROW(All_Risk_Apps!$A$4)+1)/(All_Risk_Apps!$J$4:$J$1233="Fast Follower")*(All_Risk_Apps!$A$4:$A$1233&lt;&gt;""),50)),"")</f>
        <v/>
      </c>
      <c r="B53" s="14" t="str">
        <f ca="1">IFERROR(INDEX(All_Risk_Apps!$B$4:$B$1233,_xludf.aggregate(15,6,(ROW(All_Risk_Apps!$A$4:$A$1233)-ROW(All_Risk_Apps!$A$4)+1)/(All_Risk_Apps!$J$4:$J$1233="Fast Follower")*(All_Risk_Apps!$A$4:$A$1233&lt;&gt;""),50)),"")</f>
        <v/>
      </c>
      <c r="C53" s="14" t="str">
        <f ca="1">IFERROR(INDEX(All_Risk_Apps!$D$4:$D$1233,_xludf.aggregate(15,6,(ROW(All_Risk_Apps!$A$4:$A$1233)-ROW(All_Risk_Apps!$A$4)+1)/(All_Risk_Apps!$J$4:$J$1233="Fast Follower")*(All_Risk_Apps!$A$4:$A$1233&lt;&gt;""),50)),"")</f>
        <v/>
      </c>
      <c r="D53" s="14" t="str">
        <f ca="1">IFERROR(INDEX(All_Risk_Apps!$C$4:$C$1233,_xludf.aggregate(15,6,(ROW(All_Risk_Apps!$A$4:$A$1233)-ROW(All_Risk_Apps!$A$4)+1)/(All_Risk_Apps!$J$4:$J$1233="Fast Follower")*(All_Risk_Apps!$A$4:$A$1233&lt;&gt;""),50)),"")</f>
        <v/>
      </c>
      <c r="E53" s="14" t="str">
        <f ca="1">IFERROR(INDEX(All_Risk_Apps!$E$4:$E$1233,_xludf.aggregate(15,6,(ROW(All_Risk_Apps!$A$4:$A$1233)-ROW(All_Risk_Apps!$A$4)+1)/(All_Risk_Apps!$J$4:$J$1233="Fast Follower")*(All_Risk_Apps!$A$4:$A$1233&lt;&gt;""),50)),"")</f>
        <v/>
      </c>
      <c r="F53" s="14" t="str">
        <f ca="1">IFERROR(INDEX(All_Risk_Apps!$F$4:$F$1233,_xludf.aggregate(15,6,(ROW(All_Risk_Apps!$A$4:$A$1233)-ROW(All_Risk_Apps!$A$4)+1)/(All_Risk_Apps!$J$4:$J$1233="Fast Follower")*(All_Risk_Apps!$A$4:$A$1233&lt;&gt;""),50)),"")</f>
        <v/>
      </c>
      <c r="G53" s="14" t="str">
        <f ca="1">IFERROR(INDEX(All_Risk_Apps!$I$4:$I$1233,_xludf.aggregate(15,6,(ROW(All_Risk_Apps!$A$4:$A$1233)-ROW(All_Risk_Apps!$A$4)+1)/(All_Risk_Apps!$J$4:$J$1233="Fast Follower")*(All_Risk_Apps!$A$4:$A$1233&lt;&gt;""),50)),"")</f>
        <v/>
      </c>
      <c r="H53" s="14" t="str">
        <f ca="1">IF(B53="","",IFERROR(INDEX(Server_Inventory!$R:$R,MATCH(B53,Server_Inventory!$Z:$Z,0)),"Not Found"))</f>
        <v/>
      </c>
      <c r="I53" s="14" t="str">
        <f ca="1">IF(B53="","",IFERROR(INDEX(Server_Inventory!$S:$S,MATCH(B53,Server_Inventory!$Z:$Z,0)),"Not Found"))</f>
        <v/>
      </c>
      <c r="J53" s="14" t="str">
        <f ca="1">IF(B53="","",COUNTIFS(Server_Inventory!$Z:$Z,B53,Server_Inventory!$P:$P,"R-RETIRED_IN_CMDB"))</f>
        <v/>
      </c>
      <c r="K53" s="14" t="str">
        <f ca="1">IF(B53="","",IFERROR(INDEX(Container_Inventory!$F:$F,MATCH(B53,Container_Inventory!$L:$L,0)),"Not Found"))</f>
        <v/>
      </c>
      <c r="L53" s="14" t="str">
        <f ca="1">IF(B53="","",IF(COUNTIF(Finding_List!$A:$A,B53)&gt;0,"Yes","No"))</f>
        <v/>
      </c>
      <c r="M53" s="14" t="str">
        <f ca="1">IF(B53="","",COUNTIF(Server_Inventory!$Z:$Z,B53))</f>
        <v/>
      </c>
      <c r="N53" s="14" t="str">
        <f ca="1">IF(B53="","",COUNTIF(Container_Inventory!$L:$L,B53))</f>
        <v/>
      </c>
    </row>
    <row r="54" spans="1:14" x14ac:dyDescent="0.2">
      <c r="A54" s="8" t="str">
        <f ca="1">IFERROR(INDEX(All_Risk_Apps!$A$4:$A$1233,_xludf.aggregate(15,6,(ROW(All_Risk_Apps!$A$4:$A$1233)-ROW(All_Risk_Apps!$A$4)+1)/(All_Risk_Apps!$J$4:$J$1233="Fast Follower")*(All_Risk_Apps!$A$4:$A$1233&lt;&gt;""),51)),"")</f>
        <v/>
      </c>
      <c r="B54" s="8" t="str">
        <f ca="1">IFERROR(INDEX(All_Risk_Apps!$B$4:$B$1233,_xludf.aggregate(15,6,(ROW(All_Risk_Apps!$A$4:$A$1233)-ROW(All_Risk_Apps!$A$4)+1)/(All_Risk_Apps!$J$4:$J$1233="Fast Follower")*(All_Risk_Apps!$A$4:$A$1233&lt;&gt;""),51)),"")</f>
        <v/>
      </c>
      <c r="C54" s="8" t="str">
        <f ca="1">IFERROR(INDEX(All_Risk_Apps!$D$4:$D$1233,_xludf.aggregate(15,6,(ROW(All_Risk_Apps!$A$4:$A$1233)-ROW(All_Risk_Apps!$A$4)+1)/(All_Risk_Apps!$J$4:$J$1233="Fast Follower")*(All_Risk_Apps!$A$4:$A$1233&lt;&gt;""),51)),"")</f>
        <v/>
      </c>
      <c r="D54" s="8" t="str">
        <f ca="1">IFERROR(INDEX(All_Risk_Apps!$C$4:$C$1233,_xludf.aggregate(15,6,(ROW(All_Risk_Apps!$A$4:$A$1233)-ROW(All_Risk_Apps!$A$4)+1)/(All_Risk_Apps!$J$4:$J$1233="Fast Follower")*(All_Risk_Apps!$A$4:$A$1233&lt;&gt;""),51)),"")</f>
        <v/>
      </c>
      <c r="E54" s="8" t="str">
        <f ca="1">IFERROR(INDEX(All_Risk_Apps!$E$4:$E$1233,_xludf.aggregate(15,6,(ROW(All_Risk_Apps!$A$4:$A$1233)-ROW(All_Risk_Apps!$A$4)+1)/(All_Risk_Apps!$J$4:$J$1233="Fast Follower")*(All_Risk_Apps!$A$4:$A$1233&lt;&gt;""),51)),"")</f>
        <v/>
      </c>
      <c r="F54" s="8" t="str">
        <f ca="1">IFERROR(INDEX(All_Risk_Apps!$F$4:$F$1233,_xludf.aggregate(15,6,(ROW(All_Risk_Apps!$A$4:$A$1233)-ROW(All_Risk_Apps!$A$4)+1)/(All_Risk_Apps!$J$4:$J$1233="Fast Follower")*(All_Risk_Apps!$A$4:$A$1233&lt;&gt;""),51)),"")</f>
        <v/>
      </c>
      <c r="G54" s="8" t="str">
        <f ca="1">IFERROR(INDEX(All_Risk_Apps!$I$4:$I$1233,_xludf.aggregate(15,6,(ROW(All_Risk_Apps!$A$4:$A$1233)-ROW(All_Risk_Apps!$A$4)+1)/(All_Risk_Apps!$J$4:$J$1233="Fast Follower")*(All_Risk_Apps!$A$4:$A$1233&lt;&gt;""),51)),"")</f>
        <v/>
      </c>
      <c r="H54" s="8" t="str">
        <f ca="1">IF(B54="","",IFERROR(INDEX(Server_Inventory!$R:$R,MATCH(B54,Server_Inventory!$Z:$Z,0)),"Not Found"))</f>
        <v/>
      </c>
      <c r="I54" s="8" t="str">
        <f ca="1">IF(B54="","",IFERROR(INDEX(Server_Inventory!$S:$S,MATCH(B54,Server_Inventory!$Z:$Z,0)),"Not Found"))</f>
        <v/>
      </c>
      <c r="J54" s="8" t="str">
        <f ca="1">IF(B54="","",COUNTIFS(Server_Inventory!$Z:$Z,B54,Server_Inventory!$P:$P,"R-RETIRED_IN_CMDB"))</f>
        <v/>
      </c>
      <c r="K54" s="8" t="str">
        <f ca="1">IF(B54="","",IFERROR(INDEX(Container_Inventory!$F:$F,MATCH(B54,Container_Inventory!$L:$L,0)),"Not Found"))</f>
        <v/>
      </c>
      <c r="L54" s="8" t="str">
        <f ca="1">IF(B54="","",IF(COUNTIF(Finding_List!$A:$A,B54)&gt;0,"Yes","No"))</f>
        <v/>
      </c>
      <c r="M54" s="8" t="str">
        <f ca="1">IF(B54="","",COUNTIF(Server_Inventory!$Z:$Z,B54))</f>
        <v/>
      </c>
      <c r="N54" s="8" t="str">
        <f ca="1">IF(B54="","",COUNTIF(Container_Inventory!$L:$L,B54))</f>
        <v/>
      </c>
    </row>
    <row r="55" spans="1:14" x14ac:dyDescent="0.2">
      <c r="A55" s="14" t="str">
        <f ca="1">IFERROR(INDEX(All_Risk_Apps!$A$4:$A$1233,_xludf.aggregate(15,6,(ROW(All_Risk_Apps!$A$4:$A$1233)-ROW(All_Risk_Apps!$A$4)+1)/(All_Risk_Apps!$J$4:$J$1233="Fast Follower")*(All_Risk_Apps!$A$4:$A$1233&lt;&gt;""),52)),"")</f>
        <v/>
      </c>
      <c r="B55" s="14" t="str">
        <f ca="1">IFERROR(INDEX(All_Risk_Apps!$B$4:$B$1233,_xludf.aggregate(15,6,(ROW(All_Risk_Apps!$A$4:$A$1233)-ROW(All_Risk_Apps!$A$4)+1)/(All_Risk_Apps!$J$4:$J$1233="Fast Follower")*(All_Risk_Apps!$A$4:$A$1233&lt;&gt;""),52)),"")</f>
        <v/>
      </c>
      <c r="C55" s="14" t="str">
        <f ca="1">IFERROR(INDEX(All_Risk_Apps!$D$4:$D$1233,_xludf.aggregate(15,6,(ROW(All_Risk_Apps!$A$4:$A$1233)-ROW(All_Risk_Apps!$A$4)+1)/(All_Risk_Apps!$J$4:$J$1233="Fast Follower")*(All_Risk_Apps!$A$4:$A$1233&lt;&gt;""),52)),"")</f>
        <v/>
      </c>
      <c r="D55" s="14" t="str">
        <f ca="1">IFERROR(INDEX(All_Risk_Apps!$C$4:$C$1233,_xludf.aggregate(15,6,(ROW(All_Risk_Apps!$A$4:$A$1233)-ROW(All_Risk_Apps!$A$4)+1)/(All_Risk_Apps!$J$4:$J$1233="Fast Follower")*(All_Risk_Apps!$A$4:$A$1233&lt;&gt;""),52)),"")</f>
        <v/>
      </c>
      <c r="E55" s="14" t="str">
        <f ca="1">IFERROR(INDEX(All_Risk_Apps!$E$4:$E$1233,_xludf.aggregate(15,6,(ROW(All_Risk_Apps!$A$4:$A$1233)-ROW(All_Risk_Apps!$A$4)+1)/(All_Risk_Apps!$J$4:$J$1233="Fast Follower")*(All_Risk_Apps!$A$4:$A$1233&lt;&gt;""),52)),"")</f>
        <v/>
      </c>
      <c r="F55" s="14" t="str">
        <f ca="1">IFERROR(INDEX(All_Risk_Apps!$F$4:$F$1233,_xludf.aggregate(15,6,(ROW(All_Risk_Apps!$A$4:$A$1233)-ROW(All_Risk_Apps!$A$4)+1)/(All_Risk_Apps!$J$4:$J$1233="Fast Follower")*(All_Risk_Apps!$A$4:$A$1233&lt;&gt;""),52)),"")</f>
        <v/>
      </c>
      <c r="G55" s="14" t="str">
        <f ca="1">IFERROR(INDEX(All_Risk_Apps!$I$4:$I$1233,_xludf.aggregate(15,6,(ROW(All_Risk_Apps!$A$4:$A$1233)-ROW(All_Risk_Apps!$A$4)+1)/(All_Risk_Apps!$J$4:$J$1233="Fast Follower")*(All_Risk_Apps!$A$4:$A$1233&lt;&gt;""),52)),"")</f>
        <v/>
      </c>
      <c r="H55" s="14" t="str">
        <f ca="1">IF(B55="","",IFERROR(INDEX(Server_Inventory!$R:$R,MATCH(B55,Server_Inventory!$Z:$Z,0)),"Not Found"))</f>
        <v/>
      </c>
      <c r="I55" s="14" t="str">
        <f ca="1">IF(B55="","",IFERROR(INDEX(Server_Inventory!$S:$S,MATCH(B55,Server_Inventory!$Z:$Z,0)),"Not Found"))</f>
        <v/>
      </c>
      <c r="J55" s="14" t="str">
        <f ca="1">IF(B55="","",COUNTIFS(Server_Inventory!$Z:$Z,B55,Server_Inventory!$P:$P,"R-RETIRED_IN_CMDB"))</f>
        <v/>
      </c>
      <c r="K55" s="14" t="str">
        <f ca="1">IF(B55="","",IFERROR(INDEX(Container_Inventory!$F:$F,MATCH(B55,Container_Inventory!$L:$L,0)),"Not Found"))</f>
        <v/>
      </c>
      <c r="L55" s="14" t="str">
        <f ca="1">IF(B55="","",IF(COUNTIF(Finding_List!$A:$A,B55)&gt;0,"Yes","No"))</f>
        <v/>
      </c>
      <c r="M55" s="14" t="str">
        <f ca="1">IF(B55="","",COUNTIF(Server_Inventory!$Z:$Z,B55))</f>
        <v/>
      </c>
      <c r="N55" s="14" t="str">
        <f ca="1">IF(B55="","",COUNTIF(Container_Inventory!$L:$L,B55))</f>
        <v/>
      </c>
    </row>
    <row r="56" spans="1:14" x14ac:dyDescent="0.2">
      <c r="A56" s="8" t="str">
        <f ca="1">IFERROR(INDEX(All_Risk_Apps!$A$4:$A$1233,_xludf.aggregate(15,6,(ROW(All_Risk_Apps!$A$4:$A$1233)-ROW(All_Risk_Apps!$A$4)+1)/(All_Risk_Apps!$J$4:$J$1233="Fast Follower")*(All_Risk_Apps!$A$4:$A$1233&lt;&gt;""),53)),"")</f>
        <v/>
      </c>
      <c r="B56" s="8" t="str">
        <f ca="1">IFERROR(INDEX(All_Risk_Apps!$B$4:$B$1233,_xludf.aggregate(15,6,(ROW(All_Risk_Apps!$A$4:$A$1233)-ROW(All_Risk_Apps!$A$4)+1)/(All_Risk_Apps!$J$4:$J$1233="Fast Follower")*(All_Risk_Apps!$A$4:$A$1233&lt;&gt;""),53)),"")</f>
        <v/>
      </c>
      <c r="C56" s="8" t="str">
        <f ca="1">IFERROR(INDEX(All_Risk_Apps!$D$4:$D$1233,_xludf.aggregate(15,6,(ROW(All_Risk_Apps!$A$4:$A$1233)-ROW(All_Risk_Apps!$A$4)+1)/(All_Risk_Apps!$J$4:$J$1233="Fast Follower")*(All_Risk_Apps!$A$4:$A$1233&lt;&gt;""),53)),"")</f>
        <v/>
      </c>
      <c r="D56" s="8" t="str">
        <f ca="1">IFERROR(INDEX(All_Risk_Apps!$C$4:$C$1233,_xludf.aggregate(15,6,(ROW(All_Risk_Apps!$A$4:$A$1233)-ROW(All_Risk_Apps!$A$4)+1)/(All_Risk_Apps!$J$4:$J$1233="Fast Follower")*(All_Risk_Apps!$A$4:$A$1233&lt;&gt;""),53)),"")</f>
        <v/>
      </c>
      <c r="E56" s="8" t="str">
        <f ca="1">IFERROR(INDEX(All_Risk_Apps!$E$4:$E$1233,_xludf.aggregate(15,6,(ROW(All_Risk_Apps!$A$4:$A$1233)-ROW(All_Risk_Apps!$A$4)+1)/(All_Risk_Apps!$J$4:$J$1233="Fast Follower")*(All_Risk_Apps!$A$4:$A$1233&lt;&gt;""),53)),"")</f>
        <v/>
      </c>
      <c r="F56" s="8" t="str">
        <f ca="1">IFERROR(INDEX(All_Risk_Apps!$F$4:$F$1233,_xludf.aggregate(15,6,(ROW(All_Risk_Apps!$A$4:$A$1233)-ROW(All_Risk_Apps!$A$4)+1)/(All_Risk_Apps!$J$4:$J$1233="Fast Follower")*(All_Risk_Apps!$A$4:$A$1233&lt;&gt;""),53)),"")</f>
        <v/>
      </c>
      <c r="G56" s="8" t="str">
        <f ca="1">IFERROR(INDEX(All_Risk_Apps!$I$4:$I$1233,_xludf.aggregate(15,6,(ROW(All_Risk_Apps!$A$4:$A$1233)-ROW(All_Risk_Apps!$A$4)+1)/(All_Risk_Apps!$J$4:$J$1233="Fast Follower")*(All_Risk_Apps!$A$4:$A$1233&lt;&gt;""),53)),"")</f>
        <v/>
      </c>
      <c r="H56" s="8" t="str">
        <f ca="1">IF(B56="","",IFERROR(INDEX(Server_Inventory!$R:$R,MATCH(B56,Server_Inventory!$Z:$Z,0)),"Not Found"))</f>
        <v/>
      </c>
      <c r="I56" s="8" t="str">
        <f ca="1">IF(B56="","",IFERROR(INDEX(Server_Inventory!$S:$S,MATCH(B56,Server_Inventory!$Z:$Z,0)),"Not Found"))</f>
        <v/>
      </c>
      <c r="J56" s="8" t="str">
        <f ca="1">IF(B56="","",COUNTIFS(Server_Inventory!$Z:$Z,B56,Server_Inventory!$P:$P,"R-RETIRED_IN_CMDB"))</f>
        <v/>
      </c>
      <c r="K56" s="8" t="str">
        <f ca="1">IF(B56="","",IFERROR(INDEX(Container_Inventory!$F:$F,MATCH(B56,Container_Inventory!$L:$L,0)),"Not Found"))</f>
        <v/>
      </c>
      <c r="L56" s="8" t="str">
        <f ca="1">IF(B56="","",IF(COUNTIF(Finding_List!$A:$A,B56)&gt;0,"Yes","No"))</f>
        <v/>
      </c>
      <c r="M56" s="8" t="str">
        <f ca="1">IF(B56="","",COUNTIF(Server_Inventory!$Z:$Z,B56))</f>
        <v/>
      </c>
      <c r="N56" s="8" t="str">
        <f ca="1">IF(B56="","",COUNTIF(Container_Inventory!$L:$L,B56))</f>
        <v/>
      </c>
    </row>
    <row r="57" spans="1:14" x14ac:dyDescent="0.2">
      <c r="A57" s="14" t="str">
        <f ca="1">IFERROR(INDEX(All_Risk_Apps!$A$4:$A$1233,_xludf.aggregate(15,6,(ROW(All_Risk_Apps!$A$4:$A$1233)-ROW(All_Risk_Apps!$A$4)+1)/(All_Risk_Apps!$J$4:$J$1233="Fast Follower")*(All_Risk_Apps!$A$4:$A$1233&lt;&gt;""),54)),"")</f>
        <v/>
      </c>
      <c r="B57" s="14" t="str">
        <f ca="1">IFERROR(INDEX(All_Risk_Apps!$B$4:$B$1233,_xludf.aggregate(15,6,(ROW(All_Risk_Apps!$A$4:$A$1233)-ROW(All_Risk_Apps!$A$4)+1)/(All_Risk_Apps!$J$4:$J$1233="Fast Follower")*(All_Risk_Apps!$A$4:$A$1233&lt;&gt;""),54)),"")</f>
        <v/>
      </c>
      <c r="C57" s="14" t="str">
        <f ca="1">IFERROR(INDEX(All_Risk_Apps!$D$4:$D$1233,_xludf.aggregate(15,6,(ROW(All_Risk_Apps!$A$4:$A$1233)-ROW(All_Risk_Apps!$A$4)+1)/(All_Risk_Apps!$J$4:$J$1233="Fast Follower")*(All_Risk_Apps!$A$4:$A$1233&lt;&gt;""),54)),"")</f>
        <v/>
      </c>
      <c r="D57" s="14" t="str">
        <f ca="1">IFERROR(INDEX(All_Risk_Apps!$C$4:$C$1233,_xludf.aggregate(15,6,(ROW(All_Risk_Apps!$A$4:$A$1233)-ROW(All_Risk_Apps!$A$4)+1)/(All_Risk_Apps!$J$4:$J$1233="Fast Follower")*(All_Risk_Apps!$A$4:$A$1233&lt;&gt;""),54)),"")</f>
        <v/>
      </c>
      <c r="E57" s="14" t="str">
        <f ca="1">IFERROR(INDEX(All_Risk_Apps!$E$4:$E$1233,_xludf.aggregate(15,6,(ROW(All_Risk_Apps!$A$4:$A$1233)-ROW(All_Risk_Apps!$A$4)+1)/(All_Risk_Apps!$J$4:$J$1233="Fast Follower")*(All_Risk_Apps!$A$4:$A$1233&lt;&gt;""),54)),"")</f>
        <v/>
      </c>
      <c r="F57" s="14" t="str">
        <f ca="1">IFERROR(INDEX(All_Risk_Apps!$F$4:$F$1233,_xludf.aggregate(15,6,(ROW(All_Risk_Apps!$A$4:$A$1233)-ROW(All_Risk_Apps!$A$4)+1)/(All_Risk_Apps!$J$4:$J$1233="Fast Follower")*(All_Risk_Apps!$A$4:$A$1233&lt;&gt;""),54)),"")</f>
        <v/>
      </c>
      <c r="G57" s="14" t="str">
        <f ca="1">IFERROR(INDEX(All_Risk_Apps!$I$4:$I$1233,_xludf.aggregate(15,6,(ROW(All_Risk_Apps!$A$4:$A$1233)-ROW(All_Risk_Apps!$A$4)+1)/(All_Risk_Apps!$J$4:$J$1233="Fast Follower")*(All_Risk_Apps!$A$4:$A$1233&lt;&gt;""),54)),"")</f>
        <v/>
      </c>
      <c r="H57" s="14" t="str">
        <f ca="1">IF(B57="","",IFERROR(INDEX(Server_Inventory!$R:$R,MATCH(B57,Server_Inventory!$Z:$Z,0)),"Not Found"))</f>
        <v/>
      </c>
      <c r="I57" s="14" t="str">
        <f ca="1">IF(B57="","",IFERROR(INDEX(Server_Inventory!$S:$S,MATCH(B57,Server_Inventory!$Z:$Z,0)),"Not Found"))</f>
        <v/>
      </c>
      <c r="J57" s="14" t="str">
        <f ca="1">IF(B57="","",COUNTIFS(Server_Inventory!$Z:$Z,B57,Server_Inventory!$P:$P,"R-RETIRED_IN_CMDB"))</f>
        <v/>
      </c>
      <c r="K57" s="14" t="str">
        <f ca="1">IF(B57="","",IFERROR(INDEX(Container_Inventory!$F:$F,MATCH(B57,Container_Inventory!$L:$L,0)),"Not Found"))</f>
        <v/>
      </c>
      <c r="L57" s="14" t="str">
        <f ca="1">IF(B57="","",IF(COUNTIF(Finding_List!$A:$A,B57)&gt;0,"Yes","No"))</f>
        <v/>
      </c>
      <c r="M57" s="14" t="str">
        <f ca="1">IF(B57="","",COUNTIF(Server_Inventory!$Z:$Z,B57))</f>
        <v/>
      </c>
      <c r="N57" s="14" t="str">
        <f ca="1">IF(B57="","",COUNTIF(Container_Inventory!$L:$L,B57))</f>
        <v/>
      </c>
    </row>
    <row r="58" spans="1:14" x14ac:dyDescent="0.2">
      <c r="A58" s="8" t="str">
        <f ca="1">IFERROR(INDEX(All_Risk_Apps!$A$4:$A$1233,_xludf.aggregate(15,6,(ROW(All_Risk_Apps!$A$4:$A$1233)-ROW(All_Risk_Apps!$A$4)+1)/(All_Risk_Apps!$J$4:$J$1233="Fast Follower")*(All_Risk_Apps!$A$4:$A$1233&lt;&gt;""),55)),"")</f>
        <v/>
      </c>
      <c r="B58" s="8" t="str">
        <f ca="1">IFERROR(INDEX(All_Risk_Apps!$B$4:$B$1233,_xludf.aggregate(15,6,(ROW(All_Risk_Apps!$A$4:$A$1233)-ROW(All_Risk_Apps!$A$4)+1)/(All_Risk_Apps!$J$4:$J$1233="Fast Follower")*(All_Risk_Apps!$A$4:$A$1233&lt;&gt;""),55)),"")</f>
        <v/>
      </c>
      <c r="C58" s="8" t="str">
        <f ca="1">IFERROR(INDEX(All_Risk_Apps!$D$4:$D$1233,_xludf.aggregate(15,6,(ROW(All_Risk_Apps!$A$4:$A$1233)-ROW(All_Risk_Apps!$A$4)+1)/(All_Risk_Apps!$J$4:$J$1233="Fast Follower")*(All_Risk_Apps!$A$4:$A$1233&lt;&gt;""),55)),"")</f>
        <v/>
      </c>
      <c r="D58" s="8" t="str">
        <f ca="1">IFERROR(INDEX(All_Risk_Apps!$C$4:$C$1233,_xludf.aggregate(15,6,(ROW(All_Risk_Apps!$A$4:$A$1233)-ROW(All_Risk_Apps!$A$4)+1)/(All_Risk_Apps!$J$4:$J$1233="Fast Follower")*(All_Risk_Apps!$A$4:$A$1233&lt;&gt;""),55)),"")</f>
        <v/>
      </c>
      <c r="E58" s="8" t="str">
        <f ca="1">IFERROR(INDEX(All_Risk_Apps!$E$4:$E$1233,_xludf.aggregate(15,6,(ROW(All_Risk_Apps!$A$4:$A$1233)-ROW(All_Risk_Apps!$A$4)+1)/(All_Risk_Apps!$J$4:$J$1233="Fast Follower")*(All_Risk_Apps!$A$4:$A$1233&lt;&gt;""),55)),"")</f>
        <v/>
      </c>
      <c r="F58" s="8" t="str">
        <f ca="1">IFERROR(INDEX(All_Risk_Apps!$F$4:$F$1233,_xludf.aggregate(15,6,(ROW(All_Risk_Apps!$A$4:$A$1233)-ROW(All_Risk_Apps!$A$4)+1)/(All_Risk_Apps!$J$4:$J$1233="Fast Follower")*(All_Risk_Apps!$A$4:$A$1233&lt;&gt;""),55)),"")</f>
        <v/>
      </c>
      <c r="G58" s="8" t="str">
        <f ca="1">IFERROR(INDEX(All_Risk_Apps!$I$4:$I$1233,_xludf.aggregate(15,6,(ROW(All_Risk_Apps!$A$4:$A$1233)-ROW(All_Risk_Apps!$A$4)+1)/(All_Risk_Apps!$J$4:$J$1233="Fast Follower")*(All_Risk_Apps!$A$4:$A$1233&lt;&gt;""),55)),"")</f>
        <v/>
      </c>
      <c r="H58" s="8" t="str">
        <f ca="1">IF(B58="","",IFERROR(INDEX(Server_Inventory!$R:$R,MATCH(B58,Server_Inventory!$Z:$Z,0)),"Not Found"))</f>
        <v/>
      </c>
      <c r="I58" s="8" t="str">
        <f ca="1">IF(B58="","",IFERROR(INDEX(Server_Inventory!$S:$S,MATCH(B58,Server_Inventory!$Z:$Z,0)),"Not Found"))</f>
        <v/>
      </c>
      <c r="J58" s="8" t="str">
        <f ca="1">IF(B58="","",COUNTIFS(Server_Inventory!$Z:$Z,B58,Server_Inventory!$P:$P,"R-RETIRED_IN_CMDB"))</f>
        <v/>
      </c>
      <c r="K58" s="8" t="str">
        <f ca="1">IF(B58="","",IFERROR(INDEX(Container_Inventory!$F:$F,MATCH(B58,Container_Inventory!$L:$L,0)),"Not Found"))</f>
        <v/>
      </c>
      <c r="L58" s="8" t="str">
        <f ca="1">IF(B58="","",IF(COUNTIF(Finding_List!$A:$A,B58)&gt;0,"Yes","No"))</f>
        <v/>
      </c>
      <c r="M58" s="8" t="str">
        <f ca="1">IF(B58="","",COUNTIF(Server_Inventory!$Z:$Z,B58))</f>
        <v/>
      </c>
      <c r="N58" s="8" t="str">
        <f ca="1">IF(B58="","",COUNTIF(Container_Inventory!$L:$L,B58))</f>
        <v/>
      </c>
    </row>
    <row r="59" spans="1:14" x14ac:dyDescent="0.2">
      <c r="A59" s="14" t="str">
        <f ca="1">IFERROR(INDEX(All_Risk_Apps!$A$4:$A$1233,_xludf.aggregate(15,6,(ROW(All_Risk_Apps!$A$4:$A$1233)-ROW(All_Risk_Apps!$A$4)+1)/(All_Risk_Apps!$J$4:$J$1233="Fast Follower")*(All_Risk_Apps!$A$4:$A$1233&lt;&gt;""),56)),"")</f>
        <v/>
      </c>
      <c r="B59" s="14" t="str">
        <f ca="1">IFERROR(INDEX(All_Risk_Apps!$B$4:$B$1233,_xludf.aggregate(15,6,(ROW(All_Risk_Apps!$A$4:$A$1233)-ROW(All_Risk_Apps!$A$4)+1)/(All_Risk_Apps!$J$4:$J$1233="Fast Follower")*(All_Risk_Apps!$A$4:$A$1233&lt;&gt;""),56)),"")</f>
        <v/>
      </c>
      <c r="C59" s="14" t="str">
        <f ca="1">IFERROR(INDEX(All_Risk_Apps!$D$4:$D$1233,_xludf.aggregate(15,6,(ROW(All_Risk_Apps!$A$4:$A$1233)-ROW(All_Risk_Apps!$A$4)+1)/(All_Risk_Apps!$J$4:$J$1233="Fast Follower")*(All_Risk_Apps!$A$4:$A$1233&lt;&gt;""),56)),"")</f>
        <v/>
      </c>
      <c r="D59" s="14" t="str">
        <f ca="1">IFERROR(INDEX(All_Risk_Apps!$C$4:$C$1233,_xludf.aggregate(15,6,(ROW(All_Risk_Apps!$A$4:$A$1233)-ROW(All_Risk_Apps!$A$4)+1)/(All_Risk_Apps!$J$4:$J$1233="Fast Follower")*(All_Risk_Apps!$A$4:$A$1233&lt;&gt;""),56)),"")</f>
        <v/>
      </c>
      <c r="E59" s="14" t="str">
        <f ca="1">IFERROR(INDEX(All_Risk_Apps!$E$4:$E$1233,_xludf.aggregate(15,6,(ROW(All_Risk_Apps!$A$4:$A$1233)-ROW(All_Risk_Apps!$A$4)+1)/(All_Risk_Apps!$J$4:$J$1233="Fast Follower")*(All_Risk_Apps!$A$4:$A$1233&lt;&gt;""),56)),"")</f>
        <v/>
      </c>
      <c r="F59" s="14" t="str">
        <f ca="1">IFERROR(INDEX(All_Risk_Apps!$F$4:$F$1233,_xludf.aggregate(15,6,(ROW(All_Risk_Apps!$A$4:$A$1233)-ROW(All_Risk_Apps!$A$4)+1)/(All_Risk_Apps!$J$4:$J$1233="Fast Follower")*(All_Risk_Apps!$A$4:$A$1233&lt;&gt;""),56)),"")</f>
        <v/>
      </c>
      <c r="G59" s="14" t="str">
        <f ca="1">IFERROR(INDEX(All_Risk_Apps!$I$4:$I$1233,_xludf.aggregate(15,6,(ROW(All_Risk_Apps!$A$4:$A$1233)-ROW(All_Risk_Apps!$A$4)+1)/(All_Risk_Apps!$J$4:$J$1233="Fast Follower")*(All_Risk_Apps!$A$4:$A$1233&lt;&gt;""),56)),"")</f>
        <v/>
      </c>
      <c r="H59" s="14" t="str">
        <f ca="1">IF(B59="","",IFERROR(INDEX(Server_Inventory!$R:$R,MATCH(B59,Server_Inventory!$Z:$Z,0)),"Not Found"))</f>
        <v/>
      </c>
      <c r="I59" s="14" t="str">
        <f ca="1">IF(B59="","",IFERROR(INDEX(Server_Inventory!$S:$S,MATCH(B59,Server_Inventory!$Z:$Z,0)),"Not Found"))</f>
        <v/>
      </c>
      <c r="J59" s="14" t="str">
        <f ca="1">IF(B59="","",COUNTIFS(Server_Inventory!$Z:$Z,B59,Server_Inventory!$P:$P,"R-RETIRED_IN_CMDB"))</f>
        <v/>
      </c>
      <c r="K59" s="14" t="str">
        <f ca="1">IF(B59="","",IFERROR(INDEX(Container_Inventory!$F:$F,MATCH(B59,Container_Inventory!$L:$L,0)),"Not Found"))</f>
        <v/>
      </c>
      <c r="L59" s="14" t="str">
        <f ca="1">IF(B59="","",IF(COUNTIF(Finding_List!$A:$A,B59)&gt;0,"Yes","No"))</f>
        <v/>
      </c>
      <c r="M59" s="14" t="str">
        <f ca="1">IF(B59="","",COUNTIF(Server_Inventory!$Z:$Z,B59))</f>
        <v/>
      </c>
      <c r="N59" s="14" t="str">
        <f ca="1">IF(B59="","",COUNTIF(Container_Inventory!$L:$L,B59))</f>
        <v/>
      </c>
    </row>
    <row r="60" spans="1:14" x14ac:dyDescent="0.2">
      <c r="A60" s="8" t="str">
        <f ca="1">IFERROR(INDEX(All_Risk_Apps!$A$4:$A$1233,_xludf.aggregate(15,6,(ROW(All_Risk_Apps!$A$4:$A$1233)-ROW(All_Risk_Apps!$A$4)+1)/(All_Risk_Apps!$J$4:$J$1233="Fast Follower")*(All_Risk_Apps!$A$4:$A$1233&lt;&gt;""),57)),"")</f>
        <v/>
      </c>
      <c r="B60" s="8" t="str">
        <f ca="1">IFERROR(INDEX(All_Risk_Apps!$B$4:$B$1233,_xludf.aggregate(15,6,(ROW(All_Risk_Apps!$A$4:$A$1233)-ROW(All_Risk_Apps!$A$4)+1)/(All_Risk_Apps!$J$4:$J$1233="Fast Follower")*(All_Risk_Apps!$A$4:$A$1233&lt;&gt;""),57)),"")</f>
        <v/>
      </c>
      <c r="C60" s="8" t="str">
        <f ca="1">IFERROR(INDEX(All_Risk_Apps!$D$4:$D$1233,_xludf.aggregate(15,6,(ROW(All_Risk_Apps!$A$4:$A$1233)-ROW(All_Risk_Apps!$A$4)+1)/(All_Risk_Apps!$J$4:$J$1233="Fast Follower")*(All_Risk_Apps!$A$4:$A$1233&lt;&gt;""),57)),"")</f>
        <v/>
      </c>
      <c r="D60" s="8" t="str">
        <f ca="1">IFERROR(INDEX(All_Risk_Apps!$C$4:$C$1233,_xludf.aggregate(15,6,(ROW(All_Risk_Apps!$A$4:$A$1233)-ROW(All_Risk_Apps!$A$4)+1)/(All_Risk_Apps!$J$4:$J$1233="Fast Follower")*(All_Risk_Apps!$A$4:$A$1233&lt;&gt;""),57)),"")</f>
        <v/>
      </c>
      <c r="E60" s="8" t="str">
        <f ca="1">IFERROR(INDEX(All_Risk_Apps!$E$4:$E$1233,_xludf.aggregate(15,6,(ROW(All_Risk_Apps!$A$4:$A$1233)-ROW(All_Risk_Apps!$A$4)+1)/(All_Risk_Apps!$J$4:$J$1233="Fast Follower")*(All_Risk_Apps!$A$4:$A$1233&lt;&gt;""),57)),"")</f>
        <v/>
      </c>
      <c r="F60" s="8" t="str">
        <f ca="1">IFERROR(INDEX(All_Risk_Apps!$F$4:$F$1233,_xludf.aggregate(15,6,(ROW(All_Risk_Apps!$A$4:$A$1233)-ROW(All_Risk_Apps!$A$4)+1)/(All_Risk_Apps!$J$4:$J$1233="Fast Follower")*(All_Risk_Apps!$A$4:$A$1233&lt;&gt;""),57)),"")</f>
        <v/>
      </c>
      <c r="G60" s="8" t="str">
        <f ca="1">IFERROR(INDEX(All_Risk_Apps!$I$4:$I$1233,_xludf.aggregate(15,6,(ROW(All_Risk_Apps!$A$4:$A$1233)-ROW(All_Risk_Apps!$A$4)+1)/(All_Risk_Apps!$J$4:$J$1233="Fast Follower")*(All_Risk_Apps!$A$4:$A$1233&lt;&gt;""),57)),"")</f>
        <v/>
      </c>
      <c r="H60" s="8" t="str">
        <f ca="1">IF(B60="","",IFERROR(INDEX(Server_Inventory!$R:$R,MATCH(B60,Server_Inventory!$Z:$Z,0)),"Not Found"))</f>
        <v/>
      </c>
      <c r="I60" s="8" t="str">
        <f ca="1">IF(B60="","",IFERROR(INDEX(Server_Inventory!$S:$S,MATCH(B60,Server_Inventory!$Z:$Z,0)),"Not Found"))</f>
        <v/>
      </c>
      <c r="J60" s="8" t="str">
        <f ca="1">IF(B60="","",COUNTIFS(Server_Inventory!$Z:$Z,B60,Server_Inventory!$P:$P,"R-RETIRED_IN_CMDB"))</f>
        <v/>
      </c>
      <c r="K60" s="8" t="str">
        <f ca="1">IF(B60="","",IFERROR(INDEX(Container_Inventory!$F:$F,MATCH(B60,Container_Inventory!$L:$L,0)),"Not Found"))</f>
        <v/>
      </c>
      <c r="L60" s="8" t="str">
        <f ca="1">IF(B60="","",IF(COUNTIF(Finding_List!$A:$A,B60)&gt;0,"Yes","No"))</f>
        <v/>
      </c>
      <c r="M60" s="8" t="str">
        <f ca="1">IF(B60="","",COUNTIF(Server_Inventory!$Z:$Z,B60))</f>
        <v/>
      </c>
      <c r="N60" s="8" t="str">
        <f ca="1">IF(B60="","",COUNTIF(Container_Inventory!$L:$L,B60))</f>
        <v/>
      </c>
    </row>
    <row r="61" spans="1:14" x14ac:dyDescent="0.2">
      <c r="A61" s="14" t="str">
        <f ca="1">IFERROR(INDEX(All_Risk_Apps!$A$4:$A$1233,_xludf.aggregate(15,6,(ROW(All_Risk_Apps!$A$4:$A$1233)-ROW(All_Risk_Apps!$A$4)+1)/(All_Risk_Apps!$J$4:$J$1233="Fast Follower")*(All_Risk_Apps!$A$4:$A$1233&lt;&gt;""),58)),"")</f>
        <v/>
      </c>
      <c r="B61" s="14" t="str">
        <f ca="1">IFERROR(INDEX(All_Risk_Apps!$B$4:$B$1233,_xludf.aggregate(15,6,(ROW(All_Risk_Apps!$A$4:$A$1233)-ROW(All_Risk_Apps!$A$4)+1)/(All_Risk_Apps!$J$4:$J$1233="Fast Follower")*(All_Risk_Apps!$A$4:$A$1233&lt;&gt;""),58)),"")</f>
        <v/>
      </c>
      <c r="C61" s="14" t="str">
        <f ca="1">IFERROR(INDEX(All_Risk_Apps!$D$4:$D$1233,_xludf.aggregate(15,6,(ROW(All_Risk_Apps!$A$4:$A$1233)-ROW(All_Risk_Apps!$A$4)+1)/(All_Risk_Apps!$J$4:$J$1233="Fast Follower")*(All_Risk_Apps!$A$4:$A$1233&lt;&gt;""),58)),"")</f>
        <v/>
      </c>
      <c r="D61" s="14" t="str">
        <f ca="1">IFERROR(INDEX(All_Risk_Apps!$C$4:$C$1233,_xludf.aggregate(15,6,(ROW(All_Risk_Apps!$A$4:$A$1233)-ROW(All_Risk_Apps!$A$4)+1)/(All_Risk_Apps!$J$4:$J$1233="Fast Follower")*(All_Risk_Apps!$A$4:$A$1233&lt;&gt;""),58)),"")</f>
        <v/>
      </c>
      <c r="E61" s="14" t="str">
        <f ca="1">IFERROR(INDEX(All_Risk_Apps!$E$4:$E$1233,_xludf.aggregate(15,6,(ROW(All_Risk_Apps!$A$4:$A$1233)-ROW(All_Risk_Apps!$A$4)+1)/(All_Risk_Apps!$J$4:$J$1233="Fast Follower")*(All_Risk_Apps!$A$4:$A$1233&lt;&gt;""),58)),"")</f>
        <v/>
      </c>
      <c r="F61" s="14" t="str">
        <f ca="1">IFERROR(INDEX(All_Risk_Apps!$F$4:$F$1233,_xludf.aggregate(15,6,(ROW(All_Risk_Apps!$A$4:$A$1233)-ROW(All_Risk_Apps!$A$4)+1)/(All_Risk_Apps!$J$4:$J$1233="Fast Follower")*(All_Risk_Apps!$A$4:$A$1233&lt;&gt;""),58)),"")</f>
        <v/>
      </c>
      <c r="G61" s="14" t="str">
        <f ca="1">IFERROR(INDEX(All_Risk_Apps!$I$4:$I$1233,_xludf.aggregate(15,6,(ROW(All_Risk_Apps!$A$4:$A$1233)-ROW(All_Risk_Apps!$A$4)+1)/(All_Risk_Apps!$J$4:$J$1233="Fast Follower")*(All_Risk_Apps!$A$4:$A$1233&lt;&gt;""),58)),"")</f>
        <v/>
      </c>
      <c r="H61" s="14" t="str">
        <f ca="1">IF(B61="","",IFERROR(INDEX(Server_Inventory!$R:$R,MATCH(B61,Server_Inventory!$Z:$Z,0)),"Not Found"))</f>
        <v/>
      </c>
      <c r="I61" s="14" t="str">
        <f ca="1">IF(B61="","",IFERROR(INDEX(Server_Inventory!$S:$S,MATCH(B61,Server_Inventory!$Z:$Z,0)),"Not Found"))</f>
        <v/>
      </c>
      <c r="J61" s="14" t="str">
        <f ca="1">IF(B61="","",COUNTIFS(Server_Inventory!$Z:$Z,B61,Server_Inventory!$P:$P,"R-RETIRED_IN_CMDB"))</f>
        <v/>
      </c>
      <c r="K61" s="14" t="str">
        <f ca="1">IF(B61="","",IFERROR(INDEX(Container_Inventory!$F:$F,MATCH(B61,Container_Inventory!$L:$L,0)),"Not Found"))</f>
        <v/>
      </c>
      <c r="L61" s="14" t="str">
        <f ca="1">IF(B61="","",IF(COUNTIF(Finding_List!$A:$A,B61)&gt;0,"Yes","No"))</f>
        <v/>
      </c>
      <c r="M61" s="14" t="str">
        <f ca="1">IF(B61="","",COUNTIF(Server_Inventory!$Z:$Z,B61))</f>
        <v/>
      </c>
      <c r="N61" s="14" t="str">
        <f ca="1">IF(B61="","",COUNTIF(Container_Inventory!$L:$L,B61))</f>
        <v/>
      </c>
    </row>
    <row r="62" spans="1:14" x14ac:dyDescent="0.2">
      <c r="A62" s="8" t="str">
        <f ca="1">IFERROR(INDEX(All_Risk_Apps!$A$4:$A$1233,_xludf.aggregate(15,6,(ROW(All_Risk_Apps!$A$4:$A$1233)-ROW(All_Risk_Apps!$A$4)+1)/(All_Risk_Apps!$J$4:$J$1233="Fast Follower")*(All_Risk_Apps!$A$4:$A$1233&lt;&gt;""),59)),"")</f>
        <v/>
      </c>
      <c r="B62" s="8" t="str">
        <f ca="1">IFERROR(INDEX(All_Risk_Apps!$B$4:$B$1233,_xludf.aggregate(15,6,(ROW(All_Risk_Apps!$A$4:$A$1233)-ROW(All_Risk_Apps!$A$4)+1)/(All_Risk_Apps!$J$4:$J$1233="Fast Follower")*(All_Risk_Apps!$A$4:$A$1233&lt;&gt;""),59)),"")</f>
        <v/>
      </c>
      <c r="C62" s="8" t="str">
        <f ca="1">IFERROR(INDEX(All_Risk_Apps!$D$4:$D$1233,_xludf.aggregate(15,6,(ROW(All_Risk_Apps!$A$4:$A$1233)-ROW(All_Risk_Apps!$A$4)+1)/(All_Risk_Apps!$J$4:$J$1233="Fast Follower")*(All_Risk_Apps!$A$4:$A$1233&lt;&gt;""),59)),"")</f>
        <v/>
      </c>
      <c r="D62" s="8" t="str">
        <f ca="1">IFERROR(INDEX(All_Risk_Apps!$C$4:$C$1233,_xludf.aggregate(15,6,(ROW(All_Risk_Apps!$A$4:$A$1233)-ROW(All_Risk_Apps!$A$4)+1)/(All_Risk_Apps!$J$4:$J$1233="Fast Follower")*(All_Risk_Apps!$A$4:$A$1233&lt;&gt;""),59)),"")</f>
        <v/>
      </c>
      <c r="E62" s="8" t="str">
        <f ca="1">IFERROR(INDEX(All_Risk_Apps!$E$4:$E$1233,_xludf.aggregate(15,6,(ROW(All_Risk_Apps!$A$4:$A$1233)-ROW(All_Risk_Apps!$A$4)+1)/(All_Risk_Apps!$J$4:$J$1233="Fast Follower")*(All_Risk_Apps!$A$4:$A$1233&lt;&gt;""),59)),"")</f>
        <v/>
      </c>
      <c r="F62" s="8" t="str">
        <f ca="1">IFERROR(INDEX(All_Risk_Apps!$F$4:$F$1233,_xludf.aggregate(15,6,(ROW(All_Risk_Apps!$A$4:$A$1233)-ROW(All_Risk_Apps!$A$4)+1)/(All_Risk_Apps!$J$4:$J$1233="Fast Follower")*(All_Risk_Apps!$A$4:$A$1233&lt;&gt;""),59)),"")</f>
        <v/>
      </c>
      <c r="G62" s="8" t="str">
        <f ca="1">IFERROR(INDEX(All_Risk_Apps!$I$4:$I$1233,_xludf.aggregate(15,6,(ROW(All_Risk_Apps!$A$4:$A$1233)-ROW(All_Risk_Apps!$A$4)+1)/(All_Risk_Apps!$J$4:$J$1233="Fast Follower")*(All_Risk_Apps!$A$4:$A$1233&lt;&gt;""),59)),"")</f>
        <v/>
      </c>
      <c r="H62" s="8" t="str">
        <f ca="1">IF(B62="","",IFERROR(INDEX(Server_Inventory!$R:$R,MATCH(B62,Server_Inventory!$Z:$Z,0)),"Not Found"))</f>
        <v/>
      </c>
      <c r="I62" s="8" t="str">
        <f ca="1">IF(B62="","",IFERROR(INDEX(Server_Inventory!$S:$S,MATCH(B62,Server_Inventory!$Z:$Z,0)),"Not Found"))</f>
        <v/>
      </c>
      <c r="J62" s="8" t="str">
        <f ca="1">IF(B62="","",COUNTIFS(Server_Inventory!$Z:$Z,B62,Server_Inventory!$P:$P,"R-RETIRED_IN_CMDB"))</f>
        <v/>
      </c>
      <c r="K62" s="8" t="str">
        <f ca="1">IF(B62="","",IFERROR(INDEX(Container_Inventory!$F:$F,MATCH(B62,Container_Inventory!$L:$L,0)),"Not Found"))</f>
        <v/>
      </c>
      <c r="L62" s="8" t="str">
        <f ca="1">IF(B62="","",IF(COUNTIF(Finding_List!$A:$A,B62)&gt;0,"Yes","No"))</f>
        <v/>
      </c>
      <c r="M62" s="8" t="str">
        <f ca="1">IF(B62="","",COUNTIF(Server_Inventory!$Z:$Z,B62))</f>
        <v/>
      </c>
      <c r="N62" s="8" t="str">
        <f ca="1">IF(B62="","",COUNTIF(Container_Inventory!$L:$L,B62))</f>
        <v/>
      </c>
    </row>
    <row r="63" spans="1:14" x14ac:dyDescent="0.2">
      <c r="A63" s="14" t="str">
        <f ca="1">IFERROR(INDEX(All_Risk_Apps!$A$4:$A$1233,_xludf.aggregate(15,6,(ROW(All_Risk_Apps!$A$4:$A$1233)-ROW(All_Risk_Apps!$A$4)+1)/(All_Risk_Apps!$J$4:$J$1233="Fast Follower")*(All_Risk_Apps!$A$4:$A$1233&lt;&gt;""),60)),"")</f>
        <v/>
      </c>
      <c r="B63" s="14" t="str">
        <f ca="1">IFERROR(INDEX(All_Risk_Apps!$B$4:$B$1233,_xludf.aggregate(15,6,(ROW(All_Risk_Apps!$A$4:$A$1233)-ROW(All_Risk_Apps!$A$4)+1)/(All_Risk_Apps!$J$4:$J$1233="Fast Follower")*(All_Risk_Apps!$A$4:$A$1233&lt;&gt;""),60)),"")</f>
        <v/>
      </c>
      <c r="C63" s="14" t="str">
        <f ca="1">IFERROR(INDEX(All_Risk_Apps!$D$4:$D$1233,_xludf.aggregate(15,6,(ROW(All_Risk_Apps!$A$4:$A$1233)-ROW(All_Risk_Apps!$A$4)+1)/(All_Risk_Apps!$J$4:$J$1233="Fast Follower")*(All_Risk_Apps!$A$4:$A$1233&lt;&gt;""),60)),"")</f>
        <v/>
      </c>
      <c r="D63" s="14" t="str">
        <f ca="1">IFERROR(INDEX(All_Risk_Apps!$C$4:$C$1233,_xludf.aggregate(15,6,(ROW(All_Risk_Apps!$A$4:$A$1233)-ROW(All_Risk_Apps!$A$4)+1)/(All_Risk_Apps!$J$4:$J$1233="Fast Follower")*(All_Risk_Apps!$A$4:$A$1233&lt;&gt;""),60)),"")</f>
        <v/>
      </c>
      <c r="E63" s="14" t="str">
        <f ca="1">IFERROR(INDEX(All_Risk_Apps!$E$4:$E$1233,_xludf.aggregate(15,6,(ROW(All_Risk_Apps!$A$4:$A$1233)-ROW(All_Risk_Apps!$A$4)+1)/(All_Risk_Apps!$J$4:$J$1233="Fast Follower")*(All_Risk_Apps!$A$4:$A$1233&lt;&gt;""),60)),"")</f>
        <v/>
      </c>
      <c r="F63" s="14" t="str">
        <f ca="1">IFERROR(INDEX(All_Risk_Apps!$F$4:$F$1233,_xludf.aggregate(15,6,(ROW(All_Risk_Apps!$A$4:$A$1233)-ROW(All_Risk_Apps!$A$4)+1)/(All_Risk_Apps!$J$4:$J$1233="Fast Follower")*(All_Risk_Apps!$A$4:$A$1233&lt;&gt;""),60)),"")</f>
        <v/>
      </c>
      <c r="G63" s="14" t="str">
        <f ca="1">IFERROR(INDEX(All_Risk_Apps!$I$4:$I$1233,_xludf.aggregate(15,6,(ROW(All_Risk_Apps!$A$4:$A$1233)-ROW(All_Risk_Apps!$A$4)+1)/(All_Risk_Apps!$J$4:$J$1233="Fast Follower")*(All_Risk_Apps!$A$4:$A$1233&lt;&gt;""),60)),"")</f>
        <v/>
      </c>
      <c r="H63" s="14" t="str">
        <f ca="1">IF(B63="","",IFERROR(INDEX(Server_Inventory!$R:$R,MATCH(B63,Server_Inventory!$Z:$Z,0)),"Not Found"))</f>
        <v/>
      </c>
      <c r="I63" s="14" t="str">
        <f ca="1">IF(B63="","",IFERROR(INDEX(Server_Inventory!$S:$S,MATCH(B63,Server_Inventory!$Z:$Z,0)),"Not Found"))</f>
        <v/>
      </c>
      <c r="J63" s="14" t="str">
        <f ca="1">IF(B63="","",COUNTIFS(Server_Inventory!$Z:$Z,B63,Server_Inventory!$P:$P,"R-RETIRED_IN_CMDB"))</f>
        <v/>
      </c>
      <c r="K63" s="14" t="str">
        <f ca="1">IF(B63="","",IFERROR(INDEX(Container_Inventory!$F:$F,MATCH(B63,Container_Inventory!$L:$L,0)),"Not Found"))</f>
        <v/>
      </c>
      <c r="L63" s="14" t="str">
        <f ca="1">IF(B63="","",IF(COUNTIF(Finding_List!$A:$A,B63)&gt;0,"Yes","No"))</f>
        <v/>
      </c>
      <c r="M63" s="14" t="str">
        <f ca="1">IF(B63="","",COUNTIF(Server_Inventory!$Z:$Z,B63))</f>
        <v/>
      </c>
      <c r="N63" s="14" t="str">
        <f ca="1">IF(B63="","",COUNTIF(Container_Inventory!$L:$L,B63))</f>
        <v/>
      </c>
    </row>
    <row r="64" spans="1:14" x14ac:dyDescent="0.2">
      <c r="A64" s="8" t="str">
        <f ca="1">IFERROR(INDEX(All_Risk_Apps!$A$4:$A$1233,_xludf.aggregate(15,6,(ROW(All_Risk_Apps!$A$4:$A$1233)-ROW(All_Risk_Apps!$A$4)+1)/(All_Risk_Apps!$J$4:$J$1233="Fast Follower")*(All_Risk_Apps!$A$4:$A$1233&lt;&gt;""),61)),"")</f>
        <v/>
      </c>
      <c r="B64" s="8" t="str">
        <f ca="1">IFERROR(INDEX(All_Risk_Apps!$B$4:$B$1233,_xludf.aggregate(15,6,(ROW(All_Risk_Apps!$A$4:$A$1233)-ROW(All_Risk_Apps!$A$4)+1)/(All_Risk_Apps!$J$4:$J$1233="Fast Follower")*(All_Risk_Apps!$A$4:$A$1233&lt;&gt;""),61)),"")</f>
        <v/>
      </c>
      <c r="C64" s="8" t="str">
        <f ca="1">IFERROR(INDEX(All_Risk_Apps!$D$4:$D$1233,_xludf.aggregate(15,6,(ROW(All_Risk_Apps!$A$4:$A$1233)-ROW(All_Risk_Apps!$A$4)+1)/(All_Risk_Apps!$J$4:$J$1233="Fast Follower")*(All_Risk_Apps!$A$4:$A$1233&lt;&gt;""),61)),"")</f>
        <v/>
      </c>
      <c r="D64" s="8" t="str">
        <f ca="1">IFERROR(INDEX(All_Risk_Apps!$C$4:$C$1233,_xludf.aggregate(15,6,(ROW(All_Risk_Apps!$A$4:$A$1233)-ROW(All_Risk_Apps!$A$4)+1)/(All_Risk_Apps!$J$4:$J$1233="Fast Follower")*(All_Risk_Apps!$A$4:$A$1233&lt;&gt;""),61)),"")</f>
        <v/>
      </c>
      <c r="E64" s="8" t="str">
        <f ca="1">IFERROR(INDEX(All_Risk_Apps!$E$4:$E$1233,_xludf.aggregate(15,6,(ROW(All_Risk_Apps!$A$4:$A$1233)-ROW(All_Risk_Apps!$A$4)+1)/(All_Risk_Apps!$J$4:$J$1233="Fast Follower")*(All_Risk_Apps!$A$4:$A$1233&lt;&gt;""),61)),"")</f>
        <v/>
      </c>
      <c r="F64" s="8" t="str">
        <f ca="1">IFERROR(INDEX(All_Risk_Apps!$F$4:$F$1233,_xludf.aggregate(15,6,(ROW(All_Risk_Apps!$A$4:$A$1233)-ROW(All_Risk_Apps!$A$4)+1)/(All_Risk_Apps!$J$4:$J$1233="Fast Follower")*(All_Risk_Apps!$A$4:$A$1233&lt;&gt;""),61)),"")</f>
        <v/>
      </c>
      <c r="G64" s="8" t="str">
        <f ca="1">IFERROR(INDEX(All_Risk_Apps!$I$4:$I$1233,_xludf.aggregate(15,6,(ROW(All_Risk_Apps!$A$4:$A$1233)-ROW(All_Risk_Apps!$A$4)+1)/(All_Risk_Apps!$J$4:$J$1233="Fast Follower")*(All_Risk_Apps!$A$4:$A$1233&lt;&gt;""),61)),"")</f>
        <v/>
      </c>
      <c r="H64" s="8" t="str">
        <f ca="1">IF(B64="","",IFERROR(INDEX(Server_Inventory!$R:$R,MATCH(B64,Server_Inventory!$Z:$Z,0)),"Not Found"))</f>
        <v/>
      </c>
      <c r="I64" s="8" t="str">
        <f ca="1">IF(B64="","",IFERROR(INDEX(Server_Inventory!$S:$S,MATCH(B64,Server_Inventory!$Z:$Z,0)),"Not Found"))</f>
        <v/>
      </c>
      <c r="J64" s="8" t="str">
        <f ca="1">IF(B64="","",COUNTIFS(Server_Inventory!$Z:$Z,B64,Server_Inventory!$P:$P,"R-RETIRED_IN_CMDB"))</f>
        <v/>
      </c>
      <c r="K64" s="8" t="str">
        <f ca="1">IF(B64="","",IFERROR(INDEX(Container_Inventory!$F:$F,MATCH(B64,Container_Inventory!$L:$L,0)),"Not Found"))</f>
        <v/>
      </c>
      <c r="L64" s="8" t="str">
        <f ca="1">IF(B64="","",IF(COUNTIF(Finding_List!$A:$A,B64)&gt;0,"Yes","No"))</f>
        <v/>
      </c>
      <c r="M64" s="8" t="str">
        <f ca="1">IF(B64="","",COUNTIF(Server_Inventory!$Z:$Z,B64))</f>
        <v/>
      </c>
      <c r="N64" s="8" t="str">
        <f ca="1">IF(B64="","",COUNTIF(Container_Inventory!$L:$L,B64))</f>
        <v/>
      </c>
    </row>
    <row r="65" spans="1:14" x14ac:dyDescent="0.2">
      <c r="A65" s="14" t="str">
        <f ca="1">IFERROR(INDEX(All_Risk_Apps!$A$4:$A$1233,_xludf.aggregate(15,6,(ROW(All_Risk_Apps!$A$4:$A$1233)-ROW(All_Risk_Apps!$A$4)+1)/(All_Risk_Apps!$J$4:$J$1233="Fast Follower")*(All_Risk_Apps!$A$4:$A$1233&lt;&gt;""),62)),"")</f>
        <v/>
      </c>
      <c r="B65" s="14" t="str">
        <f ca="1">IFERROR(INDEX(All_Risk_Apps!$B$4:$B$1233,_xludf.aggregate(15,6,(ROW(All_Risk_Apps!$A$4:$A$1233)-ROW(All_Risk_Apps!$A$4)+1)/(All_Risk_Apps!$J$4:$J$1233="Fast Follower")*(All_Risk_Apps!$A$4:$A$1233&lt;&gt;""),62)),"")</f>
        <v/>
      </c>
      <c r="C65" s="14" t="str">
        <f ca="1">IFERROR(INDEX(All_Risk_Apps!$D$4:$D$1233,_xludf.aggregate(15,6,(ROW(All_Risk_Apps!$A$4:$A$1233)-ROW(All_Risk_Apps!$A$4)+1)/(All_Risk_Apps!$J$4:$J$1233="Fast Follower")*(All_Risk_Apps!$A$4:$A$1233&lt;&gt;""),62)),"")</f>
        <v/>
      </c>
      <c r="D65" s="14" t="str">
        <f ca="1">IFERROR(INDEX(All_Risk_Apps!$C$4:$C$1233,_xludf.aggregate(15,6,(ROW(All_Risk_Apps!$A$4:$A$1233)-ROW(All_Risk_Apps!$A$4)+1)/(All_Risk_Apps!$J$4:$J$1233="Fast Follower")*(All_Risk_Apps!$A$4:$A$1233&lt;&gt;""),62)),"")</f>
        <v/>
      </c>
      <c r="E65" s="14" t="str">
        <f ca="1">IFERROR(INDEX(All_Risk_Apps!$E$4:$E$1233,_xludf.aggregate(15,6,(ROW(All_Risk_Apps!$A$4:$A$1233)-ROW(All_Risk_Apps!$A$4)+1)/(All_Risk_Apps!$J$4:$J$1233="Fast Follower")*(All_Risk_Apps!$A$4:$A$1233&lt;&gt;""),62)),"")</f>
        <v/>
      </c>
      <c r="F65" s="14" t="str">
        <f ca="1">IFERROR(INDEX(All_Risk_Apps!$F$4:$F$1233,_xludf.aggregate(15,6,(ROW(All_Risk_Apps!$A$4:$A$1233)-ROW(All_Risk_Apps!$A$4)+1)/(All_Risk_Apps!$J$4:$J$1233="Fast Follower")*(All_Risk_Apps!$A$4:$A$1233&lt;&gt;""),62)),"")</f>
        <v/>
      </c>
      <c r="G65" s="14" t="str">
        <f ca="1">IFERROR(INDEX(All_Risk_Apps!$I$4:$I$1233,_xludf.aggregate(15,6,(ROW(All_Risk_Apps!$A$4:$A$1233)-ROW(All_Risk_Apps!$A$4)+1)/(All_Risk_Apps!$J$4:$J$1233="Fast Follower")*(All_Risk_Apps!$A$4:$A$1233&lt;&gt;""),62)),"")</f>
        <v/>
      </c>
      <c r="H65" s="14" t="str">
        <f ca="1">IF(B65="","",IFERROR(INDEX(Server_Inventory!$R:$R,MATCH(B65,Server_Inventory!$Z:$Z,0)),"Not Found"))</f>
        <v/>
      </c>
      <c r="I65" s="14" t="str">
        <f ca="1">IF(B65="","",IFERROR(INDEX(Server_Inventory!$S:$S,MATCH(B65,Server_Inventory!$Z:$Z,0)),"Not Found"))</f>
        <v/>
      </c>
      <c r="J65" s="14" t="str">
        <f ca="1">IF(B65="","",COUNTIFS(Server_Inventory!$Z:$Z,B65,Server_Inventory!$P:$P,"R-RETIRED_IN_CMDB"))</f>
        <v/>
      </c>
      <c r="K65" s="14" t="str">
        <f ca="1">IF(B65="","",IFERROR(INDEX(Container_Inventory!$F:$F,MATCH(B65,Container_Inventory!$L:$L,0)),"Not Found"))</f>
        <v/>
      </c>
      <c r="L65" s="14" t="str">
        <f ca="1">IF(B65="","",IF(COUNTIF(Finding_List!$A:$A,B65)&gt;0,"Yes","No"))</f>
        <v/>
      </c>
      <c r="M65" s="14" t="str">
        <f ca="1">IF(B65="","",COUNTIF(Server_Inventory!$Z:$Z,B65))</f>
        <v/>
      </c>
      <c r="N65" s="14" t="str">
        <f ca="1">IF(B65="","",COUNTIF(Container_Inventory!$L:$L,B65))</f>
        <v/>
      </c>
    </row>
    <row r="66" spans="1:14" x14ac:dyDescent="0.2">
      <c r="A66" s="8" t="str">
        <f ca="1">IFERROR(INDEX(All_Risk_Apps!$A$4:$A$1233,_xludf.aggregate(15,6,(ROW(All_Risk_Apps!$A$4:$A$1233)-ROW(All_Risk_Apps!$A$4)+1)/(All_Risk_Apps!$J$4:$J$1233="Fast Follower")*(All_Risk_Apps!$A$4:$A$1233&lt;&gt;""),63)),"")</f>
        <v/>
      </c>
      <c r="B66" s="8" t="str">
        <f ca="1">IFERROR(INDEX(All_Risk_Apps!$B$4:$B$1233,_xludf.aggregate(15,6,(ROW(All_Risk_Apps!$A$4:$A$1233)-ROW(All_Risk_Apps!$A$4)+1)/(All_Risk_Apps!$J$4:$J$1233="Fast Follower")*(All_Risk_Apps!$A$4:$A$1233&lt;&gt;""),63)),"")</f>
        <v/>
      </c>
      <c r="C66" s="8" t="str">
        <f ca="1">IFERROR(INDEX(All_Risk_Apps!$D$4:$D$1233,_xludf.aggregate(15,6,(ROW(All_Risk_Apps!$A$4:$A$1233)-ROW(All_Risk_Apps!$A$4)+1)/(All_Risk_Apps!$J$4:$J$1233="Fast Follower")*(All_Risk_Apps!$A$4:$A$1233&lt;&gt;""),63)),"")</f>
        <v/>
      </c>
      <c r="D66" s="8" t="str">
        <f ca="1">IFERROR(INDEX(All_Risk_Apps!$C$4:$C$1233,_xludf.aggregate(15,6,(ROW(All_Risk_Apps!$A$4:$A$1233)-ROW(All_Risk_Apps!$A$4)+1)/(All_Risk_Apps!$J$4:$J$1233="Fast Follower")*(All_Risk_Apps!$A$4:$A$1233&lt;&gt;""),63)),"")</f>
        <v/>
      </c>
      <c r="E66" s="8" t="str">
        <f ca="1">IFERROR(INDEX(All_Risk_Apps!$E$4:$E$1233,_xludf.aggregate(15,6,(ROW(All_Risk_Apps!$A$4:$A$1233)-ROW(All_Risk_Apps!$A$4)+1)/(All_Risk_Apps!$J$4:$J$1233="Fast Follower")*(All_Risk_Apps!$A$4:$A$1233&lt;&gt;""),63)),"")</f>
        <v/>
      </c>
      <c r="F66" s="8" t="str">
        <f ca="1">IFERROR(INDEX(All_Risk_Apps!$F$4:$F$1233,_xludf.aggregate(15,6,(ROW(All_Risk_Apps!$A$4:$A$1233)-ROW(All_Risk_Apps!$A$4)+1)/(All_Risk_Apps!$J$4:$J$1233="Fast Follower")*(All_Risk_Apps!$A$4:$A$1233&lt;&gt;""),63)),"")</f>
        <v/>
      </c>
      <c r="G66" s="8" t="str">
        <f ca="1">IFERROR(INDEX(All_Risk_Apps!$I$4:$I$1233,_xludf.aggregate(15,6,(ROW(All_Risk_Apps!$A$4:$A$1233)-ROW(All_Risk_Apps!$A$4)+1)/(All_Risk_Apps!$J$4:$J$1233="Fast Follower")*(All_Risk_Apps!$A$4:$A$1233&lt;&gt;""),63)),"")</f>
        <v/>
      </c>
      <c r="H66" s="8" t="str">
        <f ca="1">IF(B66="","",IFERROR(INDEX(Server_Inventory!$R:$R,MATCH(B66,Server_Inventory!$Z:$Z,0)),"Not Found"))</f>
        <v/>
      </c>
      <c r="I66" s="8" t="str">
        <f ca="1">IF(B66="","",IFERROR(INDEX(Server_Inventory!$S:$S,MATCH(B66,Server_Inventory!$Z:$Z,0)),"Not Found"))</f>
        <v/>
      </c>
      <c r="J66" s="8" t="str">
        <f ca="1">IF(B66="","",COUNTIFS(Server_Inventory!$Z:$Z,B66,Server_Inventory!$P:$P,"R-RETIRED_IN_CMDB"))</f>
        <v/>
      </c>
      <c r="K66" s="8" t="str">
        <f ca="1">IF(B66="","",IFERROR(INDEX(Container_Inventory!$F:$F,MATCH(B66,Container_Inventory!$L:$L,0)),"Not Found"))</f>
        <v/>
      </c>
      <c r="L66" s="8" t="str">
        <f ca="1">IF(B66="","",IF(COUNTIF(Finding_List!$A:$A,B66)&gt;0,"Yes","No"))</f>
        <v/>
      </c>
      <c r="M66" s="8" t="str">
        <f ca="1">IF(B66="","",COUNTIF(Server_Inventory!$Z:$Z,B66))</f>
        <v/>
      </c>
      <c r="N66" s="8" t="str">
        <f ca="1">IF(B66="","",COUNTIF(Container_Inventory!$L:$L,B66))</f>
        <v/>
      </c>
    </row>
    <row r="67" spans="1:14" x14ac:dyDescent="0.2">
      <c r="A67" s="14" t="str">
        <f ca="1">IFERROR(INDEX(All_Risk_Apps!$A$4:$A$1233,_xludf.aggregate(15,6,(ROW(All_Risk_Apps!$A$4:$A$1233)-ROW(All_Risk_Apps!$A$4)+1)/(All_Risk_Apps!$J$4:$J$1233="Fast Follower")*(All_Risk_Apps!$A$4:$A$1233&lt;&gt;""),64)),"")</f>
        <v/>
      </c>
      <c r="B67" s="14" t="str">
        <f ca="1">IFERROR(INDEX(All_Risk_Apps!$B$4:$B$1233,_xludf.aggregate(15,6,(ROW(All_Risk_Apps!$A$4:$A$1233)-ROW(All_Risk_Apps!$A$4)+1)/(All_Risk_Apps!$J$4:$J$1233="Fast Follower")*(All_Risk_Apps!$A$4:$A$1233&lt;&gt;""),64)),"")</f>
        <v/>
      </c>
      <c r="C67" s="14" t="str">
        <f ca="1">IFERROR(INDEX(All_Risk_Apps!$D$4:$D$1233,_xludf.aggregate(15,6,(ROW(All_Risk_Apps!$A$4:$A$1233)-ROW(All_Risk_Apps!$A$4)+1)/(All_Risk_Apps!$J$4:$J$1233="Fast Follower")*(All_Risk_Apps!$A$4:$A$1233&lt;&gt;""),64)),"")</f>
        <v/>
      </c>
      <c r="D67" s="14" t="str">
        <f ca="1">IFERROR(INDEX(All_Risk_Apps!$C$4:$C$1233,_xludf.aggregate(15,6,(ROW(All_Risk_Apps!$A$4:$A$1233)-ROW(All_Risk_Apps!$A$4)+1)/(All_Risk_Apps!$J$4:$J$1233="Fast Follower")*(All_Risk_Apps!$A$4:$A$1233&lt;&gt;""),64)),"")</f>
        <v/>
      </c>
      <c r="E67" s="14" t="str">
        <f ca="1">IFERROR(INDEX(All_Risk_Apps!$E$4:$E$1233,_xludf.aggregate(15,6,(ROW(All_Risk_Apps!$A$4:$A$1233)-ROW(All_Risk_Apps!$A$4)+1)/(All_Risk_Apps!$J$4:$J$1233="Fast Follower")*(All_Risk_Apps!$A$4:$A$1233&lt;&gt;""),64)),"")</f>
        <v/>
      </c>
      <c r="F67" s="14" t="str">
        <f ca="1">IFERROR(INDEX(All_Risk_Apps!$F$4:$F$1233,_xludf.aggregate(15,6,(ROW(All_Risk_Apps!$A$4:$A$1233)-ROW(All_Risk_Apps!$A$4)+1)/(All_Risk_Apps!$J$4:$J$1233="Fast Follower")*(All_Risk_Apps!$A$4:$A$1233&lt;&gt;""),64)),"")</f>
        <v/>
      </c>
      <c r="G67" s="14" t="str">
        <f ca="1">IFERROR(INDEX(All_Risk_Apps!$I$4:$I$1233,_xludf.aggregate(15,6,(ROW(All_Risk_Apps!$A$4:$A$1233)-ROW(All_Risk_Apps!$A$4)+1)/(All_Risk_Apps!$J$4:$J$1233="Fast Follower")*(All_Risk_Apps!$A$4:$A$1233&lt;&gt;""),64)),"")</f>
        <v/>
      </c>
      <c r="H67" s="14" t="str">
        <f ca="1">IF(B67="","",IFERROR(INDEX(Server_Inventory!$R:$R,MATCH(B67,Server_Inventory!$Z:$Z,0)),"Not Found"))</f>
        <v/>
      </c>
      <c r="I67" s="14" t="str">
        <f ca="1">IF(B67="","",IFERROR(INDEX(Server_Inventory!$S:$S,MATCH(B67,Server_Inventory!$Z:$Z,0)),"Not Found"))</f>
        <v/>
      </c>
      <c r="J67" s="14" t="str">
        <f ca="1">IF(B67="","",COUNTIFS(Server_Inventory!$Z:$Z,B67,Server_Inventory!$P:$P,"R-RETIRED_IN_CMDB"))</f>
        <v/>
      </c>
      <c r="K67" s="14" t="str">
        <f ca="1">IF(B67="","",IFERROR(INDEX(Container_Inventory!$F:$F,MATCH(B67,Container_Inventory!$L:$L,0)),"Not Found"))</f>
        <v/>
      </c>
      <c r="L67" s="14" t="str">
        <f ca="1">IF(B67="","",IF(COUNTIF(Finding_List!$A:$A,B67)&gt;0,"Yes","No"))</f>
        <v/>
      </c>
      <c r="M67" s="14" t="str">
        <f ca="1">IF(B67="","",COUNTIF(Server_Inventory!$Z:$Z,B67))</f>
        <v/>
      </c>
      <c r="N67" s="14" t="str">
        <f ca="1">IF(B67="","",COUNTIF(Container_Inventory!$L:$L,B67))</f>
        <v/>
      </c>
    </row>
    <row r="68" spans="1:14" x14ac:dyDescent="0.2">
      <c r="A68" s="8" t="str">
        <f ca="1">IFERROR(INDEX(All_Risk_Apps!$A$4:$A$1233,_xludf.aggregate(15,6,(ROW(All_Risk_Apps!$A$4:$A$1233)-ROW(All_Risk_Apps!$A$4)+1)/(All_Risk_Apps!$J$4:$J$1233="Fast Follower")*(All_Risk_Apps!$A$4:$A$1233&lt;&gt;""),65)),"")</f>
        <v/>
      </c>
      <c r="B68" s="8" t="str">
        <f ca="1">IFERROR(INDEX(All_Risk_Apps!$B$4:$B$1233,_xludf.aggregate(15,6,(ROW(All_Risk_Apps!$A$4:$A$1233)-ROW(All_Risk_Apps!$A$4)+1)/(All_Risk_Apps!$J$4:$J$1233="Fast Follower")*(All_Risk_Apps!$A$4:$A$1233&lt;&gt;""),65)),"")</f>
        <v/>
      </c>
      <c r="C68" s="8" t="str">
        <f ca="1">IFERROR(INDEX(All_Risk_Apps!$D$4:$D$1233,_xludf.aggregate(15,6,(ROW(All_Risk_Apps!$A$4:$A$1233)-ROW(All_Risk_Apps!$A$4)+1)/(All_Risk_Apps!$J$4:$J$1233="Fast Follower")*(All_Risk_Apps!$A$4:$A$1233&lt;&gt;""),65)),"")</f>
        <v/>
      </c>
      <c r="D68" s="8" t="str">
        <f ca="1">IFERROR(INDEX(All_Risk_Apps!$C$4:$C$1233,_xludf.aggregate(15,6,(ROW(All_Risk_Apps!$A$4:$A$1233)-ROW(All_Risk_Apps!$A$4)+1)/(All_Risk_Apps!$J$4:$J$1233="Fast Follower")*(All_Risk_Apps!$A$4:$A$1233&lt;&gt;""),65)),"")</f>
        <v/>
      </c>
      <c r="E68" s="8" t="str">
        <f ca="1">IFERROR(INDEX(All_Risk_Apps!$E$4:$E$1233,_xludf.aggregate(15,6,(ROW(All_Risk_Apps!$A$4:$A$1233)-ROW(All_Risk_Apps!$A$4)+1)/(All_Risk_Apps!$J$4:$J$1233="Fast Follower")*(All_Risk_Apps!$A$4:$A$1233&lt;&gt;""),65)),"")</f>
        <v/>
      </c>
      <c r="F68" s="8" t="str">
        <f ca="1">IFERROR(INDEX(All_Risk_Apps!$F$4:$F$1233,_xludf.aggregate(15,6,(ROW(All_Risk_Apps!$A$4:$A$1233)-ROW(All_Risk_Apps!$A$4)+1)/(All_Risk_Apps!$J$4:$J$1233="Fast Follower")*(All_Risk_Apps!$A$4:$A$1233&lt;&gt;""),65)),"")</f>
        <v/>
      </c>
      <c r="G68" s="8" t="str">
        <f ca="1">IFERROR(INDEX(All_Risk_Apps!$I$4:$I$1233,_xludf.aggregate(15,6,(ROW(All_Risk_Apps!$A$4:$A$1233)-ROW(All_Risk_Apps!$A$4)+1)/(All_Risk_Apps!$J$4:$J$1233="Fast Follower")*(All_Risk_Apps!$A$4:$A$1233&lt;&gt;""),65)),"")</f>
        <v/>
      </c>
      <c r="H68" s="8" t="str">
        <f ca="1">IF(B68="","",IFERROR(INDEX(Server_Inventory!$R:$R,MATCH(B68,Server_Inventory!$Z:$Z,0)),"Not Found"))</f>
        <v/>
      </c>
      <c r="I68" s="8" t="str">
        <f ca="1">IF(B68="","",IFERROR(INDEX(Server_Inventory!$S:$S,MATCH(B68,Server_Inventory!$Z:$Z,0)),"Not Found"))</f>
        <v/>
      </c>
      <c r="J68" s="8" t="str">
        <f ca="1">IF(B68="","",COUNTIFS(Server_Inventory!$Z:$Z,B68,Server_Inventory!$P:$P,"R-RETIRED_IN_CMDB"))</f>
        <v/>
      </c>
      <c r="K68" s="8" t="str">
        <f ca="1">IF(B68="","",IFERROR(INDEX(Container_Inventory!$F:$F,MATCH(B68,Container_Inventory!$L:$L,0)),"Not Found"))</f>
        <v/>
      </c>
      <c r="L68" s="8" t="str">
        <f ca="1">IF(B68="","",IF(COUNTIF(Finding_List!$A:$A,B68)&gt;0,"Yes","No"))</f>
        <v/>
      </c>
      <c r="M68" s="8" t="str">
        <f ca="1">IF(B68="","",COUNTIF(Server_Inventory!$Z:$Z,B68))</f>
        <v/>
      </c>
      <c r="N68" s="8" t="str">
        <f ca="1">IF(B68="","",COUNTIF(Container_Inventory!$L:$L,B68))</f>
        <v/>
      </c>
    </row>
    <row r="69" spans="1:14" x14ac:dyDescent="0.2">
      <c r="A69" s="14" t="str">
        <f ca="1">IFERROR(INDEX(All_Risk_Apps!$A$4:$A$1233,_xludf.aggregate(15,6,(ROW(All_Risk_Apps!$A$4:$A$1233)-ROW(All_Risk_Apps!$A$4)+1)/(All_Risk_Apps!$J$4:$J$1233="Fast Follower")*(All_Risk_Apps!$A$4:$A$1233&lt;&gt;""),66)),"")</f>
        <v/>
      </c>
      <c r="B69" s="14" t="str">
        <f ca="1">IFERROR(INDEX(All_Risk_Apps!$B$4:$B$1233,_xludf.aggregate(15,6,(ROW(All_Risk_Apps!$A$4:$A$1233)-ROW(All_Risk_Apps!$A$4)+1)/(All_Risk_Apps!$J$4:$J$1233="Fast Follower")*(All_Risk_Apps!$A$4:$A$1233&lt;&gt;""),66)),"")</f>
        <v/>
      </c>
      <c r="C69" s="14" t="str">
        <f ca="1">IFERROR(INDEX(All_Risk_Apps!$D$4:$D$1233,_xludf.aggregate(15,6,(ROW(All_Risk_Apps!$A$4:$A$1233)-ROW(All_Risk_Apps!$A$4)+1)/(All_Risk_Apps!$J$4:$J$1233="Fast Follower")*(All_Risk_Apps!$A$4:$A$1233&lt;&gt;""),66)),"")</f>
        <v/>
      </c>
      <c r="D69" s="14" t="str">
        <f ca="1">IFERROR(INDEX(All_Risk_Apps!$C$4:$C$1233,_xludf.aggregate(15,6,(ROW(All_Risk_Apps!$A$4:$A$1233)-ROW(All_Risk_Apps!$A$4)+1)/(All_Risk_Apps!$J$4:$J$1233="Fast Follower")*(All_Risk_Apps!$A$4:$A$1233&lt;&gt;""),66)),"")</f>
        <v/>
      </c>
      <c r="E69" s="14" t="str">
        <f ca="1">IFERROR(INDEX(All_Risk_Apps!$E$4:$E$1233,_xludf.aggregate(15,6,(ROW(All_Risk_Apps!$A$4:$A$1233)-ROW(All_Risk_Apps!$A$4)+1)/(All_Risk_Apps!$J$4:$J$1233="Fast Follower")*(All_Risk_Apps!$A$4:$A$1233&lt;&gt;""),66)),"")</f>
        <v/>
      </c>
      <c r="F69" s="14" t="str">
        <f ca="1">IFERROR(INDEX(All_Risk_Apps!$F$4:$F$1233,_xludf.aggregate(15,6,(ROW(All_Risk_Apps!$A$4:$A$1233)-ROW(All_Risk_Apps!$A$4)+1)/(All_Risk_Apps!$J$4:$J$1233="Fast Follower")*(All_Risk_Apps!$A$4:$A$1233&lt;&gt;""),66)),"")</f>
        <v/>
      </c>
      <c r="G69" s="14" t="str">
        <f ca="1">IFERROR(INDEX(All_Risk_Apps!$I$4:$I$1233,_xludf.aggregate(15,6,(ROW(All_Risk_Apps!$A$4:$A$1233)-ROW(All_Risk_Apps!$A$4)+1)/(All_Risk_Apps!$J$4:$J$1233="Fast Follower")*(All_Risk_Apps!$A$4:$A$1233&lt;&gt;""),66)),"")</f>
        <v/>
      </c>
      <c r="H69" s="14" t="str">
        <f ca="1">IF(B69="","",IFERROR(INDEX(Server_Inventory!$R:$R,MATCH(B69,Server_Inventory!$Z:$Z,0)),"Not Found"))</f>
        <v/>
      </c>
      <c r="I69" s="14" t="str">
        <f ca="1">IF(B69="","",IFERROR(INDEX(Server_Inventory!$S:$S,MATCH(B69,Server_Inventory!$Z:$Z,0)),"Not Found"))</f>
        <v/>
      </c>
      <c r="J69" s="14" t="str">
        <f ca="1">IF(B69="","",COUNTIFS(Server_Inventory!$Z:$Z,B69,Server_Inventory!$P:$P,"R-RETIRED_IN_CMDB"))</f>
        <v/>
      </c>
      <c r="K69" s="14" t="str">
        <f ca="1">IF(B69="","",IFERROR(INDEX(Container_Inventory!$F:$F,MATCH(B69,Container_Inventory!$L:$L,0)),"Not Found"))</f>
        <v/>
      </c>
      <c r="L69" s="14" t="str">
        <f ca="1">IF(B69="","",IF(COUNTIF(Finding_List!$A:$A,B69)&gt;0,"Yes","No"))</f>
        <v/>
      </c>
      <c r="M69" s="14" t="str">
        <f ca="1">IF(B69="","",COUNTIF(Server_Inventory!$Z:$Z,B69))</f>
        <v/>
      </c>
      <c r="N69" s="14" t="str">
        <f ca="1">IF(B69="","",COUNTIF(Container_Inventory!$L:$L,B69))</f>
        <v/>
      </c>
    </row>
    <row r="70" spans="1:14" x14ac:dyDescent="0.2">
      <c r="A70" s="8" t="str">
        <f ca="1">IFERROR(INDEX(All_Risk_Apps!$A$4:$A$1233,_xludf.aggregate(15,6,(ROW(All_Risk_Apps!$A$4:$A$1233)-ROW(All_Risk_Apps!$A$4)+1)/(All_Risk_Apps!$J$4:$J$1233="Fast Follower")*(All_Risk_Apps!$A$4:$A$1233&lt;&gt;""),67)),"")</f>
        <v/>
      </c>
      <c r="B70" s="8" t="str">
        <f ca="1">IFERROR(INDEX(All_Risk_Apps!$B$4:$B$1233,_xludf.aggregate(15,6,(ROW(All_Risk_Apps!$A$4:$A$1233)-ROW(All_Risk_Apps!$A$4)+1)/(All_Risk_Apps!$J$4:$J$1233="Fast Follower")*(All_Risk_Apps!$A$4:$A$1233&lt;&gt;""),67)),"")</f>
        <v/>
      </c>
      <c r="C70" s="8" t="str">
        <f ca="1">IFERROR(INDEX(All_Risk_Apps!$D$4:$D$1233,_xludf.aggregate(15,6,(ROW(All_Risk_Apps!$A$4:$A$1233)-ROW(All_Risk_Apps!$A$4)+1)/(All_Risk_Apps!$J$4:$J$1233="Fast Follower")*(All_Risk_Apps!$A$4:$A$1233&lt;&gt;""),67)),"")</f>
        <v/>
      </c>
      <c r="D70" s="8" t="str">
        <f ca="1">IFERROR(INDEX(All_Risk_Apps!$C$4:$C$1233,_xludf.aggregate(15,6,(ROW(All_Risk_Apps!$A$4:$A$1233)-ROW(All_Risk_Apps!$A$4)+1)/(All_Risk_Apps!$J$4:$J$1233="Fast Follower")*(All_Risk_Apps!$A$4:$A$1233&lt;&gt;""),67)),"")</f>
        <v/>
      </c>
      <c r="E70" s="8" t="str">
        <f ca="1">IFERROR(INDEX(All_Risk_Apps!$E$4:$E$1233,_xludf.aggregate(15,6,(ROW(All_Risk_Apps!$A$4:$A$1233)-ROW(All_Risk_Apps!$A$4)+1)/(All_Risk_Apps!$J$4:$J$1233="Fast Follower")*(All_Risk_Apps!$A$4:$A$1233&lt;&gt;""),67)),"")</f>
        <v/>
      </c>
      <c r="F70" s="8" t="str">
        <f ca="1">IFERROR(INDEX(All_Risk_Apps!$F$4:$F$1233,_xludf.aggregate(15,6,(ROW(All_Risk_Apps!$A$4:$A$1233)-ROW(All_Risk_Apps!$A$4)+1)/(All_Risk_Apps!$J$4:$J$1233="Fast Follower")*(All_Risk_Apps!$A$4:$A$1233&lt;&gt;""),67)),"")</f>
        <v/>
      </c>
      <c r="G70" s="8" t="str">
        <f ca="1">IFERROR(INDEX(All_Risk_Apps!$I$4:$I$1233,_xludf.aggregate(15,6,(ROW(All_Risk_Apps!$A$4:$A$1233)-ROW(All_Risk_Apps!$A$4)+1)/(All_Risk_Apps!$J$4:$J$1233="Fast Follower")*(All_Risk_Apps!$A$4:$A$1233&lt;&gt;""),67)),"")</f>
        <v/>
      </c>
      <c r="H70" s="8" t="str">
        <f ca="1">IF(B70="","",IFERROR(INDEX(Server_Inventory!$R:$R,MATCH(B70,Server_Inventory!$Z:$Z,0)),"Not Found"))</f>
        <v/>
      </c>
      <c r="I70" s="8" t="str">
        <f ca="1">IF(B70="","",IFERROR(INDEX(Server_Inventory!$S:$S,MATCH(B70,Server_Inventory!$Z:$Z,0)),"Not Found"))</f>
        <v/>
      </c>
      <c r="J70" s="8" t="str">
        <f ca="1">IF(B70="","",COUNTIFS(Server_Inventory!$Z:$Z,B70,Server_Inventory!$P:$P,"R-RETIRED_IN_CMDB"))</f>
        <v/>
      </c>
      <c r="K70" s="8" t="str">
        <f ca="1">IF(B70="","",IFERROR(INDEX(Container_Inventory!$F:$F,MATCH(B70,Container_Inventory!$L:$L,0)),"Not Found"))</f>
        <v/>
      </c>
      <c r="L70" s="8" t="str">
        <f ca="1">IF(B70="","",IF(COUNTIF(Finding_List!$A:$A,B70)&gt;0,"Yes","No"))</f>
        <v/>
      </c>
      <c r="M70" s="8" t="str">
        <f ca="1">IF(B70="","",COUNTIF(Server_Inventory!$Z:$Z,B70))</f>
        <v/>
      </c>
      <c r="N70" s="8" t="str">
        <f ca="1">IF(B70="","",COUNTIF(Container_Inventory!$L:$L,B70))</f>
        <v/>
      </c>
    </row>
    <row r="71" spans="1:14" x14ac:dyDescent="0.2">
      <c r="A71" s="14" t="str">
        <f ca="1">IFERROR(INDEX(All_Risk_Apps!$A$4:$A$1233,_xludf.aggregate(15,6,(ROW(All_Risk_Apps!$A$4:$A$1233)-ROW(All_Risk_Apps!$A$4)+1)/(All_Risk_Apps!$J$4:$J$1233="Fast Follower")*(All_Risk_Apps!$A$4:$A$1233&lt;&gt;""),68)),"")</f>
        <v/>
      </c>
      <c r="B71" s="14" t="str">
        <f ca="1">IFERROR(INDEX(All_Risk_Apps!$B$4:$B$1233,_xludf.aggregate(15,6,(ROW(All_Risk_Apps!$A$4:$A$1233)-ROW(All_Risk_Apps!$A$4)+1)/(All_Risk_Apps!$J$4:$J$1233="Fast Follower")*(All_Risk_Apps!$A$4:$A$1233&lt;&gt;""),68)),"")</f>
        <v/>
      </c>
      <c r="C71" s="14" t="str">
        <f ca="1">IFERROR(INDEX(All_Risk_Apps!$D$4:$D$1233,_xludf.aggregate(15,6,(ROW(All_Risk_Apps!$A$4:$A$1233)-ROW(All_Risk_Apps!$A$4)+1)/(All_Risk_Apps!$J$4:$J$1233="Fast Follower")*(All_Risk_Apps!$A$4:$A$1233&lt;&gt;""),68)),"")</f>
        <v/>
      </c>
      <c r="D71" s="14" t="str">
        <f ca="1">IFERROR(INDEX(All_Risk_Apps!$C$4:$C$1233,_xludf.aggregate(15,6,(ROW(All_Risk_Apps!$A$4:$A$1233)-ROW(All_Risk_Apps!$A$4)+1)/(All_Risk_Apps!$J$4:$J$1233="Fast Follower")*(All_Risk_Apps!$A$4:$A$1233&lt;&gt;""),68)),"")</f>
        <v/>
      </c>
      <c r="E71" s="14" t="str">
        <f ca="1">IFERROR(INDEX(All_Risk_Apps!$E$4:$E$1233,_xludf.aggregate(15,6,(ROW(All_Risk_Apps!$A$4:$A$1233)-ROW(All_Risk_Apps!$A$4)+1)/(All_Risk_Apps!$J$4:$J$1233="Fast Follower")*(All_Risk_Apps!$A$4:$A$1233&lt;&gt;""),68)),"")</f>
        <v/>
      </c>
      <c r="F71" s="14" t="str">
        <f ca="1">IFERROR(INDEX(All_Risk_Apps!$F$4:$F$1233,_xludf.aggregate(15,6,(ROW(All_Risk_Apps!$A$4:$A$1233)-ROW(All_Risk_Apps!$A$4)+1)/(All_Risk_Apps!$J$4:$J$1233="Fast Follower")*(All_Risk_Apps!$A$4:$A$1233&lt;&gt;""),68)),"")</f>
        <v/>
      </c>
      <c r="G71" s="14" t="str">
        <f ca="1">IFERROR(INDEX(All_Risk_Apps!$I$4:$I$1233,_xludf.aggregate(15,6,(ROW(All_Risk_Apps!$A$4:$A$1233)-ROW(All_Risk_Apps!$A$4)+1)/(All_Risk_Apps!$J$4:$J$1233="Fast Follower")*(All_Risk_Apps!$A$4:$A$1233&lt;&gt;""),68)),"")</f>
        <v/>
      </c>
      <c r="H71" s="14" t="str">
        <f ca="1">IF(B71="","",IFERROR(INDEX(Server_Inventory!$R:$R,MATCH(B71,Server_Inventory!$Z:$Z,0)),"Not Found"))</f>
        <v/>
      </c>
      <c r="I71" s="14" t="str">
        <f ca="1">IF(B71="","",IFERROR(INDEX(Server_Inventory!$S:$S,MATCH(B71,Server_Inventory!$Z:$Z,0)),"Not Found"))</f>
        <v/>
      </c>
      <c r="J71" s="14" t="str">
        <f ca="1">IF(B71="","",COUNTIFS(Server_Inventory!$Z:$Z,B71,Server_Inventory!$P:$P,"R-RETIRED_IN_CMDB"))</f>
        <v/>
      </c>
      <c r="K71" s="14" t="str">
        <f ca="1">IF(B71="","",IFERROR(INDEX(Container_Inventory!$F:$F,MATCH(B71,Container_Inventory!$L:$L,0)),"Not Found"))</f>
        <v/>
      </c>
      <c r="L71" s="14" t="str">
        <f ca="1">IF(B71="","",IF(COUNTIF(Finding_List!$A:$A,B71)&gt;0,"Yes","No"))</f>
        <v/>
      </c>
      <c r="M71" s="14" t="str">
        <f ca="1">IF(B71="","",COUNTIF(Server_Inventory!$Z:$Z,B71))</f>
        <v/>
      </c>
      <c r="N71" s="14" t="str">
        <f ca="1">IF(B71="","",COUNTIF(Container_Inventory!$L:$L,B71))</f>
        <v/>
      </c>
    </row>
    <row r="72" spans="1:14" x14ac:dyDescent="0.2">
      <c r="A72" s="8" t="str">
        <f ca="1">IFERROR(INDEX(All_Risk_Apps!$A$4:$A$1233,_xludf.aggregate(15,6,(ROW(All_Risk_Apps!$A$4:$A$1233)-ROW(All_Risk_Apps!$A$4)+1)/(All_Risk_Apps!$J$4:$J$1233="Fast Follower")*(All_Risk_Apps!$A$4:$A$1233&lt;&gt;""),69)),"")</f>
        <v/>
      </c>
      <c r="B72" s="8" t="str">
        <f ca="1">IFERROR(INDEX(All_Risk_Apps!$B$4:$B$1233,_xludf.aggregate(15,6,(ROW(All_Risk_Apps!$A$4:$A$1233)-ROW(All_Risk_Apps!$A$4)+1)/(All_Risk_Apps!$J$4:$J$1233="Fast Follower")*(All_Risk_Apps!$A$4:$A$1233&lt;&gt;""),69)),"")</f>
        <v/>
      </c>
      <c r="C72" s="8" t="str">
        <f ca="1">IFERROR(INDEX(All_Risk_Apps!$D$4:$D$1233,_xludf.aggregate(15,6,(ROW(All_Risk_Apps!$A$4:$A$1233)-ROW(All_Risk_Apps!$A$4)+1)/(All_Risk_Apps!$J$4:$J$1233="Fast Follower")*(All_Risk_Apps!$A$4:$A$1233&lt;&gt;""),69)),"")</f>
        <v/>
      </c>
      <c r="D72" s="8" t="str">
        <f ca="1">IFERROR(INDEX(All_Risk_Apps!$C$4:$C$1233,_xludf.aggregate(15,6,(ROW(All_Risk_Apps!$A$4:$A$1233)-ROW(All_Risk_Apps!$A$4)+1)/(All_Risk_Apps!$J$4:$J$1233="Fast Follower")*(All_Risk_Apps!$A$4:$A$1233&lt;&gt;""),69)),"")</f>
        <v/>
      </c>
      <c r="E72" s="8" t="str">
        <f ca="1">IFERROR(INDEX(All_Risk_Apps!$E$4:$E$1233,_xludf.aggregate(15,6,(ROW(All_Risk_Apps!$A$4:$A$1233)-ROW(All_Risk_Apps!$A$4)+1)/(All_Risk_Apps!$J$4:$J$1233="Fast Follower")*(All_Risk_Apps!$A$4:$A$1233&lt;&gt;""),69)),"")</f>
        <v/>
      </c>
      <c r="F72" s="8" t="str">
        <f ca="1">IFERROR(INDEX(All_Risk_Apps!$F$4:$F$1233,_xludf.aggregate(15,6,(ROW(All_Risk_Apps!$A$4:$A$1233)-ROW(All_Risk_Apps!$A$4)+1)/(All_Risk_Apps!$J$4:$J$1233="Fast Follower")*(All_Risk_Apps!$A$4:$A$1233&lt;&gt;""),69)),"")</f>
        <v/>
      </c>
      <c r="G72" s="8" t="str">
        <f ca="1">IFERROR(INDEX(All_Risk_Apps!$I$4:$I$1233,_xludf.aggregate(15,6,(ROW(All_Risk_Apps!$A$4:$A$1233)-ROW(All_Risk_Apps!$A$4)+1)/(All_Risk_Apps!$J$4:$J$1233="Fast Follower")*(All_Risk_Apps!$A$4:$A$1233&lt;&gt;""),69)),"")</f>
        <v/>
      </c>
      <c r="H72" s="8" t="str">
        <f ca="1">IF(B72="","",IFERROR(INDEX(Server_Inventory!$R:$R,MATCH(B72,Server_Inventory!$Z:$Z,0)),"Not Found"))</f>
        <v/>
      </c>
      <c r="I72" s="8" t="str">
        <f ca="1">IF(B72="","",IFERROR(INDEX(Server_Inventory!$S:$S,MATCH(B72,Server_Inventory!$Z:$Z,0)),"Not Found"))</f>
        <v/>
      </c>
      <c r="J72" s="8" t="str">
        <f ca="1">IF(B72="","",COUNTIFS(Server_Inventory!$Z:$Z,B72,Server_Inventory!$P:$P,"R-RETIRED_IN_CMDB"))</f>
        <v/>
      </c>
      <c r="K72" s="8" t="str">
        <f ca="1">IF(B72="","",IFERROR(INDEX(Container_Inventory!$F:$F,MATCH(B72,Container_Inventory!$L:$L,0)),"Not Found"))</f>
        <v/>
      </c>
      <c r="L72" s="8" t="str">
        <f ca="1">IF(B72="","",IF(COUNTIF(Finding_List!$A:$A,B72)&gt;0,"Yes","No"))</f>
        <v/>
      </c>
      <c r="M72" s="8" t="str">
        <f ca="1">IF(B72="","",COUNTIF(Server_Inventory!$Z:$Z,B72))</f>
        <v/>
      </c>
      <c r="N72" s="8" t="str">
        <f ca="1">IF(B72="","",COUNTIF(Container_Inventory!$L:$L,B72))</f>
        <v/>
      </c>
    </row>
    <row r="73" spans="1:14" x14ac:dyDescent="0.2">
      <c r="A73" s="14" t="str">
        <f ca="1">IFERROR(INDEX(All_Risk_Apps!$A$4:$A$1233,_xludf.aggregate(15,6,(ROW(All_Risk_Apps!$A$4:$A$1233)-ROW(All_Risk_Apps!$A$4)+1)/(All_Risk_Apps!$J$4:$J$1233="Fast Follower")*(All_Risk_Apps!$A$4:$A$1233&lt;&gt;""),70)),"")</f>
        <v/>
      </c>
      <c r="B73" s="14" t="str">
        <f ca="1">IFERROR(INDEX(All_Risk_Apps!$B$4:$B$1233,_xludf.aggregate(15,6,(ROW(All_Risk_Apps!$A$4:$A$1233)-ROW(All_Risk_Apps!$A$4)+1)/(All_Risk_Apps!$J$4:$J$1233="Fast Follower")*(All_Risk_Apps!$A$4:$A$1233&lt;&gt;""),70)),"")</f>
        <v/>
      </c>
      <c r="C73" s="14" t="str">
        <f ca="1">IFERROR(INDEX(All_Risk_Apps!$D$4:$D$1233,_xludf.aggregate(15,6,(ROW(All_Risk_Apps!$A$4:$A$1233)-ROW(All_Risk_Apps!$A$4)+1)/(All_Risk_Apps!$J$4:$J$1233="Fast Follower")*(All_Risk_Apps!$A$4:$A$1233&lt;&gt;""),70)),"")</f>
        <v/>
      </c>
      <c r="D73" s="14" t="str">
        <f ca="1">IFERROR(INDEX(All_Risk_Apps!$C$4:$C$1233,_xludf.aggregate(15,6,(ROW(All_Risk_Apps!$A$4:$A$1233)-ROW(All_Risk_Apps!$A$4)+1)/(All_Risk_Apps!$J$4:$J$1233="Fast Follower")*(All_Risk_Apps!$A$4:$A$1233&lt;&gt;""),70)),"")</f>
        <v/>
      </c>
      <c r="E73" s="14" t="str">
        <f ca="1">IFERROR(INDEX(All_Risk_Apps!$E$4:$E$1233,_xludf.aggregate(15,6,(ROW(All_Risk_Apps!$A$4:$A$1233)-ROW(All_Risk_Apps!$A$4)+1)/(All_Risk_Apps!$J$4:$J$1233="Fast Follower")*(All_Risk_Apps!$A$4:$A$1233&lt;&gt;""),70)),"")</f>
        <v/>
      </c>
      <c r="F73" s="14" t="str">
        <f ca="1">IFERROR(INDEX(All_Risk_Apps!$F$4:$F$1233,_xludf.aggregate(15,6,(ROW(All_Risk_Apps!$A$4:$A$1233)-ROW(All_Risk_Apps!$A$4)+1)/(All_Risk_Apps!$J$4:$J$1233="Fast Follower")*(All_Risk_Apps!$A$4:$A$1233&lt;&gt;""),70)),"")</f>
        <v/>
      </c>
      <c r="G73" s="14" t="str">
        <f ca="1">IFERROR(INDEX(All_Risk_Apps!$I$4:$I$1233,_xludf.aggregate(15,6,(ROW(All_Risk_Apps!$A$4:$A$1233)-ROW(All_Risk_Apps!$A$4)+1)/(All_Risk_Apps!$J$4:$J$1233="Fast Follower")*(All_Risk_Apps!$A$4:$A$1233&lt;&gt;""),70)),"")</f>
        <v/>
      </c>
      <c r="H73" s="14" t="str">
        <f ca="1">IF(B73="","",IFERROR(INDEX(Server_Inventory!$R:$R,MATCH(B73,Server_Inventory!$Z:$Z,0)),"Not Found"))</f>
        <v/>
      </c>
      <c r="I73" s="14" t="str">
        <f ca="1">IF(B73="","",IFERROR(INDEX(Server_Inventory!$S:$S,MATCH(B73,Server_Inventory!$Z:$Z,0)),"Not Found"))</f>
        <v/>
      </c>
      <c r="J73" s="14" t="str">
        <f ca="1">IF(B73="","",COUNTIFS(Server_Inventory!$Z:$Z,B73,Server_Inventory!$P:$P,"R-RETIRED_IN_CMDB"))</f>
        <v/>
      </c>
      <c r="K73" s="14" t="str">
        <f ca="1">IF(B73="","",IFERROR(INDEX(Container_Inventory!$F:$F,MATCH(B73,Container_Inventory!$L:$L,0)),"Not Found"))</f>
        <v/>
      </c>
      <c r="L73" s="14" t="str">
        <f ca="1">IF(B73="","",IF(COUNTIF(Finding_List!$A:$A,B73)&gt;0,"Yes","No"))</f>
        <v/>
      </c>
      <c r="M73" s="14" t="str">
        <f ca="1">IF(B73="","",COUNTIF(Server_Inventory!$Z:$Z,B73))</f>
        <v/>
      </c>
      <c r="N73" s="14" t="str">
        <f ca="1">IF(B73="","",COUNTIF(Container_Inventory!$L:$L,B73))</f>
        <v/>
      </c>
    </row>
    <row r="74" spans="1:14" x14ac:dyDescent="0.2">
      <c r="A74" s="8" t="str">
        <f ca="1">IFERROR(INDEX(All_Risk_Apps!$A$4:$A$1233,_xludf.aggregate(15,6,(ROW(All_Risk_Apps!$A$4:$A$1233)-ROW(All_Risk_Apps!$A$4)+1)/(All_Risk_Apps!$J$4:$J$1233="Fast Follower")*(All_Risk_Apps!$A$4:$A$1233&lt;&gt;""),71)),"")</f>
        <v/>
      </c>
      <c r="B74" s="8" t="str">
        <f ca="1">IFERROR(INDEX(All_Risk_Apps!$B$4:$B$1233,_xludf.aggregate(15,6,(ROW(All_Risk_Apps!$A$4:$A$1233)-ROW(All_Risk_Apps!$A$4)+1)/(All_Risk_Apps!$J$4:$J$1233="Fast Follower")*(All_Risk_Apps!$A$4:$A$1233&lt;&gt;""),71)),"")</f>
        <v/>
      </c>
      <c r="C74" s="8" t="str">
        <f ca="1">IFERROR(INDEX(All_Risk_Apps!$D$4:$D$1233,_xludf.aggregate(15,6,(ROW(All_Risk_Apps!$A$4:$A$1233)-ROW(All_Risk_Apps!$A$4)+1)/(All_Risk_Apps!$J$4:$J$1233="Fast Follower")*(All_Risk_Apps!$A$4:$A$1233&lt;&gt;""),71)),"")</f>
        <v/>
      </c>
      <c r="D74" s="8" t="str">
        <f ca="1">IFERROR(INDEX(All_Risk_Apps!$C$4:$C$1233,_xludf.aggregate(15,6,(ROW(All_Risk_Apps!$A$4:$A$1233)-ROW(All_Risk_Apps!$A$4)+1)/(All_Risk_Apps!$J$4:$J$1233="Fast Follower")*(All_Risk_Apps!$A$4:$A$1233&lt;&gt;""),71)),"")</f>
        <v/>
      </c>
      <c r="E74" s="8" t="str">
        <f ca="1">IFERROR(INDEX(All_Risk_Apps!$E$4:$E$1233,_xludf.aggregate(15,6,(ROW(All_Risk_Apps!$A$4:$A$1233)-ROW(All_Risk_Apps!$A$4)+1)/(All_Risk_Apps!$J$4:$J$1233="Fast Follower")*(All_Risk_Apps!$A$4:$A$1233&lt;&gt;""),71)),"")</f>
        <v/>
      </c>
      <c r="F74" s="8" t="str">
        <f ca="1">IFERROR(INDEX(All_Risk_Apps!$F$4:$F$1233,_xludf.aggregate(15,6,(ROW(All_Risk_Apps!$A$4:$A$1233)-ROW(All_Risk_Apps!$A$4)+1)/(All_Risk_Apps!$J$4:$J$1233="Fast Follower")*(All_Risk_Apps!$A$4:$A$1233&lt;&gt;""),71)),"")</f>
        <v/>
      </c>
      <c r="G74" s="8" t="str">
        <f ca="1">IFERROR(INDEX(All_Risk_Apps!$I$4:$I$1233,_xludf.aggregate(15,6,(ROW(All_Risk_Apps!$A$4:$A$1233)-ROW(All_Risk_Apps!$A$4)+1)/(All_Risk_Apps!$J$4:$J$1233="Fast Follower")*(All_Risk_Apps!$A$4:$A$1233&lt;&gt;""),71)),"")</f>
        <v/>
      </c>
      <c r="H74" s="8" t="str">
        <f ca="1">IF(B74="","",IFERROR(INDEX(Server_Inventory!$R:$R,MATCH(B74,Server_Inventory!$Z:$Z,0)),"Not Found"))</f>
        <v/>
      </c>
      <c r="I74" s="8" t="str">
        <f ca="1">IF(B74="","",IFERROR(INDEX(Server_Inventory!$S:$S,MATCH(B74,Server_Inventory!$Z:$Z,0)),"Not Found"))</f>
        <v/>
      </c>
      <c r="J74" s="8" t="str">
        <f ca="1">IF(B74="","",COUNTIFS(Server_Inventory!$Z:$Z,B74,Server_Inventory!$P:$P,"R-RETIRED_IN_CMDB"))</f>
        <v/>
      </c>
      <c r="K74" s="8" t="str">
        <f ca="1">IF(B74="","",IFERROR(INDEX(Container_Inventory!$F:$F,MATCH(B74,Container_Inventory!$L:$L,0)),"Not Found"))</f>
        <v/>
      </c>
      <c r="L74" s="8" t="str">
        <f ca="1">IF(B74="","",IF(COUNTIF(Finding_List!$A:$A,B74)&gt;0,"Yes","No"))</f>
        <v/>
      </c>
      <c r="M74" s="8" t="str">
        <f ca="1">IF(B74="","",COUNTIF(Server_Inventory!$Z:$Z,B74))</f>
        <v/>
      </c>
      <c r="N74" s="8" t="str">
        <f ca="1">IF(B74="","",COUNTIF(Container_Inventory!$L:$L,B74))</f>
        <v/>
      </c>
    </row>
    <row r="75" spans="1:14" x14ac:dyDescent="0.2">
      <c r="A75" s="14" t="str">
        <f ca="1">IFERROR(INDEX(All_Risk_Apps!$A$4:$A$1233,_xludf.aggregate(15,6,(ROW(All_Risk_Apps!$A$4:$A$1233)-ROW(All_Risk_Apps!$A$4)+1)/(All_Risk_Apps!$J$4:$J$1233="Fast Follower")*(All_Risk_Apps!$A$4:$A$1233&lt;&gt;""),72)),"")</f>
        <v/>
      </c>
      <c r="B75" s="14" t="str">
        <f ca="1">IFERROR(INDEX(All_Risk_Apps!$B$4:$B$1233,_xludf.aggregate(15,6,(ROW(All_Risk_Apps!$A$4:$A$1233)-ROW(All_Risk_Apps!$A$4)+1)/(All_Risk_Apps!$J$4:$J$1233="Fast Follower")*(All_Risk_Apps!$A$4:$A$1233&lt;&gt;""),72)),"")</f>
        <v/>
      </c>
      <c r="C75" s="14" t="str">
        <f ca="1">IFERROR(INDEX(All_Risk_Apps!$D$4:$D$1233,_xludf.aggregate(15,6,(ROW(All_Risk_Apps!$A$4:$A$1233)-ROW(All_Risk_Apps!$A$4)+1)/(All_Risk_Apps!$J$4:$J$1233="Fast Follower")*(All_Risk_Apps!$A$4:$A$1233&lt;&gt;""),72)),"")</f>
        <v/>
      </c>
      <c r="D75" s="14" t="str">
        <f ca="1">IFERROR(INDEX(All_Risk_Apps!$C$4:$C$1233,_xludf.aggregate(15,6,(ROW(All_Risk_Apps!$A$4:$A$1233)-ROW(All_Risk_Apps!$A$4)+1)/(All_Risk_Apps!$J$4:$J$1233="Fast Follower")*(All_Risk_Apps!$A$4:$A$1233&lt;&gt;""),72)),"")</f>
        <v/>
      </c>
      <c r="E75" s="14" t="str">
        <f ca="1">IFERROR(INDEX(All_Risk_Apps!$E$4:$E$1233,_xludf.aggregate(15,6,(ROW(All_Risk_Apps!$A$4:$A$1233)-ROW(All_Risk_Apps!$A$4)+1)/(All_Risk_Apps!$J$4:$J$1233="Fast Follower")*(All_Risk_Apps!$A$4:$A$1233&lt;&gt;""),72)),"")</f>
        <v/>
      </c>
      <c r="F75" s="14" t="str">
        <f ca="1">IFERROR(INDEX(All_Risk_Apps!$F$4:$F$1233,_xludf.aggregate(15,6,(ROW(All_Risk_Apps!$A$4:$A$1233)-ROW(All_Risk_Apps!$A$4)+1)/(All_Risk_Apps!$J$4:$J$1233="Fast Follower")*(All_Risk_Apps!$A$4:$A$1233&lt;&gt;""),72)),"")</f>
        <v/>
      </c>
      <c r="G75" s="14" t="str">
        <f ca="1">IFERROR(INDEX(All_Risk_Apps!$I$4:$I$1233,_xludf.aggregate(15,6,(ROW(All_Risk_Apps!$A$4:$A$1233)-ROW(All_Risk_Apps!$A$4)+1)/(All_Risk_Apps!$J$4:$J$1233="Fast Follower")*(All_Risk_Apps!$A$4:$A$1233&lt;&gt;""),72)),"")</f>
        <v/>
      </c>
      <c r="H75" s="14" t="str">
        <f ca="1">IF(B75="","",IFERROR(INDEX(Server_Inventory!$R:$R,MATCH(B75,Server_Inventory!$Z:$Z,0)),"Not Found"))</f>
        <v/>
      </c>
      <c r="I75" s="14" t="str">
        <f ca="1">IF(B75="","",IFERROR(INDEX(Server_Inventory!$S:$S,MATCH(B75,Server_Inventory!$Z:$Z,0)),"Not Found"))</f>
        <v/>
      </c>
      <c r="J75" s="14" t="str">
        <f ca="1">IF(B75="","",COUNTIFS(Server_Inventory!$Z:$Z,B75,Server_Inventory!$P:$P,"R-RETIRED_IN_CMDB"))</f>
        <v/>
      </c>
      <c r="K75" s="14" t="str">
        <f ca="1">IF(B75="","",IFERROR(INDEX(Container_Inventory!$F:$F,MATCH(B75,Container_Inventory!$L:$L,0)),"Not Found"))</f>
        <v/>
      </c>
      <c r="L75" s="14" t="str">
        <f ca="1">IF(B75="","",IF(COUNTIF(Finding_List!$A:$A,B75)&gt;0,"Yes","No"))</f>
        <v/>
      </c>
      <c r="M75" s="14" t="str">
        <f ca="1">IF(B75="","",COUNTIF(Server_Inventory!$Z:$Z,B75))</f>
        <v/>
      </c>
      <c r="N75" s="14" t="str">
        <f ca="1">IF(B75="","",COUNTIF(Container_Inventory!$L:$L,B75))</f>
        <v/>
      </c>
    </row>
    <row r="76" spans="1:14" x14ac:dyDescent="0.2">
      <c r="A76" s="8" t="str">
        <f ca="1">IFERROR(INDEX(All_Risk_Apps!$A$4:$A$1233,_xludf.aggregate(15,6,(ROW(All_Risk_Apps!$A$4:$A$1233)-ROW(All_Risk_Apps!$A$4)+1)/(All_Risk_Apps!$J$4:$J$1233="Fast Follower")*(All_Risk_Apps!$A$4:$A$1233&lt;&gt;""),73)),"")</f>
        <v/>
      </c>
      <c r="B76" s="8" t="str">
        <f ca="1">IFERROR(INDEX(All_Risk_Apps!$B$4:$B$1233,_xludf.aggregate(15,6,(ROW(All_Risk_Apps!$A$4:$A$1233)-ROW(All_Risk_Apps!$A$4)+1)/(All_Risk_Apps!$J$4:$J$1233="Fast Follower")*(All_Risk_Apps!$A$4:$A$1233&lt;&gt;""),73)),"")</f>
        <v/>
      </c>
      <c r="C76" s="8" t="str">
        <f ca="1">IFERROR(INDEX(All_Risk_Apps!$D$4:$D$1233,_xludf.aggregate(15,6,(ROW(All_Risk_Apps!$A$4:$A$1233)-ROW(All_Risk_Apps!$A$4)+1)/(All_Risk_Apps!$J$4:$J$1233="Fast Follower")*(All_Risk_Apps!$A$4:$A$1233&lt;&gt;""),73)),"")</f>
        <v/>
      </c>
      <c r="D76" s="8" t="str">
        <f ca="1">IFERROR(INDEX(All_Risk_Apps!$C$4:$C$1233,_xludf.aggregate(15,6,(ROW(All_Risk_Apps!$A$4:$A$1233)-ROW(All_Risk_Apps!$A$4)+1)/(All_Risk_Apps!$J$4:$J$1233="Fast Follower")*(All_Risk_Apps!$A$4:$A$1233&lt;&gt;""),73)),"")</f>
        <v/>
      </c>
      <c r="E76" s="8" t="str">
        <f ca="1">IFERROR(INDEX(All_Risk_Apps!$E$4:$E$1233,_xludf.aggregate(15,6,(ROW(All_Risk_Apps!$A$4:$A$1233)-ROW(All_Risk_Apps!$A$4)+1)/(All_Risk_Apps!$J$4:$J$1233="Fast Follower")*(All_Risk_Apps!$A$4:$A$1233&lt;&gt;""),73)),"")</f>
        <v/>
      </c>
      <c r="F76" s="8" t="str">
        <f ca="1">IFERROR(INDEX(All_Risk_Apps!$F$4:$F$1233,_xludf.aggregate(15,6,(ROW(All_Risk_Apps!$A$4:$A$1233)-ROW(All_Risk_Apps!$A$4)+1)/(All_Risk_Apps!$J$4:$J$1233="Fast Follower")*(All_Risk_Apps!$A$4:$A$1233&lt;&gt;""),73)),"")</f>
        <v/>
      </c>
      <c r="G76" s="8" t="str">
        <f ca="1">IFERROR(INDEX(All_Risk_Apps!$I$4:$I$1233,_xludf.aggregate(15,6,(ROW(All_Risk_Apps!$A$4:$A$1233)-ROW(All_Risk_Apps!$A$4)+1)/(All_Risk_Apps!$J$4:$J$1233="Fast Follower")*(All_Risk_Apps!$A$4:$A$1233&lt;&gt;""),73)),"")</f>
        <v/>
      </c>
      <c r="H76" s="8" t="str">
        <f ca="1">IF(B76="","",IFERROR(INDEX(Server_Inventory!$R:$R,MATCH(B76,Server_Inventory!$Z:$Z,0)),"Not Found"))</f>
        <v/>
      </c>
      <c r="I76" s="8" t="str">
        <f ca="1">IF(B76="","",IFERROR(INDEX(Server_Inventory!$S:$S,MATCH(B76,Server_Inventory!$Z:$Z,0)),"Not Found"))</f>
        <v/>
      </c>
      <c r="J76" s="8" t="str">
        <f ca="1">IF(B76="","",COUNTIFS(Server_Inventory!$Z:$Z,B76,Server_Inventory!$P:$P,"R-RETIRED_IN_CMDB"))</f>
        <v/>
      </c>
      <c r="K76" s="8" t="str">
        <f ca="1">IF(B76="","",IFERROR(INDEX(Container_Inventory!$F:$F,MATCH(B76,Container_Inventory!$L:$L,0)),"Not Found"))</f>
        <v/>
      </c>
      <c r="L76" s="8" t="str">
        <f ca="1">IF(B76="","",IF(COUNTIF(Finding_List!$A:$A,B76)&gt;0,"Yes","No"))</f>
        <v/>
      </c>
      <c r="M76" s="8" t="str">
        <f ca="1">IF(B76="","",COUNTIF(Server_Inventory!$Z:$Z,B76))</f>
        <v/>
      </c>
      <c r="N76" s="8" t="str">
        <f ca="1">IF(B76="","",COUNTIF(Container_Inventory!$L:$L,B76))</f>
        <v/>
      </c>
    </row>
    <row r="77" spans="1:14" x14ac:dyDescent="0.2">
      <c r="A77" s="14" t="str">
        <f ca="1">IFERROR(INDEX(All_Risk_Apps!$A$4:$A$1233,_xludf.aggregate(15,6,(ROW(All_Risk_Apps!$A$4:$A$1233)-ROW(All_Risk_Apps!$A$4)+1)/(All_Risk_Apps!$J$4:$J$1233="Fast Follower")*(All_Risk_Apps!$A$4:$A$1233&lt;&gt;""),74)),"")</f>
        <v/>
      </c>
      <c r="B77" s="14" t="str">
        <f ca="1">IFERROR(INDEX(All_Risk_Apps!$B$4:$B$1233,_xludf.aggregate(15,6,(ROW(All_Risk_Apps!$A$4:$A$1233)-ROW(All_Risk_Apps!$A$4)+1)/(All_Risk_Apps!$J$4:$J$1233="Fast Follower")*(All_Risk_Apps!$A$4:$A$1233&lt;&gt;""),74)),"")</f>
        <v/>
      </c>
      <c r="C77" s="14" t="str">
        <f ca="1">IFERROR(INDEX(All_Risk_Apps!$D$4:$D$1233,_xludf.aggregate(15,6,(ROW(All_Risk_Apps!$A$4:$A$1233)-ROW(All_Risk_Apps!$A$4)+1)/(All_Risk_Apps!$J$4:$J$1233="Fast Follower")*(All_Risk_Apps!$A$4:$A$1233&lt;&gt;""),74)),"")</f>
        <v/>
      </c>
      <c r="D77" s="14" t="str">
        <f ca="1">IFERROR(INDEX(All_Risk_Apps!$C$4:$C$1233,_xludf.aggregate(15,6,(ROW(All_Risk_Apps!$A$4:$A$1233)-ROW(All_Risk_Apps!$A$4)+1)/(All_Risk_Apps!$J$4:$J$1233="Fast Follower")*(All_Risk_Apps!$A$4:$A$1233&lt;&gt;""),74)),"")</f>
        <v/>
      </c>
      <c r="E77" s="14" t="str">
        <f ca="1">IFERROR(INDEX(All_Risk_Apps!$E$4:$E$1233,_xludf.aggregate(15,6,(ROW(All_Risk_Apps!$A$4:$A$1233)-ROW(All_Risk_Apps!$A$4)+1)/(All_Risk_Apps!$J$4:$J$1233="Fast Follower")*(All_Risk_Apps!$A$4:$A$1233&lt;&gt;""),74)),"")</f>
        <v/>
      </c>
      <c r="F77" s="14" t="str">
        <f ca="1">IFERROR(INDEX(All_Risk_Apps!$F$4:$F$1233,_xludf.aggregate(15,6,(ROW(All_Risk_Apps!$A$4:$A$1233)-ROW(All_Risk_Apps!$A$4)+1)/(All_Risk_Apps!$J$4:$J$1233="Fast Follower")*(All_Risk_Apps!$A$4:$A$1233&lt;&gt;""),74)),"")</f>
        <v/>
      </c>
      <c r="G77" s="14" t="str">
        <f ca="1">IFERROR(INDEX(All_Risk_Apps!$I$4:$I$1233,_xludf.aggregate(15,6,(ROW(All_Risk_Apps!$A$4:$A$1233)-ROW(All_Risk_Apps!$A$4)+1)/(All_Risk_Apps!$J$4:$J$1233="Fast Follower")*(All_Risk_Apps!$A$4:$A$1233&lt;&gt;""),74)),"")</f>
        <v/>
      </c>
      <c r="H77" s="14" t="str">
        <f ca="1">IF(B77="","",IFERROR(INDEX(Server_Inventory!$R:$R,MATCH(B77,Server_Inventory!$Z:$Z,0)),"Not Found"))</f>
        <v/>
      </c>
      <c r="I77" s="14" t="str">
        <f ca="1">IF(B77="","",IFERROR(INDEX(Server_Inventory!$S:$S,MATCH(B77,Server_Inventory!$Z:$Z,0)),"Not Found"))</f>
        <v/>
      </c>
      <c r="J77" s="14" t="str">
        <f ca="1">IF(B77="","",COUNTIFS(Server_Inventory!$Z:$Z,B77,Server_Inventory!$P:$P,"R-RETIRED_IN_CMDB"))</f>
        <v/>
      </c>
      <c r="K77" s="14" t="str">
        <f ca="1">IF(B77="","",IFERROR(INDEX(Container_Inventory!$F:$F,MATCH(B77,Container_Inventory!$L:$L,0)),"Not Found"))</f>
        <v/>
      </c>
      <c r="L77" s="14" t="str">
        <f ca="1">IF(B77="","",IF(COUNTIF(Finding_List!$A:$A,B77)&gt;0,"Yes","No"))</f>
        <v/>
      </c>
      <c r="M77" s="14" t="str">
        <f ca="1">IF(B77="","",COUNTIF(Server_Inventory!$Z:$Z,B77))</f>
        <v/>
      </c>
      <c r="N77" s="14" t="str">
        <f ca="1">IF(B77="","",COUNTIF(Container_Inventory!$L:$L,B77))</f>
        <v/>
      </c>
    </row>
    <row r="78" spans="1:14" x14ac:dyDescent="0.2">
      <c r="A78" s="8" t="str">
        <f ca="1">IFERROR(INDEX(All_Risk_Apps!$A$4:$A$1233,_xludf.aggregate(15,6,(ROW(All_Risk_Apps!$A$4:$A$1233)-ROW(All_Risk_Apps!$A$4)+1)/(All_Risk_Apps!$J$4:$J$1233="Fast Follower")*(All_Risk_Apps!$A$4:$A$1233&lt;&gt;""),75)),"")</f>
        <v/>
      </c>
      <c r="B78" s="8" t="str">
        <f ca="1">IFERROR(INDEX(All_Risk_Apps!$B$4:$B$1233,_xludf.aggregate(15,6,(ROW(All_Risk_Apps!$A$4:$A$1233)-ROW(All_Risk_Apps!$A$4)+1)/(All_Risk_Apps!$J$4:$J$1233="Fast Follower")*(All_Risk_Apps!$A$4:$A$1233&lt;&gt;""),75)),"")</f>
        <v/>
      </c>
      <c r="C78" s="8" t="str">
        <f ca="1">IFERROR(INDEX(All_Risk_Apps!$D$4:$D$1233,_xludf.aggregate(15,6,(ROW(All_Risk_Apps!$A$4:$A$1233)-ROW(All_Risk_Apps!$A$4)+1)/(All_Risk_Apps!$J$4:$J$1233="Fast Follower")*(All_Risk_Apps!$A$4:$A$1233&lt;&gt;""),75)),"")</f>
        <v/>
      </c>
      <c r="D78" s="8" t="str">
        <f ca="1">IFERROR(INDEX(All_Risk_Apps!$C$4:$C$1233,_xludf.aggregate(15,6,(ROW(All_Risk_Apps!$A$4:$A$1233)-ROW(All_Risk_Apps!$A$4)+1)/(All_Risk_Apps!$J$4:$J$1233="Fast Follower")*(All_Risk_Apps!$A$4:$A$1233&lt;&gt;""),75)),"")</f>
        <v/>
      </c>
      <c r="E78" s="8" t="str">
        <f ca="1">IFERROR(INDEX(All_Risk_Apps!$E$4:$E$1233,_xludf.aggregate(15,6,(ROW(All_Risk_Apps!$A$4:$A$1233)-ROW(All_Risk_Apps!$A$4)+1)/(All_Risk_Apps!$J$4:$J$1233="Fast Follower")*(All_Risk_Apps!$A$4:$A$1233&lt;&gt;""),75)),"")</f>
        <v/>
      </c>
      <c r="F78" s="8" t="str">
        <f ca="1">IFERROR(INDEX(All_Risk_Apps!$F$4:$F$1233,_xludf.aggregate(15,6,(ROW(All_Risk_Apps!$A$4:$A$1233)-ROW(All_Risk_Apps!$A$4)+1)/(All_Risk_Apps!$J$4:$J$1233="Fast Follower")*(All_Risk_Apps!$A$4:$A$1233&lt;&gt;""),75)),"")</f>
        <v/>
      </c>
      <c r="G78" s="8" t="str">
        <f ca="1">IFERROR(INDEX(All_Risk_Apps!$I$4:$I$1233,_xludf.aggregate(15,6,(ROW(All_Risk_Apps!$A$4:$A$1233)-ROW(All_Risk_Apps!$A$4)+1)/(All_Risk_Apps!$J$4:$J$1233="Fast Follower")*(All_Risk_Apps!$A$4:$A$1233&lt;&gt;""),75)),"")</f>
        <v/>
      </c>
      <c r="H78" s="8" t="str">
        <f ca="1">IF(B78="","",IFERROR(INDEX(Server_Inventory!$R:$R,MATCH(B78,Server_Inventory!$Z:$Z,0)),"Not Found"))</f>
        <v/>
      </c>
      <c r="I78" s="8" t="str">
        <f ca="1">IF(B78="","",IFERROR(INDEX(Server_Inventory!$S:$S,MATCH(B78,Server_Inventory!$Z:$Z,0)),"Not Found"))</f>
        <v/>
      </c>
      <c r="J78" s="8" t="str">
        <f ca="1">IF(B78="","",COUNTIFS(Server_Inventory!$Z:$Z,B78,Server_Inventory!$P:$P,"R-RETIRED_IN_CMDB"))</f>
        <v/>
      </c>
      <c r="K78" s="8" t="str">
        <f ca="1">IF(B78="","",IFERROR(INDEX(Container_Inventory!$F:$F,MATCH(B78,Container_Inventory!$L:$L,0)),"Not Found"))</f>
        <v/>
      </c>
      <c r="L78" s="8" t="str">
        <f ca="1">IF(B78="","",IF(COUNTIF(Finding_List!$A:$A,B78)&gt;0,"Yes","No"))</f>
        <v/>
      </c>
      <c r="M78" s="8" t="str">
        <f ca="1">IF(B78="","",COUNTIF(Server_Inventory!$Z:$Z,B78))</f>
        <v/>
      </c>
      <c r="N78" s="8" t="str">
        <f ca="1">IF(B78="","",COUNTIF(Container_Inventory!$L:$L,B78))</f>
        <v/>
      </c>
    </row>
    <row r="79" spans="1:14" x14ac:dyDescent="0.2">
      <c r="A79" s="14" t="str">
        <f ca="1">IFERROR(INDEX(All_Risk_Apps!$A$4:$A$1233,_xludf.aggregate(15,6,(ROW(All_Risk_Apps!$A$4:$A$1233)-ROW(All_Risk_Apps!$A$4)+1)/(All_Risk_Apps!$J$4:$J$1233="Fast Follower")*(All_Risk_Apps!$A$4:$A$1233&lt;&gt;""),76)),"")</f>
        <v/>
      </c>
      <c r="B79" s="14" t="str">
        <f ca="1">IFERROR(INDEX(All_Risk_Apps!$B$4:$B$1233,_xludf.aggregate(15,6,(ROW(All_Risk_Apps!$A$4:$A$1233)-ROW(All_Risk_Apps!$A$4)+1)/(All_Risk_Apps!$J$4:$J$1233="Fast Follower")*(All_Risk_Apps!$A$4:$A$1233&lt;&gt;""),76)),"")</f>
        <v/>
      </c>
      <c r="C79" s="14" t="str">
        <f ca="1">IFERROR(INDEX(All_Risk_Apps!$D$4:$D$1233,_xludf.aggregate(15,6,(ROW(All_Risk_Apps!$A$4:$A$1233)-ROW(All_Risk_Apps!$A$4)+1)/(All_Risk_Apps!$J$4:$J$1233="Fast Follower")*(All_Risk_Apps!$A$4:$A$1233&lt;&gt;""),76)),"")</f>
        <v/>
      </c>
      <c r="D79" s="14" t="str">
        <f ca="1">IFERROR(INDEX(All_Risk_Apps!$C$4:$C$1233,_xludf.aggregate(15,6,(ROW(All_Risk_Apps!$A$4:$A$1233)-ROW(All_Risk_Apps!$A$4)+1)/(All_Risk_Apps!$J$4:$J$1233="Fast Follower")*(All_Risk_Apps!$A$4:$A$1233&lt;&gt;""),76)),"")</f>
        <v/>
      </c>
      <c r="E79" s="14" t="str">
        <f ca="1">IFERROR(INDEX(All_Risk_Apps!$E$4:$E$1233,_xludf.aggregate(15,6,(ROW(All_Risk_Apps!$A$4:$A$1233)-ROW(All_Risk_Apps!$A$4)+1)/(All_Risk_Apps!$J$4:$J$1233="Fast Follower")*(All_Risk_Apps!$A$4:$A$1233&lt;&gt;""),76)),"")</f>
        <v/>
      </c>
      <c r="F79" s="14" t="str">
        <f ca="1">IFERROR(INDEX(All_Risk_Apps!$F$4:$F$1233,_xludf.aggregate(15,6,(ROW(All_Risk_Apps!$A$4:$A$1233)-ROW(All_Risk_Apps!$A$4)+1)/(All_Risk_Apps!$J$4:$J$1233="Fast Follower")*(All_Risk_Apps!$A$4:$A$1233&lt;&gt;""),76)),"")</f>
        <v/>
      </c>
      <c r="G79" s="14" t="str">
        <f ca="1">IFERROR(INDEX(All_Risk_Apps!$I$4:$I$1233,_xludf.aggregate(15,6,(ROW(All_Risk_Apps!$A$4:$A$1233)-ROW(All_Risk_Apps!$A$4)+1)/(All_Risk_Apps!$J$4:$J$1233="Fast Follower")*(All_Risk_Apps!$A$4:$A$1233&lt;&gt;""),76)),"")</f>
        <v/>
      </c>
      <c r="H79" s="14" t="str">
        <f ca="1">IF(B79="","",IFERROR(INDEX(Server_Inventory!$R:$R,MATCH(B79,Server_Inventory!$Z:$Z,0)),"Not Found"))</f>
        <v/>
      </c>
      <c r="I79" s="14" t="str">
        <f ca="1">IF(B79="","",IFERROR(INDEX(Server_Inventory!$S:$S,MATCH(B79,Server_Inventory!$Z:$Z,0)),"Not Found"))</f>
        <v/>
      </c>
      <c r="J79" s="14" t="str">
        <f ca="1">IF(B79="","",COUNTIFS(Server_Inventory!$Z:$Z,B79,Server_Inventory!$P:$P,"R-RETIRED_IN_CMDB"))</f>
        <v/>
      </c>
      <c r="K79" s="14" t="str">
        <f ca="1">IF(B79="","",IFERROR(INDEX(Container_Inventory!$F:$F,MATCH(B79,Container_Inventory!$L:$L,0)),"Not Found"))</f>
        <v/>
      </c>
      <c r="L79" s="14" t="str">
        <f ca="1">IF(B79="","",IF(COUNTIF(Finding_List!$A:$A,B79)&gt;0,"Yes","No"))</f>
        <v/>
      </c>
      <c r="M79" s="14" t="str">
        <f ca="1">IF(B79="","",COUNTIF(Server_Inventory!$Z:$Z,B79))</f>
        <v/>
      </c>
      <c r="N79" s="14" t="str">
        <f ca="1">IF(B79="","",COUNTIF(Container_Inventory!$L:$L,B79))</f>
        <v/>
      </c>
    </row>
    <row r="80" spans="1:14" x14ac:dyDescent="0.2">
      <c r="A80" s="8" t="str">
        <f ca="1">IFERROR(INDEX(All_Risk_Apps!$A$4:$A$1233,_xludf.aggregate(15,6,(ROW(All_Risk_Apps!$A$4:$A$1233)-ROW(All_Risk_Apps!$A$4)+1)/(All_Risk_Apps!$J$4:$J$1233="Fast Follower")*(All_Risk_Apps!$A$4:$A$1233&lt;&gt;""),77)),"")</f>
        <v/>
      </c>
      <c r="B80" s="8" t="str">
        <f ca="1">IFERROR(INDEX(All_Risk_Apps!$B$4:$B$1233,_xludf.aggregate(15,6,(ROW(All_Risk_Apps!$A$4:$A$1233)-ROW(All_Risk_Apps!$A$4)+1)/(All_Risk_Apps!$J$4:$J$1233="Fast Follower")*(All_Risk_Apps!$A$4:$A$1233&lt;&gt;""),77)),"")</f>
        <v/>
      </c>
      <c r="C80" s="8" t="str">
        <f ca="1">IFERROR(INDEX(All_Risk_Apps!$D$4:$D$1233,_xludf.aggregate(15,6,(ROW(All_Risk_Apps!$A$4:$A$1233)-ROW(All_Risk_Apps!$A$4)+1)/(All_Risk_Apps!$J$4:$J$1233="Fast Follower")*(All_Risk_Apps!$A$4:$A$1233&lt;&gt;""),77)),"")</f>
        <v/>
      </c>
      <c r="D80" s="8" t="str">
        <f ca="1">IFERROR(INDEX(All_Risk_Apps!$C$4:$C$1233,_xludf.aggregate(15,6,(ROW(All_Risk_Apps!$A$4:$A$1233)-ROW(All_Risk_Apps!$A$4)+1)/(All_Risk_Apps!$J$4:$J$1233="Fast Follower")*(All_Risk_Apps!$A$4:$A$1233&lt;&gt;""),77)),"")</f>
        <v/>
      </c>
      <c r="E80" s="8" t="str">
        <f ca="1">IFERROR(INDEX(All_Risk_Apps!$E$4:$E$1233,_xludf.aggregate(15,6,(ROW(All_Risk_Apps!$A$4:$A$1233)-ROW(All_Risk_Apps!$A$4)+1)/(All_Risk_Apps!$J$4:$J$1233="Fast Follower")*(All_Risk_Apps!$A$4:$A$1233&lt;&gt;""),77)),"")</f>
        <v/>
      </c>
      <c r="F80" s="8" t="str">
        <f ca="1">IFERROR(INDEX(All_Risk_Apps!$F$4:$F$1233,_xludf.aggregate(15,6,(ROW(All_Risk_Apps!$A$4:$A$1233)-ROW(All_Risk_Apps!$A$4)+1)/(All_Risk_Apps!$J$4:$J$1233="Fast Follower")*(All_Risk_Apps!$A$4:$A$1233&lt;&gt;""),77)),"")</f>
        <v/>
      </c>
      <c r="G80" s="8" t="str">
        <f ca="1">IFERROR(INDEX(All_Risk_Apps!$I$4:$I$1233,_xludf.aggregate(15,6,(ROW(All_Risk_Apps!$A$4:$A$1233)-ROW(All_Risk_Apps!$A$4)+1)/(All_Risk_Apps!$J$4:$J$1233="Fast Follower")*(All_Risk_Apps!$A$4:$A$1233&lt;&gt;""),77)),"")</f>
        <v/>
      </c>
      <c r="H80" s="8" t="str">
        <f ca="1">IF(B80="","",IFERROR(INDEX(Server_Inventory!$R:$R,MATCH(B80,Server_Inventory!$Z:$Z,0)),"Not Found"))</f>
        <v/>
      </c>
      <c r="I80" s="8" t="str">
        <f ca="1">IF(B80="","",IFERROR(INDEX(Server_Inventory!$S:$S,MATCH(B80,Server_Inventory!$Z:$Z,0)),"Not Found"))</f>
        <v/>
      </c>
      <c r="J80" s="8" t="str">
        <f ca="1">IF(B80="","",COUNTIFS(Server_Inventory!$Z:$Z,B80,Server_Inventory!$P:$P,"R-RETIRED_IN_CMDB"))</f>
        <v/>
      </c>
      <c r="K80" s="8" t="str">
        <f ca="1">IF(B80="","",IFERROR(INDEX(Container_Inventory!$F:$F,MATCH(B80,Container_Inventory!$L:$L,0)),"Not Found"))</f>
        <v/>
      </c>
      <c r="L80" s="8" t="str">
        <f ca="1">IF(B80="","",IF(COUNTIF(Finding_List!$A:$A,B80)&gt;0,"Yes","No"))</f>
        <v/>
      </c>
      <c r="M80" s="8" t="str">
        <f ca="1">IF(B80="","",COUNTIF(Server_Inventory!$Z:$Z,B80))</f>
        <v/>
      </c>
      <c r="N80" s="8" t="str">
        <f ca="1">IF(B80="","",COUNTIF(Container_Inventory!$L:$L,B80))</f>
        <v/>
      </c>
    </row>
    <row r="81" spans="1:14" x14ac:dyDescent="0.2">
      <c r="A81" s="14" t="str">
        <f ca="1">IFERROR(INDEX(All_Risk_Apps!$A$4:$A$1233,_xludf.aggregate(15,6,(ROW(All_Risk_Apps!$A$4:$A$1233)-ROW(All_Risk_Apps!$A$4)+1)/(All_Risk_Apps!$J$4:$J$1233="Fast Follower")*(All_Risk_Apps!$A$4:$A$1233&lt;&gt;""),78)),"")</f>
        <v/>
      </c>
      <c r="B81" s="14" t="str">
        <f ca="1">IFERROR(INDEX(All_Risk_Apps!$B$4:$B$1233,_xludf.aggregate(15,6,(ROW(All_Risk_Apps!$A$4:$A$1233)-ROW(All_Risk_Apps!$A$4)+1)/(All_Risk_Apps!$J$4:$J$1233="Fast Follower")*(All_Risk_Apps!$A$4:$A$1233&lt;&gt;""),78)),"")</f>
        <v/>
      </c>
      <c r="C81" s="14" t="str">
        <f ca="1">IFERROR(INDEX(All_Risk_Apps!$D$4:$D$1233,_xludf.aggregate(15,6,(ROW(All_Risk_Apps!$A$4:$A$1233)-ROW(All_Risk_Apps!$A$4)+1)/(All_Risk_Apps!$J$4:$J$1233="Fast Follower")*(All_Risk_Apps!$A$4:$A$1233&lt;&gt;""),78)),"")</f>
        <v/>
      </c>
      <c r="D81" s="14" t="str">
        <f ca="1">IFERROR(INDEX(All_Risk_Apps!$C$4:$C$1233,_xludf.aggregate(15,6,(ROW(All_Risk_Apps!$A$4:$A$1233)-ROW(All_Risk_Apps!$A$4)+1)/(All_Risk_Apps!$J$4:$J$1233="Fast Follower")*(All_Risk_Apps!$A$4:$A$1233&lt;&gt;""),78)),"")</f>
        <v/>
      </c>
      <c r="E81" s="14" t="str">
        <f ca="1">IFERROR(INDEX(All_Risk_Apps!$E$4:$E$1233,_xludf.aggregate(15,6,(ROW(All_Risk_Apps!$A$4:$A$1233)-ROW(All_Risk_Apps!$A$4)+1)/(All_Risk_Apps!$J$4:$J$1233="Fast Follower")*(All_Risk_Apps!$A$4:$A$1233&lt;&gt;""),78)),"")</f>
        <v/>
      </c>
      <c r="F81" s="14" t="str">
        <f ca="1">IFERROR(INDEX(All_Risk_Apps!$F$4:$F$1233,_xludf.aggregate(15,6,(ROW(All_Risk_Apps!$A$4:$A$1233)-ROW(All_Risk_Apps!$A$4)+1)/(All_Risk_Apps!$J$4:$J$1233="Fast Follower")*(All_Risk_Apps!$A$4:$A$1233&lt;&gt;""),78)),"")</f>
        <v/>
      </c>
      <c r="G81" s="14" t="str">
        <f ca="1">IFERROR(INDEX(All_Risk_Apps!$I$4:$I$1233,_xludf.aggregate(15,6,(ROW(All_Risk_Apps!$A$4:$A$1233)-ROW(All_Risk_Apps!$A$4)+1)/(All_Risk_Apps!$J$4:$J$1233="Fast Follower")*(All_Risk_Apps!$A$4:$A$1233&lt;&gt;""),78)),"")</f>
        <v/>
      </c>
      <c r="H81" s="14" t="str">
        <f ca="1">IF(B81="","",IFERROR(INDEX(Server_Inventory!$R:$R,MATCH(B81,Server_Inventory!$Z:$Z,0)),"Not Found"))</f>
        <v/>
      </c>
      <c r="I81" s="14" t="str">
        <f ca="1">IF(B81="","",IFERROR(INDEX(Server_Inventory!$S:$S,MATCH(B81,Server_Inventory!$Z:$Z,0)),"Not Found"))</f>
        <v/>
      </c>
      <c r="J81" s="14" t="str">
        <f ca="1">IF(B81="","",COUNTIFS(Server_Inventory!$Z:$Z,B81,Server_Inventory!$P:$P,"R-RETIRED_IN_CMDB"))</f>
        <v/>
      </c>
      <c r="K81" s="14" t="str">
        <f ca="1">IF(B81="","",IFERROR(INDEX(Container_Inventory!$F:$F,MATCH(B81,Container_Inventory!$L:$L,0)),"Not Found"))</f>
        <v/>
      </c>
      <c r="L81" s="14" t="str">
        <f ca="1">IF(B81="","",IF(COUNTIF(Finding_List!$A:$A,B81)&gt;0,"Yes","No"))</f>
        <v/>
      </c>
      <c r="M81" s="14" t="str">
        <f ca="1">IF(B81="","",COUNTIF(Server_Inventory!$Z:$Z,B81))</f>
        <v/>
      </c>
      <c r="N81" s="14" t="str">
        <f ca="1">IF(B81="","",COUNTIF(Container_Inventory!$L:$L,B81))</f>
        <v/>
      </c>
    </row>
    <row r="82" spans="1:14" x14ac:dyDescent="0.2">
      <c r="A82" s="8" t="str">
        <f ca="1">IFERROR(INDEX(All_Risk_Apps!$A$4:$A$1233,_xludf.aggregate(15,6,(ROW(All_Risk_Apps!$A$4:$A$1233)-ROW(All_Risk_Apps!$A$4)+1)/(All_Risk_Apps!$J$4:$J$1233="Fast Follower")*(All_Risk_Apps!$A$4:$A$1233&lt;&gt;""),79)),"")</f>
        <v/>
      </c>
      <c r="B82" s="8" t="str">
        <f ca="1">IFERROR(INDEX(All_Risk_Apps!$B$4:$B$1233,_xludf.aggregate(15,6,(ROW(All_Risk_Apps!$A$4:$A$1233)-ROW(All_Risk_Apps!$A$4)+1)/(All_Risk_Apps!$J$4:$J$1233="Fast Follower")*(All_Risk_Apps!$A$4:$A$1233&lt;&gt;""),79)),"")</f>
        <v/>
      </c>
      <c r="C82" s="8" t="str">
        <f ca="1">IFERROR(INDEX(All_Risk_Apps!$D$4:$D$1233,_xludf.aggregate(15,6,(ROW(All_Risk_Apps!$A$4:$A$1233)-ROW(All_Risk_Apps!$A$4)+1)/(All_Risk_Apps!$J$4:$J$1233="Fast Follower")*(All_Risk_Apps!$A$4:$A$1233&lt;&gt;""),79)),"")</f>
        <v/>
      </c>
      <c r="D82" s="8" t="str">
        <f ca="1">IFERROR(INDEX(All_Risk_Apps!$C$4:$C$1233,_xludf.aggregate(15,6,(ROW(All_Risk_Apps!$A$4:$A$1233)-ROW(All_Risk_Apps!$A$4)+1)/(All_Risk_Apps!$J$4:$J$1233="Fast Follower")*(All_Risk_Apps!$A$4:$A$1233&lt;&gt;""),79)),"")</f>
        <v/>
      </c>
      <c r="E82" s="8" t="str">
        <f ca="1">IFERROR(INDEX(All_Risk_Apps!$E$4:$E$1233,_xludf.aggregate(15,6,(ROW(All_Risk_Apps!$A$4:$A$1233)-ROW(All_Risk_Apps!$A$4)+1)/(All_Risk_Apps!$J$4:$J$1233="Fast Follower")*(All_Risk_Apps!$A$4:$A$1233&lt;&gt;""),79)),"")</f>
        <v/>
      </c>
      <c r="F82" s="8" t="str">
        <f ca="1">IFERROR(INDEX(All_Risk_Apps!$F$4:$F$1233,_xludf.aggregate(15,6,(ROW(All_Risk_Apps!$A$4:$A$1233)-ROW(All_Risk_Apps!$A$4)+1)/(All_Risk_Apps!$J$4:$J$1233="Fast Follower")*(All_Risk_Apps!$A$4:$A$1233&lt;&gt;""),79)),"")</f>
        <v/>
      </c>
      <c r="G82" s="8" t="str">
        <f ca="1">IFERROR(INDEX(All_Risk_Apps!$I$4:$I$1233,_xludf.aggregate(15,6,(ROW(All_Risk_Apps!$A$4:$A$1233)-ROW(All_Risk_Apps!$A$4)+1)/(All_Risk_Apps!$J$4:$J$1233="Fast Follower")*(All_Risk_Apps!$A$4:$A$1233&lt;&gt;""),79)),"")</f>
        <v/>
      </c>
      <c r="H82" s="8" t="str">
        <f ca="1">IF(B82="","",IFERROR(INDEX(Server_Inventory!$R:$R,MATCH(B82,Server_Inventory!$Z:$Z,0)),"Not Found"))</f>
        <v/>
      </c>
      <c r="I82" s="8" t="str">
        <f ca="1">IF(B82="","",IFERROR(INDEX(Server_Inventory!$S:$S,MATCH(B82,Server_Inventory!$Z:$Z,0)),"Not Found"))</f>
        <v/>
      </c>
      <c r="J82" s="8" t="str">
        <f ca="1">IF(B82="","",COUNTIFS(Server_Inventory!$Z:$Z,B82,Server_Inventory!$P:$P,"R-RETIRED_IN_CMDB"))</f>
        <v/>
      </c>
      <c r="K82" s="8" t="str">
        <f ca="1">IF(B82="","",IFERROR(INDEX(Container_Inventory!$F:$F,MATCH(B82,Container_Inventory!$L:$L,0)),"Not Found"))</f>
        <v/>
      </c>
      <c r="L82" s="8" t="str">
        <f ca="1">IF(B82="","",IF(COUNTIF(Finding_List!$A:$A,B82)&gt;0,"Yes","No"))</f>
        <v/>
      </c>
      <c r="M82" s="8" t="str">
        <f ca="1">IF(B82="","",COUNTIF(Server_Inventory!$Z:$Z,B82))</f>
        <v/>
      </c>
      <c r="N82" s="8" t="str">
        <f ca="1">IF(B82="","",COUNTIF(Container_Inventory!$L:$L,B82))</f>
        <v/>
      </c>
    </row>
    <row r="83" spans="1:14" x14ac:dyDescent="0.2">
      <c r="A83" s="14" t="str">
        <f ca="1">IFERROR(INDEX(All_Risk_Apps!$A$4:$A$1233,_xludf.aggregate(15,6,(ROW(All_Risk_Apps!$A$4:$A$1233)-ROW(All_Risk_Apps!$A$4)+1)/(All_Risk_Apps!$J$4:$J$1233="Fast Follower")*(All_Risk_Apps!$A$4:$A$1233&lt;&gt;""),80)),"")</f>
        <v/>
      </c>
      <c r="B83" s="14" t="str">
        <f ca="1">IFERROR(INDEX(All_Risk_Apps!$B$4:$B$1233,_xludf.aggregate(15,6,(ROW(All_Risk_Apps!$A$4:$A$1233)-ROW(All_Risk_Apps!$A$4)+1)/(All_Risk_Apps!$J$4:$J$1233="Fast Follower")*(All_Risk_Apps!$A$4:$A$1233&lt;&gt;""),80)),"")</f>
        <v/>
      </c>
      <c r="C83" s="14" t="str">
        <f ca="1">IFERROR(INDEX(All_Risk_Apps!$D$4:$D$1233,_xludf.aggregate(15,6,(ROW(All_Risk_Apps!$A$4:$A$1233)-ROW(All_Risk_Apps!$A$4)+1)/(All_Risk_Apps!$J$4:$J$1233="Fast Follower")*(All_Risk_Apps!$A$4:$A$1233&lt;&gt;""),80)),"")</f>
        <v/>
      </c>
      <c r="D83" s="14" t="str">
        <f ca="1">IFERROR(INDEX(All_Risk_Apps!$C$4:$C$1233,_xludf.aggregate(15,6,(ROW(All_Risk_Apps!$A$4:$A$1233)-ROW(All_Risk_Apps!$A$4)+1)/(All_Risk_Apps!$J$4:$J$1233="Fast Follower")*(All_Risk_Apps!$A$4:$A$1233&lt;&gt;""),80)),"")</f>
        <v/>
      </c>
      <c r="E83" s="14" t="str">
        <f ca="1">IFERROR(INDEX(All_Risk_Apps!$E$4:$E$1233,_xludf.aggregate(15,6,(ROW(All_Risk_Apps!$A$4:$A$1233)-ROW(All_Risk_Apps!$A$4)+1)/(All_Risk_Apps!$J$4:$J$1233="Fast Follower")*(All_Risk_Apps!$A$4:$A$1233&lt;&gt;""),80)),"")</f>
        <v/>
      </c>
      <c r="F83" s="14" t="str">
        <f ca="1">IFERROR(INDEX(All_Risk_Apps!$F$4:$F$1233,_xludf.aggregate(15,6,(ROW(All_Risk_Apps!$A$4:$A$1233)-ROW(All_Risk_Apps!$A$4)+1)/(All_Risk_Apps!$J$4:$J$1233="Fast Follower")*(All_Risk_Apps!$A$4:$A$1233&lt;&gt;""),80)),"")</f>
        <v/>
      </c>
      <c r="G83" s="14" t="str">
        <f ca="1">IFERROR(INDEX(All_Risk_Apps!$I$4:$I$1233,_xludf.aggregate(15,6,(ROW(All_Risk_Apps!$A$4:$A$1233)-ROW(All_Risk_Apps!$A$4)+1)/(All_Risk_Apps!$J$4:$J$1233="Fast Follower")*(All_Risk_Apps!$A$4:$A$1233&lt;&gt;""),80)),"")</f>
        <v/>
      </c>
      <c r="H83" s="14" t="str">
        <f ca="1">IF(B83="","",IFERROR(INDEX(Server_Inventory!$R:$R,MATCH(B83,Server_Inventory!$Z:$Z,0)),"Not Found"))</f>
        <v/>
      </c>
      <c r="I83" s="14" t="str">
        <f ca="1">IF(B83="","",IFERROR(INDEX(Server_Inventory!$S:$S,MATCH(B83,Server_Inventory!$Z:$Z,0)),"Not Found"))</f>
        <v/>
      </c>
      <c r="J83" s="14" t="str">
        <f ca="1">IF(B83="","",COUNTIFS(Server_Inventory!$Z:$Z,B83,Server_Inventory!$P:$P,"R-RETIRED_IN_CMDB"))</f>
        <v/>
      </c>
      <c r="K83" s="14" t="str">
        <f ca="1">IF(B83="","",IFERROR(INDEX(Container_Inventory!$F:$F,MATCH(B83,Container_Inventory!$L:$L,0)),"Not Found"))</f>
        <v/>
      </c>
      <c r="L83" s="14" t="str">
        <f ca="1">IF(B83="","",IF(COUNTIF(Finding_List!$A:$A,B83)&gt;0,"Yes","No"))</f>
        <v/>
      </c>
      <c r="M83" s="14" t="str">
        <f ca="1">IF(B83="","",COUNTIF(Server_Inventory!$Z:$Z,B83))</f>
        <v/>
      </c>
      <c r="N83" s="14" t="str">
        <f ca="1">IF(B83="","",COUNTIF(Container_Inventory!$L:$L,B83))</f>
        <v/>
      </c>
    </row>
    <row r="84" spans="1:14" x14ac:dyDescent="0.2">
      <c r="A84" s="8" t="str">
        <f ca="1">IFERROR(INDEX(All_Risk_Apps!$A$4:$A$1233,_xludf.aggregate(15,6,(ROW(All_Risk_Apps!$A$4:$A$1233)-ROW(All_Risk_Apps!$A$4)+1)/(All_Risk_Apps!$J$4:$J$1233="Fast Follower")*(All_Risk_Apps!$A$4:$A$1233&lt;&gt;""),81)),"")</f>
        <v/>
      </c>
      <c r="B84" s="8" t="str">
        <f ca="1">IFERROR(INDEX(All_Risk_Apps!$B$4:$B$1233,_xludf.aggregate(15,6,(ROW(All_Risk_Apps!$A$4:$A$1233)-ROW(All_Risk_Apps!$A$4)+1)/(All_Risk_Apps!$J$4:$J$1233="Fast Follower")*(All_Risk_Apps!$A$4:$A$1233&lt;&gt;""),81)),"")</f>
        <v/>
      </c>
      <c r="C84" s="8" t="str">
        <f ca="1">IFERROR(INDEX(All_Risk_Apps!$D$4:$D$1233,_xludf.aggregate(15,6,(ROW(All_Risk_Apps!$A$4:$A$1233)-ROW(All_Risk_Apps!$A$4)+1)/(All_Risk_Apps!$J$4:$J$1233="Fast Follower")*(All_Risk_Apps!$A$4:$A$1233&lt;&gt;""),81)),"")</f>
        <v/>
      </c>
      <c r="D84" s="8" t="str">
        <f ca="1">IFERROR(INDEX(All_Risk_Apps!$C$4:$C$1233,_xludf.aggregate(15,6,(ROW(All_Risk_Apps!$A$4:$A$1233)-ROW(All_Risk_Apps!$A$4)+1)/(All_Risk_Apps!$J$4:$J$1233="Fast Follower")*(All_Risk_Apps!$A$4:$A$1233&lt;&gt;""),81)),"")</f>
        <v/>
      </c>
      <c r="E84" s="8" t="str">
        <f ca="1">IFERROR(INDEX(All_Risk_Apps!$E$4:$E$1233,_xludf.aggregate(15,6,(ROW(All_Risk_Apps!$A$4:$A$1233)-ROW(All_Risk_Apps!$A$4)+1)/(All_Risk_Apps!$J$4:$J$1233="Fast Follower")*(All_Risk_Apps!$A$4:$A$1233&lt;&gt;""),81)),"")</f>
        <v/>
      </c>
      <c r="F84" s="8" t="str">
        <f ca="1">IFERROR(INDEX(All_Risk_Apps!$F$4:$F$1233,_xludf.aggregate(15,6,(ROW(All_Risk_Apps!$A$4:$A$1233)-ROW(All_Risk_Apps!$A$4)+1)/(All_Risk_Apps!$J$4:$J$1233="Fast Follower")*(All_Risk_Apps!$A$4:$A$1233&lt;&gt;""),81)),"")</f>
        <v/>
      </c>
      <c r="G84" s="8" t="str">
        <f ca="1">IFERROR(INDEX(All_Risk_Apps!$I$4:$I$1233,_xludf.aggregate(15,6,(ROW(All_Risk_Apps!$A$4:$A$1233)-ROW(All_Risk_Apps!$A$4)+1)/(All_Risk_Apps!$J$4:$J$1233="Fast Follower")*(All_Risk_Apps!$A$4:$A$1233&lt;&gt;""),81)),"")</f>
        <v/>
      </c>
      <c r="H84" s="8" t="str">
        <f ca="1">IF(B84="","",IFERROR(INDEX(Server_Inventory!$R:$R,MATCH(B84,Server_Inventory!$Z:$Z,0)),"Not Found"))</f>
        <v/>
      </c>
      <c r="I84" s="8" t="str">
        <f ca="1">IF(B84="","",IFERROR(INDEX(Server_Inventory!$S:$S,MATCH(B84,Server_Inventory!$Z:$Z,0)),"Not Found"))</f>
        <v/>
      </c>
      <c r="J84" s="8" t="str">
        <f ca="1">IF(B84="","",COUNTIFS(Server_Inventory!$Z:$Z,B84,Server_Inventory!$P:$P,"R-RETIRED_IN_CMDB"))</f>
        <v/>
      </c>
      <c r="K84" s="8" t="str">
        <f ca="1">IF(B84="","",IFERROR(INDEX(Container_Inventory!$F:$F,MATCH(B84,Container_Inventory!$L:$L,0)),"Not Found"))</f>
        <v/>
      </c>
      <c r="L84" s="8" t="str">
        <f ca="1">IF(B84="","",IF(COUNTIF(Finding_List!$A:$A,B84)&gt;0,"Yes","No"))</f>
        <v/>
      </c>
      <c r="M84" s="8" t="str">
        <f ca="1">IF(B84="","",COUNTIF(Server_Inventory!$Z:$Z,B84))</f>
        <v/>
      </c>
      <c r="N84" s="8" t="str">
        <f ca="1">IF(B84="","",COUNTIF(Container_Inventory!$L:$L,B84))</f>
        <v/>
      </c>
    </row>
    <row r="85" spans="1:14" x14ac:dyDescent="0.2">
      <c r="A85" s="14" t="str">
        <f ca="1">IFERROR(INDEX(All_Risk_Apps!$A$4:$A$1233,_xludf.aggregate(15,6,(ROW(All_Risk_Apps!$A$4:$A$1233)-ROW(All_Risk_Apps!$A$4)+1)/(All_Risk_Apps!$J$4:$J$1233="Fast Follower")*(All_Risk_Apps!$A$4:$A$1233&lt;&gt;""),82)),"")</f>
        <v/>
      </c>
      <c r="B85" s="14" t="str">
        <f ca="1">IFERROR(INDEX(All_Risk_Apps!$B$4:$B$1233,_xludf.aggregate(15,6,(ROW(All_Risk_Apps!$A$4:$A$1233)-ROW(All_Risk_Apps!$A$4)+1)/(All_Risk_Apps!$J$4:$J$1233="Fast Follower")*(All_Risk_Apps!$A$4:$A$1233&lt;&gt;""),82)),"")</f>
        <v/>
      </c>
      <c r="C85" s="14" t="str">
        <f ca="1">IFERROR(INDEX(All_Risk_Apps!$D$4:$D$1233,_xludf.aggregate(15,6,(ROW(All_Risk_Apps!$A$4:$A$1233)-ROW(All_Risk_Apps!$A$4)+1)/(All_Risk_Apps!$J$4:$J$1233="Fast Follower")*(All_Risk_Apps!$A$4:$A$1233&lt;&gt;""),82)),"")</f>
        <v/>
      </c>
      <c r="D85" s="14" t="str">
        <f ca="1">IFERROR(INDEX(All_Risk_Apps!$C$4:$C$1233,_xludf.aggregate(15,6,(ROW(All_Risk_Apps!$A$4:$A$1233)-ROW(All_Risk_Apps!$A$4)+1)/(All_Risk_Apps!$J$4:$J$1233="Fast Follower")*(All_Risk_Apps!$A$4:$A$1233&lt;&gt;""),82)),"")</f>
        <v/>
      </c>
      <c r="E85" s="14" t="str">
        <f ca="1">IFERROR(INDEX(All_Risk_Apps!$E$4:$E$1233,_xludf.aggregate(15,6,(ROW(All_Risk_Apps!$A$4:$A$1233)-ROW(All_Risk_Apps!$A$4)+1)/(All_Risk_Apps!$J$4:$J$1233="Fast Follower")*(All_Risk_Apps!$A$4:$A$1233&lt;&gt;""),82)),"")</f>
        <v/>
      </c>
      <c r="F85" s="14" t="str">
        <f ca="1">IFERROR(INDEX(All_Risk_Apps!$F$4:$F$1233,_xludf.aggregate(15,6,(ROW(All_Risk_Apps!$A$4:$A$1233)-ROW(All_Risk_Apps!$A$4)+1)/(All_Risk_Apps!$J$4:$J$1233="Fast Follower")*(All_Risk_Apps!$A$4:$A$1233&lt;&gt;""),82)),"")</f>
        <v/>
      </c>
      <c r="G85" s="14" t="str">
        <f ca="1">IFERROR(INDEX(All_Risk_Apps!$I$4:$I$1233,_xludf.aggregate(15,6,(ROW(All_Risk_Apps!$A$4:$A$1233)-ROW(All_Risk_Apps!$A$4)+1)/(All_Risk_Apps!$J$4:$J$1233="Fast Follower")*(All_Risk_Apps!$A$4:$A$1233&lt;&gt;""),82)),"")</f>
        <v/>
      </c>
      <c r="H85" s="14" t="str">
        <f ca="1">IF(B85="","",IFERROR(INDEX(Server_Inventory!$R:$R,MATCH(B85,Server_Inventory!$Z:$Z,0)),"Not Found"))</f>
        <v/>
      </c>
      <c r="I85" s="14" t="str">
        <f ca="1">IF(B85="","",IFERROR(INDEX(Server_Inventory!$S:$S,MATCH(B85,Server_Inventory!$Z:$Z,0)),"Not Found"))</f>
        <v/>
      </c>
      <c r="J85" s="14" t="str">
        <f ca="1">IF(B85="","",COUNTIFS(Server_Inventory!$Z:$Z,B85,Server_Inventory!$P:$P,"R-RETIRED_IN_CMDB"))</f>
        <v/>
      </c>
      <c r="K85" s="14" t="str">
        <f ca="1">IF(B85="","",IFERROR(INDEX(Container_Inventory!$F:$F,MATCH(B85,Container_Inventory!$L:$L,0)),"Not Found"))</f>
        <v/>
      </c>
      <c r="L85" s="14" t="str">
        <f ca="1">IF(B85="","",IF(COUNTIF(Finding_List!$A:$A,B85)&gt;0,"Yes","No"))</f>
        <v/>
      </c>
      <c r="M85" s="14" t="str">
        <f ca="1">IF(B85="","",COUNTIF(Server_Inventory!$Z:$Z,B85))</f>
        <v/>
      </c>
      <c r="N85" s="14" t="str">
        <f ca="1">IF(B85="","",COUNTIF(Container_Inventory!$L:$L,B85))</f>
        <v/>
      </c>
    </row>
    <row r="86" spans="1:14" x14ac:dyDescent="0.2">
      <c r="A86" s="8" t="str">
        <f ca="1">IFERROR(INDEX(All_Risk_Apps!$A$4:$A$1233,_xludf.aggregate(15,6,(ROW(All_Risk_Apps!$A$4:$A$1233)-ROW(All_Risk_Apps!$A$4)+1)/(All_Risk_Apps!$J$4:$J$1233="Fast Follower")*(All_Risk_Apps!$A$4:$A$1233&lt;&gt;""),83)),"")</f>
        <v/>
      </c>
      <c r="B86" s="8" t="str">
        <f ca="1">IFERROR(INDEX(All_Risk_Apps!$B$4:$B$1233,_xludf.aggregate(15,6,(ROW(All_Risk_Apps!$A$4:$A$1233)-ROW(All_Risk_Apps!$A$4)+1)/(All_Risk_Apps!$J$4:$J$1233="Fast Follower")*(All_Risk_Apps!$A$4:$A$1233&lt;&gt;""),83)),"")</f>
        <v/>
      </c>
      <c r="C86" s="8" t="str">
        <f ca="1">IFERROR(INDEX(All_Risk_Apps!$D$4:$D$1233,_xludf.aggregate(15,6,(ROW(All_Risk_Apps!$A$4:$A$1233)-ROW(All_Risk_Apps!$A$4)+1)/(All_Risk_Apps!$J$4:$J$1233="Fast Follower")*(All_Risk_Apps!$A$4:$A$1233&lt;&gt;""),83)),"")</f>
        <v/>
      </c>
      <c r="D86" s="8" t="str">
        <f ca="1">IFERROR(INDEX(All_Risk_Apps!$C$4:$C$1233,_xludf.aggregate(15,6,(ROW(All_Risk_Apps!$A$4:$A$1233)-ROW(All_Risk_Apps!$A$4)+1)/(All_Risk_Apps!$J$4:$J$1233="Fast Follower")*(All_Risk_Apps!$A$4:$A$1233&lt;&gt;""),83)),"")</f>
        <v/>
      </c>
      <c r="E86" s="8" t="str">
        <f ca="1">IFERROR(INDEX(All_Risk_Apps!$E$4:$E$1233,_xludf.aggregate(15,6,(ROW(All_Risk_Apps!$A$4:$A$1233)-ROW(All_Risk_Apps!$A$4)+1)/(All_Risk_Apps!$J$4:$J$1233="Fast Follower")*(All_Risk_Apps!$A$4:$A$1233&lt;&gt;""),83)),"")</f>
        <v/>
      </c>
      <c r="F86" s="8" t="str">
        <f ca="1">IFERROR(INDEX(All_Risk_Apps!$F$4:$F$1233,_xludf.aggregate(15,6,(ROW(All_Risk_Apps!$A$4:$A$1233)-ROW(All_Risk_Apps!$A$4)+1)/(All_Risk_Apps!$J$4:$J$1233="Fast Follower")*(All_Risk_Apps!$A$4:$A$1233&lt;&gt;""),83)),"")</f>
        <v/>
      </c>
      <c r="G86" s="8" t="str">
        <f ca="1">IFERROR(INDEX(All_Risk_Apps!$I$4:$I$1233,_xludf.aggregate(15,6,(ROW(All_Risk_Apps!$A$4:$A$1233)-ROW(All_Risk_Apps!$A$4)+1)/(All_Risk_Apps!$J$4:$J$1233="Fast Follower")*(All_Risk_Apps!$A$4:$A$1233&lt;&gt;""),83)),"")</f>
        <v/>
      </c>
      <c r="H86" s="8" t="str">
        <f ca="1">IF(B86="","",IFERROR(INDEX(Server_Inventory!$R:$R,MATCH(B86,Server_Inventory!$Z:$Z,0)),"Not Found"))</f>
        <v/>
      </c>
      <c r="I86" s="8" t="str">
        <f ca="1">IF(B86="","",IFERROR(INDEX(Server_Inventory!$S:$S,MATCH(B86,Server_Inventory!$Z:$Z,0)),"Not Found"))</f>
        <v/>
      </c>
      <c r="J86" s="8" t="str">
        <f ca="1">IF(B86="","",COUNTIFS(Server_Inventory!$Z:$Z,B86,Server_Inventory!$P:$P,"R-RETIRED_IN_CMDB"))</f>
        <v/>
      </c>
      <c r="K86" s="8" t="str">
        <f ca="1">IF(B86="","",IFERROR(INDEX(Container_Inventory!$F:$F,MATCH(B86,Container_Inventory!$L:$L,0)),"Not Found"))</f>
        <v/>
      </c>
      <c r="L86" s="8" t="str">
        <f ca="1">IF(B86="","",IF(COUNTIF(Finding_List!$A:$A,B86)&gt;0,"Yes","No"))</f>
        <v/>
      </c>
      <c r="M86" s="8" t="str">
        <f ca="1">IF(B86="","",COUNTIF(Server_Inventory!$Z:$Z,B86))</f>
        <v/>
      </c>
      <c r="N86" s="8" t="str">
        <f ca="1">IF(B86="","",COUNTIF(Container_Inventory!$L:$L,B86))</f>
        <v/>
      </c>
    </row>
    <row r="87" spans="1:14" x14ac:dyDescent="0.2">
      <c r="A87" s="14" t="str">
        <f ca="1">IFERROR(INDEX(All_Risk_Apps!$A$4:$A$1233,_xludf.aggregate(15,6,(ROW(All_Risk_Apps!$A$4:$A$1233)-ROW(All_Risk_Apps!$A$4)+1)/(All_Risk_Apps!$J$4:$J$1233="Fast Follower")*(All_Risk_Apps!$A$4:$A$1233&lt;&gt;""),84)),"")</f>
        <v/>
      </c>
      <c r="B87" s="14" t="str">
        <f ca="1">IFERROR(INDEX(All_Risk_Apps!$B$4:$B$1233,_xludf.aggregate(15,6,(ROW(All_Risk_Apps!$A$4:$A$1233)-ROW(All_Risk_Apps!$A$4)+1)/(All_Risk_Apps!$J$4:$J$1233="Fast Follower")*(All_Risk_Apps!$A$4:$A$1233&lt;&gt;""),84)),"")</f>
        <v/>
      </c>
      <c r="C87" s="14" t="str">
        <f ca="1">IFERROR(INDEX(All_Risk_Apps!$D$4:$D$1233,_xludf.aggregate(15,6,(ROW(All_Risk_Apps!$A$4:$A$1233)-ROW(All_Risk_Apps!$A$4)+1)/(All_Risk_Apps!$J$4:$J$1233="Fast Follower")*(All_Risk_Apps!$A$4:$A$1233&lt;&gt;""),84)),"")</f>
        <v/>
      </c>
      <c r="D87" s="14" t="str">
        <f ca="1">IFERROR(INDEX(All_Risk_Apps!$C$4:$C$1233,_xludf.aggregate(15,6,(ROW(All_Risk_Apps!$A$4:$A$1233)-ROW(All_Risk_Apps!$A$4)+1)/(All_Risk_Apps!$J$4:$J$1233="Fast Follower")*(All_Risk_Apps!$A$4:$A$1233&lt;&gt;""),84)),"")</f>
        <v/>
      </c>
      <c r="E87" s="14" t="str">
        <f ca="1">IFERROR(INDEX(All_Risk_Apps!$E$4:$E$1233,_xludf.aggregate(15,6,(ROW(All_Risk_Apps!$A$4:$A$1233)-ROW(All_Risk_Apps!$A$4)+1)/(All_Risk_Apps!$J$4:$J$1233="Fast Follower")*(All_Risk_Apps!$A$4:$A$1233&lt;&gt;""),84)),"")</f>
        <v/>
      </c>
      <c r="F87" s="14" t="str">
        <f ca="1">IFERROR(INDEX(All_Risk_Apps!$F$4:$F$1233,_xludf.aggregate(15,6,(ROW(All_Risk_Apps!$A$4:$A$1233)-ROW(All_Risk_Apps!$A$4)+1)/(All_Risk_Apps!$J$4:$J$1233="Fast Follower")*(All_Risk_Apps!$A$4:$A$1233&lt;&gt;""),84)),"")</f>
        <v/>
      </c>
      <c r="G87" s="14" t="str">
        <f ca="1">IFERROR(INDEX(All_Risk_Apps!$I$4:$I$1233,_xludf.aggregate(15,6,(ROW(All_Risk_Apps!$A$4:$A$1233)-ROW(All_Risk_Apps!$A$4)+1)/(All_Risk_Apps!$J$4:$J$1233="Fast Follower")*(All_Risk_Apps!$A$4:$A$1233&lt;&gt;""),84)),"")</f>
        <v/>
      </c>
      <c r="H87" s="14" t="str">
        <f ca="1">IF(B87="","",IFERROR(INDEX(Server_Inventory!$R:$R,MATCH(B87,Server_Inventory!$Z:$Z,0)),"Not Found"))</f>
        <v/>
      </c>
      <c r="I87" s="14" t="str">
        <f ca="1">IF(B87="","",IFERROR(INDEX(Server_Inventory!$S:$S,MATCH(B87,Server_Inventory!$Z:$Z,0)),"Not Found"))</f>
        <v/>
      </c>
      <c r="J87" s="14" t="str">
        <f ca="1">IF(B87="","",COUNTIFS(Server_Inventory!$Z:$Z,B87,Server_Inventory!$P:$P,"R-RETIRED_IN_CMDB"))</f>
        <v/>
      </c>
      <c r="K87" s="14" t="str">
        <f ca="1">IF(B87="","",IFERROR(INDEX(Container_Inventory!$F:$F,MATCH(B87,Container_Inventory!$L:$L,0)),"Not Found"))</f>
        <v/>
      </c>
      <c r="L87" s="14" t="str">
        <f ca="1">IF(B87="","",IF(COUNTIF(Finding_List!$A:$A,B87)&gt;0,"Yes","No"))</f>
        <v/>
      </c>
      <c r="M87" s="14" t="str">
        <f ca="1">IF(B87="","",COUNTIF(Server_Inventory!$Z:$Z,B87))</f>
        <v/>
      </c>
      <c r="N87" s="14" t="str">
        <f ca="1">IF(B87="","",COUNTIF(Container_Inventory!$L:$L,B87))</f>
        <v/>
      </c>
    </row>
    <row r="88" spans="1:14" x14ac:dyDescent="0.2">
      <c r="A88" s="8" t="str">
        <f ca="1">IFERROR(INDEX(All_Risk_Apps!$A$4:$A$1233,_xludf.aggregate(15,6,(ROW(All_Risk_Apps!$A$4:$A$1233)-ROW(All_Risk_Apps!$A$4)+1)/(All_Risk_Apps!$J$4:$J$1233="Fast Follower")*(All_Risk_Apps!$A$4:$A$1233&lt;&gt;""),85)),"")</f>
        <v/>
      </c>
      <c r="B88" s="8" t="str">
        <f ca="1">IFERROR(INDEX(All_Risk_Apps!$B$4:$B$1233,_xludf.aggregate(15,6,(ROW(All_Risk_Apps!$A$4:$A$1233)-ROW(All_Risk_Apps!$A$4)+1)/(All_Risk_Apps!$J$4:$J$1233="Fast Follower")*(All_Risk_Apps!$A$4:$A$1233&lt;&gt;""),85)),"")</f>
        <v/>
      </c>
      <c r="C88" s="8" t="str">
        <f ca="1">IFERROR(INDEX(All_Risk_Apps!$D$4:$D$1233,_xludf.aggregate(15,6,(ROW(All_Risk_Apps!$A$4:$A$1233)-ROW(All_Risk_Apps!$A$4)+1)/(All_Risk_Apps!$J$4:$J$1233="Fast Follower")*(All_Risk_Apps!$A$4:$A$1233&lt;&gt;""),85)),"")</f>
        <v/>
      </c>
      <c r="D88" s="8" t="str">
        <f ca="1">IFERROR(INDEX(All_Risk_Apps!$C$4:$C$1233,_xludf.aggregate(15,6,(ROW(All_Risk_Apps!$A$4:$A$1233)-ROW(All_Risk_Apps!$A$4)+1)/(All_Risk_Apps!$J$4:$J$1233="Fast Follower")*(All_Risk_Apps!$A$4:$A$1233&lt;&gt;""),85)),"")</f>
        <v/>
      </c>
      <c r="E88" s="8" t="str">
        <f ca="1">IFERROR(INDEX(All_Risk_Apps!$E$4:$E$1233,_xludf.aggregate(15,6,(ROW(All_Risk_Apps!$A$4:$A$1233)-ROW(All_Risk_Apps!$A$4)+1)/(All_Risk_Apps!$J$4:$J$1233="Fast Follower")*(All_Risk_Apps!$A$4:$A$1233&lt;&gt;""),85)),"")</f>
        <v/>
      </c>
      <c r="F88" s="8" t="str">
        <f ca="1">IFERROR(INDEX(All_Risk_Apps!$F$4:$F$1233,_xludf.aggregate(15,6,(ROW(All_Risk_Apps!$A$4:$A$1233)-ROW(All_Risk_Apps!$A$4)+1)/(All_Risk_Apps!$J$4:$J$1233="Fast Follower")*(All_Risk_Apps!$A$4:$A$1233&lt;&gt;""),85)),"")</f>
        <v/>
      </c>
      <c r="G88" s="8" t="str">
        <f ca="1">IFERROR(INDEX(All_Risk_Apps!$I$4:$I$1233,_xludf.aggregate(15,6,(ROW(All_Risk_Apps!$A$4:$A$1233)-ROW(All_Risk_Apps!$A$4)+1)/(All_Risk_Apps!$J$4:$J$1233="Fast Follower")*(All_Risk_Apps!$A$4:$A$1233&lt;&gt;""),85)),"")</f>
        <v/>
      </c>
      <c r="H88" s="8" t="str">
        <f ca="1">IF(B88="","",IFERROR(INDEX(Server_Inventory!$R:$R,MATCH(B88,Server_Inventory!$Z:$Z,0)),"Not Found"))</f>
        <v/>
      </c>
      <c r="I88" s="8" t="str">
        <f ca="1">IF(B88="","",IFERROR(INDEX(Server_Inventory!$S:$S,MATCH(B88,Server_Inventory!$Z:$Z,0)),"Not Found"))</f>
        <v/>
      </c>
      <c r="J88" s="8" t="str">
        <f ca="1">IF(B88="","",COUNTIFS(Server_Inventory!$Z:$Z,B88,Server_Inventory!$P:$P,"R-RETIRED_IN_CMDB"))</f>
        <v/>
      </c>
      <c r="K88" s="8" t="str">
        <f ca="1">IF(B88="","",IFERROR(INDEX(Container_Inventory!$F:$F,MATCH(B88,Container_Inventory!$L:$L,0)),"Not Found"))</f>
        <v/>
      </c>
      <c r="L88" s="8" t="str">
        <f ca="1">IF(B88="","",IF(COUNTIF(Finding_List!$A:$A,B88)&gt;0,"Yes","No"))</f>
        <v/>
      </c>
      <c r="M88" s="8" t="str">
        <f ca="1">IF(B88="","",COUNTIF(Server_Inventory!$Z:$Z,B88))</f>
        <v/>
      </c>
      <c r="N88" s="8" t="str">
        <f ca="1">IF(B88="","",COUNTIF(Container_Inventory!$L:$L,B88))</f>
        <v/>
      </c>
    </row>
    <row r="89" spans="1:14" x14ac:dyDescent="0.2">
      <c r="A89" s="14" t="str">
        <f ca="1">IFERROR(INDEX(All_Risk_Apps!$A$4:$A$1233,_xludf.aggregate(15,6,(ROW(All_Risk_Apps!$A$4:$A$1233)-ROW(All_Risk_Apps!$A$4)+1)/(All_Risk_Apps!$J$4:$J$1233="Fast Follower")*(All_Risk_Apps!$A$4:$A$1233&lt;&gt;""),86)),"")</f>
        <v/>
      </c>
      <c r="B89" s="14" t="str">
        <f ca="1">IFERROR(INDEX(All_Risk_Apps!$B$4:$B$1233,_xludf.aggregate(15,6,(ROW(All_Risk_Apps!$A$4:$A$1233)-ROW(All_Risk_Apps!$A$4)+1)/(All_Risk_Apps!$J$4:$J$1233="Fast Follower")*(All_Risk_Apps!$A$4:$A$1233&lt;&gt;""),86)),"")</f>
        <v/>
      </c>
      <c r="C89" s="14" t="str">
        <f ca="1">IFERROR(INDEX(All_Risk_Apps!$D$4:$D$1233,_xludf.aggregate(15,6,(ROW(All_Risk_Apps!$A$4:$A$1233)-ROW(All_Risk_Apps!$A$4)+1)/(All_Risk_Apps!$J$4:$J$1233="Fast Follower")*(All_Risk_Apps!$A$4:$A$1233&lt;&gt;""),86)),"")</f>
        <v/>
      </c>
      <c r="D89" s="14" t="str">
        <f ca="1">IFERROR(INDEX(All_Risk_Apps!$C$4:$C$1233,_xludf.aggregate(15,6,(ROW(All_Risk_Apps!$A$4:$A$1233)-ROW(All_Risk_Apps!$A$4)+1)/(All_Risk_Apps!$J$4:$J$1233="Fast Follower")*(All_Risk_Apps!$A$4:$A$1233&lt;&gt;""),86)),"")</f>
        <v/>
      </c>
      <c r="E89" s="14" t="str">
        <f ca="1">IFERROR(INDEX(All_Risk_Apps!$E$4:$E$1233,_xludf.aggregate(15,6,(ROW(All_Risk_Apps!$A$4:$A$1233)-ROW(All_Risk_Apps!$A$4)+1)/(All_Risk_Apps!$J$4:$J$1233="Fast Follower")*(All_Risk_Apps!$A$4:$A$1233&lt;&gt;""),86)),"")</f>
        <v/>
      </c>
      <c r="F89" s="14" t="str">
        <f ca="1">IFERROR(INDEX(All_Risk_Apps!$F$4:$F$1233,_xludf.aggregate(15,6,(ROW(All_Risk_Apps!$A$4:$A$1233)-ROW(All_Risk_Apps!$A$4)+1)/(All_Risk_Apps!$J$4:$J$1233="Fast Follower")*(All_Risk_Apps!$A$4:$A$1233&lt;&gt;""),86)),"")</f>
        <v/>
      </c>
      <c r="G89" s="14" t="str">
        <f ca="1">IFERROR(INDEX(All_Risk_Apps!$I$4:$I$1233,_xludf.aggregate(15,6,(ROW(All_Risk_Apps!$A$4:$A$1233)-ROW(All_Risk_Apps!$A$4)+1)/(All_Risk_Apps!$J$4:$J$1233="Fast Follower")*(All_Risk_Apps!$A$4:$A$1233&lt;&gt;""),86)),"")</f>
        <v/>
      </c>
      <c r="H89" s="14" t="str">
        <f ca="1">IF(B89="","",IFERROR(INDEX(Server_Inventory!$R:$R,MATCH(B89,Server_Inventory!$Z:$Z,0)),"Not Found"))</f>
        <v/>
      </c>
      <c r="I89" s="14" t="str">
        <f ca="1">IF(B89="","",IFERROR(INDEX(Server_Inventory!$S:$S,MATCH(B89,Server_Inventory!$Z:$Z,0)),"Not Found"))</f>
        <v/>
      </c>
      <c r="J89" s="14" t="str">
        <f ca="1">IF(B89="","",COUNTIFS(Server_Inventory!$Z:$Z,B89,Server_Inventory!$P:$P,"R-RETIRED_IN_CMDB"))</f>
        <v/>
      </c>
      <c r="K89" s="14" t="str">
        <f ca="1">IF(B89="","",IFERROR(INDEX(Container_Inventory!$F:$F,MATCH(B89,Container_Inventory!$L:$L,0)),"Not Found"))</f>
        <v/>
      </c>
      <c r="L89" s="14" t="str">
        <f ca="1">IF(B89="","",IF(COUNTIF(Finding_List!$A:$A,B89)&gt;0,"Yes","No"))</f>
        <v/>
      </c>
      <c r="M89" s="14" t="str">
        <f ca="1">IF(B89="","",COUNTIF(Server_Inventory!$Z:$Z,B89))</f>
        <v/>
      </c>
      <c r="N89" s="14" t="str">
        <f ca="1">IF(B89="","",COUNTIF(Container_Inventory!$L:$L,B89))</f>
        <v/>
      </c>
    </row>
    <row r="90" spans="1:14" x14ac:dyDescent="0.2">
      <c r="A90" s="8" t="str">
        <f ca="1">IFERROR(INDEX(All_Risk_Apps!$A$4:$A$1233,_xludf.aggregate(15,6,(ROW(All_Risk_Apps!$A$4:$A$1233)-ROW(All_Risk_Apps!$A$4)+1)/(All_Risk_Apps!$J$4:$J$1233="Fast Follower")*(All_Risk_Apps!$A$4:$A$1233&lt;&gt;""),87)),"")</f>
        <v/>
      </c>
      <c r="B90" s="8" t="str">
        <f ca="1">IFERROR(INDEX(All_Risk_Apps!$B$4:$B$1233,_xludf.aggregate(15,6,(ROW(All_Risk_Apps!$A$4:$A$1233)-ROW(All_Risk_Apps!$A$4)+1)/(All_Risk_Apps!$J$4:$J$1233="Fast Follower")*(All_Risk_Apps!$A$4:$A$1233&lt;&gt;""),87)),"")</f>
        <v/>
      </c>
      <c r="C90" s="8" t="str">
        <f ca="1">IFERROR(INDEX(All_Risk_Apps!$D$4:$D$1233,_xludf.aggregate(15,6,(ROW(All_Risk_Apps!$A$4:$A$1233)-ROW(All_Risk_Apps!$A$4)+1)/(All_Risk_Apps!$J$4:$J$1233="Fast Follower")*(All_Risk_Apps!$A$4:$A$1233&lt;&gt;""),87)),"")</f>
        <v/>
      </c>
      <c r="D90" s="8" t="str">
        <f ca="1">IFERROR(INDEX(All_Risk_Apps!$C$4:$C$1233,_xludf.aggregate(15,6,(ROW(All_Risk_Apps!$A$4:$A$1233)-ROW(All_Risk_Apps!$A$4)+1)/(All_Risk_Apps!$J$4:$J$1233="Fast Follower")*(All_Risk_Apps!$A$4:$A$1233&lt;&gt;""),87)),"")</f>
        <v/>
      </c>
      <c r="E90" s="8" t="str">
        <f ca="1">IFERROR(INDEX(All_Risk_Apps!$E$4:$E$1233,_xludf.aggregate(15,6,(ROW(All_Risk_Apps!$A$4:$A$1233)-ROW(All_Risk_Apps!$A$4)+1)/(All_Risk_Apps!$J$4:$J$1233="Fast Follower")*(All_Risk_Apps!$A$4:$A$1233&lt;&gt;""),87)),"")</f>
        <v/>
      </c>
      <c r="F90" s="8" t="str">
        <f ca="1">IFERROR(INDEX(All_Risk_Apps!$F$4:$F$1233,_xludf.aggregate(15,6,(ROW(All_Risk_Apps!$A$4:$A$1233)-ROW(All_Risk_Apps!$A$4)+1)/(All_Risk_Apps!$J$4:$J$1233="Fast Follower")*(All_Risk_Apps!$A$4:$A$1233&lt;&gt;""),87)),"")</f>
        <v/>
      </c>
      <c r="G90" s="8" t="str">
        <f ca="1">IFERROR(INDEX(All_Risk_Apps!$I$4:$I$1233,_xludf.aggregate(15,6,(ROW(All_Risk_Apps!$A$4:$A$1233)-ROW(All_Risk_Apps!$A$4)+1)/(All_Risk_Apps!$J$4:$J$1233="Fast Follower")*(All_Risk_Apps!$A$4:$A$1233&lt;&gt;""),87)),"")</f>
        <v/>
      </c>
      <c r="H90" s="8" t="str">
        <f ca="1">IF(B90="","",IFERROR(INDEX(Server_Inventory!$R:$R,MATCH(B90,Server_Inventory!$Z:$Z,0)),"Not Found"))</f>
        <v/>
      </c>
      <c r="I90" s="8" t="str">
        <f ca="1">IF(B90="","",IFERROR(INDEX(Server_Inventory!$S:$S,MATCH(B90,Server_Inventory!$Z:$Z,0)),"Not Found"))</f>
        <v/>
      </c>
      <c r="J90" s="8" t="str">
        <f ca="1">IF(B90="","",COUNTIFS(Server_Inventory!$Z:$Z,B90,Server_Inventory!$P:$P,"R-RETIRED_IN_CMDB"))</f>
        <v/>
      </c>
      <c r="K90" s="8" t="str">
        <f ca="1">IF(B90="","",IFERROR(INDEX(Container_Inventory!$F:$F,MATCH(B90,Container_Inventory!$L:$L,0)),"Not Found"))</f>
        <v/>
      </c>
      <c r="L90" s="8" t="str">
        <f ca="1">IF(B90="","",IF(COUNTIF(Finding_List!$A:$A,B90)&gt;0,"Yes","No"))</f>
        <v/>
      </c>
      <c r="M90" s="8" t="str">
        <f ca="1">IF(B90="","",COUNTIF(Server_Inventory!$Z:$Z,B90))</f>
        <v/>
      </c>
      <c r="N90" s="8" t="str">
        <f ca="1">IF(B90="","",COUNTIF(Container_Inventory!$L:$L,B90))</f>
        <v/>
      </c>
    </row>
    <row r="91" spans="1:14" x14ac:dyDescent="0.2">
      <c r="A91" s="14" t="str">
        <f ca="1">IFERROR(INDEX(All_Risk_Apps!$A$4:$A$1233,_xludf.aggregate(15,6,(ROW(All_Risk_Apps!$A$4:$A$1233)-ROW(All_Risk_Apps!$A$4)+1)/(All_Risk_Apps!$J$4:$J$1233="Fast Follower")*(All_Risk_Apps!$A$4:$A$1233&lt;&gt;""),88)),"")</f>
        <v/>
      </c>
      <c r="B91" s="14" t="str">
        <f ca="1">IFERROR(INDEX(All_Risk_Apps!$B$4:$B$1233,_xludf.aggregate(15,6,(ROW(All_Risk_Apps!$A$4:$A$1233)-ROW(All_Risk_Apps!$A$4)+1)/(All_Risk_Apps!$J$4:$J$1233="Fast Follower")*(All_Risk_Apps!$A$4:$A$1233&lt;&gt;""),88)),"")</f>
        <v/>
      </c>
      <c r="C91" s="14" t="str">
        <f ca="1">IFERROR(INDEX(All_Risk_Apps!$D$4:$D$1233,_xludf.aggregate(15,6,(ROW(All_Risk_Apps!$A$4:$A$1233)-ROW(All_Risk_Apps!$A$4)+1)/(All_Risk_Apps!$J$4:$J$1233="Fast Follower")*(All_Risk_Apps!$A$4:$A$1233&lt;&gt;""),88)),"")</f>
        <v/>
      </c>
      <c r="D91" s="14" t="str">
        <f ca="1">IFERROR(INDEX(All_Risk_Apps!$C$4:$C$1233,_xludf.aggregate(15,6,(ROW(All_Risk_Apps!$A$4:$A$1233)-ROW(All_Risk_Apps!$A$4)+1)/(All_Risk_Apps!$J$4:$J$1233="Fast Follower")*(All_Risk_Apps!$A$4:$A$1233&lt;&gt;""),88)),"")</f>
        <v/>
      </c>
      <c r="E91" s="14" t="str">
        <f ca="1">IFERROR(INDEX(All_Risk_Apps!$E$4:$E$1233,_xludf.aggregate(15,6,(ROW(All_Risk_Apps!$A$4:$A$1233)-ROW(All_Risk_Apps!$A$4)+1)/(All_Risk_Apps!$J$4:$J$1233="Fast Follower")*(All_Risk_Apps!$A$4:$A$1233&lt;&gt;""),88)),"")</f>
        <v/>
      </c>
      <c r="F91" s="14" t="str">
        <f ca="1">IFERROR(INDEX(All_Risk_Apps!$F$4:$F$1233,_xludf.aggregate(15,6,(ROW(All_Risk_Apps!$A$4:$A$1233)-ROW(All_Risk_Apps!$A$4)+1)/(All_Risk_Apps!$J$4:$J$1233="Fast Follower")*(All_Risk_Apps!$A$4:$A$1233&lt;&gt;""),88)),"")</f>
        <v/>
      </c>
      <c r="G91" s="14" t="str">
        <f ca="1">IFERROR(INDEX(All_Risk_Apps!$I$4:$I$1233,_xludf.aggregate(15,6,(ROW(All_Risk_Apps!$A$4:$A$1233)-ROW(All_Risk_Apps!$A$4)+1)/(All_Risk_Apps!$J$4:$J$1233="Fast Follower")*(All_Risk_Apps!$A$4:$A$1233&lt;&gt;""),88)),"")</f>
        <v/>
      </c>
      <c r="H91" s="14" t="str">
        <f ca="1">IF(B91="","",IFERROR(INDEX(Server_Inventory!$R:$R,MATCH(B91,Server_Inventory!$Z:$Z,0)),"Not Found"))</f>
        <v/>
      </c>
      <c r="I91" s="14" t="str">
        <f ca="1">IF(B91="","",IFERROR(INDEX(Server_Inventory!$S:$S,MATCH(B91,Server_Inventory!$Z:$Z,0)),"Not Found"))</f>
        <v/>
      </c>
      <c r="J91" s="14" t="str">
        <f ca="1">IF(B91="","",COUNTIFS(Server_Inventory!$Z:$Z,B91,Server_Inventory!$P:$P,"R-RETIRED_IN_CMDB"))</f>
        <v/>
      </c>
      <c r="K91" s="14" t="str">
        <f ca="1">IF(B91="","",IFERROR(INDEX(Container_Inventory!$F:$F,MATCH(B91,Container_Inventory!$L:$L,0)),"Not Found"))</f>
        <v/>
      </c>
      <c r="L91" s="14" t="str">
        <f ca="1">IF(B91="","",IF(COUNTIF(Finding_List!$A:$A,B91)&gt;0,"Yes","No"))</f>
        <v/>
      </c>
      <c r="M91" s="14" t="str">
        <f ca="1">IF(B91="","",COUNTIF(Server_Inventory!$Z:$Z,B91))</f>
        <v/>
      </c>
      <c r="N91" s="14" t="str">
        <f ca="1">IF(B91="","",COUNTIF(Container_Inventory!$L:$L,B91))</f>
        <v/>
      </c>
    </row>
    <row r="92" spans="1:14" x14ac:dyDescent="0.2">
      <c r="A92" s="8" t="str">
        <f ca="1">IFERROR(INDEX(All_Risk_Apps!$A$4:$A$1233,_xludf.aggregate(15,6,(ROW(All_Risk_Apps!$A$4:$A$1233)-ROW(All_Risk_Apps!$A$4)+1)/(All_Risk_Apps!$J$4:$J$1233="Fast Follower")*(All_Risk_Apps!$A$4:$A$1233&lt;&gt;""),89)),"")</f>
        <v/>
      </c>
      <c r="B92" s="8" t="str">
        <f ca="1">IFERROR(INDEX(All_Risk_Apps!$B$4:$B$1233,_xludf.aggregate(15,6,(ROW(All_Risk_Apps!$A$4:$A$1233)-ROW(All_Risk_Apps!$A$4)+1)/(All_Risk_Apps!$J$4:$J$1233="Fast Follower")*(All_Risk_Apps!$A$4:$A$1233&lt;&gt;""),89)),"")</f>
        <v/>
      </c>
      <c r="C92" s="8" t="str">
        <f ca="1">IFERROR(INDEX(All_Risk_Apps!$D$4:$D$1233,_xludf.aggregate(15,6,(ROW(All_Risk_Apps!$A$4:$A$1233)-ROW(All_Risk_Apps!$A$4)+1)/(All_Risk_Apps!$J$4:$J$1233="Fast Follower")*(All_Risk_Apps!$A$4:$A$1233&lt;&gt;""),89)),"")</f>
        <v/>
      </c>
      <c r="D92" s="8" t="str">
        <f ca="1">IFERROR(INDEX(All_Risk_Apps!$C$4:$C$1233,_xludf.aggregate(15,6,(ROW(All_Risk_Apps!$A$4:$A$1233)-ROW(All_Risk_Apps!$A$4)+1)/(All_Risk_Apps!$J$4:$J$1233="Fast Follower")*(All_Risk_Apps!$A$4:$A$1233&lt;&gt;""),89)),"")</f>
        <v/>
      </c>
      <c r="E92" s="8" t="str">
        <f ca="1">IFERROR(INDEX(All_Risk_Apps!$E$4:$E$1233,_xludf.aggregate(15,6,(ROW(All_Risk_Apps!$A$4:$A$1233)-ROW(All_Risk_Apps!$A$4)+1)/(All_Risk_Apps!$J$4:$J$1233="Fast Follower")*(All_Risk_Apps!$A$4:$A$1233&lt;&gt;""),89)),"")</f>
        <v/>
      </c>
      <c r="F92" s="8" t="str">
        <f ca="1">IFERROR(INDEX(All_Risk_Apps!$F$4:$F$1233,_xludf.aggregate(15,6,(ROW(All_Risk_Apps!$A$4:$A$1233)-ROW(All_Risk_Apps!$A$4)+1)/(All_Risk_Apps!$J$4:$J$1233="Fast Follower")*(All_Risk_Apps!$A$4:$A$1233&lt;&gt;""),89)),"")</f>
        <v/>
      </c>
      <c r="G92" s="8" t="str">
        <f ca="1">IFERROR(INDEX(All_Risk_Apps!$I$4:$I$1233,_xludf.aggregate(15,6,(ROW(All_Risk_Apps!$A$4:$A$1233)-ROW(All_Risk_Apps!$A$4)+1)/(All_Risk_Apps!$J$4:$J$1233="Fast Follower")*(All_Risk_Apps!$A$4:$A$1233&lt;&gt;""),89)),"")</f>
        <v/>
      </c>
      <c r="H92" s="8" t="str">
        <f ca="1">IF(B92="","",IFERROR(INDEX(Server_Inventory!$R:$R,MATCH(B92,Server_Inventory!$Z:$Z,0)),"Not Found"))</f>
        <v/>
      </c>
      <c r="I92" s="8" t="str">
        <f ca="1">IF(B92="","",IFERROR(INDEX(Server_Inventory!$S:$S,MATCH(B92,Server_Inventory!$Z:$Z,0)),"Not Found"))</f>
        <v/>
      </c>
      <c r="J92" s="8" t="str">
        <f ca="1">IF(B92="","",COUNTIFS(Server_Inventory!$Z:$Z,B92,Server_Inventory!$P:$P,"R-RETIRED_IN_CMDB"))</f>
        <v/>
      </c>
      <c r="K92" s="8" t="str">
        <f ca="1">IF(B92="","",IFERROR(INDEX(Container_Inventory!$F:$F,MATCH(B92,Container_Inventory!$L:$L,0)),"Not Found"))</f>
        <v/>
      </c>
      <c r="L92" s="8" t="str">
        <f ca="1">IF(B92="","",IF(COUNTIF(Finding_List!$A:$A,B92)&gt;0,"Yes","No"))</f>
        <v/>
      </c>
      <c r="M92" s="8" t="str">
        <f ca="1">IF(B92="","",COUNTIF(Server_Inventory!$Z:$Z,B92))</f>
        <v/>
      </c>
      <c r="N92" s="8" t="str">
        <f ca="1">IF(B92="","",COUNTIF(Container_Inventory!$L:$L,B92))</f>
        <v/>
      </c>
    </row>
    <row r="93" spans="1:14" x14ac:dyDescent="0.2">
      <c r="A93" s="14" t="str">
        <f ca="1">IFERROR(INDEX(All_Risk_Apps!$A$4:$A$1233,_xludf.aggregate(15,6,(ROW(All_Risk_Apps!$A$4:$A$1233)-ROW(All_Risk_Apps!$A$4)+1)/(All_Risk_Apps!$J$4:$J$1233="Fast Follower")*(All_Risk_Apps!$A$4:$A$1233&lt;&gt;""),90)),"")</f>
        <v/>
      </c>
      <c r="B93" s="14" t="str">
        <f ca="1">IFERROR(INDEX(All_Risk_Apps!$B$4:$B$1233,_xludf.aggregate(15,6,(ROW(All_Risk_Apps!$A$4:$A$1233)-ROW(All_Risk_Apps!$A$4)+1)/(All_Risk_Apps!$J$4:$J$1233="Fast Follower")*(All_Risk_Apps!$A$4:$A$1233&lt;&gt;""),90)),"")</f>
        <v/>
      </c>
      <c r="C93" s="14" t="str">
        <f ca="1">IFERROR(INDEX(All_Risk_Apps!$D$4:$D$1233,_xludf.aggregate(15,6,(ROW(All_Risk_Apps!$A$4:$A$1233)-ROW(All_Risk_Apps!$A$4)+1)/(All_Risk_Apps!$J$4:$J$1233="Fast Follower")*(All_Risk_Apps!$A$4:$A$1233&lt;&gt;""),90)),"")</f>
        <v/>
      </c>
      <c r="D93" s="14" t="str">
        <f ca="1">IFERROR(INDEX(All_Risk_Apps!$C$4:$C$1233,_xludf.aggregate(15,6,(ROW(All_Risk_Apps!$A$4:$A$1233)-ROW(All_Risk_Apps!$A$4)+1)/(All_Risk_Apps!$J$4:$J$1233="Fast Follower")*(All_Risk_Apps!$A$4:$A$1233&lt;&gt;""),90)),"")</f>
        <v/>
      </c>
      <c r="E93" s="14" t="str">
        <f ca="1">IFERROR(INDEX(All_Risk_Apps!$E$4:$E$1233,_xludf.aggregate(15,6,(ROW(All_Risk_Apps!$A$4:$A$1233)-ROW(All_Risk_Apps!$A$4)+1)/(All_Risk_Apps!$J$4:$J$1233="Fast Follower")*(All_Risk_Apps!$A$4:$A$1233&lt;&gt;""),90)),"")</f>
        <v/>
      </c>
      <c r="F93" s="14" t="str">
        <f ca="1">IFERROR(INDEX(All_Risk_Apps!$F$4:$F$1233,_xludf.aggregate(15,6,(ROW(All_Risk_Apps!$A$4:$A$1233)-ROW(All_Risk_Apps!$A$4)+1)/(All_Risk_Apps!$J$4:$J$1233="Fast Follower")*(All_Risk_Apps!$A$4:$A$1233&lt;&gt;""),90)),"")</f>
        <v/>
      </c>
      <c r="G93" s="14" t="str">
        <f ca="1">IFERROR(INDEX(All_Risk_Apps!$I$4:$I$1233,_xludf.aggregate(15,6,(ROW(All_Risk_Apps!$A$4:$A$1233)-ROW(All_Risk_Apps!$A$4)+1)/(All_Risk_Apps!$J$4:$J$1233="Fast Follower")*(All_Risk_Apps!$A$4:$A$1233&lt;&gt;""),90)),"")</f>
        <v/>
      </c>
      <c r="H93" s="14" t="str">
        <f ca="1">IF(B93="","",IFERROR(INDEX(Server_Inventory!$R:$R,MATCH(B93,Server_Inventory!$Z:$Z,0)),"Not Found"))</f>
        <v/>
      </c>
      <c r="I93" s="14" t="str">
        <f ca="1">IF(B93="","",IFERROR(INDEX(Server_Inventory!$S:$S,MATCH(B93,Server_Inventory!$Z:$Z,0)),"Not Found"))</f>
        <v/>
      </c>
      <c r="J93" s="14" t="str">
        <f ca="1">IF(B93="","",COUNTIFS(Server_Inventory!$Z:$Z,B93,Server_Inventory!$P:$P,"R-RETIRED_IN_CMDB"))</f>
        <v/>
      </c>
      <c r="K93" s="14" t="str">
        <f ca="1">IF(B93="","",IFERROR(INDEX(Container_Inventory!$F:$F,MATCH(B93,Container_Inventory!$L:$L,0)),"Not Found"))</f>
        <v/>
      </c>
      <c r="L93" s="14" t="str">
        <f ca="1">IF(B93="","",IF(COUNTIF(Finding_List!$A:$A,B93)&gt;0,"Yes","No"))</f>
        <v/>
      </c>
      <c r="M93" s="14" t="str">
        <f ca="1">IF(B93="","",COUNTIF(Server_Inventory!$Z:$Z,B93))</f>
        <v/>
      </c>
      <c r="N93" s="14" t="str">
        <f ca="1">IF(B93="","",COUNTIF(Container_Inventory!$L:$L,B93))</f>
        <v/>
      </c>
    </row>
    <row r="94" spans="1:14" x14ac:dyDescent="0.2">
      <c r="A94" s="8" t="str">
        <f ca="1">IFERROR(INDEX(All_Risk_Apps!$A$4:$A$1233,_xludf.aggregate(15,6,(ROW(All_Risk_Apps!$A$4:$A$1233)-ROW(All_Risk_Apps!$A$4)+1)/(All_Risk_Apps!$J$4:$J$1233="Fast Follower")*(All_Risk_Apps!$A$4:$A$1233&lt;&gt;""),91)),"")</f>
        <v/>
      </c>
      <c r="B94" s="8" t="str">
        <f ca="1">IFERROR(INDEX(All_Risk_Apps!$B$4:$B$1233,_xludf.aggregate(15,6,(ROW(All_Risk_Apps!$A$4:$A$1233)-ROW(All_Risk_Apps!$A$4)+1)/(All_Risk_Apps!$J$4:$J$1233="Fast Follower")*(All_Risk_Apps!$A$4:$A$1233&lt;&gt;""),91)),"")</f>
        <v/>
      </c>
      <c r="C94" s="8" t="str">
        <f ca="1">IFERROR(INDEX(All_Risk_Apps!$D$4:$D$1233,_xludf.aggregate(15,6,(ROW(All_Risk_Apps!$A$4:$A$1233)-ROW(All_Risk_Apps!$A$4)+1)/(All_Risk_Apps!$J$4:$J$1233="Fast Follower")*(All_Risk_Apps!$A$4:$A$1233&lt;&gt;""),91)),"")</f>
        <v/>
      </c>
      <c r="D94" s="8" t="str">
        <f ca="1">IFERROR(INDEX(All_Risk_Apps!$C$4:$C$1233,_xludf.aggregate(15,6,(ROW(All_Risk_Apps!$A$4:$A$1233)-ROW(All_Risk_Apps!$A$4)+1)/(All_Risk_Apps!$J$4:$J$1233="Fast Follower")*(All_Risk_Apps!$A$4:$A$1233&lt;&gt;""),91)),"")</f>
        <v/>
      </c>
      <c r="E94" s="8" t="str">
        <f ca="1">IFERROR(INDEX(All_Risk_Apps!$E$4:$E$1233,_xludf.aggregate(15,6,(ROW(All_Risk_Apps!$A$4:$A$1233)-ROW(All_Risk_Apps!$A$4)+1)/(All_Risk_Apps!$J$4:$J$1233="Fast Follower")*(All_Risk_Apps!$A$4:$A$1233&lt;&gt;""),91)),"")</f>
        <v/>
      </c>
      <c r="F94" s="8" t="str">
        <f ca="1">IFERROR(INDEX(All_Risk_Apps!$F$4:$F$1233,_xludf.aggregate(15,6,(ROW(All_Risk_Apps!$A$4:$A$1233)-ROW(All_Risk_Apps!$A$4)+1)/(All_Risk_Apps!$J$4:$J$1233="Fast Follower")*(All_Risk_Apps!$A$4:$A$1233&lt;&gt;""),91)),"")</f>
        <v/>
      </c>
      <c r="G94" s="8" t="str">
        <f ca="1">IFERROR(INDEX(All_Risk_Apps!$I$4:$I$1233,_xludf.aggregate(15,6,(ROW(All_Risk_Apps!$A$4:$A$1233)-ROW(All_Risk_Apps!$A$4)+1)/(All_Risk_Apps!$J$4:$J$1233="Fast Follower")*(All_Risk_Apps!$A$4:$A$1233&lt;&gt;""),91)),"")</f>
        <v/>
      </c>
      <c r="H94" s="8" t="str">
        <f ca="1">IF(B94="","",IFERROR(INDEX(Server_Inventory!$R:$R,MATCH(B94,Server_Inventory!$Z:$Z,0)),"Not Found"))</f>
        <v/>
      </c>
      <c r="I94" s="8" t="str">
        <f ca="1">IF(B94="","",IFERROR(INDEX(Server_Inventory!$S:$S,MATCH(B94,Server_Inventory!$Z:$Z,0)),"Not Found"))</f>
        <v/>
      </c>
      <c r="J94" s="8" t="str">
        <f ca="1">IF(B94="","",COUNTIFS(Server_Inventory!$Z:$Z,B94,Server_Inventory!$P:$P,"R-RETIRED_IN_CMDB"))</f>
        <v/>
      </c>
      <c r="K94" s="8" t="str">
        <f ca="1">IF(B94="","",IFERROR(INDEX(Container_Inventory!$F:$F,MATCH(B94,Container_Inventory!$L:$L,0)),"Not Found"))</f>
        <v/>
      </c>
      <c r="L94" s="8" t="str">
        <f ca="1">IF(B94="","",IF(COUNTIF(Finding_List!$A:$A,B94)&gt;0,"Yes","No"))</f>
        <v/>
      </c>
      <c r="M94" s="8" t="str">
        <f ca="1">IF(B94="","",COUNTIF(Server_Inventory!$Z:$Z,B94))</f>
        <v/>
      </c>
      <c r="N94" s="8" t="str">
        <f ca="1">IF(B94="","",COUNTIF(Container_Inventory!$L:$L,B94))</f>
        <v/>
      </c>
    </row>
    <row r="95" spans="1:14" x14ac:dyDescent="0.2">
      <c r="A95" s="14" t="str">
        <f ca="1">IFERROR(INDEX(All_Risk_Apps!$A$4:$A$1233,_xludf.aggregate(15,6,(ROW(All_Risk_Apps!$A$4:$A$1233)-ROW(All_Risk_Apps!$A$4)+1)/(All_Risk_Apps!$J$4:$J$1233="Fast Follower")*(All_Risk_Apps!$A$4:$A$1233&lt;&gt;""),92)),"")</f>
        <v/>
      </c>
      <c r="B95" s="14" t="str">
        <f ca="1">IFERROR(INDEX(All_Risk_Apps!$B$4:$B$1233,_xludf.aggregate(15,6,(ROW(All_Risk_Apps!$A$4:$A$1233)-ROW(All_Risk_Apps!$A$4)+1)/(All_Risk_Apps!$J$4:$J$1233="Fast Follower")*(All_Risk_Apps!$A$4:$A$1233&lt;&gt;""),92)),"")</f>
        <v/>
      </c>
      <c r="C95" s="14" t="str">
        <f ca="1">IFERROR(INDEX(All_Risk_Apps!$D$4:$D$1233,_xludf.aggregate(15,6,(ROW(All_Risk_Apps!$A$4:$A$1233)-ROW(All_Risk_Apps!$A$4)+1)/(All_Risk_Apps!$J$4:$J$1233="Fast Follower")*(All_Risk_Apps!$A$4:$A$1233&lt;&gt;""),92)),"")</f>
        <v/>
      </c>
      <c r="D95" s="14" t="str">
        <f ca="1">IFERROR(INDEX(All_Risk_Apps!$C$4:$C$1233,_xludf.aggregate(15,6,(ROW(All_Risk_Apps!$A$4:$A$1233)-ROW(All_Risk_Apps!$A$4)+1)/(All_Risk_Apps!$J$4:$J$1233="Fast Follower")*(All_Risk_Apps!$A$4:$A$1233&lt;&gt;""),92)),"")</f>
        <v/>
      </c>
      <c r="E95" s="14" t="str">
        <f ca="1">IFERROR(INDEX(All_Risk_Apps!$E$4:$E$1233,_xludf.aggregate(15,6,(ROW(All_Risk_Apps!$A$4:$A$1233)-ROW(All_Risk_Apps!$A$4)+1)/(All_Risk_Apps!$J$4:$J$1233="Fast Follower")*(All_Risk_Apps!$A$4:$A$1233&lt;&gt;""),92)),"")</f>
        <v/>
      </c>
      <c r="F95" s="14" t="str">
        <f ca="1">IFERROR(INDEX(All_Risk_Apps!$F$4:$F$1233,_xludf.aggregate(15,6,(ROW(All_Risk_Apps!$A$4:$A$1233)-ROW(All_Risk_Apps!$A$4)+1)/(All_Risk_Apps!$J$4:$J$1233="Fast Follower")*(All_Risk_Apps!$A$4:$A$1233&lt;&gt;""),92)),"")</f>
        <v/>
      </c>
      <c r="G95" s="14" t="str">
        <f ca="1">IFERROR(INDEX(All_Risk_Apps!$I$4:$I$1233,_xludf.aggregate(15,6,(ROW(All_Risk_Apps!$A$4:$A$1233)-ROW(All_Risk_Apps!$A$4)+1)/(All_Risk_Apps!$J$4:$J$1233="Fast Follower")*(All_Risk_Apps!$A$4:$A$1233&lt;&gt;""),92)),"")</f>
        <v/>
      </c>
      <c r="H95" s="14" t="str">
        <f ca="1">IF(B95="","",IFERROR(INDEX(Server_Inventory!$R:$R,MATCH(B95,Server_Inventory!$Z:$Z,0)),"Not Found"))</f>
        <v/>
      </c>
      <c r="I95" s="14" t="str">
        <f ca="1">IF(B95="","",IFERROR(INDEX(Server_Inventory!$S:$S,MATCH(B95,Server_Inventory!$Z:$Z,0)),"Not Found"))</f>
        <v/>
      </c>
      <c r="J95" s="14" t="str">
        <f ca="1">IF(B95="","",COUNTIFS(Server_Inventory!$Z:$Z,B95,Server_Inventory!$P:$P,"R-RETIRED_IN_CMDB"))</f>
        <v/>
      </c>
      <c r="K95" s="14" t="str">
        <f ca="1">IF(B95="","",IFERROR(INDEX(Container_Inventory!$F:$F,MATCH(B95,Container_Inventory!$L:$L,0)),"Not Found"))</f>
        <v/>
      </c>
      <c r="L95" s="14" t="str">
        <f ca="1">IF(B95="","",IF(COUNTIF(Finding_List!$A:$A,B95)&gt;0,"Yes","No"))</f>
        <v/>
      </c>
      <c r="M95" s="14" t="str">
        <f ca="1">IF(B95="","",COUNTIF(Server_Inventory!$Z:$Z,B95))</f>
        <v/>
      </c>
      <c r="N95" s="14" t="str">
        <f ca="1">IF(B95="","",COUNTIF(Container_Inventory!$L:$L,B95))</f>
        <v/>
      </c>
    </row>
    <row r="96" spans="1:14" x14ac:dyDescent="0.2">
      <c r="A96" s="8" t="str">
        <f ca="1">IFERROR(INDEX(All_Risk_Apps!$A$4:$A$1233,_xludf.aggregate(15,6,(ROW(All_Risk_Apps!$A$4:$A$1233)-ROW(All_Risk_Apps!$A$4)+1)/(All_Risk_Apps!$J$4:$J$1233="Fast Follower")*(All_Risk_Apps!$A$4:$A$1233&lt;&gt;""),93)),"")</f>
        <v/>
      </c>
      <c r="B96" s="8" t="str">
        <f ca="1">IFERROR(INDEX(All_Risk_Apps!$B$4:$B$1233,_xludf.aggregate(15,6,(ROW(All_Risk_Apps!$A$4:$A$1233)-ROW(All_Risk_Apps!$A$4)+1)/(All_Risk_Apps!$J$4:$J$1233="Fast Follower")*(All_Risk_Apps!$A$4:$A$1233&lt;&gt;""),93)),"")</f>
        <v/>
      </c>
      <c r="C96" s="8" t="str">
        <f ca="1">IFERROR(INDEX(All_Risk_Apps!$D$4:$D$1233,_xludf.aggregate(15,6,(ROW(All_Risk_Apps!$A$4:$A$1233)-ROW(All_Risk_Apps!$A$4)+1)/(All_Risk_Apps!$J$4:$J$1233="Fast Follower")*(All_Risk_Apps!$A$4:$A$1233&lt;&gt;""),93)),"")</f>
        <v/>
      </c>
      <c r="D96" s="8" t="str">
        <f ca="1">IFERROR(INDEX(All_Risk_Apps!$C$4:$C$1233,_xludf.aggregate(15,6,(ROW(All_Risk_Apps!$A$4:$A$1233)-ROW(All_Risk_Apps!$A$4)+1)/(All_Risk_Apps!$J$4:$J$1233="Fast Follower")*(All_Risk_Apps!$A$4:$A$1233&lt;&gt;""),93)),"")</f>
        <v/>
      </c>
      <c r="E96" s="8" t="str">
        <f ca="1">IFERROR(INDEX(All_Risk_Apps!$E$4:$E$1233,_xludf.aggregate(15,6,(ROW(All_Risk_Apps!$A$4:$A$1233)-ROW(All_Risk_Apps!$A$4)+1)/(All_Risk_Apps!$J$4:$J$1233="Fast Follower")*(All_Risk_Apps!$A$4:$A$1233&lt;&gt;""),93)),"")</f>
        <v/>
      </c>
      <c r="F96" s="8" t="str">
        <f ca="1">IFERROR(INDEX(All_Risk_Apps!$F$4:$F$1233,_xludf.aggregate(15,6,(ROW(All_Risk_Apps!$A$4:$A$1233)-ROW(All_Risk_Apps!$A$4)+1)/(All_Risk_Apps!$J$4:$J$1233="Fast Follower")*(All_Risk_Apps!$A$4:$A$1233&lt;&gt;""),93)),"")</f>
        <v/>
      </c>
      <c r="G96" s="8" t="str">
        <f ca="1">IFERROR(INDEX(All_Risk_Apps!$I$4:$I$1233,_xludf.aggregate(15,6,(ROW(All_Risk_Apps!$A$4:$A$1233)-ROW(All_Risk_Apps!$A$4)+1)/(All_Risk_Apps!$J$4:$J$1233="Fast Follower")*(All_Risk_Apps!$A$4:$A$1233&lt;&gt;""),93)),"")</f>
        <v/>
      </c>
      <c r="H96" s="8" t="str">
        <f ca="1">IF(B96="","",IFERROR(INDEX(Server_Inventory!$R:$R,MATCH(B96,Server_Inventory!$Z:$Z,0)),"Not Found"))</f>
        <v/>
      </c>
      <c r="I96" s="8" t="str">
        <f ca="1">IF(B96="","",IFERROR(INDEX(Server_Inventory!$S:$S,MATCH(B96,Server_Inventory!$Z:$Z,0)),"Not Found"))</f>
        <v/>
      </c>
      <c r="J96" s="8" t="str">
        <f ca="1">IF(B96="","",COUNTIFS(Server_Inventory!$Z:$Z,B96,Server_Inventory!$P:$P,"R-RETIRED_IN_CMDB"))</f>
        <v/>
      </c>
      <c r="K96" s="8" t="str">
        <f ca="1">IF(B96="","",IFERROR(INDEX(Container_Inventory!$F:$F,MATCH(B96,Container_Inventory!$L:$L,0)),"Not Found"))</f>
        <v/>
      </c>
      <c r="L96" s="8" t="str">
        <f ca="1">IF(B96="","",IF(COUNTIF(Finding_List!$A:$A,B96)&gt;0,"Yes","No"))</f>
        <v/>
      </c>
      <c r="M96" s="8" t="str">
        <f ca="1">IF(B96="","",COUNTIF(Server_Inventory!$Z:$Z,B96))</f>
        <v/>
      </c>
      <c r="N96" s="8" t="str">
        <f ca="1">IF(B96="","",COUNTIF(Container_Inventory!$L:$L,B96))</f>
        <v/>
      </c>
    </row>
    <row r="97" spans="1:14" x14ac:dyDescent="0.2">
      <c r="A97" s="14" t="str">
        <f ca="1">IFERROR(INDEX(All_Risk_Apps!$A$4:$A$1233,_xludf.aggregate(15,6,(ROW(All_Risk_Apps!$A$4:$A$1233)-ROW(All_Risk_Apps!$A$4)+1)/(All_Risk_Apps!$J$4:$J$1233="Fast Follower")*(All_Risk_Apps!$A$4:$A$1233&lt;&gt;""),94)),"")</f>
        <v/>
      </c>
      <c r="B97" s="14" t="str">
        <f ca="1">IFERROR(INDEX(All_Risk_Apps!$B$4:$B$1233,_xludf.aggregate(15,6,(ROW(All_Risk_Apps!$A$4:$A$1233)-ROW(All_Risk_Apps!$A$4)+1)/(All_Risk_Apps!$J$4:$J$1233="Fast Follower")*(All_Risk_Apps!$A$4:$A$1233&lt;&gt;""),94)),"")</f>
        <v/>
      </c>
      <c r="C97" s="14" t="str">
        <f ca="1">IFERROR(INDEX(All_Risk_Apps!$D$4:$D$1233,_xludf.aggregate(15,6,(ROW(All_Risk_Apps!$A$4:$A$1233)-ROW(All_Risk_Apps!$A$4)+1)/(All_Risk_Apps!$J$4:$J$1233="Fast Follower")*(All_Risk_Apps!$A$4:$A$1233&lt;&gt;""),94)),"")</f>
        <v/>
      </c>
      <c r="D97" s="14" t="str">
        <f ca="1">IFERROR(INDEX(All_Risk_Apps!$C$4:$C$1233,_xludf.aggregate(15,6,(ROW(All_Risk_Apps!$A$4:$A$1233)-ROW(All_Risk_Apps!$A$4)+1)/(All_Risk_Apps!$J$4:$J$1233="Fast Follower")*(All_Risk_Apps!$A$4:$A$1233&lt;&gt;""),94)),"")</f>
        <v/>
      </c>
      <c r="E97" s="14" t="str">
        <f ca="1">IFERROR(INDEX(All_Risk_Apps!$E$4:$E$1233,_xludf.aggregate(15,6,(ROW(All_Risk_Apps!$A$4:$A$1233)-ROW(All_Risk_Apps!$A$4)+1)/(All_Risk_Apps!$J$4:$J$1233="Fast Follower")*(All_Risk_Apps!$A$4:$A$1233&lt;&gt;""),94)),"")</f>
        <v/>
      </c>
      <c r="F97" s="14" t="str">
        <f ca="1">IFERROR(INDEX(All_Risk_Apps!$F$4:$F$1233,_xludf.aggregate(15,6,(ROW(All_Risk_Apps!$A$4:$A$1233)-ROW(All_Risk_Apps!$A$4)+1)/(All_Risk_Apps!$J$4:$J$1233="Fast Follower")*(All_Risk_Apps!$A$4:$A$1233&lt;&gt;""),94)),"")</f>
        <v/>
      </c>
      <c r="G97" s="14" t="str">
        <f ca="1">IFERROR(INDEX(All_Risk_Apps!$I$4:$I$1233,_xludf.aggregate(15,6,(ROW(All_Risk_Apps!$A$4:$A$1233)-ROW(All_Risk_Apps!$A$4)+1)/(All_Risk_Apps!$J$4:$J$1233="Fast Follower")*(All_Risk_Apps!$A$4:$A$1233&lt;&gt;""),94)),"")</f>
        <v/>
      </c>
      <c r="H97" s="14" t="str">
        <f ca="1">IF(B97="","",IFERROR(INDEX(Server_Inventory!$R:$R,MATCH(B97,Server_Inventory!$Z:$Z,0)),"Not Found"))</f>
        <v/>
      </c>
      <c r="I97" s="14" t="str">
        <f ca="1">IF(B97="","",IFERROR(INDEX(Server_Inventory!$S:$S,MATCH(B97,Server_Inventory!$Z:$Z,0)),"Not Found"))</f>
        <v/>
      </c>
      <c r="J97" s="14" t="str">
        <f ca="1">IF(B97="","",COUNTIFS(Server_Inventory!$Z:$Z,B97,Server_Inventory!$P:$P,"R-RETIRED_IN_CMDB"))</f>
        <v/>
      </c>
      <c r="K97" s="14" t="str">
        <f ca="1">IF(B97="","",IFERROR(INDEX(Container_Inventory!$F:$F,MATCH(B97,Container_Inventory!$L:$L,0)),"Not Found"))</f>
        <v/>
      </c>
      <c r="L97" s="14" t="str">
        <f ca="1">IF(B97="","",IF(COUNTIF(Finding_List!$A:$A,B97)&gt;0,"Yes","No"))</f>
        <v/>
      </c>
      <c r="M97" s="14" t="str">
        <f ca="1">IF(B97="","",COUNTIF(Server_Inventory!$Z:$Z,B97))</f>
        <v/>
      </c>
      <c r="N97" s="14" t="str">
        <f ca="1">IF(B97="","",COUNTIF(Container_Inventory!$L:$L,B97))</f>
        <v/>
      </c>
    </row>
    <row r="98" spans="1:14" x14ac:dyDescent="0.2">
      <c r="A98" s="8" t="str">
        <f ca="1">IFERROR(INDEX(All_Risk_Apps!$A$4:$A$1233,_xludf.aggregate(15,6,(ROW(All_Risk_Apps!$A$4:$A$1233)-ROW(All_Risk_Apps!$A$4)+1)/(All_Risk_Apps!$J$4:$J$1233="Fast Follower")*(All_Risk_Apps!$A$4:$A$1233&lt;&gt;""),95)),"")</f>
        <v/>
      </c>
      <c r="B98" s="8" t="str">
        <f ca="1">IFERROR(INDEX(All_Risk_Apps!$B$4:$B$1233,_xludf.aggregate(15,6,(ROW(All_Risk_Apps!$A$4:$A$1233)-ROW(All_Risk_Apps!$A$4)+1)/(All_Risk_Apps!$J$4:$J$1233="Fast Follower")*(All_Risk_Apps!$A$4:$A$1233&lt;&gt;""),95)),"")</f>
        <v/>
      </c>
      <c r="C98" s="8" t="str">
        <f ca="1">IFERROR(INDEX(All_Risk_Apps!$D$4:$D$1233,_xludf.aggregate(15,6,(ROW(All_Risk_Apps!$A$4:$A$1233)-ROW(All_Risk_Apps!$A$4)+1)/(All_Risk_Apps!$J$4:$J$1233="Fast Follower")*(All_Risk_Apps!$A$4:$A$1233&lt;&gt;""),95)),"")</f>
        <v/>
      </c>
      <c r="D98" s="8" t="str">
        <f ca="1">IFERROR(INDEX(All_Risk_Apps!$C$4:$C$1233,_xludf.aggregate(15,6,(ROW(All_Risk_Apps!$A$4:$A$1233)-ROW(All_Risk_Apps!$A$4)+1)/(All_Risk_Apps!$J$4:$J$1233="Fast Follower")*(All_Risk_Apps!$A$4:$A$1233&lt;&gt;""),95)),"")</f>
        <v/>
      </c>
      <c r="E98" s="8" t="str">
        <f ca="1">IFERROR(INDEX(All_Risk_Apps!$E$4:$E$1233,_xludf.aggregate(15,6,(ROW(All_Risk_Apps!$A$4:$A$1233)-ROW(All_Risk_Apps!$A$4)+1)/(All_Risk_Apps!$J$4:$J$1233="Fast Follower")*(All_Risk_Apps!$A$4:$A$1233&lt;&gt;""),95)),"")</f>
        <v/>
      </c>
      <c r="F98" s="8" t="str">
        <f ca="1">IFERROR(INDEX(All_Risk_Apps!$F$4:$F$1233,_xludf.aggregate(15,6,(ROW(All_Risk_Apps!$A$4:$A$1233)-ROW(All_Risk_Apps!$A$4)+1)/(All_Risk_Apps!$J$4:$J$1233="Fast Follower")*(All_Risk_Apps!$A$4:$A$1233&lt;&gt;""),95)),"")</f>
        <v/>
      </c>
      <c r="G98" s="8" t="str">
        <f ca="1">IFERROR(INDEX(All_Risk_Apps!$I$4:$I$1233,_xludf.aggregate(15,6,(ROW(All_Risk_Apps!$A$4:$A$1233)-ROW(All_Risk_Apps!$A$4)+1)/(All_Risk_Apps!$J$4:$J$1233="Fast Follower")*(All_Risk_Apps!$A$4:$A$1233&lt;&gt;""),95)),"")</f>
        <v/>
      </c>
      <c r="H98" s="8" t="str">
        <f ca="1">IF(B98="","",IFERROR(INDEX(Server_Inventory!$R:$R,MATCH(B98,Server_Inventory!$Z:$Z,0)),"Not Found"))</f>
        <v/>
      </c>
      <c r="I98" s="8" t="str">
        <f ca="1">IF(B98="","",IFERROR(INDEX(Server_Inventory!$S:$S,MATCH(B98,Server_Inventory!$Z:$Z,0)),"Not Found"))</f>
        <v/>
      </c>
      <c r="J98" s="8" t="str">
        <f ca="1">IF(B98="","",COUNTIFS(Server_Inventory!$Z:$Z,B98,Server_Inventory!$P:$P,"R-RETIRED_IN_CMDB"))</f>
        <v/>
      </c>
      <c r="K98" s="8" t="str">
        <f ca="1">IF(B98="","",IFERROR(INDEX(Container_Inventory!$F:$F,MATCH(B98,Container_Inventory!$L:$L,0)),"Not Found"))</f>
        <v/>
      </c>
      <c r="L98" s="8" t="str">
        <f ca="1">IF(B98="","",IF(COUNTIF(Finding_List!$A:$A,B98)&gt;0,"Yes","No"))</f>
        <v/>
      </c>
      <c r="M98" s="8" t="str">
        <f ca="1">IF(B98="","",COUNTIF(Server_Inventory!$Z:$Z,B98))</f>
        <v/>
      </c>
      <c r="N98" s="8" t="str">
        <f ca="1">IF(B98="","",COUNTIF(Container_Inventory!$L:$L,B98))</f>
        <v/>
      </c>
    </row>
    <row r="99" spans="1:14" x14ac:dyDescent="0.2">
      <c r="A99" s="14" t="str">
        <f ca="1">IFERROR(INDEX(All_Risk_Apps!$A$4:$A$1233,_xludf.aggregate(15,6,(ROW(All_Risk_Apps!$A$4:$A$1233)-ROW(All_Risk_Apps!$A$4)+1)/(All_Risk_Apps!$J$4:$J$1233="Fast Follower")*(All_Risk_Apps!$A$4:$A$1233&lt;&gt;""),96)),"")</f>
        <v/>
      </c>
      <c r="B99" s="14" t="str">
        <f ca="1">IFERROR(INDEX(All_Risk_Apps!$B$4:$B$1233,_xludf.aggregate(15,6,(ROW(All_Risk_Apps!$A$4:$A$1233)-ROW(All_Risk_Apps!$A$4)+1)/(All_Risk_Apps!$J$4:$J$1233="Fast Follower")*(All_Risk_Apps!$A$4:$A$1233&lt;&gt;""),96)),"")</f>
        <v/>
      </c>
      <c r="C99" s="14" t="str">
        <f ca="1">IFERROR(INDEX(All_Risk_Apps!$D$4:$D$1233,_xludf.aggregate(15,6,(ROW(All_Risk_Apps!$A$4:$A$1233)-ROW(All_Risk_Apps!$A$4)+1)/(All_Risk_Apps!$J$4:$J$1233="Fast Follower")*(All_Risk_Apps!$A$4:$A$1233&lt;&gt;""),96)),"")</f>
        <v/>
      </c>
      <c r="D99" s="14" t="str">
        <f ca="1">IFERROR(INDEX(All_Risk_Apps!$C$4:$C$1233,_xludf.aggregate(15,6,(ROW(All_Risk_Apps!$A$4:$A$1233)-ROW(All_Risk_Apps!$A$4)+1)/(All_Risk_Apps!$J$4:$J$1233="Fast Follower")*(All_Risk_Apps!$A$4:$A$1233&lt;&gt;""),96)),"")</f>
        <v/>
      </c>
      <c r="E99" s="14" t="str">
        <f ca="1">IFERROR(INDEX(All_Risk_Apps!$E$4:$E$1233,_xludf.aggregate(15,6,(ROW(All_Risk_Apps!$A$4:$A$1233)-ROW(All_Risk_Apps!$A$4)+1)/(All_Risk_Apps!$J$4:$J$1233="Fast Follower")*(All_Risk_Apps!$A$4:$A$1233&lt;&gt;""),96)),"")</f>
        <v/>
      </c>
      <c r="F99" s="14" t="str">
        <f ca="1">IFERROR(INDEX(All_Risk_Apps!$F$4:$F$1233,_xludf.aggregate(15,6,(ROW(All_Risk_Apps!$A$4:$A$1233)-ROW(All_Risk_Apps!$A$4)+1)/(All_Risk_Apps!$J$4:$J$1233="Fast Follower")*(All_Risk_Apps!$A$4:$A$1233&lt;&gt;""),96)),"")</f>
        <v/>
      </c>
      <c r="G99" s="14" t="str">
        <f ca="1">IFERROR(INDEX(All_Risk_Apps!$I$4:$I$1233,_xludf.aggregate(15,6,(ROW(All_Risk_Apps!$A$4:$A$1233)-ROW(All_Risk_Apps!$A$4)+1)/(All_Risk_Apps!$J$4:$J$1233="Fast Follower")*(All_Risk_Apps!$A$4:$A$1233&lt;&gt;""),96)),"")</f>
        <v/>
      </c>
      <c r="H99" s="14" t="str">
        <f ca="1">IF(B99="","",IFERROR(INDEX(Server_Inventory!$R:$R,MATCH(B99,Server_Inventory!$Z:$Z,0)),"Not Found"))</f>
        <v/>
      </c>
      <c r="I99" s="14" t="str">
        <f ca="1">IF(B99="","",IFERROR(INDEX(Server_Inventory!$S:$S,MATCH(B99,Server_Inventory!$Z:$Z,0)),"Not Found"))</f>
        <v/>
      </c>
      <c r="J99" s="14" t="str">
        <f ca="1">IF(B99="","",COUNTIFS(Server_Inventory!$Z:$Z,B99,Server_Inventory!$P:$P,"R-RETIRED_IN_CMDB"))</f>
        <v/>
      </c>
      <c r="K99" s="14" t="str">
        <f ca="1">IF(B99="","",IFERROR(INDEX(Container_Inventory!$F:$F,MATCH(B99,Container_Inventory!$L:$L,0)),"Not Found"))</f>
        <v/>
      </c>
      <c r="L99" s="14" t="str">
        <f ca="1">IF(B99="","",IF(COUNTIF(Finding_List!$A:$A,B99)&gt;0,"Yes","No"))</f>
        <v/>
      </c>
      <c r="M99" s="14" t="str">
        <f ca="1">IF(B99="","",COUNTIF(Server_Inventory!$Z:$Z,B99))</f>
        <v/>
      </c>
      <c r="N99" s="14" t="str">
        <f ca="1">IF(B99="","",COUNTIF(Container_Inventory!$L:$L,B99))</f>
        <v/>
      </c>
    </row>
    <row r="100" spans="1:14" x14ac:dyDescent="0.2">
      <c r="A100" s="8" t="str">
        <f ca="1">IFERROR(INDEX(All_Risk_Apps!$A$4:$A$1233,_xludf.aggregate(15,6,(ROW(All_Risk_Apps!$A$4:$A$1233)-ROW(All_Risk_Apps!$A$4)+1)/(All_Risk_Apps!$J$4:$J$1233="Fast Follower")*(All_Risk_Apps!$A$4:$A$1233&lt;&gt;""),97)),"")</f>
        <v/>
      </c>
      <c r="B100" s="8" t="str">
        <f ca="1">IFERROR(INDEX(All_Risk_Apps!$B$4:$B$1233,_xludf.aggregate(15,6,(ROW(All_Risk_Apps!$A$4:$A$1233)-ROW(All_Risk_Apps!$A$4)+1)/(All_Risk_Apps!$J$4:$J$1233="Fast Follower")*(All_Risk_Apps!$A$4:$A$1233&lt;&gt;""),97)),"")</f>
        <v/>
      </c>
      <c r="C100" s="8" t="str">
        <f ca="1">IFERROR(INDEX(All_Risk_Apps!$D$4:$D$1233,_xludf.aggregate(15,6,(ROW(All_Risk_Apps!$A$4:$A$1233)-ROW(All_Risk_Apps!$A$4)+1)/(All_Risk_Apps!$J$4:$J$1233="Fast Follower")*(All_Risk_Apps!$A$4:$A$1233&lt;&gt;""),97)),"")</f>
        <v/>
      </c>
      <c r="D100" s="8" t="str">
        <f ca="1">IFERROR(INDEX(All_Risk_Apps!$C$4:$C$1233,_xludf.aggregate(15,6,(ROW(All_Risk_Apps!$A$4:$A$1233)-ROW(All_Risk_Apps!$A$4)+1)/(All_Risk_Apps!$J$4:$J$1233="Fast Follower")*(All_Risk_Apps!$A$4:$A$1233&lt;&gt;""),97)),"")</f>
        <v/>
      </c>
      <c r="E100" s="8" t="str">
        <f ca="1">IFERROR(INDEX(All_Risk_Apps!$E$4:$E$1233,_xludf.aggregate(15,6,(ROW(All_Risk_Apps!$A$4:$A$1233)-ROW(All_Risk_Apps!$A$4)+1)/(All_Risk_Apps!$J$4:$J$1233="Fast Follower")*(All_Risk_Apps!$A$4:$A$1233&lt;&gt;""),97)),"")</f>
        <v/>
      </c>
      <c r="F100" s="8" t="str">
        <f ca="1">IFERROR(INDEX(All_Risk_Apps!$F$4:$F$1233,_xludf.aggregate(15,6,(ROW(All_Risk_Apps!$A$4:$A$1233)-ROW(All_Risk_Apps!$A$4)+1)/(All_Risk_Apps!$J$4:$J$1233="Fast Follower")*(All_Risk_Apps!$A$4:$A$1233&lt;&gt;""),97)),"")</f>
        <v/>
      </c>
      <c r="G100" s="8" t="str">
        <f ca="1">IFERROR(INDEX(All_Risk_Apps!$I$4:$I$1233,_xludf.aggregate(15,6,(ROW(All_Risk_Apps!$A$4:$A$1233)-ROW(All_Risk_Apps!$A$4)+1)/(All_Risk_Apps!$J$4:$J$1233="Fast Follower")*(All_Risk_Apps!$A$4:$A$1233&lt;&gt;""),97)),"")</f>
        <v/>
      </c>
      <c r="H100" s="8" t="str">
        <f ca="1">IF(B100="","",IFERROR(INDEX(Server_Inventory!$R:$R,MATCH(B100,Server_Inventory!$Z:$Z,0)),"Not Found"))</f>
        <v/>
      </c>
      <c r="I100" s="8" t="str">
        <f ca="1">IF(B100="","",IFERROR(INDEX(Server_Inventory!$S:$S,MATCH(B100,Server_Inventory!$Z:$Z,0)),"Not Found"))</f>
        <v/>
      </c>
      <c r="J100" s="8" t="str">
        <f ca="1">IF(B100="","",COUNTIFS(Server_Inventory!$Z:$Z,B100,Server_Inventory!$P:$P,"R-RETIRED_IN_CMDB"))</f>
        <v/>
      </c>
      <c r="K100" s="8" t="str">
        <f ca="1">IF(B100="","",IFERROR(INDEX(Container_Inventory!$F:$F,MATCH(B100,Container_Inventory!$L:$L,0)),"Not Found"))</f>
        <v/>
      </c>
      <c r="L100" s="8" t="str">
        <f ca="1">IF(B100="","",IF(COUNTIF(Finding_List!$A:$A,B100)&gt;0,"Yes","No"))</f>
        <v/>
      </c>
      <c r="M100" s="8" t="str">
        <f ca="1">IF(B100="","",COUNTIF(Server_Inventory!$Z:$Z,B100))</f>
        <v/>
      </c>
      <c r="N100" s="8" t="str">
        <f ca="1">IF(B100="","",COUNTIF(Container_Inventory!$L:$L,B100))</f>
        <v/>
      </c>
    </row>
    <row r="101" spans="1:14" x14ac:dyDescent="0.2">
      <c r="A101" s="14" t="str">
        <f ca="1">IFERROR(INDEX(All_Risk_Apps!$A$4:$A$1233,_xludf.aggregate(15,6,(ROW(All_Risk_Apps!$A$4:$A$1233)-ROW(All_Risk_Apps!$A$4)+1)/(All_Risk_Apps!$J$4:$J$1233="Fast Follower")*(All_Risk_Apps!$A$4:$A$1233&lt;&gt;""),98)),"")</f>
        <v/>
      </c>
      <c r="B101" s="14" t="str">
        <f ca="1">IFERROR(INDEX(All_Risk_Apps!$B$4:$B$1233,_xludf.aggregate(15,6,(ROW(All_Risk_Apps!$A$4:$A$1233)-ROW(All_Risk_Apps!$A$4)+1)/(All_Risk_Apps!$J$4:$J$1233="Fast Follower")*(All_Risk_Apps!$A$4:$A$1233&lt;&gt;""),98)),"")</f>
        <v/>
      </c>
      <c r="C101" s="14" t="str">
        <f ca="1">IFERROR(INDEX(All_Risk_Apps!$D$4:$D$1233,_xludf.aggregate(15,6,(ROW(All_Risk_Apps!$A$4:$A$1233)-ROW(All_Risk_Apps!$A$4)+1)/(All_Risk_Apps!$J$4:$J$1233="Fast Follower")*(All_Risk_Apps!$A$4:$A$1233&lt;&gt;""),98)),"")</f>
        <v/>
      </c>
      <c r="D101" s="14" t="str">
        <f ca="1">IFERROR(INDEX(All_Risk_Apps!$C$4:$C$1233,_xludf.aggregate(15,6,(ROW(All_Risk_Apps!$A$4:$A$1233)-ROW(All_Risk_Apps!$A$4)+1)/(All_Risk_Apps!$J$4:$J$1233="Fast Follower")*(All_Risk_Apps!$A$4:$A$1233&lt;&gt;""),98)),"")</f>
        <v/>
      </c>
      <c r="E101" s="14" t="str">
        <f ca="1">IFERROR(INDEX(All_Risk_Apps!$E$4:$E$1233,_xludf.aggregate(15,6,(ROW(All_Risk_Apps!$A$4:$A$1233)-ROW(All_Risk_Apps!$A$4)+1)/(All_Risk_Apps!$J$4:$J$1233="Fast Follower")*(All_Risk_Apps!$A$4:$A$1233&lt;&gt;""),98)),"")</f>
        <v/>
      </c>
      <c r="F101" s="14" t="str">
        <f ca="1">IFERROR(INDEX(All_Risk_Apps!$F$4:$F$1233,_xludf.aggregate(15,6,(ROW(All_Risk_Apps!$A$4:$A$1233)-ROW(All_Risk_Apps!$A$4)+1)/(All_Risk_Apps!$J$4:$J$1233="Fast Follower")*(All_Risk_Apps!$A$4:$A$1233&lt;&gt;""),98)),"")</f>
        <v/>
      </c>
      <c r="G101" s="14" t="str">
        <f ca="1">IFERROR(INDEX(All_Risk_Apps!$I$4:$I$1233,_xludf.aggregate(15,6,(ROW(All_Risk_Apps!$A$4:$A$1233)-ROW(All_Risk_Apps!$A$4)+1)/(All_Risk_Apps!$J$4:$J$1233="Fast Follower")*(All_Risk_Apps!$A$4:$A$1233&lt;&gt;""),98)),"")</f>
        <v/>
      </c>
      <c r="H101" s="14" t="str">
        <f ca="1">IF(B101="","",IFERROR(INDEX(Server_Inventory!$R:$R,MATCH(B101,Server_Inventory!$Z:$Z,0)),"Not Found"))</f>
        <v/>
      </c>
      <c r="I101" s="14" t="str">
        <f ca="1">IF(B101="","",IFERROR(INDEX(Server_Inventory!$S:$S,MATCH(B101,Server_Inventory!$Z:$Z,0)),"Not Found"))</f>
        <v/>
      </c>
      <c r="J101" s="14" t="str">
        <f ca="1">IF(B101="","",COUNTIFS(Server_Inventory!$Z:$Z,B101,Server_Inventory!$P:$P,"R-RETIRED_IN_CMDB"))</f>
        <v/>
      </c>
      <c r="K101" s="14" t="str">
        <f ca="1">IF(B101="","",IFERROR(INDEX(Container_Inventory!$F:$F,MATCH(B101,Container_Inventory!$L:$L,0)),"Not Found"))</f>
        <v/>
      </c>
      <c r="L101" s="14" t="str">
        <f ca="1">IF(B101="","",IF(COUNTIF(Finding_List!$A:$A,B101)&gt;0,"Yes","No"))</f>
        <v/>
      </c>
      <c r="M101" s="14" t="str">
        <f ca="1">IF(B101="","",COUNTIF(Server_Inventory!$Z:$Z,B101))</f>
        <v/>
      </c>
      <c r="N101" s="14" t="str">
        <f ca="1">IF(B101="","",COUNTIF(Container_Inventory!$L:$L,B101))</f>
        <v/>
      </c>
    </row>
    <row r="102" spans="1:14" x14ac:dyDescent="0.2">
      <c r="A102" s="8" t="str">
        <f ca="1">IFERROR(INDEX(All_Risk_Apps!$A$4:$A$1233,_xludf.aggregate(15,6,(ROW(All_Risk_Apps!$A$4:$A$1233)-ROW(All_Risk_Apps!$A$4)+1)/(All_Risk_Apps!$J$4:$J$1233="Fast Follower")*(All_Risk_Apps!$A$4:$A$1233&lt;&gt;""),99)),"")</f>
        <v/>
      </c>
      <c r="B102" s="8" t="str">
        <f ca="1">IFERROR(INDEX(All_Risk_Apps!$B$4:$B$1233,_xludf.aggregate(15,6,(ROW(All_Risk_Apps!$A$4:$A$1233)-ROW(All_Risk_Apps!$A$4)+1)/(All_Risk_Apps!$J$4:$J$1233="Fast Follower")*(All_Risk_Apps!$A$4:$A$1233&lt;&gt;""),99)),"")</f>
        <v/>
      </c>
      <c r="C102" s="8" t="str">
        <f ca="1">IFERROR(INDEX(All_Risk_Apps!$D$4:$D$1233,_xludf.aggregate(15,6,(ROW(All_Risk_Apps!$A$4:$A$1233)-ROW(All_Risk_Apps!$A$4)+1)/(All_Risk_Apps!$J$4:$J$1233="Fast Follower")*(All_Risk_Apps!$A$4:$A$1233&lt;&gt;""),99)),"")</f>
        <v/>
      </c>
      <c r="D102" s="8" t="str">
        <f ca="1">IFERROR(INDEX(All_Risk_Apps!$C$4:$C$1233,_xludf.aggregate(15,6,(ROW(All_Risk_Apps!$A$4:$A$1233)-ROW(All_Risk_Apps!$A$4)+1)/(All_Risk_Apps!$J$4:$J$1233="Fast Follower")*(All_Risk_Apps!$A$4:$A$1233&lt;&gt;""),99)),"")</f>
        <v/>
      </c>
      <c r="E102" s="8" t="str">
        <f ca="1">IFERROR(INDEX(All_Risk_Apps!$E$4:$E$1233,_xludf.aggregate(15,6,(ROW(All_Risk_Apps!$A$4:$A$1233)-ROW(All_Risk_Apps!$A$4)+1)/(All_Risk_Apps!$J$4:$J$1233="Fast Follower")*(All_Risk_Apps!$A$4:$A$1233&lt;&gt;""),99)),"")</f>
        <v/>
      </c>
      <c r="F102" s="8" t="str">
        <f ca="1">IFERROR(INDEX(All_Risk_Apps!$F$4:$F$1233,_xludf.aggregate(15,6,(ROW(All_Risk_Apps!$A$4:$A$1233)-ROW(All_Risk_Apps!$A$4)+1)/(All_Risk_Apps!$J$4:$J$1233="Fast Follower")*(All_Risk_Apps!$A$4:$A$1233&lt;&gt;""),99)),"")</f>
        <v/>
      </c>
      <c r="G102" s="8" t="str">
        <f ca="1">IFERROR(INDEX(All_Risk_Apps!$I$4:$I$1233,_xludf.aggregate(15,6,(ROW(All_Risk_Apps!$A$4:$A$1233)-ROW(All_Risk_Apps!$A$4)+1)/(All_Risk_Apps!$J$4:$J$1233="Fast Follower")*(All_Risk_Apps!$A$4:$A$1233&lt;&gt;""),99)),"")</f>
        <v/>
      </c>
      <c r="H102" s="8" t="str">
        <f ca="1">IF(B102="","",IFERROR(INDEX(Server_Inventory!$R:$R,MATCH(B102,Server_Inventory!$Z:$Z,0)),"Not Found"))</f>
        <v/>
      </c>
      <c r="I102" s="8" t="str">
        <f ca="1">IF(B102="","",IFERROR(INDEX(Server_Inventory!$S:$S,MATCH(B102,Server_Inventory!$Z:$Z,0)),"Not Found"))</f>
        <v/>
      </c>
      <c r="J102" s="8" t="str">
        <f ca="1">IF(B102="","",COUNTIFS(Server_Inventory!$Z:$Z,B102,Server_Inventory!$P:$P,"R-RETIRED_IN_CMDB"))</f>
        <v/>
      </c>
      <c r="K102" s="8" t="str">
        <f ca="1">IF(B102="","",IFERROR(INDEX(Container_Inventory!$F:$F,MATCH(B102,Container_Inventory!$L:$L,0)),"Not Found"))</f>
        <v/>
      </c>
      <c r="L102" s="8" t="str">
        <f ca="1">IF(B102="","",IF(COUNTIF(Finding_List!$A:$A,B102)&gt;0,"Yes","No"))</f>
        <v/>
      </c>
      <c r="M102" s="8" t="str">
        <f ca="1">IF(B102="","",COUNTIF(Server_Inventory!$Z:$Z,B102))</f>
        <v/>
      </c>
      <c r="N102" s="8" t="str">
        <f ca="1">IF(B102="","",COUNTIF(Container_Inventory!$L:$L,B102))</f>
        <v/>
      </c>
    </row>
    <row r="103" spans="1:14" x14ac:dyDescent="0.2">
      <c r="A103" s="14" t="str">
        <f ca="1">IFERROR(INDEX(All_Risk_Apps!$A$4:$A$1233,_xludf.aggregate(15,6,(ROW(All_Risk_Apps!$A$4:$A$1233)-ROW(All_Risk_Apps!$A$4)+1)/(All_Risk_Apps!$J$4:$J$1233="Fast Follower")*(All_Risk_Apps!$A$4:$A$1233&lt;&gt;""),100)),"")</f>
        <v/>
      </c>
      <c r="B103" s="14" t="str">
        <f ca="1">IFERROR(INDEX(All_Risk_Apps!$B$4:$B$1233,_xludf.aggregate(15,6,(ROW(All_Risk_Apps!$A$4:$A$1233)-ROW(All_Risk_Apps!$A$4)+1)/(All_Risk_Apps!$J$4:$J$1233="Fast Follower")*(All_Risk_Apps!$A$4:$A$1233&lt;&gt;""),100)),"")</f>
        <v/>
      </c>
      <c r="C103" s="14" t="str">
        <f ca="1">IFERROR(INDEX(All_Risk_Apps!$D$4:$D$1233,_xludf.aggregate(15,6,(ROW(All_Risk_Apps!$A$4:$A$1233)-ROW(All_Risk_Apps!$A$4)+1)/(All_Risk_Apps!$J$4:$J$1233="Fast Follower")*(All_Risk_Apps!$A$4:$A$1233&lt;&gt;""),100)),"")</f>
        <v/>
      </c>
      <c r="D103" s="14" t="str">
        <f ca="1">IFERROR(INDEX(All_Risk_Apps!$C$4:$C$1233,_xludf.aggregate(15,6,(ROW(All_Risk_Apps!$A$4:$A$1233)-ROW(All_Risk_Apps!$A$4)+1)/(All_Risk_Apps!$J$4:$J$1233="Fast Follower")*(All_Risk_Apps!$A$4:$A$1233&lt;&gt;""),100)),"")</f>
        <v/>
      </c>
      <c r="E103" s="14" t="str">
        <f ca="1">IFERROR(INDEX(All_Risk_Apps!$E$4:$E$1233,_xludf.aggregate(15,6,(ROW(All_Risk_Apps!$A$4:$A$1233)-ROW(All_Risk_Apps!$A$4)+1)/(All_Risk_Apps!$J$4:$J$1233="Fast Follower")*(All_Risk_Apps!$A$4:$A$1233&lt;&gt;""),100)),"")</f>
        <v/>
      </c>
      <c r="F103" s="14" t="str">
        <f ca="1">IFERROR(INDEX(All_Risk_Apps!$F$4:$F$1233,_xludf.aggregate(15,6,(ROW(All_Risk_Apps!$A$4:$A$1233)-ROW(All_Risk_Apps!$A$4)+1)/(All_Risk_Apps!$J$4:$J$1233="Fast Follower")*(All_Risk_Apps!$A$4:$A$1233&lt;&gt;""),100)),"")</f>
        <v/>
      </c>
      <c r="G103" s="14" t="str">
        <f ca="1">IFERROR(INDEX(All_Risk_Apps!$I$4:$I$1233,_xludf.aggregate(15,6,(ROW(All_Risk_Apps!$A$4:$A$1233)-ROW(All_Risk_Apps!$A$4)+1)/(All_Risk_Apps!$J$4:$J$1233="Fast Follower")*(All_Risk_Apps!$A$4:$A$1233&lt;&gt;""),100)),"")</f>
        <v/>
      </c>
      <c r="H103" s="14" t="str">
        <f ca="1">IF(B103="","",IFERROR(INDEX(Server_Inventory!$R:$R,MATCH(B103,Server_Inventory!$Z:$Z,0)),"Not Found"))</f>
        <v/>
      </c>
      <c r="I103" s="14" t="str">
        <f ca="1">IF(B103="","",IFERROR(INDEX(Server_Inventory!$S:$S,MATCH(B103,Server_Inventory!$Z:$Z,0)),"Not Found"))</f>
        <v/>
      </c>
      <c r="J103" s="14" t="str">
        <f ca="1">IF(B103="","",COUNTIFS(Server_Inventory!$Z:$Z,B103,Server_Inventory!$P:$P,"R-RETIRED_IN_CMDB"))</f>
        <v/>
      </c>
      <c r="K103" s="14" t="str">
        <f ca="1">IF(B103="","",IFERROR(INDEX(Container_Inventory!$F:$F,MATCH(B103,Container_Inventory!$L:$L,0)),"Not Found"))</f>
        <v/>
      </c>
      <c r="L103" s="14" t="str">
        <f ca="1">IF(B103="","",IF(COUNTIF(Finding_List!$A:$A,B103)&gt;0,"Yes","No"))</f>
        <v/>
      </c>
      <c r="M103" s="14" t="str">
        <f ca="1">IF(B103="","",COUNTIF(Server_Inventory!$Z:$Z,B103))</f>
        <v/>
      </c>
      <c r="N103" s="14" t="str">
        <f ca="1">IF(B103="","",COUNTIF(Container_Inventory!$L:$L,B103))</f>
        <v/>
      </c>
    </row>
    <row r="104" spans="1:14" x14ac:dyDescent="0.2">
      <c r="A104" s="8" t="str">
        <f ca="1">IFERROR(INDEX(All_Risk_Apps!$A$4:$A$1233,_xludf.aggregate(15,6,(ROW(All_Risk_Apps!$A$4:$A$1233)-ROW(All_Risk_Apps!$A$4)+1)/(All_Risk_Apps!$J$4:$J$1233="Fast Follower")*(All_Risk_Apps!$A$4:$A$1233&lt;&gt;""),101)),"")</f>
        <v/>
      </c>
      <c r="B104" s="8" t="str">
        <f ca="1">IFERROR(INDEX(All_Risk_Apps!$B$4:$B$1233,_xludf.aggregate(15,6,(ROW(All_Risk_Apps!$A$4:$A$1233)-ROW(All_Risk_Apps!$A$4)+1)/(All_Risk_Apps!$J$4:$J$1233="Fast Follower")*(All_Risk_Apps!$A$4:$A$1233&lt;&gt;""),101)),"")</f>
        <v/>
      </c>
      <c r="C104" s="8" t="str">
        <f ca="1">IFERROR(INDEX(All_Risk_Apps!$D$4:$D$1233,_xludf.aggregate(15,6,(ROW(All_Risk_Apps!$A$4:$A$1233)-ROW(All_Risk_Apps!$A$4)+1)/(All_Risk_Apps!$J$4:$J$1233="Fast Follower")*(All_Risk_Apps!$A$4:$A$1233&lt;&gt;""),101)),"")</f>
        <v/>
      </c>
      <c r="D104" s="8" t="str">
        <f ca="1">IFERROR(INDEX(All_Risk_Apps!$C$4:$C$1233,_xludf.aggregate(15,6,(ROW(All_Risk_Apps!$A$4:$A$1233)-ROW(All_Risk_Apps!$A$4)+1)/(All_Risk_Apps!$J$4:$J$1233="Fast Follower")*(All_Risk_Apps!$A$4:$A$1233&lt;&gt;""),101)),"")</f>
        <v/>
      </c>
      <c r="E104" s="8" t="str">
        <f ca="1">IFERROR(INDEX(All_Risk_Apps!$E$4:$E$1233,_xludf.aggregate(15,6,(ROW(All_Risk_Apps!$A$4:$A$1233)-ROW(All_Risk_Apps!$A$4)+1)/(All_Risk_Apps!$J$4:$J$1233="Fast Follower")*(All_Risk_Apps!$A$4:$A$1233&lt;&gt;""),101)),"")</f>
        <v/>
      </c>
      <c r="F104" s="8" t="str">
        <f ca="1">IFERROR(INDEX(All_Risk_Apps!$F$4:$F$1233,_xludf.aggregate(15,6,(ROW(All_Risk_Apps!$A$4:$A$1233)-ROW(All_Risk_Apps!$A$4)+1)/(All_Risk_Apps!$J$4:$J$1233="Fast Follower")*(All_Risk_Apps!$A$4:$A$1233&lt;&gt;""),101)),"")</f>
        <v/>
      </c>
      <c r="G104" s="8" t="str">
        <f ca="1">IFERROR(INDEX(All_Risk_Apps!$I$4:$I$1233,_xludf.aggregate(15,6,(ROW(All_Risk_Apps!$A$4:$A$1233)-ROW(All_Risk_Apps!$A$4)+1)/(All_Risk_Apps!$J$4:$J$1233="Fast Follower")*(All_Risk_Apps!$A$4:$A$1233&lt;&gt;""),101)),"")</f>
        <v/>
      </c>
      <c r="H104" s="8" t="str">
        <f ca="1">IF(B104="","",IFERROR(INDEX(Server_Inventory!$R:$R,MATCH(B104,Server_Inventory!$Z:$Z,0)),"Not Found"))</f>
        <v/>
      </c>
      <c r="I104" s="8" t="str">
        <f ca="1">IF(B104="","",IFERROR(INDEX(Server_Inventory!$S:$S,MATCH(B104,Server_Inventory!$Z:$Z,0)),"Not Found"))</f>
        <v/>
      </c>
      <c r="J104" s="8" t="str">
        <f ca="1">IF(B104="","",COUNTIFS(Server_Inventory!$Z:$Z,B104,Server_Inventory!$P:$P,"R-RETIRED_IN_CMDB"))</f>
        <v/>
      </c>
      <c r="K104" s="8" t="str">
        <f ca="1">IF(B104="","",IFERROR(INDEX(Container_Inventory!$F:$F,MATCH(B104,Container_Inventory!$L:$L,0)),"Not Found"))</f>
        <v/>
      </c>
      <c r="L104" s="8" t="str">
        <f ca="1">IF(B104="","",IF(COUNTIF(Finding_List!$A:$A,B104)&gt;0,"Yes","No"))</f>
        <v/>
      </c>
      <c r="M104" s="8" t="str">
        <f ca="1">IF(B104="","",COUNTIF(Server_Inventory!$Z:$Z,B104))</f>
        <v/>
      </c>
      <c r="N104" s="8" t="str">
        <f ca="1">IF(B104="","",COUNTIF(Container_Inventory!$L:$L,B104))</f>
        <v/>
      </c>
    </row>
    <row r="105" spans="1:14" x14ac:dyDescent="0.2">
      <c r="A105" s="14" t="str">
        <f ca="1">IFERROR(INDEX(All_Risk_Apps!$A$4:$A$1233,_xludf.aggregate(15,6,(ROW(All_Risk_Apps!$A$4:$A$1233)-ROW(All_Risk_Apps!$A$4)+1)/(All_Risk_Apps!$J$4:$J$1233="Fast Follower")*(All_Risk_Apps!$A$4:$A$1233&lt;&gt;""),102)),"")</f>
        <v/>
      </c>
      <c r="B105" s="14" t="str">
        <f ca="1">IFERROR(INDEX(All_Risk_Apps!$B$4:$B$1233,_xludf.aggregate(15,6,(ROW(All_Risk_Apps!$A$4:$A$1233)-ROW(All_Risk_Apps!$A$4)+1)/(All_Risk_Apps!$J$4:$J$1233="Fast Follower")*(All_Risk_Apps!$A$4:$A$1233&lt;&gt;""),102)),"")</f>
        <v/>
      </c>
      <c r="C105" s="14" t="str">
        <f ca="1">IFERROR(INDEX(All_Risk_Apps!$D$4:$D$1233,_xludf.aggregate(15,6,(ROW(All_Risk_Apps!$A$4:$A$1233)-ROW(All_Risk_Apps!$A$4)+1)/(All_Risk_Apps!$J$4:$J$1233="Fast Follower")*(All_Risk_Apps!$A$4:$A$1233&lt;&gt;""),102)),"")</f>
        <v/>
      </c>
      <c r="D105" s="14" t="str">
        <f ca="1">IFERROR(INDEX(All_Risk_Apps!$C$4:$C$1233,_xludf.aggregate(15,6,(ROW(All_Risk_Apps!$A$4:$A$1233)-ROW(All_Risk_Apps!$A$4)+1)/(All_Risk_Apps!$J$4:$J$1233="Fast Follower")*(All_Risk_Apps!$A$4:$A$1233&lt;&gt;""),102)),"")</f>
        <v/>
      </c>
      <c r="E105" s="14" t="str">
        <f ca="1">IFERROR(INDEX(All_Risk_Apps!$E$4:$E$1233,_xludf.aggregate(15,6,(ROW(All_Risk_Apps!$A$4:$A$1233)-ROW(All_Risk_Apps!$A$4)+1)/(All_Risk_Apps!$J$4:$J$1233="Fast Follower")*(All_Risk_Apps!$A$4:$A$1233&lt;&gt;""),102)),"")</f>
        <v/>
      </c>
      <c r="F105" s="14" t="str">
        <f ca="1">IFERROR(INDEX(All_Risk_Apps!$F$4:$F$1233,_xludf.aggregate(15,6,(ROW(All_Risk_Apps!$A$4:$A$1233)-ROW(All_Risk_Apps!$A$4)+1)/(All_Risk_Apps!$J$4:$J$1233="Fast Follower")*(All_Risk_Apps!$A$4:$A$1233&lt;&gt;""),102)),"")</f>
        <v/>
      </c>
      <c r="G105" s="14" t="str">
        <f ca="1">IFERROR(INDEX(All_Risk_Apps!$I$4:$I$1233,_xludf.aggregate(15,6,(ROW(All_Risk_Apps!$A$4:$A$1233)-ROW(All_Risk_Apps!$A$4)+1)/(All_Risk_Apps!$J$4:$J$1233="Fast Follower")*(All_Risk_Apps!$A$4:$A$1233&lt;&gt;""),102)),"")</f>
        <v/>
      </c>
      <c r="H105" s="14" t="str">
        <f ca="1">IF(B105="","",IFERROR(INDEX(Server_Inventory!$R:$R,MATCH(B105,Server_Inventory!$Z:$Z,0)),"Not Found"))</f>
        <v/>
      </c>
      <c r="I105" s="14" t="str">
        <f ca="1">IF(B105="","",IFERROR(INDEX(Server_Inventory!$S:$S,MATCH(B105,Server_Inventory!$Z:$Z,0)),"Not Found"))</f>
        <v/>
      </c>
      <c r="J105" s="14" t="str">
        <f ca="1">IF(B105="","",COUNTIFS(Server_Inventory!$Z:$Z,B105,Server_Inventory!$P:$P,"R-RETIRED_IN_CMDB"))</f>
        <v/>
      </c>
      <c r="K105" s="14" t="str">
        <f ca="1">IF(B105="","",IFERROR(INDEX(Container_Inventory!$F:$F,MATCH(B105,Container_Inventory!$L:$L,0)),"Not Found"))</f>
        <v/>
      </c>
      <c r="L105" s="14" t="str">
        <f ca="1">IF(B105="","",IF(COUNTIF(Finding_List!$A:$A,B105)&gt;0,"Yes","No"))</f>
        <v/>
      </c>
      <c r="M105" s="14" t="str">
        <f ca="1">IF(B105="","",COUNTIF(Server_Inventory!$Z:$Z,B105))</f>
        <v/>
      </c>
      <c r="N105" s="14" t="str">
        <f ca="1">IF(B105="","",COUNTIF(Container_Inventory!$L:$L,B105))</f>
        <v/>
      </c>
    </row>
    <row r="106" spans="1:14" x14ac:dyDescent="0.2">
      <c r="A106" s="8" t="str">
        <f ca="1">IFERROR(INDEX(All_Risk_Apps!$A$4:$A$1233,_xludf.aggregate(15,6,(ROW(All_Risk_Apps!$A$4:$A$1233)-ROW(All_Risk_Apps!$A$4)+1)/(All_Risk_Apps!$J$4:$J$1233="Fast Follower")*(All_Risk_Apps!$A$4:$A$1233&lt;&gt;""),103)),"")</f>
        <v/>
      </c>
      <c r="B106" s="8" t="str">
        <f ca="1">IFERROR(INDEX(All_Risk_Apps!$B$4:$B$1233,_xludf.aggregate(15,6,(ROW(All_Risk_Apps!$A$4:$A$1233)-ROW(All_Risk_Apps!$A$4)+1)/(All_Risk_Apps!$J$4:$J$1233="Fast Follower")*(All_Risk_Apps!$A$4:$A$1233&lt;&gt;""),103)),"")</f>
        <v/>
      </c>
      <c r="C106" s="8" t="str">
        <f ca="1">IFERROR(INDEX(All_Risk_Apps!$D$4:$D$1233,_xludf.aggregate(15,6,(ROW(All_Risk_Apps!$A$4:$A$1233)-ROW(All_Risk_Apps!$A$4)+1)/(All_Risk_Apps!$J$4:$J$1233="Fast Follower")*(All_Risk_Apps!$A$4:$A$1233&lt;&gt;""),103)),"")</f>
        <v/>
      </c>
      <c r="D106" s="8" t="str">
        <f ca="1">IFERROR(INDEX(All_Risk_Apps!$C$4:$C$1233,_xludf.aggregate(15,6,(ROW(All_Risk_Apps!$A$4:$A$1233)-ROW(All_Risk_Apps!$A$4)+1)/(All_Risk_Apps!$J$4:$J$1233="Fast Follower")*(All_Risk_Apps!$A$4:$A$1233&lt;&gt;""),103)),"")</f>
        <v/>
      </c>
      <c r="E106" s="8" t="str">
        <f ca="1">IFERROR(INDEX(All_Risk_Apps!$E$4:$E$1233,_xludf.aggregate(15,6,(ROW(All_Risk_Apps!$A$4:$A$1233)-ROW(All_Risk_Apps!$A$4)+1)/(All_Risk_Apps!$J$4:$J$1233="Fast Follower")*(All_Risk_Apps!$A$4:$A$1233&lt;&gt;""),103)),"")</f>
        <v/>
      </c>
      <c r="F106" s="8" t="str">
        <f ca="1">IFERROR(INDEX(All_Risk_Apps!$F$4:$F$1233,_xludf.aggregate(15,6,(ROW(All_Risk_Apps!$A$4:$A$1233)-ROW(All_Risk_Apps!$A$4)+1)/(All_Risk_Apps!$J$4:$J$1233="Fast Follower")*(All_Risk_Apps!$A$4:$A$1233&lt;&gt;""),103)),"")</f>
        <v/>
      </c>
      <c r="G106" s="8" t="str">
        <f ca="1">IFERROR(INDEX(All_Risk_Apps!$I$4:$I$1233,_xludf.aggregate(15,6,(ROW(All_Risk_Apps!$A$4:$A$1233)-ROW(All_Risk_Apps!$A$4)+1)/(All_Risk_Apps!$J$4:$J$1233="Fast Follower")*(All_Risk_Apps!$A$4:$A$1233&lt;&gt;""),103)),"")</f>
        <v/>
      </c>
      <c r="H106" s="8" t="str">
        <f ca="1">IF(B106="","",IFERROR(INDEX(Server_Inventory!$R:$R,MATCH(B106,Server_Inventory!$Z:$Z,0)),"Not Found"))</f>
        <v/>
      </c>
      <c r="I106" s="8" t="str">
        <f ca="1">IF(B106="","",IFERROR(INDEX(Server_Inventory!$S:$S,MATCH(B106,Server_Inventory!$Z:$Z,0)),"Not Found"))</f>
        <v/>
      </c>
      <c r="J106" s="8" t="str">
        <f ca="1">IF(B106="","",COUNTIFS(Server_Inventory!$Z:$Z,B106,Server_Inventory!$P:$P,"R-RETIRED_IN_CMDB"))</f>
        <v/>
      </c>
      <c r="K106" s="8" t="str">
        <f ca="1">IF(B106="","",IFERROR(INDEX(Container_Inventory!$F:$F,MATCH(B106,Container_Inventory!$L:$L,0)),"Not Found"))</f>
        <v/>
      </c>
      <c r="L106" s="8" t="str">
        <f ca="1">IF(B106="","",IF(COUNTIF(Finding_List!$A:$A,B106)&gt;0,"Yes","No"))</f>
        <v/>
      </c>
      <c r="M106" s="8" t="str">
        <f ca="1">IF(B106="","",COUNTIF(Server_Inventory!$Z:$Z,B106))</f>
        <v/>
      </c>
      <c r="N106" s="8" t="str">
        <f ca="1">IF(B106="","",COUNTIF(Container_Inventory!$L:$L,B106))</f>
        <v/>
      </c>
    </row>
    <row r="107" spans="1:14" x14ac:dyDescent="0.2">
      <c r="A107" s="14" t="str">
        <f ca="1">IFERROR(INDEX(All_Risk_Apps!$A$4:$A$1233,_xludf.aggregate(15,6,(ROW(All_Risk_Apps!$A$4:$A$1233)-ROW(All_Risk_Apps!$A$4)+1)/(All_Risk_Apps!$J$4:$J$1233="Fast Follower")*(All_Risk_Apps!$A$4:$A$1233&lt;&gt;""),104)),"")</f>
        <v/>
      </c>
      <c r="B107" s="14" t="str">
        <f ca="1">IFERROR(INDEX(All_Risk_Apps!$B$4:$B$1233,_xludf.aggregate(15,6,(ROW(All_Risk_Apps!$A$4:$A$1233)-ROW(All_Risk_Apps!$A$4)+1)/(All_Risk_Apps!$J$4:$J$1233="Fast Follower")*(All_Risk_Apps!$A$4:$A$1233&lt;&gt;""),104)),"")</f>
        <v/>
      </c>
      <c r="C107" s="14" t="str">
        <f ca="1">IFERROR(INDEX(All_Risk_Apps!$D$4:$D$1233,_xludf.aggregate(15,6,(ROW(All_Risk_Apps!$A$4:$A$1233)-ROW(All_Risk_Apps!$A$4)+1)/(All_Risk_Apps!$J$4:$J$1233="Fast Follower")*(All_Risk_Apps!$A$4:$A$1233&lt;&gt;""),104)),"")</f>
        <v/>
      </c>
      <c r="D107" s="14" t="str">
        <f ca="1">IFERROR(INDEX(All_Risk_Apps!$C$4:$C$1233,_xludf.aggregate(15,6,(ROW(All_Risk_Apps!$A$4:$A$1233)-ROW(All_Risk_Apps!$A$4)+1)/(All_Risk_Apps!$J$4:$J$1233="Fast Follower")*(All_Risk_Apps!$A$4:$A$1233&lt;&gt;""),104)),"")</f>
        <v/>
      </c>
      <c r="E107" s="14" t="str">
        <f ca="1">IFERROR(INDEX(All_Risk_Apps!$E$4:$E$1233,_xludf.aggregate(15,6,(ROW(All_Risk_Apps!$A$4:$A$1233)-ROW(All_Risk_Apps!$A$4)+1)/(All_Risk_Apps!$J$4:$J$1233="Fast Follower")*(All_Risk_Apps!$A$4:$A$1233&lt;&gt;""),104)),"")</f>
        <v/>
      </c>
      <c r="F107" s="14" t="str">
        <f ca="1">IFERROR(INDEX(All_Risk_Apps!$F$4:$F$1233,_xludf.aggregate(15,6,(ROW(All_Risk_Apps!$A$4:$A$1233)-ROW(All_Risk_Apps!$A$4)+1)/(All_Risk_Apps!$J$4:$J$1233="Fast Follower")*(All_Risk_Apps!$A$4:$A$1233&lt;&gt;""),104)),"")</f>
        <v/>
      </c>
      <c r="G107" s="14" t="str">
        <f ca="1">IFERROR(INDEX(All_Risk_Apps!$I$4:$I$1233,_xludf.aggregate(15,6,(ROW(All_Risk_Apps!$A$4:$A$1233)-ROW(All_Risk_Apps!$A$4)+1)/(All_Risk_Apps!$J$4:$J$1233="Fast Follower")*(All_Risk_Apps!$A$4:$A$1233&lt;&gt;""),104)),"")</f>
        <v/>
      </c>
      <c r="H107" s="14" t="str">
        <f ca="1">IF(B107="","",IFERROR(INDEX(Server_Inventory!$R:$R,MATCH(B107,Server_Inventory!$Z:$Z,0)),"Not Found"))</f>
        <v/>
      </c>
      <c r="I107" s="14" t="str">
        <f ca="1">IF(B107="","",IFERROR(INDEX(Server_Inventory!$S:$S,MATCH(B107,Server_Inventory!$Z:$Z,0)),"Not Found"))</f>
        <v/>
      </c>
      <c r="J107" s="14" t="str">
        <f ca="1">IF(B107="","",COUNTIFS(Server_Inventory!$Z:$Z,B107,Server_Inventory!$P:$P,"R-RETIRED_IN_CMDB"))</f>
        <v/>
      </c>
      <c r="K107" s="14" t="str">
        <f ca="1">IF(B107="","",IFERROR(INDEX(Container_Inventory!$F:$F,MATCH(B107,Container_Inventory!$L:$L,0)),"Not Found"))</f>
        <v/>
      </c>
      <c r="L107" s="14" t="str">
        <f ca="1">IF(B107="","",IF(COUNTIF(Finding_List!$A:$A,B107)&gt;0,"Yes","No"))</f>
        <v/>
      </c>
      <c r="M107" s="14" t="str">
        <f ca="1">IF(B107="","",COUNTIF(Server_Inventory!$Z:$Z,B107))</f>
        <v/>
      </c>
      <c r="N107" s="14" t="str">
        <f ca="1">IF(B107="","",COUNTIF(Container_Inventory!$L:$L,B107))</f>
        <v/>
      </c>
    </row>
    <row r="108" spans="1:14" x14ac:dyDescent="0.2">
      <c r="A108" s="8" t="str">
        <f ca="1">IFERROR(INDEX(All_Risk_Apps!$A$4:$A$1233,_xludf.aggregate(15,6,(ROW(All_Risk_Apps!$A$4:$A$1233)-ROW(All_Risk_Apps!$A$4)+1)/(All_Risk_Apps!$J$4:$J$1233="Fast Follower")*(All_Risk_Apps!$A$4:$A$1233&lt;&gt;""),105)),"")</f>
        <v/>
      </c>
      <c r="B108" s="8" t="str">
        <f ca="1">IFERROR(INDEX(All_Risk_Apps!$B$4:$B$1233,_xludf.aggregate(15,6,(ROW(All_Risk_Apps!$A$4:$A$1233)-ROW(All_Risk_Apps!$A$4)+1)/(All_Risk_Apps!$J$4:$J$1233="Fast Follower")*(All_Risk_Apps!$A$4:$A$1233&lt;&gt;""),105)),"")</f>
        <v/>
      </c>
      <c r="C108" s="8" t="str">
        <f ca="1">IFERROR(INDEX(All_Risk_Apps!$D$4:$D$1233,_xludf.aggregate(15,6,(ROW(All_Risk_Apps!$A$4:$A$1233)-ROW(All_Risk_Apps!$A$4)+1)/(All_Risk_Apps!$J$4:$J$1233="Fast Follower")*(All_Risk_Apps!$A$4:$A$1233&lt;&gt;""),105)),"")</f>
        <v/>
      </c>
      <c r="D108" s="8" t="str">
        <f ca="1">IFERROR(INDEX(All_Risk_Apps!$C$4:$C$1233,_xludf.aggregate(15,6,(ROW(All_Risk_Apps!$A$4:$A$1233)-ROW(All_Risk_Apps!$A$4)+1)/(All_Risk_Apps!$J$4:$J$1233="Fast Follower")*(All_Risk_Apps!$A$4:$A$1233&lt;&gt;""),105)),"")</f>
        <v/>
      </c>
      <c r="E108" s="8" t="str">
        <f ca="1">IFERROR(INDEX(All_Risk_Apps!$E$4:$E$1233,_xludf.aggregate(15,6,(ROW(All_Risk_Apps!$A$4:$A$1233)-ROW(All_Risk_Apps!$A$4)+1)/(All_Risk_Apps!$J$4:$J$1233="Fast Follower")*(All_Risk_Apps!$A$4:$A$1233&lt;&gt;""),105)),"")</f>
        <v/>
      </c>
      <c r="F108" s="8" t="str">
        <f ca="1">IFERROR(INDEX(All_Risk_Apps!$F$4:$F$1233,_xludf.aggregate(15,6,(ROW(All_Risk_Apps!$A$4:$A$1233)-ROW(All_Risk_Apps!$A$4)+1)/(All_Risk_Apps!$J$4:$J$1233="Fast Follower")*(All_Risk_Apps!$A$4:$A$1233&lt;&gt;""),105)),"")</f>
        <v/>
      </c>
      <c r="G108" s="8" t="str">
        <f ca="1">IFERROR(INDEX(All_Risk_Apps!$I$4:$I$1233,_xludf.aggregate(15,6,(ROW(All_Risk_Apps!$A$4:$A$1233)-ROW(All_Risk_Apps!$A$4)+1)/(All_Risk_Apps!$J$4:$J$1233="Fast Follower")*(All_Risk_Apps!$A$4:$A$1233&lt;&gt;""),105)),"")</f>
        <v/>
      </c>
      <c r="H108" s="8" t="str">
        <f ca="1">IF(B108="","",IFERROR(INDEX(Server_Inventory!$R:$R,MATCH(B108,Server_Inventory!$Z:$Z,0)),"Not Found"))</f>
        <v/>
      </c>
      <c r="I108" s="8" t="str">
        <f ca="1">IF(B108="","",IFERROR(INDEX(Server_Inventory!$S:$S,MATCH(B108,Server_Inventory!$Z:$Z,0)),"Not Found"))</f>
        <v/>
      </c>
      <c r="J108" s="8" t="str">
        <f ca="1">IF(B108="","",COUNTIFS(Server_Inventory!$Z:$Z,B108,Server_Inventory!$P:$P,"R-RETIRED_IN_CMDB"))</f>
        <v/>
      </c>
      <c r="K108" s="8" t="str">
        <f ca="1">IF(B108="","",IFERROR(INDEX(Container_Inventory!$F:$F,MATCH(B108,Container_Inventory!$L:$L,0)),"Not Found"))</f>
        <v/>
      </c>
      <c r="L108" s="8" t="str">
        <f ca="1">IF(B108="","",IF(COUNTIF(Finding_List!$A:$A,B108)&gt;0,"Yes","No"))</f>
        <v/>
      </c>
      <c r="M108" s="8" t="str">
        <f ca="1">IF(B108="","",COUNTIF(Server_Inventory!$Z:$Z,B108))</f>
        <v/>
      </c>
      <c r="N108" s="8" t="str">
        <f ca="1">IF(B108="","",COUNTIF(Container_Inventory!$L:$L,B108))</f>
        <v/>
      </c>
    </row>
    <row r="109" spans="1:14" x14ac:dyDescent="0.2">
      <c r="A109" s="14" t="str">
        <f ca="1">IFERROR(INDEX(All_Risk_Apps!$A$4:$A$1233,_xludf.aggregate(15,6,(ROW(All_Risk_Apps!$A$4:$A$1233)-ROW(All_Risk_Apps!$A$4)+1)/(All_Risk_Apps!$J$4:$J$1233="Fast Follower")*(All_Risk_Apps!$A$4:$A$1233&lt;&gt;""),106)),"")</f>
        <v/>
      </c>
      <c r="B109" s="14" t="str">
        <f ca="1">IFERROR(INDEX(All_Risk_Apps!$B$4:$B$1233,_xludf.aggregate(15,6,(ROW(All_Risk_Apps!$A$4:$A$1233)-ROW(All_Risk_Apps!$A$4)+1)/(All_Risk_Apps!$J$4:$J$1233="Fast Follower")*(All_Risk_Apps!$A$4:$A$1233&lt;&gt;""),106)),"")</f>
        <v/>
      </c>
      <c r="C109" s="14" t="str">
        <f ca="1">IFERROR(INDEX(All_Risk_Apps!$D$4:$D$1233,_xludf.aggregate(15,6,(ROW(All_Risk_Apps!$A$4:$A$1233)-ROW(All_Risk_Apps!$A$4)+1)/(All_Risk_Apps!$J$4:$J$1233="Fast Follower")*(All_Risk_Apps!$A$4:$A$1233&lt;&gt;""),106)),"")</f>
        <v/>
      </c>
      <c r="D109" s="14" t="str">
        <f ca="1">IFERROR(INDEX(All_Risk_Apps!$C$4:$C$1233,_xludf.aggregate(15,6,(ROW(All_Risk_Apps!$A$4:$A$1233)-ROW(All_Risk_Apps!$A$4)+1)/(All_Risk_Apps!$J$4:$J$1233="Fast Follower")*(All_Risk_Apps!$A$4:$A$1233&lt;&gt;""),106)),"")</f>
        <v/>
      </c>
      <c r="E109" s="14" t="str">
        <f ca="1">IFERROR(INDEX(All_Risk_Apps!$E$4:$E$1233,_xludf.aggregate(15,6,(ROW(All_Risk_Apps!$A$4:$A$1233)-ROW(All_Risk_Apps!$A$4)+1)/(All_Risk_Apps!$J$4:$J$1233="Fast Follower")*(All_Risk_Apps!$A$4:$A$1233&lt;&gt;""),106)),"")</f>
        <v/>
      </c>
      <c r="F109" s="14" t="str">
        <f ca="1">IFERROR(INDEX(All_Risk_Apps!$F$4:$F$1233,_xludf.aggregate(15,6,(ROW(All_Risk_Apps!$A$4:$A$1233)-ROW(All_Risk_Apps!$A$4)+1)/(All_Risk_Apps!$J$4:$J$1233="Fast Follower")*(All_Risk_Apps!$A$4:$A$1233&lt;&gt;""),106)),"")</f>
        <v/>
      </c>
      <c r="G109" s="14" t="str">
        <f ca="1">IFERROR(INDEX(All_Risk_Apps!$I$4:$I$1233,_xludf.aggregate(15,6,(ROW(All_Risk_Apps!$A$4:$A$1233)-ROW(All_Risk_Apps!$A$4)+1)/(All_Risk_Apps!$J$4:$J$1233="Fast Follower")*(All_Risk_Apps!$A$4:$A$1233&lt;&gt;""),106)),"")</f>
        <v/>
      </c>
      <c r="H109" s="14" t="str">
        <f ca="1">IF(B109="","",IFERROR(INDEX(Server_Inventory!$R:$R,MATCH(B109,Server_Inventory!$Z:$Z,0)),"Not Found"))</f>
        <v/>
      </c>
      <c r="I109" s="14" t="str">
        <f ca="1">IF(B109="","",IFERROR(INDEX(Server_Inventory!$S:$S,MATCH(B109,Server_Inventory!$Z:$Z,0)),"Not Found"))</f>
        <v/>
      </c>
      <c r="J109" s="14" t="str">
        <f ca="1">IF(B109="","",COUNTIFS(Server_Inventory!$Z:$Z,B109,Server_Inventory!$P:$P,"R-RETIRED_IN_CMDB"))</f>
        <v/>
      </c>
      <c r="K109" s="14" t="str">
        <f ca="1">IF(B109="","",IFERROR(INDEX(Container_Inventory!$F:$F,MATCH(B109,Container_Inventory!$L:$L,0)),"Not Found"))</f>
        <v/>
      </c>
      <c r="L109" s="14" t="str">
        <f ca="1">IF(B109="","",IF(COUNTIF(Finding_List!$A:$A,B109)&gt;0,"Yes","No"))</f>
        <v/>
      </c>
      <c r="M109" s="14" t="str">
        <f ca="1">IF(B109="","",COUNTIF(Server_Inventory!$Z:$Z,B109))</f>
        <v/>
      </c>
      <c r="N109" s="14" t="str">
        <f ca="1">IF(B109="","",COUNTIF(Container_Inventory!$L:$L,B109))</f>
        <v/>
      </c>
    </row>
    <row r="110" spans="1:14" x14ac:dyDescent="0.2">
      <c r="A110" s="8" t="str">
        <f ca="1">IFERROR(INDEX(All_Risk_Apps!$A$4:$A$1233,_xludf.aggregate(15,6,(ROW(All_Risk_Apps!$A$4:$A$1233)-ROW(All_Risk_Apps!$A$4)+1)/(All_Risk_Apps!$J$4:$J$1233="Fast Follower")*(All_Risk_Apps!$A$4:$A$1233&lt;&gt;""),107)),"")</f>
        <v/>
      </c>
      <c r="B110" s="8" t="str">
        <f ca="1">IFERROR(INDEX(All_Risk_Apps!$B$4:$B$1233,_xludf.aggregate(15,6,(ROW(All_Risk_Apps!$A$4:$A$1233)-ROW(All_Risk_Apps!$A$4)+1)/(All_Risk_Apps!$J$4:$J$1233="Fast Follower")*(All_Risk_Apps!$A$4:$A$1233&lt;&gt;""),107)),"")</f>
        <v/>
      </c>
      <c r="C110" s="8" t="str">
        <f ca="1">IFERROR(INDEX(All_Risk_Apps!$D$4:$D$1233,_xludf.aggregate(15,6,(ROW(All_Risk_Apps!$A$4:$A$1233)-ROW(All_Risk_Apps!$A$4)+1)/(All_Risk_Apps!$J$4:$J$1233="Fast Follower")*(All_Risk_Apps!$A$4:$A$1233&lt;&gt;""),107)),"")</f>
        <v/>
      </c>
      <c r="D110" s="8" t="str">
        <f ca="1">IFERROR(INDEX(All_Risk_Apps!$C$4:$C$1233,_xludf.aggregate(15,6,(ROW(All_Risk_Apps!$A$4:$A$1233)-ROW(All_Risk_Apps!$A$4)+1)/(All_Risk_Apps!$J$4:$J$1233="Fast Follower")*(All_Risk_Apps!$A$4:$A$1233&lt;&gt;""),107)),"")</f>
        <v/>
      </c>
      <c r="E110" s="8" t="str">
        <f ca="1">IFERROR(INDEX(All_Risk_Apps!$E$4:$E$1233,_xludf.aggregate(15,6,(ROW(All_Risk_Apps!$A$4:$A$1233)-ROW(All_Risk_Apps!$A$4)+1)/(All_Risk_Apps!$J$4:$J$1233="Fast Follower")*(All_Risk_Apps!$A$4:$A$1233&lt;&gt;""),107)),"")</f>
        <v/>
      </c>
      <c r="F110" s="8" t="str">
        <f ca="1">IFERROR(INDEX(All_Risk_Apps!$F$4:$F$1233,_xludf.aggregate(15,6,(ROW(All_Risk_Apps!$A$4:$A$1233)-ROW(All_Risk_Apps!$A$4)+1)/(All_Risk_Apps!$J$4:$J$1233="Fast Follower")*(All_Risk_Apps!$A$4:$A$1233&lt;&gt;""),107)),"")</f>
        <v/>
      </c>
      <c r="G110" s="8" t="str">
        <f ca="1">IFERROR(INDEX(All_Risk_Apps!$I$4:$I$1233,_xludf.aggregate(15,6,(ROW(All_Risk_Apps!$A$4:$A$1233)-ROW(All_Risk_Apps!$A$4)+1)/(All_Risk_Apps!$J$4:$J$1233="Fast Follower")*(All_Risk_Apps!$A$4:$A$1233&lt;&gt;""),107)),"")</f>
        <v/>
      </c>
      <c r="H110" s="8" t="str">
        <f ca="1">IF(B110="","",IFERROR(INDEX(Server_Inventory!$R:$R,MATCH(B110,Server_Inventory!$Z:$Z,0)),"Not Found"))</f>
        <v/>
      </c>
      <c r="I110" s="8" t="str">
        <f ca="1">IF(B110="","",IFERROR(INDEX(Server_Inventory!$S:$S,MATCH(B110,Server_Inventory!$Z:$Z,0)),"Not Found"))</f>
        <v/>
      </c>
      <c r="J110" s="8" t="str">
        <f ca="1">IF(B110="","",COUNTIFS(Server_Inventory!$Z:$Z,B110,Server_Inventory!$P:$P,"R-RETIRED_IN_CMDB"))</f>
        <v/>
      </c>
      <c r="K110" s="8" t="str">
        <f ca="1">IF(B110="","",IFERROR(INDEX(Container_Inventory!$F:$F,MATCH(B110,Container_Inventory!$L:$L,0)),"Not Found"))</f>
        <v/>
      </c>
      <c r="L110" s="8" t="str">
        <f ca="1">IF(B110="","",IF(COUNTIF(Finding_List!$A:$A,B110)&gt;0,"Yes","No"))</f>
        <v/>
      </c>
      <c r="M110" s="8" t="str">
        <f ca="1">IF(B110="","",COUNTIF(Server_Inventory!$Z:$Z,B110))</f>
        <v/>
      </c>
      <c r="N110" s="8" t="str">
        <f ca="1">IF(B110="","",COUNTIF(Container_Inventory!$L:$L,B110))</f>
        <v/>
      </c>
    </row>
    <row r="111" spans="1:14" x14ac:dyDescent="0.2">
      <c r="A111" s="14" t="str">
        <f ca="1">IFERROR(INDEX(All_Risk_Apps!$A$4:$A$1233,_xludf.aggregate(15,6,(ROW(All_Risk_Apps!$A$4:$A$1233)-ROW(All_Risk_Apps!$A$4)+1)/(All_Risk_Apps!$J$4:$J$1233="Fast Follower")*(All_Risk_Apps!$A$4:$A$1233&lt;&gt;""),108)),"")</f>
        <v/>
      </c>
      <c r="B111" s="14" t="str">
        <f ca="1">IFERROR(INDEX(All_Risk_Apps!$B$4:$B$1233,_xludf.aggregate(15,6,(ROW(All_Risk_Apps!$A$4:$A$1233)-ROW(All_Risk_Apps!$A$4)+1)/(All_Risk_Apps!$J$4:$J$1233="Fast Follower")*(All_Risk_Apps!$A$4:$A$1233&lt;&gt;""),108)),"")</f>
        <v/>
      </c>
      <c r="C111" s="14" t="str">
        <f ca="1">IFERROR(INDEX(All_Risk_Apps!$D$4:$D$1233,_xludf.aggregate(15,6,(ROW(All_Risk_Apps!$A$4:$A$1233)-ROW(All_Risk_Apps!$A$4)+1)/(All_Risk_Apps!$J$4:$J$1233="Fast Follower")*(All_Risk_Apps!$A$4:$A$1233&lt;&gt;""),108)),"")</f>
        <v/>
      </c>
      <c r="D111" s="14" t="str">
        <f ca="1">IFERROR(INDEX(All_Risk_Apps!$C$4:$C$1233,_xludf.aggregate(15,6,(ROW(All_Risk_Apps!$A$4:$A$1233)-ROW(All_Risk_Apps!$A$4)+1)/(All_Risk_Apps!$J$4:$J$1233="Fast Follower")*(All_Risk_Apps!$A$4:$A$1233&lt;&gt;""),108)),"")</f>
        <v/>
      </c>
      <c r="E111" s="14" t="str">
        <f ca="1">IFERROR(INDEX(All_Risk_Apps!$E$4:$E$1233,_xludf.aggregate(15,6,(ROW(All_Risk_Apps!$A$4:$A$1233)-ROW(All_Risk_Apps!$A$4)+1)/(All_Risk_Apps!$J$4:$J$1233="Fast Follower")*(All_Risk_Apps!$A$4:$A$1233&lt;&gt;""),108)),"")</f>
        <v/>
      </c>
      <c r="F111" s="14" t="str">
        <f ca="1">IFERROR(INDEX(All_Risk_Apps!$F$4:$F$1233,_xludf.aggregate(15,6,(ROW(All_Risk_Apps!$A$4:$A$1233)-ROW(All_Risk_Apps!$A$4)+1)/(All_Risk_Apps!$J$4:$J$1233="Fast Follower")*(All_Risk_Apps!$A$4:$A$1233&lt;&gt;""),108)),"")</f>
        <v/>
      </c>
      <c r="G111" s="14" t="str">
        <f ca="1">IFERROR(INDEX(All_Risk_Apps!$I$4:$I$1233,_xludf.aggregate(15,6,(ROW(All_Risk_Apps!$A$4:$A$1233)-ROW(All_Risk_Apps!$A$4)+1)/(All_Risk_Apps!$J$4:$J$1233="Fast Follower")*(All_Risk_Apps!$A$4:$A$1233&lt;&gt;""),108)),"")</f>
        <v/>
      </c>
      <c r="H111" s="14" t="str">
        <f ca="1">IF(B111="","",IFERROR(INDEX(Server_Inventory!$R:$R,MATCH(B111,Server_Inventory!$Z:$Z,0)),"Not Found"))</f>
        <v/>
      </c>
      <c r="I111" s="14" t="str">
        <f ca="1">IF(B111="","",IFERROR(INDEX(Server_Inventory!$S:$S,MATCH(B111,Server_Inventory!$Z:$Z,0)),"Not Found"))</f>
        <v/>
      </c>
      <c r="J111" s="14" t="str">
        <f ca="1">IF(B111="","",COUNTIFS(Server_Inventory!$Z:$Z,B111,Server_Inventory!$P:$P,"R-RETIRED_IN_CMDB"))</f>
        <v/>
      </c>
      <c r="K111" s="14" t="str">
        <f ca="1">IF(B111="","",IFERROR(INDEX(Container_Inventory!$F:$F,MATCH(B111,Container_Inventory!$L:$L,0)),"Not Found"))</f>
        <v/>
      </c>
      <c r="L111" s="14" t="str">
        <f ca="1">IF(B111="","",IF(COUNTIF(Finding_List!$A:$A,B111)&gt;0,"Yes","No"))</f>
        <v/>
      </c>
      <c r="M111" s="14" t="str">
        <f ca="1">IF(B111="","",COUNTIF(Server_Inventory!$Z:$Z,B111))</f>
        <v/>
      </c>
      <c r="N111" s="14" t="str">
        <f ca="1">IF(B111="","",COUNTIF(Container_Inventory!$L:$L,B111))</f>
        <v/>
      </c>
    </row>
    <row r="112" spans="1:14" x14ac:dyDescent="0.2">
      <c r="A112" s="8" t="str">
        <f ca="1">IFERROR(INDEX(All_Risk_Apps!$A$4:$A$1233,_xludf.aggregate(15,6,(ROW(All_Risk_Apps!$A$4:$A$1233)-ROW(All_Risk_Apps!$A$4)+1)/(All_Risk_Apps!$J$4:$J$1233="Fast Follower")*(All_Risk_Apps!$A$4:$A$1233&lt;&gt;""),109)),"")</f>
        <v/>
      </c>
      <c r="B112" s="8" t="str">
        <f ca="1">IFERROR(INDEX(All_Risk_Apps!$B$4:$B$1233,_xludf.aggregate(15,6,(ROW(All_Risk_Apps!$A$4:$A$1233)-ROW(All_Risk_Apps!$A$4)+1)/(All_Risk_Apps!$J$4:$J$1233="Fast Follower")*(All_Risk_Apps!$A$4:$A$1233&lt;&gt;""),109)),"")</f>
        <v/>
      </c>
      <c r="C112" s="8" t="str">
        <f ca="1">IFERROR(INDEX(All_Risk_Apps!$D$4:$D$1233,_xludf.aggregate(15,6,(ROW(All_Risk_Apps!$A$4:$A$1233)-ROW(All_Risk_Apps!$A$4)+1)/(All_Risk_Apps!$J$4:$J$1233="Fast Follower")*(All_Risk_Apps!$A$4:$A$1233&lt;&gt;""),109)),"")</f>
        <v/>
      </c>
      <c r="D112" s="8" t="str">
        <f ca="1">IFERROR(INDEX(All_Risk_Apps!$C$4:$C$1233,_xludf.aggregate(15,6,(ROW(All_Risk_Apps!$A$4:$A$1233)-ROW(All_Risk_Apps!$A$4)+1)/(All_Risk_Apps!$J$4:$J$1233="Fast Follower")*(All_Risk_Apps!$A$4:$A$1233&lt;&gt;""),109)),"")</f>
        <v/>
      </c>
      <c r="E112" s="8" t="str">
        <f ca="1">IFERROR(INDEX(All_Risk_Apps!$E$4:$E$1233,_xludf.aggregate(15,6,(ROW(All_Risk_Apps!$A$4:$A$1233)-ROW(All_Risk_Apps!$A$4)+1)/(All_Risk_Apps!$J$4:$J$1233="Fast Follower")*(All_Risk_Apps!$A$4:$A$1233&lt;&gt;""),109)),"")</f>
        <v/>
      </c>
      <c r="F112" s="8" t="str">
        <f ca="1">IFERROR(INDEX(All_Risk_Apps!$F$4:$F$1233,_xludf.aggregate(15,6,(ROW(All_Risk_Apps!$A$4:$A$1233)-ROW(All_Risk_Apps!$A$4)+1)/(All_Risk_Apps!$J$4:$J$1233="Fast Follower")*(All_Risk_Apps!$A$4:$A$1233&lt;&gt;""),109)),"")</f>
        <v/>
      </c>
      <c r="G112" s="8" t="str">
        <f ca="1">IFERROR(INDEX(All_Risk_Apps!$I$4:$I$1233,_xludf.aggregate(15,6,(ROW(All_Risk_Apps!$A$4:$A$1233)-ROW(All_Risk_Apps!$A$4)+1)/(All_Risk_Apps!$J$4:$J$1233="Fast Follower")*(All_Risk_Apps!$A$4:$A$1233&lt;&gt;""),109)),"")</f>
        <v/>
      </c>
      <c r="H112" s="8" t="str">
        <f ca="1">IF(B112="","",IFERROR(INDEX(Server_Inventory!$R:$R,MATCH(B112,Server_Inventory!$Z:$Z,0)),"Not Found"))</f>
        <v/>
      </c>
      <c r="I112" s="8" t="str">
        <f ca="1">IF(B112="","",IFERROR(INDEX(Server_Inventory!$S:$S,MATCH(B112,Server_Inventory!$Z:$Z,0)),"Not Found"))</f>
        <v/>
      </c>
      <c r="J112" s="8" t="str">
        <f ca="1">IF(B112="","",COUNTIFS(Server_Inventory!$Z:$Z,B112,Server_Inventory!$P:$P,"R-RETIRED_IN_CMDB"))</f>
        <v/>
      </c>
      <c r="K112" s="8" t="str">
        <f ca="1">IF(B112="","",IFERROR(INDEX(Container_Inventory!$F:$F,MATCH(B112,Container_Inventory!$L:$L,0)),"Not Found"))</f>
        <v/>
      </c>
      <c r="L112" s="8" t="str">
        <f ca="1">IF(B112="","",IF(COUNTIF(Finding_List!$A:$A,B112)&gt;0,"Yes","No"))</f>
        <v/>
      </c>
      <c r="M112" s="8" t="str">
        <f ca="1">IF(B112="","",COUNTIF(Server_Inventory!$Z:$Z,B112))</f>
        <v/>
      </c>
      <c r="N112" s="8" t="str">
        <f ca="1">IF(B112="","",COUNTIF(Container_Inventory!$L:$L,B112))</f>
        <v/>
      </c>
    </row>
    <row r="113" spans="1:14" x14ac:dyDescent="0.2">
      <c r="A113" s="14" t="str">
        <f ca="1">IFERROR(INDEX(All_Risk_Apps!$A$4:$A$1233,_xludf.aggregate(15,6,(ROW(All_Risk_Apps!$A$4:$A$1233)-ROW(All_Risk_Apps!$A$4)+1)/(All_Risk_Apps!$J$4:$J$1233="Fast Follower")*(All_Risk_Apps!$A$4:$A$1233&lt;&gt;""),110)),"")</f>
        <v/>
      </c>
      <c r="B113" s="14" t="str">
        <f ca="1">IFERROR(INDEX(All_Risk_Apps!$B$4:$B$1233,_xludf.aggregate(15,6,(ROW(All_Risk_Apps!$A$4:$A$1233)-ROW(All_Risk_Apps!$A$4)+1)/(All_Risk_Apps!$J$4:$J$1233="Fast Follower")*(All_Risk_Apps!$A$4:$A$1233&lt;&gt;""),110)),"")</f>
        <v/>
      </c>
      <c r="C113" s="14" t="str">
        <f ca="1">IFERROR(INDEX(All_Risk_Apps!$D$4:$D$1233,_xludf.aggregate(15,6,(ROW(All_Risk_Apps!$A$4:$A$1233)-ROW(All_Risk_Apps!$A$4)+1)/(All_Risk_Apps!$J$4:$J$1233="Fast Follower")*(All_Risk_Apps!$A$4:$A$1233&lt;&gt;""),110)),"")</f>
        <v/>
      </c>
      <c r="D113" s="14" t="str">
        <f ca="1">IFERROR(INDEX(All_Risk_Apps!$C$4:$C$1233,_xludf.aggregate(15,6,(ROW(All_Risk_Apps!$A$4:$A$1233)-ROW(All_Risk_Apps!$A$4)+1)/(All_Risk_Apps!$J$4:$J$1233="Fast Follower")*(All_Risk_Apps!$A$4:$A$1233&lt;&gt;""),110)),"")</f>
        <v/>
      </c>
      <c r="E113" s="14" t="str">
        <f ca="1">IFERROR(INDEX(All_Risk_Apps!$E$4:$E$1233,_xludf.aggregate(15,6,(ROW(All_Risk_Apps!$A$4:$A$1233)-ROW(All_Risk_Apps!$A$4)+1)/(All_Risk_Apps!$J$4:$J$1233="Fast Follower")*(All_Risk_Apps!$A$4:$A$1233&lt;&gt;""),110)),"")</f>
        <v/>
      </c>
      <c r="F113" s="14" t="str">
        <f ca="1">IFERROR(INDEX(All_Risk_Apps!$F$4:$F$1233,_xludf.aggregate(15,6,(ROW(All_Risk_Apps!$A$4:$A$1233)-ROW(All_Risk_Apps!$A$4)+1)/(All_Risk_Apps!$J$4:$J$1233="Fast Follower")*(All_Risk_Apps!$A$4:$A$1233&lt;&gt;""),110)),"")</f>
        <v/>
      </c>
      <c r="G113" s="14" t="str">
        <f ca="1">IFERROR(INDEX(All_Risk_Apps!$I$4:$I$1233,_xludf.aggregate(15,6,(ROW(All_Risk_Apps!$A$4:$A$1233)-ROW(All_Risk_Apps!$A$4)+1)/(All_Risk_Apps!$J$4:$J$1233="Fast Follower")*(All_Risk_Apps!$A$4:$A$1233&lt;&gt;""),110)),"")</f>
        <v/>
      </c>
      <c r="H113" s="14" t="str">
        <f ca="1">IF(B113="","",IFERROR(INDEX(Server_Inventory!$R:$R,MATCH(B113,Server_Inventory!$Z:$Z,0)),"Not Found"))</f>
        <v/>
      </c>
      <c r="I113" s="14" t="str">
        <f ca="1">IF(B113="","",IFERROR(INDEX(Server_Inventory!$S:$S,MATCH(B113,Server_Inventory!$Z:$Z,0)),"Not Found"))</f>
        <v/>
      </c>
      <c r="J113" s="14" t="str">
        <f ca="1">IF(B113="","",COUNTIFS(Server_Inventory!$Z:$Z,B113,Server_Inventory!$P:$P,"R-RETIRED_IN_CMDB"))</f>
        <v/>
      </c>
      <c r="K113" s="14" t="str">
        <f ca="1">IF(B113="","",IFERROR(INDEX(Container_Inventory!$F:$F,MATCH(B113,Container_Inventory!$L:$L,0)),"Not Found"))</f>
        <v/>
      </c>
      <c r="L113" s="14" t="str">
        <f ca="1">IF(B113="","",IF(COUNTIF(Finding_List!$A:$A,B113)&gt;0,"Yes","No"))</f>
        <v/>
      </c>
      <c r="M113" s="14" t="str">
        <f ca="1">IF(B113="","",COUNTIF(Server_Inventory!$Z:$Z,B113))</f>
        <v/>
      </c>
      <c r="N113" s="14" t="str">
        <f ca="1">IF(B113="","",COUNTIF(Container_Inventory!$L:$L,B113))</f>
        <v/>
      </c>
    </row>
    <row r="114" spans="1:14" x14ac:dyDescent="0.2">
      <c r="A114" s="8" t="str">
        <f ca="1">IFERROR(INDEX(All_Risk_Apps!$A$4:$A$1233,_xludf.aggregate(15,6,(ROW(All_Risk_Apps!$A$4:$A$1233)-ROW(All_Risk_Apps!$A$4)+1)/(All_Risk_Apps!$J$4:$J$1233="Fast Follower")*(All_Risk_Apps!$A$4:$A$1233&lt;&gt;""),111)),"")</f>
        <v/>
      </c>
      <c r="B114" s="8" t="str">
        <f ca="1">IFERROR(INDEX(All_Risk_Apps!$B$4:$B$1233,_xludf.aggregate(15,6,(ROW(All_Risk_Apps!$A$4:$A$1233)-ROW(All_Risk_Apps!$A$4)+1)/(All_Risk_Apps!$J$4:$J$1233="Fast Follower")*(All_Risk_Apps!$A$4:$A$1233&lt;&gt;""),111)),"")</f>
        <v/>
      </c>
      <c r="C114" s="8" t="str">
        <f ca="1">IFERROR(INDEX(All_Risk_Apps!$D$4:$D$1233,_xludf.aggregate(15,6,(ROW(All_Risk_Apps!$A$4:$A$1233)-ROW(All_Risk_Apps!$A$4)+1)/(All_Risk_Apps!$J$4:$J$1233="Fast Follower")*(All_Risk_Apps!$A$4:$A$1233&lt;&gt;""),111)),"")</f>
        <v/>
      </c>
      <c r="D114" s="8" t="str">
        <f ca="1">IFERROR(INDEX(All_Risk_Apps!$C$4:$C$1233,_xludf.aggregate(15,6,(ROW(All_Risk_Apps!$A$4:$A$1233)-ROW(All_Risk_Apps!$A$4)+1)/(All_Risk_Apps!$J$4:$J$1233="Fast Follower")*(All_Risk_Apps!$A$4:$A$1233&lt;&gt;""),111)),"")</f>
        <v/>
      </c>
      <c r="E114" s="8" t="str">
        <f ca="1">IFERROR(INDEX(All_Risk_Apps!$E$4:$E$1233,_xludf.aggregate(15,6,(ROW(All_Risk_Apps!$A$4:$A$1233)-ROW(All_Risk_Apps!$A$4)+1)/(All_Risk_Apps!$J$4:$J$1233="Fast Follower")*(All_Risk_Apps!$A$4:$A$1233&lt;&gt;""),111)),"")</f>
        <v/>
      </c>
      <c r="F114" s="8" t="str">
        <f ca="1">IFERROR(INDEX(All_Risk_Apps!$F$4:$F$1233,_xludf.aggregate(15,6,(ROW(All_Risk_Apps!$A$4:$A$1233)-ROW(All_Risk_Apps!$A$4)+1)/(All_Risk_Apps!$J$4:$J$1233="Fast Follower")*(All_Risk_Apps!$A$4:$A$1233&lt;&gt;""),111)),"")</f>
        <v/>
      </c>
      <c r="G114" s="8" t="str">
        <f ca="1">IFERROR(INDEX(All_Risk_Apps!$I$4:$I$1233,_xludf.aggregate(15,6,(ROW(All_Risk_Apps!$A$4:$A$1233)-ROW(All_Risk_Apps!$A$4)+1)/(All_Risk_Apps!$J$4:$J$1233="Fast Follower")*(All_Risk_Apps!$A$4:$A$1233&lt;&gt;""),111)),"")</f>
        <v/>
      </c>
      <c r="H114" s="8" t="str">
        <f ca="1">IF(B114="","",IFERROR(INDEX(Server_Inventory!$R:$R,MATCH(B114,Server_Inventory!$Z:$Z,0)),"Not Found"))</f>
        <v/>
      </c>
      <c r="I114" s="8" t="str">
        <f ca="1">IF(B114="","",IFERROR(INDEX(Server_Inventory!$S:$S,MATCH(B114,Server_Inventory!$Z:$Z,0)),"Not Found"))</f>
        <v/>
      </c>
      <c r="J114" s="8" t="str">
        <f ca="1">IF(B114="","",COUNTIFS(Server_Inventory!$Z:$Z,B114,Server_Inventory!$P:$P,"R-RETIRED_IN_CMDB"))</f>
        <v/>
      </c>
      <c r="K114" s="8" t="str">
        <f ca="1">IF(B114="","",IFERROR(INDEX(Container_Inventory!$F:$F,MATCH(B114,Container_Inventory!$L:$L,0)),"Not Found"))</f>
        <v/>
      </c>
      <c r="L114" s="8" t="str">
        <f ca="1">IF(B114="","",IF(COUNTIF(Finding_List!$A:$A,B114)&gt;0,"Yes","No"))</f>
        <v/>
      </c>
      <c r="M114" s="8" t="str">
        <f ca="1">IF(B114="","",COUNTIF(Server_Inventory!$Z:$Z,B114))</f>
        <v/>
      </c>
      <c r="N114" s="8" t="str">
        <f ca="1">IF(B114="","",COUNTIF(Container_Inventory!$L:$L,B114))</f>
        <v/>
      </c>
    </row>
    <row r="115" spans="1:14" x14ac:dyDescent="0.2">
      <c r="A115" s="14" t="str">
        <f ca="1">IFERROR(INDEX(All_Risk_Apps!$A$4:$A$1233,_xludf.aggregate(15,6,(ROW(All_Risk_Apps!$A$4:$A$1233)-ROW(All_Risk_Apps!$A$4)+1)/(All_Risk_Apps!$J$4:$J$1233="Fast Follower")*(All_Risk_Apps!$A$4:$A$1233&lt;&gt;""),112)),"")</f>
        <v/>
      </c>
      <c r="B115" s="14" t="str">
        <f ca="1">IFERROR(INDEX(All_Risk_Apps!$B$4:$B$1233,_xludf.aggregate(15,6,(ROW(All_Risk_Apps!$A$4:$A$1233)-ROW(All_Risk_Apps!$A$4)+1)/(All_Risk_Apps!$J$4:$J$1233="Fast Follower")*(All_Risk_Apps!$A$4:$A$1233&lt;&gt;""),112)),"")</f>
        <v/>
      </c>
      <c r="C115" s="14" t="str">
        <f ca="1">IFERROR(INDEX(All_Risk_Apps!$D$4:$D$1233,_xludf.aggregate(15,6,(ROW(All_Risk_Apps!$A$4:$A$1233)-ROW(All_Risk_Apps!$A$4)+1)/(All_Risk_Apps!$J$4:$J$1233="Fast Follower")*(All_Risk_Apps!$A$4:$A$1233&lt;&gt;""),112)),"")</f>
        <v/>
      </c>
      <c r="D115" s="14" t="str">
        <f ca="1">IFERROR(INDEX(All_Risk_Apps!$C$4:$C$1233,_xludf.aggregate(15,6,(ROW(All_Risk_Apps!$A$4:$A$1233)-ROW(All_Risk_Apps!$A$4)+1)/(All_Risk_Apps!$J$4:$J$1233="Fast Follower")*(All_Risk_Apps!$A$4:$A$1233&lt;&gt;""),112)),"")</f>
        <v/>
      </c>
      <c r="E115" s="14" t="str">
        <f ca="1">IFERROR(INDEX(All_Risk_Apps!$E$4:$E$1233,_xludf.aggregate(15,6,(ROW(All_Risk_Apps!$A$4:$A$1233)-ROW(All_Risk_Apps!$A$4)+1)/(All_Risk_Apps!$J$4:$J$1233="Fast Follower")*(All_Risk_Apps!$A$4:$A$1233&lt;&gt;""),112)),"")</f>
        <v/>
      </c>
      <c r="F115" s="14" t="str">
        <f ca="1">IFERROR(INDEX(All_Risk_Apps!$F$4:$F$1233,_xludf.aggregate(15,6,(ROW(All_Risk_Apps!$A$4:$A$1233)-ROW(All_Risk_Apps!$A$4)+1)/(All_Risk_Apps!$J$4:$J$1233="Fast Follower")*(All_Risk_Apps!$A$4:$A$1233&lt;&gt;""),112)),"")</f>
        <v/>
      </c>
      <c r="G115" s="14" t="str">
        <f ca="1">IFERROR(INDEX(All_Risk_Apps!$I$4:$I$1233,_xludf.aggregate(15,6,(ROW(All_Risk_Apps!$A$4:$A$1233)-ROW(All_Risk_Apps!$A$4)+1)/(All_Risk_Apps!$J$4:$J$1233="Fast Follower")*(All_Risk_Apps!$A$4:$A$1233&lt;&gt;""),112)),"")</f>
        <v/>
      </c>
      <c r="H115" s="14" t="str">
        <f ca="1">IF(B115="","",IFERROR(INDEX(Server_Inventory!$R:$R,MATCH(B115,Server_Inventory!$Z:$Z,0)),"Not Found"))</f>
        <v/>
      </c>
      <c r="I115" s="14" t="str">
        <f ca="1">IF(B115="","",IFERROR(INDEX(Server_Inventory!$S:$S,MATCH(B115,Server_Inventory!$Z:$Z,0)),"Not Found"))</f>
        <v/>
      </c>
      <c r="J115" s="14" t="str">
        <f ca="1">IF(B115="","",COUNTIFS(Server_Inventory!$Z:$Z,B115,Server_Inventory!$P:$P,"R-RETIRED_IN_CMDB"))</f>
        <v/>
      </c>
      <c r="K115" s="14" t="str">
        <f ca="1">IF(B115="","",IFERROR(INDEX(Container_Inventory!$F:$F,MATCH(B115,Container_Inventory!$L:$L,0)),"Not Found"))</f>
        <v/>
      </c>
      <c r="L115" s="14" t="str">
        <f ca="1">IF(B115="","",IF(COUNTIF(Finding_List!$A:$A,B115)&gt;0,"Yes","No"))</f>
        <v/>
      </c>
      <c r="M115" s="14" t="str">
        <f ca="1">IF(B115="","",COUNTIF(Server_Inventory!$Z:$Z,B115))</f>
        <v/>
      </c>
      <c r="N115" s="14" t="str">
        <f ca="1">IF(B115="","",COUNTIF(Container_Inventory!$L:$L,B115))</f>
        <v/>
      </c>
    </row>
    <row r="116" spans="1:14" x14ac:dyDescent="0.2">
      <c r="A116" s="8" t="str">
        <f ca="1">IFERROR(INDEX(All_Risk_Apps!$A$4:$A$1233,_xludf.aggregate(15,6,(ROW(All_Risk_Apps!$A$4:$A$1233)-ROW(All_Risk_Apps!$A$4)+1)/(All_Risk_Apps!$J$4:$J$1233="Fast Follower")*(All_Risk_Apps!$A$4:$A$1233&lt;&gt;""),113)),"")</f>
        <v/>
      </c>
      <c r="B116" s="8" t="str">
        <f ca="1">IFERROR(INDEX(All_Risk_Apps!$B$4:$B$1233,_xludf.aggregate(15,6,(ROW(All_Risk_Apps!$A$4:$A$1233)-ROW(All_Risk_Apps!$A$4)+1)/(All_Risk_Apps!$J$4:$J$1233="Fast Follower")*(All_Risk_Apps!$A$4:$A$1233&lt;&gt;""),113)),"")</f>
        <v/>
      </c>
      <c r="C116" s="8" t="str">
        <f ca="1">IFERROR(INDEX(All_Risk_Apps!$D$4:$D$1233,_xludf.aggregate(15,6,(ROW(All_Risk_Apps!$A$4:$A$1233)-ROW(All_Risk_Apps!$A$4)+1)/(All_Risk_Apps!$J$4:$J$1233="Fast Follower")*(All_Risk_Apps!$A$4:$A$1233&lt;&gt;""),113)),"")</f>
        <v/>
      </c>
      <c r="D116" s="8" t="str">
        <f ca="1">IFERROR(INDEX(All_Risk_Apps!$C$4:$C$1233,_xludf.aggregate(15,6,(ROW(All_Risk_Apps!$A$4:$A$1233)-ROW(All_Risk_Apps!$A$4)+1)/(All_Risk_Apps!$J$4:$J$1233="Fast Follower")*(All_Risk_Apps!$A$4:$A$1233&lt;&gt;""),113)),"")</f>
        <v/>
      </c>
      <c r="E116" s="8" t="str">
        <f ca="1">IFERROR(INDEX(All_Risk_Apps!$E$4:$E$1233,_xludf.aggregate(15,6,(ROW(All_Risk_Apps!$A$4:$A$1233)-ROW(All_Risk_Apps!$A$4)+1)/(All_Risk_Apps!$J$4:$J$1233="Fast Follower")*(All_Risk_Apps!$A$4:$A$1233&lt;&gt;""),113)),"")</f>
        <v/>
      </c>
      <c r="F116" s="8" t="str">
        <f ca="1">IFERROR(INDEX(All_Risk_Apps!$F$4:$F$1233,_xludf.aggregate(15,6,(ROW(All_Risk_Apps!$A$4:$A$1233)-ROW(All_Risk_Apps!$A$4)+1)/(All_Risk_Apps!$J$4:$J$1233="Fast Follower")*(All_Risk_Apps!$A$4:$A$1233&lt;&gt;""),113)),"")</f>
        <v/>
      </c>
      <c r="G116" s="8" t="str">
        <f ca="1">IFERROR(INDEX(All_Risk_Apps!$I$4:$I$1233,_xludf.aggregate(15,6,(ROW(All_Risk_Apps!$A$4:$A$1233)-ROW(All_Risk_Apps!$A$4)+1)/(All_Risk_Apps!$J$4:$J$1233="Fast Follower")*(All_Risk_Apps!$A$4:$A$1233&lt;&gt;""),113)),"")</f>
        <v/>
      </c>
      <c r="H116" s="8" t="str">
        <f ca="1">IF(B116="","",IFERROR(INDEX(Server_Inventory!$R:$R,MATCH(B116,Server_Inventory!$Z:$Z,0)),"Not Found"))</f>
        <v/>
      </c>
      <c r="I116" s="8" t="str">
        <f ca="1">IF(B116="","",IFERROR(INDEX(Server_Inventory!$S:$S,MATCH(B116,Server_Inventory!$Z:$Z,0)),"Not Found"))</f>
        <v/>
      </c>
      <c r="J116" s="8" t="str">
        <f ca="1">IF(B116="","",COUNTIFS(Server_Inventory!$Z:$Z,B116,Server_Inventory!$P:$P,"R-RETIRED_IN_CMDB"))</f>
        <v/>
      </c>
      <c r="K116" s="8" t="str">
        <f ca="1">IF(B116="","",IFERROR(INDEX(Container_Inventory!$F:$F,MATCH(B116,Container_Inventory!$L:$L,0)),"Not Found"))</f>
        <v/>
      </c>
      <c r="L116" s="8" t="str">
        <f ca="1">IF(B116="","",IF(COUNTIF(Finding_List!$A:$A,B116)&gt;0,"Yes","No"))</f>
        <v/>
      </c>
      <c r="M116" s="8" t="str">
        <f ca="1">IF(B116="","",COUNTIF(Server_Inventory!$Z:$Z,B116))</f>
        <v/>
      </c>
      <c r="N116" s="8" t="str">
        <f ca="1">IF(B116="","",COUNTIF(Container_Inventory!$L:$L,B116))</f>
        <v/>
      </c>
    </row>
    <row r="117" spans="1:14" x14ac:dyDescent="0.2">
      <c r="A117" s="14" t="str">
        <f ca="1">IFERROR(INDEX(All_Risk_Apps!$A$4:$A$1233,_xludf.aggregate(15,6,(ROW(All_Risk_Apps!$A$4:$A$1233)-ROW(All_Risk_Apps!$A$4)+1)/(All_Risk_Apps!$J$4:$J$1233="Fast Follower")*(All_Risk_Apps!$A$4:$A$1233&lt;&gt;""),114)),"")</f>
        <v/>
      </c>
      <c r="B117" s="14" t="str">
        <f ca="1">IFERROR(INDEX(All_Risk_Apps!$B$4:$B$1233,_xludf.aggregate(15,6,(ROW(All_Risk_Apps!$A$4:$A$1233)-ROW(All_Risk_Apps!$A$4)+1)/(All_Risk_Apps!$J$4:$J$1233="Fast Follower")*(All_Risk_Apps!$A$4:$A$1233&lt;&gt;""),114)),"")</f>
        <v/>
      </c>
      <c r="C117" s="14" t="str">
        <f ca="1">IFERROR(INDEX(All_Risk_Apps!$D$4:$D$1233,_xludf.aggregate(15,6,(ROW(All_Risk_Apps!$A$4:$A$1233)-ROW(All_Risk_Apps!$A$4)+1)/(All_Risk_Apps!$J$4:$J$1233="Fast Follower")*(All_Risk_Apps!$A$4:$A$1233&lt;&gt;""),114)),"")</f>
        <v/>
      </c>
      <c r="D117" s="14" t="str">
        <f ca="1">IFERROR(INDEX(All_Risk_Apps!$C$4:$C$1233,_xludf.aggregate(15,6,(ROW(All_Risk_Apps!$A$4:$A$1233)-ROW(All_Risk_Apps!$A$4)+1)/(All_Risk_Apps!$J$4:$J$1233="Fast Follower")*(All_Risk_Apps!$A$4:$A$1233&lt;&gt;""),114)),"")</f>
        <v/>
      </c>
      <c r="E117" s="14" t="str">
        <f ca="1">IFERROR(INDEX(All_Risk_Apps!$E$4:$E$1233,_xludf.aggregate(15,6,(ROW(All_Risk_Apps!$A$4:$A$1233)-ROW(All_Risk_Apps!$A$4)+1)/(All_Risk_Apps!$J$4:$J$1233="Fast Follower")*(All_Risk_Apps!$A$4:$A$1233&lt;&gt;""),114)),"")</f>
        <v/>
      </c>
      <c r="F117" s="14" t="str">
        <f ca="1">IFERROR(INDEX(All_Risk_Apps!$F$4:$F$1233,_xludf.aggregate(15,6,(ROW(All_Risk_Apps!$A$4:$A$1233)-ROW(All_Risk_Apps!$A$4)+1)/(All_Risk_Apps!$J$4:$J$1233="Fast Follower")*(All_Risk_Apps!$A$4:$A$1233&lt;&gt;""),114)),"")</f>
        <v/>
      </c>
      <c r="G117" s="14" t="str">
        <f ca="1">IFERROR(INDEX(All_Risk_Apps!$I$4:$I$1233,_xludf.aggregate(15,6,(ROW(All_Risk_Apps!$A$4:$A$1233)-ROW(All_Risk_Apps!$A$4)+1)/(All_Risk_Apps!$J$4:$J$1233="Fast Follower")*(All_Risk_Apps!$A$4:$A$1233&lt;&gt;""),114)),"")</f>
        <v/>
      </c>
      <c r="H117" s="14" t="str">
        <f ca="1">IF(B117="","",IFERROR(INDEX(Server_Inventory!$R:$R,MATCH(B117,Server_Inventory!$Z:$Z,0)),"Not Found"))</f>
        <v/>
      </c>
      <c r="I117" s="14" t="str">
        <f ca="1">IF(B117="","",IFERROR(INDEX(Server_Inventory!$S:$S,MATCH(B117,Server_Inventory!$Z:$Z,0)),"Not Found"))</f>
        <v/>
      </c>
      <c r="J117" s="14" t="str">
        <f ca="1">IF(B117="","",COUNTIFS(Server_Inventory!$Z:$Z,B117,Server_Inventory!$P:$P,"R-RETIRED_IN_CMDB"))</f>
        <v/>
      </c>
      <c r="K117" s="14" t="str">
        <f ca="1">IF(B117="","",IFERROR(INDEX(Container_Inventory!$F:$F,MATCH(B117,Container_Inventory!$L:$L,0)),"Not Found"))</f>
        <v/>
      </c>
      <c r="L117" s="14" t="str">
        <f ca="1">IF(B117="","",IF(COUNTIF(Finding_List!$A:$A,B117)&gt;0,"Yes","No"))</f>
        <v/>
      </c>
      <c r="M117" s="14" t="str">
        <f ca="1">IF(B117="","",COUNTIF(Server_Inventory!$Z:$Z,B117))</f>
        <v/>
      </c>
      <c r="N117" s="14" t="str">
        <f ca="1">IF(B117="","",COUNTIF(Container_Inventory!$L:$L,B117))</f>
        <v/>
      </c>
    </row>
    <row r="118" spans="1:14" x14ac:dyDescent="0.2">
      <c r="A118" s="8" t="str">
        <f ca="1">IFERROR(INDEX(All_Risk_Apps!$A$4:$A$1233,_xludf.aggregate(15,6,(ROW(All_Risk_Apps!$A$4:$A$1233)-ROW(All_Risk_Apps!$A$4)+1)/(All_Risk_Apps!$J$4:$J$1233="Fast Follower")*(All_Risk_Apps!$A$4:$A$1233&lt;&gt;""),115)),"")</f>
        <v/>
      </c>
      <c r="B118" s="8" t="str">
        <f ca="1">IFERROR(INDEX(All_Risk_Apps!$B$4:$B$1233,_xludf.aggregate(15,6,(ROW(All_Risk_Apps!$A$4:$A$1233)-ROW(All_Risk_Apps!$A$4)+1)/(All_Risk_Apps!$J$4:$J$1233="Fast Follower")*(All_Risk_Apps!$A$4:$A$1233&lt;&gt;""),115)),"")</f>
        <v/>
      </c>
      <c r="C118" s="8" t="str">
        <f ca="1">IFERROR(INDEX(All_Risk_Apps!$D$4:$D$1233,_xludf.aggregate(15,6,(ROW(All_Risk_Apps!$A$4:$A$1233)-ROW(All_Risk_Apps!$A$4)+1)/(All_Risk_Apps!$J$4:$J$1233="Fast Follower")*(All_Risk_Apps!$A$4:$A$1233&lt;&gt;""),115)),"")</f>
        <v/>
      </c>
      <c r="D118" s="8" t="str">
        <f ca="1">IFERROR(INDEX(All_Risk_Apps!$C$4:$C$1233,_xludf.aggregate(15,6,(ROW(All_Risk_Apps!$A$4:$A$1233)-ROW(All_Risk_Apps!$A$4)+1)/(All_Risk_Apps!$J$4:$J$1233="Fast Follower")*(All_Risk_Apps!$A$4:$A$1233&lt;&gt;""),115)),"")</f>
        <v/>
      </c>
      <c r="E118" s="8" t="str">
        <f ca="1">IFERROR(INDEX(All_Risk_Apps!$E$4:$E$1233,_xludf.aggregate(15,6,(ROW(All_Risk_Apps!$A$4:$A$1233)-ROW(All_Risk_Apps!$A$4)+1)/(All_Risk_Apps!$J$4:$J$1233="Fast Follower")*(All_Risk_Apps!$A$4:$A$1233&lt;&gt;""),115)),"")</f>
        <v/>
      </c>
      <c r="F118" s="8" t="str">
        <f ca="1">IFERROR(INDEX(All_Risk_Apps!$F$4:$F$1233,_xludf.aggregate(15,6,(ROW(All_Risk_Apps!$A$4:$A$1233)-ROW(All_Risk_Apps!$A$4)+1)/(All_Risk_Apps!$J$4:$J$1233="Fast Follower")*(All_Risk_Apps!$A$4:$A$1233&lt;&gt;""),115)),"")</f>
        <v/>
      </c>
      <c r="G118" s="8" t="str">
        <f ca="1">IFERROR(INDEX(All_Risk_Apps!$I$4:$I$1233,_xludf.aggregate(15,6,(ROW(All_Risk_Apps!$A$4:$A$1233)-ROW(All_Risk_Apps!$A$4)+1)/(All_Risk_Apps!$J$4:$J$1233="Fast Follower")*(All_Risk_Apps!$A$4:$A$1233&lt;&gt;""),115)),"")</f>
        <v/>
      </c>
      <c r="H118" s="8" t="str">
        <f ca="1">IF(B118="","",IFERROR(INDEX(Server_Inventory!$R:$R,MATCH(B118,Server_Inventory!$Z:$Z,0)),"Not Found"))</f>
        <v/>
      </c>
      <c r="I118" s="8" t="str">
        <f ca="1">IF(B118="","",IFERROR(INDEX(Server_Inventory!$S:$S,MATCH(B118,Server_Inventory!$Z:$Z,0)),"Not Found"))</f>
        <v/>
      </c>
      <c r="J118" s="8" t="str">
        <f ca="1">IF(B118="","",COUNTIFS(Server_Inventory!$Z:$Z,B118,Server_Inventory!$P:$P,"R-RETIRED_IN_CMDB"))</f>
        <v/>
      </c>
      <c r="K118" s="8" t="str">
        <f ca="1">IF(B118="","",IFERROR(INDEX(Container_Inventory!$F:$F,MATCH(B118,Container_Inventory!$L:$L,0)),"Not Found"))</f>
        <v/>
      </c>
      <c r="L118" s="8" t="str">
        <f ca="1">IF(B118="","",IF(COUNTIF(Finding_List!$A:$A,B118)&gt;0,"Yes","No"))</f>
        <v/>
      </c>
      <c r="M118" s="8" t="str">
        <f ca="1">IF(B118="","",COUNTIF(Server_Inventory!$Z:$Z,B118))</f>
        <v/>
      </c>
      <c r="N118" s="8" t="str">
        <f ca="1">IF(B118="","",COUNTIF(Container_Inventory!$L:$L,B118))</f>
        <v/>
      </c>
    </row>
    <row r="119" spans="1:14" x14ac:dyDescent="0.2">
      <c r="A119" s="14" t="str">
        <f ca="1">IFERROR(INDEX(All_Risk_Apps!$A$4:$A$1233,_xludf.aggregate(15,6,(ROW(All_Risk_Apps!$A$4:$A$1233)-ROW(All_Risk_Apps!$A$4)+1)/(All_Risk_Apps!$J$4:$J$1233="Fast Follower")*(All_Risk_Apps!$A$4:$A$1233&lt;&gt;""),116)),"")</f>
        <v/>
      </c>
      <c r="B119" s="14" t="str">
        <f ca="1">IFERROR(INDEX(All_Risk_Apps!$B$4:$B$1233,_xludf.aggregate(15,6,(ROW(All_Risk_Apps!$A$4:$A$1233)-ROW(All_Risk_Apps!$A$4)+1)/(All_Risk_Apps!$J$4:$J$1233="Fast Follower")*(All_Risk_Apps!$A$4:$A$1233&lt;&gt;""),116)),"")</f>
        <v/>
      </c>
      <c r="C119" s="14" t="str">
        <f ca="1">IFERROR(INDEX(All_Risk_Apps!$D$4:$D$1233,_xludf.aggregate(15,6,(ROW(All_Risk_Apps!$A$4:$A$1233)-ROW(All_Risk_Apps!$A$4)+1)/(All_Risk_Apps!$J$4:$J$1233="Fast Follower")*(All_Risk_Apps!$A$4:$A$1233&lt;&gt;""),116)),"")</f>
        <v/>
      </c>
      <c r="D119" s="14" t="str">
        <f ca="1">IFERROR(INDEX(All_Risk_Apps!$C$4:$C$1233,_xludf.aggregate(15,6,(ROW(All_Risk_Apps!$A$4:$A$1233)-ROW(All_Risk_Apps!$A$4)+1)/(All_Risk_Apps!$J$4:$J$1233="Fast Follower")*(All_Risk_Apps!$A$4:$A$1233&lt;&gt;""),116)),"")</f>
        <v/>
      </c>
      <c r="E119" s="14" t="str">
        <f ca="1">IFERROR(INDEX(All_Risk_Apps!$E$4:$E$1233,_xludf.aggregate(15,6,(ROW(All_Risk_Apps!$A$4:$A$1233)-ROW(All_Risk_Apps!$A$4)+1)/(All_Risk_Apps!$J$4:$J$1233="Fast Follower")*(All_Risk_Apps!$A$4:$A$1233&lt;&gt;""),116)),"")</f>
        <v/>
      </c>
      <c r="F119" s="14" t="str">
        <f ca="1">IFERROR(INDEX(All_Risk_Apps!$F$4:$F$1233,_xludf.aggregate(15,6,(ROW(All_Risk_Apps!$A$4:$A$1233)-ROW(All_Risk_Apps!$A$4)+1)/(All_Risk_Apps!$J$4:$J$1233="Fast Follower")*(All_Risk_Apps!$A$4:$A$1233&lt;&gt;""),116)),"")</f>
        <v/>
      </c>
      <c r="G119" s="14" t="str">
        <f ca="1">IFERROR(INDEX(All_Risk_Apps!$I$4:$I$1233,_xludf.aggregate(15,6,(ROW(All_Risk_Apps!$A$4:$A$1233)-ROW(All_Risk_Apps!$A$4)+1)/(All_Risk_Apps!$J$4:$J$1233="Fast Follower")*(All_Risk_Apps!$A$4:$A$1233&lt;&gt;""),116)),"")</f>
        <v/>
      </c>
      <c r="H119" s="14" t="str">
        <f ca="1">IF(B119="","",IFERROR(INDEX(Server_Inventory!$R:$R,MATCH(B119,Server_Inventory!$Z:$Z,0)),"Not Found"))</f>
        <v/>
      </c>
      <c r="I119" s="14" t="str">
        <f ca="1">IF(B119="","",IFERROR(INDEX(Server_Inventory!$S:$S,MATCH(B119,Server_Inventory!$Z:$Z,0)),"Not Found"))</f>
        <v/>
      </c>
      <c r="J119" s="14" t="str">
        <f ca="1">IF(B119="","",COUNTIFS(Server_Inventory!$Z:$Z,B119,Server_Inventory!$P:$P,"R-RETIRED_IN_CMDB"))</f>
        <v/>
      </c>
      <c r="K119" s="14" t="str">
        <f ca="1">IF(B119="","",IFERROR(INDEX(Container_Inventory!$F:$F,MATCH(B119,Container_Inventory!$L:$L,0)),"Not Found"))</f>
        <v/>
      </c>
      <c r="L119" s="14" t="str">
        <f ca="1">IF(B119="","",IF(COUNTIF(Finding_List!$A:$A,B119)&gt;0,"Yes","No"))</f>
        <v/>
      </c>
      <c r="M119" s="14" t="str">
        <f ca="1">IF(B119="","",COUNTIF(Server_Inventory!$Z:$Z,B119))</f>
        <v/>
      </c>
      <c r="N119" s="14" t="str">
        <f ca="1">IF(B119="","",COUNTIF(Container_Inventory!$L:$L,B119))</f>
        <v/>
      </c>
    </row>
    <row r="120" spans="1:14" x14ac:dyDescent="0.2">
      <c r="A120" s="8" t="str">
        <f ca="1">IFERROR(INDEX(All_Risk_Apps!$A$4:$A$1233,_xludf.aggregate(15,6,(ROW(All_Risk_Apps!$A$4:$A$1233)-ROW(All_Risk_Apps!$A$4)+1)/(All_Risk_Apps!$J$4:$J$1233="Fast Follower")*(All_Risk_Apps!$A$4:$A$1233&lt;&gt;""),117)),"")</f>
        <v/>
      </c>
      <c r="B120" s="8" t="str">
        <f ca="1">IFERROR(INDEX(All_Risk_Apps!$B$4:$B$1233,_xludf.aggregate(15,6,(ROW(All_Risk_Apps!$A$4:$A$1233)-ROW(All_Risk_Apps!$A$4)+1)/(All_Risk_Apps!$J$4:$J$1233="Fast Follower")*(All_Risk_Apps!$A$4:$A$1233&lt;&gt;""),117)),"")</f>
        <v/>
      </c>
      <c r="C120" s="8" t="str">
        <f ca="1">IFERROR(INDEX(All_Risk_Apps!$D$4:$D$1233,_xludf.aggregate(15,6,(ROW(All_Risk_Apps!$A$4:$A$1233)-ROW(All_Risk_Apps!$A$4)+1)/(All_Risk_Apps!$J$4:$J$1233="Fast Follower")*(All_Risk_Apps!$A$4:$A$1233&lt;&gt;""),117)),"")</f>
        <v/>
      </c>
      <c r="D120" s="8" t="str">
        <f ca="1">IFERROR(INDEX(All_Risk_Apps!$C$4:$C$1233,_xludf.aggregate(15,6,(ROW(All_Risk_Apps!$A$4:$A$1233)-ROW(All_Risk_Apps!$A$4)+1)/(All_Risk_Apps!$J$4:$J$1233="Fast Follower")*(All_Risk_Apps!$A$4:$A$1233&lt;&gt;""),117)),"")</f>
        <v/>
      </c>
      <c r="E120" s="8" t="str">
        <f ca="1">IFERROR(INDEX(All_Risk_Apps!$E$4:$E$1233,_xludf.aggregate(15,6,(ROW(All_Risk_Apps!$A$4:$A$1233)-ROW(All_Risk_Apps!$A$4)+1)/(All_Risk_Apps!$J$4:$J$1233="Fast Follower")*(All_Risk_Apps!$A$4:$A$1233&lt;&gt;""),117)),"")</f>
        <v/>
      </c>
      <c r="F120" s="8" t="str">
        <f ca="1">IFERROR(INDEX(All_Risk_Apps!$F$4:$F$1233,_xludf.aggregate(15,6,(ROW(All_Risk_Apps!$A$4:$A$1233)-ROW(All_Risk_Apps!$A$4)+1)/(All_Risk_Apps!$J$4:$J$1233="Fast Follower")*(All_Risk_Apps!$A$4:$A$1233&lt;&gt;""),117)),"")</f>
        <v/>
      </c>
      <c r="G120" s="8" t="str">
        <f ca="1">IFERROR(INDEX(All_Risk_Apps!$I$4:$I$1233,_xludf.aggregate(15,6,(ROW(All_Risk_Apps!$A$4:$A$1233)-ROW(All_Risk_Apps!$A$4)+1)/(All_Risk_Apps!$J$4:$J$1233="Fast Follower")*(All_Risk_Apps!$A$4:$A$1233&lt;&gt;""),117)),"")</f>
        <v/>
      </c>
      <c r="H120" s="8" t="str">
        <f ca="1">IF(B120="","",IFERROR(INDEX(Server_Inventory!$R:$R,MATCH(B120,Server_Inventory!$Z:$Z,0)),"Not Found"))</f>
        <v/>
      </c>
      <c r="I120" s="8" t="str">
        <f ca="1">IF(B120="","",IFERROR(INDEX(Server_Inventory!$S:$S,MATCH(B120,Server_Inventory!$Z:$Z,0)),"Not Found"))</f>
        <v/>
      </c>
      <c r="J120" s="8" t="str">
        <f ca="1">IF(B120="","",COUNTIFS(Server_Inventory!$Z:$Z,B120,Server_Inventory!$P:$P,"R-RETIRED_IN_CMDB"))</f>
        <v/>
      </c>
      <c r="K120" s="8" t="str">
        <f ca="1">IF(B120="","",IFERROR(INDEX(Container_Inventory!$F:$F,MATCH(B120,Container_Inventory!$L:$L,0)),"Not Found"))</f>
        <v/>
      </c>
      <c r="L120" s="8" t="str">
        <f ca="1">IF(B120="","",IF(COUNTIF(Finding_List!$A:$A,B120)&gt;0,"Yes","No"))</f>
        <v/>
      </c>
      <c r="M120" s="8" t="str">
        <f ca="1">IF(B120="","",COUNTIF(Server_Inventory!$Z:$Z,B120))</f>
        <v/>
      </c>
      <c r="N120" s="8" t="str">
        <f ca="1">IF(B120="","",COUNTIF(Container_Inventory!$L:$L,B120))</f>
        <v/>
      </c>
    </row>
    <row r="121" spans="1:14" x14ac:dyDescent="0.2">
      <c r="A121" s="14" t="str">
        <f ca="1">IFERROR(INDEX(All_Risk_Apps!$A$4:$A$1233,_xludf.aggregate(15,6,(ROW(All_Risk_Apps!$A$4:$A$1233)-ROW(All_Risk_Apps!$A$4)+1)/(All_Risk_Apps!$J$4:$J$1233="Fast Follower")*(All_Risk_Apps!$A$4:$A$1233&lt;&gt;""),118)),"")</f>
        <v/>
      </c>
      <c r="B121" s="14" t="str">
        <f ca="1">IFERROR(INDEX(All_Risk_Apps!$B$4:$B$1233,_xludf.aggregate(15,6,(ROW(All_Risk_Apps!$A$4:$A$1233)-ROW(All_Risk_Apps!$A$4)+1)/(All_Risk_Apps!$J$4:$J$1233="Fast Follower")*(All_Risk_Apps!$A$4:$A$1233&lt;&gt;""),118)),"")</f>
        <v/>
      </c>
      <c r="C121" s="14" t="str">
        <f ca="1">IFERROR(INDEX(All_Risk_Apps!$D$4:$D$1233,_xludf.aggregate(15,6,(ROW(All_Risk_Apps!$A$4:$A$1233)-ROW(All_Risk_Apps!$A$4)+1)/(All_Risk_Apps!$J$4:$J$1233="Fast Follower")*(All_Risk_Apps!$A$4:$A$1233&lt;&gt;""),118)),"")</f>
        <v/>
      </c>
      <c r="D121" s="14" t="str">
        <f ca="1">IFERROR(INDEX(All_Risk_Apps!$C$4:$C$1233,_xludf.aggregate(15,6,(ROW(All_Risk_Apps!$A$4:$A$1233)-ROW(All_Risk_Apps!$A$4)+1)/(All_Risk_Apps!$J$4:$J$1233="Fast Follower")*(All_Risk_Apps!$A$4:$A$1233&lt;&gt;""),118)),"")</f>
        <v/>
      </c>
      <c r="E121" s="14" t="str">
        <f ca="1">IFERROR(INDEX(All_Risk_Apps!$E$4:$E$1233,_xludf.aggregate(15,6,(ROW(All_Risk_Apps!$A$4:$A$1233)-ROW(All_Risk_Apps!$A$4)+1)/(All_Risk_Apps!$J$4:$J$1233="Fast Follower")*(All_Risk_Apps!$A$4:$A$1233&lt;&gt;""),118)),"")</f>
        <v/>
      </c>
      <c r="F121" s="14" t="str">
        <f ca="1">IFERROR(INDEX(All_Risk_Apps!$F$4:$F$1233,_xludf.aggregate(15,6,(ROW(All_Risk_Apps!$A$4:$A$1233)-ROW(All_Risk_Apps!$A$4)+1)/(All_Risk_Apps!$J$4:$J$1233="Fast Follower")*(All_Risk_Apps!$A$4:$A$1233&lt;&gt;""),118)),"")</f>
        <v/>
      </c>
      <c r="G121" s="14" t="str">
        <f ca="1">IFERROR(INDEX(All_Risk_Apps!$I$4:$I$1233,_xludf.aggregate(15,6,(ROW(All_Risk_Apps!$A$4:$A$1233)-ROW(All_Risk_Apps!$A$4)+1)/(All_Risk_Apps!$J$4:$J$1233="Fast Follower")*(All_Risk_Apps!$A$4:$A$1233&lt;&gt;""),118)),"")</f>
        <v/>
      </c>
      <c r="H121" s="14" t="str">
        <f ca="1">IF(B121="","",IFERROR(INDEX(Server_Inventory!$R:$R,MATCH(B121,Server_Inventory!$Z:$Z,0)),"Not Found"))</f>
        <v/>
      </c>
      <c r="I121" s="14" t="str">
        <f ca="1">IF(B121="","",IFERROR(INDEX(Server_Inventory!$S:$S,MATCH(B121,Server_Inventory!$Z:$Z,0)),"Not Found"))</f>
        <v/>
      </c>
      <c r="J121" s="14" t="str">
        <f ca="1">IF(B121="","",COUNTIFS(Server_Inventory!$Z:$Z,B121,Server_Inventory!$P:$P,"R-RETIRED_IN_CMDB"))</f>
        <v/>
      </c>
      <c r="K121" s="14" t="str">
        <f ca="1">IF(B121="","",IFERROR(INDEX(Container_Inventory!$F:$F,MATCH(B121,Container_Inventory!$L:$L,0)),"Not Found"))</f>
        <v/>
      </c>
      <c r="L121" s="14" t="str">
        <f ca="1">IF(B121="","",IF(COUNTIF(Finding_List!$A:$A,B121)&gt;0,"Yes","No"))</f>
        <v/>
      </c>
      <c r="M121" s="14" t="str">
        <f ca="1">IF(B121="","",COUNTIF(Server_Inventory!$Z:$Z,B121))</f>
        <v/>
      </c>
      <c r="N121" s="14" t="str">
        <f ca="1">IF(B121="","",COUNTIF(Container_Inventory!$L:$L,B121))</f>
        <v/>
      </c>
    </row>
    <row r="122" spans="1:14" x14ac:dyDescent="0.2">
      <c r="A122" s="8" t="str">
        <f ca="1">IFERROR(INDEX(All_Risk_Apps!$A$4:$A$1233,_xludf.aggregate(15,6,(ROW(All_Risk_Apps!$A$4:$A$1233)-ROW(All_Risk_Apps!$A$4)+1)/(All_Risk_Apps!$J$4:$J$1233="Fast Follower")*(All_Risk_Apps!$A$4:$A$1233&lt;&gt;""),119)),"")</f>
        <v/>
      </c>
      <c r="B122" s="8" t="str">
        <f ca="1">IFERROR(INDEX(All_Risk_Apps!$B$4:$B$1233,_xludf.aggregate(15,6,(ROW(All_Risk_Apps!$A$4:$A$1233)-ROW(All_Risk_Apps!$A$4)+1)/(All_Risk_Apps!$J$4:$J$1233="Fast Follower")*(All_Risk_Apps!$A$4:$A$1233&lt;&gt;""),119)),"")</f>
        <v/>
      </c>
      <c r="C122" s="8" t="str">
        <f ca="1">IFERROR(INDEX(All_Risk_Apps!$D$4:$D$1233,_xludf.aggregate(15,6,(ROW(All_Risk_Apps!$A$4:$A$1233)-ROW(All_Risk_Apps!$A$4)+1)/(All_Risk_Apps!$J$4:$J$1233="Fast Follower")*(All_Risk_Apps!$A$4:$A$1233&lt;&gt;""),119)),"")</f>
        <v/>
      </c>
      <c r="D122" s="8" t="str">
        <f ca="1">IFERROR(INDEX(All_Risk_Apps!$C$4:$C$1233,_xludf.aggregate(15,6,(ROW(All_Risk_Apps!$A$4:$A$1233)-ROW(All_Risk_Apps!$A$4)+1)/(All_Risk_Apps!$J$4:$J$1233="Fast Follower")*(All_Risk_Apps!$A$4:$A$1233&lt;&gt;""),119)),"")</f>
        <v/>
      </c>
      <c r="E122" s="8" t="str">
        <f ca="1">IFERROR(INDEX(All_Risk_Apps!$E$4:$E$1233,_xludf.aggregate(15,6,(ROW(All_Risk_Apps!$A$4:$A$1233)-ROW(All_Risk_Apps!$A$4)+1)/(All_Risk_Apps!$J$4:$J$1233="Fast Follower")*(All_Risk_Apps!$A$4:$A$1233&lt;&gt;""),119)),"")</f>
        <v/>
      </c>
      <c r="F122" s="8" t="str">
        <f ca="1">IFERROR(INDEX(All_Risk_Apps!$F$4:$F$1233,_xludf.aggregate(15,6,(ROW(All_Risk_Apps!$A$4:$A$1233)-ROW(All_Risk_Apps!$A$4)+1)/(All_Risk_Apps!$J$4:$J$1233="Fast Follower")*(All_Risk_Apps!$A$4:$A$1233&lt;&gt;""),119)),"")</f>
        <v/>
      </c>
      <c r="G122" s="8" t="str">
        <f ca="1">IFERROR(INDEX(All_Risk_Apps!$I$4:$I$1233,_xludf.aggregate(15,6,(ROW(All_Risk_Apps!$A$4:$A$1233)-ROW(All_Risk_Apps!$A$4)+1)/(All_Risk_Apps!$J$4:$J$1233="Fast Follower")*(All_Risk_Apps!$A$4:$A$1233&lt;&gt;""),119)),"")</f>
        <v/>
      </c>
      <c r="H122" s="8" t="str">
        <f ca="1">IF(B122="","",IFERROR(INDEX(Server_Inventory!$R:$R,MATCH(B122,Server_Inventory!$Z:$Z,0)),"Not Found"))</f>
        <v/>
      </c>
      <c r="I122" s="8" t="str">
        <f ca="1">IF(B122="","",IFERROR(INDEX(Server_Inventory!$S:$S,MATCH(B122,Server_Inventory!$Z:$Z,0)),"Not Found"))</f>
        <v/>
      </c>
      <c r="J122" s="8" t="str">
        <f ca="1">IF(B122="","",COUNTIFS(Server_Inventory!$Z:$Z,B122,Server_Inventory!$P:$P,"R-RETIRED_IN_CMDB"))</f>
        <v/>
      </c>
      <c r="K122" s="8" t="str">
        <f ca="1">IF(B122="","",IFERROR(INDEX(Container_Inventory!$F:$F,MATCH(B122,Container_Inventory!$L:$L,0)),"Not Found"))</f>
        <v/>
      </c>
      <c r="L122" s="8" t="str">
        <f ca="1">IF(B122="","",IF(COUNTIF(Finding_List!$A:$A,B122)&gt;0,"Yes","No"))</f>
        <v/>
      </c>
      <c r="M122" s="8" t="str">
        <f ca="1">IF(B122="","",COUNTIF(Server_Inventory!$Z:$Z,B122))</f>
        <v/>
      </c>
      <c r="N122" s="8" t="str">
        <f ca="1">IF(B122="","",COUNTIF(Container_Inventory!$L:$L,B122))</f>
        <v/>
      </c>
    </row>
    <row r="123" spans="1:14" x14ac:dyDescent="0.2">
      <c r="A123" s="14" t="str">
        <f ca="1">IFERROR(INDEX(All_Risk_Apps!$A$4:$A$1233,_xludf.aggregate(15,6,(ROW(All_Risk_Apps!$A$4:$A$1233)-ROW(All_Risk_Apps!$A$4)+1)/(All_Risk_Apps!$J$4:$J$1233="Fast Follower")*(All_Risk_Apps!$A$4:$A$1233&lt;&gt;""),120)),"")</f>
        <v/>
      </c>
      <c r="B123" s="14" t="str">
        <f ca="1">IFERROR(INDEX(All_Risk_Apps!$B$4:$B$1233,_xludf.aggregate(15,6,(ROW(All_Risk_Apps!$A$4:$A$1233)-ROW(All_Risk_Apps!$A$4)+1)/(All_Risk_Apps!$J$4:$J$1233="Fast Follower")*(All_Risk_Apps!$A$4:$A$1233&lt;&gt;""),120)),"")</f>
        <v/>
      </c>
      <c r="C123" s="14" t="str">
        <f ca="1">IFERROR(INDEX(All_Risk_Apps!$D$4:$D$1233,_xludf.aggregate(15,6,(ROW(All_Risk_Apps!$A$4:$A$1233)-ROW(All_Risk_Apps!$A$4)+1)/(All_Risk_Apps!$J$4:$J$1233="Fast Follower")*(All_Risk_Apps!$A$4:$A$1233&lt;&gt;""),120)),"")</f>
        <v/>
      </c>
      <c r="D123" s="14" t="str">
        <f ca="1">IFERROR(INDEX(All_Risk_Apps!$C$4:$C$1233,_xludf.aggregate(15,6,(ROW(All_Risk_Apps!$A$4:$A$1233)-ROW(All_Risk_Apps!$A$4)+1)/(All_Risk_Apps!$J$4:$J$1233="Fast Follower")*(All_Risk_Apps!$A$4:$A$1233&lt;&gt;""),120)),"")</f>
        <v/>
      </c>
      <c r="E123" s="14" t="str">
        <f ca="1">IFERROR(INDEX(All_Risk_Apps!$E$4:$E$1233,_xludf.aggregate(15,6,(ROW(All_Risk_Apps!$A$4:$A$1233)-ROW(All_Risk_Apps!$A$4)+1)/(All_Risk_Apps!$J$4:$J$1233="Fast Follower")*(All_Risk_Apps!$A$4:$A$1233&lt;&gt;""),120)),"")</f>
        <v/>
      </c>
      <c r="F123" s="14" t="str">
        <f ca="1">IFERROR(INDEX(All_Risk_Apps!$F$4:$F$1233,_xludf.aggregate(15,6,(ROW(All_Risk_Apps!$A$4:$A$1233)-ROW(All_Risk_Apps!$A$4)+1)/(All_Risk_Apps!$J$4:$J$1233="Fast Follower")*(All_Risk_Apps!$A$4:$A$1233&lt;&gt;""),120)),"")</f>
        <v/>
      </c>
      <c r="G123" s="14" t="str">
        <f ca="1">IFERROR(INDEX(All_Risk_Apps!$I$4:$I$1233,_xludf.aggregate(15,6,(ROW(All_Risk_Apps!$A$4:$A$1233)-ROW(All_Risk_Apps!$A$4)+1)/(All_Risk_Apps!$J$4:$J$1233="Fast Follower")*(All_Risk_Apps!$A$4:$A$1233&lt;&gt;""),120)),"")</f>
        <v/>
      </c>
      <c r="H123" s="14" t="str">
        <f ca="1">IF(B123="","",IFERROR(INDEX(Server_Inventory!$R:$R,MATCH(B123,Server_Inventory!$Z:$Z,0)),"Not Found"))</f>
        <v/>
      </c>
      <c r="I123" s="14" t="str">
        <f ca="1">IF(B123="","",IFERROR(INDEX(Server_Inventory!$S:$S,MATCH(B123,Server_Inventory!$Z:$Z,0)),"Not Found"))</f>
        <v/>
      </c>
      <c r="J123" s="14" t="str">
        <f ca="1">IF(B123="","",COUNTIFS(Server_Inventory!$Z:$Z,B123,Server_Inventory!$P:$P,"R-RETIRED_IN_CMDB"))</f>
        <v/>
      </c>
      <c r="K123" s="14" t="str">
        <f ca="1">IF(B123="","",IFERROR(INDEX(Container_Inventory!$F:$F,MATCH(B123,Container_Inventory!$L:$L,0)),"Not Found"))</f>
        <v/>
      </c>
      <c r="L123" s="14" t="str">
        <f ca="1">IF(B123="","",IF(COUNTIF(Finding_List!$A:$A,B123)&gt;0,"Yes","No"))</f>
        <v/>
      </c>
      <c r="M123" s="14" t="str">
        <f ca="1">IF(B123="","",COUNTIF(Server_Inventory!$Z:$Z,B123))</f>
        <v/>
      </c>
      <c r="N123" s="14" t="str">
        <f ca="1">IF(B123="","",COUNTIF(Container_Inventory!$L:$L,B123))</f>
        <v/>
      </c>
    </row>
    <row r="124" spans="1:14" x14ac:dyDescent="0.2">
      <c r="A124" s="8" t="str">
        <f ca="1">IFERROR(INDEX(All_Risk_Apps!$A$4:$A$1233,_xludf.aggregate(15,6,(ROW(All_Risk_Apps!$A$4:$A$1233)-ROW(All_Risk_Apps!$A$4)+1)/(All_Risk_Apps!$J$4:$J$1233="Fast Follower")*(All_Risk_Apps!$A$4:$A$1233&lt;&gt;""),121)),"")</f>
        <v/>
      </c>
      <c r="B124" s="8" t="str">
        <f ca="1">IFERROR(INDEX(All_Risk_Apps!$B$4:$B$1233,_xludf.aggregate(15,6,(ROW(All_Risk_Apps!$A$4:$A$1233)-ROW(All_Risk_Apps!$A$4)+1)/(All_Risk_Apps!$J$4:$J$1233="Fast Follower")*(All_Risk_Apps!$A$4:$A$1233&lt;&gt;""),121)),"")</f>
        <v/>
      </c>
      <c r="C124" s="8" t="str">
        <f ca="1">IFERROR(INDEX(All_Risk_Apps!$D$4:$D$1233,_xludf.aggregate(15,6,(ROW(All_Risk_Apps!$A$4:$A$1233)-ROW(All_Risk_Apps!$A$4)+1)/(All_Risk_Apps!$J$4:$J$1233="Fast Follower")*(All_Risk_Apps!$A$4:$A$1233&lt;&gt;""),121)),"")</f>
        <v/>
      </c>
      <c r="D124" s="8" t="str">
        <f ca="1">IFERROR(INDEX(All_Risk_Apps!$C$4:$C$1233,_xludf.aggregate(15,6,(ROW(All_Risk_Apps!$A$4:$A$1233)-ROW(All_Risk_Apps!$A$4)+1)/(All_Risk_Apps!$J$4:$J$1233="Fast Follower")*(All_Risk_Apps!$A$4:$A$1233&lt;&gt;""),121)),"")</f>
        <v/>
      </c>
      <c r="E124" s="8" t="str">
        <f ca="1">IFERROR(INDEX(All_Risk_Apps!$E$4:$E$1233,_xludf.aggregate(15,6,(ROW(All_Risk_Apps!$A$4:$A$1233)-ROW(All_Risk_Apps!$A$4)+1)/(All_Risk_Apps!$J$4:$J$1233="Fast Follower")*(All_Risk_Apps!$A$4:$A$1233&lt;&gt;""),121)),"")</f>
        <v/>
      </c>
      <c r="F124" s="8" t="str">
        <f ca="1">IFERROR(INDEX(All_Risk_Apps!$F$4:$F$1233,_xludf.aggregate(15,6,(ROW(All_Risk_Apps!$A$4:$A$1233)-ROW(All_Risk_Apps!$A$4)+1)/(All_Risk_Apps!$J$4:$J$1233="Fast Follower")*(All_Risk_Apps!$A$4:$A$1233&lt;&gt;""),121)),"")</f>
        <v/>
      </c>
      <c r="G124" s="8" t="str">
        <f ca="1">IFERROR(INDEX(All_Risk_Apps!$I$4:$I$1233,_xludf.aggregate(15,6,(ROW(All_Risk_Apps!$A$4:$A$1233)-ROW(All_Risk_Apps!$A$4)+1)/(All_Risk_Apps!$J$4:$J$1233="Fast Follower")*(All_Risk_Apps!$A$4:$A$1233&lt;&gt;""),121)),"")</f>
        <v/>
      </c>
      <c r="H124" s="8" t="str">
        <f ca="1">IF(B124="","",IFERROR(INDEX(Server_Inventory!$R:$R,MATCH(B124,Server_Inventory!$Z:$Z,0)),"Not Found"))</f>
        <v/>
      </c>
      <c r="I124" s="8" t="str">
        <f ca="1">IF(B124="","",IFERROR(INDEX(Server_Inventory!$S:$S,MATCH(B124,Server_Inventory!$Z:$Z,0)),"Not Found"))</f>
        <v/>
      </c>
      <c r="J124" s="8" t="str">
        <f ca="1">IF(B124="","",COUNTIFS(Server_Inventory!$Z:$Z,B124,Server_Inventory!$P:$P,"R-RETIRED_IN_CMDB"))</f>
        <v/>
      </c>
      <c r="K124" s="8" t="str">
        <f ca="1">IF(B124="","",IFERROR(INDEX(Container_Inventory!$F:$F,MATCH(B124,Container_Inventory!$L:$L,0)),"Not Found"))</f>
        <v/>
      </c>
      <c r="L124" s="8" t="str">
        <f ca="1">IF(B124="","",IF(COUNTIF(Finding_List!$A:$A,B124)&gt;0,"Yes","No"))</f>
        <v/>
      </c>
      <c r="M124" s="8" t="str">
        <f ca="1">IF(B124="","",COUNTIF(Server_Inventory!$Z:$Z,B124))</f>
        <v/>
      </c>
      <c r="N124" s="8" t="str">
        <f ca="1">IF(B124="","",COUNTIF(Container_Inventory!$L:$L,B124))</f>
        <v/>
      </c>
    </row>
    <row r="125" spans="1:14" x14ac:dyDescent="0.2">
      <c r="A125" s="14" t="str">
        <f ca="1">IFERROR(INDEX(All_Risk_Apps!$A$4:$A$1233,_xludf.aggregate(15,6,(ROW(All_Risk_Apps!$A$4:$A$1233)-ROW(All_Risk_Apps!$A$4)+1)/(All_Risk_Apps!$J$4:$J$1233="Fast Follower")*(All_Risk_Apps!$A$4:$A$1233&lt;&gt;""),122)),"")</f>
        <v/>
      </c>
      <c r="B125" s="14" t="str">
        <f ca="1">IFERROR(INDEX(All_Risk_Apps!$B$4:$B$1233,_xludf.aggregate(15,6,(ROW(All_Risk_Apps!$A$4:$A$1233)-ROW(All_Risk_Apps!$A$4)+1)/(All_Risk_Apps!$J$4:$J$1233="Fast Follower")*(All_Risk_Apps!$A$4:$A$1233&lt;&gt;""),122)),"")</f>
        <v/>
      </c>
      <c r="C125" s="14" t="str">
        <f ca="1">IFERROR(INDEX(All_Risk_Apps!$D$4:$D$1233,_xludf.aggregate(15,6,(ROW(All_Risk_Apps!$A$4:$A$1233)-ROW(All_Risk_Apps!$A$4)+1)/(All_Risk_Apps!$J$4:$J$1233="Fast Follower")*(All_Risk_Apps!$A$4:$A$1233&lt;&gt;""),122)),"")</f>
        <v/>
      </c>
      <c r="D125" s="14" t="str">
        <f ca="1">IFERROR(INDEX(All_Risk_Apps!$C$4:$C$1233,_xludf.aggregate(15,6,(ROW(All_Risk_Apps!$A$4:$A$1233)-ROW(All_Risk_Apps!$A$4)+1)/(All_Risk_Apps!$J$4:$J$1233="Fast Follower")*(All_Risk_Apps!$A$4:$A$1233&lt;&gt;""),122)),"")</f>
        <v/>
      </c>
      <c r="E125" s="14" t="str">
        <f ca="1">IFERROR(INDEX(All_Risk_Apps!$E$4:$E$1233,_xludf.aggregate(15,6,(ROW(All_Risk_Apps!$A$4:$A$1233)-ROW(All_Risk_Apps!$A$4)+1)/(All_Risk_Apps!$J$4:$J$1233="Fast Follower")*(All_Risk_Apps!$A$4:$A$1233&lt;&gt;""),122)),"")</f>
        <v/>
      </c>
      <c r="F125" s="14" t="str">
        <f ca="1">IFERROR(INDEX(All_Risk_Apps!$F$4:$F$1233,_xludf.aggregate(15,6,(ROW(All_Risk_Apps!$A$4:$A$1233)-ROW(All_Risk_Apps!$A$4)+1)/(All_Risk_Apps!$J$4:$J$1233="Fast Follower")*(All_Risk_Apps!$A$4:$A$1233&lt;&gt;""),122)),"")</f>
        <v/>
      </c>
      <c r="G125" s="14" t="str">
        <f ca="1">IFERROR(INDEX(All_Risk_Apps!$I$4:$I$1233,_xludf.aggregate(15,6,(ROW(All_Risk_Apps!$A$4:$A$1233)-ROW(All_Risk_Apps!$A$4)+1)/(All_Risk_Apps!$J$4:$J$1233="Fast Follower")*(All_Risk_Apps!$A$4:$A$1233&lt;&gt;""),122)),"")</f>
        <v/>
      </c>
      <c r="H125" s="14" t="str">
        <f ca="1">IF(B125="","",IFERROR(INDEX(Server_Inventory!$R:$R,MATCH(B125,Server_Inventory!$Z:$Z,0)),"Not Found"))</f>
        <v/>
      </c>
      <c r="I125" s="14" t="str">
        <f ca="1">IF(B125="","",IFERROR(INDEX(Server_Inventory!$S:$S,MATCH(B125,Server_Inventory!$Z:$Z,0)),"Not Found"))</f>
        <v/>
      </c>
      <c r="J125" s="14" t="str">
        <f ca="1">IF(B125="","",COUNTIFS(Server_Inventory!$Z:$Z,B125,Server_Inventory!$P:$P,"R-RETIRED_IN_CMDB"))</f>
        <v/>
      </c>
      <c r="K125" s="14" t="str">
        <f ca="1">IF(B125="","",IFERROR(INDEX(Container_Inventory!$F:$F,MATCH(B125,Container_Inventory!$L:$L,0)),"Not Found"))</f>
        <v/>
      </c>
      <c r="L125" s="14" t="str">
        <f ca="1">IF(B125="","",IF(COUNTIF(Finding_List!$A:$A,B125)&gt;0,"Yes","No"))</f>
        <v/>
      </c>
      <c r="M125" s="14" t="str">
        <f ca="1">IF(B125="","",COUNTIF(Server_Inventory!$Z:$Z,B125))</f>
        <v/>
      </c>
      <c r="N125" s="14" t="str">
        <f ca="1">IF(B125="","",COUNTIF(Container_Inventory!$L:$L,B125))</f>
        <v/>
      </c>
    </row>
    <row r="126" spans="1:14" x14ac:dyDescent="0.2">
      <c r="A126" s="8" t="str">
        <f ca="1">IFERROR(INDEX(All_Risk_Apps!$A$4:$A$1233,_xludf.aggregate(15,6,(ROW(All_Risk_Apps!$A$4:$A$1233)-ROW(All_Risk_Apps!$A$4)+1)/(All_Risk_Apps!$J$4:$J$1233="Fast Follower")*(All_Risk_Apps!$A$4:$A$1233&lt;&gt;""),123)),"")</f>
        <v/>
      </c>
      <c r="B126" s="8" t="str">
        <f ca="1">IFERROR(INDEX(All_Risk_Apps!$B$4:$B$1233,_xludf.aggregate(15,6,(ROW(All_Risk_Apps!$A$4:$A$1233)-ROW(All_Risk_Apps!$A$4)+1)/(All_Risk_Apps!$J$4:$J$1233="Fast Follower")*(All_Risk_Apps!$A$4:$A$1233&lt;&gt;""),123)),"")</f>
        <v/>
      </c>
      <c r="C126" s="8" t="str">
        <f ca="1">IFERROR(INDEX(All_Risk_Apps!$D$4:$D$1233,_xludf.aggregate(15,6,(ROW(All_Risk_Apps!$A$4:$A$1233)-ROW(All_Risk_Apps!$A$4)+1)/(All_Risk_Apps!$J$4:$J$1233="Fast Follower")*(All_Risk_Apps!$A$4:$A$1233&lt;&gt;""),123)),"")</f>
        <v/>
      </c>
      <c r="D126" s="8" t="str">
        <f ca="1">IFERROR(INDEX(All_Risk_Apps!$C$4:$C$1233,_xludf.aggregate(15,6,(ROW(All_Risk_Apps!$A$4:$A$1233)-ROW(All_Risk_Apps!$A$4)+1)/(All_Risk_Apps!$J$4:$J$1233="Fast Follower")*(All_Risk_Apps!$A$4:$A$1233&lt;&gt;""),123)),"")</f>
        <v/>
      </c>
      <c r="E126" s="8" t="str">
        <f ca="1">IFERROR(INDEX(All_Risk_Apps!$E$4:$E$1233,_xludf.aggregate(15,6,(ROW(All_Risk_Apps!$A$4:$A$1233)-ROW(All_Risk_Apps!$A$4)+1)/(All_Risk_Apps!$J$4:$J$1233="Fast Follower")*(All_Risk_Apps!$A$4:$A$1233&lt;&gt;""),123)),"")</f>
        <v/>
      </c>
      <c r="F126" s="8" t="str">
        <f ca="1">IFERROR(INDEX(All_Risk_Apps!$F$4:$F$1233,_xludf.aggregate(15,6,(ROW(All_Risk_Apps!$A$4:$A$1233)-ROW(All_Risk_Apps!$A$4)+1)/(All_Risk_Apps!$J$4:$J$1233="Fast Follower")*(All_Risk_Apps!$A$4:$A$1233&lt;&gt;""),123)),"")</f>
        <v/>
      </c>
      <c r="G126" s="8" t="str">
        <f ca="1">IFERROR(INDEX(All_Risk_Apps!$I$4:$I$1233,_xludf.aggregate(15,6,(ROW(All_Risk_Apps!$A$4:$A$1233)-ROW(All_Risk_Apps!$A$4)+1)/(All_Risk_Apps!$J$4:$J$1233="Fast Follower")*(All_Risk_Apps!$A$4:$A$1233&lt;&gt;""),123)),"")</f>
        <v/>
      </c>
      <c r="H126" s="8" t="str">
        <f ca="1">IF(B126="","",IFERROR(INDEX(Server_Inventory!$R:$R,MATCH(B126,Server_Inventory!$Z:$Z,0)),"Not Found"))</f>
        <v/>
      </c>
      <c r="I126" s="8" t="str">
        <f ca="1">IF(B126="","",IFERROR(INDEX(Server_Inventory!$S:$S,MATCH(B126,Server_Inventory!$Z:$Z,0)),"Not Found"))</f>
        <v/>
      </c>
      <c r="J126" s="8" t="str">
        <f ca="1">IF(B126="","",COUNTIFS(Server_Inventory!$Z:$Z,B126,Server_Inventory!$P:$P,"R-RETIRED_IN_CMDB"))</f>
        <v/>
      </c>
      <c r="K126" s="8" t="str">
        <f ca="1">IF(B126="","",IFERROR(INDEX(Container_Inventory!$F:$F,MATCH(B126,Container_Inventory!$L:$L,0)),"Not Found"))</f>
        <v/>
      </c>
      <c r="L126" s="8" t="str">
        <f ca="1">IF(B126="","",IF(COUNTIF(Finding_List!$A:$A,B126)&gt;0,"Yes","No"))</f>
        <v/>
      </c>
      <c r="M126" s="8" t="str">
        <f ca="1">IF(B126="","",COUNTIF(Server_Inventory!$Z:$Z,B126))</f>
        <v/>
      </c>
      <c r="N126" s="8" t="str">
        <f ca="1">IF(B126="","",COUNTIF(Container_Inventory!$L:$L,B126))</f>
        <v/>
      </c>
    </row>
    <row r="127" spans="1:14" x14ac:dyDescent="0.2">
      <c r="A127" s="14" t="str">
        <f ca="1">IFERROR(INDEX(All_Risk_Apps!$A$4:$A$1233,_xludf.aggregate(15,6,(ROW(All_Risk_Apps!$A$4:$A$1233)-ROW(All_Risk_Apps!$A$4)+1)/(All_Risk_Apps!$J$4:$J$1233="Fast Follower")*(All_Risk_Apps!$A$4:$A$1233&lt;&gt;""),124)),"")</f>
        <v/>
      </c>
      <c r="B127" s="14" t="str">
        <f ca="1">IFERROR(INDEX(All_Risk_Apps!$B$4:$B$1233,_xludf.aggregate(15,6,(ROW(All_Risk_Apps!$A$4:$A$1233)-ROW(All_Risk_Apps!$A$4)+1)/(All_Risk_Apps!$J$4:$J$1233="Fast Follower")*(All_Risk_Apps!$A$4:$A$1233&lt;&gt;""),124)),"")</f>
        <v/>
      </c>
      <c r="C127" s="14" t="str">
        <f ca="1">IFERROR(INDEX(All_Risk_Apps!$D$4:$D$1233,_xludf.aggregate(15,6,(ROW(All_Risk_Apps!$A$4:$A$1233)-ROW(All_Risk_Apps!$A$4)+1)/(All_Risk_Apps!$J$4:$J$1233="Fast Follower")*(All_Risk_Apps!$A$4:$A$1233&lt;&gt;""),124)),"")</f>
        <v/>
      </c>
      <c r="D127" s="14" t="str">
        <f ca="1">IFERROR(INDEX(All_Risk_Apps!$C$4:$C$1233,_xludf.aggregate(15,6,(ROW(All_Risk_Apps!$A$4:$A$1233)-ROW(All_Risk_Apps!$A$4)+1)/(All_Risk_Apps!$J$4:$J$1233="Fast Follower")*(All_Risk_Apps!$A$4:$A$1233&lt;&gt;""),124)),"")</f>
        <v/>
      </c>
      <c r="E127" s="14" t="str">
        <f ca="1">IFERROR(INDEX(All_Risk_Apps!$E$4:$E$1233,_xludf.aggregate(15,6,(ROW(All_Risk_Apps!$A$4:$A$1233)-ROW(All_Risk_Apps!$A$4)+1)/(All_Risk_Apps!$J$4:$J$1233="Fast Follower")*(All_Risk_Apps!$A$4:$A$1233&lt;&gt;""),124)),"")</f>
        <v/>
      </c>
      <c r="F127" s="14" t="str">
        <f ca="1">IFERROR(INDEX(All_Risk_Apps!$F$4:$F$1233,_xludf.aggregate(15,6,(ROW(All_Risk_Apps!$A$4:$A$1233)-ROW(All_Risk_Apps!$A$4)+1)/(All_Risk_Apps!$J$4:$J$1233="Fast Follower")*(All_Risk_Apps!$A$4:$A$1233&lt;&gt;""),124)),"")</f>
        <v/>
      </c>
      <c r="G127" s="14" t="str">
        <f ca="1">IFERROR(INDEX(All_Risk_Apps!$I$4:$I$1233,_xludf.aggregate(15,6,(ROW(All_Risk_Apps!$A$4:$A$1233)-ROW(All_Risk_Apps!$A$4)+1)/(All_Risk_Apps!$J$4:$J$1233="Fast Follower")*(All_Risk_Apps!$A$4:$A$1233&lt;&gt;""),124)),"")</f>
        <v/>
      </c>
      <c r="H127" s="14" t="str">
        <f ca="1">IF(B127="","",IFERROR(INDEX(Server_Inventory!$R:$R,MATCH(B127,Server_Inventory!$Z:$Z,0)),"Not Found"))</f>
        <v/>
      </c>
      <c r="I127" s="14" t="str">
        <f ca="1">IF(B127="","",IFERROR(INDEX(Server_Inventory!$S:$S,MATCH(B127,Server_Inventory!$Z:$Z,0)),"Not Found"))</f>
        <v/>
      </c>
      <c r="J127" s="14" t="str">
        <f ca="1">IF(B127="","",COUNTIFS(Server_Inventory!$Z:$Z,B127,Server_Inventory!$P:$P,"R-RETIRED_IN_CMDB"))</f>
        <v/>
      </c>
      <c r="K127" s="14" t="str">
        <f ca="1">IF(B127="","",IFERROR(INDEX(Container_Inventory!$F:$F,MATCH(B127,Container_Inventory!$L:$L,0)),"Not Found"))</f>
        <v/>
      </c>
      <c r="L127" s="14" t="str">
        <f ca="1">IF(B127="","",IF(COUNTIF(Finding_List!$A:$A,B127)&gt;0,"Yes","No"))</f>
        <v/>
      </c>
      <c r="M127" s="14" t="str">
        <f ca="1">IF(B127="","",COUNTIF(Server_Inventory!$Z:$Z,B127))</f>
        <v/>
      </c>
      <c r="N127" s="14" t="str">
        <f ca="1">IF(B127="","",COUNTIF(Container_Inventory!$L:$L,B127))</f>
        <v/>
      </c>
    </row>
    <row r="128" spans="1:14" x14ac:dyDescent="0.2">
      <c r="A128" s="8" t="str">
        <f ca="1">IFERROR(INDEX(All_Risk_Apps!$A$4:$A$1233,_xludf.aggregate(15,6,(ROW(All_Risk_Apps!$A$4:$A$1233)-ROW(All_Risk_Apps!$A$4)+1)/(All_Risk_Apps!$J$4:$J$1233="Fast Follower")*(All_Risk_Apps!$A$4:$A$1233&lt;&gt;""),125)),"")</f>
        <v/>
      </c>
      <c r="B128" s="8" t="str">
        <f ca="1">IFERROR(INDEX(All_Risk_Apps!$B$4:$B$1233,_xludf.aggregate(15,6,(ROW(All_Risk_Apps!$A$4:$A$1233)-ROW(All_Risk_Apps!$A$4)+1)/(All_Risk_Apps!$J$4:$J$1233="Fast Follower")*(All_Risk_Apps!$A$4:$A$1233&lt;&gt;""),125)),"")</f>
        <v/>
      </c>
      <c r="C128" s="8" t="str">
        <f ca="1">IFERROR(INDEX(All_Risk_Apps!$D$4:$D$1233,_xludf.aggregate(15,6,(ROW(All_Risk_Apps!$A$4:$A$1233)-ROW(All_Risk_Apps!$A$4)+1)/(All_Risk_Apps!$J$4:$J$1233="Fast Follower")*(All_Risk_Apps!$A$4:$A$1233&lt;&gt;""),125)),"")</f>
        <v/>
      </c>
      <c r="D128" s="8" t="str">
        <f ca="1">IFERROR(INDEX(All_Risk_Apps!$C$4:$C$1233,_xludf.aggregate(15,6,(ROW(All_Risk_Apps!$A$4:$A$1233)-ROW(All_Risk_Apps!$A$4)+1)/(All_Risk_Apps!$J$4:$J$1233="Fast Follower")*(All_Risk_Apps!$A$4:$A$1233&lt;&gt;""),125)),"")</f>
        <v/>
      </c>
      <c r="E128" s="8" t="str">
        <f ca="1">IFERROR(INDEX(All_Risk_Apps!$E$4:$E$1233,_xludf.aggregate(15,6,(ROW(All_Risk_Apps!$A$4:$A$1233)-ROW(All_Risk_Apps!$A$4)+1)/(All_Risk_Apps!$J$4:$J$1233="Fast Follower")*(All_Risk_Apps!$A$4:$A$1233&lt;&gt;""),125)),"")</f>
        <v/>
      </c>
      <c r="F128" s="8" t="str">
        <f ca="1">IFERROR(INDEX(All_Risk_Apps!$F$4:$F$1233,_xludf.aggregate(15,6,(ROW(All_Risk_Apps!$A$4:$A$1233)-ROW(All_Risk_Apps!$A$4)+1)/(All_Risk_Apps!$J$4:$J$1233="Fast Follower")*(All_Risk_Apps!$A$4:$A$1233&lt;&gt;""),125)),"")</f>
        <v/>
      </c>
      <c r="G128" s="8" t="str">
        <f ca="1">IFERROR(INDEX(All_Risk_Apps!$I$4:$I$1233,_xludf.aggregate(15,6,(ROW(All_Risk_Apps!$A$4:$A$1233)-ROW(All_Risk_Apps!$A$4)+1)/(All_Risk_Apps!$J$4:$J$1233="Fast Follower")*(All_Risk_Apps!$A$4:$A$1233&lt;&gt;""),125)),"")</f>
        <v/>
      </c>
      <c r="H128" s="8" t="str">
        <f ca="1">IF(B128="","",IFERROR(INDEX(Server_Inventory!$R:$R,MATCH(B128,Server_Inventory!$Z:$Z,0)),"Not Found"))</f>
        <v/>
      </c>
      <c r="I128" s="8" t="str">
        <f ca="1">IF(B128="","",IFERROR(INDEX(Server_Inventory!$S:$S,MATCH(B128,Server_Inventory!$Z:$Z,0)),"Not Found"))</f>
        <v/>
      </c>
      <c r="J128" s="8" t="str">
        <f ca="1">IF(B128="","",COUNTIFS(Server_Inventory!$Z:$Z,B128,Server_Inventory!$P:$P,"R-RETIRED_IN_CMDB"))</f>
        <v/>
      </c>
      <c r="K128" s="8" t="str">
        <f ca="1">IF(B128="","",IFERROR(INDEX(Container_Inventory!$F:$F,MATCH(B128,Container_Inventory!$L:$L,0)),"Not Found"))</f>
        <v/>
      </c>
      <c r="L128" s="8" t="str">
        <f ca="1">IF(B128="","",IF(COUNTIF(Finding_List!$A:$A,B128)&gt;0,"Yes","No"))</f>
        <v/>
      </c>
      <c r="M128" s="8" t="str">
        <f ca="1">IF(B128="","",COUNTIF(Server_Inventory!$Z:$Z,B128))</f>
        <v/>
      </c>
      <c r="N128" s="8" t="str">
        <f ca="1">IF(B128="","",COUNTIF(Container_Inventory!$L:$L,B128))</f>
        <v/>
      </c>
    </row>
    <row r="129" spans="1:14" x14ac:dyDescent="0.2">
      <c r="A129" s="14" t="str">
        <f ca="1">IFERROR(INDEX(All_Risk_Apps!$A$4:$A$1233,_xludf.aggregate(15,6,(ROW(All_Risk_Apps!$A$4:$A$1233)-ROW(All_Risk_Apps!$A$4)+1)/(All_Risk_Apps!$J$4:$J$1233="Fast Follower")*(All_Risk_Apps!$A$4:$A$1233&lt;&gt;""),126)),"")</f>
        <v/>
      </c>
      <c r="B129" s="14" t="str">
        <f ca="1">IFERROR(INDEX(All_Risk_Apps!$B$4:$B$1233,_xludf.aggregate(15,6,(ROW(All_Risk_Apps!$A$4:$A$1233)-ROW(All_Risk_Apps!$A$4)+1)/(All_Risk_Apps!$J$4:$J$1233="Fast Follower")*(All_Risk_Apps!$A$4:$A$1233&lt;&gt;""),126)),"")</f>
        <v/>
      </c>
      <c r="C129" s="14" t="str">
        <f ca="1">IFERROR(INDEX(All_Risk_Apps!$D$4:$D$1233,_xludf.aggregate(15,6,(ROW(All_Risk_Apps!$A$4:$A$1233)-ROW(All_Risk_Apps!$A$4)+1)/(All_Risk_Apps!$J$4:$J$1233="Fast Follower")*(All_Risk_Apps!$A$4:$A$1233&lt;&gt;""),126)),"")</f>
        <v/>
      </c>
      <c r="D129" s="14" t="str">
        <f ca="1">IFERROR(INDEX(All_Risk_Apps!$C$4:$C$1233,_xludf.aggregate(15,6,(ROW(All_Risk_Apps!$A$4:$A$1233)-ROW(All_Risk_Apps!$A$4)+1)/(All_Risk_Apps!$J$4:$J$1233="Fast Follower")*(All_Risk_Apps!$A$4:$A$1233&lt;&gt;""),126)),"")</f>
        <v/>
      </c>
      <c r="E129" s="14" t="str">
        <f ca="1">IFERROR(INDEX(All_Risk_Apps!$E$4:$E$1233,_xludf.aggregate(15,6,(ROW(All_Risk_Apps!$A$4:$A$1233)-ROW(All_Risk_Apps!$A$4)+1)/(All_Risk_Apps!$J$4:$J$1233="Fast Follower")*(All_Risk_Apps!$A$4:$A$1233&lt;&gt;""),126)),"")</f>
        <v/>
      </c>
      <c r="F129" s="14" t="str">
        <f ca="1">IFERROR(INDEX(All_Risk_Apps!$F$4:$F$1233,_xludf.aggregate(15,6,(ROW(All_Risk_Apps!$A$4:$A$1233)-ROW(All_Risk_Apps!$A$4)+1)/(All_Risk_Apps!$J$4:$J$1233="Fast Follower")*(All_Risk_Apps!$A$4:$A$1233&lt;&gt;""),126)),"")</f>
        <v/>
      </c>
      <c r="G129" s="14" t="str">
        <f ca="1">IFERROR(INDEX(All_Risk_Apps!$I$4:$I$1233,_xludf.aggregate(15,6,(ROW(All_Risk_Apps!$A$4:$A$1233)-ROW(All_Risk_Apps!$A$4)+1)/(All_Risk_Apps!$J$4:$J$1233="Fast Follower")*(All_Risk_Apps!$A$4:$A$1233&lt;&gt;""),126)),"")</f>
        <v/>
      </c>
      <c r="H129" s="14" t="str">
        <f ca="1">IF(B129="","",IFERROR(INDEX(Server_Inventory!$R:$R,MATCH(B129,Server_Inventory!$Z:$Z,0)),"Not Found"))</f>
        <v/>
      </c>
      <c r="I129" s="14" t="str">
        <f ca="1">IF(B129="","",IFERROR(INDEX(Server_Inventory!$S:$S,MATCH(B129,Server_Inventory!$Z:$Z,0)),"Not Found"))</f>
        <v/>
      </c>
      <c r="J129" s="14" t="str">
        <f ca="1">IF(B129="","",COUNTIFS(Server_Inventory!$Z:$Z,B129,Server_Inventory!$P:$P,"R-RETIRED_IN_CMDB"))</f>
        <v/>
      </c>
      <c r="K129" s="14" t="str">
        <f ca="1">IF(B129="","",IFERROR(INDEX(Container_Inventory!$F:$F,MATCH(B129,Container_Inventory!$L:$L,0)),"Not Found"))</f>
        <v/>
      </c>
      <c r="L129" s="14" t="str">
        <f ca="1">IF(B129="","",IF(COUNTIF(Finding_List!$A:$A,B129)&gt;0,"Yes","No"))</f>
        <v/>
      </c>
      <c r="M129" s="14" t="str">
        <f ca="1">IF(B129="","",COUNTIF(Server_Inventory!$Z:$Z,B129))</f>
        <v/>
      </c>
      <c r="N129" s="14" t="str">
        <f ca="1">IF(B129="","",COUNTIF(Container_Inventory!$L:$L,B129))</f>
        <v/>
      </c>
    </row>
    <row r="130" spans="1:14" x14ac:dyDescent="0.2">
      <c r="A130" s="8" t="str">
        <f ca="1">IFERROR(INDEX(All_Risk_Apps!$A$4:$A$1233,_xludf.aggregate(15,6,(ROW(All_Risk_Apps!$A$4:$A$1233)-ROW(All_Risk_Apps!$A$4)+1)/(All_Risk_Apps!$J$4:$J$1233="Fast Follower")*(All_Risk_Apps!$A$4:$A$1233&lt;&gt;""),127)),"")</f>
        <v/>
      </c>
      <c r="B130" s="8" t="str">
        <f ca="1">IFERROR(INDEX(All_Risk_Apps!$B$4:$B$1233,_xludf.aggregate(15,6,(ROW(All_Risk_Apps!$A$4:$A$1233)-ROW(All_Risk_Apps!$A$4)+1)/(All_Risk_Apps!$J$4:$J$1233="Fast Follower")*(All_Risk_Apps!$A$4:$A$1233&lt;&gt;""),127)),"")</f>
        <v/>
      </c>
      <c r="C130" s="8" t="str">
        <f ca="1">IFERROR(INDEX(All_Risk_Apps!$D$4:$D$1233,_xludf.aggregate(15,6,(ROW(All_Risk_Apps!$A$4:$A$1233)-ROW(All_Risk_Apps!$A$4)+1)/(All_Risk_Apps!$J$4:$J$1233="Fast Follower")*(All_Risk_Apps!$A$4:$A$1233&lt;&gt;""),127)),"")</f>
        <v/>
      </c>
      <c r="D130" s="8" t="str">
        <f ca="1">IFERROR(INDEX(All_Risk_Apps!$C$4:$C$1233,_xludf.aggregate(15,6,(ROW(All_Risk_Apps!$A$4:$A$1233)-ROW(All_Risk_Apps!$A$4)+1)/(All_Risk_Apps!$J$4:$J$1233="Fast Follower")*(All_Risk_Apps!$A$4:$A$1233&lt;&gt;""),127)),"")</f>
        <v/>
      </c>
      <c r="E130" s="8" t="str">
        <f ca="1">IFERROR(INDEX(All_Risk_Apps!$E$4:$E$1233,_xludf.aggregate(15,6,(ROW(All_Risk_Apps!$A$4:$A$1233)-ROW(All_Risk_Apps!$A$4)+1)/(All_Risk_Apps!$J$4:$J$1233="Fast Follower")*(All_Risk_Apps!$A$4:$A$1233&lt;&gt;""),127)),"")</f>
        <v/>
      </c>
      <c r="F130" s="8" t="str">
        <f ca="1">IFERROR(INDEX(All_Risk_Apps!$F$4:$F$1233,_xludf.aggregate(15,6,(ROW(All_Risk_Apps!$A$4:$A$1233)-ROW(All_Risk_Apps!$A$4)+1)/(All_Risk_Apps!$J$4:$J$1233="Fast Follower")*(All_Risk_Apps!$A$4:$A$1233&lt;&gt;""),127)),"")</f>
        <v/>
      </c>
      <c r="G130" s="8" t="str">
        <f ca="1">IFERROR(INDEX(All_Risk_Apps!$I$4:$I$1233,_xludf.aggregate(15,6,(ROW(All_Risk_Apps!$A$4:$A$1233)-ROW(All_Risk_Apps!$A$4)+1)/(All_Risk_Apps!$J$4:$J$1233="Fast Follower")*(All_Risk_Apps!$A$4:$A$1233&lt;&gt;""),127)),"")</f>
        <v/>
      </c>
      <c r="H130" s="8" t="str">
        <f ca="1">IF(B130="","",IFERROR(INDEX(Server_Inventory!$R:$R,MATCH(B130,Server_Inventory!$Z:$Z,0)),"Not Found"))</f>
        <v/>
      </c>
      <c r="I130" s="8" t="str">
        <f ca="1">IF(B130="","",IFERROR(INDEX(Server_Inventory!$S:$S,MATCH(B130,Server_Inventory!$Z:$Z,0)),"Not Found"))</f>
        <v/>
      </c>
      <c r="J130" s="8" t="str">
        <f ca="1">IF(B130="","",COUNTIFS(Server_Inventory!$Z:$Z,B130,Server_Inventory!$P:$P,"R-RETIRED_IN_CMDB"))</f>
        <v/>
      </c>
      <c r="K130" s="8" t="str">
        <f ca="1">IF(B130="","",IFERROR(INDEX(Container_Inventory!$F:$F,MATCH(B130,Container_Inventory!$L:$L,0)),"Not Found"))</f>
        <v/>
      </c>
      <c r="L130" s="8" t="str">
        <f ca="1">IF(B130="","",IF(COUNTIF(Finding_List!$A:$A,B130)&gt;0,"Yes","No"))</f>
        <v/>
      </c>
      <c r="M130" s="8" t="str">
        <f ca="1">IF(B130="","",COUNTIF(Server_Inventory!$Z:$Z,B130))</f>
        <v/>
      </c>
      <c r="N130" s="8" t="str">
        <f ca="1">IF(B130="","",COUNTIF(Container_Inventory!$L:$L,B130))</f>
        <v/>
      </c>
    </row>
    <row r="131" spans="1:14" x14ac:dyDescent="0.2">
      <c r="A131" s="14" t="str">
        <f ca="1">IFERROR(INDEX(All_Risk_Apps!$A$4:$A$1233,_xludf.aggregate(15,6,(ROW(All_Risk_Apps!$A$4:$A$1233)-ROW(All_Risk_Apps!$A$4)+1)/(All_Risk_Apps!$J$4:$J$1233="Fast Follower")*(All_Risk_Apps!$A$4:$A$1233&lt;&gt;""),128)),"")</f>
        <v/>
      </c>
      <c r="B131" s="14" t="str">
        <f ca="1">IFERROR(INDEX(All_Risk_Apps!$B$4:$B$1233,_xludf.aggregate(15,6,(ROW(All_Risk_Apps!$A$4:$A$1233)-ROW(All_Risk_Apps!$A$4)+1)/(All_Risk_Apps!$J$4:$J$1233="Fast Follower")*(All_Risk_Apps!$A$4:$A$1233&lt;&gt;""),128)),"")</f>
        <v/>
      </c>
      <c r="C131" s="14" t="str">
        <f ca="1">IFERROR(INDEX(All_Risk_Apps!$D$4:$D$1233,_xludf.aggregate(15,6,(ROW(All_Risk_Apps!$A$4:$A$1233)-ROW(All_Risk_Apps!$A$4)+1)/(All_Risk_Apps!$J$4:$J$1233="Fast Follower")*(All_Risk_Apps!$A$4:$A$1233&lt;&gt;""),128)),"")</f>
        <v/>
      </c>
      <c r="D131" s="14" t="str">
        <f ca="1">IFERROR(INDEX(All_Risk_Apps!$C$4:$C$1233,_xludf.aggregate(15,6,(ROW(All_Risk_Apps!$A$4:$A$1233)-ROW(All_Risk_Apps!$A$4)+1)/(All_Risk_Apps!$J$4:$J$1233="Fast Follower")*(All_Risk_Apps!$A$4:$A$1233&lt;&gt;""),128)),"")</f>
        <v/>
      </c>
      <c r="E131" s="14" t="str">
        <f ca="1">IFERROR(INDEX(All_Risk_Apps!$E$4:$E$1233,_xludf.aggregate(15,6,(ROW(All_Risk_Apps!$A$4:$A$1233)-ROW(All_Risk_Apps!$A$4)+1)/(All_Risk_Apps!$J$4:$J$1233="Fast Follower")*(All_Risk_Apps!$A$4:$A$1233&lt;&gt;""),128)),"")</f>
        <v/>
      </c>
      <c r="F131" s="14" t="str">
        <f ca="1">IFERROR(INDEX(All_Risk_Apps!$F$4:$F$1233,_xludf.aggregate(15,6,(ROW(All_Risk_Apps!$A$4:$A$1233)-ROW(All_Risk_Apps!$A$4)+1)/(All_Risk_Apps!$J$4:$J$1233="Fast Follower")*(All_Risk_Apps!$A$4:$A$1233&lt;&gt;""),128)),"")</f>
        <v/>
      </c>
      <c r="G131" s="14" t="str">
        <f ca="1">IFERROR(INDEX(All_Risk_Apps!$I$4:$I$1233,_xludf.aggregate(15,6,(ROW(All_Risk_Apps!$A$4:$A$1233)-ROW(All_Risk_Apps!$A$4)+1)/(All_Risk_Apps!$J$4:$J$1233="Fast Follower")*(All_Risk_Apps!$A$4:$A$1233&lt;&gt;""),128)),"")</f>
        <v/>
      </c>
      <c r="H131" s="14" t="str">
        <f ca="1">IF(B131="","",IFERROR(INDEX(Server_Inventory!$R:$R,MATCH(B131,Server_Inventory!$Z:$Z,0)),"Not Found"))</f>
        <v/>
      </c>
      <c r="I131" s="14" t="str">
        <f ca="1">IF(B131="","",IFERROR(INDEX(Server_Inventory!$S:$S,MATCH(B131,Server_Inventory!$Z:$Z,0)),"Not Found"))</f>
        <v/>
      </c>
      <c r="J131" s="14" t="str">
        <f ca="1">IF(B131="","",COUNTIFS(Server_Inventory!$Z:$Z,B131,Server_Inventory!$P:$P,"R-RETIRED_IN_CMDB"))</f>
        <v/>
      </c>
      <c r="K131" s="14" t="str">
        <f ca="1">IF(B131="","",IFERROR(INDEX(Container_Inventory!$F:$F,MATCH(B131,Container_Inventory!$L:$L,0)),"Not Found"))</f>
        <v/>
      </c>
      <c r="L131" s="14" t="str">
        <f ca="1">IF(B131="","",IF(COUNTIF(Finding_List!$A:$A,B131)&gt;0,"Yes","No"))</f>
        <v/>
      </c>
      <c r="M131" s="14" t="str">
        <f ca="1">IF(B131="","",COUNTIF(Server_Inventory!$Z:$Z,B131))</f>
        <v/>
      </c>
      <c r="N131" s="14" t="str">
        <f ca="1">IF(B131="","",COUNTIF(Container_Inventory!$L:$L,B131))</f>
        <v/>
      </c>
    </row>
    <row r="132" spans="1:14" x14ac:dyDescent="0.2">
      <c r="A132" s="8" t="str">
        <f ca="1">IFERROR(INDEX(All_Risk_Apps!$A$4:$A$1233,_xludf.aggregate(15,6,(ROW(All_Risk_Apps!$A$4:$A$1233)-ROW(All_Risk_Apps!$A$4)+1)/(All_Risk_Apps!$J$4:$J$1233="Fast Follower")*(All_Risk_Apps!$A$4:$A$1233&lt;&gt;""),129)),"")</f>
        <v/>
      </c>
      <c r="B132" s="8" t="str">
        <f ca="1">IFERROR(INDEX(All_Risk_Apps!$B$4:$B$1233,_xludf.aggregate(15,6,(ROW(All_Risk_Apps!$A$4:$A$1233)-ROW(All_Risk_Apps!$A$4)+1)/(All_Risk_Apps!$J$4:$J$1233="Fast Follower")*(All_Risk_Apps!$A$4:$A$1233&lt;&gt;""),129)),"")</f>
        <v/>
      </c>
      <c r="C132" s="8" t="str">
        <f ca="1">IFERROR(INDEX(All_Risk_Apps!$D$4:$D$1233,_xludf.aggregate(15,6,(ROW(All_Risk_Apps!$A$4:$A$1233)-ROW(All_Risk_Apps!$A$4)+1)/(All_Risk_Apps!$J$4:$J$1233="Fast Follower")*(All_Risk_Apps!$A$4:$A$1233&lt;&gt;""),129)),"")</f>
        <v/>
      </c>
      <c r="D132" s="8" t="str">
        <f ca="1">IFERROR(INDEX(All_Risk_Apps!$C$4:$C$1233,_xludf.aggregate(15,6,(ROW(All_Risk_Apps!$A$4:$A$1233)-ROW(All_Risk_Apps!$A$4)+1)/(All_Risk_Apps!$J$4:$J$1233="Fast Follower")*(All_Risk_Apps!$A$4:$A$1233&lt;&gt;""),129)),"")</f>
        <v/>
      </c>
      <c r="E132" s="8" t="str">
        <f ca="1">IFERROR(INDEX(All_Risk_Apps!$E$4:$E$1233,_xludf.aggregate(15,6,(ROW(All_Risk_Apps!$A$4:$A$1233)-ROW(All_Risk_Apps!$A$4)+1)/(All_Risk_Apps!$J$4:$J$1233="Fast Follower")*(All_Risk_Apps!$A$4:$A$1233&lt;&gt;""),129)),"")</f>
        <v/>
      </c>
      <c r="F132" s="8" t="str">
        <f ca="1">IFERROR(INDEX(All_Risk_Apps!$F$4:$F$1233,_xludf.aggregate(15,6,(ROW(All_Risk_Apps!$A$4:$A$1233)-ROW(All_Risk_Apps!$A$4)+1)/(All_Risk_Apps!$J$4:$J$1233="Fast Follower")*(All_Risk_Apps!$A$4:$A$1233&lt;&gt;""),129)),"")</f>
        <v/>
      </c>
      <c r="G132" s="8" t="str">
        <f ca="1">IFERROR(INDEX(All_Risk_Apps!$I$4:$I$1233,_xludf.aggregate(15,6,(ROW(All_Risk_Apps!$A$4:$A$1233)-ROW(All_Risk_Apps!$A$4)+1)/(All_Risk_Apps!$J$4:$J$1233="Fast Follower")*(All_Risk_Apps!$A$4:$A$1233&lt;&gt;""),129)),"")</f>
        <v/>
      </c>
      <c r="H132" s="8" t="str">
        <f ca="1">IF(B132="","",IFERROR(INDEX(Server_Inventory!$R:$R,MATCH(B132,Server_Inventory!$Z:$Z,0)),"Not Found"))</f>
        <v/>
      </c>
      <c r="I132" s="8" t="str">
        <f ca="1">IF(B132="","",IFERROR(INDEX(Server_Inventory!$S:$S,MATCH(B132,Server_Inventory!$Z:$Z,0)),"Not Found"))</f>
        <v/>
      </c>
      <c r="J132" s="8" t="str">
        <f ca="1">IF(B132="","",COUNTIFS(Server_Inventory!$Z:$Z,B132,Server_Inventory!$P:$P,"R-RETIRED_IN_CMDB"))</f>
        <v/>
      </c>
      <c r="K132" s="8" t="str">
        <f ca="1">IF(B132="","",IFERROR(INDEX(Container_Inventory!$F:$F,MATCH(B132,Container_Inventory!$L:$L,0)),"Not Found"))</f>
        <v/>
      </c>
      <c r="L132" s="8" t="str">
        <f ca="1">IF(B132="","",IF(COUNTIF(Finding_List!$A:$A,B132)&gt;0,"Yes","No"))</f>
        <v/>
      </c>
      <c r="M132" s="8" t="str">
        <f ca="1">IF(B132="","",COUNTIF(Server_Inventory!$Z:$Z,B132))</f>
        <v/>
      </c>
      <c r="N132" s="8" t="str">
        <f ca="1">IF(B132="","",COUNTIF(Container_Inventory!$L:$L,B132))</f>
        <v/>
      </c>
    </row>
    <row r="133" spans="1:14" x14ac:dyDescent="0.2">
      <c r="A133" s="14" t="str">
        <f ca="1">IFERROR(INDEX(All_Risk_Apps!$A$4:$A$1233,_xludf.aggregate(15,6,(ROW(All_Risk_Apps!$A$4:$A$1233)-ROW(All_Risk_Apps!$A$4)+1)/(All_Risk_Apps!$J$4:$J$1233="Fast Follower")*(All_Risk_Apps!$A$4:$A$1233&lt;&gt;""),130)),"")</f>
        <v/>
      </c>
      <c r="B133" s="14" t="str">
        <f ca="1">IFERROR(INDEX(All_Risk_Apps!$B$4:$B$1233,_xludf.aggregate(15,6,(ROW(All_Risk_Apps!$A$4:$A$1233)-ROW(All_Risk_Apps!$A$4)+1)/(All_Risk_Apps!$J$4:$J$1233="Fast Follower")*(All_Risk_Apps!$A$4:$A$1233&lt;&gt;""),130)),"")</f>
        <v/>
      </c>
      <c r="C133" s="14" t="str">
        <f ca="1">IFERROR(INDEX(All_Risk_Apps!$D$4:$D$1233,_xludf.aggregate(15,6,(ROW(All_Risk_Apps!$A$4:$A$1233)-ROW(All_Risk_Apps!$A$4)+1)/(All_Risk_Apps!$J$4:$J$1233="Fast Follower")*(All_Risk_Apps!$A$4:$A$1233&lt;&gt;""),130)),"")</f>
        <v/>
      </c>
      <c r="D133" s="14" t="str">
        <f ca="1">IFERROR(INDEX(All_Risk_Apps!$C$4:$C$1233,_xludf.aggregate(15,6,(ROW(All_Risk_Apps!$A$4:$A$1233)-ROW(All_Risk_Apps!$A$4)+1)/(All_Risk_Apps!$J$4:$J$1233="Fast Follower")*(All_Risk_Apps!$A$4:$A$1233&lt;&gt;""),130)),"")</f>
        <v/>
      </c>
      <c r="E133" s="14" t="str">
        <f ca="1">IFERROR(INDEX(All_Risk_Apps!$E$4:$E$1233,_xludf.aggregate(15,6,(ROW(All_Risk_Apps!$A$4:$A$1233)-ROW(All_Risk_Apps!$A$4)+1)/(All_Risk_Apps!$J$4:$J$1233="Fast Follower")*(All_Risk_Apps!$A$4:$A$1233&lt;&gt;""),130)),"")</f>
        <v/>
      </c>
      <c r="F133" s="14" t="str">
        <f ca="1">IFERROR(INDEX(All_Risk_Apps!$F$4:$F$1233,_xludf.aggregate(15,6,(ROW(All_Risk_Apps!$A$4:$A$1233)-ROW(All_Risk_Apps!$A$4)+1)/(All_Risk_Apps!$J$4:$J$1233="Fast Follower")*(All_Risk_Apps!$A$4:$A$1233&lt;&gt;""),130)),"")</f>
        <v/>
      </c>
      <c r="G133" s="14" t="str">
        <f ca="1">IFERROR(INDEX(All_Risk_Apps!$I$4:$I$1233,_xludf.aggregate(15,6,(ROW(All_Risk_Apps!$A$4:$A$1233)-ROW(All_Risk_Apps!$A$4)+1)/(All_Risk_Apps!$J$4:$J$1233="Fast Follower")*(All_Risk_Apps!$A$4:$A$1233&lt;&gt;""),130)),"")</f>
        <v/>
      </c>
      <c r="H133" s="14" t="str">
        <f ca="1">IF(B133="","",IFERROR(INDEX(Server_Inventory!$R:$R,MATCH(B133,Server_Inventory!$Z:$Z,0)),"Not Found"))</f>
        <v/>
      </c>
      <c r="I133" s="14" t="str">
        <f ca="1">IF(B133="","",IFERROR(INDEX(Server_Inventory!$S:$S,MATCH(B133,Server_Inventory!$Z:$Z,0)),"Not Found"))</f>
        <v/>
      </c>
      <c r="J133" s="14" t="str">
        <f ca="1">IF(B133="","",COUNTIFS(Server_Inventory!$Z:$Z,B133,Server_Inventory!$P:$P,"R-RETIRED_IN_CMDB"))</f>
        <v/>
      </c>
      <c r="K133" s="14" t="str">
        <f ca="1">IF(B133="","",IFERROR(INDEX(Container_Inventory!$F:$F,MATCH(B133,Container_Inventory!$L:$L,0)),"Not Found"))</f>
        <v/>
      </c>
      <c r="L133" s="14" t="str">
        <f ca="1">IF(B133="","",IF(COUNTIF(Finding_List!$A:$A,B133)&gt;0,"Yes","No"))</f>
        <v/>
      </c>
      <c r="M133" s="14" t="str">
        <f ca="1">IF(B133="","",COUNTIF(Server_Inventory!$Z:$Z,B133))</f>
        <v/>
      </c>
      <c r="N133" s="14" t="str">
        <f ca="1">IF(B133="","",COUNTIF(Container_Inventory!$L:$L,B133))</f>
        <v/>
      </c>
    </row>
    <row r="134" spans="1:14" x14ac:dyDescent="0.2">
      <c r="A134" s="8" t="str">
        <f ca="1">IFERROR(INDEX(All_Risk_Apps!$A$4:$A$1233,_xludf.aggregate(15,6,(ROW(All_Risk_Apps!$A$4:$A$1233)-ROW(All_Risk_Apps!$A$4)+1)/(All_Risk_Apps!$J$4:$J$1233="Fast Follower")*(All_Risk_Apps!$A$4:$A$1233&lt;&gt;""),131)),"")</f>
        <v/>
      </c>
      <c r="B134" s="8" t="str">
        <f ca="1">IFERROR(INDEX(All_Risk_Apps!$B$4:$B$1233,_xludf.aggregate(15,6,(ROW(All_Risk_Apps!$A$4:$A$1233)-ROW(All_Risk_Apps!$A$4)+1)/(All_Risk_Apps!$J$4:$J$1233="Fast Follower")*(All_Risk_Apps!$A$4:$A$1233&lt;&gt;""),131)),"")</f>
        <v/>
      </c>
      <c r="C134" s="8" t="str">
        <f ca="1">IFERROR(INDEX(All_Risk_Apps!$D$4:$D$1233,_xludf.aggregate(15,6,(ROW(All_Risk_Apps!$A$4:$A$1233)-ROW(All_Risk_Apps!$A$4)+1)/(All_Risk_Apps!$J$4:$J$1233="Fast Follower")*(All_Risk_Apps!$A$4:$A$1233&lt;&gt;""),131)),"")</f>
        <v/>
      </c>
      <c r="D134" s="8" t="str">
        <f ca="1">IFERROR(INDEX(All_Risk_Apps!$C$4:$C$1233,_xludf.aggregate(15,6,(ROW(All_Risk_Apps!$A$4:$A$1233)-ROW(All_Risk_Apps!$A$4)+1)/(All_Risk_Apps!$J$4:$J$1233="Fast Follower")*(All_Risk_Apps!$A$4:$A$1233&lt;&gt;""),131)),"")</f>
        <v/>
      </c>
      <c r="E134" s="8" t="str">
        <f ca="1">IFERROR(INDEX(All_Risk_Apps!$E$4:$E$1233,_xludf.aggregate(15,6,(ROW(All_Risk_Apps!$A$4:$A$1233)-ROW(All_Risk_Apps!$A$4)+1)/(All_Risk_Apps!$J$4:$J$1233="Fast Follower")*(All_Risk_Apps!$A$4:$A$1233&lt;&gt;""),131)),"")</f>
        <v/>
      </c>
      <c r="F134" s="8" t="str">
        <f ca="1">IFERROR(INDEX(All_Risk_Apps!$F$4:$F$1233,_xludf.aggregate(15,6,(ROW(All_Risk_Apps!$A$4:$A$1233)-ROW(All_Risk_Apps!$A$4)+1)/(All_Risk_Apps!$J$4:$J$1233="Fast Follower")*(All_Risk_Apps!$A$4:$A$1233&lt;&gt;""),131)),"")</f>
        <v/>
      </c>
      <c r="G134" s="8" t="str">
        <f ca="1">IFERROR(INDEX(All_Risk_Apps!$I$4:$I$1233,_xludf.aggregate(15,6,(ROW(All_Risk_Apps!$A$4:$A$1233)-ROW(All_Risk_Apps!$A$4)+1)/(All_Risk_Apps!$J$4:$J$1233="Fast Follower")*(All_Risk_Apps!$A$4:$A$1233&lt;&gt;""),131)),"")</f>
        <v/>
      </c>
      <c r="H134" s="8" t="str">
        <f ca="1">IF(B134="","",IFERROR(INDEX(Server_Inventory!$R:$R,MATCH(B134,Server_Inventory!$Z:$Z,0)),"Not Found"))</f>
        <v/>
      </c>
      <c r="I134" s="8" t="str">
        <f ca="1">IF(B134="","",IFERROR(INDEX(Server_Inventory!$S:$S,MATCH(B134,Server_Inventory!$Z:$Z,0)),"Not Found"))</f>
        <v/>
      </c>
      <c r="J134" s="8" t="str">
        <f ca="1">IF(B134="","",COUNTIFS(Server_Inventory!$Z:$Z,B134,Server_Inventory!$P:$P,"R-RETIRED_IN_CMDB"))</f>
        <v/>
      </c>
      <c r="K134" s="8" t="str">
        <f ca="1">IF(B134="","",IFERROR(INDEX(Container_Inventory!$F:$F,MATCH(B134,Container_Inventory!$L:$L,0)),"Not Found"))</f>
        <v/>
      </c>
      <c r="L134" s="8" t="str">
        <f ca="1">IF(B134="","",IF(COUNTIF(Finding_List!$A:$A,B134)&gt;0,"Yes","No"))</f>
        <v/>
      </c>
      <c r="M134" s="8" t="str">
        <f ca="1">IF(B134="","",COUNTIF(Server_Inventory!$Z:$Z,B134))</f>
        <v/>
      </c>
      <c r="N134" s="8" t="str">
        <f ca="1">IF(B134="","",COUNTIF(Container_Inventory!$L:$L,B134))</f>
        <v/>
      </c>
    </row>
    <row r="135" spans="1:14" x14ac:dyDescent="0.2">
      <c r="A135" s="14" t="str">
        <f ca="1">IFERROR(INDEX(All_Risk_Apps!$A$4:$A$1233,_xludf.aggregate(15,6,(ROW(All_Risk_Apps!$A$4:$A$1233)-ROW(All_Risk_Apps!$A$4)+1)/(All_Risk_Apps!$J$4:$J$1233="Fast Follower")*(All_Risk_Apps!$A$4:$A$1233&lt;&gt;""),132)),"")</f>
        <v/>
      </c>
      <c r="B135" s="14" t="str">
        <f ca="1">IFERROR(INDEX(All_Risk_Apps!$B$4:$B$1233,_xludf.aggregate(15,6,(ROW(All_Risk_Apps!$A$4:$A$1233)-ROW(All_Risk_Apps!$A$4)+1)/(All_Risk_Apps!$J$4:$J$1233="Fast Follower")*(All_Risk_Apps!$A$4:$A$1233&lt;&gt;""),132)),"")</f>
        <v/>
      </c>
      <c r="C135" s="14" t="str">
        <f ca="1">IFERROR(INDEX(All_Risk_Apps!$D$4:$D$1233,_xludf.aggregate(15,6,(ROW(All_Risk_Apps!$A$4:$A$1233)-ROW(All_Risk_Apps!$A$4)+1)/(All_Risk_Apps!$J$4:$J$1233="Fast Follower")*(All_Risk_Apps!$A$4:$A$1233&lt;&gt;""),132)),"")</f>
        <v/>
      </c>
      <c r="D135" s="14" t="str">
        <f ca="1">IFERROR(INDEX(All_Risk_Apps!$C$4:$C$1233,_xludf.aggregate(15,6,(ROW(All_Risk_Apps!$A$4:$A$1233)-ROW(All_Risk_Apps!$A$4)+1)/(All_Risk_Apps!$J$4:$J$1233="Fast Follower")*(All_Risk_Apps!$A$4:$A$1233&lt;&gt;""),132)),"")</f>
        <v/>
      </c>
      <c r="E135" s="14" t="str">
        <f ca="1">IFERROR(INDEX(All_Risk_Apps!$E$4:$E$1233,_xludf.aggregate(15,6,(ROW(All_Risk_Apps!$A$4:$A$1233)-ROW(All_Risk_Apps!$A$4)+1)/(All_Risk_Apps!$J$4:$J$1233="Fast Follower")*(All_Risk_Apps!$A$4:$A$1233&lt;&gt;""),132)),"")</f>
        <v/>
      </c>
      <c r="F135" s="14" t="str">
        <f ca="1">IFERROR(INDEX(All_Risk_Apps!$F$4:$F$1233,_xludf.aggregate(15,6,(ROW(All_Risk_Apps!$A$4:$A$1233)-ROW(All_Risk_Apps!$A$4)+1)/(All_Risk_Apps!$J$4:$J$1233="Fast Follower")*(All_Risk_Apps!$A$4:$A$1233&lt;&gt;""),132)),"")</f>
        <v/>
      </c>
      <c r="G135" s="14" t="str">
        <f ca="1">IFERROR(INDEX(All_Risk_Apps!$I$4:$I$1233,_xludf.aggregate(15,6,(ROW(All_Risk_Apps!$A$4:$A$1233)-ROW(All_Risk_Apps!$A$4)+1)/(All_Risk_Apps!$J$4:$J$1233="Fast Follower")*(All_Risk_Apps!$A$4:$A$1233&lt;&gt;""),132)),"")</f>
        <v/>
      </c>
      <c r="H135" s="14" t="str">
        <f ca="1">IF(B135="","",IFERROR(INDEX(Server_Inventory!$R:$R,MATCH(B135,Server_Inventory!$Z:$Z,0)),"Not Found"))</f>
        <v/>
      </c>
      <c r="I135" s="14" t="str">
        <f ca="1">IF(B135="","",IFERROR(INDEX(Server_Inventory!$S:$S,MATCH(B135,Server_Inventory!$Z:$Z,0)),"Not Found"))</f>
        <v/>
      </c>
      <c r="J135" s="14" t="str">
        <f ca="1">IF(B135="","",COUNTIFS(Server_Inventory!$Z:$Z,B135,Server_Inventory!$P:$P,"R-RETIRED_IN_CMDB"))</f>
        <v/>
      </c>
      <c r="K135" s="14" t="str">
        <f ca="1">IF(B135="","",IFERROR(INDEX(Container_Inventory!$F:$F,MATCH(B135,Container_Inventory!$L:$L,0)),"Not Found"))</f>
        <v/>
      </c>
      <c r="L135" s="14" t="str">
        <f ca="1">IF(B135="","",IF(COUNTIF(Finding_List!$A:$A,B135)&gt;0,"Yes","No"))</f>
        <v/>
      </c>
      <c r="M135" s="14" t="str">
        <f ca="1">IF(B135="","",COUNTIF(Server_Inventory!$Z:$Z,B135))</f>
        <v/>
      </c>
      <c r="N135" s="14" t="str">
        <f ca="1">IF(B135="","",COUNTIF(Container_Inventory!$L:$L,B135))</f>
        <v/>
      </c>
    </row>
    <row r="136" spans="1:14" x14ac:dyDescent="0.2">
      <c r="A136" s="8" t="str">
        <f ca="1">IFERROR(INDEX(All_Risk_Apps!$A$4:$A$1233,_xludf.aggregate(15,6,(ROW(All_Risk_Apps!$A$4:$A$1233)-ROW(All_Risk_Apps!$A$4)+1)/(All_Risk_Apps!$J$4:$J$1233="Fast Follower")*(All_Risk_Apps!$A$4:$A$1233&lt;&gt;""),133)),"")</f>
        <v/>
      </c>
      <c r="B136" s="8" t="str">
        <f ca="1">IFERROR(INDEX(All_Risk_Apps!$B$4:$B$1233,_xludf.aggregate(15,6,(ROW(All_Risk_Apps!$A$4:$A$1233)-ROW(All_Risk_Apps!$A$4)+1)/(All_Risk_Apps!$J$4:$J$1233="Fast Follower")*(All_Risk_Apps!$A$4:$A$1233&lt;&gt;""),133)),"")</f>
        <v/>
      </c>
      <c r="C136" s="8" t="str">
        <f ca="1">IFERROR(INDEX(All_Risk_Apps!$D$4:$D$1233,_xludf.aggregate(15,6,(ROW(All_Risk_Apps!$A$4:$A$1233)-ROW(All_Risk_Apps!$A$4)+1)/(All_Risk_Apps!$J$4:$J$1233="Fast Follower")*(All_Risk_Apps!$A$4:$A$1233&lt;&gt;""),133)),"")</f>
        <v/>
      </c>
      <c r="D136" s="8" t="str">
        <f ca="1">IFERROR(INDEX(All_Risk_Apps!$C$4:$C$1233,_xludf.aggregate(15,6,(ROW(All_Risk_Apps!$A$4:$A$1233)-ROW(All_Risk_Apps!$A$4)+1)/(All_Risk_Apps!$J$4:$J$1233="Fast Follower")*(All_Risk_Apps!$A$4:$A$1233&lt;&gt;""),133)),"")</f>
        <v/>
      </c>
      <c r="E136" s="8" t="str">
        <f ca="1">IFERROR(INDEX(All_Risk_Apps!$E$4:$E$1233,_xludf.aggregate(15,6,(ROW(All_Risk_Apps!$A$4:$A$1233)-ROW(All_Risk_Apps!$A$4)+1)/(All_Risk_Apps!$J$4:$J$1233="Fast Follower")*(All_Risk_Apps!$A$4:$A$1233&lt;&gt;""),133)),"")</f>
        <v/>
      </c>
      <c r="F136" s="8" t="str">
        <f ca="1">IFERROR(INDEX(All_Risk_Apps!$F$4:$F$1233,_xludf.aggregate(15,6,(ROW(All_Risk_Apps!$A$4:$A$1233)-ROW(All_Risk_Apps!$A$4)+1)/(All_Risk_Apps!$J$4:$J$1233="Fast Follower")*(All_Risk_Apps!$A$4:$A$1233&lt;&gt;""),133)),"")</f>
        <v/>
      </c>
      <c r="G136" s="8" t="str">
        <f ca="1">IFERROR(INDEX(All_Risk_Apps!$I$4:$I$1233,_xludf.aggregate(15,6,(ROW(All_Risk_Apps!$A$4:$A$1233)-ROW(All_Risk_Apps!$A$4)+1)/(All_Risk_Apps!$J$4:$J$1233="Fast Follower")*(All_Risk_Apps!$A$4:$A$1233&lt;&gt;""),133)),"")</f>
        <v/>
      </c>
      <c r="H136" s="8" t="str">
        <f ca="1">IF(B136="","",IFERROR(INDEX(Server_Inventory!$R:$R,MATCH(B136,Server_Inventory!$Z:$Z,0)),"Not Found"))</f>
        <v/>
      </c>
      <c r="I136" s="8" t="str">
        <f ca="1">IF(B136="","",IFERROR(INDEX(Server_Inventory!$S:$S,MATCH(B136,Server_Inventory!$Z:$Z,0)),"Not Found"))</f>
        <v/>
      </c>
      <c r="J136" s="8" t="str">
        <f ca="1">IF(B136="","",COUNTIFS(Server_Inventory!$Z:$Z,B136,Server_Inventory!$P:$P,"R-RETIRED_IN_CMDB"))</f>
        <v/>
      </c>
      <c r="K136" s="8" t="str">
        <f ca="1">IF(B136="","",IFERROR(INDEX(Container_Inventory!$F:$F,MATCH(B136,Container_Inventory!$L:$L,0)),"Not Found"))</f>
        <v/>
      </c>
      <c r="L136" s="8" t="str">
        <f ca="1">IF(B136="","",IF(COUNTIF(Finding_List!$A:$A,B136)&gt;0,"Yes","No"))</f>
        <v/>
      </c>
      <c r="M136" s="8" t="str">
        <f ca="1">IF(B136="","",COUNTIF(Server_Inventory!$Z:$Z,B136))</f>
        <v/>
      </c>
      <c r="N136" s="8" t="str">
        <f ca="1">IF(B136="","",COUNTIF(Container_Inventory!$L:$L,B136))</f>
        <v/>
      </c>
    </row>
    <row r="137" spans="1:14" x14ac:dyDescent="0.2">
      <c r="A137" s="14" t="str">
        <f ca="1">IFERROR(INDEX(All_Risk_Apps!$A$4:$A$1233,_xludf.aggregate(15,6,(ROW(All_Risk_Apps!$A$4:$A$1233)-ROW(All_Risk_Apps!$A$4)+1)/(All_Risk_Apps!$J$4:$J$1233="Fast Follower")*(All_Risk_Apps!$A$4:$A$1233&lt;&gt;""),134)),"")</f>
        <v/>
      </c>
      <c r="B137" s="14" t="str">
        <f ca="1">IFERROR(INDEX(All_Risk_Apps!$B$4:$B$1233,_xludf.aggregate(15,6,(ROW(All_Risk_Apps!$A$4:$A$1233)-ROW(All_Risk_Apps!$A$4)+1)/(All_Risk_Apps!$J$4:$J$1233="Fast Follower")*(All_Risk_Apps!$A$4:$A$1233&lt;&gt;""),134)),"")</f>
        <v/>
      </c>
      <c r="C137" s="14" t="str">
        <f ca="1">IFERROR(INDEX(All_Risk_Apps!$D$4:$D$1233,_xludf.aggregate(15,6,(ROW(All_Risk_Apps!$A$4:$A$1233)-ROW(All_Risk_Apps!$A$4)+1)/(All_Risk_Apps!$J$4:$J$1233="Fast Follower")*(All_Risk_Apps!$A$4:$A$1233&lt;&gt;""),134)),"")</f>
        <v/>
      </c>
      <c r="D137" s="14" t="str">
        <f ca="1">IFERROR(INDEX(All_Risk_Apps!$C$4:$C$1233,_xludf.aggregate(15,6,(ROW(All_Risk_Apps!$A$4:$A$1233)-ROW(All_Risk_Apps!$A$4)+1)/(All_Risk_Apps!$J$4:$J$1233="Fast Follower")*(All_Risk_Apps!$A$4:$A$1233&lt;&gt;""),134)),"")</f>
        <v/>
      </c>
      <c r="E137" s="14" t="str">
        <f ca="1">IFERROR(INDEX(All_Risk_Apps!$E$4:$E$1233,_xludf.aggregate(15,6,(ROW(All_Risk_Apps!$A$4:$A$1233)-ROW(All_Risk_Apps!$A$4)+1)/(All_Risk_Apps!$J$4:$J$1233="Fast Follower")*(All_Risk_Apps!$A$4:$A$1233&lt;&gt;""),134)),"")</f>
        <v/>
      </c>
      <c r="F137" s="14" t="str">
        <f ca="1">IFERROR(INDEX(All_Risk_Apps!$F$4:$F$1233,_xludf.aggregate(15,6,(ROW(All_Risk_Apps!$A$4:$A$1233)-ROW(All_Risk_Apps!$A$4)+1)/(All_Risk_Apps!$J$4:$J$1233="Fast Follower")*(All_Risk_Apps!$A$4:$A$1233&lt;&gt;""),134)),"")</f>
        <v/>
      </c>
      <c r="G137" s="14" t="str">
        <f ca="1">IFERROR(INDEX(All_Risk_Apps!$I$4:$I$1233,_xludf.aggregate(15,6,(ROW(All_Risk_Apps!$A$4:$A$1233)-ROW(All_Risk_Apps!$A$4)+1)/(All_Risk_Apps!$J$4:$J$1233="Fast Follower")*(All_Risk_Apps!$A$4:$A$1233&lt;&gt;""),134)),"")</f>
        <v/>
      </c>
      <c r="H137" s="14" t="str">
        <f ca="1">IF(B137="","",IFERROR(INDEX(Server_Inventory!$R:$R,MATCH(B137,Server_Inventory!$Z:$Z,0)),"Not Found"))</f>
        <v/>
      </c>
      <c r="I137" s="14" t="str">
        <f ca="1">IF(B137="","",IFERROR(INDEX(Server_Inventory!$S:$S,MATCH(B137,Server_Inventory!$Z:$Z,0)),"Not Found"))</f>
        <v/>
      </c>
      <c r="J137" s="14" t="str">
        <f ca="1">IF(B137="","",COUNTIFS(Server_Inventory!$Z:$Z,B137,Server_Inventory!$P:$P,"R-RETIRED_IN_CMDB"))</f>
        <v/>
      </c>
      <c r="K137" s="14" t="str">
        <f ca="1">IF(B137="","",IFERROR(INDEX(Container_Inventory!$F:$F,MATCH(B137,Container_Inventory!$L:$L,0)),"Not Found"))</f>
        <v/>
      </c>
      <c r="L137" s="14" t="str">
        <f ca="1">IF(B137="","",IF(COUNTIF(Finding_List!$A:$A,B137)&gt;0,"Yes","No"))</f>
        <v/>
      </c>
      <c r="M137" s="14" t="str">
        <f ca="1">IF(B137="","",COUNTIF(Server_Inventory!$Z:$Z,B137))</f>
        <v/>
      </c>
      <c r="N137" s="14" t="str">
        <f ca="1">IF(B137="","",COUNTIF(Container_Inventory!$L:$L,B137))</f>
        <v/>
      </c>
    </row>
    <row r="138" spans="1:14" x14ac:dyDescent="0.2">
      <c r="A138" s="8" t="str">
        <f ca="1">IFERROR(INDEX(All_Risk_Apps!$A$4:$A$1233,_xludf.aggregate(15,6,(ROW(All_Risk_Apps!$A$4:$A$1233)-ROW(All_Risk_Apps!$A$4)+1)/(All_Risk_Apps!$J$4:$J$1233="Fast Follower")*(All_Risk_Apps!$A$4:$A$1233&lt;&gt;""),135)),"")</f>
        <v/>
      </c>
      <c r="B138" s="8" t="str">
        <f ca="1">IFERROR(INDEX(All_Risk_Apps!$B$4:$B$1233,_xludf.aggregate(15,6,(ROW(All_Risk_Apps!$A$4:$A$1233)-ROW(All_Risk_Apps!$A$4)+1)/(All_Risk_Apps!$J$4:$J$1233="Fast Follower")*(All_Risk_Apps!$A$4:$A$1233&lt;&gt;""),135)),"")</f>
        <v/>
      </c>
      <c r="C138" s="8" t="str">
        <f ca="1">IFERROR(INDEX(All_Risk_Apps!$D$4:$D$1233,_xludf.aggregate(15,6,(ROW(All_Risk_Apps!$A$4:$A$1233)-ROW(All_Risk_Apps!$A$4)+1)/(All_Risk_Apps!$J$4:$J$1233="Fast Follower")*(All_Risk_Apps!$A$4:$A$1233&lt;&gt;""),135)),"")</f>
        <v/>
      </c>
      <c r="D138" s="8" t="str">
        <f ca="1">IFERROR(INDEX(All_Risk_Apps!$C$4:$C$1233,_xludf.aggregate(15,6,(ROW(All_Risk_Apps!$A$4:$A$1233)-ROW(All_Risk_Apps!$A$4)+1)/(All_Risk_Apps!$J$4:$J$1233="Fast Follower")*(All_Risk_Apps!$A$4:$A$1233&lt;&gt;""),135)),"")</f>
        <v/>
      </c>
      <c r="E138" s="8" t="str">
        <f ca="1">IFERROR(INDEX(All_Risk_Apps!$E$4:$E$1233,_xludf.aggregate(15,6,(ROW(All_Risk_Apps!$A$4:$A$1233)-ROW(All_Risk_Apps!$A$4)+1)/(All_Risk_Apps!$J$4:$J$1233="Fast Follower")*(All_Risk_Apps!$A$4:$A$1233&lt;&gt;""),135)),"")</f>
        <v/>
      </c>
      <c r="F138" s="8" t="str">
        <f ca="1">IFERROR(INDEX(All_Risk_Apps!$F$4:$F$1233,_xludf.aggregate(15,6,(ROW(All_Risk_Apps!$A$4:$A$1233)-ROW(All_Risk_Apps!$A$4)+1)/(All_Risk_Apps!$J$4:$J$1233="Fast Follower")*(All_Risk_Apps!$A$4:$A$1233&lt;&gt;""),135)),"")</f>
        <v/>
      </c>
      <c r="G138" s="8" t="str">
        <f ca="1">IFERROR(INDEX(All_Risk_Apps!$I$4:$I$1233,_xludf.aggregate(15,6,(ROW(All_Risk_Apps!$A$4:$A$1233)-ROW(All_Risk_Apps!$A$4)+1)/(All_Risk_Apps!$J$4:$J$1233="Fast Follower")*(All_Risk_Apps!$A$4:$A$1233&lt;&gt;""),135)),"")</f>
        <v/>
      </c>
      <c r="H138" s="8" t="str">
        <f ca="1">IF(B138="","",IFERROR(INDEX(Server_Inventory!$R:$R,MATCH(B138,Server_Inventory!$Z:$Z,0)),"Not Found"))</f>
        <v/>
      </c>
      <c r="I138" s="8" t="str">
        <f ca="1">IF(B138="","",IFERROR(INDEX(Server_Inventory!$S:$S,MATCH(B138,Server_Inventory!$Z:$Z,0)),"Not Found"))</f>
        <v/>
      </c>
      <c r="J138" s="8" t="str">
        <f ca="1">IF(B138="","",COUNTIFS(Server_Inventory!$Z:$Z,B138,Server_Inventory!$P:$P,"R-RETIRED_IN_CMDB"))</f>
        <v/>
      </c>
      <c r="K138" s="8" t="str">
        <f ca="1">IF(B138="","",IFERROR(INDEX(Container_Inventory!$F:$F,MATCH(B138,Container_Inventory!$L:$L,0)),"Not Found"))</f>
        <v/>
      </c>
      <c r="L138" s="8" t="str">
        <f ca="1">IF(B138="","",IF(COUNTIF(Finding_List!$A:$A,B138)&gt;0,"Yes","No"))</f>
        <v/>
      </c>
      <c r="M138" s="8" t="str">
        <f ca="1">IF(B138="","",COUNTIF(Server_Inventory!$Z:$Z,B138))</f>
        <v/>
      </c>
      <c r="N138" s="8" t="str">
        <f ca="1">IF(B138="","",COUNTIF(Container_Inventory!$L:$L,B138))</f>
        <v/>
      </c>
    </row>
    <row r="139" spans="1:14" x14ac:dyDescent="0.2">
      <c r="A139" s="14" t="str">
        <f ca="1">IFERROR(INDEX(All_Risk_Apps!$A$4:$A$1233,_xludf.aggregate(15,6,(ROW(All_Risk_Apps!$A$4:$A$1233)-ROW(All_Risk_Apps!$A$4)+1)/(All_Risk_Apps!$J$4:$J$1233="Fast Follower")*(All_Risk_Apps!$A$4:$A$1233&lt;&gt;""),136)),"")</f>
        <v/>
      </c>
      <c r="B139" s="14" t="str">
        <f ca="1">IFERROR(INDEX(All_Risk_Apps!$B$4:$B$1233,_xludf.aggregate(15,6,(ROW(All_Risk_Apps!$A$4:$A$1233)-ROW(All_Risk_Apps!$A$4)+1)/(All_Risk_Apps!$J$4:$J$1233="Fast Follower")*(All_Risk_Apps!$A$4:$A$1233&lt;&gt;""),136)),"")</f>
        <v/>
      </c>
      <c r="C139" s="14" t="str">
        <f ca="1">IFERROR(INDEX(All_Risk_Apps!$D$4:$D$1233,_xludf.aggregate(15,6,(ROW(All_Risk_Apps!$A$4:$A$1233)-ROW(All_Risk_Apps!$A$4)+1)/(All_Risk_Apps!$J$4:$J$1233="Fast Follower")*(All_Risk_Apps!$A$4:$A$1233&lt;&gt;""),136)),"")</f>
        <v/>
      </c>
      <c r="D139" s="14" t="str">
        <f ca="1">IFERROR(INDEX(All_Risk_Apps!$C$4:$C$1233,_xludf.aggregate(15,6,(ROW(All_Risk_Apps!$A$4:$A$1233)-ROW(All_Risk_Apps!$A$4)+1)/(All_Risk_Apps!$J$4:$J$1233="Fast Follower")*(All_Risk_Apps!$A$4:$A$1233&lt;&gt;""),136)),"")</f>
        <v/>
      </c>
      <c r="E139" s="14" t="str">
        <f ca="1">IFERROR(INDEX(All_Risk_Apps!$E$4:$E$1233,_xludf.aggregate(15,6,(ROW(All_Risk_Apps!$A$4:$A$1233)-ROW(All_Risk_Apps!$A$4)+1)/(All_Risk_Apps!$J$4:$J$1233="Fast Follower")*(All_Risk_Apps!$A$4:$A$1233&lt;&gt;""),136)),"")</f>
        <v/>
      </c>
      <c r="F139" s="14" t="str">
        <f ca="1">IFERROR(INDEX(All_Risk_Apps!$F$4:$F$1233,_xludf.aggregate(15,6,(ROW(All_Risk_Apps!$A$4:$A$1233)-ROW(All_Risk_Apps!$A$4)+1)/(All_Risk_Apps!$J$4:$J$1233="Fast Follower")*(All_Risk_Apps!$A$4:$A$1233&lt;&gt;""),136)),"")</f>
        <v/>
      </c>
      <c r="G139" s="14" t="str">
        <f ca="1">IFERROR(INDEX(All_Risk_Apps!$I$4:$I$1233,_xludf.aggregate(15,6,(ROW(All_Risk_Apps!$A$4:$A$1233)-ROW(All_Risk_Apps!$A$4)+1)/(All_Risk_Apps!$J$4:$J$1233="Fast Follower")*(All_Risk_Apps!$A$4:$A$1233&lt;&gt;""),136)),"")</f>
        <v/>
      </c>
      <c r="H139" s="14" t="str">
        <f ca="1">IF(B139="","",IFERROR(INDEX(Server_Inventory!$R:$R,MATCH(B139,Server_Inventory!$Z:$Z,0)),"Not Found"))</f>
        <v/>
      </c>
      <c r="I139" s="14" t="str">
        <f ca="1">IF(B139="","",IFERROR(INDEX(Server_Inventory!$S:$S,MATCH(B139,Server_Inventory!$Z:$Z,0)),"Not Found"))</f>
        <v/>
      </c>
      <c r="J139" s="14" t="str">
        <f ca="1">IF(B139="","",COUNTIFS(Server_Inventory!$Z:$Z,B139,Server_Inventory!$P:$P,"R-RETIRED_IN_CMDB"))</f>
        <v/>
      </c>
      <c r="K139" s="14" t="str">
        <f ca="1">IF(B139="","",IFERROR(INDEX(Container_Inventory!$F:$F,MATCH(B139,Container_Inventory!$L:$L,0)),"Not Found"))</f>
        <v/>
      </c>
      <c r="L139" s="14" t="str">
        <f ca="1">IF(B139="","",IF(COUNTIF(Finding_List!$A:$A,B139)&gt;0,"Yes","No"))</f>
        <v/>
      </c>
      <c r="M139" s="14" t="str">
        <f ca="1">IF(B139="","",COUNTIF(Server_Inventory!$Z:$Z,B139))</f>
        <v/>
      </c>
      <c r="N139" s="14" t="str">
        <f ca="1">IF(B139="","",COUNTIF(Container_Inventory!$L:$L,B139))</f>
        <v/>
      </c>
    </row>
    <row r="140" spans="1:14" x14ac:dyDescent="0.2">
      <c r="A140" s="8" t="str">
        <f ca="1">IFERROR(INDEX(All_Risk_Apps!$A$4:$A$1233,_xludf.aggregate(15,6,(ROW(All_Risk_Apps!$A$4:$A$1233)-ROW(All_Risk_Apps!$A$4)+1)/(All_Risk_Apps!$J$4:$J$1233="Fast Follower")*(All_Risk_Apps!$A$4:$A$1233&lt;&gt;""),137)),"")</f>
        <v/>
      </c>
      <c r="B140" s="8" t="str">
        <f ca="1">IFERROR(INDEX(All_Risk_Apps!$B$4:$B$1233,_xludf.aggregate(15,6,(ROW(All_Risk_Apps!$A$4:$A$1233)-ROW(All_Risk_Apps!$A$4)+1)/(All_Risk_Apps!$J$4:$J$1233="Fast Follower")*(All_Risk_Apps!$A$4:$A$1233&lt;&gt;""),137)),"")</f>
        <v/>
      </c>
      <c r="C140" s="8" t="str">
        <f ca="1">IFERROR(INDEX(All_Risk_Apps!$D$4:$D$1233,_xludf.aggregate(15,6,(ROW(All_Risk_Apps!$A$4:$A$1233)-ROW(All_Risk_Apps!$A$4)+1)/(All_Risk_Apps!$J$4:$J$1233="Fast Follower")*(All_Risk_Apps!$A$4:$A$1233&lt;&gt;""),137)),"")</f>
        <v/>
      </c>
      <c r="D140" s="8" t="str">
        <f ca="1">IFERROR(INDEX(All_Risk_Apps!$C$4:$C$1233,_xludf.aggregate(15,6,(ROW(All_Risk_Apps!$A$4:$A$1233)-ROW(All_Risk_Apps!$A$4)+1)/(All_Risk_Apps!$J$4:$J$1233="Fast Follower")*(All_Risk_Apps!$A$4:$A$1233&lt;&gt;""),137)),"")</f>
        <v/>
      </c>
      <c r="E140" s="8" t="str">
        <f ca="1">IFERROR(INDEX(All_Risk_Apps!$E$4:$E$1233,_xludf.aggregate(15,6,(ROW(All_Risk_Apps!$A$4:$A$1233)-ROW(All_Risk_Apps!$A$4)+1)/(All_Risk_Apps!$J$4:$J$1233="Fast Follower")*(All_Risk_Apps!$A$4:$A$1233&lt;&gt;""),137)),"")</f>
        <v/>
      </c>
      <c r="F140" s="8" t="str">
        <f ca="1">IFERROR(INDEX(All_Risk_Apps!$F$4:$F$1233,_xludf.aggregate(15,6,(ROW(All_Risk_Apps!$A$4:$A$1233)-ROW(All_Risk_Apps!$A$4)+1)/(All_Risk_Apps!$J$4:$J$1233="Fast Follower")*(All_Risk_Apps!$A$4:$A$1233&lt;&gt;""),137)),"")</f>
        <v/>
      </c>
      <c r="G140" s="8" t="str">
        <f ca="1">IFERROR(INDEX(All_Risk_Apps!$I$4:$I$1233,_xludf.aggregate(15,6,(ROW(All_Risk_Apps!$A$4:$A$1233)-ROW(All_Risk_Apps!$A$4)+1)/(All_Risk_Apps!$J$4:$J$1233="Fast Follower")*(All_Risk_Apps!$A$4:$A$1233&lt;&gt;""),137)),"")</f>
        <v/>
      </c>
      <c r="H140" s="8" t="str">
        <f ca="1">IF(B140="","",IFERROR(INDEX(Server_Inventory!$R:$R,MATCH(B140,Server_Inventory!$Z:$Z,0)),"Not Found"))</f>
        <v/>
      </c>
      <c r="I140" s="8" t="str">
        <f ca="1">IF(B140="","",IFERROR(INDEX(Server_Inventory!$S:$S,MATCH(B140,Server_Inventory!$Z:$Z,0)),"Not Found"))</f>
        <v/>
      </c>
      <c r="J140" s="8" t="str">
        <f ca="1">IF(B140="","",COUNTIFS(Server_Inventory!$Z:$Z,B140,Server_Inventory!$P:$P,"R-RETIRED_IN_CMDB"))</f>
        <v/>
      </c>
      <c r="K140" s="8" t="str">
        <f ca="1">IF(B140="","",IFERROR(INDEX(Container_Inventory!$F:$F,MATCH(B140,Container_Inventory!$L:$L,0)),"Not Found"))</f>
        <v/>
      </c>
      <c r="L140" s="8" t="str">
        <f ca="1">IF(B140="","",IF(COUNTIF(Finding_List!$A:$A,B140)&gt;0,"Yes","No"))</f>
        <v/>
      </c>
      <c r="M140" s="8" t="str">
        <f ca="1">IF(B140="","",COUNTIF(Server_Inventory!$Z:$Z,B140))</f>
        <v/>
      </c>
      <c r="N140" s="8" t="str">
        <f ca="1">IF(B140="","",COUNTIF(Container_Inventory!$L:$L,B140))</f>
        <v/>
      </c>
    </row>
    <row r="141" spans="1:14" x14ac:dyDescent="0.2">
      <c r="A141" s="14" t="str">
        <f ca="1">IFERROR(INDEX(All_Risk_Apps!$A$4:$A$1233,_xludf.aggregate(15,6,(ROW(All_Risk_Apps!$A$4:$A$1233)-ROW(All_Risk_Apps!$A$4)+1)/(All_Risk_Apps!$J$4:$J$1233="Fast Follower")*(All_Risk_Apps!$A$4:$A$1233&lt;&gt;""),138)),"")</f>
        <v/>
      </c>
      <c r="B141" s="14" t="str">
        <f ca="1">IFERROR(INDEX(All_Risk_Apps!$B$4:$B$1233,_xludf.aggregate(15,6,(ROW(All_Risk_Apps!$A$4:$A$1233)-ROW(All_Risk_Apps!$A$4)+1)/(All_Risk_Apps!$J$4:$J$1233="Fast Follower")*(All_Risk_Apps!$A$4:$A$1233&lt;&gt;""),138)),"")</f>
        <v/>
      </c>
      <c r="C141" s="14" t="str">
        <f ca="1">IFERROR(INDEX(All_Risk_Apps!$D$4:$D$1233,_xludf.aggregate(15,6,(ROW(All_Risk_Apps!$A$4:$A$1233)-ROW(All_Risk_Apps!$A$4)+1)/(All_Risk_Apps!$J$4:$J$1233="Fast Follower")*(All_Risk_Apps!$A$4:$A$1233&lt;&gt;""),138)),"")</f>
        <v/>
      </c>
      <c r="D141" s="14" t="str">
        <f ca="1">IFERROR(INDEX(All_Risk_Apps!$C$4:$C$1233,_xludf.aggregate(15,6,(ROW(All_Risk_Apps!$A$4:$A$1233)-ROW(All_Risk_Apps!$A$4)+1)/(All_Risk_Apps!$J$4:$J$1233="Fast Follower")*(All_Risk_Apps!$A$4:$A$1233&lt;&gt;""),138)),"")</f>
        <v/>
      </c>
      <c r="E141" s="14" t="str">
        <f ca="1">IFERROR(INDEX(All_Risk_Apps!$E$4:$E$1233,_xludf.aggregate(15,6,(ROW(All_Risk_Apps!$A$4:$A$1233)-ROW(All_Risk_Apps!$A$4)+1)/(All_Risk_Apps!$J$4:$J$1233="Fast Follower")*(All_Risk_Apps!$A$4:$A$1233&lt;&gt;""),138)),"")</f>
        <v/>
      </c>
      <c r="F141" s="14" t="str">
        <f ca="1">IFERROR(INDEX(All_Risk_Apps!$F$4:$F$1233,_xludf.aggregate(15,6,(ROW(All_Risk_Apps!$A$4:$A$1233)-ROW(All_Risk_Apps!$A$4)+1)/(All_Risk_Apps!$J$4:$J$1233="Fast Follower")*(All_Risk_Apps!$A$4:$A$1233&lt;&gt;""),138)),"")</f>
        <v/>
      </c>
      <c r="G141" s="14" t="str">
        <f ca="1">IFERROR(INDEX(All_Risk_Apps!$I$4:$I$1233,_xludf.aggregate(15,6,(ROW(All_Risk_Apps!$A$4:$A$1233)-ROW(All_Risk_Apps!$A$4)+1)/(All_Risk_Apps!$J$4:$J$1233="Fast Follower")*(All_Risk_Apps!$A$4:$A$1233&lt;&gt;""),138)),"")</f>
        <v/>
      </c>
      <c r="H141" s="14" t="str">
        <f ca="1">IF(B141="","",IFERROR(INDEX(Server_Inventory!$R:$R,MATCH(B141,Server_Inventory!$Z:$Z,0)),"Not Found"))</f>
        <v/>
      </c>
      <c r="I141" s="14" t="str">
        <f ca="1">IF(B141="","",IFERROR(INDEX(Server_Inventory!$S:$S,MATCH(B141,Server_Inventory!$Z:$Z,0)),"Not Found"))</f>
        <v/>
      </c>
      <c r="J141" s="14" t="str">
        <f ca="1">IF(B141="","",COUNTIFS(Server_Inventory!$Z:$Z,B141,Server_Inventory!$P:$P,"R-RETIRED_IN_CMDB"))</f>
        <v/>
      </c>
      <c r="K141" s="14" t="str">
        <f ca="1">IF(B141="","",IFERROR(INDEX(Container_Inventory!$F:$F,MATCH(B141,Container_Inventory!$L:$L,0)),"Not Found"))</f>
        <v/>
      </c>
      <c r="L141" s="14" t="str">
        <f ca="1">IF(B141="","",IF(COUNTIF(Finding_List!$A:$A,B141)&gt;0,"Yes","No"))</f>
        <v/>
      </c>
      <c r="M141" s="14" t="str">
        <f ca="1">IF(B141="","",COUNTIF(Server_Inventory!$Z:$Z,B141))</f>
        <v/>
      </c>
      <c r="N141" s="14" t="str">
        <f ca="1">IF(B141="","",COUNTIF(Container_Inventory!$L:$L,B141))</f>
        <v/>
      </c>
    </row>
    <row r="142" spans="1:14" x14ac:dyDescent="0.2">
      <c r="A142" s="8" t="str">
        <f ca="1">IFERROR(INDEX(All_Risk_Apps!$A$4:$A$1233,_xludf.aggregate(15,6,(ROW(All_Risk_Apps!$A$4:$A$1233)-ROW(All_Risk_Apps!$A$4)+1)/(All_Risk_Apps!$J$4:$J$1233="Fast Follower")*(All_Risk_Apps!$A$4:$A$1233&lt;&gt;""),139)),"")</f>
        <v/>
      </c>
      <c r="B142" s="8" t="str">
        <f ca="1">IFERROR(INDEX(All_Risk_Apps!$B$4:$B$1233,_xludf.aggregate(15,6,(ROW(All_Risk_Apps!$A$4:$A$1233)-ROW(All_Risk_Apps!$A$4)+1)/(All_Risk_Apps!$J$4:$J$1233="Fast Follower")*(All_Risk_Apps!$A$4:$A$1233&lt;&gt;""),139)),"")</f>
        <v/>
      </c>
      <c r="C142" s="8" t="str">
        <f ca="1">IFERROR(INDEX(All_Risk_Apps!$D$4:$D$1233,_xludf.aggregate(15,6,(ROW(All_Risk_Apps!$A$4:$A$1233)-ROW(All_Risk_Apps!$A$4)+1)/(All_Risk_Apps!$J$4:$J$1233="Fast Follower")*(All_Risk_Apps!$A$4:$A$1233&lt;&gt;""),139)),"")</f>
        <v/>
      </c>
      <c r="D142" s="8" t="str">
        <f ca="1">IFERROR(INDEX(All_Risk_Apps!$C$4:$C$1233,_xludf.aggregate(15,6,(ROW(All_Risk_Apps!$A$4:$A$1233)-ROW(All_Risk_Apps!$A$4)+1)/(All_Risk_Apps!$J$4:$J$1233="Fast Follower")*(All_Risk_Apps!$A$4:$A$1233&lt;&gt;""),139)),"")</f>
        <v/>
      </c>
      <c r="E142" s="8" t="str">
        <f ca="1">IFERROR(INDEX(All_Risk_Apps!$E$4:$E$1233,_xludf.aggregate(15,6,(ROW(All_Risk_Apps!$A$4:$A$1233)-ROW(All_Risk_Apps!$A$4)+1)/(All_Risk_Apps!$J$4:$J$1233="Fast Follower")*(All_Risk_Apps!$A$4:$A$1233&lt;&gt;""),139)),"")</f>
        <v/>
      </c>
      <c r="F142" s="8" t="str">
        <f ca="1">IFERROR(INDEX(All_Risk_Apps!$F$4:$F$1233,_xludf.aggregate(15,6,(ROW(All_Risk_Apps!$A$4:$A$1233)-ROW(All_Risk_Apps!$A$4)+1)/(All_Risk_Apps!$J$4:$J$1233="Fast Follower")*(All_Risk_Apps!$A$4:$A$1233&lt;&gt;""),139)),"")</f>
        <v/>
      </c>
      <c r="G142" s="8" t="str">
        <f ca="1">IFERROR(INDEX(All_Risk_Apps!$I$4:$I$1233,_xludf.aggregate(15,6,(ROW(All_Risk_Apps!$A$4:$A$1233)-ROW(All_Risk_Apps!$A$4)+1)/(All_Risk_Apps!$J$4:$J$1233="Fast Follower")*(All_Risk_Apps!$A$4:$A$1233&lt;&gt;""),139)),"")</f>
        <v/>
      </c>
      <c r="H142" s="8" t="str">
        <f ca="1">IF(B142="","",IFERROR(INDEX(Server_Inventory!$R:$R,MATCH(B142,Server_Inventory!$Z:$Z,0)),"Not Found"))</f>
        <v/>
      </c>
      <c r="I142" s="8" t="str">
        <f ca="1">IF(B142="","",IFERROR(INDEX(Server_Inventory!$S:$S,MATCH(B142,Server_Inventory!$Z:$Z,0)),"Not Found"))</f>
        <v/>
      </c>
      <c r="J142" s="8" t="str">
        <f ca="1">IF(B142="","",COUNTIFS(Server_Inventory!$Z:$Z,B142,Server_Inventory!$P:$P,"R-RETIRED_IN_CMDB"))</f>
        <v/>
      </c>
      <c r="K142" s="8" t="str">
        <f ca="1">IF(B142="","",IFERROR(INDEX(Container_Inventory!$F:$F,MATCH(B142,Container_Inventory!$L:$L,0)),"Not Found"))</f>
        <v/>
      </c>
      <c r="L142" s="8" t="str">
        <f ca="1">IF(B142="","",IF(COUNTIF(Finding_List!$A:$A,B142)&gt;0,"Yes","No"))</f>
        <v/>
      </c>
      <c r="M142" s="8" t="str">
        <f ca="1">IF(B142="","",COUNTIF(Server_Inventory!$Z:$Z,B142))</f>
        <v/>
      </c>
      <c r="N142" s="8" t="str">
        <f ca="1">IF(B142="","",COUNTIF(Container_Inventory!$L:$L,B142))</f>
        <v/>
      </c>
    </row>
    <row r="143" spans="1:14" x14ac:dyDescent="0.2">
      <c r="A143" s="14" t="str">
        <f ca="1">IFERROR(INDEX(All_Risk_Apps!$A$4:$A$1233,_xludf.aggregate(15,6,(ROW(All_Risk_Apps!$A$4:$A$1233)-ROW(All_Risk_Apps!$A$4)+1)/(All_Risk_Apps!$J$4:$J$1233="Fast Follower")*(All_Risk_Apps!$A$4:$A$1233&lt;&gt;""),140)),"")</f>
        <v/>
      </c>
      <c r="B143" s="14" t="str">
        <f ca="1">IFERROR(INDEX(All_Risk_Apps!$B$4:$B$1233,_xludf.aggregate(15,6,(ROW(All_Risk_Apps!$A$4:$A$1233)-ROW(All_Risk_Apps!$A$4)+1)/(All_Risk_Apps!$J$4:$J$1233="Fast Follower")*(All_Risk_Apps!$A$4:$A$1233&lt;&gt;""),140)),"")</f>
        <v/>
      </c>
      <c r="C143" s="14" t="str">
        <f ca="1">IFERROR(INDEX(All_Risk_Apps!$D$4:$D$1233,_xludf.aggregate(15,6,(ROW(All_Risk_Apps!$A$4:$A$1233)-ROW(All_Risk_Apps!$A$4)+1)/(All_Risk_Apps!$J$4:$J$1233="Fast Follower")*(All_Risk_Apps!$A$4:$A$1233&lt;&gt;""),140)),"")</f>
        <v/>
      </c>
      <c r="D143" s="14" t="str">
        <f ca="1">IFERROR(INDEX(All_Risk_Apps!$C$4:$C$1233,_xludf.aggregate(15,6,(ROW(All_Risk_Apps!$A$4:$A$1233)-ROW(All_Risk_Apps!$A$4)+1)/(All_Risk_Apps!$J$4:$J$1233="Fast Follower")*(All_Risk_Apps!$A$4:$A$1233&lt;&gt;""),140)),"")</f>
        <v/>
      </c>
      <c r="E143" s="14" t="str">
        <f ca="1">IFERROR(INDEX(All_Risk_Apps!$E$4:$E$1233,_xludf.aggregate(15,6,(ROW(All_Risk_Apps!$A$4:$A$1233)-ROW(All_Risk_Apps!$A$4)+1)/(All_Risk_Apps!$J$4:$J$1233="Fast Follower")*(All_Risk_Apps!$A$4:$A$1233&lt;&gt;""),140)),"")</f>
        <v/>
      </c>
      <c r="F143" s="14" t="str">
        <f ca="1">IFERROR(INDEX(All_Risk_Apps!$F$4:$F$1233,_xludf.aggregate(15,6,(ROW(All_Risk_Apps!$A$4:$A$1233)-ROW(All_Risk_Apps!$A$4)+1)/(All_Risk_Apps!$J$4:$J$1233="Fast Follower")*(All_Risk_Apps!$A$4:$A$1233&lt;&gt;""),140)),"")</f>
        <v/>
      </c>
      <c r="G143" s="14" t="str">
        <f ca="1">IFERROR(INDEX(All_Risk_Apps!$I$4:$I$1233,_xludf.aggregate(15,6,(ROW(All_Risk_Apps!$A$4:$A$1233)-ROW(All_Risk_Apps!$A$4)+1)/(All_Risk_Apps!$J$4:$J$1233="Fast Follower")*(All_Risk_Apps!$A$4:$A$1233&lt;&gt;""),140)),"")</f>
        <v/>
      </c>
      <c r="H143" s="14" t="str">
        <f ca="1">IF(B143="","",IFERROR(INDEX(Server_Inventory!$R:$R,MATCH(B143,Server_Inventory!$Z:$Z,0)),"Not Found"))</f>
        <v/>
      </c>
      <c r="I143" s="14" t="str">
        <f ca="1">IF(B143="","",IFERROR(INDEX(Server_Inventory!$S:$S,MATCH(B143,Server_Inventory!$Z:$Z,0)),"Not Found"))</f>
        <v/>
      </c>
      <c r="J143" s="14" t="str">
        <f ca="1">IF(B143="","",COUNTIFS(Server_Inventory!$Z:$Z,B143,Server_Inventory!$P:$P,"R-RETIRED_IN_CMDB"))</f>
        <v/>
      </c>
      <c r="K143" s="14" t="str">
        <f ca="1">IF(B143="","",IFERROR(INDEX(Container_Inventory!$F:$F,MATCH(B143,Container_Inventory!$L:$L,0)),"Not Found"))</f>
        <v/>
      </c>
      <c r="L143" s="14" t="str">
        <f ca="1">IF(B143="","",IF(COUNTIF(Finding_List!$A:$A,B143)&gt;0,"Yes","No"))</f>
        <v/>
      </c>
      <c r="M143" s="14" t="str">
        <f ca="1">IF(B143="","",COUNTIF(Server_Inventory!$Z:$Z,B143))</f>
        <v/>
      </c>
      <c r="N143" s="14" t="str">
        <f ca="1">IF(B143="","",COUNTIF(Container_Inventory!$L:$L,B143))</f>
        <v/>
      </c>
    </row>
    <row r="144" spans="1:14" x14ac:dyDescent="0.2">
      <c r="A144" s="8" t="str">
        <f ca="1">IFERROR(INDEX(All_Risk_Apps!$A$4:$A$1233,_xludf.aggregate(15,6,(ROW(All_Risk_Apps!$A$4:$A$1233)-ROW(All_Risk_Apps!$A$4)+1)/(All_Risk_Apps!$J$4:$J$1233="Fast Follower")*(All_Risk_Apps!$A$4:$A$1233&lt;&gt;""),141)),"")</f>
        <v/>
      </c>
      <c r="B144" s="8" t="str">
        <f ca="1">IFERROR(INDEX(All_Risk_Apps!$B$4:$B$1233,_xludf.aggregate(15,6,(ROW(All_Risk_Apps!$A$4:$A$1233)-ROW(All_Risk_Apps!$A$4)+1)/(All_Risk_Apps!$J$4:$J$1233="Fast Follower")*(All_Risk_Apps!$A$4:$A$1233&lt;&gt;""),141)),"")</f>
        <v/>
      </c>
      <c r="C144" s="8" t="str">
        <f ca="1">IFERROR(INDEX(All_Risk_Apps!$D$4:$D$1233,_xludf.aggregate(15,6,(ROW(All_Risk_Apps!$A$4:$A$1233)-ROW(All_Risk_Apps!$A$4)+1)/(All_Risk_Apps!$J$4:$J$1233="Fast Follower")*(All_Risk_Apps!$A$4:$A$1233&lt;&gt;""),141)),"")</f>
        <v/>
      </c>
      <c r="D144" s="8" t="str">
        <f ca="1">IFERROR(INDEX(All_Risk_Apps!$C$4:$C$1233,_xludf.aggregate(15,6,(ROW(All_Risk_Apps!$A$4:$A$1233)-ROW(All_Risk_Apps!$A$4)+1)/(All_Risk_Apps!$J$4:$J$1233="Fast Follower")*(All_Risk_Apps!$A$4:$A$1233&lt;&gt;""),141)),"")</f>
        <v/>
      </c>
      <c r="E144" s="8" t="str">
        <f ca="1">IFERROR(INDEX(All_Risk_Apps!$E$4:$E$1233,_xludf.aggregate(15,6,(ROW(All_Risk_Apps!$A$4:$A$1233)-ROW(All_Risk_Apps!$A$4)+1)/(All_Risk_Apps!$J$4:$J$1233="Fast Follower")*(All_Risk_Apps!$A$4:$A$1233&lt;&gt;""),141)),"")</f>
        <v/>
      </c>
      <c r="F144" s="8" t="str">
        <f ca="1">IFERROR(INDEX(All_Risk_Apps!$F$4:$F$1233,_xludf.aggregate(15,6,(ROW(All_Risk_Apps!$A$4:$A$1233)-ROW(All_Risk_Apps!$A$4)+1)/(All_Risk_Apps!$J$4:$J$1233="Fast Follower")*(All_Risk_Apps!$A$4:$A$1233&lt;&gt;""),141)),"")</f>
        <v/>
      </c>
      <c r="G144" s="8" t="str">
        <f ca="1">IFERROR(INDEX(All_Risk_Apps!$I$4:$I$1233,_xludf.aggregate(15,6,(ROW(All_Risk_Apps!$A$4:$A$1233)-ROW(All_Risk_Apps!$A$4)+1)/(All_Risk_Apps!$J$4:$J$1233="Fast Follower")*(All_Risk_Apps!$A$4:$A$1233&lt;&gt;""),141)),"")</f>
        <v/>
      </c>
      <c r="H144" s="8" t="str">
        <f ca="1">IF(B144="","",IFERROR(INDEX(Server_Inventory!$R:$R,MATCH(B144,Server_Inventory!$Z:$Z,0)),"Not Found"))</f>
        <v/>
      </c>
      <c r="I144" s="8" t="str">
        <f ca="1">IF(B144="","",IFERROR(INDEX(Server_Inventory!$S:$S,MATCH(B144,Server_Inventory!$Z:$Z,0)),"Not Found"))</f>
        <v/>
      </c>
      <c r="J144" s="8" t="str">
        <f ca="1">IF(B144="","",COUNTIFS(Server_Inventory!$Z:$Z,B144,Server_Inventory!$P:$P,"R-RETIRED_IN_CMDB"))</f>
        <v/>
      </c>
      <c r="K144" s="8" t="str">
        <f ca="1">IF(B144="","",IFERROR(INDEX(Container_Inventory!$F:$F,MATCH(B144,Container_Inventory!$L:$L,0)),"Not Found"))</f>
        <v/>
      </c>
      <c r="L144" s="8" t="str">
        <f ca="1">IF(B144="","",IF(COUNTIF(Finding_List!$A:$A,B144)&gt;0,"Yes","No"))</f>
        <v/>
      </c>
      <c r="M144" s="8" t="str">
        <f ca="1">IF(B144="","",COUNTIF(Server_Inventory!$Z:$Z,B144))</f>
        <v/>
      </c>
      <c r="N144" s="8" t="str">
        <f ca="1">IF(B144="","",COUNTIF(Container_Inventory!$L:$L,B144))</f>
        <v/>
      </c>
    </row>
    <row r="145" spans="1:14" x14ac:dyDescent="0.2">
      <c r="A145" s="14" t="str">
        <f ca="1">IFERROR(INDEX(All_Risk_Apps!$A$4:$A$1233,_xludf.aggregate(15,6,(ROW(All_Risk_Apps!$A$4:$A$1233)-ROW(All_Risk_Apps!$A$4)+1)/(All_Risk_Apps!$J$4:$J$1233="Fast Follower")*(All_Risk_Apps!$A$4:$A$1233&lt;&gt;""),142)),"")</f>
        <v/>
      </c>
      <c r="B145" s="14" t="str">
        <f ca="1">IFERROR(INDEX(All_Risk_Apps!$B$4:$B$1233,_xludf.aggregate(15,6,(ROW(All_Risk_Apps!$A$4:$A$1233)-ROW(All_Risk_Apps!$A$4)+1)/(All_Risk_Apps!$J$4:$J$1233="Fast Follower")*(All_Risk_Apps!$A$4:$A$1233&lt;&gt;""),142)),"")</f>
        <v/>
      </c>
      <c r="C145" s="14" t="str">
        <f ca="1">IFERROR(INDEX(All_Risk_Apps!$D$4:$D$1233,_xludf.aggregate(15,6,(ROW(All_Risk_Apps!$A$4:$A$1233)-ROW(All_Risk_Apps!$A$4)+1)/(All_Risk_Apps!$J$4:$J$1233="Fast Follower")*(All_Risk_Apps!$A$4:$A$1233&lt;&gt;""),142)),"")</f>
        <v/>
      </c>
      <c r="D145" s="14" t="str">
        <f ca="1">IFERROR(INDEX(All_Risk_Apps!$C$4:$C$1233,_xludf.aggregate(15,6,(ROW(All_Risk_Apps!$A$4:$A$1233)-ROW(All_Risk_Apps!$A$4)+1)/(All_Risk_Apps!$J$4:$J$1233="Fast Follower")*(All_Risk_Apps!$A$4:$A$1233&lt;&gt;""),142)),"")</f>
        <v/>
      </c>
      <c r="E145" s="14" t="str">
        <f ca="1">IFERROR(INDEX(All_Risk_Apps!$E$4:$E$1233,_xludf.aggregate(15,6,(ROW(All_Risk_Apps!$A$4:$A$1233)-ROW(All_Risk_Apps!$A$4)+1)/(All_Risk_Apps!$J$4:$J$1233="Fast Follower")*(All_Risk_Apps!$A$4:$A$1233&lt;&gt;""),142)),"")</f>
        <v/>
      </c>
      <c r="F145" s="14" t="str">
        <f ca="1">IFERROR(INDEX(All_Risk_Apps!$F$4:$F$1233,_xludf.aggregate(15,6,(ROW(All_Risk_Apps!$A$4:$A$1233)-ROW(All_Risk_Apps!$A$4)+1)/(All_Risk_Apps!$J$4:$J$1233="Fast Follower")*(All_Risk_Apps!$A$4:$A$1233&lt;&gt;""),142)),"")</f>
        <v/>
      </c>
      <c r="G145" s="14" t="str">
        <f ca="1">IFERROR(INDEX(All_Risk_Apps!$I$4:$I$1233,_xludf.aggregate(15,6,(ROW(All_Risk_Apps!$A$4:$A$1233)-ROW(All_Risk_Apps!$A$4)+1)/(All_Risk_Apps!$J$4:$J$1233="Fast Follower")*(All_Risk_Apps!$A$4:$A$1233&lt;&gt;""),142)),"")</f>
        <v/>
      </c>
      <c r="H145" s="14" t="str">
        <f ca="1">IF(B145="","",IFERROR(INDEX(Server_Inventory!$R:$R,MATCH(B145,Server_Inventory!$Z:$Z,0)),"Not Found"))</f>
        <v/>
      </c>
      <c r="I145" s="14" t="str">
        <f ca="1">IF(B145="","",IFERROR(INDEX(Server_Inventory!$S:$S,MATCH(B145,Server_Inventory!$Z:$Z,0)),"Not Found"))</f>
        <v/>
      </c>
      <c r="J145" s="14" t="str">
        <f ca="1">IF(B145="","",COUNTIFS(Server_Inventory!$Z:$Z,B145,Server_Inventory!$P:$P,"R-RETIRED_IN_CMDB"))</f>
        <v/>
      </c>
      <c r="K145" s="14" t="str">
        <f ca="1">IF(B145="","",IFERROR(INDEX(Container_Inventory!$F:$F,MATCH(B145,Container_Inventory!$L:$L,0)),"Not Found"))</f>
        <v/>
      </c>
      <c r="L145" s="14" t="str">
        <f ca="1">IF(B145="","",IF(COUNTIF(Finding_List!$A:$A,B145)&gt;0,"Yes","No"))</f>
        <v/>
      </c>
      <c r="M145" s="14" t="str">
        <f ca="1">IF(B145="","",COUNTIF(Server_Inventory!$Z:$Z,B145))</f>
        <v/>
      </c>
      <c r="N145" s="14" t="str">
        <f ca="1">IF(B145="","",COUNTIF(Container_Inventory!$L:$L,B145))</f>
        <v/>
      </c>
    </row>
    <row r="146" spans="1:14" x14ac:dyDescent="0.2">
      <c r="A146" s="8" t="str">
        <f ca="1">IFERROR(INDEX(All_Risk_Apps!$A$4:$A$1233,_xludf.aggregate(15,6,(ROW(All_Risk_Apps!$A$4:$A$1233)-ROW(All_Risk_Apps!$A$4)+1)/(All_Risk_Apps!$J$4:$J$1233="Fast Follower")*(All_Risk_Apps!$A$4:$A$1233&lt;&gt;""),143)),"")</f>
        <v/>
      </c>
      <c r="B146" s="8" t="str">
        <f ca="1">IFERROR(INDEX(All_Risk_Apps!$B$4:$B$1233,_xludf.aggregate(15,6,(ROW(All_Risk_Apps!$A$4:$A$1233)-ROW(All_Risk_Apps!$A$4)+1)/(All_Risk_Apps!$J$4:$J$1233="Fast Follower")*(All_Risk_Apps!$A$4:$A$1233&lt;&gt;""),143)),"")</f>
        <v/>
      </c>
      <c r="C146" s="8" t="str">
        <f ca="1">IFERROR(INDEX(All_Risk_Apps!$D$4:$D$1233,_xludf.aggregate(15,6,(ROW(All_Risk_Apps!$A$4:$A$1233)-ROW(All_Risk_Apps!$A$4)+1)/(All_Risk_Apps!$J$4:$J$1233="Fast Follower")*(All_Risk_Apps!$A$4:$A$1233&lt;&gt;""),143)),"")</f>
        <v/>
      </c>
      <c r="D146" s="8" t="str">
        <f ca="1">IFERROR(INDEX(All_Risk_Apps!$C$4:$C$1233,_xludf.aggregate(15,6,(ROW(All_Risk_Apps!$A$4:$A$1233)-ROW(All_Risk_Apps!$A$4)+1)/(All_Risk_Apps!$J$4:$J$1233="Fast Follower")*(All_Risk_Apps!$A$4:$A$1233&lt;&gt;""),143)),"")</f>
        <v/>
      </c>
      <c r="E146" s="8" t="str">
        <f ca="1">IFERROR(INDEX(All_Risk_Apps!$E$4:$E$1233,_xludf.aggregate(15,6,(ROW(All_Risk_Apps!$A$4:$A$1233)-ROW(All_Risk_Apps!$A$4)+1)/(All_Risk_Apps!$J$4:$J$1233="Fast Follower")*(All_Risk_Apps!$A$4:$A$1233&lt;&gt;""),143)),"")</f>
        <v/>
      </c>
      <c r="F146" s="8" t="str">
        <f ca="1">IFERROR(INDEX(All_Risk_Apps!$F$4:$F$1233,_xludf.aggregate(15,6,(ROW(All_Risk_Apps!$A$4:$A$1233)-ROW(All_Risk_Apps!$A$4)+1)/(All_Risk_Apps!$J$4:$J$1233="Fast Follower")*(All_Risk_Apps!$A$4:$A$1233&lt;&gt;""),143)),"")</f>
        <v/>
      </c>
      <c r="G146" s="8" t="str">
        <f ca="1">IFERROR(INDEX(All_Risk_Apps!$I$4:$I$1233,_xludf.aggregate(15,6,(ROW(All_Risk_Apps!$A$4:$A$1233)-ROW(All_Risk_Apps!$A$4)+1)/(All_Risk_Apps!$J$4:$J$1233="Fast Follower")*(All_Risk_Apps!$A$4:$A$1233&lt;&gt;""),143)),"")</f>
        <v/>
      </c>
      <c r="H146" s="8" t="str">
        <f ca="1">IF(B146="","",IFERROR(INDEX(Server_Inventory!$R:$R,MATCH(B146,Server_Inventory!$Z:$Z,0)),"Not Found"))</f>
        <v/>
      </c>
      <c r="I146" s="8" t="str">
        <f ca="1">IF(B146="","",IFERROR(INDEX(Server_Inventory!$S:$S,MATCH(B146,Server_Inventory!$Z:$Z,0)),"Not Found"))</f>
        <v/>
      </c>
      <c r="J146" s="8" t="str">
        <f ca="1">IF(B146="","",COUNTIFS(Server_Inventory!$Z:$Z,B146,Server_Inventory!$P:$P,"R-RETIRED_IN_CMDB"))</f>
        <v/>
      </c>
      <c r="K146" s="8" t="str">
        <f ca="1">IF(B146="","",IFERROR(INDEX(Container_Inventory!$F:$F,MATCH(B146,Container_Inventory!$L:$L,0)),"Not Found"))</f>
        <v/>
      </c>
      <c r="L146" s="8" t="str">
        <f ca="1">IF(B146="","",IF(COUNTIF(Finding_List!$A:$A,B146)&gt;0,"Yes","No"))</f>
        <v/>
      </c>
      <c r="M146" s="8" t="str">
        <f ca="1">IF(B146="","",COUNTIF(Server_Inventory!$Z:$Z,B146))</f>
        <v/>
      </c>
      <c r="N146" s="8" t="str">
        <f ca="1">IF(B146="","",COUNTIF(Container_Inventory!$L:$L,B146))</f>
        <v/>
      </c>
    </row>
    <row r="147" spans="1:14" x14ac:dyDescent="0.2">
      <c r="A147" s="14" t="str">
        <f ca="1">IFERROR(INDEX(All_Risk_Apps!$A$4:$A$1233,_xludf.aggregate(15,6,(ROW(All_Risk_Apps!$A$4:$A$1233)-ROW(All_Risk_Apps!$A$4)+1)/(All_Risk_Apps!$J$4:$J$1233="Fast Follower")*(All_Risk_Apps!$A$4:$A$1233&lt;&gt;""),144)),"")</f>
        <v/>
      </c>
      <c r="B147" s="14" t="str">
        <f ca="1">IFERROR(INDEX(All_Risk_Apps!$B$4:$B$1233,_xludf.aggregate(15,6,(ROW(All_Risk_Apps!$A$4:$A$1233)-ROW(All_Risk_Apps!$A$4)+1)/(All_Risk_Apps!$J$4:$J$1233="Fast Follower")*(All_Risk_Apps!$A$4:$A$1233&lt;&gt;""),144)),"")</f>
        <v/>
      </c>
      <c r="C147" s="14" t="str">
        <f ca="1">IFERROR(INDEX(All_Risk_Apps!$D$4:$D$1233,_xludf.aggregate(15,6,(ROW(All_Risk_Apps!$A$4:$A$1233)-ROW(All_Risk_Apps!$A$4)+1)/(All_Risk_Apps!$J$4:$J$1233="Fast Follower")*(All_Risk_Apps!$A$4:$A$1233&lt;&gt;""),144)),"")</f>
        <v/>
      </c>
      <c r="D147" s="14" t="str">
        <f ca="1">IFERROR(INDEX(All_Risk_Apps!$C$4:$C$1233,_xludf.aggregate(15,6,(ROW(All_Risk_Apps!$A$4:$A$1233)-ROW(All_Risk_Apps!$A$4)+1)/(All_Risk_Apps!$J$4:$J$1233="Fast Follower")*(All_Risk_Apps!$A$4:$A$1233&lt;&gt;""),144)),"")</f>
        <v/>
      </c>
      <c r="E147" s="14" t="str">
        <f ca="1">IFERROR(INDEX(All_Risk_Apps!$E$4:$E$1233,_xludf.aggregate(15,6,(ROW(All_Risk_Apps!$A$4:$A$1233)-ROW(All_Risk_Apps!$A$4)+1)/(All_Risk_Apps!$J$4:$J$1233="Fast Follower")*(All_Risk_Apps!$A$4:$A$1233&lt;&gt;""),144)),"")</f>
        <v/>
      </c>
      <c r="F147" s="14" t="str">
        <f ca="1">IFERROR(INDEX(All_Risk_Apps!$F$4:$F$1233,_xludf.aggregate(15,6,(ROW(All_Risk_Apps!$A$4:$A$1233)-ROW(All_Risk_Apps!$A$4)+1)/(All_Risk_Apps!$J$4:$J$1233="Fast Follower")*(All_Risk_Apps!$A$4:$A$1233&lt;&gt;""),144)),"")</f>
        <v/>
      </c>
      <c r="G147" s="14" t="str">
        <f ca="1">IFERROR(INDEX(All_Risk_Apps!$I$4:$I$1233,_xludf.aggregate(15,6,(ROW(All_Risk_Apps!$A$4:$A$1233)-ROW(All_Risk_Apps!$A$4)+1)/(All_Risk_Apps!$J$4:$J$1233="Fast Follower")*(All_Risk_Apps!$A$4:$A$1233&lt;&gt;""),144)),"")</f>
        <v/>
      </c>
      <c r="H147" s="14" t="str">
        <f ca="1">IF(B147="","",IFERROR(INDEX(Server_Inventory!$R:$R,MATCH(B147,Server_Inventory!$Z:$Z,0)),"Not Found"))</f>
        <v/>
      </c>
      <c r="I147" s="14" t="str">
        <f ca="1">IF(B147="","",IFERROR(INDEX(Server_Inventory!$S:$S,MATCH(B147,Server_Inventory!$Z:$Z,0)),"Not Found"))</f>
        <v/>
      </c>
      <c r="J147" s="14" t="str">
        <f ca="1">IF(B147="","",COUNTIFS(Server_Inventory!$Z:$Z,B147,Server_Inventory!$P:$P,"R-RETIRED_IN_CMDB"))</f>
        <v/>
      </c>
      <c r="K147" s="14" t="str">
        <f ca="1">IF(B147="","",IFERROR(INDEX(Container_Inventory!$F:$F,MATCH(B147,Container_Inventory!$L:$L,0)),"Not Found"))</f>
        <v/>
      </c>
      <c r="L147" s="14" t="str">
        <f ca="1">IF(B147="","",IF(COUNTIF(Finding_List!$A:$A,B147)&gt;0,"Yes","No"))</f>
        <v/>
      </c>
      <c r="M147" s="14" t="str">
        <f ca="1">IF(B147="","",COUNTIF(Server_Inventory!$Z:$Z,B147))</f>
        <v/>
      </c>
      <c r="N147" s="14" t="str">
        <f ca="1">IF(B147="","",COUNTIF(Container_Inventory!$L:$L,B147))</f>
        <v/>
      </c>
    </row>
    <row r="148" spans="1:14" x14ac:dyDescent="0.2">
      <c r="A148" s="8" t="str">
        <f ca="1">IFERROR(INDEX(All_Risk_Apps!$A$4:$A$1233,_xludf.aggregate(15,6,(ROW(All_Risk_Apps!$A$4:$A$1233)-ROW(All_Risk_Apps!$A$4)+1)/(All_Risk_Apps!$J$4:$J$1233="Fast Follower")*(All_Risk_Apps!$A$4:$A$1233&lt;&gt;""),145)),"")</f>
        <v/>
      </c>
      <c r="B148" s="8" t="str">
        <f ca="1">IFERROR(INDEX(All_Risk_Apps!$B$4:$B$1233,_xludf.aggregate(15,6,(ROW(All_Risk_Apps!$A$4:$A$1233)-ROW(All_Risk_Apps!$A$4)+1)/(All_Risk_Apps!$J$4:$J$1233="Fast Follower")*(All_Risk_Apps!$A$4:$A$1233&lt;&gt;""),145)),"")</f>
        <v/>
      </c>
      <c r="C148" s="8" t="str">
        <f ca="1">IFERROR(INDEX(All_Risk_Apps!$D$4:$D$1233,_xludf.aggregate(15,6,(ROW(All_Risk_Apps!$A$4:$A$1233)-ROW(All_Risk_Apps!$A$4)+1)/(All_Risk_Apps!$J$4:$J$1233="Fast Follower")*(All_Risk_Apps!$A$4:$A$1233&lt;&gt;""),145)),"")</f>
        <v/>
      </c>
      <c r="D148" s="8" t="str">
        <f ca="1">IFERROR(INDEX(All_Risk_Apps!$C$4:$C$1233,_xludf.aggregate(15,6,(ROW(All_Risk_Apps!$A$4:$A$1233)-ROW(All_Risk_Apps!$A$4)+1)/(All_Risk_Apps!$J$4:$J$1233="Fast Follower")*(All_Risk_Apps!$A$4:$A$1233&lt;&gt;""),145)),"")</f>
        <v/>
      </c>
      <c r="E148" s="8" t="str">
        <f ca="1">IFERROR(INDEX(All_Risk_Apps!$E$4:$E$1233,_xludf.aggregate(15,6,(ROW(All_Risk_Apps!$A$4:$A$1233)-ROW(All_Risk_Apps!$A$4)+1)/(All_Risk_Apps!$J$4:$J$1233="Fast Follower")*(All_Risk_Apps!$A$4:$A$1233&lt;&gt;""),145)),"")</f>
        <v/>
      </c>
      <c r="F148" s="8" t="str">
        <f ca="1">IFERROR(INDEX(All_Risk_Apps!$F$4:$F$1233,_xludf.aggregate(15,6,(ROW(All_Risk_Apps!$A$4:$A$1233)-ROW(All_Risk_Apps!$A$4)+1)/(All_Risk_Apps!$J$4:$J$1233="Fast Follower")*(All_Risk_Apps!$A$4:$A$1233&lt;&gt;""),145)),"")</f>
        <v/>
      </c>
      <c r="G148" s="8" t="str">
        <f ca="1">IFERROR(INDEX(All_Risk_Apps!$I$4:$I$1233,_xludf.aggregate(15,6,(ROW(All_Risk_Apps!$A$4:$A$1233)-ROW(All_Risk_Apps!$A$4)+1)/(All_Risk_Apps!$J$4:$J$1233="Fast Follower")*(All_Risk_Apps!$A$4:$A$1233&lt;&gt;""),145)),"")</f>
        <v/>
      </c>
      <c r="H148" s="8" t="str">
        <f ca="1">IF(B148="","",IFERROR(INDEX(Server_Inventory!$R:$R,MATCH(B148,Server_Inventory!$Z:$Z,0)),"Not Found"))</f>
        <v/>
      </c>
      <c r="I148" s="8" t="str">
        <f ca="1">IF(B148="","",IFERROR(INDEX(Server_Inventory!$S:$S,MATCH(B148,Server_Inventory!$Z:$Z,0)),"Not Found"))</f>
        <v/>
      </c>
      <c r="J148" s="8" t="str">
        <f ca="1">IF(B148="","",COUNTIFS(Server_Inventory!$Z:$Z,B148,Server_Inventory!$P:$P,"R-RETIRED_IN_CMDB"))</f>
        <v/>
      </c>
      <c r="K148" s="8" t="str">
        <f ca="1">IF(B148="","",IFERROR(INDEX(Container_Inventory!$F:$F,MATCH(B148,Container_Inventory!$L:$L,0)),"Not Found"))</f>
        <v/>
      </c>
      <c r="L148" s="8" t="str">
        <f ca="1">IF(B148="","",IF(COUNTIF(Finding_List!$A:$A,B148)&gt;0,"Yes","No"))</f>
        <v/>
      </c>
      <c r="M148" s="8" t="str">
        <f ca="1">IF(B148="","",COUNTIF(Server_Inventory!$Z:$Z,B148))</f>
        <v/>
      </c>
      <c r="N148" s="8" t="str">
        <f ca="1">IF(B148="","",COUNTIF(Container_Inventory!$L:$L,B148))</f>
        <v/>
      </c>
    </row>
    <row r="149" spans="1:14" x14ac:dyDescent="0.2">
      <c r="A149" s="14" t="str">
        <f ca="1">IFERROR(INDEX(All_Risk_Apps!$A$4:$A$1233,_xludf.aggregate(15,6,(ROW(All_Risk_Apps!$A$4:$A$1233)-ROW(All_Risk_Apps!$A$4)+1)/(All_Risk_Apps!$J$4:$J$1233="Fast Follower")*(All_Risk_Apps!$A$4:$A$1233&lt;&gt;""),146)),"")</f>
        <v/>
      </c>
      <c r="B149" s="14" t="str">
        <f ca="1">IFERROR(INDEX(All_Risk_Apps!$B$4:$B$1233,_xludf.aggregate(15,6,(ROW(All_Risk_Apps!$A$4:$A$1233)-ROW(All_Risk_Apps!$A$4)+1)/(All_Risk_Apps!$J$4:$J$1233="Fast Follower")*(All_Risk_Apps!$A$4:$A$1233&lt;&gt;""),146)),"")</f>
        <v/>
      </c>
      <c r="C149" s="14" t="str">
        <f ca="1">IFERROR(INDEX(All_Risk_Apps!$D$4:$D$1233,_xludf.aggregate(15,6,(ROW(All_Risk_Apps!$A$4:$A$1233)-ROW(All_Risk_Apps!$A$4)+1)/(All_Risk_Apps!$J$4:$J$1233="Fast Follower")*(All_Risk_Apps!$A$4:$A$1233&lt;&gt;""),146)),"")</f>
        <v/>
      </c>
      <c r="D149" s="14" t="str">
        <f ca="1">IFERROR(INDEX(All_Risk_Apps!$C$4:$C$1233,_xludf.aggregate(15,6,(ROW(All_Risk_Apps!$A$4:$A$1233)-ROW(All_Risk_Apps!$A$4)+1)/(All_Risk_Apps!$J$4:$J$1233="Fast Follower")*(All_Risk_Apps!$A$4:$A$1233&lt;&gt;""),146)),"")</f>
        <v/>
      </c>
      <c r="E149" s="14" t="str">
        <f ca="1">IFERROR(INDEX(All_Risk_Apps!$E$4:$E$1233,_xludf.aggregate(15,6,(ROW(All_Risk_Apps!$A$4:$A$1233)-ROW(All_Risk_Apps!$A$4)+1)/(All_Risk_Apps!$J$4:$J$1233="Fast Follower")*(All_Risk_Apps!$A$4:$A$1233&lt;&gt;""),146)),"")</f>
        <v/>
      </c>
      <c r="F149" s="14" t="str">
        <f ca="1">IFERROR(INDEX(All_Risk_Apps!$F$4:$F$1233,_xludf.aggregate(15,6,(ROW(All_Risk_Apps!$A$4:$A$1233)-ROW(All_Risk_Apps!$A$4)+1)/(All_Risk_Apps!$J$4:$J$1233="Fast Follower")*(All_Risk_Apps!$A$4:$A$1233&lt;&gt;""),146)),"")</f>
        <v/>
      </c>
      <c r="G149" s="14" t="str">
        <f ca="1">IFERROR(INDEX(All_Risk_Apps!$I$4:$I$1233,_xludf.aggregate(15,6,(ROW(All_Risk_Apps!$A$4:$A$1233)-ROW(All_Risk_Apps!$A$4)+1)/(All_Risk_Apps!$J$4:$J$1233="Fast Follower")*(All_Risk_Apps!$A$4:$A$1233&lt;&gt;""),146)),"")</f>
        <v/>
      </c>
      <c r="H149" s="14" t="str">
        <f ca="1">IF(B149="","",IFERROR(INDEX(Server_Inventory!$R:$R,MATCH(B149,Server_Inventory!$Z:$Z,0)),"Not Found"))</f>
        <v/>
      </c>
      <c r="I149" s="14" t="str">
        <f ca="1">IF(B149="","",IFERROR(INDEX(Server_Inventory!$S:$S,MATCH(B149,Server_Inventory!$Z:$Z,0)),"Not Found"))</f>
        <v/>
      </c>
      <c r="J149" s="14" t="str">
        <f ca="1">IF(B149="","",COUNTIFS(Server_Inventory!$Z:$Z,B149,Server_Inventory!$P:$P,"R-RETIRED_IN_CMDB"))</f>
        <v/>
      </c>
      <c r="K149" s="14" t="str">
        <f ca="1">IF(B149="","",IFERROR(INDEX(Container_Inventory!$F:$F,MATCH(B149,Container_Inventory!$L:$L,0)),"Not Found"))</f>
        <v/>
      </c>
      <c r="L149" s="14" t="str">
        <f ca="1">IF(B149="","",IF(COUNTIF(Finding_List!$A:$A,B149)&gt;0,"Yes","No"))</f>
        <v/>
      </c>
      <c r="M149" s="14" t="str">
        <f ca="1">IF(B149="","",COUNTIF(Server_Inventory!$Z:$Z,B149))</f>
        <v/>
      </c>
      <c r="N149" s="14" t="str">
        <f ca="1">IF(B149="","",COUNTIF(Container_Inventory!$L:$L,B149))</f>
        <v/>
      </c>
    </row>
    <row r="150" spans="1:14" x14ac:dyDescent="0.2">
      <c r="A150" s="8" t="str">
        <f ca="1">IFERROR(INDEX(All_Risk_Apps!$A$4:$A$1233,_xludf.aggregate(15,6,(ROW(All_Risk_Apps!$A$4:$A$1233)-ROW(All_Risk_Apps!$A$4)+1)/(All_Risk_Apps!$J$4:$J$1233="Fast Follower")*(All_Risk_Apps!$A$4:$A$1233&lt;&gt;""),147)),"")</f>
        <v/>
      </c>
      <c r="B150" s="8" t="str">
        <f ca="1">IFERROR(INDEX(All_Risk_Apps!$B$4:$B$1233,_xludf.aggregate(15,6,(ROW(All_Risk_Apps!$A$4:$A$1233)-ROW(All_Risk_Apps!$A$4)+1)/(All_Risk_Apps!$J$4:$J$1233="Fast Follower")*(All_Risk_Apps!$A$4:$A$1233&lt;&gt;""),147)),"")</f>
        <v/>
      </c>
      <c r="C150" s="8" t="str">
        <f ca="1">IFERROR(INDEX(All_Risk_Apps!$D$4:$D$1233,_xludf.aggregate(15,6,(ROW(All_Risk_Apps!$A$4:$A$1233)-ROW(All_Risk_Apps!$A$4)+1)/(All_Risk_Apps!$J$4:$J$1233="Fast Follower")*(All_Risk_Apps!$A$4:$A$1233&lt;&gt;""),147)),"")</f>
        <v/>
      </c>
      <c r="D150" s="8" t="str">
        <f ca="1">IFERROR(INDEX(All_Risk_Apps!$C$4:$C$1233,_xludf.aggregate(15,6,(ROW(All_Risk_Apps!$A$4:$A$1233)-ROW(All_Risk_Apps!$A$4)+1)/(All_Risk_Apps!$J$4:$J$1233="Fast Follower")*(All_Risk_Apps!$A$4:$A$1233&lt;&gt;""),147)),"")</f>
        <v/>
      </c>
      <c r="E150" s="8" t="str">
        <f ca="1">IFERROR(INDEX(All_Risk_Apps!$E$4:$E$1233,_xludf.aggregate(15,6,(ROW(All_Risk_Apps!$A$4:$A$1233)-ROW(All_Risk_Apps!$A$4)+1)/(All_Risk_Apps!$J$4:$J$1233="Fast Follower")*(All_Risk_Apps!$A$4:$A$1233&lt;&gt;""),147)),"")</f>
        <v/>
      </c>
      <c r="F150" s="8" t="str">
        <f ca="1">IFERROR(INDEX(All_Risk_Apps!$F$4:$F$1233,_xludf.aggregate(15,6,(ROW(All_Risk_Apps!$A$4:$A$1233)-ROW(All_Risk_Apps!$A$4)+1)/(All_Risk_Apps!$J$4:$J$1233="Fast Follower")*(All_Risk_Apps!$A$4:$A$1233&lt;&gt;""),147)),"")</f>
        <v/>
      </c>
      <c r="G150" s="8" t="str">
        <f ca="1">IFERROR(INDEX(All_Risk_Apps!$I$4:$I$1233,_xludf.aggregate(15,6,(ROW(All_Risk_Apps!$A$4:$A$1233)-ROW(All_Risk_Apps!$A$4)+1)/(All_Risk_Apps!$J$4:$J$1233="Fast Follower")*(All_Risk_Apps!$A$4:$A$1233&lt;&gt;""),147)),"")</f>
        <v/>
      </c>
      <c r="H150" s="8" t="str">
        <f ca="1">IF(B150="","",IFERROR(INDEX(Server_Inventory!$R:$R,MATCH(B150,Server_Inventory!$Z:$Z,0)),"Not Found"))</f>
        <v/>
      </c>
      <c r="I150" s="8" t="str">
        <f ca="1">IF(B150="","",IFERROR(INDEX(Server_Inventory!$S:$S,MATCH(B150,Server_Inventory!$Z:$Z,0)),"Not Found"))</f>
        <v/>
      </c>
      <c r="J150" s="8" t="str">
        <f ca="1">IF(B150="","",COUNTIFS(Server_Inventory!$Z:$Z,B150,Server_Inventory!$P:$P,"R-RETIRED_IN_CMDB"))</f>
        <v/>
      </c>
      <c r="K150" s="8" t="str">
        <f ca="1">IF(B150="","",IFERROR(INDEX(Container_Inventory!$F:$F,MATCH(B150,Container_Inventory!$L:$L,0)),"Not Found"))</f>
        <v/>
      </c>
      <c r="L150" s="8" t="str">
        <f ca="1">IF(B150="","",IF(COUNTIF(Finding_List!$A:$A,B150)&gt;0,"Yes","No"))</f>
        <v/>
      </c>
      <c r="M150" s="8" t="str">
        <f ca="1">IF(B150="","",COUNTIF(Server_Inventory!$Z:$Z,B150))</f>
        <v/>
      </c>
      <c r="N150" s="8" t="str">
        <f ca="1">IF(B150="","",COUNTIF(Container_Inventory!$L:$L,B150))</f>
        <v/>
      </c>
    </row>
    <row r="151" spans="1:14" x14ac:dyDescent="0.2">
      <c r="A151" s="14" t="str">
        <f ca="1">IFERROR(INDEX(All_Risk_Apps!$A$4:$A$1233,_xludf.aggregate(15,6,(ROW(All_Risk_Apps!$A$4:$A$1233)-ROW(All_Risk_Apps!$A$4)+1)/(All_Risk_Apps!$J$4:$J$1233="Fast Follower")*(All_Risk_Apps!$A$4:$A$1233&lt;&gt;""),148)),"")</f>
        <v/>
      </c>
      <c r="B151" s="14" t="str">
        <f ca="1">IFERROR(INDEX(All_Risk_Apps!$B$4:$B$1233,_xludf.aggregate(15,6,(ROW(All_Risk_Apps!$A$4:$A$1233)-ROW(All_Risk_Apps!$A$4)+1)/(All_Risk_Apps!$J$4:$J$1233="Fast Follower")*(All_Risk_Apps!$A$4:$A$1233&lt;&gt;""),148)),"")</f>
        <v/>
      </c>
      <c r="C151" s="14" t="str">
        <f ca="1">IFERROR(INDEX(All_Risk_Apps!$D$4:$D$1233,_xludf.aggregate(15,6,(ROW(All_Risk_Apps!$A$4:$A$1233)-ROW(All_Risk_Apps!$A$4)+1)/(All_Risk_Apps!$J$4:$J$1233="Fast Follower")*(All_Risk_Apps!$A$4:$A$1233&lt;&gt;""),148)),"")</f>
        <v/>
      </c>
      <c r="D151" s="14" t="str">
        <f ca="1">IFERROR(INDEX(All_Risk_Apps!$C$4:$C$1233,_xludf.aggregate(15,6,(ROW(All_Risk_Apps!$A$4:$A$1233)-ROW(All_Risk_Apps!$A$4)+1)/(All_Risk_Apps!$J$4:$J$1233="Fast Follower")*(All_Risk_Apps!$A$4:$A$1233&lt;&gt;""),148)),"")</f>
        <v/>
      </c>
      <c r="E151" s="14" t="str">
        <f ca="1">IFERROR(INDEX(All_Risk_Apps!$E$4:$E$1233,_xludf.aggregate(15,6,(ROW(All_Risk_Apps!$A$4:$A$1233)-ROW(All_Risk_Apps!$A$4)+1)/(All_Risk_Apps!$J$4:$J$1233="Fast Follower")*(All_Risk_Apps!$A$4:$A$1233&lt;&gt;""),148)),"")</f>
        <v/>
      </c>
      <c r="F151" s="14" t="str">
        <f ca="1">IFERROR(INDEX(All_Risk_Apps!$F$4:$F$1233,_xludf.aggregate(15,6,(ROW(All_Risk_Apps!$A$4:$A$1233)-ROW(All_Risk_Apps!$A$4)+1)/(All_Risk_Apps!$J$4:$J$1233="Fast Follower")*(All_Risk_Apps!$A$4:$A$1233&lt;&gt;""),148)),"")</f>
        <v/>
      </c>
      <c r="G151" s="14" t="str">
        <f ca="1">IFERROR(INDEX(All_Risk_Apps!$I$4:$I$1233,_xludf.aggregate(15,6,(ROW(All_Risk_Apps!$A$4:$A$1233)-ROW(All_Risk_Apps!$A$4)+1)/(All_Risk_Apps!$J$4:$J$1233="Fast Follower")*(All_Risk_Apps!$A$4:$A$1233&lt;&gt;""),148)),"")</f>
        <v/>
      </c>
      <c r="H151" s="14" t="str">
        <f ca="1">IF(B151="","",IFERROR(INDEX(Server_Inventory!$R:$R,MATCH(B151,Server_Inventory!$Z:$Z,0)),"Not Found"))</f>
        <v/>
      </c>
      <c r="I151" s="14" t="str">
        <f ca="1">IF(B151="","",IFERROR(INDEX(Server_Inventory!$S:$S,MATCH(B151,Server_Inventory!$Z:$Z,0)),"Not Found"))</f>
        <v/>
      </c>
      <c r="J151" s="14" t="str">
        <f ca="1">IF(B151="","",COUNTIFS(Server_Inventory!$Z:$Z,B151,Server_Inventory!$P:$P,"R-RETIRED_IN_CMDB"))</f>
        <v/>
      </c>
      <c r="K151" s="14" t="str">
        <f ca="1">IF(B151="","",IFERROR(INDEX(Container_Inventory!$F:$F,MATCH(B151,Container_Inventory!$L:$L,0)),"Not Found"))</f>
        <v/>
      </c>
      <c r="L151" s="14" t="str">
        <f ca="1">IF(B151="","",IF(COUNTIF(Finding_List!$A:$A,B151)&gt;0,"Yes","No"))</f>
        <v/>
      </c>
      <c r="M151" s="14" t="str">
        <f ca="1">IF(B151="","",COUNTIF(Server_Inventory!$Z:$Z,B151))</f>
        <v/>
      </c>
      <c r="N151" s="14" t="str">
        <f ca="1">IF(B151="","",COUNTIF(Container_Inventory!$L:$L,B151))</f>
        <v/>
      </c>
    </row>
    <row r="152" spans="1:14" x14ac:dyDescent="0.2">
      <c r="A152" s="8" t="str">
        <f ca="1">IFERROR(INDEX(All_Risk_Apps!$A$4:$A$1233,_xludf.aggregate(15,6,(ROW(All_Risk_Apps!$A$4:$A$1233)-ROW(All_Risk_Apps!$A$4)+1)/(All_Risk_Apps!$J$4:$J$1233="Fast Follower")*(All_Risk_Apps!$A$4:$A$1233&lt;&gt;""),149)),"")</f>
        <v/>
      </c>
      <c r="B152" s="8" t="str">
        <f ca="1">IFERROR(INDEX(All_Risk_Apps!$B$4:$B$1233,_xludf.aggregate(15,6,(ROW(All_Risk_Apps!$A$4:$A$1233)-ROW(All_Risk_Apps!$A$4)+1)/(All_Risk_Apps!$J$4:$J$1233="Fast Follower")*(All_Risk_Apps!$A$4:$A$1233&lt;&gt;""),149)),"")</f>
        <v/>
      </c>
      <c r="C152" s="8" t="str">
        <f ca="1">IFERROR(INDEX(All_Risk_Apps!$D$4:$D$1233,_xludf.aggregate(15,6,(ROW(All_Risk_Apps!$A$4:$A$1233)-ROW(All_Risk_Apps!$A$4)+1)/(All_Risk_Apps!$J$4:$J$1233="Fast Follower")*(All_Risk_Apps!$A$4:$A$1233&lt;&gt;""),149)),"")</f>
        <v/>
      </c>
      <c r="D152" s="8" t="str">
        <f ca="1">IFERROR(INDEX(All_Risk_Apps!$C$4:$C$1233,_xludf.aggregate(15,6,(ROW(All_Risk_Apps!$A$4:$A$1233)-ROW(All_Risk_Apps!$A$4)+1)/(All_Risk_Apps!$J$4:$J$1233="Fast Follower")*(All_Risk_Apps!$A$4:$A$1233&lt;&gt;""),149)),"")</f>
        <v/>
      </c>
      <c r="E152" s="8" t="str">
        <f ca="1">IFERROR(INDEX(All_Risk_Apps!$E$4:$E$1233,_xludf.aggregate(15,6,(ROW(All_Risk_Apps!$A$4:$A$1233)-ROW(All_Risk_Apps!$A$4)+1)/(All_Risk_Apps!$J$4:$J$1233="Fast Follower")*(All_Risk_Apps!$A$4:$A$1233&lt;&gt;""),149)),"")</f>
        <v/>
      </c>
      <c r="F152" s="8" t="str">
        <f ca="1">IFERROR(INDEX(All_Risk_Apps!$F$4:$F$1233,_xludf.aggregate(15,6,(ROW(All_Risk_Apps!$A$4:$A$1233)-ROW(All_Risk_Apps!$A$4)+1)/(All_Risk_Apps!$J$4:$J$1233="Fast Follower")*(All_Risk_Apps!$A$4:$A$1233&lt;&gt;""),149)),"")</f>
        <v/>
      </c>
      <c r="G152" s="8" t="str">
        <f ca="1">IFERROR(INDEX(All_Risk_Apps!$I$4:$I$1233,_xludf.aggregate(15,6,(ROW(All_Risk_Apps!$A$4:$A$1233)-ROW(All_Risk_Apps!$A$4)+1)/(All_Risk_Apps!$J$4:$J$1233="Fast Follower")*(All_Risk_Apps!$A$4:$A$1233&lt;&gt;""),149)),"")</f>
        <v/>
      </c>
      <c r="H152" s="8" t="str">
        <f ca="1">IF(B152="","",IFERROR(INDEX(Server_Inventory!$R:$R,MATCH(B152,Server_Inventory!$Z:$Z,0)),"Not Found"))</f>
        <v/>
      </c>
      <c r="I152" s="8" t="str">
        <f ca="1">IF(B152="","",IFERROR(INDEX(Server_Inventory!$S:$S,MATCH(B152,Server_Inventory!$Z:$Z,0)),"Not Found"))</f>
        <v/>
      </c>
      <c r="J152" s="8" t="str">
        <f ca="1">IF(B152="","",COUNTIFS(Server_Inventory!$Z:$Z,B152,Server_Inventory!$P:$P,"R-RETIRED_IN_CMDB"))</f>
        <v/>
      </c>
      <c r="K152" s="8" t="str">
        <f ca="1">IF(B152="","",IFERROR(INDEX(Container_Inventory!$F:$F,MATCH(B152,Container_Inventory!$L:$L,0)),"Not Found"))</f>
        <v/>
      </c>
      <c r="L152" s="8" t="str">
        <f ca="1">IF(B152="","",IF(COUNTIF(Finding_List!$A:$A,B152)&gt;0,"Yes","No"))</f>
        <v/>
      </c>
      <c r="M152" s="8" t="str">
        <f ca="1">IF(B152="","",COUNTIF(Server_Inventory!$Z:$Z,B152))</f>
        <v/>
      </c>
      <c r="N152" s="8" t="str">
        <f ca="1">IF(B152="","",COUNTIF(Container_Inventory!$L:$L,B152))</f>
        <v/>
      </c>
    </row>
    <row r="153" spans="1:14" x14ac:dyDescent="0.2">
      <c r="A153" s="14" t="str">
        <f ca="1">IFERROR(INDEX(All_Risk_Apps!$A$4:$A$1233,_xludf.aggregate(15,6,(ROW(All_Risk_Apps!$A$4:$A$1233)-ROW(All_Risk_Apps!$A$4)+1)/(All_Risk_Apps!$J$4:$J$1233="Fast Follower")*(All_Risk_Apps!$A$4:$A$1233&lt;&gt;""),150)),"")</f>
        <v/>
      </c>
      <c r="B153" s="14" t="str">
        <f ca="1">IFERROR(INDEX(All_Risk_Apps!$B$4:$B$1233,_xludf.aggregate(15,6,(ROW(All_Risk_Apps!$A$4:$A$1233)-ROW(All_Risk_Apps!$A$4)+1)/(All_Risk_Apps!$J$4:$J$1233="Fast Follower")*(All_Risk_Apps!$A$4:$A$1233&lt;&gt;""),150)),"")</f>
        <v/>
      </c>
      <c r="C153" s="14" t="str">
        <f ca="1">IFERROR(INDEX(All_Risk_Apps!$D$4:$D$1233,_xludf.aggregate(15,6,(ROW(All_Risk_Apps!$A$4:$A$1233)-ROW(All_Risk_Apps!$A$4)+1)/(All_Risk_Apps!$J$4:$J$1233="Fast Follower")*(All_Risk_Apps!$A$4:$A$1233&lt;&gt;""),150)),"")</f>
        <v/>
      </c>
      <c r="D153" s="14" t="str">
        <f ca="1">IFERROR(INDEX(All_Risk_Apps!$C$4:$C$1233,_xludf.aggregate(15,6,(ROW(All_Risk_Apps!$A$4:$A$1233)-ROW(All_Risk_Apps!$A$4)+1)/(All_Risk_Apps!$J$4:$J$1233="Fast Follower")*(All_Risk_Apps!$A$4:$A$1233&lt;&gt;""),150)),"")</f>
        <v/>
      </c>
      <c r="E153" s="14" t="str">
        <f ca="1">IFERROR(INDEX(All_Risk_Apps!$E$4:$E$1233,_xludf.aggregate(15,6,(ROW(All_Risk_Apps!$A$4:$A$1233)-ROW(All_Risk_Apps!$A$4)+1)/(All_Risk_Apps!$J$4:$J$1233="Fast Follower")*(All_Risk_Apps!$A$4:$A$1233&lt;&gt;""),150)),"")</f>
        <v/>
      </c>
      <c r="F153" s="14" t="str">
        <f ca="1">IFERROR(INDEX(All_Risk_Apps!$F$4:$F$1233,_xludf.aggregate(15,6,(ROW(All_Risk_Apps!$A$4:$A$1233)-ROW(All_Risk_Apps!$A$4)+1)/(All_Risk_Apps!$J$4:$J$1233="Fast Follower")*(All_Risk_Apps!$A$4:$A$1233&lt;&gt;""),150)),"")</f>
        <v/>
      </c>
      <c r="G153" s="14" t="str">
        <f ca="1">IFERROR(INDEX(All_Risk_Apps!$I$4:$I$1233,_xludf.aggregate(15,6,(ROW(All_Risk_Apps!$A$4:$A$1233)-ROW(All_Risk_Apps!$A$4)+1)/(All_Risk_Apps!$J$4:$J$1233="Fast Follower")*(All_Risk_Apps!$A$4:$A$1233&lt;&gt;""),150)),"")</f>
        <v/>
      </c>
      <c r="H153" s="14" t="str">
        <f ca="1">IF(B153="","",IFERROR(INDEX(Server_Inventory!$R:$R,MATCH(B153,Server_Inventory!$Z:$Z,0)),"Not Found"))</f>
        <v/>
      </c>
      <c r="I153" s="14" t="str">
        <f ca="1">IF(B153="","",IFERROR(INDEX(Server_Inventory!$S:$S,MATCH(B153,Server_Inventory!$Z:$Z,0)),"Not Found"))</f>
        <v/>
      </c>
      <c r="J153" s="14" t="str">
        <f ca="1">IF(B153="","",COUNTIFS(Server_Inventory!$Z:$Z,B153,Server_Inventory!$P:$P,"R-RETIRED_IN_CMDB"))</f>
        <v/>
      </c>
      <c r="K153" s="14" t="str">
        <f ca="1">IF(B153="","",IFERROR(INDEX(Container_Inventory!$F:$F,MATCH(B153,Container_Inventory!$L:$L,0)),"Not Found"))</f>
        <v/>
      </c>
      <c r="L153" s="14" t="str">
        <f ca="1">IF(B153="","",IF(COUNTIF(Finding_List!$A:$A,B153)&gt;0,"Yes","No"))</f>
        <v/>
      </c>
      <c r="M153" s="14" t="str">
        <f ca="1">IF(B153="","",COUNTIF(Server_Inventory!$Z:$Z,B153))</f>
        <v/>
      </c>
      <c r="N153" s="14" t="str">
        <f ca="1">IF(B153="","",COUNTIF(Container_Inventory!$L:$L,B153))</f>
        <v/>
      </c>
    </row>
    <row r="154" spans="1:14" x14ac:dyDescent="0.2">
      <c r="A154" s="8" t="str">
        <f ca="1">IFERROR(INDEX(All_Risk_Apps!$A$4:$A$1233,_xludf.aggregate(15,6,(ROW(All_Risk_Apps!$A$4:$A$1233)-ROW(All_Risk_Apps!$A$4)+1)/(All_Risk_Apps!$J$4:$J$1233="Fast Follower")*(All_Risk_Apps!$A$4:$A$1233&lt;&gt;""),151)),"")</f>
        <v/>
      </c>
      <c r="B154" s="8" t="str">
        <f ca="1">IFERROR(INDEX(All_Risk_Apps!$B$4:$B$1233,_xludf.aggregate(15,6,(ROW(All_Risk_Apps!$A$4:$A$1233)-ROW(All_Risk_Apps!$A$4)+1)/(All_Risk_Apps!$J$4:$J$1233="Fast Follower")*(All_Risk_Apps!$A$4:$A$1233&lt;&gt;""),151)),"")</f>
        <v/>
      </c>
      <c r="C154" s="8" t="str">
        <f ca="1">IFERROR(INDEX(All_Risk_Apps!$D$4:$D$1233,_xludf.aggregate(15,6,(ROW(All_Risk_Apps!$A$4:$A$1233)-ROW(All_Risk_Apps!$A$4)+1)/(All_Risk_Apps!$J$4:$J$1233="Fast Follower")*(All_Risk_Apps!$A$4:$A$1233&lt;&gt;""),151)),"")</f>
        <v/>
      </c>
      <c r="D154" s="8" t="str">
        <f ca="1">IFERROR(INDEX(All_Risk_Apps!$C$4:$C$1233,_xludf.aggregate(15,6,(ROW(All_Risk_Apps!$A$4:$A$1233)-ROW(All_Risk_Apps!$A$4)+1)/(All_Risk_Apps!$J$4:$J$1233="Fast Follower")*(All_Risk_Apps!$A$4:$A$1233&lt;&gt;""),151)),"")</f>
        <v/>
      </c>
      <c r="E154" s="8" t="str">
        <f ca="1">IFERROR(INDEX(All_Risk_Apps!$E$4:$E$1233,_xludf.aggregate(15,6,(ROW(All_Risk_Apps!$A$4:$A$1233)-ROW(All_Risk_Apps!$A$4)+1)/(All_Risk_Apps!$J$4:$J$1233="Fast Follower")*(All_Risk_Apps!$A$4:$A$1233&lt;&gt;""),151)),"")</f>
        <v/>
      </c>
      <c r="F154" s="8" t="str">
        <f ca="1">IFERROR(INDEX(All_Risk_Apps!$F$4:$F$1233,_xludf.aggregate(15,6,(ROW(All_Risk_Apps!$A$4:$A$1233)-ROW(All_Risk_Apps!$A$4)+1)/(All_Risk_Apps!$J$4:$J$1233="Fast Follower")*(All_Risk_Apps!$A$4:$A$1233&lt;&gt;""),151)),"")</f>
        <v/>
      </c>
      <c r="G154" s="8" t="str">
        <f ca="1">IFERROR(INDEX(All_Risk_Apps!$I$4:$I$1233,_xludf.aggregate(15,6,(ROW(All_Risk_Apps!$A$4:$A$1233)-ROW(All_Risk_Apps!$A$4)+1)/(All_Risk_Apps!$J$4:$J$1233="Fast Follower")*(All_Risk_Apps!$A$4:$A$1233&lt;&gt;""),151)),"")</f>
        <v/>
      </c>
      <c r="H154" s="8" t="str">
        <f ca="1">IF(B154="","",IFERROR(INDEX(Server_Inventory!$R:$R,MATCH(B154,Server_Inventory!$Z:$Z,0)),"Not Found"))</f>
        <v/>
      </c>
      <c r="I154" s="8" t="str">
        <f ca="1">IF(B154="","",IFERROR(INDEX(Server_Inventory!$S:$S,MATCH(B154,Server_Inventory!$Z:$Z,0)),"Not Found"))</f>
        <v/>
      </c>
      <c r="J154" s="8" t="str">
        <f ca="1">IF(B154="","",COUNTIFS(Server_Inventory!$Z:$Z,B154,Server_Inventory!$P:$P,"R-RETIRED_IN_CMDB"))</f>
        <v/>
      </c>
      <c r="K154" s="8" t="str">
        <f ca="1">IF(B154="","",IFERROR(INDEX(Container_Inventory!$F:$F,MATCH(B154,Container_Inventory!$L:$L,0)),"Not Found"))</f>
        <v/>
      </c>
      <c r="L154" s="8" t="str">
        <f ca="1">IF(B154="","",IF(COUNTIF(Finding_List!$A:$A,B154)&gt;0,"Yes","No"))</f>
        <v/>
      </c>
      <c r="M154" s="8" t="str">
        <f ca="1">IF(B154="","",COUNTIF(Server_Inventory!$Z:$Z,B154))</f>
        <v/>
      </c>
      <c r="N154" s="8" t="str">
        <f ca="1">IF(B154="","",COUNTIF(Container_Inventory!$L:$L,B154))</f>
        <v/>
      </c>
    </row>
    <row r="155" spans="1:14" x14ac:dyDescent="0.2">
      <c r="A155" s="14" t="str">
        <f ca="1">IFERROR(INDEX(All_Risk_Apps!$A$4:$A$1233,_xludf.aggregate(15,6,(ROW(All_Risk_Apps!$A$4:$A$1233)-ROW(All_Risk_Apps!$A$4)+1)/(All_Risk_Apps!$J$4:$J$1233="Fast Follower")*(All_Risk_Apps!$A$4:$A$1233&lt;&gt;""),152)),"")</f>
        <v/>
      </c>
      <c r="B155" s="14" t="str">
        <f ca="1">IFERROR(INDEX(All_Risk_Apps!$B$4:$B$1233,_xludf.aggregate(15,6,(ROW(All_Risk_Apps!$A$4:$A$1233)-ROW(All_Risk_Apps!$A$4)+1)/(All_Risk_Apps!$J$4:$J$1233="Fast Follower")*(All_Risk_Apps!$A$4:$A$1233&lt;&gt;""),152)),"")</f>
        <v/>
      </c>
      <c r="C155" s="14" t="str">
        <f ca="1">IFERROR(INDEX(All_Risk_Apps!$D$4:$D$1233,_xludf.aggregate(15,6,(ROW(All_Risk_Apps!$A$4:$A$1233)-ROW(All_Risk_Apps!$A$4)+1)/(All_Risk_Apps!$J$4:$J$1233="Fast Follower")*(All_Risk_Apps!$A$4:$A$1233&lt;&gt;""),152)),"")</f>
        <v/>
      </c>
      <c r="D155" s="14" t="str">
        <f ca="1">IFERROR(INDEX(All_Risk_Apps!$C$4:$C$1233,_xludf.aggregate(15,6,(ROW(All_Risk_Apps!$A$4:$A$1233)-ROW(All_Risk_Apps!$A$4)+1)/(All_Risk_Apps!$J$4:$J$1233="Fast Follower")*(All_Risk_Apps!$A$4:$A$1233&lt;&gt;""),152)),"")</f>
        <v/>
      </c>
      <c r="E155" s="14" t="str">
        <f ca="1">IFERROR(INDEX(All_Risk_Apps!$E$4:$E$1233,_xludf.aggregate(15,6,(ROW(All_Risk_Apps!$A$4:$A$1233)-ROW(All_Risk_Apps!$A$4)+1)/(All_Risk_Apps!$J$4:$J$1233="Fast Follower")*(All_Risk_Apps!$A$4:$A$1233&lt;&gt;""),152)),"")</f>
        <v/>
      </c>
      <c r="F155" s="14" t="str">
        <f ca="1">IFERROR(INDEX(All_Risk_Apps!$F$4:$F$1233,_xludf.aggregate(15,6,(ROW(All_Risk_Apps!$A$4:$A$1233)-ROW(All_Risk_Apps!$A$4)+1)/(All_Risk_Apps!$J$4:$J$1233="Fast Follower")*(All_Risk_Apps!$A$4:$A$1233&lt;&gt;""),152)),"")</f>
        <v/>
      </c>
      <c r="G155" s="14" t="str">
        <f ca="1">IFERROR(INDEX(All_Risk_Apps!$I$4:$I$1233,_xludf.aggregate(15,6,(ROW(All_Risk_Apps!$A$4:$A$1233)-ROW(All_Risk_Apps!$A$4)+1)/(All_Risk_Apps!$J$4:$J$1233="Fast Follower")*(All_Risk_Apps!$A$4:$A$1233&lt;&gt;""),152)),"")</f>
        <v/>
      </c>
      <c r="H155" s="14" t="str">
        <f ca="1">IF(B155="","",IFERROR(INDEX(Server_Inventory!$R:$R,MATCH(B155,Server_Inventory!$Z:$Z,0)),"Not Found"))</f>
        <v/>
      </c>
      <c r="I155" s="14" t="str">
        <f ca="1">IF(B155="","",IFERROR(INDEX(Server_Inventory!$S:$S,MATCH(B155,Server_Inventory!$Z:$Z,0)),"Not Found"))</f>
        <v/>
      </c>
      <c r="J155" s="14" t="str">
        <f ca="1">IF(B155="","",COUNTIFS(Server_Inventory!$Z:$Z,B155,Server_Inventory!$P:$P,"R-RETIRED_IN_CMDB"))</f>
        <v/>
      </c>
      <c r="K155" s="14" t="str">
        <f ca="1">IF(B155="","",IFERROR(INDEX(Container_Inventory!$F:$F,MATCH(B155,Container_Inventory!$L:$L,0)),"Not Found"))</f>
        <v/>
      </c>
      <c r="L155" s="14" t="str">
        <f ca="1">IF(B155="","",IF(COUNTIF(Finding_List!$A:$A,B155)&gt;0,"Yes","No"))</f>
        <v/>
      </c>
      <c r="M155" s="14" t="str">
        <f ca="1">IF(B155="","",COUNTIF(Server_Inventory!$Z:$Z,B155))</f>
        <v/>
      </c>
      <c r="N155" s="14" t="str">
        <f ca="1">IF(B155="","",COUNTIF(Container_Inventory!$L:$L,B155))</f>
        <v/>
      </c>
    </row>
    <row r="156" spans="1:14" x14ac:dyDescent="0.2">
      <c r="A156" s="8" t="str">
        <f ca="1">IFERROR(INDEX(All_Risk_Apps!$A$4:$A$1233,_xludf.aggregate(15,6,(ROW(All_Risk_Apps!$A$4:$A$1233)-ROW(All_Risk_Apps!$A$4)+1)/(All_Risk_Apps!$J$4:$J$1233="Fast Follower")*(All_Risk_Apps!$A$4:$A$1233&lt;&gt;""),153)),"")</f>
        <v/>
      </c>
      <c r="B156" s="8" t="str">
        <f ca="1">IFERROR(INDEX(All_Risk_Apps!$B$4:$B$1233,_xludf.aggregate(15,6,(ROW(All_Risk_Apps!$A$4:$A$1233)-ROW(All_Risk_Apps!$A$4)+1)/(All_Risk_Apps!$J$4:$J$1233="Fast Follower")*(All_Risk_Apps!$A$4:$A$1233&lt;&gt;""),153)),"")</f>
        <v/>
      </c>
      <c r="C156" s="8" t="str">
        <f ca="1">IFERROR(INDEX(All_Risk_Apps!$D$4:$D$1233,_xludf.aggregate(15,6,(ROW(All_Risk_Apps!$A$4:$A$1233)-ROW(All_Risk_Apps!$A$4)+1)/(All_Risk_Apps!$J$4:$J$1233="Fast Follower")*(All_Risk_Apps!$A$4:$A$1233&lt;&gt;""),153)),"")</f>
        <v/>
      </c>
      <c r="D156" s="8" t="str">
        <f ca="1">IFERROR(INDEX(All_Risk_Apps!$C$4:$C$1233,_xludf.aggregate(15,6,(ROW(All_Risk_Apps!$A$4:$A$1233)-ROW(All_Risk_Apps!$A$4)+1)/(All_Risk_Apps!$J$4:$J$1233="Fast Follower")*(All_Risk_Apps!$A$4:$A$1233&lt;&gt;""),153)),"")</f>
        <v/>
      </c>
      <c r="E156" s="8" t="str">
        <f ca="1">IFERROR(INDEX(All_Risk_Apps!$E$4:$E$1233,_xludf.aggregate(15,6,(ROW(All_Risk_Apps!$A$4:$A$1233)-ROW(All_Risk_Apps!$A$4)+1)/(All_Risk_Apps!$J$4:$J$1233="Fast Follower")*(All_Risk_Apps!$A$4:$A$1233&lt;&gt;""),153)),"")</f>
        <v/>
      </c>
      <c r="F156" s="8" t="str">
        <f ca="1">IFERROR(INDEX(All_Risk_Apps!$F$4:$F$1233,_xludf.aggregate(15,6,(ROW(All_Risk_Apps!$A$4:$A$1233)-ROW(All_Risk_Apps!$A$4)+1)/(All_Risk_Apps!$J$4:$J$1233="Fast Follower")*(All_Risk_Apps!$A$4:$A$1233&lt;&gt;""),153)),"")</f>
        <v/>
      </c>
      <c r="G156" s="8" t="str">
        <f ca="1">IFERROR(INDEX(All_Risk_Apps!$I$4:$I$1233,_xludf.aggregate(15,6,(ROW(All_Risk_Apps!$A$4:$A$1233)-ROW(All_Risk_Apps!$A$4)+1)/(All_Risk_Apps!$J$4:$J$1233="Fast Follower")*(All_Risk_Apps!$A$4:$A$1233&lt;&gt;""),153)),"")</f>
        <v/>
      </c>
      <c r="H156" s="8" t="str">
        <f ca="1">IF(B156="","",IFERROR(INDEX(Server_Inventory!$R:$R,MATCH(B156,Server_Inventory!$Z:$Z,0)),"Not Found"))</f>
        <v/>
      </c>
      <c r="I156" s="8" t="str">
        <f ca="1">IF(B156="","",IFERROR(INDEX(Server_Inventory!$S:$S,MATCH(B156,Server_Inventory!$Z:$Z,0)),"Not Found"))</f>
        <v/>
      </c>
      <c r="J156" s="8" t="str">
        <f ca="1">IF(B156="","",COUNTIFS(Server_Inventory!$Z:$Z,B156,Server_Inventory!$P:$P,"R-RETIRED_IN_CMDB"))</f>
        <v/>
      </c>
      <c r="K156" s="8" t="str">
        <f ca="1">IF(B156="","",IFERROR(INDEX(Container_Inventory!$F:$F,MATCH(B156,Container_Inventory!$L:$L,0)),"Not Found"))</f>
        <v/>
      </c>
      <c r="L156" s="8" t="str">
        <f ca="1">IF(B156="","",IF(COUNTIF(Finding_List!$A:$A,B156)&gt;0,"Yes","No"))</f>
        <v/>
      </c>
      <c r="M156" s="8" t="str">
        <f ca="1">IF(B156="","",COUNTIF(Server_Inventory!$Z:$Z,B156))</f>
        <v/>
      </c>
      <c r="N156" s="8" t="str">
        <f ca="1">IF(B156="","",COUNTIF(Container_Inventory!$L:$L,B156))</f>
        <v/>
      </c>
    </row>
    <row r="157" spans="1:14" x14ac:dyDescent="0.2">
      <c r="A157" s="14" t="str">
        <f ca="1">IFERROR(INDEX(All_Risk_Apps!$A$4:$A$1233,_xludf.aggregate(15,6,(ROW(All_Risk_Apps!$A$4:$A$1233)-ROW(All_Risk_Apps!$A$4)+1)/(All_Risk_Apps!$J$4:$J$1233="Fast Follower")*(All_Risk_Apps!$A$4:$A$1233&lt;&gt;""),154)),"")</f>
        <v/>
      </c>
      <c r="B157" s="14" t="str">
        <f ca="1">IFERROR(INDEX(All_Risk_Apps!$B$4:$B$1233,_xludf.aggregate(15,6,(ROW(All_Risk_Apps!$A$4:$A$1233)-ROW(All_Risk_Apps!$A$4)+1)/(All_Risk_Apps!$J$4:$J$1233="Fast Follower")*(All_Risk_Apps!$A$4:$A$1233&lt;&gt;""),154)),"")</f>
        <v/>
      </c>
      <c r="C157" s="14" t="str">
        <f ca="1">IFERROR(INDEX(All_Risk_Apps!$D$4:$D$1233,_xludf.aggregate(15,6,(ROW(All_Risk_Apps!$A$4:$A$1233)-ROW(All_Risk_Apps!$A$4)+1)/(All_Risk_Apps!$J$4:$J$1233="Fast Follower")*(All_Risk_Apps!$A$4:$A$1233&lt;&gt;""),154)),"")</f>
        <v/>
      </c>
      <c r="D157" s="14" t="str">
        <f ca="1">IFERROR(INDEX(All_Risk_Apps!$C$4:$C$1233,_xludf.aggregate(15,6,(ROW(All_Risk_Apps!$A$4:$A$1233)-ROW(All_Risk_Apps!$A$4)+1)/(All_Risk_Apps!$J$4:$J$1233="Fast Follower")*(All_Risk_Apps!$A$4:$A$1233&lt;&gt;""),154)),"")</f>
        <v/>
      </c>
      <c r="E157" s="14" t="str">
        <f ca="1">IFERROR(INDEX(All_Risk_Apps!$E$4:$E$1233,_xludf.aggregate(15,6,(ROW(All_Risk_Apps!$A$4:$A$1233)-ROW(All_Risk_Apps!$A$4)+1)/(All_Risk_Apps!$J$4:$J$1233="Fast Follower")*(All_Risk_Apps!$A$4:$A$1233&lt;&gt;""),154)),"")</f>
        <v/>
      </c>
      <c r="F157" s="14" t="str">
        <f ca="1">IFERROR(INDEX(All_Risk_Apps!$F$4:$F$1233,_xludf.aggregate(15,6,(ROW(All_Risk_Apps!$A$4:$A$1233)-ROW(All_Risk_Apps!$A$4)+1)/(All_Risk_Apps!$J$4:$J$1233="Fast Follower")*(All_Risk_Apps!$A$4:$A$1233&lt;&gt;""),154)),"")</f>
        <v/>
      </c>
      <c r="G157" s="14" t="str">
        <f ca="1">IFERROR(INDEX(All_Risk_Apps!$I$4:$I$1233,_xludf.aggregate(15,6,(ROW(All_Risk_Apps!$A$4:$A$1233)-ROW(All_Risk_Apps!$A$4)+1)/(All_Risk_Apps!$J$4:$J$1233="Fast Follower")*(All_Risk_Apps!$A$4:$A$1233&lt;&gt;""),154)),"")</f>
        <v/>
      </c>
      <c r="H157" s="14" t="str">
        <f ca="1">IF(B157="","",IFERROR(INDEX(Server_Inventory!$R:$R,MATCH(B157,Server_Inventory!$Z:$Z,0)),"Not Found"))</f>
        <v/>
      </c>
      <c r="I157" s="14" t="str">
        <f ca="1">IF(B157="","",IFERROR(INDEX(Server_Inventory!$S:$S,MATCH(B157,Server_Inventory!$Z:$Z,0)),"Not Found"))</f>
        <v/>
      </c>
      <c r="J157" s="14" t="str">
        <f ca="1">IF(B157="","",COUNTIFS(Server_Inventory!$Z:$Z,B157,Server_Inventory!$P:$P,"R-RETIRED_IN_CMDB"))</f>
        <v/>
      </c>
      <c r="K157" s="14" t="str">
        <f ca="1">IF(B157="","",IFERROR(INDEX(Container_Inventory!$F:$F,MATCH(B157,Container_Inventory!$L:$L,0)),"Not Found"))</f>
        <v/>
      </c>
      <c r="L157" s="14" t="str">
        <f ca="1">IF(B157="","",IF(COUNTIF(Finding_List!$A:$A,B157)&gt;0,"Yes","No"))</f>
        <v/>
      </c>
      <c r="M157" s="14" t="str">
        <f ca="1">IF(B157="","",COUNTIF(Server_Inventory!$Z:$Z,B157))</f>
        <v/>
      </c>
      <c r="N157" s="14" t="str">
        <f ca="1">IF(B157="","",COUNTIF(Container_Inventory!$L:$L,B157))</f>
        <v/>
      </c>
    </row>
    <row r="158" spans="1:14" x14ac:dyDescent="0.2">
      <c r="A158" s="8" t="str">
        <f ca="1">IFERROR(INDEX(All_Risk_Apps!$A$4:$A$1233,_xludf.aggregate(15,6,(ROW(All_Risk_Apps!$A$4:$A$1233)-ROW(All_Risk_Apps!$A$4)+1)/(All_Risk_Apps!$J$4:$J$1233="Fast Follower")*(All_Risk_Apps!$A$4:$A$1233&lt;&gt;""),155)),"")</f>
        <v/>
      </c>
      <c r="B158" s="8" t="str">
        <f ca="1">IFERROR(INDEX(All_Risk_Apps!$B$4:$B$1233,_xludf.aggregate(15,6,(ROW(All_Risk_Apps!$A$4:$A$1233)-ROW(All_Risk_Apps!$A$4)+1)/(All_Risk_Apps!$J$4:$J$1233="Fast Follower")*(All_Risk_Apps!$A$4:$A$1233&lt;&gt;""),155)),"")</f>
        <v/>
      </c>
      <c r="C158" s="8" t="str">
        <f ca="1">IFERROR(INDEX(All_Risk_Apps!$D$4:$D$1233,_xludf.aggregate(15,6,(ROW(All_Risk_Apps!$A$4:$A$1233)-ROW(All_Risk_Apps!$A$4)+1)/(All_Risk_Apps!$J$4:$J$1233="Fast Follower")*(All_Risk_Apps!$A$4:$A$1233&lt;&gt;""),155)),"")</f>
        <v/>
      </c>
      <c r="D158" s="8" t="str">
        <f ca="1">IFERROR(INDEX(All_Risk_Apps!$C$4:$C$1233,_xludf.aggregate(15,6,(ROW(All_Risk_Apps!$A$4:$A$1233)-ROW(All_Risk_Apps!$A$4)+1)/(All_Risk_Apps!$J$4:$J$1233="Fast Follower")*(All_Risk_Apps!$A$4:$A$1233&lt;&gt;""),155)),"")</f>
        <v/>
      </c>
      <c r="E158" s="8" t="str">
        <f ca="1">IFERROR(INDEX(All_Risk_Apps!$E$4:$E$1233,_xludf.aggregate(15,6,(ROW(All_Risk_Apps!$A$4:$A$1233)-ROW(All_Risk_Apps!$A$4)+1)/(All_Risk_Apps!$J$4:$J$1233="Fast Follower")*(All_Risk_Apps!$A$4:$A$1233&lt;&gt;""),155)),"")</f>
        <v/>
      </c>
      <c r="F158" s="8" t="str">
        <f ca="1">IFERROR(INDEX(All_Risk_Apps!$F$4:$F$1233,_xludf.aggregate(15,6,(ROW(All_Risk_Apps!$A$4:$A$1233)-ROW(All_Risk_Apps!$A$4)+1)/(All_Risk_Apps!$J$4:$J$1233="Fast Follower")*(All_Risk_Apps!$A$4:$A$1233&lt;&gt;""),155)),"")</f>
        <v/>
      </c>
      <c r="G158" s="8" t="str">
        <f ca="1">IFERROR(INDEX(All_Risk_Apps!$I$4:$I$1233,_xludf.aggregate(15,6,(ROW(All_Risk_Apps!$A$4:$A$1233)-ROW(All_Risk_Apps!$A$4)+1)/(All_Risk_Apps!$J$4:$J$1233="Fast Follower")*(All_Risk_Apps!$A$4:$A$1233&lt;&gt;""),155)),"")</f>
        <v/>
      </c>
      <c r="H158" s="8" t="str">
        <f ca="1">IF(B158="","",IFERROR(INDEX(Server_Inventory!$R:$R,MATCH(B158,Server_Inventory!$Z:$Z,0)),"Not Found"))</f>
        <v/>
      </c>
      <c r="I158" s="8" t="str">
        <f ca="1">IF(B158="","",IFERROR(INDEX(Server_Inventory!$S:$S,MATCH(B158,Server_Inventory!$Z:$Z,0)),"Not Found"))</f>
        <v/>
      </c>
      <c r="J158" s="8" t="str">
        <f ca="1">IF(B158="","",COUNTIFS(Server_Inventory!$Z:$Z,B158,Server_Inventory!$P:$P,"R-RETIRED_IN_CMDB"))</f>
        <v/>
      </c>
      <c r="K158" s="8" t="str">
        <f ca="1">IF(B158="","",IFERROR(INDEX(Container_Inventory!$F:$F,MATCH(B158,Container_Inventory!$L:$L,0)),"Not Found"))</f>
        <v/>
      </c>
      <c r="L158" s="8" t="str">
        <f ca="1">IF(B158="","",IF(COUNTIF(Finding_List!$A:$A,B158)&gt;0,"Yes","No"))</f>
        <v/>
      </c>
      <c r="M158" s="8" t="str">
        <f ca="1">IF(B158="","",COUNTIF(Server_Inventory!$Z:$Z,B158))</f>
        <v/>
      </c>
      <c r="N158" s="8" t="str">
        <f ca="1">IF(B158="","",COUNTIF(Container_Inventory!$L:$L,B158))</f>
        <v/>
      </c>
    </row>
    <row r="159" spans="1:14" x14ac:dyDescent="0.2">
      <c r="A159" s="14" t="str">
        <f ca="1">IFERROR(INDEX(All_Risk_Apps!$A$4:$A$1233,_xludf.aggregate(15,6,(ROW(All_Risk_Apps!$A$4:$A$1233)-ROW(All_Risk_Apps!$A$4)+1)/(All_Risk_Apps!$J$4:$J$1233="Fast Follower")*(All_Risk_Apps!$A$4:$A$1233&lt;&gt;""),156)),"")</f>
        <v/>
      </c>
      <c r="B159" s="14" t="str">
        <f ca="1">IFERROR(INDEX(All_Risk_Apps!$B$4:$B$1233,_xludf.aggregate(15,6,(ROW(All_Risk_Apps!$A$4:$A$1233)-ROW(All_Risk_Apps!$A$4)+1)/(All_Risk_Apps!$J$4:$J$1233="Fast Follower")*(All_Risk_Apps!$A$4:$A$1233&lt;&gt;""),156)),"")</f>
        <v/>
      </c>
      <c r="C159" s="14" t="str">
        <f ca="1">IFERROR(INDEX(All_Risk_Apps!$D$4:$D$1233,_xludf.aggregate(15,6,(ROW(All_Risk_Apps!$A$4:$A$1233)-ROW(All_Risk_Apps!$A$4)+1)/(All_Risk_Apps!$J$4:$J$1233="Fast Follower")*(All_Risk_Apps!$A$4:$A$1233&lt;&gt;""),156)),"")</f>
        <v/>
      </c>
      <c r="D159" s="14" t="str">
        <f ca="1">IFERROR(INDEX(All_Risk_Apps!$C$4:$C$1233,_xludf.aggregate(15,6,(ROW(All_Risk_Apps!$A$4:$A$1233)-ROW(All_Risk_Apps!$A$4)+1)/(All_Risk_Apps!$J$4:$J$1233="Fast Follower")*(All_Risk_Apps!$A$4:$A$1233&lt;&gt;""),156)),"")</f>
        <v/>
      </c>
      <c r="E159" s="14" t="str">
        <f ca="1">IFERROR(INDEX(All_Risk_Apps!$E$4:$E$1233,_xludf.aggregate(15,6,(ROW(All_Risk_Apps!$A$4:$A$1233)-ROW(All_Risk_Apps!$A$4)+1)/(All_Risk_Apps!$J$4:$J$1233="Fast Follower")*(All_Risk_Apps!$A$4:$A$1233&lt;&gt;""),156)),"")</f>
        <v/>
      </c>
      <c r="F159" s="14" t="str">
        <f ca="1">IFERROR(INDEX(All_Risk_Apps!$F$4:$F$1233,_xludf.aggregate(15,6,(ROW(All_Risk_Apps!$A$4:$A$1233)-ROW(All_Risk_Apps!$A$4)+1)/(All_Risk_Apps!$J$4:$J$1233="Fast Follower")*(All_Risk_Apps!$A$4:$A$1233&lt;&gt;""),156)),"")</f>
        <v/>
      </c>
      <c r="G159" s="14" t="str">
        <f ca="1">IFERROR(INDEX(All_Risk_Apps!$I$4:$I$1233,_xludf.aggregate(15,6,(ROW(All_Risk_Apps!$A$4:$A$1233)-ROW(All_Risk_Apps!$A$4)+1)/(All_Risk_Apps!$J$4:$J$1233="Fast Follower")*(All_Risk_Apps!$A$4:$A$1233&lt;&gt;""),156)),"")</f>
        <v/>
      </c>
      <c r="H159" s="14" t="str">
        <f ca="1">IF(B159="","",IFERROR(INDEX(Server_Inventory!$R:$R,MATCH(B159,Server_Inventory!$Z:$Z,0)),"Not Found"))</f>
        <v/>
      </c>
      <c r="I159" s="14" t="str">
        <f ca="1">IF(B159="","",IFERROR(INDEX(Server_Inventory!$S:$S,MATCH(B159,Server_Inventory!$Z:$Z,0)),"Not Found"))</f>
        <v/>
      </c>
      <c r="J159" s="14" t="str">
        <f ca="1">IF(B159="","",COUNTIFS(Server_Inventory!$Z:$Z,B159,Server_Inventory!$P:$P,"R-RETIRED_IN_CMDB"))</f>
        <v/>
      </c>
      <c r="K159" s="14" t="str">
        <f ca="1">IF(B159="","",IFERROR(INDEX(Container_Inventory!$F:$F,MATCH(B159,Container_Inventory!$L:$L,0)),"Not Found"))</f>
        <v/>
      </c>
      <c r="L159" s="14" t="str">
        <f ca="1">IF(B159="","",IF(COUNTIF(Finding_List!$A:$A,B159)&gt;0,"Yes","No"))</f>
        <v/>
      </c>
      <c r="M159" s="14" t="str">
        <f ca="1">IF(B159="","",COUNTIF(Server_Inventory!$Z:$Z,B159))</f>
        <v/>
      </c>
      <c r="N159" s="14" t="str">
        <f ca="1">IF(B159="","",COUNTIF(Container_Inventory!$L:$L,B159))</f>
        <v/>
      </c>
    </row>
    <row r="160" spans="1:14" x14ac:dyDescent="0.2">
      <c r="A160" s="8" t="str">
        <f ca="1">IFERROR(INDEX(All_Risk_Apps!$A$4:$A$1233,_xludf.aggregate(15,6,(ROW(All_Risk_Apps!$A$4:$A$1233)-ROW(All_Risk_Apps!$A$4)+1)/(All_Risk_Apps!$J$4:$J$1233="Fast Follower")*(All_Risk_Apps!$A$4:$A$1233&lt;&gt;""),157)),"")</f>
        <v/>
      </c>
      <c r="B160" s="8" t="str">
        <f ca="1">IFERROR(INDEX(All_Risk_Apps!$B$4:$B$1233,_xludf.aggregate(15,6,(ROW(All_Risk_Apps!$A$4:$A$1233)-ROW(All_Risk_Apps!$A$4)+1)/(All_Risk_Apps!$J$4:$J$1233="Fast Follower")*(All_Risk_Apps!$A$4:$A$1233&lt;&gt;""),157)),"")</f>
        <v/>
      </c>
      <c r="C160" s="8" t="str">
        <f ca="1">IFERROR(INDEX(All_Risk_Apps!$D$4:$D$1233,_xludf.aggregate(15,6,(ROW(All_Risk_Apps!$A$4:$A$1233)-ROW(All_Risk_Apps!$A$4)+1)/(All_Risk_Apps!$J$4:$J$1233="Fast Follower")*(All_Risk_Apps!$A$4:$A$1233&lt;&gt;""),157)),"")</f>
        <v/>
      </c>
      <c r="D160" s="8" t="str">
        <f ca="1">IFERROR(INDEX(All_Risk_Apps!$C$4:$C$1233,_xludf.aggregate(15,6,(ROW(All_Risk_Apps!$A$4:$A$1233)-ROW(All_Risk_Apps!$A$4)+1)/(All_Risk_Apps!$J$4:$J$1233="Fast Follower")*(All_Risk_Apps!$A$4:$A$1233&lt;&gt;""),157)),"")</f>
        <v/>
      </c>
      <c r="E160" s="8" t="str">
        <f ca="1">IFERROR(INDEX(All_Risk_Apps!$E$4:$E$1233,_xludf.aggregate(15,6,(ROW(All_Risk_Apps!$A$4:$A$1233)-ROW(All_Risk_Apps!$A$4)+1)/(All_Risk_Apps!$J$4:$J$1233="Fast Follower")*(All_Risk_Apps!$A$4:$A$1233&lt;&gt;""),157)),"")</f>
        <v/>
      </c>
      <c r="F160" s="8" t="str">
        <f ca="1">IFERROR(INDEX(All_Risk_Apps!$F$4:$F$1233,_xludf.aggregate(15,6,(ROW(All_Risk_Apps!$A$4:$A$1233)-ROW(All_Risk_Apps!$A$4)+1)/(All_Risk_Apps!$J$4:$J$1233="Fast Follower")*(All_Risk_Apps!$A$4:$A$1233&lt;&gt;""),157)),"")</f>
        <v/>
      </c>
      <c r="G160" s="8" t="str">
        <f ca="1">IFERROR(INDEX(All_Risk_Apps!$I$4:$I$1233,_xludf.aggregate(15,6,(ROW(All_Risk_Apps!$A$4:$A$1233)-ROW(All_Risk_Apps!$A$4)+1)/(All_Risk_Apps!$J$4:$J$1233="Fast Follower")*(All_Risk_Apps!$A$4:$A$1233&lt;&gt;""),157)),"")</f>
        <v/>
      </c>
      <c r="H160" s="8" t="str">
        <f ca="1">IF(B160="","",IFERROR(INDEX(Server_Inventory!$R:$R,MATCH(B160,Server_Inventory!$Z:$Z,0)),"Not Found"))</f>
        <v/>
      </c>
      <c r="I160" s="8" t="str">
        <f ca="1">IF(B160="","",IFERROR(INDEX(Server_Inventory!$S:$S,MATCH(B160,Server_Inventory!$Z:$Z,0)),"Not Found"))</f>
        <v/>
      </c>
      <c r="J160" s="8" t="str">
        <f ca="1">IF(B160="","",COUNTIFS(Server_Inventory!$Z:$Z,B160,Server_Inventory!$P:$P,"R-RETIRED_IN_CMDB"))</f>
        <v/>
      </c>
      <c r="K160" s="8" t="str">
        <f ca="1">IF(B160="","",IFERROR(INDEX(Container_Inventory!$F:$F,MATCH(B160,Container_Inventory!$L:$L,0)),"Not Found"))</f>
        <v/>
      </c>
      <c r="L160" s="8" t="str">
        <f ca="1">IF(B160="","",IF(COUNTIF(Finding_List!$A:$A,B160)&gt;0,"Yes","No"))</f>
        <v/>
      </c>
      <c r="M160" s="8" t="str">
        <f ca="1">IF(B160="","",COUNTIF(Server_Inventory!$Z:$Z,B160))</f>
        <v/>
      </c>
      <c r="N160" s="8" t="str">
        <f ca="1">IF(B160="","",COUNTIF(Container_Inventory!$L:$L,B160))</f>
        <v/>
      </c>
    </row>
    <row r="161" spans="1:14" x14ac:dyDescent="0.2">
      <c r="A161" s="14" t="str">
        <f ca="1">IFERROR(INDEX(All_Risk_Apps!$A$4:$A$1233,_xludf.aggregate(15,6,(ROW(All_Risk_Apps!$A$4:$A$1233)-ROW(All_Risk_Apps!$A$4)+1)/(All_Risk_Apps!$J$4:$J$1233="Fast Follower")*(All_Risk_Apps!$A$4:$A$1233&lt;&gt;""),158)),"")</f>
        <v/>
      </c>
      <c r="B161" s="14" t="str">
        <f ca="1">IFERROR(INDEX(All_Risk_Apps!$B$4:$B$1233,_xludf.aggregate(15,6,(ROW(All_Risk_Apps!$A$4:$A$1233)-ROW(All_Risk_Apps!$A$4)+1)/(All_Risk_Apps!$J$4:$J$1233="Fast Follower")*(All_Risk_Apps!$A$4:$A$1233&lt;&gt;""),158)),"")</f>
        <v/>
      </c>
      <c r="C161" s="14" t="str">
        <f ca="1">IFERROR(INDEX(All_Risk_Apps!$D$4:$D$1233,_xludf.aggregate(15,6,(ROW(All_Risk_Apps!$A$4:$A$1233)-ROW(All_Risk_Apps!$A$4)+1)/(All_Risk_Apps!$J$4:$J$1233="Fast Follower")*(All_Risk_Apps!$A$4:$A$1233&lt;&gt;""),158)),"")</f>
        <v/>
      </c>
      <c r="D161" s="14" t="str">
        <f ca="1">IFERROR(INDEX(All_Risk_Apps!$C$4:$C$1233,_xludf.aggregate(15,6,(ROW(All_Risk_Apps!$A$4:$A$1233)-ROW(All_Risk_Apps!$A$4)+1)/(All_Risk_Apps!$J$4:$J$1233="Fast Follower")*(All_Risk_Apps!$A$4:$A$1233&lt;&gt;""),158)),"")</f>
        <v/>
      </c>
      <c r="E161" s="14" t="str">
        <f ca="1">IFERROR(INDEX(All_Risk_Apps!$E$4:$E$1233,_xludf.aggregate(15,6,(ROW(All_Risk_Apps!$A$4:$A$1233)-ROW(All_Risk_Apps!$A$4)+1)/(All_Risk_Apps!$J$4:$J$1233="Fast Follower")*(All_Risk_Apps!$A$4:$A$1233&lt;&gt;""),158)),"")</f>
        <v/>
      </c>
      <c r="F161" s="14" t="str">
        <f ca="1">IFERROR(INDEX(All_Risk_Apps!$F$4:$F$1233,_xludf.aggregate(15,6,(ROW(All_Risk_Apps!$A$4:$A$1233)-ROW(All_Risk_Apps!$A$4)+1)/(All_Risk_Apps!$J$4:$J$1233="Fast Follower")*(All_Risk_Apps!$A$4:$A$1233&lt;&gt;""),158)),"")</f>
        <v/>
      </c>
      <c r="G161" s="14" t="str">
        <f ca="1">IFERROR(INDEX(All_Risk_Apps!$I$4:$I$1233,_xludf.aggregate(15,6,(ROW(All_Risk_Apps!$A$4:$A$1233)-ROW(All_Risk_Apps!$A$4)+1)/(All_Risk_Apps!$J$4:$J$1233="Fast Follower")*(All_Risk_Apps!$A$4:$A$1233&lt;&gt;""),158)),"")</f>
        <v/>
      </c>
      <c r="H161" s="14" t="str">
        <f ca="1">IF(B161="","",IFERROR(INDEX(Server_Inventory!$R:$R,MATCH(B161,Server_Inventory!$Z:$Z,0)),"Not Found"))</f>
        <v/>
      </c>
      <c r="I161" s="14" t="str">
        <f ca="1">IF(B161="","",IFERROR(INDEX(Server_Inventory!$S:$S,MATCH(B161,Server_Inventory!$Z:$Z,0)),"Not Found"))</f>
        <v/>
      </c>
      <c r="J161" s="14" t="str">
        <f ca="1">IF(B161="","",COUNTIFS(Server_Inventory!$Z:$Z,B161,Server_Inventory!$P:$P,"R-RETIRED_IN_CMDB"))</f>
        <v/>
      </c>
      <c r="K161" s="14" t="str">
        <f ca="1">IF(B161="","",IFERROR(INDEX(Container_Inventory!$F:$F,MATCH(B161,Container_Inventory!$L:$L,0)),"Not Found"))</f>
        <v/>
      </c>
      <c r="L161" s="14" t="str">
        <f ca="1">IF(B161="","",IF(COUNTIF(Finding_List!$A:$A,B161)&gt;0,"Yes","No"))</f>
        <v/>
      </c>
      <c r="M161" s="14" t="str">
        <f ca="1">IF(B161="","",COUNTIF(Server_Inventory!$Z:$Z,B161))</f>
        <v/>
      </c>
      <c r="N161" s="14" t="str">
        <f ca="1">IF(B161="","",COUNTIF(Container_Inventory!$L:$L,B161))</f>
        <v/>
      </c>
    </row>
    <row r="162" spans="1:14" x14ac:dyDescent="0.2">
      <c r="A162" s="8" t="str">
        <f ca="1">IFERROR(INDEX(All_Risk_Apps!$A$4:$A$1233,_xludf.aggregate(15,6,(ROW(All_Risk_Apps!$A$4:$A$1233)-ROW(All_Risk_Apps!$A$4)+1)/(All_Risk_Apps!$J$4:$J$1233="Fast Follower")*(All_Risk_Apps!$A$4:$A$1233&lt;&gt;""),159)),"")</f>
        <v/>
      </c>
      <c r="B162" s="8" t="str">
        <f ca="1">IFERROR(INDEX(All_Risk_Apps!$B$4:$B$1233,_xludf.aggregate(15,6,(ROW(All_Risk_Apps!$A$4:$A$1233)-ROW(All_Risk_Apps!$A$4)+1)/(All_Risk_Apps!$J$4:$J$1233="Fast Follower")*(All_Risk_Apps!$A$4:$A$1233&lt;&gt;""),159)),"")</f>
        <v/>
      </c>
      <c r="C162" s="8" t="str">
        <f ca="1">IFERROR(INDEX(All_Risk_Apps!$D$4:$D$1233,_xludf.aggregate(15,6,(ROW(All_Risk_Apps!$A$4:$A$1233)-ROW(All_Risk_Apps!$A$4)+1)/(All_Risk_Apps!$J$4:$J$1233="Fast Follower")*(All_Risk_Apps!$A$4:$A$1233&lt;&gt;""),159)),"")</f>
        <v/>
      </c>
      <c r="D162" s="8" t="str">
        <f ca="1">IFERROR(INDEX(All_Risk_Apps!$C$4:$C$1233,_xludf.aggregate(15,6,(ROW(All_Risk_Apps!$A$4:$A$1233)-ROW(All_Risk_Apps!$A$4)+1)/(All_Risk_Apps!$J$4:$J$1233="Fast Follower")*(All_Risk_Apps!$A$4:$A$1233&lt;&gt;""),159)),"")</f>
        <v/>
      </c>
      <c r="E162" s="8" t="str">
        <f ca="1">IFERROR(INDEX(All_Risk_Apps!$E$4:$E$1233,_xludf.aggregate(15,6,(ROW(All_Risk_Apps!$A$4:$A$1233)-ROW(All_Risk_Apps!$A$4)+1)/(All_Risk_Apps!$J$4:$J$1233="Fast Follower")*(All_Risk_Apps!$A$4:$A$1233&lt;&gt;""),159)),"")</f>
        <v/>
      </c>
      <c r="F162" s="8" t="str">
        <f ca="1">IFERROR(INDEX(All_Risk_Apps!$F$4:$F$1233,_xludf.aggregate(15,6,(ROW(All_Risk_Apps!$A$4:$A$1233)-ROW(All_Risk_Apps!$A$4)+1)/(All_Risk_Apps!$J$4:$J$1233="Fast Follower")*(All_Risk_Apps!$A$4:$A$1233&lt;&gt;""),159)),"")</f>
        <v/>
      </c>
      <c r="G162" s="8" t="str">
        <f ca="1">IFERROR(INDEX(All_Risk_Apps!$I$4:$I$1233,_xludf.aggregate(15,6,(ROW(All_Risk_Apps!$A$4:$A$1233)-ROW(All_Risk_Apps!$A$4)+1)/(All_Risk_Apps!$J$4:$J$1233="Fast Follower")*(All_Risk_Apps!$A$4:$A$1233&lt;&gt;""),159)),"")</f>
        <v/>
      </c>
      <c r="H162" s="8" t="str">
        <f ca="1">IF(B162="","",IFERROR(INDEX(Server_Inventory!$R:$R,MATCH(B162,Server_Inventory!$Z:$Z,0)),"Not Found"))</f>
        <v/>
      </c>
      <c r="I162" s="8" t="str">
        <f ca="1">IF(B162="","",IFERROR(INDEX(Server_Inventory!$S:$S,MATCH(B162,Server_Inventory!$Z:$Z,0)),"Not Found"))</f>
        <v/>
      </c>
      <c r="J162" s="8" t="str">
        <f ca="1">IF(B162="","",COUNTIFS(Server_Inventory!$Z:$Z,B162,Server_Inventory!$P:$P,"R-RETIRED_IN_CMDB"))</f>
        <v/>
      </c>
      <c r="K162" s="8" t="str">
        <f ca="1">IF(B162="","",IFERROR(INDEX(Container_Inventory!$F:$F,MATCH(B162,Container_Inventory!$L:$L,0)),"Not Found"))</f>
        <v/>
      </c>
      <c r="L162" s="8" t="str">
        <f ca="1">IF(B162="","",IF(COUNTIF(Finding_List!$A:$A,B162)&gt;0,"Yes","No"))</f>
        <v/>
      </c>
      <c r="M162" s="8" t="str">
        <f ca="1">IF(B162="","",COUNTIF(Server_Inventory!$Z:$Z,B162))</f>
        <v/>
      </c>
      <c r="N162" s="8" t="str">
        <f ca="1">IF(B162="","",COUNTIF(Container_Inventory!$L:$L,B162))</f>
        <v/>
      </c>
    </row>
    <row r="163" spans="1:14" x14ac:dyDescent="0.2">
      <c r="A163" s="14" t="str">
        <f ca="1">IFERROR(INDEX(All_Risk_Apps!$A$4:$A$1233,_xludf.aggregate(15,6,(ROW(All_Risk_Apps!$A$4:$A$1233)-ROW(All_Risk_Apps!$A$4)+1)/(All_Risk_Apps!$J$4:$J$1233="Fast Follower")*(All_Risk_Apps!$A$4:$A$1233&lt;&gt;""),160)),"")</f>
        <v/>
      </c>
      <c r="B163" s="14" t="str">
        <f ca="1">IFERROR(INDEX(All_Risk_Apps!$B$4:$B$1233,_xludf.aggregate(15,6,(ROW(All_Risk_Apps!$A$4:$A$1233)-ROW(All_Risk_Apps!$A$4)+1)/(All_Risk_Apps!$J$4:$J$1233="Fast Follower")*(All_Risk_Apps!$A$4:$A$1233&lt;&gt;""),160)),"")</f>
        <v/>
      </c>
      <c r="C163" s="14" t="str">
        <f ca="1">IFERROR(INDEX(All_Risk_Apps!$D$4:$D$1233,_xludf.aggregate(15,6,(ROW(All_Risk_Apps!$A$4:$A$1233)-ROW(All_Risk_Apps!$A$4)+1)/(All_Risk_Apps!$J$4:$J$1233="Fast Follower")*(All_Risk_Apps!$A$4:$A$1233&lt;&gt;""),160)),"")</f>
        <v/>
      </c>
      <c r="D163" s="14" t="str">
        <f ca="1">IFERROR(INDEX(All_Risk_Apps!$C$4:$C$1233,_xludf.aggregate(15,6,(ROW(All_Risk_Apps!$A$4:$A$1233)-ROW(All_Risk_Apps!$A$4)+1)/(All_Risk_Apps!$J$4:$J$1233="Fast Follower")*(All_Risk_Apps!$A$4:$A$1233&lt;&gt;""),160)),"")</f>
        <v/>
      </c>
      <c r="E163" s="14" t="str">
        <f ca="1">IFERROR(INDEX(All_Risk_Apps!$E$4:$E$1233,_xludf.aggregate(15,6,(ROW(All_Risk_Apps!$A$4:$A$1233)-ROW(All_Risk_Apps!$A$4)+1)/(All_Risk_Apps!$J$4:$J$1233="Fast Follower")*(All_Risk_Apps!$A$4:$A$1233&lt;&gt;""),160)),"")</f>
        <v/>
      </c>
      <c r="F163" s="14" t="str">
        <f ca="1">IFERROR(INDEX(All_Risk_Apps!$F$4:$F$1233,_xludf.aggregate(15,6,(ROW(All_Risk_Apps!$A$4:$A$1233)-ROW(All_Risk_Apps!$A$4)+1)/(All_Risk_Apps!$J$4:$J$1233="Fast Follower")*(All_Risk_Apps!$A$4:$A$1233&lt;&gt;""),160)),"")</f>
        <v/>
      </c>
      <c r="G163" s="14" t="str">
        <f ca="1">IFERROR(INDEX(All_Risk_Apps!$I$4:$I$1233,_xludf.aggregate(15,6,(ROW(All_Risk_Apps!$A$4:$A$1233)-ROW(All_Risk_Apps!$A$4)+1)/(All_Risk_Apps!$J$4:$J$1233="Fast Follower")*(All_Risk_Apps!$A$4:$A$1233&lt;&gt;""),160)),"")</f>
        <v/>
      </c>
      <c r="H163" s="14" t="str">
        <f ca="1">IF(B163="","",IFERROR(INDEX(Server_Inventory!$R:$R,MATCH(B163,Server_Inventory!$Z:$Z,0)),"Not Found"))</f>
        <v/>
      </c>
      <c r="I163" s="14" t="str">
        <f ca="1">IF(B163="","",IFERROR(INDEX(Server_Inventory!$S:$S,MATCH(B163,Server_Inventory!$Z:$Z,0)),"Not Found"))</f>
        <v/>
      </c>
      <c r="J163" s="14" t="str">
        <f ca="1">IF(B163="","",COUNTIFS(Server_Inventory!$Z:$Z,B163,Server_Inventory!$P:$P,"R-RETIRED_IN_CMDB"))</f>
        <v/>
      </c>
      <c r="K163" s="14" t="str">
        <f ca="1">IF(B163="","",IFERROR(INDEX(Container_Inventory!$F:$F,MATCH(B163,Container_Inventory!$L:$L,0)),"Not Found"))</f>
        <v/>
      </c>
      <c r="L163" s="14" t="str">
        <f ca="1">IF(B163="","",IF(COUNTIF(Finding_List!$A:$A,B163)&gt;0,"Yes","No"))</f>
        <v/>
      </c>
      <c r="M163" s="14" t="str">
        <f ca="1">IF(B163="","",COUNTIF(Server_Inventory!$Z:$Z,B163))</f>
        <v/>
      </c>
      <c r="N163" s="14" t="str">
        <f ca="1">IF(B163="","",COUNTIF(Container_Inventory!$L:$L,B163))</f>
        <v/>
      </c>
    </row>
    <row r="164" spans="1:14" x14ac:dyDescent="0.2">
      <c r="A164" s="8" t="str">
        <f ca="1">IFERROR(INDEX(All_Risk_Apps!$A$4:$A$1233,_xludf.aggregate(15,6,(ROW(All_Risk_Apps!$A$4:$A$1233)-ROW(All_Risk_Apps!$A$4)+1)/(All_Risk_Apps!$J$4:$J$1233="Fast Follower")*(All_Risk_Apps!$A$4:$A$1233&lt;&gt;""),161)),"")</f>
        <v/>
      </c>
      <c r="B164" s="8" t="str">
        <f ca="1">IFERROR(INDEX(All_Risk_Apps!$B$4:$B$1233,_xludf.aggregate(15,6,(ROW(All_Risk_Apps!$A$4:$A$1233)-ROW(All_Risk_Apps!$A$4)+1)/(All_Risk_Apps!$J$4:$J$1233="Fast Follower")*(All_Risk_Apps!$A$4:$A$1233&lt;&gt;""),161)),"")</f>
        <v/>
      </c>
      <c r="C164" s="8" t="str">
        <f ca="1">IFERROR(INDEX(All_Risk_Apps!$D$4:$D$1233,_xludf.aggregate(15,6,(ROW(All_Risk_Apps!$A$4:$A$1233)-ROW(All_Risk_Apps!$A$4)+1)/(All_Risk_Apps!$J$4:$J$1233="Fast Follower")*(All_Risk_Apps!$A$4:$A$1233&lt;&gt;""),161)),"")</f>
        <v/>
      </c>
      <c r="D164" s="8" t="str">
        <f ca="1">IFERROR(INDEX(All_Risk_Apps!$C$4:$C$1233,_xludf.aggregate(15,6,(ROW(All_Risk_Apps!$A$4:$A$1233)-ROW(All_Risk_Apps!$A$4)+1)/(All_Risk_Apps!$J$4:$J$1233="Fast Follower")*(All_Risk_Apps!$A$4:$A$1233&lt;&gt;""),161)),"")</f>
        <v/>
      </c>
      <c r="E164" s="8" t="str">
        <f ca="1">IFERROR(INDEX(All_Risk_Apps!$E$4:$E$1233,_xludf.aggregate(15,6,(ROW(All_Risk_Apps!$A$4:$A$1233)-ROW(All_Risk_Apps!$A$4)+1)/(All_Risk_Apps!$J$4:$J$1233="Fast Follower")*(All_Risk_Apps!$A$4:$A$1233&lt;&gt;""),161)),"")</f>
        <v/>
      </c>
      <c r="F164" s="8" t="str">
        <f ca="1">IFERROR(INDEX(All_Risk_Apps!$F$4:$F$1233,_xludf.aggregate(15,6,(ROW(All_Risk_Apps!$A$4:$A$1233)-ROW(All_Risk_Apps!$A$4)+1)/(All_Risk_Apps!$J$4:$J$1233="Fast Follower")*(All_Risk_Apps!$A$4:$A$1233&lt;&gt;""),161)),"")</f>
        <v/>
      </c>
      <c r="G164" s="8" t="str">
        <f ca="1">IFERROR(INDEX(All_Risk_Apps!$I$4:$I$1233,_xludf.aggregate(15,6,(ROW(All_Risk_Apps!$A$4:$A$1233)-ROW(All_Risk_Apps!$A$4)+1)/(All_Risk_Apps!$J$4:$J$1233="Fast Follower")*(All_Risk_Apps!$A$4:$A$1233&lt;&gt;""),161)),"")</f>
        <v/>
      </c>
      <c r="H164" s="8" t="str">
        <f ca="1">IF(B164="","",IFERROR(INDEX(Server_Inventory!$R:$R,MATCH(B164,Server_Inventory!$Z:$Z,0)),"Not Found"))</f>
        <v/>
      </c>
      <c r="I164" s="8" t="str">
        <f ca="1">IF(B164="","",IFERROR(INDEX(Server_Inventory!$S:$S,MATCH(B164,Server_Inventory!$Z:$Z,0)),"Not Found"))</f>
        <v/>
      </c>
      <c r="J164" s="8" t="str">
        <f ca="1">IF(B164="","",COUNTIFS(Server_Inventory!$Z:$Z,B164,Server_Inventory!$P:$P,"R-RETIRED_IN_CMDB"))</f>
        <v/>
      </c>
      <c r="K164" s="8" t="str">
        <f ca="1">IF(B164="","",IFERROR(INDEX(Container_Inventory!$F:$F,MATCH(B164,Container_Inventory!$L:$L,0)),"Not Found"))</f>
        <v/>
      </c>
      <c r="L164" s="8" t="str">
        <f ca="1">IF(B164="","",IF(COUNTIF(Finding_List!$A:$A,B164)&gt;0,"Yes","No"))</f>
        <v/>
      </c>
      <c r="M164" s="8" t="str">
        <f ca="1">IF(B164="","",COUNTIF(Server_Inventory!$Z:$Z,B164))</f>
        <v/>
      </c>
      <c r="N164" s="8" t="str">
        <f ca="1">IF(B164="","",COUNTIF(Container_Inventory!$L:$L,B164))</f>
        <v/>
      </c>
    </row>
    <row r="165" spans="1:14" x14ac:dyDescent="0.2">
      <c r="A165" s="14" t="str">
        <f ca="1">IFERROR(INDEX(All_Risk_Apps!$A$4:$A$1233,_xludf.aggregate(15,6,(ROW(All_Risk_Apps!$A$4:$A$1233)-ROW(All_Risk_Apps!$A$4)+1)/(All_Risk_Apps!$J$4:$J$1233="Fast Follower")*(All_Risk_Apps!$A$4:$A$1233&lt;&gt;""),162)),"")</f>
        <v/>
      </c>
      <c r="B165" s="14" t="str">
        <f ca="1">IFERROR(INDEX(All_Risk_Apps!$B$4:$B$1233,_xludf.aggregate(15,6,(ROW(All_Risk_Apps!$A$4:$A$1233)-ROW(All_Risk_Apps!$A$4)+1)/(All_Risk_Apps!$J$4:$J$1233="Fast Follower")*(All_Risk_Apps!$A$4:$A$1233&lt;&gt;""),162)),"")</f>
        <v/>
      </c>
      <c r="C165" s="14" t="str">
        <f ca="1">IFERROR(INDEX(All_Risk_Apps!$D$4:$D$1233,_xludf.aggregate(15,6,(ROW(All_Risk_Apps!$A$4:$A$1233)-ROW(All_Risk_Apps!$A$4)+1)/(All_Risk_Apps!$J$4:$J$1233="Fast Follower")*(All_Risk_Apps!$A$4:$A$1233&lt;&gt;""),162)),"")</f>
        <v/>
      </c>
      <c r="D165" s="14" t="str">
        <f ca="1">IFERROR(INDEX(All_Risk_Apps!$C$4:$C$1233,_xludf.aggregate(15,6,(ROW(All_Risk_Apps!$A$4:$A$1233)-ROW(All_Risk_Apps!$A$4)+1)/(All_Risk_Apps!$J$4:$J$1233="Fast Follower")*(All_Risk_Apps!$A$4:$A$1233&lt;&gt;""),162)),"")</f>
        <v/>
      </c>
      <c r="E165" s="14" t="str">
        <f ca="1">IFERROR(INDEX(All_Risk_Apps!$E$4:$E$1233,_xludf.aggregate(15,6,(ROW(All_Risk_Apps!$A$4:$A$1233)-ROW(All_Risk_Apps!$A$4)+1)/(All_Risk_Apps!$J$4:$J$1233="Fast Follower")*(All_Risk_Apps!$A$4:$A$1233&lt;&gt;""),162)),"")</f>
        <v/>
      </c>
      <c r="F165" s="14" t="str">
        <f ca="1">IFERROR(INDEX(All_Risk_Apps!$F$4:$F$1233,_xludf.aggregate(15,6,(ROW(All_Risk_Apps!$A$4:$A$1233)-ROW(All_Risk_Apps!$A$4)+1)/(All_Risk_Apps!$J$4:$J$1233="Fast Follower")*(All_Risk_Apps!$A$4:$A$1233&lt;&gt;""),162)),"")</f>
        <v/>
      </c>
      <c r="G165" s="14" t="str">
        <f ca="1">IFERROR(INDEX(All_Risk_Apps!$I$4:$I$1233,_xludf.aggregate(15,6,(ROW(All_Risk_Apps!$A$4:$A$1233)-ROW(All_Risk_Apps!$A$4)+1)/(All_Risk_Apps!$J$4:$J$1233="Fast Follower")*(All_Risk_Apps!$A$4:$A$1233&lt;&gt;""),162)),"")</f>
        <v/>
      </c>
      <c r="H165" s="14" t="str">
        <f ca="1">IF(B165="","",IFERROR(INDEX(Server_Inventory!$R:$R,MATCH(B165,Server_Inventory!$Z:$Z,0)),"Not Found"))</f>
        <v/>
      </c>
      <c r="I165" s="14" t="str">
        <f ca="1">IF(B165="","",IFERROR(INDEX(Server_Inventory!$S:$S,MATCH(B165,Server_Inventory!$Z:$Z,0)),"Not Found"))</f>
        <v/>
      </c>
      <c r="J165" s="14" t="str">
        <f ca="1">IF(B165="","",COUNTIFS(Server_Inventory!$Z:$Z,B165,Server_Inventory!$P:$P,"R-RETIRED_IN_CMDB"))</f>
        <v/>
      </c>
      <c r="K165" s="14" t="str">
        <f ca="1">IF(B165="","",IFERROR(INDEX(Container_Inventory!$F:$F,MATCH(B165,Container_Inventory!$L:$L,0)),"Not Found"))</f>
        <v/>
      </c>
      <c r="L165" s="14" t="str">
        <f ca="1">IF(B165="","",IF(COUNTIF(Finding_List!$A:$A,B165)&gt;0,"Yes","No"))</f>
        <v/>
      </c>
      <c r="M165" s="14" t="str">
        <f ca="1">IF(B165="","",COUNTIF(Server_Inventory!$Z:$Z,B165))</f>
        <v/>
      </c>
      <c r="N165" s="14" t="str">
        <f ca="1">IF(B165="","",COUNTIF(Container_Inventory!$L:$L,B165))</f>
        <v/>
      </c>
    </row>
    <row r="166" spans="1:14" x14ac:dyDescent="0.2">
      <c r="A166" s="8" t="str">
        <f ca="1">IFERROR(INDEX(All_Risk_Apps!$A$4:$A$1233,_xludf.aggregate(15,6,(ROW(All_Risk_Apps!$A$4:$A$1233)-ROW(All_Risk_Apps!$A$4)+1)/(All_Risk_Apps!$J$4:$J$1233="Fast Follower")*(All_Risk_Apps!$A$4:$A$1233&lt;&gt;""),163)),"")</f>
        <v/>
      </c>
      <c r="B166" s="8" t="str">
        <f ca="1">IFERROR(INDEX(All_Risk_Apps!$B$4:$B$1233,_xludf.aggregate(15,6,(ROW(All_Risk_Apps!$A$4:$A$1233)-ROW(All_Risk_Apps!$A$4)+1)/(All_Risk_Apps!$J$4:$J$1233="Fast Follower")*(All_Risk_Apps!$A$4:$A$1233&lt;&gt;""),163)),"")</f>
        <v/>
      </c>
      <c r="C166" s="8" t="str">
        <f ca="1">IFERROR(INDEX(All_Risk_Apps!$D$4:$D$1233,_xludf.aggregate(15,6,(ROW(All_Risk_Apps!$A$4:$A$1233)-ROW(All_Risk_Apps!$A$4)+1)/(All_Risk_Apps!$J$4:$J$1233="Fast Follower")*(All_Risk_Apps!$A$4:$A$1233&lt;&gt;""),163)),"")</f>
        <v/>
      </c>
      <c r="D166" s="8" t="str">
        <f ca="1">IFERROR(INDEX(All_Risk_Apps!$C$4:$C$1233,_xludf.aggregate(15,6,(ROW(All_Risk_Apps!$A$4:$A$1233)-ROW(All_Risk_Apps!$A$4)+1)/(All_Risk_Apps!$J$4:$J$1233="Fast Follower")*(All_Risk_Apps!$A$4:$A$1233&lt;&gt;""),163)),"")</f>
        <v/>
      </c>
      <c r="E166" s="8" t="str">
        <f ca="1">IFERROR(INDEX(All_Risk_Apps!$E$4:$E$1233,_xludf.aggregate(15,6,(ROW(All_Risk_Apps!$A$4:$A$1233)-ROW(All_Risk_Apps!$A$4)+1)/(All_Risk_Apps!$J$4:$J$1233="Fast Follower")*(All_Risk_Apps!$A$4:$A$1233&lt;&gt;""),163)),"")</f>
        <v/>
      </c>
      <c r="F166" s="8" t="str">
        <f ca="1">IFERROR(INDEX(All_Risk_Apps!$F$4:$F$1233,_xludf.aggregate(15,6,(ROW(All_Risk_Apps!$A$4:$A$1233)-ROW(All_Risk_Apps!$A$4)+1)/(All_Risk_Apps!$J$4:$J$1233="Fast Follower")*(All_Risk_Apps!$A$4:$A$1233&lt;&gt;""),163)),"")</f>
        <v/>
      </c>
      <c r="G166" s="8" t="str">
        <f ca="1">IFERROR(INDEX(All_Risk_Apps!$I$4:$I$1233,_xludf.aggregate(15,6,(ROW(All_Risk_Apps!$A$4:$A$1233)-ROW(All_Risk_Apps!$A$4)+1)/(All_Risk_Apps!$J$4:$J$1233="Fast Follower")*(All_Risk_Apps!$A$4:$A$1233&lt;&gt;""),163)),"")</f>
        <v/>
      </c>
      <c r="H166" s="8" t="str">
        <f ca="1">IF(B166="","",IFERROR(INDEX(Server_Inventory!$R:$R,MATCH(B166,Server_Inventory!$Z:$Z,0)),"Not Found"))</f>
        <v/>
      </c>
      <c r="I166" s="8" t="str">
        <f ca="1">IF(B166="","",IFERROR(INDEX(Server_Inventory!$S:$S,MATCH(B166,Server_Inventory!$Z:$Z,0)),"Not Found"))</f>
        <v/>
      </c>
      <c r="J166" s="8" t="str">
        <f ca="1">IF(B166="","",COUNTIFS(Server_Inventory!$Z:$Z,B166,Server_Inventory!$P:$P,"R-RETIRED_IN_CMDB"))</f>
        <v/>
      </c>
      <c r="K166" s="8" t="str">
        <f ca="1">IF(B166="","",IFERROR(INDEX(Container_Inventory!$F:$F,MATCH(B166,Container_Inventory!$L:$L,0)),"Not Found"))</f>
        <v/>
      </c>
      <c r="L166" s="8" t="str">
        <f ca="1">IF(B166="","",IF(COUNTIF(Finding_List!$A:$A,B166)&gt;0,"Yes","No"))</f>
        <v/>
      </c>
      <c r="M166" s="8" t="str">
        <f ca="1">IF(B166="","",COUNTIF(Server_Inventory!$Z:$Z,B166))</f>
        <v/>
      </c>
      <c r="N166" s="8" t="str">
        <f ca="1">IF(B166="","",COUNTIF(Container_Inventory!$L:$L,B166))</f>
        <v/>
      </c>
    </row>
    <row r="167" spans="1:14" x14ac:dyDescent="0.2">
      <c r="A167" s="14" t="str">
        <f ca="1">IFERROR(INDEX(All_Risk_Apps!$A$4:$A$1233,_xludf.aggregate(15,6,(ROW(All_Risk_Apps!$A$4:$A$1233)-ROW(All_Risk_Apps!$A$4)+1)/(All_Risk_Apps!$J$4:$J$1233="Fast Follower")*(All_Risk_Apps!$A$4:$A$1233&lt;&gt;""),164)),"")</f>
        <v/>
      </c>
      <c r="B167" s="14" t="str">
        <f ca="1">IFERROR(INDEX(All_Risk_Apps!$B$4:$B$1233,_xludf.aggregate(15,6,(ROW(All_Risk_Apps!$A$4:$A$1233)-ROW(All_Risk_Apps!$A$4)+1)/(All_Risk_Apps!$J$4:$J$1233="Fast Follower")*(All_Risk_Apps!$A$4:$A$1233&lt;&gt;""),164)),"")</f>
        <v/>
      </c>
      <c r="C167" s="14" t="str">
        <f ca="1">IFERROR(INDEX(All_Risk_Apps!$D$4:$D$1233,_xludf.aggregate(15,6,(ROW(All_Risk_Apps!$A$4:$A$1233)-ROW(All_Risk_Apps!$A$4)+1)/(All_Risk_Apps!$J$4:$J$1233="Fast Follower")*(All_Risk_Apps!$A$4:$A$1233&lt;&gt;""),164)),"")</f>
        <v/>
      </c>
      <c r="D167" s="14" t="str">
        <f ca="1">IFERROR(INDEX(All_Risk_Apps!$C$4:$C$1233,_xludf.aggregate(15,6,(ROW(All_Risk_Apps!$A$4:$A$1233)-ROW(All_Risk_Apps!$A$4)+1)/(All_Risk_Apps!$J$4:$J$1233="Fast Follower")*(All_Risk_Apps!$A$4:$A$1233&lt;&gt;""),164)),"")</f>
        <v/>
      </c>
      <c r="E167" s="14" t="str">
        <f ca="1">IFERROR(INDEX(All_Risk_Apps!$E$4:$E$1233,_xludf.aggregate(15,6,(ROW(All_Risk_Apps!$A$4:$A$1233)-ROW(All_Risk_Apps!$A$4)+1)/(All_Risk_Apps!$J$4:$J$1233="Fast Follower")*(All_Risk_Apps!$A$4:$A$1233&lt;&gt;""),164)),"")</f>
        <v/>
      </c>
      <c r="F167" s="14" t="str">
        <f ca="1">IFERROR(INDEX(All_Risk_Apps!$F$4:$F$1233,_xludf.aggregate(15,6,(ROW(All_Risk_Apps!$A$4:$A$1233)-ROW(All_Risk_Apps!$A$4)+1)/(All_Risk_Apps!$J$4:$J$1233="Fast Follower")*(All_Risk_Apps!$A$4:$A$1233&lt;&gt;""),164)),"")</f>
        <v/>
      </c>
      <c r="G167" s="14" t="str">
        <f ca="1">IFERROR(INDEX(All_Risk_Apps!$I$4:$I$1233,_xludf.aggregate(15,6,(ROW(All_Risk_Apps!$A$4:$A$1233)-ROW(All_Risk_Apps!$A$4)+1)/(All_Risk_Apps!$J$4:$J$1233="Fast Follower")*(All_Risk_Apps!$A$4:$A$1233&lt;&gt;""),164)),"")</f>
        <v/>
      </c>
      <c r="H167" s="14" t="str">
        <f ca="1">IF(B167="","",IFERROR(INDEX(Server_Inventory!$R:$R,MATCH(B167,Server_Inventory!$Z:$Z,0)),"Not Found"))</f>
        <v/>
      </c>
      <c r="I167" s="14" t="str">
        <f ca="1">IF(B167="","",IFERROR(INDEX(Server_Inventory!$S:$S,MATCH(B167,Server_Inventory!$Z:$Z,0)),"Not Found"))</f>
        <v/>
      </c>
      <c r="J167" s="14" t="str">
        <f ca="1">IF(B167="","",COUNTIFS(Server_Inventory!$Z:$Z,B167,Server_Inventory!$P:$P,"R-RETIRED_IN_CMDB"))</f>
        <v/>
      </c>
      <c r="K167" s="14" t="str">
        <f ca="1">IF(B167="","",IFERROR(INDEX(Container_Inventory!$F:$F,MATCH(B167,Container_Inventory!$L:$L,0)),"Not Found"))</f>
        <v/>
      </c>
      <c r="L167" s="14" t="str">
        <f ca="1">IF(B167="","",IF(COUNTIF(Finding_List!$A:$A,B167)&gt;0,"Yes","No"))</f>
        <v/>
      </c>
      <c r="M167" s="14" t="str">
        <f ca="1">IF(B167="","",COUNTIF(Server_Inventory!$Z:$Z,B167))</f>
        <v/>
      </c>
      <c r="N167" s="14" t="str">
        <f ca="1">IF(B167="","",COUNTIF(Container_Inventory!$L:$L,B167))</f>
        <v/>
      </c>
    </row>
    <row r="168" spans="1:14" x14ac:dyDescent="0.2">
      <c r="A168" s="8" t="str">
        <f ca="1">IFERROR(INDEX(All_Risk_Apps!$A$4:$A$1233,_xludf.aggregate(15,6,(ROW(All_Risk_Apps!$A$4:$A$1233)-ROW(All_Risk_Apps!$A$4)+1)/(All_Risk_Apps!$J$4:$J$1233="Fast Follower")*(All_Risk_Apps!$A$4:$A$1233&lt;&gt;""),165)),"")</f>
        <v/>
      </c>
      <c r="B168" s="8" t="str">
        <f ca="1">IFERROR(INDEX(All_Risk_Apps!$B$4:$B$1233,_xludf.aggregate(15,6,(ROW(All_Risk_Apps!$A$4:$A$1233)-ROW(All_Risk_Apps!$A$4)+1)/(All_Risk_Apps!$J$4:$J$1233="Fast Follower")*(All_Risk_Apps!$A$4:$A$1233&lt;&gt;""),165)),"")</f>
        <v/>
      </c>
      <c r="C168" s="8" t="str">
        <f ca="1">IFERROR(INDEX(All_Risk_Apps!$D$4:$D$1233,_xludf.aggregate(15,6,(ROW(All_Risk_Apps!$A$4:$A$1233)-ROW(All_Risk_Apps!$A$4)+1)/(All_Risk_Apps!$J$4:$J$1233="Fast Follower")*(All_Risk_Apps!$A$4:$A$1233&lt;&gt;""),165)),"")</f>
        <v/>
      </c>
      <c r="D168" s="8" t="str">
        <f ca="1">IFERROR(INDEX(All_Risk_Apps!$C$4:$C$1233,_xludf.aggregate(15,6,(ROW(All_Risk_Apps!$A$4:$A$1233)-ROW(All_Risk_Apps!$A$4)+1)/(All_Risk_Apps!$J$4:$J$1233="Fast Follower")*(All_Risk_Apps!$A$4:$A$1233&lt;&gt;""),165)),"")</f>
        <v/>
      </c>
      <c r="E168" s="8" t="str">
        <f ca="1">IFERROR(INDEX(All_Risk_Apps!$E$4:$E$1233,_xludf.aggregate(15,6,(ROW(All_Risk_Apps!$A$4:$A$1233)-ROW(All_Risk_Apps!$A$4)+1)/(All_Risk_Apps!$J$4:$J$1233="Fast Follower")*(All_Risk_Apps!$A$4:$A$1233&lt;&gt;""),165)),"")</f>
        <v/>
      </c>
      <c r="F168" s="8" t="str">
        <f ca="1">IFERROR(INDEX(All_Risk_Apps!$F$4:$F$1233,_xludf.aggregate(15,6,(ROW(All_Risk_Apps!$A$4:$A$1233)-ROW(All_Risk_Apps!$A$4)+1)/(All_Risk_Apps!$J$4:$J$1233="Fast Follower")*(All_Risk_Apps!$A$4:$A$1233&lt;&gt;""),165)),"")</f>
        <v/>
      </c>
      <c r="G168" s="8" t="str">
        <f ca="1">IFERROR(INDEX(All_Risk_Apps!$I$4:$I$1233,_xludf.aggregate(15,6,(ROW(All_Risk_Apps!$A$4:$A$1233)-ROW(All_Risk_Apps!$A$4)+1)/(All_Risk_Apps!$J$4:$J$1233="Fast Follower")*(All_Risk_Apps!$A$4:$A$1233&lt;&gt;""),165)),"")</f>
        <v/>
      </c>
      <c r="H168" s="8" t="str">
        <f ca="1">IF(B168="","",IFERROR(INDEX(Server_Inventory!$R:$R,MATCH(B168,Server_Inventory!$Z:$Z,0)),"Not Found"))</f>
        <v/>
      </c>
      <c r="I168" s="8" t="str">
        <f ca="1">IF(B168="","",IFERROR(INDEX(Server_Inventory!$S:$S,MATCH(B168,Server_Inventory!$Z:$Z,0)),"Not Found"))</f>
        <v/>
      </c>
      <c r="J168" s="8" t="str">
        <f ca="1">IF(B168="","",COUNTIFS(Server_Inventory!$Z:$Z,B168,Server_Inventory!$P:$P,"R-RETIRED_IN_CMDB"))</f>
        <v/>
      </c>
      <c r="K168" s="8" t="str">
        <f ca="1">IF(B168="","",IFERROR(INDEX(Container_Inventory!$F:$F,MATCH(B168,Container_Inventory!$L:$L,0)),"Not Found"))</f>
        <v/>
      </c>
      <c r="L168" s="8" t="str">
        <f ca="1">IF(B168="","",IF(COUNTIF(Finding_List!$A:$A,B168)&gt;0,"Yes","No"))</f>
        <v/>
      </c>
      <c r="M168" s="8" t="str">
        <f ca="1">IF(B168="","",COUNTIF(Server_Inventory!$Z:$Z,B168))</f>
        <v/>
      </c>
      <c r="N168" s="8" t="str">
        <f ca="1">IF(B168="","",COUNTIF(Container_Inventory!$L:$L,B168))</f>
        <v/>
      </c>
    </row>
    <row r="169" spans="1:14" x14ac:dyDescent="0.2">
      <c r="A169" s="14" t="str">
        <f ca="1">IFERROR(INDEX(All_Risk_Apps!$A$4:$A$1233,_xludf.aggregate(15,6,(ROW(All_Risk_Apps!$A$4:$A$1233)-ROW(All_Risk_Apps!$A$4)+1)/(All_Risk_Apps!$J$4:$J$1233="Fast Follower")*(All_Risk_Apps!$A$4:$A$1233&lt;&gt;""),166)),"")</f>
        <v/>
      </c>
      <c r="B169" s="14" t="str">
        <f ca="1">IFERROR(INDEX(All_Risk_Apps!$B$4:$B$1233,_xludf.aggregate(15,6,(ROW(All_Risk_Apps!$A$4:$A$1233)-ROW(All_Risk_Apps!$A$4)+1)/(All_Risk_Apps!$J$4:$J$1233="Fast Follower")*(All_Risk_Apps!$A$4:$A$1233&lt;&gt;""),166)),"")</f>
        <v/>
      </c>
      <c r="C169" s="14" t="str">
        <f ca="1">IFERROR(INDEX(All_Risk_Apps!$D$4:$D$1233,_xludf.aggregate(15,6,(ROW(All_Risk_Apps!$A$4:$A$1233)-ROW(All_Risk_Apps!$A$4)+1)/(All_Risk_Apps!$J$4:$J$1233="Fast Follower")*(All_Risk_Apps!$A$4:$A$1233&lt;&gt;""),166)),"")</f>
        <v/>
      </c>
      <c r="D169" s="14" t="str">
        <f ca="1">IFERROR(INDEX(All_Risk_Apps!$C$4:$C$1233,_xludf.aggregate(15,6,(ROW(All_Risk_Apps!$A$4:$A$1233)-ROW(All_Risk_Apps!$A$4)+1)/(All_Risk_Apps!$J$4:$J$1233="Fast Follower")*(All_Risk_Apps!$A$4:$A$1233&lt;&gt;""),166)),"")</f>
        <v/>
      </c>
      <c r="E169" s="14" t="str">
        <f ca="1">IFERROR(INDEX(All_Risk_Apps!$E$4:$E$1233,_xludf.aggregate(15,6,(ROW(All_Risk_Apps!$A$4:$A$1233)-ROW(All_Risk_Apps!$A$4)+1)/(All_Risk_Apps!$J$4:$J$1233="Fast Follower")*(All_Risk_Apps!$A$4:$A$1233&lt;&gt;""),166)),"")</f>
        <v/>
      </c>
      <c r="F169" s="14" t="str">
        <f ca="1">IFERROR(INDEX(All_Risk_Apps!$F$4:$F$1233,_xludf.aggregate(15,6,(ROW(All_Risk_Apps!$A$4:$A$1233)-ROW(All_Risk_Apps!$A$4)+1)/(All_Risk_Apps!$J$4:$J$1233="Fast Follower")*(All_Risk_Apps!$A$4:$A$1233&lt;&gt;""),166)),"")</f>
        <v/>
      </c>
      <c r="G169" s="14" t="str">
        <f ca="1">IFERROR(INDEX(All_Risk_Apps!$I$4:$I$1233,_xludf.aggregate(15,6,(ROW(All_Risk_Apps!$A$4:$A$1233)-ROW(All_Risk_Apps!$A$4)+1)/(All_Risk_Apps!$J$4:$J$1233="Fast Follower")*(All_Risk_Apps!$A$4:$A$1233&lt;&gt;""),166)),"")</f>
        <v/>
      </c>
      <c r="H169" s="14" t="str">
        <f ca="1">IF(B169="","",IFERROR(INDEX(Server_Inventory!$R:$R,MATCH(B169,Server_Inventory!$Z:$Z,0)),"Not Found"))</f>
        <v/>
      </c>
      <c r="I169" s="14" t="str">
        <f ca="1">IF(B169="","",IFERROR(INDEX(Server_Inventory!$S:$S,MATCH(B169,Server_Inventory!$Z:$Z,0)),"Not Found"))</f>
        <v/>
      </c>
      <c r="J169" s="14" t="str">
        <f ca="1">IF(B169="","",COUNTIFS(Server_Inventory!$Z:$Z,B169,Server_Inventory!$P:$P,"R-RETIRED_IN_CMDB"))</f>
        <v/>
      </c>
      <c r="K169" s="14" t="str">
        <f ca="1">IF(B169="","",IFERROR(INDEX(Container_Inventory!$F:$F,MATCH(B169,Container_Inventory!$L:$L,0)),"Not Found"))</f>
        <v/>
      </c>
      <c r="L169" s="14" t="str">
        <f ca="1">IF(B169="","",IF(COUNTIF(Finding_List!$A:$A,B169)&gt;0,"Yes","No"))</f>
        <v/>
      </c>
      <c r="M169" s="14" t="str">
        <f ca="1">IF(B169="","",COUNTIF(Server_Inventory!$Z:$Z,B169))</f>
        <v/>
      </c>
      <c r="N169" s="14" t="str">
        <f ca="1">IF(B169="","",COUNTIF(Container_Inventory!$L:$L,B169))</f>
        <v/>
      </c>
    </row>
    <row r="170" spans="1:14" x14ac:dyDescent="0.2">
      <c r="A170" s="8" t="str">
        <f ca="1">IFERROR(INDEX(All_Risk_Apps!$A$4:$A$1233,_xludf.aggregate(15,6,(ROW(All_Risk_Apps!$A$4:$A$1233)-ROW(All_Risk_Apps!$A$4)+1)/(All_Risk_Apps!$J$4:$J$1233="Fast Follower")*(All_Risk_Apps!$A$4:$A$1233&lt;&gt;""),167)),"")</f>
        <v/>
      </c>
      <c r="B170" s="8" t="str">
        <f ca="1">IFERROR(INDEX(All_Risk_Apps!$B$4:$B$1233,_xludf.aggregate(15,6,(ROW(All_Risk_Apps!$A$4:$A$1233)-ROW(All_Risk_Apps!$A$4)+1)/(All_Risk_Apps!$J$4:$J$1233="Fast Follower")*(All_Risk_Apps!$A$4:$A$1233&lt;&gt;""),167)),"")</f>
        <v/>
      </c>
      <c r="C170" s="8" t="str">
        <f ca="1">IFERROR(INDEX(All_Risk_Apps!$D$4:$D$1233,_xludf.aggregate(15,6,(ROW(All_Risk_Apps!$A$4:$A$1233)-ROW(All_Risk_Apps!$A$4)+1)/(All_Risk_Apps!$J$4:$J$1233="Fast Follower")*(All_Risk_Apps!$A$4:$A$1233&lt;&gt;""),167)),"")</f>
        <v/>
      </c>
      <c r="D170" s="8" t="str">
        <f ca="1">IFERROR(INDEX(All_Risk_Apps!$C$4:$C$1233,_xludf.aggregate(15,6,(ROW(All_Risk_Apps!$A$4:$A$1233)-ROW(All_Risk_Apps!$A$4)+1)/(All_Risk_Apps!$J$4:$J$1233="Fast Follower")*(All_Risk_Apps!$A$4:$A$1233&lt;&gt;""),167)),"")</f>
        <v/>
      </c>
      <c r="E170" s="8" t="str">
        <f ca="1">IFERROR(INDEX(All_Risk_Apps!$E$4:$E$1233,_xludf.aggregate(15,6,(ROW(All_Risk_Apps!$A$4:$A$1233)-ROW(All_Risk_Apps!$A$4)+1)/(All_Risk_Apps!$J$4:$J$1233="Fast Follower")*(All_Risk_Apps!$A$4:$A$1233&lt;&gt;""),167)),"")</f>
        <v/>
      </c>
      <c r="F170" s="8" t="str">
        <f ca="1">IFERROR(INDEX(All_Risk_Apps!$F$4:$F$1233,_xludf.aggregate(15,6,(ROW(All_Risk_Apps!$A$4:$A$1233)-ROW(All_Risk_Apps!$A$4)+1)/(All_Risk_Apps!$J$4:$J$1233="Fast Follower")*(All_Risk_Apps!$A$4:$A$1233&lt;&gt;""),167)),"")</f>
        <v/>
      </c>
      <c r="G170" s="8" t="str">
        <f ca="1">IFERROR(INDEX(All_Risk_Apps!$I$4:$I$1233,_xludf.aggregate(15,6,(ROW(All_Risk_Apps!$A$4:$A$1233)-ROW(All_Risk_Apps!$A$4)+1)/(All_Risk_Apps!$J$4:$J$1233="Fast Follower")*(All_Risk_Apps!$A$4:$A$1233&lt;&gt;""),167)),"")</f>
        <v/>
      </c>
      <c r="H170" s="8" t="str">
        <f ca="1">IF(B170="","",IFERROR(INDEX(Server_Inventory!$R:$R,MATCH(B170,Server_Inventory!$Z:$Z,0)),"Not Found"))</f>
        <v/>
      </c>
      <c r="I170" s="8" t="str">
        <f ca="1">IF(B170="","",IFERROR(INDEX(Server_Inventory!$S:$S,MATCH(B170,Server_Inventory!$Z:$Z,0)),"Not Found"))</f>
        <v/>
      </c>
      <c r="J170" s="8" t="str">
        <f ca="1">IF(B170="","",COUNTIFS(Server_Inventory!$Z:$Z,B170,Server_Inventory!$P:$P,"R-RETIRED_IN_CMDB"))</f>
        <v/>
      </c>
      <c r="K170" s="8" t="str">
        <f ca="1">IF(B170="","",IFERROR(INDEX(Container_Inventory!$F:$F,MATCH(B170,Container_Inventory!$L:$L,0)),"Not Found"))</f>
        <v/>
      </c>
      <c r="L170" s="8" t="str">
        <f ca="1">IF(B170="","",IF(COUNTIF(Finding_List!$A:$A,B170)&gt;0,"Yes","No"))</f>
        <v/>
      </c>
      <c r="M170" s="8" t="str">
        <f ca="1">IF(B170="","",COUNTIF(Server_Inventory!$Z:$Z,B170))</f>
        <v/>
      </c>
      <c r="N170" s="8" t="str">
        <f ca="1">IF(B170="","",COUNTIF(Container_Inventory!$L:$L,B170))</f>
        <v/>
      </c>
    </row>
    <row r="171" spans="1:14" x14ac:dyDescent="0.2">
      <c r="A171" s="14" t="str">
        <f ca="1">IFERROR(INDEX(All_Risk_Apps!$A$4:$A$1233,_xludf.aggregate(15,6,(ROW(All_Risk_Apps!$A$4:$A$1233)-ROW(All_Risk_Apps!$A$4)+1)/(All_Risk_Apps!$J$4:$J$1233="Fast Follower")*(All_Risk_Apps!$A$4:$A$1233&lt;&gt;""),168)),"")</f>
        <v/>
      </c>
      <c r="B171" s="14" t="str">
        <f ca="1">IFERROR(INDEX(All_Risk_Apps!$B$4:$B$1233,_xludf.aggregate(15,6,(ROW(All_Risk_Apps!$A$4:$A$1233)-ROW(All_Risk_Apps!$A$4)+1)/(All_Risk_Apps!$J$4:$J$1233="Fast Follower")*(All_Risk_Apps!$A$4:$A$1233&lt;&gt;""),168)),"")</f>
        <v/>
      </c>
      <c r="C171" s="14" t="str">
        <f ca="1">IFERROR(INDEX(All_Risk_Apps!$D$4:$D$1233,_xludf.aggregate(15,6,(ROW(All_Risk_Apps!$A$4:$A$1233)-ROW(All_Risk_Apps!$A$4)+1)/(All_Risk_Apps!$J$4:$J$1233="Fast Follower")*(All_Risk_Apps!$A$4:$A$1233&lt;&gt;""),168)),"")</f>
        <v/>
      </c>
      <c r="D171" s="14" t="str">
        <f ca="1">IFERROR(INDEX(All_Risk_Apps!$C$4:$C$1233,_xludf.aggregate(15,6,(ROW(All_Risk_Apps!$A$4:$A$1233)-ROW(All_Risk_Apps!$A$4)+1)/(All_Risk_Apps!$J$4:$J$1233="Fast Follower")*(All_Risk_Apps!$A$4:$A$1233&lt;&gt;""),168)),"")</f>
        <v/>
      </c>
      <c r="E171" s="14" t="str">
        <f ca="1">IFERROR(INDEX(All_Risk_Apps!$E$4:$E$1233,_xludf.aggregate(15,6,(ROW(All_Risk_Apps!$A$4:$A$1233)-ROW(All_Risk_Apps!$A$4)+1)/(All_Risk_Apps!$J$4:$J$1233="Fast Follower")*(All_Risk_Apps!$A$4:$A$1233&lt;&gt;""),168)),"")</f>
        <v/>
      </c>
      <c r="F171" s="14" t="str">
        <f ca="1">IFERROR(INDEX(All_Risk_Apps!$F$4:$F$1233,_xludf.aggregate(15,6,(ROW(All_Risk_Apps!$A$4:$A$1233)-ROW(All_Risk_Apps!$A$4)+1)/(All_Risk_Apps!$J$4:$J$1233="Fast Follower")*(All_Risk_Apps!$A$4:$A$1233&lt;&gt;""),168)),"")</f>
        <v/>
      </c>
      <c r="G171" s="14" t="str">
        <f ca="1">IFERROR(INDEX(All_Risk_Apps!$I$4:$I$1233,_xludf.aggregate(15,6,(ROW(All_Risk_Apps!$A$4:$A$1233)-ROW(All_Risk_Apps!$A$4)+1)/(All_Risk_Apps!$J$4:$J$1233="Fast Follower")*(All_Risk_Apps!$A$4:$A$1233&lt;&gt;""),168)),"")</f>
        <v/>
      </c>
      <c r="H171" s="14" t="str">
        <f ca="1">IF(B171="","",IFERROR(INDEX(Server_Inventory!$R:$R,MATCH(B171,Server_Inventory!$Z:$Z,0)),"Not Found"))</f>
        <v/>
      </c>
      <c r="I171" s="14" t="str">
        <f ca="1">IF(B171="","",IFERROR(INDEX(Server_Inventory!$S:$S,MATCH(B171,Server_Inventory!$Z:$Z,0)),"Not Found"))</f>
        <v/>
      </c>
      <c r="J171" s="14" t="str">
        <f ca="1">IF(B171="","",COUNTIFS(Server_Inventory!$Z:$Z,B171,Server_Inventory!$P:$P,"R-RETIRED_IN_CMDB"))</f>
        <v/>
      </c>
      <c r="K171" s="14" t="str">
        <f ca="1">IF(B171="","",IFERROR(INDEX(Container_Inventory!$F:$F,MATCH(B171,Container_Inventory!$L:$L,0)),"Not Found"))</f>
        <v/>
      </c>
      <c r="L171" s="14" t="str">
        <f ca="1">IF(B171="","",IF(COUNTIF(Finding_List!$A:$A,B171)&gt;0,"Yes","No"))</f>
        <v/>
      </c>
      <c r="M171" s="14" t="str">
        <f ca="1">IF(B171="","",COUNTIF(Server_Inventory!$Z:$Z,B171))</f>
        <v/>
      </c>
      <c r="N171" s="14" t="str">
        <f ca="1">IF(B171="","",COUNTIF(Container_Inventory!$L:$L,B171))</f>
        <v/>
      </c>
    </row>
    <row r="172" spans="1:14" x14ac:dyDescent="0.2">
      <c r="A172" s="8" t="str">
        <f ca="1">IFERROR(INDEX(All_Risk_Apps!$A$4:$A$1233,_xludf.aggregate(15,6,(ROW(All_Risk_Apps!$A$4:$A$1233)-ROW(All_Risk_Apps!$A$4)+1)/(All_Risk_Apps!$J$4:$J$1233="Fast Follower")*(All_Risk_Apps!$A$4:$A$1233&lt;&gt;""),169)),"")</f>
        <v/>
      </c>
      <c r="B172" s="8" t="str">
        <f ca="1">IFERROR(INDEX(All_Risk_Apps!$B$4:$B$1233,_xludf.aggregate(15,6,(ROW(All_Risk_Apps!$A$4:$A$1233)-ROW(All_Risk_Apps!$A$4)+1)/(All_Risk_Apps!$J$4:$J$1233="Fast Follower")*(All_Risk_Apps!$A$4:$A$1233&lt;&gt;""),169)),"")</f>
        <v/>
      </c>
      <c r="C172" s="8" t="str">
        <f ca="1">IFERROR(INDEX(All_Risk_Apps!$D$4:$D$1233,_xludf.aggregate(15,6,(ROW(All_Risk_Apps!$A$4:$A$1233)-ROW(All_Risk_Apps!$A$4)+1)/(All_Risk_Apps!$J$4:$J$1233="Fast Follower")*(All_Risk_Apps!$A$4:$A$1233&lt;&gt;""),169)),"")</f>
        <v/>
      </c>
      <c r="D172" s="8" t="str">
        <f ca="1">IFERROR(INDEX(All_Risk_Apps!$C$4:$C$1233,_xludf.aggregate(15,6,(ROW(All_Risk_Apps!$A$4:$A$1233)-ROW(All_Risk_Apps!$A$4)+1)/(All_Risk_Apps!$J$4:$J$1233="Fast Follower")*(All_Risk_Apps!$A$4:$A$1233&lt;&gt;""),169)),"")</f>
        <v/>
      </c>
      <c r="E172" s="8" t="str">
        <f ca="1">IFERROR(INDEX(All_Risk_Apps!$E$4:$E$1233,_xludf.aggregate(15,6,(ROW(All_Risk_Apps!$A$4:$A$1233)-ROW(All_Risk_Apps!$A$4)+1)/(All_Risk_Apps!$J$4:$J$1233="Fast Follower")*(All_Risk_Apps!$A$4:$A$1233&lt;&gt;""),169)),"")</f>
        <v/>
      </c>
      <c r="F172" s="8" t="str">
        <f ca="1">IFERROR(INDEX(All_Risk_Apps!$F$4:$F$1233,_xludf.aggregate(15,6,(ROW(All_Risk_Apps!$A$4:$A$1233)-ROW(All_Risk_Apps!$A$4)+1)/(All_Risk_Apps!$J$4:$J$1233="Fast Follower")*(All_Risk_Apps!$A$4:$A$1233&lt;&gt;""),169)),"")</f>
        <v/>
      </c>
      <c r="G172" s="8" t="str">
        <f ca="1">IFERROR(INDEX(All_Risk_Apps!$I$4:$I$1233,_xludf.aggregate(15,6,(ROW(All_Risk_Apps!$A$4:$A$1233)-ROW(All_Risk_Apps!$A$4)+1)/(All_Risk_Apps!$J$4:$J$1233="Fast Follower")*(All_Risk_Apps!$A$4:$A$1233&lt;&gt;""),169)),"")</f>
        <v/>
      </c>
      <c r="H172" s="8" t="str">
        <f ca="1">IF(B172="","",IFERROR(INDEX(Server_Inventory!$R:$R,MATCH(B172,Server_Inventory!$Z:$Z,0)),"Not Found"))</f>
        <v/>
      </c>
      <c r="I172" s="8" t="str">
        <f ca="1">IF(B172="","",IFERROR(INDEX(Server_Inventory!$S:$S,MATCH(B172,Server_Inventory!$Z:$Z,0)),"Not Found"))</f>
        <v/>
      </c>
      <c r="J172" s="8" t="str">
        <f ca="1">IF(B172="","",COUNTIFS(Server_Inventory!$Z:$Z,B172,Server_Inventory!$P:$P,"R-RETIRED_IN_CMDB"))</f>
        <v/>
      </c>
      <c r="K172" s="8" t="str">
        <f ca="1">IF(B172="","",IFERROR(INDEX(Container_Inventory!$F:$F,MATCH(B172,Container_Inventory!$L:$L,0)),"Not Found"))</f>
        <v/>
      </c>
      <c r="L172" s="8" t="str">
        <f ca="1">IF(B172="","",IF(COUNTIF(Finding_List!$A:$A,B172)&gt;0,"Yes","No"))</f>
        <v/>
      </c>
      <c r="M172" s="8" t="str">
        <f ca="1">IF(B172="","",COUNTIF(Server_Inventory!$Z:$Z,B172))</f>
        <v/>
      </c>
      <c r="N172" s="8" t="str">
        <f ca="1">IF(B172="","",COUNTIF(Container_Inventory!$L:$L,B172))</f>
        <v/>
      </c>
    </row>
    <row r="173" spans="1:14" x14ac:dyDescent="0.2">
      <c r="A173" s="14" t="str">
        <f ca="1">IFERROR(INDEX(All_Risk_Apps!$A$4:$A$1233,_xludf.aggregate(15,6,(ROW(All_Risk_Apps!$A$4:$A$1233)-ROW(All_Risk_Apps!$A$4)+1)/(All_Risk_Apps!$J$4:$J$1233="Fast Follower")*(All_Risk_Apps!$A$4:$A$1233&lt;&gt;""),170)),"")</f>
        <v/>
      </c>
      <c r="B173" s="14" t="str">
        <f ca="1">IFERROR(INDEX(All_Risk_Apps!$B$4:$B$1233,_xludf.aggregate(15,6,(ROW(All_Risk_Apps!$A$4:$A$1233)-ROW(All_Risk_Apps!$A$4)+1)/(All_Risk_Apps!$J$4:$J$1233="Fast Follower")*(All_Risk_Apps!$A$4:$A$1233&lt;&gt;""),170)),"")</f>
        <v/>
      </c>
      <c r="C173" s="14" t="str">
        <f ca="1">IFERROR(INDEX(All_Risk_Apps!$D$4:$D$1233,_xludf.aggregate(15,6,(ROW(All_Risk_Apps!$A$4:$A$1233)-ROW(All_Risk_Apps!$A$4)+1)/(All_Risk_Apps!$J$4:$J$1233="Fast Follower")*(All_Risk_Apps!$A$4:$A$1233&lt;&gt;""),170)),"")</f>
        <v/>
      </c>
      <c r="D173" s="14" t="str">
        <f ca="1">IFERROR(INDEX(All_Risk_Apps!$C$4:$C$1233,_xludf.aggregate(15,6,(ROW(All_Risk_Apps!$A$4:$A$1233)-ROW(All_Risk_Apps!$A$4)+1)/(All_Risk_Apps!$J$4:$J$1233="Fast Follower")*(All_Risk_Apps!$A$4:$A$1233&lt;&gt;""),170)),"")</f>
        <v/>
      </c>
      <c r="E173" s="14" t="str">
        <f ca="1">IFERROR(INDEX(All_Risk_Apps!$E$4:$E$1233,_xludf.aggregate(15,6,(ROW(All_Risk_Apps!$A$4:$A$1233)-ROW(All_Risk_Apps!$A$4)+1)/(All_Risk_Apps!$J$4:$J$1233="Fast Follower")*(All_Risk_Apps!$A$4:$A$1233&lt;&gt;""),170)),"")</f>
        <v/>
      </c>
      <c r="F173" s="14" t="str">
        <f ca="1">IFERROR(INDEX(All_Risk_Apps!$F$4:$F$1233,_xludf.aggregate(15,6,(ROW(All_Risk_Apps!$A$4:$A$1233)-ROW(All_Risk_Apps!$A$4)+1)/(All_Risk_Apps!$J$4:$J$1233="Fast Follower")*(All_Risk_Apps!$A$4:$A$1233&lt;&gt;""),170)),"")</f>
        <v/>
      </c>
      <c r="G173" s="14" t="str">
        <f ca="1">IFERROR(INDEX(All_Risk_Apps!$I$4:$I$1233,_xludf.aggregate(15,6,(ROW(All_Risk_Apps!$A$4:$A$1233)-ROW(All_Risk_Apps!$A$4)+1)/(All_Risk_Apps!$J$4:$J$1233="Fast Follower")*(All_Risk_Apps!$A$4:$A$1233&lt;&gt;""),170)),"")</f>
        <v/>
      </c>
      <c r="H173" s="14" t="str">
        <f ca="1">IF(B173="","",IFERROR(INDEX(Server_Inventory!$R:$R,MATCH(B173,Server_Inventory!$Z:$Z,0)),"Not Found"))</f>
        <v/>
      </c>
      <c r="I173" s="14" t="str">
        <f ca="1">IF(B173="","",IFERROR(INDEX(Server_Inventory!$S:$S,MATCH(B173,Server_Inventory!$Z:$Z,0)),"Not Found"))</f>
        <v/>
      </c>
      <c r="J173" s="14" t="str">
        <f ca="1">IF(B173="","",COUNTIFS(Server_Inventory!$Z:$Z,B173,Server_Inventory!$P:$P,"R-RETIRED_IN_CMDB"))</f>
        <v/>
      </c>
      <c r="K173" s="14" t="str">
        <f ca="1">IF(B173="","",IFERROR(INDEX(Container_Inventory!$F:$F,MATCH(B173,Container_Inventory!$L:$L,0)),"Not Found"))</f>
        <v/>
      </c>
      <c r="L173" s="14" t="str">
        <f ca="1">IF(B173="","",IF(COUNTIF(Finding_List!$A:$A,B173)&gt;0,"Yes","No"))</f>
        <v/>
      </c>
      <c r="M173" s="14" t="str">
        <f ca="1">IF(B173="","",COUNTIF(Server_Inventory!$Z:$Z,B173))</f>
        <v/>
      </c>
      <c r="N173" s="14" t="str">
        <f ca="1">IF(B173="","",COUNTIF(Container_Inventory!$L:$L,B173))</f>
        <v/>
      </c>
    </row>
    <row r="174" spans="1:14" x14ac:dyDescent="0.2">
      <c r="A174" s="8" t="str">
        <f ca="1">IFERROR(INDEX(All_Risk_Apps!$A$4:$A$1233,_xludf.aggregate(15,6,(ROW(All_Risk_Apps!$A$4:$A$1233)-ROW(All_Risk_Apps!$A$4)+1)/(All_Risk_Apps!$J$4:$J$1233="Fast Follower")*(All_Risk_Apps!$A$4:$A$1233&lt;&gt;""),171)),"")</f>
        <v/>
      </c>
      <c r="B174" s="8" t="str">
        <f ca="1">IFERROR(INDEX(All_Risk_Apps!$B$4:$B$1233,_xludf.aggregate(15,6,(ROW(All_Risk_Apps!$A$4:$A$1233)-ROW(All_Risk_Apps!$A$4)+1)/(All_Risk_Apps!$J$4:$J$1233="Fast Follower")*(All_Risk_Apps!$A$4:$A$1233&lt;&gt;""),171)),"")</f>
        <v/>
      </c>
      <c r="C174" s="8" t="str">
        <f ca="1">IFERROR(INDEX(All_Risk_Apps!$D$4:$D$1233,_xludf.aggregate(15,6,(ROW(All_Risk_Apps!$A$4:$A$1233)-ROW(All_Risk_Apps!$A$4)+1)/(All_Risk_Apps!$J$4:$J$1233="Fast Follower")*(All_Risk_Apps!$A$4:$A$1233&lt;&gt;""),171)),"")</f>
        <v/>
      </c>
      <c r="D174" s="8" t="str">
        <f ca="1">IFERROR(INDEX(All_Risk_Apps!$C$4:$C$1233,_xludf.aggregate(15,6,(ROW(All_Risk_Apps!$A$4:$A$1233)-ROW(All_Risk_Apps!$A$4)+1)/(All_Risk_Apps!$J$4:$J$1233="Fast Follower")*(All_Risk_Apps!$A$4:$A$1233&lt;&gt;""),171)),"")</f>
        <v/>
      </c>
      <c r="E174" s="8" t="str">
        <f ca="1">IFERROR(INDEX(All_Risk_Apps!$E$4:$E$1233,_xludf.aggregate(15,6,(ROW(All_Risk_Apps!$A$4:$A$1233)-ROW(All_Risk_Apps!$A$4)+1)/(All_Risk_Apps!$J$4:$J$1233="Fast Follower")*(All_Risk_Apps!$A$4:$A$1233&lt;&gt;""),171)),"")</f>
        <v/>
      </c>
      <c r="F174" s="8" t="str">
        <f ca="1">IFERROR(INDEX(All_Risk_Apps!$F$4:$F$1233,_xludf.aggregate(15,6,(ROW(All_Risk_Apps!$A$4:$A$1233)-ROW(All_Risk_Apps!$A$4)+1)/(All_Risk_Apps!$J$4:$J$1233="Fast Follower")*(All_Risk_Apps!$A$4:$A$1233&lt;&gt;""),171)),"")</f>
        <v/>
      </c>
      <c r="G174" s="8" t="str">
        <f ca="1">IFERROR(INDEX(All_Risk_Apps!$I$4:$I$1233,_xludf.aggregate(15,6,(ROW(All_Risk_Apps!$A$4:$A$1233)-ROW(All_Risk_Apps!$A$4)+1)/(All_Risk_Apps!$J$4:$J$1233="Fast Follower")*(All_Risk_Apps!$A$4:$A$1233&lt;&gt;""),171)),"")</f>
        <v/>
      </c>
      <c r="H174" s="8" t="str">
        <f ca="1">IF(B174="","",IFERROR(INDEX(Server_Inventory!$R:$R,MATCH(B174,Server_Inventory!$Z:$Z,0)),"Not Found"))</f>
        <v/>
      </c>
      <c r="I174" s="8" t="str">
        <f ca="1">IF(B174="","",IFERROR(INDEX(Server_Inventory!$S:$S,MATCH(B174,Server_Inventory!$Z:$Z,0)),"Not Found"))</f>
        <v/>
      </c>
      <c r="J174" s="8" t="str">
        <f ca="1">IF(B174="","",COUNTIFS(Server_Inventory!$Z:$Z,B174,Server_Inventory!$P:$P,"R-RETIRED_IN_CMDB"))</f>
        <v/>
      </c>
      <c r="K174" s="8" t="str">
        <f ca="1">IF(B174="","",IFERROR(INDEX(Container_Inventory!$F:$F,MATCH(B174,Container_Inventory!$L:$L,0)),"Not Found"))</f>
        <v/>
      </c>
      <c r="L174" s="8" t="str">
        <f ca="1">IF(B174="","",IF(COUNTIF(Finding_List!$A:$A,B174)&gt;0,"Yes","No"))</f>
        <v/>
      </c>
      <c r="M174" s="8" t="str">
        <f ca="1">IF(B174="","",COUNTIF(Server_Inventory!$Z:$Z,B174))</f>
        <v/>
      </c>
      <c r="N174" s="8" t="str">
        <f ca="1">IF(B174="","",COUNTIF(Container_Inventory!$L:$L,B174))</f>
        <v/>
      </c>
    </row>
    <row r="175" spans="1:14" x14ac:dyDescent="0.2">
      <c r="A175" s="14" t="str">
        <f ca="1">IFERROR(INDEX(All_Risk_Apps!$A$4:$A$1233,_xludf.aggregate(15,6,(ROW(All_Risk_Apps!$A$4:$A$1233)-ROW(All_Risk_Apps!$A$4)+1)/(All_Risk_Apps!$J$4:$J$1233="Fast Follower")*(All_Risk_Apps!$A$4:$A$1233&lt;&gt;""),172)),"")</f>
        <v/>
      </c>
      <c r="B175" s="14" t="str">
        <f ca="1">IFERROR(INDEX(All_Risk_Apps!$B$4:$B$1233,_xludf.aggregate(15,6,(ROW(All_Risk_Apps!$A$4:$A$1233)-ROW(All_Risk_Apps!$A$4)+1)/(All_Risk_Apps!$J$4:$J$1233="Fast Follower")*(All_Risk_Apps!$A$4:$A$1233&lt;&gt;""),172)),"")</f>
        <v/>
      </c>
      <c r="C175" s="14" t="str">
        <f ca="1">IFERROR(INDEX(All_Risk_Apps!$D$4:$D$1233,_xludf.aggregate(15,6,(ROW(All_Risk_Apps!$A$4:$A$1233)-ROW(All_Risk_Apps!$A$4)+1)/(All_Risk_Apps!$J$4:$J$1233="Fast Follower")*(All_Risk_Apps!$A$4:$A$1233&lt;&gt;""),172)),"")</f>
        <v/>
      </c>
      <c r="D175" s="14" t="str">
        <f ca="1">IFERROR(INDEX(All_Risk_Apps!$C$4:$C$1233,_xludf.aggregate(15,6,(ROW(All_Risk_Apps!$A$4:$A$1233)-ROW(All_Risk_Apps!$A$4)+1)/(All_Risk_Apps!$J$4:$J$1233="Fast Follower")*(All_Risk_Apps!$A$4:$A$1233&lt;&gt;""),172)),"")</f>
        <v/>
      </c>
      <c r="E175" s="14" t="str">
        <f ca="1">IFERROR(INDEX(All_Risk_Apps!$E$4:$E$1233,_xludf.aggregate(15,6,(ROW(All_Risk_Apps!$A$4:$A$1233)-ROW(All_Risk_Apps!$A$4)+1)/(All_Risk_Apps!$J$4:$J$1233="Fast Follower")*(All_Risk_Apps!$A$4:$A$1233&lt;&gt;""),172)),"")</f>
        <v/>
      </c>
      <c r="F175" s="14" t="str">
        <f ca="1">IFERROR(INDEX(All_Risk_Apps!$F$4:$F$1233,_xludf.aggregate(15,6,(ROW(All_Risk_Apps!$A$4:$A$1233)-ROW(All_Risk_Apps!$A$4)+1)/(All_Risk_Apps!$J$4:$J$1233="Fast Follower")*(All_Risk_Apps!$A$4:$A$1233&lt;&gt;""),172)),"")</f>
        <v/>
      </c>
      <c r="G175" s="14" t="str">
        <f ca="1">IFERROR(INDEX(All_Risk_Apps!$I$4:$I$1233,_xludf.aggregate(15,6,(ROW(All_Risk_Apps!$A$4:$A$1233)-ROW(All_Risk_Apps!$A$4)+1)/(All_Risk_Apps!$J$4:$J$1233="Fast Follower")*(All_Risk_Apps!$A$4:$A$1233&lt;&gt;""),172)),"")</f>
        <v/>
      </c>
      <c r="H175" s="14" t="str">
        <f ca="1">IF(B175="","",IFERROR(INDEX(Server_Inventory!$R:$R,MATCH(B175,Server_Inventory!$Z:$Z,0)),"Not Found"))</f>
        <v/>
      </c>
      <c r="I175" s="14" t="str">
        <f ca="1">IF(B175="","",IFERROR(INDEX(Server_Inventory!$S:$S,MATCH(B175,Server_Inventory!$Z:$Z,0)),"Not Found"))</f>
        <v/>
      </c>
      <c r="J175" s="14" t="str">
        <f ca="1">IF(B175="","",COUNTIFS(Server_Inventory!$Z:$Z,B175,Server_Inventory!$P:$P,"R-RETIRED_IN_CMDB"))</f>
        <v/>
      </c>
      <c r="K175" s="14" t="str">
        <f ca="1">IF(B175="","",IFERROR(INDEX(Container_Inventory!$F:$F,MATCH(B175,Container_Inventory!$L:$L,0)),"Not Found"))</f>
        <v/>
      </c>
      <c r="L175" s="14" t="str">
        <f ca="1">IF(B175="","",IF(COUNTIF(Finding_List!$A:$A,B175)&gt;0,"Yes","No"))</f>
        <v/>
      </c>
      <c r="M175" s="14" t="str">
        <f ca="1">IF(B175="","",COUNTIF(Server_Inventory!$Z:$Z,B175))</f>
        <v/>
      </c>
      <c r="N175" s="14" t="str">
        <f ca="1">IF(B175="","",COUNTIF(Container_Inventory!$L:$L,B175))</f>
        <v/>
      </c>
    </row>
    <row r="176" spans="1:14" x14ac:dyDescent="0.2">
      <c r="A176" s="8" t="str">
        <f ca="1">IFERROR(INDEX(All_Risk_Apps!$A$4:$A$1233,_xludf.aggregate(15,6,(ROW(All_Risk_Apps!$A$4:$A$1233)-ROW(All_Risk_Apps!$A$4)+1)/(All_Risk_Apps!$J$4:$J$1233="Fast Follower")*(All_Risk_Apps!$A$4:$A$1233&lt;&gt;""),173)),"")</f>
        <v/>
      </c>
      <c r="B176" s="8" t="str">
        <f ca="1">IFERROR(INDEX(All_Risk_Apps!$B$4:$B$1233,_xludf.aggregate(15,6,(ROW(All_Risk_Apps!$A$4:$A$1233)-ROW(All_Risk_Apps!$A$4)+1)/(All_Risk_Apps!$J$4:$J$1233="Fast Follower")*(All_Risk_Apps!$A$4:$A$1233&lt;&gt;""),173)),"")</f>
        <v/>
      </c>
      <c r="C176" s="8" t="str">
        <f ca="1">IFERROR(INDEX(All_Risk_Apps!$D$4:$D$1233,_xludf.aggregate(15,6,(ROW(All_Risk_Apps!$A$4:$A$1233)-ROW(All_Risk_Apps!$A$4)+1)/(All_Risk_Apps!$J$4:$J$1233="Fast Follower")*(All_Risk_Apps!$A$4:$A$1233&lt;&gt;""),173)),"")</f>
        <v/>
      </c>
      <c r="D176" s="8" t="str">
        <f ca="1">IFERROR(INDEX(All_Risk_Apps!$C$4:$C$1233,_xludf.aggregate(15,6,(ROW(All_Risk_Apps!$A$4:$A$1233)-ROW(All_Risk_Apps!$A$4)+1)/(All_Risk_Apps!$J$4:$J$1233="Fast Follower")*(All_Risk_Apps!$A$4:$A$1233&lt;&gt;""),173)),"")</f>
        <v/>
      </c>
      <c r="E176" s="8" t="str">
        <f ca="1">IFERROR(INDEX(All_Risk_Apps!$E$4:$E$1233,_xludf.aggregate(15,6,(ROW(All_Risk_Apps!$A$4:$A$1233)-ROW(All_Risk_Apps!$A$4)+1)/(All_Risk_Apps!$J$4:$J$1233="Fast Follower")*(All_Risk_Apps!$A$4:$A$1233&lt;&gt;""),173)),"")</f>
        <v/>
      </c>
      <c r="F176" s="8" t="str">
        <f ca="1">IFERROR(INDEX(All_Risk_Apps!$F$4:$F$1233,_xludf.aggregate(15,6,(ROW(All_Risk_Apps!$A$4:$A$1233)-ROW(All_Risk_Apps!$A$4)+1)/(All_Risk_Apps!$J$4:$J$1233="Fast Follower")*(All_Risk_Apps!$A$4:$A$1233&lt;&gt;""),173)),"")</f>
        <v/>
      </c>
      <c r="G176" s="8" t="str">
        <f ca="1">IFERROR(INDEX(All_Risk_Apps!$I$4:$I$1233,_xludf.aggregate(15,6,(ROW(All_Risk_Apps!$A$4:$A$1233)-ROW(All_Risk_Apps!$A$4)+1)/(All_Risk_Apps!$J$4:$J$1233="Fast Follower")*(All_Risk_Apps!$A$4:$A$1233&lt;&gt;""),173)),"")</f>
        <v/>
      </c>
      <c r="H176" s="8" t="str">
        <f ca="1">IF(B176="","",IFERROR(INDEX(Server_Inventory!$R:$R,MATCH(B176,Server_Inventory!$Z:$Z,0)),"Not Found"))</f>
        <v/>
      </c>
      <c r="I176" s="8" t="str">
        <f ca="1">IF(B176="","",IFERROR(INDEX(Server_Inventory!$S:$S,MATCH(B176,Server_Inventory!$Z:$Z,0)),"Not Found"))</f>
        <v/>
      </c>
      <c r="J176" s="8" t="str">
        <f ca="1">IF(B176="","",COUNTIFS(Server_Inventory!$Z:$Z,B176,Server_Inventory!$P:$P,"R-RETIRED_IN_CMDB"))</f>
        <v/>
      </c>
      <c r="K176" s="8" t="str">
        <f ca="1">IF(B176="","",IFERROR(INDEX(Container_Inventory!$F:$F,MATCH(B176,Container_Inventory!$L:$L,0)),"Not Found"))</f>
        <v/>
      </c>
      <c r="L176" s="8" t="str">
        <f ca="1">IF(B176="","",IF(COUNTIF(Finding_List!$A:$A,B176)&gt;0,"Yes","No"))</f>
        <v/>
      </c>
      <c r="M176" s="8" t="str">
        <f ca="1">IF(B176="","",COUNTIF(Server_Inventory!$Z:$Z,B176))</f>
        <v/>
      </c>
      <c r="N176" s="8" t="str">
        <f ca="1">IF(B176="","",COUNTIF(Container_Inventory!$L:$L,B176))</f>
        <v/>
      </c>
    </row>
    <row r="177" spans="1:14" x14ac:dyDescent="0.2">
      <c r="A177" s="14" t="str">
        <f ca="1">IFERROR(INDEX(All_Risk_Apps!$A$4:$A$1233,_xludf.aggregate(15,6,(ROW(All_Risk_Apps!$A$4:$A$1233)-ROW(All_Risk_Apps!$A$4)+1)/(All_Risk_Apps!$J$4:$J$1233="Fast Follower")*(All_Risk_Apps!$A$4:$A$1233&lt;&gt;""),174)),"")</f>
        <v/>
      </c>
      <c r="B177" s="14" t="str">
        <f ca="1">IFERROR(INDEX(All_Risk_Apps!$B$4:$B$1233,_xludf.aggregate(15,6,(ROW(All_Risk_Apps!$A$4:$A$1233)-ROW(All_Risk_Apps!$A$4)+1)/(All_Risk_Apps!$J$4:$J$1233="Fast Follower")*(All_Risk_Apps!$A$4:$A$1233&lt;&gt;""),174)),"")</f>
        <v/>
      </c>
      <c r="C177" s="14" t="str">
        <f ca="1">IFERROR(INDEX(All_Risk_Apps!$D$4:$D$1233,_xludf.aggregate(15,6,(ROW(All_Risk_Apps!$A$4:$A$1233)-ROW(All_Risk_Apps!$A$4)+1)/(All_Risk_Apps!$J$4:$J$1233="Fast Follower")*(All_Risk_Apps!$A$4:$A$1233&lt;&gt;""),174)),"")</f>
        <v/>
      </c>
      <c r="D177" s="14" t="str">
        <f ca="1">IFERROR(INDEX(All_Risk_Apps!$C$4:$C$1233,_xludf.aggregate(15,6,(ROW(All_Risk_Apps!$A$4:$A$1233)-ROW(All_Risk_Apps!$A$4)+1)/(All_Risk_Apps!$J$4:$J$1233="Fast Follower")*(All_Risk_Apps!$A$4:$A$1233&lt;&gt;""),174)),"")</f>
        <v/>
      </c>
      <c r="E177" s="14" t="str">
        <f ca="1">IFERROR(INDEX(All_Risk_Apps!$E$4:$E$1233,_xludf.aggregate(15,6,(ROW(All_Risk_Apps!$A$4:$A$1233)-ROW(All_Risk_Apps!$A$4)+1)/(All_Risk_Apps!$J$4:$J$1233="Fast Follower")*(All_Risk_Apps!$A$4:$A$1233&lt;&gt;""),174)),"")</f>
        <v/>
      </c>
      <c r="F177" s="14" t="str">
        <f ca="1">IFERROR(INDEX(All_Risk_Apps!$F$4:$F$1233,_xludf.aggregate(15,6,(ROW(All_Risk_Apps!$A$4:$A$1233)-ROW(All_Risk_Apps!$A$4)+1)/(All_Risk_Apps!$J$4:$J$1233="Fast Follower")*(All_Risk_Apps!$A$4:$A$1233&lt;&gt;""),174)),"")</f>
        <v/>
      </c>
      <c r="G177" s="14" t="str">
        <f ca="1">IFERROR(INDEX(All_Risk_Apps!$I$4:$I$1233,_xludf.aggregate(15,6,(ROW(All_Risk_Apps!$A$4:$A$1233)-ROW(All_Risk_Apps!$A$4)+1)/(All_Risk_Apps!$J$4:$J$1233="Fast Follower")*(All_Risk_Apps!$A$4:$A$1233&lt;&gt;""),174)),"")</f>
        <v/>
      </c>
      <c r="H177" s="14" t="str">
        <f ca="1">IF(B177="","",IFERROR(INDEX(Server_Inventory!$R:$R,MATCH(B177,Server_Inventory!$Z:$Z,0)),"Not Found"))</f>
        <v/>
      </c>
      <c r="I177" s="14" t="str">
        <f ca="1">IF(B177="","",IFERROR(INDEX(Server_Inventory!$S:$S,MATCH(B177,Server_Inventory!$Z:$Z,0)),"Not Found"))</f>
        <v/>
      </c>
      <c r="J177" s="14" t="str">
        <f ca="1">IF(B177="","",COUNTIFS(Server_Inventory!$Z:$Z,B177,Server_Inventory!$P:$P,"R-RETIRED_IN_CMDB"))</f>
        <v/>
      </c>
      <c r="K177" s="14" t="str">
        <f ca="1">IF(B177="","",IFERROR(INDEX(Container_Inventory!$F:$F,MATCH(B177,Container_Inventory!$L:$L,0)),"Not Found"))</f>
        <v/>
      </c>
      <c r="L177" s="14" t="str">
        <f ca="1">IF(B177="","",IF(COUNTIF(Finding_List!$A:$A,B177)&gt;0,"Yes","No"))</f>
        <v/>
      </c>
      <c r="M177" s="14" t="str">
        <f ca="1">IF(B177="","",COUNTIF(Server_Inventory!$Z:$Z,B177))</f>
        <v/>
      </c>
      <c r="N177" s="14" t="str">
        <f ca="1">IF(B177="","",COUNTIF(Container_Inventory!$L:$L,B177))</f>
        <v/>
      </c>
    </row>
    <row r="178" spans="1:14" x14ac:dyDescent="0.2">
      <c r="A178" s="8" t="str">
        <f ca="1">IFERROR(INDEX(All_Risk_Apps!$A$4:$A$1233,_xludf.aggregate(15,6,(ROW(All_Risk_Apps!$A$4:$A$1233)-ROW(All_Risk_Apps!$A$4)+1)/(All_Risk_Apps!$J$4:$J$1233="Fast Follower")*(All_Risk_Apps!$A$4:$A$1233&lt;&gt;""),175)),"")</f>
        <v/>
      </c>
      <c r="B178" s="8" t="str">
        <f ca="1">IFERROR(INDEX(All_Risk_Apps!$B$4:$B$1233,_xludf.aggregate(15,6,(ROW(All_Risk_Apps!$A$4:$A$1233)-ROW(All_Risk_Apps!$A$4)+1)/(All_Risk_Apps!$J$4:$J$1233="Fast Follower")*(All_Risk_Apps!$A$4:$A$1233&lt;&gt;""),175)),"")</f>
        <v/>
      </c>
      <c r="C178" s="8" t="str">
        <f ca="1">IFERROR(INDEX(All_Risk_Apps!$D$4:$D$1233,_xludf.aggregate(15,6,(ROW(All_Risk_Apps!$A$4:$A$1233)-ROW(All_Risk_Apps!$A$4)+1)/(All_Risk_Apps!$J$4:$J$1233="Fast Follower")*(All_Risk_Apps!$A$4:$A$1233&lt;&gt;""),175)),"")</f>
        <v/>
      </c>
      <c r="D178" s="8" t="str">
        <f ca="1">IFERROR(INDEX(All_Risk_Apps!$C$4:$C$1233,_xludf.aggregate(15,6,(ROW(All_Risk_Apps!$A$4:$A$1233)-ROW(All_Risk_Apps!$A$4)+1)/(All_Risk_Apps!$J$4:$J$1233="Fast Follower")*(All_Risk_Apps!$A$4:$A$1233&lt;&gt;""),175)),"")</f>
        <v/>
      </c>
      <c r="E178" s="8" t="str">
        <f ca="1">IFERROR(INDEX(All_Risk_Apps!$E$4:$E$1233,_xludf.aggregate(15,6,(ROW(All_Risk_Apps!$A$4:$A$1233)-ROW(All_Risk_Apps!$A$4)+1)/(All_Risk_Apps!$J$4:$J$1233="Fast Follower")*(All_Risk_Apps!$A$4:$A$1233&lt;&gt;""),175)),"")</f>
        <v/>
      </c>
      <c r="F178" s="8" t="str">
        <f ca="1">IFERROR(INDEX(All_Risk_Apps!$F$4:$F$1233,_xludf.aggregate(15,6,(ROW(All_Risk_Apps!$A$4:$A$1233)-ROW(All_Risk_Apps!$A$4)+1)/(All_Risk_Apps!$J$4:$J$1233="Fast Follower")*(All_Risk_Apps!$A$4:$A$1233&lt;&gt;""),175)),"")</f>
        <v/>
      </c>
      <c r="G178" s="8" t="str">
        <f ca="1">IFERROR(INDEX(All_Risk_Apps!$I$4:$I$1233,_xludf.aggregate(15,6,(ROW(All_Risk_Apps!$A$4:$A$1233)-ROW(All_Risk_Apps!$A$4)+1)/(All_Risk_Apps!$J$4:$J$1233="Fast Follower")*(All_Risk_Apps!$A$4:$A$1233&lt;&gt;""),175)),"")</f>
        <v/>
      </c>
      <c r="H178" s="8" t="str">
        <f ca="1">IF(B178="","",IFERROR(INDEX(Server_Inventory!$R:$R,MATCH(B178,Server_Inventory!$Z:$Z,0)),"Not Found"))</f>
        <v/>
      </c>
      <c r="I178" s="8" t="str">
        <f ca="1">IF(B178="","",IFERROR(INDEX(Server_Inventory!$S:$S,MATCH(B178,Server_Inventory!$Z:$Z,0)),"Not Found"))</f>
        <v/>
      </c>
      <c r="J178" s="8" t="str">
        <f ca="1">IF(B178="","",COUNTIFS(Server_Inventory!$Z:$Z,B178,Server_Inventory!$P:$P,"R-RETIRED_IN_CMDB"))</f>
        <v/>
      </c>
      <c r="K178" s="8" t="str">
        <f ca="1">IF(B178="","",IFERROR(INDEX(Container_Inventory!$F:$F,MATCH(B178,Container_Inventory!$L:$L,0)),"Not Found"))</f>
        <v/>
      </c>
      <c r="L178" s="8" t="str">
        <f ca="1">IF(B178="","",IF(COUNTIF(Finding_List!$A:$A,B178)&gt;0,"Yes","No"))</f>
        <v/>
      </c>
      <c r="M178" s="8" t="str">
        <f ca="1">IF(B178="","",COUNTIF(Server_Inventory!$Z:$Z,B178))</f>
        <v/>
      </c>
      <c r="N178" s="8" t="str">
        <f ca="1">IF(B178="","",COUNTIF(Container_Inventory!$L:$L,B178))</f>
        <v/>
      </c>
    </row>
    <row r="179" spans="1:14" x14ac:dyDescent="0.2">
      <c r="A179" s="14" t="str">
        <f ca="1">IFERROR(INDEX(All_Risk_Apps!$A$4:$A$1233,_xludf.aggregate(15,6,(ROW(All_Risk_Apps!$A$4:$A$1233)-ROW(All_Risk_Apps!$A$4)+1)/(All_Risk_Apps!$J$4:$J$1233="Fast Follower")*(All_Risk_Apps!$A$4:$A$1233&lt;&gt;""),176)),"")</f>
        <v/>
      </c>
      <c r="B179" s="14" t="str">
        <f ca="1">IFERROR(INDEX(All_Risk_Apps!$B$4:$B$1233,_xludf.aggregate(15,6,(ROW(All_Risk_Apps!$A$4:$A$1233)-ROW(All_Risk_Apps!$A$4)+1)/(All_Risk_Apps!$J$4:$J$1233="Fast Follower")*(All_Risk_Apps!$A$4:$A$1233&lt;&gt;""),176)),"")</f>
        <v/>
      </c>
      <c r="C179" s="14" t="str">
        <f ca="1">IFERROR(INDEX(All_Risk_Apps!$D$4:$D$1233,_xludf.aggregate(15,6,(ROW(All_Risk_Apps!$A$4:$A$1233)-ROW(All_Risk_Apps!$A$4)+1)/(All_Risk_Apps!$J$4:$J$1233="Fast Follower")*(All_Risk_Apps!$A$4:$A$1233&lt;&gt;""),176)),"")</f>
        <v/>
      </c>
      <c r="D179" s="14" t="str">
        <f ca="1">IFERROR(INDEX(All_Risk_Apps!$C$4:$C$1233,_xludf.aggregate(15,6,(ROW(All_Risk_Apps!$A$4:$A$1233)-ROW(All_Risk_Apps!$A$4)+1)/(All_Risk_Apps!$J$4:$J$1233="Fast Follower")*(All_Risk_Apps!$A$4:$A$1233&lt;&gt;""),176)),"")</f>
        <v/>
      </c>
      <c r="E179" s="14" t="str">
        <f ca="1">IFERROR(INDEX(All_Risk_Apps!$E$4:$E$1233,_xludf.aggregate(15,6,(ROW(All_Risk_Apps!$A$4:$A$1233)-ROW(All_Risk_Apps!$A$4)+1)/(All_Risk_Apps!$J$4:$J$1233="Fast Follower")*(All_Risk_Apps!$A$4:$A$1233&lt;&gt;""),176)),"")</f>
        <v/>
      </c>
      <c r="F179" s="14" t="str">
        <f ca="1">IFERROR(INDEX(All_Risk_Apps!$F$4:$F$1233,_xludf.aggregate(15,6,(ROW(All_Risk_Apps!$A$4:$A$1233)-ROW(All_Risk_Apps!$A$4)+1)/(All_Risk_Apps!$J$4:$J$1233="Fast Follower")*(All_Risk_Apps!$A$4:$A$1233&lt;&gt;""),176)),"")</f>
        <v/>
      </c>
      <c r="G179" s="14" t="str">
        <f ca="1">IFERROR(INDEX(All_Risk_Apps!$I$4:$I$1233,_xludf.aggregate(15,6,(ROW(All_Risk_Apps!$A$4:$A$1233)-ROW(All_Risk_Apps!$A$4)+1)/(All_Risk_Apps!$J$4:$J$1233="Fast Follower")*(All_Risk_Apps!$A$4:$A$1233&lt;&gt;""),176)),"")</f>
        <v/>
      </c>
      <c r="H179" s="14" t="str">
        <f ca="1">IF(B179="","",IFERROR(INDEX(Server_Inventory!$R:$R,MATCH(B179,Server_Inventory!$Z:$Z,0)),"Not Found"))</f>
        <v/>
      </c>
      <c r="I179" s="14" t="str">
        <f ca="1">IF(B179="","",IFERROR(INDEX(Server_Inventory!$S:$S,MATCH(B179,Server_Inventory!$Z:$Z,0)),"Not Found"))</f>
        <v/>
      </c>
      <c r="J179" s="14" t="str">
        <f ca="1">IF(B179="","",COUNTIFS(Server_Inventory!$Z:$Z,B179,Server_Inventory!$P:$P,"R-RETIRED_IN_CMDB"))</f>
        <v/>
      </c>
      <c r="K179" s="14" t="str">
        <f ca="1">IF(B179="","",IFERROR(INDEX(Container_Inventory!$F:$F,MATCH(B179,Container_Inventory!$L:$L,0)),"Not Found"))</f>
        <v/>
      </c>
      <c r="L179" s="14" t="str">
        <f ca="1">IF(B179="","",IF(COUNTIF(Finding_List!$A:$A,B179)&gt;0,"Yes","No"))</f>
        <v/>
      </c>
      <c r="M179" s="14" t="str">
        <f ca="1">IF(B179="","",COUNTIF(Server_Inventory!$Z:$Z,B179))</f>
        <v/>
      </c>
      <c r="N179" s="14" t="str">
        <f ca="1">IF(B179="","",COUNTIF(Container_Inventory!$L:$L,B179))</f>
        <v/>
      </c>
    </row>
    <row r="180" spans="1:14" x14ac:dyDescent="0.2">
      <c r="A180" s="8" t="str">
        <f ca="1">IFERROR(INDEX(All_Risk_Apps!$A$4:$A$1233,_xludf.aggregate(15,6,(ROW(All_Risk_Apps!$A$4:$A$1233)-ROW(All_Risk_Apps!$A$4)+1)/(All_Risk_Apps!$J$4:$J$1233="Fast Follower")*(All_Risk_Apps!$A$4:$A$1233&lt;&gt;""),177)),"")</f>
        <v/>
      </c>
      <c r="B180" s="8" t="str">
        <f ca="1">IFERROR(INDEX(All_Risk_Apps!$B$4:$B$1233,_xludf.aggregate(15,6,(ROW(All_Risk_Apps!$A$4:$A$1233)-ROW(All_Risk_Apps!$A$4)+1)/(All_Risk_Apps!$J$4:$J$1233="Fast Follower")*(All_Risk_Apps!$A$4:$A$1233&lt;&gt;""),177)),"")</f>
        <v/>
      </c>
      <c r="C180" s="8" t="str">
        <f ca="1">IFERROR(INDEX(All_Risk_Apps!$D$4:$D$1233,_xludf.aggregate(15,6,(ROW(All_Risk_Apps!$A$4:$A$1233)-ROW(All_Risk_Apps!$A$4)+1)/(All_Risk_Apps!$J$4:$J$1233="Fast Follower")*(All_Risk_Apps!$A$4:$A$1233&lt;&gt;""),177)),"")</f>
        <v/>
      </c>
      <c r="D180" s="8" t="str">
        <f ca="1">IFERROR(INDEX(All_Risk_Apps!$C$4:$C$1233,_xludf.aggregate(15,6,(ROW(All_Risk_Apps!$A$4:$A$1233)-ROW(All_Risk_Apps!$A$4)+1)/(All_Risk_Apps!$J$4:$J$1233="Fast Follower")*(All_Risk_Apps!$A$4:$A$1233&lt;&gt;""),177)),"")</f>
        <v/>
      </c>
      <c r="E180" s="8" t="str">
        <f ca="1">IFERROR(INDEX(All_Risk_Apps!$E$4:$E$1233,_xludf.aggregate(15,6,(ROW(All_Risk_Apps!$A$4:$A$1233)-ROW(All_Risk_Apps!$A$4)+1)/(All_Risk_Apps!$J$4:$J$1233="Fast Follower")*(All_Risk_Apps!$A$4:$A$1233&lt;&gt;""),177)),"")</f>
        <v/>
      </c>
      <c r="F180" s="8" t="str">
        <f ca="1">IFERROR(INDEX(All_Risk_Apps!$F$4:$F$1233,_xludf.aggregate(15,6,(ROW(All_Risk_Apps!$A$4:$A$1233)-ROW(All_Risk_Apps!$A$4)+1)/(All_Risk_Apps!$J$4:$J$1233="Fast Follower")*(All_Risk_Apps!$A$4:$A$1233&lt;&gt;""),177)),"")</f>
        <v/>
      </c>
      <c r="G180" s="8" t="str">
        <f ca="1">IFERROR(INDEX(All_Risk_Apps!$I$4:$I$1233,_xludf.aggregate(15,6,(ROW(All_Risk_Apps!$A$4:$A$1233)-ROW(All_Risk_Apps!$A$4)+1)/(All_Risk_Apps!$J$4:$J$1233="Fast Follower")*(All_Risk_Apps!$A$4:$A$1233&lt;&gt;""),177)),"")</f>
        <v/>
      </c>
      <c r="H180" s="8" t="str">
        <f ca="1">IF(B180="","",IFERROR(INDEX(Server_Inventory!$R:$R,MATCH(B180,Server_Inventory!$Z:$Z,0)),"Not Found"))</f>
        <v/>
      </c>
      <c r="I180" s="8" t="str">
        <f ca="1">IF(B180="","",IFERROR(INDEX(Server_Inventory!$S:$S,MATCH(B180,Server_Inventory!$Z:$Z,0)),"Not Found"))</f>
        <v/>
      </c>
      <c r="J180" s="8" t="str">
        <f ca="1">IF(B180="","",COUNTIFS(Server_Inventory!$Z:$Z,B180,Server_Inventory!$P:$P,"R-RETIRED_IN_CMDB"))</f>
        <v/>
      </c>
      <c r="K180" s="8" t="str">
        <f ca="1">IF(B180="","",IFERROR(INDEX(Container_Inventory!$F:$F,MATCH(B180,Container_Inventory!$L:$L,0)),"Not Found"))</f>
        <v/>
      </c>
      <c r="L180" s="8" t="str">
        <f ca="1">IF(B180="","",IF(COUNTIF(Finding_List!$A:$A,B180)&gt;0,"Yes","No"))</f>
        <v/>
      </c>
      <c r="M180" s="8" t="str">
        <f ca="1">IF(B180="","",COUNTIF(Server_Inventory!$Z:$Z,B180))</f>
        <v/>
      </c>
      <c r="N180" s="8" t="str">
        <f ca="1">IF(B180="","",COUNTIF(Container_Inventory!$L:$L,B180))</f>
        <v/>
      </c>
    </row>
    <row r="181" spans="1:14" x14ac:dyDescent="0.2">
      <c r="A181" s="14" t="str">
        <f ca="1">IFERROR(INDEX(All_Risk_Apps!$A$4:$A$1233,_xludf.aggregate(15,6,(ROW(All_Risk_Apps!$A$4:$A$1233)-ROW(All_Risk_Apps!$A$4)+1)/(All_Risk_Apps!$J$4:$J$1233="Fast Follower")*(All_Risk_Apps!$A$4:$A$1233&lt;&gt;""),178)),"")</f>
        <v/>
      </c>
      <c r="B181" s="14" t="str">
        <f ca="1">IFERROR(INDEX(All_Risk_Apps!$B$4:$B$1233,_xludf.aggregate(15,6,(ROW(All_Risk_Apps!$A$4:$A$1233)-ROW(All_Risk_Apps!$A$4)+1)/(All_Risk_Apps!$J$4:$J$1233="Fast Follower")*(All_Risk_Apps!$A$4:$A$1233&lt;&gt;""),178)),"")</f>
        <v/>
      </c>
      <c r="C181" s="14" t="str">
        <f ca="1">IFERROR(INDEX(All_Risk_Apps!$D$4:$D$1233,_xludf.aggregate(15,6,(ROW(All_Risk_Apps!$A$4:$A$1233)-ROW(All_Risk_Apps!$A$4)+1)/(All_Risk_Apps!$J$4:$J$1233="Fast Follower")*(All_Risk_Apps!$A$4:$A$1233&lt;&gt;""),178)),"")</f>
        <v/>
      </c>
      <c r="D181" s="14" t="str">
        <f ca="1">IFERROR(INDEX(All_Risk_Apps!$C$4:$C$1233,_xludf.aggregate(15,6,(ROW(All_Risk_Apps!$A$4:$A$1233)-ROW(All_Risk_Apps!$A$4)+1)/(All_Risk_Apps!$J$4:$J$1233="Fast Follower")*(All_Risk_Apps!$A$4:$A$1233&lt;&gt;""),178)),"")</f>
        <v/>
      </c>
      <c r="E181" s="14" t="str">
        <f ca="1">IFERROR(INDEX(All_Risk_Apps!$E$4:$E$1233,_xludf.aggregate(15,6,(ROW(All_Risk_Apps!$A$4:$A$1233)-ROW(All_Risk_Apps!$A$4)+1)/(All_Risk_Apps!$J$4:$J$1233="Fast Follower")*(All_Risk_Apps!$A$4:$A$1233&lt;&gt;""),178)),"")</f>
        <v/>
      </c>
      <c r="F181" s="14" t="str">
        <f ca="1">IFERROR(INDEX(All_Risk_Apps!$F$4:$F$1233,_xludf.aggregate(15,6,(ROW(All_Risk_Apps!$A$4:$A$1233)-ROW(All_Risk_Apps!$A$4)+1)/(All_Risk_Apps!$J$4:$J$1233="Fast Follower")*(All_Risk_Apps!$A$4:$A$1233&lt;&gt;""),178)),"")</f>
        <v/>
      </c>
      <c r="G181" s="14" t="str">
        <f ca="1">IFERROR(INDEX(All_Risk_Apps!$I$4:$I$1233,_xludf.aggregate(15,6,(ROW(All_Risk_Apps!$A$4:$A$1233)-ROW(All_Risk_Apps!$A$4)+1)/(All_Risk_Apps!$J$4:$J$1233="Fast Follower")*(All_Risk_Apps!$A$4:$A$1233&lt;&gt;""),178)),"")</f>
        <v/>
      </c>
      <c r="H181" s="14" t="str">
        <f ca="1">IF(B181="","",IFERROR(INDEX(Server_Inventory!$R:$R,MATCH(B181,Server_Inventory!$Z:$Z,0)),"Not Found"))</f>
        <v/>
      </c>
      <c r="I181" s="14" t="str">
        <f ca="1">IF(B181="","",IFERROR(INDEX(Server_Inventory!$S:$S,MATCH(B181,Server_Inventory!$Z:$Z,0)),"Not Found"))</f>
        <v/>
      </c>
      <c r="J181" s="14" t="str">
        <f ca="1">IF(B181="","",COUNTIFS(Server_Inventory!$Z:$Z,B181,Server_Inventory!$P:$P,"R-RETIRED_IN_CMDB"))</f>
        <v/>
      </c>
      <c r="K181" s="14" t="str">
        <f ca="1">IF(B181="","",IFERROR(INDEX(Container_Inventory!$F:$F,MATCH(B181,Container_Inventory!$L:$L,0)),"Not Found"))</f>
        <v/>
      </c>
      <c r="L181" s="14" t="str">
        <f ca="1">IF(B181="","",IF(COUNTIF(Finding_List!$A:$A,B181)&gt;0,"Yes","No"))</f>
        <v/>
      </c>
      <c r="M181" s="14" t="str">
        <f ca="1">IF(B181="","",COUNTIF(Server_Inventory!$Z:$Z,B181))</f>
        <v/>
      </c>
      <c r="N181" s="14" t="str">
        <f ca="1">IF(B181="","",COUNTIF(Container_Inventory!$L:$L,B181))</f>
        <v/>
      </c>
    </row>
    <row r="182" spans="1:14" x14ac:dyDescent="0.2">
      <c r="A182" s="8" t="str">
        <f ca="1">IFERROR(INDEX(All_Risk_Apps!$A$4:$A$1233,_xludf.aggregate(15,6,(ROW(All_Risk_Apps!$A$4:$A$1233)-ROW(All_Risk_Apps!$A$4)+1)/(All_Risk_Apps!$J$4:$J$1233="Fast Follower")*(All_Risk_Apps!$A$4:$A$1233&lt;&gt;""),179)),"")</f>
        <v/>
      </c>
      <c r="B182" s="8" t="str">
        <f ca="1">IFERROR(INDEX(All_Risk_Apps!$B$4:$B$1233,_xludf.aggregate(15,6,(ROW(All_Risk_Apps!$A$4:$A$1233)-ROW(All_Risk_Apps!$A$4)+1)/(All_Risk_Apps!$J$4:$J$1233="Fast Follower")*(All_Risk_Apps!$A$4:$A$1233&lt;&gt;""),179)),"")</f>
        <v/>
      </c>
      <c r="C182" s="8" t="str">
        <f ca="1">IFERROR(INDEX(All_Risk_Apps!$D$4:$D$1233,_xludf.aggregate(15,6,(ROW(All_Risk_Apps!$A$4:$A$1233)-ROW(All_Risk_Apps!$A$4)+1)/(All_Risk_Apps!$J$4:$J$1233="Fast Follower")*(All_Risk_Apps!$A$4:$A$1233&lt;&gt;""),179)),"")</f>
        <v/>
      </c>
      <c r="D182" s="8" t="str">
        <f ca="1">IFERROR(INDEX(All_Risk_Apps!$C$4:$C$1233,_xludf.aggregate(15,6,(ROW(All_Risk_Apps!$A$4:$A$1233)-ROW(All_Risk_Apps!$A$4)+1)/(All_Risk_Apps!$J$4:$J$1233="Fast Follower")*(All_Risk_Apps!$A$4:$A$1233&lt;&gt;""),179)),"")</f>
        <v/>
      </c>
      <c r="E182" s="8" t="str">
        <f ca="1">IFERROR(INDEX(All_Risk_Apps!$E$4:$E$1233,_xludf.aggregate(15,6,(ROW(All_Risk_Apps!$A$4:$A$1233)-ROW(All_Risk_Apps!$A$4)+1)/(All_Risk_Apps!$J$4:$J$1233="Fast Follower")*(All_Risk_Apps!$A$4:$A$1233&lt;&gt;""),179)),"")</f>
        <v/>
      </c>
      <c r="F182" s="8" t="str">
        <f ca="1">IFERROR(INDEX(All_Risk_Apps!$F$4:$F$1233,_xludf.aggregate(15,6,(ROW(All_Risk_Apps!$A$4:$A$1233)-ROW(All_Risk_Apps!$A$4)+1)/(All_Risk_Apps!$J$4:$J$1233="Fast Follower")*(All_Risk_Apps!$A$4:$A$1233&lt;&gt;""),179)),"")</f>
        <v/>
      </c>
      <c r="G182" s="8" t="str">
        <f ca="1">IFERROR(INDEX(All_Risk_Apps!$I$4:$I$1233,_xludf.aggregate(15,6,(ROW(All_Risk_Apps!$A$4:$A$1233)-ROW(All_Risk_Apps!$A$4)+1)/(All_Risk_Apps!$J$4:$J$1233="Fast Follower")*(All_Risk_Apps!$A$4:$A$1233&lt;&gt;""),179)),"")</f>
        <v/>
      </c>
      <c r="H182" s="8" t="str">
        <f ca="1">IF(B182="","",IFERROR(INDEX(Server_Inventory!$R:$R,MATCH(B182,Server_Inventory!$Z:$Z,0)),"Not Found"))</f>
        <v/>
      </c>
      <c r="I182" s="8" t="str">
        <f ca="1">IF(B182="","",IFERROR(INDEX(Server_Inventory!$S:$S,MATCH(B182,Server_Inventory!$Z:$Z,0)),"Not Found"))</f>
        <v/>
      </c>
      <c r="J182" s="8" t="str">
        <f ca="1">IF(B182="","",COUNTIFS(Server_Inventory!$Z:$Z,B182,Server_Inventory!$P:$P,"R-RETIRED_IN_CMDB"))</f>
        <v/>
      </c>
      <c r="K182" s="8" t="str">
        <f ca="1">IF(B182="","",IFERROR(INDEX(Container_Inventory!$F:$F,MATCH(B182,Container_Inventory!$L:$L,0)),"Not Found"))</f>
        <v/>
      </c>
      <c r="L182" s="8" t="str">
        <f ca="1">IF(B182="","",IF(COUNTIF(Finding_List!$A:$A,B182)&gt;0,"Yes","No"))</f>
        <v/>
      </c>
      <c r="M182" s="8" t="str">
        <f ca="1">IF(B182="","",COUNTIF(Server_Inventory!$Z:$Z,B182))</f>
        <v/>
      </c>
      <c r="N182" s="8" t="str">
        <f ca="1">IF(B182="","",COUNTIF(Container_Inventory!$L:$L,B182))</f>
        <v/>
      </c>
    </row>
    <row r="183" spans="1:14" x14ac:dyDescent="0.2">
      <c r="A183" s="14" t="str">
        <f ca="1">IFERROR(INDEX(All_Risk_Apps!$A$4:$A$1233,_xludf.aggregate(15,6,(ROW(All_Risk_Apps!$A$4:$A$1233)-ROW(All_Risk_Apps!$A$4)+1)/(All_Risk_Apps!$J$4:$J$1233="Fast Follower")*(All_Risk_Apps!$A$4:$A$1233&lt;&gt;""),180)),"")</f>
        <v/>
      </c>
      <c r="B183" s="14" t="str">
        <f ca="1">IFERROR(INDEX(All_Risk_Apps!$B$4:$B$1233,_xludf.aggregate(15,6,(ROW(All_Risk_Apps!$A$4:$A$1233)-ROW(All_Risk_Apps!$A$4)+1)/(All_Risk_Apps!$J$4:$J$1233="Fast Follower")*(All_Risk_Apps!$A$4:$A$1233&lt;&gt;""),180)),"")</f>
        <v/>
      </c>
      <c r="C183" s="14" t="str">
        <f ca="1">IFERROR(INDEX(All_Risk_Apps!$D$4:$D$1233,_xludf.aggregate(15,6,(ROW(All_Risk_Apps!$A$4:$A$1233)-ROW(All_Risk_Apps!$A$4)+1)/(All_Risk_Apps!$J$4:$J$1233="Fast Follower")*(All_Risk_Apps!$A$4:$A$1233&lt;&gt;""),180)),"")</f>
        <v/>
      </c>
      <c r="D183" s="14" t="str">
        <f ca="1">IFERROR(INDEX(All_Risk_Apps!$C$4:$C$1233,_xludf.aggregate(15,6,(ROW(All_Risk_Apps!$A$4:$A$1233)-ROW(All_Risk_Apps!$A$4)+1)/(All_Risk_Apps!$J$4:$J$1233="Fast Follower")*(All_Risk_Apps!$A$4:$A$1233&lt;&gt;""),180)),"")</f>
        <v/>
      </c>
      <c r="E183" s="14" t="str">
        <f ca="1">IFERROR(INDEX(All_Risk_Apps!$E$4:$E$1233,_xludf.aggregate(15,6,(ROW(All_Risk_Apps!$A$4:$A$1233)-ROW(All_Risk_Apps!$A$4)+1)/(All_Risk_Apps!$J$4:$J$1233="Fast Follower")*(All_Risk_Apps!$A$4:$A$1233&lt;&gt;""),180)),"")</f>
        <v/>
      </c>
      <c r="F183" s="14" t="str">
        <f ca="1">IFERROR(INDEX(All_Risk_Apps!$F$4:$F$1233,_xludf.aggregate(15,6,(ROW(All_Risk_Apps!$A$4:$A$1233)-ROW(All_Risk_Apps!$A$4)+1)/(All_Risk_Apps!$J$4:$J$1233="Fast Follower")*(All_Risk_Apps!$A$4:$A$1233&lt;&gt;""),180)),"")</f>
        <v/>
      </c>
      <c r="G183" s="14" t="str">
        <f ca="1">IFERROR(INDEX(All_Risk_Apps!$I$4:$I$1233,_xludf.aggregate(15,6,(ROW(All_Risk_Apps!$A$4:$A$1233)-ROW(All_Risk_Apps!$A$4)+1)/(All_Risk_Apps!$J$4:$J$1233="Fast Follower")*(All_Risk_Apps!$A$4:$A$1233&lt;&gt;""),180)),"")</f>
        <v/>
      </c>
      <c r="H183" s="14" t="str">
        <f ca="1">IF(B183="","",IFERROR(INDEX(Server_Inventory!$R:$R,MATCH(B183,Server_Inventory!$Z:$Z,0)),"Not Found"))</f>
        <v/>
      </c>
      <c r="I183" s="14" t="str">
        <f ca="1">IF(B183="","",IFERROR(INDEX(Server_Inventory!$S:$S,MATCH(B183,Server_Inventory!$Z:$Z,0)),"Not Found"))</f>
        <v/>
      </c>
      <c r="J183" s="14" t="str">
        <f ca="1">IF(B183="","",COUNTIFS(Server_Inventory!$Z:$Z,B183,Server_Inventory!$P:$P,"R-RETIRED_IN_CMDB"))</f>
        <v/>
      </c>
      <c r="K183" s="14" t="str">
        <f ca="1">IF(B183="","",IFERROR(INDEX(Container_Inventory!$F:$F,MATCH(B183,Container_Inventory!$L:$L,0)),"Not Found"))</f>
        <v/>
      </c>
      <c r="L183" s="14" t="str">
        <f ca="1">IF(B183="","",IF(COUNTIF(Finding_List!$A:$A,B183)&gt;0,"Yes","No"))</f>
        <v/>
      </c>
      <c r="M183" s="14" t="str">
        <f ca="1">IF(B183="","",COUNTIF(Server_Inventory!$Z:$Z,B183))</f>
        <v/>
      </c>
      <c r="N183" s="14" t="str">
        <f ca="1">IF(B183="","",COUNTIF(Container_Inventory!$L:$L,B183))</f>
        <v/>
      </c>
    </row>
    <row r="184" spans="1:14" x14ac:dyDescent="0.2">
      <c r="A184" s="8" t="str">
        <f ca="1">IFERROR(INDEX(All_Risk_Apps!$A$4:$A$1233,_xludf.aggregate(15,6,(ROW(All_Risk_Apps!$A$4:$A$1233)-ROW(All_Risk_Apps!$A$4)+1)/(All_Risk_Apps!$J$4:$J$1233="Fast Follower")*(All_Risk_Apps!$A$4:$A$1233&lt;&gt;""),181)),"")</f>
        <v/>
      </c>
      <c r="B184" s="8" t="str">
        <f ca="1">IFERROR(INDEX(All_Risk_Apps!$B$4:$B$1233,_xludf.aggregate(15,6,(ROW(All_Risk_Apps!$A$4:$A$1233)-ROW(All_Risk_Apps!$A$4)+1)/(All_Risk_Apps!$J$4:$J$1233="Fast Follower")*(All_Risk_Apps!$A$4:$A$1233&lt;&gt;""),181)),"")</f>
        <v/>
      </c>
      <c r="C184" s="8" t="str">
        <f ca="1">IFERROR(INDEX(All_Risk_Apps!$D$4:$D$1233,_xludf.aggregate(15,6,(ROW(All_Risk_Apps!$A$4:$A$1233)-ROW(All_Risk_Apps!$A$4)+1)/(All_Risk_Apps!$J$4:$J$1233="Fast Follower")*(All_Risk_Apps!$A$4:$A$1233&lt;&gt;""),181)),"")</f>
        <v/>
      </c>
      <c r="D184" s="8" t="str">
        <f ca="1">IFERROR(INDEX(All_Risk_Apps!$C$4:$C$1233,_xludf.aggregate(15,6,(ROW(All_Risk_Apps!$A$4:$A$1233)-ROW(All_Risk_Apps!$A$4)+1)/(All_Risk_Apps!$J$4:$J$1233="Fast Follower")*(All_Risk_Apps!$A$4:$A$1233&lt;&gt;""),181)),"")</f>
        <v/>
      </c>
      <c r="E184" s="8" t="str">
        <f ca="1">IFERROR(INDEX(All_Risk_Apps!$E$4:$E$1233,_xludf.aggregate(15,6,(ROW(All_Risk_Apps!$A$4:$A$1233)-ROW(All_Risk_Apps!$A$4)+1)/(All_Risk_Apps!$J$4:$J$1233="Fast Follower")*(All_Risk_Apps!$A$4:$A$1233&lt;&gt;""),181)),"")</f>
        <v/>
      </c>
      <c r="F184" s="8" t="str">
        <f ca="1">IFERROR(INDEX(All_Risk_Apps!$F$4:$F$1233,_xludf.aggregate(15,6,(ROW(All_Risk_Apps!$A$4:$A$1233)-ROW(All_Risk_Apps!$A$4)+1)/(All_Risk_Apps!$J$4:$J$1233="Fast Follower")*(All_Risk_Apps!$A$4:$A$1233&lt;&gt;""),181)),"")</f>
        <v/>
      </c>
      <c r="G184" s="8" t="str">
        <f ca="1">IFERROR(INDEX(All_Risk_Apps!$I$4:$I$1233,_xludf.aggregate(15,6,(ROW(All_Risk_Apps!$A$4:$A$1233)-ROW(All_Risk_Apps!$A$4)+1)/(All_Risk_Apps!$J$4:$J$1233="Fast Follower")*(All_Risk_Apps!$A$4:$A$1233&lt;&gt;""),181)),"")</f>
        <v/>
      </c>
      <c r="H184" s="8" t="str">
        <f ca="1">IF(B184="","",IFERROR(INDEX(Server_Inventory!$R:$R,MATCH(B184,Server_Inventory!$Z:$Z,0)),"Not Found"))</f>
        <v/>
      </c>
      <c r="I184" s="8" t="str">
        <f ca="1">IF(B184="","",IFERROR(INDEX(Server_Inventory!$S:$S,MATCH(B184,Server_Inventory!$Z:$Z,0)),"Not Found"))</f>
        <v/>
      </c>
      <c r="J184" s="8" t="str">
        <f ca="1">IF(B184="","",COUNTIFS(Server_Inventory!$Z:$Z,B184,Server_Inventory!$P:$P,"R-RETIRED_IN_CMDB"))</f>
        <v/>
      </c>
      <c r="K184" s="8" t="str">
        <f ca="1">IF(B184="","",IFERROR(INDEX(Container_Inventory!$F:$F,MATCH(B184,Container_Inventory!$L:$L,0)),"Not Found"))</f>
        <v/>
      </c>
      <c r="L184" s="8" t="str">
        <f ca="1">IF(B184="","",IF(COUNTIF(Finding_List!$A:$A,B184)&gt;0,"Yes","No"))</f>
        <v/>
      </c>
      <c r="M184" s="8" t="str">
        <f ca="1">IF(B184="","",COUNTIF(Server_Inventory!$Z:$Z,B184))</f>
        <v/>
      </c>
      <c r="N184" s="8" t="str">
        <f ca="1">IF(B184="","",COUNTIF(Container_Inventory!$L:$L,B184))</f>
        <v/>
      </c>
    </row>
    <row r="185" spans="1:14" x14ac:dyDescent="0.2">
      <c r="A185" s="14" t="str">
        <f ca="1">IFERROR(INDEX(All_Risk_Apps!$A$4:$A$1233,_xludf.aggregate(15,6,(ROW(All_Risk_Apps!$A$4:$A$1233)-ROW(All_Risk_Apps!$A$4)+1)/(All_Risk_Apps!$J$4:$J$1233="Fast Follower")*(All_Risk_Apps!$A$4:$A$1233&lt;&gt;""),182)),"")</f>
        <v/>
      </c>
      <c r="B185" s="14" t="str">
        <f ca="1">IFERROR(INDEX(All_Risk_Apps!$B$4:$B$1233,_xludf.aggregate(15,6,(ROW(All_Risk_Apps!$A$4:$A$1233)-ROW(All_Risk_Apps!$A$4)+1)/(All_Risk_Apps!$J$4:$J$1233="Fast Follower")*(All_Risk_Apps!$A$4:$A$1233&lt;&gt;""),182)),"")</f>
        <v/>
      </c>
      <c r="C185" s="14" t="str">
        <f ca="1">IFERROR(INDEX(All_Risk_Apps!$D$4:$D$1233,_xludf.aggregate(15,6,(ROW(All_Risk_Apps!$A$4:$A$1233)-ROW(All_Risk_Apps!$A$4)+1)/(All_Risk_Apps!$J$4:$J$1233="Fast Follower")*(All_Risk_Apps!$A$4:$A$1233&lt;&gt;""),182)),"")</f>
        <v/>
      </c>
      <c r="D185" s="14" t="str">
        <f ca="1">IFERROR(INDEX(All_Risk_Apps!$C$4:$C$1233,_xludf.aggregate(15,6,(ROW(All_Risk_Apps!$A$4:$A$1233)-ROW(All_Risk_Apps!$A$4)+1)/(All_Risk_Apps!$J$4:$J$1233="Fast Follower")*(All_Risk_Apps!$A$4:$A$1233&lt;&gt;""),182)),"")</f>
        <v/>
      </c>
      <c r="E185" s="14" t="str">
        <f ca="1">IFERROR(INDEX(All_Risk_Apps!$E$4:$E$1233,_xludf.aggregate(15,6,(ROW(All_Risk_Apps!$A$4:$A$1233)-ROW(All_Risk_Apps!$A$4)+1)/(All_Risk_Apps!$J$4:$J$1233="Fast Follower")*(All_Risk_Apps!$A$4:$A$1233&lt;&gt;""),182)),"")</f>
        <v/>
      </c>
      <c r="F185" s="14" t="str">
        <f ca="1">IFERROR(INDEX(All_Risk_Apps!$F$4:$F$1233,_xludf.aggregate(15,6,(ROW(All_Risk_Apps!$A$4:$A$1233)-ROW(All_Risk_Apps!$A$4)+1)/(All_Risk_Apps!$J$4:$J$1233="Fast Follower")*(All_Risk_Apps!$A$4:$A$1233&lt;&gt;""),182)),"")</f>
        <v/>
      </c>
      <c r="G185" s="14" t="str">
        <f ca="1">IFERROR(INDEX(All_Risk_Apps!$I$4:$I$1233,_xludf.aggregate(15,6,(ROW(All_Risk_Apps!$A$4:$A$1233)-ROW(All_Risk_Apps!$A$4)+1)/(All_Risk_Apps!$J$4:$J$1233="Fast Follower")*(All_Risk_Apps!$A$4:$A$1233&lt;&gt;""),182)),"")</f>
        <v/>
      </c>
      <c r="H185" s="14" t="str">
        <f ca="1">IF(B185="","",IFERROR(INDEX(Server_Inventory!$R:$R,MATCH(B185,Server_Inventory!$Z:$Z,0)),"Not Found"))</f>
        <v/>
      </c>
      <c r="I185" s="14" t="str">
        <f ca="1">IF(B185="","",IFERROR(INDEX(Server_Inventory!$S:$S,MATCH(B185,Server_Inventory!$Z:$Z,0)),"Not Found"))</f>
        <v/>
      </c>
      <c r="J185" s="14" t="str">
        <f ca="1">IF(B185="","",COUNTIFS(Server_Inventory!$Z:$Z,B185,Server_Inventory!$P:$P,"R-RETIRED_IN_CMDB"))</f>
        <v/>
      </c>
      <c r="K185" s="14" t="str">
        <f ca="1">IF(B185="","",IFERROR(INDEX(Container_Inventory!$F:$F,MATCH(B185,Container_Inventory!$L:$L,0)),"Not Found"))</f>
        <v/>
      </c>
      <c r="L185" s="14" t="str">
        <f ca="1">IF(B185="","",IF(COUNTIF(Finding_List!$A:$A,B185)&gt;0,"Yes","No"))</f>
        <v/>
      </c>
      <c r="M185" s="14" t="str">
        <f ca="1">IF(B185="","",COUNTIF(Server_Inventory!$Z:$Z,B185))</f>
        <v/>
      </c>
      <c r="N185" s="14" t="str">
        <f ca="1">IF(B185="","",COUNTIF(Container_Inventory!$L:$L,B185))</f>
        <v/>
      </c>
    </row>
    <row r="186" spans="1:14" x14ac:dyDescent="0.2">
      <c r="A186" s="8" t="str">
        <f ca="1">IFERROR(INDEX(All_Risk_Apps!$A$4:$A$1233,_xludf.aggregate(15,6,(ROW(All_Risk_Apps!$A$4:$A$1233)-ROW(All_Risk_Apps!$A$4)+1)/(All_Risk_Apps!$J$4:$J$1233="Fast Follower")*(All_Risk_Apps!$A$4:$A$1233&lt;&gt;""),183)),"")</f>
        <v/>
      </c>
      <c r="B186" s="8" t="str">
        <f ca="1">IFERROR(INDEX(All_Risk_Apps!$B$4:$B$1233,_xludf.aggregate(15,6,(ROW(All_Risk_Apps!$A$4:$A$1233)-ROW(All_Risk_Apps!$A$4)+1)/(All_Risk_Apps!$J$4:$J$1233="Fast Follower")*(All_Risk_Apps!$A$4:$A$1233&lt;&gt;""),183)),"")</f>
        <v/>
      </c>
      <c r="C186" s="8" t="str">
        <f ca="1">IFERROR(INDEX(All_Risk_Apps!$D$4:$D$1233,_xludf.aggregate(15,6,(ROW(All_Risk_Apps!$A$4:$A$1233)-ROW(All_Risk_Apps!$A$4)+1)/(All_Risk_Apps!$J$4:$J$1233="Fast Follower")*(All_Risk_Apps!$A$4:$A$1233&lt;&gt;""),183)),"")</f>
        <v/>
      </c>
      <c r="D186" s="8" t="str">
        <f ca="1">IFERROR(INDEX(All_Risk_Apps!$C$4:$C$1233,_xludf.aggregate(15,6,(ROW(All_Risk_Apps!$A$4:$A$1233)-ROW(All_Risk_Apps!$A$4)+1)/(All_Risk_Apps!$J$4:$J$1233="Fast Follower")*(All_Risk_Apps!$A$4:$A$1233&lt;&gt;""),183)),"")</f>
        <v/>
      </c>
      <c r="E186" s="8" t="str">
        <f ca="1">IFERROR(INDEX(All_Risk_Apps!$E$4:$E$1233,_xludf.aggregate(15,6,(ROW(All_Risk_Apps!$A$4:$A$1233)-ROW(All_Risk_Apps!$A$4)+1)/(All_Risk_Apps!$J$4:$J$1233="Fast Follower")*(All_Risk_Apps!$A$4:$A$1233&lt;&gt;""),183)),"")</f>
        <v/>
      </c>
      <c r="F186" s="8" t="str">
        <f ca="1">IFERROR(INDEX(All_Risk_Apps!$F$4:$F$1233,_xludf.aggregate(15,6,(ROW(All_Risk_Apps!$A$4:$A$1233)-ROW(All_Risk_Apps!$A$4)+1)/(All_Risk_Apps!$J$4:$J$1233="Fast Follower")*(All_Risk_Apps!$A$4:$A$1233&lt;&gt;""),183)),"")</f>
        <v/>
      </c>
      <c r="G186" s="8" t="str">
        <f ca="1">IFERROR(INDEX(All_Risk_Apps!$I$4:$I$1233,_xludf.aggregate(15,6,(ROW(All_Risk_Apps!$A$4:$A$1233)-ROW(All_Risk_Apps!$A$4)+1)/(All_Risk_Apps!$J$4:$J$1233="Fast Follower")*(All_Risk_Apps!$A$4:$A$1233&lt;&gt;""),183)),"")</f>
        <v/>
      </c>
      <c r="H186" s="8" t="str">
        <f ca="1">IF(B186="","",IFERROR(INDEX(Server_Inventory!$R:$R,MATCH(B186,Server_Inventory!$Z:$Z,0)),"Not Found"))</f>
        <v/>
      </c>
      <c r="I186" s="8" t="str">
        <f ca="1">IF(B186="","",IFERROR(INDEX(Server_Inventory!$S:$S,MATCH(B186,Server_Inventory!$Z:$Z,0)),"Not Found"))</f>
        <v/>
      </c>
      <c r="J186" s="8" t="str">
        <f ca="1">IF(B186="","",COUNTIFS(Server_Inventory!$Z:$Z,B186,Server_Inventory!$P:$P,"R-RETIRED_IN_CMDB"))</f>
        <v/>
      </c>
      <c r="K186" s="8" t="str">
        <f ca="1">IF(B186="","",IFERROR(INDEX(Container_Inventory!$F:$F,MATCH(B186,Container_Inventory!$L:$L,0)),"Not Found"))</f>
        <v/>
      </c>
      <c r="L186" s="8" t="str">
        <f ca="1">IF(B186="","",IF(COUNTIF(Finding_List!$A:$A,B186)&gt;0,"Yes","No"))</f>
        <v/>
      </c>
      <c r="M186" s="8" t="str">
        <f ca="1">IF(B186="","",COUNTIF(Server_Inventory!$Z:$Z,B186))</f>
        <v/>
      </c>
      <c r="N186" s="8" t="str">
        <f ca="1">IF(B186="","",COUNTIF(Container_Inventory!$L:$L,B186))</f>
        <v/>
      </c>
    </row>
    <row r="187" spans="1:14" x14ac:dyDescent="0.2">
      <c r="A187" s="14" t="str">
        <f ca="1">IFERROR(INDEX(All_Risk_Apps!$A$4:$A$1233,_xludf.aggregate(15,6,(ROW(All_Risk_Apps!$A$4:$A$1233)-ROW(All_Risk_Apps!$A$4)+1)/(All_Risk_Apps!$J$4:$J$1233="Fast Follower")*(All_Risk_Apps!$A$4:$A$1233&lt;&gt;""),184)),"")</f>
        <v/>
      </c>
      <c r="B187" s="14" t="str">
        <f ca="1">IFERROR(INDEX(All_Risk_Apps!$B$4:$B$1233,_xludf.aggregate(15,6,(ROW(All_Risk_Apps!$A$4:$A$1233)-ROW(All_Risk_Apps!$A$4)+1)/(All_Risk_Apps!$J$4:$J$1233="Fast Follower")*(All_Risk_Apps!$A$4:$A$1233&lt;&gt;""),184)),"")</f>
        <v/>
      </c>
      <c r="C187" s="14" t="str">
        <f ca="1">IFERROR(INDEX(All_Risk_Apps!$D$4:$D$1233,_xludf.aggregate(15,6,(ROW(All_Risk_Apps!$A$4:$A$1233)-ROW(All_Risk_Apps!$A$4)+1)/(All_Risk_Apps!$J$4:$J$1233="Fast Follower")*(All_Risk_Apps!$A$4:$A$1233&lt;&gt;""),184)),"")</f>
        <v/>
      </c>
      <c r="D187" s="14" t="str">
        <f ca="1">IFERROR(INDEX(All_Risk_Apps!$C$4:$C$1233,_xludf.aggregate(15,6,(ROW(All_Risk_Apps!$A$4:$A$1233)-ROW(All_Risk_Apps!$A$4)+1)/(All_Risk_Apps!$J$4:$J$1233="Fast Follower")*(All_Risk_Apps!$A$4:$A$1233&lt;&gt;""),184)),"")</f>
        <v/>
      </c>
      <c r="E187" s="14" t="str">
        <f ca="1">IFERROR(INDEX(All_Risk_Apps!$E$4:$E$1233,_xludf.aggregate(15,6,(ROW(All_Risk_Apps!$A$4:$A$1233)-ROW(All_Risk_Apps!$A$4)+1)/(All_Risk_Apps!$J$4:$J$1233="Fast Follower")*(All_Risk_Apps!$A$4:$A$1233&lt;&gt;""),184)),"")</f>
        <v/>
      </c>
      <c r="F187" s="14" t="str">
        <f ca="1">IFERROR(INDEX(All_Risk_Apps!$F$4:$F$1233,_xludf.aggregate(15,6,(ROW(All_Risk_Apps!$A$4:$A$1233)-ROW(All_Risk_Apps!$A$4)+1)/(All_Risk_Apps!$J$4:$J$1233="Fast Follower")*(All_Risk_Apps!$A$4:$A$1233&lt;&gt;""),184)),"")</f>
        <v/>
      </c>
      <c r="G187" s="14" t="str">
        <f ca="1">IFERROR(INDEX(All_Risk_Apps!$I$4:$I$1233,_xludf.aggregate(15,6,(ROW(All_Risk_Apps!$A$4:$A$1233)-ROW(All_Risk_Apps!$A$4)+1)/(All_Risk_Apps!$J$4:$J$1233="Fast Follower")*(All_Risk_Apps!$A$4:$A$1233&lt;&gt;""),184)),"")</f>
        <v/>
      </c>
      <c r="H187" s="14" t="str">
        <f ca="1">IF(B187="","",IFERROR(INDEX(Server_Inventory!$R:$R,MATCH(B187,Server_Inventory!$Z:$Z,0)),"Not Found"))</f>
        <v/>
      </c>
      <c r="I187" s="14" t="str">
        <f ca="1">IF(B187="","",IFERROR(INDEX(Server_Inventory!$S:$S,MATCH(B187,Server_Inventory!$Z:$Z,0)),"Not Found"))</f>
        <v/>
      </c>
      <c r="J187" s="14" t="str">
        <f ca="1">IF(B187="","",COUNTIFS(Server_Inventory!$Z:$Z,B187,Server_Inventory!$P:$P,"R-RETIRED_IN_CMDB"))</f>
        <v/>
      </c>
      <c r="K187" s="14" t="str">
        <f ca="1">IF(B187="","",IFERROR(INDEX(Container_Inventory!$F:$F,MATCH(B187,Container_Inventory!$L:$L,0)),"Not Found"))</f>
        <v/>
      </c>
      <c r="L187" s="14" t="str">
        <f ca="1">IF(B187="","",IF(COUNTIF(Finding_List!$A:$A,B187)&gt;0,"Yes","No"))</f>
        <v/>
      </c>
      <c r="M187" s="14" t="str">
        <f ca="1">IF(B187="","",COUNTIF(Server_Inventory!$Z:$Z,B187))</f>
        <v/>
      </c>
      <c r="N187" s="14" t="str">
        <f ca="1">IF(B187="","",COUNTIF(Container_Inventory!$L:$L,B187))</f>
        <v/>
      </c>
    </row>
    <row r="188" spans="1:14" x14ac:dyDescent="0.2">
      <c r="A188" s="8" t="str">
        <f ca="1">IFERROR(INDEX(All_Risk_Apps!$A$4:$A$1233,_xludf.aggregate(15,6,(ROW(All_Risk_Apps!$A$4:$A$1233)-ROW(All_Risk_Apps!$A$4)+1)/(All_Risk_Apps!$J$4:$J$1233="Fast Follower")*(All_Risk_Apps!$A$4:$A$1233&lt;&gt;""),185)),"")</f>
        <v/>
      </c>
      <c r="B188" s="8" t="str">
        <f ca="1">IFERROR(INDEX(All_Risk_Apps!$B$4:$B$1233,_xludf.aggregate(15,6,(ROW(All_Risk_Apps!$A$4:$A$1233)-ROW(All_Risk_Apps!$A$4)+1)/(All_Risk_Apps!$J$4:$J$1233="Fast Follower")*(All_Risk_Apps!$A$4:$A$1233&lt;&gt;""),185)),"")</f>
        <v/>
      </c>
      <c r="C188" s="8" t="str">
        <f ca="1">IFERROR(INDEX(All_Risk_Apps!$D$4:$D$1233,_xludf.aggregate(15,6,(ROW(All_Risk_Apps!$A$4:$A$1233)-ROW(All_Risk_Apps!$A$4)+1)/(All_Risk_Apps!$J$4:$J$1233="Fast Follower")*(All_Risk_Apps!$A$4:$A$1233&lt;&gt;""),185)),"")</f>
        <v/>
      </c>
      <c r="D188" s="8" t="str">
        <f ca="1">IFERROR(INDEX(All_Risk_Apps!$C$4:$C$1233,_xludf.aggregate(15,6,(ROW(All_Risk_Apps!$A$4:$A$1233)-ROW(All_Risk_Apps!$A$4)+1)/(All_Risk_Apps!$J$4:$J$1233="Fast Follower")*(All_Risk_Apps!$A$4:$A$1233&lt;&gt;""),185)),"")</f>
        <v/>
      </c>
      <c r="E188" s="8" t="str">
        <f ca="1">IFERROR(INDEX(All_Risk_Apps!$E$4:$E$1233,_xludf.aggregate(15,6,(ROW(All_Risk_Apps!$A$4:$A$1233)-ROW(All_Risk_Apps!$A$4)+1)/(All_Risk_Apps!$J$4:$J$1233="Fast Follower")*(All_Risk_Apps!$A$4:$A$1233&lt;&gt;""),185)),"")</f>
        <v/>
      </c>
      <c r="F188" s="8" t="str">
        <f ca="1">IFERROR(INDEX(All_Risk_Apps!$F$4:$F$1233,_xludf.aggregate(15,6,(ROW(All_Risk_Apps!$A$4:$A$1233)-ROW(All_Risk_Apps!$A$4)+1)/(All_Risk_Apps!$J$4:$J$1233="Fast Follower")*(All_Risk_Apps!$A$4:$A$1233&lt;&gt;""),185)),"")</f>
        <v/>
      </c>
      <c r="G188" s="8" t="str">
        <f ca="1">IFERROR(INDEX(All_Risk_Apps!$I$4:$I$1233,_xludf.aggregate(15,6,(ROW(All_Risk_Apps!$A$4:$A$1233)-ROW(All_Risk_Apps!$A$4)+1)/(All_Risk_Apps!$J$4:$J$1233="Fast Follower")*(All_Risk_Apps!$A$4:$A$1233&lt;&gt;""),185)),"")</f>
        <v/>
      </c>
      <c r="H188" s="8" t="str">
        <f ca="1">IF(B188="","",IFERROR(INDEX(Server_Inventory!$R:$R,MATCH(B188,Server_Inventory!$Z:$Z,0)),"Not Found"))</f>
        <v/>
      </c>
      <c r="I188" s="8" t="str">
        <f ca="1">IF(B188="","",IFERROR(INDEX(Server_Inventory!$S:$S,MATCH(B188,Server_Inventory!$Z:$Z,0)),"Not Found"))</f>
        <v/>
      </c>
      <c r="J188" s="8" t="str">
        <f ca="1">IF(B188="","",COUNTIFS(Server_Inventory!$Z:$Z,B188,Server_Inventory!$P:$P,"R-RETIRED_IN_CMDB"))</f>
        <v/>
      </c>
      <c r="K188" s="8" t="str">
        <f ca="1">IF(B188="","",IFERROR(INDEX(Container_Inventory!$F:$F,MATCH(B188,Container_Inventory!$L:$L,0)),"Not Found"))</f>
        <v/>
      </c>
      <c r="L188" s="8" t="str">
        <f ca="1">IF(B188="","",IF(COUNTIF(Finding_List!$A:$A,B188)&gt;0,"Yes","No"))</f>
        <v/>
      </c>
      <c r="M188" s="8" t="str">
        <f ca="1">IF(B188="","",COUNTIF(Server_Inventory!$Z:$Z,B188))</f>
        <v/>
      </c>
      <c r="N188" s="8" t="str">
        <f ca="1">IF(B188="","",COUNTIF(Container_Inventory!$L:$L,B188))</f>
        <v/>
      </c>
    </row>
    <row r="189" spans="1:14" x14ac:dyDescent="0.2">
      <c r="A189" s="14" t="str">
        <f ca="1">IFERROR(INDEX(All_Risk_Apps!$A$4:$A$1233,_xludf.aggregate(15,6,(ROW(All_Risk_Apps!$A$4:$A$1233)-ROW(All_Risk_Apps!$A$4)+1)/(All_Risk_Apps!$J$4:$J$1233="Fast Follower")*(All_Risk_Apps!$A$4:$A$1233&lt;&gt;""),186)),"")</f>
        <v/>
      </c>
      <c r="B189" s="14" t="str">
        <f ca="1">IFERROR(INDEX(All_Risk_Apps!$B$4:$B$1233,_xludf.aggregate(15,6,(ROW(All_Risk_Apps!$A$4:$A$1233)-ROW(All_Risk_Apps!$A$4)+1)/(All_Risk_Apps!$J$4:$J$1233="Fast Follower")*(All_Risk_Apps!$A$4:$A$1233&lt;&gt;""),186)),"")</f>
        <v/>
      </c>
      <c r="C189" s="14" t="str">
        <f ca="1">IFERROR(INDEX(All_Risk_Apps!$D$4:$D$1233,_xludf.aggregate(15,6,(ROW(All_Risk_Apps!$A$4:$A$1233)-ROW(All_Risk_Apps!$A$4)+1)/(All_Risk_Apps!$J$4:$J$1233="Fast Follower")*(All_Risk_Apps!$A$4:$A$1233&lt;&gt;""),186)),"")</f>
        <v/>
      </c>
      <c r="D189" s="14" t="str">
        <f ca="1">IFERROR(INDEX(All_Risk_Apps!$C$4:$C$1233,_xludf.aggregate(15,6,(ROW(All_Risk_Apps!$A$4:$A$1233)-ROW(All_Risk_Apps!$A$4)+1)/(All_Risk_Apps!$J$4:$J$1233="Fast Follower")*(All_Risk_Apps!$A$4:$A$1233&lt;&gt;""),186)),"")</f>
        <v/>
      </c>
      <c r="E189" s="14" t="str">
        <f ca="1">IFERROR(INDEX(All_Risk_Apps!$E$4:$E$1233,_xludf.aggregate(15,6,(ROW(All_Risk_Apps!$A$4:$A$1233)-ROW(All_Risk_Apps!$A$4)+1)/(All_Risk_Apps!$J$4:$J$1233="Fast Follower")*(All_Risk_Apps!$A$4:$A$1233&lt;&gt;""),186)),"")</f>
        <v/>
      </c>
      <c r="F189" s="14" t="str">
        <f ca="1">IFERROR(INDEX(All_Risk_Apps!$F$4:$F$1233,_xludf.aggregate(15,6,(ROW(All_Risk_Apps!$A$4:$A$1233)-ROW(All_Risk_Apps!$A$4)+1)/(All_Risk_Apps!$J$4:$J$1233="Fast Follower")*(All_Risk_Apps!$A$4:$A$1233&lt;&gt;""),186)),"")</f>
        <v/>
      </c>
      <c r="G189" s="14" t="str">
        <f ca="1">IFERROR(INDEX(All_Risk_Apps!$I$4:$I$1233,_xludf.aggregate(15,6,(ROW(All_Risk_Apps!$A$4:$A$1233)-ROW(All_Risk_Apps!$A$4)+1)/(All_Risk_Apps!$J$4:$J$1233="Fast Follower")*(All_Risk_Apps!$A$4:$A$1233&lt;&gt;""),186)),"")</f>
        <v/>
      </c>
      <c r="H189" s="14" t="str">
        <f ca="1">IF(B189="","",IFERROR(INDEX(Server_Inventory!$R:$R,MATCH(B189,Server_Inventory!$Z:$Z,0)),"Not Found"))</f>
        <v/>
      </c>
      <c r="I189" s="14" t="str">
        <f ca="1">IF(B189="","",IFERROR(INDEX(Server_Inventory!$S:$S,MATCH(B189,Server_Inventory!$Z:$Z,0)),"Not Found"))</f>
        <v/>
      </c>
      <c r="J189" s="14" t="str">
        <f ca="1">IF(B189="","",COUNTIFS(Server_Inventory!$Z:$Z,B189,Server_Inventory!$P:$P,"R-RETIRED_IN_CMDB"))</f>
        <v/>
      </c>
      <c r="K189" s="14" t="str">
        <f ca="1">IF(B189="","",IFERROR(INDEX(Container_Inventory!$F:$F,MATCH(B189,Container_Inventory!$L:$L,0)),"Not Found"))</f>
        <v/>
      </c>
      <c r="L189" s="14" t="str">
        <f ca="1">IF(B189="","",IF(COUNTIF(Finding_List!$A:$A,B189)&gt;0,"Yes","No"))</f>
        <v/>
      </c>
      <c r="M189" s="14" t="str">
        <f ca="1">IF(B189="","",COUNTIF(Server_Inventory!$Z:$Z,B189))</f>
        <v/>
      </c>
      <c r="N189" s="14" t="str">
        <f ca="1">IF(B189="","",COUNTIF(Container_Inventory!$L:$L,B189))</f>
        <v/>
      </c>
    </row>
    <row r="190" spans="1:14" x14ac:dyDescent="0.2">
      <c r="A190" s="8" t="str">
        <f ca="1">IFERROR(INDEX(All_Risk_Apps!$A$4:$A$1233,_xludf.aggregate(15,6,(ROW(All_Risk_Apps!$A$4:$A$1233)-ROW(All_Risk_Apps!$A$4)+1)/(All_Risk_Apps!$J$4:$J$1233="Fast Follower")*(All_Risk_Apps!$A$4:$A$1233&lt;&gt;""),187)),"")</f>
        <v/>
      </c>
      <c r="B190" s="8" t="str">
        <f ca="1">IFERROR(INDEX(All_Risk_Apps!$B$4:$B$1233,_xludf.aggregate(15,6,(ROW(All_Risk_Apps!$A$4:$A$1233)-ROW(All_Risk_Apps!$A$4)+1)/(All_Risk_Apps!$J$4:$J$1233="Fast Follower")*(All_Risk_Apps!$A$4:$A$1233&lt;&gt;""),187)),"")</f>
        <v/>
      </c>
      <c r="C190" s="8" t="str">
        <f ca="1">IFERROR(INDEX(All_Risk_Apps!$D$4:$D$1233,_xludf.aggregate(15,6,(ROW(All_Risk_Apps!$A$4:$A$1233)-ROW(All_Risk_Apps!$A$4)+1)/(All_Risk_Apps!$J$4:$J$1233="Fast Follower")*(All_Risk_Apps!$A$4:$A$1233&lt;&gt;""),187)),"")</f>
        <v/>
      </c>
      <c r="D190" s="8" t="str">
        <f ca="1">IFERROR(INDEX(All_Risk_Apps!$C$4:$C$1233,_xludf.aggregate(15,6,(ROW(All_Risk_Apps!$A$4:$A$1233)-ROW(All_Risk_Apps!$A$4)+1)/(All_Risk_Apps!$J$4:$J$1233="Fast Follower")*(All_Risk_Apps!$A$4:$A$1233&lt;&gt;""),187)),"")</f>
        <v/>
      </c>
      <c r="E190" s="8" t="str">
        <f ca="1">IFERROR(INDEX(All_Risk_Apps!$E$4:$E$1233,_xludf.aggregate(15,6,(ROW(All_Risk_Apps!$A$4:$A$1233)-ROW(All_Risk_Apps!$A$4)+1)/(All_Risk_Apps!$J$4:$J$1233="Fast Follower")*(All_Risk_Apps!$A$4:$A$1233&lt;&gt;""),187)),"")</f>
        <v/>
      </c>
      <c r="F190" s="8" t="str">
        <f ca="1">IFERROR(INDEX(All_Risk_Apps!$F$4:$F$1233,_xludf.aggregate(15,6,(ROW(All_Risk_Apps!$A$4:$A$1233)-ROW(All_Risk_Apps!$A$4)+1)/(All_Risk_Apps!$J$4:$J$1233="Fast Follower")*(All_Risk_Apps!$A$4:$A$1233&lt;&gt;""),187)),"")</f>
        <v/>
      </c>
      <c r="G190" s="8" t="str">
        <f ca="1">IFERROR(INDEX(All_Risk_Apps!$I$4:$I$1233,_xludf.aggregate(15,6,(ROW(All_Risk_Apps!$A$4:$A$1233)-ROW(All_Risk_Apps!$A$4)+1)/(All_Risk_Apps!$J$4:$J$1233="Fast Follower")*(All_Risk_Apps!$A$4:$A$1233&lt;&gt;""),187)),"")</f>
        <v/>
      </c>
      <c r="H190" s="8" t="str">
        <f ca="1">IF(B190="","",IFERROR(INDEX(Server_Inventory!$R:$R,MATCH(B190,Server_Inventory!$Z:$Z,0)),"Not Found"))</f>
        <v/>
      </c>
      <c r="I190" s="8" t="str">
        <f ca="1">IF(B190="","",IFERROR(INDEX(Server_Inventory!$S:$S,MATCH(B190,Server_Inventory!$Z:$Z,0)),"Not Found"))</f>
        <v/>
      </c>
      <c r="J190" s="8" t="str">
        <f ca="1">IF(B190="","",COUNTIFS(Server_Inventory!$Z:$Z,B190,Server_Inventory!$P:$P,"R-RETIRED_IN_CMDB"))</f>
        <v/>
      </c>
      <c r="K190" s="8" t="str">
        <f ca="1">IF(B190="","",IFERROR(INDEX(Container_Inventory!$F:$F,MATCH(B190,Container_Inventory!$L:$L,0)),"Not Found"))</f>
        <v/>
      </c>
      <c r="L190" s="8" t="str">
        <f ca="1">IF(B190="","",IF(COUNTIF(Finding_List!$A:$A,B190)&gt;0,"Yes","No"))</f>
        <v/>
      </c>
      <c r="M190" s="8" t="str">
        <f ca="1">IF(B190="","",COUNTIF(Server_Inventory!$Z:$Z,B190))</f>
        <v/>
      </c>
      <c r="N190" s="8" t="str">
        <f ca="1">IF(B190="","",COUNTIF(Container_Inventory!$L:$L,B190))</f>
        <v/>
      </c>
    </row>
    <row r="191" spans="1:14" x14ac:dyDescent="0.2">
      <c r="A191" s="14" t="str">
        <f ca="1">IFERROR(INDEX(All_Risk_Apps!$A$4:$A$1233,_xludf.aggregate(15,6,(ROW(All_Risk_Apps!$A$4:$A$1233)-ROW(All_Risk_Apps!$A$4)+1)/(All_Risk_Apps!$J$4:$J$1233="Fast Follower")*(All_Risk_Apps!$A$4:$A$1233&lt;&gt;""),188)),"")</f>
        <v/>
      </c>
      <c r="B191" s="14" t="str">
        <f ca="1">IFERROR(INDEX(All_Risk_Apps!$B$4:$B$1233,_xludf.aggregate(15,6,(ROW(All_Risk_Apps!$A$4:$A$1233)-ROW(All_Risk_Apps!$A$4)+1)/(All_Risk_Apps!$J$4:$J$1233="Fast Follower")*(All_Risk_Apps!$A$4:$A$1233&lt;&gt;""),188)),"")</f>
        <v/>
      </c>
      <c r="C191" s="14" t="str">
        <f ca="1">IFERROR(INDEX(All_Risk_Apps!$D$4:$D$1233,_xludf.aggregate(15,6,(ROW(All_Risk_Apps!$A$4:$A$1233)-ROW(All_Risk_Apps!$A$4)+1)/(All_Risk_Apps!$J$4:$J$1233="Fast Follower")*(All_Risk_Apps!$A$4:$A$1233&lt;&gt;""),188)),"")</f>
        <v/>
      </c>
      <c r="D191" s="14" t="str">
        <f ca="1">IFERROR(INDEX(All_Risk_Apps!$C$4:$C$1233,_xludf.aggregate(15,6,(ROW(All_Risk_Apps!$A$4:$A$1233)-ROW(All_Risk_Apps!$A$4)+1)/(All_Risk_Apps!$J$4:$J$1233="Fast Follower")*(All_Risk_Apps!$A$4:$A$1233&lt;&gt;""),188)),"")</f>
        <v/>
      </c>
      <c r="E191" s="14" t="str">
        <f ca="1">IFERROR(INDEX(All_Risk_Apps!$E$4:$E$1233,_xludf.aggregate(15,6,(ROW(All_Risk_Apps!$A$4:$A$1233)-ROW(All_Risk_Apps!$A$4)+1)/(All_Risk_Apps!$J$4:$J$1233="Fast Follower")*(All_Risk_Apps!$A$4:$A$1233&lt;&gt;""),188)),"")</f>
        <v/>
      </c>
      <c r="F191" s="14" t="str">
        <f ca="1">IFERROR(INDEX(All_Risk_Apps!$F$4:$F$1233,_xludf.aggregate(15,6,(ROW(All_Risk_Apps!$A$4:$A$1233)-ROW(All_Risk_Apps!$A$4)+1)/(All_Risk_Apps!$J$4:$J$1233="Fast Follower")*(All_Risk_Apps!$A$4:$A$1233&lt;&gt;""),188)),"")</f>
        <v/>
      </c>
      <c r="G191" s="14" t="str">
        <f ca="1">IFERROR(INDEX(All_Risk_Apps!$I$4:$I$1233,_xludf.aggregate(15,6,(ROW(All_Risk_Apps!$A$4:$A$1233)-ROW(All_Risk_Apps!$A$4)+1)/(All_Risk_Apps!$J$4:$J$1233="Fast Follower")*(All_Risk_Apps!$A$4:$A$1233&lt;&gt;""),188)),"")</f>
        <v/>
      </c>
      <c r="H191" s="14" t="str">
        <f ca="1">IF(B191="","",IFERROR(INDEX(Server_Inventory!$R:$R,MATCH(B191,Server_Inventory!$Z:$Z,0)),"Not Found"))</f>
        <v/>
      </c>
      <c r="I191" s="14" t="str">
        <f ca="1">IF(B191="","",IFERROR(INDEX(Server_Inventory!$S:$S,MATCH(B191,Server_Inventory!$Z:$Z,0)),"Not Found"))</f>
        <v/>
      </c>
      <c r="J191" s="14" t="str">
        <f ca="1">IF(B191="","",COUNTIFS(Server_Inventory!$Z:$Z,B191,Server_Inventory!$P:$P,"R-RETIRED_IN_CMDB"))</f>
        <v/>
      </c>
      <c r="K191" s="14" t="str">
        <f ca="1">IF(B191="","",IFERROR(INDEX(Container_Inventory!$F:$F,MATCH(B191,Container_Inventory!$L:$L,0)),"Not Found"))</f>
        <v/>
      </c>
      <c r="L191" s="14" t="str">
        <f ca="1">IF(B191="","",IF(COUNTIF(Finding_List!$A:$A,B191)&gt;0,"Yes","No"))</f>
        <v/>
      </c>
      <c r="M191" s="14" t="str">
        <f ca="1">IF(B191="","",COUNTIF(Server_Inventory!$Z:$Z,B191))</f>
        <v/>
      </c>
      <c r="N191" s="14" t="str">
        <f ca="1">IF(B191="","",COUNTIF(Container_Inventory!$L:$L,B191))</f>
        <v/>
      </c>
    </row>
    <row r="192" spans="1:14" x14ac:dyDescent="0.2">
      <c r="A192" s="8" t="str">
        <f ca="1">IFERROR(INDEX(All_Risk_Apps!$A$4:$A$1233,_xludf.aggregate(15,6,(ROW(All_Risk_Apps!$A$4:$A$1233)-ROW(All_Risk_Apps!$A$4)+1)/(All_Risk_Apps!$J$4:$J$1233="Fast Follower")*(All_Risk_Apps!$A$4:$A$1233&lt;&gt;""),189)),"")</f>
        <v/>
      </c>
      <c r="B192" s="8" t="str">
        <f ca="1">IFERROR(INDEX(All_Risk_Apps!$B$4:$B$1233,_xludf.aggregate(15,6,(ROW(All_Risk_Apps!$A$4:$A$1233)-ROW(All_Risk_Apps!$A$4)+1)/(All_Risk_Apps!$J$4:$J$1233="Fast Follower")*(All_Risk_Apps!$A$4:$A$1233&lt;&gt;""),189)),"")</f>
        <v/>
      </c>
      <c r="C192" s="8" t="str">
        <f ca="1">IFERROR(INDEX(All_Risk_Apps!$D$4:$D$1233,_xludf.aggregate(15,6,(ROW(All_Risk_Apps!$A$4:$A$1233)-ROW(All_Risk_Apps!$A$4)+1)/(All_Risk_Apps!$J$4:$J$1233="Fast Follower")*(All_Risk_Apps!$A$4:$A$1233&lt;&gt;""),189)),"")</f>
        <v/>
      </c>
      <c r="D192" s="8" t="str">
        <f ca="1">IFERROR(INDEX(All_Risk_Apps!$C$4:$C$1233,_xludf.aggregate(15,6,(ROW(All_Risk_Apps!$A$4:$A$1233)-ROW(All_Risk_Apps!$A$4)+1)/(All_Risk_Apps!$J$4:$J$1233="Fast Follower")*(All_Risk_Apps!$A$4:$A$1233&lt;&gt;""),189)),"")</f>
        <v/>
      </c>
      <c r="E192" s="8" t="str">
        <f ca="1">IFERROR(INDEX(All_Risk_Apps!$E$4:$E$1233,_xludf.aggregate(15,6,(ROW(All_Risk_Apps!$A$4:$A$1233)-ROW(All_Risk_Apps!$A$4)+1)/(All_Risk_Apps!$J$4:$J$1233="Fast Follower")*(All_Risk_Apps!$A$4:$A$1233&lt;&gt;""),189)),"")</f>
        <v/>
      </c>
      <c r="F192" s="8" t="str">
        <f ca="1">IFERROR(INDEX(All_Risk_Apps!$F$4:$F$1233,_xludf.aggregate(15,6,(ROW(All_Risk_Apps!$A$4:$A$1233)-ROW(All_Risk_Apps!$A$4)+1)/(All_Risk_Apps!$J$4:$J$1233="Fast Follower")*(All_Risk_Apps!$A$4:$A$1233&lt;&gt;""),189)),"")</f>
        <v/>
      </c>
      <c r="G192" s="8" t="str">
        <f ca="1">IFERROR(INDEX(All_Risk_Apps!$I$4:$I$1233,_xludf.aggregate(15,6,(ROW(All_Risk_Apps!$A$4:$A$1233)-ROW(All_Risk_Apps!$A$4)+1)/(All_Risk_Apps!$J$4:$J$1233="Fast Follower")*(All_Risk_Apps!$A$4:$A$1233&lt;&gt;""),189)),"")</f>
        <v/>
      </c>
      <c r="H192" s="8" t="str">
        <f ca="1">IF(B192="","",IFERROR(INDEX(Server_Inventory!$R:$R,MATCH(B192,Server_Inventory!$Z:$Z,0)),"Not Found"))</f>
        <v/>
      </c>
      <c r="I192" s="8" t="str">
        <f ca="1">IF(B192="","",IFERROR(INDEX(Server_Inventory!$S:$S,MATCH(B192,Server_Inventory!$Z:$Z,0)),"Not Found"))</f>
        <v/>
      </c>
      <c r="J192" s="8" t="str">
        <f ca="1">IF(B192="","",COUNTIFS(Server_Inventory!$Z:$Z,B192,Server_Inventory!$P:$P,"R-RETIRED_IN_CMDB"))</f>
        <v/>
      </c>
      <c r="K192" s="8" t="str">
        <f ca="1">IF(B192="","",IFERROR(INDEX(Container_Inventory!$F:$F,MATCH(B192,Container_Inventory!$L:$L,0)),"Not Found"))</f>
        <v/>
      </c>
      <c r="L192" s="8" t="str">
        <f ca="1">IF(B192="","",IF(COUNTIF(Finding_List!$A:$A,B192)&gt;0,"Yes","No"))</f>
        <v/>
      </c>
      <c r="M192" s="8" t="str">
        <f ca="1">IF(B192="","",COUNTIF(Server_Inventory!$Z:$Z,B192))</f>
        <v/>
      </c>
      <c r="N192" s="8" t="str">
        <f ca="1">IF(B192="","",COUNTIF(Container_Inventory!$L:$L,B192))</f>
        <v/>
      </c>
    </row>
    <row r="193" spans="1:14" x14ac:dyDescent="0.2">
      <c r="A193" s="14" t="str">
        <f ca="1">IFERROR(INDEX(All_Risk_Apps!$A$4:$A$1233,_xludf.aggregate(15,6,(ROW(All_Risk_Apps!$A$4:$A$1233)-ROW(All_Risk_Apps!$A$4)+1)/(All_Risk_Apps!$J$4:$J$1233="Fast Follower")*(All_Risk_Apps!$A$4:$A$1233&lt;&gt;""),190)),"")</f>
        <v/>
      </c>
      <c r="B193" s="14" t="str">
        <f ca="1">IFERROR(INDEX(All_Risk_Apps!$B$4:$B$1233,_xludf.aggregate(15,6,(ROW(All_Risk_Apps!$A$4:$A$1233)-ROW(All_Risk_Apps!$A$4)+1)/(All_Risk_Apps!$J$4:$J$1233="Fast Follower")*(All_Risk_Apps!$A$4:$A$1233&lt;&gt;""),190)),"")</f>
        <v/>
      </c>
      <c r="C193" s="14" t="str">
        <f ca="1">IFERROR(INDEX(All_Risk_Apps!$D$4:$D$1233,_xludf.aggregate(15,6,(ROW(All_Risk_Apps!$A$4:$A$1233)-ROW(All_Risk_Apps!$A$4)+1)/(All_Risk_Apps!$J$4:$J$1233="Fast Follower")*(All_Risk_Apps!$A$4:$A$1233&lt;&gt;""),190)),"")</f>
        <v/>
      </c>
      <c r="D193" s="14" t="str">
        <f ca="1">IFERROR(INDEX(All_Risk_Apps!$C$4:$C$1233,_xludf.aggregate(15,6,(ROW(All_Risk_Apps!$A$4:$A$1233)-ROW(All_Risk_Apps!$A$4)+1)/(All_Risk_Apps!$J$4:$J$1233="Fast Follower")*(All_Risk_Apps!$A$4:$A$1233&lt;&gt;""),190)),"")</f>
        <v/>
      </c>
      <c r="E193" s="14" t="str">
        <f ca="1">IFERROR(INDEX(All_Risk_Apps!$E$4:$E$1233,_xludf.aggregate(15,6,(ROW(All_Risk_Apps!$A$4:$A$1233)-ROW(All_Risk_Apps!$A$4)+1)/(All_Risk_Apps!$J$4:$J$1233="Fast Follower")*(All_Risk_Apps!$A$4:$A$1233&lt;&gt;""),190)),"")</f>
        <v/>
      </c>
      <c r="F193" s="14" t="str">
        <f ca="1">IFERROR(INDEX(All_Risk_Apps!$F$4:$F$1233,_xludf.aggregate(15,6,(ROW(All_Risk_Apps!$A$4:$A$1233)-ROW(All_Risk_Apps!$A$4)+1)/(All_Risk_Apps!$J$4:$J$1233="Fast Follower")*(All_Risk_Apps!$A$4:$A$1233&lt;&gt;""),190)),"")</f>
        <v/>
      </c>
      <c r="G193" s="14" t="str">
        <f ca="1">IFERROR(INDEX(All_Risk_Apps!$I$4:$I$1233,_xludf.aggregate(15,6,(ROW(All_Risk_Apps!$A$4:$A$1233)-ROW(All_Risk_Apps!$A$4)+1)/(All_Risk_Apps!$J$4:$J$1233="Fast Follower")*(All_Risk_Apps!$A$4:$A$1233&lt;&gt;""),190)),"")</f>
        <v/>
      </c>
      <c r="H193" s="14" t="str">
        <f ca="1">IF(B193="","",IFERROR(INDEX(Server_Inventory!$R:$R,MATCH(B193,Server_Inventory!$Z:$Z,0)),"Not Found"))</f>
        <v/>
      </c>
      <c r="I193" s="14" t="str">
        <f ca="1">IF(B193="","",IFERROR(INDEX(Server_Inventory!$S:$S,MATCH(B193,Server_Inventory!$Z:$Z,0)),"Not Found"))</f>
        <v/>
      </c>
      <c r="J193" s="14" t="str">
        <f ca="1">IF(B193="","",COUNTIFS(Server_Inventory!$Z:$Z,B193,Server_Inventory!$P:$P,"R-RETIRED_IN_CMDB"))</f>
        <v/>
      </c>
      <c r="K193" s="14" t="str">
        <f ca="1">IF(B193="","",IFERROR(INDEX(Container_Inventory!$F:$F,MATCH(B193,Container_Inventory!$L:$L,0)),"Not Found"))</f>
        <v/>
      </c>
      <c r="L193" s="14" t="str">
        <f ca="1">IF(B193="","",IF(COUNTIF(Finding_List!$A:$A,B193)&gt;0,"Yes","No"))</f>
        <v/>
      </c>
      <c r="M193" s="14" t="str">
        <f ca="1">IF(B193="","",COUNTIF(Server_Inventory!$Z:$Z,B193))</f>
        <v/>
      </c>
      <c r="N193" s="14" t="str">
        <f ca="1">IF(B193="","",COUNTIF(Container_Inventory!$L:$L,B193))</f>
        <v/>
      </c>
    </row>
    <row r="194" spans="1:14" x14ac:dyDescent="0.2">
      <c r="A194" s="8" t="str">
        <f ca="1">IFERROR(INDEX(All_Risk_Apps!$A$4:$A$1233,_xludf.aggregate(15,6,(ROW(All_Risk_Apps!$A$4:$A$1233)-ROW(All_Risk_Apps!$A$4)+1)/(All_Risk_Apps!$J$4:$J$1233="Fast Follower")*(All_Risk_Apps!$A$4:$A$1233&lt;&gt;""),191)),"")</f>
        <v/>
      </c>
      <c r="B194" s="8" t="str">
        <f ca="1">IFERROR(INDEX(All_Risk_Apps!$B$4:$B$1233,_xludf.aggregate(15,6,(ROW(All_Risk_Apps!$A$4:$A$1233)-ROW(All_Risk_Apps!$A$4)+1)/(All_Risk_Apps!$J$4:$J$1233="Fast Follower")*(All_Risk_Apps!$A$4:$A$1233&lt;&gt;""),191)),"")</f>
        <v/>
      </c>
      <c r="C194" s="8" t="str">
        <f ca="1">IFERROR(INDEX(All_Risk_Apps!$D$4:$D$1233,_xludf.aggregate(15,6,(ROW(All_Risk_Apps!$A$4:$A$1233)-ROW(All_Risk_Apps!$A$4)+1)/(All_Risk_Apps!$J$4:$J$1233="Fast Follower")*(All_Risk_Apps!$A$4:$A$1233&lt;&gt;""),191)),"")</f>
        <v/>
      </c>
      <c r="D194" s="8" t="str">
        <f ca="1">IFERROR(INDEX(All_Risk_Apps!$C$4:$C$1233,_xludf.aggregate(15,6,(ROW(All_Risk_Apps!$A$4:$A$1233)-ROW(All_Risk_Apps!$A$4)+1)/(All_Risk_Apps!$J$4:$J$1233="Fast Follower")*(All_Risk_Apps!$A$4:$A$1233&lt;&gt;""),191)),"")</f>
        <v/>
      </c>
      <c r="E194" s="8" t="str">
        <f ca="1">IFERROR(INDEX(All_Risk_Apps!$E$4:$E$1233,_xludf.aggregate(15,6,(ROW(All_Risk_Apps!$A$4:$A$1233)-ROW(All_Risk_Apps!$A$4)+1)/(All_Risk_Apps!$J$4:$J$1233="Fast Follower")*(All_Risk_Apps!$A$4:$A$1233&lt;&gt;""),191)),"")</f>
        <v/>
      </c>
      <c r="F194" s="8" t="str">
        <f ca="1">IFERROR(INDEX(All_Risk_Apps!$F$4:$F$1233,_xludf.aggregate(15,6,(ROW(All_Risk_Apps!$A$4:$A$1233)-ROW(All_Risk_Apps!$A$4)+1)/(All_Risk_Apps!$J$4:$J$1233="Fast Follower")*(All_Risk_Apps!$A$4:$A$1233&lt;&gt;""),191)),"")</f>
        <v/>
      </c>
      <c r="G194" s="8" t="str">
        <f ca="1">IFERROR(INDEX(All_Risk_Apps!$I$4:$I$1233,_xludf.aggregate(15,6,(ROW(All_Risk_Apps!$A$4:$A$1233)-ROW(All_Risk_Apps!$A$4)+1)/(All_Risk_Apps!$J$4:$J$1233="Fast Follower")*(All_Risk_Apps!$A$4:$A$1233&lt;&gt;""),191)),"")</f>
        <v/>
      </c>
      <c r="H194" s="8" t="str">
        <f ca="1">IF(B194="","",IFERROR(INDEX(Server_Inventory!$R:$R,MATCH(B194,Server_Inventory!$Z:$Z,0)),"Not Found"))</f>
        <v/>
      </c>
      <c r="I194" s="8" t="str">
        <f ca="1">IF(B194="","",IFERROR(INDEX(Server_Inventory!$S:$S,MATCH(B194,Server_Inventory!$Z:$Z,0)),"Not Found"))</f>
        <v/>
      </c>
      <c r="J194" s="8" t="str">
        <f ca="1">IF(B194="","",COUNTIFS(Server_Inventory!$Z:$Z,B194,Server_Inventory!$P:$P,"R-RETIRED_IN_CMDB"))</f>
        <v/>
      </c>
      <c r="K194" s="8" t="str">
        <f ca="1">IF(B194="","",IFERROR(INDEX(Container_Inventory!$F:$F,MATCH(B194,Container_Inventory!$L:$L,0)),"Not Found"))</f>
        <v/>
      </c>
      <c r="L194" s="8" t="str">
        <f ca="1">IF(B194="","",IF(COUNTIF(Finding_List!$A:$A,B194)&gt;0,"Yes","No"))</f>
        <v/>
      </c>
      <c r="M194" s="8" t="str">
        <f ca="1">IF(B194="","",COUNTIF(Server_Inventory!$Z:$Z,B194))</f>
        <v/>
      </c>
      <c r="N194" s="8" t="str">
        <f ca="1">IF(B194="","",COUNTIF(Container_Inventory!$L:$L,B194))</f>
        <v/>
      </c>
    </row>
    <row r="195" spans="1:14" x14ac:dyDescent="0.2">
      <c r="A195" s="14" t="str">
        <f ca="1">IFERROR(INDEX(All_Risk_Apps!$A$4:$A$1233,_xludf.aggregate(15,6,(ROW(All_Risk_Apps!$A$4:$A$1233)-ROW(All_Risk_Apps!$A$4)+1)/(All_Risk_Apps!$J$4:$J$1233="Fast Follower")*(All_Risk_Apps!$A$4:$A$1233&lt;&gt;""),192)),"")</f>
        <v/>
      </c>
      <c r="B195" s="14" t="str">
        <f ca="1">IFERROR(INDEX(All_Risk_Apps!$B$4:$B$1233,_xludf.aggregate(15,6,(ROW(All_Risk_Apps!$A$4:$A$1233)-ROW(All_Risk_Apps!$A$4)+1)/(All_Risk_Apps!$J$4:$J$1233="Fast Follower")*(All_Risk_Apps!$A$4:$A$1233&lt;&gt;""),192)),"")</f>
        <v/>
      </c>
      <c r="C195" s="14" t="str">
        <f ca="1">IFERROR(INDEX(All_Risk_Apps!$D$4:$D$1233,_xludf.aggregate(15,6,(ROW(All_Risk_Apps!$A$4:$A$1233)-ROW(All_Risk_Apps!$A$4)+1)/(All_Risk_Apps!$J$4:$J$1233="Fast Follower")*(All_Risk_Apps!$A$4:$A$1233&lt;&gt;""),192)),"")</f>
        <v/>
      </c>
      <c r="D195" s="14" t="str">
        <f ca="1">IFERROR(INDEX(All_Risk_Apps!$C$4:$C$1233,_xludf.aggregate(15,6,(ROW(All_Risk_Apps!$A$4:$A$1233)-ROW(All_Risk_Apps!$A$4)+1)/(All_Risk_Apps!$J$4:$J$1233="Fast Follower")*(All_Risk_Apps!$A$4:$A$1233&lt;&gt;""),192)),"")</f>
        <v/>
      </c>
      <c r="E195" s="14" t="str">
        <f ca="1">IFERROR(INDEX(All_Risk_Apps!$E$4:$E$1233,_xludf.aggregate(15,6,(ROW(All_Risk_Apps!$A$4:$A$1233)-ROW(All_Risk_Apps!$A$4)+1)/(All_Risk_Apps!$J$4:$J$1233="Fast Follower")*(All_Risk_Apps!$A$4:$A$1233&lt;&gt;""),192)),"")</f>
        <v/>
      </c>
      <c r="F195" s="14" t="str">
        <f ca="1">IFERROR(INDEX(All_Risk_Apps!$F$4:$F$1233,_xludf.aggregate(15,6,(ROW(All_Risk_Apps!$A$4:$A$1233)-ROW(All_Risk_Apps!$A$4)+1)/(All_Risk_Apps!$J$4:$J$1233="Fast Follower")*(All_Risk_Apps!$A$4:$A$1233&lt;&gt;""),192)),"")</f>
        <v/>
      </c>
      <c r="G195" s="14" t="str">
        <f ca="1">IFERROR(INDEX(All_Risk_Apps!$I$4:$I$1233,_xludf.aggregate(15,6,(ROW(All_Risk_Apps!$A$4:$A$1233)-ROW(All_Risk_Apps!$A$4)+1)/(All_Risk_Apps!$J$4:$J$1233="Fast Follower")*(All_Risk_Apps!$A$4:$A$1233&lt;&gt;""),192)),"")</f>
        <v/>
      </c>
      <c r="H195" s="14" t="str">
        <f ca="1">IF(B195="","",IFERROR(INDEX(Server_Inventory!$R:$R,MATCH(B195,Server_Inventory!$Z:$Z,0)),"Not Found"))</f>
        <v/>
      </c>
      <c r="I195" s="14" t="str">
        <f ca="1">IF(B195="","",IFERROR(INDEX(Server_Inventory!$S:$S,MATCH(B195,Server_Inventory!$Z:$Z,0)),"Not Found"))</f>
        <v/>
      </c>
      <c r="J195" s="14" t="str">
        <f ca="1">IF(B195="","",COUNTIFS(Server_Inventory!$Z:$Z,B195,Server_Inventory!$P:$P,"R-RETIRED_IN_CMDB"))</f>
        <v/>
      </c>
      <c r="K195" s="14" t="str">
        <f ca="1">IF(B195="","",IFERROR(INDEX(Container_Inventory!$F:$F,MATCH(B195,Container_Inventory!$L:$L,0)),"Not Found"))</f>
        <v/>
      </c>
      <c r="L195" s="14" t="str">
        <f ca="1">IF(B195="","",IF(COUNTIF(Finding_List!$A:$A,B195)&gt;0,"Yes","No"))</f>
        <v/>
      </c>
      <c r="M195" s="14" t="str">
        <f ca="1">IF(B195="","",COUNTIF(Server_Inventory!$Z:$Z,B195))</f>
        <v/>
      </c>
      <c r="N195" s="14" t="str">
        <f ca="1">IF(B195="","",COUNTIF(Container_Inventory!$L:$L,B195))</f>
        <v/>
      </c>
    </row>
    <row r="196" spans="1:14" x14ac:dyDescent="0.2">
      <c r="A196" s="8" t="str">
        <f ca="1">IFERROR(INDEX(All_Risk_Apps!$A$4:$A$1233,_xludf.aggregate(15,6,(ROW(All_Risk_Apps!$A$4:$A$1233)-ROW(All_Risk_Apps!$A$4)+1)/(All_Risk_Apps!$J$4:$J$1233="Fast Follower")*(All_Risk_Apps!$A$4:$A$1233&lt;&gt;""),193)),"")</f>
        <v/>
      </c>
      <c r="B196" s="8" t="str">
        <f ca="1">IFERROR(INDEX(All_Risk_Apps!$B$4:$B$1233,_xludf.aggregate(15,6,(ROW(All_Risk_Apps!$A$4:$A$1233)-ROW(All_Risk_Apps!$A$4)+1)/(All_Risk_Apps!$J$4:$J$1233="Fast Follower")*(All_Risk_Apps!$A$4:$A$1233&lt;&gt;""),193)),"")</f>
        <v/>
      </c>
      <c r="C196" s="8" t="str">
        <f ca="1">IFERROR(INDEX(All_Risk_Apps!$D$4:$D$1233,_xludf.aggregate(15,6,(ROW(All_Risk_Apps!$A$4:$A$1233)-ROW(All_Risk_Apps!$A$4)+1)/(All_Risk_Apps!$J$4:$J$1233="Fast Follower")*(All_Risk_Apps!$A$4:$A$1233&lt;&gt;""),193)),"")</f>
        <v/>
      </c>
      <c r="D196" s="8" t="str">
        <f ca="1">IFERROR(INDEX(All_Risk_Apps!$C$4:$C$1233,_xludf.aggregate(15,6,(ROW(All_Risk_Apps!$A$4:$A$1233)-ROW(All_Risk_Apps!$A$4)+1)/(All_Risk_Apps!$J$4:$J$1233="Fast Follower")*(All_Risk_Apps!$A$4:$A$1233&lt;&gt;""),193)),"")</f>
        <v/>
      </c>
      <c r="E196" s="8" t="str">
        <f ca="1">IFERROR(INDEX(All_Risk_Apps!$E$4:$E$1233,_xludf.aggregate(15,6,(ROW(All_Risk_Apps!$A$4:$A$1233)-ROW(All_Risk_Apps!$A$4)+1)/(All_Risk_Apps!$J$4:$J$1233="Fast Follower")*(All_Risk_Apps!$A$4:$A$1233&lt;&gt;""),193)),"")</f>
        <v/>
      </c>
      <c r="F196" s="8" t="str">
        <f ca="1">IFERROR(INDEX(All_Risk_Apps!$F$4:$F$1233,_xludf.aggregate(15,6,(ROW(All_Risk_Apps!$A$4:$A$1233)-ROW(All_Risk_Apps!$A$4)+1)/(All_Risk_Apps!$J$4:$J$1233="Fast Follower")*(All_Risk_Apps!$A$4:$A$1233&lt;&gt;""),193)),"")</f>
        <v/>
      </c>
      <c r="G196" s="8" t="str">
        <f ca="1">IFERROR(INDEX(All_Risk_Apps!$I$4:$I$1233,_xludf.aggregate(15,6,(ROW(All_Risk_Apps!$A$4:$A$1233)-ROW(All_Risk_Apps!$A$4)+1)/(All_Risk_Apps!$J$4:$J$1233="Fast Follower")*(All_Risk_Apps!$A$4:$A$1233&lt;&gt;""),193)),"")</f>
        <v/>
      </c>
      <c r="H196" s="8" t="str">
        <f ca="1">IF(B196="","",IFERROR(INDEX(Server_Inventory!$R:$R,MATCH(B196,Server_Inventory!$Z:$Z,0)),"Not Found"))</f>
        <v/>
      </c>
      <c r="I196" s="8" t="str">
        <f ca="1">IF(B196="","",IFERROR(INDEX(Server_Inventory!$S:$S,MATCH(B196,Server_Inventory!$Z:$Z,0)),"Not Found"))</f>
        <v/>
      </c>
      <c r="J196" s="8" t="str">
        <f ca="1">IF(B196="","",COUNTIFS(Server_Inventory!$Z:$Z,B196,Server_Inventory!$P:$P,"R-RETIRED_IN_CMDB"))</f>
        <v/>
      </c>
      <c r="K196" s="8" t="str">
        <f ca="1">IF(B196="","",IFERROR(INDEX(Container_Inventory!$F:$F,MATCH(B196,Container_Inventory!$L:$L,0)),"Not Found"))</f>
        <v/>
      </c>
      <c r="L196" s="8" t="str">
        <f ca="1">IF(B196="","",IF(COUNTIF(Finding_List!$A:$A,B196)&gt;0,"Yes","No"))</f>
        <v/>
      </c>
      <c r="M196" s="8" t="str">
        <f ca="1">IF(B196="","",COUNTIF(Server_Inventory!$Z:$Z,B196))</f>
        <v/>
      </c>
      <c r="N196" s="8" t="str">
        <f ca="1">IF(B196="","",COUNTIF(Container_Inventory!$L:$L,B196))</f>
        <v/>
      </c>
    </row>
    <row r="197" spans="1:14" x14ac:dyDescent="0.2">
      <c r="A197" s="14" t="str">
        <f ca="1">IFERROR(INDEX(All_Risk_Apps!$A$4:$A$1233,_xludf.aggregate(15,6,(ROW(All_Risk_Apps!$A$4:$A$1233)-ROW(All_Risk_Apps!$A$4)+1)/(All_Risk_Apps!$J$4:$J$1233="Fast Follower")*(All_Risk_Apps!$A$4:$A$1233&lt;&gt;""),194)),"")</f>
        <v/>
      </c>
      <c r="B197" s="14" t="str">
        <f ca="1">IFERROR(INDEX(All_Risk_Apps!$B$4:$B$1233,_xludf.aggregate(15,6,(ROW(All_Risk_Apps!$A$4:$A$1233)-ROW(All_Risk_Apps!$A$4)+1)/(All_Risk_Apps!$J$4:$J$1233="Fast Follower")*(All_Risk_Apps!$A$4:$A$1233&lt;&gt;""),194)),"")</f>
        <v/>
      </c>
      <c r="C197" s="14" t="str">
        <f ca="1">IFERROR(INDEX(All_Risk_Apps!$D$4:$D$1233,_xludf.aggregate(15,6,(ROW(All_Risk_Apps!$A$4:$A$1233)-ROW(All_Risk_Apps!$A$4)+1)/(All_Risk_Apps!$J$4:$J$1233="Fast Follower")*(All_Risk_Apps!$A$4:$A$1233&lt;&gt;""),194)),"")</f>
        <v/>
      </c>
      <c r="D197" s="14" t="str">
        <f ca="1">IFERROR(INDEX(All_Risk_Apps!$C$4:$C$1233,_xludf.aggregate(15,6,(ROW(All_Risk_Apps!$A$4:$A$1233)-ROW(All_Risk_Apps!$A$4)+1)/(All_Risk_Apps!$J$4:$J$1233="Fast Follower")*(All_Risk_Apps!$A$4:$A$1233&lt;&gt;""),194)),"")</f>
        <v/>
      </c>
      <c r="E197" s="14" t="str">
        <f ca="1">IFERROR(INDEX(All_Risk_Apps!$E$4:$E$1233,_xludf.aggregate(15,6,(ROW(All_Risk_Apps!$A$4:$A$1233)-ROW(All_Risk_Apps!$A$4)+1)/(All_Risk_Apps!$J$4:$J$1233="Fast Follower")*(All_Risk_Apps!$A$4:$A$1233&lt;&gt;""),194)),"")</f>
        <v/>
      </c>
      <c r="F197" s="14" t="str">
        <f ca="1">IFERROR(INDEX(All_Risk_Apps!$F$4:$F$1233,_xludf.aggregate(15,6,(ROW(All_Risk_Apps!$A$4:$A$1233)-ROW(All_Risk_Apps!$A$4)+1)/(All_Risk_Apps!$J$4:$J$1233="Fast Follower")*(All_Risk_Apps!$A$4:$A$1233&lt;&gt;""),194)),"")</f>
        <v/>
      </c>
      <c r="G197" s="14" t="str">
        <f ca="1">IFERROR(INDEX(All_Risk_Apps!$I$4:$I$1233,_xludf.aggregate(15,6,(ROW(All_Risk_Apps!$A$4:$A$1233)-ROW(All_Risk_Apps!$A$4)+1)/(All_Risk_Apps!$J$4:$J$1233="Fast Follower")*(All_Risk_Apps!$A$4:$A$1233&lt;&gt;""),194)),"")</f>
        <v/>
      </c>
      <c r="H197" s="14" t="str">
        <f ca="1">IF(B197="","",IFERROR(INDEX(Server_Inventory!$R:$R,MATCH(B197,Server_Inventory!$Z:$Z,0)),"Not Found"))</f>
        <v/>
      </c>
      <c r="I197" s="14" t="str">
        <f ca="1">IF(B197="","",IFERROR(INDEX(Server_Inventory!$S:$S,MATCH(B197,Server_Inventory!$Z:$Z,0)),"Not Found"))</f>
        <v/>
      </c>
      <c r="J197" s="14" t="str">
        <f ca="1">IF(B197="","",COUNTIFS(Server_Inventory!$Z:$Z,B197,Server_Inventory!$P:$P,"R-RETIRED_IN_CMDB"))</f>
        <v/>
      </c>
      <c r="K197" s="14" t="str">
        <f ca="1">IF(B197="","",IFERROR(INDEX(Container_Inventory!$F:$F,MATCH(B197,Container_Inventory!$L:$L,0)),"Not Found"))</f>
        <v/>
      </c>
      <c r="L197" s="14" t="str">
        <f ca="1">IF(B197="","",IF(COUNTIF(Finding_List!$A:$A,B197)&gt;0,"Yes","No"))</f>
        <v/>
      </c>
      <c r="M197" s="14" t="str">
        <f ca="1">IF(B197="","",COUNTIF(Server_Inventory!$Z:$Z,B197))</f>
        <v/>
      </c>
      <c r="N197" s="14" t="str">
        <f ca="1">IF(B197="","",COUNTIF(Container_Inventory!$L:$L,B197))</f>
        <v/>
      </c>
    </row>
    <row r="198" spans="1:14" x14ac:dyDescent="0.2">
      <c r="A198" s="8" t="str">
        <f ca="1">IFERROR(INDEX(All_Risk_Apps!$A$4:$A$1233,_xludf.aggregate(15,6,(ROW(All_Risk_Apps!$A$4:$A$1233)-ROW(All_Risk_Apps!$A$4)+1)/(All_Risk_Apps!$J$4:$J$1233="Fast Follower")*(All_Risk_Apps!$A$4:$A$1233&lt;&gt;""),195)),"")</f>
        <v/>
      </c>
      <c r="B198" s="8" t="str">
        <f ca="1">IFERROR(INDEX(All_Risk_Apps!$B$4:$B$1233,_xludf.aggregate(15,6,(ROW(All_Risk_Apps!$A$4:$A$1233)-ROW(All_Risk_Apps!$A$4)+1)/(All_Risk_Apps!$J$4:$J$1233="Fast Follower")*(All_Risk_Apps!$A$4:$A$1233&lt;&gt;""),195)),"")</f>
        <v/>
      </c>
      <c r="C198" s="8" t="str">
        <f ca="1">IFERROR(INDEX(All_Risk_Apps!$D$4:$D$1233,_xludf.aggregate(15,6,(ROW(All_Risk_Apps!$A$4:$A$1233)-ROW(All_Risk_Apps!$A$4)+1)/(All_Risk_Apps!$J$4:$J$1233="Fast Follower")*(All_Risk_Apps!$A$4:$A$1233&lt;&gt;""),195)),"")</f>
        <v/>
      </c>
      <c r="D198" s="8" t="str">
        <f ca="1">IFERROR(INDEX(All_Risk_Apps!$C$4:$C$1233,_xludf.aggregate(15,6,(ROW(All_Risk_Apps!$A$4:$A$1233)-ROW(All_Risk_Apps!$A$4)+1)/(All_Risk_Apps!$J$4:$J$1233="Fast Follower")*(All_Risk_Apps!$A$4:$A$1233&lt;&gt;""),195)),"")</f>
        <v/>
      </c>
      <c r="E198" s="8" t="str">
        <f ca="1">IFERROR(INDEX(All_Risk_Apps!$E$4:$E$1233,_xludf.aggregate(15,6,(ROW(All_Risk_Apps!$A$4:$A$1233)-ROW(All_Risk_Apps!$A$4)+1)/(All_Risk_Apps!$J$4:$J$1233="Fast Follower")*(All_Risk_Apps!$A$4:$A$1233&lt;&gt;""),195)),"")</f>
        <v/>
      </c>
      <c r="F198" s="8" t="str">
        <f ca="1">IFERROR(INDEX(All_Risk_Apps!$F$4:$F$1233,_xludf.aggregate(15,6,(ROW(All_Risk_Apps!$A$4:$A$1233)-ROW(All_Risk_Apps!$A$4)+1)/(All_Risk_Apps!$J$4:$J$1233="Fast Follower")*(All_Risk_Apps!$A$4:$A$1233&lt;&gt;""),195)),"")</f>
        <v/>
      </c>
      <c r="G198" s="8" t="str">
        <f ca="1">IFERROR(INDEX(All_Risk_Apps!$I$4:$I$1233,_xludf.aggregate(15,6,(ROW(All_Risk_Apps!$A$4:$A$1233)-ROW(All_Risk_Apps!$A$4)+1)/(All_Risk_Apps!$J$4:$J$1233="Fast Follower")*(All_Risk_Apps!$A$4:$A$1233&lt;&gt;""),195)),"")</f>
        <v/>
      </c>
      <c r="H198" s="8" t="str">
        <f ca="1">IF(B198="","",IFERROR(INDEX(Server_Inventory!$R:$R,MATCH(B198,Server_Inventory!$Z:$Z,0)),"Not Found"))</f>
        <v/>
      </c>
      <c r="I198" s="8" t="str">
        <f ca="1">IF(B198="","",IFERROR(INDEX(Server_Inventory!$S:$S,MATCH(B198,Server_Inventory!$Z:$Z,0)),"Not Found"))</f>
        <v/>
      </c>
      <c r="J198" s="8" t="str">
        <f ca="1">IF(B198="","",COUNTIFS(Server_Inventory!$Z:$Z,B198,Server_Inventory!$P:$P,"R-RETIRED_IN_CMDB"))</f>
        <v/>
      </c>
      <c r="K198" s="8" t="str">
        <f ca="1">IF(B198="","",IFERROR(INDEX(Container_Inventory!$F:$F,MATCH(B198,Container_Inventory!$L:$L,0)),"Not Found"))</f>
        <v/>
      </c>
      <c r="L198" s="8" t="str">
        <f ca="1">IF(B198="","",IF(COUNTIF(Finding_List!$A:$A,B198)&gt;0,"Yes","No"))</f>
        <v/>
      </c>
      <c r="M198" s="8" t="str">
        <f ca="1">IF(B198="","",COUNTIF(Server_Inventory!$Z:$Z,B198))</f>
        <v/>
      </c>
      <c r="N198" s="8" t="str">
        <f ca="1">IF(B198="","",COUNTIF(Container_Inventory!$L:$L,B198))</f>
        <v/>
      </c>
    </row>
    <row r="199" spans="1:14" x14ac:dyDescent="0.2">
      <c r="A199" s="14" t="str">
        <f ca="1">IFERROR(INDEX(All_Risk_Apps!$A$4:$A$1233,_xludf.aggregate(15,6,(ROW(All_Risk_Apps!$A$4:$A$1233)-ROW(All_Risk_Apps!$A$4)+1)/(All_Risk_Apps!$J$4:$J$1233="Fast Follower")*(All_Risk_Apps!$A$4:$A$1233&lt;&gt;""),196)),"")</f>
        <v/>
      </c>
      <c r="B199" s="14" t="str">
        <f ca="1">IFERROR(INDEX(All_Risk_Apps!$B$4:$B$1233,_xludf.aggregate(15,6,(ROW(All_Risk_Apps!$A$4:$A$1233)-ROW(All_Risk_Apps!$A$4)+1)/(All_Risk_Apps!$J$4:$J$1233="Fast Follower")*(All_Risk_Apps!$A$4:$A$1233&lt;&gt;""),196)),"")</f>
        <v/>
      </c>
      <c r="C199" s="14" t="str">
        <f ca="1">IFERROR(INDEX(All_Risk_Apps!$D$4:$D$1233,_xludf.aggregate(15,6,(ROW(All_Risk_Apps!$A$4:$A$1233)-ROW(All_Risk_Apps!$A$4)+1)/(All_Risk_Apps!$J$4:$J$1233="Fast Follower")*(All_Risk_Apps!$A$4:$A$1233&lt;&gt;""),196)),"")</f>
        <v/>
      </c>
      <c r="D199" s="14" t="str">
        <f ca="1">IFERROR(INDEX(All_Risk_Apps!$C$4:$C$1233,_xludf.aggregate(15,6,(ROW(All_Risk_Apps!$A$4:$A$1233)-ROW(All_Risk_Apps!$A$4)+1)/(All_Risk_Apps!$J$4:$J$1233="Fast Follower")*(All_Risk_Apps!$A$4:$A$1233&lt;&gt;""),196)),"")</f>
        <v/>
      </c>
      <c r="E199" s="14" t="str">
        <f ca="1">IFERROR(INDEX(All_Risk_Apps!$E$4:$E$1233,_xludf.aggregate(15,6,(ROW(All_Risk_Apps!$A$4:$A$1233)-ROW(All_Risk_Apps!$A$4)+1)/(All_Risk_Apps!$J$4:$J$1233="Fast Follower")*(All_Risk_Apps!$A$4:$A$1233&lt;&gt;""),196)),"")</f>
        <v/>
      </c>
      <c r="F199" s="14" t="str">
        <f ca="1">IFERROR(INDEX(All_Risk_Apps!$F$4:$F$1233,_xludf.aggregate(15,6,(ROW(All_Risk_Apps!$A$4:$A$1233)-ROW(All_Risk_Apps!$A$4)+1)/(All_Risk_Apps!$J$4:$J$1233="Fast Follower")*(All_Risk_Apps!$A$4:$A$1233&lt;&gt;""),196)),"")</f>
        <v/>
      </c>
      <c r="G199" s="14" t="str">
        <f ca="1">IFERROR(INDEX(All_Risk_Apps!$I$4:$I$1233,_xludf.aggregate(15,6,(ROW(All_Risk_Apps!$A$4:$A$1233)-ROW(All_Risk_Apps!$A$4)+1)/(All_Risk_Apps!$J$4:$J$1233="Fast Follower")*(All_Risk_Apps!$A$4:$A$1233&lt;&gt;""),196)),"")</f>
        <v/>
      </c>
      <c r="H199" s="14" t="str">
        <f ca="1">IF(B199="","",IFERROR(INDEX(Server_Inventory!$R:$R,MATCH(B199,Server_Inventory!$Z:$Z,0)),"Not Found"))</f>
        <v/>
      </c>
      <c r="I199" s="14" t="str">
        <f ca="1">IF(B199="","",IFERROR(INDEX(Server_Inventory!$S:$S,MATCH(B199,Server_Inventory!$Z:$Z,0)),"Not Found"))</f>
        <v/>
      </c>
      <c r="J199" s="14" t="str">
        <f ca="1">IF(B199="","",COUNTIFS(Server_Inventory!$Z:$Z,B199,Server_Inventory!$P:$P,"R-RETIRED_IN_CMDB"))</f>
        <v/>
      </c>
      <c r="K199" s="14" t="str">
        <f ca="1">IF(B199="","",IFERROR(INDEX(Container_Inventory!$F:$F,MATCH(B199,Container_Inventory!$L:$L,0)),"Not Found"))</f>
        <v/>
      </c>
      <c r="L199" s="14" t="str">
        <f ca="1">IF(B199="","",IF(COUNTIF(Finding_List!$A:$A,B199)&gt;0,"Yes","No"))</f>
        <v/>
      </c>
      <c r="M199" s="14" t="str">
        <f ca="1">IF(B199="","",COUNTIF(Server_Inventory!$Z:$Z,B199))</f>
        <v/>
      </c>
      <c r="N199" s="14" t="str">
        <f ca="1">IF(B199="","",COUNTIF(Container_Inventory!$L:$L,B199))</f>
        <v/>
      </c>
    </row>
    <row r="200" spans="1:14" x14ac:dyDescent="0.2">
      <c r="A200" s="8" t="str">
        <f ca="1">IFERROR(INDEX(All_Risk_Apps!$A$4:$A$1233,_xludf.aggregate(15,6,(ROW(All_Risk_Apps!$A$4:$A$1233)-ROW(All_Risk_Apps!$A$4)+1)/(All_Risk_Apps!$J$4:$J$1233="Fast Follower")*(All_Risk_Apps!$A$4:$A$1233&lt;&gt;""),197)),"")</f>
        <v/>
      </c>
      <c r="B200" s="8" t="str">
        <f ca="1">IFERROR(INDEX(All_Risk_Apps!$B$4:$B$1233,_xludf.aggregate(15,6,(ROW(All_Risk_Apps!$A$4:$A$1233)-ROW(All_Risk_Apps!$A$4)+1)/(All_Risk_Apps!$J$4:$J$1233="Fast Follower")*(All_Risk_Apps!$A$4:$A$1233&lt;&gt;""),197)),"")</f>
        <v/>
      </c>
      <c r="C200" s="8" t="str">
        <f ca="1">IFERROR(INDEX(All_Risk_Apps!$D$4:$D$1233,_xludf.aggregate(15,6,(ROW(All_Risk_Apps!$A$4:$A$1233)-ROW(All_Risk_Apps!$A$4)+1)/(All_Risk_Apps!$J$4:$J$1233="Fast Follower")*(All_Risk_Apps!$A$4:$A$1233&lt;&gt;""),197)),"")</f>
        <v/>
      </c>
      <c r="D200" s="8" t="str">
        <f ca="1">IFERROR(INDEX(All_Risk_Apps!$C$4:$C$1233,_xludf.aggregate(15,6,(ROW(All_Risk_Apps!$A$4:$A$1233)-ROW(All_Risk_Apps!$A$4)+1)/(All_Risk_Apps!$J$4:$J$1233="Fast Follower")*(All_Risk_Apps!$A$4:$A$1233&lt;&gt;""),197)),"")</f>
        <v/>
      </c>
      <c r="E200" s="8" t="str">
        <f ca="1">IFERROR(INDEX(All_Risk_Apps!$E$4:$E$1233,_xludf.aggregate(15,6,(ROW(All_Risk_Apps!$A$4:$A$1233)-ROW(All_Risk_Apps!$A$4)+1)/(All_Risk_Apps!$J$4:$J$1233="Fast Follower")*(All_Risk_Apps!$A$4:$A$1233&lt;&gt;""),197)),"")</f>
        <v/>
      </c>
      <c r="F200" s="8" t="str">
        <f ca="1">IFERROR(INDEX(All_Risk_Apps!$F$4:$F$1233,_xludf.aggregate(15,6,(ROW(All_Risk_Apps!$A$4:$A$1233)-ROW(All_Risk_Apps!$A$4)+1)/(All_Risk_Apps!$J$4:$J$1233="Fast Follower")*(All_Risk_Apps!$A$4:$A$1233&lt;&gt;""),197)),"")</f>
        <v/>
      </c>
      <c r="G200" s="8" t="str">
        <f ca="1">IFERROR(INDEX(All_Risk_Apps!$I$4:$I$1233,_xludf.aggregate(15,6,(ROW(All_Risk_Apps!$A$4:$A$1233)-ROW(All_Risk_Apps!$A$4)+1)/(All_Risk_Apps!$J$4:$J$1233="Fast Follower")*(All_Risk_Apps!$A$4:$A$1233&lt;&gt;""),197)),"")</f>
        <v/>
      </c>
      <c r="H200" s="8" t="str">
        <f ca="1">IF(B200="","",IFERROR(INDEX(Server_Inventory!$R:$R,MATCH(B200,Server_Inventory!$Z:$Z,0)),"Not Found"))</f>
        <v/>
      </c>
      <c r="I200" s="8" t="str">
        <f ca="1">IF(B200="","",IFERROR(INDEX(Server_Inventory!$S:$S,MATCH(B200,Server_Inventory!$Z:$Z,0)),"Not Found"))</f>
        <v/>
      </c>
      <c r="J200" s="8" t="str">
        <f ca="1">IF(B200="","",COUNTIFS(Server_Inventory!$Z:$Z,B200,Server_Inventory!$P:$P,"R-RETIRED_IN_CMDB"))</f>
        <v/>
      </c>
      <c r="K200" s="8" t="str">
        <f ca="1">IF(B200="","",IFERROR(INDEX(Container_Inventory!$F:$F,MATCH(B200,Container_Inventory!$L:$L,0)),"Not Found"))</f>
        <v/>
      </c>
      <c r="L200" s="8" t="str">
        <f ca="1">IF(B200="","",IF(COUNTIF(Finding_List!$A:$A,B200)&gt;0,"Yes","No"))</f>
        <v/>
      </c>
      <c r="M200" s="8" t="str">
        <f ca="1">IF(B200="","",COUNTIF(Server_Inventory!$Z:$Z,B200))</f>
        <v/>
      </c>
      <c r="N200" s="8" t="str">
        <f ca="1">IF(B200="","",COUNTIF(Container_Inventory!$L:$L,B200))</f>
        <v/>
      </c>
    </row>
    <row r="201" spans="1:14" x14ac:dyDescent="0.2">
      <c r="A201" s="14" t="str">
        <f ca="1">IFERROR(INDEX(All_Risk_Apps!$A$4:$A$1233,_xludf.aggregate(15,6,(ROW(All_Risk_Apps!$A$4:$A$1233)-ROW(All_Risk_Apps!$A$4)+1)/(All_Risk_Apps!$J$4:$J$1233="Fast Follower")*(All_Risk_Apps!$A$4:$A$1233&lt;&gt;""),198)),"")</f>
        <v/>
      </c>
      <c r="B201" s="14" t="str">
        <f ca="1">IFERROR(INDEX(All_Risk_Apps!$B$4:$B$1233,_xludf.aggregate(15,6,(ROW(All_Risk_Apps!$A$4:$A$1233)-ROW(All_Risk_Apps!$A$4)+1)/(All_Risk_Apps!$J$4:$J$1233="Fast Follower")*(All_Risk_Apps!$A$4:$A$1233&lt;&gt;""),198)),"")</f>
        <v/>
      </c>
      <c r="C201" s="14" t="str">
        <f ca="1">IFERROR(INDEX(All_Risk_Apps!$D$4:$D$1233,_xludf.aggregate(15,6,(ROW(All_Risk_Apps!$A$4:$A$1233)-ROW(All_Risk_Apps!$A$4)+1)/(All_Risk_Apps!$J$4:$J$1233="Fast Follower")*(All_Risk_Apps!$A$4:$A$1233&lt;&gt;""),198)),"")</f>
        <v/>
      </c>
      <c r="D201" s="14" t="str">
        <f ca="1">IFERROR(INDEX(All_Risk_Apps!$C$4:$C$1233,_xludf.aggregate(15,6,(ROW(All_Risk_Apps!$A$4:$A$1233)-ROW(All_Risk_Apps!$A$4)+1)/(All_Risk_Apps!$J$4:$J$1233="Fast Follower")*(All_Risk_Apps!$A$4:$A$1233&lt;&gt;""),198)),"")</f>
        <v/>
      </c>
      <c r="E201" s="14" t="str">
        <f ca="1">IFERROR(INDEX(All_Risk_Apps!$E$4:$E$1233,_xludf.aggregate(15,6,(ROW(All_Risk_Apps!$A$4:$A$1233)-ROW(All_Risk_Apps!$A$4)+1)/(All_Risk_Apps!$J$4:$J$1233="Fast Follower")*(All_Risk_Apps!$A$4:$A$1233&lt;&gt;""),198)),"")</f>
        <v/>
      </c>
      <c r="F201" s="14" t="str">
        <f ca="1">IFERROR(INDEX(All_Risk_Apps!$F$4:$F$1233,_xludf.aggregate(15,6,(ROW(All_Risk_Apps!$A$4:$A$1233)-ROW(All_Risk_Apps!$A$4)+1)/(All_Risk_Apps!$J$4:$J$1233="Fast Follower")*(All_Risk_Apps!$A$4:$A$1233&lt;&gt;""),198)),"")</f>
        <v/>
      </c>
      <c r="G201" s="14" t="str">
        <f ca="1">IFERROR(INDEX(All_Risk_Apps!$I$4:$I$1233,_xludf.aggregate(15,6,(ROW(All_Risk_Apps!$A$4:$A$1233)-ROW(All_Risk_Apps!$A$4)+1)/(All_Risk_Apps!$J$4:$J$1233="Fast Follower")*(All_Risk_Apps!$A$4:$A$1233&lt;&gt;""),198)),"")</f>
        <v/>
      </c>
      <c r="H201" s="14" t="str">
        <f ca="1">IF(B201="","",IFERROR(INDEX(Server_Inventory!$R:$R,MATCH(B201,Server_Inventory!$Z:$Z,0)),"Not Found"))</f>
        <v/>
      </c>
      <c r="I201" s="14" t="str">
        <f ca="1">IF(B201="","",IFERROR(INDEX(Server_Inventory!$S:$S,MATCH(B201,Server_Inventory!$Z:$Z,0)),"Not Found"))</f>
        <v/>
      </c>
      <c r="J201" s="14" t="str">
        <f ca="1">IF(B201="","",COUNTIFS(Server_Inventory!$Z:$Z,B201,Server_Inventory!$P:$P,"R-RETIRED_IN_CMDB"))</f>
        <v/>
      </c>
      <c r="K201" s="14" t="str">
        <f ca="1">IF(B201="","",IFERROR(INDEX(Container_Inventory!$F:$F,MATCH(B201,Container_Inventory!$L:$L,0)),"Not Found"))</f>
        <v/>
      </c>
      <c r="L201" s="14" t="str">
        <f ca="1">IF(B201="","",IF(COUNTIF(Finding_List!$A:$A,B201)&gt;0,"Yes","No"))</f>
        <v/>
      </c>
      <c r="M201" s="14" t="str">
        <f ca="1">IF(B201="","",COUNTIF(Server_Inventory!$Z:$Z,B201))</f>
        <v/>
      </c>
      <c r="N201" s="14" t="str">
        <f ca="1">IF(B201="","",COUNTIF(Container_Inventory!$L:$L,B201))</f>
        <v/>
      </c>
    </row>
    <row r="202" spans="1:14" x14ac:dyDescent="0.2">
      <c r="A202" s="8" t="str">
        <f ca="1">IFERROR(INDEX(All_Risk_Apps!$A$4:$A$1233,_xludf.aggregate(15,6,(ROW(All_Risk_Apps!$A$4:$A$1233)-ROW(All_Risk_Apps!$A$4)+1)/(All_Risk_Apps!$J$4:$J$1233="Fast Follower")*(All_Risk_Apps!$A$4:$A$1233&lt;&gt;""),199)),"")</f>
        <v/>
      </c>
      <c r="B202" s="8" t="str">
        <f ca="1">IFERROR(INDEX(All_Risk_Apps!$B$4:$B$1233,_xludf.aggregate(15,6,(ROW(All_Risk_Apps!$A$4:$A$1233)-ROW(All_Risk_Apps!$A$4)+1)/(All_Risk_Apps!$J$4:$J$1233="Fast Follower")*(All_Risk_Apps!$A$4:$A$1233&lt;&gt;""),199)),"")</f>
        <v/>
      </c>
      <c r="C202" s="8" t="str">
        <f ca="1">IFERROR(INDEX(All_Risk_Apps!$D$4:$D$1233,_xludf.aggregate(15,6,(ROW(All_Risk_Apps!$A$4:$A$1233)-ROW(All_Risk_Apps!$A$4)+1)/(All_Risk_Apps!$J$4:$J$1233="Fast Follower")*(All_Risk_Apps!$A$4:$A$1233&lt;&gt;""),199)),"")</f>
        <v/>
      </c>
      <c r="D202" s="8" t="str">
        <f ca="1">IFERROR(INDEX(All_Risk_Apps!$C$4:$C$1233,_xludf.aggregate(15,6,(ROW(All_Risk_Apps!$A$4:$A$1233)-ROW(All_Risk_Apps!$A$4)+1)/(All_Risk_Apps!$J$4:$J$1233="Fast Follower")*(All_Risk_Apps!$A$4:$A$1233&lt;&gt;""),199)),"")</f>
        <v/>
      </c>
      <c r="E202" s="8" t="str">
        <f ca="1">IFERROR(INDEX(All_Risk_Apps!$E$4:$E$1233,_xludf.aggregate(15,6,(ROW(All_Risk_Apps!$A$4:$A$1233)-ROW(All_Risk_Apps!$A$4)+1)/(All_Risk_Apps!$J$4:$J$1233="Fast Follower")*(All_Risk_Apps!$A$4:$A$1233&lt;&gt;""),199)),"")</f>
        <v/>
      </c>
      <c r="F202" s="8" t="str">
        <f ca="1">IFERROR(INDEX(All_Risk_Apps!$F$4:$F$1233,_xludf.aggregate(15,6,(ROW(All_Risk_Apps!$A$4:$A$1233)-ROW(All_Risk_Apps!$A$4)+1)/(All_Risk_Apps!$J$4:$J$1233="Fast Follower")*(All_Risk_Apps!$A$4:$A$1233&lt;&gt;""),199)),"")</f>
        <v/>
      </c>
      <c r="G202" s="8" t="str">
        <f ca="1">IFERROR(INDEX(All_Risk_Apps!$I$4:$I$1233,_xludf.aggregate(15,6,(ROW(All_Risk_Apps!$A$4:$A$1233)-ROW(All_Risk_Apps!$A$4)+1)/(All_Risk_Apps!$J$4:$J$1233="Fast Follower")*(All_Risk_Apps!$A$4:$A$1233&lt;&gt;""),199)),"")</f>
        <v/>
      </c>
      <c r="H202" s="8" t="str">
        <f ca="1">IF(B202="","",IFERROR(INDEX(Server_Inventory!$R:$R,MATCH(B202,Server_Inventory!$Z:$Z,0)),"Not Found"))</f>
        <v/>
      </c>
      <c r="I202" s="8" t="str">
        <f ca="1">IF(B202="","",IFERROR(INDEX(Server_Inventory!$S:$S,MATCH(B202,Server_Inventory!$Z:$Z,0)),"Not Found"))</f>
        <v/>
      </c>
      <c r="J202" s="8" t="str">
        <f ca="1">IF(B202="","",COUNTIFS(Server_Inventory!$Z:$Z,B202,Server_Inventory!$P:$P,"R-RETIRED_IN_CMDB"))</f>
        <v/>
      </c>
      <c r="K202" s="8" t="str">
        <f ca="1">IF(B202="","",IFERROR(INDEX(Container_Inventory!$F:$F,MATCH(B202,Container_Inventory!$L:$L,0)),"Not Found"))</f>
        <v/>
      </c>
      <c r="L202" s="8" t="str">
        <f ca="1">IF(B202="","",IF(COUNTIF(Finding_List!$A:$A,B202)&gt;0,"Yes","No"))</f>
        <v/>
      </c>
      <c r="M202" s="8" t="str">
        <f ca="1">IF(B202="","",COUNTIF(Server_Inventory!$Z:$Z,B202))</f>
        <v/>
      </c>
      <c r="N202" s="8" t="str">
        <f ca="1">IF(B202="","",COUNTIF(Container_Inventory!$L:$L,B202))</f>
        <v/>
      </c>
    </row>
    <row r="203" spans="1:14" x14ac:dyDescent="0.2">
      <c r="A203" s="14" t="str">
        <f ca="1">IFERROR(INDEX(All_Risk_Apps!$A$4:$A$1233,_xludf.aggregate(15,6,(ROW(All_Risk_Apps!$A$4:$A$1233)-ROW(All_Risk_Apps!$A$4)+1)/(All_Risk_Apps!$J$4:$J$1233="Fast Follower")*(All_Risk_Apps!$A$4:$A$1233&lt;&gt;""),200)),"")</f>
        <v/>
      </c>
      <c r="B203" s="14" t="str">
        <f ca="1">IFERROR(INDEX(All_Risk_Apps!$B$4:$B$1233,_xludf.aggregate(15,6,(ROW(All_Risk_Apps!$A$4:$A$1233)-ROW(All_Risk_Apps!$A$4)+1)/(All_Risk_Apps!$J$4:$J$1233="Fast Follower")*(All_Risk_Apps!$A$4:$A$1233&lt;&gt;""),200)),"")</f>
        <v/>
      </c>
      <c r="C203" s="14" t="str">
        <f ca="1">IFERROR(INDEX(All_Risk_Apps!$D$4:$D$1233,_xludf.aggregate(15,6,(ROW(All_Risk_Apps!$A$4:$A$1233)-ROW(All_Risk_Apps!$A$4)+1)/(All_Risk_Apps!$J$4:$J$1233="Fast Follower")*(All_Risk_Apps!$A$4:$A$1233&lt;&gt;""),200)),"")</f>
        <v/>
      </c>
      <c r="D203" s="14" t="str">
        <f ca="1">IFERROR(INDEX(All_Risk_Apps!$C$4:$C$1233,_xludf.aggregate(15,6,(ROW(All_Risk_Apps!$A$4:$A$1233)-ROW(All_Risk_Apps!$A$4)+1)/(All_Risk_Apps!$J$4:$J$1233="Fast Follower")*(All_Risk_Apps!$A$4:$A$1233&lt;&gt;""),200)),"")</f>
        <v/>
      </c>
      <c r="E203" s="14" t="str">
        <f ca="1">IFERROR(INDEX(All_Risk_Apps!$E$4:$E$1233,_xludf.aggregate(15,6,(ROW(All_Risk_Apps!$A$4:$A$1233)-ROW(All_Risk_Apps!$A$4)+1)/(All_Risk_Apps!$J$4:$J$1233="Fast Follower")*(All_Risk_Apps!$A$4:$A$1233&lt;&gt;""),200)),"")</f>
        <v/>
      </c>
      <c r="F203" s="14" t="str">
        <f ca="1">IFERROR(INDEX(All_Risk_Apps!$F$4:$F$1233,_xludf.aggregate(15,6,(ROW(All_Risk_Apps!$A$4:$A$1233)-ROW(All_Risk_Apps!$A$4)+1)/(All_Risk_Apps!$J$4:$J$1233="Fast Follower")*(All_Risk_Apps!$A$4:$A$1233&lt;&gt;""),200)),"")</f>
        <v/>
      </c>
      <c r="G203" s="14" t="str">
        <f ca="1">IFERROR(INDEX(All_Risk_Apps!$I$4:$I$1233,_xludf.aggregate(15,6,(ROW(All_Risk_Apps!$A$4:$A$1233)-ROW(All_Risk_Apps!$A$4)+1)/(All_Risk_Apps!$J$4:$J$1233="Fast Follower")*(All_Risk_Apps!$A$4:$A$1233&lt;&gt;""),200)),"")</f>
        <v/>
      </c>
      <c r="H203" s="14" t="str">
        <f ca="1">IF(B203="","",IFERROR(INDEX(Server_Inventory!$R:$R,MATCH(B203,Server_Inventory!$Z:$Z,0)),"Not Found"))</f>
        <v/>
      </c>
      <c r="I203" s="14" t="str">
        <f ca="1">IF(B203="","",IFERROR(INDEX(Server_Inventory!$S:$S,MATCH(B203,Server_Inventory!$Z:$Z,0)),"Not Found"))</f>
        <v/>
      </c>
      <c r="J203" s="14" t="str">
        <f ca="1">IF(B203="","",COUNTIFS(Server_Inventory!$Z:$Z,B203,Server_Inventory!$P:$P,"R-RETIRED_IN_CMDB"))</f>
        <v/>
      </c>
      <c r="K203" s="14" t="str">
        <f ca="1">IF(B203="","",IFERROR(INDEX(Container_Inventory!$F:$F,MATCH(B203,Container_Inventory!$L:$L,0)),"Not Found"))</f>
        <v/>
      </c>
      <c r="L203" s="14" t="str">
        <f ca="1">IF(B203="","",IF(COUNTIF(Finding_List!$A:$A,B203)&gt;0,"Yes","No"))</f>
        <v/>
      </c>
      <c r="M203" s="14" t="str">
        <f ca="1">IF(B203="","",COUNTIF(Server_Inventory!$Z:$Z,B203))</f>
        <v/>
      </c>
      <c r="N203" s="14" t="str">
        <f ca="1">IF(B203="","",COUNTIF(Container_Inventory!$L:$L,B203))</f>
        <v/>
      </c>
    </row>
  </sheetData>
  <mergeCells count="2">
    <mergeCell ref="A1:N1"/>
    <mergeCell ref="A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002"/>
  <sheetViews>
    <sheetView showGridLines="0" tabSelected="1" zoomScaleNormal="100" workbookViewId="0">
      <selection sqref="A1:Z1"/>
    </sheetView>
  </sheetViews>
  <sheetFormatPr baseColWidth="10" defaultColWidth="8.6640625" defaultRowHeight="15" x14ac:dyDescent="0.2"/>
  <cols>
    <col min="11" max="11" width="30" customWidth="1"/>
    <col min="16" max="16" width="24" customWidth="1"/>
    <col min="18" max="18" width="20" customWidth="1"/>
    <col min="19" max="19" width="16" customWidth="1"/>
    <col min="26" max="26" width="18" customWidth="1"/>
  </cols>
  <sheetData>
    <row r="1" spans="1:26" ht="27.75" customHeight="1" x14ac:dyDescent="0.2">
      <c r="A1" s="22" t="s">
        <v>60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39.75" customHeight="1" x14ac:dyDescent="0.2">
      <c r="K2" s="15" t="s">
        <v>61</v>
      </c>
      <c r="P2" s="15" t="s">
        <v>62</v>
      </c>
      <c r="R2" s="15" t="s">
        <v>63</v>
      </c>
      <c r="S2" s="15" t="s">
        <v>64</v>
      </c>
      <c r="Z2" s="16" t="s">
        <v>65</v>
      </c>
    </row>
    <row r="3" spans="1:26" x14ac:dyDescent="0.2">
      <c r="A3" s="23" t="s">
        <v>66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t="str">
        <f t="shared" ref="Z3:Z66" si="0">IF(K3="","",IFERROR(VALUE(TRIM(MID(K3,FIND(CHAR(167),SUBSTITUTE(K3,"-",CHAR(167),LEN(K3)-LEN(SUBSTITUTE(K3,"-",""))))+1,100))),K3))</f>
        <v/>
      </c>
    </row>
    <row r="4" spans="1:26" x14ac:dyDescent="0.2">
      <c r="Z4" t="str">
        <f t="shared" si="0"/>
        <v/>
      </c>
    </row>
    <row r="5" spans="1:26" x14ac:dyDescent="0.2">
      <c r="Z5" t="str">
        <f t="shared" si="0"/>
        <v/>
      </c>
    </row>
    <row r="6" spans="1:26" x14ac:dyDescent="0.2">
      <c r="Z6" t="str">
        <f t="shared" si="0"/>
        <v/>
      </c>
    </row>
    <row r="7" spans="1:26" x14ac:dyDescent="0.2">
      <c r="Z7" t="str">
        <f t="shared" si="0"/>
        <v/>
      </c>
    </row>
    <row r="8" spans="1:26" x14ac:dyDescent="0.2">
      <c r="Z8" t="str">
        <f t="shared" si="0"/>
        <v/>
      </c>
    </row>
    <row r="9" spans="1:26" x14ac:dyDescent="0.2">
      <c r="Z9" t="str">
        <f t="shared" si="0"/>
        <v/>
      </c>
    </row>
    <row r="10" spans="1:26" x14ac:dyDescent="0.2">
      <c r="Z10" t="str">
        <f t="shared" si="0"/>
        <v/>
      </c>
    </row>
    <row r="11" spans="1:26" x14ac:dyDescent="0.2">
      <c r="Z11" t="str">
        <f t="shared" si="0"/>
        <v/>
      </c>
    </row>
    <row r="12" spans="1:26" x14ac:dyDescent="0.2">
      <c r="Z12" t="str">
        <f t="shared" si="0"/>
        <v/>
      </c>
    </row>
    <row r="13" spans="1:26" x14ac:dyDescent="0.2">
      <c r="Z13" t="str">
        <f t="shared" si="0"/>
        <v/>
      </c>
    </row>
    <row r="14" spans="1:26" x14ac:dyDescent="0.2">
      <c r="Z14" t="str">
        <f t="shared" si="0"/>
        <v/>
      </c>
    </row>
    <row r="15" spans="1:26" x14ac:dyDescent="0.2">
      <c r="Z15" t="str">
        <f t="shared" si="0"/>
        <v/>
      </c>
    </row>
    <row r="16" spans="1:26" x14ac:dyDescent="0.2">
      <c r="Z16" t="str">
        <f t="shared" si="0"/>
        <v/>
      </c>
    </row>
    <row r="17" spans="26:26" x14ac:dyDescent="0.2">
      <c r="Z17" t="str">
        <f t="shared" si="0"/>
        <v/>
      </c>
    </row>
    <row r="18" spans="26:26" x14ac:dyDescent="0.2">
      <c r="Z18" t="str">
        <f t="shared" si="0"/>
        <v/>
      </c>
    </row>
    <row r="19" spans="26:26" x14ac:dyDescent="0.2">
      <c r="Z19" t="str">
        <f t="shared" si="0"/>
        <v/>
      </c>
    </row>
    <row r="20" spans="26:26" x14ac:dyDescent="0.2">
      <c r="Z20" t="str">
        <f t="shared" si="0"/>
        <v/>
      </c>
    </row>
    <row r="21" spans="26:26" x14ac:dyDescent="0.2">
      <c r="Z21" t="str">
        <f t="shared" si="0"/>
        <v/>
      </c>
    </row>
    <row r="22" spans="26:26" x14ac:dyDescent="0.2">
      <c r="Z22" t="str">
        <f t="shared" si="0"/>
        <v/>
      </c>
    </row>
    <row r="23" spans="26:26" x14ac:dyDescent="0.2">
      <c r="Z23" t="str">
        <f t="shared" si="0"/>
        <v/>
      </c>
    </row>
    <row r="24" spans="26:26" x14ac:dyDescent="0.2">
      <c r="Z24" t="str">
        <f t="shared" si="0"/>
        <v/>
      </c>
    </row>
    <row r="25" spans="26:26" x14ac:dyDescent="0.2">
      <c r="Z25" t="str">
        <f t="shared" si="0"/>
        <v/>
      </c>
    </row>
    <row r="26" spans="26:26" x14ac:dyDescent="0.2">
      <c r="Z26" t="str">
        <f t="shared" si="0"/>
        <v/>
      </c>
    </row>
    <row r="27" spans="26:26" x14ac:dyDescent="0.2">
      <c r="Z27" t="str">
        <f t="shared" si="0"/>
        <v/>
      </c>
    </row>
    <row r="28" spans="26:26" x14ac:dyDescent="0.2">
      <c r="Z28" t="str">
        <f t="shared" si="0"/>
        <v/>
      </c>
    </row>
    <row r="29" spans="26:26" x14ac:dyDescent="0.2">
      <c r="Z29" t="str">
        <f t="shared" si="0"/>
        <v/>
      </c>
    </row>
    <row r="30" spans="26:26" x14ac:dyDescent="0.2">
      <c r="Z30" t="str">
        <f t="shared" si="0"/>
        <v/>
      </c>
    </row>
    <row r="31" spans="26:26" x14ac:dyDescent="0.2">
      <c r="Z31" t="str">
        <f t="shared" si="0"/>
        <v/>
      </c>
    </row>
    <row r="32" spans="26:26" x14ac:dyDescent="0.2">
      <c r="Z32" t="str">
        <f t="shared" si="0"/>
        <v/>
      </c>
    </row>
    <row r="33" spans="26:26" x14ac:dyDescent="0.2">
      <c r="Z33" t="str">
        <f t="shared" si="0"/>
        <v/>
      </c>
    </row>
    <row r="34" spans="26:26" x14ac:dyDescent="0.2">
      <c r="Z34" t="str">
        <f t="shared" si="0"/>
        <v/>
      </c>
    </row>
    <row r="35" spans="26:26" x14ac:dyDescent="0.2">
      <c r="Z35" t="str">
        <f t="shared" si="0"/>
        <v/>
      </c>
    </row>
    <row r="36" spans="26:26" x14ac:dyDescent="0.2">
      <c r="Z36" t="str">
        <f t="shared" si="0"/>
        <v/>
      </c>
    </row>
    <row r="37" spans="26:26" x14ac:dyDescent="0.2">
      <c r="Z37" t="str">
        <f t="shared" si="0"/>
        <v/>
      </c>
    </row>
    <row r="38" spans="26:26" x14ac:dyDescent="0.2">
      <c r="Z38" t="str">
        <f t="shared" si="0"/>
        <v/>
      </c>
    </row>
    <row r="39" spans="26:26" x14ac:dyDescent="0.2">
      <c r="Z39" t="str">
        <f t="shared" si="0"/>
        <v/>
      </c>
    </row>
    <row r="40" spans="26:26" x14ac:dyDescent="0.2">
      <c r="Z40" t="str">
        <f t="shared" si="0"/>
        <v/>
      </c>
    </row>
    <row r="41" spans="26:26" x14ac:dyDescent="0.2">
      <c r="Z41" t="str">
        <f t="shared" si="0"/>
        <v/>
      </c>
    </row>
    <row r="42" spans="26:26" x14ac:dyDescent="0.2">
      <c r="Z42" t="str">
        <f t="shared" si="0"/>
        <v/>
      </c>
    </row>
    <row r="43" spans="26:26" x14ac:dyDescent="0.2">
      <c r="Z43" t="str">
        <f t="shared" si="0"/>
        <v/>
      </c>
    </row>
    <row r="44" spans="26:26" x14ac:dyDescent="0.2">
      <c r="Z44" t="str">
        <f t="shared" si="0"/>
        <v/>
      </c>
    </row>
    <row r="45" spans="26:26" x14ac:dyDescent="0.2">
      <c r="Z45" t="str">
        <f t="shared" si="0"/>
        <v/>
      </c>
    </row>
    <row r="46" spans="26:26" x14ac:dyDescent="0.2">
      <c r="Z46" t="str">
        <f t="shared" si="0"/>
        <v/>
      </c>
    </row>
    <row r="47" spans="26:26" x14ac:dyDescent="0.2">
      <c r="Z47" t="str">
        <f t="shared" si="0"/>
        <v/>
      </c>
    </row>
    <row r="48" spans="26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ref="Z67:Z130" si="1">IF(K67="","",IFERROR(VALUE(TRIM(MID(K67,FIND(CHAR(167),SUBSTITUTE(K67,"-",CHAR(167),LEN(K67)-LEN(SUBSTITUTE(K67,"-",""))))+1,100))),K67))</f>
        <v/>
      </c>
    </row>
    <row r="68" spans="26:26" x14ac:dyDescent="0.2">
      <c r="Z68" t="str">
        <f t="shared" si="1"/>
        <v/>
      </c>
    </row>
    <row r="69" spans="26:26" x14ac:dyDescent="0.2">
      <c r="Z69" t="str">
        <f t="shared" si="1"/>
        <v/>
      </c>
    </row>
    <row r="70" spans="26:26" x14ac:dyDescent="0.2">
      <c r="Z70" t="str">
        <f t="shared" si="1"/>
        <v/>
      </c>
    </row>
    <row r="71" spans="26:26" x14ac:dyDescent="0.2">
      <c r="Z71" t="str">
        <f t="shared" si="1"/>
        <v/>
      </c>
    </row>
    <row r="72" spans="26:26" x14ac:dyDescent="0.2">
      <c r="Z72" t="str">
        <f t="shared" si="1"/>
        <v/>
      </c>
    </row>
    <row r="73" spans="26:26" x14ac:dyDescent="0.2">
      <c r="Z73" t="str">
        <f t="shared" si="1"/>
        <v/>
      </c>
    </row>
    <row r="74" spans="26:26" x14ac:dyDescent="0.2">
      <c r="Z74" t="str">
        <f t="shared" si="1"/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ref="Z131:Z194" si="2">IF(K131="","",IFERROR(VALUE(TRIM(MID(K131,FIND(CHAR(167),SUBSTITUTE(K131,"-",CHAR(167),LEN(K131)-LEN(SUBSTITUTE(K131,"-",""))))+1,100))),K131))</f>
        <v/>
      </c>
    </row>
    <row r="132" spans="26:26" x14ac:dyDescent="0.2">
      <c r="Z132" t="str">
        <f t="shared" si="2"/>
        <v/>
      </c>
    </row>
    <row r="133" spans="26:26" x14ac:dyDescent="0.2">
      <c r="Z133" t="str">
        <f t="shared" si="2"/>
        <v/>
      </c>
    </row>
    <row r="134" spans="26:26" x14ac:dyDescent="0.2">
      <c r="Z134" t="str">
        <f t="shared" si="2"/>
        <v/>
      </c>
    </row>
    <row r="135" spans="26:26" x14ac:dyDescent="0.2">
      <c r="Z135" t="str">
        <f t="shared" si="2"/>
        <v/>
      </c>
    </row>
    <row r="136" spans="26:26" x14ac:dyDescent="0.2">
      <c r="Z136" t="str">
        <f t="shared" si="2"/>
        <v/>
      </c>
    </row>
    <row r="137" spans="26:26" x14ac:dyDescent="0.2">
      <c r="Z137" t="str">
        <f t="shared" si="2"/>
        <v/>
      </c>
    </row>
    <row r="138" spans="26:26" x14ac:dyDescent="0.2">
      <c r="Z138" t="str">
        <f t="shared" si="2"/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ref="Z195:Z258" si="3">IF(K195="","",IFERROR(VALUE(TRIM(MID(K195,FIND(CHAR(167),SUBSTITUTE(K195,"-",CHAR(167),LEN(K195)-LEN(SUBSTITUTE(K195,"-",""))))+1,100))),K195))</f>
        <v/>
      </c>
    </row>
    <row r="196" spans="26:26" x14ac:dyDescent="0.2">
      <c r="Z196" t="str">
        <f t="shared" si="3"/>
        <v/>
      </c>
    </row>
    <row r="197" spans="26:26" x14ac:dyDescent="0.2">
      <c r="Z197" t="str">
        <f t="shared" si="3"/>
        <v/>
      </c>
    </row>
    <row r="198" spans="26:26" x14ac:dyDescent="0.2">
      <c r="Z198" t="str">
        <f t="shared" si="3"/>
        <v/>
      </c>
    </row>
    <row r="199" spans="26:26" x14ac:dyDescent="0.2">
      <c r="Z199" t="str">
        <f t="shared" si="3"/>
        <v/>
      </c>
    </row>
    <row r="200" spans="26:26" x14ac:dyDescent="0.2">
      <c r="Z200" t="str">
        <f t="shared" si="3"/>
        <v/>
      </c>
    </row>
    <row r="201" spans="26:26" x14ac:dyDescent="0.2">
      <c r="Z201" t="str">
        <f t="shared" si="3"/>
        <v/>
      </c>
    </row>
    <row r="202" spans="26:26" x14ac:dyDescent="0.2">
      <c r="Z202" t="str">
        <f t="shared" si="3"/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ref="Z259:Z322" si="4">IF(K259="","",IFERROR(VALUE(TRIM(MID(K259,FIND(CHAR(167),SUBSTITUTE(K259,"-",CHAR(167),LEN(K259)-LEN(SUBSTITUTE(K259,"-",""))))+1,100))),K259))</f>
        <v/>
      </c>
    </row>
    <row r="260" spans="26:26" x14ac:dyDescent="0.2">
      <c r="Z260" t="str">
        <f t="shared" si="4"/>
        <v/>
      </c>
    </row>
    <row r="261" spans="26:26" x14ac:dyDescent="0.2">
      <c r="Z261" t="str">
        <f t="shared" si="4"/>
        <v/>
      </c>
    </row>
    <row r="262" spans="26:26" x14ac:dyDescent="0.2">
      <c r="Z262" t="str">
        <f t="shared" si="4"/>
        <v/>
      </c>
    </row>
    <row r="263" spans="26:26" x14ac:dyDescent="0.2">
      <c r="Z263" t="str">
        <f t="shared" si="4"/>
        <v/>
      </c>
    </row>
    <row r="264" spans="26:26" x14ac:dyDescent="0.2">
      <c r="Z264" t="str">
        <f t="shared" si="4"/>
        <v/>
      </c>
    </row>
    <row r="265" spans="26:26" x14ac:dyDescent="0.2">
      <c r="Z265" t="str">
        <f t="shared" si="4"/>
        <v/>
      </c>
    </row>
    <row r="266" spans="26:26" x14ac:dyDescent="0.2">
      <c r="Z266" t="str">
        <f t="shared" si="4"/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ref="Z323:Z386" si="5">IF(K323="","",IFERROR(VALUE(TRIM(MID(K323,FIND(CHAR(167),SUBSTITUTE(K323,"-",CHAR(167),LEN(K323)-LEN(SUBSTITUTE(K323,"-",""))))+1,100))),K323))</f>
        <v/>
      </c>
    </row>
    <row r="324" spans="26:26" x14ac:dyDescent="0.2">
      <c r="Z324" t="str">
        <f t="shared" si="5"/>
        <v/>
      </c>
    </row>
    <row r="325" spans="26:26" x14ac:dyDescent="0.2">
      <c r="Z325" t="str">
        <f t="shared" si="5"/>
        <v/>
      </c>
    </row>
    <row r="326" spans="26:26" x14ac:dyDescent="0.2">
      <c r="Z326" t="str">
        <f t="shared" si="5"/>
        <v/>
      </c>
    </row>
    <row r="327" spans="26:26" x14ac:dyDescent="0.2">
      <c r="Z327" t="str">
        <f t="shared" si="5"/>
        <v/>
      </c>
    </row>
    <row r="328" spans="26:26" x14ac:dyDescent="0.2">
      <c r="Z328" t="str">
        <f t="shared" si="5"/>
        <v/>
      </c>
    </row>
    <row r="329" spans="26:26" x14ac:dyDescent="0.2">
      <c r="Z329" t="str">
        <f t="shared" si="5"/>
        <v/>
      </c>
    </row>
    <row r="330" spans="26:26" x14ac:dyDescent="0.2">
      <c r="Z330" t="str">
        <f t="shared" si="5"/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ref="Z387:Z450" si="6">IF(K387="","",IFERROR(VALUE(TRIM(MID(K387,FIND(CHAR(167),SUBSTITUTE(K387,"-",CHAR(167),LEN(K387)-LEN(SUBSTITUTE(K387,"-",""))))+1,100))),K387))</f>
        <v/>
      </c>
    </row>
    <row r="388" spans="26:26" x14ac:dyDescent="0.2">
      <c r="Z388" t="str">
        <f t="shared" si="6"/>
        <v/>
      </c>
    </row>
    <row r="389" spans="26:26" x14ac:dyDescent="0.2">
      <c r="Z389" t="str">
        <f t="shared" si="6"/>
        <v/>
      </c>
    </row>
    <row r="390" spans="26:26" x14ac:dyDescent="0.2">
      <c r="Z390" t="str">
        <f t="shared" si="6"/>
        <v/>
      </c>
    </row>
    <row r="391" spans="26:26" x14ac:dyDescent="0.2">
      <c r="Z391" t="str">
        <f t="shared" si="6"/>
        <v/>
      </c>
    </row>
    <row r="392" spans="26:26" x14ac:dyDescent="0.2">
      <c r="Z392" t="str">
        <f t="shared" si="6"/>
        <v/>
      </c>
    </row>
    <row r="393" spans="26:26" x14ac:dyDescent="0.2">
      <c r="Z393" t="str">
        <f t="shared" si="6"/>
        <v/>
      </c>
    </row>
    <row r="394" spans="26:26" x14ac:dyDescent="0.2">
      <c r="Z394" t="str">
        <f t="shared" si="6"/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ref="Z451:Z514" si="7">IF(K451="","",IFERROR(VALUE(TRIM(MID(K451,FIND(CHAR(167),SUBSTITUTE(K451,"-",CHAR(167),LEN(K451)-LEN(SUBSTITUTE(K451,"-",""))))+1,100))),K451))</f>
        <v/>
      </c>
    </row>
    <row r="452" spans="26:26" x14ac:dyDescent="0.2">
      <c r="Z452" t="str">
        <f t="shared" si="7"/>
        <v/>
      </c>
    </row>
    <row r="453" spans="26:26" x14ac:dyDescent="0.2">
      <c r="Z453" t="str">
        <f t="shared" si="7"/>
        <v/>
      </c>
    </row>
    <row r="454" spans="26:26" x14ac:dyDescent="0.2">
      <c r="Z454" t="str">
        <f t="shared" si="7"/>
        <v/>
      </c>
    </row>
    <row r="455" spans="26:26" x14ac:dyDescent="0.2">
      <c r="Z455" t="str">
        <f t="shared" si="7"/>
        <v/>
      </c>
    </row>
    <row r="456" spans="26:26" x14ac:dyDescent="0.2">
      <c r="Z456" t="str">
        <f t="shared" si="7"/>
        <v/>
      </c>
    </row>
    <row r="457" spans="26:26" x14ac:dyDescent="0.2">
      <c r="Z457" t="str">
        <f t="shared" si="7"/>
        <v/>
      </c>
    </row>
    <row r="458" spans="26:26" x14ac:dyDescent="0.2">
      <c r="Z458" t="str">
        <f t="shared" si="7"/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ref="Z515:Z578" si="8">IF(K515="","",IFERROR(VALUE(TRIM(MID(K515,FIND(CHAR(167),SUBSTITUTE(K515,"-",CHAR(167),LEN(K515)-LEN(SUBSTITUTE(K515,"-",""))))+1,100))),K515))</f>
        <v/>
      </c>
    </row>
    <row r="516" spans="26:26" x14ac:dyDescent="0.2">
      <c r="Z516" t="str">
        <f t="shared" si="8"/>
        <v/>
      </c>
    </row>
    <row r="517" spans="26:26" x14ac:dyDescent="0.2">
      <c r="Z517" t="str">
        <f t="shared" si="8"/>
        <v/>
      </c>
    </row>
    <row r="518" spans="26:26" x14ac:dyDescent="0.2">
      <c r="Z518" t="str">
        <f t="shared" si="8"/>
        <v/>
      </c>
    </row>
    <row r="519" spans="26:26" x14ac:dyDescent="0.2">
      <c r="Z519" t="str">
        <f t="shared" si="8"/>
        <v/>
      </c>
    </row>
    <row r="520" spans="26:26" x14ac:dyDescent="0.2">
      <c r="Z520" t="str">
        <f t="shared" si="8"/>
        <v/>
      </c>
    </row>
    <row r="521" spans="26:26" x14ac:dyDescent="0.2">
      <c r="Z521" t="str">
        <f t="shared" si="8"/>
        <v/>
      </c>
    </row>
    <row r="522" spans="26:26" x14ac:dyDescent="0.2">
      <c r="Z522" t="str">
        <f t="shared" si="8"/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ref="Z579:Z642" si="9">IF(K579="","",IFERROR(VALUE(TRIM(MID(K579,FIND(CHAR(167),SUBSTITUTE(K579,"-",CHAR(167),LEN(K579)-LEN(SUBSTITUTE(K579,"-",""))))+1,100))),K579))</f>
        <v/>
      </c>
    </row>
    <row r="580" spans="26:26" x14ac:dyDescent="0.2">
      <c r="Z580" t="str">
        <f t="shared" si="9"/>
        <v/>
      </c>
    </row>
    <row r="581" spans="26:26" x14ac:dyDescent="0.2">
      <c r="Z581" t="str">
        <f t="shared" si="9"/>
        <v/>
      </c>
    </row>
    <row r="582" spans="26:26" x14ac:dyDescent="0.2">
      <c r="Z582" t="str">
        <f t="shared" si="9"/>
        <v/>
      </c>
    </row>
    <row r="583" spans="26:26" x14ac:dyDescent="0.2">
      <c r="Z583" t="str">
        <f t="shared" si="9"/>
        <v/>
      </c>
    </row>
    <row r="584" spans="26:26" x14ac:dyDescent="0.2">
      <c r="Z584" t="str">
        <f t="shared" si="9"/>
        <v/>
      </c>
    </row>
    <row r="585" spans="26:26" x14ac:dyDescent="0.2">
      <c r="Z585" t="str">
        <f t="shared" si="9"/>
        <v/>
      </c>
    </row>
    <row r="586" spans="26:26" x14ac:dyDescent="0.2">
      <c r="Z586" t="str">
        <f t="shared" si="9"/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ref="Z643:Z706" si="10">IF(K643="","",IFERROR(VALUE(TRIM(MID(K643,FIND(CHAR(167),SUBSTITUTE(K643,"-",CHAR(167),LEN(K643)-LEN(SUBSTITUTE(K643,"-",""))))+1,100))),K643))</f>
        <v/>
      </c>
    </row>
    <row r="644" spans="26:26" x14ac:dyDescent="0.2">
      <c r="Z644" t="str">
        <f t="shared" si="10"/>
        <v/>
      </c>
    </row>
    <row r="645" spans="26:26" x14ac:dyDescent="0.2">
      <c r="Z645" t="str">
        <f t="shared" si="10"/>
        <v/>
      </c>
    </row>
    <row r="646" spans="26:26" x14ac:dyDescent="0.2">
      <c r="Z646" t="str">
        <f t="shared" si="10"/>
        <v/>
      </c>
    </row>
    <row r="647" spans="26:26" x14ac:dyDescent="0.2">
      <c r="Z647" t="str">
        <f t="shared" si="10"/>
        <v/>
      </c>
    </row>
    <row r="648" spans="26:26" x14ac:dyDescent="0.2">
      <c r="Z648" t="str">
        <f t="shared" si="10"/>
        <v/>
      </c>
    </row>
    <row r="649" spans="26:26" x14ac:dyDescent="0.2">
      <c r="Z649" t="str">
        <f t="shared" si="10"/>
        <v/>
      </c>
    </row>
    <row r="650" spans="26:26" x14ac:dyDescent="0.2">
      <c r="Z650" t="str">
        <f t="shared" si="10"/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ref="Z707:Z770" si="11">IF(K707="","",IFERROR(VALUE(TRIM(MID(K707,FIND(CHAR(167),SUBSTITUTE(K707,"-",CHAR(167),LEN(K707)-LEN(SUBSTITUTE(K707,"-",""))))+1,100))),K707))</f>
        <v/>
      </c>
    </row>
    <row r="708" spans="26:26" x14ac:dyDescent="0.2">
      <c r="Z708" t="str">
        <f t="shared" si="11"/>
        <v/>
      </c>
    </row>
    <row r="709" spans="26:26" x14ac:dyDescent="0.2">
      <c r="Z709" t="str">
        <f t="shared" si="11"/>
        <v/>
      </c>
    </row>
    <row r="710" spans="26:26" x14ac:dyDescent="0.2">
      <c r="Z710" t="str">
        <f t="shared" si="11"/>
        <v/>
      </c>
    </row>
    <row r="711" spans="26:26" x14ac:dyDescent="0.2">
      <c r="Z711" t="str">
        <f t="shared" si="11"/>
        <v/>
      </c>
    </row>
    <row r="712" spans="26:26" x14ac:dyDescent="0.2">
      <c r="Z712" t="str">
        <f t="shared" si="11"/>
        <v/>
      </c>
    </row>
    <row r="713" spans="26:26" x14ac:dyDescent="0.2">
      <c r="Z713" t="str">
        <f t="shared" si="11"/>
        <v/>
      </c>
    </row>
    <row r="714" spans="26:26" x14ac:dyDescent="0.2">
      <c r="Z714" t="str">
        <f t="shared" si="11"/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ref="Z771:Z834" si="12">IF(K771="","",IFERROR(VALUE(TRIM(MID(K771,FIND(CHAR(167),SUBSTITUTE(K771,"-",CHAR(167),LEN(K771)-LEN(SUBSTITUTE(K771,"-",""))))+1,100))),K771))</f>
        <v/>
      </c>
    </row>
    <row r="772" spans="26:26" x14ac:dyDescent="0.2">
      <c r="Z772" t="str">
        <f t="shared" si="12"/>
        <v/>
      </c>
    </row>
    <row r="773" spans="26:26" x14ac:dyDescent="0.2">
      <c r="Z773" t="str">
        <f t="shared" si="12"/>
        <v/>
      </c>
    </row>
    <row r="774" spans="26:26" x14ac:dyDescent="0.2">
      <c r="Z774" t="str">
        <f t="shared" si="12"/>
        <v/>
      </c>
    </row>
    <row r="775" spans="26:26" x14ac:dyDescent="0.2">
      <c r="Z775" t="str">
        <f t="shared" si="12"/>
        <v/>
      </c>
    </row>
    <row r="776" spans="26:26" x14ac:dyDescent="0.2">
      <c r="Z776" t="str">
        <f t="shared" si="12"/>
        <v/>
      </c>
    </row>
    <row r="777" spans="26:26" x14ac:dyDescent="0.2">
      <c r="Z777" t="str">
        <f t="shared" si="12"/>
        <v/>
      </c>
    </row>
    <row r="778" spans="26:26" x14ac:dyDescent="0.2">
      <c r="Z778" t="str">
        <f t="shared" si="12"/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ref="Z835:Z898" si="13">IF(K835="","",IFERROR(VALUE(TRIM(MID(K835,FIND(CHAR(167),SUBSTITUTE(K835,"-",CHAR(167),LEN(K835)-LEN(SUBSTITUTE(K835,"-",""))))+1,100))),K835))</f>
        <v/>
      </c>
    </row>
    <row r="836" spans="26:26" x14ac:dyDescent="0.2">
      <c r="Z836" t="str">
        <f t="shared" si="13"/>
        <v/>
      </c>
    </row>
    <row r="837" spans="26:26" x14ac:dyDescent="0.2">
      <c r="Z837" t="str">
        <f t="shared" si="13"/>
        <v/>
      </c>
    </row>
    <row r="838" spans="26:26" x14ac:dyDescent="0.2">
      <c r="Z838" t="str">
        <f t="shared" si="13"/>
        <v/>
      </c>
    </row>
    <row r="839" spans="26:26" x14ac:dyDescent="0.2">
      <c r="Z839" t="str">
        <f t="shared" si="13"/>
        <v/>
      </c>
    </row>
    <row r="840" spans="26:26" x14ac:dyDescent="0.2">
      <c r="Z840" t="str">
        <f t="shared" si="13"/>
        <v/>
      </c>
    </row>
    <row r="841" spans="26:26" x14ac:dyDescent="0.2">
      <c r="Z841" t="str">
        <f t="shared" si="13"/>
        <v/>
      </c>
    </row>
    <row r="842" spans="26:26" x14ac:dyDescent="0.2">
      <c r="Z842" t="str">
        <f t="shared" si="13"/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ref="Z899:Z962" si="14">IF(K899="","",IFERROR(VALUE(TRIM(MID(K899,FIND(CHAR(167),SUBSTITUTE(K899,"-",CHAR(167),LEN(K899)-LEN(SUBSTITUTE(K899,"-",""))))+1,100))),K899))</f>
        <v/>
      </c>
    </row>
    <row r="900" spans="26:26" x14ac:dyDescent="0.2">
      <c r="Z900" t="str">
        <f t="shared" si="14"/>
        <v/>
      </c>
    </row>
    <row r="901" spans="26:26" x14ac:dyDescent="0.2">
      <c r="Z901" t="str">
        <f t="shared" si="14"/>
        <v/>
      </c>
    </row>
    <row r="902" spans="26:26" x14ac:dyDescent="0.2">
      <c r="Z902" t="str">
        <f t="shared" si="14"/>
        <v/>
      </c>
    </row>
    <row r="903" spans="26:26" x14ac:dyDescent="0.2">
      <c r="Z903" t="str">
        <f t="shared" si="14"/>
        <v/>
      </c>
    </row>
    <row r="904" spans="26:26" x14ac:dyDescent="0.2">
      <c r="Z904" t="str">
        <f t="shared" si="14"/>
        <v/>
      </c>
    </row>
    <row r="905" spans="26:26" x14ac:dyDescent="0.2">
      <c r="Z905" t="str">
        <f t="shared" si="14"/>
        <v/>
      </c>
    </row>
    <row r="906" spans="26:26" x14ac:dyDescent="0.2">
      <c r="Z906" t="str">
        <f t="shared" si="14"/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ref="Z963:Z1026" si="15">IF(K963="","",IFERROR(VALUE(TRIM(MID(K963,FIND(CHAR(167),SUBSTITUTE(K963,"-",CHAR(167),LEN(K963)-LEN(SUBSTITUTE(K963,"-",""))))+1,100))),K963))</f>
        <v/>
      </c>
    </row>
    <row r="964" spans="26:26" x14ac:dyDescent="0.2">
      <c r="Z964" t="str">
        <f t="shared" si="15"/>
        <v/>
      </c>
    </row>
    <row r="965" spans="26:26" x14ac:dyDescent="0.2">
      <c r="Z965" t="str">
        <f t="shared" si="15"/>
        <v/>
      </c>
    </row>
    <row r="966" spans="26:26" x14ac:dyDescent="0.2">
      <c r="Z966" t="str">
        <f t="shared" si="15"/>
        <v/>
      </c>
    </row>
    <row r="967" spans="26:26" x14ac:dyDescent="0.2">
      <c r="Z967" t="str">
        <f t="shared" si="15"/>
        <v/>
      </c>
    </row>
    <row r="968" spans="26:26" x14ac:dyDescent="0.2">
      <c r="Z968" t="str">
        <f t="shared" si="15"/>
        <v/>
      </c>
    </row>
    <row r="969" spans="26:26" x14ac:dyDescent="0.2">
      <c r="Z969" t="str">
        <f t="shared" si="15"/>
        <v/>
      </c>
    </row>
    <row r="970" spans="26:26" x14ac:dyDescent="0.2">
      <c r="Z970" t="str">
        <f t="shared" si="15"/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ref="Z1027:Z1090" si="16">IF(K1027="","",IFERROR(VALUE(TRIM(MID(K1027,FIND(CHAR(167),SUBSTITUTE(K1027,"-",CHAR(167),LEN(K1027)-LEN(SUBSTITUTE(K1027,"-",""))))+1,100))),K1027))</f>
        <v/>
      </c>
    </row>
    <row r="1028" spans="26:26" x14ac:dyDescent="0.2">
      <c r="Z1028" t="str">
        <f t="shared" si="16"/>
        <v/>
      </c>
    </row>
    <row r="1029" spans="26:26" x14ac:dyDescent="0.2">
      <c r="Z1029" t="str">
        <f t="shared" si="16"/>
        <v/>
      </c>
    </row>
    <row r="1030" spans="26:26" x14ac:dyDescent="0.2">
      <c r="Z1030" t="str">
        <f t="shared" si="16"/>
        <v/>
      </c>
    </row>
    <row r="1031" spans="26:26" x14ac:dyDescent="0.2">
      <c r="Z1031" t="str">
        <f t="shared" si="16"/>
        <v/>
      </c>
    </row>
    <row r="1032" spans="26:26" x14ac:dyDescent="0.2">
      <c r="Z1032" t="str">
        <f t="shared" si="16"/>
        <v/>
      </c>
    </row>
    <row r="1033" spans="26:26" x14ac:dyDescent="0.2">
      <c r="Z1033" t="str">
        <f t="shared" si="16"/>
        <v/>
      </c>
    </row>
    <row r="1034" spans="26:26" x14ac:dyDescent="0.2">
      <c r="Z1034" t="str">
        <f t="shared" si="16"/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ref="Z1091:Z1154" si="17">IF(K1091="","",IFERROR(VALUE(TRIM(MID(K1091,FIND(CHAR(167),SUBSTITUTE(K1091,"-",CHAR(167),LEN(K1091)-LEN(SUBSTITUTE(K1091,"-",""))))+1,100))),K1091))</f>
        <v/>
      </c>
    </row>
    <row r="1092" spans="26:26" x14ac:dyDescent="0.2">
      <c r="Z1092" t="str">
        <f t="shared" si="17"/>
        <v/>
      </c>
    </row>
    <row r="1093" spans="26:26" x14ac:dyDescent="0.2">
      <c r="Z1093" t="str">
        <f t="shared" si="17"/>
        <v/>
      </c>
    </row>
    <row r="1094" spans="26:26" x14ac:dyDescent="0.2">
      <c r="Z1094" t="str">
        <f t="shared" si="17"/>
        <v/>
      </c>
    </row>
    <row r="1095" spans="26:26" x14ac:dyDescent="0.2">
      <c r="Z1095" t="str">
        <f t="shared" si="17"/>
        <v/>
      </c>
    </row>
    <row r="1096" spans="26:26" x14ac:dyDescent="0.2">
      <c r="Z1096" t="str">
        <f t="shared" si="17"/>
        <v/>
      </c>
    </row>
    <row r="1097" spans="26:26" x14ac:dyDescent="0.2">
      <c r="Z1097" t="str">
        <f t="shared" si="17"/>
        <v/>
      </c>
    </row>
    <row r="1098" spans="26:26" x14ac:dyDescent="0.2">
      <c r="Z1098" t="str">
        <f t="shared" si="17"/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ref="Z1155:Z1218" si="18">IF(K1155="","",IFERROR(VALUE(TRIM(MID(K1155,FIND(CHAR(167),SUBSTITUTE(K1155,"-",CHAR(167),LEN(K1155)-LEN(SUBSTITUTE(K1155,"-",""))))+1,100))),K1155))</f>
        <v/>
      </c>
    </row>
    <row r="1156" spans="26:26" x14ac:dyDescent="0.2">
      <c r="Z1156" t="str">
        <f t="shared" si="18"/>
        <v/>
      </c>
    </row>
    <row r="1157" spans="26:26" x14ac:dyDescent="0.2">
      <c r="Z1157" t="str">
        <f t="shared" si="18"/>
        <v/>
      </c>
    </row>
    <row r="1158" spans="26:26" x14ac:dyDescent="0.2">
      <c r="Z1158" t="str">
        <f t="shared" si="18"/>
        <v/>
      </c>
    </row>
    <row r="1159" spans="26:26" x14ac:dyDescent="0.2">
      <c r="Z1159" t="str">
        <f t="shared" si="18"/>
        <v/>
      </c>
    </row>
    <row r="1160" spans="26:26" x14ac:dyDescent="0.2">
      <c r="Z1160" t="str">
        <f t="shared" si="18"/>
        <v/>
      </c>
    </row>
    <row r="1161" spans="26:26" x14ac:dyDescent="0.2">
      <c r="Z1161" t="str">
        <f t="shared" si="18"/>
        <v/>
      </c>
    </row>
    <row r="1162" spans="26:26" x14ac:dyDescent="0.2">
      <c r="Z1162" t="str">
        <f t="shared" si="18"/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ref="Z1219:Z1282" si="19">IF(K1219="","",IFERROR(VALUE(TRIM(MID(K1219,FIND(CHAR(167),SUBSTITUTE(K1219,"-",CHAR(167),LEN(K1219)-LEN(SUBSTITUTE(K1219,"-",""))))+1,100))),K1219))</f>
        <v/>
      </c>
    </row>
    <row r="1220" spans="26:26" x14ac:dyDescent="0.2">
      <c r="Z1220" t="str">
        <f t="shared" si="19"/>
        <v/>
      </c>
    </row>
    <row r="1221" spans="26:26" x14ac:dyDescent="0.2">
      <c r="Z1221" t="str">
        <f t="shared" si="19"/>
        <v/>
      </c>
    </row>
    <row r="1222" spans="26:26" x14ac:dyDescent="0.2">
      <c r="Z1222" t="str">
        <f t="shared" si="19"/>
        <v/>
      </c>
    </row>
    <row r="1223" spans="26:26" x14ac:dyDescent="0.2">
      <c r="Z1223" t="str">
        <f t="shared" si="19"/>
        <v/>
      </c>
    </row>
    <row r="1224" spans="26:26" x14ac:dyDescent="0.2">
      <c r="Z1224" t="str">
        <f t="shared" si="19"/>
        <v/>
      </c>
    </row>
    <row r="1225" spans="26:26" x14ac:dyDescent="0.2">
      <c r="Z1225" t="str">
        <f t="shared" si="19"/>
        <v/>
      </c>
    </row>
    <row r="1226" spans="26:26" x14ac:dyDescent="0.2">
      <c r="Z1226" t="str">
        <f t="shared" si="19"/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ref="Z1283:Z1346" si="20">IF(K1283="","",IFERROR(VALUE(TRIM(MID(K1283,FIND(CHAR(167),SUBSTITUTE(K1283,"-",CHAR(167),LEN(K1283)-LEN(SUBSTITUTE(K1283,"-",""))))+1,100))),K1283))</f>
        <v/>
      </c>
    </row>
    <row r="1284" spans="26:26" x14ac:dyDescent="0.2">
      <c r="Z1284" t="str">
        <f t="shared" si="20"/>
        <v/>
      </c>
    </row>
    <row r="1285" spans="26:26" x14ac:dyDescent="0.2">
      <c r="Z1285" t="str">
        <f t="shared" si="20"/>
        <v/>
      </c>
    </row>
    <row r="1286" spans="26:26" x14ac:dyDescent="0.2">
      <c r="Z1286" t="str">
        <f t="shared" si="20"/>
        <v/>
      </c>
    </row>
    <row r="1287" spans="26:26" x14ac:dyDescent="0.2">
      <c r="Z1287" t="str">
        <f t="shared" si="20"/>
        <v/>
      </c>
    </row>
    <row r="1288" spans="26:26" x14ac:dyDescent="0.2">
      <c r="Z1288" t="str">
        <f t="shared" si="20"/>
        <v/>
      </c>
    </row>
    <row r="1289" spans="26:26" x14ac:dyDescent="0.2">
      <c r="Z1289" t="str">
        <f t="shared" si="20"/>
        <v/>
      </c>
    </row>
    <row r="1290" spans="26:26" x14ac:dyDescent="0.2">
      <c r="Z1290" t="str">
        <f t="shared" si="20"/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ref="Z1347:Z1410" si="21">IF(K1347="","",IFERROR(VALUE(TRIM(MID(K1347,FIND(CHAR(167),SUBSTITUTE(K1347,"-",CHAR(167),LEN(K1347)-LEN(SUBSTITUTE(K1347,"-",""))))+1,100))),K1347))</f>
        <v/>
      </c>
    </row>
    <row r="1348" spans="26:26" x14ac:dyDescent="0.2">
      <c r="Z1348" t="str">
        <f t="shared" si="21"/>
        <v/>
      </c>
    </row>
    <row r="1349" spans="26:26" x14ac:dyDescent="0.2">
      <c r="Z1349" t="str">
        <f t="shared" si="21"/>
        <v/>
      </c>
    </row>
    <row r="1350" spans="26:26" x14ac:dyDescent="0.2">
      <c r="Z1350" t="str">
        <f t="shared" si="21"/>
        <v/>
      </c>
    </row>
    <row r="1351" spans="26:26" x14ac:dyDescent="0.2">
      <c r="Z1351" t="str">
        <f t="shared" si="21"/>
        <v/>
      </c>
    </row>
    <row r="1352" spans="26:26" x14ac:dyDescent="0.2">
      <c r="Z1352" t="str">
        <f t="shared" si="21"/>
        <v/>
      </c>
    </row>
    <row r="1353" spans="26:26" x14ac:dyDescent="0.2">
      <c r="Z1353" t="str">
        <f t="shared" si="21"/>
        <v/>
      </c>
    </row>
    <row r="1354" spans="26:26" x14ac:dyDescent="0.2">
      <c r="Z1354" t="str">
        <f t="shared" si="21"/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ref="Z1411:Z1474" si="22">IF(K1411="","",IFERROR(VALUE(TRIM(MID(K1411,FIND(CHAR(167),SUBSTITUTE(K1411,"-",CHAR(167),LEN(K1411)-LEN(SUBSTITUTE(K1411,"-",""))))+1,100))),K1411))</f>
        <v/>
      </c>
    </row>
    <row r="1412" spans="26:26" x14ac:dyDescent="0.2">
      <c r="Z1412" t="str">
        <f t="shared" si="22"/>
        <v/>
      </c>
    </row>
    <row r="1413" spans="26:26" x14ac:dyDescent="0.2">
      <c r="Z1413" t="str">
        <f t="shared" si="22"/>
        <v/>
      </c>
    </row>
    <row r="1414" spans="26:26" x14ac:dyDescent="0.2">
      <c r="Z1414" t="str">
        <f t="shared" si="22"/>
        <v/>
      </c>
    </row>
    <row r="1415" spans="26:26" x14ac:dyDescent="0.2">
      <c r="Z1415" t="str">
        <f t="shared" si="22"/>
        <v/>
      </c>
    </row>
    <row r="1416" spans="26:26" x14ac:dyDescent="0.2">
      <c r="Z1416" t="str">
        <f t="shared" si="22"/>
        <v/>
      </c>
    </row>
    <row r="1417" spans="26:26" x14ac:dyDescent="0.2">
      <c r="Z1417" t="str">
        <f t="shared" si="22"/>
        <v/>
      </c>
    </row>
    <row r="1418" spans="26:26" x14ac:dyDescent="0.2">
      <c r="Z1418" t="str">
        <f t="shared" si="22"/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ref="Z1475:Z1538" si="23">IF(K1475="","",IFERROR(VALUE(TRIM(MID(K1475,FIND(CHAR(167),SUBSTITUTE(K1475,"-",CHAR(167),LEN(K1475)-LEN(SUBSTITUTE(K1475,"-",""))))+1,100))),K1475))</f>
        <v/>
      </c>
    </row>
    <row r="1476" spans="26:26" x14ac:dyDescent="0.2">
      <c r="Z1476" t="str">
        <f t="shared" si="23"/>
        <v/>
      </c>
    </row>
    <row r="1477" spans="26:26" x14ac:dyDescent="0.2">
      <c r="Z1477" t="str">
        <f t="shared" si="23"/>
        <v/>
      </c>
    </row>
    <row r="1478" spans="26:26" x14ac:dyDescent="0.2">
      <c r="Z1478" t="str">
        <f t="shared" si="23"/>
        <v/>
      </c>
    </row>
    <row r="1479" spans="26:26" x14ac:dyDescent="0.2">
      <c r="Z1479" t="str">
        <f t="shared" si="23"/>
        <v/>
      </c>
    </row>
    <row r="1480" spans="26:26" x14ac:dyDescent="0.2">
      <c r="Z1480" t="str">
        <f t="shared" si="23"/>
        <v/>
      </c>
    </row>
    <row r="1481" spans="26:26" x14ac:dyDescent="0.2">
      <c r="Z1481" t="str">
        <f t="shared" si="23"/>
        <v/>
      </c>
    </row>
    <row r="1482" spans="26:26" x14ac:dyDescent="0.2">
      <c r="Z1482" t="str">
        <f t="shared" si="23"/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ref="Z1539:Z1602" si="24">IF(K1539="","",IFERROR(VALUE(TRIM(MID(K1539,FIND(CHAR(167),SUBSTITUTE(K1539,"-",CHAR(167),LEN(K1539)-LEN(SUBSTITUTE(K1539,"-",""))))+1,100))),K1539))</f>
        <v/>
      </c>
    </row>
    <row r="1540" spans="26:26" x14ac:dyDescent="0.2">
      <c r="Z1540" t="str">
        <f t="shared" si="24"/>
        <v/>
      </c>
    </row>
    <row r="1541" spans="26:26" x14ac:dyDescent="0.2">
      <c r="Z1541" t="str">
        <f t="shared" si="24"/>
        <v/>
      </c>
    </row>
    <row r="1542" spans="26:26" x14ac:dyDescent="0.2">
      <c r="Z1542" t="str">
        <f t="shared" si="24"/>
        <v/>
      </c>
    </row>
    <row r="1543" spans="26:26" x14ac:dyDescent="0.2">
      <c r="Z1543" t="str">
        <f t="shared" si="24"/>
        <v/>
      </c>
    </row>
    <row r="1544" spans="26:26" x14ac:dyDescent="0.2">
      <c r="Z1544" t="str">
        <f t="shared" si="24"/>
        <v/>
      </c>
    </row>
    <row r="1545" spans="26:26" x14ac:dyDescent="0.2">
      <c r="Z1545" t="str">
        <f t="shared" si="24"/>
        <v/>
      </c>
    </row>
    <row r="1546" spans="26:26" x14ac:dyDescent="0.2">
      <c r="Z1546" t="str">
        <f t="shared" si="24"/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ref="Z1603:Z1666" si="25">IF(K1603="","",IFERROR(VALUE(TRIM(MID(K1603,FIND(CHAR(167),SUBSTITUTE(K1603,"-",CHAR(167),LEN(K1603)-LEN(SUBSTITUTE(K1603,"-",""))))+1,100))),K1603))</f>
        <v/>
      </c>
    </row>
    <row r="1604" spans="26:26" x14ac:dyDescent="0.2">
      <c r="Z1604" t="str">
        <f t="shared" si="25"/>
        <v/>
      </c>
    </row>
    <row r="1605" spans="26:26" x14ac:dyDescent="0.2">
      <c r="Z1605" t="str">
        <f t="shared" si="25"/>
        <v/>
      </c>
    </row>
    <row r="1606" spans="26:26" x14ac:dyDescent="0.2">
      <c r="Z1606" t="str">
        <f t="shared" si="25"/>
        <v/>
      </c>
    </row>
    <row r="1607" spans="26:26" x14ac:dyDescent="0.2">
      <c r="Z1607" t="str">
        <f t="shared" si="25"/>
        <v/>
      </c>
    </row>
    <row r="1608" spans="26:26" x14ac:dyDescent="0.2">
      <c r="Z1608" t="str">
        <f t="shared" si="25"/>
        <v/>
      </c>
    </row>
    <row r="1609" spans="26:26" x14ac:dyDescent="0.2">
      <c r="Z1609" t="str">
        <f t="shared" si="25"/>
        <v/>
      </c>
    </row>
    <row r="1610" spans="26:26" x14ac:dyDescent="0.2">
      <c r="Z1610" t="str">
        <f t="shared" si="25"/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ref="Z1667:Z1730" si="26">IF(K1667="","",IFERROR(VALUE(TRIM(MID(K1667,FIND(CHAR(167),SUBSTITUTE(K1667,"-",CHAR(167),LEN(K1667)-LEN(SUBSTITUTE(K1667,"-",""))))+1,100))),K1667))</f>
        <v/>
      </c>
    </row>
    <row r="1668" spans="26:26" x14ac:dyDescent="0.2">
      <c r="Z1668" t="str">
        <f t="shared" si="26"/>
        <v/>
      </c>
    </row>
    <row r="1669" spans="26:26" x14ac:dyDescent="0.2">
      <c r="Z1669" t="str">
        <f t="shared" si="26"/>
        <v/>
      </c>
    </row>
    <row r="1670" spans="26:26" x14ac:dyDescent="0.2">
      <c r="Z1670" t="str">
        <f t="shared" si="26"/>
        <v/>
      </c>
    </row>
    <row r="1671" spans="26:26" x14ac:dyDescent="0.2">
      <c r="Z1671" t="str">
        <f t="shared" si="26"/>
        <v/>
      </c>
    </row>
    <row r="1672" spans="26:26" x14ac:dyDescent="0.2">
      <c r="Z1672" t="str">
        <f t="shared" si="26"/>
        <v/>
      </c>
    </row>
    <row r="1673" spans="26:26" x14ac:dyDescent="0.2">
      <c r="Z1673" t="str">
        <f t="shared" si="26"/>
        <v/>
      </c>
    </row>
    <row r="1674" spans="26:26" x14ac:dyDescent="0.2">
      <c r="Z1674" t="str">
        <f t="shared" si="26"/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ref="Z1731:Z1794" si="27">IF(K1731="","",IFERROR(VALUE(TRIM(MID(K1731,FIND(CHAR(167),SUBSTITUTE(K1731,"-",CHAR(167),LEN(K1731)-LEN(SUBSTITUTE(K1731,"-",""))))+1,100))),K1731))</f>
        <v/>
      </c>
    </row>
    <row r="1732" spans="26:26" x14ac:dyDescent="0.2">
      <c r="Z1732" t="str">
        <f t="shared" si="27"/>
        <v/>
      </c>
    </row>
    <row r="1733" spans="26:26" x14ac:dyDescent="0.2">
      <c r="Z1733" t="str">
        <f t="shared" si="27"/>
        <v/>
      </c>
    </row>
    <row r="1734" spans="26:26" x14ac:dyDescent="0.2">
      <c r="Z1734" t="str">
        <f t="shared" si="27"/>
        <v/>
      </c>
    </row>
    <row r="1735" spans="26:26" x14ac:dyDescent="0.2">
      <c r="Z1735" t="str">
        <f t="shared" si="27"/>
        <v/>
      </c>
    </row>
    <row r="1736" spans="26:26" x14ac:dyDescent="0.2">
      <c r="Z1736" t="str">
        <f t="shared" si="27"/>
        <v/>
      </c>
    </row>
    <row r="1737" spans="26:26" x14ac:dyDescent="0.2">
      <c r="Z1737" t="str">
        <f t="shared" si="27"/>
        <v/>
      </c>
    </row>
    <row r="1738" spans="26:26" x14ac:dyDescent="0.2">
      <c r="Z1738" t="str">
        <f t="shared" si="27"/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ref="Z1795:Z1858" si="28">IF(K1795="","",IFERROR(VALUE(TRIM(MID(K1795,FIND(CHAR(167),SUBSTITUTE(K1795,"-",CHAR(167),LEN(K1795)-LEN(SUBSTITUTE(K1795,"-",""))))+1,100))),K1795))</f>
        <v/>
      </c>
    </row>
    <row r="1796" spans="26:26" x14ac:dyDescent="0.2">
      <c r="Z1796" t="str">
        <f t="shared" si="28"/>
        <v/>
      </c>
    </row>
    <row r="1797" spans="26:26" x14ac:dyDescent="0.2">
      <c r="Z1797" t="str">
        <f t="shared" si="28"/>
        <v/>
      </c>
    </row>
    <row r="1798" spans="26:26" x14ac:dyDescent="0.2">
      <c r="Z1798" t="str">
        <f t="shared" si="28"/>
        <v/>
      </c>
    </row>
    <row r="1799" spans="26:26" x14ac:dyDescent="0.2">
      <c r="Z1799" t="str">
        <f t="shared" si="28"/>
        <v/>
      </c>
    </row>
    <row r="1800" spans="26:26" x14ac:dyDescent="0.2">
      <c r="Z1800" t="str">
        <f t="shared" si="28"/>
        <v/>
      </c>
    </row>
    <row r="1801" spans="26:26" x14ac:dyDescent="0.2">
      <c r="Z1801" t="str">
        <f t="shared" si="28"/>
        <v/>
      </c>
    </row>
    <row r="1802" spans="26:26" x14ac:dyDescent="0.2">
      <c r="Z1802" t="str">
        <f t="shared" si="28"/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ref="Z1859:Z1922" si="29">IF(K1859="","",IFERROR(VALUE(TRIM(MID(K1859,FIND(CHAR(167),SUBSTITUTE(K1859,"-",CHAR(167),LEN(K1859)-LEN(SUBSTITUTE(K1859,"-",""))))+1,100))),K1859))</f>
        <v/>
      </c>
    </row>
    <row r="1860" spans="26:26" x14ac:dyDescent="0.2">
      <c r="Z1860" t="str">
        <f t="shared" si="29"/>
        <v/>
      </c>
    </row>
    <row r="1861" spans="26:26" x14ac:dyDescent="0.2">
      <c r="Z1861" t="str">
        <f t="shared" si="29"/>
        <v/>
      </c>
    </row>
    <row r="1862" spans="26:26" x14ac:dyDescent="0.2">
      <c r="Z1862" t="str">
        <f t="shared" si="29"/>
        <v/>
      </c>
    </row>
    <row r="1863" spans="26:26" x14ac:dyDescent="0.2">
      <c r="Z1863" t="str">
        <f t="shared" si="29"/>
        <v/>
      </c>
    </row>
    <row r="1864" spans="26:26" x14ac:dyDescent="0.2">
      <c r="Z1864" t="str">
        <f t="shared" si="29"/>
        <v/>
      </c>
    </row>
    <row r="1865" spans="26:26" x14ac:dyDescent="0.2">
      <c r="Z1865" t="str">
        <f t="shared" si="29"/>
        <v/>
      </c>
    </row>
    <row r="1866" spans="26:26" x14ac:dyDescent="0.2">
      <c r="Z1866" t="str">
        <f t="shared" si="29"/>
        <v/>
      </c>
    </row>
    <row r="1867" spans="26:26" x14ac:dyDescent="0.2">
      <c r="Z1867" t="str">
        <f t="shared" si="29"/>
        <v/>
      </c>
    </row>
    <row r="1868" spans="26:26" x14ac:dyDescent="0.2">
      <c r="Z1868" t="str">
        <f t="shared" si="29"/>
        <v/>
      </c>
    </row>
    <row r="1869" spans="26:26" x14ac:dyDescent="0.2">
      <c r="Z1869" t="str">
        <f t="shared" si="29"/>
        <v/>
      </c>
    </row>
    <row r="1870" spans="26:26" x14ac:dyDescent="0.2">
      <c r="Z1870" t="str">
        <f t="shared" si="29"/>
        <v/>
      </c>
    </row>
    <row r="1871" spans="26:26" x14ac:dyDescent="0.2">
      <c r="Z1871" t="str">
        <f t="shared" si="29"/>
        <v/>
      </c>
    </row>
    <row r="1872" spans="26:26" x14ac:dyDescent="0.2">
      <c r="Z1872" t="str">
        <f t="shared" si="29"/>
        <v/>
      </c>
    </row>
    <row r="1873" spans="26:26" x14ac:dyDescent="0.2">
      <c r="Z1873" t="str">
        <f t="shared" si="29"/>
        <v/>
      </c>
    </row>
    <row r="1874" spans="26:26" x14ac:dyDescent="0.2">
      <c r="Z1874" t="str">
        <f t="shared" si="29"/>
        <v/>
      </c>
    </row>
    <row r="1875" spans="26:26" x14ac:dyDescent="0.2">
      <c r="Z1875" t="str">
        <f t="shared" si="29"/>
        <v/>
      </c>
    </row>
    <row r="1876" spans="26:26" x14ac:dyDescent="0.2">
      <c r="Z1876" t="str">
        <f t="shared" si="29"/>
        <v/>
      </c>
    </row>
    <row r="1877" spans="26:26" x14ac:dyDescent="0.2">
      <c r="Z1877" t="str">
        <f t="shared" si="29"/>
        <v/>
      </c>
    </row>
    <row r="1878" spans="26:26" x14ac:dyDescent="0.2">
      <c r="Z1878" t="str">
        <f t="shared" si="29"/>
        <v/>
      </c>
    </row>
    <row r="1879" spans="26:26" x14ac:dyDescent="0.2">
      <c r="Z1879" t="str">
        <f t="shared" si="29"/>
        <v/>
      </c>
    </row>
    <row r="1880" spans="26:26" x14ac:dyDescent="0.2">
      <c r="Z1880" t="str">
        <f t="shared" si="29"/>
        <v/>
      </c>
    </row>
    <row r="1881" spans="26:26" x14ac:dyDescent="0.2">
      <c r="Z1881" t="str">
        <f t="shared" si="29"/>
        <v/>
      </c>
    </row>
    <row r="1882" spans="26:26" x14ac:dyDescent="0.2">
      <c r="Z1882" t="str">
        <f t="shared" si="29"/>
        <v/>
      </c>
    </row>
    <row r="1883" spans="26:26" x14ac:dyDescent="0.2">
      <c r="Z1883" t="str">
        <f t="shared" si="29"/>
        <v/>
      </c>
    </row>
    <row r="1884" spans="26:26" x14ac:dyDescent="0.2">
      <c r="Z1884" t="str">
        <f t="shared" si="29"/>
        <v/>
      </c>
    </row>
    <row r="1885" spans="26:26" x14ac:dyDescent="0.2">
      <c r="Z1885" t="str">
        <f t="shared" si="29"/>
        <v/>
      </c>
    </row>
    <row r="1886" spans="26:26" x14ac:dyDescent="0.2">
      <c r="Z1886" t="str">
        <f t="shared" si="29"/>
        <v/>
      </c>
    </row>
    <row r="1887" spans="26:26" x14ac:dyDescent="0.2">
      <c r="Z1887" t="str">
        <f t="shared" si="29"/>
        <v/>
      </c>
    </row>
    <row r="1888" spans="26:26" x14ac:dyDescent="0.2">
      <c r="Z1888" t="str">
        <f t="shared" si="29"/>
        <v/>
      </c>
    </row>
    <row r="1889" spans="26:26" x14ac:dyDescent="0.2">
      <c r="Z1889" t="str">
        <f t="shared" si="29"/>
        <v/>
      </c>
    </row>
    <row r="1890" spans="26:26" x14ac:dyDescent="0.2">
      <c r="Z1890" t="str">
        <f t="shared" si="29"/>
        <v/>
      </c>
    </row>
    <row r="1891" spans="26:26" x14ac:dyDescent="0.2">
      <c r="Z1891" t="str">
        <f t="shared" si="29"/>
        <v/>
      </c>
    </row>
    <row r="1892" spans="26:26" x14ac:dyDescent="0.2">
      <c r="Z1892" t="str">
        <f t="shared" si="29"/>
        <v/>
      </c>
    </row>
    <row r="1893" spans="26:26" x14ac:dyDescent="0.2">
      <c r="Z1893" t="str">
        <f t="shared" si="29"/>
        <v/>
      </c>
    </row>
    <row r="1894" spans="26:26" x14ac:dyDescent="0.2">
      <c r="Z1894" t="str">
        <f t="shared" si="29"/>
        <v/>
      </c>
    </row>
    <row r="1895" spans="26:26" x14ac:dyDescent="0.2">
      <c r="Z1895" t="str">
        <f t="shared" si="29"/>
        <v/>
      </c>
    </row>
    <row r="1896" spans="26:26" x14ac:dyDescent="0.2">
      <c r="Z1896" t="str">
        <f t="shared" si="29"/>
        <v/>
      </c>
    </row>
    <row r="1897" spans="26:26" x14ac:dyDescent="0.2">
      <c r="Z1897" t="str">
        <f t="shared" si="29"/>
        <v/>
      </c>
    </row>
    <row r="1898" spans="26:26" x14ac:dyDescent="0.2">
      <c r="Z1898" t="str">
        <f t="shared" si="29"/>
        <v/>
      </c>
    </row>
    <row r="1899" spans="26:26" x14ac:dyDescent="0.2">
      <c r="Z1899" t="str">
        <f t="shared" si="29"/>
        <v/>
      </c>
    </row>
    <row r="1900" spans="26:26" x14ac:dyDescent="0.2">
      <c r="Z1900" t="str">
        <f t="shared" si="29"/>
        <v/>
      </c>
    </row>
    <row r="1901" spans="26:26" x14ac:dyDescent="0.2">
      <c r="Z1901" t="str">
        <f t="shared" si="29"/>
        <v/>
      </c>
    </row>
    <row r="1902" spans="26:26" x14ac:dyDescent="0.2">
      <c r="Z1902" t="str">
        <f t="shared" si="29"/>
        <v/>
      </c>
    </row>
    <row r="1903" spans="26:26" x14ac:dyDescent="0.2">
      <c r="Z1903" t="str">
        <f t="shared" si="29"/>
        <v/>
      </c>
    </row>
    <row r="1904" spans="26:26" x14ac:dyDescent="0.2">
      <c r="Z1904" t="str">
        <f t="shared" si="29"/>
        <v/>
      </c>
    </row>
    <row r="1905" spans="26:26" x14ac:dyDescent="0.2">
      <c r="Z1905" t="str">
        <f t="shared" si="29"/>
        <v/>
      </c>
    </row>
    <row r="1906" spans="26:26" x14ac:dyDescent="0.2">
      <c r="Z1906" t="str">
        <f t="shared" si="29"/>
        <v/>
      </c>
    </row>
    <row r="1907" spans="26:26" x14ac:dyDescent="0.2">
      <c r="Z1907" t="str">
        <f t="shared" si="29"/>
        <v/>
      </c>
    </row>
    <row r="1908" spans="26:26" x14ac:dyDescent="0.2">
      <c r="Z1908" t="str">
        <f t="shared" si="29"/>
        <v/>
      </c>
    </row>
    <row r="1909" spans="26:26" x14ac:dyDescent="0.2">
      <c r="Z1909" t="str">
        <f t="shared" si="29"/>
        <v/>
      </c>
    </row>
    <row r="1910" spans="26:26" x14ac:dyDescent="0.2">
      <c r="Z1910" t="str">
        <f t="shared" si="29"/>
        <v/>
      </c>
    </row>
    <row r="1911" spans="26:26" x14ac:dyDescent="0.2">
      <c r="Z1911" t="str">
        <f t="shared" si="29"/>
        <v/>
      </c>
    </row>
    <row r="1912" spans="26:26" x14ac:dyDescent="0.2">
      <c r="Z1912" t="str">
        <f t="shared" si="29"/>
        <v/>
      </c>
    </row>
    <row r="1913" spans="26:26" x14ac:dyDescent="0.2">
      <c r="Z1913" t="str">
        <f t="shared" si="29"/>
        <v/>
      </c>
    </row>
    <row r="1914" spans="26:26" x14ac:dyDescent="0.2">
      <c r="Z1914" t="str">
        <f t="shared" si="29"/>
        <v/>
      </c>
    </row>
    <row r="1915" spans="26:26" x14ac:dyDescent="0.2">
      <c r="Z1915" t="str">
        <f t="shared" si="29"/>
        <v/>
      </c>
    </row>
    <row r="1916" spans="26:26" x14ac:dyDescent="0.2">
      <c r="Z1916" t="str">
        <f t="shared" si="29"/>
        <v/>
      </c>
    </row>
    <row r="1917" spans="26:26" x14ac:dyDescent="0.2">
      <c r="Z1917" t="str">
        <f t="shared" si="29"/>
        <v/>
      </c>
    </row>
    <row r="1918" spans="26:26" x14ac:dyDescent="0.2">
      <c r="Z1918" t="str">
        <f t="shared" si="29"/>
        <v/>
      </c>
    </row>
    <row r="1919" spans="26:26" x14ac:dyDescent="0.2">
      <c r="Z1919" t="str">
        <f t="shared" si="29"/>
        <v/>
      </c>
    </row>
    <row r="1920" spans="26:26" x14ac:dyDescent="0.2">
      <c r="Z1920" t="str">
        <f t="shared" si="29"/>
        <v/>
      </c>
    </row>
    <row r="1921" spans="26:26" x14ac:dyDescent="0.2">
      <c r="Z1921" t="str">
        <f t="shared" si="29"/>
        <v/>
      </c>
    </row>
    <row r="1922" spans="26:26" x14ac:dyDescent="0.2">
      <c r="Z1922" t="str">
        <f t="shared" si="29"/>
        <v/>
      </c>
    </row>
    <row r="1923" spans="26:26" x14ac:dyDescent="0.2">
      <c r="Z1923" t="str">
        <f t="shared" ref="Z1923:Z1986" si="30">IF(K1923="","",IFERROR(VALUE(TRIM(MID(K1923,FIND(CHAR(167),SUBSTITUTE(K1923,"-",CHAR(167),LEN(K1923)-LEN(SUBSTITUTE(K1923,"-",""))))+1,100))),K1923))</f>
        <v/>
      </c>
    </row>
    <row r="1924" spans="26:26" x14ac:dyDescent="0.2">
      <c r="Z1924" t="str">
        <f t="shared" si="30"/>
        <v/>
      </c>
    </row>
    <row r="1925" spans="26:26" x14ac:dyDescent="0.2">
      <c r="Z1925" t="str">
        <f t="shared" si="30"/>
        <v/>
      </c>
    </row>
    <row r="1926" spans="26:26" x14ac:dyDescent="0.2">
      <c r="Z1926" t="str">
        <f t="shared" si="30"/>
        <v/>
      </c>
    </row>
    <row r="1927" spans="26:26" x14ac:dyDescent="0.2">
      <c r="Z1927" t="str">
        <f t="shared" si="30"/>
        <v/>
      </c>
    </row>
    <row r="1928" spans="26:26" x14ac:dyDescent="0.2">
      <c r="Z1928" t="str">
        <f t="shared" si="30"/>
        <v/>
      </c>
    </row>
    <row r="1929" spans="26:26" x14ac:dyDescent="0.2">
      <c r="Z1929" t="str">
        <f t="shared" si="30"/>
        <v/>
      </c>
    </row>
    <row r="1930" spans="26:26" x14ac:dyDescent="0.2">
      <c r="Z1930" t="str">
        <f t="shared" si="30"/>
        <v/>
      </c>
    </row>
    <row r="1931" spans="26:26" x14ac:dyDescent="0.2">
      <c r="Z1931" t="str">
        <f t="shared" si="30"/>
        <v/>
      </c>
    </row>
    <row r="1932" spans="26:26" x14ac:dyDescent="0.2">
      <c r="Z1932" t="str">
        <f t="shared" si="30"/>
        <v/>
      </c>
    </row>
    <row r="1933" spans="26:26" x14ac:dyDescent="0.2">
      <c r="Z1933" t="str">
        <f t="shared" si="30"/>
        <v/>
      </c>
    </row>
    <row r="1934" spans="26:26" x14ac:dyDescent="0.2">
      <c r="Z1934" t="str">
        <f t="shared" si="30"/>
        <v/>
      </c>
    </row>
    <row r="1935" spans="26:26" x14ac:dyDescent="0.2">
      <c r="Z1935" t="str">
        <f t="shared" si="30"/>
        <v/>
      </c>
    </row>
    <row r="1936" spans="26:26" x14ac:dyDescent="0.2">
      <c r="Z1936" t="str">
        <f t="shared" si="30"/>
        <v/>
      </c>
    </row>
    <row r="1937" spans="26:26" x14ac:dyDescent="0.2">
      <c r="Z1937" t="str">
        <f t="shared" si="30"/>
        <v/>
      </c>
    </row>
    <row r="1938" spans="26:26" x14ac:dyDescent="0.2">
      <c r="Z1938" t="str">
        <f t="shared" si="30"/>
        <v/>
      </c>
    </row>
    <row r="1939" spans="26:26" x14ac:dyDescent="0.2">
      <c r="Z1939" t="str">
        <f t="shared" si="30"/>
        <v/>
      </c>
    </row>
    <row r="1940" spans="26:26" x14ac:dyDescent="0.2">
      <c r="Z1940" t="str">
        <f t="shared" si="30"/>
        <v/>
      </c>
    </row>
    <row r="1941" spans="26:26" x14ac:dyDescent="0.2">
      <c r="Z1941" t="str">
        <f t="shared" si="30"/>
        <v/>
      </c>
    </row>
    <row r="1942" spans="26:26" x14ac:dyDescent="0.2">
      <c r="Z1942" t="str">
        <f t="shared" si="30"/>
        <v/>
      </c>
    </row>
    <row r="1943" spans="26:26" x14ac:dyDescent="0.2">
      <c r="Z1943" t="str">
        <f t="shared" si="30"/>
        <v/>
      </c>
    </row>
    <row r="1944" spans="26:26" x14ac:dyDescent="0.2">
      <c r="Z1944" t="str">
        <f t="shared" si="30"/>
        <v/>
      </c>
    </row>
    <row r="1945" spans="26:26" x14ac:dyDescent="0.2">
      <c r="Z1945" t="str">
        <f t="shared" si="30"/>
        <v/>
      </c>
    </row>
    <row r="1946" spans="26:26" x14ac:dyDescent="0.2">
      <c r="Z1946" t="str">
        <f t="shared" si="30"/>
        <v/>
      </c>
    </row>
    <row r="1947" spans="26:26" x14ac:dyDescent="0.2">
      <c r="Z1947" t="str">
        <f t="shared" si="30"/>
        <v/>
      </c>
    </row>
    <row r="1948" spans="26:26" x14ac:dyDescent="0.2">
      <c r="Z1948" t="str">
        <f t="shared" si="30"/>
        <v/>
      </c>
    </row>
    <row r="1949" spans="26:26" x14ac:dyDescent="0.2">
      <c r="Z1949" t="str">
        <f t="shared" si="30"/>
        <v/>
      </c>
    </row>
    <row r="1950" spans="26:26" x14ac:dyDescent="0.2">
      <c r="Z1950" t="str">
        <f t="shared" si="30"/>
        <v/>
      </c>
    </row>
    <row r="1951" spans="26:26" x14ac:dyDescent="0.2">
      <c r="Z1951" t="str">
        <f t="shared" si="30"/>
        <v/>
      </c>
    </row>
    <row r="1952" spans="26:26" x14ac:dyDescent="0.2">
      <c r="Z1952" t="str">
        <f t="shared" si="30"/>
        <v/>
      </c>
    </row>
    <row r="1953" spans="26:26" x14ac:dyDescent="0.2">
      <c r="Z1953" t="str">
        <f t="shared" si="30"/>
        <v/>
      </c>
    </row>
    <row r="1954" spans="26:26" x14ac:dyDescent="0.2">
      <c r="Z1954" t="str">
        <f t="shared" si="30"/>
        <v/>
      </c>
    </row>
    <row r="1955" spans="26:26" x14ac:dyDescent="0.2">
      <c r="Z1955" t="str">
        <f t="shared" si="30"/>
        <v/>
      </c>
    </row>
    <row r="1956" spans="26:26" x14ac:dyDescent="0.2">
      <c r="Z1956" t="str">
        <f t="shared" si="30"/>
        <v/>
      </c>
    </row>
    <row r="1957" spans="26:26" x14ac:dyDescent="0.2">
      <c r="Z1957" t="str">
        <f t="shared" si="30"/>
        <v/>
      </c>
    </row>
    <row r="1958" spans="26:26" x14ac:dyDescent="0.2">
      <c r="Z1958" t="str">
        <f t="shared" si="30"/>
        <v/>
      </c>
    </row>
    <row r="1959" spans="26:26" x14ac:dyDescent="0.2">
      <c r="Z1959" t="str">
        <f t="shared" si="30"/>
        <v/>
      </c>
    </row>
    <row r="1960" spans="26:26" x14ac:dyDescent="0.2">
      <c r="Z1960" t="str">
        <f t="shared" si="30"/>
        <v/>
      </c>
    </row>
    <row r="1961" spans="26:26" x14ac:dyDescent="0.2">
      <c r="Z1961" t="str">
        <f t="shared" si="30"/>
        <v/>
      </c>
    </row>
    <row r="1962" spans="26:26" x14ac:dyDescent="0.2">
      <c r="Z1962" t="str">
        <f t="shared" si="30"/>
        <v/>
      </c>
    </row>
    <row r="1963" spans="26:26" x14ac:dyDescent="0.2">
      <c r="Z1963" t="str">
        <f t="shared" si="30"/>
        <v/>
      </c>
    </row>
    <row r="1964" spans="26:26" x14ac:dyDescent="0.2">
      <c r="Z1964" t="str">
        <f t="shared" si="30"/>
        <v/>
      </c>
    </row>
    <row r="1965" spans="26:26" x14ac:dyDescent="0.2">
      <c r="Z1965" t="str">
        <f t="shared" si="30"/>
        <v/>
      </c>
    </row>
    <row r="1966" spans="26:26" x14ac:dyDescent="0.2">
      <c r="Z1966" t="str">
        <f t="shared" si="30"/>
        <v/>
      </c>
    </row>
    <row r="1967" spans="26:26" x14ac:dyDescent="0.2">
      <c r="Z1967" t="str">
        <f t="shared" si="30"/>
        <v/>
      </c>
    </row>
    <row r="1968" spans="26:26" x14ac:dyDescent="0.2">
      <c r="Z1968" t="str">
        <f t="shared" si="30"/>
        <v/>
      </c>
    </row>
    <row r="1969" spans="26:26" x14ac:dyDescent="0.2">
      <c r="Z1969" t="str">
        <f t="shared" si="30"/>
        <v/>
      </c>
    </row>
    <row r="1970" spans="26:26" x14ac:dyDescent="0.2">
      <c r="Z1970" t="str">
        <f t="shared" si="30"/>
        <v/>
      </c>
    </row>
    <row r="1971" spans="26:26" x14ac:dyDescent="0.2">
      <c r="Z1971" t="str">
        <f t="shared" si="30"/>
        <v/>
      </c>
    </row>
    <row r="1972" spans="26:26" x14ac:dyDescent="0.2">
      <c r="Z1972" t="str">
        <f t="shared" si="30"/>
        <v/>
      </c>
    </row>
    <row r="1973" spans="26:26" x14ac:dyDescent="0.2">
      <c r="Z1973" t="str">
        <f t="shared" si="30"/>
        <v/>
      </c>
    </row>
    <row r="1974" spans="26:26" x14ac:dyDescent="0.2">
      <c r="Z1974" t="str">
        <f t="shared" si="30"/>
        <v/>
      </c>
    </row>
    <row r="1975" spans="26:26" x14ac:dyDescent="0.2">
      <c r="Z1975" t="str">
        <f t="shared" si="30"/>
        <v/>
      </c>
    </row>
    <row r="1976" spans="26:26" x14ac:dyDescent="0.2">
      <c r="Z1976" t="str">
        <f t="shared" si="30"/>
        <v/>
      </c>
    </row>
    <row r="1977" spans="26:26" x14ac:dyDescent="0.2">
      <c r="Z1977" t="str">
        <f t="shared" si="30"/>
        <v/>
      </c>
    </row>
    <row r="1978" spans="26:26" x14ac:dyDescent="0.2">
      <c r="Z1978" t="str">
        <f t="shared" si="30"/>
        <v/>
      </c>
    </row>
    <row r="1979" spans="26:26" x14ac:dyDescent="0.2">
      <c r="Z1979" t="str">
        <f t="shared" si="30"/>
        <v/>
      </c>
    </row>
    <row r="1980" spans="26:26" x14ac:dyDescent="0.2">
      <c r="Z1980" t="str">
        <f t="shared" si="30"/>
        <v/>
      </c>
    </row>
    <row r="1981" spans="26:26" x14ac:dyDescent="0.2">
      <c r="Z1981" t="str">
        <f t="shared" si="30"/>
        <v/>
      </c>
    </row>
    <row r="1982" spans="26:26" x14ac:dyDescent="0.2">
      <c r="Z1982" t="str">
        <f t="shared" si="30"/>
        <v/>
      </c>
    </row>
    <row r="1983" spans="26:26" x14ac:dyDescent="0.2">
      <c r="Z1983" t="str">
        <f t="shared" si="30"/>
        <v/>
      </c>
    </row>
    <row r="1984" spans="26:26" x14ac:dyDescent="0.2">
      <c r="Z1984" t="str">
        <f t="shared" si="30"/>
        <v/>
      </c>
    </row>
    <row r="1985" spans="26:26" x14ac:dyDescent="0.2">
      <c r="Z1985" t="str">
        <f t="shared" si="30"/>
        <v/>
      </c>
    </row>
    <row r="1986" spans="26:26" x14ac:dyDescent="0.2">
      <c r="Z1986" t="str">
        <f t="shared" si="30"/>
        <v/>
      </c>
    </row>
    <row r="1987" spans="26:26" x14ac:dyDescent="0.2">
      <c r="Z1987" t="str">
        <f t="shared" ref="Z1987:Z2050" si="31">IF(K1987="","",IFERROR(VALUE(TRIM(MID(K1987,FIND(CHAR(167),SUBSTITUTE(K1987,"-",CHAR(167),LEN(K1987)-LEN(SUBSTITUTE(K1987,"-",""))))+1,100))),K1987))</f>
        <v/>
      </c>
    </row>
    <row r="1988" spans="26:26" x14ac:dyDescent="0.2">
      <c r="Z1988" t="str">
        <f t="shared" si="31"/>
        <v/>
      </c>
    </row>
    <row r="1989" spans="26:26" x14ac:dyDescent="0.2">
      <c r="Z1989" t="str">
        <f t="shared" si="31"/>
        <v/>
      </c>
    </row>
    <row r="1990" spans="26:26" x14ac:dyDescent="0.2">
      <c r="Z1990" t="str">
        <f t="shared" si="31"/>
        <v/>
      </c>
    </row>
    <row r="1991" spans="26:26" x14ac:dyDescent="0.2">
      <c r="Z1991" t="str">
        <f t="shared" si="31"/>
        <v/>
      </c>
    </row>
    <row r="1992" spans="26:26" x14ac:dyDescent="0.2">
      <c r="Z1992" t="str">
        <f t="shared" si="31"/>
        <v/>
      </c>
    </row>
    <row r="1993" spans="26:26" x14ac:dyDescent="0.2">
      <c r="Z1993" t="str">
        <f t="shared" si="31"/>
        <v/>
      </c>
    </row>
    <row r="1994" spans="26:26" x14ac:dyDescent="0.2">
      <c r="Z1994" t="str">
        <f t="shared" si="31"/>
        <v/>
      </c>
    </row>
    <row r="1995" spans="26:26" x14ac:dyDescent="0.2">
      <c r="Z1995" t="str">
        <f t="shared" si="31"/>
        <v/>
      </c>
    </row>
    <row r="1996" spans="26:26" x14ac:dyDescent="0.2">
      <c r="Z1996" t="str">
        <f t="shared" si="31"/>
        <v/>
      </c>
    </row>
    <row r="1997" spans="26:26" x14ac:dyDescent="0.2">
      <c r="Z1997" t="str">
        <f t="shared" si="31"/>
        <v/>
      </c>
    </row>
    <row r="1998" spans="26:26" x14ac:dyDescent="0.2">
      <c r="Z1998" t="str">
        <f t="shared" si="31"/>
        <v/>
      </c>
    </row>
    <row r="1999" spans="26:26" x14ac:dyDescent="0.2">
      <c r="Z1999" t="str">
        <f t="shared" si="31"/>
        <v/>
      </c>
    </row>
    <row r="2000" spans="26:26" x14ac:dyDescent="0.2">
      <c r="Z2000" t="str">
        <f t="shared" si="31"/>
        <v/>
      </c>
    </row>
    <row r="2001" spans="26:26" x14ac:dyDescent="0.2">
      <c r="Z2001" t="str">
        <f t="shared" si="31"/>
        <v/>
      </c>
    </row>
    <row r="2002" spans="26:26" x14ac:dyDescent="0.2">
      <c r="Z2002" t="str">
        <f t="shared" si="31"/>
        <v/>
      </c>
    </row>
    <row r="2003" spans="26:26" x14ac:dyDescent="0.2">
      <c r="Z2003" t="str">
        <f t="shared" si="31"/>
        <v/>
      </c>
    </row>
    <row r="2004" spans="26:26" x14ac:dyDescent="0.2">
      <c r="Z2004" t="str">
        <f t="shared" si="31"/>
        <v/>
      </c>
    </row>
    <row r="2005" spans="26:26" x14ac:dyDescent="0.2">
      <c r="Z2005" t="str">
        <f t="shared" si="31"/>
        <v/>
      </c>
    </row>
    <row r="2006" spans="26:26" x14ac:dyDescent="0.2">
      <c r="Z2006" t="str">
        <f t="shared" si="31"/>
        <v/>
      </c>
    </row>
    <row r="2007" spans="26:26" x14ac:dyDescent="0.2">
      <c r="Z2007" t="str">
        <f t="shared" si="31"/>
        <v/>
      </c>
    </row>
    <row r="2008" spans="26:26" x14ac:dyDescent="0.2">
      <c r="Z2008" t="str">
        <f t="shared" si="31"/>
        <v/>
      </c>
    </row>
    <row r="2009" spans="26:26" x14ac:dyDescent="0.2">
      <c r="Z2009" t="str">
        <f t="shared" si="31"/>
        <v/>
      </c>
    </row>
    <row r="2010" spans="26:26" x14ac:dyDescent="0.2">
      <c r="Z2010" t="str">
        <f t="shared" si="31"/>
        <v/>
      </c>
    </row>
    <row r="2011" spans="26:26" x14ac:dyDescent="0.2">
      <c r="Z2011" t="str">
        <f t="shared" si="31"/>
        <v/>
      </c>
    </row>
    <row r="2012" spans="26:26" x14ac:dyDescent="0.2">
      <c r="Z2012" t="str">
        <f t="shared" si="31"/>
        <v/>
      </c>
    </row>
    <row r="2013" spans="26:26" x14ac:dyDescent="0.2">
      <c r="Z2013" t="str">
        <f t="shared" si="31"/>
        <v/>
      </c>
    </row>
    <row r="2014" spans="26:26" x14ac:dyDescent="0.2">
      <c r="Z2014" t="str">
        <f t="shared" si="31"/>
        <v/>
      </c>
    </row>
    <row r="2015" spans="26:26" x14ac:dyDescent="0.2">
      <c r="Z2015" t="str">
        <f t="shared" si="31"/>
        <v/>
      </c>
    </row>
    <row r="2016" spans="26:26" x14ac:dyDescent="0.2">
      <c r="Z2016" t="str">
        <f t="shared" si="31"/>
        <v/>
      </c>
    </row>
    <row r="2017" spans="26:26" x14ac:dyDescent="0.2">
      <c r="Z2017" t="str">
        <f t="shared" si="31"/>
        <v/>
      </c>
    </row>
    <row r="2018" spans="26:26" x14ac:dyDescent="0.2">
      <c r="Z2018" t="str">
        <f t="shared" si="31"/>
        <v/>
      </c>
    </row>
    <row r="2019" spans="26:26" x14ac:dyDescent="0.2">
      <c r="Z2019" t="str">
        <f t="shared" si="31"/>
        <v/>
      </c>
    </row>
    <row r="2020" spans="26:26" x14ac:dyDescent="0.2">
      <c r="Z2020" t="str">
        <f t="shared" si="31"/>
        <v/>
      </c>
    </row>
    <row r="2021" spans="26:26" x14ac:dyDescent="0.2">
      <c r="Z2021" t="str">
        <f t="shared" si="31"/>
        <v/>
      </c>
    </row>
    <row r="2022" spans="26:26" x14ac:dyDescent="0.2">
      <c r="Z2022" t="str">
        <f t="shared" si="31"/>
        <v/>
      </c>
    </row>
    <row r="2023" spans="26:26" x14ac:dyDescent="0.2">
      <c r="Z2023" t="str">
        <f t="shared" si="31"/>
        <v/>
      </c>
    </row>
    <row r="2024" spans="26:26" x14ac:dyDescent="0.2">
      <c r="Z2024" t="str">
        <f t="shared" si="31"/>
        <v/>
      </c>
    </row>
    <row r="2025" spans="26:26" x14ac:dyDescent="0.2">
      <c r="Z2025" t="str">
        <f t="shared" si="31"/>
        <v/>
      </c>
    </row>
    <row r="2026" spans="26:26" x14ac:dyDescent="0.2">
      <c r="Z2026" t="str">
        <f t="shared" si="31"/>
        <v/>
      </c>
    </row>
    <row r="2027" spans="26:26" x14ac:dyDescent="0.2">
      <c r="Z2027" t="str">
        <f t="shared" si="31"/>
        <v/>
      </c>
    </row>
    <row r="2028" spans="26:26" x14ac:dyDescent="0.2">
      <c r="Z2028" t="str">
        <f t="shared" si="31"/>
        <v/>
      </c>
    </row>
    <row r="2029" spans="26:26" x14ac:dyDescent="0.2">
      <c r="Z2029" t="str">
        <f t="shared" si="31"/>
        <v/>
      </c>
    </row>
    <row r="2030" spans="26:26" x14ac:dyDescent="0.2">
      <c r="Z2030" t="str">
        <f t="shared" si="31"/>
        <v/>
      </c>
    </row>
    <row r="2031" spans="26:26" x14ac:dyDescent="0.2">
      <c r="Z2031" t="str">
        <f t="shared" si="31"/>
        <v/>
      </c>
    </row>
    <row r="2032" spans="26:26" x14ac:dyDescent="0.2">
      <c r="Z2032" t="str">
        <f t="shared" si="31"/>
        <v/>
      </c>
    </row>
    <row r="2033" spans="26:26" x14ac:dyDescent="0.2">
      <c r="Z2033" t="str">
        <f t="shared" si="31"/>
        <v/>
      </c>
    </row>
    <row r="2034" spans="26:26" x14ac:dyDescent="0.2">
      <c r="Z2034" t="str">
        <f t="shared" si="31"/>
        <v/>
      </c>
    </row>
    <row r="2035" spans="26:26" x14ac:dyDescent="0.2">
      <c r="Z2035" t="str">
        <f t="shared" si="31"/>
        <v/>
      </c>
    </row>
    <row r="2036" spans="26:26" x14ac:dyDescent="0.2">
      <c r="Z2036" t="str">
        <f t="shared" si="31"/>
        <v/>
      </c>
    </row>
    <row r="2037" spans="26:26" x14ac:dyDescent="0.2">
      <c r="Z2037" t="str">
        <f t="shared" si="31"/>
        <v/>
      </c>
    </row>
    <row r="2038" spans="26:26" x14ac:dyDescent="0.2">
      <c r="Z2038" t="str">
        <f t="shared" si="31"/>
        <v/>
      </c>
    </row>
    <row r="2039" spans="26:26" x14ac:dyDescent="0.2">
      <c r="Z2039" t="str">
        <f t="shared" si="31"/>
        <v/>
      </c>
    </row>
    <row r="2040" spans="26:26" x14ac:dyDescent="0.2">
      <c r="Z2040" t="str">
        <f t="shared" si="31"/>
        <v/>
      </c>
    </row>
    <row r="2041" spans="26:26" x14ac:dyDescent="0.2">
      <c r="Z2041" t="str">
        <f t="shared" si="31"/>
        <v/>
      </c>
    </row>
    <row r="2042" spans="26:26" x14ac:dyDescent="0.2">
      <c r="Z2042" t="str">
        <f t="shared" si="31"/>
        <v/>
      </c>
    </row>
    <row r="2043" spans="26:26" x14ac:dyDescent="0.2">
      <c r="Z2043" t="str">
        <f t="shared" si="31"/>
        <v/>
      </c>
    </row>
    <row r="2044" spans="26:26" x14ac:dyDescent="0.2">
      <c r="Z2044" t="str">
        <f t="shared" si="31"/>
        <v/>
      </c>
    </row>
    <row r="2045" spans="26:26" x14ac:dyDescent="0.2">
      <c r="Z2045" t="str">
        <f t="shared" si="31"/>
        <v/>
      </c>
    </row>
    <row r="2046" spans="26:26" x14ac:dyDescent="0.2">
      <c r="Z2046" t="str">
        <f t="shared" si="31"/>
        <v/>
      </c>
    </row>
    <row r="2047" spans="26:26" x14ac:dyDescent="0.2">
      <c r="Z2047" t="str">
        <f t="shared" si="31"/>
        <v/>
      </c>
    </row>
    <row r="2048" spans="26:26" x14ac:dyDescent="0.2">
      <c r="Z2048" t="str">
        <f t="shared" si="31"/>
        <v/>
      </c>
    </row>
    <row r="2049" spans="26:26" x14ac:dyDescent="0.2">
      <c r="Z2049" t="str">
        <f t="shared" si="31"/>
        <v/>
      </c>
    </row>
    <row r="2050" spans="26:26" x14ac:dyDescent="0.2">
      <c r="Z2050" t="str">
        <f t="shared" si="31"/>
        <v/>
      </c>
    </row>
    <row r="2051" spans="26:26" x14ac:dyDescent="0.2">
      <c r="Z2051" t="str">
        <f t="shared" ref="Z2051:Z2114" si="32">IF(K2051="","",IFERROR(VALUE(TRIM(MID(K2051,FIND(CHAR(167),SUBSTITUTE(K2051,"-",CHAR(167),LEN(K2051)-LEN(SUBSTITUTE(K2051,"-",""))))+1,100))),K2051))</f>
        <v/>
      </c>
    </row>
    <row r="2052" spans="26:26" x14ac:dyDescent="0.2">
      <c r="Z2052" t="str">
        <f t="shared" si="32"/>
        <v/>
      </c>
    </row>
    <row r="2053" spans="26:26" x14ac:dyDescent="0.2">
      <c r="Z2053" t="str">
        <f t="shared" si="32"/>
        <v/>
      </c>
    </row>
    <row r="2054" spans="26:26" x14ac:dyDescent="0.2">
      <c r="Z2054" t="str">
        <f t="shared" si="32"/>
        <v/>
      </c>
    </row>
    <row r="2055" spans="26:26" x14ac:dyDescent="0.2">
      <c r="Z2055" t="str">
        <f t="shared" si="32"/>
        <v/>
      </c>
    </row>
    <row r="2056" spans="26:26" x14ac:dyDescent="0.2">
      <c r="Z2056" t="str">
        <f t="shared" si="32"/>
        <v/>
      </c>
    </row>
    <row r="2057" spans="26:26" x14ac:dyDescent="0.2">
      <c r="Z2057" t="str">
        <f t="shared" si="32"/>
        <v/>
      </c>
    </row>
    <row r="2058" spans="26:26" x14ac:dyDescent="0.2">
      <c r="Z2058" t="str">
        <f t="shared" si="32"/>
        <v/>
      </c>
    </row>
    <row r="2059" spans="26:26" x14ac:dyDescent="0.2">
      <c r="Z2059" t="str">
        <f t="shared" si="32"/>
        <v/>
      </c>
    </row>
    <row r="2060" spans="26:26" x14ac:dyDescent="0.2">
      <c r="Z2060" t="str">
        <f t="shared" si="32"/>
        <v/>
      </c>
    </row>
    <row r="2061" spans="26:26" x14ac:dyDescent="0.2">
      <c r="Z2061" t="str">
        <f t="shared" si="32"/>
        <v/>
      </c>
    </row>
    <row r="2062" spans="26:26" x14ac:dyDescent="0.2">
      <c r="Z2062" t="str">
        <f t="shared" si="32"/>
        <v/>
      </c>
    </row>
    <row r="2063" spans="26:26" x14ac:dyDescent="0.2">
      <c r="Z2063" t="str">
        <f t="shared" si="32"/>
        <v/>
      </c>
    </row>
    <row r="2064" spans="26:26" x14ac:dyDescent="0.2">
      <c r="Z2064" t="str">
        <f t="shared" si="32"/>
        <v/>
      </c>
    </row>
    <row r="2065" spans="26:26" x14ac:dyDescent="0.2">
      <c r="Z2065" t="str">
        <f t="shared" si="32"/>
        <v/>
      </c>
    </row>
    <row r="2066" spans="26:26" x14ac:dyDescent="0.2">
      <c r="Z2066" t="str">
        <f t="shared" si="32"/>
        <v/>
      </c>
    </row>
    <row r="2067" spans="26:26" x14ac:dyDescent="0.2">
      <c r="Z2067" t="str">
        <f t="shared" si="32"/>
        <v/>
      </c>
    </row>
    <row r="2068" spans="26:26" x14ac:dyDescent="0.2">
      <c r="Z2068" t="str">
        <f t="shared" si="32"/>
        <v/>
      </c>
    </row>
    <row r="2069" spans="26:26" x14ac:dyDescent="0.2">
      <c r="Z2069" t="str">
        <f t="shared" si="32"/>
        <v/>
      </c>
    </row>
    <row r="2070" spans="26:26" x14ac:dyDescent="0.2">
      <c r="Z2070" t="str">
        <f t="shared" si="32"/>
        <v/>
      </c>
    </row>
    <row r="2071" spans="26:26" x14ac:dyDescent="0.2">
      <c r="Z2071" t="str">
        <f t="shared" si="32"/>
        <v/>
      </c>
    </row>
    <row r="2072" spans="26:26" x14ac:dyDescent="0.2">
      <c r="Z2072" t="str">
        <f t="shared" si="32"/>
        <v/>
      </c>
    </row>
    <row r="2073" spans="26:26" x14ac:dyDescent="0.2">
      <c r="Z2073" t="str">
        <f t="shared" si="32"/>
        <v/>
      </c>
    </row>
    <row r="2074" spans="26:26" x14ac:dyDescent="0.2">
      <c r="Z2074" t="str">
        <f t="shared" si="32"/>
        <v/>
      </c>
    </row>
    <row r="2075" spans="26:26" x14ac:dyDescent="0.2">
      <c r="Z2075" t="str">
        <f t="shared" si="32"/>
        <v/>
      </c>
    </row>
    <row r="2076" spans="26:26" x14ac:dyDescent="0.2">
      <c r="Z2076" t="str">
        <f t="shared" si="32"/>
        <v/>
      </c>
    </row>
    <row r="2077" spans="26:26" x14ac:dyDescent="0.2">
      <c r="Z2077" t="str">
        <f t="shared" si="32"/>
        <v/>
      </c>
    </row>
    <row r="2078" spans="26:26" x14ac:dyDescent="0.2">
      <c r="Z2078" t="str">
        <f t="shared" si="32"/>
        <v/>
      </c>
    </row>
    <row r="2079" spans="26:26" x14ac:dyDescent="0.2">
      <c r="Z2079" t="str">
        <f t="shared" si="32"/>
        <v/>
      </c>
    </row>
    <row r="2080" spans="26:26" x14ac:dyDescent="0.2">
      <c r="Z2080" t="str">
        <f t="shared" si="32"/>
        <v/>
      </c>
    </row>
    <row r="2081" spans="26:26" x14ac:dyDescent="0.2">
      <c r="Z2081" t="str">
        <f t="shared" si="32"/>
        <v/>
      </c>
    </row>
    <row r="2082" spans="26:26" x14ac:dyDescent="0.2">
      <c r="Z2082" t="str">
        <f t="shared" si="32"/>
        <v/>
      </c>
    </row>
    <row r="2083" spans="26:26" x14ac:dyDescent="0.2">
      <c r="Z2083" t="str">
        <f t="shared" si="32"/>
        <v/>
      </c>
    </row>
    <row r="2084" spans="26:26" x14ac:dyDescent="0.2">
      <c r="Z2084" t="str">
        <f t="shared" si="32"/>
        <v/>
      </c>
    </row>
    <row r="2085" spans="26:26" x14ac:dyDescent="0.2">
      <c r="Z2085" t="str">
        <f t="shared" si="32"/>
        <v/>
      </c>
    </row>
    <row r="2086" spans="26:26" x14ac:dyDescent="0.2">
      <c r="Z2086" t="str">
        <f t="shared" si="32"/>
        <v/>
      </c>
    </row>
    <row r="2087" spans="26:26" x14ac:dyDescent="0.2">
      <c r="Z2087" t="str">
        <f t="shared" si="32"/>
        <v/>
      </c>
    </row>
    <row r="2088" spans="26:26" x14ac:dyDescent="0.2">
      <c r="Z2088" t="str">
        <f t="shared" si="32"/>
        <v/>
      </c>
    </row>
    <row r="2089" spans="26:26" x14ac:dyDescent="0.2">
      <c r="Z2089" t="str">
        <f t="shared" si="32"/>
        <v/>
      </c>
    </row>
    <row r="2090" spans="26:26" x14ac:dyDescent="0.2">
      <c r="Z2090" t="str">
        <f t="shared" si="32"/>
        <v/>
      </c>
    </row>
    <row r="2091" spans="26:26" x14ac:dyDescent="0.2">
      <c r="Z2091" t="str">
        <f t="shared" si="32"/>
        <v/>
      </c>
    </row>
    <row r="2092" spans="26:26" x14ac:dyDescent="0.2">
      <c r="Z2092" t="str">
        <f t="shared" si="32"/>
        <v/>
      </c>
    </row>
    <row r="2093" spans="26:26" x14ac:dyDescent="0.2">
      <c r="Z2093" t="str">
        <f t="shared" si="32"/>
        <v/>
      </c>
    </row>
    <row r="2094" spans="26:26" x14ac:dyDescent="0.2">
      <c r="Z2094" t="str">
        <f t="shared" si="32"/>
        <v/>
      </c>
    </row>
    <row r="2095" spans="26:26" x14ac:dyDescent="0.2">
      <c r="Z2095" t="str">
        <f t="shared" si="32"/>
        <v/>
      </c>
    </row>
    <row r="2096" spans="26:26" x14ac:dyDescent="0.2">
      <c r="Z2096" t="str">
        <f t="shared" si="32"/>
        <v/>
      </c>
    </row>
    <row r="2097" spans="26:26" x14ac:dyDescent="0.2">
      <c r="Z2097" t="str">
        <f t="shared" si="32"/>
        <v/>
      </c>
    </row>
    <row r="2098" spans="26:26" x14ac:dyDescent="0.2">
      <c r="Z2098" t="str">
        <f t="shared" si="32"/>
        <v/>
      </c>
    </row>
    <row r="2099" spans="26:26" x14ac:dyDescent="0.2">
      <c r="Z2099" t="str">
        <f t="shared" si="32"/>
        <v/>
      </c>
    </row>
    <row r="2100" spans="26:26" x14ac:dyDescent="0.2">
      <c r="Z2100" t="str">
        <f t="shared" si="32"/>
        <v/>
      </c>
    </row>
    <row r="2101" spans="26:26" x14ac:dyDescent="0.2">
      <c r="Z2101" t="str">
        <f t="shared" si="32"/>
        <v/>
      </c>
    </row>
    <row r="2102" spans="26:26" x14ac:dyDescent="0.2">
      <c r="Z2102" t="str">
        <f t="shared" si="32"/>
        <v/>
      </c>
    </row>
    <row r="2103" spans="26:26" x14ac:dyDescent="0.2">
      <c r="Z2103" t="str">
        <f t="shared" si="32"/>
        <v/>
      </c>
    </row>
    <row r="2104" spans="26:26" x14ac:dyDescent="0.2">
      <c r="Z2104" t="str">
        <f t="shared" si="32"/>
        <v/>
      </c>
    </row>
    <row r="2105" spans="26:26" x14ac:dyDescent="0.2">
      <c r="Z2105" t="str">
        <f t="shared" si="32"/>
        <v/>
      </c>
    </row>
    <row r="2106" spans="26:26" x14ac:dyDescent="0.2">
      <c r="Z2106" t="str">
        <f t="shared" si="32"/>
        <v/>
      </c>
    </row>
    <row r="2107" spans="26:26" x14ac:dyDescent="0.2">
      <c r="Z2107" t="str">
        <f t="shared" si="32"/>
        <v/>
      </c>
    </row>
    <row r="2108" spans="26:26" x14ac:dyDescent="0.2">
      <c r="Z2108" t="str">
        <f t="shared" si="32"/>
        <v/>
      </c>
    </row>
    <row r="2109" spans="26:26" x14ac:dyDescent="0.2">
      <c r="Z2109" t="str">
        <f t="shared" si="32"/>
        <v/>
      </c>
    </row>
    <row r="2110" spans="26:26" x14ac:dyDescent="0.2">
      <c r="Z2110" t="str">
        <f t="shared" si="32"/>
        <v/>
      </c>
    </row>
    <row r="2111" spans="26:26" x14ac:dyDescent="0.2">
      <c r="Z2111" t="str">
        <f t="shared" si="32"/>
        <v/>
      </c>
    </row>
    <row r="2112" spans="26:26" x14ac:dyDescent="0.2">
      <c r="Z2112" t="str">
        <f t="shared" si="32"/>
        <v/>
      </c>
    </row>
    <row r="2113" spans="26:26" x14ac:dyDescent="0.2">
      <c r="Z2113" t="str">
        <f t="shared" si="32"/>
        <v/>
      </c>
    </row>
    <row r="2114" spans="26:26" x14ac:dyDescent="0.2">
      <c r="Z2114" t="str">
        <f t="shared" si="32"/>
        <v/>
      </c>
    </row>
    <row r="2115" spans="26:26" x14ac:dyDescent="0.2">
      <c r="Z2115" t="str">
        <f t="shared" ref="Z2115:Z2178" si="33">IF(K2115="","",IFERROR(VALUE(TRIM(MID(K2115,FIND(CHAR(167),SUBSTITUTE(K2115,"-",CHAR(167),LEN(K2115)-LEN(SUBSTITUTE(K2115,"-",""))))+1,100))),K2115))</f>
        <v/>
      </c>
    </row>
    <row r="2116" spans="26:26" x14ac:dyDescent="0.2">
      <c r="Z2116" t="str">
        <f t="shared" si="33"/>
        <v/>
      </c>
    </row>
    <row r="2117" spans="26:26" x14ac:dyDescent="0.2">
      <c r="Z2117" t="str">
        <f t="shared" si="33"/>
        <v/>
      </c>
    </row>
    <row r="2118" spans="26:26" x14ac:dyDescent="0.2">
      <c r="Z2118" t="str">
        <f t="shared" si="33"/>
        <v/>
      </c>
    </row>
    <row r="2119" spans="26:26" x14ac:dyDescent="0.2">
      <c r="Z2119" t="str">
        <f t="shared" si="33"/>
        <v/>
      </c>
    </row>
    <row r="2120" spans="26:26" x14ac:dyDescent="0.2">
      <c r="Z2120" t="str">
        <f t="shared" si="33"/>
        <v/>
      </c>
    </row>
    <row r="2121" spans="26:26" x14ac:dyDescent="0.2">
      <c r="Z2121" t="str">
        <f t="shared" si="33"/>
        <v/>
      </c>
    </row>
    <row r="2122" spans="26:26" x14ac:dyDescent="0.2">
      <c r="Z2122" t="str">
        <f t="shared" si="33"/>
        <v/>
      </c>
    </row>
    <row r="2123" spans="26:26" x14ac:dyDescent="0.2">
      <c r="Z2123" t="str">
        <f t="shared" si="33"/>
        <v/>
      </c>
    </row>
    <row r="2124" spans="26:26" x14ac:dyDescent="0.2">
      <c r="Z2124" t="str">
        <f t="shared" si="33"/>
        <v/>
      </c>
    </row>
    <row r="2125" spans="26:26" x14ac:dyDescent="0.2">
      <c r="Z2125" t="str">
        <f t="shared" si="33"/>
        <v/>
      </c>
    </row>
    <row r="2126" spans="26:26" x14ac:dyDescent="0.2">
      <c r="Z2126" t="str">
        <f t="shared" si="33"/>
        <v/>
      </c>
    </row>
    <row r="2127" spans="26:26" x14ac:dyDescent="0.2">
      <c r="Z2127" t="str">
        <f t="shared" si="33"/>
        <v/>
      </c>
    </row>
    <row r="2128" spans="26:26" x14ac:dyDescent="0.2">
      <c r="Z2128" t="str">
        <f t="shared" si="33"/>
        <v/>
      </c>
    </row>
    <row r="2129" spans="26:26" x14ac:dyDescent="0.2">
      <c r="Z2129" t="str">
        <f t="shared" si="33"/>
        <v/>
      </c>
    </row>
    <row r="2130" spans="26:26" x14ac:dyDescent="0.2">
      <c r="Z2130" t="str">
        <f t="shared" si="33"/>
        <v/>
      </c>
    </row>
    <row r="2131" spans="26:26" x14ac:dyDescent="0.2">
      <c r="Z2131" t="str">
        <f t="shared" si="33"/>
        <v/>
      </c>
    </row>
    <row r="2132" spans="26:26" x14ac:dyDescent="0.2">
      <c r="Z2132" t="str">
        <f t="shared" si="33"/>
        <v/>
      </c>
    </row>
    <row r="2133" spans="26:26" x14ac:dyDescent="0.2">
      <c r="Z2133" t="str">
        <f t="shared" si="33"/>
        <v/>
      </c>
    </row>
    <row r="2134" spans="26:26" x14ac:dyDescent="0.2">
      <c r="Z2134" t="str">
        <f t="shared" si="33"/>
        <v/>
      </c>
    </row>
    <row r="2135" spans="26:26" x14ac:dyDescent="0.2">
      <c r="Z2135" t="str">
        <f t="shared" si="33"/>
        <v/>
      </c>
    </row>
    <row r="2136" spans="26:26" x14ac:dyDescent="0.2">
      <c r="Z2136" t="str">
        <f t="shared" si="33"/>
        <v/>
      </c>
    </row>
    <row r="2137" spans="26:26" x14ac:dyDescent="0.2">
      <c r="Z2137" t="str">
        <f t="shared" si="33"/>
        <v/>
      </c>
    </row>
    <row r="2138" spans="26:26" x14ac:dyDescent="0.2">
      <c r="Z2138" t="str">
        <f t="shared" si="33"/>
        <v/>
      </c>
    </row>
    <row r="2139" spans="26:26" x14ac:dyDescent="0.2">
      <c r="Z2139" t="str">
        <f t="shared" si="33"/>
        <v/>
      </c>
    </row>
    <row r="2140" spans="26:26" x14ac:dyDescent="0.2">
      <c r="Z2140" t="str">
        <f t="shared" si="33"/>
        <v/>
      </c>
    </row>
    <row r="2141" spans="26:26" x14ac:dyDescent="0.2">
      <c r="Z2141" t="str">
        <f t="shared" si="33"/>
        <v/>
      </c>
    </row>
    <row r="2142" spans="26:26" x14ac:dyDescent="0.2">
      <c r="Z2142" t="str">
        <f t="shared" si="33"/>
        <v/>
      </c>
    </row>
    <row r="2143" spans="26:26" x14ac:dyDescent="0.2">
      <c r="Z2143" t="str">
        <f t="shared" si="33"/>
        <v/>
      </c>
    </row>
    <row r="2144" spans="26:26" x14ac:dyDescent="0.2">
      <c r="Z2144" t="str">
        <f t="shared" si="33"/>
        <v/>
      </c>
    </row>
    <row r="2145" spans="26:26" x14ac:dyDescent="0.2">
      <c r="Z2145" t="str">
        <f t="shared" si="33"/>
        <v/>
      </c>
    </row>
    <row r="2146" spans="26:26" x14ac:dyDescent="0.2">
      <c r="Z2146" t="str">
        <f t="shared" si="33"/>
        <v/>
      </c>
    </row>
    <row r="2147" spans="26:26" x14ac:dyDescent="0.2">
      <c r="Z2147" t="str">
        <f t="shared" si="33"/>
        <v/>
      </c>
    </row>
    <row r="2148" spans="26:26" x14ac:dyDescent="0.2">
      <c r="Z2148" t="str">
        <f t="shared" si="33"/>
        <v/>
      </c>
    </row>
    <row r="2149" spans="26:26" x14ac:dyDescent="0.2">
      <c r="Z2149" t="str">
        <f t="shared" si="33"/>
        <v/>
      </c>
    </row>
    <row r="2150" spans="26:26" x14ac:dyDescent="0.2">
      <c r="Z2150" t="str">
        <f t="shared" si="33"/>
        <v/>
      </c>
    </row>
    <row r="2151" spans="26:26" x14ac:dyDescent="0.2">
      <c r="Z2151" t="str">
        <f t="shared" si="33"/>
        <v/>
      </c>
    </row>
    <row r="2152" spans="26:26" x14ac:dyDescent="0.2">
      <c r="Z2152" t="str">
        <f t="shared" si="33"/>
        <v/>
      </c>
    </row>
    <row r="2153" spans="26:26" x14ac:dyDescent="0.2">
      <c r="Z2153" t="str">
        <f t="shared" si="33"/>
        <v/>
      </c>
    </row>
    <row r="2154" spans="26:26" x14ac:dyDescent="0.2">
      <c r="Z2154" t="str">
        <f t="shared" si="33"/>
        <v/>
      </c>
    </row>
    <row r="2155" spans="26:26" x14ac:dyDescent="0.2">
      <c r="Z2155" t="str">
        <f t="shared" si="33"/>
        <v/>
      </c>
    </row>
    <row r="2156" spans="26:26" x14ac:dyDescent="0.2">
      <c r="Z2156" t="str">
        <f t="shared" si="33"/>
        <v/>
      </c>
    </row>
    <row r="2157" spans="26:26" x14ac:dyDescent="0.2">
      <c r="Z2157" t="str">
        <f t="shared" si="33"/>
        <v/>
      </c>
    </row>
    <row r="2158" spans="26:26" x14ac:dyDescent="0.2">
      <c r="Z2158" t="str">
        <f t="shared" si="33"/>
        <v/>
      </c>
    </row>
    <row r="2159" spans="26:26" x14ac:dyDescent="0.2">
      <c r="Z2159" t="str">
        <f t="shared" si="33"/>
        <v/>
      </c>
    </row>
    <row r="2160" spans="26:26" x14ac:dyDescent="0.2">
      <c r="Z2160" t="str">
        <f t="shared" si="33"/>
        <v/>
      </c>
    </row>
    <row r="2161" spans="26:26" x14ac:dyDescent="0.2">
      <c r="Z2161" t="str">
        <f t="shared" si="33"/>
        <v/>
      </c>
    </row>
    <row r="2162" spans="26:26" x14ac:dyDescent="0.2">
      <c r="Z2162" t="str">
        <f t="shared" si="33"/>
        <v/>
      </c>
    </row>
    <row r="2163" spans="26:26" x14ac:dyDescent="0.2">
      <c r="Z2163" t="str">
        <f t="shared" si="33"/>
        <v/>
      </c>
    </row>
    <row r="2164" spans="26:26" x14ac:dyDescent="0.2">
      <c r="Z2164" t="str">
        <f t="shared" si="33"/>
        <v/>
      </c>
    </row>
    <row r="2165" spans="26:26" x14ac:dyDescent="0.2">
      <c r="Z2165" t="str">
        <f t="shared" si="33"/>
        <v/>
      </c>
    </row>
    <row r="2166" spans="26:26" x14ac:dyDescent="0.2">
      <c r="Z2166" t="str">
        <f t="shared" si="33"/>
        <v/>
      </c>
    </row>
    <row r="2167" spans="26:26" x14ac:dyDescent="0.2">
      <c r="Z2167" t="str">
        <f t="shared" si="33"/>
        <v/>
      </c>
    </row>
    <row r="2168" spans="26:26" x14ac:dyDescent="0.2">
      <c r="Z2168" t="str">
        <f t="shared" si="33"/>
        <v/>
      </c>
    </row>
    <row r="2169" spans="26:26" x14ac:dyDescent="0.2">
      <c r="Z2169" t="str">
        <f t="shared" si="33"/>
        <v/>
      </c>
    </row>
    <row r="2170" spans="26:26" x14ac:dyDescent="0.2">
      <c r="Z2170" t="str">
        <f t="shared" si="33"/>
        <v/>
      </c>
    </row>
    <row r="2171" spans="26:26" x14ac:dyDescent="0.2">
      <c r="Z2171" t="str">
        <f t="shared" si="33"/>
        <v/>
      </c>
    </row>
    <row r="2172" spans="26:26" x14ac:dyDescent="0.2">
      <c r="Z2172" t="str">
        <f t="shared" si="33"/>
        <v/>
      </c>
    </row>
    <row r="2173" spans="26:26" x14ac:dyDescent="0.2">
      <c r="Z2173" t="str">
        <f t="shared" si="33"/>
        <v/>
      </c>
    </row>
    <row r="2174" spans="26:26" x14ac:dyDescent="0.2">
      <c r="Z2174" t="str">
        <f t="shared" si="33"/>
        <v/>
      </c>
    </row>
    <row r="2175" spans="26:26" x14ac:dyDescent="0.2">
      <c r="Z2175" t="str">
        <f t="shared" si="33"/>
        <v/>
      </c>
    </row>
    <row r="2176" spans="26:26" x14ac:dyDescent="0.2">
      <c r="Z2176" t="str">
        <f t="shared" si="33"/>
        <v/>
      </c>
    </row>
    <row r="2177" spans="26:26" x14ac:dyDescent="0.2">
      <c r="Z2177" t="str">
        <f t="shared" si="33"/>
        <v/>
      </c>
    </row>
    <row r="2178" spans="26:26" x14ac:dyDescent="0.2">
      <c r="Z2178" t="str">
        <f t="shared" si="33"/>
        <v/>
      </c>
    </row>
    <row r="2179" spans="26:26" x14ac:dyDescent="0.2">
      <c r="Z2179" t="str">
        <f t="shared" ref="Z2179:Z2242" si="34">IF(K2179="","",IFERROR(VALUE(TRIM(MID(K2179,FIND(CHAR(167),SUBSTITUTE(K2179,"-",CHAR(167),LEN(K2179)-LEN(SUBSTITUTE(K2179,"-",""))))+1,100))),K2179))</f>
        <v/>
      </c>
    </row>
    <row r="2180" spans="26:26" x14ac:dyDescent="0.2">
      <c r="Z2180" t="str">
        <f t="shared" si="34"/>
        <v/>
      </c>
    </row>
    <row r="2181" spans="26:26" x14ac:dyDescent="0.2">
      <c r="Z2181" t="str">
        <f t="shared" si="34"/>
        <v/>
      </c>
    </row>
    <row r="2182" spans="26:26" x14ac:dyDescent="0.2">
      <c r="Z2182" t="str">
        <f t="shared" si="34"/>
        <v/>
      </c>
    </row>
    <row r="2183" spans="26:26" x14ac:dyDescent="0.2">
      <c r="Z2183" t="str">
        <f t="shared" si="34"/>
        <v/>
      </c>
    </row>
    <row r="2184" spans="26:26" x14ac:dyDescent="0.2">
      <c r="Z2184" t="str">
        <f t="shared" si="34"/>
        <v/>
      </c>
    </row>
    <row r="2185" spans="26:26" x14ac:dyDescent="0.2">
      <c r="Z2185" t="str">
        <f t="shared" si="34"/>
        <v/>
      </c>
    </row>
    <row r="2186" spans="26:26" x14ac:dyDescent="0.2">
      <c r="Z2186" t="str">
        <f t="shared" si="34"/>
        <v/>
      </c>
    </row>
    <row r="2187" spans="26:26" x14ac:dyDescent="0.2">
      <c r="Z2187" t="str">
        <f t="shared" si="34"/>
        <v/>
      </c>
    </row>
    <row r="2188" spans="26:26" x14ac:dyDescent="0.2">
      <c r="Z2188" t="str">
        <f t="shared" si="34"/>
        <v/>
      </c>
    </row>
    <row r="2189" spans="26:26" x14ac:dyDescent="0.2">
      <c r="Z2189" t="str">
        <f t="shared" si="34"/>
        <v/>
      </c>
    </row>
    <row r="2190" spans="26:26" x14ac:dyDescent="0.2">
      <c r="Z2190" t="str">
        <f t="shared" si="34"/>
        <v/>
      </c>
    </row>
    <row r="2191" spans="26:26" x14ac:dyDescent="0.2">
      <c r="Z2191" t="str">
        <f t="shared" si="34"/>
        <v/>
      </c>
    </row>
    <row r="2192" spans="26:26" x14ac:dyDescent="0.2">
      <c r="Z2192" t="str">
        <f t="shared" si="34"/>
        <v/>
      </c>
    </row>
    <row r="2193" spans="26:26" x14ac:dyDescent="0.2">
      <c r="Z2193" t="str">
        <f t="shared" si="34"/>
        <v/>
      </c>
    </row>
    <row r="2194" spans="26:26" x14ac:dyDescent="0.2">
      <c r="Z2194" t="str">
        <f t="shared" si="34"/>
        <v/>
      </c>
    </row>
    <row r="2195" spans="26:26" x14ac:dyDescent="0.2">
      <c r="Z2195" t="str">
        <f t="shared" si="34"/>
        <v/>
      </c>
    </row>
    <row r="2196" spans="26:26" x14ac:dyDescent="0.2">
      <c r="Z2196" t="str">
        <f t="shared" si="34"/>
        <v/>
      </c>
    </row>
    <row r="2197" spans="26:26" x14ac:dyDescent="0.2">
      <c r="Z2197" t="str">
        <f t="shared" si="34"/>
        <v/>
      </c>
    </row>
    <row r="2198" spans="26:26" x14ac:dyDescent="0.2">
      <c r="Z2198" t="str">
        <f t="shared" si="34"/>
        <v/>
      </c>
    </row>
    <row r="2199" spans="26:26" x14ac:dyDescent="0.2">
      <c r="Z2199" t="str">
        <f t="shared" si="34"/>
        <v/>
      </c>
    </row>
    <row r="2200" spans="26:26" x14ac:dyDescent="0.2">
      <c r="Z2200" t="str">
        <f t="shared" si="34"/>
        <v/>
      </c>
    </row>
    <row r="2201" spans="26:26" x14ac:dyDescent="0.2">
      <c r="Z2201" t="str">
        <f t="shared" si="34"/>
        <v/>
      </c>
    </row>
    <row r="2202" spans="26:26" x14ac:dyDescent="0.2">
      <c r="Z2202" t="str">
        <f t="shared" si="34"/>
        <v/>
      </c>
    </row>
    <row r="2203" spans="26:26" x14ac:dyDescent="0.2">
      <c r="Z2203" t="str">
        <f t="shared" si="34"/>
        <v/>
      </c>
    </row>
    <row r="2204" spans="26:26" x14ac:dyDescent="0.2">
      <c r="Z2204" t="str">
        <f t="shared" si="34"/>
        <v/>
      </c>
    </row>
    <row r="2205" spans="26:26" x14ac:dyDescent="0.2">
      <c r="Z2205" t="str">
        <f t="shared" si="34"/>
        <v/>
      </c>
    </row>
    <row r="2206" spans="26:26" x14ac:dyDescent="0.2">
      <c r="Z2206" t="str">
        <f t="shared" si="34"/>
        <v/>
      </c>
    </row>
    <row r="2207" spans="26:26" x14ac:dyDescent="0.2">
      <c r="Z2207" t="str">
        <f t="shared" si="34"/>
        <v/>
      </c>
    </row>
    <row r="2208" spans="26:26" x14ac:dyDescent="0.2">
      <c r="Z2208" t="str">
        <f t="shared" si="34"/>
        <v/>
      </c>
    </row>
    <row r="2209" spans="26:26" x14ac:dyDescent="0.2">
      <c r="Z2209" t="str">
        <f t="shared" si="34"/>
        <v/>
      </c>
    </row>
    <row r="2210" spans="26:26" x14ac:dyDescent="0.2">
      <c r="Z2210" t="str">
        <f t="shared" si="34"/>
        <v/>
      </c>
    </row>
    <row r="2211" spans="26:26" x14ac:dyDescent="0.2">
      <c r="Z2211" t="str">
        <f t="shared" si="34"/>
        <v/>
      </c>
    </row>
    <row r="2212" spans="26:26" x14ac:dyDescent="0.2">
      <c r="Z2212" t="str">
        <f t="shared" si="34"/>
        <v/>
      </c>
    </row>
    <row r="2213" spans="26:26" x14ac:dyDescent="0.2">
      <c r="Z2213" t="str">
        <f t="shared" si="34"/>
        <v/>
      </c>
    </row>
    <row r="2214" spans="26:26" x14ac:dyDescent="0.2">
      <c r="Z2214" t="str">
        <f t="shared" si="34"/>
        <v/>
      </c>
    </row>
    <row r="2215" spans="26:26" x14ac:dyDescent="0.2">
      <c r="Z2215" t="str">
        <f t="shared" si="34"/>
        <v/>
      </c>
    </row>
    <row r="2216" spans="26:26" x14ac:dyDescent="0.2">
      <c r="Z2216" t="str">
        <f t="shared" si="34"/>
        <v/>
      </c>
    </row>
    <row r="2217" spans="26:26" x14ac:dyDescent="0.2">
      <c r="Z2217" t="str">
        <f t="shared" si="34"/>
        <v/>
      </c>
    </row>
    <row r="2218" spans="26:26" x14ac:dyDescent="0.2">
      <c r="Z2218" t="str">
        <f t="shared" si="34"/>
        <v/>
      </c>
    </row>
    <row r="2219" spans="26:26" x14ac:dyDescent="0.2">
      <c r="Z2219" t="str">
        <f t="shared" si="34"/>
        <v/>
      </c>
    </row>
    <row r="2220" spans="26:26" x14ac:dyDescent="0.2">
      <c r="Z2220" t="str">
        <f t="shared" si="34"/>
        <v/>
      </c>
    </row>
    <row r="2221" spans="26:26" x14ac:dyDescent="0.2">
      <c r="Z2221" t="str">
        <f t="shared" si="34"/>
        <v/>
      </c>
    </row>
    <row r="2222" spans="26:26" x14ac:dyDescent="0.2">
      <c r="Z2222" t="str">
        <f t="shared" si="34"/>
        <v/>
      </c>
    </row>
    <row r="2223" spans="26:26" x14ac:dyDescent="0.2">
      <c r="Z2223" t="str">
        <f t="shared" si="34"/>
        <v/>
      </c>
    </row>
    <row r="2224" spans="26:26" x14ac:dyDescent="0.2">
      <c r="Z2224" t="str">
        <f t="shared" si="34"/>
        <v/>
      </c>
    </row>
    <row r="2225" spans="26:26" x14ac:dyDescent="0.2">
      <c r="Z2225" t="str">
        <f t="shared" si="34"/>
        <v/>
      </c>
    </row>
    <row r="2226" spans="26:26" x14ac:dyDescent="0.2">
      <c r="Z2226" t="str">
        <f t="shared" si="34"/>
        <v/>
      </c>
    </row>
    <row r="2227" spans="26:26" x14ac:dyDescent="0.2">
      <c r="Z2227" t="str">
        <f t="shared" si="34"/>
        <v/>
      </c>
    </row>
    <row r="2228" spans="26:26" x14ac:dyDescent="0.2">
      <c r="Z2228" t="str">
        <f t="shared" si="34"/>
        <v/>
      </c>
    </row>
    <row r="2229" spans="26:26" x14ac:dyDescent="0.2">
      <c r="Z2229" t="str">
        <f t="shared" si="34"/>
        <v/>
      </c>
    </row>
    <row r="2230" spans="26:26" x14ac:dyDescent="0.2">
      <c r="Z2230" t="str">
        <f t="shared" si="34"/>
        <v/>
      </c>
    </row>
    <row r="2231" spans="26:26" x14ac:dyDescent="0.2">
      <c r="Z2231" t="str">
        <f t="shared" si="34"/>
        <v/>
      </c>
    </row>
    <row r="2232" spans="26:26" x14ac:dyDescent="0.2">
      <c r="Z2232" t="str">
        <f t="shared" si="34"/>
        <v/>
      </c>
    </row>
    <row r="2233" spans="26:26" x14ac:dyDescent="0.2">
      <c r="Z2233" t="str">
        <f t="shared" si="34"/>
        <v/>
      </c>
    </row>
    <row r="2234" spans="26:26" x14ac:dyDescent="0.2">
      <c r="Z2234" t="str">
        <f t="shared" si="34"/>
        <v/>
      </c>
    </row>
    <row r="2235" spans="26:26" x14ac:dyDescent="0.2">
      <c r="Z2235" t="str">
        <f t="shared" si="34"/>
        <v/>
      </c>
    </row>
    <row r="2236" spans="26:26" x14ac:dyDescent="0.2">
      <c r="Z2236" t="str">
        <f t="shared" si="34"/>
        <v/>
      </c>
    </row>
    <row r="2237" spans="26:26" x14ac:dyDescent="0.2">
      <c r="Z2237" t="str">
        <f t="shared" si="34"/>
        <v/>
      </c>
    </row>
    <row r="2238" spans="26:26" x14ac:dyDescent="0.2">
      <c r="Z2238" t="str">
        <f t="shared" si="34"/>
        <v/>
      </c>
    </row>
    <row r="2239" spans="26:26" x14ac:dyDescent="0.2">
      <c r="Z2239" t="str">
        <f t="shared" si="34"/>
        <v/>
      </c>
    </row>
    <row r="2240" spans="26:26" x14ac:dyDescent="0.2">
      <c r="Z2240" t="str">
        <f t="shared" si="34"/>
        <v/>
      </c>
    </row>
    <row r="2241" spans="26:26" x14ac:dyDescent="0.2">
      <c r="Z2241" t="str">
        <f t="shared" si="34"/>
        <v/>
      </c>
    </row>
    <row r="2242" spans="26:26" x14ac:dyDescent="0.2">
      <c r="Z2242" t="str">
        <f t="shared" si="34"/>
        <v/>
      </c>
    </row>
    <row r="2243" spans="26:26" x14ac:dyDescent="0.2">
      <c r="Z2243" t="str">
        <f t="shared" ref="Z2243:Z2306" si="35">IF(K2243="","",IFERROR(VALUE(TRIM(MID(K2243,FIND(CHAR(167),SUBSTITUTE(K2243,"-",CHAR(167),LEN(K2243)-LEN(SUBSTITUTE(K2243,"-",""))))+1,100))),K2243))</f>
        <v/>
      </c>
    </row>
    <row r="2244" spans="26:26" x14ac:dyDescent="0.2">
      <c r="Z2244" t="str">
        <f t="shared" si="35"/>
        <v/>
      </c>
    </row>
    <row r="2245" spans="26:26" x14ac:dyDescent="0.2">
      <c r="Z2245" t="str">
        <f t="shared" si="35"/>
        <v/>
      </c>
    </row>
    <row r="2246" spans="26:26" x14ac:dyDescent="0.2">
      <c r="Z2246" t="str">
        <f t="shared" si="35"/>
        <v/>
      </c>
    </row>
    <row r="2247" spans="26:26" x14ac:dyDescent="0.2">
      <c r="Z2247" t="str">
        <f t="shared" si="35"/>
        <v/>
      </c>
    </row>
    <row r="2248" spans="26:26" x14ac:dyDescent="0.2">
      <c r="Z2248" t="str">
        <f t="shared" si="35"/>
        <v/>
      </c>
    </row>
    <row r="2249" spans="26:26" x14ac:dyDescent="0.2">
      <c r="Z2249" t="str">
        <f t="shared" si="35"/>
        <v/>
      </c>
    </row>
    <row r="2250" spans="26:26" x14ac:dyDescent="0.2">
      <c r="Z2250" t="str">
        <f t="shared" si="35"/>
        <v/>
      </c>
    </row>
    <row r="2251" spans="26:26" x14ac:dyDescent="0.2">
      <c r="Z2251" t="str">
        <f t="shared" si="35"/>
        <v/>
      </c>
    </row>
    <row r="2252" spans="26:26" x14ac:dyDescent="0.2">
      <c r="Z2252" t="str">
        <f t="shared" si="35"/>
        <v/>
      </c>
    </row>
    <row r="2253" spans="26:26" x14ac:dyDescent="0.2">
      <c r="Z2253" t="str">
        <f t="shared" si="35"/>
        <v/>
      </c>
    </row>
    <row r="2254" spans="26:26" x14ac:dyDescent="0.2">
      <c r="Z2254" t="str">
        <f t="shared" si="35"/>
        <v/>
      </c>
    </row>
    <row r="2255" spans="26:26" x14ac:dyDescent="0.2">
      <c r="Z2255" t="str">
        <f t="shared" si="35"/>
        <v/>
      </c>
    </row>
    <row r="2256" spans="26:26" x14ac:dyDescent="0.2">
      <c r="Z2256" t="str">
        <f t="shared" si="35"/>
        <v/>
      </c>
    </row>
    <row r="2257" spans="26:26" x14ac:dyDescent="0.2">
      <c r="Z2257" t="str">
        <f t="shared" si="35"/>
        <v/>
      </c>
    </row>
    <row r="2258" spans="26:26" x14ac:dyDescent="0.2">
      <c r="Z2258" t="str">
        <f t="shared" si="35"/>
        <v/>
      </c>
    </row>
    <row r="2259" spans="26:26" x14ac:dyDescent="0.2">
      <c r="Z2259" t="str">
        <f t="shared" si="35"/>
        <v/>
      </c>
    </row>
    <row r="2260" spans="26:26" x14ac:dyDescent="0.2">
      <c r="Z2260" t="str">
        <f t="shared" si="35"/>
        <v/>
      </c>
    </row>
    <row r="2261" spans="26:26" x14ac:dyDescent="0.2">
      <c r="Z2261" t="str">
        <f t="shared" si="35"/>
        <v/>
      </c>
    </row>
    <row r="2262" spans="26:26" x14ac:dyDescent="0.2">
      <c r="Z2262" t="str">
        <f t="shared" si="35"/>
        <v/>
      </c>
    </row>
    <row r="2263" spans="26:26" x14ac:dyDescent="0.2">
      <c r="Z2263" t="str">
        <f t="shared" si="35"/>
        <v/>
      </c>
    </row>
    <row r="2264" spans="26:26" x14ac:dyDescent="0.2">
      <c r="Z2264" t="str">
        <f t="shared" si="35"/>
        <v/>
      </c>
    </row>
    <row r="2265" spans="26:26" x14ac:dyDescent="0.2">
      <c r="Z2265" t="str">
        <f t="shared" si="35"/>
        <v/>
      </c>
    </row>
    <row r="2266" spans="26:26" x14ac:dyDescent="0.2">
      <c r="Z2266" t="str">
        <f t="shared" si="35"/>
        <v/>
      </c>
    </row>
    <row r="2267" spans="26:26" x14ac:dyDescent="0.2">
      <c r="Z2267" t="str">
        <f t="shared" si="35"/>
        <v/>
      </c>
    </row>
    <row r="2268" spans="26:26" x14ac:dyDescent="0.2">
      <c r="Z2268" t="str">
        <f t="shared" si="35"/>
        <v/>
      </c>
    </row>
    <row r="2269" spans="26:26" x14ac:dyDescent="0.2">
      <c r="Z2269" t="str">
        <f t="shared" si="35"/>
        <v/>
      </c>
    </row>
    <row r="2270" spans="26:26" x14ac:dyDescent="0.2">
      <c r="Z2270" t="str">
        <f t="shared" si="35"/>
        <v/>
      </c>
    </row>
    <row r="2271" spans="26:26" x14ac:dyDescent="0.2">
      <c r="Z2271" t="str">
        <f t="shared" si="35"/>
        <v/>
      </c>
    </row>
    <row r="2272" spans="26:26" x14ac:dyDescent="0.2">
      <c r="Z2272" t="str">
        <f t="shared" si="35"/>
        <v/>
      </c>
    </row>
    <row r="2273" spans="26:26" x14ac:dyDescent="0.2">
      <c r="Z2273" t="str">
        <f t="shared" si="35"/>
        <v/>
      </c>
    </row>
    <row r="2274" spans="26:26" x14ac:dyDescent="0.2">
      <c r="Z2274" t="str">
        <f t="shared" si="35"/>
        <v/>
      </c>
    </row>
    <row r="2275" spans="26:26" x14ac:dyDescent="0.2">
      <c r="Z2275" t="str">
        <f t="shared" si="35"/>
        <v/>
      </c>
    </row>
    <row r="2276" spans="26:26" x14ac:dyDescent="0.2">
      <c r="Z2276" t="str">
        <f t="shared" si="35"/>
        <v/>
      </c>
    </row>
    <row r="2277" spans="26:26" x14ac:dyDescent="0.2">
      <c r="Z2277" t="str">
        <f t="shared" si="35"/>
        <v/>
      </c>
    </row>
    <row r="2278" spans="26:26" x14ac:dyDescent="0.2">
      <c r="Z2278" t="str">
        <f t="shared" si="35"/>
        <v/>
      </c>
    </row>
    <row r="2279" spans="26:26" x14ac:dyDescent="0.2">
      <c r="Z2279" t="str">
        <f t="shared" si="35"/>
        <v/>
      </c>
    </row>
    <row r="2280" spans="26:26" x14ac:dyDescent="0.2">
      <c r="Z2280" t="str">
        <f t="shared" si="35"/>
        <v/>
      </c>
    </row>
    <row r="2281" spans="26:26" x14ac:dyDescent="0.2">
      <c r="Z2281" t="str">
        <f t="shared" si="35"/>
        <v/>
      </c>
    </row>
    <row r="2282" spans="26:26" x14ac:dyDescent="0.2">
      <c r="Z2282" t="str">
        <f t="shared" si="35"/>
        <v/>
      </c>
    </row>
    <row r="2283" spans="26:26" x14ac:dyDescent="0.2">
      <c r="Z2283" t="str">
        <f t="shared" si="35"/>
        <v/>
      </c>
    </row>
    <row r="2284" spans="26:26" x14ac:dyDescent="0.2">
      <c r="Z2284" t="str">
        <f t="shared" si="35"/>
        <v/>
      </c>
    </row>
    <row r="2285" spans="26:26" x14ac:dyDescent="0.2">
      <c r="Z2285" t="str">
        <f t="shared" si="35"/>
        <v/>
      </c>
    </row>
    <row r="2286" spans="26:26" x14ac:dyDescent="0.2">
      <c r="Z2286" t="str">
        <f t="shared" si="35"/>
        <v/>
      </c>
    </row>
    <row r="2287" spans="26:26" x14ac:dyDescent="0.2">
      <c r="Z2287" t="str">
        <f t="shared" si="35"/>
        <v/>
      </c>
    </row>
    <row r="2288" spans="26:26" x14ac:dyDescent="0.2">
      <c r="Z2288" t="str">
        <f t="shared" si="35"/>
        <v/>
      </c>
    </row>
    <row r="2289" spans="26:26" x14ac:dyDescent="0.2">
      <c r="Z2289" t="str">
        <f t="shared" si="35"/>
        <v/>
      </c>
    </row>
    <row r="2290" spans="26:26" x14ac:dyDescent="0.2">
      <c r="Z2290" t="str">
        <f t="shared" si="35"/>
        <v/>
      </c>
    </row>
    <row r="2291" spans="26:26" x14ac:dyDescent="0.2">
      <c r="Z2291" t="str">
        <f t="shared" si="35"/>
        <v/>
      </c>
    </row>
    <row r="2292" spans="26:26" x14ac:dyDescent="0.2">
      <c r="Z2292" t="str">
        <f t="shared" si="35"/>
        <v/>
      </c>
    </row>
    <row r="2293" spans="26:26" x14ac:dyDescent="0.2">
      <c r="Z2293" t="str">
        <f t="shared" si="35"/>
        <v/>
      </c>
    </row>
    <row r="2294" spans="26:26" x14ac:dyDescent="0.2">
      <c r="Z2294" t="str">
        <f t="shared" si="35"/>
        <v/>
      </c>
    </row>
    <row r="2295" spans="26:26" x14ac:dyDescent="0.2">
      <c r="Z2295" t="str">
        <f t="shared" si="35"/>
        <v/>
      </c>
    </row>
    <row r="2296" spans="26:26" x14ac:dyDescent="0.2">
      <c r="Z2296" t="str">
        <f t="shared" si="35"/>
        <v/>
      </c>
    </row>
    <row r="2297" spans="26:26" x14ac:dyDescent="0.2">
      <c r="Z2297" t="str">
        <f t="shared" si="35"/>
        <v/>
      </c>
    </row>
    <row r="2298" spans="26:26" x14ac:dyDescent="0.2">
      <c r="Z2298" t="str">
        <f t="shared" si="35"/>
        <v/>
      </c>
    </row>
    <row r="2299" spans="26:26" x14ac:dyDescent="0.2">
      <c r="Z2299" t="str">
        <f t="shared" si="35"/>
        <v/>
      </c>
    </row>
    <row r="2300" spans="26:26" x14ac:dyDescent="0.2">
      <c r="Z2300" t="str">
        <f t="shared" si="35"/>
        <v/>
      </c>
    </row>
    <row r="2301" spans="26:26" x14ac:dyDescent="0.2">
      <c r="Z2301" t="str">
        <f t="shared" si="35"/>
        <v/>
      </c>
    </row>
    <row r="2302" spans="26:26" x14ac:dyDescent="0.2">
      <c r="Z2302" t="str">
        <f t="shared" si="35"/>
        <v/>
      </c>
    </row>
    <row r="2303" spans="26:26" x14ac:dyDescent="0.2">
      <c r="Z2303" t="str">
        <f t="shared" si="35"/>
        <v/>
      </c>
    </row>
    <row r="2304" spans="26:26" x14ac:dyDescent="0.2">
      <c r="Z2304" t="str">
        <f t="shared" si="35"/>
        <v/>
      </c>
    </row>
    <row r="2305" spans="26:26" x14ac:dyDescent="0.2">
      <c r="Z2305" t="str">
        <f t="shared" si="35"/>
        <v/>
      </c>
    </row>
    <row r="2306" spans="26:26" x14ac:dyDescent="0.2">
      <c r="Z2306" t="str">
        <f t="shared" si="35"/>
        <v/>
      </c>
    </row>
    <row r="2307" spans="26:26" x14ac:dyDescent="0.2">
      <c r="Z2307" t="str">
        <f t="shared" ref="Z2307:Z2370" si="36">IF(K2307="","",IFERROR(VALUE(TRIM(MID(K2307,FIND(CHAR(167),SUBSTITUTE(K2307,"-",CHAR(167),LEN(K2307)-LEN(SUBSTITUTE(K2307,"-",""))))+1,100))),K2307))</f>
        <v/>
      </c>
    </row>
    <row r="2308" spans="26:26" x14ac:dyDescent="0.2">
      <c r="Z2308" t="str">
        <f t="shared" si="36"/>
        <v/>
      </c>
    </row>
    <row r="2309" spans="26:26" x14ac:dyDescent="0.2">
      <c r="Z2309" t="str">
        <f t="shared" si="36"/>
        <v/>
      </c>
    </row>
    <row r="2310" spans="26:26" x14ac:dyDescent="0.2">
      <c r="Z2310" t="str">
        <f t="shared" si="36"/>
        <v/>
      </c>
    </row>
    <row r="2311" spans="26:26" x14ac:dyDescent="0.2">
      <c r="Z2311" t="str">
        <f t="shared" si="36"/>
        <v/>
      </c>
    </row>
    <row r="2312" spans="26:26" x14ac:dyDescent="0.2">
      <c r="Z2312" t="str">
        <f t="shared" si="36"/>
        <v/>
      </c>
    </row>
    <row r="2313" spans="26:26" x14ac:dyDescent="0.2">
      <c r="Z2313" t="str">
        <f t="shared" si="36"/>
        <v/>
      </c>
    </row>
    <row r="2314" spans="26:26" x14ac:dyDescent="0.2">
      <c r="Z2314" t="str">
        <f t="shared" si="36"/>
        <v/>
      </c>
    </row>
    <row r="2315" spans="26:26" x14ac:dyDescent="0.2">
      <c r="Z2315" t="str">
        <f t="shared" si="36"/>
        <v/>
      </c>
    </row>
    <row r="2316" spans="26:26" x14ac:dyDescent="0.2">
      <c r="Z2316" t="str">
        <f t="shared" si="36"/>
        <v/>
      </c>
    </row>
    <row r="2317" spans="26:26" x14ac:dyDescent="0.2">
      <c r="Z2317" t="str">
        <f t="shared" si="36"/>
        <v/>
      </c>
    </row>
    <row r="2318" spans="26:26" x14ac:dyDescent="0.2">
      <c r="Z2318" t="str">
        <f t="shared" si="36"/>
        <v/>
      </c>
    </row>
    <row r="2319" spans="26:26" x14ac:dyDescent="0.2">
      <c r="Z2319" t="str">
        <f t="shared" si="36"/>
        <v/>
      </c>
    </row>
    <row r="2320" spans="26:26" x14ac:dyDescent="0.2">
      <c r="Z2320" t="str">
        <f t="shared" si="36"/>
        <v/>
      </c>
    </row>
    <row r="2321" spans="26:26" x14ac:dyDescent="0.2">
      <c r="Z2321" t="str">
        <f t="shared" si="36"/>
        <v/>
      </c>
    </row>
    <row r="2322" spans="26:26" x14ac:dyDescent="0.2">
      <c r="Z2322" t="str">
        <f t="shared" si="36"/>
        <v/>
      </c>
    </row>
    <row r="2323" spans="26:26" x14ac:dyDescent="0.2">
      <c r="Z2323" t="str">
        <f t="shared" si="36"/>
        <v/>
      </c>
    </row>
    <row r="2324" spans="26:26" x14ac:dyDescent="0.2">
      <c r="Z2324" t="str">
        <f t="shared" si="36"/>
        <v/>
      </c>
    </row>
    <row r="2325" spans="26:26" x14ac:dyDescent="0.2">
      <c r="Z2325" t="str">
        <f t="shared" si="36"/>
        <v/>
      </c>
    </row>
    <row r="2326" spans="26:26" x14ac:dyDescent="0.2">
      <c r="Z2326" t="str">
        <f t="shared" si="36"/>
        <v/>
      </c>
    </row>
    <row r="2327" spans="26:26" x14ac:dyDescent="0.2">
      <c r="Z2327" t="str">
        <f t="shared" si="36"/>
        <v/>
      </c>
    </row>
    <row r="2328" spans="26:26" x14ac:dyDescent="0.2">
      <c r="Z2328" t="str">
        <f t="shared" si="36"/>
        <v/>
      </c>
    </row>
    <row r="2329" spans="26:26" x14ac:dyDescent="0.2">
      <c r="Z2329" t="str">
        <f t="shared" si="36"/>
        <v/>
      </c>
    </row>
    <row r="2330" spans="26:26" x14ac:dyDescent="0.2">
      <c r="Z2330" t="str">
        <f t="shared" si="36"/>
        <v/>
      </c>
    </row>
    <row r="2331" spans="26:26" x14ac:dyDescent="0.2">
      <c r="Z2331" t="str">
        <f t="shared" si="36"/>
        <v/>
      </c>
    </row>
    <row r="2332" spans="26:26" x14ac:dyDescent="0.2">
      <c r="Z2332" t="str">
        <f t="shared" si="36"/>
        <v/>
      </c>
    </row>
    <row r="2333" spans="26:26" x14ac:dyDescent="0.2">
      <c r="Z2333" t="str">
        <f t="shared" si="36"/>
        <v/>
      </c>
    </row>
    <row r="2334" spans="26:26" x14ac:dyDescent="0.2">
      <c r="Z2334" t="str">
        <f t="shared" si="36"/>
        <v/>
      </c>
    </row>
    <row r="2335" spans="26:26" x14ac:dyDescent="0.2">
      <c r="Z2335" t="str">
        <f t="shared" si="36"/>
        <v/>
      </c>
    </row>
    <row r="2336" spans="26:26" x14ac:dyDescent="0.2">
      <c r="Z2336" t="str">
        <f t="shared" si="36"/>
        <v/>
      </c>
    </row>
    <row r="2337" spans="26:26" x14ac:dyDescent="0.2">
      <c r="Z2337" t="str">
        <f t="shared" si="36"/>
        <v/>
      </c>
    </row>
    <row r="2338" spans="26:26" x14ac:dyDescent="0.2">
      <c r="Z2338" t="str">
        <f t="shared" si="36"/>
        <v/>
      </c>
    </row>
    <row r="2339" spans="26:26" x14ac:dyDescent="0.2">
      <c r="Z2339" t="str">
        <f t="shared" si="36"/>
        <v/>
      </c>
    </row>
    <row r="2340" spans="26:26" x14ac:dyDescent="0.2">
      <c r="Z2340" t="str">
        <f t="shared" si="36"/>
        <v/>
      </c>
    </row>
    <row r="2341" spans="26:26" x14ac:dyDescent="0.2">
      <c r="Z2341" t="str">
        <f t="shared" si="36"/>
        <v/>
      </c>
    </row>
    <row r="2342" spans="26:26" x14ac:dyDescent="0.2">
      <c r="Z2342" t="str">
        <f t="shared" si="36"/>
        <v/>
      </c>
    </row>
    <row r="2343" spans="26:26" x14ac:dyDescent="0.2">
      <c r="Z2343" t="str">
        <f t="shared" si="36"/>
        <v/>
      </c>
    </row>
    <row r="2344" spans="26:26" x14ac:dyDescent="0.2">
      <c r="Z2344" t="str">
        <f t="shared" si="36"/>
        <v/>
      </c>
    </row>
    <row r="2345" spans="26:26" x14ac:dyDescent="0.2">
      <c r="Z2345" t="str">
        <f t="shared" si="36"/>
        <v/>
      </c>
    </row>
    <row r="2346" spans="26:26" x14ac:dyDescent="0.2">
      <c r="Z2346" t="str">
        <f t="shared" si="36"/>
        <v/>
      </c>
    </row>
    <row r="2347" spans="26:26" x14ac:dyDescent="0.2">
      <c r="Z2347" t="str">
        <f t="shared" si="36"/>
        <v/>
      </c>
    </row>
    <row r="2348" spans="26:26" x14ac:dyDescent="0.2">
      <c r="Z2348" t="str">
        <f t="shared" si="36"/>
        <v/>
      </c>
    </row>
    <row r="2349" spans="26:26" x14ac:dyDescent="0.2">
      <c r="Z2349" t="str">
        <f t="shared" si="36"/>
        <v/>
      </c>
    </row>
    <row r="2350" spans="26:26" x14ac:dyDescent="0.2">
      <c r="Z2350" t="str">
        <f t="shared" si="36"/>
        <v/>
      </c>
    </row>
    <row r="2351" spans="26:26" x14ac:dyDescent="0.2">
      <c r="Z2351" t="str">
        <f t="shared" si="36"/>
        <v/>
      </c>
    </row>
    <row r="2352" spans="26:26" x14ac:dyDescent="0.2">
      <c r="Z2352" t="str">
        <f t="shared" si="36"/>
        <v/>
      </c>
    </row>
    <row r="2353" spans="26:26" x14ac:dyDescent="0.2">
      <c r="Z2353" t="str">
        <f t="shared" si="36"/>
        <v/>
      </c>
    </row>
    <row r="2354" spans="26:26" x14ac:dyDescent="0.2">
      <c r="Z2354" t="str">
        <f t="shared" si="36"/>
        <v/>
      </c>
    </row>
    <row r="2355" spans="26:26" x14ac:dyDescent="0.2">
      <c r="Z2355" t="str">
        <f t="shared" si="36"/>
        <v/>
      </c>
    </row>
    <row r="2356" spans="26:26" x14ac:dyDescent="0.2">
      <c r="Z2356" t="str">
        <f t="shared" si="36"/>
        <v/>
      </c>
    </row>
    <row r="2357" spans="26:26" x14ac:dyDescent="0.2">
      <c r="Z2357" t="str">
        <f t="shared" si="36"/>
        <v/>
      </c>
    </row>
    <row r="2358" spans="26:26" x14ac:dyDescent="0.2">
      <c r="Z2358" t="str">
        <f t="shared" si="36"/>
        <v/>
      </c>
    </row>
    <row r="2359" spans="26:26" x14ac:dyDescent="0.2">
      <c r="Z2359" t="str">
        <f t="shared" si="36"/>
        <v/>
      </c>
    </row>
    <row r="2360" spans="26:26" x14ac:dyDescent="0.2">
      <c r="Z2360" t="str">
        <f t="shared" si="36"/>
        <v/>
      </c>
    </row>
    <row r="2361" spans="26:26" x14ac:dyDescent="0.2">
      <c r="Z2361" t="str">
        <f t="shared" si="36"/>
        <v/>
      </c>
    </row>
    <row r="2362" spans="26:26" x14ac:dyDescent="0.2">
      <c r="Z2362" t="str">
        <f t="shared" si="36"/>
        <v/>
      </c>
    </row>
    <row r="2363" spans="26:26" x14ac:dyDescent="0.2">
      <c r="Z2363" t="str">
        <f t="shared" si="36"/>
        <v/>
      </c>
    </row>
    <row r="2364" spans="26:26" x14ac:dyDescent="0.2">
      <c r="Z2364" t="str">
        <f t="shared" si="36"/>
        <v/>
      </c>
    </row>
    <row r="2365" spans="26:26" x14ac:dyDescent="0.2">
      <c r="Z2365" t="str">
        <f t="shared" si="36"/>
        <v/>
      </c>
    </row>
    <row r="2366" spans="26:26" x14ac:dyDescent="0.2">
      <c r="Z2366" t="str">
        <f t="shared" si="36"/>
        <v/>
      </c>
    </row>
    <row r="2367" spans="26:26" x14ac:dyDescent="0.2">
      <c r="Z2367" t="str">
        <f t="shared" si="36"/>
        <v/>
      </c>
    </row>
    <row r="2368" spans="26:26" x14ac:dyDescent="0.2">
      <c r="Z2368" t="str">
        <f t="shared" si="36"/>
        <v/>
      </c>
    </row>
    <row r="2369" spans="26:26" x14ac:dyDescent="0.2">
      <c r="Z2369" t="str">
        <f t="shared" si="36"/>
        <v/>
      </c>
    </row>
    <row r="2370" spans="26:26" x14ac:dyDescent="0.2">
      <c r="Z2370" t="str">
        <f t="shared" si="36"/>
        <v/>
      </c>
    </row>
    <row r="2371" spans="26:26" x14ac:dyDescent="0.2">
      <c r="Z2371" t="str">
        <f t="shared" ref="Z2371:Z2434" si="37">IF(K2371="","",IFERROR(VALUE(TRIM(MID(K2371,FIND(CHAR(167),SUBSTITUTE(K2371,"-",CHAR(167),LEN(K2371)-LEN(SUBSTITUTE(K2371,"-",""))))+1,100))),K2371))</f>
        <v/>
      </c>
    </row>
    <row r="2372" spans="26:26" x14ac:dyDescent="0.2">
      <c r="Z2372" t="str">
        <f t="shared" si="37"/>
        <v/>
      </c>
    </row>
    <row r="2373" spans="26:26" x14ac:dyDescent="0.2">
      <c r="Z2373" t="str">
        <f t="shared" si="37"/>
        <v/>
      </c>
    </row>
    <row r="2374" spans="26:26" x14ac:dyDescent="0.2">
      <c r="Z2374" t="str">
        <f t="shared" si="37"/>
        <v/>
      </c>
    </row>
    <row r="2375" spans="26:26" x14ac:dyDescent="0.2">
      <c r="Z2375" t="str">
        <f t="shared" si="37"/>
        <v/>
      </c>
    </row>
    <row r="2376" spans="26:26" x14ac:dyDescent="0.2">
      <c r="Z2376" t="str">
        <f t="shared" si="37"/>
        <v/>
      </c>
    </row>
    <row r="2377" spans="26:26" x14ac:dyDescent="0.2">
      <c r="Z2377" t="str">
        <f t="shared" si="37"/>
        <v/>
      </c>
    </row>
    <row r="2378" spans="26:26" x14ac:dyDescent="0.2">
      <c r="Z2378" t="str">
        <f t="shared" si="37"/>
        <v/>
      </c>
    </row>
    <row r="2379" spans="26:26" x14ac:dyDescent="0.2">
      <c r="Z2379" t="str">
        <f t="shared" si="37"/>
        <v/>
      </c>
    </row>
    <row r="2380" spans="26:26" x14ac:dyDescent="0.2">
      <c r="Z2380" t="str">
        <f t="shared" si="37"/>
        <v/>
      </c>
    </row>
    <row r="2381" spans="26:26" x14ac:dyDescent="0.2">
      <c r="Z2381" t="str">
        <f t="shared" si="37"/>
        <v/>
      </c>
    </row>
    <row r="2382" spans="26:26" x14ac:dyDescent="0.2">
      <c r="Z2382" t="str">
        <f t="shared" si="37"/>
        <v/>
      </c>
    </row>
    <row r="2383" spans="26:26" x14ac:dyDescent="0.2">
      <c r="Z2383" t="str">
        <f t="shared" si="37"/>
        <v/>
      </c>
    </row>
    <row r="2384" spans="26:26" x14ac:dyDescent="0.2">
      <c r="Z2384" t="str">
        <f t="shared" si="37"/>
        <v/>
      </c>
    </row>
    <row r="2385" spans="26:26" x14ac:dyDescent="0.2">
      <c r="Z2385" t="str">
        <f t="shared" si="37"/>
        <v/>
      </c>
    </row>
    <row r="2386" spans="26:26" x14ac:dyDescent="0.2">
      <c r="Z2386" t="str">
        <f t="shared" si="37"/>
        <v/>
      </c>
    </row>
    <row r="2387" spans="26:26" x14ac:dyDescent="0.2">
      <c r="Z2387" t="str">
        <f t="shared" si="37"/>
        <v/>
      </c>
    </row>
    <row r="2388" spans="26:26" x14ac:dyDescent="0.2">
      <c r="Z2388" t="str">
        <f t="shared" si="37"/>
        <v/>
      </c>
    </row>
    <row r="2389" spans="26:26" x14ac:dyDescent="0.2">
      <c r="Z2389" t="str">
        <f t="shared" si="37"/>
        <v/>
      </c>
    </row>
    <row r="2390" spans="26:26" x14ac:dyDescent="0.2">
      <c r="Z2390" t="str">
        <f t="shared" si="37"/>
        <v/>
      </c>
    </row>
    <row r="2391" spans="26:26" x14ac:dyDescent="0.2">
      <c r="Z2391" t="str">
        <f t="shared" si="37"/>
        <v/>
      </c>
    </row>
    <row r="2392" spans="26:26" x14ac:dyDescent="0.2">
      <c r="Z2392" t="str">
        <f t="shared" si="37"/>
        <v/>
      </c>
    </row>
    <row r="2393" spans="26:26" x14ac:dyDescent="0.2">
      <c r="Z2393" t="str">
        <f t="shared" si="37"/>
        <v/>
      </c>
    </row>
    <row r="2394" spans="26:26" x14ac:dyDescent="0.2">
      <c r="Z2394" t="str">
        <f t="shared" si="37"/>
        <v/>
      </c>
    </row>
    <row r="2395" spans="26:26" x14ac:dyDescent="0.2">
      <c r="Z2395" t="str">
        <f t="shared" si="37"/>
        <v/>
      </c>
    </row>
    <row r="2396" spans="26:26" x14ac:dyDescent="0.2">
      <c r="Z2396" t="str">
        <f t="shared" si="37"/>
        <v/>
      </c>
    </row>
    <row r="2397" spans="26:26" x14ac:dyDescent="0.2">
      <c r="Z2397" t="str">
        <f t="shared" si="37"/>
        <v/>
      </c>
    </row>
    <row r="2398" spans="26:26" x14ac:dyDescent="0.2">
      <c r="Z2398" t="str">
        <f t="shared" si="37"/>
        <v/>
      </c>
    </row>
    <row r="2399" spans="26:26" x14ac:dyDescent="0.2">
      <c r="Z2399" t="str">
        <f t="shared" si="37"/>
        <v/>
      </c>
    </row>
    <row r="2400" spans="26:26" x14ac:dyDescent="0.2">
      <c r="Z2400" t="str">
        <f t="shared" si="37"/>
        <v/>
      </c>
    </row>
    <row r="2401" spans="26:26" x14ac:dyDescent="0.2">
      <c r="Z2401" t="str">
        <f t="shared" si="37"/>
        <v/>
      </c>
    </row>
    <row r="2402" spans="26:26" x14ac:dyDescent="0.2">
      <c r="Z2402" t="str">
        <f t="shared" si="37"/>
        <v/>
      </c>
    </row>
    <row r="2403" spans="26:26" x14ac:dyDescent="0.2">
      <c r="Z2403" t="str">
        <f t="shared" si="37"/>
        <v/>
      </c>
    </row>
    <row r="2404" spans="26:26" x14ac:dyDescent="0.2">
      <c r="Z2404" t="str">
        <f t="shared" si="37"/>
        <v/>
      </c>
    </row>
    <row r="2405" spans="26:26" x14ac:dyDescent="0.2">
      <c r="Z2405" t="str">
        <f t="shared" si="37"/>
        <v/>
      </c>
    </row>
    <row r="2406" spans="26:26" x14ac:dyDescent="0.2">
      <c r="Z2406" t="str">
        <f t="shared" si="37"/>
        <v/>
      </c>
    </row>
    <row r="2407" spans="26:26" x14ac:dyDescent="0.2">
      <c r="Z2407" t="str">
        <f t="shared" si="37"/>
        <v/>
      </c>
    </row>
    <row r="2408" spans="26:26" x14ac:dyDescent="0.2">
      <c r="Z2408" t="str">
        <f t="shared" si="37"/>
        <v/>
      </c>
    </row>
    <row r="2409" spans="26:26" x14ac:dyDescent="0.2">
      <c r="Z2409" t="str">
        <f t="shared" si="37"/>
        <v/>
      </c>
    </row>
    <row r="2410" spans="26:26" x14ac:dyDescent="0.2">
      <c r="Z2410" t="str">
        <f t="shared" si="37"/>
        <v/>
      </c>
    </row>
    <row r="2411" spans="26:26" x14ac:dyDescent="0.2">
      <c r="Z2411" t="str">
        <f t="shared" si="37"/>
        <v/>
      </c>
    </row>
    <row r="2412" spans="26:26" x14ac:dyDescent="0.2">
      <c r="Z2412" t="str">
        <f t="shared" si="37"/>
        <v/>
      </c>
    </row>
    <row r="2413" spans="26:26" x14ac:dyDescent="0.2">
      <c r="Z2413" t="str">
        <f t="shared" si="37"/>
        <v/>
      </c>
    </row>
    <row r="2414" spans="26:26" x14ac:dyDescent="0.2">
      <c r="Z2414" t="str">
        <f t="shared" si="37"/>
        <v/>
      </c>
    </row>
    <row r="2415" spans="26:26" x14ac:dyDescent="0.2">
      <c r="Z2415" t="str">
        <f t="shared" si="37"/>
        <v/>
      </c>
    </row>
    <row r="2416" spans="26:26" x14ac:dyDescent="0.2">
      <c r="Z2416" t="str">
        <f t="shared" si="37"/>
        <v/>
      </c>
    </row>
    <row r="2417" spans="26:26" x14ac:dyDescent="0.2">
      <c r="Z2417" t="str">
        <f t="shared" si="37"/>
        <v/>
      </c>
    </row>
    <row r="2418" spans="26:26" x14ac:dyDescent="0.2">
      <c r="Z2418" t="str">
        <f t="shared" si="37"/>
        <v/>
      </c>
    </row>
    <row r="2419" spans="26:26" x14ac:dyDescent="0.2">
      <c r="Z2419" t="str">
        <f t="shared" si="37"/>
        <v/>
      </c>
    </row>
    <row r="2420" spans="26:26" x14ac:dyDescent="0.2">
      <c r="Z2420" t="str">
        <f t="shared" si="37"/>
        <v/>
      </c>
    </row>
    <row r="2421" spans="26:26" x14ac:dyDescent="0.2">
      <c r="Z2421" t="str">
        <f t="shared" si="37"/>
        <v/>
      </c>
    </row>
    <row r="2422" spans="26:26" x14ac:dyDescent="0.2">
      <c r="Z2422" t="str">
        <f t="shared" si="37"/>
        <v/>
      </c>
    </row>
    <row r="2423" spans="26:26" x14ac:dyDescent="0.2">
      <c r="Z2423" t="str">
        <f t="shared" si="37"/>
        <v/>
      </c>
    </row>
    <row r="2424" spans="26:26" x14ac:dyDescent="0.2">
      <c r="Z2424" t="str">
        <f t="shared" si="37"/>
        <v/>
      </c>
    </row>
    <row r="2425" spans="26:26" x14ac:dyDescent="0.2">
      <c r="Z2425" t="str">
        <f t="shared" si="37"/>
        <v/>
      </c>
    </row>
    <row r="2426" spans="26:26" x14ac:dyDescent="0.2">
      <c r="Z2426" t="str">
        <f t="shared" si="37"/>
        <v/>
      </c>
    </row>
    <row r="2427" spans="26:26" x14ac:dyDescent="0.2">
      <c r="Z2427" t="str">
        <f t="shared" si="37"/>
        <v/>
      </c>
    </row>
    <row r="2428" spans="26:26" x14ac:dyDescent="0.2">
      <c r="Z2428" t="str">
        <f t="shared" si="37"/>
        <v/>
      </c>
    </row>
    <row r="2429" spans="26:26" x14ac:dyDescent="0.2">
      <c r="Z2429" t="str">
        <f t="shared" si="37"/>
        <v/>
      </c>
    </row>
    <row r="2430" spans="26:26" x14ac:dyDescent="0.2">
      <c r="Z2430" t="str">
        <f t="shared" si="37"/>
        <v/>
      </c>
    </row>
    <row r="2431" spans="26:26" x14ac:dyDescent="0.2">
      <c r="Z2431" t="str">
        <f t="shared" si="37"/>
        <v/>
      </c>
    </row>
    <row r="2432" spans="26:26" x14ac:dyDescent="0.2">
      <c r="Z2432" t="str">
        <f t="shared" si="37"/>
        <v/>
      </c>
    </row>
    <row r="2433" spans="26:26" x14ac:dyDescent="0.2">
      <c r="Z2433" t="str">
        <f t="shared" si="37"/>
        <v/>
      </c>
    </row>
    <row r="2434" spans="26:26" x14ac:dyDescent="0.2">
      <c r="Z2434" t="str">
        <f t="shared" si="37"/>
        <v/>
      </c>
    </row>
    <row r="2435" spans="26:26" x14ac:dyDescent="0.2">
      <c r="Z2435" t="str">
        <f t="shared" ref="Z2435:Z2498" si="38">IF(K2435="","",IFERROR(VALUE(TRIM(MID(K2435,FIND(CHAR(167),SUBSTITUTE(K2435,"-",CHAR(167),LEN(K2435)-LEN(SUBSTITUTE(K2435,"-",""))))+1,100))),K2435))</f>
        <v/>
      </c>
    </row>
    <row r="2436" spans="26:26" x14ac:dyDescent="0.2">
      <c r="Z2436" t="str">
        <f t="shared" si="38"/>
        <v/>
      </c>
    </row>
    <row r="2437" spans="26:26" x14ac:dyDescent="0.2">
      <c r="Z2437" t="str">
        <f t="shared" si="38"/>
        <v/>
      </c>
    </row>
    <row r="2438" spans="26:26" x14ac:dyDescent="0.2">
      <c r="Z2438" t="str">
        <f t="shared" si="38"/>
        <v/>
      </c>
    </row>
    <row r="2439" spans="26:26" x14ac:dyDescent="0.2">
      <c r="Z2439" t="str">
        <f t="shared" si="38"/>
        <v/>
      </c>
    </row>
    <row r="2440" spans="26:26" x14ac:dyDescent="0.2">
      <c r="Z2440" t="str">
        <f t="shared" si="38"/>
        <v/>
      </c>
    </row>
    <row r="2441" spans="26:26" x14ac:dyDescent="0.2">
      <c r="Z2441" t="str">
        <f t="shared" si="38"/>
        <v/>
      </c>
    </row>
    <row r="2442" spans="26:26" x14ac:dyDescent="0.2">
      <c r="Z2442" t="str">
        <f t="shared" si="38"/>
        <v/>
      </c>
    </row>
    <row r="2443" spans="26:26" x14ac:dyDescent="0.2">
      <c r="Z2443" t="str">
        <f t="shared" si="38"/>
        <v/>
      </c>
    </row>
    <row r="2444" spans="26:26" x14ac:dyDescent="0.2">
      <c r="Z2444" t="str">
        <f t="shared" si="38"/>
        <v/>
      </c>
    </row>
    <row r="2445" spans="26:26" x14ac:dyDescent="0.2">
      <c r="Z2445" t="str">
        <f t="shared" si="38"/>
        <v/>
      </c>
    </row>
    <row r="2446" spans="26:26" x14ac:dyDescent="0.2">
      <c r="Z2446" t="str">
        <f t="shared" si="38"/>
        <v/>
      </c>
    </row>
    <row r="2447" spans="26:26" x14ac:dyDescent="0.2">
      <c r="Z2447" t="str">
        <f t="shared" si="38"/>
        <v/>
      </c>
    </row>
    <row r="2448" spans="26:26" x14ac:dyDescent="0.2">
      <c r="Z2448" t="str">
        <f t="shared" si="38"/>
        <v/>
      </c>
    </row>
    <row r="2449" spans="26:26" x14ac:dyDescent="0.2">
      <c r="Z2449" t="str">
        <f t="shared" si="38"/>
        <v/>
      </c>
    </row>
    <row r="2450" spans="26:26" x14ac:dyDescent="0.2">
      <c r="Z2450" t="str">
        <f t="shared" si="38"/>
        <v/>
      </c>
    </row>
    <row r="2451" spans="26:26" x14ac:dyDescent="0.2">
      <c r="Z2451" t="str">
        <f t="shared" si="38"/>
        <v/>
      </c>
    </row>
    <row r="2452" spans="26:26" x14ac:dyDescent="0.2">
      <c r="Z2452" t="str">
        <f t="shared" si="38"/>
        <v/>
      </c>
    </row>
    <row r="2453" spans="26:26" x14ac:dyDescent="0.2">
      <c r="Z2453" t="str">
        <f t="shared" si="38"/>
        <v/>
      </c>
    </row>
    <row r="2454" spans="26:26" x14ac:dyDescent="0.2">
      <c r="Z2454" t="str">
        <f t="shared" si="38"/>
        <v/>
      </c>
    </row>
    <row r="2455" spans="26:26" x14ac:dyDescent="0.2">
      <c r="Z2455" t="str">
        <f t="shared" si="38"/>
        <v/>
      </c>
    </row>
    <row r="2456" spans="26:26" x14ac:dyDescent="0.2">
      <c r="Z2456" t="str">
        <f t="shared" si="38"/>
        <v/>
      </c>
    </row>
    <row r="2457" spans="26:26" x14ac:dyDescent="0.2">
      <c r="Z2457" t="str">
        <f t="shared" si="38"/>
        <v/>
      </c>
    </row>
    <row r="2458" spans="26:26" x14ac:dyDescent="0.2">
      <c r="Z2458" t="str">
        <f t="shared" si="38"/>
        <v/>
      </c>
    </row>
    <row r="2459" spans="26:26" x14ac:dyDescent="0.2">
      <c r="Z2459" t="str">
        <f t="shared" si="38"/>
        <v/>
      </c>
    </row>
    <row r="2460" spans="26:26" x14ac:dyDescent="0.2">
      <c r="Z2460" t="str">
        <f t="shared" si="38"/>
        <v/>
      </c>
    </row>
    <row r="2461" spans="26:26" x14ac:dyDescent="0.2">
      <c r="Z2461" t="str">
        <f t="shared" si="38"/>
        <v/>
      </c>
    </row>
    <row r="2462" spans="26:26" x14ac:dyDescent="0.2">
      <c r="Z2462" t="str">
        <f t="shared" si="38"/>
        <v/>
      </c>
    </row>
    <row r="2463" spans="26:26" x14ac:dyDescent="0.2">
      <c r="Z2463" t="str">
        <f t="shared" si="38"/>
        <v/>
      </c>
    </row>
    <row r="2464" spans="26:26" x14ac:dyDescent="0.2">
      <c r="Z2464" t="str">
        <f t="shared" si="38"/>
        <v/>
      </c>
    </row>
    <row r="2465" spans="26:26" x14ac:dyDescent="0.2">
      <c r="Z2465" t="str">
        <f t="shared" si="38"/>
        <v/>
      </c>
    </row>
    <row r="2466" spans="26:26" x14ac:dyDescent="0.2">
      <c r="Z2466" t="str">
        <f t="shared" si="38"/>
        <v/>
      </c>
    </row>
    <row r="2467" spans="26:26" x14ac:dyDescent="0.2">
      <c r="Z2467" t="str">
        <f t="shared" si="38"/>
        <v/>
      </c>
    </row>
    <row r="2468" spans="26:26" x14ac:dyDescent="0.2">
      <c r="Z2468" t="str">
        <f t="shared" si="38"/>
        <v/>
      </c>
    </row>
    <row r="2469" spans="26:26" x14ac:dyDescent="0.2">
      <c r="Z2469" t="str">
        <f t="shared" si="38"/>
        <v/>
      </c>
    </row>
    <row r="2470" spans="26:26" x14ac:dyDescent="0.2">
      <c r="Z2470" t="str">
        <f t="shared" si="38"/>
        <v/>
      </c>
    </row>
    <row r="2471" spans="26:26" x14ac:dyDescent="0.2">
      <c r="Z2471" t="str">
        <f t="shared" si="38"/>
        <v/>
      </c>
    </row>
    <row r="2472" spans="26:26" x14ac:dyDescent="0.2">
      <c r="Z2472" t="str">
        <f t="shared" si="38"/>
        <v/>
      </c>
    </row>
    <row r="2473" spans="26:26" x14ac:dyDescent="0.2">
      <c r="Z2473" t="str">
        <f t="shared" si="38"/>
        <v/>
      </c>
    </row>
    <row r="2474" spans="26:26" x14ac:dyDescent="0.2">
      <c r="Z2474" t="str">
        <f t="shared" si="38"/>
        <v/>
      </c>
    </row>
    <row r="2475" spans="26:26" x14ac:dyDescent="0.2">
      <c r="Z2475" t="str">
        <f t="shared" si="38"/>
        <v/>
      </c>
    </row>
    <row r="2476" spans="26:26" x14ac:dyDescent="0.2">
      <c r="Z2476" t="str">
        <f t="shared" si="38"/>
        <v/>
      </c>
    </row>
    <row r="2477" spans="26:26" x14ac:dyDescent="0.2">
      <c r="Z2477" t="str">
        <f t="shared" si="38"/>
        <v/>
      </c>
    </row>
    <row r="2478" spans="26:26" x14ac:dyDescent="0.2">
      <c r="Z2478" t="str">
        <f t="shared" si="38"/>
        <v/>
      </c>
    </row>
    <row r="2479" spans="26:26" x14ac:dyDescent="0.2">
      <c r="Z2479" t="str">
        <f t="shared" si="38"/>
        <v/>
      </c>
    </row>
    <row r="2480" spans="26:26" x14ac:dyDescent="0.2">
      <c r="Z2480" t="str">
        <f t="shared" si="38"/>
        <v/>
      </c>
    </row>
    <row r="2481" spans="26:26" x14ac:dyDescent="0.2">
      <c r="Z2481" t="str">
        <f t="shared" si="38"/>
        <v/>
      </c>
    </row>
    <row r="2482" spans="26:26" x14ac:dyDescent="0.2">
      <c r="Z2482" t="str">
        <f t="shared" si="38"/>
        <v/>
      </c>
    </row>
    <row r="2483" spans="26:26" x14ac:dyDescent="0.2">
      <c r="Z2483" t="str">
        <f t="shared" si="38"/>
        <v/>
      </c>
    </row>
    <row r="2484" spans="26:26" x14ac:dyDescent="0.2">
      <c r="Z2484" t="str">
        <f t="shared" si="38"/>
        <v/>
      </c>
    </row>
    <row r="2485" spans="26:26" x14ac:dyDescent="0.2">
      <c r="Z2485" t="str">
        <f t="shared" si="38"/>
        <v/>
      </c>
    </row>
    <row r="2486" spans="26:26" x14ac:dyDescent="0.2">
      <c r="Z2486" t="str">
        <f t="shared" si="38"/>
        <v/>
      </c>
    </row>
    <row r="2487" spans="26:26" x14ac:dyDescent="0.2">
      <c r="Z2487" t="str">
        <f t="shared" si="38"/>
        <v/>
      </c>
    </row>
    <row r="2488" spans="26:26" x14ac:dyDescent="0.2">
      <c r="Z2488" t="str">
        <f t="shared" si="38"/>
        <v/>
      </c>
    </row>
    <row r="2489" spans="26:26" x14ac:dyDescent="0.2">
      <c r="Z2489" t="str">
        <f t="shared" si="38"/>
        <v/>
      </c>
    </row>
    <row r="2490" spans="26:26" x14ac:dyDescent="0.2">
      <c r="Z2490" t="str">
        <f t="shared" si="38"/>
        <v/>
      </c>
    </row>
    <row r="2491" spans="26:26" x14ac:dyDescent="0.2">
      <c r="Z2491" t="str">
        <f t="shared" si="38"/>
        <v/>
      </c>
    </row>
    <row r="2492" spans="26:26" x14ac:dyDescent="0.2">
      <c r="Z2492" t="str">
        <f t="shared" si="38"/>
        <v/>
      </c>
    </row>
    <row r="2493" spans="26:26" x14ac:dyDescent="0.2">
      <c r="Z2493" t="str">
        <f t="shared" si="38"/>
        <v/>
      </c>
    </row>
    <row r="2494" spans="26:26" x14ac:dyDescent="0.2">
      <c r="Z2494" t="str">
        <f t="shared" si="38"/>
        <v/>
      </c>
    </row>
    <row r="2495" spans="26:26" x14ac:dyDescent="0.2">
      <c r="Z2495" t="str">
        <f t="shared" si="38"/>
        <v/>
      </c>
    </row>
    <row r="2496" spans="26:26" x14ac:dyDescent="0.2">
      <c r="Z2496" t="str">
        <f t="shared" si="38"/>
        <v/>
      </c>
    </row>
    <row r="2497" spans="26:26" x14ac:dyDescent="0.2">
      <c r="Z2497" t="str">
        <f t="shared" si="38"/>
        <v/>
      </c>
    </row>
    <row r="2498" spans="26:26" x14ac:dyDescent="0.2">
      <c r="Z2498" t="str">
        <f t="shared" si="38"/>
        <v/>
      </c>
    </row>
    <row r="2499" spans="26:26" x14ac:dyDescent="0.2">
      <c r="Z2499" t="str">
        <f t="shared" ref="Z2499:Z2562" si="39">IF(K2499="","",IFERROR(VALUE(TRIM(MID(K2499,FIND(CHAR(167),SUBSTITUTE(K2499,"-",CHAR(167),LEN(K2499)-LEN(SUBSTITUTE(K2499,"-",""))))+1,100))),K2499))</f>
        <v/>
      </c>
    </row>
    <row r="2500" spans="26:26" x14ac:dyDescent="0.2">
      <c r="Z2500" t="str">
        <f t="shared" si="39"/>
        <v/>
      </c>
    </row>
    <row r="2501" spans="26:26" x14ac:dyDescent="0.2">
      <c r="Z2501" t="str">
        <f t="shared" si="39"/>
        <v/>
      </c>
    </row>
    <row r="2502" spans="26:26" x14ac:dyDescent="0.2">
      <c r="Z2502" t="str">
        <f t="shared" si="39"/>
        <v/>
      </c>
    </row>
    <row r="2503" spans="26:26" x14ac:dyDescent="0.2">
      <c r="Z2503" t="str">
        <f t="shared" si="39"/>
        <v/>
      </c>
    </row>
    <row r="2504" spans="26:26" x14ac:dyDescent="0.2">
      <c r="Z2504" t="str">
        <f t="shared" si="39"/>
        <v/>
      </c>
    </row>
    <row r="2505" spans="26:26" x14ac:dyDescent="0.2">
      <c r="Z2505" t="str">
        <f t="shared" si="39"/>
        <v/>
      </c>
    </row>
    <row r="2506" spans="26:26" x14ac:dyDescent="0.2">
      <c r="Z2506" t="str">
        <f t="shared" si="39"/>
        <v/>
      </c>
    </row>
    <row r="2507" spans="26:26" x14ac:dyDescent="0.2">
      <c r="Z2507" t="str">
        <f t="shared" si="39"/>
        <v/>
      </c>
    </row>
    <row r="2508" spans="26:26" x14ac:dyDescent="0.2">
      <c r="Z2508" t="str">
        <f t="shared" si="39"/>
        <v/>
      </c>
    </row>
    <row r="2509" spans="26:26" x14ac:dyDescent="0.2">
      <c r="Z2509" t="str">
        <f t="shared" si="39"/>
        <v/>
      </c>
    </row>
    <row r="2510" spans="26:26" x14ac:dyDescent="0.2">
      <c r="Z2510" t="str">
        <f t="shared" si="39"/>
        <v/>
      </c>
    </row>
    <row r="2511" spans="26:26" x14ac:dyDescent="0.2">
      <c r="Z2511" t="str">
        <f t="shared" si="39"/>
        <v/>
      </c>
    </row>
    <row r="2512" spans="26:26" x14ac:dyDescent="0.2">
      <c r="Z2512" t="str">
        <f t="shared" si="39"/>
        <v/>
      </c>
    </row>
    <row r="2513" spans="26:26" x14ac:dyDescent="0.2">
      <c r="Z2513" t="str">
        <f t="shared" si="39"/>
        <v/>
      </c>
    </row>
    <row r="2514" spans="26:26" x14ac:dyDescent="0.2">
      <c r="Z2514" t="str">
        <f t="shared" si="39"/>
        <v/>
      </c>
    </row>
    <row r="2515" spans="26:26" x14ac:dyDescent="0.2">
      <c r="Z2515" t="str">
        <f t="shared" si="39"/>
        <v/>
      </c>
    </row>
    <row r="2516" spans="26:26" x14ac:dyDescent="0.2">
      <c r="Z2516" t="str">
        <f t="shared" si="39"/>
        <v/>
      </c>
    </row>
    <row r="2517" spans="26:26" x14ac:dyDescent="0.2">
      <c r="Z2517" t="str">
        <f t="shared" si="39"/>
        <v/>
      </c>
    </row>
    <row r="2518" spans="26:26" x14ac:dyDescent="0.2">
      <c r="Z2518" t="str">
        <f t="shared" si="39"/>
        <v/>
      </c>
    </row>
    <row r="2519" spans="26:26" x14ac:dyDescent="0.2">
      <c r="Z2519" t="str">
        <f t="shared" si="39"/>
        <v/>
      </c>
    </row>
    <row r="2520" spans="26:26" x14ac:dyDescent="0.2">
      <c r="Z2520" t="str">
        <f t="shared" si="39"/>
        <v/>
      </c>
    </row>
    <row r="2521" spans="26:26" x14ac:dyDescent="0.2">
      <c r="Z2521" t="str">
        <f t="shared" si="39"/>
        <v/>
      </c>
    </row>
    <row r="2522" spans="26:26" x14ac:dyDescent="0.2">
      <c r="Z2522" t="str">
        <f t="shared" si="39"/>
        <v/>
      </c>
    </row>
    <row r="2523" spans="26:26" x14ac:dyDescent="0.2">
      <c r="Z2523" t="str">
        <f t="shared" si="39"/>
        <v/>
      </c>
    </row>
    <row r="2524" spans="26:26" x14ac:dyDescent="0.2">
      <c r="Z2524" t="str">
        <f t="shared" si="39"/>
        <v/>
      </c>
    </row>
    <row r="2525" spans="26:26" x14ac:dyDescent="0.2">
      <c r="Z2525" t="str">
        <f t="shared" si="39"/>
        <v/>
      </c>
    </row>
    <row r="2526" spans="26:26" x14ac:dyDescent="0.2">
      <c r="Z2526" t="str">
        <f t="shared" si="39"/>
        <v/>
      </c>
    </row>
    <row r="2527" spans="26:26" x14ac:dyDescent="0.2">
      <c r="Z2527" t="str">
        <f t="shared" si="39"/>
        <v/>
      </c>
    </row>
    <row r="2528" spans="26:26" x14ac:dyDescent="0.2">
      <c r="Z2528" t="str">
        <f t="shared" si="39"/>
        <v/>
      </c>
    </row>
    <row r="2529" spans="26:26" x14ac:dyDescent="0.2">
      <c r="Z2529" t="str">
        <f t="shared" si="39"/>
        <v/>
      </c>
    </row>
    <row r="2530" spans="26:26" x14ac:dyDescent="0.2">
      <c r="Z2530" t="str">
        <f t="shared" si="39"/>
        <v/>
      </c>
    </row>
    <row r="2531" spans="26:26" x14ac:dyDescent="0.2">
      <c r="Z2531" t="str">
        <f t="shared" si="39"/>
        <v/>
      </c>
    </row>
    <row r="2532" spans="26:26" x14ac:dyDescent="0.2">
      <c r="Z2532" t="str">
        <f t="shared" si="39"/>
        <v/>
      </c>
    </row>
    <row r="2533" spans="26:26" x14ac:dyDescent="0.2">
      <c r="Z2533" t="str">
        <f t="shared" si="39"/>
        <v/>
      </c>
    </row>
    <row r="2534" spans="26:26" x14ac:dyDescent="0.2">
      <c r="Z2534" t="str">
        <f t="shared" si="39"/>
        <v/>
      </c>
    </row>
    <row r="2535" spans="26:26" x14ac:dyDescent="0.2">
      <c r="Z2535" t="str">
        <f t="shared" si="39"/>
        <v/>
      </c>
    </row>
    <row r="2536" spans="26:26" x14ac:dyDescent="0.2">
      <c r="Z2536" t="str">
        <f t="shared" si="39"/>
        <v/>
      </c>
    </row>
    <row r="2537" spans="26:26" x14ac:dyDescent="0.2">
      <c r="Z2537" t="str">
        <f t="shared" si="39"/>
        <v/>
      </c>
    </row>
    <row r="2538" spans="26:26" x14ac:dyDescent="0.2">
      <c r="Z2538" t="str">
        <f t="shared" si="39"/>
        <v/>
      </c>
    </row>
    <row r="2539" spans="26:26" x14ac:dyDescent="0.2">
      <c r="Z2539" t="str">
        <f t="shared" si="39"/>
        <v/>
      </c>
    </row>
    <row r="2540" spans="26:26" x14ac:dyDescent="0.2">
      <c r="Z2540" t="str">
        <f t="shared" si="39"/>
        <v/>
      </c>
    </row>
    <row r="2541" spans="26:26" x14ac:dyDescent="0.2">
      <c r="Z2541" t="str">
        <f t="shared" si="39"/>
        <v/>
      </c>
    </row>
    <row r="2542" spans="26:26" x14ac:dyDescent="0.2">
      <c r="Z2542" t="str">
        <f t="shared" si="39"/>
        <v/>
      </c>
    </row>
    <row r="2543" spans="26:26" x14ac:dyDescent="0.2">
      <c r="Z2543" t="str">
        <f t="shared" si="39"/>
        <v/>
      </c>
    </row>
    <row r="2544" spans="26:26" x14ac:dyDescent="0.2">
      <c r="Z2544" t="str">
        <f t="shared" si="39"/>
        <v/>
      </c>
    </row>
    <row r="2545" spans="26:26" x14ac:dyDescent="0.2">
      <c r="Z2545" t="str">
        <f t="shared" si="39"/>
        <v/>
      </c>
    </row>
    <row r="2546" spans="26:26" x14ac:dyDescent="0.2">
      <c r="Z2546" t="str">
        <f t="shared" si="39"/>
        <v/>
      </c>
    </row>
    <row r="2547" spans="26:26" x14ac:dyDescent="0.2">
      <c r="Z2547" t="str">
        <f t="shared" si="39"/>
        <v/>
      </c>
    </row>
    <row r="2548" spans="26:26" x14ac:dyDescent="0.2">
      <c r="Z2548" t="str">
        <f t="shared" si="39"/>
        <v/>
      </c>
    </row>
    <row r="2549" spans="26:26" x14ac:dyDescent="0.2">
      <c r="Z2549" t="str">
        <f t="shared" si="39"/>
        <v/>
      </c>
    </row>
    <row r="2550" spans="26:26" x14ac:dyDescent="0.2">
      <c r="Z2550" t="str">
        <f t="shared" si="39"/>
        <v/>
      </c>
    </row>
    <row r="2551" spans="26:26" x14ac:dyDescent="0.2">
      <c r="Z2551" t="str">
        <f t="shared" si="39"/>
        <v/>
      </c>
    </row>
    <row r="2552" spans="26:26" x14ac:dyDescent="0.2">
      <c r="Z2552" t="str">
        <f t="shared" si="39"/>
        <v/>
      </c>
    </row>
    <row r="2553" spans="26:26" x14ac:dyDescent="0.2">
      <c r="Z2553" t="str">
        <f t="shared" si="39"/>
        <v/>
      </c>
    </row>
    <row r="2554" spans="26:26" x14ac:dyDescent="0.2">
      <c r="Z2554" t="str">
        <f t="shared" si="39"/>
        <v/>
      </c>
    </row>
    <row r="2555" spans="26:26" x14ac:dyDescent="0.2">
      <c r="Z2555" t="str">
        <f t="shared" si="39"/>
        <v/>
      </c>
    </row>
    <row r="2556" spans="26:26" x14ac:dyDescent="0.2">
      <c r="Z2556" t="str">
        <f t="shared" si="39"/>
        <v/>
      </c>
    </row>
    <row r="2557" spans="26:26" x14ac:dyDescent="0.2">
      <c r="Z2557" t="str">
        <f t="shared" si="39"/>
        <v/>
      </c>
    </row>
    <row r="2558" spans="26:26" x14ac:dyDescent="0.2">
      <c r="Z2558" t="str">
        <f t="shared" si="39"/>
        <v/>
      </c>
    </row>
    <row r="2559" spans="26:26" x14ac:dyDescent="0.2">
      <c r="Z2559" t="str">
        <f t="shared" si="39"/>
        <v/>
      </c>
    </row>
    <row r="2560" spans="26:26" x14ac:dyDescent="0.2">
      <c r="Z2560" t="str">
        <f t="shared" si="39"/>
        <v/>
      </c>
    </row>
    <row r="2561" spans="26:26" x14ac:dyDescent="0.2">
      <c r="Z2561" t="str">
        <f t="shared" si="39"/>
        <v/>
      </c>
    </row>
    <row r="2562" spans="26:26" x14ac:dyDescent="0.2">
      <c r="Z2562" t="str">
        <f t="shared" si="39"/>
        <v/>
      </c>
    </row>
    <row r="2563" spans="26:26" x14ac:dyDescent="0.2">
      <c r="Z2563" t="str">
        <f t="shared" ref="Z2563:Z2626" si="40">IF(K2563="","",IFERROR(VALUE(TRIM(MID(K2563,FIND(CHAR(167),SUBSTITUTE(K2563,"-",CHAR(167),LEN(K2563)-LEN(SUBSTITUTE(K2563,"-",""))))+1,100))),K2563))</f>
        <v/>
      </c>
    </row>
    <row r="2564" spans="26:26" x14ac:dyDescent="0.2">
      <c r="Z2564" t="str">
        <f t="shared" si="40"/>
        <v/>
      </c>
    </row>
    <row r="2565" spans="26:26" x14ac:dyDescent="0.2">
      <c r="Z2565" t="str">
        <f t="shared" si="40"/>
        <v/>
      </c>
    </row>
    <row r="2566" spans="26:26" x14ac:dyDescent="0.2">
      <c r="Z2566" t="str">
        <f t="shared" si="40"/>
        <v/>
      </c>
    </row>
    <row r="2567" spans="26:26" x14ac:dyDescent="0.2">
      <c r="Z2567" t="str">
        <f t="shared" si="40"/>
        <v/>
      </c>
    </row>
    <row r="2568" spans="26:26" x14ac:dyDescent="0.2">
      <c r="Z2568" t="str">
        <f t="shared" si="40"/>
        <v/>
      </c>
    </row>
    <row r="2569" spans="26:26" x14ac:dyDescent="0.2">
      <c r="Z2569" t="str">
        <f t="shared" si="40"/>
        <v/>
      </c>
    </row>
    <row r="2570" spans="26:26" x14ac:dyDescent="0.2">
      <c r="Z2570" t="str">
        <f t="shared" si="40"/>
        <v/>
      </c>
    </row>
    <row r="2571" spans="26:26" x14ac:dyDescent="0.2">
      <c r="Z2571" t="str">
        <f t="shared" si="40"/>
        <v/>
      </c>
    </row>
    <row r="2572" spans="26:26" x14ac:dyDescent="0.2">
      <c r="Z2572" t="str">
        <f t="shared" si="40"/>
        <v/>
      </c>
    </row>
    <row r="2573" spans="26:26" x14ac:dyDescent="0.2">
      <c r="Z2573" t="str">
        <f t="shared" si="40"/>
        <v/>
      </c>
    </row>
    <row r="2574" spans="26:26" x14ac:dyDescent="0.2">
      <c r="Z2574" t="str">
        <f t="shared" si="40"/>
        <v/>
      </c>
    </row>
    <row r="2575" spans="26:26" x14ac:dyDescent="0.2">
      <c r="Z2575" t="str">
        <f t="shared" si="40"/>
        <v/>
      </c>
    </row>
    <row r="2576" spans="26:26" x14ac:dyDescent="0.2">
      <c r="Z2576" t="str">
        <f t="shared" si="40"/>
        <v/>
      </c>
    </row>
    <row r="2577" spans="26:26" x14ac:dyDescent="0.2">
      <c r="Z2577" t="str">
        <f t="shared" si="40"/>
        <v/>
      </c>
    </row>
    <row r="2578" spans="26:26" x14ac:dyDescent="0.2">
      <c r="Z2578" t="str">
        <f t="shared" si="40"/>
        <v/>
      </c>
    </row>
    <row r="2579" spans="26:26" x14ac:dyDescent="0.2">
      <c r="Z2579" t="str">
        <f t="shared" si="40"/>
        <v/>
      </c>
    </row>
    <row r="2580" spans="26:26" x14ac:dyDescent="0.2">
      <c r="Z2580" t="str">
        <f t="shared" si="40"/>
        <v/>
      </c>
    </row>
    <row r="2581" spans="26:26" x14ac:dyDescent="0.2">
      <c r="Z2581" t="str">
        <f t="shared" si="40"/>
        <v/>
      </c>
    </row>
    <row r="2582" spans="26:26" x14ac:dyDescent="0.2">
      <c r="Z2582" t="str">
        <f t="shared" si="40"/>
        <v/>
      </c>
    </row>
    <row r="2583" spans="26:26" x14ac:dyDescent="0.2">
      <c r="Z2583" t="str">
        <f t="shared" si="40"/>
        <v/>
      </c>
    </row>
    <row r="2584" spans="26:26" x14ac:dyDescent="0.2">
      <c r="Z2584" t="str">
        <f t="shared" si="40"/>
        <v/>
      </c>
    </row>
    <row r="2585" spans="26:26" x14ac:dyDescent="0.2">
      <c r="Z2585" t="str">
        <f t="shared" si="40"/>
        <v/>
      </c>
    </row>
    <row r="2586" spans="26:26" x14ac:dyDescent="0.2">
      <c r="Z2586" t="str">
        <f t="shared" si="40"/>
        <v/>
      </c>
    </row>
    <row r="2587" spans="26:26" x14ac:dyDescent="0.2">
      <c r="Z2587" t="str">
        <f t="shared" si="40"/>
        <v/>
      </c>
    </row>
    <row r="2588" spans="26:26" x14ac:dyDescent="0.2">
      <c r="Z2588" t="str">
        <f t="shared" si="40"/>
        <v/>
      </c>
    </row>
    <row r="2589" spans="26:26" x14ac:dyDescent="0.2">
      <c r="Z2589" t="str">
        <f t="shared" si="40"/>
        <v/>
      </c>
    </row>
    <row r="2590" spans="26:26" x14ac:dyDescent="0.2">
      <c r="Z2590" t="str">
        <f t="shared" si="40"/>
        <v/>
      </c>
    </row>
    <row r="2591" spans="26:26" x14ac:dyDescent="0.2">
      <c r="Z2591" t="str">
        <f t="shared" si="40"/>
        <v/>
      </c>
    </row>
    <row r="2592" spans="26:26" x14ac:dyDescent="0.2">
      <c r="Z2592" t="str">
        <f t="shared" si="40"/>
        <v/>
      </c>
    </row>
    <row r="2593" spans="26:26" x14ac:dyDescent="0.2">
      <c r="Z2593" t="str">
        <f t="shared" si="40"/>
        <v/>
      </c>
    </row>
    <row r="2594" spans="26:26" x14ac:dyDescent="0.2">
      <c r="Z2594" t="str">
        <f t="shared" si="40"/>
        <v/>
      </c>
    </row>
    <row r="2595" spans="26:26" x14ac:dyDescent="0.2">
      <c r="Z2595" t="str">
        <f t="shared" si="40"/>
        <v/>
      </c>
    </row>
    <row r="2596" spans="26:26" x14ac:dyDescent="0.2">
      <c r="Z2596" t="str">
        <f t="shared" si="40"/>
        <v/>
      </c>
    </row>
    <row r="2597" spans="26:26" x14ac:dyDescent="0.2">
      <c r="Z2597" t="str">
        <f t="shared" si="40"/>
        <v/>
      </c>
    </row>
    <row r="2598" spans="26:26" x14ac:dyDescent="0.2">
      <c r="Z2598" t="str">
        <f t="shared" si="40"/>
        <v/>
      </c>
    </row>
    <row r="2599" spans="26:26" x14ac:dyDescent="0.2">
      <c r="Z2599" t="str">
        <f t="shared" si="40"/>
        <v/>
      </c>
    </row>
    <row r="2600" spans="26:26" x14ac:dyDescent="0.2">
      <c r="Z2600" t="str">
        <f t="shared" si="40"/>
        <v/>
      </c>
    </row>
    <row r="2601" spans="26:26" x14ac:dyDescent="0.2">
      <c r="Z2601" t="str">
        <f t="shared" si="40"/>
        <v/>
      </c>
    </row>
    <row r="2602" spans="26:26" x14ac:dyDescent="0.2">
      <c r="Z2602" t="str">
        <f t="shared" si="40"/>
        <v/>
      </c>
    </row>
    <row r="2603" spans="26:26" x14ac:dyDescent="0.2">
      <c r="Z2603" t="str">
        <f t="shared" si="40"/>
        <v/>
      </c>
    </row>
    <row r="2604" spans="26:26" x14ac:dyDescent="0.2">
      <c r="Z2604" t="str">
        <f t="shared" si="40"/>
        <v/>
      </c>
    </row>
    <row r="2605" spans="26:26" x14ac:dyDescent="0.2">
      <c r="Z2605" t="str">
        <f t="shared" si="40"/>
        <v/>
      </c>
    </row>
    <row r="2606" spans="26:26" x14ac:dyDescent="0.2">
      <c r="Z2606" t="str">
        <f t="shared" si="40"/>
        <v/>
      </c>
    </row>
    <row r="2607" spans="26:26" x14ac:dyDescent="0.2">
      <c r="Z2607" t="str">
        <f t="shared" si="40"/>
        <v/>
      </c>
    </row>
    <row r="2608" spans="26:26" x14ac:dyDescent="0.2">
      <c r="Z2608" t="str">
        <f t="shared" si="40"/>
        <v/>
      </c>
    </row>
    <row r="2609" spans="26:26" x14ac:dyDescent="0.2">
      <c r="Z2609" t="str">
        <f t="shared" si="40"/>
        <v/>
      </c>
    </row>
    <row r="2610" spans="26:26" x14ac:dyDescent="0.2">
      <c r="Z2610" t="str">
        <f t="shared" si="40"/>
        <v/>
      </c>
    </row>
    <row r="2611" spans="26:26" x14ac:dyDescent="0.2">
      <c r="Z2611" t="str">
        <f t="shared" si="40"/>
        <v/>
      </c>
    </row>
    <row r="2612" spans="26:26" x14ac:dyDescent="0.2">
      <c r="Z2612" t="str">
        <f t="shared" si="40"/>
        <v/>
      </c>
    </row>
    <row r="2613" spans="26:26" x14ac:dyDescent="0.2">
      <c r="Z2613" t="str">
        <f t="shared" si="40"/>
        <v/>
      </c>
    </row>
    <row r="2614" spans="26:26" x14ac:dyDescent="0.2">
      <c r="Z2614" t="str">
        <f t="shared" si="40"/>
        <v/>
      </c>
    </row>
    <row r="2615" spans="26:26" x14ac:dyDescent="0.2">
      <c r="Z2615" t="str">
        <f t="shared" si="40"/>
        <v/>
      </c>
    </row>
    <row r="2616" spans="26:26" x14ac:dyDescent="0.2">
      <c r="Z2616" t="str">
        <f t="shared" si="40"/>
        <v/>
      </c>
    </row>
    <row r="2617" spans="26:26" x14ac:dyDescent="0.2">
      <c r="Z2617" t="str">
        <f t="shared" si="40"/>
        <v/>
      </c>
    </row>
    <row r="2618" spans="26:26" x14ac:dyDescent="0.2">
      <c r="Z2618" t="str">
        <f t="shared" si="40"/>
        <v/>
      </c>
    </row>
    <row r="2619" spans="26:26" x14ac:dyDescent="0.2">
      <c r="Z2619" t="str">
        <f t="shared" si="40"/>
        <v/>
      </c>
    </row>
    <row r="2620" spans="26:26" x14ac:dyDescent="0.2">
      <c r="Z2620" t="str">
        <f t="shared" si="40"/>
        <v/>
      </c>
    </row>
    <row r="2621" spans="26:26" x14ac:dyDescent="0.2">
      <c r="Z2621" t="str">
        <f t="shared" si="40"/>
        <v/>
      </c>
    </row>
    <row r="2622" spans="26:26" x14ac:dyDescent="0.2">
      <c r="Z2622" t="str">
        <f t="shared" si="40"/>
        <v/>
      </c>
    </row>
    <row r="2623" spans="26:26" x14ac:dyDescent="0.2">
      <c r="Z2623" t="str">
        <f t="shared" si="40"/>
        <v/>
      </c>
    </row>
    <row r="2624" spans="26:26" x14ac:dyDescent="0.2">
      <c r="Z2624" t="str">
        <f t="shared" si="40"/>
        <v/>
      </c>
    </row>
    <row r="2625" spans="26:26" x14ac:dyDescent="0.2">
      <c r="Z2625" t="str">
        <f t="shared" si="40"/>
        <v/>
      </c>
    </row>
    <row r="2626" spans="26:26" x14ac:dyDescent="0.2">
      <c r="Z2626" t="str">
        <f t="shared" si="40"/>
        <v/>
      </c>
    </row>
    <row r="2627" spans="26:26" x14ac:dyDescent="0.2">
      <c r="Z2627" t="str">
        <f t="shared" ref="Z2627:Z2690" si="41">IF(K2627="","",IFERROR(VALUE(TRIM(MID(K2627,FIND(CHAR(167),SUBSTITUTE(K2627,"-",CHAR(167),LEN(K2627)-LEN(SUBSTITUTE(K2627,"-",""))))+1,100))),K2627))</f>
        <v/>
      </c>
    </row>
    <row r="2628" spans="26:26" x14ac:dyDescent="0.2">
      <c r="Z2628" t="str">
        <f t="shared" si="41"/>
        <v/>
      </c>
    </row>
    <row r="2629" spans="26:26" x14ac:dyDescent="0.2">
      <c r="Z2629" t="str">
        <f t="shared" si="41"/>
        <v/>
      </c>
    </row>
    <row r="2630" spans="26:26" x14ac:dyDescent="0.2">
      <c r="Z2630" t="str">
        <f t="shared" si="41"/>
        <v/>
      </c>
    </row>
    <row r="2631" spans="26:26" x14ac:dyDescent="0.2">
      <c r="Z2631" t="str">
        <f t="shared" si="41"/>
        <v/>
      </c>
    </row>
    <row r="2632" spans="26:26" x14ac:dyDescent="0.2">
      <c r="Z2632" t="str">
        <f t="shared" si="41"/>
        <v/>
      </c>
    </row>
    <row r="2633" spans="26:26" x14ac:dyDescent="0.2">
      <c r="Z2633" t="str">
        <f t="shared" si="41"/>
        <v/>
      </c>
    </row>
    <row r="2634" spans="26:26" x14ac:dyDescent="0.2">
      <c r="Z2634" t="str">
        <f t="shared" si="41"/>
        <v/>
      </c>
    </row>
    <row r="2635" spans="26:26" x14ac:dyDescent="0.2">
      <c r="Z2635" t="str">
        <f t="shared" si="41"/>
        <v/>
      </c>
    </row>
    <row r="2636" spans="26:26" x14ac:dyDescent="0.2">
      <c r="Z2636" t="str">
        <f t="shared" si="41"/>
        <v/>
      </c>
    </row>
    <row r="2637" spans="26:26" x14ac:dyDescent="0.2">
      <c r="Z2637" t="str">
        <f t="shared" si="41"/>
        <v/>
      </c>
    </row>
    <row r="2638" spans="26:26" x14ac:dyDescent="0.2">
      <c r="Z2638" t="str">
        <f t="shared" si="41"/>
        <v/>
      </c>
    </row>
    <row r="2639" spans="26:26" x14ac:dyDescent="0.2">
      <c r="Z2639" t="str">
        <f t="shared" si="41"/>
        <v/>
      </c>
    </row>
    <row r="2640" spans="26:26" x14ac:dyDescent="0.2">
      <c r="Z2640" t="str">
        <f t="shared" si="41"/>
        <v/>
      </c>
    </row>
    <row r="2641" spans="26:26" x14ac:dyDescent="0.2">
      <c r="Z2641" t="str">
        <f t="shared" si="41"/>
        <v/>
      </c>
    </row>
    <row r="2642" spans="26:26" x14ac:dyDescent="0.2">
      <c r="Z2642" t="str">
        <f t="shared" si="41"/>
        <v/>
      </c>
    </row>
    <row r="2643" spans="26:26" x14ac:dyDescent="0.2">
      <c r="Z2643" t="str">
        <f t="shared" si="41"/>
        <v/>
      </c>
    </row>
    <row r="2644" spans="26:26" x14ac:dyDescent="0.2">
      <c r="Z2644" t="str">
        <f t="shared" si="41"/>
        <v/>
      </c>
    </row>
    <row r="2645" spans="26:26" x14ac:dyDescent="0.2">
      <c r="Z2645" t="str">
        <f t="shared" si="41"/>
        <v/>
      </c>
    </row>
    <row r="2646" spans="26:26" x14ac:dyDescent="0.2">
      <c r="Z2646" t="str">
        <f t="shared" si="41"/>
        <v/>
      </c>
    </row>
    <row r="2647" spans="26:26" x14ac:dyDescent="0.2">
      <c r="Z2647" t="str">
        <f t="shared" si="41"/>
        <v/>
      </c>
    </row>
    <row r="2648" spans="26:26" x14ac:dyDescent="0.2">
      <c r="Z2648" t="str">
        <f t="shared" si="41"/>
        <v/>
      </c>
    </row>
    <row r="2649" spans="26:26" x14ac:dyDescent="0.2">
      <c r="Z2649" t="str">
        <f t="shared" si="41"/>
        <v/>
      </c>
    </row>
    <row r="2650" spans="26:26" x14ac:dyDescent="0.2">
      <c r="Z2650" t="str">
        <f t="shared" si="41"/>
        <v/>
      </c>
    </row>
    <row r="2651" spans="26:26" x14ac:dyDescent="0.2">
      <c r="Z2651" t="str">
        <f t="shared" si="41"/>
        <v/>
      </c>
    </row>
    <row r="2652" spans="26:26" x14ac:dyDescent="0.2">
      <c r="Z2652" t="str">
        <f t="shared" si="41"/>
        <v/>
      </c>
    </row>
    <row r="2653" spans="26:26" x14ac:dyDescent="0.2">
      <c r="Z2653" t="str">
        <f t="shared" si="41"/>
        <v/>
      </c>
    </row>
    <row r="2654" spans="26:26" x14ac:dyDescent="0.2">
      <c r="Z2654" t="str">
        <f t="shared" si="41"/>
        <v/>
      </c>
    </row>
    <row r="2655" spans="26:26" x14ac:dyDescent="0.2">
      <c r="Z2655" t="str">
        <f t="shared" si="41"/>
        <v/>
      </c>
    </row>
    <row r="2656" spans="26:26" x14ac:dyDescent="0.2">
      <c r="Z2656" t="str">
        <f t="shared" si="41"/>
        <v/>
      </c>
    </row>
    <row r="2657" spans="26:26" x14ac:dyDescent="0.2">
      <c r="Z2657" t="str">
        <f t="shared" si="41"/>
        <v/>
      </c>
    </row>
    <row r="2658" spans="26:26" x14ac:dyDescent="0.2">
      <c r="Z2658" t="str">
        <f t="shared" si="41"/>
        <v/>
      </c>
    </row>
    <row r="2659" spans="26:26" x14ac:dyDescent="0.2">
      <c r="Z2659" t="str">
        <f t="shared" si="41"/>
        <v/>
      </c>
    </row>
    <row r="2660" spans="26:26" x14ac:dyDescent="0.2">
      <c r="Z2660" t="str">
        <f t="shared" si="41"/>
        <v/>
      </c>
    </row>
    <row r="2661" spans="26:26" x14ac:dyDescent="0.2">
      <c r="Z2661" t="str">
        <f t="shared" si="41"/>
        <v/>
      </c>
    </row>
    <row r="2662" spans="26:26" x14ac:dyDescent="0.2">
      <c r="Z2662" t="str">
        <f t="shared" si="41"/>
        <v/>
      </c>
    </row>
    <row r="2663" spans="26:26" x14ac:dyDescent="0.2">
      <c r="Z2663" t="str">
        <f t="shared" si="41"/>
        <v/>
      </c>
    </row>
    <row r="2664" spans="26:26" x14ac:dyDescent="0.2">
      <c r="Z2664" t="str">
        <f t="shared" si="41"/>
        <v/>
      </c>
    </row>
    <row r="2665" spans="26:26" x14ac:dyDescent="0.2">
      <c r="Z2665" t="str">
        <f t="shared" si="41"/>
        <v/>
      </c>
    </row>
    <row r="2666" spans="26:26" x14ac:dyDescent="0.2">
      <c r="Z2666" t="str">
        <f t="shared" si="41"/>
        <v/>
      </c>
    </row>
    <row r="2667" spans="26:26" x14ac:dyDescent="0.2">
      <c r="Z2667" t="str">
        <f t="shared" si="41"/>
        <v/>
      </c>
    </row>
    <row r="2668" spans="26:26" x14ac:dyDescent="0.2">
      <c r="Z2668" t="str">
        <f t="shared" si="41"/>
        <v/>
      </c>
    </row>
    <row r="2669" spans="26:26" x14ac:dyDescent="0.2">
      <c r="Z2669" t="str">
        <f t="shared" si="41"/>
        <v/>
      </c>
    </row>
    <row r="2670" spans="26:26" x14ac:dyDescent="0.2">
      <c r="Z2670" t="str">
        <f t="shared" si="41"/>
        <v/>
      </c>
    </row>
    <row r="2671" spans="26:26" x14ac:dyDescent="0.2">
      <c r="Z2671" t="str">
        <f t="shared" si="41"/>
        <v/>
      </c>
    </row>
    <row r="2672" spans="26:26" x14ac:dyDescent="0.2">
      <c r="Z2672" t="str">
        <f t="shared" si="41"/>
        <v/>
      </c>
    </row>
    <row r="2673" spans="26:26" x14ac:dyDescent="0.2">
      <c r="Z2673" t="str">
        <f t="shared" si="41"/>
        <v/>
      </c>
    </row>
    <row r="2674" spans="26:26" x14ac:dyDescent="0.2">
      <c r="Z2674" t="str">
        <f t="shared" si="41"/>
        <v/>
      </c>
    </row>
    <row r="2675" spans="26:26" x14ac:dyDescent="0.2">
      <c r="Z2675" t="str">
        <f t="shared" si="41"/>
        <v/>
      </c>
    </row>
    <row r="2676" spans="26:26" x14ac:dyDescent="0.2">
      <c r="Z2676" t="str">
        <f t="shared" si="41"/>
        <v/>
      </c>
    </row>
    <row r="2677" spans="26:26" x14ac:dyDescent="0.2">
      <c r="Z2677" t="str">
        <f t="shared" si="41"/>
        <v/>
      </c>
    </row>
    <row r="2678" spans="26:26" x14ac:dyDescent="0.2">
      <c r="Z2678" t="str">
        <f t="shared" si="41"/>
        <v/>
      </c>
    </row>
    <row r="2679" spans="26:26" x14ac:dyDescent="0.2">
      <c r="Z2679" t="str">
        <f t="shared" si="41"/>
        <v/>
      </c>
    </row>
    <row r="2680" spans="26:26" x14ac:dyDescent="0.2">
      <c r="Z2680" t="str">
        <f t="shared" si="41"/>
        <v/>
      </c>
    </row>
    <row r="2681" spans="26:26" x14ac:dyDescent="0.2">
      <c r="Z2681" t="str">
        <f t="shared" si="41"/>
        <v/>
      </c>
    </row>
    <row r="2682" spans="26:26" x14ac:dyDescent="0.2">
      <c r="Z2682" t="str">
        <f t="shared" si="41"/>
        <v/>
      </c>
    </row>
    <row r="2683" spans="26:26" x14ac:dyDescent="0.2">
      <c r="Z2683" t="str">
        <f t="shared" si="41"/>
        <v/>
      </c>
    </row>
    <row r="2684" spans="26:26" x14ac:dyDescent="0.2">
      <c r="Z2684" t="str">
        <f t="shared" si="41"/>
        <v/>
      </c>
    </row>
    <row r="2685" spans="26:26" x14ac:dyDescent="0.2">
      <c r="Z2685" t="str">
        <f t="shared" si="41"/>
        <v/>
      </c>
    </row>
    <row r="2686" spans="26:26" x14ac:dyDescent="0.2">
      <c r="Z2686" t="str">
        <f t="shared" si="41"/>
        <v/>
      </c>
    </row>
    <row r="2687" spans="26:26" x14ac:dyDescent="0.2">
      <c r="Z2687" t="str">
        <f t="shared" si="41"/>
        <v/>
      </c>
    </row>
    <row r="2688" spans="26:26" x14ac:dyDescent="0.2">
      <c r="Z2688" t="str">
        <f t="shared" si="41"/>
        <v/>
      </c>
    </row>
    <row r="2689" spans="26:26" x14ac:dyDescent="0.2">
      <c r="Z2689" t="str">
        <f t="shared" si="41"/>
        <v/>
      </c>
    </row>
    <row r="2690" spans="26:26" x14ac:dyDescent="0.2">
      <c r="Z2690" t="str">
        <f t="shared" si="41"/>
        <v/>
      </c>
    </row>
    <row r="2691" spans="26:26" x14ac:dyDescent="0.2">
      <c r="Z2691" t="str">
        <f t="shared" ref="Z2691:Z2754" si="42">IF(K2691="","",IFERROR(VALUE(TRIM(MID(K2691,FIND(CHAR(167),SUBSTITUTE(K2691,"-",CHAR(167),LEN(K2691)-LEN(SUBSTITUTE(K2691,"-",""))))+1,100))),K2691))</f>
        <v/>
      </c>
    </row>
    <row r="2692" spans="26:26" x14ac:dyDescent="0.2">
      <c r="Z2692" t="str">
        <f t="shared" si="42"/>
        <v/>
      </c>
    </row>
    <row r="2693" spans="26:26" x14ac:dyDescent="0.2">
      <c r="Z2693" t="str">
        <f t="shared" si="42"/>
        <v/>
      </c>
    </row>
    <row r="2694" spans="26:26" x14ac:dyDescent="0.2">
      <c r="Z2694" t="str">
        <f t="shared" si="42"/>
        <v/>
      </c>
    </row>
    <row r="2695" spans="26:26" x14ac:dyDescent="0.2">
      <c r="Z2695" t="str">
        <f t="shared" si="42"/>
        <v/>
      </c>
    </row>
    <row r="2696" spans="26:26" x14ac:dyDescent="0.2">
      <c r="Z2696" t="str">
        <f t="shared" si="42"/>
        <v/>
      </c>
    </row>
    <row r="2697" spans="26:26" x14ac:dyDescent="0.2">
      <c r="Z2697" t="str">
        <f t="shared" si="42"/>
        <v/>
      </c>
    </row>
    <row r="2698" spans="26:26" x14ac:dyDescent="0.2">
      <c r="Z2698" t="str">
        <f t="shared" si="42"/>
        <v/>
      </c>
    </row>
    <row r="2699" spans="26:26" x14ac:dyDescent="0.2">
      <c r="Z2699" t="str">
        <f t="shared" si="42"/>
        <v/>
      </c>
    </row>
    <row r="2700" spans="26:26" x14ac:dyDescent="0.2">
      <c r="Z2700" t="str">
        <f t="shared" si="42"/>
        <v/>
      </c>
    </row>
    <row r="2701" spans="26:26" x14ac:dyDescent="0.2">
      <c r="Z2701" t="str">
        <f t="shared" si="42"/>
        <v/>
      </c>
    </row>
    <row r="2702" spans="26:26" x14ac:dyDescent="0.2">
      <c r="Z2702" t="str">
        <f t="shared" si="42"/>
        <v/>
      </c>
    </row>
    <row r="2703" spans="26:26" x14ac:dyDescent="0.2">
      <c r="Z2703" t="str">
        <f t="shared" si="42"/>
        <v/>
      </c>
    </row>
    <row r="2704" spans="26:26" x14ac:dyDescent="0.2">
      <c r="Z2704" t="str">
        <f t="shared" si="42"/>
        <v/>
      </c>
    </row>
    <row r="2705" spans="26:26" x14ac:dyDescent="0.2">
      <c r="Z2705" t="str">
        <f t="shared" si="42"/>
        <v/>
      </c>
    </row>
    <row r="2706" spans="26:26" x14ac:dyDescent="0.2">
      <c r="Z2706" t="str">
        <f t="shared" si="42"/>
        <v/>
      </c>
    </row>
    <row r="2707" spans="26:26" x14ac:dyDescent="0.2">
      <c r="Z2707" t="str">
        <f t="shared" si="42"/>
        <v/>
      </c>
    </row>
    <row r="2708" spans="26:26" x14ac:dyDescent="0.2">
      <c r="Z2708" t="str">
        <f t="shared" si="42"/>
        <v/>
      </c>
    </row>
    <row r="2709" spans="26:26" x14ac:dyDescent="0.2">
      <c r="Z2709" t="str">
        <f t="shared" si="42"/>
        <v/>
      </c>
    </row>
    <row r="2710" spans="26:26" x14ac:dyDescent="0.2">
      <c r="Z2710" t="str">
        <f t="shared" si="42"/>
        <v/>
      </c>
    </row>
    <row r="2711" spans="26:26" x14ac:dyDescent="0.2">
      <c r="Z2711" t="str">
        <f t="shared" si="42"/>
        <v/>
      </c>
    </row>
    <row r="2712" spans="26:26" x14ac:dyDescent="0.2">
      <c r="Z2712" t="str">
        <f t="shared" si="42"/>
        <v/>
      </c>
    </row>
    <row r="2713" spans="26:26" x14ac:dyDescent="0.2">
      <c r="Z2713" t="str">
        <f t="shared" si="42"/>
        <v/>
      </c>
    </row>
    <row r="2714" spans="26:26" x14ac:dyDescent="0.2">
      <c r="Z2714" t="str">
        <f t="shared" si="42"/>
        <v/>
      </c>
    </row>
    <row r="2715" spans="26:26" x14ac:dyDescent="0.2">
      <c r="Z2715" t="str">
        <f t="shared" si="42"/>
        <v/>
      </c>
    </row>
    <row r="2716" spans="26:26" x14ac:dyDescent="0.2">
      <c r="Z2716" t="str">
        <f t="shared" si="42"/>
        <v/>
      </c>
    </row>
    <row r="2717" spans="26:26" x14ac:dyDescent="0.2">
      <c r="Z2717" t="str">
        <f t="shared" si="42"/>
        <v/>
      </c>
    </row>
    <row r="2718" spans="26:26" x14ac:dyDescent="0.2">
      <c r="Z2718" t="str">
        <f t="shared" si="42"/>
        <v/>
      </c>
    </row>
    <row r="2719" spans="26:26" x14ac:dyDescent="0.2">
      <c r="Z2719" t="str">
        <f t="shared" si="42"/>
        <v/>
      </c>
    </row>
    <row r="2720" spans="26:26" x14ac:dyDescent="0.2">
      <c r="Z2720" t="str">
        <f t="shared" si="42"/>
        <v/>
      </c>
    </row>
    <row r="2721" spans="26:26" x14ac:dyDescent="0.2">
      <c r="Z2721" t="str">
        <f t="shared" si="42"/>
        <v/>
      </c>
    </row>
    <row r="2722" spans="26:26" x14ac:dyDescent="0.2">
      <c r="Z2722" t="str">
        <f t="shared" si="42"/>
        <v/>
      </c>
    </row>
    <row r="2723" spans="26:26" x14ac:dyDescent="0.2">
      <c r="Z2723" t="str">
        <f t="shared" si="42"/>
        <v/>
      </c>
    </row>
    <row r="2724" spans="26:26" x14ac:dyDescent="0.2">
      <c r="Z2724" t="str">
        <f t="shared" si="42"/>
        <v/>
      </c>
    </row>
    <row r="2725" spans="26:26" x14ac:dyDescent="0.2">
      <c r="Z2725" t="str">
        <f t="shared" si="42"/>
        <v/>
      </c>
    </row>
    <row r="2726" spans="26:26" x14ac:dyDescent="0.2">
      <c r="Z2726" t="str">
        <f t="shared" si="42"/>
        <v/>
      </c>
    </row>
    <row r="2727" spans="26:26" x14ac:dyDescent="0.2">
      <c r="Z2727" t="str">
        <f t="shared" si="42"/>
        <v/>
      </c>
    </row>
    <row r="2728" spans="26:26" x14ac:dyDescent="0.2">
      <c r="Z2728" t="str">
        <f t="shared" si="42"/>
        <v/>
      </c>
    </row>
    <row r="2729" spans="26:26" x14ac:dyDescent="0.2">
      <c r="Z2729" t="str">
        <f t="shared" si="42"/>
        <v/>
      </c>
    </row>
    <row r="2730" spans="26:26" x14ac:dyDescent="0.2">
      <c r="Z2730" t="str">
        <f t="shared" si="42"/>
        <v/>
      </c>
    </row>
    <row r="2731" spans="26:26" x14ac:dyDescent="0.2">
      <c r="Z2731" t="str">
        <f t="shared" si="42"/>
        <v/>
      </c>
    </row>
    <row r="2732" spans="26:26" x14ac:dyDescent="0.2">
      <c r="Z2732" t="str">
        <f t="shared" si="42"/>
        <v/>
      </c>
    </row>
    <row r="2733" spans="26:26" x14ac:dyDescent="0.2">
      <c r="Z2733" t="str">
        <f t="shared" si="42"/>
        <v/>
      </c>
    </row>
    <row r="2734" spans="26:26" x14ac:dyDescent="0.2">
      <c r="Z2734" t="str">
        <f t="shared" si="42"/>
        <v/>
      </c>
    </row>
    <row r="2735" spans="26:26" x14ac:dyDescent="0.2">
      <c r="Z2735" t="str">
        <f t="shared" si="42"/>
        <v/>
      </c>
    </row>
    <row r="2736" spans="26:26" x14ac:dyDescent="0.2">
      <c r="Z2736" t="str">
        <f t="shared" si="42"/>
        <v/>
      </c>
    </row>
    <row r="2737" spans="26:26" x14ac:dyDescent="0.2">
      <c r="Z2737" t="str">
        <f t="shared" si="42"/>
        <v/>
      </c>
    </row>
    <row r="2738" spans="26:26" x14ac:dyDescent="0.2">
      <c r="Z2738" t="str">
        <f t="shared" si="42"/>
        <v/>
      </c>
    </row>
    <row r="2739" spans="26:26" x14ac:dyDescent="0.2">
      <c r="Z2739" t="str">
        <f t="shared" si="42"/>
        <v/>
      </c>
    </row>
    <row r="2740" spans="26:26" x14ac:dyDescent="0.2">
      <c r="Z2740" t="str">
        <f t="shared" si="42"/>
        <v/>
      </c>
    </row>
    <row r="2741" spans="26:26" x14ac:dyDescent="0.2">
      <c r="Z2741" t="str">
        <f t="shared" si="42"/>
        <v/>
      </c>
    </row>
    <row r="2742" spans="26:26" x14ac:dyDescent="0.2">
      <c r="Z2742" t="str">
        <f t="shared" si="42"/>
        <v/>
      </c>
    </row>
    <row r="2743" spans="26:26" x14ac:dyDescent="0.2">
      <c r="Z2743" t="str">
        <f t="shared" si="42"/>
        <v/>
      </c>
    </row>
    <row r="2744" spans="26:26" x14ac:dyDescent="0.2">
      <c r="Z2744" t="str">
        <f t="shared" si="42"/>
        <v/>
      </c>
    </row>
    <row r="2745" spans="26:26" x14ac:dyDescent="0.2">
      <c r="Z2745" t="str">
        <f t="shared" si="42"/>
        <v/>
      </c>
    </row>
    <row r="2746" spans="26:26" x14ac:dyDescent="0.2">
      <c r="Z2746" t="str">
        <f t="shared" si="42"/>
        <v/>
      </c>
    </row>
    <row r="2747" spans="26:26" x14ac:dyDescent="0.2">
      <c r="Z2747" t="str">
        <f t="shared" si="42"/>
        <v/>
      </c>
    </row>
    <row r="2748" spans="26:26" x14ac:dyDescent="0.2">
      <c r="Z2748" t="str">
        <f t="shared" si="42"/>
        <v/>
      </c>
    </row>
    <row r="2749" spans="26:26" x14ac:dyDescent="0.2">
      <c r="Z2749" t="str">
        <f t="shared" si="42"/>
        <v/>
      </c>
    </row>
    <row r="2750" spans="26:26" x14ac:dyDescent="0.2">
      <c r="Z2750" t="str">
        <f t="shared" si="42"/>
        <v/>
      </c>
    </row>
    <row r="2751" spans="26:26" x14ac:dyDescent="0.2">
      <c r="Z2751" t="str">
        <f t="shared" si="42"/>
        <v/>
      </c>
    </row>
    <row r="2752" spans="26:26" x14ac:dyDescent="0.2">
      <c r="Z2752" t="str">
        <f t="shared" si="42"/>
        <v/>
      </c>
    </row>
    <row r="2753" spans="26:26" x14ac:dyDescent="0.2">
      <c r="Z2753" t="str">
        <f t="shared" si="42"/>
        <v/>
      </c>
    </row>
    <row r="2754" spans="26:26" x14ac:dyDescent="0.2">
      <c r="Z2754" t="str">
        <f t="shared" si="42"/>
        <v/>
      </c>
    </row>
    <row r="2755" spans="26:26" x14ac:dyDescent="0.2">
      <c r="Z2755" t="str">
        <f t="shared" ref="Z2755:Z2818" si="43">IF(K2755="","",IFERROR(VALUE(TRIM(MID(K2755,FIND(CHAR(167),SUBSTITUTE(K2755,"-",CHAR(167),LEN(K2755)-LEN(SUBSTITUTE(K2755,"-",""))))+1,100))),K2755))</f>
        <v/>
      </c>
    </row>
    <row r="2756" spans="26:26" x14ac:dyDescent="0.2">
      <c r="Z2756" t="str">
        <f t="shared" si="43"/>
        <v/>
      </c>
    </row>
    <row r="2757" spans="26:26" x14ac:dyDescent="0.2">
      <c r="Z2757" t="str">
        <f t="shared" si="43"/>
        <v/>
      </c>
    </row>
    <row r="2758" spans="26:26" x14ac:dyDescent="0.2">
      <c r="Z2758" t="str">
        <f t="shared" si="43"/>
        <v/>
      </c>
    </row>
    <row r="2759" spans="26:26" x14ac:dyDescent="0.2">
      <c r="Z2759" t="str">
        <f t="shared" si="43"/>
        <v/>
      </c>
    </row>
    <row r="2760" spans="26:26" x14ac:dyDescent="0.2">
      <c r="Z2760" t="str">
        <f t="shared" si="43"/>
        <v/>
      </c>
    </row>
    <row r="2761" spans="26:26" x14ac:dyDescent="0.2">
      <c r="Z2761" t="str">
        <f t="shared" si="43"/>
        <v/>
      </c>
    </row>
    <row r="2762" spans="26:26" x14ac:dyDescent="0.2">
      <c r="Z2762" t="str">
        <f t="shared" si="43"/>
        <v/>
      </c>
    </row>
    <row r="2763" spans="26:26" x14ac:dyDescent="0.2">
      <c r="Z2763" t="str">
        <f t="shared" si="43"/>
        <v/>
      </c>
    </row>
    <row r="2764" spans="26:26" x14ac:dyDescent="0.2">
      <c r="Z2764" t="str">
        <f t="shared" si="43"/>
        <v/>
      </c>
    </row>
    <row r="2765" spans="26:26" x14ac:dyDescent="0.2">
      <c r="Z2765" t="str">
        <f t="shared" si="43"/>
        <v/>
      </c>
    </row>
    <row r="2766" spans="26:26" x14ac:dyDescent="0.2">
      <c r="Z2766" t="str">
        <f t="shared" si="43"/>
        <v/>
      </c>
    </row>
    <row r="2767" spans="26:26" x14ac:dyDescent="0.2">
      <c r="Z2767" t="str">
        <f t="shared" si="43"/>
        <v/>
      </c>
    </row>
    <row r="2768" spans="26:26" x14ac:dyDescent="0.2">
      <c r="Z2768" t="str">
        <f t="shared" si="43"/>
        <v/>
      </c>
    </row>
    <row r="2769" spans="26:26" x14ac:dyDescent="0.2">
      <c r="Z2769" t="str">
        <f t="shared" si="43"/>
        <v/>
      </c>
    </row>
    <row r="2770" spans="26:26" x14ac:dyDescent="0.2">
      <c r="Z2770" t="str">
        <f t="shared" si="43"/>
        <v/>
      </c>
    </row>
    <row r="2771" spans="26:26" x14ac:dyDescent="0.2">
      <c r="Z2771" t="str">
        <f t="shared" si="43"/>
        <v/>
      </c>
    </row>
    <row r="2772" spans="26:26" x14ac:dyDescent="0.2">
      <c r="Z2772" t="str">
        <f t="shared" si="43"/>
        <v/>
      </c>
    </row>
    <row r="2773" spans="26:26" x14ac:dyDescent="0.2">
      <c r="Z2773" t="str">
        <f t="shared" si="43"/>
        <v/>
      </c>
    </row>
    <row r="2774" spans="26:26" x14ac:dyDescent="0.2">
      <c r="Z2774" t="str">
        <f t="shared" si="43"/>
        <v/>
      </c>
    </row>
    <row r="2775" spans="26:26" x14ac:dyDescent="0.2">
      <c r="Z2775" t="str">
        <f t="shared" si="43"/>
        <v/>
      </c>
    </row>
    <row r="2776" spans="26:26" x14ac:dyDescent="0.2">
      <c r="Z2776" t="str">
        <f t="shared" si="43"/>
        <v/>
      </c>
    </row>
    <row r="2777" spans="26:26" x14ac:dyDescent="0.2">
      <c r="Z2777" t="str">
        <f t="shared" si="43"/>
        <v/>
      </c>
    </row>
    <row r="2778" spans="26:26" x14ac:dyDescent="0.2">
      <c r="Z2778" t="str">
        <f t="shared" si="43"/>
        <v/>
      </c>
    </row>
    <row r="2779" spans="26:26" x14ac:dyDescent="0.2">
      <c r="Z2779" t="str">
        <f t="shared" si="43"/>
        <v/>
      </c>
    </row>
    <row r="2780" spans="26:26" x14ac:dyDescent="0.2">
      <c r="Z2780" t="str">
        <f t="shared" si="43"/>
        <v/>
      </c>
    </row>
    <row r="2781" spans="26:26" x14ac:dyDescent="0.2">
      <c r="Z2781" t="str">
        <f t="shared" si="43"/>
        <v/>
      </c>
    </row>
    <row r="2782" spans="26:26" x14ac:dyDescent="0.2">
      <c r="Z2782" t="str">
        <f t="shared" si="43"/>
        <v/>
      </c>
    </row>
    <row r="2783" spans="26:26" x14ac:dyDescent="0.2">
      <c r="Z2783" t="str">
        <f t="shared" si="43"/>
        <v/>
      </c>
    </row>
    <row r="2784" spans="26:26" x14ac:dyDescent="0.2">
      <c r="Z2784" t="str">
        <f t="shared" si="43"/>
        <v/>
      </c>
    </row>
    <row r="2785" spans="26:26" x14ac:dyDescent="0.2">
      <c r="Z2785" t="str">
        <f t="shared" si="43"/>
        <v/>
      </c>
    </row>
    <row r="2786" spans="26:26" x14ac:dyDescent="0.2">
      <c r="Z2786" t="str">
        <f t="shared" si="43"/>
        <v/>
      </c>
    </row>
    <row r="2787" spans="26:26" x14ac:dyDescent="0.2">
      <c r="Z2787" t="str">
        <f t="shared" si="43"/>
        <v/>
      </c>
    </row>
    <row r="2788" spans="26:26" x14ac:dyDescent="0.2">
      <c r="Z2788" t="str">
        <f t="shared" si="43"/>
        <v/>
      </c>
    </row>
    <row r="2789" spans="26:26" x14ac:dyDescent="0.2">
      <c r="Z2789" t="str">
        <f t="shared" si="43"/>
        <v/>
      </c>
    </row>
    <row r="2790" spans="26:26" x14ac:dyDescent="0.2">
      <c r="Z2790" t="str">
        <f t="shared" si="43"/>
        <v/>
      </c>
    </row>
    <row r="2791" spans="26:26" x14ac:dyDescent="0.2">
      <c r="Z2791" t="str">
        <f t="shared" si="43"/>
        <v/>
      </c>
    </row>
    <row r="2792" spans="26:26" x14ac:dyDescent="0.2">
      <c r="Z2792" t="str">
        <f t="shared" si="43"/>
        <v/>
      </c>
    </row>
    <row r="2793" spans="26:26" x14ac:dyDescent="0.2">
      <c r="Z2793" t="str">
        <f t="shared" si="43"/>
        <v/>
      </c>
    </row>
    <row r="2794" spans="26:26" x14ac:dyDescent="0.2">
      <c r="Z2794" t="str">
        <f t="shared" si="43"/>
        <v/>
      </c>
    </row>
    <row r="2795" spans="26:26" x14ac:dyDescent="0.2">
      <c r="Z2795" t="str">
        <f t="shared" si="43"/>
        <v/>
      </c>
    </row>
    <row r="2796" spans="26:26" x14ac:dyDescent="0.2">
      <c r="Z2796" t="str">
        <f t="shared" si="43"/>
        <v/>
      </c>
    </row>
    <row r="2797" spans="26:26" x14ac:dyDescent="0.2">
      <c r="Z2797" t="str">
        <f t="shared" si="43"/>
        <v/>
      </c>
    </row>
    <row r="2798" spans="26:26" x14ac:dyDescent="0.2">
      <c r="Z2798" t="str">
        <f t="shared" si="43"/>
        <v/>
      </c>
    </row>
    <row r="2799" spans="26:26" x14ac:dyDescent="0.2">
      <c r="Z2799" t="str">
        <f t="shared" si="43"/>
        <v/>
      </c>
    </row>
    <row r="2800" spans="26:26" x14ac:dyDescent="0.2">
      <c r="Z2800" t="str">
        <f t="shared" si="43"/>
        <v/>
      </c>
    </row>
    <row r="2801" spans="26:26" x14ac:dyDescent="0.2">
      <c r="Z2801" t="str">
        <f t="shared" si="43"/>
        <v/>
      </c>
    </row>
    <row r="2802" spans="26:26" x14ac:dyDescent="0.2">
      <c r="Z2802" t="str">
        <f t="shared" si="43"/>
        <v/>
      </c>
    </row>
    <row r="2803" spans="26:26" x14ac:dyDescent="0.2">
      <c r="Z2803" t="str">
        <f t="shared" si="43"/>
        <v/>
      </c>
    </row>
    <row r="2804" spans="26:26" x14ac:dyDescent="0.2">
      <c r="Z2804" t="str">
        <f t="shared" si="43"/>
        <v/>
      </c>
    </row>
    <row r="2805" spans="26:26" x14ac:dyDescent="0.2">
      <c r="Z2805" t="str">
        <f t="shared" si="43"/>
        <v/>
      </c>
    </row>
    <row r="2806" spans="26:26" x14ac:dyDescent="0.2">
      <c r="Z2806" t="str">
        <f t="shared" si="43"/>
        <v/>
      </c>
    </row>
    <row r="2807" spans="26:26" x14ac:dyDescent="0.2">
      <c r="Z2807" t="str">
        <f t="shared" si="43"/>
        <v/>
      </c>
    </row>
    <row r="2808" spans="26:26" x14ac:dyDescent="0.2">
      <c r="Z2808" t="str">
        <f t="shared" si="43"/>
        <v/>
      </c>
    </row>
    <row r="2809" spans="26:26" x14ac:dyDescent="0.2">
      <c r="Z2809" t="str">
        <f t="shared" si="43"/>
        <v/>
      </c>
    </row>
    <row r="2810" spans="26:26" x14ac:dyDescent="0.2">
      <c r="Z2810" t="str">
        <f t="shared" si="43"/>
        <v/>
      </c>
    </row>
    <row r="2811" spans="26:26" x14ac:dyDescent="0.2">
      <c r="Z2811" t="str">
        <f t="shared" si="43"/>
        <v/>
      </c>
    </row>
    <row r="2812" spans="26:26" x14ac:dyDescent="0.2">
      <c r="Z2812" t="str">
        <f t="shared" si="43"/>
        <v/>
      </c>
    </row>
    <row r="2813" spans="26:26" x14ac:dyDescent="0.2">
      <c r="Z2813" t="str">
        <f t="shared" si="43"/>
        <v/>
      </c>
    </row>
    <row r="2814" spans="26:26" x14ac:dyDescent="0.2">
      <c r="Z2814" t="str">
        <f t="shared" si="43"/>
        <v/>
      </c>
    </row>
    <row r="2815" spans="26:26" x14ac:dyDescent="0.2">
      <c r="Z2815" t="str">
        <f t="shared" si="43"/>
        <v/>
      </c>
    </row>
    <row r="2816" spans="26:26" x14ac:dyDescent="0.2">
      <c r="Z2816" t="str">
        <f t="shared" si="43"/>
        <v/>
      </c>
    </row>
    <row r="2817" spans="26:26" x14ac:dyDescent="0.2">
      <c r="Z2817" t="str">
        <f t="shared" si="43"/>
        <v/>
      </c>
    </row>
    <row r="2818" spans="26:26" x14ac:dyDescent="0.2">
      <c r="Z2818" t="str">
        <f t="shared" si="43"/>
        <v/>
      </c>
    </row>
    <row r="2819" spans="26:26" x14ac:dyDescent="0.2">
      <c r="Z2819" t="str">
        <f t="shared" ref="Z2819:Z2882" si="44">IF(K2819="","",IFERROR(VALUE(TRIM(MID(K2819,FIND(CHAR(167),SUBSTITUTE(K2819,"-",CHAR(167),LEN(K2819)-LEN(SUBSTITUTE(K2819,"-",""))))+1,100))),K2819))</f>
        <v/>
      </c>
    </row>
    <row r="2820" spans="26:26" x14ac:dyDescent="0.2">
      <c r="Z2820" t="str">
        <f t="shared" si="44"/>
        <v/>
      </c>
    </row>
    <row r="2821" spans="26:26" x14ac:dyDescent="0.2">
      <c r="Z2821" t="str">
        <f t="shared" si="44"/>
        <v/>
      </c>
    </row>
    <row r="2822" spans="26:26" x14ac:dyDescent="0.2">
      <c r="Z2822" t="str">
        <f t="shared" si="44"/>
        <v/>
      </c>
    </row>
    <row r="2823" spans="26:26" x14ac:dyDescent="0.2">
      <c r="Z2823" t="str">
        <f t="shared" si="44"/>
        <v/>
      </c>
    </row>
    <row r="2824" spans="26:26" x14ac:dyDescent="0.2">
      <c r="Z2824" t="str">
        <f t="shared" si="44"/>
        <v/>
      </c>
    </row>
    <row r="2825" spans="26:26" x14ac:dyDescent="0.2">
      <c r="Z2825" t="str">
        <f t="shared" si="44"/>
        <v/>
      </c>
    </row>
    <row r="2826" spans="26:26" x14ac:dyDescent="0.2">
      <c r="Z2826" t="str">
        <f t="shared" si="44"/>
        <v/>
      </c>
    </row>
    <row r="2827" spans="26:26" x14ac:dyDescent="0.2">
      <c r="Z2827" t="str">
        <f t="shared" si="44"/>
        <v/>
      </c>
    </row>
    <row r="2828" spans="26:26" x14ac:dyDescent="0.2">
      <c r="Z2828" t="str">
        <f t="shared" si="44"/>
        <v/>
      </c>
    </row>
    <row r="2829" spans="26:26" x14ac:dyDescent="0.2">
      <c r="Z2829" t="str">
        <f t="shared" si="44"/>
        <v/>
      </c>
    </row>
    <row r="2830" spans="26:26" x14ac:dyDescent="0.2">
      <c r="Z2830" t="str">
        <f t="shared" si="44"/>
        <v/>
      </c>
    </row>
    <row r="2831" spans="26:26" x14ac:dyDescent="0.2">
      <c r="Z2831" t="str">
        <f t="shared" si="44"/>
        <v/>
      </c>
    </row>
    <row r="2832" spans="26:26" x14ac:dyDescent="0.2">
      <c r="Z2832" t="str">
        <f t="shared" si="44"/>
        <v/>
      </c>
    </row>
    <row r="2833" spans="26:26" x14ac:dyDescent="0.2">
      <c r="Z2833" t="str">
        <f t="shared" si="44"/>
        <v/>
      </c>
    </row>
    <row r="2834" spans="26:26" x14ac:dyDescent="0.2">
      <c r="Z2834" t="str">
        <f t="shared" si="44"/>
        <v/>
      </c>
    </row>
    <row r="2835" spans="26:26" x14ac:dyDescent="0.2">
      <c r="Z2835" t="str">
        <f t="shared" si="44"/>
        <v/>
      </c>
    </row>
    <row r="2836" spans="26:26" x14ac:dyDescent="0.2">
      <c r="Z2836" t="str">
        <f t="shared" si="44"/>
        <v/>
      </c>
    </row>
    <row r="2837" spans="26:26" x14ac:dyDescent="0.2">
      <c r="Z2837" t="str">
        <f t="shared" si="44"/>
        <v/>
      </c>
    </row>
    <row r="2838" spans="26:26" x14ac:dyDescent="0.2">
      <c r="Z2838" t="str">
        <f t="shared" si="44"/>
        <v/>
      </c>
    </row>
    <row r="2839" spans="26:26" x14ac:dyDescent="0.2">
      <c r="Z2839" t="str">
        <f t="shared" si="44"/>
        <v/>
      </c>
    </row>
    <row r="2840" spans="26:26" x14ac:dyDescent="0.2">
      <c r="Z2840" t="str">
        <f t="shared" si="44"/>
        <v/>
      </c>
    </row>
    <row r="2841" spans="26:26" x14ac:dyDescent="0.2">
      <c r="Z2841" t="str">
        <f t="shared" si="44"/>
        <v/>
      </c>
    </row>
    <row r="2842" spans="26:26" x14ac:dyDescent="0.2">
      <c r="Z2842" t="str">
        <f t="shared" si="44"/>
        <v/>
      </c>
    </row>
    <row r="2843" spans="26:26" x14ac:dyDescent="0.2">
      <c r="Z2843" t="str">
        <f t="shared" si="44"/>
        <v/>
      </c>
    </row>
    <row r="2844" spans="26:26" x14ac:dyDescent="0.2">
      <c r="Z2844" t="str">
        <f t="shared" si="44"/>
        <v/>
      </c>
    </row>
    <row r="2845" spans="26:26" x14ac:dyDescent="0.2">
      <c r="Z2845" t="str">
        <f t="shared" si="44"/>
        <v/>
      </c>
    </row>
    <row r="2846" spans="26:26" x14ac:dyDescent="0.2">
      <c r="Z2846" t="str">
        <f t="shared" si="44"/>
        <v/>
      </c>
    </row>
    <row r="2847" spans="26:26" x14ac:dyDescent="0.2">
      <c r="Z2847" t="str">
        <f t="shared" si="44"/>
        <v/>
      </c>
    </row>
    <row r="2848" spans="26:26" x14ac:dyDescent="0.2">
      <c r="Z2848" t="str">
        <f t="shared" si="44"/>
        <v/>
      </c>
    </row>
    <row r="2849" spans="26:26" x14ac:dyDescent="0.2">
      <c r="Z2849" t="str">
        <f t="shared" si="44"/>
        <v/>
      </c>
    </row>
    <row r="2850" spans="26:26" x14ac:dyDescent="0.2">
      <c r="Z2850" t="str">
        <f t="shared" si="44"/>
        <v/>
      </c>
    </row>
    <row r="2851" spans="26:26" x14ac:dyDescent="0.2">
      <c r="Z2851" t="str">
        <f t="shared" si="44"/>
        <v/>
      </c>
    </row>
    <row r="2852" spans="26:26" x14ac:dyDescent="0.2">
      <c r="Z2852" t="str">
        <f t="shared" si="44"/>
        <v/>
      </c>
    </row>
    <row r="2853" spans="26:26" x14ac:dyDescent="0.2">
      <c r="Z2853" t="str">
        <f t="shared" si="44"/>
        <v/>
      </c>
    </row>
    <row r="2854" spans="26:26" x14ac:dyDescent="0.2">
      <c r="Z2854" t="str">
        <f t="shared" si="44"/>
        <v/>
      </c>
    </row>
    <row r="2855" spans="26:26" x14ac:dyDescent="0.2">
      <c r="Z2855" t="str">
        <f t="shared" si="44"/>
        <v/>
      </c>
    </row>
    <row r="2856" spans="26:26" x14ac:dyDescent="0.2">
      <c r="Z2856" t="str">
        <f t="shared" si="44"/>
        <v/>
      </c>
    </row>
    <row r="2857" spans="26:26" x14ac:dyDescent="0.2">
      <c r="Z2857" t="str">
        <f t="shared" si="44"/>
        <v/>
      </c>
    </row>
    <row r="2858" spans="26:26" x14ac:dyDescent="0.2">
      <c r="Z2858" t="str">
        <f t="shared" si="44"/>
        <v/>
      </c>
    </row>
    <row r="2859" spans="26:26" x14ac:dyDescent="0.2">
      <c r="Z2859" t="str">
        <f t="shared" si="44"/>
        <v/>
      </c>
    </row>
    <row r="2860" spans="26:26" x14ac:dyDescent="0.2">
      <c r="Z2860" t="str">
        <f t="shared" si="44"/>
        <v/>
      </c>
    </row>
    <row r="2861" spans="26:26" x14ac:dyDescent="0.2">
      <c r="Z2861" t="str">
        <f t="shared" si="44"/>
        <v/>
      </c>
    </row>
    <row r="2862" spans="26:26" x14ac:dyDescent="0.2">
      <c r="Z2862" t="str">
        <f t="shared" si="44"/>
        <v/>
      </c>
    </row>
    <row r="2863" spans="26:26" x14ac:dyDescent="0.2">
      <c r="Z2863" t="str">
        <f t="shared" si="44"/>
        <v/>
      </c>
    </row>
    <row r="2864" spans="26:26" x14ac:dyDescent="0.2">
      <c r="Z2864" t="str">
        <f t="shared" si="44"/>
        <v/>
      </c>
    </row>
    <row r="2865" spans="26:26" x14ac:dyDescent="0.2">
      <c r="Z2865" t="str">
        <f t="shared" si="44"/>
        <v/>
      </c>
    </row>
    <row r="2866" spans="26:26" x14ac:dyDescent="0.2">
      <c r="Z2866" t="str">
        <f t="shared" si="44"/>
        <v/>
      </c>
    </row>
    <row r="2867" spans="26:26" x14ac:dyDescent="0.2">
      <c r="Z2867" t="str">
        <f t="shared" si="44"/>
        <v/>
      </c>
    </row>
    <row r="2868" spans="26:26" x14ac:dyDescent="0.2">
      <c r="Z2868" t="str">
        <f t="shared" si="44"/>
        <v/>
      </c>
    </row>
    <row r="2869" spans="26:26" x14ac:dyDescent="0.2">
      <c r="Z2869" t="str">
        <f t="shared" si="44"/>
        <v/>
      </c>
    </row>
    <row r="2870" spans="26:26" x14ac:dyDescent="0.2">
      <c r="Z2870" t="str">
        <f t="shared" si="44"/>
        <v/>
      </c>
    </row>
    <row r="2871" spans="26:26" x14ac:dyDescent="0.2">
      <c r="Z2871" t="str">
        <f t="shared" si="44"/>
        <v/>
      </c>
    </row>
    <row r="2872" spans="26:26" x14ac:dyDescent="0.2">
      <c r="Z2872" t="str">
        <f t="shared" si="44"/>
        <v/>
      </c>
    </row>
    <row r="2873" spans="26:26" x14ac:dyDescent="0.2">
      <c r="Z2873" t="str">
        <f t="shared" si="44"/>
        <v/>
      </c>
    </row>
    <row r="2874" spans="26:26" x14ac:dyDescent="0.2">
      <c r="Z2874" t="str">
        <f t="shared" si="44"/>
        <v/>
      </c>
    </row>
    <row r="2875" spans="26:26" x14ac:dyDescent="0.2">
      <c r="Z2875" t="str">
        <f t="shared" si="44"/>
        <v/>
      </c>
    </row>
    <row r="2876" spans="26:26" x14ac:dyDescent="0.2">
      <c r="Z2876" t="str">
        <f t="shared" si="44"/>
        <v/>
      </c>
    </row>
    <row r="2877" spans="26:26" x14ac:dyDescent="0.2">
      <c r="Z2877" t="str">
        <f t="shared" si="44"/>
        <v/>
      </c>
    </row>
    <row r="2878" spans="26:26" x14ac:dyDescent="0.2">
      <c r="Z2878" t="str">
        <f t="shared" si="44"/>
        <v/>
      </c>
    </row>
    <row r="2879" spans="26:26" x14ac:dyDescent="0.2">
      <c r="Z2879" t="str">
        <f t="shared" si="44"/>
        <v/>
      </c>
    </row>
    <row r="2880" spans="26:26" x14ac:dyDescent="0.2">
      <c r="Z2880" t="str">
        <f t="shared" si="44"/>
        <v/>
      </c>
    </row>
    <row r="2881" spans="26:26" x14ac:dyDescent="0.2">
      <c r="Z2881" t="str">
        <f t="shared" si="44"/>
        <v/>
      </c>
    </row>
    <row r="2882" spans="26:26" x14ac:dyDescent="0.2">
      <c r="Z2882" t="str">
        <f t="shared" si="44"/>
        <v/>
      </c>
    </row>
    <row r="2883" spans="26:26" x14ac:dyDescent="0.2">
      <c r="Z2883" t="str">
        <f t="shared" ref="Z2883:Z2946" si="45">IF(K2883="","",IFERROR(VALUE(TRIM(MID(K2883,FIND(CHAR(167),SUBSTITUTE(K2883,"-",CHAR(167),LEN(K2883)-LEN(SUBSTITUTE(K2883,"-",""))))+1,100))),K2883))</f>
        <v/>
      </c>
    </row>
    <row r="2884" spans="26:26" x14ac:dyDescent="0.2">
      <c r="Z2884" t="str">
        <f t="shared" si="45"/>
        <v/>
      </c>
    </row>
    <row r="2885" spans="26:26" x14ac:dyDescent="0.2">
      <c r="Z2885" t="str">
        <f t="shared" si="45"/>
        <v/>
      </c>
    </row>
    <row r="2886" spans="26:26" x14ac:dyDescent="0.2">
      <c r="Z2886" t="str">
        <f t="shared" si="45"/>
        <v/>
      </c>
    </row>
    <row r="2887" spans="26:26" x14ac:dyDescent="0.2">
      <c r="Z2887" t="str">
        <f t="shared" si="45"/>
        <v/>
      </c>
    </row>
    <row r="2888" spans="26:26" x14ac:dyDescent="0.2">
      <c r="Z2888" t="str">
        <f t="shared" si="45"/>
        <v/>
      </c>
    </row>
    <row r="2889" spans="26:26" x14ac:dyDescent="0.2">
      <c r="Z2889" t="str">
        <f t="shared" si="45"/>
        <v/>
      </c>
    </row>
    <row r="2890" spans="26:26" x14ac:dyDescent="0.2">
      <c r="Z2890" t="str">
        <f t="shared" si="45"/>
        <v/>
      </c>
    </row>
    <row r="2891" spans="26:26" x14ac:dyDescent="0.2">
      <c r="Z2891" t="str">
        <f t="shared" si="45"/>
        <v/>
      </c>
    </row>
    <row r="2892" spans="26:26" x14ac:dyDescent="0.2">
      <c r="Z2892" t="str">
        <f t="shared" si="45"/>
        <v/>
      </c>
    </row>
    <row r="2893" spans="26:26" x14ac:dyDescent="0.2">
      <c r="Z2893" t="str">
        <f t="shared" si="45"/>
        <v/>
      </c>
    </row>
    <row r="2894" spans="26:26" x14ac:dyDescent="0.2">
      <c r="Z2894" t="str">
        <f t="shared" si="45"/>
        <v/>
      </c>
    </row>
    <row r="2895" spans="26:26" x14ac:dyDescent="0.2">
      <c r="Z2895" t="str">
        <f t="shared" si="45"/>
        <v/>
      </c>
    </row>
    <row r="2896" spans="26:26" x14ac:dyDescent="0.2">
      <c r="Z2896" t="str">
        <f t="shared" si="45"/>
        <v/>
      </c>
    </row>
    <row r="2897" spans="26:26" x14ac:dyDescent="0.2">
      <c r="Z2897" t="str">
        <f t="shared" si="45"/>
        <v/>
      </c>
    </row>
    <row r="2898" spans="26:26" x14ac:dyDescent="0.2">
      <c r="Z2898" t="str">
        <f t="shared" si="45"/>
        <v/>
      </c>
    </row>
    <row r="2899" spans="26:26" x14ac:dyDescent="0.2">
      <c r="Z2899" t="str">
        <f t="shared" si="45"/>
        <v/>
      </c>
    </row>
    <row r="2900" spans="26:26" x14ac:dyDescent="0.2">
      <c r="Z2900" t="str">
        <f t="shared" si="45"/>
        <v/>
      </c>
    </row>
    <row r="2901" spans="26:26" x14ac:dyDescent="0.2">
      <c r="Z2901" t="str">
        <f t="shared" si="45"/>
        <v/>
      </c>
    </row>
    <row r="2902" spans="26:26" x14ac:dyDescent="0.2">
      <c r="Z2902" t="str">
        <f t="shared" si="45"/>
        <v/>
      </c>
    </row>
    <row r="2903" spans="26:26" x14ac:dyDescent="0.2">
      <c r="Z2903" t="str">
        <f t="shared" si="45"/>
        <v/>
      </c>
    </row>
    <row r="2904" spans="26:26" x14ac:dyDescent="0.2">
      <c r="Z2904" t="str">
        <f t="shared" si="45"/>
        <v/>
      </c>
    </row>
    <row r="2905" spans="26:26" x14ac:dyDescent="0.2">
      <c r="Z2905" t="str">
        <f t="shared" si="45"/>
        <v/>
      </c>
    </row>
    <row r="2906" spans="26:26" x14ac:dyDescent="0.2">
      <c r="Z2906" t="str">
        <f t="shared" si="45"/>
        <v/>
      </c>
    </row>
    <row r="2907" spans="26:26" x14ac:dyDescent="0.2">
      <c r="Z2907" t="str">
        <f t="shared" si="45"/>
        <v/>
      </c>
    </row>
    <row r="2908" spans="26:26" x14ac:dyDescent="0.2">
      <c r="Z2908" t="str">
        <f t="shared" si="45"/>
        <v/>
      </c>
    </row>
    <row r="2909" spans="26:26" x14ac:dyDescent="0.2">
      <c r="Z2909" t="str">
        <f t="shared" si="45"/>
        <v/>
      </c>
    </row>
    <row r="2910" spans="26:26" x14ac:dyDescent="0.2">
      <c r="Z2910" t="str">
        <f t="shared" si="45"/>
        <v/>
      </c>
    </row>
    <row r="2911" spans="26:26" x14ac:dyDescent="0.2">
      <c r="Z2911" t="str">
        <f t="shared" si="45"/>
        <v/>
      </c>
    </row>
    <row r="2912" spans="26:26" x14ac:dyDescent="0.2">
      <c r="Z2912" t="str">
        <f t="shared" si="45"/>
        <v/>
      </c>
    </row>
    <row r="2913" spans="26:26" x14ac:dyDescent="0.2">
      <c r="Z2913" t="str">
        <f t="shared" si="45"/>
        <v/>
      </c>
    </row>
    <row r="2914" spans="26:26" x14ac:dyDescent="0.2">
      <c r="Z2914" t="str">
        <f t="shared" si="45"/>
        <v/>
      </c>
    </row>
    <row r="2915" spans="26:26" x14ac:dyDescent="0.2">
      <c r="Z2915" t="str">
        <f t="shared" si="45"/>
        <v/>
      </c>
    </row>
    <row r="2916" spans="26:26" x14ac:dyDescent="0.2">
      <c r="Z2916" t="str">
        <f t="shared" si="45"/>
        <v/>
      </c>
    </row>
    <row r="2917" spans="26:26" x14ac:dyDescent="0.2">
      <c r="Z2917" t="str">
        <f t="shared" si="45"/>
        <v/>
      </c>
    </row>
    <row r="2918" spans="26:26" x14ac:dyDescent="0.2">
      <c r="Z2918" t="str">
        <f t="shared" si="45"/>
        <v/>
      </c>
    </row>
    <row r="2919" spans="26:26" x14ac:dyDescent="0.2">
      <c r="Z2919" t="str">
        <f t="shared" si="45"/>
        <v/>
      </c>
    </row>
    <row r="2920" spans="26:26" x14ac:dyDescent="0.2">
      <c r="Z2920" t="str">
        <f t="shared" si="45"/>
        <v/>
      </c>
    </row>
    <row r="2921" spans="26:26" x14ac:dyDescent="0.2">
      <c r="Z2921" t="str">
        <f t="shared" si="45"/>
        <v/>
      </c>
    </row>
    <row r="2922" spans="26:26" x14ac:dyDescent="0.2">
      <c r="Z2922" t="str">
        <f t="shared" si="45"/>
        <v/>
      </c>
    </row>
    <row r="2923" spans="26:26" x14ac:dyDescent="0.2">
      <c r="Z2923" t="str">
        <f t="shared" si="45"/>
        <v/>
      </c>
    </row>
    <row r="2924" spans="26:26" x14ac:dyDescent="0.2">
      <c r="Z2924" t="str">
        <f t="shared" si="45"/>
        <v/>
      </c>
    </row>
    <row r="2925" spans="26:26" x14ac:dyDescent="0.2">
      <c r="Z2925" t="str">
        <f t="shared" si="45"/>
        <v/>
      </c>
    </row>
    <row r="2926" spans="26:26" x14ac:dyDescent="0.2">
      <c r="Z2926" t="str">
        <f t="shared" si="45"/>
        <v/>
      </c>
    </row>
    <row r="2927" spans="26:26" x14ac:dyDescent="0.2">
      <c r="Z2927" t="str">
        <f t="shared" si="45"/>
        <v/>
      </c>
    </row>
    <row r="2928" spans="26:26" x14ac:dyDescent="0.2">
      <c r="Z2928" t="str">
        <f t="shared" si="45"/>
        <v/>
      </c>
    </row>
    <row r="2929" spans="26:26" x14ac:dyDescent="0.2">
      <c r="Z2929" t="str">
        <f t="shared" si="45"/>
        <v/>
      </c>
    </row>
    <row r="2930" spans="26:26" x14ac:dyDescent="0.2">
      <c r="Z2930" t="str">
        <f t="shared" si="45"/>
        <v/>
      </c>
    </row>
    <row r="2931" spans="26:26" x14ac:dyDescent="0.2">
      <c r="Z2931" t="str">
        <f t="shared" si="45"/>
        <v/>
      </c>
    </row>
    <row r="2932" spans="26:26" x14ac:dyDescent="0.2">
      <c r="Z2932" t="str">
        <f t="shared" si="45"/>
        <v/>
      </c>
    </row>
    <row r="2933" spans="26:26" x14ac:dyDescent="0.2">
      <c r="Z2933" t="str">
        <f t="shared" si="45"/>
        <v/>
      </c>
    </row>
    <row r="2934" spans="26:26" x14ac:dyDescent="0.2">
      <c r="Z2934" t="str">
        <f t="shared" si="45"/>
        <v/>
      </c>
    </row>
    <row r="2935" spans="26:26" x14ac:dyDescent="0.2">
      <c r="Z2935" t="str">
        <f t="shared" si="45"/>
        <v/>
      </c>
    </row>
    <row r="2936" spans="26:26" x14ac:dyDescent="0.2">
      <c r="Z2936" t="str">
        <f t="shared" si="45"/>
        <v/>
      </c>
    </row>
    <row r="2937" spans="26:26" x14ac:dyDescent="0.2">
      <c r="Z2937" t="str">
        <f t="shared" si="45"/>
        <v/>
      </c>
    </row>
    <row r="2938" spans="26:26" x14ac:dyDescent="0.2">
      <c r="Z2938" t="str">
        <f t="shared" si="45"/>
        <v/>
      </c>
    </row>
    <row r="2939" spans="26:26" x14ac:dyDescent="0.2">
      <c r="Z2939" t="str">
        <f t="shared" si="45"/>
        <v/>
      </c>
    </row>
    <row r="2940" spans="26:26" x14ac:dyDescent="0.2">
      <c r="Z2940" t="str">
        <f t="shared" si="45"/>
        <v/>
      </c>
    </row>
    <row r="2941" spans="26:26" x14ac:dyDescent="0.2">
      <c r="Z2941" t="str">
        <f t="shared" si="45"/>
        <v/>
      </c>
    </row>
    <row r="2942" spans="26:26" x14ac:dyDescent="0.2">
      <c r="Z2942" t="str">
        <f t="shared" si="45"/>
        <v/>
      </c>
    </row>
    <row r="2943" spans="26:26" x14ac:dyDescent="0.2">
      <c r="Z2943" t="str">
        <f t="shared" si="45"/>
        <v/>
      </c>
    </row>
    <row r="2944" spans="26:26" x14ac:dyDescent="0.2">
      <c r="Z2944" t="str">
        <f t="shared" si="45"/>
        <v/>
      </c>
    </row>
    <row r="2945" spans="26:26" x14ac:dyDescent="0.2">
      <c r="Z2945" t="str">
        <f t="shared" si="45"/>
        <v/>
      </c>
    </row>
    <row r="2946" spans="26:26" x14ac:dyDescent="0.2">
      <c r="Z2946" t="str">
        <f t="shared" si="45"/>
        <v/>
      </c>
    </row>
    <row r="2947" spans="26:26" x14ac:dyDescent="0.2">
      <c r="Z2947" t="str">
        <f t="shared" ref="Z2947:Z3010" si="46">IF(K2947="","",IFERROR(VALUE(TRIM(MID(K2947,FIND(CHAR(167),SUBSTITUTE(K2947,"-",CHAR(167),LEN(K2947)-LEN(SUBSTITUTE(K2947,"-",""))))+1,100))),K2947))</f>
        <v/>
      </c>
    </row>
    <row r="2948" spans="26:26" x14ac:dyDescent="0.2">
      <c r="Z2948" t="str">
        <f t="shared" si="46"/>
        <v/>
      </c>
    </row>
    <row r="2949" spans="26:26" x14ac:dyDescent="0.2">
      <c r="Z2949" t="str">
        <f t="shared" si="46"/>
        <v/>
      </c>
    </row>
    <row r="2950" spans="26:26" x14ac:dyDescent="0.2">
      <c r="Z2950" t="str">
        <f t="shared" si="46"/>
        <v/>
      </c>
    </row>
    <row r="2951" spans="26:26" x14ac:dyDescent="0.2">
      <c r="Z2951" t="str">
        <f t="shared" si="46"/>
        <v/>
      </c>
    </row>
    <row r="2952" spans="26:26" x14ac:dyDescent="0.2">
      <c r="Z2952" t="str">
        <f t="shared" si="46"/>
        <v/>
      </c>
    </row>
    <row r="2953" spans="26:26" x14ac:dyDescent="0.2">
      <c r="Z2953" t="str">
        <f t="shared" si="46"/>
        <v/>
      </c>
    </row>
    <row r="2954" spans="26:26" x14ac:dyDescent="0.2">
      <c r="Z2954" t="str">
        <f t="shared" si="46"/>
        <v/>
      </c>
    </row>
    <row r="2955" spans="26:26" x14ac:dyDescent="0.2">
      <c r="Z2955" t="str">
        <f t="shared" si="46"/>
        <v/>
      </c>
    </row>
    <row r="2956" spans="26:26" x14ac:dyDescent="0.2">
      <c r="Z2956" t="str">
        <f t="shared" si="46"/>
        <v/>
      </c>
    </row>
    <row r="2957" spans="26:26" x14ac:dyDescent="0.2">
      <c r="Z2957" t="str">
        <f t="shared" si="46"/>
        <v/>
      </c>
    </row>
    <row r="2958" spans="26:26" x14ac:dyDescent="0.2">
      <c r="Z2958" t="str">
        <f t="shared" si="46"/>
        <v/>
      </c>
    </row>
    <row r="2959" spans="26:26" x14ac:dyDescent="0.2">
      <c r="Z2959" t="str">
        <f t="shared" si="46"/>
        <v/>
      </c>
    </row>
    <row r="2960" spans="26:26" x14ac:dyDescent="0.2">
      <c r="Z2960" t="str">
        <f t="shared" si="46"/>
        <v/>
      </c>
    </row>
    <row r="2961" spans="26:26" x14ac:dyDescent="0.2">
      <c r="Z2961" t="str">
        <f t="shared" si="46"/>
        <v/>
      </c>
    </row>
    <row r="2962" spans="26:26" x14ac:dyDescent="0.2">
      <c r="Z2962" t="str">
        <f t="shared" si="46"/>
        <v/>
      </c>
    </row>
    <row r="2963" spans="26:26" x14ac:dyDescent="0.2">
      <c r="Z2963" t="str">
        <f t="shared" si="46"/>
        <v/>
      </c>
    </row>
    <row r="2964" spans="26:26" x14ac:dyDescent="0.2">
      <c r="Z2964" t="str">
        <f t="shared" si="46"/>
        <v/>
      </c>
    </row>
    <row r="2965" spans="26:26" x14ac:dyDescent="0.2">
      <c r="Z2965" t="str">
        <f t="shared" si="46"/>
        <v/>
      </c>
    </row>
    <row r="2966" spans="26:26" x14ac:dyDescent="0.2">
      <c r="Z2966" t="str">
        <f t="shared" si="46"/>
        <v/>
      </c>
    </row>
    <row r="2967" spans="26:26" x14ac:dyDescent="0.2">
      <c r="Z2967" t="str">
        <f t="shared" si="46"/>
        <v/>
      </c>
    </row>
    <row r="2968" spans="26:26" x14ac:dyDescent="0.2">
      <c r="Z2968" t="str">
        <f t="shared" si="46"/>
        <v/>
      </c>
    </row>
    <row r="2969" spans="26:26" x14ac:dyDescent="0.2">
      <c r="Z2969" t="str">
        <f t="shared" si="46"/>
        <v/>
      </c>
    </row>
    <row r="2970" spans="26:26" x14ac:dyDescent="0.2">
      <c r="Z2970" t="str">
        <f t="shared" si="46"/>
        <v/>
      </c>
    </row>
    <row r="2971" spans="26:26" x14ac:dyDescent="0.2">
      <c r="Z2971" t="str">
        <f t="shared" si="46"/>
        <v/>
      </c>
    </row>
    <row r="2972" spans="26:26" x14ac:dyDescent="0.2">
      <c r="Z2972" t="str">
        <f t="shared" si="46"/>
        <v/>
      </c>
    </row>
    <row r="2973" spans="26:26" x14ac:dyDescent="0.2">
      <c r="Z2973" t="str">
        <f t="shared" si="46"/>
        <v/>
      </c>
    </row>
    <row r="2974" spans="26:26" x14ac:dyDescent="0.2">
      <c r="Z2974" t="str">
        <f t="shared" si="46"/>
        <v/>
      </c>
    </row>
    <row r="2975" spans="26:26" x14ac:dyDescent="0.2">
      <c r="Z2975" t="str">
        <f t="shared" si="46"/>
        <v/>
      </c>
    </row>
    <row r="2976" spans="26:26" x14ac:dyDescent="0.2">
      <c r="Z2976" t="str">
        <f t="shared" si="46"/>
        <v/>
      </c>
    </row>
    <row r="2977" spans="26:26" x14ac:dyDescent="0.2">
      <c r="Z2977" t="str">
        <f t="shared" si="46"/>
        <v/>
      </c>
    </row>
    <row r="2978" spans="26:26" x14ac:dyDescent="0.2">
      <c r="Z2978" t="str">
        <f t="shared" si="46"/>
        <v/>
      </c>
    </row>
    <row r="2979" spans="26:26" x14ac:dyDescent="0.2">
      <c r="Z2979" t="str">
        <f t="shared" si="46"/>
        <v/>
      </c>
    </row>
    <row r="2980" spans="26:26" x14ac:dyDescent="0.2">
      <c r="Z2980" t="str">
        <f t="shared" si="46"/>
        <v/>
      </c>
    </row>
    <row r="2981" spans="26:26" x14ac:dyDescent="0.2">
      <c r="Z2981" t="str">
        <f t="shared" si="46"/>
        <v/>
      </c>
    </row>
    <row r="2982" spans="26:26" x14ac:dyDescent="0.2">
      <c r="Z2982" t="str">
        <f t="shared" si="46"/>
        <v/>
      </c>
    </row>
    <row r="2983" spans="26:26" x14ac:dyDescent="0.2">
      <c r="Z2983" t="str">
        <f t="shared" si="46"/>
        <v/>
      </c>
    </row>
    <row r="2984" spans="26:26" x14ac:dyDescent="0.2">
      <c r="Z2984" t="str">
        <f t="shared" si="46"/>
        <v/>
      </c>
    </row>
    <row r="2985" spans="26:26" x14ac:dyDescent="0.2">
      <c r="Z2985" t="str">
        <f t="shared" si="46"/>
        <v/>
      </c>
    </row>
    <row r="2986" spans="26:26" x14ac:dyDescent="0.2">
      <c r="Z2986" t="str">
        <f t="shared" si="46"/>
        <v/>
      </c>
    </row>
    <row r="2987" spans="26:26" x14ac:dyDescent="0.2">
      <c r="Z2987" t="str">
        <f t="shared" si="46"/>
        <v/>
      </c>
    </row>
    <row r="2988" spans="26:26" x14ac:dyDescent="0.2">
      <c r="Z2988" t="str">
        <f t="shared" si="46"/>
        <v/>
      </c>
    </row>
    <row r="2989" spans="26:26" x14ac:dyDescent="0.2">
      <c r="Z2989" t="str">
        <f t="shared" si="46"/>
        <v/>
      </c>
    </row>
    <row r="2990" spans="26:26" x14ac:dyDescent="0.2">
      <c r="Z2990" t="str">
        <f t="shared" si="46"/>
        <v/>
      </c>
    </row>
    <row r="2991" spans="26:26" x14ac:dyDescent="0.2">
      <c r="Z2991" t="str">
        <f t="shared" si="46"/>
        <v/>
      </c>
    </row>
    <row r="2992" spans="26:26" x14ac:dyDescent="0.2">
      <c r="Z2992" t="str">
        <f t="shared" si="46"/>
        <v/>
      </c>
    </row>
    <row r="2993" spans="26:26" x14ac:dyDescent="0.2">
      <c r="Z2993" t="str">
        <f t="shared" si="46"/>
        <v/>
      </c>
    </row>
    <row r="2994" spans="26:26" x14ac:dyDescent="0.2">
      <c r="Z2994" t="str">
        <f t="shared" si="46"/>
        <v/>
      </c>
    </row>
    <row r="2995" spans="26:26" x14ac:dyDescent="0.2">
      <c r="Z2995" t="str">
        <f t="shared" si="46"/>
        <v/>
      </c>
    </row>
    <row r="2996" spans="26:26" x14ac:dyDescent="0.2">
      <c r="Z2996" t="str">
        <f t="shared" si="46"/>
        <v/>
      </c>
    </row>
    <row r="2997" spans="26:26" x14ac:dyDescent="0.2">
      <c r="Z2997" t="str">
        <f t="shared" si="46"/>
        <v/>
      </c>
    </row>
    <row r="2998" spans="26:26" x14ac:dyDescent="0.2">
      <c r="Z2998" t="str">
        <f t="shared" si="46"/>
        <v/>
      </c>
    </row>
    <row r="2999" spans="26:26" x14ac:dyDescent="0.2">
      <c r="Z2999" t="str">
        <f t="shared" si="46"/>
        <v/>
      </c>
    </row>
    <row r="3000" spans="26:26" x14ac:dyDescent="0.2">
      <c r="Z3000" t="str">
        <f t="shared" si="46"/>
        <v/>
      </c>
    </row>
    <row r="3001" spans="26:26" x14ac:dyDescent="0.2">
      <c r="Z3001" t="str">
        <f t="shared" si="46"/>
        <v/>
      </c>
    </row>
    <row r="3002" spans="26:26" x14ac:dyDescent="0.2">
      <c r="Z3002" t="str">
        <f t="shared" si="46"/>
        <v/>
      </c>
    </row>
    <row r="3003" spans="26:26" x14ac:dyDescent="0.2">
      <c r="Z3003" t="str">
        <f t="shared" si="46"/>
        <v/>
      </c>
    </row>
    <row r="3004" spans="26:26" x14ac:dyDescent="0.2">
      <c r="Z3004" t="str">
        <f t="shared" si="46"/>
        <v/>
      </c>
    </row>
    <row r="3005" spans="26:26" x14ac:dyDescent="0.2">
      <c r="Z3005" t="str">
        <f t="shared" si="46"/>
        <v/>
      </c>
    </row>
    <row r="3006" spans="26:26" x14ac:dyDescent="0.2">
      <c r="Z3006" t="str">
        <f t="shared" si="46"/>
        <v/>
      </c>
    </row>
    <row r="3007" spans="26:26" x14ac:dyDescent="0.2">
      <c r="Z3007" t="str">
        <f t="shared" si="46"/>
        <v/>
      </c>
    </row>
    <row r="3008" spans="26:26" x14ac:dyDescent="0.2">
      <c r="Z3008" t="str">
        <f t="shared" si="46"/>
        <v/>
      </c>
    </row>
    <row r="3009" spans="26:26" x14ac:dyDescent="0.2">
      <c r="Z3009" t="str">
        <f t="shared" si="46"/>
        <v/>
      </c>
    </row>
    <row r="3010" spans="26:26" x14ac:dyDescent="0.2">
      <c r="Z3010" t="str">
        <f t="shared" si="46"/>
        <v/>
      </c>
    </row>
    <row r="3011" spans="26:26" x14ac:dyDescent="0.2">
      <c r="Z3011" t="str">
        <f t="shared" ref="Z3011:Z3074" si="47">IF(K3011="","",IFERROR(VALUE(TRIM(MID(K3011,FIND(CHAR(167),SUBSTITUTE(K3011,"-",CHAR(167),LEN(K3011)-LEN(SUBSTITUTE(K3011,"-",""))))+1,100))),K3011))</f>
        <v/>
      </c>
    </row>
    <row r="3012" spans="26:26" x14ac:dyDescent="0.2">
      <c r="Z3012" t="str">
        <f t="shared" si="47"/>
        <v/>
      </c>
    </row>
    <row r="3013" spans="26:26" x14ac:dyDescent="0.2">
      <c r="Z3013" t="str">
        <f t="shared" si="47"/>
        <v/>
      </c>
    </row>
    <row r="3014" spans="26:26" x14ac:dyDescent="0.2">
      <c r="Z3014" t="str">
        <f t="shared" si="47"/>
        <v/>
      </c>
    </row>
    <row r="3015" spans="26:26" x14ac:dyDescent="0.2">
      <c r="Z3015" t="str">
        <f t="shared" si="47"/>
        <v/>
      </c>
    </row>
    <row r="3016" spans="26:26" x14ac:dyDescent="0.2">
      <c r="Z3016" t="str">
        <f t="shared" si="47"/>
        <v/>
      </c>
    </row>
    <row r="3017" spans="26:26" x14ac:dyDescent="0.2">
      <c r="Z3017" t="str">
        <f t="shared" si="47"/>
        <v/>
      </c>
    </row>
    <row r="3018" spans="26:26" x14ac:dyDescent="0.2">
      <c r="Z3018" t="str">
        <f t="shared" si="47"/>
        <v/>
      </c>
    </row>
    <row r="3019" spans="26:26" x14ac:dyDescent="0.2">
      <c r="Z3019" t="str">
        <f t="shared" si="47"/>
        <v/>
      </c>
    </row>
    <row r="3020" spans="26:26" x14ac:dyDescent="0.2">
      <c r="Z3020" t="str">
        <f t="shared" si="47"/>
        <v/>
      </c>
    </row>
    <row r="3021" spans="26:26" x14ac:dyDescent="0.2">
      <c r="Z3021" t="str">
        <f t="shared" si="47"/>
        <v/>
      </c>
    </row>
    <row r="3022" spans="26:26" x14ac:dyDescent="0.2">
      <c r="Z3022" t="str">
        <f t="shared" si="47"/>
        <v/>
      </c>
    </row>
    <row r="3023" spans="26:26" x14ac:dyDescent="0.2">
      <c r="Z3023" t="str">
        <f t="shared" si="47"/>
        <v/>
      </c>
    </row>
    <row r="3024" spans="26:26" x14ac:dyDescent="0.2">
      <c r="Z3024" t="str">
        <f t="shared" si="47"/>
        <v/>
      </c>
    </row>
    <row r="3025" spans="26:26" x14ac:dyDescent="0.2">
      <c r="Z3025" t="str">
        <f t="shared" si="47"/>
        <v/>
      </c>
    </row>
    <row r="3026" spans="26:26" x14ac:dyDescent="0.2">
      <c r="Z3026" t="str">
        <f t="shared" si="47"/>
        <v/>
      </c>
    </row>
    <row r="3027" spans="26:26" x14ac:dyDescent="0.2">
      <c r="Z3027" t="str">
        <f t="shared" si="47"/>
        <v/>
      </c>
    </row>
    <row r="3028" spans="26:26" x14ac:dyDescent="0.2">
      <c r="Z3028" t="str">
        <f t="shared" si="47"/>
        <v/>
      </c>
    </row>
    <row r="3029" spans="26:26" x14ac:dyDescent="0.2">
      <c r="Z3029" t="str">
        <f t="shared" si="47"/>
        <v/>
      </c>
    </row>
    <row r="3030" spans="26:26" x14ac:dyDescent="0.2">
      <c r="Z3030" t="str">
        <f t="shared" si="47"/>
        <v/>
      </c>
    </row>
    <row r="3031" spans="26:26" x14ac:dyDescent="0.2">
      <c r="Z3031" t="str">
        <f t="shared" si="47"/>
        <v/>
      </c>
    </row>
    <row r="3032" spans="26:26" x14ac:dyDescent="0.2">
      <c r="Z3032" t="str">
        <f t="shared" si="47"/>
        <v/>
      </c>
    </row>
    <row r="3033" spans="26:26" x14ac:dyDescent="0.2">
      <c r="Z3033" t="str">
        <f t="shared" si="47"/>
        <v/>
      </c>
    </row>
    <row r="3034" spans="26:26" x14ac:dyDescent="0.2">
      <c r="Z3034" t="str">
        <f t="shared" si="47"/>
        <v/>
      </c>
    </row>
    <row r="3035" spans="26:26" x14ac:dyDescent="0.2">
      <c r="Z3035" t="str">
        <f t="shared" si="47"/>
        <v/>
      </c>
    </row>
    <row r="3036" spans="26:26" x14ac:dyDescent="0.2">
      <c r="Z3036" t="str">
        <f t="shared" si="47"/>
        <v/>
      </c>
    </row>
    <row r="3037" spans="26:26" x14ac:dyDescent="0.2">
      <c r="Z3037" t="str">
        <f t="shared" si="47"/>
        <v/>
      </c>
    </row>
    <row r="3038" spans="26:26" x14ac:dyDescent="0.2">
      <c r="Z3038" t="str">
        <f t="shared" si="47"/>
        <v/>
      </c>
    </row>
    <row r="3039" spans="26:26" x14ac:dyDescent="0.2">
      <c r="Z3039" t="str">
        <f t="shared" si="47"/>
        <v/>
      </c>
    </row>
    <row r="3040" spans="26:26" x14ac:dyDescent="0.2">
      <c r="Z3040" t="str">
        <f t="shared" si="47"/>
        <v/>
      </c>
    </row>
    <row r="3041" spans="26:26" x14ac:dyDescent="0.2">
      <c r="Z3041" t="str">
        <f t="shared" si="47"/>
        <v/>
      </c>
    </row>
    <row r="3042" spans="26:26" x14ac:dyDescent="0.2">
      <c r="Z3042" t="str">
        <f t="shared" si="47"/>
        <v/>
      </c>
    </row>
    <row r="3043" spans="26:26" x14ac:dyDescent="0.2">
      <c r="Z3043" t="str">
        <f t="shared" si="47"/>
        <v/>
      </c>
    </row>
    <row r="3044" spans="26:26" x14ac:dyDescent="0.2">
      <c r="Z3044" t="str">
        <f t="shared" si="47"/>
        <v/>
      </c>
    </row>
    <row r="3045" spans="26:26" x14ac:dyDescent="0.2">
      <c r="Z3045" t="str">
        <f t="shared" si="47"/>
        <v/>
      </c>
    </row>
    <row r="3046" spans="26:26" x14ac:dyDescent="0.2">
      <c r="Z3046" t="str">
        <f t="shared" si="47"/>
        <v/>
      </c>
    </row>
    <row r="3047" spans="26:26" x14ac:dyDescent="0.2">
      <c r="Z3047" t="str">
        <f t="shared" si="47"/>
        <v/>
      </c>
    </row>
    <row r="3048" spans="26:26" x14ac:dyDescent="0.2">
      <c r="Z3048" t="str">
        <f t="shared" si="47"/>
        <v/>
      </c>
    </row>
    <row r="3049" spans="26:26" x14ac:dyDescent="0.2">
      <c r="Z3049" t="str">
        <f t="shared" si="47"/>
        <v/>
      </c>
    </row>
    <row r="3050" spans="26:26" x14ac:dyDescent="0.2">
      <c r="Z3050" t="str">
        <f t="shared" si="47"/>
        <v/>
      </c>
    </row>
    <row r="3051" spans="26:26" x14ac:dyDescent="0.2">
      <c r="Z3051" t="str">
        <f t="shared" si="47"/>
        <v/>
      </c>
    </row>
    <row r="3052" spans="26:26" x14ac:dyDescent="0.2">
      <c r="Z3052" t="str">
        <f t="shared" si="47"/>
        <v/>
      </c>
    </row>
    <row r="3053" spans="26:26" x14ac:dyDescent="0.2">
      <c r="Z3053" t="str">
        <f t="shared" si="47"/>
        <v/>
      </c>
    </row>
    <row r="3054" spans="26:26" x14ac:dyDescent="0.2">
      <c r="Z3054" t="str">
        <f t="shared" si="47"/>
        <v/>
      </c>
    </row>
    <row r="3055" spans="26:26" x14ac:dyDescent="0.2">
      <c r="Z3055" t="str">
        <f t="shared" si="47"/>
        <v/>
      </c>
    </row>
    <row r="3056" spans="26:26" x14ac:dyDescent="0.2">
      <c r="Z3056" t="str">
        <f t="shared" si="47"/>
        <v/>
      </c>
    </row>
    <row r="3057" spans="26:26" x14ac:dyDescent="0.2">
      <c r="Z3057" t="str">
        <f t="shared" si="47"/>
        <v/>
      </c>
    </row>
    <row r="3058" spans="26:26" x14ac:dyDescent="0.2">
      <c r="Z3058" t="str">
        <f t="shared" si="47"/>
        <v/>
      </c>
    </row>
    <row r="3059" spans="26:26" x14ac:dyDescent="0.2">
      <c r="Z3059" t="str">
        <f t="shared" si="47"/>
        <v/>
      </c>
    </row>
    <row r="3060" spans="26:26" x14ac:dyDescent="0.2">
      <c r="Z3060" t="str">
        <f t="shared" si="47"/>
        <v/>
      </c>
    </row>
    <row r="3061" spans="26:26" x14ac:dyDescent="0.2">
      <c r="Z3061" t="str">
        <f t="shared" si="47"/>
        <v/>
      </c>
    </row>
    <row r="3062" spans="26:26" x14ac:dyDescent="0.2">
      <c r="Z3062" t="str">
        <f t="shared" si="47"/>
        <v/>
      </c>
    </row>
    <row r="3063" spans="26:26" x14ac:dyDescent="0.2">
      <c r="Z3063" t="str">
        <f t="shared" si="47"/>
        <v/>
      </c>
    </row>
    <row r="3064" spans="26:26" x14ac:dyDescent="0.2">
      <c r="Z3064" t="str">
        <f t="shared" si="47"/>
        <v/>
      </c>
    </row>
    <row r="3065" spans="26:26" x14ac:dyDescent="0.2">
      <c r="Z3065" t="str">
        <f t="shared" si="47"/>
        <v/>
      </c>
    </row>
    <row r="3066" spans="26:26" x14ac:dyDescent="0.2">
      <c r="Z3066" t="str">
        <f t="shared" si="47"/>
        <v/>
      </c>
    </row>
    <row r="3067" spans="26:26" x14ac:dyDescent="0.2">
      <c r="Z3067" t="str">
        <f t="shared" si="47"/>
        <v/>
      </c>
    </row>
    <row r="3068" spans="26:26" x14ac:dyDescent="0.2">
      <c r="Z3068" t="str">
        <f t="shared" si="47"/>
        <v/>
      </c>
    </row>
    <row r="3069" spans="26:26" x14ac:dyDescent="0.2">
      <c r="Z3069" t="str">
        <f t="shared" si="47"/>
        <v/>
      </c>
    </row>
    <row r="3070" spans="26:26" x14ac:dyDescent="0.2">
      <c r="Z3070" t="str">
        <f t="shared" si="47"/>
        <v/>
      </c>
    </row>
    <row r="3071" spans="26:26" x14ac:dyDescent="0.2">
      <c r="Z3071" t="str">
        <f t="shared" si="47"/>
        <v/>
      </c>
    </row>
    <row r="3072" spans="26:26" x14ac:dyDescent="0.2">
      <c r="Z3072" t="str">
        <f t="shared" si="47"/>
        <v/>
      </c>
    </row>
    <row r="3073" spans="26:26" x14ac:dyDescent="0.2">
      <c r="Z3073" t="str">
        <f t="shared" si="47"/>
        <v/>
      </c>
    </row>
    <row r="3074" spans="26:26" x14ac:dyDescent="0.2">
      <c r="Z3074" t="str">
        <f t="shared" si="47"/>
        <v/>
      </c>
    </row>
    <row r="3075" spans="26:26" x14ac:dyDescent="0.2">
      <c r="Z3075" t="str">
        <f t="shared" ref="Z3075:Z3138" si="48">IF(K3075="","",IFERROR(VALUE(TRIM(MID(K3075,FIND(CHAR(167),SUBSTITUTE(K3075,"-",CHAR(167),LEN(K3075)-LEN(SUBSTITUTE(K3075,"-",""))))+1,100))),K3075))</f>
        <v/>
      </c>
    </row>
    <row r="3076" spans="26:26" x14ac:dyDescent="0.2">
      <c r="Z3076" t="str">
        <f t="shared" si="48"/>
        <v/>
      </c>
    </row>
    <row r="3077" spans="26:26" x14ac:dyDescent="0.2">
      <c r="Z3077" t="str">
        <f t="shared" si="48"/>
        <v/>
      </c>
    </row>
    <row r="3078" spans="26:26" x14ac:dyDescent="0.2">
      <c r="Z3078" t="str">
        <f t="shared" si="48"/>
        <v/>
      </c>
    </row>
    <row r="3079" spans="26:26" x14ac:dyDescent="0.2">
      <c r="Z3079" t="str">
        <f t="shared" si="48"/>
        <v/>
      </c>
    </row>
    <row r="3080" spans="26:26" x14ac:dyDescent="0.2">
      <c r="Z3080" t="str">
        <f t="shared" si="48"/>
        <v/>
      </c>
    </row>
    <row r="3081" spans="26:26" x14ac:dyDescent="0.2">
      <c r="Z3081" t="str">
        <f t="shared" si="48"/>
        <v/>
      </c>
    </row>
    <row r="3082" spans="26:26" x14ac:dyDescent="0.2">
      <c r="Z3082" t="str">
        <f t="shared" si="48"/>
        <v/>
      </c>
    </row>
    <row r="3083" spans="26:26" x14ac:dyDescent="0.2">
      <c r="Z3083" t="str">
        <f t="shared" si="48"/>
        <v/>
      </c>
    </row>
    <row r="3084" spans="26:26" x14ac:dyDescent="0.2">
      <c r="Z3084" t="str">
        <f t="shared" si="48"/>
        <v/>
      </c>
    </row>
    <row r="3085" spans="26:26" x14ac:dyDescent="0.2">
      <c r="Z3085" t="str">
        <f t="shared" si="48"/>
        <v/>
      </c>
    </row>
    <row r="3086" spans="26:26" x14ac:dyDescent="0.2">
      <c r="Z3086" t="str">
        <f t="shared" si="48"/>
        <v/>
      </c>
    </row>
    <row r="3087" spans="26:26" x14ac:dyDescent="0.2">
      <c r="Z3087" t="str">
        <f t="shared" si="48"/>
        <v/>
      </c>
    </row>
    <row r="3088" spans="26:26" x14ac:dyDescent="0.2">
      <c r="Z3088" t="str">
        <f t="shared" si="48"/>
        <v/>
      </c>
    </row>
    <row r="3089" spans="26:26" x14ac:dyDescent="0.2">
      <c r="Z3089" t="str">
        <f t="shared" si="48"/>
        <v/>
      </c>
    </row>
    <row r="3090" spans="26:26" x14ac:dyDescent="0.2">
      <c r="Z3090" t="str">
        <f t="shared" si="48"/>
        <v/>
      </c>
    </row>
    <row r="3091" spans="26:26" x14ac:dyDescent="0.2">
      <c r="Z3091" t="str">
        <f t="shared" si="48"/>
        <v/>
      </c>
    </row>
    <row r="3092" spans="26:26" x14ac:dyDescent="0.2">
      <c r="Z3092" t="str">
        <f t="shared" si="48"/>
        <v/>
      </c>
    </row>
    <row r="3093" spans="26:26" x14ac:dyDescent="0.2">
      <c r="Z3093" t="str">
        <f t="shared" si="48"/>
        <v/>
      </c>
    </row>
    <row r="3094" spans="26:26" x14ac:dyDescent="0.2">
      <c r="Z3094" t="str">
        <f t="shared" si="48"/>
        <v/>
      </c>
    </row>
    <row r="3095" spans="26:26" x14ac:dyDescent="0.2">
      <c r="Z3095" t="str">
        <f t="shared" si="48"/>
        <v/>
      </c>
    </row>
    <row r="3096" spans="26:26" x14ac:dyDescent="0.2">
      <c r="Z3096" t="str">
        <f t="shared" si="48"/>
        <v/>
      </c>
    </row>
    <row r="3097" spans="26:26" x14ac:dyDescent="0.2">
      <c r="Z3097" t="str">
        <f t="shared" si="48"/>
        <v/>
      </c>
    </row>
    <row r="3098" spans="26:26" x14ac:dyDescent="0.2">
      <c r="Z3098" t="str">
        <f t="shared" si="48"/>
        <v/>
      </c>
    </row>
    <row r="3099" spans="26:26" x14ac:dyDescent="0.2">
      <c r="Z3099" t="str">
        <f t="shared" si="48"/>
        <v/>
      </c>
    </row>
    <row r="3100" spans="26:26" x14ac:dyDescent="0.2">
      <c r="Z3100" t="str">
        <f t="shared" si="48"/>
        <v/>
      </c>
    </row>
    <row r="3101" spans="26:26" x14ac:dyDescent="0.2">
      <c r="Z3101" t="str">
        <f t="shared" si="48"/>
        <v/>
      </c>
    </row>
    <row r="3102" spans="26:26" x14ac:dyDescent="0.2">
      <c r="Z3102" t="str">
        <f t="shared" si="48"/>
        <v/>
      </c>
    </row>
    <row r="3103" spans="26:26" x14ac:dyDescent="0.2">
      <c r="Z3103" t="str">
        <f t="shared" si="48"/>
        <v/>
      </c>
    </row>
    <row r="3104" spans="26:26" x14ac:dyDescent="0.2">
      <c r="Z3104" t="str">
        <f t="shared" si="48"/>
        <v/>
      </c>
    </row>
    <row r="3105" spans="26:26" x14ac:dyDescent="0.2">
      <c r="Z3105" t="str">
        <f t="shared" si="48"/>
        <v/>
      </c>
    </row>
    <row r="3106" spans="26:26" x14ac:dyDescent="0.2">
      <c r="Z3106" t="str">
        <f t="shared" si="48"/>
        <v/>
      </c>
    </row>
    <row r="3107" spans="26:26" x14ac:dyDescent="0.2">
      <c r="Z3107" t="str">
        <f t="shared" si="48"/>
        <v/>
      </c>
    </row>
    <row r="3108" spans="26:26" x14ac:dyDescent="0.2">
      <c r="Z3108" t="str">
        <f t="shared" si="48"/>
        <v/>
      </c>
    </row>
    <row r="3109" spans="26:26" x14ac:dyDescent="0.2">
      <c r="Z3109" t="str">
        <f t="shared" si="48"/>
        <v/>
      </c>
    </row>
    <row r="3110" spans="26:26" x14ac:dyDescent="0.2">
      <c r="Z3110" t="str">
        <f t="shared" si="48"/>
        <v/>
      </c>
    </row>
    <row r="3111" spans="26:26" x14ac:dyDescent="0.2">
      <c r="Z3111" t="str">
        <f t="shared" si="48"/>
        <v/>
      </c>
    </row>
    <row r="3112" spans="26:26" x14ac:dyDescent="0.2">
      <c r="Z3112" t="str">
        <f t="shared" si="48"/>
        <v/>
      </c>
    </row>
    <row r="3113" spans="26:26" x14ac:dyDescent="0.2">
      <c r="Z3113" t="str">
        <f t="shared" si="48"/>
        <v/>
      </c>
    </row>
    <row r="3114" spans="26:26" x14ac:dyDescent="0.2">
      <c r="Z3114" t="str">
        <f t="shared" si="48"/>
        <v/>
      </c>
    </row>
    <row r="3115" spans="26:26" x14ac:dyDescent="0.2">
      <c r="Z3115" t="str">
        <f t="shared" si="48"/>
        <v/>
      </c>
    </row>
    <row r="3116" spans="26:26" x14ac:dyDescent="0.2">
      <c r="Z3116" t="str">
        <f t="shared" si="48"/>
        <v/>
      </c>
    </row>
    <row r="3117" spans="26:26" x14ac:dyDescent="0.2">
      <c r="Z3117" t="str">
        <f t="shared" si="48"/>
        <v/>
      </c>
    </row>
    <row r="3118" spans="26:26" x14ac:dyDescent="0.2">
      <c r="Z3118" t="str">
        <f t="shared" si="48"/>
        <v/>
      </c>
    </row>
    <row r="3119" spans="26:26" x14ac:dyDescent="0.2">
      <c r="Z3119" t="str">
        <f t="shared" si="48"/>
        <v/>
      </c>
    </row>
    <row r="3120" spans="26:26" x14ac:dyDescent="0.2">
      <c r="Z3120" t="str">
        <f t="shared" si="48"/>
        <v/>
      </c>
    </row>
    <row r="3121" spans="26:26" x14ac:dyDescent="0.2">
      <c r="Z3121" t="str">
        <f t="shared" si="48"/>
        <v/>
      </c>
    </row>
    <row r="3122" spans="26:26" x14ac:dyDescent="0.2">
      <c r="Z3122" t="str">
        <f t="shared" si="48"/>
        <v/>
      </c>
    </row>
    <row r="3123" spans="26:26" x14ac:dyDescent="0.2">
      <c r="Z3123" t="str">
        <f t="shared" si="48"/>
        <v/>
      </c>
    </row>
    <row r="3124" spans="26:26" x14ac:dyDescent="0.2">
      <c r="Z3124" t="str">
        <f t="shared" si="48"/>
        <v/>
      </c>
    </row>
    <row r="3125" spans="26:26" x14ac:dyDescent="0.2">
      <c r="Z3125" t="str">
        <f t="shared" si="48"/>
        <v/>
      </c>
    </row>
    <row r="3126" spans="26:26" x14ac:dyDescent="0.2">
      <c r="Z3126" t="str">
        <f t="shared" si="48"/>
        <v/>
      </c>
    </row>
    <row r="3127" spans="26:26" x14ac:dyDescent="0.2">
      <c r="Z3127" t="str">
        <f t="shared" si="48"/>
        <v/>
      </c>
    </row>
    <row r="3128" spans="26:26" x14ac:dyDescent="0.2">
      <c r="Z3128" t="str">
        <f t="shared" si="48"/>
        <v/>
      </c>
    </row>
    <row r="3129" spans="26:26" x14ac:dyDescent="0.2">
      <c r="Z3129" t="str">
        <f t="shared" si="48"/>
        <v/>
      </c>
    </row>
    <row r="3130" spans="26:26" x14ac:dyDescent="0.2">
      <c r="Z3130" t="str">
        <f t="shared" si="48"/>
        <v/>
      </c>
    </row>
    <row r="3131" spans="26:26" x14ac:dyDescent="0.2">
      <c r="Z3131" t="str">
        <f t="shared" si="48"/>
        <v/>
      </c>
    </row>
    <row r="3132" spans="26:26" x14ac:dyDescent="0.2">
      <c r="Z3132" t="str">
        <f t="shared" si="48"/>
        <v/>
      </c>
    </row>
    <row r="3133" spans="26:26" x14ac:dyDescent="0.2">
      <c r="Z3133" t="str">
        <f t="shared" si="48"/>
        <v/>
      </c>
    </row>
    <row r="3134" spans="26:26" x14ac:dyDescent="0.2">
      <c r="Z3134" t="str">
        <f t="shared" si="48"/>
        <v/>
      </c>
    </row>
    <row r="3135" spans="26:26" x14ac:dyDescent="0.2">
      <c r="Z3135" t="str">
        <f t="shared" si="48"/>
        <v/>
      </c>
    </row>
    <row r="3136" spans="26:26" x14ac:dyDescent="0.2">
      <c r="Z3136" t="str">
        <f t="shared" si="48"/>
        <v/>
      </c>
    </row>
    <row r="3137" spans="26:26" x14ac:dyDescent="0.2">
      <c r="Z3137" t="str">
        <f t="shared" si="48"/>
        <v/>
      </c>
    </row>
    <row r="3138" spans="26:26" x14ac:dyDescent="0.2">
      <c r="Z3138" t="str">
        <f t="shared" si="48"/>
        <v/>
      </c>
    </row>
    <row r="3139" spans="26:26" x14ac:dyDescent="0.2">
      <c r="Z3139" t="str">
        <f t="shared" ref="Z3139:Z3202" si="49">IF(K3139="","",IFERROR(VALUE(TRIM(MID(K3139,FIND(CHAR(167),SUBSTITUTE(K3139,"-",CHAR(167),LEN(K3139)-LEN(SUBSTITUTE(K3139,"-",""))))+1,100))),K3139))</f>
        <v/>
      </c>
    </row>
    <row r="3140" spans="26:26" x14ac:dyDescent="0.2">
      <c r="Z3140" t="str">
        <f t="shared" si="49"/>
        <v/>
      </c>
    </row>
    <row r="3141" spans="26:26" x14ac:dyDescent="0.2">
      <c r="Z3141" t="str">
        <f t="shared" si="49"/>
        <v/>
      </c>
    </row>
    <row r="3142" spans="26:26" x14ac:dyDescent="0.2">
      <c r="Z3142" t="str">
        <f t="shared" si="49"/>
        <v/>
      </c>
    </row>
    <row r="3143" spans="26:26" x14ac:dyDescent="0.2">
      <c r="Z3143" t="str">
        <f t="shared" si="49"/>
        <v/>
      </c>
    </row>
    <row r="3144" spans="26:26" x14ac:dyDescent="0.2">
      <c r="Z3144" t="str">
        <f t="shared" si="49"/>
        <v/>
      </c>
    </row>
    <row r="3145" spans="26:26" x14ac:dyDescent="0.2">
      <c r="Z3145" t="str">
        <f t="shared" si="49"/>
        <v/>
      </c>
    </row>
    <row r="3146" spans="26:26" x14ac:dyDescent="0.2">
      <c r="Z3146" t="str">
        <f t="shared" si="49"/>
        <v/>
      </c>
    </row>
    <row r="3147" spans="26:26" x14ac:dyDescent="0.2">
      <c r="Z3147" t="str">
        <f t="shared" si="49"/>
        <v/>
      </c>
    </row>
    <row r="3148" spans="26:26" x14ac:dyDescent="0.2">
      <c r="Z3148" t="str">
        <f t="shared" si="49"/>
        <v/>
      </c>
    </row>
    <row r="3149" spans="26:26" x14ac:dyDescent="0.2">
      <c r="Z3149" t="str">
        <f t="shared" si="49"/>
        <v/>
      </c>
    </row>
    <row r="3150" spans="26:26" x14ac:dyDescent="0.2">
      <c r="Z3150" t="str">
        <f t="shared" si="49"/>
        <v/>
      </c>
    </row>
    <row r="3151" spans="26:26" x14ac:dyDescent="0.2">
      <c r="Z3151" t="str">
        <f t="shared" si="49"/>
        <v/>
      </c>
    </row>
    <row r="3152" spans="26:26" x14ac:dyDescent="0.2">
      <c r="Z3152" t="str">
        <f t="shared" si="49"/>
        <v/>
      </c>
    </row>
    <row r="3153" spans="26:26" x14ac:dyDescent="0.2">
      <c r="Z3153" t="str">
        <f t="shared" si="49"/>
        <v/>
      </c>
    </row>
    <row r="3154" spans="26:26" x14ac:dyDescent="0.2">
      <c r="Z3154" t="str">
        <f t="shared" si="49"/>
        <v/>
      </c>
    </row>
    <row r="3155" spans="26:26" x14ac:dyDescent="0.2">
      <c r="Z3155" t="str">
        <f t="shared" si="49"/>
        <v/>
      </c>
    </row>
    <row r="3156" spans="26:26" x14ac:dyDescent="0.2">
      <c r="Z3156" t="str">
        <f t="shared" si="49"/>
        <v/>
      </c>
    </row>
    <row r="3157" spans="26:26" x14ac:dyDescent="0.2">
      <c r="Z3157" t="str">
        <f t="shared" si="49"/>
        <v/>
      </c>
    </row>
    <row r="3158" spans="26:26" x14ac:dyDescent="0.2">
      <c r="Z3158" t="str">
        <f t="shared" si="49"/>
        <v/>
      </c>
    </row>
    <row r="3159" spans="26:26" x14ac:dyDescent="0.2">
      <c r="Z3159" t="str">
        <f t="shared" si="49"/>
        <v/>
      </c>
    </row>
    <row r="3160" spans="26:26" x14ac:dyDescent="0.2">
      <c r="Z3160" t="str">
        <f t="shared" si="49"/>
        <v/>
      </c>
    </row>
    <row r="3161" spans="26:26" x14ac:dyDescent="0.2">
      <c r="Z3161" t="str">
        <f t="shared" si="49"/>
        <v/>
      </c>
    </row>
    <row r="3162" spans="26:26" x14ac:dyDescent="0.2">
      <c r="Z3162" t="str">
        <f t="shared" si="49"/>
        <v/>
      </c>
    </row>
    <row r="3163" spans="26:26" x14ac:dyDescent="0.2">
      <c r="Z3163" t="str">
        <f t="shared" si="49"/>
        <v/>
      </c>
    </row>
    <row r="3164" spans="26:26" x14ac:dyDescent="0.2">
      <c r="Z3164" t="str">
        <f t="shared" si="49"/>
        <v/>
      </c>
    </row>
    <row r="3165" spans="26:26" x14ac:dyDescent="0.2">
      <c r="Z3165" t="str">
        <f t="shared" si="49"/>
        <v/>
      </c>
    </row>
    <row r="3166" spans="26:26" x14ac:dyDescent="0.2">
      <c r="Z3166" t="str">
        <f t="shared" si="49"/>
        <v/>
      </c>
    </row>
    <row r="3167" spans="26:26" x14ac:dyDescent="0.2">
      <c r="Z3167" t="str">
        <f t="shared" si="49"/>
        <v/>
      </c>
    </row>
    <row r="3168" spans="26:26" x14ac:dyDescent="0.2">
      <c r="Z3168" t="str">
        <f t="shared" si="49"/>
        <v/>
      </c>
    </row>
    <row r="3169" spans="26:26" x14ac:dyDescent="0.2">
      <c r="Z3169" t="str">
        <f t="shared" si="49"/>
        <v/>
      </c>
    </row>
    <row r="3170" spans="26:26" x14ac:dyDescent="0.2">
      <c r="Z3170" t="str">
        <f t="shared" si="49"/>
        <v/>
      </c>
    </row>
    <row r="3171" spans="26:26" x14ac:dyDescent="0.2">
      <c r="Z3171" t="str">
        <f t="shared" si="49"/>
        <v/>
      </c>
    </row>
    <row r="3172" spans="26:26" x14ac:dyDescent="0.2">
      <c r="Z3172" t="str">
        <f t="shared" si="49"/>
        <v/>
      </c>
    </row>
    <row r="3173" spans="26:26" x14ac:dyDescent="0.2">
      <c r="Z3173" t="str">
        <f t="shared" si="49"/>
        <v/>
      </c>
    </row>
    <row r="3174" spans="26:26" x14ac:dyDescent="0.2">
      <c r="Z3174" t="str">
        <f t="shared" si="49"/>
        <v/>
      </c>
    </row>
    <row r="3175" spans="26:26" x14ac:dyDescent="0.2">
      <c r="Z3175" t="str">
        <f t="shared" si="49"/>
        <v/>
      </c>
    </row>
    <row r="3176" spans="26:26" x14ac:dyDescent="0.2">
      <c r="Z3176" t="str">
        <f t="shared" si="49"/>
        <v/>
      </c>
    </row>
    <row r="3177" spans="26:26" x14ac:dyDescent="0.2">
      <c r="Z3177" t="str">
        <f t="shared" si="49"/>
        <v/>
      </c>
    </row>
    <row r="3178" spans="26:26" x14ac:dyDescent="0.2">
      <c r="Z3178" t="str">
        <f t="shared" si="49"/>
        <v/>
      </c>
    </row>
    <row r="3179" spans="26:26" x14ac:dyDescent="0.2">
      <c r="Z3179" t="str">
        <f t="shared" si="49"/>
        <v/>
      </c>
    </row>
    <row r="3180" spans="26:26" x14ac:dyDescent="0.2">
      <c r="Z3180" t="str">
        <f t="shared" si="49"/>
        <v/>
      </c>
    </row>
    <row r="3181" spans="26:26" x14ac:dyDescent="0.2">
      <c r="Z3181" t="str">
        <f t="shared" si="49"/>
        <v/>
      </c>
    </row>
    <row r="3182" spans="26:26" x14ac:dyDescent="0.2">
      <c r="Z3182" t="str">
        <f t="shared" si="49"/>
        <v/>
      </c>
    </row>
    <row r="3183" spans="26:26" x14ac:dyDescent="0.2">
      <c r="Z3183" t="str">
        <f t="shared" si="49"/>
        <v/>
      </c>
    </row>
    <row r="3184" spans="26:26" x14ac:dyDescent="0.2">
      <c r="Z3184" t="str">
        <f t="shared" si="49"/>
        <v/>
      </c>
    </row>
    <row r="3185" spans="26:26" x14ac:dyDescent="0.2">
      <c r="Z3185" t="str">
        <f t="shared" si="49"/>
        <v/>
      </c>
    </row>
    <row r="3186" spans="26:26" x14ac:dyDescent="0.2">
      <c r="Z3186" t="str">
        <f t="shared" si="49"/>
        <v/>
      </c>
    </row>
    <row r="3187" spans="26:26" x14ac:dyDescent="0.2">
      <c r="Z3187" t="str">
        <f t="shared" si="49"/>
        <v/>
      </c>
    </row>
    <row r="3188" spans="26:26" x14ac:dyDescent="0.2">
      <c r="Z3188" t="str">
        <f t="shared" si="49"/>
        <v/>
      </c>
    </row>
    <row r="3189" spans="26:26" x14ac:dyDescent="0.2">
      <c r="Z3189" t="str">
        <f t="shared" si="49"/>
        <v/>
      </c>
    </row>
    <row r="3190" spans="26:26" x14ac:dyDescent="0.2">
      <c r="Z3190" t="str">
        <f t="shared" si="49"/>
        <v/>
      </c>
    </row>
    <row r="3191" spans="26:26" x14ac:dyDescent="0.2">
      <c r="Z3191" t="str">
        <f t="shared" si="49"/>
        <v/>
      </c>
    </row>
    <row r="3192" spans="26:26" x14ac:dyDescent="0.2">
      <c r="Z3192" t="str">
        <f t="shared" si="49"/>
        <v/>
      </c>
    </row>
    <row r="3193" spans="26:26" x14ac:dyDescent="0.2">
      <c r="Z3193" t="str">
        <f t="shared" si="49"/>
        <v/>
      </c>
    </row>
    <row r="3194" spans="26:26" x14ac:dyDescent="0.2">
      <c r="Z3194" t="str">
        <f t="shared" si="49"/>
        <v/>
      </c>
    </row>
    <row r="3195" spans="26:26" x14ac:dyDescent="0.2">
      <c r="Z3195" t="str">
        <f t="shared" si="49"/>
        <v/>
      </c>
    </row>
    <row r="3196" spans="26:26" x14ac:dyDescent="0.2">
      <c r="Z3196" t="str">
        <f t="shared" si="49"/>
        <v/>
      </c>
    </row>
    <row r="3197" spans="26:26" x14ac:dyDescent="0.2">
      <c r="Z3197" t="str">
        <f t="shared" si="49"/>
        <v/>
      </c>
    </row>
    <row r="3198" spans="26:26" x14ac:dyDescent="0.2">
      <c r="Z3198" t="str">
        <f t="shared" si="49"/>
        <v/>
      </c>
    </row>
    <row r="3199" spans="26:26" x14ac:dyDescent="0.2">
      <c r="Z3199" t="str">
        <f t="shared" si="49"/>
        <v/>
      </c>
    </row>
    <row r="3200" spans="26:26" x14ac:dyDescent="0.2">
      <c r="Z3200" t="str">
        <f t="shared" si="49"/>
        <v/>
      </c>
    </row>
    <row r="3201" spans="26:26" x14ac:dyDescent="0.2">
      <c r="Z3201" t="str">
        <f t="shared" si="49"/>
        <v/>
      </c>
    </row>
    <row r="3202" spans="26:26" x14ac:dyDescent="0.2">
      <c r="Z3202" t="str">
        <f t="shared" si="49"/>
        <v/>
      </c>
    </row>
    <row r="3203" spans="26:26" x14ac:dyDescent="0.2">
      <c r="Z3203" t="str">
        <f t="shared" ref="Z3203:Z3266" si="50">IF(K3203="","",IFERROR(VALUE(TRIM(MID(K3203,FIND(CHAR(167),SUBSTITUTE(K3203,"-",CHAR(167),LEN(K3203)-LEN(SUBSTITUTE(K3203,"-",""))))+1,100))),K3203))</f>
        <v/>
      </c>
    </row>
    <row r="3204" spans="26:26" x14ac:dyDescent="0.2">
      <c r="Z3204" t="str">
        <f t="shared" si="50"/>
        <v/>
      </c>
    </row>
    <row r="3205" spans="26:26" x14ac:dyDescent="0.2">
      <c r="Z3205" t="str">
        <f t="shared" si="50"/>
        <v/>
      </c>
    </row>
    <row r="3206" spans="26:26" x14ac:dyDescent="0.2">
      <c r="Z3206" t="str">
        <f t="shared" si="50"/>
        <v/>
      </c>
    </row>
    <row r="3207" spans="26:26" x14ac:dyDescent="0.2">
      <c r="Z3207" t="str">
        <f t="shared" si="50"/>
        <v/>
      </c>
    </row>
    <row r="3208" spans="26:26" x14ac:dyDescent="0.2">
      <c r="Z3208" t="str">
        <f t="shared" si="50"/>
        <v/>
      </c>
    </row>
    <row r="3209" spans="26:26" x14ac:dyDescent="0.2">
      <c r="Z3209" t="str">
        <f t="shared" si="50"/>
        <v/>
      </c>
    </row>
    <row r="3210" spans="26:26" x14ac:dyDescent="0.2">
      <c r="Z3210" t="str">
        <f t="shared" si="50"/>
        <v/>
      </c>
    </row>
    <row r="3211" spans="26:26" x14ac:dyDescent="0.2">
      <c r="Z3211" t="str">
        <f t="shared" si="50"/>
        <v/>
      </c>
    </row>
    <row r="3212" spans="26:26" x14ac:dyDescent="0.2">
      <c r="Z3212" t="str">
        <f t="shared" si="50"/>
        <v/>
      </c>
    </row>
    <row r="3213" spans="26:26" x14ac:dyDescent="0.2">
      <c r="Z3213" t="str">
        <f t="shared" si="50"/>
        <v/>
      </c>
    </row>
    <row r="3214" spans="26:26" x14ac:dyDescent="0.2">
      <c r="Z3214" t="str">
        <f t="shared" si="50"/>
        <v/>
      </c>
    </row>
    <row r="3215" spans="26:26" x14ac:dyDescent="0.2">
      <c r="Z3215" t="str">
        <f t="shared" si="50"/>
        <v/>
      </c>
    </row>
    <row r="3216" spans="26:26" x14ac:dyDescent="0.2">
      <c r="Z3216" t="str">
        <f t="shared" si="50"/>
        <v/>
      </c>
    </row>
    <row r="3217" spans="26:26" x14ac:dyDescent="0.2">
      <c r="Z3217" t="str">
        <f t="shared" si="50"/>
        <v/>
      </c>
    </row>
    <row r="3218" spans="26:26" x14ac:dyDescent="0.2">
      <c r="Z3218" t="str">
        <f t="shared" si="50"/>
        <v/>
      </c>
    </row>
    <row r="3219" spans="26:26" x14ac:dyDescent="0.2">
      <c r="Z3219" t="str">
        <f t="shared" si="50"/>
        <v/>
      </c>
    </row>
    <row r="3220" spans="26:26" x14ac:dyDescent="0.2">
      <c r="Z3220" t="str">
        <f t="shared" si="50"/>
        <v/>
      </c>
    </row>
    <row r="3221" spans="26:26" x14ac:dyDescent="0.2">
      <c r="Z3221" t="str">
        <f t="shared" si="50"/>
        <v/>
      </c>
    </row>
    <row r="3222" spans="26:26" x14ac:dyDescent="0.2">
      <c r="Z3222" t="str">
        <f t="shared" si="50"/>
        <v/>
      </c>
    </row>
    <row r="3223" spans="26:26" x14ac:dyDescent="0.2">
      <c r="Z3223" t="str">
        <f t="shared" si="50"/>
        <v/>
      </c>
    </row>
    <row r="3224" spans="26:26" x14ac:dyDescent="0.2">
      <c r="Z3224" t="str">
        <f t="shared" si="50"/>
        <v/>
      </c>
    </row>
    <row r="3225" spans="26:26" x14ac:dyDescent="0.2">
      <c r="Z3225" t="str">
        <f t="shared" si="50"/>
        <v/>
      </c>
    </row>
    <row r="3226" spans="26:26" x14ac:dyDescent="0.2">
      <c r="Z3226" t="str">
        <f t="shared" si="50"/>
        <v/>
      </c>
    </row>
    <row r="3227" spans="26:26" x14ac:dyDescent="0.2">
      <c r="Z3227" t="str">
        <f t="shared" si="50"/>
        <v/>
      </c>
    </row>
    <row r="3228" spans="26:26" x14ac:dyDescent="0.2">
      <c r="Z3228" t="str">
        <f t="shared" si="50"/>
        <v/>
      </c>
    </row>
    <row r="3229" spans="26:26" x14ac:dyDescent="0.2">
      <c r="Z3229" t="str">
        <f t="shared" si="50"/>
        <v/>
      </c>
    </row>
    <row r="3230" spans="26:26" x14ac:dyDescent="0.2">
      <c r="Z3230" t="str">
        <f t="shared" si="50"/>
        <v/>
      </c>
    </row>
    <row r="3231" spans="26:26" x14ac:dyDescent="0.2">
      <c r="Z3231" t="str">
        <f t="shared" si="50"/>
        <v/>
      </c>
    </row>
    <row r="3232" spans="26:26" x14ac:dyDescent="0.2">
      <c r="Z3232" t="str">
        <f t="shared" si="50"/>
        <v/>
      </c>
    </row>
    <row r="3233" spans="26:26" x14ac:dyDescent="0.2">
      <c r="Z3233" t="str">
        <f t="shared" si="50"/>
        <v/>
      </c>
    </row>
    <row r="3234" spans="26:26" x14ac:dyDescent="0.2">
      <c r="Z3234" t="str">
        <f t="shared" si="50"/>
        <v/>
      </c>
    </row>
    <row r="3235" spans="26:26" x14ac:dyDescent="0.2">
      <c r="Z3235" t="str">
        <f t="shared" si="50"/>
        <v/>
      </c>
    </row>
    <row r="3236" spans="26:26" x14ac:dyDescent="0.2">
      <c r="Z3236" t="str">
        <f t="shared" si="50"/>
        <v/>
      </c>
    </row>
    <row r="3237" spans="26:26" x14ac:dyDescent="0.2">
      <c r="Z3237" t="str">
        <f t="shared" si="50"/>
        <v/>
      </c>
    </row>
    <row r="3238" spans="26:26" x14ac:dyDescent="0.2">
      <c r="Z3238" t="str">
        <f t="shared" si="50"/>
        <v/>
      </c>
    </row>
    <row r="3239" spans="26:26" x14ac:dyDescent="0.2">
      <c r="Z3239" t="str">
        <f t="shared" si="50"/>
        <v/>
      </c>
    </row>
    <row r="3240" spans="26:26" x14ac:dyDescent="0.2">
      <c r="Z3240" t="str">
        <f t="shared" si="50"/>
        <v/>
      </c>
    </row>
    <row r="3241" spans="26:26" x14ac:dyDescent="0.2">
      <c r="Z3241" t="str">
        <f t="shared" si="50"/>
        <v/>
      </c>
    </row>
    <row r="3242" spans="26:26" x14ac:dyDescent="0.2">
      <c r="Z3242" t="str">
        <f t="shared" si="50"/>
        <v/>
      </c>
    </row>
    <row r="3243" spans="26:26" x14ac:dyDescent="0.2">
      <c r="Z3243" t="str">
        <f t="shared" si="50"/>
        <v/>
      </c>
    </row>
    <row r="3244" spans="26:26" x14ac:dyDescent="0.2">
      <c r="Z3244" t="str">
        <f t="shared" si="50"/>
        <v/>
      </c>
    </row>
    <row r="3245" spans="26:26" x14ac:dyDescent="0.2">
      <c r="Z3245" t="str">
        <f t="shared" si="50"/>
        <v/>
      </c>
    </row>
    <row r="3246" spans="26:26" x14ac:dyDescent="0.2">
      <c r="Z3246" t="str">
        <f t="shared" si="50"/>
        <v/>
      </c>
    </row>
    <row r="3247" spans="26:26" x14ac:dyDescent="0.2">
      <c r="Z3247" t="str">
        <f t="shared" si="50"/>
        <v/>
      </c>
    </row>
    <row r="3248" spans="26:26" x14ac:dyDescent="0.2">
      <c r="Z3248" t="str">
        <f t="shared" si="50"/>
        <v/>
      </c>
    </row>
    <row r="3249" spans="26:26" x14ac:dyDescent="0.2">
      <c r="Z3249" t="str">
        <f t="shared" si="50"/>
        <v/>
      </c>
    </row>
    <row r="3250" spans="26:26" x14ac:dyDescent="0.2">
      <c r="Z3250" t="str">
        <f t="shared" si="50"/>
        <v/>
      </c>
    </row>
    <row r="3251" spans="26:26" x14ac:dyDescent="0.2">
      <c r="Z3251" t="str">
        <f t="shared" si="50"/>
        <v/>
      </c>
    </row>
    <row r="3252" spans="26:26" x14ac:dyDescent="0.2">
      <c r="Z3252" t="str">
        <f t="shared" si="50"/>
        <v/>
      </c>
    </row>
    <row r="3253" spans="26:26" x14ac:dyDescent="0.2">
      <c r="Z3253" t="str">
        <f t="shared" si="50"/>
        <v/>
      </c>
    </row>
    <row r="3254" spans="26:26" x14ac:dyDescent="0.2">
      <c r="Z3254" t="str">
        <f t="shared" si="50"/>
        <v/>
      </c>
    </row>
    <row r="3255" spans="26:26" x14ac:dyDescent="0.2">
      <c r="Z3255" t="str">
        <f t="shared" si="50"/>
        <v/>
      </c>
    </row>
    <row r="3256" spans="26:26" x14ac:dyDescent="0.2">
      <c r="Z3256" t="str">
        <f t="shared" si="50"/>
        <v/>
      </c>
    </row>
    <row r="3257" spans="26:26" x14ac:dyDescent="0.2">
      <c r="Z3257" t="str">
        <f t="shared" si="50"/>
        <v/>
      </c>
    </row>
    <row r="3258" spans="26:26" x14ac:dyDescent="0.2">
      <c r="Z3258" t="str">
        <f t="shared" si="50"/>
        <v/>
      </c>
    </row>
    <row r="3259" spans="26:26" x14ac:dyDescent="0.2">
      <c r="Z3259" t="str">
        <f t="shared" si="50"/>
        <v/>
      </c>
    </row>
    <row r="3260" spans="26:26" x14ac:dyDescent="0.2">
      <c r="Z3260" t="str">
        <f t="shared" si="50"/>
        <v/>
      </c>
    </row>
    <row r="3261" spans="26:26" x14ac:dyDescent="0.2">
      <c r="Z3261" t="str">
        <f t="shared" si="50"/>
        <v/>
      </c>
    </row>
    <row r="3262" spans="26:26" x14ac:dyDescent="0.2">
      <c r="Z3262" t="str">
        <f t="shared" si="50"/>
        <v/>
      </c>
    </row>
    <row r="3263" spans="26:26" x14ac:dyDescent="0.2">
      <c r="Z3263" t="str">
        <f t="shared" si="50"/>
        <v/>
      </c>
    </row>
    <row r="3264" spans="26:26" x14ac:dyDescent="0.2">
      <c r="Z3264" t="str">
        <f t="shared" si="50"/>
        <v/>
      </c>
    </row>
    <row r="3265" spans="26:26" x14ac:dyDescent="0.2">
      <c r="Z3265" t="str">
        <f t="shared" si="50"/>
        <v/>
      </c>
    </row>
    <row r="3266" spans="26:26" x14ac:dyDescent="0.2">
      <c r="Z3266" t="str">
        <f t="shared" si="50"/>
        <v/>
      </c>
    </row>
    <row r="3267" spans="26:26" x14ac:dyDescent="0.2">
      <c r="Z3267" t="str">
        <f t="shared" ref="Z3267:Z3330" si="51">IF(K3267="","",IFERROR(VALUE(TRIM(MID(K3267,FIND(CHAR(167),SUBSTITUTE(K3267,"-",CHAR(167),LEN(K3267)-LEN(SUBSTITUTE(K3267,"-",""))))+1,100))),K3267))</f>
        <v/>
      </c>
    </row>
    <row r="3268" spans="26:26" x14ac:dyDescent="0.2">
      <c r="Z3268" t="str">
        <f t="shared" si="51"/>
        <v/>
      </c>
    </row>
    <row r="3269" spans="26:26" x14ac:dyDescent="0.2">
      <c r="Z3269" t="str">
        <f t="shared" si="51"/>
        <v/>
      </c>
    </row>
    <row r="3270" spans="26:26" x14ac:dyDescent="0.2">
      <c r="Z3270" t="str">
        <f t="shared" si="51"/>
        <v/>
      </c>
    </row>
    <row r="3271" spans="26:26" x14ac:dyDescent="0.2">
      <c r="Z3271" t="str">
        <f t="shared" si="51"/>
        <v/>
      </c>
    </row>
    <row r="3272" spans="26:26" x14ac:dyDescent="0.2">
      <c r="Z3272" t="str">
        <f t="shared" si="51"/>
        <v/>
      </c>
    </row>
    <row r="3273" spans="26:26" x14ac:dyDescent="0.2">
      <c r="Z3273" t="str">
        <f t="shared" si="51"/>
        <v/>
      </c>
    </row>
    <row r="3274" spans="26:26" x14ac:dyDescent="0.2">
      <c r="Z3274" t="str">
        <f t="shared" si="51"/>
        <v/>
      </c>
    </row>
    <row r="3275" spans="26:26" x14ac:dyDescent="0.2">
      <c r="Z3275" t="str">
        <f t="shared" si="51"/>
        <v/>
      </c>
    </row>
    <row r="3276" spans="26:26" x14ac:dyDescent="0.2">
      <c r="Z3276" t="str">
        <f t="shared" si="51"/>
        <v/>
      </c>
    </row>
    <row r="3277" spans="26:26" x14ac:dyDescent="0.2">
      <c r="Z3277" t="str">
        <f t="shared" si="51"/>
        <v/>
      </c>
    </row>
    <row r="3278" spans="26:26" x14ac:dyDescent="0.2">
      <c r="Z3278" t="str">
        <f t="shared" si="51"/>
        <v/>
      </c>
    </row>
    <row r="3279" spans="26:26" x14ac:dyDescent="0.2">
      <c r="Z3279" t="str">
        <f t="shared" si="51"/>
        <v/>
      </c>
    </row>
    <row r="3280" spans="26:26" x14ac:dyDescent="0.2">
      <c r="Z3280" t="str">
        <f t="shared" si="51"/>
        <v/>
      </c>
    </row>
    <row r="3281" spans="26:26" x14ac:dyDescent="0.2">
      <c r="Z3281" t="str">
        <f t="shared" si="51"/>
        <v/>
      </c>
    </row>
    <row r="3282" spans="26:26" x14ac:dyDescent="0.2">
      <c r="Z3282" t="str">
        <f t="shared" si="51"/>
        <v/>
      </c>
    </row>
    <row r="3283" spans="26:26" x14ac:dyDescent="0.2">
      <c r="Z3283" t="str">
        <f t="shared" si="51"/>
        <v/>
      </c>
    </row>
    <row r="3284" spans="26:26" x14ac:dyDescent="0.2">
      <c r="Z3284" t="str">
        <f t="shared" si="51"/>
        <v/>
      </c>
    </row>
    <row r="3285" spans="26:26" x14ac:dyDescent="0.2">
      <c r="Z3285" t="str">
        <f t="shared" si="51"/>
        <v/>
      </c>
    </row>
    <row r="3286" spans="26:26" x14ac:dyDescent="0.2">
      <c r="Z3286" t="str">
        <f t="shared" si="51"/>
        <v/>
      </c>
    </row>
    <row r="3287" spans="26:26" x14ac:dyDescent="0.2">
      <c r="Z3287" t="str">
        <f t="shared" si="51"/>
        <v/>
      </c>
    </row>
    <row r="3288" spans="26:26" x14ac:dyDescent="0.2">
      <c r="Z3288" t="str">
        <f t="shared" si="51"/>
        <v/>
      </c>
    </row>
    <row r="3289" spans="26:26" x14ac:dyDescent="0.2">
      <c r="Z3289" t="str">
        <f t="shared" si="51"/>
        <v/>
      </c>
    </row>
    <row r="3290" spans="26:26" x14ac:dyDescent="0.2">
      <c r="Z3290" t="str">
        <f t="shared" si="51"/>
        <v/>
      </c>
    </row>
    <row r="3291" spans="26:26" x14ac:dyDescent="0.2">
      <c r="Z3291" t="str">
        <f t="shared" si="51"/>
        <v/>
      </c>
    </row>
    <row r="3292" spans="26:26" x14ac:dyDescent="0.2">
      <c r="Z3292" t="str">
        <f t="shared" si="51"/>
        <v/>
      </c>
    </row>
    <row r="3293" spans="26:26" x14ac:dyDescent="0.2">
      <c r="Z3293" t="str">
        <f t="shared" si="51"/>
        <v/>
      </c>
    </row>
    <row r="3294" spans="26:26" x14ac:dyDescent="0.2">
      <c r="Z3294" t="str">
        <f t="shared" si="51"/>
        <v/>
      </c>
    </row>
    <row r="3295" spans="26:26" x14ac:dyDescent="0.2">
      <c r="Z3295" t="str">
        <f t="shared" si="51"/>
        <v/>
      </c>
    </row>
    <row r="3296" spans="26:26" x14ac:dyDescent="0.2">
      <c r="Z3296" t="str">
        <f t="shared" si="51"/>
        <v/>
      </c>
    </row>
    <row r="3297" spans="26:26" x14ac:dyDescent="0.2">
      <c r="Z3297" t="str">
        <f t="shared" si="51"/>
        <v/>
      </c>
    </row>
    <row r="3298" spans="26:26" x14ac:dyDescent="0.2">
      <c r="Z3298" t="str">
        <f t="shared" si="51"/>
        <v/>
      </c>
    </row>
    <row r="3299" spans="26:26" x14ac:dyDescent="0.2">
      <c r="Z3299" t="str">
        <f t="shared" si="51"/>
        <v/>
      </c>
    </row>
    <row r="3300" spans="26:26" x14ac:dyDescent="0.2">
      <c r="Z3300" t="str">
        <f t="shared" si="51"/>
        <v/>
      </c>
    </row>
    <row r="3301" spans="26:26" x14ac:dyDescent="0.2">
      <c r="Z3301" t="str">
        <f t="shared" si="51"/>
        <v/>
      </c>
    </row>
    <row r="3302" spans="26:26" x14ac:dyDescent="0.2">
      <c r="Z3302" t="str">
        <f t="shared" si="51"/>
        <v/>
      </c>
    </row>
    <row r="3303" spans="26:26" x14ac:dyDescent="0.2">
      <c r="Z3303" t="str">
        <f t="shared" si="51"/>
        <v/>
      </c>
    </row>
    <row r="3304" spans="26:26" x14ac:dyDescent="0.2">
      <c r="Z3304" t="str">
        <f t="shared" si="51"/>
        <v/>
      </c>
    </row>
    <row r="3305" spans="26:26" x14ac:dyDescent="0.2">
      <c r="Z3305" t="str">
        <f t="shared" si="51"/>
        <v/>
      </c>
    </row>
    <row r="3306" spans="26:26" x14ac:dyDescent="0.2">
      <c r="Z3306" t="str">
        <f t="shared" si="51"/>
        <v/>
      </c>
    </row>
    <row r="3307" spans="26:26" x14ac:dyDescent="0.2">
      <c r="Z3307" t="str">
        <f t="shared" si="51"/>
        <v/>
      </c>
    </row>
    <row r="3308" spans="26:26" x14ac:dyDescent="0.2">
      <c r="Z3308" t="str">
        <f t="shared" si="51"/>
        <v/>
      </c>
    </row>
    <row r="3309" spans="26:26" x14ac:dyDescent="0.2">
      <c r="Z3309" t="str">
        <f t="shared" si="51"/>
        <v/>
      </c>
    </row>
    <row r="3310" spans="26:26" x14ac:dyDescent="0.2">
      <c r="Z3310" t="str">
        <f t="shared" si="51"/>
        <v/>
      </c>
    </row>
    <row r="3311" spans="26:26" x14ac:dyDescent="0.2">
      <c r="Z3311" t="str">
        <f t="shared" si="51"/>
        <v/>
      </c>
    </row>
    <row r="3312" spans="26:26" x14ac:dyDescent="0.2">
      <c r="Z3312" t="str">
        <f t="shared" si="51"/>
        <v/>
      </c>
    </row>
    <row r="3313" spans="26:26" x14ac:dyDescent="0.2">
      <c r="Z3313" t="str">
        <f t="shared" si="51"/>
        <v/>
      </c>
    </row>
    <row r="3314" spans="26:26" x14ac:dyDescent="0.2">
      <c r="Z3314" t="str">
        <f t="shared" si="51"/>
        <v/>
      </c>
    </row>
    <row r="3315" spans="26:26" x14ac:dyDescent="0.2">
      <c r="Z3315" t="str">
        <f t="shared" si="51"/>
        <v/>
      </c>
    </row>
    <row r="3316" spans="26:26" x14ac:dyDescent="0.2">
      <c r="Z3316" t="str">
        <f t="shared" si="51"/>
        <v/>
      </c>
    </row>
    <row r="3317" spans="26:26" x14ac:dyDescent="0.2">
      <c r="Z3317" t="str">
        <f t="shared" si="51"/>
        <v/>
      </c>
    </row>
    <row r="3318" spans="26:26" x14ac:dyDescent="0.2">
      <c r="Z3318" t="str">
        <f t="shared" si="51"/>
        <v/>
      </c>
    </row>
    <row r="3319" spans="26:26" x14ac:dyDescent="0.2">
      <c r="Z3319" t="str">
        <f t="shared" si="51"/>
        <v/>
      </c>
    </row>
    <row r="3320" spans="26:26" x14ac:dyDescent="0.2">
      <c r="Z3320" t="str">
        <f t="shared" si="51"/>
        <v/>
      </c>
    </row>
    <row r="3321" spans="26:26" x14ac:dyDescent="0.2">
      <c r="Z3321" t="str">
        <f t="shared" si="51"/>
        <v/>
      </c>
    </row>
    <row r="3322" spans="26:26" x14ac:dyDescent="0.2">
      <c r="Z3322" t="str">
        <f t="shared" si="51"/>
        <v/>
      </c>
    </row>
    <row r="3323" spans="26:26" x14ac:dyDescent="0.2">
      <c r="Z3323" t="str">
        <f t="shared" si="51"/>
        <v/>
      </c>
    </row>
    <row r="3324" spans="26:26" x14ac:dyDescent="0.2">
      <c r="Z3324" t="str">
        <f t="shared" si="51"/>
        <v/>
      </c>
    </row>
    <row r="3325" spans="26:26" x14ac:dyDescent="0.2">
      <c r="Z3325" t="str">
        <f t="shared" si="51"/>
        <v/>
      </c>
    </row>
    <row r="3326" spans="26:26" x14ac:dyDescent="0.2">
      <c r="Z3326" t="str">
        <f t="shared" si="51"/>
        <v/>
      </c>
    </row>
    <row r="3327" spans="26:26" x14ac:dyDescent="0.2">
      <c r="Z3327" t="str">
        <f t="shared" si="51"/>
        <v/>
      </c>
    </row>
    <row r="3328" spans="26:26" x14ac:dyDescent="0.2">
      <c r="Z3328" t="str">
        <f t="shared" si="51"/>
        <v/>
      </c>
    </row>
    <row r="3329" spans="26:26" x14ac:dyDescent="0.2">
      <c r="Z3329" t="str">
        <f t="shared" si="51"/>
        <v/>
      </c>
    </row>
    <row r="3330" spans="26:26" x14ac:dyDescent="0.2">
      <c r="Z3330" t="str">
        <f t="shared" si="51"/>
        <v/>
      </c>
    </row>
    <row r="3331" spans="26:26" x14ac:dyDescent="0.2">
      <c r="Z3331" t="str">
        <f t="shared" ref="Z3331:Z3394" si="52">IF(K3331="","",IFERROR(VALUE(TRIM(MID(K3331,FIND(CHAR(167),SUBSTITUTE(K3331,"-",CHAR(167),LEN(K3331)-LEN(SUBSTITUTE(K3331,"-",""))))+1,100))),K3331))</f>
        <v/>
      </c>
    </row>
    <row r="3332" spans="26:26" x14ac:dyDescent="0.2">
      <c r="Z3332" t="str">
        <f t="shared" si="52"/>
        <v/>
      </c>
    </row>
    <row r="3333" spans="26:26" x14ac:dyDescent="0.2">
      <c r="Z3333" t="str">
        <f t="shared" si="52"/>
        <v/>
      </c>
    </row>
    <row r="3334" spans="26:26" x14ac:dyDescent="0.2">
      <c r="Z3334" t="str">
        <f t="shared" si="52"/>
        <v/>
      </c>
    </row>
    <row r="3335" spans="26:26" x14ac:dyDescent="0.2">
      <c r="Z3335" t="str">
        <f t="shared" si="52"/>
        <v/>
      </c>
    </row>
    <row r="3336" spans="26:26" x14ac:dyDescent="0.2">
      <c r="Z3336" t="str">
        <f t="shared" si="52"/>
        <v/>
      </c>
    </row>
    <row r="3337" spans="26:26" x14ac:dyDescent="0.2">
      <c r="Z3337" t="str">
        <f t="shared" si="52"/>
        <v/>
      </c>
    </row>
    <row r="3338" spans="26:26" x14ac:dyDescent="0.2">
      <c r="Z3338" t="str">
        <f t="shared" si="52"/>
        <v/>
      </c>
    </row>
    <row r="3339" spans="26:26" x14ac:dyDescent="0.2">
      <c r="Z3339" t="str">
        <f t="shared" si="52"/>
        <v/>
      </c>
    </row>
    <row r="3340" spans="26:26" x14ac:dyDescent="0.2">
      <c r="Z3340" t="str">
        <f t="shared" si="52"/>
        <v/>
      </c>
    </row>
    <row r="3341" spans="26:26" x14ac:dyDescent="0.2">
      <c r="Z3341" t="str">
        <f t="shared" si="52"/>
        <v/>
      </c>
    </row>
    <row r="3342" spans="26:26" x14ac:dyDescent="0.2">
      <c r="Z3342" t="str">
        <f t="shared" si="52"/>
        <v/>
      </c>
    </row>
    <row r="3343" spans="26:26" x14ac:dyDescent="0.2">
      <c r="Z3343" t="str">
        <f t="shared" si="52"/>
        <v/>
      </c>
    </row>
    <row r="3344" spans="26:26" x14ac:dyDescent="0.2">
      <c r="Z3344" t="str">
        <f t="shared" si="52"/>
        <v/>
      </c>
    </row>
    <row r="3345" spans="26:26" x14ac:dyDescent="0.2">
      <c r="Z3345" t="str">
        <f t="shared" si="52"/>
        <v/>
      </c>
    </row>
    <row r="3346" spans="26:26" x14ac:dyDescent="0.2">
      <c r="Z3346" t="str">
        <f t="shared" si="52"/>
        <v/>
      </c>
    </row>
    <row r="3347" spans="26:26" x14ac:dyDescent="0.2">
      <c r="Z3347" t="str">
        <f t="shared" si="52"/>
        <v/>
      </c>
    </row>
    <row r="3348" spans="26:26" x14ac:dyDescent="0.2">
      <c r="Z3348" t="str">
        <f t="shared" si="52"/>
        <v/>
      </c>
    </row>
    <row r="3349" spans="26:26" x14ac:dyDescent="0.2">
      <c r="Z3349" t="str">
        <f t="shared" si="52"/>
        <v/>
      </c>
    </row>
    <row r="3350" spans="26:26" x14ac:dyDescent="0.2">
      <c r="Z3350" t="str">
        <f t="shared" si="52"/>
        <v/>
      </c>
    </row>
    <row r="3351" spans="26:26" x14ac:dyDescent="0.2">
      <c r="Z3351" t="str">
        <f t="shared" si="52"/>
        <v/>
      </c>
    </row>
    <row r="3352" spans="26:26" x14ac:dyDescent="0.2">
      <c r="Z3352" t="str">
        <f t="shared" si="52"/>
        <v/>
      </c>
    </row>
    <row r="3353" spans="26:26" x14ac:dyDescent="0.2">
      <c r="Z3353" t="str">
        <f t="shared" si="52"/>
        <v/>
      </c>
    </row>
    <row r="3354" spans="26:26" x14ac:dyDescent="0.2">
      <c r="Z3354" t="str">
        <f t="shared" si="52"/>
        <v/>
      </c>
    </row>
    <row r="3355" spans="26:26" x14ac:dyDescent="0.2">
      <c r="Z3355" t="str">
        <f t="shared" si="52"/>
        <v/>
      </c>
    </row>
    <row r="3356" spans="26:26" x14ac:dyDescent="0.2">
      <c r="Z3356" t="str">
        <f t="shared" si="52"/>
        <v/>
      </c>
    </row>
    <row r="3357" spans="26:26" x14ac:dyDescent="0.2">
      <c r="Z3357" t="str">
        <f t="shared" si="52"/>
        <v/>
      </c>
    </row>
    <row r="3358" spans="26:26" x14ac:dyDescent="0.2">
      <c r="Z3358" t="str">
        <f t="shared" si="52"/>
        <v/>
      </c>
    </row>
    <row r="3359" spans="26:26" x14ac:dyDescent="0.2">
      <c r="Z3359" t="str">
        <f t="shared" si="52"/>
        <v/>
      </c>
    </row>
    <row r="3360" spans="26:26" x14ac:dyDescent="0.2">
      <c r="Z3360" t="str">
        <f t="shared" si="52"/>
        <v/>
      </c>
    </row>
    <row r="3361" spans="26:26" x14ac:dyDescent="0.2">
      <c r="Z3361" t="str">
        <f t="shared" si="52"/>
        <v/>
      </c>
    </row>
    <row r="3362" spans="26:26" x14ac:dyDescent="0.2">
      <c r="Z3362" t="str">
        <f t="shared" si="52"/>
        <v/>
      </c>
    </row>
    <row r="3363" spans="26:26" x14ac:dyDescent="0.2">
      <c r="Z3363" t="str">
        <f t="shared" si="52"/>
        <v/>
      </c>
    </row>
    <row r="3364" spans="26:26" x14ac:dyDescent="0.2">
      <c r="Z3364" t="str">
        <f t="shared" si="52"/>
        <v/>
      </c>
    </row>
    <row r="3365" spans="26:26" x14ac:dyDescent="0.2">
      <c r="Z3365" t="str">
        <f t="shared" si="52"/>
        <v/>
      </c>
    </row>
    <row r="3366" spans="26:26" x14ac:dyDescent="0.2">
      <c r="Z3366" t="str">
        <f t="shared" si="52"/>
        <v/>
      </c>
    </row>
    <row r="3367" spans="26:26" x14ac:dyDescent="0.2">
      <c r="Z3367" t="str">
        <f t="shared" si="52"/>
        <v/>
      </c>
    </row>
    <row r="3368" spans="26:26" x14ac:dyDescent="0.2">
      <c r="Z3368" t="str">
        <f t="shared" si="52"/>
        <v/>
      </c>
    </row>
    <row r="3369" spans="26:26" x14ac:dyDescent="0.2">
      <c r="Z3369" t="str">
        <f t="shared" si="52"/>
        <v/>
      </c>
    </row>
    <row r="3370" spans="26:26" x14ac:dyDescent="0.2">
      <c r="Z3370" t="str">
        <f t="shared" si="52"/>
        <v/>
      </c>
    </row>
    <row r="3371" spans="26:26" x14ac:dyDescent="0.2">
      <c r="Z3371" t="str">
        <f t="shared" si="52"/>
        <v/>
      </c>
    </row>
    <row r="3372" spans="26:26" x14ac:dyDescent="0.2">
      <c r="Z3372" t="str">
        <f t="shared" si="52"/>
        <v/>
      </c>
    </row>
    <row r="3373" spans="26:26" x14ac:dyDescent="0.2">
      <c r="Z3373" t="str">
        <f t="shared" si="52"/>
        <v/>
      </c>
    </row>
    <row r="3374" spans="26:26" x14ac:dyDescent="0.2">
      <c r="Z3374" t="str">
        <f t="shared" si="52"/>
        <v/>
      </c>
    </row>
    <row r="3375" spans="26:26" x14ac:dyDescent="0.2">
      <c r="Z3375" t="str">
        <f t="shared" si="52"/>
        <v/>
      </c>
    </row>
    <row r="3376" spans="26:26" x14ac:dyDescent="0.2">
      <c r="Z3376" t="str">
        <f t="shared" si="52"/>
        <v/>
      </c>
    </row>
    <row r="3377" spans="26:26" x14ac:dyDescent="0.2">
      <c r="Z3377" t="str">
        <f t="shared" si="52"/>
        <v/>
      </c>
    </row>
    <row r="3378" spans="26:26" x14ac:dyDescent="0.2">
      <c r="Z3378" t="str">
        <f t="shared" si="52"/>
        <v/>
      </c>
    </row>
    <row r="3379" spans="26:26" x14ac:dyDescent="0.2">
      <c r="Z3379" t="str">
        <f t="shared" si="52"/>
        <v/>
      </c>
    </row>
    <row r="3380" spans="26:26" x14ac:dyDescent="0.2">
      <c r="Z3380" t="str">
        <f t="shared" si="52"/>
        <v/>
      </c>
    </row>
    <row r="3381" spans="26:26" x14ac:dyDescent="0.2">
      <c r="Z3381" t="str">
        <f t="shared" si="52"/>
        <v/>
      </c>
    </row>
    <row r="3382" spans="26:26" x14ac:dyDescent="0.2">
      <c r="Z3382" t="str">
        <f t="shared" si="52"/>
        <v/>
      </c>
    </row>
    <row r="3383" spans="26:26" x14ac:dyDescent="0.2">
      <c r="Z3383" t="str">
        <f t="shared" si="52"/>
        <v/>
      </c>
    </row>
    <row r="3384" spans="26:26" x14ac:dyDescent="0.2">
      <c r="Z3384" t="str">
        <f t="shared" si="52"/>
        <v/>
      </c>
    </row>
    <row r="3385" spans="26:26" x14ac:dyDescent="0.2">
      <c r="Z3385" t="str">
        <f t="shared" si="52"/>
        <v/>
      </c>
    </row>
    <row r="3386" spans="26:26" x14ac:dyDescent="0.2">
      <c r="Z3386" t="str">
        <f t="shared" si="52"/>
        <v/>
      </c>
    </row>
    <row r="3387" spans="26:26" x14ac:dyDescent="0.2">
      <c r="Z3387" t="str">
        <f t="shared" si="52"/>
        <v/>
      </c>
    </row>
    <row r="3388" spans="26:26" x14ac:dyDescent="0.2">
      <c r="Z3388" t="str">
        <f t="shared" si="52"/>
        <v/>
      </c>
    </row>
    <row r="3389" spans="26:26" x14ac:dyDescent="0.2">
      <c r="Z3389" t="str">
        <f t="shared" si="52"/>
        <v/>
      </c>
    </row>
    <row r="3390" spans="26:26" x14ac:dyDescent="0.2">
      <c r="Z3390" t="str">
        <f t="shared" si="52"/>
        <v/>
      </c>
    </row>
    <row r="3391" spans="26:26" x14ac:dyDescent="0.2">
      <c r="Z3391" t="str">
        <f t="shared" si="52"/>
        <v/>
      </c>
    </row>
    <row r="3392" spans="26:26" x14ac:dyDescent="0.2">
      <c r="Z3392" t="str">
        <f t="shared" si="52"/>
        <v/>
      </c>
    </row>
    <row r="3393" spans="26:26" x14ac:dyDescent="0.2">
      <c r="Z3393" t="str">
        <f t="shared" si="52"/>
        <v/>
      </c>
    </row>
    <row r="3394" spans="26:26" x14ac:dyDescent="0.2">
      <c r="Z3394" t="str">
        <f t="shared" si="52"/>
        <v/>
      </c>
    </row>
    <row r="3395" spans="26:26" x14ac:dyDescent="0.2">
      <c r="Z3395" t="str">
        <f t="shared" ref="Z3395:Z3458" si="53">IF(K3395="","",IFERROR(VALUE(TRIM(MID(K3395,FIND(CHAR(167),SUBSTITUTE(K3395,"-",CHAR(167),LEN(K3395)-LEN(SUBSTITUTE(K3395,"-",""))))+1,100))),K3395))</f>
        <v/>
      </c>
    </row>
    <row r="3396" spans="26:26" x14ac:dyDescent="0.2">
      <c r="Z3396" t="str">
        <f t="shared" si="53"/>
        <v/>
      </c>
    </row>
    <row r="3397" spans="26:26" x14ac:dyDescent="0.2">
      <c r="Z3397" t="str">
        <f t="shared" si="53"/>
        <v/>
      </c>
    </row>
    <row r="3398" spans="26:26" x14ac:dyDescent="0.2">
      <c r="Z3398" t="str">
        <f t="shared" si="53"/>
        <v/>
      </c>
    </row>
    <row r="3399" spans="26:26" x14ac:dyDescent="0.2">
      <c r="Z3399" t="str">
        <f t="shared" si="53"/>
        <v/>
      </c>
    </row>
    <row r="3400" spans="26:26" x14ac:dyDescent="0.2">
      <c r="Z3400" t="str">
        <f t="shared" si="53"/>
        <v/>
      </c>
    </row>
    <row r="3401" spans="26:26" x14ac:dyDescent="0.2">
      <c r="Z3401" t="str">
        <f t="shared" si="53"/>
        <v/>
      </c>
    </row>
    <row r="3402" spans="26:26" x14ac:dyDescent="0.2">
      <c r="Z3402" t="str">
        <f t="shared" si="53"/>
        <v/>
      </c>
    </row>
    <row r="3403" spans="26:26" x14ac:dyDescent="0.2">
      <c r="Z3403" t="str">
        <f t="shared" si="53"/>
        <v/>
      </c>
    </row>
    <row r="3404" spans="26:26" x14ac:dyDescent="0.2">
      <c r="Z3404" t="str">
        <f t="shared" si="53"/>
        <v/>
      </c>
    </row>
    <row r="3405" spans="26:26" x14ac:dyDescent="0.2">
      <c r="Z3405" t="str">
        <f t="shared" si="53"/>
        <v/>
      </c>
    </row>
    <row r="3406" spans="26:26" x14ac:dyDescent="0.2">
      <c r="Z3406" t="str">
        <f t="shared" si="53"/>
        <v/>
      </c>
    </row>
    <row r="3407" spans="26:26" x14ac:dyDescent="0.2">
      <c r="Z3407" t="str">
        <f t="shared" si="53"/>
        <v/>
      </c>
    </row>
    <row r="3408" spans="26:26" x14ac:dyDescent="0.2">
      <c r="Z3408" t="str">
        <f t="shared" si="53"/>
        <v/>
      </c>
    </row>
    <row r="3409" spans="26:26" x14ac:dyDescent="0.2">
      <c r="Z3409" t="str">
        <f t="shared" si="53"/>
        <v/>
      </c>
    </row>
    <row r="3410" spans="26:26" x14ac:dyDescent="0.2">
      <c r="Z3410" t="str">
        <f t="shared" si="53"/>
        <v/>
      </c>
    </row>
    <row r="3411" spans="26:26" x14ac:dyDescent="0.2">
      <c r="Z3411" t="str">
        <f t="shared" si="53"/>
        <v/>
      </c>
    </row>
    <row r="3412" spans="26:26" x14ac:dyDescent="0.2">
      <c r="Z3412" t="str">
        <f t="shared" si="53"/>
        <v/>
      </c>
    </row>
    <row r="3413" spans="26:26" x14ac:dyDescent="0.2">
      <c r="Z3413" t="str">
        <f t="shared" si="53"/>
        <v/>
      </c>
    </row>
    <row r="3414" spans="26:26" x14ac:dyDescent="0.2">
      <c r="Z3414" t="str">
        <f t="shared" si="53"/>
        <v/>
      </c>
    </row>
    <row r="3415" spans="26:26" x14ac:dyDescent="0.2">
      <c r="Z3415" t="str">
        <f t="shared" si="53"/>
        <v/>
      </c>
    </row>
    <row r="3416" spans="26:26" x14ac:dyDescent="0.2">
      <c r="Z3416" t="str">
        <f t="shared" si="53"/>
        <v/>
      </c>
    </row>
    <row r="3417" spans="26:26" x14ac:dyDescent="0.2">
      <c r="Z3417" t="str">
        <f t="shared" si="53"/>
        <v/>
      </c>
    </row>
    <row r="3418" spans="26:26" x14ac:dyDescent="0.2">
      <c r="Z3418" t="str">
        <f t="shared" si="53"/>
        <v/>
      </c>
    </row>
    <row r="3419" spans="26:26" x14ac:dyDescent="0.2">
      <c r="Z3419" t="str">
        <f t="shared" si="53"/>
        <v/>
      </c>
    </row>
    <row r="3420" spans="26:26" x14ac:dyDescent="0.2">
      <c r="Z3420" t="str">
        <f t="shared" si="53"/>
        <v/>
      </c>
    </row>
    <row r="3421" spans="26:26" x14ac:dyDescent="0.2">
      <c r="Z3421" t="str">
        <f t="shared" si="53"/>
        <v/>
      </c>
    </row>
    <row r="3422" spans="26:26" x14ac:dyDescent="0.2">
      <c r="Z3422" t="str">
        <f t="shared" si="53"/>
        <v/>
      </c>
    </row>
    <row r="3423" spans="26:26" x14ac:dyDescent="0.2">
      <c r="Z3423" t="str">
        <f t="shared" si="53"/>
        <v/>
      </c>
    </row>
    <row r="3424" spans="26:26" x14ac:dyDescent="0.2">
      <c r="Z3424" t="str">
        <f t="shared" si="53"/>
        <v/>
      </c>
    </row>
    <row r="3425" spans="26:26" x14ac:dyDescent="0.2">
      <c r="Z3425" t="str">
        <f t="shared" si="53"/>
        <v/>
      </c>
    </row>
    <row r="3426" spans="26:26" x14ac:dyDescent="0.2">
      <c r="Z3426" t="str">
        <f t="shared" si="53"/>
        <v/>
      </c>
    </row>
    <row r="3427" spans="26:26" x14ac:dyDescent="0.2">
      <c r="Z3427" t="str">
        <f t="shared" si="53"/>
        <v/>
      </c>
    </row>
    <row r="3428" spans="26:26" x14ac:dyDescent="0.2">
      <c r="Z3428" t="str">
        <f t="shared" si="53"/>
        <v/>
      </c>
    </row>
    <row r="3429" spans="26:26" x14ac:dyDescent="0.2">
      <c r="Z3429" t="str">
        <f t="shared" si="53"/>
        <v/>
      </c>
    </row>
    <row r="3430" spans="26:26" x14ac:dyDescent="0.2">
      <c r="Z3430" t="str">
        <f t="shared" si="53"/>
        <v/>
      </c>
    </row>
    <row r="3431" spans="26:26" x14ac:dyDescent="0.2">
      <c r="Z3431" t="str">
        <f t="shared" si="53"/>
        <v/>
      </c>
    </row>
    <row r="3432" spans="26:26" x14ac:dyDescent="0.2">
      <c r="Z3432" t="str">
        <f t="shared" si="53"/>
        <v/>
      </c>
    </row>
    <row r="3433" spans="26:26" x14ac:dyDescent="0.2">
      <c r="Z3433" t="str">
        <f t="shared" si="53"/>
        <v/>
      </c>
    </row>
    <row r="3434" spans="26:26" x14ac:dyDescent="0.2">
      <c r="Z3434" t="str">
        <f t="shared" si="53"/>
        <v/>
      </c>
    </row>
    <row r="3435" spans="26:26" x14ac:dyDescent="0.2">
      <c r="Z3435" t="str">
        <f t="shared" si="53"/>
        <v/>
      </c>
    </row>
    <row r="3436" spans="26:26" x14ac:dyDescent="0.2">
      <c r="Z3436" t="str">
        <f t="shared" si="53"/>
        <v/>
      </c>
    </row>
    <row r="3437" spans="26:26" x14ac:dyDescent="0.2">
      <c r="Z3437" t="str">
        <f t="shared" si="53"/>
        <v/>
      </c>
    </row>
    <row r="3438" spans="26:26" x14ac:dyDescent="0.2">
      <c r="Z3438" t="str">
        <f t="shared" si="53"/>
        <v/>
      </c>
    </row>
    <row r="3439" spans="26:26" x14ac:dyDescent="0.2">
      <c r="Z3439" t="str">
        <f t="shared" si="53"/>
        <v/>
      </c>
    </row>
    <row r="3440" spans="26:26" x14ac:dyDescent="0.2">
      <c r="Z3440" t="str">
        <f t="shared" si="53"/>
        <v/>
      </c>
    </row>
    <row r="3441" spans="26:26" x14ac:dyDescent="0.2">
      <c r="Z3441" t="str">
        <f t="shared" si="53"/>
        <v/>
      </c>
    </row>
    <row r="3442" spans="26:26" x14ac:dyDescent="0.2">
      <c r="Z3442" t="str">
        <f t="shared" si="53"/>
        <v/>
      </c>
    </row>
    <row r="3443" spans="26:26" x14ac:dyDescent="0.2">
      <c r="Z3443" t="str">
        <f t="shared" si="53"/>
        <v/>
      </c>
    </row>
    <row r="3444" spans="26:26" x14ac:dyDescent="0.2">
      <c r="Z3444" t="str">
        <f t="shared" si="53"/>
        <v/>
      </c>
    </row>
    <row r="3445" spans="26:26" x14ac:dyDescent="0.2">
      <c r="Z3445" t="str">
        <f t="shared" si="53"/>
        <v/>
      </c>
    </row>
    <row r="3446" spans="26:26" x14ac:dyDescent="0.2">
      <c r="Z3446" t="str">
        <f t="shared" si="53"/>
        <v/>
      </c>
    </row>
    <row r="3447" spans="26:26" x14ac:dyDescent="0.2">
      <c r="Z3447" t="str">
        <f t="shared" si="53"/>
        <v/>
      </c>
    </row>
    <row r="3448" spans="26:26" x14ac:dyDescent="0.2">
      <c r="Z3448" t="str">
        <f t="shared" si="53"/>
        <v/>
      </c>
    </row>
    <row r="3449" spans="26:26" x14ac:dyDescent="0.2">
      <c r="Z3449" t="str">
        <f t="shared" si="53"/>
        <v/>
      </c>
    </row>
    <row r="3450" spans="26:26" x14ac:dyDescent="0.2">
      <c r="Z3450" t="str">
        <f t="shared" si="53"/>
        <v/>
      </c>
    </row>
    <row r="3451" spans="26:26" x14ac:dyDescent="0.2">
      <c r="Z3451" t="str">
        <f t="shared" si="53"/>
        <v/>
      </c>
    </row>
    <row r="3452" spans="26:26" x14ac:dyDescent="0.2">
      <c r="Z3452" t="str">
        <f t="shared" si="53"/>
        <v/>
      </c>
    </row>
    <row r="3453" spans="26:26" x14ac:dyDescent="0.2">
      <c r="Z3453" t="str">
        <f t="shared" si="53"/>
        <v/>
      </c>
    </row>
    <row r="3454" spans="26:26" x14ac:dyDescent="0.2">
      <c r="Z3454" t="str">
        <f t="shared" si="53"/>
        <v/>
      </c>
    </row>
    <row r="3455" spans="26:26" x14ac:dyDescent="0.2">
      <c r="Z3455" t="str">
        <f t="shared" si="53"/>
        <v/>
      </c>
    </row>
    <row r="3456" spans="26:26" x14ac:dyDescent="0.2">
      <c r="Z3456" t="str">
        <f t="shared" si="53"/>
        <v/>
      </c>
    </row>
    <row r="3457" spans="26:26" x14ac:dyDescent="0.2">
      <c r="Z3457" t="str">
        <f t="shared" si="53"/>
        <v/>
      </c>
    </row>
    <row r="3458" spans="26:26" x14ac:dyDescent="0.2">
      <c r="Z3458" t="str">
        <f t="shared" si="53"/>
        <v/>
      </c>
    </row>
    <row r="3459" spans="26:26" x14ac:dyDescent="0.2">
      <c r="Z3459" t="str">
        <f t="shared" ref="Z3459:Z3522" si="54">IF(K3459="","",IFERROR(VALUE(TRIM(MID(K3459,FIND(CHAR(167),SUBSTITUTE(K3459,"-",CHAR(167),LEN(K3459)-LEN(SUBSTITUTE(K3459,"-",""))))+1,100))),K3459))</f>
        <v/>
      </c>
    </row>
    <row r="3460" spans="26:26" x14ac:dyDescent="0.2">
      <c r="Z3460" t="str">
        <f t="shared" si="54"/>
        <v/>
      </c>
    </row>
    <row r="3461" spans="26:26" x14ac:dyDescent="0.2">
      <c r="Z3461" t="str">
        <f t="shared" si="54"/>
        <v/>
      </c>
    </row>
    <row r="3462" spans="26:26" x14ac:dyDescent="0.2">
      <c r="Z3462" t="str">
        <f t="shared" si="54"/>
        <v/>
      </c>
    </row>
    <row r="3463" spans="26:26" x14ac:dyDescent="0.2">
      <c r="Z3463" t="str">
        <f t="shared" si="54"/>
        <v/>
      </c>
    </row>
    <row r="3464" spans="26:26" x14ac:dyDescent="0.2">
      <c r="Z3464" t="str">
        <f t="shared" si="54"/>
        <v/>
      </c>
    </row>
    <row r="3465" spans="26:26" x14ac:dyDescent="0.2">
      <c r="Z3465" t="str">
        <f t="shared" si="54"/>
        <v/>
      </c>
    </row>
    <row r="3466" spans="26:26" x14ac:dyDescent="0.2">
      <c r="Z3466" t="str">
        <f t="shared" si="54"/>
        <v/>
      </c>
    </row>
    <row r="3467" spans="26:26" x14ac:dyDescent="0.2">
      <c r="Z3467" t="str">
        <f t="shared" si="54"/>
        <v/>
      </c>
    </row>
    <row r="3468" spans="26:26" x14ac:dyDescent="0.2">
      <c r="Z3468" t="str">
        <f t="shared" si="54"/>
        <v/>
      </c>
    </row>
    <row r="3469" spans="26:26" x14ac:dyDescent="0.2">
      <c r="Z3469" t="str">
        <f t="shared" si="54"/>
        <v/>
      </c>
    </row>
    <row r="3470" spans="26:26" x14ac:dyDescent="0.2">
      <c r="Z3470" t="str">
        <f t="shared" si="54"/>
        <v/>
      </c>
    </row>
    <row r="3471" spans="26:26" x14ac:dyDescent="0.2">
      <c r="Z3471" t="str">
        <f t="shared" si="54"/>
        <v/>
      </c>
    </row>
    <row r="3472" spans="26:26" x14ac:dyDescent="0.2">
      <c r="Z3472" t="str">
        <f t="shared" si="54"/>
        <v/>
      </c>
    </row>
    <row r="3473" spans="26:26" x14ac:dyDescent="0.2">
      <c r="Z3473" t="str">
        <f t="shared" si="54"/>
        <v/>
      </c>
    </row>
    <row r="3474" spans="26:26" x14ac:dyDescent="0.2">
      <c r="Z3474" t="str">
        <f t="shared" si="54"/>
        <v/>
      </c>
    </row>
    <row r="3475" spans="26:26" x14ac:dyDescent="0.2">
      <c r="Z3475" t="str">
        <f t="shared" si="54"/>
        <v/>
      </c>
    </row>
    <row r="3476" spans="26:26" x14ac:dyDescent="0.2">
      <c r="Z3476" t="str">
        <f t="shared" si="54"/>
        <v/>
      </c>
    </row>
    <row r="3477" spans="26:26" x14ac:dyDescent="0.2">
      <c r="Z3477" t="str">
        <f t="shared" si="54"/>
        <v/>
      </c>
    </row>
    <row r="3478" spans="26:26" x14ac:dyDescent="0.2">
      <c r="Z3478" t="str">
        <f t="shared" si="54"/>
        <v/>
      </c>
    </row>
    <row r="3479" spans="26:26" x14ac:dyDescent="0.2">
      <c r="Z3479" t="str">
        <f t="shared" si="54"/>
        <v/>
      </c>
    </row>
    <row r="3480" spans="26:26" x14ac:dyDescent="0.2">
      <c r="Z3480" t="str">
        <f t="shared" si="54"/>
        <v/>
      </c>
    </row>
    <row r="3481" spans="26:26" x14ac:dyDescent="0.2">
      <c r="Z3481" t="str">
        <f t="shared" si="54"/>
        <v/>
      </c>
    </row>
    <row r="3482" spans="26:26" x14ac:dyDescent="0.2">
      <c r="Z3482" t="str">
        <f t="shared" si="54"/>
        <v/>
      </c>
    </row>
    <row r="3483" spans="26:26" x14ac:dyDescent="0.2">
      <c r="Z3483" t="str">
        <f t="shared" si="54"/>
        <v/>
      </c>
    </row>
    <row r="3484" spans="26:26" x14ac:dyDescent="0.2">
      <c r="Z3484" t="str">
        <f t="shared" si="54"/>
        <v/>
      </c>
    </row>
    <row r="3485" spans="26:26" x14ac:dyDescent="0.2">
      <c r="Z3485" t="str">
        <f t="shared" si="54"/>
        <v/>
      </c>
    </row>
    <row r="3486" spans="26:26" x14ac:dyDescent="0.2">
      <c r="Z3486" t="str">
        <f t="shared" si="54"/>
        <v/>
      </c>
    </row>
    <row r="3487" spans="26:26" x14ac:dyDescent="0.2">
      <c r="Z3487" t="str">
        <f t="shared" si="54"/>
        <v/>
      </c>
    </row>
    <row r="3488" spans="26:26" x14ac:dyDescent="0.2">
      <c r="Z3488" t="str">
        <f t="shared" si="54"/>
        <v/>
      </c>
    </row>
    <row r="3489" spans="26:26" x14ac:dyDescent="0.2">
      <c r="Z3489" t="str">
        <f t="shared" si="54"/>
        <v/>
      </c>
    </row>
    <row r="3490" spans="26:26" x14ac:dyDescent="0.2">
      <c r="Z3490" t="str">
        <f t="shared" si="54"/>
        <v/>
      </c>
    </row>
    <row r="3491" spans="26:26" x14ac:dyDescent="0.2">
      <c r="Z3491" t="str">
        <f t="shared" si="54"/>
        <v/>
      </c>
    </row>
    <row r="3492" spans="26:26" x14ac:dyDescent="0.2">
      <c r="Z3492" t="str">
        <f t="shared" si="54"/>
        <v/>
      </c>
    </row>
    <row r="3493" spans="26:26" x14ac:dyDescent="0.2">
      <c r="Z3493" t="str">
        <f t="shared" si="54"/>
        <v/>
      </c>
    </row>
    <row r="3494" spans="26:26" x14ac:dyDescent="0.2">
      <c r="Z3494" t="str">
        <f t="shared" si="54"/>
        <v/>
      </c>
    </row>
    <row r="3495" spans="26:26" x14ac:dyDescent="0.2">
      <c r="Z3495" t="str">
        <f t="shared" si="54"/>
        <v/>
      </c>
    </row>
    <row r="3496" spans="26:26" x14ac:dyDescent="0.2">
      <c r="Z3496" t="str">
        <f t="shared" si="54"/>
        <v/>
      </c>
    </row>
    <row r="3497" spans="26:26" x14ac:dyDescent="0.2">
      <c r="Z3497" t="str">
        <f t="shared" si="54"/>
        <v/>
      </c>
    </row>
    <row r="3498" spans="26:26" x14ac:dyDescent="0.2">
      <c r="Z3498" t="str">
        <f t="shared" si="54"/>
        <v/>
      </c>
    </row>
    <row r="3499" spans="26:26" x14ac:dyDescent="0.2">
      <c r="Z3499" t="str">
        <f t="shared" si="54"/>
        <v/>
      </c>
    </row>
    <row r="3500" spans="26:26" x14ac:dyDescent="0.2">
      <c r="Z3500" t="str">
        <f t="shared" si="54"/>
        <v/>
      </c>
    </row>
    <row r="3501" spans="26:26" x14ac:dyDescent="0.2">
      <c r="Z3501" t="str">
        <f t="shared" si="54"/>
        <v/>
      </c>
    </row>
    <row r="3502" spans="26:26" x14ac:dyDescent="0.2">
      <c r="Z3502" t="str">
        <f t="shared" si="54"/>
        <v/>
      </c>
    </row>
    <row r="3503" spans="26:26" x14ac:dyDescent="0.2">
      <c r="Z3503" t="str">
        <f t="shared" si="54"/>
        <v/>
      </c>
    </row>
    <row r="3504" spans="26:26" x14ac:dyDescent="0.2">
      <c r="Z3504" t="str">
        <f t="shared" si="54"/>
        <v/>
      </c>
    </row>
    <row r="3505" spans="26:26" x14ac:dyDescent="0.2">
      <c r="Z3505" t="str">
        <f t="shared" si="54"/>
        <v/>
      </c>
    </row>
    <row r="3506" spans="26:26" x14ac:dyDescent="0.2">
      <c r="Z3506" t="str">
        <f t="shared" si="54"/>
        <v/>
      </c>
    </row>
    <row r="3507" spans="26:26" x14ac:dyDescent="0.2">
      <c r="Z3507" t="str">
        <f t="shared" si="54"/>
        <v/>
      </c>
    </row>
    <row r="3508" spans="26:26" x14ac:dyDescent="0.2">
      <c r="Z3508" t="str">
        <f t="shared" si="54"/>
        <v/>
      </c>
    </row>
    <row r="3509" spans="26:26" x14ac:dyDescent="0.2">
      <c r="Z3509" t="str">
        <f t="shared" si="54"/>
        <v/>
      </c>
    </row>
    <row r="3510" spans="26:26" x14ac:dyDescent="0.2">
      <c r="Z3510" t="str">
        <f t="shared" si="54"/>
        <v/>
      </c>
    </row>
    <row r="3511" spans="26:26" x14ac:dyDescent="0.2">
      <c r="Z3511" t="str">
        <f t="shared" si="54"/>
        <v/>
      </c>
    </row>
    <row r="3512" spans="26:26" x14ac:dyDescent="0.2">
      <c r="Z3512" t="str">
        <f t="shared" si="54"/>
        <v/>
      </c>
    </row>
    <row r="3513" spans="26:26" x14ac:dyDescent="0.2">
      <c r="Z3513" t="str">
        <f t="shared" si="54"/>
        <v/>
      </c>
    </row>
    <row r="3514" spans="26:26" x14ac:dyDescent="0.2">
      <c r="Z3514" t="str">
        <f t="shared" si="54"/>
        <v/>
      </c>
    </row>
    <row r="3515" spans="26:26" x14ac:dyDescent="0.2">
      <c r="Z3515" t="str">
        <f t="shared" si="54"/>
        <v/>
      </c>
    </row>
    <row r="3516" spans="26:26" x14ac:dyDescent="0.2">
      <c r="Z3516" t="str">
        <f t="shared" si="54"/>
        <v/>
      </c>
    </row>
    <row r="3517" spans="26:26" x14ac:dyDescent="0.2">
      <c r="Z3517" t="str">
        <f t="shared" si="54"/>
        <v/>
      </c>
    </row>
    <row r="3518" spans="26:26" x14ac:dyDescent="0.2">
      <c r="Z3518" t="str">
        <f t="shared" si="54"/>
        <v/>
      </c>
    </row>
    <row r="3519" spans="26:26" x14ac:dyDescent="0.2">
      <c r="Z3519" t="str">
        <f t="shared" si="54"/>
        <v/>
      </c>
    </row>
    <row r="3520" spans="26:26" x14ac:dyDescent="0.2">
      <c r="Z3520" t="str">
        <f t="shared" si="54"/>
        <v/>
      </c>
    </row>
    <row r="3521" spans="26:26" x14ac:dyDescent="0.2">
      <c r="Z3521" t="str">
        <f t="shared" si="54"/>
        <v/>
      </c>
    </row>
    <row r="3522" spans="26:26" x14ac:dyDescent="0.2">
      <c r="Z3522" t="str">
        <f t="shared" si="54"/>
        <v/>
      </c>
    </row>
    <row r="3523" spans="26:26" x14ac:dyDescent="0.2">
      <c r="Z3523" t="str">
        <f t="shared" ref="Z3523:Z3586" si="55">IF(K3523="","",IFERROR(VALUE(TRIM(MID(K3523,FIND(CHAR(167),SUBSTITUTE(K3523,"-",CHAR(167),LEN(K3523)-LEN(SUBSTITUTE(K3523,"-",""))))+1,100))),K3523))</f>
        <v/>
      </c>
    </row>
    <row r="3524" spans="26:26" x14ac:dyDescent="0.2">
      <c r="Z3524" t="str">
        <f t="shared" si="55"/>
        <v/>
      </c>
    </row>
    <row r="3525" spans="26:26" x14ac:dyDescent="0.2">
      <c r="Z3525" t="str">
        <f t="shared" si="55"/>
        <v/>
      </c>
    </row>
    <row r="3526" spans="26:26" x14ac:dyDescent="0.2">
      <c r="Z3526" t="str">
        <f t="shared" si="55"/>
        <v/>
      </c>
    </row>
    <row r="3527" spans="26:26" x14ac:dyDescent="0.2">
      <c r="Z3527" t="str">
        <f t="shared" si="55"/>
        <v/>
      </c>
    </row>
    <row r="3528" spans="26:26" x14ac:dyDescent="0.2">
      <c r="Z3528" t="str">
        <f t="shared" si="55"/>
        <v/>
      </c>
    </row>
    <row r="3529" spans="26:26" x14ac:dyDescent="0.2">
      <c r="Z3529" t="str">
        <f t="shared" si="55"/>
        <v/>
      </c>
    </row>
    <row r="3530" spans="26:26" x14ac:dyDescent="0.2">
      <c r="Z3530" t="str">
        <f t="shared" si="55"/>
        <v/>
      </c>
    </row>
    <row r="3531" spans="26:26" x14ac:dyDescent="0.2">
      <c r="Z3531" t="str">
        <f t="shared" si="55"/>
        <v/>
      </c>
    </row>
    <row r="3532" spans="26:26" x14ac:dyDescent="0.2">
      <c r="Z3532" t="str">
        <f t="shared" si="55"/>
        <v/>
      </c>
    </row>
    <row r="3533" spans="26:26" x14ac:dyDescent="0.2">
      <c r="Z3533" t="str">
        <f t="shared" si="55"/>
        <v/>
      </c>
    </row>
    <row r="3534" spans="26:26" x14ac:dyDescent="0.2">
      <c r="Z3534" t="str">
        <f t="shared" si="55"/>
        <v/>
      </c>
    </row>
    <row r="3535" spans="26:26" x14ac:dyDescent="0.2">
      <c r="Z3535" t="str">
        <f t="shared" si="55"/>
        <v/>
      </c>
    </row>
    <row r="3536" spans="26:26" x14ac:dyDescent="0.2">
      <c r="Z3536" t="str">
        <f t="shared" si="55"/>
        <v/>
      </c>
    </row>
    <row r="3537" spans="26:26" x14ac:dyDescent="0.2">
      <c r="Z3537" t="str">
        <f t="shared" si="55"/>
        <v/>
      </c>
    </row>
    <row r="3538" spans="26:26" x14ac:dyDescent="0.2">
      <c r="Z3538" t="str">
        <f t="shared" si="55"/>
        <v/>
      </c>
    </row>
    <row r="3539" spans="26:26" x14ac:dyDescent="0.2">
      <c r="Z3539" t="str">
        <f t="shared" si="55"/>
        <v/>
      </c>
    </row>
    <row r="3540" spans="26:26" x14ac:dyDescent="0.2">
      <c r="Z3540" t="str">
        <f t="shared" si="55"/>
        <v/>
      </c>
    </row>
    <row r="3541" spans="26:26" x14ac:dyDescent="0.2">
      <c r="Z3541" t="str">
        <f t="shared" si="55"/>
        <v/>
      </c>
    </row>
    <row r="3542" spans="26:26" x14ac:dyDescent="0.2">
      <c r="Z3542" t="str">
        <f t="shared" si="55"/>
        <v/>
      </c>
    </row>
    <row r="3543" spans="26:26" x14ac:dyDescent="0.2">
      <c r="Z3543" t="str">
        <f t="shared" si="55"/>
        <v/>
      </c>
    </row>
    <row r="3544" spans="26:26" x14ac:dyDescent="0.2">
      <c r="Z3544" t="str">
        <f t="shared" si="55"/>
        <v/>
      </c>
    </row>
    <row r="3545" spans="26:26" x14ac:dyDescent="0.2">
      <c r="Z3545" t="str">
        <f t="shared" si="55"/>
        <v/>
      </c>
    </row>
    <row r="3546" spans="26:26" x14ac:dyDescent="0.2">
      <c r="Z3546" t="str">
        <f t="shared" si="55"/>
        <v/>
      </c>
    </row>
    <row r="3547" spans="26:26" x14ac:dyDescent="0.2">
      <c r="Z3547" t="str">
        <f t="shared" si="55"/>
        <v/>
      </c>
    </row>
    <row r="3548" spans="26:26" x14ac:dyDescent="0.2">
      <c r="Z3548" t="str">
        <f t="shared" si="55"/>
        <v/>
      </c>
    </row>
    <row r="3549" spans="26:26" x14ac:dyDescent="0.2">
      <c r="Z3549" t="str">
        <f t="shared" si="55"/>
        <v/>
      </c>
    </row>
    <row r="3550" spans="26:26" x14ac:dyDescent="0.2">
      <c r="Z3550" t="str">
        <f t="shared" si="55"/>
        <v/>
      </c>
    </row>
    <row r="3551" spans="26:26" x14ac:dyDescent="0.2">
      <c r="Z3551" t="str">
        <f t="shared" si="55"/>
        <v/>
      </c>
    </row>
    <row r="3552" spans="26:26" x14ac:dyDescent="0.2">
      <c r="Z3552" t="str">
        <f t="shared" si="55"/>
        <v/>
      </c>
    </row>
    <row r="3553" spans="26:26" x14ac:dyDescent="0.2">
      <c r="Z3553" t="str">
        <f t="shared" si="55"/>
        <v/>
      </c>
    </row>
    <row r="3554" spans="26:26" x14ac:dyDescent="0.2">
      <c r="Z3554" t="str">
        <f t="shared" si="55"/>
        <v/>
      </c>
    </row>
    <row r="3555" spans="26:26" x14ac:dyDescent="0.2">
      <c r="Z3555" t="str">
        <f t="shared" si="55"/>
        <v/>
      </c>
    </row>
    <row r="3556" spans="26:26" x14ac:dyDescent="0.2">
      <c r="Z3556" t="str">
        <f t="shared" si="55"/>
        <v/>
      </c>
    </row>
    <row r="3557" spans="26:26" x14ac:dyDescent="0.2">
      <c r="Z3557" t="str">
        <f t="shared" si="55"/>
        <v/>
      </c>
    </row>
    <row r="3558" spans="26:26" x14ac:dyDescent="0.2">
      <c r="Z3558" t="str">
        <f t="shared" si="55"/>
        <v/>
      </c>
    </row>
    <row r="3559" spans="26:26" x14ac:dyDescent="0.2">
      <c r="Z3559" t="str">
        <f t="shared" si="55"/>
        <v/>
      </c>
    </row>
    <row r="3560" spans="26:26" x14ac:dyDescent="0.2">
      <c r="Z3560" t="str">
        <f t="shared" si="55"/>
        <v/>
      </c>
    </row>
    <row r="3561" spans="26:26" x14ac:dyDescent="0.2">
      <c r="Z3561" t="str">
        <f t="shared" si="55"/>
        <v/>
      </c>
    </row>
    <row r="3562" spans="26:26" x14ac:dyDescent="0.2">
      <c r="Z3562" t="str">
        <f t="shared" si="55"/>
        <v/>
      </c>
    </row>
    <row r="3563" spans="26:26" x14ac:dyDescent="0.2">
      <c r="Z3563" t="str">
        <f t="shared" si="55"/>
        <v/>
      </c>
    </row>
    <row r="3564" spans="26:26" x14ac:dyDescent="0.2">
      <c r="Z3564" t="str">
        <f t="shared" si="55"/>
        <v/>
      </c>
    </row>
    <row r="3565" spans="26:26" x14ac:dyDescent="0.2">
      <c r="Z3565" t="str">
        <f t="shared" si="55"/>
        <v/>
      </c>
    </row>
    <row r="3566" spans="26:26" x14ac:dyDescent="0.2">
      <c r="Z3566" t="str">
        <f t="shared" si="55"/>
        <v/>
      </c>
    </row>
    <row r="3567" spans="26:26" x14ac:dyDescent="0.2">
      <c r="Z3567" t="str">
        <f t="shared" si="55"/>
        <v/>
      </c>
    </row>
    <row r="3568" spans="26:26" x14ac:dyDescent="0.2">
      <c r="Z3568" t="str">
        <f t="shared" si="55"/>
        <v/>
      </c>
    </row>
    <row r="3569" spans="26:26" x14ac:dyDescent="0.2">
      <c r="Z3569" t="str">
        <f t="shared" si="55"/>
        <v/>
      </c>
    </row>
    <row r="3570" spans="26:26" x14ac:dyDescent="0.2">
      <c r="Z3570" t="str">
        <f t="shared" si="55"/>
        <v/>
      </c>
    </row>
    <row r="3571" spans="26:26" x14ac:dyDescent="0.2">
      <c r="Z3571" t="str">
        <f t="shared" si="55"/>
        <v/>
      </c>
    </row>
    <row r="3572" spans="26:26" x14ac:dyDescent="0.2">
      <c r="Z3572" t="str">
        <f t="shared" si="55"/>
        <v/>
      </c>
    </row>
    <row r="3573" spans="26:26" x14ac:dyDescent="0.2">
      <c r="Z3573" t="str">
        <f t="shared" si="55"/>
        <v/>
      </c>
    </row>
    <row r="3574" spans="26:26" x14ac:dyDescent="0.2">
      <c r="Z3574" t="str">
        <f t="shared" si="55"/>
        <v/>
      </c>
    </row>
    <row r="3575" spans="26:26" x14ac:dyDescent="0.2">
      <c r="Z3575" t="str">
        <f t="shared" si="55"/>
        <v/>
      </c>
    </row>
    <row r="3576" spans="26:26" x14ac:dyDescent="0.2">
      <c r="Z3576" t="str">
        <f t="shared" si="55"/>
        <v/>
      </c>
    </row>
    <row r="3577" spans="26:26" x14ac:dyDescent="0.2">
      <c r="Z3577" t="str">
        <f t="shared" si="55"/>
        <v/>
      </c>
    </row>
    <row r="3578" spans="26:26" x14ac:dyDescent="0.2">
      <c r="Z3578" t="str">
        <f t="shared" si="55"/>
        <v/>
      </c>
    </row>
    <row r="3579" spans="26:26" x14ac:dyDescent="0.2">
      <c r="Z3579" t="str">
        <f t="shared" si="55"/>
        <v/>
      </c>
    </row>
    <row r="3580" spans="26:26" x14ac:dyDescent="0.2">
      <c r="Z3580" t="str">
        <f t="shared" si="55"/>
        <v/>
      </c>
    </row>
    <row r="3581" spans="26:26" x14ac:dyDescent="0.2">
      <c r="Z3581" t="str">
        <f t="shared" si="55"/>
        <v/>
      </c>
    </row>
    <row r="3582" spans="26:26" x14ac:dyDescent="0.2">
      <c r="Z3582" t="str">
        <f t="shared" si="55"/>
        <v/>
      </c>
    </row>
    <row r="3583" spans="26:26" x14ac:dyDescent="0.2">
      <c r="Z3583" t="str">
        <f t="shared" si="55"/>
        <v/>
      </c>
    </row>
    <row r="3584" spans="26:26" x14ac:dyDescent="0.2">
      <c r="Z3584" t="str">
        <f t="shared" si="55"/>
        <v/>
      </c>
    </row>
    <row r="3585" spans="26:26" x14ac:dyDescent="0.2">
      <c r="Z3585" t="str">
        <f t="shared" si="55"/>
        <v/>
      </c>
    </row>
    <row r="3586" spans="26:26" x14ac:dyDescent="0.2">
      <c r="Z3586" t="str">
        <f t="shared" si="55"/>
        <v/>
      </c>
    </row>
    <row r="3587" spans="26:26" x14ac:dyDescent="0.2">
      <c r="Z3587" t="str">
        <f t="shared" ref="Z3587:Z3650" si="56">IF(K3587="","",IFERROR(VALUE(TRIM(MID(K3587,FIND(CHAR(167),SUBSTITUTE(K3587,"-",CHAR(167),LEN(K3587)-LEN(SUBSTITUTE(K3587,"-",""))))+1,100))),K3587))</f>
        <v/>
      </c>
    </row>
    <row r="3588" spans="26:26" x14ac:dyDescent="0.2">
      <c r="Z3588" t="str">
        <f t="shared" si="56"/>
        <v/>
      </c>
    </row>
    <row r="3589" spans="26:26" x14ac:dyDescent="0.2">
      <c r="Z3589" t="str">
        <f t="shared" si="56"/>
        <v/>
      </c>
    </row>
    <row r="3590" spans="26:26" x14ac:dyDescent="0.2">
      <c r="Z3590" t="str">
        <f t="shared" si="56"/>
        <v/>
      </c>
    </row>
    <row r="3591" spans="26:26" x14ac:dyDescent="0.2">
      <c r="Z3591" t="str">
        <f t="shared" si="56"/>
        <v/>
      </c>
    </row>
    <row r="3592" spans="26:26" x14ac:dyDescent="0.2">
      <c r="Z3592" t="str">
        <f t="shared" si="56"/>
        <v/>
      </c>
    </row>
    <row r="3593" spans="26:26" x14ac:dyDescent="0.2">
      <c r="Z3593" t="str">
        <f t="shared" si="56"/>
        <v/>
      </c>
    </row>
    <row r="3594" spans="26:26" x14ac:dyDescent="0.2">
      <c r="Z3594" t="str">
        <f t="shared" si="56"/>
        <v/>
      </c>
    </row>
    <row r="3595" spans="26:26" x14ac:dyDescent="0.2">
      <c r="Z3595" t="str">
        <f t="shared" si="56"/>
        <v/>
      </c>
    </row>
    <row r="3596" spans="26:26" x14ac:dyDescent="0.2">
      <c r="Z3596" t="str">
        <f t="shared" si="56"/>
        <v/>
      </c>
    </row>
    <row r="3597" spans="26:26" x14ac:dyDescent="0.2">
      <c r="Z3597" t="str">
        <f t="shared" si="56"/>
        <v/>
      </c>
    </row>
    <row r="3598" spans="26:26" x14ac:dyDescent="0.2">
      <c r="Z3598" t="str">
        <f t="shared" si="56"/>
        <v/>
      </c>
    </row>
    <row r="3599" spans="26:26" x14ac:dyDescent="0.2">
      <c r="Z3599" t="str">
        <f t="shared" si="56"/>
        <v/>
      </c>
    </row>
    <row r="3600" spans="26:26" x14ac:dyDescent="0.2">
      <c r="Z3600" t="str">
        <f t="shared" si="56"/>
        <v/>
      </c>
    </row>
    <row r="3601" spans="26:26" x14ac:dyDescent="0.2">
      <c r="Z3601" t="str">
        <f t="shared" si="56"/>
        <v/>
      </c>
    </row>
    <row r="3602" spans="26:26" x14ac:dyDescent="0.2">
      <c r="Z3602" t="str">
        <f t="shared" si="56"/>
        <v/>
      </c>
    </row>
    <row r="3603" spans="26:26" x14ac:dyDescent="0.2">
      <c r="Z3603" t="str">
        <f t="shared" si="56"/>
        <v/>
      </c>
    </row>
    <row r="3604" spans="26:26" x14ac:dyDescent="0.2">
      <c r="Z3604" t="str">
        <f t="shared" si="56"/>
        <v/>
      </c>
    </row>
    <row r="3605" spans="26:26" x14ac:dyDescent="0.2">
      <c r="Z3605" t="str">
        <f t="shared" si="56"/>
        <v/>
      </c>
    </row>
    <row r="3606" spans="26:26" x14ac:dyDescent="0.2">
      <c r="Z3606" t="str">
        <f t="shared" si="56"/>
        <v/>
      </c>
    </row>
    <row r="3607" spans="26:26" x14ac:dyDescent="0.2">
      <c r="Z3607" t="str">
        <f t="shared" si="56"/>
        <v/>
      </c>
    </row>
    <row r="3608" spans="26:26" x14ac:dyDescent="0.2">
      <c r="Z3608" t="str">
        <f t="shared" si="56"/>
        <v/>
      </c>
    </row>
    <row r="3609" spans="26:26" x14ac:dyDescent="0.2">
      <c r="Z3609" t="str">
        <f t="shared" si="56"/>
        <v/>
      </c>
    </row>
    <row r="3610" spans="26:26" x14ac:dyDescent="0.2">
      <c r="Z3610" t="str">
        <f t="shared" si="56"/>
        <v/>
      </c>
    </row>
    <row r="3611" spans="26:26" x14ac:dyDescent="0.2">
      <c r="Z3611" t="str">
        <f t="shared" si="56"/>
        <v/>
      </c>
    </row>
    <row r="3612" spans="26:26" x14ac:dyDescent="0.2">
      <c r="Z3612" t="str">
        <f t="shared" si="56"/>
        <v/>
      </c>
    </row>
    <row r="3613" spans="26:26" x14ac:dyDescent="0.2">
      <c r="Z3613" t="str">
        <f t="shared" si="56"/>
        <v/>
      </c>
    </row>
    <row r="3614" spans="26:26" x14ac:dyDescent="0.2">
      <c r="Z3614" t="str">
        <f t="shared" si="56"/>
        <v/>
      </c>
    </row>
    <row r="3615" spans="26:26" x14ac:dyDescent="0.2">
      <c r="Z3615" t="str">
        <f t="shared" si="56"/>
        <v/>
      </c>
    </row>
    <row r="3616" spans="26:26" x14ac:dyDescent="0.2">
      <c r="Z3616" t="str">
        <f t="shared" si="56"/>
        <v/>
      </c>
    </row>
    <row r="3617" spans="26:26" x14ac:dyDescent="0.2">
      <c r="Z3617" t="str">
        <f t="shared" si="56"/>
        <v/>
      </c>
    </row>
    <row r="3618" spans="26:26" x14ac:dyDescent="0.2">
      <c r="Z3618" t="str">
        <f t="shared" si="56"/>
        <v/>
      </c>
    </row>
    <row r="3619" spans="26:26" x14ac:dyDescent="0.2">
      <c r="Z3619" t="str">
        <f t="shared" si="56"/>
        <v/>
      </c>
    </row>
    <row r="3620" spans="26:26" x14ac:dyDescent="0.2">
      <c r="Z3620" t="str">
        <f t="shared" si="56"/>
        <v/>
      </c>
    </row>
    <row r="3621" spans="26:26" x14ac:dyDescent="0.2">
      <c r="Z3621" t="str">
        <f t="shared" si="56"/>
        <v/>
      </c>
    </row>
    <row r="3622" spans="26:26" x14ac:dyDescent="0.2">
      <c r="Z3622" t="str">
        <f t="shared" si="56"/>
        <v/>
      </c>
    </row>
    <row r="3623" spans="26:26" x14ac:dyDescent="0.2">
      <c r="Z3623" t="str">
        <f t="shared" si="56"/>
        <v/>
      </c>
    </row>
    <row r="3624" spans="26:26" x14ac:dyDescent="0.2">
      <c r="Z3624" t="str">
        <f t="shared" si="56"/>
        <v/>
      </c>
    </row>
    <row r="3625" spans="26:26" x14ac:dyDescent="0.2">
      <c r="Z3625" t="str">
        <f t="shared" si="56"/>
        <v/>
      </c>
    </row>
    <row r="3626" spans="26:26" x14ac:dyDescent="0.2">
      <c r="Z3626" t="str">
        <f t="shared" si="56"/>
        <v/>
      </c>
    </row>
    <row r="3627" spans="26:26" x14ac:dyDescent="0.2">
      <c r="Z3627" t="str">
        <f t="shared" si="56"/>
        <v/>
      </c>
    </row>
    <row r="3628" spans="26:26" x14ac:dyDescent="0.2">
      <c r="Z3628" t="str">
        <f t="shared" si="56"/>
        <v/>
      </c>
    </row>
    <row r="3629" spans="26:26" x14ac:dyDescent="0.2">
      <c r="Z3629" t="str">
        <f t="shared" si="56"/>
        <v/>
      </c>
    </row>
    <row r="3630" spans="26:26" x14ac:dyDescent="0.2">
      <c r="Z3630" t="str">
        <f t="shared" si="56"/>
        <v/>
      </c>
    </row>
    <row r="3631" spans="26:26" x14ac:dyDescent="0.2">
      <c r="Z3631" t="str">
        <f t="shared" si="56"/>
        <v/>
      </c>
    </row>
    <row r="3632" spans="26:26" x14ac:dyDescent="0.2">
      <c r="Z3632" t="str">
        <f t="shared" si="56"/>
        <v/>
      </c>
    </row>
    <row r="3633" spans="26:26" x14ac:dyDescent="0.2">
      <c r="Z3633" t="str">
        <f t="shared" si="56"/>
        <v/>
      </c>
    </row>
    <row r="3634" spans="26:26" x14ac:dyDescent="0.2">
      <c r="Z3634" t="str">
        <f t="shared" si="56"/>
        <v/>
      </c>
    </row>
    <row r="3635" spans="26:26" x14ac:dyDescent="0.2">
      <c r="Z3635" t="str">
        <f t="shared" si="56"/>
        <v/>
      </c>
    </row>
    <row r="3636" spans="26:26" x14ac:dyDescent="0.2">
      <c r="Z3636" t="str">
        <f t="shared" si="56"/>
        <v/>
      </c>
    </row>
    <row r="3637" spans="26:26" x14ac:dyDescent="0.2">
      <c r="Z3637" t="str">
        <f t="shared" si="56"/>
        <v/>
      </c>
    </row>
    <row r="3638" spans="26:26" x14ac:dyDescent="0.2">
      <c r="Z3638" t="str">
        <f t="shared" si="56"/>
        <v/>
      </c>
    </row>
    <row r="3639" spans="26:26" x14ac:dyDescent="0.2">
      <c r="Z3639" t="str">
        <f t="shared" si="56"/>
        <v/>
      </c>
    </row>
    <row r="3640" spans="26:26" x14ac:dyDescent="0.2">
      <c r="Z3640" t="str">
        <f t="shared" si="56"/>
        <v/>
      </c>
    </row>
    <row r="3641" spans="26:26" x14ac:dyDescent="0.2">
      <c r="Z3641" t="str">
        <f t="shared" si="56"/>
        <v/>
      </c>
    </row>
    <row r="3642" spans="26:26" x14ac:dyDescent="0.2">
      <c r="Z3642" t="str">
        <f t="shared" si="56"/>
        <v/>
      </c>
    </row>
    <row r="3643" spans="26:26" x14ac:dyDescent="0.2">
      <c r="Z3643" t="str">
        <f t="shared" si="56"/>
        <v/>
      </c>
    </row>
    <row r="3644" spans="26:26" x14ac:dyDescent="0.2">
      <c r="Z3644" t="str">
        <f t="shared" si="56"/>
        <v/>
      </c>
    </row>
    <row r="3645" spans="26:26" x14ac:dyDescent="0.2">
      <c r="Z3645" t="str">
        <f t="shared" si="56"/>
        <v/>
      </c>
    </row>
    <row r="3646" spans="26:26" x14ac:dyDescent="0.2">
      <c r="Z3646" t="str">
        <f t="shared" si="56"/>
        <v/>
      </c>
    </row>
    <row r="3647" spans="26:26" x14ac:dyDescent="0.2">
      <c r="Z3647" t="str">
        <f t="shared" si="56"/>
        <v/>
      </c>
    </row>
    <row r="3648" spans="26:26" x14ac:dyDescent="0.2">
      <c r="Z3648" t="str">
        <f t="shared" si="56"/>
        <v/>
      </c>
    </row>
    <row r="3649" spans="26:26" x14ac:dyDescent="0.2">
      <c r="Z3649" t="str">
        <f t="shared" si="56"/>
        <v/>
      </c>
    </row>
    <row r="3650" spans="26:26" x14ac:dyDescent="0.2">
      <c r="Z3650" t="str">
        <f t="shared" si="56"/>
        <v/>
      </c>
    </row>
    <row r="3651" spans="26:26" x14ac:dyDescent="0.2">
      <c r="Z3651" t="str">
        <f t="shared" ref="Z3651:Z3714" si="57">IF(K3651="","",IFERROR(VALUE(TRIM(MID(K3651,FIND(CHAR(167),SUBSTITUTE(K3651,"-",CHAR(167),LEN(K3651)-LEN(SUBSTITUTE(K3651,"-",""))))+1,100))),K3651))</f>
        <v/>
      </c>
    </row>
    <row r="3652" spans="26:26" x14ac:dyDescent="0.2">
      <c r="Z3652" t="str">
        <f t="shared" si="57"/>
        <v/>
      </c>
    </row>
    <row r="3653" spans="26:26" x14ac:dyDescent="0.2">
      <c r="Z3653" t="str">
        <f t="shared" si="57"/>
        <v/>
      </c>
    </row>
    <row r="3654" spans="26:26" x14ac:dyDescent="0.2">
      <c r="Z3654" t="str">
        <f t="shared" si="57"/>
        <v/>
      </c>
    </row>
    <row r="3655" spans="26:26" x14ac:dyDescent="0.2">
      <c r="Z3655" t="str">
        <f t="shared" si="57"/>
        <v/>
      </c>
    </row>
    <row r="3656" spans="26:26" x14ac:dyDescent="0.2">
      <c r="Z3656" t="str">
        <f t="shared" si="57"/>
        <v/>
      </c>
    </row>
    <row r="3657" spans="26:26" x14ac:dyDescent="0.2">
      <c r="Z3657" t="str">
        <f t="shared" si="57"/>
        <v/>
      </c>
    </row>
    <row r="3658" spans="26:26" x14ac:dyDescent="0.2">
      <c r="Z3658" t="str">
        <f t="shared" si="57"/>
        <v/>
      </c>
    </row>
    <row r="3659" spans="26:26" x14ac:dyDescent="0.2">
      <c r="Z3659" t="str">
        <f t="shared" si="57"/>
        <v/>
      </c>
    </row>
    <row r="3660" spans="26:26" x14ac:dyDescent="0.2">
      <c r="Z3660" t="str">
        <f t="shared" si="57"/>
        <v/>
      </c>
    </row>
    <row r="3661" spans="26:26" x14ac:dyDescent="0.2">
      <c r="Z3661" t="str">
        <f t="shared" si="57"/>
        <v/>
      </c>
    </row>
    <row r="3662" spans="26:26" x14ac:dyDescent="0.2">
      <c r="Z3662" t="str">
        <f t="shared" si="57"/>
        <v/>
      </c>
    </row>
    <row r="3663" spans="26:26" x14ac:dyDescent="0.2">
      <c r="Z3663" t="str">
        <f t="shared" si="57"/>
        <v/>
      </c>
    </row>
    <row r="3664" spans="26:26" x14ac:dyDescent="0.2">
      <c r="Z3664" t="str">
        <f t="shared" si="57"/>
        <v/>
      </c>
    </row>
    <row r="3665" spans="26:26" x14ac:dyDescent="0.2">
      <c r="Z3665" t="str">
        <f t="shared" si="57"/>
        <v/>
      </c>
    </row>
    <row r="3666" spans="26:26" x14ac:dyDescent="0.2">
      <c r="Z3666" t="str">
        <f t="shared" si="57"/>
        <v/>
      </c>
    </row>
    <row r="3667" spans="26:26" x14ac:dyDescent="0.2">
      <c r="Z3667" t="str">
        <f t="shared" si="57"/>
        <v/>
      </c>
    </row>
    <row r="3668" spans="26:26" x14ac:dyDescent="0.2">
      <c r="Z3668" t="str">
        <f t="shared" si="57"/>
        <v/>
      </c>
    </row>
    <row r="3669" spans="26:26" x14ac:dyDescent="0.2">
      <c r="Z3669" t="str">
        <f t="shared" si="57"/>
        <v/>
      </c>
    </row>
    <row r="3670" spans="26:26" x14ac:dyDescent="0.2">
      <c r="Z3670" t="str">
        <f t="shared" si="57"/>
        <v/>
      </c>
    </row>
    <row r="3671" spans="26:26" x14ac:dyDescent="0.2">
      <c r="Z3671" t="str">
        <f t="shared" si="57"/>
        <v/>
      </c>
    </row>
    <row r="3672" spans="26:26" x14ac:dyDescent="0.2">
      <c r="Z3672" t="str">
        <f t="shared" si="57"/>
        <v/>
      </c>
    </row>
    <row r="3673" spans="26:26" x14ac:dyDescent="0.2">
      <c r="Z3673" t="str">
        <f t="shared" si="57"/>
        <v/>
      </c>
    </row>
    <row r="3674" spans="26:26" x14ac:dyDescent="0.2">
      <c r="Z3674" t="str">
        <f t="shared" si="57"/>
        <v/>
      </c>
    </row>
    <row r="3675" spans="26:26" x14ac:dyDescent="0.2">
      <c r="Z3675" t="str">
        <f t="shared" si="57"/>
        <v/>
      </c>
    </row>
    <row r="3676" spans="26:26" x14ac:dyDescent="0.2">
      <c r="Z3676" t="str">
        <f t="shared" si="57"/>
        <v/>
      </c>
    </row>
    <row r="3677" spans="26:26" x14ac:dyDescent="0.2">
      <c r="Z3677" t="str">
        <f t="shared" si="57"/>
        <v/>
      </c>
    </row>
    <row r="3678" spans="26:26" x14ac:dyDescent="0.2">
      <c r="Z3678" t="str">
        <f t="shared" si="57"/>
        <v/>
      </c>
    </row>
    <row r="3679" spans="26:26" x14ac:dyDescent="0.2">
      <c r="Z3679" t="str">
        <f t="shared" si="57"/>
        <v/>
      </c>
    </row>
    <row r="3680" spans="26:26" x14ac:dyDescent="0.2">
      <c r="Z3680" t="str">
        <f t="shared" si="57"/>
        <v/>
      </c>
    </row>
    <row r="3681" spans="26:26" x14ac:dyDescent="0.2">
      <c r="Z3681" t="str">
        <f t="shared" si="57"/>
        <v/>
      </c>
    </row>
    <row r="3682" spans="26:26" x14ac:dyDescent="0.2">
      <c r="Z3682" t="str">
        <f t="shared" si="57"/>
        <v/>
      </c>
    </row>
    <row r="3683" spans="26:26" x14ac:dyDescent="0.2">
      <c r="Z3683" t="str">
        <f t="shared" si="57"/>
        <v/>
      </c>
    </row>
    <row r="3684" spans="26:26" x14ac:dyDescent="0.2">
      <c r="Z3684" t="str">
        <f t="shared" si="57"/>
        <v/>
      </c>
    </row>
    <row r="3685" spans="26:26" x14ac:dyDescent="0.2">
      <c r="Z3685" t="str">
        <f t="shared" si="57"/>
        <v/>
      </c>
    </row>
    <row r="3686" spans="26:26" x14ac:dyDescent="0.2">
      <c r="Z3686" t="str">
        <f t="shared" si="57"/>
        <v/>
      </c>
    </row>
    <row r="3687" spans="26:26" x14ac:dyDescent="0.2">
      <c r="Z3687" t="str">
        <f t="shared" si="57"/>
        <v/>
      </c>
    </row>
    <row r="3688" spans="26:26" x14ac:dyDescent="0.2">
      <c r="Z3688" t="str">
        <f t="shared" si="57"/>
        <v/>
      </c>
    </row>
    <row r="3689" spans="26:26" x14ac:dyDescent="0.2">
      <c r="Z3689" t="str">
        <f t="shared" si="57"/>
        <v/>
      </c>
    </row>
    <row r="3690" spans="26:26" x14ac:dyDescent="0.2">
      <c r="Z3690" t="str">
        <f t="shared" si="57"/>
        <v/>
      </c>
    </row>
    <row r="3691" spans="26:26" x14ac:dyDescent="0.2">
      <c r="Z3691" t="str">
        <f t="shared" si="57"/>
        <v/>
      </c>
    </row>
    <row r="3692" spans="26:26" x14ac:dyDescent="0.2">
      <c r="Z3692" t="str">
        <f t="shared" si="57"/>
        <v/>
      </c>
    </row>
    <row r="3693" spans="26:26" x14ac:dyDescent="0.2">
      <c r="Z3693" t="str">
        <f t="shared" si="57"/>
        <v/>
      </c>
    </row>
    <row r="3694" spans="26:26" x14ac:dyDescent="0.2">
      <c r="Z3694" t="str">
        <f t="shared" si="57"/>
        <v/>
      </c>
    </row>
    <row r="3695" spans="26:26" x14ac:dyDescent="0.2">
      <c r="Z3695" t="str">
        <f t="shared" si="57"/>
        <v/>
      </c>
    </row>
    <row r="3696" spans="26:26" x14ac:dyDescent="0.2">
      <c r="Z3696" t="str">
        <f t="shared" si="57"/>
        <v/>
      </c>
    </row>
    <row r="3697" spans="26:26" x14ac:dyDescent="0.2">
      <c r="Z3697" t="str">
        <f t="shared" si="57"/>
        <v/>
      </c>
    </row>
    <row r="3698" spans="26:26" x14ac:dyDescent="0.2">
      <c r="Z3698" t="str">
        <f t="shared" si="57"/>
        <v/>
      </c>
    </row>
    <row r="3699" spans="26:26" x14ac:dyDescent="0.2">
      <c r="Z3699" t="str">
        <f t="shared" si="57"/>
        <v/>
      </c>
    </row>
    <row r="3700" spans="26:26" x14ac:dyDescent="0.2">
      <c r="Z3700" t="str">
        <f t="shared" si="57"/>
        <v/>
      </c>
    </row>
    <row r="3701" spans="26:26" x14ac:dyDescent="0.2">
      <c r="Z3701" t="str">
        <f t="shared" si="57"/>
        <v/>
      </c>
    </row>
    <row r="3702" spans="26:26" x14ac:dyDescent="0.2">
      <c r="Z3702" t="str">
        <f t="shared" si="57"/>
        <v/>
      </c>
    </row>
    <row r="3703" spans="26:26" x14ac:dyDescent="0.2">
      <c r="Z3703" t="str">
        <f t="shared" si="57"/>
        <v/>
      </c>
    </row>
    <row r="3704" spans="26:26" x14ac:dyDescent="0.2">
      <c r="Z3704" t="str">
        <f t="shared" si="57"/>
        <v/>
      </c>
    </row>
    <row r="3705" spans="26:26" x14ac:dyDescent="0.2">
      <c r="Z3705" t="str">
        <f t="shared" si="57"/>
        <v/>
      </c>
    </row>
    <row r="3706" spans="26:26" x14ac:dyDescent="0.2">
      <c r="Z3706" t="str">
        <f t="shared" si="57"/>
        <v/>
      </c>
    </row>
    <row r="3707" spans="26:26" x14ac:dyDescent="0.2">
      <c r="Z3707" t="str">
        <f t="shared" si="57"/>
        <v/>
      </c>
    </row>
    <row r="3708" spans="26:26" x14ac:dyDescent="0.2">
      <c r="Z3708" t="str">
        <f t="shared" si="57"/>
        <v/>
      </c>
    </row>
    <row r="3709" spans="26:26" x14ac:dyDescent="0.2">
      <c r="Z3709" t="str">
        <f t="shared" si="57"/>
        <v/>
      </c>
    </row>
    <row r="3710" spans="26:26" x14ac:dyDescent="0.2">
      <c r="Z3710" t="str">
        <f t="shared" si="57"/>
        <v/>
      </c>
    </row>
    <row r="3711" spans="26:26" x14ac:dyDescent="0.2">
      <c r="Z3711" t="str">
        <f t="shared" si="57"/>
        <v/>
      </c>
    </row>
    <row r="3712" spans="26:26" x14ac:dyDescent="0.2">
      <c r="Z3712" t="str">
        <f t="shared" si="57"/>
        <v/>
      </c>
    </row>
    <row r="3713" spans="26:26" x14ac:dyDescent="0.2">
      <c r="Z3713" t="str">
        <f t="shared" si="57"/>
        <v/>
      </c>
    </row>
    <row r="3714" spans="26:26" x14ac:dyDescent="0.2">
      <c r="Z3714" t="str">
        <f t="shared" si="57"/>
        <v/>
      </c>
    </row>
    <row r="3715" spans="26:26" x14ac:dyDescent="0.2">
      <c r="Z3715" t="str">
        <f t="shared" ref="Z3715:Z3778" si="58">IF(K3715="","",IFERROR(VALUE(TRIM(MID(K3715,FIND(CHAR(167),SUBSTITUTE(K3715,"-",CHAR(167),LEN(K3715)-LEN(SUBSTITUTE(K3715,"-",""))))+1,100))),K3715))</f>
        <v/>
      </c>
    </row>
    <row r="3716" spans="26:26" x14ac:dyDescent="0.2">
      <c r="Z3716" t="str">
        <f t="shared" si="58"/>
        <v/>
      </c>
    </row>
    <row r="3717" spans="26:26" x14ac:dyDescent="0.2">
      <c r="Z3717" t="str">
        <f t="shared" si="58"/>
        <v/>
      </c>
    </row>
    <row r="3718" spans="26:26" x14ac:dyDescent="0.2">
      <c r="Z3718" t="str">
        <f t="shared" si="58"/>
        <v/>
      </c>
    </row>
    <row r="3719" spans="26:26" x14ac:dyDescent="0.2">
      <c r="Z3719" t="str">
        <f t="shared" si="58"/>
        <v/>
      </c>
    </row>
    <row r="3720" spans="26:26" x14ac:dyDescent="0.2">
      <c r="Z3720" t="str">
        <f t="shared" si="58"/>
        <v/>
      </c>
    </row>
    <row r="3721" spans="26:26" x14ac:dyDescent="0.2">
      <c r="Z3721" t="str">
        <f t="shared" si="58"/>
        <v/>
      </c>
    </row>
    <row r="3722" spans="26:26" x14ac:dyDescent="0.2">
      <c r="Z3722" t="str">
        <f t="shared" si="58"/>
        <v/>
      </c>
    </row>
    <row r="3723" spans="26:26" x14ac:dyDescent="0.2">
      <c r="Z3723" t="str">
        <f t="shared" si="58"/>
        <v/>
      </c>
    </row>
    <row r="3724" spans="26:26" x14ac:dyDescent="0.2">
      <c r="Z3724" t="str">
        <f t="shared" si="58"/>
        <v/>
      </c>
    </row>
    <row r="3725" spans="26:26" x14ac:dyDescent="0.2">
      <c r="Z3725" t="str">
        <f t="shared" si="58"/>
        <v/>
      </c>
    </row>
    <row r="3726" spans="26:26" x14ac:dyDescent="0.2">
      <c r="Z3726" t="str">
        <f t="shared" si="58"/>
        <v/>
      </c>
    </row>
    <row r="3727" spans="26:26" x14ac:dyDescent="0.2">
      <c r="Z3727" t="str">
        <f t="shared" si="58"/>
        <v/>
      </c>
    </row>
    <row r="3728" spans="26:26" x14ac:dyDescent="0.2">
      <c r="Z3728" t="str">
        <f t="shared" si="58"/>
        <v/>
      </c>
    </row>
    <row r="3729" spans="26:26" x14ac:dyDescent="0.2">
      <c r="Z3729" t="str">
        <f t="shared" si="58"/>
        <v/>
      </c>
    </row>
    <row r="3730" spans="26:26" x14ac:dyDescent="0.2">
      <c r="Z3730" t="str">
        <f t="shared" si="58"/>
        <v/>
      </c>
    </row>
    <row r="3731" spans="26:26" x14ac:dyDescent="0.2">
      <c r="Z3731" t="str">
        <f t="shared" si="58"/>
        <v/>
      </c>
    </row>
    <row r="3732" spans="26:26" x14ac:dyDescent="0.2">
      <c r="Z3732" t="str">
        <f t="shared" si="58"/>
        <v/>
      </c>
    </row>
    <row r="3733" spans="26:26" x14ac:dyDescent="0.2">
      <c r="Z3733" t="str">
        <f t="shared" si="58"/>
        <v/>
      </c>
    </row>
    <row r="3734" spans="26:26" x14ac:dyDescent="0.2">
      <c r="Z3734" t="str">
        <f t="shared" si="58"/>
        <v/>
      </c>
    </row>
    <row r="3735" spans="26:26" x14ac:dyDescent="0.2">
      <c r="Z3735" t="str">
        <f t="shared" si="58"/>
        <v/>
      </c>
    </row>
    <row r="3736" spans="26:26" x14ac:dyDescent="0.2">
      <c r="Z3736" t="str">
        <f t="shared" si="58"/>
        <v/>
      </c>
    </row>
    <row r="3737" spans="26:26" x14ac:dyDescent="0.2">
      <c r="Z3737" t="str">
        <f t="shared" si="58"/>
        <v/>
      </c>
    </row>
    <row r="3738" spans="26:26" x14ac:dyDescent="0.2">
      <c r="Z3738" t="str">
        <f t="shared" si="58"/>
        <v/>
      </c>
    </row>
    <row r="3739" spans="26:26" x14ac:dyDescent="0.2">
      <c r="Z3739" t="str">
        <f t="shared" si="58"/>
        <v/>
      </c>
    </row>
    <row r="3740" spans="26:26" x14ac:dyDescent="0.2">
      <c r="Z3740" t="str">
        <f t="shared" si="58"/>
        <v/>
      </c>
    </row>
    <row r="3741" spans="26:26" x14ac:dyDescent="0.2">
      <c r="Z3741" t="str">
        <f t="shared" si="58"/>
        <v/>
      </c>
    </row>
    <row r="3742" spans="26:26" x14ac:dyDescent="0.2">
      <c r="Z3742" t="str">
        <f t="shared" si="58"/>
        <v/>
      </c>
    </row>
    <row r="3743" spans="26:26" x14ac:dyDescent="0.2">
      <c r="Z3743" t="str">
        <f t="shared" si="58"/>
        <v/>
      </c>
    </row>
    <row r="3744" spans="26:26" x14ac:dyDescent="0.2">
      <c r="Z3744" t="str">
        <f t="shared" si="58"/>
        <v/>
      </c>
    </row>
    <row r="3745" spans="26:26" x14ac:dyDescent="0.2">
      <c r="Z3745" t="str">
        <f t="shared" si="58"/>
        <v/>
      </c>
    </row>
    <row r="3746" spans="26:26" x14ac:dyDescent="0.2">
      <c r="Z3746" t="str">
        <f t="shared" si="58"/>
        <v/>
      </c>
    </row>
    <row r="3747" spans="26:26" x14ac:dyDescent="0.2">
      <c r="Z3747" t="str">
        <f t="shared" si="58"/>
        <v/>
      </c>
    </row>
    <row r="3748" spans="26:26" x14ac:dyDescent="0.2">
      <c r="Z3748" t="str">
        <f t="shared" si="58"/>
        <v/>
      </c>
    </row>
    <row r="3749" spans="26:26" x14ac:dyDescent="0.2">
      <c r="Z3749" t="str">
        <f t="shared" si="58"/>
        <v/>
      </c>
    </row>
    <row r="3750" spans="26:26" x14ac:dyDescent="0.2">
      <c r="Z3750" t="str">
        <f t="shared" si="58"/>
        <v/>
      </c>
    </row>
    <row r="3751" spans="26:26" x14ac:dyDescent="0.2">
      <c r="Z3751" t="str">
        <f t="shared" si="58"/>
        <v/>
      </c>
    </row>
    <row r="3752" spans="26:26" x14ac:dyDescent="0.2">
      <c r="Z3752" t="str">
        <f t="shared" si="58"/>
        <v/>
      </c>
    </row>
    <row r="3753" spans="26:26" x14ac:dyDescent="0.2">
      <c r="Z3753" t="str">
        <f t="shared" si="58"/>
        <v/>
      </c>
    </row>
    <row r="3754" spans="26:26" x14ac:dyDescent="0.2">
      <c r="Z3754" t="str">
        <f t="shared" si="58"/>
        <v/>
      </c>
    </row>
    <row r="3755" spans="26:26" x14ac:dyDescent="0.2">
      <c r="Z3755" t="str">
        <f t="shared" si="58"/>
        <v/>
      </c>
    </row>
    <row r="3756" spans="26:26" x14ac:dyDescent="0.2">
      <c r="Z3756" t="str">
        <f t="shared" si="58"/>
        <v/>
      </c>
    </row>
    <row r="3757" spans="26:26" x14ac:dyDescent="0.2">
      <c r="Z3757" t="str">
        <f t="shared" si="58"/>
        <v/>
      </c>
    </row>
    <row r="3758" spans="26:26" x14ac:dyDescent="0.2">
      <c r="Z3758" t="str">
        <f t="shared" si="58"/>
        <v/>
      </c>
    </row>
    <row r="3759" spans="26:26" x14ac:dyDescent="0.2">
      <c r="Z3759" t="str">
        <f t="shared" si="58"/>
        <v/>
      </c>
    </row>
    <row r="3760" spans="26:26" x14ac:dyDescent="0.2">
      <c r="Z3760" t="str">
        <f t="shared" si="58"/>
        <v/>
      </c>
    </row>
    <row r="3761" spans="26:26" x14ac:dyDescent="0.2">
      <c r="Z3761" t="str">
        <f t="shared" si="58"/>
        <v/>
      </c>
    </row>
    <row r="3762" spans="26:26" x14ac:dyDescent="0.2">
      <c r="Z3762" t="str">
        <f t="shared" si="58"/>
        <v/>
      </c>
    </row>
    <row r="3763" spans="26:26" x14ac:dyDescent="0.2">
      <c r="Z3763" t="str">
        <f t="shared" si="58"/>
        <v/>
      </c>
    </row>
    <row r="3764" spans="26:26" x14ac:dyDescent="0.2">
      <c r="Z3764" t="str">
        <f t="shared" si="58"/>
        <v/>
      </c>
    </row>
    <row r="3765" spans="26:26" x14ac:dyDescent="0.2">
      <c r="Z3765" t="str">
        <f t="shared" si="58"/>
        <v/>
      </c>
    </row>
    <row r="3766" spans="26:26" x14ac:dyDescent="0.2">
      <c r="Z3766" t="str">
        <f t="shared" si="58"/>
        <v/>
      </c>
    </row>
    <row r="3767" spans="26:26" x14ac:dyDescent="0.2">
      <c r="Z3767" t="str">
        <f t="shared" si="58"/>
        <v/>
      </c>
    </row>
    <row r="3768" spans="26:26" x14ac:dyDescent="0.2">
      <c r="Z3768" t="str">
        <f t="shared" si="58"/>
        <v/>
      </c>
    </row>
    <row r="3769" spans="26:26" x14ac:dyDescent="0.2">
      <c r="Z3769" t="str">
        <f t="shared" si="58"/>
        <v/>
      </c>
    </row>
    <row r="3770" spans="26:26" x14ac:dyDescent="0.2">
      <c r="Z3770" t="str">
        <f t="shared" si="58"/>
        <v/>
      </c>
    </row>
    <row r="3771" spans="26:26" x14ac:dyDescent="0.2">
      <c r="Z3771" t="str">
        <f t="shared" si="58"/>
        <v/>
      </c>
    </row>
    <row r="3772" spans="26:26" x14ac:dyDescent="0.2">
      <c r="Z3772" t="str">
        <f t="shared" si="58"/>
        <v/>
      </c>
    </row>
    <row r="3773" spans="26:26" x14ac:dyDescent="0.2">
      <c r="Z3773" t="str">
        <f t="shared" si="58"/>
        <v/>
      </c>
    </row>
    <row r="3774" spans="26:26" x14ac:dyDescent="0.2">
      <c r="Z3774" t="str">
        <f t="shared" si="58"/>
        <v/>
      </c>
    </row>
    <row r="3775" spans="26:26" x14ac:dyDescent="0.2">
      <c r="Z3775" t="str">
        <f t="shared" si="58"/>
        <v/>
      </c>
    </row>
    <row r="3776" spans="26:26" x14ac:dyDescent="0.2">
      <c r="Z3776" t="str">
        <f t="shared" si="58"/>
        <v/>
      </c>
    </row>
    <row r="3777" spans="26:26" x14ac:dyDescent="0.2">
      <c r="Z3777" t="str">
        <f t="shared" si="58"/>
        <v/>
      </c>
    </row>
    <row r="3778" spans="26:26" x14ac:dyDescent="0.2">
      <c r="Z3778" t="str">
        <f t="shared" si="58"/>
        <v/>
      </c>
    </row>
    <row r="3779" spans="26:26" x14ac:dyDescent="0.2">
      <c r="Z3779" t="str">
        <f t="shared" ref="Z3779:Z3842" si="59">IF(K3779="","",IFERROR(VALUE(TRIM(MID(K3779,FIND(CHAR(167),SUBSTITUTE(K3779,"-",CHAR(167),LEN(K3779)-LEN(SUBSTITUTE(K3779,"-",""))))+1,100))),K3779))</f>
        <v/>
      </c>
    </row>
    <row r="3780" spans="26:26" x14ac:dyDescent="0.2">
      <c r="Z3780" t="str">
        <f t="shared" si="59"/>
        <v/>
      </c>
    </row>
    <row r="3781" spans="26:26" x14ac:dyDescent="0.2">
      <c r="Z3781" t="str">
        <f t="shared" si="59"/>
        <v/>
      </c>
    </row>
    <row r="3782" spans="26:26" x14ac:dyDescent="0.2">
      <c r="Z3782" t="str">
        <f t="shared" si="59"/>
        <v/>
      </c>
    </row>
    <row r="3783" spans="26:26" x14ac:dyDescent="0.2">
      <c r="Z3783" t="str">
        <f t="shared" si="59"/>
        <v/>
      </c>
    </row>
    <row r="3784" spans="26:26" x14ac:dyDescent="0.2">
      <c r="Z3784" t="str">
        <f t="shared" si="59"/>
        <v/>
      </c>
    </row>
    <row r="3785" spans="26:26" x14ac:dyDescent="0.2">
      <c r="Z3785" t="str">
        <f t="shared" si="59"/>
        <v/>
      </c>
    </row>
    <row r="3786" spans="26:26" x14ac:dyDescent="0.2">
      <c r="Z3786" t="str">
        <f t="shared" si="59"/>
        <v/>
      </c>
    </row>
    <row r="3787" spans="26:26" x14ac:dyDescent="0.2">
      <c r="Z3787" t="str">
        <f t="shared" si="59"/>
        <v/>
      </c>
    </row>
    <row r="3788" spans="26:26" x14ac:dyDescent="0.2">
      <c r="Z3788" t="str">
        <f t="shared" si="59"/>
        <v/>
      </c>
    </row>
    <row r="3789" spans="26:26" x14ac:dyDescent="0.2">
      <c r="Z3789" t="str">
        <f t="shared" si="59"/>
        <v/>
      </c>
    </row>
    <row r="3790" spans="26:26" x14ac:dyDescent="0.2">
      <c r="Z3790" t="str">
        <f t="shared" si="59"/>
        <v/>
      </c>
    </row>
    <row r="3791" spans="26:26" x14ac:dyDescent="0.2">
      <c r="Z3791" t="str">
        <f t="shared" si="59"/>
        <v/>
      </c>
    </row>
    <row r="3792" spans="26:26" x14ac:dyDescent="0.2">
      <c r="Z3792" t="str">
        <f t="shared" si="59"/>
        <v/>
      </c>
    </row>
    <row r="3793" spans="26:26" x14ac:dyDescent="0.2">
      <c r="Z3793" t="str">
        <f t="shared" si="59"/>
        <v/>
      </c>
    </row>
    <row r="3794" spans="26:26" x14ac:dyDescent="0.2">
      <c r="Z3794" t="str">
        <f t="shared" si="59"/>
        <v/>
      </c>
    </row>
    <row r="3795" spans="26:26" x14ac:dyDescent="0.2">
      <c r="Z3795" t="str">
        <f t="shared" si="59"/>
        <v/>
      </c>
    </row>
    <row r="3796" spans="26:26" x14ac:dyDescent="0.2">
      <c r="Z3796" t="str">
        <f t="shared" si="59"/>
        <v/>
      </c>
    </row>
    <row r="3797" spans="26:26" x14ac:dyDescent="0.2">
      <c r="Z3797" t="str">
        <f t="shared" si="59"/>
        <v/>
      </c>
    </row>
    <row r="3798" spans="26:26" x14ac:dyDescent="0.2">
      <c r="Z3798" t="str">
        <f t="shared" si="59"/>
        <v/>
      </c>
    </row>
    <row r="3799" spans="26:26" x14ac:dyDescent="0.2">
      <c r="Z3799" t="str">
        <f t="shared" si="59"/>
        <v/>
      </c>
    </row>
    <row r="3800" spans="26:26" x14ac:dyDescent="0.2">
      <c r="Z3800" t="str">
        <f t="shared" si="59"/>
        <v/>
      </c>
    </row>
    <row r="3801" spans="26:26" x14ac:dyDescent="0.2">
      <c r="Z3801" t="str">
        <f t="shared" si="59"/>
        <v/>
      </c>
    </row>
    <row r="3802" spans="26:26" x14ac:dyDescent="0.2">
      <c r="Z3802" t="str">
        <f t="shared" si="59"/>
        <v/>
      </c>
    </row>
    <row r="3803" spans="26:26" x14ac:dyDescent="0.2">
      <c r="Z3803" t="str">
        <f t="shared" si="59"/>
        <v/>
      </c>
    </row>
    <row r="3804" spans="26:26" x14ac:dyDescent="0.2">
      <c r="Z3804" t="str">
        <f t="shared" si="59"/>
        <v/>
      </c>
    </row>
    <row r="3805" spans="26:26" x14ac:dyDescent="0.2">
      <c r="Z3805" t="str">
        <f t="shared" si="59"/>
        <v/>
      </c>
    </row>
    <row r="3806" spans="26:26" x14ac:dyDescent="0.2">
      <c r="Z3806" t="str">
        <f t="shared" si="59"/>
        <v/>
      </c>
    </row>
    <row r="3807" spans="26:26" x14ac:dyDescent="0.2">
      <c r="Z3807" t="str">
        <f t="shared" si="59"/>
        <v/>
      </c>
    </row>
    <row r="3808" spans="26:26" x14ac:dyDescent="0.2">
      <c r="Z3808" t="str">
        <f t="shared" si="59"/>
        <v/>
      </c>
    </row>
    <row r="3809" spans="26:26" x14ac:dyDescent="0.2">
      <c r="Z3809" t="str">
        <f t="shared" si="59"/>
        <v/>
      </c>
    </row>
    <row r="3810" spans="26:26" x14ac:dyDescent="0.2">
      <c r="Z3810" t="str">
        <f t="shared" si="59"/>
        <v/>
      </c>
    </row>
    <row r="3811" spans="26:26" x14ac:dyDescent="0.2">
      <c r="Z3811" t="str">
        <f t="shared" si="59"/>
        <v/>
      </c>
    </row>
    <row r="3812" spans="26:26" x14ac:dyDescent="0.2">
      <c r="Z3812" t="str">
        <f t="shared" si="59"/>
        <v/>
      </c>
    </row>
    <row r="3813" spans="26:26" x14ac:dyDescent="0.2">
      <c r="Z3813" t="str">
        <f t="shared" si="59"/>
        <v/>
      </c>
    </row>
    <row r="3814" spans="26:26" x14ac:dyDescent="0.2">
      <c r="Z3814" t="str">
        <f t="shared" si="59"/>
        <v/>
      </c>
    </row>
    <row r="3815" spans="26:26" x14ac:dyDescent="0.2">
      <c r="Z3815" t="str">
        <f t="shared" si="59"/>
        <v/>
      </c>
    </row>
    <row r="3816" spans="26:26" x14ac:dyDescent="0.2">
      <c r="Z3816" t="str">
        <f t="shared" si="59"/>
        <v/>
      </c>
    </row>
    <row r="3817" spans="26:26" x14ac:dyDescent="0.2">
      <c r="Z3817" t="str">
        <f t="shared" si="59"/>
        <v/>
      </c>
    </row>
    <row r="3818" spans="26:26" x14ac:dyDescent="0.2">
      <c r="Z3818" t="str">
        <f t="shared" si="59"/>
        <v/>
      </c>
    </row>
    <row r="3819" spans="26:26" x14ac:dyDescent="0.2">
      <c r="Z3819" t="str">
        <f t="shared" si="59"/>
        <v/>
      </c>
    </row>
    <row r="3820" spans="26:26" x14ac:dyDescent="0.2">
      <c r="Z3820" t="str">
        <f t="shared" si="59"/>
        <v/>
      </c>
    </row>
    <row r="3821" spans="26:26" x14ac:dyDescent="0.2">
      <c r="Z3821" t="str">
        <f t="shared" si="59"/>
        <v/>
      </c>
    </row>
    <row r="3822" spans="26:26" x14ac:dyDescent="0.2">
      <c r="Z3822" t="str">
        <f t="shared" si="59"/>
        <v/>
      </c>
    </row>
    <row r="3823" spans="26:26" x14ac:dyDescent="0.2">
      <c r="Z3823" t="str">
        <f t="shared" si="59"/>
        <v/>
      </c>
    </row>
    <row r="3824" spans="26:26" x14ac:dyDescent="0.2">
      <c r="Z3824" t="str">
        <f t="shared" si="59"/>
        <v/>
      </c>
    </row>
    <row r="3825" spans="26:26" x14ac:dyDescent="0.2">
      <c r="Z3825" t="str">
        <f t="shared" si="59"/>
        <v/>
      </c>
    </row>
    <row r="3826" spans="26:26" x14ac:dyDescent="0.2">
      <c r="Z3826" t="str">
        <f t="shared" si="59"/>
        <v/>
      </c>
    </row>
    <row r="3827" spans="26:26" x14ac:dyDescent="0.2">
      <c r="Z3827" t="str">
        <f t="shared" si="59"/>
        <v/>
      </c>
    </row>
    <row r="3828" spans="26:26" x14ac:dyDescent="0.2">
      <c r="Z3828" t="str">
        <f t="shared" si="59"/>
        <v/>
      </c>
    </row>
    <row r="3829" spans="26:26" x14ac:dyDescent="0.2">
      <c r="Z3829" t="str">
        <f t="shared" si="59"/>
        <v/>
      </c>
    </row>
    <row r="3830" spans="26:26" x14ac:dyDescent="0.2">
      <c r="Z3830" t="str">
        <f t="shared" si="59"/>
        <v/>
      </c>
    </row>
    <row r="3831" spans="26:26" x14ac:dyDescent="0.2">
      <c r="Z3831" t="str">
        <f t="shared" si="59"/>
        <v/>
      </c>
    </row>
    <row r="3832" spans="26:26" x14ac:dyDescent="0.2">
      <c r="Z3832" t="str">
        <f t="shared" si="59"/>
        <v/>
      </c>
    </row>
    <row r="3833" spans="26:26" x14ac:dyDescent="0.2">
      <c r="Z3833" t="str">
        <f t="shared" si="59"/>
        <v/>
      </c>
    </row>
    <row r="3834" spans="26:26" x14ac:dyDescent="0.2">
      <c r="Z3834" t="str">
        <f t="shared" si="59"/>
        <v/>
      </c>
    </row>
    <row r="3835" spans="26:26" x14ac:dyDescent="0.2">
      <c r="Z3835" t="str">
        <f t="shared" si="59"/>
        <v/>
      </c>
    </row>
    <row r="3836" spans="26:26" x14ac:dyDescent="0.2">
      <c r="Z3836" t="str">
        <f t="shared" si="59"/>
        <v/>
      </c>
    </row>
    <row r="3837" spans="26:26" x14ac:dyDescent="0.2">
      <c r="Z3837" t="str">
        <f t="shared" si="59"/>
        <v/>
      </c>
    </row>
    <row r="3838" spans="26:26" x14ac:dyDescent="0.2">
      <c r="Z3838" t="str">
        <f t="shared" si="59"/>
        <v/>
      </c>
    </row>
    <row r="3839" spans="26:26" x14ac:dyDescent="0.2">
      <c r="Z3839" t="str">
        <f t="shared" si="59"/>
        <v/>
      </c>
    </row>
    <row r="3840" spans="26:26" x14ac:dyDescent="0.2">
      <c r="Z3840" t="str">
        <f t="shared" si="59"/>
        <v/>
      </c>
    </row>
    <row r="3841" spans="26:26" x14ac:dyDescent="0.2">
      <c r="Z3841" t="str">
        <f t="shared" si="59"/>
        <v/>
      </c>
    </row>
    <row r="3842" spans="26:26" x14ac:dyDescent="0.2">
      <c r="Z3842" t="str">
        <f t="shared" si="59"/>
        <v/>
      </c>
    </row>
    <row r="3843" spans="26:26" x14ac:dyDescent="0.2">
      <c r="Z3843" t="str">
        <f t="shared" ref="Z3843:Z3906" si="60">IF(K3843="","",IFERROR(VALUE(TRIM(MID(K3843,FIND(CHAR(167),SUBSTITUTE(K3843,"-",CHAR(167),LEN(K3843)-LEN(SUBSTITUTE(K3843,"-",""))))+1,100))),K3843))</f>
        <v/>
      </c>
    </row>
    <row r="3844" spans="26:26" x14ac:dyDescent="0.2">
      <c r="Z3844" t="str">
        <f t="shared" si="60"/>
        <v/>
      </c>
    </row>
    <row r="3845" spans="26:26" x14ac:dyDescent="0.2">
      <c r="Z3845" t="str">
        <f t="shared" si="60"/>
        <v/>
      </c>
    </row>
    <row r="3846" spans="26:26" x14ac:dyDescent="0.2">
      <c r="Z3846" t="str">
        <f t="shared" si="60"/>
        <v/>
      </c>
    </row>
    <row r="3847" spans="26:26" x14ac:dyDescent="0.2">
      <c r="Z3847" t="str">
        <f t="shared" si="60"/>
        <v/>
      </c>
    </row>
    <row r="3848" spans="26:26" x14ac:dyDescent="0.2">
      <c r="Z3848" t="str">
        <f t="shared" si="60"/>
        <v/>
      </c>
    </row>
    <row r="3849" spans="26:26" x14ac:dyDescent="0.2">
      <c r="Z3849" t="str">
        <f t="shared" si="60"/>
        <v/>
      </c>
    </row>
    <row r="3850" spans="26:26" x14ac:dyDescent="0.2">
      <c r="Z3850" t="str">
        <f t="shared" si="60"/>
        <v/>
      </c>
    </row>
    <row r="3851" spans="26:26" x14ac:dyDescent="0.2">
      <c r="Z3851" t="str">
        <f t="shared" si="60"/>
        <v/>
      </c>
    </row>
    <row r="3852" spans="26:26" x14ac:dyDescent="0.2">
      <c r="Z3852" t="str">
        <f t="shared" si="60"/>
        <v/>
      </c>
    </row>
    <row r="3853" spans="26:26" x14ac:dyDescent="0.2">
      <c r="Z3853" t="str">
        <f t="shared" si="60"/>
        <v/>
      </c>
    </row>
    <row r="3854" spans="26:26" x14ac:dyDescent="0.2">
      <c r="Z3854" t="str">
        <f t="shared" si="60"/>
        <v/>
      </c>
    </row>
    <row r="3855" spans="26:26" x14ac:dyDescent="0.2">
      <c r="Z3855" t="str">
        <f t="shared" si="60"/>
        <v/>
      </c>
    </row>
    <row r="3856" spans="26:26" x14ac:dyDescent="0.2">
      <c r="Z3856" t="str">
        <f t="shared" si="60"/>
        <v/>
      </c>
    </row>
    <row r="3857" spans="26:26" x14ac:dyDescent="0.2">
      <c r="Z3857" t="str">
        <f t="shared" si="60"/>
        <v/>
      </c>
    </row>
    <row r="3858" spans="26:26" x14ac:dyDescent="0.2">
      <c r="Z3858" t="str">
        <f t="shared" si="60"/>
        <v/>
      </c>
    </row>
    <row r="3859" spans="26:26" x14ac:dyDescent="0.2">
      <c r="Z3859" t="str">
        <f t="shared" si="60"/>
        <v/>
      </c>
    </row>
    <row r="3860" spans="26:26" x14ac:dyDescent="0.2">
      <c r="Z3860" t="str">
        <f t="shared" si="60"/>
        <v/>
      </c>
    </row>
    <row r="3861" spans="26:26" x14ac:dyDescent="0.2">
      <c r="Z3861" t="str">
        <f t="shared" si="60"/>
        <v/>
      </c>
    </row>
    <row r="3862" spans="26:26" x14ac:dyDescent="0.2">
      <c r="Z3862" t="str">
        <f t="shared" si="60"/>
        <v/>
      </c>
    </row>
    <row r="3863" spans="26:26" x14ac:dyDescent="0.2">
      <c r="Z3863" t="str">
        <f t="shared" si="60"/>
        <v/>
      </c>
    </row>
    <row r="3864" spans="26:26" x14ac:dyDescent="0.2">
      <c r="Z3864" t="str">
        <f t="shared" si="60"/>
        <v/>
      </c>
    </row>
    <row r="3865" spans="26:26" x14ac:dyDescent="0.2">
      <c r="Z3865" t="str">
        <f t="shared" si="60"/>
        <v/>
      </c>
    </row>
    <row r="3866" spans="26:26" x14ac:dyDescent="0.2">
      <c r="Z3866" t="str">
        <f t="shared" si="60"/>
        <v/>
      </c>
    </row>
    <row r="3867" spans="26:26" x14ac:dyDescent="0.2">
      <c r="Z3867" t="str">
        <f t="shared" si="60"/>
        <v/>
      </c>
    </row>
    <row r="3868" spans="26:26" x14ac:dyDescent="0.2">
      <c r="Z3868" t="str">
        <f t="shared" si="60"/>
        <v/>
      </c>
    </row>
    <row r="3869" spans="26:26" x14ac:dyDescent="0.2">
      <c r="Z3869" t="str">
        <f t="shared" si="60"/>
        <v/>
      </c>
    </row>
    <row r="3870" spans="26:26" x14ac:dyDescent="0.2">
      <c r="Z3870" t="str">
        <f t="shared" si="60"/>
        <v/>
      </c>
    </row>
    <row r="3871" spans="26:26" x14ac:dyDescent="0.2">
      <c r="Z3871" t="str">
        <f t="shared" si="60"/>
        <v/>
      </c>
    </row>
    <row r="3872" spans="26:26" x14ac:dyDescent="0.2">
      <c r="Z3872" t="str">
        <f t="shared" si="60"/>
        <v/>
      </c>
    </row>
    <row r="3873" spans="26:26" x14ac:dyDescent="0.2">
      <c r="Z3873" t="str">
        <f t="shared" si="60"/>
        <v/>
      </c>
    </row>
    <row r="3874" spans="26:26" x14ac:dyDescent="0.2">
      <c r="Z3874" t="str">
        <f t="shared" si="60"/>
        <v/>
      </c>
    </row>
    <row r="3875" spans="26:26" x14ac:dyDescent="0.2">
      <c r="Z3875" t="str">
        <f t="shared" si="60"/>
        <v/>
      </c>
    </row>
    <row r="3876" spans="26:26" x14ac:dyDescent="0.2">
      <c r="Z3876" t="str">
        <f t="shared" si="60"/>
        <v/>
      </c>
    </row>
    <row r="3877" spans="26:26" x14ac:dyDescent="0.2">
      <c r="Z3877" t="str">
        <f t="shared" si="60"/>
        <v/>
      </c>
    </row>
    <row r="3878" spans="26:26" x14ac:dyDescent="0.2">
      <c r="Z3878" t="str">
        <f t="shared" si="60"/>
        <v/>
      </c>
    </row>
    <row r="3879" spans="26:26" x14ac:dyDescent="0.2">
      <c r="Z3879" t="str">
        <f t="shared" si="60"/>
        <v/>
      </c>
    </row>
    <row r="3880" spans="26:26" x14ac:dyDescent="0.2">
      <c r="Z3880" t="str">
        <f t="shared" si="60"/>
        <v/>
      </c>
    </row>
    <row r="3881" spans="26:26" x14ac:dyDescent="0.2">
      <c r="Z3881" t="str">
        <f t="shared" si="60"/>
        <v/>
      </c>
    </row>
    <row r="3882" spans="26:26" x14ac:dyDescent="0.2">
      <c r="Z3882" t="str">
        <f t="shared" si="60"/>
        <v/>
      </c>
    </row>
    <row r="3883" spans="26:26" x14ac:dyDescent="0.2">
      <c r="Z3883" t="str">
        <f t="shared" si="60"/>
        <v/>
      </c>
    </row>
    <row r="3884" spans="26:26" x14ac:dyDescent="0.2">
      <c r="Z3884" t="str">
        <f t="shared" si="60"/>
        <v/>
      </c>
    </row>
    <row r="3885" spans="26:26" x14ac:dyDescent="0.2">
      <c r="Z3885" t="str">
        <f t="shared" si="60"/>
        <v/>
      </c>
    </row>
    <row r="3886" spans="26:26" x14ac:dyDescent="0.2">
      <c r="Z3886" t="str">
        <f t="shared" si="60"/>
        <v/>
      </c>
    </row>
    <row r="3887" spans="26:26" x14ac:dyDescent="0.2">
      <c r="Z3887" t="str">
        <f t="shared" si="60"/>
        <v/>
      </c>
    </row>
    <row r="3888" spans="26:26" x14ac:dyDescent="0.2">
      <c r="Z3888" t="str">
        <f t="shared" si="60"/>
        <v/>
      </c>
    </row>
    <row r="3889" spans="26:26" x14ac:dyDescent="0.2">
      <c r="Z3889" t="str">
        <f t="shared" si="60"/>
        <v/>
      </c>
    </row>
    <row r="3890" spans="26:26" x14ac:dyDescent="0.2">
      <c r="Z3890" t="str">
        <f t="shared" si="60"/>
        <v/>
      </c>
    </row>
    <row r="3891" spans="26:26" x14ac:dyDescent="0.2">
      <c r="Z3891" t="str">
        <f t="shared" si="60"/>
        <v/>
      </c>
    </row>
    <row r="3892" spans="26:26" x14ac:dyDescent="0.2">
      <c r="Z3892" t="str">
        <f t="shared" si="60"/>
        <v/>
      </c>
    </row>
    <row r="3893" spans="26:26" x14ac:dyDescent="0.2">
      <c r="Z3893" t="str">
        <f t="shared" si="60"/>
        <v/>
      </c>
    </row>
    <row r="3894" spans="26:26" x14ac:dyDescent="0.2">
      <c r="Z3894" t="str">
        <f t="shared" si="60"/>
        <v/>
      </c>
    </row>
    <row r="3895" spans="26:26" x14ac:dyDescent="0.2">
      <c r="Z3895" t="str">
        <f t="shared" si="60"/>
        <v/>
      </c>
    </row>
    <row r="3896" spans="26:26" x14ac:dyDescent="0.2">
      <c r="Z3896" t="str">
        <f t="shared" si="60"/>
        <v/>
      </c>
    </row>
    <row r="3897" spans="26:26" x14ac:dyDescent="0.2">
      <c r="Z3897" t="str">
        <f t="shared" si="60"/>
        <v/>
      </c>
    </row>
    <row r="3898" spans="26:26" x14ac:dyDescent="0.2">
      <c r="Z3898" t="str">
        <f t="shared" si="60"/>
        <v/>
      </c>
    </row>
    <row r="3899" spans="26:26" x14ac:dyDescent="0.2">
      <c r="Z3899" t="str">
        <f t="shared" si="60"/>
        <v/>
      </c>
    </row>
    <row r="3900" spans="26:26" x14ac:dyDescent="0.2">
      <c r="Z3900" t="str">
        <f t="shared" si="60"/>
        <v/>
      </c>
    </row>
    <row r="3901" spans="26:26" x14ac:dyDescent="0.2">
      <c r="Z3901" t="str">
        <f t="shared" si="60"/>
        <v/>
      </c>
    </row>
    <row r="3902" spans="26:26" x14ac:dyDescent="0.2">
      <c r="Z3902" t="str">
        <f t="shared" si="60"/>
        <v/>
      </c>
    </row>
    <row r="3903" spans="26:26" x14ac:dyDescent="0.2">
      <c r="Z3903" t="str">
        <f t="shared" si="60"/>
        <v/>
      </c>
    </row>
    <row r="3904" spans="26:26" x14ac:dyDescent="0.2">
      <c r="Z3904" t="str">
        <f t="shared" si="60"/>
        <v/>
      </c>
    </row>
    <row r="3905" spans="26:26" x14ac:dyDescent="0.2">
      <c r="Z3905" t="str">
        <f t="shared" si="60"/>
        <v/>
      </c>
    </row>
    <row r="3906" spans="26:26" x14ac:dyDescent="0.2">
      <c r="Z3906" t="str">
        <f t="shared" si="60"/>
        <v/>
      </c>
    </row>
    <row r="3907" spans="26:26" x14ac:dyDescent="0.2">
      <c r="Z3907" t="str">
        <f t="shared" ref="Z3907:Z3970" si="61">IF(K3907="","",IFERROR(VALUE(TRIM(MID(K3907,FIND(CHAR(167),SUBSTITUTE(K3907,"-",CHAR(167),LEN(K3907)-LEN(SUBSTITUTE(K3907,"-",""))))+1,100))),K3907))</f>
        <v/>
      </c>
    </row>
    <row r="3908" spans="26:26" x14ac:dyDescent="0.2">
      <c r="Z3908" t="str">
        <f t="shared" si="61"/>
        <v/>
      </c>
    </row>
    <row r="3909" spans="26:26" x14ac:dyDescent="0.2">
      <c r="Z3909" t="str">
        <f t="shared" si="61"/>
        <v/>
      </c>
    </row>
    <row r="3910" spans="26:26" x14ac:dyDescent="0.2">
      <c r="Z3910" t="str">
        <f t="shared" si="61"/>
        <v/>
      </c>
    </row>
    <row r="3911" spans="26:26" x14ac:dyDescent="0.2">
      <c r="Z3911" t="str">
        <f t="shared" si="61"/>
        <v/>
      </c>
    </row>
    <row r="3912" spans="26:26" x14ac:dyDescent="0.2">
      <c r="Z3912" t="str">
        <f t="shared" si="61"/>
        <v/>
      </c>
    </row>
    <row r="3913" spans="26:26" x14ac:dyDescent="0.2">
      <c r="Z3913" t="str">
        <f t="shared" si="61"/>
        <v/>
      </c>
    </row>
    <row r="3914" spans="26:26" x14ac:dyDescent="0.2">
      <c r="Z3914" t="str">
        <f t="shared" si="61"/>
        <v/>
      </c>
    </row>
    <row r="3915" spans="26:26" x14ac:dyDescent="0.2">
      <c r="Z3915" t="str">
        <f t="shared" si="61"/>
        <v/>
      </c>
    </row>
    <row r="3916" spans="26:26" x14ac:dyDescent="0.2">
      <c r="Z3916" t="str">
        <f t="shared" si="61"/>
        <v/>
      </c>
    </row>
    <row r="3917" spans="26:26" x14ac:dyDescent="0.2">
      <c r="Z3917" t="str">
        <f t="shared" si="61"/>
        <v/>
      </c>
    </row>
    <row r="3918" spans="26:26" x14ac:dyDescent="0.2">
      <c r="Z3918" t="str">
        <f t="shared" si="61"/>
        <v/>
      </c>
    </row>
    <row r="3919" spans="26:26" x14ac:dyDescent="0.2">
      <c r="Z3919" t="str">
        <f t="shared" si="61"/>
        <v/>
      </c>
    </row>
    <row r="3920" spans="26:26" x14ac:dyDescent="0.2">
      <c r="Z3920" t="str">
        <f t="shared" si="61"/>
        <v/>
      </c>
    </row>
    <row r="3921" spans="26:26" x14ac:dyDescent="0.2">
      <c r="Z3921" t="str">
        <f t="shared" si="61"/>
        <v/>
      </c>
    </row>
    <row r="3922" spans="26:26" x14ac:dyDescent="0.2">
      <c r="Z3922" t="str">
        <f t="shared" si="61"/>
        <v/>
      </c>
    </row>
    <row r="3923" spans="26:26" x14ac:dyDescent="0.2">
      <c r="Z3923" t="str">
        <f t="shared" si="61"/>
        <v/>
      </c>
    </row>
    <row r="3924" spans="26:26" x14ac:dyDescent="0.2">
      <c r="Z3924" t="str">
        <f t="shared" si="61"/>
        <v/>
      </c>
    </row>
    <row r="3925" spans="26:26" x14ac:dyDescent="0.2">
      <c r="Z3925" t="str">
        <f t="shared" si="61"/>
        <v/>
      </c>
    </row>
    <row r="3926" spans="26:26" x14ac:dyDescent="0.2">
      <c r="Z3926" t="str">
        <f t="shared" si="61"/>
        <v/>
      </c>
    </row>
    <row r="3927" spans="26:26" x14ac:dyDescent="0.2">
      <c r="Z3927" t="str">
        <f t="shared" si="61"/>
        <v/>
      </c>
    </row>
    <row r="3928" spans="26:26" x14ac:dyDescent="0.2">
      <c r="Z3928" t="str">
        <f t="shared" si="61"/>
        <v/>
      </c>
    </row>
    <row r="3929" spans="26:26" x14ac:dyDescent="0.2">
      <c r="Z3929" t="str">
        <f t="shared" si="61"/>
        <v/>
      </c>
    </row>
    <row r="3930" spans="26:26" x14ac:dyDescent="0.2">
      <c r="Z3930" t="str">
        <f t="shared" si="61"/>
        <v/>
      </c>
    </row>
    <row r="3931" spans="26:26" x14ac:dyDescent="0.2">
      <c r="Z3931" t="str">
        <f t="shared" si="61"/>
        <v/>
      </c>
    </row>
    <row r="3932" spans="26:26" x14ac:dyDescent="0.2">
      <c r="Z3932" t="str">
        <f t="shared" si="61"/>
        <v/>
      </c>
    </row>
    <row r="3933" spans="26:26" x14ac:dyDescent="0.2">
      <c r="Z3933" t="str">
        <f t="shared" si="61"/>
        <v/>
      </c>
    </row>
    <row r="3934" spans="26:26" x14ac:dyDescent="0.2">
      <c r="Z3934" t="str">
        <f t="shared" si="61"/>
        <v/>
      </c>
    </row>
    <row r="3935" spans="26:26" x14ac:dyDescent="0.2">
      <c r="Z3935" t="str">
        <f t="shared" si="61"/>
        <v/>
      </c>
    </row>
    <row r="3936" spans="26:26" x14ac:dyDescent="0.2">
      <c r="Z3936" t="str">
        <f t="shared" si="61"/>
        <v/>
      </c>
    </row>
    <row r="3937" spans="26:26" x14ac:dyDescent="0.2">
      <c r="Z3937" t="str">
        <f t="shared" si="61"/>
        <v/>
      </c>
    </row>
    <row r="3938" spans="26:26" x14ac:dyDescent="0.2">
      <c r="Z3938" t="str">
        <f t="shared" si="61"/>
        <v/>
      </c>
    </row>
    <row r="3939" spans="26:26" x14ac:dyDescent="0.2">
      <c r="Z3939" t="str">
        <f t="shared" si="61"/>
        <v/>
      </c>
    </row>
    <row r="3940" spans="26:26" x14ac:dyDescent="0.2">
      <c r="Z3940" t="str">
        <f t="shared" si="61"/>
        <v/>
      </c>
    </row>
    <row r="3941" spans="26:26" x14ac:dyDescent="0.2">
      <c r="Z3941" t="str">
        <f t="shared" si="61"/>
        <v/>
      </c>
    </row>
    <row r="3942" spans="26:26" x14ac:dyDescent="0.2">
      <c r="Z3942" t="str">
        <f t="shared" si="61"/>
        <v/>
      </c>
    </row>
    <row r="3943" spans="26:26" x14ac:dyDescent="0.2">
      <c r="Z3943" t="str">
        <f t="shared" si="61"/>
        <v/>
      </c>
    </row>
    <row r="3944" spans="26:26" x14ac:dyDescent="0.2">
      <c r="Z3944" t="str">
        <f t="shared" si="61"/>
        <v/>
      </c>
    </row>
    <row r="3945" spans="26:26" x14ac:dyDescent="0.2">
      <c r="Z3945" t="str">
        <f t="shared" si="61"/>
        <v/>
      </c>
    </row>
    <row r="3946" spans="26:26" x14ac:dyDescent="0.2">
      <c r="Z3946" t="str">
        <f t="shared" si="61"/>
        <v/>
      </c>
    </row>
    <row r="3947" spans="26:26" x14ac:dyDescent="0.2">
      <c r="Z3947" t="str">
        <f t="shared" si="61"/>
        <v/>
      </c>
    </row>
    <row r="3948" spans="26:26" x14ac:dyDescent="0.2">
      <c r="Z3948" t="str">
        <f t="shared" si="61"/>
        <v/>
      </c>
    </row>
    <row r="3949" spans="26:26" x14ac:dyDescent="0.2">
      <c r="Z3949" t="str">
        <f t="shared" si="61"/>
        <v/>
      </c>
    </row>
    <row r="3950" spans="26:26" x14ac:dyDescent="0.2">
      <c r="Z3950" t="str">
        <f t="shared" si="61"/>
        <v/>
      </c>
    </row>
    <row r="3951" spans="26:26" x14ac:dyDescent="0.2">
      <c r="Z3951" t="str">
        <f t="shared" si="61"/>
        <v/>
      </c>
    </row>
    <row r="3952" spans="26:26" x14ac:dyDescent="0.2">
      <c r="Z3952" t="str">
        <f t="shared" si="61"/>
        <v/>
      </c>
    </row>
    <row r="3953" spans="26:26" x14ac:dyDescent="0.2">
      <c r="Z3953" t="str">
        <f t="shared" si="61"/>
        <v/>
      </c>
    </row>
    <row r="3954" spans="26:26" x14ac:dyDescent="0.2">
      <c r="Z3954" t="str">
        <f t="shared" si="61"/>
        <v/>
      </c>
    </row>
    <row r="3955" spans="26:26" x14ac:dyDescent="0.2">
      <c r="Z3955" t="str">
        <f t="shared" si="61"/>
        <v/>
      </c>
    </row>
    <row r="3956" spans="26:26" x14ac:dyDescent="0.2">
      <c r="Z3956" t="str">
        <f t="shared" si="61"/>
        <v/>
      </c>
    </row>
    <row r="3957" spans="26:26" x14ac:dyDescent="0.2">
      <c r="Z3957" t="str">
        <f t="shared" si="61"/>
        <v/>
      </c>
    </row>
    <row r="3958" spans="26:26" x14ac:dyDescent="0.2">
      <c r="Z3958" t="str">
        <f t="shared" si="61"/>
        <v/>
      </c>
    </row>
    <row r="3959" spans="26:26" x14ac:dyDescent="0.2">
      <c r="Z3959" t="str">
        <f t="shared" si="61"/>
        <v/>
      </c>
    </row>
    <row r="3960" spans="26:26" x14ac:dyDescent="0.2">
      <c r="Z3960" t="str">
        <f t="shared" si="61"/>
        <v/>
      </c>
    </row>
    <row r="3961" spans="26:26" x14ac:dyDescent="0.2">
      <c r="Z3961" t="str">
        <f t="shared" si="61"/>
        <v/>
      </c>
    </row>
    <row r="3962" spans="26:26" x14ac:dyDescent="0.2">
      <c r="Z3962" t="str">
        <f t="shared" si="61"/>
        <v/>
      </c>
    </row>
    <row r="3963" spans="26:26" x14ac:dyDescent="0.2">
      <c r="Z3963" t="str">
        <f t="shared" si="61"/>
        <v/>
      </c>
    </row>
    <row r="3964" spans="26:26" x14ac:dyDescent="0.2">
      <c r="Z3964" t="str">
        <f t="shared" si="61"/>
        <v/>
      </c>
    </row>
    <row r="3965" spans="26:26" x14ac:dyDescent="0.2">
      <c r="Z3965" t="str">
        <f t="shared" si="61"/>
        <v/>
      </c>
    </row>
    <row r="3966" spans="26:26" x14ac:dyDescent="0.2">
      <c r="Z3966" t="str">
        <f t="shared" si="61"/>
        <v/>
      </c>
    </row>
    <row r="3967" spans="26:26" x14ac:dyDescent="0.2">
      <c r="Z3967" t="str">
        <f t="shared" si="61"/>
        <v/>
      </c>
    </row>
    <row r="3968" spans="26:26" x14ac:dyDescent="0.2">
      <c r="Z3968" t="str">
        <f t="shared" si="61"/>
        <v/>
      </c>
    </row>
    <row r="3969" spans="26:26" x14ac:dyDescent="0.2">
      <c r="Z3969" t="str">
        <f t="shared" si="61"/>
        <v/>
      </c>
    </row>
    <row r="3970" spans="26:26" x14ac:dyDescent="0.2">
      <c r="Z3970" t="str">
        <f t="shared" si="61"/>
        <v/>
      </c>
    </row>
    <row r="3971" spans="26:26" x14ac:dyDescent="0.2">
      <c r="Z3971" t="str">
        <f t="shared" ref="Z3971:Z4034" si="62">IF(K3971="","",IFERROR(VALUE(TRIM(MID(K3971,FIND(CHAR(167),SUBSTITUTE(K3971,"-",CHAR(167),LEN(K3971)-LEN(SUBSTITUTE(K3971,"-",""))))+1,100))),K3971))</f>
        <v/>
      </c>
    </row>
    <row r="3972" spans="26:26" x14ac:dyDescent="0.2">
      <c r="Z3972" t="str">
        <f t="shared" si="62"/>
        <v/>
      </c>
    </row>
    <row r="3973" spans="26:26" x14ac:dyDescent="0.2">
      <c r="Z3973" t="str">
        <f t="shared" si="62"/>
        <v/>
      </c>
    </row>
    <row r="3974" spans="26:26" x14ac:dyDescent="0.2">
      <c r="Z3974" t="str">
        <f t="shared" si="62"/>
        <v/>
      </c>
    </row>
    <row r="3975" spans="26:26" x14ac:dyDescent="0.2">
      <c r="Z3975" t="str">
        <f t="shared" si="62"/>
        <v/>
      </c>
    </row>
    <row r="3976" spans="26:26" x14ac:dyDescent="0.2">
      <c r="Z3976" t="str">
        <f t="shared" si="62"/>
        <v/>
      </c>
    </row>
    <row r="3977" spans="26:26" x14ac:dyDescent="0.2">
      <c r="Z3977" t="str">
        <f t="shared" si="62"/>
        <v/>
      </c>
    </row>
    <row r="3978" spans="26:26" x14ac:dyDescent="0.2">
      <c r="Z3978" t="str">
        <f t="shared" si="62"/>
        <v/>
      </c>
    </row>
    <row r="3979" spans="26:26" x14ac:dyDescent="0.2">
      <c r="Z3979" t="str">
        <f t="shared" si="62"/>
        <v/>
      </c>
    </row>
    <row r="3980" spans="26:26" x14ac:dyDescent="0.2">
      <c r="Z3980" t="str">
        <f t="shared" si="62"/>
        <v/>
      </c>
    </row>
    <row r="3981" spans="26:26" x14ac:dyDescent="0.2">
      <c r="Z3981" t="str">
        <f t="shared" si="62"/>
        <v/>
      </c>
    </row>
    <row r="3982" spans="26:26" x14ac:dyDescent="0.2">
      <c r="Z3982" t="str">
        <f t="shared" si="62"/>
        <v/>
      </c>
    </row>
    <row r="3983" spans="26:26" x14ac:dyDescent="0.2">
      <c r="Z3983" t="str">
        <f t="shared" si="62"/>
        <v/>
      </c>
    </row>
    <row r="3984" spans="26:26" x14ac:dyDescent="0.2">
      <c r="Z3984" t="str">
        <f t="shared" si="62"/>
        <v/>
      </c>
    </row>
    <row r="3985" spans="26:26" x14ac:dyDescent="0.2">
      <c r="Z3985" t="str">
        <f t="shared" si="62"/>
        <v/>
      </c>
    </row>
    <row r="3986" spans="26:26" x14ac:dyDescent="0.2">
      <c r="Z3986" t="str">
        <f t="shared" si="62"/>
        <v/>
      </c>
    </row>
    <row r="3987" spans="26:26" x14ac:dyDescent="0.2">
      <c r="Z3987" t="str">
        <f t="shared" si="62"/>
        <v/>
      </c>
    </row>
    <row r="3988" spans="26:26" x14ac:dyDescent="0.2">
      <c r="Z3988" t="str">
        <f t="shared" si="62"/>
        <v/>
      </c>
    </row>
    <row r="3989" spans="26:26" x14ac:dyDescent="0.2">
      <c r="Z3989" t="str">
        <f t="shared" si="62"/>
        <v/>
      </c>
    </row>
    <row r="3990" spans="26:26" x14ac:dyDescent="0.2">
      <c r="Z3990" t="str">
        <f t="shared" si="62"/>
        <v/>
      </c>
    </row>
    <row r="3991" spans="26:26" x14ac:dyDescent="0.2">
      <c r="Z3991" t="str">
        <f t="shared" si="62"/>
        <v/>
      </c>
    </row>
    <row r="3992" spans="26:26" x14ac:dyDescent="0.2">
      <c r="Z3992" t="str">
        <f t="shared" si="62"/>
        <v/>
      </c>
    </row>
    <row r="3993" spans="26:26" x14ac:dyDescent="0.2">
      <c r="Z3993" t="str">
        <f t="shared" si="62"/>
        <v/>
      </c>
    </row>
    <row r="3994" spans="26:26" x14ac:dyDescent="0.2">
      <c r="Z3994" t="str">
        <f t="shared" si="62"/>
        <v/>
      </c>
    </row>
    <row r="3995" spans="26:26" x14ac:dyDescent="0.2">
      <c r="Z3995" t="str">
        <f t="shared" si="62"/>
        <v/>
      </c>
    </row>
    <row r="3996" spans="26:26" x14ac:dyDescent="0.2">
      <c r="Z3996" t="str">
        <f t="shared" si="62"/>
        <v/>
      </c>
    </row>
    <row r="3997" spans="26:26" x14ac:dyDescent="0.2">
      <c r="Z3997" t="str">
        <f t="shared" si="62"/>
        <v/>
      </c>
    </row>
    <row r="3998" spans="26:26" x14ac:dyDescent="0.2">
      <c r="Z3998" t="str">
        <f t="shared" si="62"/>
        <v/>
      </c>
    </row>
    <row r="3999" spans="26:26" x14ac:dyDescent="0.2">
      <c r="Z3999" t="str">
        <f t="shared" si="62"/>
        <v/>
      </c>
    </row>
    <row r="4000" spans="26:26" x14ac:dyDescent="0.2">
      <c r="Z4000" t="str">
        <f t="shared" si="62"/>
        <v/>
      </c>
    </row>
    <row r="4001" spans="26:26" x14ac:dyDescent="0.2">
      <c r="Z4001" t="str">
        <f t="shared" si="62"/>
        <v/>
      </c>
    </row>
    <row r="4002" spans="26:26" x14ac:dyDescent="0.2">
      <c r="Z4002" t="str">
        <f t="shared" si="62"/>
        <v/>
      </c>
    </row>
    <row r="4003" spans="26:26" x14ac:dyDescent="0.2">
      <c r="Z4003" t="str">
        <f t="shared" si="62"/>
        <v/>
      </c>
    </row>
    <row r="4004" spans="26:26" x14ac:dyDescent="0.2">
      <c r="Z4004" t="str">
        <f t="shared" si="62"/>
        <v/>
      </c>
    </row>
    <row r="4005" spans="26:26" x14ac:dyDescent="0.2">
      <c r="Z4005" t="str">
        <f t="shared" si="62"/>
        <v/>
      </c>
    </row>
    <row r="4006" spans="26:26" x14ac:dyDescent="0.2">
      <c r="Z4006" t="str">
        <f t="shared" si="62"/>
        <v/>
      </c>
    </row>
    <row r="4007" spans="26:26" x14ac:dyDescent="0.2">
      <c r="Z4007" t="str">
        <f t="shared" si="62"/>
        <v/>
      </c>
    </row>
    <row r="4008" spans="26:26" x14ac:dyDescent="0.2">
      <c r="Z4008" t="str">
        <f t="shared" si="62"/>
        <v/>
      </c>
    </row>
    <row r="4009" spans="26:26" x14ac:dyDescent="0.2">
      <c r="Z4009" t="str">
        <f t="shared" si="62"/>
        <v/>
      </c>
    </row>
    <row r="4010" spans="26:26" x14ac:dyDescent="0.2">
      <c r="Z4010" t="str">
        <f t="shared" si="62"/>
        <v/>
      </c>
    </row>
    <row r="4011" spans="26:26" x14ac:dyDescent="0.2">
      <c r="Z4011" t="str">
        <f t="shared" si="62"/>
        <v/>
      </c>
    </row>
    <row r="4012" spans="26:26" x14ac:dyDescent="0.2">
      <c r="Z4012" t="str">
        <f t="shared" si="62"/>
        <v/>
      </c>
    </row>
    <row r="4013" spans="26:26" x14ac:dyDescent="0.2">
      <c r="Z4013" t="str">
        <f t="shared" si="62"/>
        <v/>
      </c>
    </row>
    <row r="4014" spans="26:26" x14ac:dyDescent="0.2">
      <c r="Z4014" t="str">
        <f t="shared" si="62"/>
        <v/>
      </c>
    </row>
    <row r="4015" spans="26:26" x14ac:dyDescent="0.2">
      <c r="Z4015" t="str">
        <f t="shared" si="62"/>
        <v/>
      </c>
    </row>
    <row r="4016" spans="26:26" x14ac:dyDescent="0.2">
      <c r="Z4016" t="str">
        <f t="shared" si="62"/>
        <v/>
      </c>
    </row>
    <row r="4017" spans="26:26" x14ac:dyDescent="0.2">
      <c r="Z4017" t="str">
        <f t="shared" si="62"/>
        <v/>
      </c>
    </row>
    <row r="4018" spans="26:26" x14ac:dyDescent="0.2">
      <c r="Z4018" t="str">
        <f t="shared" si="62"/>
        <v/>
      </c>
    </row>
    <row r="4019" spans="26:26" x14ac:dyDescent="0.2">
      <c r="Z4019" t="str">
        <f t="shared" si="62"/>
        <v/>
      </c>
    </row>
    <row r="4020" spans="26:26" x14ac:dyDescent="0.2">
      <c r="Z4020" t="str">
        <f t="shared" si="62"/>
        <v/>
      </c>
    </row>
    <row r="4021" spans="26:26" x14ac:dyDescent="0.2">
      <c r="Z4021" t="str">
        <f t="shared" si="62"/>
        <v/>
      </c>
    </row>
    <row r="4022" spans="26:26" x14ac:dyDescent="0.2">
      <c r="Z4022" t="str">
        <f t="shared" si="62"/>
        <v/>
      </c>
    </row>
    <row r="4023" spans="26:26" x14ac:dyDescent="0.2">
      <c r="Z4023" t="str">
        <f t="shared" si="62"/>
        <v/>
      </c>
    </row>
    <row r="4024" spans="26:26" x14ac:dyDescent="0.2">
      <c r="Z4024" t="str">
        <f t="shared" si="62"/>
        <v/>
      </c>
    </row>
    <row r="4025" spans="26:26" x14ac:dyDescent="0.2">
      <c r="Z4025" t="str">
        <f t="shared" si="62"/>
        <v/>
      </c>
    </row>
    <row r="4026" spans="26:26" x14ac:dyDescent="0.2">
      <c r="Z4026" t="str">
        <f t="shared" si="62"/>
        <v/>
      </c>
    </row>
    <row r="4027" spans="26:26" x14ac:dyDescent="0.2">
      <c r="Z4027" t="str">
        <f t="shared" si="62"/>
        <v/>
      </c>
    </row>
    <row r="4028" spans="26:26" x14ac:dyDescent="0.2">
      <c r="Z4028" t="str">
        <f t="shared" si="62"/>
        <v/>
      </c>
    </row>
    <row r="4029" spans="26:26" x14ac:dyDescent="0.2">
      <c r="Z4029" t="str">
        <f t="shared" si="62"/>
        <v/>
      </c>
    </row>
    <row r="4030" spans="26:26" x14ac:dyDescent="0.2">
      <c r="Z4030" t="str">
        <f t="shared" si="62"/>
        <v/>
      </c>
    </row>
    <row r="4031" spans="26:26" x14ac:dyDescent="0.2">
      <c r="Z4031" t="str">
        <f t="shared" si="62"/>
        <v/>
      </c>
    </row>
    <row r="4032" spans="26:26" x14ac:dyDescent="0.2">
      <c r="Z4032" t="str">
        <f t="shared" si="62"/>
        <v/>
      </c>
    </row>
    <row r="4033" spans="26:26" x14ac:dyDescent="0.2">
      <c r="Z4033" t="str">
        <f t="shared" si="62"/>
        <v/>
      </c>
    </row>
    <row r="4034" spans="26:26" x14ac:dyDescent="0.2">
      <c r="Z4034" t="str">
        <f t="shared" si="62"/>
        <v/>
      </c>
    </row>
    <row r="4035" spans="26:26" x14ac:dyDescent="0.2">
      <c r="Z4035" t="str">
        <f t="shared" ref="Z4035:Z4098" si="63">IF(K4035="","",IFERROR(VALUE(TRIM(MID(K4035,FIND(CHAR(167),SUBSTITUTE(K4035,"-",CHAR(167),LEN(K4035)-LEN(SUBSTITUTE(K4035,"-",""))))+1,100))),K4035))</f>
        <v/>
      </c>
    </row>
    <row r="4036" spans="26:26" x14ac:dyDescent="0.2">
      <c r="Z4036" t="str">
        <f t="shared" si="63"/>
        <v/>
      </c>
    </row>
    <row r="4037" spans="26:26" x14ac:dyDescent="0.2">
      <c r="Z4037" t="str">
        <f t="shared" si="63"/>
        <v/>
      </c>
    </row>
    <row r="4038" spans="26:26" x14ac:dyDescent="0.2">
      <c r="Z4038" t="str">
        <f t="shared" si="63"/>
        <v/>
      </c>
    </row>
    <row r="4039" spans="26:26" x14ac:dyDescent="0.2">
      <c r="Z4039" t="str">
        <f t="shared" si="63"/>
        <v/>
      </c>
    </row>
    <row r="4040" spans="26:26" x14ac:dyDescent="0.2">
      <c r="Z4040" t="str">
        <f t="shared" si="63"/>
        <v/>
      </c>
    </row>
    <row r="4041" spans="26:26" x14ac:dyDescent="0.2">
      <c r="Z4041" t="str">
        <f t="shared" si="63"/>
        <v/>
      </c>
    </row>
    <row r="4042" spans="26:26" x14ac:dyDescent="0.2">
      <c r="Z4042" t="str">
        <f t="shared" si="63"/>
        <v/>
      </c>
    </row>
    <row r="4043" spans="26:26" x14ac:dyDescent="0.2">
      <c r="Z4043" t="str">
        <f t="shared" si="63"/>
        <v/>
      </c>
    </row>
    <row r="4044" spans="26:26" x14ac:dyDescent="0.2">
      <c r="Z4044" t="str">
        <f t="shared" si="63"/>
        <v/>
      </c>
    </row>
    <row r="4045" spans="26:26" x14ac:dyDescent="0.2">
      <c r="Z4045" t="str">
        <f t="shared" si="63"/>
        <v/>
      </c>
    </row>
    <row r="4046" spans="26:26" x14ac:dyDescent="0.2">
      <c r="Z4046" t="str">
        <f t="shared" si="63"/>
        <v/>
      </c>
    </row>
    <row r="4047" spans="26:26" x14ac:dyDescent="0.2">
      <c r="Z4047" t="str">
        <f t="shared" si="63"/>
        <v/>
      </c>
    </row>
    <row r="4048" spans="26:26" x14ac:dyDescent="0.2">
      <c r="Z4048" t="str">
        <f t="shared" si="63"/>
        <v/>
      </c>
    </row>
    <row r="4049" spans="26:26" x14ac:dyDescent="0.2">
      <c r="Z4049" t="str">
        <f t="shared" si="63"/>
        <v/>
      </c>
    </row>
    <row r="4050" spans="26:26" x14ac:dyDescent="0.2">
      <c r="Z4050" t="str">
        <f t="shared" si="63"/>
        <v/>
      </c>
    </row>
    <row r="4051" spans="26:26" x14ac:dyDescent="0.2">
      <c r="Z4051" t="str">
        <f t="shared" si="63"/>
        <v/>
      </c>
    </row>
    <row r="4052" spans="26:26" x14ac:dyDescent="0.2">
      <c r="Z4052" t="str">
        <f t="shared" si="63"/>
        <v/>
      </c>
    </row>
    <row r="4053" spans="26:26" x14ac:dyDescent="0.2">
      <c r="Z4053" t="str">
        <f t="shared" si="63"/>
        <v/>
      </c>
    </row>
    <row r="4054" spans="26:26" x14ac:dyDescent="0.2">
      <c r="Z4054" t="str">
        <f t="shared" si="63"/>
        <v/>
      </c>
    </row>
    <row r="4055" spans="26:26" x14ac:dyDescent="0.2">
      <c r="Z4055" t="str">
        <f t="shared" si="63"/>
        <v/>
      </c>
    </row>
    <row r="4056" spans="26:26" x14ac:dyDescent="0.2">
      <c r="Z4056" t="str">
        <f t="shared" si="63"/>
        <v/>
      </c>
    </row>
    <row r="4057" spans="26:26" x14ac:dyDescent="0.2">
      <c r="Z4057" t="str">
        <f t="shared" si="63"/>
        <v/>
      </c>
    </row>
    <row r="4058" spans="26:26" x14ac:dyDescent="0.2">
      <c r="Z4058" t="str">
        <f t="shared" si="63"/>
        <v/>
      </c>
    </row>
    <row r="4059" spans="26:26" x14ac:dyDescent="0.2">
      <c r="Z4059" t="str">
        <f t="shared" si="63"/>
        <v/>
      </c>
    </row>
    <row r="4060" spans="26:26" x14ac:dyDescent="0.2">
      <c r="Z4060" t="str">
        <f t="shared" si="63"/>
        <v/>
      </c>
    </row>
    <row r="4061" spans="26:26" x14ac:dyDescent="0.2">
      <c r="Z4061" t="str">
        <f t="shared" si="63"/>
        <v/>
      </c>
    </row>
    <row r="4062" spans="26:26" x14ac:dyDescent="0.2">
      <c r="Z4062" t="str">
        <f t="shared" si="63"/>
        <v/>
      </c>
    </row>
    <row r="4063" spans="26:26" x14ac:dyDescent="0.2">
      <c r="Z4063" t="str">
        <f t="shared" si="63"/>
        <v/>
      </c>
    </row>
    <row r="4064" spans="26:26" x14ac:dyDescent="0.2">
      <c r="Z4064" t="str">
        <f t="shared" si="63"/>
        <v/>
      </c>
    </row>
    <row r="4065" spans="26:26" x14ac:dyDescent="0.2">
      <c r="Z4065" t="str">
        <f t="shared" si="63"/>
        <v/>
      </c>
    </row>
    <row r="4066" spans="26:26" x14ac:dyDescent="0.2">
      <c r="Z4066" t="str">
        <f t="shared" si="63"/>
        <v/>
      </c>
    </row>
    <row r="4067" spans="26:26" x14ac:dyDescent="0.2">
      <c r="Z4067" t="str">
        <f t="shared" si="63"/>
        <v/>
      </c>
    </row>
    <row r="4068" spans="26:26" x14ac:dyDescent="0.2">
      <c r="Z4068" t="str">
        <f t="shared" si="63"/>
        <v/>
      </c>
    </row>
    <row r="4069" spans="26:26" x14ac:dyDescent="0.2">
      <c r="Z4069" t="str">
        <f t="shared" si="63"/>
        <v/>
      </c>
    </row>
    <row r="4070" spans="26:26" x14ac:dyDescent="0.2">
      <c r="Z4070" t="str">
        <f t="shared" si="63"/>
        <v/>
      </c>
    </row>
    <row r="4071" spans="26:26" x14ac:dyDescent="0.2">
      <c r="Z4071" t="str">
        <f t="shared" si="63"/>
        <v/>
      </c>
    </row>
    <row r="4072" spans="26:26" x14ac:dyDescent="0.2">
      <c r="Z4072" t="str">
        <f t="shared" si="63"/>
        <v/>
      </c>
    </row>
    <row r="4073" spans="26:26" x14ac:dyDescent="0.2">
      <c r="Z4073" t="str">
        <f t="shared" si="63"/>
        <v/>
      </c>
    </row>
    <row r="4074" spans="26:26" x14ac:dyDescent="0.2">
      <c r="Z4074" t="str">
        <f t="shared" si="63"/>
        <v/>
      </c>
    </row>
    <row r="4075" spans="26:26" x14ac:dyDescent="0.2">
      <c r="Z4075" t="str">
        <f t="shared" si="63"/>
        <v/>
      </c>
    </row>
    <row r="4076" spans="26:26" x14ac:dyDescent="0.2">
      <c r="Z4076" t="str">
        <f t="shared" si="63"/>
        <v/>
      </c>
    </row>
    <row r="4077" spans="26:26" x14ac:dyDescent="0.2">
      <c r="Z4077" t="str">
        <f t="shared" si="63"/>
        <v/>
      </c>
    </row>
    <row r="4078" spans="26:26" x14ac:dyDescent="0.2">
      <c r="Z4078" t="str">
        <f t="shared" si="63"/>
        <v/>
      </c>
    </row>
    <row r="4079" spans="26:26" x14ac:dyDescent="0.2">
      <c r="Z4079" t="str">
        <f t="shared" si="63"/>
        <v/>
      </c>
    </row>
    <row r="4080" spans="26:26" x14ac:dyDescent="0.2">
      <c r="Z4080" t="str">
        <f t="shared" si="63"/>
        <v/>
      </c>
    </row>
    <row r="4081" spans="26:26" x14ac:dyDescent="0.2">
      <c r="Z4081" t="str">
        <f t="shared" si="63"/>
        <v/>
      </c>
    </row>
    <row r="4082" spans="26:26" x14ac:dyDescent="0.2">
      <c r="Z4082" t="str">
        <f t="shared" si="63"/>
        <v/>
      </c>
    </row>
    <row r="4083" spans="26:26" x14ac:dyDescent="0.2">
      <c r="Z4083" t="str">
        <f t="shared" si="63"/>
        <v/>
      </c>
    </row>
    <row r="4084" spans="26:26" x14ac:dyDescent="0.2">
      <c r="Z4084" t="str">
        <f t="shared" si="63"/>
        <v/>
      </c>
    </row>
    <row r="4085" spans="26:26" x14ac:dyDescent="0.2">
      <c r="Z4085" t="str">
        <f t="shared" si="63"/>
        <v/>
      </c>
    </row>
    <row r="4086" spans="26:26" x14ac:dyDescent="0.2">
      <c r="Z4086" t="str">
        <f t="shared" si="63"/>
        <v/>
      </c>
    </row>
    <row r="4087" spans="26:26" x14ac:dyDescent="0.2">
      <c r="Z4087" t="str">
        <f t="shared" si="63"/>
        <v/>
      </c>
    </row>
    <row r="4088" spans="26:26" x14ac:dyDescent="0.2">
      <c r="Z4088" t="str">
        <f t="shared" si="63"/>
        <v/>
      </c>
    </row>
    <row r="4089" spans="26:26" x14ac:dyDescent="0.2">
      <c r="Z4089" t="str">
        <f t="shared" si="63"/>
        <v/>
      </c>
    </row>
    <row r="4090" spans="26:26" x14ac:dyDescent="0.2">
      <c r="Z4090" t="str">
        <f t="shared" si="63"/>
        <v/>
      </c>
    </row>
    <row r="4091" spans="26:26" x14ac:dyDescent="0.2">
      <c r="Z4091" t="str">
        <f t="shared" si="63"/>
        <v/>
      </c>
    </row>
    <row r="4092" spans="26:26" x14ac:dyDescent="0.2">
      <c r="Z4092" t="str">
        <f t="shared" si="63"/>
        <v/>
      </c>
    </row>
    <row r="4093" spans="26:26" x14ac:dyDescent="0.2">
      <c r="Z4093" t="str">
        <f t="shared" si="63"/>
        <v/>
      </c>
    </row>
    <row r="4094" spans="26:26" x14ac:dyDescent="0.2">
      <c r="Z4094" t="str">
        <f t="shared" si="63"/>
        <v/>
      </c>
    </row>
    <row r="4095" spans="26:26" x14ac:dyDescent="0.2">
      <c r="Z4095" t="str">
        <f t="shared" si="63"/>
        <v/>
      </c>
    </row>
    <row r="4096" spans="26:26" x14ac:dyDescent="0.2">
      <c r="Z4096" t="str">
        <f t="shared" si="63"/>
        <v/>
      </c>
    </row>
    <row r="4097" spans="26:26" x14ac:dyDescent="0.2">
      <c r="Z4097" t="str">
        <f t="shared" si="63"/>
        <v/>
      </c>
    </row>
    <row r="4098" spans="26:26" x14ac:dyDescent="0.2">
      <c r="Z4098" t="str">
        <f t="shared" si="63"/>
        <v/>
      </c>
    </row>
    <row r="4099" spans="26:26" x14ac:dyDescent="0.2">
      <c r="Z4099" t="str">
        <f t="shared" ref="Z4099:Z4162" si="64">IF(K4099="","",IFERROR(VALUE(TRIM(MID(K4099,FIND(CHAR(167),SUBSTITUTE(K4099,"-",CHAR(167),LEN(K4099)-LEN(SUBSTITUTE(K4099,"-",""))))+1,100))),K4099))</f>
        <v/>
      </c>
    </row>
    <row r="4100" spans="26:26" x14ac:dyDescent="0.2">
      <c r="Z4100" t="str">
        <f t="shared" si="64"/>
        <v/>
      </c>
    </row>
    <row r="4101" spans="26:26" x14ac:dyDescent="0.2">
      <c r="Z4101" t="str">
        <f t="shared" si="64"/>
        <v/>
      </c>
    </row>
    <row r="4102" spans="26:26" x14ac:dyDescent="0.2">
      <c r="Z4102" t="str">
        <f t="shared" si="64"/>
        <v/>
      </c>
    </row>
    <row r="4103" spans="26:26" x14ac:dyDescent="0.2">
      <c r="Z4103" t="str">
        <f t="shared" si="64"/>
        <v/>
      </c>
    </row>
    <row r="4104" spans="26:26" x14ac:dyDescent="0.2">
      <c r="Z4104" t="str">
        <f t="shared" si="64"/>
        <v/>
      </c>
    </row>
    <row r="4105" spans="26:26" x14ac:dyDescent="0.2">
      <c r="Z4105" t="str">
        <f t="shared" si="64"/>
        <v/>
      </c>
    </row>
    <row r="4106" spans="26:26" x14ac:dyDescent="0.2">
      <c r="Z4106" t="str">
        <f t="shared" si="64"/>
        <v/>
      </c>
    </row>
    <row r="4107" spans="26:26" x14ac:dyDescent="0.2">
      <c r="Z4107" t="str">
        <f t="shared" si="64"/>
        <v/>
      </c>
    </row>
    <row r="4108" spans="26:26" x14ac:dyDescent="0.2">
      <c r="Z4108" t="str">
        <f t="shared" si="64"/>
        <v/>
      </c>
    </row>
    <row r="4109" spans="26:26" x14ac:dyDescent="0.2">
      <c r="Z4109" t="str">
        <f t="shared" si="64"/>
        <v/>
      </c>
    </row>
    <row r="4110" spans="26:26" x14ac:dyDescent="0.2">
      <c r="Z4110" t="str">
        <f t="shared" si="64"/>
        <v/>
      </c>
    </row>
    <row r="4111" spans="26:26" x14ac:dyDescent="0.2">
      <c r="Z4111" t="str">
        <f t="shared" si="64"/>
        <v/>
      </c>
    </row>
    <row r="4112" spans="26:26" x14ac:dyDescent="0.2">
      <c r="Z4112" t="str">
        <f t="shared" si="64"/>
        <v/>
      </c>
    </row>
    <row r="4113" spans="26:26" x14ac:dyDescent="0.2">
      <c r="Z4113" t="str">
        <f t="shared" si="64"/>
        <v/>
      </c>
    </row>
    <row r="4114" spans="26:26" x14ac:dyDescent="0.2">
      <c r="Z4114" t="str">
        <f t="shared" si="64"/>
        <v/>
      </c>
    </row>
    <row r="4115" spans="26:26" x14ac:dyDescent="0.2">
      <c r="Z4115" t="str">
        <f t="shared" si="64"/>
        <v/>
      </c>
    </row>
    <row r="4116" spans="26:26" x14ac:dyDescent="0.2">
      <c r="Z4116" t="str">
        <f t="shared" si="64"/>
        <v/>
      </c>
    </row>
    <row r="4117" spans="26:26" x14ac:dyDescent="0.2">
      <c r="Z4117" t="str">
        <f t="shared" si="64"/>
        <v/>
      </c>
    </row>
    <row r="4118" spans="26:26" x14ac:dyDescent="0.2">
      <c r="Z4118" t="str">
        <f t="shared" si="64"/>
        <v/>
      </c>
    </row>
    <row r="4119" spans="26:26" x14ac:dyDescent="0.2">
      <c r="Z4119" t="str">
        <f t="shared" si="64"/>
        <v/>
      </c>
    </row>
    <row r="4120" spans="26:26" x14ac:dyDescent="0.2">
      <c r="Z4120" t="str">
        <f t="shared" si="64"/>
        <v/>
      </c>
    </row>
    <row r="4121" spans="26:26" x14ac:dyDescent="0.2">
      <c r="Z4121" t="str">
        <f t="shared" si="64"/>
        <v/>
      </c>
    </row>
    <row r="4122" spans="26:26" x14ac:dyDescent="0.2">
      <c r="Z4122" t="str">
        <f t="shared" si="64"/>
        <v/>
      </c>
    </row>
    <row r="4123" spans="26:26" x14ac:dyDescent="0.2">
      <c r="Z4123" t="str">
        <f t="shared" si="64"/>
        <v/>
      </c>
    </row>
    <row r="4124" spans="26:26" x14ac:dyDescent="0.2">
      <c r="Z4124" t="str">
        <f t="shared" si="64"/>
        <v/>
      </c>
    </row>
    <row r="4125" spans="26:26" x14ac:dyDescent="0.2">
      <c r="Z4125" t="str">
        <f t="shared" si="64"/>
        <v/>
      </c>
    </row>
    <row r="4126" spans="26:26" x14ac:dyDescent="0.2">
      <c r="Z4126" t="str">
        <f t="shared" si="64"/>
        <v/>
      </c>
    </row>
    <row r="4127" spans="26:26" x14ac:dyDescent="0.2">
      <c r="Z4127" t="str">
        <f t="shared" si="64"/>
        <v/>
      </c>
    </row>
    <row r="4128" spans="26:26" x14ac:dyDescent="0.2">
      <c r="Z4128" t="str">
        <f t="shared" si="64"/>
        <v/>
      </c>
    </row>
    <row r="4129" spans="26:26" x14ac:dyDescent="0.2">
      <c r="Z4129" t="str">
        <f t="shared" si="64"/>
        <v/>
      </c>
    </row>
    <row r="4130" spans="26:26" x14ac:dyDescent="0.2">
      <c r="Z4130" t="str">
        <f t="shared" si="64"/>
        <v/>
      </c>
    </row>
    <row r="4131" spans="26:26" x14ac:dyDescent="0.2">
      <c r="Z4131" t="str">
        <f t="shared" si="64"/>
        <v/>
      </c>
    </row>
    <row r="4132" spans="26:26" x14ac:dyDescent="0.2">
      <c r="Z4132" t="str">
        <f t="shared" si="64"/>
        <v/>
      </c>
    </row>
    <row r="4133" spans="26:26" x14ac:dyDescent="0.2">
      <c r="Z4133" t="str">
        <f t="shared" si="64"/>
        <v/>
      </c>
    </row>
    <row r="4134" spans="26:26" x14ac:dyDescent="0.2">
      <c r="Z4134" t="str">
        <f t="shared" si="64"/>
        <v/>
      </c>
    </row>
    <row r="4135" spans="26:26" x14ac:dyDescent="0.2">
      <c r="Z4135" t="str">
        <f t="shared" si="64"/>
        <v/>
      </c>
    </row>
    <row r="4136" spans="26:26" x14ac:dyDescent="0.2">
      <c r="Z4136" t="str">
        <f t="shared" si="64"/>
        <v/>
      </c>
    </row>
    <row r="4137" spans="26:26" x14ac:dyDescent="0.2">
      <c r="Z4137" t="str">
        <f t="shared" si="64"/>
        <v/>
      </c>
    </row>
    <row r="4138" spans="26:26" x14ac:dyDescent="0.2">
      <c r="Z4138" t="str">
        <f t="shared" si="64"/>
        <v/>
      </c>
    </row>
    <row r="4139" spans="26:26" x14ac:dyDescent="0.2">
      <c r="Z4139" t="str">
        <f t="shared" si="64"/>
        <v/>
      </c>
    </row>
    <row r="4140" spans="26:26" x14ac:dyDescent="0.2">
      <c r="Z4140" t="str">
        <f t="shared" si="64"/>
        <v/>
      </c>
    </row>
    <row r="4141" spans="26:26" x14ac:dyDescent="0.2">
      <c r="Z4141" t="str">
        <f t="shared" si="64"/>
        <v/>
      </c>
    </row>
    <row r="4142" spans="26:26" x14ac:dyDescent="0.2">
      <c r="Z4142" t="str">
        <f t="shared" si="64"/>
        <v/>
      </c>
    </row>
    <row r="4143" spans="26:26" x14ac:dyDescent="0.2">
      <c r="Z4143" t="str">
        <f t="shared" si="64"/>
        <v/>
      </c>
    </row>
    <row r="4144" spans="26:26" x14ac:dyDescent="0.2">
      <c r="Z4144" t="str">
        <f t="shared" si="64"/>
        <v/>
      </c>
    </row>
    <row r="4145" spans="26:26" x14ac:dyDescent="0.2">
      <c r="Z4145" t="str">
        <f t="shared" si="64"/>
        <v/>
      </c>
    </row>
    <row r="4146" spans="26:26" x14ac:dyDescent="0.2">
      <c r="Z4146" t="str">
        <f t="shared" si="64"/>
        <v/>
      </c>
    </row>
    <row r="4147" spans="26:26" x14ac:dyDescent="0.2">
      <c r="Z4147" t="str">
        <f t="shared" si="64"/>
        <v/>
      </c>
    </row>
    <row r="4148" spans="26:26" x14ac:dyDescent="0.2">
      <c r="Z4148" t="str">
        <f t="shared" si="64"/>
        <v/>
      </c>
    </row>
    <row r="4149" spans="26:26" x14ac:dyDescent="0.2">
      <c r="Z4149" t="str">
        <f t="shared" si="64"/>
        <v/>
      </c>
    </row>
    <row r="4150" spans="26:26" x14ac:dyDescent="0.2">
      <c r="Z4150" t="str">
        <f t="shared" si="64"/>
        <v/>
      </c>
    </row>
    <row r="4151" spans="26:26" x14ac:dyDescent="0.2">
      <c r="Z4151" t="str">
        <f t="shared" si="64"/>
        <v/>
      </c>
    </row>
    <row r="4152" spans="26:26" x14ac:dyDescent="0.2">
      <c r="Z4152" t="str">
        <f t="shared" si="64"/>
        <v/>
      </c>
    </row>
    <row r="4153" spans="26:26" x14ac:dyDescent="0.2">
      <c r="Z4153" t="str">
        <f t="shared" si="64"/>
        <v/>
      </c>
    </row>
    <row r="4154" spans="26:26" x14ac:dyDescent="0.2">
      <c r="Z4154" t="str">
        <f t="shared" si="64"/>
        <v/>
      </c>
    </row>
    <row r="4155" spans="26:26" x14ac:dyDescent="0.2">
      <c r="Z4155" t="str">
        <f t="shared" si="64"/>
        <v/>
      </c>
    </row>
    <row r="4156" spans="26:26" x14ac:dyDescent="0.2">
      <c r="Z4156" t="str">
        <f t="shared" si="64"/>
        <v/>
      </c>
    </row>
    <row r="4157" spans="26:26" x14ac:dyDescent="0.2">
      <c r="Z4157" t="str">
        <f t="shared" si="64"/>
        <v/>
      </c>
    </row>
    <row r="4158" spans="26:26" x14ac:dyDescent="0.2">
      <c r="Z4158" t="str">
        <f t="shared" si="64"/>
        <v/>
      </c>
    </row>
    <row r="4159" spans="26:26" x14ac:dyDescent="0.2">
      <c r="Z4159" t="str">
        <f t="shared" si="64"/>
        <v/>
      </c>
    </row>
    <row r="4160" spans="26:26" x14ac:dyDescent="0.2">
      <c r="Z4160" t="str">
        <f t="shared" si="64"/>
        <v/>
      </c>
    </row>
    <row r="4161" spans="26:26" x14ac:dyDescent="0.2">
      <c r="Z4161" t="str">
        <f t="shared" si="64"/>
        <v/>
      </c>
    </row>
    <row r="4162" spans="26:26" x14ac:dyDescent="0.2">
      <c r="Z4162" t="str">
        <f t="shared" si="64"/>
        <v/>
      </c>
    </row>
    <row r="4163" spans="26:26" x14ac:dyDescent="0.2">
      <c r="Z4163" t="str">
        <f t="shared" ref="Z4163:Z4226" si="65">IF(K4163="","",IFERROR(VALUE(TRIM(MID(K4163,FIND(CHAR(167),SUBSTITUTE(K4163,"-",CHAR(167),LEN(K4163)-LEN(SUBSTITUTE(K4163,"-",""))))+1,100))),K4163))</f>
        <v/>
      </c>
    </row>
    <row r="4164" spans="26:26" x14ac:dyDescent="0.2">
      <c r="Z4164" t="str">
        <f t="shared" si="65"/>
        <v/>
      </c>
    </row>
    <row r="4165" spans="26:26" x14ac:dyDescent="0.2">
      <c r="Z4165" t="str">
        <f t="shared" si="65"/>
        <v/>
      </c>
    </row>
    <row r="4166" spans="26:26" x14ac:dyDescent="0.2">
      <c r="Z4166" t="str">
        <f t="shared" si="65"/>
        <v/>
      </c>
    </row>
    <row r="4167" spans="26:26" x14ac:dyDescent="0.2">
      <c r="Z4167" t="str">
        <f t="shared" si="65"/>
        <v/>
      </c>
    </row>
    <row r="4168" spans="26:26" x14ac:dyDescent="0.2">
      <c r="Z4168" t="str">
        <f t="shared" si="65"/>
        <v/>
      </c>
    </row>
    <row r="4169" spans="26:26" x14ac:dyDescent="0.2">
      <c r="Z4169" t="str">
        <f t="shared" si="65"/>
        <v/>
      </c>
    </row>
    <row r="4170" spans="26:26" x14ac:dyDescent="0.2">
      <c r="Z4170" t="str">
        <f t="shared" si="65"/>
        <v/>
      </c>
    </row>
    <row r="4171" spans="26:26" x14ac:dyDescent="0.2">
      <c r="Z4171" t="str">
        <f t="shared" si="65"/>
        <v/>
      </c>
    </row>
    <row r="4172" spans="26:26" x14ac:dyDescent="0.2">
      <c r="Z4172" t="str">
        <f t="shared" si="65"/>
        <v/>
      </c>
    </row>
    <row r="4173" spans="26:26" x14ac:dyDescent="0.2">
      <c r="Z4173" t="str">
        <f t="shared" si="65"/>
        <v/>
      </c>
    </row>
    <row r="4174" spans="26:26" x14ac:dyDescent="0.2">
      <c r="Z4174" t="str">
        <f t="shared" si="65"/>
        <v/>
      </c>
    </row>
    <row r="4175" spans="26:26" x14ac:dyDescent="0.2">
      <c r="Z4175" t="str">
        <f t="shared" si="65"/>
        <v/>
      </c>
    </row>
    <row r="4176" spans="26:26" x14ac:dyDescent="0.2">
      <c r="Z4176" t="str">
        <f t="shared" si="65"/>
        <v/>
      </c>
    </row>
    <row r="4177" spans="26:26" x14ac:dyDescent="0.2">
      <c r="Z4177" t="str">
        <f t="shared" si="65"/>
        <v/>
      </c>
    </row>
    <row r="4178" spans="26:26" x14ac:dyDescent="0.2">
      <c r="Z4178" t="str">
        <f t="shared" si="65"/>
        <v/>
      </c>
    </row>
    <row r="4179" spans="26:26" x14ac:dyDescent="0.2">
      <c r="Z4179" t="str">
        <f t="shared" si="65"/>
        <v/>
      </c>
    </row>
    <row r="4180" spans="26:26" x14ac:dyDescent="0.2">
      <c r="Z4180" t="str">
        <f t="shared" si="65"/>
        <v/>
      </c>
    </row>
    <row r="4181" spans="26:26" x14ac:dyDescent="0.2">
      <c r="Z4181" t="str">
        <f t="shared" si="65"/>
        <v/>
      </c>
    </row>
    <row r="4182" spans="26:26" x14ac:dyDescent="0.2">
      <c r="Z4182" t="str">
        <f t="shared" si="65"/>
        <v/>
      </c>
    </row>
    <row r="4183" spans="26:26" x14ac:dyDescent="0.2">
      <c r="Z4183" t="str">
        <f t="shared" si="65"/>
        <v/>
      </c>
    </row>
    <row r="4184" spans="26:26" x14ac:dyDescent="0.2">
      <c r="Z4184" t="str">
        <f t="shared" si="65"/>
        <v/>
      </c>
    </row>
    <row r="4185" spans="26:26" x14ac:dyDescent="0.2">
      <c r="Z4185" t="str">
        <f t="shared" si="65"/>
        <v/>
      </c>
    </row>
    <row r="4186" spans="26:26" x14ac:dyDescent="0.2">
      <c r="Z4186" t="str">
        <f t="shared" si="65"/>
        <v/>
      </c>
    </row>
    <row r="4187" spans="26:26" x14ac:dyDescent="0.2">
      <c r="Z4187" t="str">
        <f t="shared" si="65"/>
        <v/>
      </c>
    </row>
    <row r="4188" spans="26:26" x14ac:dyDescent="0.2">
      <c r="Z4188" t="str">
        <f t="shared" si="65"/>
        <v/>
      </c>
    </row>
    <row r="4189" spans="26:26" x14ac:dyDescent="0.2">
      <c r="Z4189" t="str">
        <f t="shared" si="65"/>
        <v/>
      </c>
    </row>
    <row r="4190" spans="26:26" x14ac:dyDescent="0.2">
      <c r="Z4190" t="str">
        <f t="shared" si="65"/>
        <v/>
      </c>
    </row>
    <row r="4191" spans="26:26" x14ac:dyDescent="0.2">
      <c r="Z4191" t="str">
        <f t="shared" si="65"/>
        <v/>
      </c>
    </row>
    <row r="4192" spans="26:26" x14ac:dyDescent="0.2">
      <c r="Z4192" t="str">
        <f t="shared" si="65"/>
        <v/>
      </c>
    </row>
    <row r="4193" spans="26:26" x14ac:dyDescent="0.2">
      <c r="Z4193" t="str">
        <f t="shared" si="65"/>
        <v/>
      </c>
    </row>
    <row r="4194" spans="26:26" x14ac:dyDescent="0.2">
      <c r="Z4194" t="str">
        <f t="shared" si="65"/>
        <v/>
      </c>
    </row>
    <row r="4195" spans="26:26" x14ac:dyDescent="0.2">
      <c r="Z4195" t="str">
        <f t="shared" si="65"/>
        <v/>
      </c>
    </row>
    <row r="4196" spans="26:26" x14ac:dyDescent="0.2">
      <c r="Z4196" t="str">
        <f t="shared" si="65"/>
        <v/>
      </c>
    </row>
    <row r="4197" spans="26:26" x14ac:dyDescent="0.2">
      <c r="Z4197" t="str">
        <f t="shared" si="65"/>
        <v/>
      </c>
    </row>
    <row r="4198" spans="26:26" x14ac:dyDescent="0.2">
      <c r="Z4198" t="str">
        <f t="shared" si="65"/>
        <v/>
      </c>
    </row>
    <row r="4199" spans="26:26" x14ac:dyDescent="0.2">
      <c r="Z4199" t="str">
        <f t="shared" si="65"/>
        <v/>
      </c>
    </row>
    <row r="4200" spans="26:26" x14ac:dyDescent="0.2">
      <c r="Z4200" t="str">
        <f t="shared" si="65"/>
        <v/>
      </c>
    </row>
    <row r="4201" spans="26:26" x14ac:dyDescent="0.2">
      <c r="Z4201" t="str">
        <f t="shared" si="65"/>
        <v/>
      </c>
    </row>
    <row r="4202" spans="26:26" x14ac:dyDescent="0.2">
      <c r="Z4202" t="str">
        <f t="shared" si="65"/>
        <v/>
      </c>
    </row>
    <row r="4203" spans="26:26" x14ac:dyDescent="0.2">
      <c r="Z4203" t="str">
        <f t="shared" si="65"/>
        <v/>
      </c>
    </row>
    <row r="4204" spans="26:26" x14ac:dyDescent="0.2">
      <c r="Z4204" t="str">
        <f t="shared" si="65"/>
        <v/>
      </c>
    </row>
    <row r="4205" spans="26:26" x14ac:dyDescent="0.2">
      <c r="Z4205" t="str">
        <f t="shared" si="65"/>
        <v/>
      </c>
    </row>
    <row r="4206" spans="26:26" x14ac:dyDescent="0.2">
      <c r="Z4206" t="str">
        <f t="shared" si="65"/>
        <v/>
      </c>
    </row>
    <row r="4207" spans="26:26" x14ac:dyDescent="0.2">
      <c r="Z4207" t="str">
        <f t="shared" si="65"/>
        <v/>
      </c>
    </row>
    <row r="4208" spans="26:26" x14ac:dyDescent="0.2">
      <c r="Z4208" t="str">
        <f t="shared" si="65"/>
        <v/>
      </c>
    </row>
    <row r="4209" spans="26:26" x14ac:dyDescent="0.2">
      <c r="Z4209" t="str">
        <f t="shared" si="65"/>
        <v/>
      </c>
    </row>
    <row r="4210" spans="26:26" x14ac:dyDescent="0.2">
      <c r="Z4210" t="str">
        <f t="shared" si="65"/>
        <v/>
      </c>
    </row>
    <row r="4211" spans="26:26" x14ac:dyDescent="0.2">
      <c r="Z4211" t="str">
        <f t="shared" si="65"/>
        <v/>
      </c>
    </row>
    <row r="4212" spans="26:26" x14ac:dyDescent="0.2">
      <c r="Z4212" t="str">
        <f t="shared" si="65"/>
        <v/>
      </c>
    </row>
    <row r="4213" spans="26:26" x14ac:dyDescent="0.2">
      <c r="Z4213" t="str">
        <f t="shared" si="65"/>
        <v/>
      </c>
    </row>
    <row r="4214" spans="26:26" x14ac:dyDescent="0.2">
      <c r="Z4214" t="str">
        <f t="shared" si="65"/>
        <v/>
      </c>
    </row>
    <row r="4215" spans="26:26" x14ac:dyDescent="0.2">
      <c r="Z4215" t="str">
        <f t="shared" si="65"/>
        <v/>
      </c>
    </row>
    <row r="4216" spans="26:26" x14ac:dyDescent="0.2">
      <c r="Z4216" t="str">
        <f t="shared" si="65"/>
        <v/>
      </c>
    </row>
    <row r="4217" spans="26:26" x14ac:dyDescent="0.2">
      <c r="Z4217" t="str">
        <f t="shared" si="65"/>
        <v/>
      </c>
    </row>
    <row r="4218" spans="26:26" x14ac:dyDescent="0.2">
      <c r="Z4218" t="str">
        <f t="shared" si="65"/>
        <v/>
      </c>
    </row>
    <row r="4219" spans="26:26" x14ac:dyDescent="0.2">
      <c r="Z4219" t="str">
        <f t="shared" si="65"/>
        <v/>
      </c>
    </row>
    <row r="4220" spans="26:26" x14ac:dyDescent="0.2">
      <c r="Z4220" t="str">
        <f t="shared" si="65"/>
        <v/>
      </c>
    </row>
    <row r="4221" spans="26:26" x14ac:dyDescent="0.2">
      <c r="Z4221" t="str">
        <f t="shared" si="65"/>
        <v/>
      </c>
    </row>
    <row r="4222" spans="26:26" x14ac:dyDescent="0.2">
      <c r="Z4222" t="str">
        <f t="shared" si="65"/>
        <v/>
      </c>
    </row>
    <row r="4223" spans="26:26" x14ac:dyDescent="0.2">
      <c r="Z4223" t="str">
        <f t="shared" si="65"/>
        <v/>
      </c>
    </row>
    <row r="4224" spans="26:26" x14ac:dyDescent="0.2">
      <c r="Z4224" t="str">
        <f t="shared" si="65"/>
        <v/>
      </c>
    </row>
    <row r="4225" spans="26:26" x14ac:dyDescent="0.2">
      <c r="Z4225" t="str">
        <f t="shared" si="65"/>
        <v/>
      </c>
    </row>
    <row r="4226" spans="26:26" x14ac:dyDescent="0.2">
      <c r="Z4226" t="str">
        <f t="shared" si="65"/>
        <v/>
      </c>
    </row>
    <row r="4227" spans="26:26" x14ac:dyDescent="0.2">
      <c r="Z4227" t="str">
        <f t="shared" ref="Z4227:Z4290" si="66">IF(K4227="","",IFERROR(VALUE(TRIM(MID(K4227,FIND(CHAR(167),SUBSTITUTE(K4227,"-",CHAR(167),LEN(K4227)-LEN(SUBSTITUTE(K4227,"-",""))))+1,100))),K4227))</f>
        <v/>
      </c>
    </row>
    <row r="4228" spans="26:26" x14ac:dyDescent="0.2">
      <c r="Z4228" t="str">
        <f t="shared" si="66"/>
        <v/>
      </c>
    </row>
    <row r="4229" spans="26:26" x14ac:dyDescent="0.2">
      <c r="Z4229" t="str">
        <f t="shared" si="66"/>
        <v/>
      </c>
    </row>
    <row r="4230" spans="26:26" x14ac:dyDescent="0.2">
      <c r="Z4230" t="str">
        <f t="shared" si="66"/>
        <v/>
      </c>
    </row>
    <row r="4231" spans="26:26" x14ac:dyDescent="0.2">
      <c r="Z4231" t="str">
        <f t="shared" si="66"/>
        <v/>
      </c>
    </row>
    <row r="4232" spans="26:26" x14ac:dyDescent="0.2">
      <c r="Z4232" t="str">
        <f t="shared" si="66"/>
        <v/>
      </c>
    </row>
    <row r="4233" spans="26:26" x14ac:dyDescent="0.2">
      <c r="Z4233" t="str">
        <f t="shared" si="66"/>
        <v/>
      </c>
    </row>
    <row r="4234" spans="26:26" x14ac:dyDescent="0.2">
      <c r="Z4234" t="str">
        <f t="shared" si="66"/>
        <v/>
      </c>
    </row>
    <row r="4235" spans="26:26" x14ac:dyDescent="0.2">
      <c r="Z4235" t="str">
        <f t="shared" si="66"/>
        <v/>
      </c>
    </row>
    <row r="4236" spans="26:26" x14ac:dyDescent="0.2">
      <c r="Z4236" t="str">
        <f t="shared" si="66"/>
        <v/>
      </c>
    </row>
    <row r="4237" spans="26:26" x14ac:dyDescent="0.2">
      <c r="Z4237" t="str">
        <f t="shared" si="66"/>
        <v/>
      </c>
    </row>
    <row r="4238" spans="26:26" x14ac:dyDescent="0.2">
      <c r="Z4238" t="str">
        <f t="shared" si="66"/>
        <v/>
      </c>
    </row>
    <row r="4239" spans="26:26" x14ac:dyDescent="0.2">
      <c r="Z4239" t="str">
        <f t="shared" si="66"/>
        <v/>
      </c>
    </row>
    <row r="4240" spans="26:26" x14ac:dyDescent="0.2">
      <c r="Z4240" t="str">
        <f t="shared" si="66"/>
        <v/>
      </c>
    </row>
    <row r="4241" spans="26:26" x14ac:dyDescent="0.2">
      <c r="Z4241" t="str">
        <f t="shared" si="66"/>
        <v/>
      </c>
    </row>
    <row r="4242" spans="26:26" x14ac:dyDescent="0.2">
      <c r="Z4242" t="str">
        <f t="shared" si="66"/>
        <v/>
      </c>
    </row>
    <row r="4243" spans="26:26" x14ac:dyDescent="0.2">
      <c r="Z4243" t="str">
        <f t="shared" si="66"/>
        <v/>
      </c>
    </row>
    <row r="4244" spans="26:26" x14ac:dyDescent="0.2">
      <c r="Z4244" t="str">
        <f t="shared" si="66"/>
        <v/>
      </c>
    </row>
    <row r="4245" spans="26:26" x14ac:dyDescent="0.2">
      <c r="Z4245" t="str">
        <f t="shared" si="66"/>
        <v/>
      </c>
    </row>
    <row r="4246" spans="26:26" x14ac:dyDescent="0.2">
      <c r="Z4246" t="str">
        <f t="shared" si="66"/>
        <v/>
      </c>
    </row>
    <row r="4247" spans="26:26" x14ac:dyDescent="0.2">
      <c r="Z4247" t="str">
        <f t="shared" si="66"/>
        <v/>
      </c>
    </row>
    <row r="4248" spans="26:26" x14ac:dyDescent="0.2">
      <c r="Z4248" t="str">
        <f t="shared" si="66"/>
        <v/>
      </c>
    </row>
    <row r="4249" spans="26:26" x14ac:dyDescent="0.2">
      <c r="Z4249" t="str">
        <f t="shared" si="66"/>
        <v/>
      </c>
    </row>
    <row r="4250" spans="26:26" x14ac:dyDescent="0.2">
      <c r="Z4250" t="str">
        <f t="shared" si="66"/>
        <v/>
      </c>
    </row>
    <row r="4251" spans="26:26" x14ac:dyDescent="0.2">
      <c r="Z4251" t="str">
        <f t="shared" si="66"/>
        <v/>
      </c>
    </row>
    <row r="4252" spans="26:26" x14ac:dyDescent="0.2">
      <c r="Z4252" t="str">
        <f t="shared" si="66"/>
        <v/>
      </c>
    </row>
    <row r="4253" spans="26:26" x14ac:dyDescent="0.2">
      <c r="Z4253" t="str">
        <f t="shared" si="66"/>
        <v/>
      </c>
    </row>
    <row r="4254" spans="26:26" x14ac:dyDescent="0.2">
      <c r="Z4254" t="str">
        <f t="shared" si="66"/>
        <v/>
      </c>
    </row>
    <row r="4255" spans="26:26" x14ac:dyDescent="0.2">
      <c r="Z4255" t="str">
        <f t="shared" si="66"/>
        <v/>
      </c>
    </row>
    <row r="4256" spans="26:26" x14ac:dyDescent="0.2">
      <c r="Z4256" t="str">
        <f t="shared" si="66"/>
        <v/>
      </c>
    </row>
    <row r="4257" spans="26:26" x14ac:dyDescent="0.2">
      <c r="Z4257" t="str">
        <f t="shared" si="66"/>
        <v/>
      </c>
    </row>
    <row r="4258" spans="26:26" x14ac:dyDescent="0.2">
      <c r="Z4258" t="str">
        <f t="shared" si="66"/>
        <v/>
      </c>
    </row>
    <row r="4259" spans="26:26" x14ac:dyDescent="0.2">
      <c r="Z4259" t="str">
        <f t="shared" si="66"/>
        <v/>
      </c>
    </row>
    <row r="4260" spans="26:26" x14ac:dyDescent="0.2">
      <c r="Z4260" t="str">
        <f t="shared" si="66"/>
        <v/>
      </c>
    </row>
    <row r="4261" spans="26:26" x14ac:dyDescent="0.2">
      <c r="Z4261" t="str">
        <f t="shared" si="66"/>
        <v/>
      </c>
    </row>
    <row r="4262" spans="26:26" x14ac:dyDescent="0.2">
      <c r="Z4262" t="str">
        <f t="shared" si="66"/>
        <v/>
      </c>
    </row>
    <row r="4263" spans="26:26" x14ac:dyDescent="0.2">
      <c r="Z4263" t="str">
        <f t="shared" si="66"/>
        <v/>
      </c>
    </row>
    <row r="4264" spans="26:26" x14ac:dyDescent="0.2">
      <c r="Z4264" t="str">
        <f t="shared" si="66"/>
        <v/>
      </c>
    </row>
    <row r="4265" spans="26:26" x14ac:dyDescent="0.2">
      <c r="Z4265" t="str">
        <f t="shared" si="66"/>
        <v/>
      </c>
    </row>
    <row r="4266" spans="26:26" x14ac:dyDescent="0.2">
      <c r="Z4266" t="str">
        <f t="shared" si="66"/>
        <v/>
      </c>
    </row>
    <row r="4267" spans="26:26" x14ac:dyDescent="0.2">
      <c r="Z4267" t="str">
        <f t="shared" si="66"/>
        <v/>
      </c>
    </row>
    <row r="4268" spans="26:26" x14ac:dyDescent="0.2">
      <c r="Z4268" t="str">
        <f t="shared" si="66"/>
        <v/>
      </c>
    </row>
    <row r="4269" spans="26:26" x14ac:dyDescent="0.2">
      <c r="Z4269" t="str">
        <f t="shared" si="66"/>
        <v/>
      </c>
    </row>
    <row r="4270" spans="26:26" x14ac:dyDescent="0.2">
      <c r="Z4270" t="str">
        <f t="shared" si="66"/>
        <v/>
      </c>
    </row>
    <row r="4271" spans="26:26" x14ac:dyDescent="0.2">
      <c r="Z4271" t="str">
        <f t="shared" si="66"/>
        <v/>
      </c>
    </row>
    <row r="4272" spans="26:26" x14ac:dyDescent="0.2">
      <c r="Z4272" t="str">
        <f t="shared" si="66"/>
        <v/>
      </c>
    </row>
    <row r="4273" spans="26:26" x14ac:dyDescent="0.2">
      <c r="Z4273" t="str">
        <f t="shared" si="66"/>
        <v/>
      </c>
    </row>
    <row r="4274" spans="26:26" x14ac:dyDescent="0.2">
      <c r="Z4274" t="str">
        <f t="shared" si="66"/>
        <v/>
      </c>
    </row>
    <row r="4275" spans="26:26" x14ac:dyDescent="0.2">
      <c r="Z4275" t="str">
        <f t="shared" si="66"/>
        <v/>
      </c>
    </row>
    <row r="4276" spans="26:26" x14ac:dyDescent="0.2">
      <c r="Z4276" t="str">
        <f t="shared" si="66"/>
        <v/>
      </c>
    </row>
    <row r="4277" spans="26:26" x14ac:dyDescent="0.2">
      <c r="Z4277" t="str">
        <f t="shared" si="66"/>
        <v/>
      </c>
    </row>
    <row r="4278" spans="26:26" x14ac:dyDescent="0.2">
      <c r="Z4278" t="str">
        <f t="shared" si="66"/>
        <v/>
      </c>
    </row>
    <row r="4279" spans="26:26" x14ac:dyDescent="0.2">
      <c r="Z4279" t="str">
        <f t="shared" si="66"/>
        <v/>
      </c>
    </row>
    <row r="4280" spans="26:26" x14ac:dyDescent="0.2">
      <c r="Z4280" t="str">
        <f t="shared" si="66"/>
        <v/>
      </c>
    </row>
    <row r="4281" spans="26:26" x14ac:dyDescent="0.2">
      <c r="Z4281" t="str">
        <f t="shared" si="66"/>
        <v/>
      </c>
    </row>
    <row r="4282" spans="26:26" x14ac:dyDescent="0.2">
      <c r="Z4282" t="str">
        <f t="shared" si="66"/>
        <v/>
      </c>
    </row>
    <row r="4283" spans="26:26" x14ac:dyDescent="0.2">
      <c r="Z4283" t="str">
        <f t="shared" si="66"/>
        <v/>
      </c>
    </row>
    <row r="4284" spans="26:26" x14ac:dyDescent="0.2">
      <c r="Z4284" t="str">
        <f t="shared" si="66"/>
        <v/>
      </c>
    </row>
    <row r="4285" spans="26:26" x14ac:dyDescent="0.2">
      <c r="Z4285" t="str">
        <f t="shared" si="66"/>
        <v/>
      </c>
    </row>
    <row r="4286" spans="26:26" x14ac:dyDescent="0.2">
      <c r="Z4286" t="str">
        <f t="shared" si="66"/>
        <v/>
      </c>
    </row>
    <row r="4287" spans="26:26" x14ac:dyDescent="0.2">
      <c r="Z4287" t="str">
        <f t="shared" si="66"/>
        <v/>
      </c>
    </row>
    <row r="4288" spans="26:26" x14ac:dyDescent="0.2">
      <c r="Z4288" t="str">
        <f t="shared" si="66"/>
        <v/>
      </c>
    </row>
    <row r="4289" spans="26:26" x14ac:dyDescent="0.2">
      <c r="Z4289" t="str">
        <f t="shared" si="66"/>
        <v/>
      </c>
    </row>
    <row r="4290" spans="26:26" x14ac:dyDescent="0.2">
      <c r="Z4290" t="str">
        <f t="shared" si="66"/>
        <v/>
      </c>
    </row>
    <row r="4291" spans="26:26" x14ac:dyDescent="0.2">
      <c r="Z4291" t="str">
        <f t="shared" ref="Z4291:Z4354" si="67">IF(K4291="","",IFERROR(VALUE(TRIM(MID(K4291,FIND(CHAR(167),SUBSTITUTE(K4291,"-",CHAR(167),LEN(K4291)-LEN(SUBSTITUTE(K4291,"-",""))))+1,100))),K4291))</f>
        <v/>
      </c>
    </row>
    <row r="4292" spans="26:26" x14ac:dyDescent="0.2">
      <c r="Z4292" t="str">
        <f t="shared" si="67"/>
        <v/>
      </c>
    </row>
    <row r="4293" spans="26:26" x14ac:dyDescent="0.2">
      <c r="Z4293" t="str">
        <f t="shared" si="67"/>
        <v/>
      </c>
    </row>
    <row r="4294" spans="26:26" x14ac:dyDescent="0.2">
      <c r="Z4294" t="str">
        <f t="shared" si="67"/>
        <v/>
      </c>
    </row>
    <row r="4295" spans="26:26" x14ac:dyDescent="0.2">
      <c r="Z4295" t="str">
        <f t="shared" si="67"/>
        <v/>
      </c>
    </row>
    <row r="4296" spans="26:26" x14ac:dyDescent="0.2">
      <c r="Z4296" t="str">
        <f t="shared" si="67"/>
        <v/>
      </c>
    </row>
    <row r="4297" spans="26:26" x14ac:dyDescent="0.2">
      <c r="Z4297" t="str">
        <f t="shared" si="67"/>
        <v/>
      </c>
    </row>
    <row r="4298" spans="26:26" x14ac:dyDescent="0.2">
      <c r="Z4298" t="str">
        <f t="shared" si="67"/>
        <v/>
      </c>
    </row>
    <row r="4299" spans="26:26" x14ac:dyDescent="0.2">
      <c r="Z4299" t="str">
        <f t="shared" si="67"/>
        <v/>
      </c>
    </row>
    <row r="4300" spans="26:26" x14ac:dyDescent="0.2">
      <c r="Z4300" t="str">
        <f t="shared" si="67"/>
        <v/>
      </c>
    </row>
    <row r="4301" spans="26:26" x14ac:dyDescent="0.2">
      <c r="Z4301" t="str">
        <f t="shared" si="67"/>
        <v/>
      </c>
    </row>
    <row r="4302" spans="26:26" x14ac:dyDescent="0.2">
      <c r="Z4302" t="str">
        <f t="shared" si="67"/>
        <v/>
      </c>
    </row>
    <row r="4303" spans="26:26" x14ac:dyDescent="0.2">
      <c r="Z4303" t="str">
        <f t="shared" si="67"/>
        <v/>
      </c>
    </row>
    <row r="4304" spans="26:26" x14ac:dyDescent="0.2">
      <c r="Z4304" t="str">
        <f t="shared" si="67"/>
        <v/>
      </c>
    </row>
    <row r="4305" spans="26:26" x14ac:dyDescent="0.2">
      <c r="Z4305" t="str">
        <f t="shared" si="67"/>
        <v/>
      </c>
    </row>
    <row r="4306" spans="26:26" x14ac:dyDescent="0.2">
      <c r="Z4306" t="str">
        <f t="shared" si="67"/>
        <v/>
      </c>
    </row>
    <row r="4307" spans="26:26" x14ac:dyDescent="0.2">
      <c r="Z4307" t="str">
        <f t="shared" si="67"/>
        <v/>
      </c>
    </row>
    <row r="4308" spans="26:26" x14ac:dyDescent="0.2">
      <c r="Z4308" t="str">
        <f t="shared" si="67"/>
        <v/>
      </c>
    </row>
    <row r="4309" spans="26:26" x14ac:dyDescent="0.2">
      <c r="Z4309" t="str">
        <f t="shared" si="67"/>
        <v/>
      </c>
    </row>
    <row r="4310" spans="26:26" x14ac:dyDescent="0.2">
      <c r="Z4310" t="str">
        <f t="shared" si="67"/>
        <v/>
      </c>
    </row>
    <row r="4311" spans="26:26" x14ac:dyDescent="0.2">
      <c r="Z4311" t="str">
        <f t="shared" si="67"/>
        <v/>
      </c>
    </row>
    <row r="4312" spans="26:26" x14ac:dyDescent="0.2">
      <c r="Z4312" t="str">
        <f t="shared" si="67"/>
        <v/>
      </c>
    </row>
    <row r="4313" spans="26:26" x14ac:dyDescent="0.2">
      <c r="Z4313" t="str">
        <f t="shared" si="67"/>
        <v/>
      </c>
    </row>
    <row r="4314" spans="26:26" x14ac:dyDescent="0.2">
      <c r="Z4314" t="str">
        <f t="shared" si="67"/>
        <v/>
      </c>
    </row>
    <row r="4315" spans="26:26" x14ac:dyDescent="0.2">
      <c r="Z4315" t="str">
        <f t="shared" si="67"/>
        <v/>
      </c>
    </row>
    <row r="4316" spans="26:26" x14ac:dyDescent="0.2">
      <c r="Z4316" t="str">
        <f t="shared" si="67"/>
        <v/>
      </c>
    </row>
    <row r="4317" spans="26:26" x14ac:dyDescent="0.2">
      <c r="Z4317" t="str">
        <f t="shared" si="67"/>
        <v/>
      </c>
    </row>
    <row r="4318" spans="26:26" x14ac:dyDescent="0.2">
      <c r="Z4318" t="str">
        <f t="shared" si="67"/>
        <v/>
      </c>
    </row>
    <row r="4319" spans="26:26" x14ac:dyDescent="0.2">
      <c r="Z4319" t="str">
        <f t="shared" si="67"/>
        <v/>
      </c>
    </row>
    <row r="4320" spans="26:26" x14ac:dyDescent="0.2">
      <c r="Z4320" t="str">
        <f t="shared" si="67"/>
        <v/>
      </c>
    </row>
    <row r="4321" spans="26:26" x14ac:dyDescent="0.2">
      <c r="Z4321" t="str">
        <f t="shared" si="67"/>
        <v/>
      </c>
    </row>
    <row r="4322" spans="26:26" x14ac:dyDescent="0.2">
      <c r="Z4322" t="str">
        <f t="shared" si="67"/>
        <v/>
      </c>
    </row>
    <row r="4323" spans="26:26" x14ac:dyDescent="0.2">
      <c r="Z4323" t="str">
        <f t="shared" si="67"/>
        <v/>
      </c>
    </row>
    <row r="4324" spans="26:26" x14ac:dyDescent="0.2">
      <c r="Z4324" t="str">
        <f t="shared" si="67"/>
        <v/>
      </c>
    </row>
    <row r="4325" spans="26:26" x14ac:dyDescent="0.2">
      <c r="Z4325" t="str">
        <f t="shared" si="67"/>
        <v/>
      </c>
    </row>
    <row r="4326" spans="26:26" x14ac:dyDescent="0.2">
      <c r="Z4326" t="str">
        <f t="shared" si="67"/>
        <v/>
      </c>
    </row>
    <row r="4327" spans="26:26" x14ac:dyDescent="0.2">
      <c r="Z4327" t="str">
        <f t="shared" si="67"/>
        <v/>
      </c>
    </row>
    <row r="4328" spans="26:26" x14ac:dyDescent="0.2">
      <c r="Z4328" t="str">
        <f t="shared" si="67"/>
        <v/>
      </c>
    </row>
    <row r="4329" spans="26:26" x14ac:dyDescent="0.2">
      <c r="Z4329" t="str">
        <f t="shared" si="67"/>
        <v/>
      </c>
    </row>
    <row r="4330" spans="26:26" x14ac:dyDescent="0.2">
      <c r="Z4330" t="str">
        <f t="shared" si="67"/>
        <v/>
      </c>
    </row>
    <row r="4331" spans="26:26" x14ac:dyDescent="0.2">
      <c r="Z4331" t="str">
        <f t="shared" si="67"/>
        <v/>
      </c>
    </row>
    <row r="4332" spans="26:26" x14ac:dyDescent="0.2">
      <c r="Z4332" t="str">
        <f t="shared" si="67"/>
        <v/>
      </c>
    </row>
    <row r="4333" spans="26:26" x14ac:dyDescent="0.2">
      <c r="Z4333" t="str">
        <f t="shared" si="67"/>
        <v/>
      </c>
    </row>
    <row r="4334" spans="26:26" x14ac:dyDescent="0.2">
      <c r="Z4334" t="str">
        <f t="shared" si="67"/>
        <v/>
      </c>
    </row>
    <row r="4335" spans="26:26" x14ac:dyDescent="0.2">
      <c r="Z4335" t="str">
        <f t="shared" si="67"/>
        <v/>
      </c>
    </row>
    <row r="4336" spans="26:26" x14ac:dyDescent="0.2">
      <c r="Z4336" t="str">
        <f t="shared" si="67"/>
        <v/>
      </c>
    </row>
    <row r="4337" spans="26:26" x14ac:dyDescent="0.2">
      <c r="Z4337" t="str">
        <f t="shared" si="67"/>
        <v/>
      </c>
    </row>
    <row r="4338" spans="26:26" x14ac:dyDescent="0.2">
      <c r="Z4338" t="str">
        <f t="shared" si="67"/>
        <v/>
      </c>
    </row>
    <row r="4339" spans="26:26" x14ac:dyDescent="0.2">
      <c r="Z4339" t="str">
        <f t="shared" si="67"/>
        <v/>
      </c>
    </row>
    <row r="4340" spans="26:26" x14ac:dyDescent="0.2">
      <c r="Z4340" t="str">
        <f t="shared" si="67"/>
        <v/>
      </c>
    </row>
    <row r="4341" spans="26:26" x14ac:dyDescent="0.2">
      <c r="Z4341" t="str">
        <f t="shared" si="67"/>
        <v/>
      </c>
    </row>
    <row r="4342" spans="26:26" x14ac:dyDescent="0.2">
      <c r="Z4342" t="str">
        <f t="shared" si="67"/>
        <v/>
      </c>
    </row>
    <row r="4343" spans="26:26" x14ac:dyDescent="0.2">
      <c r="Z4343" t="str">
        <f t="shared" si="67"/>
        <v/>
      </c>
    </row>
    <row r="4344" spans="26:26" x14ac:dyDescent="0.2">
      <c r="Z4344" t="str">
        <f t="shared" si="67"/>
        <v/>
      </c>
    </row>
    <row r="4345" spans="26:26" x14ac:dyDescent="0.2">
      <c r="Z4345" t="str">
        <f t="shared" si="67"/>
        <v/>
      </c>
    </row>
    <row r="4346" spans="26:26" x14ac:dyDescent="0.2">
      <c r="Z4346" t="str">
        <f t="shared" si="67"/>
        <v/>
      </c>
    </row>
    <row r="4347" spans="26:26" x14ac:dyDescent="0.2">
      <c r="Z4347" t="str">
        <f t="shared" si="67"/>
        <v/>
      </c>
    </row>
    <row r="4348" spans="26:26" x14ac:dyDescent="0.2">
      <c r="Z4348" t="str">
        <f t="shared" si="67"/>
        <v/>
      </c>
    </row>
    <row r="4349" spans="26:26" x14ac:dyDescent="0.2">
      <c r="Z4349" t="str">
        <f t="shared" si="67"/>
        <v/>
      </c>
    </row>
    <row r="4350" spans="26:26" x14ac:dyDescent="0.2">
      <c r="Z4350" t="str">
        <f t="shared" si="67"/>
        <v/>
      </c>
    </row>
    <row r="4351" spans="26:26" x14ac:dyDescent="0.2">
      <c r="Z4351" t="str">
        <f t="shared" si="67"/>
        <v/>
      </c>
    </row>
    <row r="4352" spans="26:26" x14ac:dyDescent="0.2">
      <c r="Z4352" t="str">
        <f t="shared" si="67"/>
        <v/>
      </c>
    </row>
    <row r="4353" spans="26:26" x14ac:dyDescent="0.2">
      <c r="Z4353" t="str">
        <f t="shared" si="67"/>
        <v/>
      </c>
    </row>
    <row r="4354" spans="26:26" x14ac:dyDescent="0.2">
      <c r="Z4354" t="str">
        <f t="shared" si="67"/>
        <v/>
      </c>
    </row>
    <row r="4355" spans="26:26" x14ac:dyDescent="0.2">
      <c r="Z4355" t="str">
        <f t="shared" ref="Z4355:Z4418" si="68">IF(K4355="","",IFERROR(VALUE(TRIM(MID(K4355,FIND(CHAR(167),SUBSTITUTE(K4355,"-",CHAR(167),LEN(K4355)-LEN(SUBSTITUTE(K4355,"-",""))))+1,100))),K4355))</f>
        <v/>
      </c>
    </row>
    <row r="4356" spans="26:26" x14ac:dyDescent="0.2">
      <c r="Z4356" t="str">
        <f t="shared" si="68"/>
        <v/>
      </c>
    </row>
    <row r="4357" spans="26:26" x14ac:dyDescent="0.2">
      <c r="Z4357" t="str">
        <f t="shared" si="68"/>
        <v/>
      </c>
    </row>
    <row r="4358" spans="26:26" x14ac:dyDescent="0.2">
      <c r="Z4358" t="str">
        <f t="shared" si="68"/>
        <v/>
      </c>
    </row>
    <row r="4359" spans="26:26" x14ac:dyDescent="0.2">
      <c r="Z4359" t="str">
        <f t="shared" si="68"/>
        <v/>
      </c>
    </row>
    <row r="4360" spans="26:26" x14ac:dyDescent="0.2">
      <c r="Z4360" t="str">
        <f t="shared" si="68"/>
        <v/>
      </c>
    </row>
    <row r="4361" spans="26:26" x14ac:dyDescent="0.2">
      <c r="Z4361" t="str">
        <f t="shared" si="68"/>
        <v/>
      </c>
    </row>
    <row r="4362" spans="26:26" x14ac:dyDescent="0.2">
      <c r="Z4362" t="str">
        <f t="shared" si="68"/>
        <v/>
      </c>
    </row>
    <row r="4363" spans="26:26" x14ac:dyDescent="0.2">
      <c r="Z4363" t="str">
        <f t="shared" si="68"/>
        <v/>
      </c>
    </row>
    <row r="4364" spans="26:26" x14ac:dyDescent="0.2">
      <c r="Z4364" t="str">
        <f t="shared" si="68"/>
        <v/>
      </c>
    </row>
    <row r="4365" spans="26:26" x14ac:dyDescent="0.2">
      <c r="Z4365" t="str">
        <f t="shared" si="68"/>
        <v/>
      </c>
    </row>
    <row r="4366" spans="26:26" x14ac:dyDescent="0.2">
      <c r="Z4366" t="str">
        <f t="shared" si="68"/>
        <v/>
      </c>
    </row>
    <row r="4367" spans="26:26" x14ac:dyDescent="0.2">
      <c r="Z4367" t="str">
        <f t="shared" si="68"/>
        <v/>
      </c>
    </row>
    <row r="4368" spans="26:26" x14ac:dyDescent="0.2">
      <c r="Z4368" t="str">
        <f t="shared" si="68"/>
        <v/>
      </c>
    </row>
    <row r="4369" spans="26:26" x14ac:dyDescent="0.2">
      <c r="Z4369" t="str">
        <f t="shared" si="68"/>
        <v/>
      </c>
    </row>
    <row r="4370" spans="26:26" x14ac:dyDescent="0.2">
      <c r="Z4370" t="str">
        <f t="shared" si="68"/>
        <v/>
      </c>
    </row>
    <row r="4371" spans="26:26" x14ac:dyDescent="0.2">
      <c r="Z4371" t="str">
        <f t="shared" si="68"/>
        <v/>
      </c>
    </row>
    <row r="4372" spans="26:26" x14ac:dyDescent="0.2">
      <c r="Z4372" t="str">
        <f t="shared" si="68"/>
        <v/>
      </c>
    </row>
    <row r="4373" spans="26:26" x14ac:dyDescent="0.2">
      <c r="Z4373" t="str">
        <f t="shared" si="68"/>
        <v/>
      </c>
    </row>
    <row r="4374" spans="26:26" x14ac:dyDescent="0.2">
      <c r="Z4374" t="str">
        <f t="shared" si="68"/>
        <v/>
      </c>
    </row>
    <row r="4375" spans="26:26" x14ac:dyDescent="0.2">
      <c r="Z4375" t="str">
        <f t="shared" si="68"/>
        <v/>
      </c>
    </row>
    <row r="4376" spans="26:26" x14ac:dyDescent="0.2">
      <c r="Z4376" t="str">
        <f t="shared" si="68"/>
        <v/>
      </c>
    </row>
    <row r="4377" spans="26:26" x14ac:dyDescent="0.2">
      <c r="Z4377" t="str">
        <f t="shared" si="68"/>
        <v/>
      </c>
    </row>
    <row r="4378" spans="26:26" x14ac:dyDescent="0.2">
      <c r="Z4378" t="str">
        <f t="shared" si="68"/>
        <v/>
      </c>
    </row>
    <row r="4379" spans="26:26" x14ac:dyDescent="0.2">
      <c r="Z4379" t="str">
        <f t="shared" si="68"/>
        <v/>
      </c>
    </row>
    <row r="4380" spans="26:26" x14ac:dyDescent="0.2">
      <c r="Z4380" t="str">
        <f t="shared" si="68"/>
        <v/>
      </c>
    </row>
    <row r="4381" spans="26:26" x14ac:dyDescent="0.2">
      <c r="Z4381" t="str">
        <f t="shared" si="68"/>
        <v/>
      </c>
    </row>
    <row r="4382" spans="26:26" x14ac:dyDescent="0.2">
      <c r="Z4382" t="str">
        <f t="shared" si="68"/>
        <v/>
      </c>
    </row>
    <row r="4383" spans="26:26" x14ac:dyDescent="0.2">
      <c r="Z4383" t="str">
        <f t="shared" si="68"/>
        <v/>
      </c>
    </row>
    <row r="4384" spans="26:26" x14ac:dyDescent="0.2">
      <c r="Z4384" t="str">
        <f t="shared" si="68"/>
        <v/>
      </c>
    </row>
    <row r="4385" spans="26:26" x14ac:dyDescent="0.2">
      <c r="Z4385" t="str">
        <f t="shared" si="68"/>
        <v/>
      </c>
    </row>
    <row r="4386" spans="26:26" x14ac:dyDescent="0.2">
      <c r="Z4386" t="str">
        <f t="shared" si="68"/>
        <v/>
      </c>
    </row>
    <row r="4387" spans="26:26" x14ac:dyDescent="0.2">
      <c r="Z4387" t="str">
        <f t="shared" si="68"/>
        <v/>
      </c>
    </row>
    <row r="4388" spans="26:26" x14ac:dyDescent="0.2">
      <c r="Z4388" t="str">
        <f t="shared" si="68"/>
        <v/>
      </c>
    </row>
    <row r="4389" spans="26:26" x14ac:dyDescent="0.2">
      <c r="Z4389" t="str">
        <f t="shared" si="68"/>
        <v/>
      </c>
    </row>
    <row r="4390" spans="26:26" x14ac:dyDescent="0.2">
      <c r="Z4390" t="str">
        <f t="shared" si="68"/>
        <v/>
      </c>
    </row>
    <row r="4391" spans="26:26" x14ac:dyDescent="0.2">
      <c r="Z4391" t="str">
        <f t="shared" si="68"/>
        <v/>
      </c>
    </row>
    <row r="4392" spans="26:26" x14ac:dyDescent="0.2">
      <c r="Z4392" t="str">
        <f t="shared" si="68"/>
        <v/>
      </c>
    </row>
    <row r="4393" spans="26:26" x14ac:dyDescent="0.2">
      <c r="Z4393" t="str">
        <f t="shared" si="68"/>
        <v/>
      </c>
    </row>
    <row r="4394" spans="26:26" x14ac:dyDescent="0.2">
      <c r="Z4394" t="str">
        <f t="shared" si="68"/>
        <v/>
      </c>
    </row>
    <row r="4395" spans="26:26" x14ac:dyDescent="0.2">
      <c r="Z4395" t="str">
        <f t="shared" si="68"/>
        <v/>
      </c>
    </row>
    <row r="4396" spans="26:26" x14ac:dyDescent="0.2">
      <c r="Z4396" t="str">
        <f t="shared" si="68"/>
        <v/>
      </c>
    </row>
    <row r="4397" spans="26:26" x14ac:dyDescent="0.2">
      <c r="Z4397" t="str">
        <f t="shared" si="68"/>
        <v/>
      </c>
    </row>
    <row r="4398" spans="26:26" x14ac:dyDescent="0.2">
      <c r="Z4398" t="str">
        <f t="shared" si="68"/>
        <v/>
      </c>
    </row>
    <row r="4399" spans="26:26" x14ac:dyDescent="0.2">
      <c r="Z4399" t="str">
        <f t="shared" si="68"/>
        <v/>
      </c>
    </row>
    <row r="4400" spans="26:26" x14ac:dyDescent="0.2">
      <c r="Z4400" t="str">
        <f t="shared" si="68"/>
        <v/>
      </c>
    </row>
    <row r="4401" spans="26:26" x14ac:dyDescent="0.2">
      <c r="Z4401" t="str">
        <f t="shared" si="68"/>
        <v/>
      </c>
    </row>
    <row r="4402" spans="26:26" x14ac:dyDescent="0.2">
      <c r="Z4402" t="str">
        <f t="shared" si="68"/>
        <v/>
      </c>
    </row>
    <row r="4403" spans="26:26" x14ac:dyDescent="0.2">
      <c r="Z4403" t="str">
        <f t="shared" si="68"/>
        <v/>
      </c>
    </row>
    <row r="4404" spans="26:26" x14ac:dyDescent="0.2">
      <c r="Z4404" t="str">
        <f t="shared" si="68"/>
        <v/>
      </c>
    </row>
    <row r="4405" spans="26:26" x14ac:dyDescent="0.2">
      <c r="Z4405" t="str">
        <f t="shared" si="68"/>
        <v/>
      </c>
    </row>
    <row r="4406" spans="26:26" x14ac:dyDescent="0.2">
      <c r="Z4406" t="str">
        <f t="shared" si="68"/>
        <v/>
      </c>
    </row>
    <row r="4407" spans="26:26" x14ac:dyDescent="0.2">
      <c r="Z4407" t="str">
        <f t="shared" si="68"/>
        <v/>
      </c>
    </row>
    <row r="4408" spans="26:26" x14ac:dyDescent="0.2">
      <c r="Z4408" t="str">
        <f t="shared" si="68"/>
        <v/>
      </c>
    </row>
    <row r="4409" spans="26:26" x14ac:dyDescent="0.2">
      <c r="Z4409" t="str">
        <f t="shared" si="68"/>
        <v/>
      </c>
    </row>
    <row r="4410" spans="26:26" x14ac:dyDescent="0.2">
      <c r="Z4410" t="str">
        <f t="shared" si="68"/>
        <v/>
      </c>
    </row>
    <row r="4411" spans="26:26" x14ac:dyDescent="0.2">
      <c r="Z4411" t="str">
        <f t="shared" si="68"/>
        <v/>
      </c>
    </row>
    <row r="4412" spans="26:26" x14ac:dyDescent="0.2">
      <c r="Z4412" t="str">
        <f t="shared" si="68"/>
        <v/>
      </c>
    </row>
    <row r="4413" spans="26:26" x14ac:dyDescent="0.2">
      <c r="Z4413" t="str">
        <f t="shared" si="68"/>
        <v/>
      </c>
    </row>
    <row r="4414" spans="26:26" x14ac:dyDescent="0.2">
      <c r="Z4414" t="str">
        <f t="shared" si="68"/>
        <v/>
      </c>
    </row>
    <row r="4415" spans="26:26" x14ac:dyDescent="0.2">
      <c r="Z4415" t="str">
        <f t="shared" si="68"/>
        <v/>
      </c>
    </row>
    <row r="4416" spans="26:26" x14ac:dyDescent="0.2">
      <c r="Z4416" t="str">
        <f t="shared" si="68"/>
        <v/>
      </c>
    </row>
    <row r="4417" spans="26:26" x14ac:dyDescent="0.2">
      <c r="Z4417" t="str">
        <f t="shared" si="68"/>
        <v/>
      </c>
    </row>
    <row r="4418" spans="26:26" x14ac:dyDescent="0.2">
      <c r="Z4418" t="str">
        <f t="shared" si="68"/>
        <v/>
      </c>
    </row>
    <row r="4419" spans="26:26" x14ac:dyDescent="0.2">
      <c r="Z4419" t="str">
        <f t="shared" ref="Z4419:Z4482" si="69">IF(K4419="","",IFERROR(VALUE(TRIM(MID(K4419,FIND(CHAR(167),SUBSTITUTE(K4419,"-",CHAR(167),LEN(K4419)-LEN(SUBSTITUTE(K4419,"-",""))))+1,100))),K4419))</f>
        <v/>
      </c>
    </row>
    <row r="4420" spans="26:26" x14ac:dyDescent="0.2">
      <c r="Z4420" t="str">
        <f t="shared" si="69"/>
        <v/>
      </c>
    </row>
    <row r="4421" spans="26:26" x14ac:dyDescent="0.2">
      <c r="Z4421" t="str">
        <f t="shared" si="69"/>
        <v/>
      </c>
    </row>
    <row r="4422" spans="26:26" x14ac:dyDescent="0.2">
      <c r="Z4422" t="str">
        <f t="shared" si="69"/>
        <v/>
      </c>
    </row>
    <row r="4423" spans="26:26" x14ac:dyDescent="0.2">
      <c r="Z4423" t="str">
        <f t="shared" si="69"/>
        <v/>
      </c>
    </row>
    <row r="4424" spans="26:26" x14ac:dyDescent="0.2">
      <c r="Z4424" t="str">
        <f t="shared" si="69"/>
        <v/>
      </c>
    </row>
    <row r="4425" spans="26:26" x14ac:dyDescent="0.2">
      <c r="Z4425" t="str">
        <f t="shared" si="69"/>
        <v/>
      </c>
    </row>
    <row r="4426" spans="26:26" x14ac:dyDescent="0.2">
      <c r="Z4426" t="str">
        <f t="shared" si="69"/>
        <v/>
      </c>
    </row>
    <row r="4427" spans="26:26" x14ac:dyDescent="0.2">
      <c r="Z4427" t="str">
        <f t="shared" si="69"/>
        <v/>
      </c>
    </row>
    <row r="4428" spans="26:26" x14ac:dyDescent="0.2">
      <c r="Z4428" t="str">
        <f t="shared" si="69"/>
        <v/>
      </c>
    </row>
    <row r="4429" spans="26:26" x14ac:dyDescent="0.2">
      <c r="Z4429" t="str">
        <f t="shared" si="69"/>
        <v/>
      </c>
    </row>
    <row r="4430" spans="26:26" x14ac:dyDescent="0.2">
      <c r="Z4430" t="str">
        <f t="shared" si="69"/>
        <v/>
      </c>
    </row>
    <row r="4431" spans="26:26" x14ac:dyDescent="0.2">
      <c r="Z4431" t="str">
        <f t="shared" si="69"/>
        <v/>
      </c>
    </row>
    <row r="4432" spans="26:26" x14ac:dyDescent="0.2">
      <c r="Z4432" t="str">
        <f t="shared" si="69"/>
        <v/>
      </c>
    </row>
    <row r="4433" spans="26:26" x14ac:dyDescent="0.2">
      <c r="Z4433" t="str">
        <f t="shared" si="69"/>
        <v/>
      </c>
    </row>
    <row r="4434" spans="26:26" x14ac:dyDescent="0.2">
      <c r="Z4434" t="str">
        <f t="shared" si="69"/>
        <v/>
      </c>
    </row>
    <row r="4435" spans="26:26" x14ac:dyDescent="0.2">
      <c r="Z4435" t="str">
        <f t="shared" si="69"/>
        <v/>
      </c>
    </row>
    <row r="4436" spans="26:26" x14ac:dyDescent="0.2">
      <c r="Z4436" t="str">
        <f t="shared" si="69"/>
        <v/>
      </c>
    </row>
    <row r="4437" spans="26:26" x14ac:dyDescent="0.2">
      <c r="Z4437" t="str">
        <f t="shared" si="69"/>
        <v/>
      </c>
    </row>
    <row r="4438" spans="26:26" x14ac:dyDescent="0.2">
      <c r="Z4438" t="str">
        <f t="shared" si="69"/>
        <v/>
      </c>
    </row>
    <row r="4439" spans="26:26" x14ac:dyDescent="0.2">
      <c r="Z4439" t="str">
        <f t="shared" si="69"/>
        <v/>
      </c>
    </row>
    <row r="4440" spans="26:26" x14ac:dyDescent="0.2">
      <c r="Z4440" t="str">
        <f t="shared" si="69"/>
        <v/>
      </c>
    </row>
    <row r="4441" spans="26:26" x14ac:dyDescent="0.2">
      <c r="Z4441" t="str">
        <f t="shared" si="69"/>
        <v/>
      </c>
    </row>
    <row r="4442" spans="26:26" x14ac:dyDescent="0.2">
      <c r="Z4442" t="str">
        <f t="shared" si="69"/>
        <v/>
      </c>
    </row>
    <row r="4443" spans="26:26" x14ac:dyDescent="0.2">
      <c r="Z4443" t="str">
        <f t="shared" si="69"/>
        <v/>
      </c>
    </row>
    <row r="4444" spans="26:26" x14ac:dyDescent="0.2">
      <c r="Z4444" t="str">
        <f t="shared" si="69"/>
        <v/>
      </c>
    </row>
    <row r="4445" spans="26:26" x14ac:dyDescent="0.2">
      <c r="Z4445" t="str">
        <f t="shared" si="69"/>
        <v/>
      </c>
    </row>
    <row r="4446" spans="26:26" x14ac:dyDescent="0.2">
      <c r="Z4446" t="str">
        <f t="shared" si="69"/>
        <v/>
      </c>
    </row>
    <row r="4447" spans="26:26" x14ac:dyDescent="0.2">
      <c r="Z4447" t="str">
        <f t="shared" si="69"/>
        <v/>
      </c>
    </row>
    <row r="4448" spans="26:26" x14ac:dyDescent="0.2">
      <c r="Z4448" t="str">
        <f t="shared" si="69"/>
        <v/>
      </c>
    </row>
    <row r="4449" spans="26:26" x14ac:dyDescent="0.2">
      <c r="Z4449" t="str">
        <f t="shared" si="69"/>
        <v/>
      </c>
    </row>
    <row r="4450" spans="26:26" x14ac:dyDescent="0.2">
      <c r="Z4450" t="str">
        <f t="shared" si="69"/>
        <v/>
      </c>
    </row>
    <row r="4451" spans="26:26" x14ac:dyDescent="0.2">
      <c r="Z4451" t="str">
        <f t="shared" si="69"/>
        <v/>
      </c>
    </row>
    <row r="4452" spans="26:26" x14ac:dyDescent="0.2">
      <c r="Z4452" t="str">
        <f t="shared" si="69"/>
        <v/>
      </c>
    </row>
    <row r="4453" spans="26:26" x14ac:dyDescent="0.2">
      <c r="Z4453" t="str">
        <f t="shared" si="69"/>
        <v/>
      </c>
    </row>
    <row r="4454" spans="26:26" x14ac:dyDescent="0.2">
      <c r="Z4454" t="str">
        <f t="shared" si="69"/>
        <v/>
      </c>
    </row>
    <row r="4455" spans="26:26" x14ac:dyDescent="0.2">
      <c r="Z4455" t="str">
        <f t="shared" si="69"/>
        <v/>
      </c>
    </row>
    <row r="4456" spans="26:26" x14ac:dyDescent="0.2">
      <c r="Z4456" t="str">
        <f t="shared" si="69"/>
        <v/>
      </c>
    </row>
    <row r="4457" spans="26:26" x14ac:dyDescent="0.2">
      <c r="Z4457" t="str">
        <f t="shared" si="69"/>
        <v/>
      </c>
    </row>
    <row r="4458" spans="26:26" x14ac:dyDescent="0.2">
      <c r="Z4458" t="str">
        <f t="shared" si="69"/>
        <v/>
      </c>
    </row>
    <row r="4459" spans="26:26" x14ac:dyDescent="0.2">
      <c r="Z4459" t="str">
        <f t="shared" si="69"/>
        <v/>
      </c>
    </row>
    <row r="4460" spans="26:26" x14ac:dyDescent="0.2">
      <c r="Z4460" t="str">
        <f t="shared" si="69"/>
        <v/>
      </c>
    </row>
    <row r="4461" spans="26:26" x14ac:dyDescent="0.2">
      <c r="Z4461" t="str">
        <f t="shared" si="69"/>
        <v/>
      </c>
    </row>
    <row r="4462" spans="26:26" x14ac:dyDescent="0.2">
      <c r="Z4462" t="str">
        <f t="shared" si="69"/>
        <v/>
      </c>
    </row>
    <row r="4463" spans="26:26" x14ac:dyDescent="0.2">
      <c r="Z4463" t="str">
        <f t="shared" si="69"/>
        <v/>
      </c>
    </row>
    <row r="4464" spans="26:26" x14ac:dyDescent="0.2">
      <c r="Z4464" t="str">
        <f t="shared" si="69"/>
        <v/>
      </c>
    </row>
    <row r="4465" spans="26:26" x14ac:dyDescent="0.2">
      <c r="Z4465" t="str">
        <f t="shared" si="69"/>
        <v/>
      </c>
    </row>
    <row r="4466" spans="26:26" x14ac:dyDescent="0.2">
      <c r="Z4466" t="str">
        <f t="shared" si="69"/>
        <v/>
      </c>
    </row>
    <row r="4467" spans="26:26" x14ac:dyDescent="0.2">
      <c r="Z4467" t="str">
        <f t="shared" si="69"/>
        <v/>
      </c>
    </row>
    <row r="4468" spans="26:26" x14ac:dyDescent="0.2">
      <c r="Z4468" t="str">
        <f t="shared" si="69"/>
        <v/>
      </c>
    </row>
    <row r="4469" spans="26:26" x14ac:dyDescent="0.2">
      <c r="Z4469" t="str">
        <f t="shared" si="69"/>
        <v/>
      </c>
    </row>
    <row r="4470" spans="26:26" x14ac:dyDescent="0.2">
      <c r="Z4470" t="str">
        <f t="shared" si="69"/>
        <v/>
      </c>
    </row>
    <row r="4471" spans="26:26" x14ac:dyDescent="0.2">
      <c r="Z4471" t="str">
        <f t="shared" si="69"/>
        <v/>
      </c>
    </row>
    <row r="4472" spans="26:26" x14ac:dyDescent="0.2">
      <c r="Z4472" t="str">
        <f t="shared" si="69"/>
        <v/>
      </c>
    </row>
    <row r="4473" spans="26:26" x14ac:dyDescent="0.2">
      <c r="Z4473" t="str">
        <f t="shared" si="69"/>
        <v/>
      </c>
    </row>
    <row r="4474" spans="26:26" x14ac:dyDescent="0.2">
      <c r="Z4474" t="str">
        <f t="shared" si="69"/>
        <v/>
      </c>
    </row>
    <row r="4475" spans="26:26" x14ac:dyDescent="0.2">
      <c r="Z4475" t="str">
        <f t="shared" si="69"/>
        <v/>
      </c>
    </row>
    <row r="4476" spans="26:26" x14ac:dyDescent="0.2">
      <c r="Z4476" t="str">
        <f t="shared" si="69"/>
        <v/>
      </c>
    </row>
    <row r="4477" spans="26:26" x14ac:dyDescent="0.2">
      <c r="Z4477" t="str">
        <f t="shared" si="69"/>
        <v/>
      </c>
    </row>
    <row r="4478" spans="26:26" x14ac:dyDescent="0.2">
      <c r="Z4478" t="str">
        <f t="shared" si="69"/>
        <v/>
      </c>
    </row>
    <row r="4479" spans="26:26" x14ac:dyDescent="0.2">
      <c r="Z4479" t="str">
        <f t="shared" si="69"/>
        <v/>
      </c>
    </row>
    <row r="4480" spans="26:26" x14ac:dyDescent="0.2">
      <c r="Z4480" t="str">
        <f t="shared" si="69"/>
        <v/>
      </c>
    </row>
    <row r="4481" spans="26:26" x14ac:dyDescent="0.2">
      <c r="Z4481" t="str">
        <f t="shared" si="69"/>
        <v/>
      </c>
    </row>
    <row r="4482" spans="26:26" x14ac:dyDescent="0.2">
      <c r="Z4482" t="str">
        <f t="shared" si="69"/>
        <v/>
      </c>
    </row>
    <row r="4483" spans="26:26" x14ac:dyDescent="0.2">
      <c r="Z4483" t="str">
        <f t="shared" ref="Z4483:Z4546" si="70">IF(K4483="","",IFERROR(VALUE(TRIM(MID(K4483,FIND(CHAR(167),SUBSTITUTE(K4483,"-",CHAR(167),LEN(K4483)-LEN(SUBSTITUTE(K4483,"-",""))))+1,100))),K4483))</f>
        <v/>
      </c>
    </row>
    <row r="4484" spans="26:26" x14ac:dyDescent="0.2">
      <c r="Z4484" t="str">
        <f t="shared" si="70"/>
        <v/>
      </c>
    </row>
    <row r="4485" spans="26:26" x14ac:dyDescent="0.2">
      <c r="Z4485" t="str">
        <f t="shared" si="70"/>
        <v/>
      </c>
    </row>
    <row r="4486" spans="26:26" x14ac:dyDescent="0.2">
      <c r="Z4486" t="str">
        <f t="shared" si="70"/>
        <v/>
      </c>
    </row>
    <row r="4487" spans="26:26" x14ac:dyDescent="0.2">
      <c r="Z4487" t="str">
        <f t="shared" si="70"/>
        <v/>
      </c>
    </row>
    <row r="4488" spans="26:26" x14ac:dyDescent="0.2">
      <c r="Z4488" t="str">
        <f t="shared" si="70"/>
        <v/>
      </c>
    </row>
    <row r="4489" spans="26:26" x14ac:dyDescent="0.2">
      <c r="Z4489" t="str">
        <f t="shared" si="70"/>
        <v/>
      </c>
    </row>
    <row r="4490" spans="26:26" x14ac:dyDescent="0.2">
      <c r="Z4490" t="str">
        <f t="shared" si="70"/>
        <v/>
      </c>
    </row>
    <row r="4491" spans="26:26" x14ac:dyDescent="0.2">
      <c r="Z4491" t="str">
        <f t="shared" si="70"/>
        <v/>
      </c>
    </row>
    <row r="4492" spans="26:26" x14ac:dyDescent="0.2">
      <c r="Z4492" t="str">
        <f t="shared" si="70"/>
        <v/>
      </c>
    </row>
    <row r="4493" spans="26:26" x14ac:dyDescent="0.2">
      <c r="Z4493" t="str">
        <f t="shared" si="70"/>
        <v/>
      </c>
    </row>
    <row r="4494" spans="26:26" x14ac:dyDescent="0.2">
      <c r="Z4494" t="str">
        <f t="shared" si="70"/>
        <v/>
      </c>
    </row>
    <row r="4495" spans="26:26" x14ac:dyDescent="0.2">
      <c r="Z4495" t="str">
        <f t="shared" si="70"/>
        <v/>
      </c>
    </row>
    <row r="4496" spans="26:26" x14ac:dyDescent="0.2">
      <c r="Z4496" t="str">
        <f t="shared" si="70"/>
        <v/>
      </c>
    </row>
    <row r="4497" spans="26:26" x14ac:dyDescent="0.2">
      <c r="Z4497" t="str">
        <f t="shared" si="70"/>
        <v/>
      </c>
    </row>
    <row r="4498" spans="26:26" x14ac:dyDescent="0.2">
      <c r="Z4498" t="str">
        <f t="shared" si="70"/>
        <v/>
      </c>
    </row>
    <row r="4499" spans="26:26" x14ac:dyDescent="0.2">
      <c r="Z4499" t="str">
        <f t="shared" si="70"/>
        <v/>
      </c>
    </row>
    <row r="4500" spans="26:26" x14ac:dyDescent="0.2">
      <c r="Z4500" t="str">
        <f t="shared" si="70"/>
        <v/>
      </c>
    </row>
    <row r="4501" spans="26:26" x14ac:dyDescent="0.2">
      <c r="Z4501" t="str">
        <f t="shared" si="70"/>
        <v/>
      </c>
    </row>
    <row r="4502" spans="26:26" x14ac:dyDescent="0.2">
      <c r="Z4502" t="str">
        <f t="shared" si="70"/>
        <v/>
      </c>
    </row>
    <row r="4503" spans="26:26" x14ac:dyDescent="0.2">
      <c r="Z4503" t="str">
        <f t="shared" si="70"/>
        <v/>
      </c>
    </row>
    <row r="4504" spans="26:26" x14ac:dyDescent="0.2">
      <c r="Z4504" t="str">
        <f t="shared" si="70"/>
        <v/>
      </c>
    </row>
    <row r="4505" spans="26:26" x14ac:dyDescent="0.2">
      <c r="Z4505" t="str">
        <f t="shared" si="70"/>
        <v/>
      </c>
    </row>
    <row r="4506" spans="26:26" x14ac:dyDescent="0.2">
      <c r="Z4506" t="str">
        <f t="shared" si="70"/>
        <v/>
      </c>
    </row>
    <row r="4507" spans="26:26" x14ac:dyDescent="0.2">
      <c r="Z4507" t="str">
        <f t="shared" si="70"/>
        <v/>
      </c>
    </row>
    <row r="4508" spans="26:26" x14ac:dyDescent="0.2">
      <c r="Z4508" t="str">
        <f t="shared" si="70"/>
        <v/>
      </c>
    </row>
    <row r="4509" spans="26:26" x14ac:dyDescent="0.2">
      <c r="Z4509" t="str">
        <f t="shared" si="70"/>
        <v/>
      </c>
    </row>
    <row r="4510" spans="26:26" x14ac:dyDescent="0.2">
      <c r="Z4510" t="str">
        <f t="shared" si="70"/>
        <v/>
      </c>
    </row>
    <row r="4511" spans="26:26" x14ac:dyDescent="0.2">
      <c r="Z4511" t="str">
        <f t="shared" si="70"/>
        <v/>
      </c>
    </row>
    <row r="4512" spans="26:26" x14ac:dyDescent="0.2">
      <c r="Z4512" t="str">
        <f t="shared" si="70"/>
        <v/>
      </c>
    </row>
    <row r="4513" spans="26:26" x14ac:dyDescent="0.2">
      <c r="Z4513" t="str">
        <f t="shared" si="70"/>
        <v/>
      </c>
    </row>
    <row r="4514" spans="26:26" x14ac:dyDescent="0.2">
      <c r="Z4514" t="str">
        <f t="shared" si="70"/>
        <v/>
      </c>
    </row>
    <row r="4515" spans="26:26" x14ac:dyDescent="0.2">
      <c r="Z4515" t="str">
        <f t="shared" si="70"/>
        <v/>
      </c>
    </row>
    <row r="4516" spans="26:26" x14ac:dyDescent="0.2">
      <c r="Z4516" t="str">
        <f t="shared" si="70"/>
        <v/>
      </c>
    </row>
    <row r="4517" spans="26:26" x14ac:dyDescent="0.2">
      <c r="Z4517" t="str">
        <f t="shared" si="70"/>
        <v/>
      </c>
    </row>
    <row r="4518" spans="26:26" x14ac:dyDescent="0.2">
      <c r="Z4518" t="str">
        <f t="shared" si="70"/>
        <v/>
      </c>
    </row>
    <row r="4519" spans="26:26" x14ac:dyDescent="0.2">
      <c r="Z4519" t="str">
        <f t="shared" si="70"/>
        <v/>
      </c>
    </row>
    <row r="4520" spans="26:26" x14ac:dyDescent="0.2">
      <c r="Z4520" t="str">
        <f t="shared" si="70"/>
        <v/>
      </c>
    </row>
    <row r="4521" spans="26:26" x14ac:dyDescent="0.2">
      <c r="Z4521" t="str">
        <f t="shared" si="70"/>
        <v/>
      </c>
    </row>
    <row r="4522" spans="26:26" x14ac:dyDescent="0.2">
      <c r="Z4522" t="str">
        <f t="shared" si="70"/>
        <v/>
      </c>
    </row>
    <row r="4523" spans="26:26" x14ac:dyDescent="0.2">
      <c r="Z4523" t="str">
        <f t="shared" si="70"/>
        <v/>
      </c>
    </row>
    <row r="4524" spans="26:26" x14ac:dyDescent="0.2">
      <c r="Z4524" t="str">
        <f t="shared" si="70"/>
        <v/>
      </c>
    </row>
    <row r="4525" spans="26:26" x14ac:dyDescent="0.2">
      <c r="Z4525" t="str">
        <f t="shared" si="70"/>
        <v/>
      </c>
    </row>
    <row r="4526" spans="26:26" x14ac:dyDescent="0.2">
      <c r="Z4526" t="str">
        <f t="shared" si="70"/>
        <v/>
      </c>
    </row>
    <row r="4527" spans="26:26" x14ac:dyDescent="0.2">
      <c r="Z4527" t="str">
        <f t="shared" si="70"/>
        <v/>
      </c>
    </row>
    <row r="4528" spans="26:26" x14ac:dyDescent="0.2">
      <c r="Z4528" t="str">
        <f t="shared" si="70"/>
        <v/>
      </c>
    </row>
    <row r="4529" spans="26:26" x14ac:dyDescent="0.2">
      <c r="Z4529" t="str">
        <f t="shared" si="70"/>
        <v/>
      </c>
    </row>
    <row r="4530" spans="26:26" x14ac:dyDescent="0.2">
      <c r="Z4530" t="str">
        <f t="shared" si="70"/>
        <v/>
      </c>
    </row>
    <row r="4531" spans="26:26" x14ac:dyDescent="0.2">
      <c r="Z4531" t="str">
        <f t="shared" si="70"/>
        <v/>
      </c>
    </row>
    <row r="4532" spans="26:26" x14ac:dyDescent="0.2">
      <c r="Z4532" t="str">
        <f t="shared" si="70"/>
        <v/>
      </c>
    </row>
    <row r="4533" spans="26:26" x14ac:dyDescent="0.2">
      <c r="Z4533" t="str">
        <f t="shared" si="70"/>
        <v/>
      </c>
    </row>
    <row r="4534" spans="26:26" x14ac:dyDescent="0.2">
      <c r="Z4534" t="str">
        <f t="shared" si="70"/>
        <v/>
      </c>
    </row>
    <row r="4535" spans="26:26" x14ac:dyDescent="0.2">
      <c r="Z4535" t="str">
        <f t="shared" si="70"/>
        <v/>
      </c>
    </row>
    <row r="4536" spans="26:26" x14ac:dyDescent="0.2">
      <c r="Z4536" t="str">
        <f t="shared" si="70"/>
        <v/>
      </c>
    </row>
    <row r="4537" spans="26:26" x14ac:dyDescent="0.2">
      <c r="Z4537" t="str">
        <f t="shared" si="70"/>
        <v/>
      </c>
    </row>
    <row r="4538" spans="26:26" x14ac:dyDescent="0.2">
      <c r="Z4538" t="str">
        <f t="shared" si="70"/>
        <v/>
      </c>
    </row>
    <row r="4539" spans="26:26" x14ac:dyDescent="0.2">
      <c r="Z4539" t="str">
        <f t="shared" si="70"/>
        <v/>
      </c>
    </row>
    <row r="4540" spans="26:26" x14ac:dyDescent="0.2">
      <c r="Z4540" t="str">
        <f t="shared" si="70"/>
        <v/>
      </c>
    </row>
    <row r="4541" spans="26:26" x14ac:dyDescent="0.2">
      <c r="Z4541" t="str">
        <f t="shared" si="70"/>
        <v/>
      </c>
    </row>
    <row r="4542" spans="26:26" x14ac:dyDescent="0.2">
      <c r="Z4542" t="str">
        <f t="shared" si="70"/>
        <v/>
      </c>
    </row>
    <row r="4543" spans="26:26" x14ac:dyDescent="0.2">
      <c r="Z4543" t="str">
        <f t="shared" si="70"/>
        <v/>
      </c>
    </row>
    <row r="4544" spans="26:26" x14ac:dyDescent="0.2">
      <c r="Z4544" t="str">
        <f t="shared" si="70"/>
        <v/>
      </c>
    </row>
    <row r="4545" spans="26:26" x14ac:dyDescent="0.2">
      <c r="Z4545" t="str">
        <f t="shared" si="70"/>
        <v/>
      </c>
    </row>
    <row r="4546" spans="26:26" x14ac:dyDescent="0.2">
      <c r="Z4546" t="str">
        <f t="shared" si="70"/>
        <v/>
      </c>
    </row>
    <row r="4547" spans="26:26" x14ac:dyDescent="0.2">
      <c r="Z4547" t="str">
        <f t="shared" ref="Z4547:Z4610" si="71">IF(K4547="","",IFERROR(VALUE(TRIM(MID(K4547,FIND(CHAR(167),SUBSTITUTE(K4547,"-",CHAR(167),LEN(K4547)-LEN(SUBSTITUTE(K4547,"-",""))))+1,100))),K4547))</f>
        <v/>
      </c>
    </row>
    <row r="4548" spans="26:26" x14ac:dyDescent="0.2">
      <c r="Z4548" t="str">
        <f t="shared" si="71"/>
        <v/>
      </c>
    </row>
    <row r="4549" spans="26:26" x14ac:dyDescent="0.2">
      <c r="Z4549" t="str">
        <f t="shared" si="71"/>
        <v/>
      </c>
    </row>
    <row r="4550" spans="26:26" x14ac:dyDescent="0.2">
      <c r="Z4550" t="str">
        <f t="shared" si="71"/>
        <v/>
      </c>
    </row>
    <row r="4551" spans="26:26" x14ac:dyDescent="0.2">
      <c r="Z4551" t="str">
        <f t="shared" si="71"/>
        <v/>
      </c>
    </row>
    <row r="4552" spans="26:26" x14ac:dyDescent="0.2">
      <c r="Z4552" t="str">
        <f t="shared" si="71"/>
        <v/>
      </c>
    </row>
    <row r="4553" spans="26:26" x14ac:dyDescent="0.2">
      <c r="Z4553" t="str">
        <f t="shared" si="71"/>
        <v/>
      </c>
    </row>
    <row r="4554" spans="26:26" x14ac:dyDescent="0.2">
      <c r="Z4554" t="str">
        <f t="shared" si="71"/>
        <v/>
      </c>
    </row>
    <row r="4555" spans="26:26" x14ac:dyDescent="0.2">
      <c r="Z4555" t="str">
        <f t="shared" si="71"/>
        <v/>
      </c>
    </row>
    <row r="4556" spans="26:26" x14ac:dyDescent="0.2">
      <c r="Z4556" t="str">
        <f t="shared" si="71"/>
        <v/>
      </c>
    </row>
    <row r="4557" spans="26:26" x14ac:dyDescent="0.2">
      <c r="Z4557" t="str">
        <f t="shared" si="71"/>
        <v/>
      </c>
    </row>
    <row r="4558" spans="26:26" x14ac:dyDescent="0.2">
      <c r="Z4558" t="str">
        <f t="shared" si="71"/>
        <v/>
      </c>
    </row>
    <row r="4559" spans="26:26" x14ac:dyDescent="0.2">
      <c r="Z4559" t="str">
        <f t="shared" si="71"/>
        <v/>
      </c>
    </row>
    <row r="4560" spans="26:26" x14ac:dyDescent="0.2">
      <c r="Z4560" t="str">
        <f t="shared" si="71"/>
        <v/>
      </c>
    </row>
    <row r="4561" spans="26:26" x14ac:dyDescent="0.2">
      <c r="Z4561" t="str">
        <f t="shared" si="71"/>
        <v/>
      </c>
    </row>
    <row r="4562" spans="26:26" x14ac:dyDescent="0.2">
      <c r="Z4562" t="str">
        <f t="shared" si="71"/>
        <v/>
      </c>
    </row>
    <row r="4563" spans="26:26" x14ac:dyDescent="0.2">
      <c r="Z4563" t="str">
        <f t="shared" si="71"/>
        <v/>
      </c>
    </row>
    <row r="4564" spans="26:26" x14ac:dyDescent="0.2">
      <c r="Z4564" t="str">
        <f t="shared" si="71"/>
        <v/>
      </c>
    </row>
    <row r="4565" spans="26:26" x14ac:dyDescent="0.2">
      <c r="Z4565" t="str">
        <f t="shared" si="71"/>
        <v/>
      </c>
    </row>
    <row r="4566" spans="26:26" x14ac:dyDescent="0.2">
      <c r="Z4566" t="str">
        <f t="shared" si="71"/>
        <v/>
      </c>
    </row>
    <row r="4567" spans="26:26" x14ac:dyDescent="0.2">
      <c r="Z4567" t="str">
        <f t="shared" si="71"/>
        <v/>
      </c>
    </row>
    <row r="4568" spans="26:26" x14ac:dyDescent="0.2">
      <c r="Z4568" t="str">
        <f t="shared" si="71"/>
        <v/>
      </c>
    </row>
    <row r="4569" spans="26:26" x14ac:dyDescent="0.2">
      <c r="Z4569" t="str">
        <f t="shared" si="71"/>
        <v/>
      </c>
    </row>
    <row r="4570" spans="26:26" x14ac:dyDescent="0.2">
      <c r="Z4570" t="str">
        <f t="shared" si="71"/>
        <v/>
      </c>
    </row>
    <row r="4571" spans="26:26" x14ac:dyDescent="0.2">
      <c r="Z4571" t="str">
        <f t="shared" si="71"/>
        <v/>
      </c>
    </row>
    <row r="4572" spans="26:26" x14ac:dyDescent="0.2">
      <c r="Z4572" t="str">
        <f t="shared" si="71"/>
        <v/>
      </c>
    </row>
    <row r="4573" spans="26:26" x14ac:dyDescent="0.2">
      <c r="Z4573" t="str">
        <f t="shared" si="71"/>
        <v/>
      </c>
    </row>
    <row r="4574" spans="26:26" x14ac:dyDescent="0.2">
      <c r="Z4574" t="str">
        <f t="shared" si="71"/>
        <v/>
      </c>
    </row>
    <row r="4575" spans="26:26" x14ac:dyDescent="0.2">
      <c r="Z4575" t="str">
        <f t="shared" si="71"/>
        <v/>
      </c>
    </row>
    <row r="4576" spans="26:26" x14ac:dyDescent="0.2">
      <c r="Z4576" t="str">
        <f t="shared" si="71"/>
        <v/>
      </c>
    </row>
    <row r="4577" spans="26:26" x14ac:dyDescent="0.2">
      <c r="Z4577" t="str">
        <f t="shared" si="71"/>
        <v/>
      </c>
    </row>
    <row r="4578" spans="26:26" x14ac:dyDescent="0.2">
      <c r="Z4578" t="str">
        <f t="shared" si="71"/>
        <v/>
      </c>
    </row>
    <row r="4579" spans="26:26" x14ac:dyDescent="0.2">
      <c r="Z4579" t="str">
        <f t="shared" si="71"/>
        <v/>
      </c>
    </row>
    <row r="4580" spans="26:26" x14ac:dyDescent="0.2">
      <c r="Z4580" t="str">
        <f t="shared" si="71"/>
        <v/>
      </c>
    </row>
    <row r="4581" spans="26:26" x14ac:dyDescent="0.2">
      <c r="Z4581" t="str">
        <f t="shared" si="71"/>
        <v/>
      </c>
    </row>
    <row r="4582" spans="26:26" x14ac:dyDescent="0.2">
      <c r="Z4582" t="str">
        <f t="shared" si="71"/>
        <v/>
      </c>
    </row>
    <row r="4583" spans="26:26" x14ac:dyDescent="0.2">
      <c r="Z4583" t="str">
        <f t="shared" si="71"/>
        <v/>
      </c>
    </row>
    <row r="4584" spans="26:26" x14ac:dyDescent="0.2">
      <c r="Z4584" t="str">
        <f t="shared" si="71"/>
        <v/>
      </c>
    </row>
    <row r="4585" spans="26:26" x14ac:dyDescent="0.2">
      <c r="Z4585" t="str">
        <f t="shared" si="71"/>
        <v/>
      </c>
    </row>
    <row r="4586" spans="26:26" x14ac:dyDescent="0.2">
      <c r="Z4586" t="str">
        <f t="shared" si="71"/>
        <v/>
      </c>
    </row>
    <row r="4587" spans="26:26" x14ac:dyDescent="0.2">
      <c r="Z4587" t="str">
        <f t="shared" si="71"/>
        <v/>
      </c>
    </row>
    <row r="4588" spans="26:26" x14ac:dyDescent="0.2">
      <c r="Z4588" t="str">
        <f t="shared" si="71"/>
        <v/>
      </c>
    </row>
    <row r="4589" spans="26:26" x14ac:dyDescent="0.2">
      <c r="Z4589" t="str">
        <f t="shared" si="71"/>
        <v/>
      </c>
    </row>
    <row r="4590" spans="26:26" x14ac:dyDescent="0.2">
      <c r="Z4590" t="str">
        <f t="shared" si="71"/>
        <v/>
      </c>
    </row>
    <row r="4591" spans="26:26" x14ac:dyDescent="0.2">
      <c r="Z4591" t="str">
        <f t="shared" si="71"/>
        <v/>
      </c>
    </row>
    <row r="4592" spans="26:26" x14ac:dyDescent="0.2">
      <c r="Z4592" t="str">
        <f t="shared" si="71"/>
        <v/>
      </c>
    </row>
    <row r="4593" spans="26:26" x14ac:dyDescent="0.2">
      <c r="Z4593" t="str">
        <f t="shared" si="71"/>
        <v/>
      </c>
    </row>
    <row r="4594" spans="26:26" x14ac:dyDescent="0.2">
      <c r="Z4594" t="str">
        <f t="shared" si="71"/>
        <v/>
      </c>
    </row>
    <row r="4595" spans="26:26" x14ac:dyDescent="0.2">
      <c r="Z4595" t="str">
        <f t="shared" si="71"/>
        <v/>
      </c>
    </row>
    <row r="4596" spans="26:26" x14ac:dyDescent="0.2">
      <c r="Z4596" t="str">
        <f t="shared" si="71"/>
        <v/>
      </c>
    </row>
    <row r="4597" spans="26:26" x14ac:dyDescent="0.2">
      <c r="Z4597" t="str">
        <f t="shared" si="71"/>
        <v/>
      </c>
    </row>
    <row r="4598" spans="26:26" x14ac:dyDescent="0.2">
      <c r="Z4598" t="str">
        <f t="shared" si="71"/>
        <v/>
      </c>
    </row>
    <row r="4599" spans="26:26" x14ac:dyDescent="0.2">
      <c r="Z4599" t="str">
        <f t="shared" si="71"/>
        <v/>
      </c>
    </row>
    <row r="4600" spans="26:26" x14ac:dyDescent="0.2">
      <c r="Z4600" t="str">
        <f t="shared" si="71"/>
        <v/>
      </c>
    </row>
    <row r="4601" spans="26:26" x14ac:dyDescent="0.2">
      <c r="Z4601" t="str">
        <f t="shared" si="71"/>
        <v/>
      </c>
    </row>
    <row r="4602" spans="26:26" x14ac:dyDescent="0.2">
      <c r="Z4602" t="str">
        <f t="shared" si="71"/>
        <v/>
      </c>
    </row>
    <row r="4603" spans="26:26" x14ac:dyDescent="0.2">
      <c r="Z4603" t="str">
        <f t="shared" si="71"/>
        <v/>
      </c>
    </row>
    <row r="4604" spans="26:26" x14ac:dyDescent="0.2">
      <c r="Z4604" t="str">
        <f t="shared" si="71"/>
        <v/>
      </c>
    </row>
    <row r="4605" spans="26:26" x14ac:dyDescent="0.2">
      <c r="Z4605" t="str">
        <f t="shared" si="71"/>
        <v/>
      </c>
    </row>
    <row r="4606" spans="26:26" x14ac:dyDescent="0.2">
      <c r="Z4606" t="str">
        <f t="shared" si="71"/>
        <v/>
      </c>
    </row>
    <row r="4607" spans="26:26" x14ac:dyDescent="0.2">
      <c r="Z4607" t="str">
        <f t="shared" si="71"/>
        <v/>
      </c>
    </row>
    <row r="4608" spans="26:26" x14ac:dyDescent="0.2">
      <c r="Z4608" t="str">
        <f t="shared" si="71"/>
        <v/>
      </c>
    </row>
    <row r="4609" spans="26:26" x14ac:dyDescent="0.2">
      <c r="Z4609" t="str">
        <f t="shared" si="71"/>
        <v/>
      </c>
    </row>
    <row r="4610" spans="26:26" x14ac:dyDescent="0.2">
      <c r="Z4610" t="str">
        <f t="shared" si="71"/>
        <v/>
      </c>
    </row>
    <row r="4611" spans="26:26" x14ac:dyDescent="0.2">
      <c r="Z4611" t="str">
        <f t="shared" ref="Z4611:Z4674" si="72">IF(K4611="","",IFERROR(VALUE(TRIM(MID(K4611,FIND(CHAR(167),SUBSTITUTE(K4611,"-",CHAR(167),LEN(K4611)-LEN(SUBSTITUTE(K4611,"-",""))))+1,100))),K4611))</f>
        <v/>
      </c>
    </row>
    <row r="4612" spans="26:26" x14ac:dyDescent="0.2">
      <c r="Z4612" t="str">
        <f t="shared" si="72"/>
        <v/>
      </c>
    </row>
    <row r="4613" spans="26:26" x14ac:dyDescent="0.2">
      <c r="Z4613" t="str">
        <f t="shared" si="72"/>
        <v/>
      </c>
    </row>
    <row r="4614" spans="26:26" x14ac:dyDescent="0.2">
      <c r="Z4614" t="str">
        <f t="shared" si="72"/>
        <v/>
      </c>
    </row>
    <row r="4615" spans="26:26" x14ac:dyDescent="0.2">
      <c r="Z4615" t="str">
        <f t="shared" si="72"/>
        <v/>
      </c>
    </row>
    <row r="4616" spans="26:26" x14ac:dyDescent="0.2">
      <c r="Z4616" t="str">
        <f t="shared" si="72"/>
        <v/>
      </c>
    </row>
    <row r="4617" spans="26:26" x14ac:dyDescent="0.2">
      <c r="Z4617" t="str">
        <f t="shared" si="72"/>
        <v/>
      </c>
    </row>
    <row r="4618" spans="26:26" x14ac:dyDescent="0.2">
      <c r="Z4618" t="str">
        <f t="shared" si="72"/>
        <v/>
      </c>
    </row>
    <row r="4619" spans="26:26" x14ac:dyDescent="0.2">
      <c r="Z4619" t="str">
        <f t="shared" si="72"/>
        <v/>
      </c>
    </row>
    <row r="4620" spans="26:26" x14ac:dyDescent="0.2">
      <c r="Z4620" t="str">
        <f t="shared" si="72"/>
        <v/>
      </c>
    </row>
    <row r="4621" spans="26:26" x14ac:dyDescent="0.2">
      <c r="Z4621" t="str">
        <f t="shared" si="72"/>
        <v/>
      </c>
    </row>
    <row r="4622" spans="26:26" x14ac:dyDescent="0.2">
      <c r="Z4622" t="str">
        <f t="shared" si="72"/>
        <v/>
      </c>
    </row>
    <row r="4623" spans="26:26" x14ac:dyDescent="0.2">
      <c r="Z4623" t="str">
        <f t="shared" si="72"/>
        <v/>
      </c>
    </row>
    <row r="4624" spans="26:26" x14ac:dyDescent="0.2">
      <c r="Z4624" t="str">
        <f t="shared" si="72"/>
        <v/>
      </c>
    </row>
    <row r="4625" spans="26:26" x14ac:dyDescent="0.2">
      <c r="Z4625" t="str">
        <f t="shared" si="72"/>
        <v/>
      </c>
    </row>
    <row r="4626" spans="26:26" x14ac:dyDescent="0.2">
      <c r="Z4626" t="str">
        <f t="shared" si="72"/>
        <v/>
      </c>
    </row>
    <row r="4627" spans="26:26" x14ac:dyDescent="0.2">
      <c r="Z4627" t="str">
        <f t="shared" si="72"/>
        <v/>
      </c>
    </row>
    <row r="4628" spans="26:26" x14ac:dyDescent="0.2">
      <c r="Z4628" t="str">
        <f t="shared" si="72"/>
        <v/>
      </c>
    </row>
    <row r="4629" spans="26:26" x14ac:dyDescent="0.2">
      <c r="Z4629" t="str">
        <f t="shared" si="72"/>
        <v/>
      </c>
    </row>
    <row r="4630" spans="26:26" x14ac:dyDescent="0.2">
      <c r="Z4630" t="str">
        <f t="shared" si="72"/>
        <v/>
      </c>
    </row>
    <row r="4631" spans="26:26" x14ac:dyDescent="0.2">
      <c r="Z4631" t="str">
        <f t="shared" si="72"/>
        <v/>
      </c>
    </row>
    <row r="4632" spans="26:26" x14ac:dyDescent="0.2">
      <c r="Z4632" t="str">
        <f t="shared" si="72"/>
        <v/>
      </c>
    </row>
    <row r="4633" spans="26:26" x14ac:dyDescent="0.2">
      <c r="Z4633" t="str">
        <f t="shared" si="72"/>
        <v/>
      </c>
    </row>
    <row r="4634" spans="26:26" x14ac:dyDescent="0.2">
      <c r="Z4634" t="str">
        <f t="shared" si="72"/>
        <v/>
      </c>
    </row>
    <row r="4635" spans="26:26" x14ac:dyDescent="0.2">
      <c r="Z4635" t="str">
        <f t="shared" si="72"/>
        <v/>
      </c>
    </row>
    <row r="4636" spans="26:26" x14ac:dyDescent="0.2">
      <c r="Z4636" t="str">
        <f t="shared" si="72"/>
        <v/>
      </c>
    </row>
    <row r="4637" spans="26:26" x14ac:dyDescent="0.2">
      <c r="Z4637" t="str">
        <f t="shared" si="72"/>
        <v/>
      </c>
    </row>
    <row r="4638" spans="26:26" x14ac:dyDescent="0.2">
      <c r="Z4638" t="str">
        <f t="shared" si="72"/>
        <v/>
      </c>
    </row>
    <row r="4639" spans="26:26" x14ac:dyDescent="0.2">
      <c r="Z4639" t="str">
        <f t="shared" si="72"/>
        <v/>
      </c>
    </row>
    <row r="4640" spans="26:26" x14ac:dyDescent="0.2">
      <c r="Z4640" t="str">
        <f t="shared" si="72"/>
        <v/>
      </c>
    </row>
    <row r="4641" spans="26:26" x14ac:dyDescent="0.2">
      <c r="Z4641" t="str">
        <f t="shared" si="72"/>
        <v/>
      </c>
    </row>
    <row r="4642" spans="26:26" x14ac:dyDescent="0.2">
      <c r="Z4642" t="str">
        <f t="shared" si="72"/>
        <v/>
      </c>
    </row>
    <row r="4643" spans="26:26" x14ac:dyDescent="0.2">
      <c r="Z4643" t="str">
        <f t="shared" si="72"/>
        <v/>
      </c>
    </row>
    <row r="4644" spans="26:26" x14ac:dyDescent="0.2">
      <c r="Z4644" t="str">
        <f t="shared" si="72"/>
        <v/>
      </c>
    </row>
    <row r="4645" spans="26:26" x14ac:dyDescent="0.2">
      <c r="Z4645" t="str">
        <f t="shared" si="72"/>
        <v/>
      </c>
    </row>
    <row r="4646" spans="26:26" x14ac:dyDescent="0.2">
      <c r="Z4646" t="str">
        <f t="shared" si="72"/>
        <v/>
      </c>
    </row>
    <row r="4647" spans="26:26" x14ac:dyDescent="0.2">
      <c r="Z4647" t="str">
        <f t="shared" si="72"/>
        <v/>
      </c>
    </row>
    <row r="4648" spans="26:26" x14ac:dyDescent="0.2">
      <c r="Z4648" t="str">
        <f t="shared" si="72"/>
        <v/>
      </c>
    </row>
    <row r="4649" spans="26:26" x14ac:dyDescent="0.2">
      <c r="Z4649" t="str">
        <f t="shared" si="72"/>
        <v/>
      </c>
    </row>
    <row r="4650" spans="26:26" x14ac:dyDescent="0.2">
      <c r="Z4650" t="str">
        <f t="shared" si="72"/>
        <v/>
      </c>
    </row>
    <row r="4651" spans="26:26" x14ac:dyDescent="0.2">
      <c r="Z4651" t="str">
        <f t="shared" si="72"/>
        <v/>
      </c>
    </row>
    <row r="4652" spans="26:26" x14ac:dyDescent="0.2">
      <c r="Z4652" t="str">
        <f t="shared" si="72"/>
        <v/>
      </c>
    </row>
    <row r="4653" spans="26:26" x14ac:dyDescent="0.2">
      <c r="Z4653" t="str">
        <f t="shared" si="72"/>
        <v/>
      </c>
    </row>
    <row r="4654" spans="26:26" x14ac:dyDescent="0.2">
      <c r="Z4654" t="str">
        <f t="shared" si="72"/>
        <v/>
      </c>
    </row>
    <row r="4655" spans="26:26" x14ac:dyDescent="0.2">
      <c r="Z4655" t="str">
        <f t="shared" si="72"/>
        <v/>
      </c>
    </row>
    <row r="4656" spans="26:26" x14ac:dyDescent="0.2">
      <c r="Z4656" t="str">
        <f t="shared" si="72"/>
        <v/>
      </c>
    </row>
    <row r="4657" spans="26:26" x14ac:dyDescent="0.2">
      <c r="Z4657" t="str">
        <f t="shared" si="72"/>
        <v/>
      </c>
    </row>
    <row r="4658" spans="26:26" x14ac:dyDescent="0.2">
      <c r="Z4658" t="str">
        <f t="shared" si="72"/>
        <v/>
      </c>
    </row>
    <row r="4659" spans="26:26" x14ac:dyDescent="0.2">
      <c r="Z4659" t="str">
        <f t="shared" si="72"/>
        <v/>
      </c>
    </row>
    <row r="4660" spans="26:26" x14ac:dyDescent="0.2">
      <c r="Z4660" t="str">
        <f t="shared" si="72"/>
        <v/>
      </c>
    </row>
    <row r="4661" spans="26:26" x14ac:dyDescent="0.2">
      <c r="Z4661" t="str">
        <f t="shared" si="72"/>
        <v/>
      </c>
    </row>
    <row r="4662" spans="26:26" x14ac:dyDescent="0.2">
      <c r="Z4662" t="str">
        <f t="shared" si="72"/>
        <v/>
      </c>
    </row>
    <row r="4663" spans="26:26" x14ac:dyDescent="0.2">
      <c r="Z4663" t="str">
        <f t="shared" si="72"/>
        <v/>
      </c>
    </row>
    <row r="4664" spans="26:26" x14ac:dyDescent="0.2">
      <c r="Z4664" t="str">
        <f t="shared" si="72"/>
        <v/>
      </c>
    </row>
    <row r="4665" spans="26:26" x14ac:dyDescent="0.2">
      <c r="Z4665" t="str">
        <f t="shared" si="72"/>
        <v/>
      </c>
    </row>
    <row r="4666" spans="26:26" x14ac:dyDescent="0.2">
      <c r="Z4666" t="str">
        <f t="shared" si="72"/>
        <v/>
      </c>
    </row>
    <row r="4667" spans="26:26" x14ac:dyDescent="0.2">
      <c r="Z4667" t="str">
        <f t="shared" si="72"/>
        <v/>
      </c>
    </row>
    <row r="4668" spans="26:26" x14ac:dyDescent="0.2">
      <c r="Z4668" t="str">
        <f t="shared" si="72"/>
        <v/>
      </c>
    </row>
    <row r="4669" spans="26:26" x14ac:dyDescent="0.2">
      <c r="Z4669" t="str">
        <f t="shared" si="72"/>
        <v/>
      </c>
    </row>
    <row r="4670" spans="26:26" x14ac:dyDescent="0.2">
      <c r="Z4670" t="str">
        <f t="shared" si="72"/>
        <v/>
      </c>
    </row>
    <row r="4671" spans="26:26" x14ac:dyDescent="0.2">
      <c r="Z4671" t="str">
        <f t="shared" si="72"/>
        <v/>
      </c>
    </row>
    <row r="4672" spans="26:26" x14ac:dyDescent="0.2">
      <c r="Z4672" t="str">
        <f t="shared" si="72"/>
        <v/>
      </c>
    </row>
    <row r="4673" spans="26:26" x14ac:dyDescent="0.2">
      <c r="Z4673" t="str">
        <f t="shared" si="72"/>
        <v/>
      </c>
    </row>
    <row r="4674" spans="26:26" x14ac:dyDescent="0.2">
      <c r="Z4674" t="str">
        <f t="shared" si="72"/>
        <v/>
      </c>
    </row>
    <row r="4675" spans="26:26" x14ac:dyDescent="0.2">
      <c r="Z4675" t="str">
        <f t="shared" ref="Z4675:Z4738" si="73">IF(K4675="","",IFERROR(VALUE(TRIM(MID(K4675,FIND(CHAR(167),SUBSTITUTE(K4675,"-",CHAR(167),LEN(K4675)-LEN(SUBSTITUTE(K4675,"-",""))))+1,100))),K4675))</f>
        <v/>
      </c>
    </row>
    <row r="4676" spans="26:26" x14ac:dyDescent="0.2">
      <c r="Z4676" t="str">
        <f t="shared" si="73"/>
        <v/>
      </c>
    </row>
    <row r="4677" spans="26:26" x14ac:dyDescent="0.2">
      <c r="Z4677" t="str">
        <f t="shared" si="73"/>
        <v/>
      </c>
    </row>
    <row r="4678" spans="26:26" x14ac:dyDescent="0.2">
      <c r="Z4678" t="str">
        <f t="shared" si="73"/>
        <v/>
      </c>
    </row>
    <row r="4679" spans="26:26" x14ac:dyDescent="0.2">
      <c r="Z4679" t="str">
        <f t="shared" si="73"/>
        <v/>
      </c>
    </row>
    <row r="4680" spans="26:26" x14ac:dyDescent="0.2">
      <c r="Z4680" t="str">
        <f t="shared" si="73"/>
        <v/>
      </c>
    </row>
    <row r="4681" spans="26:26" x14ac:dyDescent="0.2">
      <c r="Z4681" t="str">
        <f t="shared" si="73"/>
        <v/>
      </c>
    </row>
    <row r="4682" spans="26:26" x14ac:dyDescent="0.2">
      <c r="Z4682" t="str">
        <f t="shared" si="73"/>
        <v/>
      </c>
    </row>
    <row r="4683" spans="26:26" x14ac:dyDescent="0.2">
      <c r="Z4683" t="str">
        <f t="shared" si="73"/>
        <v/>
      </c>
    </row>
    <row r="4684" spans="26:26" x14ac:dyDescent="0.2">
      <c r="Z4684" t="str">
        <f t="shared" si="73"/>
        <v/>
      </c>
    </row>
    <row r="4685" spans="26:26" x14ac:dyDescent="0.2">
      <c r="Z4685" t="str">
        <f t="shared" si="73"/>
        <v/>
      </c>
    </row>
    <row r="4686" spans="26:26" x14ac:dyDescent="0.2">
      <c r="Z4686" t="str">
        <f t="shared" si="73"/>
        <v/>
      </c>
    </row>
    <row r="4687" spans="26:26" x14ac:dyDescent="0.2">
      <c r="Z4687" t="str">
        <f t="shared" si="73"/>
        <v/>
      </c>
    </row>
    <row r="4688" spans="26:26" x14ac:dyDescent="0.2">
      <c r="Z4688" t="str">
        <f t="shared" si="73"/>
        <v/>
      </c>
    </row>
    <row r="4689" spans="26:26" x14ac:dyDescent="0.2">
      <c r="Z4689" t="str">
        <f t="shared" si="73"/>
        <v/>
      </c>
    </row>
    <row r="4690" spans="26:26" x14ac:dyDescent="0.2">
      <c r="Z4690" t="str">
        <f t="shared" si="73"/>
        <v/>
      </c>
    </row>
    <row r="4691" spans="26:26" x14ac:dyDescent="0.2">
      <c r="Z4691" t="str">
        <f t="shared" si="73"/>
        <v/>
      </c>
    </row>
    <row r="4692" spans="26:26" x14ac:dyDescent="0.2">
      <c r="Z4692" t="str">
        <f t="shared" si="73"/>
        <v/>
      </c>
    </row>
    <row r="4693" spans="26:26" x14ac:dyDescent="0.2">
      <c r="Z4693" t="str">
        <f t="shared" si="73"/>
        <v/>
      </c>
    </row>
    <row r="4694" spans="26:26" x14ac:dyDescent="0.2">
      <c r="Z4694" t="str">
        <f t="shared" si="73"/>
        <v/>
      </c>
    </row>
    <row r="4695" spans="26:26" x14ac:dyDescent="0.2">
      <c r="Z4695" t="str">
        <f t="shared" si="73"/>
        <v/>
      </c>
    </row>
    <row r="4696" spans="26:26" x14ac:dyDescent="0.2">
      <c r="Z4696" t="str">
        <f t="shared" si="73"/>
        <v/>
      </c>
    </row>
    <row r="4697" spans="26:26" x14ac:dyDescent="0.2">
      <c r="Z4697" t="str">
        <f t="shared" si="73"/>
        <v/>
      </c>
    </row>
    <row r="4698" spans="26:26" x14ac:dyDescent="0.2">
      <c r="Z4698" t="str">
        <f t="shared" si="73"/>
        <v/>
      </c>
    </row>
    <row r="4699" spans="26:26" x14ac:dyDescent="0.2">
      <c r="Z4699" t="str">
        <f t="shared" si="73"/>
        <v/>
      </c>
    </row>
    <row r="4700" spans="26:26" x14ac:dyDescent="0.2">
      <c r="Z4700" t="str">
        <f t="shared" si="73"/>
        <v/>
      </c>
    </row>
    <row r="4701" spans="26:26" x14ac:dyDescent="0.2">
      <c r="Z4701" t="str">
        <f t="shared" si="73"/>
        <v/>
      </c>
    </row>
    <row r="4702" spans="26:26" x14ac:dyDescent="0.2">
      <c r="Z4702" t="str">
        <f t="shared" si="73"/>
        <v/>
      </c>
    </row>
    <row r="4703" spans="26:26" x14ac:dyDescent="0.2">
      <c r="Z4703" t="str">
        <f t="shared" si="73"/>
        <v/>
      </c>
    </row>
    <row r="4704" spans="26:26" x14ac:dyDescent="0.2">
      <c r="Z4704" t="str">
        <f t="shared" si="73"/>
        <v/>
      </c>
    </row>
    <row r="4705" spans="26:26" x14ac:dyDescent="0.2">
      <c r="Z4705" t="str">
        <f t="shared" si="73"/>
        <v/>
      </c>
    </row>
    <row r="4706" spans="26:26" x14ac:dyDescent="0.2">
      <c r="Z4706" t="str">
        <f t="shared" si="73"/>
        <v/>
      </c>
    </row>
    <row r="4707" spans="26:26" x14ac:dyDescent="0.2">
      <c r="Z4707" t="str">
        <f t="shared" si="73"/>
        <v/>
      </c>
    </row>
    <row r="4708" spans="26:26" x14ac:dyDescent="0.2">
      <c r="Z4708" t="str">
        <f t="shared" si="73"/>
        <v/>
      </c>
    </row>
    <row r="4709" spans="26:26" x14ac:dyDescent="0.2">
      <c r="Z4709" t="str">
        <f t="shared" si="73"/>
        <v/>
      </c>
    </row>
    <row r="4710" spans="26:26" x14ac:dyDescent="0.2">
      <c r="Z4710" t="str">
        <f t="shared" si="73"/>
        <v/>
      </c>
    </row>
    <row r="4711" spans="26:26" x14ac:dyDescent="0.2">
      <c r="Z4711" t="str">
        <f t="shared" si="73"/>
        <v/>
      </c>
    </row>
    <row r="4712" spans="26:26" x14ac:dyDescent="0.2">
      <c r="Z4712" t="str">
        <f t="shared" si="73"/>
        <v/>
      </c>
    </row>
    <row r="4713" spans="26:26" x14ac:dyDescent="0.2">
      <c r="Z4713" t="str">
        <f t="shared" si="73"/>
        <v/>
      </c>
    </row>
    <row r="4714" spans="26:26" x14ac:dyDescent="0.2">
      <c r="Z4714" t="str">
        <f t="shared" si="73"/>
        <v/>
      </c>
    </row>
    <row r="4715" spans="26:26" x14ac:dyDescent="0.2">
      <c r="Z4715" t="str">
        <f t="shared" si="73"/>
        <v/>
      </c>
    </row>
    <row r="4716" spans="26:26" x14ac:dyDescent="0.2">
      <c r="Z4716" t="str">
        <f t="shared" si="73"/>
        <v/>
      </c>
    </row>
    <row r="4717" spans="26:26" x14ac:dyDescent="0.2">
      <c r="Z4717" t="str">
        <f t="shared" si="73"/>
        <v/>
      </c>
    </row>
    <row r="4718" spans="26:26" x14ac:dyDescent="0.2">
      <c r="Z4718" t="str">
        <f t="shared" si="73"/>
        <v/>
      </c>
    </row>
    <row r="4719" spans="26:26" x14ac:dyDescent="0.2">
      <c r="Z4719" t="str">
        <f t="shared" si="73"/>
        <v/>
      </c>
    </row>
    <row r="4720" spans="26:26" x14ac:dyDescent="0.2">
      <c r="Z4720" t="str">
        <f t="shared" si="73"/>
        <v/>
      </c>
    </row>
    <row r="4721" spans="26:26" x14ac:dyDescent="0.2">
      <c r="Z4721" t="str">
        <f t="shared" si="73"/>
        <v/>
      </c>
    </row>
    <row r="4722" spans="26:26" x14ac:dyDescent="0.2">
      <c r="Z4722" t="str">
        <f t="shared" si="73"/>
        <v/>
      </c>
    </row>
    <row r="4723" spans="26:26" x14ac:dyDescent="0.2">
      <c r="Z4723" t="str">
        <f t="shared" si="73"/>
        <v/>
      </c>
    </row>
    <row r="4724" spans="26:26" x14ac:dyDescent="0.2">
      <c r="Z4724" t="str">
        <f t="shared" si="73"/>
        <v/>
      </c>
    </row>
    <row r="4725" spans="26:26" x14ac:dyDescent="0.2">
      <c r="Z4725" t="str">
        <f t="shared" si="73"/>
        <v/>
      </c>
    </row>
    <row r="4726" spans="26:26" x14ac:dyDescent="0.2">
      <c r="Z4726" t="str">
        <f t="shared" si="73"/>
        <v/>
      </c>
    </row>
    <row r="4727" spans="26:26" x14ac:dyDescent="0.2">
      <c r="Z4727" t="str">
        <f t="shared" si="73"/>
        <v/>
      </c>
    </row>
    <row r="4728" spans="26:26" x14ac:dyDescent="0.2">
      <c r="Z4728" t="str">
        <f t="shared" si="73"/>
        <v/>
      </c>
    </row>
    <row r="4729" spans="26:26" x14ac:dyDescent="0.2">
      <c r="Z4729" t="str">
        <f t="shared" si="73"/>
        <v/>
      </c>
    </row>
    <row r="4730" spans="26:26" x14ac:dyDescent="0.2">
      <c r="Z4730" t="str">
        <f t="shared" si="73"/>
        <v/>
      </c>
    </row>
    <row r="4731" spans="26:26" x14ac:dyDescent="0.2">
      <c r="Z4731" t="str">
        <f t="shared" si="73"/>
        <v/>
      </c>
    </row>
    <row r="4732" spans="26:26" x14ac:dyDescent="0.2">
      <c r="Z4732" t="str">
        <f t="shared" si="73"/>
        <v/>
      </c>
    </row>
    <row r="4733" spans="26:26" x14ac:dyDescent="0.2">
      <c r="Z4733" t="str">
        <f t="shared" si="73"/>
        <v/>
      </c>
    </row>
    <row r="4734" spans="26:26" x14ac:dyDescent="0.2">
      <c r="Z4734" t="str">
        <f t="shared" si="73"/>
        <v/>
      </c>
    </row>
    <row r="4735" spans="26:26" x14ac:dyDescent="0.2">
      <c r="Z4735" t="str">
        <f t="shared" si="73"/>
        <v/>
      </c>
    </row>
    <row r="4736" spans="26:26" x14ac:dyDescent="0.2">
      <c r="Z4736" t="str">
        <f t="shared" si="73"/>
        <v/>
      </c>
    </row>
    <row r="4737" spans="26:26" x14ac:dyDescent="0.2">
      <c r="Z4737" t="str">
        <f t="shared" si="73"/>
        <v/>
      </c>
    </row>
    <row r="4738" spans="26:26" x14ac:dyDescent="0.2">
      <c r="Z4738" t="str">
        <f t="shared" si="73"/>
        <v/>
      </c>
    </row>
    <row r="4739" spans="26:26" x14ac:dyDescent="0.2">
      <c r="Z4739" t="str">
        <f t="shared" ref="Z4739:Z4802" si="74">IF(K4739="","",IFERROR(VALUE(TRIM(MID(K4739,FIND(CHAR(167),SUBSTITUTE(K4739,"-",CHAR(167),LEN(K4739)-LEN(SUBSTITUTE(K4739,"-",""))))+1,100))),K4739))</f>
        <v/>
      </c>
    </row>
    <row r="4740" spans="26:26" x14ac:dyDescent="0.2">
      <c r="Z4740" t="str">
        <f t="shared" si="74"/>
        <v/>
      </c>
    </row>
    <row r="4741" spans="26:26" x14ac:dyDescent="0.2">
      <c r="Z4741" t="str">
        <f t="shared" si="74"/>
        <v/>
      </c>
    </row>
    <row r="4742" spans="26:26" x14ac:dyDescent="0.2">
      <c r="Z4742" t="str">
        <f t="shared" si="74"/>
        <v/>
      </c>
    </row>
    <row r="4743" spans="26:26" x14ac:dyDescent="0.2">
      <c r="Z4743" t="str">
        <f t="shared" si="74"/>
        <v/>
      </c>
    </row>
    <row r="4744" spans="26:26" x14ac:dyDescent="0.2">
      <c r="Z4744" t="str">
        <f t="shared" si="74"/>
        <v/>
      </c>
    </row>
    <row r="4745" spans="26:26" x14ac:dyDescent="0.2">
      <c r="Z4745" t="str">
        <f t="shared" si="74"/>
        <v/>
      </c>
    </row>
    <row r="4746" spans="26:26" x14ac:dyDescent="0.2">
      <c r="Z4746" t="str">
        <f t="shared" si="74"/>
        <v/>
      </c>
    </row>
    <row r="4747" spans="26:26" x14ac:dyDescent="0.2">
      <c r="Z4747" t="str">
        <f t="shared" si="74"/>
        <v/>
      </c>
    </row>
    <row r="4748" spans="26:26" x14ac:dyDescent="0.2">
      <c r="Z4748" t="str">
        <f t="shared" si="74"/>
        <v/>
      </c>
    </row>
    <row r="4749" spans="26:26" x14ac:dyDescent="0.2">
      <c r="Z4749" t="str">
        <f t="shared" si="74"/>
        <v/>
      </c>
    </row>
    <row r="4750" spans="26:26" x14ac:dyDescent="0.2">
      <c r="Z4750" t="str">
        <f t="shared" si="74"/>
        <v/>
      </c>
    </row>
    <row r="4751" spans="26:26" x14ac:dyDescent="0.2">
      <c r="Z4751" t="str">
        <f t="shared" si="74"/>
        <v/>
      </c>
    </row>
    <row r="4752" spans="26:26" x14ac:dyDescent="0.2">
      <c r="Z4752" t="str">
        <f t="shared" si="74"/>
        <v/>
      </c>
    </row>
    <row r="4753" spans="26:26" x14ac:dyDescent="0.2">
      <c r="Z4753" t="str">
        <f t="shared" si="74"/>
        <v/>
      </c>
    </row>
    <row r="4754" spans="26:26" x14ac:dyDescent="0.2">
      <c r="Z4754" t="str">
        <f t="shared" si="74"/>
        <v/>
      </c>
    </row>
    <row r="4755" spans="26:26" x14ac:dyDescent="0.2">
      <c r="Z4755" t="str">
        <f t="shared" si="74"/>
        <v/>
      </c>
    </row>
    <row r="4756" spans="26:26" x14ac:dyDescent="0.2">
      <c r="Z4756" t="str">
        <f t="shared" si="74"/>
        <v/>
      </c>
    </row>
    <row r="4757" spans="26:26" x14ac:dyDescent="0.2">
      <c r="Z4757" t="str">
        <f t="shared" si="74"/>
        <v/>
      </c>
    </row>
    <row r="4758" spans="26:26" x14ac:dyDescent="0.2">
      <c r="Z4758" t="str">
        <f t="shared" si="74"/>
        <v/>
      </c>
    </row>
    <row r="4759" spans="26:26" x14ac:dyDescent="0.2">
      <c r="Z4759" t="str">
        <f t="shared" si="74"/>
        <v/>
      </c>
    </row>
    <row r="4760" spans="26:26" x14ac:dyDescent="0.2">
      <c r="Z4760" t="str">
        <f t="shared" si="74"/>
        <v/>
      </c>
    </row>
    <row r="4761" spans="26:26" x14ac:dyDescent="0.2">
      <c r="Z4761" t="str">
        <f t="shared" si="74"/>
        <v/>
      </c>
    </row>
    <row r="4762" spans="26:26" x14ac:dyDescent="0.2">
      <c r="Z4762" t="str">
        <f t="shared" si="74"/>
        <v/>
      </c>
    </row>
    <row r="4763" spans="26:26" x14ac:dyDescent="0.2">
      <c r="Z4763" t="str">
        <f t="shared" si="74"/>
        <v/>
      </c>
    </row>
    <row r="4764" spans="26:26" x14ac:dyDescent="0.2">
      <c r="Z4764" t="str">
        <f t="shared" si="74"/>
        <v/>
      </c>
    </row>
    <row r="4765" spans="26:26" x14ac:dyDescent="0.2">
      <c r="Z4765" t="str">
        <f t="shared" si="74"/>
        <v/>
      </c>
    </row>
    <row r="4766" spans="26:26" x14ac:dyDescent="0.2">
      <c r="Z4766" t="str">
        <f t="shared" si="74"/>
        <v/>
      </c>
    </row>
    <row r="4767" spans="26:26" x14ac:dyDescent="0.2">
      <c r="Z4767" t="str">
        <f t="shared" si="74"/>
        <v/>
      </c>
    </row>
    <row r="4768" spans="26:26" x14ac:dyDescent="0.2">
      <c r="Z4768" t="str">
        <f t="shared" si="74"/>
        <v/>
      </c>
    </row>
    <row r="4769" spans="26:26" x14ac:dyDescent="0.2">
      <c r="Z4769" t="str">
        <f t="shared" si="74"/>
        <v/>
      </c>
    </row>
    <row r="4770" spans="26:26" x14ac:dyDescent="0.2">
      <c r="Z4770" t="str">
        <f t="shared" si="74"/>
        <v/>
      </c>
    </row>
    <row r="4771" spans="26:26" x14ac:dyDescent="0.2">
      <c r="Z4771" t="str">
        <f t="shared" si="74"/>
        <v/>
      </c>
    </row>
    <row r="4772" spans="26:26" x14ac:dyDescent="0.2">
      <c r="Z4772" t="str">
        <f t="shared" si="74"/>
        <v/>
      </c>
    </row>
    <row r="4773" spans="26:26" x14ac:dyDescent="0.2">
      <c r="Z4773" t="str">
        <f t="shared" si="74"/>
        <v/>
      </c>
    </row>
    <row r="4774" spans="26:26" x14ac:dyDescent="0.2">
      <c r="Z4774" t="str">
        <f t="shared" si="74"/>
        <v/>
      </c>
    </row>
    <row r="4775" spans="26:26" x14ac:dyDescent="0.2">
      <c r="Z4775" t="str">
        <f t="shared" si="74"/>
        <v/>
      </c>
    </row>
    <row r="4776" spans="26:26" x14ac:dyDescent="0.2">
      <c r="Z4776" t="str">
        <f t="shared" si="74"/>
        <v/>
      </c>
    </row>
    <row r="4777" spans="26:26" x14ac:dyDescent="0.2">
      <c r="Z4777" t="str">
        <f t="shared" si="74"/>
        <v/>
      </c>
    </row>
    <row r="4778" spans="26:26" x14ac:dyDescent="0.2">
      <c r="Z4778" t="str">
        <f t="shared" si="74"/>
        <v/>
      </c>
    </row>
    <row r="4779" spans="26:26" x14ac:dyDescent="0.2">
      <c r="Z4779" t="str">
        <f t="shared" si="74"/>
        <v/>
      </c>
    </row>
    <row r="4780" spans="26:26" x14ac:dyDescent="0.2">
      <c r="Z4780" t="str">
        <f t="shared" si="74"/>
        <v/>
      </c>
    </row>
    <row r="4781" spans="26:26" x14ac:dyDescent="0.2">
      <c r="Z4781" t="str">
        <f t="shared" si="74"/>
        <v/>
      </c>
    </row>
    <row r="4782" spans="26:26" x14ac:dyDescent="0.2">
      <c r="Z4782" t="str">
        <f t="shared" si="74"/>
        <v/>
      </c>
    </row>
    <row r="4783" spans="26:26" x14ac:dyDescent="0.2">
      <c r="Z4783" t="str">
        <f t="shared" si="74"/>
        <v/>
      </c>
    </row>
    <row r="4784" spans="26:26" x14ac:dyDescent="0.2">
      <c r="Z4784" t="str">
        <f t="shared" si="74"/>
        <v/>
      </c>
    </row>
    <row r="4785" spans="26:26" x14ac:dyDescent="0.2">
      <c r="Z4785" t="str">
        <f t="shared" si="74"/>
        <v/>
      </c>
    </row>
    <row r="4786" spans="26:26" x14ac:dyDescent="0.2">
      <c r="Z4786" t="str">
        <f t="shared" si="74"/>
        <v/>
      </c>
    </row>
    <row r="4787" spans="26:26" x14ac:dyDescent="0.2">
      <c r="Z4787" t="str">
        <f t="shared" si="74"/>
        <v/>
      </c>
    </row>
    <row r="4788" spans="26:26" x14ac:dyDescent="0.2">
      <c r="Z4788" t="str">
        <f t="shared" si="74"/>
        <v/>
      </c>
    </row>
    <row r="4789" spans="26:26" x14ac:dyDescent="0.2">
      <c r="Z4789" t="str">
        <f t="shared" si="74"/>
        <v/>
      </c>
    </row>
    <row r="4790" spans="26:26" x14ac:dyDescent="0.2">
      <c r="Z4790" t="str">
        <f t="shared" si="74"/>
        <v/>
      </c>
    </row>
    <row r="4791" spans="26:26" x14ac:dyDescent="0.2">
      <c r="Z4791" t="str">
        <f t="shared" si="74"/>
        <v/>
      </c>
    </row>
    <row r="4792" spans="26:26" x14ac:dyDescent="0.2">
      <c r="Z4792" t="str">
        <f t="shared" si="74"/>
        <v/>
      </c>
    </row>
    <row r="4793" spans="26:26" x14ac:dyDescent="0.2">
      <c r="Z4793" t="str">
        <f t="shared" si="74"/>
        <v/>
      </c>
    </row>
    <row r="4794" spans="26:26" x14ac:dyDescent="0.2">
      <c r="Z4794" t="str">
        <f t="shared" si="74"/>
        <v/>
      </c>
    </row>
    <row r="4795" spans="26:26" x14ac:dyDescent="0.2">
      <c r="Z4795" t="str">
        <f t="shared" si="74"/>
        <v/>
      </c>
    </row>
    <row r="4796" spans="26:26" x14ac:dyDescent="0.2">
      <c r="Z4796" t="str">
        <f t="shared" si="74"/>
        <v/>
      </c>
    </row>
    <row r="4797" spans="26:26" x14ac:dyDescent="0.2">
      <c r="Z4797" t="str">
        <f t="shared" si="74"/>
        <v/>
      </c>
    </row>
    <row r="4798" spans="26:26" x14ac:dyDescent="0.2">
      <c r="Z4798" t="str">
        <f t="shared" si="74"/>
        <v/>
      </c>
    </row>
    <row r="4799" spans="26:26" x14ac:dyDescent="0.2">
      <c r="Z4799" t="str">
        <f t="shared" si="74"/>
        <v/>
      </c>
    </row>
    <row r="4800" spans="26:26" x14ac:dyDescent="0.2">
      <c r="Z4800" t="str">
        <f t="shared" si="74"/>
        <v/>
      </c>
    </row>
    <row r="4801" spans="26:26" x14ac:dyDescent="0.2">
      <c r="Z4801" t="str">
        <f t="shared" si="74"/>
        <v/>
      </c>
    </row>
    <row r="4802" spans="26:26" x14ac:dyDescent="0.2">
      <c r="Z4802" t="str">
        <f t="shared" si="74"/>
        <v/>
      </c>
    </row>
    <row r="4803" spans="26:26" x14ac:dyDescent="0.2">
      <c r="Z4803" t="str">
        <f t="shared" ref="Z4803:Z4866" si="75">IF(K4803="","",IFERROR(VALUE(TRIM(MID(K4803,FIND(CHAR(167),SUBSTITUTE(K4803,"-",CHAR(167),LEN(K4803)-LEN(SUBSTITUTE(K4803,"-",""))))+1,100))),K4803))</f>
        <v/>
      </c>
    </row>
    <row r="4804" spans="26:26" x14ac:dyDescent="0.2">
      <c r="Z4804" t="str">
        <f t="shared" si="75"/>
        <v/>
      </c>
    </row>
    <row r="4805" spans="26:26" x14ac:dyDescent="0.2">
      <c r="Z4805" t="str">
        <f t="shared" si="75"/>
        <v/>
      </c>
    </row>
    <row r="4806" spans="26:26" x14ac:dyDescent="0.2">
      <c r="Z4806" t="str">
        <f t="shared" si="75"/>
        <v/>
      </c>
    </row>
    <row r="4807" spans="26:26" x14ac:dyDescent="0.2">
      <c r="Z4807" t="str">
        <f t="shared" si="75"/>
        <v/>
      </c>
    </row>
    <row r="4808" spans="26:26" x14ac:dyDescent="0.2">
      <c r="Z4808" t="str">
        <f t="shared" si="75"/>
        <v/>
      </c>
    </row>
    <row r="4809" spans="26:26" x14ac:dyDescent="0.2">
      <c r="Z4809" t="str">
        <f t="shared" si="75"/>
        <v/>
      </c>
    </row>
    <row r="4810" spans="26:26" x14ac:dyDescent="0.2">
      <c r="Z4810" t="str">
        <f t="shared" si="75"/>
        <v/>
      </c>
    </row>
    <row r="4811" spans="26:26" x14ac:dyDescent="0.2">
      <c r="Z4811" t="str">
        <f t="shared" si="75"/>
        <v/>
      </c>
    </row>
    <row r="4812" spans="26:26" x14ac:dyDescent="0.2">
      <c r="Z4812" t="str">
        <f t="shared" si="75"/>
        <v/>
      </c>
    </row>
    <row r="4813" spans="26:26" x14ac:dyDescent="0.2">
      <c r="Z4813" t="str">
        <f t="shared" si="75"/>
        <v/>
      </c>
    </row>
    <row r="4814" spans="26:26" x14ac:dyDescent="0.2">
      <c r="Z4814" t="str">
        <f t="shared" si="75"/>
        <v/>
      </c>
    </row>
    <row r="4815" spans="26:26" x14ac:dyDescent="0.2">
      <c r="Z4815" t="str">
        <f t="shared" si="75"/>
        <v/>
      </c>
    </row>
    <row r="4816" spans="26:26" x14ac:dyDescent="0.2">
      <c r="Z4816" t="str">
        <f t="shared" si="75"/>
        <v/>
      </c>
    </row>
    <row r="4817" spans="26:26" x14ac:dyDescent="0.2">
      <c r="Z4817" t="str">
        <f t="shared" si="75"/>
        <v/>
      </c>
    </row>
    <row r="4818" spans="26:26" x14ac:dyDescent="0.2">
      <c r="Z4818" t="str">
        <f t="shared" si="75"/>
        <v/>
      </c>
    </row>
    <row r="4819" spans="26:26" x14ac:dyDescent="0.2">
      <c r="Z4819" t="str">
        <f t="shared" si="75"/>
        <v/>
      </c>
    </row>
    <row r="4820" spans="26:26" x14ac:dyDescent="0.2">
      <c r="Z4820" t="str">
        <f t="shared" si="75"/>
        <v/>
      </c>
    </row>
    <row r="4821" spans="26:26" x14ac:dyDescent="0.2">
      <c r="Z4821" t="str">
        <f t="shared" si="75"/>
        <v/>
      </c>
    </row>
    <row r="4822" spans="26:26" x14ac:dyDescent="0.2">
      <c r="Z4822" t="str">
        <f t="shared" si="75"/>
        <v/>
      </c>
    </row>
    <row r="4823" spans="26:26" x14ac:dyDescent="0.2">
      <c r="Z4823" t="str">
        <f t="shared" si="75"/>
        <v/>
      </c>
    </row>
    <row r="4824" spans="26:26" x14ac:dyDescent="0.2">
      <c r="Z4824" t="str">
        <f t="shared" si="75"/>
        <v/>
      </c>
    </row>
    <row r="4825" spans="26:26" x14ac:dyDescent="0.2">
      <c r="Z4825" t="str">
        <f t="shared" si="75"/>
        <v/>
      </c>
    </row>
    <row r="4826" spans="26:26" x14ac:dyDescent="0.2">
      <c r="Z4826" t="str">
        <f t="shared" si="75"/>
        <v/>
      </c>
    </row>
    <row r="4827" spans="26:26" x14ac:dyDescent="0.2">
      <c r="Z4827" t="str">
        <f t="shared" si="75"/>
        <v/>
      </c>
    </row>
    <row r="4828" spans="26:26" x14ac:dyDescent="0.2">
      <c r="Z4828" t="str">
        <f t="shared" si="75"/>
        <v/>
      </c>
    </row>
    <row r="4829" spans="26:26" x14ac:dyDescent="0.2">
      <c r="Z4829" t="str">
        <f t="shared" si="75"/>
        <v/>
      </c>
    </row>
    <row r="4830" spans="26:26" x14ac:dyDescent="0.2">
      <c r="Z4830" t="str">
        <f t="shared" si="75"/>
        <v/>
      </c>
    </row>
    <row r="4831" spans="26:26" x14ac:dyDescent="0.2">
      <c r="Z4831" t="str">
        <f t="shared" si="75"/>
        <v/>
      </c>
    </row>
    <row r="4832" spans="26:26" x14ac:dyDescent="0.2">
      <c r="Z4832" t="str">
        <f t="shared" si="75"/>
        <v/>
      </c>
    </row>
    <row r="4833" spans="26:26" x14ac:dyDescent="0.2">
      <c r="Z4833" t="str">
        <f t="shared" si="75"/>
        <v/>
      </c>
    </row>
    <row r="4834" spans="26:26" x14ac:dyDescent="0.2">
      <c r="Z4834" t="str">
        <f t="shared" si="75"/>
        <v/>
      </c>
    </row>
    <row r="4835" spans="26:26" x14ac:dyDescent="0.2">
      <c r="Z4835" t="str">
        <f t="shared" si="75"/>
        <v/>
      </c>
    </row>
    <row r="4836" spans="26:26" x14ac:dyDescent="0.2">
      <c r="Z4836" t="str">
        <f t="shared" si="75"/>
        <v/>
      </c>
    </row>
    <row r="4837" spans="26:26" x14ac:dyDescent="0.2">
      <c r="Z4837" t="str">
        <f t="shared" si="75"/>
        <v/>
      </c>
    </row>
    <row r="4838" spans="26:26" x14ac:dyDescent="0.2">
      <c r="Z4838" t="str">
        <f t="shared" si="75"/>
        <v/>
      </c>
    </row>
    <row r="4839" spans="26:26" x14ac:dyDescent="0.2">
      <c r="Z4839" t="str">
        <f t="shared" si="75"/>
        <v/>
      </c>
    </row>
    <row r="4840" spans="26:26" x14ac:dyDescent="0.2">
      <c r="Z4840" t="str">
        <f t="shared" si="75"/>
        <v/>
      </c>
    </row>
    <row r="4841" spans="26:26" x14ac:dyDescent="0.2">
      <c r="Z4841" t="str">
        <f t="shared" si="75"/>
        <v/>
      </c>
    </row>
    <row r="4842" spans="26:26" x14ac:dyDescent="0.2">
      <c r="Z4842" t="str">
        <f t="shared" si="75"/>
        <v/>
      </c>
    </row>
    <row r="4843" spans="26:26" x14ac:dyDescent="0.2">
      <c r="Z4843" t="str">
        <f t="shared" si="75"/>
        <v/>
      </c>
    </row>
    <row r="4844" spans="26:26" x14ac:dyDescent="0.2">
      <c r="Z4844" t="str">
        <f t="shared" si="75"/>
        <v/>
      </c>
    </row>
    <row r="4845" spans="26:26" x14ac:dyDescent="0.2">
      <c r="Z4845" t="str">
        <f t="shared" si="75"/>
        <v/>
      </c>
    </row>
    <row r="4846" spans="26:26" x14ac:dyDescent="0.2">
      <c r="Z4846" t="str">
        <f t="shared" si="75"/>
        <v/>
      </c>
    </row>
    <row r="4847" spans="26:26" x14ac:dyDescent="0.2">
      <c r="Z4847" t="str">
        <f t="shared" si="75"/>
        <v/>
      </c>
    </row>
    <row r="4848" spans="26:26" x14ac:dyDescent="0.2">
      <c r="Z4848" t="str">
        <f t="shared" si="75"/>
        <v/>
      </c>
    </row>
    <row r="4849" spans="26:26" x14ac:dyDescent="0.2">
      <c r="Z4849" t="str">
        <f t="shared" si="75"/>
        <v/>
      </c>
    </row>
    <row r="4850" spans="26:26" x14ac:dyDescent="0.2">
      <c r="Z4850" t="str">
        <f t="shared" si="75"/>
        <v/>
      </c>
    </row>
    <row r="4851" spans="26:26" x14ac:dyDescent="0.2">
      <c r="Z4851" t="str">
        <f t="shared" si="75"/>
        <v/>
      </c>
    </row>
    <row r="4852" spans="26:26" x14ac:dyDescent="0.2">
      <c r="Z4852" t="str">
        <f t="shared" si="75"/>
        <v/>
      </c>
    </row>
    <row r="4853" spans="26:26" x14ac:dyDescent="0.2">
      <c r="Z4853" t="str">
        <f t="shared" si="75"/>
        <v/>
      </c>
    </row>
    <row r="4854" spans="26:26" x14ac:dyDescent="0.2">
      <c r="Z4854" t="str">
        <f t="shared" si="75"/>
        <v/>
      </c>
    </row>
    <row r="4855" spans="26:26" x14ac:dyDescent="0.2">
      <c r="Z4855" t="str">
        <f t="shared" si="75"/>
        <v/>
      </c>
    </row>
    <row r="4856" spans="26:26" x14ac:dyDescent="0.2">
      <c r="Z4856" t="str">
        <f t="shared" si="75"/>
        <v/>
      </c>
    </row>
    <row r="4857" spans="26:26" x14ac:dyDescent="0.2">
      <c r="Z4857" t="str">
        <f t="shared" si="75"/>
        <v/>
      </c>
    </row>
    <row r="4858" spans="26:26" x14ac:dyDescent="0.2">
      <c r="Z4858" t="str">
        <f t="shared" si="75"/>
        <v/>
      </c>
    </row>
    <row r="4859" spans="26:26" x14ac:dyDescent="0.2">
      <c r="Z4859" t="str">
        <f t="shared" si="75"/>
        <v/>
      </c>
    </row>
    <row r="4860" spans="26:26" x14ac:dyDescent="0.2">
      <c r="Z4860" t="str">
        <f t="shared" si="75"/>
        <v/>
      </c>
    </row>
    <row r="4861" spans="26:26" x14ac:dyDescent="0.2">
      <c r="Z4861" t="str">
        <f t="shared" si="75"/>
        <v/>
      </c>
    </row>
    <row r="4862" spans="26:26" x14ac:dyDescent="0.2">
      <c r="Z4862" t="str">
        <f t="shared" si="75"/>
        <v/>
      </c>
    </row>
    <row r="4863" spans="26:26" x14ac:dyDescent="0.2">
      <c r="Z4863" t="str">
        <f t="shared" si="75"/>
        <v/>
      </c>
    </row>
    <row r="4864" spans="26:26" x14ac:dyDescent="0.2">
      <c r="Z4864" t="str">
        <f t="shared" si="75"/>
        <v/>
      </c>
    </row>
    <row r="4865" spans="26:26" x14ac:dyDescent="0.2">
      <c r="Z4865" t="str">
        <f t="shared" si="75"/>
        <v/>
      </c>
    </row>
    <row r="4866" spans="26:26" x14ac:dyDescent="0.2">
      <c r="Z4866" t="str">
        <f t="shared" si="75"/>
        <v/>
      </c>
    </row>
    <row r="4867" spans="26:26" x14ac:dyDescent="0.2">
      <c r="Z4867" t="str">
        <f t="shared" ref="Z4867:Z4930" si="76">IF(K4867="","",IFERROR(VALUE(TRIM(MID(K4867,FIND(CHAR(167),SUBSTITUTE(K4867,"-",CHAR(167),LEN(K4867)-LEN(SUBSTITUTE(K4867,"-",""))))+1,100))),K4867))</f>
        <v/>
      </c>
    </row>
    <row r="4868" spans="26:26" x14ac:dyDescent="0.2">
      <c r="Z4868" t="str">
        <f t="shared" si="76"/>
        <v/>
      </c>
    </row>
    <row r="4869" spans="26:26" x14ac:dyDescent="0.2">
      <c r="Z4869" t="str">
        <f t="shared" si="76"/>
        <v/>
      </c>
    </row>
    <row r="4870" spans="26:26" x14ac:dyDescent="0.2">
      <c r="Z4870" t="str">
        <f t="shared" si="76"/>
        <v/>
      </c>
    </row>
    <row r="4871" spans="26:26" x14ac:dyDescent="0.2">
      <c r="Z4871" t="str">
        <f t="shared" si="76"/>
        <v/>
      </c>
    </row>
    <row r="4872" spans="26:26" x14ac:dyDescent="0.2">
      <c r="Z4872" t="str">
        <f t="shared" si="76"/>
        <v/>
      </c>
    </row>
    <row r="4873" spans="26:26" x14ac:dyDescent="0.2">
      <c r="Z4873" t="str">
        <f t="shared" si="76"/>
        <v/>
      </c>
    </row>
    <row r="4874" spans="26:26" x14ac:dyDescent="0.2">
      <c r="Z4874" t="str">
        <f t="shared" si="76"/>
        <v/>
      </c>
    </row>
    <row r="4875" spans="26:26" x14ac:dyDescent="0.2">
      <c r="Z4875" t="str">
        <f t="shared" si="76"/>
        <v/>
      </c>
    </row>
    <row r="4876" spans="26:26" x14ac:dyDescent="0.2">
      <c r="Z4876" t="str">
        <f t="shared" si="76"/>
        <v/>
      </c>
    </row>
    <row r="4877" spans="26:26" x14ac:dyDescent="0.2">
      <c r="Z4877" t="str">
        <f t="shared" si="76"/>
        <v/>
      </c>
    </row>
    <row r="4878" spans="26:26" x14ac:dyDescent="0.2">
      <c r="Z4878" t="str">
        <f t="shared" si="76"/>
        <v/>
      </c>
    </row>
    <row r="4879" spans="26:26" x14ac:dyDescent="0.2">
      <c r="Z4879" t="str">
        <f t="shared" si="76"/>
        <v/>
      </c>
    </row>
    <row r="4880" spans="26:26" x14ac:dyDescent="0.2">
      <c r="Z4880" t="str">
        <f t="shared" si="76"/>
        <v/>
      </c>
    </row>
    <row r="4881" spans="26:26" x14ac:dyDescent="0.2">
      <c r="Z4881" t="str">
        <f t="shared" si="76"/>
        <v/>
      </c>
    </row>
    <row r="4882" spans="26:26" x14ac:dyDescent="0.2">
      <c r="Z4882" t="str">
        <f t="shared" si="76"/>
        <v/>
      </c>
    </row>
    <row r="4883" spans="26:26" x14ac:dyDescent="0.2">
      <c r="Z4883" t="str">
        <f t="shared" si="76"/>
        <v/>
      </c>
    </row>
    <row r="4884" spans="26:26" x14ac:dyDescent="0.2">
      <c r="Z4884" t="str">
        <f t="shared" si="76"/>
        <v/>
      </c>
    </row>
    <row r="4885" spans="26:26" x14ac:dyDescent="0.2">
      <c r="Z4885" t="str">
        <f t="shared" si="76"/>
        <v/>
      </c>
    </row>
    <row r="4886" spans="26:26" x14ac:dyDescent="0.2">
      <c r="Z4886" t="str">
        <f t="shared" si="76"/>
        <v/>
      </c>
    </row>
    <row r="4887" spans="26:26" x14ac:dyDescent="0.2">
      <c r="Z4887" t="str">
        <f t="shared" si="76"/>
        <v/>
      </c>
    </row>
    <row r="4888" spans="26:26" x14ac:dyDescent="0.2">
      <c r="Z4888" t="str">
        <f t="shared" si="76"/>
        <v/>
      </c>
    </row>
    <row r="4889" spans="26:26" x14ac:dyDescent="0.2">
      <c r="Z4889" t="str">
        <f t="shared" si="76"/>
        <v/>
      </c>
    </row>
    <row r="4890" spans="26:26" x14ac:dyDescent="0.2">
      <c r="Z4890" t="str">
        <f t="shared" si="76"/>
        <v/>
      </c>
    </row>
    <row r="4891" spans="26:26" x14ac:dyDescent="0.2">
      <c r="Z4891" t="str">
        <f t="shared" si="76"/>
        <v/>
      </c>
    </row>
    <row r="4892" spans="26:26" x14ac:dyDescent="0.2">
      <c r="Z4892" t="str">
        <f t="shared" si="76"/>
        <v/>
      </c>
    </row>
    <row r="4893" spans="26:26" x14ac:dyDescent="0.2">
      <c r="Z4893" t="str">
        <f t="shared" si="76"/>
        <v/>
      </c>
    </row>
    <row r="4894" spans="26:26" x14ac:dyDescent="0.2">
      <c r="Z4894" t="str">
        <f t="shared" si="76"/>
        <v/>
      </c>
    </row>
    <row r="4895" spans="26:26" x14ac:dyDescent="0.2">
      <c r="Z4895" t="str">
        <f t="shared" si="76"/>
        <v/>
      </c>
    </row>
    <row r="4896" spans="26:26" x14ac:dyDescent="0.2">
      <c r="Z4896" t="str">
        <f t="shared" si="76"/>
        <v/>
      </c>
    </row>
    <row r="4897" spans="26:26" x14ac:dyDescent="0.2">
      <c r="Z4897" t="str">
        <f t="shared" si="76"/>
        <v/>
      </c>
    </row>
    <row r="4898" spans="26:26" x14ac:dyDescent="0.2">
      <c r="Z4898" t="str">
        <f t="shared" si="76"/>
        <v/>
      </c>
    </row>
    <row r="4899" spans="26:26" x14ac:dyDescent="0.2">
      <c r="Z4899" t="str">
        <f t="shared" si="76"/>
        <v/>
      </c>
    </row>
    <row r="4900" spans="26:26" x14ac:dyDescent="0.2">
      <c r="Z4900" t="str">
        <f t="shared" si="76"/>
        <v/>
      </c>
    </row>
    <row r="4901" spans="26:26" x14ac:dyDescent="0.2">
      <c r="Z4901" t="str">
        <f t="shared" si="76"/>
        <v/>
      </c>
    </row>
    <row r="4902" spans="26:26" x14ac:dyDescent="0.2">
      <c r="Z4902" t="str">
        <f t="shared" si="76"/>
        <v/>
      </c>
    </row>
    <row r="4903" spans="26:26" x14ac:dyDescent="0.2">
      <c r="Z4903" t="str">
        <f t="shared" si="76"/>
        <v/>
      </c>
    </row>
    <row r="4904" spans="26:26" x14ac:dyDescent="0.2">
      <c r="Z4904" t="str">
        <f t="shared" si="76"/>
        <v/>
      </c>
    </row>
    <row r="4905" spans="26:26" x14ac:dyDescent="0.2">
      <c r="Z4905" t="str">
        <f t="shared" si="76"/>
        <v/>
      </c>
    </row>
    <row r="4906" spans="26:26" x14ac:dyDescent="0.2">
      <c r="Z4906" t="str">
        <f t="shared" si="76"/>
        <v/>
      </c>
    </row>
    <row r="4907" spans="26:26" x14ac:dyDescent="0.2">
      <c r="Z4907" t="str">
        <f t="shared" si="76"/>
        <v/>
      </c>
    </row>
    <row r="4908" spans="26:26" x14ac:dyDescent="0.2">
      <c r="Z4908" t="str">
        <f t="shared" si="76"/>
        <v/>
      </c>
    </row>
    <row r="4909" spans="26:26" x14ac:dyDescent="0.2">
      <c r="Z4909" t="str">
        <f t="shared" si="76"/>
        <v/>
      </c>
    </row>
    <row r="4910" spans="26:26" x14ac:dyDescent="0.2">
      <c r="Z4910" t="str">
        <f t="shared" si="76"/>
        <v/>
      </c>
    </row>
    <row r="4911" spans="26:26" x14ac:dyDescent="0.2">
      <c r="Z4911" t="str">
        <f t="shared" si="76"/>
        <v/>
      </c>
    </row>
    <row r="4912" spans="26:26" x14ac:dyDescent="0.2">
      <c r="Z4912" t="str">
        <f t="shared" si="76"/>
        <v/>
      </c>
    </row>
    <row r="4913" spans="26:26" x14ac:dyDescent="0.2">
      <c r="Z4913" t="str">
        <f t="shared" si="76"/>
        <v/>
      </c>
    </row>
    <row r="4914" spans="26:26" x14ac:dyDescent="0.2">
      <c r="Z4914" t="str">
        <f t="shared" si="76"/>
        <v/>
      </c>
    </row>
    <row r="4915" spans="26:26" x14ac:dyDescent="0.2">
      <c r="Z4915" t="str">
        <f t="shared" si="76"/>
        <v/>
      </c>
    </row>
    <row r="4916" spans="26:26" x14ac:dyDescent="0.2">
      <c r="Z4916" t="str">
        <f t="shared" si="76"/>
        <v/>
      </c>
    </row>
    <row r="4917" spans="26:26" x14ac:dyDescent="0.2">
      <c r="Z4917" t="str">
        <f t="shared" si="76"/>
        <v/>
      </c>
    </row>
    <row r="4918" spans="26:26" x14ac:dyDescent="0.2">
      <c r="Z4918" t="str">
        <f t="shared" si="76"/>
        <v/>
      </c>
    </row>
    <row r="4919" spans="26:26" x14ac:dyDescent="0.2">
      <c r="Z4919" t="str">
        <f t="shared" si="76"/>
        <v/>
      </c>
    </row>
    <row r="4920" spans="26:26" x14ac:dyDescent="0.2">
      <c r="Z4920" t="str">
        <f t="shared" si="76"/>
        <v/>
      </c>
    </row>
    <row r="4921" spans="26:26" x14ac:dyDescent="0.2">
      <c r="Z4921" t="str">
        <f t="shared" si="76"/>
        <v/>
      </c>
    </row>
    <row r="4922" spans="26:26" x14ac:dyDescent="0.2">
      <c r="Z4922" t="str">
        <f t="shared" si="76"/>
        <v/>
      </c>
    </row>
    <row r="4923" spans="26:26" x14ac:dyDescent="0.2">
      <c r="Z4923" t="str">
        <f t="shared" si="76"/>
        <v/>
      </c>
    </row>
    <row r="4924" spans="26:26" x14ac:dyDescent="0.2">
      <c r="Z4924" t="str">
        <f t="shared" si="76"/>
        <v/>
      </c>
    </row>
    <row r="4925" spans="26:26" x14ac:dyDescent="0.2">
      <c r="Z4925" t="str">
        <f t="shared" si="76"/>
        <v/>
      </c>
    </row>
    <row r="4926" spans="26:26" x14ac:dyDescent="0.2">
      <c r="Z4926" t="str">
        <f t="shared" si="76"/>
        <v/>
      </c>
    </row>
    <row r="4927" spans="26:26" x14ac:dyDescent="0.2">
      <c r="Z4927" t="str">
        <f t="shared" si="76"/>
        <v/>
      </c>
    </row>
    <row r="4928" spans="26:26" x14ac:dyDescent="0.2">
      <c r="Z4928" t="str">
        <f t="shared" si="76"/>
        <v/>
      </c>
    </row>
    <row r="4929" spans="26:26" x14ac:dyDescent="0.2">
      <c r="Z4929" t="str">
        <f t="shared" si="76"/>
        <v/>
      </c>
    </row>
    <row r="4930" spans="26:26" x14ac:dyDescent="0.2">
      <c r="Z4930" t="str">
        <f t="shared" si="76"/>
        <v/>
      </c>
    </row>
    <row r="4931" spans="26:26" x14ac:dyDescent="0.2">
      <c r="Z4931" t="str">
        <f t="shared" ref="Z4931:Z4994" si="77">IF(K4931="","",IFERROR(VALUE(TRIM(MID(K4931,FIND(CHAR(167),SUBSTITUTE(K4931,"-",CHAR(167),LEN(K4931)-LEN(SUBSTITUTE(K4931,"-",""))))+1,100))),K4931))</f>
        <v/>
      </c>
    </row>
    <row r="4932" spans="26:26" x14ac:dyDescent="0.2">
      <c r="Z4932" t="str">
        <f t="shared" si="77"/>
        <v/>
      </c>
    </row>
    <row r="4933" spans="26:26" x14ac:dyDescent="0.2">
      <c r="Z4933" t="str">
        <f t="shared" si="77"/>
        <v/>
      </c>
    </row>
    <row r="4934" spans="26:26" x14ac:dyDescent="0.2">
      <c r="Z4934" t="str">
        <f t="shared" si="77"/>
        <v/>
      </c>
    </row>
    <row r="4935" spans="26:26" x14ac:dyDescent="0.2">
      <c r="Z4935" t="str">
        <f t="shared" si="77"/>
        <v/>
      </c>
    </row>
    <row r="4936" spans="26:26" x14ac:dyDescent="0.2">
      <c r="Z4936" t="str">
        <f t="shared" si="77"/>
        <v/>
      </c>
    </row>
    <row r="4937" spans="26:26" x14ac:dyDescent="0.2">
      <c r="Z4937" t="str">
        <f t="shared" si="77"/>
        <v/>
      </c>
    </row>
    <row r="4938" spans="26:26" x14ac:dyDescent="0.2">
      <c r="Z4938" t="str">
        <f t="shared" si="77"/>
        <v/>
      </c>
    </row>
    <row r="4939" spans="26:26" x14ac:dyDescent="0.2">
      <c r="Z4939" t="str">
        <f t="shared" si="77"/>
        <v/>
      </c>
    </row>
    <row r="4940" spans="26:26" x14ac:dyDescent="0.2">
      <c r="Z4940" t="str">
        <f t="shared" si="77"/>
        <v/>
      </c>
    </row>
    <row r="4941" spans="26:26" x14ac:dyDescent="0.2">
      <c r="Z4941" t="str">
        <f t="shared" si="77"/>
        <v/>
      </c>
    </row>
    <row r="4942" spans="26:26" x14ac:dyDescent="0.2">
      <c r="Z4942" t="str">
        <f t="shared" si="77"/>
        <v/>
      </c>
    </row>
    <row r="4943" spans="26:26" x14ac:dyDescent="0.2">
      <c r="Z4943" t="str">
        <f t="shared" si="77"/>
        <v/>
      </c>
    </row>
    <row r="4944" spans="26:26" x14ac:dyDescent="0.2">
      <c r="Z4944" t="str">
        <f t="shared" si="77"/>
        <v/>
      </c>
    </row>
    <row r="4945" spans="26:26" x14ac:dyDescent="0.2">
      <c r="Z4945" t="str">
        <f t="shared" si="77"/>
        <v/>
      </c>
    </row>
    <row r="4946" spans="26:26" x14ac:dyDescent="0.2">
      <c r="Z4946" t="str">
        <f t="shared" si="77"/>
        <v/>
      </c>
    </row>
    <row r="4947" spans="26:26" x14ac:dyDescent="0.2">
      <c r="Z4947" t="str">
        <f t="shared" si="77"/>
        <v/>
      </c>
    </row>
    <row r="4948" spans="26:26" x14ac:dyDescent="0.2">
      <c r="Z4948" t="str">
        <f t="shared" si="77"/>
        <v/>
      </c>
    </row>
    <row r="4949" spans="26:26" x14ac:dyDescent="0.2">
      <c r="Z4949" t="str">
        <f t="shared" si="77"/>
        <v/>
      </c>
    </row>
    <row r="4950" spans="26:26" x14ac:dyDescent="0.2">
      <c r="Z4950" t="str">
        <f t="shared" si="77"/>
        <v/>
      </c>
    </row>
    <row r="4951" spans="26:26" x14ac:dyDescent="0.2">
      <c r="Z4951" t="str">
        <f t="shared" si="77"/>
        <v/>
      </c>
    </row>
    <row r="4952" spans="26:26" x14ac:dyDescent="0.2">
      <c r="Z4952" t="str">
        <f t="shared" si="77"/>
        <v/>
      </c>
    </row>
    <row r="4953" spans="26:26" x14ac:dyDescent="0.2">
      <c r="Z4953" t="str">
        <f t="shared" si="77"/>
        <v/>
      </c>
    </row>
    <row r="4954" spans="26:26" x14ac:dyDescent="0.2">
      <c r="Z4954" t="str">
        <f t="shared" si="77"/>
        <v/>
      </c>
    </row>
    <row r="4955" spans="26:26" x14ac:dyDescent="0.2">
      <c r="Z4955" t="str">
        <f t="shared" si="77"/>
        <v/>
      </c>
    </row>
    <row r="4956" spans="26:26" x14ac:dyDescent="0.2">
      <c r="Z4956" t="str">
        <f t="shared" si="77"/>
        <v/>
      </c>
    </row>
    <row r="4957" spans="26:26" x14ac:dyDescent="0.2">
      <c r="Z4957" t="str">
        <f t="shared" si="77"/>
        <v/>
      </c>
    </row>
    <row r="4958" spans="26:26" x14ac:dyDescent="0.2">
      <c r="Z4958" t="str">
        <f t="shared" si="77"/>
        <v/>
      </c>
    </row>
    <row r="4959" spans="26:26" x14ac:dyDescent="0.2">
      <c r="Z4959" t="str">
        <f t="shared" si="77"/>
        <v/>
      </c>
    </row>
    <row r="4960" spans="26:26" x14ac:dyDescent="0.2">
      <c r="Z4960" t="str">
        <f t="shared" si="77"/>
        <v/>
      </c>
    </row>
    <row r="4961" spans="26:26" x14ac:dyDescent="0.2">
      <c r="Z4961" t="str">
        <f t="shared" si="77"/>
        <v/>
      </c>
    </row>
    <row r="4962" spans="26:26" x14ac:dyDescent="0.2">
      <c r="Z4962" t="str">
        <f t="shared" si="77"/>
        <v/>
      </c>
    </row>
    <row r="4963" spans="26:26" x14ac:dyDescent="0.2">
      <c r="Z4963" t="str">
        <f t="shared" si="77"/>
        <v/>
      </c>
    </row>
    <row r="4964" spans="26:26" x14ac:dyDescent="0.2">
      <c r="Z4964" t="str">
        <f t="shared" si="77"/>
        <v/>
      </c>
    </row>
    <row r="4965" spans="26:26" x14ac:dyDescent="0.2">
      <c r="Z4965" t="str">
        <f t="shared" si="77"/>
        <v/>
      </c>
    </row>
    <row r="4966" spans="26:26" x14ac:dyDescent="0.2">
      <c r="Z4966" t="str">
        <f t="shared" si="77"/>
        <v/>
      </c>
    </row>
    <row r="4967" spans="26:26" x14ac:dyDescent="0.2">
      <c r="Z4967" t="str">
        <f t="shared" si="77"/>
        <v/>
      </c>
    </row>
    <row r="4968" spans="26:26" x14ac:dyDescent="0.2">
      <c r="Z4968" t="str">
        <f t="shared" si="77"/>
        <v/>
      </c>
    </row>
    <row r="4969" spans="26:26" x14ac:dyDescent="0.2">
      <c r="Z4969" t="str">
        <f t="shared" si="77"/>
        <v/>
      </c>
    </row>
    <row r="4970" spans="26:26" x14ac:dyDescent="0.2">
      <c r="Z4970" t="str">
        <f t="shared" si="77"/>
        <v/>
      </c>
    </row>
    <row r="4971" spans="26:26" x14ac:dyDescent="0.2">
      <c r="Z4971" t="str">
        <f t="shared" si="77"/>
        <v/>
      </c>
    </row>
    <row r="4972" spans="26:26" x14ac:dyDescent="0.2">
      <c r="Z4972" t="str">
        <f t="shared" si="77"/>
        <v/>
      </c>
    </row>
    <row r="4973" spans="26:26" x14ac:dyDescent="0.2">
      <c r="Z4973" t="str">
        <f t="shared" si="77"/>
        <v/>
      </c>
    </row>
    <row r="4974" spans="26:26" x14ac:dyDescent="0.2">
      <c r="Z4974" t="str">
        <f t="shared" si="77"/>
        <v/>
      </c>
    </row>
    <row r="4975" spans="26:26" x14ac:dyDescent="0.2">
      <c r="Z4975" t="str">
        <f t="shared" si="77"/>
        <v/>
      </c>
    </row>
    <row r="4976" spans="26:26" x14ac:dyDescent="0.2">
      <c r="Z4976" t="str">
        <f t="shared" si="77"/>
        <v/>
      </c>
    </row>
    <row r="4977" spans="26:26" x14ac:dyDescent="0.2">
      <c r="Z4977" t="str">
        <f t="shared" si="77"/>
        <v/>
      </c>
    </row>
    <row r="4978" spans="26:26" x14ac:dyDescent="0.2">
      <c r="Z4978" t="str">
        <f t="shared" si="77"/>
        <v/>
      </c>
    </row>
    <row r="4979" spans="26:26" x14ac:dyDescent="0.2">
      <c r="Z4979" t="str">
        <f t="shared" si="77"/>
        <v/>
      </c>
    </row>
    <row r="4980" spans="26:26" x14ac:dyDescent="0.2">
      <c r="Z4980" t="str">
        <f t="shared" si="77"/>
        <v/>
      </c>
    </row>
    <row r="4981" spans="26:26" x14ac:dyDescent="0.2">
      <c r="Z4981" t="str">
        <f t="shared" si="77"/>
        <v/>
      </c>
    </row>
    <row r="4982" spans="26:26" x14ac:dyDescent="0.2">
      <c r="Z4982" t="str">
        <f t="shared" si="77"/>
        <v/>
      </c>
    </row>
    <row r="4983" spans="26:26" x14ac:dyDescent="0.2">
      <c r="Z4983" t="str">
        <f t="shared" si="77"/>
        <v/>
      </c>
    </row>
    <row r="4984" spans="26:26" x14ac:dyDescent="0.2">
      <c r="Z4984" t="str">
        <f t="shared" si="77"/>
        <v/>
      </c>
    </row>
    <row r="4985" spans="26:26" x14ac:dyDescent="0.2">
      <c r="Z4985" t="str">
        <f t="shared" si="77"/>
        <v/>
      </c>
    </row>
    <row r="4986" spans="26:26" x14ac:dyDescent="0.2">
      <c r="Z4986" t="str">
        <f t="shared" si="77"/>
        <v/>
      </c>
    </row>
    <row r="4987" spans="26:26" x14ac:dyDescent="0.2">
      <c r="Z4987" t="str">
        <f t="shared" si="77"/>
        <v/>
      </c>
    </row>
    <row r="4988" spans="26:26" x14ac:dyDescent="0.2">
      <c r="Z4988" t="str">
        <f t="shared" si="77"/>
        <v/>
      </c>
    </row>
    <row r="4989" spans="26:26" x14ac:dyDescent="0.2">
      <c r="Z4989" t="str">
        <f t="shared" si="77"/>
        <v/>
      </c>
    </row>
    <row r="4990" spans="26:26" x14ac:dyDescent="0.2">
      <c r="Z4990" t="str">
        <f t="shared" si="77"/>
        <v/>
      </c>
    </row>
    <row r="4991" spans="26:26" x14ac:dyDescent="0.2">
      <c r="Z4991" t="str">
        <f t="shared" si="77"/>
        <v/>
      </c>
    </row>
    <row r="4992" spans="26:26" x14ac:dyDescent="0.2">
      <c r="Z4992" t="str">
        <f t="shared" si="77"/>
        <v/>
      </c>
    </row>
    <row r="4993" spans="26:26" x14ac:dyDescent="0.2">
      <c r="Z4993" t="str">
        <f t="shared" si="77"/>
        <v/>
      </c>
    </row>
    <row r="4994" spans="26:26" x14ac:dyDescent="0.2">
      <c r="Z4994" t="str">
        <f t="shared" si="77"/>
        <v/>
      </c>
    </row>
    <row r="4995" spans="26:26" x14ac:dyDescent="0.2">
      <c r="Z4995" t="str">
        <f t="shared" ref="Z4995:Z5058" si="78">IF(K4995="","",IFERROR(VALUE(TRIM(MID(K4995,FIND(CHAR(167),SUBSTITUTE(K4995,"-",CHAR(167),LEN(K4995)-LEN(SUBSTITUTE(K4995,"-",""))))+1,100))),K4995))</f>
        <v/>
      </c>
    </row>
    <row r="4996" spans="26:26" x14ac:dyDescent="0.2">
      <c r="Z4996" t="str">
        <f t="shared" si="78"/>
        <v/>
      </c>
    </row>
    <row r="4997" spans="26:26" x14ac:dyDescent="0.2">
      <c r="Z4997" t="str">
        <f t="shared" si="78"/>
        <v/>
      </c>
    </row>
    <row r="4998" spans="26:26" x14ac:dyDescent="0.2">
      <c r="Z4998" t="str">
        <f t="shared" si="78"/>
        <v/>
      </c>
    </row>
    <row r="4999" spans="26:26" x14ac:dyDescent="0.2">
      <c r="Z4999" t="str">
        <f t="shared" si="78"/>
        <v/>
      </c>
    </row>
    <row r="5000" spans="26:26" x14ac:dyDescent="0.2">
      <c r="Z5000" t="str">
        <f t="shared" si="78"/>
        <v/>
      </c>
    </row>
    <row r="5001" spans="26:26" x14ac:dyDescent="0.2">
      <c r="Z5001" t="str">
        <f t="shared" si="78"/>
        <v/>
      </c>
    </row>
    <row r="5002" spans="26:26" x14ac:dyDescent="0.2">
      <c r="Z5002" t="str">
        <f t="shared" si="78"/>
        <v/>
      </c>
    </row>
    <row r="5003" spans="26:26" x14ac:dyDescent="0.2">
      <c r="Z5003" t="str">
        <f t="shared" si="78"/>
        <v/>
      </c>
    </row>
    <row r="5004" spans="26:26" x14ac:dyDescent="0.2">
      <c r="Z5004" t="str">
        <f t="shared" si="78"/>
        <v/>
      </c>
    </row>
    <row r="5005" spans="26:26" x14ac:dyDescent="0.2">
      <c r="Z5005" t="str">
        <f t="shared" si="78"/>
        <v/>
      </c>
    </row>
    <row r="5006" spans="26:26" x14ac:dyDescent="0.2">
      <c r="Z5006" t="str">
        <f t="shared" si="78"/>
        <v/>
      </c>
    </row>
    <row r="5007" spans="26:26" x14ac:dyDescent="0.2">
      <c r="Z5007" t="str">
        <f t="shared" si="78"/>
        <v/>
      </c>
    </row>
    <row r="5008" spans="26:26" x14ac:dyDescent="0.2">
      <c r="Z5008" t="str">
        <f t="shared" si="78"/>
        <v/>
      </c>
    </row>
    <row r="5009" spans="26:26" x14ac:dyDescent="0.2">
      <c r="Z5009" t="str">
        <f t="shared" si="78"/>
        <v/>
      </c>
    </row>
    <row r="5010" spans="26:26" x14ac:dyDescent="0.2">
      <c r="Z5010" t="str">
        <f t="shared" si="78"/>
        <v/>
      </c>
    </row>
    <row r="5011" spans="26:26" x14ac:dyDescent="0.2">
      <c r="Z5011" t="str">
        <f t="shared" si="78"/>
        <v/>
      </c>
    </row>
    <row r="5012" spans="26:26" x14ac:dyDescent="0.2">
      <c r="Z5012" t="str">
        <f t="shared" si="78"/>
        <v/>
      </c>
    </row>
    <row r="5013" spans="26:26" x14ac:dyDescent="0.2">
      <c r="Z5013" t="str">
        <f t="shared" si="78"/>
        <v/>
      </c>
    </row>
    <row r="5014" spans="26:26" x14ac:dyDescent="0.2">
      <c r="Z5014" t="str">
        <f t="shared" si="78"/>
        <v/>
      </c>
    </row>
    <row r="5015" spans="26:26" x14ac:dyDescent="0.2">
      <c r="Z5015" t="str">
        <f t="shared" si="78"/>
        <v/>
      </c>
    </row>
    <row r="5016" spans="26:26" x14ac:dyDescent="0.2">
      <c r="Z5016" t="str">
        <f t="shared" si="78"/>
        <v/>
      </c>
    </row>
    <row r="5017" spans="26:26" x14ac:dyDescent="0.2">
      <c r="Z5017" t="str">
        <f t="shared" si="78"/>
        <v/>
      </c>
    </row>
    <row r="5018" spans="26:26" x14ac:dyDescent="0.2">
      <c r="Z5018" t="str">
        <f t="shared" si="78"/>
        <v/>
      </c>
    </row>
    <row r="5019" spans="26:26" x14ac:dyDescent="0.2">
      <c r="Z5019" t="str">
        <f t="shared" si="78"/>
        <v/>
      </c>
    </row>
    <row r="5020" spans="26:26" x14ac:dyDescent="0.2">
      <c r="Z5020" t="str">
        <f t="shared" si="78"/>
        <v/>
      </c>
    </row>
    <row r="5021" spans="26:26" x14ac:dyDescent="0.2">
      <c r="Z5021" t="str">
        <f t="shared" si="78"/>
        <v/>
      </c>
    </row>
    <row r="5022" spans="26:26" x14ac:dyDescent="0.2">
      <c r="Z5022" t="str">
        <f t="shared" si="78"/>
        <v/>
      </c>
    </row>
    <row r="5023" spans="26:26" x14ac:dyDescent="0.2">
      <c r="Z5023" t="str">
        <f t="shared" si="78"/>
        <v/>
      </c>
    </row>
    <row r="5024" spans="26:26" x14ac:dyDescent="0.2">
      <c r="Z5024" t="str">
        <f t="shared" si="78"/>
        <v/>
      </c>
    </row>
    <row r="5025" spans="26:26" x14ac:dyDescent="0.2">
      <c r="Z5025" t="str">
        <f t="shared" si="78"/>
        <v/>
      </c>
    </row>
    <row r="5026" spans="26:26" x14ac:dyDescent="0.2">
      <c r="Z5026" t="str">
        <f t="shared" si="78"/>
        <v/>
      </c>
    </row>
    <row r="5027" spans="26:26" x14ac:dyDescent="0.2">
      <c r="Z5027" t="str">
        <f t="shared" si="78"/>
        <v/>
      </c>
    </row>
    <row r="5028" spans="26:26" x14ac:dyDescent="0.2">
      <c r="Z5028" t="str">
        <f t="shared" si="78"/>
        <v/>
      </c>
    </row>
    <row r="5029" spans="26:26" x14ac:dyDescent="0.2">
      <c r="Z5029" t="str">
        <f t="shared" si="78"/>
        <v/>
      </c>
    </row>
    <row r="5030" spans="26:26" x14ac:dyDescent="0.2">
      <c r="Z5030" t="str">
        <f t="shared" si="78"/>
        <v/>
      </c>
    </row>
    <row r="5031" spans="26:26" x14ac:dyDescent="0.2">
      <c r="Z5031" t="str">
        <f t="shared" si="78"/>
        <v/>
      </c>
    </row>
    <row r="5032" spans="26:26" x14ac:dyDescent="0.2">
      <c r="Z5032" t="str">
        <f t="shared" si="78"/>
        <v/>
      </c>
    </row>
    <row r="5033" spans="26:26" x14ac:dyDescent="0.2">
      <c r="Z5033" t="str">
        <f t="shared" si="78"/>
        <v/>
      </c>
    </row>
    <row r="5034" spans="26:26" x14ac:dyDescent="0.2">
      <c r="Z5034" t="str">
        <f t="shared" si="78"/>
        <v/>
      </c>
    </row>
    <row r="5035" spans="26:26" x14ac:dyDescent="0.2">
      <c r="Z5035" t="str">
        <f t="shared" si="78"/>
        <v/>
      </c>
    </row>
    <row r="5036" spans="26:26" x14ac:dyDescent="0.2">
      <c r="Z5036" t="str">
        <f t="shared" si="78"/>
        <v/>
      </c>
    </row>
    <row r="5037" spans="26:26" x14ac:dyDescent="0.2">
      <c r="Z5037" t="str">
        <f t="shared" si="78"/>
        <v/>
      </c>
    </row>
    <row r="5038" spans="26:26" x14ac:dyDescent="0.2">
      <c r="Z5038" t="str">
        <f t="shared" si="78"/>
        <v/>
      </c>
    </row>
    <row r="5039" spans="26:26" x14ac:dyDescent="0.2">
      <c r="Z5039" t="str">
        <f t="shared" si="78"/>
        <v/>
      </c>
    </row>
    <row r="5040" spans="26:26" x14ac:dyDescent="0.2">
      <c r="Z5040" t="str">
        <f t="shared" si="78"/>
        <v/>
      </c>
    </row>
    <row r="5041" spans="26:26" x14ac:dyDescent="0.2">
      <c r="Z5041" t="str">
        <f t="shared" si="78"/>
        <v/>
      </c>
    </row>
    <row r="5042" spans="26:26" x14ac:dyDescent="0.2">
      <c r="Z5042" t="str">
        <f t="shared" si="78"/>
        <v/>
      </c>
    </row>
    <row r="5043" spans="26:26" x14ac:dyDescent="0.2">
      <c r="Z5043" t="str">
        <f t="shared" si="78"/>
        <v/>
      </c>
    </row>
    <row r="5044" spans="26:26" x14ac:dyDescent="0.2">
      <c r="Z5044" t="str">
        <f t="shared" si="78"/>
        <v/>
      </c>
    </row>
    <row r="5045" spans="26:26" x14ac:dyDescent="0.2">
      <c r="Z5045" t="str">
        <f t="shared" si="78"/>
        <v/>
      </c>
    </row>
    <row r="5046" spans="26:26" x14ac:dyDescent="0.2">
      <c r="Z5046" t="str">
        <f t="shared" si="78"/>
        <v/>
      </c>
    </row>
    <row r="5047" spans="26:26" x14ac:dyDescent="0.2">
      <c r="Z5047" t="str">
        <f t="shared" si="78"/>
        <v/>
      </c>
    </row>
    <row r="5048" spans="26:26" x14ac:dyDescent="0.2">
      <c r="Z5048" t="str">
        <f t="shared" si="78"/>
        <v/>
      </c>
    </row>
    <row r="5049" spans="26:26" x14ac:dyDescent="0.2">
      <c r="Z5049" t="str">
        <f t="shared" si="78"/>
        <v/>
      </c>
    </row>
    <row r="5050" spans="26:26" x14ac:dyDescent="0.2">
      <c r="Z5050" t="str">
        <f t="shared" si="78"/>
        <v/>
      </c>
    </row>
    <row r="5051" spans="26:26" x14ac:dyDescent="0.2">
      <c r="Z5051" t="str">
        <f t="shared" si="78"/>
        <v/>
      </c>
    </row>
    <row r="5052" spans="26:26" x14ac:dyDescent="0.2">
      <c r="Z5052" t="str">
        <f t="shared" si="78"/>
        <v/>
      </c>
    </row>
    <row r="5053" spans="26:26" x14ac:dyDescent="0.2">
      <c r="Z5053" t="str">
        <f t="shared" si="78"/>
        <v/>
      </c>
    </row>
    <row r="5054" spans="26:26" x14ac:dyDescent="0.2">
      <c r="Z5054" t="str">
        <f t="shared" si="78"/>
        <v/>
      </c>
    </row>
    <row r="5055" spans="26:26" x14ac:dyDescent="0.2">
      <c r="Z5055" t="str">
        <f t="shared" si="78"/>
        <v/>
      </c>
    </row>
    <row r="5056" spans="26:26" x14ac:dyDescent="0.2">
      <c r="Z5056" t="str">
        <f t="shared" si="78"/>
        <v/>
      </c>
    </row>
    <row r="5057" spans="26:26" x14ac:dyDescent="0.2">
      <c r="Z5057" t="str">
        <f t="shared" si="78"/>
        <v/>
      </c>
    </row>
    <row r="5058" spans="26:26" x14ac:dyDescent="0.2">
      <c r="Z5058" t="str">
        <f t="shared" si="78"/>
        <v/>
      </c>
    </row>
    <row r="5059" spans="26:26" x14ac:dyDescent="0.2">
      <c r="Z5059" t="str">
        <f t="shared" ref="Z5059:Z5122" si="79">IF(K5059="","",IFERROR(VALUE(TRIM(MID(K5059,FIND(CHAR(167),SUBSTITUTE(K5059,"-",CHAR(167),LEN(K5059)-LEN(SUBSTITUTE(K5059,"-",""))))+1,100))),K5059))</f>
        <v/>
      </c>
    </row>
    <row r="5060" spans="26:26" x14ac:dyDescent="0.2">
      <c r="Z5060" t="str">
        <f t="shared" si="79"/>
        <v/>
      </c>
    </row>
    <row r="5061" spans="26:26" x14ac:dyDescent="0.2">
      <c r="Z5061" t="str">
        <f t="shared" si="79"/>
        <v/>
      </c>
    </row>
    <row r="5062" spans="26:26" x14ac:dyDescent="0.2">
      <c r="Z5062" t="str">
        <f t="shared" si="79"/>
        <v/>
      </c>
    </row>
    <row r="5063" spans="26:26" x14ac:dyDescent="0.2">
      <c r="Z5063" t="str">
        <f t="shared" si="79"/>
        <v/>
      </c>
    </row>
    <row r="5064" spans="26:26" x14ac:dyDescent="0.2">
      <c r="Z5064" t="str">
        <f t="shared" si="79"/>
        <v/>
      </c>
    </row>
    <row r="5065" spans="26:26" x14ac:dyDescent="0.2">
      <c r="Z5065" t="str">
        <f t="shared" si="79"/>
        <v/>
      </c>
    </row>
    <row r="5066" spans="26:26" x14ac:dyDescent="0.2">
      <c r="Z5066" t="str">
        <f t="shared" si="79"/>
        <v/>
      </c>
    </row>
    <row r="5067" spans="26:26" x14ac:dyDescent="0.2">
      <c r="Z5067" t="str">
        <f t="shared" si="79"/>
        <v/>
      </c>
    </row>
    <row r="5068" spans="26:26" x14ac:dyDescent="0.2">
      <c r="Z5068" t="str">
        <f t="shared" si="79"/>
        <v/>
      </c>
    </row>
    <row r="5069" spans="26:26" x14ac:dyDescent="0.2">
      <c r="Z5069" t="str">
        <f t="shared" si="79"/>
        <v/>
      </c>
    </row>
    <row r="5070" spans="26:26" x14ac:dyDescent="0.2">
      <c r="Z5070" t="str">
        <f t="shared" si="79"/>
        <v/>
      </c>
    </row>
    <row r="5071" spans="26:26" x14ac:dyDescent="0.2">
      <c r="Z5071" t="str">
        <f t="shared" si="79"/>
        <v/>
      </c>
    </row>
    <row r="5072" spans="26:26" x14ac:dyDescent="0.2">
      <c r="Z5072" t="str">
        <f t="shared" si="79"/>
        <v/>
      </c>
    </row>
    <row r="5073" spans="26:26" x14ac:dyDescent="0.2">
      <c r="Z5073" t="str">
        <f t="shared" si="79"/>
        <v/>
      </c>
    </row>
    <row r="5074" spans="26:26" x14ac:dyDescent="0.2">
      <c r="Z5074" t="str">
        <f t="shared" si="79"/>
        <v/>
      </c>
    </row>
    <row r="5075" spans="26:26" x14ac:dyDescent="0.2">
      <c r="Z5075" t="str">
        <f t="shared" si="79"/>
        <v/>
      </c>
    </row>
    <row r="5076" spans="26:26" x14ac:dyDescent="0.2">
      <c r="Z5076" t="str">
        <f t="shared" si="79"/>
        <v/>
      </c>
    </row>
    <row r="5077" spans="26:26" x14ac:dyDescent="0.2">
      <c r="Z5077" t="str">
        <f t="shared" si="79"/>
        <v/>
      </c>
    </row>
    <row r="5078" spans="26:26" x14ac:dyDescent="0.2">
      <c r="Z5078" t="str">
        <f t="shared" si="79"/>
        <v/>
      </c>
    </row>
    <row r="5079" spans="26:26" x14ac:dyDescent="0.2">
      <c r="Z5079" t="str">
        <f t="shared" si="79"/>
        <v/>
      </c>
    </row>
    <row r="5080" spans="26:26" x14ac:dyDescent="0.2">
      <c r="Z5080" t="str">
        <f t="shared" si="79"/>
        <v/>
      </c>
    </row>
    <row r="5081" spans="26:26" x14ac:dyDescent="0.2">
      <c r="Z5081" t="str">
        <f t="shared" si="79"/>
        <v/>
      </c>
    </row>
    <row r="5082" spans="26:26" x14ac:dyDescent="0.2">
      <c r="Z5082" t="str">
        <f t="shared" si="79"/>
        <v/>
      </c>
    </row>
    <row r="5083" spans="26:26" x14ac:dyDescent="0.2">
      <c r="Z5083" t="str">
        <f t="shared" si="79"/>
        <v/>
      </c>
    </row>
    <row r="5084" spans="26:26" x14ac:dyDescent="0.2">
      <c r="Z5084" t="str">
        <f t="shared" si="79"/>
        <v/>
      </c>
    </row>
    <row r="5085" spans="26:26" x14ac:dyDescent="0.2">
      <c r="Z5085" t="str">
        <f t="shared" si="79"/>
        <v/>
      </c>
    </row>
    <row r="5086" spans="26:26" x14ac:dyDescent="0.2">
      <c r="Z5086" t="str">
        <f t="shared" si="79"/>
        <v/>
      </c>
    </row>
    <row r="5087" spans="26:26" x14ac:dyDescent="0.2">
      <c r="Z5087" t="str">
        <f t="shared" si="79"/>
        <v/>
      </c>
    </row>
    <row r="5088" spans="26:26" x14ac:dyDescent="0.2">
      <c r="Z5088" t="str">
        <f t="shared" si="79"/>
        <v/>
      </c>
    </row>
    <row r="5089" spans="26:26" x14ac:dyDescent="0.2">
      <c r="Z5089" t="str">
        <f t="shared" si="79"/>
        <v/>
      </c>
    </row>
    <row r="5090" spans="26:26" x14ac:dyDescent="0.2">
      <c r="Z5090" t="str">
        <f t="shared" si="79"/>
        <v/>
      </c>
    </row>
    <row r="5091" spans="26:26" x14ac:dyDescent="0.2">
      <c r="Z5091" t="str">
        <f t="shared" si="79"/>
        <v/>
      </c>
    </row>
    <row r="5092" spans="26:26" x14ac:dyDescent="0.2">
      <c r="Z5092" t="str">
        <f t="shared" si="79"/>
        <v/>
      </c>
    </row>
    <row r="5093" spans="26:26" x14ac:dyDescent="0.2">
      <c r="Z5093" t="str">
        <f t="shared" si="79"/>
        <v/>
      </c>
    </row>
    <row r="5094" spans="26:26" x14ac:dyDescent="0.2">
      <c r="Z5094" t="str">
        <f t="shared" si="79"/>
        <v/>
      </c>
    </row>
    <row r="5095" spans="26:26" x14ac:dyDescent="0.2">
      <c r="Z5095" t="str">
        <f t="shared" si="79"/>
        <v/>
      </c>
    </row>
    <row r="5096" spans="26:26" x14ac:dyDescent="0.2">
      <c r="Z5096" t="str">
        <f t="shared" si="79"/>
        <v/>
      </c>
    </row>
    <row r="5097" spans="26:26" x14ac:dyDescent="0.2">
      <c r="Z5097" t="str">
        <f t="shared" si="79"/>
        <v/>
      </c>
    </row>
    <row r="5098" spans="26:26" x14ac:dyDescent="0.2">
      <c r="Z5098" t="str">
        <f t="shared" si="79"/>
        <v/>
      </c>
    </row>
    <row r="5099" spans="26:26" x14ac:dyDescent="0.2">
      <c r="Z5099" t="str">
        <f t="shared" si="79"/>
        <v/>
      </c>
    </row>
    <row r="5100" spans="26:26" x14ac:dyDescent="0.2">
      <c r="Z5100" t="str">
        <f t="shared" si="79"/>
        <v/>
      </c>
    </row>
    <row r="5101" spans="26:26" x14ac:dyDescent="0.2">
      <c r="Z5101" t="str">
        <f t="shared" si="79"/>
        <v/>
      </c>
    </row>
    <row r="5102" spans="26:26" x14ac:dyDescent="0.2">
      <c r="Z5102" t="str">
        <f t="shared" si="79"/>
        <v/>
      </c>
    </row>
    <row r="5103" spans="26:26" x14ac:dyDescent="0.2">
      <c r="Z5103" t="str">
        <f t="shared" si="79"/>
        <v/>
      </c>
    </row>
    <row r="5104" spans="26:26" x14ac:dyDescent="0.2">
      <c r="Z5104" t="str">
        <f t="shared" si="79"/>
        <v/>
      </c>
    </row>
    <row r="5105" spans="26:26" x14ac:dyDescent="0.2">
      <c r="Z5105" t="str">
        <f t="shared" si="79"/>
        <v/>
      </c>
    </row>
    <row r="5106" spans="26:26" x14ac:dyDescent="0.2">
      <c r="Z5106" t="str">
        <f t="shared" si="79"/>
        <v/>
      </c>
    </row>
    <row r="5107" spans="26:26" x14ac:dyDescent="0.2">
      <c r="Z5107" t="str">
        <f t="shared" si="79"/>
        <v/>
      </c>
    </row>
    <row r="5108" spans="26:26" x14ac:dyDescent="0.2">
      <c r="Z5108" t="str">
        <f t="shared" si="79"/>
        <v/>
      </c>
    </row>
    <row r="5109" spans="26:26" x14ac:dyDescent="0.2">
      <c r="Z5109" t="str">
        <f t="shared" si="79"/>
        <v/>
      </c>
    </row>
    <row r="5110" spans="26:26" x14ac:dyDescent="0.2">
      <c r="Z5110" t="str">
        <f t="shared" si="79"/>
        <v/>
      </c>
    </row>
    <row r="5111" spans="26:26" x14ac:dyDescent="0.2">
      <c r="Z5111" t="str">
        <f t="shared" si="79"/>
        <v/>
      </c>
    </row>
    <row r="5112" spans="26:26" x14ac:dyDescent="0.2">
      <c r="Z5112" t="str">
        <f t="shared" si="79"/>
        <v/>
      </c>
    </row>
    <row r="5113" spans="26:26" x14ac:dyDescent="0.2">
      <c r="Z5113" t="str">
        <f t="shared" si="79"/>
        <v/>
      </c>
    </row>
    <row r="5114" spans="26:26" x14ac:dyDescent="0.2">
      <c r="Z5114" t="str">
        <f t="shared" si="79"/>
        <v/>
      </c>
    </row>
    <row r="5115" spans="26:26" x14ac:dyDescent="0.2">
      <c r="Z5115" t="str">
        <f t="shared" si="79"/>
        <v/>
      </c>
    </row>
    <row r="5116" spans="26:26" x14ac:dyDescent="0.2">
      <c r="Z5116" t="str">
        <f t="shared" si="79"/>
        <v/>
      </c>
    </row>
    <row r="5117" spans="26:26" x14ac:dyDescent="0.2">
      <c r="Z5117" t="str">
        <f t="shared" si="79"/>
        <v/>
      </c>
    </row>
    <row r="5118" spans="26:26" x14ac:dyDescent="0.2">
      <c r="Z5118" t="str">
        <f t="shared" si="79"/>
        <v/>
      </c>
    </row>
    <row r="5119" spans="26:26" x14ac:dyDescent="0.2">
      <c r="Z5119" t="str">
        <f t="shared" si="79"/>
        <v/>
      </c>
    </row>
    <row r="5120" spans="26:26" x14ac:dyDescent="0.2">
      <c r="Z5120" t="str">
        <f t="shared" si="79"/>
        <v/>
      </c>
    </row>
    <row r="5121" spans="26:26" x14ac:dyDescent="0.2">
      <c r="Z5121" t="str">
        <f t="shared" si="79"/>
        <v/>
      </c>
    </row>
    <row r="5122" spans="26:26" x14ac:dyDescent="0.2">
      <c r="Z5122" t="str">
        <f t="shared" si="79"/>
        <v/>
      </c>
    </row>
    <row r="5123" spans="26:26" x14ac:dyDescent="0.2">
      <c r="Z5123" t="str">
        <f t="shared" ref="Z5123:Z5186" si="80">IF(K5123="","",IFERROR(VALUE(TRIM(MID(K5123,FIND(CHAR(167),SUBSTITUTE(K5123,"-",CHAR(167),LEN(K5123)-LEN(SUBSTITUTE(K5123,"-",""))))+1,100))),K5123))</f>
        <v/>
      </c>
    </row>
    <row r="5124" spans="26:26" x14ac:dyDescent="0.2">
      <c r="Z5124" t="str">
        <f t="shared" si="80"/>
        <v/>
      </c>
    </row>
    <row r="5125" spans="26:26" x14ac:dyDescent="0.2">
      <c r="Z5125" t="str">
        <f t="shared" si="80"/>
        <v/>
      </c>
    </row>
    <row r="5126" spans="26:26" x14ac:dyDescent="0.2">
      <c r="Z5126" t="str">
        <f t="shared" si="80"/>
        <v/>
      </c>
    </row>
    <row r="5127" spans="26:26" x14ac:dyDescent="0.2">
      <c r="Z5127" t="str">
        <f t="shared" si="80"/>
        <v/>
      </c>
    </row>
    <row r="5128" spans="26:26" x14ac:dyDescent="0.2">
      <c r="Z5128" t="str">
        <f t="shared" si="80"/>
        <v/>
      </c>
    </row>
    <row r="5129" spans="26:26" x14ac:dyDescent="0.2">
      <c r="Z5129" t="str">
        <f t="shared" si="80"/>
        <v/>
      </c>
    </row>
    <row r="5130" spans="26:26" x14ac:dyDescent="0.2">
      <c r="Z5130" t="str">
        <f t="shared" si="80"/>
        <v/>
      </c>
    </row>
    <row r="5131" spans="26:26" x14ac:dyDescent="0.2">
      <c r="Z5131" t="str">
        <f t="shared" si="80"/>
        <v/>
      </c>
    </row>
    <row r="5132" spans="26:26" x14ac:dyDescent="0.2">
      <c r="Z5132" t="str">
        <f t="shared" si="80"/>
        <v/>
      </c>
    </row>
    <row r="5133" spans="26:26" x14ac:dyDescent="0.2">
      <c r="Z5133" t="str">
        <f t="shared" si="80"/>
        <v/>
      </c>
    </row>
    <row r="5134" spans="26:26" x14ac:dyDescent="0.2">
      <c r="Z5134" t="str">
        <f t="shared" si="80"/>
        <v/>
      </c>
    </row>
    <row r="5135" spans="26:26" x14ac:dyDescent="0.2">
      <c r="Z5135" t="str">
        <f t="shared" si="80"/>
        <v/>
      </c>
    </row>
    <row r="5136" spans="26:26" x14ac:dyDescent="0.2">
      <c r="Z5136" t="str">
        <f t="shared" si="80"/>
        <v/>
      </c>
    </row>
    <row r="5137" spans="26:26" x14ac:dyDescent="0.2">
      <c r="Z5137" t="str">
        <f t="shared" si="80"/>
        <v/>
      </c>
    </row>
    <row r="5138" spans="26:26" x14ac:dyDescent="0.2">
      <c r="Z5138" t="str">
        <f t="shared" si="80"/>
        <v/>
      </c>
    </row>
    <row r="5139" spans="26:26" x14ac:dyDescent="0.2">
      <c r="Z5139" t="str">
        <f t="shared" si="80"/>
        <v/>
      </c>
    </row>
    <row r="5140" spans="26:26" x14ac:dyDescent="0.2">
      <c r="Z5140" t="str">
        <f t="shared" si="80"/>
        <v/>
      </c>
    </row>
    <row r="5141" spans="26:26" x14ac:dyDescent="0.2">
      <c r="Z5141" t="str">
        <f t="shared" si="80"/>
        <v/>
      </c>
    </row>
    <row r="5142" spans="26:26" x14ac:dyDescent="0.2">
      <c r="Z5142" t="str">
        <f t="shared" si="80"/>
        <v/>
      </c>
    </row>
    <row r="5143" spans="26:26" x14ac:dyDescent="0.2">
      <c r="Z5143" t="str">
        <f t="shared" si="80"/>
        <v/>
      </c>
    </row>
    <row r="5144" spans="26:26" x14ac:dyDescent="0.2">
      <c r="Z5144" t="str">
        <f t="shared" si="80"/>
        <v/>
      </c>
    </row>
    <row r="5145" spans="26:26" x14ac:dyDescent="0.2">
      <c r="Z5145" t="str">
        <f t="shared" si="80"/>
        <v/>
      </c>
    </row>
    <row r="5146" spans="26:26" x14ac:dyDescent="0.2">
      <c r="Z5146" t="str">
        <f t="shared" si="80"/>
        <v/>
      </c>
    </row>
    <row r="5147" spans="26:26" x14ac:dyDescent="0.2">
      <c r="Z5147" t="str">
        <f t="shared" si="80"/>
        <v/>
      </c>
    </row>
    <row r="5148" spans="26:26" x14ac:dyDescent="0.2">
      <c r="Z5148" t="str">
        <f t="shared" si="80"/>
        <v/>
      </c>
    </row>
    <row r="5149" spans="26:26" x14ac:dyDescent="0.2">
      <c r="Z5149" t="str">
        <f t="shared" si="80"/>
        <v/>
      </c>
    </row>
    <row r="5150" spans="26:26" x14ac:dyDescent="0.2">
      <c r="Z5150" t="str">
        <f t="shared" si="80"/>
        <v/>
      </c>
    </row>
    <row r="5151" spans="26:26" x14ac:dyDescent="0.2">
      <c r="Z5151" t="str">
        <f t="shared" si="80"/>
        <v/>
      </c>
    </row>
    <row r="5152" spans="26:26" x14ac:dyDescent="0.2">
      <c r="Z5152" t="str">
        <f t="shared" si="80"/>
        <v/>
      </c>
    </row>
    <row r="5153" spans="26:26" x14ac:dyDescent="0.2">
      <c r="Z5153" t="str">
        <f t="shared" si="80"/>
        <v/>
      </c>
    </row>
    <row r="5154" spans="26:26" x14ac:dyDescent="0.2">
      <c r="Z5154" t="str">
        <f t="shared" si="80"/>
        <v/>
      </c>
    </row>
    <row r="5155" spans="26:26" x14ac:dyDescent="0.2">
      <c r="Z5155" t="str">
        <f t="shared" si="80"/>
        <v/>
      </c>
    </row>
    <row r="5156" spans="26:26" x14ac:dyDescent="0.2">
      <c r="Z5156" t="str">
        <f t="shared" si="80"/>
        <v/>
      </c>
    </row>
    <row r="5157" spans="26:26" x14ac:dyDescent="0.2">
      <c r="Z5157" t="str">
        <f t="shared" si="80"/>
        <v/>
      </c>
    </row>
    <row r="5158" spans="26:26" x14ac:dyDescent="0.2">
      <c r="Z5158" t="str">
        <f t="shared" si="80"/>
        <v/>
      </c>
    </row>
    <row r="5159" spans="26:26" x14ac:dyDescent="0.2">
      <c r="Z5159" t="str">
        <f t="shared" si="80"/>
        <v/>
      </c>
    </row>
    <row r="5160" spans="26:26" x14ac:dyDescent="0.2">
      <c r="Z5160" t="str">
        <f t="shared" si="80"/>
        <v/>
      </c>
    </row>
    <row r="5161" spans="26:26" x14ac:dyDescent="0.2">
      <c r="Z5161" t="str">
        <f t="shared" si="80"/>
        <v/>
      </c>
    </row>
    <row r="5162" spans="26:26" x14ac:dyDescent="0.2">
      <c r="Z5162" t="str">
        <f t="shared" si="80"/>
        <v/>
      </c>
    </row>
    <row r="5163" spans="26:26" x14ac:dyDescent="0.2">
      <c r="Z5163" t="str">
        <f t="shared" si="80"/>
        <v/>
      </c>
    </row>
    <row r="5164" spans="26:26" x14ac:dyDescent="0.2">
      <c r="Z5164" t="str">
        <f t="shared" si="80"/>
        <v/>
      </c>
    </row>
    <row r="5165" spans="26:26" x14ac:dyDescent="0.2">
      <c r="Z5165" t="str">
        <f t="shared" si="80"/>
        <v/>
      </c>
    </row>
    <row r="5166" spans="26:26" x14ac:dyDescent="0.2">
      <c r="Z5166" t="str">
        <f t="shared" si="80"/>
        <v/>
      </c>
    </row>
    <row r="5167" spans="26:26" x14ac:dyDescent="0.2">
      <c r="Z5167" t="str">
        <f t="shared" si="80"/>
        <v/>
      </c>
    </row>
    <row r="5168" spans="26:26" x14ac:dyDescent="0.2">
      <c r="Z5168" t="str">
        <f t="shared" si="80"/>
        <v/>
      </c>
    </row>
    <row r="5169" spans="26:26" x14ac:dyDescent="0.2">
      <c r="Z5169" t="str">
        <f t="shared" si="80"/>
        <v/>
      </c>
    </row>
    <row r="5170" spans="26:26" x14ac:dyDescent="0.2">
      <c r="Z5170" t="str">
        <f t="shared" si="80"/>
        <v/>
      </c>
    </row>
    <row r="5171" spans="26:26" x14ac:dyDescent="0.2">
      <c r="Z5171" t="str">
        <f t="shared" si="80"/>
        <v/>
      </c>
    </row>
    <row r="5172" spans="26:26" x14ac:dyDescent="0.2">
      <c r="Z5172" t="str">
        <f t="shared" si="80"/>
        <v/>
      </c>
    </row>
    <row r="5173" spans="26:26" x14ac:dyDescent="0.2">
      <c r="Z5173" t="str">
        <f t="shared" si="80"/>
        <v/>
      </c>
    </row>
    <row r="5174" spans="26:26" x14ac:dyDescent="0.2">
      <c r="Z5174" t="str">
        <f t="shared" si="80"/>
        <v/>
      </c>
    </row>
    <row r="5175" spans="26:26" x14ac:dyDescent="0.2">
      <c r="Z5175" t="str">
        <f t="shared" si="80"/>
        <v/>
      </c>
    </row>
    <row r="5176" spans="26:26" x14ac:dyDescent="0.2">
      <c r="Z5176" t="str">
        <f t="shared" si="80"/>
        <v/>
      </c>
    </row>
    <row r="5177" spans="26:26" x14ac:dyDescent="0.2">
      <c r="Z5177" t="str">
        <f t="shared" si="80"/>
        <v/>
      </c>
    </row>
    <row r="5178" spans="26:26" x14ac:dyDescent="0.2">
      <c r="Z5178" t="str">
        <f t="shared" si="80"/>
        <v/>
      </c>
    </row>
    <row r="5179" spans="26:26" x14ac:dyDescent="0.2">
      <c r="Z5179" t="str">
        <f t="shared" si="80"/>
        <v/>
      </c>
    </row>
    <row r="5180" spans="26:26" x14ac:dyDescent="0.2">
      <c r="Z5180" t="str">
        <f t="shared" si="80"/>
        <v/>
      </c>
    </row>
    <row r="5181" spans="26:26" x14ac:dyDescent="0.2">
      <c r="Z5181" t="str">
        <f t="shared" si="80"/>
        <v/>
      </c>
    </row>
    <row r="5182" spans="26:26" x14ac:dyDescent="0.2">
      <c r="Z5182" t="str">
        <f t="shared" si="80"/>
        <v/>
      </c>
    </row>
    <row r="5183" spans="26:26" x14ac:dyDescent="0.2">
      <c r="Z5183" t="str">
        <f t="shared" si="80"/>
        <v/>
      </c>
    </row>
    <row r="5184" spans="26:26" x14ac:dyDescent="0.2">
      <c r="Z5184" t="str">
        <f t="shared" si="80"/>
        <v/>
      </c>
    </row>
    <row r="5185" spans="26:26" x14ac:dyDescent="0.2">
      <c r="Z5185" t="str">
        <f t="shared" si="80"/>
        <v/>
      </c>
    </row>
    <row r="5186" spans="26:26" x14ac:dyDescent="0.2">
      <c r="Z5186" t="str">
        <f t="shared" si="80"/>
        <v/>
      </c>
    </row>
    <row r="5187" spans="26:26" x14ac:dyDescent="0.2">
      <c r="Z5187" t="str">
        <f t="shared" ref="Z5187:Z5250" si="81">IF(K5187="","",IFERROR(VALUE(TRIM(MID(K5187,FIND(CHAR(167),SUBSTITUTE(K5187,"-",CHAR(167),LEN(K5187)-LEN(SUBSTITUTE(K5187,"-",""))))+1,100))),K5187))</f>
        <v/>
      </c>
    </row>
    <row r="5188" spans="26:26" x14ac:dyDescent="0.2">
      <c r="Z5188" t="str">
        <f t="shared" si="81"/>
        <v/>
      </c>
    </row>
    <row r="5189" spans="26:26" x14ac:dyDescent="0.2">
      <c r="Z5189" t="str">
        <f t="shared" si="81"/>
        <v/>
      </c>
    </row>
    <row r="5190" spans="26:26" x14ac:dyDescent="0.2">
      <c r="Z5190" t="str">
        <f t="shared" si="81"/>
        <v/>
      </c>
    </row>
    <row r="5191" spans="26:26" x14ac:dyDescent="0.2">
      <c r="Z5191" t="str">
        <f t="shared" si="81"/>
        <v/>
      </c>
    </row>
    <row r="5192" spans="26:26" x14ac:dyDescent="0.2">
      <c r="Z5192" t="str">
        <f t="shared" si="81"/>
        <v/>
      </c>
    </row>
    <row r="5193" spans="26:26" x14ac:dyDescent="0.2">
      <c r="Z5193" t="str">
        <f t="shared" si="81"/>
        <v/>
      </c>
    </row>
    <row r="5194" spans="26:26" x14ac:dyDescent="0.2">
      <c r="Z5194" t="str">
        <f t="shared" si="81"/>
        <v/>
      </c>
    </row>
    <row r="5195" spans="26:26" x14ac:dyDescent="0.2">
      <c r="Z5195" t="str">
        <f t="shared" si="81"/>
        <v/>
      </c>
    </row>
    <row r="5196" spans="26:26" x14ac:dyDescent="0.2">
      <c r="Z5196" t="str">
        <f t="shared" si="81"/>
        <v/>
      </c>
    </row>
    <row r="5197" spans="26:26" x14ac:dyDescent="0.2">
      <c r="Z5197" t="str">
        <f t="shared" si="81"/>
        <v/>
      </c>
    </row>
    <row r="5198" spans="26:26" x14ac:dyDescent="0.2">
      <c r="Z5198" t="str">
        <f t="shared" si="81"/>
        <v/>
      </c>
    </row>
    <row r="5199" spans="26:26" x14ac:dyDescent="0.2">
      <c r="Z5199" t="str">
        <f t="shared" si="81"/>
        <v/>
      </c>
    </row>
    <row r="5200" spans="26:26" x14ac:dyDescent="0.2">
      <c r="Z5200" t="str">
        <f t="shared" si="81"/>
        <v/>
      </c>
    </row>
    <row r="5201" spans="26:26" x14ac:dyDescent="0.2">
      <c r="Z5201" t="str">
        <f t="shared" si="81"/>
        <v/>
      </c>
    </row>
    <row r="5202" spans="26:26" x14ac:dyDescent="0.2">
      <c r="Z5202" t="str">
        <f t="shared" si="81"/>
        <v/>
      </c>
    </row>
    <row r="5203" spans="26:26" x14ac:dyDescent="0.2">
      <c r="Z5203" t="str">
        <f t="shared" si="81"/>
        <v/>
      </c>
    </row>
    <row r="5204" spans="26:26" x14ac:dyDescent="0.2">
      <c r="Z5204" t="str">
        <f t="shared" si="81"/>
        <v/>
      </c>
    </row>
    <row r="5205" spans="26:26" x14ac:dyDescent="0.2">
      <c r="Z5205" t="str">
        <f t="shared" si="81"/>
        <v/>
      </c>
    </row>
    <row r="5206" spans="26:26" x14ac:dyDescent="0.2">
      <c r="Z5206" t="str">
        <f t="shared" si="81"/>
        <v/>
      </c>
    </row>
    <row r="5207" spans="26:26" x14ac:dyDescent="0.2">
      <c r="Z5207" t="str">
        <f t="shared" si="81"/>
        <v/>
      </c>
    </row>
    <row r="5208" spans="26:26" x14ac:dyDescent="0.2">
      <c r="Z5208" t="str">
        <f t="shared" si="81"/>
        <v/>
      </c>
    </row>
    <row r="5209" spans="26:26" x14ac:dyDescent="0.2">
      <c r="Z5209" t="str">
        <f t="shared" si="81"/>
        <v/>
      </c>
    </row>
    <row r="5210" spans="26:26" x14ac:dyDescent="0.2">
      <c r="Z5210" t="str">
        <f t="shared" si="81"/>
        <v/>
      </c>
    </row>
    <row r="5211" spans="26:26" x14ac:dyDescent="0.2">
      <c r="Z5211" t="str">
        <f t="shared" si="81"/>
        <v/>
      </c>
    </row>
    <row r="5212" spans="26:26" x14ac:dyDescent="0.2">
      <c r="Z5212" t="str">
        <f t="shared" si="81"/>
        <v/>
      </c>
    </row>
    <row r="5213" spans="26:26" x14ac:dyDescent="0.2">
      <c r="Z5213" t="str">
        <f t="shared" si="81"/>
        <v/>
      </c>
    </row>
    <row r="5214" spans="26:26" x14ac:dyDescent="0.2">
      <c r="Z5214" t="str">
        <f t="shared" si="81"/>
        <v/>
      </c>
    </row>
    <row r="5215" spans="26:26" x14ac:dyDescent="0.2">
      <c r="Z5215" t="str">
        <f t="shared" si="81"/>
        <v/>
      </c>
    </row>
    <row r="5216" spans="26:26" x14ac:dyDescent="0.2">
      <c r="Z5216" t="str">
        <f t="shared" si="81"/>
        <v/>
      </c>
    </row>
    <row r="5217" spans="26:26" x14ac:dyDescent="0.2">
      <c r="Z5217" t="str">
        <f t="shared" si="81"/>
        <v/>
      </c>
    </row>
    <row r="5218" spans="26:26" x14ac:dyDescent="0.2">
      <c r="Z5218" t="str">
        <f t="shared" si="81"/>
        <v/>
      </c>
    </row>
    <row r="5219" spans="26:26" x14ac:dyDescent="0.2">
      <c r="Z5219" t="str">
        <f t="shared" si="81"/>
        <v/>
      </c>
    </row>
    <row r="5220" spans="26:26" x14ac:dyDescent="0.2">
      <c r="Z5220" t="str">
        <f t="shared" si="81"/>
        <v/>
      </c>
    </row>
    <row r="5221" spans="26:26" x14ac:dyDescent="0.2">
      <c r="Z5221" t="str">
        <f t="shared" si="81"/>
        <v/>
      </c>
    </row>
    <row r="5222" spans="26:26" x14ac:dyDescent="0.2">
      <c r="Z5222" t="str">
        <f t="shared" si="81"/>
        <v/>
      </c>
    </row>
    <row r="5223" spans="26:26" x14ac:dyDescent="0.2">
      <c r="Z5223" t="str">
        <f t="shared" si="81"/>
        <v/>
      </c>
    </row>
    <row r="5224" spans="26:26" x14ac:dyDescent="0.2">
      <c r="Z5224" t="str">
        <f t="shared" si="81"/>
        <v/>
      </c>
    </row>
    <row r="5225" spans="26:26" x14ac:dyDescent="0.2">
      <c r="Z5225" t="str">
        <f t="shared" si="81"/>
        <v/>
      </c>
    </row>
    <row r="5226" spans="26:26" x14ac:dyDescent="0.2">
      <c r="Z5226" t="str">
        <f t="shared" si="81"/>
        <v/>
      </c>
    </row>
    <row r="5227" spans="26:26" x14ac:dyDescent="0.2">
      <c r="Z5227" t="str">
        <f t="shared" si="81"/>
        <v/>
      </c>
    </row>
    <row r="5228" spans="26:26" x14ac:dyDescent="0.2">
      <c r="Z5228" t="str">
        <f t="shared" si="81"/>
        <v/>
      </c>
    </row>
    <row r="5229" spans="26:26" x14ac:dyDescent="0.2">
      <c r="Z5229" t="str">
        <f t="shared" si="81"/>
        <v/>
      </c>
    </row>
    <row r="5230" spans="26:26" x14ac:dyDescent="0.2">
      <c r="Z5230" t="str">
        <f t="shared" si="81"/>
        <v/>
      </c>
    </row>
    <row r="5231" spans="26:26" x14ac:dyDescent="0.2">
      <c r="Z5231" t="str">
        <f t="shared" si="81"/>
        <v/>
      </c>
    </row>
    <row r="5232" spans="26:26" x14ac:dyDescent="0.2">
      <c r="Z5232" t="str">
        <f t="shared" si="81"/>
        <v/>
      </c>
    </row>
    <row r="5233" spans="26:26" x14ac:dyDescent="0.2">
      <c r="Z5233" t="str">
        <f t="shared" si="81"/>
        <v/>
      </c>
    </row>
    <row r="5234" spans="26:26" x14ac:dyDescent="0.2">
      <c r="Z5234" t="str">
        <f t="shared" si="81"/>
        <v/>
      </c>
    </row>
    <row r="5235" spans="26:26" x14ac:dyDescent="0.2">
      <c r="Z5235" t="str">
        <f t="shared" si="81"/>
        <v/>
      </c>
    </row>
    <row r="5236" spans="26:26" x14ac:dyDescent="0.2">
      <c r="Z5236" t="str">
        <f t="shared" si="81"/>
        <v/>
      </c>
    </row>
    <row r="5237" spans="26:26" x14ac:dyDescent="0.2">
      <c r="Z5237" t="str">
        <f t="shared" si="81"/>
        <v/>
      </c>
    </row>
    <row r="5238" spans="26:26" x14ac:dyDescent="0.2">
      <c r="Z5238" t="str">
        <f t="shared" si="81"/>
        <v/>
      </c>
    </row>
    <row r="5239" spans="26:26" x14ac:dyDescent="0.2">
      <c r="Z5239" t="str">
        <f t="shared" si="81"/>
        <v/>
      </c>
    </row>
    <row r="5240" spans="26:26" x14ac:dyDescent="0.2">
      <c r="Z5240" t="str">
        <f t="shared" si="81"/>
        <v/>
      </c>
    </row>
    <row r="5241" spans="26:26" x14ac:dyDescent="0.2">
      <c r="Z5241" t="str">
        <f t="shared" si="81"/>
        <v/>
      </c>
    </row>
    <row r="5242" spans="26:26" x14ac:dyDescent="0.2">
      <c r="Z5242" t="str">
        <f t="shared" si="81"/>
        <v/>
      </c>
    </row>
    <row r="5243" spans="26:26" x14ac:dyDescent="0.2">
      <c r="Z5243" t="str">
        <f t="shared" si="81"/>
        <v/>
      </c>
    </row>
    <row r="5244" spans="26:26" x14ac:dyDescent="0.2">
      <c r="Z5244" t="str">
        <f t="shared" si="81"/>
        <v/>
      </c>
    </row>
    <row r="5245" spans="26:26" x14ac:dyDescent="0.2">
      <c r="Z5245" t="str">
        <f t="shared" si="81"/>
        <v/>
      </c>
    </row>
    <row r="5246" spans="26:26" x14ac:dyDescent="0.2">
      <c r="Z5246" t="str">
        <f t="shared" si="81"/>
        <v/>
      </c>
    </row>
    <row r="5247" spans="26:26" x14ac:dyDescent="0.2">
      <c r="Z5247" t="str">
        <f t="shared" si="81"/>
        <v/>
      </c>
    </row>
    <row r="5248" spans="26:26" x14ac:dyDescent="0.2">
      <c r="Z5248" t="str">
        <f t="shared" si="81"/>
        <v/>
      </c>
    </row>
    <row r="5249" spans="26:26" x14ac:dyDescent="0.2">
      <c r="Z5249" t="str">
        <f t="shared" si="81"/>
        <v/>
      </c>
    </row>
    <row r="5250" spans="26:26" x14ac:dyDescent="0.2">
      <c r="Z5250" t="str">
        <f t="shared" si="81"/>
        <v/>
      </c>
    </row>
    <row r="5251" spans="26:26" x14ac:dyDescent="0.2">
      <c r="Z5251" t="str">
        <f t="shared" ref="Z5251:Z5314" si="82">IF(K5251="","",IFERROR(VALUE(TRIM(MID(K5251,FIND(CHAR(167),SUBSTITUTE(K5251,"-",CHAR(167),LEN(K5251)-LEN(SUBSTITUTE(K5251,"-",""))))+1,100))),K5251))</f>
        <v/>
      </c>
    </row>
    <row r="5252" spans="26:26" x14ac:dyDescent="0.2">
      <c r="Z5252" t="str">
        <f t="shared" si="82"/>
        <v/>
      </c>
    </row>
    <row r="5253" spans="26:26" x14ac:dyDescent="0.2">
      <c r="Z5253" t="str">
        <f t="shared" si="82"/>
        <v/>
      </c>
    </row>
    <row r="5254" spans="26:26" x14ac:dyDescent="0.2">
      <c r="Z5254" t="str">
        <f t="shared" si="82"/>
        <v/>
      </c>
    </row>
    <row r="5255" spans="26:26" x14ac:dyDescent="0.2">
      <c r="Z5255" t="str">
        <f t="shared" si="82"/>
        <v/>
      </c>
    </row>
    <row r="5256" spans="26:26" x14ac:dyDescent="0.2">
      <c r="Z5256" t="str">
        <f t="shared" si="82"/>
        <v/>
      </c>
    </row>
    <row r="5257" spans="26:26" x14ac:dyDescent="0.2">
      <c r="Z5257" t="str">
        <f t="shared" si="82"/>
        <v/>
      </c>
    </row>
    <row r="5258" spans="26:26" x14ac:dyDescent="0.2">
      <c r="Z5258" t="str">
        <f t="shared" si="82"/>
        <v/>
      </c>
    </row>
    <row r="5259" spans="26:26" x14ac:dyDescent="0.2">
      <c r="Z5259" t="str">
        <f t="shared" si="82"/>
        <v/>
      </c>
    </row>
    <row r="5260" spans="26:26" x14ac:dyDescent="0.2">
      <c r="Z5260" t="str">
        <f t="shared" si="82"/>
        <v/>
      </c>
    </row>
    <row r="5261" spans="26:26" x14ac:dyDescent="0.2">
      <c r="Z5261" t="str">
        <f t="shared" si="82"/>
        <v/>
      </c>
    </row>
    <row r="5262" spans="26:26" x14ac:dyDescent="0.2">
      <c r="Z5262" t="str">
        <f t="shared" si="82"/>
        <v/>
      </c>
    </row>
    <row r="5263" spans="26:26" x14ac:dyDescent="0.2">
      <c r="Z5263" t="str">
        <f t="shared" si="82"/>
        <v/>
      </c>
    </row>
    <row r="5264" spans="26:26" x14ac:dyDescent="0.2">
      <c r="Z5264" t="str">
        <f t="shared" si="82"/>
        <v/>
      </c>
    </row>
    <row r="5265" spans="26:26" x14ac:dyDescent="0.2">
      <c r="Z5265" t="str">
        <f t="shared" si="82"/>
        <v/>
      </c>
    </row>
    <row r="5266" spans="26:26" x14ac:dyDescent="0.2">
      <c r="Z5266" t="str">
        <f t="shared" si="82"/>
        <v/>
      </c>
    </row>
    <row r="5267" spans="26:26" x14ac:dyDescent="0.2">
      <c r="Z5267" t="str">
        <f t="shared" si="82"/>
        <v/>
      </c>
    </row>
    <row r="5268" spans="26:26" x14ac:dyDescent="0.2">
      <c r="Z5268" t="str">
        <f t="shared" si="82"/>
        <v/>
      </c>
    </row>
    <row r="5269" spans="26:26" x14ac:dyDescent="0.2">
      <c r="Z5269" t="str">
        <f t="shared" si="82"/>
        <v/>
      </c>
    </row>
    <row r="5270" spans="26:26" x14ac:dyDescent="0.2">
      <c r="Z5270" t="str">
        <f t="shared" si="82"/>
        <v/>
      </c>
    </row>
    <row r="5271" spans="26:26" x14ac:dyDescent="0.2">
      <c r="Z5271" t="str">
        <f t="shared" si="82"/>
        <v/>
      </c>
    </row>
    <row r="5272" spans="26:26" x14ac:dyDescent="0.2">
      <c r="Z5272" t="str">
        <f t="shared" si="82"/>
        <v/>
      </c>
    </row>
    <row r="5273" spans="26:26" x14ac:dyDescent="0.2">
      <c r="Z5273" t="str">
        <f t="shared" si="82"/>
        <v/>
      </c>
    </row>
    <row r="5274" spans="26:26" x14ac:dyDescent="0.2">
      <c r="Z5274" t="str">
        <f t="shared" si="82"/>
        <v/>
      </c>
    </row>
    <row r="5275" spans="26:26" x14ac:dyDescent="0.2">
      <c r="Z5275" t="str">
        <f t="shared" si="82"/>
        <v/>
      </c>
    </row>
    <row r="5276" spans="26:26" x14ac:dyDescent="0.2">
      <c r="Z5276" t="str">
        <f t="shared" si="82"/>
        <v/>
      </c>
    </row>
    <row r="5277" spans="26:26" x14ac:dyDescent="0.2">
      <c r="Z5277" t="str">
        <f t="shared" si="82"/>
        <v/>
      </c>
    </row>
    <row r="5278" spans="26:26" x14ac:dyDescent="0.2">
      <c r="Z5278" t="str">
        <f t="shared" si="82"/>
        <v/>
      </c>
    </row>
    <row r="5279" spans="26:26" x14ac:dyDescent="0.2">
      <c r="Z5279" t="str">
        <f t="shared" si="82"/>
        <v/>
      </c>
    </row>
    <row r="5280" spans="26:26" x14ac:dyDescent="0.2">
      <c r="Z5280" t="str">
        <f t="shared" si="82"/>
        <v/>
      </c>
    </row>
    <row r="5281" spans="26:26" x14ac:dyDescent="0.2">
      <c r="Z5281" t="str">
        <f t="shared" si="82"/>
        <v/>
      </c>
    </row>
    <row r="5282" spans="26:26" x14ac:dyDescent="0.2">
      <c r="Z5282" t="str">
        <f t="shared" si="82"/>
        <v/>
      </c>
    </row>
    <row r="5283" spans="26:26" x14ac:dyDescent="0.2">
      <c r="Z5283" t="str">
        <f t="shared" si="82"/>
        <v/>
      </c>
    </row>
    <row r="5284" spans="26:26" x14ac:dyDescent="0.2">
      <c r="Z5284" t="str">
        <f t="shared" si="82"/>
        <v/>
      </c>
    </row>
    <row r="5285" spans="26:26" x14ac:dyDescent="0.2">
      <c r="Z5285" t="str">
        <f t="shared" si="82"/>
        <v/>
      </c>
    </row>
    <row r="5286" spans="26:26" x14ac:dyDescent="0.2">
      <c r="Z5286" t="str">
        <f t="shared" si="82"/>
        <v/>
      </c>
    </row>
    <row r="5287" spans="26:26" x14ac:dyDescent="0.2">
      <c r="Z5287" t="str">
        <f t="shared" si="82"/>
        <v/>
      </c>
    </row>
    <row r="5288" spans="26:26" x14ac:dyDescent="0.2">
      <c r="Z5288" t="str">
        <f t="shared" si="82"/>
        <v/>
      </c>
    </row>
    <row r="5289" spans="26:26" x14ac:dyDescent="0.2">
      <c r="Z5289" t="str">
        <f t="shared" si="82"/>
        <v/>
      </c>
    </row>
    <row r="5290" spans="26:26" x14ac:dyDescent="0.2">
      <c r="Z5290" t="str">
        <f t="shared" si="82"/>
        <v/>
      </c>
    </row>
    <row r="5291" spans="26:26" x14ac:dyDescent="0.2">
      <c r="Z5291" t="str">
        <f t="shared" si="82"/>
        <v/>
      </c>
    </row>
    <row r="5292" spans="26:26" x14ac:dyDescent="0.2">
      <c r="Z5292" t="str">
        <f t="shared" si="82"/>
        <v/>
      </c>
    </row>
    <row r="5293" spans="26:26" x14ac:dyDescent="0.2">
      <c r="Z5293" t="str">
        <f t="shared" si="82"/>
        <v/>
      </c>
    </row>
    <row r="5294" spans="26:26" x14ac:dyDescent="0.2">
      <c r="Z5294" t="str">
        <f t="shared" si="82"/>
        <v/>
      </c>
    </row>
    <row r="5295" spans="26:26" x14ac:dyDescent="0.2">
      <c r="Z5295" t="str">
        <f t="shared" si="82"/>
        <v/>
      </c>
    </row>
    <row r="5296" spans="26:26" x14ac:dyDescent="0.2">
      <c r="Z5296" t="str">
        <f t="shared" si="82"/>
        <v/>
      </c>
    </row>
    <row r="5297" spans="26:26" x14ac:dyDescent="0.2">
      <c r="Z5297" t="str">
        <f t="shared" si="82"/>
        <v/>
      </c>
    </row>
    <row r="5298" spans="26:26" x14ac:dyDescent="0.2">
      <c r="Z5298" t="str">
        <f t="shared" si="82"/>
        <v/>
      </c>
    </row>
    <row r="5299" spans="26:26" x14ac:dyDescent="0.2">
      <c r="Z5299" t="str">
        <f t="shared" si="82"/>
        <v/>
      </c>
    </row>
    <row r="5300" spans="26:26" x14ac:dyDescent="0.2">
      <c r="Z5300" t="str">
        <f t="shared" si="82"/>
        <v/>
      </c>
    </row>
    <row r="5301" spans="26:26" x14ac:dyDescent="0.2">
      <c r="Z5301" t="str">
        <f t="shared" si="82"/>
        <v/>
      </c>
    </row>
    <row r="5302" spans="26:26" x14ac:dyDescent="0.2">
      <c r="Z5302" t="str">
        <f t="shared" si="82"/>
        <v/>
      </c>
    </row>
    <row r="5303" spans="26:26" x14ac:dyDescent="0.2">
      <c r="Z5303" t="str">
        <f t="shared" si="82"/>
        <v/>
      </c>
    </row>
    <row r="5304" spans="26:26" x14ac:dyDescent="0.2">
      <c r="Z5304" t="str">
        <f t="shared" si="82"/>
        <v/>
      </c>
    </row>
    <row r="5305" spans="26:26" x14ac:dyDescent="0.2">
      <c r="Z5305" t="str">
        <f t="shared" si="82"/>
        <v/>
      </c>
    </row>
    <row r="5306" spans="26:26" x14ac:dyDescent="0.2">
      <c r="Z5306" t="str">
        <f t="shared" si="82"/>
        <v/>
      </c>
    </row>
    <row r="5307" spans="26:26" x14ac:dyDescent="0.2">
      <c r="Z5307" t="str">
        <f t="shared" si="82"/>
        <v/>
      </c>
    </row>
    <row r="5308" spans="26:26" x14ac:dyDescent="0.2">
      <c r="Z5308" t="str">
        <f t="shared" si="82"/>
        <v/>
      </c>
    </row>
    <row r="5309" spans="26:26" x14ac:dyDescent="0.2">
      <c r="Z5309" t="str">
        <f t="shared" si="82"/>
        <v/>
      </c>
    </row>
    <row r="5310" spans="26:26" x14ac:dyDescent="0.2">
      <c r="Z5310" t="str">
        <f t="shared" si="82"/>
        <v/>
      </c>
    </row>
    <row r="5311" spans="26:26" x14ac:dyDescent="0.2">
      <c r="Z5311" t="str">
        <f t="shared" si="82"/>
        <v/>
      </c>
    </row>
    <row r="5312" spans="26:26" x14ac:dyDescent="0.2">
      <c r="Z5312" t="str">
        <f t="shared" si="82"/>
        <v/>
      </c>
    </row>
    <row r="5313" spans="26:26" x14ac:dyDescent="0.2">
      <c r="Z5313" t="str">
        <f t="shared" si="82"/>
        <v/>
      </c>
    </row>
    <row r="5314" spans="26:26" x14ac:dyDescent="0.2">
      <c r="Z5314" t="str">
        <f t="shared" si="82"/>
        <v/>
      </c>
    </row>
    <row r="5315" spans="26:26" x14ac:dyDescent="0.2">
      <c r="Z5315" t="str">
        <f t="shared" ref="Z5315:Z5378" si="83">IF(K5315="","",IFERROR(VALUE(TRIM(MID(K5315,FIND(CHAR(167),SUBSTITUTE(K5315,"-",CHAR(167),LEN(K5315)-LEN(SUBSTITUTE(K5315,"-",""))))+1,100))),K5315))</f>
        <v/>
      </c>
    </row>
    <row r="5316" spans="26:26" x14ac:dyDescent="0.2">
      <c r="Z5316" t="str">
        <f t="shared" si="83"/>
        <v/>
      </c>
    </row>
    <row r="5317" spans="26:26" x14ac:dyDescent="0.2">
      <c r="Z5317" t="str">
        <f t="shared" si="83"/>
        <v/>
      </c>
    </row>
    <row r="5318" spans="26:26" x14ac:dyDescent="0.2">
      <c r="Z5318" t="str">
        <f t="shared" si="83"/>
        <v/>
      </c>
    </row>
    <row r="5319" spans="26:26" x14ac:dyDescent="0.2">
      <c r="Z5319" t="str">
        <f t="shared" si="83"/>
        <v/>
      </c>
    </row>
    <row r="5320" spans="26:26" x14ac:dyDescent="0.2">
      <c r="Z5320" t="str">
        <f t="shared" si="83"/>
        <v/>
      </c>
    </row>
    <row r="5321" spans="26:26" x14ac:dyDescent="0.2">
      <c r="Z5321" t="str">
        <f t="shared" si="83"/>
        <v/>
      </c>
    </row>
    <row r="5322" spans="26:26" x14ac:dyDescent="0.2">
      <c r="Z5322" t="str">
        <f t="shared" si="83"/>
        <v/>
      </c>
    </row>
    <row r="5323" spans="26:26" x14ac:dyDescent="0.2">
      <c r="Z5323" t="str">
        <f t="shared" si="83"/>
        <v/>
      </c>
    </row>
    <row r="5324" spans="26:26" x14ac:dyDescent="0.2">
      <c r="Z5324" t="str">
        <f t="shared" si="83"/>
        <v/>
      </c>
    </row>
    <row r="5325" spans="26:26" x14ac:dyDescent="0.2">
      <c r="Z5325" t="str">
        <f t="shared" si="83"/>
        <v/>
      </c>
    </row>
    <row r="5326" spans="26:26" x14ac:dyDescent="0.2">
      <c r="Z5326" t="str">
        <f t="shared" si="83"/>
        <v/>
      </c>
    </row>
    <row r="5327" spans="26:26" x14ac:dyDescent="0.2">
      <c r="Z5327" t="str">
        <f t="shared" si="83"/>
        <v/>
      </c>
    </row>
    <row r="5328" spans="26:26" x14ac:dyDescent="0.2">
      <c r="Z5328" t="str">
        <f t="shared" si="83"/>
        <v/>
      </c>
    </row>
    <row r="5329" spans="26:26" x14ac:dyDescent="0.2">
      <c r="Z5329" t="str">
        <f t="shared" si="83"/>
        <v/>
      </c>
    </row>
    <row r="5330" spans="26:26" x14ac:dyDescent="0.2">
      <c r="Z5330" t="str">
        <f t="shared" si="83"/>
        <v/>
      </c>
    </row>
    <row r="5331" spans="26:26" x14ac:dyDescent="0.2">
      <c r="Z5331" t="str">
        <f t="shared" si="83"/>
        <v/>
      </c>
    </row>
    <row r="5332" spans="26:26" x14ac:dyDescent="0.2">
      <c r="Z5332" t="str">
        <f t="shared" si="83"/>
        <v/>
      </c>
    </row>
    <row r="5333" spans="26:26" x14ac:dyDescent="0.2">
      <c r="Z5333" t="str">
        <f t="shared" si="83"/>
        <v/>
      </c>
    </row>
    <row r="5334" spans="26:26" x14ac:dyDescent="0.2">
      <c r="Z5334" t="str">
        <f t="shared" si="83"/>
        <v/>
      </c>
    </row>
    <row r="5335" spans="26:26" x14ac:dyDescent="0.2">
      <c r="Z5335" t="str">
        <f t="shared" si="83"/>
        <v/>
      </c>
    </row>
    <row r="5336" spans="26:26" x14ac:dyDescent="0.2">
      <c r="Z5336" t="str">
        <f t="shared" si="83"/>
        <v/>
      </c>
    </row>
    <row r="5337" spans="26:26" x14ac:dyDescent="0.2">
      <c r="Z5337" t="str">
        <f t="shared" si="83"/>
        <v/>
      </c>
    </row>
    <row r="5338" spans="26:26" x14ac:dyDescent="0.2">
      <c r="Z5338" t="str">
        <f t="shared" si="83"/>
        <v/>
      </c>
    </row>
    <row r="5339" spans="26:26" x14ac:dyDescent="0.2">
      <c r="Z5339" t="str">
        <f t="shared" si="83"/>
        <v/>
      </c>
    </row>
    <row r="5340" spans="26:26" x14ac:dyDescent="0.2">
      <c r="Z5340" t="str">
        <f t="shared" si="83"/>
        <v/>
      </c>
    </row>
    <row r="5341" spans="26:26" x14ac:dyDescent="0.2">
      <c r="Z5341" t="str">
        <f t="shared" si="83"/>
        <v/>
      </c>
    </row>
    <row r="5342" spans="26:26" x14ac:dyDescent="0.2">
      <c r="Z5342" t="str">
        <f t="shared" si="83"/>
        <v/>
      </c>
    </row>
    <row r="5343" spans="26:26" x14ac:dyDescent="0.2">
      <c r="Z5343" t="str">
        <f t="shared" si="83"/>
        <v/>
      </c>
    </row>
    <row r="5344" spans="26:26" x14ac:dyDescent="0.2">
      <c r="Z5344" t="str">
        <f t="shared" si="83"/>
        <v/>
      </c>
    </row>
    <row r="5345" spans="26:26" x14ac:dyDescent="0.2">
      <c r="Z5345" t="str">
        <f t="shared" si="83"/>
        <v/>
      </c>
    </row>
    <row r="5346" spans="26:26" x14ac:dyDescent="0.2">
      <c r="Z5346" t="str">
        <f t="shared" si="83"/>
        <v/>
      </c>
    </row>
    <row r="5347" spans="26:26" x14ac:dyDescent="0.2">
      <c r="Z5347" t="str">
        <f t="shared" si="83"/>
        <v/>
      </c>
    </row>
    <row r="5348" spans="26:26" x14ac:dyDescent="0.2">
      <c r="Z5348" t="str">
        <f t="shared" si="83"/>
        <v/>
      </c>
    </row>
    <row r="5349" spans="26:26" x14ac:dyDescent="0.2">
      <c r="Z5349" t="str">
        <f t="shared" si="83"/>
        <v/>
      </c>
    </row>
    <row r="5350" spans="26:26" x14ac:dyDescent="0.2">
      <c r="Z5350" t="str">
        <f t="shared" si="83"/>
        <v/>
      </c>
    </row>
    <row r="5351" spans="26:26" x14ac:dyDescent="0.2">
      <c r="Z5351" t="str">
        <f t="shared" si="83"/>
        <v/>
      </c>
    </row>
    <row r="5352" spans="26:26" x14ac:dyDescent="0.2">
      <c r="Z5352" t="str">
        <f t="shared" si="83"/>
        <v/>
      </c>
    </row>
    <row r="5353" spans="26:26" x14ac:dyDescent="0.2">
      <c r="Z5353" t="str">
        <f t="shared" si="83"/>
        <v/>
      </c>
    </row>
    <row r="5354" spans="26:26" x14ac:dyDescent="0.2">
      <c r="Z5354" t="str">
        <f t="shared" si="83"/>
        <v/>
      </c>
    </row>
    <row r="5355" spans="26:26" x14ac:dyDescent="0.2">
      <c r="Z5355" t="str">
        <f t="shared" si="83"/>
        <v/>
      </c>
    </row>
    <row r="5356" spans="26:26" x14ac:dyDescent="0.2">
      <c r="Z5356" t="str">
        <f t="shared" si="83"/>
        <v/>
      </c>
    </row>
    <row r="5357" spans="26:26" x14ac:dyDescent="0.2">
      <c r="Z5357" t="str">
        <f t="shared" si="83"/>
        <v/>
      </c>
    </row>
    <row r="5358" spans="26:26" x14ac:dyDescent="0.2">
      <c r="Z5358" t="str">
        <f t="shared" si="83"/>
        <v/>
      </c>
    </row>
    <row r="5359" spans="26:26" x14ac:dyDescent="0.2">
      <c r="Z5359" t="str">
        <f t="shared" si="83"/>
        <v/>
      </c>
    </row>
    <row r="5360" spans="26:26" x14ac:dyDescent="0.2">
      <c r="Z5360" t="str">
        <f t="shared" si="83"/>
        <v/>
      </c>
    </row>
    <row r="5361" spans="26:26" x14ac:dyDescent="0.2">
      <c r="Z5361" t="str">
        <f t="shared" si="83"/>
        <v/>
      </c>
    </row>
    <row r="5362" spans="26:26" x14ac:dyDescent="0.2">
      <c r="Z5362" t="str">
        <f t="shared" si="83"/>
        <v/>
      </c>
    </row>
    <row r="5363" spans="26:26" x14ac:dyDescent="0.2">
      <c r="Z5363" t="str">
        <f t="shared" si="83"/>
        <v/>
      </c>
    </row>
    <row r="5364" spans="26:26" x14ac:dyDescent="0.2">
      <c r="Z5364" t="str">
        <f t="shared" si="83"/>
        <v/>
      </c>
    </row>
    <row r="5365" spans="26:26" x14ac:dyDescent="0.2">
      <c r="Z5365" t="str">
        <f t="shared" si="83"/>
        <v/>
      </c>
    </row>
    <row r="5366" spans="26:26" x14ac:dyDescent="0.2">
      <c r="Z5366" t="str">
        <f t="shared" si="83"/>
        <v/>
      </c>
    </row>
    <row r="5367" spans="26:26" x14ac:dyDescent="0.2">
      <c r="Z5367" t="str">
        <f t="shared" si="83"/>
        <v/>
      </c>
    </row>
    <row r="5368" spans="26:26" x14ac:dyDescent="0.2">
      <c r="Z5368" t="str">
        <f t="shared" si="83"/>
        <v/>
      </c>
    </row>
    <row r="5369" spans="26:26" x14ac:dyDescent="0.2">
      <c r="Z5369" t="str">
        <f t="shared" si="83"/>
        <v/>
      </c>
    </row>
    <row r="5370" spans="26:26" x14ac:dyDescent="0.2">
      <c r="Z5370" t="str">
        <f t="shared" si="83"/>
        <v/>
      </c>
    </row>
    <row r="5371" spans="26:26" x14ac:dyDescent="0.2">
      <c r="Z5371" t="str">
        <f t="shared" si="83"/>
        <v/>
      </c>
    </row>
    <row r="5372" spans="26:26" x14ac:dyDescent="0.2">
      <c r="Z5372" t="str">
        <f t="shared" si="83"/>
        <v/>
      </c>
    </row>
    <row r="5373" spans="26:26" x14ac:dyDescent="0.2">
      <c r="Z5373" t="str">
        <f t="shared" si="83"/>
        <v/>
      </c>
    </row>
    <row r="5374" spans="26:26" x14ac:dyDescent="0.2">
      <c r="Z5374" t="str">
        <f t="shared" si="83"/>
        <v/>
      </c>
    </row>
    <row r="5375" spans="26:26" x14ac:dyDescent="0.2">
      <c r="Z5375" t="str">
        <f t="shared" si="83"/>
        <v/>
      </c>
    </row>
    <row r="5376" spans="26:26" x14ac:dyDescent="0.2">
      <c r="Z5376" t="str">
        <f t="shared" si="83"/>
        <v/>
      </c>
    </row>
    <row r="5377" spans="26:26" x14ac:dyDescent="0.2">
      <c r="Z5377" t="str">
        <f t="shared" si="83"/>
        <v/>
      </c>
    </row>
    <row r="5378" spans="26:26" x14ac:dyDescent="0.2">
      <c r="Z5378" t="str">
        <f t="shared" si="83"/>
        <v/>
      </c>
    </row>
    <row r="5379" spans="26:26" x14ac:dyDescent="0.2">
      <c r="Z5379" t="str">
        <f t="shared" ref="Z5379:Z5442" si="84">IF(K5379="","",IFERROR(VALUE(TRIM(MID(K5379,FIND(CHAR(167),SUBSTITUTE(K5379,"-",CHAR(167),LEN(K5379)-LEN(SUBSTITUTE(K5379,"-",""))))+1,100))),K5379))</f>
        <v/>
      </c>
    </row>
    <row r="5380" spans="26:26" x14ac:dyDescent="0.2">
      <c r="Z5380" t="str">
        <f t="shared" si="84"/>
        <v/>
      </c>
    </row>
    <row r="5381" spans="26:26" x14ac:dyDescent="0.2">
      <c r="Z5381" t="str">
        <f t="shared" si="84"/>
        <v/>
      </c>
    </row>
    <row r="5382" spans="26:26" x14ac:dyDescent="0.2">
      <c r="Z5382" t="str">
        <f t="shared" si="84"/>
        <v/>
      </c>
    </row>
    <row r="5383" spans="26:26" x14ac:dyDescent="0.2">
      <c r="Z5383" t="str">
        <f t="shared" si="84"/>
        <v/>
      </c>
    </row>
    <row r="5384" spans="26:26" x14ac:dyDescent="0.2">
      <c r="Z5384" t="str">
        <f t="shared" si="84"/>
        <v/>
      </c>
    </row>
    <row r="5385" spans="26:26" x14ac:dyDescent="0.2">
      <c r="Z5385" t="str">
        <f t="shared" si="84"/>
        <v/>
      </c>
    </row>
    <row r="5386" spans="26:26" x14ac:dyDescent="0.2">
      <c r="Z5386" t="str">
        <f t="shared" si="84"/>
        <v/>
      </c>
    </row>
    <row r="5387" spans="26:26" x14ac:dyDescent="0.2">
      <c r="Z5387" t="str">
        <f t="shared" si="84"/>
        <v/>
      </c>
    </row>
    <row r="5388" spans="26:26" x14ac:dyDescent="0.2">
      <c r="Z5388" t="str">
        <f t="shared" si="84"/>
        <v/>
      </c>
    </row>
    <row r="5389" spans="26:26" x14ac:dyDescent="0.2">
      <c r="Z5389" t="str">
        <f t="shared" si="84"/>
        <v/>
      </c>
    </row>
    <row r="5390" spans="26:26" x14ac:dyDescent="0.2">
      <c r="Z5390" t="str">
        <f t="shared" si="84"/>
        <v/>
      </c>
    </row>
    <row r="5391" spans="26:26" x14ac:dyDescent="0.2">
      <c r="Z5391" t="str">
        <f t="shared" si="84"/>
        <v/>
      </c>
    </row>
    <row r="5392" spans="26:26" x14ac:dyDescent="0.2">
      <c r="Z5392" t="str">
        <f t="shared" si="84"/>
        <v/>
      </c>
    </row>
    <row r="5393" spans="26:26" x14ac:dyDescent="0.2">
      <c r="Z5393" t="str">
        <f t="shared" si="84"/>
        <v/>
      </c>
    </row>
    <row r="5394" spans="26:26" x14ac:dyDescent="0.2">
      <c r="Z5394" t="str">
        <f t="shared" si="84"/>
        <v/>
      </c>
    </row>
    <row r="5395" spans="26:26" x14ac:dyDescent="0.2">
      <c r="Z5395" t="str">
        <f t="shared" si="84"/>
        <v/>
      </c>
    </row>
    <row r="5396" spans="26:26" x14ac:dyDescent="0.2">
      <c r="Z5396" t="str">
        <f t="shared" si="84"/>
        <v/>
      </c>
    </row>
    <row r="5397" spans="26:26" x14ac:dyDescent="0.2">
      <c r="Z5397" t="str">
        <f t="shared" si="84"/>
        <v/>
      </c>
    </row>
    <row r="5398" spans="26:26" x14ac:dyDescent="0.2">
      <c r="Z5398" t="str">
        <f t="shared" si="84"/>
        <v/>
      </c>
    </row>
    <row r="5399" spans="26:26" x14ac:dyDescent="0.2">
      <c r="Z5399" t="str">
        <f t="shared" si="84"/>
        <v/>
      </c>
    </row>
    <row r="5400" spans="26:26" x14ac:dyDescent="0.2">
      <c r="Z5400" t="str">
        <f t="shared" si="84"/>
        <v/>
      </c>
    </row>
    <row r="5401" spans="26:26" x14ac:dyDescent="0.2">
      <c r="Z5401" t="str">
        <f t="shared" si="84"/>
        <v/>
      </c>
    </row>
    <row r="5402" spans="26:26" x14ac:dyDescent="0.2">
      <c r="Z5402" t="str">
        <f t="shared" si="84"/>
        <v/>
      </c>
    </row>
    <row r="5403" spans="26:26" x14ac:dyDescent="0.2">
      <c r="Z5403" t="str">
        <f t="shared" si="84"/>
        <v/>
      </c>
    </row>
    <row r="5404" spans="26:26" x14ac:dyDescent="0.2">
      <c r="Z5404" t="str">
        <f t="shared" si="84"/>
        <v/>
      </c>
    </row>
    <row r="5405" spans="26:26" x14ac:dyDescent="0.2">
      <c r="Z5405" t="str">
        <f t="shared" si="84"/>
        <v/>
      </c>
    </row>
    <row r="5406" spans="26:26" x14ac:dyDescent="0.2">
      <c r="Z5406" t="str">
        <f t="shared" si="84"/>
        <v/>
      </c>
    </row>
    <row r="5407" spans="26:26" x14ac:dyDescent="0.2">
      <c r="Z5407" t="str">
        <f t="shared" si="84"/>
        <v/>
      </c>
    </row>
    <row r="5408" spans="26:26" x14ac:dyDescent="0.2">
      <c r="Z5408" t="str">
        <f t="shared" si="84"/>
        <v/>
      </c>
    </row>
    <row r="5409" spans="26:26" x14ac:dyDescent="0.2">
      <c r="Z5409" t="str">
        <f t="shared" si="84"/>
        <v/>
      </c>
    </row>
    <row r="5410" spans="26:26" x14ac:dyDescent="0.2">
      <c r="Z5410" t="str">
        <f t="shared" si="84"/>
        <v/>
      </c>
    </row>
    <row r="5411" spans="26:26" x14ac:dyDescent="0.2">
      <c r="Z5411" t="str">
        <f t="shared" si="84"/>
        <v/>
      </c>
    </row>
    <row r="5412" spans="26:26" x14ac:dyDescent="0.2">
      <c r="Z5412" t="str">
        <f t="shared" si="84"/>
        <v/>
      </c>
    </row>
    <row r="5413" spans="26:26" x14ac:dyDescent="0.2">
      <c r="Z5413" t="str">
        <f t="shared" si="84"/>
        <v/>
      </c>
    </row>
    <row r="5414" spans="26:26" x14ac:dyDescent="0.2">
      <c r="Z5414" t="str">
        <f t="shared" si="84"/>
        <v/>
      </c>
    </row>
    <row r="5415" spans="26:26" x14ac:dyDescent="0.2">
      <c r="Z5415" t="str">
        <f t="shared" si="84"/>
        <v/>
      </c>
    </row>
    <row r="5416" spans="26:26" x14ac:dyDescent="0.2">
      <c r="Z5416" t="str">
        <f t="shared" si="84"/>
        <v/>
      </c>
    </row>
    <row r="5417" spans="26:26" x14ac:dyDescent="0.2">
      <c r="Z5417" t="str">
        <f t="shared" si="84"/>
        <v/>
      </c>
    </row>
    <row r="5418" spans="26:26" x14ac:dyDescent="0.2">
      <c r="Z5418" t="str">
        <f t="shared" si="84"/>
        <v/>
      </c>
    </row>
    <row r="5419" spans="26:26" x14ac:dyDescent="0.2">
      <c r="Z5419" t="str">
        <f t="shared" si="84"/>
        <v/>
      </c>
    </row>
    <row r="5420" spans="26:26" x14ac:dyDescent="0.2">
      <c r="Z5420" t="str">
        <f t="shared" si="84"/>
        <v/>
      </c>
    </row>
    <row r="5421" spans="26:26" x14ac:dyDescent="0.2">
      <c r="Z5421" t="str">
        <f t="shared" si="84"/>
        <v/>
      </c>
    </row>
    <row r="5422" spans="26:26" x14ac:dyDescent="0.2">
      <c r="Z5422" t="str">
        <f t="shared" si="84"/>
        <v/>
      </c>
    </row>
    <row r="5423" spans="26:26" x14ac:dyDescent="0.2">
      <c r="Z5423" t="str">
        <f t="shared" si="84"/>
        <v/>
      </c>
    </row>
    <row r="5424" spans="26:26" x14ac:dyDescent="0.2">
      <c r="Z5424" t="str">
        <f t="shared" si="84"/>
        <v/>
      </c>
    </row>
    <row r="5425" spans="26:26" x14ac:dyDescent="0.2">
      <c r="Z5425" t="str">
        <f t="shared" si="84"/>
        <v/>
      </c>
    </row>
    <row r="5426" spans="26:26" x14ac:dyDescent="0.2">
      <c r="Z5426" t="str">
        <f t="shared" si="84"/>
        <v/>
      </c>
    </row>
    <row r="5427" spans="26:26" x14ac:dyDescent="0.2">
      <c r="Z5427" t="str">
        <f t="shared" si="84"/>
        <v/>
      </c>
    </row>
    <row r="5428" spans="26:26" x14ac:dyDescent="0.2">
      <c r="Z5428" t="str">
        <f t="shared" si="84"/>
        <v/>
      </c>
    </row>
    <row r="5429" spans="26:26" x14ac:dyDescent="0.2">
      <c r="Z5429" t="str">
        <f t="shared" si="84"/>
        <v/>
      </c>
    </row>
    <row r="5430" spans="26:26" x14ac:dyDescent="0.2">
      <c r="Z5430" t="str">
        <f t="shared" si="84"/>
        <v/>
      </c>
    </row>
    <row r="5431" spans="26:26" x14ac:dyDescent="0.2">
      <c r="Z5431" t="str">
        <f t="shared" si="84"/>
        <v/>
      </c>
    </row>
    <row r="5432" spans="26:26" x14ac:dyDescent="0.2">
      <c r="Z5432" t="str">
        <f t="shared" si="84"/>
        <v/>
      </c>
    </row>
    <row r="5433" spans="26:26" x14ac:dyDescent="0.2">
      <c r="Z5433" t="str">
        <f t="shared" si="84"/>
        <v/>
      </c>
    </row>
    <row r="5434" spans="26:26" x14ac:dyDescent="0.2">
      <c r="Z5434" t="str">
        <f t="shared" si="84"/>
        <v/>
      </c>
    </row>
    <row r="5435" spans="26:26" x14ac:dyDescent="0.2">
      <c r="Z5435" t="str">
        <f t="shared" si="84"/>
        <v/>
      </c>
    </row>
    <row r="5436" spans="26:26" x14ac:dyDescent="0.2">
      <c r="Z5436" t="str">
        <f t="shared" si="84"/>
        <v/>
      </c>
    </row>
    <row r="5437" spans="26:26" x14ac:dyDescent="0.2">
      <c r="Z5437" t="str">
        <f t="shared" si="84"/>
        <v/>
      </c>
    </row>
    <row r="5438" spans="26:26" x14ac:dyDescent="0.2">
      <c r="Z5438" t="str">
        <f t="shared" si="84"/>
        <v/>
      </c>
    </row>
    <row r="5439" spans="26:26" x14ac:dyDescent="0.2">
      <c r="Z5439" t="str">
        <f t="shared" si="84"/>
        <v/>
      </c>
    </row>
    <row r="5440" spans="26:26" x14ac:dyDescent="0.2">
      <c r="Z5440" t="str">
        <f t="shared" si="84"/>
        <v/>
      </c>
    </row>
    <row r="5441" spans="26:26" x14ac:dyDescent="0.2">
      <c r="Z5441" t="str">
        <f t="shared" si="84"/>
        <v/>
      </c>
    </row>
    <row r="5442" spans="26:26" x14ac:dyDescent="0.2">
      <c r="Z5442" t="str">
        <f t="shared" si="84"/>
        <v/>
      </c>
    </row>
    <row r="5443" spans="26:26" x14ac:dyDescent="0.2">
      <c r="Z5443" t="str">
        <f t="shared" ref="Z5443:Z5506" si="85">IF(K5443="","",IFERROR(VALUE(TRIM(MID(K5443,FIND(CHAR(167),SUBSTITUTE(K5443,"-",CHAR(167),LEN(K5443)-LEN(SUBSTITUTE(K5443,"-",""))))+1,100))),K5443))</f>
        <v/>
      </c>
    </row>
    <row r="5444" spans="26:26" x14ac:dyDescent="0.2">
      <c r="Z5444" t="str">
        <f t="shared" si="85"/>
        <v/>
      </c>
    </row>
    <row r="5445" spans="26:26" x14ac:dyDescent="0.2">
      <c r="Z5445" t="str">
        <f t="shared" si="85"/>
        <v/>
      </c>
    </row>
    <row r="5446" spans="26:26" x14ac:dyDescent="0.2">
      <c r="Z5446" t="str">
        <f t="shared" si="85"/>
        <v/>
      </c>
    </row>
    <row r="5447" spans="26:26" x14ac:dyDescent="0.2">
      <c r="Z5447" t="str">
        <f t="shared" si="85"/>
        <v/>
      </c>
    </row>
    <row r="5448" spans="26:26" x14ac:dyDescent="0.2">
      <c r="Z5448" t="str">
        <f t="shared" si="85"/>
        <v/>
      </c>
    </row>
    <row r="5449" spans="26:26" x14ac:dyDescent="0.2">
      <c r="Z5449" t="str">
        <f t="shared" si="85"/>
        <v/>
      </c>
    </row>
    <row r="5450" spans="26:26" x14ac:dyDescent="0.2">
      <c r="Z5450" t="str">
        <f t="shared" si="85"/>
        <v/>
      </c>
    </row>
    <row r="5451" spans="26:26" x14ac:dyDescent="0.2">
      <c r="Z5451" t="str">
        <f t="shared" si="85"/>
        <v/>
      </c>
    </row>
    <row r="5452" spans="26:26" x14ac:dyDescent="0.2">
      <c r="Z5452" t="str">
        <f t="shared" si="85"/>
        <v/>
      </c>
    </row>
    <row r="5453" spans="26:26" x14ac:dyDescent="0.2">
      <c r="Z5453" t="str">
        <f t="shared" si="85"/>
        <v/>
      </c>
    </row>
    <row r="5454" spans="26:26" x14ac:dyDescent="0.2">
      <c r="Z5454" t="str">
        <f t="shared" si="85"/>
        <v/>
      </c>
    </row>
    <row r="5455" spans="26:26" x14ac:dyDescent="0.2">
      <c r="Z5455" t="str">
        <f t="shared" si="85"/>
        <v/>
      </c>
    </row>
    <row r="5456" spans="26:26" x14ac:dyDescent="0.2">
      <c r="Z5456" t="str">
        <f t="shared" si="85"/>
        <v/>
      </c>
    </row>
    <row r="5457" spans="26:26" x14ac:dyDescent="0.2">
      <c r="Z5457" t="str">
        <f t="shared" si="85"/>
        <v/>
      </c>
    </row>
    <row r="5458" spans="26:26" x14ac:dyDescent="0.2">
      <c r="Z5458" t="str">
        <f t="shared" si="85"/>
        <v/>
      </c>
    </row>
    <row r="5459" spans="26:26" x14ac:dyDescent="0.2">
      <c r="Z5459" t="str">
        <f t="shared" si="85"/>
        <v/>
      </c>
    </row>
    <row r="5460" spans="26:26" x14ac:dyDescent="0.2">
      <c r="Z5460" t="str">
        <f t="shared" si="85"/>
        <v/>
      </c>
    </row>
    <row r="5461" spans="26:26" x14ac:dyDescent="0.2">
      <c r="Z5461" t="str">
        <f t="shared" si="85"/>
        <v/>
      </c>
    </row>
    <row r="5462" spans="26:26" x14ac:dyDescent="0.2">
      <c r="Z5462" t="str">
        <f t="shared" si="85"/>
        <v/>
      </c>
    </row>
    <row r="5463" spans="26:26" x14ac:dyDescent="0.2">
      <c r="Z5463" t="str">
        <f t="shared" si="85"/>
        <v/>
      </c>
    </row>
    <row r="5464" spans="26:26" x14ac:dyDescent="0.2">
      <c r="Z5464" t="str">
        <f t="shared" si="85"/>
        <v/>
      </c>
    </row>
    <row r="5465" spans="26:26" x14ac:dyDescent="0.2">
      <c r="Z5465" t="str">
        <f t="shared" si="85"/>
        <v/>
      </c>
    </row>
    <row r="5466" spans="26:26" x14ac:dyDescent="0.2">
      <c r="Z5466" t="str">
        <f t="shared" si="85"/>
        <v/>
      </c>
    </row>
    <row r="5467" spans="26:26" x14ac:dyDescent="0.2">
      <c r="Z5467" t="str">
        <f t="shared" si="85"/>
        <v/>
      </c>
    </row>
    <row r="5468" spans="26:26" x14ac:dyDescent="0.2">
      <c r="Z5468" t="str">
        <f t="shared" si="85"/>
        <v/>
      </c>
    </row>
    <row r="5469" spans="26:26" x14ac:dyDescent="0.2">
      <c r="Z5469" t="str">
        <f t="shared" si="85"/>
        <v/>
      </c>
    </row>
    <row r="5470" spans="26:26" x14ac:dyDescent="0.2">
      <c r="Z5470" t="str">
        <f t="shared" si="85"/>
        <v/>
      </c>
    </row>
    <row r="5471" spans="26:26" x14ac:dyDescent="0.2">
      <c r="Z5471" t="str">
        <f t="shared" si="85"/>
        <v/>
      </c>
    </row>
    <row r="5472" spans="26:26" x14ac:dyDescent="0.2">
      <c r="Z5472" t="str">
        <f t="shared" si="85"/>
        <v/>
      </c>
    </row>
    <row r="5473" spans="26:26" x14ac:dyDescent="0.2">
      <c r="Z5473" t="str">
        <f t="shared" si="85"/>
        <v/>
      </c>
    </row>
    <row r="5474" spans="26:26" x14ac:dyDescent="0.2">
      <c r="Z5474" t="str">
        <f t="shared" si="85"/>
        <v/>
      </c>
    </row>
    <row r="5475" spans="26:26" x14ac:dyDescent="0.2">
      <c r="Z5475" t="str">
        <f t="shared" si="85"/>
        <v/>
      </c>
    </row>
    <row r="5476" spans="26:26" x14ac:dyDescent="0.2">
      <c r="Z5476" t="str">
        <f t="shared" si="85"/>
        <v/>
      </c>
    </row>
    <row r="5477" spans="26:26" x14ac:dyDescent="0.2">
      <c r="Z5477" t="str">
        <f t="shared" si="85"/>
        <v/>
      </c>
    </row>
    <row r="5478" spans="26:26" x14ac:dyDescent="0.2">
      <c r="Z5478" t="str">
        <f t="shared" si="85"/>
        <v/>
      </c>
    </row>
    <row r="5479" spans="26:26" x14ac:dyDescent="0.2">
      <c r="Z5479" t="str">
        <f t="shared" si="85"/>
        <v/>
      </c>
    </row>
    <row r="5480" spans="26:26" x14ac:dyDescent="0.2">
      <c r="Z5480" t="str">
        <f t="shared" si="85"/>
        <v/>
      </c>
    </row>
    <row r="5481" spans="26:26" x14ac:dyDescent="0.2">
      <c r="Z5481" t="str">
        <f t="shared" si="85"/>
        <v/>
      </c>
    </row>
    <row r="5482" spans="26:26" x14ac:dyDescent="0.2">
      <c r="Z5482" t="str">
        <f t="shared" si="85"/>
        <v/>
      </c>
    </row>
    <row r="5483" spans="26:26" x14ac:dyDescent="0.2">
      <c r="Z5483" t="str">
        <f t="shared" si="85"/>
        <v/>
      </c>
    </row>
    <row r="5484" spans="26:26" x14ac:dyDescent="0.2">
      <c r="Z5484" t="str">
        <f t="shared" si="85"/>
        <v/>
      </c>
    </row>
    <row r="5485" spans="26:26" x14ac:dyDescent="0.2">
      <c r="Z5485" t="str">
        <f t="shared" si="85"/>
        <v/>
      </c>
    </row>
    <row r="5486" spans="26:26" x14ac:dyDescent="0.2">
      <c r="Z5486" t="str">
        <f t="shared" si="85"/>
        <v/>
      </c>
    </row>
    <row r="5487" spans="26:26" x14ac:dyDescent="0.2">
      <c r="Z5487" t="str">
        <f t="shared" si="85"/>
        <v/>
      </c>
    </row>
    <row r="5488" spans="26:26" x14ac:dyDescent="0.2">
      <c r="Z5488" t="str">
        <f t="shared" si="85"/>
        <v/>
      </c>
    </row>
    <row r="5489" spans="26:26" x14ac:dyDescent="0.2">
      <c r="Z5489" t="str">
        <f t="shared" si="85"/>
        <v/>
      </c>
    </row>
    <row r="5490" spans="26:26" x14ac:dyDescent="0.2">
      <c r="Z5490" t="str">
        <f t="shared" si="85"/>
        <v/>
      </c>
    </row>
    <row r="5491" spans="26:26" x14ac:dyDescent="0.2">
      <c r="Z5491" t="str">
        <f t="shared" si="85"/>
        <v/>
      </c>
    </row>
    <row r="5492" spans="26:26" x14ac:dyDescent="0.2">
      <c r="Z5492" t="str">
        <f t="shared" si="85"/>
        <v/>
      </c>
    </row>
    <row r="5493" spans="26:26" x14ac:dyDescent="0.2">
      <c r="Z5493" t="str">
        <f t="shared" si="85"/>
        <v/>
      </c>
    </row>
    <row r="5494" spans="26:26" x14ac:dyDescent="0.2">
      <c r="Z5494" t="str">
        <f t="shared" si="85"/>
        <v/>
      </c>
    </row>
    <row r="5495" spans="26:26" x14ac:dyDescent="0.2">
      <c r="Z5495" t="str">
        <f t="shared" si="85"/>
        <v/>
      </c>
    </row>
    <row r="5496" spans="26:26" x14ac:dyDescent="0.2">
      <c r="Z5496" t="str">
        <f t="shared" si="85"/>
        <v/>
      </c>
    </row>
    <row r="5497" spans="26:26" x14ac:dyDescent="0.2">
      <c r="Z5497" t="str">
        <f t="shared" si="85"/>
        <v/>
      </c>
    </row>
    <row r="5498" spans="26:26" x14ac:dyDescent="0.2">
      <c r="Z5498" t="str">
        <f t="shared" si="85"/>
        <v/>
      </c>
    </row>
    <row r="5499" spans="26:26" x14ac:dyDescent="0.2">
      <c r="Z5499" t="str">
        <f t="shared" si="85"/>
        <v/>
      </c>
    </row>
    <row r="5500" spans="26:26" x14ac:dyDescent="0.2">
      <c r="Z5500" t="str">
        <f t="shared" si="85"/>
        <v/>
      </c>
    </row>
    <row r="5501" spans="26:26" x14ac:dyDescent="0.2">
      <c r="Z5501" t="str">
        <f t="shared" si="85"/>
        <v/>
      </c>
    </row>
    <row r="5502" spans="26:26" x14ac:dyDescent="0.2">
      <c r="Z5502" t="str">
        <f t="shared" si="85"/>
        <v/>
      </c>
    </row>
    <row r="5503" spans="26:26" x14ac:dyDescent="0.2">
      <c r="Z5503" t="str">
        <f t="shared" si="85"/>
        <v/>
      </c>
    </row>
    <row r="5504" spans="26:26" x14ac:dyDescent="0.2">
      <c r="Z5504" t="str">
        <f t="shared" si="85"/>
        <v/>
      </c>
    </row>
    <row r="5505" spans="26:26" x14ac:dyDescent="0.2">
      <c r="Z5505" t="str">
        <f t="shared" si="85"/>
        <v/>
      </c>
    </row>
    <row r="5506" spans="26:26" x14ac:dyDescent="0.2">
      <c r="Z5506" t="str">
        <f t="shared" si="85"/>
        <v/>
      </c>
    </row>
    <row r="5507" spans="26:26" x14ac:dyDescent="0.2">
      <c r="Z5507" t="str">
        <f t="shared" ref="Z5507:Z5570" si="86">IF(K5507="","",IFERROR(VALUE(TRIM(MID(K5507,FIND(CHAR(167),SUBSTITUTE(K5507,"-",CHAR(167),LEN(K5507)-LEN(SUBSTITUTE(K5507,"-",""))))+1,100))),K5507))</f>
        <v/>
      </c>
    </row>
    <row r="5508" spans="26:26" x14ac:dyDescent="0.2">
      <c r="Z5508" t="str">
        <f t="shared" si="86"/>
        <v/>
      </c>
    </row>
    <row r="5509" spans="26:26" x14ac:dyDescent="0.2">
      <c r="Z5509" t="str">
        <f t="shared" si="86"/>
        <v/>
      </c>
    </row>
    <row r="5510" spans="26:26" x14ac:dyDescent="0.2">
      <c r="Z5510" t="str">
        <f t="shared" si="86"/>
        <v/>
      </c>
    </row>
    <row r="5511" spans="26:26" x14ac:dyDescent="0.2">
      <c r="Z5511" t="str">
        <f t="shared" si="86"/>
        <v/>
      </c>
    </row>
    <row r="5512" spans="26:26" x14ac:dyDescent="0.2">
      <c r="Z5512" t="str">
        <f t="shared" si="86"/>
        <v/>
      </c>
    </row>
    <row r="5513" spans="26:26" x14ac:dyDescent="0.2">
      <c r="Z5513" t="str">
        <f t="shared" si="86"/>
        <v/>
      </c>
    </row>
    <row r="5514" spans="26:26" x14ac:dyDescent="0.2">
      <c r="Z5514" t="str">
        <f t="shared" si="86"/>
        <v/>
      </c>
    </row>
    <row r="5515" spans="26:26" x14ac:dyDescent="0.2">
      <c r="Z5515" t="str">
        <f t="shared" si="86"/>
        <v/>
      </c>
    </row>
    <row r="5516" spans="26:26" x14ac:dyDescent="0.2">
      <c r="Z5516" t="str">
        <f t="shared" si="86"/>
        <v/>
      </c>
    </row>
    <row r="5517" spans="26:26" x14ac:dyDescent="0.2">
      <c r="Z5517" t="str">
        <f t="shared" si="86"/>
        <v/>
      </c>
    </row>
    <row r="5518" spans="26:26" x14ac:dyDescent="0.2">
      <c r="Z5518" t="str">
        <f t="shared" si="86"/>
        <v/>
      </c>
    </row>
    <row r="5519" spans="26:26" x14ac:dyDescent="0.2">
      <c r="Z5519" t="str">
        <f t="shared" si="86"/>
        <v/>
      </c>
    </row>
    <row r="5520" spans="26:26" x14ac:dyDescent="0.2">
      <c r="Z5520" t="str">
        <f t="shared" si="86"/>
        <v/>
      </c>
    </row>
    <row r="5521" spans="26:26" x14ac:dyDescent="0.2">
      <c r="Z5521" t="str">
        <f t="shared" si="86"/>
        <v/>
      </c>
    </row>
    <row r="5522" spans="26:26" x14ac:dyDescent="0.2">
      <c r="Z5522" t="str">
        <f t="shared" si="86"/>
        <v/>
      </c>
    </row>
    <row r="5523" spans="26:26" x14ac:dyDescent="0.2">
      <c r="Z5523" t="str">
        <f t="shared" si="86"/>
        <v/>
      </c>
    </row>
    <row r="5524" spans="26:26" x14ac:dyDescent="0.2">
      <c r="Z5524" t="str">
        <f t="shared" si="86"/>
        <v/>
      </c>
    </row>
    <row r="5525" spans="26:26" x14ac:dyDescent="0.2">
      <c r="Z5525" t="str">
        <f t="shared" si="86"/>
        <v/>
      </c>
    </row>
    <row r="5526" spans="26:26" x14ac:dyDescent="0.2">
      <c r="Z5526" t="str">
        <f t="shared" si="86"/>
        <v/>
      </c>
    </row>
    <row r="5527" spans="26:26" x14ac:dyDescent="0.2">
      <c r="Z5527" t="str">
        <f t="shared" si="86"/>
        <v/>
      </c>
    </row>
    <row r="5528" spans="26:26" x14ac:dyDescent="0.2">
      <c r="Z5528" t="str">
        <f t="shared" si="86"/>
        <v/>
      </c>
    </row>
    <row r="5529" spans="26:26" x14ac:dyDescent="0.2">
      <c r="Z5529" t="str">
        <f t="shared" si="86"/>
        <v/>
      </c>
    </row>
    <row r="5530" spans="26:26" x14ac:dyDescent="0.2">
      <c r="Z5530" t="str">
        <f t="shared" si="86"/>
        <v/>
      </c>
    </row>
    <row r="5531" spans="26:26" x14ac:dyDescent="0.2">
      <c r="Z5531" t="str">
        <f t="shared" si="86"/>
        <v/>
      </c>
    </row>
    <row r="5532" spans="26:26" x14ac:dyDescent="0.2">
      <c r="Z5532" t="str">
        <f t="shared" si="86"/>
        <v/>
      </c>
    </row>
    <row r="5533" spans="26:26" x14ac:dyDescent="0.2">
      <c r="Z5533" t="str">
        <f t="shared" si="86"/>
        <v/>
      </c>
    </row>
    <row r="5534" spans="26:26" x14ac:dyDescent="0.2">
      <c r="Z5534" t="str">
        <f t="shared" si="86"/>
        <v/>
      </c>
    </row>
    <row r="5535" spans="26:26" x14ac:dyDescent="0.2">
      <c r="Z5535" t="str">
        <f t="shared" si="86"/>
        <v/>
      </c>
    </row>
    <row r="5536" spans="26:26" x14ac:dyDescent="0.2">
      <c r="Z5536" t="str">
        <f t="shared" si="86"/>
        <v/>
      </c>
    </row>
    <row r="5537" spans="26:26" x14ac:dyDescent="0.2">
      <c r="Z5537" t="str">
        <f t="shared" si="86"/>
        <v/>
      </c>
    </row>
    <row r="5538" spans="26:26" x14ac:dyDescent="0.2">
      <c r="Z5538" t="str">
        <f t="shared" si="86"/>
        <v/>
      </c>
    </row>
    <row r="5539" spans="26:26" x14ac:dyDescent="0.2">
      <c r="Z5539" t="str">
        <f t="shared" si="86"/>
        <v/>
      </c>
    </row>
    <row r="5540" spans="26:26" x14ac:dyDescent="0.2">
      <c r="Z5540" t="str">
        <f t="shared" si="86"/>
        <v/>
      </c>
    </row>
    <row r="5541" spans="26:26" x14ac:dyDescent="0.2">
      <c r="Z5541" t="str">
        <f t="shared" si="86"/>
        <v/>
      </c>
    </row>
    <row r="5542" spans="26:26" x14ac:dyDescent="0.2">
      <c r="Z5542" t="str">
        <f t="shared" si="86"/>
        <v/>
      </c>
    </row>
    <row r="5543" spans="26:26" x14ac:dyDescent="0.2">
      <c r="Z5543" t="str">
        <f t="shared" si="86"/>
        <v/>
      </c>
    </row>
    <row r="5544" spans="26:26" x14ac:dyDescent="0.2">
      <c r="Z5544" t="str">
        <f t="shared" si="86"/>
        <v/>
      </c>
    </row>
    <row r="5545" spans="26:26" x14ac:dyDescent="0.2">
      <c r="Z5545" t="str">
        <f t="shared" si="86"/>
        <v/>
      </c>
    </row>
    <row r="5546" spans="26:26" x14ac:dyDescent="0.2">
      <c r="Z5546" t="str">
        <f t="shared" si="86"/>
        <v/>
      </c>
    </row>
    <row r="5547" spans="26:26" x14ac:dyDescent="0.2">
      <c r="Z5547" t="str">
        <f t="shared" si="86"/>
        <v/>
      </c>
    </row>
    <row r="5548" spans="26:26" x14ac:dyDescent="0.2">
      <c r="Z5548" t="str">
        <f t="shared" si="86"/>
        <v/>
      </c>
    </row>
    <row r="5549" spans="26:26" x14ac:dyDescent="0.2">
      <c r="Z5549" t="str">
        <f t="shared" si="86"/>
        <v/>
      </c>
    </row>
    <row r="5550" spans="26:26" x14ac:dyDescent="0.2">
      <c r="Z5550" t="str">
        <f t="shared" si="86"/>
        <v/>
      </c>
    </row>
    <row r="5551" spans="26:26" x14ac:dyDescent="0.2">
      <c r="Z5551" t="str">
        <f t="shared" si="86"/>
        <v/>
      </c>
    </row>
    <row r="5552" spans="26:26" x14ac:dyDescent="0.2">
      <c r="Z5552" t="str">
        <f t="shared" si="86"/>
        <v/>
      </c>
    </row>
    <row r="5553" spans="26:26" x14ac:dyDescent="0.2">
      <c r="Z5553" t="str">
        <f t="shared" si="86"/>
        <v/>
      </c>
    </row>
    <row r="5554" spans="26:26" x14ac:dyDescent="0.2">
      <c r="Z5554" t="str">
        <f t="shared" si="86"/>
        <v/>
      </c>
    </row>
    <row r="5555" spans="26:26" x14ac:dyDescent="0.2">
      <c r="Z5555" t="str">
        <f t="shared" si="86"/>
        <v/>
      </c>
    </row>
    <row r="5556" spans="26:26" x14ac:dyDescent="0.2">
      <c r="Z5556" t="str">
        <f t="shared" si="86"/>
        <v/>
      </c>
    </row>
    <row r="5557" spans="26:26" x14ac:dyDescent="0.2">
      <c r="Z5557" t="str">
        <f t="shared" si="86"/>
        <v/>
      </c>
    </row>
    <row r="5558" spans="26:26" x14ac:dyDescent="0.2">
      <c r="Z5558" t="str">
        <f t="shared" si="86"/>
        <v/>
      </c>
    </row>
    <row r="5559" spans="26:26" x14ac:dyDescent="0.2">
      <c r="Z5559" t="str">
        <f t="shared" si="86"/>
        <v/>
      </c>
    </row>
    <row r="5560" spans="26:26" x14ac:dyDescent="0.2">
      <c r="Z5560" t="str">
        <f t="shared" si="86"/>
        <v/>
      </c>
    </row>
    <row r="5561" spans="26:26" x14ac:dyDescent="0.2">
      <c r="Z5561" t="str">
        <f t="shared" si="86"/>
        <v/>
      </c>
    </row>
    <row r="5562" spans="26:26" x14ac:dyDescent="0.2">
      <c r="Z5562" t="str">
        <f t="shared" si="86"/>
        <v/>
      </c>
    </row>
    <row r="5563" spans="26:26" x14ac:dyDescent="0.2">
      <c r="Z5563" t="str">
        <f t="shared" si="86"/>
        <v/>
      </c>
    </row>
    <row r="5564" spans="26:26" x14ac:dyDescent="0.2">
      <c r="Z5564" t="str">
        <f t="shared" si="86"/>
        <v/>
      </c>
    </row>
    <row r="5565" spans="26:26" x14ac:dyDescent="0.2">
      <c r="Z5565" t="str">
        <f t="shared" si="86"/>
        <v/>
      </c>
    </row>
    <row r="5566" spans="26:26" x14ac:dyDescent="0.2">
      <c r="Z5566" t="str">
        <f t="shared" si="86"/>
        <v/>
      </c>
    </row>
    <row r="5567" spans="26:26" x14ac:dyDescent="0.2">
      <c r="Z5567" t="str">
        <f t="shared" si="86"/>
        <v/>
      </c>
    </row>
    <row r="5568" spans="26:26" x14ac:dyDescent="0.2">
      <c r="Z5568" t="str">
        <f t="shared" si="86"/>
        <v/>
      </c>
    </row>
    <row r="5569" spans="26:26" x14ac:dyDescent="0.2">
      <c r="Z5569" t="str">
        <f t="shared" si="86"/>
        <v/>
      </c>
    </row>
    <row r="5570" spans="26:26" x14ac:dyDescent="0.2">
      <c r="Z5570" t="str">
        <f t="shared" si="86"/>
        <v/>
      </c>
    </row>
    <row r="5571" spans="26:26" x14ac:dyDescent="0.2">
      <c r="Z5571" t="str">
        <f t="shared" ref="Z5571:Z5634" si="87">IF(K5571="","",IFERROR(VALUE(TRIM(MID(K5571,FIND(CHAR(167),SUBSTITUTE(K5571,"-",CHAR(167),LEN(K5571)-LEN(SUBSTITUTE(K5571,"-",""))))+1,100))),K5571))</f>
        <v/>
      </c>
    </row>
    <row r="5572" spans="26:26" x14ac:dyDescent="0.2">
      <c r="Z5572" t="str">
        <f t="shared" si="87"/>
        <v/>
      </c>
    </row>
    <row r="5573" spans="26:26" x14ac:dyDescent="0.2">
      <c r="Z5573" t="str">
        <f t="shared" si="87"/>
        <v/>
      </c>
    </row>
    <row r="5574" spans="26:26" x14ac:dyDescent="0.2">
      <c r="Z5574" t="str">
        <f t="shared" si="87"/>
        <v/>
      </c>
    </row>
    <row r="5575" spans="26:26" x14ac:dyDescent="0.2">
      <c r="Z5575" t="str">
        <f t="shared" si="87"/>
        <v/>
      </c>
    </row>
    <row r="5576" spans="26:26" x14ac:dyDescent="0.2">
      <c r="Z5576" t="str">
        <f t="shared" si="87"/>
        <v/>
      </c>
    </row>
    <row r="5577" spans="26:26" x14ac:dyDescent="0.2">
      <c r="Z5577" t="str">
        <f t="shared" si="87"/>
        <v/>
      </c>
    </row>
    <row r="5578" spans="26:26" x14ac:dyDescent="0.2">
      <c r="Z5578" t="str">
        <f t="shared" si="87"/>
        <v/>
      </c>
    </row>
    <row r="5579" spans="26:26" x14ac:dyDescent="0.2">
      <c r="Z5579" t="str">
        <f t="shared" si="87"/>
        <v/>
      </c>
    </row>
    <row r="5580" spans="26:26" x14ac:dyDescent="0.2">
      <c r="Z5580" t="str">
        <f t="shared" si="87"/>
        <v/>
      </c>
    </row>
    <row r="5581" spans="26:26" x14ac:dyDescent="0.2">
      <c r="Z5581" t="str">
        <f t="shared" si="87"/>
        <v/>
      </c>
    </row>
    <row r="5582" spans="26:26" x14ac:dyDescent="0.2">
      <c r="Z5582" t="str">
        <f t="shared" si="87"/>
        <v/>
      </c>
    </row>
    <row r="5583" spans="26:26" x14ac:dyDescent="0.2">
      <c r="Z5583" t="str">
        <f t="shared" si="87"/>
        <v/>
      </c>
    </row>
    <row r="5584" spans="26:26" x14ac:dyDescent="0.2">
      <c r="Z5584" t="str">
        <f t="shared" si="87"/>
        <v/>
      </c>
    </row>
    <row r="5585" spans="26:26" x14ac:dyDescent="0.2">
      <c r="Z5585" t="str">
        <f t="shared" si="87"/>
        <v/>
      </c>
    </row>
    <row r="5586" spans="26:26" x14ac:dyDescent="0.2">
      <c r="Z5586" t="str">
        <f t="shared" si="87"/>
        <v/>
      </c>
    </row>
    <row r="5587" spans="26:26" x14ac:dyDescent="0.2">
      <c r="Z5587" t="str">
        <f t="shared" si="87"/>
        <v/>
      </c>
    </row>
    <row r="5588" spans="26:26" x14ac:dyDescent="0.2">
      <c r="Z5588" t="str">
        <f t="shared" si="87"/>
        <v/>
      </c>
    </row>
    <row r="5589" spans="26:26" x14ac:dyDescent="0.2">
      <c r="Z5589" t="str">
        <f t="shared" si="87"/>
        <v/>
      </c>
    </row>
    <row r="5590" spans="26:26" x14ac:dyDescent="0.2">
      <c r="Z5590" t="str">
        <f t="shared" si="87"/>
        <v/>
      </c>
    </row>
    <row r="5591" spans="26:26" x14ac:dyDescent="0.2">
      <c r="Z5591" t="str">
        <f t="shared" si="87"/>
        <v/>
      </c>
    </row>
    <row r="5592" spans="26:26" x14ac:dyDescent="0.2">
      <c r="Z5592" t="str">
        <f t="shared" si="87"/>
        <v/>
      </c>
    </row>
    <row r="5593" spans="26:26" x14ac:dyDescent="0.2">
      <c r="Z5593" t="str">
        <f t="shared" si="87"/>
        <v/>
      </c>
    </row>
    <row r="5594" spans="26:26" x14ac:dyDescent="0.2">
      <c r="Z5594" t="str">
        <f t="shared" si="87"/>
        <v/>
      </c>
    </row>
    <row r="5595" spans="26:26" x14ac:dyDescent="0.2">
      <c r="Z5595" t="str">
        <f t="shared" si="87"/>
        <v/>
      </c>
    </row>
    <row r="5596" spans="26:26" x14ac:dyDescent="0.2">
      <c r="Z5596" t="str">
        <f t="shared" si="87"/>
        <v/>
      </c>
    </row>
    <row r="5597" spans="26:26" x14ac:dyDescent="0.2">
      <c r="Z5597" t="str">
        <f t="shared" si="87"/>
        <v/>
      </c>
    </row>
    <row r="5598" spans="26:26" x14ac:dyDescent="0.2">
      <c r="Z5598" t="str">
        <f t="shared" si="87"/>
        <v/>
      </c>
    </row>
    <row r="5599" spans="26:26" x14ac:dyDescent="0.2">
      <c r="Z5599" t="str">
        <f t="shared" si="87"/>
        <v/>
      </c>
    </row>
    <row r="5600" spans="26:26" x14ac:dyDescent="0.2">
      <c r="Z5600" t="str">
        <f t="shared" si="87"/>
        <v/>
      </c>
    </row>
    <row r="5601" spans="26:26" x14ac:dyDescent="0.2">
      <c r="Z5601" t="str">
        <f t="shared" si="87"/>
        <v/>
      </c>
    </row>
    <row r="5602" spans="26:26" x14ac:dyDescent="0.2">
      <c r="Z5602" t="str">
        <f t="shared" si="87"/>
        <v/>
      </c>
    </row>
    <row r="5603" spans="26:26" x14ac:dyDescent="0.2">
      <c r="Z5603" t="str">
        <f t="shared" si="87"/>
        <v/>
      </c>
    </row>
    <row r="5604" spans="26:26" x14ac:dyDescent="0.2">
      <c r="Z5604" t="str">
        <f t="shared" si="87"/>
        <v/>
      </c>
    </row>
    <row r="5605" spans="26:26" x14ac:dyDescent="0.2">
      <c r="Z5605" t="str">
        <f t="shared" si="87"/>
        <v/>
      </c>
    </row>
    <row r="5606" spans="26:26" x14ac:dyDescent="0.2">
      <c r="Z5606" t="str">
        <f t="shared" si="87"/>
        <v/>
      </c>
    </row>
    <row r="5607" spans="26:26" x14ac:dyDescent="0.2">
      <c r="Z5607" t="str">
        <f t="shared" si="87"/>
        <v/>
      </c>
    </row>
    <row r="5608" spans="26:26" x14ac:dyDescent="0.2">
      <c r="Z5608" t="str">
        <f t="shared" si="87"/>
        <v/>
      </c>
    </row>
    <row r="5609" spans="26:26" x14ac:dyDescent="0.2">
      <c r="Z5609" t="str">
        <f t="shared" si="87"/>
        <v/>
      </c>
    </row>
    <row r="5610" spans="26:26" x14ac:dyDescent="0.2">
      <c r="Z5610" t="str">
        <f t="shared" si="87"/>
        <v/>
      </c>
    </row>
    <row r="5611" spans="26:26" x14ac:dyDescent="0.2">
      <c r="Z5611" t="str">
        <f t="shared" si="87"/>
        <v/>
      </c>
    </row>
    <row r="5612" spans="26:26" x14ac:dyDescent="0.2">
      <c r="Z5612" t="str">
        <f t="shared" si="87"/>
        <v/>
      </c>
    </row>
    <row r="5613" spans="26:26" x14ac:dyDescent="0.2">
      <c r="Z5613" t="str">
        <f t="shared" si="87"/>
        <v/>
      </c>
    </row>
    <row r="5614" spans="26:26" x14ac:dyDescent="0.2">
      <c r="Z5614" t="str">
        <f t="shared" si="87"/>
        <v/>
      </c>
    </row>
    <row r="5615" spans="26:26" x14ac:dyDescent="0.2">
      <c r="Z5615" t="str">
        <f t="shared" si="87"/>
        <v/>
      </c>
    </row>
    <row r="5616" spans="26:26" x14ac:dyDescent="0.2">
      <c r="Z5616" t="str">
        <f t="shared" si="87"/>
        <v/>
      </c>
    </row>
    <row r="5617" spans="26:26" x14ac:dyDescent="0.2">
      <c r="Z5617" t="str">
        <f t="shared" si="87"/>
        <v/>
      </c>
    </row>
    <row r="5618" spans="26:26" x14ac:dyDescent="0.2">
      <c r="Z5618" t="str">
        <f t="shared" si="87"/>
        <v/>
      </c>
    </row>
    <row r="5619" spans="26:26" x14ac:dyDescent="0.2">
      <c r="Z5619" t="str">
        <f t="shared" si="87"/>
        <v/>
      </c>
    </row>
    <row r="5620" spans="26:26" x14ac:dyDescent="0.2">
      <c r="Z5620" t="str">
        <f t="shared" si="87"/>
        <v/>
      </c>
    </row>
    <row r="5621" spans="26:26" x14ac:dyDescent="0.2">
      <c r="Z5621" t="str">
        <f t="shared" si="87"/>
        <v/>
      </c>
    </row>
    <row r="5622" spans="26:26" x14ac:dyDescent="0.2">
      <c r="Z5622" t="str">
        <f t="shared" si="87"/>
        <v/>
      </c>
    </row>
    <row r="5623" spans="26:26" x14ac:dyDescent="0.2">
      <c r="Z5623" t="str">
        <f t="shared" si="87"/>
        <v/>
      </c>
    </row>
    <row r="5624" spans="26:26" x14ac:dyDescent="0.2">
      <c r="Z5624" t="str">
        <f t="shared" si="87"/>
        <v/>
      </c>
    </row>
    <row r="5625" spans="26:26" x14ac:dyDescent="0.2">
      <c r="Z5625" t="str">
        <f t="shared" si="87"/>
        <v/>
      </c>
    </row>
    <row r="5626" spans="26:26" x14ac:dyDescent="0.2">
      <c r="Z5626" t="str">
        <f t="shared" si="87"/>
        <v/>
      </c>
    </row>
    <row r="5627" spans="26:26" x14ac:dyDescent="0.2">
      <c r="Z5627" t="str">
        <f t="shared" si="87"/>
        <v/>
      </c>
    </row>
    <row r="5628" spans="26:26" x14ac:dyDescent="0.2">
      <c r="Z5628" t="str">
        <f t="shared" si="87"/>
        <v/>
      </c>
    </row>
    <row r="5629" spans="26:26" x14ac:dyDescent="0.2">
      <c r="Z5629" t="str">
        <f t="shared" si="87"/>
        <v/>
      </c>
    </row>
    <row r="5630" spans="26:26" x14ac:dyDescent="0.2">
      <c r="Z5630" t="str">
        <f t="shared" si="87"/>
        <v/>
      </c>
    </row>
    <row r="5631" spans="26:26" x14ac:dyDescent="0.2">
      <c r="Z5631" t="str">
        <f t="shared" si="87"/>
        <v/>
      </c>
    </row>
    <row r="5632" spans="26:26" x14ac:dyDescent="0.2">
      <c r="Z5632" t="str">
        <f t="shared" si="87"/>
        <v/>
      </c>
    </row>
    <row r="5633" spans="26:26" x14ac:dyDescent="0.2">
      <c r="Z5633" t="str">
        <f t="shared" si="87"/>
        <v/>
      </c>
    </row>
    <row r="5634" spans="26:26" x14ac:dyDescent="0.2">
      <c r="Z5634" t="str">
        <f t="shared" si="87"/>
        <v/>
      </c>
    </row>
    <row r="5635" spans="26:26" x14ac:dyDescent="0.2">
      <c r="Z5635" t="str">
        <f t="shared" ref="Z5635:Z5698" si="88">IF(K5635="","",IFERROR(VALUE(TRIM(MID(K5635,FIND(CHAR(167),SUBSTITUTE(K5635,"-",CHAR(167),LEN(K5635)-LEN(SUBSTITUTE(K5635,"-",""))))+1,100))),K5635))</f>
        <v/>
      </c>
    </row>
    <row r="5636" spans="26:26" x14ac:dyDescent="0.2">
      <c r="Z5636" t="str">
        <f t="shared" si="88"/>
        <v/>
      </c>
    </row>
    <row r="5637" spans="26:26" x14ac:dyDescent="0.2">
      <c r="Z5637" t="str">
        <f t="shared" si="88"/>
        <v/>
      </c>
    </row>
    <row r="5638" spans="26:26" x14ac:dyDescent="0.2">
      <c r="Z5638" t="str">
        <f t="shared" si="88"/>
        <v/>
      </c>
    </row>
    <row r="5639" spans="26:26" x14ac:dyDescent="0.2">
      <c r="Z5639" t="str">
        <f t="shared" si="88"/>
        <v/>
      </c>
    </row>
    <row r="5640" spans="26:26" x14ac:dyDescent="0.2">
      <c r="Z5640" t="str">
        <f t="shared" si="88"/>
        <v/>
      </c>
    </row>
    <row r="5641" spans="26:26" x14ac:dyDescent="0.2">
      <c r="Z5641" t="str">
        <f t="shared" si="88"/>
        <v/>
      </c>
    </row>
    <row r="5642" spans="26:26" x14ac:dyDescent="0.2">
      <c r="Z5642" t="str">
        <f t="shared" si="88"/>
        <v/>
      </c>
    </row>
    <row r="5643" spans="26:26" x14ac:dyDescent="0.2">
      <c r="Z5643" t="str">
        <f t="shared" si="88"/>
        <v/>
      </c>
    </row>
    <row r="5644" spans="26:26" x14ac:dyDescent="0.2">
      <c r="Z5644" t="str">
        <f t="shared" si="88"/>
        <v/>
      </c>
    </row>
    <row r="5645" spans="26:26" x14ac:dyDescent="0.2">
      <c r="Z5645" t="str">
        <f t="shared" si="88"/>
        <v/>
      </c>
    </row>
    <row r="5646" spans="26:26" x14ac:dyDescent="0.2">
      <c r="Z5646" t="str">
        <f t="shared" si="88"/>
        <v/>
      </c>
    </row>
    <row r="5647" spans="26:26" x14ac:dyDescent="0.2">
      <c r="Z5647" t="str">
        <f t="shared" si="88"/>
        <v/>
      </c>
    </row>
    <row r="5648" spans="26:26" x14ac:dyDescent="0.2">
      <c r="Z5648" t="str">
        <f t="shared" si="88"/>
        <v/>
      </c>
    </row>
    <row r="5649" spans="26:26" x14ac:dyDescent="0.2">
      <c r="Z5649" t="str">
        <f t="shared" si="88"/>
        <v/>
      </c>
    </row>
    <row r="5650" spans="26:26" x14ac:dyDescent="0.2">
      <c r="Z5650" t="str">
        <f t="shared" si="88"/>
        <v/>
      </c>
    </row>
    <row r="5651" spans="26:26" x14ac:dyDescent="0.2">
      <c r="Z5651" t="str">
        <f t="shared" si="88"/>
        <v/>
      </c>
    </row>
    <row r="5652" spans="26:26" x14ac:dyDescent="0.2">
      <c r="Z5652" t="str">
        <f t="shared" si="88"/>
        <v/>
      </c>
    </row>
    <row r="5653" spans="26:26" x14ac:dyDescent="0.2">
      <c r="Z5653" t="str">
        <f t="shared" si="88"/>
        <v/>
      </c>
    </row>
    <row r="5654" spans="26:26" x14ac:dyDescent="0.2">
      <c r="Z5654" t="str">
        <f t="shared" si="88"/>
        <v/>
      </c>
    </row>
    <row r="5655" spans="26:26" x14ac:dyDescent="0.2">
      <c r="Z5655" t="str">
        <f t="shared" si="88"/>
        <v/>
      </c>
    </row>
    <row r="5656" spans="26:26" x14ac:dyDescent="0.2">
      <c r="Z5656" t="str">
        <f t="shared" si="88"/>
        <v/>
      </c>
    </row>
    <row r="5657" spans="26:26" x14ac:dyDescent="0.2">
      <c r="Z5657" t="str">
        <f t="shared" si="88"/>
        <v/>
      </c>
    </row>
    <row r="5658" spans="26:26" x14ac:dyDescent="0.2">
      <c r="Z5658" t="str">
        <f t="shared" si="88"/>
        <v/>
      </c>
    </row>
    <row r="5659" spans="26:26" x14ac:dyDescent="0.2">
      <c r="Z5659" t="str">
        <f t="shared" si="88"/>
        <v/>
      </c>
    </row>
    <row r="5660" spans="26:26" x14ac:dyDescent="0.2">
      <c r="Z5660" t="str">
        <f t="shared" si="88"/>
        <v/>
      </c>
    </row>
    <row r="5661" spans="26:26" x14ac:dyDescent="0.2">
      <c r="Z5661" t="str">
        <f t="shared" si="88"/>
        <v/>
      </c>
    </row>
    <row r="5662" spans="26:26" x14ac:dyDescent="0.2">
      <c r="Z5662" t="str">
        <f t="shared" si="88"/>
        <v/>
      </c>
    </row>
    <row r="5663" spans="26:26" x14ac:dyDescent="0.2">
      <c r="Z5663" t="str">
        <f t="shared" si="88"/>
        <v/>
      </c>
    </row>
    <row r="5664" spans="26:26" x14ac:dyDescent="0.2">
      <c r="Z5664" t="str">
        <f t="shared" si="88"/>
        <v/>
      </c>
    </row>
    <row r="5665" spans="26:26" x14ac:dyDescent="0.2">
      <c r="Z5665" t="str">
        <f t="shared" si="88"/>
        <v/>
      </c>
    </row>
    <row r="5666" spans="26:26" x14ac:dyDescent="0.2">
      <c r="Z5666" t="str">
        <f t="shared" si="88"/>
        <v/>
      </c>
    </row>
    <row r="5667" spans="26:26" x14ac:dyDescent="0.2">
      <c r="Z5667" t="str">
        <f t="shared" si="88"/>
        <v/>
      </c>
    </row>
    <row r="5668" spans="26:26" x14ac:dyDescent="0.2">
      <c r="Z5668" t="str">
        <f t="shared" si="88"/>
        <v/>
      </c>
    </row>
    <row r="5669" spans="26:26" x14ac:dyDescent="0.2">
      <c r="Z5669" t="str">
        <f t="shared" si="88"/>
        <v/>
      </c>
    </row>
    <row r="5670" spans="26:26" x14ac:dyDescent="0.2">
      <c r="Z5670" t="str">
        <f t="shared" si="88"/>
        <v/>
      </c>
    </row>
    <row r="5671" spans="26:26" x14ac:dyDescent="0.2">
      <c r="Z5671" t="str">
        <f t="shared" si="88"/>
        <v/>
      </c>
    </row>
    <row r="5672" spans="26:26" x14ac:dyDescent="0.2">
      <c r="Z5672" t="str">
        <f t="shared" si="88"/>
        <v/>
      </c>
    </row>
    <row r="5673" spans="26:26" x14ac:dyDescent="0.2">
      <c r="Z5673" t="str">
        <f t="shared" si="88"/>
        <v/>
      </c>
    </row>
    <row r="5674" spans="26:26" x14ac:dyDescent="0.2">
      <c r="Z5674" t="str">
        <f t="shared" si="88"/>
        <v/>
      </c>
    </row>
    <row r="5675" spans="26:26" x14ac:dyDescent="0.2">
      <c r="Z5675" t="str">
        <f t="shared" si="88"/>
        <v/>
      </c>
    </row>
    <row r="5676" spans="26:26" x14ac:dyDescent="0.2">
      <c r="Z5676" t="str">
        <f t="shared" si="88"/>
        <v/>
      </c>
    </row>
    <row r="5677" spans="26:26" x14ac:dyDescent="0.2">
      <c r="Z5677" t="str">
        <f t="shared" si="88"/>
        <v/>
      </c>
    </row>
    <row r="5678" spans="26:26" x14ac:dyDescent="0.2">
      <c r="Z5678" t="str">
        <f t="shared" si="88"/>
        <v/>
      </c>
    </row>
    <row r="5679" spans="26:26" x14ac:dyDescent="0.2">
      <c r="Z5679" t="str">
        <f t="shared" si="88"/>
        <v/>
      </c>
    </row>
    <row r="5680" spans="26:26" x14ac:dyDescent="0.2">
      <c r="Z5680" t="str">
        <f t="shared" si="88"/>
        <v/>
      </c>
    </row>
    <row r="5681" spans="26:26" x14ac:dyDescent="0.2">
      <c r="Z5681" t="str">
        <f t="shared" si="88"/>
        <v/>
      </c>
    </row>
    <row r="5682" spans="26:26" x14ac:dyDescent="0.2">
      <c r="Z5682" t="str">
        <f t="shared" si="88"/>
        <v/>
      </c>
    </row>
    <row r="5683" spans="26:26" x14ac:dyDescent="0.2">
      <c r="Z5683" t="str">
        <f t="shared" si="88"/>
        <v/>
      </c>
    </row>
    <row r="5684" spans="26:26" x14ac:dyDescent="0.2">
      <c r="Z5684" t="str">
        <f t="shared" si="88"/>
        <v/>
      </c>
    </row>
    <row r="5685" spans="26:26" x14ac:dyDescent="0.2">
      <c r="Z5685" t="str">
        <f t="shared" si="88"/>
        <v/>
      </c>
    </row>
    <row r="5686" spans="26:26" x14ac:dyDescent="0.2">
      <c r="Z5686" t="str">
        <f t="shared" si="88"/>
        <v/>
      </c>
    </row>
    <row r="5687" spans="26:26" x14ac:dyDescent="0.2">
      <c r="Z5687" t="str">
        <f t="shared" si="88"/>
        <v/>
      </c>
    </row>
    <row r="5688" spans="26:26" x14ac:dyDescent="0.2">
      <c r="Z5688" t="str">
        <f t="shared" si="88"/>
        <v/>
      </c>
    </row>
    <row r="5689" spans="26:26" x14ac:dyDescent="0.2">
      <c r="Z5689" t="str">
        <f t="shared" si="88"/>
        <v/>
      </c>
    </row>
    <row r="5690" spans="26:26" x14ac:dyDescent="0.2">
      <c r="Z5690" t="str">
        <f t="shared" si="88"/>
        <v/>
      </c>
    </row>
    <row r="5691" spans="26:26" x14ac:dyDescent="0.2">
      <c r="Z5691" t="str">
        <f t="shared" si="88"/>
        <v/>
      </c>
    </row>
    <row r="5692" spans="26:26" x14ac:dyDescent="0.2">
      <c r="Z5692" t="str">
        <f t="shared" si="88"/>
        <v/>
      </c>
    </row>
    <row r="5693" spans="26:26" x14ac:dyDescent="0.2">
      <c r="Z5693" t="str">
        <f t="shared" si="88"/>
        <v/>
      </c>
    </row>
    <row r="5694" spans="26:26" x14ac:dyDescent="0.2">
      <c r="Z5694" t="str">
        <f t="shared" si="88"/>
        <v/>
      </c>
    </row>
    <row r="5695" spans="26:26" x14ac:dyDescent="0.2">
      <c r="Z5695" t="str">
        <f t="shared" si="88"/>
        <v/>
      </c>
    </row>
    <row r="5696" spans="26:26" x14ac:dyDescent="0.2">
      <c r="Z5696" t="str">
        <f t="shared" si="88"/>
        <v/>
      </c>
    </row>
    <row r="5697" spans="26:26" x14ac:dyDescent="0.2">
      <c r="Z5697" t="str">
        <f t="shared" si="88"/>
        <v/>
      </c>
    </row>
    <row r="5698" spans="26:26" x14ac:dyDescent="0.2">
      <c r="Z5698" t="str">
        <f t="shared" si="88"/>
        <v/>
      </c>
    </row>
    <row r="5699" spans="26:26" x14ac:dyDescent="0.2">
      <c r="Z5699" t="str">
        <f t="shared" ref="Z5699:Z5762" si="89">IF(K5699="","",IFERROR(VALUE(TRIM(MID(K5699,FIND(CHAR(167),SUBSTITUTE(K5699,"-",CHAR(167),LEN(K5699)-LEN(SUBSTITUTE(K5699,"-",""))))+1,100))),K5699))</f>
        <v/>
      </c>
    </row>
    <row r="5700" spans="26:26" x14ac:dyDescent="0.2">
      <c r="Z5700" t="str">
        <f t="shared" si="89"/>
        <v/>
      </c>
    </row>
    <row r="5701" spans="26:26" x14ac:dyDescent="0.2">
      <c r="Z5701" t="str">
        <f t="shared" si="89"/>
        <v/>
      </c>
    </row>
    <row r="5702" spans="26:26" x14ac:dyDescent="0.2">
      <c r="Z5702" t="str">
        <f t="shared" si="89"/>
        <v/>
      </c>
    </row>
    <row r="5703" spans="26:26" x14ac:dyDescent="0.2">
      <c r="Z5703" t="str">
        <f t="shared" si="89"/>
        <v/>
      </c>
    </row>
    <row r="5704" spans="26:26" x14ac:dyDescent="0.2">
      <c r="Z5704" t="str">
        <f t="shared" si="89"/>
        <v/>
      </c>
    </row>
    <row r="5705" spans="26:26" x14ac:dyDescent="0.2">
      <c r="Z5705" t="str">
        <f t="shared" si="89"/>
        <v/>
      </c>
    </row>
    <row r="5706" spans="26:26" x14ac:dyDescent="0.2">
      <c r="Z5706" t="str">
        <f t="shared" si="89"/>
        <v/>
      </c>
    </row>
    <row r="5707" spans="26:26" x14ac:dyDescent="0.2">
      <c r="Z5707" t="str">
        <f t="shared" si="89"/>
        <v/>
      </c>
    </row>
    <row r="5708" spans="26:26" x14ac:dyDescent="0.2">
      <c r="Z5708" t="str">
        <f t="shared" si="89"/>
        <v/>
      </c>
    </row>
    <row r="5709" spans="26:26" x14ac:dyDescent="0.2">
      <c r="Z5709" t="str">
        <f t="shared" si="89"/>
        <v/>
      </c>
    </row>
    <row r="5710" spans="26:26" x14ac:dyDescent="0.2">
      <c r="Z5710" t="str">
        <f t="shared" si="89"/>
        <v/>
      </c>
    </row>
    <row r="5711" spans="26:26" x14ac:dyDescent="0.2">
      <c r="Z5711" t="str">
        <f t="shared" si="89"/>
        <v/>
      </c>
    </row>
    <row r="5712" spans="26:26" x14ac:dyDescent="0.2">
      <c r="Z5712" t="str">
        <f t="shared" si="89"/>
        <v/>
      </c>
    </row>
    <row r="5713" spans="26:26" x14ac:dyDescent="0.2">
      <c r="Z5713" t="str">
        <f t="shared" si="89"/>
        <v/>
      </c>
    </row>
    <row r="5714" spans="26:26" x14ac:dyDescent="0.2">
      <c r="Z5714" t="str">
        <f t="shared" si="89"/>
        <v/>
      </c>
    </row>
    <row r="5715" spans="26:26" x14ac:dyDescent="0.2">
      <c r="Z5715" t="str">
        <f t="shared" si="89"/>
        <v/>
      </c>
    </row>
    <row r="5716" spans="26:26" x14ac:dyDescent="0.2">
      <c r="Z5716" t="str">
        <f t="shared" si="89"/>
        <v/>
      </c>
    </row>
    <row r="5717" spans="26:26" x14ac:dyDescent="0.2">
      <c r="Z5717" t="str">
        <f t="shared" si="89"/>
        <v/>
      </c>
    </row>
    <row r="5718" spans="26:26" x14ac:dyDescent="0.2">
      <c r="Z5718" t="str">
        <f t="shared" si="89"/>
        <v/>
      </c>
    </row>
    <row r="5719" spans="26:26" x14ac:dyDescent="0.2">
      <c r="Z5719" t="str">
        <f t="shared" si="89"/>
        <v/>
      </c>
    </row>
    <row r="5720" spans="26:26" x14ac:dyDescent="0.2">
      <c r="Z5720" t="str">
        <f t="shared" si="89"/>
        <v/>
      </c>
    </row>
    <row r="5721" spans="26:26" x14ac:dyDescent="0.2">
      <c r="Z5721" t="str">
        <f t="shared" si="89"/>
        <v/>
      </c>
    </row>
    <row r="5722" spans="26:26" x14ac:dyDescent="0.2">
      <c r="Z5722" t="str">
        <f t="shared" si="89"/>
        <v/>
      </c>
    </row>
    <row r="5723" spans="26:26" x14ac:dyDescent="0.2">
      <c r="Z5723" t="str">
        <f t="shared" si="89"/>
        <v/>
      </c>
    </row>
    <row r="5724" spans="26:26" x14ac:dyDescent="0.2">
      <c r="Z5724" t="str">
        <f t="shared" si="89"/>
        <v/>
      </c>
    </row>
    <row r="5725" spans="26:26" x14ac:dyDescent="0.2">
      <c r="Z5725" t="str">
        <f t="shared" si="89"/>
        <v/>
      </c>
    </row>
    <row r="5726" spans="26:26" x14ac:dyDescent="0.2">
      <c r="Z5726" t="str">
        <f t="shared" si="89"/>
        <v/>
      </c>
    </row>
    <row r="5727" spans="26:26" x14ac:dyDescent="0.2">
      <c r="Z5727" t="str">
        <f t="shared" si="89"/>
        <v/>
      </c>
    </row>
    <row r="5728" spans="26:26" x14ac:dyDescent="0.2">
      <c r="Z5728" t="str">
        <f t="shared" si="89"/>
        <v/>
      </c>
    </row>
    <row r="5729" spans="26:26" x14ac:dyDescent="0.2">
      <c r="Z5729" t="str">
        <f t="shared" si="89"/>
        <v/>
      </c>
    </row>
    <row r="5730" spans="26:26" x14ac:dyDescent="0.2">
      <c r="Z5730" t="str">
        <f t="shared" si="89"/>
        <v/>
      </c>
    </row>
    <row r="5731" spans="26:26" x14ac:dyDescent="0.2">
      <c r="Z5731" t="str">
        <f t="shared" si="89"/>
        <v/>
      </c>
    </row>
    <row r="5732" spans="26:26" x14ac:dyDescent="0.2">
      <c r="Z5732" t="str">
        <f t="shared" si="89"/>
        <v/>
      </c>
    </row>
    <row r="5733" spans="26:26" x14ac:dyDescent="0.2">
      <c r="Z5733" t="str">
        <f t="shared" si="89"/>
        <v/>
      </c>
    </row>
    <row r="5734" spans="26:26" x14ac:dyDescent="0.2">
      <c r="Z5734" t="str">
        <f t="shared" si="89"/>
        <v/>
      </c>
    </row>
    <row r="5735" spans="26:26" x14ac:dyDescent="0.2">
      <c r="Z5735" t="str">
        <f t="shared" si="89"/>
        <v/>
      </c>
    </row>
    <row r="5736" spans="26:26" x14ac:dyDescent="0.2">
      <c r="Z5736" t="str">
        <f t="shared" si="89"/>
        <v/>
      </c>
    </row>
    <row r="5737" spans="26:26" x14ac:dyDescent="0.2">
      <c r="Z5737" t="str">
        <f t="shared" si="89"/>
        <v/>
      </c>
    </row>
    <row r="5738" spans="26:26" x14ac:dyDescent="0.2">
      <c r="Z5738" t="str">
        <f t="shared" si="89"/>
        <v/>
      </c>
    </row>
    <row r="5739" spans="26:26" x14ac:dyDescent="0.2">
      <c r="Z5739" t="str">
        <f t="shared" si="89"/>
        <v/>
      </c>
    </row>
    <row r="5740" spans="26:26" x14ac:dyDescent="0.2">
      <c r="Z5740" t="str">
        <f t="shared" si="89"/>
        <v/>
      </c>
    </row>
    <row r="5741" spans="26:26" x14ac:dyDescent="0.2">
      <c r="Z5741" t="str">
        <f t="shared" si="89"/>
        <v/>
      </c>
    </row>
    <row r="5742" spans="26:26" x14ac:dyDescent="0.2">
      <c r="Z5742" t="str">
        <f t="shared" si="89"/>
        <v/>
      </c>
    </row>
    <row r="5743" spans="26:26" x14ac:dyDescent="0.2">
      <c r="Z5743" t="str">
        <f t="shared" si="89"/>
        <v/>
      </c>
    </row>
    <row r="5744" spans="26:26" x14ac:dyDescent="0.2">
      <c r="Z5744" t="str">
        <f t="shared" si="89"/>
        <v/>
      </c>
    </row>
    <row r="5745" spans="26:26" x14ac:dyDescent="0.2">
      <c r="Z5745" t="str">
        <f t="shared" si="89"/>
        <v/>
      </c>
    </row>
    <row r="5746" spans="26:26" x14ac:dyDescent="0.2">
      <c r="Z5746" t="str">
        <f t="shared" si="89"/>
        <v/>
      </c>
    </row>
    <row r="5747" spans="26:26" x14ac:dyDescent="0.2">
      <c r="Z5747" t="str">
        <f t="shared" si="89"/>
        <v/>
      </c>
    </row>
    <row r="5748" spans="26:26" x14ac:dyDescent="0.2">
      <c r="Z5748" t="str">
        <f t="shared" si="89"/>
        <v/>
      </c>
    </row>
    <row r="5749" spans="26:26" x14ac:dyDescent="0.2">
      <c r="Z5749" t="str">
        <f t="shared" si="89"/>
        <v/>
      </c>
    </row>
    <row r="5750" spans="26:26" x14ac:dyDescent="0.2">
      <c r="Z5750" t="str">
        <f t="shared" si="89"/>
        <v/>
      </c>
    </row>
    <row r="5751" spans="26:26" x14ac:dyDescent="0.2">
      <c r="Z5751" t="str">
        <f t="shared" si="89"/>
        <v/>
      </c>
    </row>
    <row r="5752" spans="26:26" x14ac:dyDescent="0.2">
      <c r="Z5752" t="str">
        <f t="shared" si="89"/>
        <v/>
      </c>
    </row>
    <row r="5753" spans="26:26" x14ac:dyDescent="0.2">
      <c r="Z5753" t="str">
        <f t="shared" si="89"/>
        <v/>
      </c>
    </row>
    <row r="5754" spans="26:26" x14ac:dyDescent="0.2">
      <c r="Z5754" t="str">
        <f t="shared" si="89"/>
        <v/>
      </c>
    </row>
    <row r="5755" spans="26:26" x14ac:dyDescent="0.2">
      <c r="Z5755" t="str">
        <f t="shared" si="89"/>
        <v/>
      </c>
    </row>
    <row r="5756" spans="26:26" x14ac:dyDescent="0.2">
      <c r="Z5756" t="str">
        <f t="shared" si="89"/>
        <v/>
      </c>
    </row>
    <row r="5757" spans="26:26" x14ac:dyDescent="0.2">
      <c r="Z5757" t="str">
        <f t="shared" si="89"/>
        <v/>
      </c>
    </row>
    <row r="5758" spans="26:26" x14ac:dyDescent="0.2">
      <c r="Z5758" t="str">
        <f t="shared" si="89"/>
        <v/>
      </c>
    </row>
    <row r="5759" spans="26:26" x14ac:dyDescent="0.2">
      <c r="Z5759" t="str">
        <f t="shared" si="89"/>
        <v/>
      </c>
    </row>
    <row r="5760" spans="26:26" x14ac:dyDescent="0.2">
      <c r="Z5760" t="str">
        <f t="shared" si="89"/>
        <v/>
      </c>
    </row>
    <row r="5761" spans="26:26" x14ac:dyDescent="0.2">
      <c r="Z5761" t="str">
        <f t="shared" si="89"/>
        <v/>
      </c>
    </row>
    <row r="5762" spans="26:26" x14ac:dyDescent="0.2">
      <c r="Z5762" t="str">
        <f t="shared" si="89"/>
        <v/>
      </c>
    </row>
    <row r="5763" spans="26:26" x14ac:dyDescent="0.2">
      <c r="Z5763" t="str">
        <f t="shared" ref="Z5763:Z5826" si="90">IF(K5763="","",IFERROR(VALUE(TRIM(MID(K5763,FIND(CHAR(167),SUBSTITUTE(K5763,"-",CHAR(167),LEN(K5763)-LEN(SUBSTITUTE(K5763,"-",""))))+1,100))),K5763))</f>
        <v/>
      </c>
    </row>
    <row r="5764" spans="26:26" x14ac:dyDescent="0.2">
      <c r="Z5764" t="str">
        <f t="shared" si="90"/>
        <v/>
      </c>
    </row>
    <row r="5765" spans="26:26" x14ac:dyDescent="0.2">
      <c r="Z5765" t="str">
        <f t="shared" si="90"/>
        <v/>
      </c>
    </row>
    <row r="5766" spans="26:26" x14ac:dyDescent="0.2">
      <c r="Z5766" t="str">
        <f t="shared" si="90"/>
        <v/>
      </c>
    </row>
    <row r="5767" spans="26:26" x14ac:dyDescent="0.2">
      <c r="Z5767" t="str">
        <f t="shared" si="90"/>
        <v/>
      </c>
    </row>
    <row r="5768" spans="26:26" x14ac:dyDescent="0.2">
      <c r="Z5768" t="str">
        <f t="shared" si="90"/>
        <v/>
      </c>
    </row>
    <row r="5769" spans="26:26" x14ac:dyDescent="0.2">
      <c r="Z5769" t="str">
        <f t="shared" si="90"/>
        <v/>
      </c>
    </row>
    <row r="5770" spans="26:26" x14ac:dyDescent="0.2">
      <c r="Z5770" t="str">
        <f t="shared" si="90"/>
        <v/>
      </c>
    </row>
    <row r="5771" spans="26:26" x14ac:dyDescent="0.2">
      <c r="Z5771" t="str">
        <f t="shared" si="90"/>
        <v/>
      </c>
    </row>
    <row r="5772" spans="26:26" x14ac:dyDescent="0.2">
      <c r="Z5772" t="str">
        <f t="shared" si="90"/>
        <v/>
      </c>
    </row>
    <row r="5773" spans="26:26" x14ac:dyDescent="0.2">
      <c r="Z5773" t="str">
        <f t="shared" si="90"/>
        <v/>
      </c>
    </row>
    <row r="5774" spans="26:26" x14ac:dyDescent="0.2">
      <c r="Z5774" t="str">
        <f t="shared" si="90"/>
        <v/>
      </c>
    </row>
    <row r="5775" spans="26:26" x14ac:dyDescent="0.2">
      <c r="Z5775" t="str">
        <f t="shared" si="90"/>
        <v/>
      </c>
    </row>
    <row r="5776" spans="26:26" x14ac:dyDescent="0.2">
      <c r="Z5776" t="str">
        <f t="shared" si="90"/>
        <v/>
      </c>
    </row>
    <row r="5777" spans="26:26" x14ac:dyDescent="0.2">
      <c r="Z5777" t="str">
        <f t="shared" si="90"/>
        <v/>
      </c>
    </row>
    <row r="5778" spans="26:26" x14ac:dyDescent="0.2">
      <c r="Z5778" t="str">
        <f t="shared" si="90"/>
        <v/>
      </c>
    </row>
    <row r="5779" spans="26:26" x14ac:dyDescent="0.2">
      <c r="Z5779" t="str">
        <f t="shared" si="90"/>
        <v/>
      </c>
    </row>
    <row r="5780" spans="26:26" x14ac:dyDescent="0.2">
      <c r="Z5780" t="str">
        <f t="shared" si="90"/>
        <v/>
      </c>
    </row>
    <row r="5781" spans="26:26" x14ac:dyDescent="0.2">
      <c r="Z5781" t="str">
        <f t="shared" si="90"/>
        <v/>
      </c>
    </row>
    <row r="5782" spans="26:26" x14ac:dyDescent="0.2">
      <c r="Z5782" t="str">
        <f t="shared" si="90"/>
        <v/>
      </c>
    </row>
    <row r="5783" spans="26:26" x14ac:dyDescent="0.2">
      <c r="Z5783" t="str">
        <f t="shared" si="90"/>
        <v/>
      </c>
    </row>
    <row r="5784" spans="26:26" x14ac:dyDescent="0.2">
      <c r="Z5784" t="str">
        <f t="shared" si="90"/>
        <v/>
      </c>
    </row>
    <row r="5785" spans="26:26" x14ac:dyDescent="0.2">
      <c r="Z5785" t="str">
        <f t="shared" si="90"/>
        <v/>
      </c>
    </row>
    <row r="5786" spans="26:26" x14ac:dyDescent="0.2">
      <c r="Z5786" t="str">
        <f t="shared" si="90"/>
        <v/>
      </c>
    </row>
    <row r="5787" spans="26:26" x14ac:dyDescent="0.2">
      <c r="Z5787" t="str">
        <f t="shared" si="90"/>
        <v/>
      </c>
    </row>
    <row r="5788" spans="26:26" x14ac:dyDescent="0.2">
      <c r="Z5788" t="str">
        <f t="shared" si="90"/>
        <v/>
      </c>
    </row>
    <row r="5789" spans="26:26" x14ac:dyDescent="0.2">
      <c r="Z5789" t="str">
        <f t="shared" si="90"/>
        <v/>
      </c>
    </row>
    <row r="5790" spans="26:26" x14ac:dyDescent="0.2">
      <c r="Z5790" t="str">
        <f t="shared" si="90"/>
        <v/>
      </c>
    </row>
    <row r="5791" spans="26:26" x14ac:dyDescent="0.2">
      <c r="Z5791" t="str">
        <f t="shared" si="90"/>
        <v/>
      </c>
    </row>
    <row r="5792" spans="26:26" x14ac:dyDescent="0.2">
      <c r="Z5792" t="str">
        <f t="shared" si="90"/>
        <v/>
      </c>
    </row>
    <row r="5793" spans="26:26" x14ac:dyDescent="0.2">
      <c r="Z5793" t="str">
        <f t="shared" si="90"/>
        <v/>
      </c>
    </row>
    <row r="5794" spans="26:26" x14ac:dyDescent="0.2">
      <c r="Z5794" t="str">
        <f t="shared" si="90"/>
        <v/>
      </c>
    </row>
    <row r="5795" spans="26:26" x14ac:dyDescent="0.2">
      <c r="Z5795" t="str">
        <f t="shared" si="90"/>
        <v/>
      </c>
    </row>
    <row r="5796" spans="26:26" x14ac:dyDescent="0.2">
      <c r="Z5796" t="str">
        <f t="shared" si="90"/>
        <v/>
      </c>
    </row>
    <row r="5797" spans="26:26" x14ac:dyDescent="0.2">
      <c r="Z5797" t="str">
        <f t="shared" si="90"/>
        <v/>
      </c>
    </row>
    <row r="5798" spans="26:26" x14ac:dyDescent="0.2">
      <c r="Z5798" t="str">
        <f t="shared" si="90"/>
        <v/>
      </c>
    </row>
    <row r="5799" spans="26:26" x14ac:dyDescent="0.2">
      <c r="Z5799" t="str">
        <f t="shared" si="90"/>
        <v/>
      </c>
    </row>
    <row r="5800" spans="26:26" x14ac:dyDescent="0.2">
      <c r="Z5800" t="str">
        <f t="shared" si="90"/>
        <v/>
      </c>
    </row>
    <row r="5801" spans="26:26" x14ac:dyDescent="0.2">
      <c r="Z5801" t="str">
        <f t="shared" si="90"/>
        <v/>
      </c>
    </row>
    <row r="5802" spans="26:26" x14ac:dyDescent="0.2">
      <c r="Z5802" t="str">
        <f t="shared" si="90"/>
        <v/>
      </c>
    </row>
    <row r="5803" spans="26:26" x14ac:dyDescent="0.2">
      <c r="Z5803" t="str">
        <f t="shared" si="90"/>
        <v/>
      </c>
    </row>
    <row r="5804" spans="26:26" x14ac:dyDescent="0.2">
      <c r="Z5804" t="str">
        <f t="shared" si="90"/>
        <v/>
      </c>
    </row>
    <row r="5805" spans="26:26" x14ac:dyDescent="0.2">
      <c r="Z5805" t="str">
        <f t="shared" si="90"/>
        <v/>
      </c>
    </row>
    <row r="5806" spans="26:26" x14ac:dyDescent="0.2">
      <c r="Z5806" t="str">
        <f t="shared" si="90"/>
        <v/>
      </c>
    </row>
    <row r="5807" spans="26:26" x14ac:dyDescent="0.2">
      <c r="Z5807" t="str">
        <f t="shared" si="90"/>
        <v/>
      </c>
    </row>
    <row r="5808" spans="26:26" x14ac:dyDescent="0.2">
      <c r="Z5808" t="str">
        <f t="shared" si="90"/>
        <v/>
      </c>
    </row>
    <row r="5809" spans="26:26" x14ac:dyDescent="0.2">
      <c r="Z5809" t="str">
        <f t="shared" si="90"/>
        <v/>
      </c>
    </row>
    <row r="5810" spans="26:26" x14ac:dyDescent="0.2">
      <c r="Z5810" t="str">
        <f t="shared" si="90"/>
        <v/>
      </c>
    </row>
    <row r="5811" spans="26:26" x14ac:dyDescent="0.2">
      <c r="Z5811" t="str">
        <f t="shared" si="90"/>
        <v/>
      </c>
    </row>
    <row r="5812" spans="26:26" x14ac:dyDescent="0.2">
      <c r="Z5812" t="str">
        <f t="shared" si="90"/>
        <v/>
      </c>
    </row>
    <row r="5813" spans="26:26" x14ac:dyDescent="0.2">
      <c r="Z5813" t="str">
        <f t="shared" si="90"/>
        <v/>
      </c>
    </row>
    <row r="5814" spans="26:26" x14ac:dyDescent="0.2">
      <c r="Z5814" t="str">
        <f t="shared" si="90"/>
        <v/>
      </c>
    </row>
    <row r="5815" spans="26:26" x14ac:dyDescent="0.2">
      <c r="Z5815" t="str">
        <f t="shared" si="90"/>
        <v/>
      </c>
    </row>
    <row r="5816" spans="26:26" x14ac:dyDescent="0.2">
      <c r="Z5816" t="str">
        <f t="shared" si="90"/>
        <v/>
      </c>
    </row>
    <row r="5817" spans="26:26" x14ac:dyDescent="0.2">
      <c r="Z5817" t="str">
        <f t="shared" si="90"/>
        <v/>
      </c>
    </row>
    <row r="5818" spans="26:26" x14ac:dyDescent="0.2">
      <c r="Z5818" t="str">
        <f t="shared" si="90"/>
        <v/>
      </c>
    </row>
    <row r="5819" spans="26:26" x14ac:dyDescent="0.2">
      <c r="Z5819" t="str">
        <f t="shared" si="90"/>
        <v/>
      </c>
    </row>
    <row r="5820" spans="26:26" x14ac:dyDescent="0.2">
      <c r="Z5820" t="str">
        <f t="shared" si="90"/>
        <v/>
      </c>
    </row>
    <row r="5821" spans="26:26" x14ac:dyDescent="0.2">
      <c r="Z5821" t="str">
        <f t="shared" si="90"/>
        <v/>
      </c>
    </row>
    <row r="5822" spans="26:26" x14ac:dyDescent="0.2">
      <c r="Z5822" t="str">
        <f t="shared" si="90"/>
        <v/>
      </c>
    </row>
    <row r="5823" spans="26:26" x14ac:dyDescent="0.2">
      <c r="Z5823" t="str">
        <f t="shared" si="90"/>
        <v/>
      </c>
    </row>
    <row r="5824" spans="26:26" x14ac:dyDescent="0.2">
      <c r="Z5824" t="str">
        <f t="shared" si="90"/>
        <v/>
      </c>
    </row>
    <row r="5825" spans="26:26" x14ac:dyDescent="0.2">
      <c r="Z5825" t="str">
        <f t="shared" si="90"/>
        <v/>
      </c>
    </row>
    <row r="5826" spans="26:26" x14ac:dyDescent="0.2">
      <c r="Z5826" t="str">
        <f t="shared" si="90"/>
        <v/>
      </c>
    </row>
    <row r="5827" spans="26:26" x14ac:dyDescent="0.2">
      <c r="Z5827" t="str">
        <f t="shared" ref="Z5827:Z5890" si="91">IF(K5827="","",IFERROR(VALUE(TRIM(MID(K5827,FIND(CHAR(167),SUBSTITUTE(K5827,"-",CHAR(167),LEN(K5827)-LEN(SUBSTITUTE(K5827,"-",""))))+1,100))),K5827))</f>
        <v/>
      </c>
    </row>
    <row r="5828" spans="26:26" x14ac:dyDescent="0.2">
      <c r="Z5828" t="str">
        <f t="shared" si="91"/>
        <v/>
      </c>
    </row>
    <row r="5829" spans="26:26" x14ac:dyDescent="0.2">
      <c r="Z5829" t="str">
        <f t="shared" si="91"/>
        <v/>
      </c>
    </row>
    <row r="5830" spans="26:26" x14ac:dyDescent="0.2">
      <c r="Z5830" t="str">
        <f t="shared" si="91"/>
        <v/>
      </c>
    </row>
    <row r="5831" spans="26:26" x14ac:dyDescent="0.2">
      <c r="Z5831" t="str">
        <f t="shared" si="91"/>
        <v/>
      </c>
    </row>
    <row r="5832" spans="26:26" x14ac:dyDescent="0.2">
      <c r="Z5832" t="str">
        <f t="shared" si="91"/>
        <v/>
      </c>
    </row>
    <row r="5833" spans="26:26" x14ac:dyDescent="0.2">
      <c r="Z5833" t="str">
        <f t="shared" si="91"/>
        <v/>
      </c>
    </row>
    <row r="5834" spans="26:26" x14ac:dyDescent="0.2">
      <c r="Z5834" t="str">
        <f t="shared" si="91"/>
        <v/>
      </c>
    </row>
    <row r="5835" spans="26:26" x14ac:dyDescent="0.2">
      <c r="Z5835" t="str">
        <f t="shared" si="91"/>
        <v/>
      </c>
    </row>
    <row r="5836" spans="26:26" x14ac:dyDescent="0.2">
      <c r="Z5836" t="str">
        <f t="shared" si="91"/>
        <v/>
      </c>
    </row>
    <row r="5837" spans="26:26" x14ac:dyDescent="0.2">
      <c r="Z5837" t="str">
        <f t="shared" si="91"/>
        <v/>
      </c>
    </row>
    <row r="5838" spans="26:26" x14ac:dyDescent="0.2">
      <c r="Z5838" t="str">
        <f t="shared" si="91"/>
        <v/>
      </c>
    </row>
    <row r="5839" spans="26:26" x14ac:dyDescent="0.2">
      <c r="Z5839" t="str">
        <f t="shared" si="91"/>
        <v/>
      </c>
    </row>
    <row r="5840" spans="26:26" x14ac:dyDescent="0.2">
      <c r="Z5840" t="str">
        <f t="shared" si="91"/>
        <v/>
      </c>
    </row>
    <row r="5841" spans="26:26" x14ac:dyDescent="0.2">
      <c r="Z5841" t="str">
        <f t="shared" si="91"/>
        <v/>
      </c>
    </row>
    <row r="5842" spans="26:26" x14ac:dyDescent="0.2">
      <c r="Z5842" t="str">
        <f t="shared" si="91"/>
        <v/>
      </c>
    </row>
    <row r="5843" spans="26:26" x14ac:dyDescent="0.2">
      <c r="Z5843" t="str">
        <f t="shared" si="91"/>
        <v/>
      </c>
    </row>
    <row r="5844" spans="26:26" x14ac:dyDescent="0.2">
      <c r="Z5844" t="str">
        <f t="shared" si="91"/>
        <v/>
      </c>
    </row>
    <row r="5845" spans="26:26" x14ac:dyDescent="0.2">
      <c r="Z5845" t="str">
        <f t="shared" si="91"/>
        <v/>
      </c>
    </row>
    <row r="5846" spans="26:26" x14ac:dyDescent="0.2">
      <c r="Z5846" t="str">
        <f t="shared" si="91"/>
        <v/>
      </c>
    </row>
    <row r="5847" spans="26:26" x14ac:dyDescent="0.2">
      <c r="Z5847" t="str">
        <f t="shared" si="91"/>
        <v/>
      </c>
    </row>
    <row r="5848" spans="26:26" x14ac:dyDescent="0.2">
      <c r="Z5848" t="str">
        <f t="shared" si="91"/>
        <v/>
      </c>
    </row>
    <row r="5849" spans="26:26" x14ac:dyDescent="0.2">
      <c r="Z5849" t="str">
        <f t="shared" si="91"/>
        <v/>
      </c>
    </row>
    <row r="5850" spans="26:26" x14ac:dyDescent="0.2">
      <c r="Z5850" t="str">
        <f t="shared" si="91"/>
        <v/>
      </c>
    </row>
    <row r="5851" spans="26:26" x14ac:dyDescent="0.2">
      <c r="Z5851" t="str">
        <f t="shared" si="91"/>
        <v/>
      </c>
    </row>
    <row r="5852" spans="26:26" x14ac:dyDescent="0.2">
      <c r="Z5852" t="str">
        <f t="shared" si="91"/>
        <v/>
      </c>
    </row>
    <row r="5853" spans="26:26" x14ac:dyDescent="0.2">
      <c r="Z5853" t="str">
        <f t="shared" si="91"/>
        <v/>
      </c>
    </row>
    <row r="5854" spans="26:26" x14ac:dyDescent="0.2">
      <c r="Z5854" t="str">
        <f t="shared" si="91"/>
        <v/>
      </c>
    </row>
    <row r="5855" spans="26:26" x14ac:dyDescent="0.2">
      <c r="Z5855" t="str">
        <f t="shared" si="91"/>
        <v/>
      </c>
    </row>
    <row r="5856" spans="26:26" x14ac:dyDescent="0.2">
      <c r="Z5856" t="str">
        <f t="shared" si="91"/>
        <v/>
      </c>
    </row>
    <row r="5857" spans="26:26" x14ac:dyDescent="0.2">
      <c r="Z5857" t="str">
        <f t="shared" si="91"/>
        <v/>
      </c>
    </row>
    <row r="5858" spans="26:26" x14ac:dyDescent="0.2">
      <c r="Z5858" t="str">
        <f t="shared" si="91"/>
        <v/>
      </c>
    </row>
    <row r="5859" spans="26:26" x14ac:dyDescent="0.2">
      <c r="Z5859" t="str">
        <f t="shared" si="91"/>
        <v/>
      </c>
    </row>
    <row r="5860" spans="26:26" x14ac:dyDescent="0.2">
      <c r="Z5860" t="str">
        <f t="shared" si="91"/>
        <v/>
      </c>
    </row>
    <row r="5861" spans="26:26" x14ac:dyDescent="0.2">
      <c r="Z5861" t="str">
        <f t="shared" si="91"/>
        <v/>
      </c>
    </row>
    <row r="5862" spans="26:26" x14ac:dyDescent="0.2">
      <c r="Z5862" t="str">
        <f t="shared" si="91"/>
        <v/>
      </c>
    </row>
    <row r="5863" spans="26:26" x14ac:dyDescent="0.2">
      <c r="Z5863" t="str">
        <f t="shared" si="91"/>
        <v/>
      </c>
    </row>
    <row r="5864" spans="26:26" x14ac:dyDescent="0.2">
      <c r="Z5864" t="str">
        <f t="shared" si="91"/>
        <v/>
      </c>
    </row>
    <row r="5865" spans="26:26" x14ac:dyDescent="0.2">
      <c r="Z5865" t="str">
        <f t="shared" si="91"/>
        <v/>
      </c>
    </row>
    <row r="5866" spans="26:26" x14ac:dyDescent="0.2">
      <c r="Z5866" t="str">
        <f t="shared" si="91"/>
        <v/>
      </c>
    </row>
    <row r="5867" spans="26:26" x14ac:dyDescent="0.2">
      <c r="Z5867" t="str">
        <f t="shared" si="91"/>
        <v/>
      </c>
    </row>
    <row r="5868" spans="26:26" x14ac:dyDescent="0.2">
      <c r="Z5868" t="str">
        <f t="shared" si="91"/>
        <v/>
      </c>
    </row>
    <row r="5869" spans="26:26" x14ac:dyDescent="0.2">
      <c r="Z5869" t="str">
        <f t="shared" si="91"/>
        <v/>
      </c>
    </row>
    <row r="5870" spans="26:26" x14ac:dyDescent="0.2">
      <c r="Z5870" t="str">
        <f t="shared" si="91"/>
        <v/>
      </c>
    </row>
    <row r="5871" spans="26:26" x14ac:dyDescent="0.2">
      <c r="Z5871" t="str">
        <f t="shared" si="91"/>
        <v/>
      </c>
    </row>
    <row r="5872" spans="26:26" x14ac:dyDescent="0.2">
      <c r="Z5872" t="str">
        <f t="shared" si="91"/>
        <v/>
      </c>
    </row>
    <row r="5873" spans="26:26" x14ac:dyDescent="0.2">
      <c r="Z5873" t="str">
        <f t="shared" si="91"/>
        <v/>
      </c>
    </row>
    <row r="5874" spans="26:26" x14ac:dyDescent="0.2">
      <c r="Z5874" t="str">
        <f t="shared" si="91"/>
        <v/>
      </c>
    </row>
    <row r="5875" spans="26:26" x14ac:dyDescent="0.2">
      <c r="Z5875" t="str">
        <f t="shared" si="91"/>
        <v/>
      </c>
    </row>
    <row r="5876" spans="26:26" x14ac:dyDescent="0.2">
      <c r="Z5876" t="str">
        <f t="shared" si="91"/>
        <v/>
      </c>
    </row>
    <row r="5877" spans="26:26" x14ac:dyDescent="0.2">
      <c r="Z5877" t="str">
        <f t="shared" si="91"/>
        <v/>
      </c>
    </row>
    <row r="5878" spans="26:26" x14ac:dyDescent="0.2">
      <c r="Z5878" t="str">
        <f t="shared" si="91"/>
        <v/>
      </c>
    </row>
    <row r="5879" spans="26:26" x14ac:dyDescent="0.2">
      <c r="Z5879" t="str">
        <f t="shared" si="91"/>
        <v/>
      </c>
    </row>
    <row r="5880" spans="26:26" x14ac:dyDescent="0.2">
      <c r="Z5880" t="str">
        <f t="shared" si="91"/>
        <v/>
      </c>
    </row>
    <row r="5881" spans="26:26" x14ac:dyDescent="0.2">
      <c r="Z5881" t="str">
        <f t="shared" si="91"/>
        <v/>
      </c>
    </row>
    <row r="5882" spans="26:26" x14ac:dyDescent="0.2">
      <c r="Z5882" t="str">
        <f t="shared" si="91"/>
        <v/>
      </c>
    </row>
    <row r="5883" spans="26:26" x14ac:dyDescent="0.2">
      <c r="Z5883" t="str">
        <f t="shared" si="91"/>
        <v/>
      </c>
    </row>
    <row r="5884" spans="26:26" x14ac:dyDescent="0.2">
      <c r="Z5884" t="str">
        <f t="shared" si="91"/>
        <v/>
      </c>
    </row>
    <row r="5885" spans="26:26" x14ac:dyDescent="0.2">
      <c r="Z5885" t="str">
        <f t="shared" si="91"/>
        <v/>
      </c>
    </row>
    <row r="5886" spans="26:26" x14ac:dyDescent="0.2">
      <c r="Z5886" t="str">
        <f t="shared" si="91"/>
        <v/>
      </c>
    </row>
    <row r="5887" spans="26:26" x14ac:dyDescent="0.2">
      <c r="Z5887" t="str">
        <f t="shared" si="91"/>
        <v/>
      </c>
    </row>
    <row r="5888" spans="26:26" x14ac:dyDescent="0.2">
      <c r="Z5888" t="str">
        <f t="shared" si="91"/>
        <v/>
      </c>
    </row>
    <row r="5889" spans="26:26" x14ac:dyDescent="0.2">
      <c r="Z5889" t="str">
        <f t="shared" si="91"/>
        <v/>
      </c>
    </row>
    <row r="5890" spans="26:26" x14ac:dyDescent="0.2">
      <c r="Z5890" t="str">
        <f t="shared" si="91"/>
        <v/>
      </c>
    </row>
    <row r="5891" spans="26:26" x14ac:dyDescent="0.2">
      <c r="Z5891" t="str">
        <f t="shared" ref="Z5891:Z5954" si="92">IF(K5891="","",IFERROR(VALUE(TRIM(MID(K5891,FIND(CHAR(167),SUBSTITUTE(K5891,"-",CHAR(167),LEN(K5891)-LEN(SUBSTITUTE(K5891,"-",""))))+1,100))),K5891))</f>
        <v/>
      </c>
    </row>
    <row r="5892" spans="26:26" x14ac:dyDescent="0.2">
      <c r="Z5892" t="str">
        <f t="shared" si="92"/>
        <v/>
      </c>
    </row>
    <row r="5893" spans="26:26" x14ac:dyDescent="0.2">
      <c r="Z5893" t="str">
        <f t="shared" si="92"/>
        <v/>
      </c>
    </row>
    <row r="5894" spans="26:26" x14ac:dyDescent="0.2">
      <c r="Z5894" t="str">
        <f t="shared" si="92"/>
        <v/>
      </c>
    </row>
    <row r="5895" spans="26:26" x14ac:dyDescent="0.2">
      <c r="Z5895" t="str">
        <f t="shared" si="92"/>
        <v/>
      </c>
    </row>
    <row r="5896" spans="26:26" x14ac:dyDescent="0.2">
      <c r="Z5896" t="str">
        <f t="shared" si="92"/>
        <v/>
      </c>
    </row>
    <row r="5897" spans="26:26" x14ac:dyDescent="0.2">
      <c r="Z5897" t="str">
        <f t="shared" si="92"/>
        <v/>
      </c>
    </row>
    <row r="5898" spans="26:26" x14ac:dyDescent="0.2">
      <c r="Z5898" t="str">
        <f t="shared" si="92"/>
        <v/>
      </c>
    </row>
    <row r="5899" spans="26:26" x14ac:dyDescent="0.2">
      <c r="Z5899" t="str">
        <f t="shared" si="92"/>
        <v/>
      </c>
    </row>
    <row r="5900" spans="26:26" x14ac:dyDescent="0.2">
      <c r="Z5900" t="str">
        <f t="shared" si="92"/>
        <v/>
      </c>
    </row>
    <row r="5901" spans="26:26" x14ac:dyDescent="0.2">
      <c r="Z5901" t="str">
        <f t="shared" si="92"/>
        <v/>
      </c>
    </row>
    <row r="5902" spans="26:26" x14ac:dyDescent="0.2">
      <c r="Z5902" t="str">
        <f t="shared" si="92"/>
        <v/>
      </c>
    </row>
    <row r="5903" spans="26:26" x14ac:dyDescent="0.2">
      <c r="Z5903" t="str">
        <f t="shared" si="92"/>
        <v/>
      </c>
    </row>
    <row r="5904" spans="26:26" x14ac:dyDescent="0.2">
      <c r="Z5904" t="str">
        <f t="shared" si="92"/>
        <v/>
      </c>
    </row>
    <row r="5905" spans="26:26" x14ac:dyDescent="0.2">
      <c r="Z5905" t="str">
        <f t="shared" si="92"/>
        <v/>
      </c>
    </row>
    <row r="5906" spans="26:26" x14ac:dyDescent="0.2">
      <c r="Z5906" t="str">
        <f t="shared" si="92"/>
        <v/>
      </c>
    </row>
    <row r="5907" spans="26:26" x14ac:dyDescent="0.2">
      <c r="Z5907" t="str">
        <f t="shared" si="92"/>
        <v/>
      </c>
    </row>
    <row r="5908" spans="26:26" x14ac:dyDescent="0.2">
      <c r="Z5908" t="str">
        <f t="shared" si="92"/>
        <v/>
      </c>
    </row>
    <row r="5909" spans="26:26" x14ac:dyDescent="0.2">
      <c r="Z5909" t="str">
        <f t="shared" si="92"/>
        <v/>
      </c>
    </row>
    <row r="5910" spans="26:26" x14ac:dyDescent="0.2">
      <c r="Z5910" t="str">
        <f t="shared" si="92"/>
        <v/>
      </c>
    </row>
    <row r="5911" spans="26:26" x14ac:dyDescent="0.2">
      <c r="Z5911" t="str">
        <f t="shared" si="92"/>
        <v/>
      </c>
    </row>
    <row r="5912" spans="26:26" x14ac:dyDescent="0.2">
      <c r="Z5912" t="str">
        <f t="shared" si="92"/>
        <v/>
      </c>
    </row>
    <row r="5913" spans="26:26" x14ac:dyDescent="0.2">
      <c r="Z5913" t="str">
        <f t="shared" si="92"/>
        <v/>
      </c>
    </row>
    <row r="5914" spans="26:26" x14ac:dyDescent="0.2">
      <c r="Z5914" t="str">
        <f t="shared" si="92"/>
        <v/>
      </c>
    </row>
    <row r="5915" spans="26:26" x14ac:dyDescent="0.2">
      <c r="Z5915" t="str">
        <f t="shared" si="92"/>
        <v/>
      </c>
    </row>
    <row r="5916" spans="26:26" x14ac:dyDescent="0.2">
      <c r="Z5916" t="str">
        <f t="shared" si="92"/>
        <v/>
      </c>
    </row>
    <row r="5917" spans="26:26" x14ac:dyDescent="0.2">
      <c r="Z5917" t="str">
        <f t="shared" si="92"/>
        <v/>
      </c>
    </row>
    <row r="5918" spans="26:26" x14ac:dyDescent="0.2">
      <c r="Z5918" t="str">
        <f t="shared" si="92"/>
        <v/>
      </c>
    </row>
    <row r="5919" spans="26:26" x14ac:dyDescent="0.2">
      <c r="Z5919" t="str">
        <f t="shared" si="92"/>
        <v/>
      </c>
    </row>
    <row r="5920" spans="26:26" x14ac:dyDescent="0.2">
      <c r="Z5920" t="str">
        <f t="shared" si="92"/>
        <v/>
      </c>
    </row>
    <row r="5921" spans="26:26" x14ac:dyDescent="0.2">
      <c r="Z5921" t="str">
        <f t="shared" si="92"/>
        <v/>
      </c>
    </row>
    <row r="5922" spans="26:26" x14ac:dyDescent="0.2">
      <c r="Z5922" t="str">
        <f t="shared" si="92"/>
        <v/>
      </c>
    </row>
    <row r="5923" spans="26:26" x14ac:dyDescent="0.2">
      <c r="Z5923" t="str">
        <f t="shared" si="92"/>
        <v/>
      </c>
    </row>
    <row r="5924" spans="26:26" x14ac:dyDescent="0.2">
      <c r="Z5924" t="str">
        <f t="shared" si="92"/>
        <v/>
      </c>
    </row>
    <row r="5925" spans="26:26" x14ac:dyDescent="0.2">
      <c r="Z5925" t="str">
        <f t="shared" si="92"/>
        <v/>
      </c>
    </row>
    <row r="5926" spans="26:26" x14ac:dyDescent="0.2">
      <c r="Z5926" t="str">
        <f t="shared" si="92"/>
        <v/>
      </c>
    </row>
    <row r="5927" spans="26:26" x14ac:dyDescent="0.2">
      <c r="Z5927" t="str">
        <f t="shared" si="92"/>
        <v/>
      </c>
    </row>
    <row r="5928" spans="26:26" x14ac:dyDescent="0.2">
      <c r="Z5928" t="str">
        <f t="shared" si="92"/>
        <v/>
      </c>
    </row>
    <row r="5929" spans="26:26" x14ac:dyDescent="0.2">
      <c r="Z5929" t="str">
        <f t="shared" si="92"/>
        <v/>
      </c>
    </row>
    <row r="5930" spans="26:26" x14ac:dyDescent="0.2">
      <c r="Z5930" t="str">
        <f t="shared" si="92"/>
        <v/>
      </c>
    </row>
    <row r="5931" spans="26:26" x14ac:dyDescent="0.2">
      <c r="Z5931" t="str">
        <f t="shared" si="92"/>
        <v/>
      </c>
    </row>
    <row r="5932" spans="26:26" x14ac:dyDescent="0.2">
      <c r="Z5932" t="str">
        <f t="shared" si="92"/>
        <v/>
      </c>
    </row>
    <row r="5933" spans="26:26" x14ac:dyDescent="0.2">
      <c r="Z5933" t="str">
        <f t="shared" si="92"/>
        <v/>
      </c>
    </row>
    <row r="5934" spans="26:26" x14ac:dyDescent="0.2">
      <c r="Z5934" t="str">
        <f t="shared" si="92"/>
        <v/>
      </c>
    </row>
    <row r="5935" spans="26:26" x14ac:dyDescent="0.2">
      <c r="Z5935" t="str">
        <f t="shared" si="92"/>
        <v/>
      </c>
    </row>
    <row r="5936" spans="26:26" x14ac:dyDescent="0.2">
      <c r="Z5936" t="str">
        <f t="shared" si="92"/>
        <v/>
      </c>
    </row>
    <row r="5937" spans="26:26" x14ac:dyDescent="0.2">
      <c r="Z5937" t="str">
        <f t="shared" si="92"/>
        <v/>
      </c>
    </row>
    <row r="5938" spans="26:26" x14ac:dyDescent="0.2">
      <c r="Z5938" t="str">
        <f t="shared" si="92"/>
        <v/>
      </c>
    </row>
    <row r="5939" spans="26:26" x14ac:dyDescent="0.2">
      <c r="Z5939" t="str">
        <f t="shared" si="92"/>
        <v/>
      </c>
    </row>
    <row r="5940" spans="26:26" x14ac:dyDescent="0.2">
      <c r="Z5940" t="str">
        <f t="shared" si="92"/>
        <v/>
      </c>
    </row>
    <row r="5941" spans="26:26" x14ac:dyDescent="0.2">
      <c r="Z5941" t="str">
        <f t="shared" si="92"/>
        <v/>
      </c>
    </row>
    <row r="5942" spans="26:26" x14ac:dyDescent="0.2">
      <c r="Z5942" t="str">
        <f t="shared" si="92"/>
        <v/>
      </c>
    </row>
    <row r="5943" spans="26:26" x14ac:dyDescent="0.2">
      <c r="Z5943" t="str">
        <f t="shared" si="92"/>
        <v/>
      </c>
    </row>
    <row r="5944" spans="26:26" x14ac:dyDescent="0.2">
      <c r="Z5944" t="str">
        <f t="shared" si="92"/>
        <v/>
      </c>
    </row>
    <row r="5945" spans="26:26" x14ac:dyDescent="0.2">
      <c r="Z5945" t="str">
        <f t="shared" si="92"/>
        <v/>
      </c>
    </row>
    <row r="5946" spans="26:26" x14ac:dyDescent="0.2">
      <c r="Z5946" t="str">
        <f t="shared" si="92"/>
        <v/>
      </c>
    </row>
    <row r="5947" spans="26:26" x14ac:dyDescent="0.2">
      <c r="Z5947" t="str">
        <f t="shared" si="92"/>
        <v/>
      </c>
    </row>
    <row r="5948" spans="26:26" x14ac:dyDescent="0.2">
      <c r="Z5948" t="str">
        <f t="shared" si="92"/>
        <v/>
      </c>
    </row>
    <row r="5949" spans="26:26" x14ac:dyDescent="0.2">
      <c r="Z5949" t="str">
        <f t="shared" si="92"/>
        <v/>
      </c>
    </row>
    <row r="5950" spans="26:26" x14ac:dyDescent="0.2">
      <c r="Z5950" t="str">
        <f t="shared" si="92"/>
        <v/>
      </c>
    </row>
    <row r="5951" spans="26:26" x14ac:dyDescent="0.2">
      <c r="Z5951" t="str">
        <f t="shared" si="92"/>
        <v/>
      </c>
    </row>
    <row r="5952" spans="26:26" x14ac:dyDescent="0.2">
      <c r="Z5952" t="str">
        <f t="shared" si="92"/>
        <v/>
      </c>
    </row>
    <row r="5953" spans="26:26" x14ac:dyDescent="0.2">
      <c r="Z5953" t="str">
        <f t="shared" si="92"/>
        <v/>
      </c>
    </row>
    <row r="5954" spans="26:26" x14ac:dyDescent="0.2">
      <c r="Z5954" t="str">
        <f t="shared" si="92"/>
        <v/>
      </c>
    </row>
    <row r="5955" spans="26:26" x14ac:dyDescent="0.2">
      <c r="Z5955" t="str">
        <f t="shared" ref="Z5955:Z6018" si="93">IF(K5955="","",IFERROR(VALUE(TRIM(MID(K5955,FIND(CHAR(167),SUBSTITUTE(K5955,"-",CHAR(167),LEN(K5955)-LEN(SUBSTITUTE(K5955,"-",""))))+1,100))),K5955))</f>
        <v/>
      </c>
    </row>
    <row r="5956" spans="26:26" x14ac:dyDescent="0.2">
      <c r="Z5956" t="str">
        <f t="shared" si="93"/>
        <v/>
      </c>
    </row>
    <row r="5957" spans="26:26" x14ac:dyDescent="0.2">
      <c r="Z5957" t="str">
        <f t="shared" si="93"/>
        <v/>
      </c>
    </row>
    <row r="5958" spans="26:26" x14ac:dyDescent="0.2">
      <c r="Z5958" t="str">
        <f t="shared" si="93"/>
        <v/>
      </c>
    </row>
    <row r="5959" spans="26:26" x14ac:dyDescent="0.2">
      <c r="Z5959" t="str">
        <f t="shared" si="93"/>
        <v/>
      </c>
    </row>
    <row r="5960" spans="26:26" x14ac:dyDescent="0.2">
      <c r="Z5960" t="str">
        <f t="shared" si="93"/>
        <v/>
      </c>
    </row>
    <row r="5961" spans="26:26" x14ac:dyDescent="0.2">
      <c r="Z5961" t="str">
        <f t="shared" si="93"/>
        <v/>
      </c>
    </row>
    <row r="5962" spans="26:26" x14ac:dyDescent="0.2">
      <c r="Z5962" t="str">
        <f t="shared" si="93"/>
        <v/>
      </c>
    </row>
    <row r="5963" spans="26:26" x14ac:dyDescent="0.2">
      <c r="Z5963" t="str">
        <f t="shared" si="93"/>
        <v/>
      </c>
    </row>
    <row r="5964" spans="26:26" x14ac:dyDescent="0.2">
      <c r="Z5964" t="str">
        <f t="shared" si="93"/>
        <v/>
      </c>
    </row>
    <row r="5965" spans="26:26" x14ac:dyDescent="0.2">
      <c r="Z5965" t="str">
        <f t="shared" si="93"/>
        <v/>
      </c>
    </row>
    <row r="5966" spans="26:26" x14ac:dyDescent="0.2">
      <c r="Z5966" t="str">
        <f t="shared" si="93"/>
        <v/>
      </c>
    </row>
    <row r="5967" spans="26:26" x14ac:dyDescent="0.2">
      <c r="Z5967" t="str">
        <f t="shared" si="93"/>
        <v/>
      </c>
    </row>
    <row r="5968" spans="26:26" x14ac:dyDescent="0.2">
      <c r="Z5968" t="str">
        <f t="shared" si="93"/>
        <v/>
      </c>
    </row>
    <row r="5969" spans="26:26" x14ac:dyDescent="0.2">
      <c r="Z5969" t="str">
        <f t="shared" si="93"/>
        <v/>
      </c>
    </row>
    <row r="5970" spans="26:26" x14ac:dyDescent="0.2">
      <c r="Z5970" t="str">
        <f t="shared" si="93"/>
        <v/>
      </c>
    </row>
    <row r="5971" spans="26:26" x14ac:dyDescent="0.2">
      <c r="Z5971" t="str">
        <f t="shared" si="93"/>
        <v/>
      </c>
    </row>
    <row r="5972" spans="26:26" x14ac:dyDescent="0.2">
      <c r="Z5972" t="str">
        <f t="shared" si="93"/>
        <v/>
      </c>
    </row>
    <row r="5973" spans="26:26" x14ac:dyDescent="0.2">
      <c r="Z5973" t="str">
        <f t="shared" si="93"/>
        <v/>
      </c>
    </row>
    <row r="5974" spans="26:26" x14ac:dyDescent="0.2">
      <c r="Z5974" t="str">
        <f t="shared" si="93"/>
        <v/>
      </c>
    </row>
    <row r="5975" spans="26:26" x14ac:dyDescent="0.2">
      <c r="Z5975" t="str">
        <f t="shared" si="93"/>
        <v/>
      </c>
    </row>
    <row r="5976" spans="26:26" x14ac:dyDescent="0.2">
      <c r="Z5976" t="str">
        <f t="shared" si="93"/>
        <v/>
      </c>
    </row>
    <row r="5977" spans="26:26" x14ac:dyDescent="0.2">
      <c r="Z5977" t="str">
        <f t="shared" si="93"/>
        <v/>
      </c>
    </row>
    <row r="5978" spans="26:26" x14ac:dyDescent="0.2">
      <c r="Z5978" t="str">
        <f t="shared" si="93"/>
        <v/>
      </c>
    </row>
    <row r="5979" spans="26:26" x14ac:dyDescent="0.2">
      <c r="Z5979" t="str">
        <f t="shared" si="93"/>
        <v/>
      </c>
    </row>
    <row r="5980" spans="26:26" x14ac:dyDescent="0.2">
      <c r="Z5980" t="str">
        <f t="shared" si="93"/>
        <v/>
      </c>
    </row>
    <row r="5981" spans="26:26" x14ac:dyDescent="0.2">
      <c r="Z5981" t="str">
        <f t="shared" si="93"/>
        <v/>
      </c>
    </row>
    <row r="5982" spans="26:26" x14ac:dyDescent="0.2">
      <c r="Z5982" t="str">
        <f t="shared" si="93"/>
        <v/>
      </c>
    </row>
    <row r="5983" spans="26:26" x14ac:dyDescent="0.2">
      <c r="Z5983" t="str">
        <f t="shared" si="93"/>
        <v/>
      </c>
    </row>
    <row r="5984" spans="26:26" x14ac:dyDescent="0.2">
      <c r="Z5984" t="str">
        <f t="shared" si="93"/>
        <v/>
      </c>
    </row>
    <row r="5985" spans="26:26" x14ac:dyDescent="0.2">
      <c r="Z5985" t="str">
        <f t="shared" si="93"/>
        <v/>
      </c>
    </row>
    <row r="5986" spans="26:26" x14ac:dyDescent="0.2">
      <c r="Z5986" t="str">
        <f t="shared" si="93"/>
        <v/>
      </c>
    </row>
    <row r="5987" spans="26:26" x14ac:dyDescent="0.2">
      <c r="Z5987" t="str">
        <f t="shared" si="93"/>
        <v/>
      </c>
    </row>
    <row r="5988" spans="26:26" x14ac:dyDescent="0.2">
      <c r="Z5988" t="str">
        <f t="shared" si="93"/>
        <v/>
      </c>
    </row>
    <row r="5989" spans="26:26" x14ac:dyDescent="0.2">
      <c r="Z5989" t="str">
        <f t="shared" si="93"/>
        <v/>
      </c>
    </row>
    <row r="5990" spans="26:26" x14ac:dyDescent="0.2">
      <c r="Z5990" t="str">
        <f t="shared" si="93"/>
        <v/>
      </c>
    </row>
    <row r="5991" spans="26:26" x14ac:dyDescent="0.2">
      <c r="Z5991" t="str">
        <f t="shared" si="93"/>
        <v/>
      </c>
    </row>
    <row r="5992" spans="26:26" x14ac:dyDescent="0.2">
      <c r="Z5992" t="str">
        <f t="shared" si="93"/>
        <v/>
      </c>
    </row>
    <row r="5993" spans="26:26" x14ac:dyDescent="0.2">
      <c r="Z5993" t="str">
        <f t="shared" si="93"/>
        <v/>
      </c>
    </row>
    <row r="5994" spans="26:26" x14ac:dyDescent="0.2">
      <c r="Z5994" t="str">
        <f t="shared" si="93"/>
        <v/>
      </c>
    </row>
    <row r="5995" spans="26:26" x14ac:dyDescent="0.2">
      <c r="Z5995" t="str">
        <f t="shared" si="93"/>
        <v/>
      </c>
    </row>
    <row r="5996" spans="26:26" x14ac:dyDescent="0.2">
      <c r="Z5996" t="str">
        <f t="shared" si="93"/>
        <v/>
      </c>
    </row>
    <row r="5997" spans="26:26" x14ac:dyDescent="0.2">
      <c r="Z5997" t="str">
        <f t="shared" si="93"/>
        <v/>
      </c>
    </row>
    <row r="5998" spans="26:26" x14ac:dyDescent="0.2">
      <c r="Z5998" t="str">
        <f t="shared" si="93"/>
        <v/>
      </c>
    </row>
    <row r="5999" spans="26:26" x14ac:dyDescent="0.2">
      <c r="Z5999" t="str">
        <f t="shared" si="93"/>
        <v/>
      </c>
    </row>
    <row r="6000" spans="26:26" x14ac:dyDescent="0.2">
      <c r="Z6000" t="str">
        <f t="shared" si="93"/>
        <v/>
      </c>
    </row>
    <row r="6001" spans="26:26" x14ac:dyDescent="0.2">
      <c r="Z6001" t="str">
        <f t="shared" si="93"/>
        <v/>
      </c>
    </row>
    <row r="6002" spans="26:26" x14ac:dyDescent="0.2">
      <c r="Z6002" t="str">
        <f t="shared" si="93"/>
        <v/>
      </c>
    </row>
    <row r="6003" spans="26:26" x14ac:dyDescent="0.2">
      <c r="Z6003" t="str">
        <f t="shared" si="93"/>
        <v/>
      </c>
    </row>
    <row r="6004" spans="26:26" x14ac:dyDescent="0.2">
      <c r="Z6004" t="str">
        <f t="shared" si="93"/>
        <v/>
      </c>
    </row>
    <row r="6005" spans="26:26" x14ac:dyDescent="0.2">
      <c r="Z6005" t="str">
        <f t="shared" si="93"/>
        <v/>
      </c>
    </row>
    <row r="6006" spans="26:26" x14ac:dyDescent="0.2">
      <c r="Z6006" t="str">
        <f t="shared" si="93"/>
        <v/>
      </c>
    </row>
    <row r="6007" spans="26:26" x14ac:dyDescent="0.2">
      <c r="Z6007" t="str">
        <f t="shared" si="93"/>
        <v/>
      </c>
    </row>
    <row r="6008" spans="26:26" x14ac:dyDescent="0.2">
      <c r="Z6008" t="str">
        <f t="shared" si="93"/>
        <v/>
      </c>
    </row>
    <row r="6009" spans="26:26" x14ac:dyDescent="0.2">
      <c r="Z6009" t="str">
        <f t="shared" si="93"/>
        <v/>
      </c>
    </row>
    <row r="6010" spans="26:26" x14ac:dyDescent="0.2">
      <c r="Z6010" t="str">
        <f t="shared" si="93"/>
        <v/>
      </c>
    </row>
    <row r="6011" spans="26:26" x14ac:dyDescent="0.2">
      <c r="Z6011" t="str">
        <f t="shared" si="93"/>
        <v/>
      </c>
    </row>
    <row r="6012" spans="26:26" x14ac:dyDescent="0.2">
      <c r="Z6012" t="str">
        <f t="shared" si="93"/>
        <v/>
      </c>
    </row>
    <row r="6013" spans="26:26" x14ac:dyDescent="0.2">
      <c r="Z6013" t="str">
        <f t="shared" si="93"/>
        <v/>
      </c>
    </row>
    <row r="6014" spans="26:26" x14ac:dyDescent="0.2">
      <c r="Z6014" t="str">
        <f t="shared" si="93"/>
        <v/>
      </c>
    </row>
    <row r="6015" spans="26:26" x14ac:dyDescent="0.2">
      <c r="Z6015" t="str">
        <f t="shared" si="93"/>
        <v/>
      </c>
    </row>
    <row r="6016" spans="26:26" x14ac:dyDescent="0.2">
      <c r="Z6016" t="str">
        <f t="shared" si="93"/>
        <v/>
      </c>
    </row>
    <row r="6017" spans="26:26" x14ac:dyDescent="0.2">
      <c r="Z6017" t="str">
        <f t="shared" si="93"/>
        <v/>
      </c>
    </row>
    <row r="6018" spans="26:26" x14ac:dyDescent="0.2">
      <c r="Z6018" t="str">
        <f t="shared" si="93"/>
        <v/>
      </c>
    </row>
    <row r="6019" spans="26:26" x14ac:dyDescent="0.2">
      <c r="Z6019" t="str">
        <f t="shared" ref="Z6019:Z6082" si="94">IF(K6019="","",IFERROR(VALUE(TRIM(MID(K6019,FIND(CHAR(167),SUBSTITUTE(K6019,"-",CHAR(167),LEN(K6019)-LEN(SUBSTITUTE(K6019,"-",""))))+1,100))),K6019))</f>
        <v/>
      </c>
    </row>
    <row r="6020" spans="26:26" x14ac:dyDescent="0.2">
      <c r="Z6020" t="str">
        <f t="shared" si="94"/>
        <v/>
      </c>
    </row>
    <row r="6021" spans="26:26" x14ac:dyDescent="0.2">
      <c r="Z6021" t="str">
        <f t="shared" si="94"/>
        <v/>
      </c>
    </row>
    <row r="6022" spans="26:26" x14ac:dyDescent="0.2">
      <c r="Z6022" t="str">
        <f t="shared" si="94"/>
        <v/>
      </c>
    </row>
    <row r="6023" spans="26:26" x14ac:dyDescent="0.2">
      <c r="Z6023" t="str">
        <f t="shared" si="94"/>
        <v/>
      </c>
    </row>
    <row r="6024" spans="26:26" x14ac:dyDescent="0.2">
      <c r="Z6024" t="str">
        <f t="shared" si="94"/>
        <v/>
      </c>
    </row>
    <row r="6025" spans="26:26" x14ac:dyDescent="0.2">
      <c r="Z6025" t="str">
        <f t="shared" si="94"/>
        <v/>
      </c>
    </row>
    <row r="6026" spans="26:26" x14ac:dyDescent="0.2">
      <c r="Z6026" t="str">
        <f t="shared" si="94"/>
        <v/>
      </c>
    </row>
    <row r="6027" spans="26:26" x14ac:dyDescent="0.2">
      <c r="Z6027" t="str">
        <f t="shared" si="94"/>
        <v/>
      </c>
    </row>
    <row r="6028" spans="26:26" x14ac:dyDescent="0.2">
      <c r="Z6028" t="str">
        <f t="shared" si="94"/>
        <v/>
      </c>
    </row>
    <row r="6029" spans="26:26" x14ac:dyDescent="0.2">
      <c r="Z6029" t="str">
        <f t="shared" si="94"/>
        <v/>
      </c>
    </row>
    <row r="6030" spans="26:26" x14ac:dyDescent="0.2">
      <c r="Z6030" t="str">
        <f t="shared" si="94"/>
        <v/>
      </c>
    </row>
    <row r="6031" spans="26:26" x14ac:dyDescent="0.2">
      <c r="Z6031" t="str">
        <f t="shared" si="94"/>
        <v/>
      </c>
    </row>
    <row r="6032" spans="26:26" x14ac:dyDescent="0.2">
      <c r="Z6032" t="str">
        <f t="shared" si="94"/>
        <v/>
      </c>
    </row>
    <row r="6033" spans="26:26" x14ac:dyDescent="0.2">
      <c r="Z6033" t="str">
        <f t="shared" si="94"/>
        <v/>
      </c>
    </row>
    <row r="6034" spans="26:26" x14ac:dyDescent="0.2">
      <c r="Z6034" t="str">
        <f t="shared" si="94"/>
        <v/>
      </c>
    </row>
    <row r="6035" spans="26:26" x14ac:dyDescent="0.2">
      <c r="Z6035" t="str">
        <f t="shared" si="94"/>
        <v/>
      </c>
    </row>
    <row r="6036" spans="26:26" x14ac:dyDescent="0.2">
      <c r="Z6036" t="str">
        <f t="shared" si="94"/>
        <v/>
      </c>
    </row>
    <row r="6037" spans="26:26" x14ac:dyDescent="0.2">
      <c r="Z6037" t="str">
        <f t="shared" si="94"/>
        <v/>
      </c>
    </row>
    <row r="6038" spans="26:26" x14ac:dyDescent="0.2">
      <c r="Z6038" t="str">
        <f t="shared" si="94"/>
        <v/>
      </c>
    </row>
    <row r="6039" spans="26:26" x14ac:dyDescent="0.2">
      <c r="Z6039" t="str">
        <f t="shared" si="94"/>
        <v/>
      </c>
    </row>
    <row r="6040" spans="26:26" x14ac:dyDescent="0.2">
      <c r="Z6040" t="str">
        <f t="shared" si="94"/>
        <v/>
      </c>
    </row>
    <row r="6041" spans="26:26" x14ac:dyDescent="0.2">
      <c r="Z6041" t="str">
        <f t="shared" si="94"/>
        <v/>
      </c>
    </row>
    <row r="6042" spans="26:26" x14ac:dyDescent="0.2">
      <c r="Z6042" t="str">
        <f t="shared" si="94"/>
        <v/>
      </c>
    </row>
    <row r="6043" spans="26:26" x14ac:dyDescent="0.2">
      <c r="Z6043" t="str">
        <f t="shared" si="94"/>
        <v/>
      </c>
    </row>
    <row r="6044" spans="26:26" x14ac:dyDescent="0.2">
      <c r="Z6044" t="str">
        <f t="shared" si="94"/>
        <v/>
      </c>
    </row>
    <row r="6045" spans="26:26" x14ac:dyDescent="0.2">
      <c r="Z6045" t="str">
        <f t="shared" si="94"/>
        <v/>
      </c>
    </row>
    <row r="6046" spans="26:26" x14ac:dyDescent="0.2">
      <c r="Z6046" t="str">
        <f t="shared" si="94"/>
        <v/>
      </c>
    </row>
    <row r="6047" spans="26:26" x14ac:dyDescent="0.2">
      <c r="Z6047" t="str">
        <f t="shared" si="94"/>
        <v/>
      </c>
    </row>
    <row r="6048" spans="26:26" x14ac:dyDescent="0.2">
      <c r="Z6048" t="str">
        <f t="shared" si="94"/>
        <v/>
      </c>
    </row>
    <row r="6049" spans="26:26" x14ac:dyDescent="0.2">
      <c r="Z6049" t="str">
        <f t="shared" si="94"/>
        <v/>
      </c>
    </row>
    <row r="6050" spans="26:26" x14ac:dyDescent="0.2">
      <c r="Z6050" t="str">
        <f t="shared" si="94"/>
        <v/>
      </c>
    </row>
    <row r="6051" spans="26:26" x14ac:dyDescent="0.2">
      <c r="Z6051" t="str">
        <f t="shared" si="94"/>
        <v/>
      </c>
    </row>
    <row r="6052" spans="26:26" x14ac:dyDescent="0.2">
      <c r="Z6052" t="str">
        <f t="shared" si="94"/>
        <v/>
      </c>
    </row>
    <row r="6053" spans="26:26" x14ac:dyDescent="0.2">
      <c r="Z6053" t="str">
        <f t="shared" si="94"/>
        <v/>
      </c>
    </row>
    <row r="6054" spans="26:26" x14ac:dyDescent="0.2">
      <c r="Z6054" t="str">
        <f t="shared" si="94"/>
        <v/>
      </c>
    </row>
    <row r="6055" spans="26:26" x14ac:dyDescent="0.2">
      <c r="Z6055" t="str">
        <f t="shared" si="94"/>
        <v/>
      </c>
    </row>
    <row r="6056" spans="26:26" x14ac:dyDescent="0.2">
      <c r="Z6056" t="str">
        <f t="shared" si="94"/>
        <v/>
      </c>
    </row>
    <row r="6057" spans="26:26" x14ac:dyDescent="0.2">
      <c r="Z6057" t="str">
        <f t="shared" si="94"/>
        <v/>
      </c>
    </row>
    <row r="6058" spans="26:26" x14ac:dyDescent="0.2">
      <c r="Z6058" t="str">
        <f t="shared" si="94"/>
        <v/>
      </c>
    </row>
    <row r="6059" spans="26:26" x14ac:dyDescent="0.2">
      <c r="Z6059" t="str">
        <f t="shared" si="94"/>
        <v/>
      </c>
    </row>
    <row r="6060" spans="26:26" x14ac:dyDescent="0.2">
      <c r="Z6060" t="str">
        <f t="shared" si="94"/>
        <v/>
      </c>
    </row>
    <row r="6061" spans="26:26" x14ac:dyDescent="0.2">
      <c r="Z6061" t="str">
        <f t="shared" si="94"/>
        <v/>
      </c>
    </row>
    <row r="6062" spans="26:26" x14ac:dyDescent="0.2">
      <c r="Z6062" t="str">
        <f t="shared" si="94"/>
        <v/>
      </c>
    </row>
    <row r="6063" spans="26:26" x14ac:dyDescent="0.2">
      <c r="Z6063" t="str">
        <f t="shared" si="94"/>
        <v/>
      </c>
    </row>
    <row r="6064" spans="26:26" x14ac:dyDescent="0.2">
      <c r="Z6064" t="str">
        <f t="shared" si="94"/>
        <v/>
      </c>
    </row>
    <row r="6065" spans="26:26" x14ac:dyDescent="0.2">
      <c r="Z6065" t="str">
        <f t="shared" si="94"/>
        <v/>
      </c>
    </row>
    <row r="6066" spans="26:26" x14ac:dyDescent="0.2">
      <c r="Z6066" t="str">
        <f t="shared" si="94"/>
        <v/>
      </c>
    </row>
    <row r="6067" spans="26:26" x14ac:dyDescent="0.2">
      <c r="Z6067" t="str">
        <f t="shared" si="94"/>
        <v/>
      </c>
    </row>
    <row r="6068" spans="26:26" x14ac:dyDescent="0.2">
      <c r="Z6068" t="str">
        <f t="shared" si="94"/>
        <v/>
      </c>
    </row>
    <row r="6069" spans="26:26" x14ac:dyDescent="0.2">
      <c r="Z6069" t="str">
        <f t="shared" si="94"/>
        <v/>
      </c>
    </row>
    <row r="6070" spans="26:26" x14ac:dyDescent="0.2">
      <c r="Z6070" t="str">
        <f t="shared" si="94"/>
        <v/>
      </c>
    </row>
    <row r="6071" spans="26:26" x14ac:dyDescent="0.2">
      <c r="Z6071" t="str">
        <f t="shared" si="94"/>
        <v/>
      </c>
    </row>
    <row r="6072" spans="26:26" x14ac:dyDescent="0.2">
      <c r="Z6072" t="str">
        <f t="shared" si="94"/>
        <v/>
      </c>
    </row>
    <row r="6073" spans="26:26" x14ac:dyDescent="0.2">
      <c r="Z6073" t="str">
        <f t="shared" si="94"/>
        <v/>
      </c>
    </row>
    <row r="6074" spans="26:26" x14ac:dyDescent="0.2">
      <c r="Z6074" t="str">
        <f t="shared" si="94"/>
        <v/>
      </c>
    </row>
    <row r="6075" spans="26:26" x14ac:dyDescent="0.2">
      <c r="Z6075" t="str">
        <f t="shared" si="94"/>
        <v/>
      </c>
    </row>
    <row r="6076" spans="26:26" x14ac:dyDescent="0.2">
      <c r="Z6076" t="str">
        <f t="shared" si="94"/>
        <v/>
      </c>
    </row>
    <row r="6077" spans="26:26" x14ac:dyDescent="0.2">
      <c r="Z6077" t="str">
        <f t="shared" si="94"/>
        <v/>
      </c>
    </row>
    <row r="6078" spans="26:26" x14ac:dyDescent="0.2">
      <c r="Z6078" t="str">
        <f t="shared" si="94"/>
        <v/>
      </c>
    </row>
    <row r="6079" spans="26:26" x14ac:dyDescent="0.2">
      <c r="Z6079" t="str">
        <f t="shared" si="94"/>
        <v/>
      </c>
    </row>
    <row r="6080" spans="26:26" x14ac:dyDescent="0.2">
      <c r="Z6080" t="str">
        <f t="shared" si="94"/>
        <v/>
      </c>
    </row>
    <row r="6081" spans="26:26" x14ac:dyDescent="0.2">
      <c r="Z6081" t="str">
        <f t="shared" si="94"/>
        <v/>
      </c>
    </row>
    <row r="6082" spans="26:26" x14ac:dyDescent="0.2">
      <c r="Z6082" t="str">
        <f t="shared" si="94"/>
        <v/>
      </c>
    </row>
    <row r="6083" spans="26:26" x14ac:dyDescent="0.2">
      <c r="Z6083" t="str">
        <f t="shared" ref="Z6083:Z6146" si="95">IF(K6083="","",IFERROR(VALUE(TRIM(MID(K6083,FIND(CHAR(167),SUBSTITUTE(K6083,"-",CHAR(167),LEN(K6083)-LEN(SUBSTITUTE(K6083,"-",""))))+1,100))),K6083))</f>
        <v/>
      </c>
    </row>
    <row r="6084" spans="26:26" x14ac:dyDescent="0.2">
      <c r="Z6084" t="str">
        <f t="shared" si="95"/>
        <v/>
      </c>
    </row>
    <row r="6085" spans="26:26" x14ac:dyDescent="0.2">
      <c r="Z6085" t="str">
        <f t="shared" si="95"/>
        <v/>
      </c>
    </row>
    <row r="6086" spans="26:26" x14ac:dyDescent="0.2">
      <c r="Z6086" t="str">
        <f t="shared" si="95"/>
        <v/>
      </c>
    </row>
    <row r="6087" spans="26:26" x14ac:dyDescent="0.2">
      <c r="Z6087" t="str">
        <f t="shared" si="95"/>
        <v/>
      </c>
    </row>
    <row r="6088" spans="26:26" x14ac:dyDescent="0.2">
      <c r="Z6088" t="str">
        <f t="shared" si="95"/>
        <v/>
      </c>
    </row>
    <row r="6089" spans="26:26" x14ac:dyDescent="0.2">
      <c r="Z6089" t="str">
        <f t="shared" si="95"/>
        <v/>
      </c>
    </row>
    <row r="6090" spans="26:26" x14ac:dyDescent="0.2">
      <c r="Z6090" t="str">
        <f t="shared" si="95"/>
        <v/>
      </c>
    </row>
    <row r="6091" spans="26:26" x14ac:dyDescent="0.2">
      <c r="Z6091" t="str">
        <f t="shared" si="95"/>
        <v/>
      </c>
    </row>
    <row r="6092" spans="26:26" x14ac:dyDescent="0.2">
      <c r="Z6092" t="str">
        <f t="shared" si="95"/>
        <v/>
      </c>
    </row>
    <row r="6093" spans="26:26" x14ac:dyDescent="0.2">
      <c r="Z6093" t="str">
        <f t="shared" si="95"/>
        <v/>
      </c>
    </row>
    <row r="6094" spans="26:26" x14ac:dyDescent="0.2">
      <c r="Z6094" t="str">
        <f t="shared" si="95"/>
        <v/>
      </c>
    </row>
    <row r="6095" spans="26:26" x14ac:dyDescent="0.2">
      <c r="Z6095" t="str">
        <f t="shared" si="95"/>
        <v/>
      </c>
    </row>
    <row r="6096" spans="26:26" x14ac:dyDescent="0.2">
      <c r="Z6096" t="str">
        <f t="shared" si="95"/>
        <v/>
      </c>
    </row>
    <row r="6097" spans="26:26" x14ac:dyDescent="0.2">
      <c r="Z6097" t="str">
        <f t="shared" si="95"/>
        <v/>
      </c>
    </row>
    <row r="6098" spans="26:26" x14ac:dyDescent="0.2">
      <c r="Z6098" t="str">
        <f t="shared" si="95"/>
        <v/>
      </c>
    </row>
    <row r="6099" spans="26:26" x14ac:dyDescent="0.2">
      <c r="Z6099" t="str">
        <f t="shared" si="95"/>
        <v/>
      </c>
    </row>
    <row r="6100" spans="26:26" x14ac:dyDescent="0.2">
      <c r="Z6100" t="str">
        <f t="shared" si="95"/>
        <v/>
      </c>
    </row>
    <row r="6101" spans="26:26" x14ac:dyDescent="0.2">
      <c r="Z6101" t="str">
        <f t="shared" si="95"/>
        <v/>
      </c>
    </row>
    <row r="6102" spans="26:26" x14ac:dyDescent="0.2">
      <c r="Z6102" t="str">
        <f t="shared" si="95"/>
        <v/>
      </c>
    </row>
    <row r="6103" spans="26:26" x14ac:dyDescent="0.2">
      <c r="Z6103" t="str">
        <f t="shared" si="95"/>
        <v/>
      </c>
    </row>
    <row r="6104" spans="26:26" x14ac:dyDescent="0.2">
      <c r="Z6104" t="str">
        <f t="shared" si="95"/>
        <v/>
      </c>
    </row>
    <row r="6105" spans="26:26" x14ac:dyDescent="0.2">
      <c r="Z6105" t="str">
        <f t="shared" si="95"/>
        <v/>
      </c>
    </row>
    <row r="6106" spans="26:26" x14ac:dyDescent="0.2">
      <c r="Z6106" t="str">
        <f t="shared" si="95"/>
        <v/>
      </c>
    </row>
    <row r="6107" spans="26:26" x14ac:dyDescent="0.2">
      <c r="Z6107" t="str">
        <f t="shared" si="95"/>
        <v/>
      </c>
    </row>
    <row r="6108" spans="26:26" x14ac:dyDescent="0.2">
      <c r="Z6108" t="str">
        <f t="shared" si="95"/>
        <v/>
      </c>
    </row>
    <row r="6109" spans="26:26" x14ac:dyDescent="0.2">
      <c r="Z6109" t="str">
        <f t="shared" si="95"/>
        <v/>
      </c>
    </row>
    <row r="6110" spans="26:26" x14ac:dyDescent="0.2">
      <c r="Z6110" t="str">
        <f t="shared" si="95"/>
        <v/>
      </c>
    </row>
    <row r="6111" spans="26:26" x14ac:dyDescent="0.2">
      <c r="Z6111" t="str">
        <f t="shared" si="95"/>
        <v/>
      </c>
    </row>
    <row r="6112" spans="26:26" x14ac:dyDescent="0.2">
      <c r="Z6112" t="str">
        <f t="shared" si="95"/>
        <v/>
      </c>
    </row>
    <row r="6113" spans="26:26" x14ac:dyDescent="0.2">
      <c r="Z6113" t="str">
        <f t="shared" si="95"/>
        <v/>
      </c>
    </row>
    <row r="6114" spans="26:26" x14ac:dyDescent="0.2">
      <c r="Z6114" t="str">
        <f t="shared" si="95"/>
        <v/>
      </c>
    </row>
    <row r="6115" spans="26:26" x14ac:dyDescent="0.2">
      <c r="Z6115" t="str">
        <f t="shared" si="95"/>
        <v/>
      </c>
    </row>
    <row r="6116" spans="26:26" x14ac:dyDescent="0.2">
      <c r="Z6116" t="str">
        <f t="shared" si="95"/>
        <v/>
      </c>
    </row>
    <row r="6117" spans="26:26" x14ac:dyDescent="0.2">
      <c r="Z6117" t="str">
        <f t="shared" si="95"/>
        <v/>
      </c>
    </row>
    <row r="6118" spans="26:26" x14ac:dyDescent="0.2">
      <c r="Z6118" t="str">
        <f t="shared" si="95"/>
        <v/>
      </c>
    </row>
    <row r="6119" spans="26:26" x14ac:dyDescent="0.2">
      <c r="Z6119" t="str">
        <f t="shared" si="95"/>
        <v/>
      </c>
    </row>
    <row r="6120" spans="26:26" x14ac:dyDescent="0.2">
      <c r="Z6120" t="str">
        <f t="shared" si="95"/>
        <v/>
      </c>
    </row>
    <row r="6121" spans="26:26" x14ac:dyDescent="0.2">
      <c r="Z6121" t="str">
        <f t="shared" si="95"/>
        <v/>
      </c>
    </row>
    <row r="6122" spans="26:26" x14ac:dyDescent="0.2">
      <c r="Z6122" t="str">
        <f t="shared" si="95"/>
        <v/>
      </c>
    </row>
    <row r="6123" spans="26:26" x14ac:dyDescent="0.2">
      <c r="Z6123" t="str">
        <f t="shared" si="95"/>
        <v/>
      </c>
    </row>
    <row r="6124" spans="26:26" x14ac:dyDescent="0.2">
      <c r="Z6124" t="str">
        <f t="shared" si="95"/>
        <v/>
      </c>
    </row>
    <row r="6125" spans="26:26" x14ac:dyDescent="0.2">
      <c r="Z6125" t="str">
        <f t="shared" si="95"/>
        <v/>
      </c>
    </row>
    <row r="6126" spans="26:26" x14ac:dyDescent="0.2">
      <c r="Z6126" t="str">
        <f t="shared" si="95"/>
        <v/>
      </c>
    </row>
    <row r="6127" spans="26:26" x14ac:dyDescent="0.2">
      <c r="Z6127" t="str">
        <f t="shared" si="95"/>
        <v/>
      </c>
    </row>
    <row r="6128" spans="26:26" x14ac:dyDescent="0.2">
      <c r="Z6128" t="str">
        <f t="shared" si="95"/>
        <v/>
      </c>
    </row>
    <row r="6129" spans="26:26" x14ac:dyDescent="0.2">
      <c r="Z6129" t="str">
        <f t="shared" si="95"/>
        <v/>
      </c>
    </row>
    <row r="6130" spans="26:26" x14ac:dyDescent="0.2">
      <c r="Z6130" t="str">
        <f t="shared" si="95"/>
        <v/>
      </c>
    </row>
    <row r="6131" spans="26:26" x14ac:dyDescent="0.2">
      <c r="Z6131" t="str">
        <f t="shared" si="95"/>
        <v/>
      </c>
    </row>
    <row r="6132" spans="26:26" x14ac:dyDescent="0.2">
      <c r="Z6132" t="str">
        <f t="shared" si="95"/>
        <v/>
      </c>
    </row>
    <row r="6133" spans="26:26" x14ac:dyDescent="0.2">
      <c r="Z6133" t="str">
        <f t="shared" si="95"/>
        <v/>
      </c>
    </row>
    <row r="6134" spans="26:26" x14ac:dyDescent="0.2">
      <c r="Z6134" t="str">
        <f t="shared" si="95"/>
        <v/>
      </c>
    </row>
    <row r="6135" spans="26:26" x14ac:dyDescent="0.2">
      <c r="Z6135" t="str">
        <f t="shared" si="95"/>
        <v/>
      </c>
    </row>
    <row r="6136" spans="26:26" x14ac:dyDescent="0.2">
      <c r="Z6136" t="str">
        <f t="shared" si="95"/>
        <v/>
      </c>
    </row>
    <row r="6137" spans="26:26" x14ac:dyDescent="0.2">
      <c r="Z6137" t="str">
        <f t="shared" si="95"/>
        <v/>
      </c>
    </row>
    <row r="6138" spans="26:26" x14ac:dyDescent="0.2">
      <c r="Z6138" t="str">
        <f t="shared" si="95"/>
        <v/>
      </c>
    </row>
    <row r="6139" spans="26:26" x14ac:dyDescent="0.2">
      <c r="Z6139" t="str">
        <f t="shared" si="95"/>
        <v/>
      </c>
    </row>
    <row r="6140" spans="26:26" x14ac:dyDescent="0.2">
      <c r="Z6140" t="str">
        <f t="shared" si="95"/>
        <v/>
      </c>
    </row>
    <row r="6141" spans="26:26" x14ac:dyDescent="0.2">
      <c r="Z6141" t="str">
        <f t="shared" si="95"/>
        <v/>
      </c>
    </row>
    <row r="6142" spans="26:26" x14ac:dyDescent="0.2">
      <c r="Z6142" t="str">
        <f t="shared" si="95"/>
        <v/>
      </c>
    </row>
    <row r="6143" spans="26:26" x14ac:dyDescent="0.2">
      <c r="Z6143" t="str">
        <f t="shared" si="95"/>
        <v/>
      </c>
    </row>
    <row r="6144" spans="26:26" x14ac:dyDescent="0.2">
      <c r="Z6144" t="str">
        <f t="shared" si="95"/>
        <v/>
      </c>
    </row>
    <row r="6145" spans="26:26" x14ac:dyDescent="0.2">
      <c r="Z6145" t="str">
        <f t="shared" si="95"/>
        <v/>
      </c>
    </row>
    <row r="6146" spans="26:26" x14ac:dyDescent="0.2">
      <c r="Z6146" t="str">
        <f t="shared" si="95"/>
        <v/>
      </c>
    </row>
    <row r="6147" spans="26:26" x14ac:dyDescent="0.2">
      <c r="Z6147" t="str">
        <f t="shared" ref="Z6147:Z6210" si="96">IF(K6147="","",IFERROR(VALUE(TRIM(MID(K6147,FIND(CHAR(167),SUBSTITUTE(K6147,"-",CHAR(167),LEN(K6147)-LEN(SUBSTITUTE(K6147,"-",""))))+1,100))),K6147))</f>
        <v/>
      </c>
    </row>
    <row r="6148" spans="26:26" x14ac:dyDescent="0.2">
      <c r="Z6148" t="str">
        <f t="shared" si="96"/>
        <v/>
      </c>
    </row>
    <row r="6149" spans="26:26" x14ac:dyDescent="0.2">
      <c r="Z6149" t="str">
        <f t="shared" si="96"/>
        <v/>
      </c>
    </row>
    <row r="6150" spans="26:26" x14ac:dyDescent="0.2">
      <c r="Z6150" t="str">
        <f t="shared" si="96"/>
        <v/>
      </c>
    </row>
    <row r="6151" spans="26:26" x14ac:dyDescent="0.2">
      <c r="Z6151" t="str">
        <f t="shared" si="96"/>
        <v/>
      </c>
    </row>
    <row r="6152" spans="26:26" x14ac:dyDescent="0.2">
      <c r="Z6152" t="str">
        <f t="shared" si="96"/>
        <v/>
      </c>
    </row>
    <row r="6153" spans="26:26" x14ac:dyDescent="0.2">
      <c r="Z6153" t="str">
        <f t="shared" si="96"/>
        <v/>
      </c>
    </row>
    <row r="6154" spans="26:26" x14ac:dyDescent="0.2">
      <c r="Z6154" t="str">
        <f t="shared" si="96"/>
        <v/>
      </c>
    </row>
    <row r="6155" spans="26:26" x14ac:dyDescent="0.2">
      <c r="Z6155" t="str">
        <f t="shared" si="96"/>
        <v/>
      </c>
    </row>
    <row r="6156" spans="26:26" x14ac:dyDescent="0.2">
      <c r="Z6156" t="str">
        <f t="shared" si="96"/>
        <v/>
      </c>
    </row>
    <row r="6157" spans="26:26" x14ac:dyDescent="0.2">
      <c r="Z6157" t="str">
        <f t="shared" si="96"/>
        <v/>
      </c>
    </row>
    <row r="6158" spans="26:26" x14ac:dyDescent="0.2">
      <c r="Z6158" t="str">
        <f t="shared" si="96"/>
        <v/>
      </c>
    </row>
    <row r="6159" spans="26:26" x14ac:dyDescent="0.2">
      <c r="Z6159" t="str">
        <f t="shared" si="96"/>
        <v/>
      </c>
    </row>
    <row r="6160" spans="26:26" x14ac:dyDescent="0.2">
      <c r="Z6160" t="str">
        <f t="shared" si="96"/>
        <v/>
      </c>
    </row>
    <row r="6161" spans="26:26" x14ac:dyDescent="0.2">
      <c r="Z6161" t="str">
        <f t="shared" si="96"/>
        <v/>
      </c>
    </row>
    <row r="6162" spans="26:26" x14ac:dyDescent="0.2">
      <c r="Z6162" t="str">
        <f t="shared" si="96"/>
        <v/>
      </c>
    </row>
    <row r="6163" spans="26:26" x14ac:dyDescent="0.2">
      <c r="Z6163" t="str">
        <f t="shared" si="96"/>
        <v/>
      </c>
    </row>
    <row r="6164" spans="26:26" x14ac:dyDescent="0.2">
      <c r="Z6164" t="str">
        <f t="shared" si="96"/>
        <v/>
      </c>
    </row>
    <row r="6165" spans="26:26" x14ac:dyDescent="0.2">
      <c r="Z6165" t="str">
        <f t="shared" si="96"/>
        <v/>
      </c>
    </row>
    <row r="6166" spans="26:26" x14ac:dyDescent="0.2">
      <c r="Z6166" t="str">
        <f t="shared" si="96"/>
        <v/>
      </c>
    </row>
    <row r="6167" spans="26:26" x14ac:dyDescent="0.2">
      <c r="Z6167" t="str">
        <f t="shared" si="96"/>
        <v/>
      </c>
    </row>
    <row r="6168" spans="26:26" x14ac:dyDescent="0.2">
      <c r="Z6168" t="str">
        <f t="shared" si="96"/>
        <v/>
      </c>
    </row>
    <row r="6169" spans="26:26" x14ac:dyDescent="0.2">
      <c r="Z6169" t="str">
        <f t="shared" si="96"/>
        <v/>
      </c>
    </row>
    <row r="6170" spans="26:26" x14ac:dyDescent="0.2">
      <c r="Z6170" t="str">
        <f t="shared" si="96"/>
        <v/>
      </c>
    </row>
    <row r="6171" spans="26:26" x14ac:dyDescent="0.2">
      <c r="Z6171" t="str">
        <f t="shared" si="96"/>
        <v/>
      </c>
    </row>
    <row r="6172" spans="26:26" x14ac:dyDescent="0.2">
      <c r="Z6172" t="str">
        <f t="shared" si="96"/>
        <v/>
      </c>
    </row>
    <row r="6173" spans="26:26" x14ac:dyDescent="0.2">
      <c r="Z6173" t="str">
        <f t="shared" si="96"/>
        <v/>
      </c>
    </row>
    <row r="6174" spans="26:26" x14ac:dyDescent="0.2">
      <c r="Z6174" t="str">
        <f t="shared" si="96"/>
        <v/>
      </c>
    </row>
    <row r="6175" spans="26:26" x14ac:dyDescent="0.2">
      <c r="Z6175" t="str">
        <f t="shared" si="96"/>
        <v/>
      </c>
    </row>
    <row r="6176" spans="26:26" x14ac:dyDescent="0.2">
      <c r="Z6176" t="str">
        <f t="shared" si="96"/>
        <v/>
      </c>
    </row>
    <row r="6177" spans="26:26" x14ac:dyDescent="0.2">
      <c r="Z6177" t="str">
        <f t="shared" si="96"/>
        <v/>
      </c>
    </row>
    <row r="6178" spans="26:26" x14ac:dyDescent="0.2">
      <c r="Z6178" t="str">
        <f t="shared" si="96"/>
        <v/>
      </c>
    </row>
    <row r="6179" spans="26:26" x14ac:dyDescent="0.2">
      <c r="Z6179" t="str">
        <f t="shared" si="96"/>
        <v/>
      </c>
    </row>
    <row r="6180" spans="26:26" x14ac:dyDescent="0.2">
      <c r="Z6180" t="str">
        <f t="shared" si="96"/>
        <v/>
      </c>
    </row>
    <row r="6181" spans="26:26" x14ac:dyDescent="0.2">
      <c r="Z6181" t="str">
        <f t="shared" si="96"/>
        <v/>
      </c>
    </row>
    <row r="6182" spans="26:26" x14ac:dyDescent="0.2">
      <c r="Z6182" t="str">
        <f t="shared" si="96"/>
        <v/>
      </c>
    </row>
    <row r="6183" spans="26:26" x14ac:dyDescent="0.2">
      <c r="Z6183" t="str">
        <f t="shared" si="96"/>
        <v/>
      </c>
    </row>
    <row r="6184" spans="26:26" x14ac:dyDescent="0.2">
      <c r="Z6184" t="str">
        <f t="shared" si="96"/>
        <v/>
      </c>
    </row>
    <row r="6185" spans="26:26" x14ac:dyDescent="0.2">
      <c r="Z6185" t="str">
        <f t="shared" si="96"/>
        <v/>
      </c>
    </row>
    <row r="6186" spans="26:26" x14ac:dyDescent="0.2">
      <c r="Z6186" t="str">
        <f t="shared" si="96"/>
        <v/>
      </c>
    </row>
    <row r="6187" spans="26:26" x14ac:dyDescent="0.2">
      <c r="Z6187" t="str">
        <f t="shared" si="96"/>
        <v/>
      </c>
    </row>
    <row r="6188" spans="26:26" x14ac:dyDescent="0.2">
      <c r="Z6188" t="str">
        <f t="shared" si="96"/>
        <v/>
      </c>
    </row>
    <row r="6189" spans="26:26" x14ac:dyDescent="0.2">
      <c r="Z6189" t="str">
        <f t="shared" si="96"/>
        <v/>
      </c>
    </row>
    <row r="6190" spans="26:26" x14ac:dyDescent="0.2">
      <c r="Z6190" t="str">
        <f t="shared" si="96"/>
        <v/>
      </c>
    </row>
    <row r="6191" spans="26:26" x14ac:dyDescent="0.2">
      <c r="Z6191" t="str">
        <f t="shared" si="96"/>
        <v/>
      </c>
    </row>
    <row r="6192" spans="26:26" x14ac:dyDescent="0.2">
      <c r="Z6192" t="str">
        <f t="shared" si="96"/>
        <v/>
      </c>
    </row>
    <row r="6193" spans="26:26" x14ac:dyDescent="0.2">
      <c r="Z6193" t="str">
        <f t="shared" si="96"/>
        <v/>
      </c>
    </row>
    <row r="6194" spans="26:26" x14ac:dyDescent="0.2">
      <c r="Z6194" t="str">
        <f t="shared" si="96"/>
        <v/>
      </c>
    </row>
    <row r="6195" spans="26:26" x14ac:dyDescent="0.2">
      <c r="Z6195" t="str">
        <f t="shared" si="96"/>
        <v/>
      </c>
    </row>
    <row r="6196" spans="26:26" x14ac:dyDescent="0.2">
      <c r="Z6196" t="str">
        <f t="shared" si="96"/>
        <v/>
      </c>
    </row>
    <row r="6197" spans="26:26" x14ac:dyDescent="0.2">
      <c r="Z6197" t="str">
        <f t="shared" si="96"/>
        <v/>
      </c>
    </row>
    <row r="6198" spans="26:26" x14ac:dyDescent="0.2">
      <c r="Z6198" t="str">
        <f t="shared" si="96"/>
        <v/>
      </c>
    </row>
    <row r="6199" spans="26:26" x14ac:dyDescent="0.2">
      <c r="Z6199" t="str">
        <f t="shared" si="96"/>
        <v/>
      </c>
    </row>
    <row r="6200" spans="26:26" x14ac:dyDescent="0.2">
      <c r="Z6200" t="str">
        <f t="shared" si="96"/>
        <v/>
      </c>
    </row>
    <row r="6201" spans="26:26" x14ac:dyDescent="0.2">
      <c r="Z6201" t="str">
        <f t="shared" si="96"/>
        <v/>
      </c>
    </row>
    <row r="6202" spans="26:26" x14ac:dyDescent="0.2">
      <c r="Z6202" t="str">
        <f t="shared" si="96"/>
        <v/>
      </c>
    </row>
    <row r="6203" spans="26:26" x14ac:dyDescent="0.2">
      <c r="Z6203" t="str">
        <f t="shared" si="96"/>
        <v/>
      </c>
    </row>
    <row r="6204" spans="26:26" x14ac:dyDescent="0.2">
      <c r="Z6204" t="str">
        <f t="shared" si="96"/>
        <v/>
      </c>
    </row>
    <row r="6205" spans="26:26" x14ac:dyDescent="0.2">
      <c r="Z6205" t="str">
        <f t="shared" si="96"/>
        <v/>
      </c>
    </row>
    <row r="6206" spans="26:26" x14ac:dyDescent="0.2">
      <c r="Z6206" t="str">
        <f t="shared" si="96"/>
        <v/>
      </c>
    </row>
    <row r="6207" spans="26:26" x14ac:dyDescent="0.2">
      <c r="Z6207" t="str">
        <f t="shared" si="96"/>
        <v/>
      </c>
    </row>
    <row r="6208" spans="26:26" x14ac:dyDescent="0.2">
      <c r="Z6208" t="str">
        <f t="shared" si="96"/>
        <v/>
      </c>
    </row>
    <row r="6209" spans="26:26" x14ac:dyDescent="0.2">
      <c r="Z6209" t="str">
        <f t="shared" si="96"/>
        <v/>
      </c>
    </row>
    <row r="6210" spans="26:26" x14ac:dyDescent="0.2">
      <c r="Z6210" t="str">
        <f t="shared" si="96"/>
        <v/>
      </c>
    </row>
    <row r="6211" spans="26:26" x14ac:dyDescent="0.2">
      <c r="Z6211" t="str">
        <f t="shared" ref="Z6211:Z6274" si="97">IF(K6211="","",IFERROR(VALUE(TRIM(MID(K6211,FIND(CHAR(167),SUBSTITUTE(K6211,"-",CHAR(167),LEN(K6211)-LEN(SUBSTITUTE(K6211,"-",""))))+1,100))),K6211))</f>
        <v/>
      </c>
    </row>
    <row r="6212" spans="26:26" x14ac:dyDescent="0.2">
      <c r="Z6212" t="str">
        <f t="shared" si="97"/>
        <v/>
      </c>
    </row>
    <row r="6213" spans="26:26" x14ac:dyDescent="0.2">
      <c r="Z6213" t="str">
        <f t="shared" si="97"/>
        <v/>
      </c>
    </row>
    <row r="6214" spans="26:26" x14ac:dyDescent="0.2">
      <c r="Z6214" t="str">
        <f t="shared" si="97"/>
        <v/>
      </c>
    </row>
    <row r="6215" spans="26:26" x14ac:dyDescent="0.2">
      <c r="Z6215" t="str">
        <f t="shared" si="97"/>
        <v/>
      </c>
    </row>
    <row r="6216" spans="26:26" x14ac:dyDescent="0.2">
      <c r="Z6216" t="str">
        <f t="shared" si="97"/>
        <v/>
      </c>
    </row>
    <row r="6217" spans="26:26" x14ac:dyDescent="0.2">
      <c r="Z6217" t="str">
        <f t="shared" si="97"/>
        <v/>
      </c>
    </row>
    <row r="6218" spans="26:26" x14ac:dyDescent="0.2">
      <c r="Z6218" t="str">
        <f t="shared" si="97"/>
        <v/>
      </c>
    </row>
    <row r="6219" spans="26:26" x14ac:dyDescent="0.2">
      <c r="Z6219" t="str">
        <f t="shared" si="97"/>
        <v/>
      </c>
    </row>
    <row r="6220" spans="26:26" x14ac:dyDescent="0.2">
      <c r="Z6220" t="str">
        <f t="shared" si="97"/>
        <v/>
      </c>
    </row>
    <row r="6221" spans="26:26" x14ac:dyDescent="0.2">
      <c r="Z6221" t="str">
        <f t="shared" si="97"/>
        <v/>
      </c>
    </row>
    <row r="6222" spans="26:26" x14ac:dyDescent="0.2">
      <c r="Z6222" t="str">
        <f t="shared" si="97"/>
        <v/>
      </c>
    </row>
    <row r="6223" spans="26:26" x14ac:dyDescent="0.2">
      <c r="Z6223" t="str">
        <f t="shared" si="97"/>
        <v/>
      </c>
    </row>
    <row r="6224" spans="26:26" x14ac:dyDescent="0.2">
      <c r="Z6224" t="str">
        <f t="shared" si="97"/>
        <v/>
      </c>
    </row>
    <row r="6225" spans="26:26" x14ac:dyDescent="0.2">
      <c r="Z6225" t="str">
        <f t="shared" si="97"/>
        <v/>
      </c>
    </row>
    <row r="6226" spans="26:26" x14ac:dyDescent="0.2">
      <c r="Z6226" t="str">
        <f t="shared" si="97"/>
        <v/>
      </c>
    </row>
    <row r="6227" spans="26:26" x14ac:dyDescent="0.2">
      <c r="Z6227" t="str">
        <f t="shared" si="97"/>
        <v/>
      </c>
    </row>
    <row r="6228" spans="26:26" x14ac:dyDescent="0.2">
      <c r="Z6228" t="str">
        <f t="shared" si="97"/>
        <v/>
      </c>
    </row>
    <row r="6229" spans="26:26" x14ac:dyDescent="0.2">
      <c r="Z6229" t="str">
        <f t="shared" si="97"/>
        <v/>
      </c>
    </row>
    <row r="6230" spans="26:26" x14ac:dyDescent="0.2">
      <c r="Z6230" t="str">
        <f t="shared" si="97"/>
        <v/>
      </c>
    </row>
    <row r="6231" spans="26:26" x14ac:dyDescent="0.2">
      <c r="Z6231" t="str">
        <f t="shared" si="97"/>
        <v/>
      </c>
    </row>
    <row r="6232" spans="26:26" x14ac:dyDescent="0.2">
      <c r="Z6232" t="str">
        <f t="shared" si="97"/>
        <v/>
      </c>
    </row>
    <row r="6233" spans="26:26" x14ac:dyDescent="0.2">
      <c r="Z6233" t="str">
        <f t="shared" si="97"/>
        <v/>
      </c>
    </row>
    <row r="6234" spans="26:26" x14ac:dyDescent="0.2">
      <c r="Z6234" t="str">
        <f t="shared" si="97"/>
        <v/>
      </c>
    </row>
    <row r="6235" spans="26:26" x14ac:dyDescent="0.2">
      <c r="Z6235" t="str">
        <f t="shared" si="97"/>
        <v/>
      </c>
    </row>
    <row r="6236" spans="26:26" x14ac:dyDescent="0.2">
      <c r="Z6236" t="str">
        <f t="shared" si="97"/>
        <v/>
      </c>
    </row>
    <row r="6237" spans="26:26" x14ac:dyDescent="0.2">
      <c r="Z6237" t="str">
        <f t="shared" si="97"/>
        <v/>
      </c>
    </row>
    <row r="6238" spans="26:26" x14ac:dyDescent="0.2">
      <c r="Z6238" t="str">
        <f t="shared" si="97"/>
        <v/>
      </c>
    </row>
    <row r="6239" spans="26:26" x14ac:dyDescent="0.2">
      <c r="Z6239" t="str">
        <f t="shared" si="97"/>
        <v/>
      </c>
    </row>
    <row r="6240" spans="26:26" x14ac:dyDescent="0.2">
      <c r="Z6240" t="str">
        <f t="shared" si="97"/>
        <v/>
      </c>
    </row>
    <row r="6241" spans="26:26" x14ac:dyDescent="0.2">
      <c r="Z6241" t="str">
        <f t="shared" si="97"/>
        <v/>
      </c>
    </row>
    <row r="6242" spans="26:26" x14ac:dyDescent="0.2">
      <c r="Z6242" t="str">
        <f t="shared" si="97"/>
        <v/>
      </c>
    </row>
    <row r="6243" spans="26:26" x14ac:dyDescent="0.2">
      <c r="Z6243" t="str">
        <f t="shared" si="97"/>
        <v/>
      </c>
    </row>
    <row r="6244" spans="26:26" x14ac:dyDescent="0.2">
      <c r="Z6244" t="str">
        <f t="shared" si="97"/>
        <v/>
      </c>
    </row>
    <row r="6245" spans="26:26" x14ac:dyDescent="0.2">
      <c r="Z6245" t="str">
        <f t="shared" si="97"/>
        <v/>
      </c>
    </row>
    <row r="6246" spans="26:26" x14ac:dyDescent="0.2">
      <c r="Z6246" t="str">
        <f t="shared" si="97"/>
        <v/>
      </c>
    </row>
    <row r="6247" spans="26:26" x14ac:dyDescent="0.2">
      <c r="Z6247" t="str">
        <f t="shared" si="97"/>
        <v/>
      </c>
    </row>
    <row r="6248" spans="26:26" x14ac:dyDescent="0.2">
      <c r="Z6248" t="str">
        <f t="shared" si="97"/>
        <v/>
      </c>
    </row>
    <row r="6249" spans="26:26" x14ac:dyDescent="0.2">
      <c r="Z6249" t="str">
        <f t="shared" si="97"/>
        <v/>
      </c>
    </row>
    <row r="6250" spans="26:26" x14ac:dyDescent="0.2">
      <c r="Z6250" t="str">
        <f t="shared" si="97"/>
        <v/>
      </c>
    </row>
    <row r="6251" spans="26:26" x14ac:dyDescent="0.2">
      <c r="Z6251" t="str">
        <f t="shared" si="97"/>
        <v/>
      </c>
    </row>
    <row r="6252" spans="26:26" x14ac:dyDescent="0.2">
      <c r="Z6252" t="str">
        <f t="shared" si="97"/>
        <v/>
      </c>
    </row>
    <row r="6253" spans="26:26" x14ac:dyDescent="0.2">
      <c r="Z6253" t="str">
        <f t="shared" si="97"/>
        <v/>
      </c>
    </row>
    <row r="6254" spans="26:26" x14ac:dyDescent="0.2">
      <c r="Z6254" t="str">
        <f t="shared" si="97"/>
        <v/>
      </c>
    </row>
    <row r="6255" spans="26:26" x14ac:dyDescent="0.2">
      <c r="Z6255" t="str">
        <f t="shared" si="97"/>
        <v/>
      </c>
    </row>
    <row r="6256" spans="26:26" x14ac:dyDescent="0.2">
      <c r="Z6256" t="str">
        <f t="shared" si="97"/>
        <v/>
      </c>
    </row>
    <row r="6257" spans="26:26" x14ac:dyDescent="0.2">
      <c r="Z6257" t="str">
        <f t="shared" si="97"/>
        <v/>
      </c>
    </row>
    <row r="6258" spans="26:26" x14ac:dyDescent="0.2">
      <c r="Z6258" t="str">
        <f t="shared" si="97"/>
        <v/>
      </c>
    </row>
    <row r="6259" spans="26:26" x14ac:dyDescent="0.2">
      <c r="Z6259" t="str">
        <f t="shared" si="97"/>
        <v/>
      </c>
    </row>
    <row r="6260" spans="26:26" x14ac:dyDescent="0.2">
      <c r="Z6260" t="str">
        <f t="shared" si="97"/>
        <v/>
      </c>
    </row>
    <row r="6261" spans="26:26" x14ac:dyDescent="0.2">
      <c r="Z6261" t="str">
        <f t="shared" si="97"/>
        <v/>
      </c>
    </row>
    <row r="6262" spans="26:26" x14ac:dyDescent="0.2">
      <c r="Z6262" t="str">
        <f t="shared" si="97"/>
        <v/>
      </c>
    </row>
    <row r="6263" spans="26:26" x14ac:dyDescent="0.2">
      <c r="Z6263" t="str">
        <f t="shared" si="97"/>
        <v/>
      </c>
    </row>
    <row r="6264" spans="26:26" x14ac:dyDescent="0.2">
      <c r="Z6264" t="str">
        <f t="shared" si="97"/>
        <v/>
      </c>
    </row>
    <row r="6265" spans="26:26" x14ac:dyDescent="0.2">
      <c r="Z6265" t="str">
        <f t="shared" si="97"/>
        <v/>
      </c>
    </row>
    <row r="6266" spans="26:26" x14ac:dyDescent="0.2">
      <c r="Z6266" t="str">
        <f t="shared" si="97"/>
        <v/>
      </c>
    </row>
    <row r="6267" spans="26:26" x14ac:dyDescent="0.2">
      <c r="Z6267" t="str">
        <f t="shared" si="97"/>
        <v/>
      </c>
    </row>
    <row r="6268" spans="26:26" x14ac:dyDescent="0.2">
      <c r="Z6268" t="str">
        <f t="shared" si="97"/>
        <v/>
      </c>
    </row>
    <row r="6269" spans="26:26" x14ac:dyDescent="0.2">
      <c r="Z6269" t="str">
        <f t="shared" si="97"/>
        <v/>
      </c>
    </row>
    <row r="6270" spans="26:26" x14ac:dyDescent="0.2">
      <c r="Z6270" t="str">
        <f t="shared" si="97"/>
        <v/>
      </c>
    </row>
    <row r="6271" spans="26:26" x14ac:dyDescent="0.2">
      <c r="Z6271" t="str">
        <f t="shared" si="97"/>
        <v/>
      </c>
    </row>
    <row r="6272" spans="26:26" x14ac:dyDescent="0.2">
      <c r="Z6272" t="str">
        <f t="shared" si="97"/>
        <v/>
      </c>
    </row>
    <row r="6273" spans="26:26" x14ac:dyDescent="0.2">
      <c r="Z6273" t="str">
        <f t="shared" si="97"/>
        <v/>
      </c>
    </row>
    <row r="6274" spans="26:26" x14ac:dyDescent="0.2">
      <c r="Z6274" t="str">
        <f t="shared" si="97"/>
        <v/>
      </c>
    </row>
    <row r="6275" spans="26:26" x14ac:dyDescent="0.2">
      <c r="Z6275" t="str">
        <f t="shared" ref="Z6275:Z6338" si="98">IF(K6275="","",IFERROR(VALUE(TRIM(MID(K6275,FIND(CHAR(167),SUBSTITUTE(K6275,"-",CHAR(167),LEN(K6275)-LEN(SUBSTITUTE(K6275,"-",""))))+1,100))),K6275))</f>
        <v/>
      </c>
    </row>
    <row r="6276" spans="26:26" x14ac:dyDescent="0.2">
      <c r="Z6276" t="str">
        <f t="shared" si="98"/>
        <v/>
      </c>
    </row>
    <row r="6277" spans="26:26" x14ac:dyDescent="0.2">
      <c r="Z6277" t="str">
        <f t="shared" si="98"/>
        <v/>
      </c>
    </row>
    <row r="6278" spans="26:26" x14ac:dyDescent="0.2">
      <c r="Z6278" t="str">
        <f t="shared" si="98"/>
        <v/>
      </c>
    </row>
    <row r="6279" spans="26:26" x14ac:dyDescent="0.2">
      <c r="Z6279" t="str">
        <f t="shared" si="98"/>
        <v/>
      </c>
    </row>
    <row r="6280" spans="26:26" x14ac:dyDescent="0.2">
      <c r="Z6280" t="str">
        <f t="shared" si="98"/>
        <v/>
      </c>
    </row>
    <row r="6281" spans="26:26" x14ac:dyDescent="0.2">
      <c r="Z6281" t="str">
        <f t="shared" si="98"/>
        <v/>
      </c>
    </row>
    <row r="6282" spans="26:26" x14ac:dyDescent="0.2">
      <c r="Z6282" t="str">
        <f t="shared" si="98"/>
        <v/>
      </c>
    </row>
    <row r="6283" spans="26:26" x14ac:dyDescent="0.2">
      <c r="Z6283" t="str">
        <f t="shared" si="98"/>
        <v/>
      </c>
    </row>
    <row r="6284" spans="26:26" x14ac:dyDescent="0.2">
      <c r="Z6284" t="str">
        <f t="shared" si="98"/>
        <v/>
      </c>
    </row>
    <row r="6285" spans="26:26" x14ac:dyDescent="0.2">
      <c r="Z6285" t="str">
        <f t="shared" si="98"/>
        <v/>
      </c>
    </row>
    <row r="6286" spans="26:26" x14ac:dyDescent="0.2">
      <c r="Z6286" t="str">
        <f t="shared" si="98"/>
        <v/>
      </c>
    </row>
    <row r="6287" spans="26:26" x14ac:dyDescent="0.2">
      <c r="Z6287" t="str">
        <f t="shared" si="98"/>
        <v/>
      </c>
    </row>
    <row r="6288" spans="26:26" x14ac:dyDescent="0.2">
      <c r="Z6288" t="str">
        <f t="shared" si="98"/>
        <v/>
      </c>
    </row>
    <row r="6289" spans="26:26" x14ac:dyDescent="0.2">
      <c r="Z6289" t="str">
        <f t="shared" si="98"/>
        <v/>
      </c>
    </row>
    <row r="6290" spans="26:26" x14ac:dyDescent="0.2">
      <c r="Z6290" t="str">
        <f t="shared" si="98"/>
        <v/>
      </c>
    </row>
    <row r="6291" spans="26:26" x14ac:dyDescent="0.2">
      <c r="Z6291" t="str">
        <f t="shared" si="98"/>
        <v/>
      </c>
    </row>
    <row r="6292" spans="26:26" x14ac:dyDescent="0.2">
      <c r="Z6292" t="str">
        <f t="shared" si="98"/>
        <v/>
      </c>
    </row>
    <row r="6293" spans="26:26" x14ac:dyDescent="0.2">
      <c r="Z6293" t="str">
        <f t="shared" si="98"/>
        <v/>
      </c>
    </row>
    <row r="6294" spans="26:26" x14ac:dyDescent="0.2">
      <c r="Z6294" t="str">
        <f t="shared" si="98"/>
        <v/>
      </c>
    </row>
    <row r="6295" spans="26:26" x14ac:dyDescent="0.2">
      <c r="Z6295" t="str">
        <f t="shared" si="98"/>
        <v/>
      </c>
    </row>
    <row r="6296" spans="26:26" x14ac:dyDescent="0.2">
      <c r="Z6296" t="str">
        <f t="shared" si="98"/>
        <v/>
      </c>
    </row>
    <row r="6297" spans="26:26" x14ac:dyDescent="0.2">
      <c r="Z6297" t="str">
        <f t="shared" si="98"/>
        <v/>
      </c>
    </row>
    <row r="6298" spans="26:26" x14ac:dyDescent="0.2">
      <c r="Z6298" t="str">
        <f t="shared" si="98"/>
        <v/>
      </c>
    </row>
    <row r="6299" spans="26:26" x14ac:dyDescent="0.2">
      <c r="Z6299" t="str">
        <f t="shared" si="98"/>
        <v/>
      </c>
    </row>
    <row r="6300" spans="26:26" x14ac:dyDescent="0.2">
      <c r="Z6300" t="str">
        <f t="shared" si="98"/>
        <v/>
      </c>
    </row>
    <row r="6301" spans="26:26" x14ac:dyDescent="0.2">
      <c r="Z6301" t="str">
        <f t="shared" si="98"/>
        <v/>
      </c>
    </row>
    <row r="6302" spans="26:26" x14ac:dyDescent="0.2">
      <c r="Z6302" t="str">
        <f t="shared" si="98"/>
        <v/>
      </c>
    </row>
    <row r="6303" spans="26:26" x14ac:dyDescent="0.2">
      <c r="Z6303" t="str">
        <f t="shared" si="98"/>
        <v/>
      </c>
    </row>
    <row r="6304" spans="26:26" x14ac:dyDescent="0.2">
      <c r="Z6304" t="str">
        <f t="shared" si="98"/>
        <v/>
      </c>
    </row>
    <row r="6305" spans="26:26" x14ac:dyDescent="0.2">
      <c r="Z6305" t="str">
        <f t="shared" si="98"/>
        <v/>
      </c>
    </row>
    <row r="6306" spans="26:26" x14ac:dyDescent="0.2">
      <c r="Z6306" t="str">
        <f t="shared" si="98"/>
        <v/>
      </c>
    </row>
    <row r="6307" spans="26:26" x14ac:dyDescent="0.2">
      <c r="Z6307" t="str">
        <f t="shared" si="98"/>
        <v/>
      </c>
    </row>
    <row r="6308" spans="26:26" x14ac:dyDescent="0.2">
      <c r="Z6308" t="str">
        <f t="shared" si="98"/>
        <v/>
      </c>
    </row>
    <row r="6309" spans="26:26" x14ac:dyDescent="0.2">
      <c r="Z6309" t="str">
        <f t="shared" si="98"/>
        <v/>
      </c>
    </row>
    <row r="6310" spans="26:26" x14ac:dyDescent="0.2">
      <c r="Z6310" t="str">
        <f t="shared" si="98"/>
        <v/>
      </c>
    </row>
    <row r="6311" spans="26:26" x14ac:dyDescent="0.2">
      <c r="Z6311" t="str">
        <f t="shared" si="98"/>
        <v/>
      </c>
    </row>
    <row r="6312" spans="26:26" x14ac:dyDescent="0.2">
      <c r="Z6312" t="str">
        <f t="shared" si="98"/>
        <v/>
      </c>
    </row>
    <row r="6313" spans="26:26" x14ac:dyDescent="0.2">
      <c r="Z6313" t="str">
        <f t="shared" si="98"/>
        <v/>
      </c>
    </row>
    <row r="6314" spans="26:26" x14ac:dyDescent="0.2">
      <c r="Z6314" t="str">
        <f t="shared" si="98"/>
        <v/>
      </c>
    </row>
    <row r="6315" spans="26:26" x14ac:dyDescent="0.2">
      <c r="Z6315" t="str">
        <f t="shared" si="98"/>
        <v/>
      </c>
    </row>
    <row r="6316" spans="26:26" x14ac:dyDescent="0.2">
      <c r="Z6316" t="str">
        <f t="shared" si="98"/>
        <v/>
      </c>
    </row>
    <row r="6317" spans="26:26" x14ac:dyDescent="0.2">
      <c r="Z6317" t="str">
        <f t="shared" si="98"/>
        <v/>
      </c>
    </row>
    <row r="6318" spans="26:26" x14ac:dyDescent="0.2">
      <c r="Z6318" t="str">
        <f t="shared" si="98"/>
        <v/>
      </c>
    </row>
    <row r="6319" spans="26:26" x14ac:dyDescent="0.2">
      <c r="Z6319" t="str">
        <f t="shared" si="98"/>
        <v/>
      </c>
    </row>
    <row r="6320" spans="26:26" x14ac:dyDescent="0.2">
      <c r="Z6320" t="str">
        <f t="shared" si="98"/>
        <v/>
      </c>
    </row>
    <row r="6321" spans="26:26" x14ac:dyDescent="0.2">
      <c r="Z6321" t="str">
        <f t="shared" si="98"/>
        <v/>
      </c>
    </row>
    <row r="6322" spans="26:26" x14ac:dyDescent="0.2">
      <c r="Z6322" t="str">
        <f t="shared" si="98"/>
        <v/>
      </c>
    </row>
    <row r="6323" spans="26:26" x14ac:dyDescent="0.2">
      <c r="Z6323" t="str">
        <f t="shared" si="98"/>
        <v/>
      </c>
    </row>
    <row r="6324" spans="26:26" x14ac:dyDescent="0.2">
      <c r="Z6324" t="str">
        <f t="shared" si="98"/>
        <v/>
      </c>
    </row>
    <row r="6325" spans="26:26" x14ac:dyDescent="0.2">
      <c r="Z6325" t="str">
        <f t="shared" si="98"/>
        <v/>
      </c>
    </row>
    <row r="6326" spans="26:26" x14ac:dyDescent="0.2">
      <c r="Z6326" t="str">
        <f t="shared" si="98"/>
        <v/>
      </c>
    </row>
    <row r="6327" spans="26:26" x14ac:dyDescent="0.2">
      <c r="Z6327" t="str">
        <f t="shared" si="98"/>
        <v/>
      </c>
    </row>
    <row r="6328" spans="26:26" x14ac:dyDescent="0.2">
      <c r="Z6328" t="str">
        <f t="shared" si="98"/>
        <v/>
      </c>
    </row>
    <row r="6329" spans="26:26" x14ac:dyDescent="0.2">
      <c r="Z6329" t="str">
        <f t="shared" si="98"/>
        <v/>
      </c>
    </row>
    <row r="6330" spans="26:26" x14ac:dyDescent="0.2">
      <c r="Z6330" t="str">
        <f t="shared" si="98"/>
        <v/>
      </c>
    </row>
    <row r="6331" spans="26:26" x14ac:dyDescent="0.2">
      <c r="Z6331" t="str">
        <f t="shared" si="98"/>
        <v/>
      </c>
    </row>
    <row r="6332" spans="26:26" x14ac:dyDescent="0.2">
      <c r="Z6332" t="str">
        <f t="shared" si="98"/>
        <v/>
      </c>
    </row>
    <row r="6333" spans="26:26" x14ac:dyDescent="0.2">
      <c r="Z6333" t="str">
        <f t="shared" si="98"/>
        <v/>
      </c>
    </row>
    <row r="6334" spans="26:26" x14ac:dyDescent="0.2">
      <c r="Z6334" t="str">
        <f t="shared" si="98"/>
        <v/>
      </c>
    </row>
    <row r="6335" spans="26:26" x14ac:dyDescent="0.2">
      <c r="Z6335" t="str">
        <f t="shared" si="98"/>
        <v/>
      </c>
    </row>
    <row r="6336" spans="26:26" x14ac:dyDescent="0.2">
      <c r="Z6336" t="str">
        <f t="shared" si="98"/>
        <v/>
      </c>
    </row>
    <row r="6337" spans="26:26" x14ac:dyDescent="0.2">
      <c r="Z6337" t="str">
        <f t="shared" si="98"/>
        <v/>
      </c>
    </row>
    <row r="6338" spans="26:26" x14ac:dyDescent="0.2">
      <c r="Z6338" t="str">
        <f t="shared" si="98"/>
        <v/>
      </c>
    </row>
    <row r="6339" spans="26:26" x14ac:dyDescent="0.2">
      <c r="Z6339" t="str">
        <f t="shared" ref="Z6339:Z6402" si="99">IF(K6339="","",IFERROR(VALUE(TRIM(MID(K6339,FIND(CHAR(167),SUBSTITUTE(K6339,"-",CHAR(167),LEN(K6339)-LEN(SUBSTITUTE(K6339,"-",""))))+1,100))),K6339))</f>
        <v/>
      </c>
    </row>
    <row r="6340" spans="26:26" x14ac:dyDescent="0.2">
      <c r="Z6340" t="str">
        <f t="shared" si="99"/>
        <v/>
      </c>
    </row>
    <row r="6341" spans="26:26" x14ac:dyDescent="0.2">
      <c r="Z6341" t="str">
        <f t="shared" si="99"/>
        <v/>
      </c>
    </row>
    <row r="6342" spans="26:26" x14ac:dyDescent="0.2">
      <c r="Z6342" t="str">
        <f t="shared" si="99"/>
        <v/>
      </c>
    </row>
    <row r="6343" spans="26:26" x14ac:dyDescent="0.2">
      <c r="Z6343" t="str">
        <f t="shared" si="99"/>
        <v/>
      </c>
    </row>
    <row r="6344" spans="26:26" x14ac:dyDescent="0.2">
      <c r="Z6344" t="str">
        <f t="shared" si="99"/>
        <v/>
      </c>
    </row>
    <row r="6345" spans="26:26" x14ac:dyDescent="0.2">
      <c r="Z6345" t="str">
        <f t="shared" si="99"/>
        <v/>
      </c>
    </row>
    <row r="6346" spans="26:26" x14ac:dyDescent="0.2">
      <c r="Z6346" t="str">
        <f t="shared" si="99"/>
        <v/>
      </c>
    </row>
    <row r="6347" spans="26:26" x14ac:dyDescent="0.2">
      <c r="Z6347" t="str">
        <f t="shared" si="99"/>
        <v/>
      </c>
    </row>
    <row r="6348" spans="26:26" x14ac:dyDescent="0.2">
      <c r="Z6348" t="str">
        <f t="shared" si="99"/>
        <v/>
      </c>
    </row>
    <row r="6349" spans="26:26" x14ac:dyDescent="0.2">
      <c r="Z6349" t="str">
        <f t="shared" si="99"/>
        <v/>
      </c>
    </row>
    <row r="6350" spans="26:26" x14ac:dyDescent="0.2">
      <c r="Z6350" t="str">
        <f t="shared" si="99"/>
        <v/>
      </c>
    </row>
    <row r="6351" spans="26:26" x14ac:dyDescent="0.2">
      <c r="Z6351" t="str">
        <f t="shared" si="99"/>
        <v/>
      </c>
    </row>
    <row r="6352" spans="26:26" x14ac:dyDescent="0.2">
      <c r="Z6352" t="str">
        <f t="shared" si="99"/>
        <v/>
      </c>
    </row>
    <row r="6353" spans="26:26" x14ac:dyDescent="0.2">
      <c r="Z6353" t="str">
        <f t="shared" si="99"/>
        <v/>
      </c>
    </row>
    <row r="6354" spans="26:26" x14ac:dyDescent="0.2">
      <c r="Z6354" t="str">
        <f t="shared" si="99"/>
        <v/>
      </c>
    </row>
    <row r="6355" spans="26:26" x14ac:dyDescent="0.2">
      <c r="Z6355" t="str">
        <f t="shared" si="99"/>
        <v/>
      </c>
    </row>
    <row r="6356" spans="26:26" x14ac:dyDescent="0.2">
      <c r="Z6356" t="str">
        <f t="shared" si="99"/>
        <v/>
      </c>
    </row>
    <row r="6357" spans="26:26" x14ac:dyDescent="0.2">
      <c r="Z6357" t="str">
        <f t="shared" si="99"/>
        <v/>
      </c>
    </row>
    <row r="6358" spans="26:26" x14ac:dyDescent="0.2">
      <c r="Z6358" t="str">
        <f t="shared" si="99"/>
        <v/>
      </c>
    </row>
    <row r="6359" spans="26:26" x14ac:dyDescent="0.2">
      <c r="Z6359" t="str">
        <f t="shared" si="99"/>
        <v/>
      </c>
    </row>
    <row r="6360" spans="26:26" x14ac:dyDescent="0.2">
      <c r="Z6360" t="str">
        <f t="shared" si="99"/>
        <v/>
      </c>
    </row>
    <row r="6361" spans="26:26" x14ac:dyDescent="0.2">
      <c r="Z6361" t="str">
        <f t="shared" si="99"/>
        <v/>
      </c>
    </row>
    <row r="6362" spans="26:26" x14ac:dyDescent="0.2">
      <c r="Z6362" t="str">
        <f t="shared" si="99"/>
        <v/>
      </c>
    </row>
    <row r="6363" spans="26:26" x14ac:dyDescent="0.2">
      <c r="Z6363" t="str">
        <f t="shared" si="99"/>
        <v/>
      </c>
    </row>
    <row r="6364" spans="26:26" x14ac:dyDescent="0.2">
      <c r="Z6364" t="str">
        <f t="shared" si="99"/>
        <v/>
      </c>
    </row>
    <row r="6365" spans="26:26" x14ac:dyDescent="0.2">
      <c r="Z6365" t="str">
        <f t="shared" si="99"/>
        <v/>
      </c>
    </row>
    <row r="6366" spans="26:26" x14ac:dyDescent="0.2">
      <c r="Z6366" t="str">
        <f t="shared" si="99"/>
        <v/>
      </c>
    </row>
    <row r="6367" spans="26:26" x14ac:dyDescent="0.2">
      <c r="Z6367" t="str">
        <f t="shared" si="99"/>
        <v/>
      </c>
    </row>
    <row r="6368" spans="26:26" x14ac:dyDescent="0.2">
      <c r="Z6368" t="str">
        <f t="shared" si="99"/>
        <v/>
      </c>
    </row>
    <row r="6369" spans="26:26" x14ac:dyDescent="0.2">
      <c r="Z6369" t="str">
        <f t="shared" si="99"/>
        <v/>
      </c>
    </row>
    <row r="6370" spans="26:26" x14ac:dyDescent="0.2">
      <c r="Z6370" t="str">
        <f t="shared" si="99"/>
        <v/>
      </c>
    </row>
    <row r="6371" spans="26:26" x14ac:dyDescent="0.2">
      <c r="Z6371" t="str">
        <f t="shared" si="99"/>
        <v/>
      </c>
    </row>
    <row r="6372" spans="26:26" x14ac:dyDescent="0.2">
      <c r="Z6372" t="str">
        <f t="shared" si="99"/>
        <v/>
      </c>
    </row>
    <row r="6373" spans="26:26" x14ac:dyDescent="0.2">
      <c r="Z6373" t="str">
        <f t="shared" si="99"/>
        <v/>
      </c>
    </row>
    <row r="6374" spans="26:26" x14ac:dyDescent="0.2">
      <c r="Z6374" t="str">
        <f t="shared" si="99"/>
        <v/>
      </c>
    </row>
    <row r="6375" spans="26:26" x14ac:dyDescent="0.2">
      <c r="Z6375" t="str">
        <f t="shared" si="99"/>
        <v/>
      </c>
    </row>
    <row r="6376" spans="26:26" x14ac:dyDescent="0.2">
      <c r="Z6376" t="str">
        <f t="shared" si="99"/>
        <v/>
      </c>
    </row>
    <row r="6377" spans="26:26" x14ac:dyDescent="0.2">
      <c r="Z6377" t="str">
        <f t="shared" si="99"/>
        <v/>
      </c>
    </row>
    <row r="6378" spans="26:26" x14ac:dyDescent="0.2">
      <c r="Z6378" t="str">
        <f t="shared" si="99"/>
        <v/>
      </c>
    </row>
    <row r="6379" spans="26:26" x14ac:dyDescent="0.2">
      <c r="Z6379" t="str">
        <f t="shared" si="99"/>
        <v/>
      </c>
    </row>
    <row r="6380" spans="26:26" x14ac:dyDescent="0.2">
      <c r="Z6380" t="str">
        <f t="shared" si="99"/>
        <v/>
      </c>
    </row>
    <row r="6381" spans="26:26" x14ac:dyDescent="0.2">
      <c r="Z6381" t="str">
        <f t="shared" si="99"/>
        <v/>
      </c>
    </row>
    <row r="6382" spans="26:26" x14ac:dyDescent="0.2">
      <c r="Z6382" t="str">
        <f t="shared" si="99"/>
        <v/>
      </c>
    </row>
    <row r="6383" spans="26:26" x14ac:dyDescent="0.2">
      <c r="Z6383" t="str">
        <f t="shared" si="99"/>
        <v/>
      </c>
    </row>
    <row r="6384" spans="26:26" x14ac:dyDescent="0.2">
      <c r="Z6384" t="str">
        <f t="shared" si="99"/>
        <v/>
      </c>
    </row>
    <row r="6385" spans="26:26" x14ac:dyDescent="0.2">
      <c r="Z6385" t="str">
        <f t="shared" si="99"/>
        <v/>
      </c>
    </row>
    <row r="6386" spans="26:26" x14ac:dyDescent="0.2">
      <c r="Z6386" t="str">
        <f t="shared" si="99"/>
        <v/>
      </c>
    </row>
    <row r="6387" spans="26:26" x14ac:dyDescent="0.2">
      <c r="Z6387" t="str">
        <f t="shared" si="99"/>
        <v/>
      </c>
    </row>
    <row r="6388" spans="26:26" x14ac:dyDescent="0.2">
      <c r="Z6388" t="str">
        <f t="shared" si="99"/>
        <v/>
      </c>
    </row>
    <row r="6389" spans="26:26" x14ac:dyDescent="0.2">
      <c r="Z6389" t="str">
        <f t="shared" si="99"/>
        <v/>
      </c>
    </row>
    <row r="6390" spans="26:26" x14ac:dyDescent="0.2">
      <c r="Z6390" t="str">
        <f t="shared" si="99"/>
        <v/>
      </c>
    </row>
    <row r="6391" spans="26:26" x14ac:dyDescent="0.2">
      <c r="Z6391" t="str">
        <f t="shared" si="99"/>
        <v/>
      </c>
    </row>
    <row r="6392" spans="26:26" x14ac:dyDescent="0.2">
      <c r="Z6392" t="str">
        <f t="shared" si="99"/>
        <v/>
      </c>
    </row>
    <row r="6393" spans="26:26" x14ac:dyDescent="0.2">
      <c r="Z6393" t="str">
        <f t="shared" si="99"/>
        <v/>
      </c>
    </row>
    <row r="6394" spans="26:26" x14ac:dyDescent="0.2">
      <c r="Z6394" t="str">
        <f t="shared" si="99"/>
        <v/>
      </c>
    </row>
    <row r="6395" spans="26:26" x14ac:dyDescent="0.2">
      <c r="Z6395" t="str">
        <f t="shared" si="99"/>
        <v/>
      </c>
    </row>
    <row r="6396" spans="26:26" x14ac:dyDescent="0.2">
      <c r="Z6396" t="str">
        <f t="shared" si="99"/>
        <v/>
      </c>
    </row>
    <row r="6397" spans="26:26" x14ac:dyDescent="0.2">
      <c r="Z6397" t="str">
        <f t="shared" si="99"/>
        <v/>
      </c>
    </row>
    <row r="6398" spans="26:26" x14ac:dyDescent="0.2">
      <c r="Z6398" t="str">
        <f t="shared" si="99"/>
        <v/>
      </c>
    </row>
    <row r="6399" spans="26:26" x14ac:dyDescent="0.2">
      <c r="Z6399" t="str">
        <f t="shared" si="99"/>
        <v/>
      </c>
    </row>
    <row r="6400" spans="26:26" x14ac:dyDescent="0.2">
      <c r="Z6400" t="str">
        <f t="shared" si="99"/>
        <v/>
      </c>
    </row>
    <row r="6401" spans="26:26" x14ac:dyDescent="0.2">
      <c r="Z6401" t="str">
        <f t="shared" si="99"/>
        <v/>
      </c>
    </row>
    <row r="6402" spans="26:26" x14ac:dyDescent="0.2">
      <c r="Z6402" t="str">
        <f t="shared" si="99"/>
        <v/>
      </c>
    </row>
    <row r="6403" spans="26:26" x14ac:dyDescent="0.2">
      <c r="Z6403" t="str">
        <f t="shared" ref="Z6403:Z6466" si="100">IF(K6403="","",IFERROR(VALUE(TRIM(MID(K6403,FIND(CHAR(167),SUBSTITUTE(K6403,"-",CHAR(167),LEN(K6403)-LEN(SUBSTITUTE(K6403,"-",""))))+1,100))),K6403))</f>
        <v/>
      </c>
    </row>
    <row r="6404" spans="26:26" x14ac:dyDescent="0.2">
      <c r="Z6404" t="str">
        <f t="shared" si="100"/>
        <v/>
      </c>
    </row>
    <row r="6405" spans="26:26" x14ac:dyDescent="0.2">
      <c r="Z6405" t="str">
        <f t="shared" si="100"/>
        <v/>
      </c>
    </row>
    <row r="6406" spans="26:26" x14ac:dyDescent="0.2">
      <c r="Z6406" t="str">
        <f t="shared" si="100"/>
        <v/>
      </c>
    </row>
    <row r="6407" spans="26:26" x14ac:dyDescent="0.2">
      <c r="Z6407" t="str">
        <f t="shared" si="100"/>
        <v/>
      </c>
    </row>
    <row r="6408" spans="26:26" x14ac:dyDescent="0.2">
      <c r="Z6408" t="str">
        <f t="shared" si="100"/>
        <v/>
      </c>
    </row>
    <row r="6409" spans="26:26" x14ac:dyDescent="0.2">
      <c r="Z6409" t="str">
        <f t="shared" si="100"/>
        <v/>
      </c>
    </row>
    <row r="6410" spans="26:26" x14ac:dyDescent="0.2">
      <c r="Z6410" t="str">
        <f t="shared" si="100"/>
        <v/>
      </c>
    </row>
    <row r="6411" spans="26:26" x14ac:dyDescent="0.2">
      <c r="Z6411" t="str">
        <f t="shared" si="100"/>
        <v/>
      </c>
    </row>
    <row r="6412" spans="26:26" x14ac:dyDescent="0.2">
      <c r="Z6412" t="str">
        <f t="shared" si="100"/>
        <v/>
      </c>
    </row>
    <row r="6413" spans="26:26" x14ac:dyDescent="0.2">
      <c r="Z6413" t="str">
        <f t="shared" si="100"/>
        <v/>
      </c>
    </row>
    <row r="6414" spans="26:26" x14ac:dyDescent="0.2">
      <c r="Z6414" t="str">
        <f t="shared" si="100"/>
        <v/>
      </c>
    </row>
    <row r="6415" spans="26:26" x14ac:dyDescent="0.2">
      <c r="Z6415" t="str">
        <f t="shared" si="100"/>
        <v/>
      </c>
    </row>
    <row r="6416" spans="26:26" x14ac:dyDescent="0.2">
      <c r="Z6416" t="str">
        <f t="shared" si="100"/>
        <v/>
      </c>
    </row>
    <row r="6417" spans="26:26" x14ac:dyDescent="0.2">
      <c r="Z6417" t="str">
        <f t="shared" si="100"/>
        <v/>
      </c>
    </row>
    <row r="6418" spans="26:26" x14ac:dyDescent="0.2">
      <c r="Z6418" t="str">
        <f t="shared" si="100"/>
        <v/>
      </c>
    </row>
    <row r="6419" spans="26:26" x14ac:dyDescent="0.2">
      <c r="Z6419" t="str">
        <f t="shared" si="100"/>
        <v/>
      </c>
    </row>
    <row r="6420" spans="26:26" x14ac:dyDescent="0.2">
      <c r="Z6420" t="str">
        <f t="shared" si="100"/>
        <v/>
      </c>
    </row>
    <row r="6421" spans="26:26" x14ac:dyDescent="0.2">
      <c r="Z6421" t="str">
        <f t="shared" si="100"/>
        <v/>
      </c>
    </row>
    <row r="6422" spans="26:26" x14ac:dyDescent="0.2">
      <c r="Z6422" t="str">
        <f t="shared" si="100"/>
        <v/>
      </c>
    </row>
    <row r="6423" spans="26:26" x14ac:dyDescent="0.2">
      <c r="Z6423" t="str">
        <f t="shared" si="100"/>
        <v/>
      </c>
    </row>
    <row r="6424" spans="26:26" x14ac:dyDescent="0.2">
      <c r="Z6424" t="str">
        <f t="shared" si="100"/>
        <v/>
      </c>
    </row>
    <row r="6425" spans="26:26" x14ac:dyDescent="0.2">
      <c r="Z6425" t="str">
        <f t="shared" si="100"/>
        <v/>
      </c>
    </row>
    <row r="6426" spans="26:26" x14ac:dyDescent="0.2">
      <c r="Z6426" t="str">
        <f t="shared" si="100"/>
        <v/>
      </c>
    </row>
    <row r="6427" spans="26:26" x14ac:dyDescent="0.2">
      <c r="Z6427" t="str">
        <f t="shared" si="100"/>
        <v/>
      </c>
    </row>
    <row r="6428" spans="26:26" x14ac:dyDescent="0.2">
      <c r="Z6428" t="str">
        <f t="shared" si="100"/>
        <v/>
      </c>
    </row>
    <row r="6429" spans="26:26" x14ac:dyDescent="0.2">
      <c r="Z6429" t="str">
        <f t="shared" si="100"/>
        <v/>
      </c>
    </row>
    <row r="6430" spans="26:26" x14ac:dyDescent="0.2">
      <c r="Z6430" t="str">
        <f t="shared" si="100"/>
        <v/>
      </c>
    </row>
    <row r="6431" spans="26:26" x14ac:dyDescent="0.2">
      <c r="Z6431" t="str">
        <f t="shared" si="100"/>
        <v/>
      </c>
    </row>
    <row r="6432" spans="26:26" x14ac:dyDescent="0.2">
      <c r="Z6432" t="str">
        <f t="shared" si="100"/>
        <v/>
      </c>
    </row>
    <row r="6433" spans="26:26" x14ac:dyDescent="0.2">
      <c r="Z6433" t="str">
        <f t="shared" si="100"/>
        <v/>
      </c>
    </row>
    <row r="6434" spans="26:26" x14ac:dyDescent="0.2">
      <c r="Z6434" t="str">
        <f t="shared" si="100"/>
        <v/>
      </c>
    </row>
    <row r="6435" spans="26:26" x14ac:dyDescent="0.2">
      <c r="Z6435" t="str">
        <f t="shared" si="100"/>
        <v/>
      </c>
    </row>
    <row r="6436" spans="26:26" x14ac:dyDescent="0.2">
      <c r="Z6436" t="str">
        <f t="shared" si="100"/>
        <v/>
      </c>
    </row>
    <row r="6437" spans="26:26" x14ac:dyDescent="0.2">
      <c r="Z6437" t="str">
        <f t="shared" si="100"/>
        <v/>
      </c>
    </row>
    <row r="6438" spans="26:26" x14ac:dyDescent="0.2">
      <c r="Z6438" t="str">
        <f t="shared" si="100"/>
        <v/>
      </c>
    </row>
    <row r="6439" spans="26:26" x14ac:dyDescent="0.2">
      <c r="Z6439" t="str">
        <f t="shared" si="100"/>
        <v/>
      </c>
    </row>
    <row r="6440" spans="26:26" x14ac:dyDescent="0.2">
      <c r="Z6440" t="str">
        <f t="shared" si="100"/>
        <v/>
      </c>
    </row>
    <row r="6441" spans="26:26" x14ac:dyDescent="0.2">
      <c r="Z6441" t="str">
        <f t="shared" si="100"/>
        <v/>
      </c>
    </row>
    <row r="6442" spans="26:26" x14ac:dyDescent="0.2">
      <c r="Z6442" t="str">
        <f t="shared" si="100"/>
        <v/>
      </c>
    </row>
    <row r="6443" spans="26:26" x14ac:dyDescent="0.2">
      <c r="Z6443" t="str">
        <f t="shared" si="100"/>
        <v/>
      </c>
    </row>
    <row r="6444" spans="26:26" x14ac:dyDescent="0.2">
      <c r="Z6444" t="str">
        <f t="shared" si="100"/>
        <v/>
      </c>
    </row>
    <row r="6445" spans="26:26" x14ac:dyDescent="0.2">
      <c r="Z6445" t="str">
        <f t="shared" si="100"/>
        <v/>
      </c>
    </row>
    <row r="6446" spans="26:26" x14ac:dyDescent="0.2">
      <c r="Z6446" t="str">
        <f t="shared" si="100"/>
        <v/>
      </c>
    </row>
    <row r="6447" spans="26:26" x14ac:dyDescent="0.2">
      <c r="Z6447" t="str">
        <f t="shared" si="100"/>
        <v/>
      </c>
    </row>
    <row r="6448" spans="26:26" x14ac:dyDescent="0.2">
      <c r="Z6448" t="str">
        <f t="shared" si="100"/>
        <v/>
      </c>
    </row>
    <row r="6449" spans="26:26" x14ac:dyDescent="0.2">
      <c r="Z6449" t="str">
        <f t="shared" si="100"/>
        <v/>
      </c>
    </row>
    <row r="6450" spans="26:26" x14ac:dyDescent="0.2">
      <c r="Z6450" t="str">
        <f t="shared" si="100"/>
        <v/>
      </c>
    </row>
    <row r="6451" spans="26:26" x14ac:dyDescent="0.2">
      <c r="Z6451" t="str">
        <f t="shared" si="100"/>
        <v/>
      </c>
    </row>
    <row r="6452" spans="26:26" x14ac:dyDescent="0.2">
      <c r="Z6452" t="str">
        <f t="shared" si="100"/>
        <v/>
      </c>
    </row>
    <row r="6453" spans="26:26" x14ac:dyDescent="0.2">
      <c r="Z6453" t="str">
        <f t="shared" si="100"/>
        <v/>
      </c>
    </row>
    <row r="6454" spans="26:26" x14ac:dyDescent="0.2">
      <c r="Z6454" t="str">
        <f t="shared" si="100"/>
        <v/>
      </c>
    </row>
    <row r="6455" spans="26:26" x14ac:dyDescent="0.2">
      <c r="Z6455" t="str">
        <f t="shared" si="100"/>
        <v/>
      </c>
    </row>
    <row r="6456" spans="26:26" x14ac:dyDescent="0.2">
      <c r="Z6456" t="str">
        <f t="shared" si="100"/>
        <v/>
      </c>
    </row>
    <row r="6457" spans="26:26" x14ac:dyDescent="0.2">
      <c r="Z6457" t="str">
        <f t="shared" si="100"/>
        <v/>
      </c>
    </row>
    <row r="6458" spans="26:26" x14ac:dyDescent="0.2">
      <c r="Z6458" t="str">
        <f t="shared" si="100"/>
        <v/>
      </c>
    </row>
    <row r="6459" spans="26:26" x14ac:dyDescent="0.2">
      <c r="Z6459" t="str">
        <f t="shared" si="100"/>
        <v/>
      </c>
    </row>
    <row r="6460" spans="26:26" x14ac:dyDescent="0.2">
      <c r="Z6460" t="str">
        <f t="shared" si="100"/>
        <v/>
      </c>
    </row>
    <row r="6461" spans="26:26" x14ac:dyDescent="0.2">
      <c r="Z6461" t="str">
        <f t="shared" si="100"/>
        <v/>
      </c>
    </row>
    <row r="6462" spans="26:26" x14ac:dyDescent="0.2">
      <c r="Z6462" t="str">
        <f t="shared" si="100"/>
        <v/>
      </c>
    </row>
    <row r="6463" spans="26:26" x14ac:dyDescent="0.2">
      <c r="Z6463" t="str">
        <f t="shared" si="100"/>
        <v/>
      </c>
    </row>
    <row r="6464" spans="26:26" x14ac:dyDescent="0.2">
      <c r="Z6464" t="str">
        <f t="shared" si="100"/>
        <v/>
      </c>
    </row>
    <row r="6465" spans="26:26" x14ac:dyDescent="0.2">
      <c r="Z6465" t="str">
        <f t="shared" si="100"/>
        <v/>
      </c>
    </row>
    <row r="6466" spans="26:26" x14ac:dyDescent="0.2">
      <c r="Z6466" t="str">
        <f t="shared" si="100"/>
        <v/>
      </c>
    </row>
    <row r="6467" spans="26:26" x14ac:dyDescent="0.2">
      <c r="Z6467" t="str">
        <f t="shared" ref="Z6467:Z6530" si="101">IF(K6467="","",IFERROR(VALUE(TRIM(MID(K6467,FIND(CHAR(167),SUBSTITUTE(K6467,"-",CHAR(167),LEN(K6467)-LEN(SUBSTITUTE(K6467,"-",""))))+1,100))),K6467))</f>
        <v/>
      </c>
    </row>
    <row r="6468" spans="26:26" x14ac:dyDescent="0.2">
      <c r="Z6468" t="str">
        <f t="shared" si="101"/>
        <v/>
      </c>
    </row>
    <row r="6469" spans="26:26" x14ac:dyDescent="0.2">
      <c r="Z6469" t="str">
        <f t="shared" si="101"/>
        <v/>
      </c>
    </row>
    <row r="6470" spans="26:26" x14ac:dyDescent="0.2">
      <c r="Z6470" t="str">
        <f t="shared" si="101"/>
        <v/>
      </c>
    </row>
    <row r="6471" spans="26:26" x14ac:dyDescent="0.2">
      <c r="Z6471" t="str">
        <f t="shared" si="101"/>
        <v/>
      </c>
    </row>
    <row r="6472" spans="26:26" x14ac:dyDescent="0.2">
      <c r="Z6472" t="str">
        <f t="shared" si="101"/>
        <v/>
      </c>
    </row>
    <row r="6473" spans="26:26" x14ac:dyDescent="0.2">
      <c r="Z6473" t="str">
        <f t="shared" si="101"/>
        <v/>
      </c>
    </row>
    <row r="6474" spans="26:26" x14ac:dyDescent="0.2">
      <c r="Z6474" t="str">
        <f t="shared" si="101"/>
        <v/>
      </c>
    </row>
    <row r="6475" spans="26:26" x14ac:dyDescent="0.2">
      <c r="Z6475" t="str">
        <f t="shared" si="101"/>
        <v/>
      </c>
    </row>
    <row r="6476" spans="26:26" x14ac:dyDescent="0.2">
      <c r="Z6476" t="str">
        <f t="shared" si="101"/>
        <v/>
      </c>
    </row>
    <row r="6477" spans="26:26" x14ac:dyDescent="0.2">
      <c r="Z6477" t="str">
        <f t="shared" si="101"/>
        <v/>
      </c>
    </row>
    <row r="6478" spans="26:26" x14ac:dyDescent="0.2">
      <c r="Z6478" t="str">
        <f t="shared" si="101"/>
        <v/>
      </c>
    </row>
    <row r="6479" spans="26:26" x14ac:dyDescent="0.2">
      <c r="Z6479" t="str">
        <f t="shared" si="101"/>
        <v/>
      </c>
    </row>
    <row r="6480" spans="26:26" x14ac:dyDescent="0.2">
      <c r="Z6480" t="str">
        <f t="shared" si="101"/>
        <v/>
      </c>
    </row>
    <row r="6481" spans="26:26" x14ac:dyDescent="0.2">
      <c r="Z6481" t="str">
        <f t="shared" si="101"/>
        <v/>
      </c>
    </row>
    <row r="6482" spans="26:26" x14ac:dyDescent="0.2">
      <c r="Z6482" t="str">
        <f t="shared" si="101"/>
        <v/>
      </c>
    </row>
    <row r="6483" spans="26:26" x14ac:dyDescent="0.2">
      <c r="Z6483" t="str">
        <f t="shared" si="101"/>
        <v/>
      </c>
    </row>
    <row r="6484" spans="26:26" x14ac:dyDescent="0.2">
      <c r="Z6484" t="str">
        <f t="shared" si="101"/>
        <v/>
      </c>
    </row>
    <row r="6485" spans="26:26" x14ac:dyDescent="0.2">
      <c r="Z6485" t="str">
        <f t="shared" si="101"/>
        <v/>
      </c>
    </row>
    <row r="6486" spans="26:26" x14ac:dyDescent="0.2">
      <c r="Z6486" t="str">
        <f t="shared" si="101"/>
        <v/>
      </c>
    </row>
    <row r="6487" spans="26:26" x14ac:dyDescent="0.2">
      <c r="Z6487" t="str">
        <f t="shared" si="101"/>
        <v/>
      </c>
    </row>
    <row r="6488" spans="26:26" x14ac:dyDescent="0.2">
      <c r="Z6488" t="str">
        <f t="shared" si="101"/>
        <v/>
      </c>
    </row>
    <row r="6489" spans="26:26" x14ac:dyDescent="0.2">
      <c r="Z6489" t="str">
        <f t="shared" si="101"/>
        <v/>
      </c>
    </row>
    <row r="6490" spans="26:26" x14ac:dyDescent="0.2">
      <c r="Z6490" t="str">
        <f t="shared" si="101"/>
        <v/>
      </c>
    </row>
    <row r="6491" spans="26:26" x14ac:dyDescent="0.2">
      <c r="Z6491" t="str">
        <f t="shared" si="101"/>
        <v/>
      </c>
    </row>
    <row r="6492" spans="26:26" x14ac:dyDescent="0.2">
      <c r="Z6492" t="str">
        <f t="shared" si="101"/>
        <v/>
      </c>
    </row>
    <row r="6493" spans="26:26" x14ac:dyDescent="0.2">
      <c r="Z6493" t="str">
        <f t="shared" si="101"/>
        <v/>
      </c>
    </row>
    <row r="6494" spans="26:26" x14ac:dyDescent="0.2">
      <c r="Z6494" t="str">
        <f t="shared" si="101"/>
        <v/>
      </c>
    </row>
    <row r="6495" spans="26:26" x14ac:dyDescent="0.2">
      <c r="Z6495" t="str">
        <f t="shared" si="101"/>
        <v/>
      </c>
    </row>
    <row r="6496" spans="26:26" x14ac:dyDescent="0.2">
      <c r="Z6496" t="str">
        <f t="shared" si="101"/>
        <v/>
      </c>
    </row>
    <row r="6497" spans="26:26" x14ac:dyDescent="0.2">
      <c r="Z6497" t="str">
        <f t="shared" si="101"/>
        <v/>
      </c>
    </row>
    <row r="6498" spans="26:26" x14ac:dyDescent="0.2">
      <c r="Z6498" t="str">
        <f t="shared" si="101"/>
        <v/>
      </c>
    </row>
    <row r="6499" spans="26:26" x14ac:dyDescent="0.2">
      <c r="Z6499" t="str">
        <f t="shared" si="101"/>
        <v/>
      </c>
    </row>
    <row r="6500" spans="26:26" x14ac:dyDescent="0.2">
      <c r="Z6500" t="str">
        <f t="shared" si="101"/>
        <v/>
      </c>
    </row>
    <row r="6501" spans="26:26" x14ac:dyDescent="0.2">
      <c r="Z6501" t="str">
        <f t="shared" si="101"/>
        <v/>
      </c>
    </row>
    <row r="6502" spans="26:26" x14ac:dyDescent="0.2">
      <c r="Z6502" t="str">
        <f t="shared" si="101"/>
        <v/>
      </c>
    </row>
    <row r="6503" spans="26:26" x14ac:dyDescent="0.2">
      <c r="Z6503" t="str">
        <f t="shared" si="101"/>
        <v/>
      </c>
    </row>
    <row r="6504" spans="26:26" x14ac:dyDescent="0.2">
      <c r="Z6504" t="str">
        <f t="shared" si="101"/>
        <v/>
      </c>
    </row>
    <row r="6505" spans="26:26" x14ac:dyDescent="0.2">
      <c r="Z6505" t="str">
        <f t="shared" si="101"/>
        <v/>
      </c>
    </row>
    <row r="6506" spans="26:26" x14ac:dyDescent="0.2">
      <c r="Z6506" t="str">
        <f t="shared" si="101"/>
        <v/>
      </c>
    </row>
    <row r="6507" spans="26:26" x14ac:dyDescent="0.2">
      <c r="Z6507" t="str">
        <f t="shared" si="101"/>
        <v/>
      </c>
    </row>
    <row r="6508" spans="26:26" x14ac:dyDescent="0.2">
      <c r="Z6508" t="str">
        <f t="shared" si="101"/>
        <v/>
      </c>
    </row>
    <row r="6509" spans="26:26" x14ac:dyDescent="0.2">
      <c r="Z6509" t="str">
        <f t="shared" si="101"/>
        <v/>
      </c>
    </row>
    <row r="6510" spans="26:26" x14ac:dyDescent="0.2">
      <c r="Z6510" t="str">
        <f t="shared" si="101"/>
        <v/>
      </c>
    </row>
    <row r="6511" spans="26:26" x14ac:dyDescent="0.2">
      <c r="Z6511" t="str">
        <f t="shared" si="101"/>
        <v/>
      </c>
    </row>
    <row r="6512" spans="26:26" x14ac:dyDescent="0.2">
      <c r="Z6512" t="str">
        <f t="shared" si="101"/>
        <v/>
      </c>
    </row>
    <row r="6513" spans="26:26" x14ac:dyDescent="0.2">
      <c r="Z6513" t="str">
        <f t="shared" si="101"/>
        <v/>
      </c>
    </row>
    <row r="6514" spans="26:26" x14ac:dyDescent="0.2">
      <c r="Z6514" t="str">
        <f t="shared" si="101"/>
        <v/>
      </c>
    </row>
    <row r="6515" spans="26:26" x14ac:dyDescent="0.2">
      <c r="Z6515" t="str">
        <f t="shared" si="101"/>
        <v/>
      </c>
    </row>
    <row r="6516" spans="26:26" x14ac:dyDescent="0.2">
      <c r="Z6516" t="str">
        <f t="shared" si="101"/>
        <v/>
      </c>
    </row>
    <row r="6517" spans="26:26" x14ac:dyDescent="0.2">
      <c r="Z6517" t="str">
        <f t="shared" si="101"/>
        <v/>
      </c>
    </row>
    <row r="6518" spans="26:26" x14ac:dyDescent="0.2">
      <c r="Z6518" t="str">
        <f t="shared" si="101"/>
        <v/>
      </c>
    </row>
    <row r="6519" spans="26:26" x14ac:dyDescent="0.2">
      <c r="Z6519" t="str">
        <f t="shared" si="101"/>
        <v/>
      </c>
    </row>
    <row r="6520" spans="26:26" x14ac:dyDescent="0.2">
      <c r="Z6520" t="str">
        <f t="shared" si="101"/>
        <v/>
      </c>
    </row>
    <row r="6521" spans="26:26" x14ac:dyDescent="0.2">
      <c r="Z6521" t="str">
        <f t="shared" si="101"/>
        <v/>
      </c>
    </row>
    <row r="6522" spans="26:26" x14ac:dyDescent="0.2">
      <c r="Z6522" t="str">
        <f t="shared" si="101"/>
        <v/>
      </c>
    </row>
    <row r="6523" spans="26:26" x14ac:dyDescent="0.2">
      <c r="Z6523" t="str">
        <f t="shared" si="101"/>
        <v/>
      </c>
    </row>
    <row r="6524" spans="26:26" x14ac:dyDescent="0.2">
      <c r="Z6524" t="str">
        <f t="shared" si="101"/>
        <v/>
      </c>
    </row>
    <row r="6525" spans="26:26" x14ac:dyDescent="0.2">
      <c r="Z6525" t="str">
        <f t="shared" si="101"/>
        <v/>
      </c>
    </row>
    <row r="6526" spans="26:26" x14ac:dyDescent="0.2">
      <c r="Z6526" t="str">
        <f t="shared" si="101"/>
        <v/>
      </c>
    </row>
    <row r="6527" spans="26:26" x14ac:dyDescent="0.2">
      <c r="Z6527" t="str">
        <f t="shared" si="101"/>
        <v/>
      </c>
    </row>
    <row r="6528" spans="26:26" x14ac:dyDescent="0.2">
      <c r="Z6528" t="str">
        <f t="shared" si="101"/>
        <v/>
      </c>
    </row>
    <row r="6529" spans="26:26" x14ac:dyDescent="0.2">
      <c r="Z6529" t="str">
        <f t="shared" si="101"/>
        <v/>
      </c>
    </row>
    <row r="6530" spans="26:26" x14ac:dyDescent="0.2">
      <c r="Z6530" t="str">
        <f t="shared" si="101"/>
        <v/>
      </c>
    </row>
    <row r="6531" spans="26:26" x14ac:dyDescent="0.2">
      <c r="Z6531" t="str">
        <f t="shared" ref="Z6531:Z6594" si="102">IF(K6531="","",IFERROR(VALUE(TRIM(MID(K6531,FIND(CHAR(167),SUBSTITUTE(K6531,"-",CHAR(167),LEN(K6531)-LEN(SUBSTITUTE(K6531,"-",""))))+1,100))),K6531))</f>
        <v/>
      </c>
    </row>
    <row r="6532" spans="26:26" x14ac:dyDescent="0.2">
      <c r="Z6532" t="str">
        <f t="shared" si="102"/>
        <v/>
      </c>
    </row>
    <row r="6533" spans="26:26" x14ac:dyDescent="0.2">
      <c r="Z6533" t="str">
        <f t="shared" si="102"/>
        <v/>
      </c>
    </row>
    <row r="6534" spans="26:26" x14ac:dyDescent="0.2">
      <c r="Z6534" t="str">
        <f t="shared" si="102"/>
        <v/>
      </c>
    </row>
    <row r="6535" spans="26:26" x14ac:dyDescent="0.2">
      <c r="Z6535" t="str">
        <f t="shared" si="102"/>
        <v/>
      </c>
    </row>
    <row r="6536" spans="26:26" x14ac:dyDescent="0.2">
      <c r="Z6536" t="str">
        <f t="shared" si="102"/>
        <v/>
      </c>
    </row>
    <row r="6537" spans="26:26" x14ac:dyDescent="0.2">
      <c r="Z6537" t="str">
        <f t="shared" si="102"/>
        <v/>
      </c>
    </row>
    <row r="6538" spans="26:26" x14ac:dyDescent="0.2">
      <c r="Z6538" t="str">
        <f t="shared" si="102"/>
        <v/>
      </c>
    </row>
    <row r="6539" spans="26:26" x14ac:dyDescent="0.2">
      <c r="Z6539" t="str">
        <f t="shared" si="102"/>
        <v/>
      </c>
    </row>
    <row r="6540" spans="26:26" x14ac:dyDescent="0.2">
      <c r="Z6540" t="str">
        <f t="shared" si="102"/>
        <v/>
      </c>
    </row>
    <row r="6541" spans="26:26" x14ac:dyDescent="0.2">
      <c r="Z6541" t="str">
        <f t="shared" si="102"/>
        <v/>
      </c>
    </row>
    <row r="6542" spans="26:26" x14ac:dyDescent="0.2">
      <c r="Z6542" t="str">
        <f t="shared" si="102"/>
        <v/>
      </c>
    </row>
    <row r="6543" spans="26:26" x14ac:dyDescent="0.2">
      <c r="Z6543" t="str">
        <f t="shared" si="102"/>
        <v/>
      </c>
    </row>
    <row r="6544" spans="26:26" x14ac:dyDescent="0.2">
      <c r="Z6544" t="str">
        <f t="shared" si="102"/>
        <v/>
      </c>
    </row>
    <row r="6545" spans="26:26" x14ac:dyDescent="0.2">
      <c r="Z6545" t="str">
        <f t="shared" si="102"/>
        <v/>
      </c>
    </row>
    <row r="6546" spans="26:26" x14ac:dyDescent="0.2">
      <c r="Z6546" t="str">
        <f t="shared" si="102"/>
        <v/>
      </c>
    </row>
    <row r="6547" spans="26:26" x14ac:dyDescent="0.2">
      <c r="Z6547" t="str">
        <f t="shared" si="102"/>
        <v/>
      </c>
    </row>
    <row r="6548" spans="26:26" x14ac:dyDescent="0.2">
      <c r="Z6548" t="str">
        <f t="shared" si="102"/>
        <v/>
      </c>
    </row>
    <row r="6549" spans="26:26" x14ac:dyDescent="0.2">
      <c r="Z6549" t="str">
        <f t="shared" si="102"/>
        <v/>
      </c>
    </row>
    <row r="6550" spans="26:26" x14ac:dyDescent="0.2">
      <c r="Z6550" t="str">
        <f t="shared" si="102"/>
        <v/>
      </c>
    </row>
    <row r="6551" spans="26:26" x14ac:dyDescent="0.2">
      <c r="Z6551" t="str">
        <f t="shared" si="102"/>
        <v/>
      </c>
    </row>
    <row r="6552" spans="26:26" x14ac:dyDescent="0.2">
      <c r="Z6552" t="str">
        <f t="shared" si="102"/>
        <v/>
      </c>
    </row>
    <row r="6553" spans="26:26" x14ac:dyDescent="0.2">
      <c r="Z6553" t="str">
        <f t="shared" si="102"/>
        <v/>
      </c>
    </row>
    <row r="6554" spans="26:26" x14ac:dyDescent="0.2">
      <c r="Z6554" t="str">
        <f t="shared" si="102"/>
        <v/>
      </c>
    </row>
    <row r="6555" spans="26:26" x14ac:dyDescent="0.2">
      <c r="Z6555" t="str">
        <f t="shared" si="102"/>
        <v/>
      </c>
    </row>
    <row r="6556" spans="26:26" x14ac:dyDescent="0.2">
      <c r="Z6556" t="str">
        <f t="shared" si="102"/>
        <v/>
      </c>
    </row>
    <row r="6557" spans="26:26" x14ac:dyDescent="0.2">
      <c r="Z6557" t="str">
        <f t="shared" si="102"/>
        <v/>
      </c>
    </row>
    <row r="6558" spans="26:26" x14ac:dyDescent="0.2">
      <c r="Z6558" t="str">
        <f t="shared" si="102"/>
        <v/>
      </c>
    </row>
    <row r="6559" spans="26:26" x14ac:dyDescent="0.2">
      <c r="Z6559" t="str">
        <f t="shared" si="102"/>
        <v/>
      </c>
    </row>
    <row r="6560" spans="26:26" x14ac:dyDescent="0.2">
      <c r="Z6560" t="str">
        <f t="shared" si="102"/>
        <v/>
      </c>
    </row>
    <row r="6561" spans="26:26" x14ac:dyDescent="0.2">
      <c r="Z6561" t="str">
        <f t="shared" si="102"/>
        <v/>
      </c>
    </row>
    <row r="6562" spans="26:26" x14ac:dyDescent="0.2">
      <c r="Z6562" t="str">
        <f t="shared" si="102"/>
        <v/>
      </c>
    </row>
    <row r="6563" spans="26:26" x14ac:dyDescent="0.2">
      <c r="Z6563" t="str">
        <f t="shared" si="102"/>
        <v/>
      </c>
    </row>
    <row r="6564" spans="26:26" x14ac:dyDescent="0.2">
      <c r="Z6564" t="str">
        <f t="shared" si="102"/>
        <v/>
      </c>
    </row>
    <row r="6565" spans="26:26" x14ac:dyDescent="0.2">
      <c r="Z6565" t="str">
        <f t="shared" si="102"/>
        <v/>
      </c>
    </row>
    <row r="6566" spans="26:26" x14ac:dyDescent="0.2">
      <c r="Z6566" t="str">
        <f t="shared" si="102"/>
        <v/>
      </c>
    </row>
    <row r="6567" spans="26:26" x14ac:dyDescent="0.2">
      <c r="Z6567" t="str">
        <f t="shared" si="102"/>
        <v/>
      </c>
    </row>
    <row r="6568" spans="26:26" x14ac:dyDescent="0.2">
      <c r="Z6568" t="str">
        <f t="shared" si="102"/>
        <v/>
      </c>
    </row>
    <row r="6569" spans="26:26" x14ac:dyDescent="0.2">
      <c r="Z6569" t="str">
        <f t="shared" si="102"/>
        <v/>
      </c>
    </row>
    <row r="6570" spans="26:26" x14ac:dyDescent="0.2">
      <c r="Z6570" t="str">
        <f t="shared" si="102"/>
        <v/>
      </c>
    </row>
    <row r="6571" spans="26:26" x14ac:dyDescent="0.2">
      <c r="Z6571" t="str">
        <f t="shared" si="102"/>
        <v/>
      </c>
    </row>
    <row r="6572" spans="26:26" x14ac:dyDescent="0.2">
      <c r="Z6572" t="str">
        <f t="shared" si="102"/>
        <v/>
      </c>
    </row>
    <row r="6573" spans="26:26" x14ac:dyDescent="0.2">
      <c r="Z6573" t="str">
        <f t="shared" si="102"/>
        <v/>
      </c>
    </row>
    <row r="6574" spans="26:26" x14ac:dyDescent="0.2">
      <c r="Z6574" t="str">
        <f t="shared" si="102"/>
        <v/>
      </c>
    </row>
    <row r="6575" spans="26:26" x14ac:dyDescent="0.2">
      <c r="Z6575" t="str">
        <f t="shared" si="102"/>
        <v/>
      </c>
    </row>
    <row r="6576" spans="26:26" x14ac:dyDescent="0.2">
      <c r="Z6576" t="str">
        <f t="shared" si="102"/>
        <v/>
      </c>
    </row>
    <row r="6577" spans="26:26" x14ac:dyDescent="0.2">
      <c r="Z6577" t="str">
        <f t="shared" si="102"/>
        <v/>
      </c>
    </row>
    <row r="6578" spans="26:26" x14ac:dyDescent="0.2">
      <c r="Z6578" t="str">
        <f t="shared" si="102"/>
        <v/>
      </c>
    </row>
    <row r="6579" spans="26:26" x14ac:dyDescent="0.2">
      <c r="Z6579" t="str">
        <f t="shared" si="102"/>
        <v/>
      </c>
    </row>
    <row r="6580" spans="26:26" x14ac:dyDescent="0.2">
      <c r="Z6580" t="str">
        <f t="shared" si="102"/>
        <v/>
      </c>
    </row>
    <row r="6581" spans="26:26" x14ac:dyDescent="0.2">
      <c r="Z6581" t="str">
        <f t="shared" si="102"/>
        <v/>
      </c>
    </row>
    <row r="6582" spans="26:26" x14ac:dyDescent="0.2">
      <c r="Z6582" t="str">
        <f t="shared" si="102"/>
        <v/>
      </c>
    </row>
    <row r="6583" spans="26:26" x14ac:dyDescent="0.2">
      <c r="Z6583" t="str">
        <f t="shared" si="102"/>
        <v/>
      </c>
    </row>
    <row r="6584" spans="26:26" x14ac:dyDescent="0.2">
      <c r="Z6584" t="str">
        <f t="shared" si="102"/>
        <v/>
      </c>
    </row>
    <row r="6585" spans="26:26" x14ac:dyDescent="0.2">
      <c r="Z6585" t="str">
        <f t="shared" si="102"/>
        <v/>
      </c>
    </row>
    <row r="6586" spans="26:26" x14ac:dyDescent="0.2">
      <c r="Z6586" t="str">
        <f t="shared" si="102"/>
        <v/>
      </c>
    </row>
    <row r="6587" spans="26:26" x14ac:dyDescent="0.2">
      <c r="Z6587" t="str">
        <f t="shared" si="102"/>
        <v/>
      </c>
    </row>
    <row r="6588" spans="26:26" x14ac:dyDescent="0.2">
      <c r="Z6588" t="str">
        <f t="shared" si="102"/>
        <v/>
      </c>
    </row>
    <row r="6589" spans="26:26" x14ac:dyDescent="0.2">
      <c r="Z6589" t="str">
        <f t="shared" si="102"/>
        <v/>
      </c>
    </row>
    <row r="6590" spans="26:26" x14ac:dyDescent="0.2">
      <c r="Z6590" t="str">
        <f t="shared" si="102"/>
        <v/>
      </c>
    </row>
    <row r="6591" spans="26:26" x14ac:dyDescent="0.2">
      <c r="Z6591" t="str">
        <f t="shared" si="102"/>
        <v/>
      </c>
    </row>
    <row r="6592" spans="26:26" x14ac:dyDescent="0.2">
      <c r="Z6592" t="str">
        <f t="shared" si="102"/>
        <v/>
      </c>
    </row>
    <row r="6593" spans="26:26" x14ac:dyDescent="0.2">
      <c r="Z6593" t="str">
        <f t="shared" si="102"/>
        <v/>
      </c>
    </row>
    <row r="6594" spans="26:26" x14ac:dyDescent="0.2">
      <c r="Z6594" t="str">
        <f t="shared" si="102"/>
        <v/>
      </c>
    </row>
    <row r="6595" spans="26:26" x14ac:dyDescent="0.2">
      <c r="Z6595" t="str">
        <f t="shared" ref="Z6595:Z6658" si="103">IF(K6595="","",IFERROR(VALUE(TRIM(MID(K6595,FIND(CHAR(167),SUBSTITUTE(K6595,"-",CHAR(167),LEN(K6595)-LEN(SUBSTITUTE(K6595,"-",""))))+1,100))),K6595))</f>
        <v/>
      </c>
    </row>
    <row r="6596" spans="26:26" x14ac:dyDescent="0.2">
      <c r="Z6596" t="str">
        <f t="shared" si="103"/>
        <v/>
      </c>
    </row>
    <row r="6597" spans="26:26" x14ac:dyDescent="0.2">
      <c r="Z6597" t="str">
        <f t="shared" si="103"/>
        <v/>
      </c>
    </row>
    <row r="6598" spans="26:26" x14ac:dyDescent="0.2">
      <c r="Z6598" t="str">
        <f t="shared" si="103"/>
        <v/>
      </c>
    </row>
    <row r="6599" spans="26:26" x14ac:dyDescent="0.2">
      <c r="Z6599" t="str">
        <f t="shared" si="103"/>
        <v/>
      </c>
    </row>
    <row r="6600" spans="26:26" x14ac:dyDescent="0.2">
      <c r="Z6600" t="str">
        <f t="shared" si="103"/>
        <v/>
      </c>
    </row>
    <row r="6601" spans="26:26" x14ac:dyDescent="0.2">
      <c r="Z6601" t="str">
        <f t="shared" si="103"/>
        <v/>
      </c>
    </row>
    <row r="6602" spans="26:26" x14ac:dyDescent="0.2">
      <c r="Z6602" t="str">
        <f t="shared" si="103"/>
        <v/>
      </c>
    </row>
    <row r="6603" spans="26:26" x14ac:dyDescent="0.2">
      <c r="Z6603" t="str">
        <f t="shared" si="103"/>
        <v/>
      </c>
    </row>
    <row r="6604" spans="26:26" x14ac:dyDescent="0.2">
      <c r="Z6604" t="str">
        <f t="shared" si="103"/>
        <v/>
      </c>
    </row>
    <row r="6605" spans="26:26" x14ac:dyDescent="0.2">
      <c r="Z6605" t="str">
        <f t="shared" si="103"/>
        <v/>
      </c>
    </row>
    <row r="6606" spans="26:26" x14ac:dyDescent="0.2">
      <c r="Z6606" t="str">
        <f t="shared" si="103"/>
        <v/>
      </c>
    </row>
    <row r="6607" spans="26:26" x14ac:dyDescent="0.2">
      <c r="Z6607" t="str">
        <f t="shared" si="103"/>
        <v/>
      </c>
    </row>
    <row r="6608" spans="26:26" x14ac:dyDescent="0.2">
      <c r="Z6608" t="str">
        <f t="shared" si="103"/>
        <v/>
      </c>
    </row>
    <row r="6609" spans="26:26" x14ac:dyDescent="0.2">
      <c r="Z6609" t="str">
        <f t="shared" si="103"/>
        <v/>
      </c>
    </row>
    <row r="6610" spans="26:26" x14ac:dyDescent="0.2">
      <c r="Z6610" t="str">
        <f t="shared" si="103"/>
        <v/>
      </c>
    </row>
    <row r="6611" spans="26:26" x14ac:dyDescent="0.2">
      <c r="Z6611" t="str">
        <f t="shared" si="103"/>
        <v/>
      </c>
    </row>
    <row r="6612" spans="26:26" x14ac:dyDescent="0.2">
      <c r="Z6612" t="str">
        <f t="shared" si="103"/>
        <v/>
      </c>
    </row>
    <row r="6613" spans="26:26" x14ac:dyDescent="0.2">
      <c r="Z6613" t="str">
        <f t="shared" si="103"/>
        <v/>
      </c>
    </row>
    <row r="6614" spans="26:26" x14ac:dyDescent="0.2">
      <c r="Z6614" t="str">
        <f t="shared" si="103"/>
        <v/>
      </c>
    </row>
    <row r="6615" spans="26:26" x14ac:dyDescent="0.2">
      <c r="Z6615" t="str">
        <f t="shared" si="103"/>
        <v/>
      </c>
    </row>
    <row r="6616" spans="26:26" x14ac:dyDescent="0.2">
      <c r="Z6616" t="str">
        <f t="shared" si="103"/>
        <v/>
      </c>
    </row>
    <row r="6617" spans="26:26" x14ac:dyDescent="0.2">
      <c r="Z6617" t="str">
        <f t="shared" si="103"/>
        <v/>
      </c>
    </row>
    <row r="6618" spans="26:26" x14ac:dyDescent="0.2">
      <c r="Z6618" t="str">
        <f t="shared" si="103"/>
        <v/>
      </c>
    </row>
    <row r="6619" spans="26:26" x14ac:dyDescent="0.2">
      <c r="Z6619" t="str">
        <f t="shared" si="103"/>
        <v/>
      </c>
    </row>
    <row r="6620" spans="26:26" x14ac:dyDescent="0.2">
      <c r="Z6620" t="str">
        <f t="shared" si="103"/>
        <v/>
      </c>
    </row>
    <row r="6621" spans="26:26" x14ac:dyDescent="0.2">
      <c r="Z6621" t="str">
        <f t="shared" si="103"/>
        <v/>
      </c>
    </row>
    <row r="6622" spans="26:26" x14ac:dyDescent="0.2">
      <c r="Z6622" t="str">
        <f t="shared" si="103"/>
        <v/>
      </c>
    </row>
    <row r="6623" spans="26:26" x14ac:dyDescent="0.2">
      <c r="Z6623" t="str">
        <f t="shared" si="103"/>
        <v/>
      </c>
    </row>
    <row r="6624" spans="26:26" x14ac:dyDescent="0.2">
      <c r="Z6624" t="str">
        <f t="shared" si="103"/>
        <v/>
      </c>
    </row>
    <row r="6625" spans="26:26" x14ac:dyDescent="0.2">
      <c r="Z6625" t="str">
        <f t="shared" si="103"/>
        <v/>
      </c>
    </row>
    <row r="6626" spans="26:26" x14ac:dyDescent="0.2">
      <c r="Z6626" t="str">
        <f t="shared" si="103"/>
        <v/>
      </c>
    </row>
    <row r="6627" spans="26:26" x14ac:dyDescent="0.2">
      <c r="Z6627" t="str">
        <f t="shared" si="103"/>
        <v/>
      </c>
    </row>
    <row r="6628" spans="26:26" x14ac:dyDescent="0.2">
      <c r="Z6628" t="str">
        <f t="shared" si="103"/>
        <v/>
      </c>
    </row>
    <row r="6629" spans="26:26" x14ac:dyDescent="0.2">
      <c r="Z6629" t="str">
        <f t="shared" si="103"/>
        <v/>
      </c>
    </row>
    <row r="6630" spans="26:26" x14ac:dyDescent="0.2">
      <c r="Z6630" t="str">
        <f t="shared" si="103"/>
        <v/>
      </c>
    </row>
    <row r="6631" spans="26:26" x14ac:dyDescent="0.2">
      <c r="Z6631" t="str">
        <f t="shared" si="103"/>
        <v/>
      </c>
    </row>
    <row r="6632" spans="26:26" x14ac:dyDescent="0.2">
      <c r="Z6632" t="str">
        <f t="shared" si="103"/>
        <v/>
      </c>
    </row>
    <row r="6633" spans="26:26" x14ac:dyDescent="0.2">
      <c r="Z6633" t="str">
        <f t="shared" si="103"/>
        <v/>
      </c>
    </row>
    <row r="6634" spans="26:26" x14ac:dyDescent="0.2">
      <c r="Z6634" t="str">
        <f t="shared" si="103"/>
        <v/>
      </c>
    </row>
    <row r="6635" spans="26:26" x14ac:dyDescent="0.2">
      <c r="Z6635" t="str">
        <f t="shared" si="103"/>
        <v/>
      </c>
    </row>
    <row r="6636" spans="26:26" x14ac:dyDescent="0.2">
      <c r="Z6636" t="str">
        <f t="shared" si="103"/>
        <v/>
      </c>
    </row>
    <row r="6637" spans="26:26" x14ac:dyDescent="0.2">
      <c r="Z6637" t="str">
        <f t="shared" si="103"/>
        <v/>
      </c>
    </row>
    <row r="6638" spans="26:26" x14ac:dyDescent="0.2">
      <c r="Z6638" t="str">
        <f t="shared" si="103"/>
        <v/>
      </c>
    </row>
    <row r="6639" spans="26:26" x14ac:dyDescent="0.2">
      <c r="Z6639" t="str">
        <f t="shared" si="103"/>
        <v/>
      </c>
    </row>
    <row r="6640" spans="26:26" x14ac:dyDescent="0.2">
      <c r="Z6640" t="str">
        <f t="shared" si="103"/>
        <v/>
      </c>
    </row>
    <row r="6641" spans="26:26" x14ac:dyDescent="0.2">
      <c r="Z6641" t="str">
        <f t="shared" si="103"/>
        <v/>
      </c>
    </row>
    <row r="6642" spans="26:26" x14ac:dyDescent="0.2">
      <c r="Z6642" t="str">
        <f t="shared" si="103"/>
        <v/>
      </c>
    </row>
    <row r="6643" spans="26:26" x14ac:dyDescent="0.2">
      <c r="Z6643" t="str">
        <f t="shared" si="103"/>
        <v/>
      </c>
    </row>
    <row r="6644" spans="26:26" x14ac:dyDescent="0.2">
      <c r="Z6644" t="str">
        <f t="shared" si="103"/>
        <v/>
      </c>
    </row>
    <row r="6645" spans="26:26" x14ac:dyDescent="0.2">
      <c r="Z6645" t="str">
        <f t="shared" si="103"/>
        <v/>
      </c>
    </row>
    <row r="6646" spans="26:26" x14ac:dyDescent="0.2">
      <c r="Z6646" t="str">
        <f t="shared" si="103"/>
        <v/>
      </c>
    </row>
    <row r="6647" spans="26:26" x14ac:dyDescent="0.2">
      <c r="Z6647" t="str">
        <f t="shared" si="103"/>
        <v/>
      </c>
    </row>
    <row r="6648" spans="26:26" x14ac:dyDescent="0.2">
      <c r="Z6648" t="str">
        <f t="shared" si="103"/>
        <v/>
      </c>
    </row>
    <row r="6649" spans="26:26" x14ac:dyDescent="0.2">
      <c r="Z6649" t="str">
        <f t="shared" si="103"/>
        <v/>
      </c>
    </row>
    <row r="6650" spans="26:26" x14ac:dyDescent="0.2">
      <c r="Z6650" t="str">
        <f t="shared" si="103"/>
        <v/>
      </c>
    </row>
    <row r="6651" spans="26:26" x14ac:dyDescent="0.2">
      <c r="Z6651" t="str">
        <f t="shared" si="103"/>
        <v/>
      </c>
    </row>
    <row r="6652" spans="26:26" x14ac:dyDescent="0.2">
      <c r="Z6652" t="str">
        <f t="shared" si="103"/>
        <v/>
      </c>
    </row>
    <row r="6653" spans="26:26" x14ac:dyDescent="0.2">
      <c r="Z6653" t="str">
        <f t="shared" si="103"/>
        <v/>
      </c>
    </row>
    <row r="6654" spans="26:26" x14ac:dyDescent="0.2">
      <c r="Z6654" t="str">
        <f t="shared" si="103"/>
        <v/>
      </c>
    </row>
    <row r="6655" spans="26:26" x14ac:dyDescent="0.2">
      <c r="Z6655" t="str">
        <f t="shared" si="103"/>
        <v/>
      </c>
    </row>
    <row r="6656" spans="26:26" x14ac:dyDescent="0.2">
      <c r="Z6656" t="str">
        <f t="shared" si="103"/>
        <v/>
      </c>
    </row>
    <row r="6657" spans="26:26" x14ac:dyDescent="0.2">
      <c r="Z6657" t="str">
        <f t="shared" si="103"/>
        <v/>
      </c>
    </row>
    <row r="6658" spans="26:26" x14ac:dyDescent="0.2">
      <c r="Z6658" t="str">
        <f t="shared" si="103"/>
        <v/>
      </c>
    </row>
    <row r="6659" spans="26:26" x14ac:dyDescent="0.2">
      <c r="Z6659" t="str">
        <f t="shared" ref="Z6659:Z6722" si="104">IF(K6659="","",IFERROR(VALUE(TRIM(MID(K6659,FIND(CHAR(167),SUBSTITUTE(K6659,"-",CHAR(167),LEN(K6659)-LEN(SUBSTITUTE(K6659,"-",""))))+1,100))),K6659))</f>
        <v/>
      </c>
    </row>
    <row r="6660" spans="26:26" x14ac:dyDescent="0.2">
      <c r="Z6660" t="str">
        <f t="shared" si="104"/>
        <v/>
      </c>
    </row>
    <row r="6661" spans="26:26" x14ac:dyDescent="0.2">
      <c r="Z6661" t="str">
        <f t="shared" si="104"/>
        <v/>
      </c>
    </row>
    <row r="6662" spans="26:26" x14ac:dyDescent="0.2">
      <c r="Z6662" t="str">
        <f t="shared" si="104"/>
        <v/>
      </c>
    </row>
    <row r="6663" spans="26:26" x14ac:dyDescent="0.2">
      <c r="Z6663" t="str">
        <f t="shared" si="104"/>
        <v/>
      </c>
    </row>
    <row r="6664" spans="26:26" x14ac:dyDescent="0.2">
      <c r="Z6664" t="str">
        <f t="shared" si="104"/>
        <v/>
      </c>
    </row>
    <row r="6665" spans="26:26" x14ac:dyDescent="0.2">
      <c r="Z6665" t="str">
        <f t="shared" si="104"/>
        <v/>
      </c>
    </row>
    <row r="6666" spans="26:26" x14ac:dyDescent="0.2">
      <c r="Z6666" t="str">
        <f t="shared" si="104"/>
        <v/>
      </c>
    </row>
    <row r="6667" spans="26:26" x14ac:dyDescent="0.2">
      <c r="Z6667" t="str">
        <f t="shared" si="104"/>
        <v/>
      </c>
    </row>
    <row r="6668" spans="26:26" x14ac:dyDescent="0.2">
      <c r="Z6668" t="str">
        <f t="shared" si="104"/>
        <v/>
      </c>
    </row>
    <row r="6669" spans="26:26" x14ac:dyDescent="0.2">
      <c r="Z6669" t="str">
        <f t="shared" si="104"/>
        <v/>
      </c>
    </row>
    <row r="6670" spans="26:26" x14ac:dyDescent="0.2">
      <c r="Z6670" t="str">
        <f t="shared" si="104"/>
        <v/>
      </c>
    </row>
    <row r="6671" spans="26:26" x14ac:dyDescent="0.2">
      <c r="Z6671" t="str">
        <f t="shared" si="104"/>
        <v/>
      </c>
    </row>
    <row r="6672" spans="26:26" x14ac:dyDescent="0.2">
      <c r="Z6672" t="str">
        <f t="shared" si="104"/>
        <v/>
      </c>
    </row>
    <row r="6673" spans="26:26" x14ac:dyDescent="0.2">
      <c r="Z6673" t="str">
        <f t="shared" si="104"/>
        <v/>
      </c>
    </row>
    <row r="6674" spans="26:26" x14ac:dyDescent="0.2">
      <c r="Z6674" t="str">
        <f t="shared" si="104"/>
        <v/>
      </c>
    </row>
    <row r="6675" spans="26:26" x14ac:dyDescent="0.2">
      <c r="Z6675" t="str">
        <f t="shared" si="104"/>
        <v/>
      </c>
    </row>
    <row r="6676" spans="26:26" x14ac:dyDescent="0.2">
      <c r="Z6676" t="str">
        <f t="shared" si="104"/>
        <v/>
      </c>
    </row>
    <row r="6677" spans="26:26" x14ac:dyDescent="0.2">
      <c r="Z6677" t="str">
        <f t="shared" si="104"/>
        <v/>
      </c>
    </row>
    <row r="6678" spans="26:26" x14ac:dyDescent="0.2">
      <c r="Z6678" t="str">
        <f t="shared" si="104"/>
        <v/>
      </c>
    </row>
    <row r="6679" spans="26:26" x14ac:dyDescent="0.2">
      <c r="Z6679" t="str">
        <f t="shared" si="104"/>
        <v/>
      </c>
    </row>
    <row r="6680" spans="26:26" x14ac:dyDescent="0.2">
      <c r="Z6680" t="str">
        <f t="shared" si="104"/>
        <v/>
      </c>
    </row>
    <row r="6681" spans="26:26" x14ac:dyDescent="0.2">
      <c r="Z6681" t="str">
        <f t="shared" si="104"/>
        <v/>
      </c>
    </row>
    <row r="6682" spans="26:26" x14ac:dyDescent="0.2">
      <c r="Z6682" t="str">
        <f t="shared" si="104"/>
        <v/>
      </c>
    </row>
    <row r="6683" spans="26:26" x14ac:dyDescent="0.2">
      <c r="Z6683" t="str">
        <f t="shared" si="104"/>
        <v/>
      </c>
    </row>
    <row r="6684" spans="26:26" x14ac:dyDescent="0.2">
      <c r="Z6684" t="str">
        <f t="shared" si="104"/>
        <v/>
      </c>
    </row>
    <row r="6685" spans="26:26" x14ac:dyDescent="0.2">
      <c r="Z6685" t="str">
        <f t="shared" si="104"/>
        <v/>
      </c>
    </row>
    <row r="6686" spans="26:26" x14ac:dyDescent="0.2">
      <c r="Z6686" t="str">
        <f t="shared" si="104"/>
        <v/>
      </c>
    </row>
    <row r="6687" spans="26:26" x14ac:dyDescent="0.2">
      <c r="Z6687" t="str">
        <f t="shared" si="104"/>
        <v/>
      </c>
    </row>
    <row r="6688" spans="26:26" x14ac:dyDescent="0.2">
      <c r="Z6688" t="str">
        <f t="shared" si="104"/>
        <v/>
      </c>
    </row>
    <row r="6689" spans="26:26" x14ac:dyDescent="0.2">
      <c r="Z6689" t="str">
        <f t="shared" si="104"/>
        <v/>
      </c>
    </row>
    <row r="6690" spans="26:26" x14ac:dyDescent="0.2">
      <c r="Z6690" t="str">
        <f t="shared" si="104"/>
        <v/>
      </c>
    </row>
    <row r="6691" spans="26:26" x14ac:dyDescent="0.2">
      <c r="Z6691" t="str">
        <f t="shared" si="104"/>
        <v/>
      </c>
    </row>
    <row r="6692" spans="26:26" x14ac:dyDescent="0.2">
      <c r="Z6692" t="str">
        <f t="shared" si="104"/>
        <v/>
      </c>
    </row>
    <row r="6693" spans="26:26" x14ac:dyDescent="0.2">
      <c r="Z6693" t="str">
        <f t="shared" si="104"/>
        <v/>
      </c>
    </row>
    <row r="6694" spans="26:26" x14ac:dyDescent="0.2">
      <c r="Z6694" t="str">
        <f t="shared" si="104"/>
        <v/>
      </c>
    </row>
    <row r="6695" spans="26:26" x14ac:dyDescent="0.2">
      <c r="Z6695" t="str">
        <f t="shared" si="104"/>
        <v/>
      </c>
    </row>
    <row r="6696" spans="26:26" x14ac:dyDescent="0.2">
      <c r="Z6696" t="str">
        <f t="shared" si="104"/>
        <v/>
      </c>
    </row>
    <row r="6697" spans="26:26" x14ac:dyDescent="0.2">
      <c r="Z6697" t="str">
        <f t="shared" si="104"/>
        <v/>
      </c>
    </row>
    <row r="6698" spans="26:26" x14ac:dyDescent="0.2">
      <c r="Z6698" t="str">
        <f t="shared" si="104"/>
        <v/>
      </c>
    </row>
    <row r="6699" spans="26:26" x14ac:dyDescent="0.2">
      <c r="Z6699" t="str">
        <f t="shared" si="104"/>
        <v/>
      </c>
    </row>
    <row r="6700" spans="26:26" x14ac:dyDescent="0.2">
      <c r="Z6700" t="str">
        <f t="shared" si="104"/>
        <v/>
      </c>
    </row>
    <row r="6701" spans="26:26" x14ac:dyDescent="0.2">
      <c r="Z6701" t="str">
        <f t="shared" si="104"/>
        <v/>
      </c>
    </row>
    <row r="6702" spans="26:26" x14ac:dyDescent="0.2">
      <c r="Z6702" t="str">
        <f t="shared" si="104"/>
        <v/>
      </c>
    </row>
    <row r="6703" spans="26:26" x14ac:dyDescent="0.2">
      <c r="Z6703" t="str">
        <f t="shared" si="104"/>
        <v/>
      </c>
    </row>
    <row r="6704" spans="26:26" x14ac:dyDescent="0.2">
      <c r="Z6704" t="str">
        <f t="shared" si="104"/>
        <v/>
      </c>
    </row>
    <row r="6705" spans="26:26" x14ac:dyDescent="0.2">
      <c r="Z6705" t="str">
        <f t="shared" si="104"/>
        <v/>
      </c>
    </row>
    <row r="6706" spans="26:26" x14ac:dyDescent="0.2">
      <c r="Z6706" t="str">
        <f t="shared" si="104"/>
        <v/>
      </c>
    </row>
    <row r="6707" spans="26:26" x14ac:dyDescent="0.2">
      <c r="Z6707" t="str">
        <f t="shared" si="104"/>
        <v/>
      </c>
    </row>
    <row r="6708" spans="26:26" x14ac:dyDescent="0.2">
      <c r="Z6708" t="str">
        <f t="shared" si="104"/>
        <v/>
      </c>
    </row>
    <row r="6709" spans="26:26" x14ac:dyDescent="0.2">
      <c r="Z6709" t="str">
        <f t="shared" si="104"/>
        <v/>
      </c>
    </row>
    <row r="6710" spans="26:26" x14ac:dyDescent="0.2">
      <c r="Z6710" t="str">
        <f t="shared" si="104"/>
        <v/>
      </c>
    </row>
    <row r="6711" spans="26:26" x14ac:dyDescent="0.2">
      <c r="Z6711" t="str">
        <f t="shared" si="104"/>
        <v/>
      </c>
    </row>
    <row r="6712" spans="26:26" x14ac:dyDescent="0.2">
      <c r="Z6712" t="str">
        <f t="shared" si="104"/>
        <v/>
      </c>
    </row>
    <row r="6713" spans="26:26" x14ac:dyDescent="0.2">
      <c r="Z6713" t="str">
        <f t="shared" si="104"/>
        <v/>
      </c>
    </row>
    <row r="6714" spans="26:26" x14ac:dyDescent="0.2">
      <c r="Z6714" t="str">
        <f t="shared" si="104"/>
        <v/>
      </c>
    </row>
    <row r="6715" spans="26:26" x14ac:dyDescent="0.2">
      <c r="Z6715" t="str">
        <f t="shared" si="104"/>
        <v/>
      </c>
    </row>
    <row r="6716" spans="26:26" x14ac:dyDescent="0.2">
      <c r="Z6716" t="str">
        <f t="shared" si="104"/>
        <v/>
      </c>
    </row>
    <row r="6717" spans="26:26" x14ac:dyDescent="0.2">
      <c r="Z6717" t="str">
        <f t="shared" si="104"/>
        <v/>
      </c>
    </row>
    <row r="6718" spans="26:26" x14ac:dyDescent="0.2">
      <c r="Z6718" t="str">
        <f t="shared" si="104"/>
        <v/>
      </c>
    </row>
    <row r="6719" spans="26:26" x14ac:dyDescent="0.2">
      <c r="Z6719" t="str">
        <f t="shared" si="104"/>
        <v/>
      </c>
    </row>
    <row r="6720" spans="26:26" x14ac:dyDescent="0.2">
      <c r="Z6720" t="str">
        <f t="shared" si="104"/>
        <v/>
      </c>
    </row>
    <row r="6721" spans="26:26" x14ac:dyDescent="0.2">
      <c r="Z6721" t="str">
        <f t="shared" si="104"/>
        <v/>
      </c>
    </row>
    <row r="6722" spans="26:26" x14ac:dyDescent="0.2">
      <c r="Z6722" t="str">
        <f t="shared" si="104"/>
        <v/>
      </c>
    </row>
    <row r="6723" spans="26:26" x14ac:dyDescent="0.2">
      <c r="Z6723" t="str">
        <f t="shared" ref="Z6723:Z6786" si="105">IF(K6723="","",IFERROR(VALUE(TRIM(MID(K6723,FIND(CHAR(167),SUBSTITUTE(K6723,"-",CHAR(167),LEN(K6723)-LEN(SUBSTITUTE(K6723,"-",""))))+1,100))),K6723))</f>
        <v/>
      </c>
    </row>
    <row r="6724" spans="26:26" x14ac:dyDescent="0.2">
      <c r="Z6724" t="str">
        <f t="shared" si="105"/>
        <v/>
      </c>
    </row>
    <row r="6725" spans="26:26" x14ac:dyDescent="0.2">
      <c r="Z6725" t="str">
        <f t="shared" si="105"/>
        <v/>
      </c>
    </row>
    <row r="6726" spans="26:26" x14ac:dyDescent="0.2">
      <c r="Z6726" t="str">
        <f t="shared" si="105"/>
        <v/>
      </c>
    </row>
    <row r="6727" spans="26:26" x14ac:dyDescent="0.2">
      <c r="Z6727" t="str">
        <f t="shared" si="105"/>
        <v/>
      </c>
    </row>
    <row r="6728" spans="26:26" x14ac:dyDescent="0.2">
      <c r="Z6728" t="str">
        <f t="shared" si="105"/>
        <v/>
      </c>
    </row>
    <row r="6729" spans="26:26" x14ac:dyDescent="0.2">
      <c r="Z6729" t="str">
        <f t="shared" si="105"/>
        <v/>
      </c>
    </row>
    <row r="6730" spans="26:26" x14ac:dyDescent="0.2">
      <c r="Z6730" t="str">
        <f t="shared" si="105"/>
        <v/>
      </c>
    </row>
    <row r="6731" spans="26:26" x14ac:dyDescent="0.2">
      <c r="Z6731" t="str">
        <f t="shared" si="105"/>
        <v/>
      </c>
    </row>
    <row r="6732" spans="26:26" x14ac:dyDescent="0.2">
      <c r="Z6732" t="str">
        <f t="shared" si="105"/>
        <v/>
      </c>
    </row>
    <row r="6733" spans="26:26" x14ac:dyDescent="0.2">
      <c r="Z6733" t="str">
        <f t="shared" si="105"/>
        <v/>
      </c>
    </row>
    <row r="6734" spans="26:26" x14ac:dyDescent="0.2">
      <c r="Z6734" t="str">
        <f t="shared" si="105"/>
        <v/>
      </c>
    </row>
    <row r="6735" spans="26:26" x14ac:dyDescent="0.2">
      <c r="Z6735" t="str">
        <f t="shared" si="105"/>
        <v/>
      </c>
    </row>
    <row r="6736" spans="26:26" x14ac:dyDescent="0.2">
      <c r="Z6736" t="str">
        <f t="shared" si="105"/>
        <v/>
      </c>
    </row>
    <row r="6737" spans="26:26" x14ac:dyDescent="0.2">
      <c r="Z6737" t="str">
        <f t="shared" si="105"/>
        <v/>
      </c>
    </row>
    <row r="6738" spans="26:26" x14ac:dyDescent="0.2">
      <c r="Z6738" t="str">
        <f t="shared" si="105"/>
        <v/>
      </c>
    </row>
    <row r="6739" spans="26:26" x14ac:dyDescent="0.2">
      <c r="Z6739" t="str">
        <f t="shared" si="105"/>
        <v/>
      </c>
    </row>
    <row r="6740" spans="26:26" x14ac:dyDescent="0.2">
      <c r="Z6740" t="str">
        <f t="shared" si="105"/>
        <v/>
      </c>
    </row>
    <row r="6741" spans="26:26" x14ac:dyDescent="0.2">
      <c r="Z6741" t="str">
        <f t="shared" si="105"/>
        <v/>
      </c>
    </row>
    <row r="6742" spans="26:26" x14ac:dyDescent="0.2">
      <c r="Z6742" t="str">
        <f t="shared" si="105"/>
        <v/>
      </c>
    </row>
    <row r="6743" spans="26:26" x14ac:dyDescent="0.2">
      <c r="Z6743" t="str">
        <f t="shared" si="105"/>
        <v/>
      </c>
    </row>
    <row r="6744" spans="26:26" x14ac:dyDescent="0.2">
      <c r="Z6744" t="str">
        <f t="shared" si="105"/>
        <v/>
      </c>
    </row>
    <row r="6745" spans="26:26" x14ac:dyDescent="0.2">
      <c r="Z6745" t="str">
        <f t="shared" si="105"/>
        <v/>
      </c>
    </row>
    <row r="6746" spans="26:26" x14ac:dyDescent="0.2">
      <c r="Z6746" t="str">
        <f t="shared" si="105"/>
        <v/>
      </c>
    </row>
    <row r="6747" spans="26:26" x14ac:dyDescent="0.2">
      <c r="Z6747" t="str">
        <f t="shared" si="105"/>
        <v/>
      </c>
    </row>
    <row r="6748" spans="26:26" x14ac:dyDescent="0.2">
      <c r="Z6748" t="str">
        <f t="shared" si="105"/>
        <v/>
      </c>
    </row>
    <row r="6749" spans="26:26" x14ac:dyDescent="0.2">
      <c r="Z6749" t="str">
        <f t="shared" si="105"/>
        <v/>
      </c>
    </row>
    <row r="6750" spans="26:26" x14ac:dyDescent="0.2">
      <c r="Z6750" t="str">
        <f t="shared" si="105"/>
        <v/>
      </c>
    </row>
    <row r="6751" spans="26:26" x14ac:dyDescent="0.2">
      <c r="Z6751" t="str">
        <f t="shared" si="105"/>
        <v/>
      </c>
    </row>
    <row r="6752" spans="26:26" x14ac:dyDescent="0.2">
      <c r="Z6752" t="str">
        <f t="shared" si="105"/>
        <v/>
      </c>
    </row>
    <row r="6753" spans="26:26" x14ac:dyDescent="0.2">
      <c r="Z6753" t="str">
        <f t="shared" si="105"/>
        <v/>
      </c>
    </row>
    <row r="6754" spans="26:26" x14ac:dyDescent="0.2">
      <c r="Z6754" t="str">
        <f t="shared" si="105"/>
        <v/>
      </c>
    </row>
    <row r="6755" spans="26:26" x14ac:dyDescent="0.2">
      <c r="Z6755" t="str">
        <f t="shared" si="105"/>
        <v/>
      </c>
    </row>
    <row r="6756" spans="26:26" x14ac:dyDescent="0.2">
      <c r="Z6756" t="str">
        <f t="shared" si="105"/>
        <v/>
      </c>
    </row>
    <row r="6757" spans="26:26" x14ac:dyDescent="0.2">
      <c r="Z6757" t="str">
        <f t="shared" si="105"/>
        <v/>
      </c>
    </row>
    <row r="6758" spans="26:26" x14ac:dyDescent="0.2">
      <c r="Z6758" t="str">
        <f t="shared" si="105"/>
        <v/>
      </c>
    </row>
    <row r="6759" spans="26:26" x14ac:dyDescent="0.2">
      <c r="Z6759" t="str">
        <f t="shared" si="105"/>
        <v/>
      </c>
    </row>
    <row r="6760" spans="26:26" x14ac:dyDescent="0.2">
      <c r="Z6760" t="str">
        <f t="shared" si="105"/>
        <v/>
      </c>
    </row>
    <row r="6761" spans="26:26" x14ac:dyDescent="0.2">
      <c r="Z6761" t="str">
        <f t="shared" si="105"/>
        <v/>
      </c>
    </row>
    <row r="6762" spans="26:26" x14ac:dyDescent="0.2">
      <c r="Z6762" t="str">
        <f t="shared" si="105"/>
        <v/>
      </c>
    </row>
    <row r="6763" spans="26:26" x14ac:dyDescent="0.2">
      <c r="Z6763" t="str">
        <f t="shared" si="105"/>
        <v/>
      </c>
    </row>
    <row r="6764" spans="26:26" x14ac:dyDescent="0.2">
      <c r="Z6764" t="str">
        <f t="shared" si="105"/>
        <v/>
      </c>
    </row>
    <row r="6765" spans="26:26" x14ac:dyDescent="0.2">
      <c r="Z6765" t="str">
        <f t="shared" si="105"/>
        <v/>
      </c>
    </row>
    <row r="6766" spans="26:26" x14ac:dyDescent="0.2">
      <c r="Z6766" t="str">
        <f t="shared" si="105"/>
        <v/>
      </c>
    </row>
    <row r="6767" spans="26:26" x14ac:dyDescent="0.2">
      <c r="Z6767" t="str">
        <f t="shared" si="105"/>
        <v/>
      </c>
    </row>
    <row r="6768" spans="26:26" x14ac:dyDescent="0.2">
      <c r="Z6768" t="str">
        <f t="shared" si="105"/>
        <v/>
      </c>
    </row>
    <row r="6769" spans="26:26" x14ac:dyDescent="0.2">
      <c r="Z6769" t="str">
        <f t="shared" si="105"/>
        <v/>
      </c>
    </row>
    <row r="6770" spans="26:26" x14ac:dyDescent="0.2">
      <c r="Z6770" t="str">
        <f t="shared" si="105"/>
        <v/>
      </c>
    </row>
    <row r="6771" spans="26:26" x14ac:dyDescent="0.2">
      <c r="Z6771" t="str">
        <f t="shared" si="105"/>
        <v/>
      </c>
    </row>
    <row r="6772" spans="26:26" x14ac:dyDescent="0.2">
      <c r="Z6772" t="str">
        <f t="shared" si="105"/>
        <v/>
      </c>
    </row>
    <row r="6773" spans="26:26" x14ac:dyDescent="0.2">
      <c r="Z6773" t="str">
        <f t="shared" si="105"/>
        <v/>
      </c>
    </row>
    <row r="6774" spans="26:26" x14ac:dyDescent="0.2">
      <c r="Z6774" t="str">
        <f t="shared" si="105"/>
        <v/>
      </c>
    </row>
    <row r="6775" spans="26:26" x14ac:dyDescent="0.2">
      <c r="Z6775" t="str">
        <f t="shared" si="105"/>
        <v/>
      </c>
    </row>
    <row r="6776" spans="26:26" x14ac:dyDescent="0.2">
      <c r="Z6776" t="str">
        <f t="shared" si="105"/>
        <v/>
      </c>
    </row>
    <row r="6777" spans="26:26" x14ac:dyDescent="0.2">
      <c r="Z6777" t="str">
        <f t="shared" si="105"/>
        <v/>
      </c>
    </row>
    <row r="6778" spans="26:26" x14ac:dyDescent="0.2">
      <c r="Z6778" t="str">
        <f t="shared" si="105"/>
        <v/>
      </c>
    </row>
    <row r="6779" spans="26:26" x14ac:dyDescent="0.2">
      <c r="Z6779" t="str">
        <f t="shared" si="105"/>
        <v/>
      </c>
    </row>
    <row r="6780" spans="26:26" x14ac:dyDescent="0.2">
      <c r="Z6780" t="str">
        <f t="shared" si="105"/>
        <v/>
      </c>
    </row>
    <row r="6781" spans="26:26" x14ac:dyDescent="0.2">
      <c r="Z6781" t="str">
        <f t="shared" si="105"/>
        <v/>
      </c>
    </row>
    <row r="6782" spans="26:26" x14ac:dyDescent="0.2">
      <c r="Z6782" t="str">
        <f t="shared" si="105"/>
        <v/>
      </c>
    </row>
    <row r="6783" spans="26:26" x14ac:dyDescent="0.2">
      <c r="Z6783" t="str">
        <f t="shared" si="105"/>
        <v/>
      </c>
    </row>
    <row r="6784" spans="26:26" x14ac:dyDescent="0.2">
      <c r="Z6784" t="str">
        <f t="shared" si="105"/>
        <v/>
      </c>
    </row>
    <row r="6785" spans="26:26" x14ac:dyDescent="0.2">
      <c r="Z6785" t="str">
        <f t="shared" si="105"/>
        <v/>
      </c>
    </row>
    <row r="6786" spans="26:26" x14ac:dyDescent="0.2">
      <c r="Z6786" t="str">
        <f t="shared" si="105"/>
        <v/>
      </c>
    </row>
    <row r="6787" spans="26:26" x14ac:dyDescent="0.2">
      <c r="Z6787" t="str">
        <f t="shared" ref="Z6787:Z6850" si="106">IF(K6787="","",IFERROR(VALUE(TRIM(MID(K6787,FIND(CHAR(167),SUBSTITUTE(K6787,"-",CHAR(167),LEN(K6787)-LEN(SUBSTITUTE(K6787,"-",""))))+1,100))),K6787))</f>
        <v/>
      </c>
    </row>
    <row r="6788" spans="26:26" x14ac:dyDescent="0.2">
      <c r="Z6788" t="str">
        <f t="shared" si="106"/>
        <v/>
      </c>
    </row>
    <row r="6789" spans="26:26" x14ac:dyDescent="0.2">
      <c r="Z6789" t="str">
        <f t="shared" si="106"/>
        <v/>
      </c>
    </row>
    <row r="6790" spans="26:26" x14ac:dyDescent="0.2">
      <c r="Z6790" t="str">
        <f t="shared" si="106"/>
        <v/>
      </c>
    </row>
    <row r="6791" spans="26:26" x14ac:dyDescent="0.2">
      <c r="Z6791" t="str">
        <f t="shared" si="106"/>
        <v/>
      </c>
    </row>
    <row r="6792" spans="26:26" x14ac:dyDescent="0.2">
      <c r="Z6792" t="str">
        <f t="shared" si="106"/>
        <v/>
      </c>
    </row>
    <row r="6793" spans="26:26" x14ac:dyDescent="0.2">
      <c r="Z6793" t="str">
        <f t="shared" si="106"/>
        <v/>
      </c>
    </row>
    <row r="6794" spans="26:26" x14ac:dyDescent="0.2">
      <c r="Z6794" t="str">
        <f t="shared" si="106"/>
        <v/>
      </c>
    </row>
    <row r="6795" spans="26:26" x14ac:dyDescent="0.2">
      <c r="Z6795" t="str">
        <f t="shared" si="106"/>
        <v/>
      </c>
    </row>
    <row r="6796" spans="26:26" x14ac:dyDescent="0.2">
      <c r="Z6796" t="str">
        <f t="shared" si="106"/>
        <v/>
      </c>
    </row>
    <row r="6797" spans="26:26" x14ac:dyDescent="0.2">
      <c r="Z6797" t="str">
        <f t="shared" si="106"/>
        <v/>
      </c>
    </row>
    <row r="6798" spans="26:26" x14ac:dyDescent="0.2">
      <c r="Z6798" t="str">
        <f t="shared" si="106"/>
        <v/>
      </c>
    </row>
    <row r="6799" spans="26:26" x14ac:dyDescent="0.2">
      <c r="Z6799" t="str">
        <f t="shared" si="106"/>
        <v/>
      </c>
    </row>
    <row r="6800" spans="26:26" x14ac:dyDescent="0.2">
      <c r="Z6800" t="str">
        <f t="shared" si="106"/>
        <v/>
      </c>
    </row>
    <row r="6801" spans="26:26" x14ac:dyDescent="0.2">
      <c r="Z6801" t="str">
        <f t="shared" si="106"/>
        <v/>
      </c>
    </row>
    <row r="6802" spans="26:26" x14ac:dyDescent="0.2">
      <c r="Z6802" t="str">
        <f t="shared" si="106"/>
        <v/>
      </c>
    </row>
    <row r="6803" spans="26:26" x14ac:dyDescent="0.2">
      <c r="Z6803" t="str">
        <f t="shared" si="106"/>
        <v/>
      </c>
    </row>
    <row r="6804" spans="26:26" x14ac:dyDescent="0.2">
      <c r="Z6804" t="str">
        <f t="shared" si="106"/>
        <v/>
      </c>
    </row>
    <row r="6805" spans="26:26" x14ac:dyDescent="0.2">
      <c r="Z6805" t="str">
        <f t="shared" si="106"/>
        <v/>
      </c>
    </row>
    <row r="6806" spans="26:26" x14ac:dyDescent="0.2">
      <c r="Z6806" t="str">
        <f t="shared" si="106"/>
        <v/>
      </c>
    </row>
    <row r="6807" spans="26:26" x14ac:dyDescent="0.2">
      <c r="Z6807" t="str">
        <f t="shared" si="106"/>
        <v/>
      </c>
    </row>
    <row r="6808" spans="26:26" x14ac:dyDescent="0.2">
      <c r="Z6808" t="str">
        <f t="shared" si="106"/>
        <v/>
      </c>
    </row>
    <row r="6809" spans="26:26" x14ac:dyDescent="0.2">
      <c r="Z6809" t="str">
        <f t="shared" si="106"/>
        <v/>
      </c>
    </row>
    <row r="6810" spans="26:26" x14ac:dyDescent="0.2">
      <c r="Z6810" t="str">
        <f t="shared" si="106"/>
        <v/>
      </c>
    </row>
    <row r="6811" spans="26:26" x14ac:dyDescent="0.2">
      <c r="Z6811" t="str">
        <f t="shared" si="106"/>
        <v/>
      </c>
    </row>
    <row r="6812" spans="26:26" x14ac:dyDescent="0.2">
      <c r="Z6812" t="str">
        <f t="shared" si="106"/>
        <v/>
      </c>
    </row>
    <row r="6813" spans="26:26" x14ac:dyDescent="0.2">
      <c r="Z6813" t="str">
        <f t="shared" si="106"/>
        <v/>
      </c>
    </row>
    <row r="6814" spans="26:26" x14ac:dyDescent="0.2">
      <c r="Z6814" t="str">
        <f t="shared" si="106"/>
        <v/>
      </c>
    </row>
    <row r="6815" spans="26:26" x14ac:dyDescent="0.2">
      <c r="Z6815" t="str">
        <f t="shared" si="106"/>
        <v/>
      </c>
    </row>
    <row r="6816" spans="26:26" x14ac:dyDescent="0.2">
      <c r="Z6816" t="str">
        <f t="shared" si="106"/>
        <v/>
      </c>
    </row>
    <row r="6817" spans="26:26" x14ac:dyDescent="0.2">
      <c r="Z6817" t="str">
        <f t="shared" si="106"/>
        <v/>
      </c>
    </row>
    <row r="6818" spans="26:26" x14ac:dyDescent="0.2">
      <c r="Z6818" t="str">
        <f t="shared" si="106"/>
        <v/>
      </c>
    </row>
    <row r="6819" spans="26:26" x14ac:dyDescent="0.2">
      <c r="Z6819" t="str">
        <f t="shared" si="106"/>
        <v/>
      </c>
    </row>
    <row r="6820" spans="26:26" x14ac:dyDescent="0.2">
      <c r="Z6820" t="str">
        <f t="shared" si="106"/>
        <v/>
      </c>
    </row>
    <row r="6821" spans="26:26" x14ac:dyDescent="0.2">
      <c r="Z6821" t="str">
        <f t="shared" si="106"/>
        <v/>
      </c>
    </row>
    <row r="6822" spans="26:26" x14ac:dyDescent="0.2">
      <c r="Z6822" t="str">
        <f t="shared" si="106"/>
        <v/>
      </c>
    </row>
    <row r="6823" spans="26:26" x14ac:dyDescent="0.2">
      <c r="Z6823" t="str">
        <f t="shared" si="106"/>
        <v/>
      </c>
    </row>
    <row r="6824" spans="26:26" x14ac:dyDescent="0.2">
      <c r="Z6824" t="str">
        <f t="shared" si="106"/>
        <v/>
      </c>
    </row>
    <row r="6825" spans="26:26" x14ac:dyDescent="0.2">
      <c r="Z6825" t="str">
        <f t="shared" si="106"/>
        <v/>
      </c>
    </row>
    <row r="6826" spans="26:26" x14ac:dyDescent="0.2">
      <c r="Z6826" t="str">
        <f t="shared" si="106"/>
        <v/>
      </c>
    </row>
    <row r="6827" spans="26:26" x14ac:dyDescent="0.2">
      <c r="Z6827" t="str">
        <f t="shared" si="106"/>
        <v/>
      </c>
    </row>
    <row r="6828" spans="26:26" x14ac:dyDescent="0.2">
      <c r="Z6828" t="str">
        <f t="shared" si="106"/>
        <v/>
      </c>
    </row>
    <row r="6829" spans="26:26" x14ac:dyDescent="0.2">
      <c r="Z6829" t="str">
        <f t="shared" si="106"/>
        <v/>
      </c>
    </row>
    <row r="6830" spans="26:26" x14ac:dyDescent="0.2">
      <c r="Z6830" t="str">
        <f t="shared" si="106"/>
        <v/>
      </c>
    </row>
    <row r="6831" spans="26:26" x14ac:dyDescent="0.2">
      <c r="Z6831" t="str">
        <f t="shared" si="106"/>
        <v/>
      </c>
    </row>
    <row r="6832" spans="26:26" x14ac:dyDescent="0.2">
      <c r="Z6832" t="str">
        <f t="shared" si="106"/>
        <v/>
      </c>
    </row>
    <row r="6833" spans="26:26" x14ac:dyDescent="0.2">
      <c r="Z6833" t="str">
        <f t="shared" si="106"/>
        <v/>
      </c>
    </row>
    <row r="6834" spans="26:26" x14ac:dyDescent="0.2">
      <c r="Z6834" t="str">
        <f t="shared" si="106"/>
        <v/>
      </c>
    </row>
    <row r="6835" spans="26:26" x14ac:dyDescent="0.2">
      <c r="Z6835" t="str">
        <f t="shared" si="106"/>
        <v/>
      </c>
    </row>
    <row r="6836" spans="26:26" x14ac:dyDescent="0.2">
      <c r="Z6836" t="str">
        <f t="shared" si="106"/>
        <v/>
      </c>
    </row>
    <row r="6837" spans="26:26" x14ac:dyDescent="0.2">
      <c r="Z6837" t="str">
        <f t="shared" si="106"/>
        <v/>
      </c>
    </row>
    <row r="6838" spans="26:26" x14ac:dyDescent="0.2">
      <c r="Z6838" t="str">
        <f t="shared" si="106"/>
        <v/>
      </c>
    </row>
    <row r="6839" spans="26:26" x14ac:dyDescent="0.2">
      <c r="Z6839" t="str">
        <f t="shared" si="106"/>
        <v/>
      </c>
    </row>
    <row r="6840" spans="26:26" x14ac:dyDescent="0.2">
      <c r="Z6840" t="str">
        <f t="shared" si="106"/>
        <v/>
      </c>
    </row>
    <row r="6841" spans="26:26" x14ac:dyDescent="0.2">
      <c r="Z6841" t="str">
        <f t="shared" si="106"/>
        <v/>
      </c>
    </row>
    <row r="6842" spans="26:26" x14ac:dyDescent="0.2">
      <c r="Z6842" t="str">
        <f t="shared" si="106"/>
        <v/>
      </c>
    </row>
    <row r="6843" spans="26:26" x14ac:dyDescent="0.2">
      <c r="Z6843" t="str">
        <f t="shared" si="106"/>
        <v/>
      </c>
    </row>
    <row r="6844" spans="26:26" x14ac:dyDescent="0.2">
      <c r="Z6844" t="str">
        <f t="shared" si="106"/>
        <v/>
      </c>
    </row>
    <row r="6845" spans="26:26" x14ac:dyDescent="0.2">
      <c r="Z6845" t="str">
        <f t="shared" si="106"/>
        <v/>
      </c>
    </row>
    <row r="6846" spans="26:26" x14ac:dyDescent="0.2">
      <c r="Z6846" t="str">
        <f t="shared" si="106"/>
        <v/>
      </c>
    </row>
    <row r="6847" spans="26:26" x14ac:dyDescent="0.2">
      <c r="Z6847" t="str">
        <f t="shared" si="106"/>
        <v/>
      </c>
    </row>
    <row r="6848" spans="26:26" x14ac:dyDescent="0.2">
      <c r="Z6848" t="str">
        <f t="shared" si="106"/>
        <v/>
      </c>
    </row>
    <row r="6849" spans="26:26" x14ac:dyDescent="0.2">
      <c r="Z6849" t="str">
        <f t="shared" si="106"/>
        <v/>
      </c>
    </row>
    <row r="6850" spans="26:26" x14ac:dyDescent="0.2">
      <c r="Z6850" t="str">
        <f t="shared" si="106"/>
        <v/>
      </c>
    </row>
    <row r="6851" spans="26:26" x14ac:dyDescent="0.2">
      <c r="Z6851" t="str">
        <f t="shared" ref="Z6851:Z6914" si="107">IF(K6851="","",IFERROR(VALUE(TRIM(MID(K6851,FIND(CHAR(167),SUBSTITUTE(K6851,"-",CHAR(167),LEN(K6851)-LEN(SUBSTITUTE(K6851,"-",""))))+1,100))),K6851))</f>
        <v/>
      </c>
    </row>
    <row r="6852" spans="26:26" x14ac:dyDescent="0.2">
      <c r="Z6852" t="str">
        <f t="shared" si="107"/>
        <v/>
      </c>
    </row>
    <row r="6853" spans="26:26" x14ac:dyDescent="0.2">
      <c r="Z6853" t="str">
        <f t="shared" si="107"/>
        <v/>
      </c>
    </row>
    <row r="6854" spans="26:26" x14ac:dyDescent="0.2">
      <c r="Z6854" t="str">
        <f t="shared" si="107"/>
        <v/>
      </c>
    </row>
    <row r="6855" spans="26:26" x14ac:dyDescent="0.2">
      <c r="Z6855" t="str">
        <f t="shared" si="107"/>
        <v/>
      </c>
    </row>
    <row r="6856" spans="26:26" x14ac:dyDescent="0.2">
      <c r="Z6856" t="str">
        <f t="shared" si="107"/>
        <v/>
      </c>
    </row>
    <row r="6857" spans="26:26" x14ac:dyDescent="0.2">
      <c r="Z6857" t="str">
        <f t="shared" si="107"/>
        <v/>
      </c>
    </row>
    <row r="6858" spans="26:26" x14ac:dyDescent="0.2">
      <c r="Z6858" t="str">
        <f t="shared" si="107"/>
        <v/>
      </c>
    </row>
    <row r="6859" spans="26:26" x14ac:dyDescent="0.2">
      <c r="Z6859" t="str">
        <f t="shared" si="107"/>
        <v/>
      </c>
    </row>
    <row r="6860" spans="26:26" x14ac:dyDescent="0.2">
      <c r="Z6860" t="str">
        <f t="shared" si="107"/>
        <v/>
      </c>
    </row>
    <row r="6861" spans="26:26" x14ac:dyDescent="0.2">
      <c r="Z6861" t="str">
        <f t="shared" si="107"/>
        <v/>
      </c>
    </row>
    <row r="6862" spans="26:26" x14ac:dyDescent="0.2">
      <c r="Z6862" t="str">
        <f t="shared" si="107"/>
        <v/>
      </c>
    </row>
    <row r="6863" spans="26:26" x14ac:dyDescent="0.2">
      <c r="Z6863" t="str">
        <f t="shared" si="107"/>
        <v/>
      </c>
    </row>
    <row r="6864" spans="26:26" x14ac:dyDescent="0.2">
      <c r="Z6864" t="str">
        <f t="shared" si="107"/>
        <v/>
      </c>
    </row>
    <row r="6865" spans="26:26" x14ac:dyDescent="0.2">
      <c r="Z6865" t="str">
        <f t="shared" si="107"/>
        <v/>
      </c>
    </row>
    <row r="6866" spans="26:26" x14ac:dyDescent="0.2">
      <c r="Z6866" t="str">
        <f t="shared" si="107"/>
        <v/>
      </c>
    </row>
    <row r="6867" spans="26:26" x14ac:dyDescent="0.2">
      <c r="Z6867" t="str">
        <f t="shared" si="107"/>
        <v/>
      </c>
    </row>
    <row r="6868" spans="26:26" x14ac:dyDescent="0.2">
      <c r="Z6868" t="str">
        <f t="shared" si="107"/>
        <v/>
      </c>
    </row>
    <row r="6869" spans="26:26" x14ac:dyDescent="0.2">
      <c r="Z6869" t="str">
        <f t="shared" si="107"/>
        <v/>
      </c>
    </row>
    <row r="6870" spans="26:26" x14ac:dyDescent="0.2">
      <c r="Z6870" t="str">
        <f t="shared" si="107"/>
        <v/>
      </c>
    </row>
    <row r="6871" spans="26:26" x14ac:dyDescent="0.2">
      <c r="Z6871" t="str">
        <f t="shared" si="107"/>
        <v/>
      </c>
    </row>
    <row r="6872" spans="26:26" x14ac:dyDescent="0.2">
      <c r="Z6872" t="str">
        <f t="shared" si="107"/>
        <v/>
      </c>
    </row>
    <row r="6873" spans="26:26" x14ac:dyDescent="0.2">
      <c r="Z6873" t="str">
        <f t="shared" si="107"/>
        <v/>
      </c>
    </row>
    <row r="6874" spans="26:26" x14ac:dyDescent="0.2">
      <c r="Z6874" t="str">
        <f t="shared" si="107"/>
        <v/>
      </c>
    </row>
    <row r="6875" spans="26:26" x14ac:dyDescent="0.2">
      <c r="Z6875" t="str">
        <f t="shared" si="107"/>
        <v/>
      </c>
    </row>
    <row r="6876" spans="26:26" x14ac:dyDescent="0.2">
      <c r="Z6876" t="str">
        <f t="shared" si="107"/>
        <v/>
      </c>
    </row>
    <row r="6877" spans="26:26" x14ac:dyDescent="0.2">
      <c r="Z6877" t="str">
        <f t="shared" si="107"/>
        <v/>
      </c>
    </row>
    <row r="6878" spans="26:26" x14ac:dyDescent="0.2">
      <c r="Z6878" t="str">
        <f t="shared" si="107"/>
        <v/>
      </c>
    </row>
    <row r="6879" spans="26:26" x14ac:dyDescent="0.2">
      <c r="Z6879" t="str">
        <f t="shared" si="107"/>
        <v/>
      </c>
    </row>
    <row r="6880" spans="26:26" x14ac:dyDescent="0.2">
      <c r="Z6880" t="str">
        <f t="shared" si="107"/>
        <v/>
      </c>
    </row>
    <row r="6881" spans="26:26" x14ac:dyDescent="0.2">
      <c r="Z6881" t="str">
        <f t="shared" si="107"/>
        <v/>
      </c>
    </row>
    <row r="6882" spans="26:26" x14ac:dyDescent="0.2">
      <c r="Z6882" t="str">
        <f t="shared" si="107"/>
        <v/>
      </c>
    </row>
    <row r="6883" spans="26:26" x14ac:dyDescent="0.2">
      <c r="Z6883" t="str">
        <f t="shared" si="107"/>
        <v/>
      </c>
    </row>
    <row r="6884" spans="26:26" x14ac:dyDescent="0.2">
      <c r="Z6884" t="str">
        <f t="shared" si="107"/>
        <v/>
      </c>
    </row>
    <row r="6885" spans="26:26" x14ac:dyDescent="0.2">
      <c r="Z6885" t="str">
        <f t="shared" si="107"/>
        <v/>
      </c>
    </row>
    <row r="6886" spans="26:26" x14ac:dyDescent="0.2">
      <c r="Z6886" t="str">
        <f t="shared" si="107"/>
        <v/>
      </c>
    </row>
    <row r="6887" spans="26:26" x14ac:dyDescent="0.2">
      <c r="Z6887" t="str">
        <f t="shared" si="107"/>
        <v/>
      </c>
    </row>
    <row r="6888" spans="26:26" x14ac:dyDescent="0.2">
      <c r="Z6888" t="str">
        <f t="shared" si="107"/>
        <v/>
      </c>
    </row>
    <row r="6889" spans="26:26" x14ac:dyDescent="0.2">
      <c r="Z6889" t="str">
        <f t="shared" si="107"/>
        <v/>
      </c>
    </row>
    <row r="6890" spans="26:26" x14ac:dyDescent="0.2">
      <c r="Z6890" t="str">
        <f t="shared" si="107"/>
        <v/>
      </c>
    </row>
    <row r="6891" spans="26:26" x14ac:dyDescent="0.2">
      <c r="Z6891" t="str">
        <f t="shared" si="107"/>
        <v/>
      </c>
    </row>
    <row r="6892" spans="26:26" x14ac:dyDescent="0.2">
      <c r="Z6892" t="str">
        <f t="shared" si="107"/>
        <v/>
      </c>
    </row>
    <row r="6893" spans="26:26" x14ac:dyDescent="0.2">
      <c r="Z6893" t="str">
        <f t="shared" si="107"/>
        <v/>
      </c>
    </row>
    <row r="6894" spans="26:26" x14ac:dyDescent="0.2">
      <c r="Z6894" t="str">
        <f t="shared" si="107"/>
        <v/>
      </c>
    </row>
    <row r="6895" spans="26:26" x14ac:dyDescent="0.2">
      <c r="Z6895" t="str">
        <f t="shared" si="107"/>
        <v/>
      </c>
    </row>
    <row r="6896" spans="26:26" x14ac:dyDescent="0.2">
      <c r="Z6896" t="str">
        <f t="shared" si="107"/>
        <v/>
      </c>
    </row>
    <row r="6897" spans="26:26" x14ac:dyDescent="0.2">
      <c r="Z6897" t="str">
        <f t="shared" si="107"/>
        <v/>
      </c>
    </row>
    <row r="6898" spans="26:26" x14ac:dyDescent="0.2">
      <c r="Z6898" t="str">
        <f t="shared" si="107"/>
        <v/>
      </c>
    </row>
    <row r="6899" spans="26:26" x14ac:dyDescent="0.2">
      <c r="Z6899" t="str">
        <f t="shared" si="107"/>
        <v/>
      </c>
    </row>
    <row r="6900" spans="26:26" x14ac:dyDescent="0.2">
      <c r="Z6900" t="str">
        <f t="shared" si="107"/>
        <v/>
      </c>
    </row>
    <row r="6901" spans="26:26" x14ac:dyDescent="0.2">
      <c r="Z6901" t="str">
        <f t="shared" si="107"/>
        <v/>
      </c>
    </row>
    <row r="6902" spans="26:26" x14ac:dyDescent="0.2">
      <c r="Z6902" t="str">
        <f t="shared" si="107"/>
        <v/>
      </c>
    </row>
    <row r="6903" spans="26:26" x14ac:dyDescent="0.2">
      <c r="Z6903" t="str">
        <f t="shared" si="107"/>
        <v/>
      </c>
    </row>
    <row r="6904" spans="26:26" x14ac:dyDescent="0.2">
      <c r="Z6904" t="str">
        <f t="shared" si="107"/>
        <v/>
      </c>
    </row>
    <row r="6905" spans="26:26" x14ac:dyDescent="0.2">
      <c r="Z6905" t="str">
        <f t="shared" si="107"/>
        <v/>
      </c>
    </row>
    <row r="6906" spans="26:26" x14ac:dyDescent="0.2">
      <c r="Z6906" t="str">
        <f t="shared" si="107"/>
        <v/>
      </c>
    </row>
    <row r="6907" spans="26:26" x14ac:dyDescent="0.2">
      <c r="Z6907" t="str">
        <f t="shared" si="107"/>
        <v/>
      </c>
    </row>
    <row r="6908" spans="26:26" x14ac:dyDescent="0.2">
      <c r="Z6908" t="str">
        <f t="shared" si="107"/>
        <v/>
      </c>
    </row>
    <row r="6909" spans="26:26" x14ac:dyDescent="0.2">
      <c r="Z6909" t="str">
        <f t="shared" si="107"/>
        <v/>
      </c>
    </row>
    <row r="6910" spans="26:26" x14ac:dyDescent="0.2">
      <c r="Z6910" t="str">
        <f t="shared" si="107"/>
        <v/>
      </c>
    </row>
    <row r="6911" spans="26:26" x14ac:dyDescent="0.2">
      <c r="Z6911" t="str">
        <f t="shared" si="107"/>
        <v/>
      </c>
    </row>
    <row r="6912" spans="26:26" x14ac:dyDescent="0.2">
      <c r="Z6912" t="str">
        <f t="shared" si="107"/>
        <v/>
      </c>
    </row>
    <row r="6913" spans="26:26" x14ac:dyDescent="0.2">
      <c r="Z6913" t="str">
        <f t="shared" si="107"/>
        <v/>
      </c>
    </row>
    <row r="6914" spans="26:26" x14ac:dyDescent="0.2">
      <c r="Z6914" t="str">
        <f t="shared" si="107"/>
        <v/>
      </c>
    </row>
    <row r="6915" spans="26:26" x14ac:dyDescent="0.2">
      <c r="Z6915" t="str">
        <f t="shared" ref="Z6915:Z6978" si="108">IF(K6915="","",IFERROR(VALUE(TRIM(MID(K6915,FIND(CHAR(167),SUBSTITUTE(K6915,"-",CHAR(167),LEN(K6915)-LEN(SUBSTITUTE(K6915,"-",""))))+1,100))),K6915))</f>
        <v/>
      </c>
    </row>
    <row r="6916" spans="26:26" x14ac:dyDescent="0.2">
      <c r="Z6916" t="str">
        <f t="shared" si="108"/>
        <v/>
      </c>
    </row>
    <row r="6917" spans="26:26" x14ac:dyDescent="0.2">
      <c r="Z6917" t="str">
        <f t="shared" si="108"/>
        <v/>
      </c>
    </row>
    <row r="6918" spans="26:26" x14ac:dyDescent="0.2">
      <c r="Z6918" t="str">
        <f t="shared" si="108"/>
        <v/>
      </c>
    </row>
    <row r="6919" spans="26:26" x14ac:dyDescent="0.2">
      <c r="Z6919" t="str">
        <f t="shared" si="108"/>
        <v/>
      </c>
    </row>
    <row r="6920" spans="26:26" x14ac:dyDescent="0.2">
      <c r="Z6920" t="str">
        <f t="shared" si="108"/>
        <v/>
      </c>
    </row>
    <row r="6921" spans="26:26" x14ac:dyDescent="0.2">
      <c r="Z6921" t="str">
        <f t="shared" si="108"/>
        <v/>
      </c>
    </row>
    <row r="6922" spans="26:26" x14ac:dyDescent="0.2">
      <c r="Z6922" t="str">
        <f t="shared" si="108"/>
        <v/>
      </c>
    </row>
    <row r="6923" spans="26:26" x14ac:dyDescent="0.2">
      <c r="Z6923" t="str">
        <f t="shared" si="108"/>
        <v/>
      </c>
    </row>
    <row r="6924" spans="26:26" x14ac:dyDescent="0.2">
      <c r="Z6924" t="str">
        <f t="shared" si="108"/>
        <v/>
      </c>
    </row>
    <row r="6925" spans="26:26" x14ac:dyDescent="0.2">
      <c r="Z6925" t="str">
        <f t="shared" si="108"/>
        <v/>
      </c>
    </row>
    <row r="6926" spans="26:26" x14ac:dyDescent="0.2">
      <c r="Z6926" t="str">
        <f t="shared" si="108"/>
        <v/>
      </c>
    </row>
    <row r="6927" spans="26:26" x14ac:dyDescent="0.2">
      <c r="Z6927" t="str">
        <f t="shared" si="108"/>
        <v/>
      </c>
    </row>
    <row r="6928" spans="26:26" x14ac:dyDescent="0.2">
      <c r="Z6928" t="str">
        <f t="shared" si="108"/>
        <v/>
      </c>
    </row>
    <row r="6929" spans="26:26" x14ac:dyDescent="0.2">
      <c r="Z6929" t="str">
        <f t="shared" si="108"/>
        <v/>
      </c>
    </row>
    <row r="6930" spans="26:26" x14ac:dyDescent="0.2">
      <c r="Z6930" t="str">
        <f t="shared" si="108"/>
        <v/>
      </c>
    </row>
    <row r="6931" spans="26:26" x14ac:dyDescent="0.2">
      <c r="Z6931" t="str">
        <f t="shared" si="108"/>
        <v/>
      </c>
    </row>
    <row r="6932" spans="26:26" x14ac:dyDescent="0.2">
      <c r="Z6932" t="str">
        <f t="shared" si="108"/>
        <v/>
      </c>
    </row>
    <row r="6933" spans="26:26" x14ac:dyDescent="0.2">
      <c r="Z6933" t="str">
        <f t="shared" si="108"/>
        <v/>
      </c>
    </row>
    <row r="6934" spans="26:26" x14ac:dyDescent="0.2">
      <c r="Z6934" t="str">
        <f t="shared" si="108"/>
        <v/>
      </c>
    </row>
    <row r="6935" spans="26:26" x14ac:dyDescent="0.2">
      <c r="Z6935" t="str">
        <f t="shared" si="108"/>
        <v/>
      </c>
    </row>
    <row r="6936" spans="26:26" x14ac:dyDescent="0.2">
      <c r="Z6936" t="str">
        <f t="shared" si="108"/>
        <v/>
      </c>
    </row>
    <row r="6937" spans="26:26" x14ac:dyDescent="0.2">
      <c r="Z6937" t="str">
        <f t="shared" si="108"/>
        <v/>
      </c>
    </row>
    <row r="6938" spans="26:26" x14ac:dyDescent="0.2">
      <c r="Z6938" t="str">
        <f t="shared" si="108"/>
        <v/>
      </c>
    </row>
    <row r="6939" spans="26:26" x14ac:dyDescent="0.2">
      <c r="Z6939" t="str">
        <f t="shared" si="108"/>
        <v/>
      </c>
    </row>
    <row r="6940" spans="26:26" x14ac:dyDescent="0.2">
      <c r="Z6940" t="str">
        <f t="shared" si="108"/>
        <v/>
      </c>
    </row>
    <row r="6941" spans="26:26" x14ac:dyDescent="0.2">
      <c r="Z6941" t="str">
        <f t="shared" si="108"/>
        <v/>
      </c>
    </row>
    <row r="6942" spans="26:26" x14ac:dyDescent="0.2">
      <c r="Z6942" t="str">
        <f t="shared" si="108"/>
        <v/>
      </c>
    </row>
    <row r="6943" spans="26:26" x14ac:dyDescent="0.2">
      <c r="Z6943" t="str">
        <f t="shared" si="108"/>
        <v/>
      </c>
    </row>
    <row r="6944" spans="26:26" x14ac:dyDescent="0.2">
      <c r="Z6944" t="str">
        <f t="shared" si="108"/>
        <v/>
      </c>
    </row>
    <row r="6945" spans="26:26" x14ac:dyDescent="0.2">
      <c r="Z6945" t="str">
        <f t="shared" si="108"/>
        <v/>
      </c>
    </row>
    <row r="6946" spans="26:26" x14ac:dyDescent="0.2">
      <c r="Z6946" t="str">
        <f t="shared" si="108"/>
        <v/>
      </c>
    </row>
    <row r="6947" spans="26:26" x14ac:dyDescent="0.2">
      <c r="Z6947" t="str">
        <f t="shared" si="108"/>
        <v/>
      </c>
    </row>
    <row r="6948" spans="26:26" x14ac:dyDescent="0.2">
      <c r="Z6948" t="str">
        <f t="shared" si="108"/>
        <v/>
      </c>
    </row>
    <row r="6949" spans="26:26" x14ac:dyDescent="0.2">
      <c r="Z6949" t="str">
        <f t="shared" si="108"/>
        <v/>
      </c>
    </row>
    <row r="6950" spans="26:26" x14ac:dyDescent="0.2">
      <c r="Z6950" t="str">
        <f t="shared" si="108"/>
        <v/>
      </c>
    </row>
    <row r="6951" spans="26:26" x14ac:dyDescent="0.2">
      <c r="Z6951" t="str">
        <f t="shared" si="108"/>
        <v/>
      </c>
    </row>
    <row r="6952" spans="26:26" x14ac:dyDescent="0.2">
      <c r="Z6952" t="str">
        <f t="shared" si="108"/>
        <v/>
      </c>
    </row>
    <row r="6953" spans="26:26" x14ac:dyDescent="0.2">
      <c r="Z6953" t="str">
        <f t="shared" si="108"/>
        <v/>
      </c>
    </row>
    <row r="6954" spans="26:26" x14ac:dyDescent="0.2">
      <c r="Z6954" t="str">
        <f t="shared" si="108"/>
        <v/>
      </c>
    </row>
    <row r="6955" spans="26:26" x14ac:dyDescent="0.2">
      <c r="Z6955" t="str">
        <f t="shared" si="108"/>
        <v/>
      </c>
    </row>
    <row r="6956" spans="26:26" x14ac:dyDescent="0.2">
      <c r="Z6956" t="str">
        <f t="shared" si="108"/>
        <v/>
      </c>
    </row>
    <row r="6957" spans="26:26" x14ac:dyDescent="0.2">
      <c r="Z6957" t="str">
        <f t="shared" si="108"/>
        <v/>
      </c>
    </row>
    <row r="6958" spans="26:26" x14ac:dyDescent="0.2">
      <c r="Z6958" t="str">
        <f t="shared" si="108"/>
        <v/>
      </c>
    </row>
    <row r="6959" spans="26:26" x14ac:dyDescent="0.2">
      <c r="Z6959" t="str">
        <f t="shared" si="108"/>
        <v/>
      </c>
    </row>
    <row r="6960" spans="26:26" x14ac:dyDescent="0.2">
      <c r="Z6960" t="str">
        <f t="shared" si="108"/>
        <v/>
      </c>
    </row>
    <row r="6961" spans="26:26" x14ac:dyDescent="0.2">
      <c r="Z6961" t="str">
        <f t="shared" si="108"/>
        <v/>
      </c>
    </row>
    <row r="6962" spans="26:26" x14ac:dyDescent="0.2">
      <c r="Z6962" t="str">
        <f t="shared" si="108"/>
        <v/>
      </c>
    </row>
    <row r="6963" spans="26:26" x14ac:dyDescent="0.2">
      <c r="Z6963" t="str">
        <f t="shared" si="108"/>
        <v/>
      </c>
    </row>
    <row r="6964" spans="26:26" x14ac:dyDescent="0.2">
      <c r="Z6964" t="str">
        <f t="shared" si="108"/>
        <v/>
      </c>
    </row>
    <row r="6965" spans="26:26" x14ac:dyDescent="0.2">
      <c r="Z6965" t="str">
        <f t="shared" si="108"/>
        <v/>
      </c>
    </row>
    <row r="6966" spans="26:26" x14ac:dyDescent="0.2">
      <c r="Z6966" t="str">
        <f t="shared" si="108"/>
        <v/>
      </c>
    </row>
    <row r="6967" spans="26:26" x14ac:dyDescent="0.2">
      <c r="Z6967" t="str">
        <f t="shared" si="108"/>
        <v/>
      </c>
    </row>
    <row r="6968" spans="26:26" x14ac:dyDescent="0.2">
      <c r="Z6968" t="str">
        <f t="shared" si="108"/>
        <v/>
      </c>
    </row>
    <row r="6969" spans="26:26" x14ac:dyDescent="0.2">
      <c r="Z6969" t="str">
        <f t="shared" si="108"/>
        <v/>
      </c>
    </row>
    <row r="6970" spans="26:26" x14ac:dyDescent="0.2">
      <c r="Z6970" t="str">
        <f t="shared" si="108"/>
        <v/>
      </c>
    </row>
    <row r="6971" spans="26:26" x14ac:dyDescent="0.2">
      <c r="Z6971" t="str">
        <f t="shared" si="108"/>
        <v/>
      </c>
    </row>
    <row r="6972" spans="26:26" x14ac:dyDescent="0.2">
      <c r="Z6972" t="str">
        <f t="shared" si="108"/>
        <v/>
      </c>
    </row>
    <row r="6973" spans="26:26" x14ac:dyDescent="0.2">
      <c r="Z6973" t="str">
        <f t="shared" si="108"/>
        <v/>
      </c>
    </row>
    <row r="6974" spans="26:26" x14ac:dyDescent="0.2">
      <c r="Z6974" t="str">
        <f t="shared" si="108"/>
        <v/>
      </c>
    </row>
    <row r="6975" spans="26:26" x14ac:dyDescent="0.2">
      <c r="Z6975" t="str">
        <f t="shared" si="108"/>
        <v/>
      </c>
    </row>
    <row r="6976" spans="26:26" x14ac:dyDescent="0.2">
      <c r="Z6976" t="str">
        <f t="shared" si="108"/>
        <v/>
      </c>
    </row>
    <row r="6977" spans="26:26" x14ac:dyDescent="0.2">
      <c r="Z6977" t="str">
        <f t="shared" si="108"/>
        <v/>
      </c>
    </row>
    <row r="6978" spans="26:26" x14ac:dyDescent="0.2">
      <c r="Z6978" t="str">
        <f t="shared" si="108"/>
        <v/>
      </c>
    </row>
    <row r="6979" spans="26:26" x14ac:dyDescent="0.2">
      <c r="Z6979" t="str">
        <f t="shared" ref="Z6979:Z7042" si="109">IF(K6979="","",IFERROR(VALUE(TRIM(MID(K6979,FIND(CHAR(167),SUBSTITUTE(K6979,"-",CHAR(167),LEN(K6979)-LEN(SUBSTITUTE(K6979,"-",""))))+1,100))),K6979))</f>
        <v/>
      </c>
    </row>
    <row r="6980" spans="26:26" x14ac:dyDescent="0.2">
      <c r="Z6980" t="str">
        <f t="shared" si="109"/>
        <v/>
      </c>
    </row>
    <row r="6981" spans="26:26" x14ac:dyDescent="0.2">
      <c r="Z6981" t="str">
        <f t="shared" si="109"/>
        <v/>
      </c>
    </row>
    <row r="6982" spans="26:26" x14ac:dyDescent="0.2">
      <c r="Z6982" t="str">
        <f t="shared" si="109"/>
        <v/>
      </c>
    </row>
    <row r="6983" spans="26:26" x14ac:dyDescent="0.2">
      <c r="Z6983" t="str">
        <f t="shared" si="109"/>
        <v/>
      </c>
    </row>
    <row r="6984" spans="26:26" x14ac:dyDescent="0.2">
      <c r="Z6984" t="str">
        <f t="shared" si="109"/>
        <v/>
      </c>
    </row>
    <row r="6985" spans="26:26" x14ac:dyDescent="0.2">
      <c r="Z6985" t="str">
        <f t="shared" si="109"/>
        <v/>
      </c>
    </row>
    <row r="6986" spans="26:26" x14ac:dyDescent="0.2">
      <c r="Z6986" t="str">
        <f t="shared" si="109"/>
        <v/>
      </c>
    </row>
    <row r="6987" spans="26:26" x14ac:dyDescent="0.2">
      <c r="Z6987" t="str">
        <f t="shared" si="109"/>
        <v/>
      </c>
    </row>
    <row r="6988" spans="26:26" x14ac:dyDescent="0.2">
      <c r="Z6988" t="str">
        <f t="shared" si="109"/>
        <v/>
      </c>
    </row>
    <row r="6989" spans="26:26" x14ac:dyDescent="0.2">
      <c r="Z6989" t="str">
        <f t="shared" si="109"/>
        <v/>
      </c>
    </row>
    <row r="6990" spans="26:26" x14ac:dyDescent="0.2">
      <c r="Z6990" t="str">
        <f t="shared" si="109"/>
        <v/>
      </c>
    </row>
    <row r="6991" spans="26:26" x14ac:dyDescent="0.2">
      <c r="Z6991" t="str">
        <f t="shared" si="109"/>
        <v/>
      </c>
    </row>
    <row r="6992" spans="26:26" x14ac:dyDescent="0.2">
      <c r="Z6992" t="str">
        <f t="shared" si="109"/>
        <v/>
      </c>
    </row>
    <row r="6993" spans="26:26" x14ac:dyDescent="0.2">
      <c r="Z6993" t="str">
        <f t="shared" si="109"/>
        <v/>
      </c>
    </row>
    <row r="6994" spans="26:26" x14ac:dyDescent="0.2">
      <c r="Z6994" t="str">
        <f t="shared" si="109"/>
        <v/>
      </c>
    </row>
    <row r="6995" spans="26:26" x14ac:dyDescent="0.2">
      <c r="Z6995" t="str">
        <f t="shared" si="109"/>
        <v/>
      </c>
    </row>
    <row r="6996" spans="26:26" x14ac:dyDescent="0.2">
      <c r="Z6996" t="str">
        <f t="shared" si="109"/>
        <v/>
      </c>
    </row>
    <row r="6997" spans="26:26" x14ac:dyDescent="0.2">
      <c r="Z6997" t="str">
        <f t="shared" si="109"/>
        <v/>
      </c>
    </row>
    <row r="6998" spans="26:26" x14ac:dyDescent="0.2">
      <c r="Z6998" t="str">
        <f t="shared" si="109"/>
        <v/>
      </c>
    </row>
    <row r="6999" spans="26:26" x14ac:dyDescent="0.2">
      <c r="Z6999" t="str">
        <f t="shared" si="109"/>
        <v/>
      </c>
    </row>
    <row r="7000" spans="26:26" x14ac:dyDescent="0.2">
      <c r="Z7000" t="str">
        <f t="shared" si="109"/>
        <v/>
      </c>
    </row>
    <row r="7001" spans="26:26" x14ac:dyDescent="0.2">
      <c r="Z7001" t="str">
        <f t="shared" si="109"/>
        <v/>
      </c>
    </row>
    <row r="7002" spans="26:26" x14ac:dyDescent="0.2">
      <c r="Z7002" t="str">
        <f t="shared" si="109"/>
        <v/>
      </c>
    </row>
    <row r="7003" spans="26:26" x14ac:dyDescent="0.2">
      <c r="Z7003" t="str">
        <f t="shared" si="109"/>
        <v/>
      </c>
    </row>
    <row r="7004" spans="26:26" x14ac:dyDescent="0.2">
      <c r="Z7004" t="str">
        <f t="shared" si="109"/>
        <v/>
      </c>
    </row>
    <row r="7005" spans="26:26" x14ac:dyDescent="0.2">
      <c r="Z7005" t="str">
        <f t="shared" si="109"/>
        <v/>
      </c>
    </row>
    <row r="7006" spans="26:26" x14ac:dyDescent="0.2">
      <c r="Z7006" t="str">
        <f t="shared" si="109"/>
        <v/>
      </c>
    </row>
    <row r="7007" spans="26:26" x14ac:dyDescent="0.2">
      <c r="Z7007" t="str">
        <f t="shared" si="109"/>
        <v/>
      </c>
    </row>
    <row r="7008" spans="26:26" x14ac:dyDescent="0.2">
      <c r="Z7008" t="str">
        <f t="shared" si="109"/>
        <v/>
      </c>
    </row>
    <row r="7009" spans="26:26" x14ac:dyDescent="0.2">
      <c r="Z7009" t="str">
        <f t="shared" si="109"/>
        <v/>
      </c>
    </row>
    <row r="7010" spans="26:26" x14ac:dyDescent="0.2">
      <c r="Z7010" t="str">
        <f t="shared" si="109"/>
        <v/>
      </c>
    </row>
    <row r="7011" spans="26:26" x14ac:dyDescent="0.2">
      <c r="Z7011" t="str">
        <f t="shared" si="109"/>
        <v/>
      </c>
    </row>
    <row r="7012" spans="26:26" x14ac:dyDescent="0.2">
      <c r="Z7012" t="str">
        <f t="shared" si="109"/>
        <v/>
      </c>
    </row>
    <row r="7013" spans="26:26" x14ac:dyDescent="0.2">
      <c r="Z7013" t="str">
        <f t="shared" si="109"/>
        <v/>
      </c>
    </row>
    <row r="7014" spans="26:26" x14ac:dyDescent="0.2">
      <c r="Z7014" t="str">
        <f t="shared" si="109"/>
        <v/>
      </c>
    </row>
    <row r="7015" spans="26:26" x14ac:dyDescent="0.2">
      <c r="Z7015" t="str">
        <f t="shared" si="109"/>
        <v/>
      </c>
    </row>
    <row r="7016" spans="26:26" x14ac:dyDescent="0.2">
      <c r="Z7016" t="str">
        <f t="shared" si="109"/>
        <v/>
      </c>
    </row>
    <row r="7017" spans="26:26" x14ac:dyDescent="0.2">
      <c r="Z7017" t="str">
        <f t="shared" si="109"/>
        <v/>
      </c>
    </row>
    <row r="7018" spans="26:26" x14ac:dyDescent="0.2">
      <c r="Z7018" t="str">
        <f t="shared" si="109"/>
        <v/>
      </c>
    </row>
    <row r="7019" spans="26:26" x14ac:dyDescent="0.2">
      <c r="Z7019" t="str">
        <f t="shared" si="109"/>
        <v/>
      </c>
    </row>
    <row r="7020" spans="26:26" x14ac:dyDescent="0.2">
      <c r="Z7020" t="str">
        <f t="shared" si="109"/>
        <v/>
      </c>
    </row>
    <row r="7021" spans="26:26" x14ac:dyDescent="0.2">
      <c r="Z7021" t="str">
        <f t="shared" si="109"/>
        <v/>
      </c>
    </row>
    <row r="7022" spans="26:26" x14ac:dyDescent="0.2">
      <c r="Z7022" t="str">
        <f t="shared" si="109"/>
        <v/>
      </c>
    </row>
    <row r="7023" spans="26:26" x14ac:dyDescent="0.2">
      <c r="Z7023" t="str">
        <f t="shared" si="109"/>
        <v/>
      </c>
    </row>
    <row r="7024" spans="26:26" x14ac:dyDescent="0.2">
      <c r="Z7024" t="str">
        <f t="shared" si="109"/>
        <v/>
      </c>
    </row>
    <row r="7025" spans="26:26" x14ac:dyDescent="0.2">
      <c r="Z7025" t="str">
        <f t="shared" si="109"/>
        <v/>
      </c>
    </row>
    <row r="7026" spans="26:26" x14ac:dyDescent="0.2">
      <c r="Z7026" t="str">
        <f t="shared" si="109"/>
        <v/>
      </c>
    </row>
    <row r="7027" spans="26:26" x14ac:dyDescent="0.2">
      <c r="Z7027" t="str">
        <f t="shared" si="109"/>
        <v/>
      </c>
    </row>
    <row r="7028" spans="26:26" x14ac:dyDescent="0.2">
      <c r="Z7028" t="str">
        <f t="shared" si="109"/>
        <v/>
      </c>
    </row>
    <row r="7029" spans="26:26" x14ac:dyDescent="0.2">
      <c r="Z7029" t="str">
        <f t="shared" si="109"/>
        <v/>
      </c>
    </row>
    <row r="7030" spans="26:26" x14ac:dyDescent="0.2">
      <c r="Z7030" t="str">
        <f t="shared" si="109"/>
        <v/>
      </c>
    </row>
    <row r="7031" spans="26:26" x14ac:dyDescent="0.2">
      <c r="Z7031" t="str">
        <f t="shared" si="109"/>
        <v/>
      </c>
    </row>
    <row r="7032" spans="26:26" x14ac:dyDescent="0.2">
      <c r="Z7032" t="str">
        <f t="shared" si="109"/>
        <v/>
      </c>
    </row>
    <row r="7033" spans="26:26" x14ac:dyDescent="0.2">
      <c r="Z7033" t="str">
        <f t="shared" si="109"/>
        <v/>
      </c>
    </row>
    <row r="7034" spans="26:26" x14ac:dyDescent="0.2">
      <c r="Z7034" t="str">
        <f t="shared" si="109"/>
        <v/>
      </c>
    </row>
    <row r="7035" spans="26:26" x14ac:dyDescent="0.2">
      <c r="Z7035" t="str">
        <f t="shared" si="109"/>
        <v/>
      </c>
    </row>
    <row r="7036" spans="26:26" x14ac:dyDescent="0.2">
      <c r="Z7036" t="str">
        <f t="shared" si="109"/>
        <v/>
      </c>
    </row>
    <row r="7037" spans="26:26" x14ac:dyDescent="0.2">
      <c r="Z7037" t="str">
        <f t="shared" si="109"/>
        <v/>
      </c>
    </row>
    <row r="7038" spans="26:26" x14ac:dyDescent="0.2">
      <c r="Z7038" t="str">
        <f t="shared" si="109"/>
        <v/>
      </c>
    </row>
    <row r="7039" spans="26:26" x14ac:dyDescent="0.2">
      <c r="Z7039" t="str">
        <f t="shared" si="109"/>
        <v/>
      </c>
    </row>
    <row r="7040" spans="26:26" x14ac:dyDescent="0.2">
      <c r="Z7040" t="str">
        <f t="shared" si="109"/>
        <v/>
      </c>
    </row>
    <row r="7041" spans="26:26" x14ac:dyDescent="0.2">
      <c r="Z7041" t="str">
        <f t="shared" si="109"/>
        <v/>
      </c>
    </row>
    <row r="7042" spans="26:26" x14ac:dyDescent="0.2">
      <c r="Z7042" t="str">
        <f t="shared" si="109"/>
        <v/>
      </c>
    </row>
    <row r="7043" spans="26:26" x14ac:dyDescent="0.2">
      <c r="Z7043" t="str">
        <f t="shared" ref="Z7043:Z7106" si="110">IF(K7043="","",IFERROR(VALUE(TRIM(MID(K7043,FIND(CHAR(167),SUBSTITUTE(K7043,"-",CHAR(167),LEN(K7043)-LEN(SUBSTITUTE(K7043,"-",""))))+1,100))),K7043))</f>
        <v/>
      </c>
    </row>
    <row r="7044" spans="26:26" x14ac:dyDescent="0.2">
      <c r="Z7044" t="str">
        <f t="shared" si="110"/>
        <v/>
      </c>
    </row>
    <row r="7045" spans="26:26" x14ac:dyDescent="0.2">
      <c r="Z7045" t="str">
        <f t="shared" si="110"/>
        <v/>
      </c>
    </row>
    <row r="7046" spans="26:26" x14ac:dyDescent="0.2">
      <c r="Z7046" t="str">
        <f t="shared" si="110"/>
        <v/>
      </c>
    </row>
    <row r="7047" spans="26:26" x14ac:dyDescent="0.2">
      <c r="Z7047" t="str">
        <f t="shared" si="110"/>
        <v/>
      </c>
    </row>
    <row r="7048" spans="26:26" x14ac:dyDescent="0.2">
      <c r="Z7048" t="str">
        <f t="shared" si="110"/>
        <v/>
      </c>
    </row>
    <row r="7049" spans="26:26" x14ac:dyDescent="0.2">
      <c r="Z7049" t="str">
        <f t="shared" si="110"/>
        <v/>
      </c>
    </row>
    <row r="7050" spans="26:26" x14ac:dyDescent="0.2">
      <c r="Z7050" t="str">
        <f t="shared" si="110"/>
        <v/>
      </c>
    </row>
    <row r="7051" spans="26:26" x14ac:dyDescent="0.2">
      <c r="Z7051" t="str">
        <f t="shared" si="110"/>
        <v/>
      </c>
    </row>
    <row r="7052" spans="26:26" x14ac:dyDescent="0.2">
      <c r="Z7052" t="str">
        <f t="shared" si="110"/>
        <v/>
      </c>
    </row>
    <row r="7053" spans="26:26" x14ac:dyDescent="0.2">
      <c r="Z7053" t="str">
        <f t="shared" si="110"/>
        <v/>
      </c>
    </row>
    <row r="7054" spans="26:26" x14ac:dyDescent="0.2">
      <c r="Z7054" t="str">
        <f t="shared" si="110"/>
        <v/>
      </c>
    </row>
    <row r="7055" spans="26:26" x14ac:dyDescent="0.2">
      <c r="Z7055" t="str">
        <f t="shared" si="110"/>
        <v/>
      </c>
    </row>
    <row r="7056" spans="26:26" x14ac:dyDescent="0.2">
      <c r="Z7056" t="str">
        <f t="shared" si="110"/>
        <v/>
      </c>
    </row>
    <row r="7057" spans="26:26" x14ac:dyDescent="0.2">
      <c r="Z7057" t="str">
        <f t="shared" si="110"/>
        <v/>
      </c>
    </row>
    <row r="7058" spans="26:26" x14ac:dyDescent="0.2">
      <c r="Z7058" t="str">
        <f t="shared" si="110"/>
        <v/>
      </c>
    </row>
    <row r="7059" spans="26:26" x14ac:dyDescent="0.2">
      <c r="Z7059" t="str">
        <f t="shared" si="110"/>
        <v/>
      </c>
    </row>
    <row r="7060" spans="26:26" x14ac:dyDescent="0.2">
      <c r="Z7060" t="str">
        <f t="shared" si="110"/>
        <v/>
      </c>
    </row>
    <row r="7061" spans="26:26" x14ac:dyDescent="0.2">
      <c r="Z7061" t="str">
        <f t="shared" si="110"/>
        <v/>
      </c>
    </row>
    <row r="7062" spans="26:26" x14ac:dyDescent="0.2">
      <c r="Z7062" t="str">
        <f t="shared" si="110"/>
        <v/>
      </c>
    </row>
    <row r="7063" spans="26:26" x14ac:dyDescent="0.2">
      <c r="Z7063" t="str">
        <f t="shared" si="110"/>
        <v/>
      </c>
    </row>
    <row r="7064" spans="26:26" x14ac:dyDescent="0.2">
      <c r="Z7064" t="str">
        <f t="shared" si="110"/>
        <v/>
      </c>
    </row>
    <row r="7065" spans="26:26" x14ac:dyDescent="0.2">
      <c r="Z7065" t="str">
        <f t="shared" si="110"/>
        <v/>
      </c>
    </row>
    <row r="7066" spans="26:26" x14ac:dyDescent="0.2">
      <c r="Z7066" t="str">
        <f t="shared" si="110"/>
        <v/>
      </c>
    </row>
    <row r="7067" spans="26:26" x14ac:dyDescent="0.2">
      <c r="Z7067" t="str">
        <f t="shared" si="110"/>
        <v/>
      </c>
    </row>
    <row r="7068" spans="26:26" x14ac:dyDescent="0.2">
      <c r="Z7068" t="str">
        <f t="shared" si="110"/>
        <v/>
      </c>
    </row>
    <row r="7069" spans="26:26" x14ac:dyDescent="0.2">
      <c r="Z7069" t="str">
        <f t="shared" si="110"/>
        <v/>
      </c>
    </row>
    <row r="7070" spans="26:26" x14ac:dyDescent="0.2">
      <c r="Z7070" t="str">
        <f t="shared" si="110"/>
        <v/>
      </c>
    </row>
    <row r="7071" spans="26:26" x14ac:dyDescent="0.2">
      <c r="Z7071" t="str">
        <f t="shared" si="110"/>
        <v/>
      </c>
    </row>
    <row r="7072" spans="26:26" x14ac:dyDescent="0.2">
      <c r="Z7072" t="str">
        <f t="shared" si="110"/>
        <v/>
      </c>
    </row>
    <row r="7073" spans="26:26" x14ac:dyDescent="0.2">
      <c r="Z7073" t="str">
        <f t="shared" si="110"/>
        <v/>
      </c>
    </row>
    <row r="7074" spans="26:26" x14ac:dyDescent="0.2">
      <c r="Z7074" t="str">
        <f t="shared" si="110"/>
        <v/>
      </c>
    </row>
    <row r="7075" spans="26:26" x14ac:dyDescent="0.2">
      <c r="Z7075" t="str">
        <f t="shared" si="110"/>
        <v/>
      </c>
    </row>
    <row r="7076" spans="26:26" x14ac:dyDescent="0.2">
      <c r="Z7076" t="str">
        <f t="shared" si="110"/>
        <v/>
      </c>
    </row>
    <row r="7077" spans="26:26" x14ac:dyDescent="0.2">
      <c r="Z7077" t="str">
        <f t="shared" si="110"/>
        <v/>
      </c>
    </row>
    <row r="7078" spans="26:26" x14ac:dyDescent="0.2">
      <c r="Z7078" t="str">
        <f t="shared" si="110"/>
        <v/>
      </c>
    </row>
    <row r="7079" spans="26:26" x14ac:dyDescent="0.2">
      <c r="Z7079" t="str">
        <f t="shared" si="110"/>
        <v/>
      </c>
    </row>
    <row r="7080" spans="26:26" x14ac:dyDescent="0.2">
      <c r="Z7080" t="str">
        <f t="shared" si="110"/>
        <v/>
      </c>
    </row>
    <row r="7081" spans="26:26" x14ac:dyDescent="0.2">
      <c r="Z7081" t="str">
        <f t="shared" si="110"/>
        <v/>
      </c>
    </row>
    <row r="7082" spans="26:26" x14ac:dyDescent="0.2">
      <c r="Z7082" t="str">
        <f t="shared" si="110"/>
        <v/>
      </c>
    </row>
    <row r="7083" spans="26:26" x14ac:dyDescent="0.2">
      <c r="Z7083" t="str">
        <f t="shared" si="110"/>
        <v/>
      </c>
    </row>
    <row r="7084" spans="26:26" x14ac:dyDescent="0.2">
      <c r="Z7084" t="str">
        <f t="shared" si="110"/>
        <v/>
      </c>
    </row>
    <row r="7085" spans="26:26" x14ac:dyDescent="0.2">
      <c r="Z7085" t="str">
        <f t="shared" si="110"/>
        <v/>
      </c>
    </row>
    <row r="7086" spans="26:26" x14ac:dyDescent="0.2">
      <c r="Z7086" t="str">
        <f t="shared" si="110"/>
        <v/>
      </c>
    </row>
    <row r="7087" spans="26:26" x14ac:dyDescent="0.2">
      <c r="Z7087" t="str">
        <f t="shared" si="110"/>
        <v/>
      </c>
    </row>
    <row r="7088" spans="26:26" x14ac:dyDescent="0.2">
      <c r="Z7088" t="str">
        <f t="shared" si="110"/>
        <v/>
      </c>
    </row>
    <row r="7089" spans="26:26" x14ac:dyDescent="0.2">
      <c r="Z7089" t="str">
        <f t="shared" si="110"/>
        <v/>
      </c>
    </row>
    <row r="7090" spans="26:26" x14ac:dyDescent="0.2">
      <c r="Z7090" t="str">
        <f t="shared" si="110"/>
        <v/>
      </c>
    </row>
    <row r="7091" spans="26:26" x14ac:dyDescent="0.2">
      <c r="Z7091" t="str">
        <f t="shared" si="110"/>
        <v/>
      </c>
    </row>
    <row r="7092" spans="26:26" x14ac:dyDescent="0.2">
      <c r="Z7092" t="str">
        <f t="shared" si="110"/>
        <v/>
      </c>
    </row>
    <row r="7093" spans="26:26" x14ac:dyDescent="0.2">
      <c r="Z7093" t="str">
        <f t="shared" si="110"/>
        <v/>
      </c>
    </row>
    <row r="7094" spans="26:26" x14ac:dyDescent="0.2">
      <c r="Z7094" t="str">
        <f t="shared" si="110"/>
        <v/>
      </c>
    </row>
    <row r="7095" spans="26:26" x14ac:dyDescent="0.2">
      <c r="Z7095" t="str">
        <f t="shared" si="110"/>
        <v/>
      </c>
    </row>
    <row r="7096" spans="26:26" x14ac:dyDescent="0.2">
      <c r="Z7096" t="str">
        <f t="shared" si="110"/>
        <v/>
      </c>
    </row>
    <row r="7097" spans="26:26" x14ac:dyDescent="0.2">
      <c r="Z7097" t="str">
        <f t="shared" si="110"/>
        <v/>
      </c>
    </row>
    <row r="7098" spans="26:26" x14ac:dyDescent="0.2">
      <c r="Z7098" t="str">
        <f t="shared" si="110"/>
        <v/>
      </c>
    </row>
    <row r="7099" spans="26:26" x14ac:dyDescent="0.2">
      <c r="Z7099" t="str">
        <f t="shared" si="110"/>
        <v/>
      </c>
    </row>
    <row r="7100" spans="26:26" x14ac:dyDescent="0.2">
      <c r="Z7100" t="str">
        <f t="shared" si="110"/>
        <v/>
      </c>
    </row>
    <row r="7101" spans="26:26" x14ac:dyDescent="0.2">
      <c r="Z7101" t="str">
        <f t="shared" si="110"/>
        <v/>
      </c>
    </row>
    <row r="7102" spans="26:26" x14ac:dyDescent="0.2">
      <c r="Z7102" t="str">
        <f t="shared" si="110"/>
        <v/>
      </c>
    </row>
    <row r="7103" spans="26:26" x14ac:dyDescent="0.2">
      <c r="Z7103" t="str">
        <f t="shared" si="110"/>
        <v/>
      </c>
    </row>
    <row r="7104" spans="26:26" x14ac:dyDescent="0.2">
      <c r="Z7104" t="str">
        <f t="shared" si="110"/>
        <v/>
      </c>
    </row>
    <row r="7105" spans="26:26" x14ac:dyDescent="0.2">
      <c r="Z7105" t="str">
        <f t="shared" si="110"/>
        <v/>
      </c>
    </row>
    <row r="7106" spans="26:26" x14ac:dyDescent="0.2">
      <c r="Z7106" t="str">
        <f t="shared" si="110"/>
        <v/>
      </c>
    </row>
    <row r="7107" spans="26:26" x14ac:dyDescent="0.2">
      <c r="Z7107" t="str">
        <f t="shared" ref="Z7107:Z7170" si="111">IF(K7107="","",IFERROR(VALUE(TRIM(MID(K7107,FIND(CHAR(167),SUBSTITUTE(K7107,"-",CHAR(167),LEN(K7107)-LEN(SUBSTITUTE(K7107,"-",""))))+1,100))),K7107))</f>
        <v/>
      </c>
    </row>
    <row r="7108" spans="26:26" x14ac:dyDescent="0.2">
      <c r="Z7108" t="str">
        <f t="shared" si="111"/>
        <v/>
      </c>
    </row>
    <row r="7109" spans="26:26" x14ac:dyDescent="0.2">
      <c r="Z7109" t="str">
        <f t="shared" si="111"/>
        <v/>
      </c>
    </row>
    <row r="7110" spans="26:26" x14ac:dyDescent="0.2">
      <c r="Z7110" t="str">
        <f t="shared" si="111"/>
        <v/>
      </c>
    </row>
    <row r="7111" spans="26:26" x14ac:dyDescent="0.2">
      <c r="Z7111" t="str">
        <f t="shared" si="111"/>
        <v/>
      </c>
    </row>
    <row r="7112" spans="26:26" x14ac:dyDescent="0.2">
      <c r="Z7112" t="str">
        <f t="shared" si="111"/>
        <v/>
      </c>
    </row>
    <row r="7113" spans="26:26" x14ac:dyDescent="0.2">
      <c r="Z7113" t="str">
        <f t="shared" si="111"/>
        <v/>
      </c>
    </row>
    <row r="7114" spans="26:26" x14ac:dyDescent="0.2">
      <c r="Z7114" t="str">
        <f t="shared" si="111"/>
        <v/>
      </c>
    </row>
    <row r="7115" spans="26:26" x14ac:dyDescent="0.2">
      <c r="Z7115" t="str">
        <f t="shared" si="111"/>
        <v/>
      </c>
    </row>
    <row r="7116" spans="26:26" x14ac:dyDescent="0.2">
      <c r="Z7116" t="str">
        <f t="shared" si="111"/>
        <v/>
      </c>
    </row>
    <row r="7117" spans="26:26" x14ac:dyDescent="0.2">
      <c r="Z7117" t="str">
        <f t="shared" si="111"/>
        <v/>
      </c>
    </row>
    <row r="7118" spans="26:26" x14ac:dyDescent="0.2">
      <c r="Z7118" t="str">
        <f t="shared" si="111"/>
        <v/>
      </c>
    </row>
    <row r="7119" spans="26:26" x14ac:dyDescent="0.2">
      <c r="Z7119" t="str">
        <f t="shared" si="111"/>
        <v/>
      </c>
    </row>
    <row r="7120" spans="26:26" x14ac:dyDescent="0.2">
      <c r="Z7120" t="str">
        <f t="shared" si="111"/>
        <v/>
      </c>
    </row>
    <row r="7121" spans="26:26" x14ac:dyDescent="0.2">
      <c r="Z7121" t="str">
        <f t="shared" si="111"/>
        <v/>
      </c>
    </row>
    <row r="7122" spans="26:26" x14ac:dyDescent="0.2">
      <c r="Z7122" t="str">
        <f t="shared" si="111"/>
        <v/>
      </c>
    </row>
    <row r="7123" spans="26:26" x14ac:dyDescent="0.2">
      <c r="Z7123" t="str">
        <f t="shared" si="111"/>
        <v/>
      </c>
    </row>
    <row r="7124" spans="26:26" x14ac:dyDescent="0.2">
      <c r="Z7124" t="str">
        <f t="shared" si="111"/>
        <v/>
      </c>
    </row>
    <row r="7125" spans="26:26" x14ac:dyDescent="0.2">
      <c r="Z7125" t="str">
        <f t="shared" si="111"/>
        <v/>
      </c>
    </row>
    <row r="7126" spans="26:26" x14ac:dyDescent="0.2">
      <c r="Z7126" t="str">
        <f t="shared" si="111"/>
        <v/>
      </c>
    </row>
    <row r="7127" spans="26:26" x14ac:dyDescent="0.2">
      <c r="Z7127" t="str">
        <f t="shared" si="111"/>
        <v/>
      </c>
    </row>
    <row r="7128" spans="26:26" x14ac:dyDescent="0.2">
      <c r="Z7128" t="str">
        <f t="shared" si="111"/>
        <v/>
      </c>
    </row>
    <row r="7129" spans="26:26" x14ac:dyDescent="0.2">
      <c r="Z7129" t="str">
        <f t="shared" si="111"/>
        <v/>
      </c>
    </row>
    <row r="7130" spans="26:26" x14ac:dyDescent="0.2">
      <c r="Z7130" t="str">
        <f t="shared" si="111"/>
        <v/>
      </c>
    </row>
    <row r="7131" spans="26:26" x14ac:dyDescent="0.2">
      <c r="Z7131" t="str">
        <f t="shared" si="111"/>
        <v/>
      </c>
    </row>
    <row r="7132" spans="26:26" x14ac:dyDescent="0.2">
      <c r="Z7132" t="str">
        <f t="shared" si="111"/>
        <v/>
      </c>
    </row>
    <row r="7133" spans="26:26" x14ac:dyDescent="0.2">
      <c r="Z7133" t="str">
        <f t="shared" si="111"/>
        <v/>
      </c>
    </row>
    <row r="7134" spans="26:26" x14ac:dyDescent="0.2">
      <c r="Z7134" t="str">
        <f t="shared" si="111"/>
        <v/>
      </c>
    </row>
    <row r="7135" spans="26:26" x14ac:dyDescent="0.2">
      <c r="Z7135" t="str">
        <f t="shared" si="111"/>
        <v/>
      </c>
    </row>
    <row r="7136" spans="26:26" x14ac:dyDescent="0.2">
      <c r="Z7136" t="str">
        <f t="shared" si="111"/>
        <v/>
      </c>
    </row>
    <row r="7137" spans="26:26" x14ac:dyDescent="0.2">
      <c r="Z7137" t="str">
        <f t="shared" si="111"/>
        <v/>
      </c>
    </row>
    <row r="7138" spans="26:26" x14ac:dyDescent="0.2">
      <c r="Z7138" t="str">
        <f t="shared" si="111"/>
        <v/>
      </c>
    </row>
    <row r="7139" spans="26:26" x14ac:dyDescent="0.2">
      <c r="Z7139" t="str">
        <f t="shared" si="111"/>
        <v/>
      </c>
    </row>
    <row r="7140" spans="26:26" x14ac:dyDescent="0.2">
      <c r="Z7140" t="str">
        <f t="shared" si="111"/>
        <v/>
      </c>
    </row>
    <row r="7141" spans="26:26" x14ac:dyDescent="0.2">
      <c r="Z7141" t="str">
        <f t="shared" si="111"/>
        <v/>
      </c>
    </row>
    <row r="7142" spans="26:26" x14ac:dyDescent="0.2">
      <c r="Z7142" t="str">
        <f t="shared" si="111"/>
        <v/>
      </c>
    </row>
    <row r="7143" spans="26:26" x14ac:dyDescent="0.2">
      <c r="Z7143" t="str">
        <f t="shared" si="111"/>
        <v/>
      </c>
    </row>
    <row r="7144" spans="26:26" x14ac:dyDescent="0.2">
      <c r="Z7144" t="str">
        <f t="shared" si="111"/>
        <v/>
      </c>
    </row>
    <row r="7145" spans="26:26" x14ac:dyDescent="0.2">
      <c r="Z7145" t="str">
        <f t="shared" si="111"/>
        <v/>
      </c>
    </row>
    <row r="7146" spans="26:26" x14ac:dyDescent="0.2">
      <c r="Z7146" t="str">
        <f t="shared" si="111"/>
        <v/>
      </c>
    </row>
    <row r="7147" spans="26:26" x14ac:dyDescent="0.2">
      <c r="Z7147" t="str">
        <f t="shared" si="111"/>
        <v/>
      </c>
    </row>
    <row r="7148" spans="26:26" x14ac:dyDescent="0.2">
      <c r="Z7148" t="str">
        <f t="shared" si="111"/>
        <v/>
      </c>
    </row>
    <row r="7149" spans="26:26" x14ac:dyDescent="0.2">
      <c r="Z7149" t="str">
        <f t="shared" si="111"/>
        <v/>
      </c>
    </row>
    <row r="7150" spans="26:26" x14ac:dyDescent="0.2">
      <c r="Z7150" t="str">
        <f t="shared" si="111"/>
        <v/>
      </c>
    </row>
    <row r="7151" spans="26:26" x14ac:dyDescent="0.2">
      <c r="Z7151" t="str">
        <f t="shared" si="111"/>
        <v/>
      </c>
    </row>
    <row r="7152" spans="26:26" x14ac:dyDescent="0.2">
      <c r="Z7152" t="str">
        <f t="shared" si="111"/>
        <v/>
      </c>
    </row>
    <row r="7153" spans="26:26" x14ac:dyDescent="0.2">
      <c r="Z7153" t="str">
        <f t="shared" si="111"/>
        <v/>
      </c>
    </row>
    <row r="7154" spans="26:26" x14ac:dyDescent="0.2">
      <c r="Z7154" t="str">
        <f t="shared" si="111"/>
        <v/>
      </c>
    </row>
    <row r="7155" spans="26:26" x14ac:dyDescent="0.2">
      <c r="Z7155" t="str">
        <f t="shared" si="111"/>
        <v/>
      </c>
    </row>
    <row r="7156" spans="26:26" x14ac:dyDescent="0.2">
      <c r="Z7156" t="str">
        <f t="shared" si="111"/>
        <v/>
      </c>
    </row>
    <row r="7157" spans="26:26" x14ac:dyDescent="0.2">
      <c r="Z7157" t="str">
        <f t="shared" si="111"/>
        <v/>
      </c>
    </row>
    <row r="7158" spans="26:26" x14ac:dyDescent="0.2">
      <c r="Z7158" t="str">
        <f t="shared" si="111"/>
        <v/>
      </c>
    </row>
    <row r="7159" spans="26:26" x14ac:dyDescent="0.2">
      <c r="Z7159" t="str">
        <f t="shared" si="111"/>
        <v/>
      </c>
    </row>
    <row r="7160" spans="26:26" x14ac:dyDescent="0.2">
      <c r="Z7160" t="str">
        <f t="shared" si="111"/>
        <v/>
      </c>
    </row>
    <row r="7161" spans="26:26" x14ac:dyDescent="0.2">
      <c r="Z7161" t="str">
        <f t="shared" si="111"/>
        <v/>
      </c>
    </row>
    <row r="7162" spans="26:26" x14ac:dyDescent="0.2">
      <c r="Z7162" t="str">
        <f t="shared" si="111"/>
        <v/>
      </c>
    </row>
    <row r="7163" spans="26:26" x14ac:dyDescent="0.2">
      <c r="Z7163" t="str">
        <f t="shared" si="111"/>
        <v/>
      </c>
    </row>
    <row r="7164" spans="26:26" x14ac:dyDescent="0.2">
      <c r="Z7164" t="str">
        <f t="shared" si="111"/>
        <v/>
      </c>
    </row>
    <row r="7165" spans="26:26" x14ac:dyDescent="0.2">
      <c r="Z7165" t="str">
        <f t="shared" si="111"/>
        <v/>
      </c>
    </row>
    <row r="7166" spans="26:26" x14ac:dyDescent="0.2">
      <c r="Z7166" t="str">
        <f t="shared" si="111"/>
        <v/>
      </c>
    </row>
    <row r="7167" spans="26:26" x14ac:dyDescent="0.2">
      <c r="Z7167" t="str">
        <f t="shared" si="111"/>
        <v/>
      </c>
    </row>
    <row r="7168" spans="26:26" x14ac:dyDescent="0.2">
      <c r="Z7168" t="str">
        <f t="shared" si="111"/>
        <v/>
      </c>
    </row>
    <row r="7169" spans="26:26" x14ac:dyDescent="0.2">
      <c r="Z7169" t="str">
        <f t="shared" si="111"/>
        <v/>
      </c>
    </row>
    <row r="7170" spans="26:26" x14ac:dyDescent="0.2">
      <c r="Z7170" t="str">
        <f t="shared" si="111"/>
        <v/>
      </c>
    </row>
    <row r="7171" spans="26:26" x14ac:dyDescent="0.2">
      <c r="Z7171" t="str">
        <f t="shared" ref="Z7171:Z7234" si="112">IF(K7171="","",IFERROR(VALUE(TRIM(MID(K7171,FIND(CHAR(167),SUBSTITUTE(K7171,"-",CHAR(167),LEN(K7171)-LEN(SUBSTITUTE(K7171,"-",""))))+1,100))),K7171))</f>
        <v/>
      </c>
    </row>
    <row r="7172" spans="26:26" x14ac:dyDescent="0.2">
      <c r="Z7172" t="str">
        <f t="shared" si="112"/>
        <v/>
      </c>
    </row>
    <row r="7173" spans="26:26" x14ac:dyDescent="0.2">
      <c r="Z7173" t="str">
        <f t="shared" si="112"/>
        <v/>
      </c>
    </row>
    <row r="7174" spans="26:26" x14ac:dyDescent="0.2">
      <c r="Z7174" t="str">
        <f t="shared" si="112"/>
        <v/>
      </c>
    </row>
    <row r="7175" spans="26:26" x14ac:dyDescent="0.2">
      <c r="Z7175" t="str">
        <f t="shared" si="112"/>
        <v/>
      </c>
    </row>
    <row r="7176" spans="26:26" x14ac:dyDescent="0.2">
      <c r="Z7176" t="str">
        <f t="shared" si="112"/>
        <v/>
      </c>
    </row>
    <row r="7177" spans="26:26" x14ac:dyDescent="0.2">
      <c r="Z7177" t="str">
        <f t="shared" si="112"/>
        <v/>
      </c>
    </row>
    <row r="7178" spans="26:26" x14ac:dyDescent="0.2">
      <c r="Z7178" t="str">
        <f t="shared" si="112"/>
        <v/>
      </c>
    </row>
    <row r="7179" spans="26:26" x14ac:dyDescent="0.2">
      <c r="Z7179" t="str">
        <f t="shared" si="112"/>
        <v/>
      </c>
    </row>
    <row r="7180" spans="26:26" x14ac:dyDescent="0.2">
      <c r="Z7180" t="str">
        <f t="shared" si="112"/>
        <v/>
      </c>
    </row>
    <row r="7181" spans="26:26" x14ac:dyDescent="0.2">
      <c r="Z7181" t="str">
        <f t="shared" si="112"/>
        <v/>
      </c>
    </row>
    <row r="7182" spans="26:26" x14ac:dyDescent="0.2">
      <c r="Z7182" t="str">
        <f t="shared" si="112"/>
        <v/>
      </c>
    </row>
    <row r="7183" spans="26:26" x14ac:dyDescent="0.2">
      <c r="Z7183" t="str">
        <f t="shared" si="112"/>
        <v/>
      </c>
    </row>
    <row r="7184" spans="26:26" x14ac:dyDescent="0.2">
      <c r="Z7184" t="str">
        <f t="shared" si="112"/>
        <v/>
      </c>
    </row>
    <row r="7185" spans="26:26" x14ac:dyDescent="0.2">
      <c r="Z7185" t="str">
        <f t="shared" si="112"/>
        <v/>
      </c>
    </row>
    <row r="7186" spans="26:26" x14ac:dyDescent="0.2">
      <c r="Z7186" t="str">
        <f t="shared" si="112"/>
        <v/>
      </c>
    </row>
    <row r="7187" spans="26:26" x14ac:dyDescent="0.2">
      <c r="Z7187" t="str">
        <f t="shared" si="112"/>
        <v/>
      </c>
    </row>
    <row r="7188" spans="26:26" x14ac:dyDescent="0.2">
      <c r="Z7188" t="str">
        <f t="shared" si="112"/>
        <v/>
      </c>
    </row>
    <row r="7189" spans="26:26" x14ac:dyDescent="0.2">
      <c r="Z7189" t="str">
        <f t="shared" si="112"/>
        <v/>
      </c>
    </row>
    <row r="7190" spans="26:26" x14ac:dyDescent="0.2">
      <c r="Z7190" t="str">
        <f t="shared" si="112"/>
        <v/>
      </c>
    </row>
    <row r="7191" spans="26:26" x14ac:dyDescent="0.2">
      <c r="Z7191" t="str">
        <f t="shared" si="112"/>
        <v/>
      </c>
    </row>
    <row r="7192" spans="26:26" x14ac:dyDescent="0.2">
      <c r="Z7192" t="str">
        <f t="shared" si="112"/>
        <v/>
      </c>
    </row>
    <row r="7193" spans="26:26" x14ac:dyDescent="0.2">
      <c r="Z7193" t="str">
        <f t="shared" si="112"/>
        <v/>
      </c>
    </row>
    <row r="7194" spans="26:26" x14ac:dyDescent="0.2">
      <c r="Z7194" t="str">
        <f t="shared" si="112"/>
        <v/>
      </c>
    </row>
    <row r="7195" spans="26:26" x14ac:dyDescent="0.2">
      <c r="Z7195" t="str">
        <f t="shared" si="112"/>
        <v/>
      </c>
    </row>
    <row r="7196" spans="26:26" x14ac:dyDescent="0.2">
      <c r="Z7196" t="str">
        <f t="shared" si="112"/>
        <v/>
      </c>
    </row>
    <row r="7197" spans="26:26" x14ac:dyDescent="0.2">
      <c r="Z7197" t="str">
        <f t="shared" si="112"/>
        <v/>
      </c>
    </row>
    <row r="7198" spans="26:26" x14ac:dyDescent="0.2">
      <c r="Z7198" t="str">
        <f t="shared" si="112"/>
        <v/>
      </c>
    </row>
    <row r="7199" spans="26:26" x14ac:dyDescent="0.2">
      <c r="Z7199" t="str">
        <f t="shared" si="112"/>
        <v/>
      </c>
    </row>
    <row r="7200" spans="26:26" x14ac:dyDescent="0.2">
      <c r="Z7200" t="str">
        <f t="shared" si="112"/>
        <v/>
      </c>
    </row>
    <row r="7201" spans="26:26" x14ac:dyDescent="0.2">
      <c r="Z7201" t="str">
        <f t="shared" si="112"/>
        <v/>
      </c>
    </row>
    <row r="7202" spans="26:26" x14ac:dyDescent="0.2">
      <c r="Z7202" t="str">
        <f t="shared" si="112"/>
        <v/>
      </c>
    </row>
    <row r="7203" spans="26:26" x14ac:dyDescent="0.2">
      <c r="Z7203" t="str">
        <f t="shared" si="112"/>
        <v/>
      </c>
    </row>
    <row r="7204" spans="26:26" x14ac:dyDescent="0.2">
      <c r="Z7204" t="str">
        <f t="shared" si="112"/>
        <v/>
      </c>
    </row>
    <row r="7205" spans="26:26" x14ac:dyDescent="0.2">
      <c r="Z7205" t="str">
        <f t="shared" si="112"/>
        <v/>
      </c>
    </row>
    <row r="7206" spans="26:26" x14ac:dyDescent="0.2">
      <c r="Z7206" t="str">
        <f t="shared" si="112"/>
        <v/>
      </c>
    </row>
    <row r="7207" spans="26:26" x14ac:dyDescent="0.2">
      <c r="Z7207" t="str">
        <f t="shared" si="112"/>
        <v/>
      </c>
    </row>
    <row r="7208" spans="26:26" x14ac:dyDescent="0.2">
      <c r="Z7208" t="str">
        <f t="shared" si="112"/>
        <v/>
      </c>
    </row>
    <row r="7209" spans="26:26" x14ac:dyDescent="0.2">
      <c r="Z7209" t="str">
        <f t="shared" si="112"/>
        <v/>
      </c>
    </row>
    <row r="7210" spans="26:26" x14ac:dyDescent="0.2">
      <c r="Z7210" t="str">
        <f t="shared" si="112"/>
        <v/>
      </c>
    </row>
    <row r="7211" spans="26:26" x14ac:dyDescent="0.2">
      <c r="Z7211" t="str">
        <f t="shared" si="112"/>
        <v/>
      </c>
    </row>
    <row r="7212" spans="26:26" x14ac:dyDescent="0.2">
      <c r="Z7212" t="str">
        <f t="shared" si="112"/>
        <v/>
      </c>
    </row>
    <row r="7213" spans="26:26" x14ac:dyDescent="0.2">
      <c r="Z7213" t="str">
        <f t="shared" si="112"/>
        <v/>
      </c>
    </row>
    <row r="7214" spans="26:26" x14ac:dyDescent="0.2">
      <c r="Z7214" t="str">
        <f t="shared" si="112"/>
        <v/>
      </c>
    </row>
    <row r="7215" spans="26:26" x14ac:dyDescent="0.2">
      <c r="Z7215" t="str">
        <f t="shared" si="112"/>
        <v/>
      </c>
    </row>
    <row r="7216" spans="26:26" x14ac:dyDescent="0.2">
      <c r="Z7216" t="str">
        <f t="shared" si="112"/>
        <v/>
      </c>
    </row>
    <row r="7217" spans="26:26" x14ac:dyDescent="0.2">
      <c r="Z7217" t="str">
        <f t="shared" si="112"/>
        <v/>
      </c>
    </row>
    <row r="7218" spans="26:26" x14ac:dyDescent="0.2">
      <c r="Z7218" t="str">
        <f t="shared" si="112"/>
        <v/>
      </c>
    </row>
    <row r="7219" spans="26:26" x14ac:dyDescent="0.2">
      <c r="Z7219" t="str">
        <f t="shared" si="112"/>
        <v/>
      </c>
    </row>
    <row r="7220" spans="26:26" x14ac:dyDescent="0.2">
      <c r="Z7220" t="str">
        <f t="shared" si="112"/>
        <v/>
      </c>
    </row>
    <row r="7221" spans="26:26" x14ac:dyDescent="0.2">
      <c r="Z7221" t="str">
        <f t="shared" si="112"/>
        <v/>
      </c>
    </row>
    <row r="7222" spans="26:26" x14ac:dyDescent="0.2">
      <c r="Z7222" t="str">
        <f t="shared" si="112"/>
        <v/>
      </c>
    </row>
    <row r="7223" spans="26:26" x14ac:dyDescent="0.2">
      <c r="Z7223" t="str">
        <f t="shared" si="112"/>
        <v/>
      </c>
    </row>
    <row r="7224" spans="26:26" x14ac:dyDescent="0.2">
      <c r="Z7224" t="str">
        <f t="shared" si="112"/>
        <v/>
      </c>
    </row>
    <row r="7225" spans="26:26" x14ac:dyDescent="0.2">
      <c r="Z7225" t="str">
        <f t="shared" si="112"/>
        <v/>
      </c>
    </row>
    <row r="7226" spans="26:26" x14ac:dyDescent="0.2">
      <c r="Z7226" t="str">
        <f t="shared" si="112"/>
        <v/>
      </c>
    </row>
    <row r="7227" spans="26:26" x14ac:dyDescent="0.2">
      <c r="Z7227" t="str">
        <f t="shared" si="112"/>
        <v/>
      </c>
    </row>
    <row r="7228" spans="26:26" x14ac:dyDescent="0.2">
      <c r="Z7228" t="str">
        <f t="shared" si="112"/>
        <v/>
      </c>
    </row>
    <row r="7229" spans="26:26" x14ac:dyDescent="0.2">
      <c r="Z7229" t="str">
        <f t="shared" si="112"/>
        <v/>
      </c>
    </row>
    <row r="7230" spans="26:26" x14ac:dyDescent="0.2">
      <c r="Z7230" t="str">
        <f t="shared" si="112"/>
        <v/>
      </c>
    </row>
    <row r="7231" spans="26:26" x14ac:dyDescent="0.2">
      <c r="Z7231" t="str">
        <f t="shared" si="112"/>
        <v/>
      </c>
    </row>
    <row r="7232" spans="26:26" x14ac:dyDescent="0.2">
      <c r="Z7232" t="str">
        <f t="shared" si="112"/>
        <v/>
      </c>
    </row>
    <row r="7233" spans="26:26" x14ac:dyDescent="0.2">
      <c r="Z7233" t="str">
        <f t="shared" si="112"/>
        <v/>
      </c>
    </row>
    <row r="7234" spans="26:26" x14ac:dyDescent="0.2">
      <c r="Z7234" t="str">
        <f t="shared" si="112"/>
        <v/>
      </c>
    </row>
    <row r="7235" spans="26:26" x14ac:dyDescent="0.2">
      <c r="Z7235" t="str">
        <f t="shared" ref="Z7235:Z7298" si="113">IF(K7235="","",IFERROR(VALUE(TRIM(MID(K7235,FIND(CHAR(167),SUBSTITUTE(K7235,"-",CHAR(167),LEN(K7235)-LEN(SUBSTITUTE(K7235,"-",""))))+1,100))),K7235))</f>
        <v/>
      </c>
    </row>
    <row r="7236" spans="26:26" x14ac:dyDescent="0.2">
      <c r="Z7236" t="str">
        <f t="shared" si="113"/>
        <v/>
      </c>
    </row>
    <row r="7237" spans="26:26" x14ac:dyDescent="0.2">
      <c r="Z7237" t="str">
        <f t="shared" si="113"/>
        <v/>
      </c>
    </row>
    <row r="7238" spans="26:26" x14ac:dyDescent="0.2">
      <c r="Z7238" t="str">
        <f t="shared" si="113"/>
        <v/>
      </c>
    </row>
    <row r="7239" spans="26:26" x14ac:dyDescent="0.2">
      <c r="Z7239" t="str">
        <f t="shared" si="113"/>
        <v/>
      </c>
    </row>
    <row r="7240" spans="26:26" x14ac:dyDescent="0.2">
      <c r="Z7240" t="str">
        <f t="shared" si="113"/>
        <v/>
      </c>
    </row>
    <row r="7241" spans="26:26" x14ac:dyDescent="0.2">
      <c r="Z7241" t="str">
        <f t="shared" si="113"/>
        <v/>
      </c>
    </row>
    <row r="7242" spans="26:26" x14ac:dyDescent="0.2">
      <c r="Z7242" t="str">
        <f t="shared" si="113"/>
        <v/>
      </c>
    </row>
    <row r="7243" spans="26:26" x14ac:dyDescent="0.2">
      <c r="Z7243" t="str">
        <f t="shared" si="113"/>
        <v/>
      </c>
    </row>
    <row r="7244" spans="26:26" x14ac:dyDescent="0.2">
      <c r="Z7244" t="str">
        <f t="shared" si="113"/>
        <v/>
      </c>
    </row>
    <row r="7245" spans="26:26" x14ac:dyDescent="0.2">
      <c r="Z7245" t="str">
        <f t="shared" si="113"/>
        <v/>
      </c>
    </row>
    <row r="7246" spans="26:26" x14ac:dyDescent="0.2">
      <c r="Z7246" t="str">
        <f t="shared" si="113"/>
        <v/>
      </c>
    </row>
    <row r="7247" spans="26:26" x14ac:dyDescent="0.2">
      <c r="Z7247" t="str">
        <f t="shared" si="113"/>
        <v/>
      </c>
    </row>
    <row r="7248" spans="26:26" x14ac:dyDescent="0.2">
      <c r="Z7248" t="str">
        <f t="shared" si="113"/>
        <v/>
      </c>
    </row>
    <row r="7249" spans="26:26" x14ac:dyDescent="0.2">
      <c r="Z7249" t="str">
        <f t="shared" si="113"/>
        <v/>
      </c>
    </row>
    <row r="7250" spans="26:26" x14ac:dyDescent="0.2">
      <c r="Z7250" t="str">
        <f t="shared" si="113"/>
        <v/>
      </c>
    </row>
    <row r="7251" spans="26:26" x14ac:dyDescent="0.2">
      <c r="Z7251" t="str">
        <f t="shared" si="113"/>
        <v/>
      </c>
    </row>
    <row r="7252" spans="26:26" x14ac:dyDescent="0.2">
      <c r="Z7252" t="str">
        <f t="shared" si="113"/>
        <v/>
      </c>
    </row>
    <row r="7253" spans="26:26" x14ac:dyDescent="0.2">
      <c r="Z7253" t="str">
        <f t="shared" si="113"/>
        <v/>
      </c>
    </row>
    <row r="7254" spans="26:26" x14ac:dyDescent="0.2">
      <c r="Z7254" t="str">
        <f t="shared" si="113"/>
        <v/>
      </c>
    </row>
    <row r="7255" spans="26:26" x14ac:dyDescent="0.2">
      <c r="Z7255" t="str">
        <f t="shared" si="113"/>
        <v/>
      </c>
    </row>
    <row r="7256" spans="26:26" x14ac:dyDescent="0.2">
      <c r="Z7256" t="str">
        <f t="shared" si="113"/>
        <v/>
      </c>
    </row>
    <row r="7257" spans="26:26" x14ac:dyDescent="0.2">
      <c r="Z7257" t="str">
        <f t="shared" si="113"/>
        <v/>
      </c>
    </row>
    <row r="7258" spans="26:26" x14ac:dyDescent="0.2">
      <c r="Z7258" t="str">
        <f t="shared" si="113"/>
        <v/>
      </c>
    </row>
    <row r="7259" spans="26:26" x14ac:dyDescent="0.2">
      <c r="Z7259" t="str">
        <f t="shared" si="113"/>
        <v/>
      </c>
    </row>
    <row r="7260" spans="26:26" x14ac:dyDescent="0.2">
      <c r="Z7260" t="str">
        <f t="shared" si="113"/>
        <v/>
      </c>
    </row>
    <row r="7261" spans="26:26" x14ac:dyDescent="0.2">
      <c r="Z7261" t="str">
        <f t="shared" si="113"/>
        <v/>
      </c>
    </row>
    <row r="7262" spans="26:26" x14ac:dyDescent="0.2">
      <c r="Z7262" t="str">
        <f t="shared" si="113"/>
        <v/>
      </c>
    </row>
    <row r="7263" spans="26:26" x14ac:dyDescent="0.2">
      <c r="Z7263" t="str">
        <f t="shared" si="113"/>
        <v/>
      </c>
    </row>
    <row r="7264" spans="26:26" x14ac:dyDescent="0.2">
      <c r="Z7264" t="str">
        <f t="shared" si="113"/>
        <v/>
      </c>
    </row>
    <row r="7265" spans="26:26" x14ac:dyDescent="0.2">
      <c r="Z7265" t="str">
        <f t="shared" si="113"/>
        <v/>
      </c>
    </row>
    <row r="7266" spans="26:26" x14ac:dyDescent="0.2">
      <c r="Z7266" t="str">
        <f t="shared" si="113"/>
        <v/>
      </c>
    </row>
    <row r="7267" spans="26:26" x14ac:dyDescent="0.2">
      <c r="Z7267" t="str">
        <f t="shared" si="113"/>
        <v/>
      </c>
    </row>
    <row r="7268" spans="26:26" x14ac:dyDescent="0.2">
      <c r="Z7268" t="str">
        <f t="shared" si="113"/>
        <v/>
      </c>
    </row>
    <row r="7269" spans="26:26" x14ac:dyDescent="0.2">
      <c r="Z7269" t="str">
        <f t="shared" si="113"/>
        <v/>
      </c>
    </row>
    <row r="7270" spans="26:26" x14ac:dyDescent="0.2">
      <c r="Z7270" t="str">
        <f t="shared" si="113"/>
        <v/>
      </c>
    </row>
    <row r="7271" spans="26:26" x14ac:dyDescent="0.2">
      <c r="Z7271" t="str">
        <f t="shared" si="113"/>
        <v/>
      </c>
    </row>
    <row r="7272" spans="26:26" x14ac:dyDescent="0.2">
      <c r="Z7272" t="str">
        <f t="shared" si="113"/>
        <v/>
      </c>
    </row>
    <row r="7273" spans="26:26" x14ac:dyDescent="0.2">
      <c r="Z7273" t="str">
        <f t="shared" si="113"/>
        <v/>
      </c>
    </row>
    <row r="7274" spans="26:26" x14ac:dyDescent="0.2">
      <c r="Z7274" t="str">
        <f t="shared" si="113"/>
        <v/>
      </c>
    </row>
    <row r="7275" spans="26:26" x14ac:dyDescent="0.2">
      <c r="Z7275" t="str">
        <f t="shared" si="113"/>
        <v/>
      </c>
    </row>
    <row r="7276" spans="26:26" x14ac:dyDescent="0.2">
      <c r="Z7276" t="str">
        <f t="shared" si="113"/>
        <v/>
      </c>
    </row>
    <row r="7277" spans="26:26" x14ac:dyDescent="0.2">
      <c r="Z7277" t="str">
        <f t="shared" si="113"/>
        <v/>
      </c>
    </row>
    <row r="7278" spans="26:26" x14ac:dyDescent="0.2">
      <c r="Z7278" t="str">
        <f t="shared" si="113"/>
        <v/>
      </c>
    </row>
    <row r="7279" spans="26:26" x14ac:dyDescent="0.2">
      <c r="Z7279" t="str">
        <f t="shared" si="113"/>
        <v/>
      </c>
    </row>
    <row r="7280" spans="26:26" x14ac:dyDescent="0.2">
      <c r="Z7280" t="str">
        <f t="shared" si="113"/>
        <v/>
      </c>
    </row>
    <row r="7281" spans="26:26" x14ac:dyDescent="0.2">
      <c r="Z7281" t="str">
        <f t="shared" si="113"/>
        <v/>
      </c>
    </row>
    <row r="7282" spans="26:26" x14ac:dyDescent="0.2">
      <c r="Z7282" t="str">
        <f t="shared" si="113"/>
        <v/>
      </c>
    </row>
    <row r="7283" spans="26:26" x14ac:dyDescent="0.2">
      <c r="Z7283" t="str">
        <f t="shared" si="113"/>
        <v/>
      </c>
    </row>
    <row r="7284" spans="26:26" x14ac:dyDescent="0.2">
      <c r="Z7284" t="str">
        <f t="shared" si="113"/>
        <v/>
      </c>
    </row>
    <row r="7285" spans="26:26" x14ac:dyDescent="0.2">
      <c r="Z7285" t="str">
        <f t="shared" si="113"/>
        <v/>
      </c>
    </row>
    <row r="7286" spans="26:26" x14ac:dyDescent="0.2">
      <c r="Z7286" t="str">
        <f t="shared" si="113"/>
        <v/>
      </c>
    </row>
    <row r="7287" spans="26:26" x14ac:dyDescent="0.2">
      <c r="Z7287" t="str">
        <f t="shared" si="113"/>
        <v/>
      </c>
    </row>
    <row r="7288" spans="26:26" x14ac:dyDescent="0.2">
      <c r="Z7288" t="str">
        <f t="shared" si="113"/>
        <v/>
      </c>
    </row>
    <row r="7289" spans="26:26" x14ac:dyDescent="0.2">
      <c r="Z7289" t="str">
        <f t="shared" si="113"/>
        <v/>
      </c>
    </row>
    <row r="7290" spans="26:26" x14ac:dyDescent="0.2">
      <c r="Z7290" t="str">
        <f t="shared" si="113"/>
        <v/>
      </c>
    </row>
    <row r="7291" spans="26:26" x14ac:dyDescent="0.2">
      <c r="Z7291" t="str">
        <f t="shared" si="113"/>
        <v/>
      </c>
    </row>
    <row r="7292" spans="26:26" x14ac:dyDescent="0.2">
      <c r="Z7292" t="str">
        <f t="shared" si="113"/>
        <v/>
      </c>
    </row>
    <row r="7293" spans="26:26" x14ac:dyDescent="0.2">
      <c r="Z7293" t="str">
        <f t="shared" si="113"/>
        <v/>
      </c>
    </row>
    <row r="7294" spans="26:26" x14ac:dyDescent="0.2">
      <c r="Z7294" t="str">
        <f t="shared" si="113"/>
        <v/>
      </c>
    </row>
    <row r="7295" spans="26:26" x14ac:dyDescent="0.2">
      <c r="Z7295" t="str">
        <f t="shared" si="113"/>
        <v/>
      </c>
    </row>
    <row r="7296" spans="26:26" x14ac:dyDescent="0.2">
      <c r="Z7296" t="str">
        <f t="shared" si="113"/>
        <v/>
      </c>
    </row>
    <row r="7297" spans="26:26" x14ac:dyDescent="0.2">
      <c r="Z7297" t="str">
        <f t="shared" si="113"/>
        <v/>
      </c>
    </row>
    <row r="7298" spans="26:26" x14ac:dyDescent="0.2">
      <c r="Z7298" t="str">
        <f t="shared" si="113"/>
        <v/>
      </c>
    </row>
    <row r="7299" spans="26:26" x14ac:dyDescent="0.2">
      <c r="Z7299" t="str">
        <f t="shared" ref="Z7299:Z7362" si="114">IF(K7299="","",IFERROR(VALUE(TRIM(MID(K7299,FIND(CHAR(167),SUBSTITUTE(K7299,"-",CHAR(167),LEN(K7299)-LEN(SUBSTITUTE(K7299,"-",""))))+1,100))),K7299))</f>
        <v/>
      </c>
    </row>
    <row r="7300" spans="26:26" x14ac:dyDescent="0.2">
      <c r="Z7300" t="str">
        <f t="shared" si="114"/>
        <v/>
      </c>
    </row>
    <row r="7301" spans="26:26" x14ac:dyDescent="0.2">
      <c r="Z7301" t="str">
        <f t="shared" si="114"/>
        <v/>
      </c>
    </row>
    <row r="7302" spans="26:26" x14ac:dyDescent="0.2">
      <c r="Z7302" t="str">
        <f t="shared" si="114"/>
        <v/>
      </c>
    </row>
    <row r="7303" spans="26:26" x14ac:dyDescent="0.2">
      <c r="Z7303" t="str">
        <f t="shared" si="114"/>
        <v/>
      </c>
    </row>
    <row r="7304" spans="26:26" x14ac:dyDescent="0.2">
      <c r="Z7304" t="str">
        <f t="shared" si="114"/>
        <v/>
      </c>
    </row>
    <row r="7305" spans="26:26" x14ac:dyDescent="0.2">
      <c r="Z7305" t="str">
        <f t="shared" si="114"/>
        <v/>
      </c>
    </row>
    <row r="7306" spans="26:26" x14ac:dyDescent="0.2">
      <c r="Z7306" t="str">
        <f t="shared" si="114"/>
        <v/>
      </c>
    </row>
    <row r="7307" spans="26:26" x14ac:dyDescent="0.2">
      <c r="Z7307" t="str">
        <f t="shared" si="114"/>
        <v/>
      </c>
    </row>
    <row r="7308" spans="26:26" x14ac:dyDescent="0.2">
      <c r="Z7308" t="str">
        <f t="shared" si="114"/>
        <v/>
      </c>
    </row>
    <row r="7309" spans="26:26" x14ac:dyDescent="0.2">
      <c r="Z7309" t="str">
        <f t="shared" si="114"/>
        <v/>
      </c>
    </row>
    <row r="7310" spans="26:26" x14ac:dyDescent="0.2">
      <c r="Z7310" t="str">
        <f t="shared" si="114"/>
        <v/>
      </c>
    </row>
    <row r="7311" spans="26:26" x14ac:dyDescent="0.2">
      <c r="Z7311" t="str">
        <f t="shared" si="114"/>
        <v/>
      </c>
    </row>
    <row r="7312" spans="26:26" x14ac:dyDescent="0.2">
      <c r="Z7312" t="str">
        <f t="shared" si="114"/>
        <v/>
      </c>
    </row>
    <row r="7313" spans="26:26" x14ac:dyDescent="0.2">
      <c r="Z7313" t="str">
        <f t="shared" si="114"/>
        <v/>
      </c>
    </row>
    <row r="7314" spans="26:26" x14ac:dyDescent="0.2">
      <c r="Z7314" t="str">
        <f t="shared" si="114"/>
        <v/>
      </c>
    </row>
    <row r="7315" spans="26:26" x14ac:dyDescent="0.2">
      <c r="Z7315" t="str">
        <f t="shared" si="114"/>
        <v/>
      </c>
    </row>
    <row r="7316" spans="26:26" x14ac:dyDescent="0.2">
      <c r="Z7316" t="str">
        <f t="shared" si="114"/>
        <v/>
      </c>
    </row>
    <row r="7317" spans="26:26" x14ac:dyDescent="0.2">
      <c r="Z7317" t="str">
        <f t="shared" si="114"/>
        <v/>
      </c>
    </row>
    <row r="7318" spans="26:26" x14ac:dyDescent="0.2">
      <c r="Z7318" t="str">
        <f t="shared" si="114"/>
        <v/>
      </c>
    </row>
    <row r="7319" spans="26:26" x14ac:dyDescent="0.2">
      <c r="Z7319" t="str">
        <f t="shared" si="114"/>
        <v/>
      </c>
    </row>
    <row r="7320" spans="26:26" x14ac:dyDescent="0.2">
      <c r="Z7320" t="str">
        <f t="shared" si="114"/>
        <v/>
      </c>
    </row>
    <row r="7321" spans="26:26" x14ac:dyDescent="0.2">
      <c r="Z7321" t="str">
        <f t="shared" si="114"/>
        <v/>
      </c>
    </row>
    <row r="7322" spans="26:26" x14ac:dyDescent="0.2">
      <c r="Z7322" t="str">
        <f t="shared" si="114"/>
        <v/>
      </c>
    </row>
    <row r="7323" spans="26:26" x14ac:dyDescent="0.2">
      <c r="Z7323" t="str">
        <f t="shared" si="114"/>
        <v/>
      </c>
    </row>
    <row r="7324" spans="26:26" x14ac:dyDescent="0.2">
      <c r="Z7324" t="str">
        <f t="shared" si="114"/>
        <v/>
      </c>
    </row>
    <row r="7325" spans="26:26" x14ac:dyDescent="0.2">
      <c r="Z7325" t="str">
        <f t="shared" si="114"/>
        <v/>
      </c>
    </row>
    <row r="7326" spans="26:26" x14ac:dyDescent="0.2">
      <c r="Z7326" t="str">
        <f t="shared" si="114"/>
        <v/>
      </c>
    </row>
    <row r="7327" spans="26:26" x14ac:dyDescent="0.2">
      <c r="Z7327" t="str">
        <f t="shared" si="114"/>
        <v/>
      </c>
    </row>
    <row r="7328" spans="26:26" x14ac:dyDescent="0.2">
      <c r="Z7328" t="str">
        <f t="shared" si="114"/>
        <v/>
      </c>
    </row>
    <row r="7329" spans="26:26" x14ac:dyDescent="0.2">
      <c r="Z7329" t="str">
        <f t="shared" si="114"/>
        <v/>
      </c>
    </row>
    <row r="7330" spans="26:26" x14ac:dyDescent="0.2">
      <c r="Z7330" t="str">
        <f t="shared" si="114"/>
        <v/>
      </c>
    </row>
    <row r="7331" spans="26:26" x14ac:dyDescent="0.2">
      <c r="Z7331" t="str">
        <f t="shared" si="114"/>
        <v/>
      </c>
    </row>
    <row r="7332" spans="26:26" x14ac:dyDescent="0.2">
      <c r="Z7332" t="str">
        <f t="shared" si="114"/>
        <v/>
      </c>
    </row>
    <row r="7333" spans="26:26" x14ac:dyDescent="0.2">
      <c r="Z7333" t="str">
        <f t="shared" si="114"/>
        <v/>
      </c>
    </row>
    <row r="7334" spans="26:26" x14ac:dyDescent="0.2">
      <c r="Z7334" t="str">
        <f t="shared" si="114"/>
        <v/>
      </c>
    </row>
    <row r="7335" spans="26:26" x14ac:dyDescent="0.2">
      <c r="Z7335" t="str">
        <f t="shared" si="114"/>
        <v/>
      </c>
    </row>
    <row r="7336" spans="26:26" x14ac:dyDescent="0.2">
      <c r="Z7336" t="str">
        <f t="shared" si="114"/>
        <v/>
      </c>
    </row>
    <row r="7337" spans="26:26" x14ac:dyDescent="0.2">
      <c r="Z7337" t="str">
        <f t="shared" si="114"/>
        <v/>
      </c>
    </row>
    <row r="7338" spans="26:26" x14ac:dyDescent="0.2">
      <c r="Z7338" t="str">
        <f t="shared" si="114"/>
        <v/>
      </c>
    </row>
    <row r="7339" spans="26:26" x14ac:dyDescent="0.2">
      <c r="Z7339" t="str">
        <f t="shared" si="114"/>
        <v/>
      </c>
    </row>
    <row r="7340" spans="26:26" x14ac:dyDescent="0.2">
      <c r="Z7340" t="str">
        <f t="shared" si="114"/>
        <v/>
      </c>
    </row>
    <row r="7341" spans="26:26" x14ac:dyDescent="0.2">
      <c r="Z7341" t="str">
        <f t="shared" si="114"/>
        <v/>
      </c>
    </row>
    <row r="7342" spans="26:26" x14ac:dyDescent="0.2">
      <c r="Z7342" t="str">
        <f t="shared" si="114"/>
        <v/>
      </c>
    </row>
    <row r="7343" spans="26:26" x14ac:dyDescent="0.2">
      <c r="Z7343" t="str">
        <f t="shared" si="114"/>
        <v/>
      </c>
    </row>
    <row r="7344" spans="26:26" x14ac:dyDescent="0.2">
      <c r="Z7344" t="str">
        <f t="shared" si="114"/>
        <v/>
      </c>
    </row>
    <row r="7345" spans="26:26" x14ac:dyDescent="0.2">
      <c r="Z7345" t="str">
        <f t="shared" si="114"/>
        <v/>
      </c>
    </row>
    <row r="7346" spans="26:26" x14ac:dyDescent="0.2">
      <c r="Z7346" t="str">
        <f t="shared" si="114"/>
        <v/>
      </c>
    </row>
    <row r="7347" spans="26:26" x14ac:dyDescent="0.2">
      <c r="Z7347" t="str">
        <f t="shared" si="114"/>
        <v/>
      </c>
    </row>
    <row r="7348" spans="26:26" x14ac:dyDescent="0.2">
      <c r="Z7348" t="str">
        <f t="shared" si="114"/>
        <v/>
      </c>
    </row>
    <row r="7349" spans="26:26" x14ac:dyDescent="0.2">
      <c r="Z7349" t="str">
        <f t="shared" si="114"/>
        <v/>
      </c>
    </row>
    <row r="7350" spans="26:26" x14ac:dyDescent="0.2">
      <c r="Z7350" t="str">
        <f t="shared" si="114"/>
        <v/>
      </c>
    </row>
    <row r="7351" spans="26:26" x14ac:dyDescent="0.2">
      <c r="Z7351" t="str">
        <f t="shared" si="114"/>
        <v/>
      </c>
    </row>
    <row r="7352" spans="26:26" x14ac:dyDescent="0.2">
      <c r="Z7352" t="str">
        <f t="shared" si="114"/>
        <v/>
      </c>
    </row>
    <row r="7353" spans="26:26" x14ac:dyDescent="0.2">
      <c r="Z7353" t="str">
        <f t="shared" si="114"/>
        <v/>
      </c>
    </row>
    <row r="7354" spans="26:26" x14ac:dyDescent="0.2">
      <c r="Z7354" t="str">
        <f t="shared" si="114"/>
        <v/>
      </c>
    </row>
    <row r="7355" spans="26:26" x14ac:dyDescent="0.2">
      <c r="Z7355" t="str">
        <f t="shared" si="114"/>
        <v/>
      </c>
    </row>
    <row r="7356" spans="26:26" x14ac:dyDescent="0.2">
      <c r="Z7356" t="str">
        <f t="shared" si="114"/>
        <v/>
      </c>
    </row>
    <row r="7357" spans="26:26" x14ac:dyDescent="0.2">
      <c r="Z7357" t="str">
        <f t="shared" si="114"/>
        <v/>
      </c>
    </row>
    <row r="7358" spans="26:26" x14ac:dyDescent="0.2">
      <c r="Z7358" t="str">
        <f t="shared" si="114"/>
        <v/>
      </c>
    </row>
    <row r="7359" spans="26:26" x14ac:dyDescent="0.2">
      <c r="Z7359" t="str">
        <f t="shared" si="114"/>
        <v/>
      </c>
    </row>
    <row r="7360" spans="26:26" x14ac:dyDescent="0.2">
      <c r="Z7360" t="str">
        <f t="shared" si="114"/>
        <v/>
      </c>
    </row>
    <row r="7361" spans="26:26" x14ac:dyDescent="0.2">
      <c r="Z7361" t="str">
        <f t="shared" si="114"/>
        <v/>
      </c>
    </row>
    <row r="7362" spans="26:26" x14ac:dyDescent="0.2">
      <c r="Z7362" t="str">
        <f t="shared" si="114"/>
        <v/>
      </c>
    </row>
    <row r="7363" spans="26:26" x14ac:dyDescent="0.2">
      <c r="Z7363" t="str">
        <f t="shared" ref="Z7363:Z7426" si="115">IF(K7363="","",IFERROR(VALUE(TRIM(MID(K7363,FIND(CHAR(167),SUBSTITUTE(K7363,"-",CHAR(167),LEN(K7363)-LEN(SUBSTITUTE(K7363,"-",""))))+1,100))),K7363))</f>
        <v/>
      </c>
    </row>
    <row r="7364" spans="26:26" x14ac:dyDescent="0.2">
      <c r="Z7364" t="str">
        <f t="shared" si="115"/>
        <v/>
      </c>
    </row>
    <row r="7365" spans="26:26" x14ac:dyDescent="0.2">
      <c r="Z7365" t="str">
        <f t="shared" si="115"/>
        <v/>
      </c>
    </row>
    <row r="7366" spans="26:26" x14ac:dyDescent="0.2">
      <c r="Z7366" t="str">
        <f t="shared" si="115"/>
        <v/>
      </c>
    </row>
    <row r="7367" spans="26:26" x14ac:dyDescent="0.2">
      <c r="Z7367" t="str">
        <f t="shared" si="115"/>
        <v/>
      </c>
    </row>
    <row r="7368" spans="26:26" x14ac:dyDescent="0.2">
      <c r="Z7368" t="str">
        <f t="shared" si="115"/>
        <v/>
      </c>
    </row>
    <row r="7369" spans="26:26" x14ac:dyDescent="0.2">
      <c r="Z7369" t="str">
        <f t="shared" si="115"/>
        <v/>
      </c>
    </row>
    <row r="7370" spans="26:26" x14ac:dyDescent="0.2">
      <c r="Z7370" t="str">
        <f t="shared" si="115"/>
        <v/>
      </c>
    </row>
    <row r="7371" spans="26:26" x14ac:dyDescent="0.2">
      <c r="Z7371" t="str">
        <f t="shared" si="115"/>
        <v/>
      </c>
    </row>
    <row r="7372" spans="26:26" x14ac:dyDescent="0.2">
      <c r="Z7372" t="str">
        <f t="shared" si="115"/>
        <v/>
      </c>
    </row>
    <row r="7373" spans="26:26" x14ac:dyDescent="0.2">
      <c r="Z7373" t="str">
        <f t="shared" si="115"/>
        <v/>
      </c>
    </row>
    <row r="7374" spans="26:26" x14ac:dyDescent="0.2">
      <c r="Z7374" t="str">
        <f t="shared" si="115"/>
        <v/>
      </c>
    </row>
    <row r="7375" spans="26:26" x14ac:dyDescent="0.2">
      <c r="Z7375" t="str">
        <f t="shared" si="115"/>
        <v/>
      </c>
    </row>
    <row r="7376" spans="26:26" x14ac:dyDescent="0.2">
      <c r="Z7376" t="str">
        <f t="shared" si="115"/>
        <v/>
      </c>
    </row>
    <row r="7377" spans="26:26" x14ac:dyDescent="0.2">
      <c r="Z7377" t="str">
        <f t="shared" si="115"/>
        <v/>
      </c>
    </row>
    <row r="7378" spans="26:26" x14ac:dyDescent="0.2">
      <c r="Z7378" t="str">
        <f t="shared" si="115"/>
        <v/>
      </c>
    </row>
    <row r="7379" spans="26:26" x14ac:dyDescent="0.2">
      <c r="Z7379" t="str">
        <f t="shared" si="115"/>
        <v/>
      </c>
    </row>
    <row r="7380" spans="26:26" x14ac:dyDescent="0.2">
      <c r="Z7380" t="str">
        <f t="shared" si="115"/>
        <v/>
      </c>
    </row>
    <row r="7381" spans="26:26" x14ac:dyDescent="0.2">
      <c r="Z7381" t="str">
        <f t="shared" si="115"/>
        <v/>
      </c>
    </row>
    <row r="7382" spans="26:26" x14ac:dyDescent="0.2">
      <c r="Z7382" t="str">
        <f t="shared" si="115"/>
        <v/>
      </c>
    </row>
    <row r="7383" spans="26:26" x14ac:dyDescent="0.2">
      <c r="Z7383" t="str">
        <f t="shared" si="115"/>
        <v/>
      </c>
    </row>
    <row r="7384" spans="26:26" x14ac:dyDescent="0.2">
      <c r="Z7384" t="str">
        <f t="shared" si="115"/>
        <v/>
      </c>
    </row>
    <row r="7385" spans="26:26" x14ac:dyDescent="0.2">
      <c r="Z7385" t="str">
        <f t="shared" si="115"/>
        <v/>
      </c>
    </row>
    <row r="7386" spans="26:26" x14ac:dyDescent="0.2">
      <c r="Z7386" t="str">
        <f t="shared" si="115"/>
        <v/>
      </c>
    </row>
    <row r="7387" spans="26:26" x14ac:dyDescent="0.2">
      <c r="Z7387" t="str">
        <f t="shared" si="115"/>
        <v/>
      </c>
    </row>
    <row r="7388" spans="26:26" x14ac:dyDescent="0.2">
      <c r="Z7388" t="str">
        <f t="shared" si="115"/>
        <v/>
      </c>
    </row>
    <row r="7389" spans="26:26" x14ac:dyDescent="0.2">
      <c r="Z7389" t="str">
        <f t="shared" si="115"/>
        <v/>
      </c>
    </row>
    <row r="7390" spans="26:26" x14ac:dyDescent="0.2">
      <c r="Z7390" t="str">
        <f t="shared" si="115"/>
        <v/>
      </c>
    </row>
    <row r="7391" spans="26:26" x14ac:dyDescent="0.2">
      <c r="Z7391" t="str">
        <f t="shared" si="115"/>
        <v/>
      </c>
    </row>
    <row r="7392" spans="26:26" x14ac:dyDescent="0.2">
      <c r="Z7392" t="str">
        <f t="shared" si="115"/>
        <v/>
      </c>
    </row>
    <row r="7393" spans="26:26" x14ac:dyDescent="0.2">
      <c r="Z7393" t="str">
        <f t="shared" si="115"/>
        <v/>
      </c>
    </row>
    <row r="7394" spans="26:26" x14ac:dyDescent="0.2">
      <c r="Z7394" t="str">
        <f t="shared" si="115"/>
        <v/>
      </c>
    </row>
    <row r="7395" spans="26:26" x14ac:dyDescent="0.2">
      <c r="Z7395" t="str">
        <f t="shared" si="115"/>
        <v/>
      </c>
    </row>
    <row r="7396" spans="26:26" x14ac:dyDescent="0.2">
      <c r="Z7396" t="str">
        <f t="shared" si="115"/>
        <v/>
      </c>
    </row>
    <row r="7397" spans="26:26" x14ac:dyDescent="0.2">
      <c r="Z7397" t="str">
        <f t="shared" si="115"/>
        <v/>
      </c>
    </row>
    <row r="7398" spans="26:26" x14ac:dyDescent="0.2">
      <c r="Z7398" t="str">
        <f t="shared" si="115"/>
        <v/>
      </c>
    </row>
    <row r="7399" spans="26:26" x14ac:dyDescent="0.2">
      <c r="Z7399" t="str">
        <f t="shared" si="115"/>
        <v/>
      </c>
    </row>
    <row r="7400" spans="26:26" x14ac:dyDescent="0.2">
      <c r="Z7400" t="str">
        <f t="shared" si="115"/>
        <v/>
      </c>
    </row>
    <row r="7401" spans="26:26" x14ac:dyDescent="0.2">
      <c r="Z7401" t="str">
        <f t="shared" si="115"/>
        <v/>
      </c>
    </row>
    <row r="7402" spans="26:26" x14ac:dyDescent="0.2">
      <c r="Z7402" t="str">
        <f t="shared" si="115"/>
        <v/>
      </c>
    </row>
    <row r="7403" spans="26:26" x14ac:dyDescent="0.2">
      <c r="Z7403" t="str">
        <f t="shared" si="115"/>
        <v/>
      </c>
    </row>
    <row r="7404" spans="26:26" x14ac:dyDescent="0.2">
      <c r="Z7404" t="str">
        <f t="shared" si="115"/>
        <v/>
      </c>
    </row>
    <row r="7405" spans="26:26" x14ac:dyDescent="0.2">
      <c r="Z7405" t="str">
        <f t="shared" si="115"/>
        <v/>
      </c>
    </row>
    <row r="7406" spans="26:26" x14ac:dyDescent="0.2">
      <c r="Z7406" t="str">
        <f t="shared" si="115"/>
        <v/>
      </c>
    </row>
    <row r="7407" spans="26:26" x14ac:dyDescent="0.2">
      <c r="Z7407" t="str">
        <f t="shared" si="115"/>
        <v/>
      </c>
    </row>
    <row r="7408" spans="26:26" x14ac:dyDescent="0.2">
      <c r="Z7408" t="str">
        <f t="shared" si="115"/>
        <v/>
      </c>
    </row>
    <row r="7409" spans="26:26" x14ac:dyDescent="0.2">
      <c r="Z7409" t="str">
        <f t="shared" si="115"/>
        <v/>
      </c>
    </row>
    <row r="7410" spans="26:26" x14ac:dyDescent="0.2">
      <c r="Z7410" t="str">
        <f t="shared" si="115"/>
        <v/>
      </c>
    </row>
    <row r="7411" spans="26:26" x14ac:dyDescent="0.2">
      <c r="Z7411" t="str">
        <f t="shared" si="115"/>
        <v/>
      </c>
    </row>
    <row r="7412" spans="26:26" x14ac:dyDescent="0.2">
      <c r="Z7412" t="str">
        <f t="shared" si="115"/>
        <v/>
      </c>
    </row>
    <row r="7413" spans="26:26" x14ac:dyDescent="0.2">
      <c r="Z7413" t="str">
        <f t="shared" si="115"/>
        <v/>
      </c>
    </row>
    <row r="7414" spans="26:26" x14ac:dyDescent="0.2">
      <c r="Z7414" t="str">
        <f t="shared" si="115"/>
        <v/>
      </c>
    </row>
    <row r="7415" spans="26:26" x14ac:dyDescent="0.2">
      <c r="Z7415" t="str">
        <f t="shared" si="115"/>
        <v/>
      </c>
    </row>
    <row r="7416" spans="26:26" x14ac:dyDescent="0.2">
      <c r="Z7416" t="str">
        <f t="shared" si="115"/>
        <v/>
      </c>
    </row>
    <row r="7417" spans="26:26" x14ac:dyDescent="0.2">
      <c r="Z7417" t="str">
        <f t="shared" si="115"/>
        <v/>
      </c>
    </row>
    <row r="7418" spans="26:26" x14ac:dyDescent="0.2">
      <c r="Z7418" t="str">
        <f t="shared" si="115"/>
        <v/>
      </c>
    </row>
    <row r="7419" spans="26:26" x14ac:dyDescent="0.2">
      <c r="Z7419" t="str">
        <f t="shared" si="115"/>
        <v/>
      </c>
    </row>
    <row r="7420" spans="26:26" x14ac:dyDescent="0.2">
      <c r="Z7420" t="str">
        <f t="shared" si="115"/>
        <v/>
      </c>
    </row>
    <row r="7421" spans="26:26" x14ac:dyDescent="0.2">
      <c r="Z7421" t="str">
        <f t="shared" si="115"/>
        <v/>
      </c>
    </row>
    <row r="7422" spans="26:26" x14ac:dyDescent="0.2">
      <c r="Z7422" t="str">
        <f t="shared" si="115"/>
        <v/>
      </c>
    </row>
    <row r="7423" spans="26:26" x14ac:dyDescent="0.2">
      <c r="Z7423" t="str">
        <f t="shared" si="115"/>
        <v/>
      </c>
    </row>
    <row r="7424" spans="26:26" x14ac:dyDescent="0.2">
      <c r="Z7424" t="str">
        <f t="shared" si="115"/>
        <v/>
      </c>
    </row>
    <row r="7425" spans="26:26" x14ac:dyDescent="0.2">
      <c r="Z7425" t="str">
        <f t="shared" si="115"/>
        <v/>
      </c>
    </row>
    <row r="7426" spans="26:26" x14ac:dyDescent="0.2">
      <c r="Z7426" t="str">
        <f t="shared" si="115"/>
        <v/>
      </c>
    </row>
    <row r="7427" spans="26:26" x14ac:dyDescent="0.2">
      <c r="Z7427" t="str">
        <f t="shared" ref="Z7427:Z7490" si="116">IF(K7427="","",IFERROR(VALUE(TRIM(MID(K7427,FIND(CHAR(167),SUBSTITUTE(K7427,"-",CHAR(167),LEN(K7427)-LEN(SUBSTITUTE(K7427,"-",""))))+1,100))),K7427))</f>
        <v/>
      </c>
    </row>
    <row r="7428" spans="26:26" x14ac:dyDescent="0.2">
      <c r="Z7428" t="str">
        <f t="shared" si="116"/>
        <v/>
      </c>
    </row>
    <row r="7429" spans="26:26" x14ac:dyDescent="0.2">
      <c r="Z7429" t="str">
        <f t="shared" si="116"/>
        <v/>
      </c>
    </row>
    <row r="7430" spans="26:26" x14ac:dyDescent="0.2">
      <c r="Z7430" t="str">
        <f t="shared" si="116"/>
        <v/>
      </c>
    </row>
    <row r="7431" spans="26:26" x14ac:dyDescent="0.2">
      <c r="Z7431" t="str">
        <f t="shared" si="116"/>
        <v/>
      </c>
    </row>
    <row r="7432" spans="26:26" x14ac:dyDescent="0.2">
      <c r="Z7432" t="str">
        <f t="shared" si="116"/>
        <v/>
      </c>
    </row>
    <row r="7433" spans="26:26" x14ac:dyDescent="0.2">
      <c r="Z7433" t="str">
        <f t="shared" si="116"/>
        <v/>
      </c>
    </row>
    <row r="7434" spans="26:26" x14ac:dyDescent="0.2">
      <c r="Z7434" t="str">
        <f t="shared" si="116"/>
        <v/>
      </c>
    </row>
    <row r="7435" spans="26:26" x14ac:dyDescent="0.2">
      <c r="Z7435" t="str">
        <f t="shared" si="116"/>
        <v/>
      </c>
    </row>
    <row r="7436" spans="26:26" x14ac:dyDescent="0.2">
      <c r="Z7436" t="str">
        <f t="shared" si="116"/>
        <v/>
      </c>
    </row>
    <row r="7437" spans="26:26" x14ac:dyDescent="0.2">
      <c r="Z7437" t="str">
        <f t="shared" si="116"/>
        <v/>
      </c>
    </row>
    <row r="7438" spans="26:26" x14ac:dyDescent="0.2">
      <c r="Z7438" t="str">
        <f t="shared" si="116"/>
        <v/>
      </c>
    </row>
    <row r="7439" spans="26:26" x14ac:dyDescent="0.2">
      <c r="Z7439" t="str">
        <f t="shared" si="116"/>
        <v/>
      </c>
    </row>
    <row r="7440" spans="26:26" x14ac:dyDescent="0.2">
      <c r="Z7440" t="str">
        <f t="shared" si="116"/>
        <v/>
      </c>
    </row>
    <row r="7441" spans="26:26" x14ac:dyDescent="0.2">
      <c r="Z7441" t="str">
        <f t="shared" si="116"/>
        <v/>
      </c>
    </row>
    <row r="7442" spans="26:26" x14ac:dyDescent="0.2">
      <c r="Z7442" t="str">
        <f t="shared" si="116"/>
        <v/>
      </c>
    </row>
    <row r="7443" spans="26:26" x14ac:dyDescent="0.2">
      <c r="Z7443" t="str">
        <f t="shared" si="116"/>
        <v/>
      </c>
    </row>
    <row r="7444" spans="26:26" x14ac:dyDescent="0.2">
      <c r="Z7444" t="str">
        <f t="shared" si="116"/>
        <v/>
      </c>
    </row>
    <row r="7445" spans="26:26" x14ac:dyDescent="0.2">
      <c r="Z7445" t="str">
        <f t="shared" si="116"/>
        <v/>
      </c>
    </row>
    <row r="7446" spans="26:26" x14ac:dyDescent="0.2">
      <c r="Z7446" t="str">
        <f t="shared" si="116"/>
        <v/>
      </c>
    </row>
    <row r="7447" spans="26:26" x14ac:dyDescent="0.2">
      <c r="Z7447" t="str">
        <f t="shared" si="116"/>
        <v/>
      </c>
    </row>
    <row r="7448" spans="26:26" x14ac:dyDescent="0.2">
      <c r="Z7448" t="str">
        <f t="shared" si="116"/>
        <v/>
      </c>
    </row>
    <row r="7449" spans="26:26" x14ac:dyDescent="0.2">
      <c r="Z7449" t="str">
        <f t="shared" si="116"/>
        <v/>
      </c>
    </row>
    <row r="7450" spans="26:26" x14ac:dyDescent="0.2">
      <c r="Z7450" t="str">
        <f t="shared" si="116"/>
        <v/>
      </c>
    </row>
    <row r="7451" spans="26:26" x14ac:dyDescent="0.2">
      <c r="Z7451" t="str">
        <f t="shared" si="116"/>
        <v/>
      </c>
    </row>
    <row r="7452" spans="26:26" x14ac:dyDescent="0.2">
      <c r="Z7452" t="str">
        <f t="shared" si="116"/>
        <v/>
      </c>
    </row>
    <row r="7453" spans="26:26" x14ac:dyDescent="0.2">
      <c r="Z7453" t="str">
        <f t="shared" si="116"/>
        <v/>
      </c>
    </row>
    <row r="7454" spans="26:26" x14ac:dyDescent="0.2">
      <c r="Z7454" t="str">
        <f t="shared" si="116"/>
        <v/>
      </c>
    </row>
    <row r="7455" spans="26:26" x14ac:dyDescent="0.2">
      <c r="Z7455" t="str">
        <f t="shared" si="116"/>
        <v/>
      </c>
    </row>
    <row r="7456" spans="26:26" x14ac:dyDescent="0.2">
      <c r="Z7456" t="str">
        <f t="shared" si="116"/>
        <v/>
      </c>
    </row>
    <row r="7457" spans="26:26" x14ac:dyDescent="0.2">
      <c r="Z7457" t="str">
        <f t="shared" si="116"/>
        <v/>
      </c>
    </row>
    <row r="7458" spans="26:26" x14ac:dyDescent="0.2">
      <c r="Z7458" t="str">
        <f t="shared" si="116"/>
        <v/>
      </c>
    </row>
    <row r="7459" spans="26:26" x14ac:dyDescent="0.2">
      <c r="Z7459" t="str">
        <f t="shared" si="116"/>
        <v/>
      </c>
    </row>
    <row r="7460" spans="26:26" x14ac:dyDescent="0.2">
      <c r="Z7460" t="str">
        <f t="shared" si="116"/>
        <v/>
      </c>
    </row>
    <row r="7461" spans="26:26" x14ac:dyDescent="0.2">
      <c r="Z7461" t="str">
        <f t="shared" si="116"/>
        <v/>
      </c>
    </row>
    <row r="7462" spans="26:26" x14ac:dyDescent="0.2">
      <c r="Z7462" t="str">
        <f t="shared" si="116"/>
        <v/>
      </c>
    </row>
    <row r="7463" spans="26:26" x14ac:dyDescent="0.2">
      <c r="Z7463" t="str">
        <f t="shared" si="116"/>
        <v/>
      </c>
    </row>
    <row r="7464" spans="26:26" x14ac:dyDescent="0.2">
      <c r="Z7464" t="str">
        <f t="shared" si="116"/>
        <v/>
      </c>
    </row>
    <row r="7465" spans="26:26" x14ac:dyDescent="0.2">
      <c r="Z7465" t="str">
        <f t="shared" si="116"/>
        <v/>
      </c>
    </row>
    <row r="7466" spans="26:26" x14ac:dyDescent="0.2">
      <c r="Z7466" t="str">
        <f t="shared" si="116"/>
        <v/>
      </c>
    </row>
    <row r="7467" spans="26:26" x14ac:dyDescent="0.2">
      <c r="Z7467" t="str">
        <f t="shared" si="116"/>
        <v/>
      </c>
    </row>
    <row r="7468" spans="26:26" x14ac:dyDescent="0.2">
      <c r="Z7468" t="str">
        <f t="shared" si="116"/>
        <v/>
      </c>
    </row>
    <row r="7469" spans="26:26" x14ac:dyDescent="0.2">
      <c r="Z7469" t="str">
        <f t="shared" si="116"/>
        <v/>
      </c>
    </row>
    <row r="7470" spans="26:26" x14ac:dyDescent="0.2">
      <c r="Z7470" t="str">
        <f t="shared" si="116"/>
        <v/>
      </c>
    </row>
    <row r="7471" spans="26:26" x14ac:dyDescent="0.2">
      <c r="Z7471" t="str">
        <f t="shared" si="116"/>
        <v/>
      </c>
    </row>
    <row r="7472" spans="26:26" x14ac:dyDescent="0.2">
      <c r="Z7472" t="str">
        <f t="shared" si="116"/>
        <v/>
      </c>
    </row>
    <row r="7473" spans="26:26" x14ac:dyDescent="0.2">
      <c r="Z7473" t="str">
        <f t="shared" si="116"/>
        <v/>
      </c>
    </row>
    <row r="7474" spans="26:26" x14ac:dyDescent="0.2">
      <c r="Z7474" t="str">
        <f t="shared" si="116"/>
        <v/>
      </c>
    </row>
    <row r="7475" spans="26:26" x14ac:dyDescent="0.2">
      <c r="Z7475" t="str">
        <f t="shared" si="116"/>
        <v/>
      </c>
    </row>
    <row r="7476" spans="26:26" x14ac:dyDescent="0.2">
      <c r="Z7476" t="str">
        <f t="shared" si="116"/>
        <v/>
      </c>
    </row>
    <row r="7477" spans="26:26" x14ac:dyDescent="0.2">
      <c r="Z7477" t="str">
        <f t="shared" si="116"/>
        <v/>
      </c>
    </row>
    <row r="7478" spans="26:26" x14ac:dyDescent="0.2">
      <c r="Z7478" t="str">
        <f t="shared" si="116"/>
        <v/>
      </c>
    </row>
    <row r="7479" spans="26:26" x14ac:dyDescent="0.2">
      <c r="Z7479" t="str">
        <f t="shared" si="116"/>
        <v/>
      </c>
    </row>
    <row r="7480" spans="26:26" x14ac:dyDescent="0.2">
      <c r="Z7480" t="str">
        <f t="shared" si="116"/>
        <v/>
      </c>
    </row>
    <row r="7481" spans="26:26" x14ac:dyDescent="0.2">
      <c r="Z7481" t="str">
        <f t="shared" si="116"/>
        <v/>
      </c>
    </row>
    <row r="7482" spans="26:26" x14ac:dyDescent="0.2">
      <c r="Z7482" t="str">
        <f t="shared" si="116"/>
        <v/>
      </c>
    </row>
    <row r="7483" spans="26:26" x14ac:dyDescent="0.2">
      <c r="Z7483" t="str">
        <f t="shared" si="116"/>
        <v/>
      </c>
    </row>
    <row r="7484" spans="26:26" x14ac:dyDescent="0.2">
      <c r="Z7484" t="str">
        <f t="shared" si="116"/>
        <v/>
      </c>
    </row>
    <row r="7485" spans="26:26" x14ac:dyDescent="0.2">
      <c r="Z7485" t="str">
        <f t="shared" si="116"/>
        <v/>
      </c>
    </row>
    <row r="7486" spans="26:26" x14ac:dyDescent="0.2">
      <c r="Z7486" t="str">
        <f t="shared" si="116"/>
        <v/>
      </c>
    </row>
    <row r="7487" spans="26:26" x14ac:dyDescent="0.2">
      <c r="Z7487" t="str">
        <f t="shared" si="116"/>
        <v/>
      </c>
    </row>
    <row r="7488" spans="26:26" x14ac:dyDescent="0.2">
      <c r="Z7488" t="str">
        <f t="shared" si="116"/>
        <v/>
      </c>
    </row>
    <row r="7489" spans="26:26" x14ac:dyDescent="0.2">
      <c r="Z7489" t="str">
        <f t="shared" si="116"/>
        <v/>
      </c>
    </row>
    <row r="7490" spans="26:26" x14ac:dyDescent="0.2">
      <c r="Z7490" t="str">
        <f t="shared" si="116"/>
        <v/>
      </c>
    </row>
    <row r="7491" spans="26:26" x14ac:dyDescent="0.2">
      <c r="Z7491" t="str">
        <f t="shared" ref="Z7491:Z7554" si="117">IF(K7491="","",IFERROR(VALUE(TRIM(MID(K7491,FIND(CHAR(167),SUBSTITUTE(K7491,"-",CHAR(167),LEN(K7491)-LEN(SUBSTITUTE(K7491,"-",""))))+1,100))),K7491))</f>
        <v/>
      </c>
    </row>
    <row r="7492" spans="26:26" x14ac:dyDescent="0.2">
      <c r="Z7492" t="str">
        <f t="shared" si="117"/>
        <v/>
      </c>
    </row>
    <row r="7493" spans="26:26" x14ac:dyDescent="0.2">
      <c r="Z7493" t="str">
        <f t="shared" si="117"/>
        <v/>
      </c>
    </row>
    <row r="7494" spans="26:26" x14ac:dyDescent="0.2">
      <c r="Z7494" t="str">
        <f t="shared" si="117"/>
        <v/>
      </c>
    </row>
    <row r="7495" spans="26:26" x14ac:dyDescent="0.2">
      <c r="Z7495" t="str">
        <f t="shared" si="117"/>
        <v/>
      </c>
    </row>
    <row r="7496" spans="26:26" x14ac:dyDescent="0.2">
      <c r="Z7496" t="str">
        <f t="shared" si="117"/>
        <v/>
      </c>
    </row>
    <row r="7497" spans="26:26" x14ac:dyDescent="0.2">
      <c r="Z7497" t="str">
        <f t="shared" si="117"/>
        <v/>
      </c>
    </row>
    <row r="7498" spans="26:26" x14ac:dyDescent="0.2">
      <c r="Z7498" t="str">
        <f t="shared" si="117"/>
        <v/>
      </c>
    </row>
    <row r="7499" spans="26:26" x14ac:dyDescent="0.2">
      <c r="Z7499" t="str">
        <f t="shared" si="117"/>
        <v/>
      </c>
    </row>
    <row r="7500" spans="26:26" x14ac:dyDescent="0.2">
      <c r="Z7500" t="str">
        <f t="shared" si="117"/>
        <v/>
      </c>
    </row>
    <row r="7501" spans="26:26" x14ac:dyDescent="0.2">
      <c r="Z7501" t="str">
        <f t="shared" si="117"/>
        <v/>
      </c>
    </row>
    <row r="7502" spans="26:26" x14ac:dyDescent="0.2">
      <c r="Z7502" t="str">
        <f t="shared" si="117"/>
        <v/>
      </c>
    </row>
    <row r="7503" spans="26:26" x14ac:dyDescent="0.2">
      <c r="Z7503" t="str">
        <f t="shared" si="117"/>
        <v/>
      </c>
    </row>
    <row r="7504" spans="26:26" x14ac:dyDescent="0.2">
      <c r="Z7504" t="str">
        <f t="shared" si="117"/>
        <v/>
      </c>
    </row>
    <row r="7505" spans="26:26" x14ac:dyDescent="0.2">
      <c r="Z7505" t="str">
        <f t="shared" si="117"/>
        <v/>
      </c>
    </row>
    <row r="7506" spans="26:26" x14ac:dyDescent="0.2">
      <c r="Z7506" t="str">
        <f t="shared" si="117"/>
        <v/>
      </c>
    </row>
    <row r="7507" spans="26:26" x14ac:dyDescent="0.2">
      <c r="Z7507" t="str">
        <f t="shared" si="117"/>
        <v/>
      </c>
    </row>
    <row r="7508" spans="26:26" x14ac:dyDescent="0.2">
      <c r="Z7508" t="str">
        <f t="shared" si="117"/>
        <v/>
      </c>
    </row>
    <row r="7509" spans="26:26" x14ac:dyDescent="0.2">
      <c r="Z7509" t="str">
        <f t="shared" si="117"/>
        <v/>
      </c>
    </row>
    <row r="7510" spans="26:26" x14ac:dyDescent="0.2">
      <c r="Z7510" t="str">
        <f t="shared" si="117"/>
        <v/>
      </c>
    </row>
    <row r="7511" spans="26:26" x14ac:dyDescent="0.2">
      <c r="Z7511" t="str">
        <f t="shared" si="117"/>
        <v/>
      </c>
    </row>
    <row r="7512" spans="26:26" x14ac:dyDescent="0.2">
      <c r="Z7512" t="str">
        <f t="shared" si="117"/>
        <v/>
      </c>
    </row>
    <row r="7513" spans="26:26" x14ac:dyDescent="0.2">
      <c r="Z7513" t="str">
        <f t="shared" si="117"/>
        <v/>
      </c>
    </row>
    <row r="7514" spans="26:26" x14ac:dyDescent="0.2">
      <c r="Z7514" t="str">
        <f t="shared" si="117"/>
        <v/>
      </c>
    </row>
    <row r="7515" spans="26:26" x14ac:dyDescent="0.2">
      <c r="Z7515" t="str">
        <f t="shared" si="117"/>
        <v/>
      </c>
    </row>
    <row r="7516" spans="26:26" x14ac:dyDescent="0.2">
      <c r="Z7516" t="str">
        <f t="shared" si="117"/>
        <v/>
      </c>
    </row>
    <row r="7517" spans="26:26" x14ac:dyDescent="0.2">
      <c r="Z7517" t="str">
        <f t="shared" si="117"/>
        <v/>
      </c>
    </row>
    <row r="7518" spans="26:26" x14ac:dyDescent="0.2">
      <c r="Z7518" t="str">
        <f t="shared" si="117"/>
        <v/>
      </c>
    </row>
    <row r="7519" spans="26:26" x14ac:dyDescent="0.2">
      <c r="Z7519" t="str">
        <f t="shared" si="117"/>
        <v/>
      </c>
    </row>
    <row r="7520" spans="26:26" x14ac:dyDescent="0.2">
      <c r="Z7520" t="str">
        <f t="shared" si="117"/>
        <v/>
      </c>
    </row>
    <row r="7521" spans="26:26" x14ac:dyDescent="0.2">
      <c r="Z7521" t="str">
        <f t="shared" si="117"/>
        <v/>
      </c>
    </row>
    <row r="7522" spans="26:26" x14ac:dyDescent="0.2">
      <c r="Z7522" t="str">
        <f t="shared" si="117"/>
        <v/>
      </c>
    </row>
    <row r="7523" spans="26:26" x14ac:dyDescent="0.2">
      <c r="Z7523" t="str">
        <f t="shared" si="117"/>
        <v/>
      </c>
    </row>
    <row r="7524" spans="26:26" x14ac:dyDescent="0.2">
      <c r="Z7524" t="str">
        <f t="shared" si="117"/>
        <v/>
      </c>
    </row>
    <row r="7525" spans="26:26" x14ac:dyDescent="0.2">
      <c r="Z7525" t="str">
        <f t="shared" si="117"/>
        <v/>
      </c>
    </row>
    <row r="7526" spans="26:26" x14ac:dyDescent="0.2">
      <c r="Z7526" t="str">
        <f t="shared" si="117"/>
        <v/>
      </c>
    </row>
    <row r="7527" spans="26:26" x14ac:dyDescent="0.2">
      <c r="Z7527" t="str">
        <f t="shared" si="117"/>
        <v/>
      </c>
    </row>
    <row r="7528" spans="26:26" x14ac:dyDescent="0.2">
      <c r="Z7528" t="str">
        <f t="shared" si="117"/>
        <v/>
      </c>
    </row>
    <row r="7529" spans="26:26" x14ac:dyDescent="0.2">
      <c r="Z7529" t="str">
        <f t="shared" si="117"/>
        <v/>
      </c>
    </row>
    <row r="7530" spans="26:26" x14ac:dyDescent="0.2">
      <c r="Z7530" t="str">
        <f t="shared" si="117"/>
        <v/>
      </c>
    </row>
    <row r="7531" spans="26:26" x14ac:dyDescent="0.2">
      <c r="Z7531" t="str">
        <f t="shared" si="117"/>
        <v/>
      </c>
    </row>
    <row r="7532" spans="26:26" x14ac:dyDescent="0.2">
      <c r="Z7532" t="str">
        <f t="shared" si="117"/>
        <v/>
      </c>
    </row>
    <row r="7533" spans="26:26" x14ac:dyDescent="0.2">
      <c r="Z7533" t="str">
        <f t="shared" si="117"/>
        <v/>
      </c>
    </row>
    <row r="7534" spans="26:26" x14ac:dyDescent="0.2">
      <c r="Z7534" t="str">
        <f t="shared" si="117"/>
        <v/>
      </c>
    </row>
    <row r="7535" spans="26:26" x14ac:dyDescent="0.2">
      <c r="Z7535" t="str">
        <f t="shared" si="117"/>
        <v/>
      </c>
    </row>
    <row r="7536" spans="26:26" x14ac:dyDescent="0.2">
      <c r="Z7536" t="str">
        <f t="shared" si="117"/>
        <v/>
      </c>
    </row>
    <row r="7537" spans="26:26" x14ac:dyDescent="0.2">
      <c r="Z7537" t="str">
        <f t="shared" si="117"/>
        <v/>
      </c>
    </row>
    <row r="7538" spans="26:26" x14ac:dyDescent="0.2">
      <c r="Z7538" t="str">
        <f t="shared" si="117"/>
        <v/>
      </c>
    </row>
    <row r="7539" spans="26:26" x14ac:dyDescent="0.2">
      <c r="Z7539" t="str">
        <f t="shared" si="117"/>
        <v/>
      </c>
    </row>
    <row r="7540" spans="26:26" x14ac:dyDescent="0.2">
      <c r="Z7540" t="str">
        <f t="shared" si="117"/>
        <v/>
      </c>
    </row>
    <row r="7541" spans="26:26" x14ac:dyDescent="0.2">
      <c r="Z7541" t="str">
        <f t="shared" si="117"/>
        <v/>
      </c>
    </row>
    <row r="7542" spans="26:26" x14ac:dyDescent="0.2">
      <c r="Z7542" t="str">
        <f t="shared" si="117"/>
        <v/>
      </c>
    </row>
    <row r="7543" spans="26:26" x14ac:dyDescent="0.2">
      <c r="Z7543" t="str">
        <f t="shared" si="117"/>
        <v/>
      </c>
    </row>
    <row r="7544" spans="26:26" x14ac:dyDescent="0.2">
      <c r="Z7544" t="str">
        <f t="shared" si="117"/>
        <v/>
      </c>
    </row>
    <row r="7545" spans="26:26" x14ac:dyDescent="0.2">
      <c r="Z7545" t="str">
        <f t="shared" si="117"/>
        <v/>
      </c>
    </row>
    <row r="7546" spans="26:26" x14ac:dyDescent="0.2">
      <c r="Z7546" t="str">
        <f t="shared" si="117"/>
        <v/>
      </c>
    </row>
    <row r="7547" spans="26:26" x14ac:dyDescent="0.2">
      <c r="Z7547" t="str">
        <f t="shared" si="117"/>
        <v/>
      </c>
    </row>
    <row r="7548" spans="26:26" x14ac:dyDescent="0.2">
      <c r="Z7548" t="str">
        <f t="shared" si="117"/>
        <v/>
      </c>
    </row>
    <row r="7549" spans="26:26" x14ac:dyDescent="0.2">
      <c r="Z7549" t="str">
        <f t="shared" si="117"/>
        <v/>
      </c>
    </row>
    <row r="7550" spans="26:26" x14ac:dyDescent="0.2">
      <c r="Z7550" t="str">
        <f t="shared" si="117"/>
        <v/>
      </c>
    </row>
    <row r="7551" spans="26:26" x14ac:dyDescent="0.2">
      <c r="Z7551" t="str">
        <f t="shared" si="117"/>
        <v/>
      </c>
    </row>
    <row r="7552" spans="26:26" x14ac:dyDescent="0.2">
      <c r="Z7552" t="str">
        <f t="shared" si="117"/>
        <v/>
      </c>
    </row>
    <row r="7553" spans="26:26" x14ac:dyDescent="0.2">
      <c r="Z7553" t="str">
        <f t="shared" si="117"/>
        <v/>
      </c>
    </row>
    <row r="7554" spans="26:26" x14ac:dyDescent="0.2">
      <c r="Z7554" t="str">
        <f t="shared" si="117"/>
        <v/>
      </c>
    </row>
    <row r="7555" spans="26:26" x14ac:dyDescent="0.2">
      <c r="Z7555" t="str">
        <f t="shared" ref="Z7555:Z7618" si="118">IF(K7555="","",IFERROR(VALUE(TRIM(MID(K7555,FIND(CHAR(167),SUBSTITUTE(K7555,"-",CHAR(167),LEN(K7555)-LEN(SUBSTITUTE(K7555,"-",""))))+1,100))),K7555))</f>
        <v/>
      </c>
    </row>
    <row r="7556" spans="26:26" x14ac:dyDescent="0.2">
      <c r="Z7556" t="str">
        <f t="shared" si="118"/>
        <v/>
      </c>
    </row>
    <row r="7557" spans="26:26" x14ac:dyDescent="0.2">
      <c r="Z7557" t="str">
        <f t="shared" si="118"/>
        <v/>
      </c>
    </row>
    <row r="7558" spans="26:26" x14ac:dyDescent="0.2">
      <c r="Z7558" t="str">
        <f t="shared" si="118"/>
        <v/>
      </c>
    </row>
    <row r="7559" spans="26:26" x14ac:dyDescent="0.2">
      <c r="Z7559" t="str">
        <f t="shared" si="118"/>
        <v/>
      </c>
    </row>
    <row r="7560" spans="26:26" x14ac:dyDescent="0.2">
      <c r="Z7560" t="str">
        <f t="shared" si="118"/>
        <v/>
      </c>
    </row>
    <row r="7561" spans="26:26" x14ac:dyDescent="0.2">
      <c r="Z7561" t="str">
        <f t="shared" si="118"/>
        <v/>
      </c>
    </row>
    <row r="7562" spans="26:26" x14ac:dyDescent="0.2">
      <c r="Z7562" t="str">
        <f t="shared" si="118"/>
        <v/>
      </c>
    </row>
    <row r="7563" spans="26:26" x14ac:dyDescent="0.2">
      <c r="Z7563" t="str">
        <f t="shared" si="118"/>
        <v/>
      </c>
    </row>
    <row r="7564" spans="26:26" x14ac:dyDescent="0.2">
      <c r="Z7564" t="str">
        <f t="shared" si="118"/>
        <v/>
      </c>
    </row>
    <row r="7565" spans="26:26" x14ac:dyDescent="0.2">
      <c r="Z7565" t="str">
        <f t="shared" si="118"/>
        <v/>
      </c>
    </row>
    <row r="7566" spans="26:26" x14ac:dyDescent="0.2">
      <c r="Z7566" t="str">
        <f t="shared" si="118"/>
        <v/>
      </c>
    </row>
    <row r="7567" spans="26:26" x14ac:dyDescent="0.2">
      <c r="Z7567" t="str">
        <f t="shared" si="118"/>
        <v/>
      </c>
    </row>
    <row r="7568" spans="26:26" x14ac:dyDescent="0.2">
      <c r="Z7568" t="str">
        <f t="shared" si="118"/>
        <v/>
      </c>
    </row>
    <row r="7569" spans="26:26" x14ac:dyDescent="0.2">
      <c r="Z7569" t="str">
        <f t="shared" si="118"/>
        <v/>
      </c>
    </row>
    <row r="7570" spans="26:26" x14ac:dyDescent="0.2">
      <c r="Z7570" t="str">
        <f t="shared" si="118"/>
        <v/>
      </c>
    </row>
    <row r="7571" spans="26:26" x14ac:dyDescent="0.2">
      <c r="Z7571" t="str">
        <f t="shared" si="118"/>
        <v/>
      </c>
    </row>
    <row r="7572" spans="26:26" x14ac:dyDescent="0.2">
      <c r="Z7572" t="str">
        <f t="shared" si="118"/>
        <v/>
      </c>
    </row>
    <row r="7573" spans="26:26" x14ac:dyDescent="0.2">
      <c r="Z7573" t="str">
        <f t="shared" si="118"/>
        <v/>
      </c>
    </row>
    <row r="7574" spans="26:26" x14ac:dyDescent="0.2">
      <c r="Z7574" t="str">
        <f t="shared" si="118"/>
        <v/>
      </c>
    </row>
    <row r="7575" spans="26:26" x14ac:dyDescent="0.2">
      <c r="Z7575" t="str">
        <f t="shared" si="118"/>
        <v/>
      </c>
    </row>
    <row r="7576" spans="26:26" x14ac:dyDescent="0.2">
      <c r="Z7576" t="str">
        <f t="shared" si="118"/>
        <v/>
      </c>
    </row>
    <row r="7577" spans="26:26" x14ac:dyDescent="0.2">
      <c r="Z7577" t="str">
        <f t="shared" si="118"/>
        <v/>
      </c>
    </row>
    <row r="7578" spans="26:26" x14ac:dyDescent="0.2">
      <c r="Z7578" t="str">
        <f t="shared" si="118"/>
        <v/>
      </c>
    </row>
    <row r="7579" spans="26:26" x14ac:dyDescent="0.2">
      <c r="Z7579" t="str">
        <f t="shared" si="118"/>
        <v/>
      </c>
    </row>
    <row r="7580" spans="26:26" x14ac:dyDescent="0.2">
      <c r="Z7580" t="str">
        <f t="shared" si="118"/>
        <v/>
      </c>
    </row>
    <row r="7581" spans="26:26" x14ac:dyDescent="0.2">
      <c r="Z7581" t="str">
        <f t="shared" si="118"/>
        <v/>
      </c>
    </row>
    <row r="7582" spans="26:26" x14ac:dyDescent="0.2">
      <c r="Z7582" t="str">
        <f t="shared" si="118"/>
        <v/>
      </c>
    </row>
    <row r="7583" spans="26:26" x14ac:dyDescent="0.2">
      <c r="Z7583" t="str">
        <f t="shared" si="118"/>
        <v/>
      </c>
    </row>
    <row r="7584" spans="26:26" x14ac:dyDescent="0.2">
      <c r="Z7584" t="str">
        <f t="shared" si="118"/>
        <v/>
      </c>
    </row>
    <row r="7585" spans="26:26" x14ac:dyDescent="0.2">
      <c r="Z7585" t="str">
        <f t="shared" si="118"/>
        <v/>
      </c>
    </row>
    <row r="7586" spans="26:26" x14ac:dyDescent="0.2">
      <c r="Z7586" t="str">
        <f t="shared" si="118"/>
        <v/>
      </c>
    </row>
    <row r="7587" spans="26:26" x14ac:dyDescent="0.2">
      <c r="Z7587" t="str">
        <f t="shared" si="118"/>
        <v/>
      </c>
    </row>
    <row r="7588" spans="26:26" x14ac:dyDescent="0.2">
      <c r="Z7588" t="str">
        <f t="shared" si="118"/>
        <v/>
      </c>
    </row>
    <row r="7589" spans="26:26" x14ac:dyDescent="0.2">
      <c r="Z7589" t="str">
        <f t="shared" si="118"/>
        <v/>
      </c>
    </row>
    <row r="7590" spans="26:26" x14ac:dyDescent="0.2">
      <c r="Z7590" t="str">
        <f t="shared" si="118"/>
        <v/>
      </c>
    </row>
    <row r="7591" spans="26:26" x14ac:dyDescent="0.2">
      <c r="Z7591" t="str">
        <f t="shared" si="118"/>
        <v/>
      </c>
    </row>
    <row r="7592" spans="26:26" x14ac:dyDescent="0.2">
      <c r="Z7592" t="str">
        <f t="shared" si="118"/>
        <v/>
      </c>
    </row>
    <row r="7593" spans="26:26" x14ac:dyDescent="0.2">
      <c r="Z7593" t="str">
        <f t="shared" si="118"/>
        <v/>
      </c>
    </row>
    <row r="7594" spans="26:26" x14ac:dyDescent="0.2">
      <c r="Z7594" t="str">
        <f t="shared" si="118"/>
        <v/>
      </c>
    </row>
    <row r="7595" spans="26:26" x14ac:dyDescent="0.2">
      <c r="Z7595" t="str">
        <f t="shared" si="118"/>
        <v/>
      </c>
    </row>
    <row r="7596" spans="26:26" x14ac:dyDescent="0.2">
      <c r="Z7596" t="str">
        <f t="shared" si="118"/>
        <v/>
      </c>
    </row>
    <row r="7597" spans="26:26" x14ac:dyDescent="0.2">
      <c r="Z7597" t="str">
        <f t="shared" si="118"/>
        <v/>
      </c>
    </row>
    <row r="7598" spans="26:26" x14ac:dyDescent="0.2">
      <c r="Z7598" t="str">
        <f t="shared" si="118"/>
        <v/>
      </c>
    </row>
    <row r="7599" spans="26:26" x14ac:dyDescent="0.2">
      <c r="Z7599" t="str">
        <f t="shared" si="118"/>
        <v/>
      </c>
    </row>
    <row r="7600" spans="26:26" x14ac:dyDescent="0.2">
      <c r="Z7600" t="str">
        <f t="shared" si="118"/>
        <v/>
      </c>
    </row>
    <row r="7601" spans="26:26" x14ac:dyDescent="0.2">
      <c r="Z7601" t="str">
        <f t="shared" si="118"/>
        <v/>
      </c>
    </row>
    <row r="7602" spans="26:26" x14ac:dyDescent="0.2">
      <c r="Z7602" t="str">
        <f t="shared" si="118"/>
        <v/>
      </c>
    </row>
    <row r="7603" spans="26:26" x14ac:dyDescent="0.2">
      <c r="Z7603" t="str">
        <f t="shared" si="118"/>
        <v/>
      </c>
    </row>
    <row r="7604" spans="26:26" x14ac:dyDescent="0.2">
      <c r="Z7604" t="str">
        <f t="shared" si="118"/>
        <v/>
      </c>
    </row>
    <row r="7605" spans="26:26" x14ac:dyDescent="0.2">
      <c r="Z7605" t="str">
        <f t="shared" si="118"/>
        <v/>
      </c>
    </row>
    <row r="7606" spans="26:26" x14ac:dyDescent="0.2">
      <c r="Z7606" t="str">
        <f t="shared" si="118"/>
        <v/>
      </c>
    </row>
    <row r="7607" spans="26:26" x14ac:dyDescent="0.2">
      <c r="Z7607" t="str">
        <f t="shared" si="118"/>
        <v/>
      </c>
    </row>
    <row r="7608" spans="26:26" x14ac:dyDescent="0.2">
      <c r="Z7608" t="str">
        <f t="shared" si="118"/>
        <v/>
      </c>
    </row>
    <row r="7609" spans="26:26" x14ac:dyDescent="0.2">
      <c r="Z7609" t="str">
        <f t="shared" si="118"/>
        <v/>
      </c>
    </row>
    <row r="7610" spans="26:26" x14ac:dyDescent="0.2">
      <c r="Z7610" t="str">
        <f t="shared" si="118"/>
        <v/>
      </c>
    </row>
    <row r="7611" spans="26:26" x14ac:dyDescent="0.2">
      <c r="Z7611" t="str">
        <f t="shared" si="118"/>
        <v/>
      </c>
    </row>
    <row r="7612" spans="26:26" x14ac:dyDescent="0.2">
      <c r="Z7612" t="str">
        <f t="shared" si="118"/>
        <v/>
      </c>
    </row>
    <row r="7613" spans="26:26" x14ac:dyDescent="0.2">
      <c r="Z7613" t="str">
        <f t="shared" si="118"/>
        <v/>
      </c>
    </row>
    <row r="7614" spans="26:26" x14ac:dyDescent="0.2">
      <c r="Z7614" t="str">
        <f t="shared" si="118"/>
        <v/>
      </c>
    </row>
    <row r="7615" spans="26:26" x14ac:dyDescent="0.2">
      <c r="Z7615" t="str">
        <f t="shared" si="118"/>
        <v/>
      </c>
    </row>
    <row r="7616" spans="26:26" x14ac:dyDescent="0.2">
      <c r="Z7616" t="str">
        <f t="shared" si="118"/>
        <v/>
      </c>
    </row>
    <row r="7617" spans="26:26" x14ac:dyDescent="0.2">
      <c r="Z7617" t="str">
        <f t="shared" si="118"/>
        <v/>
      </c>
    </row>
    <row r="7618" spans="26:26" x14ac:dyDescent="0.2">
      <c r="Z7618" t="str">
        <f t="shared" si="118"/>
        <v/>
      </c>
    </row>
    <row r="7619" spans="26:26" x14ac:dyDescent="0.2">
      <c r="Z7619" t="str">
        <f t="shared" ref="Z7619:Z7682" si="119">IF(K7619="","",IFERROR(VALUE(TRIM(MID(K7619,FIND(CHAR(167),SUBSTITUTE(K7619,"-",CHAR(167),LEN(K7619)-LEN(SUBSTITUTE(K7619,"-",""))))+1,100))),K7619))</f>
        <v/>
      </c>
    </row>
    <row r="7620" spans="26:26" x14ac:dyDescent="0.2">
      <c r="Z7620" t="str">
        <f t="shared" si="119"/>
        <v/>
      </c>
    </row>
    <row r="7621" spans="26:26" x14ac:dyDescent="0.2">
      <c r="Z7621" t="str">
        <f t="shared" si="119"/>
        <v/>
      </c>
    </row>
    <row r="7622" spans="26:26" x14ac:dyDescent="0.2">
      <c r="Z7622" t="str">
        <f t="shared" si="119"/>
        <v/>
      </c>
    </row>
    <row r="7623" spans="26:26" x14ac:dyDescent="0.2">
      <c r="Z7623" t="str">
        <f t="shared" si="119"/>
        <v/>
      </c>
    </row>
    <row r="7624" spans="26:26" x14ac:dyDescent="0.2">
      <c r="Z7624" t="str">
        <f t="shared" si="119"/>
        <v/>
      </c>
    </row>
    <row r="7625" spans="26:26" x14ac:dyDescent="0.2">
      <c r="Z7625" t="str">
        <f t="shared" si="119"/>
        <v/>
      </c>
    </row>
    <row r="7626" spans="26:26" x14ac:dyDescent="0.2">
      <c r="Z7626" t="str">
        <f t="shared" si="119"/>
        <v/>
      </c>
    </row>
    <row r="7627" spans="26:26" x14ac:dyDescent="0.2">
      <c r="Z7627" t="str">
        <f t="shared" si="119"/>
        <v/>
      </c>
    </row>
    <row r="7628" spans="26:26" x14ac:dyDescent="0.2">
      <c r="Z7628" t="str">
        <f t="shared" si="119"/>
        <v/>
      </c>
    </row>
    <row r="7629" spans="26:26" x14ac:dyDescent="0.2">
      <c r="Z7629" t="str">
        <f t="shared" si="119"/>
        <v/>
      </c>
    </row>
    <row r="7630" spans="26:26" x14ac:dyDescent="0.2">
      <c r="Z7630" t="str">
        <f t="shared" si="119"/>
        <v/>
      </c>
    </row>
    <row r="7631" spans="26:26" x14ac:dyDescent="0.2">
      <c r="Z7631" t="str">
        <f t="shared" si="119"/>
        <v/>
      </c>
    </row>
    <row r="7632" spans="26:26" x14ac:dyDescent="0.2">
      <c r="Z7632" t="str">
        <f t="shared" si="119"/>
        <v/>
      </c>
    </row>
    <row r="7633" spans="26:26" x14ac:dyDescent="0.2">
      <c r="Z7633" t="str">
        <f t="shared" si="119"/>
        <v/>
      </c>
    </row>
    <row r="7634" spans="26:26" x14ac:dyDescent="0.2">
      <c r="Z7634" t="str">
        <f t="shared" si="119"/>
        <v/>
      </c>
    </row>
    <row r="7635" spans="26:26" x14ac:dyDescent="0.2">
      <c r="Z7635" t="str">
        <f t="shared" si="119"/>
        <v/>
      </c>
    </row>
    <row r="7636" spans="26:26" x14ac:dyDescent="0.2">
      <c r="Z7636" t="str">
        <f t="shared" si="119"/>
        <v/>
      </c>
    </row>
    <row r="7637" spans="26:26" x14ac:dyDescent="0.2">
      <c r="Z7637" t="str">
        <f t="shared" si="119"/>
        <v/>
      </c>
    </row>
    <row r="7638" spans="26:26" x14ac:dyDescent="0.2">
      <c r="Z7638" t="str">
        <f t="shared" si="119"/>
        <v/>
      </c>
    </row>
    <row r="7639" spans="26:26" x14ac:dyDescent="0.2">
      <c r="Z7639" t="str">
        <f t="shared" si="119"/>
        <v/>
      </c>
    </row>
    <row r="7640" spans="26:26" x14ac:dyDescent="0.2">
      <c r="Z7640" t="str">
        <f t="shared" si="119"/>
        <v/>
      </c>
    </row>
    <row r="7641" spans="26:26" x14ac:dyDescent="0.2">
      <c r="Z7641" t="str">
        <f t="shared" si="119"/>
        <v/>
      </c>
    </row>
    <row r="7642" spans="26:26" x14ac:dyDescent="0.2">
      <c r="Z7642" t="str">
        <f t="shared" si="119"/>
        <v/>
      </c>
    </row>
    <row r="7643" spans="26:26" x14ac:dyDescent="0.2">
      <c r="Z7643" t="str">
        <f t="shared" si="119"/>
        <v/>
      </c>
    </row>
    <row r="7644" spans="26:26" x14ac:dyDescent="0.2">
      <c r="Z7644" t="str">
        <f t="shared" si="119"/>
        <v/>
      </c>
    </row>
    <row r="7645" spans="26:26" x14ac:dyDescent="0.2">
      <c r="Z7645" t="str">
        <f t="shared" si="119"/>
        <v/>
      </c>
    </row>
    <row r="7646" spans="26:26" x14ac:dyDescent="0.2">
      <c r="Z7646" t="str">
        <f t="shared" si="119"/>
        <v/>
      </c>
    </row>
    <row r="7647" spans="26:26" x14ac:dyDescent="0.2">
      <c r="Z7647" t="str">
        <f t="shared" si="119"/>
        <v/>
      </c>
    </row>
    <row r="7648" spans="26:26" x14ac:dyDescent="0.2">
      <c r="Z7648" t="str">
        <f t="shared" si="119"/>
        <v/>
      </c>
    </row>
    <row r="7649" spans="26:26" x14ac:dyDescent="0.2">
      <c r="Z7649" t="str">
        <f t="shared" si="119"/>
        <v/>
      </c>
    </row>
    <row r="7650" spans="26:26" x14ac:dyDescent="0.2">
      <c r="Z7650" t="str">
        <f t="shared" si="119"/>
        <v/>
      </c>
    </row>
    <row r="7651" spans="26:26" x14ac:dyDescent="0.2">
      <c r="Z7651" t="str">
        <f t="shared" si="119"/>
        <v/>
      </c>
    </row>
    <row r="7652" spans="26:26" x14ac:dyDescent="0.2">
      <c r="Z7652" t="str">
        <f t="shared" si="119"/>
        <v/>
      </c>
    </row>
    <row r="7653" spans="26:26" x14ac:dyDescent="0.2">
      <c r="Z7653" t="str">
        <f t="shared" si="119"/>
        <v/>
      </c>
    </row>
    <row r="7654" spans="26:26" x14ac:dyDescent="0.2">
      <c r="Z7654" t="str">
        <f t="shared" si="119"/>
        <v/>
      </c>
    </row>
    <row r="7655" spans="26:26" x14ac:dyDescent="0.2">
      <c r="Z7655" t="str">
        <f t="shared" si="119"/>
        <v/>
      </c>
    </row>
    <row r="7656" spans="26:26" x14ac:dyDescent="0.2">
      <c r="Z7656" t="str">
        <f t="shared" si="119"/>
        <v/>
      </c>
    </row>
    <row r="7657" spans="26:26" x14ac:dyDescent="0.2">
      <c r="Z7657" t="str">
        <f t="shared" si="119"/>
        <v/>
      </c>
    </row>
    <row r="7658" spans="26:26" x14ac:dyDescent="0.2">
      <c r="Z7658" t="str">
        <f t="shared" si="119"/>
        <v/>
      </c>
    </row>
    <row r="7659" spans="26:26" x14ac:dyDescent="0.2">
      <c r="Z7659" t="str">
        <f t="shared" si="119"/>
        <v/>
      </c>
    </row>
    <row r="7660" spans="26:26" x14ac:dyDescent="0.2">
      <c r="Z7660" t="str">
        <f t="shared" si="119"/>
        <v/>
      </c>
    </row>
    <row r="7661" spans="26:26" x14ac:dyDescent="0.2">
      <c r="Z7661" t="str">
        <f t="shared" si="119"/>
        <v/>
      </c>
    </row>
    <row r="7662" spans="26:26" x14ac:dyDescent="0.2">
      <c r="Z7662" t="str">
        <f t="shared" si="119"/>
        <v/>
      </c>
    </row>
    <row r="7663" spans="26:26" x14ac:dyDescent="0.2">
      <c r="Z7663" t="str">
        <f t="shared" si="119"/>
        <v/>
      </c>
    </row>
    <row r="7664" spans="26:26" x14ac:dyDescent="0.2">
      <c r="Z7664" t="str">
        <f t="shared" si="119"/>
        <v/>
      </c>
    </row>
    <row r="7665" spans="26:26" x14ac:dyDescent="0.2">
      <c r="Z7665" t="str">
        <f t="shared" si="119"/>
        <v/>
      </c>
    </row>
    <row r="7666" spans="26:26" x14ac:dyDescent="0.2">
      <c r="Z7666" t="str">
        <f t="shared" si="119"/>
        <v/>
      </c>
    </row>
    <row r="7667" spans="26:26" x14ac:dyDescent="0.2">
      <c r="Z7667" t="str">
        <f t="shared" si="119"/>
        <v/>
      </c>
    </row>
    <row r="7668" spans="26:26" x14ac:dyDescent="0.2">
      <c r="Z7668" t="str">
        <f t="shared" si="119"/>
        <v/>
      </c>
    </row>
    <row r="7669" spans="26:26" x14ac:dyDescent="0.2">
      <c r="Z7669" t="str">
        <f t="shared" si="119"/>
        <v/>
      </c>
    </row>
    <row r="7670" spans="26:26" x14ac:dyDescent="0.2">
      <c r="Z7670" t="str">
        <f t="shared" si="119"/>
        <v/>
      </c>
    </row>
    <row r="7671" spans="26:26" x14ac:dyDescent="0.2">
      <c r="Z7671" t="str">
        <f t="shared" si="119"/>
        <v/>
      </c>
    </row>
    <row r="7672" spans="26:26" x14ac:dyDescent="0.2">
      <c r="Z7672" t="str">
        <f t="shared" si="119"/>
        <v/>
      </c>
    </row>
    <row r="7673" spans="26:26" x14ac:dyDescent="0.2">
      <c r="Z7673" t="str">
        <f t="shared" si="119"/>
        <v/>
      </c>
    </row>
    <row r="7674" spans="26:26" x14ac:dyDescent="0.2">
      <c r="Z7674" t="str">
        <f t="shared" si="119"/>
        <v/>
      </c>
    </row>
    <row r="7675" spans="26:26" x14ac:dyDescent="0.2">
      <c r="Z7675" t="str">
        <f t="shared" si="119"/>
        <v/>
      </c>
    </row>
    <row r="7676" spans="26:26" x14ac:dyDescent="0.2">
      <c r="Z7676" t="str">
        <f t="shared" si="119"/>
        <v/>
      </c>
    </row>
    <row r="7677" spans="26:26" x14ac:dyDescent="0.2">
      <c r="Z7677" t="str">
        <f t="shared" si="119"/>
        <v/>
      </c>
    </row>
    <row r="7678" spans="26:26" x14ac:dyDescent="0.2">
      <c r="Z7678" t="str">
        <f t="shared" si="119"/>
        <v/>
      </c>
    </row>
    <row r="7679" spans="26:26" x14ac:dyDescent="0.2">
      <c r="Z7679" t="str">
        <f t="shared" si="119"/>
        <v/>
      </c>
    </row>
    <row r="7680" spans="26:26" x14ac:dyDescent="0.2">
      <c r="Z7680" t="str">
        <f t="shared" si="119"/>
        <v/>
      </c>
    </row>
    <row r="7681" spans="26:26" x14ac:dyDescent="0.2">
      <c r="Z7681" t="str">
        <f t="shared" si="119"/>
        <v/>
      </c>
    </row>
    <row r="7682" spans="26:26" x14ac:dyDescent="0.2">
      <c r="Z7682" t="str">
        <f t="shared" si="119"/>
        <v/>
      </c>
    </row>
    <row r="7683" spans="26:26" x14ac:dyDescent="0.2">
      <c r="Z7683" t="str">
        <f t="shared" ref="Z7683:Z7746" si="120">IF(K7683="","",IFERROR(VALUE(TRIM(MID(K7683,FIND(CHAR(167),SUBSTITUTE(K7683,"-",CHAR(167),LEN(K7683)-LEN(SUBSTITUTE(K7683,"-",""))))+1,100))),K7683))</f>
        <v/>
      </c>
    </row>
    <row r="7684" spans="26:26" x14ac:dyDescent="0.2">
      <c r="Z7684" t="str">
        <f t="shared" si="120"/>
        <v/>
      </c>
    </row>
    <row r="7685" spans="26:26" x14ac:dyDescent="0.2">
      <c r="Z7685" t="str">
        <f t="shared" si="120"/>
        <v/>
      </c>
    </row>
    <row r="7686" spans="26:26" x14ac:dyDescent="0.2">
      <c r="Z7686" t="str">
        <f t="shared" si="120"/>
        <v/>
      </c>
    </row>
    <row r="7687" spans="26:26" x14ac:dyDescent="0.2">
      <c r="Z7687" t="str">
        <f t="shared" si="120"/>
        <v/>
      </c>
    </row>
    <row r="7688" spans="26:26" x14ac:dyDescent="0.2">
      <c r="Z7688" t="str">
        <f t="shared" si="120"/>
        <v/>
      </c>
    </row>
    <row r="7689" spans="26:26" x14ac:dyDescent="0.2">
      <c r="Z7689" t="str">
        <f t="shared" si="120"/>
        <v/>
      </c>
    </row>
    <row r="7690" spans="26:26" x14ac:dyDescent="0.2">
      <c r="Z7690" t="str">
        <f t="shared" si="120"/>
        <v/>
      </c>
    </row>
    <row r="7691" spans="26:26" x14ac:dyDescent="0.2">
      <c r="Z7691" t="str">
        <f t="shared" si="120"/>
        <v/>
      </c>
    </row>
    <row r="7692" spans="26:26" x14ac:dyDescent="0.2">
      <c r="Z7692" t="str">
        <f t="shared" si="120"/>
        <v/>
      </c>
    </row>
    <row r="7693" spans="26:26" x14ac:dyDescent="0.2">
      <c r="Z7693" t="str">
        <f t="shared" si="120"/>
        <v/>
      </c>
    </row>
    <row r="7694" spans="26:26" x14ac:dyDescent="0.2">
      <c r="Z7694" t="str">
        <f t="shared" si="120"/>
        <v/>
      </c>
    </row>
    <row r="7695" spans="26:26" x14ac:dyDescent="0.2">
      <c r="Z7695" t="str">
        <f t="shared" si="120"/>
        <v/>
      </c>
    </row>
    <row r="7696" spans="26:26" x14ac:dyDescent="0.2">
      <c r="Z7696" t="str">
        <f t="shared" si="120"/>
        <v/>
      </c>
    </row>
    <row r="7697" spans="26:26" x14ac:dyDescent="0.2">
      <c r="Z7697" t="str">
        <f t="shared" si="120"/>
        <v/>
      </c>
    </row>
    <row r="7698" spans="26:26" x14ac:dyDescent="0.2">
      <c r="Z7698" t="str">
        <f t="shared" si="120"/>
        <v/>
      </c>
    </row>
    <row r="7699" spans="26:26" x14ac:dyDescent="0.2">
      <c r="Z7699" t="str">
        <f t="shared" si="120"/>
        <v/>
      </c>
    </row>
    <row r="7700" spans="26:26" x14ac:dyDescent="0.2">
      <c r="Z7700" t="str">
        <f t="shared" si="120"/>
        <v/>
      </c>
    </row>
    <row r="7701" spans="26:26" x14ac:dyDescent="0.2">
      <c r="Z7701" t="str">
        <f t="shared" si="120"/>
        <v/>
      </c>
    </row>
    <row r="7702" spans="26:26" x14ac:dyDescent="0.2">
      <c r="Z7702" t="str">
        <f t="shared" si="120"/>
        <v/>
      </c>
    </row>
    <row r="7703" spans="26:26" x14ac:dyDescent="0.2">
      <c r="Z7703" t="str">
        <f t="shared" si="120"/>
        <v/>
      </c>
    </row>
    <row r="7704" spans="26:26" x14ac:dyDescent="0.2">
      <c r="Z7704" t="str">
        <f t="shared" si="120"/>
        <v/>
      </c>
    </row>
    <row r="7705" spans="26:26" x14ac:dyDescent="0.2">
      <c r="Z7705" t="str">
        <f t="shared" si="120"/>
        <v/>
      </c>
    </row>
    <row r="7706" spans="26:26" x14ac:dyDescent="0.2">
      <c r="Z7706" t="str">
        <f t="shared" si="120"/>
        <v/>
      </c>
    </row>
    <row r="7707" spans="26:26" x14ac:dyDescent="0.2">
      <c r="Z7707" t="str">
        <f t="shared" si="120"/>
        <v/>
      </c>
    </row>
    <row r="7708" spans="26:26" x14ac:dyDescent="0.2">
      <c r="Z7708" t="str">
        <f t="shared" si="120"/>
        <v/>
      </c>
    </row>
    <row r="7709" spans="26:26" x14ac:dyDescent="0.2">
      <c r="Z7709" t="str">
        <f t="shared" si="120"/>
        <v/>
      </c>
    </row>
    <row r="7710" spans="26:26" x14ac:dyDescent="0.2">
      <c r="Z7710" t="str">
        <f t="shared" si="120"/>
        <v/>
      </c>
    </row>
    <row r="7711" spans="26:26" x14ac:dyDescent="0.2">
      <c r="Z7711" t="str">
        <f t="shared" si="120"/>
        <v/>
      </c>
    </row>
    <row r="7712" spans="26:26" x14ac:dyDescent="0.2">
      <c r="Z7712" t="str">
        <f t="shared" si="120"/>
        <v/>
      </c>
    </row>
    <row r="7713" spans="26:26" x14ac:dyDescent="0.2">
      <c r="Z7713" t="str">
        <f t="shared" si="120"/>
        <v/>
      </c>
    </row>
    <row r="7714" spans="26:26" x14ac:dyDescent="0.2">
      <c r="Z7714" t="str">
        <f t="shared" si="120"/>
        <v/>
      </c>
    </row>
    <row r="7715" spans="26:26" x14ac:dyDescent="0.2">
      <c r="Z7715" t="str">
        <f t="shared" si="120"/>
        <v/>
      </c>
    </row>
    <row r="7716" spans="26:26" x14ac:dyDescent="0.2">
      <c r="Z7716" t="str">
        <f t="shared" si="120"/>
        <v/>
      </c>
    </row>
    <row r="7717" spans="26:26" x14ac:dyDescent="0.2">
      <c r="Z7717" t="str">
        <f t="shared" si="120"/>
        <v/>
      </c>
    </row>
    <row r="7718" spans="26:26" x14ac:dyDescent="0.2">
      <c r="Z7718" t="str">
        <f t="shared" si="120"/>
        <v/>
      </c>
    </row>
    <row r="7719" spans="26:26" x14ac:dyDescent="0.2">
      <c r="Z7719" t="str">
        <f t="shared" si="120"/>
        <v/>
      </c>
    </row>
    <row r="7720" spans="26:26" x14ac:dyDescent="0.2">
      <c r="Z7720" t="str">
        <f t="shared" si="120"/>
        <v/>
      </c>
    </row>
    <row r="7721" spans="26:26" x14ac:dyDescent="0.2">
      <c r="Z7721" t="str">
        <f t="shared" si="120"/>
        <v/>
      </c>
    </row>
    <row r="7722" spans="26:26" x14ac:dyDescent="0.2">
      <c r="Z7722" t="str">
        <f t="shared" si="120"/>
        <v/>
      </c>
    </row>
    <row r="7723" spans="26:26" x14ac:dyDescent="0.2">
      <c r="Z7723" t="str">
        <f t="shared" si="120"/>
        <v/>
      </c>
    </row>
    <row r="7724" spans="26:26" x14ac:dyDescent="0.2">
      <c r="Z7724" t="str">
        <f t="shared" si="120"/>
        <v/>
      </c>
    </row>
    <row r="7725" spans="26:26" x14ac:dyDescent="0.2">
      <c r="Z7725" t="str">
        <f t="shared" si="120"/>
        <v/>
      </c>
    </row>
    <row r="7726" spans="26:26" x14ac:dyDescent="0.2">
      <c r="Z7726" t="str">
        <f t="shared" si="120"/>
        <v/>
      </c>
    </row>
    <row r="7727" spans="26:26" x14ac:dyDescent="0.2">
      <c r="Z7727" t="str">
        <f t="shared" si="120"/>
        <v/>
      </c>
    </row>
    <row r="7728" spans="26:26" x14ac:dyDescent="0.2">
      <c r="Z7728" t="str">
        <f t="shared" si="120"/>
        <v/>
      </c>
    </row>
    <row r="7729" spans="26:26" x14ac:dyDescent="0.2">
      <c r="Z7729" t="str">
        <f t="shared" si="120"/>
        <v/>
      </c>
    </row>
    <row r="7730" spans="26:26" x14ac:dyDescent="0.2">
      <c r="Z7730" t="str">
        <f t="shared" si="120"/>
        <v/>
      </c>
    </row>
    <row r="7731" spans="26:26" x14ac:dyDescent="0.2">
      <c r="Z7731" t="str">
        <f t="shared" si="120"/>
        <v/>
      </c>
    </row>
    <row r="7732" spans="26:26" x14ac:dyDescent="0.2">
      <c r="Z7732" t="str">
        <f t="shared" si="120"/>
        <v/>
      </c>
    </row>
    <row r="7733" spans="26:26" x14ac:dyDescent="0.2">
      <c r="Z7733" t="str">
        <f t="shared" si="120"/>
        <v/>
      </c>
    </row>
    <row r="7734" spans="26:26" x14ac:dyDescent="0.2">
      <c r="Z7734" t="str">
        <f t="shared" si="120"/>
        <v/>
      </c>
    </row>
    <row r="7735" spans="26:26" x14ac:dyDescent="0.2">
      <c r="Z7735" t="str">
        <f t="shared" si="120"/>
        <v/>
      </c>
    </row>
    <row r="7736" spans="26:26" x14ac:dyDescent="0.2">
      <c r="Z7736" t="str">
        <f t="shared" si="120"/>
        <v/>
      </c>
    </row>
    <row r="7737" spans="26:26" x14ac:dyDescent="0.2">
      <c r="Z7737" t="str">
        <f t="shared" si="120"/>
        <v/>
      </c>
    </row>
    <row r="7738" spans="26:26" x14ac:dyDescent="0.2">
      <c r="Z7738" t="str">
        <f t="shared" si="120"/>
        <v/>
      </c>
    </row>
    <row r="7739" spans="26:26" x14ac:dyDescent="0.2">
      <c r="Z7739" t="str">
        <f t="shared" si="120"/>
        <v/>
      </c>
    </row>
    <row r="7740" spans="26:26" x14ac:dyDescent="0.2">
      <c r="Z7740" t="str">
        <f t="shared" si="120"/>
        <v/>
      </c>
    </row>
    <row r="7741" spans="26:26" x14ac:dyDescent="0.2">
      <c r="Z7741" t="str">
        <f t="shared" si="120"/>
        <v/>
      </c>
    </row>
    <row r="7742" spans="26:26" x14ac:dyDescent="0.2">
      <c r="Z7742" t="str">
        <f t="shared" si="120"/>
        <v/>
      </c>
    </row>
    <row r="7743" spans="26:26" x14ac:dyDescent="0.2">
      <c r="Z7743" t="str">
        <f t="shared" si="120"/>
        <v/>
      </c>
    </row>
    <row r="7744" spans="26:26" x14ac:dyDescent="0.2">
      <c r="Z7744" t="str">
        <f t="shared" si="120"/>
        <v/>
      </c>
    </row>
    <row r="7745" spans="26:26" x14ac:dyDescent="0.2">
      <c r="Z7745" t="str">
        <f t="shared" si="120"/>
        <v/>
      </c>
    </row>
    <row r="7746" spans="26:26" x14ac:dyDescent="0.2">
      <c r="Z7746" t="str">
        <f t="shared" si="120"/>
        <v/>
      </c>
    </row>
    <row r="7747" spans="26:26" x14ac:dyDescent="0.2">
      <c r="Z7747" t="str">
        <f t="shared" ref="Z7747:Z7810" si="121">IF(K7747="","",IFERROR(VALUE(TRIM(MID(K7747,FIND(CHAR(167),SUBSTITUTE(K7747,"-",CHAR(167),LEN(K7747)-LEN(SUBSTITUTE(K7747,"-",""))))+1,100))),K7747))</f>
        <v/>
      </c>
    </row>
    <row r="7748" spans="26:26" x14ac:dyDescent="0.2">
      <c r="Z7748" t="str">
        <f t="shared" si="121"/>
        <v/>
      </c>
    </row>
    <row r="7749" spans="26:26" x14ac:dyDescent="0.2">
      <c r="Z7749" t="str">
        <f t="shared" si="121"/>
        <v/>
      </c>
    </row>
    <row r="7750" spans="26:26" x14ac:dyDescent="0.2">
      <c r="Z7750" t="str">
        <f t="shared" si="121"/>
        <v/>
      </c>
    </row>
    <row r="7751" spans="26:26" x14ac:dyDescent="0.2">
      <c r="Z7751" t="str">
        <f t="shared" si="121"/>
        <v/>
      </c>
    </row>
    <row r="7752" spans="26:26" x14ac:dyDescent="0.2">
      <c r="Z7752" t="str">
        <f t="shared" si="121"/>
        <v/>
      </c>
    </row>
    <row r="7753" spans="26:26" x14ac:dyDescent="0.2">
      <c r="Z7753" t="str">
        <f t="shared" si="121"/>
        <v/>
      </c>
    </row>
    <row r="7754" spans="26:26" x14ac:dyDescent="0.2">
      <c r="Z7754" t="str">
        <f t="shared" si="121"/>
        <v/>
      </c>
    </row>
    <row r="7755" spans="26:26" x14ac:dyDescent="0.2">
      <c r="Z7755" t="str">
        <f t="shared" si="121"/>
        <v/>
      </c>
    </row>
    <row r="7756" spans="26:26" x14ac:dyDescent="0.2">
      <c r="Z7756" t="str">
        <f t="shared" si="121"/>
        <v/>
      </c>
    </row>
    <row r="7757" spans="26:26" x14ac:dyDescent="0.2">
      <c r="Z7757" t="str">
        <f t="shared" si="121"/>
        <v/>
      </c>
    </row>
    <row r="7758" spans="26:26" x14ac:dyDescent="0.2">
      <c r="Z7758" t="str">
        <f t="shared" si="121"/>
        <v/>
      </c>
    </row>
    <row r="7759" spans="26:26" x14ac:dyDescent="0.2">
      <c r="Z7759" t="str">
        <f t="shared" si="121"/>
        <v/>
      </c>
    </row>
    <row r="7760" spans="26:26" x14ac:dyDescent="0.2">
      <c r="Z7760" t="str">
        <f t="shared" si="121"/>
        <v/>
      </c>
    </row>
    <row r="7761" spans="26:26" x14ac:dyDescent="0.2">
      <c r="Z7761" t="str">
        <f t="shared" si="121"/>
        <v/>
      </c>
    </row>
    <row r="7762" spans="26:26" x14ac:dyDescent="0.2">
      <c r="Z7762" t="str">
        <f t="shared" si="121"/>
        <v/>
      </c>
    </row>
    <row r="7763" spans="26:26" x14ac:dyDescent="0.2">
      <c r="Z7763" t="str">
        <f t="shared" si="121"/>
        <v/>
      </c>
    </row>
    <row r="7764" spans="26:26" x14ac:dyDescent="0.2">
      <c r="Z7764" t="str">
        <f t="shared" si="121"/>
        <v/>
      </c>
    </row>
    <row r="7765" spans="26:26" x14ac:dyDescent="0.2">
      <c r="Z7765" t="str">
        <f t="shared" si="121"/>
        <v/>
      </c>
    </row>
    <row r="7766" spans="26:26" x14ac:dyDescent="0.2">
      <c r="Z7766" t="str">
        <f t="shared" si="121"/>
        <v/>
      </c>
    </row>
    <row r="7767" spans="26:26" x14ac:dyDescent="0.2">
      <c r="Z7767" t="str">
        <f t="shared" si="121"/>
        <v/>
      </c>
    </row>
    <row r="7768" spans="26:26" x14ac:dyDescent="0.2">
      <c r="Z7768" t="str">
        <f t="shared" si="121"/>
        <v/>
      </c>
    </row>
    <row r="7769" spans="26:26" x14ac:dyDescent="0.2">
      <c r="Z7769" t="str">
        <f t="shared" si="121"/>
        <v/>
      </c>
    </row>
    <row r="7770" spans="26:26" x14ac:dyDescent="0.2">
      <c r="Z7770" t="str">
        <f t="shared" si="121"/>
        <v/>
      </c>
    </row>
    <row r="7771" spans="26:26" x14ac:dyDescent="0.2">
      <c r="Z7771" t="str">
        <f t="shared" si="121"/>
        <v/>
      </c>
    </row>
    <row r="7772" spans="26:26" x14ac:dyDescent="0.2">
      <c r="Z7772" t="str">
        <f t="shared" si="121"/>
        <v/>
      </c>
    </row>
    <row r="7773" spans="26:26" x14ac:dyDescent="0.2">
      <c r="Z7773" t="str">
        <f t="shared" si="121"/>
        <v/>
      </c>
    </row>
    <row r="7774" spans="26:26" x14ac:dyDescent="0.2">
      <c r="Z7774" t="str">
        <f t="shared" si="121"/>
        <v/>
      </c>
    </row>
    <row r="7775" spans="26:26" x14ac:dyDescent="0.2">
      <c r="Z7775" t="str">
        <f t="shared" si="121"/>
        <v/>
      </c>
    </row>
    <row r="7776" spans="26:26" x14ac:dyDescent="0.2">
      <c r="Z7776" t="str">
        <f t="shared" si="121"/>
        <v/>
      </c>
    </row>
    <row r="7777" spans="26:26" x14ac:dyDescent="0.2">
      <c r="Z7777" t="str">
        <f t="shared" si="121"/>
        <v/>
      </c>
    </row>
    <row r="7778" spans="26:26" x14ac:dyDescent="0.2">
      <c r="Z7778" t="str">
        <f t="shared" si="121"/>
        <v/>
      </c>
    </row>
    <row r="7779" spans="26:26" x14ac:dyDescent="0.2">
      <c r="Z7779" t="str">
        <f t="shared" si="121"/>
        <v/>
      </c>
    </row>
    <row r="7780" spans="26:26" x14ac:dyDescent="0.2">
      <c r="Z7780" t="str">
        <f t="shared" si="121"/>
        <v/>
      </c>
    </row>
    <row r="7781" spans="26:26" x14ac:dyDescent="0.2">
      <c r="Z7781" t="str">
        <f t="shared" si="121"/>
        <v/>
      </c>
    </row>
    <row r="7782" spans="26:26" x14ac:dyDescent="0.2">
      <c r="Z7782" t="str">
        <f t="shared" si="121"/>
        <v/>
      </c>
    </row>
    <row r="7783" spans="26:26" x14ac:dyDescent="0.2">
      <c r="Z7783" t="str">
        <f t="shared" si="121"/>
        <v/>
      </c>
    </row>
    <row r="7784" spans="26:26" x14ac:dyDescent="0.2">
      <c r="Z7784" t="str">
        <f t="shared" si="121"/>
        <v/>
      </c>
    </row>
    <row r="7785" spans="26:26" x14ac:dyDescent="0.2">
      <c r="Z7785" t="str">
        <f t="shared" si="121"/>
        <v/>
      </c>
    </row>
    <row r="7786" spans="26:26" x14ac:dyDescent="0.2">
      <c r="Z7786" t="str">
        <f t="shared" si="121"/>
        <v/>
      </c>
    </row>
    <row r="7787" spans="26:26" x14ac:dyDescent="0.2">
      <c r="Z7787" t="str">
        <f t="shared" si="121"/>
        <v/>
      </c>
    </row>
    <row r="7788" spans="26:26" x14ac:dyDescent="0.2">
      <c r="Z7788" t="str">
        <f t="shared" si="121"/>
        <v/>
      </c>
    </row>
    <row r="7789" spans="26:26" x14ac:dyDescent="0.2">
      <c r="Z7789" t="str">
        <f t="shared" si="121"/>
        <v/>
      </c>
    </row>
    <row r="7790" spans="26:26" x14ac:dyDescent="0.2">
      <c r="Z7790" t="str">
        <f t="shared" si="121"/>
        <v/>
      </c>
    </row>
    <row r="7791" spans="26:26" x14ac:dyDescent="0.2">
      <c r="Z7791" t="str">
        <f t="shared" si="121"/>
        <v/>
      </c>
    </row>
    <row r="7792" spans="26:26" x14ac:dyDescent="0.2">
      <c r="Z7792" t="str">
        <f t="shared" si="121"/>
        <v/>
      </c>
    </row>
    <row r="7793" spans="26:26" x14ac:dyDescent="0.2">
      <c r="Z7793" t="str">
        <f t="shared" si="121"/>
        <v/>
      </c>
    </row>
    <row r="7794" spans="26:26" x14ac:dyDescent="0.2">
      <c r="Z7794" t="str">
        <f t="shared" si="121"/>
        <v/>
      </c>
    </row>
    <row r="7795" spans="26:26" x14ac:dyDescent="0.2">
      <c r="Z7795" t="str">
        <f t="shared" si="121"/>
        <v/>
      </c>
    </row>
    <row r="7796" spans="26:26" x14ac:dyDescent="0.2">
      <c r="Z7796" t="str">
        <f t="shared" si="121"/>
        <v/>
      </c>
    </row>
    <row r="7797" spans="26:26" x14ac:dyDescent="0.2">
      <c r="Z7797" t="str">
        <f t="shared" si="121"/>
        <v/>
      </c>
    </row>
    <row r="7798" spans="26:26" x14ac:dyDescent="0.2">
      <c r="Z7798" t="str">
        <f t="shared" si="121"/>
        <v/>
      </c>
    </row>
    <row r="7799" spans="26:26" x14ac:dyDescent="0.2">
      <c r="Z7799" t="str">
        <f t="shared" si="121"/>
        <v/>
      </c>
    </row>
    <row r="7800" spans="26:26" x14ac:dyDescent="0.2">
      <c r="Z7800" t="str">
        <f t="shared" si="121"/>
        <v/>
      </c>
    </row>
    <row r="7801" spans="26:26" x14ac:dyDescent="0.2">
      <c r="Z7801" t="str">
        <f t="shared" si="121"/>
        <v/>
      </c>
    </row>
    <row r="7802" spans="26:26" x14ac:dyDescent="0.2">
      <c r="Z7802" t="str">
        <f t="shared" si="121"/>
        <v/>
      </c>
    </row>
    <row r="7803" spans="26:26" x14ac:dyDescent="0.2">
      <c r="Z7803" t="str">
        <f t="shared" si="121"/>
        <v/>
      </c>
    </row>
    <row r="7804" spans="26:26" x14ac:dyDescent="0.2">
      <c r="Z7804" t="str">
        <f t="shared" si="121"/>
        <v/>
      </c>
    </row>
    <row r="7805" spans="26:26" x14ac:dyDescent="0.2">
      <c r="Z7805" t="str">
        <f t="shared" si="121"/>
        <v/>
      </c>
    </row>
    <row r="7806" spans="26:26" x14ac:dyDescent="0.2">
      <c r="Z7806" t="str">
        <f t="shared" si="121"/>
        <v/>
      </c>
    </row>
    <row r="7807" spans="26:26" x14ac:dyDescent="0.2">
      <c r="Z7807" t="str">
        <f t="shared" si="121"/>
        <v/>
      </c>
    </row>
    <row r="7808" spans="26:26" x14ac:dyDescent="0.2">
      <c r="Z7808" t="str">
        <f t="shared" si="121"/>
        <v/>
      </c>
    </row>
    <row r="7809" spans="26:26" x14ac:dyDescent="0.2">
      <c r="Z7809" t="str">
        <f t="shared" si="121"/>
        <v/>
      </c>
    </row>
    <row r="7810" spans="26:26" x14ac:dyDescent="0.2">
      <c r="Z7810" t="str">
        <f t="shared" si="121"/>
        <v/>
      </c>
    </row>
    <row r="7811" spans="26:26" x14ac:dyDescent="0.2">
      <c r="Z7811" t="str">
        <f t="shared" ref="Z7811:Z7874" si="122">IF(K7811="","",IFERROR(VALUE(TRIM(MID(K7811,FIND(CHAR(167),SUBSTITUTE(K7811,"-",CHAR(167),LEN(K7811)-LEN(SUBSTITUTE(K7811,"-",""))))+1,100))),K7811))</f>
        <v/>
      </c>
    </row>
    <row r="7812" spans="26:26" x14ac:dyDescent="0.2">
      <c r="Z7812" t="str">
        <f t="shared" si="122"/>
        <v/>
      </c>
    </row>
    <row r="7813" spans="26:26" x14ac:dyDescent="0.2">
      <c r="Z7813" t="str">
        <f t="shared" si="122"/>
        <v/>
      </c>
    </row>
    <row r="7814" spans="26:26" x14ac:dyDescent="0.2">
      <c r="Z7814" t="str">
        <f t="shared" si="122"/>
        <v/>
      </c>
    </row>
    <row r="7815" spans="26:26" x14ac:dyDescent="0.2">
      <c r="Z7815" t="str">
        <f t="shared" si="122"/>
        <v/>
      </c>
    </row>
    <row r="7816" spans="26:26" x14ac:dyDescent="0.2">
      <c r="Z7816" t="str">
        <f t="shared" si="122"/>
        <v/>
      </c>
    </row>
    <row r="7817" spans="26:26" x14ac:dyDescent="0.2">
      <c r="Z7817" t="str">
        <f t="shared" si="122"/>
        <v/>
      </c>
    </row>
    <row r="7818" spans="26:26" x14ac:dyDescent="0.2">
      <c r="Z7818" t="str">
        <f t="shared" si="122"/>
        <v/>
      </c>
    </row>
    <row r="7819" spans="26:26" x14ac:dyDescent="0.2">
      <c r="Z7819" t="str">
        <f t="shared" si="122"/>
        <v/>
      </c>
    </row>
    <row r="7820" spans="26:26" x14ac:dyDescent="0.2">
      <c r="Z7820" t="str">
        <f t="shared" si="122"/>
        <v/>
      </c>
    </row>
    <row r="7821" spans="26:26" x14ac:dyDescent="0.2">
      <c r="Z7821" t="str">
        <f t="shared" si="122"/>
        <v/>
      </c>
    </row>
    <row r="7822" spans="26:26" x14ac:dyDescent="0.2">
      <c r="Z7822" t="str">
        <f t="shared" si="122"/>
        <v/>
      </c>
    </row>
    <row r="7823" spans="26:26" x14ac:dyDescent="0.2">
      <c r="Z7823" t="str">
        <f t="shared" si="122"/>
        <v/>
      </c>
    </row>
    <row r="7824" spans="26:26" x14ac:dyDescent="0.2">
      <c r="Z7824" t="str">
        <f t="shared" si="122"/>
        <v/>
      </c>
    </row>
    <row r="7825" spans="26:26" x14ac:dyDescent="0.2">
      <c r="Z7825" t="str">
        <f t="shared" si="122"/>
        <v/>
      </c>
    </row>
    <row r="7826" spans="26:26" x14ac:dyDescent="0.2">
      <c r="Z7826" t="str">
        <f t="shared" si="122"/>
        <v/>
      </c>
    </row>
    <row r="7827" spans="26:26" x14ac:dyDescent="0.2">
      <c r="Z7827" t="str">
        <f t="shared" si="122"/>
        <v/>
      </c>
    </row>
    <row r="7828" spans="26:26" x14ac:dyDescent="0.2">
      <c r="Z7828" t="str">
        <f t="shared" si="122"/>
        <v/>
      </c>
    </row>
    <row r="7829" spans="26:26" x14ac:dyDescent="0.2">
      <c r="Z7829" t="str">
        <f t="shared" si="122"/>
        <v/>
      </c>
    </row>
    <row r="7830" spans="26:26" x14ac:dyDescent="0.2">
      <c r="Z7830" t="str">
        <f t="shared" si="122"/>
        <v/>
      </c>
    </row>
    <row r="7831" spans="26:26" x14ac:dyDescent="0.2">
      <c r="Z7831" t="str">
        <f t="shared" si="122"/>
        <v/>
      </c>
    </row>
    <row r="7832" spans="26:26" x14ac:dyDescent="0.2">
      <c r="Z7832" t="str">
        <f t="shared" si="122"/>
        <v/>
      </c>
    </row>
    <row r="7833" spans="26:26" x14ac:dyDescent="0.2">
      <c r="Z7833" t="str">
        <f t="shared" si="122"/>
        <v/>
      </c>
    </row>
    <row r="7834" spans="26:26" x14ac:dyDescent="0.2">
      <c r="Z7834" t="str">
        <f t="shared" si="122"/>
        <v/>
      </c>
    </row>
    <row r="7835" spans="26:26" x14ac:dyDescent="0.2">
      <c r="Z7835" t="str">
        <f t="shared" si="122"/>
        <v/>
      </c>
    </row>
    <row r="7836" spans="26:26" x14ac:dyDescent="0.2">
      <c r="Z7836" t="str">
        <f t="shared" si="122"/>
        <v/>
      </c>
    </row>
    <row r="7837" spans="26:26" x14ac:dyDescent="0.2">
      <c r="Z7837" t="str">
        <f t="shared" si="122"/>
        <v/>
      </c>
    </row>
    <row r="7838" spans="26:26" x14ac:dyDescent="0.2">
      <c r="Z7838" t="str">
        <f t="shared" si="122"/>
        <v/>
      </c>
    </row>
    <row r="7839" spans="26:26" x14ac:dyDescent="0.2">
      <c r="Z7839" t="str">
        <f t="shared" si="122"/>
        <v/>
      </c>
    </row>
    <row r="7840" spans="26:26" x14ac:dyDescent="0.2">
      <c r="Z7840" t="str">
        <f t="shared" si="122"/>
        <v/>
      </c>
    </row>
    <row r="7841" spans="26:26" x14ac:dyDescent="0.2">
      <c r="Z7841" t="str">
        <f t="shared" si="122"/>
        <v/>
      </c>
    </row>
    <row r="7842" spans="26:26" x14ac:dyDescent="0.2">
      <c r="Z7842" t="str">
        <f t="shared" si="122"/>
        <v/>
      </c>
    </row>
    <row r="7843" spans="26:26" x14ac:dyDescent="0.2">
      <c r="Z7843" t="str">
        <f t="shared" si="122"/>
        <v/>
      </c>
    </row>
    <row r="7844" spans="26:26" x14ac:dyDescent="0.2">
      <c r="Z7844" t="str">
        <f t="shared" si="122"/>
        <v/>
      </c>
    </row>
    <row r="7845" spans="26:26" x14ac:dyDescent="0.2">
      <c r="Z7845" t="str">
        <f t="shared" si="122"/>
        <v/>
      </c>
    </row>
    <row r="7846" spans="26:26" x14ac:dyDescent="0.2">
      <c r="Z7846" t="str">
        <f t="shared" si="122"/>
        <v/>
      </c>
    </row>
    <row r="7847" spans="26:26" x14ac:dyDescent="0.2">
      <c r="Z7847" t="str">
        <f t="shared" si="122"/>
        <v/>
      </c>
    </row>
    <row r="7848" spans="26:26" x14ac:dyDescent="0.2">
      <c r="Z7848" t="str">
        <f t="shared" si="122"/>
        <v/>
      </c>
    </row>
    <row r="7849" spans="26:26" x14ac:dyDescent="0.2">
      <c r="Z7849" t="str">
        <f t="shared" si="122"/>
        <v/>
      </c>
    </row>
    <row r="7850" spans="26:26" x14ac:dyDescent="0.2">
      <c r="Z7850" t="str">
        <f t="shared" si="122"/>
        <v/>
      </c>
    </row>
    <row r="7851" spans="26:26" x14ac:dyDescent="0.2">
      <c r="Z7851" t="str">
        <f t="shared" si="122"/>
        <v/>
      </c>
    </row>
    <row r="7852" spans="26:26" x14ac:dyDescent="0.2">
      <c r="Z7852" t="str">
        <f t="shared" si="122"/>
        <v/>
      </c>
    </row>
    <row r="7853" spans="26:26" x14ac:dyDescent="0.2">
      <c r="Z7853" t="str">
        <f t="shared" si="122"/>
        <v/>
      </c>
    </row>
    <row r="7854" spans="26:26" x14ac:dyDescent="0.2">
      <c r="Z7854" t="str">
        <f t="shared" si="122"/>
        <v/>
      </c>
    </row>
    <row r="7855" spans="26:26" x14ac:dyDescent="0.2">
      <c r="Z7855" t="str">
        <f t="shared" si="122"/>
        <v/>
      </c>
    </row>
    <row r="7856" spans="26:26" x14ac:dyDescent="0.2">
      <c r="Z7856" t="str">
        <f t="shared" si="122"/>
        <v/>
      </c>
    </row>
    <row r="7857" spans="26:26" x14ac:dyDescent="0.2">
      <c r="Z7857" t="str">
        <f t="shared" si="122"/>
        <v/>
      </c>
    </row>
    <row r="7858" spans="26:26" x14ac:dyDescent="0.2">
      <c r="Z7858" t="str">
        <f t="shared" si="122"/>
        <v/>
      </c>
    </row>
    <row r="7859" spans="26:26" x14ac:dyDescent="0.2">
      <c r="Z7859" t="str">
        <f t="shared" si="122"/>
        <v/>
      </c>
    </row>
    <row r="7860" spans="26:26" x14ac:dyDescent="0.2">
      <c r="Z7860" t="str">
        <f t="shared" si="122"/>
        <v/>
      </c>
    </row>
    <row r="7861" spans="26:26" x14ac:dyDescent="0.2">
      <c r="Z7861" t="str">
        <f t="shared" si="122"/>
        <v/>
      </c>
    </row>
    <row r="7862" spans="26:26" x14ac:dyDescent="0.2">
      <c r="Z7862" t="str">
        <f t="shared" si="122"/>
        <v/>
      </c>
    </row>
    <row r="7863" spans="26:26" x14ac:dyDescent="0.2">
      <c r="Z7863" t="str">
        <f t="shared" si="122"/>
        <v/>
      </c>
    </row>
    <row r="7864" spans="26:26" x14ac:dyDescent="0.2">
      <c r="Z7864" t="str">
        <f t="shared" si="122"/>
        <v/>
      </c>
    </row>
    <row r="7865" spans="26:26" x14ac:dyDescent="0.2">
      <c r="Z7865" t="str">
        <f t="shared" si="122"/>
        <v/>
      </c>
    </row>
    <row r="7866" spans="26:26" x14ac:dyDescent="0.2">
      <c r="Z7866" t="str">
        <f t="shared" si="122"/>
        <v/>
      </c>
    </row>
    <row r="7867" spans="26:26" x14ac:dyDescent="0.2">
      <c r="Z7867" t="str">
        <f t="shared" si="122"/>
        <v/>
      </c>
    </row>
    <row r="7868" spans="26:26" x14ac:dyDescent="0.2">
      <c r="Z7868" t="str">
        <f t="shared" si="122"/>
        <v/>
      </c>
    </row>
    <row r="7869" spans="26:26" x14ac:dyDescent="0.2">
      <c r="Z7869" t="str">
        <f t="shared" si="122"/>
        <v/>
      </c>
    </row>
    <row r="7870" spans="26:26" x14ac:dyDescent="0.2">
      <c r="Z7870" t="str">
        <f t="shared" si="122"/>
        <v/>
      </c>
    </row>
    <row r="7871" spans="26:26" x14ac:dyDescent="0.2">
      <c r="Z7871" t="str">
        <f t="shared" si="122"/>
        <v/>
      </c>
    </row>
    <row r="7872" spans="26:26" x14ac:dyDescent="0.2">
      <c r="Z7872" t="str">
        <f t="shared" si="122"/>
        <v/>
      </c>
    </row>
    <row r="7873" spans="26:26" x14ac:dyDescent="0.2">
      <c r="Z7873" t="str">
        <f t="shared" si="122"/>
        <v/>
      </c>
    </row>
    <row r="7874" spans="26:26" x14ac:dyDescent="0.2">
      <c r="Z7874" t="str">
        <f t="shared" si="122"/>
        <v/>
      </c>
    </row>
    <row r="7875" spans="26:26" x14ac:dyDescent="0.2">
      <c r="Z7875" t="str">
        <f t="shared" ref="Z7875:Z7938" si="123">IF(K7875="","",IFERROR(VALUE(TRIM(MID(K7875,FIND(CHAR(167),SUBSTITUTE(K7875,"-",CHAR(167),LEN(K7875)-LEN(SUBSTITUTE(K7875,"-",""))))+1,100))),K7875))</f>
        <v/>
      </c>
    </row>
    <row r="7876" spans="26:26" x14ac:dyDescent="0.2">
      <c r="Z7876" t="str">
        <f t="shared" si="123"/>
        <v/>
      </c>
    </row>
    <row r="7877" spans="26:26" x14ac:dyDescent="0.2">
      <c r="Z7877" t="str">
        <f t="shared" si="123"/>
        <v/>
      </c>
    </row>
    <row r="7878" spans="26:26" x14ac:dyDescent="0.2">
      <c r="Z7878" t="str">
        <f t="shared" si="123"/>
        <v/>
      </c>
    </row>
    <row r="7879" spans="26:26" x14ac:dyDescent="0.2">
      <c r="Z7879" t="str">
        <f t="shared" si="123"/>
        <v/>
      </c>
    </row>
    <row r="7880" spans="26:26" x14ac:dyDescent="0.2">
      <c r="Z7880" t="str">
        <f t="shared" si="123"/>
        <v/>
      </c>
    </row>
    <row r="7881" spans="26:26" x14ac:dyDescent="0.2">
      <c r="Z7881" t="str">
        <f t="shared" si="123"/>
        <v/>
      </c>
    </row>
    <row r="7882" spans="26:26" x14ac:dyDescent="0.2">
      <c r="Z7882" t="str">
        <f t="shared" si="123"/>
        <v/>
      </c>
    </row>
    <row r="7883" spans="26:26" x14ac:dyDescent="0.2">
      <c r="Z7883" t="str">
        <f t="shared" si="123"/>
        <v/>
      </c>
    </row>
    <row r="7884" spans="26:26" x14ac:dyDescent="0.2">
      <c r="Z7884" t="str">
        <f t="shared" si="123"/>
        <v/>
      </c>
    </row>
    <row r="7885" spans="26:26" x14ac:dyDescent="0.2">
      <c r="Z7885" t="str">
        <f t="shared" si="123"/>
        <v/>
      </c>
    </row>
    <row r="7886" spans="26:26" x14ac:dyDescent="0.2">
      <c r="Z7886" t="str">
        <f t="shared" si="123"/>
        <v/>
      </c>
    </row>
    <row r="7887" spans="26:26" x14ac:dyDescent="0.2">
      <c r="Z7887" t="str">
        <f t="shared" si="123"/>
        <v/>
      </c>
    </row>
    <row r="7888" spans="26:26" x14ac:dyDescent="0.2">
      <c r="Z7888" t="str">
        <f t="shared" si="123"/>
        <v/>
      </c>
    </row>
    <row r="7889" spans="26:26" x14ac:dyDescent="0.2">
      <c r="Z7889" t="str">
        <f t="shared" si="123"/>
        <v/>
      </c>
    </row>
    <row r="7890" spans="26:26" x14ac:dyDescent="0.2">
      <c r="Z7890" t="str">
        <f t="shared" si="123"/>
        <v/>
      </c>
    </row>
    <row r="7891" spans="26:26" x14ac:dyDescent="0.2">
      <c r="Z7891" t="str">
        <f t="shared" si="123"/>
        <v/>
      </c>
    </row>
    <row r="7892" spans="26:26" x14ac:dyDescent="0.2">
      <c r="Z7892" t="str">
        <f t="shared" si="123"/>
        <v/>
      </c>
    </row>
    <row r="7893" spans="26:26" x14ac:dyDescent="0.2">
      <c r="Z7893" t="str">
        <f t="shared" si="123"/>
        <v/>
      </c>
    </row>
    <row r="7894" spans="26:26" x14ac:dyDescent="0.2">
      <c r="Z7894" t="str">
        <f t="shared" si="123"/>
        <v/>
      </c>
    </row>
    <row r="7895" spans="26:26" x14ac:dyDescent="0.2">
      <c r="Z7895" t="str">
        <f t="shared" si="123"/>
        <v/>
      </c>
    </row>
    <row r="7896" spans="26:26" x14ac:dyDescent="0.2">
      <c r="Z7896" t="str">
        <f t="shared" si="123"/>
        <v/>
      </c>
    </row>
    <row r="7897" spans="26:26" x14ac:dyDescent="0.2">
      <c r="Z7897" t="str">
        <f t="shared" si="123"/>
        <v/>
      </c>
    </row>
    <row r="7898" spans="26:26" x14ac:dyDescent="0.2">
      <c r="Z7898" t="str">
        <f t="shared" si="123"/>
        <v/>
      </c>
    </row>
    <row r="7899" spans="26:26" x14ac:dyDescent="0.2">
      <c r="Z7899" t="str">
        <f t="shared" si="123"/>
        <v/>
      </c>
    </row>
    <row r="7900" spans="26:26" x14ac:dyDescent="0.2">
      <c r="Z7900" t="str">
        <f t="shared" si="123"/>
        <v/>
      </c>
    </row>
    <row r="7901" spans="26:26" x14ac:dyDescent="0.2">
      <c r="Z7901" t="str">
        <f t="shared" si="123"/>
        <v/>
      </c>
    </row>
    <row r="7902" spans="26:26" x14ac:dyDescent="0.2">
      <c r="Z7902" t="str">
        <f t="shared" si="123"/>
        <v/>
      </c>
    </row>
    <row r="7903" spans="26:26" x14ac:dyDescent="0.2">
      <c r="Z7903" t="str">
        <f t="shared" si="123"/>
        <v/>
      </c>
    </row>
    <row r="7904" spans="26:26" x14ac:dyDescent="0.2">
      <c r="Z7904" t="str">
        <f t="shared" si="123"/>
        <v/>
      </c>
    </row>
    <row r="7905" spans="26:26" x14ac:dyDescent="0.2">
      <c r="Z7905" t="str">
        <f t="shared" si="123"/>
        <v/>
      </c>
    </row>
    <row r="7906" spans="26:26" x14ac:dyDescent="0.2">
      <c r="Z7906" t="str">
        <f t="shared" si="123"/>
        <v/>
      </c>
    </row>
    <row r="7907" spans="26:26" x14ac:dyDescent="0.2">
      <c r="Z7907" t="str">
        <f t="shared" si="123"/>
        <v/>
      </c>
    </row>
    <row r="7908" spans="26:26" x14ac:dyDescent="0.2">
      <c r="Z7908" t="str">
        <f t="shared" si="123"/>
        <v/>
      </c>
    </row>
    <row r="7909" spans="26:26" x14ac:dyDescent="0.2">
      <c r="Z7909" t="str">
        <f t="shared" si="123"/>
        <v/>
      </c>
    </row>
    <row r="7910" spans="26:26" x14ac:dyDescent="0.2">
      <c r="Z7910" t="str">
        <f t="shared" si="123"/>
        <v/>
      </c>
    </row>
    <row r="7911" spans="26:26" x14ac:dyDescent="0.2">
      <c r="Z7911" t="str">
        <f t="shared" si="123"/>
        <v/>
      </c>
    </row>
    <row r="7912" spans="26:26" x14ac:dyDescent="0.2">
      <c r="Z7912" t="str">
        <f t="shared" si="123"/>
        <v/>
      </c>
    </row>
    <row r="7913" spans="26:26" x14ac:dyDescent="0.2">
      <c r="Z7913" t="str">
        <f t="shared" si="123"/>
        <v/>
      </c>
    </row>
    <row r="7914" spans="26:26" x14ac:dyDescent="0.2">
      <c r="Z7914" t="str">
        <f t="shared" si="123"/>
        <v/>
      </c>
    </row>
    <row r="7915" spans="26:26" x14ac:dyDescent="0.2">
      <c r="Z7915" t="str">
        <f t="shared" si="123"/>
        <v/>
      </c>
    </row>
    <row r="7916" spans="26:26" x14ac:dyDescent="0.2">
      <c r="Z7916" t="str">
        <f t="shared" si="123"/>
        <v/>
      </c>
    </row>
    <row r="7917" spans="26:26" x14ac:dyDescent="0.2">
      <c r="Z7917" t="str">
        <f t="shared" si="123"/>
        <v/>
      </c>
    </row>
    <row r="7918" spans="26:26" x14ac:dyDescent="0.2">
      <c r="Z7918" t="str">
        <f t="shared" si="123"/>
        <v/>
      </c>
    </row>
    <row r="7919" spans="26:26" x14ac:dyDescent="0.2">
      <c r="Z7919" t="str">
        <f t="shared" si="123"/>
        <v/>
      </c>
    </row>
    <row r="7920" spans="26:26" x14ac:dyDescent="0.2">
      <c r="Z7920" t="str">
        <f t="shared" si="123"/>
        <v/>
      </c>
    </row>
    <row r="7921" spans="26:26" x14ac:dyDescent="0.2">
      <c r="Z7921" t="str">
        <f t="shared" si="123"/>
        <v/>
      </c>
    </row>
    <row r="7922" spans="26:26" x14ac:dyDescent="0.2">
      <c r="Z7922" t="str">
        <f t="shared" si="123"/>
        <v/>
      </c>
    </row>
    <row r="7923" spans="26:26" x14ac:dyDescent="0.2">
      <c r="Z7923" t="str">
        <f t="shared" si="123"/>
        <v/>
      </c>
    </row>
    <row r="7924" spans="26:26" x14ac:dyDescent="0.2">
      <c r="Z7924" t="str">
        <f t="shared" si="123"/>
        <v/>
      </c>
    </row>
    <row r="7925" spans="26:26" x14ac:dyDescent="0.2">
      <c r="Z7925" t="str">
        <f t="shared" si="123"/>
        <v/>
      </c>
    </row>
    <row r="7926" spans="26:26" x14ac:dyDescent="0.2">
      <c r="Z7926" t="str">
        <f t="shared" si="123"/>
        <v/>
      </c>
    </row>
    <row r="7927" spans="26:26" x14ac:dyDescent="0.2">
      <c r="Z7927" t="str">
        <f t="shared" si="123"/>
        <v/>
      </c>
    </row>
    <row r="7928" spans="26:26" x14ac:dyDescent="0.2">
      <c r="Z7928" t="str">
        <f t="shared" si="123"/>
        <v/>
      </c>
    </row>
    <row r="7929" spans="26:26" x14ac:dyDescent="0.2">
      <c r="Z7929" t="str">
        <f t="shared" si="123"/>
        <v/>
      </c>
    </row>
    <row r="7930" spans="26:26" x14ac:dyDescent="0.2">
      <c r="Z7930" t="str">
        <f t="shared" si="123"/>
        <v/>
      </c>
    </row>
    <row r="7931" spans="26:26" x14ac:dyDescent="0.2">
      <c r="Z7931" t="str">
        <f t="shared" si="123"/>
        <v/>
      </c>
    </row>
    <row r="7932" spans="26:26" x14ac:dyDescent="0.2">
      <c r="Z7932" t="str">
        <f t="shared" si="123"/>
        <v/>
      </c>
    </row>
    <row r="7933" spans="26:26" x14ac:dyDescent="0.2">
      <c r="Z7933" t="str">
        <f t="shared" si="123"/>
        <v/>
      </c>
    </row>
    <row r="7934" spans="26:26" x14ac:dyDescent="0.2">
      <c r="Z7934" t="str">
        <f t="shared" si="123"/>
        <v/>
      </c>
    </row>
    <row r="7935" spans="26:26" x14ac:dyDescent="0.2">
      <c r="Z7935" t="str">
        <f t="shared" si="123"/>
        <v/>
      </c>
    </row>
    <row r="7936" spans="26:26" x14ac:dyDescent="0.2">
      <c r="Z7936" t="str">
        <f t="shared" si="123"/>
        <v/>
      </c>
    </row>
    <row r="7937" spans="26:26" x14ac:dyDescent="0.2">
      <c r="Z7937" t="str">
        <f t="shared" si="123"/>
        <v/>
      </c>
    </row>
    <row r="7938" spans="26:26" x14ac:dyDescent="0.2">
      <c r="Z7938" t="str">
        <f t="shared" si="123"/>
        <v/>
      </c>
    </row>
    <row r="7939" spans="26:26" x14ac:dyDescent="0.2">
      <c r="Z7939" t="str">
        <f t="shared" ref="Z7939:Z8002" si="124">IF(K7939="","",IFERROR(VALUE(TRIM(MID(K7939,FIND(CHAR(167),SUBSTITUTE(K7939,"-",CHAR(167),LEN(K7939)-LEN(SUBSTITUTE(K7939,"-",""))))+1,100))),K7939))</f>
        <v/>
      </c>
    </row>
    <row r="7940" spans="26:26" x14ac:dyDescent="0.2">
      <c r="Z7940" t="str">
        <f t="shared" si="124"/>
        <v/>
      </c>
    </row>
    <row r="7941" spans="26:26" x14ac:dyDescent="0.2">
      <c r="Z7941" t="str">
        <f t="shared" si="124"/>
        <v/>
      </c>
    </row>
    <row r="7942" spans="26:26" x14ac:dyDescent="0.2">
      <c r="Z7942" t="str">
        <f t="shared" si="124"/>
        <v/>
      </c>
    </row>
    <row r="7943" spans="26:26" x14ac:dyDescent="0.2">
      <c r="Z7943" t="str">
        <f t="shared" si="124"/>
        <v/>
      </c>
    </row>
    <row r="7944" spans="26:26" x14ac:dyDescent="0.2">
      <c r="Z7944" t="str">
        <f t="shared" si="124"/>
        <v/>
      </c>
    </row>
    <row r="7945" spans="26:26" x14ac:dyDescent="0.2">
      <c r="Z7945" t="str">
        <f t="shared" si="124"/>
        <v/>
      </c>
    </row>
    <row r="7946" spans="26:26" x14ac:dyDescent="0.2">
      <c r="Z7946" t="str">
        <f t="shared" si="124"/>
        <v/>
      </c>
    </row>
    <row r="7947" spans="26:26" x14ac:dyDescent="0.2">
      <c r="Z7947" t="str">
        <f t="shared" si="124"/>
        <v/>
      </c>
    </row>
    <row r="7948" spans="26:26" x14ac:dyDescent="0.2">
      <c r="Z7948" t="str">
        <f t="shared" si="124"/>
        <v/>
      </c>
    </row>
    <row r="7949" spans="26:26" x14ac:dyDescent="0.2">
      <c r="Z7949" t="str">
        <f t="shared" si="124"/>
        <v/>
      </c>
    </row>
    <row r="7950" spans="26:26" x14ac:dyDescent="0.2">
      <c r="Z7950" t="str">
        <f t="shared" si="124"/>
        <v/>
      </c>
    </row>
    <row r="7951" spans="26:26" x14ac:dyDescent="0.2">
      <c r="Z7951" t="str">
        <f t="shared" si="124"/>
        <v/>
      </c>
    </row>
    <row r="7952" spans="26:26" x14ac:dyDescent="0.2">
      <c r="Z7952" t="str">
        <f t="shared" si="124"/>
        <v/>
      </c>
    </row>
    <row r="7953" spans="26:26" x14ac:dyDescent="0.2">
      <c r="Z7953" t="str">
        <f t="shared" si="124"/>
        <v/>
      </c>
    </row>
    <row r="7954" spans="26:26" x14ac:dyDescent="0.2">
      <c r="Z7954" t="str">
        <f t="shared" si="124"/>
        <v/>
      </c>
    </row>
    <row r="7955" spans="26:26" x14ac:dyDescent="0.2">
      <c r="Z7955" t="str">
        <f t="shared" si="124"/>
        <v/>
      </c>
    </row>
    <row r="7956" spans="26:26" x14ac:dyDescent="0.2">
      <c r="Z7956" t="str">
        <f t="shared" si="124"/>
        <v/>
      </c>
    </row>
    <row r="7957" spans="26:26" x14ac:dyDescent="0.2">
      <c r="Z7957" t="str">
        <f t="shared" si="124"/>
        <v/>
      </c>
    </row>
    <row r="7958" spans="26:26" x14ac:dyDescent="0.2">
      <c r="Z7958" t="str">
        <f t="shared" si="124"/>
        <v/>
      </c>
    </row>
    <row r="7959" spans="26:26" x14ac:dyDescent="0.2">
      <c r="Z7959" t="str">
        <f t="shared" si="124"/>
        <v/>
      </c>
    </row>
    <row r="7960" spans="26:26" x14ac:dyDescent="0.2">
      <c r="Z7960" t="str">
        <f t="shared" si="124"/>
        <v/>
      </c>
    </row>
    <row r="7961" spans="26:26" x14ac:dyDescent="0.2">
      <c r="Z7961" t="str">
        <f t="shared" si="124"/>
        <v/>
      </c>
    </row>
    <row r="7962" spans="26:26" x14ac:dyDescent="0.2">
      <c r="Z7962" t="str">
        <f t="shared" si="124"/>
        <v/>
      </c>
    </row>
    <row r="7963" spans="26:26" x14ac:dyDescent="0.2">
      <c r="Z7963" t="str">
        <f t="shared" si="124"/>
        <v/>
      </c>
    </row>
    <row r="7964" spans="26:26" x14ac:dyDescent="0.2">
      <c r="Z7964" t="str">
        <f t="shared" si="124"/>
        <v/>
      </c>
    </row>
    <row r="7965" spans="26:26" x14ac:dyDescent="0.2">
      <c r="Z7965" t="str">
        <f t="shared" si="124"/>
        <v/>
      </c>
    </row>
    <row r="7966" spans="26:26" x14ac:dyDescent="0.2">
      <c r="Z7966" t="str">
        <f t="shared" si="124"/>
        <v/>
      </c>
    </row>
    <row r="7967" spans="26:26" x14ac:dyDescent="0.2">
      <c r="Z7967" t="str">
        <f t="shared" si="124"/>
        <v/>
      </c>
    </row>
    <row r="7968" spans="26:26" x14ac:dyDescent="0.2">
      <c r="Z7968" t="str">
        <f t="shared" si="124"/>
        <v/>
      </c>
    </row>
    <row r="7969" spans="26:26" x14ac:dyDescent="0.2">
      <c r="Z7969" t="str">
        <f t="shared" si="124"/>
        <v/>
      </c>
    </row>
    <row r="7970" spans="26:26" x14ac:dyDescent="0.2">
      <c r="Z7970" t="str">
        <f t="shared" si="124"/>
        <v/>
      </c>
    </row>
    <row r="7971" spans="26:26" x14ac:dyDescent="0.2">
      <c r="Z7971" t="str">
        <f t="shared" si="124"/>
        <v/>
      </c>
    </row>
    <row r="7972" spans="26:26" x14ac:dyDescent="0.2">
      <c r="Z7972" t="str">
        <f t="shared" si="124"/>
        <v/>
      </c>
    </row>
    <row r="7973" spans="26:26" x14ac:dyDescent="0.2">
      <c r="Z7973" t="str">
        <f t="shared" si="124"/>
        <v/>
      </c>
    </row>
    <row r="7974" spans="26:26" x14ac:dyDescent="0.2">
      <c r="Z7974" t="str">
        <f t="shared" si="124"/>
        <v/>
      </c>
    </row>
    <row r="7975" spans="26:26" x14ac:dyDescent="0.2">
      <c r="Z7975" t="str">
        <f t="shared" si="124"/>
        <v/>
      </c>
    </row>
    <row r="7976" spans="26:26" x14ac:dyDescent="0.2">
      <c r="Z7976" t="str">
        <f t="shared" si="124"/>
        <v/>
      </c>
    </row>
    <row r="7977" spans="26:26" x14ac:dyDescent="0.2">
      <c r="Z7977" t="str">
        <f t="shared" si="124"/>
        <v/>
      </c>
    </row>
    <row r="7978" spans="26:26" x14ac:dyDescent="0.2">
      <c r="Z7978" t="str">
        <f t="shared" si="124"/>
        <v/>
      </c>
    </row>
    <row r="7979" spans="26:26" x14ac:dyDescent="0.2">
      <c r="Z7979" t="str">
        <f t="shared" si="124"/>
        <v/>
      </c>
    </row>
    <row r="7980" spans="26:26" x14ac:dyDescent="0.2">
      <c r="Z7980" t="str">
        <f t="shared" si="124"/>
        <v/>
      </c>
    </row>
    <row r="7981" spans="26:26" x14ac:dyDescent="0.2">
      <c r="Z7981" t="str">
        <f t="shared" si="124"/>
        <v/>
      </c>
    </row>
    <row r="7982" spans="26:26" x14ac:dyDescent="0.2">
      <c r="Z7982" t="str">
        <f t="shared" si="124"/>
        <v/>
      </c>
    </row>
    <row r="7983" spans="26:26" x14ac:dyDescent="0.2">
      <c r="Z7983" t="str">
        <f t="shared" si="124"/>
        <v/>
      </c>
    </row>
    <row r="7984" spans="26:26" x14ac:dyDescent="0.2">
      <c r="Z7984" t="str">
        <f t="shared" si="124"/>
        <v/>
      </c>
    </row>
    <row r="7985" spans="26:26" x14ac:dyDescent="0.2">
      <c r="Z7985" t="str">
        <f t="shared" si="124"/>
        <v/>
      </c>
    </row>
    <row r="7986" spans="26:26" x14ac:dyDescent="0.2">
      <c r="Z7986" t="str">
        <f t="shared" si="124"/>
        <v/>
      </c>
    </row>
    <row r="7987" spans="26:26" x14ac:dyDescent="0.2">
      <c r="Z7987" t="str">
        <f t="shared" si="124"/>
        <v/>
      </c>
    </row>
    <row r="7988" spans="26:26" x14ac:dyDescent="0.2">
      <c r="Z7988" t="str">
        <f t="shared" si="124"/>
        <v/>
      </c>
    </row>
    <row r="7989" spans="26:26" x14ac:dyDescent="0.2">
      <c r="Z7989" t="str">
        <f t="shared" si="124"/>
        <v/>
      </c>
    </row>
    <row r="7990" spans="26:26" x14ac:dyDescent="0.2">
      <c r="Z7990" t="str">
        <f t="shared" si="124"/>
        <v/>
      </c>
    </row>
    <row r="7991" spans="26:26" x14ac:dyDescent="0.2">
      <c r="Z7991" t="str">
        <f t="shared" si="124"/>
        <v/>
      </c>
    </row>
    <row r="7992" spans="26:26" x14ac:dyDescent="0.2">
      <c r="Z7992" t="str">
        <f t="shared" si="124"/>
        <v/>
      </c>
    </row>
    <row r="7993" spans="26:26" x14ac:dyDescent="0.2">
      <c r="Z7993" t="str">
        <f t="shared" si="124"/>
        <v/>
      </c>
    </row>
    <row r="7994" spans="26:26" x14ac:dyDescent="0.2">
      <c r="Z7994" t="str">
        <f t="shared" si="124"/>
        <v/>
      </c>
    </row>
    <row r="7995" spans="26:26" x14ac:dyDescent="0.2">
      <c r="Z7995" t="str">
        <f t="shared" si="124"/>
        <v/>
      </c>
    </row>
    <row r="7996" spans="26:26" x14ac:dyDescent="0.2">
      <c r="Z7996" t="str">
        <f t="shared" si="124"/>
        <v/>
      </c>
    </row>
    <row r="7997" spans="26:26" x14ac:dyDescent="0.2">
      <c r="Z7997" t="str">
        <f t="shared" si="124"/>
        <v/>
      </c>
    </row>
    <row r="7998" spans="26:26" x14ac:dyDescent="0.2">
      <c r="Z7998" t="str">
        <f t="shared" si="124"/>
        <v/>
      </c>
    </row>
    <row r="7999" spans="26:26" x14ac:dyDescent="0.2">
      <c r="Z7999" t="str">
        <f t="shared" si="124"/>
        <v/>
      </c>
    </row>
    <row r="8000" spans="26:26" x14ac:dyDescent="0.2">
      <c r="Z8000" t="str">
        <f t="shared" si="124"/>
        <v/>
      </c>
    </row>
    <row r="8001" spans="26:26" x14ac:dyDescent="0.2">
      <c r="Z8001" t="str">
        <f t="shared" si="124"/>
        <v/>
      </c>
    </row>
    <row r="8002" spans="26:26" x14ac:dyDescent="0.2">
      <c r="Z8002" t="str">
        <f t="shared" si="124"/>
        <v/>
      </c>
    </row>
    <row r="8003" spans="26:26" x14ac:dyDescent="0.2">
      <c r="Z8003" t="str">
        <f t="shared" ref="Z8003:Z8066" si="125">IF(K8003="","",IFERROR(VALUE(TRIM(MID(K8003,FIND(CHAR(167),SUBSTITUTE(K8003,"-",CHAR(167),LEN(K8003)-LEN(SUBSTITUTE(K8003,"-",""))))+1,100))),K8003))</f>
        <v/>
      </c>
    </row>
    <row r="8004" spans="26:26" x14ac:dyDescent="0.2">
      <c r="Z8004" t="str">
        <f t="shared" si="125"/>
        <v/>
      </c>
    </row>
    <row r="8005" spans="26:26" x14ac:dyDescent="0.2">
      <c r="Z8005" t="str">
        <f t="shared" si="125"/>
        <v/>
      </c>
    </row>
    <row r="8006" spans="26:26" x14ac:dyDescent="0.2">
      <c r="Z8006" t="str">
        <f t="shared" si="125"/>
        <v/>
      </c>
    </row>
    <row r="8007" spans="26:26" x14ac:dyDescent="0.2">
      <c r="Z8007" t="str">
        <f t="shared" si="125"/>
        <v/>
      </c>
    </row>
    <row r="8008" spans="26:26" x14ac:dyDescent="0.2">
      <c r="Z8008" t="str">
        <f t="shared" si="125"/>
        <v/>
      </c>
    </row>
    <row r="8009" spans="26:26" x14ac:dyDescent="0.2">
      <c r="Z8009" t="str">
        <f t="shared" si="125"/>
        <v/>
      </c>
    </row>
    <row r="8010" spans="26:26" x14ac:dyDescent="0.2">
      <c r="Z8010" t="str">
        <f t="shared" si="125"/>
        <v/>
      </c>
    </row>
    <row r="8011" spans="26:26" x14ac:dyDescent="0.2">
      <c r="Z8011" t="str">
        <f t="shared" si="125"/>
        <v/>
      </c>
    </row>
    <row r="8012" spans="26:26" x14ac:dyDescent="0.2">
      <c r="Z8012" t="str">
        <f t="shared" si="125"/>
        <v/>
      </c>
    </row>
    <row r="8013" spans="26:26" x14ac:dyDescent="0.2">
      <c r="Z8013" t="str">
        <f t="shared" si="125"/>
        <v/>
      </c>
    </row>
    <row r="8014" spans="26:26" x14ac:dyDescent="0.2">
      <c r="Z8014" t="str">
        <f t="shared" si="125"/>
        <v/>
      </c>
    </row>
    <row r="8015" spans="26:26" x14ac:dyDescent="0.2">
      <c r="Z8015" t="str">
        <f t="shared" si="125"/>
        <v/>
      </c>
    </row>
    <row r="8016" spans="26:26" x14ac:dyDescent="0.2">
      <c r="Z8016" t="str">
        <f t="shared" si="125"/>
        <v/>
      </c>
    </row>
    <row r="8017" spans="26:26" x14ac:dyDescent="0.2">
      <c r="Z8017" t="str">
        <f t="shared" si="125"/>
        <v/>
      </c>
    </row>
    <row r="8018" spans="26:26" x14ac:dyDescent="0.2">
      <c r="Z8018" t="str">
        <f t="shared" si="125"/>
        <v/>
      </c>
    </row>
    <row r="8019" spans="26:26" x14ac:dyDescent="0.2">
      <c r="Z8019" t="str">
        <f t="shared" si="125"/>
        <v/>
      </c>
    </row>
    <row r="8020" spans="26:26" x14ac:dyDescent="0.2">
      <c r="Z8020" t="str">
        <f t="shared" si="125"/>
        <v/>
      </c>
    </row>
    <row r="8021" spans="26:26" x14ac:dyDescent="0.2">
      <c r="Z8021" t="str">
        <f t="shared" si="125"/>
        <v/>
      </c>
    </row>
    <row r="8022" spans="26:26" x14ac:dyDescent="0.2">
      <c r="Z8022" t="str">
        <f t="shared" si="125"/>
        <v/>
      </c>
    </row>
    <row r="8023" spans="26:26" x14ac:dyDescent="0.2">
      <c r="Z8023" t="str">
        <f t="shared" si="125"/>
        <v/>
      </c>
    </row>
    <row r="8024" spans="26:26" x14ac:dyDescent="0.2">
      <c r="Z8024" t="str">
        <f t="shared" si="125"/>
        <v/>
      </c>
    </row>
    <row r="8025" spans="26:26" x14ac:dyDescent="0.2">
      <c r="Z8025" t="str">
        <f t="shared" si="125"/>
        <v/>
      </c>
    </row>
    <row r="8026" spans="26:26" x14ac:dyDescent="0.2">
      <c r="Z8026" t="str">
        <f t="shared" si="125"/>
        <v/>
      </c>
    </row>
    <row r="8027" spans="26:26" x14ac:dyDescent="0.2">
      <c r="Z8027" t="str">
        <f t="shared" si="125"/>
        <v/>
      </c>
    </row>
    <row r="8028" spans="26:26" x14ac:dyDescent="0.2">
      <c r="Z8028" t="str">
        <f t="shared" si="125"/>
        <v/>
      </c>
    </row>
    <row r="8029" spans="26:26" x14ac:dyDescent="0.2">
      <c r="Z8029" t="str">
        <f t="shared" si="125"/>
        <v/>
      </c>
    </row>
    <row r="8030" spans="26:26" x14ac:dyDescent="0.2">
      <c r="Z8030" t="str">
        <f t="shared" si="125"/>
        <v/>
      </c>
    </row>
    <row r="8031" spans="26:26" x14ac:dyDescent="0.2">
      <c r="Z8031" t="str">
        <f t="shared" si="125"/>
        <v/>
      </c>
    </row>
    <row r="8032" spans="26:26" x14ac:dyDescent="0.2">
      <c r="Z8032" t="str">
        <f t="shared" si="125"/>
        <v/>
      </c>
    </row>
    <row r="8033" spans="26:26" x14ac:dyDescent="0.2">
      <c r="Z8033" t="str">
        <f t="shared" si="125"/>
        <v/>
      </c>
    </row>
    <row r="8034" spans="26:26" x14ac:dyDescent="0.2">
      <c r="Z8034" t="str">
        <f t="shared" si="125"/>
        <v/>
      </c>
    </row>
    <row r="8035" spans="26:26" x14ac:dyDescent="0.2">
      <c r="Z8035" t="str">
        <f t="shared" si="125"/>
        <v/>
      </c>
    </row>
    <row r="8036" spans="26:26" x14ac:dyDescent="0.2">
      <c r="Z8036" t="str">
        <f t="shared" si="125"/>
        <v/>
      </c>
    </row>
    <row r="8037" spans="26:26" x14ac:dyDescent="0.2">
      <c r="Z8037" t="str">
        <f t="shared" si="125"/>
        <v/>
      </c>
    </row>
    <row r="8038" spans="26:26" x14ac:dyDescent="0.2">
      <c r="Z8038" t="str">
        <f t="shared" si="125"/>
        <v/>
      </c>
    </row>
    <row r="8039" spans="26:26" x14ac:dyDescent="0.2">
      <c r="Z8039" t="str">
        <f t="shared" si="125"/>
        <v/>
      </c>
    </row>
    <row r="8040" spans="26:26" x14ac:dyDescent="0.2">
      <c r="Z8040" t="str">
        <f t="shared" si="125"/>
        <v/>
      </c>
    </row>
    <row r="8041" spans="26:26" x14ac:dyDescent="0.2">
      <c r="Z8041" t="str">
        <f t="shared" si="125"/>
        <v/>
      </c>
    </row>
    <row r="8042" spans="26:26" x14ac:dyDescent="0.2">
      <c r="Z8042" t="str">
        <f t="shared" si="125"/>
        <v/>
      </c>
    </row>
    <row r="8043" spans="26:26" x14ac:dyDescent="0.2">
      <c r="Z8043" t="str">
        <f t="shared" si="125"/>
        <v/>
      </c>
    </row>
    <row r="8044" spans="26:26" x14ac:dyDescent="0.2">
      <c r="Z8044" t="str">
        <f t="shared" si="125"/>
        <v/>
      </c>
    </row>
    <row r="8045" spans="26:26" x14ac:dyDescent="0.2">
      <c r="Z8045" t="str">
        <f t="shared" si="125"/>
        <v/>
      </c>
    </row>
    <row r="8046" spans="26:26" x14ac:dyDescent="0.2">
      <c r="Z8046" t="str">
        <f t="shared" si="125"/>
        <v/>
      </c>
    </row>
    <row r="8047" spans="26:26" x14ac:dyDescent="0.2">
      <c r="Z8047" t="str">
        <f t="shared" si="125"/>
        <v/>
      </c>
    </row>
    <row r="8048" spans="26:26" x14ac:dyDescent="0.2">
      <c r="Z8048" t="str">
        <f t="shared" si="125"/>
        <v/>
      </c>
    </row>
    <row r="8049" spans="26:26" x14ac:dyDescent="0.2">
      <c r="Z8049" t="str">
        <f t="shared" si="125"/>
        <v/>
      </c>
    </row>
    <row r="8050" spans="26:26" x14ac:dyDescent="0.2">
      <c r="Z8050" t="str">
        <f t="shared" si="125"/>
        <v/>
      </c>
    </row>
    <row r="8051" spans="26:26" x14ac:dyDescent="0.2">
      <c r="Z8051" t="str">
        <f t="shared" si="125"/>
        <v/>
      </c>
    </row>
    <row r="8052" spans="26:26" x14ac:dyDescent="0.2">
      <c r="Z8052" t="str">
        <f t="shared" si="125"/>
        <v/>
      </c>
    </row>
    <row r="8053" spans="26:26" x14ac:dyDescent="0.2">
      <c r="Z8053" t="str">
        <f t="shared" si="125"/>
        <v/>
      </c>
    </row>
    <row r="8054" spans="26:26" x14ac:dyDescent="0.2">
      <c r="Z8054" t="str">
        <f t="shared" si="125"/>
        <v/>
      </c>
    </row>
    <row r="8055" spans="26:26" x14ac:dyDescent="0.2">
      <c r="Z8055" t="str">
        <f t="shared" si="125"/>
        <v/>
      </c>
    </row>
    <row r="8056" spans="26:26" x14ac:dyDescent="0.2">
      <c r="Z8056" t="str">
        <f t="shared" si="125"/>
        <v/>
      </c>
    </row>
    <row r="8057" spans="26:26" x14ac:dyDescent="0.2">
      <c r="Z8057" t="str">
        <f t="shared" si="125"/>
        <v/>
      </c>
    </row>
    <row r="8058" spans="26:26" x14ac:dyDescent="0.2">
      <c r="Z8058" t="str">
        <f t="shared" si="125"/>
        <v/>
      </c>
    </row>
    <row r="8059" spans="26:26" x14ac:dyDescent="0.2">
      <c r="Z8059" t="str">
        <f t="shared" si="125"/>
        <v/>
      </c>
    </row>
    <row r="8060" spans="26:26" x14ac:dyDescent="0.2">
      <c r="Z8060" t="str">
        <f t="shared" si="125"/>
        <v/>
      </c>
    </row>
    <row r="8061" spans="26:26" x14ac:dyDescent="0.2">
      <c r="Z8061" t="str">
        <f t="shared" si="125"/>
        <v/>
      </c>
    </row>
    <row r="8062" spans="26:26" x14ac:dyDescent="0.2">
      <c r="Z8062" t="str">
        <f t="shared" si="125"/>
        <v/>
      </c>
    </row>
    <row r="8063" spans="26:26" x14ac:dyDescent="0.2">
      <c r="Z8063" t="str">
        <f t="shared" si="125"/>
        <v/>
      </c>
    </row>
    <row r="8064" spans="26:26" x14ac:dyDescent="0.2">
      <c r="Z8064" t="str">
        <f t="shared" si="125"/>
        <v/>
      </c>
    </row>
    <row r="8065" spans="26:26" x14ac:dyDescent="0.2">
      <c r="Z8065" t="str">
        <f t="shared" si="125"/>
        <v/>
      </c>
    </row>
    <row r="8066" spans="26:26" x14ac:dyDescent="0.2">
      <c r="Z8066" t="str">
        <f t="shared" si="125"/>
        <v/>
      </c>
    </row>
    <row r="8067" spans="26:26" x14ac:dyDescent="0.2">
      <c r="Z8067" t="str">
        <f t="shared" ref="Z8067:Z8130" si="126">IF(K8067="","",IFERROR(VALUE(TRIM(MID(K8067,FIND(CHAR(167),SUBSTITUTE(K8067,"-",CHAR(167),LEN(K8067)-LEN(SUBSTITUTE(K8067,"-",""))))+1,100))),K8067))</f>
        <v/>
      </c>
    </row>
    <row r="8068" spans="26:26" x14ac:dyDescent="0.2">
      <c r="Z8068" t="str">
        <f t="shared" si="126"/>
        <v/>
      </c>
    </row>
    <row r="8069" spans="26:26" x14ac:dyDescent="0.2">
      <c r="Z8069" t="str">
        <f t="shared" si="126"/>
        <v/>
      </c>
    </row>
    <row r="8070" spans="26:26" x14ac:dyDescent="0.2">
      <c r="Z8070" t="str">
        <f t="shared" si="126"/>
        <v/>
      </c>
    </row>
    <row r="8071" spans="26:26" x14ac:dyDescent="0.2">
      <c r="Z8071" t="str">
        <f t="shared" si="126"/>
        <v/>
      </c>
    </row>
    <row r="8072" spans="26:26" x14ac:dyDescent="0.2">
      <c r="Z8072" t="str">
        <f t="shared" si="126"/>
        <v/>
      </c>
    </row>
    <row r="8073" spans="26:26" x14ac:dyDescent="0.2">
      <c r="Z8073" t="str">
        <f t="shared" si="126"/>
        <v/>
      </c>
    </row>
    <row r="8074" spans="26:26" x14ac:dyDescent="0.2">
      <c r="Z8074" t="str">
        <f t="shared" si="126"/>
        <v/>
      </c>
    </row>
    <row r="8075" spans="26:26" x14ac:dyDescent="0.2">
      <c r="Z8075" t="str">
        <f t="shared" si="126"/>
        <v/>
      </c>
    </row>
    <row r="8076" spans="26:26" x14ac:dyDescent="0.2">
      <c r="Z8076" t="str">
        <f t="shared" si="126"/>
        <v/>
      </c>
    </row>
    <row r="8077" spans="26:26" x14ac:dyDescent="0.2">
      <c r="Z8077" t="str">
        <f t="shared" si="126"/>
        <v/>
      </c>
    </row>
    <row r="8078" spans="26:26" x14ac:dyDescent="0.2">
      <c r="Z8078" t="str">
        <f t="shared" si="126"/>
        <v/>
      </c>
    </row>
    <row r="8079" spans="26:26" x14ac:dyDescent="0.2">
      <c r="Z8079" t="str">
        <f t="shared" si="126"/>
        <v/>
      </c>
    </row>
    <row r="8080" spans="26:26" x14ac:dyDescent="0.2">
      <c r="Z8080" t="str">
        <f t="shared" si="126"/>
        <v/>
      </c>
    </row>
    <row r="8081" spans="26:26" x14ac:dyDescent="0.2">
      <c r="Z8081" t="str">
        <f t="shared" si="126"/>
        <v/>
      </c>
    </row>
    <row r="8082" spans="26:26" x14ac:dyDescent="0.2">
      <c r="Z8082" t="str">
        <f t="shared" si="126"/>
        <v/>
      </c>
    </row>
    <row r="8083" spans="26:26" x14ac:dyDescent="0.2">
      <c r="Z8083" t="str">
        <f t="shared" si="126"/>
        <v/>
      </c>
    </row>
    <row r="8084" spans="26:26" x14ac:dyDescent="0.2">
      <c r="Z8084" t="str">
        <f t="shared" si="126"/>
        <v/>
      </c>
    </row>
    <row r="8085" spans="26:26" x14ac:dyDescent="0.2">
      <c r="Z8085" t="str">
        <f t="shared" si="126"/>
        <v/>
      </c>
    </row>
    <row r="8086" spans="26:26" x14ac:dyDescent="0.2">
      <c r="Z8086" t="str">
        <f t="shared" si="126"/>
        <v/>
      </c>
    </row>
    <row r="8087" spans="26:26" x14ac:dyDescent="0.2">
      <c r="Z8087" t="str">
        <f t="shared" si="126"/>
        <v/>
      </c>
    </row>
    <row r="8088" spans="26:26" x14ac:dyDescent="0.2">
      <c r="Z8088" t="str">
        <f t="shared" si="126"/>
        <v/>
      </c>
    </row>
    <row r="8089" spans="26:26" x14ac:dyDescent="0.2">
      <c r="Z8089" t="str">
        <f t="shared" si="126"/>
        <v/>
      </c>
    </row>
    <row r="8090" spans="26:26" x14ac:dyDescent="0.2">
      <c r="Z8090" t="str">
        <f t="shared" si="126"/>
        <v/>
      </c>
    </row>
    <row r="8091" spans="26:26" x14ac:dyDescent="0.2">
      <c r="Z8091" t="str">
        <f t="shared" si="126"/>
        <v/>
      </c>
    </row>
    <row r="8092" spans="26:26" x14ac:dyDescent="0.2">
      <c r="Z8092" t="str">
        <f t="shared" si="126"/>
        <v/>
      </c>
    </row>
    <row r="8093" spans="26:26" x14ac:dyDescent="0.2">
      <c r="Z8093" t="str">
        <f t="shared" si="126"/>
        <v/>
      </c>
    </row>
    <row r="8094" spans="26:26" x14ac:dyDescent="0.2">
      <c r="Z8094" t="str">
        <f t="shared" si="126"/>
        <v/>
      </c>
    </row>
    <row r="8095" spans="26:26" x14ac:dyDescent="0.2">
      <c r="Z8095" t="str">
        <f t="shared" si="126"/>
        <v/>
      </c>
    </row>
    <row r="8096" spans="26:26" x14ac:dyDescent="0.2">
      <c r="Z8096" t="str">
        <f t="shared" si="126"/>
        <v/>
      </c>
    </row>
    <row r="8097" spans="26:26" x14ac:dyDescent="0.2">
      <c r="Z8097" t="str">
        <f t="shared" si="126"/>
        <v/>
      </c>
    </row>
    <row r="8098" spans="26:26" x14ac:dyDescent="0.2">
      <c r="Z8098" t="str">
        <f t="shared" si="126"/>
        <v/>
      </c>
    </row>
    <row r="8099" spans="26:26" x14ac:dyDescent="0.2">
      <c r="Z8099" t="str">
        <f t="shared" si="126"/>
        <v/>
      </c>
    </row>
    <row r="8100" spans="26:26" x14ac:dyDescent="0.2">
      <c r="Z8100" t="str">
        <f t="shared" si="126"/>
        <v/>
      </c>
    </row>
    <row r="8101" spans="26:26" x14ac:dyDescent="0.2">
      <c r="Z8101" t="str">
        <f t="shared" si="126"/>
        <v/>
      </c>
    </row>
    <row r="8102" spans="26:26" x14ac:dyDescent="0.2">
      <c r="Z8102" t="str">
        <f t="shared" si="126"/>
        <v/>
      </c>
    </row>
    <row r="8103" spans="26:26" x14ac:dyDescent="0.2">
      <c r="Z8103" t="str">
        <f t="shared" si="126"/>
        <v/>
      </c>
    </row>
    <row r="8104" spans="26:26" x14ac:dyDescent="0.2">
      <c r="Z8104" t="str">
        <f t="shared" si="126"/>
        <v/>
      </c>
    </row>
    <row r="8105" spans="26:26" x14ac:dyDescent="0.2">
      <c r="Z8105" t="str">
        <f t="shared" si="126"/>
        <v/>
      </c>
    </row>
    <row r="8106" spans="26:26" x14ac:dyDescent="0.2">
      <c r="Z8106" t="str">
        <f t="shared" si="126"/>
        <v/>
      </c>
    </row>
    <row r="8107" spans="26:26" x14ac:dyDescent="0.2">
      <c r="Z8107" t="str">
        <f t="shared" si="126"/>
        <v/>
      </c>
    </row>
    <row r="8108" spans="26:26" x14ac:dyDescent="0.2">
      <c r="Z8108" t="str">
        <f t="shared" si="126"/>
        <v/>
      </c>
    </row>
    <row r="8109" spans="26:26" x14ac:dyDescent="0.2">
      <c r="Z8109" t="str">
        <f t="shared" si="126"/>
        <v/>
      </c>
    </row>
    <row r="8110" spans="26:26" x14ac:dyDescent="0.2">
      <c r="Z8110" t="str">
        <f t="shared" si="126"/>
        <v/>
      </c>
    </row>
    <row r="8111" spans="26:26" x14ac:dyDescent="0.2">
      <c r="Z8111" t="str">
        <f t="shared" si="126"/>
        <v/>
      </c>
    </row>
    <row r="8112" spans="26:26" x14ac:dyDescent="0.2">
      <c r="Z8112" t="str">
        <f t="shared" si="126"/>
        <v/>
      </c>
    </row>
    <row r="8113" spans="26:26" x14ac:dyDescent="0.2">
      <c r="Z8113" t="str">
        <f t="shared" si="126"/>
        <v/>
      </c>
    </row>
    <row r="8114" spans="26:26" x14ac:dyDescent="0.2">
      <c r="Z8114" t="str">
        <f t="shared" si="126"/>
        <v/>
      </c>
    </row>
    <row r="8115" spans="26:26" x14ac:dyDescent="0.2">
      <c r="Z8115" t="str">
        <f t="shared" si="126"/>
        <v/>
      </c>
    </row>
    <row r="8116" spans="26:26" x14ac:dyDescent="0.2">
      <c r="Z8116" t="str">
        <f t="shared" si="126"/>
        <v/>
      </c>
    </row>
    <row r="8117" spans="26:26" x14ac:dyDescent="0.2">
      <c r="Z8117" t="str">
        <f t="shared" si="126"/>
        <v/>
      </c>
    </row>
    <row r="8118" spans="26:26" x14ac:dyDescent="0.2">
      <c r="Z8118" t="str">
        <f t="shared" si="126"/>
        <v/>
      </c>
    </row>
    <row r="8119" spans="26:26" x14ac:dyDescent="0.2">
      <c r="Z8119" t="str">
        <f t="shared" si="126"/>
        <v/>
      </c>
    </row>
    <row r="8120" spans="26:26" x14ac:dyDescent="0.2">
      <c r="Z8120" t="str">
        <f t="shared" si="126"/>
        <v/>
      </c>
    </row>
    <row r="8121" spans="26:26" x14ac:dyDescent="0.2">
      <c r="Z8121" t="str">
        <f t="shared" si="126"/>
        <v/>
      </c>
    </row>
    <row r="8122" spans="26:26" x14ac:dyDescent="0.2">
      <c r="Z8122" t="str">
        <f t="shared" si="126"/>
        <v/>
      </c>
    </row>
    <row r="8123" spans="26:26" x14ac:dyDescent="0.2">
      <c r="Z8123" t="str">
        <f t="shared" si="126"/>
        <v/>
      </c>
    </row>
    <row r="8124" spans="26:26" x14ac:dyDescent="0.2">
      <c r="Z8124" t="str">
        <f t="shared" si="126"/>
        <v/>
      </c>
    </row>
    <row r="8125" spans="26:26" x14ac:dyDescent="0.2">
      <c r="Z8125" t="str">
        <f t="shared" si="126"/>
        <v/>
      </c>
    </row>
    <row r="8126" spans="26:26" x14ac:dyDescent="0.2">
      <c r="Z8126" t="str">
        <f t="shared" si="126"/>
        <v/>
      </c>
    </row>
    <row r="8127" spans="26:26" x14ac:dyDescent="0.2">
      <c r="Z8127" t="str">
        <f t="shared" si="126"/>
        <v/>
      </c>
    </row>
    <row r="8128" spans="26:26" x14ac:dyDescent="0.2">
      <c r="Z8128" t="str">
        <f t="shared" si="126"/>
        <v/>
      </c>
    </row>
    <row r="8129" spans="26:26" x14ac:dyDescent="0.2">
      <c r="Z8129" t="str">
        <f t="shared" si="126"/>
        <v/>
      </c>
    </row>
    <row r="8130" spans="26:26" x14ac:dyDescent="0.2">
      <c r="Z8130" t="str">
        <f t="shared" si="126"/>
        <v/>
      </c>
    </row>
    <row r="8131" spans="26:26" x14ac:dyDescent="0.2">
      <c r="Z8131" t="str">
        <f t="shared" ref="Z8131:Z8194" si="127">IF(K8131="","",IFERROR(VALUE(TRIM(MID(K8131,FIND(CHAR(167),SUBSTITUTE(K8131,"-",CHAR(167),LEN(K8131)-LEN(SUBSTITUTE(K8131,"-",""))))+1,100))),K8131))</f>
        <v/>
      </c>
    </row>
    <row r="8132" spans="26:26" x14ac:dyDescent="0.2">
      <c r="Z8132" t="str">
        <f t="shared" si="127"/>
        <v/>
      </c>
    </row>
    <row r="8133" spans="26:26" x14ac:dyDescent="0.2">
      <c r="Z8133" t="str">
        <f t="shared" si="127"/>
        <v/>
      </c>
    </row>
    <row r="8134" spans="26:26" x14ac:dyDescent="0.2">
      <c r="Z8134" t="str">
        <f t="shared" si="127"/>
        <v/>
      </c>
    </row>
    <row r="8135" spans="26:26" x14ac:dyDescent="0.2">
      <c r="Z8135" t="str">
        <f t="shared" si="127"/>
        <v/>
      </c>
    </row>
    <row r="8136" spans="26:26" x14ac:dyDescent="0.2">
      <c r="Z8136" t="str">
        <f t="shared" si="127"/>
        <v/>
      </c>
    </row>
    <row r="8137" spans="26:26" x14ac:dyDescent="0.2">
      <c r="Z8137" t="str">
        <f t="shared" si="127"/>
        <v/>
      </c>
    </row>
    <row r="8138" spans="26:26" x14ac:dyDescent="0.2">
      <c r="Z8138" t="str">
        <f t="shared" si="127"/>
        <v/>
      </c>
    </row>
    <row r="8139" spans="26:26" x14ac:dyDescent="0.2">
      <c r="Z8139" t="str">
        <f t="shared" si="127"/>
        <v/>
      </c>
    </row>
    <row r="8140" spans="26:26" x14ac:dyDescent="0.2">
      <c r="Z8140" t="str">
        <f t="shared" si="127"/>
        <v/>
      </c>
    </row>
    <row r="8141" spans="26:26" x14ac:dyDescent="0.2">
      <c r="Z8141" t="str">
        <f t="shared" si="127"/>
        <v/>
      </c>
    </row>
    <row r="8142" spans="26:26" x14ac:dyDescent="0.2">
      <c r="Z8142" t="str">
        <f t="shared" si="127"/>
        <v/>
      </c>
    </row>
    <row r="8143" spans="26:26" x14ac:dyDescent="0.2">
      <c r="Z8143" t="str">
        <f t="shared" si="127"/>
        <v/>
      </c>
    </row>
    <row r="8144" spans="26:26" x14ac:dyDescent="0.2">
      <c r="Z8144" t="str">
        <f t="shared" si="127"/>
        <v/>
      </c>
    </row>
    <row r="8145" spans="26:26" x14ac:dyDescent="0.2">
      <c r="Z8145" t="str">
        <f t="shared" si="127"/>
        <v/>
      </c>
    </row>
    <row r="8146" spans="26:26" x14ac:dyDescent="0.2">
      <c r="Z8146" t="str">
        <f t="shared" si="127"/>
        <v/>
      </c>
    </row>
    <row r="8147" spans="26:26" x14ac:dyDescent="0.2">
      <c r="Z8147" t="str">
        <f t="shared" si="127"/>
        <v/>
      </c>
    </row>
    <row r="8148" spans="26:26" x14ac:dyDescent="0.2">
      <c r="Z8148" t="str">
        <f t="shared" si="127"/>
        <v/>
      </c>
    </row>
    <row r="8149" spans="26:26" x14ac:dyDescent="0.2">
      <c r="Z8149" t="str">
        <f t="shared" si="127"/>
        <v/>
      </c>
    </row>
    <row r="8150" spans="26:26" x14ac:dyDescent="0.2">
      <c r="Z8150" t="str">
        <f t="shared" si="127"/>
        <v/>
      </c>
    </row>
    <row r="8151" spans="26:26" x14ac:dyDescent="0.2">
      <c r="Z8151" t="str">
        <f t="shared" si="127"/>
        <v/>
      </c>
    </row>
    <row r="8152" spans="26:26" x14ac:dyDescent="0.2">
      <c r="Z8152" t="str">
        <f t="shared" si="127"/>
        <v/>
      </c>
    </row>
    <row r="8153" spans="26:26" x14ac:dyDescent="0.2">
      <c r="Z8153" t="str">
        <f t="shared" si="127"/>
        <v/>
      </c>
    </row>
    <row r="8154" spans="26:26" x14ac:dyDescent="0.2">
      <c r="Z8154" t="str">
        <f t="shared" si="127"/>
        <v/>
      </c>
    </row>
    <row r="8155" spans="26:26" x14ac:dyDescent="0.2">
      <c r="Z8155" t="str">
        <f t="shared" si="127"/>
        <v/>
      </c>
    </row>
    <row r="8156" spans="26:26" x14ac:dyDescent="0.2">
      <c r="Z8156" t="str">
        <f t="shared" si="127"/>
        <v/>
      </c>
    </row>
    <row r="8157" spans="26:26" x14ac:dyDescent="0.2">
      <c r="Z8157" t="str">
        <f t="shared" si="127"/>
        <v/>
      </c>
    </row>
    <row r="8158" spans="26:26" x14ac:dyDescent="0.2">
      <c r="Z8158" t="str">
        <f t="shared" si="127"/>
        <v/>
      </c>
    </row>
    <row r="8159" spans="26:26" x14ac:dyDescent="0.2">
      <c r="Z8159" t="str">
        <f t="shared" si="127"/>
        <v/>
      </c>
    </row>
    <row r="8160" spans="26:26" x14ac:dyDescent="0.2">
      <c r="Z8160" t="str">
        <f t="shared" si="127"/>
        <v/>
      </c>
    </row>
    <row r="8161" spans="26:26" x14ac:dyDescent="0.2">
      <c r="Z8161" t="str">
        <f t="shared" si="127"/>
        <v/>
      </c>
    </row>
    <row r="8162" spans="26:26" x14ac:dyDescent="0.2">
      <c r="Z8162" t="str">
        <f t="shared" si="127"/>
        <v/>
      </c>
    </row>
    <row r="8163" spans="26:26" x14ac:dyDescent="0.2">
      <c r="Z8163" t="str">
        <f t="shared" si="127"/>
        <v/>
      </c>
    </row>
    <row r="8164" spans="26:26" x14ac:dyDescent="0.2">
      <c r="Z8164" t="str">
        <f t="shared" si="127"/>
        <v/>
      </c>
    </row>
    <row r="8165" spans="26:26" x14ac:dyDescent="0.2">
      <c r="Z8165" t="str">
        <f t="shared" si="127"/>
        <v/>
      </c>
    </row>
    <row r="8166" spans="26:26" x14ac:dyDescent="0.2">
      <c r="Z8166" t="str">
        <f t="shared" si="127"/>
        <v/>
      </c>
    </row>
    <row r="8167" spans="26:26" x14ac:dyDescent="0.2">
      <c r="Z8167" t="str">
        <f t="shared" si="127"/>
        <v/>
      </c>
    </row>
    <row r="8168" spans="26:26" x14ac:dyDescent="0.2">
      <c r="Z8168" t="str">
        <f t="shared" si="127"/>
        <v/>
      </c>
    </row>
    <row r="8169" spans="26:26" x14ac:dyDescent="0.2">
      <c r="Z8169" t="str">
        <f t="shared" si="127"/>
        <v/>
      </c>
    </row>
    <row r="8170" spans="26:26" x14ac:dyDescent="0.2">
      <c r="Z8170" t="str">
        <f t="shared" si="127"/>
        <v/>
      </c>
    </row>
    <row r="8171" spans="26:26" x14ac:dyDescent="0.2">
      <c r="Z8171" t="str">
        <f t="shared" si="127"/>
        <v/>
      </c>
    </row>
    <row r="8172" spans="26:26" x14ac:dyDescent="0.2">
      <c r="Z8172" t="str">
        <f t="shared" si="127"/>
        <v/>
      </c>
    </row>
    <row r="8173" spans="26:26" x14ac:dyDescent="0.2">
      <c r="Z8173" t="str">
        <f t="shared" si="127"/>
        <v/>
      </c>
    </row>
    <row r="8174" spans="26:26" x14ac:dyDescent="0.2">
      <c r="Z8174" t="str">
        <f t="shared" si="127"/>
        <v/>
      </c>
    </row>
    <row r="8175" spans="26:26" x14ac:dyDescent="0.2">
      <c r="Z8175" t="str">
        <f t="shared" si="127"/>
        <v/>
      </c>
    </row>
    <row r="8176" spans="26:26" x14ac:dyDescent="0.2">
      <c r="Z8176" t="str">
        <f t="shared" si="127"/>
        <v/>
      </c>
    </row>
    <row r="8177" spans="26:26" x14ac:dyDescent="0.2">
      <c r="Z8177" t="str">
        <f t="shared" si="127"/>
        <v/>
      </c>
    </row>
    <row r="8178" spans="26:26" x14ac:dyDescent="0.2">
      <c r="Z8178" t="str">
        <f t="shared" si="127"/>
        <v/>
      </c>
    </row>
    <row r="8179" spans="26:26" x14ac:dyDescent="0.2">
      <c r="Z8179" t="str">
        <f t="shared" si="127"/>
        <v/>
      </c>
    </row>
    <row r="8180" spans="26:26" x14ac:dyDescent="0.2">
      <c r="Z8180" t="str">
        <f t="shared" si="127"/>
        <v/>
      </c>
    </row>
    <row r="8181" spans="26:26" x14ac:dyDescent="0.2">
      <c r="Z8181" t="str">
        <f t="shared" si="127"/>
        <v/>
      </c>
    </row>
    <row r="8182" spans="26:26" x14ac:dyDescent="0.2">
      <c r="Z8182" t="str">
        <f t="shared" si="127"/>
        <v/>
      </c>
    </row>
    <row r="8183" spans="26:26" x14ac:dyDescent="0.2">
      <c r="Z8183" t="str">
        <f t="shared" si="127"/>
        <v/>
      </c>
    </row>
    <row r="8184" spans="26:26" x14ac:dyDescent="0.2">
      <c r="Z8184" t="str">
        <f t="shared" si="127"/>
        <v/>
      </c>
    </row>
    <row r="8185" spans="26:26" x14ac:dyDescent="0.2">
      <c r="Z8185" t="str">
        <f t="shared" si="127"/>
        <v/>
      </c>
    </row>
    <row r="8186" spans="26:26" x14ac:dyDescent="0.2">
      <c r="Z8186" t="str">
        <f t="shared" si="127"/>
        <v/>
      </c>
    </row>
    <row r="8187" spans="26:26" x14ac:dyDescent="0.2">
      <c r="Z8187" t="str">
        <f t="shared" si="127"/>
        <v/>
      </c>
    </row>
    <row r="8188" spans="26:26" x14ac:dyDescent="0.2">
      <c r="Z8188" t="str">
        <f t="shared" si="127"/>
        <v/>
      </c>
    </row>
    <row r="8189" spans="26:26" x14ac:dyDescent="0.2">
      <c r="Z8189" t="str">
        <f t="shared" si="127"/>
        <v/>
      </c>
    </row>
    <row r="8190" spans="26:26" x14ac:dyDescent="0.2">
      <c r="Z8190" t="str">
        <f t="shared" si="127"/>
        <v/>
      </c>
    </row>
    <row r="8191" spans="26:26" x14ac:dyDescent="0.2">
      <c r="Z8191" t="str">
        <f t="shared" si="127"/>
        <v/>
      </c>
    </row>
    <row r="8192" spans="26:26" x14ac:dyDescent="0.2">
      <c r="Z8192" t="str">
        <f t="shared" si="127"/>
        <v/>
      </c>
    </row>
    <row r="8193" spans="26:26" x14ac:dyDescent="0.2">
      <c r="Z8193" t="str">
        <f t="shared" si="127"/>
        <v/>
      </c>
    </row>
    <row r="8194" spans="26:26" x14ac:dyDescent="0.2">
      <c r="Z8194" t="str">
        <f t="shared" si="127"/>
        <v/>
      </c>
    </row>
    <row r="8195" spans="26:26" x14ac:dyDescent="0.2">
      <c r="Z8195" t="str">
        <f t="shared" ref="Z8195:Z8258" si="128">IF(K8195="","",IFERROR(VALUE(TRIM(MID(K8195,FIND(CHAR(167),SUBSTITUTE(K8195,"-",CHAR(167),LEN(K8195)-LEN(SUBSTITUTE(K8195,"-",""))))+1,100))),K8195))</f>
        <v/>
      </c>
    </row>
    <row r="8196" spans="26:26" x14ac:dyDescent="0.2">
      <c r="Z8196" t="str">
        <f t="shared" si="128"/>
        <v/>
      </c>
    </row>
    <row r="8197" spans="26:26" x14ac:dyDescent="0.2">
      <c r="Z8197" t="str">
        <f t="shared" si="128"/>
        <v/>
      </c>
    </row>
    <row r="8198" spans="26:26" x14ac:dyDescent="0.2">
      <c r="Z8198" t="str">
        <f t="shared" si="128"/>
        <v/>
      </c>
    </row>
    <row r="8199" spans="26:26" x14ac:dyDescent="0.2">
      <c r="Z8199" t="str">
        <f t="shared" si="128"/>
        <v/>
      </c>
    </row>
    <row r="8200" spans="26:26" x14ac:dyDescent="0.2">
      <c r="Z8200" t="str">
        <f t="shared" si="128"/>
        <v/>
      </c>
    </row>
    <row r="8201" spans="26:26" x14ac:dyDescent="0.2">
      <c r="Z8201" t="str">
        <f t="shared" si="128"/>
        <v/>
      </c>
    </row>
    <row r="8202" spans="26:26" x14ac:dyDescent="0.2">
      <c r="Z8202" t="str">
        <f t="shared" si="128"/>
        <v/>
      </c>
    </row>
    <row r="8203" spans="26:26" x14ac:dyDescent="0.2">
      <c r="Z8203" t="str">
        <f t="shared" si="128"/>
        <v/>
      </c>
    </row>
    <row r="8204" spans="26:26" x14ac:dyDescent="0.2">
      <c r="Z8204" t="str">
        <f t="shared" si="128"/>
        <v/>
      </c>
    </row>
    <row r="8205" spans="26:26" x14ac:dyDescent="0.2">
      <c r="Z8205" t="str">
        <f t="shared" si="128"/>
        <v/>
      </c>
    </row>
    <row r="8206" spans="26:26" x14ac:dyDescent="0.2">
      <c r="Z8206" t="str">
        <f t="shared" si="128"/>
        <v/>
      </c>
    </row>
    <row r="8207" spans="26:26" x14ac:dyDescent="0.2">
      <c r="Z8207" t="str">
        <f t="shared" si="128"/>
        <v/>
      </c>
    </row>
    <row r="8208" spans="26:26" x14ac:dyDescent="0.2">
      <c r="Z8208" t="str">
        <f t="shared" si="128"/>
        <v/>
      </c>
    </row>
    <row r="8209" spans="26:26" x14ac:dyDescent="0.2">
      <c r="Z8209" t="str">
        <f t="shared" si="128"/>
        <v/>
      </c>
    </row>
    <row r="8210" spans="26:26" x14ac:dyDescent="0.2">
      <c r="Z8210" t="str">
        <f t="shared" si="128"/>
        <v/>
      </c>
    </row>
    <row r="8211" spans="26:26" x14ac:dyDescent="0.2">
      <c r="Z8211" t="str">
        <f t="shared" si="128"/>
        <v/>
      </c>
    </row>
    <row r="8212" spans="26:26" x14ac:dyDescent="0.2">
      <c r="Z8212" t="str">
        <f t="shared" si="128"/>
        <v/>
      </c>
    </row>
    <row r="8213" spans="26:26" x14ac:dyDescent="0.2">
      <c r="Z8213" t="str">
        <f t="shared" si="128"/>
        <v/>
      </c>
    </row>
    <row r="8214" spans="26:26" x14ac:dyDescent="0.2">
      <c r="Z8214" t="str">
        <f t="shared" si="128"/>
        <v/>
      </c>
    </row>
    <row r="8215" spans="26:26" x14ac:dyDescent="0.2">
      <c r="Z8215" t="str">
        <f t="shared" si="128"/>
        <v/>
      </c>
    </row>
    <row r="8216" spans="26:26" x14ac:dyDescent="0.2">
      <c r="Z8216" t="str">
        <f t="shared" si="128"/>
        <v/>
      </c>
    </row>
    <row r="8217" spans="26:26" x14ac:dyDescent="0.2">
      <c r="Z8217" t="str">
        <f t="shared" si="128"/>
        <v/>
      </c>
    </row>
    <row r="8218" spans="26:26" x14ac:dyDescent="0.2">
      <c r="Z8218" t="str">
        <f t="shared" si="128"/>
        <v/>
      </c>
    </row>
    <row r="8219" spans="26:26" x14ac:dyDescent="0.2">
      <c r="Z8219" t="str">
        <f t="shared" si="128"/>
        <v/>
      </c>
    </row>
    <row r="8220" spans="26:26" x14ac:dyDescent="0.2">
      <c r="Z8220" t="str">
        <f t="shared" si="128"/>
        <v/>
      </c>
    </row>
    <row r="8221" spans="26:26" x14ac:dyDescent="0.2">
      <c r="Z8221" t="str">
        <f t="shared" si="128"/>
        <v/>
      </c>
    </row>
    <row r="8222" spans="26:26" x14ac:dyDescent="0.2">
      <c r="Z8222" t="str">
        <f t="shared" si="128"/>
        <v/>
      </c>
    </row>
    <row r="8223" spans="26:26" x14ac:dyDescent="0.2">
      <c r="Z8223" t="str">
        <f t="shared" si="128"/>
        <v/>
      </c>
    </row>
    <row r="8224" spans="26:26" x14ac:dyDescent="0.2">
      <c r="Z8224" t="str">
        <f t="shared" si="128"/>
        <v/>
      </c>
    </row>
    <row r="8225" spans="26:26" x14ac:dyDescent="0.2">
      <c r="Z8225" t="str">
        <f t="shared" si="128"/>
        <v/>
      </c>
    </row>
    <row r="8226" spans="26:26" x14ac:dyDescent="0.2">
      <c r="Z8226" t="str">
        <f t="shared" si="128"/>
        <v/>
      </c>
    </row>
    <row r="8227" spans="26:26" x14ac:dyDescent="0.2">
      <c r="Z8227" t="str">
        <f t="shared" si="128"/>
        <v/>
      </c>
    </row>
    <row r="8228" spans="26:26" x14ac:dyDescent="0.2">
      <c r="Z8228" t="str">
        <f t="shared" si="128"/>
        <v/>
      </c>
    </row>
    <row r="8229" spans="26:26" x14ac:dyDescent="0.2">
      <c r="Z8229" t="str">
        <f t="shared" si="128"/>
        <v/>
      </c>
    </row>
    <row r="8230" spans="26:26" x14ac:dyDescent="0.2">
      <c r="Z8230" t="str">
        <f t="shared" si="128"/>
        <v/>
      </c>
    </row>
    <row r="8231" spans="26:26" x14ac:dyDescent="0.2">
      <c r="Z8231" t="str">
        <f t="shared" si="128"/>
        <v/>
      </c>
    </row>
    <row r="8232" spans="26:26" x14ac:dyDescent="0.2">
      <c r="Z8232" t="str">
        <f t="shared" si="128"/>
        <v/>
      </c>
    </row>
    <row r="8233" spans="26:26" x14ac:dyDescent="0.2">
      <c r="Z8233" t="str">
        <f t="shared" si="128"/>
        <v/>
      </c>
    </row>
    <row r="8234" spans="26:26" x14ac:dyDescent="0.2">
      <c r="Z8234" t="str">
        <f t="shared" si="128"/>
        <v/>
      </c>
    </row>
    <row r="8235" spans="26:26" x14ac:dyDescent="0.2">
      <c r="Z8235" t="str">
        <f t="shared" si="128"/>
        <v/>
      </c>
    </row>
    <row r="8236" spans="26:26" x14ac:dyDescent="0.2">
      <c r="Z8236" t="str">
        <f t="shared" si="128"/>
        <v/>
      </c>
    </row>
    <row r="8237" spans="26:26" x14ac:dyDescent="0.2">
      <c r="Z8237" t="str">
        <f t="shared" si="128"/>
        <v/>
      </c>
    </row>
    <row r="8238" spans="26:26" x14ac:dyDescent="0.2">
      <c r="Z8238" t="str">
        <f t="shared" si="128"/>
        <v/>
      </c>
    </row>
    <row r="8239" spans="26:26" x14ac:dyDescent="0.2">
      <c r="Z8239" t="str">
        <f t="shared" si="128"/>
        <v/>
      </c>
    </row>
    <row r="8240" spans="26:26" x14ac:dyDescent="0.2">
      <c r="Z8240" t="str">
        <f t="shared" si="128"/>
        <v/>
      </c>
    </row>
    <row r="8241" spans="26:26" x14ac:dyDescent="0.2">
      <c r="Z8241" t="str">
        <f t="shared" si="128"/>
        <v/>
      </c>
    </row>
    <row r="8242" spans="26:26" x14ac:dyDescent="0.2">
      <c r="Z8242" t="str">
        <f t="shared" si="128"/>
        <v/>
      </c>
    </row>
    <row r="8243" spans="26:26" x14ac:dyDescent="0.2">
      <c r="Z8243" t="str">
        <f t="shared" si="128"/>
        <v/>
      </c>
    </row>
    <row r="8244" spans="26:26" x14ac:dyDescent="0.2">
      <c r="Z8244" t="str">
        <f t="shared" si="128"/>
        <v/>
      </c>
    </row>
    <row r="8245" spans="26:26" x14ac:dyDescent="0.2">
      <c r="Z8245" t="str">
        <f t="shared" si="128"/>
        <v/>
      </c>
    </row>
    <row r="8246" spans="26:26" x14ac:dyDescent="0.2">
      <c r="Z8246" t="str">
        <f t="shared" si="128"/>
        <v/>
      </c>
    </row>
    <row r="8247" spans="26:26" x14ac:dyDescent="0.2">
      <c r="Z8247" t="str">
        <f t="shared" si="128"/>
        <v/>
      </c>
    </row>
    <row r="8248" spans="26:26" x14ac:dyDescent="0.2">
      <c r="Z8248" t="str">
        <f t="shared" si="128"/>
        <v/>
      </c>
    </row>
    <row r="8249" spans="26:26" x14ac:dyDescent="0.2">
      <c r="Z8249" t="str">
        <f t="shared" si="128"/>
        <v/>
      </c>
    </row>
    <row r="8250" spans="26:26" x14ac:dyDescent="0.2">
      <c r="Z8250" t="str">
        <f t="shared" si="128"/>
        <v/>
      </c>
    </row>
    <row r="8251" spans="26:26" x14ac:dyDescent="0.2">
      <c r="Z8251" t="str">
        <f t="shared" si="128"/>
        <v/>
      </c>
    </row>
    <row r="8252" spans="26:26" x14ac:dyDescent="0.2">
      <c r="Z8252" t="str">
        <f t="shared" si="128"/>
        <v/>
      </c>
    </row>
    <row r="8253" spans="26:26" x14ac:dyDescent="0.2">
      <c r="Z8253" t="str">
        <f t="shared" si="128"/>
        <v/>
      </c>
    </row>
    <row r="8254" spans="26:26" x14ac:dyDescent="0.2">
      <c r="Z8254" t="str">
        <f t="shared" si="128"/>
        <v/>
      </c>
    </row>
    <row r="8255" spans="26:26" x14ac:dyDescent="0.2">
      <c r="Z8255" t="str">
        <f t="shared" si="128"/>
        <v/>
      </c>
    </row>
    <row r="8256" spans="26:26" x14ac:dyDescent="0.2">
      <c r="Z8256" t="str">
        <f t="shared" si="128"/>
        <v/>
      </c>
    </row>
    <row r="8257" spans="26:26" x14ac:dyDescent="0.2">
      <c r="Z8257" t="str">
        <f t="shared" si="128"/>
        <v/>
      </c>
    </row>
    <row r="8258" spans="26:26" x14ac:dyDescent="0.2">
      <c r="Z8258" t="str">
        <f t="shared" si="128"/>
        <v/>
      </c>
    </row>
    <row r="8259" spans="26:26" x14ac:dyDescent="0.2">
      <c r="Z8259" t="str">
        <f t="shared" ref="Z8259:Z8322" si="129">IF(K8259="","",IFERROR(VALUE(TRIM(MID(K8259,FIND(CHAR(167),SUBSTITUTE(K8259,"-",CHAR(167),LEN(K8259)-LEN(SUBSTITUTE(K8259,"-",""))))+1,100))),K8259))</f>
        <v/>
      </c>
    </row>
    <row r="8260" spans="26:26" x14ac:dyDescent="0.2">
      <c r="Z8260" t="str">
        <f t="shared" si="129"/>
        <v/>
      </c>
    </row>
    <row r="8261" spans="26:26" x14ac:dyDescent="0.2">
      <c r="Z8261" t="str">
        <f t="shared" si="129"/>
        <v/>
      </c>
    </row>
    <row r="8262" spans="26:26" x14ac:dyDescent="0.2">
      <c r="Z8262" t="str">
        <f t="shared" si="129"/>
        <v/>
      </c>
    </row>
    <row r="8263" spans="26:26" x14ac:dyDescent="0.2">
      <c r="Z8263" t="str">
        <f t="shared" si="129"/>
        <v/>
      </c>
    </row>
    <row r="8264" spans="26:26" x14ac:dyDescent="0.2">
      <c r="Z8264" t="str">
        <f t="shared" si="129"/>
        <v/>
      </c>
    </row>
    <row r="8265" spans="26:26" x14ac:dyDescent="0.2">
      <c r="Z8265" t="str">
        <f t="shared" si="129"/>
        <v/>
      </c>
    </row>
    <row r="8266" spans="26:26" x14ac:dyDescent="0.2">
      <c r="Z8266" t="str">
        <f t="shared" si="129"/>
        <v/>
      </c>
    </row>
    <row r="8267" spans="26:26" x14ac:dyDescent="0.2">
      <c r="Z8267" t="str">
        <f t="shared" si="129"/>
        <v/>
      </c>
    </row>
    <row r="8268" spans="26:26" x14ac:dyDescent="0.2">
      <c r="Z8268" t="str">
        <f t="shared" si="129"/>
        <v/>
      </c>
    </row>
    <row r="8269" spans="26:26" x14ac:dyDescent="0.2">
      <c r="Z8269" t="str">
        <f t="shared" si="129"/>
        <v/>
      </c>
    </row>
    <row r="8270" spans="26:26" x14ac:dyDescent="0.2">
      <c r="Z8270" t="str">
        <f t="shared" si="129"/>
        <v/>
      </c>
    </row>
    <row r="8271" spans="26:26" x14ac:dyDescent="0.2">
      <c r="Z8271" t="str">
        <f t="shared" si="129"/>
        <v/>
      </c>
    </row>
    <row r="8272" spans="26:26" x14ac:dyDescent="0.2">
      <c r="Z8272" t="str">
        <f t="shared" si="129"/>
        <v/>
      </c>
    </row>
    <row r="8273" spans="26:26" x14ac:dyDescent="0.2">
      <c r="Z8273" t="str">
        <f t="shared" si="129"/>
        <v/>
      </c>
    </row>
    <row r="8274" spans="26:26" x14ac:dyDescent="0.2">
      <c r="Z8274" t="str">
        <f t="shared" si="129"/>
        <v/>
      </c>
    </row>
    <row r="8275" spans="26:26" x14ac:dyDescent="0.2">
      <c r="Z8275" t="str">
        <f t="shared" si="129"/>
        <v/>
      </c>
    </row>
    <row r="8276" spans="26:26" x14ac:dyDescent="0.2">
      <c r="Z8276" t="str">
        <f t="shared" si="129"/>
        <v/>
      </c>
    </row>
    <row r="8277" spans="26:26" x14ac:dyDescent="0.2">
      <c r="Z8277" t="str">
        <f t="shared" si="129"/>
        <v/>
      </c>
    </row>
    <row r="8278" spans="26:26" x14ac:dyDescent="0.2">
      <c r="Z8278" t="str">
        <f t="shared" si="129"/>
        <v/>
      </c>
    </row>
    <row r="8279" spans="26:26" x14ac:dyDescent="0.2">
      <c r="Z8279" t="str">
        <f t="shared" si="129"/>
        <v/>
      </c>
    </row>
    <row r="8280" spans="26:26" x14ac:dyDescent="0.2">
      <c r="Z8280" t="str">
        <f t="shared" si="129"/>
        <v/>
      </c>
    </row>
    <row r="8281" spans="26:26" x14ac:dyDescent="0.2">
      <c r="Z8281" t="str">
        <f t="shared" si="129"/>
        <v/>
      </c>
    </row>
    <row r="8282" spans="26:26" x14ac:dyDescent="0.2">
      <c r="Z8282" t="str">
        <f t="shared" si="129"/>
        <v/>
      </c>
    </row>
    <row r="8283" spans="26:26" x14ac:dyDescent="0.2">
      <c r="Z8283" t="str">
        <f t="shared" si="129"/>
        <v/>
      </c>
    </row>
    <row r="8284" spans="26:26" x14ac:dyDescent="0.2">
      <c r="Z8284" t="str">
        <f t="shared" si="129"/>
        <v/>
      </c>
    </row>
    <row r="8285" spans="26:26" x14ac:dyDescent="0.2">
      <c r="Z8285" t="str">
        <f t="shared" si="129"/>
        <v/>
      </c>
    </row>
    <row r="8286" spans="26:26" x14ac:dyDescent="0.2">
      <c r="Z8286" t="str">
        <f t="shared" si="129"/>
        <v/>
      </c>
    </row>
    <row r="8287" spans="26:26" x14ac:dyDescent="0.2">
      <c r="Z8287" t="str">
        <f t="shared" si="129"/>
        <v/>
      </c>
    </row>
    <row r="8288" spans="26:26" x14ac:dyDescent="0.2">
      <c r="Z8288" t="str">
        <f t="shared" si="129"/>
        <v/>
      </c>
    </row>
    <row r="8289" spans="26:26" x14ac:dyDescent="0.2">
      <c r="Z8289" t="str">
        <f t="shared" si="129"/>
        <v/>
      </c>
    </row>
    <row r="8290" spans="26:26" x14ac:dyDescent="0.2">
      <c r="Z8290" t="str">
        <f t="shared" si="129"/>
        <v/>
      </c>
    </row>
    <row r="8291" spans="26:26" x14ac:dyDescent="0.2">
      <c r="Z8291" t="str">
        <f t="shared" si="129"/>
        <v/>
      </c>
    </row>
    <row r="8292" spans="26:26" x14ac:dyDescent="0.2">
      <c r="Z8292" t="str">
        <f t="shared" si="129"/>
        <v/>
      </c>
    </row>
    <row r="8293" spans="26:26" x14ac:dyDescent="0.2">
      <c r="Z8293" t="str">
        <f t="shared" si="129"/>
        <v/>
      </c>
    </row>
    <row r="8294" spans="26:26" x14ac:dyDescent="0.2">
      <c r="Z8294" t="str">
        <f t="shared" si="129"/>
        <v/>
      </c>
    </row>
    <row r="8295" spans="26:26" x14ac:dyDescent="0.2">
      <c r="Z8295" t="str">
        <f t="shared" si="129"/>
        <v/>
      </c>
    </row>
    <row r="8296" spans="26:26" x14ac:dyDescent="0.2">
      <c r="Z8296" t="str">
        <f t="shared" si="129"/>
        <v/>
      </c>
    </row>
    <row r="8297" spans="26:26" x14ac:dyDescent="0.2">
      <c r="Z8297" t="str">
        <f t="shared" si="129"/>
        <v/>
      </c>
    </row>
    <row r="8298" spans="26:26" x14ac:dyDescent="0.2">
      <c r="Z8298" t="str">
        <f t="shared" si="129"/>
        <v/>
      </c>
    </row>
    <row r="8299" spans="26:26" x14ac:dyDescent="0.2">
      <c r="Z8299" t="str">
        <f t="shared" si="129"/>
        <v/>
      </c>
    </row>
    <row r="8300" spans="26:26" x14ac:dyDescent="0.2">
      <c r="Z8300" t="str">
        <f t="shared" si="129"/>
        <v/>
      </c>
    </row>
    <row r="8301" spans="26:26" x14ac:dyDescent="0.2">
      <c r="Z8301" t="str">
        <f t="shared" si="129"/>
        <v/>
      </c>
    </row>
    <row r="8302" spans="26:26" x14ac:dyDescent="0.2">
      <c r="Z8302" t="str">
        <f t="shared" si="129"/>
        <v/>
      </c>
    </row>
    <row r="8303" spans="26:26" x14ac:dyDescent="0.2">
      <c r="Z8303" t="str">
        <f t="shared" si="129"/>
        <v/>
      </c>
    </row>
    <row r="8304" spans="26:26" x14ac:dyDescent="0.2">
      <c r="Z8304" t="str">
        <f t="shared" si="129"/>
        <v/>
      </c>
    </row>
    <row r="8305" spans="26:26" x14ac:dyDescent="0.2">
      <c r="Z8305" t="str">
        <f t="shared" si="129"/>
        <v/>
      </c>
    </row>
    <row r="8306" spans="26:26" x14ac:dyDescent="0.2">
      <c r="Z8306" t="str">
        <f t="shared" si="129"/>
        <v/>
      </c>
    </row>
    <row r="8307" spans="26:26" x14ac:dyDescent="0.2">
      <c r="Z8307" t="str">
        <f t="shared" si="129"/>
        <v/>
      </c>
    </row>
    <row r="8308" spans="26:26" x14ac:dyDescent="0.2">
      <c r="Z8308" t="str">
        <f t="shared" si="129"/>
        <v/>
      </c>
    </row>
    <row r="8309" spans="26:26" x14ac:dyDescent="0.2">
      <c r="Z8309" t="str">
        <f t="shared" si="129"/>
        <v/>
      </c>
    </row>
    <row r="8310" spans="26:26" x14ac:dyDescent="0.2">
      <c r="Z8310" t="str">
        <f t="shared" si="129"/>
        <v/>
      </c>
    </row>
    <row r="8311" spans="26:26" x14ac:dyDescent="0.2">
      <c r="Z8311" t="str">
        <f t="shared" si="129"/>
        <v/>
      </c>
    </row>
    <row r="8312" spans="26:26" x14ac:dyDescent="0.2">
      <c r="Z8312" t="str">
        <f t="shared" si="129"/>
        <v/>
      </c>
    </row>
    <row r="8313" spans="26:26" x14ac:dyDescent="0.2">
      <c r="Z8313" t="str">
        <f t="shared" si="129"/>
        <v/>
      </c>
    </row>
    <row r="8314" spans="26:26" x14ac:dyDescent="0.2">
      <c r="Z8314" t="str">
        <f t="shared" si="129"/>
        <v/>
      </c>
    </row>
    <row r="8315" spans="26:26" x14ac:dyDescent="0.2">
      <c r="Z8315" t="str">
        <f t="shared" si="129"/>
        <v/>
      </c>
    </row>
    <row r="8316" spans="26:26" x14ac:dyDescent="0.2">
      <c r="Z8316" t="str">
        <f t="shared" si="129"/>
        <v/>
      </c>
    </row>
    <row r="8317" spans="26:26" x14ac:dyDescent="0.2">
      <c r="Z8317" t="str">
        <f t="shared" si="129"/>
        <v/>
      </c>
    </row>
    <row r="8318" spans="26:26" x14ac:dyDescent="0.2">
      <c r="Z8318" t="str">
        <f t="shared" si="129"/>
        <v/>
      </c>
    </row>
    <row r="8319" spans="26:26" x14ac:dyDescent="0.2">
      <c r="Z8319" t="str">
        <f t="shared" si="129"/>
        <v/>
      </c>
    </row>
    <row r="8320" spans="26:26" x14ac:dyDescent="0.2">
      <c r="Z8320" t="str">
        <f t="shared" si="129"/>
        <v/>
      </c>
    </row>
    <row r="8321" spans="26:26" x14ac:dyDescent="0.2">
      <c r="Z8321" t="str">
        <f t="shared" si="129"/>
        <v/>
      </c>
    </row>
    <row r="8322" spans="26:26" x14ac:dyDescent="0.2">
      <c r="Z8322" t="str">
        <f t="shared" si="129"/>
        <v/>
      </c>
    </row>
    <row r="8323" spans="26:26" x14ac:dyDescent="0.2">
      <c r="Z8323" t="str">
        <f t="shared" ref="Z8323:Z8386" si="130">IF(K8323="","",IFERROR(VALUE(TRIM(MID(K8323,FIND(CHAR(167),SUBSTITUTE(K8323,"-",CHAR(167),LEN(K8323)-LEN(SUBSTITUTE(K8323,"-",""))))+1,100))),K8323))</f>
        <v/>
      </c>
    </row>
    <row r="8324" spans="26:26" x14ac:dyDescent="0.2">
      <c r="Z8324" t="str">
        <f t="shared" si="130"/>
        <v/>
      </c>
    </row>
    <row r="8325" spans="26:26" x14ac:dyDescent="0.2">
      <c r="Z8325" t="str">
        <f t="shared" si="130"/>
        <v/>
      </c>
    </row>
    <row r="8326" spans="26:26" x14ac:dyDescent="0.2">
      <c r="Z8326" t="str">
        <f t="shared" si="130"/>
        <v/>
      </c>
    </row>
    <row r="8327" spans="26:26" x14ac:dyDescent="0.2">
      <c r="Z8327" t="str">
        <f t="shared" si="130"/>
        <v/>
      </c>
    </row>
    <row r="8328" spans="26:26" x14ac:dyDescent="0.2">
      <c r="Z8328" t="str">
        <f t="shared" si="130"/>
        <v/>
      </c>
    </row>
    <row r="8329" spans="26:26" x14ac:dyDescent="0.2">
      <c r="Z8329" t="str">
        <f t="shared" si="130"/>
        <v/>
      </c>
    </row>
    <row r="8330" spans="26:26" x14ac:dyDescent="0.2">
      <c r="Z8330" t="str">
        <f t="shared" si="130"/>
        <v/>
      </c>
    </row>
    <row r="8331" spans="26:26" x14ac:dyDescent="0.2">
      <c r="Z8331" t="str">
        <f t="shared" si="130"/>
        <v/>
      </c>
    </row>
    <row r="8332" spans="26:26" x14ac:dyDescent="0.2">
      <c r="Z8332" t="str">
        <f t="shared" si="130"/>
        <v/>
      </c>
    </row>
    <row r="8333" spans="26:26" x14ac:dyDescent="0.2">
      <c r="Z8333" t="str">
        <f t="shared" si="130"/>
        <v/>
      </c>
    </row>
    <row r="8334" spans="26:26" x14ac:dyDescent="0.2">
      <c r="Z8334" t="str">
        <f t="shared" si="130"/>
        <v/>
      </c>
    </row>
    <row r="8335" spans="26:26" x14ac:dyDescent="0.2">
      <c r="Z8335" t="str">
        <f t="shared" si="130"/>
        <v/>
      </c>
    </row>
    <row r="8336" spans="26:26" x14ac:dyDescent="0.2">
      <c r="Z8336" t="str">
        <f t="shared" si="130"/>
        <v/>
      </c>
    </row>
    <row r="8337" spans="26:26" x14ac:dyDescent="0.2">
      <c r="Z8337" t="str">
        <f t="shared" si="130"/>
        <v/>
      </c>
    </row>
    <row r="8338" spans="26:26" x14ac:dyDescent="0.2">
      <c r="Z8338" t="str">
        <f t="shared" si="130"/>
        <v/>
      </c>
    </row>
    <row r="8339" spans="26:26" x14ac:dyDescent="0.2">
      <c r="Z8339" t="str">
        <f t="shared" si="130"/>
        <v/>
      </c>
    </row>
    <row r="8340" spans="26:26" x14ac:dyDescent="0.2">
      <c r="Z8340" t="str">
        <f t="shared" si="130"/>
        <v/>
      </c>
    </row>
    <row r="8341" spans="26:26" x14ac:dyDescent="0.2">
      <c r="Z8341" t="str">
        <f t="shared" si="130"/>
        <v/>
      </c>
    </row>
    <row r="8342" spans="26:26" x14ac:dyDescent="0.2">
      <c r="Z8342" t="str">
        <f t="shared" si="130"/>
        <v/>
      </c>
    </row>
    <row r="8343" spans="26:26" x14ac:dyDescent="0.2">
      <c r="Z8343" t="str">
        <f t="shared" si="130"/>
        <v/>
      </c>
    </row>
    <row r="8344" spans="26:26" x14ac:dyDescent="0.2">
      <c r="Z8344" t="str">
        <f t="shared" si="130"/>
        <v/>
      </c>
    </row>
    <row r="8345" spans="26:26" x14ac:dyDescent="0.2">
      <c r="Z8345" t="str">
        <f t="shared" si="130"/>
        <v/>
      </c>
    </row>
    <row r="8346" spans="26:26" x14ac:dyDescent="0.2">
      <c r="Z8346" t="str">
        <f t="shared" si="130"/>
        <v/>
      </c>
    </row>
    <row r="8347" spans="26:26" x14ac:dyDescent="0.2">
      <c r="Z8347" t="str">
        <f t="shared" si="130"/>
        <v/>
      </c>
    </row>
    <row r="8348" spans="26:26" x14ac:dyDescent="0.2">
      <c r="Z8348" t="str">
        <f t="shared" si="130"/>
        <v/>
      </c>
    </row>
    <row r="8349" spans="26:26" x14ac:dyDescent="0.2">
      <c r="Z8349" t="str">
        <f t="shared" si="130"/>
        <v/>
      </c>
    </row>
    <row r="8350" spans="26:26" x14ac:dyDescent="0.2">
      <c r="Z8350" t="str">
        <f t="shared" si="130"/>
        <v/>
      </c>
    </row>
    <row r="8351" spans="26:26" x14ac:dyDescent="0.2">
      <c r="Z8351" t="str">
        <f t="shared" si="130"/>
        <v/>
      </c>
    </row>
    <row r="8352" spans="26:26" x14ac:dyDescent="0.2">
      <c r="Z8352" t="str">
        <f t="shared" si="130"/>
        <v/>
      </c>
    </row>
    <row r="8353" spans="26:26" x14ac:dyDescent="0.2">
      <c r="Z8353" t="str">
        <f t="shared" si="130"/>
        <v/>
      </c>
    </row>
    <row r="8354" spans="26:26" x14ac:dyDescent="0.2">
      <c r="Z8354" t="str">
        <f t="shared" si="130"/>
        <v/>
      </c>
    </row>
    <row r="8355" spans="26:26" x14ac:dyDescent="0.2">
      <c r="Z8355" t="str">
        <f t="shared" si="130"/>
        <v/>
      </c>
    </row>
    <row r="8356" spans="26:26" x14ac:dyDescent="0.2">
      <c r="Z8356" t="str">
        <f t="shared" si="130"/>
        <v/>
      </c>
    </row>
    <row r="8357" spans="26:26" x14ac:dyDescent="0.2">
      <c r="Z8357" t="str">
        <f t="shared" si="130"/>
        <v/>
      </c>
    </row>
    <row r="8358" spans="26:26" x14ac:dyDescent="0.2">
      <c r="Z8358" t="str">
        <f t="shared" si="130"/>
        <v/>
      </c>
    </row>
    <row r="8359" spans="26:26" x14ac:dyDescent="0.2">
      <c r="Z8359" t="str">
        <f t="shared" si="130"/>
        <v/>
      </c>
    </row>
    <row r="8360" spans="26:26" x14ac:dyDescent="0.2">
      <c r="Z8360" t="str">
        <f t="shared" si="130"/>
        <v/>
      </c>
    </row>
    <row r="8361" spans="26:26" x14ac:dyDescent="0.2">
      <c r="Z8361" t="str">
        <f t="shared" si="130"/>
        <v/>
      </c>
    </row>
    <row r="8362" spans="26:26" x14ac:dyDescent="0.2">
      <c r="Z8362" t="str">
        <f t="shared" si="130"/>
        <v/>
      </c>
    </row>
    <row r="8363" spans="26:26" x14ac:dyDescent="0.2">
      <c r="Z8363" t="str">
        <f t="shared" si="130"/>
        <v/>
      </c>
    </row>
    <row r="8364" spans="26:26" x14ac:dyDescent="0.2">
      <c r="Z8364" t="str">
        <f t="shared" si="130"/>
        <v/>
      </c>
    </row>
    <row r="8365" spans="26:26" x14ac:dyDescent="0.2">
      <c r="Z8365" t="str">
        <f t="shared" si="130"/>
        <v/>
      </c>
    </row>
    <row r="8366" spans="26:26" x14ac:dyDescent="0.2">
      <c r="Z8366" t="str">
        <f t="shared" si="130"/>
        <v/>
      </c>
    </row>
    <row r="8367" spans="26:26" x14ac:dyDescent="0.2">
      <c r="Z8367" t="str">
        <f t="shared" si="130"/>
        <v/>
      </c>
    </row>
    <row r="8368" spans="26:26" x14ac:dyDescent="0.2">
      <c r="Z8368" t="str">
        <f t="shared" si="130"/>
        <v/>
      </c>
    </row>
    <row r="8369" spans="26:26" x14ac:dyDescent="0.2">
      <c r="Z8369" t="str">
        <f t="shared" si="130"/>
        <v/>
      </c>
    </row>
    <row r="8370" spans="26:26" x14ac:dyDescent="0.2">
      <c r="Z8370" t="str">
        <f t="shared" si="130"/>
        <v/>
      </c>
    </row>
    <row r="8371" spans="26:26" x14ac:dyDescent="0.2">
      <c r="Z8371" t="str">
        <f t="shared" si="130"/>
        <v/>
      </c>
    </row>
    <row r="8372" spans="26:26" x14ac:dyDescent="0.2">
      <c r="Z8372" t="str">
        <f t="shared" si="130"/>
        <v/>
      </c>
    </row>
    <row r="8373" spans="26:26" x14ac:dyDescent="0.2">
      <c r="Z8373" t="str">
        <f t="shared" si="130"/>
        <v/>
      </c>
    </row>
    <row r="8374" spans="26:26" x14ac:dyDescent="0.2">
      <c r="Z8374" t="str">
        <f t="shared" si="130"/>
        <v/>
      </c>
    </row>
    <row r="8375" spans="26:26" x14ac:dyDescent="0.2">
      <c r="Z8375" t="str">
        <f t="shared" si="130"/>
        <v/>
      </c>
    </row>
    <row r="8376" spans="26:26" x14ac:dyDescent="0.2">
      <c r="Z8376" t="str">
        <f t="shared" si="130"/>
        <v/>
      </c>
    </row>
    <row r="8377" spans="26:26" x14ac:dyDescent="0.2">
      <c r="Z8377" t="str">
        <f t="shared" si="130"/>
        <v/>
      </c>
    </row>
    <row r="8378" spans="26:26" x14ac:dyDescent="0.2">
      <c r="Z8378" t="str">
        <f t="shared" si="130"/>
        <v/>
      </c>
    </row>
    <row r="8379" spans="26:26" x14ac:dyDescent="0.2">
      <c r="Z8379" t="str">
        <f t="shared" si="130"/>
        <v/>
      </c>
    </row>
    <row r="8380" spans="26:26" x14ac:dyDescent="0.2">
      <c r="Z8380" t="str">
        <f t="shared" si="130"/>
        <v/>
      </c>
    </row>
    <row r="8381" spans="26:26" x14ac:dyDescent="0.2">
      <c r="Z8381" t="str">
        <f t="shared" si="130"/>
        <v/>
      </c>
    </row>
    <row r="8382" spans="26:26" x14ac:dyDescent="0.2">
      <c r="Z8382" t="str">
        <f t="shared" si="130"/>
        <v/>
      </c>
    </row>
    <row r="8383" spans="26:26" x14ac:dyDescent="0.2">
      <c r="Z8383" t="str">
        <f t="shared" si="130"/>
        <v/>
      </c>
    </row>
    <row r="8384" spans="26:26" x14ac:dyDescent="0.2">
      <c r="Z8384" t="str">
        <f t="shared" si="130"/>
        <v/>
      </c>
    </row>
    <row r="8385" spans="26:26" x14ac:dyDescent="0.2">
      <c r="Z8385" t="str">
        <f t="shared" si="130"/>
        <v/>
      </c>
    </row>
    <row r="8386" spans="26:26" x14ac:dyDescent="0.2">
      <c r="Z8386" t="str">
        <f t="shared" si="130"/>
        <v/>
      </c>
    </row>
    <row r="8387" spans="26:26" x14ac:dyDescent="0.2">
      <c r="Z8387" t="str">
        <f t="shared" ref="Z8387:Z8450" si="131">IF(K8387="","",IFERROR(VALUE(TRIM(MID(K8387,FIND(CHAR(167),SUBSTITUTE(K8387,"-",CHAR(167),LEN(K8387)-LEN(SUBSTITUTE(K8387,"-",""))))+1,100))),K8387))</f>
        <v/>
      </c>
    </row>
    <row r="8388" spans="26:26" x14ac:dyDescent="0.2">
      <c r="Z8388" t="str">
        <f t="shared" si="131"/>
        <v/>
      </c>
    </row>
    <row r="8389" spans="26:26" x14ac:dyDescent="0.2">
      <c r="Z8389" t="str">
        <f t="shared" si="131"/>
        <v/>
      </c>
    </row>
    <row r="8390" spans="26:26" x14ac:dyDescent="0.2">
      <c r="Z8390" t="str">
        <f t="shared" si="131"/>
        <v/>
      </c>
    </row>
    <row r="8391" spans="26:26" x14ac:dyDescent="0.2">
      <c r="Z8391" t="str">
        <f t="shared" si="131"/>
        <v/>
      </c>
    </row>
    <row r="8392" spans="26:26" x14ac:dyDescent="0.2">
      <c r="Z8392" t="str">
        <f t="shared" si="131"/>
        <v/>
      </c>
    </row>
    <row r="8393" spans="26:26" x14ac:dyDescent="0.2">
      <c r="Z8393" t="str">
        <f t="shared" si="131"/>
        <v/>
      </c>
    </row>
    <row r="8394" spans="26:26" x14ac:dyDescent="0.2">
      <c r="Z8394" t="str">
        <f t="shared" si="131"/>
        <v/>
      </c>
    </row>
    <row r="8395" spans="26:26" x14ac:dyDescent="0.2">
      <c r="Z8395" t="str">
        <f t="shared" si="131"/>
        <v/>
      </c>
    </row>
    <row r="8396" spans="26:26" x14ac:dyDescent="0.2">
      <c r="Z8396" t="str">
        <f t="shared" si="131"/>
        <v/>
      </c>
    </row>
    <row r="8397" spans="26:26" x14ac:dyDescent="0.2">
      <c r="Z8397" t="str">
        <f t="shared" si="131"/>
        <v/>
      </c>
    </row>
    <row r="8398" spans="26:26" x14ac:dyDescent="0.2">
      <c r="Z8398" t="str">
        <f t="shared" si="131"/>
        <v/>
      </c>
    </row>
    <row r="8399" spans="26:26" x14ac:dyDescent="0.2">
      <c r="Z8399" t="str">
        <f t="shared" si="131"/>
        <v/>
      </c>
    </row>
    <row r="8400" spans="26:26" x14ac:dyDescent="0.2">
      <c r="Z8400" t="str">
        <f t="shared" si="131"/>
        <v/>
      </c>
    </row>
    <row r="8401" spans="26:26" x14ac:dyDescent="0.2">
      <c r="Z8401" t="str">
        <f t="shared" si="131"/>
        <v/>
      </c>
    </row>
    <row r="8402" spans="26:26" x14ac:dyDescent="0.2">
      <c r="Z8402" t="str">
        <f t="shared" si="131"/>
        <v/>
      </c>
    </row>
    <row r="8403" spans="26:26" x14ac:dyDescent="0.2">
      <c r="Z8403" t="str">
        <f t="shared" si="131"/>
        <v/>
      </c>
    </row>
    <row r="8404" spans="26:26" x14ac:dyDescent="0.2">
      <c r="Z8404" t="str">
        <f t="shared" si="131"/>
        <v/>
      </c>
    </row>
    <row r="8405" spans="26:26" x14ac:dyDescent="0.2">
      <c r="Z8405" t="str">
        <f t="shared" si="131"/>
        <v/>
      </c>
    </row>
    <row r="8406" spans="26:26" x14ac:dyDescent="0.2">
      <c r="Z8406" t="str">
        <f t="shared" si="131"/>
        <v/>
      </c>
    </row>
    <row r="8407" spans="26:26" x14ac:dyDescent="0.2">
      <c r="Z8407" t="str">
        <f t="shared" si="131"/>
        <v/>
      </c>
    </row>
    <row r="8408" spans="26:26" x14ac:dyDescent="0.2">
      <c r="Z8408" t="str">
        <f t="shared" si="131"/>
        <v/>
      </c>
    </row>
    <row r="8409" spans="26:26" x14ac:dyDescent="0.2">
      <c r="Z8409" t="str">
        <f t="shared" si="131"/>
        <v/>
      </c>
    </row>
    <row r="8410" spans="26:26" x14ac:dyDescent="0.2">
      <c r="Z8410" t="str">
        <f t="shared" si="131"/>
        <v/>
      </c>
    </row>
    <row r="8411" spans="26:26" x14ac:dyDescent="0.2">
      <c r="Z8411" t="str">
        <f t="shared" si="131"/>
        <v/>
      </c>
    </row>
    <row r="8412" spans="26:26" x14ac:dyDescent="0.2">
      <c r="Z8412" t="str">
        <f t="shared" si="131"/>
        <v/>
      </c>
    </row>
    <row r="8413" spans="26:26" x14ac:dyDescent="0.2">
      <c r="Z8413" t="str">
        <f t="shared" si="131"/>
        <v/>
      </c>
    </row>
    <row r="8414" spans="26:26" x14ac:dyDescent="0.2">
      <c r="Z8414" t="str">
        <f t="shared" si="131"/>
        <v/>
      </c>
    </row>
    <row r="8415" spans="26:26" x14ac:dyDescent="0.2">
      <c r="Z8415" t="str">
        <f t="shared" si="131"/>
        <v/>
      </c>
    </row>
    <row r="8416" spans="26:26" x14ac:dyDescent="0.2">
      <c r="Z8416" t="str">
        <f t="shared" si="131"/>
        <v/>
      </c>
    </row>
    <row r="8417" spans="26:26" x14ac:dyDescent="0.2">
      <c r="Z8417" t="str">
        <f t="shared" si="131"/>
        <v/>
      </c>
    </row>
    <row r="8418" spans="26:26" x14ac:dyDescent="0.2">
      <c r="Z8418" t="str">
        <f t="shared" si="131"/>
        <v/>
      </c>
    </row>
    <row r="8419" spans="26:26" x14ac:dyDescent="0.2">
      <c r="Z8419" t="str">
        <f t="shared" si="131"/>
        <v/>
      </c>
    </row>
    <row r="8420" spans="26:26" x14ac:dyDescent="0.2">
      <c r="Z8420" t="str">
        <f t="shared" si="131"/>
        <v/>
      </c>
    </row>
    <row r="8421" spans="26:26" x14ac:dyDescent="0.2">
      <c r="Z8421" t="str">
        <f t="shared" si="131"/>
        <v/>
      </c>
    </row>
    <row r="8422" spans="26:26" x14ac:dyDescent="0.2">
      <c r="Z8422" t="str">
        <f t="shared" si="131"/>
        <v/>
      </c>
    </row>
    <row r="8423" spans="26:26" x14ac:dyDescent="0.2">
      <c r="Z8423" t="str">
        <f t="shared" si="131"/>
        <v/>
      </c>
    </row>
    <row r="8424" spans="26:26" x14ac:dyDescent="0.2">
      <c r="Z8424" t="str">
        <f t="shared" si="131"/>
        <v/>
      </c>
    </row>
    <row r="8425" spans="26:26" x14ac:dyDescent="0.2">
      <c r="Z8425" t="str">
        <f t="shared" si="131"/>
        <v/>
      </c>
    </row>
    <row r="8426" spans="26:26" x14ac:dyDescent="0.2">
      <c r="Z8426" t="str">
        <f t="shared" si="131"/>
        <v/>
      </c>
    </row>
    <row r="8427" spans="26:26" x14ac:dyDescent="0.2">
      <c r="Z8427" t="str">
        <f t="shared" si="131"/>
        <v/>
      </c>
    </row>
    <row r="8428" spans="26:26" x14ac:dyDescent="0.2">
      <c r="Z8428" t="str">
        <f t="shared" si="131"/>
        <v/>
      </c>
    </row>
    <row r="8429" spans="26:26" x14ac:dyDescent="0.2">
      <c r="Z8429" t="str">
        <f t="shared" si="131"/>
        <v/>
      </c>
    </row>
    <row r="8430" spans="26:26" x14ac:dyDescent="0.2">
      <c r="Z8430" t="str">
        <f t="shared" si="131"/>
        <v/>
      </c>
    </row>
    <row r="8431" spans="26:26" x14ac:dyDescent="0.2">
      <c r="Z8431" t="str">
        <f t="shared" si="131"/>
        <v/>
      </c>
    </row>
    <row r="8432" spans="26:26" x14ac:dyDescent="0.2">
      <c r="Z8432" t="str">
        <f t="shared" si="131"/>
        <v/>
      </c>
    </row>
    <row r="8433" spans="26:26" x14ac:dyDescent="0.2">
      <c r="Z8433" t="str">
        <f t="shared" si="131"/>
        <v/>
      </c>
    </row>
    <row r="8434" spans="26:26" x14ac:dyDescent="0.2">
      <c r="Z8434" t="str">
        <f t="shared" si="131"/>
        <v/>
      </c>
    </row>
    <row r="8435" spans="26:26" x14ac:dyDescent="0.2">
      <c r="Z8435" t="str">
        <f t="shared" si="131"/>
        <v/>
      </c>
    </row>
    <row r="8436" spans="26:26" x14ac:dyDescent="0.2">
      <c r="Z8436" t="str">
        <f t="shared" si="131"/>
        <v/>
      </c>
    </row>
    <row r="8437" spans="26:26" x14ac:dyDescent="0.2">
      <c r="Z8437" t="str">
        <f t="shared" si="131"/>
        <v/>
      </c>
    </row>
    <row r="8438" spans="26:26" x14ac:dyDescent="0.2">
      <c r="Z8438" t="str">
        <f t="shared" si="131"/>
        <v/>
      </c>
    </row>
    <row r="8439" spans="26:26" x14ac:dyDescent="0.2">
      <c r="Z8439" t="str">
        <f t="shared" si="131"/>
        <v/>
      </c>
    </row>
    <row r="8440" spans="26:26" x14ac:dyDescent="0.2">
      <c r="Z8440" t="str">
        <f t="shared" si="131"/>
        <v/>
      </c>
    </row>
    <row r="8441" spans="26:26" x14ac:dyDescent="0.2">
      <c r="Z8441" t="str">
        <f t="shared" si="131"/>
        <v/>
      </c>
    </row>
    <row r="8442" spans="26:26" x14ac:dyDescent="0.2">
      <c r="Z8442" t="str">
        <f t="shared" si="131"/>
        <v/>
      </c>
    </row>
    <row r="8443" spans="26:26" x14ac:dyDescent="0.2">
      <c r="Z8443" t="str">
        <f t="shared" si="131"/>
        <v/>
      </c>
    </row>
    <row r="8444" spans="26:26" x14ac:dyDescent="0.2">
      <c r="Z8444" t="str">
        <f t="shared" si="131"/>
        <v/>
      </c>
    </row>
    <row r="8445" spans="26:26" x14ac:dyDescent="0.2">
      <c r="Z8445" t="str">
        <f t="shared" si="131"/>
        <v/>
      </c>
    </row>
    <row r="8446" spans="26:26" x14ac:dyDescent="0.2">
      <c r="Z8446" t="str">
        <f t="shared" si="131"/>
        <v/>
      </c>
    </row>
    <row r="8447" spans="26:26" x14ac:dyDescent="0.2">
      <c r="Z8447" t="str">
        <f t="shared" si="131"/>
        <v/>
      </c>
    </row>
    <row r="8448" spans="26:26" x14ac:dyDescent="0.2">
      <c r="Z8448" t="str">
        <f t="shared" si="131"/>
        <v/>
      </c>
    </row>
    <row r="8449" spans="26:26" x14ac:dyDescent="0.2">
      <c r="Z8449" t="str">
        <f t="shared" si="131"/>
        <v/>
      </c>
    </row>
    <row r="8450" spans="26:26" x14ac:dyDescent="0.2">
      <c r="Z8450" t="str">
        <f t="shared" si="131"/>
        <v/>
      </c>
    </row>
    <row r="8451" spans="26:26" x14ac:dyDescent="0.2">
      <c r="Z8451" t="str">
        <f t="shared" ref="Z8451:Z8514" si="132">IF(K8451="","",IFERROR(VALUE(TRIM(MID(K8451,FIND(CHAR(167),SUBSTITUTE(K8451,"-",CHAR(167),LEN(K8451)-LEN(SUBSTITUTE(K8451,"-",""))))+1,100))),K8451))</f>
        <v/>
      </c>
    </row>
    <row r="8452" spans="26:26" x14ac:dyDescent="0.2">
      <c r="Z8452" t="str">
        <f t="shared" si="132"/>
        <v/>
      </c>
    </row>
    <row r="8453" spans="26:26" x14ac:dyDescent="0.2">
      <c r="Z8453" t="str">
        <f t="shared" si="132"/>
        <v/>
      </c>
    </row>
    <row r="8454" spans="26:26" x14ac:dyDescent="0.2">
      <c r="Z8454" t="str">
        <f t="shared" si="132"/>
        <v/>
      </c>
    </row>
    <row r="8455" spans="26:26" x14ac:dyDescent="0.2">
      <c r="Z8455" t="str">
        <f t="shared" si="132"/>
        <v/>
      </c>
    </row>
    <row r="8456" spans="26:26" x14ac:dyDescent="0.2">
      <c r="Z8456" t="str">
        <f t="shared" si="132"/>
        <v/>
      </c>
    </row>
    <row r="8457" spans="26:26" x14ac:dyDescent="0.2">
      <c r="Z8457" t="str">
        <f t="shared" si="132"/>
        <v/>
      </c>
    </row>
    <row r="8458" spans="26:26" x14ac:dyDescent="0.2">
      <c r="Z8458" t="str">
        <f t="shared" si="132"/>
        <v/>
      </c>
    </row>
    <row r="8459" spans="26:26" x14ac:dyDescent="0.2">
      <c r="Z8459" t="str">
        <f t="shared" si="132"/>
        <v/>
      </c>
    </row>
    <row r="8460" spans="26:26" x14ac:dyDescent="0.2">
      <c r="Z8460" t="str">
        <f t="shared" si="132"/>
        <v/>
      </c>
    </row>
    <row r="8461" spans="26:26" x14ac:dyDescent="0.2">
      <c r="Z8461" t="str">
        <f t="shared" si="132"/>
        <v/>
      </c>
    </row>
    <row r="8462" spans="26:26" x14ac:dyDescent="0.2">
      <c r="Z8462" t="str">
        <f t="shared" si="132"/>
        <v/>
      </c>
    </row>
    <row r="8463" spans="26:26" x14ac:dyDescent="0.2">
      <c r="Z8463" t="str">
        <f t="shared" si="132"/>
        <v/>
      </c>
    </row>
    <row r="8464" spans="26:26" x14ac:dyDescent="0.2">
      <c r="Z8464" t="str">
        <f t="shared" si="132"/>
        <v/>
      </c>
    </row>
    <row r="8465" spans="26:26" x14ac:dyDescent="0.2">
      <c r="Z8465" t="str">
        <f t="shared" si="132"/>
        <v/>
      </c>
    </row>
    <row r="8466" spans="26:26" x14ac:dyDescent="0.2">
      <c r="Z8466" t="str">
        <f t="shared" si="132"/>
        <v/>
      </c>
    </row>
    <row r="8467" spans="26:26" x14ac:dyDescent="0.2">
      <c r="Z8467" t="str">
        <f t="shared" si="132"/>
        <v/>
      </c>
    </row>
    <row r="8468" spans="26:26" x14ac:dyDescent="0.2">
      <c r="Z8468" t="str">
        <f t="shared" si="132"/>
        <v/>
      </c>
    </row>
    <row r="8469" spans="26:26" x14ac:dyDescent="0.2">
      <c r="Z8469" t="str">
        <f t="shared" si="132"/>
        <v/>
      </c>
    </row>
    <row r="8470" spans="26:26" x14ac:dyDescent="0.2">
      <c r="Z8470" t="str">
        <f t="shared" si="132"/>
        <v/>
      </c>
    </row>
    <row r="8471" spans="26:26" x14ac:dyDescent="0.2">
      <c r="Z8471" t="str">
        <f t="shared" si="132"/>
        <v/>
      </c>
    </row>
    <row r="8472" spans="26:26" x14ac:dyDescent="0.2">
      <c r="Z8472" t="str">
        <f t="shared" si="132"/>
        <v/>
      </c>
    </row>
    <row r="8473" spans="26:26" x14ac:dyDescent="0.2">
      <c r="Z8473" t="str">
        <f t="shared" si="132"/>
        <v/>
      </c>
    </row>
    <row r="8474" spans="26:26" x14ac:dyDescent="0.2">
      <c r="Z8474" t="str">
        <f t="shared" si="132"/>
        <v/>
      </c>
    </row>
    <row r="8475" spans="26:26" x14ac:dyDescent="0.2">
      <c r="Z8475" t="str">
        <f t="shared" si="132"/>
        <v/>
      </c>
    </row>
    <row r="8476" spans="26:26" x14ac:dyDescent="0.2">
      <c r="Z8476" t="str">
        <f t="shared" si="132"/>
        <v/>
      </c>
    </row>
    <row r="8477" spans="26:26" x14ac:dyDescent="0.2">
      <c r="Z8477" t="str">
        <f t="shared" si="132"/>
        <v/>
      </c>
    </row>
    <row r="8478" spans="26:26" x14ac:dyDescent="0.2">
      <c r="Z8478" t="str">
        <f t="shared" si="132"/>
        <v/>
      </c>
    </row>
    <row r="8479" spans="26:26" x14ac:dyDescent="0.2">
      <c r="Z8479" t="str">
        <f t="shared" si="132"/>
        <v/>
      </c>
    </row>
    <row r="8480" spans="26:26" x14ac:dyDescent="0.2">
      <c r="Z8480" t="str">
        <f t="shared" si="132"/>
        <v/>
      </c>
    </row>
    <row r="8481" spans="26:26" x14ac:dyDescent="0.2">
      <c r="Z8481" t="str">
        <f t="shared" si="132"/>
        <v/>
      </c>
    </row>
    <row r="8482" spans="26:26" x14ac:dyDescent="0.2">
      <c r="Z8482" t="str">
        <f t="shared" si="132"/>
        <v/>
      </c>
    </row>
    <row r="8483" spans="26:26" x14ac:dyDescent="0.2">
      <c r="Z8483" t="str">
        <f t="shared" si="132"/>
        <v/>
      </c>
    </row>
    <row r="8484" spans="26:26" x14ac:dyDescent="0.2">
      <c r="Z8484" t="str">
        <f t="shared" si="132"/>
        <v/>
      </c>
    </row>
    <row r="8485" spans="26:26" x14ac:dyDescent="0.2">
      <c r="Z8485" t="str">
        <f t="shared" si="132"/>
        <v/>
      </c>
    </row>
    <row r="8486" spans="26:26" x14ac:dyDescent="0.2">
      <c r="Z8486" t="str">
        <f t="shared" si="132"/>
        <v/>
      </c>
    </row>
    <row r="8487" spans="26:26" x14ac:dyDescent="0.2">
      <c r="Z8487" t="str">
        <f t="shared" si="132"/>
        <v/>
      </c>
    </row>
    <row r="8488" spans="26:26" x14ac:dyDescent="0.2">
      <c r="Z8488" t="str">
        <f t="shared" si="132"/>
        <v/>
      </c>
    </row>
    <row r="8489" spans="26:26" x14ac:dyDescent="0.2">
      <c r="Z8489" t="str">
        <f t="shared" si="132"/>
        <v/>
      </c>
    </row>
    <row r="8490" spans="26:26" x14ac:dyDescent="0.2">
      <c r="Z8490" t="str">
        <f t="shared" si="132"/>
        <v/>
      </c>
    </row>
    <row r="8491" spans="26:26" x14ac:dyDescent="0.2">
      <c r="Z8491" t="str">
        <f t="shared" si="132"/>
        <v/>
      </c>
    </row>
    <row r="8492" spans="26:26" x14ac:dyDescent="0.2">
      <c r="Z8492" t="str">
        <f t="shared" si="132"/>
        <v/>
      </c>
    </row>
    <row r="8493" spans="26:26" x14ac:dyDescent="0.2">
      <c r="Z8493" t="str">
        <f t="shared" si="132"/>
        <v/>
      </c>
    </row>
    <row r="8494" spans="26:26" x14ac:dyDescent="0.2">
      <c r="Z8494" t="str">
        <f t="shared" si="132"/>
        <v/>
      </c>
    </row>
    <row r="8495" spans="26:26" x14ac:dyDescent="0.2">
      <c r="Z8495" t="str">
        <f t="shared" si="132"/>
        <v/>
      </c>
    </row>
    <row r="8496" spans="26:26" x14ac:dyDescent="0.2">
      <c r="Z8496" t="str">
        <f t="shared" si="132"/>
        <v/>
      </c>
    </row>
    <row r="8497" spans="26:26" x14ac:dyDescent="0.2">
      <c r="Z8497" t="str">
        <f t="shared" si="132"/>
        <v/>
      </c>
    </row>
    <row r="8498" spans="26:26" x14ac:dyDescent="0.2">
      <c r="Z8498" t="str">
        <f t="shared" si="132"/>
        <v/>
      </c>
    </row>
    <row r="8499" spans="26:26" x14ac:dyDescent="0.2">
      <c r="Z8499" t="str">
        <f t="shared" si="132"/>
        <v/>
      </c>
    </row>
    <row r="8500" spans="26:26" x14ac:dyDescent="0.2">
      <c r="Z8500" t="str">
        <f t="shared" si="132"/>
        <v/>
      </c>
    </row>
    <row r="8501" spans="26:26" x14ac:dyDescent="0.2">
      <c r="Z8501" t="str">
        <f t="shared" si="132"/>
        <v/>
      </c>
    </row>
    <row r="8502" spans="26:26" x14ac:dyDescent="0.2">
      <c r="Z8502" t="str">
        <f t="shared" si="132"/>
        <v/>
      </c>
    </row>
    <row r="8503" spans="26:26" x14ac:dyDescent="0.2">
      <c r="Z8503" t="str">
        <f t="shared" si="132"/>
        <v/>
      </c>
    </row>
    <row r="8504" spans="26:26" x14ac:dyDescent="0.2">
      <c r="Z8504" t="str">
        <f t="shared" si="132"/>
        <v/>
      </c>
    </row>
    <row r="8505" spans="26:26" x14ac:dyDescent="0.2">
      <c r="Z8505" t="str">
        <f t="shared" si="132"/>
        <v/>
      </c>
    </row>
    <row r="8506" spans="26:26" x14ac:dyDescent="0.2">
      <c r="Z8506" t="str">
        <f t="shared" si="132"/>
        <v/>
      </c>
    </row>
    <row r="8507" spans="26:26" x14ac:dyDescent="0.2">
      <c r="Z8507" t="str">
        <f t="shared" si="132"/>
        <v/>
      </c>
    </row>
    <row r="8508" spans="26:26" x14ac:dyDescent="0.2">
      <c r="Z8508" t="str">
        <f t="shared" si="132"/>
        <v/>
      </c>
    </row>
    <row r="8509" spans="26:26" x14ac:dyDescent="0.2">
      <c r="Z8509" t="str">
        <f t="shared" si="132"/>
        <v/>
      </c>
    </row>
    <row r="8510" spans="26:26" x14ac:dyDescent="0.2">
      <c r="Z8510" t="str">
        <f t="shared" si="132"/>
        <v/>
      </c>
    </row>
    <row r="8511" spans="26:26" x14ac:dyDescent="0.2">
      <c r="Z8511" t="str">
        <f t="shared" si="132"/>
        <v/>
      </c>
    </row>
    <row r="8512" spans="26:26" x14ac:dyDescent="0.2">
      <c r="Z8512" t="str">
        <f t="shared" si="132"/>
        <v/>
      </c>
    </row>
    <row r="8513" spans="26:26" x14ac:dyDescent="0.2">
      <c r="Z8513" t="str">
        <f t="shared" si="132"/>
        <v/>
      </c>
    </row>
    <row r="8514" spans="26:26" x14ac:dyDescent="0.2">
      <c r="Z8514" t="str">
        <f t="shared" si="132"/>
        <v/>
      </c>
    </row>
    <row r="8515" spans="26:26" x14ac:dyDescent="0.2">
      <c r="Z8515" t="str">
        <f t="shared" ref="Z8515:Z8578" si="133">IF(K8515="","",IFERROR(VALUE(TRIM(MID(K8515,FIND(CHAR(167),SUBSTITUTE(K8515,"-",CHAR(167),LEN(K8515)-LEN(SUBSTITUTE(K8515,"-",""))))+1,100))),K8515))</f>
        <v/>
      </c>
    </row>
    <row r="8516" spans="26:26" x14ac:dyDescent="0.2">
      <c r="Z8516" t="str">
        <f t="shared" si="133"/>
        <v/>
      </c>
    </row>
    <row r="8517" spans="26:26" x14ac:dyDescent="0.2">
      <c r="Z8517" t="str">
        <f t="shared" si="133"/>
        <v/>
      </c>
    </row>
    <row r="8518" spans="26:26" x14ac:dyDescent="0.2">
      <c r="Z8518" t="str">
        <f t="shared" si="133"/>
        <v/>
      </c>
    </row>
    <row r="8519" spans="26:26" x14ac:dyDescent="0.2">
      <c r="Z8519" t="str">
        <f t="shared" si="133"/>
        <v/>
      </c>
    </row>
    <row r="8520" spans="26:26" x14ac:dyDescent="0.2">
      <c r="Z8520" t="str">
        <f t="shared" si="133"/>
        <v/>
      </c>
    </row>
    <row r="8521" spans="26:26" x14ac:dyDescent="0.2">
      <c r="Z8521" t="str">
        <f t="shared" si="133"/>
        <v/>
      </c>
    </row>
    <row r="8522" spans="26:26" x14ac:dyDescent="0.2">
      <c r="Z8522" t="str">
        <f t="shared" si="133"/>
        <v/>
      </c>
    </row>
    <row r="8523" spans="26:26" x14ac:dyDescent="0.2">
      <c r="Z8523" t="str">
        <f t="shared" si="133"/>
        <v/>
      </c>
    </row>
    <row r="8524" spans="26:26" x14ac:dyDescent="0.2">
      <c r="Z8524" t="str">
        <f t="shared" si="133"/>
        <v/>
      </c>
    </row>
    <row r="8525" spans="26:26" x14ac:dyDescent="0.2">
      <c r="Z8525" t="str">
        <f t="shared" si="133"/>
        <v/>
      </c>
    </row>
    <row r="8526" spans="26:26" x14ac:dyDescent="0.2">
      <c r="Z8526" t="str">
        <f t="shared" si="133"/>
        <v/>
      </c>
    </row>
    <row r="8527" spans="26:26" x14ac:dyDescent="0.2">
      <c r="Z8527" t="str">
        <f t="shared" si="133"/>
        <v/>
      </c>
    </row>
    <row r="8528" spans="26:26" x14ac:dyDescent="0.2">
      <c r="Z8528" t="str">
        <f t="shared" si="133"/>
        <v/>
      </c>
    </row>
    <row r="8529" spans="26:26" x14ac:dyDescent="0.2">
      <c r="Z8529" t="str">
        <f t="shared" si="133"/>
        <v/>
      </c>
    </row>
    <row r="8530" spans="26:26" x14ac:dyDescent="0.2">
      <c r="Z8530" t="str">
        <f t="shared" si="133"/>
        <v/>
      </c>
    </row>
    <row r="8531" spans="26:26" x14ac:dyDescent="0.2">
      <c r="Z8531" t="str">
        <f t="shared" si="133"/>
        <v/>
      </c>
    </row>
    <row r="8532" spans="26:26" x14ac:dyDescent="0.2">
      <c r="Z8532" t="str">
        <f t="shared" si="133"/>
        <v/>
      </c>
    </row>
    <row r="8533" spans="26:26" x14ac:dyDescent="0.2">
      <c r="Z8533" t="str">
        <f t="shared" si="133"/>
        <v/>
      </c>
    </row>
    <row r="8534" spans="26:26" x14ac:dyDescent="0.2">
      <c r="Z8534" t="str">
        <f t="shared" si="133"/>
        <v/>
      </c>
    </row>
    <row r="8535" spans="26:26" x14ac:dyDescent="0.2">
      <c r="Z8535" t="str">
        <f t="shared" si="133"/>
        <v/>
      </c>
    </row>
    <row r="8536" spans="26:26" x14ac:dyDescent="0.2">
      <c r="Z8536" t="str">
        <f t="shared" si="133"/>
        <v/>
      </c>
    </row>
    <row r="8537" spans="26:26" x14ac:dyDescent="0.2">
      <c r="Z8537" t="str">
        <f t="shared" si="133"/>
        <v/>
      </c>
    </row>
    <row r="8538" spans="26:26" x14ac:dyDescent="0.2">
      <c r="Z8538" t="str">
        <f t="shared" si="133"/>
        <v/>
      </c>
    </row>
    <row r="8539" spans="26:26" x14ac:dyDescent="0.2">
      <c r="Z8539" t="str">
        <f t="shared" si="133"/>
        <v/>
      </c>
    </row>
    <row r="8540" spans="26:26" x14ac:dyDescent="0.2">
      <c r="Z8540" t="str">
        <f t="shared" si="133"/>
        <v/>
      </c>
    </row>
    <row r="8541" spans="26:26" x14ac:dyDescent="0.2">
      <c r="Z8541" t="str">
        <f t="shared" si="133"/>
        <v/>
      </c>
    </row>
    <row r="8542" spans="26:26" x14ac:dyDescent="0.2">
      <c r="Z8542" t="str">
        <f t="shared" si="133"/>
        <v/>
      </c>
    </row>
    <row r="8543" spans="26:26" x14ac:dyDescent="0.2">
      <c r="Z8543" t="str">
        <f t="shared" si="133"/>
        <v/>
      </c>
    </row>
    <row r="8544" spans="26:26" x14ac:dyDescent="0.2">
      <c r="Z8544" t="str">
        <f t="shared" si="133"/>
        <v/>
      </c>
    </row>
    <row r="8545" spans="26:26" x14ac:dyDescent="0.2">
      <c r="Z8545" t="str">
        <f t="shared" si="133"/>
        <v/>
      </c>
    </row>
    <row r="8546" spans="26:26" x14ac:dyDescent="0.2">
      <c r="Z8546" t="str">
        <f t="shared" si="133"/>
        <v/>
      </c>
    </row>
    <row r="8547" spans="26:26" x14ac:dyDescent="0.2">
      <c r="Z8547" t="str">
        <f t="shared" si="133"/>
        <v/>
      </c>
    </row>
    <row r="8548" spans="26:26" x14ac:dyDescent="0.2">
      <c r="Z8548" t="str">
        <f t="shared" si="133"/>
        <v/>
      </c>
    </row>
    <row r="8549" spans="26:26" x14ac:dyDescent="0.2">
      <c r="Z8549" t="str">
        <f t="shared" si="133"/>
        <v/>
      </c>
    </row>
    <row r="8550" spans="26:26" x14ac:dyDescent="0.2">
      <c r="Z8550" t="str">
        <f t="shared" si="133"/>
        <v/>
      </c>
    </row>
    <row r="8551" spans="26:26" x14ac:dyDescent="0.2">
      <c r="Z8551" t="str">
        <f t="shared" si="133"/>
        <v/>
      </c>
    </row>
    <row r="8552" spans="26:26" x14ac:dyDescent="0.2">
      <c r="Z8552" t="str">
        <f t="shared" si="133"/>
        <v/>
      </c>
    </row>
    <row r="8553" spans="26:26" x14ac:dyDescent="0.2">
      <c r="Z8553" t="str">
        <f t="shared" si="133"/>
        <v/>
      </c>
    </row>
    <row r="8554" spans="26:26" x14ac:dyDescent="0.2">
      <c r="Z8554" t="str">
        <f t="shared" si="133"/>
        <v/>
      </c>
    </row>
    <row r="8555" spans="26:26" x14ac:dyDescent="0.2">
      <c r="Z8555" t="str">
        <f t="shared" si="133"/>
        <v/>
      </c>
    </row>
    <row r="8556" spans="26:26" x14ac:dyDescent="0.2">
      <c r="Z8556" t="str">
        <f t="shared" si="133"/>
        <v/>
      </c>
    </row>
    <row r="8557" spans="26:26" x14ac:dyDescent="0.2">
      <c r="Z8557" t="str">
        <f t="shared" si="133"/>
        <v/>
      </c>
    </row>
    <row r="8558" spans="26:26" x14ac:dyDescent="0.2">
      <c r="Z8558" t="str">
        <f t="shared" si="133"/>
        <v/>
      </c>
    </row>
    <row r="8559" spans="26:26" x14ac:dyDescent="0.2">
      <c r="Z8559" t="str">
        <f t="shared" si="133"/>
        <v/>
      </c>
    </row>
    <row r="8560" spans="26:26" x14ac:dyDescent="0.2">
      <c r="Z8560" t="str">
        <f t="shared" si="133"/>
        <v/>
      </c>
    </row>
    <row r="8561" spans="26:26" x14ac:dyDescent="0.2">
      <c r="Z8561" t="str">
        <f t="shared" si="133"/>
        <v/>
      </c>
    </row>
    <row r="8562" spans="26:26" x14ac:dyDescent="0.2">
      <c r="Z8562" t="str">
        <f t="shared" si="133"/>
        <v/>
      </c>
    </row>
    <row r="8563" spans="26:26" x14ac:dyDescent="0.2">
      <c r="Z8563" t="str">
        <f t="shared" si="133"/>
        <v/>
      </c>
    </row>
    <row r="8564" spans="26:26" x14ac:dyDescent="0.2">
      <c r="Z8564" t="str">
        <f t="shared" si="133"/>
        <v/>
      </c>
    </row>
    <row r="8565" spans="26:26" x14ac:dyDescent="0.2">
      <c r="Z8565" t="str">
        <f t="shared" si="133"/>
        <v/>
      </c>
    </row>
    <row r="8566" spans="26:26" x14ac:dyDescent="0.2">
      <c r="Z8566" t="str">
        <f t="shared" si="133"/>
        <v/>
      </c>
    </row>
    <row r="8567" spans="26:26" x14ac:dyDescent="0.2">
      <c r="Z8567" t="str">
        <f t="shared" si="133"/>
        <v/>
      </c>
    </row>
    <row r="8568" spans="26:26" x14ac:dyDescent="0.2">
      <c r="Z8568" t="str">
        <f t="shared" si="133"/>
        <v/>
      </c>
    </row>
    <row r="8569" spans="26:26" x14ac:dyDescent="0.2">
      <c r="Z8569" t="str">
        <f t="shared" si="133"/>
        <v/>
      </c>
    </row>
    <row r="8570" spans="26:26" x14ac:dyDescent="0.2">
      <c r="Z8570" t="str">
        <f t="shared" si="133"/>
        <v/>
      </c>
    </row>
    <row r="8571" spans="26:26" x14ac:dyDescent="0.2">
      <c r="Z8571" t="str">
        <f t="shared" si="133"/>
        <v/>
      </c>
    </row>
    <row r="8572" spans="26:26" x14ac:dyDescent="0.2">
      <c r="Z8572" t="str">
        <f t="shared" si="133"/>
        <v/>
      </c>
    </row>
    <row r="8573" spans="26:26" x14ac:dyDescent="0.2">
      <c r="Z8573" t="str">
        <f t="shared" si="133"/>
        <v/>
      </c>
    </row>
    <row r="8574" spans="26:26" x14ac:dyDescent="0.2">
      <c r="Z8574" t="str">
        <f t="shared" si="133"/>
        <v/>
      </c>
    </row>
    <row r="8575" spans="26:26" x14ac:dyDescent="0.2">
      <c r="Z8575" t="str">
        <f t="shared" si="133"/>
        <v/>
      </c>
    </row>
    <row r="8576" spans="26:26" x14ac:dyDescent="0.2">
      <c r="Z8576" t="str">
        <f t="shared" si="133"/>
        <v/>
      </c>
    </row>
    <row r="8577" spans="26:26" x14ac:dyDescent="0.2">
      <c r="Z8577" t="str">
        <f t="shared" si="133"/>
        <v/>
      </c>
    </row>
    <row r="8578" spans="26:26" x14ac:dyDescent="0.2">
      <c r="Z8578" t="str">
        <f t="shared" si="133"/>
        <v/>
      </c>
    </row>
    <row r="8579" spans="26:26" x14ac:dyDescent="0.2">
      <c r="Z8579" t="str">
        <f t="shared" ref="Z8579:Z8642" si="134">IF(K8579="","",IFERROR(VALUE(TRIM(MID(K8579,FIND(CHAR(167),SUBSTITUTE(K8579,"-",CHAR(167),LEN(K8579)-LEN(SUBSTITUTE(K8579,"-",""))))+1,100))),K8579))</f>
        <v/>
      </c>
    </row>
    <row r="8580" spans="26:26" x14ac:dyDescent="0.2">
      <c r="Z8580" t="str">
        <f t="shared" si="134"/>
        <v/>
      </c>
    </row>
    <row r="8581" spans="26:26" x14ac:dyDescent="0.2">
      <c r="Z8581" t="str">
        <f t="shared" si="134"/>
        <v/>
      </c>
    </row>
    <row r="8582" spans="26:26" x14ac:dyDescent="0.2">
      <c r="Z8582" t="str">
        <f t="shared" si="134"/>
        <v/>
      </c>
    </row>
    <row r="8583" spans="26:26" x14ac:dyDescent="0.2">
      <c r="Z8583" t="str">
        <f t="shared" si="134"/>
        <v/>
      </c>
    </row>
    <row r="8584" spans="26:26" x14ac:dyDescent="0.2">
      <c r="Z8584" t="str">
        <f t="shared" si="134"/>
        <v/>
      </c>
    </row>
    <row r="8585" spans="26:26" x14ac:dyDescent="0.2">
      <c r="Z8585" t="str">
        <f t="shared" si="134"/>
        <v/>
      </c>
    </row>
    <row r="8586" spans="26:26" x14ac:dyDescent="0.2">
      <c r="Z8586" t="str">
        <f t="shared" si="134"/>
        <v/>
      </c>
    </row>
    <row r="8587" spans="26:26" x14ac:dyDescent="0.2">
      <c r="Z8587" t="str">
        <f t="shared" si="134"/>
        <v/>
      </c>
    </row>
    <row r="8588" spans="26:26" x14ac:dyDescent="0.2">
      <c r="Z8588" t="str">
        <f t="shared" si="134"/>
        <v/>
      </c>
    </row>
    <row r="8589" spans="26:26" x14ac:dyDescent="0.2">
      <c r="Z8589" t="str">
        <f t="shared" si="134"/>
        <v/>
      </c>
    </row>
    <row r="8590" spans="26:26" x14ac:dyDescent="0.2">
      <c r="Z8590" t="str">
        <f t="shared" si="134"/>
        <v/>
      </c>
    </row>
    <row r="8591" spans="26:26" x14ac:dyDescent="0.2">
      <c r="Z8591" t="str">
        <f t="shared" si="134"/>
        <v/>
      </c>
    </row>
    <row r="8592" spans="26:26" x14ac:dyDescent="0.2">
      <c r="Z8592" t="str">
        <f t="shared" si="134"/>
        <v/>
      </c>
    </row>
    <row r="8593" spans="26:26" x14ac:dyDescent="0.2">
      <c r="Z8593" t="str">
        <f t="shared" si="134"/>
        <v/>
      </c>
    </row>
    <row r="8594" spans="26:26" x14ac:dyDescent="0.2">
      <c r="Z8594" t="str">
        <f t="shared" si="134"/>
        <v/>
      </c>
    </row>
    <row r="8595" spans="26:26" x14ac:dyDescent="0.2">
      <c r="Z8595" t="str">
        <f t="shared" si="134"/>
        <v/>
      </c>
    </row>
    <row r="8596" spans="26:26" x14ac:dyDescent="0.2">
      <c r="Z8596" t="str">
        <f t="shared" si="134"/>
        <v/>
      </c>
    </row>
    <row r="8597" spans="26:26" x14ac:dyDescent="0.2">
      <c r="Z8597" t="str">
        <f t="shared" si="134"/>
        <v/>
      </c>
    </row>
    <row r="8598" spans="26:26" x14ac:dyDescent="0.2">
      <c r="Z8598" t="str">
        <f t="shared" si="134"/>
        <v/>
      </c>
    </row>
    <row r="8599" spans="26:26" x14ac:dyDescent="0.2">
      <c r="Z8599" t="str">
        <f t="shared" si="134"/>
        <v/>
      </c>
    </row>
    <row r="8600" spans="26:26" x14ac:dyDescent="0.2">
      <c r="Z8600" t="str">
        <f t="shared" si="134"/>
        <v/>
      </c>
    </row>
    <row r="8601" spans="26:26" x14ac:dyDescent="0.2">
      <c r="Z8601" t="str">
        <f t="shared" si="134"/>
        <v/>
      </c>
    </row>
    <row r="8602" spans="26:26" x14ac:dyDescent="0.2">
      <c r="Z8602" t="str">
        <f t="shared" si="134"/>
        <v/>
      </c>
    </row>
    <row r="8603" spans="26:26" x14ac:dyDescent="0.2">
      <c r="Z8603" t="str">
        <f t="shared" si="134"/>
        <v/>
      </c>
    </row>
    <row r="8604" spans="26:26" x14ac:dyDescent="0.2">
      <c r="Z8604" t="str">
        <f t="shared" si="134"/>
        <v/>
      </c>
    </row>
    <row r="8605" spans="26:26" x14ac:dyDescent="0.2">
      <c r="Z8605" t="str">
        <f t="shared" si="134"/>
        <v/>
      </c>
    </row>
    <row r="8606" spans="26:26" x14ac:dyDescent="0.2">
      <c r="Z8606" t="str">
        <f t="shared" si="134"/>
        <v/>
      </c>
    </row>
    <row r="8607" spans="26:26" x14ac:dyDescent="0.2">
      <c r="Z8607" t="str">
        <f t="shared" si="134"/>
        <v/>
      </c>
    </row>
    <row r="8608" spans="26:26" x14ac:dyDescent="0.2">
      <c r="Z8608" t="str">
        <f t="shared" si="134"/>
        <v/>
      </c>
    </row>
    <row r="8609" spans="26:26" x14ac:dyDescent="0.2">
      <c r="Z8609" t="str">
        <f t="shared" si="134"/>
        <v/>
      </c>
    </row>
    <row r="8610" spans="26:26" x14ac:dyDescent="0.2">
      <c r="Z8610" t="str">
        <f t="shared" si="134"/>
        <v/>
      </c>
    </row>
    <row r="8611" spans="26:26" x14ac:dyDescent="0.2">
      <c r="Z8611" t="str">
        <f t="shared" si="134"/>
        <v/>
      </c>
    </row>
    <row r="8612" spans="26:26" x14ac:dyDescent="0.2">
      <c r="Z8612" t="str">
        <f t="shared" si="134"/>
        <v/>
      </c>
    </row>
    <row r="8613" spans="26:26" x14ac:dyDescent="0.2">
      <c r="Z8613" t="str">
        <f t="shared" si="134"/>
        <v/>
      </c>
    </row>
    <row r="8614" spans="26:26" x14ac:dyDescent="0.2">
      <c r="Z8614" t="str">
        <f t="shared" si="134"/>
        <v/>
      </c>
    </row>
    <row r="8615" spans="26:26" x14ac:dyDescent="0.2">
      <c r="Z8615" t="str">
        <f t="shared" si="134"/>
        <v/>
      </c>
    </row>
    <row r="8616" spans="26:26" x14ac:dyDescent="0.2">
      <c r="Z8616" t="str">
        <f t="shared" si="134"/>
        <v/>
      </c>
    </row>
    <row r="8617" spans="26:26" x14ac:dyDescent="0.2">
      <c r="Z8617" t="str">
        <f t="shared" si="134"/>
        <v/>
      </c>
    </row>
    <row r="8618" spans="26:26" x14ac:dyDescent="0.2">
      <c r="Z8618" t="str">
        <f t="shared" si="134"/>
        <v/>
      </c>
    </row>
    <row r="8619" spans="26:26" x14ac:dyDescent="0.2">
      <c r="Z8619" t="str">
        <f t="shared" si="134"/>
        <v/>
      </c>
    </row>
    <row r="8620" spans="26:26" x14ac:dyDescent="0.2">
      <c r="Z8620" t="str">
        <f t="shared" si="134"/>
        <v/>
      </c>
    </row>
    <row r="8621" spans="26:26" x14ac:dyDescent="0.2">
      <c r="Z8621" t="str">
        <f t="shared" si="134"/>
        <v/>
      </c>
    </row>
    <row r="8622" spans="26:26" x14ac:dyDescent="0.2">
      <c r="Z8622" t="str">
        <f t="shared" si="134"/>
        <v/>
      </c>
    </row>
    <row r="8623" spans="26:26" x14ac:dyDescent="0.2">
      <c r="Z8623" t="str">
        <f t="shared" si="134"/>
        <v/>
      </c>
    </row>
    <row r="8624" spans="26:26" x14ac:dyDescent="0.2">
      <c r="Z8624" t="str">
        <f t="shared" si="134"/>
        <v/>
      </c>
    </row>
    <row r="8625" spans="26:26" x14ac:dyDescent="0.2">
      <c r="Z8625" t="str">
        <f t="shared" si="134"/>
        <v/>
      </c>
    </row>
    <row r="8626" spans="26:26" x14ac:dyDescent="0.2">
      <c r="Z8626" t="str">
        <f t="shared" si="134"/>
        <v/>
      </c>
    </row>
    <row r="8627" spans="26:26" x14ac:dyDescent="0.2">
      <c r="Z8627" t="str">
        <f t="shared" si="134"/>
        <v/>
      </c>
    </row>
    <row r="8628" spans="26:26" x14ac:dyDescent="0.2">
      <c r="Z8628" t="str">
        <f t="shared" si="134"/>
        <v/>
      </c>
    </row>
    <row r="8629" spans="26:26" x14ac:dyDescent="0.2">
      <c r="Z8629" t="str">
        <f t="shared" si="134"/>
        <v/>
      </c>
    </row>
    <row r="8630" spans="26:26" x14ac:dyDescent="0.2">
      <c r="Z8630" t="str">
        <f t="shared" si="134"/>
        <v/>
      </c>
    </row>
    <row r="8631" spans="26:26" x14ac:dyDescent="0.2">
      <c r="Z8631" t="str">
        <f t="shared" si="134"/>
        <v/>
      </c>
    </row>
    <row r="8632" spans="26:26" x14ac:dyDescent="0.2">
      <c r="Z8632" t="str">
        <f t="shared" si="134"/>
        <v/>
      </c>
    </row>
    <row r="8633" spans="26:26" x14ac:dyDescent="0.2">
      <c r="Z8633" t="str">
        <f t="shared" si="134"/>
        <v/>
      </c>
    </row>
    <row r="8634" spans="26:26" x14ac:dyDescent="0.2">
      <c r="Z8634" t="str">
        <f t="shared" si="134"/>
        <v/>
      </c>
    </row>
    <row r="8635" spans="26:26" x14ac:dyDescent="0.2">
      <c r="Z8635" t="str">
        <f t="shared" si="134"/>
        <v/>
      </c>
    </row>
    <row r="8636" spans="26:26" x14ac:dyDescent="0.2">
      <c r="Z8636" t="str">
        <f t="shared" si="134"/>
        <v/>
      </c>
    </row>
    <row r="8637" spans="26:26" x14ac:dyDescent="0.2">
      <c r="Z8637" t="str">
        <f t="shared" si="134"/>
        <v/>
      </c>
    </row>
    <row r="8638" spans="26:26" x14ac:dyDescent="0.2">
      <c r="Z8638" t="str">
        <f t="shared" si="134"/>
        <v/>
      </c>
    </row>
    <row r="8639" spans="26:26" x14ac:dyDescent="0.2">
      <c r="Z8639" t="str">
        <f t="shared" si="134"/>
        <v/>
      </c>
    </row>
    <row r="8640" spans="26:26" x14ac:dyDescent="0.2">
      <c r="Z8640" t="str">
        <f t="shared" si="134"/>
        <v/>
      </c>
    </row>
    <row r="8641" spans="26:26" x14ac:dyDescent="0.2">
      <c r="Z8641" t="str">
        <f t="shared" si="134"/>
        <v/>
      </c>
    </row>
    <row r="8642" spans="26:26" x14ac:dyDescent="0.2">
      <c r="Z8642" t="str">
        <f t="shared" si="134"/>
        <v/>
      </c>
    </row>
    <row r="8643" spans="26:26" x14ac:dyDescent="0.2">
      <c r="Z8643" t="str">
        <f t="shared" ref="Z8643:Z8706" si="135">IF(K8643="","",IFERROR(VALUE(TRIM(MID(K8643,FIND(CHAR(167),SUBSTITUTE(K8643,"-",CHAR(167),LEN(K8643)-LEN(SUBSTITUTE(K8643,"-",""))))+1,100))),K8643))</f>
        <v/>
      </c>
    </row>
    <row r="8644" spans="26:26" x14ac:dyDescent="0.2">
      <c r="Z8644" t="str">
        <f t="shared" si="135"/>
        <v/>
      </c>
    </row>
    <row r="8645" spans="26:26" x14ac:dyDescent="0.2">
      <c r="Z8645" t="str">
        <f t="shared" si="135"/>
        <v/>
      </c>
    </row>
    <row r="8646" spans="26:26" x14ac:dyDescent="0.2">
      <c r="Z8646" t="str">
        <f t="shared" si="135"/>
        <v/>
      </c>
    </row>
    <row r="8647" spans="26:26" x14ac:dyDescent="0.2">
      <c r="Z8647" t="str">
        <f t="shared" si="135"/>
        <v/>
      </c>
    </row>
    <row r="8648" spans="26:26" x14ac:dyDescent="0.2">
      <c r="Z8648" t="str">
        <f t="shared" si="135"/>
        <v/>
      </c>
    </row>
    <row r="8649" spans="26:26" x14ac:dyDescent="0.2">
      <c r="Z8649" t="str">
        <f t="shared" si="135"/>
        <v/>
      </c>
    </row>
    <row r="8650" spans="26:26" x14ac:dyDescent="0.2">
      <c r="Z8650" t="str">
        <f t="shared" si="135"/>
        <v/>
      </c>
    </row>
    <row r="8651" spans="26:26" x14ac:dyDescent="0.2">
      <c r="Z8651" t="str">
        <f t="shared" si="135"/>
        <v/>
      </c>
    </row>
    <row r="8652" spans="26:26" x14ac:dyDescent="0.2">
      <c r="Z8652" t="str">
        <f t="shared" si="135"/>
        <v/>
      </c>
    </row>
    <row r="8653" spans="26:26" x14ac:dyDescent="0.2">
      <c r="Z8653" t="str">
        <f t="shared" si="135"/>
        <v/>
      </c>
    </row>
    <row r="8654" spans="26:26" x14ac:dyDescent="0.2">
      <c r="Z8654" t="str">
        <f t="shared" si="135"/>
        <v/>
      </c>
    </row>
    <row r="8655" spans="26:26" x14ac:dyDescent="0.2">
      <c r="Z8655" t="str">
        <f t="shared" si="135"/>
        <v/>
      </c>
    </row>
    <row r="8656" spans="26:26" x14ac:dyDescent="0.2">
      <c r="Z8656" t="str">
        <f t="shared" si="135"/>
        <v/>
      </c>
    </row>
    <row r="8657" spans="26:26" x14ac:dyDescent="0.2">
      <c r="Z8657" t="str">
        <f t="shared" si="135"/>
        <v/>
      </c>
    </row>
    <row r="8658" spans="26:26" x14ac:dyDescent="0.2">
      <c r="Z8658" t="str">
        <f t="shared" si="135"/>
        <v/>
      </c>
    </row>
    <row r="8659" spans="26:26" x14ac:dyDescent="0.2">
      <c r="Z8659" t="str">
        <f t="shared" si="135"/>
        <v/>
      </c>
    </row>
    <row r="8660" spans="26:26" x14ac:dyDescent="0.2">
      <c r="Z8660" t="str">
        <f t="shared" si="135"/>
        <v/>
      </c>
    </row>
    <row r="8661" spans="26:26" x14ac:dyDescent="0.2">
      <c r="Z8661" t="str">
        <f t="shared" si="135"/>
        <v/>
      </c>
    </row>
    <row r="8662" spans="26:26" x14ac:dyDescent="0.2">
      <c r="Z8662" t="str">
        <f t="shared" si="135"/>
        <v/>
      </c>
    </row>
    <row r="8663" spans="26:26" x14ac:dyDescent="0.2">
      <c r="Z8663" t="str">
        <f t="shared" si="135"/>
        <v/>
      </c>
    </row>
    <row r="8664" spans="26:26" x14ac:dyDescent="0.2">
      <c r="Z8664" t="str">
        <f t="shared" si="135"/>
        <v/>
      </c>
    </row>
    <row r="8665" spans="26:26" x14ac:dyDescent="0.2">
      <c r="Z8665" t="str">
        <f t="shared" si="135"/>
        <v/>
      </c>
    </row>
    <row r="8666" spans="26:26" x14ac:dyDescent="0.2">
      <c r="Z8666" t="str">
        <f t="shared" si="135"/>
        <v/>
      </c>
    </row>
    <row r="8667" spans="26:26" x14ac:dyDescent="0.2">
      <c r="Z8667" t="str">
        <f t="shared" si="135"/>
        <v/>
      </c>
    </row>
    <row r="8668" spans="26:26" x14ac:dyDescent="0.2">
      <c r="Z8668" t="str">
        <f t="shared" si="135"/>
        <v/>
      </c>
    </row>
    <row r="8669" spans="26:26" x14ac:dyDescent="0.2">
      <c r="Z8669" t="str">
        <f t="shared" si="135"/>
        <v/>
      </c>
    </row>
    <row r="8670" spans="26:26" x14ac:dyDescent="0.2">
      <c r="Z8670" t="str">
        <f t="shared" si="135"/>
        <v/>
      </c>
    </row>
    <row r="8671" spans="26:26" x14ac:dyDescent="0.2">
      <c r="Z8671" t="str">
        <f t="shared" si="135"/>
        <v/>
      </c>
    </row>
    <row r="8672" spans="26:26" x14ac:dyDescent="0.2">
      <c r="Z8672" t="str">
        <f t="shared" si="135"/>
        <v/>
      </c>
    </row>
    <row r="8673" spans="26:26" x14ac:dyDescent="0.2">
      <c r="Z8673" t="str">
        <f t="shared" si="135"/>
        <v/>
      </c>
    </row>
    <row r="8674" spans="26:26" x14ac:dyDescent="0.2">
      <c r="Z8674" t="str">
        <f t="shared" si="135"/>
        <v/>
      </c>
    </row>
    <row r="8675" spans="26:26" x14ac:dyDescent="0.2">
      <c r="Z8675" t="str">
        <f t="shared" si="135"/>
        <v/>
      </c>
    </row>
    <row r="8676" spans="26:26" x14ac:dyDescent="0.2">
      <c r="Z8676" t="str">
        <f t="shared" si="135"/>
        <v/>
      </c>
    </row>
    <row r="8677" spans="26:26" x14ac:dyDescent="0.2">
      <c r="Z8677" t="str">
        <f t="shared" si="135"/>
        <v/>
      </c>
    </row>
    <row r="8678" spans="26:26" x14ac:dyDescent="0.2">
      <c r="Z8678" t="str">
        <f t="shared" si="135"/>
        <v/>
      </c>
    </row>
    <row r="8679" spans="26:26" x14ac:dyDescent="0.2">
      <c r="Z8679" t="str">
        <f t="shared" si="135"/>
        <v/>
      </c>
    </row>
    <row r="8680" spans="26:26" x14ac:dyDescent="0.2">
      <c r="Z8680" t="str">
        <f t="shared" si="135"/>
        <v/>
      </c>
    </row>
    <row r="8681" spans="26:26" x14ac:dyDescent="0.2">
      <c r="Z8681" t="str">
        <f t="shared" si="135"/>
        <v/>
      </c>
    </row>
    <row r="8682" spans="26:26" x14ac:dyDescent="0.2">
      <c r="Z8682" t="str">
        <f t="shared" si="135"/>
        <v/>
      </c>
    </row>
    <row r="8683" spans="26:26" x14ac:dyDescent="0.2">
      <c r="Z8683" t="str">
        <f t="shared" si="135"/>
        <v/>
      </c>
    </row>
    <row r="8684" spans="26:26" x14ac:dyDescent="0.2">
      <c r="Z8684" t="str">
        <f t="shared" si="135"/>
        <v/>
      </c>
    </row>
    <row r="8685" spans="26:26" x14ac:dyDescent="0.2">
      <c r="Z8685" t="str">
        <f t="shared" si="135"/>
        <v/>
      </c>
    </row>
    <row r="8686" spans="26:26" x14ac:dyDescent="0.2">
      <c r="Z8686" t="str">
        <f t="shared" si="135"/>
        <v/>
      </c>
    </row>
    <row r="8687" spans="26:26" x14ac:dyDescent="0.2">
      <c r="Z8687" t="str">
        <f t="shared" si="135"/>
        <v/>
      </c>
    </row>
    <row r="8688" spans="26:26" x14ac:dyDescent="0.2">
      <c r="Z8688" t="str">
        <f t="shared" si="135"/>
        <v/>
      </c>
    </row>
    <row r="8689" spans="26:26" x14ac:dyDescent="0.2">
      <c r="Z8689" t="str">
        <f t="shared" si="135"/>
        <v/>
      </c>
    </row>
    <row r="8690" spans="26:26" x14ac:dyDescent="0.2">
      <c r="Z8690" t="str">
        <f t="shared" si="135"/>
        <v/>
      </c>
    </row>
    <row r="8691" spans="26:26" x14ac:dyDescent="0.2">
      <c r="Z8691" t="str">
        <f t="shared" si="135"/>
        <v/>
      </c>
    </row>
    <row r="8692" spans="26:26" x14ac:dyDescent="0.2">
      <c r="Z8692" t="str">
        <f t="shared" si="135"/>
        <v/>
      </c>
    </row>
    <row r="8693" spans="26:26" x14ac:dyDescent="0.2">
      <c r="Z8693" t="str">
        <f t="shared" si="135"/>
        <v/>
      </c>
    </row>
    <row r="8694" spans="26:26" x14ac:dyDescent="0.2">
      <c r="Z8694" t="str">
        <f t="shared" si="135"/>
        <v/>
      </c>
    </row>
    <row r="8695" spans="26:26" x14ac:dyDescent="0.2">
      <c r="Z8695" t="str">
        <f t="shared" si="135"/>
        <v/>
      </c>
    </row>
    <row r="8696" spans="26:26" x14ac:dyDescent="0.2">
      <c r="Z8696" t="str">
        <f t="shared" si="135"/>
        <v/>
      </c>
    </row>
    <row r="8697" spans="26:26" x14ac:dyDescent="0.2">
      <c r="Z8697" t="str">
        <f t="shared" si="135"/>
        <v/>
      </c>
    </row>
    <row r="8698" spans="26:26" x14ac:dyDescent="0.2">
      <c r="Z8698" t="str">
        <f t="shared" si="135"/>
        <v/>
      </c>
    </row>
    <row r="8699" spans="26:26" x14ac:dyDescent="0.2">
      <c r="Z8699" t="str">
        <f t="shared" si="135"/>
        <v/>
      </c>
    </row>
    <row r="8700" spans="26:26" x14ac:dyDescent="0.2">
      <c r="Z8700" t="str">
        <f t="shared" si="135"/>
        <v/>
      </c>
    </row>
    <row r="8701" spans="26:26" x14ac:dyDescent="0.2">
      <c r="Z8701" t="str">
        <f t="shared" si="135"/>
        <v/>
      </c>
    </row>
    <row r="8702" spans="26:26" x14ac:dyDescent="0.2">
      <c r="Z8702" t="str">
        <f t="shared" si="135"/>
        <v/>
      </c>
    </row>
    <row r="8703" spans="26:26" x14ac:dyDescent="0.2">
      <c r="Z8703" t="str">
        <f t="shared" si="135"/>
        <v/>
      </c>
    </row>
    <row r="8704" spans="26:26" x14ac:dyDescent="0.2">
      <c r="Z8704" t="str">
        <f t="shared" si="135"/>
        <v/>
      </c>
    </row>
    <row r="8705" spans="26:26" x14ac:dyDescent="0.2">
      <c r="Z8705" t="str">
        <f t="shared" si="135"/>
        <v/>
      </c>
    </row>
    <row r="8706" spans="26:26" x14ac:dyDescent="0.2">
      <c r="Z8706" t="str">
        <f t="shared" si="135"/>
        <v/>
      </c>
    </row>
    <row r="8707" spans="26:26" x14ac:dyDescent="0.2">
      <c r="Z8707" t="str">
        <f t="shared" ref="Z8707:Z8770" si="136">IF(K8707="","",IFERROR(VALUE(TRIM(MID(K8707,FIND(CHAR(167),SUBSTITUTE(K8707,"-",CHAR(167),LEN(K8707)-LEN(SUBSTITUTE(K8707,"-",""))))+1,100))),K8707))</f>
        <v/>
      </c>
    </row>
    <row r="8708" spans="26:26" x14ac:dyDescent="0.2">
      <c r="Z8708" t="str">
        <f t="shared" si="136"/>
        <v/>
      </c>
    </row>
    <row r="8709" spans="26:26" x14ac:dyDescent="0.2">
      <c r="Z8709" t="str">
        <f t="shared" si="136"/>
        <v/>
      </c>
    </row>
    <row r="8710" spans="26:26" x14ac:dyDescent="0.2">
      <c r="Z8710" t="str">
        <f t="shared" si="136"/>
        <v/>
      </c>
    </row>
    <row r="8711" spans="26:26" x14ac:dyDescent="0.2">
      <c r="Z8711" t="str">
        <f t="shared" si="136"/>
        <v/>
      </c>
    </row>
    <row r="8712" spans="26:26" x14ac:dyDescent="0.2">
      <c r="Z8712" t="str">
        <f t="shared" si="136"/>
        <v/>
      </c>
    </row>
    <row r="8713" spans="26:26" x14ac:dyDescent="0.2">
      <c r="Z8713" t="str">
        <f t="shared" si="136"/>
        <v/>
      </c>
    </row>
    <row r="8714" spans="26:26" x14ac:dyDescent="0.2">
      <c r="Z8714" t="str">
        <f t="shared" si="136"/>
        <v/>
      </c>
    </row>
    <row r="8715" spans="26:26" x14ac:dyDescent="0.2">
      <c r="Z8715" t="str">
        <f t="shared" si="136"/>
        <v/>
      </c>
    </row>
    <row r="8716" spans="26:26" x14ac:dyDescent="0.2">
      <c r="Z8716" t="str">
        <f t="shared" si="136"/>
        <v/>
      </c>
    </row>
    <row r="8717" spans="26:26" x14ac:dyDescent="0.2">
      <c r="Z8717" t="str">
        <f t="shared" si="136"/>
        <v/>
      </c>
    </row>
    <row r="8718" spans="26:26" x14ac:dyDescent="0.2">
      <c r="Z8718" t="str">
        <f t="shared" si="136"/>
        <v/>
      </c>
    </row>
    <row r="8719" spans="26:26" x14ac:dyDescent="0.2">
      <c r="Z8719" t="str">
        <f t="shared" si="136"/>
        <v/>
      </c>
    </row>
    <row r="8720" spans="26:26" x14ac:dyDescent="0.2">
      <c r="Z8720" t="str">
        <f t="shared" si="136"/>
        <v/>
      </c>
    </row>
    <row r="8721" spans="26:26" x14ac:dyDescent="0.2">
      <c r="Z8721" t="str">
        <f t="shared" si="136"/>
        <v/>
      </c>
    </row>
    <row r="8722" spans="26:26" x14ac:dyDescent="0.2">
      <c r="Z8722" t="str">
        <f t="shared" si="136"/>
        <v/>
      </c>
    </row>
    <row r="8723" spans="26:26" x14ac:dyDescent="0.2">
      <c r="Z8723" t="str">
        <f t="shared" si="136"/>
        <v/>
      </c>
    </row>
    <row r="8724" spans="26:26" x14ac:dyDescent="0.2">
      <c r="Z8724" t="str">
        <f t="shared" si="136"/>
        <v/>
      </c>
    </row>
    <row r="8725" spans="26:26" x14ac:dyDescent="0.2">
      <c r="Z8725" t="str">
        <f t="shared" si="136"/>
        <v/>
      </c>
    </row>
    <row r="8726" spans="26:26" x14ac:dyDescent="0.2">
      <c r="Z8726" t="str">
        <f t="shared" si="136"/>
        <v/>
      </c>
    </row>
    <row r="8727" spans="26:26" x14ac:dyDescent="0.2">
      <c r="Z8727" t="str">
        <f t="shared" si="136"/>
        <v/>
      </c>
    </row>
    <row r="8728" spans="26:26" x14ac:dyDescent="0.2">
      <c r="Z8728" t="str">
        <f t="shared" si="136"/>
        <v/>
      </c>
    </row>
    <row r="8729" spans="26:26" x14ac:dyDescent="0.2">
      <c r="Z8729" t="str">
        <f t="shared" si="136"/>
        <v/>
      </c>
    </row>
    <row r="8730" spans="26:26" x14ac:dyDescent="0.2">
      <c r="Z8730" t="str">
        <f t="shared" si="136"/>
        <v/>
      </c>
    </row>
    <row r="8731" spans="26:26" x14ac:dyDescent="0.2">
      <c r="Z8731" t="str">
        <f t="shared" si="136"/>
        <v/>
      </c>
    </row>
    <row r="8732" spans="26:26" x14ac:dyDescent="0.2">
      <c r="Z8732" t="str">
        <f t="shared" si="136"/>
        <v/>
      </c>
    </row>
    <row r="8733" spans="26:26" x14ac:dyDescent="0.2">
      <c r="Z8733" t="str">
        <f t="shared" si="136"/>
        <v/>
      </c>
    </row>
    <row r="8734" spans="26:26" x14ac:dyDescent="0.2">
      <c r="Z8734" t="str">
        <f t="shared" si="136"/>
        <v/>
      </c>
    </row>
    <row r="8735" spans="26:26" x14ac:dyDescent="0.2">
      <c r="Z8735" t="str">
        <f t="shared" si="136"/>
        <v/>
      </c>
    </row>
    <row r="8736" spans="26:26" x14ac:dyDescent="0.2">
      <c r="Z8736" t="str">
        <f t="shared" si="136"/>
        <v/>
      </c>
    </row>
    <row r="8737" spans="26:26" x14ac:dyDescent="0.2">
      <c r="Z8737" t="str">
        <f t="shared" si="136"/>
        <v/>
      </c>
    </row>
    <row r="8738" spans="26:26" x14ac:dyDescent="0.2">
      <c r="Z8738" t="str">
        <f t="shared" si="136"/>
        <v/>
      </c>
    </row>
    <row r="8739" spans="26:26" x14ac:dyDescent="0.2">
      <c r="Z8739" t="str">
        <f t="shared" si="136"/>
        <v/>
      </c>
    </row>
    <row r="8740" spans="26:26" x14ac:dyDescent="0.2">
      <c r="Z8740" t="str">
        <f t="shared" si="136"/>
        <v/>
      </c>
    </row>
    <row r="8741" spans="26:26" x14ac:dyDescent="0.2">
      <c r="Z8741" t="str">
        <f t="shared" si="136"/>
        <v/>
      </c>
    </row>
    <row r="8742" spans="26:26" x14ac:dyDescent="0.2">
      <c r="Z8742" t="str">
        <f t="shared" si="136"/>
        <v/>
      </c>
    </row>
    <row r="8743" spans="26:26" x14ac:dyDescent="0.2">
      <c r="Z8743" t="str">
        <f t="shared" si="136"/>
        <v/>
      </c>
    </row>
    <row r="8744" spans="26:26" x14ac:dyDescent="0.2">
      <c r="Z8744" t="str">
        <f t="shared" si="136"/>
        <v/>
      </c>
    </row>
    <row r="8745" spans="26:26" x14ac:dyDescent="0.2">
      <c r="Z8745" t="str">
        <f t="shared" si="136"/>
        <v/>
      </c>
    </row>
    <row r="8746" spans="26:26" x14ac:dyDescent="0.2">
      <c r="Z8746" t="str">
        <f t="shared" si="136"/>
        <v/>
      </c>
    </row>
    <row r="8747" spans="26:26" x14ac:dyDescent="0.2">
      <c r="Z8747" t="str">
        <f t="shared" si="136"/>
        <v/>
      </c>
    </row>
    <row r="8748" spans="26:26" x14ac:dyDescent="0.2">
      <c r="Z8748" t="str">
        <f t="shared" si="136"/>
        <v/>
      </c>
    </row>
    <row r="8749" spans="26:26" x14ac:dyDescent="0.2">
      <c r="Z8749" t="str">
        <f t="shared" si="136"/>
        <v/>
      </c>
    </row>
    <row r="8750" spans="26:26" x14ac:dyDescent="0.2">
      <c r="Z8750" t="str">
        <f t="shared" si="136"/>
        <v/>
      </c>
    </row>
    <row r="8751" spans="26:26" x14ac:dyDescent="0.2">
      <c r="Z8751" t="str">
        <f t="shared" si="136"/>
        <v/>
      </c>
    </row>
    <row r="8752" spans="26:26" x14ac:dyDescent="0.2">
      <c r="Z8752" t="str">
        <f t="shared" si="136"/>
        <v/>
      </c>
    </row>
    <row r="8753" spans="26:26" x14ac:dyDescent="0.2">
      <c r="Z8753" t="str">
        <f t="shared" si="136"/>
        <v/>
      </c>
    </row>
    <row r="8754" spans="26:26" x14ac:dyDescent="0.2">
      <c r="Z8754" t="str">
        <f t="shared" si="136"/>
        <v/>
      </c>
    </row>
    <row r="8755" spans="26:26" x14ac:dyDescent="0.2">
      <c r="Z8755" t="str">
        <f t="shared" si="136"/>
        <v/>
      </c>
    </row>
    <row r="8756" spans="26:26" x14ac:dyDescent="0.2">
      <c r="Z8756" t="str">
        <f t="shared" si="136"/>
        <v/>
      </c>
    </row>
    <row r="8757" spans="26:26" x14ac:dyDescent="0.2">
      <c r="Z8757" t="str">
        <f t="shared" si="136"/>
        <v/>
      </c>
    </row>
    <row r="8758" spans="26:26" x14ac:dyDescent="0.2">
      <c r="Z8758" t="str">
        <f t="shared" si="136"/>
        <v/>
      </c>
    </row>
    <row r="8759" spans="26:26" x14ac:dyDescent="0.2">
      <c r="Z8759" t="str">
        <f t="shared" si="136"/>
        <v/>
      </c>
    </row>
    <row r="8760" spans="26:26" x14ac:dyDescent="0.2">
      <c r="Z8760" t="str">
        <f t="shared" si="136"/>
        <v/>
      </c>
    </row>
    <row r="8761" spans="26:26" x14ac:dyDescent="0.2">
      <c r="Z8761" t="str">
        <f t="shared" si="136"/>
        <v/>
      </c>
    </row>
    <row r="8762" spans="26:26" x14ac:dyDescent="0.2">
      <c r="Z8762" t="str">
        <f t="shared" si="136"/>
        <v/>
      </c>
    </row>
    <row r="8763" spans="26:26" x14ac:dyDescent="0.2">
      <c r="Z8763" t="str">
        <f t="shared" si="136"/>
        <v/>
      </c>
    </row>
    <row r="8764" spans="26:26" x14ac:dyDescent="0.2">
      <c r="Z8764" t="str">
        <f t="shared" si="136"/>
        <v/>
      </c>
    </row>
    <row r="8765" spans="26:26" x14ac:dyDescent="0.2">
      <c r="Z8765" t="str">
        <f t="shared" si="136"/>
        <v/>
      </c>
    </row>
    <row r="8766" spans="26:26" x14ac:dyDescent="0.2">
      <c r="Z8766" t="str">
        <f t="shared" si="136"/>
        <v/>
      </c>
    </row>
    <row r="8767" spans="26:26" x14ac:dyDescent="0.2">
      <c r="Z8767" t="str">
        <f t="shared" si="136"/>
        <v/>
      </c>
    </row>
    <row r="8768" spans="26:26" x14ac:dyDescent="0.2">
      <c r="Z8768" t="str">
        <f t="shared" si="136"/>
        <v/>
      </c>
    </row>
    <row r="8769" spans="26:26" x14ac:dyDescent="0.2">
      <c r="Z8769" t="str">
        <f t="shared" si="136"/>
        <v/>
      </c>
    </row>
    <row r="8770" spans="26:26" x14ac:dyDescent="0.2">
      <c r="Z8770" t="str">
        <f t="shared" si="136"/>
        <v/>
      </c>
    </row>
    <row r="8771" spans="26:26" x14ac:dyDescent="0.2">
      <c r="Z8771" t="str">
        <f t="shared" ref="Z8771:Z8834" si="137">IF(K8771="","",IFERROR(VALUE(TRIM(MID(K8771,FIND(CHAR(167),SUBSTITUTE(K8771,"-",CHAR(167),LEN(K8771)-LEN(SUBSTITUTE(K8771,"-",""))))+1,100))),K8771))</f>
        <v/>
      </c>
    </row>
    <row r="8772" spans="26:26" x14ac:dyDescent="0.2">
      <c r="Z8772" t="str">
        <f t="shared" si="137"/>
        <v/>
      </c>
    </row>
    <row r="8773" spans="26:26" x14ac:dyDescent="0.2">
      <c r="Z8773" t="str">
        <f t="shared" si="137"/>
        <v/>
      </c>
    </row>
    <row r="8774" spans="26:26" x14ac:dyDescent="0.2">
      <c r="Z8774" t="str">
        <f t="shared" si="137"/>
        <v/>
      </c>
    </row>
    <row r="8775" spans="26:26" x14ac:dyDescent="0.2">
      <c r="Z8775" t="str">
        <f t="shared" si="137"/>
        <v/>
      </c>
    </row>
    <row r="8776" spans="26:26" x14ac:dyDescent="0.2">
      <c r="Z8776" t="str">
        <f t="shared" si="137"/>
        <v/>
      </c>
    </row>
    <row r="8777" spans="26:26" x14ac:dyDescent="0.2">
      <c r="Z8777" t="str">
        <f t="shared" si="137"/>
        <v/>
      </c>
    </row>
    <row r="8778" spans="26:26" x14ac:dyDescent="0.2">
      <c r="Z8778" t="str">
        <f t="shared" si="137"/>
        <v/>
      </c>
    </row>
    <row r="8779" spans="26:26" x14ac:dyDescent="0.2">
      <c r="Z8779" t="str">
        <f t="shared" si="137"/>
        <v/>
      </c>
    </row>
    <row r="8780" spans="26:26" x14ac:dyDescent="0.2">
      <c r="Z8780" t="str">
        <f t="shared" si="137"/>
        <v/>
      </c>
    </row>
    <row r="8781" spans="26:26" x14ac:dyDescent="0.2">
      <c r="Z8781" t="str">
        <f t="shared" si="137"/>
        <v/>
      </c>
    </row>
    <row r="8782" spans="26:26" x14ac:dyDescent="0.2">
      <c r="Z8782" t="str">
        <f t="shared" si="137"/>
        <v/>
      </c>
    </row>
    <row r="8783" spans="26:26" x14ac:dyDescent="0.2">
      <c r="Z8783" t="str">
        <f t="shared" si="137"/>
        <v/>
      </c>
    </row>
    <row r="8784" spans="26:26" x14ac:dyDescent="0.2">
      <c r="Z8784" t="str">
        <f t="shared" si="137"/>
        <v/>
      </c>
    </row>
    <row r="8785" spans="26:26" x14ac:dyDescent="0.2">
      <c r="Z8785" t="str">
        <f t="shared" si="137"/>
        <v/>
      </c>
    </row>
    <row r="8786" spans="26:26" x14ac:dyDescent="0.2">
      <c r="Z8786" t="str">
        <f t="shared" si="137"/>
        <v/>
      </c>
    </row>
    <row r="8787" spans="26:26" x14ac:dyDescent="0.2">
      <c r="Z8787" t="str">
        <f t="shared" si="137"/>
        <v/>
      </c>
    </row>
    <row r="8788" spans="26:26" x14ac:dyDescent="0.2">
      <c r="Z8788" t="str">
        <f t="shared" si="137"/>
        <v/>
      </c>
    </row>
    <row r="8789" spans="26:26" x14ac:dyDescent="0.2">
      <c r="Z8789" t="str">
        <f t="shared" si="137"/>
        <v/>
      </c>
    </row>
    <row r="8790" spans="26:26" x14ac:dyDescent="0.2">
      <c r="Z8790" t="str">
        <f t="shared" si="137"/>
        <v/>
      </c>
    </row>
    <row r="8791" spans="26:26" x14ac:dyDescent="0.2">
      <c r="Z8791" t="str">
        <f t="shared" si="137"/>
        <v/>
      </c>
    </row>
    <row r="8792" spans="26:26" x14ac:dyDescent="0.2">
      <c r="Z8792" t="str">
        <f t="shared" si="137"/>
        <v/>
      </c>
    </row>
    <row r="8793" spans="26:26" x14ac:dyDescent="0.2">
      <c r="Z8793" t="str">
        <f t="shared" si="137"/>
        <v/>
      </c>
    </row>
    <row r="8794" spans="26:26" x14ac:dyDescent="0.2">
      <c r="Z8794" t="str">
        <f t="shared" si="137"/>
        <v/>
      </c>
    </row>
    <row r="8795" spans="26:26" x14ac:dyDescent="0.2">
      <c r="Z8795" t="str">
        <f t="shared" si="137"/>
        <v/>
      </c>
    </row>
    <row r="8796" spans="26:26" x14ac:dyDescent="0.2">
      <c r="Z8796" t="str">
        <f t="shared" si="137"/>
        <v/>
      </c>
    </row>
    <row r="8797" spans="26:26" x14ac:dyDescent="0.2">
      <c r="Z8797" t="str">
        <f t="shared" si="137"/>
        <v/>
      </c>
    </row>
    <row r="8798" spans="26:26" x14ac:dyDescent="0.2">
      <c r="Z8798" t="str">
        <f t="shared" si="137"/>
        <v/>
      </c>
    </row>
    <row r="8799" spans="26:26" x14ac:dyDescent="0.2">
      <c r="Z8799" t="str">
        <f t="shared" si="137"/>
        <v/>
      </c>
    </row>
    <row r="8800" spans="26:26" x14ac:dyDescent="0.2">
      <c r="Z8800" t="str">
        <f t="shared" si="137"/>
        <v/>
      </c>
    </row>
    <row r="8801" spans="26:26" x14ac:dyDescent="0.2">
      <c r="Z8801" t="str">
        <f t="shared" si="137"/>
        <v/>
      </c>
    </row>
    <row r="8802" spans="26:26" x14ac:dyDescent="0.2">
      <c r="Z8802" t="str">
        <f t="shared" si="137"/>
        <v/>
      </c>
    </row>
    <row r="8803" spans="26:26" x14ac:dyDescent="0.2">
      <c r="Z8803" t="str">
        <f t="shared" si="137"/>
        <v/>
      </c>
    </row>
    <row r="8804" spans="26:26" x14ac:dyDescent="0.2">
      <c r="Z8804" t="str">
        <f t="shared" si="137"/>
        <v/>
      </c>
    </row>
    <row r="8805" spans="26:26" x14ac:dyDescent="0.2">
      <c r="Z8805" t="str">
        <f t="shared" si="137"/>
        <v/>
      </c>
    </row>
    <row r="8806" spans="26:26" x14ac:dyDescent="0.2">
      <c r="Z8806" t="str">
        <f t="shared" si="137"/>
        <v/>
      </c>
    </row>
    <row r="8807" spans="26:26" x14ac:dyDescent="0.2">
      <c r="Z8807" t="str">
        <f t="shared" si="137"/>
        <v/>
      </c>
    </row>
    <row r="8808" spans="26:26" x14ac:dyDescent="0.2">
      <c r="Z8808" t="str">
        <f t="shared" si="137"/>
        <v/>
      </c>
    </row>
    <row r="8809" spans="26:26" x14ac:dyDescent="0.2">
      <c r="Z8809" t="str">
        <f t="shared" si="137"/>
        <v/>
      </c>
    </row>
    <row r="8810" spans="26:26" x14ac:dyDescent="0.2">
      <c r="Z8810" t="str">
        <f t="shared" si="137"/>
        <v/>
      </c>
    </row>
    <row r="8811" spans="26:26" x14ac:dyDescent="0.2">
      <c r="Z8811" t="str">
        <f t="shared" si="137"/>
        <v/>
      </c>
    </row>
    <row r="8812" spans="26:26" x14ac:dyDescent="0.2">
      <c r="Z8812" t="str">
        <f t="shared" si="137"/>
        <v/>
      </c>
    </row>
    <row r="8813" spans="26:26" x14ac:dyDescent="0.2">
      <c r="Z8813" t="str">
        <f t="shared" si="137"/>
        <v/>
      </c>
    </row>
    <row r="8814" spans="26:26" x14ac:dyDescent="0.2">
      <c r="Z8814" t="str">
        <f t="shared" si="137"/>
        <v/>
      </c>
    </row>
    <row r="8815" spans="26:26" x14ac:dyDescent="0.2">
      <c r="Z8815" t="str">
        <f t="shared" si="137"/>
        <v/>
      </c>
    </row>
    <row r="8816" spans="26:26" x14ac:dyDescent="0.2">
      <c r="Z8816" t="str">
        <f t="shared" si="137"/>
        <v/>
      </c>
    </row>
    <row r="8817" spans="26:26" x14ac:dyDescent="0.2">
      <c r="Z8817" t="str">
        <f t="shared" si="137"/>
        <v/>
      </c>
    </row>
    <row r="8818" spans="26:26" x14ac:dyDescent="0.2">
      <c r="Z8818" t="str">
        <f t="shared" si="137"/>
        <v/>
      </c>
    </row>
    <row r="8819" spans="26:26" x14ac:dyDescent="0.2">
      <c r="Z8819" t="str">
        <f t="shared" si="137"/>
        <v/>
      </c>
    </row>
    <row r="8820" spans="26:26" x14ac:dyDescent="0.2">
      <c r="Z8820" t="str">
        <f t="shared" si="137"/>
        <v/>
      </c>
    </row>
    <row r="8821" spans="26:26" x14ac:dyDescent="0.2">
      <c r="Z8821" t="str">
        <f t="shared" si="137"/>
        <v/>
      </c>
    </row>
    <row r="8822" spans="26:26" x14ac:dyDescent="0.2">
      <c r="Z8822" t="str">
        <f t="shared" si="137"/>
        <v/>
      </c>
    </row>
    <row r="8823" spans="26:26" x14ac:dyDescent="0.2">
      <c r="Z8823" t="str">
        <f t="shared" si="137"/>
        <v/>
      </c>
    </row>
    <row r="8824" spans="26:26" x14ac:dyDescent="0.2">
      <c r="Z8824" t="str">
        <f t="shared" si="137"/>
        <v/>
      </c>
    </row>
    <row r="8825" spans="26:26" x14ac:dyDescent="0.2">
      <c r="Z8825" t="str">
        <f t="shared" si="137"/>
        <v/>
      </c>
    </row>
    <row r="8826" spans="26:26" x14ac:dyDescent="0.2">
      <c r="Z8826" t="str">
        <f t="shared" si="137"/>
        <v/>
      </c>
    </row>
    <row r="8827" spans="26:26" x14ac:dyDescent="0.2">
      <c r="Z8827" t="str">
        <f t="shared" si="137"/>
        <v/>
      </c>
    </row>
    <row r="8828" spans="26:26" x14ac:dyDescent="0.2">
      <c r="Z8828" t="str">
        <f t="shared" si="137"/>
        <v/>
      </c>
    </row>
    <row r="8829" spans="26:26" x14ac:dyDescent="0.2">
      <c r="Z8829" t="str">
        <f t="shared" si="137"/>
        <v/>
      </c>
    </row>
    <row r="8830" spans="26:26" x14ac:dyDescent="0.2">
      <c r="Z8830" t="str">
        <f t="shared" si="137"/>
        <v/>
      </c>
    </row>
    <row r="8831" spans="26:26" x14ac:dyDescent="0.2">
      <c r="Z8831" t="str">
        <f t="shared" si="137"/>
        <v/>
      </c>
    </row>
    <row r="8832" spans="26:26" x14ac:dyDescent="0.2">
      <c r="Z8832" t="str">
        <f t="shared" si="137"/>
        <v/>
      </c>
    </row>
    <row r="8833" spans="26:26" x14ac:dyDescent="0.2">
      <c r="Z8833" t="str">
        <f t="shared" si="137"/>
        <v/>
      </c>
    </row>
    <row r="8834" spans="26:26" x14ac:dyDescent="0.2">
      <c r="Z8834" t="str">
        <f t="shared" si="137"/>
        <v/>
      </c>
    </row>
    <row r="8835" spans="26:26" x14ac:dyDescent="0.2">
      <c r="Z8835" t="str">
        <f t="shared" ref="Z8835:Z8898" si="138">IF(K8835="","",IFERROR(VALUE(TRIM(MID(K8835,FIND(CHAR(167),SUBSTITUTE(K8835,"-",CHAR(167),LEN(K8835)-LEN(SUBSTITUTE(K8835,"-",""))))+1,100))),K8835))</f>
        <v/>
      </c>
    </row>
    <row r="8836" spans="26:26" x14ac:dyDescent="0.2">
      <c r="Z8836" t="str">
        <f t="shared" si="138"/>
        <v/>
      </c>
    </row>
    <row r="8837" spans="26:26" x14ac:dyDescent="0.2">
      <c r="Z8837" t="str">
        <f t="shared" si="138"/>
        <v/>
      </c>
    </row>
    <row r="8838" spans="26:26" x14ac:dyDescent="0.2">
      <c r="Z8838" t="str">
        <f t="shared" si="138"/>
        <v/>
      </c>
    </row>
    <row r="8839" spans="26:26" x14ac:dyDescent="0.2">
      <c r="Z8839" t="str">
        <f t="shared" si="138"/>
        <v/>
      </c>
    </row>
    <row r="8840" spans="26:26" x14ac:dyDescent="0.2">
      <c r="Z8840" t="str">
        <f t="shared" si="138"/>
        <v/>
      </c>
    </row>
    <row r="8841" spans="26:26" x14ac:dyDescent="0.2">
      <c r="Z8841" t="str">
        <f t="shared" si="138"/>
        <v/>
      </c>
    </row>
    <row r="8842" spans="26:26" x14ac:dyDescent="0.2">
      <c r="Z8842" t="str">
        <f t="shared" si="138"/>
        <v/>
      </c>
    </row>
    <row r="8843" spans="26:26" x14ac:dyDescent="0.2">
      <c r="Z8843" t="str">
        <f t="shared" si="138"/>
        <v/>
      </c>
    </row>
    <row r="8844" spans="26:26" x14ac:dyDescent="0.2">
      <c r="Z8844" t="str">
        <f t="shared" si="138"/>
        <v/>
      </c>
    </row>
    <row r="8845" spans="26:26" x14ac:dyDescent="0.2">
      <c r="Z8845" t="str">
        <f t="shared" si="138"/>
        <v/>
      </c>
    </row>
    <row r="8846" spans="26:26" x14ac:dyDescent="0.2">
      <c r="Z8846" t="str">
        <f t="shared" si="138"/>
        <v/>
      </c>
    </row>
    <row r="8847" spans="26:26" x14ac:dyDescent="0.2">
      <c r="Z8847" t="str">
        <f t="shared" si="138"/>
        <v/>
      </c>
    </row>
    <row r="8848" spans="26:26" x14ac:dyDescent="0.2">
      <c r="Z8848" t="str">
        <f t="shared" si="138"/>
        <v/>
      </c>
    </row>
    <row r="8849" spans="26:26" x14ac:dyDescent="0.2">
      <c r="Z8849" t="str">
        <f t="shared" si="138"/>
        <v/>
      </c>
    </row>
    <row r="8850" spans="26:26" x14ac:dyDescent="0.2">
      <c r="Z8850" t="str">
        <f t="shared" si="138"/>
        <v/>
      </c>
    </row>
    <row r="8851" spans="26:26" x14ac:dyDescent="0.2">
      <c r="Z8851" t="str">
        <f t="shared" si="138"/>
        <v/>
      </c>
    </row>
    <row r="8852" spans="26:26" x14ac:dyDescent="0.2">
      <c r="Z8852" t="str">
        <f t="shared" si="138"/>
        <v/>
      </c>
    </row>
    <row r="8853" spans="26:26" x14ac:dyDescent="0.2">
      <c r="Z8853" t="str">
        <f t="shared" si="138"/>
        <v/>
      </c>
    </row>
    <row r="8854" spans="26:26" x14ac:dyDescent="0.2">
      <c r="Z8854" t="str">
        <f t="shared" si="138"/>
        <v/>
      </c>
    </row>
    <row r="8855" spans="26:26" x14ac:dyDescent="0.2">
      <c r="Z8855" t="str">
        <f t="shared" si="138"/>
        <v/>
      </c>
    </row>
    <row r="8856" spans="26:26" x14ac:dyDescent="0.2">
      <c r="Z8856" t="str">
        <f t="shared" si="138"/>
        <v/>
      </c>
    </row>
    <row r="8857" spans="26:26" x14ac:dyDescent="0.2">
      <c r="Z8857" t="str">
        <f t="shared" si="138"/>
        <v/>
      </c>
    </row>
    <row r="8858" spans="26:26" x14ac:dyDescent="0.2">
      <c r="Z8858" t="str">
        <f t="shared" si="138"/>
        <v/>
      </c>
    </row>
    <row r="8859" spans="26:26" x14ac:dyDescent="0.2">
      <c r="Z8859" t="str">
        <f t="shared" si="138"/>
        <v/>
      </c>
    </row>
    <row r="8860" spans="26:26" x14ac:dyDescent="0.2">
      <c r="Z8860" t="str">
        <f t="shared" si="138"/>
        <v/>
      </c>
    </row>
    <row r="8861" spans="26:26" x14ac:dyDescent="0.2">
      <c r="Z8861" t="str">
        <f t="shared" si="138"/>
        <v/>
      </c>
    </row>
    <row r="8862" spans="26:26" x14ac:dyDescent="0.2">
      <c r="Z8862" t="str">
        <f t="shared" si="138"/>
        <v/>
      </c>
    </row>
    <row r="8863" spans="26:26" x14ac:dyDescent="0.2">
      <c r="Z8863" t="str">
        <f t="shared" si="138"/>
        <v/>
      </c>
    </row>
    <row r="8864" spans="26:26" x14ac:dyDescent="0.2">
      <c r="Z8864" t="str">
        <f t="shared" si="138"/>
        <v/>
      </c>
    </row>
    <row r="8865" spans="26:26" x14ac:dyDescent="0.2">
      <c r="Z8865" t="str">
        <f t="shared" si="138"/>
        <v/>
      </c>
    </row>
    <row r="8866" spans="26:26" x14ac:dyDescent="0.2">
      <c r="Z8866" t="str">
        <f t="shared" si="138"/>
        <v/>
      </c>
    </row>
    <row r="8867" spans="26:26" x14ac:dyDescent="0.2">
      <c r="Z8867" t="str">
        <f t="shared" si="138"/>
        <v/>
      </c>
    </row>
    <row r="8868" spans="26:26" x14ac:dyDescent="0.2">
      <c r="Z8868" t="str">
        <f t="shared" si="138"/>
        <v/>
      </c>
    </row>
    <row r="8869" spans="26:26" x14ac:dyDescent="0.2">
      <c r="Z8869" t="str">
        <f t="shared" si="138"/>
        <v/>
      </c>
    </row>
    <row r="8870" spans="26:26" x14ac:dyDescent="0.2">
      <c r="Z8870" t="str">
        <f t="shared" si="138"/>
        <v/>
      </c>
    </row>
    <row r="8871" spans="26:26" x14ac:dyDescent="0.2">
      <c r="Z8871" t="str">
        <f t="shared" si="138"/>
        <v/>
      </c>
    </row>
    <row r="8872" spans="26:26" x14ac:dyDescent="0.2">
      <c r="Z8872" t="str">
        <f t="shared" si="138"/>
        <v/>
      </c>
    </row>
    <row r="8873" spans="26:26" x14ac:dyDescent="0.2">
      <c r="Z8873" t="str">
        <f t="shared" si="138"/>
        <v/>
      </c>
    </row>
    <row r="8874" spans="26:26" x14ac:dyDescent="0.2">
      <c r="Z8874" t="str">
        <f t="shared" si="138"/>
        <v/>
      </c>
    </row>
    <row r="8875" spans="26:26" x14ac:dyDescent="0.2">
      <c r="Z8875" t="str">
        <f t="shared" si="138"/>
        <v/>
      </c>
    </row>
    <row r="8876" spans="26:26" x14ac:dyDescent="0.2">
      <c r="Z8876" t="str">
        <f t="shared" si="138"/>
        <v/>
      </c>
    </row>
    <row r="8877" spans="26:26" x14ac:dyDescent="0.2">
      <c r="Z8877" t="str">
        <f t="shared" si="138"/>
        <v/>
      </c>
    </row>
    <row r="8878" spans="26:26" x14ac:dyDescent="0.2">
      <c r="Z8878" t="str">
        <f t="shared" si="138"/>
        <v/>
      </c>
    </row>
    <row r="8879" spans="26:26" x14ac:dyDescent="0.2">
      <c r="Z8879" t="str">
        <f t="shared" si="138"/>
        <v/>
      </c>
    </row>
    <row r="8880" spans="26:26" x14ac:dyDescent="0.2">
      <c r="Z8880" t="str">
        <f t="shared" si="138"/>
        <v/>
      </c>
    </row>
    <row r="8881" spans="26:26" x14ac:dyDescent="0.2">
      <c r="Z8881" t="str">
        <f t="shared" si="138"/>
        <v/>
      </c>
    </row>
    <row r="8882" spans="26:26" x14ac:dyDescent="0.2">
      <c r="Z8882" t="str">
        <f t="shared" si="138"/>
        <v/>
      </c>
    </row>
    <row r="8883" spans="26:26" x14ac:dyDescent="0.2">
      <c r="Z8883" t="str">
        <f t="shared" si="138"/>
        <v/>
      </c>
    </row>
    <row r="8884" spans="26:26" x14ac:dyDescent="0.2">
      <c r="Z8884" t="str">
        <f t="shared" si="138"/>
        <v/>
      </c>
    </row>
    <row r="8885" spans="26:26" x14ac:dyDescent="0.2">
      <c r="Z8885" t="str">
        <f t="shared" si="138"/>
        <v/>
      </c>
    </row>
    <row r="8886" spans="26:26" x14ac:dyDescent="0.2">
      <c r="Z8886" t="str">
        <f t="shared" si="138"/>
        <v/>
      </c>
    </row>
    <row r="8887" spans="26:26" x14ac:dyDescent="0.2">
      <c r="Z8887" t="str">
        <f t="shared" si="138"/>
        <v/>
      </c>
    </row>
    <row r="8888" spans="26:26" x14ac:dyDescent="0.2">
      <c r="Z8888" t="str">
        <f t="shared" si="138"/>
        <v/>
      </c>
    </row>
    <row r="8889" spans="26:26" x14ac:dyDescent="0.2">
      <c r="Z8889" t="str">
        <f t="shared" si="138"/>
        <v/>
      </c>
    </row>
    <row r="8890" spans="26:26" x14ac:dyDescent="0.2">
      <c r="Z8890" t="str">
        <f t="shared" si="138"/>
        <v/>
      </c>
    </row>
    <row r="8891" spans="26:26" x14ac:dyDescent="0.2">
      <c r="Z8891" t="str">
        <f t="shared" si="138"/>
        <v/>
      </c>
    </row>
    <row r="8892" spans="26:26" x14ac:dyDescent="0.2">
      <c r="Z8892" t="str">
        <f t="shared" si="138"/>
        <v/>
      </c>
    </row>
    <row r="8893" spans="26:26" x14ac:dyDescent="0.2">
      <c r="Z8893" t="str">
        <f t="shared" si="138"/>
        <v/>
      </c>
    </row>
    <row r="8894" spans="26:26" x14ac:dyDescent="0.2">
      <c r="Z8894" t="str">
        <f t="shared" si="138"/>
        <v/>
      </c>
    </row>
    <row r="8895" spans="26:26" x14ac:dyDescent="0.2">
      <c r="Z8895" t="str">
        <f t="shared" si="138"/>
        <v/>
      </c>
    </row>
    <row r="8896" spans="26:26" x14ac:dyDescent="0.2">
      <c r="Z8896" t="str">
        <f t="shared" si="138"/>
        <v/>
      </c>
    </row>
    <row r="8897" spans="26:26" x14ac:dyDescent="0.2">
      <c r="Z8897" t="str">
        <f t="shared" si="138"/>
        <v/>
      </c>
    </row>
    <row r="8898" spans="26:26" x14ac:dyDescent="0.2">
      <c r="Z8898" t="str">
        <f t="shared" si="138"/>
        <v/>
      </c>
    </row>
    <row r="8899" spans="26:26" x14ac:dyDescent="0.2">
      <c r="Z8899" t="str">
        <f t="shared" ref="Z8899:Z8962" si="139">IF(K8899="","",IFERROR(VALUE(TRIM(MID(K8899,FIND(CHAR(167),SUBSTITUTE(K8899,"-",CHAR(167),LEN(K8899)-LEN(SUBSTITUTE(K8899,"-",""))))+1,100))),K8899))</f>
        <v/>
      </c>
    </row>
    <row r="8900" spans="26:26" x14ac:dyDescent="0.2">
      <c r="Z8900" t="str">
        <f t="shared" si="139"/>
        <v/>
      </c>
    </row>
    <row r="8901" spans="26:26" x14ac:dyDescent="0.2">
      <c r="Z8901" t="str">
        <f t="shared" si="139"/>
        <v/>
      </c>
    </row>
    <row r="8902" spans="26:26" x14ac:dyDescent="0.2">
      <c r="Z8902" t="str">
        <f t="shared" si="139"/>
        <v/>
      </c>
    </row>
    <row r="8903" spans="26:26" x14ac:dyDescent="0.2">
      <c r="Z8903" t="str">
        <f t="shared" si="139"/>
        <v/>
      </c>
    </row>
    <row r="8904" spans="26:26" x14ac:dyDescent="0.2">
      <c r="Z8904" t="str">
        <f t="shared" si="139"/>
        <v/>
      </c>
    </row>
    <row r="8905" spans="26:26" x14ac:dyDescent="0.2">
      <c r="Z8905" t="str">
        <f t="shared" si="139"/>
        <v/>
      </c>
    </row>
    <row r="8906" spans="26:26" x14ac:dyDescent="0.2">
      <c r="Z8906" t="str">
        <f t="shared" si="139"/>
        <v/>
      </c>
    </row>
    <row r="8907" spans="26:26" x14ac:dyDescent="0.2">
      <c r="Z8907" t="str">
        <f t="shared" si="139"/>
        <v/>
      </c>
    </row>
    <row r="8908" spans="26:26" x14ac:dyDescent="0.2">
      <c r="Z8908" t="str">
        <f t="shared" si="139"/>
        <v/>
      </c>
    </row>
    <row r="8909" spans="26:26" x14ac:dyDescent="0.2">
      <c r="Z8909" t="str">
        <f t="shared" si="139"/>
        <v/>
      </c>
    </row>
    <row r="8910" spans="26:26" x14ac:dyDescent="0.2">
      <c r="Z8910" t="str">
        <f t="shared" si="139"/>
        <v/>
      </c>
    </row>
    <row r="8911" spans="26:26" x14ac:dyDescent="0.2">
      <c r="Z8911" t="str">
        <f t="shared" si="139"/>
        <v/>
      </c>
    </row>
    <row r="8912" spans="26:26" x14ac:dyDescent="0.2">
      <c r="Z8912" t="str">
        <f t="shared" si="139"/>
        <v/>
      </c>
    </row>
    <row r="8913" spans="26:26" x14ac:dyDescent="0.2">
      <c r="Z8913" t="str">
        <f t="shared" si="139"/>
        <v/>
      </c>
    </row>
    <row r="8914" spans="26:26" x14ac:dyDescent="0.2">
      <c r="Z8914" t="str">
        <f t="shared" si="139"/>
        <v/>
      </c>
    </row>
    <row r="8915" spans="26:26" x14ac:dyDescent="0.2">
      <c r="Z8915" t="str">
        <f t="shared" si="139"/>
        <v/>
      </c>
    </row>
    <row r="8916" spans="26:26" x14ac:dyDescent="0.2">
      <c r="Z8916" t="str">
        <f t="shared" si="139"/>
        <v/>
      </c>
    </row>
    <row r="8917" spans="26:26" x14ac:dyDescent="0.2">
      <c r="Z8917" t="str">
        <f t="shared" si="139"/>
        <v/>
      </c>
    </row>
    <row r="8918" spans="26:26" x14ac:dyDescent="0.2">
      <c r="Z8918" t="str">
        <f t="shared" si="139"/>
        <v/>
      </c>
    </row>
    <row r="8919" spans="26:26" x14ac:dyDescent="0.2">
      <c r="Z8919" t="str">
        <f t="shared" si="139"/>
        <v/>
      </c>
    </row>
    <row r="8920" spans="26:26" x14ac:dyDescent="0.2">
      <c r="Z8920" t="str">
        <f t="shared" si="139"/>
        <v/>
      </c>
    </row>
    <row r="8921" spans="26:26" x14ac:dyDescent="0.2">
      <c r="Z8921" t="str">
        <f t="shared" si="139"/>
        <v/>
      </c>
    </row>
    <row r="8922" spans="26:26" x14ac:dyDescent="0.2">
      <c r="Z8922" t="str">
        <f t="shared" si="139"/>
        <v/>
      </c>
    </row>
    <row r="8923" spans="26:26" x14ac:dyDescent="0.2">
      <c r="Z8923" t="str">
        <f t="shared" si="139"/>
        <v/>
      </c>
    </row>
    <row r="8924" spans="26:26" x14ac:dyDescent="0.2">
      <c r="Z8924" t="str">
        <f t="shared" si="139"/>
        <v/>
      </c>
    </row>
    <row r="8925" spans="26:26" x14ac:dyDescent="0.2">
      <c r="Z8925" t="str">
        <f t="shared" si="139"/>
        <v/>
      </c>
    </row>
    <row r="8926" spans="26:26" x14ac:dyDescent="0.2">
      <c r="Z8926" t="str">
        <f t="shared" si="139"/>
        <v/>
      </c>
    </row>
    <row r="8927" spans="26:26" x14ac:dyDescent="0.2">
      <c r="Z8927" t="str">
        <f t="shared" si="139"/>
        <v/>
      </c>
    </row>
    <row r="8928" spans="26:26" x14ac:dyDescent="0.2">
      <c r="Z8928" t="str">
        <f t="shared" si="139"/>
        <v/>
      </c>
    </row>
    <row r="8929" spans="26:26" x14ac:dyDescent="0.2">
      <c r="Z8929" t="str">
        <f t="shared" si="139"/>
        <v/>
      </c>
    </row>
    <row r="8930" spans="26:26" x14ac:dyDescent="0.2">
      <c r="Z8930" t="str">
        <f t="shared" si="139"/>
        <v/>
      </c>
    </row>
    <row r="8931" spans="26:26" x14ac:dyDescent="0.2">
      <c r="Z8931" t="str">
        <f t="shared" si="139"/>
        <v/>
      </c>
    </row>
    <row r="8932" spans="26:26" x14ac:dyDescent="0.2">
      <c r="Z8932" t="str">
        <f t="shared" si="139"/>
        <v/>
      </c>
    </row>
    <row r="8933" spans="26:26" x14ac:dyDescent="0.2">
      <c r="Z8933" t="str">
        <f t="shared" si="139"/>
        <v/>
      </c>
    </row>
    <row r="8934" spans="26:26" x14ac:dyDescent="0.2">
      <c r="Z8934" t="str">
        <f t="shared" si="139"/>
        <v/>
      </c>
    </row>
    <row r="8935" spans="26:26" x14ac:dyDescent="0.2">
      <c r="Z8935" t="str">
        <f t="shared" si="139"/>
        <v/>
      </c>
    </row>
    <row r="8936" spans="26:26" x14ac:dyDescent="0.2">
      <c r="Z8936" t="str">
        <f t="shared" si="139"/>
        <v/>
      </c>
    </row>
    <row r="8937" spans="26:26" x14ac:dyDescent="0.2">
      <c r="Z8937" t="str">
        <f t="shared" si="139"/>
        <v/>
      </c>
    </row>
    <row r="8938" spans="26:26" x14ac:dyDescent="0.2">
      <c r="Z8938" t="str">
        <f t="shared" si="139"/>
        <v/>
      </c>
    </row>
    <row r="8939" spans="26:26" x14ac:dyDescent="0.2">
      <c r="Z8939" t="str">
        <f t="shared" si="139"/>
        <v/>
      </c>
    </row>
    <row r="8940" spans="26:26" x14ac:dyDescent="0.2">
      <c r="Z8940" t="str">
        <f t="shared" si="139"/>
        <v/>
      </c>
    </row>
    <row r="8941" spans="26:26" x14ac:dyDescent="0.2">
      <c r="Z8941" t="str">
        <f t="shared" si="139"/>
        <v/>
      </c>
    </row>
    <row r="8942" spans="26:26" x14ac:dyDescent="0.2">
      <c r="Z8942" t="str">
        <f t="shared" si="139"/>
        <v/>
      </c>
    </row>
    <row r="8943" spans="26:26" x14ac:dyDescent="0.2">
      <c r="Z8943" t="str">
        <f t="shared" si="139"/>
        <v/>
      </c>
    </row>
    <row r="8944" spans="26:26" x14ac:dyDescent="0.2">
      <c r="Z8944" t="str">
        <f t="shared" si="139"/>
        <v/>
      </c>
    </row>
    <row r="8945" spans="26:26" x14ac:dyDescent="0.2">
      <c r="Z8945" t="str">
        <f t="shared" si="139"/>
        <v/>
      </c>
    </row>
    <row r="8946" spans="26:26" x14ac:dyDescent="0.2">
      <c r="Z8946" t="str">
        <f t="shared" si="139"/>
        <v/>
      </c>
    </row>
    <row r="8947" spans="26:26" x14ac:dyDescent="0.2">
      <c r="Z8947" t="str">
        <f t="shared" si="139"/>
        <v/>
      </c>
    </row>
    <row r="8948" spans="26:26" x14ac:dyDescent="0.2">
      <c r="Z8948" t="str">
        <f t="shared" si="139"/>
        <v/>
      </c>
    </row>
    <row r="8949" spans="26:26" x14ac:dyDescent="0.2">
      <c r="Z8949" t="str">
        <f t="shared" si="139"/>
        <v/>
      </c>
    </row>
    <row r="8950" spans="26:26" x14ac:dyDescent="0.2">
      <c r="Z8950" t="str">
        <f t="shared" si="139"/>
        <v/>
      </c>
    </row>
    <row r="8951" spans="26:26" x14ac:dyDescent="0.2">
      <c r="Z8951" t="str">
        <f t="shared" si="139"/>
        <v/>
      </c>
    </row>
    <row r="8952" spans="26:26" x14ac:dyDescent="0.2">
      <c r="Z8952" t="str">
        <f t="shared" si="139"/>
        <v/>
      </c>
    </row>
    <row r="8953" spans="26:26" x14ac:dyDescent="0.2">
      <c r="Z8953" t="str">
        <f t="shared" si="139"/>
        <v/>
      </c>
    </row>
    <row r="8954" spans="26:26" x14ac:dyDescent="0.2">
      <c r="Z8954" t="str">
        <f t="shared" si="139"/>
        <v/>
      </c>
    </row>
    <row r="8955" spans="26:26" x14ac:dyDescent="0.2">
      <c r="Z8955" t="str">
        <f t="shared" si="139"/>
        <v/>
      </c>
    </row>
    <row r="8956" spans="26:26" x14ac:dyDescent="0.2">
      <c r="Z8956" t="str">
        <f t="shared" si="139"/>
        <v/>
      </c>
    </row>
    <row r="8957" spans="26:26" x14ac:dyDescent="0.2">
      <c r="Z8957" t="str">
        <f t="shared" si="139"/>
        <v/>
      </c>
    </row>
    <row r="8958" spans="26:26" x14ac:dyDescent="0.2">
      <c r="Z8958" t="str">
        <f t="shared" si="139"/>
        <v/>
      </c>
    </row>
    <row r="8959" spans="26:26" x14ac:dyDescent="0.2">
      <c r="Z8959" t="str">
        <f t="shared" si="139"/>
        <v/>
      </c>
    </row>
    <row r="8960" spans="26:26" x14ac:dyDescent="0.2">
      <c r="Z8960" t="str">
        <f t="shared" si="139"/>
        <v/>
      </c>
    </row>
    <row r="8961" spans="26:26" x14ac:dyDescent="0.2">
      <c r="Z8961" t="str">
        <f t="shared" si="139"/>
        <v/>
      </c>
    </row>
    <row r="8962" spans="26:26" x14ac:dyDescent="0.2">
      <c r="Z8962" t="str">
        <f t="shared" si="139"/>
        <v/>
      </c>
    </row>
    <row r="8963" spans="26:26" x14ac:dyDescent="0.2">
      <c r="Z8963" t="str">
        <f t="shared" ref="Z8963:Z9026" si="140">IF(K8963="","",IFERROR(VALUE(TRIM(MID(K8963,FIND(CHAR(167),SUBSTITUTE(K8963,"-",CHAR(167),LEN(K8963)-LEN(SUBSTITUTE(K8963,"-",""))))+1,100))),K8963))</f>
        <v/>
      </c>
    </row>
    <row r="8964" spans="26:26" x14ac:dyDescent="0.2">
      <c r="Z8964" t="str">
        <f t="shared" si="140"/>
        <v/>
      </c>
    </row>
    <row r="8965" spans="26:26" x14ac:dyDescent="0.2">
      <c r="Z8965" t="str">
        <f t="shared" si="140"/>
        <v/>
      </c>
    </row>
    <row r="8966" spans="26:26" x14ac:dyDescent="0.2">
      <c r="Z8966" t="str">
        <f t="shared" si="140"/>
        <v/>
      </c>
    </row>
    <row r="8967" spans="26:26" x14ac:dyDescent="0.2">
      <c r="Z8967" t="str">
        <f t="shared" si="140"/>
        <v/>
      </c>
    </row>
    <row r="8968" spans="26:26" x14ac:dyDescent="0.2">
      <c r="Z8968" t="str">
        <f t="shared" si="140"/>
        <v/>
      </c>
    </row>
    <row r="8969" spans="26:26" x14ac:dyDescent="0.2">
      <c r="Z8969" t="str">
        <f t="shared" si="140"/>
        <v/>
      </c>
    </row>
    <row r="8970" spans="26:26" x14ac:dyDescent="0.2">
      <c r="Z8970" t="str">
        <f t="shared" si="140"/>
        <v/>
      </c>
    </row>
    <row r="8971" spans="26:26" x14ac:dyDescent="0.2">
      <c r="Z8971" t="str">
        <f t="shared" si="140"/>
        <v/>
      </c>
    </row>
    <row r="8972" spans="26:26" x14ac:dyDescent="0.2">
      <c r="Z8972" t="str">
        <f t="shared" si="140"/>
        <v/>
      </c>
    </row>
    <row r="8973" spans="26:26" x14ac:dyDescent="0.2">
      <c r="Z8973" t="str">
        <f t="shared" si="140"/>
        <v/>
      </c>
    </row>
    <row r="8974" spans="26:26" x14ac:dyDescent="0.2">
      <c r="Z8974" t="str">
        <f t="shared" si="140"/>
        <v/>
      </c>
    </row>
    <row r="8975" spans="26:26" x14ac:dyDescent="0.2">
      <c r="Z8975" t="str">
        <f t="shared" si="140"/>
        <v/>
      </c>
    </row>
    <row r="8976" spans="26:26" x14ac:dyDescent="0.2">
      <c r="Z8976" t="str">
        <f t="shared" si="140"/>
        <v/>
      </c>
    </row>
    <row r="8977" spans="26:26" x14ac:dyDescent="0.2">
      <c r="Z8977" t="str">
        <f t="shared" si="140"/>
        <v/>
      </c>
    </row>
    <row r="8978" spans="26:26" x14ac:dyDescent="0.2">
      <c r="Z8978" t="str">
        <f t="shared" si="140"/>
        <v/>
      </c>
    </row>
    <row r="8979" spans="26:26" x14ac:dyDescent="0.2">
      <c r="Z8979" t="str">
        <f t="shared" si="140"/>
        <v/>
      </c>
    </row>
    <row r="8980" spans="26:26" x14ac:dyDescent="0.2">
      <c r="Z8980" t="str">
        <f t="shared" si="140"/>
        <v/>
      </c>
    </row>
    <row r="8981" spans="26:26" x14ac:dyDescent="0.2">
      <c r="Z8981" t="str">
        <f t="shared" si="140"/>
        <v/>
      </c>
    </row>
    <row r="8982" spans="26:26" x14ac:dyDescent="0.2">
      <c r="Z8982" t="str">
        <f t="shared" si="140"/>
        <v/>
      </c>
    </row>
    <row r="8983" spans="26:26" x14ac:dyDescent="0.2">
      <c r="Z8983" t="str">
        <f t="shared" si="140"/>
        <v/>
      </c>
    </row>
    <row r="8984" spans="26:26" x14ac:dyDescent="0.2">
      <c r="Z8984" t="str">
        <f t="shared" si="140"/>
        <v/>
      </c>
    </row>
    <row r="8985" spans="26:26" x14ac:dyDescent="0.2">
      <c r="Z8985" t="str">
        <f t="shared" si="140"/>
        <v/>
      </c>
    </row>
    <row r="8986" spans="26:26" x14ac:dyDescent="0.2">
      <c r="Z8986" t="str">
        <f t="shared" si="140"/>
        <v/>
      </c>
    </row>
    <row r="8987" spans="26:26" x14ac:dyDescent="0.2">
      <c r="Z8987" t="str">
        <f t="shared" si="140"/>
        <v/>
      </c>
    </row>
    <row r="8988" spans="26:26" x14ac:dyDescent="0.2">
      <c r="Z8988" t="str">
        <f t="shared" si="140"/>
        <v/>
      </c>
    </row>
    <row r="8989" spans="26:26" x14ac:dyDescent="0.2">
      <c r="Z8989" t="str">
        <f t="shared" si="140"/>
        <v/>
      </c>
    </row>
    <row r="8990" spans="26:26" x14ac:dyDescent="0.2">
      <c r="Z8990" t="str">
        <f t="shared" si="140"/>
        <v/>
      </c>
    </row>
    <row r="8991" spans="26:26" x14ac:dyDescent="0.2">
      <c r="Z8991" t="str">
        <f t="shared" si="140"/>
        <v/>
      </c>
    </row>
    <row r="8992" spans="26:26" x14ac:dyDescent="0.2">
      <c r="Z8992" t="str">
        <f t="shared" si="140"/>
        <v/>
      </c>
    </row>
    <row r="8993" spans="26:26" x14ac:dyDescent="0.2">
      <c r="Z8993" t="str">
        <f t="shared" si="140"/>
        <v/>
      </c>
    </row>
    <row r="8994" spans="26:26" x14ac:dyDescent="0.2">
      <c r="Z8994" t="str">
        <f t="shared" si="140"/>
        <v/>
      </c>
    </row>
    <row r="8995" spans="26:26" x14ac:dyDescent="0.2">
      <c r="Z8995" t="str">
        <f t="shared" si="140"/>
        <v/>
      </c>
    </row>
    <row r="8996" spans="26:26" x14ac:dyDescent="0.2">
      <c r="Z8996" t="str">
        <f t="shared" si="140"/>
        <v/>
      </c>
    </row>
    <row r="8997" spans="26:26" x14ac:dyDescent="0.2">
      <c r="Z8997" t="str">
        <f t="shared" si="140"/>
        <v/>
      </c>
    </row>
    <row r="8998" spans="26:26" x14ac:dyDescent="0.2">
      <c r="Z8998" t="str">
        <f t="shared" si="140"/>
        <v/>
      </c>
    </row>
    <row r="8999" spans="26:26" x14ac:dyDescent="0.2">
      <c r="Z8999" t="str">
        <f t="shared" si="140"/>
        <v/>
      </c>
    </row>
    <row r="9000" spans="26:26" x14ac:dyDescent="0.2">
      <c r="Z9000" t="str">
        <f t="shared" si="140"/>
        <v/>
      </c>
    </row>
    <row r="9001" spans="26:26" x14ac:dyDescent="0.2">
      <c r="Z9001" t="str">
        <f t="shared" si="140"/>
        <v/>
      </c>
    </row>
    <row r="9002" spans="26:26" x14ac:dyDescent="0.2">
      <c r="Z9002" t="str">
        <f t="shared" si="140"/>
        <v/>
      </c>
    </row>
    <row r="9003" spans="26:26" x14ac:dyDescent="0.2">
      <c r="Z9003" t="str">
        <f t="shared" si="140"/>
        <v/>
      </c>
    </row>
    <row r="9004" spans="26:26" x14ac:dyDescent="0.2">
      <c r="Z9004" t="str">
        <f t="shared" si="140"/>
        <v/>
      </c>
    </row>
    <row r="9005" spans="26:26" x14ac:dyDescent="0.2">
      <c r="Z9005" t="str">
        <f t="shared" si="140"/>
        <v/>
      </c>
    </row>
    <row r="9006" spans="26:26" x14ac:dyDescent="0.2">
      <c r="Z9006" t="str">
        <f t="shared" si="140"/>
        <v/>
      </c>
    </row>
    <row r="9007" spans="26:26" x14ac:dyDescent="0.2">
      <c r="Z9007" t="str">
        <f t="shared" si="140"/>
        <v/>
      </c>
    </row>
    <row r="9008" spans="26:26" x14ac:dyDescent="0.2">
      <c r="Z9008" t="str">
        <f t="shared" si="140"/>
        <v/>
      </c>
    </row>
    <row r="9009" spans="26:26" x14ac:dyDescent="0.2">
      <c r="Z9009" t="str">
        <f t="shared" si="140"/>
        <v/>
      </c>
    </row>
    <row r="9010" spans="26:26" x14ac:dyDescent="0.2">
      <c r="Z9010" t="str">
        <f t="shared" si="140"/>
        <v/>
      </c>
    </row>
    <row r="9011" spans="26:26" x14ac:dyDescent="0.2">
      <c r="Z9011" t="str">
        <f t="shared" si="140"/>
        <v/>
      </c>
    </row>
    <row r="9012" spans="26:26" x14ac:dyDescent="0.2">
      <c r="Z9012" t="str">
        <f t="shared" si="140"/>
        <v/>
      </c>
    </row>
    <row r="9013" spans="26:26" x14ac:dyDescent="0.2">
      <c r="Z9013" t="str">
        <f t="shared" si="140"/>
        <v/>
      </c>
    </row>
    <row r="9014" spans="26:26" x14ac:dyDescent="0.2">
      <c r="Z9014" t="str">
        <f t="shared" si="140"/>
        <v/>
      </c>
    </row>
    <row r="9015" spans="26:26" x14ac:dyDescent="0.2">
      <c r="Z9015" t="str">
        <f t="shared" si="140"/>
        <v/>
      </c>
    </row>
    <row r="9016" spans="26:26" x14ac:dyDescent="0.2">
      <c r="Z9016" t="str">
        <f t="shared" si="140"/>
        <v/>
      </c>
    </row>
    <row r="9017" spans="26:26" x14ac:dyDescent="0.2">
      <c r="Z9017" t="str">
        <f t="shared" si="140"/>
        <v/>
      </c>
    </row>
    <row r="9018" spans="26:26" x14ac:dyDescent="0.2">
      <c r="Z9018" t="str">
        <f t="shared" si="140"/>
        <v/>
      </c>
    </row>
    <row r="9019" spans="26:26" x14ac:dyDescent="0.2">
      <c r="Z9019" t="str">
        <f t="shared" si="140"/>
        <v/>
      </c>
    </row>
    <row r="9020" spans="26:26" x14ac:dyDescent="0.2">
      <c r="Z9020" t="str">
        <f t="shared" si="140"/>
        <v/>
      </c>
    </row>
    <row r="9021" spans="26:26" x14ac:dyDescent="0.2">
      <c r="Z9021" t="str">
        <f t="shared" si="140"/>
        <v/>
      </c>
    </row>
    <row r="9022" spans="26:26" x14ac:dyDescent="0.2">
      <c r="Z9022" t="str">
        <f t="shared" si="140"/>
        <v/>
      </c>
    </row>
    <row r="9023" spans="26:26" x14ac:dyDescent="0.2">
      <c r="Z9023" t="str">
        <f t="shared" si="140"/>
        <v/>
      </c>
    </row>
    <row r="9024" spans="26:26" x14ac:dyDescent="0.2">
      <c r="Z9024" t="str">
        <f t="shared" si="140"/>
        <v/>
      </c>
    </row>
    <row r="9025" spans="26:26" x14ac:dyDescent="0.2">
      <c r="Z9025" t="str">
        <f t="shared" si="140"/>
        <v/>
      </c>
    </row>
    <row r="9026" spans="26:26" x14ac:dyDescent="0.2">
      <c r="Z9026" t="str">
        <f t="shared" si="140"/>
        <v/>
      </c>
    </row>
    <row r="9027" spans="26:26" x14ac:dyDescent="0.2">
      <c r="Z9027" t="str">
        <f t="shared" ref="Z9027:Z9090" si="141">IF(K9027="","",IFERROR(VALUE(TRIM(MID(K9027,FIND(CHAR(167),SUBSTITUTE(K9027,"-",CHAR(167),LEN(K9027)-LEN(SUBSTITUTE(K9027,"-",""))))+1,100))),K9027))</f>
        <v/>
      </c>
    </row>
    <row r="9028" spans="26:26" x14ac:dyDescent="0.2">
      <c r="Z9028" t="str">
        <f t="shared" si="141"/>
        <v/>
      </c>
    </row>
    <row r="9029" spans="26:26" x14ac:dyDescent="0.2">
      <c r="Z9029" t="str">
        <f t="shared" si="141"/>
        <v/>
      </c>
    </row>
    <row r="9030" spans="26:26" x14ac:dyDescent="0.2">
      <c r="Z9030" t="str">
        <f t="shared" si="141"/>
        <v/>
      </c>
    </row>
    <row r="9031" spans="26:26" x14ac:dyDescent="0.2">
      <c r="Z9031" t="str">
        <f t="shared" si="141"/>
        <v/>
      </c>
    </row>
    <row r="9032" spans="26:26" x14ac:dyDescent="0.2">
      <c r="Z9032" t="str">
        <f t="shared" si="141"/>
        <v/>
      </c>
    </row>
    <row r="9033" spans="26:26" x14ac:dyDescent="0.2">
      <c r="Z9033" t="str">
        <f t="shared" si="141"/>
        <v/>
      </c>
    </row>
    <row r="9034" spans="26:26" x14ac:dyDescent="0.2">
      <c r="Z9034" t="str">
        <f t="shared" si="141"/>
        <v/>
      </c>
    </row>
    <row r="9035" spans="26:26" x14ac:dyDescent="0.2">
      <c r="Z9035" t="str">
        <f t="shared" si="141"/>
        <v/>
      </c>
    </row>
    <row r="9036" spans="26:26" x14ac:dyDescent="0.2">
      <c r="Z9036" t="str">
        <f t="shared" si="141"/>
        <v/>
      </c>
    </row>
    <row r="9037" spans="26:26" x14ac:dyDescent="0.2">
      <c r="Z9037" t="str">
        <f t="shared" si="141"/>
        <v/>
      </c>
    </row>
    <row r="9038" spans="26:26" x14ac:dyDescent="0.2">
      <c r="Z9038" t="str">
        <f t="shared" si="141"/>
        <v/>
      </c>
    </row>
    <row r="9039" spans="26:26" x14ac:dyDescent="0.2">
      <c r="Z9039" t="str">
        <f t="shared" si="141"/>
        <v/>
      </c>
    </row>
    <row r="9040" spans="26:26" x14ac:dyDescent="0.2">
      <c r="Z9040" t="str">
        <f t="shared" si="141"/>
        <v/>
      </c>
    </row>
    <row r="9041" spans="26:26" x14ac:dyDescent="0.2">
      <c r="Z9041" t="str">
        <f t="shared" si="141"/>
        <v/>
      </c>
    </row>
    <row r="9042" spans="26:26" x14ac:dyDescent="0.2">
      <c r="Z9042" t="str">
        <f t="shared" si="141"/>
        <v/>
      </c>
    </row>
    <row r="9043" spans="26:26" x14ac:dyDescent="0.2">
      <c r="Z9043" t="str">
        <f t="shared" si="141"/>
        <v/>
      </c>
    </row>
    <row r="9044" spans="26:26" x14ac:dyDescent="0.2">
      <c r="Z9044" t="str">
        <f t="shared" si="141"/>
        <v/>
      </c>
    </row>
    <row r="9045" spans="26:26" x14ac:dyDescent="0.2">
      <c r="Z9045" t="str">
        <f t="shared" si="141"/>
        <v/>
      </c>
    </row>
    <row r="9046" spans="26:26" x14ac:dyDescent="0.2">
      <c r="Z9046" t="str">
        <f t="shared" si="141"/>
        <v/>
      </c>
    </row>
    <row r="9047" spans="26:26" x14ac:dyDescent="0.2">
      <c r="Z9047" t="str">
        <f t="shared" si="141"/>
        <v/>
      </c>
    </row>
    <row r="9048" spans="26:26" x14ac:dyDescent="0.2">
      <c r="Z9048" t="str">
        <f t="shared" si="141"/>
        <v/>
      </c>
    </row>
    <row r="9049" spans="26:26" x14ac:dyDescent="0.2">
      <c r="Z9049" t="str">
        <f t="shared" si="141"/>
        <v/>
      </c>
    </row>
    <row r="9050" spans="26:26" x14ac:dyDescent="0.2">
      <c r="Z9050" t="str">
        <f t="shared" si="141"/>
        <v/>
      </c>
    </row>
    <row r="9051" spans="26:26" x14ac:dyDescent="0.2">
      <c r="Z9051" t="str">
        <f t="shared" si="141"/>
        <v/>
      </c>
    </row>
    <row r="9052" spans="26:26" x14ac:dyDescent="0.2">
      <c r="Z9052" t="str">
        <f t="shared" si="141"/>
        <v/>
      </c>
    </row>
    <row r="9053" spans="26:26" x14ac:dyDescent="0.2">
      <c r="Z9053" t="str">
        <f t="shared" si="141"/>
        <v/>
      </c>
    </row>
    <row r="9054" spans="26:26" x14ac:dyDescent="0.2">
      <c r="Z9054" t="str">
        <f t="shared" si="141"/>
        <v/>
      </c>
    </row>
    <row r="9055" spans="26:26" x14ac:dyDescent="0.2">
      <c r="Z9055" t="str">
        <f t="shared" si="141"/>
        <v/>
      </c>
    </row>
    <row r="9056" spans="26:26" x14ac:dyDescent="0.2">
      <c r="Z9056" t="str">
        <f t="shared" si="141"/>
        <v/>
      </c>
    </row>
    <row r="9057" spans="26:26" x14ac:dyDescent="0.2">
      <c r="Z9057" t="str">
        <f t="shared" si="141"/>
        <v/>
      </c>
    </row>
    <row r="9058" spans="26:26" x14ac:dyDescent="0.2">
      <c r="Z9058" t="str">
        <f t="shared" si="141"/>
        <v/>
      </c>
    </row>
    <row r="9059" spans="26:26" x14ac:dyDescent="0.2">
      <c r="Z9059" t="str">
        <f t="shared" si="141"/>
        <v/>
      </c>
    </row>
    <row r="9060" spans="26:26" x14ac:dyDescent="0.2">
      <c r="Z9060" t="str">
        <f t="shared" si="141"/>
        <v/>
      </c>
    </row>
    <row r="9061" spans="26:26" x14ac:dyDescent="0.2">
      <c r="Z9061" t="str">
        <f t="shared" si="141"/>
        <v/>
      </c>
    </row>
    <row r="9062" spans="26:26" x14ac:dyDescent="0.2">
      <c r="Z9062" t="str">
        <f t="shared" si="141"/>
        <v/>
      </c>
    </row>
    <row r="9063" spans="26:26" x14ac:dyDescent="0.2">
      <c r="Z9063" t="str">
        <f t="shared" si="141"/>
        <v/>
      </c>
    </row>
    <row r="9064" spans="26:26" x14ac:dyDescent="0.2">
      <c r="Z9064" t="str">
        <f t="shared" si="141"/>
        <v/>
      </c>
    </row>
    <row r="9065" spans="26:26" x14ac:dyDescent="0.2">
      <c r="Z9065" t="str">
        <f t="shared" si="141"/>
        <v/>
      </c>
    </row>
    <row r="9066" spans="26:26" x14ac:dyDescent="0.2">
      <c r="Z9066" t="str">
        <f t="shared" si="141"/>
        <v/>
      </c>
    </row>
    <row r="9067" spans="26:26" x14ac:dyDescent="0.2">
      <c r="Z9067" t="str">
        <f t="shared" si="141"/>
        <v/>
      </c>
    </row>
    <row r="9068" spans="26:26" x14ac:dyDescent="0.2">
      <c r="Z9068" t="str">
        <f t="shared" si="141"/>
        <v/>
      </c>
    </row>
    <row r="9069" spans="26:26" x14ac:dyDescent="0.2">
      <c r="Z9069" t="str">
        <f t="shared" si="141"/>
        <v/>
      </c>
    </row>
    <row r="9070" spans="26:26" x14ac:dyDescent="0.2">
      <c r="Z9070" t="str">
        <f t="shared" si="141"/>
        <v/>
      </c>
    </row>
    <row r="9071" spans="26:26" x14ac:dyDescent="0.2">
      <c r="Z9071" t="str">
        <f t="shared" si="141"/>
        <v/>
      </c>
    </row>
    <row r="9072" spans="26:26" x14ac:dyDescent="0.2">
      <c r="Z9072" t="str">
        <f t="shared" si="141"/>
        <v/>
      </c>
    </row>
    <row r="9073" spans="26:26" x14ac:dyDescent="0.2">
      <c r="Z9073" t="str">
        <f t="shared" si="141"/>
        <v/>
      </c>
    </row>
    <row r="9074" spans="26:26" x14ac:dyDescent="0.2">
      <c r="Z9074" t="str">
        <f t="shared" si="141"/>
        <v/>
      </c>
    </row>
    <row r="9075" spans="26:26" x14ac:dyDescent="0.2">
      <c r="Z9075" t="str">
        <f t="shared" si="141"/>
        <v/>
      </c>
    </row>
    <row r="9076" spans="26:26" x14ac:dyDescent="0.2">
      <c r="Z9076" t="str">
        <f t="shared" si="141"/>
        <v/>
      </c>
    </row>
    <row r="9077" spans="26:26" x14ac:dyDescent="0.2">
      <c r="Z9077" t="str">
        <f t="shared" si="141"/>
        <v/>
      </c>
    </row>
    <row r="9078" spans="26:26" x14ac:dyDescent="0.2">
      <c r="Z9078" t="str">
        <f t="shared" si="141"/>
        <v/>
      </c>
    </row>
    <row r="9079" spans="26:26" x14ac:dyDescent="0.2">
      <c r="Z9079" t="str">
        <f t="shared" si="141"/>
        <v/>
      </c>
    </row>
    <row r="9080" spans="26:26" x14ac:dyDescent="0.2">
      <c r="Z9080" t="str">
        <f t="shared" si="141"/>
        <v/>
      </c>
    </row>
    <row r="9081" spans="26:26" x14ac:dyDescent="0.2">
      <c r="Z9081" t="str">
        <f t="shared" si="141"/>
        <v/>
      </c>
    </row>
    <row r="9082" spans="26:26" x14ac:dyDescent="0.2">
      <c r="Z9082" t="str">
        <f t="shared" si="141"/>
        <v/>
      </c>
    </row>
    <row r="9083" spans="26:26" x14ac:dyDescent="0.2">
      <c r="Z9083" t="str">
        <f t="shared" si="141"/>
        <v/>
      </c>
    </row>
    <row r="9084" spans="26:26" x14ac:dyDescent="0.2">
      <c r="Z9084" t="str">
        <f t="shared" si="141"/>
        <v/>
      </c>
    </row>
    <row r="9085" spans="26:26" x14ac:dyDescent="0.2">
      <c r="Z9085" t="str">
        <f t="shared" si="141"/>
        <v/>
      </c>
    </row>
    <row r="9086" spans="26:26" x14ac:dyDescent="0.2">
      <c r="Z9086" t="str">
        <f t="shared" si="141"/>
        <v/>
      </c>
    </row>
    <row r="9087" spans="26:26" x14ac:dyDescent="0.2">
      <c r="Z9087" t="str">
        <f t="shared" si="141"/>
        <v/>
      </c>
    </row>
    <row r="9088" spans="26:26" x14ac:dyDescent="0.2">
      <c r="Z9088" t="str">
        <f t="shared" si="141"/>
        <v/>
      </c>
    </row>
    <row r="9089" spans="26:26" x14ac:dyDescent="0.2">
      <c r="Z9089" t="str">
        <f t="shared" si="141"/>
        <v/>
      </c>
    </row>
    <row r="9090" spans="26:26" x14ac:dyDescent="0.2">
      <c r="Z9090" t="str">
        <f t="shared" si="141"/>
        <v/>
      </c>
    </row>
    <row r="9091" spans="26:26" x14ac:dyDescent="0.2">
      <c r="Z9091" t="str">
        <f t="shared" ref="Z9091:Z9154" si="142">IF(K9091="","",IFERROR(VALUE(TRIM(MID(K9091,FIND(CHAR(167),SUBSTITUTE(K9091,"-",CHAR(167),LEN(K9091)-LEN(SUBSTITUTE(K9091,"-",""))))+1,100))),K9091))</f>
        <v/>
      </c>
    </row>
    <row r="9092" spans="26:26" x14ac:dyDescent="0.2">
      <c r="Z9092" t="str">
        <f t="shared" si="142"/>
        <v/>
      </c>
    </row>
    <row r="9093" spans="26:26" x14ac:dyDescent="0.2">
      <c r="Z9093" t="str">
        <f t="shared" si="142"/>
        <v/>
      </c>
    </row>
    <row r="9094" spans="26:26" x14ac:dyDescent="0.2">
      <c r="Z9094" t="str">
        <f t="shared" si="142"/>
        <v/>
      </c>
    </row>
    <row r="9095" spans="26:26" x14ac:dyDescent="0.2">
      <c r="Z9095" t="str">
        <f t="shared" si="142"/>
        <v/>
      </c>
    </row>
    <row r="9096" spans="26:26" x14ac:dyDescent="0.2">
      <c r="Z9096" t="str">
        <f t="shared" si="142"/>
        <v/>
      </c>
    </row>
    <row r="9097" spans="26:26" x14ac:dyDescent="0.2">
      <c r="Z9097" t="str">
        <f t="shared" si="142"/>
        <v/>
      </c>
    </row>
    <row r="9098" spans="26:26" x14ac:dyDescent="0.2">
      <c r="Z9098" t="str">
        <f t="shared" si="142"/>
        <v/>
      </c>
    </row>
    <row r="9099" spans="26:26" x14ac:dyDescent="0.2">
      <c r="Z9099" t="str">
        <f t="shared" si="142"/>
        <v/>
      </c>
    </row>
    <row r="9100" spans="26:26" x14ac:dyDescent="0.2">
      <c r="Z9100" t="str">
        <f t="shared" si="142"/>
        <v/>
      </c>
    </row>
    <row r="9101" spans="26:26" x14ac:dyDescent="0.2">
      <c r="Z9101" t="str">
        <f t="shared" si="142"/>
        <v/>
      </c>
    </row>
    <row r="9102" spans="26:26" x14ac:dyDescent="0.2">
      <c r="Z9102" t="str">
        <f t="shared" si="142"/>
        <v/>
      </c>
    </row>
    <row r="9103" spans="26:26" x14ac:dyDescent="0.2">
      <c r="Z9103" t="str">
        <f t="shared" si="142"/>
        <v/>
      </c>
    </row>
    <row r="9104" spans="26:26" x14ac:dyDescent="0.2">
      <c r="Z9104" t="str">
        <f t="shared" si="142"/>
        <v/>
      </c>
    </row>
    <row r="9105" spans="26:26" x14ac:dyDescent="0.2">
      <c r="Z9105" t="str">
        <f t="shared" si="142"/>
        <v/>
      </c>
    </row>
    <row r="9106" spans="26:26" x14ac:dyDescent="0.2">
      <c r="Z9106" t="str">
        <f t="shared" si="142"/>
        <v/>
      </c>
    </row>
    <row r="9107" spans="26:26" x14ac:dyDescent="0.2">
      <c r="Z9107" t="str">
        <f t="shared" si="142"/>
        <v/>
      </c>
    </row>
    <row r="9108" spans="26:26" x14ac:dyDescent="0.2">
      <c r="Z9108" t="str">
        <f t="shared" si="142"/>
        <v/>
      </c>
    </row>
    <row r="9109" spans="26:26" x14ac:dyDescent="0.2">
      <c r="Z9109" t="str">
        <f t="shared" si="142"/>
        <v/>
      </c>
    </row>
    <row r="9110" spans="26:26" x14ac:dyDescent="0.2">
      <c r="Z9110" t="str">
        <f t="shared" si="142"/>
        <v/>
      </c>
    </row>
    <row r="9111" spans="26:26" x14ac:dyDescent="0.2">
      <c r="Z9111" t="str">
        <f t="shared" si="142"/>
        <v/>
      </c>
    </row>
    <row r="9112" spans="26:26" x14ac:dyDescent="0.2">
      <c r="Z9112" t="str">
        <f t="shared" si="142"/>
        <v/>
      </c>
    </row>
    <row r="9113" spans="26:26" x14ac:dyDescent="0.2">
      <c r="Z9113" t="str">
        <f t="shared" si="142"/>
        <v/>
      </c>
    </row>
    <row r="9114" spans="26:26" x14ac:dyDescent="0.2">
      <c r="Z9114" t="str">
        <f t="shared" si="142"/>
        <v/>
      </c>
    </row>
    <row r="9115" spans="26:26" x14ac:dyDescent="0.2">
      <c r="Z9115" t="str">
        <f t="shared" si="142"/>
        <v/>
      </c>
    </row>
    <row r="9116" spans="26:26" x14ac:dyDescent="0.2">
      <c r="Z9116" t="str">
        <f t="shared" si="142"/>
        <v/>
      </c>
    </row>
    <row r="9117" spans="26:26" x14ac:dyDescent="0.2">
      <c r="Z9117" t="str">
        <f t="shared" si="142"/>
        <v/>
      </c>
    </row>
    <row r="9118" spans="26:26" x14ac:dyDescent="0.2">
      <c r="Z9118" t="str">
        <f t="shared" si="142"/>
        <v/>
      </c>
    </row>
    <row r="9119" spans="26:26" x14ac:dyDescent="0.2">
      <c r="Z9119" t="str">
        <f t="shared" si="142"/>
        <v/>
      </c>
    </row>
    <row r="9120" spans="26:26" x14ac:dyDescent="0.2">
      <c r="Z9120" t="str">
        <f t="shared" si="142"/>
        <v/>
      </c>
    </row>
    <row r="9121" spans="26:26" x14ac:dyDescent="0.2">
      <c r="Z9121" t="str">
        <f t="shared" si="142"/>
        <v/>
      </c>
    </row>
    <row r="9122" spans="26:26" x14ac:dyDescent="0.2">
      <c r="Z9122" t="str">
        <f t="shared" si="142"/>
        <v/>
      </c>
    </row>
    <row r="9123" spans="26:26" x14ac:dyDescent="0.2">
      <c r="Z9123" t="str">
        <f t="shared" si="142"/>
        <v/>
      </c>
    </row>
    <row r="9124" spans="26:26" x14ac:dyDescent="0.2">
      <c r="Z9124" t="str">
        <f t="shared" si="142"/>
        <v/>
      </c>
    </row>
    <row r="9125" spans="26:26" x14ac:dyDescent="0.2">
      <c r="Z9125" t="str">
        <f t="shared" si="142"/>
        <v/>
      </c>
    </row>
    <row r="9126" spans="26:26" x14ac:dyDescent="0.2">
      <c r="Z9126" t="str">
        <f t="shared" si="142"/>
        <v/>
      </c>
    </row>
    <row r="9127" spans="26:26" x14ac:dyDescent="0.2">
      <c r="Z9127" t="str">
        <f t="shared" si="142"/>
        <v/>
      </c>
    </row>
    <row r="9128" spans="26:26" x14ac:dyDescent="0.2">
      <c r="Z9128" t="str">
        <f t="shared" si="142"/>
        <v/>
      </c>
    </row>
    <row r="9129" spans="26:26" x14ac:dyDescent="0.2">
      <c r="Z9129" t="str">
        <f t="shared" si="142"/>
        <v/>
      </c>
    </row>
    <row r="9130" spans="26:26" x14ac:dyDescent="0.2">
      <c r="Z9130" t="str">
        <f t="shared" si="142"/>
        <v/>
      </c>
    </row>
    <row r="9131" spans="26:26" x14ac:dyDescent="0.2">
      <c r="Z9131" t="str">
        <f t="shared" si="142"/>
        <v/>
      </c>
    </row>
    <row r="9132" spans="26:26" x14ac:dyDescent="0.2">
      <c r="Z9132" t="str">
        <f t="shared" si="142"/>
        <v/>
      </c>
    </row>
    <row r="9133" spans="26:26" x14ac:dyDescent="0.2">
      <c r="Z9133" t="str">
        <f t="shared" si="142"/>
        <v/>
      </c>
    </row>
    <row r="9134" spans="26:26" x14ac:dyDescent="0.2">
      <c r="Z9134" t="str">
        <f t="shared" si="142"/>
        <v/>
      </c>
    </row>
    <row r="9135" spans="26:26" x14ac:dyDescent="0.2">
      <c r="Z9135" t="str">
        <f t="shared" si="142"/>
        <v/>
      </c>
    </row>
    <row r="9136" spans="26:26" x14ac:dyDescent="0.2">
      <c r="Z9136" t="str">
        <f t="shared" si="142"/>
        <v/>
      </c>
    </row>
    <row r="9137" spans="26:26" x14ac:dyDescent="0.2">
      <c r="Z9137" t="str">
        <f t="shared" si="142"/>
        <v/>
      </c>
    </row>
    <row r="9138" spans="26:26" x14ac:dyDescent="0.2">
      <c r="Z9138" t="str">
        <f t="shared" si="142"/>
        <v/>
      </c>
    </row>
    <row r="9139" spans="26:26" x14ac:dyDescent="0.2">
      <c r="Z9139" t="str">
        <f t="shared" si="142"/>
        <v/>
      </c>
    </row>
    <row r="9140" spans="26:26" x14ac:dyDescent="0.2">
      <c r="Z9140" t="str">
        <f t="shared" si="142"/>
        <v/>
      </c>
    </row>
    <row r="9141" spans="26:26" x14ac:dyDescent="0.2">
      <c r="Z9141" t="str">
        <f t="shared" si="142"/>
        <v/>
      </c>
    </row>
    <row r="9142" spans="26:26" x14ac:dyDescent="0.2">
      <c r="Z9142" t="str">
        <f t="shared" si="142"/>
        <v/>
      </c>
    </row>
    <row r="9143" spans="26:26" x14ac:dyDescent="0.2">
      <c r="Z9143" t="str">
        <f t="shared" si="142"/>
        <v/>
      </c>
    </row>
    <row r="9144" spans="26:26" x14ac:dyDescent="0.2">
      <c r="Z9144" t="str">
        <f t="shared" si="142"/>
        <v/>
      </c>
    </row>
    <row r="9145" spans="26:26" x14ac:dyDescent="0.2">
      <c r="Z9145" t="str">
        <f t="shared" si="142"/>
        <v/>
      </c>
    </row>
    <row r="9146" spans="26:26" x14ac:dyDescent="0.2">
      <c r="Z9146" t="str">
        <f t="shared" si="142"/>
        <v/>
      </c>
    </row>
    <row r="9147" spans="26:26" x14ac:dyDescent="0.2">
      <c r="Z9147" t="str">
        <f t="shared" si="142"/>
        <v/>
      </c>
    </row>
    <row r="9148" spans="26:26" x14ac:dyDescent="0.2">
      <c r="Z9148" t="str">
        <f t="shared" si="142"/>
        <v/>
      </c>
    </row>
    <row r="9149" spans="26:26" x14ac:dyDescent="0.2">
      <c r="Z9149" t="str">
        <f t="shared" si="142"/>
        <v/>
      </c>
    </row>
    <row r="9150" spans="26:26" x14ac:dyDescent="0.2">
      <c r="Z9150" t="str">
        <f t="shared" si="142"/>
        <v/>
      </c>
    </row>
    <row r="9151" spans="26:26" x14ac:dyDescent="0.2">
      <c r="Z9151" t="str">
        <f t="shared" si="142"/>
        <v/>
      </c>
    </row>
    <row r="9152" spans="26:26" x14ac:dyDescent="0.2">
      <c r="Z9152" t="str">
        <f t="shared" si="142"/>
        <v/>
      </c>
    </row>
    <row r="9153" spans="26:26" x14ac:dyDescent="0.2">
      <c r="Z9153" t="str">
        <f t="shared" si="142"/>
        <v/>
      </c>
    </row>
    <row r="9154" spans="26:26" x14ac:dyDescent="0.2">
      <c r="Z9154" t="str">
        <f t="shared" si="142"/>
        <v/>
      </c>
    </row>
    <row r="9155" spans="26:26" x14ac:dyDescent="0.2">
      <c r="Z9155" t="str">
        <f t="shared" ref="Z9155:Z9218" si="143">IF(K9155="","",IFERROR(VALUE(TRIM(MID(K9155,FIND(CHAR(167),SUBSTITUTE(K9155,"-",CHAR(167),LEN(K9155)-LEN(SUBSTITUTE(K9155,"-",""))))+1,100))),K9155))</f>
        <v/>
      </c>
    </row>
    <row r="9156" spans="26:26" x14ac:dyDescent="0.2">
      <c r="Z9156" t="str">
        <f t="shared" si="143"/>
        <v/>
      </c>
    </row>
    <row r="9157" spans="26:26" x14ac:dyDescent="0.2">
      <c r="Z9157" t="str">
        <f t="shared" si="143"/>
        <v/>
      </c>
    </row>
    <row r="9158" spans="26:26" x14ac:dyDescent="0.2">
      <c r="Z9158" t="str">
        <f t="shared" si="143"/>
        <v/>
      </c>
    </row>
    <row r="9159" spans="26:26" x14ac:dyDescent="0.2">
      <c r="Z9159" t="str">
        <f t="shared" si="143"/>
        <v/>
      </c>
    </row>
    <row r="9160" spans="26:26" x14ac:dyDescent="0.2">
      <c r="Z9160" t="str">
        <f t="shared" si="143"/>
        <v/>
      </c>
    </row>
    <row r="9161" spans="26:26" x14ac:dyDescent="0.2">
      <c r="Z9161" t="str">
        <f t="shared" si="143"/>
        <v/>
      </c>
    </row>
    <row r="9162" spans="26:26" x14ac:dyDescent="0.2">
      <c r="Z9162" t="str">
        <f t="shared" si="143"/>
        <v/>
      </c>
    </row>
    <row r="9163" spans="26:26" x14ac:dyDescent="0.2">
      <c r="Z9163" t="str">
        <f t="shared" si="143"/>
        <v/>
      </c>
    </row>
    <row r="9164" spans="26:26" x14ac:dyDescent="0.2">
      <c r="Z9164" t="str">
        <f t="shared" si="143"/>
        <v/>
      </c>
    </row>
    <row r="9165" spans="26:26" x14ac:dyDescent="0.2">
      <c r="Z9165" t="str">
        <f t="shared" si="143"/>
        <v/>
      </c>
    </row>
    <row r="9166" spans="26:26" x14ac:dyDescent="0.2">
      <c r="Z9166" t="str">
        <f t="shared" si="143"/>
        <v/>
      </c>
    </row>
    <row r="9167" spans="26:26" x14ac:dyDescent="0.2">
      <c r="Z9167" t="str">
        <f t="shared" si="143"/>
        <v/>
      </c>
    </row>
    <row r="9168" spans="26:26" x14ac:dyDescent="0.2">
      <c r="Z9168" t="str">
        <f t="shared" si="143"/>
        <v/>
      </c>
    </row>
    <row r="9169" spans="26:26" x14ac:dyDescent="0.2">
      <c r="Z9169" t="str">
        <f t="shared" si="143"/>
        <v/>
      </c>
    </row>
    <row r="9170" spans="26:26" x14ac:dyDescent="0.2">
      <c r="Z9170" t="str">
        <f t="shared" si="143"/>
        <v/>
      </c>
    </row>
    <row r="9171" spans="26:26" x14ac:dyDescent="0.2">
      <c r="Z9171" t="str">
        <f t="shared" si="143"/>
        <v/>
      </c>
    </row>
    <row r="9172" spans="26:26" x14ac:dyDescent="0.2">
      <c r="Z9172" t="str">
        <f t="shared" si="143"/>
        <v/>
      </c>
    </row>
    <row r="9173" spans="26:26" x14ac:dyDescent="0.2">
      <c r="Z9173" t="str">
        <f t="shared" si="143"/>
        <v/>
      </c>
    </row>
    <row r="9174" spans="26:26" x14ac:dyDescent="0.2">
      <c r="Z9174" t="str">
        <f t="shared" si="143"/>
        <v/>
      </c>
    </row>
    <row r="9175" spans="26:26" x14ac:dyDescent="0.2">
      <c r="Z9175" t="str">
        <f t="shared" si="143"/>
        <v/>
      </c>
    </row>
    <row r="9176" spans="26:26" x14ac:dyDescent="0.2">
      <c r="Z9176" t="str">
        <f t="shared" si="143"/>
        <v/>
      </c>
    </row>
    <row r="9177" spans="26:26" x14ac:dyDescent="0.2">
      <c r="Z9177" t="str">
        <f t="shared" si="143"/>
        <v/>
      </c>
    </row>
    <row r="9178" spans="26:26" x14ac:dyDescent="0.2">
      <c r="Z9178" t="str">
        <f t="shared" si="143"/>
        <v/>
      </c>
    </row>
    <row r="9179" spans="26:26" x14ac:dyDescent="0.2">
      <c r="Z9179" t="str">
        <f t="shared" si="143"/>
        <v/>
      </c>
    </row>
    <row r="9180" spans="26:26" x14ac:dyDescent="0.2">
      <c r="Z9180" t="str">
        <f t="shared" si="143"/>
        <v/>
      </c>
    </row>
    <row r="9181" spans="26:26" x14ac:dyDescent="0.2">
      <c r="Z9181" t="str">
        <f t="shared" si="143"/>
        <v/>
      </c>
    </row>
    <row r="9182" spans="26:26" x14ac:dyDescent="0.2">
      <c r="Z9182" t="str">
        <f t="shared" si="143"/>
        <v/>
      </c>
    </row>
    <row r="9183" spans="26:26" x14ac:dyDescent="0.2">
      <c r="Z9183" t="str">
        <f t="shared" si="143"/>
        <v/>
      </c>
    </row>
    <row r="9184" spans="26:26" x14ac:dyDescent="0.2">
      <c r="Z9184" t="str">
        <f t="shared" si="143"/>
        <v/>
      </c>
    </row>
    <row r="9185" spans="26:26" x14ac:dyDescent="0.2">
      <c r="Z9185" t="str">
        <f t="shared" si="143"/>
        <v/>
      </c>
    </row>
    <row r="9186" spans="26:26" x14ac:dyDescent="0.2">
      <c r="Z9186" t="str">
        <f t="shared" si="143"/>
        <v/>
      </c>
    </row>
    <row r="9187" spans="26:26" x14ac:dyDescent="0.2">
      <c r="Z9187" t="str">
        <f t="shared" si="143"/>
        <v/>
      </c>
    </row>
    <row r="9188" spans="26:26" x14ac:dyDescent="0.2">
      <c r="Z9188" t="str">
        <f t="shared" si="143"/>
        <v/>
      </c>
    </row>
    <row r="9189" spans="26:26" x14ac:dyDescent="0.2">
      <c r="Z9189" t="str">
        <f t="shared" si="143"/>
        <v/>
      </c>
    </row>
    <row r="9190" spans="26:26" x14ac:dyDescent="0.2">
      <c r="Z9190" t="str">
        <f t="shared" si="143"/>
        <v/>
      </c>
    </row>
    <row r="9191" spans="26:26" x14ac:dyDescent="0.2">
      <c r="Z9191" t="str">
        <f t="shared" si="143"/>
        <v/>
      </c>
    </row>
    <row r="9192" spans="26:26" x14ac:dyDescent="0.2">
      <c r="Z9192" t="str">
        <f t="shared" si="143"/>
        <v/>
      </c>
    </row>
    <row r="9193" spans="26:26" x14ac:dyDescent="0.2">
      <c r="Z9193" t="str">
        <f t="shared" si="143"/>
        <v/>
      </c>
    </row>
    <row r="9194" spans="26:26" x14ac:dyDescent="0.2">
      <c r="Z9194" t="str">
        <f t="shared" si="143"/>
        <v/>
      </c>
    </row>
    <row r="9195" spans="26:26" x14ac:dyDescent="0.2">
      <c r="Z9195" t="str">
        <f t="shared" si="143"/>
        <v/>
      </c>
    </row>
    <row r="9196" spans="26:26" x14ac:dyDescent="0.2">
      <c r="Z9196" t="str">
        <f t="shared" si="143"/>
        <v/>
      </c>
    </row>
    <row r="9197" spans="26:26" x14ac:dyDescent="0.2">
      <c r="Z9197" t="str">
        <f t="shared" si="143"/>
        <v/>
      </c>
    </row>
    <row r="9198" spans="26:26" x14ac:dyDescent="0.2">
      <c r="Z9198" t="str">
        <f t="shared" si="143"/>
        <v/>
      </c>
    </row>
    <row r="9199" spans="26:26" x14ac:dyDescent="0.2">
      <c r="Z9199" t="str">
        <f t="shared" si="143"/>
        <v/>
      </c>
    </row>
    <row r="9200" spans="26:26" x14ac:dyDescent="0.2">
      <c r="Z9200" t="str">
        <f t="shared" si="143"/>
        <v/>
      </c>
    </row>
    <row r="9201" spans="26:26" x14ac:dyDescent="0.2">
      <c r="Z9201" t="str">
        <f t="shared" si="143"/>
        <v/>
      </c>
    </row>
    <row r="9202" spans="26:26" x14ac:dyDescent="0.2">
      <c r="Z9202" t="str">
        <f t="shared" si="143"/>
        <v/>
      </c>
    </row>
    <row r="9203" spans="26:26" x14ac:dyDescent="0.2">
      <c r="Z9203" t="str">
        <f t="shared" si="143"/>
        <v/>
      </c>
    </row>
    <row r="9204" spans="26:26" x14ac:dyDescent="0.2">
      <c r="Z9204" t="str">
        <f t="shared" si="143"/>
        <v/>
      </c>
    </row>
    <row r="9205" spans="26:26" x14ac:dyDescent="0.2">
      <c r="Z9205" t="str">
        <f t="shared" si="143"/>
        <v/>
      </c>
    </row>
    <row r="9206" spans="26:26" x14ac:dyDescent="0.2">
      <c r="Z9206" t="str">
        <f t="shared" si="143"/>
        <v/>
      </c>
    </row>
    <row r="9207" spans="26:26" x14ac:dyDescent="0.2">
      <c r="Z9207" t="str">
        <f t="shared" si="143"/>
        <v/>
      </c>
    </row>
    <row r="9208" spans="26:26" x14ac:dyDescent="0.2">
      <c r="Z9208" t="str">
        <f t="shared" si="143"/>
        <v/>
      </c>
    </row>
    <row r="9209" spans="26:26" x14ac:dyDescent="0.2">
      <c r="Z9209" t="str">
        <f t="shared" si="143"/>
        <v/>
      </c>
    </row>
    <row r="9210" spans="26:26" x14ac:dyDescent="0.2">
      <c r="Z9210" t="str">
        <f t="shared" si="143"/>
        <v/>
      </c>
    </row>
    <row r="9211" spans="26:26" x14ac:dyDescent="0.2">
      <c r="Z9211" t="str">
        <f t="shared" si="143"/>
        <v/>
      </c>
    </row>
    <row r="9212" spans="26:26" x14ac:dyDescent="0.2">
      <c r="Z9212" t="str">
        <f t="shared" si="143"/>
        <v/>
      </c>
    </row>
    <row r="9213" spans="26:26" x14ac:dyDescent="0.2">
      <c r="Z9213" t="str">
        <f t="shared" si="143"/>
        <v/>
      </c>
    </row>
    <row r="9214" spans="26:26" x14ac:dyDescent="0.2">
      <c r="Z9214" t="str">
        <f t="shared" si="143"/>
        <v/>
      </c>
    </row>
    <row r="9215" spans="26:26" x14ac:dyDescent="0.2">
      <c r="Z9215" t="str">
        <f t="shared" si="143"/>
        <v/>
      </c>
    </row>
    <row r="9216" spans="26:26" x14ac:dyDescent="0.2">
      <c r="Z9216" t="str">
        <f t="shared" si="143"/>
        <v/>
      </c>
    </row>
    <row r="9217" spans="26:26" x14ac:dyDescent="0.2">
      <c r="Z9217" t="str">
        <f t="shared" si="143"/>
        <v/>
      </c>
    </row>
    <row r="9218" spans="26:26" x14ac:dyDescent="0.2">
      <c r="Z9218" t="str">
        <f t="shared" si="143"/>
        <v/>
      </c>
    </row>
    <row r="9219" spans="26:26" x14ac:dyDescent="0.2">
      <c r="Z9219" t="str">
        <f t="shared" ref="Z9219:Z9282" si="144">IF(K9219="","",IFERROR(VALUE(TRIM(MID(K9219,FIND(CHAR(167),SUBSTITUTE(K9219,"-",CHAR(167),LEN(K9219)-LEN(SUBSTITUTE(K9219,"-",""))))+1,100))),K9219))</f>
        <v/>
      </c>
    </row>
    <row r="9220" spans="26:26" x14ac:dyDescent="0.2">
      <c r="Z9220" t="str">
        <f t="shared" si="144"/>
        <v/>
      </c>
    </row>
    <row r="9221" spans="26:26" x14ac:dyDescent="0.2">
      <c r="Z9221" t="str">
        <f t="shared" si="144"/>
        <v/>
      </c>
    </row>
    <row r="9222" spans="26:26" x14ac:dyDescent="0.2">
      <c r="Z9222" t="str">
        <f t="shared" si="144"/>
        <v/>
      </c>
    </row>
    <row r="9223" spans="26:26" x14ac:dyDescent="0.2">
      <c r="Z9223" t="str">
        <f t="shared" si="144"/>
        <v/>
      </c>
    </row>
    <row r="9224" spans="26:26" x14ac:dyDescent="0.2">
      <c r="Z9224" t="str">
        <f t="shared" si="144"/>
        <v/>
      </c>
    </row>
    <row r="9225" spans="26:26" x14ac:dyDescent="0.2">
      <c r="Z9225" t="str">
        <f t="shared" si="144"/>
        <v/>
      </c>
    </row>
    <row r="9226" spans="26:26" x14ac:dyDescent="0.2">
      <c r="Z9226" t="str">
        <f t="shared" si="144"/>
        <v/>
      </c>
    </row>
    <row r="9227" spans="26:26" x14ac:dyDescent="0.2">
      <c r="Z9227" t="str">
        <f t="shared" si="144"/>
        <v/>
      </c>
    </row>
    <row r="9228" spans="26:26" x14ac:dyDescent="0.2">
      <c r="Z9228" t="str">
        <f t="shared" si="144"/>
        <v/>
      </c>
    </row>
    <row r="9229" spans="26:26" x14ac:dyDescent="0.2">
      <c r="Z9229" t="str">
        <f t="shared" si="144"/>
        <v/>
      </c>
    </row>
    <row r="9230" spans="26:26" x14ac:dyDescent="0.2">
      <c r="Z9230" t="str">
        <f t="shared" si="144"/>
        <v/>
      </c>
    </row>
    <row r="9231" spans="26:26" x14ac:dyDescent="0.2">
      <c r="Z9231" t="str">
        <f t="shared" si="144"/>
        <v/>
      </c>
    </row>
    <row r="9232" spans="26:26" x14ac:dyDescent="0.2">
      <c r="Z9232" t="str">
        <f t="shared" si="144"/>
        <v/>
      </c>
    </row>
    <row r="9233" spans="26:26" x14ac:dyDescent="0.2">
      <c r="Z9233" t="str">
        <f t="shared" si="144"/>
        <v/>
      </c>
    </row>
    <row r="9234" spans="26:26" x14ac:dyDescent="0.2">
      <c r="Z9234" t="str">
        <f t="shared" si="144"/>
        <v/>
      </c>
    </row>
    <row r="9235" spans="26:26" x14ac:dyDescent="0.2">
      <c r="Z9235" t="str">
        <f t="shared" si="144"/>
        <v/>
      </c>
    </row>
    <row r="9236" spans="26:26" x14ac:dyDescent="0.2">
      <c r="Z9236" t="str">
        <f t="shared" si="144"/>
        <v/>
      </c>
    </row>
    <row r="9237" spans="26:26" x14ac:dyDescent="0.2">
      <c r="Z9237" t="str">
        <f t="shared" si="144"/>
        <v/>
      </c>
    </row>
    <row r="9238" spans="26:26" x14ac:dyDescent="0.2">
      <c r="Z9238" t="str">
        <f t="shared" si="144"/>
        <v/>
      </c>
    </row>
    <row r="9239" spans="26:26" x14ac:dyDescent="0.2">
      <c r="Z9239" t="str">
        <f t="shared" si="144"/>
        <v/>
      </c>
    </row>
    <row r="9240" spans="26:26" x14ac:dyDescent="0.2">
      <c r="Z9240" t="str">
        <f t="shared" si="144"/>
        <v/>
      </c>
    </row>
    <row r="9241" spans="26:26" x14ac:dyDescent="0.2">
      <c r="Z9241" t="str">
        <f t="shared" si="144"/>
        <v/>
      </c>
    </row>
    <row r="9242" spans="26:26" x14ac:dyDescent="0.2">
      <c r="Z9242" t="str">
        <f t="shared" si="144"/>
        <v/>
      </c>
    </row>
    <row r="9243" spans="26:26" x14ac:dyDescent="0.2">
      <c r="Z9243" t="str">
        <f t="shared" si="144"/>
        <v/>
      </c>
    </row>
    <row r="9244" spans="26:26" x14ac:dyDescent="0.2">
      <c r="Z9244" t="str">
        <f t="shared" si="144"/>
        <v/>
      </c>
    </row>
    <row r="9245" spans="26:26" x14ac:dyDescent="0.2">
      <c r="Z9245" t="str">
        <f t="shared" si="144"/>
        <v/>
      </c>
    </row>
    <row r="9246" spans="26:26" x14ac:dyDescent="0.2">
      <c r="Z9246" t="str">
        <f t="shared" si="144"/>
        <v/>
      </c>
    </row>
    <row r="9247" spans="26:26" x14ac:dyDescent="0.2">
      <c r="Z9247" t="str">
        <f t="shared" si="144"/>
        <v/>
      </c>
    </row>
    <row r="9248" spans="26:26" x14ac:dyDescent="0.2">
      <c r="Z9248" t="str">
        <f t="shared" si="144"/>
        <v/>
      </c>
    </row>
    <row r="9249" spans="26:26" x14ac:dyDescent="0.2">
      <c r="Z9249" t="str">
        <f t="shared" si="144"/>
        <v/>
      </c>
    </row>
    <row r="9250" spans="26:26" x14ac:dyDescent="0.2">
      <c r="Z9250" t="str">
        <f t="shared" si="144"/>
        <v/>
      </c>
    </row>
    <row r="9251" spans="26:26" x14ac:dyDescent="0.2">
      <c r="Z9251" t="str">
        <f t="shared" si="144"/>
        <v/>
      </c>
    </row>
    <row r="9252" spans="26:26" x14ac:dyDescent="0.2">
      <c r="Z9252" t="str">
        <f t="shared" si="144"/>
        <v/>
      </c>
    </row>
    <row r="9253" spans="26:26" x14ac:dyDescent="0.2">
      <c r="Z9253" t="str">
        <f t="shared" si="144"/>
        <v/>
      </c>
    </row>
    <row r="9254" spans="26:26" x14ac:dyDescent="0.2">
      <c r="Z9254" t="str">
        <f t="shared" si="144"/>
        <v/>
      </c>
    </row>
    <row r="9255" spans="26:26" x14ac:dyDescent="0.2">
      <c r="Z9255" t="str">
        <f t="shared" si="144"/>
        <v/>
      </c>
    </row>
    <row r="9256" spans="26:26" x14ac:dyDescent="0.2">
      <c r="Z9256" t="str">
        <f t="shared" si="144"/>
        <v/>
      </c>
    </row>
    <row r="9257" spans="26:26" x14ac:dyDescent="0.2">
      <c r="Z9257" t="str">
        <f t="shared" si="144"/>
        <v/>
      </c>
    </row>
    <row r="9258" spans="26:26" x14ac:dyDescent="0.2">
      <c r="Z9258" t="str">
        <f t="shared" si="144"/>
        <v/>
      </c>
    </row>
    <row r="9259" spans="26:26" x14ac:dyDescent="0.2">
      <c r="Z9259" t="str">
        <f t="shared" si="144"/>
        <v/>
      </c>
    </row>
    <row r="9260" spans="26:26" x14ac:dyDescent="0.2">
      <c r="Z9260" t="str">
        <f t="shared" si="144"/>
        <v/>
      </c>
    </row>
    <row r="9261" spans="26:26" x14ac:dyDescent="0.2">
      <c r="Z9261" t="str">
        <f t="shared" si="144"/>
        <v/>
      </c>
    </row>
    <row r="9262" spans="26:26" x14ac:dyDescent="0.2">
      <c r="Z9262" t="str">
        <f t="shared" si="144"/>
        <v/>
      </c>
    </row>
    <row r="9263" spans="26:26" x14ac:dyDescent="0.2">
      <c r="Z9263" t="str">
        <f t="shared" si="144"/>
        <v/>
      </c>
    </row>
    <row r="9264" spans="26:26" x14ac:dyDescent="0.2">
      <c r="Z9264" t="str">
        <f t="shared" si="144"/>
        <v/>
      </c>
    </row>
    <row r="9265" spans="26:26" x14ac:dyDescent="0.2">
      <c r="Z9265" t="str">
        <f t="shared" si="144"/>
        <v/>
      </c>
    </row>
    <row r="9266" spans="26:26" x14ac:dyDescent="0.2">
      <c r="Z9266" t="str">
        <f t="shared" si="144"/>
        <v/>
      </c>
    </row>
    <row r="9267" spans="26:26" x14ac:dyDescent="0.2">
      <c r="Z9267" t="str">
        <f t="shared" si="144"/>
        <v/>
      </c>
    </row>
    <row r="9268" spans="26:26" x14ac:dyDescent="0.2">
      <c r="Z9268" t="str">
        <f t="shared" si="144"/>
        <v/>
      </c>
    </row>
    <row r="9269" spans="26:26" x14ac:dyDescent="0.2">
      <c r="Z9269" t="str">
        <f t="shared" si="144"/>
        <v/>
      </c>
    </row>
    <row r="9270" spans="26:26" x14ac:dyDescent="0.2">
      <c r="Z9270" t="str">
        <f t="shared" si="144"/>
        <v/>
      </c>
    </row>
    <row r="9271" spans="26:26" x14ac:dyDescent="0.2">
      <c r="Z9271" t="str">
        <f t="shared" si="144"/>
        <v/>
      </c>
    </row>
    <row r="9272" spans="26:26" x14ac:dyDescent="0.2">
      <c r="Z9272" t="str">
        <f t="shared" si="144"/>
        <v/>
      </c>
    </row>
    <row r="9273" spans="26:26" x14ac:dyDescent="0.2">
      <c r="Z9273" t="str">
        <f t="shared" si="144"/>
        <v/>
      </c>
    </row>
    <row r="9274" spans="26:26" x14ac:dyDescent="0.2">
      <c r="Z9274" t="str">
        <f t="shared" si="144"/>
        <v/>
      </c>
    </row>
    <row r="9275" spans="26:26" x14ac:dyDescent="0.2">
      <c r="Z9275" t="str">
        <f t="shared" si="144"/>
        <v/>
      </c>
    </row>
    <row r="9276" spans="26:26" x14ac:dyDescent="0.2">
      <c r="Z9276" t="str">
        <f t="shared" si="144"/>
        <v/>
      </c>
    </row>
    <row r="9277" spans="26:26" x14ac:dyDescent="0.2">
      <c r="Z9277" t="str">
        <f t="shared" si="144"/>
        <v/>
      </c>
    </row>
    <row r="9278" spans="26:26" x14ac:dyDescent="0.2">
      <c r="Z9278" t="str">
        <f t="shared" si="144"/>
        <v/>
      </c>
    </row>
    <row r="9279" spans="26:26" x14ac:dyDescent="0.2">
      <c r="Z9279" t="str">
        <f t="shared" si="144"/>
        <v/>
      </c>
    </row>
    <row r="9280" spans="26:26" x14ac:dyDescent="0.2">
      <c r="Z9280" t="str">
        <f t="shared" si="144"/>
        <v/>
      </c>
    </row>
    <row r="9281" spans="26:26" x14ac:dyDescent="0.2">
      <c r="Z9281" t="str">
        <f t="shared" si="144"/>
        <v/>
      </c>
    </row>
    <row r="9282" spans="26:26" x14ac:dyDescent="0.2">
      <c r="Z9282" t="str">
        <f t="shared" si="144"/>
        <v/>
      </c>
    </row>
    <row r="9283" spans="26:26" x14ac:dyDescent="0.2">
      <c r="Z9283" t="str">
        <f t="shared" ref="Z9283:Z9346" si="145">IF(K9283="","",IFERROR(VALUE(TRIM(MID(K9283,FIND(CHAR(167),SUBSTITUTE(K9283,"-",CHAR(167),LEN(K9283)-LEN(SUBSTITUTE(K9283,"-",""))))+1,100))),K9283))</f>
        <v/>
      </c>
    </row>
    <row r="9284" spans="26:26" x14ac:dyDescent="0.2">
      <c r="Z9284" t="str">
        <f t="shared" si="145"/>
        <v/>
      </c>
    </row>
    <row r="9285" spans="26:26" x14ac:dyDescent="0.2">
      <c r="Z9285" t="str">
        <f t="shared" si="145"/>
        <v/>
      </c>
    </row>
    <row r="9286" spans="26:26" x14ac:dyDescent="0.2">
      <c r="Z9286" t="str">
        <f t="shared" si="145"/>
        <v/>
      </c>
    </row>
    <row r="9287" spans="26:26" x14ac:dyDescent="0.2">
      <c r="Z9287" t="str">
        <f t="shared" si="145"/>
        <v/>
      </c>
    </row>
    <row r="9288" spans="26:26" x14ac:dyDescent="0.2">
      <c r="Z9288" t="str">
        <f t="shared" si="145"/>
        <v/>
      </c>
    </row>
    <row r="9289" spans="26:26" x14ac:dyDescent="0.2">
      <c r="Z9289" t="str">
        <f t="shared" si="145"/>
        <v/>
      </c>
    </row>
    <row r="9290" spans="26:26" x14ac:dyDescent="0.2">
      <c r="Z9290" t="str">
        <f t="shared" si="145"/>
        <v/>
      </c>
    </row>
    <row r="9291" spans="26:26" x14ac:dyDescent="0.2">
      <c r="Z9291" t="str">
        <f t="shared" si="145"/>
        <v/>
      </c>
    </row>
    <row r="9292" spans="26:26" x14ac:dyDescent="0.2">
      <c r="Z9292" t="str">
        <f t="shared" si="145"/>
        <v/>
      </c>
    </row>
    <row r="9293" spans="26:26" x14ac:dyDescent="0.2">
      <c r="Z9293" t="str">
        <f t="shared" si="145"/>
        <v/>
      </c>
    </row>
    <row r="9294" spans="26:26" x14ac:dyDescent="0.2">
      <c r="Z9294" t="str">
        <f t="shared" si="145"/>
        <v/>
      </c>
    </row>
    <row r="9295" spans="26:26" x14ac:dyDescent="0.2">
      <c r="Z9295" t="str">
        <f t="shared" si="145"/>
        <v/>
      </c>
    </row>
    <row r="9296" spans="26:26" x14ac:dyDescent="0.2">
      <c r="Z9296" t="str">
        <f t="shared" si="145"/>
        <v/>
      </c>
    </row>
    <row r="9297" spans="26:26" x14ac:dyDescent="0.2">
      <c r="Z9297" t="str">
        <f t="shared" si="145"/>
        <v/>
      </c>
    </row>
    <row r="9298" spans="26:26" x14ac:dyDescent="0.2">
      <c r="Z9298" t="str">
        <f t="shared" si="145"/>
        <v/>
      </c>
    </row>
    <row r="9299" spans="26:26" x14ac:dyDescent="0.2">
      <c r="Z9299" t="str">
        <f t="shared" si="145"/>
        <v/>
      </c>
    </row>
    <row r="9300" spans="26:26" x14ac:dyDescent="0.2">
      <c r="Z9300" t="str">
        <f t="shared" si="145"/>
        <v/>
      </c>
    </row>
    <row r="9301" spans="26:26" x14ac:dyDescent="0.2">
      <c r="Z9301" t="str">
        <f t="shared" si="145"/>
        <v/>
      </c>
    </row>
    <row r="9302" spans="26:26" x14ac:dyDescent="0.2">
      <c r="Z9302" t="str">
        <f t="shared" si="145"/>
        <v/>
      </c>
    </row>
    <row r="9303" spans="26:26" x14ac:dyDescent="0.2">
      <c r="Z9303" t="str">
        <f t="shared" si="145"/>
        <v/>
      </c>
    </row>
    <row r="9304" spans="26:26" x14ac:dyDescent="0.2">
      <c r="Z9304" t="str">
        <f t="shared" si="145"/>
        <v/>
      </c>
    </row>
    <row r="9305" spans="26:26" x14ac:dyDescent="0.2">
      <c r="Z9305" t="str">
        <f t="shared" si="145"/>
        <v/>
      </c>
    </row>
    <row r="9306" spans="26:26" x14ac:dyDescent="0.2">
      <c r="Z9306" t="str">
        <f t="shared" si="145"/>
        <v/>
      </c>
    </row>
    <row r="9307" spans="26:26" x14ac:dyDescent="0.2">
      <c r="Z9307" t="str">
        <f t="shared" si="145"/>
        <v/>
      </c>
    </row>
    <row r="9308" spans="26:26" x14ac:dyDescent="0.2">
      <c r="Z9308" t="str">
        <f t="shared" si="145"/>
        <v/>
      </c>
    </row>
    <row r="9309" spans="26:26" x14ac:dyDescent="0.2">
      <c r="Z9309" t="str">
        <f t="shared" si="145"/>
        <v/>
      </c>
    </row>
    <row r="9310" spans="26:26" x14ac:dyDescent="0.2">
      <c r="Z9310" t="str">
        <f t="shared" si="145"/>
        <v/>
      </c>
    </row>
    <row r="9311" spans="26:26" x14ac:dyDescent="0.2">
      <c r="Z9311" t="str">
        <f t="shared" si="145"/>
        <v/>
      </c>
    </row>
    <row r="9312" spans="26:26" x14ac:dyDescent="0.2">
      <c r="Z9312" t="str">
        <f t="shared" si="145"/>
        <v/>
      </c>
    </row>
    <row r="9313" spans="26:26" x14ac:dyDescent="0.2">
      <c r="Z9313" t="str">
        <f t="shared" si="145"/>
        <v/>
      </c>
    </row>
    <row r="9314" spans="26:26" x14ac:dyDescent="0.2">
      <c r="Z9314" t="str">
        <f t="shared" si="145"/>
        <v/>
      </c>
    </row>
    <row r="9315" spans="26:26" x14ac:dyDescent="0.2">
      <c r="Z9315" t="str">
        <f t="shared" si="145"/>
        <v/>
      </c>
    </row>
    <row r="9316" spans="26:26" x14ac:dyDescent="0.2">
      <c r="Z9316" t="str">
        <f t="shared" si="145"/>
        <v/>
      </c>
    </row>
    <row r="9317" spans="26:26" x14ac:dyDescent="0.2">
      <c r="Z9317" t="str">
        <f t="shared" si="145"/>
        <v/>
      </c>
    </row>
    <row r="9318" spans="26:26" x14ac:dyDescent="0.2">
      <c r="Z9318" t="str">
        <f t="shared" si="145"/>
        <v/>
      </c>
    </row>
    <row r="9319" spans="26:26" x14ac:dyDescent="0.2">
      <c r="Z9319" t="str">
        <f t="shared" si="145"/>
        <v/>
      </c>
    </row>
    <row r="9320" spans="26:26" x14ac:dyDescent="0.2">
      <c r="Z9320" t="str">
        <f t="shared" si="145"/>
        <v/>
      </c>
    </row>
    <row r="9321" spans="26:26" x14ac:dyDescent="0.2">
      <c r="Z9321" t="str">
        <f t="shared" si="145"/>
        <v/>
      </c>
    </row>
    <row r="9322" spans="26:26" x14ac:dyDescent="0.2">
      <c r="Z9322" t="str">
        <f t="shared" si="145"/>
        <v/>
      </c>
    </row>
    <row r="9323" spans="26:26" x14ac:dyDescent="0.2">
      <c r="Z9323" t="str">
        <f t="shared" si="145"/>
        <v/>
      </c>
    </row>
    <row r="9324" spans="26:26" x14ac:dyDescent="0.2">
      <c r="Z9324" t="str">
        <f t="shared" si="145"/>
        <v/>
      </c>
    </row>
    <row r="9325" spans="26:26" x14ac:dyDescent="0.2">
      <c r="Z9325" t="str">
        <f t="shared" si="145"/>
        <v/>
      </c>
    </row>
    <row r="9326" spans="26:26" x14ac:dyDescent="0.2">
      <c r="Z9326" t="str">
        <f t="shared" si="145"/>
        <v/>
      </c>
    </row>
    <row r="9327" spans="26:26" x14ac:dyDescent="0.2">
      <c r="Z9327" t="str">
        <f t="shared" si="145"/>
        <v/>
      </c>
    </row>
    <row r="9328" spans="26:26" x14ac:dyDescent="0.2">
      <c r="Z9328" t="str">
        <f t="shared" si="145"/>
        <v/>
      </c>
    </row>
    <row r="9329" spans="26:26" x14ac:dyDescent="0.2">
      <c r="Z9329" t="str">
        <f t="shared" si="145"/>
        <v/>
      </c>
    </row>
    <row r="9330" spans="26:26" x14ac:dyDescent="0.2">
      <c r="Z9330" t="str">
        <f t="shared" si="145"/>
        <v/>
      </c>
    </row>
    <row r="9331" spans="26:26" x14ac:dyDescent="0.2">
      <c r="Z9331" t="str">
        <f t="shared" si="145"/>
        <v/>
      </c>
    </row>
    <row r="9332" spans="26:26" x14ac:dyDescent="0.2">
      <c r="Z9332" t="str">
        <f t="shared" si="145"/>
        <v/>
      </c>
    </row>
    <row r="9333" spans="26:26" x14ac:dyDescent="0.2">
      <c r="Z9333" t="str">
        <f t="shared" si="145"/>
        <v/>
      </c>
    </row>
    <row r="9334" spans="26:26" x14ac:dyDescent="0.2">
      <c r="Z9334" t="str">
        <f t="shared" si="145"/>
        <v/>
      </c>
    </row>
    <row r="9335" spans="26:26" x14ac:dyDescent="0.2">
      <c r="Z9335" t="str">
        <f t="shared" si="145"/>
        <v/>
      </c>
    </row>
    <row r="9336" spans="26:26" x14ac:dyDescent="0.2">
      <c r="Z9336" t="str">
        <f t="shared" si="145"/>
        <v/>
      </c>
    </row>
    <row r="9337" spans="26:26" x14ac:dyDescent="0.2">
      <c r="Z9337" t="str">
        <f t="shared" si="145"/>
        <v/>
      </c>
    </row>
    <row r="9338" spans="26:26" x14ac:dyDescent="0.2">
      <c r="Z9338" t="str">
        <f t="shared" si="145"/>
        <v/>
      </c>
    </row>
    <row r="9339" spans="26:26" x14ac:dyDescent="0.2">
      <c r="Z9339" t="str">
        <f t="shared" si="145"/>
        <v/>
      </c>
    </row>
    <row r="9340" spans="26:26" x14ac:dyDescent="0.2">
      <c r="Z9340" t="str">
        <f t="shared" si="145"/>
        <v/>
      </c>
    </row>
    <row r="9341" spans="26:26" x14ac:dyDescent="0.2">
      <c r="Z9341" t="str">
        <f t="shared" si="145"/>
        <v/>
      </c>
    </row>
    <row r="9342" spans="26:26" x14ac:dyDescent="0.2">
      <c r="Z9342" t="str">
        <f t="shared" si="145"/>
        <v/>
      </c>
    </row>
    <row r="9343" spans="26:26" x14ac:dyDescent="0.2">
      <c r="Z9343" t="str">
        <f t="shared" si="145"/>
        <v/>
      </c>
    </row>
    <row r="9344" spans="26:26" x14ac:dyDescent="0.2">
      <c r="Z9344" t="str">
        <f t="shared" si="145"/>
        <v/>
      </c>
    </row>
    <row r="9345" spans="26:26" x14ac:dyDescent="0.2">
      <c r="Z9345" t="str">
        <f t="shared" si="145"/>
        <v/>
      </c>
    </row>
    <row r="9346" spans="26:26" x14ac:dyDescent="0.2">
      <c r="Z9346" t="str">
        <f t="shared" si="145"/>
        <v/>
      </c>
    </row>
    <row r="9347" spans="26:26" x14ac:dyDescent="0.2">
      <c r="Z9347" t="str">
        <f t="shared" ref="Z9347:Z9410" si="146">IF(K9347="","",IFERROR(VALUE(TRIM(MID(K9347,FIND(CHAR(167),SUBSTITUTE(K9347,"-",CHAR(167),LEN(K9347)-LEN(SUBSTITUTE(K9347,"-",""))))+1,100))),K9347))</f>
        <v/>
      </c>
    </row>
    <row r="9348" spans="26:26" x14ac:dyDescent="0.2">
      <c r="Z9348" t="str">
        <f t="shared" si="146"/>
        <v/>
      </c>
    </row>
    <row r="9349" spans="26:26" x14ac:dyDescent="0.2">
      <c r="Z9349" t="str">
        <f t="shared" si="146"/>
        <v/>
      </c>
    </row>
    <row r="9350" spans="26:26" x14ac:dyDescent="0.2">
      <c r="Z9350" t="str">
        <f t="shared" si="146"/>
        <v/>
      </c>
    </row>
    <row r="9351" spans="26:26" x14ac:dyDescent="0.2">
      <c r="Z9351" t="str">
        <f t="shared" si="146"/>
        <v/>
      </c>
    </row>
    <row r="9352" spans="26:26" x14ac:dyDescent="0.2">
      <c r="Z9352" t="str">
        <f t="shared" si="146"/>
        <v/>
      </c>
    </row>
    <row r="9353" spans="26:26" x14ac:dyDescent="0.2">
      <c r="Z9353" t="str">
        <f t="shared" si="146"/>
        <v/>
      </c>
    </row>
    <row r="9354" spans="26:26" x14ac:dyDescent="0.2">
      <c r="Z9354" t="str">
        <f t="shared" si="146"/>
        <v/>
      </c>
    </row>
    <row r="9355" spans="26:26" x14ac:dyDescent="0.2">
      <c r="Z9355" t="str">
        <f t="shared" si="146"/>
        <v/>
      </c>
    </row>
    <row r="9356" spans="26:26" x14ac:dyDescent="0.2">
      <c r="Z9356" t="str">
        <f t="shared" si="146"/>
        <v/>
      </c>
    </row>
    <row r="9357" spans="26:26" x14ac:dyDescent="0.2">
      <c r="Z9357" t="str">
        <f t="shared" si="146"/>
        <v/>
      </c>
    </row>
    <row r="9358" spans="26:26" x14ac:dyDescent="0.2">
      <c r="Z9358" t="str">
        <f t="shared" si="146"/>
        <v/>
      </c>
    </row>
    <row r="9359" spans="26:26" x14ac:dyDescent="0.2">
      <c r="Z9359" t="str">
        <f t="shared" si="146"/>
        <v/>
      </c>
    </row>
    <row r="9360" spans="26:26" x14ac:dyDescent="0.2">
      <c r="Z9360" t="str">
        <f t="shared" si="146"/>
        <v/>
      </c>
    </row>
    <row r="9361" spans="26:26" x14ac:dyDescent="0.2">
      <c r="Z9361" t="str">
        <f t="shared" si="146"/>
        <v/>
      </c>
    </row>
    <row r="9362" spans="26:26" x14ac:dyDescent="0.2">
      <c r="Z9362" t="str">
        <f t="shared" si="146"/>
        <v/>
      </c>
    </row>
    <row r="9363" spans="26:26" x14ac:dyDescent="0.2">
      <c r="Z9363" t="str">
        <f t="shared" si="146"/>
        <v/>
      </c>
    </row>
    <row r="9364" spans="26:26" x14ac:dyDescent="0.2">
      <c r="Z9364" t="str">
        <f t="shared" si="146"/>
        <v/>
      </c>
    </row>
    <row r="9365" spans="26:26" x14ac:dyDescent="0.2">
      <c r="Z9365" t="str">
        <f t="shared" si="146"/>
        <v/>
      </c>
    </row>
    <row r="9366" spans="26:26" x14ac:dyDescent="0.2">
      <c r="Z9366" t="str">
        <f t="shared" si="146"/>
        <v/>
      </c>
    </row>
    <row r="9367" spans="26:26" x14ac:dyDescent="0.2">
      <c r="Z9367" t="str">
        <f t="shared" si="146"/>
        <v/>
      </c>
    </row>
    <row r="9368" spans="26:26" x14ac:dyDescent="0.2">
      <c r="Z9368" t="str">
        <f t="shared" si="146"/>
        <v/>
      </c>
    </row>
    <row r="9369" spans="26:26" x14ac:dyDescent="0.2">
      <c r="Z9369" t="str">
        <f t="shared" si="146"/>
        <v/>
      </c>
    </row>
    <row r="9370" spans="26:26" x14ac:dyDescent="0.2">
      <c r="Z9370" t="str">
        <f t="shared" si="146"/>
        <v/>
      </c>
    </row>
    <row r="9371" spans="26:26" x14ac:dyDescent="0.2">
      <c r="Z9371" t="str">
        <f t="shared" si="146"/>
        <v/>
      </c>
    </row>
    <row r="9372" spans="26:26" x14ac:dyDescent="0.2">
      <c r="Z9372" t="str">
        <f t="shared" si="146"/>
        <v/>
      </c>
    </row>
    <row r="9373" spans="26:26" x14ac:dyDescent="0.2">
      <c r="Z9373" t="str">
        <f t="shared" si="146"/>
        <v/>
      </c>
    </row>
    <row r="9374" spans="26:26" x14ac:dyDescent="0.2">
      <c r="Z9374" t="str">
        <f t="shared" si="146"/>
        <v/>
      </c>
    </row>
    <row r="9375" spans="26:26" x14ac:dyDescent="0.2">
      <c r="Z9375" t="str">
        <f t="shared" si="146"/>
        <v/>
      </c>
    </row>
    <row r="9376" spans="26:26" x14ac:dyDescent="0.2">
      <c r="Z9376" t="str">
        <f t="shared" si="146"/>
        <v/>
      </c>
    </row>
    <row r="9377" spans="26:26" x14ac:dyDescent="0.2">
      <c r="Z9377" t="str">
        <f t="shared" si="146"/>
        <v/>
      </c>
    </row>
    <row r="9378" spans="26:26" x14ac:dyDescent="0.2">
      <c r="Z9378" t="str">
        <f t="shared" si="146"/>
        <v/>
      </c>
    </row>
    <row r="9379" spans="26:26" x14ac:dyDescent="0.2">
      <c r="Z9379" t="str">
        <f t="shared" si="146"/>
        <v/>
      </c>
    </row>
    <row r="9380" spans="26:26" x14ac:dyDescent="0.2">
      <c r="Z9380" t="str">
        <f t="shared" si="146"/>
        <v/>
      </c>
    </row>
    <row r="9381" spans="26:26" x14ac:dyDescent="0.2">
      <c r="Z9381" t="str">
        <f t="shared" si="146"/>
        <v/>
      </c>
    </row>
    <row r="9382" spans="26:26" x14ac:dyDescent="0.2">
      <c r="Z9382" t="str">
        <f t="shared" si="146"/>
        <v/>
      </c>
    </row>
    <row r="9383" spans="26:26" x14ac:dyDescent="0.2">
      <c r="Z9383" t="str">
        <f t="shared" si="146"/>
        <v/>
      </c>
    </row>
    <row r="9384" spans="26:26" x14ac:dyDescent="0.2">
      <c r="Z9384" t="str">
        <f t="shared" si="146"/>
        <v/>
      </c>
    </row>
    <row r="9385" spans="26:26" x14ac:dyDescent="0.2">
      <c r="Z9385" t="str">
        <f t="shared" si="146"/>
        <v/>
      </c>
    </row>
    <row r="9386" spans="26:26" x14ac:dyDescent="0.2">
      <c r="Z9386" t="str">
        <f t="shared" si="146"/>
        <v/>
      </c>
    </row>
    <row r="9387" spans="26:26" x14ac:dyDescent="0.2">
      <c r="Z9387" t="str">
        <f t="shared" si="146"/>
        <v/>
      </c>
    </row>
    <row r="9388" spans="26:26" x14ac:dyDescent="0.2">
      <c r="Z9388" t="str">
        <f t="shared" si="146"/>
        <v/>
      </c>
    </row>
    <row r="9389" spans="26:26" x14ac:dyDescent="0.2">
      <c r="Z9389" t="str">
        <f t="shared" si="146"/>
        <v/>
      </c>
    </row>
    <row r="9390" spans="26:26" x14ac:dyDescent="0.2">
      <c r="Z9390" t="str">
        <f t="shared" si="146"/>
        <v/>
      </c>
    </row>
    <row r="9391" spans="26:26" x14ac:dyDescent="0.2">
      <c r="Z9391" t="str">
        <f t="shared" si="146"/>
        <v/>
      </c>
    </row>
    <row r="9392" spans="26:26" x14ac:dyDescent="0.2">
      <c r="Z9392" t="str">
        <f t="shared" si="146"/>
        <v/>
      </c>
    </row>
    <row r="9393" spans="26:26" x14ac:dyDescent="0.2">
      <c r="Z9393" t="str">
        <f t="shared" si="146"/>
        <v/>
      </c>
    </row>
    <row r="9394" spans="26:26" x14ac:dyDescent="0.2">
      <c r="Z9394" t="str">
        <f t="shared" si="146"/>
        <v/>
      </c>
    </row>
    <row r="9395" spans="26:26" x14ac:dyDescent="0.2">
      <c r="Z9395" t="str">
        <f t="shared" si="146"/>
        <v/>
      </c>
    </row>
    <row r="9396" spans="26:26" x14ac:dyDescent="0.2">
      <c r="Z9396" t="str">
        <f t="shared" si="146"/>
        <v/>
      </c>
    </row>
    <row r="9397" spans="26:26" x14ac:dyDescent="0.2">
      <c r="Z9397" t="str">
        <f t="shared" si="146"/>
        <v/>
      </c>
    </row>
    <row r="9398" spans="26:26" x14ac:dyDescent="0.2">
      <c r="Z9398" t="str">
        <f t="shared" si="146"/>
        <v/>
      </c>
    </row>
    <row r="9399" spans="26:26" x14ac:dyDescent="0.2">
      <c r="Z9399" t="str">
        <f t="shared" si="146"/>
        <v/>
      </c>
    </row>
    <row r="9400" spans="26:26" x14ac:dyDescent="0.2">
      <c r="Z9400" t="str">
        <f t="shared" si="146"/>
        <v/>
      </c>
    </row>
    <row r="9401" spans="26:26" x14ac:dyDescent="0.2">
      <c r="Z9401" t="str">
        <f t="shared" si="146"/>
        <v/>
      </c>
    </row>
    <row r="9402" spans="26:26" x14ac:dyDescent="0.2">
      <c r="Z9402" t="str">
        <f t="shared" si="146"/>
        <v/>
      </c>
    </row>
    <row r="9403" spans="26:26" x14ac:dyDescent="0.2">
      <c r="Z9403" t="str">
        <f t="shared" si="146"/>
        <v/>
      </c>
    </row>
    <row r="9404" spans="26:26" x14ac:dyDescent="0.2">
      <c r="Z9404" t="str">
        <f t="shared" si="146"/>
        <v/>
      </c>
    </row>
    <row r="9405" spans="26:26" x14ac:dyDescent="0.2">
      <c r="Z9405" t="str">
        <f t="shared" si="146"/>
        <v/>
      </c>
    </row>
    <row r="9406" spans="26:26" x14ac:dyDescent="0.2">
      <c r="Z9406" t="str">
        <f t="shared" si="146"/>
        <v/>
      </c>
    </row>
    <row r="9407" spans="26:26" x14ac:dyDescent="0.2">
      <c r="Z9407" t="str">
        <f t="shared" si="146"/>
        <v/>
      </c>
    </row>
    <row r="9408" spans="26:26" x14ac:dyDescent="0.2">
      <c r="Z9408" t="str">
        <f t="shared" si="146"/>
        <v/>
      </c>
    </row>
    <row r="9409" spans="26:26" x14ac:dyDescent="0.2">
      <c r="Z9409" t="str">
        <f t="shared" si="146"/>
        <v/>
      </c>
    </row>
    <row r="9410" spans="26:26" x14ac:dyDescent="0.2">
      <c r="Z9410" t="str">
        <f t="shared" si="146"/>
        <v/>
      </c>
    </row>
    <row r="9411" spans="26:26" x14ac:dyDescent="0.2">
      <c r="Z9411" t="str">
        <f t="shared" ref="Z9411:Z9474" si="147">IF(K9411="","",IFERROR(VALUE(TRIM(MID(K9411,FIND(CHAR(167),SUBSTITUTE(K9411,"-",CHAR(167),LEN(K9411)-LEN(SUBSTITUTE(K9411,"-",""))))+1,100))),K9411))</f>
        <v/>
      </c>
    </row>
    <row r="9412" spans="26:26" x14ac:dyDescent="0.2">
      <c r="Z9412" t="str">
        <f t="shared" si="147"/>
        <v/>
      </c>
    </row>
    <row r="9413" spans="26:26" x14ac:dyDescent="0.2">
      <c r="Z9413" t="str">
        <f t="shared" si="147"/>
        <v/>
      </c>
    </row>
    <row r="9414" spans="26:26" x14ac:dyDescent="0.2">
      <c r="Z9414" t="str">
        <f t="shared" si="147"/>
        <v/>
      </c>
    </row>
    <row r="9415" spans="26:26" x14ac:dyDescent="0.2">
      <c r="Z9415" t="str">
        <f t="shared" si="147"/>
        <v/>
      </c>
    </row>
    <row r="9416" spans="26:26" x14ac:dyDescent="0.2">
      <c r="Z9416" t="str">
        <f t="shared" si="147"/>
        <v/>
      </c>
    </row>
    <row r="9417" spans="26:26" x14ac:dyDescent="0.2">
      <c r="Z9417" t="str">
        <f t="shared" si="147"/>
        <v/>
      </c>
    </row>
    <row r="9418" spans="26:26" x14ac:dyDescent="0.2">
      <c r="Z9418" t="str">
        <f t="shared" si="147"/>
        <v/>
      </c>
    </row>
    <row r="9419" spans="26:26" x14ac:dyDescent="0.2">
      <c r="Z9419" t="str">
        <f t="shared" si="147"/>
        <v/>
      </c>
    </row>
    <row r="9420" spans="26:26" x14ac:dyDescent="0.2">
      <c r="Z9420" t="str">
        <f t="shared" si="147"/>
        <v/>
      </c>
    </row>
    <row r="9421" spans="26:26" x14ac:dyDescent="0.2">
      <c r="Z9421" t="str">
        <f t="shared" si="147"/>
        <v/>
      </c>
    </row>
    <row r="9422" spans="26:26" x14ac:dyDescent="0.2">
      <c r="Z9422" t="str">
        <f t="shared" si="147"/>
        <v/>
      </c>
    </row>
    <row r="9423" spans="26:26" x14ac:dyDescent="0.2">
      <c r="Z9423" t="str">
        <f t="shared" si="147"/>
        <v/>
      </c>
    </row>
    <row r="9424" spans="26:26" x14ac:dyDescent="0.2">
      <c r="Z9424" t="str">
        <f t="shared" si="147"/>
        <v/>
      </c>
    </row>
    <row r="9425" spans="26:26" x14ac:dyDescent="0.2">
      <c r="Z9425" t="str">
        <f t="shared" si="147"/>
        <v/>
      </c>
    </row>
    <row r="9426" spans="26:26" x14ac:dyDescent="0.2">
      <c r="Z9426" t="str">
        <f t="shared" si="147"/>
        <v/>
      </c>
    </row>
    <row r="9427" spans="26:26" x14ac:dyDescent="0.2">
      <c r="Z9427" t="str">
        <f t="shared" si="147"/>
        <v/>
      </c>
    </row>
    <row r="9428" spans="26:26" x14ac:dyDescent="0.2">
      <c r="Z9428" t="str">
        <f t="shared" si="147"/>
        <v/>
      </c>
    </row>
    <row r="9429" spans="26:26" x14ac:dyDescent="0.2">
      <c r="Z9429" t="str">
        <f t="shared" si="147"/>
        <v/>
      </c>
    </row>
    <row r="9430" spans="26:26" x14ac:dyDescent="0.2">
      <c r="Z9430" t="str">
        <f t="shared" si="147"/>
        <v/>
      </c>
    </row>
    <row r="9431" spans="26:26" x14ac:dyDescent="0.2">
      <c r="Z9431" t="str">
        <f t="shared" si="147"/>
        <v/>
      </c>
    </row>
    <row r="9432" spans="26:26" x14ac:dyDescent="0.2">
      <c r="Z9432" t="str">
        <f t="shared" si="147"/>
        <v/>
      </c>
    </row>
    <row r="9433" spans="26:26" x14ac:dyDescent="0.2">
      <c r="Z9433" t="str">
        <f t="shared" si="147"/>
        <v/>
      </c>
    </row>
    <row r="9434" spans="26:26" x14ac:dyDescent="0.2">
      <c r="Z9434" t="str">
        <f t="shared" si="147"/>
        <v/>
      </c>
    </row>
    <row r="9435" spans="26:26" x14ac:dyDescent="0.2">
      <c r="Z9435" t="str">
        <f t="shared" si="147"/>
        <v/>
      </c>
    </row>
    <row r="9436" spans="26:26" x14ac:dyDescent="0.2">
      <c r="Z9436" t="str">
        <f t="shared" si="147"/>
        <v/>
      </c>
    </row>
    <row r="9437" spans="26:26" x14ac:dyDescent="0.2">
      <c r="Z9437" t="str">
        <f t="shared" si="147"/>
        <v/>
      </c>
    </row>
    <row r="9438" spans="26:26" x14ac:dyDescent="0.2">
      <c r="Z9438" t="str">
        <f t="shared" si="147"/>
        <v/>
      </c>
    </row>
    <row r="9439" spans="26:26" x14ac:dyDescent="0.2">
      <c r="Z9439" t="str">
        <f t="shared" si="147"/>
        <v/>
      </c>
    </row>
    <row r="9440" spans="26:26" x14ac:dyDescent="0.2">
      <c r="Z9440" t="str">
        <f t="shared" si="147"/>
        <v/>
      </c>
    </row>
    <row r="9441" spans="26:26" x14ac:dyDescent="0.2">
      <c r="Z9441" t="str">
        <f t="shared" si="147"/>
        <v/>
      </c>
    </row>
    <row r="9442" spans="26:26" x14ac:dyDescent="0.2">
      <c r="Z9442" t="str">
        <f t="shared" si="147"/>
        <v/>
      </c>
    </row>
    <row r="9443" spans="26:26" x14ac:dyDescent="0.2">
      <c r="Z9443" t="str">
        <f t="shared" si="147"/>
        <v/>
      </c>
    </row>
    <row r="9444" spans="26:26" x14ac:dyDescent="0.2">
      <c r="Z9444" t="str">
        <f t="shared" si="147"/>
        <v/>
      </c>
    </row>
    <row r="9445" spans="26:26" x14ac:dyDescent="0.2">
      <c r="Z9445" t="str">
        <f t="shared" si="147"/>
        <v/>
      </c>
    </row>
    <row r="9446" spans="26:26" x14ac:dyDescent="0.2">
      <c r="Z9446" t="str">
        <f t="shared" si="147"/>
        <v/>
      </c>
    </row>
    <row r="9447" spans="26:26" x14ac:dyDescent="0.2">
      <c r="Z9447" t="str">
        <f t="shared" si="147"/>
        <v/>
      </c>
    </row>
    <row r="9448" spans="26:26" x14ac:dyDescent="0.2">
      <c r="Z9448" t="str">
        <f t="shared" si="147"/>
        <v/>
      </c>
    </row>
    <row r="9449" spans="26:26" x14ac:dyDescent="0.2">
      <c r="Z9449" t="str">
        <f t="shared" si="147"/>
        <v/>
      </c>
    </row>
    <row r="9450" spans="26:26" x14ac:dyDescent="0.2">
      <c r="Z9450" t="str">
        <f t="shared" si="147"/>
        <v/>
      </c>
    </row>
    <row r="9451" spans="26:26" x14ac:dyDescent="0.2">
      <c r="Z9451" t="str">
        <f t="shared" si="147"/>
        <v/>
      </c>
    </row>
    <row r="9452" spans="26:26" x14ac:dyDescent="0.2">
      <c r="Z9452" t="str">
        <f t="shared" si="147"/>
        <v/>
      </c>
    </row>
    <row r="9453" spans="26:26" x14ac:dyDescent="0.2">
      <c r="Z9453" t="str">
        <f t="shared" si="147"/>
        <v/>
      </c>
    </row>
    <row r="9454" spans="26:26" x14ac:dyDescent="0.2">
      <c r="Z9454" t="str">
        <f t="shared" si="147"/>
        <v/>
      </c>
    </row>
    <row r="9455" spans="26:26" x14ac:dyDescent="0.2">
      <c r="Z9455" t="str">
        <f t="shared" si="147"/>
        <v/>
      </c>
    </row>
    <row r="9456" spans="26:26" x14ac:dyDescent="0.2">
      <c r="Z9456" t="str">
        <f t="shared" si="147"/>
        <v/>
      </c>
    </row>
    <row r="9457" spans="26:26" x14ac:dyDescent="0.2">
      <c r="Z9457" t="str">
        <f t="shared" si="147"/>
        <v/>
      </c>
    </row>
    <row r="9458" spans="26:26" x14ac:dyDescent="0.2">
      <c r="Z9458" t="str">
        <f t="shared" si="147"/>
        <v/>
      </c>
    </row>
    <row r="9459" spans="26:26" x14ac:dyDescent="0.2">
      <c r="Z9459" t="str">
        <f t="shared" si="147"/>
        <v/>
      </c>
    </row>
    <row r="9460" spans="26:26" x14ac:dyDescent="0.2">
      <c r="Z9460" t="str">
        <f t="shared" si="147"/>
        <v/>
      </c>
    </row>
    <row r="9461" spans="26:26" x14ac:dyDescent="0.2">
      <c r="Z9461" t="str">
        <f t="shared" si="147"/>
        <v/>
      </c>
    </row>
    <row r="9462" spans="26:26" x14ac:dyDescent="0.2">
      <c r="Z9462" t="str">
        <f t="shared" si="147"/>
        <v/>
      </c>
    </row>
    <row r="9463" spans="26:26" x14ac:dyDescent="0.2">
      <c r="Z9463" t="str">
        <f t="shared" si="147"/>
        <v/>
      </c>
    </row>
    <row r="9464" spans="26:26" x14ac:dyDescent="0.2">
      <c r="Z9464" t="str">
        <f t="shared" si="147"/>
        <v/>
      </c>
    </row>
    <row r="9465" spans="26:26" x14ac:dyDescent="0.2">
      <c r="Z9465" t="str">
        <f t="shared" si="147"/>
        <v/>
      </c>
    </row>
    <row r="9466" spans="26:26" x14ac:dyDescent="0.2">
      <c r="Z9466" t="str">
        <f t="shared" si="147"/>
        <v/>
      </c>
    </row>
    <row r="9467" spans="26:26" x14ac:dyDescent="0.2">
      <c r="Z9467" t="str">
        <f t="shared" si="147"/>
        <v/>
      </c>
    </row>
    <row r="9468" spans="26:26" x14ac:dyDescent="0.2">
      <c r="Z9468" t="str">
        <f t="shared" si="147"/>
        <v/>
      </c>
    </row>
    <row r="9469" spans="26:26" x14ac:dyDescent="0.2">
      <c r="Z9469" t="str">
        <f t="shared" si="147"/>
        <v/>
      </c>
    </row>
    <row r="9470" spans="26:26" x14ac:dyDescent="0.2">
      <c r="Z9470" t="str">
        <f t="shared" si="147"/>
        <v/>
      </c>
    </row>
    <row r="9471" spans="26:26" x14ac:dyDescent="0.2">
      <c r="Z9471" t="str">
        <f t="shared" si="147"/>
        <v/>
      </c>
    </row>
    <row r="9472" spans="26:26" x14ac:dyDescent="0.2">
      <c r="Z9472" t="str">
        <f t="shared" si="147"/>
        <v/>
      </c>
    </row>
    <row r="9473" spans="26:26" x14ac:dyDescent="0.2">
      <c r="Z9473" t="str">
        <f t="shared" si="147"/>
        <v/>
      </c>
    </row>
    <row r="9474" spans="26:26" x14ac:dyDescent="0.2">
      <c r="Z9474" t="str">
        <f t="shared" si="147"/>
        <v/>
      </c>
    </row>
    <row r="9475" spans="26:26" x14ac:dyDescent="0.2">
      <c r="Z9475" t="str">
        <f t="shared" ref="Z9475:Z9538" si="148">IF(K9475="","",IFERROR(VALUE(TRIM(MID(K9475,FIND(CHAR(167),SUBSTITUTE(K9475,"-",CHAR(167),LEN(K9475)-LEN(SUBSTITUTE(K9475,"-",""))))+1,100))),K9475))</f>
        <v/>
      </c>
    </row>
    <row r="9476" spans="26:26" x14ac:dyDescent="0.2">
      <c r="Z9476" t="str">
        <f t="shared" si="148"/>
        <v/>
      </c>
    </row>
    <row r="9477" spans="26:26" x14ac:dyDescent="0.2">
      <c r="Z9477" t="str">
        <f t="shared" si="148"/>
        <v/>
      </c>
    </row>
    <row r="9478" spans="26:26" x14ac:dyDescent="0.2">
      <c r="Z9478" t="str">
        <f t="shared" si="148"/>
        <v/>
      </c>
    </row>
    <row r="9479" spans="26:26" x14ac:dyDescent="0.2">
      <c r="Z9479" t="str">
        <f t="shared" si="148"/>
        <v/>
      </c>
    </row>
    <row r="9480" spans="26:26" x14ac:dyDescent="0.2">
      <c r="Z9480" t="str">
        <f t="shared" si="148"/>
        <v/>
      </c>
    </row>
    <row r="9481" spans="26:26" x14ac:dyDescent="0.2">
      <c r="Z9481" t="str">
        <f t="shared" si="148"/>
        <v/>
      </c>
    </row>
    <row r="9482" spans="26:26" x14ac:dyDescent="0.2">
      <c r="Z9482" t="str">
        <f t="shared" si="148"/>
        <v/>
      </c>
    </row>
    <row r="9483" spans="26:26" x14ac:dyDescent="0.2">
      <c r="Z9483" t="str">
        <f t="shared" si="148"/>
        <v/>
      </c>
    </row>
    <row r="9484" spans="26:26" x14ac:dyDescent="0.2">
      <c r="Z9484" t="str">
        <f t="shared" si="148"/>
        <v/>
      </c>
    </row>
    <row r="9485" spans="26:26" x14ac:dyDescent="0.2">
      <c r="Z9485" t="str">
        <f t="shared" si="148"/>
        <v/>
      </c>
    </row>
    <row r="9486" spans="26:26" x14ac:dyDescent="0.2">
      <c r="Z9486" t="str">
        <f t="shared" si="148"/>
        <v/>
      </c>
    </row>
    <row r="9487" spans="26:26" x14ac:dyDescent="0.2">
      <c r="Z9487" t="str">
        <f t="shared" si="148"/>
        <v/>
      </c>
    </row>
    <row r="9488" spans="26:26" x14ac:dyDescent="0.2">
      <c r="Z9488" t="str">
        <f t="shared" si="148"/>
        <v/>
      </c>
    </row>
    <row r="9489" spans="26:26" x14ac:dyDescent="0.2">
      <c r="Z9489" t="str">
        <f t="shared" si="148"/>
        <v/>
      </c>
    </row>
    <row r="9490" spans="26:26" x14ac:dyDescent="0.2">
      <c r="Z9490" t="str">
        <f t="shared" si="148"/>
        <v/>
      </c>
    </row>
    <row r="9491" spans="26:26" x14ac:dyDescent="0.2">
      <c r="Z9491" t="str">
        <f t="shared" si="148"/>
        <v/>
      </c>
    </row>
    <row r="9492" spans="26:26" x14ac:dyDescent="0.2">
      <c r="Z9492" t="str">
        <f t="shared" si="148"/>
        <v/>
      </c>
    </row>
    <row r="9493" spans="26:26" x14ac:dyDescent="0.2">
      <c r="Z9493" t="str">
        <f t="shared" si="148"/>
        <v/>
      </c>
    </row>
    <row r="9494" spans="26:26" x14ac:dyDescent="0.2">
      <c r="Z9494" t="str">
        <f t="shared" si="148"/>
        <v/>
      </c>
    </row>
    <row r="9495" spans="26:26" x14ac:dyDescent="0.2">
      <c r="Z9495" t="str">
        <f t="shared" si="148"/>
        <v/>
      </c>
    </row>
    <row r="9496" spans="26:26" x14ac:dyDescent="0.2">
      <c r="Z9496" t="str">
        <f t="shared" si="148"/>
        <v/>
      </c>
    </row>
    <row r="9497" spans="26:26" x14ac:dyDescent="0.2">
      <c r="Z9497" t="str">
        <f t="shared" si="148"/>
        <v/>
      </c>
    </row>
    <row r="9498" spans="26:26" x14ac:dyDescent="0.2">
      <c r="Z9498" t="str">
        <f t="shared" si="148"/>
        <v/>
      </c>
    </row>
    <row r="9499" spans="26:26" x14ac:dyDescent="0.2">
      <c r="Z9499" t="str">
        <f t="shared" si="148"/>
        <v/>
      </c>
    </row>
    <row r="9500" spans="26:26" x14ac:dyDescent="0.2">
      <c r="Z9500" t="str">
        <f t="shared" si="148"/>
        <v/>
      </c>
    </row>
    <row r="9501" spans="26:26" x14ac:dyDescent="0.2">
      <c r="Z9501" t="str">
        <f t="shared" si="148"/>
        <v/>
      </c>
    </row>
    <row r="9502" spans="26:26" x14ac:dyDescent="0.2">
      <c r="Z9502" t="str">
        <f t="shared" si="148"/>
        <v/>
      </c>
    </row>
    <row r="9503" spans="26:26" x14ac:dyDescent="0.2">
      <c r="Z9503" t="str">
        <f t="shared" si="148"/>
        <v/>
      </c>
    </row>
    <row r="9504" spans="26:26" x14ac:dyDescent="0.2">
      <c r="Z9504" t="str">
        <f t="shared" si="148"/>
        <v/>
      </c>
    </row>
    <row r="9505" spans="26:26" x14ac:dyDescent="0.2">
      <c r="Z9505" t="str">
        <f t="shared" si="148"/>
        <v/>
      </c>
    </row>
    <row r="9506" spans="26:26" x14ac:dyDescent="0.2">
      <c r="Z9506" t="str">
        <f t="shared" si="148"/>
        <v/>
      </c>
    </row>
    <row r="9507" spans="26:26" x14ac:dyDescent="0.2">
      <c r="Z9507" t="str">
        <f t="shared" si="148"/>
        <v/>
      </c>
    </row>
    <row r="9508" spans="26:26" x14ac:dyDescent="0.2">
      <c r="Z9508" t="str">
        <f t="shared" si="148"/>
        <v/>
      </c>
    </row>
    <row r="9509" spans="26:26" x14ac:dyDescent="0.2">
      <c r="Z9509" t="str">
        <f t="shared" si="148"/>
        <v/>
      </c>
    </row>
    <row r="9510" spans="26:26" x14ac:dyDescent="0.2">
      <c r="Z9510" t="str">
        <f t="shared" si="148"/>
        <v/>
      </c>
    </row>
    <row r="9511" spans="26:26" x14ac:dyDescent="0.2">
      <c r="Z9511" t="str">
        <f t="shared" si="148"/>
        <v/>
      </c>
    </row>
    <row r="9512" spans="26:26" x14ac:dyDescent="0.2">
      <c r="Z9512" t="str">
        <f t="shared" si="148"/>
        <v/>
      </c>
    </row>
    <row r="9513" spans="26:26" x14ac:dyDescent="0.2">
      <c r="Z9513" t="str">
        <f t="shared" si="148"/>
        <v/>
      </c>
    </row>
    <row r="9514" spans="26:26" x14ac:dyDescent="0.2">
      <c r="Z9514" t="str">
        <f t="shared" si="148"/>
        <v/>
      </c>
    </row>
    <row r="9515" spans="26:26" x14ac:dyDescent="0.2">
      <c r="Z9515" t="str">
        <f t="shared" si="148"/>
        <v/>
      </c>
    </row>
    <row r="9516" spans="26:26" x14ac:dyDescent="0.2">
      <c r="Z9516" t="str">
        <f t="shared" si="148"/>
        <v/>
      </c>
    </row>
    <row r="9517" spans="26:26" x14ac:dyDescent="0.2">
      <c r="Z9517" t="str">
        <f t="shared" si="148"/>
        <v/>
      </c>
    </row>
    <row r="9518" spans="26:26" x14ac:dyDescent="0.2">
      <c r="Z9518" t="str">
        <f t="shared" si="148"/>
        <v/>
      </c>
    </row>
    <row r="9519" spans="26:26" x14ac:dyDescent="0.2">
      <c r="Z9519" t="str">
        <f t="shared" si="148"/>
        <v/>
      </c>
    </row>
    <row r="9520" spans="26:26" x14ac:dyDescent="0.2">
      <c r="Z9520" t="str">
        <f t="shared" si="148"/>
        <v/>
      </c>
    </row>
    <row r="9521" spans="26:26" x14ac:dyDescent="0.2">
      <c r="Z9521" t="str">
        <f t="shared" si="148"/>
        <v/>
      </c>
    </row>
    <row r="9522" spans="26:26" x14ac:dyDescent="0.2">
      <c r="Z9522" t="str">
        <f t="shared" si="148"/>
        <v/>
      </c>
    </row>
    <row r="9523" spans="26:26" x14ac:dyDescent="0.2">
      <c r="Z9523" t="str">
        <f t="shared" si="148"/>
        <v/>
      </c>
    </row>
    <row r="9524" spans="26:26" x14ac:dyDescent="0.2">
      <c r="Z9524" t="str">
        <f t="shared" si="148"/>
        <v/>
      </c>
    </row>
    <row r="9525" spans="26:26" x14ac:dyDescent="0.2">
      <c r="Z9525" t="str">
        <f t="shared" si="148"/>
        <v/>
      </c>
    </row>
    <row r="9526" spans="26:26" x14ac:dyDescent="0.2">
      <c r="Z9526" t="str">
        <f t="shared" si="148"/>
        <v/>
      </c>
    </row>
    <row r="9527" spans="26:26" x14ac:dyDescent="0.2">
      <c r="Z9527" t="str">
        <f t="shared" si="148"/>
        <v/>
      </c>
    </row>
    <row r="9528" spans="26:26" x14ac:dyDescent="0.2">
      <c r="Z9528" t="str">
        <f t="shared" si="148"/>
        <v/>
      </c>
    </row>
    <row r="9529" spans="26:26" x14ac:dyDescent="0.2">
      <c r="Z9529" t="str">
        <f t="shared" si="148"/>
        <v/>
      </c>
    </row>
    <row r="9530" spans="26:26" x14ac:dyDescent="0.2">
      <c r="Z9530" t="str">
        <f t="shared" si="148"/>
        <v/>
      </c>
    </row>
    <row r="9531" spans="26:26" x14ac:dyDescent="0.2">
      <c r="Z9531" t="str">
        <f t="shared" si="148"/>
        <v/>
      </c>
    </row>
    <row r="9532" spans="26:26" x14ac:dyDescent="0.2">
      <c r="Z9532" t="str">
        <f t="shared" si="148"/>
        <v/>
      </c>
    </row>
    <row r="9533" spans="26:26" x14ac:dyDescent="0.2">
      <c r="Z9533" t="str">
        <f t="shared" si="148"/>
        <v/>
      </c>
    </row>
    <row r="9534" spans="26:26" x14ac:dyDescent="0.2">
      <c r="Z9534" t="str">
        <f t="shared" si="148"/>
        <v/>
      </c>
    </row>
    <row r="9535" spans="26:26" x14ac:dyDescent="0.2">
      <c r="Z9535" t="str">
        <f t="shared" si="148"/>
        <v/>
      </c>
    </row>
    <row r="9536" spans="26:26" x14ac:dyDescent="0.2">
      <c r="Z9536" t="str">
        <f t="shared" si="148"/>
        <v/>
      </c>
    </row>
    <row r="9537" spans="26:26" x14ac:dyDescent="0.2">
      <c r="Z9537" t="str">
        <f t="shared" si="148"/>
        <v/>
      </c>
    </row>
    <row r="9538" spans="26:26" x14ac:dyDescent="0.2">
      <c r="Z9538" t="str">
        <f t="shared" si="148"/>
        <v/>
      </c>
    </row>
    <row r="9539" spans="26:26" x14ac:dyDescent="0.2">
      <c r="Z9539" t="str">
        <f t="shared" ref="Z9539:Z9602" si="149">IF(K9539="","",IFERROR(VALUE(TRIM(MID(K9539,FIND(CHAR(167),SUBSTITUTE(K9539,"-",CHAR(167),LEN(K9539)-LEN(SUBSTITUTE(K9539,"-",""))))+1,100))),K9539))</f>
        <v/>
      </c>
    </row>
    <row r="9540" spans="26:26" x14ac:dyDescent="0.2">
      <c r="Z9540" t="str">
        <f t="shared" si="149"/>
        <v/>
      </c>
    </row>
    <row r="9541" spans="26:26" x14ac:dyDescent="0.2">
      <c r="Z9541" t="str">
        <f t="shared" si="149"/>
        <v/>
      </c>
    </row>
    <row r="9542" spans="26:26" x14ac:dyDescent="0.2">
      <c r="Z9542" t="str">
        <f t="shared" si="149"/>
        <v/>
      </c>
    </row>
    <row r="9543" spans="26:26" x14ac:dyDescent="0.2">
      <c r="Z9543" t="str">
        <f t="shared" si="149"/>
        <v/>
      </c>
    </row>
    <row r="9544" spans="26:26" x14ac:dyDescent="0.2">
      <c r="Z9544" t="str">
        <f t="shared" si="149"/>
        <v/>
      </c>
    </row>
    <row r="9545" spans="26:26" x14ac:dyDescent="0.2">
      <c r="Z9545" t="str">
        <f t="shared" si="149"/>
        <v/>
      </c>
    </row>
    <row r="9546" spans="26:26" x14ac:dyDescent="0.2">
      <c r="Z9546" t="str">
        <f t="shared" si="149"/>
        <v/>
      </c>
    </row>
    <row r="9547" spans="26:26" x14ac:dyDescent="0.2">
      <c r="Z9547" t="str">
        <f t="shared" si="149"/>
        <v/>
      </c>
    </row>
    <row r="9548" spans="26:26" x14ac:dyDescent="0.2">
      <c r="Z9548" t="str">
        <f t="shared" si="149"/>
        <v/>
      </c>
    </row>
    <row r="9549" spans="26:26" x14ac:dyDescent="0.2">
      <c r="Z9549" t="str">
        <f t="shared" si="149"/>
        <v/>
      </c>
    </row>
    <row r="9550" spans="26:26" x14ac:dyDescent="0.2">
      <c r="Z9550" t="str">
        <f t="shared" si="149"/>
        <v/>
      </c>
    </row>
    <row r="9551" spans="26:26" x14ac:dyDescent="0.2">
      <c r="Z9551" t="str">
        <f t="shared" si="149"/>
        <v/>
      </c>
    </row>
    <row r="9552" spans="26:26" x14ac:dyDescent="0.2">
      <c r="Z9552" t="str">
        <f t="shared" si="149"/>
        <v/>
      </c>
    </row>
    <row r="9553" spans="26:26" x14ac:dyDescent="0.2">
      <c r="Z9553" t="str">
        <f t="shared" si="149"/>
        <v/>
      </c>
    </row>
    <row r="9554" spans="26:26" x14ac:dyDescent="0.2">
      <c r="Z9554" t="str">
        <f t="shared" si="149"/>
        <v/>
      </c>
    </row>
    <row r="9555" spans="26:26" x14ac:dyDescent="0.2">
      <c r="Z9555" t="str">
        <f t="shared" si="149"/>
        <v/>
      </c>
    </row>
    <row r="9556" spans="26:26" x14ac:dyDescent="0.2">
      <c r="Z9556" t="str">
        <f t="shared" si="149"/>
        <v/>
      </c>
    </row>
    <row r="9557" spans="26:26" x14ac:dyDescent="0.2">
      <c r="Z9557" t="str">
        <f t="shared" si="149"/>
        <v/>
      </c>
    </row>
    <row r="9558" spans="26:26" x14ac:dyDescent="0.2">
      <c r="Z9558" t="str">
        <f t="shared" si="149"/>
        <v/>
      </c>
    </row>
    <row r="9559" spans="26:26" x14ac:dyDescent="0.2">
      <c r="Z9559" t="str">
        <f t="shared" si="149"/>
        <v/>
      </c>
    </row>
    <row r="9560" spans="26:26" x14ac:dyDescent="0.2">
      <c r="Z9560" t="str">
        <f t="shared" si="149"/>
        <v/>
      </c>
    </row>
    <row r="9561" spans="26:26" x14ac:dyDescent="0.2">
      <c r="Z9561" t="str">
        <f t="shared" si="149"/>
        <v/>
      </c>
    </row>
    <row r="9562" spans="26:26" x14ac:dyDescent="0.2">
      <c r="Z9562" t="str">
        <f t="shared" si="149"/>
        <v/>
      </c>
    </row>
    <row r="9563" spans="26:26" x14ac:dyDescent="0.2">
      <c r="Z9563" t="str">
        <f t="shared" si="149"/>
        <v/>
      </c>
    </row>
    <row r="9564" spans="26:26" x14ac:dyDescent="0.2">
      <c r="Z9564" t="str">
        <f t="shared" si="149"/>
        <v/>
      </c>
    </row>
    <row r="9565" spans="26:26" x14ac:dyDescent="0.2">
      <c r="Z9565" t="str">
        <f t="shared" si="149"/>
        <v/>
      </c>
    </row>
    <row r="9566" spans="26:26" x14ac:dyDescent="0.2">
      <c r="Z9566" t="str">
        <f t="shared" si="149"/>
        <v/>
      </c>
    </row>
    <row r="9567" spans="26:26" x14ac:dyDescent="0.2">
      <c r="Z9567" t="str">
        <f t="shared" si="149"/>
        <v/>
      </c>
    </row>
    <row r="9568" spans="26:26" x14ac:dyDescent="0.2">
      <c r="Z9568" t="str">
        <f t="shared" si="149"/>
        <v/>
      </c>
    </row>
    <row r="9569" spans="26:26" x14ac:dyDescent="0.2">
      <c r="Z9569" t="str">
        <f t="shared" si="149"/>
        <v/>
      </c>
    </row>
    <row r="9570" spans="26:26" x14ac:dyDescent="0.2">
      <c r="Z9570" t="str">
        <f t="shared" si="149"/>
        <v/>
      </c>
    </row>
    <row r="9571" spans="26:26" x14ac:dyDescent="0.2">
      <c r="Z9571" t="str">
        <f t="shared" si="149"/>
        <v/>
      </c>
    </row>
    <row r="9572" spans="26:26" x14ac:dyDescent="0.2">
      <c r="Z9572" t="str">
        <f t="shared" si="149"/>
        <v/>
      </c>
    </row>
    <row r="9573" spans="26:26" x14ac:dyDescent="0.2">
      <c r="Z9573" t="str">
        <f t="shared" si="149"/>
        <v/>
      </c>
    </row>
    <row r="9574" spans="26:26" x14ac:dyDescent="0.2">
      <c r="Z9574" t="str">
        <f t="shared" si="149"/>
        <v/>
      </c>
    </row>
    <row r="9575" spans="26:26" x14ac:dyDescent="0.2">
      <c r="Z9575" t="str">
        <f t="shared" si="149"/>
        <v/>
      </c>
    </row>
    <row r="9576" spans="26:26" x14ac:dyDescent="0.2">
      <c r="Z9576" t="str">
        <f t="shared" si="149"/>
        <v/>
      </c>
    </row>
    <row r="9577" spans="26:26" x14ac:dyDescent="0.2">
      <c r="Z9577" t="str">
        <f t="shared" si="149"/>
        <v/>
      </c>
    </row>
    <row r="9578" spans="26:26" x14ac:dyDescent="0.2">
      <c r="Z9578" t="str">
        <f t="shared" si="149"/>
        <v/>
      </c>
    </row>
    <row r="9579" spans="26:26" x14ac:dyDescent="0.2">
      <c r="Z9579" t="str">
        <f t="shared" si="149"/>
        <v/>
      </c>
    </row>
    <row r="9580" spans="26:26" x14ac:dyDescent="0.2">
      <c r="Z9580" t="str">
        <f t="shared" si="149"/>
        <v/>
      </c>
    </row>
    <row r="9581" spans="26:26" x14ac:dyDescent="0.2">
      <c r="Z9581" t="str">
        <f t="shared" si="149"/>
        <v/>
      </c>
    </row>
    <row r="9582" spans="26:26" x14ac:dyDescent="0.2">
      <c r="Z9582" t="str">
        <f t="shared" si="149"/>
        <v/>
      </c>
    </row>
    <row r="9583" spans="26:26" x14ac:dyDescent="0.2">
      <c r="Z9583" t="str">
        <f t="shared" si="149"/>
        <v/>
      </c>
    </row>
    <row r="9584" spans="26:26" x14ac:dyDescent="0.2">
      <c r="Z9584" t="str">
        <f t="shared" si="149"/>
        <v/>
      </c>
    </row>
    <row r="9585" spans="26:26" x14ac:dyDescent="0.2">
      <c r="Z9585" t="str">
        <f t="shared" si="149"/>
        <v/>
      </c>
    </row>
    <row r="9586" spans="26:26" x14ac:dyDescent="0.2">
      <c r="Z9586" t="str">
        <f t="shared" si="149"/>
        <v/>
      </c>
    </row>
    <row r="9587" spans="26:26" x14ac:dyDescent="0.2">
      <c r="Z9587" t="str">
        <f t="shared" si="149"/>
        <v/>
      </c>
    </row>
    <row r="9588" spans="26:26" x14ac:dyDescent="0.2">
      <c r="Z9588" t="str">
        <f t="shared" si="149"/>
        <v/>
      </c>
    </row>
    <row r="9589" spans="26:26" x14ac:dyDescent="0.2">
      <c r="Z9589" t="str">
        <f t="shared" si="149"/>
        <v/>
      </c>
    </row>
    <row r="9590" spans="26:26" x14ac:dyDescent="0.2">
      <c r="Z9590" t="str">
        <f t="shared" si="149"/>
        <v/>
      </c>
    </row>
    <row r="9591" spans="26:26" x14ac:dyDescent="0.2">
      <c r="Z9591" t="str">
        <f t="shared" si="149"/>
        <v/>
      </c>
    </row>
    <row r="9592" spans="26:26" x14ac:dyDescent="0.2">
      <c r="Z9592" t="str">
        <f t="shared" si="149"/>
        <v/>
      </c>
    </row>
    <row r="9593" spans="26:26" x14ac:dyDescent="0.2">
      <c r="Z9593" t="str">
        <f t="shared" si="149"/>
        <v/>
      </c>
    </row>
    <row r="9594" spans="26:26" x14ac:dyDescent="0.2">
      <c r="Z9594" t="str">
        <f t="shared" si="149"/>
        <v/>
      </c>
    </row>
    <row r="9595" spans="26:26" x14ac:dyDescent="0.2">
      <c r="Z9595" t="str">
        <f t="shared" si="149"/>
        <v/>
      </c>
    </row>
    <row r="9596" spans="26:26" x14ac:dyDescent="0.2">
      <c r="Z9596" t="str">
        <f t="shared" si="149"/>
        <v/>
      </c>
    </row>
    <row r="9597" spans="26:26" x14ac:dyDescent="0.2">
      <c r="Z9597" t="str">
        <f t="shared" si="149"/>
        <v/>
      </c>
    </row>
    <row r="9598" spans="26:26" x14ac:dyDescent="0.2">
      <c r="Z9598" t="str">
        <f t="shared" si="149"/>
        <v/>
      </c>
    </row>
    <row r="9599" spans="26:26" x14ac:dyDescent="0.2">
      <c r="Z9599" t="str">
        <f t="shared" si="149"/>
        <v/>
      </c>
    </row>
    <row r="9600" spans="26:26" x14ac:dyDescent="0.2">
      <c r="Z9600" t="str">
        <f t="shared" si="149"/>
        <v/>
      </c>
    </row>
    <row r="9601" spans="26:26" x14ac:dyDescent="0.2">
      <c r="Z9601" t="str">
        <f t="shared" si="149"/>
        <v/>
      </c>
    </row>
    <row r="9602" spans="26:26" x14ac:dyDescent="0.2">
      <c r="Z9602" t="str">
        <f t="shared" si="149"/>
        <v/>
      </c>
    </row>
    <row r="9603" spans="26:26" x14ac:dyDescent="0.2">
      <c r="Z9603" t="str">
        <f t="shared" ref="Z9603:Z9666" si="150">IF(K9603="","",IFERROR(VALUE(TRIM(MID(K9603,FIND(CHAR(167),SUBSTITUTE(K9603,"-",CHAR(167),LEN(K9603)-LEN(SUBSTITUTE(K9603,"-",""))))+1,100))),K9603))</f>
        <v/>
      </c>
    </row>
    <row r="9604" spans="26:26" x14ac:dyDescent="0.2">
      <c r="Z9604" t="str">
        <f t="shared" si="150"/>
        <v/>
      </c>
    </row>
    <row r="9605" spans="26:26" x14ac:dyDescent="0.2">
      <c r="Z9605" t="str">
        <f t="shared" si="150"/>
        <v/>
      </c>
    </row>
    <row r="9606" spans="26:26" x14ac:dyDescent="0.2">
      <c r="Z9606" t="str">
        <f t="shared" si="150"/>
        <v/>
      </c>
    </row>
    <row r="9607" spans="26:26" x14ac:dyDescent="0.2">
      <c r="Z9607" t="str">
        <f t="shared" si="150"/>
        <v/>
      </c>
    </row>
    <row r="9608" spans="26:26" x14ac:dyDescent="0.2">
      <c r="Z9608" t="str">
        <f t="shared" si="150"/>
        <v/>
      </c>
    </row>
    <row r="9609" spans="26:26" x14ac:dyDescent="0.2">
      <c r="Z9609" t="str">
        <f t="shared" si="150"/>
        <v/>
      </c>
    </row>
    <row r="9610" spans="26:26" x14ac:dyDescent="0.2">
      <c r="Z9610" t="str">
        <f t="shared" si="150"/>
        <v/>
      </c>
    </row>
    <row r="9611" spans="26:26" x14ac:dyDescent="0.2">
      <c r="Z9611" t="str">
        <f t="shared" si="150"/>
        <v/>
      </c>
    </row>
    <row r="9612" spans="26:26" x14ac:dyDescent="0.2">
      <c r="Z9612" t="str">
        <f t="shared" si="150"/>
        <v/>
      </c>
    </row>
    <row r="9613" spans="26:26" x14ac:dyDescent="0.2">
      <c r="Z9613" t="str">
        <f t="shared" si="150"/>
        <v/>
      </c>
    </row>
    <row r="9614" spans="26:26" x14ac:dyDescent="0.2">
      <c r="Z9614" t="str">
        <f t="shared" si="150"/>
        <v/>
      </c>
    </row>
    <row r="9615" spans="26:26" x14ac:dyDescent="0.2">
      <c r="Z9615" t="str">
        <f t="shared" si="150"/>
        <v/>
      </c>
    </row>
    <row r="9616" spans="26:26" x14ac:dyDescent="0.2">
      <c r="Z9616" t="str">
        <f t="shared" si="150"/>
        <v/>
      </c>
    </row>
    <row r="9617" spans="26:26" x14ac:dyDescent="0.2">
      <c r="Z9617" t="str">
        <f t="shared" si="150"/>
        <v/>
      </c>
    </row>
    <row r="9618" spans="26:26" x14ac:dyDescent="0.2">
      <c r="Z9618" t="str">
        <f t="shared" si="150"/>
        <v/>
      </c>
    </row>
    <row r="9619" spans="26:26" x14ac:dyDescent="0.2">
      <c r="Z9619" t="str">
        <f t="shared" si="150"/>
        <v/>
      </c>
    </row>
    <row r="9620" spans="26:26" x14ac:dyDescent="0.2">
      <c r="Z9620" t="str">
        <f t="shared" si="150"/>
        <v/>
      </c>
    </row>
    <row r="9621" spans="26:26" x14ac:dyDescent="0.2">
      <c r="Z9621" t="str">
        <f t="shared" si="150"/>
        <v/>
      </c>
    </row>
    <row r="9622" spans="26:26" x14ac:dyDescent="0.2">
      <c r="Z9622" t="str">
        <f t="shared" si="150"/>
        <v/>
      </c>
    </row>
    <row r="9623" spans="26:26" x14ac:dyDescent="0.2">
      <c r="Z9623" t="str">
        <f t="shared" si="150"/>
        <v/>
      </c>
    </row>
    <row r="9624" spans="26:26" x14ac:dyDescent="0.2">
      <c r="Z9624" t="str">
        <f t="shared" si="150"/>
        <v/>
      </c>
    </row>
    <row r="9625" spans="26:26" x14ac:dyDescent="0.2">
      <c r="Z9625" t="str">
        <f t="shared" si="150"/>
        <v/>
      </c>
    </row>
    <row r="9626" spans="26:26" x14ac:dyDescent="0.2">
      <c r="Z9626" t="str">
        <f t="shared" si="150"/>
        <v/>
      </c>
    </row>
    <row r="9627" spans="26:26" x14ac:dyDescent="0.2">
      <c r="Z9627" t="str">
        <f t="shared" si="150"/>
        <v/>
      </c>
    </row>
    <row r="9628" spans="26:26" x14ac:dyDescent="0.2">
      <c r="Z9628" t="str">
        <f t="shared" si="150"/>
        <v/>
      </c>
    </row>
    <row r="9629" spans="26:26" x14ac:dyDescent="0.2">
      <c r="Z9629" t="str">
        <f t="shared" si="150"/>
        <v/>
      </c>
    </row>
    <row r="9630" spans="26:26" x14ac:dyDescent="0.2">
      <c r="Z9630" t="str">
        <f t="shared" si="150"/>
        <v/>
      </c>
    </row>
    <row r="9631" spans="26:26" x14ac:dyDescent="0.2">
      <c r="Z9631" t="str">
        <f t="shared" si="150"/>
        <v/>
      </c>
    </row>
    <row r="9632" spans="26:26" x14ac:dyDescent="0.2">
      <c r="Z9632" t="str">
        <f t="shared" si="150"/>
        <v/>
      </c>
    </row>
    <row r="9633" spans="26:26" x14ac:dyDescent="0.2">
      <c r="Z9633" t="str">
        <f t="shared" si="150"/>
        <v/>
      </c>
    </row>
    <row r="9634" spans="26:26" x14ac:dyDescent="0.2">
      <c r="Z9634" t="str">
        <f t="shared" si="150"/>
        <v/>
      </c>
    </row>
    <row r="9635" spans="26:26" x14ac:dyDescent="0.2">
      <c r="Z9635" t="str">
        <f t="shared" si="150"/>
        <v/>
      </c>
    </row>
    <row r="9636" spans="26:26" x14ac:dyDescent="0.2">
      <c r="Z9636" t="str">
        <f t="shared" si="150"/>
        <v/>
      </c>
    </row>
    <row r="9637" spans="26:26" x14ac:dyDescent="0.2">
      <c r="Z9637" t="str">
        <f t="shared" si="150"/>
        <v/>
      </c>
    </row>
    <row r="9638" spans="26:26" x14ac:dyDescent="0.2">
      <c r="Z9638" t="str">
        <f t="shared" si="150"/>
        <v/>
      </c>
    </row>
    <row r="9639" spans="26:26" x14ac:dyDescent="0.2">
      <c r="Z9639" t="str">
        <f t="shared" si="150"/>
        <v/>
      </c>
    </row>
    <row r="9640" spans="26:26" x14ac:dyDescent="0.2">
      <c r="Z9640" t="str">
        <f t="shared" si="150"/>
        <v/>
      </c>
    </row>
    <row r="9641" spans="26:26" x14ac:dyDescent="0.2">
      <c r="Z9641" t="str">
        <f t="shared" si="150"/>
        <v/>
      </c>
    </row>
    <row r="9642" spans="26:26" x14ac:dyDescent="0.2">
      <c r="Z9642" t="str">
        <f t="shared" si="150"/>
        <v/>
      </c>
    </row>
    <row r="9643" spans="26:26" x14ac:dyDescent="0.2">
      <c r="Z9643" t="str">
        <f t="shared" si="150"/>
        <v/>
      </c>
    </row>
    <row r="9644" spans="26:26" x14ac:dyDescent="0.2">
      <c r="Z9644" t="str">
        <f t="shared" si="150"/>
        <v/>
      </c>
    </row>
    <row r="9645" spans="26:26" x14ac:dyDescent="0.2">
      <c r="Z9645" t="str">
        <f t="shared" si="150"/>
        <v/>
      </c>
    </row>
    <row r="9646" spans="26:26" x14ac:dyDescent="0.2">
      <c r="Z9646" t="str">
        <f t="shared" si="150"/>
        <v/>
      </c>
    </row>
    <row r="9647" spans="26:26" x14ac:dyDescent="0.2">
      <c r="Z9647" t="str">
        <f t="shared" si="150"/>
        <v/>
      </c>
    </row>
    <row r="9648" spans="26:26" x14ac:dyDescent="0.2">
      <c r="Z9648" t="str">
        <f t="shared" si="150"/>
        <v/>
      </c>
    </row>
    <row r="9649" spans="26:26" x14ac:dyDescent="0.2">
      <c r="Z9649" t="str">
        <f t="shared" si="150"/>
        <v/>
      </c>
    </row>
    <row r="9650" spans="26:26" x14ac:dyDescent="0.2">
      <c r="Z9650" t="str">
        <f t="shared" si="150"/>
        <v/>
      </c>
    </row>
    <row r="9651" spans="26:26" x14ac:dyDescent="0.2">
      <c r="Z9651" t="str">
        <f t="shared" si="150"/>
        <v/>
      </c>
    </row>
    <row r="9652" spans="26:26" x14ac:dyDescent="0.2">
      <c r="Z9652" t="str">
        <f t="shared" si="150"/>
        <v/>
      </c>
    </row>
    <row r="9653" spans="26:26" x14ac:dyDescent="0.2">
      <c r="Z9653" t="str">
        <f t="shared" si="150"/>
        <v/>
      </c>
    </row>
    <row r="9654" spans="26:26" x14ac:dyDescent="0.2">
      <c r="Z9654" t="str">
        <f t="shared" si="150"/>
        <v/>
      </c>
    </row>
    <row r="9655" spans="26:26" x14ac:dyDescent="0.2">
      <c r="Z9655" t="str">
        <f t="shared" si="150"/>
        <v/>
      </c>
    </row>
    <row r="9656" spans="26:26" x14ac:dyDescent="0.2">
      <c r="Z9656" t="str">
        <f t="shared" si="150"/>
        <v/>
      </c>
    </row>
    <row r="9657" spans="26:26" x14ac:dyDescent="0.2">
      <c r="Z9657" t="str">
        <f t="shared" si="150"/>
        <v/>
      </c>
    </row>
    <row r="9658" spans="26:26" x14ac:dyDescent="0.2">
      <c r="Z9658" t="str">
        <f t="shared" si="150"/>
        <v/>
      </c>
    </row>
    <row r="9659" spans="26:26" x14ac:dyDescent="0.2">
      <c r="Z9659" t="str">
        <f t="shared" si="150"/>
        <v/>
      </c>
    </row>
    <row r="9660" spans="26:26" x14ac:dyDescent="0.2">
      <c r="Z9660" t="str">
        <f t="shared" si="150"/>
        <v/>
      </c>
    </row>
    <row r="9661" spans="26:26" x14ac:dyDescent="0.2">
      <c r="Z9661" t="str">
        <f t="shared" si="150"/>
        <v/>
      </c>
    </row>
    <row r="9662" spans="26:26" x14ac:dyDescent="0.2">
      <c r="Z9662" t="str">
        <f t="shared" si="150"/>
        <v/>
      </c>
    </row>
    <row r="9663" spans="26:26" x14ac:dyDescent="0.2">
      <c r="Z9663" t="str">
        <f t="shared" si="150"/>
        <v/>
      </c>
    </row>
    <row r="9664" spans="26:26" x14ac:dyDescent="0.2">
      <c r="Z9664" t="str">
        <f t="shared" si="150"/>
        <v/>
      </c>
    </row>
    <row r="9665" spans="26:26" x14ac:dyDescent="0.2">
      <c r="Z9665" t="str">
        <f t="shared" si="150"/>
        <v/>
      </c>
    </row>
    <row r="9666" spans="26:26" x14ac:dyDescent="0.2">
      <c r="Z9666" t="str">
        <f t="shared" si="150"/>
        <v/>
      </c>
    </row>
    <row r="9667" spans="26:26" x14ac:dyDescent="0.2">
      <c r="Z9667" t="str">
        <f t="shared" ref="Z9667:Z9730" si="151">IF(K9667="","",IFERROR(VALUE(TRIM(MID(K9667,FIND(CHAR(167),SUBSTITUTE(K9667,"-",CHAR(167),LEN(K9667)-LEN(SUBSTITUTE(K9667,"-",""))))+1,100))),K9667))</f>
        <v/>
      </c>
    </row>
    <row r="9668" spans="26:26" x14ac:dyDescent="0.2">
      <c r="Z9668" t="str">
        <f t="shared" si="151"/>
        <v/>
      </c>
    </row>
    <row r="9669" spans="26:26" x14ac:dyDescent="0.2">
      <c r="Z9669" t="str">
        <f t="shared" si="151"/>
        <v/>
      </c>
    </row>
    <row r="9670" spans="26:26" x14ac:dyDescent="0.2">
      <c r="Z9670" t="str">
        <f t="shared" si="151"/>
        <v/>
      </c>
    </row>
    <row r="9671" spans="26:26" x14ac:dyDescent="0.2">
      <c r="Z9671" t="str">
        <f t="shared" si="151"/>
        <v/>
      </c>
    </row>
    <row r="9672" spans="26:26" x14ac:dyDescent="0.2">
      <c r="Z9672" t="str">
        <f t="shared" si="151"/>
        <v/>
      </c>
    </row>
    <row r="9673" spans="26:26" x14ac:dyDescent="0.2">
      <c r="Z9673" t="str">
        <f t="shared" si="151"/>
        <v/>
      </c>
    </row>
    <row r="9674" spans="26:26" x14ac:dyDescent="0.2">
      <c r="Z9674" t="str">
        <f t="shared" si="151"/>
        <v/>
      </c>
    </row>
    <row r="9675" spans="26:26" x14ac:dyDescent="0.2">
      <c r="Z9675" t="str">
        <f t="shared" si="151"/>
        <v/>
      </c>
    </row>
    <row r="9676" spans="26:26" x14ac:dyDescent="0.2">
      <c r="Z9676" t="str">
        <f t="shared" si="151"/>
        <v/>
      </c>
    </row>
    <row r="9677" spans="26:26" x14ac:dyDescent="0.2">
      <c r="Z9677" t="str">
        <f t="shared" si="151"/>
        <v/>
      </c>
    </row>
    <row r="9678" spans="26:26" x14ac:dyDescent="0.2">
      <c r="Z9678" t="str">
        <f t="shared" si="151"/>
        <v/>
      </c>
    </row>
    <row r="9679" spans="26:26" x14ac:dyDescent="0.2">
      <c r="Z9679" t="str">
        <f t="shared" si="151"/>
        <v/>
      </c>
    </row>
    <row r="9680" spans="26:26" x14ac:dyDescent="0.2">
      <c r="Z9680" t="str">
        <f t="shared" si="151"/>
        <v/>
      </c>
    </row>
    <row r="9681" spans="26:26" x14ac:dyDescent="0.2">
      <c r="Z9681" t="str">
        <f t="shared" si="151"/>
        <v/>
      </c>
    </row>
    <row r="9682" spans="26:26" x14ac:dyDescent="0.2">
      <c r="Z9682" t="str">
        <f t="shared" si="151"/>
        <v/>
      </c>
    </row>
    <row r="9683" spans="26:26" x14ac:dyDescent="0.2">
      <c r="Z9683" t="str">
        <f t="shared" si="151"/>
        <v/>
      </c>
    </row>
    <row r="9684" spans="26:26" x14ac:dyDescent="0.2">
      <c r="Z9684" t="str">
        <f t="shared" si="151"/>
        <v/>
      </c>
    </row>
    <row r="9685" spans="26:26" x14ac:dyDescent="0.2">
      <c r="Z9685" t="str">
        <f t="shared" si="151"/>
        <v/>
      </c>
    </row>
    <row r="9686" spans="26:26" x14ac:dyDescent="0.2">
      <c r="Z9686" t="str">
        <f t="shared" si="151"/>
        <v/>
      </c>
    </row>
    <row r="9687" spans="26:26" x14ac:dyDescent="0.2">
      <c r="Z9687" t="str">
        <f t="shared" si="151"/>
        <v/>
      </c>
    </row>
    <row r="9688" spans="26:26" x14ac:dyDescent="0.2">
      <c r="Z9688" t="str">
        <f t="shared" si="151"/>
        <v/>
      </c>
    </row>
    <row r="9689" spans="26:26" x14ac:dyDescent="0.2">
      <c r="Z9689" t="str">
        <f t="shared" si="151"/>
        <v/>
      </c>
    </row>
    <row r="9690" spans="26:26" x14ac:dyDescent="0.2">
      <c r="Z9690" t="str">
        <f t="shared" si="151"/>
        <v/>
      </c>
    </row>
    <row r="9691" spans="26:26" x14ac:dyDescent="0.2">
      <c r="Z9691" t="str">
        <f t="shared" si="151"/>
        <v/>
      </c>
    </row>
    <row r="9692" spans="26:26" x14ac:dyDescent="0.2">
      <c r="Z9692" t="str">
        <f t="shared" si="151"/>
        <v/>
      </c>
    </row>
    <row r="9693" spans="26:26" x14ac:dyDescent="0.2">
      <c r="Z9693" t="str">
        <f t="shared" si="151"/>
        <v/>
      </c>
    </row>
    <row r="9694" spans="26:26" x14ac:dyDescent="0.2">
      <c r="Z9694" t="str">
        <f t="shared" si="151"/>
        <v/>
      </c>
    </row>
    <row r="9695" spans="26:26" x14ac:dyDescent="0.2">
      <c r="Z9695" t="str">
        <f t="shared" si="151"/>
        <v/>
      </c>
    </row>
    <row r="9696" spans="26:26" x14ac:dyDescent="0.2">
      <c r="Z9696" t="str">
        <f t="shared" si="151"/>
        <v/>
      </c>
    </row>
    <row r="9697" spans="26:26" x14ac:dyDescent="0.2">
      <c r="Z9697" t="str">
        <f t="shared" si="151"/>
        <v/>
      </c>
    </row>
    <row r="9698" spans="26:26" x14ac:dyDescent="0.2">
      <c r="Z9698" t="str">
        <f t="shared" si="151"/>
        <v/>
      </c>
    </row>
    <row r="9699" spans="26:26" x14ac:dyDescent="0.2">
      <c r="Z9699" t="str">
        <f t="shared" si="151"/>
        <v/>
      </c>
    </row>
    <row r="9700" spans="26:26" x14ac:dyDescent="0.2">
      <c r="Z9700" t="str">
        <f t="shared" si="151"/>
        <v/>
      </c>
    </row>
    <row r="9701" spans="26:26" x14ac:dyDescent="0.2">
      <c r="Z9701" t="str">
        <f t="shared" si="151"/>
        <v/>
      </c>
    </row>
    <row r="9702" spans="26:26" x14ac:dyDescent="0.2">
      <c r="Z9702" t="str">
        <f t="shared" si="151"/>
        <v/>
      </c>
    </row>
    <row r="9703" spans="26:26" x14ac:dyDescent="0.2">
      <c r="Z9703" t="str">
        <f t="shared" si="151"/>
        <v/>
      </c>
    </row>
    <row r="9704" spans="26:26" x14ac:dyDescent="0.2">
      <c r="Z9704" t="str">
        <f t="shared" si="151"/>
        <v/>
      </c>
    </row>
    <row r="9705" spans="26:26" x14ac:dyDescent="0.2">
      <c r="Z9705" t="str">
        <f t="shared" si="151"/>
        <v/>
      </c>
    </row>
    <row r="9706" spans="26:26" x14ac:dyDescent="0.2">
      <c r="Z9706" t="str">
        <f t="shared" si="151"/>
        <v/>
      </c>
    </row>
    <row r="9707" spans="26:26" x14ac:dyDescent="0.2">
      <c r="Z9707" t="str">
        <f t="shared" si="151"/>
        <v/>
      </c>
    </row>
    <row r="9708" spans="26:26" x14ac:dyDescent="0.2">
      <c r="Z9708" t="str">
        <f t="shared" si="151"/>
        <v/>
      </c>
    </row>
    <row r="9709" spans="26:26" x14ac:dyDescent="0.2">
      <c r="Z9709" t="str">
        <f t="shared" si="151"/>
        <v/>
      </c>
    </row>
    <row r="9710" spans="26:26" x14ac:dyDescent="0.2">
      <c r="Z9710" t="str">
        <f t="shared" si="151"/>
        <v/>
      </c>
    </row>
    <row r="9711" spans="26:26" x14ac:dyDescent="0.2">
      <c r="Z9711" t="str">
        <f t="shared" si="151"/>
        <v/>
      </c>
    </row>
    <row r="9712" spans="26:26" x14ac:dyDescent="0.2">
      <c r="Z9712" t="str">
        <f t="shared" si="151"/>
        <v/>
      </c>
    </row>
    <row r="9713" spans="26:26" x14ac:dyDescent="0.2">
      <c r="Z9713" t="str">
        <f t="shared" si="151"/>
        <v/>
      </c>
    </row>
    <row r="9714" spans="26:26" x14ac:dyDescent="0.2">
      <c r="Z9714" t="str">
        <f t="shared" si="151"/>
        <v/>
      </c>
    </row>
    <row r="9715" spans="26:26" x14ac:dyDescent="0.2">
      <c r="Z9715" t="str">
        <f t="shared" si="151"/>
        <v/>
      </c>
    </row>
    <row r="9716" spans="26:26" x14ac:dyDescent="0.2">
      <c r="Z9716" t="str">
        <f t="shared" si="151"/>
        <v/>
      </c>
    </row>
    <row r="9717" spans="26:26" x14ac:dyDescent="0.2">
      <c r="Z9717" t="str">
        <f t="shared" si="151"/>
        <v/>
      </c>
    </row>
    <row r="9718" spans="26:26" x14ac:dyDescent="0.2">
      <c r="Z9718" t="str">
        <f t="shared" si="151"/>
        <v/>
      </c>
    </row>
    <row r="9719" spans="26:26" x14ac:dyDescent="0.2">
      <c r="Z9719" t="str">
        <f t="shared" si="151"/>
        <v/>
      </c>
    </row>
    <row r="9720" spans="26:26" x14ac:dyDescent="0.2">
      <c r="Z9720" t="str">
        <f t="shared" si="151"/>
        <v/>
      </c>
    </row>
    <row r="9721" spans="26:26" x14ac:dyDescent="0.2">
      <c r="Z9721" t="str">
        <f t="shared" si="151"/>
        <v/>
      </c>
    </row>
    <row r="9722" spans="26:26" x14ac:dyDescent="0.2">
      <c r="Z9722" t="str">
        <f t="shared" si="151"/>
        <v/>
      </c>
    </row>
    <row r="9723" spans="26:26" x14ac:dyDescent="0.2">
      <c r="Z9723" t="str">
        <f t="shared" si="151"/>
        <v/>
      </c>
    </row>
    <row r="9724" spans="26:26" x14ac:dyDescent="0.2">
      <c r="Z9724" t="str">
        <f t="shared" si="151"/>
        <v/>
      </c>
    </row>
    <row r="9725" spans="26:26" x14ac:dyDescent="0.2">
      <c r="Z9725" t="str">
        <f t="shared" si="151"/>
        <v/>
      </c>
    </row>
    <row r="9726" spans="26:26" x14ac:dyDescent="0.2">
      <c r="Z9726" t="str">
        <f t="shared" si="151"/>
        <v/>
      </c>
    </row>
    <row r="9727" spans="26:26" x14ac:dyDescent="0.2">
      <c r="Z9727" t="str">
        <f t="shared" si="151"/>
        <v/>
      </c>
    </row>
    <row r="9728" spans="26:26" x14ac:dyDescent="0.2">
      <c r="Z9728" t="str">
        <f t="shared" si="151"/>
        <v/>
      </c>
    </row>
    <row r="9729" spans="26:26" x14ac:dyDescent="0.2">
      <c r="Z9729" t="str">
        <f t="shared" si="151"/>
        <v/>
      </c>
    </row>
    <row r="9730" spans="26:26" x14ac:dyDescent="0.2">
      <c r="Z9730" t="str">
        <f t="shared" si="151"/>
        <v/>
      </c>
    </row>
    <row r="9731" spans="26:26" x14ac:dyDescent="0.2">
      <c r="Z9731" t="str">
        <f t="shared" ref="Z9731:Z9794" si="152">IF(K9731="","",IFERROR(VALUE(TRIM(MID(K9731,FIND(CHAR(167),SUBSTITUTE(K9731,"-",CHAR(167),LEN(K9731)-LEN(SUBSTITUTE(K9731,"-",""))))+1,100))),K9731))</f>
        <v/>
      </c>
    </row>
    <row r="9732" spans="26:26" x14ac:dyDescent="0.2">
      <c r="Z9732" t="str">
        <f t="shared" si="152"/>
        <v/>
      </c>
    </row>
    <row r="9733" spans="26:26" x14ac:dyDescent="0.2">
      <c r="Z9733" t="str">
        <f t="shared" si="152"/>
        <v/>
      </c>
    </row>
    <row r="9734" spans="26:26" x14ac:dyDescent="0.2">
      <c r="Z9734" t="str">
        <f t="shared" si="152"/>
        <v/>
      </c>
    </row>
    <row r="9735" spans="26:26" x14ac:dyDescent="0.2">
      <c r="Z9735" t="str">
        <f t="shared" si="152"/>
        <v/>
      </c>
    </row>
    <row r="9736" spans="26:26" x14ac:dyDescent="0.2">
      <c r="Z9736" t="str">
        <f t="shared" si="152"/>
        <v/>
      </c>
    </row>
    <row r="9737" spans="26:26" x14ac:dyDescent="0.2">
      <c r="Z9737" t="str">
        <f t="shared" si="152"/>
        <v/>
      </c>
    </row>
    <row r="9738" spans="26:26" x14ac:dyDescent="0.2">
      <c r="Z9738" t="str">
        <f t="shared" si="152"/>
        <v/>
      </c>
    </row>
    <row r="9739" spans="26:26" x14ac:dyDescent="0.2">
      <c r="Z9739" t="str">
        <f t="shared" si="152"/>
        <v/>
      </c>
    </row>
    <row r="9740" spans="26:26" x14ac:dyDescent="0.2">
      <c r="Z9740" t="str">
        <f t="shared" si="152"/>
        <v/>
      </c>
    </row>
    <row r="9741" spans="26:26" x14ac:dyDescent="0.2">
      <c r="Z9741" t="str">
        <f t="shared" si="152"/>
        <v/>
      </c>
    </row>
    <row r="9742" spans="26:26" x14ac:dyDescent="0.2">
      <c r="Z9742" t="str">
        <f t="shared" si="152"/>
        <v/>
      </c>
    </row>
    <row r="9743" spans="26:26" x14ac:dyDescent="0.2">
      <c r="Z9743" t="str">
        <f t="shared" si="152"/>
        <v/>
      </c>
    </row>
    <row r="9744" spans="26:26" x14ac:dyDescent="0.2">
      <c r="Z9744" t="str">
        <f t="shared" si="152"/>
        <v/>
      </c>
    </row>
    <row r="9745" spans="26:26" x14ac:dyDescent="0.2">
      <c r="Z9745" t="str">
        <f t="shared" si="152"/>
        <v/>
      </c>
    </row>
    <row r="9746" spans="26:26" x14ac:dyDescent="0.2">
      <c r="Z9746" t="str">
        <f t="shared" si="152"/>
        <v/>
      </c>
    </row>
    <row r="9747" spans="26:26" x14ac:dyDescent="0.2">
      <c r="Z9747" t="str">
        <f t="shared" si="152"/>
        <v/>
      </c>
    </row>
    <row r="9748" spans="26:26" x14ac:dyDescent="0.2">
      <c r="Z9748" t="str">
        <f t="shared" si="152"/>
        <v/>
      </c>
    </row>
    <row r="9749" spans="26:26" x14ac:dyDescent="0.2">
      <c r="Z9749" t="str">
        <f t="shared" si="152"/>
        <v/>
      </c>
    </row>
    <row r="9750" spans="26:26" x14ac:dyDescent="0.2">
      <c r="Z9750" t="str">
        <f t="shared" si="152"/>
        <v/>
      </c>
    </row>
    <row r="9751" spans="26:26" x14ac:dyDescent="0.2">
      <c r="Z9751" t="str">
        <f t="shared" si="152"/>
        <v/>
      </c>
    </row>
    <row r="9752" spans="26:26" x14ac:dyDescent="0.2">
      <c r="Z9752" t="str">
        <f t="shared" si="152"/>
        <v/>
      </c>
    </row>
    <row r="9753" spans="26:26" x14ac:dyDescent="0.2">
      <c r="Z9753" t="str">
        <f t="shared" si="152"/>
        <v/>
      </c>
    </row>
    <row r="9754" spans="26:26" x14ac:dyDescent="0.2">
      <c r="Z9754" t="str">
        <f t="shared" si="152"/>
        <v/>
      </c>
    </row>
    <row r="9755" spans="26:26" x14ac:dyDescent="0.2">
      <c r="Z9755" t="str">
        <f t="shared" si="152"/>
        <v/>
      </c>
    </row>
    <row r="9756" spans="26:26" x14ac:dyDescent="0.2">
      <c r="Z9756" t="str">
        <f t="shared" si="152"/>
        <v/>
      </c>
    </row>
    <row r="9757" spans="26:26" x14ac:dyDescent="0.2">
      <c r="Z9757" t="str">
        <f t="shared" si="152"/>
        <v/>
      </c>
    </row>
    <row r="9758" spans="26:26" x14ac:dyDescent="0.2">
      <c r="Z9758" t="str">
        <f t="shared" si="152"/>
        <v/>
      </c>
    </row>
    <row r="9759" spans="26:26" x14ac:dyDescent="0.2">
      <c r="Z9759" t="str">
        <f t="shared" si="152"/>
        <v/>
      </c>
    </row>
    <row r="9760" spans="26:26" x14ac:dyDescent="0.2">
      <c r="Z9760" t="str">
        <f t="shared" si="152"/>
        <v/>
      </c>
    </row>
    <row r="9761" spans="26:26" x14ac:dyDescent="0.2">
      <c r="Z9761" t="str">
        <f t="shared" si="152"/>
        <v/>
      </c>
    </row>
    <row r="9762" spans="26:26" x14ac:dyDescent="0.2">
      <c r="Z9762" t="str">
        <f t="shared" si="152"/>
        <v/>
      </c>
    </row>
    <row r="9763" spans="26:26" x14ac:dyDescent="0.2">
      <c r="Z9763" t="str">
        <f t="shared" si="152"/>
        <v/>
      </c>
    </row>
    <row r="9764" spans="26:26" x14ac:dyDescent="0.2">
      <c r="Z9764" t="str">
        <f t="shared" si="152"/>
        <v/>
      </c>
    </row>
    <row r="9765" spans="26:26" x14ac:dyDescent="0.2">
      <c r="Z9765" t="str">
        <f t="shared" si="152"/>
        <v/>
      </c>
    </row>
    <row r="9766" spans="26:26" x14ac:dyDescent="0.2">
      <c r="Z9766" t="str">
        <f t="shared" si="152"/>
        <v/>
      </c>
    </row>
    <row r="9767" spans="26:26" x14ac:dyDescent="0.2">
      <c r="Z9767" t="str">
        <f t="shared" si="152"/>
        <v/>
      </c>
    </row>
    <row r="9768" spans="26:26" x14ac:dyDescent="0.2">
      <c r="Z9768" t="str">
        <f t="shared" si="152"/>
        <v/>
      </c>
    </row>
    <row r="9769" spans="26:26" x14ac:dyDescent="0.2">
      <c r="Z9769" t="str">
        <f t="shared" si="152"/>
        <v/>
      </c>
    </row>
    <row r="9770" spans="26:26" x14ac:dyDescent="0.2">
      <c r="Z9770" t="str">
        <f t="shared" si="152"/>
        <v/>
      </c>
    </row>
    <row r="9771" spans="26:26" x14ac:dyDescent="0.2">
      <c r="Z9771" t="str">
        <f t="shared" si="152"/>
        <v/>
      </c>
    </row>
    <row r="9772" spans="26:26" x14ac:dyDescent="0.2">
      <c r="Z9772" t="str">
        <f t="shared" si="152"/>
        <v/>
      </c>
    </row>
    <row r="9773" spans="26:26" x14ac:dyDescent="0.2">
      <c r="Z9773" t="str">
        <f t="shared" si="152"/>
        <v/>
      </c>
    </row>
    <row r="9774" spans="26:26" x14ac:dyDescent="0.2">
      <c r="Z9774" t="str">
        <f t="shared" si="152"/>
        <v/>
      </c>
    </row>
    <row r="9775" spans="26:26" x14ac:dyDescent="0.2">
      <c r="Z9775" t="str">
        <f t="shared" si="152"/>
        <v/>
      </c>
    </row>
    <row r="9776" spans="26:26" x14ac:dyDescent="0.2">
      <c r="Z9776" t="str">
        <f t="shared" si="152"/>
        <v/>
      </c>
    </row>
    <row r="9777" spans="26:26" x14ac:dyDescent="0.2">
      <c r="Z9777" t="str">
        <f t="shared" si="152"/>
        <v/>
      </c>
    </row>
    <row r="9778" spans="26:26" x14ac:dyDescent="0.2">
      <c r="Z9778" t="str">
        <f t="shared" si="152"/>
        <v/>
      </c>
    </row>
    <row r="9779" spans="26:26" x14ac:dyDescent="0.2">
      <c r="Z9779" t="str">
        <f t="shared" si="152"/>
        <v/>
      </c>
    </row>
    <row r="9780" spans="26:26" x14ac:dyDescent="0.2">
      <c r="Z9780" t="str">
        <f t="shared" si="152"/>
        <v/>
      </c>
    </row>
    <row r="9781" spans="26:26" x14ac:dyDescent="0.2">
      <c r="Z9781" t="str">
        <f t="shared" si="152"/>
        <v/>
      </c>
    </row>
    <row r="9782" spans="26:26" x14ac:dyDescent="0.2">
      <c r="Z9782" t="str">
        <f t="shared" si="152"/>
        <v/>
      </c>
    </row>
    <row r="9783" spans="26:26" x14ac:dyDescent="0.2">
      <c r="Z9783" t="str">
        <f t="shared" si="152"/>
        <v/>
      </c>
    </row>
    <row r="9784" spans="26:26" x14ac:dyDescent="0.2">
      <c r="Z9784" t="str">
        <f t="shared" si="152"/>
        <v/>
      </c>
    </row>
    <row r="9785" spans="26:26" x14ac:dyDescent="0.2">
      <c r="Z9785" t="str">
        <f t="shared" si="152"/>
        <v/>
      </c>
    </row>
    <row r="9786" spans="26:26" x14ac:dyDescent="0.2">
      <c r="Z9786" t="str">
        <f t="shared" si="152"/>
        <v/>
      </c>
    </row>
    <row r="9787" spans="26:26" x14ac:dyDescent="0.2">
      <c r="Z9787" t="str">
        <f t="shared" si="152"/>
        <v/>
      </c>
    </row>
    <row r="9788" spans="26:26" x14ac:dyDescent="0.2">
      <c r="Z9788" t="str">
        <f t="shared" si="152"/>
        <v/>
      </c>
    </row>
    <row r="9789" spans="26:26" x14ac:dyDescent="0.2">
      <c r="Z9789" t="str">
        <f t="shared" si="152"/>
        <v/>
      </c>
    </row>
    <row r="9790" spans="26:26" x14ac:dyDescent="0.2">
      <c r="Z9790" t="str">
        <f t="shared" si="152"/>
        <v/>
      </c>
    </row>
    <row r="9791" spans="26:26" x14ac:dyDescent="0.2">
      <c r="Z9791" t="str">
        <f t="shared" si="152"/>
        <v/>
      </c>
    </row>
    <row r="9792" spans="26:26" x14ac:dyDescent="0.2">
      <c r="Z9792" t="str">
        <f t="shared" si="152"/>
        <v/>
      </c>
    </row>
    <row r="9793" spans="26:26" x14ac:dyDescent="0.2">
      <c r="Z9793" t="str">
        <f t="shared" si="152"/>
        <v/>
      </c>
    </row>
    <row r="9794" spans="26:26" x14ac:dyDescent="0.2">
      <c r="Z9794" t="str">
        <f t="shared" si="152"/>
        <v/>
      </c>
    </row>
    <row r="9795" spans="26:26" x14ac:dyDescent="0.2">
      <c r="Z9795" t="str">
        <f t="shared" ref="Z9795:Z9858" si="153">IF(K9795="","",IFERROR(VALUE(TRIM(MID(K9795,FIND(CHAR(167),SUBSTITUTE(K9795,"-",CHAR(167),LEN(K9795)-LEN(SUBSTITUTE(K9795,"-",""))))+1,100))),K9795))</f>
        <v/>
      </c>
    </row>
    <row r="9796" spans="26:26" x14ac:dyDescent="0.2">
      <c r="Z9796" t="str">
        <f t="shared" si="153"/>
        <v/>
      </c>
    </row>
    <row r="9797" spans="26:26" x14ac:dyDescent="0.2">
      <c r="Z9797" t="str">
        <f t="shared" si="153"/>
        <v/>
      </c>
    </row>
    <row r="9798" spans="26:26" x14ac:dyDescent="0.2">
      <c r="Z9798" t="str">
        <f t="shared" si="153"/>
        <v/>
      </c>
    </row>
    <row r="9799" spans="26:26" x14ac:dyDescent="0.2">
      <c r="Z9799" t="str">
        <f t="shared" si="153"/>
        <v/>
      </c>
    </row>
    <row r="9800" spans="26:26" x14ac:dyDescent="0.2">
      <c r="Z9800" t="str">
        <f t="shared" si="153"/>
        <v/>
      </c>
    </row>
    <row r="9801" spans="26:26" x14ac:dyDescent="0.2">
      <c r="Z9801" t="str">
        <f t="shared" si="153"/>
        <v/>
      </c>
    </row>
    <row r="9802" spans="26:26" x14ac:dyDescent="0.2">
      <c r="Z9802" t="str">
        <f t="shared" si="153"/>
        <v/>
      </c>
    </row>
    <row r="9803" spans="26:26" x14ac:dyDescent="0.2">
      <c r="Z9803" t="str">
        <f t="shared" si="153"/>
        <v/>
      </c>
    </row>
    <row r="9804" spans="26:26" x14ac:dyDescent="0.2">
      <c r="Z9804" t="str">
        <f t="shared" si="153"/>
        <v/>
      </c>
    </row>
    <row r="9805" spans="26:26" x14ac:dyDescent="0.2">
      <c r="Z9805" t="str">
        <f t="shared" si="153"/>
        <v/>
      </c>
    </row>
    <row r="9806" spans="26:26" x14ac:dyDescent="0.2">
      <c r="Z9806" t="str">
        <f t="shared" si="153"/>
        <v/>
      </c>
    </row>
    <row r="9807" spans="26:26" x14ac:dyDescent="0.2">
      <c r="Z9807" t="str">
        <f t="shared" si="153"/>
        <v/>
      </c>
    </row>
    <row r="9808" spans="26:26" x14ac:dyDescent="0.2">
      <c r="Z9808" t="str">
        <f t="shared" si="153"/>
        <v/>
      </c>
    </row>
    <row r="9809" spans="26:26" x14ac:dyDescent="0.2">
      <c r="Z9809" t="str">
        <f t="shared" si="153"/>
        <v/>
      </c>
    </row>
    <row r="9810" spans="26:26" x14ac:dyDescent="0.2">
      <c r="Z9810" t="str">
        <f t="shared" si="153"/>
        <v/>
      </c>
    </row>
    <row r="9811" spans="26:26" x14ac:dyDescent="0.2">
      <c r="Z9811" t="str">
        <f t="shared" si="153"/>
        <v/>
      </c>
    </row>
    <row r="9812" spans="26:26" x14ac:dyDescent="0.2">
      <c r="Z9812" t="str">
        <f t="shared" si="153"/>
        <v/>
      </c>
    </row>
    <row r="9813" spans="26:26" x14ac:dyDescent="0.2">
      <c r="Z9813" t="str">
        <f t="shared" si="153"/>
        <v/>
      </c>
    </row>
    <row r="9814" spans="26:26" x14ac:dyDescent="0.2">
      <c r="Z9814" t="str">
        <f t="shared" si="153"/>
        <v/>
      </c>
    </row>
    <row r="9815" spans="26:26" x14ac:dyDescent="0.2">
      <c r="Z9815" t="str">
        <f t="shared" si="153"/>
        <v/>
      </c>
    </row>
    <row r="9816" spans="26:26" x14ac:dyDescent="0.2">
      <c r="Z9816" t="str">
        <f t="shared" si="153"/>
        <v/>
      </c>
    </row>
    <row r="9817" spans="26:26" x14ac:dyDescent="0.2">
      <c r="Z9817" t="str">
        <f t="shared" si="153"/>
        <v/>
      </c>
    </row>
    <row r="9818" spans="26:26" x14ac:dyDescent="0.2">
      <c r="Z9818" t="str">
        <f t="shared" si="153"/>
        <v/>
      </c>
    </row>
    <row r="9819" spans="26:26" x14ac:dyDescent="0.2">
      <c r="Z9819" t="str">
        <f t="shared" si="153"/>
        <v/>
      </c>
    </row>
    <row r="9820" spans="26:26" x14ac:dyDescent="0.2">
      <c r="Z9820" t="str">
        <f t="shared" si="153"/>
        <v/>
      </c>
    </row>
    <row r="9821" spans="26:26" x14ac:dyDescent="0.2">
      <c r="Z9821" t="str">
        <f t="shared" si="153"/>
        <v/>
      </c>
    </row>
    <row r="9822" spans="26:26" x14ac:dyDescent="0.2">
      <c r="Z9822" t="str">
        <f t="shared" si="153"/>
        <v/>
      </c>
    </row>
    <row r="9823" spans="26:26" x14ac:dyDescent="0.2">
      <c r="Z9823" t="str">
        <f t="shared" si="153"/>
        <v/>
      </c>
    </row>
    <row r="9824" spans="26:26" x14ac:dyDescent="0.2">
      <c r="Z9824" t="str">
        <f t="shared" si="153"/>
        <v/>
      </c>
    </row>
    <row r="9825" spans="26:26" x14ac:dyDescent="0.2">
      <c r="Z9825" t="str">
        <f t="shared" si="153"/>
        <v/>
      </c>
    </row>
    <row r="9826" spans="26:26" x14ac:dyDescent="0.2">
      <c r="Z9826" t="str">
        <f t="shared" si="153"/>
        <v/>
      </c>
    </row>
    <row r="9827" spans="26:26" x14ac:dyDescent="0.2">
      <c r="Z9827" t="str">
        <f t="shared" si="153"/>
        <v/>
      </c>
    </row>
    <row r="9828" spans="26:26" x14ac:dyDescent="0.2">
      <c r="Z9828" t="str">
        <f t="shared" si="153"/>
        <v/>
      </c>
    </row>
    <row r="9829" spans="26:26" x14ac:dyDescent="0.2">
      <c r="Z9829" t="str">
        <f t="shared" si="153"/>
        <v/>
      </c>
    </row>
    <row r="9830" spans="26:26" x14ac:dyDescent="0.2">
      <c r="Z9830" t="str">
        <f t="shared" si="153"/>
        <v/>
      </c>
    </row>
    <row r="9831" spans="26:26" x14ac:dyDescent="0.2">
      <c r="Z9831" t="str">
        <f t="shared" si="153"/>
        <v/>
      </c>
    </row>
    <row r="9832" spans="26:26" x14ac:dyDescent="0.2">
      <c r="Z9832" t="str">
        <f t="shared" si="153"/>
        <v/>
      </c>
    </row>
    <row r="9833" spans="26:26" x14ac:dyDescent="0.2">
      <c r="Z9833" t="str">
        <f t="shared" si="153"/>
        <v/>
      </c>
    </row>
    <row r="9834" spans="26:26" x14ac:dyDescent="0.2">
      <c r="Z9834" t="str">
        <f t="shared" si="153"/>
        <v/>
      </c>
    </row>
    <row r="9835" spans="26:26" x14ac:dyDescent="0.2">
      <c r="Z9835" t="str">
        <f t="shared" si="153"/>
        <v/>
      </c>
    </row>
    <row r="9836" spans="26:26" x14ac:dyDescent="0.2">
      <c r="Z9836" t="str">
        <f t="shared" si="153"/>
        <v/>
      </c>
    </row>
    <row r="9837" spans="26:26" x14ac:dyDescent="0.2">
      <c r="Z9837" t="str">
        <f t="shared" si="153"/>
        <v/>
      </c>
    </row>
    <row r="9838" spans="26:26" x14ac:dyDescent="0.2">
      <c r="Z9838" t="str">
        <f t="shared" si="153"/>
        <v/>
      </c>
    </row>
    <row r="9839" spans="26:26" x14ac:dyDescent="0.2">
      <c r="Z9839" t="str">
        <f t="shared" si="153"/>
        <v/>
      </c>
    </row>
    <row r="9840" spans="26:26" x14ac:dyDescent="0.2">
      <c r="Z9840" t="str">
        <f t="shared" si="153"/>
        <v/>
      </c>
    </row>
    <row r="9841" spans="26:26" x14ac:dyDescent="0.2">
      <c r="Z9841" t="str">
        <f t="shared" si="153"/>
        <v/>
      </c>
    </row>
    <row r="9842" spans="26:26" x14ac:dyDescent="0.2">
      <c r="Z9842" t="str">
        <f t="shared" si="153"/>
        <v/>
      </c>
    </row>
    <row r="9843" spans="26:26" x14ac:dyDescent="0.2">
      <c r="Z9843" t="str">
        <f t="shared" si="153"/>
        <v/>
      </c>
    </row>
    <row r="9844" spans="26:26" x14ac:dyDescent="0.2">
      <c r="Z9844" t="str">
        <f t="shared" si="153"/>
        <v/>
      </c>
    </row>
    <row r="9845" spans="26:26" x14ac:dyDescent="0.2">
      <c r="Z9845" t="str">
        <f t="shared" si="153"/>
        <v/>
      </c>
    </row>
    <row r="9846" spans="26:26" x14ac:dyDescent="0.2">
      <c r="Z9846" t="str">
        <f t="shared" si="153"/>
        <v/>
      </c>
    </row>
    <row r="9847" spans="26:26" x14ac:dyDescent="0.2">
      <c r="Z9847" t="str">
        <f t="shared" si="153"/>
        <v/>
      </c>
    </row>
    <row r="9848" spans="26:26" x14ac:dyDescent="0.2">
      <c r="Z9848" t="str">
        <f t="shared" si="153"/>
        <v/>
      </c>
    </row>
    <row r="9849" spans="26:26" x14ac:dyDescent="0.2">
      <c r="Z9849" t="str">
        <f t="shared" si="153"/>
        <v/>
      </c>
    </row>
    <row r="9850" spans="26:26" x14ac:dyDescent="0.2">
      <c r="Z9850" t="str">
        <f t="shared" si="153"/>
        <v/>
      </c>
    </row>
    <row r="9851" spans="26:26" x14ac:dyDescent="0.2">
      <c r="Z9851" t="str">
        <f t="shared" si="153"/>
        <v/>
      </c>
    </row>
    <row r="9852" spans="26:26" x14ac:dyDescent="0.2">
      <c r="Z9852" t="str">
        <f t="shared" si="153"/>
        <v/>
      </c>
    </row>
    <row r="9853" spans="26:26" x14ac:dyDescent="0.2">
      <c r="Z9853" t="str">
        <f t="shared" si="153"/>
        <v/>
      </c>
    </row>
    <row r="9854" spans="26:26" x14ac:dyDescent="0.2">
      <c r="Z9854" t="str">
        <f t="shared" si="153"/>
        <v/>
      </c>
    </row>
    <row r="9855" spans="26:26" x14ac:dyDescent="0.2">
      <c r="Z9855" t="str">
        <f t="shared" si="153"/>
        <v/>
      </c>
    </row>
    <row r="9856" spans="26:26" x14ac:dyDescent="0.2">
      <c r="Z9856" t="str">
        <f t="shared" si="153"/>
        <v/>
      </c>
    </row>
    <row r="9857" spans="26:26" x14ac:dyDescent="0.2">
      <c r="Z9857" t="str">
        <f t="shared" si="153"/>
        <v/>
      </c>
    </row>
    <row r="9858" spans="26:26" x14ac:dyDescent="0.2">
      <c r="Z9858" t="str">
        <f t="shared" si="153"/>
        <v/>
      </c>
    </row>
    <row r="9859" spans="26:26" x14ac:dyDescent="0.2">
      <c r="Z9859" t="str">
        <f t="shared" ref="Z9859:Z9922" si="154">IF(K9859="","",IFERROR(VALUE(TRIM(MID(K9859,FIND(CHAR(167),SUBSTITUTE(K9859,"-",CHAR(167),LEN(K9859)-LEN(SUBSTITUTE(K9859,"-",""))))+1,100))),K9859))</f>
        <v/>
      </c>
    </row>
    <row r="9860" spans="26:26" x14ac:dyDescent="0.2">
      <c r="Z9860" t="str">
        <f t="shared" si="154"/>
        <v/>
      </c>
    </row>
    <row r="9861" spans="26:26" x14ac:dyDescent="0.2">
      <c r="Z9861" t="str">
        <f t="shared" si="154"/>
        <v/>
      </c>
    </row>
    <row r="9862" spans="26:26" x14ac:dyDescent="0.2">
      <c r="Z9862" t="str">
        <f t="shared" si="154"/>
        <v/>
      </c>
    </row>
    <row r="9863" spans="26:26" x14ac:dyDescent="0.2">
      <c r="Z9863" t="str">
        <f t="shared" si="154"/>
        <v/>
      </c>
    </row>
    <row r="9864" spans="26:26" x14ac:dyDescent="0.2">
      <c r="Z9864" t="str">
        <f t="shared" si="154"/>
        <v/>
      </c>
    </row>
    <row r="9865" spans="26:26" x14ac:dyDescent="0.2">
      <c r="Z9865" t="str">
        <f t="shared" si="154"/>
        <v/>
      </c>
    </row>
    <row r="9866" spans="26:26" x14ac:dyDescent="0.2">
      <c r="Z9866" t="str">
        <f t="shared" si="154"/>
        <v/>
      </c>
    </row>
    <row r="9867" spans="26:26" x14ac:dyDescent="0.2">
      <c r="Z9867" t="str">
        <f t="shared" si="154"/>
        <v/>
      </c>
    </row>
    <row r="9868" spans="26:26" x14ac:dyDescent="0.2">
      <c r="Z9868" t="str">
        <f t="shared" si="154"/>
        <v/>
      </c>
    </row>
    <row r="9869" spans="26:26" x14ac:dyDescent="0.2">
      <c r="Z9869" t="str">
        <f t="shared" si="154"/>
        <v/>
      </c>
    </row>
    <row r="9870" spans="26:26" x14ac:dyDescent="0.2">
      <c r="Z9870" t="str">
        <f t="shared" si="154"/>
        <v/>
      </c>
    </row>
    <row r="9871" spans="26:26" x14ac:dyDescent="0.2">
      <c r="Z9871" t="str">
        <f t="shared" si="154"/>
        <v/>
      </c>
    </row>
    <row r="9872" spans="26:26" x14ac:dyDescent="0.2">
      <c r="Z9872" t="str">
        <f t="shared" si="154"/>
        <v/>
      </c>
    </row>
    <row r="9873" spans="26:26" x14ac:dyDescent="0.2">
      <c r="Z9873" t="str">
        <f t="shared" si="154"/>
        <v/>
      </c>
    </row>
    <row r="9874" spans="26:26" x14ac:dyDescent="0.2">
      <c r="Z9874" t="str">
        <f t="shared" si="154"/>
        <v/>
      </c>
    </row>
    <row r="9875" spans="26:26" x14ac:dyDescent="0.2">
      <c r="Z9875" t="str">
        <f t="shared" si="154"/>
        <v/>
      </c>
    </row>
    <row r="9876" spans="26:26" x14ac:dyDescent="0.2">
      <c r="Z9876" t="str">
        <f t="shared" si="154"/>
        <v/>
      </c>
    </row>
    <row r="9877" spans="26:26" x14ac:dyDescent="0.2">
      <c r="Z9877" t="str">
        <f t="shared" si="154"/>
        <v/>
      </c>
    </row>
    <row r="9878" spans="26:26" x14ac:dyDescent="0.2">
      <c r="Z9878" t="str">
        <f t="shared" si="154"/>
        <v/>
      </c>
    </row>
    <row r="9879" spans="26:26" x14ac:dyDescent="0.2">
      <c r="Z9879" t="str">
        <f t="shared" si="154"/>
        <v/>
      </c>
    </row>
    <row r="9880" spans="26:26" x14ac:dyDescent="0.2">
      <c r="Z9880" t="str">
        <f t="shared" si="154"/>
        <v/>
      </c>
    </row>
    <row r="9881" spans="26:26" x14ac:dyDescent="0.2">
      <c r="Z9881" t="str">
        <f t="shared" si="154"/>
        <v/>
      </c>
    </row>
    <row r="9882" spans="26:26" x14ac:dyDescent="0.2">
      <c r="Z9882" t="str">
        <f t="shared" si="154"/>
        <v/>
      </c>
    </row>
    <row r="9883" spans="26:26" x14ac:dyDescent="0.2">
      <c r="Z9883" t="str">
        <f t="shared" si="154"/>
        <v/>
      </c>
    </row>
    <row r="9884" spans="26:26" x14ac:dyDescent="0.2">
      <c r="Z9884" t="str">
        <f t="shared" si="154"/>
        <v/>
      </c>
    </row>
    <row r="9885" spans="26:26" x14ac:dyDescent="0.2">
      <c r="Z9885" t="str">
        <f t="shared" si="154"/>
        <v/>
      </c>
    </row>
    <row r="9886" spans="26:26" x14ac:dyDescent="0.2">
      <c r="Z9886" t="str">
        <f t="shared" si="154"/>
        <v/>
      </c>
    </row>
    <row r="9887" spans="26:26" x14ac:dyDescent="0.2">
      <c r="Z9887" t="str">
        <f t="shared" si="154"/>
        <v/>
      </c>
    </row>
    <row r="9888" spans="26:26" x14ac:dyDescent="0.2">
      <c r="Z9888" t="str">
        <f t="shared" si="154"/>
        <v/>
      </c>
    </row>
    <row r="9889" spans="26:26" x14ac:dyDescent="0.2">
      <c r="Z9889" t="str">
        <f t="shared" si="154"/>
        <v/>
      </c>
    </row>
    <row r="9890" spans="26:26" x14ac:dyDescent="0.2">
      <c r="Z9890" t="str">
        <f t="shared" si="154"/>
        <v/>
      </c>
    </row>
    <row r="9891" spans="26:26" x14ac:dyDescent="0.2">
      <c r="Z9891" t="str">
        <f t="shared" si="154"/>
        <v/>
      </c>
    </row>
    <row r="9892" spans="26:26" x14ac:dyDescent="0.2">
      <c r="Z9892" t="str">
        <f t="shared" si="154"/>
        <v/>
      </c>
    </row>
    <row r="9893" spans="26:26" x14ac:dyDescent="0.2">
      <c r="Z9893" t="str">
        <f t="shared" si="154"/>
        <v/>
      </c>
    </row>
    <row r="9894" spans="26:26" x14ac:dyDescent="0.2">
      <c r="Z9894" t="str">
        <f t="shared" si="154"/>
        <v/>
      </c>
    </row>
    <row r="9895" spans="26:26" x14ac:dyDescent="0.2">
      <c r="Z9895" t="str">
        <f t="shared" si="154"/>
        <v/>
      </c>
    </row>
    <row r="9896" spans="26:26" x14ac:dyDescent="0.2">
      <c r="Z9896" t="str">
        <f t="shared" si="154"/>
        <v/>
      </c>
    </row>
    <row r="9897" spans="26:26" x14ac:dyDescent="0.2">
      <c r="Z9897" t="str">
        <f t="shared" si="154"/>
        <v/>
      </c>
    </row>
    <row r="9898" spans="26:26" x14ac:dyDescent="0.2">
      <c r="Z9898" t="str">
        <f t="shared" si="154"/>
        <v/>
      </c>
    </row>
    <row r="9899" spans="26:26" x14ac:dyDescent="0.2">
      <c r="Z9899" t="str">
        <f t="shared" si="154"/>
        <v/>
      </c>
    </row>
    <row r="9900" spans="26:26" x14ac:dyDescent="0.2">
      <c r="Z9900" t="str">
        <f t="shared" si="154"/>
        <v/>
      </c>
    </row>
    <row r="9901" spans="26:26" x14ac:dyDescent="0.2">
      <c r="Z9901" t="str">
        <f t="shared" si="154"/>
        <v/>
      </c>
    </row>
    <row r="9902" spans="26:26" x14ac:dyDescent="0.2">
      <c r="Z9902" t="str">
        <f t="shared" si="154"/>
        <v/>
      </c>
    </row>
    <row r="9903" spans="26:26" x14ac:dyDescent="0.2">
      <c r="Z9903" t="str">
        <f t="shared" si="154"/>
        <v/>
      </c>
    </row>
    <row r="9904" spans="26:26" x14ac:dyDescent="0.2">
      <c r="Z9904" t="str">
        <f t="shared" si="154"/>
        <v/>
      </c>
    </row>
    <row r="9905" spans="26:26" x14ac:dyDescent="0.2">
      <c r="Z9905" t="str">
        <f t="shared" si="154"/>
        <v/>
      </c>
    </row>
    <row r="9906" spans="26:26" x14ac:dyDescent="0.2">
      <c r="Z9906" t="str">
        <f t="shared" si="154"/>
        <v/>
      </c>
    </row>
    <row r="9907" spans="26:26" x14ac:dyDescent="0.2">
      <c r="Z9907" t="str">
        <f t="shared" si="154"/>
        <v/>
      </c>
    </row>
    <row r="9908" spans="26:26" x14ac:dyDescent="0.2">
      <c r="Z9908" t="str">
        <f t="shared" si="154"/>
        <v/>
      </c>
    </row>
    <row r="9909" spans="26:26" x14ac:dyDescent="0.2">
      <c r="Z9909" t="str">
        <f t="shared" si="154"/>
        <v/>
      </c>
    </row>
    <row r="9910" spans="26:26" x14ac:dyDescent="0.2">
      <c r="Z9910" t="str">
        <f t="shared" si="154"/>
        <v/>
      </c>
    </row>
    <row r="9911" spans="26:26" x14ac:dyDescent="0.2">
      <c r="Z9911" t="str">
        <f t="shared" si="154"/>
        <v/>
      </c>
    </row>
    <row r="9912" spans="26:26" x14ac:dyDescent="0.2">
      <c r="Z9912" t="str">
        <f t="shared" si="154"/>
        <v/>
      </c>
    </row>
    <row r="9913" spans="26:26" x14ac:dyDescent="0.2">
      <c r="Z9913" t="str">
        <f t="shared" si="154"/>
        <v/>
      </c>
    </row>
    <row r="9914" spans="26:26" x14ac:dyDescent="0.2">
      <c r="Z9914" t="str">
        <f t="shared" si="154"/>
        <v/>
      </c>
    </row>
    <row r="9915" spans="26:26" x14ac:dyDescent="0.2">
      <c r="Z9915" t="str">
        <f t="shared" si="154"/>
        <v/>
      </c>
    </row>
    <row r="9916" spans="26:26" x14ac:dyDescent="0.2">
      <c r="Z9916" t="str">
        <f t="shared" si="154"/>
        <v/>
      </c>
    </row>
    <row r="9917" spans="26:26" x14ac:dyDescent="0.2">
      <c r="Z9917" t="str">
        <f t="shared" si="154"/>
        <v/>
      </c>
    </row>
    <row r="9918" spans="26:26" x14ac:dyDescent="0.2">
      <c r="Z9918" t="str">
        <f t="shared" si="154"/>
        <v/>
      </c>
    </row>
    <row r="9919" spans="26:26" x14ac:dyDescent="0.2">
      <c r="Z9919" t="str">
        <f t="shared" si="154"/>
        <v/>
      </c>
    </row>
    <row r="9920" spans="26:26" x14ac:dyDescent="0.2">
      <c r="Z9920" t="str">
        <f t="shared" si="154"/>
        <v/>
      </c>
    </row>
    <row r="9921" spans="26:26" x14ac:dyDescent="0.2">
      <c r="Z9921" t="str">
        <f t="shared" si="154"/>
        <v/>
      </c>
    </row>
    <row r="9922" spans="26:26" x14ac:dyDescent="0.2">
      <c r="Z9922" t="str">
        <f t="shared" si="154"/>
        <v/>
      </c>
    </row>
    <row r="9923" spans="26:26" x14ac:dyDescent="0.2">
      <c r="Z9923" t="str">
        <f t="shared" ref="Z9923:Z9986" si="155">IF(K9923="","",IFERROR(VALUE(TRIM(MID(K9923,FIND(CHAR(167),SUBSTITUTE(K9923,"-",CHAR(167),LEN(K9923)-LEN(SUBSTITUTE(K9923,"-",""))))+1,100))),K9923))</f>
        <v/>
      </c>
    </row>
    <row r="9924" spans="26:26" x14ac:dyDescent="0.2">
      <c r="Z9924" t="str">
        <f t="shared" si="155"/>
        <v/>
      </c>
    </row>
    <row r="9925" spans="26:26" x14ac:dyDescent="0.2">
      <c r="Z9925" t="str">
        <f t="shared" si="155"/>
        <v/>
      </c>
    </row>
    <row r="9926" spans="26:26" x14ac:dyDescent="0.2">
      <c r="Z9926" t="str">
        <f t="shared" si="155"/>
        <v/>
      </c>
    </row>
    <row r="9927" spans="26:26" x14ac:dyDescent="0.2">
      <c r="Z9927" t="str">
        <f t="shared" si="155"/>
        <v/>
      </c>
    </row>
    <row r="9928" spans="26:26" x14ac:dyDescent="0.2">
      <c r="Z9928" t="str">
        <f t="shared" si="155"/>
        <v/>
      </c>
    </row>
    <row r="9929" spans="26:26" x14ac:dyDescent="0.2">
      <c r="Z9929" t="str">
        <f t="shared" si="155"/>
        <v/>
      </c>
    </row>
    <row r="9930" spans="26:26" x14ac:dyDescent="0.2">
      <c r="Z9930" t="str">
        <f t="shared" si="155"/>
        <v/>
      </c>
    </row>
    <row r="9931" spans="26:26" x14ac:dyDescent="0.2">
      <c r="Z9931" t="str">
        <f t="shared" si="155"/>
        <v/>
      </c>
    </row>
    <row r="9932" spans="26:26" x14ac:dyDescent="0.2">
      <c r="Z9932" t="str">
        <f t="shared" si="155"/>
        <v/>
      </c>
    </row>
    <row r="9933" spans="26:26" x14ac:dyDescent="0.2">
      <c r="Z9933" t="str">
        <f t="shared" si="155"/>
        <v/>
      </c>
    </row>
    <row r="9934" spans="26:26" x14ac:dyDescent="0.2">
      <c r="Z9934" t="str">
        <f t="shared" si="155"/>
        <v/>
      </c>
    </row>
    <row r="9935" spans="26:26" x14ac:dyDescent="0.2">
      <c r="Z9935" t="str">
        <f t="shared" si="155"/>
        <v/>
      </c>
    </row>
    <row r="9936" spans="26:26" x14ac:dyDescent="0.2">
      <c r="Z9936" t="str">
        <f t="shared" si="155"/>
        <v/>
      </c>
    </row>
    <row r="9937" spans="26:26" x14ac:dyDescent="0.2">
      <c r="Z9937" t="str">
        <f t="shared" si="155"/>
        <v/>
      </c>
    </row>
    <row r="9938" spans="26:26" x14ac:dyDescent="0.2">
      <c r="Z9938" t="str">
        <f t="shared" si="155"/>
        <v/>
      </c>
    </row>
    <row r="9939" spans="26:26" x14ac:dyDescent="0.2">
      <c r="Z9939" t="str">
        <f t="shared" si="155"/>
        <v/>
      </c>
    </row>
    <row r="9940" spans="26:26" x14ac:dyDescent="0.2">
      <c r="Z9940" t="str">
        <f t="shared" si="155"/>
        <v/>
      </c>
    </row>
    <row r="9941" spans="26:26" x14ac:dyDescent="0.2">
      <c r="Z9941" t="str">
        <f t="shared" si="155"/>
        <v/>
      </c>
    </row>
    <row r="9942" spans="26:26" x14ac:dyDescent="0.2">
      <c r="Z9942" t="str">
        <f t="shared" si="155"/>
        <v/>
      </c>
    </row>
    <row r="9943" spans="26:26" x14ac:dyDescent="0.2">
      <c r="Z9943" t="str">
        <f t="shared" si="155"/>
        <v/>
      </c>
    </row>
    <row r="9944" spans="26:26" x14ac:dyDescent="0.2">
      <c r="Z9944" t="str">
        <f t="shared" si="155"/>
        <v/>
      </c>
    </row>
    <row r="9945" spans="26:26" x14ac:dyDescent="0.2">
      <c r="Z9945" t="str">
        <f t="shared" si="155"/>
        <v/>
      </c>
    </row>
    <row r="9946" spans="26:26" x14ac:dyDescent="0.2">
      <c r="Z9946" t="str">
        <f t="shared" si="155"/>
        <v/>
      </c>
    </row>
    <row r="9947" spans="26:26" x14ac:dyDescent="0.2">
      <c r="Z9947" t="str">
        <f t="shared" si="155"/>
        <v/>
      </c>
    </row>
    <row r="9948" spans="26:26" x14ac:dyDescent="0.2">
      <c r="Z9948" t="str">
        <f t="shared" si="155"/>
        <v/>
      </c>
    </row>
    <row r="9949" spans="26:26" x14ac:dyDescent="0.2">
      <c r="Z9949" t="str">
        <f t="shared" si="155"/>
        <v/>
      </c>
    </row>
    <row r="9950" spans="26:26" x14ac:dyDescent="0.2">
      <c r="Z9950" t="str">
        <f t="shared" si="155"/>
        <v/>
      </c>
    </row>
    <row r="9951" spans="26:26" x14ac:dyDescent="0.2">
      <c r="Z9951" t="str">
        <f t="shared" si="155"/>
        <v/>
      </c>
    </row>
    <row r="9952" spans="26:26" x14ac:dyDescent="0.2">
      <c r="Z9952" t="str">
        <f t="shared" si="155"/>
        <v/>
      </c>
    </row>
    <row r="9953" spans="26:26" x14ac:dyDescent="0.2">
      <c r="Z9953" t="str">
        <f t="shared" si="155"/>
        <v/>
      </c>
    </row>
    <row r="9954" spans="26:26" x14ac:dyDescent="0.2">
      <c r="Z9954" t="str">
        <f t="shared" si="155"/>
        <v/>
      </c>
    </row>
    <row r="9955" spans="26:26" x14ac:dyDescent="0.2">
      <c r="Z9955" t="str">
        <f t="shared" si="155"/>
        <v/>
      </c>
    </row>
    <row r="9956" spans="26:26" x14ac:dyDescent="0.2">
      <c r="Z9956" t="str">
        <f t="shared" si="155"/>
        <v/>
      </c>
    </row>
    <row r="9957" spans="26:26" x14ac:dyDescent="0.2">
      <c r="Z9957" t="str">
        <f t="shared" si="155"/>
        <v/>
      </c>
    </row>
    <row r="9958" spans="26:26" x14ac:dyDescent="0.2">
      <c r="Z9958" t="str">
        <f t="shared" si="155"/>
        <v/>
      </c>
    </row>
    <row r="9959" spans="26:26" x14ac:dyDescent="0.2">
      <c r="Z9959" t="str">
        <f t="shared" si="155"/>
        <v/>
      </c>
    </row>
    <row r="9960" spans="26:26" x14ac:dyDescent="0.2">
      <c r="Z9960" t="str">
        <f t="shared" si="155"/>
        <v/>
      </c>
    </row>
    <row r="9961" spans="26:26" x14ac:dyDescent="0.2">
      <c r="Z9961" t="str">
        <f t="shared" si="155"/>
        <v/>
      </c>
    </row>
    <row r="9962" spans="26:26" x14ac:dyDescent="0.2">
      <c r="Z9962" t="str">
        <f t="shared" si="155"/>
        <v/>
      </c>
    </row>
    <row r="9963" spans="26:26" x14ac:dyDescent="0.2">
      <c r="Z9963" t="str">
        <f t="shared" si="155"/>
        <v/>
      </c>
    </row>
    <row r="9964" spans="26:26" x14ac:dyDescent="0.2">
      <c r="Z9964" t="str">
        <f t="shared" si="155"/>
        <v/>
      </c>
    </row>
    <row r="9965" spans="26:26" x14ac:dyDescent="0.2">
      <c r="Z9965" t="str">
        <f t="shared" si="155"/>
        <v/>
      </c>
    </row>
    <row r="9966" spans="26:26" x14ac:dyDescent="0.2">
      <c r="Z9966" t="str">
        <f t="shared" si="155"/>
        <v/>
      </c>
    </row>
    <row r="9967" spans="26:26" x14ac:dyDescent="0.2">
      <c r="Z9967" t="str">
        <f t="shared" si="155"/>
        <v/>
      </c>
    </row>
    <row r="9968" spans="26:26" x14ac:dyDescent="0.2">
      <c r="Z9968" t="str">
        <f t="shared" si="155"/>
        <v/>
      </c>
    </row>
    <row r="9969" spans="26:26" x14ac:dyDescent="0.2">
      <c r="Z9969" t="str">
        <f t="shared" si="155"/>
        <v/>
      </c>
    </row>
    <row r="9970" spans="26:26" x14ac:dyDescent="0.2">
      <c r="Z9970" t="str">
        <f t="shared" si="155"/>
        <v/>
      </c>
    </row>
    <row r="9971" spans="26:26" x14ac:dyDescent="0.2">
      <c r="Z9971" t="str">
        <f t="shared" si="155"/>
        <v/>
      </c>
    </row>
    <row r="9972" spans="26:26" x14ac:dyDescent="0.2">
      <c r="Z9972" t="str">
        <f t="shared" si="155"/>
        <v/>
      </c>
    </row>
    <row r="9973" spans="26:26" x14ac:dyDescent="0.2">
      <c r="Z9973" t="str">
        <f t="shared" si="155"/>
        <v/>
      </c>
    </row>
    <row r="9974" spans="26:26" x14ac:dyDescent="0.2">
      <c r="Z9974" t="str">
        <f t="shared" si="155"/>
        <v/>
      </c>
    </row>
    <row r="9975" spans="26:26" x14ac:dyDescent="0.2">
      <c r="Z9975" t="str">
        <f t="shared" si="155"/>
        <v/>
      </c>
    </row>
    <row r="9976" spans="26:26" x14ac:dyDescent="0.2">
      <c r="Z9976" t="str">
        <f t="shared" si="155"/>
        <v/>
      </c>
    </row>
    <row r="9977" spans="26:26" x14ac:dyDescent="0.2">
      <c r="Z9977" t="str">
        <f t="shared" si="155"/>
        <v/>
      </c>
    </row>
    <row r="9978" spans="26:26" x14ac:dyDescent="0.2">
      <c r="Z9978" t="str">
        <f t="shared" si="155"/>
        <v/>
      </c>
    </row>
    <row r="9979" spans="26:26" x14ac:dyDescent="0.2">
      <c r="Z9979" t="str">
        <f t="shared" si="155"/>
        <v/>
      </c>
    </row>
    <row r="9980" spans="26:26" x14ac:dyDescent="0.2">
      <c r="Z9980" t="str">
        <f t="shared" si="155"/>
        <v/>
      </c>
    </row>
    <row r="9981" spans="26:26" x14ac:dyDescent="0.2">
      <c r="Z9981" t="str">
        <f t="shared" si="155"/>
        <v/>
      </c>
    </row>
    <row r="9982" spans="26:26" x14ac:dyDescent="0.2">
      <c r="Z9982" t="str">
        <f t="shared" si="155"/>
        <v/>
      </c>
    </row>
    <row r="9983" spans="26:26" x14ac:dyDescent="0.2">
      <c r="Z9983" t="str">
        <f t="shared" si="155"/>
        <v/>
      </c>
    </row>
    <row r="9984" spans="26:26" x14ac:dyDescent="0.2">
      <c r="Z9984" t="str">
        <f t="shared" si="155"/>
        <v/>
      </c>
    </row>
    <row r="9985" spans="26:26" x14ac:dyDescent="0.2">
      <c r="Z9985" t="str">
        <f t="shared" si="155"/>
        <v/>
      </c>
    </row>
    <row r="9986" spans="26:26" x14ac:dyDescent="0.2">
      <c r="Z9986" t="str">
        <f t="shared" si="155"/>
        <v/>
      </c>
    </row>
    <row r="9987" spans="26:26" x14ac:dyDescent="0.2">
      <c r="Z9987" t="str">
        <f t="shared" ref="Z9987:Z10050" si="156">IF(K9987="","",IFERROR(VALUE(TRIM(MID(K9987,FIND(CHAR(167),SUBSTITUTE(K9987,"-",CHAR(167),LEN(K9987)-LEN(SUBSTITUTE(K9987,"-",""))))+1,100))),K9987))</f>
        <v/>
      </c>
    </row>
    <row r="9988" spans="26:26" x14ac:dyDescent="0.2">
      <c r="Z9988" t="str">
        <f t="shared" si="156"/>
        <v/>
      </c>
    </row>
    <row r="9989" spans="26:26" x14ac:dyDescent="0.2">
      <c r="Z9989" t="str">
        <f t="shared" si="156"/>
        <v/>
      </c>
    </row>
    <row r="9990" spans="26:26" x14ac:dyDescent="0.2">
      <c r="Z9990" t="str">
        <f t="shared" si="156"/>
        <v/>
      </c>
    </row>
    <row r="9991" spans="26:26" x14ac:dyDescent="0.2">
      <c r="Z9991" t="str">
        <f t="shared" si="156"/>
        <v/>
      </c>
    </row>
    <row r="9992" spans="26:26" x14ac:dyDescent="0.2">
      <c r="Z9992" t="str">
        <f t="shared" si="156"/>
        <v/>
      </c>
    </row>
    <row r="9993" spans="26:26" x14ac:dyDescent="0.2">
      <c r="Z9993" t="str">
        <f t="shared" si="156"/>
        <v/>
      </c>
    </row>
    <row r="9994" spans="26:26" x14ac:dyDescent="0.2">
      <c r="Z9994" t="str">
        <f t="shared" si="156"/>
        <v/>
      </c>
    </row>
    <row r="9995" spans="26:26" x14ac:dyDescent="0.2">
      <c r="Z9995" t="str">
        <f t="shared" si="156"/>
        <v/>
      </c>
    </row>
    <row r="9996" spans="26:26" x14ac:dyDescent="0.2">
      <c r="Z9996" t="str">
        <f t="shared" si="156"/>
        <v/>
      </c>
    </row>
    <row r="9997" spans="26:26" x14ac:dyDescent="0.2">
      <c r="Z9997" t="str">
        <f t="shared" si="156"/>
        <v/>
      </c>
    </row>
    <row r="9998" spans="26:26" x14ac:dyDescent="0.2">
      <c r="Z9998" t="str">
        <f t="shared" si="156"/>
        <v/>
      </c>
    </row>
    <row r="9999" spans="26:26" x14ac:dyDescent="0.2">
      <c r="Z9999" t="str">
        <f t="shared" si="156"/>
        <v/>
      </c>
    </row>
    <row r="10000" spans="26:26" x14ac:dyDescent="0.2">
      <c r="Z10000" t="str">
        <f t="shared" si="156"/>
        <v/>
      </c>
    </row>
    <row r="10001" spans="26:26" x14ac:dyDescent="0.2">
      <c r="Z10001" t="str">
        <f t="shared" si="156"/>
        <v/>
      </c>
    </row>
    <row r="10002" spans="26:26" x14ac:dyDescent="0.2">
      <c r="Z10002" t="str">
        <f t="shared" si="156"/>
        <v/>
      </c>
    </row>
    <row r="10003" spans="26:26" x14ac:dyDescent="0.2">
      <c r="Z10003" t="str">
        <f t="shared" si="156"/>
        <v/>
      </c>
    </row>
    <row r="10004" spans="26:26" x14ac:dyDescent="0.2">
      <c r="Z10004" t="str">
        <f t="shared" si="156"/>
        <v/>
      </c>
    </row>
    <row r="10005" spans="26:26" x14ac:dyDescent="0.2">
      <c r="Z10005" t="str">
        <f t="shared" si="156"/>
        <v/>
      </c>
    </row>
    <row r="10006" spans="26:26" x14ac:dyDescent="0.2">
      <c r="Z10006" t="str">
        <f t="shared" si="156"/>
        <v/>
      </c>
    </row>
    <row r="10007" spans="26:26" x14ac:dyDescent="0.2">
      <c r="Z10007" t="str">
        <f t="shared" si="156"/>
        <v/>
      </c>
    </row>
    <row r="10008" spans="26:26" x14ac:dyDescent="0.2">
      <c r="Z10008" t="str">
        <f t="shared" si="156"/>
        <v/>
      </c>
    </row>
    <row r="10009" spans="26:26" x14ac:dyDescent="0.2">
      <c r="Z10009" t="str">
        <f t="shared" si="156"/>
        <v/>
      </c>
    </row>
    <row r="10010" spans="26:26" x14ac:dyDescent="0.2">
      <c r="Z10010" t="str">
        <f t="shared" si="156"/>
        <v/>
      </c>
    </row>
    <row r="10011" spans="26:26" x14ac:dyDescent="0.2">
      <c r="Z10011" t="str">
        <f t="shared" si="156"/>
        <v/>
      </c>
    </row>
    <row r="10012" spans="26:26" x14ac:dyDescent="0.2">
      <c r="Z10012" t="str">
        <f t="shared" si="156"/>
        <v/>
      </c>
    </row>
    <row r="10013" spans="26:26" x14ac:dyDescent="0.2">
      <c r="Z10013" t="str">
        <f t="shared" si="156"/>
        <v/>
      </c>
    </row>
    <row r="10014" spans="26:26" x14ac:dyDescent="0.2">
      <c r="Z10014" t="str">
        <f t="shared" si="156"/>
        <v/>
      </c>
    </row>
    <row r="10015" spans="26:26" x14ac:dyDescent="0.2">
      <c r="Z10015" t="str">
        <f t="shared" si="156"/>
        <v/>
      </c>
    </row>
    <row r="10016" spans="26:26" x14ac:dyDescent="0.2">
      <c r="Z10016" t="str">
        <f t="shared" si="156"/>
        <v/>
      </c>
    </row>
    <row r="10017" spans="26:26" x14ac:dyDescent="0.2">
      <c r="Z10017" t="str">
        <f t="shared" si="156"/>
        <v/>
      </c>
    </row>
    <row r="10018" spans="26:26" x14ac:dyDescent="0.2">
      <c r="Z10018" t="str">
        <f t="shared" si="156"/>
        <v/>
      </c>
    </row>
    <row r="10019" spans="26:26" x14ac:dyDescent="0.2">
      <c r="Z10019" t="str">
        <f t="shared" si="156"/>
        <v/>
      </c>
    </row>
    <row r="10020" spans="26:26" x14ac:dyDescent="0.2">
      <c r="Z10020" t="str">
        <f t="shared" si="156"/>
        <v/>
      </c>
    </row>
    <row r="10021" spans="26:26" x14ac:dyDescent="0.2">
      <c r="Z10021" t="str">
        <f t="shared" si="156"/>
        <v/>
      </c>
    </row>
    <row r="10022" spans="26:26" x14ac:dyDescent="0.2">
      <c r="Z10022" t="str">
        <f t="shared" si="156"/>
        <v/>
      </c>
    </row>
    <row r="10023" spans="26:26" x14ac:dyDescent="0.2">
      <c r="Z10023" t="str">
        <f t="shared" si="156"/>
        <v/>
      </c>
    </row>
    <row r="10024" spans="26:26" x14ac:dyDescent="0.2">
      <c r="Z10024" t="str">
        <f t="shared" si="156"/>
        <v/>
      </c>
    </row>
    <row r="10025" spans="26:26" x14ac:dyDescent="0.2">
      <c r="Z10025" t="str">
        <f t="shared" si="156"/>
        <v/>
      </c>
    </row>
    <row r="10026" spans="26:26" x14ac:dyDescent="0.2">
      <c r="Z10026" t="str">
        <f t="shared" si="156"/>
        <v/>
      </c>
    </row>
    <row r="10027" spans="26:26" x14ac:dyDescent="0.2">
      <c r="Z10027" t="str">
        <f t="shared" si="156"/>
        <v/>
      </c>
    </row>
    <row r="10028" spans="26:26" x14ac:dyDescent="0.2">
      <c r="Z10028" t="str">
        <f t="shared" si="156"/>
        <v/>
      </c>
    </row>
    <row r="10029" spans="26:26" x14ac:dyDescent="0.2">
      <c r="Z10029" t="str">
        <f t="shared" si="156"/>
        <v/>
      </c>
    </row>
    <row r="10030" spans="26:26" x14ac:dyDescent="0.2">
      <c r="Z10030" t="str">
        <f t="shared" si="156"/>
        <v/>
      </c>
    </row>
    <row r="10031" spans="26:26" x14ac:dyDescent="0.2">
      <c r="Z10031" t="str">
        <f t="shared" si="156"/>
        <v/>
      </c>
    </row>
    <row r="10032" spans="26:26" x14ac:dyDescent="0.2">
      <c r="Z10032" t="str">
        <f t="shared" si="156"/>
        <v/>
      </c>
    </row>
    <row r="10033" spans="26:26" x14ac:dyDescent="0.2">
      <c r="Z10033" t="str">
        <f t="shared" si="156"/>
        <v/>
      </c>
    </row>
    <row r="10034" spans="26:26" x14ac:dyDescent="0.2">
      <c r="Z10034" t="str">
        <f t="shared" si="156"/>
        <v/>
      </c>
    </row>
    <row r="10035" spans="26:26" x14ac:dyDescent="0.2">
      <c r="Z10035" t="str">
        <f t="shared" si="156"/>
        <v/>
      </c>
    </row>
    <row r="10036" spans="26:26" x14ac:dyDescent="0.2">
      <c r="Z10036" t="str">
        <f t="shared" si="156"/>
        <v/>
      </c>
    </row>
    <row r="10037" spans="26:26" x14ac:dyDescent="0.2">
      <c r="Z10037" t="str">
        <f t="shared" si="156"/>
        <v/>
      </c>
    </row>
    <row r="10038" spans="26:26" x14ac:dyDescent="0.2">
      <c r="Z10038" t="str">
        <f t="shared" si="156"/>
        <v/>
      </c>
    </row>
    <row r="10039" spans="26:26" x14ac:dyDescent="0.2">
      <c r="Z10039" t="str">
        <f t="shared" si="156"/>
        <v/>
      </c>
    </row>
    <row r="10040" spans="26:26" x14ac:dyDescent="0.2">
      <c r="Z10040" t="str">
        <f t="shared" si="156"/>
        <v/>
      </c>
    </row>
    <row r="10041" spans="26:26" x14ac:dyDescent="0.2">
      <c r="Z10041" t="str">
        <f t="shared" si="156"/>
        <v/>
      </c>
    </row>
    <row r="10042" spans="26:26" x14ac:dyDescent="0.2">
      <c r="Z10042" t="str">
        <f t="shared" si="156"/>
        <v/>
      </c>
    </row>
    <row r="10043" spans="26:26" x14ac:dyDescent="0.2">
      <c r="Z10043" t="str">
        <f t="shared" si="156"/>
        <v/>
      </c>
    </row>
    <row r="10044" spans="26:26" x14ac:dyDescent="0.2">
      <c r="Z10044" t="str">
        <f t="shared" si="156"/>
        <v/>
      </c>
    </row>
    <row r="10045" spans="26:26" x14ac:dyDescent="0.2">
      <c r="Z10045" t="str">
        <f t="shared" si="156"/>
        <v/>
      </c>
    </row>
    <row r="10046" spans="26:26" x14ac:dyDescent="0.2">
      <c r="Z10046" t="str">
        <f t="shared" si="156"/>
        <v/>
      </c>
    </row>
    <row r="10047" spans="26:26" x14ac:dyDescent="0.2">
      <c r="Z10047" t="str">
        <f t="shared" si="156"/>
        <v/>
      </c>
    </row>
    <row r="10048" spans="26:26" x14ac:dyDescent="0.2">
      <c r="Z10048" t="str">
        <f t="shared" si="156"/>
        <v/>
      </c>
    </row>
    <row r="10049" spans="26:26" x14ac:dyDescent="0.2">
      <c r="Z10049" t="str">
        <f t="shared" si="156"/>
        <v/>
      </c>
    </row>
    <row r="10050" spans="26:26" x14ac:dyDescent="0.2">
      <c r="Z10050" t="str">
        <f t="shared" si="156"/>
        <v/>
      </c>
    </row>
    <row r="10051" spans="26:26" x14ac:dyDescent="0.2">
      <c r="Z10051" t="str">
        <f t="shared" ref="Z10051:Z10114" si="157">IF(K10051="","",IFERROR(VALUE(TRIM(MID(K10051,FIND(CHAR(167),SUBSTITUTE(K10051,"-",CHAR(167),LEN(K10051)-LEN(SUBSTITUTE(K10051,"-",""))))+1,100))),K10051))</f>
        <v/>
      </c>
    </row>
    <row r="10052" spans="26:26" x14ac:dyDescent="0.2">
      <c r="Z10052" t="str">
        <f t="shared" si="157"/>
        <v/>
      </c>
    </row>
    <row r="10053" spans="26:26" x14ac:dyDescent="0.2">
      <c r="Z10053" t="str">
        <f t="shared" si="157"/>
        <v/>
      </c>
    </row>
    <row r="10054" spans="26:26" x14ac:dyDescent="0.2">
      <c r="Z10054" t="str">
        <f t="shared" si="157"/>
        <v/>
      </c>
    </row>
    <row r="10055" spans="26:26" x14ac:dyDescent="0.2">
      <c r="Z10055" t="str">
        <f t="shared" si="157"/>
        <v/>
      </c>
    </row>
    <row r="10056" spans="26:26" x14ac:dyDescent="0.2">
      <c r="Z10056" t="str">
        <f t="shared" si="157"/>
        <v/>
      </c>
    </row>
    <row r="10057" spans="26:26" x14ac:dyDescent="0.2">
      <c r="Z10057" t="str">
        <f t="shared" si="157"/>
        <v/>
      </c>
    </row>
    <row r="10058" spans="26:26" x14ac:dyDescent="0.2">
      <c r="Z10058" t="str">
        <f t="shared" si="157"/>
        <v/>
      </c>
    </row>
    <row r="10059" spans="26:26" x14ac:dyDescent="0.2">
      <c r="Z10059" t="str">
        <f t="shared" si="157"/>
        <v/>
      </c>
    </row>
    <row r="10060" spans="26:26" x14ac:dyDescent="0.2">
      <c r="Z10060" t="str">
        <f t="shared" si="157"/>
        <v/>
      </c>
    </row>
    <row r="10061" spans="26:26" x14ac:dyDescent="0.2">
      <c r="Z10061" t="str">
        <f t="shared" si="157"/>
        <v/>
      </c>
    </row>
    <row r="10062" spans="26:26" x14ac:dyDescent="0.2">
      <c r="Z10062" t="str">
        <f t="shared" si="157"/>
        <v/>
      </c>
    </row>
    <row r="10063" spans="26:26" x14ac:dyDescent="0.2">
      <c r="Z10063" t="str">
        <f t="shared" si="157"/>
        <v/>
      </c>
    </row>
    <row r="10064" spans="26:26" x14ac:dyDescent="0.2">
      <c r="Z10064" t="str">
        <f t="shared" si="157"/>
        <v/>
      </c>
    </row>
    <row r="10065" spans="26:26" x14ac:dyDescent="0.2">
      <c r="Z10065" t="str">
        <f t="shared" si="157"/>
        <v/>
      </c>
    </row>
    <row r="10066" spans="26:26" x14ac:dyDescent="0.2">
      <c r="Z10066" t="str">
        <f t="shared" si="157"/>
        <v/>
      </c>
    </row>
    <row r="10067" spans="26:26" x14ac:dyDescent="0.2">
      <c r="Z10067" t="str">
        <f t="shared" si="157"/>
        <v/>
      </c>
    </row>
    <row r="10068" spans="26:26" x14ac:dyDescent="0.2">
      <c r="Z10068" t="str">
        <f t="shared" si="157"/>
        <v/>
      </c>
    </row>
    <row r="10069" spans="26:26" x14ac:dyDescent="0.2">
      <c r="Z10069" t="str">
        <f t="shared" si="157"/>
        <v/>
      </c>
    </row>
    <row r="10070" spans="26:26" x14ac:dyDescent="0.2">
      <c r="Z10070" t="str">
        <f t="shared" si="157"/>
        <v/>
      </c>
    </row>
    <row r="10071" spans="26:26" x14ac:dyDescent="0.2">
      <c r="Z10071" t="str">
        <f t="shared" si="157"/>
        <v/>
      </c>
    </row>
    <row r="10072" spans="26:26" x14ac:dyDescent="0.2">
      <c r="Z10072" t="str">
        <f t="shared" si="157"/>
        <v/>
      </c>
    </row>
    <row r="10073" spans="26:26" x14ac:dyDescent="0.2">
      <c r="Z10073" t="str">
        <f t="shared" si="157"/>
        <v/>
      </c>
    </row>
    <row r="10074" spans="26:26" x14ac:dyDescent="0.2">
      <c r="Z10074" t="str">
        <f t="shared" si="157"/>
        <v/>
      </c>
    </row>
    <row r="10075" spans="26:26" x14ac:dyDescent="0.2">
      <c r="Z10075" t="str">
        <f t="shared" si="157"/>
        <v/>
      </c>
    </row>
    <row r="10076" spans="26:26" x14ac:dyDescent="0.2">
      <c r="Z10076" t="str">
        <f t="shared" si="157"/>
        <v/>
      </c>
    </row>
    <row r="10077" spans="26:26" x14ac:dyDescent="0.2">
      <c r="Z10077" t="str">
        <f t="shared" si="157"/>
        <v/>
      </c>
    </row>
    <row r="10078" spans="26:26" x14ac:dyDescent="0.2">
      <c r="Z10078" t="str">
        <f t="shared" si="157"/>
        <v/>
      </c>
    </row>
    <row r="10079" spans="26:26" x14ac:dyDescent="0.2">
      <c r="Z10079" t="str">
        <f t="shared" si="157"/>
        <v/>
      </c>
    </row>
    <row r="10080" spans="26:26" x14ac:dyDescent="0.2">
      <c r="Z10080" t="str">
        <f t="shared" si="157"/>
        <v/>
      </c>
    </row>
    <row r="10081" spans="26:26" x14ac:dyDescent="0.2">
      <c r="Z10081" t="str">
        <f t="shared" si="157"/>
        <v/>
      </c>
    </row>
    <row r="10082" spans="26:26" x14ac:dyDescent="0.2">
      <c r="Z10082" t="str">
        <f t="shared" si="157"/>
        <v/>
      </c>
    </row>
    <row r="10083" spans="26:26" x14ac:dyDescent="0.2">
      <c r="Z10083" t="str">
        <f t="shared" si="157"/>
        <v/>
      </c>
    </row>
    <row r="10084" spans="26:26" x14ac:dyDescent="0.2">
      <c r="Z10084" t="str">
        <f t="shared" si="157"/>
        <v/>
      </c>
    </row>
    <row r="10085" spans="26:26" x14ac:dyDescent="0.2">
      <c r="Z10085" t="str">
        <f t="shared" si="157"/>
        <v/>
      </c>
    </row>
    <row r="10086" spans="26:26" x14ac:dyDescent="0.2">
      <c r="Z10086" t="str">
        <f t="shared" si="157"/>
        <v/>
      </c>
    </row>
    <row r="10087" spans="26:26" x14ac:dyDescent="0.2">
      <c r="Z10087" t="str">
        <f t="shared" si="157"/>
        <v/>
      </c>
    </row>
    <row r="10088" spans="26:26" x14ac:dyDescent="0.2">
      <c r="Z10088" t="str">
        <f t="shared" si="157"/>
        <v/>
      </c>
    </row>
    <row r="10089" spans="26:26" x14ac:dyDescent="0.2">
      <c r="Z10089" t="str">
        <f t="shared" si="157"/>
        <v/>
      </c>
    </row>
    <row r="10090" spans="26:26" x14ac:dyDescent="0.2">
      <c r="Z10090" t="str">
        <f t="shared" si="157"/>
        <v/>
      </c>
    </row>
    <row r="10091" spans="26:26" x14ac:dyDescent="0.2">
      <c r="Z10091" t="str">
        <f t="shared" si="157"/>
        <v/>
      </c>
    </row>
    <row r="10092" spans="26:26" x14ac:dyDescent="0.2">
      <c r="Z10092" t="str">
        <f t="shared" si="157"/>
        <v/>
      </c>
    </row>
    <row r="10093" spans="26:26" x14ac:dyDescent="0.2">
      <c r="Z10093" t="str">
        <f t="shared" si="157"/>
        <v/>
      </c>
    </row>
    <row r="10094" spans="26:26" x14ac:dyDescent="0.2">
      <c r="Z10094" t="str">
        <f t="shared" si="157"/>
        <v/>
      </c>
    </row>
    <row r="10095" spans="26:26" x14ac:dyDescent="0.2">
      <c r="Z10095" t="str">
        <f t="shared" si="157"/>
        <v/>
      </c>
    </row>
    <row r="10096" spans="26:26" x14ac:dyDescent="0.2">
      <c r="Z10096" t="str">
        <f t="shared" si="157"/>
        <v/>
      </c>
    </row>
    <row r="10097" spans="26:26" x14ac:dyDescent="0.2">
      <c r="Z10097" t="str">
        <f t="shared" si="157"/>
        <v/>
      </c>
    </row>
    <row r="10098" spans="26:26" x14ac:dyDescent="0.2">
      <c r="Z10098" t="str">
        <f t="shared" si="157"/>
        <v/>
      </c>
    </row>
    <row r="10099" spans="26:26" x14ac:dyDescent="0.2">
      <c r="Z10099" t="str">
        <f t="shared" si="157"/>
        <v/>
      </c>
    </row>
    <row r="10100" spans="26:26" x14ac:dyDescent="0.2">
      <c r="Z10100" t="str">
        <f t="shared" si="157"/>
        <v/>
      </c>
    </row>
    <row r="10101" spans="26:26" x14ac:dyDescent="0.2">
      <c r="Z10101" t="str">
        <f t="shared" si="157"/>
        <v/>
      </c>
    </row>
    <row r="10102" spans="26:26" x14ac:dyDescent="0.2">
      <c r="Z10102" t="str">
        <f t="shared" si="157"/>
        <v/>
      </c>
    </row>
    <row r="10103" spans="26:26" x14ac:dyDescent="0.2">
      <c r="Z10103" t="str">
        <f t="shared" si="157"/>
        <v/>
      </c>
    </row>
    <row r="10104" spans="26:26" x14ac:dyDescent="0.2">
      <c r="Z10104" t="str">
        <f t="shared" si="157"/>
        <v/>
      </c>
    </row>
    <row r="10105" spans="26:26" x14ac:dyDescent="0.2">
      <c r="Z10105" t="str">
        <f t="shared" si="157"/>
        <v/>
      </c>
    </row>
    <row r="10106" spans="26:26" x14ac:dyDescent="0.2">
      <c r="Z10106" t="str">
        <f t="shared" si="157"/>
        <v/>
      </c>
    </row>
    <row r="10107" spans="26:26" x14ac:dyDescent="0.2">
      <c r="Z10107" t="str">
        <f t="shared" si="157"/>
        <v/>
      </c>
    </row>
    <row r="10108" spans="26:26" x14ac:dyDescent="0.2">
      <c r="Z10108" t="str">
        <f t="shared" si="157"/>
        <v/>
      </c>
    </row>
    <row r="10109" spans="26:26" x14ac:dyDescent="0.2">
      <c r="Z10109" t="str">
        <f t="shared" si="157"/>
        <v/>
      </c>
    </row>
    <row r="10110" spans="26:26" x14ac:dyDescent="0.2">
      <c r="Z10110" t="str">
        <f t="shared" si="157"/>
        <v/>
      </c>
    </row>
    <row r="10111" spans="26:26" x14ac:dyDescent="0.2">
      <c r="Z10111" t="str">
        <f t="shared" si="157"/>
        <v/>
      </c>
    </row>
    <row r="10112" spans="26:26" x14ac:dyDescent="0.2">
      <c r="Z10112" t="str">
        <f t="shared" si="157"/>
        <v/>
      </c>
    </row>
    <row r="10113" spans="26:26" x14ac:dyDescent="0.2">
      <c r="Z10113" t="str">
        <f t="shared" si="157"/>
        <v/>
      </c>
    </row>
    <row r="10114" spans="26:26" x14ac:dyDescent="0.2">
      <c r="Z10114" t="str">
        <f t="shared" si="157"/>
        <v/>
      </c>
    </row>
    <row r="10115" spans="26:26" x14ac:dyDescent="0.2">
      <c r="Z10115" t="str">
        <f t="shared" ref="Z10115:Z10178" si="158">IF(K10115="","",IFERROR(VALUE(TRIM(MID(K10115,FIND(CHAR(167),SUBSTITUTE(K10115,"-",CHAR(167),LEN(K10115)-LEN(SUBSTITUTE(K10115,"-",""))))+1,100))),K10115))</f>
        <v/>
      </c>
    </row>
    <row r="10116" spans="26:26" x14ac:dyDescent="0.2">
      <c r="Z10116" t="str">
        <f t="shared" si="158"/>
        <v/>
      </c>
    </row>
    <row r="10117" spans="26:26" x14ac:dyDescent="0.2">
      <c r="Z10117" t="str">
        <f t="shared" si="158"/>
        <v/>
      </c>
    </row>
    <row r="10118" spans="26:26" x14ac:dyDescent="0.2">
      <c r="Z10118" t="str">
        <f t="shared" si="158"/>
        <v/>
      </c>
    </row>
    <row r="10119" spans="26:26" x14ac:dyDescent="0.2">
      <c r="Z10119" t="str">
        <f t="shared" si="158"/>
        <v/>
      </c>
    </row>
    <row r="10120" spans="26:26" x14ac:dyDescent="0.2">
      <c r="Z10120" t="str">
        <f t="shared" si="158"/>
        <v/>
      </c>
    </row>
    <row r="10121" spans="26:26" x14ac:dyDescent="0.2">
      <c r="Z10121" t="str">
        <f t="shared" si="158"/>
        <v/>
      </c>
    </row>
    <row r="10122" spans="26:26" x14ac:dyDescent="0.2">
      <c r="Z10122" t="str">
        <f t="shared" si="158"/>
        <v/>
      </c>
    </row>
    <row r="10123" spans="26:26" x14ac:dyDescent="0.2">
      <c r="Z10123" t="str">
        <f t="shared" si="158"/>
        <v/>
      </c>
    </row>
    <row r="10124" spans="26:26" x14ac:dyDescent="0.2">
      <c r="Z10124" t="str">
        <f t="shared" si="158"/>
        <v/>
      </c>
    </row>
    <row r="10125" spans="26:26" x14ac:dyDescent="0.2">
      <c r="Z10125" t="str">
        <f t="shared" si="158"/>
        <v/>
      </c>
    </row>
    <row r="10126" spans="26:26" x14ac:dyDescent="0.2">
      <c r="Z10126" t="str">
        <f t="shared" si="158"/>
        <v/>
      </c>
    </row>
    <row r="10127" spans="26:26" x14ac:dyDescent="0.2">
      <c r="Z10127" t="str">
        <f t="shared" si="158"/>
        <v/>
      </c>
    </row>
    <row r="10128" spans="26:26" x14ac:dyDescent="0.2">
      <c r="Z10128" t="str">
        <f t="shared" si="158"/>
        <v/>
      </c>
    </row>
    <row r="10129" spans="26:26" x14ac:dyDescent="0.2">
      <c r="Z10129" t="str">
        <f t="shared" si="158"/>
        <v/>
      </c>
    </row>
    <row r="10130" spans="26:26" x14ac:dyDescent="0.2">
      <c r="Z10130" t="str">
        <f t="shared" si="158"/>
        <v/>
      </c>
    </row>
    <row r="10131" spans="26:26" x14ac:dyDescent="0.2">
      <c r="Z10131" t="str">
        <f t="shared" si="158"/>
        <v/>
      </c>
    </row>
    <row r="10132" spans="26:26" x14ac:dyDescent="0.2">
      <c r="Z10132" t="str">
        <f t="shared" si="158"/>
        <v/>
      </c>
    </row>
    <row r="10133" spans="26:26" x14ac:dyDescent="0.2">
      <c r="Z10133" t="str">
        <f t="shared" si="158"/>
        <v/>
      </c>
    </row>
    <row r="10134" spans="26:26" x14ac:dyDescent="0.2">
      <c r="Z10134" t="str">
        <f t="shared" si="158"/>
        <v/>
      </c>
    </row>
    <row r="10135" spans="26:26" x14ac:dyDescent="0.2">
      <c r="Z10135" t="str">
        <f t="shared" si="158"/>
        <v/>
      </c>
    </row>
    <row r="10136" spans="26:26" x14ac:dyDescent="0.2">
      <c r="Z10136" t="str">
        <f t="shared" si="158"/>
        <v/>
      </c>
    </row>
    <row r="10137" spans="26:26" x14ac:dyDescent="0.2">
      <c r="Z10137" t="str">
        <f t="shared" si="158"/>
        <v/>
      </c>
    </row>
    <row r="10138" spans="26:26" x14ac:dyDescent="0.2">
      <c r="Z10138" t="str">
        <f t="shared" si="158"/>
        <v/>
      </c>
    </row>
    <row r="10139" spans="26:26" x14ac:dyDescent="0.2">
      <c r="Z10139" t="str">
        <f t="shared" si="158"/>
        <v/>
      </c>
    </row>
    <row r="10140" spans="26:26" x14ac:dyDescent="0.2">
      <c r="Z10140" t="str">
        <f t="shared" si="158"/>
        <v/>
      </c>
    </row>
    <row r="10141" spans="26:26" x14ac:dyDescent="0.2">
      <c r="Z10141" t="str">
        <f t="shared" si="158"/>
        <v/>
      </c>
    </row>
    <row r="10142" spans="26:26" x14ac:dyDescent="0.2">
      <c r="Z10142" t="str">
        <f t="shared" si="158"/>
        <v/>
      </c>
    </row>
    <row r="10143" spans="26:26" x14ac:dyDescent="0.2">
      <c r="Z10143" t="str">
        <f t="shared" si="158"/>
        <v/>
      </c>
    </row>
    <row r="10144" spans="26:26" x14ac:dyDescent="0.2">
      <c r="Z10144" t="str">
        <f t="shared" si="158"/>
        <v/>
      </c>
    </row>
    <row r="10145" spans="26:26" x14ac:dyDescent="0.2">
      <c r="Z10145" t="str">
        <f t="shared" si="158"/>
        <v/>
      </c>
    </row>
    <row r="10146" spans="26:26" x14ac:dyDescent="0.2">
      <c r="Z10146" t="str">
        <f t="shared" si="158"/>
        <v/>
      </c>
    </row>
    <row r="10147" spans="26:26" x14ac:dyDescent="0.2">
      <c r="Z10147" t="str">
        <f t="shared" si="158"/>
        <v/>
      </c>
    </row>
    <row r="10148" spans="26:26" x14ac:dyDescent="0.2">
      <c r="Z10148" t="str">
        <f t="shared" si="158"/>
        <v/>
      </c>
    </row>
    <row r="10149" spans="26:26" x14ac:dyDescent="0.2">
      <c r="Z10149" t="str">
        <f t="shared" si="158"/>
        <v/>
      </c>
    </row>
    <row r="10150" spans="26:26" x14ac:dyDescent="0.2">
      <c r="Z10150" t="str">
        <f t="shared" si="158"/>
        <v/>
      </c>
    </row>
    <row r="10151" spans="26:26" x14ac:dyDescent="0.2">
      <c r="Z10151" t="str">
        <f t="shared" si="158"/>
        <v/>
      </c>
    </row>
    <row r="10152" spans="26:26" x14ac:dyDescent="0.2">
      <c r="Z10152" t="str">
        <f t="shared" si="158"/>
        <v/>
      </c>
    </row>
    <row r="10153" spans="26:26" x14ac:dyDescent="0.2">
      <c r="Z10153" t="str">
        <f t="shared" si="158"/>
        <v/>
      </c>
    </row>
    <row r="10154" spans="26:26" x14ac:dyDescent="0.2">
      <c r="Z10154" t="str">
        <f t="shared" si="158"/>
        <v/>
      </c>
    </row>
    <row r="10155" spans="26:26" x14ac:dyDescent="0.2">
      <c r="Z10155" t="str">
        <f t="shared" si="158"/>
        <v/>
      </c>
    </row>
    <row r="10156" spans="26:26" x14ac:dyDescent="0.2">
      <c r="Z10156" t="str">
        <f t="shared" si="158"/>
        <v/>
      </c>
    </row>
    <row r="10157" spans="26:26" x14ac:dyDescent="0.2">
      <c r="Z10157" t="str">
        <f t="shared" si="158"/>
        <v/>
      </c>
    </row>
    <row r="10158" spans="26:26" x14ac:dyDescent="0.2">
      <c r="Z10158" t="str">
        <f t="shared" si="158"/>
        <v/>
      </c>
    </row>
    <row r="10159" spans="26:26" x14ac:dyDescent="0.2">
      <c r="Z10159" t="str">
        <f t="shared" si="158"/>
        <v/>
      </c>
    </row>
    <row r="10160" spans="26:26" x14ac:dyDescent="0.2">
      <c r="Z10160" t="str">
        <f t="shared" si="158"/>
        <v/>
      </c>
    </row>
    <row r="10161" spans="26:26" x14ac:dyDescent="0.2">
      <c r="Z10161" t="str">
        <f t="shared" si="158"/>
        <v/>
      </c>
    </row>
    <row r="10162" spans="26:26" x14ac:dyDescent="0.2">
      <c r="Z10162" t="str">
        <f t="shared" si="158"/>
        <v/>
      </c>
    </row>
    <row r="10163" spans="26:26" x14ac:dyDescent="0.2">
      <c r="Z10163" t="str">
        <f t="shared" si="158"/>
        <v/>
      </c>
    </row>
    <row r="10164" spans="26:26" x14ac:dyDescent="0.2">
      <c r="Z10164" t="str">
        <f t="shared" si="158"/>
        <v/>
      </c>
    </row>
    <row r="10165" spans="26:26" x14ac:dyDescent="0.2">
      <c r="Z10165" t="str">
        <f t="shared" si="158"/>
        <v/>
      </c>
    </row>
    <row r="10166" spans="26:26" x14ac:dyDescent="0.2">
      <c r="Z10166" t="str">
        <f t="shared" si="158"/>
        <v/>
      </c>
    </row>
    <row r="10167" spans="26:26" x14ac:dyDescent="0.2">
      <c r="Z10167" t="str">
        <f t="shared" si="158"/>
        <v/>
      </c>
    </row>
    <row r="10168" spans="26:26" x14ac:dyDescent="0.2">
      <c r="Z10168" t="str">
        <f t="shared" si="158"/>
        <v/>
      </c>
    </row>
    <row r="10169" spans="26:26" x14ac:dyDescent="0.2">
      <c r="Z10169" t="str">
        <f t="shared" si="158"/>
        <v/>
      </c>
    </row>
    <row r="10170" spans="26:26" x14ac:dyDescent="0.2">
      <c r="Z10170" t="str">
        <f t="shared" si="158"/>
        <v/>
      </c>
    </row>
    <row r="10171" spans="26:26" x14ac:dyDescent="0.2">
      <c r="Z10171" t="str">
        <f t="shared" si="158"/>
        <v/>
      </c>
    </row>
    <row r="10172" spans="26:26" x14ac:dyDescent="0.2">
      <c r="Z10172" t="str">
        <f t="shared" si="158"/>
        <v/>
      </c>
    </row>
    <row r="10173" spans="26:26" x14ac:dyDescent="0.2">
      <c r="Z10173" t="str">
        <f t="shared" si="158"/>
        <v/>
      </c>
    </row>
    <row r="10174" spans="26:26" x14ac:dyDescent="0.2">
      <c r="Z10174" t="str">
        <f t="shared" si="158"/>
        <v/>
      </c>
    </row>
    <row r="10175" spans="26:26" x14ac:dyDescent="0.2">
      <c r="Z10175" t="str">
        <f t="shared" si="158"/>
        <v/>
      </c>
    </row>
    <row r="10176" spans="26:26" x14ac:dyDescent="0.2">
      <c r="Z10176" t="str">
        <f t="shared" si="158"/>
        <v/>
      </c>
    </row>
    <row r="10177" spans="26:26" x14ac:dyDescent="0.2">
      <c r="Z10177" t="str">
        <f t="shared" si="158"/>
        <v/>
      </c>
    </row>
    <row r="10178" spans="26:26" x14ac:dyDescent="0.2">
      <c r="Z10178" t="str">
        <f t="shared" si="158"/>
        <v/>
      </c>
    </row>
    <row r="10179" spans="26:26" x14ac:dyDescent="0.2">
      <c r="Z10179" t="str">
        <f t="shared" ref="Z10179:Z10242" si="159">IF(K10179="","",IFERROR(VALUE(TRIM(MID(K10179,FIND(CHAR(167),SUBSTITUTE(K10179,"-",CHAR(167),LEN(K10179)-LEN(SUBSTITUTE(K10179,"-",""))))+1,100))),K10179))</f>
        <v/>
      </c>
    </row>
    <row r="10180" spans="26:26" x14ac:dyDescent="0.2">
      <c r="Z10180" t="str">
        <f t="shared" si="159"/>
        <v/>
      </c>
    </row>
    <row r="10181" spans="26:26" x14ac:dyDescent="0.2">
      <c r="Z10181" t="str">
        <f t="shared" si="159"/>
        <v/>
      </c>
    </row>
    <row r="10182" spans="26:26" x14ac:dyDescent="0.2">
      <c r="Z10182" t="str">
        <f t="shared" si="159"/>
        <v/>
      </c>
    </row>
    <row r="10183" spans="26:26" x14ac:dyDescent="0.2">
      <c r="Z10183" t="str">
        <f t="shared" si="159"/>
        <v/>
      </c>
    </row>
    <row r="10184" spans="26:26" x14ac:dyDescent="0.2">
      <c r="Z10184" t="str">
        <f t="shared" si="159"/>
        <v/>
      </c>
    </row>
    <row r="10185" spans="26:26" x14ac:dyDescent="0.2">
      <c r="Z10185" t="str">
        <f t="shared" si="159"/>
        <v/>
      </c>
    </row>
    <row r="10186" spans="26:26" x14ac:dyDescent="0.2">
      <c r="Z10186" t="str">
        <f t="shared" si="159"/>
        <v/>
      </c>
    </row>
    <row r="10187" spans="26:26" x14ac:dyDescent="0.2">
      <c r="Z10187" t="str">
        <f t="shared" si="159"/>
        <v/>
      </c>
    </row>
    <row r="10188" spans="26:26" x14ac:dyDescent="0.2">
      <c r="Z10188" t="str">
        <f t="shared" si="159"/>
        <v/>
      </c>
    </row>
    <row r="10189" spans="26:26" x14ac:dyDescent="0.2">
      <c r="Z10189" t="str">
        <f t="shared" si="159"/>
        <v/>
      </c>
    </row>
    <row r="10190" spans="26:26" x14ac:dyDescent="0.2">
      <c r="Z10190" t="str">
        <f t="shared" si="159"/>
        <v/>
      </c>
    </row>
    <row r="10191" spans="26:26" x14ac:dyDescent="0.2">
      <c r="Z10191" t="str">
        <f t="shared" si="159"/>
        <v/>
      </c>
    </row>
    <row r="10192" spans="26:26" x14ac:dyDescent="0.2">
      <c r="Z10192" t="str">
        <f t="shared" si="159"/>
        <v/>
      </c>
    </row>
    <row r="10193" spans="26:26" x14ac:dyDescent="0.2">
      <c r="Z10193" t="str">
        <f t="shared" si="159"/>
        <v/>
      </c>
    </row>
    <row r="10194" spans="26:26" x14ac:dyDescent="0.2">
      <c r="Z10194" t="str">
        <f t="shared" si="159"/>
        <v/>
      </c>
    </row>
    <row r="10195" spans="26:26" x14ac:dyDescent="0.2">
      <c r="Z10195" t="str">
        <f t="shared" si="159"/>
        <v/>
      </c>
    </row>
    <row r="10196" spans="26:26" x14ac:dyDescent="0.2">
      <c r="Z10196" t="str">
        <f t="shared" si="159"/>
        <v/>
      </c>
    </row>
    <row r="10197" spans="26:26" x14ac:dyDescent="0.2">
      <c r="Z10197" t="str">
        <f t="shared" si="159"/>
        <v/>
      </c>
    </row>
    <row r="10198" spans="26:26" x14ac:dyDescent="0.2">
      <c r="Z10198" t="str">
        <f t="shared" si="159"/>
        <v/>
      </c>
    </row>
    <row r="10199" spans="26:26" x14ac:dyDescent="0.2">
      <c r="Z10199" t="str">
        <f t="shared" si="159"/>
        <v/>
      </c>
    </row>
    <row r="10200" spans="26:26" x14ac:dyDescent="0.2">
      <c r="Z10200" t="str">
        <f t="shared" si="159"/>
        <v/>
      </c>
    </row>
    <row r="10201" spans="26:26" x14ac:dyDescent="0.2">
      <c r="Z10201" t="str">
        <f t="shared" si="159"/>
        <v/>
      </c>
    </row>
    <row r="10202" spans="26:26" x14ac:dyDescent="0.2">
      <c r="Z10202" t="str">
        <f t="shared" si="159"/>
        <v/>
      </c>
    </row>
    <row r="10203" spans="26:26" x14ac:dyDescent="0.2">
      <c r="Z10203" t="str">
        <f t="shared" si="159"/>
        <v/>
      </c>
    </row>
    <row r="10204" spans="26:26" x14ac:dyDescent="0.2">
      <c r="Z10204" t="str">
        <f t="shared" si="159"/>
        <v/>
      </c>
    </row>
    <row r="10205" spans="26:26" x14ac:dyDescent="0.2">
      <c r="Z10205" t="str">
        <f t="shared" si="159"/>
        <v/>
      </c>
    </row>
    <row r="10206" spans="26:26" x14ac:dyDescent="0.2">
      <c r="Z10206" t="str">
        <f t="shared" si="159"/>
        <v/>
      </c>
    </row>
    <row r="10207" spans="26:26" x14ac:dyDescent="0.2">
      <c r="Z10207" t="str">
        <f t="shared" si="159"/>
        <v/>
      </c>
    </row>
    <row r="10208" spans="26:26" x14ac:dyDescent="0.2">
      <c r="Z10208" t="str">
        <f t="shared" si="159"/>
        <v/>
      </c>
    </row>
    <row r="10209" spans="26:26" x14ac:dyDescent="0.2">
      <c r="Z10209" t="str">
        <f t="shared" si="159"/>
        <v/>
      </c>
    </row>
    <row r="10210" spans="26:26" x14ac:dyDescent="0.2">
      <c r="Z10210" t="str">
        <f t="shared" si="159"/>
        <v/>
      </c>
    </row>
    <row r="10211" spans="26:26" x14ac:dyDescent="0.2">
      <c r="Z10211" t="str">
        <f t="shared" si="159"/>
        <v/>
      </c>
    </row>
    <row r="10212" spans="26:26" x14ac:dyDescent="0.2">
      <c r="Z10212" t="str">
        <f t="shared" si="159"/>
        <v/>
      </c>
    </row>
    <row r="10213" spans="26:26" x14ac:dyDescent="0.2">
      <c r="Z10213" t="str">
        <f t="shared" si="159"/>
        <v/>
      </c>
    </row>
    <row r="10214" spans="26:26" x14ac:dyDescent="0.2">
      <c r="Z10214" t="str">
        <f t="shared" si="159"/>
        <v/>
      </c>
    </row>
    <row r="10215" spans="26:26" x14ac:dyDescent="0.2">
      <c r="Z10215" t="str">
        <f t="shared" si="159"/>
        <v/>
      </c>
    </row>
    <row r="10216" spans="26:26" x14ac:dyDescent="0.2">
      <c r="Z10216" t="str">
        <f t="shared" si="159"/>
        <v/>
      </c>
    </row>
    <row r="10217" spans="26:26" x14ac:dyDescent="0.2">
      <c r="Z10217" t="str">
        <f t="shared" si="159"/>
        <v/>
      </c>
    </row>
    <row r="10218" spans="26:26" x14ac:dyDescent="0.2">
      <c r="Z10218" t="str">
        <f t="shared" si="159"/>
        <v/>
      </c>
    </row>
    <row r="10219" spans="26:26" x14ac:dyDescent="0.2">
      <c r="Z10219" t="str">
        <f t="shared" si="159"/>
        <v/>
      </c>
    </row>
    <row r="10220" spans="26:26" x14ac:dyDescent="0.2">
      <c r="Z10220" t="str">
        <f t="shared" si="159"/>
        <v/>
      </c>
    </row>
    <row r="10221" spans="26:26" x14ac:dyDescent="0.2">
      <c r="Z10221" t="str">
        <f t="shared" si="159"/>
        <v/>
      </c>
    </row>
    <row r="10222" spans="26:26" x14ac:dyDescent="0.2">
      <c r="Z10222" t="str">
        <f t="shared" si="159"/>
        <v/>
      </c>
    </row>
    <row r="10223" spans="26:26" x14ac:dyDescent="0.2">
      <c r="Z10223" t="str">
        <f t="shared" si="159"/>
        <v/>
      </c>
    </row>
    <row r="10224" spans="26:26" x14ac:dyDescent="0.2">
      <c r="Z10224" t="str">
        <f t="shared" si="159"/>
        <v/>
      </c>
    </row>
    <row r="10225" spans="26:26" x14ac:dyDescent="0.2">
      <c r="Z10225" t="str">
        <f t="shared" si="159"/>
        <v/>
      </c>
    </row>
    <row r="10226" spans="26:26" x14ac:dyDescent="0.2">
      <c r="Z10226" t="str">
        <f t="shared" si="159"/>
        <v/>
      </c>
    </row>
    <row r="10227" spans="26:26" x14ac:dyDescent="0.2">
      <c r="Z10227" t="str">
        <f t="shared" si="159"/>
        <v/>
      </c>
    </row>
    <row r="10228" spans="26:26" x14ac:dyDescent="0.2">
      <c r="Z10228" t="str">
        <f t="shared" si="159"/>
        <v/>
      </c>
    </row>
    <row r="10229" spans="26:26" x14ac:dyDescent="0.2">
      <c r="Z10229" t="str">
        <f t="shared" si="159"/>
        <v/>
      </c>
    </row>
    <row r="10230" spans="26:26" x14ac:dyDescent="0.2">
      <c r="Z10230" t="str">
        <f t="shared" si="159"/>
        <v/>
      </c>
    </row>
    <row r="10231" spans="26:26" x14ac:dyDescent="0.2">
      <c r="Z10231" t="str">
        <f t="shared" si="159"/>
        <v/>
      </c>
    </row>
    <row r="10232" spans="26:26" x14ac:dyDescent="0.2">
      <c r="Z10232" t="str">
        <f t="shared" si="159"/>
        <v/>
      </c>
    </row>
    <row r="10233" spans="26:26" x14ac:dyDescent="0.2">
      <c r="Z10233" t="str">
        <f t="shared" si="159"/>
        <v/>
      </c>
    </row>
    <row r="10234" spans="26:26" x14ac:dyDescent="0.2">
      <c r="Z10234" t="str">
        <f t="shared" si="159"/>
        <v/>
      </c>
    </row>
    <row r="10235" spans="26:26" x14ac:dyDescent="0.2">
      <c r="Z10235" t="str">
        <f t="shared" si="159"/>
        <v/>
      </c>
    </row>
    <row r="10236" spans="26:26" x14ac:dyDescent="0.2">
      <c r="Z10236" t="str">
        <f t="shared" si="159"/>
        <v/>
      </c>
    </row>
    <row r="10237" spans="26:26" x14ac:dyDescent="0.2">
      <c r="Z10237" t="str">
        <f t="shared" si="159"/>
        <v/>
      </c>
    </row>
    <row r="10238" spans="26:26" x14ac:dyDescent="0.2">
      <c r="Z10238" t="str">
        <f t="shared" si="159"/>
        <v/>
      </c>
    </row>
    <row r="10239" spans="26:26" x14ac:dyDescent="0.2">
      <c r="Z10239" t="str">
        <f t="shared" si="159"/>
        <v/>
      </c>
    </row>
    <row r="10240" spans="26:26" x14ac:dyDescent="0.2">
      <c r="Z10240" t="str">
        <f t="shared" si="159"/>
        <v/>
      </c>
    </row>
    <row r="10241" spans="26:26" x14ac:dyDescent="0.2">
      <c r="Z10241" t="str">
        <f t="shared" si="159"/>
        <v/>
      </c>
    </row>
    <row r="10242" spans="26:26" x14ac:dyDescent="0.2">
      <c r="Z10242" t="str">
        <f t="shared" si="159"/>
        <v/>
      </c>
    </row>
    <row r="10243" spans="26:26" x14ac:dyDescent="0.2">
      <c r="Z10243" t="str">
        <f t="shared" ref="Z10243:Z10306" si="160">IF(K10243="","",IFERROR(VALUE(TRIM(MID(K10243,FIND(CHAR(167),SUBSTITUTE(K10243,"-",CHAR(167),LEN(K10243)-LEN(SUBSTITUTE(K10243,"-",""))))+1,100))),K10243))</f>
        <v/>
      </c>
    </row>
    <row r="10244" spans="26:26" x14ac:dyDescent="0.2">
      <c r="Z10244" t="str">
        <f t="shared" si="160"/>
        <v/>
      </c>
    </row>
    <row r="10245" spans="26:26" x14ac:dyDescent="0.2">
      <c r="Z10245" t="str">
        <f t="shared" si="160"/>
        <v/>
      </c>
    </row>
    <row r="10246" spans="26:26" x14ac:dyDescent="0.2">
      <c r="Z10246" t="str">
        <f t="shared" si="160"/>
        <v/>
      </c>
    </row>
    <row r="10247" spans="26:26" x14ac:dyDescent="0.2">
      <c r="Z10247" t="str">
        <f t="shared" si="160"/>
        <v/>
      </c>
    </row>
    <row r="10248" spans="26:26" x14ac:dyDescent="0.2">
      <c r="Z10248" t="str">
        <f t="shared" si="160"/>
        <v/>
      </c>
    </row>
    <row r="10249" spans="26:26" x14ac:dyDescent="0.2">
      <c r="Z10249" t="str">
        <f t="shared" si="160"/>
        <v/>
      </c>
    </row>
    <row r="10250" spans="26:26" x14ac:dyDescent="0.2">
      <c r="Z10250" t="str">
        <f t="shared" si="160"/>
        <v/>
      </c>
    </row>
    <row r="10251" spans="26:26" x14ac:dyDescent="0.2">
      <c r="Z10251" t="str">
        <f t="shared" si="160"/>
        <v/>
      </c>
    </row>
    <row r="10252" spans="26:26" x14ac:dyDescent="0.2">
      <c r="Z10252" t="str">
        <f t="shared" si="160"/>
        <v/>
      </c>
    </row>
    <row r="10253" spans="26:26" x14ac:dyDescent="0.2">
      <c r="Z10253" t="str">
        <f t="shared" si="160"/>
        <v/>
      </c>
    </row>
    <row r="10254" spans="26:26" x14ac:dyDescent="0.2">
      <c r="Z10254" t="str">
        <f t="shared" si="160"/>
        <v/>
      </c>
    </row>
    <row r="10255" spans="26:26" x14ac:dyDescent="0.2">
      <c r="Z10255" t="str">
        <f t="shared" si="160"/>
        <v/>
      </c>
    </row>
    <row r="10256" spans="26:26" x14ac:dyDescent="0.2">
      <c r="Z10256" t="str">
        <f t="shared" si="160"/>
        <v/>
      </c>
    </row>
    <row r="10257" spans="26:26" x14ac:dyDescent="0.2">
      <c r="Z10257" t="str">
        <f t="shared" si="160"/>
        <v/>
      </c>
    </row>
    <row r="10258" spans="26:26" x14ac:dyDescent="0.2">
      <c r="Z10258" t="str">
        <f t="shared" si="160"/>
        <v/>
      </c>
    </row>
    <row r="10259" spans="26:26" x14ac:dyDescent="0.2">
      <c r="Z10259" t="str">
        <f t="shared" si="160"/>
        <v/>
      </c>
    </row>
    <row r="10260" spans="26:26" x14ac:dyDescent="0.2">
      <c r="Z10260" t="str">
        <f t="shared" si="160"/>
        <v/>
      </c>
    </row>
    <row r="10261" spans="26:26" x14ac:dyDescent="0.2">
      <c r="Z10261" t="str">
        <f t="shared" si="160"/>
        <v/>
      </c>
    </row>
    <row r="10262" spans="26:26" x14ac:dyDescent="0.2">
      <c r="Z10262" t="str">
        <f t="shared" si="160"/>
        <v/>
      </c>
    </row>
    <row r="10263" spans="26:26" x14ac:dyDescent="0.2">
      <c r="Z10263" t="str">
        <f t="shared" si="160"/>
        <v/>
      </c>
    </row>
    <row r="10264" spans="26:26" x14ac:dyDescent="0.2">
      <c r="Z10264" t="str">
        <f t="shared" si="160"/>
        <v/>
      </c>
    </row>
    <row r="10265" spans="26:26" x14ac:dyDescent="0.2">
      <c r="Z10265" t="str">
        <f t="shared" si="160"/>
        <v/>
      </c>
    </row>
    <row r="10266" spans="26:26" x14ac:dyDescent="0.2">
      <c r="Z10266" t="str">
        <f t="shared" si="160"/>
        <v/>
      </c>
    </row>
    <row r="10267" spans="26:26" x14ac:dyDescent="0.2">
      <c r="Z10267" t="str">
        <f t="shared" si="160"/>
        <v/>
      </c>
    </row>
    <row r="10268" spans="26:26" x14ac:dyDescent="0.2">
      <c r="Z10268" t="str">
        <f t="shared" si="160"/>
        <v/>
      </c>
    </row>
    <row r="10269" spans="26:26" x14ac:dyDescent="0.2">
      <c r="Z10269" t="str">
        <f t="shared" si="160"/>
        <v/>
      </c>
    </row>
    <row r="10270" spans="26:26" x14ac:dyDescent="0.2">
      <c r="Z10270" t="str">
        <f t="shared" si="160"/>
        <v/>
      </c>
    </row>
    <row r="10271" spans="26:26" x14ac:dyDescent="0.2">
      <c r="Z10271" t="str">
        <f t="shared" si="160"/>
        <v/>
      </c>
    </row>
    <row r="10272" spans="26:26" x14ac:dyDescent="0.2">
      <c r="Z10272" t="str">
        <f t="shared" si="160"/>
        <v/>
      </c>
    </row>
    <row r="10273" spans="26:26" x14ac:dyDescent="0.2">
      <c r="Z10273" t="str">
        <f t="shared" si="160"/>
        <v/>
      </c>
    </row>
    <row r="10274" spans="26:26" x14ac:dyDescent="0.2">
      <c r="Z10274" t="str">
        <f t="shared" si="160"/>
        <v/>
      </c>
    </row>
    <row r="10275" spans="26:26" x14ac:dyDescent="0.2">
      <c r="Z10275" t="str">
        <f t="shared" si="160"/>
        <v/>
      </c>
    </row>
    <row r="10276" spans="26:26" x14ac:dyDescent="0.2">
      <c r="Z10276" t="str">
        <f t="shared" si="160"/>
        <v/>
      </c>
    </row>
    <row r="10277" spans="26:26" x14ac:dyDescent="0.2">
      <c r="Z10277" t="str">
        <f t="shared" si="160"/>
        <v/>
      </c>
    </row>
    <row r="10278" spans="26:26" x14ac:dyDescent="0.2">
      <c r="Z10278" t="str">
        <f t="shared" si="160"/>
        <v/>
      </c>
    </row>
    <row r="10279" spans="26:26" x14ac:dyDescent="0.2">
      <c r="Z10279" t="str">
        <f t="shared" si="160"/>
        <v/>
      </c>
    </row>
    <row r="10280" spans="26:26" x14ac:dyDescent="0.2">
      <c r="Z10280" t="str">
        <f t="shared" si="160"/>
        <v/>
      </c>
    </row>
    <row r="10281" spans="26:26" x14ac:dyDescent="0.2">
      <c r="Z10281" t="str">
        <f t="shared" si="160"/>
        <v/>
      </c>
    </row>
    <row r="10282" spans="26:26" x14ac:dyDescent="0.2">
      <c r="Z10282" t="str">
        <f t="shared" si="160"/>
        <v/>
      </c>
    </row>
    <row r="10283" spans="26:26" x14ac:dyDescent="0.2">
      <c r="Z10283" t="str">
        <f t="shared" si="160"/>
        <v/>
      </c>
    </row>
    <row r="10284" spans="26:26" x14ac:dyDescent="0.2">
      <c r="Z10284" t="str">
        <f t="shared" si="160"/>
        <v/>
      </c>
    </row>
    <row r="10285" spans="26:26" x14ac:dyDescent="0.2">
      <c r="Z10285" t="str">
        <f t="shared" si="160"/>
        <v/>
      </c>
    </row>
    <row r="10286" spans="26:26" x14ac:dyDescent="0.2">
      <c r="Z10286" t="str">
        <f t="shared" si="160"/>
        <v/>
      </c>
    </row>
    <row r="10287" spans="26:26" x14ac:dyDescent="0.2">
      <c r="Z10287" t="str">
        <f t="shared" si="160"/>
        <v/>
      </c>
    </row>
    <row r="10288" spans="26:26" x14ac:dyDescent="0.2">
      <c r="Z10288" t="str">
        <f t="shared" si="160"/>
        <v/>
      </c>
    </row>
    <row r="10289" spans="26:26" x14ac:dyDescent="0.2">
      <c r="Z10289" t="str">
        <f t="shared" si="160"/>
        <v/>
      </c>
    </row>
    <row r="10290" spans="26:26" x14ac:dyDescent="0.2">
      <c r="Z10290" t="str">
        <f t="shared" si="160"/>
        <v/>
      </c>
    </row>
    <row r="10291" spans="26:26" x14ac:dyDescent="0.2">
      <c r="Z10291" t="str">
        <f t="shared" si="160"/>
        <v/>
      </c>
    </row>
    <row r="10292" spans="26:26" x14ac:dyDescent="0.2">
      <c r="Z10292" t="str">
        <f t="shared" si="160"/>
        <v/>
      </c>
    </row>
    <row r="10293" spans="26:26" x14ac:dyDescent="0.2">
      <c r="Z10293" t="str">
        <f t="shared" si="160"/>
        <v/>
      </c>
    </row>
    <row r="10294" spans="26:26" x14ac:dyDescent="0.2">
      <c r="Z10294" t="str">
        <f t="shared" si="160"/>
        <v/>
      </c>
    </row>
    <row r="10295" spans="26:26" x14ac:dyDescent="0.2">
      <c r="Z10295" t="str">
        <f t="shared" si="160"/>
        <v/>
      </c>
    </row>
    <row r="10296" spans="26:26" x14ac:dyDescent="0.2">
      <c r="Z10296" t="str">
        <f t="shared" si="160"/>
        <v/>
      </c>
    </row>
    <row r="10297" spans="26:26" x14ac:dyDescent="0.2">
      <c r="Z10297" t="str">
        <f t="shared" si="160"/>
        <v/>
      </c>
    </row>
    <row r="10298" spans="26:26" x14ac:dyDescent="0.2">
      <c r="Z10298" t="str">
        <f t="shared" si="160"/>
        <v/>
      </c>
    </row>
    <row r="10299" spans="26:26" x14ac:dyDescent="0.2">
      <c r="Z10299" t="str">
        <f t="shared" si="160"/>
        <v/>
      </c>
    </row>
    <row r="10300" spans="26:26" x14ac:dyDescent="0.2">
      <c r="Z10300" t="str">
        <f t="shared" si="160"/>
        <v/>
      </c>
    </row>
    <row r="10301" spans="26:26" x14ac:dyDescent="0.2">
      <c r="Z10301" t="str">
        <f t="shared" si="160"/>
        <v/>
      </c>
    </row>
    <row r="10302" spans="26:26" x14ac:dyDescent="0.2">
      <c r="Z10302" t="str">
        <f t="shared" si="160"/>
        <v/>
      </c>
    </row>
    <row r="10303" spans="26:26" x14ac:dyDescent="0.2">
      <c r="Z10303" t="str">
        <f t="shared" si="160"/>
        <v/>
      </c>
    </row>
    <row r="10304" spans="26:26" x14ac:dyDescent="0.2">
      <c r="Z10304" t="str">
        <f t="shared" si="160"/>
        <v/>
      </c>
    </row>
    <row r="10305" spans="26:26" x14ac:dyDescent="0.2">
      <c r="Z10305" t="str">
        <f t="shared" si="160"/>
        <v/>
      </c>
    </row>
    <row r="10306" spans="26:26" x14ac:dyDescent="0.2">
      <c r="Z10306" t="str">
        <f t="shared" si="160"/>
        <v/>
      </c>
    </row>
    <row r="10307" spans="26:26" x14ac:dyDescent="0.2">
      <c r="Z10307" t="str">
        <f t="shared" ref="Z10307:Z10370" si="161">IF(K10307="","",IFERROR(VALUE(TRIM(MID(K10307,FIND(CHAR(167),SUBSTITUTE(K10307,"-",CHAR(167),LEN(K10307)-LEN(SUBSTITUTE(K10307,"-",""))))+1,100))),K10307))</f>
        <v/>
      </c>
    </row>
    <row r="10308" spans="26:26" x14ac:dyDescent="0.2">
      <c r="Z10308" t="str">
        <f t="shared" si="161"/>
        <v/>
      </c>
    </row>
    <row r="10309" spans="26:26" x14ac:dyDescent="0.2">
      <c r="Z10309" t="str">
        <f t="shared" si="161"/>
        <v/>
      </c>
    </row>
    <row r="10310" spans="26:26" x14ac:dyDescent="0.2">
      <c r="Z10310" t="str">
        <f t="shared" si="161"/>
        <v/>
      </c>
    </row>
    <row r="10311" spans="26:26" x14ac:dyDescent="0.2">
      <c r="Z10311" t="str">
        <f t="shared" si="161"/>
        <v/>
      </c>
    </row>
    <row r="10312" spans="26:26" x14ac:dyDescent="0.2">
      <c r="Z10312" t="str">
        <f t="shared" si="161"/>
        <v/>
      </c>
    </row>
    <row r="10313" spans="26:26" x14ac:dyDescent="0.2">
      <c r="Z10313" t="str">
        <f t="shared" si="161"/>
        <v/>
      </c>
    </row>
    <row r="10314" spans="26:26" x14ac:dyDescent="0.2">
      <c r="Z10314" t="str">
        <f t="shared" si="161"/>
        <v/>
      </c>
    </row>
    <row r="10315" spans="26:26" x14ac:dyDescent="0.2">
      <c r="Z10315" t="str">
        <f t="shared" si="161"/>
        <v/>
      </c>
    </row>
    <row r="10316" spans="26:26" x14ac:dyDescent="0.2">
      <c r="Z10316" t="str">
        <f t="shared" si="161"/>
        <v/>
      </c>
    </row>
    <row r="10317" spans="26:26" x14ac:dyDescent="0.2">
      <c r="Z10317" t="str">
        <f t="shared" si="161"/>
        <v/>
      </c>
    </row>
    <row r="10318" spans="26:26" x14ac:dyDescent="0.2">
      <c r="Z10318" t="str">
        <f t="shared" si="161"/>
        <v/>
      </c>
    </row>
    <row r="10319" spans="26:26" x14ac:dyDescent="0.2">
      <c r="Z10319" t="str">
        <f t="shared" si="161"/>
        <v/>
      </c>
    </row>
    <row r="10320" spans="26:26" x14ac:dyDescent="0.2">
      <c r="Z10320" t="str">
        <f t="shared" si="161"/>
        <v/>
      </c>
    </row>
    <row r="10321" spans="26:26" x14ac:dyDescent="0.2">
      <c r="Z10321" t="str">
        <f t="shared" si="161"/>
        <v/>
      </c>
    </row>
    <row r="10322" spans="26:26" x14ac:dyDescent="0.2">
      <c r="Z10322" t="str">
        <f t="shared" si="161"/>
        <v/>
      </c>
    </row>
    <row r="10323" spans="26:26" x14ac:dyDescent="0.2">
      <c r="Z10323" t="str">
        <f t="shared" si="161"/>
        <v/>
      </c>
    </row>
    <row r="10324" spans="26:26" x14ac:dyDescent="0.2">
      <c r="Z10324" t="str">
        <f t="shared" si="161"/>
        <v/>
      </c>
    </row>
    <row r="10325" spans="26:26" x14ac:dyDescent="0.2">
      <c r="Z10325" t="str">
        <f t="shared" si="161"/>
        <v/>
      </c>
    </row>
    <row r="10326" spans="26:26" x14ac:dyDescent="0.2">
      <c r="Z10326" t="str">
        <f t="shared" si="161"/>
        <v/>
      </c>
    </row>
    <row r="10327" spans="26:26" x14ac:dyDescent="0.2">
      <c r="Z10327" t="str">
        <f t="shared" si="161"/>
        <v/>
      </c>
    </row>
    <row r="10328" spans="26:26" x14ac:dyDescent="0.2">
      <c r="Z10328" t="str">
        <f t="shared" si="161"/>
        <v/>
      </c>
    </row>
    <row r="10329" spans="26:26" x14ac:dyDescent="0.2">
      <c r="Z10329" t="str">
        <f t="shared" si="161"/>
        <v/>
      </c>
    </row>
    <row r="10330" spans="26:26" x14ac:dyDescent="0.2">
      <c r="Z10330" t="str">
        <f t="shared" si="161"/>
        <v/>
      </c>
    </row>
    <row r="10331" spans="26:26" x14ac:dyDescent="0.2">
      <c r="Z10331" t="str">
        <f t="shared" si="161"/>
        <v/>
      </c>
    </row>
    <row r="10332" spans="26:26" x14ac:dyDescent="0.2">
      <c r="Z10332" t="str">
        <f t="shared" si="161"/>
        <v/>
      </c>
    </row>
    <row r="10333" spans="26:26" x14ac:dyDescent="0.2">
      <c r="Z10333" t="str">
        <f t="shared" si="161"/>
        <v/>
      </c>
    </row>
    <row r="10334" spans="26:26" x14ac:dyDescent="0.2">
      <c r="Z10334" t="str">
        <f t="shared" si="161"/>
        <v/>
      </c>
    </row>
    <row r="10335" spans="26:26" x14ac:dyDescent="0.2">
      <c r="Z10335" t="str">
        <f t="shared" si="161"/>
        <v/>
      </c>
    </row>
    <row r="10336" spans="26:26" x14ac:dyDescent="0.2">
      <c r="Z10336" t="str">
        <f t="shared" si="161"/>
        <v/>
      </c>
    </row>
    <row r="10337" spans="26:26" x14ac:dyDescent="0.2">
      <c r="Z10337" t="str">
        <f t="shared" si="161"/>
        <v/>
      </c>
    </row>
    <row r="10338" spans="26:26" x14ac:dyDescent="0.2">
      <c r="Z10338" t="str">
        <f t="shared" si="161"/>
        <v/>
      </c>
    </row>
    <row r="10339" spans="26:26" x14ac:dyDescent="0.2">
      <c r="Z10339" t="str">
        <f t="shared" si="161"/>
        <v/>
      </c>
    </row>
    <row r="10340" spans="26:26" x14ac:dyDescent="0.2">
      <c r="Z10340" t="str">
        <f t="shared" si="161"/>
        <v/>
      </c>
    </row>
    <row r="10341" spans="26:26" x14ac:dyDescent="0.2">
      <c r="Z10341" t="str">
        <f t="shared" si="161"/>
        <v/>
      </c>
    </row>
    <row r="10342" spans="26:26" x14ac:dyDescent="0.2">
      <c r="Z10342" t="str">
        <f t="shared" si="161"/>
        <v/>
      </c>
    </row>
    <row r="10343" spans="26:26" x14ac:dyDescent="0.2">
      <c r="Z10343" t="str">
        <f t="shared" si="161"/>
        <v/>
      </c>
    </row>
    <row r="10344" spans="26:26" x14ac:dyDescent="0.2">
      <c r="Z10344" t="str">
        <f t="shared" si="161"/>
        <v/>
      </c>
    </row>
    <row r="10345" spans="26:26" x14ac:dyDescent="0.2">
      <c r="Z10345" t="str">
        <f t="shared" si="161"/>
        <v/>
      </c>
    </row>
    <row r="10346" spans="26:26" x14ac:dyDescent="0.2">
      <c r="Z10346" t="str">
        <f t="shared" si="161"/>
        <v/>
      </c>
    </row>
    <row r="10347" spans="26:26" x14ac:dyDescent="0.2">
      <c r="Z10347" t="str">
        <f t="shared" si="161"/>
        <v/>
      </c>
    </row>
    <row r="10348" spans="26:26" x14ac:dyDescent="0.2">
      <c r="Z10348" t="str">
        <f t="shared" si="161"/>
        <v/>
      </c>
    </row>
    <row r="10349" spans="26:26" x14ac:dyDescent="0.2">
      <c r="Z10349" t="str">
        <f t="shared" si="161"/>
        <v/>
      </c>
    </row>
    <row r="10350" spans="26:26" x14ac:dyDescent="0.2">
      <c r="Z10350" t="str">
        <f t="shared" si="161"/>
        <v/>
      </c>
    </row>
    <row r="10351" spans="26:26" x14ac:dyDescent="0.2">
      <c r="Z10351" t="str">
        <f t="shared" si="161"/>
        <v/>
      </c>
    </row>
    <row r="10352" spans="26:26" x14ac:dyDescent="0.2">
      <c r="Z10352" t="str">
        <f t="shared" si="161"/>
        <v/>
      </c>
    </row>
    <row r="10353" spans="26:26" x14ac:dyDescent="0.2">
      <c r="Z10353" t="str">
        <f t="shared" si="161"/>
        <v/>
      </c>
    </row>
    <row r="10354" spans="26:26" x14ac:dyDescent="0.2">
      <c r="Z10354" t="str">
        <f t="shared" si="161"/>
        <v/>
      </c>
    </row>
    <row r="10355" spans="26:26" x14ac:dyDescent="0.2">
      <c r="Z10355" t="str">
        <f t="shared" si="161"/>
        <v/>
      </c>
    </row>
    <row r="10356" spans="26:26" x14ac:dyDescent="0.2">
      <c r="Z10356" t="str">
        <f t="shared" si="161"/>
        <v/>
      </c>
    </row>
    <row r="10357" spans="26:26" x14ac:dyDescent="0.2">
      <c r="Z10357" t="str">
        <f t="shared" si="161"/>
        <v/>
      </c>
    </row>
    <row r="10358" spans="26:26" x14ac:dyDescent="0.2">
      <c r="Z10358" t="str">
        <f t="shared" si="161"/>
        <v/>
      </c>
    </row>
    <row r="10359" spans="26:26" x14ac:dyDescent="0.2">
      <c r="Z10359" t="str">
        <f t="shared" si="161"/>
        <v/>
      </c>
    </row>
    <row r="10360" spans="26:26" x14ac:dyDescent="0.2">
      <c r="Z10360" t="str">
        <f t="shared" si="161"/>
        <v/>
      </c>
    </row>
    <row r="10361" spans="26:26" x14ac:dyDescent="0.2">
      <c r="Z10361" t="str">
        <f t="shared" si="161"/>
        <v/>
      </c>
    </row>
    <row r="10362" spans="26:26" x14ac:dyDescent="0.2">
      <c r="Z10362" t="str">
        <f t="shared" si="161"/>
        <v/>
      </c>
    </row>
    <row r="10363" spans="26:26" x14ac:dyDescent="0.2">
      <c r="Z10363" t="str">
        <f t="shared" si="161"/>
        <v/>
      </c>
    </row>
    <row r="10364" spans="26:26" x14ac:dyDescent="0.2">
      <c r="Z10364" t="str">
        <f t="shared" si="161"/>
        <v/>
      </c>
    </row>
    <row r="10365" spans="26:26" x14ac:dyDescent="0.2">
      <c r="Z10365" t="str">
        <f t="shared" si="161"/>
        <v/>
      </c>
    </row>
    <row r="10366" spans="26:26" x14ac:dyDescent="0.2">
      <c r="Z10366" t="str">
        <f t="shared" si="161"/>
        <v/>
      </c>
    </row>
    <row r="10367" spans="26:26" x14ac:dyDescent="0.2">
      <c r="Z10367" t="str">
        <f t="shared" si="161"/>
        <v/>
      </c>
    </row>
    <row r="10368" spans="26:26" x14ac:dyDescent="0.2">
      <c r="Z10368" t="str">
        <f t="shared" si="161"/>
        <v/>
      </c>
    </row>
    <row r="10369" spans="26:26" x14ac:dyDescent="0.2">
      <c r="Z10369" t="str">
        <f t="shared" si="161"/>
        <v/>
      </c>
    </row>
    <row r="10370" spans="26:26" x14ac:dyDescent="0.2">
      <c r="Z10370" t="str">
        <f t="shared" si="161"/>
        <v/>
      </c>
    </row>
    <row r="10371" spans="26:26" x14ac:dyDescent="0.2">
      <c r="Z10371" t="str">
        <f t="shared" ref="Z10371:Z10434" si="162">IF(K10371="","",IFERROR(VALUE(TRIM(MID(K10371,FIND(CHAR(167),SUBSTITUTE(K10371,"-",CHAR(167),LEN(K10371)-LEN(SUBSTITUTE(K10371,"-",""))))+1,100))),K10371))</f>
        <v/>
      </c>
    </row>
    <row r="10372" spans="26:26" x14ac:dyDescent="0.2">
      <c r="Z10372" t="str">
        <f t="shared" si="162"/>
        <v/>
      </c>
    </row>
    <row r="10373" spans="26:26" x14ac:dyDescent="0.2">
      <c r="Z10373" t="str">
        <f t="shared" si="162"/>
        <v/>
      </c>
    </row>
    <row r="10374" spans="26:26" x14ac:dyDescent="0.2">
      <c r="Z10374" t="str">
        <f t="shared" si="162"/>
        <v/>
      </c>
    </row>
    <row r="10375" spans="26:26" x14ac:dyDescent="0.2">
      <c r="Z10375" t="str">
        <f t="shared" si="162"/>
        <v/>
      </c>
    </row>
    <row r="10376" spans="26:26" x14ac:dyDescent="0.2">
      <c r="Z10376" t="str">
        <f t="shared" si="162"/>
        <v/>
      </c>
    </row>
    <row r="10377" spans="26:26" x14ac:dyDescent="0.2">
      <c r="Z10377" t="str">
        <f t="shared" si="162"/>
        <v/>
      </c>
    </row>
    <row r="10378" spans="26:26" x14ac:dyDescent="0.2">
      <c r="Z10378" t="str">
        <f t="shared" si="162"/>
        <v/>
      </c>
    </row>
    <row r="10379" spans="26:26" x14ac:dyDescent="0.2">
      <c r="Z10379" t="str">
        <f t="shared" si="162"/>
        <v/>
      </c>
    </row>
    <row r="10380" spans="26:26" x14ac:dyDescent="0.2">
      <c r="Z10380" t="str">
        <f t="shared" si="162"/>
        <v/>
      </c>
    </row>
    <row r="10381" spans="26:26" x14ac:dyDescent="0.2">
      <c r="Z10381" t="str">
        <f t="shared" si="162"/>
        <v/>
      </c>
    </row>
    <row r="10382" spans="26:26" x14ac:dyDescent="0.2">
      <c r="Z10382" t="str">
        <f t="shared" si="162"/>
        <v/>
      </c>
    </row>
    <row r="10383" spans="26:26" x14ac:dyDescent="0.2">
      <c r="Z10383" t="str">
        <f t="shared" si="162"/>
        <v/>
      </c>
    </row>
    <row r="10384" spans="26:26" x14ac:dyDescent="0.2">
      <c r="Z10384" t="str">
        <f t="shared" si="162"/>
        <v/>
      </c>
    </row>
    <row r="10385" spans="26:26" x14ac:dyDescent="0.2">
      <c r="Z10385" t="str">
        <f t="shared" si="162"/>
        <v/>
      </c>
    </row>
    <row r="10386" spans="26:26" x14ac:dyDescent="0.2">
      <c r="Z10386" t="str">
        <f t="shared" si="162"/>
        <v/>
      </c>
    </row>
    <row r="10387" spans="26:26" x14ac:dyDescent="0.2">
      <c r="Z10387" t="str">
        <f t="shared" si="162"/>
        <v/>
      </c>
    </row>
    <row r="10388" spans="26:26" x14ac:dyDescent="0.2">
      <c r="Z10388" t="str">
        <f t="shared" si="162"/>
        <v/>
      </c>
    </row>
    <row r="10389" spans="26:26" x14ac:dyDescent="0.2">
      <c r="Z10389" t="str">
        <f t="shared" si="162"/>
        <v/>
      </c>
    </row>
    <row r="10390" spans="26:26" x14ac:dyDescent="0.2">
      <c r="Z10390" t="str">
        <f t="shared" si="162"/>
        <v/>
      </c>
    </row>
    <row r="10391" spans="26:26" x14ac:dyDescent="0.2">
      <c r="Z10391" t="str">
        <f t="shared" si="162"/>
        <v/>
      </c>
    </row>
    <row r="10392" spans="26:26" x14ac:dyDescent="0.2">
      <c r="Z10392" t="str">
        <f t="shared" si="162"/>
        <v/>
      </c>
    </row>
    <row r="10393" spans="26:26" x14ac:dyDescent="0.2">
      <c r="Z10393" t="str">
        <f t="shared" si="162"/>
        <v/>
      </c>
    </row>
    <row r="10394" spans="26:26" x14ac:dyDescent="0.2">
      <c r="Z10394" t="str">
        <f t="shared" si="162"/>
        <v/>
      </c>
    </row>
    <row r="10395" spans="26:26" x14ac:dyDescent="0.2">
      <c r="Z10395" t="str">
        <f t="shared" si="162"/>
        <v/>
      </c>
    </row>
    <row r="10396" spans="26:26" x14ac:dyDescent="0.2">
      <c r="Z10396" t="str">
        <f t="shared" si="162"/>
        <v/>
      </c>
    </row>
    <row r="10397" spans="26:26" x14ac:dyDescent="0.2">
      <c r="Z10397" t="str">
        <f t="shared" si="162"/>
        <v/>
      </c>
    </row>
    <row r="10398" spans="26:26" x14ac:dyDescent="0.2">
      <c r="Z10398" t="str">
        <f t="shared" si="162"/>
        <v/>
      </c>
    </row>
    <row r="10399" spans="26:26" x14ac:dyDescent="0.2">
      <c r="Z10399" t="str">
        <f t="shared" si="162"/>
        <v/>
      </c>
    </row>
    <row r="10400" spans="26:26" x14ac:dyDescent="0.2">
      <c r="Z10400" t="str">
        <f t="shared" si="162"/>
        <v/>
      </c>
    </row>
    <row r="10401" spans="26:26" x14ac:dyDescent="0.2">
      <c r="Z10401" t="str">
        <f t="shared" si="162"/>
        <v/>
      </c>
    </row>
    <row r="10402" spans="26:26" x14ac:dyDescent="0.2">
      <c r="Z10402" t="str">
        <f t="shared" si="162"/>
        <v/>
      </c>
    </row>
    <row r="10403" spans="26:26" x14ac:dyDescent="0.2">
      <c r="Z10403" t="str">
        <f t="shared" si="162"/>
        <v/>
      </c>
    </row>
    <row r="10404" spans="26:26" x14ac:dyDescent="0.2">
      <c r="Z10404" t="str">
        <f t="shared" si="162"/>
        <v/>
      </c>
    </row>
    <row r="10405" spans="26:26" x14ac:dyDescent="0.2">
      <c r="Z10405" t="str">
        <f t="shared" si="162"/>
        <v/>
      </c>
    </row>
    <row r="10406" spans="26:26" x14ac:dyDescent="0.2">
      <c r="Z10406" t="str">
        <f t="shared" si="162"/>
        <v/>
      </c>
    </row>
    <row r="10407" spans="26:26" x14ac:dyDescent="0.2">
      <c r="Z10407" t="str">
        <f t="shared" si="162"/>
        <v/>
      </c>
    </row>
    <row r="10408" spans="26:26" x14ac:dyDescent="0.2">
      <c r="Z10408" t="str">
        <f t="shared" si="162"/>
        <v/>
      </c>
    </row>
    <row r="10409" spans="26:26" x14ac:dyDescent="0.2">
      <c r="Z10409" t="str">
        <f t="shared" si="162"/>
        <v/>
      </c>
    </row>
    <row r="10410" spans="26:26" x14ac:dyDescent="0.2">
      <c r="Z10410" t="str">
        <f t="shared" si="162"/>
        <v/>
      </c>
    </row>
    <row r="10411" spans="26:26" x14ac:dyDescent="0.2">
      <c r="Z10411" t="str">
        <f t="shared" si="162"/>
        <v/>
      </c>
    </row>
    <row r="10412" spans="26:26" x14ac:dyDescent="0.2">
      <c r="Z10412" t="str">
        <f t="shared" si="162"/>
        <v/>
      </c>
    </row>
    <row r="10413" spans="26:26" x14ac:dyDescent="0.2">
      <c r="Z10413" t="str">
        <f t="shared" si="162"/>
        <v/>
      </c>
    </row>
    <row r="10414" spans="26:26" x14ac:dyDescent="0.2">
      <c r="Z10414" t="str">
        <f t="shared" si="162"/>
        <v/>
      </c>
    </row>
    <row r="10415" spans="26:26" x14ac:dyDescent="0.2">
      <c r="Z10415" t="str">
        <f t="shared" si="162"/>
        <v/>
      </c>
    </row>
    <row r="10416" spans="26:26" x14ac:dyDescent="0.2">
      <c r="Z10416" t="str">
        <f t="shared" si="162"/>
        <v/>
      </c>
    </row>
    <row r="10417" spans="26:26" x14ac:dyDescent="0.2">
      <c r="Z10417" t="str">
        <f t="shared" si="162"/>
        <v/>
      </c>
    </row>
    <row r="10418" spans="26:26" x14ac:dyDescent="0.2">
      <c r="Z10418" t="str">
        <f t="shared" si="162"/>
        <v/>
      </c>
    </row>
    <row r="10419" spans="26:26" x14ac:dyDescent="0.2">
      <c r="Z10419" t="str">
        <f t="shared" si="162"/>
        <v/>
      </c>
    </row>
    <row r="10420" spans="26:26" x14ac:dyDescent="0.2">
      <c r="Z10420" t="str">
        <f t="shared" si="162"/>
        <v/>
      </c>
    </row>
    <row r="10421" spans="26:26" x14ac:dyDescent="0.2">
      <c r="Z10421" t="str">
        <f t="shared" si="162"/>
        <v/>
      </c>
    </row>
    <row r="10422" spans="26:26" x14ac:dyDescent="0.2">
      <c r="Z10422" t="str">
        <f t="shared" si="162"/>
        <v/>
      </c>
    </row>
    <row r="10423" spans="26:26" x14ac:dyDescent="0.2">
      <c r="Z10423" t="str">
        <f t="shared" si="162"/>
        <v/>
      </c>
    </row>
    <row r="10424" spans="26:26" x14ac:dyDescent="0.2">
      <c r="Z10424" t="str">
        <f t="shared" si="162"/>
        <v/>
      </c>
    </row>
    <row r="10425" spans="26:26" x14ac:dyDescent="0.2">
      <c r="Z10425" t="str">
        <f t="shared" si="162"/>
        <v/>
      </c>
    </row>
    <row r="10426" spans="26:26" x14ac:dyDescent="0.2">
      <c r="Z10426" t="str">
        <f t="shared" si="162"/>
        <v/>
      </c>
    </row>
    <row r="10427" spans="26:26" x14ac:dyDescent="0.2">
      <c r="Z10427" t="str">
        <f t="shared" si="162"/>
        <v/>
      </c>
    </row>
    <row r="10428" spans="26:26" x14ac:dyDescent="0.2">
      <c r="Z10428" t="str">
        <f t="shared" si="162"/>
        <v/>
      </c>
    </row>
    <row r="10429" spans="26:26" x14ac:dyDescent="0.2">
      <c r="Z10429" t="str">
        <f t="shared" si="162"/>
        <v/>
      </c>
    </row>
    <row r="10430" spans="26:26" x14ac:dyDescent="0.2">
      <c r="Z10430" t="str">
        <f t="shared" si="162"/>
        <v/>
      </c>
    </row>
    <row r="10431" spans="26:26" x14ac:dyDescent="0.2">
      <c r="Z10431" t="str">
        <f t="shared" si="162"/>
        <v/>
      </c>
    </row>
    <row r="10432" spans="26:26" x14ac:dyDescent="0.2">
      <c r="Z10432" t="str">
        <f t="shared" si="162"/>
        <v/>
      </c>
    </row>
    <row r="10433" spans="26:26" x14ac:dyDescent="0.2">
      <c r="Z10433" t="str">
        <f t="shared" si="162"/>
        <v/>
      </c>
    </row>
    <row r="10434" spans="26:26" x14ac:dyDescent="0.2">
      <c r="Z10434" t="str">
        <f t="shared" si="162"/>
        <v/>
      </c>
    </row>
    <row r="10435" spans="26:26" x14ac:dyDescent="0.2">
      <c r="Z10435" t="str">
        <f t="shared" ref="Z10435:Z10498" si="163">IF(K10435="","",IFERROR(VALUE(TRIM(MID(K10435,FIND(CHAR(167),SUBSTITUTE(K10435,"-",CHAR(167),LEN(K10435)-LEN(SUBSTITUTE(K10435,"-",""))))+1,100))),K10435))</f>
        <v/>
      </c>
    </row>
    <row r="10436" spans="26:26" x14ac:dyDescent="0.2">
      <c r="Z10436" t="str">
        <f t="shared" si="163"/>
        <v/>
      </c>
    </row>
    <row r="10437" spans="26:26" x14ac:dyDescent="0.2">
      <c r="Z10437" t="str">
        <f t="shared" si="163"/>
        <v/>
      </c>
    </row>
    <row r="10438" spans="26:26" x14ac:dyDescent="0.2">
      <c r="Z10438" t="str">
        <f t="shared" si="163"/>
        <v/>
      </c>
    </row>
    <row r="10439" spans="26:26" x14ac:dyDescent="0.2">
      <c r="Z10439" t="str">
        <f t="shared" si="163"/>
        <v/>
      </c>
    </row>
    <row r="10440" spans="26:26" x14ac:dyDescent="0.2">
      <c r="Z10440" t="str">
        <f t="shared" si="163"/>
        <v/>
      </c>
    </row>
    <row r="10441" spans="26:26" x14ac:dyDescent="0.2">
      <c r="Z10441" t="str">
        <f t="shared" si="163"/>
        <v/>
      </c>
    </row>
    <row r="10442" spans="26:26" x14ac:dyDescent="0.2">
      <c r="Z10442" t="str">
        <f t="shared" si="163"/>
        <v/>
      </c>
    </row>
    <row r="10443" spans="26:26" x14ac:dyDescent="0.2">
      <c r="Z10443" t="str">
        <f t="shared" si="163"/>
        <v/>
      </c>
    </row>
    <row r="10444" spans="26:26" x14ac:dyDescent="0.2">
      <c r="Z10444" t="str">
        <f t="shared" si="163"/>
        <v/>
      </c>
    </row>
    <row r="10445" spans="26:26" x14ac:dyDescent="0.2">
      <c r="Z10445" t="str">
        <f t="shared" si="163"/>
        <v/>
      </c>
    </row>
    <row r="10446" spans="26:26" x14ac:dyDescent="0.2">
      <c r="Z10446" t="str">
        <f t="shared" si="163"/>
        <v/>
      </c>
    </row>
    <row r="10447" spans="26:26" x14ac:dyDescent="0.2">
      <c r="Z10447" t="str">
        <f t="shared" si="163"/>
        <v/>
      </c>
    </row>
    <row r="10448" spans="26:26" x14ac:dyDescent="0.2">
      <c r="Z10448" t="str">
        <f t="shared" si="163"/>
        <v/>
      </c>
    </row>
    <row r="10449" spans="26:26" x14ac:dyDescent="0.2">
      <c r="Z10449" t="str">
        <f t="shared" si="163"/>
        <v/>
      </c>
    </row>
    <row r="10450" spans="26:26" x14ac:dyDescent="0.2">
      <c r="Z10450" t="str">
        <f t="shared" si="163"/>
        <v/>
      </c>
    </row>
    <row r="10451" spans="26:26" x14ac:dyDescent="0.2">
      <c r="Z10451" t="str">
        <f t="shared" si="163"/>
        <v/>
      </c>
    </row>
    <row r="10452" spans="26:26" x14ac:dyDescent="0.2">
      <c r="Z10452" t="str">
        <f t="shared" si="163"/>
        <v/>
      </c>
    </row>
    <row r="10453" spans="26:26" x14ac:dyDescent="0.2">
      <c r="Z10453" t="str">
        <f t="shared" si="163"/>
        <v/>
      </c>
    </row>
    <row r="10454" spans="26:26" x14ac:dyDescent="0.2">
      <c r="Z10454" t="str">
        <f t="shared" si="163"/>
        <v/>
      </c>
    </row>
    <row r="10455" spans="26:26" x14ac:dyDescent="0.2">
      <c r="Z10455" t="str">
        <f t="shared" si="163"/>
        <v/>
      </c>
    </row>
    <row r="10456" spans="26:26" x14ac:dyDescent="0.2">
      <c r="Z10456" t="str">
        <f t="shared" si="163"/>
        <v/>
      </c>
    </row>
    <row r="10457" spans="26:26" x14ac:dyDescent="0.2">
      <c r="Z10457" t="str">
        <f t="shared" si="163"/>
        <v/>
      </c>
    </row>
    <row r="10458" spans="26:26" x14ac:dyDescent="0.2">
      <c r="Z10458" t="str">
        <f t="shared" si="163"/>
        <v/>
      </c>
    </row>
    <row r="10459" spans="26:26" x14ac:dyDescent="0.2">
      <c r="Z10459" t="str">
        <f t="shared" si="163"/>
        <v/>
      </c>
    </row>
    <row r="10460" spans="26:26" x14ac:dyDescent="0.2">
      <c r="Z10460" t="str">
        <f t="shared" si="163"/>
        <v/>
      </c>
    </row>
    <row r="10461" spans="26:26" x14ac:dyDescent="0.2">
      <c r="Z10461" t="str">
        <f t="shared" si="163"/>
        <v/>
      </c>
    </row>
    <row r="10462" spans="26:26" x14ac:dyDescent="0.2">
      <c r="Z10462" t="str">
        <f t="shared" si="163"/>
        <v/>
      </c>
    </row>
    <row r="10463" spans="26:26" x14ac:dyDescent="0.2">
      <c r="Z10463" t="str">
        <f t="shared" si="163"/>
        <v/>
      </c>
    </row>
    <row r="10464" spans="26:26" x14ac:dyDescent="0.2">
      <c r="Z10464" t="str">
        <f t="shared" si="163"/>
        <v/>
      </c>
    </row>
    <row r="10465" spans="26:26" x14ac:dyDescent="0.2">
      <c r="Z10465" t="str">
        <f t="shared" si="163"/>
        <v/>
      </c>
    </row>
    <row r="10466" spans="26:26" x14ac:dyDescent="0.2">
      <c r="Z10466" t="str">
        <f t="shared" si="163"/>
        <v/>
      </c>
    </row>
    <row r="10467" spans="26:26" x14ac:dyDescent="0.2">
      <c r="Z10467" t="str">
        <f t="shared" si="163"/>
        <v/>
      </c>
    </row>
    <row r="10468" spans="26:26" x14ac:dyDescent="0.2">
      <c r="Z10468" t="str">
        <f t="shared" si="163"/>
        <v/>
      </c>
    </row>
    <row r="10469" spans="26:26" x14ac:dyDescent="0.2">
      <c r="Z10469" t="str">
        <f t="shared" si="163"/>
        <v/>
      </c>
    </row>
    <row r="10470" spans="26:26" x14ac:dyDescent="0.2">
      <c r="Z10470" t="str">
        <f t="shared" si="163"/>
        <v/>
      </c>
    </row>
    <row r="10471" spans="26:26" x14ac:dyDescent="0.2">
      <c r="Z10471" t="str">
        <f t="shared" si="163"/>
        <v/>
      </c>
    </row>
    <row r="10472" spans="26:26" x14ac:dyDescent="0.2">
      <c r="Z10472" t="str">
        <f t="shared" si="163"/>
        <v/>
      </c>
    </row>
    <row r="10473" spans="26:26" x14ac:dyDescent="0.2">
      <c r="Z10473" t="str">
        <f t="shared" si="163"/>
        <v/>
      </c>
    </row>
    <row r="10474" spans="26:26" x14ac:dyDescent="0.2">
      <c r="Z10474" t="str">
        <f t="shared" si="163"/>
        <v/>
      </c>
    </row>
    <row r="10475" spans="26:26" x14ac:dyDescent="0.2">
      <c r="Z10475" t="str">
        <f t="shared" si="163"/>
        <v/>
      </c>
    </row>
    <row r="10476" spans="26:26" x14ac:dyDescent="0.2">
      <c r="Z10476" t="str">
        <f t="shared" si="163"/>
        <v/>
      </c>
    </row>
    <row r="10477" spans="26:26" x14ac:dyDescent="0.2">
      <c r="Z10477" t="str">
        <f t="shared" si="163"/>
        <v/>
      </c>
    </row>
    <row r="10478" spans="26:26" x14ac:dyDescent="0.2">
      <c r="Z10478" t="str">
        <f t="shared" si="163"/>
        <v/>
      </c>
    </row>
    <row r="10479" spans="26:26" x14ac:dyDescent="0.2">
      <c r="Z10479" t="str">
        <f t="shared" si="163"/>
        <v/>
      </c>
    </row>
    <row r="10480" spans="26:26" x14ac:dyDescent="0.2">
      <c r="Z10480" t="str">
        <f t="shared" si="163"/>
        <v/>
      </c>
    </row>
    <row r="10481" spans="26:26" x14ac:dyDescent="0.2">
      <c r="Z10481" t="str">
        <f t="shared" si="163"/>
        <v/>
      </c>
    </row>
    <row r="10482" spans="26:26" x14ac:dyDescent="0.2">
      <c r="Z10482" t="str">
        <f t="shared" si="163"/>
        <v/>
      </c>
    </row>
    <row r="10483" spans="26:26" x14ac:dyDescent="0.2">
      <c r="Z10483" t="str">
        <f t="shared" si="163"/>
        <v/>
      </c>
    </row>
    <row r="10484" spans="26:26" x14ac:dyDescent="0.2">
      <c r="Z10484" t="str">
        <f t="shared" si="163"/>
        <v/>
      </c>
    </row>
    <row r="10485" spans="26:26" x14ac:dyDescent="0.2">
      <c r="Z10485" t="str">
        <f t="shared" si="163"/>
        <v/>
      </c>
    </row>
    <row r="10486" spans="26:26" x14ac:dyDescent="0.2">
      <c r="Z10486" t="str">
        <f t="shared" si="163"/>
        <v/>
      </c>
    </row>
    <row r="10487" spans="26:26" x14ac:dyDescent="0.2">
      <c r="Z10487" t="str">
        <f t="shared" si="163"/>
        <v/>
      </c>
    </row>
    <row r="10488" spans="26:26" x14ac:dyDescent="0.2">
      <c r="Z10488" t="str">
        <f t="shared" si="163"/>
        <v/>
      </c>
    </row>
    <row r="10489" spans="26:26" x14ac:dyDescent="0.2">
      <c r="Z10489" t="str">
        <f t="shared" si="163"/>
        <v/>
      </c>
    </row>
    <row r="10490" spans="26:26" x14ac:dyDescent="0.2">
      <c r="Z10490" t="str">
        <f t="shared" si="163"/>
        <v/>
      </c>
    </row>
    <row r="10491" spans="26:26" x14ac:dyDescent="0.2">
      <c r="Z10491" t="str">
        <f t="shared" si="163"/>
        <v/>
      </c>
    </row>
    <row r="10492" spans="26:26" x14ac:dyDescent="0.2">
      <c r="Z10492" t="str">
        <f t="shared" si="163"/>
        <v/>
      </c>
    </row>
    <row r="10493" spans="26:26" x14ac:dyDescent="0.2">
      <c r="Z10493" t="str">
        <f t="shared" si="163"/>
        <v/>
      </c>
    </row>
    <row r="10494" spans="26:26" x14ac:dyDescent="0.2">
      <c r="Z10494" t="str">
        <f t="shared" si="163"/>
        <v/>
      </c>
    </row>
    <row r="10495" spans="26:26" x14ac:dyDescent="0.2">
      <c r="Z10495" t="str">
        <f t="shared" si="163"/>
        <v/>
      </c>
    </row>
    <row r="10496" spans="26:26" x14ac:dyDescent="0.2">
      <c r="Z10496" t="str">
        <f t="shared" si="163"/>
        <v/>
      </c>
    </row>
    <row r="10497" spans="26:26" x14ac:dyDescent="0.2">
      <c r="Z10497" t="str">
        <f t="shared" si="163"/>
        <v/>
      </c>
    </row>
    <row r="10498" spans="26:26" x14ac:dyDescent="0.2">
      <c r="Z10498" t="str">
        <f t="shared" si="163"/>
        <v/>
      </c>
    </row>
    <row r="10499" spans="26:26" x14ac:dyDescent="0.2">
      <c r="Z10499" t="str">
        <f t="shared" ref="Z10499:Z10562" si="164">IF(K10499="","",IFERROR(VALUE(TRIM(MID(K10499,FIND(CHAR(167),SUBSTITUTE(K10499,"-",CHAR(167),LEN(K10499)-LEN(SUBSTITUTE(K10499,"-",""))))+1,100))),K10499))</f>
        <v/>
      </c>
    </row>
    <row r="10500" spans="26:26" x14ac:dyDescent="0.2">
      <c r="Z10500" t="str">
        <f t="shared" si="164"/>
        <v/>
      </c>
    </row>
    <row r="10501" spans="26:26" x14ac:dyDescent="0.2">
      <c r="Z10501" t="str">
        <f t="shared" si="164"/>
        <v/>
      </c>
    </row>
    <row r="10502" spans="26:26" x14ac:dyDescent="0.2">
      <c r="Z10502" t="str">
        <f t="shared" si="164"/>
        <v/>
      </c>
    </row>
    <row r="10503" spans="26:26" x14ac:dyDescent="0.2">
      <c r="Z10503" t="str">
        <f t="shared" si="164"/>
        <v/>
      </c>
    </row>
    <row r="10504" spans="26:26" x14ac:dyDescent="0.2">
      <c r="Z10504" t="str">
        <f t="shared" si="164"/>
        <v/>
      </c>
    </row>
    <row r="10505" spans="26:26" x14ac:dyDescent="0.2">
      <c r="Z10505" t="str">
        <f t="shared" si="164"/>
        <v/>
      </c>
    </row>
    <row r="10506" spans="26:26" x14ac:dyDescent="0.2">
      <c r="Z10506" t="str">
        <f t="shared" si="164"/>
        <v/>
      </c>
    </row>
    <row r="10507" spans="26:26" x14ac:dyDescent="0.2">
      <c r="Z10507" t="str">
        <f t="shared" si="164"/>
        <v/>
      </c>
    </row>
    <row r="10508" spans="26:26" x14ac:dyDescent="0.2">
      <c r="Z10508" t="str">
        <f t="shared" si="164"/>
        <v/>
      </c>
    </row>
    <row r="10509" spans="26:26" x14ac:dyDescent="0.2">
      <c r="Z10509" t="str">
        <f t="shared" si="164"/>
        <v/>
      </c>
    </row>
    <row r="10510" spans="26:26" x14ac:dyDescent="0.2">
      <c r="Z10510" t="str">
        <f t="shared" si="164"/>
        <v/>
      </c>
    </row>
    <row r="10511" spans="26:26" x14ac:dyDescent="0.2">
      <c r="Z10511" t="str">
        <f t="shared" si="164"/>
        <v/>
      </c>
    </row>
    <row r="10512" spans="26:26" x14ac:dyDescent="0.2">
      <c r="Z10512" t="str">
        <f t="shared" si="164"/>
        <v/>
      </c>
    </row>
    <row r="10513" spans="26:26" x14ac:dyDescent="0.2">
      <c r="Z10513" t="str">
        <f t="shared" si="164"/>
        <v/>
      </c>
    </row>
    <row r="10514" spans="26:26" x14ac:dyDescent="0.2">
      <c r="Z10514" t="str">
        <f t="shared" si="164"/>
        <v/>
      </c>
    </row>
    <row r="10515" spans="26:26" x14ac:dyDescent="0.2">
      <c r="Z10515" t="str">
        <f t="shared" si="164"/>
        <v/>
      </c>
    </row>
    <row r="10516" spans="26:26" x14ac:dyDescent="0.2">
      <c r="Z10516" t="str">
        <f t="shared" si="164"/>
        <v/>
      </c>
    </row>
    <row r="10517" spans="26:26" x14ac:dyDescent="0.2">
      <c r="Z10517" t="str">
        <f t="shared" si="164"/>
        <v/>
      </c>
    </row>
    <row r="10518" spans="26:26" x14ac:dyDescent="0.2">
      <c r="Z10518" t="str">
        <f t="shared" si="164"/>
        <v/>
      </c>
    </row>
    <row r="10519" spans="26:26" x14ac:dyDescent="0.2">
      <c r="Z10519" t="str">
        <f t="shared" si="164"/>
        <v/>
      </c>
    </row>
    <row r="10520" spans="26:26" x14ac:dyDescent="0.2">
      <c r="Z10520" t="str">
        <f t="shared" si="164"/>
        <v/>
      </c>
    </row>
    <row r="10521" spans="26:26" x14ac:dyDescent="0.2">
      <c r="Z10521" t="str">
        <f t="shared" si="164"/>
        <v/>
      </c>
    </row>
    <row r="10522" spans="26:26" x14ac:dyDescent="0.2">
      <c r="Z10522" t="str">
        <f t="shared" si="164"/>
        <v/>
      </c>
    </row>
    <row r="10523" spans="26:26" x14ac:dyDescent="0.2">
      <c r="Z10523" t="str">
        <f t="shared" si="164"/>
        <v/>
      </c>
    </row>
    <row r="10524" spans="26:26" x14ac:dyDescent="0.2">
      <c r="Z10524" t="str">
        <f t="shared" si="164"/>
        <v/>
      </c>
    </row>
    <row r="10525" spans="26:26" x14ac:dyDescent="0.2">
      <c r="Z10525" t="str">
        <f t="shared" si="164"/>
        <v/>
      </c>
    </row>
    <row r="10526" spans="26:26" x14ac:dyDescent="0.2">
      <c r="Z10526" t="str">
        <f t="shared" si="164"/>
        <v/>
      </c>
    </row>
    <row r="10527" spans="26:26" x14ac:dyDescent="0.2">
      <c r="Z10527" t="str">
        <f t="shared" si="164"/>
        <v/>
      </c>
    </row>
    <row r="10528" spans="26:26" x14ac:dyDescent="0.2">
      <c r="Z10528" t="str">
        <f t="shared" si="164"/>
        <v/>
      </c>
    </row>
    <row r="10529" spans="26:26" x14ac:dyDescent="0.2">
      <c r="Z10529" t="str">
        <f t="shared" si="164"/>
        <v/>
      </c>
    </row>
    <row r="10530" spans="26:26" x14ac:dyDescent="0.2">
      <c r="Z10530" t="str">
        <f t="shared" si="164"/>
        <v/>
      </c>
    </row>
    <row r="10531" spans="26:26" x14ac:dyDescent="0.2">
      <c r="Z10531" t="str">
        <f t="shared" si="164"/>
        <v/>
      </c>
    </row>
    <row r="10532" spans="26:26" x14ac:dyDescent="0.2">
      <c r="Z10532" t="str">
        <f t="shared" si="164"/>
        <v/>
      </c>
    </row>
    <row r="10533" spans="26:26" x14ac:dyDescent="0.2">
      <c r="Z10533" t="str">
        <f t="shared" si="164"/>
        <v/>
      </c>
    </row>
    <row r="10534" spans="26:26" x14ac:dyDescent="0.2">
      <c r="Z10534" t="str">
        <f t="shared" si="164"/>
        <v/>
      </c>
    </row>
    <row r="10535" spans="26:26" x14ac:dyDescent="0.2">
      <c r="Z10535" t="str">
        <f t="shared" si="164"/>
        <v/>
      </c>
    </row>
    <row r="10536" spans="26:26" x14ac:dyDescent="0.2">
      <c r="Z10536" t="str">
        <f t="shared" si="164"/>
        <v/>
      </c>
    </row>
    <row r="10537" spans="26:26" x14ac:dyDescent="0.2">
      <c r="Z10537" t="str">
        <f t="shared" si="164"/>
        <v/>
      </c>
    </row>
    <row r="10538" spans="26:26" x14ac:dyDescent="0.2">
      <c r="Z10538" t="str">
        <f t="shared" si="164"/>
        <v/>
      </c>
    </row>
    <row r="10539" spans="26:26" x14ac:dyDescent="0.2">
      <c r="Z10539" t="str">
        <f t="shared" si="164"/>
        <v/>
      </c>
    </row>
    <row r="10540" spans="26:26" x14ac:dyDescent="0.2">
      <c r="Z10540" t="str">
        <f t="shared" si="164"/>
        <v/>
      </c>
    </row>
    <row r="10541" spans="26:26" x14ac:dyDescent="0.2">
      <c r="Z10541" t="str">
        <f t="shared" si="164"/>
        <v/>
      </c>
    </row>
    <row r="10542" spans="26:26" x14ac:dyDescent="0.2">
      <c r="Z10542" t="str">
        <f t="shared" si="164"/>
        <v/>
      </c>
    </row>
    <row r="10543" spans="26:26" x14ac:dyDescent="0.2">
      <c r="Z10543" t="str">
        <f t="shared" si="164"/>
        <v/>
      </c>
    </row>
    <row r="10544" spans="26:26" x14ac:dyDescent="0.2">
      <c r="Z10544" t="str">
        <f t="shared" si="164"/>
        <v/>
      </c>
    </row>
    <row r="10545" spans="26:26" x14ac:dyDescent="0.2">
      <c r="Z10545" t="str">
        <f t="shared" si="164"/>
        <v/>
      </c>
    </row>
    <row r="10546" spans="26:26" x14ac:dyDescent="0.2">
      <c r="Z10546" t="str">
        <f t="shared" si="164"/>
        <v/>
      </c>
    </row>
    <row r="10547" spans="26:26" x14ac:dyDescent="0.2">
      <c r="Z10547" t="str">
        <f t="shared" si="164"/>
        <v/>
      </c>
    </row>
    <row r="10548" spans="26:26" x14ac:dyDescent="0.2">
      <c r="Z10548" t="str">
        <f t="shared" si="164"/>
        <v/>
      </c>
    </row>
    <row r="10549" spans="26:26" x14ac:dyDescent="0.2">
      <c r="Z10549" t="str">
        <f t="shared" si="164"/>
        <v/>
      </c>
    </row>
    <row r="10550" spans="26:26" x14ac:dyDescent="0.2">
      <c r="Z10550" t="str">
        <f t="shared" si="164"/>
        <v/>
      </c>
    </row>
    <row r="10551" spans="26:26" x14ac:dyDescent="0.2">
      <c r="Z10551" t="str">
        <f t="shared" si="164"/>
        <v/>
      </c>
    </row>
    <row r="10552" spans="26:26" x14ac:dyDescent="0.2">
      <c r="Z10552" t="str">
        <f t="shared" si="164"/>
        <v/>
      </c>
    </row>
    <row r="10553" spans="26:26" x14ac:dyDescent="0.2">
      <c r="Z10553" t="str">
        <f t="shared" si="164"/>
        <v/>
      </c>
    </row>
    <row r="10554" spans="26:26" x14ac:dyDescent="0.2">
      <c r="Z10554" t="str">
        <f t="shared" si="164"/>
        <v/>
      </c>
    </row>
    <row r="10555" spans="26:26" x14ac:dyDescent="0.2">
      <c r="Z10555" t="str">
        <f t="shared" si="164"/>
        <v/>
      </c>
    </row>
    <row r="10556" spans="26:26" x14ac:dyDescent="0.2">
      <c r="Z10556" t="str">
        <f t="shared" si="164"/>
        <v/>
      </c>
    </row>
    <row r="10557" spans="26:26" x14ac:dyDescent="0.2">
      <c r="Z10557" t="str">
        <f t="shared" si="164"/>
        <v/>
      </c>
    </row>
    <row r="10558" spans="26:26" x14ac:dyDescent="0.2">
      <c r="Z10558" t="str">
        <f t="shared" si="164"/>
        <v/>
      </c>
    </row>
    <row r="10559" spans="26:26" x14ac:dyDescent="0.2">
      <c r="Z10559" t="str">
        <f t="shared" si="164"/>
        <v/>
      </c>
    </row>
    <row r="10560" spans="26:26" x14ac:dyDescent="0.2">
      <c r="Z10560" t="str">
        <f t="shared" si="164"/>
        <v/>
      </c>
    </row>
    <row r="10561" spans="26:26" x14ac:dyDescent="0.2">
      <c r="Z10561" t="str">
        <f t="shared" si="164"/>
        <v/>
      </c>
    </row>
    <row r="10562" spans="26:26" x14ac:dyDescent="0.2">
      <c r="Z10562" t="str">
        <f t="shared" si="164"/>
        <v/>
      </c>
    </row>
    <row r="10563" spans="26:26" x14ac:dyDescent="0.2">
      <c r="Z10563" t="str">
        <f t="shared" ref="Z10563:Z10626" si="165">IF(K10563="","",IFERROR(VALUE(TRIM(MID(K10563,FIND(CHAR(167),SUBSTITUTE(K10563,"-",CHAR(167),LEN(K10563)-LEN(SUBSTITUTE(K10563,"-",""))))+1,100))),K10563))</f>
        <v/>
      </c>
    </row>
    <row r="10564" spans="26:26" x14ac:dyDescent="0.2">
      <c r="Z10564" t="str">
        <f t="shared" si="165"/>
        <v/>
      </c>
    </row>
    <row r="10565" spans="26:26" x14ac:dyDescent="0.2">
      <c r="Z10565" t="str">
        <f t="shared" si="165"/>
        <v/>
      </c>
    </row>
    <row r="10566" spans="26:26" x14ac:dyDescent="0.2">
      <c r="Z10566" t="str">
        <f t="shared" si="165"/>
        <v/>
      </c>
    </row>
    <row r="10567" spans="26:26" x14ac:dyDescent="0.2">
      <c r="Z10567" t="str">
        <f t="shared" si="165"/>
        <v/>
      </c>
    </row>
    <row r="10568" spans="26:26" x14ac:dyDescent="0.2">
      <c r="Z10568" t="str">
        <f t="shared" si="165"/>
        <v/>
      </c>
    </row>
    <row r="10569" spans="26:26" x14ac:dyDescent="0.2">
      <c r="Z10569" t="str">
        <f t="shared" si="165"/>
        <v/>
      </c>
    </row>
    <row r="10570" spans="26:26" x14ac:dyDescent="0.2">
      <c r="Z10570" t="str">
        <f t="shared" si="165"/>
        <v/>
      </c>
    </row>
    <row r="10571" spans="26:26" x14ac:dyDescent="0.2">
      <c r="Z10571" t="str">
        <f t="shared" si="165"/>
        <v/>
      </c>
    </row>
    <row r="10572" spans="26:26" x14ac:dyDescent="0.2">
      <c r="Z10572" t="str">
        <f t="shared" si="165"/>
        <v/>
      </c>
    </row>
    <row r="10573" spans="26:26" x14ac:dyDescent="0.2">
      <c r="Z10573" t="str">
        <f t="shared" si="165"/>
        <v/>
      </c>
    </row>
    <row r="10574" spans="26:26" x14ac:dyDescent="0.2">
      <c r="Z10574" t="str">
        <f t="shared" si="165"/>
        <v/>
      </c>
    </row>
    <row r="10575" spans="26:26" x14ac:dyDescent="0.2">
      <c r="Z10575" t="str">
        <f t="shared" si="165"/>
        <v/>
      </c>
    </row>
    <row r="10576" spans="26:26" x14ac:dyDescent="0.2">
      <c r="Z10576" t="str">
        <f t="shared" si="165"/>
        <v/>
      </c>
    </row>
    <row r="10577" spans="26:26" x14ac:dyDescent="0.2">
      <c r="Z10577" t="str">
        <f t="shared" si="165"/>
        <v/>
      </c>
    </row>
    <row r="10578" spans="26:26" x14ac:dyDescent="0.2">
      <c r="Z10578" t="str">
        <f t="shared" si="165"/>
        <v/>
      </c>
    </row>
    <row r="10579" spans="26:26" x14ac:dyDescent="0.2">
      <c r="Z10579" t="str">
        <f t="shared" si="165"/>
        <v/>
      </c>
    </row>
    <row r="10580" spans="26:26" x14ac:dyDescent="0.2">
      <c r="Z10580" t="str">
        <f t="shared" si="165"/>
        <v/>
      </c>
    </row>
    <row r="10581" spans="26:26" x14ac:dyDescent="0.2">
      <c r="Z10581" t="str">
        <f t="shared" si="165"/>
        <v/>
      </c>
    </row>
    <row r="10582" spans="26:26" x14ac:dyDescent="0.2">
      <c r="Z10582" t="str">
        <f t="shared" si="165"/>
        <v/>
      </c>
    </row>
    <row r="10583" spans="26:26" x14ac:dyDescent="0.2">
      <c r="Z10583" t="str">
        <f t="shared" si="165"/>
        <v/>
      </c>
    </row>
    <row r="10584" spans="26:26" x14ac:dyDescent="0.2">
      <c r="Z10584" t="str">
        <f t="shared" si="165"/>
        <v/>
      </c>
    </row>
    <row r="10585" spans="26:26" x14ac:dyDescent="0.2">
      <c r="Z10585" t="str">
        <f t="shared" si="165"/>
        <v/>
      </c>
    </row>
    <row r="10586" spans="26:26" x14ac:dyDescent="0.2">
      <c r="Z10586" t="str">
        <f t="shared" si="165"/>
        <v/>
      </c>
    </row>
    <row r="10587" spans="26:26" x14ac:dyDescent="0.2">
      <c r="Z10587" t="str">
        <f t="shared" si="165"/>
        <v/>
      </c>
    </row>
    <row r="10588" spans="26:26" x14ac:dyDescent="0.2">
      <c r="Z10588" t="str">
        <f t="shared" si="165"/>
        <v/>
      </c>
    </row>
    <row r="10589" spans="26:26" x14ac:dyDescent="0.2">
      <c r="Z10589" t="str">
        <f t="shared" si="165"/>
        <v/>
      </c>
    </row>
    <row r="10590" spans="26:26" x14ac:dyDescent="0.2">
      <c r="Z10590" t="str">
        <f t="shared" si="165"/>
        <v/>
      </c>
    </row>
    <row r="10591" spans="26:26" x14ac:dyDescent="0.2">
      <c r="Z10591" t="str">
        <f t="shared" si="165"/>
        <v/>
      </c>
    </row>
    <row r="10592" spans="26:26" x14ac:dyDescent="0.2">
      <c r="Z10592" t="str">
        <f t="shared" si="165"/>
        <v/>
      </c>
    </row>
    <row r="10593" spans="26:26" x14ac:dyDescent="0.2">
      <c r="Z10593" t="str">
        <f t="shared" si="165"/>
        <v/>
      </c>
    </row>
    <row r="10594" spans="26:26" x14ac:dyDescent="0.2">
      <c r="Z10594" t="str">
        <f t="shared" si="165"/>
        <v/>
      </c>
    </row>
    <row r="10595" spans="26:26" x14ac:dyDescent="0.2">
      <c r="Z10595" t="str">
        <f t="shared" si="165"/>
        <v/>
      </c>
    </row>
    <row r="10596" spans="26:26" x14ac:dyDescent="0.2">
      <c r="Z10596" t="str">
        <f t="shared" si="165"/>
        <v/>
      </c>
    </row>
    <row r="10597" spans="26:26" x14ac:dyDescent="0.2">
      <c r="Z10597" t="str">
        <f t="shared" si="165"/>
        <v/>
      </c>
    </row>
    <row r="10598" spans="26:26" x14ac:dyDescent="0.2">
      <c r="Z10598" t="str">
        <f t="shared" si="165"/>
        <v/>
      </c>
    </row>
    <row r="10599" spans="26:26" x14ac:dyDescent="0.2">
      <c r="Z10599" t="str">
        <f t="shared" si="165"/>
        <v/>
      </c>
    </row>
    <row r="10600" spans="26:26" x14ac:dyDescent="0.2">
      <c r="Z10600" t="str">
        <f t="shared" si="165"/>
        <v/>
      </c>
    </row>
    <row r="10601" spans="26:26" x14ac:dyDescent="0.2">
      <c r="Z10601" t="str">
        <f t="shared" si="165"/>
        <v/>
      </c>
    </row>
    <row r="10602" spans="26:26" x14ac:dyDescent="0.2">
      <c r="Z10602" t="str">
        <f t="shared" si="165"/>
        <v/>
      </c>
    </row>
    <row r="10603" spans="26:26" x14ac:dyDescent="0.2">
      <c r="Z10603" t="str">
        <f t="shared" si="165"/>
        <v/>
      </c>
    </row>
    <row r="10604" spans="26:26" x14ac:dyDescent="0.2">
      <c r="Z10604" t="str">
        <f t="shared" si="165"/>
        <v/>
      </c>
    </row>
    <row r="10605" spans="26:26" x14ac:dyDescent="0.2">
      <c r="Z10605" t="str">
        <f t="shared" si="165"/>
        <v/>
      </c>
    </row>
    <row r="10606" spans="26:26" x14ac:dyDescent="0.2">
      <c r="Z10606" t="str">
        <f t="shared" si="165"/>
        <v/>
      </c>
    </row>
    <row r="10607" spans="26:26" x14ac:dyDescent="0.2">
      <c r="Z10607" t="str">
        <f t="shared" si="165"/>
        <v/>
      </c>
    </row>
    <row r="10608" spans="26:26" x14ac:dyDescent="0.2">
      <c r="Z10608" t="str">
        <f t="shared" si="165"/>
        <v/>
      </c>
    </row>
    <row r="10609" spans="26:26" x14ac:dyDescent="0.2">
      <c r="Z10609" t="str">
        <f t="shared" si="165"/>
        <v/>
      </c>
    </row>
    <row r="10610" spans="26:26" x14ac:dyDescent="0.2">
      <c r="Z10610" t="str">
        <f t="shared" si="165"/>
        <v/>
      </c>
    </row>
    <row r="10611" spans="26:26" x14ac:dyDescent="0.2">
      <c r="Z10611" t="str">
        <f t="shared" si="165"/>
        <v/>
      </c>
    </row>
    <row r="10612" spans="26:26" x14ac:dyDescent="0.2">
      <c r="Z10612" t="str">
        <f t="shared" si="165"/>
        <v/>
      </c>
    </row>
    <row r="10613" spans="26:26" x14ac:dyDescent="0.2">
      <c r="Z10613" t="str">
        <f t="shared" si="165"/>
        <v/>
      </c>
    </row>
    <row r="10614" spans="26:26" x14ac:dyDescent="0.2">
      <c r="Z10614" t="str">
        <f t="shared" si="165"/>
        <v/>
      </c>
    </row>
    <row r="10615" spans="26:26" x14ac:dyDescent="0.2">
      <c r="Z10615" t="str">
        <f t="shared" si="165"/>
        <v/>
      </c>
    </row>
    <row r="10616" spans="26:26" x14ac:dyDescent="0.2">
      <c r="Z10616" t="str">
        <f t="shared" si="165"/>
        <v/>
      </c>
    </row>
    <row r="10617" spans="26:26" x14ac:dyDescent="0.2">
      <c r="Z10617" t="str">
        <f t="shared" si="165"/>
        <v/>
      </c>
    </row>
    <row r="10618" spans="26:26" x14ac:dyDescent="0.2">
      <c r="Z10618" t="str">
        <f t="shared" si="165"/>
        <v/>
      </c>
    </row>
    <row r="10619" spans="26:26" x14ac:dyDescent="0.2">
      <c r="Z10619" t="str">
        <f t="shared" si="165"/>
        <v/>
      </c>
    </row>
    <row r="10620" spans="26:26" x14ac:dyDescent="0.2">
      <c r="Z10620" t="str">
        <f t="shared" si="165"/>
        <v/>
      </c>
    </row>
    <row r="10621" spans="26:26" x14ac:dyDescent="0.2">
      <c r="Z10621" t="str">
        <f t="shared" si="165"/>
        <v/>
      </c>
    </row>
    <row r="10622" spans="26:26" x14ac:dyDescent="0.2">
      <c r="Z10622" t="str">
        <f t="shared" si="165"/>
        <v/>
      </c>
    </row>
    <row r="10623" spans="26:26" x14ac:dyDescent="0.2">
      <c r="Z10623" t="str">
        <f t="shared" si="165"/>
        <v/>
      </c>
    </row>
    <row r="10624" spans="26:26" x14ac:dyDescent="0.2">
      <c r="Z10624" t="str">
        <f t="shared" si="165"/>
        <v/>
      </c>
    </row>
    <row r="10625" spans="26:26" x14ac:dyDescent="0.2">
      <c r="Z10625" t="str">
        <f t="shared" si="165"/>
        <v/>
      </c>
    </row>
    <row r="10626" spans="26:26" x14ac:dyDescent="0.2">
      <c r="Z10626" t="str">
        <f t="shared" si="165"/>
        <v/>
      </c>
    </row>
    <row r="10627" spans="26:26" x14ac:dyDescent="0.2">
      <c r="Z10627" t="str">
        <f t="shared" ref="Z10627:Z10690" si="166">IF(K10627="","",IFERROR(VALUE(TRIM(MID(K10627,FIND(CHAR(167),SUBSTITUTE(K10627,"-",CHAR(167),LEN(K10627)-LEN(SUBSTITUTE(K10627,"-",""))))+1,100))),K10627))</f>
        <v/>
      </c>
    </row>
    <row r="10628" spans="26:26" x14ac:dyDescent="0.2">
      <c r="Z10628" t="str">
        <f t="shared" si="166"/>
        <v/>
      </c>
    </row>
    <row r="10629" spans="26:26" x14ac:dyDescent="0.2">
      <c r="Z10629" t="str">
        <f t="shared" si="166"/>
        <v/>
      </c>
    </row>
    <row r="10630" spans="26:26" x14ac:dyDescent="0.2">
      <c r="Z10630" t="str">
        <f t="shared" si="166"/>
        <v/>
      </c>
    </row>
    <row r="10631" spans="26:26" x14ac:dyDescent="0.2">
      <c r="Z10631" t="str">
        <f t="shared" si="166"/>
        <v/>
      </c>
    </row>
    <row r="10632" spans="26:26" x14ac:dyDescent="0.2">
      <c r="Z10632" t="str">
        <f t="shared" si="166"/>
        <v/>
      </c>
    </row>
    <row r="10633" spans="26:26" x14ac:dyDescent="0.2">
      <c r="Z10633" t="str">
        <f t="shared" si="166"/>
        <v/>
      </c>
    </row>
    <row r="10634" spans="26:26" x14ac:dyDescent="0.2">
      <c r="Z10634" t="str">
        <f t="shared" si="166"/>
        <v/>
      </c>
    </row>
    <row r="10635" spans="26:26" x14ac:dyDescent="0.2">
      <c r="Z10635" t="str">
        <f t="shared" si="166"/>
        <v/>
      </c>
    </row>
    <row r="10636" spans="26:26" x14ac:dyDescent="0.2">
      <c r="Z10636" t="str">
        <f t="shared" si="166"/>
        <v/>
      </c>
    </row>
    <row r="10637" spans="26:26" x14ac:dyDescent="0.2">
      <c r="Z10637" t="str">
        <f t="shared" si="166"/>
        <v/>
      </c>
    </row>
    <row r="10638" spans="26:26" x14ac:dyDescent="0.2">
      <c r="Z10638" t="str">
        <f t="shared" si="166"/>
        <v/>
      </c>
    </row>
    <row r="10639" spans="26:26" x14ac:dyDescent="0.2">
      <c r="Z10639" t="str">
        <f t="shared" si="166"/>
        <v/>
      </c>
    </row>
    <row r="10640" spans="26:26" x14ac:dyDescent="0.2">
      <c r="Z10640" t="str">
        <f t="shared" si="166"/>
        <v/>
      </c>
    </row>
    <row r="10641" spans="26:26" x14ac:dyDescent="0.2">
      <c r="Z10641" t="str">
        <f t="shared" si="166"/>
        <v/>
      </c>
    </row>
    <row r="10642" spans="26:26" x14ac:dyDescent="0.2">
      <c r="Z10642" t="str">
        <f t="shared" si="166"/>
        <v/>
      </c>
    </row>
    <row r="10643" spans="26:26" x14ac:dyDescent="0.2">
      <c r="Z10643" t="str">
        <f t="shared" si="166"/>
        <v/>
      </c>
    </row>
    <row r="10644" spans="26:26" x14ac:dyDescent="0.2">
      <c r="Z10644" t="str">
        <f t="shared" si="166"/>
        <v/>
      </c>
    </row>
    <row r="10645" spans="26:26" x14ac:dyDescent="0.2">
      <c r="Z10645" t="str">
        <f t="shared" si="166"/>
        <v/>
      </c>
    </row>
    <row r="10646" spans="26:26" x14ac:dyDescent="0.2">
      <c r="Z10646" t="str">
        <f t="shared" si="166"/>
        <v/>
      </c>
    </row>
    <row r="10647" spans="26:26" x14ac:dyDescent="0.2">
      <c r="Z10647" t="str">
        <f t="shared" si="166"/>
        <v/>
      </c>
    </row>
    <row r="10648" spans="26:26" x14ac:dyDescent="0.2">
      <c r="Z10648" t="str">
        <f t="shared" si="166"/>
        <v/>
      </c>
    </row>
    <row r="10649" spans="26:26" x14ac:dyDescent="0.2">
      <c r="Z10649" t="str">
        <f t="shared" si="166"/>
        <v/>
      </c>
    </row>
    <row r="10650" spans="26:26" x14ac:dyDescent="0.2">
      <c r="Z10650" t="str">
        <f t="shared" si="166"/>
        <v/>
      </c>
    </row>
    <row r="10651" spans="26:26" x14ac:dyDescent="0.2">
      <c r="Z10651" t="str">
        <f t="shared" si="166"/>
        <v/>
      </c>
    </row>
    <row r="10652" spans="26:26" x14ac:dyDescent="0.2">
      <c r="Z10652" t="str">
        <f t="shared" si="166"/>
        <v/>
      </c>
    </row>
    <row r="10653" spans="26:26" x14ac:dyDescent="0.2">
      <c r="Z10653" t="str">
        <f t="shared" si="166"/>
        <v/>
      </c>
    </row>
    <row r="10654" spans="26:26" x14ac:dyDescent="0.2">
      <c r="Z10654" t="str">
        <f t="shared" si="166"/>
        <v/>
      </c>
    </row>
    <row r="10655" spans="26:26" x14ac:dyDescent="0.2">
      <c r="Z10655" t="str">
        <f t="shared" si="166"/>
        <v/>
      </c>
    </row>
    <row r="10656" spans="26:26" x14ac:dyDescent="0.2">
      <c r="Z10656" t="str">
        <f t="shared" si="166"/>
        <v/>
      </c>
    </row>
    <row r="10657" spans="26:26" x14ac:dyDescent="0.2">
      <c r="Z10657" t="str">
        <f t="shared" si="166"/>
        <v/>
      </c>
    </row>
    <row r="10658" spans="26:26" x14ac:dyDescent="0.2">
      <c r="Z10658" t="str">
        <f t="shared" si="166"/>
        <v/>
      </c>
    </row>
    <row r="10659" spans="26:26" x14ac:dyDescent="0.2">
      <c r="Z10659" t="str">
        <f t="shared" si="166"/>
        <v/>
      </c>
    </row>
    <row r="10660" spans="26:26" x14ac:dyDescent="0.2">
      <c r="Z10660" t="str">
        <f t="shared" si="166"/>
        <v/>
      </c>
    </row>
    <row r="10661" spans="26:26" x14ac:dyDescent="0.2">
      <c r="Z10661" t="str">
        <f t="shared" si="166"/>
        <v/>
      </c>
    </row>
    <row r="10662" spans="26:26" x14ac:dyDescent="0.2">
      <c r="Z10662" t="str">
        <f t="shared" si="166"/>
        <v/>
      </c>
    </row>
    <row r="10663" spans="26:26" x14ac:dyDescent="0.2">
      <c r="Z10663" t="str">
        <f t="shared" si="166"/>
        <v/>
      </c>
    </row>
    <row r="10664" spans="26:26" x14ac:dyDescent="0.2">
      <c r="Z10664" t="str">
        <f t="shared" si="166"/>
        <v/>
      </c>
    </row>
    <row r="10665" spans="26:26" x14ac:dyDescent="0.2">
      <c r="Z10665" t="str">
        <f t="shared" si="166"/>
        <v/>
      </c>
    </row>
    <row r="10666" spans="26:26" x14ac:dyDescent="0.2">
      <c r="Z10666" t="str">
        <f t="shared" si="166"/>
        <v/>
      </c>
    </row>
    <row r="10667" spans="26:26" x14ac:dyDescent="0.2">
      <c r="Z10667" t="str">
        <f t="shared" si="166"/>
        <v/>
      </c>
    </row>
    <row r="10668" spans="26:26" x14ac:dyDescent="0.2">
      <c r="Z10668" t="str">
        <f t="shared" si="166"/>
        <v/>
      </c>
    </row>
    <row r="10669" spans="26:26" x14ac:dyDescent="0.2">
      <c r="Z10669" t="str">
        <f t="shared" si="166"/>
        <v/>
      </c>
    </row>
    <row r="10670" spans="26:26" x14ac:dyDescent="0.2">
      <c r="Z10670" t="str">
        <f t="shared" si="166"/>
        <v/>
      </c>
    </row>
    <row r="10671" spans="26:26" x14ac:dyDescent="0.2">
      <c r="Z10671" t="str">
        <f t="shared" si="166"/>
        <v/>
      </c>
    </row>
    <row r="10672" spans="26:26" x14ac:dyDescent="0.2">
      <c r="Z10672" t="str">
        <f t="shared" si="166"/>
        <v/>
      </c>
    </row>
    <row r="10673" spans="26:26" x14ac:dyDescent="0.2">
      <c r="Z10673" t="str">
        <f t="shared" si="166"/>
        <v/>
      </c>
    </row>
    <row r="10674" spans="26:26" x14ac:dyDescent="0.2">
      <c r="Z10674" t="str">
        <f t="shared" si="166"/>
        <v/>
      </c>
    </row>
    <row r="10675" spans="26:26" x14ac:dyDescent="0.2">
      <c r="Z10675" t="str">
        <f t="shared" si="166"/>
        <v/>
      </c>
    </row>
    <row r="10676" spans="26:26" x14ac:dyDescent="0.2">
      <c r="Z10676" t="str">
        <f t="shared" si="166"/>
        <v/>
      </c>
    </row>
    <row r="10677" spans="26:26" x14ac:dyDescent="0.2">
      <c r="Z10677" t="str">
        <f t="shared" si="166"/>
        <v/>
      </c>
    </row>
    <row r="10678" spans="26:26" x14ac:dyDescent="0.2">
      <c r="Z10678" t="str">
        <f t="shared" si="166"/>
        <v/>
      </c>
    </row>
    <row r="10679" spans="26:26" x14ac:dyDescent="0.2">
      <c r="Z10679" t="str">
        <f t="shared" si="166"/>
        <v/>
      </c>
    </row>
    <row r="10680" spans="26:26" x14ac:dyDescent="0.2">
      <c r="Z10680" t="str">
        <f t="shared" si="166"/>
        <v/>
      </c>
    </row>
    <row r="10681" spans="26:26" x14ac:dyDescent="0.2">
      <c r="Z10681" t="str">
        <f t="shared" si="166"/>
        <v/>
      </c>
    </row>
    <row r="10682" spans="26:26" x14ac:dyDescent="0.2">
      <c r="Z10682" t="str">
        <f t="shared" si="166"/>
        <v/>
      </c>
    </row>
    <row r="10683" spans="26:26" x14ac:dyDescent="0.2">
      <c r="Z10683" t="str">
        <f t="shared" si="166"/>
        <v/>
      </c>
    </row>
    <row r="10684" spans="26:26" x14ac:dyDescent="0.2">
      <c r="Z10684" t="str">
        <f t="shared" si="166"/>
        <v/>
      </c>
    </row>
    <row r="10685" spans="26:26" x14ac:dyDescent="0.2">
      <c r="Z10685" t="str">
        <f t="shared" si="166"/>
        <v/>
      </c>
    </row>
    <row r="10686" spans="26:26" x14ac:dyDescent="0.2">
      <c r="Z10686" t="str">
        <f t="shared" si="166"/>
        <v/>
      </c>
    </row>
    <row r="10687" spans="26:26" x14ac:dyDescent="0.2">
      <c r="Z10687" t="str">
        <f t="shared" si="166"/>
        <v/>
      </c>
    </row>
    <row r="10688" spans="26:26" x14ac:dyDescent="0.2">
      <c r="Z10688" t="str">
        <f t="shared" si="166"/>
        <v/>
      </c>
    </row>
    <row r="10689" spans="26:26" x14ac:dyDescent="0.2">
      <c r="Z10689" t="str">
        <f t="shared" si="166"/>
        <v/>
      </c>
    </row>
    <row r="10690" spans="26:26" x14ac:dyDescent="0.2">
      <c r="Z10690" t="str">
        <f t="shared" si="166"/>
        <v/>
      </c>
    </row>
    <row r="10691" spans="26:26" x14ac:dyDescent="0.2">
      <c r="Z10691" t="str">
        <f t="shared" ref="Z10691:Z10754" si="167">IF(K10691="","",IFERROR(VALUE(TRIM(MID(K10691,FIND(CHAR(167),SUBSTITUTE(K10691,"-",CHAR(167),LEN(K10691)-LEN(SUBSTITUTE(K10691,"-",""))))+1,100))),K10691))</f>
        <v/>
      </c>
    </row>
    <row r="10692" spans="26:26" x14ac:dyDescent="0.2">
      <c r="Z10692" t="str">
        <f t="shared" si="167"/>
        <v/>
      </c>
    </row>
    <row r="10693" spans="26:26" x14ac:dyDescent="0.2">
      <c r="Z10693" t="str">
        <f t="shared" si="167"/>
        <v/>
      </c>
    </row>
    <row r="10694" spans="26:26" x14ac:dyDescent="0.2">
      <c r="Z10694" t="str">
        <f t="shared" si="167"/>
        <v/>
      </c>
    </row>
    <row r="10695" spans="26:26" x14ac:dyDescent="0.2">
      <c r="Z10695" t="str">
        <f t="shared" si="167"/>
        <v/>
      </c>
    </row>
    <row r="10696" spans="26:26" x14ac:dyDescent="0.2">
      <c r="Z10696" t="str">
        <f t="shared" si="167"/>
        <v/>
      </c>
    </row>
    <row r="10697" spans="26:26" x14ac:dyDescent="0.2">
      <c r="Z10697" t="str">
        <f t="shared" si="167"/>
        <v/>
      </c>
    </row>
    <row r="10698" spans="26:26" x14ac:dyDescent="0.2">
      <c r="Z10698" t="str">
        <f t="shared" si="167"/>
        <v/>
      </c>
    </row>
    <row r="10699" spans="26:26" x14ac:dyDescent="0.2">
      <c r="Z10699" t="str">
        <f t="shared" si="167"/>
        <v/>
      </c>
    </row>
    <row r="10700" spans="26:26" x14ac:dyDescent="0.2">
      <c r="Z10700" t="str">
        <f t="shared" si="167"/>
        <v/>
      </c>
    </row>
    <row r="10701" spans="26:26" x14ac:dyDescent="0.2">
      <c r="Z10701" t="str">
        <f t="shared" si="167"/>
        <v/>
      </c>
    </row>
    <row r="10702" spans="26:26" x14ac:dyDescent="0.2">
      <c r="Z10702" t="str">
        <f t="shared" si="167"/>
        <v/>
      </c>
    </row>
    <row r="10703" spans="26:26" x14ac:dyDescent="0.2">
      <c r="Z10703" t="str">
        <f t="shared" si="167"/>
        <v/>
      </c>
    </row>
    <row r="10704" spans="26:26" x14ac:dyDescent="0.2">
      <c r="Z10704" t="str">
        <f t="shared" si="167"/>
        <v/>
      </c>
    </row>
    <row r="10705" spans="26:26" x14ac:dyDescent="0.2">
      <c r="Z10705" t="str">
        <f t="shared" si="167"/>
        <v/>
      </c>
    </row>
    <row r="10706" spans="26:26" x14ac:dyDescent="0.2">
      <c r="Z10706" t="str">
        <f t="shared" si="167"/>
        <v/>
      </c>
    </row>
    <row r="10707" spans="26:26" x14ac:dyDescent="0.2">
      <c r="Z10707" t="str">
        <f t="shared" si="167"/>
        <v/>
      </c>
    </row>
    <row r="10708" spans="26:26" x14ac:dyDescent="0.2">
      <c r="Z10708" t="str">
        <f t="shared" si="167"/>
        <v/>
      </c>
    </row>
    <row r="10709" spans="26:26" x14ac:dyDescent="0.2">
      <c r="Z10709" t="str">
        <f t="shared" si="167"/>
        <v/>
      </c>
    </row>
    <row r="10710" spans="26:26" x14ac:dyDescent="0.2">
      <c r="Z10710" t="str">
        <f t="shared" si="167"/>
        <v/>
      </c>
    </row>
    <row r="10711" spans="26:26" x14ac:dyDescent="0.2">
      <c r="Z10711" t="str">
        <f t="shared" si="167"/>
        <v/>
      </c>
    </row>
    <row r="10712" spans="26:26" x14ac:dyDescent="0.2">
      <c r="Z10712" t="str">
        <f t="shared" si="167"/>
        <v/>
      </c>
    </row>
    <row r="10713" spans="26:26" x14ac:dyDescent="0.2">
      <c r="Z10713" t="str">
        <f t="shared" si="167"/>
        <v/>
      </c>
    </row>
    <row r="10714" spans="26:26" x14ac:dyDescent="0.2">
      <c r="Z10714" t="str">
        <f t="shared" si="167"/>
        <v/>
      </c>
    </row>
    <row r="10715" spans="26:26" x14ac:dyDescent="0.2">
      <c r="Z10715" t="str">
        <f t="shared" si="167"/>
        <v/>
      </c>
    </row>
    <row r="10716" spans="26:26" x14ac:dyDescent="0.2">
      <c r="Z10716" t="str">
        <f t="shared" si="167"/>
        <v/>
      </c>
    </row>
    <row r="10717" spans="26:26" x14ac:dyDescent="0.2">
      <c r="Z10717" t="str">
        <f t="shared" si="167"/>
        <v/>
      </c>
    </row>
    <row r="10718" spans="26:26" x14ac:dyDescent="0.2">
      <c r="Z10718" t="str">
        <f t="shared" si="167"/>
        <v/>
      </c>
    </row>
    <row r="10719" spans="26:26" x14ac:dyDescent="0.2">
      <c r="Z10719" t="str">
        <f t="shared" si="167"/>
        <v/>
      </c>
    </row>
    <row r="10720" spans="26:26" x14ac:dyDescent="0.2">
      <c r="Z10720" t="str">
        <f t="shared" si="167"/>
        <v/>
      </c>
    </row>
    <row r="10721" spans="26:26" x14ac:dyDescent="0.2">
      <c r="Z10721" t="str">
        <f t="shared" si="167"/>
        <v/>
      </c>
    </row>
    <row r="10722" spans="26:26" x14ac:dyDescent="0.2">
      <c r="Z10722" t="str">
        <f t="shared" si="167"/>
        <v/>
      </c>
    </row>
    <row r="10723" spans="26:26" x14ac:dyDescent="0.2">
      <c r="Z10723" t="str">
        <f t="shared" si="167"/>
        <v/>
      </c>
    </row>
    <row r="10724" spans="26:26" x14ac:dyDescent="0.2">
      <c r="Z10724" t="str">
        <f t="shared" si="167"/>
        <v/>
      </c>
    </row>
    <row r="10725" spans="26:26" x14ac:dyDescent="0.2">
      <c r="Z10725" t="str">
        <f t="shared" si="167"/>
        <v/>
      </c>
    </row>
    <row r="10726" spans="26:26" x14ac:dyDescent="0.2">
      <c r="Z10726" t="str">
        <f t="shared" si="167"/>
        <v/>
      </c>
    </row>
    <row r="10727" spans="26:26" x14ac:dyDescent="0.2">
      <c r="Z10727" t="str">
        <f t="shared" si="167"/>
        <v/>
      </c>
    </row>
    <row r="10728" spans="26:26" x14ac:dyDescent="0.2">
      <c r="Z10728" t="str">
        <f t="shared" si="167"/>
        <v/>
      </c>
    </row>
    <row r="10729" spans="26:26" x14ac:dyDescent="0.2">
      <c r="Z10729" t="str">
        <f t="shared" si="167"/>
        <v/>
      </c>
    </row>
    <row r="10730" spans="26:26" x14ac:dyDescent="0.2">
      <c r="Z10730" t="str">
        <f t="shared" si="167"/>
        <v/>
      </c>
    </row>
    <row r="10731" spans="26:26" x14ac:dyDescent="0.2">
      <c r="Z10731" t="str">
        <f t="shared" si="167"/>
        <v/>
      </c>
    </row>
    <row r="10732" spans="26:26" x14ac:dyDescent="0.2">
      <c r="Z10732" t="str">
        <f t="shared" si="167"/>
        <v/>
      </c>
    </row>
    <row r="10733" spans="26:26" x14ac:dyDescent="0.2">
      <c r="Z10733" t="str">
        <f t="shared" si="167"/>
        <v/>
      </c>
    </row>
    <row r="10734" spans="26:26" x14ac:dyDescent="0.2">
      <c r="Z10734" t="str">
        <f t="shared" si="167"/>
        <v/>
      </c>
    </row>
    <row r="10735" spans="26:26" x14ac:dyDescent="0.2">
      <c r="Z10735" t="str">
        <f t="shared" si="167"/>
        <v/>
      </c>
    </row>
    <row r="10736" spans="26:26" x14ac:dyDescent="0.2">
      <c r="Z10736" t="str">
        <f t="shared" si="167"/>
        <v/>
      </c>
    </row>
    <row r="10737" spans="26:26" x14ac:dyDescent="0.2">
      <c r="Z10737" t="str">
        <f t="shared" si="167"/>
        <v/>
      </c>
    </row>
    <row r="10738" spans="26:26" x14ac:dyDescent="0.2">
      <c r="Z10738" t="str">
        <f t="shared" si="167"/>
        <v/>
      </c>
    </row>
    <row r="10739" spans="26:26" x14ac:dyDescent="0.2">
      <c r="Z10739" t="str">
        <f t="shared" si="167"/>
        <v/>
      </c>
    </row>
    <row r="10740" spans="26:26" x14ac:dyDescent="0.2">
      <c r="Z10740" t="str">
        <f t="shared" si="167"/>
        <v/>
      </c>
    </row>
    <row r="10741" spans="26:26" x14ac:dyDescent="0.2">
      <c r="Z10741" t="str">
        <f t="shared" si="167"/>
        <v/>
      </c>
    </row>
    <row r="10742" spans="26:26" x14ac:dyDescent="0.2">
      <c r="Z10742" t="str">
        <f t="shared" si="167"/>
        <v/>
      </c>
    </row>
    <row r="10743" spans="26:26" x14ac:dyDescent="0.2">
      <c r="Z10743" t="str">
        <f t="shared" si="167"/>
        <v/>
      </c>
    </row>
    <row r="10744" spans="26:26" x14ac:dyDescent="0.2">
      <c r="Z10744" t="str">
        <f t="shared" si="167"/>
        <v/>
      </c>
    </row>
    <row r="10745" spans="26:26" x14ac:dyDescent="0.2">
      <c r="Z10745" t="str">
        <f t="shared" si="167"/>
        <v/>
      </c>
    </row>
    <row r="10746" spans="26:26" x14ac:dyDescent="0.2">
      <c r="Z10746" t="str">
        <f t="shared" si="167"/>
        <v/>
      </c>
    </row>
    <row r="10747" spans="26:26" x14ac:dyDescent="0.2">
      <c r="Z10747" t="str">
        <f t="shared" si="167"/>
        <v/>
      </c>
    </row>
    <row r="10748" spans="26:26" x14ac:dyDescent="0.2">
      <c r="Z10748" t="str">
        <f t="shared" si="167"/>
        <v/>
      </c>
    </row>
    <row r="10749" spans="26:26" x14ac:dyDescent="0.2">
      <c r="Z10749" t="str">
        <f t="shared" si="167"/>
        <v/>
      </c>
    </row>
    <row r="10750" spans="26:26" x14ac:dyDescent="0.2">
      <c r="Z10750" t="str">
        <f t="shared" si="167"/>
        <v/>
      </c>
    </row>
    <row r="10751" spans="26:26" x14ac:dyDescent="0.2">
      <c r="Z10751" t="str">
        <f t="shared" si="167"/>
        <v/>
      </c>
    </row>
    <row r="10752" spans="26:26" x14ac:dyDescent="0.2">
      <c r="Z10752" t="str">
        <f t="shared" si="167"/>
        <v/>
      </c>
    </row>
    <row r="10753" spans="26:26" x14ac:dyDescent="0.2">
      <c r="Z10753" t="str">
        <f t="shared" si="167"/>
        <v/>
      </c>
    </row>
    <row r="10754" spans="26:26" x14ac:dyDescent="0.2">
      <c r="Z10754" t="str">
        <f t="shared" si="167"/>
        <v/>
      </c>
    </row>
    <row r="10755" spans="26:26" x14ac:dyDescent="0.2">
      <c r="Z10755" t="str">
        <f t="shared" ref="Z10755:Z10818" si="168">IF(K10755="","",IFERROR(VALUE(TRIM(MID(K10755,FIND(CHAR(167),SUBSTITUTE(K10755,"-",CHAR(167),LEN(K10755)-LEN(SUBSTITUTE(K10755,"-",""))))+1,100))),K10755))</f>
        <v/>
      </c>
    </row>
    <row r="10756" spans="26:26" x14ac:dyDescent="0.2">
      <c r="Z10756" t="str">
        <f t="shared" si="168"/>
        <v/>
      </c>
    </row>
    <row r="10757" spans="26:26" x14ac:dyDescent="0.2">
      <c r="Z10757" t="str">
        <f t="shared" si="168"/>
        <v/>
      </c>
    </row>
    <row r="10758" spans="26:26" x14ac:dyDescent="0.2">
      <c r="Z10758" t="str">
        <f t="shared" si="168"/>
        <v/>
      </c>
    </row>
    <row r="10759" spans="26:26" x14ac:dyDescent="0.2">
      <c r="Z10759" t="str">
        <f t="shared" si="168"/>
        <v/>
      </c>
    </row>
    <row r="10760" spans="26:26" x14ac:dyDescent="0.2">
      <c r="Z10760" t="str">
        <f t="shared" si="168"/>
        <v/>
      </c>
    </row>
    <row r="10761" spans="26:26" x14ac:dyDescent="0.2">
      <c r="Z10761" t="str">
        <f t="shared" si="168"/>
        <v/>
      </c>
    </row>
    <row r="10762" spans="26:26" x14ac:dyDescent="0.2">
      <c r="Z10762" t="str">
        <f t="shared" si="168"/>
        <v/>
      </c>
    </row>
    <row r="10763" spans="26:26" x14ac:dyDescent="0.2">
      <c r="Z10763" t="str">
        <f t="shared" si="168"/>
        <v/>
      </c>
    </row>
    <row r="10764" spans="26:26" x14ac:dyDescent="0.2">
      <c r="Z10764" t="str">
        <f t="shared" si="168"/>
        <v/>
      </c>
    </row>
    <row r="10765" spans="26:26" x14ac:dyDescent="0.2">
      <c r="Z10765" t="str">
        <f t="shared" si="168"/>
        <v/>
      </c>
    </row>
    <row r="10766" spans="26:26" x14ac:dyDescent="0.2">
      <c r="Z10766" t="str">
        <f t="shared" si="168"/>
        <v/>
      </c>
    </row>
    <row r="10767" spans="26:26" x14ac:dyDescent="0.2">
      <c r="Z10767" t="str">
        <f t="shared" si="168"/>
        <v/>
      </c>
    </row>
    <row r="10768" spans="26:26" x14ac:dyDescent="0.2">
      <c r="Z10768" t="str">
        <f t="shared" si="168"/>
        <v/>
      </c>
    </row>
    <row r="10769" spans="26:26" x14ac:dyDescent="0.2">
      <c r="Z10769" t="str">
        <f t="shared" si="168"/>
        <v/>
      </c>
    </row>
    <row r="10770" spans="26:26" x14ac:dyDescent="0.2">
      <c r="Z10770" t="str">
        <f t="shared" si="168"/>
        <v/>
      </c>
    </row>
    <row r="10771" spans="26:26" x14ac:dyDescent="0.2">
      <c r="Z10771" t="str">
        <f t="shared" si="168"/>
        <v/>
      </c>
    </row>
    <row r="10772" spans="26:26" x14ac:dyDescent="0.2">
      <c r="Z10772" t="str">
        <f t="shared" si="168"/>
        <v/>
      </c>
    </row>
    <row r="10773" spans="26:26" x14ac:dyDescent="0.2">
      <c r="Z10773" t="str">
        <f t="shared" si="168"/>
        <v/>
      </c>
    </row>
    <row r="10774" spans="26:26" x14ac:dyDescent="0.2">
      <c r="Z10774" t="str">
        <f t="shared" si="168"/>
        <v/>
      </c>
    </row>
    <row r="10775" spans="26:26" x14ac:dyDescent="0.2">
      <c r="Z10775" t="str">
        <f t="shared" si="168"/>
        <v/>
      </c>
    </row>
    <row r="10776" spans="26:26" x14ac:dyDescent="0.2">
      <c r="Z10776" t="str">
        <f t="shared" si="168"/>
        <v/>
      </c>
    </row>
    <row r="10777" spans="26:26" x14ac:dyDescent="0.2">
      <c r="Z10777" t="str">
        <f t="shared" si="168"/>
        <v/>
      </c>
    </row>
    <row r="10778" spans="26:26" x14ac:dyDescent="0.2">
      <c r="Z10778" t="str">
        <f t="shared" si="168"/>
        <v/>
      </c>
    </row>
    <row r="10779" spans="26:26" x14ac:dyDescent="0.2">
      <c r="Z10779" t="str">
        <f t="shared" si="168"/>
        <v/>
      </c>
    </row>
    <row r="10780" spans="26:26" x14ac:dyDescent="0.2">
      <c r="Z10780" t="str">
        <f t="shared" si="168"/>
        <v/>
      </c>
    </row>
    <row r="10781" spans="26:26" x14ac:dyDescent="0.2">
      <c r="Z10781" t="str">
        <f t="shared" si="168"/>
        <v/>
      </c>
    </row>
    <row r="10782" spans="26:26" x14ac:dyDescent="0.2">
      <c r="Z10782" t="str">
        <f t="shared" si="168"/>
        <v/>
      </c>
    </row>
    <row r="10783" spans="26:26" x14ac:dyDescent="0.2">
      <c r="Z10783" t="str">
        <f t="shared" si="168"/>
        <v/>
      </c>
    </row>
    <row r="10784" spans="26:26" x14ac:dyDescent="0.2">
      <c r="Z10784" t="str">
        <f t="shared" si="168"/>
        <v/>
      </c>
    </row>
    <row r="10785" spans="26:26" x14ac:dyDescent="0.2">
      <c r="Z10785" t="str">
        <f t="shared" si="168"/>
        <v/>
      </c>
    </row>
    <row r="10786" spans="26:26" x14ac:dyDescent="0.2">
      <c r="Z10786" t="str">
        <f t="shared" si="168"/>
        <v/>
      </c>
    </row>
    <row r="10787" spans="26:26" x14ac:dyDescent="0.2">
      <c r="Z10787" t="str">
        <f t="shared" si="168"/>
        <v/>
      </c>
    </row>
    <row r="10788" spans="26:26" x14ac:dyDescent="0.2">
      <c r="Z10788" t="str">
        <f t="shared" si="168"/>
        <v/>
      </c>
    </row>
    <row r="10789" spans="26:26" x14ac:dyDescent="0.2">
      <c r="Z10789" t="str">
        <f t="shared" si="168"/>
        <v/>
      </c>
    </row>
    <row r="10790" spans="26:26" x14ac:dyDescent="0.2">
      <c r="Z10790" t="str">
        <f t="shared" si="168"/>
        <v/>
      </c>
    </row>
    <row r="10791" spans="26:26" x14ac:dyDescent="0.2">
      <c r="Z10791" t="str">
        <f t="shared" si="168"/>
        <v/>
      </c>
    </row>
    <row r="10792" spans="26:26" x14ac:dyDescent="0.2">
      <c r="Z10792" t="str">
        <f t="shared" si="168"/>
        <v/>
      </c>
    </row>
    <row r="10793" spans="26:26" x14ac:dyDescent="0.2">
      <c r="Z10793" t="str">
        <f t="shared" si="168"/>
        <v/>
      </c>
    </row>
    <row r="10794" spans="26:26" x14ac:dyDescent="0.2">
      <c r="Z10794" t="str">
        <f t="shared" si="168"/>
        <v/>
      </c>
    </row>
    <row r="10795" spans="26:26" x14ac:dyDescent="0.2">
      <c r="Z10795" t="str">
        <f t="shared" si="168"/>
        <v/>
      </c>
    </row>
    <row r="10796" spans="26:26" x14ac:dyDescent="0.2">
      <c r="Z10796" t="str">
        <f t="shared" si="168"/>
        <v/>
      </c>
    </row>
    <row r="10797" spans="26:26" x14ac:dyDescent="0.2">
      <c r="Z10797" t="str">
        <f t="shared" si="168"/>
        <v/>
      </c>
    </row>
    <row r="10798" spans="26:26" x14ac:dyDescent="0.2">
      <c r="Z10798" t="str">
        <f t="shared" si="168"/>
        <v/>
      </c>
    </row>
    <row r="10799" spans="26:26" x14ac:dyDescent="0.2">
      <c r="Z10799" t="str">
        <f t="shared" si="168"/>
        <v/>
      </c>
    </row>
    <row r="10800" spans="26:26" x14ac:dyDescent="0.2">
      <c r="Z10800" t="str">
        <f t="shared" si="168"/>
        <v/>
      </c>
    </row>
    <row r="10801" spans="26:26" x14ac:dyDescent="0.2">
      <c r="Z10801" t="str">
        <f t="shared" si="168"/>
        <v/>
      </c>
    </row>
    <row r="10802" spans="26:26" x14ac:dyDescent="0.2">
      <c r="Z10802" t="str">
        <f t="shared" si="168"/>
        <v/>
      </c>
    </row>
    <row r="10803" spans="26:26" x14ac:dyDescent="0.2">
      <c r="Z10803" t="str">
        <f t="shared" si="168"/>
        <v/>
      </c>
    </row>
    <row r="10804" spans="26:26" x14ac:dyDescent="0.2">
      <c r="Z10804" t="str">
        <f t="shared" si="168"/>
        <v/>
      </c>
    </row>
    <row r="10805" spans="26:26" x14ac:dyDescent="0.2">
      <c r="Z10805" t="str">
        <f t="shared" si="168"/>
        <v/>
      </c>
    </row>
    <row r="10806" spans="26:26" x14ac:dyDescent="0.2">
      <c r="Z10806" t="str">
        <f t="shared" si="168"/>
        <v/>
      </c>
    </row>
    <row r="10807" spans="26:26" x14ac:dyDescent="0.2">
      <c r="Z10807" t="str">
        <f t="shared" si="168"/>
        <v/>
      </c>
    </row>
    <row r="10808" spans="26:26" x14ac:dyDescent="0.2">
      <c r="Z10808" t="str">
        <f t="shared" si="168"/>
        <v/>
      </c>
    </row>
    <row r="10809" spans="26:26" x14ac:dyDescent="0.2">
      <c r="Z10809" t="str">
        <f t="shared" si="168"/>
        <v/>
      </c>
    </row>
    <row r="10810" spans="26:26" x14ac:dyDescent="0.2">
      <c r="Z10810" t="str">
        <f t="shared" si="168"/>
        <v/>
      </c>
    </row>
    <row r="10811" spans="26:26" x14ac:dyDescent="0.2">
      <c r="Z10811" t="str">
        <f t="shared" si="168"/>
        <v/>
      </c>
    </row>
    <row r="10812" spans="26:26" x14ac:dyDescent="0.2">
      <c r="Z10812" t="str">
        <f t="shared" si="168"/>
        <v/>
      </c>
    </row>
    <row r="10813" spans="26:26" x14ac:dyDescent="0.2">
      <c r="Z10813" t="str">
        <f t="shared" si="168"/>
        <v/>
      </c>
    </row>
    <row r="10814" spans="26:26" x14ac:dyDescent="0.2">
      <c r="Z10814" t="str">
        <f t="shared" si="168"/>
        <v/>
      </c>
    </row>
    <row r="10815" spans="26:26" x14ac:dyDescent="0.2">
      <c r="Z10815" t="str">
        <f t="shared" si="168"/>
        <v/>
      </c>
    </row>
    <row r="10816" spans="26:26" x14ac:dyDescent="0.2">
      <c r="Z10816" t="str">
        <f t="shared" si="168"/>
        <v/>
      </c>
    </row>
    <row r="10817" spans="26:26" x14ac:dyDescent="0.2">
      <c r="Z10817" t="str">
        <f t="shared" si="168"/>
        <v/>
      </c>
    </row>
    <row r="10818" spans="26:26" x14ac:dyDescent="0.2">
      <c r="Z10818" t="str">
        <f t="shared" si="168"/>
        <v/>
      </c>
    </row>
    <row r="10819" spans="26:26" x14ac:dyDescent="0.2">
      <c r="Z10819" t="str">
        <f t="shared" ref="Z10819:Z10882" si="169">IF(K10819="","",IFERROR(VALUE(TRIM(MID(K10819,FIND(CHAR(167),SUBSTITUTE(K10819,"-",CHAR(167),LEN(K10819)-LEN(SUBSTITUTE(K10819,"-",""))))+1,100))),K10819))</f>
        <v/>
      </c>
    </row>
    <row r="10820" spans="26:26" x14ac:dyDescent="0.2">
      <c r="Z10820" t="str">
        <f t="shared" si="169"/>
        <v/>
      </c>
    </row>
    <row r="10821" spans="26:26" x14ac:dyDescent="0.2">
      <c r="Z10821" t="str">
        <f t="shared" si="169"/>
        <v/>
      </c>
    </row>
    <row r="10822" spans="26:26" x14ac:dyDescent="0.2">
      <c r="Z10822" t="str">
        <f t="shared" si="169"/>
        <v/>
      </c>
    </row>
    <row r="10823" spans="26:26" x14ac:dyDescent="0.2">
      <c r="Z10823" t="str">
        <f t="shared" si="169"/>
        <v/>
      </c>
    </row>
    <row r="10824" spans="26:26" x14ac:dyDescent="0.2">
      <c r="Z10824" t="str">
        <f t="shared" si="169"/>
        <v/>
      </c>
    </row>
    <row r="10825" spans="26:26" x14ac:dyDescent="0.2">
      <c r="Z10825" t="str">
        <f t="shared" si="169"/>
        <v/>
      </c>
    </row>
    <row r="10826" spans="26:26" x14ac:dyDescent="0.2">
      <c r="Z10826" t="str">
        <f t="shared" si="169"/>
        <v/>
      </c>
    </row>
    <row r="10827" spans="26:26" x14ac:dyDescent="0.2">
      <c r="Z10827" t="str">
        <f t="shared" si="169"/>
        <v/>
      </c>
    </row>
    <row r="10828" spans="26:26" x14ac:dyDescent="0.2">
      <c r="Z10828" t="str">
        <f t="shared" si="169"/>
        <v/>
      </c>
    </row>
    <row r="10829" spans="26:26" x14ac:dyDescent="0.2">
      <c r="Z10829" t="str">
        <f t="shared" si="169"/>
        <v/>
      </c>
    </row>
    <row r="10830" spans="26:26" x14ac:dyDescent="0.2">
      <c r="Z10830" t="str">
        <f t="shared" si="169"/>
        <v/>
      </c>
    </row>
    <row r="10831" spans="26:26" x14ac:dyDescent="0.2">
      <c r="Z10831" t="str">
        <f t="shared" si="169"/>
        <v/>
      </c>
    </row>
    <row r="10832" spans="26:26" x14ac:dyDescent="0.2">
      <c r="Z10832" t="str">
        <f t="shared" si="169"/>
        <v/>
      </c>
    </row>
    <row r="10833" spans="26:26" x14ac:dyDescent="0.2">
      <c r="Z10833" t="str">
        <f t="shared" si="169"/>
        <v/>
      </c>
    </row>
    <row r="10834" spans="26:26" x14ac:dyDescent="0.2">
      <c r="Z10834" t="str">
        <f t="shared" si="169"/>
        <v/>
      </c>
    </row>
    <row r="10835" spans="26:26" x14ac:dyDescent="0.2">
      <c r="Z10835" t="str">
        <f t="shared" si="169"/>
        <v/>
      </c>
    </row>
    <row r="10836" spans="26:26" x14ac:dyDescent="0.2">
      <c r="Z10836" t="str">
        <f t="shared" si="169"/>
        <v/>
      </c>
    </row>
    <row r="10837" spans="26:26" x14ac:dyDescent="0.2">
      <c r="Z10837" t="str">
        <f t="shared" si="169"/>
        <v/>
      </c>
    </row>
    <row r="10838" spans="26:26" x14ac:dyDescent="0.2">
      <c r="Z10838" t="str">
        <f t="shared" si="169"/>
        <v/>
      </c>
    </row>
    <row r="10839" spans="26:26" x14ac:dyDescent="0.2">
      <c r="Z10839" t="str">
        <f t="shared" si="169"/>
        <v/>
      </c>
    </row>
    <row r="10840" spans="26:26" x14ac:dyDescent="0.2">
      <c r="Z10840" t="str">
        <f t="shared" si="169"/>
        <v/>
      </c>
    </row>
    <row r="10841" spans="26:26" x14ac:dyDescent="0.2">
      <c r="Z10841" t="str">
        <f t="shared" si="169"/>
        <v/>
      </c>
    </row>
    <row r="10842" spans="26:26" x14ac:dyDescent="0.2">
      <c r="Z10842" t="str">
        <f t="shared" si="169"/>
        <v/>
      </c>
    </row>
    <row r="10843" spans="26:26" x14ac:dyDescent="0.2">
      <c r="Z10843" t="str">
        <f t="shared" si="169"/>
        <v/>
      </c>
    </row>
    <row r="10844" spans="26:26" x14ac:dyDescent="0.2">
      <c r="Z10844" t="str">
        <f t="shared" si="169"/>
        <v/>
      </c>
    </row>
    <row r="10845" spans="26:26" x14ac:dyDescent="0.2">
      <c r="Z10845" t="str">
        <f t="shared" si="169"/>
        <v/>
      </c>
    </row>
    <row r="10846" spans="26:26" x14ac:dyDescent="0.2">
      <c r="Z10846" t="str">
        <f t="shared" si="169"/>
        <v/>
      </c>
    </row>
    <row r="10847" spans="26:26" x14ac:dyDescent="0.2">
      <c r="Z10847" t="str">
        <f t="shared" si="169"/>
        <v/>
      </c>
    </row>
    <row r="10848" spans="26:26" x14ac:dyDescent="0.2">
      <c r="Z10848" t="str">
        <f t="shared" si="169"/>
        <v/>
      </c>
    </row>
    <row r="10849" spans="26:26" x14ac:dyDescent="0.2">
      <c r="Z10849" t="str">
        <f t="shared" si="169"/>
        <v/>
      </c>
    </row>
    <row r="10850" spans="26:26" x14ac:dyDescent="0.2">
      <c r="Z10850" t="str">
        <f t="shared" si="169"/>
        <v/>
      </c>
    </row>
    <row r="10851" spans="26:26" x14ac:dyDescent="0.2">
      <c r="Z10851" t="str">
        <f t="shared" si="169"/>
        <v/>
      </c>
    </row>
    <row r="10852" spans="26:26" x14ac:dyDescent="0.2">
      <c r="Z10852" t="str">
        <f t="shared" si="169"/>
        <v/>
      </c>
    </row>
    <row r="10853" spans="26:26" x14ac:dyDescent="0.2">
      <c r="Z10853" t="str">
        <f t="shared" si="169"/>
        <v/>
      </c>
    </row>
    <row r="10854" spans="26:26" x14ac:dyDescent="0.2">
      <c r="Z10854" t="str">
        <f t="shared" si="169"/>
        <v/>
      </c>
    </row>
    <row r="10855" spans="26:26" x14ac:dyDescent="0.2">
      <c r="Z10855" t="str">
        <f t="shared" si="169"/>
        <v/>
      </c>
    </row>
    <row r="10856" spans="26:26" x14ac:dyDescent="0.2">
      <c r="Z10856" t="str">
        <f t="shared" si="169"/>
        <v/>
      </c>
    </row>
    <row r="10857" spans="26:26" x14ac:dyDescent="0.2">
      <c r="Z10857" t="str">
        <f t="shared" si="169"/>
        <v/>
      </c>
    </row>
    <row r="10858" spans="26:26" x14ac:dyDescent="0.2">
      <c r="Z10858" t="str">
        <f t="shared" si="169"/>
        <v/>
      </c>
    </row>
    <row r="10859" spans="26:26" x14ac:dyDescent="0.2">
      <c r="Z10859" t="str">
        <f t="shared" si="169"/>
        <v/>
      </c>
    </row>
    <row r="10860" spans="26:26" x14ac:dyDescent="0.2">
      <c r="Z10860" t="str">
        <f t="shared" si="169"/>
        <v/>
      </c>
    </row>
    <row r="10861" spans="26:26" x14ac:dyDescent="0.2">
      <c r="Z10861" t="str">
        <f t="shared" si="169"/>
        <v/>
      </c>
    </row>
    <row r="10862" spans="26:26" x14ac:dyDescent="0.2">
      <c r="Z10862" t="str">
        <f t="shared" si="169"/>
        <v/>
      </c>
    </row>
    <row r="10863" spans="26:26" x14ac:dyDescent="0.2">
      <c r="Z10863" t="str">
        <f t="shared" si="169"/>
        <v/>
      </c>
    </row>
    <row r="10864" spans="26:26" x14ac:dyDescent="0.2">
      <c r="Z10864" t="str">
        <f t="shared" si="169"/>
        <v/>
      </c>
    </row>
    <row r="10865" spans="26:26" x14ac:dyDescent="0.2">
      <c r="Z10865" t="str">
        <f t="shared" si="169"/>
        <v/>
      </c>
    </row>
    <row r="10866" spans="26:26" x14ac:dyDescent="0.2">
      <c r="Z10866" t="str">
        <f t="shared" si="169"/>
        <v/>
      </c>
    </row>
    <row r="10867" spans="26:26" x14ac:dyDescent="0.2">
      <c r="Z10867" t="str">
        <f t="shared" si="169"/>
        <v/>
      </c>
    </row>
    <row r="10868" spans="26:26" x14ac:dyDescent="0.2">
      <c r="Z10868" t="str">
        <f t="shared" si="169"/>
        <v/>
      </c>
    </row>
    <row r="10869" spans="26:26" x14ac:dyDescent="0.2">
      <c r="Z10869" t="str">
        <f t="shared" si="169"/>
        <v/>
      </c>
    </row>
    <row r="10870" spans="26:26" x14ac:dyDescent="0.2">
      <c r="Z10870" t="str">
        <f t="shared" si="169"/>
        <v/>
      </c>
    </row>
    <row r="10871" spans="26:26" x14ac:dyDescent="0.2">
      <c r="Z10871" t="str">
        <f t="shared" si="169"/>
        <v/>
      </c>
    </row>
    <row r="10872" spans="26:26" x14ac:dyDescent="0.2">
      <c r="Z10872" t="str">
        <f t="shared" si="169"/>
        <v/>
      </c>
    </row>
    <row r="10873" spans="26:26" x14ac:dyDescent="0.2">
      <c r="Z10873" t="str">
        <f t="shared" si="169"/>
        <v/>
      </c>
    </row>
    <row r="10874" spans="26:26" x14ac:dyDescent="0.2">
      <c r="Z10874" t="str">
        <f t="shared" si="169"/>
        <v/>
      </c>
    </row>
    <row r="10875" spans="26:26" x14ac:dyDescent="0.2">
      <c r="Z10875" t="str">
        <f t="shared" si="169"/>
        <v/>
      </c>
    </row>
    <row r="10876" spans="26:26" x14ac:dyDescent="0.2">
      <c r="Z10876" t="str">
        <f t="shared" si="169"/>
        <v/>
      </c>
    </row>
    <row r="10877" spans="26:26" x14ac:dyDescent="0.2">
      <c r="Z10877" t="str">
        <f t="shared" si="169"/>
        <v/>
      </c>
    </row>
    <row r="10878" spans="26:26" x14ac:dyDescent="0.2">
      <c r="Z10878" t="str">
        <f t="shared" si="169"/>
        <v/>
      </c>
    </row>
    <row r="10879" spans="26:26" x14ac:dyDescent="0.2">
      <c r="Z10879" t="str">
        <f t="shared" si="169"/>
        <v/>
      </c>
    </row>
    <row r="10880" spans="26:26" x14ac:dyDescent="0.2">
      <c r="Z10880" t="str">
        <f t="shared" si="169"/>
        <v/>
      </c>
    </row>
    <row r="10881" spans="26:26" x14ac:dyDescent="0.2">
      <c r="Z10881" t="str">
        <f t="shared" si="169"/>
        <v/>
      </c>
    </row>
    <row r="10882" spans="26:26" x14ac:dyDescent="0.2">
      <c r="Z10882" t="str">
        <f t="shared" si="169"/>
        <v/>
      </c>
    </row>
    <row r="10883" spans="26:26" x14ac:dyDescent="0.2">
      <c r="Z10883" t="str">
        <f t="shared" ref="Z10883:Z10946" si="170">IF(K10883="","",IFERROR(VALUE(TRIM(MID(K10883,FIND(CHAR(167),SUBSTITUTE(K10883,"-",CHAR(167),LEN(K10883)-LEN(SUBSTITUTE(K10883,"-",""))))+1,100))),K10883))</f>
        <v/>
      </c>
    </row>
    <row r="10884" spans="26:26" x14ac:dyDescent="0.2">
      <c r="Z10884" t="str">
        <f t="shared" si="170"/>
        <v/>
      </c>
    </row>
    <row r="10885" spans="26:26" x14ac:dyDescent="0.2">
      <c r="Z10885" t="str">
        <f t="shared" si="170"/>
        <v/>
      </c>
    </row>
    <row r="10886" spans="26:26" x14ac:dyDescent="0.2">
      <c r="Z10886" t="str">
        <f t="shared" si="170"/>
        <v/>
      </c>
    </row>
    <row r="10887" spans="26:26" x14ac:dyDescent="0.2">
      <c r="Z10887" t="str">
        <f t="shared" si="170"/>
        <v/>
      </c>
    </row>
    <row r="10888" spans="26:26" x14ac:dyDescent="0.2">
      <c r="Z10888" t="str">
        <f t="shared" si="170"/>
        <v/>
      </c>
    </row>
    <row r="10889" spans="26:26" x14ac:dyDescent="0.2">
      <c r="Z10889" t="str">
        <f t="shared" si="170"/>
        <v/>
      </c>
    </row>
    <row r="10890" spans="26:26" x14ac:dyDescent="0.2">
      <c r="Z10890" t="str">
        <f t="shared" si="170"/>
        <v/>
      </c>
    </row>
    <row r="10891" spans="26:26" x14ac:dyDescent="0.2">
      <c r="Z10891" t="str">
        <f t="shared" si="170"/>
        <v/>
      </c>
    </row>
    <row r="10892" spans="26:26" x14ac:dyDescent="0.2">
      <c r="Z10892" t="str">
        <f t="shared" si="170"/>
        <v/>
      </c>
    </row>
    <row r="10893" spans="26:26" x14ac:dyDescent="0.2">
      <c r="Z10893" t="str">
        <f t="shared" si="170"/>
        <v/>
      </c>
    </row>
    <row r="10894" spans="26:26" x14ac:dyDescent="0.2">
      <c r="Z10894" t="str">
        <f t="shared" si="170"/>
        <v/>
      </c>
    </row>
    <row r="10895" spans="26:26" x14ac:dyDescent="0.2">
      <c r="Z10895" t="str">
        <f t="shared" si="170"/>
        <v/>
      </c>
    </row>
    <row r="10896" spans="26:26" x14ac:dyDescent="0.2">
      <c r="Z10896" t="str">
        <f t="shared" si="170"/>
        <v/>
      </c>
    </row>
    <row r="10897" spans="26:26" x14ac:dyDescent="0.2">
      <c r="Z10897" t="str">
        <f t="shared" si="170"/>
        <v/>
      </c>
    </row>
    <row r="10898" spans="26:26" x14ac:dyDescent="0.2">
      <c r="Z10898" t="str">
        <f t="shared" si="170"/>
        <v/>
      </c>
    </row>
    <row r="10899" spans="26:26" x14ac:dyDescent="0.2">
      <c r="Z10899" t="str">
        <f t="shared" si="170"/>
        <v/>
      </c>
    </row>
    <row r="10900" spans="26:26" x14ac:dyDescent="0.2">
      <c r="Z10900" t="str">
        <f t="shared" si="170"/>
        <v/>
      </c>
    </row>
    <row r="10901" spans="26:26" x14ac:dyDescent="0.2">
      <c r="Z10901" t="str">
        <f t="shared" si="170"/>
        <v/>
      </c>
    </row>
    <row r="10902" spans="26:26" x14ac:dyDescent="0.2">
      <c r="Z10902" t="str">
        <f t="shared" si="170"/>
        <v/>
      </c>
    </row>
    <row r="10903" spans="26:26" x14ac:dyDescent="0.2">
      <c r="Z10903" t="str">
        <f t="shared" si="170"/>
        <v/>
      </c>
    </row>
    <row r="10904" spans="26:26" x14ac:dyDescent="0.2">
      <c r="Z10904" t="str">
        <f t="shared" si="170"/>
        <v/>
      </c>
    </row>
    <row r="10905" spans="26:26" x14ac:dyDescent="0.2">
      <c r="Z10905" t="str">
        <f t="shared" si="170"/>
        <v/>
      </c>
    </row>
    <row r="10906" spans="26:26" x14ac:dyDescent="0.2">
      <c r="Z10906" t="str">
        <f t="shared" si="170"/>
        <v/>
      </c>
    </row>
    <row r="10907" spans="26:26" x14ac:dyDescent="0.2">
      <c r="Z10907" t="str">
        <f t="shared" si="170"/>
        <v/>
      </c>
    </row>
    <row r="10908" spans="26:26" x14ac:dyDescent="0.2">
      <c r="Z10908" t="str">
        <f t="shared" si="170"/>
        <v/>
      </c>
    </row>
    <row r="10909" spans="26:26" x14ac:dyDescent="0.2">
      <c r="Z10909" t="str">
        <f t="shared" si="170"/>
        <v/>
      </c>
    </row>
    <row r="10910" spans="26:26" x14ac:dyDescent="0.2">
      <c r="Z10910" t="str">
        <f t="shared" si="170"/>
        <v/>
      </c>
    </row>
    <row r="10911" spans="26:26" x14ac:dyDescent="0.2">
      <c r="Z10911" t="str">
        <f t="shared" si="170"/>
        <v/>
      </c>
    </row>
    <row r="10912" spans="26:26" x14ac:dyDescent="0.2">
      <c r="Z10912" t="str">
        <f t="shared" si="170"/>
        <v/>
      </c>
    </row>
    <row r="10913" spans="26:26" x14ac:dyDescent="0.2">
      <c r="Z10913" t="str">
        <f t="shared" si="170"/>
        <v/>
      </c>
    </row>
    <row r="10914" spans="26:26" x14ac:dyDescent="0.2">
      <c r="Z10914" t="str">
        <f t="shared" si="170"/>
        <v/>
      </c>
    </row>
    <row r="10915" spans="26:26" x14ac:dyDescent="0.2">
      <c r="Z10915" t="str">
        <f t="shared" si="170"/>
        <v/>
      </c>
    </row>
    <row r="10916" spans="26:26" x14ac:dyDescent="0.2">
      <c r="Z10916" t="str">
        <f t="shared" si="170"/>
        <v/>
      </c>
    </row>
    <row r="10917" spans="26:26" x14ac:dyDescent="0.2">
      <c r="Z10917" t="str">
        <f t="shared" si="170"/>
        <v/>
      </c>
    </row>
    <row r="10918" spans="26:26" x14ac:dyDescent="0.2">
      <c r="Z10918" t="str">
        <f t="shared" si="170"/>
        <v/>
      </c>
    </row>
    <row r="10919" spans="26:26" x14ac:dyDescent="0.2">
      <c r="Z10919" t="str">
        <f t="shared" si="170"/>
        <v/>
      </c>
    </row>
    <row r="10920" spans="26:26" x14ac:dyDescent="0.2">
      <c r="Z10920" t="str">
        <f t="shared" si="170"/>
        <v/>
      </c>
    </row>
    <row r="10921" spans="26:26" x14ac:dyDescent="0.2">
      <c r="Z10921" t="str">
        <f t="shared" si="170"/>
        <v/>
      </c>
    </row>
    <row r="10922" spans="26:26" x14ac:dyDescent="0.2">
      <c r="Z10922" t="str">
        <f t="shared" si="170"/>
        <v/>
      </c>
    </row>
    <row r="10923" spans="26:26" x14ac:dyDescent="0.2">
      <c r="Z10923" t="str">
        <f t="shared" si="170"/>
        <v/>
      </c>
    </row>
    <row r="10924" spans="26:26" x14ac:dyDescent="0.2">
      <c r="Z10924" t="str">
        <f t="shared" si="170"/>
        <v/>
      </c>
    </row>
    <row r="10925" spans="26:26" x14ac:dyDescent="0.2">
      <c r="Z10925" t="str">
        <f t="shared" si="170"/>
        <v/>
      </c>
    </row>
    <row r="10926" spans="26:26" x14ac:dyDescent="0.2">
      <c r="Z10926" t="str">
        <f t="shared" si="170"/>
        <v/>
      </c>
    </row>
    <row r="10927" spans="26:26" x14ac:dyDescent="0.2">
      <c r="Z10927" t="str">
        <f t="shared" si="170"/>
        <v/>
      </c>
    </row>
    <row r="10928" spans="26:26" x14ac:dyDescent="0.2">
      <c r="Z10928" t="str">
        <f t="shared" si="170"/>
        <v/>
      </c>
    </row>
    <row r="10929" spans="26:26" x14ac:dyDescent="0.2">
      <c r="Z10929" t="str">
        <f t="shared" si="170"/>
        <v/>
      </c>
    </row>
    <row r="10930" spans="26:26" x14ac:dyDescent="0.2">
      <c r="Z10930" t="str">
        <f t="shared" si="170"/>
        <v/>
      </c>
    </row>
    <row r="10931" spans="26:26" x14ac:dyDescent="0.2">
      <c r="Z10931" t="str">
        <f t="shared" si="170"/>
        <v/>
      </c>
    </row>
    <row r="10932" spans="26:26" x14ac:dyDescent="0.2">
      <c r="Z10932" t="str">
        <f t="shared" si="170"/>
        <v/>
      </c>
    </row>
    <row r="10933" spans="26:26" x14ac:dyDescent="0.2">
      <c r="Z10933" t="str">
        <f t="shared" si="170"/>
        <v/>
      </c>
    </row>
    <row r="10934" spans="26:26" x14ac:dyDescent="0.2">
      <c r="Z10934" t="str">
        <f t="shared" si="170"/>
        <v/>
      </c>
    </row>
    <row r="10935" spans="26:26" x14ac:dyDescent="0.2">
      <c r="Z10935" t="str">
        <f t="shared" si="170"/>
        <v/>
      </c>
    </row>
    <row r="10936" spans="26:26" x14ac:dyDescent="0.2">
      <c r="Z10936" t="str">
        <f t="shared" si="170"/>
        <v/>
      </c>
    </row>
    <row r="10937" spans="26:26" x14ac:dyDescent="0.2">
      <c r="Z10937" t="str">
        <f t="shared" si="170"/>
        <v/>
      </c>
    </row>
    <row r="10938" spans="26:26" x14ac:dyDescent="0.2">
      <c r="Z10938" t="str">
        <f t="shared" si="170"/>
        <v/>
      </c>
    </row>
    <row r="10939" spans="26:26" x14ac:dyDescent="0.2">
      <c r="Z10939" t="str">
        <f t="shared" si="170"/>
        <v/>
      </c>
    </row>
    <row r="10940" spans="26:26" x14ac:dyDescent="0.2">
      <c r="Z10940" t="str">
        <f t="shared" si="170"/>
        <v/>
      </c>
    </row>
    <row r="10941" spans="26:26" x14ac:dyDescent="0.2">
      <c r="Z10941" t="str">
        <f t="shared" si="170"/>
        <v/>
      </c>
    </row>
    <row r="10942" spans="26:26" x14ac:dyDescent="0.2">
      <c r="Z10942" t="str">
        <f t="shared" si="170"/>
        <v/>
      </c>
    </row>
    <row r="10943" spans="26:26" x14ac:dyDescent="0.2">
      <c r="Z10943" t="str">
        <f t="shared" si="170"/>
        <v/>
      </c>
    </row>
    <row r="10944" spans="26:26" x14ac:dyDescent="0.2">
      <c r="Z10944" t="str">
        <f t="shared" si="170"/>
        <v/>
      </c>
    </row>
    <row r="10945" spans="26:26" x14ac:dyDescent="0.2">
      <c r="Z10945" t="str">
        <f t="shared" si="170"/>
        <v/>
      </c>
    </row>
    <row r="10946" spans="26:26" x14ac:dyDescent="0.2">
      <c r="Z10946" t="str">
        <f t="shared" si="170"/>
        <v/>
      </c>
    </row>
    <row r="10947" spans="26:26" x14ac:dyDescent="0.2">
      <c r="Z10947" t="str">
        <f t="shared" ref="Z10947:Z11010" si="171">IF(K10947="","",IFERROR(VALUE(TRIM(MID(K10947,FIND(CHAR(167),SUBSTITUTE(K10947,"-",CHAR(167),LEN(K10947)-LEN(SUBSTITUTE(K10947,"-",""))))+1,100))),K10947))</f>
        <v/>
      </c>
    </row>
    <row r="10948" spans="26:26" x14ac:dyDescent="0.2">
      <c r="Z10948" t="str">
        <f t="shared" si="171"/>
        <v/>
      </c>
    </row>
    <row r="10949" spans="26:26" x14ac:dyDescent="0.2">
      <c r="Z10949" t="str">
        <f t="shared" si="171"/>
        <v/>
      </c>
    </row>
    <row r="10950" spans="26:26" x14ac:dyDescent="0.2">
      <c r="Z10950" t="str">
        <f t="shared" si="171"/>
        <v/>
      </c>
    </row>
    <row r="10951" spans="26:26" x14ac:dyDescent="0.2">
      <c r="Z10951" t="str">
        <f t="shared" si="171"/>
        <v/>
      </c>
    </row>
    <row r="10952" spans="26:26" x14ac:dyDescent="0.2">
      <c r="Z10952" t="str">
        <f t="shared" si="171"/>
        <v/>
      </c>
    </row>
    <row r="10953" spans="26:26" x14ac:dyDescent="0.2">
      <c r="Z10953" t="str">
        <f t="shared" si="171"/>
        <v/>
      </c>
    </row>
    <row r="10954" spans="26:26" x14ac:dyDescent="0.2">
      <c r="Z10954" t="str">
        <f t="shared" si="171"/>
        <v/>
      </c>
    </row>
    <row r="10955" spans="26:26" x14ac:dyDescent="0.2">
      <c r="Z10955" t="str">
        <f t="shared" si="171"/>
        <v/>
      </c>
    </row>
    <row r="10956" spans="26:26" x14ac:dyDescent="0.2">
      <c r="Z10956" t="str">
        <f t="shared" si="171"/>
        <v/>
      </c>
    </row>
    <row r="10957" spans="26:26" x14ac:dyDescent="0.2">
      <c r="Z10957" t="str">
        <f t="shared" si="171"/>
        <v/>
      </c>
    </row>
    <row r="10958" spans="26:26" x14ac:dyDescent="0.2">
      <c r="Z10958" t="str">
        <f t="shared" si="171"/>
        <v/>
      </c>
    </row>
    <row r="10959" spans="26:26" x14ac:dyDescent="0.2">
      <c r="Z10959" t="str">
        <f t="shared" si="171"/>
        <v/>
      </c>
    </row>
    <row r="10960" spans="26:26" x14ac:dyDescent="0.2">
      <c r="Z10960" t="str">
        <f t="shared" si="171"/>
        <v/>
      </c>
    </row>
    <row r="10961" spans="26:26" x14ac:dyDescent="0.2">
      <c r="Z10961" t="str">
        <f t="shared" si="171"/>
        <v/>
      </c>
    </row>
    <row r="10962" spans="26:26" x14ac:dyDescent="0.2">
      <c r="Z10962" t="str">
        <f t="shared" si="171"/>
        <v/>
      </c>
    </row>
    <row r="10963" spans="26:26" x14ac:dyDescent="0.2">
      <c r="Z10963" t="str">
        <f t="shared" si="171"/>
        <v/>
      </c>
    </row>
    <row r="10964" spans="26:26" x14ac:dyDescent="0.2">
      <c r="Z10964" t="str">
        <f t="shared" si="171"/>
        <v/>
      </c>
    </row>
    <row r="10965" spans="26:26" x14ac:dyDescent="0.2">
      <c r="Z10965" t="str">
        <f t="shared" si="171"/>
        <v/>
      </c>
    </row>
    <row r="10966" spans="26:26" x14ac:dyDescent="0.2">
      <c r="Z10966" t="str">
        <f t="shared" si="171"/>
        <v/>
      </c>
    </row>
    <row r="10967" spans="26:26" x14ac:dyDescent="0.2">
      <c r="Z10967" t="str">
        <f t="shared" si="171"/>
        <v/>
      </c>
    </row>
    <row r="10968" spans="26:26" x14ac:dyDescent="0.2">
      <c r="Z10968" t="str">
        <f t="shared" si="171"/>
        <v/>
      </c>
    </row>
    <row r="10969" spans="26:26" x14ac:dyDescent="0.2">
      <c r="Z10969" t="str">
        <f t="shared" si="171"/>
        <v/>
      </c>
    </row>
    <row r="10970" spans="26:26" x14ac:dyDescent="0.2">
      <c r="Z10970" t="str">
        <f t="shared" si="171"/>
        <v/>
      </c>
    </row>
    <row r="10971" spans="26:26" x14ac:dyDescent="0.2">
      <c r="Z10971" t="str">
        <f t="shared" si="171"/>
        <v/>
      </c>
    </row>
    <row r="10972" spans="26:26" x14ac:dyDescent="0.2">
      <c r="Z10972" t="str">
        <f t="shared" si="171"/>
        <v/>
      </c>
    </row>
    <row r="10973" spans="26:26" x14ac:dyDescent="0.2">
      <c r="Z10973" t="str">
        <f t="shared" si="171"/>
        <v/>
      </c>
    </row>
    <row r="10974" spans="26:26" x14ac:dyDescent="0.2">
      <c r="Z10974" t="str">
        <f t="shared" si="171"/>
        <v/>
      </c>
    </row>
    <row r="10975" spans="26:26" x14ac:dyDescent="0.2">
      <c r="Z10975" t="str">
        <f t="shared" si="171"/>
        <v/>
      </c>
    </row>
    <row r="10976" spans="26:26" x14ac:dyDescent="0.2">
      <c r="Z10976" t="str">
        <f t="shared" si="171"/>
        <v/>
      </c>
    </row>
    <row r="10977" spans="26:26" x14ac:dyDescent="0.2">
      <c r="Z10977" t="str">
        <f t="shared" si="171"/>
        <v/>
      </c>
    </row>
    <row r="10978" spans="26:26" x14ac:dyDescent="0.2">
      <c r="Z10978" t="str">
        <f t="shared" si="171"/>
        <v/>
      </c>
    </row>
    <row r="10979" spans="26:26" x14ac:dyDescent="0.2">
      <c r="Z10979" t="str">
        <f t="shared" si="171"/>
        <v/>
      </c>
    </row>
    <row r="10980" spans="26:26" x14ac:dyDescent="0.2">
      <c r="Z10980" t="str">
        <f t="shared" si="171"/>
        <v/>
      </c>
    </row>
    <row r="10981" spans="26:26" x14ac:dyDescent="0.2">
      <c r="Z10981" t="str">
        <f t="shared" si="171"/>
        <v/>
      </c>
    </row>
    <row r="10982" spans="26:26" x14ac:dyDescent="0.2">
      <c r="Z10982" t="str">
        <f t="shared" si="171"/>
        <v/>
      </c>
    </row>
    <row r="10983" spans="26:26" x14ac:dyDescent="0.2">
      <c r="Z10983" t="str">
        <f t="shared" si="171"/>
        <v/>
      </c>
    </row>
    <row r="10984" spans="26:26" x14ac:dyDescent="0.2">
      <c r="Z10984" t="str">
        <f t="shared" si="171"/>
        <v/>
      </c>
    </row>
    <row r="10985" spans="26:26" x14ac:dyDescent="0.2">
      <c r="Z10985" t="str">
        <f t="shared" si="171"/>
        <v/>
      </c>
    </row>
    <row r="10986" spans="26:26" x14ac:dyDescent="0.2">
      <c r="Z10986" t="str">
        <f t="shared" si="171"/>
        <v/>
      </c>
    </row>
    <row r="10987" spans="26:26" x14ac:dyDescent="0.2">
      <c r="Z10987" t="str">
        <f t="shared" si="171"/>
        <v/>
      </c>
    </row>
    <row r="10988" spans="26:26" x14ac:dyDescent="0.2">
      <c r="Z10988" t="str">
        <f t="shared" si="171"/>
        <v/>
      </c>
    </row>
    <row r="10989" spans="26:26" x14ac:dyDescent="0.2">
      <c r="Z10989" t="str">
        <f t="shared" si="171"/>
        <v/>
      </c>
    </row>
    <row r="10990" spans="26:26" x14ac:dyDescent="0.2">
      <c r="Z10990" t="str">
        <f t="shared" si="171"/>
        <v/>
      </c>
    </row>
    <row r="10991" spans="26:26" x14ac:dyDescent="0.2">
      <c r="Z10991" t="str">
        <f t="shared" si="171"/>
        <v/>
      </c>
    </row>
    <row r="10992" spans="26:26" x14ac:dyDescent="0.2">
      <c r="Z10992" t="str">
        <f t="shared" si="171"/>
        <v/>
      </c>
    </row>
    <row r="10993" spans="26:26" x14ac:dyDescent="0.2">
      <c r="Z10993" t="str">
        <f t="shared" si="171"/>
        <v/>
      </c>
    </row>
    <row r="10994" spans="26:26" x14ac:dyDescent="0.2">
      <c r="Z10994" t="str">
        <f t="shared" si="171"/>
        <v/>
      </c>
    </row>
    <row r="10995" spans="26:26" x14ac:dyDescent="0.2">
      <c r="Z10995" t="str">
        <f t="shared" si="171"/>
        <v/>
      </c>
    </row>
    <row r="10996" spans="26:26" x14ac:dyDescent="0.2">
      <c r="Z10996" t="str">
        <f t="shared" si="171"/>
        <v/>
      </c>
    </row>
    <row r="10997" spans="26:26" x14ac:dyDescent="0.2">
      <c r="Z10997" t="str">
        <f t="shared" si="171"/>
        <v/>
      </c>
    </row>
    <row r="10998" spans="26:26" x14ac:dyDescent="0.2">
      <c r="Z10998" t="str">
        <f t="shared" si="171"/>
        <v/>
      </c>
    </row>
    <row r="10999" spans="26:26" x14ac:dyDescent="0.2">
      <c r="Z10999" t="str">
        <f t="shared" si="171"/>
        <v/>
      </c>
    </row>
    <row r="11000" spans="26:26" x14ac:dyDescent="0.2">
      <c r="Z11000" t="str">
        <f t="shared" si="171"/>
        <v/>
      </c>
    </row>
    <row r="11001" spans="26:26" x14ac:dyDescent="0.2">
      <c r="Z11001" t="str">
        <f t="shared" si="171"/>
        <v/>
      </c>
    </row>
    <row r="11002" spans="26:26" x14ac:dyDescent="0.2">
      <c r="Z11002" t="str">
        <f t="shared" si="171"/>
        <v/>
      </c>
    </row>
    <row r="11003" spans="26:26" x14ac:dyDescent="0.2">
      <c r="Z11003" t="str">
        <f t="shared" si="171"/>
        <v/>
      </c>
    </row>
    <row r="11004" spans="26:26" x14ac:dyDescent="0.2">
      <c r="Z11004" t="str">
        <f t="shared" si="171"/>
        <v/>
      </c>
    </row>
    <row r="11005" spans="26:26" x14ac:dyDescent="0.2">
      <c r="Z11005" t="str">
        <f t="shared" si="171"/>
        <v/>
      </c>
    </row>
    <row r="11006" spans="26:26" x14ac:dyDescent="0.2">
      <c r="Z11006" t="str">
        <f t="shared" si="171"/>
        <v/>
      </c>
    </row>
    <row r="11007" spans="26:26" x14ac:dyDescent="0.2">
      <c r="Z11007" t="str">
        <f t="shared" si="171"/>
        <v/>
      </c>
    </row>
    <row r="11008" spans="26:26" x14ac:dyDescent="0.2">
      <c r="Z11008" t="str">
        <f t="shared" si="171"/>
        <v/>
      </c>
    </row>
    <row r="11009" spans="26:26" x14ac:dyDescent="0.2">
      <c r="Z11009" t="str">
        <f t="shared" si="171"/>
        <v/>
      </c>
    </row>
    <row r="11010" spans="26:26" x14ac:dyDescent="0.2">
      <c r="Z11010" t="str">
        <f t="shared" si="171"/>
        <v/>
      </c>
    </row>
    <row r="11011" spans="26:26" x14ac:dyDescent="0.2">
      <c r="Z11011" t="str">
        <f t="shared" ref="Z11011:Z11074" si="172">IF(K11011="","",IFERROR(VALUE(TRIM(MID(K11011,FIND(CHAR(167),SUBSTITUTE(K11011,"-",CHAR(167),LEN(K11011)-LEN(SUBSTITUTE(K11011,"-",""))))+1,100))),K11011))</f>
        <v/>
      </c>
    </row>
    <row r="11012" spans="26:26" x14ac:dyDescent="0.2">
      <c r="Z11012" t="str">
        <f t="shared" si="172"/>
        <v/>
      </c>
    </row>
    <row r="11013" spans="26:26" x14ac:dyDescent="0.2">
      <c r="Z11013" t="str">
        <f t="shared" si="172"/>
        <v/>
      </c>
    </row>
    <row r="11014" spans="26:26" x14ac:dyDescent="0.2">
      <c r="Z11014" t="str">
        <f t="shared" si="172"/>
        <v/>
      </c>
    </row>
    <row r="11015" spans="26:26" x14ac:dyDescent="0.2">
      <c r="Z11015" t="str">
        <f t="shared" si="172"/>
        <v/>
      </c>
    </row>
    <row r="11016" spans="26:26" x14ac:dyDescent="0.2">
      <c r="Z11016" t="str">
        <f t="shared" si="172"/>
        <v/>
      </c>
    </row>
    <row r="11017" spans="26:26" x14ac:dyDescent="0.2">
      <c r="Z11017" t="str">
        <f t="shared" si="172"/>
        <v/>
      </c>
    </row>
    <row r="11018" spans="26:26" x14ac:dyDescent="0.2">
      <c r="Z11018" t="str">
        <f t="shared" si="172"/>
        <v/>
      </c>
    </row>
    <row r="11019" spans="26:26" x14ac:dyDescent="0.2">
      <c r="Z11019" t="str">
        <f t="shared" si="172"/>
        <v/>
      </c>
    </row>
    <row r="11020" spans="26:26" x14ac:dyDescent="0.2">
      <c r="Z11020" t="str">
        <f t="shared" si="172"/>
        <v/>
      </c>
    </row>
    <row r="11021" spans="26:26" x14ac:dyDescent="0.2">
      <c r="Z11021" t="str">
        <f t="shared" si="172"/>
        <v/>
      </c>
    </row>
    <row r="11022" spans="26:26" x14ac:dyDescent="0.2">
      <c r="Z11022" t="str">
        <f t="shared" si="172"/>
        <v/>
      </c>
    </row>
    <row r="11023" spans="26:26" x14ac:dyDescent="0.2">
      <c r="Z11023" t="str">
        <f t="shared" si="172"/>
        <v/>
      </c>
    </row>
    <row r="11024" spans="26:26" x14ac:dyDescent="0.2">
      <c r="Z11024" t="str">
        <f t="shared" si="172"/>
        <v/>
      </c>
    </row>
    <row r="11025" spans="26:26" x14ac:dyDescent="0.2">
      <c r="Z11025" t="str">
        <f t="shared" si="172"/>
        <v/>
      </c>
    </row>
    <row r="11026" spans="26:26" x14ac:dyDescent="0.2">
      <c r="Z11026" t="str">
        <f t="shared" si="172"/>
        <v/>
      </c>
    </row>
    <row r="11027" spans="26:26" x14ac:dyDescent="0.2">
      <c r="Z11027" t="str">
        <f t="shared" si="172"/>
        <v/>
      </c>
    </row>
    <row r="11028" spans="26:26" x14ac:dyDescent="0.2">
      <c r="Z11028" t="str">
        <f t="shared" si="172"/>
        <v/>
      </c>
    </row>
    <row r="11029" spans="26:26" x14ac:dyDescent="0.2">
      <c r="Z11029" t="str">
        <f t="shared" si="172"/>
        <v/>
      </c>
    </row>
    <row r="11030" spans="26:26" x14ac:dyDescent="0.2">
      <c r="Z11030" t="str">
        <f t="shared" si="172"/>
        <v/>
      </c>
    </row>
    <row r="11031" spans="26:26" x14ac:dyDescent="0.2">
      <c r="Z11031" t="str">
        <f t="shared" si="172"/>
        <v/>
      </c>
    </row>
    <row r="11032" spans="26:26" x14ac:dyDescent="0.2">
      <c r="Z11032" t="str">
        <f t="shared" si="172"/>
        <v/>
      </c>
    </row>
    <row r="11033" spans="26:26" x14ac:dyDescent="0.2">
      <c r="Z11033" t="str">
        <f t="shared" si="172"/>
        <v/>
      </c>
    </row>
    <row r="11034" spans="26:26" x14ac:dyDescent="0.2">
      <c r="Z11034" t="str">
        <f t="shared" si="172"/>
        <v/>
      </c>
    </row>
    <row r="11035" spans="26:26" x14ac:dyDescent="0.2">
      <c r="Z11035" t="str">
        <f t="shared" si="172"/>
        <v/>
      </c>
    </row>
    <row r="11036" spans="26:26" x14ac:dyDescent="0.2">
      <c r="Z11036" t="str">
        <f t="shared" si="172"/>
        <v/>
      </c>
    </row>
    <row r="11037" spans="26:26" x14ac:dyDescent="0.2">
      <c r="Z11037" t="str">
        <f t="shared" si="172"/>
        <v/>
      </c>
    </row>
    <row r="11038" spans="26:26" x14ac:dyDescent="0.2">
      <c r="Z11038" t="str">
        <f t="shared" si="172"/>
        <v/>
      </c>
    </row>
    <row r="11039" spans="26:26" x14ac:dyDescent="0.2">
      <c r="Z11039" t="str">
        <f t="shared" si="172"/>
        <v/>
      </c>
    </row>
    <row r="11040" spans="26:26" x14ac:dyDescent="0.2">
      <c r="Z11040" t="str">
        <f t="shared" si="172"/>
        <v/>
      </c>
    </row>
    <row r="11041" spans="26:26" x14ac:dyDescent="0.2">
      <c r="Z11041" t="str">
        <f t="shared" si="172"/>
        <v/>
      </c>
    </row>
    <row r="11042" spans="26:26" x14ac:dyDescent="0.2">
      <c r="Z11042" t="str">
        <f t="shared" si="172"/>
        <v/>
      </c>
    </row>
    <row r="11043" spans="26:26" x14ac:dyDescent="0.2">
      <c r="Z11043" t="str">
        <f t="shared" si="172"/>
        <v/>
      </c>
    </row>
    <row r="11044" spans="26:26" x14ac:dyDescent="0.2">
      <c r="Z11044" t="str">
        <f t="shared" si="172"/>
        <v/>
      </c>
    </row>
    <row r="11045" spans="26:26" x14ac:dyDescent="0.2">
      <c r="Z11045" t="str">
        <f t="shared" si="172"/>
        <v/>
      </c>
    </row>
    <row r="11046" spans="26:26" x14ac:dyDescent="0.2">
      <c r="Z11046" t="str">
        <f t="shared" si="172"/>
        <v/>
      </c>
    </row>
    <row r="11047" spans="26:26" x14ac:dyDescent="0.2">
      <c r="Z11047" t="str">
        <f t="shared" si="172"/>
        <v/>
      </c>
    </row>
    <row r="11048" spans="26:26" x14ac:dyDescent="0.2">
      <c r="Z11048" t="str">
        <f t="shared" si="172"/>
        <v/>
      </c>
    </row>
    <row r="11049" spans="26:26" x14ac:dyDescent="0.2">
      <c r="Z11049" t="str">
        <f t="shared" si="172"/>
        <v/>
      </c>
    </row>
    <row r="11050" spans="26:26" x14ac:dyDescent="0.2">
      <c r="Z11050" t="str">
        <f t="shared" si="172"/>
        <v/>
      </c>
    </row>
    <row r="11051" spans="26:26" x14ac:dyDescent="0.2">
      <c r="Z11051" t="str">
        <f t="shared" si="172"/>
        <v/>
      </c>
    </row>
    <row r="11052" spans="26:26" x14ac:dyDescent="0.2">
      <c r="Z11052" t="str">
        <f t="shared" si="172"/>
        <v/>
      </c>
    </row>
    <row r="11053" spans="26:26" x14ac:dyDescent="0.2">
      <c r="Z11053" t="str">
        <f t="shared" si="172"/>
        <v/>
      </c>
    </row>
    <row r="11054" spans="26:26" x14ac:dyDescent="0.2">
      <c r="Z11054" t="str">
        <f t="shared" si="172"/>
        <v/>
      </c>
    </row>
    <row r="11055" spans="26:26" x14ac:dyDescent="0.2">
      <c r="Z11055" t="str">
        <f t="shared" si="172"/>
        <v/>
      </c>
    </row>
    <row r="11056" spans="26:26" x14ac:dyDescent="0.2">
      <c r="Z11056" t="str">
        <f t="shared" si="172"/>
        <v/>
      </c>
    </row>
    <row r="11057" spans="26:26" x14ac:dyDescent="0.2">
      <c r="Z11057" t="str">
        <f t="shared" si="172"/>
        <v/>
      </c>
    </row>
    <row r="11058" spans="26:26" x14ac:dyDescent="0.2">
      <c r="Z11058" t="str">
        <f t="shared" si="172"/>
        <v/>
      </c>
    </row>
    <row r="11059" spans="26:26" x14ac:dyDescent="0.2">
      <c r="Z11059" t="str">
        <f t="shared" si="172"/>
        <v/>
      </c>
    </row>
    <row r="11060" spans="26:26" x14ac:dyDescent="0.2">
      <c r="Z11060" t="str">
        <f t="shared" si="172"/>
        <v/>
      </c>
    </row>
    <row r="11061" spans="26:26" x14ac:dyDescent="0.2">
      <c r="Z11061" t="str">
        <f t="shared" si="172"/>
        <v/>
      </c>
    </row>
    <row r="11062" spans="26:26" x14ac:dyDescent="0.2">
      <c r="Z11062" t="str">
        <f t="shared" si="172"/>
        <v/>
      </c>
    </row>
    <row r="11063" spans="26:26" x14ac:dyDescent="0.2">
      <c r="Z11063" t="str">
        <f t="shared" si="172"/>
        <v/>
      </c>
    </row>
    <row r="11064" spans="26:26" x14ac:dyDescent="0.2">
      <c r="Z11064" t="str">
        <f t="shared" si="172"/>
        <v/>
      </c>
    </row>
    <row r="11065" spans="26:26" x14ac:dyDescent="0.2">
      <c r="Z11065" t="str">
        <f t="shared" si="172"/>
        <v/>
      </c>
    </row>
    <row r="11066" spans="26:26" x14ac:dyDescent="0.2">
      <c r="Z11066" t="str">
        <f t="shared" si="172"/>
        <v/>
      </c>
    </row>
    <row r="11067" spans="26:26" x14ac:dyDescent="0.2">
      <c r="Z11067" t="str">
        <f t="shared" si="172"/>
        <v/>
      </c>
    </row>
    <row r="11068" spans="26:26" x14ac:dyDescent="0.2">
      <c r="Z11068" t="str">
        <f t="shared" si="172"/>
        <v/>
      </c>
    </row>
    <row r="11069" spans="26:26" x14ac:dyDescent="0.2">
      <c r="Z11069" t="str">
        <f t="shared" si="172"/>
        <v/>
      </c>
    </row>
    <row r="11070" spans="26:26" x14ac:dyDescent="0.2">
      <c r="Z11070" t="str">
        <f t="shared" si="172"/>
        <v/>
      </c>
    </row>
    <row r="11071" spans="26:26" x14ac:dyDescent="0.2">
      <c r="Z11071" t="str">
        <f t="shared" si="172"/>
        <v/>
      </c>
    </row>
    <row r="11072" spans="26:26" x14ac:dyDescent="0.2">
      <c r="Z11072" t="str">
        <f t="shared" si="172"/>
        <v/>
      </c>
    </row>
    <row r="11073" spans="26:26" x14ac:dyDescent="0.2">
      <c r="Z11073" t="str">
        <f t="shared" si="172"/>
        <v/>
      </c>
    </row>
    <row r="11074" spans="26:26" x14ac:dyDescent="0.2">
      <c r="Z11074" t="str">
        <f t="shared" si="172"/>
        <v/>
      </c>
    </row>
    <row r="11075" spans="26:26" x14ac:dyDescent="0.2">
      <c r="Z11075" t="str">
        <f t="shared" ref="Z11075:Z11138" si="173">IF(K11075="","",IFERROR(VALUE(TRIM(MID(K11075,FIND(CHAR(167),SUBSTITUTE(K11075,"-",CHAR(167),LEN(K11075)-LEN(SUBSTITUTE(K11075,"-",""))))+1,100))),K11075))</f>
        <v/>
      </c>
    </row>
    <row r="11076" spans="26:26" x14ac:dyDescent="0.2">
      <c r="Z11076" t="str">
        <f t="shared" si="173"/>
        <v/>
      </c>
    </row>
    <row r="11077" spans="26:26" x14ac:dyDescent="0.2">
      <c r="Z11077" t="str">
        <f t="shared" si="173"/>
        <v/>
      </c>
    </row>
    <row r="11078" spans="26:26" x14ac:dyDescent="0.2">
      <c r="Z11078" t="str">
        <f t="shared" si="173"/>
        <v/>
      </c>
    </row>
    <row r="11079" spans="26:26" x14ac:dyDescent="0.2">
      <c r="Z11079" t="str">
        <f t="shared" si="173"/>
        <v/>
      </c>
    </row>
    <row r="11080" spans="26:26" x14ac:dyDescent="0.2">
      <c r="Z11080" t="str">
        <f t="shared" si="173"/>
        <v/>
      </c>
    </row>
    <row r="11081" spans="26:26" x14ac:dyDescent="0.2">
      <c r="Z11081" t="str">
        <f t="shared" si="173"/>
        <v/>
      </c>
    </row>
    <row r="11082" spans="26:26" x14ac:dyDescent="0.2">
      <c r="Z11082" t="str">
        <f t="shared" si="173"/>
        <v/>
      </c>
    </row>
    <row r="11083" spans="26:26" x14ac:dyDescent="0.2">
      <c r="Z11083" t="str">
        <f t="shared" si="173"/>
        <v/>
      </c>
    </row>
    <row r="11084" spans="26:26" x14ac:dyDescent="0.2">
      <c r="Z11084" t="str">
        <f t="shared" si="173"/>
        <v/>
      </c>
    </row>
    <row r="11085" spans="26:26" x14ac:dyDescent="0.2">
      <c r="Z11085" t="str">
        <f t="shared" si="173"/>
        <v/>
      </c>
    </row>
    <row r="11086" spans="26:26" x14ac:dyDescent="0.2">
      <c r="Z11086" t="str">
        <f t="shared" si="173"/>
        <v/>
      </c>
    </row>
    <row r="11087" spans="26:26" x14ac:dyDescent="0.2">
      <c r="Z11087" t="str">
        <f t="shared" si="173"/>
        <v/>
      </c>
    </row>
    <row r="11088" spans="26:26" x14ac:dyDescent="0.2">
      <c r="Z11088" t="str">
        <f t="shared" si="173"/>
        <v/>
      </c>
    </row>
    <row r="11089" spans="26:26" x14ac:dyDescent="0.2">
      <c r="Z11089" t="str">
        <f t="shared" si="173"/>
        <v/>
      </c>
    </row>
    <row r="11090" spans="26:26" x14ac:dyDescent="0.2">
      <c r="Z11090" t="str">
        <f t="shared" si="173"/>
        <v/>
      </c>
    </row>
    <row r="11091" spans="26:26" x14ac:dyDescent="0.2">
      <c r="Z11091" t="str">
        <f t="shared" si="173"/>
        <v/>
      </c>
    </row>
    <row r="11092" spans="26:26" x14ac:dyDescent="0.2">
      <c r="Z11092" t="str">
        <f t="shared" si="173"/>
        <v/>
      </c>
    </row>
    <row r="11093" spans="26:26" x14ac:dyDescent="0.2">
      <c r="Z11093" t="str">
        <f t="shared" si="173"/>
        <v/>
      </c>
    </row>
    <row r="11094" spans="26:26" x14ac:dyDescent="0.2">
      <c r="Z11094" t="str">
        <f t="shared" si="173"/>
        <v/>
      </c>
    </row>
    <row r="11095" spans="26:26" x14ac:dyDescent="0.2">
      <c r="Z11095" t="str">
        <f t="shared" si="173"/>
        <v/>
      </c>
    </row>
    <row r="11096" spans="26:26" x14ac:dyDescent="0.2">
      <c r="Z11096" t="str">
        <f t="shared" si="173"/>
        <v/>
      </c>
    </row>
    <row r="11097" spans="26:26" x14ac:dyDescent="0.2">
      <c r="Z11097" t="str">
        <f t="shared" si="173"/>
        <v/>
      </c>
    </row>
    <row r="11098" spans="26:26" x14ac:dyDescent="0.2">
      <c r="Z11098" t="str">
        <f t="shared" si="173"/>
        <v/>
      </c>
    </row>
    <row r="11099" spans="26:26" x14ac:dyDescent="0.2">
      <c r="Z11099" t="str">
        <f t="shared" si="173"/>
        <v/>
      </c>
    </row>
    <row r="11100" spans="26:26" x14ac:dyDescent="0.2">
      <c r="Z11100" t="str">
        <f t="shared" si="173"/>
        <v/>
      </c>
    </row>
    <row r="11101" spans="26:26" x14ac:dyDescent="0.2">
      <c r="Z11101" t="str">
        <f t="shared" si="173"/>
        <v/>
      </c>
    </row>
    <row r="11102" spans="26:26" x14ac:dyDescent="0.2">
      <c r="Z11102" t="str">
        <f t="shared" si="173"/>
        <v/>
      </c>
    </row>
    <row r="11103" spans="26:26" x14ac:dyDescent="0.2">
      <c r="Z11103" t="str">
        <f t="shared" si="173"/>
        <v/>
      </c>
    </row>
    <row r="11104" spans="26:26" x14ac:dyDescent="0.2">
      <c r="Z11104" t="str">
        <f t="shared" si="173"/>
        <v/>
      </c>
    </row>
    <row r="11105" spans="26:26" x14ac:dyDescent="0.2">
      <c r="Z11105" t="str">
        <f t="shared" si="173"/>
        <v/>
      </c>
    </row>
    <row r="11106" spans="26:26" x14ac:dyDescent="0.2">
      <c r="Z11106" t="str">
        <f t="shared" si="173"/>
        <v/>
      </c>
    </row>
    <row r="11107" spans="26:26" x14ac:dyDescent="0.2">
      <c r="Z11107" t="str">
        <f t="shared" si="173"/>
        <v/>
      </c>
    </row>
    <row r="11108" spans="26:26" x14ac:dyDescent="0.2">
      <c r="Z11108" t="str">
        <f t="shared" si="173"/>
        <v/>
      </c>
    </row>
    <row r="11109" spans="26:26" x14ac:dyDescent="0.2">
      <c r="Z11109" t="str">
        <f t="shared" si="173"/>
        <v/>
      </c>
    </row>
    <row r="11110" spans="26:26" x14ac:dyDescent="0.2">
      <c r="Z11110" t="str">
        <f t="shared" si="173"/>
        <v/>
      </c>
    </row>
    <row r="11111" spans="26:26" x14ac:dyDescent="0.2">
      <c r="Z11111" t="str">
        <f t="shared" si="173"/>
        <v/>
      </c>
    </row>
    <row r="11112" spans="26:26" x14ac:dyDescent="0.2">
      <c r="Z11112" t="str">
        <f t="shared" si="173"/>
        <v/>
      </c>
    </row>
    <row r="11113" spans="26:26" x14ac:dyDescent="0.2">
      <c r="Z11113" t="str">
        <f t="shared" si="173"/>
        <v/>
      </c>
    </row>
    <row r="11114" spans="26:26" x14ac:dyDescent="0.2">
      <c r="Z11114" t="str">
        <f t="shared" si="173"/>
        <v/>
      </c>
    </row>
    <row r="11115" spans="26:26" x14ac:dyDescent="0.2">
      <c r="Z11115" t="str">
        <f t="shared" si="173"/>
        <v/>
      </c>
    </row>
    <row r="11116" spans="26:26" x14ac:dyDescent="0.2">
      <c r="Z11116" t="str">
        <f t="shared" si="173"/>
        <v/>
      </c>
    </row>
    <row r="11117" spans="26:26" x14ac:dyDescent="0.2">
      <c r="Z11117" t="str">
        <f t="shared" si="173"/>
        <v/>
      </c>
    </row>
    <row r="11118" spans="26:26" x14ac:dyDescent="0.2">
      <c r="Z11118" t="str">
        <f t="shared" si="173"/>
        <v/>
      </c>
    </row>
    <row r="11119" spans="26:26" x14ac:dyDescent="0.2">
      <c r="Z11119" t="str">
        <f t="shared" si="173"/>
        <v/>
      </c>
    </row>
    <row r="11120" spans="26:26" x14ac:dyDescent="0.2">
      <c r="Z11120" t="str">
        <f t="shared" si="173"/>
        <v/>
      </c>
    </row>
    <row r="11121" spans="26:26" x14ac:dyDescent="0.2">
      <c r="Z11121" t="str">
        <f t="shared" si="173"/>
        <v/>
      </c>
    </row>
    <row r="11122" spans="26:26" x14ac:dyDescent="0.2">
      <c r="Z11122" t="str">
        <f t="shared" si="173"/>
        <v/>
      </c>
    </row>
    <row r="11123" spans="26:26" x14ac:dyDescent="0.2">
      <c r="Z11123" t="str">
        <f t="shared" si="173"/>
        <v/>
      </c>
    </row>
    <row r="11124" spans="26:26" x14ac:dyDescent="0.2">
      <c r="Z11124" t="str">
        <f t="shared" si="173"/>
        <v/>
      </c>
    </row>
    <row r="11125" spans="26:26" x14ac:dyDescent="0.2">
      <c r="Z11125" t="str">
        <f t="shared" si="173"/>
        <v/>
      </c>
    </row>
    <row r="11126" spans="26:26" x14ac:dyDescent="0.2">
      <c r="Z11126" t="str">
        <f t="shared" si="173"/>
        <v/>
      </c>
    </row>
    <row r="11127" spans="26:26" x14ac:dyDescent="0.2">
      <c r="Z11127" t="str">
        <f t="shared" si="173"/>
        <v/>
      </c>
    </row>
    <row r="11128" spans="26:26" x14ac:dyDescent="0.2">
      <c r="Z11128" t="str">
        <f t="shared" si="173"/>
        <v/>
      </c>
    </row>
    <row r="11129" spans="26:26" x14ac:dyDescent="0.2">
      <c r="Z11129" t="str">
        <f t="shared" si="173"/>
        <v/>
      </c>
    </row>
    <row r="11130" spans="26:26" x14ac:dyDescent="0.2">
      <c r="Z11130" t="str">
        <f t="shared" si="173"/>
        <v/>
      </c>
    </row>
    <row r="11131" spans="26:26" x14ac:dyDescent="0.2">
      <c r="Z11131" t="str">
        <f t="shared" si="173"/>
        <v/>
      </c>
    </row>
    <row r="11132" spans="26:26" x14ac:dyDescent="0.2">
      <c r="Z11132" t="str">
        <f t="shared" si="173"/>
        <v/>
      </c>
    </row>
    <row r="11133" spans="26:26" x14ac:dyDescent="0.2">
      <c r="Z11133" t="str">
        <f t="shared" si="173"/>
        <v/>
      </c>
    </row>
    <row r="11134" spans="26:26" x14ac:dyDescent="0.2">
      <c r="Z11134" t="str">
        <f t="shared" si="173"/>
        <v/>
      </c>
    </row>
    <row r="11135" spans="26:26" x14ac:dyDescent="0.2">
      <c r="Z11135" t="str">
        <f t="shared" si="173"/>
        <v/>
      </c>
    </row>
    <row r="11136" spans="26:26" x14ac:dyDescent="0.2">
      <c r="Z11136" t="str">
        <f t="shared" si="173"/>
        <v/>
      </c>
    </row>
    <row r="11137" spans="26:26" x14ac:dyDescent="0.2">
      <c r="Z11137" t="str">
        <f t="shared" si="173"/>
        <v/>
      </c>
    </row>
    <row r="11138" spans="26:26" x14ac:dyDescent="0.2">
      <c r="Z11138" t="str">
        <f t="shared" si="173"/>
        <v/>
      </c>
    </row>
    <row r="11139" spans="26:26" x14ac:dyDescent="0.2">
      <c r="Z11139" t="str">
        <f t="shared" ref="Z11139:Z11202" si="174">IF(K11139="","",IFERROR(VALUE(TRIM(MID(K11139,FIND(CHAR(167),SUBSTITUTE(K11139,"-",CHAR(167),LEN(K11139)-LEN(SUBSTITUTE(K11139,"-",""))))+1,100))),K11139))</f>
        <v/>
      </c>
    </row>
    <row r="11140" spans="26:26" x14ac:dyDescent="0.2">
      <c r="Z11140" t="str">
        <f t="shared" si="174"/>
        <v/>
      </c>
    </row>
    <row r="11141" spans="26:26" x14ac:dyDescent="0.2">
      <c r="Z11141" t="str">
        <f t="shared" si="174"/>
        <v/>
      </c>
    </row>
    <row r="11142" spans="26:26" x14ac:dyDescent="0.2">
      <c r="Z11142" t="str">
        <f t="shared" si="174"/>
        <v/>
      </c>
    </row>
    <row r="11143" spans="26:26" x14ac:dyDescent="0.2">
      <c r="Z11143" t="str">
        <f t="shared" si="174"/>
        <v/>
      </c>
    </row>
    <row r="11144" spans="26:26" x14ac:dyDescent="0.2">
      <c r="Z11144" t="str">
        <f t="shared" si="174"/>
        <v/>
      </c>
    </row>
    <row r="11145" spans="26:26" x14ac:dyDescent="0.2">
      <c r="Z11145" t="str">
        <f t="shared" si="174"/>
        <v/>
      </c>
    </row>
    <row r="11146" spans="26:26" x14ac:dyDescent="0.2">
      <c r="Z11146" t="str">
        <f t="shared" si="174"/>
        <v/>
      </c>
    </row>
    <row r="11147" spans="26:26" x14ac:dyDescent="0.2">
      <c r="Z11147" t="str">
        <f t="shared" si="174"/>
        <v/>
      </c>
    </row>
    <row r="11148" spans="26:26" x14ac:dyDescent="0.2">
      <c r="Z11148" t="str">
        <f t="shared" si="174"/>
        <v/>
      </c>
    </row>
    <row r="11149" spans="26:26" x14ac:dyDescent="0.2">
      <c r="Z11149" t="str">
        <f t="shared" si="174"/>
        <v/>
      </c>
    </row>
    <row r="11150" spans="26:26" x14ac:dyDescent="0.2">
      <c r="Z11150" t="str">
        <f t="shared" si="174"/>
        <v/>
      </c>
    </row>
    <row r="11151" spans="26:26" x14ac:dyDescent="0.2">
      <c r="Z11151" t="str">
        <f t="shared" si="174"/>
        <v/>
      </c>
    </row>
    <row r="11152" spans="26:26" x14ac:dyDescent="0.2">
      <c r="Z11152" t="str">
        <f t="shared" si="174"/>
        <v/>
      </c>
    </row>
    <row r="11153" spans="26:26" x14ac:dyDescent="0.2">
      <c r="Z11153" t="str">
        <f t="shared" si="174"/>
        <v/>
      </c>
    </row>
    <row r="11154" spans="26:26" x14ac:dyDescent="0.2">
      <c r="Z11154" t="str">
        <f t="shared" si="174"/>
        <v/>
      </c>
    </row>
    <row r="11155" spans="26:26" x14ac:dyDescent="0.2">
      <c r="Z11155" t="str">
        <f t="shared" si="174"/>
        <v/>
      </c>
    </row>
    <row r="11156" spans="26:26" x14ac:dyDescent="0.2">
      <c r="Z11156" t="str">
        <f t="shared" si="174"/>
        <v/>
      </c>
    </row>
    <row r="11157" spans="26:26" x14ac:dyDescent="0.2">
      <c r="Z11157" t="str">
        <f t="shared" si="174"/>
        <v/>
      </c>
    </row>
    <row r="11158" spans="26:26" x14ac:dyDescent="0.2">
      <c r="Z11158" t="str">
        <f t="shared" si="174"/>
        <v/>
      </c>
    </row>
    <row r="11159" spans="26:26" x14ac:dyDescent="0.2">
      <c r="Z11159" t="str">
        <f t="shared" si="174"/>
        <v/>
      </c>
    </row>
    <row r="11160" spans="26:26" x14ac:dyDescent="0.2">
      <c r="Z11160" t="str">
        <f t="shared" si="174"/>
        <v/>
      </c>
    </row>
    <row r="11161" spans="26:26" x14ac:dyDescent="0.2">
      <c r="Z11161" t="str">
        <f t="shared" si="174"/>
        <v/>
      </c>
    </row>
    <row r="11162" spans="26:26" x14ac:dyDescent="0.2">
      <c r="Z11162" t="str">
        <f t="shared" si="174"/>
        <v/>
      </c>
    </row>
    <row r="11163" spans="26:26" x14ac:dyDescent="0.2">
      <c r="Z11163" t="str">
        <f t="shared" si="174"/>
        <v/>
      </c>
    </row>
    <row r="11164" spans="26:26" x14ac:dyDescent="0.2">
      <c r="Z11164" t="str">
        <f t="shared" si="174"/>
        <v/>
      </c>
    </row>
    <row r="11165" spans="26:26" x14ac:dyDescent="0.2">
      <c r="Z11165" t="str">
        <f t="shared" si="174"/>
        <v/>
      </c>
    </row>
    <row r="11166" spans="26:26" x14ac:dyDescent="0.2">
      <c r="Z11166" t="str">
        <f t="shared" si="174"/>
        <v/>
      </c>
    </row>
    <row r="11167" spans="26:26" x14ac:dyDescent="0.2">
      <c r="Z11167" t="str">
        <f t="shared" si="174"/>
        <v/>
      </c>
    </row>
    <row r="11168" spans="26:26" x14ac:dyDescent="0.2">
      <c r="Z11168" t="str">
        <f t="shared" si="174"/>
        <v/>
      </c>
    </row>
    <row r="11169" spans="26:26" x14ac:dyDescent="0.2">
      <c r="Z11169" t="str">
        <f t="shared" si="174"/>
        <v/>
      </c>
    </row>
    <row r="11170" spans="26:26" x14ac:dyDescent="0.2">
      <c r="Z11170" t="str">
        <f t="shared" si="174"/>
        <v/>
      </c>
    </row>
    <row r="11171" spans="26:26" x14ac:dyDescent="0.2">
      <c r="Z11171" t="str">
        <f t="shared" si="174"/>
        <v/>
      </c>
    </row>
    <row r="11172" spans="26:26" x14ac:dyDescent="0.2">
      <c r="Z11172" t="str">
        <f t="shared" si="174"/>
        <v/>
      </c>
    </row>
    <row r="11173" spans="26:26" x14ac:dyDescent="0.2">
      <c r="Z11173" t="str">
        <f t="shared" si="174"/>
        <v/>
      </c>
    </row>
    <row r="11174" spans="26:26" x14ac:dyDescent="0.2">
      <c r="Z11174" t="str">
        <f t="shared" si="174"/>
        <v/>
      </c>
    </row>
    <row r="11175" spans="26:26" x14ac:dyDescent="0.2">
      <c r="Z11175" t="str">
        <f t="shared" si="174"/>
        <v/>
      </c>
    </row>
    <row r="11176" spans="26:26" x14ac:dyDescent="0.2">
      <c r="Z11176" t="str">
        <f t="shared" si="174"/>
        <v/>
      </c>
    </row>
    <row r="11177" spans="26:26" x14ac:dyDescent="0.2">
      <c r="Z11177" t="str">
        <f t="shared" si="174"/>
        <v/>
      </c>
    </row>
    <row r="11178" spans="26:26" x14ac:dyDescent="0.2">
      <c r="Z11178" t="str">
        <f t="shared" si="174"/>
        <v/>
      </c>
    </row>
    <row r="11179" spans="26:26" x14ac:dyDescent="0.2">
      <c r="Z11179" t="str">
        <f t="shared" si="174"/>
        <v/>
      </c>
    </row>
    <row r="11180" spans="26:26" x14ac:dyDescent="0.2">
      <c r="Z11180" t="str">
        <f t="shared" si="174"/>
        <v/>
      </c>
    </row>
    <row r="11181" spans="26:26" x14ac:dyDescent="0.2">
      <c r="Z11181" t="str">
        <f t="shared" si="174"/>
        <v/>
      </c>
    </row>
    <row r="11182" spans="26:26" x14ac:dyDescent="0.2">
      <c r="Z11182" t="str">
        <f t="shared" si="174"/>
        <v/>
      </c>
    </row>
    <row r="11183" spans="26:26" x14ac:dyDescent="0.2">
      <c r="Z11183" t="str">
        <f t="shared" si="174"/>
        <v/>
      </c>
    </row>
    <row r="11184" spans="26:26" x14ac:dyDescent="0.2">
      <c r="Z11184" t="str">
        <f t="shared" si="174"/>
        <v/>
      </c>
    </row>
    <row r="11185" spans="26:26" x14ac:dyDescent="0.2">
      <c r="Z11185" t="str">
        <f t="shared" si="174"/>
        <v/>
      </c>
    </row>
    <row r="11186" spans="26:26" x14ac:dyDescent="0.2">
      <c r="Z11186" t="str">
        <f t="shared" si="174"/>
        <v/>
      </c>
    </row>
    <row r="11187" spans="26:26" x14ac:dyDescent="0.2">
      <c r="Z11187" t="str">
        <f t="shared" si="174"/>
        <v/>
      </c>
    </row>
    <row r="11188" spans="26:26" x14ac:dyDescent="0.2">
      <c r="Z11188" t="str">
        <f t="shared" si="174"/>
        <v/>
      </c>
    </row>
    <row r="11189" spans="26:26" x14ac:dyDescent="0.2">
      <c r="Z11189" t="str">
        <f t="shared" si="174"/>
        <v/>
      </c>
    </row>
    <row r="11190" spans="26:26" x14ac:dyDescent="0.2">
      <c r="Z11190" t="str">
        <f t="shared" si="174"/>
        <v/>
      </c>
    </row>
    <row r="11191" spans="26:26" x14ac:dyDescent="0.2">
      <c r="Z11191" t="str">
        <f t="shared" si="174"/>
        <v/>
      </c>
    </row>
    <row r="11192" spans="26:26" x14ac:dyDescent="0.2">
      <c r="Z11192" t="str">
        <f t="shared" si="174"/>
        <v/>
      </c>
    </row>
    <row r="11193" spans="26:26" x14ac:dyDescent="0.2">
      <c r="Z11193" t="str">
        <f t="shared" si="174"/>
        <v/>
      </c>
    </row>
    <row r="11194" spans="26:26" x14ac:dyDescent="0.2">
      <c r="Z11194" t="str">
        <f t="shared" si="174"/>
        <v/>
      </c>
    </row>
    <row r="11195" spans="26:26" x14ac:dyDescent="0.2">
      <c r="Z11195" t="str">
        <f t="shared" si="174"/>
        <v/>
      </c>
    </row>
    <row r="11196" spans="26:26" x14ac:dyDescent="0.2">
      <c r="Z11196" t="str">
        <f t="shared" si="174"/>
        <v/>
      </c>
    </row>
    <row r="11197" spans="26:26" x14ac:dyDescent="0.2">
      <c r="Z11197" t="str">
        <f t="shared" si="174"/>
        <v/>
      </c>
    </row>
    <row r="11198" spans="26:26" x14ac:dyDescent="0.2">
      <c r="Z11198" t="str">
        <f t="shared" si="174"/>
        <v/>
      </c>
    </row>
    <row r="11199" spans="26:26" x14ac:dyDescent="0.2">
      <c r="Z11199" t="str">
        <f t="shared" si="174"/>
        <v/>
      </c>
    </row>
    <row r="11200" spans="26:26" x14ac:dyDescent="0.2">
      <c r="Z11200" t="str">
        <f t="shared" si="174"/>
        <v/>
      </c>
    </row>
    <row r="11201" spans="26:26" x14ac:dyDescent="0.2">
      <c r="Z11201" t="str">
        <f t="shared" si="174"/>
        <v/>
      </c>
    </row>
    <row r="11202" spans="26:26" x14ac:dyDescent="0.2">
      <c r="Z11202" t="str">
        <f t="shared" si="174"/>
        <v/>
      </c>
    </row>
    <row r="11203" spans="26:26" x14ac:dyDescent="0.2">
      <c r="Z11203" t="str">
        <f t="shared" ref="Z11203:Z11266" si="175">IF(K11203="","",IFERROR(VALUE(TRIM(MID(K11203,FIND(CHAR(167),SUBSTITUTE(K11203,"-",CHAR(167),LEN(K11203)-LEN(SUBSTITUTE(K11203,"-",""))))+1,100))),K11203))</f>
        <v/>
      </c>
    </row>
    <row r="11204" spans="26:26" x14ac:dyDescent="0.2">
      <c r="Z11204" t="str">
        <f t="shared" si="175"/>
        <v/>
      </c>
    </row>
    <row r="11205" spans="26:26" x14ac:dyDescent="0.2">
      <c r="Z11205" t="str">
        <f t="shared" si="175"/>
        <v/>
      </c>
    </row>
    <row r="11206" spans="26:26" x14ac:dyDescent="0.2">
      <c r="Z11206" t="str">
        <f t="shared" si="175"/>
        <v/>
      </c>
    </row>
    <row r="11207" spans="26:26" x14ac:dyDescent="0.2">
      <c r="Z11207" t="str">
        <f t="shared" si="175"/>
        <v/>
      </c>
    </row>
    <row r="11208" spans="26:26" x14ac:dyDescent="0.2">
      <c r="Z11208" t="str">
        <f t="shared" si="175"/>
        <v/>
      </c>
    </row>
    <row r="11209" spans="26:26" x14ac:dyDescent="0.2">
      <c r="Z11209" t="str">
        <f t="shared" si="175"/>
        <v/>
      </c>
    </row>
    <row r="11210" spans="26:26" x14ac:dyDescent="0.2">
      <c r="Z11210" t="str">
        <f t="shared" si="175"/>
        <v/>
      </c>
    </row>
    <row r="11211" spans="26:26" x14ac:dyDescent="0.2">
      <c r="Z11211" t="str">
        <f t="shared" si="175"/>
        <v/>
      </c>
    </row>
    <row r="11212" spans="26:26" x14ac:dyDescent="0.2">
      <c r="Z11212" t="str">
        <f t="shared" si="175"/>
        <v/>
      </c>
    </row>
    <row r="11213" spans="26:26" x14ac:dyDescent="0.2">
      <c r="Z11213" t="str">
        <f t="shared" si="175"/>
        <v/>
      </c>
    </row>
    <row r="11214" spans="26:26" x14ac:dyDescent="0.2">
      <c r="Z11214" t="str">
        <f t="shared" si="175"/>
        <v/>
      </c>
    </row>
    <row r="11215" spans="26:26" x14ac:dyDescent="0.2">
      <c r="Z11215" t="str">
        <f t="shared" si="175"/>
        <v/>
      </c>
    </row>
    <row r="11216" spans="26:26" x14ac:dyDescent="0.2">
      <c r="Z11216" t="str">
        <f t="shared" si="175"/>
        <v/>
      </c>
    </row>
    <row r="11217" spans="26:26" x14ac:dyDescent="0.2">
      <c r="Z11217" t="str">
        <f t="shared" si="175"/>
        <v/>
      </c>
    </row>
    <row r="11218" spans="26:26" x14ac:dyDescent="0.2">
      <c r="Z11218" t="str">
        <f t="shared" si="175"/>
        <v/>
      </c>
    </row>
    <row r="11219" spans="26:26" x14ac:dyDescent="0.2">
      <c r="Z11219" t="str">
        <f t="shared" si="175"/>
        <v/>
      </c>
    </row>
    <row r="11220" spans="26:26" x14ac:dyDescent="0.2">
      <c r="Z11220" t="str">
        <f t="shared" si="175"/>
        <v/>
      </c>
    </row>
    <row r="11221" spans="26:26" x14ac:dyDescent="0.2">
      <c r="Z11221" t="str">
        <f t="shared" si="175"/>
        <v/>
      </c>
    </row>
    <row r="11222" spans="26:26" x14ac:dyDescent="0.2">
      <c r="Z11222" t="str">
        <f t="shared" si="175"/>
        <v/>
      </c>
    </row>
    <row r="11223" spans="26:26" x14ac:dyDescent="0.2">
      <c r="Z11223" t="str">
        <f t="shared" si="175"/>
        <v/>
      </c>
    </row>
    <row r="11224" spans="26:26" x14ac:dyDescent="0.2">
      <c r="Z11224" t="str">
        <f t="shared" si="175"/>
        <v/>
      </c>
    </row>
    <row r="11225" spans="26:26" x14ac:dyDescent="0.2">
      <c r="Z11225" t="str">
        <f t="shared" si="175"/>
        <v/>
      </c>
    </row>
    <row r="11226" spans="26:26" x14ac:dyDescent="0.2">
      <c r="Z11226" t="str">
        <f t="shared" si="175"/>
        <v/>
      </c>
    </row>
    <row r="11227" spans="26:26" x14ac:dyDescent="0.2">
      <c r="Z11227" t="str">
        <f t="shared" si="175"/>
        <v/>
      </c>
    </row>
    <row r="11228" spans="26:26" x14ac:dyDescent="0.2">
      <c r="Z11228" t="str">
        <f t="shared" si="175"/>
        <v/>
      </c>
    </row>
    <row r="11229" spans="26:26" x14ac:dyDescent="0.2">
      <c r="Z11229" t="str">
        <f t="shared" si="175"/>
        <v/>
      </c>
    </row>
    <row r="11230" spans="26:26" x14ac:dyDescent="0.2">
      <c r="Z11230" t="str">
        <f t="shared" si="175"/>
        <v/>
      </c>
    </row>
    <row r="11231" spans="26:26" x14ac:dyDescent="0.2">
      <c r="Z11231" t="str">
        <f t="shared" si="175"/>
        <v/>
      </c>
    </row>
    <row r="11232" spans="26:26" x14ac:dyDescent="0.2">
      <c r="Z11232" t="str">
        <f t="shared" si="175"/>
        <v/>
      </c>
    </row>
    <row r="11233" spans="26:26" x14ac:dyDescent="0.2">
      <c r="Z11233" t="str">
        <f t="shared" si="175"/>
        <v/>
      </c>
    </row>
    <row r="11234" spans="26:26" x14ac:dyDescent="0.2">
      <c r="Z11234" t="str">
        <f t="shared" si="175"/>
        <v/>
      </c>
    </row>
    <row r="11235" spans="26:26" x14ac:dyDescent="0.2">
      <c r="Z11235" t="str">
        <f t="shared" si="175"/>
        <v/>
      </c>
    </row>
    <row r="11236" spans="26:26" x14ac:dyDescent="0.2">
      <c r="Z11236" t="str">
        <f t="shared" si="175"/>
        <v/>
      </c>
    </row>
    <row r="11237" spans="26:26" x14ac:dyDescent="0.2">
      <c r="Z11237" t="str">
        <f t="shared" si="175"/>
        <v/>
      </c>
    </row>
    <row r="11238" spans="26:26" x14ac:dyDescent="0.2">
      <c r="Z11238" t="str">
        <f t="shared" si="175"/>
        <v/>
      </c>
    </row>
    <row r="11239" spans="26:26" x14ac:dyDescent="0.2">
      <c r="Z11239" t="str">
        <f t="shared" si="175"/>
        <v/>
      </c>
    </row>
    <row r="11240" spans="26:26" x14ac:dyDescent="0.2">
      <c r="Z11240" t="str">
        <f t="shared" si="175"/>
        <v/>
      </c>
    </row>
    <row r="11241" spans="26:26" x14ac:dyDescent="0.2">
      <c r="Z11241" t="str">
        <f t="shared" si="175"/>
        <v/>
      </c>
    </row>
    <row r="11242" spans="26:26" x14ac:dyDescent="0.2">
      <c r="Z11242" t="str">
        <f t="shared" si="175"/>
        <v/>
      </c>
    </row>
    <row r="11243" spans="26:26" x14ac:dyDescent="0.2">
      <c r="Z11243" t="str">
        <f t="shared" si="175"/>
        <v/>
      </c>
    </row>
    <row r="11244" spans="26:26" x14ac:dyDescent="0.2">
      <c r="Z11244" t="str">
        <f t="shared" si="175"/>
        <v/>
      </c>
    </row>
    <row r="11245" spans="26:26" x14ac:dyDescent="0.2">
      <c r="Z11245" t="str">
        <f t="shared" si="175"/>
        <v/>
      </c>
    </row>
    <row r="11246" spans="26:26" x14ac:dyDescent="0.2">
      <c r="Z11246" t="str">
        <f t="shared" si="175"/>
        <v/>
      </c>
    </row>
    <row r="11247" spans="26:26" x14ac:dyDescent="0.2">
      <c r="Z11247" t="str">
        <f t="shared" si="175"/>
        <v/>
      </c>
    </row>
    <row r="11248" spans="26:26" x14ac:dyDescent="0.2">
      <c r="Z11248" t="str">
        <f t="shared" si="175"/>
        <v/>
      </c>
    </row>
    <row r="11249" spans="26:26" x14ac:dyDescent="0.2">
      <c r="Z11249" t="str">
        <f t="shared" si="175"/>
        <v/>
      </c>
    </row>
    <row r="11250" spans="26:26" x14ac:dyDescent="0.2">
      <c r="Z11250" t="str">
        <f t="shared" si="175"/>
        <v/>
      </c>
    </row>
    <row r="11251" spans="26:26" x14ac:dyDescent="0.2">
      <c r="Z11251" t="str">
        <f t="shared" si="175"/>
        <v/>
      </c>
    </row>
    <row r="11252" spans="26:26" x14ac:dyDescent="0.2">
      <c r="Z11252" t="str">
        <f t="shared" si="175"/>
        <v/>
      </c>
    </row>
    <row r="11253" spans="26:26" x14ac:dyDescent="0.2">
      <c r="Z11253" t="str">
        <f t="shared" si="175"/>
        <v/>
      </c>
    </row>
    <row r="11254" spans="26:26" x14ac:dyDescent="0.2">
      <c r="Z11254" t="str">
        <f t="shared" si="175"/>
        <v/>
      </c>
    </row>
    <row r="11255" spans="26:26" x14ac:dyDescent="0.2">
      <c r="Z11255" t="str">
        <f t="shared" si="175"/>
        <v/>
      </c>
    </row>
    <row r="11256" spans="26:26" x14ac:dyDescent="0.2">
      <c r="Z11256" t="str">
        <f t="shared" si="175"/>
        <v/>
      </c>
    </row>
    <row r="11257" spans="26:26" x14ac:dyDescent="0.2">
      <c r="Z11257" t="str">
        <f t="shared" si="175"/>
        <v/>
      </c>
    </row>
    <row r="11258" spans="26:26" x14ac:dyDescent="0.2">
      <c r="Z11258" t="str">
        <f t="shared" si="175"/>
        <v/>
      </c>
    </row>
    <row r="11259" spans="26:26" x14ac:dyDescent="0.2">
      <c r="Z11259" t="str">
        <f t="shared" si="175"/>
        <v/>
      </c>
    </row>
    <row r="11260" spans="26:26" x14ac:dyDescent="0.2">
      <c r="Z11260" t="str">
        <f t="shared" si="175"/>
        <v/>
      </c>
    </row>
    <row r="11261" spans="26:26" x14ac:dyDescent="0.2">
      <c r="Z11261" t="str">
        <f t="shared" si="175"/>
        <v/>
      </c>
    </row>
    <row r="11262" spans="26:26" x14ac:dyDescent="0.2">
      <c r="Z11262" t="str">
        <f t="shared" si="175"/>
        <v/>
      </c>
    </row>
    <row r="11263" spans="26:26" x14ac:dyDescent="0.2">
      <c r="Z11263" t="str">
        <f t="shared" si="175"/>
        <v/>
      </c>
    </row>
    <row r="11264" spans="26:26" x14ac:dyDescent="0.2">
      <c r="Z11264" t="str">
        <f t="shared" si="175"/>
        <v/>
      </c>
    </row>
    <row r="11265" spans="26:26" x14ac:dyDescent="0.2">
      <c r="Z11265" t="str">
        <f t="shared" si="175"/>
        <v/>
      </c>
    </row>
    <row r="11266" spans="26:26" x14ac:dyDescent="0.2">
      <c r="Z11266" t="str">
        <f t="shared" si="175"/>
        <v/>
      </c>
    </row>
    <row r="11267" spans="26:26" x14ac:dyDescent="0.2">
      <c r="Z11267" t="str">
        <f t="shared" ref="Z11267:Z11330" si="176">IF(K11267="","",IFERROR(VALUE(TRIM(MID(K11267,FIND(CHAR(167),SUBSTITUTE(K11267,"-",CHAR(167),LEN(K11267)-LEN(SUBSTITUTE(K11267,"-",""))))+1,100))),K11267))</f>
        <v/>
      </c>
    </row>
    <row r="11268" spans="26:26" x14ac:dyDescent="0.2">
      <c r="Z11268" t="str">
        <f t="shared" si="176"/>
        <v/>
      </c>
    </row>
    <row r="11269" spans="26:26" x14ac:dyDescent="0.2">
      <c r="Z11269" t="str">
        <f t="shared" si="176"/>
        <v/>
      </c>
    </row>
    <row r="11270" spans="26:26" x14ac:dyDescent="0.2">
      <c r="Z11270" t="str">
        <f t="shared" si="176"/>
        <v/>
      </c>
    </row>
    <row r="11271" spans="26:26" x14ac:dyDescent="0.2">
      <c r="Z11271" t="str">
        <f t="shared" si="176"/>
        <v/>
      </c>
    </row>
    <row r="11272" spans="26:26" x14ac:dyDescent="0.2">
      <c r="Z11272" t="str">
        <f t="shared" si="176"/>
        <v/>
      </c>
    </row>
    <row r="11273" spans="26:26" x14ac:dyDescent="0.2">
      <c r="Z11273" t="str">
        <f t="shared" si="176"/>
        <v/>
      </c>
    </row>
    <row r="11274" spans="26:26" x14ac:dyDescent="0.2">
      <c r="Z11274" t="str">
        <f t="shared" si="176"/>
        <v/>
      </c>
    </row>
    <row r="11275" spans="26:26" x14ac:dyDescent="0.2">
      <c r="Z11275" t="str">
        <f t="shared" si="176"/>
        <v/>
      </c>
    </row>
    <row r="11276" spans="26:26" x14ac:dyDescent="0.2">
      <c r="Z11276" t="str">
        <f t="shared" si="176"/>
        <v/>
      </c>
    </row>
    <row r="11277" spans="26:26" x14ac:dyDescent="0.2">
      <c r="Z11277" t="str">
        <f t="shared" si="176"/>
        <v/>
      </c>
    </row>
    <row r="11278" spans="26:26" x14ac:dyDescent="0.2">
      <c r="Z11278" t="str">
        <f t="shared" si="176"/>
        <v/>
      </c>
    </row>
    <row r="11279" spans="26:26" x14ac:dyDescent="0.2">
      <c r="Z11279" t="str">
        <f t="shared" si="176"/>
        <v/>
      </c>
    </row>
    <row r="11280" spans="26:26" x14ac:dyDescent="0.2">
      <c r="Z11280" t="str">
        <f t="shared" si="176"/>
        <v/>
      </c>
    </row>
    <row r="11281" spans="26:26" x14ac:dyDescent="0.2">
      <c r="Z11281" t="str">
        <f t="shared" si="176"/>
        <v/>
      </c>
    </row>
    <row r="11282" spans="26:26" x14ac:dyDescent="0.2">
      <c r="Z11282" t="str">
        <f t="shared" si="176"/>
        <v/>
      </c>
    </row>
    <row r="11283" spans="26:26" x14ac:dyDescent="0.2">
      <c r="Z11283" t="str">
        <f t="shared" si="176"/>
        <v/>
      </c>
    </row>
    <row r="11284" spans="26:26" x14ac:dyDescent="0.2">
      <c r="Z11284" t="str">
        <f t="shared" si="176"/>
        <v/>
      </c>
    </row>
    <row r="11285" spans="26:26" x14ac:dyDescent="0.2">
      <c r="Z11285" t="str">
        <f t="shared" si="176"/>
        <v/>
      </c>
    </row>
    <row r="11286" spans="26:26" x14ac:dyDescent="0.2">
      <c r="Z11286" t="str">
        <f t="shared" si="176"/>
        <v/>
      </c>
    </row>
    <row r="11287" spans="26:26" x14ac:dyDescent="0.2">
      <c r="Z11287" t="str">
        <f t="shared" si="176"/>
        <v/>
      </c>
    </row>
    <row r="11288" spans="26:26" x14ac:dyDescent="0.2">
      <c r="Z11288" t="str">
        <f t="shared" si="176"/>
        <v/>
      </c>
    </row>
    <row r="11289" spans="26:26" x14ac:dyDescent="0.2">
      <c r="Z11289" t="str">
        <f t="shared" si="176"/>
        <v/>
      </c>
    </row>
    <row r="11290" spans="26:26" x14ac:dyDescent="0.2">
      <c r="Z11290" t="str">
        <f t="shared" si="176"/>
        <v/>
      </c>
    </row>
    <row r="11291" spans="26:26" x14ac:dyDescent="0.2">
      <c r="Z11291" t="str">
        <f t="shared" si="176"/>
        <v/>
      </c>
    </row>
    <row r="11292" spans="26:26" x14ac:dyDescent="0.2">
      <c r="Z11292" t="str">
        <f t="shared" si="176"/>
        <v/>
      </c>
    </row>
    <row r="11293" spans="26:26" x14ac:dyDescent="0.2">
      <c r="Z11293" t="str">
        <f t="shared" si="176"/>
        <v/>
      </c>
    </row>
    <row r="11294" spans="26:26" x14ac:dyDescent="0.2">
      <c r="Z11294" t="str">
        <f t="shared" si="176"/>
        <v/>
      </c>
    </row>
    <row r="11295" spans="26:26" x14ac:dyDescent="0.2">
      <c r="Z11295" t="str">
        <f t="shared" si="176"/>
        <v/>
      </c>
    </row>
    <row r="11296" spans="26:26" x14ac:dyDescent="0.2">
      <c r="Z11296" t="str">
        <f t="shared" si="176"/>
        <v/>
      </c>
    </row>
    <row r="11297" spans="26:26" x14ac:dyDescent="0.2">
      <c r="Z11297" t="str">
        <f t="shared" si="176"/>
        <v/>
      </c>
    </row>
    <row r="11298" spans="26:26" x14ac:dyDescent="0.2">
      <c r="Z11298" t="str">
        <f t="shared" si="176"/>
        <v/>
      </c>
    </row>
    <row r="11299" spans="26:26" x14ac:dyDescent="0.2">
      <c r="Z11299" t="str">
        <f t="shared" si="176"/>
        <v/>
      </c>
    </row>
    <row r="11300" spans="26:26" x14ac:dyDescent="0.2">
      <c r="Z11300" t="str">
        <f t="shared" si="176"/>
        <v/>
      </c>
    </row>
    <row r="11301" spans="26:26" x14ac:dyDescent="0.2">
      <c r="Z11301" t="str">
        <f t="shared" si="176"/>
        <v/>
      </c>
    </row>
    <row r="11302" spans="26:26" x14ac:dyDescent="0.2">
      <c r="Z11302" t="str">
        <f t="shared" si="176"/>
        <v/>
      </c>
    </row>
    <row r="11303" spans="26:26" x14ac:dyDescent="0.2">
      <c r="Z11303" t="str">
        <f t="shared" si="176"/>
        <v/>
      </c>
    </row>
    <row r="11304" spans="26:26" x14ac:dyDescent="0.2">
      <c r="Z11304" t="str">
        <f t="shared" si="176"/>
        <v/>
      </c>
    </row>
    <row r="11305" spans="26:26" x14ac:dyDescent="0.2">
      <c r="Z11305" t="str">
        <f t="shared" si="176"/>
        <v/>
      </c>
    </row>
    <row r="11306" spans="26:26" x14ac:dyDescent="0.2">
      <c r="Z11306" t="str">
        <f t="shared" si="176"/>
        <v/>
      </c>
    </row>
    <row r="11307" spans="26:26" x14ac:dyDescent="0.2">
      <c r="Z11307" t="str">
        <f t="shared" si="176"/>
        <v/>
      </c>
    </row>
    <row r="11308" spans="26:26" x14ac:dyDescent="0.2">
      <c r="Z11308" t="str">
        <f t="shared" si="176"/>
        <v/>
      </c>
    </row>
    <row r="11309" spans="26:26" x14ac:dyDescent="0.2">
      <c r="Z11309" t="str">
        <f t="shared" si="176"/>
        <v/>
      </c>
    </row>
    <row r="11310" spans="26:26" x14ac:dyDescent="0.2">
      <c r="Z11310" t="str">
        <f t="shared" si="176"/>
        <v/>
      </c>
    </row>
    <row r="11311" spans="26:26" x14ac:dyDescent="0.2">
      <c r="Z11311" t="str">
        <f t="shared" si="176"/>
        <v/>
      </c>
    </row>
    <row r="11312" spans="26:26" x14ac:dyDescent="0.2">
      <c r="Z11312" t="str">
        <f t="shared" si="176"/>
        <v/>
      </c>
    </row>
    <row r="11313" spans="26:26" x14ac:dyDescent="0.2">
      <c r="Z11313" t="str">
        <f t="shared" si="176"/>
        <v/>
      </c>
    </row>
    <row r="11314" spans="26:26" x14ac:dyDescent="0.2">
      <c r="Z11314" t="str">
        <f t="shared" si="176"/>
        <v/>
      </c>
    </row>
    <row r="11315" spans="26:26" x14ac:dyDescent="0.2">
      <c r="Z11315" t="str">
        <f t="shared" si="176"/>
        <v/>
      </c>
    </row>
    <row r="11316" spans="26:26" x14ac:dyDescent="0.2">
      <c r="Z11316" t="str">
        <f t="shared" si="176"/>
        <v/>
      </c>
    </row>
    <row r="11317" spans="26:26" x14ac:dyDescent="0.2">
      <c r="Z11317" t="str">
        <f t="shared" si="176"/>
        <v/>
      </c>
    </row>
    <row r="11318" spans="26:26" x14ac:dyDescent="0.2">
      <c r="Z11318" t="str">
        <f t="shared" si="176"/>
        <v/>
      </c>
    </row>
    <row r="11319" spans="26:26" x14ac:dyDescent="0.2">
      <c r="Z11319" t="str">
        <f t="shared" si="176"/>
        <v/>
      </c>
    </row>
    <row r="11320" spans="26:26" x14ac:dyDescent="0.2">
      <c r="Z11320" t="str">
        <f t="shared" si="176"/>
        <v/>
      </c>
    </row>
    <row r="11321" spans="26:26" x14ac:dyDescent="0.2">
      <c r="Z11321" t="str">
        <f t="shared" si="176"/>
        <v/>
      </c>
    </row>
    <row r="11322" spans="26:26" x14ac:dyDescent="0.2">
      <c r="Z11322" t="str">
        <f t="shared" si="176"/>
        <v/>
      </c>
    </row>
    <row r="11323" spans="26:26" x14ac:dyDescent="0.2">
      <c r="Z11323" t="str">
        <f t="shared" si="176"/>
        <v/>
      </c>
    </row>
    <row r="11324" spans="26:26" x14ac:dyDescent="0.2">
      <c r="Z11324" t="str">
        <f t="shared" si="176"/>
        <v/>
      </c>
    </row>
    <row r="11325" spans="26:26" x14ac:dyDescent="0.2">
      <c r="Z11325" t="str">
        <f t="shared" si="176"/>
        <v/>
      </c>
    </row>
    <row r="11326" spans="26:26" x14ac:dyDescent="0.2">
      <c r="Z11326" t="str">
        <f t="shared" si="176"/>
        <v/>
      </c>
    </row>
    <row r="11327" spans="26:26" x14ac:dyDescent="0.2">
      <c r="Z11327" t="str">
        <f t="shared" si="176"/>
        <v/>
      </c>
    </row>
    <row r="11328" spans="26:26" x14ac:dyDescent="0.2">
      <c r="Z11328" t="str">
        <f t="shared" si="176"/>
        <v/>
      </c>
    </row>
    <row r="11329" spans="26:26" x14ac:dyDescent="0.2">
      <c r="Z11329" t="str">
        <f t="shared" si="176"/>
        <v/>
      </c>
    </row>
    <row r="11330" spans="26:26" x14ac:dyDescent="0.2">
      <c r="Z11330" t="str">
        <f t="shared" si="176"/>
        <v/>
      </c>
    </row>
    <row r="11331" spans="26:26" x14ac:dyDescent="0.2">
      <c r="Z11331" t="str">
        <f t="shared" ref="Z11331:Z11394" si="177">IF(K11331="","",IFERROR(VALUE(TRIM(MID(K11331,FIND(CHAR(167),SUBSTITUTE(K11331,"-",CHAR(167),LEN(K11331)-LEN(SUBSTITUTE(K11331,"-",""))))+1,100))),K11331))</f>
        <v/>
      </c>
    </row>
    <row r="11332" spans="26:26" x14ac:dyDescent="0.2">
      <c r="Z11332" t="str">
        <f t="shared" si="177"/>
        <v/>
      </c>
    </row>
    <row r="11333" spans="26:26" x14ac:dyDescent="0.2">
      <c r="Z11333" t="str">
        <f t="shared" si="177"/>
        <v/>
      </c>
    </row>
    <row r="11334" spans="26:26" x14ac:dyDescent="0.2">
      <c r="Z11334" t="str">
        <f t="shared" si="177"/>
        <v/>
      </c>
    </row>
    <row r="11335" spans="26:26" x14ac:dyDescent="0.2">
      <c r="Z11335" t="str">
        <f t="shared" si="177"/>
        <v/>
      </c>
    </row>
    <row r="11336" spans="26:26" x14ac:dyDescent="0.2">
      <c r="Z11336" t="str">
        <f t="shared" si="177"/>
        <v/>
      </c>
    </row>
    <row r="11337" spans="26:26" x14ac:dyDescent="0.2">
      <c r="Z11337" t="str">
        <f t="shared" si="177"/>
        <v/>
      </c>
    </row>
    <row r="11338" spans="26:26" x14ac:dyDescent="0.2">
      <c r="Z11338" t="str">
        <f t="shared" si="177"/>
        <v/>
      </c>
    </row>
    <row r="11339" spans="26:26" x14ac:dyDescent="0.2">
      <c r="Z11339" t="str">
        <f t="shared" si="177"/>
        <v/>
      </c>
    </row>
    <row r="11340" spans="26:26" x14ac:dyDescent="0.2">
      <c r="Z11340" t="str">
        <f t="shared" si="177"/>
        <v/>
      </c>
    </row>
    <row r="11341" spans="26:26" x14ac:dyDescent="0.2">
      <c r="Z11341" t="str">
        <f t="shared" si="177"/>
        <v/>
      </c>
    </row>
    <row r="11342" spans="26:26" x14ac:dyDescent="0.2">
      <c r="Z11342" t="str">
        <f t="shared" si="177"/>
        <v/>
      </c>
    </row>
    <row r="11343" spans="26:26" x14ac:dyDescent="0.2">
      <c r="Z11343" t="str">
        <f t="shared" si="177"/>
        <v/>
      </c>
    </row>
    <row r="11344" spans="26:26" x14ac:dyDescent="0.2">
      <c r="Z11344" t="str">
        <f t="shared" si="177"/>
        <v/>
      </c>
    </row>
    <row r="11345" spans="26:26" x14ac:dyDescent="0.2">
      <c r="Z11345" t="str">
        <f t="shared" si="177"/>
        <v/>
      </c>
    </row>
    <row r="11346" spans="26:26" x14ac:dyDescent="0.2">
      <c r="Z11346" t="str">
        <f t="shared" si="177"/>
        <v/>
      </c>
    </row>
    <row r="11347" spans="26:26" x14ac:dyDescent="0.2">
      <c r="Z11347" t="str">
        <f t="shared" si="177"/>
        <v/>
      </c>
    </row>
    <row r="11348" spans="26:26" x14ac:dyDescent="0.2">
      <c r="Z11348" t="str">
        <f t="shared" si="177"/>
        <v/>
      </c>
    </row>
    <row r="11349" spans="26:26" x14ac:dyDescent="0.2">
      <c r="Z11349" t="str">
        <f t="shared" si="177"/>
        <v/>
      </c>
    </row>
    <row r="11350" spans="26:26" x14ac:dyDescent="0.2">
      <c r="Z11350" t="str">
        <f t="shared" si="177"/>
        <v/>
      </c>
    </row>
    <row r="11351" spans="26:26" x14ac:dyDescent="0.2">
      <c r="Z11351" t="str">
        <f t="shared" si="177"/>
        <v/>
      </c>
    </row>
    <row r="11352" spans="26:26" x14ac:dyDescent="0.2">
      <c r="Z11352" t="str">
        <f t="shared" si="177"/>
        <v/>
      </c>
    </row>
    <row r="11353" spans="26:26" x14ac:dyDescent="0.2">
      <c r="Z11353" t="str">
        <f t="shared" si="177"/>
        <v/>
      </c>
    </row>
    <row r="11354" spans="26:26" x14ac:dyDescent="0.2">
      <c r="Z11354" t="str">
        <f t="shared" si="177"/>
        <v/>
      </c>
    </row>
    <row r="11355" spans="26:26" x14ac:dyDescent="0.2">
      <c r="Z11355" t="str">
        <f t="shared" si="177"/>
        <v/>
      </c>
    </row>
    <row r="11356" spans="26:26" x14ac:dyDescent="0.2">
      <c r="Z11356" t="str">
        <f t="shared" si="177"/>
        <v/>
      </c>
    </row>
    <row r="11357" spans="26:26" x14ac:dyDescent="0.2">
      <c r="Z11357" t="str">
        <f t="shared" si="177"/>
        <v/>
      </c>
    </row>
    <row r="11358" spans="26:26" x14ac:dyDescent="0.2">
      <c r="Z11358" t="str">
        <f t="shared" si="177"/>
        <v/>
      </c>
    </row>
    <row r="11359" spans="26:26" x14ac:dyDescent="0.2">
      <c r="Z11359" t="str">
        <f t="shared" si="177"/>
        <v/>
      </c>
    </row>
    <row r="11360" spans="26:26" x14ac:dyDescent="0.2">
      <c r="Z11360" t="str">
        <f t="shared" si="177"/>
        <v/>
      </c>
    </row>
    <row r="11361" spans="26:26" x14ac:dyDescent="0.2">
      <c r="Z11361" t="str">
        <f t="shared" si="177"/>
        <v/>
      </c>
    </row>
    <row r="11362" spans="26:26" x14ac:dyDescent="0.2">
      <c r="Z11362" t="str">
        <f t="shared" si="177"/>
        <v/>
      </c>
    </row>
    <row r="11363" spans="26:26" x14ac:dyDescent="0.2">
      <c r="Z11363" t="str">
        <f t="shared" si="177"/>
        <v/>
      </c>
    </row>
    <row r="11364" spans="26:26" x14ac:dyDescent="0.2">
      <c r="Z11364" t="str">
        <f t="shared" si="177"/>
        <v/>
      </c>
    </row>
    <row r="11365" spans="26:26" x14ac:dyDescent="0.2">
      <c r="Z11365" t="str">
        <f t="shared" si="177"/>
        <v/>
      </c>
    </row>
    <row r="11366" spans="26:26" x14ac:dyDescent="0.2">
      <c r="Z11366" t="str">
        <f t="shared" si="177"/>
        <v/>
      </c>
    </row>
    <row r="11367" spans="26:26" x14ac:dyDescent="0.2">
      <c r="Z11367" t="str">
        <f t="shared" si="177"/>
        <v/>
      </c>
    </row>
    <row r="11368" spans="26:26" x14ac:dyDescent="0.2">
      <c r="Z11368" t="str">
        <f t="shared" si="177"/>
        <v/>
      </c>
    </row>
    <row r="11369" spans="26:26" x14ac:dyDescent="0.2">
      <c r="Z11369" t="str">
        <f t="shared" si="177"/>
        <v/>
      </c>
    </row>
    <row r="11370" spans="26:26" x14ac:dyDescent="0.2">
      <c r="Z11370" t="str">
        <f t="shared" si="177"/>
        <v/>
      </c>
    </row>
    <row r="11371" spans="26:26" x14ac:dyDescent="0.2">
      <c r="Z11371" t="str">
        <f t="shared" si="177"/>
        <v/>
      </c>
    </row>
    <row r="11372" spans="26:26" x14ac:dyDescent="0.2">
      <c r="Z11372" t="str">
        <f t="shared" si="177"/>
        <v/>
      </c>
    </row>
    <row r="11373" spans="26:26" x14ac:dyDescent="0.2">
      <c r="Z11373" t="str">
        <f t="shared" si="177"/>
        <v/>
      </c>
    </row>
    <row r="11374" spans="26:26" x14ac:dyDescent="0.2">
      <c r="Z11374" t="str">
        <f t="shared" si="177"/>
        <v/>
      </c>
    </row>
    <row r="11375" spans="26:26" x14ac:dyDescent="0.2">
      <c r="Z11375" t="str">
        <f t="shared" si="177"/>
        <v/>
      </c>
    </row>
    <row r="11376" spans="26:26" x14ac:dyDescent="0.2">
      <c r="Z11376" t="str">
        <f t="shared" si="177"/>
        <v/>
      </c>
    </row>
    <row r="11377" spans="26:26" x14ac:dyDescent="0.2">
      <c r="Z11377" t="str">
        <f t="shared" si="177"/>
        <v/>
      </c>
    </row>
    <row r="11378" spans="26:26" x14ac:dyDescent="0.2">
      <c r="Z11378" t="str">
        <f t="shared" si="177"/>
        <v/>
      </c>
    </row>
    <row r="11379" spans="26:26" x14ac:dyDescent="0.2">
      <c r="Z11379" t="str">
        <f t="shared" si="177"/>
        <v/>
      </c>
    </row>
    <row r="11380" spans="26:26" x14ac:dyDescent="0.2">
      <c r="Z11380" t="str">
        <f t="shared" si="177"/>
        <v/>
      </c>
    </row>
    <row r="11381" spans="26:26" x14ac:dyDescent="0.2">
      <c r="Z11381" t="str">
        <f t="shared" si="177"/>
        <v/>
      </c>
    </row>
    <row r="11382" spans="26:26" x14ac:dyDescent="0.2">
      <c r="Z11382" t="str">
        <f t="shared" si="177"/>
        <v/>
      </c>
    </row>
    <row r="11383" spans="26:26" x14ac:dyDescent="0.2">
      <c r="Z11383" t="str">
        <f t="shared" si="177"/>
        <v/>
      </c>
    </row>
    <row r="11384" spans="26:26" x14ac:dyDescent="0.2">
      <c r="Z11384" t="str">
        <f t="shared" si="177"/>
        <v/>
      </c>
    </row>
    <row r="11385" spans="26:26" x14ac:dyDescent="0.2">
      <c r="Z11385" t="str">
        <f t="shared" si="177"/>
        <v/>
      </c>
    </row>
    <row r="11386" spans="26:26" x14ac:dyDescent="0.2">
      <c r="Z11386" t="str">
        <f t="shared" si="177"/>
        <v/>
      </c>
    </row>
    <row r="11387" spans="26:26" x14ac:dyDescent="0.2">
      <c r="Z11387" t="str">
        <f t="shared" si="177"/>
        <v/>
      </c>
    </row>
    <row r="11388" spans="26:26" x14ac:dyDescent="0.2">
      <c r="Z11388" t="str">
        <f t="shared" si="177"/>
        <v/>
      </c>
    </row>
    <row r="11389" spans="26:26" x14ac:dyDescent="0.2">
      <c r="Z11389" t="str">
        <f t="shared" si="177"/>
        <v/>
      </c>
    </row>
    <row r="11390" spans="26:26" x14ac:dyDescent="0.2">
      <c r="Z11390" t="str">
        <f t="shared" si="177"/>
        <v/>
      </c>
    </row>
    <row r="11391" spans="26:26" x14ac:dyDescent="0.2">
      <c r="Z11391" t="str">
        <f t="shared" si="177"/>
        <v/>
      </c>
    </row>
    <row r="11392" spans="26:26" x14ac:dyDescent="0.2">
      <c r="Z11392" t="str">
        <f t="shared" si="177"/>
        <v/>
      </c>
    </row>
    <row r="11393" spans="26:26" x14ac:dyDescent="0.2">
      <c r="Z11393" t="str">
        <f t="shared" si="177"/>
        <v/>
      </c>
    </row>
    <row r="11394" spans="26:26" x14ac:dyDescent="0.2">
      <c r="Z11394" t="str">
        <f t="shared" si="177"/>
        <v/>
      </c>
    </row>
    <row r="11395" spans="26:26" x14ac:dyDescent="0.2">
      <c r="Z11395" t="str">
        <f t="shared" ref="Z11395:Z11458" si="178">IF(K11395="","",IFERROR(VALUE(TRIM(MID(K11395,FIND(CHAR(167),SUBSTITUTE(K11395,"-",CHAR(167),LEN(K11395)-LEN(SUBSTITUTE(K11395,"-",""))))+1,100))),K11395))</f>
        <v/>
      </c>
    </row>
    <row r="11396" spans="26:26" x14ac:dyDescent="0.2">
      <c r="Z11396" t="str">
        <f t="shared" si="178"/>
        <v/>
      </c>
    </row>
    <row r="11397" spans="26:26" x14ac:dyDescent="0.2">
      <c r="Z11397" t="str">
        <f t="shared" si="178"/>
        <v/>
      </c>
    </row>
    <row r="11398" spans="26:26" x14ac:dyDescent="0.2">
      <c r="Z11398" t="str">
        <f t="shared" si="178"/>
        <v/>
      </c>
    </row>
    <row r="11399" spans="26:26" x14ac:dyDescent="0.2">
      <c r="Z11399" t="str">
        <f t="shared" si="178"/>
        <v/>
      </c>
    </row>
    <row r="11400" spans="26:26" x14ac:dyDescent="0.2">
      <c r="Z11400" t="str">
        <f t="shared" si="178"/>
        <v/>
      </c>
    </row>
    <row r="11401" spans="26:26" x14ac:dyDescent="0.2">
      <c r="Z11401" t="str">
        <f t="shared" si="178"/>
        <v/>
      </c>
    </row>
    <row r="11402" spans="26:26" x14ac:dyDescent="0.2">
      <c r="Z11402" t="str">
        <f t="shared" si="178"/>
        <v/>
      </c>
    </row>
    <row r="11403" spans="26:26" x14ac:dyDescent="0.2">
      <c r="Z11403" t="str">
        <f t="shared" si="178"/>
        <v/>
      </c>
    </row>
    <row r="11404" spans="26:26" x14ac:dyDescent="0.2">
      <c r="Z11404" t="str">
        <f t="shared" si="178"/>
        <v/>
      </c>
    </row>
    <row r="11405" spans="26:26" x14ac:dyDescent="0.2">
      <c r="Z11405" t="str">
        <f t="shared" si="178"/>
        <v/>
      </c>
    </row>
    <row r="11406" spans="26:26" x14ac:dyDescent="0.2">
      <c r="Z11406" t="str">
        <f t="shared" si="178"/>
        <v/>
      </c>
    </row>
    <row r="11407" spans="26:26" x14ac:dyDescent="0.2">
      <c r="Z11407" t="str">
        <f t="shared" si="178"/>
        <v/>
      </c>
    </row>
    <row r="11408" spans="26:26" x14ac:dyDescent="0.2">
      <c r="Z11408" t="str">
        <f t="shared" si="178"/>
        <v/>
      </c>
    </row>
    <row r="11409" spans="26:26" x14ac:dyDescent="0.2">
      <c r="Z11409" t="str">
        <f t="shared" si="178"/>
        <v/>
      </c>
    </row>
    <row r="11410" spans="26:26" x14ac:dyDescent="0.2">
      <c r="Z11410" t="str">
        <f t="shared" si="178"/>
        <v/>
      </c>
    </row>
    <row r="11411" spans="26:26" x14ac:dyDescent="0.2">
      <c r="Z11411" t="str">
        <f t="shared" si="178"/>
        <v/>
      </c>
    </row>
    <row r="11412" spans="26:26" x14ac:dyDescent="0.2">
      <c r="Z11412" t="str">
        <f t="shared" si="178"/>
        <v/>
      </c>
    </row>
    <row r="11413" spans="26:26" x14ac:dyDescent="0.2">
      <c r="Z11413" t="str">
        <f t="shared" si="178"/>
        <v/>
      </c>
    </row>
    <row r="11414" spans="26:26" x14ac:dyDescent="0.2">
      <c r="Z11414" t="str">
        <f t="shared" si="178"/>
        <v/>
      </c>
    </row>
    <row r="11415" spans="26:26" x14ac:dyDescent="0.2">
      <c r="Z11415" t="str">
        <f t="shared" si="178"/>
        <v/>
      </c>
    </row>
    <row r="11416" spans="26:26" x14ac:dyDescent="0.2">
      <c r="Z11416" t="str">
        <f t="shared" si="178"/>
        <v/>
      </c>
    </row>
    <row r="11417" spans="26:26" x14ac:dyDescent="0.2">
      <c r="Z11417" t="str">
        <f t="shared" si="178"/>
        <v/>
      </c>
    </row>
    <row r="11418" spans="26:26" x14ac:dyDescent="0.2">
      <c r="Z11418" t="str">
        <f t="shared" si="178"/>
        <v/>
      </c>
    </row>
    <row r="11419" spans="26:26" x14ac:dyDescent="0.2">
      <c r="Z11419" t="str">
        <f t="shared" si="178"/>
        <v/>
      </c>
    </row>
    <row r="11420" spans="26:26" x14ac:dyDescent="0.2">
      <c r="Z11420" t="str">
        <f t="shared" si="178"/>
        <v/>
      </c>
    </row>
    <row r="11421" spans="26:26" x14ac:dyDescent="0.2">
      <c r="Z11421" t="str">
        <f t="shared" si="178"/>
        <v/>
      </c>
    </row>
    <row r="11422" spans="26:26" x14ac:dyDescent="0.2">
      <c r="Z11422" t="str">
        <f t="shared" si="178"/>
        <v/>
      </c>
    </row>
    <row r="11423" spans="26:26" x14ac:dyDescent="0.2">
      <c r="Z11423" t="str">
        <f t="shared" si="178"/>
        <v/>
      </c>
    </row>
    <row r="11424" spans="26:26" x14ac:dyDescent="0.2">
      <c r="Z11424" t="str">
        <f t="shared" si="178"/>
        <v/>
      </c>
    </row>
    <row r="11425" spans="26:26" x14ac:dyDescent="0.2">
      <c r="Z11425" t="str">
        <f t="shared" si="178"/>
        <v/>
      </c>
    </row>
    <row r="11426" spans="26:26" x14ac:dyDescent="0.2">
      <c r="Z11426" t="str">
        <f t="shared" si="178"/>
        <v/>
      </c>
    </row>
    <row r="11427" spans="26:26" x14ac:dyDescent="0.2">
      <c r="Z11427" t="str">
        <f t="shared" si="178"/>
        <v/>
      </c>
    </row>
    <row r="11428" spans="26:26" x14ac:dyDescent="0.2">
      <c r="Z11428" t="str">
        <f t="shared" si="178"/>
        <v/>
      </c>
    </row>
    <row r="11429" spans="26:26" x14ac:dyDescent="0.2">
      <c r="Z11429" t="str">
        <f t="shared" si="178"/>
        <v/>
      </c>
    </row>
    <row r="11430" spans="26:26" x14ac:dyDescent="0.2">
      <c r="Z11430" t="str">
        <f t="shared" si="178"/>
        <v/>
      </c>
    </row>
    <row r="11431" spans="26:26" x14ac:dyDescent="0.2">
      <c r="Z11431" t="str">
        <f t="shared" si="178"/>
        <v/>
      </c>
    </row>
    <row r="11432" spans="26:26" x14ac:dyDescent="0.2">
      <c r="Z11432" t="str">
        <f t="shared" si="178"/>
        <v/>
      </c>
    </row>
    <row r="11433" spans="26:26" x14ac:dyDescent="0.2">
      <c r="Z11433" t="str">
        <f t="shared" si="178"/>
        <v/>
      </c>
    </row>
    <row r="11434" spans="26:26" x14ac:dyDescent="0.2">
      <c r="Z11434" t="str">
        <f t="shared" si="178"/>
        <v/>
      </c>
    </row>
    <row r="11435" spans="26:26" x14ac:dyDescent="0.2">
      <c r="Z11435" t="str">
        <f t="shared" si="178"/>
        <v/>
      </c>
    </row>
    <row r="11436" spans="26:26" x14ac:dyDescent="0.2">
      <c r="Z11436" t="str">
        <f t="shared" si="178"/>
        <v/>
      </c>
    </row>
    <row r="11437" spans="26:26" x14ac:dyDescent="0.2">
      <c r="Z11437" t="str">
        <f t="shared" si="178"/>
        <v/>
      </c>
    </row>
    <row r="11438" spans="26:26" x14ac:dyDescent="0.2">
      <c r="Z11438" t="str">
        <f t="shared" si="178"/>
        <v/>
      </c>
    </row>
    <row r="11439" spans="26:26" x14ac:dyDescent="0.2">
      <c r="Z11439" t="str">
        <f t="shared" si="178"/>
        <v/>
      </c>
    </row>
    <row r="11440" spans="26:26" x14ac:dyDescent="0.2">
      <c r="Z11440" t="str">
        <f t="shared" si="178"/>
        <v/>
      </c>
    </row>
    <row r="11441" spans="26:26" x14ac:dyDescent="0.2">
      <c r="Z11441" t="str">
        <f t="shared" si="178"/>
        <v/>
      </c>
    </row>
    <row r="11442" spans="26:26" x14ac:dyDescent="0.2">
      <c r="Z11442" t="str">
        <f t="shared" si="178"/>
        <v/>
      </c>
    </row>
    <row r="11443" spans="26:26" x14ac:dyDescent="0.2">
      <c r="Z11443" t="str">
        <f t="shared" si="178"/>
        <v/>
      </c>
    </row>
    <row r="11444" spans="26:26" x14ac:dyDescent="0.2">
      <c r="Z11444" t="str">
        <f t="shared" si="178"/>
        <v/>
      </c>
    </row>
    <row r="11445" spans="26:26" x14ac:dyDescent="0.2">
      <c r="Z11445" t="str">
        <f t="shared" si="178"/>
        <v/>
      </c>
    </row>
    <row r="11446" spans="26:26" x14ac:dyDescent="0.2">
      <c r="Z11446" t="str">
        <f t="shared" si="178"/>
        <v/>
      </c>
    </row>
    <row r="11447" spans="26:26" x14ac:dyDescent="0.2">
      <c r="Z11447" t="str">
        <f t="shared" si="178"/>
        <v/>
      </c>
    </row>
    <row r="11448" spans="26:26" x14ac:dyDescent="0.2">
      <c r="Z11448" t="str">
        <f t="shared" si="178"/>
        <v/>
      </c>
    </row>
    <row r="11449" spans="26:26" x14ac:dyDescent="0.2">
      <c r="Z11449" t="str">
        <f t="shared" si="178"/>
        <v/>
      </c>
    </row>
    <row r="11450" spans="26:26" x14ac:dyDescent="0.2">
      <c r="Z11450" t="str">
        <f t="shared" si="178"/>
        <v/>
      </c>
    </row>
    <row r="11451" spans="26:26" x14ac:dyDescent="0.2">
      <c r="Z11451" t="str">
        <f t="shared" si="178"/>
        <v/>
      </c>
    </row>
    <row r="11452" spans="26:26" x14ac:dyDescent="0.2">
      <c r="Z11452" t="str">
        <f t="shared" si="178"/>
        <v/>
      </c>
    </row>
    <row r="11453" spans="26:26" x14ac:dyDescent="0.2">
      <c r="Z11453" t="str">
        <f t="shared" si="178"/>
        <v/>
      </c>
    </row>
    <row r="11454" spans="26:26" x14ac:dyDescent="0.2">
      <c r="Z11454" t="str">
        <f t="shared" si="178"/>
        <v/>
      </c>
    </row>
    <row r="11455" spans="26:26" x14ac:dyDescent="0.2">
      <c r="Z11455" t="str">
        <f t="shared" si="178"/>
        <v/>
      </c>
    </row>
    <row r="11456" spans="26:26" x14ac:dyDescent="0.2">
      <c r="Z11456" t="str">
        <f t="shared" si="178"/>
        <v/>
      </c>
    </row>
    <row r="11457" spans="26:26" x14ac:dyDescent="0.2">
      <c r="Z11457" t="str">
        <f t="shared" si="178"/>
        <v/>
      </c>
    </row>
    <row r="11458" spans="26:26" x14ac:dyDescent="0.2">
      <c r="Z11458" t="str">
        <f t="shared" si="178"/>
        <v/>
      </c>
    </row>
    <row r="11459" spans="26:26" x14ac:dyDescent="0.2">
      <c r="Z11459" t="str">
        <f t="shared" ref="Z11459:Z11522" si="179">IF(K11459="","",IFERROR(VALUE(TRIM(MID(K11459,FIND(CHAR(167),SUBSTITUTE(K11459,"-",CHAR(167),LEN(K11459)-LEN(SUBSTITUTE(K11459,"-",""))))+1,100))),K11459))</f>
        <v/>
      </c>
    </row>
    <row r="11460" spans="26:26" x14ac:dyDescent="0.2">
      <c r="Z11460" t="str">
        <f t="shared" si="179"/>
        <v/>
      </c>
    </row>
    <row r="11461" spans="26:26" x14ac:dyDescent="0.2">
      <c r="Z11461" t="str">
        <f t="shared" si="179"/>
        <v/>
      </c>
    </row>
    <row r="11462" spans="26:26" x14ac:dyDescent="0.2">
      <c r="Z11462" t="str">
        <f t="shared" si="179"/>
        <v/>
      </c>
    </row>
    <row r="11463" spans="26:26" x14ac:dyDescent="0.2">
      <c r="Z11463" t="str">
        <f t="shared" si="179"/>
        <v/>
      </c>
    </row>
    <row r="11464" spans="26:26" x14ac:dyDescent="0.2">
      <c r="Z11464" t="str">
        <f t="shared" si="179"/>
        <v/>
      </c>
    </row>
    <row r="11465" spans="26:26" x14ac:dyDescent="0.2">
      <c r="Z11465" t="str">
        <f t="shared" si="179"/>
        <v/>
      </c>
    </row>
    <row r="11466" spans="26:26" x14ac:dyDescent="0.2">
      <c r="Z11466" t="str">
        <f t="shared" si="179"/>
        <v/>
      </c>
    </row>
    <row r="11467" spans="26:26" x14ac:dyDescent="0.2">
      <c r="Z11467" t="str">
        <f t="shared" si="179"/>
        <v/>
      </c>
    </row>
    <row r="11468" spans="26:26" x14ac:dyDescent="0.2">
      <c r="Z11468" t="str">
        <f t="shared" si="179"/>
        <v/>
      </c>
    </row>
    <row r="11469" spans="26:26" x14ac:dyDescent="0.2">
      <c r="Z11469" t="str">
        <f t="shared" si="179"/>
        <v/>
      </c>
    </row>
    <row r="11470" spans="26:26" x14ac:dyDescent="0.2">
      <c r="Z11470" t="str">
        <f t="shared" si="179"/>
        <v/>
      </c>
    </row>
    <row r="11471" spans="26:26" x14ac:dyDescent="0.2">
      <c r="Z11471" t="str">
        <f t="shared" si="179"/>
        <v/>
      </c>
    </row>
    <row r="11472" spans="26:26" x14ac:dyDescent="0.2">
      <c r="Z11472" t="str">
        <f t="shared" si="179"/>
        <v/>
      </c>
    </row>
    <row r="11473" spans="26:26" x14ac:dyDescent="0.2">
      <c r="Z11473" t="str">
        <f t="shared" si="179"/>
        <v/>
      </c>
    </row>
    <row r="11474" spans="26:26" x14ac:dyDescent="0.2">
      <c r="Z11474" t="str">
        <f t="shared" si="179"/>
        <v/>
      </c>
    </row>
    <row r="11475" spans="26:26" x14ac:dyDescent="0.2">
      <c r="Z11475" t="str">
        <f t="shared" si="179"/>
        <v/>
      </c>
    </row>
    <row r="11476" spans="26:26" x14ac:dyDescent="0.2">
      <c r="Z11476" t="str">
        <f t="shared" si="179"/>
        <v/>
      </c>
    </row>
    <row r="11477" spans="26:26" x14ac:dyDescent="0.2">
      <c r="Z11477" t="str">
        <f t="shared" si="179"/>
        <v/>
      </c>
    </row>
    <row r="11478" spans="26:26" x14ac:dyDescent="0.2">
      <c r="Z11478" t="str">
        <f t="shared" si="179"/>
        <v/>
      </c>
    </row>
    <row r="11479" spans="26:26" x14ac:dyDescent="0.2">
      <c r="Z11479" t="str">
        <f t="shared" si="179"/>
        <v/>
      </c>
    </row>
    <row r="11480" spans="26:26" x14ac:dyDescent="0.2">
      <c r="Z11480" t="str">
        <f t="shared" si="179"/>
        <v/>
      </c>
    </row>
    <row r="11481" spans="26:26" x14ac:dyDescent="0.2">
      <c r="Z11481" t="str">
        <f t="shared" si="179"/>
        <v/>
      </c>
    </row>
    <row r="11482" spans="26:26" x14ac:dyDescent="0.2">
      <c r="Z11482" t="str">
        <f t="shared" si="179"/>
        <v/>
      </c>
    </row>
    <row r="11483" spans="26:26" x14ac:dyDescent="0.2">
      <c r="Z11483" t="str">
        <f t="shared" si="179"/>
        <v/>
      </c>
    </row>
    <row r="11484" spans="26:26" x14ac:dyDescent="0.2">
      <c r="Z11484" t="str">
        <f t="shared" si="179"/>
        <v/>
      </c>
    </row>
    <row r="11485" spans="26:26" x14ac:dyDescent="0.2">
      <c r="Z11485" t="str">
        <f t="shared" si="179"/>
        <v/>
      </c>
    </row>
    <row r="11486" spans="26:26" x14ac:dyDescent="0.2">
      <c r="Z11486" t="str">
        <f t="shared" si="179"/>
        <v/>
      </c>
    </row>
    <row r="11487" spans="26:26" x14ac:dyDescent="0.2">
      <c r="Z11487" t="str">
        <f t="shared" si="179"/>
        <v/>
      </c>
    </row>
    <row r="11488" spans="26:26" x14ac:dyDescent="0.2">
      <c r="Z11488" t="str">
        <f t="shared" si="179"/>
        <v/>
      </c>
    </row>
    <row r="11489" spans="26:26" x14ac:dyDescent="0.2">
      <c r="Z11489" t="str">
        <f t="shared" si="179"/>
        <v/>
      </c>
    </row>
    <row r="11490" spans="26:26" x14ac:dyDescent="0.2">
      <c r="Z11490" t="str">
        <f t="shared" si="179"/>
        <v/>
      </c>
    </row>
    <row r="11491" spans="26:26" x14ac:dyDescent="0.2">
      <c r="Z11491" t="str">
        <f t="shared" si="179"/>
        <v/>
      </c>
    </row>
    <row r="11492" spans="26:26" x14ac:dyDescent="0.2">
      <c r="Z11492" t="str">
        <f t="shared" si="179"/>
        <v/>
      </c>
    </row>
    <row r="11493" spans="26:26" x14ac:dyDescent="0.2">
      <c r="Z11493" t="str">
        <f t="shared" si="179"/>
        <v/>
      </c>
    </row>
    <row r="11494" spans="26:26" x14ac:dyDescent="0.2">
      <c r="Z11494" t="str">
        <f t="shared" si="179"/>
        <v/>
      </c>
    </row>
    <row r="11495" spans="26:26" x14ac:dyDescent="0.2">
      <c r="Z11495" t="str">
        <f t="shared" si="179"/>
        <v/>
      </c>
    </row>
    <row r="11496" spans="26:26" x14ac:dyDescent="0.2">
      <c r="Z11496" t="str">
        <f t="shared" si="179"/>
        <v/>
      </c>
    </row>
    <row r="11497" spans="26:26" x14ac:dyDescent="0.2">
      <c r="Z11497" t="str">
        <f t="shared" si="179"/>
        <v/>
      </c>
    </row>
    <row r="11498" spans="26:26" x14ac:dyDescent="0.2">
      <c r="Z11498" t="str">
        <f t="shared" si="179"/>
        <v/>
      </c>
    </row>
    <row r="11499" spans="26:26" x14ac:dyDescent="0.2">
      <c r="Z11499" t="str">
        <f t="shared" si="179"/>
        <v/>
      </c>
    </row>
    <row r="11500" spans="26:26" x14ac:dyDescent="0.2">
      <c r="Z11500" t="str">
        <f t="shared" si="179"/>
        <v/>
      </c>
    </row>
    <row r="11501" spans="26:26" x14ac:dyDescent="0.2">
      <c r="Z11501" t="str">
        <f t="shared" si="179"/>
        <v/>
      </c>
    </row>
    <row r="11502" spans="26:26" x14ac:dyDescent="0.2">
      <c r="Z11502" t="str">
        <f t="shared" si="179"/>
        <v/>
      </c>
    </row>
    <row r="11503" spans="26:26" x14ac:dyDescent="0.2">
      <c r="Z11503" t="str">
        <f t="shared" si="179"/>
        <v/>
      </c>
    </row>
    <row r="11504" spans="26:26" x14ac:dyDescent="0.2">
      <c r="Z11504" t="str">
        <f t="shared" si="179"/>
        <v/>
      </c>
    </row>
    <row r="11505" spans="26:26" x14ac:dyDescent="0.2">
      <c r="Z11505" t="str">
        <f t="shared" si="179"/>
        <v/>
      </c>
    </row>
    <row r="11506" spans="26:26" x14ac:dyDescent="0.2">
      <c r="Z11506" t="str">
        <f t="shared" si="179"/>
        <v/>
      </c>
    </row>
    <row r="11507" spans="26:26" x14ac:dyDescent="0.2">
      <c r="Z11507" t="str">
        <f t="shared" si="179"/>
        <v/>
      </c>
    </row>
    <row r="11508" spans="26:26" x14ac:dyDescent="0.2">
      <c r="Z11508" t="str">
        <f t="shared" si="179"/>
        <v/>
      </c>
    </row>
    <row r="11509" spans="26:26" x14ac:dyDescent="0.2">
      <c r="Z11509" t="str">
        <f t="shared" si="179"/>
        <v/>
      </c>
    </row>
    <row r="11510" spans="26:26" x14ac:dyDescent="0.2">
      <c r="Z11510" t="str">
        <f t="shared" si="179"/>
        <v/>
      </c>
    </row>
    <row r="11511" spans="26:26" x14ac:dyDescent="0.2">
      <c r="Z11511" t="str">
        <f t="shared" si="179"/>
        <v/>
      </c>
    </row>
    <row r="11512" spans="26:26" x14ac:dyDescent="0.2">
      <c r="Z11512" t="str">
        <f t="shared" si="179"/>
        <v/>
      </c>
    </row>
    <row r="11513" spans="26:26" x14ac:dyDescent="0.2">
      <c r="Z11513" t="str">
        <f t="shared" si="179"/>
        <v/>
      </c>
    </row>
    <row r="11514" spans="26:26" x14ac:dyDescent="0.2">
      <c r="Z11514" t="str">
        <f t="shared" si="179"/>
        <v/>
      </c>
    </row>
    <row r="11515" spans="26:26" x14ac:dyDescent="0.2">
      <c r="Z11515" t="str">
        <f t="shared" si="179"/>
        <v/>
      </c>
    </row>
    <row r="11516" spans="26:26" x14ac:dyDescent="0.2">
      <c r="Z11516" t="str">
        <f t="shared" si="179"/>
        <v/>
      </c>
    </row>
    <row r="11517" spans="26:26" x14ac:dyDescent="0.2">
      <c r="Z11517" t="str">
        <f t="shared" si="179"/>
        <v/>
      </c>
    </row>
    <row r="11518" spans="26:26" x14ac:dyDescent="0.2">
      <c r="Z11518" t="str">
        <f t="shared" si="179"/>
        <v/>
      </c>
    </row>
    <row r="11519" spans="26:26" x14ac:dyDescent="0.2">
      <c r="Z11519" t="str">
        <f t="shared" si="179"/>
        <v/>
      </c>
    </row>
    <row r="11520" spans="26:26" x14ac:dyDescent="0.2">
      <c r="Z11520" t="str">
        <f t="shared" si="179"/>
        <v/>
      </c>
    </row>
    <row r="11521" spans="26:26" x14ac:dyDescent="0.2">
      <c r="Z11521" t="str">
        <f t="shared" si="179"/>
        <v/>
      </c>
    </row>
    <row r="11522" spans="26:26" x14ac:dyDescent="0.2">
      <c r="Z11522" t="str">
        <f t="shared" si="179"/>
        <v/>
      </c>
    </row>
    <row r="11523" spans="26:26" x14ac:dyDescent="0.2">
      <c r="Z11523" t="str">
        <f t="shared" ref="Z11523:Z11586" si="180">IF(K11523="","",IFERROR(VALUE(TRIM(MID(K11523,FIND(CHAR(167),SUBSTITUTE(K11523,"-",CHAR(167),LEN(K11523)-LEN(SUBSTITUTE(K11523,"-",""))))+1,100))),K11523))</f>
        <v/>
      </c>
    </row>
    <row r="11524" spans="26:26" x14ac:dyDescent="0.2">
      <c r="Z11524" t="str">
        <f t="shared" si="180"/>
        <v/>
      </c>
    </row>
    <row r="11525" spans="26:26" x14ac:dyDescent="0.2">
      <c r="Z11525" t="str">
        <f t="shared" si="180"/>
        <v/>
      </c>
    </row>
    <row r="11526" spans="26:26" x14ac:dyDescent="0.2">
      <c r="Z11526" t="str">
        <f t="shared" si="180"/>
        <v/>
      </c>
    </row>
    <row r="11527" spans="26:26" x14ac:dyDescent="0.2">
      <c r="Z11527" t="str">
        <f t="shared" si="180"/>
        <v/>
      </c>
    </row>
    <row r="11528" spans="26:26" x14ac:dyDescent="0.2">
      <c r="Z11528" t="str">
        <f t="shared" si="180"/>
        <v/>
      </c>
    </row>
    <row r="11529" spans="26:26" x14ac:dyDescent="0.2">
      <c r="Z11529" t="str">
        <f t="shared" si="180"/>
        <v/>
      </c>
    </row>
    <row r="11530" spans="26:26" x14ac:dyDescent="0.2">
      <c r="Z11530" t="str">
        <f t="shared" si="180"/>
        <v/>
      </c>
    </row>
    <row r="11531" spans="26:26" x14ac:dyDescent="0.2">
      <c r="Z11531" t="str">
        <f t="shared" si="180"/>
        <v/>
      </c>
    </row>
    <row r="11532" spans="26:26" x14ac:dyDescent="0.2">
      <c r="Z11532" t="str">
        <f t="shared" si="180"/>
        <v/>
      </c>
    </row>
    <row r="11533" spans="26:26" x14ac:dyDescent="0.2">
      <c r="Z11533" t="str">
        <f t="shared" si="180"/>
        <v/>
      </c>
    </row>
    <row r="11534" spans="26:26" x14ac:dyDescent="0.2">
      <c r="Z11534" t="str">
        <f t="shared" si="180"/>
        <v/>
      </c>
    </row>
    <row r="11535" spans="26:26" x14ac:dyDescent="0.2">
      <c r="Z11535" t="str">
        <f t="shared" si="180"/>
        <v/>
      </c>
    </row>
    <row r="11536" spans="26:26" x14ac:dyDescent="0.2">
      <c r="Z11536" t="str">
        <f t="shared" si="180"/>
        <v/>
      </c>
    </row>
    <row r="11537" spans="26:26" x14ac:dyDescent="0.2">
      <c r="Z11537" t="str">
        <f t="shared" si="180"/>
        <v/>
      </c>
    </row>
    <row r="11538" spans="26:26" x14ac:dyDescent="0.2">
      <c r="Z11538" t="str">
        <f t="shared" si="180"/>
        <v/>
      </c>
    </row>
    <row r="11539" spans="26:26" x14ac:dyDescent="0.2">
      <c r="Z11539" t="str">
        <f t="shared" si="180"/>
        <v/>
      </c>
    </row>
    <row r="11540" spans="26:26" x14ac:dyDescent="0.2">
      <c r="Z11540" t="str">
        <f t="shared" si="180"/>
        <v/>
      </c>
    </row>
    <row r="11541" spans="26:26" x14ac:dyDescent="0.2">
      <c r="Z11541" t="str">
        <f t="shared" si="180"/>
        <v/>
      </c>
    </row>
    <row r="11542" spans="26:26" x14ac:dyDescent="0.2">
      <c r="Z11542" t="str">
        <f t="shared" si="180"/>
        <v/>
      </c>
    </row>
    <row r="11543" spans="26:26" x14ac:dyDescent="0.2">
      <c r="Z11543" t="str">
        <f t="shared" si="180"/>
        <v/>
      </c>
    </row>
    <row r="11544" spans="26:26" x14ac:dyDescent="0.2">
      <c r="Z11544" t="str">
        <f t="shared" si="180"/>
        <v/>
      </c>
    </row>
    <row r="11545" spans="26:26" x14ac:dyDescent="0.2">
      <c r="Z11545" t="str">
        <f t="shared" si="180"/>
        <v/>
      </c>
    </row>
    <row r="11546" spans="26:26" x14ac:dyDescent="0.2">
      <c r="Z11546" t="str">
        <f t="shared" si="180"/>
        <v/>
      </c>
    </row>
    <row r="11547" spans="26:26" x14ac:dyDescent="0.2">
      <c r="Z11547" t="str">
        <f t="shared" si="180"/>
        <v/>
      </c>
    </row>
    <row r="11548" spans="26:26" x14ac:dyDescent="0.2">
      <c r="Z11548" t="str">
        <f t="shared" si="180"/>
        <v/>
      </c>
    </row>
    <row r="11549" spans="26:26" x14ac:dyDescent="0.2">
      <c r="Z11549" t="str">
        <f t="shared" si="180"/>
        <v/>
      </c>
    </row>
    <row r="11550" spans="26:26" x14ac:dyDescent="0.2">
      <c r="Z11550" t="str">
        <f t="shared" si="180"/>
        <v/>
      </c>
    </row>
    <row r="11551" spans="26:26" x14ac:dyDescent="0.2">
      <c r="Z11551" t="str">
        <f t="shared" si="180"/>
        <v/>
      </c>
    </row>
    <row r="11552" spans="26:26" x14ac:dyDescent="0.2">
      <c r="Z11552" t="str">
        <f t="shared" si="180"/>
        <v/>
      </c>
    </row>
    <row r="11553" spans="26:26" x14ac:dyDescent="0.2">
      <c r="Z11553" t="str">
        <f t="shared" si="180"/>
        <v/>
      </c>
    </row>
    <row r="11554" spans="26:26" x14ac:dyDescent="0.2">
      <c r="Z11554" t="str">
        <f t="shared" si="180"/>
        <v/>
      </c>
    </row>
    <row r="11555" spans="26:26" x14ac:dyDescent="0.2">
      <c r="Z11555" t="str">
        <f t="shared" si="180"/>
        <v/>
      </c>
    </row>
    <row r="11556" spans="26:26" x14ac:dyDescent="0.2">
      <c r="Z11556" t="str">
        <f t="shared" si="180"/>
        <v/>
      </c>
    </row>
    <row r="11557" spans="26:26" x14ac:dyDescent="0.2">
      <c r="Z11557" t="str">
        <f t="shared" si="180"/>
        <v/>
      </c>
    </row>
    <row r="11558" spans="26:26" x14ac:dyDescent="0.2">
      <c r="Z11558" t="str">
        <f t="shared" si="180"/>
        <v/>
      </c>
    </row>
    <row r="11559" spans="26:26" x14ac:dyDescent="0.2">
      <c r="Z11559" t="str">
        <f t="shared" si="180"/>
        <v/>
      </c>
    </row>
    <row r="11560" spans="26:26" x14ac:dyDescent="0.2">
      <c r="Z11560" t="str">
        <f t="shared" si="180"/>
        <v/>
      </c>
    </row>
    <row r="11561" spans="26:26" x14ac:dyDescent="0.2">
      <c r="Z11561" t="str">
        <f t="shared" si="180"/>
        <v/>
      </c>
    </row>
    <row r="11562" spans="26:26" x14ac:dyDescent="0.2">
      <c r="Z11562" t="str">
        <f t="shared" si="180"/>
        <v/>
      </c>
    </row>
    <row r="11563" spans="26:26" x14ac:dyDescent="0.2">
      <c r="Z11563" t="str">
        <f t="shared" si="180"/>
        <v/>
      </c>
    </row>
    <row r="11564" spans="26:26" x14ac:dyDescent="0.2">
      <c r="Z11564" t="str">
        <f t="shared" si="180"/>
        <v/>
      </c>
    </row>
    <row r="11565" spans="26:26" x14ac:dyDescent="0.2">
      <c r="Z11565" t="str">
        <f t="shared" si="180"/>
        <v/>
      </c>
    </row>
    <row r="11566" spans="26:26" x14ac:dyDescent="0.2">
      <c r="Z11566" t="str">
        <f t="shared" si="180"/>
        <v/>
      </c>
    </row>
    <row r="11567" spans="26:26" x14ac:dyDescent="0.2">
      <c r="Z11567" t="str">
        <f t="shared" si="180"/>
        <v/>
      </c>
    </row>
    <row r="11568" spans="26:26" x14ac:dyDescent="0.2">
      <c r="Z11568" t="str">
        <f t="shared" si="180"/>
        <v/>
      </c>
    </row>
    <row r="11569" spans="26:26" x14ac:dyDescent="0.2">
      <c r="Z11569" t="str">
        <f t="shared" si="180"/>
        <v/>
      </c>
    </row>
    <row r="11570" spans="26:26" x14ac:dyDescent="0.2">
      <c r="Z11570" t="str">
        <f t="shared" si="180"/>
        <v/>
      </c>
    </row>
    <row r="11571" spans="26:26" x14ac:dyDescent="0.2">
      <c r="Z11571" t="str">
        <f t="shared" si="180"/>
        <v/>
      </c>
    </row>
    <row r="11572" spans="26:26" x14ac:dyDescent="0.2">
      <c r="Z11572" t="str">
        <f t="shared" si="180"/>
        <v/>
      </c>
    </row>
    <row r="11573" spans="26:26" x14ac:dyDescent="0.2">
      <c r="Z11573" t="str">
        <f t="shared" si="180"/>
        <v/>
      </c>
    </row>
    <row r="11574" spans="26:26" x14ac:dyDescent="0.2">
      <c r="Z11574" t="str">
        <f t="shared" si="180"/>
        <v/>
      </c>
    </row>
    <row r="11575" spans="26:26" x14ac:dyDescent="0.2">
      <c r="Z11575" t="str">
        <f t="shared" si="180"/>
        <v/>
      </c>
    </row>
    <row r="11576" spans="26:26" x14ac:dyDescent="0.2">
      <c r="Z11576" t="str">
        <f t="shared" si="180"/>
        <v/>
      </c>
    </row>
    <row r="11577" spans="26:26" x14ac:dyDescent="0.2">
      <c r="Z11577" t="str">
        <f t="shared" si="180"/>
        <v/>
      </c>
    </row>
    <row r="11578" spans="26:26" x14ac:dyDescent="0.2">
      <c r="Z11578" t="str">
        <f t="shared" si="180"/>
        <v/>
      </c>
    </row>
    <row r="11579" spans="26:26" x14ac:dyDescent="0.2">
      <c r="Z11579" t="str">
        <f t="shared" si="180"/>
        <v/>
      </c>
    </row>
    <row r="11580" spans="26:26" x14ac:dyDescent="0.2">
      <c r="Z11580" t="str">
        <f t="shared" si="180"/>
        <v/>
      </c>
    </row>
    <row r="11581" spans="26:26" x14ac:dyDescent="0.2">
      <c r="Z11581" t="str">
        <f t="shared" si="180"/>
        <v/>
      </c>
    </row>
    <row r="11582" spans="26:26" x14ac:dyDescent="0.2">
      <c r="Z11582" t="str">
        <f t="shared" si="180"/>
        <v/>
      </c>
    </row>
    <row r="11583" spans="26:26" x14ac:dyDescent="0.2">
      <c r="Z11583" t="str">
        <f t="shared" si="180"/>
        <v/>
      </c>
    </row>
    <row r="11584" spans="26:26" x14ac:dyDescent="0.2">
      <c r="Z11584" t="str">
        <f t="shared" si="180"/>
        <v/>
      </c>
    </row>
    <row r="11585" spans="26:26" x14ac:dyDescent="0.2">
      <c r="Z11585" t="str">
        <f t="shared" si="180"/>
        <v/>
      </c>
    </row>
    <row r="11586" spans="26:26" x14ac:dyDescent="0.2">
      <c r="Z11586" t="str">
        <f t="shared" si="180"/>
        <v/>
      </c>
    </row>
    <row r="11587" spans="26:26" x14ac:dyDescent="0.2">
      <c r="Z11587" t="str">
        <f t="shared" ref="Z11587:Z11650" si="181">IF(K11587="","",IFERROR(VALUE(TRIM(MID(K11587,FIND(CHAR(167),SUBSTITUTE(K11587,"-",CHAR(167),LEN(K11587)-LEN(SUBSTITUTE(K11587,"-",""))))+1,100))),K11587))</f>
        <v/>
      </c>
    </row>
    <row r="11588" spans="26:26" x14ac:dyDescent="0.2">
      <c r="Z11588" t="str">
        <f t="shared" si="181"/>
        <v/>
      </c>
    </row>
    <row r="11589" spans="26:26" x14ac:dyDescent="0.2">
      <c r="Z11589" t="str">
        <f t="shared" si="181"/>
        <v/>
      </c>
    </row>
    <row r="11590" spans="26:26" x14ac:dyDescent="0.2">
      <c r="Z11590" t="str">
        <f t="shared" si="181"/>
        <v/>
      </c>
    </row>
    <row r="11591" spans="26:26" x14ac:dyDescent="0.2">
      <c r="Z11591" t="str">
        <f t="shared" si="181"/>
        <v/>
      </c>
    </row>
    <row r="11592" spans="26:26" x14ac:dyDescent="0.2">
      <c r="Z11592" t="str">
        <f t="shared" si="181"/>
        <v/>
      </c>
    </row>
    <row r="11593" spans="26:26" x14ac:dyDescent="0.2">
      <c r="Z11593" t="str">
        <f t="shared" si="181"/>
        <v/>
      </c>
    </row>
    <row r="11594" spans="26:26" x14ac:dyDescent="0.2">
      <c r="Z11594" t="str">
        <f t="shared" si="181"/>
        <v/>
      </c>
    </row>
    <row r="11595" spans="26:26" x14ac:dyDescent="0.2">
      <c r="Z11595" t="str">
        <f t="shared" si="181"/>
        <v/>
      </c>
    </row>
    <row r="11596" spans="26:26" x14ac:dyDescent="0.2">
      <c r="Z11596" t="str">
        <f t="shared" si="181"/>
        <v/>
      </c>
    </row>
    <row r="11597" spans="26:26" x14ac:dyDescent="0.2">
      <c r="Z11597" t="str">
        <f t="shared" si="181"/>
        <v/>
      </c>
    </row>
    <row r="11598" spans="26:26" x14ac:dyDescent="0.2">
      <c r="Z11598" t="str">
        <f t="shared" si="181"/>
        <v/>
      </c>
    </row>
    <row r="11599" spans="26:26" x14ac:dyDescent="0.2">
      <c r="Z11599" t="str">
        <f t="shared" si="181"/>
        <v/>
      </c>
    </row>
    <row r="11600" spans="26:26" x14ac:dyDescent="0.2">
      <c r="Z11600" t="str">
        <f t="shared" si="181"/>
        <v/>
      </c>
    </row>
    <row r="11601" spans="26:26" x14ac:dyDescent="0.2">
      <c r="Z11601" t="str">
        <f t="shared" si="181"/>
        <v/>
      </c>
    </row>
    <row r="11602" spans="26:26" x14ac:dyDescent="0.2">
      <c r="Z11602" t="str">
        <f t="shared" si="181"/>
        <v/>
      </c>
    </row>
    <row r="11603" spans="26:26" x14ac:dyDescent="0.2">
      <c r="Z11603" t="str">
        <f t="shared" si="181"/>
        <v/>
      </c>
    </row>
    <row r="11604" spans="26:26" x14ac:dyDescent="0.2">
      <c r="Z11604" t="str">
        <f t="shared" si="181"/>
        <v/>
      </c>
    </row>
    <row r="11605" spans="26:26" x14ac:dyDescent="0.2">
      <c r="Z11605" t="str">
        <f t="shared" si="181"/>
        <v/>
      </c>
    </row>
    <row r="11606" spans="26:26" x14ac:dyDescent="0.2">
      <c r="Z11606" t="str">
        <f t="shared" si="181"/>
        <v/>
      </c>
    </row>
    <row r="11607" spans="26:26" x14ac:dyDescent="0.2">
      <c r="Z11607" t="str">
        <f t="shared" si="181"/>
        <v/>
      </c>
    </row>
    <row r="11608" spans="26:26" x14ac:dyDescent="0.2">
      <c r="Z11608" t="str">
        <f t="shared" si="181"/>
        <v/>
      </c>
    </row>
    <row r="11609" spans="26:26" x14ac:dyDescent="0.2">
      <c r="Z11609" t="str">
        <f t="shared" si="181"/>
        <v/>
      </c>
    </row>
    <row r="11610" spans="26:26" x14ac:dyDescent="0.2">
      <c r="Z11610" t="str">
        <f t="shared" si="181"/>
        <v/>
      </c>
    </row>
    <row r="11611" spans="26:26" x14ac:dyDescent="0.2">
      <c r="Z11611" t="str">
        <f t="shared" si="181"/>
        <v/>
      </c>
    </row>
    <row r="11612" spans="26:26" x14ac:dyDescent="0.2">
      <c r="Z11612" t="str">
        <f t="shared" si="181"/>
        <v/>
      </c>
    </row>
    <row r="11613" spans="26:26" x14ac:dyDescent="0.2">
      <c r="Z11613" t="str">
        <f t="shared" si="181"/>
        <v/>
      </c>
    </row>
    <row r="11614" spans="26:26" x14ac:dyDescent="0.2">
      <c r="Z11614" t="str">
        <f t="shared" si="181"/>
        <v/>
      </c>
    </row>
    <row r="11615" spans="26:26" x14ac:dyDescent="0.2">
      <c r="Z11615" t="str">
        <f t="shared" si="181"/>
        <v/>
      </c>
    </row>
    <row r="11616" spans="26:26" x14ac:dyDescent="0.2">
      <c r="Z11616" t="str">
        <f t="shared" si="181"/>
        <v/>
      </c>
    </row>
    <row r="11617" spans="26:26" x14ac:dyDescent="0.2">
      <c r="Z11617" t="str">
        <f t="shared" si="181"/>
        <v/>
      </c>
    </row>
    <row r="11618" spans="26:26" x14ac:dyDescent="0.2">
      <c r="Z11618" t="str">
        <f t="shared" si="181"/>
        <v/>
      </c>
    </row>
    <row r="11619" spans="26:26" x14ac:dyDescent="0.2">
      <c r="Z11619" t="str">
        <f t="shared" si="181"/>
        <v/>
      </c>
    </row>
    <row r="11620" spans="26:26" x14ac:dyDescent="0.2">
      <c r="Z11620" t="str">
        <f t="shared" si="181"/>
        <v/>
      </c>
    </row>
    <row r="11621" spans="26:26" x14ac:dyDescent="0.2">
      <c r="Z11621" t="str">
        <f t="shared" si="181"/>
        <v/>
      </c>
    </row>
    <row r="11622" spans="26:26" x14ac:dyDescent="0.2">
      <c r="Z11622" t="str">
        <f t="shared" si="181"/>
        <v/>
      </c>
    </row>
    <row r="11623" spans="26:26" x14ac:dyDescent="0.2">
      <c r="Z11623" t="str">
        <f t="shared" si="181"/>
        <v/>
      </c>
    </row>
    <row r="11624" spans="26:26" x14ac:dyDescent="0.2">
      <c r="Z11624" t="str">
        <f t="shared" si="181"/>
        <v/>
      </c>
    </row>
    <row r="11625" spans="26:26" x14ac:dyDescent="0.2">
      <c r="Z11625" t="str">
        <f t="shared" si="181"/>
        <v/>
      </c>
    </row>
    <row r="11626" spans="26:26" x14ac:dyDescent="0.2">
      <c r="Z11626" t="str">
        <f t="shared" si="181"/>
        <v/>
      </c>
    </row>
    <row r="11627" spans="26:26" x14ac:dyDescent="0.2">
      <c r="Z11627" t="str">
        <f t="shared" si="181"/>
        <v/>
      </c>
    </row>
    <row r="11628" spans="26:26" x14ac:dyDescent="0.2">
      <c r="Z11628" t="str">
        <f t="shared" si="181"/>
        <v/>
      </c>
    </row>
    <row r="11629" spans="26:26" x14ac:dyDescent="0.2">
      <c r="Z11629" t="str">
        <f t="shared" si="181"/>
        <v/>
      </c>
    </row>
    <row r="11630" spans="26:26" x14ac:dyDescent="0.2">
      <c r="Z11630" t="str">
        <f t="shared" si="181"/>
        <v/>
      </c>
    </row>
    <row r="11631" spans="26:26" x14ac:dyDescent="0.2">
      <c r="Z11631" t="str">
        <f t="shared" si="181"/>
        <v/>
      </c>
    </row>
    <row r="11632" spans="26:26" x14ac:dyDescent="0.2">
      <c r="Z11632" t="str">
        <f t="shared" si="181"/>
        <v/>
      </c>
    </row>
    <row r="11633" spans="26:26" x14ac:dyDescent="0.2">
      <c r="Z11633" t="str">
        <f t="shared" si="181"/>
        <v/>
      </c>
    </row>
    <row r="11634" spans="26:26" x14ac:dyDescent="0.2">
      <c r="Z11634" t="str">
        <f t="shared" si="181"/>
        <v/>
      </c>
    </row>
    <row r="11635" spans="26:26" x14ac:dyDescent="0.2">
      <c r="Z11635" t="str">
        <f t="shared" si="181"/>
        <v/>
      </c>
    </row>
    <row r="11636" spans="26:26" x14ac:dyDescent="0.2">
      <c r="Z11636" t="str">
        <f t="shared" si="181"/>
        <v/>
      </c>
    </row>
    <row r="11637" spans="26:26" x14ac:dyDescent="0.2">
      <c r="Z11637" t="str">
        <f t="shared" si="181"/>
        <v/>
      </c>
    </row>
    <row r="11638" spans="26:26" x14ac:dyDescent="0.2">
      <c r="Z11638" t="str">
        <f t="shared" si="181"/>
        <v/>
      </c>
    </row>
    <row r="11639" spans="26:26" x14ac:dyDescent="0.2">
      <c r="Z11639" t="str">
        <f t="shared" si="181"/>
        <v/>
      </c>
    </row>
    <row r="11640" spans="26:26" x14ac:dyDescent="0.2">
      <c r="Z11640" t="str">
        <f t="shared" si="181"/>
        <v/>
      </c>
    </row>
    <row r="11641" spans="26:26" x14ac:dyDescent="0.2">
      <c r="Z11641" t="str">
        <f t="shared" si="181"/>
        <v/>
      </c>
    </row>
    <row r="11642" spans="26:26" x14ac:dyDescent="0.2">
      <c r="Z11642" t="str">
        <f t="shared" si="181"/>
        <v/>
      </c>
    </row>
    <row r="11643" spans="26:26" x14ac:dyDescent="0.2">
      <c r="Z11643" t="str">
        <f t="shared" si="181"/>
        <v/>
      </c>
    </row>
    <row r="11644" spans="26:26" x14ac:dyDescent="0.2">
      <c r="Z11644" t="str">
        <f t="shared" si="181"/>
        <v/>
      </c>
    </row>
    <row r="11645" spans="26:26" x14ac:dyDescent="0.2">
      <c r="Z11645" t="str">
        <f t="shared" si="181"/>
        <v/>
      </c>
    </row>
    <row r="11646" spans="26:26" x14ac:dyDescent="0.2">
      <c r="Z11646" t="str">
        <f t="shared" si="181"/>
        <v/>
      </c>
    </row>
    <row r="11647" spans="26:26" x14ac:dyDescent="0.2">
      <c r="Z11647" t="str">
        <f t="shared" si="181"/>
        <v/>
      </c>
    </row>
    <row r="11648" spans="26:26" x14ac:dyDescent="0.2">
      <c r="Z11648" t="str">
        <f t="shared" si="181"/>
        <v/>
      </c>
    </row>
    <row r="11649" spans="26:26" x14ac:dyDescent="0.2">
      <c r="Z11649" t="str">
        <f t="shared" si="181"/>
        <v/>
      </c>
    </row>
    <row r="11650" spans="26:26" x14ac:dyDescent="0.2">
      <c r="Z11650" t="str">
        <f t="shared" si="181"/>
        <v/>
      </c>
    </row>
    <row r="11651" spans="26:26" x14ac:dyDescent="0.2">
      <c r="Z11651" t="str">
        <f t="shared" ref="Z11651:Z11714" si="182">IF(K11651="","",IFERROR(VALUE(TRIM(MID(K11651,FIND(CHAR(167),SUBSTITUTE(K11651,"-",CHAR(167),LEN(K11651)-LEN(SUBSTITUTE(K11651,"-",""))))+1,100))),K11651))</f>
        <v/>
      </c>
    </row>
    <row r="11652" spans="26:26" x14ac:dyDescent="0.2">
      <c r="Z11652" t="str">
        <f t="shared" si="182"/>
        <v/>
      </c>
    </row>
    <row r="11653" spans="26:26" x14ac:dyDescent="0.2">
      <c r="Z11653" t="str">
        <f t="shared" si="182"/>
        <v/>
      </c>
    </row>
    <row r="11654" spans="26:26" x14ac:dyDescent="0.2">
      <c r="Z11654" t="str">
        <f t="shared" si="182"/>
        <v/>
      </c>
    </row>
    <row r="11655" spans="26:26" x14ac:dyDescent="0.2">
      <c r="Z11655" t="str">
        <f t="shared" si="182"/>
        <v/>
      </c>
    </row>
    <row r="11656" spans="26:26" x14ac:dyDescent="0.2">
      <c r="Z11656" t="str">
        <f t="shared" si="182"/>
        <v/>
      </c>
    </row>
    <row r="11657" spans="26:26" x14ac:dyDescent="0.2">
      <c r="Z11657" t="str">
        <f t="shared" si="182"/>
        <v/>
      </c>
    </row>
    <row r="11658" spans="26:26" x14ac:dyDescent="0.2">
      <c r="Z11658" t="str">
        <f t="shared" si="182"/>
        <v/>
      </c>
    </row>
    <row r="11659" spans="26:26" x14ac:dyDescent="0.2">
      <c r="Z11659" t="str">
        <f t="shared" si="182"/>
        <v/>
      </c>
    </row>
    <row r="11660" spans="26:26" x14ac:dyDescent="0.2">
      <c r="Z11660" t="str">
        <f t="shared" si="182"/>
        <v/>
      </c>
    </row>
    <row r="11661" spans="26:26" x14ac:dyDescent="0.2">
      <c r="Z11661" t="str">
        <f t="shared" si="182"/>
        <v/>
      </c>
    </row>
    <row r="11662" spans="26:26" x14ac:dyDescent="0.2">
      <c r="Z11662" t="str">
        <f t="shared" si="182"/>
        <v/>
      </c>
    </row>
    <row r="11663" spans="26:26" x14ac:dyDescent="0.2">
      <c r="Z11663" t="str">
        <f t="shared" si="182"/>
        <v/>
      </c>
    </row>
    <row r="11664" spans="26:26" x14ac:dyDescent="0.2">
      <c r="Z11664" t="str">
        <f t="shared" si="182"/>
        <v/>
      </c>
    </row>
    <row r="11665" spans="26:26" x14ac:dyDescent="0.2">
      <c r="Z11665" t="str">
        <f t="shared" si="182"/>
        <v/>
      </c>
    </row>
    <row r="11666" spans="26:26" x14ac:dyDescent="0.2">
      <c r="Z11666" t="str">
        <f t="shared" si="182"/>
        <v/>
      </c>
    </row>
    <row r="11667" spans="26:26" x14ac:dyDescent="0.2">
      <c r="Z11667" t="str">
        <f t="shared" si="182"/>
        <v/>
      </c>
    </row>
    <row r="11668" spans="26:26" x14ac:dyDescent="0.2">
      <c r="Z11668" t="str">
        <f t="shared" si="182"/>
        <v/>
      </c>
    </row>
    <row r="11669" spans="26:26" x14ac:dyDescent="0.2">
      <c r="Z11669" t="str">
        <f t="shared" si="182"/>
        <v/>
      </c>
    </row>
    <row r="11670" spans="26:26" x14ac:dyDescent="0.2">
      <c r="Z11670" t="str">
        <f t="shared" si="182"/>
        <v/>
      </c>
    </row>
    <row r="11671" spans="26:26" x14ac:dyDescent="0.2">
      <c r="Z11671" t="str">
        <f t="shared" si="182"/>
        <v/>
      </c>
    </row>
    <row r="11672" spans="26:26" x14ac:dyDescent="0.2">
      <c r="Z11672" t="str">
        <f t="shared" si="182"/>
        <v/>
      </c>
    </row>
    <row r="11673" spans="26:26" x14ac:dyDescent="0.2">
      <c r="Z11673" t="str">
        <f t="shared" si="182"/>
        <v/>
      </c>
    </row>
    <row r="11674" spans="26:26" x14ac:dyDescent="0.2">
      <c r="Z11674" t="str">
        <f t="shared" si="182"/>
        <v/>
      </c>
    </row>
    <row r="11675" spans="26:26" x14ac:dyDescent="0.2">
      <c r="Z11675" t="str">
        <f t="shared" si="182"/>
        <v/>
      </c>
    </row>
    <row r="11676" spans="26:26" x14ac:dyDescent="0.2">
      <c r="Z11676" t="str">
        <f t="shared" si="182"/>
        <v/>
      </c>
    </row>
    <row r="11677" spans="26:26" x14ac:dyDescent="0.2">
      <c r="Z11677" t="str">
        <f t="shared" si="182"/>
        <v/>
      </c>
    </row>
    <row r="11678" spans="26:26" x14ac:dyDescent="0.2">
      <c r="Z11678" t="str">
        <f t="shared" si="182"/>
        <v/>
      </c>
    </row>
    <row r="11679" spans="26:26" x14ac:dyDescent="0.2">
      <c r="Z11679" t="str">
        <f t="shared" si="182"/>
        <v/>
      </c>
    </row>
    <row r="11680" spans="26:26" x14ac:dyDescent="0.2">
      <c r="Z11680" t="str">
        <f t="shared" si="182"/>
        <v/>
      </c>
    </row>
    <row r="11681" spans="26:26" x14ac:dyDescent="0.2">
      <c r="Z11681" t="str">
        <f t="shared" si="182"/>
        <v/>
      </c>
    </row>
    <row r="11682" spans="26:26" x14ac:dyDescent="0.2">
      <c r="Z11682" t="str">
        <f t="shared" si="182"/>
        <v/>
      </c>
    </row>
    <row r="11683" spans="26:26" x14ac:dyDescent="0.2">
      <c r="Z11683" t="str">
        <f t="shared" si="182"/>
        <v/>
      </c>
    </row>
    <row r="11684" spans="26:26" x14ac:dyDescent="0.2">
      <c r="Z11684" t="str">
        <f t="shared" si="182"/>
        <v/>
      </c>
    </row>
    <row r="11685" spans="26:26" x14ac:dyDescent="0.2">
      <c r="Z11685" t="str">
        <f t="shared" si="182"/>
        <v/>
      </c>
    </row>
    <row r="11686" spans="26:26" x14ac:dyDescent="0.2">
      <c r="Z11686" t="str">
        <f t="shared" si="182"/>
        <v/>
      </c>
    </row>
    <row r="11687" spans="26:26" x14ac:dyDescent="0.2">
      <c r="Z11687" t="str">
        <f t="shared" si="182"/>
        <v/>
      </c>
    </row>
    <row r="11688" spans="26:26" x14ac:dyDescent="0.2">
      <c r="Z11688" t="str">
        <f t="shared" si="182"/>
        <v/>
      </c>
    </row>
    <row r="11689" spans="26:26" x14ac:dyDescent="0.2">
      <c r="Z11689" t="str">
        <f t="shared" si="182"/>
        <v/>
      </c>
    </row>
    <row r="11690" spans="26:26" x14ac:dyDescent="0.2">
      <c r="Z11690" t="str">
        <f t="shared" si="182"/>
        <v/>
      </c>
    </row>
    <row r="11691" spans="26:26" x14ac:dyDescent="0.2">
      <c r="Z11691" t="str">
        <f t="shared" si="182"/>
        <v/>
      </c>
    </row>
    <row r="11692" spans="26:26" x14ac:dyDescent="0.2">
      <c r="Z11692" t="str">
        <f t="shared" si="182"/>
        <v/>
      </c>
    </row>
    <row r="11693" spans="26:26" x14ac:dyDescent="0.2">
      <c r="Z11693" t="str">
        <f t="shared" si="182"/>
        <v/>
      </c>
    </row>
    <row r="11694" spans="26:26" x14ac:dyDescent="0.2">
      <c r="Z11694" t="str">
        <f t="shared" si="182"/>
        <v/>
      </c>
    </row>
    <row r="11695" spans="26:26" x14ac:dyDescent="0.2">
      <c r="Z11695" t="str">
        <f t="shared" si="182"/>
        <v/>
      </c>
    </row>
    <row r="11696" spans="26:26" x14ac:dyDescent="0.2">
      <c r="Z11696" t="str">
        <f t="shared" si="182"/>
        <v/>
      </c>
    </row>
    <row r="11697" spans="26:26" x14ac:dyDescent="0.2">
      <c r="Z11697" t="str">
        <f t="shared" si="182"/>
        <v/>
      </c>
    </row>
    <row r="11698" spans="26:26" x14ac:dyDescent="0.2">
      <c r="Z11698" t="str">
        <f t="shared" si="182"/>
        <v/>
      </c>
    </row>
    <row r="11699" spans="26:26" x14ac:dyDescent="0.2">
      <c r="Z11699" t="str">
        <f t="shared" si="182"/>
        <v/>
      </c>
    </row>
    <row r="11700" spans="26:26" x14ac:dyDescent="0.2">
      <c r="Z11700" t="str">
        <f t="shared" si="182"/>
        <v/>
      </c>
    </row>
    <row r="11701" spans="26:26" x14ac:dyDescent="0.2">
      <c r="Z11701" t="str">
        <f t="shared" si="182"/>
        <v/>
      </c>
    </row>
    <row r="11702" spans="26:26" x14ac:dyDescent="0.2">
      <c r="Z11702" t="str">
        <f t="shared" si="182"/>
        <v/>
      </c>
    </row>
    <row r="11703" spans="26:26" x14ac:dyDescent="0.2">
      <c r="Z11703" t="str">
        <f t="shared" si="182"/>
        <v/>
      </c>
    </row>
    <row r="11704" spans="26:26" x14ac:dyDescent="0.2">
      <c r="Z11704" t="str">
        <f t="shared" si="182"/>
        <v/>
      </c>
    </row>
    <row r="11705" spans="26:26" x14ac:dyDescent="0.2">
      <c r="Z11705" t="str">
        <f t="shared" si="182"/>
        <v/>
      </c>
    </row>
    <row r="11706" spans="26:26" x14ac:dyDescent="0.2">
      <c r="Z11706" t="str">
        <f t="shared" si="182"/>
        <v/>
      </c>
    </row>
    <row r="11707" spans="26:26" x14ac:dyDescent="0.2">
      <c r="Z11707" t="str">
        <f t="shared" si="182"/>
        <v/>
      </c>
    </row>
    <row r="11708" spans="26:26" x14ac:dyDescent="0.2">
      <c r="Z11708" t="str">
        <f t="shared" si="182"/>
        <v/>
      </c>
    </row>
    <row r="11709" spans="26:26" x14ac:dyDescent="0.2">
      <c r="Z11709" t="str">
        <f t="shared" si="182"/>
        <v/>
      </c>
    </row>
    <row r="11710" spans="26:26" x14ac:dyDescent="0.2">
      <c r="Z11710" t="str">
        <f t="shared" si="182"/>
        <v/>
      </c>
    </row>
    <row r="11711" spans="26:26" x14ac:dyDescent="0.2">
      <c r="Z11711" t="str">
        <f t="shared" si="182"/>
        <v/>
      </c>
    </row>
    <row r="11712" spans="26:26" x14ac:dyDescent="0.2">
      <c r="Z11712" t="str">
        <f t="shared" si="182"/>
        <v/>
      </c>
    </row>
    <row r="11713" spans="26:26" x14ac:dyDescent="0.2">
      <c r="Z11713" t="str">
        <f t="shared" si="182"/>
        <v/>
      </c>
    </row>
    <row r="11714" spans="26:26" x14ac:dyDescent="0.2">
      <c r="Z11714" t="str">
        <f t="shared" si="182"/>
        <v/>
      </c>
    </row>
    <row r="11715" spans="26:26" x14ac:dyDescent="0.2">
      <c r="Z11715" t="str">
        <f t="shared" ref="Z11715:Z11778" si="183">IF(K11715="","",IFERROR(VALUE(TRIM(MID(K11715,FIND(CHAR(167),SUBSTITUTE(K11715,"-",CHAR(167),LEN(K11715)-LEN(SUBSTITUTE(K11715,"-",""))))+1,100))),K11715))</f>
        <v/>
      </c>
    </row>
    <row r="11716" spans="26:26" x14ac:dyDescent="0.2">
      <c r="Z11716" t="str">
        <f t="shared" si="183"/>
        <v/>
      </c>
    </row>
    <row r="11717" spans="26:26" x14ac:dyDescent="0.2">
      <c r="Z11717" t="str">
        <f t="shared" si="183"/>
        <v/>
      </c>
    </row>
    <row r="11718" spans="26:26" x14ac:dyDescent="0.2">
      <c r="Z11718" t="str">
        <f t="shared" si="183"/>
        <v/>
      </c>
    </row>
    <row r="11719" spans="26:26" x14ac:dyDescent="0.2">
      <c r="Z11719" t="str">
        <f t="shared" si="183"/>
        <v/>
      </c>
    </row>
    <row r="11720" spans="26:26" x14ac:dyDescent="0.2">
      <c r="Z11720" t="str">
        <f t="shared" si="183"/>
        <v/>
      </c>
    </row>
    <row r="11721" spans="26:26" x14ac:dyDescent="0.2">
      <c r="Z11721" t="str">
        <f t="shared" si="183"/>
        <v/>
      </c>
    </row>
    <row r="11722" spans="26:26" x14ac:dyDescent="0.2">
      <c r="Z11722" t="str">
        <f t="shared" si="183"/>
        <v/>
      </c>
    </row>
    <row r="11723" spans="26:26" x14ac:dyDescent="0.2">
      <c r="Z11723" t="str">
        <f t="shared" si="183"/>
        <v/>
      </c>
    </row>
    <row r="11724" spans="26:26" x14ac:dyDescent="0.2">
      <c r="Z11724" t="str">
        <f t="shared" si="183"/>
        <v/>
      </c>
    </row>
    <row r="11725" spans="26:26" x14ac:dyDescent="0.2">
      <c r="Z11725" t="str">
        <f t="shared" si="183"/>
        <v/>
      </c>
    </row>
    <row r="11726" spans="26:26" x14ac:dyDescent="0.2">
      <c r="Z11726" t="str">
        <f t="shared" si="183"/>
        <v/>
      </c>
    </row>
    <row r="11727" spans="26:26" x14ac:dyDescent="0.2">
      <c r="Z11727" t="str">
        <f t="shared" si="183"/>
        <v/>
      </c>
    </row>
    <row r="11728" spans="26:26" x14ac:dyDescent="0.2">
      <c r="Z11728" t="str">
        <f t="shared" si="183"/>
        <v/>
      </c>
    </row>
    <row r="11729" spans="26:26" x14ac:dyDescent="0.2">
      <c r="Z11729" t="str">
        <f t="shared" si="183"/>
        <v/>
      </c>
    </row>
    <row r="11730" spans="26:26" x14ac:dyDescent="0.2">
      <c r="Z11730" t="str">
        <f t="shared" si="183"/>
        <v/>
      </c>
    </row>
    <row r="11731" spans="26:26" x14ac:dyDescent="0.2">
      <c r="Z11731" t="str">
        <f t="shared" si="183"/>
        <v/>
      </c>
    </row>
    <row r="11732" spans="26:26" x14ac:dyDescent="0.2">
      <c r="Z11732" t="str">
        <f t="shared" si="183"/>
        <v/>
      </c>
    </row>
    <row r="11733" spans="26:26" x14ac:dyDescent="0.2">
      <c r="Z11733" t="str">
        <f t="shared" si="183"/>
        <v/>
      </c>
    </row>
    <row r="11734" spans="26:26" x14ac:dyDescent="0.2">
      <c r="Z11734" t="str">
        <f t="shared" si="183"/>
        <v/>
      </c>
    </row>
    <row r="11735" spans="26:26" x14ac:dyDescent="0.2">
      <c r="Z11735" t="str">
        <f t="shared" si="183"/>
        <v/>
      </c>
    </row>
    <row r="11736" spans="26:26" x14ac:dyDescent="0.2">
      <c r="Z11736" t="str">
        <f t="shared" si="183"/>
        <v/>
      </c>
    </row>
    <row r="11737" spans="26:26" x14ac:dyDescent="0.2">
      <c r="Z11737" t="str">
        <f t="shared" si="183"/>
        <v/>
      </c>
    </row>
    <row r="11738" spans="26:26" x14ac:dyDescent="0.2">
      <c r="Z11738" t="str">
        <f t="shared" si="183"/>
        <v/>
      </c>
    </row>
    <row r="11739" spans="26:26" x14ac:dyDescent="0.2">
      <c r="Z11739" t="str">
        <f t="shared" si="183"/>
        <v/>
      </c>
    </row>
    <row r="11740" spans="26:26" x14ac:dyDescent="0.2">
      <c r="Z11740" t="str">
        <f t="shared" si="183"/>
        <v/>
      </c>
    </row>
    <row r="11741" spans="26:26" x14ac:dyDescent="0.2">
      <c r="Z11741" t="str">
        <f t="shared" si="183"/>
        <v/>
      </c>
    </row>
    <row r="11742" spans="26:26" x14ac:dyDescent="0.2">
      <c r="Z11742" t="str">
        <f t="shared" si="183"/>
        <v/>
      </c>
    </row>
    <row r="11743" spans="26:26" x14ac:dyDescent="0.2">
      <c r="Z11743" t="str">
        <f t="shared" si="183"/>
        <v/>
      </c>
    </row>
    <row r="11744" spans="26:26" x14ac:dyDescent="0.2">
      <c r="Z11744" t="str">
        <f t="shared" si="183"/>
        <v/>
      </c>
    </row>
    <row r="11745" spans="26:26" x14ac:dyDescent="0.2">
      <c r="Z11745" t="str">
        <f t="shared" si="183"/>
        <v/>
      </c>
    </row>
    <row r="11746" spans="26:26" x14ac:dyDescent="0.2">
      <c r="Z11746" t="str">
        <f t="shared" si="183"/>
        <v/>
      </c>
    </row>
    <row r="11747" spans="26:26" x14ac:dyDescent="0.2">
      <c r="Z11747" t="str">
        <f t="shared" si="183"/>
        <v/>
      </c>
    </row>
    <row r="11748" spans="26:26" x14ac:dyDescent="0.2">
      <c r="Z11748" t="str">
        <f t="shared" si="183"/>
        <v/>
      </c>
    </row>
    <row r="11749" spans="26:26" x14ac:dyDescent="0.2">
      <c r="Z11749" t="str">
        <f t="shared" si="183"/>
        <v/>
      </c>
    </row>
    <row r="11750" spans="26:26" x14ac:dyDescent="0.2">
      <c r="Z11750" t="str">
        <f t="shared" si="183"/>
        <v/>
      </c>
    </row>
    <row r="11751" spans="26:26" x14ac:dyDescent="0.2">
      <c r="Z11751" t="str">
        <f t="shared" si="183"/>
        <v/>
      </c>
    </row>
    <row r="11752" spans="26:26" x14ac:dyDescent="0.2">
      <c r="Z11752" t="str">
        <f t="shared" si="183"/>
        <v/>
      </c>
    </row>
    <row r="11753" spans="26:26" x14ac:dyDescent="0.2">
      <c r="Z11753" t="str">
        <f t="shared" si="183"/>
        <v/>
      </c>
    </row>
    <row r="11754" spans="26:26" x14ac:dyDescent="0.2">
      <c r="Z11754" t="str">
        <f t="shared" si="183"/>
        <v/>
      </c>
    </row>
    <row r="11755" spans="26:26" x14ac:dyDescent="0.2">
      <c r="Z11755" t="str">
        <f t="shared" si="183"/>
        <v/>
      </c>
    </row>
    <row r="11756" spans="26:26" x14ac:dyDescent="0.2">
      <c r="Z11756" t="str">
        <f t="shared" si="183"/>
        <v/>
      </c>
    </row>
    <row r="11757" spans="26:26" x14ac:dyDescent="0.2">
      <c r="Z11757" t="str">
        <f t="shared" si="183"/>
        <v/>
      </c>
    </row>
    <row r="11758" spans="26:26" x14ac:dyDescent="0.2">
      <c r="Z11758" t="str">
        <f t="shared" si="183"/>
        <v/>
      </c>
    </row>
    <row r="11759" spans="26:26" x14ac:dyDescent="0.2">
      <c r="Z11759" t="str">
        <f t="shared" si="183"/>
        <v/>
      </c>
    </row>
    <row r="11760" spans="26:26" x14ac:dyDescent="0.2">
      <c r="Z11760" t="str">
        <f t="shared" si="183"/>
        <v/>
      </c>
    </row>
    <row r="11761" spans="26:26" x14ac:dyDescent="0.2">
      <c r="Z11761" t="str">
        <f t="shared" si="183"/>
        <v/>
      </c>
    </row>
    <row r="11762" spans="26:26" x14ac:dyDescent="0.2">
      <c r="Z11762" t="str">
        <f t="shared" si="183"/>
        <v/>
      </c>
    </row>
    <row r="11763" spans="26:26" x14ac:dyDescent="0.2">
      <c r="Z11763" t="str">
        <f t="shared" si="183"/>
        <v/>
      </c>
    </row>
    <row r="11764" spans="26:26" x14ac:dyDescent="0.2">
      <c r="Z11764" t="str">
        <f t="shared" si="183"/>
        <v/>
      </c>
    </row>
    <row r="11765" spans="26:26" x14ac:dyDescent="0.2">
      <c r="Z11765" t="str">
        <f t="shared" si="183"/>
        <v/>
      </c>
    </row>
    <row r="11766" spans="26:26" x14ac:dyDescent="0.2">
      <c r="Z11766" t="str">
        <f t="shared" si="183"/>
        <v/>
      </c>
    </row>
    <row r="11767" spans="26:26" x14ac:dyDescent="0.2">
      <c r="Z11767" t="str">
        <f t="shared" si="183"/>
        <v/>
      </c>
    </row>
    <row r="11768" spans="26:26" x14ac:dyDescent="0.2">
      <c r="Z11768" t="str">
        <f t="shared" si="183"/>
        <v/>
      </c>
    </row>
    <row r="11769" spans="26:26" x14ac:dyDescent="0.2">
      <c r="Z11769" t="str">
        <f t="shared" si="183"/>
        <v/>
      </c>
    </row>
    <row r="11770" spans="26:26" x14ac:dyDescent="0.2">
      <c r="Z11770" t="str">
        <f t="shared" si="183"/>
        <v/>
      </c>
    </row>
    <row r="11771" spans="26:26" x14ac:dyDescent="0.2">
      <c r="Z11771" t="str">
        <f t="shared" si="183"/>
        <v/>
      </c>
    </row>
    <row r="11772" spans="26:26" x14ac:dyDescent="0.2">
      <c r="Z11772" t="str">
        <f t="shared" si="183"/>
        <v/>
      </c>
    </row>
    <row r="11773" spans="26:26" x14ac:dyDescent="0.2">
      <c r="Z11773" t="str">
        <f t="shared" si="183"/>
        <v/>
      </c>
    </row>
    <row r="11774" spans="26:26" x14ac:dyDescent="0.2">
      <c r="Z11774" t="str">
        <f t="shared" si="183"/>
        <v/>
      </c>
    </row>
    <row r="11775" spans="26:26" x14ac:dyDescent="0.2">
      <c r="Z11775" t="str">
        <f t="shared" si="183"/>
        <v/>
      </c>
    </row>
    <row r="11776" spans="26:26" x14ac:dyDescent="0.2">
      <c r="Z11776" t="str">
        <f t="shared" si="183"/>
        <v/>
      </c>
    </row>
    <row r="11777" spans="26:26" x14ac:dyDescent="0.2">
      <c r="Z11777" t="str">
        <f t="shared" si="183"/>
        <v/>
      </c>
    </row>
    <row r="11778" spans="26:26" x14ac:dyDescent="0.2">
      <c r="Z11778" t="str">
        <f t="shared" si="183"/>
        <v/>
      </c>
    </row>
    <row r="11779" spans="26:26" x14ac:dyDescent="0.2">
      <c r="Z11779" t="str">
        <f t="shared" ref="Z11779:Z11842" si="184">IF(K11779="","",IFERROR(VALUE(TRIM(MID(K11779,FIND(CHAR(167),SUBSTITUTE(K11779,"-",CHAR(167),LEN(K11779)-LEN(SUBSTITUTE(K11779,"-",""))))+1,100))),K11779))</f>
        <v/>
      </c>
    </row>
    <row r="11780" spans="26:26" x14ac:dyDescent="0.2">
      <c r="Z11780" t="str">
        <f t="shared" si="184"/>
        <v/>
      </c>
    </row>
    <row r="11781" spans="26:26" x14ac:dyDescent="0.2">
      <c r="Z11781" t="str">
        <f t="shared" si="184"/>
        <v/>
      </c>
    </row>
    <row r="11782" spans="26:26" x14ac:dyDescent="0.2">
      <c r="Z11782" t="str">
        <f t="shared" si="184"/>
        <v/>
      </c>
    </row>
    <row r="11783" spans="26:26" x14ac:dyDescent="0.2">
      <c r="Z11783" t="str">
        <f t="shared" si="184"/>
        <v/>
      </c>
    </row>
    <row r="11784" spans="26:26" x14ac:dyDescent="0.2">
      <c r="Z11784" t="str">
        <f t="shared" si="184"/>
        <v/>
      </c>
    </row>
    <row r="11785" spans="26:26" x14ac:dyDescent="0.2">
      <c r="Z11785" t="str">
        <f t="shared" si="184"/>
        <v/>
      </c>
    </row>
    <row r="11786" spans="26:26" x14ac:dyDescent="0.2">
      <c r="Z11786" t="str">
        <f t="shared" si="184"/>
        <v/>
      </c>
    </row>
    <row r="11787" spans="26:26" x14ac:dyDescent="0.2">
      <c r="Z11787" t="str">
        <f t="shared" si="184"/>
        <v/>
      </c>
    </row>
    <row r="11788" spans="26:26" x14ac:dyDescent="0.2">
      <c r="Z11788" t="str">
        <f t="shared" si="184"/>
        <v/>
      </c>
    </row>
    <row r="11789" spans="26:26" x14ac:dyDescent="0.2">
      <c r="Z11789" t="str">
        <f t="shared" si="184"/>
        <v/>
      </c>
    </row>
    <row r="11790" spans="26:26" x14ac:dyDescent="0.2">
      <c r="Z11790" t="str">
        <f t="shared" si="184"/>
        <v/>
      </c>
    </row>
    <row r="11791" spans="26:26" x14ac:dyDescent="0.2">
      <c r="Z11791" t="str">
        <f t="shared" si="184"/>
        <v/>
      </c>
    </row>
    <row r="11792" spans="26:26" x14ac:dyDescent="0.2">
      <c r="Z11792" t="str">
        <f t="shared" si="184"/>
        <v/>
      </c>
    </row>
    <row r="11793" spans="26:26" x14ac:dyDescent="0.2">
      <c r="Z11793" t="str">
        <f t="shared" si="184"/>
        <v/>
      </c>
    </row>
    <row r="11794" spans="26:26" x14ac:dyDescent="0.2">
      <c r="Z11794" t="str">
        <f t="shared" si="184"/>
        <v/>
      </c>
    </row>
    <row r="11795" spans="26:26" x14ac:dyDescent="0.2">
      <c r="Z11795" t="str">
        <f t="shared" si="184"/>
        <v/>
      </c>
    </row>
    <row r="11796" spans="26:26" x14ac:dyDescent="0.2">
      <c r="Z11796" t="str">
        <f t="shared" si="184"/>
        <v/>
      </c>
    </row>
    <row r="11797" spans="26:26" x14ac:dyDescent="0.2">
      <c r="Z11797" t="str">
        <f t="shared" si="184"/>
        <v/>
      </c>
    </row>
    <row r="11798" spans="26:26" x14ac:dyDescent="0.2">
      <c r="Z11798" t="str">
        <f t="shared" si="184"/>
        <v/>
      </c>
    </row>
    <row r="11799" spans="26:26" x14ac:dyDescent="0.2">
      <c r="Z11799" t="str">
        <f t="shared" si="184"/>
        <v/>
      </c>
    </row>
    <row r="11800" spans="26:26" x14ac:dyDescent="0.2">
      <c r="Z11800" t="str">
        <f t="shared" si="184"/>
        <v/>
      </c>
    </row>
    <row r="11801" spans="26:26" x14ac:dyDescent="0.2">
      <c r="Z11801" t="str">
        <f t="shared" si="184"/>
        <v/>
      </c>
    </row>
    <row r="11802" spans="26:26" x14ac:dyDescent="0.2">
      <c r="Z11802" t="str">
        <f t="shared" si="184"/>
        <v/>
      </c>
    </row>
    <row r="11803" spans="26:26" x14ac:dyDescent="0.2">
      <c r="Z11803" t="str">
        <f t="shared" si="184"/>
        <v/>
      </c>
    </row>
    <row r="11804" spans="26:26" x14ac:dyDescent="0.2">
      <c r="Z11804" t="str">
        <f t="shared" si="184"/>
        <v/>
      </c>
    </row>
    <row r="11805" spans="26:26" x14ac:dyDescent="0.2">
      <c r="Z11805" t="str">
        <f t="shared" si="184"/>
        <v/>
      </c>
    </row>
    <row r="11806" spans="26:26" x14ac:dyDescent="0.2">
      <c r="Z11806" t="str">
        <f t="shared" si="184"/>
        <v/>
      </c>
    </row>
    <row r="11807" spans="26:26" x14ac:dyDescent="0.2">
      <c r="Z11807" t="str">
        <f t="shared" si="184"/>
        <v/>
      </c>
    </row>
    <row r="11808" spans="26:26" x14ac:dyDescent="0.2">
      <c r="Z11808" t="str">
        <f t="shared" si="184"/>
        <v/>
      </c>
    </row>
    <row r="11809" spans="26:26" x14ac:dyDescent="0.2">
      <c r="Z11809" t="str">
        <f t="shared" si="184"/>
        <v/>
      </c>
    </row>
    <row r="11810" spans="26:26" x14ac:dyDescent="0.2">
      <c r="Z11810" t="str">
        <f t="shared" si="184"/>
        <v/>
      </c>
    </row>
    <row r="11811" spans="26:26" x14ac:dyDescent="0.2">
      <c r="Z11811" t="str">
        <f t="shared" si="184"/>
        <v/>
      </c>
    </row>
    <row r="11812" spans="26:26" x14ac:dyDescent="0.2">
      <c r="Z11812" t="str">
        <f t="shared" si="184"/>
        <v/>
      </c>
    </row>
    <row r="11813" spans="26:26" x14ac:dyDescent="0.2">
      <c r="Z11813" t="str">
        <f t="shared" si="184"/>
        <v/>
      </c>
    </row>
    <row r="11814" spans="26:26" x14ac:dyDescent="0.2">
      <c r="Z11814" t="str">
        <f t="shared" si="184"/>
        <v/>
      </c>
    </row>
    <row r="11815" spans="26:26" x14ac:dyDescent="0.2">
      <c r="Z11815" t="str">
        <f t="shared" si="184"/>
        <v/>
      </c>
    </row>
    <row r="11816" spans="26:26" x14ac:dyDescent="0.2">
      <c r="Z11816" t="str">
        <f t="shared" si="184"/>
        <v/>
      </c>
    </row>
    <row r="11817" spans="26:26" x14ac:dyDescent="0.2">
      <c r="Z11817" t="str">
        <f t="shared" si="184"/>
        <v/>
      </c>
    </row>
    <row r="11818" spans="26:26" x14ac:dyDescent="0.2">
      <c r="Z11818" t="str">
        <f t="shared" si="184"/>
        <v/>
      </c>
    </row>
    <row r="11819" spans="26:26" x14ac:dyDescent="0.2">
      <c r="Z11819" t="str">
        <f t="shared" si="184"/>
        <v/>
      </c>
    </row>
    <row r="11820" spans="26:26" x14ac:dyDescent="0.2">
      <c r="Z11820" t="str">
        <f t="shared" si="184"/>
        <v/>
      </c>
    </row>
    <row r="11821" spans="26:26" x14ac:dyDescent="0.2">
      <c r="Z11821" t="str">
        <f t="shared" si="184"/>
        <v/>
      </c>
    </row>
    <row r="11822" spans="26:26" x14ac:dyDescent="0.2">
      <c r="Z11822" t="str">
        <f t="shared" si="184"/>
        <v/>
      </c>
    </row>
    <row r="11823" spans="26:26" x14ac:dyDescent="0.2">
      <c r="Z11823" t="str">
        <f t="shared" si="184"/>
        <v/>
      </c>
    </row>
    <row r="11824" spans="26:26" x14ac:dyDescent="0.2">
      <c r="Z11824" t="str">
        <f t="shared" si="184"/>
        <v/>
      </c>
    </row>
    <row r="11825" spans="26:26" x14ac:dyDescent="0.2">
      <c r="Z11825" t="str">
        <f t="shared" si="184"/>
        <v/>
      </c>
    </row>
    <row r="11826" spans="26:26" x14ac:dyDescent="0.2">
      <c r="Z11826" t="str">
        <f t="shared" si="184"/>
        <v/>
      </c>
    </row>
    <row r="11827" spans="26:26" x14ac:dyDescent="0.2">
      <c r="Z11827" t="str">
        <f t="shared" si="184"/>
        <v/>
      </c>
    </row>
    <row r="11828" spans="26:26" x14ac:dyDescent="0.2">
      <c r="Z11828" t="str">
        <f t="shared" si="184"/>
        <v/>
      </c>
    </row>
    <row r="11829" spans="26:26" x14ac:dyDescent="0.2">
      <c r="Z11829" t="str">
        <f t="shared" si="184"/>
        <v/>
      </c>
    </row>
    <row r="11830" spans="26:26" x14ac:dyDescent="0.2">
      <c r="Z11830" t="str">
        <f t="shared" si="184"/>
        <v/>
      </c>
    </row>
    <row r="11831" spans="26:26" x14ac:dyDescent="0.2">
      <c r="Z11831" t="str">
        <f t="shared" si="184"/>
        <v/>
      </c>
    </row>
    <row r="11832" spans="26:26" x14ac:dyDescent="0.2">
      <c r="Z11832" t="str">
        <f t="shared" si="184"/>
        <v/>
      </c>
    </row>
    <row r="11833" spans="26:26" x14ac:dyDescent="0.2">
      <c r="Z11833" t="str">
        <f t="shared" si="184"/>
        <v/>
      </c>
    </row>
    <row r="11834" spans="26:26" x14ac:dyDescent="0.2">
      <c r="Z11834" t="str">
        <f t="shared" si="184"/>
        <v/>
      </c>
    </row>
    <row r="11835" spans="26:26" x14ac:dyDescent="0.2">
      <c r="Z11835" t="str">
        <f t="shared" si="184"/>
        <v/>
      </c>
    </row>
    <row r="11836" spans="26:26" x14ac:dyDescent="0.2">
      <c r="Z11836" t="str">
        <f t="shared" si="184"/>
        <v/>
      </c>
    </row>
    <row r="11837" spans="26:26" x14ac:dyDescent="0.2">
      <c r="Z11837" t="str">
        <f t="shared" si="184"/>
        <v/>
      </c>
    </row>
    <row r="11838" spans="26:26" x14ac:dyDescent="0.2">
      <c r="Z11838" t="str">
        <f t="shared" si="184"/>
        <v/>
      </c>
    </row>
    <row r="11839" spans="26:26" x14ac:dyDescent="0.2">
      <c r="Z11839" t="str">
        <f t="shared" si="184"/>
        <v/>
      </c>
    </row>
    <row r="11840" spans="26:26" x14ac:dyDescent="0.2">
      <c r="Z11840" t="str">
        <f t="shared" si="184"/>
        <v/>
      </c>
    </row>
    <row r="11841" spans="26:26" x14ac:dyDescent="0.2">
      <c r="Z11841" t="str">
        <f t="shared" si="184"/>
        <v/>
      </c>
    </row>
    <row r="11842" spans="26:26" x14ac:dyDescent="0.2">
      <c r="Z11842" t="str">
        <f t="shared" si="184"/>
        <v/>
      </c>
    </row>
    <row r="11843" spans="26:26" x14ac:dyDescent="0.2">
      <c r="Z11843" t="str">
        <f t="shared" ref="Z11843:Z11906" si="185">IF(K11843="","",IFERROR(VALUE(TRIM(MID(K11843,FIND(CHAR(167),SUBSTITUTE(K11843,"-",CHAR(167),LEN(K11843)-LEN(SUBSTITUTE(K11843,"-",""))))+1,100))),K11843))</f>
        <v/>
      </c>
    </row>
    <row r="11844" spans="26:26" x14ac:dyDescent="0.2">
      <c r="Z11844" t="str">
        <f t="shared" si="185"/>
        <v/>
      </c>
    </row>
    <row r="11845" spans="26:26" x14ac:dyDescent="0.2">
      <c r="Z11845" t="str">
        <f t="shared" si="185"/>
        <v/>
      </c>
    </row>
    <row r="11846" spans="26:26" x14ac:dyDescent="0.2">
      <c r="Z11846" t="str">
        <f t="shared" si="185"/>
        <v/>
      </c>
    </row>
    <row r="11847" spans="26:26" x14ac:dyDescent="0.2">
      <c r="Z11847" t="str">
        <f t="shared" si="185"/>
        <v/>
      </c>
    </row>
    <row r="11848" spans="26:26" x14ac:dyDescent="0.2">
      <c r="Z11848" t="str">
        <f t="shared" si="185"/>
        <v/>
      </c>
    </row>
    <row r="11849" spans="26:26" x14ac:dyDescent="0.2">
      <c r="Z11849" t="str">
        <f t="shared" si="185"/>
        <v/>
      </c>
    </row>
    <row r="11850" spans="26:26" x14ac:dyDescent="0.2">
      <c r="Z11850" t="str">
        <f t="shared" si="185"/>
        <v/>
      </c>
    </row>
    <row r="11851" spans="26:26" x14ac:dyDescent="0.2">
      <c r="Z11851" t="str">
        <f t="shared" si="185"/>
        <v/>
      </c>
    </row>
    <row r="11852" spans="26:26" x14ac:dyDescent="0.2">
      <c r="Z11852" t="str">
        <f t="shared" si="185"/>
        <v/>
      </c>
    </row>
    <row r="11853" spans="26:26" x14ac:dyDescent="0.2">
      <c r="Z11853" t="str">
        <f t="shared" si="185"/>
        <v/>
      </c>
    </row>
    <row r="11854" spans="26:26" x14ac:dyDescent="0.2">
      <c r="Z11854" t="str">
        <f t="shared" si="185"/>
        <v/>
      </c>
    </row>
    <row r="11855" spans="26:26" x14ac:dyDescent="0.2">
      <c r="Z11855" t="str">
        <f t="shared" si="185"/>
        <v/>
      </c>
    </row>
    <row r="11856" spans="26:26" x14ac:dyDescent="0.2">
      <c r="Z11856" t="str">
        <f t="shared" si="185"/>
        <v/>
      </c>
    </row>
    <row r="11857" spans="26:26" x14ac:dyDescent="0.2">
      <c r="Z11857" t="str">
        <f t="shared" si="185"/>
        <v/>
      </c>
    </row>
    <row r="11858" spans="26:26" x14ac:dyDescent="0.2">
      <c r="Z11858" t="str">
        <f t="shared" si="185"/>
        <v/>
      </c>
    </row>
    <row r="11859" spans="26:26" x14ac:dyDescent="0.2">
      <c r="Z11859" t="str">
        <f t="shared" si="185"/>
        <v/>
      </c>
    </row>
    <row r="11860" spans="26:26" x14ac:dyDescent="0.2">
      <c r="Z11860" t="str">
        <f t="shared" si="185"/>
        <v/>
      </c>
    </row>
    <row r="11861" spans="26:26" x14ac:dyDescent="0.2">
      <c r="Z11861" t="str">
        <f t="shared" si="185"/>
        <v/>
      </c>
    </row>
    <row r="11862" spans="26:26" x14ac:dyDescent="0.2">
      <c r="Z11862" t="str">
        <f t="shared" si="185"/>
        <v/>
      </c>
    </row>
    <row r="11863" spans="26:26" x14ac:dyDescent="0.2">
      <c r="Z11863" t="str">
        <f t="shared" si="185"/>
        <v/>
      </c>
    </row>
    <row r="11864" spans="26:26" x14ac:dyDescent="0.2">
      <c r="Z11864" t="str">
        <f t="shared" si="185"/>
        <v/>
      </c>
    </row>
    <row r="11865" spans="26:26" x14ac:dyDescent="0.2">
      <c r="Z11865" t="str">
        <f t="shared" si="185"/>
        <v/>
      </c>
    </row>
    <row r="11866" spans="26:26" x14ac:dyDescent="0.2">
      <c r="Z11866" t="str">
        <f t="shared" si="185"/>
        <v/>
      </c>
    </row>
    <row r="11867" spans="26:26" x14ac:dyDescent="0.2">
      <c r="Z11867" t="str">
        <f t="shared" si="185"/>
        <v/>
      </c>
    </row>
    <row r="11868" spans="26:26" x14ac:dyDescent="0.2">
      <c r="Z11868" t="str">
        <f t="shared" si="185"/>
        <v/>
      </c>
    </row>
    <row r="11869" spans="26:26" x14ac:dyDescent="0.2">
      <c r="Z11869" t="str">
        <f t="shared" si="185"/>
        <v/>
      </c>
    </row>
    <row r="11870" spans="26:26" x14ac:dyDescent="0.2">
      <c r="Z11870" t="str">
        <f t="shared" si="185"/>
        <v/>
      </c>
    </row>
    <row r="11871" spans="26:26" x14ac:dyDescent="0.2">
      <c r="Z11871" t="str">
        <f t="shared" si="185"/>
        <v/>
      </c>
    </row>
    <row r="11872" spans="26:26" x14ac:dyDescent="0.2">
      <c r="Z11872" t="str">
        <f t="shared" si="185"/>
        <v/>
      </c>
    </row>
    <row r="11873" spans="26:26" x14ac:dyDescent="0.2">
      <c r="Z11873" t="str">
        <f t="shared" si="185"/>
        <v/>
      </c>
    </row>
    <row r="11874" spans="26:26" x14ac:dyDescent="0.2">
      <c r="Z11874" t="str">
        <f t="shared" si="185"/>
        <v/>
      </c>
    </row>
    <row r="11875" spans="26:26" x14ac:dyDescent="0.2">
      <c r="Z11875" t="str">
        <f t="shared" si="185"/>
        <v/>
      </c>
    </row>
    <row r="11876" spans="26:26" x14ac:dyDescent="0.2">
      <c r="Z11876" t="str">
        <f t="shared" si="185"/>
        <v/>
      </c>
    </row>
    <row r="11877" spans="26:26" x14ac:dyDescent="0.2">
      <c r="Z11877" t="str">
        <f t="shared" si="185"/>
        <v/>
      </c>
    </row>
    <row r="11878" spans="26:26" x14ac:dyDescent="0.2">
      <c r="Z11878" t="str">
        <f t="shared" si="185"/>
        <v/>
      </c>
    </row>
    <row r="11879" spans="26:26" x14ac:dyDescent="0.2">
      <c r="Z11879" t="str">
        <f t="shared" si="185"/>
        <v/>
      </c>
    </row>
    <row r="11880" spans="26:26" x14ac:dyDescent="0.2">
      <c r="Z11880" t="str">
        <f t="shared" si="185"/>
        <v/>
      </c>
    </row>
    <row r="11881" spans="26:26" x14ac:dyDescent="0.2">
      <c r="Z11881" t="str">
        <f t="shared" si="185"/>
        <v/>
      </c>
    </row>
    <row r="11882" spans="26:26" x14ac:dyDescent="0.2">
      <c r="Z11882" t="str">
        <f t="shared" si="185"/>
        <v/>
      </c>
    </row>
    <row r="11883" spans="26:26" x14ac:dyDescent="0.2">
      <c r="Z11883" t="str">
        <f t="shared" si="185"/>
        <v/>
      </c>
    </row>
    <row r="11884" spans="26:26" x14ac:dyDescent="0.2">
      <c r="Z11884" t="str">
        <f t="shared" si="185"/>
        <v/>
      </c>
    </row>
    <row r="11885" spans="26:26" x14ac:dyDescent="0.2">
      <c r="Z11885" t="str">
        <f t="shared" si="185"/>
        <v/>
      </c>
    </row>
    <row r="11886" spans="26:26" x14ac:dyDescent="0.2">
      <c r="Z11886" t="str">
        <f t="shared" si="185"/>
        <v/>
      </c>
    </row>
    <row r="11887" spans="26:26" x14ac:dyDescent="0.2">
      <c r="Z11887" t="str">
        <f t="shared" si="185"/>
        <v/>
      </c>
    </row>
    <row r="11888" spans="26:26" x14ac:dyDescent="0.2">
      <c r="Z11888" t="str">
        <f t="shared" si="185"/>
        <v/>
      </c>
    </row>
    <row r="11889" spans="26:26" x14ac:dyDescent="0.2">
      <c r="Z11889" t="str">
        <f t="shared" si="185"/>
        <v/>
      </c>
    </row>
    <row r="11890" spans="26:26" x14ac:dyDescent="0.2">
      <c r="Z11890" t="str">
        <f t="shared" si="185"/>
        <v/>
      </c>
    </row>
    <row r="11891" spans="26:26" x14ac:dyDescent="0.2">
      <c r="Z11891" t="str">
        <f t="shared" si="185"/>
        <v/>
      </c>
    </row>
    <row r="11892" spans="26:26" x14ac:dyDescent="0.2">
      <c r="Z11892" t="str">
        <f t="shared" si="185"/>
        <v/>
      </c>
    </row>
    <row r="11893" spans="26:26" x14ac:dyDescent="0.2">
      <c r="Z11893" t="str">
        <f t="shared" si="185"/>
        <v/>
      </c>
    </row>
    <row r="11894" spans="26:26" x14ac:dyDescent="0.2">
      <c r="Z11894" t="str">
        <f t="shared" si="185"/>
        <v/>
      </c>
    </row>
    <row r="11895" spans="26:26" x14ac:dyDescent="0.2">
      <c r="Z11895" t="str">
        <f t="shared" si="185"/>
        <v/>
      </c>
    </row>
    <row r="11896" spans="26:26" x14ac:dyDescent="0.2">
      <c r="Z11896" t="str">
        <f t="shared" si="185"/>
        <v/>
      </c>
    </row>
    <row r="11897" spans="26:26" x14ac:dyDescent="0.2">
      <c r="Z11897" t="str">
        <f t="shared" si="185"/>
        <v/>
      </c>
    </row>
    <row r="11898" spans="26:26" x14ac:dyDescent="0.2">
      <c r="Z11898" t="str">
        <f t="shared" si="185"/>
        <v/>
      </c>
    </row>
    <row r="11899" spans="26:26" x14ac:dyDescent="0.2">
      <c r="Z11899" t="str">
        <f t="shared" si="185"/>
        <v/>
      </c>
    </row>
    <row r="11900" spans="26:26" x14ac:dyDescent="0.2">
      <c r="Z11900" t="str">
        <f t="shared" si="185"/>
        <v/>
      </c>
    </row>
    <row r="11901" spans="26:26" x14ac:dyDescent="0.2">
      <c r="Z11901" t="str">
        <f t="shared" si="185"/>
        <v/>
      </c>
    </row>
    <row r="11902" spans="26:26" x14ac:dyDescent="0.2">
      <c r="Z11902" t="str">
        <f t="shared" si="185"/>
        <v/>
      </c>
    </row>
    <row r="11903" spans="26:26" x14ac:dyDescent="0.2">
      <c r="Z11903" t="str">
        <f t="shared" si="185"/>
        <v/>
      </c>
    </row>
    <row r="11904" spans="26:26" x14ac:dyDescent="0.2">
      <c r="Z11904" t="str">
        <f t="shared" si="185"/>
        <v/>
      </c>
    </row>
    <row r="11905" spans="26:26" x14ac:dyDescent="0.2">
      <c r="Z11905" t="str">
        <f t="shared" si="185"/>
        <v/>
      </c>
    </row>
    <row r="11906" spans="26:26" x14ac:dyDescent="0.2">
      <c r="Z11906" t="str">
        <f t="shared" si="185"/>
        <v/>
      </c>
    </row>
    <row r="11907" spans="26:26" x14ac:dyDescent="0.2">
      <c r="Z11907" t="str">
        <f t="shared" ref="Z11907:Z11970" si="186">IF(K11907="","",IFERROR(VALUE(TRIM(MID(K11907,FIND(CHAR(167),SUBSTITUTE(K11907,"-",CHAR(167),LEN(K11907)-LEN(SUBSTITUTE(K11907,"-",""))))+1,100))),K11907))</f>
        <v/>
      </c>
    </row>
    <row r="11908" spans="26:26" x14ac:dyDescent="0.2">
      <c r="Z11908" t="str">
        <f t="shared" si="186"/>
        <v/>
      </c>
    </row>
    <row r="11909" spans="26:26" x14ac:dyDescent="0.2">
      <c r="Z11909" t="str">
        <f t="shared" si="186"/>
        <v/>
      </c>
    </row>
    <row r="11910" spans="26:26" x14ac:dyDescent="0.2">
      <c r="Z11910" t="str">
        <f t="shared" si="186"/>
        <v/>
      </c>
    </row>
    <row r="11911" spans="26:26" x14ac:dyDescent="0.2">
      <c r="Z11911" t="str">
        <f t="shared" si="186"/>
        <v/>
      </c>
    </row>
    <row r="11912" spans="26:26" x14ac:dyDescent="0.2">
      <c r="Z11912" t="str">
        <f t="shared" si="186"/>
        <v/>
      </c>
    </row>
    <row r="11913" spans="26:26" x14ac:dyDescent="0.2">
      <c r="Z11913" t="str">
        <f t="shared" si="186"/>
        <v/>
      </c>
    </row>
    <row r="11914" spans="26:26" x14ac:dyDescent="0.2">
      <c r="Z11914" t="str">
        <f t="shared" si="186"/>
        <v/>
      </c>
    </row>
    <row r="11915" spans="26:26" x14ac:dyDescent="0.2">
      <c r="Z11915" t="str">
        <f t="shared" si="186"/>
        <v/>
      </c>
    </row>
    <row r="11916" spans="26:26" x14ac:dyDescent="0.2">
      <c r="Z11916" t="str">
        <f t="shared" si="186"/>
        <v/>
      </c>
    </row>
    <row r="11917" spans="26:26" x14ac:dyDescent="0.2">
      <c r="Z11917" t="str">
        <f t="shared" si="186"/>
        <v/>
      </c>
    </row>
    <row r="11918" spans="26:26" x14ac:dyDescent="0.2">
      <c r="Z11918" t="str">
        <f t="shared" si="186"/>
        <v/>
      </c>
    </row>
    <row r="11919" spans="26:26" x14ac:dyDescent="0.2">
      <c r="Z11919" t="str">
        <f t="shared" si="186"/>
        <v/>
      </c>
    </row>
    <row r="11920" spans="26:26" x14ac:dyDescent="0.2">
      <c r="Z11920" t="str">
        <f t="shared" si="186"/>
        <v/>
      </c>
    </row>
    <row r="11921" spans="26:26" x14ac:dyDescent="0.2">
      <c r="Z11921" t="str">
        <f t="shared" si="186"/>
        <v/>
      </c>
    </row>
    <row r="11922" spans="26:26" x14ac:dyDescent="0.2">
      <c r="Z11922" t="str">
        <f t="shared" si="186"/>
        <v/>
      </c>
    </row>
    <row r="11923" spans="26:26" x14ac:dyDescent="0.2">
      <c r="Z11923" t="str">
        <f t="shared" si="186"/>
        <v/>
      </c>
    </row>
    <row r="11924" spans="26:26" x14ac:dyDescent="0.2">
      <c r="Z11924" t="str">
        <f t="shared" si="186"/>
        <v/>
      </c>
    </row>
    <row r="11925" spans="26:26" x14ac:dyDescent="0.2">
      <c r="Z11925" t="str">
        <f t="shared" si="186"/>
        <v/>
      </c>
    </row>
    <row r="11926" spans="26:26" x14ac:dyDescent="0.2">
      <c r="Z11926" t="str">
        <f t="shared" si="186"/>
        <v/>
      </c>
    </row>
    <row r="11927" spans="26:26" x14ac:dyDescent="0.2">
      <c r="Z11927" t="str">
        <f t="shared" si="186"/>
        <v/>
      </c>
    </row>
    <row r="11928" spans="26:26" x14ac:dyDescent="0.2">
      <c r="Z11928" t="str">
        <f t="shared" si="186"/>
        <v/>
      </c>
    </row>
    <row r="11929" spans="26:26" x14ac:dyDescent="0.2">
      <c r="Z11929" t="str">
        <f t="shared" si="186"/>
        <v/>
      </c>
    </row>
    <row r="11930" spans="26:26" x14ac:dyDescent="0.2">
      <c r="Z11930" t="str">
        <f t="shared" si="186"/>
        <v/>
      </c>
    </row>
    <row r="11931" spans="26:26" x14ac:dyDescent="0.2">
      <c r="Z11931" t="str">
        <f t="shared" si="186"/>
        <v/>
      </c>
    </row>
    <row r="11932" spans="26:26" x14ac:dyDescent="0.2">
      <c r="Z11932" t="str">
        <f t="shared" si="186"/>
        <v/>
      </c>
    </row>
    <row r="11933" spans="26:26" x14ac:dyDescent="0.2">
      <c r="Z11933" t="str">
        <f t="shared" si="186"/>
        <v/>
      </c>
    </row>
    <row r="11934" spans="26:26" x14ac:dyDescent="0.2">
      <c r="Z11934" t="str">
        <f t="shared" si="186"/>
        <v/>
      </c>
    </row>
    <row r="11935" spans="26:26" x14ac:dyDescent="0.2">
      <c r="Z11935" t="str">
        <f t="shared" si="186"/>
        <v/>
      </c>
    </row>
    <row r="11936" spans="26:26" x14ac:dyDescent="0.2">
      <c r="Z11936" t="str">
        <f t="shared" si="186"/>
        <v/>
      </c>
    </row>
    <row r="11937" spans="26:26" x14ac:dyDescent="0.2">
      <c r="Z11937" t="str">
        <f t="shared" si="186"/>
        <v/>
      </c>
    </row>
    <row r="11938" spans="26:26" x14ac:dyDescent="0.2">
      <c r="Z11938" t="str">
        <f t="shared" si="186"/>
        <v/>
      </c>
    </row>
    <row r="11939" spans="26:26" x14ac:dyDescent="0.2">
      <c r="Z11939" t="str">
        <f t="shared" si="186"/>
        <v/>
      </c>
    </row>
    <row r="11940" spans="26:26" x14ac:dyDescent="0.2">
      <c r="Z11940" t="str">
        <f t="shared" si="186"/>
        <v/>
      </c>
    </row>
    <row r="11941" spans="26:26" x14ac:dyDescent="0.2">
      <c r="Z11941" t="str">
        <f t="shared" si="186"/>
        <v/>
      </c>
    </row>
    <row r="11942" spans="26:26" x14ac:dyDescent="0.2">
      <c r="Z11942" t="str">
        <f t="shared" si="186"/>
        <v/>
      </c>
    </row>
    <row r="11943" spans="26:26" x14ac:dyDescent="0.2">
      <c r="Z11943" t="str">
        <f t="shared" si="186"/>
        <v/>
      </c>
    </row>
    <row r="11944" spans="26:26" x14ac:dyDescent="0.2">
      <c r="Z11944" t="str">
        <f t="shared" si="186"/>
        <v/>
      </c>
    </row>
    <row r="11945" spans="26:26" x14ac:dyDescent="0.2">
      <c r="Z11945" t="str">
        <f t="shared" si="186"/>
        <v/>
      </c>
    </row>
    <row r="11946" spans="26:26" x14ac:dyDescent="0.2">
      <c r="Z11946" t="str">
        <f t="shared" si="186"/>
        <v/>
      </c>
    </row>
    <row r="11947" spans="26:26" x14ac:dyDescent="0.2">
      <c r="Z11947" t="str">
        <f t="shared" si="186"/>
        <v/>
      </c>
    </row>
    <row r="11948" spans="26:26" x14ac:dyDescent="0.2">
      <c r="Z11948" t="str">
        <f t="shared" si="186"/>
        <v/>
      </c>
    </row>
    <row r="11949" spans="26:26" x14ac:dyDescent="0.2">
      <c r="Z11949" t="str">
        <f t="shared" si="186"/>
        <v/>
      </c>
    </row>
    <row r="11950" spans="26:26" x14ac:dyDescent="0.2">
      <c r="Z11950" t="str">
        <f t="shared" si="186"/>
        <v/>
      </c>
    </row>
    <row r="11951" spans="26:26" x14ac:dyDescent="0.2">
      <c r="Z11951" t="str">
        <f t="shared" si="186"/>
        <v/>
      </c>
    </row>
    <row r="11952" spans="26:26" x14ac:dyDescent="0.2">
      <c r="Z11952" t="str">
        <f t="shared" si="186"/>
        <v/>
      </c>
    </row>
    <row r="11953" spans="26:26" x14ac:dyDescent="0.2">
      <c r="Z11953" t="str">
        <f t="shared" si="186"/>
        <v/>
      </c>
    </row>
    <row r="11954" spans="26:26" x14ac:dyDescent="0.2">
      <c r="Z11954" t="str">
        <f t="shared" si="186"/>
        <v/>
      </c>
    </row>
    <row r="11955" spans="26:26" x14ac:dyDescent="0.2">
      <c r="Z11955" t="str">
        <f t="shared" si="186"/>
        <v/>
      </c>
    </row>
    <row r="11956" spans="26:26" x14ac:dyDescent="0.2">
      <c r="Z11956" t="str">
        <f t="shared" si="186"/>
        <v/>
      </c>
    </row>
    <row r="11957" spans="26:26" x14ac:dyDescent="0.2">
      <c r="Z11957" t="str">
        <f t="shared" si="186"/>
        <v/>
      </c>
    </row>
    <row r="11958" spans="26:26" x14ac:dyDescent="0.2">
      <c r="Z11958" t="str">
        <f t="shared" si="186"/>
        <v/>
      </c>
    </row>
    <row r="11959" spans="26:26" x14ac:dyDescent="0.2">
      <c r="Z11959" t="str">
        <f t="shared" si="186"/>
        <v/>
      </c>
    </row>
    <row r="11960" spans="26:26" x14ac:dyDescent="0.2">
      <c r="Z11960" t="str">
        <f t="shared" si="186"/>
        <v/>
      </c>
    </row>
    <row r="11961" spans="26:26" x14ac:dyDescent="0.2">
      <c r="Z11961" t="str">
        <f t="shared" si="186"/>
        <v/>
      </c>
    </row>
    <row r="11962" spans="26:26" x14ac:dyDescent="0.2">
      <c r="Z11962" t="str">
        <f t="shared" si="186"/>
        <v/>
      </c>
    </row>
    <row r="11963" spans="26:26" x14ac:dyDescent="0.2">
      <c r="Z11963" t="str">
        <f t="shared" si="186"/>
        <v/>
      </c>
    </row>
    <row r="11964" spans="26:26" x14ac:dyDescent="0.2">
      <c r="Z11964" t="str">
        <f t="shared" si="186"/>
        <v/>
      </c>
    </row>
    <row r="11965" spans="26:26" x14ac:dyDescent="0.2">
      <c r="Z11965" t="str">
        <f t="shared" si="186"/>
        <v/>
      </c>
    </row>
    <row r="11966" spans="26:26" x14ac:dyDescent="0.2">
      <c r="Z11966" t="str">
        <f t="shared" si="186"/>
        <v/>
      </c>
    </row>
    <row r="11967" spans="26:26" x14ac:dyDescent="0.2">
      <c r="Z11967" t="str">
        <f t="shared" si="186"/>
        <v/>
      </c>
    </row>
    <row r="11968" spans="26:26" x14ac:dyDescent="0.2">
      <c r="Z11968" t="str">
        <f t="shared" si="186"/>
        <v/>
      </c>
    </row>
    <row r="11969" spans="26:26" x14ac:dyDescent="0.2">
      <c r="Z11969" t="str">
        <f t="shared" si="186"/>
        <v/>
      </c>
    </row>
    <row r="11970" spans="26:26" x14ac:dyDescent="0.2">
      <c r="Z11970" t="str">
        <f t="shared" si="186"/>
        <v/>
      </c>
    </row>
    <row r="11971" spans="26:26" x14ac:dyDescent="0.2">
      <c r="Z11971" t="str">
        <f t="shared" ref="Z11971:Z12034" si="187">IF(K11971="","",IFERROR(VALUE(TRIM(MID(K11971,FIND(CHAR(167),SUBSTITUTE(K11971,"-",CHAR(167),LEN(K11971)-LEN(SUBSTITUTE(K11971,"-",""))))+1,100))),K11971))</f>
        <v/>
      </c>
    </row>
    <row r="11972" spans="26:26" x14ac:dyDescent="0.2">
      <c r="Z11972" t="str">
        <f t="shared" si="187"/>
        <v/>
      </c>
    </row>
    <row r="11973" spans="26:26" x14ac:dyDescent="0.2">
      <c r="Z11973" t="str">
        <f t="shared" si="187"/>
        <v/>
      </c>
    </row>
    <row r="11974" spans="26:26" x14ac:dyDescent="0.2">
      <c r="Z11974" t="str">
        <f t="shared" si="187"/>
        <v/>
      </c>
    </row>
    <row r="11975" spans="26:26" x14ac:dyDescent="0.2">
      <c r="Z11975" t="str">
        <f t="shared" si="187"/>
        <v/>
      </c>
    </row>
    <row r="11976" spans="26:26" x14ac:dyDescent="0.2">
      <c r="Z11976" t="str">
        <f t="shared" si="187"/>
        <v/>
      </c>
    </row>
    <row r="11977" spans="26:26" x14ac:dyDescent="0.2">
      <c r="Z11977" t="str">
        <f t="shared" si="187"/>
        <v/>
      </c>
    </row>
    <row r="11978" spans="26:26" x14ac:dyDescent="0.2">
      <c r="Z11978" t="str">
        <f t="shared" si="187"/>
        <v/>
      </c>
    </row>
    <row r="11979" spans="26:26" x14ac:dyDescent="0.2">
      <c r="Z11979" t="str">
        <f t="shared" si="187"/>
        <v/>
      </c>
    </row>
    <row r="11980" spans="26:26" x14ac:dyDescent="0.2">
      <c r="Z11980" t="str">
        <f t="shared" si="187"/>
        <v/>
      </c>
    </row>
    <row r="11981" spans="26:26" x14ac:dyDescent="0.2">
      <c r="Z11981" t="str">
        <f t="shared" si="187"/>
        <v/>
      </c>
    </row>
    <row r="11982" spans="26:26" x14ac:dyDescent="0.2">
      <c r="Z11982" t="str">
        <f t="shared" si="187"/>
        <v/>
      </c>
    </row>
    <row r="11983" spans="26:26" x14ac:dyDescent="0.2">
      <c r="Z11983" t="str">
        <f t="shared" si="187"/>
        <v/>
      </c>
    </row>
    <row r="11984" spans="26:26" x14ac:dyDescent="0.2">
      <c r="Z11984" t="str">
        <f t="shared" si="187"/>
        <v/>
      </c>
    </row>
    <row r="11985" spans="26:26" x14ac:dyDescent="0.2">
      <c r="Z11985" t="str">
        <f t="shared" si="187"/>
        <v/>
      </c>
    </row>
    <row r="11986" spans="26:26" x14ac:dyDescent="0.2">
      <c r="Z11986" t="str">
        <f t="shared" si="187"/>
        <v/>
      </c>
    </row>
    <row r="11987" spans="26:26" x14ac:dyDescent="0.2">
      <c r="Z11987" t="str">
        <f t="shared" si="187"/>
        <v/>
      </c>
    </row>
    <row r="11988" spans="26:26" x14ac:dyDescent="0.2">
      <c r="Z11988" t="str">
        <f t="shared" si="187"/>
        <v/>
      </c>
    </row>
    <row r="11989" spans="26:26" x14ac:dyDescent="0.2">
      <c r="Z11989" t="str">
        <f t="shared" si="187"/>
        <v/>
      </c>
    </row>
    <row r="11990" spans="26:26" x14ac:dyDescent="0.2">
      <c r="Z11990" t="str">
        <f t="shared" si="187"/>
        <v/>
      </c>
    </row>
    <row r="11991" spans="26:26" x14ac:dyDescent="0.2">
      <c r="Z11991" t="str">
        <f t="shared" si="187"/>
        <v/>
      </c>
    </row>
    <row r="11992" spans="26:26" x14ac:dyDescent="0.2">
      <c r="Z11992" t="str">
        <f t="shared" si="187"/>
        <v/>
      </c>
    </row>
    <row r="11993" spans="26:26" x14ac:dyDescent="0.2">
      <c r="Z11993" t="str">
        <f t="shared" si="187"/>
        <v/>
      </c>
    </row>
    <row r="11994" spans="26:26" x14ac:dyDescent="0.2">
      <c r="Z11994" t="str">
        <f t="shared" si="187"/>
        <v/>
      </c>
    </row>
    <row r="11995" spans="26:26" x14ac:dyDescent="0.2">
      <c r="Z11995" t="str">
        <f t="shared" si="187"/>
        <v/>
      </c>
    </row>
    <row r="11996" spans="26:26" x14ac:dyDescent="0.2">
      <c r="Z11996" t="str">
        <f t="shared" si="187"/>
        <v/>
      </c>
    </row>
    <row r="11997" spans="26:26" x14ac:dyDescent="0.2">
      <c r="Z11997" t="str">
        <f t="shared" si="187"/>
        <v/>
      </c>
    </row>
    <row r="11998" spans="26:26" x14ac:dyDescent="0.2">
      <c r="Z11998" t="str">
        <f t="shared" si="187"/>
        <v/>
      </c>
    </row>
    <row r="11999" spans="26:26" x14ac:dyDescent="0.2">
      <c r="Z11999" t="str">
        <f t="shared" si="187"/>
        <v/>
      </c>
    </row>
    <row r="12000" spans="26:26" x14ac:dyDescent="0.2">
      <c r="Z12000" t="str">
        <f t="shared" si="187"/>
        <v/>
      </c>
    </row>
    <row r="12001" spans="26:26" x14ac:dyDescent="0.2">
      <c r="Z12001" t="str">
        <f t="shared" si="187"/>
        <v/>
      </c>
    </row>
    <row r="12002" spans="26:26" x14ac:dyDescent="0.2">
      <c r="Z12002" t="str">
        <f t="shared" si="187"/>
        <v/>
      </c>
    </row>
    <row r="12003" spans="26:26" x14ac:dyDescent="0.2">
      <c r="Z12003" t="str">
        <f t="shared" si="187"/>
        <v/>
      </c>
    </row>
    <row r="12004" spans="26:26" x14ac:dyDescent="0.2">
      <c r="Z12004" t="str">
        <f t="shared" si="187"/>
        <v/>
      </c>
    </row>
    <row r="12005" spans="26:26" x14ac:dyDescent="0.2">
      <c r="Z12005" t="str">
        <f t="shared" si="187"/>
        <v/>
      </c>
    </row>
    <row r="12006" spans="26:26" x14ac:dyDescent="0.2">
      <c r="Z12006" t="str">
        <f t="shared" si="187"/>
        <v/>
      </c>
    </row>
    <row r="12007" spans="26:26" x14ac:dyDescent="0.2">
      <c r="Z12007" t="str">
        <f t="shared" si="187"/>
        <v/>
      </c>
    </row>
    <row r="12008" spans="26:26" x14ac:dyDescent="0.2">
      <c r="Z12008" t="str">
        <f t="shared" si="187"/>
        <v/>
      </c>
    </row>
    <row r="12009" spans="26:26" x14ac:dyDescent="0.2">
      <c r="Z12009" t="str">
        <f t="shared" si="187"/>
        <v/>
      </c>
    </row>
    <row r="12010" spans="26:26" x14ac:dyDescent="0.2">
      <c r="Z12010" t="str">
        <f t="shared" si="187"/>
        <v/>
      </c>
    </row>
    <row r="12011" spans="26:26" x14ac:dyDescent="0.2">
      <c r="Z12011" t="str">
        <f t="shared" si="187"/>
        <v/>
      </c>
    </row>
    <row r="12012" spans="26:26" x14ac:dyDescent="0.2">
      <c r="Z12012" t="str">
        <f t="shared" si="187"/>
        <v/>
      </c>
    </row>
    <row r="12013" spans="26:26" x14ac:dyDescent="0.2">
      <c r="Z12013" t="str">
        <f t="shared" si="187"/>
        <v/>
      </c>
    </row>
    <row r="12014" spans="26:26" x14ac:dyDescent="0.2">
      <c r="Z12014" t="str">
        <f t="shared" si="187"/>
        <v/>
      </c>
    </row>
    <row r="12015" spans="26:26" x14ac:dyDescent="0.2">
      <c r="Z12015" t="str">
        <f t="shared" si="187"/>
        <v/>
      </c>
    </row>
    <row r="12016" spans="26:26" x14ac:dyDescent="0.2">
      <c r="Z12016" t="str">
        <f t="shared" si="187"/>
        <v/>
      </c>
    </row>
    <row r="12017" spans="26:26" x14ac:dyDescent="0.2">
      <c r="Z12017" t="str">
        <f t="shared" si="187"/>
        <v/>
      </c>
    </row>
    <row r="12018" spans="26:26" x14ac:dyDescent="0.2">
      <c r="Z12018" t="str">
        <f t="shared" si="187"/>
        <v/>
      </c>
    </row>
    <row r="12019" spans="26:26" x14ac:dyDescent="0.2">
      <c r="Z12019" t="str">
        <f t="shared" si="187"/>
        <v/>
      </c>
    </row>
    <row r="12020" spans="26:26" x14ac:dyDescent="0.2">
      <c r="Z12020" t="str">
        <f t="shared" si="187"/>
        <v/>
      </c>
    </row>
    <row r="12021" spans="26:26" x14ac:dyDescent="0.2">
      <c r="Z12021" t="str">
        <f t="shared" si="187"/>
        <v/>
      </c>
    </row>
    <row r="12022" spans="26:26" x14ac:dyDescent="0.2">
      <c r="Z12022" t="str">
        <f t="shared" si="187"/>
        <v/>
      </c>
    </row>
    <row r="12023" spans="26:26" x14ac:dyDescent="0.2">
      <c r="Z12023" t="str">
        <f t="shared" si="187"/>
        <v/>
      </c>
    </row>
    <row r="12024" spans="26:26" x14ac:dyDescent="0.2">
      <c r="Z12024" t="str">
        <f t="shared" si="187"/>
        <v/>
      </c>
    </row>
    <row r="12025" spans="26:26" x14ac:dyDescent="0.2">
      <c r="Z12025" t="str">
        <f t="shared" si="187"/>
        <v/>
      </c>
    </row>
    <row r="12026" spans="26:26" x14ac:dyDescent="0.2">
      <c r="Z12026" t="str">
        <f t="shared" si="187"/>
        <v/>
      </c>
    </row>
    <row r="12027" spans="26:26" x14ac:dyDescent="0.2">
      <c r="Z12027" t="str">
        <f t="shared" si="187"/>
        <v/>
      </c>
    </row>
    <row r="12028" spans="26:26" x14ac:dyDescent="0.2">
      <c r="Z12028" t="str">
        <f t="shared" si="187"/>
        <v/>
      </c>
    </row>
    <row r="12029" spans="26:26" x14ac:dyDescent="0.2">
      <c r="Z12029" t="str">
        <f t="shared" si="187"/>
        <v/>
      </c>
    </row>
    <row r="12030" spans="26:26" x14ac:dyDescent="0.2">
      <c r="Z12030" t="str">
        <f t="shared" si="187"/>
        <v/>
      </c>
    </row>
    <row r="12031" spans="26:26" x14ac:dyDescent="0.2">
      <c r="Z12031" t="str">
        <f t="shared" si="187"/>
        <v/>
      </c>
    </row>
    <row r="12032" spans="26:26" x14ac:dyDescent="0.2">
      <c r="Z12032" t="str">
        <f t="shared" si="187"/>
        <v/>
      </c>
    </row>
    <row r="12033" spans="26:26" x14ac:dyDescent="0.2">
      <c r="Z12033" t="str">
        <f t="shared" si="187"/>
        <v/>
      </c>
    </row>
    <row r="12034" spans="26:26" x14ac:dyDescent="0.2">
      <c r="Z12034" t="str">
        <f t="shared" si="187"/>
        <v/>
      </c>
    </row>
    <row r="12035" spans="26:26" x14ac:dyDescent="0.2">
      <c r="Z12035" t="str">
        <f t="shared" ref="Z12035:Z12098" si="188">IF(K12035="","",IFERROR(VALUE(TRIM(MID(K12035,FIND(CHAR(167),SUBSTITUTE(K12035,"-",CHAR(167),LEN(K12035)-LEN(SUBSTITUTE(K12035,"-",""))))+1,100))),K12035))</f>
        <v/>
      </c>
    </row>
    <row r="12036" spans="26:26" x14ac:dyDescent="0.2">
      <c r="Z12036" t="str">
        <f t="shared" si="188"/>
        <v/>
      </c>
    </row>
    <row r="12037" spans="26:26" x14ac:dyDescent="0.2">
      <c r="Z12037" t="str">
        <f t="shared" si="188"/>
        <v/>
      </c>
    </row>
    <row r="12038" spans="26:26" x14ac:dyDescent="0.2">
      <c r="Z12038" t="str">
        <f t="shared" si="188"/>
        <v/>
      </c>
    </row>
    <row r="12039" spans="26:26" x14ac:dyDescent="0.2">
      <c r="Z12039" t="str">
        <f t="shared" si="188"/>
        <v/>
      </c>
    </row>
    <row r="12040" spans="26:26" x14ac:dyDescent="0.2">
      <c r="Z12040" t="str">
        <f t="shared" si="188"/>
        <v/>
      </c>
    </row>
    <row r="12041" spans="26:26" x14ac:dyDescent="0.2">
      <c r="Z12041" t="str">
        <f t="shared" si="188"/>
        <v/>
      </c>
    </row>
    <row r="12042" spans="26:26" x14ac:dyDescent="0.2">
      <c r="Z12042" t="str">
        <f t="shared" si="188"/>
        <v/>
      </c>
    </row>
    <row r="12043" spans="26:26" x14ac:dyDescent="0.2">
      <c r="Z12043" t="str">
        <f t="shared" si="188"/>
        <v/>
      </c>
    </row>
    <row r="12044" spans="26:26" x14ac:dyDescent="0.2">
      <c r="Z12044" t="str">
        <f t="shared" si="188"/>
        <v/>
      </c>
    </row>
    <row r="12045" spans="26:26" x14ac:dyDescent="0.2">
      <c r="Z12045" t="str">
        <f t="shared" si="188"/>
        <v/>
      </c>
    </row>
    <row r="12046" spans="26:26" x14ac:dyDescent="0.2">
      <c r="Z12046" t="str">
        <f t="shared" si="188"/>
        <v/>
      </c>
    </row>
    <row r="12047" spans="26:26" x14ac:dyDescent="0.2">
      <c r="Z12047" t="str">
        <f t="shared" si="188"/>
        <v/>
      </c>
    </row>
    <row r="12048" spans="26:26" x14ac:dyDescent="0.2">
      <c r="Z12048" t="str">
        <f t="shared" si="188"/>
        <v/>
      </c>
    </row>
    <row r="12049" spans="26:26" x14ac:dyDescent="0.2">
      <c r="Z12049" t="str">
        <f t="shared" si="188"/>
        <v/>
      </c>
    </row>
    <row r="12050" spans="26:26" x14ac:dyDescent="0.2">
      <c r="Z12050" t="str">
        <f t="shared" si="188"/>
        <v/>
      </c>
    </row>
    <row r="12051" spans="26:26" x14ac:dyDescent="0.2">
      <c r="Z12051" t="str">
        <f t="shared" si="188"/>
        <v/>
      </c>
    </row>
    <row r="12052" spans="26:26" x14ac:dyDescent="0.2">
      <c r="Z12052" t="str">
        <f t="shared" si="188"/>
        <v/>
      </c>
    </row>
    <row r="12053" spans="26:26" x14ac:dyDescent="0.2">
      <c r="Z12053" t="str">
        <f t="shared" si="188"/>
        <v/>
      </c>
    </row>
    <row r="12054" spans="26:26" x14ac:dyDescent="0.2">
      <c r="Z12054" t="str">
        <f t="shared" si="188"/>
        <v/>
      </c>
    </row>
    <row r="12055" spans="26:26" x14ac:dyDescent="0.2">
      <c r="Z12055" t="str">
        <f t="shared" si="188"/>
        <v/>
      </c>
    </row>
    <row r="12056" spans="26:26" x14ac:dyDescent="0.2">
      <c r="Z12056" t="str">
        <f t="shared" si="188"/>
        <v/>
      </c>
    </row>
    <row r="12057" spans="26:26" x14ac:dyDescent="0.2">
      <c r="Z12057" t="str">
        <f t="shared" si="188"/>
        <v/>
      </c>
    </row>
    <row r="12058" spans="26:26" x14ac:dyDescent="0.2">
      <c r="Z12058" t="str">
        <f t="shared" si="188"/>
        <v/>
      </c>
    </row>
    <row r="12059" spans="26:26" x14ac:dyDescent="0.2">
      <c r="Z12059" t="str">
        <f t="shared" si="188"/>
        <v/>
      </c>
    </row>
    <row r="12060" spans="26:26" x14ac:dyDescent="0.2">
      <c r="Z12060" t="str">
        <f t="shared" si="188"/>
        <v/>
      </c>
    </row>
    <row r="12061" spans="26:26" x14ac:dyDescent="0.2">
      <c r="Z12061" t="str">
        <f t="shared" si="188"/>
        <v/>
      </c>
    </row>
    <row r="12062" spans="26:26" x14ac:dyDescent="0.2">
      <c r="Z12062" t="str">
        <f t="shared" si="188"/>
        <v/>
      </c>
    </row>
    <row r="12063" spans="26:26" x14ac:dyDescent="0.2">
      <c r="Z12063" t="str">
        <f t="shared" si="188"/>
        <v/>
      </c>
    </row>
    <row r="12064" spans="26:26" x14ac:dyDescent="0.2">
      <c r="Z12064" t="str">
        <f t="shared" si="188"/>
        <v/>
      </c>
    </row>
    <row r="12065" spans="26:26" x14ac:dyDescent="0.2">
      <c r="Z12065" t="str">
        <f t="shared" si="188"/>
        <v/>
      </c>
    </row>
    <row r="12066" spans="26:26" x14ac:dyDescent="0.2">
      <c r="Z12066" t="str">
        <f t="shared" si="188"/>
        <v/>
      </c>
    </row>
    <row r="12067" spans="26:26" x14ac:dyDescent="0.2">
      <c r="Z12067" t="str">
        <f t="shared" si="188"/>
        <v/>
      </c>
    </row>
    <row r="12068" spans="26:26" x14ac:dyDescent="0.2">
      <c r="Z12068" t="str">
        <f t="shared" si="188"/>
        <v/>
      </c>
    </row>
    <row r="12069" spans="26:26" x14ac:dyDescent="0.2">
      <c r="Z12069" t="str">
        <f t="shared" si="188"/>
        <v/>
      </c>
    </row>
    <row r="12070" spans="26:26" x14ac:dyDescent="0.2">
      <c r="Z12070" t="str">
        <f t="shared" si="188"/>
        <v/>
      </c>
    </row>
    <row r="12071" spans="26:26" x14ac:dyDescent="0.2">
      <c r="Z12071" t="str">
        <f t="shared" si="188"/>
        <v/>
      </c>
    </row>
    <row r="12072" spans="26:26" x14ac:dyDescent="0.2">
      <c r="Z12072" t="str">
        <f t="shared" si="188"/>
        <v/>
      </c>
    </row>
    <row r="12073" spans="26:26" x14ac:dyDescent="0.2">
      <c r="Z12073" t="str">
        <f t="shared" si="188"/>
        <v/>
      </c>
    </row>
    <row r="12074" spans="26:26" x14ac:dyDescent="0.2">
      <c r="Z12074" t="str">
        <f t="shared" si="188"/>
        <v/>
      </c>
    </row>
    <row r="12075" spans="26:26" x14ac:dyDescent="0.2">
      <c r="Z12075" t="str">
        <f t="shared" si="188"/>
        <v/>
      </c>
    </row>
    <row r="12076" spans="26:26" x14ac:dyDescent="0.2">
      <c r="Z12076" t="str">
        <f t="shared" si="188"/>
        <v/>
      </c>
    </row>
    <row r="12077" spans="26:26" x14ac:dyDescent="0.2">
      <c r="Z12077" t="str">
        <f t="shared" si="188"/>
        <v/>
      </c>
    </row>
    <row r="12078" spans="26:26" x14ac:dyDescent="0.2">
      <c r="Z12078" t="str">
        <f t="shared" si="188"/>
        <v/>
      </c>
    </row>
    <row r="12079" spans="26:26" x14ac:dyDescent="0.2">
      <c r="Z12079" t="str">
        <f t="shared" si="188"/>
        <v/>
      </c>
    </row>
    <row r="12080" spans="26:26" x14ac:dyDescent="0.2">
      <c r="Z12080" t="str">
        <f t="shared" si="188"/>
        <v/>
      </c>
    </row>
    <row r="12081" spans="26:26" x14ac:dyDescent="0.2">
      <c r="Z12081" t="str">
        <f t="shared" si="188"/>
        <v/>
      </c>
    </row>
    <row r="12082" spans="26:26" x14ac:dyDescent="0.2">
      <c r="Z12082" t="str">
        <f t="shared" si="188"/>
        <v/>
      </c>
    </row>
    <row r="12083" spans="26:26" x14ac:dyDescent="0.2">
      <c r="Z12083" t="str">
        <f t="shared" si="188"/>
        <v/>
      </c>
    </row>
    <row r="12084" spans="26:26" x14ac:dyDescent="0.2">
      <c r="Z12084" t="str">
        <f t="shared" si="188"/>
        <v/>
      </c>
    </row>
    <row r="12085" spans="26:26" x14ac:dyDescent="0.2">
      <c r="Z12085" t="str">
        <f t="shared" si="188"/>
        <v/>
      </c>
    </row>
    <row r="12086" spans="26:26" x14ac:dyDescent="0.2">
      <c r="Z12086" t="str">
        <f t="shared" si="188"/>
        <v/>
      </c>
    </row>
    <row r="12087" spans="26:26" x14ac:dyDescent="0.2">
      <c r="Z12087" t="str">
        <f t="shared" si="188"/>
        <v/>
      </c>
    </row>
    <row r="12088" spans="26:26" x14ac:dyDescent="0.2">
      <c r="Z12088" t="str">
        <f t="shared" si="188"/>
        <v/>
      </c>
    </row>
    <row r="12089" spans="26:26" x14ac:dyDescent="0.2">
      <c r="Z12089" t="str">
        <f t="shared" si="188"/>
        <v/>
      </c>
    </row>
    <row r="12090" spans="26:26" x14ac:dyDescent="0.2">
      <c r="Z12090" t="str">
        <f t="shared" si="188"/>
        <v/>
      </c>
    </row>
    <row r="12091" spans="26:26" x14ac:dyDescent="0.2">
      <c r="Z12091" t="str">
        <f t="shared" si="188"/>
        <v/>
      </c>
    </row>
    <row r="12092" spans="26:26" x14ac:dyDescent="0.2">
      <c r="Z12092" t="str">
        <f t="shared" si="188"/>
        <v/>
      </c>
    </row>
    <row r="12093" spans="26:26" x14ac:dyDescent="0.2">
      <c r="Z12093" t="str">
        <f t="shared" si="188"/>
        <v/>
      </c>
    </row>
    <row r="12094" spans="26:26" x14ac:dyDescent="0.2">
      <c r="Z12094" t="str">
        <f t="shared" si="188"/>
        <v/>
      </c>
    </row>
    <row r="12095" spans="26:26" x14ac:dyDescent="0.2">
      <c r="Z12095" t="str">
        <f t="shared" si="188"/>
        <v/>
      </c>
    </row>
    <row r="12096" spans="26:26" x14ac:dyDescent="0.2">
      <c r="Z12096" t="str">
        <f t="shared" si="188"/>
        <v/>
      </c>
    </row>
    <row r="12097" spans="26:26" x14ac:dyDescent="0.2">
      <c r="Z12097" t="str">
        <f t="shared" si="188"/>
        <v/>
      </c>
    </row>
    <row r="12098" spans="26:26" x14ac:dyDescent="0.2">
      <c r="Z12098" t="str">
        <f t="shared" si="188"/>
        <v/>
      </c>
    </row>
    <row r="12099" spans="26:26" x14ac:dyDescent="0.2">
      <c r="Z12099" t="str">
        <f t="shared" ref="Z12099:Z12162" si="189">IF(K12099="","",IFERROR(VALUE(TRIM(MID(K12099,FIND(CHAR(167),SUBSTITUTE(K12099,"-",CHAR(167),LEN(K12099)-LEN(SUBSTITUTE(K12099,"-",""))))+1,100))),K12099))</f>
        <v/>
      </c>
    </row>
    <row r="12100" spans="26:26" x14ac:dyDescent="0.2">
      <c r="Z12100" t="str">
        <f t="shared" si="189"/>
        <v/>
      </c>
    </row>
    <row r="12101" spans="26:26" x14ac:dyDescent="0.2">
      <c r="Z12101" t="str">
        <f t="shared" si="189"/>
        <v/>
      </c>
    </row>
    <row r="12102" spans="26:26" x14ac:dyDescent="0.2">
      <c r="Z12102" t="str">
        <f t="shared" si="189"/>
        <v/>
      </c>
    </row>
    <row r="12103" spans="26:26" x14ac:dyDescent="0.2">
      <c r="Z12103" t="str">
        <f t="shared" si="189"/>
        <v/>
      </c>
    </row>
    <row r="12104" spans="26:26" x14ac:dyDescent="0.2">
      <c r="Z12104" t="str">
        <f t="shared" si="189"/>
        <v/>
      </c>
    </row>
    <row r="12105" spans="26:26" x14ac:dyDescent="0.2">
      <c r="Z12105" t="str">
        <f t="shared" si="189"/>
        <v/>
      </c>
    </row>
    <row r="12106" spans="26:26" x14ac:dyDescent="0.2">
      <c r="Z12106" t="str">
        <f t="shared" si="189"/>
        <v/>
      </c>
    </row>
    <row r="12107" spans="26:26" x14ac:dyDescent="0.2">
      <c r="Z12107" t="str">
        <f t="shared" si="189"/>
        <v/>
      </c>
    </row>
    <row r="12108" spans="26:26" x14ac:dyDescent="0.2">
      <c r="Z12108" t="str">
        <f t="shared" si="189"/>
        <v/>
      </c>
    </row>
    <row r="12109" spans="26:26" x14ac:dyDescent="0.2">
      <c r="Z12109" t="str">
        <f t="shared" si="189"/>
        <v/>
      </c>
    </row>
    <row r="12110" spans="26:26" x14ac:dyDescent="0.2">
      <c r="Z12110" t="str">
        <f t="shared" si="189"/>
        <v/>
      </c>
    </row>
    <row r="12111" spans="26:26" x14ac:dyDescent="0.2">
      <c r="Z12111" t="str">
        <f t="shared" si="189"/>
        <v/>
      </c>
    </row>
    <row r="12112" spans="26:26" x14ac:dyDescent="0.2">
      <c r="Z12112" t="str">
        <f t="shared" si="189"/>
        <v/>
      </c>
    </row>
    <row r="12113" spans="26:26" x14ac:dyDescent="0.2">
      <c r="Z12113" t="str">
        <f t="shared" si="189"/>
        <v/>
      </c>
    </row>
    <row r="12114" spans="26:26" x14ac:dyDescent="0.2">
      <c r="Z12114" t="str">
        <f t="shared" si="189"/>
        <v/>
      </c>
    </row>
    <row r="12115" spans="26:26" x14ac:dyDescent="0.2">
      <c r="Z12115" t="str">
        <f t="shared" si="189"/>
        <v/>
      </c>
    </row>
    <row r="12116" spans="26:26" x14ac:dyDescent="0.2">
      <c r="Z12116" t="str">
        <f t="shared" si="189"/>
        <v/>
      </c>
    </row>
    <row r="12117" spans="26:26" x14ac:dyDescent="0.2">
      <c r="Z12117" t="str">
        <f t="shared" si="189"/>
        <v/>
      </c>
    </row>
    <row r="12118" spans="26:26" x14ac:dyDescent="0.2">
      <c r="Z12118" t="str">
        <f t="shared" si="189"/>
        <v/>
      </c>
    </row>
    <row r="12119" spans="26:26" x14ac:dyDescent="0.2">
      <c r="Z12119" t="str">
        <f t="shared" si="189"/>
        <v/>
      </c>
    </row>
    <row r="12120" spans="26:26" x14ac:dyDescent="0.2">
      <c r="Z12120" t="str">
        <f t="shared" si="189"/>
        <v/>
      </c>
    </row>
    <row r="12121" spans="26:26" x14ac:dyDescent="0.2">
      <c r="Z12121" t="str">
        <f t="shared" si="189"/>
        <v/>
      </c>
    </row>
    <row r="12122" spans="26:26" x14ac:dyDescent="0.2">
      <c r="Z12122" t="str">
        <f t="shared" si="189"/>
        <v/>
      </c>
    </row>
    <row r="12123" spans="26:26" x14ac:dyDescent="0.2">
      <c r="Z12123" t="str">
        <f t="shared" si="189"/>
        <v/>
      </c>
    </row>
    <row r="12124" spans="26:26" x14ac:dyDescent="0.2">
      <c r="Z12124" t="str">
        <f t="shared" si="189"/>
        <v/>
      </c>
    </row>
    <row r="12125" spans="26:26" x14ac:dyDescent="0.2">
      <c r="Z12125" t="str">
        <f t="shared" si="189"/>
        <v/>
      </c>
    </row>
    <row r="12126" spans="26:26" x14ac:dyDescent="0.2">
      <c r="Z12126" t="str">
        <f t="shared" si="189"/>
        <v/>
      </c>
    </row>
    <row r="12127" spans="26:26" x14ac:dyDescent="0.2">
      <c r="Z12127" t="str">
        <f t="shared" si="189"/>
        <v/>
      </c>
    </row>
    <row r="12128" spans="26:26" x14ac:dyDescent="0.2">
      <c r="Z12128" t="str">
        <f t="shared" si="189"/>
        <v/>
      </c>
    </row>
    <row r="12129" spans="26:26" x14ac:dyDescent="0.2">
      <c r="Z12129" t="str">
        <f t="shared" si="189"/>
        <v/>
      </c>
    </row>
    <row r="12130" spans="26:26" x14ac:dyDescent="0.2">
      <c r="Z12130" t="str">
        <f t="shared" si="189"/>
        <v/>
      </c>
    </row>
    <row r="12131" spans="26:26" x14ac:dyDescent="0.2">
      <c r="Z12131" t="str">
        <f t="shared" si="189"/>
        <v/>
      </c>
    </row>
    <row r="12132" spans="26:26" x14ac:dyDescent="0.2">
      <c r="Z12132" t="str">
        <f t="shared" si="189"/>
        <v/>
      </c>
    </row>
    <row r="12133" spans="26:26" x14ac:dyDescent="0.2">
      <c r="Z12133" t="str">
        <f t="shared" si="189"/>
        <v/>
      </c>
    </row>
    <row r="12134" spans="26:26" x14ac:dyDescent="0.2">
      <c r="Z12134" t="str">
        <f t="shared" si="189"/>
        <v/>
      </c>
    </row>
    <row r="12135" spans="26:26" x14ac:dyDescent="0.2">
      <c r="Z12135" t="str">
        <f t="shared" si="189"/>
        <v/>
      </c>
    </row>
    <row r="12136" spans="26:26" x14ac:dyDescent="0.2">
      <c r="Z12136" t="str">
        <f t="shared" si="189"/>
        <v/>
      </c>
    </row>
    <row r="12137" spans="26:26" x14ac:dyDescent="0.2">
      <c r="Z12137" t="str">
        <f t="shared" si="189"/>
        <v/>
      </c>
    </row>
    <row r="12138" spans="26:26" x14ac:dyDescent="0.2">
      <c r="Z12138" t="str">
        <f t="shared" si="189"/>
        <v/>
      </c>
    </row>
    <row r="12139" spans="26:26" x14ac:dyDescent="0.2">
      <c r="Z12139" t="str">
        <f t="shared" si="189"/>
        <v/>
      </c>
    </row>
    <row r="12140" spans="26:26" x14ac:dyDescent="0.2">
      <c r="Z12140" t="str">
        <f t="shared" si="189"/>
        <v/>
      </c>
    </row>
    <row r="12141" spans="26:26" x14ac:dyDescent="0.2">
      <c r="Z12141" t="str">
        <f t="shared" si="189"/>
        <v/>
      </c>
    </row>
    <row r="12142" spans="26:26" x14ac:dyDescent="0.2">
      <c r="Z12142" t="str">
        <f t="shared" si="189"/>
        <v/>
      </c>
    </row>
    <row r="12143" spans="26:26" x14ac:dyDescent="0.2">
      <c r="Z12143" t="str">
        <f t="shared" si="189"/>
        <v/>
      </c>
    </row>
    <row r="12144" spans="26:26" x14ac:dyDescent="0.2">
      <c r="Z12144" t="str">
        <f t="shared" si="189"/>
        <v/>
      </c>
    </row>
    <row r="12145" spans="26:26" x14ac:dyDescent="0.2">
      <c r="Z12145" t="str">
        <f t="shared" si="189"/>
        <v/>
      </c>
    </row>
    <row r="12146" spans="26:26" x14ac:dyDescent="0.2">
      <c r="Z12146" t="str">
        <f t="shared" si="189"/>
        <v/>
      </c>
    </row>
    <row r="12147" spans="26:26" x14ac:dyDescent="0.2">
      <c r="Z12147" t="str">
        <f t="shared" si="189"/>
        <v/>
      </c>
    </row>
    <row r="12148" spans="26:26" x14ac:dyDescent="0.2">
      <c r="Z12148" t="str">
        <f t="shared" si="189"/>
        <v/>
      </c>
    </row>
    <row r="12149" spans="26:26" x14ac:dyDescent="0.2">
      <c r="Z12149" t="str">
        <f t="shared" si="189"/>
        <v/>
      </c>
    </row>
    <row r="12150" spans="26:26" x14ac:dyDescent="0.2">
      <c r="Z12150" t="str">
        <f t="shared" si="189"/>
        <v/>
      </c>
    </row>
    <row r="12151" spans="26:26" x14ac:dyDescent="0.2">
      <c r="Z12151" t="str">
        <f t="shared" si="189"/>
        <v/>
      </c>
    </row>
    <row r="12152" spans="26:26" x14ac:dyDescent="0.2">
      <c r="Z12152" t="str">
        <f t="shared" si="189"/>
        <v/>
      </c>
    </row>
    <row r="12153" spans="26:26" x14ac:dyDescent="0.2">
      <c r="Z12153" t="str">
        <f t="shared" si="189"/>
        <v/>
      </c>
    </row>
    <row r="12154" spans="26:26" x14ac:dyDescent="0.2">
      <c r="Z12154" t="str">
        <f t="shared" si="189"/>
        <v/>
      </c>
    </row>
    <row r="12155" spans="26:26" x14ac:dyDescent="0.2">
      <c r="Z12155" t="str">
        <f t="shared" si="189"/>
        <v/>
      </c>
    </row>
    <row r="12156" spans="26:26" x14ac:dyDescent="0.2">
      <c r="Z12156" t="str">
        <f t="shared" si="189"/>
        <v/>
      </c>
    </row>
    <row r="12157" spans="26:26" x14ac:dyDescent="0.2">
      <c r="Z12157" t="str">
        <f t="shared" si="189"/>
        <v/>
      </c>
    </row>
    <row r="12158" spans="26:26" x14ac:dyDescent="0.2">
      <c r="Z12158" t="str">
        <f t="shared" si="189"/>
        <v/>
      </c>
    </row>
    <row r="12159" spans="26:26" x14ac:dyDescent="0.2">
      <c r="Z12159" t="str">
        <f t="shared" si="189"/>
        <v/>
      </c>
    </row>
    <row r="12160" spans="26:26" x14ac:dyDescent="0.2">
      <c r="Z12160" t="str">
        <f t="shared" si="189"/>
        <v/>
      </c>
    </row>
    <row r="12161" spans="26:26" x14ac:dyDescent="0.2">
      <c r="Z12161" t="str">
        <f t="shared" si="189"/>
        <v/>
      </c>
    </row>
    <row r="12162" spans="26:26" x14ac:dyDescent="0.2">
      <c r="Z12162" t="str">
        <f t="shared" si="189"/>
        <v/>
      </c>
    </row>
    <row r="12163" spans="26:26" x14ac:dyDescent="0.2">
      <c r="Z12163" t="str">
        <f t="shared" ref="Z12163:Z12226" si="190">IF(K12163="","",IFERROR(VALUE(TRIM(MID(K12163,FIND(CHAR(167),SUBSTITUTE(K12163,"-",CHAR(167),LEN(K12163)-LEN(SUBSTITUTE(K12163,"-",""))))+1,100))),K12163))</f>
        <v/>
      </c>
    </row>
    <row r="12164" spans="26:26" x14ac:dyDescent="0.2">
      <c r="Z12164" t="str">
        <f t="shared" si="190"/>
        <v/>
      </c>
    </row>
    <row r="12165" spans="26:26" x14ac:dyDescent="0.2">
      <c r="Z12165" t="str">
        <f t="shared" si="190"/>
        <v/>
      </c>
    </row>
    <row r="12166" spans="26:26" x14ac:dyDescent="0.2">
      <c r="Z12166" t="str">
        <f t="shared" si="190"/>
        <v/>
      </c>
    </row>
    <row r="12167" spans="26:26" x14ac:dyDescent="0.2">
      <c r="Z12167" t="str">
        <f t="shared" si="190"/>
        <v/>
      </c>
    </row>
    <row r="12168" spans="26:26" x14ac:dyDescent="0.2">
      <c r="Z12168" t="str">
        <f t="shared" si="190"/>
        <v/>
      </c>
    </row>
    <row r="12169" spans="26:26" x14ac:dyDescent="0.2">
      <c r="Z12169" t="str">
        <f t="shared" si="190"/>
        <v/>
      </c>
    </row>
    <row r="12170" spans="26:26" x14ac:dyDescent="0.2">
      <c r="Z12170" t="str">
        <f t="shared" si="190"/>
        <v/>
      </c>
    </row>
    <row r="12171" spans="26:26" x14ac:dyDescent="0.2">
      <c r="Z12171" t="str">
        <f t="shared" si="190"/>
        <v/>
      </c>
    </row>
    <row r="12172" spans="26:26" x14ac:dyDescent="0.2">
      <c r="Z12172" t="str">
        <f t="shared" si="190"/>
        <v/>
      </c>
    </row>
    <row r="12173" spans="26:26" x14ac:dyDescent="0.2">
      <c r="Z12173" t="str">
        <f t="shared" si="190"/>
        <v/>
      </c>
    </row>
    <row r="12174" spans="26:26" x14ac:dyDescent="0.2">
      <c r="Z12174" t="str">
        <f t="shared" si="190"/>
        <v/>
      </c>
    </row>
    <row r="12175" spans="26:26" x14ac:dyDescent="0.2">
      <c r="Z12175" t="str">
        <f t="shared" si="190"/>
        <v/>
      </c>
    </row>
    <row r="12176" spans="26:26" x14ac:dyDescent="0.2">
      <c r="Z12176" t="str">
        <f t="shared" si="190"/>
        <v/>
      </c>
    </row>
    <row r="12177" spans="26:26" x14ac:dyDescent="0.2">
      <c r="Z12177" t="str">
        <f t="shared" si="190"/>
        <v/>
      </c>
    </row>
    <row r="12178" spans="26:26" x14ac:dyDescent="0.2">
      <c r="Z12178" t="str">
        <f t="shared" si="190"/>
        <v/>
      </c>
    </row>
    <row r="12179" spans="26:26" x14ac:dyDescent="0.2">
      <c r="Z12179" t="str">
        <f t="shared" si="190"/>
        <v/>
      </c>
    </row>
    <row r="12180" spans="26:26" x14ac:dyDescent="0.2">
      <c r="Z12180" t="str">
        <f t="shared" si="190"/>
        <v/>
      </c>
    </row>
    <row r="12181" spans="26:26" x14ac:dyDescent="0.2">
      <c r="Z12181" t="str">
        <f t="shared" si="190"/>
        <v/>
      </c>
    </row>
    <row r="12182" spans="26:26" x14ac:dyDescent="0.2">
      <c r="Z12182" t="str">
        <f t="shared" si="190"/>
        <v/>
      </c>
    </row>
    <row r="12183" spans="26:26" x14ac:dyDescent="0.2">
      <c r="Z12183" t="str">
        <f t="shared" si="190"/>
        <v/>
      </c>
    </row>
    <row r="12184" spans="26:26" x14ac:dyDescent="0.2">
      <c r="Z12184" t="str">
        <f t="shared" si="190"/>
        <v/>
      </c>
    </row>
    <row r="12185" spans="26:26" x14ac:dyDescent="0.2">
      <c r="Z12185" t="str">
        <f t="shared" si="190"/>
        <v/>
      </c>
    </row>
    <row r="12186" spans="26:26" x14ac:dyDescent="0.2">
      <c r="Z12186" t="str">
        <f t="shared" si="190"/>
        <v/>
      </c>
    </row>
    <row r="12187" spans="26:26" x14ac:dyDescent="0.2">
      <c r="Z12187" t="str">
        <f t="shared" si="190"/>
        <v/>
      </c>
    </row>
    <row r="12188" spans="26:26" x14ac:dyDescent="0.2">
      <c r="Z12188" t="str">
        <f t="shared" si="190"/>
        <v/>
      </c>
    </row>
    <row r="12189" spans="26:26" x14ac:dyDescent="0.2">
      <c r="Z12189" t="str">
        <f t="shared" si="190"/>
        <v/>
      </c>
    </row>
    <row r="12190" spans="26:26" x14ac:dyDescent="0.2">
      <c r="Z12190" t="str">
        <f t="shared" si="190"/>
        <v/>
      </c>
    </row>
    <row r="12191" spans="26:26" x14ac:dyDescent="0.2">
      <c r="Z12191" t="str">
        <f t="shared" si="190"/>
        <v/>
      </c>
    </row>
    <row r="12192" spans="26:26" x14ac:dyDescent="0.2">
      <c r="Z12192" t="str">
        <f t="shared" si="190"/>
        <v/>
      </c>
    </row>
    <row r="12193" spans="26:26" x14ac:dyDescent="0.2">
      <c r="Z12193" t="str">
        <f t="shared" si="190"/>
        <v/>
      </c>
    </row>
    <row r="12194" spans="26:26" x14ac:dyDescent="0.2">
      <c r="Z12194" t="str">
        <f t="shared" si="190"/>
        <v/>
      </c>
    </row>
    <row r="12195" spans="26:26" x14ac:dyDescent="0.2">
      <c r="Z12195" t="str">
        <f t="shared" si="190"/>
        <v/>
      </c>
    </row>
    <row r="12196" spans="26:26" x14ac:dyDescent="0.2">
      <c r="Z12196" t="str">
        <f t="shared" si="190"/>
        <v/>
      </c>
    </row>
    <row r="12197" spans="26:26" x14ac:dyDescent="0.2">
      <c r="Z12197" t="str">
        <f t="shared" si="190"/>
        <v/>
      </c>
    </row>
    <row r="12198" spans="26:26" x14ac:dyDescent="0.2">
      <c r="Z12198" t="str">
        <f t="shared" si="190"/>
        <v/>
      </c>
    </row>
    <row r="12199" spans="26:26" x14ac:dyDescent="0.2">
      <c r="Z12199" t="str">
        <f t="shared" si="190"/>
        <v/>
      </c>
    </row>
    <row r="12200" spans="26:26" x14ac:dyDescent="0.2">
      <c r="Z12200" t="str">
        <f t="shared" si="190"/>
        <v/>
      </c>
    </row>
    <row r="12201" spans="26:26" x14ac:dyDescent="0.2">
      <c r="Z12201" t="str">
        <f t="shared" si="190"/>
        <v/>
      </c>
    </row>
    <row r="12202" spans="26:26" x14ac:dyDescent="0.2">
      <c r="Z12202" t="str">
        <f t="shared" si="190"/>
        <v/>
      </c>
    </row>
    <row r="12203" spans="26:26" x14ac:dyDescent="0.2">
      <c r="Z12203" t="str">
        <f t="shared" si="190"/>
        <v/>
      </c>
    </row>
    <row r="12204" spans="26:26" x14ac:dyDescent="0.2">
      <c r="Z12204" t="str">
        <f t="shared" si="190"/>
        <v/>
      </c>
    </row>
    <row r="12205" spans="26:26" x14ac:dyDescent="0.2">
      <c r="Z12205" t="str">
        <f t="shared" si="190"/>
        <v/>
      </c>
    </row>
    <row r="12206" spans="26:26" x14ac:dyDescent="0.2">
      <c r="Z12206" t="str">
        <f t="shared" si="190"/>
        <v/>
      </c>
    </row>
    <row r="12207" spans="26:26" x14ac:dyDescent="0.2">
      <c r="Z12207" t="str">
        <f t="shared" si="190"/>
        <v/>
      </c>
    </row>
    <row r="12208" spans="26:26" x14ac:dyDescent="0.2">
      <c r="Z12208" t="str">
        <f t="shared" si="190"/>
        <v/>
      </c>
    </row>
    <row r="12209" spans="26:26" x14ac:dyDescent="0.2">
      <c r="Z12209" t="str">
        <f t="shared" si="190"/>
        <v/>
      </c>
    </row>
    <row r="12210" spans="26:26" x14ac:dyDescent="0.2">
      <c r="Z12210" t="str">
        <f t="shared" si="190"/>
        <v/>
      </c>
    </row>
    <row r="12211" spans="26:26" x14ac:dyDescent="0.2">
      <c r="Z12211" t="str">
        <f t="shared" si="190"/>
        <v/>
      </c>
    </row>
    <row r="12212" spans="26:26" x14ac:dyDescent="0.2">
      <c r="Z12212" t="str">
        <f t="shared" si="190"/>
        <v/>
      </c>
    </row>
    <row r="12213" spans="26:26" x14ac:dyDescent="0.2">
      <c r="Z12213" t="str">
        <f t="shared" si="190"/>
        <v/>
      </c>
    </row>
    <row r="12214" spans="26:26" x14ac:dyDescent="0.2">
      <c r="Z12214" t="str">
        <f t="shared" si="190"/>
        <v/>
      </c>
    </row>
    <row r="12215" spans="26:26" x14ac:dyDescent="0.2">
      <c r="Z12215" t="str">
        <f t="shared" si="190"/>
        <v/>
      </c>
    </row>
    <row r="12216" spans="26:26" x14ac:dyDescent="0.2">
      <c r="Z12216" t="str">
        <f t="shared" si="190"/>
        <v/>
      </c>
    </row>
    <row r="12217" spans="26:26" x14ac:dyDescent="0.2">
      <c r="Z12217" t="str">
        <f t="shared" si="190"/>
        <v/>
      </c>
    </row>
    <row r="12218" spans="26:26" x14ac:dyDescent="0.2">
      <c r="Z12218" t="str">
        <f t="shared" si="190"/>
        <v/>
      </c>
    </row>
    <row r="12219" spans="26:26" x14ac:dyDescent="0.2">
      <c r="Z12219" t="str">
        <f t="shared" si="190"/>
        <v/>
      </c>
    </row>
    <row r="12220" spans="26:26" x14ac:dyDescent="0.2">
      <c r="Z12220" t="str">
        <f t="shared" si="190"/>
        <v/>
      </c>
    </row>
    <row r="12221" spans="26:26" x14ac:dyDescent="0.2">
      <c r="Z12221" t="str">
        <f t="shared" si="190"/>
        <v/>
      </c>
    </row>
    <row r="12222" spans="26:26" x14ac:dyDescent="0.2">
      <c r="Z12222" t="str">
        <f t="shared" si="190"/>
        <v/>
      </c>
    </row>
    <row r="12223" spans="26:26" x14ac:dyDescent="0.2">
      <c r="Z12223" t="str">
        <f t="shared" si="190"/>
        <v/>
      </c>
    </row>
    <row r="12224" spans="26:26" x14ac:dyDescent="0.2">
      <c r="Z12224" t="str">
        <f t="shared" si="190"/>
        <v/>
      </c>
    </row>
    <row r="12225" spans="26:26" x14ac:dyDescent="0.2">
      <c r="Z12225" t="str">
        <f t="shared" si="190"/>
        <v/>
      </c>
    </row>
    <row r="12226" spans="26:26" x14ac:dyDescent="0.2">
      <c r="Z12226" t="str">
        <f t="shared" si="190"/>
        <v/>
      </c>
    </row>
    <row r="12227" spans="26:26" x14ac:dyDescent="0.2">
      <c r="Z12227" t="str">
        <f t="shared" ref="Z12227:Z12290" si="191">IF(K12227="","",IFERROR(VALUE(TRIM(MID(K12227,FIND(CHAR(167),SUBSTITUTE(K12227,"-",CHAR(167),LEN(K12227)-LEN(SUBSTITUTE(K12227,"-",""))))+1,100))),K12227))</f>
        <v/>
      </c>
    </row>
    <row r="12228" spans="26:26" x14ac:dyDescent="0.2">
      <c r="Z12228" t="str">
        <f t="shared" si="191"/>
        <v/>
      </c>
    </row>
    <row r="12229" spans="26:26" x14ac:dyDescent="0.2">
      <c r="Z12229" t="str">
        <f t="shared" si="191"/>
        <v/>
      </c>
    </row>
    <row r="12230" spans="26:26" x14ac:dyDescent="0.2">
      <c r="Z12230" t="str">
        <f t="shared" si="191"/>
        <v/>
      </c>
    </row>
    <row r="12231" spans="26:26" x14ac:dyDescent="0.2">
      <c r="Z12231" t="str">
        <f t="shared" si="191"/>
        <v/>
      </c>
    </row>
    <row r="12232" spans="26:26" x14ac:dyDescent="0.2">
      <c r="Z12232" t="str">
        <f t="shared" si="191"/>
        <v/>
      </c>
    </row>
    <row r="12233" spans="26:26" x14ac:dyDescent="0.2">
      <c r="Z12233" t="str">
        <f t="shared" si="191"/>
        <v/>
      </c>
    </row>
    <row r="12234" spans="26:26" x14ac:dyDescent="0.2">
      <c r="Z12234" t="str">
        <f t="shared" si="191"/>
        <v/>
      </c>
    </row>
    <row r="12235" spans="26:26" x14ac:dyDescent="0.2">
      <c r="Z12235" t="str">
        <f t="shared" si="191"/>
        <v/>
      </c>
    </row>
    <row r="12236" spans="26:26" x14ac:dyDescent="0.2">
      <c r="Z12236" t="str">
        <f t="shared" si="191"/>
        <v/>
      </c>
    </row>
    <row r="12237" spans="26:26" x14ac:dyDescent="0.2">
      <c r="Z12237" t="str">
        <f t="shared" si="191"/>
        <v/>
      </c>
    </row>
    <row r="12238" spans="26:26" x14ac:dyDescent="0.2">
      <c r="Z12238" t="str">
        <f t="shared" si="191"/>
        <v/>
      </c>
    </row>
    <row r="12239" spans="26:26" x14ac:dyDescent="0.2">
      <c r="Z12239" t="str">
        <f t="shared" si="191"/>
        <v/>
      </c>
    </row>
    <row r="12240" spans="26:26" x14ac:dyDescent="0.2">
      <c r="Z12240" t="str">
        <f t="shared" si="191"/>
        <v/>
      </c>
    </row>
    <row r="12241" spans="26:26" x14ac:dyDescent="0.2">
      <c r="Z12241" t="str">
        <f t="shared" si="191"/>
        <v/>
      </c>
    </row>
    <row r="12242" spans="26:26" x14ac:dyDescent="0.2">
      <c r="Z12242" t="str">
        <f t="shared" si="191"/>
        <v/>
      </c>
    </row>
    <row r="12243" spans="26:26" x14ac:dyDescent="0.2">
      <c r="Z12243" t="str">
        <f t="shared" si="191"/>
        <v/>
      </c>
    </row>
    <row r="12244" spans="26:26" x14ac:dyDescent="0.2">
      <c r="Z12244" t="str">
        <f t="shared" si="191"/>
        <v/>
      </c>
    </row>
    <row r="12245" spans="26:26" x14ac:dyDescent="0.2">
      <c r="Z12245" t="str">
        <f t="shared" si="191"/>
        <v/>
      </c>
    </row>
    <row r="12246" spans="26:26" x14ac:dyDescent="0.2">
      <c r="Z12246" t="str">
        <f t="shared" si="191"/>
        <v/>
      </c>
    </row>
    <row r="12247" spans="26:26" x14ac:dyDescent="0.2">
      <c r="Z12247" t="str">
        <f t="shared" si="191"/>
        <v/>
      </c>
    </row>
    <row r="12248" spans="26:26" x14ac:dyDescent="0.2">
      <c r="Z12248" t="str">
        <f t="shared" si="191"/>
        <v/>
      </c>
    </row>
    <row r="12249" spans="26:26" x14ac:dyDescent="0.2">
      <c r="Z12249" t="str">
        <f t="shared" si="191"/>
        <v/>
      </c>
    </row>
    <row r="12250" spans="26:26" x14ac:dyDescent="0.2">
      <c r="Z12250" t="str">
        <f t="shared" si="191"/>
        <v/>
      </c>
    </row>
    <row r="12251" spans="26:26" x14ac:dyDescent="0.2">
      <c r="Z12251" t="str">
        <f t="shared" si="191"/>
        <v/>
      </c>
    </row>
    <row r="12252" spans="26:26" x14ac:dyDescent="0.2">
      <c r="Z12252" t="str">
        <f t="shared" si="191"/>
        <v/>
      </c>
    </row>
    <row r="12253" spans="26:26" x14ac:dyDescent="0.2">
      <c r="Z12253" t="str">
        <f t="shared" si="191"/>
        <v/>
      </c>
    </row>
    <row r="12254" spans="26:26" x14ac:dyDescent="0.2">
      <c r="Z12254" t="str">
        <f t="shared" si="191"/>
        <v/>
      </c>
    </row>
    <row r="12255" spans="26:26" x14ac:dyDescent="0.2">
      <c r="Z12255" t="str">
        <f t="shared" si="191"/>
        <v/>
      </c>
    </row>
    <row r="12256" spans="26:26" x14ac:dyDescent="0.2">
      <c r="Z12256" t="str">
        <f t="shared" si="191"/>
        <v/>
      </c>
    </row>
    <row r="12257" spans="26:26" x14ac:dyDescent="0.2">
      <c r="Z12257" t="str">
        <f t="shared" si="191"/>
        <v/>
      </c>
    </row>
    <row r="12258" spans="26:26" x14ac:dyDescent="0.2">
      <c r="Z12258" t="str">
        <f t="shared" si="191"/>
        <v/>
      </c>
    </row>
    <row r="12259" spans="26:26" x14ac:dyDescent="0.2">
      <c r="Z12259" t="str">
        <f t="shared" si="191"/>
        <v/>
      </c>
    </row>
    <row r="12260" spans="26:26" x14ac:dyDescent="0.2">
      <c r="Z12260" t="str">
        <f t="shared" si="191"/>
        <v/>
      </c>
    </row>
    <row r="12261" spans="26:26" x14ac:dyDescent="0.2">
      <c r="Z12261" t="str">
        <f t="shared" si="191"/>
        <v/>
      </c>
    </row>
    <row r="12262" spans="26:26" x14ac:dyDescent="0.2">
      <c r="Z12262" t="str">
        <f t="shared" si="191"/>
        <v/>
      </c>
    </row>
    <row r="12263" spans="26:26" x14ac:dyDescent="0.2">
      <c r="Z12263" t="str">
        <f t="shared" si="191"/>
        <v/>
      </c>
    </row>
    <row r="12264" spans="26:26" x14ac:dyDescent="0.2">
      <c r="Z12264" t="str">
        <f t="shared" si="191"/>
        <v/>
      </c>
    </row>
    <row r="12265" spans="26:26" x14ac:dyDescent="0.2">
      <c r="Z12265" t="str">
        <f t="shared" si="191"/>
        <v/>
      </c>
    </row>
    <row r="12266" spans="26:26" x14ac:dyDescent="0.2">
      <c r="Z12266" t="str">
        <f t="shared" si="191"/>
        <v/>
      </c>
    </row>
    <row r="12267" spans="26:26" x14ac:dyDescent="0.2">
      <c r="Z12267" t="str">
        <f t="shared" si="191"/>
        <v/>
      </c>
    </row>
    <row r="12268" spans="26:26" x14ac:dyDescent="0.2">
      <c r="Z12268" t="str">
        <f t="shared" si="191"/>
        <v/>
      </c>
    </row>
    <row r="12269" spans="26:26" x14ac:dyDescent="0.2">
      <c r="Z12269" t="str">
        <f t="shared" si="191"/>
        <v/>
      </c>
    </row>
    <row r="12270" spans="26:26" x14ac:dyDescent="0.2">
      <c r="Z12270" t="str">
        <f t="shared" si="191"/>
        <v/>
      </c>
    </row>
    <row r="12271" spans="26:26" x14ac:dyDescent="0.2">
      <c r="Z12271" t="str">
        <f t="shared" si="191"/>
        <v/>
      </c>
    </row>
    <row r="12272" spans="26:26" x14ac:dyDescent="0.2">
      <c r="Z12272" t="str">
        <f t="shared" si="191"/>
        <v/>
      </c>
    </row>
    <row r="12273" spans="26:26" x14ac:dyDescent="0.2">
      <c r="Z12273" t="str">
        <f t="shared" si="191"/>
        <v/>
      </c>
    </row>
    <row r="12274" spans="26:26" x14ac:dyDescent="0.2">
      <c r="Z12274" t="str">
        <f t="shared" si="191"/>
        <v/>
      </c>
    </row>
    <row r="12275" spans="26:26" x14ac:dyDescent="0.2">
      <c r="Z12275" t="str">
        <f t="shared" si="191"/>
        <v/>
      </c>
    </row>
    <row r="12276" spans="26:26" x14ac:dyDescent="0.2">
      <c r="Z12276" t="str">
        <f t="shared" si="191"/>
        <v/>
      </c>
    </row>
    <row r="12277" spans="26:26" x14ac:dyDescent="0.2">
      <c r="Z12277" t="str">
        <f t="shared" si="191"/>
        <v/>
      </c>
    </row>
    <row r="12278" spans="26:26" x14ac:dyDescent="0.2">
      <c r="Z12278" t="str">
        <f t="shared" si="191"/>
        <v/>
      </c>
    </row>
    <row r="12279" spans="26:26" x14ac:dyDescent="0.2">
      <c r="Z12279" t="str">
        <f t="shared" si="191"/>
        <v/>
      </c>
    </row>
    <row r="12280" spans="26:26" x14ac:dyDescent="0.2">
      <c r="Z12280" t="str">
        <f t="shared" si="191"/>
        <v/>
      </c>
    </row>
    <row r="12281" spans="26:26" x14ac:dyDescent="0.2">
      <c r="Z12281" t="str">
        <f t="shared" si="191"/>
        <v/>
      </c>
    </row>
    <row r="12282" spans="26:26" x14ac:dyDescent="0.2">
      <c r="Z12282" t="str">
        <f t="shared" si="191"/>
        <v/>
      </c>
    </row>
    <row r="12283" spans="26:26" x14ac:dyDescent="0.2">
      <c r="Z12283" t="str">
        <f t="shared" si="191"/>
        <v/>
      </c>
    </row>
    <row r="12284" spans="26:26" x14ac:dyDescent="0.2">
      <c r="Z12284" t="str">
        <f t="shared" si="191"/>
        <v/>
      </c>
    </row>
    <row r="12285" spans="26:26" x14ac:dyDescent="0.2">
      <c r="Z12285" t="str">
        <f t="shared" si="191"/>
        <v/>
      </c>
    </row>
    <row r="12286" spans="26:26" x14ac:dyDescent="0.2">
      <c r="Z12286" t="str">
        <f t="shared" si="191"/>
        <v/>
      </c>
    </row>
    <row r="12287" spans="26:26" x14ac:dyDescent="0.2">
      <c r="Z12287" t="str">
        <f t="shared" si="191"/>
        <v/>
      </c>
    </row>
    <row r="12288" spans="26:26" x14ac:dyDescent="0.2">
      <c r="Z12288" t="str">
        <f t="shared" si="191"/>
        <v/>
      </c>
    </row>
    <row r="12289" spans="26:26" x14ac:dyDescent="0.2">
      <c r="Z12289" t="str">
        <f t="shared" si="191"/>
        <v/>
      </c>
    </row>
    <row r="12290" spans="26:26" x14ac:dyDescent="0.2">
      <c r="Z12290" t="str">
        <f t="shared" si="191"/>
        <v/>
      </c>
    </row>
    <row r="12291" spans="26:26" x14ac:dyDescent="0.2">
      <c r="Z12291" t="str">
        <f t="shared" ref="Z12291:Z12354" si="192">IF(K12291="","",IFERROR(VALUE(TRIM(MID(K12291,FIND(CHAR(167),SUBSTITUTE(K12291,"-",CHAR(167),LEN(K12291)-LEN(SUBSTITUTE(K12291,"-",""))))+1,100))),K12291))</f>
        <v/>
      </c>
    </row>
    <row r="12292" spans="26:26" x14ac:dyDescent="0.2">
      <c r="Z12292" t="str">
        <f t="shared" si="192"/>
        <v/>
      </c>
    </row>
    <row r="12293" spans="26:26" x14ac:dyDescent="0.2">
      <c r="Z12293" t="str">
        <f t="shared" si="192"/>
        <v/>
      </c>
    </row>
    <row r="12294" spans="26:26" x14ac:dyDescent="0.2">
      <c r="Z12294" t="str">
        <f t="shared" si="192"/>
        <v/>
      </c>
    </row>
    <row r="12295" spans="26:26" x14ac:dyDescent="0.2">
      <c r="Z12295" t="str">
        <f t="shared" si="192"/>
        <v/>
      </c>
    </row>
    <row r="12296" spans="26:26" x14ac:dyDescent="0.2">
      <c r="Z12296" t="str">
        <f t="shared" si="192"/>
        <v/>
      </c>
    </row>
    <row r="12297" spans="26:26" x14ac:dyDescent="0.2">
      <c r="Z12297" t="str">
        <f t="shared" si="192"/>
        <v/>
      </c>
    </row>
    <row r="12298" spans="26:26" x14ac:dyDescent="0.2">
      <c r="Z12298" t="str">
        <f t="shared" si="192"/>
        <v/>
      </c>
    </row>
    <row r="12299" spans="26:26" x14ac:dyDescent="0.2">
      <c r="Z12299" t="str">
        <f t="shared" si="192"/>
        <v/>
      </c>
    </row>
    <row r="12300" spans="26:26" x14ac:dyDescent="0.2">
      <c r="Z12300" t="str">
        <f t="shared" si="192"/>
        <v/>
      </c>
    </row>
    <row r="12301" spans="26:26" x14ac:dyDescent="0.2">
      <c r="Z12301" t="str">
        <f t="shared" si="192"/>
        <v/>
      </c>
    </row>
    <row r="12302" spans="26:26" x14ac:dyDescent="0.2">
      <c r="Z12302" t="str">
        <f t="shared" si="192"/>
        <v/>
      </c>
    </row>
    <row r="12303" spans="26:26" x14ac:dyDescent="0.2">
      <c r="Z12303" t="str">
        <f t="shared" si="192"/>
        <v/>
      </c>
    </row>
    <row r="12304" spans="26:26" x14ac:dyDescent="0.2">
      <c r="Z12304" t="str">
        <f t="shared" si="192"/>
        <v/>
      </c>
    </row>
    <row r="12305" spans="26:26" x14ac:dyDescent="0.2">
      <c r="Z12305" t="str">
        <f t="shared" si="192"/>
        <v/>
      </c>
    </row>
    <row r="12306" spans="26:26" x14ac:dyDescent="0.2">
      <c r="Z12306" t="str">
        <f t="shared" si="192"/>
        <v/>
      </c>
    </row>
    <row r="12307" spans="26:26" x14ac:dyDescent="0.2">
      <c r="Z12307" t="str">
        <f t="shared" si="192"/>
        <v/>
      </c>
    </row>
    <row r="12308" spans="26:26" x14ac:dyDescent="0.2">
      <c r="Z12308" t="str">
        <f t="shared" si="192"/>
        <v/>
      </c>
    </row>
    <row r="12309" spans="26:26" x14ac:dyDescent="0.2">
      <c r="Z12309" t="str">
        <f t="shared" si="192"/>
        <v/>
      </c>
    </row>
    <row r="12310" spans="26:26" x14ac:dyDescent="0.2">
      <c r="Z12310" t="str">
        <f t="shared" si="192"/>
        <v/>
      </c>
    </row>
    <row r="12311" spans="26:26" x14ac:dyDescent="0.2">
      <c r="Z12311" t="str">
        <f t="shared" si="192"/>
        <v/>
      </c>
    </row>
    <row r="12312" spans="26:26" x14ac:dyDescent="0.2">
      <c r="Z12312" t="str">
        <f t="shared" si="192"/>
        <v/>
      </c>
    </row>
    <row r="12313" spans="26:26" x14ac:dyDescent="0.2">
      <c r="Z12313" t="str">
        <f t="shared" si="192"/>
        <v/>
      </c>
    </row>
    <row r="12314" spans="26:26" x14ac:dyDescent="0.2">
      <c r="Z12314" t="str">
        <f t="shared" si="192"/>
        <v/>
      </c>
    </row>
    <row r="12315" spans="26:26" x14ac:dyDescent="0.2">
      <c r="Z12315" t="str">
        <f t="shared" si="192"/>
        <v/>
      </c>
    </row>
    <row r="12316" spans="26:26" x14ac:dyDescent="0.2">
      <c r="Z12316" t="str">
        <f t="shared" si="192"/>
        <v/>
      </c>
    </row>
    <row r="12317" spans="26:26" x14ac:dyDescent="0.2">
      <c r="Z12317" t="str">
        <f t="shared" si="192"/>
        <v/>
      </c>
    </row>
    <row r="12318" spans="26:26" x14ac:dyDescent="0.2">
      <c r="Z12318" t="str">
        <f t="shared" si="192"/>
        <v/>
      </c>
    </row>
    <row r="12319" spans="26:26" x14ac:dyDescent="0.2">
      <c r="Z12319" t="str">
        <f t="shared" si="192"/>
        <v/>
      </c>
    </row>
    <row r="12320" spans="26:26" x14ac:dyDescent="0.2">
      <c r="Z12320" t="str">
        <f t="shared" si="192"/>
        <v/>
      </c>
    </row>
    <row r="12321" spans="26:26" x14ac:dyDescent="0.2">
      <c r="Z12321" t="str">
        <f t="shared" si="192"/>
        <v/>
      </c>
    </row>
    <row r="12322" spans="26:26" x14ac:dyDescent="0.2">
      <c r="Z12322" t="str">
        <f t="shared" si="192"/>
        <v/>
      </c>
    </row>
    <row r="12323" spans="26:26" x14ac:dyDescent="0.2">
      <c r="Z12323" t="str">
        <f t="shared" si="192"/>
        <v/>
      </c>
    </row>
    <row r="12324" spans="26:26" x14ac:dyDescent="0.2">
      <c r="Z12324" t="str">
        <f t="shared" si="192"/>
        <v/>
      </c>
    </row>
    <row r="12325" spans="26:26" x14ac:dyDescent="0.2">
      <c r="Z12325" t="str">
        <f t="shared" si="192"/>
        <v/>
      </c>
    </row>
    <row r="12326" spans="26:26" x14ac:dyDescent="0.2">
      <c r="Z12326" t="str">
        <f t="shared" si="192"/>
        <v/>
      </c>
    </row>
    <row r="12327" spans="26:26" x14ac:dyDescent="0.2">
      <c r="Z12327" t="str">
        <f t="shared" si="192"/>
        <v/>
      </c>
    </row>
    <row r="12328" spans="26:26" x14ac:dyDescent="0.2">
      <c r="Z12328" t="str">
        <f t="shared" si="192"/>
        <v/>
      </c>
    </row>
    <row r="12329" spans="26:26" x14ac:dyDescent="0.2">
      <c r="Z12329" t="str">
        <f t="shared" si="192"/>
        <v/>
      </c>
    </row>
    <row r="12330" spans="26:26" x14ac:dyDescent="0.2">
      <c r="Z12330" t="str">
        <f t="shared" si="192"/>
        <v/>
      </c>
    </row>
    <row r="12331" spans="26:26" x14ac:dyDescent="0.2">
      <c r="Z12331" t="str">
        <f t="shared" si="192"/>
        <v/>
      </c>
    </row>
    <row r="12332" spans="26:26" x14ac:dyDescent="0.2">
      <c r="Z12332" t="str">
        <f t="shared" si="192"/>
        <v/>
      </c>
    </row>
    <row r="12333" spans="26:26" x14ac:dyDescent="0.2">
      <c r="Z12333" t="str">
        <f t="shared" si="192"/>
        <v/>
      </c>
    </row>
    <row r="12334" spans="26:26" x14ac:dyDescent="0.2">
      <c r="Z12334" t="str">
        <f t="shared" si="192"/>
        <v/>
      </c>
    </row>
    <row r="12335" spans="26:26" x14ac:dyDescent="0.2">
      <c r="Z12335" t="str">
        <f t="shared" si="192"/>
        <v/>
      </c>
    </row>
    <row r="12336" spans="26:26" x14ac:dyDescent="0.2">
      <c r="Z12336" t="str">
        <f t="shared" si="192"/>
        <v/>
      </c>
    </row>
    <row r="12337" spans="26:26" x14ac:dyDescent="0.2">
      <c r="Z12337" t="str">
        <f t="shared" si="192"/>
        <v/>
      </c>
    </row>
    <row r="12338" spans="26:26" x14ac:dyDescent="0.2">
      <c r="Z12338" t="str">
        <f t="shared" si="192"/>
        <v/>
      </c>
    </row>
    <row r="12339" spans="26:26" x14ac:dyDescent="0.2">
      <c r="Z12339" t="str">
        <f t="shared" si="192"/>
        <v/>
      </c>
    </row>
    <row r="12340" spans="26:26" x14ac:dyDescent="0.2">
      <c r="Z12340" t="str">
        <f t="shared" si="192"/>
        <v/>
      </c>
    </row>
    <row r="12341" spans="26:26" x14ac:dyDescent="0.2">
      <c r="Z12341" t="str">
        <f t="shared" si="192"/>
        <v/>
      </c>
    </row>
    <row r="12342" spans="26:26" x14ac:dyDescent="0.2">
      <c r="Z12342" t="str">
        <f t="shared" si="192"/>
        <v/>
      </c>
    </row>
    <row r="12343" spans="26:26" x14ac:dyDescent="0.2">
      <c r="Z12343" t="str">
        <f t="shared" si="192"/>
        <v/>
      </c>
    </row>
    <row r="12344" spans="26:26" x14ac:dyDescent="0.2">
      <c r="Z12344" t="str">
        <f t="shared" si="192"/>
        <v/>
      </c>
    </row>
    <row r="12345" spans="26:26" x14ac:dyDescent="0.2">
      <c r="Z12345" t="str">
        <f t="shared" si="192"/>
        <v/>
      </c>
    </row>
    <row r="12346" spans="26:26" x14ac:dyDescent="0.2">
      <c r="Z12346" t="str">
        <f t="shared" si="192"/>
        <v/>
      </c>
    </row>
    <row r="12347" spans="26:26" x14ac:dyDescent="0.2">
      <c r="Z12347" t="str">
        <f t="shared" si="192"/>
        <v/>
      </c>
    </row>
    <row r="12348" spans="26:26" x14ac:dyDescent="0.2">
      <c r="Z12348" t="str">
        <f t="shared" si="192"/>
        <v/>
      </c>
    </row>
    <row r="12349" spans="26:26" x14ac:dyDescent="0.2">
      <c r="Z12349" t="str">
        <f t="shared" si="192"/>
        <v/>
      </c>
    </row>
    <row r="12350" spans="26:26" x14ac:dyDescent="0.2">
      <c r="Z12350" t="str">
        <f t="shared" si="192"/>
        <v/>
      </c>
    </row>
    <row r="12351" spans="26:26" x14ac:dyDescent="0.2">
      <c r="Z12351" t="str">
        <f t="shared" si="192"/>
        <v/>
      </c>
    </row>
    <row r="12352" spans="26:26" x14ac:dyDescent="0.2">
      <c r="Z12352" t="str">
        <f t="shared" si="192"/>
        <v/>
      </c>
    </row>
    <row r="12353" spans="26:26" x14ac:dyDescent="0.2">
      <c r="Z12353" t="str">
        <f t="shared" si="192"/>
        <v/>
      </c>
    </row>
    <row r="12354" spans="26:26" x14ac:dyDescent="0.2">
      <c r="Z12354" t="str">
        <f t="shared" si="192"/>
        <v/>
      </c>
    </row>
    <row r="12355" spans="26:26" x14ac:dyDescent="0.2">
      <c r="Z12355" t="str">
        <f t="shared" ref="Z12355:Z12418" si="193">IF(K12355="","",IFERROR(VALUE(TRIM(MID(K12355,FIND(CHAR(167),SUBSTITUTE(K12355,"-",CHAR(167),LEN(K12355)-LEN(SUBSTITUTE(K12355,"-",""))))+1,100))),K12355))</f>
        <v/>
      </c>
    </row>
    <row r="12356" spans="26:26" x14ac:dyDescent="0.2">
      <c r="Z12356" t="str">
        <f t="shared" si="193"/>
        <v/>
      </c>
    </row>
    <row r="12357" spans="26:26" x14ac:dyDescent="0.2">
      <c r="Z12357" t="str">
        <f t="shared" si="193"/>
        <v/>
      </c>
    </row>
    <row r="12358" spans="26:26" x14ac:dyDescent="0.2">
      <c r="Z12358" t="str">
        <f t="shared" si="193"/>
        <v/>
      </c>
    </row>
    <row r="12359" spans="26:26" x14ac:dyDescent="0.2">
      <c r="Z12359" t="str">
        <f t="shared" si="193"/>
        <v/>
      </c>
    </row>
    <row r="12360" spans="26:26" x14ac:dyDescent="0.2">
      <c r="Z12360" t="str">
        <f t="shared" si="193"/>
        <v/>
      </c>
    </row>
    <row r="12361" spans="26:26" x14ac:dyDescent="0.2">
      <c r="Z12361" t="str">
        <f t="shared" si="193"/>
        <v/>
      </c>
    </row>
    <row r="12362" spans="26:26" x14ac:dyDescent="0.2">
      <c r="Z12362" t="str">
        <f t="shared" si="193"/>
        <v/>
      </c>
    </row>
    <row r="12363" spans="26:26" x14ac:dyDescent="0.2">
      <c r="Z12363" t="str">
        <f t="shared" si="193"/>
        <v/>
      </c>
    </row>
    <row r="12364" spans="26:26" x14ac:dyDescent="0.2">
      <c r="Z12364" t="str">
        <f t="shared" si="193"/>
        <v/>
      </c>
    </row>
    <row r="12365" spans="26:26" x14ac:dyDescent="0.2">
      <c r="Z12365" t="str">
        <f t="shared" si="193"/>
        <v/>
      </c>
    </row>
    <row r="12366" spans="26:26" x14ac:dyDescent="0.2">
      <c r="Z12366" t="str">
        <f t="shared" si="193"/>
        <v/>
      </c>
    </row>
    <row r="12367" spans="26:26" x14ac:dyDescent="0.2">
      <c r="Z12367" t="str">
        <f t="shared" si="193"/>
        <v/>
      </c>
    </row>
    <row r="12368" spans="26:26" x14ac:dyDescent="0.2">
      <c r="Z12368" t="str">
        <f t="shared" si="193"/>
        <v/>
      </c>
    </row>
    <row r="12369" spans="26:26" x14ac:dyDescent="0.2">
      <c r="Z12369" t="str">
        <f t="shared" si="193"/>
        <v/>
      </c>
    </row>
    <row r="12370" spans="26:26" x14ac:dyDescent="0.2">
      <c r="Z12370" t="str">
        <f t="shared" si="193"/>
        <v/>
      </c>
    </row>
    <row r="12371" spans="26:26" x14ac:dyDescent="0.2">
      <c r="Z12371" t="str">
        <f t="shared" si="193"/>
        <v/>
      </c>
    </row>
    <row r="12372" spans="26:26" x14ac:dyDescent="0.2">
      <c r="Z12372" t="str">
        <f t="shared" si="193"/>
        <v/>
      </c>
    </row>
    <row r="12373" spans="26:26" x14ac:dyDescent="0.2">
      <c r="Z12373" t="str">
        <f t="shared" si="193"/>
        <v/>
      </c>
    </row>
    <row r="12374" spans="26:26" x14ac:dyDescent="0.2">
      <c r="Z12374" t="str">
        <f t="shared" si="193"/>
        <v/>
      </c>
    </row>
    <row r="12375" spans="26:26" x14ac:dyDescent="0.2">
      <c r="Z12375" t="str">
        <f t="shared" si="193"/>
        <v/>
      </c>
    </row>
    <row r="12376" spans="26:26" x14ac:dyDescent="0.2">
      <c r="Z12376" t="str">
        <f t="shared" si="193"/>
        <v/>
      </c>
    </row>
    <row r="12377" spans="26:26" x14ac:dyDescent="0.2">
      <c r="Z12377" t="str">
        <f t="shared" si="193"/>
        <v/>
      </c>
    </row>
    <row r="12378" spans="26:26" x14ac:dyDescent="0.2">
      <c r="Z12378" t="str">
        <f t="shared" si="193"/>
        <v/>
      </c>
    </row>
    <row r="12379" spans="26:26" x14ac:dyDescent="0.2">
      <c r="Z12379" t="str">
        <f t="shared" si="193"/>
        <v/>
      </c>
    </row>
    <row r="12380" spans="26:26" x14ac:dyDescent="0.2">
      <c r="Z12380" t="str">
        <f t="shared" si="193"/>
        <v/>
      </c>
    </row>
    <row r="12381" spans="26:26" x14ac:dyDescent="0.2">
      <c r="Z12381" t="str">
        <f t="shared" si="193"/>
        <v/>
      </c>
    </row>
    <row r="12382" spans="26:26" x14ac:dyDescent="0.2">
      <c r="Z12382" t="str">
        <f t="shared" si="193"/>
        <v/>
      </c>
    </row>
    <row r="12383" spans="26:26" x14ac:dyDescent="0.2">
      <c r="Z12383" t="str">
        <f t="shared" si="193"/>
        <v/>
      </c>
    </row>
    <row r="12384" spans="26:26" x14ac:dyDescent="0.2">
      <c r="Z12384" t="str">
        <f t="shared" si="193"/>
        <v/>
      </c>
    </row>
    <row r="12385" spans="26:26" x14ac:dyDescent="0.2">
      <c r="Z12385" t="str">
        <f t="shared" si="193"/>
        <v/>
      </c>
    </row>
    <row r="12386" spans="26:26" x14ac:dyDescent="0.2">
      <c r="Z12386" t="str">
        <f t="shared" si="193"/>
        <v/>
      </c>
    </row>
    <row r="12387" spans="26:26" x14ac:dyDescent="0.2">
      <c r="Z12387" t="str">
        <f t="shared" si="193"/>
        <v/>
      </c>
    </row>
    <row r="12388" spans="26:26" x14ac:dyDescent="0.2">
      <c r="Z12388" t="str">
        <f t="shared" si="193"/>
        <v/>
      </c>
    </row>
    <row r="12389" spans="26:26" x14ac:dyDescent="0.2">
      <c r="Z12389" t="str">
        <f t="shared" si="193"/>
        <v/>
      </c>
    </row>
    <row r="12390" spans="26:26" x14ac:dyDescent="0.2">
      <c r="Z12390" t="str">
        <f t="shared" si="193"/>
        <v/>
      </c>
    </row>
    <row r="12391" spans="26:26" x14ac:dyDescent="0.2">
      <c r="Z12391" t="str">
        <f t="shared" si="193"/>
        <v/>
      </c>
    </row>
    <row r="12392" spans="26:26" x14ac:dyDescent="0.2">
      <c r="Z12392" t="str">
        <f t="shared" si="193"/>
        <v/>
      </c>
    </row>
    <row r="12393" spans="26:26" x14ac:dyDescent="0.2">
      <c r="Z12393" t="str">
        <f t="shared" si="193"/>
        <v/>
      </c>
    </row>
    <row r="12394" spans="26:26" x14ac:dyDescent="0.2">
      <c r="Z12394" t="str">
        <f t="shared" si="193"/>
        <v/>
      </c>
    </row>
    <row r="12395" spans="26:26" x14ac:dyDescent="0.2">
      <c r="Z12395" t="str">
        <f t="shared" si="193"/>
        <v/>
      </c>
    </row>
    <row r="12396" spans="26:26" x14ac:dyDescent="0.2">
      <c r="Z12396" t="str">
        <f t="shared" si="193"/>
        <v/>
      </c>
    </row>
    <row r="12397" spans="26:26" x14ac:dyDescent="0.2">
      <c r="Z12397" t="str">
        <f t="shared" si="193"/>
        <v/>
      </c>
    </row>
    <row r="12398" spans="26:26" x14ac:dyDescent="0.2">
      <c r="Z12398" t="str">
        <f t="shared" si="193"/>
        <v/>
      </c>
    </row>
    <row r="12399" spans="26:26" x14ac:dyDescent="0.2">
      <c r="Z12399" t="str">
        <f t="shared" si="193"/>
        <v/>
      </c>
    </row>
    <row r="12400" spans="26:26" x14ac:dyDescent="0.2">
      <c r="Z12400" t="str">
        <f t="shared" si="193"/>
        <v/>
      </c>
    </row>
    <row r="12401" spans="26:26" x14ac:dyDescent="0.2">
      <c r="Z12401" t="str">
        <f t="shared" si="193"/>
        <v/>
      </c>
    </row>
    <row r="12402" spans="26:26" x14ac:dyDescent="0.2">
      <c r="Z12402" t="str">
        <f t="shared" si="193"/>
        <v/>
      </c>
    </row>
    <row r="12403" spans="26:26" x14ac:dyDescent="0.2">
      <c r="Z12403" t="str">
        <f t="shared" si="193"/>
        <v/>
      </c>
    </row>
    <row r="12404" spans="26:26" x14ac:dyDescent="0.2">
      <c r="Z12404" t="str">
        <f t="shared" si="193"/>
        <v/>
      </c>
    </row>
    <row r="12405" spans="26:26" x14ac:dyDescent="0.2">
      <c r="Z12405" t="str">
        <f t="shared" si="193"/>
        <v/>
      </c>
    </row>
    <row r="12406" spans="26:26" x14ac:dyDescent="0.2">
      <c r="Z12406" t="str">
        <f t="shared" si="193"/>
        <v/>
      </c>
    </row>
    <row r="12407" spans="26:26" x14ac:dyDescent="0.2">
      <c r="Z12407" t="str">
        <f t="shared" si="193"/>
        <v/>
      </c>
    </row>
    <row r="12408" spans="26:26" x14ac:dyDescent="0.2">
      <c r="Z12408" t="str">
        <f t="shared" si="193"/>
        <v/>
      </c>
    </row>
    <row r="12409" spans="26:26" x14ac:dyDescent="0.2">
      <c r="Z12409" t="str">
        <f t="shared" si="193"/>
        <v/>
      </c>
    </row>
    <row r="12410" spans="26:26" x14ac:dyDescent="0.2">
      <c r="Z12410" t="str">
        <f t="shared" si="193"/>
        <v/>
      </c>
    </row>
    <row r="12411" spans="26:26" x14ac:dyDescent="0.2">
      <c r="Z12411" t="str">
        <f t="shared" si="193"/>
        <v/>
      </c>
    </row>
    <row r="12412" spans="26:26" x14ac:dyDescent="0.2">
      <c r="Z12412" t="str">
        <f t="shared" si="193"/>
        <v/>
      </c>
    </row>
    <row r="12413" spans="26:26" x14ac:dyDescent="0.2">
      <c r="Z12413" t="str">
        <f t="shared" si="193"/>
        <v/>
      </c>
    </row>
    <row r="12414" spans="26:26" x14ac:dyDescent="0.2">
      <c r="Z12414" t="str">
        <f t="shared" si="193"/>
        <v/>
      </c>
    </row>
    <row r="12415" spans="26:26" x14ac:dyDescent="0.2">
      <c r="Z12415" t="str">
        <f t="shared" si="193"/>
        <v/>
      </c>
    </row>
    <row r="12416" spans="26:26" x14ac:dyDescent="0.2">
      <c r="Z12416" t="str">
        <f t="shared" si="193"/>
        <v/>
      </c>
    </row>
    <row r="12417" spans="26:26" x14ac:dyDescent="0.2">
      <c r="Z12417" t="str">
        <f t="shared" si="193"/>
        <v/>
      </c>
    </row>
    <row r="12418" spans="26:26" x14ac:dyDescent="0.2">
      <c r="Z12418" t="str">
        <f t="shared" si="193"/>
        <v/>
      </c>
    </row>
    <row r="12419" spans="26:26" x14ac:dyDescent="0.2">
      <c r="Z12419" t="str">
        <f t="shared" ref="Z12419:Z12482" si="194">IF(K12419="","",IFERROR(VALUE(TRIM(MID(K12419,FIND(CHAR(167),SUBSTITUTE(K12419,"-",CHAR(167),LEN(K12419)-LEN(SUBSTITUTE(K12419,"-",""))))+1,100))),K12419))</f>
        <v/>
      </c>
    </row>
    <row r="12420" spans="26:26" x14ac:dyDescent="0.2">
      <c r="Z12420" t="str">
        <f t="shared" si="194"/>
        <v/>
      </c>
    </row>
    <row r="12421" spans="26:26" x14ac:dyDescent="0.2">
      <c r="Z12421" t="str">
        <f t="shared" si="194"/>
        <v/>
      </c>
    </row>
    <row r="12422" spans="26:26" x14ac:dyDescent="0.2">
      <c r="Z12422" t="str">
        <f t="shared" si="194"/>
        <v/>
      </c>
    </row>
    <row r="12423" spans="26:26" x14ac:dyDescent="0.2">
      <c r="Z12423" t="str">
        <f t="shared" si="194"/>
        <v/>
      </c>
    </row>
    <row r="12424" spans="26:26" x14ac:dyDescent="0.2">
      <c r="Z12424" t="str">
        <f t="shared" si="194"/>
        <v/>
      </c>
    </row>
    <row r="12425" spans="26:26" x14ac:dyDescent="0.2">
      <c r="Z12425" t="str">
        <f t="shared" si="194"/>
        <v/>
      </c>
    </row>
    <row r="12426" spans="26:26" x14ac:dyDescent="0.2">
      <c r="Z12426" t="str">
        <f t="shared" si="194"/>
        <v/>
      </c>
    </row>
    <row r="12427" spans="26:26" x14ac:dyDescent="0.2">
      <c r="Z12427" t="str">
        <f t="shared" si="194"/>
        <v/>
      </c>
    </row>
    <row r="12428" spans="26:26" x14ac:dyDescent="0.2">
      <c r="Z12428" t="str">
        <f t="shared" si="194"/>
        <v/>
      </c>
    </row>
    <row r="12429" spans="26:26" x14ac:dyDescent="0.2">
      <c r="Z12429" t="str">
        <f t="shared" si="194"/>
        <v/>
      </c>
    </row>
    <row r="12430" spans="26:26" x14ac:dyDescent="0.2">
      <c r="Z12430" t="str">
        <f t="shared" si="194"/>
        <v/>
      </c>
    </row>
    <row r="12431" spans="26:26" x14ac:dyDescent="0.2">
      <c r="Z12431" t="str">
        <f t="shared" si="194"/>
        <v/>
      </c>
    </row>
    <row r="12432" spans="26:26" x14ac:dyDescent="0.2">
      <c r="Z12432" t="str">
        <f t="shared" si="194"/>
        <v/>
      </c>
    </row>
    <row r="12433" spans="26:26" x14ac:dyDescent="0.2">
      <c r="Z12433" t="str">
        <f t="shared" si="194"/>
        <v/>
      </c>
    </row>
    <row r="12434" spans="26:26" x14ac:dyDescent="0.2">
      <c r="Z12434" t="str">
        <f t="shared" si="194"/>
        <v/>
      </c>
    </row>
    <row r="12435" spans="26:26" x14ac:dyDescent="0.2">
      <c r="Z12435" t="str">
        <f t="shared" si="194"/>
        <v/>
      </c>
    </row>
    <row r="12436" spans="26:26" x14ac:dyDescent="0.2">
      <c r="Z12436" t="str">
        <f t="shared" si="194"/>
        <v/>
      </c>
    </row>
    <row r="12437" spans="26:26" x14ac:dyDescent="0.2">
      <c r="Z12437" t="str">
        <f t="shared" si="194"/>
        <v/>
      </c>
    </row>
    <row r="12438" spans="26:26" x14ac:dyDescent="0.2">
      <c r="Z12438" t="str">
        <f t="shared" si="194"/>
        <v/>
      </c>
    </row>
    <row r="12439" spans="26:26" x14ac:dyDescent="0.2">
      <c r="Z12439" t="str">
        <f t="shared" si="194"/>
        <v/>
      </c>
    </row>
    <row r="12440" spans="26:26" x14ac:dyDescent="0.2">
      <c r="Z12440" t="str">
        <f t="shared" si="194"/>
        <v/>
      </c>
    </row>
    <row r="12441" spans="26:26" x14ac:dyDescent="0.2">
      <c r="Z12441" t="str">
        <f t="shared" si="194"/>
        <v/>
      </c>
    </row>
    <row r="12442" spans="26:26" x14ac:dyDescent="0.2">
      <c r="Z12442" t="str">
        <f t="shared" si="194"/>
        <v/>
      </c>
    </row>
    <row r="12443" spans="26:26" x14ac:dyDescent="0.2">
      <c r="Z12443" t="str">
        <f t="shared" si="194"/>
        <v/>
      </c>
    </row>
    <row r="12444" spans="26:26" x14ac:dyDescent="0.2">
      <c r="Z12444" t="str">
        <f t="shared" si="194"/>
        <v/>
      </c>
    </row>
    <row r="12445" spans="26:26" x14ac:dyDescent="0.2">
      <c r="Z12445" t="str">
        <f t="shared" si="194"/>
        <v/>
      </c>
    </row>
    <row r="12446" spans="26:26" x14ac:dyDescent="0.2">
      <c r="Z12446" t="str">
        <f t="shared" si="194"/>
        <v/>
      </c>
    </row>
    <row r="12447" spans="26:26" x14ac:dyDescent="0.2">
      <c r="Z12447" t="str">
        <f t="shared" si="194"/>
        <v/>
      </c>
    </row>
    <row r="12448" spans="26:26" x14ac:dyDescent="0.2">
      <c r="Z12448" t="str">
        <f t="shared" si="194"/>
        <v/>
      </c>
    </row>
    <row r="12449" spans="26:26" x14ac:dyDescent="0.2">
      <c r="Z12449" t="str">
        <f t="shared" si="194"/>
        <v/>
      </c>
    </row>
    <row r="12450" spans="26:26" x14ac:dyDescent="0.2">
      <c r="Z12450" t="str">
        <f t="shared" si="194"/>
        <v/>
      </c>
    </row>
    <row r="12451" spans="26:26" x14ac:dyDescent="0.2">
      <c r="Z12451" t="str">
        <f t="shared" si="194"/>
        <v/>
      </c>
    </row>
    <row r="12452" spans="26:26" x14ac:dyDescent="0.2">
      <c r="Z12452" t="str">
        <f t="shared" si="194"/>
        <v/>
      </c>
    </row>
    <row r="12453" spans="26:26" x14ac:dyDescent="0.2">
      <c r="Z12453" t="str">
        <f t="shared" si="194"/>
        <v/>
      </c>
    </row>
    <row r="12454" spans="26:26" x14ac:dyDescent="0.2">
      <c r="Z12454" t="str">
        <f t="shared" si="194"/>
        <v/>
      </c>
    </row>
    <row r="12455" spans="26:26" x14ac:dyDescent="0.2">
      <c r="Z12455" t="str">
        <f t="shared" si="194"/>
        <v/>
      </c>
    </row>
    <row r="12456" spans="26:26" x14ac:dyDescent="0.2">
      <c r="Z12456" t="str">
        <f t="shared" si="194"/>
        <v/>
      </c>
    </row>
    <row r="12457" spans="26:26" x14ac:dyDescent="0.2">
      <c r="Z12457" t="str">
        <f t="shared" si="194"/>
        <v/>
      </c>
    </row>
    <row r="12458" spans="26:26" x14ac:dyDescent="0.2">
      <c r="Z12458" t="str">
        <f t="shared" si="194"/>
        <v/>
      </c>
    </row>
    <row r="12459" spans="26:26" x14ac:dyDescent="0.2">
      <c r="Z12459" t="str">
        <f t="shared" si="194"/>
        <v/>
      </c>
    </row>
    <row r="12460" spans="26:26" x14ac:dyDescent="0.2">
      <c r="Z12460" t="str">
        <f t="shared" si="194"/>
        <v/>
      </c>
    </row>
    <row r="12461" spans="26:26" x14ac:dyDescent="0.2">
      <c r="Z12461" t="str">
        <f t="shared" si="194"/>
        <v/>
      </c>
    </row>
    <row r="12462" spans="26:26" x14ac:dyDescent="0.2">
      <c r="Z12462" t="str">
        <f t="shared" si="194"/>
        <v/>
      </c>
    </row>
    <row r="12463" spans="26:26" x14ac:dyDescent="0.2">
      <c r="Z12463" t="str">
        <f t="shared" si="194"/>
        <v/>
      </c>
    </row>
    <row r="12464" spans="26:26" x14ac:dyDescent="0.2">
      <c r="Z12464" t="str">
        <f t="shared" si="194"/>
        <v/>
      </c>
    </row>
    <row r="12465" spans="26:26" x14ac:dyDescent="0.2">
      <c r="Z12465" t="str">
        <f t="shared" si="194"/>
        <v/>
      </c>
    </row>
    <row r="12466" spans="26:26" x14ac:dyDescent="0.2">
      <c r="Z12466" t="str">
        <f t="shared" si="194"/>
        <v/>
      </c>
    </row>
    <row r="12467" spans="26:26" x14ac:dyDescent="0.2">
      <c r="Z12467" t="str">
        <f t="shared" si="194"/>
        <v/>
      </c>
    </row>
    <row r="12468" spans="26:26" x14ac:dyDescent="0.2">
      <c r="Z12468" t="str">
        <f t="shared" si="194"/>
        <v/>
      </c>
    </row>
    <row r="12469" spans="26:26" x14ac:dyDescent="0.2">
      <c r="Z12469" t="str">
        <f t="shared" si="194"/>
        <v/>
      </c>
    </row>
    <row r="12470" spans="26:26" x14ac:dyDescent="0.2">
      <c r="Z12470" t="str">
        <f t="shared" si="194"/>
        <v/>
      </c>
    </row>
    <row r="12471" spans="26:26" x14ac:dyDescent="0.2">
      <c r="Z12471" t="str">
        <f t="shared" si="194"/>
        <v/>
      </c>
    </row>
    <row r="12472" spans="26:26" x14ac:dyDescent="0.2">
      <c r="Z12472" t="str">
        <f t="shared" si="194"/>
        <v/>
      </c>
    </row>
    <row r="12473" spans="26:26" x14ac:dyDescent="0.2">
      <c r="Z12473" t="str">
        <f t="shared" si="194"/>
        <v/>
      </c>
    </row>
    <row r="12474" spans="26:26" x14ac:dyDescent="0.2">
      <c r="Z12474" t="str">
        <f t="shared" si="194"/>
        <v/>
      </c>
    </row>
    <row r="12475" spans="26:26" x14ac:dyDescent="0.2">
      <c r="Z12475" t="str">
        <f t="shared" si="194"/>
        <v/>
      </c>
    </row>
    <row r="12476" spans="26:26" x14ac:dyDescent="0.2">
      <c r="Z12476" t="str">
        <f t="shared" si="194"/>
        <v/>
      </c>
    </row>
    <row r="12477" spans="26:26" x14ac:dyDescent="0.2">
      <c r="Z12477" t="str">
        <f t="shared" si="194"/>
        <v/>
      </c>
    </row>
    <row r="12478" spans="26:26" x14ac:dyDescent="0.2">
      <c r="Z12478" t="str">
        <f t="shared" si="194"/>
        <v/>
      </c>
    </row>
    <row r="12479" spans="26:26" x14ac:dyDescent="0.2">
      <c r="Z12479" t="str">
        <f t="shared" si="194"/>
        <v/>
      </c>
    </row>
    <row r="12480" spans="26:26" x14ac:dyDescent="0.2">
      <c r="Z12480" t="str">
        <f t="shared" si="194"/>
        <v/>
      </c>
    </row>
    <row r="12481" spans="26:26" x14ac:dyDescent="0.2">
      <c r="Z12481" t="str">
        <f t="shared" si="194"/>
        <v/>
      </c>
    </row>
    <row r="12482" spans="26:26" x14ac:dyDescent="0.2">
      <c r="Z12482" t="str">
        <f t="shared" si="194"/>
        <v/>
      </c>
    </row>
    <row r="12483" spans="26:26" x14ac:dyDescent="0.2">
      <c r="Z12483" t="str">
        <f t="shared" ref="Z12483:Z12546" si="195">IF(K12483="","",IFERROR(VALUE(TRIM(MID(K12483,FIND(CHAR(167),SUBSTITUTE(K12483,"-",CHAR(167),LEN(K12483)-LEN(SUBSTITUTE(K12483,"-",""))))+1,100))),K12483))</f>
        <v/>
      </c>
    </row>
    <row r="12484" spans="26:26" x14ac:dyDescent="0.2">
      <c r="Z12484" t="str">
        <f t="shared" si="195"/>
        <v/>
      </c>
    </row>
    <row r="12485" spans="26:26" x14ac:dyDescent="0.2">
      <c r="Z12485" t="str">
        <f t="shared" si="195"/>
        <v/>
      </c>
    </row>
    <row r="12486" spans="26:26" x14ac:dyDescent="0.2">
      <c r="Z12486" t="str">
        <f t="shared" si="195"/>
        <v/>
      </c>
    </row>
    <row r="12487" spans="26:26" x14ac:dyDescent="0.2">
      <c r="Z12487" t="str">
        <f t="shared" si="195"/>
        <v/>
      </c>
    </row>
    <row r="12488" spans="26:26" x14ac:dyDescent="0.2">
      <c r="Z12488" t="str">
        <f t="shared" si="195"/>
        <v/>
      </c>
    </row>
    <row r="12489" spans="26:26" x14ac:dyDescent="0.2">
      <c r="Z12489" t="str">
        <f t="shared" si="195"/>
        <v/>
      </c>
    </row>
    <row r="12490" spans="26:26" x14ac:dyDescent="0.2">
      <c r="Z12490" t="str">
        <f t="shared" si="195"/>
        <v/>
      </c>
    </row>
    <row r="12491" spans="26:26" x14ac:dyDescent="0.2">
      <c r="Z12491" t="str">
        <f t="shared" si="195"/>
        <v/>
      </c>
    </row>
    <row r="12492" spans="26:26" x14ac:dyDescent="0.2">
      <c r="Z12492" t="str">
        <f t="shared" si="195"/>
        <v/>
      </c>
    </row>
    <row r="12493" spans="26:26" x14ac:dyDescent="0.2">
      <c r="Z12493" t="str">
        <f t="shared" si="195"/>
        <v/>
      </c>
    </row>
    <row r="12494" spans="26:26" x14ac:dyDescent="0.2">
      <c r="Z12494" t="str">
        <f t="shared" si="195"/>
        <v/>
      </c>
    </row>
    <row r="12495" spans="26:26" x14ac:dyDescent="0.2">
      <c r="Z12495" t="str">
        <f t="shared" si="195"/>
        <v/>
      </c>
    </row>
    <row r="12496" spans="26:26" x14ac:dyDescent="0.2">
      <c r="Z12496" t="str">
        <f t="shared" si="195"/>
        <v/>
      </c>
    </row>
    <row r="12497" spans="26:26" x14ac:dyDescent="0.2">
      <c r="Z12497" t="str">
        <f t="shared" si="195"/>
        <v/>
      </c>
    </row>
    <row r="12498" spans="26:26" x14ac:dyDescent="0.2">
      <c r="Z12498" t="str">
        <f t="shared" si="195"/>
        <v/>
      </c>
    </row>
    <row r="12499" spans="26:26" x14ac:dyDescent="0.2">
      <c r="Z12499" t="str">
        <f t="shared" si="195"/>
        <v/>
      </c>
    </row>
    <row r="12500" spans="26:26" x14ac:dyDescent="0.2">
      <c r="Z12500" t="str">
        <f t="shared" si="195"/>
        <v/>
      </c>
    </row>
    <row r="12501" spans="26:26" x14ac:dyDescent="0.2">
      <c r="Z12501" t="str">
        <f t="shared" si="195"/>
        <v/>
      </c>
    </row>
    <row r="12502" spans="26:26" x14ac:dyDescent="0.2">
      <c r="Z12502" t="str">
        <f t="shared" si="195"/>
        <v/>
      </c>
    </row>
    <row r="12503" spans="26:26" x14ac:dyDescent="0.2">
      <c r="Z12503" t="str">
        <f t="shared" si="195"/>
        <v/>
      </c>
    </row>
    <row r="12504" spans="26:26" x14ac:dyDescent="0.2">
      <c r="Z12504" t="str">
        <f t="shared" si="195"/>
        <v/>
      </c>
    </row>
    <row r="12505" spans="26:26" x14ac:dyDescent="0.2">
      <c r="Z12505" t="str">
        <f t="shared" si="195"/>
        <v/>
      </c>
    </row>
    <row r="12506" spans="26:26" x14ac:dyDescent="0.2">
      <c r="Z12506" t="str">
        <f t="shared" si="195"/>
        <v/>
      </c>
    </row>
    <row r="12507" spans="26:26" x14ac:dyDescent="0.2">
      <c r="Z12507" t="str">
        <f t="shared" si="195"/>
        <v/>
      </c>
    </row>
    <row r="12508" spans="26:26" x14ac:dyDescent="0.2">
      <c r="Z12508" t="str">
        <f t="shared" si="195"/>
        <v/>
      </c>
    </row>
    <row r="12509" spans="26:26" x14ac:dyDescent="0.2">
      <c r="Z12509" t="str">
        <f t="shared" si="195"/>
        <v/>
      </c>
    </row>
    <row r="12510" spans="26:26" x14ac:dyDescent="0.2">
      <c r="Z12510" t="str">
        <f t="shared" si="195"/>
        <v/>
      </c>
    </row>
    <row r="12511" spans="26:26" x14ac:dyDescent="0.2">
      <c r="Z12511" t="str">
        <f t="shared" si="195"/>
        <v/>
      </c>
    </row>
    <row r="12512" spans="26:26" x14ac:dyDescent="0.2">
      <c r="Z12512" t="str">
        <f t="shared" si="195"/>
        <v/>
      </c>
    </row>
    <row r="12513" spans="26:26" x14ac:dyDescent="0.2">
      <c r="Z12513" t="str">
        <f t="shared" si="195"/>
        <v/>
      </c>
    </row>
    <row r="12514" spans="26:26" x14ac:dyDescent="0.2">
      <c r="Z12514" t="str">
        <f t="shared" si="195"/>
        <v/>
      </c>
    </row>
    <row r="12515" spans="26:26" x14ac:dyDescent="0.2">
      <c r="Z12515" t="str">
        <f t="shared" si="195"/>
        <v/>
      </c>
    </row>
    <row r="12516" spans="26:26" x14ac:dyDescent="0.2">
      <c r="Z12516" t="str">
        <f t="shared" si="195"/>
        <v/>
      </c>
    </row>
    <row r="12517" spans="26:26" x14ac:dyDescent="0.2">
      <c r="Z12517" t="str">
        <f t="shared" si="195"/>
        <v/>
      </c>
    </row>
    <row r="12518" spans="26:26" x14ac:dyDescent="0.2">
      <c r="Z12518" t="str">
        <f t="shared" si="195"/>
        <v/>
      </c>
    </row>
    <row r="12519" spans="26:26" x14ac:dyDescent="0.2">
      <c r="Z12519" t="str">
        <f t="shared" si="195"/>
        <v/>
      </c>
    </row>
    <row r="12520" spans="26:26" x14ac:dyDescent="0.2">
      <c r="Z12520" t="str">
        <f t="shared" si="195"/>
        <v/>
      </c>
    </row>
    <row r="12521" spans="26:26" x14ac:dyDescent="0.2">
      <c r="Z12521" t="str">
        <f t="shared" si="195"/>
        <v/>
      </c>
    </row>
    <row r="12522" spans="26:26" x14ac:dyDescent="0.2">
      <c r="Z12522" t="str">
        <f t="shared" si="195"/>
        <v/>
      </c>
    </row>
    <row r="12523" spans="26:26" x14ac:dyDescent="0.2">
      <c r="Z12523" t="str">
        <f t="shared" si="195"/>
        <v/>
      </c>
    </row>
    <row r="12524" spans="26:26" x14ac:dyDescent="0.2">
      <c r="Z12524" t="str">
        <f t="shared" si="195"/>
        <v/>
      </c>
    </row>
    <row r="12525" spans="26:26" x14ac:dyDescent="0.2">
      <c r="Z12525" t="str">
        <f t="shared" si="195"/>
        <v/>
      </c>
    </row>
    <row r="12526" spans="26:26" x14ac:dyDescent="0.2">
      <c r="Z12526" t="str">
        <f t="shared" si="195"/>
        <v/>
      </c>
    </row>
    <row r="12527" spans="26:26" x14ac:dyDescent="0.2">
      <c r="Z12527" t="str">
        <f t="shared" si="195"/>
        <v/>
      </c>
    </row>
    <row r="12528" spans="26:26" x14ac:dyDescent="0.2">
      <c r="Z12528" t="str">
        <f t="shared" si="195"/>
        <v/>
      </c>
    </row>
    <row r="12529" spans="26:26" x14ac:dyDescent="0.2">
      <c r="Z12529" t="str">
        <f t="shared" si="195"/>
        <v/>
      </c>
    </row>
    <row r="12530" spans="26:26" x14ac:dyDescent="0.2">
      <c r="Z12530" t="str">
        <f t="shared" si="195"/>
        <v/>
      </c>
    </row>
    <row r="12531" spans="26:26" x14ac:dyDescent="0.2">
      <c r="Z12531" t="str">
        <f t="shared" si="195"/>
        <v/>
      </c>
    </row>
    <row r="12532" spans="26:26" x14ac:dyDescent="0.2">
      <c r="Z12532" t="str">
        <f t="shared" si="195"/>
        <v/>
      </c>
    </row>
    <row r="12533" spans="26:26" x14ac:dyDescent="0.2">
      <c r="Z12533" t="str">
        <f t="shared" si="195"/>
        <v/>
      </c>
    </row>
    <row r="12534" spans="26:26" x14ac:dyDescent="0.2">
      <c r="Z12534" t="str">
        <f t="shared" si="195"/>
        <v/>
      </c>
    </row>
    <row r="12535" spans="26:26" x14ac:dyDescent="0.2">
      <c r="Z12535" t="str">
        <f t="shared" si="195"/>
        <v/>
      </c>
    </row>
    <row r="12536" spans="26:26" x14ac:dyDescent="0.2">
      <c r="Z12536" t="str">
        <f t="shared" si="195"/>
        <v/>
      </c>
    </row>
    <row r="12537" spans="26:26" x14ac:dyDescent="0.2">
      <c r="Z12537" t="str">
        <f t="shared" si="195"/>
        <v/>
      </c>
    </row>
    <row r="12538" spans="26:26" x14ac:dyDescent="0.2">
      <c r="Z12538" t="str">
        <f t="shared" si="195"/>
        <v/>
      </c>
    </row>
    <row r="12539" spans="26:26" x14ac:dyDescent="0.2">
      <c r="Z12539" t="str">
        <f t="shared" si="195"/>
        <v/>
      </c>
    </row>
    <row r="12540" spans="26:26" x14ac:dyDescent="0.2">
      <c r="Z12540" t="str">
        <f t="shared" si="195"/>
        <v/>
      </c>
    </row>
    <row r="12541" spans="26:26" x14ac:dyDescent="0.2">
      <c r="Z12541" t="str">
        <f t="shared" si="195"/>
        <v/>
      </c>
    </row>
    <row r="12542" spans="26:26" x14ac:dyDescent="0.2">
      <c r="Z12542" t="str">
        <f t="shared" si="195"/>
        <v/>
      </c>
    </row>
    <row r="12543" spans="26:26" x14ac:dyDescent="0.2">
      <c r="Z12543" t="str">
        <f t="shared" si="195"/>
        <v/>
      </c>
    </row>
    <row r="12544" spans="26:26" x14ac:dyDescent="0.2">
      <c r="Z12544" t="str">
        <f t="shared" si="195"/>
        <v/>
      </c>
    </row>
    <row r="12545" spans="26:26" x14ac:dyDescent="0.2">
      <c r="Z12545" t="str">
        <f t="shared" si="195"/>
        <v/>
      </c>
    </row>
    <row r="12546" spans="26:26" x14ac:dyDescent="0.2">
      <c r="Z12546" t="str">
        <f t="shared" si="195"/>
        <v/>
      </c>
    </row>
    <row r="12547" spans="26:26" x14ac:dyDescent="0.2">
      <c r="Z12547" t="str">
        <f t="shared" ref="Z12547:Z12610" si="196">IF(K12547="","",IFERROR(VALUE(TRIM(MID(K12547,FIND(CHAR(167),SUBSTITUTE(K12547,"-",CHAR(167),LEN(K12547)-LEN(SUBSTITUTE(K12547,"-",""))))+1,100))),K12547))</f>
        <v/>
      </c>
    </row>
    <row r="12548" spans="26:26" x14ac:dyDescent="0.2">
      <c r="Z12548" t="str">
        <f t="shared" si="196"/>
        <v/>
      </c>
    </row>
    <row r="12549" spans="26:26" x14ac:dyDescent="0.2">
      <c r="Z12549" t="str">
        <f t="shared" si="196"/>
        <v/>
      </c>
    </row>
    <row r="12550" spans="26:26" x14ac:dyDescent="0.2">
      <c r="Z12550" t="str">
        <f t="shared" si="196"/>
        <v/>
      </c>
    </row>
    <row r="12551" spans="26:26" x14ac:dyDescent="0.2">
      <c r="Z12551" t="str">
        <f t="shared" si="196"/>
        <v/>
      </c>
    </row>
    <row r="12552" spans="26:26" x14ac:dyDescent="0.2">
      <c r="Z12552" t="str">
        <f t="shared" si="196"/>
        <v/>
      </c>
    </row>
    <row r="12553" spans="26:26" x14ac:dyDescent="0.2">
      <c r="Z12553" t="str">
        <f t="shared" si="196"/>
        <v/>
      </c>
    </row>
    <row r="12554" spans="26:26" x14ac:dyDescent="0.2">
      <c r="Z12554" t="str">
        <f t="shared" si="196"/>
        <v/>
      </c>
    </row>
    <row r="12555" spans="26:26" x14ac:dyDescent="0.2">
      <c r="Z12555" t="str">
        <f t="shared" si="196"/>
        <v/>
      </c>
    </row>
    <row r="12556" spans="26:26" x14ac:dyDescent="0.2">
      <c r="Z12556" t="str">
        <f t="shared" si="196"/>
        <v/>
      </c>
    </row>
    <row r="12557" spans="26:26" x14ac:dyDescent="0.2">
      <c r="Z12557" t="str">
        <f t="shared" si="196"/>
        <v/>
      </c>
    </row>
    <row r="12558" spans="26:26" x14ac:dyDescent="0.2">
      <c r="Z12558" t="str">
        <f t="shared" si="196"/>
        <v/>
      </c>
    </row>
    <row r="12559" spans="26:26" x14ac:dyDescent="0.2">
      <c r="Z12559" t="str">
        <f t="shared" si="196"/>
        <v/>
      </c>
    </row>
    <row r="12560" spans="26:26" x14ac:dyDescent="0.2">
      <c r="Z12560" t="str">
        <f t="shared" si="196"/>
        <v/>
      </c>
    </row>
    <row r="12561" spans="26:26" x14ac:dyDescent="0.2">
      <c r="Z12561" t="str">
        <f t="shared" si="196"/>
        <v/>
      </c>
    </row>
    <row r="12562" spans="26:26" x14ac:dyDescent="0.2">
      <c r="Z12562" t="str">
        <f t="shared" si="196"/>
        <v/>
      </c>
    </row>
    <row r="12563" spans="26:26" x14ac:dyDescent="0.2">
      <c r="Z12563" t="str">
        <f t="shared" si="196"/>
        <v/>
      </c>
    </row>
    <row r="12564" spans="26:26" x14ac:dyDescent="0.2">
      <c r="Z12564" t="str">
        <f t="shared" si="196"/>
        <v/>
      </c>
    </row>
    <row r="12565" spans="26:26" x14ac:dyDescent="0.2">
      <c r="Z12565" t="str">
        <f t="shared" si="196"/>
        <v/>
      </c>
    </row>
    <row r="12566" spans="26:26" x14ac:dyDescent="0.2">
      <c r="Z12566" t="str">
        <f t="shared" si="196"/>
        <v/>
      </c>
    </row>
    <row r="12567" spans="26:26" x14ac:dyDescent="0.2">
      <c r="Z12567" t="str">
        <f t="shared" si="196"/>
        <v/>
      </c>
    </row>
    <row r="12568" spans="26:26" x14ac:dyDescent="0.2">
      <c r="Z12568" t="str">
        <f t="shared" si="196"/>
        <v/>
      </c>
    </row>
    <row r="12569" spans="26:26" x14ac:dyDescent="0.2">
      <c r="Z12569" t="str">
        <f t="shared" si="196"/>
        <v/>
      </c>
    </row>
    <row r="12570" spans="26:26" x14ac:dyDescent="0.2">
      <c r="Z12570" t="str">
        <f t="shared" si="196"/>
        <v/>
      </c>
    </row>
    <row r="12571" spans="26:26" x14ac:dyDescent="0.2">
      <c r="Z12571" t="str">
        <f t="shared" si="196"/>
        <v/>
      </c>
    </row>
    <row r="12572" spans="26:26" x14ac:dyDescent="0.2">
      <c r="Z12572" t="str">
        <f t="shared" si="196"/>
        <v/>
      </c>
    </row>
    <row r="12573" spans="26:26" x14ac:dyDescent="0.2">
      <c r="Z12573" t="str">
        <f t="shared" si="196"/>
        <v/>
      </c>
    </row>
    <row r="12574" spans="26:26" x14ac:dyDescent="0.2">
      <c r="Z12574" t="str">
        <f t="shared" si="196"/>
        <v/>
      </c>
    </row>
    <row r="12575" spans="26:26" x14ac:dyDescent="0.2">
      <c r="Z12575" t="str">
        <f t="shared" si="196"/>
        <v/>
      </c>
    </row>
    <row r="12576" spans="26:26" x14ac:dyDescent="0.2">
      <c r="Z12576" t="str">
        <f t="shared" si="196"/>
        <v/>
      </c>
    </row>
    <row r="12577" spans="26:26" x14ac:dyDescent="0.2">
      <c r="Z12577" t="str">
        <f t="shared" si="196"/>
        <v/>
      </c>
    </row>
    <row r="12578" spans="26:26" x14ac:dyDescent="0.2">
      <c r="Z12578" t="str">
        <f t="shared" si="196"/>
        <v/>
      </c>
    </row>
    <row r="12579" spans="26:26" x14ac:dyDescent="0.2">
      <c r="Z12579" t="str">
        <f t="shared" si="196"/>
        <v/>
      </c>
    </row>
    <row r="12580" spans="26:26" x14ac:dyDescent="0.2">
      <c r="Z12580" t="str">
        <f t="shared" si="196"/>
        <v/>
      </c>
    </row>
    <row r="12581" spans="26:26" x14ac:dyDescent="0.2">
      <c r="Z12581" t="str">
        <f t="shared" si="196"/>
        <v/>
      </c>
    </row>
    <row r="12582" spans="26:26" x14ac:dyDescent="0.2">
      <c r="Z12582" t="str">
        <f t="shared" si="196"/>
        <v/>
      </c>
    </row>
    <row r="12583" spans="26:26" x14ac:dyDescent="0.2">
      <c r="Z12583" t="str">
        <f t="shared" si="196"/>
        <v/>
      </c>
    </row>
    <row r="12584" spans="26:26" x14ac:dyDescent="0.2">
      <c r="Z12584" t="str">
        <f t="shared" si="196"/>
        <v/>
      </c>
    </row>
    <row r="12585" spans="26:26" x14ac:dyDescent="0.2">
      <c r="Z12585" t="str">
        <f t="shared" si="196"/>
        <v/>
      </c>
    </row>
    <row r="12586" spans="26:26" x14ac:dyDescent="0.2">
      <c r="Z12586" t="str">
        <f t="shared" si="196"/>
        <v/>
      </c>
    </row>
    <row r="12587" spans="26:26" x14ac:dyDescent="0.2">
      <c r="Z12587" t="str">
        <f t="shared" si="196"/>
        <v/>
      </c>
    </row>
    <row r="12588" spans="26:26" x14ac:dyDescent="0.2">
      <c r="Z12588" t="str">
        <f t="shared" si="196"/>
        <v/>
      </c>
    </row>
    <row r="12589" spans="26:26" x14ac:dyDescent="0.2">
      <c r="Z12589" t="str">
        <f t="shared" si="196"/>
        <v/>
      </c>
    </row>
    <row r="12590" spans="26:26" x14ac:dyDescent="0.2">
      <c r="Z12590" t="str">
        <f t="shared" si="196"/>
        <v/>
      </c>
    </row>
    <row r="12591" spans="26:26" x14ac:dyDescent="0.2">
      <c r="Z12591" t="str">
        <f t="shared" si="196"/>
        <v/>
      </c>
    </row>
    <row r="12592" spans="26:26" x14ac:dyDescent="0.2">
      <c r="Z12592" t="str">
        <f t="shared" si="196"/>
        <v/>
      </c>
    </row>
    <row r="12593" spans="26:26" x14ac:dyDescent="0.2">
      <c r="Z12593" t="str">
        <f t="shared" si="196"/>
        <v/>
      </c>
    </row>
    <row r="12594" spans="26:26" x14ac:dyDescent="0.2">
      <c r="Z12594" t="str">
        <f t="shared" si="196"/>
        <v/>
      </c>
    </row>
    <row r="12595" spans="26:26" x14ac:dyDescent="0.2">
      <c r="Z12595" t="str">
        <f t="shared" si="196"/>
        <v/>
      </c>
    </row>
    <row r="12596" spans="26:26" x14ac:dyDescent="0.2">
      <c r="Z12596" t="str">
        <f t="shared" si="196"/>
        <v/>
      </c>
    </row>
    <row r="12597" spans="26:26" x14ac:dyDescent="0.2">
      <c r="Z12597" t="str">
        <f t="shared" si="196"/>
        <v/>
      </c>
    </row>
    <row r="12598" spans="26:26" x14ac:dyDescent="0.2">
      <c r="Z12598" t="str">
        <f t="shared" si="196"/>
        <v/>
      </c>
    </row>
    <row r="12599" spans="26:26" x14ac:dyDescent="0.2">
      <c r="Z12599" t="str">
        <f t="shared" si="196"/>
        <v/>
      </c>
    </row>
    <row r="12600" spans="26:26" x14ac:dyDescent="0.2">
      <c r="Z12600" t="str">
        <f t="shared" si="196"/>
        <v/>
      </c>
    </row>
    <row r="12601" spans="26:26" x14ac:dyDescent="0.2">
      <c r="Z12601" t="str">
        <f t="shared" si="196"/>
        <v/>
      </c>
    </row>
    <row r="12602" spans="26:26" x14ac:dyDescent="0.2">
      <c r="Z12602" t="str">
        <f t="shared" si="196"/>
        <v/>
      </c>
    </row>
    <row r="12603" spans="26:26" x14ac:dyDescent="0.2">
      <c r="Z12603" t="str">
        <f t="shared" si="196"/>
        <v/>
      </c>
    </row>
    <row r="12604" spans="26:26" x14ac:dyDescent="0.2">
      <c r="Z12604" t="str">
        <f t="shared" si="196"/>
        <v/>
      </c>
    </row>
    <row r="12605" spans="26:26" x14ac:dyDescent="0.2">
      <c r="Z12605" t="str">
        <f t="shared" si="196"/>
        <v/>
      </c>
    </row>
    <row r="12606" spans="26:26" x14ac:dyDescent="0.2">
      <c r="Z12606" t="str">
        <f t="shared" si="196"/>
        <v/>
      </c>
    </row>
    <row r="12607" spans="26:26" x14ac:dyDescent="0.2">
      <c r="Z12607" t="str">
        <f t="shared" si="196"/>
        <v/>
      </c>
    </row>
    <row r="12608" spans="26:26" x14ac:dyDescent="0.2">
      <c r="Z12608" t="str">
        <f t="shared" si="196"/>
        <v/>
      </c>
    </row>
    <row r="12609" spans="26:26" x14ac:dyDescent="0.2">
      <c r="Z12609" t="str">
        <f t="shared" si="196"/>
        <v/>
      </c>
    </row>
    <row r="12610" spans="26:26" x14ac:dyDescent="0.2">
      <c r="Z12610" t="str">
        <f t="shared" si="196"/>
        <v/>
      </c>
    </row>
    <row r="12611" spans="26:26" x14ac:dyDescent="0.2">
      <c r="Z12611" t="str">
        <f t="shared" ref="Z12611:Z12674" si="197">IF(K12611="","",IFERROR(VALUE(TRIM(MID(K12611,FIND(CHAR(167),SUBSTITUTE(K12611,"-",CHAR(167),LEN(K12611)-LEN(SUBSTITUTE(K12611,"-",""))))+1,100))),K12611))</f>
        <v/>
      </c>
    </row>
    <row r="12612" spans="26:26" x14ac:dyDescent="0.2">
      <c r="Z12612" t="str">
        <f t="shared" si="197"/>
        <v/>
      </c>
    </row>
    <row r="12613" spans="26:26" x14ac:dyDescent="0.2">
      <c r="Z12613" t="str">
        <f t="shared" si="197"/>
        <v/>
      </c>
    </row>
    <row r="12614" spans="26:26" x14ac:dyDescent="0.2">
      <c r="Z12614" t="str">
        <f t="shared" si="197"/>
        <v/>
      </c>
    </row>
    <row r="12615" spans="26:26" x14ac:dyDescent="0.2">
      <c r="Z12615" t="str">
        <f t="shared" si="197"/>
        <v/>
      </c>
    </row>
    <row r="12616" spans="26:26" x14ac:dyDescent="0.2">
      <c r="Z12616" t="str">
        <f t="shared" si="197"/>
        <v/>
      </c>
    </row>
    <row r="12617" spans="26:26" x14ac:dyDescent="0.2">
      <c r="Z12617" t="str">
        <f t="shared" si="197"/>
        <v/>
      </c>
    </row>
    <row r="12618" spans="26:26" x14ac:dyDescent="0.2">
      <c r="Z12618" t="str">
        <f t="shared" si="197"/>
        <v/>
      </c>
    </row>
    <row r="12619" spans="26:26" x14ac:dyDescent="0.2">
      <c r="Z12619" t="str">
        <f t="shared" si="197"/>
        <v/>
      </c>
    </row>
    <row r="12620" spans="26:26" x14ac:dyDescent="0.2">
      <c r="Z12620" t="str">
        <f t="shared" si="197"/>
        <v/>
      </c>
    </row>
    <row r="12621" spans="26:26" x14ac:dyDescent="0.2">
      <c r="Z12621" t="str">
        <f t="shared" si="197"/>
        <v/>
      </c>
    </row>
    <row r="12622" spans="26:26" x14ac:dyDescent="0.2">
      <c r="Z12622" t="str">
        <f t="shared" si="197"/>
        <v/>
      </c>
    </row>
    <row r="12623" spans="26:26" x14ac:dyDescent="0.2">
      <c r="Z12623" t="str">
        <f t="shared" si="197"/>
        <v/>
      </c>
    </row>
    <row r="12624" spans="26:26" x14ac:dyDescent="0.2">
      <c r="Z12624" t="str">
        <f t="shared" si="197"/>
        <v/>
      </c>
    </row>
    <row r="12625" spans="26:26" x14ac:dyDescent="0.2">
      <c r="Z12625" t="str">
        <f t="shared" si="197"/>
        <v/>
      </c>
    </row>
    <row r="12626" spans="26:26" x14ac:dyDescent="0.2">
      <c r="Z12626" t="str">
        <f t="shared" si="197"/>
        <v/>
      </c>
    </row>
    <row r="12627" spans="26:26" x14ac:dyDescent="0.2">
      <c r="Z12627" t="str">
        <f t="shared" si="197"/>
        <v/>
      </c>
    </row>
    <row r="12628" spans="26:26" x14ac:dyDescent="0.2">
      <c r="Z12628" t="str">
        <f t="shared" si="197"/>
        <v/>
      </c>
    </row>
    <row r="12629" spans="26:26" x14ac:dyDescent="0.2">
      <c r="Z12629" t="str">
        <f t="shared" si="197"/>
        <v/>
      </c>
    </row>
    <row r="12630" spans="26:26" x14ac:dyDescent="0.2">
      <c r="Z12630" t="str">
        <f t="shared" si="197"/>
        <v/>
      </c>
    </row>
    <row r="12631" spans="26:26" x14ac:dyDescent="0.2">
      <c r="Z12631" t="str">
        <f t="shared" si="197"/>
        <v/>
      </c>
    </row>
    <row r="12632" spans="26:26" x14ac:dyDescent="0.2">
      <c r="Z12632" t="str">
        <f t="shared" si="197"/>
        <v/>
      </c>
    </row>
    <row r="12633" spans="26:26" x14ac:dyDescent="0.2">
      <c r="Z12633" t="str">
        <f t="shared" si="197"/>
        <v/>
      </c>
    </row>
    <row r="12634" spans="26:26" x14ac:dyDescent="0.2">
      <c r="Z12634" t="str">
        <f t="shared" si="197"/>
        <v/>
      </c>
    </row>
    <row r="12635" spans="26:26" x14ac:dyDescent="0.2">
      <c r="Z12635" t="str">
        <f t="shared" si="197"/>
        <v/>
      </c>
    </row>
    <row r="12636" spans="26:26" x14ac:dyDescent="0.2">
      <c r="Z12636" t="str">
        <f t="shared" si="197"/>
        <v/>
      </c>
    </row>
    <row r="12637" spans="26:26" x14ac:dyDescent="0.2">
      <c r="Z12637" t="str">
        <f t="shared" si="197"/>
        <v/>
      </c>
    </row>
    <row r="12638" spans="26:26" x14ac:dyDescent="0.2">
      <c r="Z12638" t="str">
        <f t="shared" si="197"/>
        <v/>
      </c>
    </row>
    <row r="12639" spans="26:26" x14ac:dyDescent="0.2">
      <c r="Z12639" t="str">
        <f t="shared" si="197"/>
        <v/>
      </c>
    </row>
    <row r="12640" spans="26:26" x14ac:dyDescent="0.2">
      <c r="Z12640" t="str">
        <f t="shared" si="197"/>
        <v/>
      </c>
    </row>
    <row r="12641" spans="26:26" x14ac:dyDescent="0.2">
      <c r="Z12641" t="str">
        <f t="shared" si="197"/>
        <v/>
      </c>
    </row>
    <row r="12642" spans="26:26" x14ac:dyDescent="0.2">
      <c r="Z12642" t="str">
        <f t="shared" si="197"/>
        <v/>
      </c>
    </row>
    <row r="12643" spans="26:26" x14ac:dyDescent="0.2">
      <c r="Z12643" t="str">
        <f t="shared" si="197"/>
        <v/>
      </c>
    </row>
    <row r="12644" spans="26:26" x14ac:dyDescent="0.2">
      <c r="Z12644" t="str">
        <f t="shared" si="197"/>
        <v/>
      </c>
    </row>
    <row r="12645" spans="26:26" x14ac:dyDescent="0.2">
      <c r="Z12645" t="str">
        <f t="shared" si="197"/>
        <v/>
      </c>
    </row>
    <row r="12646" spans="26:26" x14ac:dyDescent="0.2">
      <c r="Z12646" t="str">
        <f t="shared" si="197"/>
        <v/>
      </c>
    </row>
    <row r="12647" spans="26:26" x14ac:dyDescent="0.2">
      <c r="Z12647" t="str">
        <f t="shared" si="197"/>
        <v/>
      </c>
    </row>
    <row r="12648" spans="26:26" x14ac:dyDescent="0.2">
      <c r="Z12648" t="str">
        <f t="shared" si="197"/>
        <v/>
      </c>
    </row>
    <row r="12649" spans="26:26" x14ac:dyDescent="0.2">
      <c r="Z12649" t="str">
        <f t="shared" si="197"/>
        <v/>
      </c>
    </row>
    <row r="12650" spans="26:26" x14ac:dyDescent="0.2">
      <c r="Z12650" t="str">
        <f t="shared" si="197"/>
        <v/>
      </c>
    </row>
    <row r="12651" spans="26:26" x14ac:dyDescent="0.2">
      <c r="Z12651" t="str">
        <f t="shared" si="197"/>
        <v/>
      </c>
    </row>
    <row r="12652" spans="26:26" x14ac:dyDescent="0.2">
      <c r="Z12652" t="str">
        <f t="shared" si="197"/>
        <v/>
      </c>
    </row>
    <row r="12653" spans="26:26" x14ac:dyDescent="0.2">
      <c r="Z12653" t="str">
        <f t="shared" si="197"/>
        <v/>
      </c>
    </row>
    <row r="12654" spans="26:26" x14ac:dyDescent="0.2">
      <c r="Z12654" t="str">
        <f t="shared" si="197"/>
        <v/>
      </c>
    </row>
    <row r="12655" spans="26:26" x14ac:dyDescent="0.2">
      <c r="Z12655" t="str">
        <f t="shared" si="197"/>
        <v/>
      </c>
    </row>
    <row r="12656" spans="26:26" x14ac:dyDescent="0.2">
      <c r="Z12656" t="str">
        <f t="shared" si="197"/>
        <v/>
      </c>
    </row>
    <row r="12657" spans="26:26" x14ac:dyDescent="0.2">
      <c r="Z12657" t="str">
        <f t="shared" si="197"/>
        <v/>
      </c>
    </row>
    <row r="12658" spans="26:26" x14ac:dyDescent="0.2">
      <c r="Z12658" t="str">
        <f t="shared" si="197"/>
        <v/>
      </c>
    </row>
    <row r="12659" spans="26:26" x14ac:dyDescent="0.2">
      <c r="Z12659" t="str">
        <f t="shared" si="197"/>
        <v/>
      </c>
    </row>
    <row r="12660" spans="26:26" x14ac:dyDescent="0.2">
      <c r="Z12660" t="str">
        <f t="shared" si="197"/>
        <v/>
      </c>
    </row>
    <row r="12661" spans="26:26" x14ac:dyDescent="0.2">
      <c r="Z12661" t="str">
        <f t="shared" si="197"/>
        <v/>
      </c>
    </row>
    <row r="12662" spans="26:26" x14ac:dyDescent="0.2">
      <c r="Z12662" t="str">
        <f t="shared" si="197"/>
        <v/>
      </c>
    </row>
    <row r="12663" spans="26:26" x14ac:dyDescent="0.2">
      <c r="Z12663" t="str">
        <f t="shared" si="197"/>
        <v/>
      </c>
    </row>
    <row r="12664" spans="26:26" x14ac:dyDescent="0.2">
      <c r="Z12664" t="str">
        <f t="shared" si="197"/>
        <v/>
      </c>
    </row>
    <row r="12665" spans="26:26" x14ac:dyDescent="0.2">
      <c r="Z12665" t="str">
        <f t="shared" si="197"/>
        <v/>
      </c>
    </row>
    <row r="12666" spans="26:26" x14ac:dyDescent="0.2">
      <c r="Z12666" t="str">
        <f t="shared" si="197"/>
        <v/>
      </c>
    </row>
    <row r="12667" spans="26:26" x14ac:dyDescent="0.2">
      <c r="Z12667" t="str">
        <f t="shared" si="197"/>
        <v/>
      </c>
    </row>
    <row r="12668" spans="26:26" x14ac:dyDescent="0.2">
      <c r="Z12668" t="str">
        <f t="shared" si="197"/>
        <v/>
      </c>
    </row>
    <row r="12669" spans="26:26" x14ac:dyDescent="0.2">
      <c r="Z12669" t="str">
        <f t="shared" si="197"/>
        <v/>
      </c>
    </row>
    <row r="12670" spans="26:26" x14ac:dyDescent="0.2">
      <c r="Z12670" t="str">
        <f t="shared" si="197"/>
        <v/>
      </c>
    </row>
    <row r="12671" spans="26:26" x14ac:dyDescent="0.2">
      <c r="Z12671" t="str">
        <f t="shared" si="197"/>
        <v/>
      </c>
    </row>
    <row r="12672" spans="26:26" x14ac:dyDescent="0.2">
      <c r="Z12672" t="str">
        <f t="shared" si="197"/>
        <v/>
      </c>
    </row>
    <row r="12673" spans="26:26" x14ac:dyDescent="0.2">
      <c r="Z12673" t="str">
        <f t="shared" si="197"/>
        <v/>
      </c>
    </row>
    <row r="12674" spans="26:26" x14ac:dyDescent="0.2">
      <c r="Z12674" t="str">
        <f t="shared" si="197"/>
        <v/>
      </c>
    </row>
    <row r="12675" spans="26:26" x14ac:dyDescent="0.2">
      <c r="Z12675" t="str">
        <f t="shared" ref="Z12675:Z12738" si="198">IF(K12675="","",IFERROR(VALUE(TRIM(MID(K12675,FIND(CHAR(167),SUBSTITUTE(K12675,"-",CHAR(167),LEN(K12675)-LEN(SUBSTITUTE(K12675,"-",""))))+1,100))),K12675))</f>
        <v/>
      </c>
    </row>
    <row r="12676" spans="26:26" x14ac:dyDescent="0.2">
      <c r="Z12676" t="str">
        <f t="shared" si="198"/>
        <v/>
      </c>
    </row>
    <row r="12677" spans="26:26" x14ac:dyDescent="0.2">
      <c r="Z12677" t="str">
        <f t="shared" si="198"/>
        <v/>
      </c>
    </row>
    <row r="12678" spans="26:26" x14ac:dyDescent="0.2">
      <c r="Z12678" t="str">
        <f t="shared" si="198"/>
        <v/>
      </c>
    </row>
    <row r="12679" spans="26:26" x14ac:dyDescent="0.2">
      <c r="Z12679" t="str">
        <f t="shared" si="198"/>
        <v/>
      </c>
    </row>
    <row r="12680" spans="26:26" x14ac:dyDescent="0.2">
      <c r="Z12680" t="str">
        <f t="shared" si="198"/>
        <v/>
      </c>
    </row>
    <row r="12681" spans="26:26" x14ac:dyDescent="0.2">
      <c r="Z12681" t="str">
        <f t="shared" si="198"/>
        <v/>
      </c>
    </row>
    <row r="12682" spans="26:26" x14ac:dyDescent="0.2">
      <c r="Z12682" t="str">
        <f t="shared" si="198"/>
        <v/>
      </c>
    </row>
    <row r="12683" spans="26:26" x14ac:dyDescent="0.2">
      <c r="Z12683" t="str">
        <f t="shared" si="198"/>
        <v/>
      </c>
    </row>
    <row r="12684" spans="26:26" x14ac:dyDescent="0.2">
      <c r="Z12684" t="str">
        <f t="shared" si="198"/>
        <v/>
      </c>
    </row>
    <row r="12685" spans="26:26" x14ac:dyDescent="0.2">
      <c r="Z12685" t="str">
        <f t="shared" si="198"/>
        <v/>
      </c>
    </row>
    <row r="12686" spans="26:26" x14ac:dyDescent="0.2">
      <c r="Z12686" t="str">
        <f t="shared" si="198"/>
        <v/>
      </c>
    </row>
    <row r="12687" spans="26:26" x14ac:dyDescent="0.2">
      <c r="Z12687" t="str">
        <f t="shared" si="198"/>
        <v/>
      </c>
    </row>
    <row r="12688" spans="26:26" x14ac:dyDescent="0.2">
      <c r="Z12688" t="str">
        <f t="shared" si="198"/>
        <v/>
      </c>
    </row>
    <row r="12689" spans="26:26" x14ac:dyDescent="0.2">
      <c r="Z12689" t="str">
        <f t="shared" si="198"/>
        <v/>
      </c>
    </row>
    <row r="12690" spans="26:26" x14ac:dyDescent="0.2">
      <c r="Z12690" t="str">
        <f t="shared" si="198"/>
        <v/>
      </c>
    </row>
    <row r="12691" spans="26:26" x14ac:dyDescent="0.2">
      <c r="Z12691" t="str">
        <f t="shared" si="198"/>
        <v/>
      </c>
    </row>
    <row r="12692" spans="26:26" x14ac:dyDescent="0.2">
      <c r="Z12692" t="str">
        <f t="shared" si="198"/>
        <v/>
      </c>
    </row>
    <row r="12693" spans="26:26" x14ac:dyDescent="0.2">
      <c r="Z12693" t="str">
        <f t="shared" si="198"/>
        <v/>
      </c>
    </row>
    <row r="12694" spans="26:26" x14ac:dyDescent="0.2">
      <c r="Z12694" t="str">
        <f t="shared" si="198"/>
        <v/>
      </c>
    </row>
    <row r="12695" spans="26:26" x14ac:dyDescent="0.2">
      <c r="Z12695" t="str">
        <f t="shared" si="198"/>
        <v/>
      </c>
    </row>
    <row r="12696" spans="26:26" x14ac:dyDescent="0.2">
      <c r="Z12696" t="str">
        <f t="shared" si="198"/>
        <v/>
      </c>
    </row>
    <row r="12697" spans="26:26" x14ac:dyDescent="0.2">
      <c r="Z12697" t="str">
        <f t="shared" si="198"/>
        <v/>
      </c>
    </row>
    <row r="12698" spans="26:26" x14ac:dyDescent="0.2">
      <c r="Z12698" t="str">
        <f t="shared" si="198"/>
        <v/>
      </c>
    </row>
    <row r="12699" spans="26:26" x14ac:dyDescent="0.2">
      <c r="Z12699" t="str">
        <f t="shared" si="198"/>
        <v/>
      </c>
    </row>
    <row r="12700" spans="26:26" x14ac:dyDescent="0.2">
      <c r="Z12700" t="str">
        <f t="shared" si="198"/>
        <v/>
      </c>
    </row>
    <row r="12701" spans="26:26" x14ac:dyDescent="0.2">
      <c r="Z12701" t="str">
        <f t="shared" si="198"/>
        <v/>
      </c>
    </row>
    <row r="12702" spans="26:26" x14ac:dyDescent="0.2">
      <c r="Z12702" t="str">
        <f t="shared" si="198"/>
        <v/>
      </c>
    </row>
    <row r="12703" spans="26:26" x14ac:dyDescent="0.2">
      <c r="Z12703" t="str">
        <f t="shared" si="198"/>
        <v/>
      </c>
    </row>
    <row r="12704" spans="26:26" x14ac:dyDescent="0.2">
      <c r="Z12704" t="str">
        <f t="shared" si="198"/>
        <v/>
      </c>
    </row>
    <row r="12705" spans="26:26" x14ac:dyDescent="0.2">
      <c r="Z12705" t="str">
        <f t="shared" si="198"/>
        <v/>
      </c>
    </row>
    <row r="12706" spans="26:26" x14ac:dyDescent="0.2">
      <c r="Z12706" t="str">
        <f t="shared" si="198"/>
        <v/>
      </c>
    </row>
    <row r="12707" spans="26:26" x14ac:dyDescent="0.2">
      <c r="Z12707" t="str">
        <f t="shared" si="198"/>
        <v/>
      </c>
    </row>
    <row r="12708" spans="26:26" x14ac:dyDescent="0.2">
      <c r="Z12708" t="str">
        <f t="shared" si="198"/>
        <v/>
      </c>
    </row>
    <row r="12709" spans="26:26" x14ac:dyDescent="0.2">
      <c r="Z12709" t="str">
        <f t="shared" si="198"/>
        <v/>
      </c>
    </row>
    <row r="12710" spans="26:26" x14ac:dyDescent="0.2">
      <c r="Z12710" t="str">
        <f t="shared" si="198"/>
        <v/>
      </c>
    </row>
    <row r="12711" spans="26:26" x14ac:dyDescent="0.2">
      <c r="Z12711" t="str">
        <f t="shared" si="198"/>
        <v/>
      </c>
    </row>
    <row r="12712" spans="26:26" x14ac:dyDescent="0.2">
      <c r="Z12712" t="str">
        <f t="shared" si="198"/>
        <v/>
      </c>
    </row>
    <row r="12713" spans="26:26" x14ac:dyDescent="0.2">
      <c r="Z12713" t="str">
        <f t="shared" si="198"/>
        <v/>
      </c>
    </row>
    <row r="12714" spans="26:26" x14ac:dyDescent="0.2">
      <c r="Z12714" t="str">
        <f t="shared" si="198"/>
        <v/>
      </c>
    </row>
    <row r="12715" spans="26:26" x14ac:dyDescent="0.2">
      <c r="Z12715" t="str">
        <f t="shared" si="198"/>
        <v/>
      </c>
    </row>
    <row r="12716" spans="26:26" x14ac:dyDescent="0.2">
      <c r="Z12716" t="str">
        <f t="shared" si="198"/>
        <v/>
      </c>
    </row>
    <row r="12717" spans="26:26" x14ac:dyDescent="0.2">
      <c r="Z12717" t="str">
        <f t="shared" si="198"/>
        <v/>
      </c>
    </row>
    <row r="12718" spans="26:26" x14ac:dyDescent="0.2">
      <c r="Z12718" t="str">
        <f t="shared" si="198"/>
        <v/>
      </c>
    </row>
    <row r="12719" spans="26:26" x14ac:dyDescent="0.2">
      <c r="Z12719" t="str">
        <f t="shared" si="198"/>
        <v/>
      </c>
    </row>
    <row r="12720" spans="26:26" x14ac:dyDescent="0.2">
      <c r="Z12720" t="str">
        <f t="shared" si="198"/>
        <v/>
      </c>
    </row>
    <row r="12721" spans="26:26" x14ac:dyDescent="0.2">
      <c r="Z12721" t="str">
        <f t="shared" si="198"/>
        <v/>
      </c>
    </row>
    <row r="12722" spans="26:26" x14ac:dyDescent="0.2">
      <c r="Z12722" t="str">
        <f t="shared" si="198"/>
        <v/>
      </c>
    </row>
    <row r="12723" spans="26:26" x14ac:dyDescent="0.2">
      <c r="Z12723" t="str">
        <f t="shared" si="198"/>
        <v/>
      </c>
    </row>
    <row r="12724" spans="26:26" x14ac:dyDescent="0.2">
      <c r="Z12724" t="str">
        <f t="shared" si="198"/>
        <v/>
      </c>
    </row>
    <row r="12725" spans="26:26" x14ac:dyDescent="0.2">
      <c r="Z12725" t="str">
        <f t="shared" si="198"/>
        <v/>
      </c>
    </row>
    <row r="12726" spans="26:26" x14ac:dyDescent="0.2">
      <c r="Z12726" t="str">
        <f t="shared" si="198"/>
        <v/>
      </c>
    </row>
    <row r="12727" spans="26:26" x14ac:dyDescent="0.2">
      <c r="Z12727" t="str">
        <f t="shared" si="198"/>
        <v/>
      </c>
    </row>
    <row r="12728" spans="26:26" x14ac:dyDescent="0.2">
      <c r="Z12728" t="str">
        <f t="shared" si="198"/>
        <v/>
      </c>
    </row>
    <row r="12729" spans="26:26" x14ac:dyDescent="0.2">
      <c r="Z12729" t="str">
        <f t="shared" si="198"/>
        <v/>
      </c>
    </row>
    <row r="12730" spans="26:26" x14ac:dyDescent="0.2">
      <c r="Z12730" t="str">
        <f t="shared" si="198"/>
        <v/>
      </c>
    </row>
    <row r="12731" spans="26:26" x14ac:dyDescent="0.2">
      <c r="Z12731" t="str">
        <f t="shared" si="198"/>
        <v/>
      </c>
    </row>
    <row r="12732" spans="26:26" x14ac:dyDescent="0.2">
      <c r="Z12732" t="str">
        <f t="shared" si="198"/>
        <v/>
      </c>
    </row>
    <row r="12733" spans="26:26" x14ac:dyDescent="0.2">
      <c r="Z12733" t="str">
        <f t="shared" si="198"/>
        <v/>
      </c>
    </row>
    <row r="12734" spans="26:26" x14ac:dyDescent="0.2">
      <c r="Z12734" t="str">
        <f t="shared" si="198"/>
        <v/>
      </c>
    </row>
    <row r="12735" spans="26:26" x14ac:dyDescent="0.2">
      <c r="Z12735" t="str">
        <f t="shared" si="198"/>
        <v/>
      </c>
    </row>
    <row r="12736" spans="26:26" x14ac:dyDescent="0.2">
      <c r="Z12736" t="str">
        <f t="shared" si="198"/>
        <v/>
      </c>
    </row>
    <row r="12737" spans="26:26" x14ac:dyDescent="0.2">
      <c r="Z12737" t="str">
        <f t="shared" si="198"/>
        <v/>
      </c>
    </row>
    <row r="12738" spans="26:26" x14ac:dyDescent="0.2">
      <c r="Z12738" t="str">
        <f t="shared" si="198"/>
        <v/>
      </c>
    </row>
    <row r="12739" spans="26:26" x14ac:dyDescent="0.2">
      <c r="Z12739" t="str">
        <f t="shared" ref="Z12739:Z12802" si="199">IF(K12739="","",IFERROR(VALUE(TRIM(MID(K12739,FIND(CHAR(167),SUBSTITUTE(K12739,"-",CHAR(167),LEN(K12739)-LEN(SUBSTITUTE(K12739,"-",""))))+1,100))),K12739))</f>
        <v/>
      </c>
    </row>
    <row r="12740" spans="26:26" x14ac:dyDescent="0.2">
      <c r="Z12740" t="str">
        <f t="shared" si="199"/>
        <v/>
      </c>
    </row>
    <row r="12741" spans="26:26" x14ac:dyDescent="0.2">
      <c r="Z12741" t="str">
        <f t="shared" si="199"/>
        <v/>
      </c>
    </row>
    <row r="12742" spans="26:26" x14ac:dyDescent="0.2">
      <c r="Z12742" t="str">
        <f t="shared" si="199"/>
        <v/>
      </c>
    </row>
    <row r="12743" spans="26:26" x14ac:dyDescent="0.2">
      <c r="Z12743" t="str">
        <f t="shared" si="199"/>
        <v/>
      </c>
    </row>
    <row r="12744" spans="26:26" x14ac:dyDescent="0.2">
      <c r="Z12744" t="str">
        <f t="shared" si="199"/>
        <v/>
      </c>
    </row>
    <row r="12745" spans="26:26" x14ac:dyDescent="0.2">
      <c r="Z12745" t="str">
        <f t="shared" si="199"/>
        <v/>
      </c>
    </row>
    <row r="12746" spans="26:26" x14ac:dyDescent="0.2">
      <c r="Z12746" t="str">
        <f t="shared" si="199"/>
        <v/>
      </c>
    </row>
    <row r="12747" spans="26:26" x14ac:dyDescent="0.2">
      <c r="Z12747" t="str">
        <f t="shared" si="199"/>
        <v/>
      </c>
    </row>
    <row r="12748" spans="26:26" x14ac:dyDescent="0.2">
      <c r="Z12748" t="str">
        <f t="shared" si="199"/>
        <v/>
      </c>
    </row>
    <row r="12749" spans="26:26" x14ac:dyDescent="0.2">
      <c r="Z12749" t="str">
        <f t="shared" si="199"/>
        <v/>
      </c>
    </row>
    <row r="12750" spans="26:26" x14ac:dyDescent="0.2">
      <c r="Z12750" t="str">
        <f t="shared" si="199"/>
        <v/>
      </c>
    </row>
    <row r="12751" spans="26:26" x14ac:dyDescent="0.2">
      <c r="Z12751" t="str">
        <f t="shared" si="199"/>
        <v/>
      </c>
    </row>
    <row r="12752" spans="26:26" x14ac:dyDescent="0.2">
      <c r="Z12752" t="str">
        <f t="shared" si="199"/>
        <v/>
      </c>
    </row>
    <row r="12753" spans="26:26" x14ac:dyDescent="0.2">
      <c r="Z12753" t="str">
        <f t="shared" si="199"/>
        <v/>
      </c>
    </row>
    <row r="12754" spans="26:26" x14ac:dyDescent="0.2">
      <c r="Z12754" t="str">
        <f t="shared" si="199"/>
        <v/>
      </c>
    </row>
    <row r="12755" spans="26:26" x14ac:dyDescent="0.2">
      <c r="Z12755" t="str">
        <f t="shared" si="199"/>
        <v/>
      </c>
    </row>
    <row r="12756" spans="26:26" x14ac:dyDescent="0.2">
      <c r="Z12756" t="str">
        <f t="shared" si="199"/>
        <v/>
      </c>
    </row>
    <row r="12757" spans="26:26" x14ac:dyDescent="0.2">
      <c r="Z12757" t="str">
        <f t="shared" si="199"/>
        <v/>
      </c>
    </row>
    <row r="12758" spans="26:26" x14ac:dyDescent="0.2">
      <c r="Z12758" t="str">
        <f t="shared" si="199"/>
        <v/>
      </c>
    </row>
    <row r="12759" spans="26:26" x14ac:dyDescent="0.2">
      <c r="Z12759" t="str">
        <f t="shared" si="199"/>
        <v/>
      </c>
    </row>
    <row r="12760" spans="26:26" x14ac:dyDescent="0.2">
      <c r="Z12760" t="str">
        <f t="shared" si="199"/>
        <v/>
      </c>
    </row>
    <row r="12761" spans="26:26" x14ac:dyDescent="0.2">
      <c r="Z12761" t="str">
        <f t="shared" si="199"/>
        <v/>
      </c>
    </row>
    <row r="12762" spans="26:26" x14ac:dyDescent="0.2">
      <c r="Z12762" t="str">
        <f t="shared" si="199"/>
        <v/>
      </c>
    </row>
    <row r="12763" spans="26:26" x14ac:dyDescent="0.2">
      <c r="Z12763" t="str">
        <f t="shared" si="199"/>
        <v/>
      </c>
    </row>
    <row r="12764" spans="26:26" x14ac:dyDescent="0.2">
      <c r="Z12764" t="str">
        <f t="shared" si="199"/>
        <v/>
      </c>
    </row>
    <row r="12765" spans="26:26" x14ac:dyDescent="0.2">
      <c r="Z12765" t="str">
        <f t="shared" si="199"/>
        <v/>
      </c>
    </row>
    <row r="12766" spans="26:26" x14ac:dyDescent="0.2">
      <c r="Z12766" t="str">
        <f t="shared" si="199"/>
        <v/>
      </c>
    </row>
    <row r="12767" spans="26:26" x14ac:dyDescent="0.2">
      <c r="Z12767" t="str">
        <f t="shared" si="199"/>
        <v/>
      </c>
    </row>
    <row r="12768" spans="26:26" x14ac:dyDescent="0.2">
      <c r="Z12768" t="str">
        <f t="shared" si="199"/>
        <v/>
      </c>
    </row>
    <row r="12769" spans="26:26" x14ac:dyDescent="0.2">
      <c r="Z12769" t="str">
        <f t="shared" si="199"/>
        <v/>
      </c>
    </row>
    <row r="12770" spans="26:26" x14ac:dyDescent="0.2">
      <c r="Z12770" t="str">
        <f t="shared" si="199"/>
        <v/>
      </c>
    </row>
    <row r="12771" spans="26:26" x14ac:dyDescent="0.2">
      <c r="Z12771" t="str">
        <f t="shared" si="199"/>
        <v/>
      </c>
    </row>
    <row r="12772" spans="26:26" x14ac:dyDescent="0.2">
      <c r="Z12772" t="str">
        <f t="shared" si="199"/>
        <v/>
      </c>
    </row>
    <row r="12773" spans="26:26" x14ac:dyDescent="0.2">
      <c r="Z12773" t="str">
        <f t="shared" si="199"/>
        <v/>
      </c>
    </row>
    <row r="12774" spans="26:26" x14ac:dyDescent="0.2">
      <c r="Z12774" t="str">
        <f t="shared" si="199"/>
        <v/>
      </c>
    </row>
    <row r="12775" spans="26:26" x14ac:dyDescent="0.2">
      <c r="Z12775" t="str">
        <f t="shared" si="199"/>
        <v/>
      </c>
    </row>
    <row r="12776" spans="26:26" x14ac:dyDescent="0.2">
      <c r="Z12776" t="str">
        <f t="shared" si="199"/>
        <v/>
      </c>
    </row>
    <row r="12777" spans="26:26" x14ac:dyDescent="0.2">
      <c r="Z12777" t="str">
        <f t="shared" si="199"/>
        <v/>
      </c>
    </row>
    <row r="12778" spans="26:26" x14ac:dyDescent="0.2">
      <c r="Z12778" t="str">
        <f t="shared" si="199"/>
        <v/>
      </c>
    </row>
    <row r="12779" spans="26:26" x14ac:dyDescent="0.2">
      <c r="Z12779" t="str">
        <f t="shared" si="199"/>
        <v/>
      </c>
    </row>
    <row r="12780" spans="26:26" x14ac:dyDescent="0.2">
      <c r="Z12780" t="str">
        <f t="shared" si="199"/>
        <v/>
      </c>
    </row>
    <row r="12781" spans="26:26" x14ac:dyDescent="0.2">
      <c r="Z12781" t="str">
        <f t="shared" si="199"/>
        <v/>
      </c>
    </row>
    <row r="12782" spans="26:26" x14ac:dyDescent="0.2">
      <c r="Z12782" t="str">
        <f t="shared" si="199"/>
        <v/>
      </c>
    </row>
    <row r="12783" spans="26:26" x14ac:dyDescent="0.2">
      <c r="Z12783" t="str">
        <f t="shared" si="199"/>
        <v/>
      </c>
    </row>
    <row r="12784" spans="26:26" x14ac:dyDescent="0.2">
      <c r="Z12784" t="str">
        <f t="shared" si="199"/>
        <v/>
      </c>
    </row>
    <row r="12785" spans="26:26" x14ac:dyDescent="0.2">
      <c r="Z12785" t="str">
        <f t="shared" si="199"/>
        <v/>
      </c>
    </row>
    <row r="12786" spans="26:26" x14ac:dyDescent="0.2">
      <c r="Z12786" t="str">
        <f t="shared" si="199"/>
        <v/>
      </c>
    </row>
    <row r="12787" spans="26:26" x14ac:dyDescent="0.2">
      <c r="Z12787" t="str">
        <f t="shared" si="199"/>
        <v/>
      </c>
    </row>
    <row r="12788" spans="26:26" x14ac:dyDescent="0.2">
      <c r="Z12788" t="str">
        <f t="shared" si="199"/>
        <v/>
      </c>
    </row>
    <row r="12789" spans="26:26" x14ac:dyDescent="0.2">
      <c r="Z12789" t="str">
        <f t="shared" si="199"/>
        <v/>
      </c>
    </row>
    <row r="12790" spans="26:26" x14ac:dyDescent="0.2">
      <c r="Z12790" t="str">
        <f t="shared" si="199"/>
        <v/>
      </c>
    </row>
    <row r="12791" spans="26:26" x14ac:dyDescent="0.2">
      <c r="Z12791" t="str">
        <f t="shared" si="199"/>
        <v/>
      </c>
    </row>
    <row r="12792" spans="26:26" x14ac:dyDescent="0.2">
      <c r="Z12792" t="str">
        <f t="shared" si="199"/>
        <v/>
      </c>
    </row>
    <row r="12793" spans="26:26" x14ac:dyDescent="0.2">
      <c r="Z12793" t="str">
        <f t="shared" si="199"/>
        <v/>
      </c>
    </row>
    <row r="12794" spans="26:26" x14ac:dyDescent="0.2">
      <c r="Z12794" t="str">
        <f t="shared" si="199"/>
        <v/>
      </c>
    </row>
    <row r="12795" spans="26:26" x14ac:dyDescent="0.2">
      <c r="Z12795" t="str">
        <f t="shared" si="199"/>
        <v/>
      </c>
    </row>
    <row r="12796" spans="26:26" x14ac:dyDescent="0.2">
      <c r="Z12796" t="str">
        <f t="shared" si="199"/>
        <v/>
      </c>
    </row>
    <row r="12797" spans="26:26" x14ac:dyDescent="0.2">
      <c r="Z12797" t="str">
        <f t="shared" si="199"/>
        <v/>
      </c>
    </row>
    <row r="12798" spans="26:26" x14ac:dyDescent="0.2">
      <c r="Z12798" t="str">
        <f t="shared" si="199"/>
        <v/>
      </c>
    </row>
    <row r="12799" spans="26:26" x14ac:dyDescent="0.2">
      <c r="Z12799" t="str">
        <f t="shared" si="199"/>
        <v/>
      </c>
    </row>
    <row r="12800" spans="26:26" x14ac:dyDescent="0.2">
      <c r="Z12800" t="str">
        <f t="shared" si="199"/>
        <v/>
      </c>
    </row>
    <row r="12801" spans="26:26" x14ac:dyDescent="0.2">
      <c r="Z12801" t="str">
        <f t="shared" si="199"/>
        <v/>
      </c>
    </row>
    <row r="12802" spans="26:26" x14ac:dyDescent="0.2">
      <c r="Z12802" t="str">
        <f t="shared" si="199"/>
        <v/>
      </c>
    </row>
    <row r="12803" spans="26:26" x14ac:dyDescent="0.2">
      <c r="Z12803" t="str">
        <f t="shared" ref="Z12803:Z12866" si="200">IF(K12803="","",IFERROR(VALUE(TRIM(MID(K12803,FIND(CHAR(167),SUBSTITUTE(K12803,"-",CHAR(167),LEN(K12803)-LEN(SUBSTITUTE(K12803,"-",""))))+1,100))),K12803))</f>
        <v/>
      </c>
    </row>
    <row r="12804" spans="26:26" x14ac:dyDescent="0.2">
      <c r="Z12804" t="str">
        <f t="shared" si="200"/>
        <v/>
      </c>
    </row>
    <row r="12805" spans="26:26" x14ac:dyDescent="0.2">
      <c r="Z12805" t="str">
        <f t="shared" si="200"/>
        <v/>
      </c>
    </row>
    <row r="12806" spans="26:26" x14ac:dyDescent="0.2">
      <c r="Z12806" t="str">
        <f t="shared" si="200"/>
        <v/>
      </c>
    </row>
    <row r="12807" spans="26:26" x14ac:dyDescent="0.2">
      <c r="Z12807" t="str">
        <f t="shared" si="200"/>
        <v/>
      </c>
    </row>
    <row r="12808" spans="26:26" x14ac:dyDescent="0.2">
      <c r="Z12808" t="str">
        <f t="shared" si="200"/>
        <v/>
      </c>
    </row>
    <row r="12809" spans="26:26" x14ac:dyDescent="0.2">
      <c r="Z12809" t="str">
        <f t="shared" si="200"/>
        <v/>
      </c>
    </row>
    <row r="12810" spans="26:26" x14ac:dyDescent="0.2">
      <c r="Z12810" t="str">
        <f t="shared" si="200"/>
        <v/>
      </c>
    </row>
    <row r="12811" spans="26:26" x14ac:dyDescent="0.2">
      <c r="Z12811" t="str">
        <f t="shared" si="200"/>
        <v/>
      </c>
    </row>
    <row r="12812" spans="26:26" x14ac:dyDescent="0.2">
      <c r="Z12812" t="str">
        <f t="shared" si="200"/>
        <v/>
      </c>
    </row>
    <row r="12813" spans="26:26" x14ac:dyDescent="0.2">
      <c r="Z12813" t="str">
        <f t="shared" si="200"/>
        <v/>
      </c>
    </row>
    <row r="12814" spans="26:26" x14ac:dyDescent="0.2">
      <c r="Z12814" t="str">
        <f t="shared" si="200"/>
        <v/>
      </c>
    </row>
    <row r="12815" spans="26:26" x14ac:dyDescent="0.2">
      <c r="Z12815" t="str">
        <f t="shared" si="200"/>
        <v/>
      </c>
    </row>
    <row r="12816" spans="26:26" x14ac:dyDescent="0.2">
      <c r="Z12816" t="str">
        <f t="shared" si="200"/>
        <v/>
      </c>
    </row>
    <row r="12817" spans="26:26" x14ac:dyDescent="0.2">
      <c r="Z12817" t="str">
        <f t="shared" si="200"/>
        <v/>
      </c>
    </row>
    <row r="12818" spans="26:26" x14ac:dyDescent="0.2">
      <c r="Z12818" t="str">
        <f t="shared" si="200"/>
        <v/>
      </c>
    </row>
    <row r="12819" spans="26:26" x14ac:dyDescent="0.2">
      <c r="Z12819" t="str">
        <f t="shared" si="200"/>
        <v/>
      </c>
    </row>
    <row r="12820" spans="26:26" x14ac:dyDescent="0.2">
      <c r="Z12820" t="str">
        <f t="shared" si="200"/>
        <v/>
      </c>
    </row>
    <row r="12821" spans="26:26" x14ac:dyDescent="0.2">
      <c r="Z12821" t="str">
        <f t="shared" si="200"/>
        <v/>
      </c>
    </row>
    <row r="12822" spans="26:26" x14ac:dyDescent="0.2">
      <c r="Z12822" t="str">
        <f t="shared" si="200"/>
        <v/>
      </c>
    </row>
    <row r="12823" spans="26:26" x14ac:dyDescent="0.2">
      <c r="Z12823" t="str">
        <f t="shared" si="200"/>
        <v/>
      </c>
    </row>
    <row r="12824" spans="26:26" x14ac:dyDescent="0.2">
      <c r="Z12824" t="str">
        <f t="shared" si="200"/>
        <v/>
      </c>
    </row>
    <row r="12825" spans="26:26" x14ac:dyDescent="0.2">
      <c r="Z12825" t="str">
        <f t="shared" si="200"/>
        <v/>
      </c>
    </row>
    <row r="12826" spans="26:26" x14ac:dyDescent="0.2">
      <c r="Z12826" t="str">
        <f t="shared" si="200"/>
        <v/>
      </c>
    </row>
    <row r="12827" spans="26:26" x14ac:dyDescent="0.2">
      <c r="Z12827" t="str">
        <f t="shared" si="200"/>
        <v/>
      </c>
    </row>
    <row r="12828" spans="26:26" x14ac:dyDescent="0.2">
      <c r="Z12828" t="str">
        <f t="shared" si="200"/>
        <v/>
      </c>
    </row>
    <row r="12829" spans="26:26" x14ac:dyDescent="0.2">
      <c r="Z12829" t="str">
        <f t="shared" si="200"/>
        <v/>
      </c>
    </row>
    <row r="12830" spans="26:26" x14ac:dyDescent="0.2">
      <c r="Z12830" t="str">
        <f t="shared" si="200"/>
        <v/>
      </c>
    </row>
    <row r="12831" spans="26:26" x14ac:dyDescent="0.2">
      <c r="Z12831" t="str">
        <f t="shared" si="200"/>
        <v/>
      </c>
    </row>
    <row r="12832" spans="26:26" x14ac:dyDescent="0.2">
      <c r="Z12832" t="str">
        <f t="shared" si="200"/>
        <v/>
      </c>
    </row>
    <row r="12833" spans="26:26" x14ac:dyDescent="0.2">
      <c r="Z12833" t="str">
        <f t="shared" si="200"/>
        <v/>
      </c>
    </row>
    <row r="12834" spans="26:26" x14ac:dyDescent="0.2">
      <c r="Z12834" t="str">
        <f t="shared" si="200"/>
        <v/>
      </c>
    </row>
    <row r="12835" spans="26:26" x14ac:dyDescent="0.2">
      <c r="Z12835" t="str">
        <f t="shared" si="200"/>
        <v/>
      </c>
    </row>
    <row r="12836" spans="26:26" x14ac:dyDescent="0.2">
      <c r="Z12836" t="str">
        <f t="shared" si="200"/>
        <v/>
      </c>
    </row>
    <row r="12837" spans="26:26" x14ac:dyDescent="0.2">
      <c r="Z12837" t="str">
        <f t="shared" si="200"/>
        <v/>
      </c>
    </row>
    <row r="12838" spans="26:26" x14ac:dyDescent="0.2">
      <c r="Z12838" t="str">
        <f t="shared" si="200"/>
        <v/>
      </c>
    </row>
    <row r="12839" spans="26:26" x14ac:dyDescent="0.2">
      <c r="Z12839" t="str">
        <f t="shared" si="200"/>
        <v/>
      </c>
    </row>
    <row r="12840" spans="26:26" x14ac:dyDescent="0.2">
      <c r="Z12840" t="str">
        <f t="shared" si="200"/>
        <v/>
      </c>
    </row>
    <row r="12841" spans="26:26" x14ac:dyDescent="0.2">
      <c r="Z12841" t="str">
        <f t="shared" si="200"/>
        <v/>
      </c>
    </row>
    <row r="12842" spans="26:26" x14ac:dyDescent="0.2">
      <c r="Z12842" t="str">
        <f t="shared" si="200"/>
        <v/>
      </c>
    </row>
    <row r="12843" spans="26:26" x14ac:dyDescent="0.2">
      <c r="Z12843" t="str">
        <f t="shared" si="200"/>
        <v/>
      </c>
    </row>
    <row r="12844" spans="26:26" x14ac:dyDescent="0.2">
      <c r="Z12844" t="str">
        <f t="shared" si="200"/>
        <v/>
      </c>
    </row>
    <row r="12845" spans="26:26" x14ac:dyDescent="0.2">
      <c r="Z12845" t="str">
        <f t="shared" si="200"/>
        <v/>
      </c>
    </row>
    <row r="12846" spans="26:26" x14ac:dyDescent="0.2">
      <c r="Z12846" t="str">
        <f t="shared" si="200"/>
        <v/>
      </c>
    </row>
    <row r="12847" spans="26:26" x14ac:dyDescent="0.2">
      <c r="Z12847" t="str">
        <f t="shared" si="200"/>
        <v/>
      </c>
    </row>
    <row r="12848" spans="26:26" x14ac:dyDescent="0.2">
      <c r="Z12848" t="str">
        <f t="shared" si="200"/>
        <v/>
      </c>
    </row>
    <row r="12849" spans="26:26" x14ac:dyDescent="0.2">
      <c r="Z12849" t="str">
        <f t="shared" si="200"/>
        <v/>
      </c>
    </row>
    <row r="12850" spans="26:26" x14ac:dyDescent="0.2">
      <c r="Z12850" t="str">
        <f t="shared" si="200"/>
        <v/>
      </c>
    </row>
    <row r="12851" spans="26:26" x14ac:dyDescent="0.2">
      <c r="Z12851" t="str">
        <f t="shared" si="200"/>
        <v/>
      </c>
    </row>
    <row r="12852" spans="26:26" x14ac:dyDescent="0.2">
      <c r="Z12852" t="str">
        <f t="shared" si="200"/>
        <v/>
      </c>
    </row>
    <row r="12853" spans="26:26" x14ac:dyDescent="0.2">
      <c r="Z12853" t="str">
        <f t="shared" si="200"/>
        <v/>
      </c>
    </row>
    <row r="12854" spans="26:26" x14ac:dyDescent="0.2">
      <c r="Z12854" t="str">
        <f t="shared" si="200"/>
        <v/>
      </c>
    </row>
    <row r="12855" spans="26:26" x14ac:dyDescent="0.2">
      <c r="Z12855" t="str">
        <f t="shared" si="200"/>
        <v/>
      </c>
    </row>
    <row r="12856" spans="26:26" x14ac:dyDescent="0.2">
      <c r="Z12856" t="str">
        <f t="shared" si="200"/>
        <v/>
      </c>
    </row>
    <row r="12857" spans="26:26" x14ac:dyDescent="0.2">
      <c r="Z12857" t="str">
        <f t="shared" si="200"/>
        <v/>
      </c>
    </row>
    <row r="12858" spans="26:26" x14ac:dyDescent="0.2">
      <c r="Z12858" t="str">
        <f t="shared" si="200"/>
        <v/>
      </c>
    </row>
    <row r="12859" spans="26:26" x14ac:dyDescent="0.2">
      <c r="Z12859" t="str">
        <f t="shared" si="200"/>
        <v/>
      </c>
    </row>
    <row r="12860" spans="26:26" x14ac:dyDescent="0.2">
      <c r="Z12860" t="str">
        <f t="shared" si="200"/>
        <v/>
      </c>
    </row>
    <row r="12861" spans="26:26" x14ac:dyDescent="0.2">
      <c r="Z12861" t="str">
        <f t="shared" si="200"/>
        <v/>
      </c>
    </row>
    <row r="12862" spans="26:26" x14ac:dyDescent="0.2">
      <c r="Z12862" t="str">
        <f t="shared" si="200"/>
        <v/>
      </c>
    </row>
    <row r="12863" spans="26:26" x14ac:dyDescent="0.2">
      <c r="Z12863" t="str">
        <f t="shared" si="200"/>
        <v/>
      </c>
    </row>
    <row r="12864" spans="26:26" x14ac:dyDescent="0.2">
      <c r="Z12864" t="str">
        <f t="shared" si="200"/>
        <v/>
      </c>
    </row>
    <row r="12865" spans="26:26" x14ac:dyDescent="0.2">
      <c r="Z12865" t="str">
        <f t="shared" si="200"/>
        <v/>
      </c>
    </row>
    <row r="12866" spans="26:26" x14ac:dyDescent="0.2">
      <c r="Z12866" t="str">
        <f t="shared" si="200"/>
        <v/>
      </c>
    </row>
    <row r="12867" spans="26:26" x14ac:dyDescent="0.2">
      <c r="Z12867" t="str">
        <f t="shared" ref="Z12867:Z12930" si="201">IF(K12867="","",IFERROR(VALUE(TRIM(MID(K12867,FIND(CHAR(167),SUBSTITUTE(K12867,"-",CHAR(167),LEN(K12867)-LEN(SUBSTITUTE(K12867,"-",""))))+1,100))),K12867))</f>
        <v/>
      </c>
    </row>
    <row r="12868" spans="26:26" x14ac:dyDescent="0.2">
      <c r="Z12868" t="str">
        <f t="shared" si="201"/>
        <v/>
      </c>
    </row>
    <row r="12869" spans="26:26" x14ac:dyDescent="0.2">
      <c r="Z12869" t="str">
        <f t="shared" si="201"/>
        <v/>
      </c>
    </row>
    <row r="12870" spans="26:26" x14ac:dyDescent="0.2">
      <c r="Z12870" t="str">
        <f t="shared" si="201"/>
        <v/>
      </c>
    </row>
    <row r="12871" spans="26:26" x14ac:dyDescent="0.2">
      <c r="Z12871" t="str">
        <f t="shared" si="201"/>
        <v/>
      </c>
    </row>
    <row r="12872" spans="26:26" x14ac:dyDescent="0.2">
      <c r="Z12872" t="str">
        <f t="shared" si="201"/>
        <v/>
      </c>
    </row>
    <row r="12873" spans="26:26" x14ac:dyDescent="0.2">
      <c r="Z12873" t="str">
        <f t="shared" si="201"/>
        <v/>
      </c>
    </row>
    <row r="12874" spans="26:26" x14ac:dyDescent="0.2">
      <c r="Z12874" t="str">
        <f t="shared" si="201"/>
        <v/>
      </c>
    </row>
    <row r="12875" spans="26:26" x14ac:dyDescent="0.2">
      <c r="Z12875" t="str">
        <f t="shared" si="201"/>
        <v/>
      </c>
    </row>
    <row r="12876" spans="26:26" x14ac:dyDescent="0.2">
      <c r="Z12876" t="str">
        <f t="shared" si="201"/>
        <v/>
      </c>
    </row>
    <row r="12877" spans="26:26" x14ac:dyDescent="0.2">
      <c r="Z12877" t="str">
        <f t="shared" si="201"/>
        <v/>
      </c>
    </row>
    <row r="12878" spans="26:26" x14ac:dyDescent="0.2">
      <c r="Z12878" t="str">
        <f t="shared" si="201"/>
        <v/>
      </c>
    </row>
    <row r="12879" spans="26:26" x14ac:dyDescent="0.2">
      <c r="Z12879" t="str">
        <f t="shared" si="201"/>
        <v/>
      </c>
    </row>
    <row r="12880" spans="26:26" x14ac:dyDescent="0.2">
      <c r="Z12880" t="str">
        <f t="shared" si="201"/>
        <v/>
      </c>
    </row>
    <row r="12881" spans="26:26" x14ac:dyDescent="0.2">
      <c r="Z12881" t="str">
        <f t="shared" si="201"/>
        <v/>
      </c>
    </row>
    <row r="12882" spans="26:26" x14ac:dyDescent="0.2">
      <c r="Z12882" t="str">
        <f t="shared" si="201"/>
        <v/>
      </c>
    </row>
    <row r="12883" spans="26:26" x14ac:dyDescent="0.2">
      <c r="Z12883" t="str">
        <f t="shared" si="201"/>
        <v/>
      </c>
    </row>
    <row r="12884" spans="26:26" x14ac:dyDescent="0.2">
      <c r="Z12884" t="str">
        <f t="shared" si="201"/>
        <v/>
      </c>
    </row>
    <row r="12885" spans="26:26" x14ac:dyDescent="0.2">
      <c r="Z12885" t="str">
        <f t="shared" si="201"/>
        <v/>
      </c>
    </row>
    <row r="12886" spans="26:26" x14ac:dyDescent="0.2">
      <c r="Z12886" t="str">
        <f t="shared" si="201"/>
        <v/>
      </c>
    </row>
    <row r="12887" spans="26:26" x14ac:dyDescent="0.2">
      <c r="Z12887" t="str">
        <f t="shared" si="201"/>
        <v/>
      </c>
    </row>
    <row r="12888" spans="26:26" x14ac:dyDescent="0.2">
      <c r="Z12888" t="str">
        <f t="shared" si="201"/>
        <v/>
      </c>
    </row>
    <row r="12889" spans="26:26" x14ac:dyDescent="0.2">
      <c r="Z12889" t="str">
        <f t="shared" si="201"/>
        <v/>
      </c>
    </row>
    <row r="12890" spans="26:26" x14ac:dyDescent="0.2">
      <c r="Z12890" t="str">
        <f t="shared" si="201"/>
        <v/>
      </c>
    </row>
    <row r="12891" spans="26:26" x14ac:dyDescent="0.2">
      <c r="Z12891" t="str">
        <f t="shared" si="201"/>
        <v/>
      </c>
    </row>
    <row r="12892" spans="26:26" x14ac:dyDescent="0.2">
      <c r="Z12892" t="str">
        <f t="shared" si="201"/>
        <v/>
      </c>
    </row>
    <row r="12893" spans="26:26" x14ac:dyDescent="0.2">
      <c r="Z12893" t="str">
        <f t="shared" si="201"/>
        <v/>
      </c>
    </row>
    <row r="12894" spans="26:26" x14ac:dyDescent="0.2">
      <c r="Z12894" t="str">
        <f t="shared" si="201"/>
        <v/>
      </c>
    </row>
    <row r="12895" spans="26:26" x14ac:dyDescent="0.2">
      <c r="Z12895" t="str">
        <f t="shared" si="201"/>
        <v/>
      </c>
    </row>
    <row r="12896" spans="26:26" x14ac:dyDescent="0.2">
      <c r="Z12896" t="str">
        <f t="shared" si="201"/>
        <v/>
      </c>
    </row>
    <row r="12897" spans="26:26" x14ac:dyDescent="0.2">
      <c r="Z12897" t="str">
        <f t="shared" si="201"/>
        <v/>
      </c>
    </row>
    <row r="12898" spans="26:26" x14ac:dyDescent="0.2">
      <c r="Z12898" t="str">
        <f t="shared" si="201"/>
        <v/>
      </c>
    </row>
    <row r="12899" spans="26:26" x14ac:dyDescent="0.2">
      <c r="Z12899" t="str">
        <f t="shared" si="201"/>
        <v/>
      </c>
    </row>
    <row r="12900" spans="26:26" x14ac:dyDescent="0.2">
      <c r="Z12900" t="str">
        <f t="shared" si="201"/>
        <v/>
      </c>
    </row>
    <row r="12901" spans="26:26" x14ac:dyDescent="0.2">
      <c r="Z12901" t="str">
        <f t="shared" si="201"/>
        <v/>
      </c>
    </row>
    <row r="12902" spans="26:26" x14ac:dyDescent="0.2">
      <c r="Z12902" t="str">
        <f t="shared" si="201"/>
        <v/>
      </c>
    </row>
    <row r="12903" spans="26:26" x14ac:dyDescent="0.2">
      <c r="Z12903" t="str">
        <f t="shared" si="201"/>
        <v/>
      </c>
    </row>
    <row r="12904" spans="26:26" x14ac:dyDescent="0.2">
      <c r="Z12904" t="str">
        <f t="shared" si="201"/>
        <v/>
      </c>
    </row>
    <row r="12905" spans="26:26" x14ac:dyDescent="0.2">
      <c r="Z12905" t="str">
        <f t="shared" si="201"/>
        <v/>
      </c>
    </row>
    <row r="12906" spans="26:26" x14ac:dyDescent="0.2">
      <c r="Z12906" t="str">
        <f t="shared" si="201"/>
        <v/>
      </c>
    </row>
    <row r="12907" spans="26:26" x14ac:dyDescent="0.2">
      <c r="Z12907" t="str">
        <f t="shared" si="201"/>
        <v/>
      </c>
    </row>
    <row r="12908" spans="26:26" x14ac:dyDescent="0.2">
      <c r="Z12908" t="str">
        <f t="shared" si="201"/>
        <v/>
      </c>
    </row>
    <row r="12909" spans="26:26" x14ac:dyDescent="0.2">
      <c r="Z12909" t="str">
        <f t="shared" si="201"/>
        <v/>
      </c>
    </row>
    <row r="12910" spans="26:26" x14ac:dyDescent="0.2">
      <c r="Z12910" t="str">
        <f t="shared" si="201"/>
        <v/>
      </c>
    </row>
    <row r="12911" spans="26:26" x14ac:dyDescent="0.2">
      <c r="Z12911" t="str">
        <f t="shared" si="201"/>
        <v/>
      </c>
    </row>
    <row r="12912" spans="26:26" x14ac:dyDescent="0.2">
      <c r="Z12912" t="str">
        <f t="shared" si="201"/>
        <v/>
      </c>
    </row>
    <row r="12913" spans="26:26" x14ac:dyDescent="0.2">
      <c r="Z12913" t="str">
        <f t="shared" si="201"/>
        <v/>
      </c>
    </row>
    <row r="12914" spans="26:26" x14ac:dyDescent="0.2">
      <c r="Z12914" t="str">
        <f t="shared" si="201"/>
        <v/>
      </c>
    </row>
    <row r="12915" spans="26:26" x14ac:dyDescent="0.2">
      <c r="Z12915" t="str">
        <f t="shared" si="201"/>
        <v/>
      </c>
    </row>
    <row r="12916" spans="26:26" x14ac:dyDescent="0.2">
      <c r="Z12916" t="str">
        <f t="shared" si="201"/>
        <v/>
      </c>
    </row>
    <row r="12917" spans="26:26" x14ac:dyDescent="0.2">
      <c r="Z12917" t="str">
        <f t="shared" si="201"/>
        <v/>
      </c>
    </row>
    <row r="12918" spans="26:26" x14ac:dyDescent="0.2">
      <c r="Z12918" t="str">
        <f t="shared" si="201"/>
        <v/>
      </c>
    </row>
    <row r="12919" spans="26:26" x14ac:dyDescent="0.2">
      <c r="Z12919" t="str">
        <f t="shared" si="201"/>
        <v/>
      </c>
    </row>
    <row r="12920" spans="26:26" x14ac:dyDescent="0.2">
      <c r="Z12920" t="str">
        <f t="shared" si="201"/>
        <v/>
      </c>
    </row>
    <row r="12921" spans="26:26" x14ac:dyDescent="0.2">
      <c r="Z12921" t="str">
        <f t="shared" si="201"/>
        <v/>
      </c>
    </row>
    <row r="12922" spans="26:26" x14ac:dyDescent="0.2">
      <c r="Z12922" t="str">
        <f t="shared" si="201"/>
        <v/>
      </c>
    </row>
    <row r="12923" spans="26:26" x14ac:dyDescent="0.2">
      <c r="Z12923" t="str">
        <f t="shared" si="201"/>
        <v/>
      </c>
    </row>
    <row r="12924" spans="26:26" x14ac:dyDescent="0.2">
      <c r="Z12924" t="str">
        <f t="shared" si="201"/>
        <v/>
      </c>
    </row>
    <row r="12925" spans="26:26" x14ac:dyDescent="0.2">
      <c r="Z12925" t="str">
        <f t="shared" si="201"/>
        <v/>
      </c>
    </row>
    <row r="12926" spans="26:26" x14ac:dyDescent="0.2">
      <c r="Z12926" t="str">
        <f t="shared" si="201"/>
        <v/>
      </c>
    </row>
    <row r="12927" spans="26:26" x14ac:dyDescent="0.2">
      <c r="Z12927" t="str">
        <f t="shared" si="201"/>
        <v/>
      </c>
    </row>
    <row r="12928" spans="26:26" x14ac:dyDescent="0.2">
      <c r="Z12928" t="str">
        <f t="shared" si="201"/>
        <v/>
      </c>
    </row>
    <row r="12929" spans="26:26" x14ac:dyDescent="0.2">
      <c r="Z12929" t="str">
        <f t="shared" si="201"/>
        <v/>
      </c>
    </row>
    <row r="12930" spans="26:26" x14ac:dyDescent="0.2">
      <c r="Z12930" t="str">
        <f t="shared" si="201"/>
        <v/>
      </c>
    </row>
    <row r="12931" spans="26:26" x14ac:dyDescent="0.2">
      <c r="Z12931" t="str">
        <f t="shared" ref="Z12931:Z12994" si="202">IF(K12931="","",IFERROR(VALUE(TRIM(MID(K12931,FIND(CHAR(167),SUBSTITUTE(K12931,"-",CHAR(167),LEN(K12931)-LEN(SUBSTITUTE(K12931,"-",""))))+1,100))),K12931))</f>
        <v/>
      </c>
    </row>
    <row r="12932" spans="26:26" x14ac:dyDescent="0.2">
      <c r="Z12932" t="str">
        <f t="shared" si="202"/>
        <v/>
      </c>
    </row>
    <row r="12933" spans="26:26" x14ac:dyDescent="0.2">
      <c r="Z12933" t="str">
        <f t="shared" si="202"/>
        <v/>
      </c>
    </row>
    <row r="12934" spans="26:26" x14ac:dyDescent="0.2">
      <c r="Z12934" t="str">
        <f t="shared" si="202"/>
        <v/>
      </c>
    </row>
    <row r="12935" spans="26:26" x14ac:dyDescent="0.2">
      <c r="Z12935" t="str">
        <f t="shared" si="202"/>
        <v/>
      </c>
    </row>
    <row r="12936" spans="26:26" x14ac:dyDescent="0.2">
      <c r="Z12936" t="str">
        <f t="shared" si="202"/>
        <v/>
      </c>
    </row>
    <row r="12937" spans="26:26" x14ac:dyDescent="0.2">
      <c r="Z12937" t="str">
        <f t="shared" si="202"/>
        <v/>
      </c>
    </row>
    <row r="12938" spans="26:26" x14ac:dyDescent="0.2">
      <c r="Z12938" t="str">
        <f t="shared" si="202"/>
        <v/>
      </c>
    </row>
    <row r="12939" spans="26:26" x14ac:dyDescent="0.2">
      <c r="Z12939" t="str">
        <f t="shared" si="202"/>
        <v/>
      </c>
    </row>
    <row r="12940" spans="26:26" x14ac:dyDescent="0.2">
      <c r="Z12940" t="str">
        <f t="shared" si="202"/>
        <v/>
      </c>
    </row>
    <row r="12941" spans="26:26" x14ac:dyDescent="0.2">
      <c r="Z12941" t="str">
        <f t="shared" si="202"/>
        <v/>
      </c>
    </row>
    <row r="12942" spans="26:26" x14ac:dyDescent="0.2">
      <c r="Z12942" t="str">
        <f t="shared" si="202"/>
        <v/>
      </c>
    </row>
    <row r="12943" spans="26:26" x14ac:dyDescent="0.2">
      <c r="Z12943" t="str">
        <f t="shared" si="202"/>
        <v/>
      </c>
    </row>
    <row r="12944" spans="26:26" x14ac:dyDescent="0.2">
      <c r="Z12944" t="str">
        <f t="shared" si="202"/>
        <v/>
      </c>
    </row>
    <row r="12945" spans="26:26" x14ac:dyDescent="0.2">
      <c r="Z12945" t="str">
        <f t="shared" si="202"/>
        <v/>
      </c>
    </row>
    <row r="12946" spans="26:26" x14ac:dyDescent="0.2">
      <c r="Z12946" t="str">
        <f t="shared" si="202"/>
        <v/>
      </c>
    </row>
    <row r="12947" spans="26:26" x14ac:dyDescent="0.2">
      <c r="Z12947" t="str">
        <f t="shared" si="202"/>
        <v/>
      </c>
    </row>
    <row r="12948" spans="26:26" x14ac:dyDescent="0.2">
      <c r="Z12948" t="str">
        <f t="shared" si="202"/>
        <v/>
      </c>
    </row>
    <row r="12949" spans="26:26" x14ac:dyDescent="0.2">
      <c r="Z12949" t="str">
        <f t="shared" si="202"/>
        <v/>
      </c>
    </row>
    <row r="12950" spans="26:26" x14ac:dyDescent="0.2">
      <c r="Z12950" t="str">
        <f t="shared" si="202"/>
        <v/>
      </c>
    </row>
    <row r="12951" spans="26:26" x14ac:dyDescent="0.2">
      <c r="Z12951" t="str">
        <f t="shared" si="202"/>
        <v/>
      </c>
    </row>
    <row r="12952" spans="26:26" x14ac:dyDescent="0.2">
      <c r="Z12952" t="str">
        <f t="shared" si="202"/>
        <v/>
      </c>
    </row>
    <row r="12953" spans="26:26" x14ac:dyDescent="0.2">
      <c r="Z12953" t="str">
        <f t="shared" si="202"/>
        <v/>
      </c>
    </row>
    <row r="12954" spans="26:26" x14ac:dyDescent="0.2">
      <c r="Z12954" t="str">
        <f t="shared" si="202"/>
        <v/>
      </c>
    </row>
    <row r="12955" spans="26:26" x14ac:dyDescent="0.2">
      <c r="Z12955" t="str">
        <f t="shared" si="202"/>
        <v/>
      </c>
    </row>
    <row r="12956" spans="26:26" x14ac:dyDescent="0.2">
      <c r="Z12956" t="str">
        <f t="shared" si="202"/>
        <v/>
      </c>
    </row>
    <row r="12957" spans="26:26" x14ac:dyDescent="0.2">
      <c r="Z12957" t="str">
        <f t="shared" si="202"/>
        <v/>
      </c>
    </row>
    <row r="12958" spans="26:26" x14ac:dyDescent="0.2">
      <c r="Z12958" t="str">
        <f t="shared" si="202"/>
        <v/>
      </c>
    </row>
    <row r="12959" spans="26:26" x14ac:dyDescent="0.2">
      <c r="Z12959" t="str">
        <f t="shared" si="202"/>
        <v/>
      </c>
    </row>
    <row r="12960" spans="26:26" x14ac:dyDescent="0.2">
      <c r="Z12960" t="str">
        <f t="shared" si="202"/>
        <v/>
      </c>
    </row>
    <row r="12961" spans="26:26" x14ac:dyDescent="0.2">
      <c r="Z12961" t="str">
        <f t="shared" si="202"/>
        <v/>
      </c>
    </row>
    <row r="12962" spans="26:26" x14ac:dyDescent="0.2">
      <c r="Z12962" t="str">
        <f t="shared" si="202"/>
        <v/>
      </c>
    </row>
    <row r="12963" spans="26:26" x14ac:dyDescent="0.2">
      <c r="Z12963" t="str">
        <f t="shared" si="202"/>
        <v/>
      </c>
    </row>
    <row r="12964" spans="26:26" x14ac:dyDescent="0.2">
      <c r="Z12964" t="str">
        <f t="shared" si="202"/>
        <v/>
      </c>
    </row>
    <row r="12965" spans="26:26" x14ac:dyDescent="0.2">
      <c r="Z12965" t="str">
        <f t="shared" si="202"/>
        <v/>
      </c>
    </row>
    <row r="12966" spans="26:26" x14ac:dyDescent="0.2">
      <c r="Z12966" t="str">
        <f t="shared" si="202"/>
        <v/>
      </c>
    </row>
    <row r="12967" spans="26:26" x14ac:dyDescent="0.2">
      <c r="Z12967" t="str">
        <f t="shared" si="202"/>
        <v/>
      </c>
    </row>
    <row r="12968" spans="26:26" x14ac:dyDescent="0.2">
      <c r="Z12968" t="str">
        <f t="shared" si="202"/>
        <v/>
      </c>
    </row>
    <row r="12969" spans="26:26" x14ac:dyDescent="0.2">
      <c r="Z12969" t="str">
        <f t="shared" si="202"/>
        <v/>
      </c>
    </row>
    <row r="12970" spans="26:26" x14ac:dyDescent="0.2">
      <c r="Z12970" t="str">
        <f t="shared" si="202"/>
        <v/>
      </c>
    </row>
    <row r="12971" spans="26:26" x14ac:dyDescent="0.2">
      <c r="Z12971" t="str">
        <f t="shared" si="202"/>
        <v/>
      </c>
    </row>
    <row r="12972" spans="26:26" x14ac:dyDescent="0.2">
      <c r="Z12972" t="str">
        <f t="shared" si="202"/>
        <v/>
      </c>
    </row>
    <row r="12973" spans="26:26" x14ac:dyDescent="0.2">
      <c r="Z12973" t="str">
        <f t="shared" si="202"/>
        <v/>
      </c>
    </row>
    <row r="12974" spans="26:26" x14ac:dyDescent="0.2">
      <c r="Z12974" t="str">
        <f t="shared" si="202"/>
        <v/>
      </c>
    </row>
    <row r="12975" spans="26:26" x14ac:dyDescent="0.2">
      <c r="Z12975" t="str">
        <f t="shared" si="202"/>
        <v/>
      </c>
    </row>
    <row r="12976" spans="26:26" x14ac:dyDescent="0.2">
      <c r="Z12976" t="str">
        <f t="shared" si="202"/>
        <v/>
      </c>
    </row>
    <row r="12977" spans="26:26" x14ac:dyDescent="0.2">
      <c r="Z12977" t="str">
        <f t="shared" si="202"/>
        <v/>
      </c>
    </row>
    <row r="12978" spans="26:26" x14ac:dyDescent="0.2">
      <c r="Z12978" t="str">
        <f t="shared" si="202"/>
        <v/>
      </c>
    </row>
    <row r="12979" spans="26:26" x14ac:dyDescent="0.2">
      <c r="Z12979" t="str">
        <f t="shared" si="202"/>
        <v/>
      </c>
    </row>
    <row r="12980" spans="26:26" x14ac:dyDescent="0.2">
      <c r="Z12980" t="str">
        <f t="shared" si="202"/>
        <v/>
      </c>
    </row>
    <row r="12981" spans="26:26" x14ac:dyDescent="0.2">
      <c r="Z12981" t="str">
        <f t="shared" si="202"/>
        <v/>
      </c>
    </row>
    <row r="12982" spans="26:26" x14ac:dyDescent="0.2">
      <c r="Z12982" t="str">
        <f t="shared" si="202"/>
        <v/>
      </c>
    </row>
    <row r="12983" spans="26:26" x14ac:dyDescent="0.2">
      <c r="Z12983" t="str">
        <f t="shared" si="202"/>
        <v/>
      </c>
    </row>
    <row r="12984" spans="26:26" x14ac:dyDescent="0.2">
      <c r="Z12984" t="str">
        <f t="shared" si="202"/>
        <v/>
      </c>
    </row>
    <row r="12985" spans="26:26" x14ac:dyDescent="0.2">
      <c r="Z12985" t="str">
        <f t="shared" si="202"/>
        <v/>
      </c>
    </row>
    <row r="12986" spans="26:26" x14ac:dyDescent="0.2">
      <c r="Z12986" t="str">
        <f t="shared" si="202"/>
        <v/>
      </c>
    </row>
    <row r="12987" spans="26:26" x14ac:dyDescent="0.2">
      <c r="Z12987" t="str">
        <f t="shared" si="202"/>
        <v/>
      </c>
    </row>
    <row r="12988" spans="26:26" x14ac:dyDescent="0.2">
      <c r="Z12988" t="str">
        <f t="shared" si="202"/>
        <v/>
      </c>
    </row>
    <row r="12989" spans="26:26" x14ac:dyDescent="0.2">
      <c r="Z12989" t="str">
        <f t="shared" si="202"/>
        <v/>
      </c>
    </row>
    <row r="12990" spans="26:26" x14ac:dyDescent="0.2">
      <c r="Z12990" t="str">
        <f t="shared" si="202"/>
        <v/>
      </c>
    </row>
    <row r="12991" spans="26:26" x14ac:dyDescent="0.2">
      <c r="Z12991" t="str">
        <f t="shared" si="202"/>
        <v/>
      </c>
    </row>
    <row r="12992" spans="26:26" x14ac:dyDescent="0.2">
      <c r="Z12992" t="str">
        <f t="shared" si="202"/>
        <v/>
      </c>
    </row>
    <row r="12993" spans="26:26" x14ac:dyDescent="0.2">
      <c r="Z12993" t="str">
        <f t="shared" si="202"/>
        <v/>
      </c>
    </row>
    <row r="12994" spans="26:26" x14ac:dyDescent="0.2">
      <c r="Z12994" t="str">
        <f t="shared" si="202"/>
        <v/>
      </c>
    </row>
    <row r="12995" spans="26:26" x14ac:dyDescent="0.2">
      <c r="Z12995" t="str">
        <f t="shared" ref="Z12995:Z13058" si="203">IF(K12995="","",IFERROR(VALUE(TRIM(MID(K12995,FIND(CHAR(167),SUBSTITUTE(K12995,"-",CHAR(167),LEN(K12995)-LEN(SUBSTITUTE(K12995,"-",""))))+1,100))),K12995))</f>
        <v/>
      </c>
    </row>
    <row r="12996" spans="26:26" x14ac:dyDescent="0.2">
      <c r="Z12996" t="str">
        <f t="shared" si="203"/>
        <v/>
      </c>
    </row>
    <row r="12997" spans="26:26" x14ac:dyDescent="0.2">
      <c r="Z12997" t="str">
        <f t="shared" si="203"/>
        <v/>
      </c>
    </row>
    <row r="12998" spans="26:26" x14ac:dyDescent="0.2">
      <c r="Z12998" t="str">
        <f t="shared" si="203"/>
        <v/>
      </c>
    </row>
    <row r="12999" spans="26:26" x14ac:dyDescent="0.2">
      <c r="Z12999" t="str">
        <f t="shared" si="203"/>
        <v/>
      </c>
    </row>
    <row r="13000" spans="26:26" x14ac:dyDescent="0.2">
      <c r="Z13000" t="str">
        <f t="shared" si="203"/>
        <v/>
      </c>
    </row>
    <row r="13001" spans="26:26" x14ac:dyDescent="0.2">
      <c r="Z13001" t="str">
        <f t="shared" si="203"/>
        <v/>
      </c>
    </row>
    <row r="13002" spans="26:26" x14ac:dyDescent="0.2">
      <c r="Z13002" t="str">
        <f t="shared" si="203"/>
        <v/>
      </c>
    </row>
    <row r="13003" spans="26:26" x14ac:dyDescent="0.2">
      <c r="Z13003" t="str">
        <f t="shared" si="203"/>
        <v/>
      </c>
    </row>
    <row r="13004" spans="26:26" x14ac:dyDescent="0.2">
      <c r="Z13004" t="str">
        <f t="shared" si="203"/>
        <v/>
      </c>
    </row>
    <row r="13005" spans="26:26" x14ac:dyDescent="0.2">
      <c r="Z13005" t="str">
        <f t="shared" si="203"/>
        <v/>
      </c>
    </row>
    <row r="13006" spans="26:26" x14ac:dyDescent="0.2">
      <c r="Z13006" t="str">
        <f t="shared" si="203"/>
        <v/>
      </c>
    </row>
    <row r="13007" spans="26:26" x14ac:dyDescent="0.2">
      <c r="Z13007" t="str">
        <f t="shared" si="203"/>
        <v/>
      </c>
    </row>
    <row r="13008" spans="26:26" x14ac:dyDescent="0.2">
      <c r="Z13008" t="str">
        <f t="shared" si="203"/>
        <v/>
      </c>
    </row>
    <row r="13009" spans="26:26" x14ac:dyDescent="0.2">
      <c r="Z13009" t="str">
        <f t="shared" si="203"/>
        <v/>
      </c>
    </row>
    <row r="13010" spans="26:26" x14ac:dyDescent="0.2">
      <c r="Z13010" t="str">
        <f t="shared" si="203"/>
        <v/>
      </c>
    </row>
    <row r="13011" spans="26:26" x14ac:dyDescent="0.2">
      <c r="Z13011" t="str">
        <f t="shared" si="203"/>
        <v/>
      </c>
    </row>
    <row r="13012" spans="26:26" x14ac:dyDescent="0.2">
      <c r="Z13012" t="str">
        <f t="shared" si="203"/>
        <v/>
      </c>
    </row>
    <row r="13013" spans="26:26" x14ac:dyDescent="0.2">
      <c r="Z13013" t="str">
        <f t="shared" si="203"/>
        <v/>
      </c>
    </row>
    <row r="13014" spans="26:26" x14ac:dyDescent="0.2">
      <c r="Z13014" t="str">
        <f t="shared" si="203"/>
        <v/>
      </c>
    </row>
    <row r="13015" spans="26:26" x14ac:dyDescent="0.2">
      <c r="Z13015" t="str">
        <f t="shared" si="203"/>
        <v/>
      </c>
    </row>
    <row r="13016" spans="26:26" x14ac:dyDescent="0.2">
      <c r="Z13016" t="str">
        <f t="shared" si="203"/>
        <v/>
      </c>
    </row>
    <row r="13017" spans="26:26" x14ac:dyDescent="0.2">
      <c r="Z13017" t="str">
        <f t="shared" si="203"/>
        <v/>
      </c>
    </row>
    <row r="13018" spans="26:26" x14ac:dyDescent="0.2">
      <c r="Z13018" t="str">
        <f t="shared" si="203"/>
        <v/>
      </c>
    </row>
    <row r="13019" spans="26:26" x14ac:dyDescent="0.2">
      <c r="Z13019" t="str">
        <f t="shared" si="203"/>
        <v/>
      </c>
    </row>
    <row r="13020" spans="26:26" x14ac:dyDescent="0.2">
      <c r="Z13020" t="str">
        <f t="shared" si="203"/>
        <v/>
      </c>
    </row>
    <row r="13021" spans="26:26" x14ac:dyDescent="0.2">
      <c r="Z13021" t="str">
        <f t="shared" si="203"/>
        <v/>
      </c>
    </row>
    <row r="13022" spans="26:26" x14ac:dyDescent="0.2">
      <c r="Z13022" t="str">
        <f t="shared" si="203"/>
        <v/>
      </c>
    </row>
    <row r="13023" spans="26:26" x14ac:dyDescent="0.2">
      <c r="Z13023" t="str">
        <f t="shared" si="203"/>
        <v/>
      </c>
    </row>
    <row r="13024" spans="26:26" x14ac:dyDescent="0.2">
      <c r="Z13024" t="str">
        <f t="shared" si="203"/>
        <v/>
      </c>
    </row>
    <row r="13025" spans="26:26" x14ac:dyDescent="0.2">
      <c r="Z13025" t="str">
        <f t="shared" si="203"/>
        <v/>
      </c>
    </row>
    <row r="13026" spans="26:26" x14ac:dyDescent="0.2">
      <c r="Z13026" t="str">
        <f t="shared" si="203"/>
        <v/>
      </c>
    </row>
    <row r="13027" spans="26:26" x14ac:dyDescent="0.2">
      <c r="Z13027" t="str">
        <f t="shared" si="203"/>
        <v/>
      </c>
    </row>
    <row r="13028" spans="26:26" x14ac:dyDescent="0.2">
      <c r="Z13028" t="str">
        <f t="shared" si="203"/>
        <v/>
      </c>
    </row>
    <row r="13029" spans="26:26" x14ac:dyDescent="0.2">
      <c r="Z13029" t="str">
        <f t="shared" si="203"/>
        <v/>
      </c>
    </row>
    <row r="13030" spans="26:26" x14ac:dyDescent="0.2">
      <c r="Z13030" t="str">
        <f t="shared" si="203"/>
        <v/>
      </c>
    </row>
    <row r="13031" spans="26:26" x14ac:dyDescent="0.2">
      <c r="Z13031" t="str">
        <f t="shared" si="203"/>
        <v/>
      </c>
    </row>
    <row r="13032" spans="26:26" x14ac:dyDescent="0.2">
      <c r="Z13032" t="str">
        <f t="shared" si="203"/>
        <v/>
      </c>
    </row>
    <row r="13033" spans="26:26" x14ac:dyDescent="0.2">
      <c r="Z13033" t="str">
        <f t="shared" si="203"/>
        <v/>
      </c>
    </row>
    <row r="13034" spans="26:26" x14ac:dyDescent="0.2">
      <c r="Z13034" t="str">
        <f t="shared" si="203"/>
        <v/>
      </c>
    </row>
    <row r="13035" spans="26:26" x14ac:dyDescent="0.2">
      <c r="Z13035" t="str">
        <f t="shared" si="203"/>
        <v/>
      </c>
    </row>
    <row r="13036" spans="26:26" x14ac:dyDescent="0.2">
      <c r="Z13036" t="str">
        <f t="shared" si="203"/>
        <v/>
      </c>
    </row>
    <row r="13037" spans="26:26" x14ac:dyDescent="0.2">
      <c r="Z13037" t="str">
        <f t="shared" si="203"/>
        <v/>
      </c>
    </row>
    <row r="13038" spans="26:26" x14ac:dyDescent="0.2">
      <c r="Z13038" t="str">
        <f t="shared" si="203"/>
        <v/>
      </c>
    </row>
    <row r="13039" spans="26:26" x14ac:dyDescent="0.2">
      <c r="Z13039" t="str">
        <f t="shared" si="203"/>
        <v/>
      </c>
    </row>
    <row r="13040" spans="26:26" x14ac:dyDescent="0.2">
      <c r="Z13040" t="str">
        <f t="shared" si="203"/>
        <v/>
      </c>
    </row>
    <row r="13041" spans="26:26" x14ac:dyDescent="0.2">
      <c r="Z13041" t="str">
        <f t="shared" si="203"/>
        <v/>
      </c>
    </row>
    <row r="13042" spans="26:26" x14ac:dyDescent="0.2">
      <c r="Z13042" t="str">
        <f t="shared" si="203"/>
        <v/>
      </c>
    </row>
    <row r="13043" spans="26:26" x14ac:dyDescent="0.2">
      <c r="Z13043" t="str">
        <f t="shared" si="203"/>
        <v/>
      </c>
    </row>
    <row r="13044" spans="26:26" x14ac:dyDescent="0.2">
      <c r="Z13044" t="str">
        <f t="shared" si="203"/>
        <v/>
      </c>
    </row>
    <row r="13045" spans="26:26" x14ac:dyDescent="0.2">
      <c r="Z13045" t="str">
        <f t="shared" si="203"/>
        <v/>
      </c>
    </row>
    <row r="13046" spans="26:26" x14ac:dyDescent="0.2">
      <c r="Z13046" t="str">
        <f t="shared" si="203"/>
        <v/>
      </c>
    </row>
    <row r="13047" spans="26:26" x14ac:dyDescent="0.2">
      <c r="Z13047" t="str">
        <f t="shared" si="203"/>
        <v/>
      </c>
    </row>
    <row r="13048" spans="26:26" x14ac:dyDescent="0.2">
      <c r="Z13048" t="str">
        <f t="shared" si="203"/>
        <v/>
      </c>
    </row>
    <row r="13049" spans="26:26" x14ac:dyDescent="0.2">
      <c r="Z13049" t="str">
        <f t="shared" si="203"/>
        <v/>
      </c>
    </row>
    <row r="13050" spans="26:26" x14ac:dyDescent="0.2">
      <c r="Z13050" t="str">
        <f t="shared" si="203"/>
        <v/>
      </c>
    </row>
    <row r="13051" spans="26:26" x14ac:dyDescent="0.2">
      <c r="Z13051" t="str">
        <f t="shared" si="203"/>
        <v/>
      </c>
    </row>
    <row r="13052" spans="26:26" x14ac:dyDescent="0.2">
      <c r="Z13052" t="str">
        <f t="shared" si="203"/>
        <v/>
      </c>
    </row>
    <row r="13053" spans="26:26" x14ac:dyDescent="0.2">
      <c r="Z13053" t="str">
        <f t="shared" si="203"/>
        <v/>
      </c>
    </row>
    <row r="13054" spans="26:26" x14ac:dyDescent="0.2">
      <c r="Z13054" t="str">
        <f t="shared" si="203"/>
        <v/>
      </c>
    </row>
    <row r="13055" spans="26:26" x14ac:dyDescent="0.2">
      <c r="Z13055" t="str">
        <f t="shared" si="203"/>
        <v/>
      </c>
    </row>
    <row r="13056" spans="26:26" x14ac:dyDescent="0.2">
      <c r="Z13056" t="str">
        <f t="shared" si="203"/>
        <v/>
      </c>
    </row>
    <row r="13057" spans="26:26" x14ac:dyDescent="0.2">
      <c r="Z13057" t="str">
        <f t="shared" si="203"/>
        <v/>
      </c>
    </row>
    <row r="13058" spans="26:26" x14ac:dyDescent="0.2">
      <c r="Z13058" t="str">
        <f t="shared" si="203"/>
        <v/>
      </c>
    </row>
    <row r="13059" spans="26:26" x14ac:dyDescent="0.2">
      <c r="Z13059" t="str">
        <f t="shared" ref="Z13059:Z13122" si="204">IF(K13059="","",IFERROR(VALUE(TRIM(MID(K13059,FIND(CHAR(167),SUBSTITUTE(K13059,"-",CHAR(167),LEN(K13059)-LEN(SUBSTITUTE(K13059,"-",""))))+1,100))),K13059))</f>
        <v/>
      </c>
    </row>
    <row r="13060" spans="26:26" x14ac:dyDescent="0.2">
      <c r="Z13060" t="str">
        <f t="shared" si="204"/>
        <v/>
      </c>
    </row>
    <row r="13061" spans="26:26" x14ac:dyDescent="0.2">
      <c r="Z13061" t="str">
        <f t="shared" si="204"/>
        <v/>
      </c>
    </row>
    <row r="13062" spans="26:26" x14ac:dyDescent="0.2">
      <c r="Z13062" t="str">
        <f t="shared" si="204"/>
        <v/>
      </c>
    </row>
    <row r="13063" spans="26:26" x14ac:dyDescent="0.2">
      <c r="Z13063" t="str">
        <f t="shared" si="204"/>
        <v/>
      </c>
    </row>
    <row r="13064" spans="26:26" x14ac:dyDescent="0.2">
      <c r="Z13064" t="str">
        <f t="shared" si="204"/>
        <v/>
      </c>
    </row>
    <row r="13065" spans="26:26" x14ac:dyDescent="0.2">
      <c r="Z13065" t="str">
        <f t="shared" si="204"/>
        <v/>
      </c>
    </row>
    <row r="13066" spans="26:26" x14ac:dyDescent="0.2">
      <c r="Z13066" t="str">
        <f t="shared" si="204"/>
        <v/>
      </c>
    </row>
    <row r="13067" spans="26:26" x14ac:dyDescent="0.2">
      <c r="Z13067" t="str">
        <f t="shared" si="204"/>
        <v/>
      </c>
    </row>
    <row r="13068" spans="26:26" x14ac:dyDescent="0.2">
      <c r="Z13068" t="str">
        <f t="shared" si="204"/>
        <v/>
      </c>
    </row>
    <row r="13069" spans="26:26" x14ac:dyDescent="0.2">
      <c r="Z13069" t="str">
        <f t="shared" si="204"/>
        <v/>
      </c>
    </row>
    <row r="13070" spans="26:26" x14ac:dyDescent="0.2">
      <c r="Z13070" t="str">
        <f t="shared" si="204"/>
        <v/>
      </c>
    </row>
    <row r="13071" spans="26:26" x14ac:dyDescent="0.2">
      <c r="Z13071" t="str">
        <f t="shared" si="204"/>
        <v/>
      </c>
    </row>
    <row r="13072" spans="26:26" x14ac:dyDescent="0.2">
      <c r="Z13072" t="str">
        <f t="shared" si="204"/>
        <v/>
      </c>
    </row>
    <row r="13073" spans="26:26" x14ac:dyDescent="0.2">
      <c r="Z13073" t="str">
        <f t="shared" si="204"/>
        <v/>
      </c>
    </row>
    <row r="13074" spans="26:26" x14ac:dyDescent="0.2">
      <c r="Z13074" t="str">
        <f t="shared" si="204"/>
        <v/>
      </c>
    </row>
    <row r="13075" spans="26:26" x14ac:dyDescent="0.2">
      <c r="Z13075" t="str">
        <f t="shared" si="204"/>
        <v/>
      </c>
    </row>
    <row r="13076" spans="26:26" x14ac:dyDescent="0.2">
      <c r="Z13076" t="str">
        <f t="shared" si="204"/>
        <v/>
      </c>
    </row>
    <row r="13077" spans="26:26" x14ac:dyDescent="0.2">
      <c r="Z13077" t="str">
        <f t="shared" si="204"/>
        <v/>
      </c>
    </row>
    <row r="13078" spans="26:26" x14ac:dyDescent="0.2">
      <c r="Z13078" t="str">
        <f t="shared" si="204"/>
        <v/>
      </c>
    </row>
    <row r="13079" spans="26:26" x14ac:dyDescent="0.2">
      <c r="Z13079" t="str">
        <f t="shared" si="204"/>
        <v/>
      </c>
    </row>
    <row r="13080" spans="26:26" x14ac:dyDescent="0.2">
      <c r="Z13080" t="str">
        <f t="shared" si="204"/>
        <v/>
      </c>
    </row>
    <row r="13081" spans="26:26" x14ac:dyDescent="0.2">
      <c r="Z13081" t="str">
        <f t="shared" si="204"/>
        <v/>
      </c>
    </row>
    <row r="13082" spans="26:26" x14ac:dyDescent="0.2">
      <c r="Z13082" t="str">
        <f t="shared" si="204"/>
        <v/>
      </c>
    </row>
    <row r="13083" spans="26:26" x14ac:dyDescent="0.2">
      <c r="Z13083" t="str">
        <f t="shared" si="204"/>
        <v/>
      </c>
    </row>
    <row r="13084" spans="26:26" x14ac:dyDescent="0.2">
      <c r="Z13084" t="str">
        <f t="shared" si="204"/>
        <v/>
      </c>
    </row>
    <row r="13085" spans="26:26" x14ac:dyDescent="0.2">
      <c r="Z13085" t="str">
        <f t="shared" si="204"/>
        <v/>
      </c>
    </row>
    <row r="13086" spans="26:26" x14ac:dyDescent="0.2">
      <c r="Z13086" t="str">
        <f t="shared" si="204"/>
        <v/>
      </c>
    </row>
    <row r="13087" spans="26:26" x14ac:dyDescent="0.2">
      <c r="Z13087" t="str">
        <f t="shared" si="204"/>
        <v/>
      </c>
    </row>
    <row r="13088" spans="26:26" x14ac:dyDescent="0.2">
      <c r="Z13088" t="str">
        <f t="shared" si="204"/>
        <v/>
      </c>
    </row>
    <row r="13089" spans="26:26" x14ac:dyDescent="0.2">
      <c r="Z13089" t="str">
        <f t="shared" si="204"/>
        <v/>
      </c>
    </row>
    <row r="13090" spans="26:26" x14ac:dyDescent="0.2">
      <c r="Z13090" t="str">
        <f t="shared" si="204"/>
        <v/>
      </c>
    </row>
    <row r="13091" spans="26:26" x14ac:dyDescent="0.2">
      <c r="Z13091" t="str">
        <f t="shared" si="204"/>
        <v/>
      </c>
    </row>
    <row r="13092" spans="26:26" x14ac:dyDescent="0.2">
      <c r="Z13092" t="str">
        <f t="shared" si="204"/>
        <v/>
      </c>
    </row>
    <row r="13093" spans="26:26" x14ac:dyDescent="0.2">
      <c r="Z13093" t="str">
        <f t="shared" si="204"/>
        <v/>
      </c>
    </row>
    <row r="13094" spans="26:26" x14ac:dyDescent="0.2">
      <c r="Z13094" t="str">
        <f t="shared" si="204"/>
        <v/>
      </c>
    </row>
    <row r="13095" spans="26:26" x14ac:dyDescent="0.2">
      <c r="Z13095" t="str">
        <f t="shared" si="204"/>
        <v/>
      </c>
    </row>
    <row r="13096" spans="26:26" x14ac:dyDescent="0.2">
      <c r="Z13096" t="str">
        <f t="shared" si="204"/>
        <v/>
      </c>
    </row>
    <row r="13097" spans="26:26" x14ac:dyDescent="0.2">
      <c r="Z13097" t="str">
        <f t="shared" si="204"/>
        <v/>
      </c>
    </row>
    <row r="13098" spans="26:26" x14ac:dyDescent="0.2">
      <c r="Z13098" t="str">
        <f t="shared" si="204"/>
        <v/>
      </c>
    </row>
    <row r="13099" spans="26:26" x14ac:dyDescent="0.2">
      <c r="Z13099" t="str">
        <f t="shared" si="204"/>
        <v/>
      </c>
    </row>
    <row r="13100" spans="26:26" x14ac:dyDescent="0.2">
      <c r="Z13100" t="str">
        <f t="shared" si="204"/>
        <v/>
      </c>
    </row>
    <row r="13101" spans="26:26" x14ac:dyDescent="0.2">
      <c r="Z13101" t="str">
        <f t="shared" si="204"/>
        <v/>
      </c>
    </row>
    <row r="13102" spans="26:26" x14ac:dyDescent="0.2">
      <c r="Z13102" t="str">
        <f t="shared" si="204"/>
        <v/>
      </c>
    </row>
    <row r="13103" spans="26:26" x14ac:dyDescent="0.2">
      <c r="Z13103" t="str">
        <f t="shared" si="204"/>
        <v/>
      </c>
    </row>
    <row r="13104" spans="26:26" x14ac:dyDescent="0.2">
      <c r="Z13104" t="str">
        <f t="shared" si="204"/>
        <v/>
      </c>
    </row>
    <row r="13105" spans="26:26" x14ac:dyDescent="0.2">
      <c r="Z13105" t="str">
        <f t="shared" si="204"/>
        <v/>
      </c>
    </row>
    <row r="13106" spans="26:26" x14ac:dyDescent="0.2">
      <c r="Z13106" t="str">
        <f t="shared" si="204"/>
        <v/>
      </c>
    </row>
    <row r="13107" spans="26:26" x14ac:dyDescent="0.2">
      <c r="Z13107" t="str">
        <f t="shared" si="204"/>
        <v/>
      </c>
    </row>
    <row r="13108" spans="26:26" x14ac:dyDescent="0.2">
      <c r="Z13108" t="str">
        <f t="shared" si="204"/>
        <v/>
      </c>
    </row>
    <row r="13109" spans="26:26" x14ac:dyDescent="0.2">
      <c r="Z13109" t="str">
        <f t="shared" si="204"/>
        <v/>
      </c>
    </row>
    <row r="13110" spans="26:26" x14ac:dyDescent="0.2">
      <c r="Z13110" t="str">
        <f t="shared" si="204"/>
        <v/>
      </c>
    </row>
    <row r="13111" spans="26:26" x14ac:dyDescent="0.2">
      <c r="Z13111" t="str">
        <f t="shared" si="204"/>
        <v/>
      </c>
    </row>
    <row r="13112" spans="26:26" x14ac:dyDescent="0.2">
      <c r="Z13112" t="str">
        <f t="shared" si="204"/>
        <v/>
      </c>
    </row>
    <row r="13113" spans="26:26" x14ac:dyDescent="0.2">
      <c r="Z13113" t="str">
        <f t="shared" si="204"/>
        <v/>
      </c>
    </row>
    <row r="13114" spans="26:26" x14ac:dyDescent="0.2">
      <c r="Z13114" t="str">
        <f t="shared" si="204"/>
        <v/>
      </c>
    </row>
    <row r="13115" spans="26:26" x14ac:dyDescent="0.2">
      <c r="Z13115" t="str">
        <f t="shared" si="204"/>
        <v/>
      </c>
    </row>
    <row r="13116" spans="26:26" x14ac:dyDescent="0.2">
      <c r="Z13116" t="str">
        <f t="shared" si="204"/>
        <v/>
      </c>
    </row>
    <row r="13117" spans="26:26" x14ac:dyDescent="0.2">
      <c r="Z13117" t="str">
        <f t="shared" si="204"/>
        <v/>
      </c>
    </row>
    <row r="13118" spans="26:26" x14ac:dyDescent="0.2">
      <c r="Z13118" t="str">
        <f t="shared" si="204"/>
        <v/>
      </c>
    </row>
    <row r="13119" spans="26:26" x14ac:dyDescent="0.2">
      <c r="Z13119" t="str">
        <f t="shared" si="204"/>
        <v/>
      </c>
    </row>
    <row r="13120" spans="26:26" x14ac:dyDescent="0.2">
      <c r="Z13120" t="str">
        <f t="shared" si="204"/>
        <v/>
      </c>
    </row>
    <row r="13121" spans="26:26" x14ac:dyDescent="0.2">
      <c r="Z13121" t="str">
        <f t="shared" si="204"/>
        <v/>
      </c>
    </row>
    <row r="13122" spans="26:26" x14ac:dyDescent="0.2">
      <c r="Z13122" t="str">
        <f t="shared" si="204"/>
        <v/>
      </c>
    </row>
    <row r="13123" spans="26:26" x14ac:dyDescent="0.2">
      <c r="Z13123" t="str">
        <f t="shared" ref="Z13123:Z13186" si="205">IF(K13123="","",IFERROR(VALUE(TRIM(MID(K13123,FIND(CHAR(167),SUBSTITUTE(K13123,"-",CHAR(167),LEN(K13123)-LEN(SUBSTITUTE(K13123,"-",""))))+1,100))),K13123))</f>
        <v/>
      </c>
    </row>
    <row r="13124" spans="26:26" x14ac:dyDescent="0.2">
      <c r="Z13124" t="str">
        <f t="shared" si="205"/>
        <v/>
      </c>
    </row>
    <row r="13125" spans="26:26" x14ac:dyDescent="0.2">
      <c r="Z13125" t="str">
        <f t="shared" si="205"/>
        <v/>
      </c>
    </row>
    <row r="13126" spans="26:26" x14ac:dyDescent="0.2">
      <c r="Z13126" t="str">
        <f t="shared" si="205"/>
        <v/>
      </c>
    </row>
    <row r="13127" spans="26:26" x14ac:dyDescent="0.2">
      <c r="Z13127" t="str">
        <f t="shared" si="205"/>
        <v/>
      </c>
    </row>
    <row r="13128" spans="26:26" x14ac:dyDescent="0.2">
      <c r="Z13128" t="str">
        <f t="shared" si="205"/>
        <v/>
      </c>
    </row>
    <row r="13129" spans="26:26" x14ac:dyDescent="0.2">
      <c r="Z13129" t="str">
        <f t="shared" si="205"/>
        <v/>
      </c>
    </row>
    <row r="13130" spans="26:26" x14ac:dyDescent="0.2">
      <c r="Z13130" t="str">
        <f t="shared" si="205"/>
        <v/>
      </c>
    </row>
    <row r="13131" spans="26:26" x14ac:dyDescent="0.2">
      <c r="Z13131" t="str">
        <f t="shared" si="205"/>
        <v/>
      </c>
    </row>
    <row r="13132" spans="26:26" x14ac:dyDescent="0.2">
      <c r="Z13132" t="str">
        <f t="shared" si="205"/>
        <v/>
      </c>
    </row>
    <row r="13133" spans="26:26" x14ac:dyDescent="0.2">
      <c r="Z13133" t="str">
        <f t="shared" si="205"/>
        <v/>
      </c>
    </row>
    <row r="13134" spans="26:26" x14ac:dyDescent="0.2">
      <c r="Z13134" t="str">
        <f t="shared" si="205"/>
        <v/>
      </c>
    </row>
    <row r="13135" spans="26:26" x14ac:dyDescent="0.2">
      <c r="Z13135" t="str">
        <f t="shared" si="205"/>
        <v/>
      </c>
    </row>
    <row r="13136" spans="26:26" x14ac:dyDescent="0.2">
      <c r="Z13136" t="str">
        <f t="shared" si="205"/>
        <v/>
      </c>
    </row>
    <row r="13137" spans="26:26" x14ac:dyDescent="0.2">
      <c r="Z13137" t="str">
        <f t="shared" si="205"/>
        <v/>
      </c>
    </row>
    <row r="13138" spans="26:26" x14ac:dyDescent="0.2">
      <c r="Z13138" t="str">
        <f t="shared" si="205"/>
        <v/>
      </c>
    </row>
    <row r="13139" spans="26:26" x14ac:dyDescent="0.2">
      <c r="Z13139" t="str">
        <f t="shared" si="205"/>
        <v/>
      </c>
    </row>
    <row r="13140" spans="26:26" x14ac:dyDescent="0.2">
      <c r="Z13140" t="str">
        <f t="shared" si="205"/>
        <v/>
      </c>
    </row>
    <row r="13141" spans="26:26" x14ac:dyDescent="0.2">
      <c r="Z13141" t="str">
        <f t="shared" si="205"/>
        <v/>
      </c>
    </row>
    <row r="13142" spans="26:26" x14ac:dyDescent="0.2">
      <c r="Z13142" t="str">
        <f t="shared" si="205"/>
        <v/>
      </c>
    </row>
    <row r="13143" spans="26:26" x14ac:dyDescent="0.2">
      <c r="Z13143" t="str">
        <f t="shared" si="205"/>
        <v/>
      </c>
    </row>
    <row r="13144" spans="26:26" x14ac:dyDescent="0.2">
      <c r="Z13144" t="str">
        <f t="shared" si="205"/>
        <v/>
      </c>
    </row>
    <row r="13145" spans="26:26" x14ac:dyDescent="0.2">
      <c r="Z13145" t="str">
        <f t="shared" si="205"/>
        <v/>
      </c>
    </row>
    <row r="13146" spans="26:26" x14ac:dyDescent="0.2">
      <c r="Z13146" t="str">
        <f t="shared" si="205"/>
        <v/>
      </c>
    </row>
    <row r="13147" spans="26:26" x14ac:dyDescent="0.2">
      <c r="Z13147" t="str">
        <f t="shared" si="205"/>
        <v/>
      </c>
    </row>
    <row r="13148" spans="26:26" x14ac:dyDescent="0.2">
      <c r="Z13148" t="str">
        <f t="shared" si="205"/>
        <v/>
      </c>
    </row>
    <row r="13149" spans="26:26" x14ac:dyDescent="0.2">
      <c r="Z13149" t="str">
        <f t="shared" si="205"/>
        <v/>
      </c>
    </row>
    <row r="13150" spans="26:26" x14ac:dyDescent="0.2">
      <c r="Z13150" t="str">
        <f t="shared" si="205"/>
        <v/>
      </c>
    </row>
    <row r="13151" spans="26:26" x14ac:dyDescent="0.2">
      <c r="Z13151" t="str">
        <f t="shared" si="205"/>
        <v/>
      </c>
    </row>
    <row r="13152" spans="26:26" x14ac:dyDescent="0.2">
      <c r="Z13152" t="str">
        <f t="shared" si="205"/>
        <v/>
      </c>
    </row>
    <row r="13153" spans="26:26" x14ac:dyDescent="0.2">
      <c r="Z13153" t="str">
        <f t="shared" si="205"/>
        <v/>
      </c>
    </row>
    <row r="13154" spans="26:26" x14ac:dyDescent="0.2">
      <c r="Z13154" t="str">
        <f t="shared" si="205"/>
        <v/>
      </c>
    </row>
    <row r="13155" spans="26:26" x14ac:dyDescent="0.2">
      <c r="Z13155" t="str">
        <f t="shared" si="205"/>
        <v/>
      </c>
    </row>
    <row r="13156" spans="26:26" x14ac:dyDescent="0.2">
      <c r="Z13156" t="str">
        <f t="shared" si="205"/>
        <v/>
      </c>
    </row>
    <row r="13157" spans="26:26" x14ac:dyDescent="0.2">
      <c r="Z13157" t="str">
        <f t="shared" si="205"/>
        <v/>
      </c>
    </row>
    <row r="13158" spans="26:26" x14ac:dyDescent="0.2">
      <c r="Z13158" t="str">
        <f t="shared" si="205"/>
        <v/>
      </c>
    </row>
    <row r="13159" spans="26:26" x14ac:dyDescent="0.2">
      <c r="Z13159" t="str">
        <f t="shared" si="205"/>
        <v/>
      </c>
    </row>
    <row r="13160" spans="26:26" x14ac:dyDescent="0.2">
      <c r="Z13160" t="str">
        <f t="shared" si="205"/>
        <v/>
      </c>
    </row>
    <row r="13161" spans="26:26" x14ac:dyDescent="0.2">
      <c r="Z13161" t="str">
        <f t="shared" si="205"/>
        <v/>
      </c>
    </row>
    <row r="13162" spans="26:26" x14ac:dyDescent="0.2">
      <c r="Z13162" t="str">
        <f t="shared" si="205"/>
        <v/>
      </c>
    </row>
    <row r="13163" spans="26:26" x14ac:dyDescent="0.2">
      <c r="Z13163" t="str">
        <f t="shared" si="205"/>
        <v/>
      </c>
    </row>
    <row r="13164" spans="26:26" x14ac:dyDescent="0.2">
      <c r="Z13164" t="str">
        <f t="shared" si="205"/>
        <v/>
      </c>
    </row>
    <row r="13165" spans="26:26" x14ac:dyDescent="0.2">
      <c r="Z13165" t="str">
        <f t="shared" si="205"/>
        <v/>
      </c>
    </row>
    <row r="13166" spans="26:26" x14ac:dyDescent="0.2">
      <c r="Z13166" t="str">
        <f t="shared" si="205"/>
        <v/>
      </c>
    </row>
    <row r="13167" spans="26:26" x14ac:dyDescent="0.2">
      <c r="Z13167" t="str">
        <f t="shared" si="205"/>
        <v/>
      </c>
    </row>
    <row r="13168" spans="26:26" x14ac:dyDescent="0.2">
      <c r="Z13168" t="str">
        <f t="shared" si="205"/>
        <v/>
      </c>
    </row>
    <row r="13169" spans="26:26" x14ac:dyDescent="0.2">
      <c r="Z13169" t="str">
        <f t="shared" si="205"/>
        <v/>
      </c>
    </row>
    <row r="13170" spans="26:26" x14ac:dyDescent="0.2">
      <c r="Z13170" t="str">
        <f t="shared" si="205"/>
        <v/>
      </c>
    </row>
    <row r="13171" spans="26:26" x14ac:dyDescent="0.2">
      <c r="Z13171" t="str">
        <f t="shared" si="205"/>
        <v/>
      </c>
    </row>
    <row r="13172" spans="26:26" x14ac:dyDescent="0.2">
      <c r="Z13172" t="str">
        <f t="shared" si="205"/>
        <v/>
      </c>
    </row>
    <row r="13173" spans="26:26" x14ac:dyDescent="0.2">
      <c r="Z13173" t="str">
        <f t="shared" si="205"/>
        <v/>
      </c>
    </row>
    <row r="13174" spans="26:26" x14ac:dyDescent="0.2">
      <c r="Z13174" t="str">
        <f t="shared" si="205"/>
        <v/>
      </c>
    </row>
    <row r="13175" spans="26:26" x14ac:dyDescent="0.2">
      <c r="Z13175" t="str">
        <f t="shared" si="205"/>
        <v/>
      </c>
    </row>
    <row r="13176" spans="26:26" x14ac:dyDescent="0.2">
      <c r="Z13176" t="str">
        <f t="shared" si="205"/>
        <v/>
      </c>
    </row>
    <row r="13177" spans="26:26" x14ac:dyDescent="0.2">
      <c r="Z13177" t="str">
        <f t="shared" si="205"/>
        <v/>
      </c>
    </row>
    <row r="13178" spans="26:26" x14ac:dyDescent="0.2">
      <c r="Z13178" t="str">
        <f t="shared" si="205"/>
        <v/>
      </c>
    </row>
    <row r="13179" spans="26:26" x14ac:dyDescent="0.2">
      <c r="Z13179" t="str">
        <f t="shared" si="205"/>
        <v/>
      </c>
    </row>
    <row r="13180" spans="26:26" x14ac:dyDescent="0.2">
      <c r="Z13180" t="str">
        <f t="shared" si="205"/>
        <v/>
      </c>
    </row>
    <row r="13181" spans="26:26" x14ac:dyDescent="0.2">
      <c r="Z13181" t="str">
        <f t="shared" si="205"/>
        <v/>
      </c>
    </row>
    <row r="13182" spans="26:26" x14ac:dyDescent="0.2">
      <c r="Z13182" t="str">
        <f t="shared" si="205"/>
        <v/>
      </c>
    </row>
    <row r="13183" spans="26:26" x14ac:dyDescent="0.2">
      <c r="Z13183" t="str">
        <f t="shared" si="205"/>
        <v/>
      </c>
    </row>
    <row r="13184" spans="26:26" x14ac:dyDescent="0.2">
      <c r="Z13184" t="str">
        <f t="shared" si="205"/>
        <v/>
      </c>
    </row>
    <row r="13185" spans="26:26" x14ac:dyDescent="0.2">
      <c r="Z13185" t="str">
        <f t="shared" si="205"/>
        <v/>
      </c>
    </row>
    <row r="13186" spans="26:26" x14ac:dyDescent="0.2">
      <c r="Z13186" t="str">
        <f t="shared" si="205"/>
        <v/>
      </c>
    </row>
    <row r="13187" spans="26:26" x14ac:dyDescent="0.2">
      <c r="Z13187" t="str">
        <f t="shared" ref="Z13187:Z13250" si="206">IF(K13187="","",IFERROR(VALUE(TRIM(MID(K13187,FIND(CHAR(167),SUBSTITUTE(K13187,"-",CHAR(167),LEN(K13187)-LEN(SUBSTITUTE(K13187,"-",""))))+1,100))),K13187))</f>
        <v/>
      </c>
    </row>
    <row r="13188" spans="26:26" x14ac:dyDescent="0.2">
      <c r="Z13188" t="str">
        <f t="shared" si="206"/>
        <v/>
      </c>
    </row>
    <row r="13189" spans="26:26" x14ac:dyDescent="0.2">
      <c r="Z13189" t="str">
        <f t="shared" si="206"/>
        <v/>
      </c>
    </row>
    <row r="13190" spans="26:26" x14ac:dyDescent="0.2">
      <c r="Z13190" t="str">
        <f t="shared" si="206"/>
        <v/>
      </c>
    </row>
    <row r="13191" spans="26:26" x14ac:dyDescent="0.2">
      <c r="Z13191" t="str">
        <f t="shared" si="206"/>
        <v/>
      </c>
    </row>
    <row r="13192" spans="26:26" x14ac:dyDescent="0.2">
      <c r="Z13192" t="str">
        <f t="shared" si="206"/>
        <v/>
      </c>
    </row>
    <row r="13193" spans="26:26" x14ac:dyDescent="0.2">
      <c r="Z13193" t="str">
        <f t="shared" si="206"/>
        <v/>
      </c>
    </row>
    <row r="13194" spans="26:26" x14ac:dyDescent="0.2">
      <c r="Z13194" t="str">
        <f t="shared" si="206"/>
        <v/>
      </c>
    </row>
    <row r="13195" spans="26:26" x14ac:dyDescent="0.2">
      <c r="Z13195" t="str">
        <f t="shared" si="206"/>
        <v/>
      </c>
    </row>
    <row r="13196" spans="26:26" x14ac:dyDescent="0.2">
      <c r="Z13196" t="str">
        <f t="shared" si="206"/>
        <v/>
      </c>
    </row>
    <row r="13197" spans="26:26" x14ac:dyDescent="0.2">
      <c r="Z13197" t="str">
        <f t="shared" si="206"/>
        <v/>
      </c>
    </row>
    <row r="13198" spans="26:26" x14ac:dyDescent="0.2">
      <c r="Z13198" t="str">
        <f t="shared" si="206"/>
        <v/>
      </c>
    </row>
    <row r="13199" spans="26:26" x14ac:dyDescent="0.2">
      <c r="Z13199" t="str">
        <f t="shared" si="206"/>
        <v/>
      </c>
    </row>
    <row r="13200" spans="26:26" x14ac:dyDescent="0.2">
      <c r="Z13200" t="str">
        <f t="shared" si="206"/>
        <v/>
      </c>
    </row>
    <row r="13201" spans="26:26" x14ac:dyDescent="0.2">
      <c r="Z13201" t="str">
        <f t="shared" si="206"/>
        <v/>
      </c>
    </row>
    <row r="13202" spans="26:26" x14ac:dyDescent="0.2">
      <c r="Z13202" t="str">
        <f t="shared" si="206"/>
        <v/>
      </c>
    </row>
    <row r="13203" spans="26:26" x14ac:dyDescent="0.2">
      <c r="Z13203" t="str">
        <f t="shared" si="206"/>
        <v/>
      </c>
    </row>
    <row r="13204" spans="26:26" x14ac:dyDescent="0.2">
      <c r="Z13204" t="str">
        <f t="shared" si="206"/>
        <v/>
      </c>
    </row>
    <row r="13205" spans="26:26" x14ac:dyDescent="0.2">
      <c r="Z13205" t="str">
        <f t="shared" si="206"/>
        <v/>
      </c>
    </row>
    <row r="13206" spans="26:26" x14ac:dyDescent="0.2">
      <c r="Z13206" t="str">
        <f t="shared" si="206"/>
        <v/>
      </c>
    </row>
    <row r="13207" spans="26:26" x14ac:dyDescent="0.2">
      <c r="Z13207" t="str">
        <f t="shared" si="206"/>
        <v/>
      </c>
    </row>
    <row r="13208" spans="26:26" x14ac:dyDescent="0.2">
      <c r="Z13208" t="str">
        <f t="shared" si="206"/>
        <v/>
      </c>
    </row>
    <row r="13209" spans="26:26" x14ac:dyDescent="0.2">
      <c r="Z13209" t="str">
        <f t="shared" si="206"/>
        <v/>
      </c>
    </row>
    <row r="13210" spans="26:26" x14ac:dyDescent="0.2">
      <c r="Z13210" t="str">
        <f t="shared" si="206"/>
        <v/>
      </c>
    </row>
    <row r="13211" spans="26:26" x14ac:dyDescent="0.2">
      <c r="Z13211" t="str">
        <f t="shared" si="206"/>
        <v/>
      </c>
    </row>
    <row r="13212" spans="26:26" x14ac:dyDescent="0.2">
      <c r="Z13212" t="str">
        <f t="shared" si="206"/>
        <v/>
      </c>
    </row>
    <row r="13213" spans="26:26" x14ac:dyDescent="0.2">
      <c r="Z13213" t="str">
        <f t="shared" si="206"/>
        <v/>
      </c>
    </row>
    <row r="13214" spans="26:26" x14ac:dyDescent="0.2">
      <c r="Z13214" t="str">
        <f t="shared" si="206"/>
        <v/>
      </c>
    </row>
    <row r="13215" spans="26:26" x14ac:dyDescent="0.2">
      <c r="Z13215" t="str">
        <f t="shared" si="206"/>
        <v/>
      </c>
    </row>
    <row r="13216" spans="26:26" x14ac:dyDescent="0.2">
      <c r="Z13216" t="str">
        <f t="shared" si="206"/>
        <v/>
      </c>
    </row>
    <row r="13217" spans="26:26" x14ac:dyDescent="0.2">
      <c r="Z13217" t="str">
        <f t="shared" si="206"/>
        <v/>
      </c>
    </row>
    <row r="13218" spans="26:26" x14ac:dyDescent="0.2">
      <c r="Z13218" t="str">
        <f t="shared" si="206"/>
        <v/>
      </c>
    </row>
    <row r="13219" spans="26:26" x14ac:dyDescent="0.2">
      <c r="Z13219" t="str">
        <f t="shared" si="206"/>
        <v/>
      </c>
    </row>
    <row r="13220" spans="26:26" x14ac:dyDescent="0.2">
      <c r="Z13220" t="str">
        <f t="shared" si="206"/>
        <v/>
      </c>
    </row>
    <row r="13221" spans="26:26" x14ac:dyDescent="0.2">
      <c r="Z13221" t="str">
        <f t="shared" si="206"/>
        <v/>
      </c>
    </row>
    <row r="13222" spans="26:26" x14ac:dyDescent="0.2">
      <c r="Z13222" t="str">
        <f t="shared" si="206"/>
        <v/>
      </c>
    </row>
    <row r="13223" spans="26:26" x14ac:dyDescent="0.2">
      <c r="Z13223" t="str">
        <f t="shared" si="206"/>
        <v/>
      </c>
    </row>
    <row r="13224" spans="26:26" x14ac:dyDescent="0.2">
      <c r="Z13224" t="str">
        <f t="shared" si="206"/>
        <v/>
      </c>
    </row>
    <row r="13225" spans="26:26" x14ac:dyDescent="0.2">
      <c r="Z13225" t="str">
        <f t="shared" si="206"/>
        <v/>
      </c>
    </row>
    <row r="13226" spans="26:26" x14ac:dyDescent="0.2">
      <c r="Z13226" t="str">
        <f t="shared" si="206"/>
        <v/>
      </c>
    </row>
    <row r="13227" spans="26:26" x14ac:dyDescent="0.2">
      <c r="Z13227" t="str">
        <f t="shared" si="206"/>
        <v/>
      </c>
    </row>
    <row r="13228" spans="26:26" x14ac:dyDescent="0.2">
      <c r="Z13228" t="str">
        <f t="shared" si="206"/>
        <v/>
      </c>
    </row>
    <row r="13229" spans="26:26" x14ac:dyDescent="0.2">
      <c r="Z13229" t="str">
        <f t="shared" si="206"/>
        <v/>
      </c>
    </row>
    <row r="13230" spans="26:26" x14ac:dyDescent="0.2">
      <c r="Z13230" t="str">
        <f t="shared" si="206"/>
        <v/>
      </c>
    </row>
    <row r="13231" spans="26:26" x14ac:dyDescent="0.2">
      <c r="Z13231" t="str">
        <f t="shared" si="206"/>
        <v/>
      </c>
    </row>
    <row r="13232" spans="26:26" x14ac:dyDescent="0.2">
      <c r="Z13232" t="str">
        <f t="shared" si="206"/>
        <v/>
      </c>
    </row>
    <row r="13233" spans="26:26" x14ac:dyDescent="0.2">
      <c r="Z13233" t="str">
        <f t="shared" si="206"/>
        <v/>
      </c>
    </row>
    <row r="13234" spans="26:26" x14ac:dyDescent="0.2">
      <c r="Z13234" t="str">
        <f t="shared" si="206"/>
        <v/>
      </c>
    </row>
    <row r="13235" spans="26:26" x14ac:dyDescent="0.2">
      <c r="Z13235" t="str">
        <f t="shared" si="206"/>
        <v/>
      </c>
    </row>
    <row r="13236" spans="26:26" x14ac:dyDescent="0.2">
      <c r="Z13236" t="str">
        <f t="shared" si="206"/>
        <v/>
      </c>
    </row>
    <row r="13237" spans="26:26" x14ac:dyDescent="0.2">
      <c r="Z13237" t="str">
        <f t="shared" si="206"/>
        <v/>
      </c>
    </row>
    <row r="13238" spans="26:26" x14ac:dyDescent="0.2">
      <c r="Z13238" t="str">
        <f t="shared" si="206"/>
        <v/>
      </c>
    </row>
    <row r="13239" spans="26:26" x14ac:dyDescent="0.2">
      <c r="Z13239" t="str">
        <f t="shared" si="206"/>
        <v/>
      </c>
    </row>
    <row r="13240" spans="26:26" x14ac:dyDescent="0.2">
      <c r="Z13240" t="str">
        <f t="shared" si="206"/>
        <v/>
      </c>
    </row>
    <row r="13241" spans="26:26" x14ac:dyDescent="0.2">
      <c r="Z13241" t="str">
        <f t="shared" si="206"/>
        <v/>
      </c>
    </row>
    <row r="13242" spans="26:26" x14ac:dyDescent="0.2">
      <c r="Z13242" t="str">
        <f t="shared" si="206"/>
        <v/>
      </c>
    </row>
    <row r="13243" spans="26:26" x14ac:dyDescent="0.2">
      <c r="Z13243" t="str">
        <f t="shared" si="206"/>
        <v/>
      </c>
    </row>
    <row r="13244" spans="26:26" x14ac:dyDescent="0.2">
      <c r="Z13244" t="str">
        <f t="shared" si="206"/>
        <v/>
      </c>
    </row>
    <row r="13245" spans="26:26" x14ac:dyDescent="0.2">
      <c r="Z13245" t="str">
        <f t="shared" si="206"/>
        <v/>
      </c>
    </row>
    <row r="13246" spans="26:26" x14ac:dyDescent="0.2">
      <c r="Z13246" t="str">
        <f t="shared" si="206"/>
        <v/>
      </c>
    </row>
    <row r="13247" spans="26:26" x14ac:dyDescent="0.2">
      <c r="Z13247" t="str">
        <f t="shared" si="206"/>
        <v/>
      </c>
    </row>
    <row r="13248" spans="26:26" x14ac:dyDescent="0.2">
      <c r="Z13248" t="str">
        <f t="shared" si="206"/>
        <v/>
      </c>
    </row>
    <row r="13249" spans="26:26" x14ac:dyDescent="0.2">
      <c r="Z13249" t="str">
        <f t="shared" si="206"/>
        <v/>
      </c>
    </row>
    <row r="13250" spans="26:26" x14ac:dyDescent="0.2">
      <c r="Z13250" t="str">
        <f t="shared" si="206"/>
        <v/>
      </c>
    </row>
    <row r="13251" spans="26:26" x14ac:dyDescent="0.2">
      <c r="Z13251" t="str">
        <f t="shared" ref="Z13251:Z13314" si="207">IF(K13251="","",IFERROR(VALUE(TRIM(MID(K13251,FIND(CHAR(167),SUBSTITUTE(K13251,"-",CHAR(167),LEN(K13251)-LEN(SUBSTITUTE(K13251,"-",""))))+1,100))),K13251))</f>
        <v/>
      </c>
    </row>
    <row r="13252" spans="26:26" x14ac:dyDescent="0.2">
      <c r="Z13252" t="str">
        <f t="shared" si="207"/>
        <v/>
      </c>
    </row>
    <row r="13253" spans="26:26" x14ac:dyDescent="0.2">
      <c r="Z13253" t="str">
        <f t="shared" si="207"/>
        <v/>
      </c>
    </row>
    <row r="13254" spans="26:26" x14ac:dyDescent="0.2">
      <c r="Z13254" t="str">
        <f t="shared" si="207"/>
        <v/>
      </c>
    </row>
    <row r="13255" spans="26:26" x14ac:dyDescent="0.2">
      <c r="Z13255" t="str">
        <f t="shared" si="207"/>
        <v/>
      </c>
    </row>
    <row r="13256" spans="26:26" x14ac:dyDescent="0.2">
      <c r="Z13256" t="str">
        <f t="shared" si="207"/>
        <v/>
      </c>
    </row>
    <row r="13257" spans="26:26" x14ac:dyDescent="0.2">
      <c r="Z13257" t="str">
        <f t="shared" si="207"/>
        <v/>
      </c>
    </row>
    <row r="13258" spans="26:26" x14ac:dyDescent="0.2">
      <c r="Z13258" t="str">
        <f t="shared" si="207"/>
        <v/>
      </c>
    </row>
    <row r="13259" spans="26:26" x14ac:dyDescent="0.2">
      <c r="Z13259" t="str">
        <f t="shared" si="207"/>
        <v/>
      </c>
    </row>
    <row r="13260" spans="26:26" x14ac:dyDescent="0.2">
      <c r="Z13260" t="str">
        <f t="shared" si="207"/>
        <v/>
      </c>
    </row>
    <row r="13261" spans="26:26" x14ac:dyDescent="0.2">
      <c r="Z13261" t="str">
        <f t="shared" si="207"/>
        <v/>
      </c>
    </row>
    <row r="13262" spans="26:26" x14ac:dyDescent="0.2">
      <c r="Z13262" t="str">
        <f t="shared" si="207"/>
        <v/>
      </c>
    </row>
    <row r="13263" spans="26:26" x14ac:dyDescent="0.2">
      <c r="Z13263" t="str">
        <f t="shared" si="207"/>
        <v/>
      </c>
    </row>
    <row r="13264" spans="26:26" x14ac:dyDescent="0.2">
      <c r="Z13264" t="str">
        <f t="shared" si="207"/>
        <v/>
      </c>
    </row>
    <row r="13265" spans="26:26" x14ac:dyDescent="0.2">
      <c r="Z13265" t="str">
        <f t="shared" si="207"/>
        <v/>
      </c>
    </row>
    <row r="13266" spans="26:26" x14ac:dyDescent="0.2">
      <c r="Z13266" t="str">
        <f t="shared" si="207"/>
        <v/>
      </c>
    </row>
    <row r="13267" spans="26:26" x14ac:dyDescent="0.2">
      <c r="Z13267" t="str">
        <f t="shared" si="207"/>
        <v/>
      </c>
    </row>
    <row r="13268" spans="26:26" x14ac:dyDescent="0.2">
      <c r="Z13268" t="str">
        <f t="shared" si="207"/>
        <v/>
      </c>
    </row>
    <row r="13269" spans="26:26" x14ac:dyDescent="0.2">
      <c r="Z13269" t="str">
        <f t="shared" si="207"/>
        <v/>
      </c>
    </row>
    <row r="13270" spans="26:26" x14ac:dyDescent="0.2">
      <c r="Z13270" t="str">
        <f t="shared" si="207"/>
        <v/>
      </c>
    </row>
    <row r="13271" spans="26:26" x14ac:dyDescent="0.2">
      <c r="Z13271" t="str">
        <f t="shared" si="207"/>
        <v/>
      </c>
    </row>
    <row r="13272" spans="26:26" x14ac:dyDescent="0.2">
      <c r="Z13272" t="str">
        <f t="shared" si="207"/>
        <v/>
      </c>
    </row>
    <row r="13273" spans="26:26" x14ac:dyDescent="0.2">
      <c r="Z13273" t="str">
        <f t="shared" si="207"/>
        <v/>
      </c>
    </row>
    <row r="13274" spans="26:26" x14ac:dyDescent="0.2">
      <c r="Z13274" t="str">
        <f t="shared" si="207"/>
        <v/>
      </c>
    </row>
    <row r="13275" spans="26:26" x14ac:dyDescent="0.2">
      <c r="Z13275" t="str">
        <f t="shared" si="207"/>
        <v/>
      </c>
    </row>
    <row r="13276" spans="26:26" x14ac:dyDescent="0.2">
      <c r="Z13276" t="str">
        <f t="shared" si="207"/>
        <v/>
      </c>
    </row>
    <row r="13277" spans="26:26" x14ac:dyDescent="0.2">
      <c r="Z13277" t="str">
        <f t="shared" si="207"/>
        <v/>
      </c>
    </row>
    <row r="13278" spans="26:26" x14ac:dyDescent="0.2">
      <c r="Z13278" t="str">
        <f t="shared" si="207"/>
        <v/>
      </c>
    </row>
    <row r="13279" spans="26:26" x14ac:dyDescent="0.2">
      <c r="Z13279" t="str">
        <f t="shared" si="207"/>
        <v/>
      </c>
    </row>
    <row r="13280" spans="26:26" x14ac:dyDescent="0.2">
      <c r="Z13280" t="str">
        <f t="shared" si="207"/>
        <v/>
      </c>
    </row>
    <row r="13281" spans="26:26" x14ac:dyDescent="0.2">
      <c r="Z13281" t="str">
        <f t="shared" si="207"/>
        <v/>
      </c>
    </row>
    <row r="13282" spans="26:26" x14ac:dyDescent="0.2">
      <c r="Z13282" t="str">
        <f t="shared" si="207"/>
        <v/>
      </c>
    </row>
    <row r="13283" spans="26:26" x14ac:dyDescent="0.2">
      <c r="Z13283" t="str">
        <f t="shared" si="207"/>
        <v/>
      </c>
    </row>
    <row r="13284" spans="26:26" x14ac:dyDescent="0.2">
      <c r="Z13284" t="str">
        <f t="shared" si="207"/>
        <v/>
      </c>
    </row>
    <row r="13285" spans="26:26" x14ac:dyDescent="0.2">
      <c r="Z13285" t="str">
        <f t="shared" si="207"/>
        <v/>
      </c>
    </row>
    <row r="13286" spans="26:26" x14ac:dyDescent="0.2">
      <c r="Z13286" t="str">
        <f t="shared" si="207"/>
        <v/>
      </c>
    </row>
    <row r="13287" spans="26:26" x14ac:dyDescent="0.2">
      <c r="Z13287" t="str">
        <f t="shared" si="207"/>
        <v/>
      </c>
    </row>
    <row r="13288" spans="26:26" x14ac:dyDescent="0.2">
      <c r="Z13288" t="str">
        <f t="shared" si="207"/>
        <v/>
      </c>
    </row>
    <row r="13289" spans="26:26" x14ac:dyDescent="0.2">
      <c r="Z13289" t="str">
        <f t="shared" si="207"/>
        <v/>
      </c>
    </row>
    <row r="13290" spans="26:26" x14ac:dyDescent="0.2">
      <c r="Z13290" t="str">
        <f t="shared" si="207"/>
        <v/>
      </c>
    </row>
    <row r="13291" spans="26:26" x14ac:dyDescent="0.2">
      <c r="Z13291" t="str">
        <f t="shared" si="207"/>
        <v/>
      </c>
    </row>
    <row r="13292" spans="26:26" x14ac:dyDescent="0.2">
      <c r="Z13292" t="str">
        <f t="shared" si="207"/>
        <v/>
      </c>
    </row>
    <row r="13293" spans="26:26" x14ac:dyDescent="0.2">
      <c r="Z13293" t="str">
        <f t="shared" si="207"/>
        <v/>
      </c>
    </row>
    <row r="13294" spans="26:26" x14ac:dyDescent="0.2">
      <c r="Z13294" t="str">
        <f t="shared" si="207"/>
        <v/>
      </c>
    </row>
    <row r="13295" spans="26:26" x14ac:dyDescent="0.2">
      <c r="Z13295" t="str">
        <f t="shared" si="207"/>
        <v/>
      </c>
    </row>
    <row r="13296" spans="26:26" x14ac:dyDescent="0.2">
      <c r="Z13296" t="str">
        <f t="shared" si="207"/>
        <v/>
      </c>
    </row>
    <row r="13297" spans="26:26" x14ac:dyDescent="0.2">
      <c r="Z13297" t="str">
        <f t="shared" si="207"/>
        <v/>
      </c>
    </row>
    <row r="13298" spans="26:26" x14ac:dyDescent="0.2">
      <c r="Z13298" t="str">
        <f t="shared" si="207"/>
        <v/>
      </c>
    </row>
    <row r="13299" spans="26:26" x14ac:dyDescent="0.2">
      <c r="Z13299" t="str">
        <f t="shared" si="207"/>
        <v/>
      </c>
    </row>
    <row r="13300" spans="26:26" x14ac:dyDescent="0.2">
      <c r="Z13300" t="str">
        <f t="shared" si="207"/>
        <v/>
      </c>
    </row>
    <row r="13301" spans="26:26" x14ac:dyDescent="0.2">
      <c r="Z13301" t="str">
        <f t="shared" si="207"/>
        <v/>
      </c>
    </row>
    <row r="13302" spans="26:26" x14ac:dyDescent="0.2">
      <c r="Z13302" t="str">
        <f t="shared" si="207"/>
        <v/>
      </c>
    </row>
    <row r="13303" spans="26:26" x14ac:dyDescent="0.2">
      <c r="Z13303" t="str">
        <f t="shared" si="207"/>
        <v/>
      </c>
    </row>
    <row r="13304" spans="26:26" x14ac:dyDescent="0.2">
      <c r="Z13304" t="str">
        <f t="shared" si="207"/>
        <v/>
      </c>
    </row>
    <row r="13305" spans="26:26" x14ac:dyDescent="0.2">
      <c r="Z13305" t="str">
        <f t="shared" si="207"/>
        <v/>
      </c>
    </row>
    <row r="13306" spans="26:26" x14ac:dyDescent="0.2">
      <c r="Z13306" t="str">
        <f t="shared" si="207"/>
        <v/>
      </c>
    </row>
    <row r="13307" spans="26:26" x14ac:dyDescent="0.2">
      <c r="Z13307" t="str">
        <f t="shared" si="207"/>
        <v/>
      </c>
    </row>
    <row r="13308" spans="26:26" x14ac:dyDescent="0.2">
      <c r="Z13308" t="str">
        <f t="shared" si="207"/>
        <v/>
      </c>
    </row>
    <row r="13309" spans="26:26" x14ac:dyDescent="0.2">
      <c r="Z13309" t="str">
        <f t="shared" si="207"/>
        <v/>
      </c>
    </row>
    <row r="13310" spans="26:26" x14ac:dyDescent="0.2">
      <c r="Z13310" t="str">
        <f t="shared" si="207"/>
        <v/>
      </c>
    </row>
    <row r="13311" spans="26:26" x14ac:dyDescent="0.2">
      <c r="Z13311" t="str">
        <f t="shared" si="207"/>
        <v/>
      </c>
    </row>
    <row r="13312" spans="26:26" x14ac:dyDescent="0.2">
      <c r="Z13312" t="str">
        <f t="shared" si="207"/>
        <v/>
      </c>
    </row>
    <row r="13313" spans="26:26" x14ac:dyDescent="0.2">
      <c r="Z13313" t="str">
        <f t="shared" si="207"/>
        <v/>
      </c>
    </row>
    <row r="13314" spans="26:26" x14ac:dyDescent="0.2">
      <c r="Z13314" t="str">
        <f t="shared" si="207"/>
        <v/>
      </c>
    </row>
    <row r="13315" spans="26:26" x14ac:dyDescent="0.2">
      <c r="Z13315" t="str">
        <f t="shared" ref="Z13315:Z13378" si="208">IF(K13315="","",IFERROR(VALUE(TRIM(MID(K13315,FIND(CHAR(167),SUBSTITUTE(K13315,"-",CHAR(167),LEN(K13315)-LEN(SUBSTITUTE(K13315,"-",""))))+1,100))),K13315))</f>
        <v/>
      </c>
    </row>
    <row r="13316" spans="26:26" x14ac:dyDescent="0.2">
      <c r="Z13316" t="str">
        <f t="shared" si="208"/>
        <v/>
      </c>
    </row>
    <row r="13317" spans="26:26" x14ac:dyDescent="0.2">
      <c r="Z13317" t="str">
        <f t="shared" si="208"/>
        <v/>
      </c>
    </row>
    <row r="13318" spans="26:26" x14ac:dyDescent="0.2">
      <c r="Z13318" t="str">
        <f t="shared" si="208"/>
        <v/>
      </c>
    </row>
    <row r="13319" spans="26:26" x14ac:dyDescent="0.2">
      <c r="Z13319" t="str">
        <f t="shared" si="208"/>
        <v/>
      </c>
    </row>
    <row r="13320" spans="26:26" x14ac:dyDescent="0.2">
      <c r="Z13320" t="str">
        <f t="shared" si="208"/>
        <v/>
      </c>
    </row>
    <row r="13321" spans="26:26" x14ac:dyDescent="0.2">
      <c r="Z13321" t="str">
        <f t="shared" si="208"/>
        <v/>
      </c>
    </row>
    <row r="13322" spans="26:26" x14ac:dyDescent="0.2">
      <c r="Z13322" t="str">
        <f t="shared" si="208"/>
        <v/>
      </c>
    </row>
    <row r="13323" spans="26:26" x14ac:dyDescent="0.2">
      <c r="Z13323" t="str">
        <f t="shared" si="208"/>
        <v/>
      </c>
    </row>
    <row r="13324" spans="26:26" x14ac:dyDescent="0.2">
      <c r="Z13324" t="str">
        <f t="shared" si="208"/>
        <v/>
      </c>
    </row>
    <row r="13325" spans="26:26" x14ac:dyDescent="0.2">
      <c r="Z13325" t="str">
        <f t="shared" si="208"/>
        <v/>
      </c>
    </row>
    <row r="13326" spans="26:26" x14ac:dyDescent="0.2">
      <c r="Z13326" t="str">
        <f t="shared" si="208"/>
        <v/>
      </c>
    </row>
    <row r="13327" spans="26:26" x14ac:dyDescent="0.2">
      <c r="Z13327" t="str">
        <f t="shared" si="208"/>
        <v/>
      </c>
    </row>
    <row r="13328" spans="26:26" x14ac:dyDescent="0.2">
      <c r="Z13328" t="str">
        <f t="shared" si="208"/>
        <v/>
      </c>
    </row>
    <row r="13329" spans="26:26" x14ac:dyDescent="0.2">
      <c r="Z13329" t="str">
        <f t="shared" si="208"/>
        <v/>
      </c>
    </row>
    <row r="13330" spans="26:26" x14ac:dyDescent="0.2">
      <c r="Z13330" t="str">
        <f t="shared" si="208"/>
        <v/>
      </c>
    </row>
    <row r="13331" spans="26:26" x14ac:dyDescent="0.2">
      <c r="Z13331" t="str">
        <f t="shared" si="208"/>
        <v/>
      </c>
    </row>
    <row r="13332" spans="26:26" x14ac:dyDescent="0.2">
      <c r="Z13332" t="str">
        <f t="shared" si="208"/>
        <v/>
      </c>
    </row>
    <row r="13333" spans="26:26" x14ac:dyDescent="0.2">
      <c r="Z13333" t="str">
        <f t="shared" si="208"/>
        <v/>
      </c>
    </row>
    <row r="13334" spans="26:26" x14ac:dyDescent="0.2">
      <c r="Z13334" t="str">
        <f t="shared" si="208"/>
        <v/>
      </c>
    </row>
    <row r="13335" spans="26:26" x14ac:dyDescent="0.2">
      <c r="Z13335" t="str">
        <f t="shared" si="208"/>
        <v/>
      </c>
    </row>
    <row r="13336" spans="26:26" x14ac:dyDescent="0.2">
      <c r="Z13336" t="str">
        <f t="shared" si="208"/>
        <v/>
      </c>
    </row>
    <row r="13337" spans="26:26" x14ac:dyDescent="0.2">
      <c r="Z13337" t="str">
        <f t="shared" si="208"/>
        <v/>
      </c>
    </row>
    <row r="13338" spans="26:26" x14ac:dyDescent="0.2">
      <c r="Z13338" t="str">
        <f t="shared" si="208"/>
        <v/>
      </c>
    </row>
    <row r="13339" spans="26:26" x14ac:dyDescent="0.2">
      <c r="Z13339" t="str">
        <f t="shared" si="208"/>
        <v/>
      </c>
    </row>
    <row r="13340" spans="26:26" x14ac:dyDescent="0.2">
      <c r="Z13340" t="str">
        <f t="shared" si="208"/>
        <v/>
      </c>
    </row>
    <row r="13341" spans="26:26" x14ac:dyDescent="0.2">
      <c r="Z13341" t="str">
        <f t="shared" si="208"/>
        <v/>
      </c>
    </row>
    <row r="13342" spans="26:26" x14ac:dyDescent="0.2">
      <c r="Z13342" t="str">
        <f t="shared" si="208"/>
        <v/>
      </c>
    </row>
    <row r="13343" spans="26:26" x14ac:dyDescent="0.2">
      <c r="Z13343" t="str">
        <f t="shared" si="208"/>
        <v/>
      </c>
    </row>
    <row r="13344" spans="26:26" x14ac:dyDescent="0.2">
      <c r="Z13344" t="str">
        <f t="shared" si="208"/>
        <v/>
      </c>
    </row>
    <row r="13345" spans="26:26" x14ac:dyDescent="0.2">
      <c r="Z13345" t="str">
        <f t="shared" si="208"/>
        <v/>
      </c>
    </row>
    <row r="13346" spans="26:26" x14ac:dyDescent="0.2">
      <c r="Z13346" t="str">
        <f t="shared" si="208"/>
        <v/>
      </c>
    </row>
    <row r="13347" spans="26:26" x14ac:dyDescent="0.2">
      <c r="Z13347" t="str">
        <f t="shared" si="208"/>
        <v/>
      </c>
    </row>
    <row r="13348" spans="26:26" x14ac:dyDescent="0.2">
      <c r="Z13348" t="str">
        <f t="shared" si="208"/>
        <v/>
      </c>
    </row>
    <row r="13349" spans="26:26" x14ac:dyDescent="0.2">
      <c r="Z13349" t="str">
        <f t="shared" si="208"/>
        <v/>
      </c>
    </row>
    <row r="13350" spans="26:26" x14ac:dyDescent="0.2">
      <c r="Z13350" t="str">
        <f t="shared" si="208"/>
        <v/>
      </c>
    </row>
    <row r="13351" spans="26:26" x14ac:dyDescent="0.2">
      <c r="Z13351" t="str">
        <f t="shared" si="208"/>
        <v/>
      </c>
    </row>
    <row r="13352" spans="26:26" x14ac:dyDescent="0.2">
      <c r="Z13352" t="str">
        <f t="shared" si="208"/>
        <v/>
      </c>
    </row>
    <row r="13353" spans="26:26" x14ac:dyDescent="0.2">
      <c r="Z13353" t="str">
        <f t="shared" si="208"/>
        <v/>
      </c>
    </row>
    <row r="13354" spans="26:26" x14ac:dyDescent="0.2">
      <c r="Z13354" t="str">
        <f t="shared" si="208"/>
        <v/>
      </c>
    </row>
    <row r="13355" spans="26:26" x14ac:dyDescent="0.2">
      <c r="Z13355" t="str">
        <f t="shared" si="208"/>
        <v/>
      </c>
    </row>
    <row r="13356" spans="26:26" x14ac:dyDescent="0.2">
      <c r="Z13356" t="str">
        <f t="shared" si="208"/>
        <v/>
      </c>
    </row>
    <row r="13357" spans="26:26" x14ac:dyDescent="0.2">
      <c r="Z13357" t="str">
        <f t="shared" si="208"/>
        <v/>
      </c>
    </row>
    <row r="13358" spans="26:26" x14ac:dyDescent="0.2">
      <c r="Z13358" t="str">
        <f t="shared" si="208"/>
        <v/>
      </c>
    </row>
    <row r="13359" spans="26:26" x14ac:dyDescent="0.2">
      <c r="Z13359" t="str">
        <f t="shared" si="208"/>
        <v/>
      </c>
    </row>
    <row r="13360" spans="26:26" x14ac:dyDescent="0.2">
      <c r="Z13360" t="str">
        <f t="shared" si="208"/>
        <v/>
      </c>
    </row>
    <row r="13361" spans="26:26" x14ac:dyDescent="0.2">
      <c r="Z13361" t="str">
        <f t="shared" si="208"/>
        <v/>
      </c>
    </row>
    <row r="13362" spans="26:26" x14ac:dyDescent="0.2">
      <c r="Z13362" t="str">
        <f t="shared" si="208"/>
        <v/>
      </c>
    </row>
    <row r="13363" spans="26:26" x14ac:dyDescent="0.2">
      <c r="Z13363" t="str">
        <f t="shared" si="208"/>
        <v/>
      </c>
    </row>
    <row r="13364" spans="26:26" x14ac:dyDescent="0.2">
      <c r="Z13364" t="str">
        <f t="shared" si="208"/>
        <v/>
      </c>
    </row>
    <row r="13365" spans="26:26" x14ac:dyDescent="0.2">
      <c r="Z13365" t="str">
        <f t="shared" si="208"/>
        <v/>
      </c>
    </row>
    <row r="13366" spans="26:26" x14ac:dyDescent="0.2">
      <c r="Z13366" t="str">
        <f t="shared" si="208"/>
        <v/>
      </c>
    </row>
    <row r="13367" spans="26:26" x14ac:dyDescent="0.2">
      <c r="Z13367" t="str">
        <f t="shared" si="208"/>
        <v/>
      </c>
    </row>
    <row r="13368" spans="26:26" x14ac:dyDescent="0.2">
      <c r="Z13368" t="str">
        <f t="shared" si="208"/>
        <v/>
      </c>
    </row>
    <row r="13369" spans="26:26" x14ac:dyDescent="0.2">
      <c r="Z13369" t="str">
        <f t="shared" si="208"/>
        <v/>
      </c>
    </row>
    <row r="13370" spans="26:26" x14ac:dyDescent="0.2">
      <c r="Z13370" t="str">
        <f t="shared" si="208"/>
        <v/>
      </c>
    </row>
    <row r="13371" spans="26:26" x14ac:dyDescent="0.2">
      <c r="Z13371" t="str">
        <f t="shared" si="208"/>
        <v/>
      </c>
    </row>
    <row r="13372" spans="26:26" x14ac:dyDescent="0.2">
      <c r="Z13372" t="str">
        <f t="shared" si="208"/>
        <v/>
      </c>
    </row>
    <row r="13373" spans="26:26" x14ac:dyDescent="0.2">
      <c r="Z13373" t="str">
        <f t="shared" si="208"/>
        <v/>
      </c>
    </row>
    <row r="13374" spans="26:26" x14ac:dyDescent="0.2">
      <c r="Z13374" t="str">
        <f t="shared" si="208"/>
        <v/>
      </c>
    </row>
    <row r="13375" spans="26:26" x14ac:dyDescent="0.2">
      <c r="Z13375" t="str">
        <f t="shared" si="208"/>
        <v/>
      </c>
    </row>
    <row r="13376" spans="26:26" x14ac:dyDescent="0.2">
      <c r="Z13376" t="str">
        <f t="shared" si="208"/>
        <v/>
      </c>
    </row>
    <row r="13377" spans="26:26" x14ac:dyDescent="0.2">
      <c r="Z13377" t="str">
        <f t="shared" si="208"/>
        <v/>
      </c>
    </row>
    <row r="13378" spans="26:26" x14ac:dyDescent="0.2">
      <c r="Z13378" t="str">
        <f t="shared" si="208"/>
        <v/>
      </c>
    </row>
    <row r="13379" spans="26:26" x14ac:dyDescent="0.2">
      <c r="Z13379" t="str">
        <f t="shared" ref="Z13379:Z13442" si="209">IF(K13379="","",IFERROR(VALUE(TRIM(MID(K13379,FIND(CHAR(167),SUBSTITUTE(K13379,"-",CHAR(167),LEN(K13379)-LEN(SUBSTITUTE(K13379,"-",""))))+1,100))),K13379))</f>
        <v/>
      </c>
    </row>
    <row r="13380" spans="26:26" x14ac:dyDescent="0.2">
      <c r="Z13380" t="str">
        <f t="shared" si="209"/>
        <v/>
      </c>
    </row>
    <row r="13381" spans="26:26" x14ac:dyDescent="0.2">
      <c r="Z13381" t="str">
        <f t="shared" si="209"/>
        <v/>
      </c>
    </row>
    <row r="13382" spans="26:26" x14ac:dyDescent="0.2">
      <c r="Z13382" t="str">
        <f t="shared" si="209"/>
        <v/>
      </c>
    </row>
    <row r="13383" spans="26:26" x14ac:dyDescent="0.2">
      <c r="Z13383" t="str">
        <f t="shared" si="209"/>
        <v/>
      </c>
    </row>
    <row r="13384" spans="26:26" x14ac:dyDescent="0.2">
      <c r="Z13384" t="str">
        <f t="shared" si="209"/>
        <v/>
      </c>
    </row>
    <row r="13385" spans="26:26" x14ac:dyDescent="0.2">
      <c r="Z13385" t="str">
        <f t="shared" si="209"/>
        <v/>
      </c>
    </row>
    <row r="13386" spans="26:26" x14ac:dyDescent="0.2">
      <c r="Z13386" t="str">
        <f t="shared" si="209"/>
        <v/>
      </c>
    </row>
    <row r="13387" spans="26:26" x14ac:dyDescent="0.2">
      <c r="Z13387" t="str">
        <f t="shared" si="209"/>
        <v/>
      </c>
    </row>
    <row r="13388" spans="26:26" x14ac:dyDescent="0.2">
      <c r="Z13388" t="str">
        <f t="shared" si="209"/>
        <v/>
      </c>
    </row>
    <row r="13389" spans="26:26" x14ac:dyDescent="0.2">
      <c r="Z13389" t="str">
        <f t="shared" si="209"/>
        <v/>
      </c>
    </row>
    <row r="13390" spans="26:26" x14ac:dyDescent="0.2">
      <c r="Z13390" t="str">
        <f t="shared" si="209"/>
        <v/>
      </c>
    </row>
    <row r="13391" spans="26:26" x14ac:dyDescent="0.2">
      <c r="Z13391" t="str">
        <f t="shared" si="209"/>
        <v/>
      </c>
    </row>
    <row r="13392" spans="26:26" x14ac:dyDescent="0.2">
      <c r="Z13392" t="str">
        <f t="shared" si="209"/>
        <v/>
      </c>
    </row>
    <row r="13393" spans="26:26" x14ac:dyDescent="0.2">
      <c r="Z13393" t="str">
        <f t="shared" si="209"/>
        <v/>
      </c>
    </row>
    <row r="13394" spans="26:26" x14ac:dyDescent="0.2">
      <c r="Z13394" t="str">
        <f t="shared" si="209"/>
        <v/>
      </c>
    </row>
    <row r="13395" spans="26:26" x14ac:dyDescent="0.2">
      <c r="Z13395" t="str">
        <f t="shared" si="209"/>
        <v/>
      </c>
    </row>
    <row r="13396" spans="26:26" x14ac:dyDescent="0.2">
      <c r="Z13396" t="str">
        <f t="shared" si="209"/>
        <v/>
      </c>
    </row>
    <row r="13397" spans="26:26" x14ac:dyDescent="0.2">
      <c r="Z13397" t="str">
        <f t="shared" si="209"/>
        <v/>
      </c>
    </row>
    <row r="13398" spans="26:26" x14ac:dyDescent="0.2">
      <c r="Z13398" t="str">
        <f t="shared" si="209"/>
        <v/>
      </c>
    </row>
    <row r="13399" spans="26:26" x14ac:dyDescent="0.2">
      <c r="Z13399" t="str">
        <f t="shared" si="209"/>
        <v/>
      </c>
    </row>
    <row r="13400" spans="26:26" x14ac:dyDescent="0.2">
      <c r="Z13400" t="str">
        <f t="shared" si="209"/>
        <v/>
      </c>
    </row>
    <row r="13401" spans="26:26" x14ac:dyDescent="0.2">
      <c r="Z13401" t="str">
        <f t="shared" si="209"/>
        <v/>
      </c>
    </row>
    <row r="13402" spans="26:26" x14ac:dyDescent="0.2">
      <c r="Z13402" t="str">
        <f t="shared" si="209"/>
        <v/>
      </c>
    </row>
    <row r="13403" spans="26:26" x14ac:dyDescent="0.2">
      <c r="Z13403" t="str">
        <f t="shared" si="209"/>
        <v/>
      </c>
    </row>
    <row r="13404" spans="26:26" x14ac:dyDescent="0.2">
      <c r="Z13404" t="str">
        <f t="shared" si="209"/>
        <v/>
      </c>
    </row>
    <row r="13405" spans="26:26" x14ac:dyDescent="0.2">
      <c r="Z13405" t="str">
        <f t="shared" si="209"/>
        <v/>
      </c>
    </row>
    <row r="13406" spans="26:26" x14ac:dyDescent="0.2">
      <c r="Z13406" t="str">
        <f t="shared" si="209"/>
        <v/>
      </c>
    </row>
    <row r="13407" spans="26:26" x14ac:dyDescent="0.2">
      <c r="Z13407" t="str">
        <f t="shared" si="209"/>
        <v/>
      </c>
    </row>
    <row r="13408" spans="26:26" x14ac:dyDescent="0.2">
      <c r="Z13408" t="str">
        <f t="shared" si="209"/>
        <v/>
      </c>
    </row>
    <row r="13409" spans="26:26" x14ac:dyDescent="0.2">
      <c r="Z13409" t="str">
        <f t="shared" si="209"/>
        <v/>
      </c>
    </row>
    <row r="13410" spans="26:26" x14ac:dyDescent="0.2">
      <c r="Z13410" t="str">
        <f t="shared" si="209"/>
        <v/>
      </c>
    </row>
    <row r="13411" spans="26:26" x14ac:dyDescent="0.2">
      <c r="Z13411" t="str">
        <f t="shared" si="209"/>
        <v/>
      </c>
    </row>
    <row r="13412" spans="26:26" x14ac:dyDescent="0.2">
      <c r="Z13412" t="str">
        <f t="shared" si="209"/>
        <v/>
      </c>
    </row>
    <row r="13413" spans="26:26" x14ac:dyDescent="0.2">
      <c r="Z13413" t="str">
        <f t="shared" si="209"/>
        <v/>
      </c>
    </row>
    <row r="13414" spans="26:26" x14ac:dyDescent="0.2">
      <c r="Z13414" t="str">
        <f t="shared" si="209"/>
        <v/>
      </c>
    </row>
    <row r="13415" spans="26:26" x14ac:dyDescent="0.2">
      <c r="Z13415" t="str">
        <f t="shared" si="209"/>
        <v/>
      </c>
    </row>
    <row r="13416" spans="26:26" x14ac:dyDescent="0.2">
      <c r="Z13416" t="str">
        <f t="shared" si="209"/>
        <v/>
      </c>
    </row>
    <row r="13417" spans="26:26" x14ac:dyDescent="0.2">
      <c r="Z13417" t="str">
        <f t="shared" si="209"/>
        <v/>
      </c>
    </row>
    <row r="13418" spans="26:26" x14ac:dyDescent="0.2">
      <c r="Z13418" t="str">
        <f t="shared" si="209"/>
        <v/>
      </c>
    </row>
    <row r="13419" spans="26:26" x14ac:dyDescent="0.2">
      <c r="Z13419" t="str">
        <f t="shared" si="209"/>
        <v/>
      </c>
    </row>
    <row r="13420" spans="26:26" x14ac:dyDescent="0.2">
      <c r="Z13420" t="str">
        <f t="shared" si="209"/>
        <v/>
      </c>
    </row>
    <row r="13421" spans="26:26" x14ac:dyDescent="0.2">
      <c r="Z13421" t="str">
        <f t="shared" si="209"/>
        <v/>
      </c>
    </row>
    <row r="13422" spans="26:26" x14ac:dyDescent="0.2">
      <c r="Z13422" t="str">
        <f t="shared" si="209"/>
        <v/>
      </c>
    </row>
    <row r="13423" spans="26:26" x14ac:dyDescent="0.2">
      <c r="Z13423" t="str">
        <f t="shared" si="209"/>
        <v/>
      </c>
    </row>
    <row r="13424" spans="26:26" x14ac:dyDescent="0.2">
      <c r="Z13424" t="str">
        <f t="shared" si="209"/>
        <v/>
      </c>
    </row>
    <row r="13425" spans="26:26" x14ac:dyDescent="0.2">
      <c r="Z13425" t="str">
        <f t="shared" si="209"/>
        <v/>
      </c>
    </row>
    <row r="13426" spans="26:26" x14ac:dyDescent="0.2">
      <c r="Z13426" t="str">
        <f t="shared" si="209"/>
        <v/>
      </c>
    </row>
    <row r="13427" spans="26:26" x14ac:dyDescent="0.2">
      <c r="Z13427" t="str">
        <f t="shared" si="209"/>
        <v/>
      </c>
    </row>
    <row r="13428" spans="26:26" x14ac:dyDescent="0.2">
      <c r="Z13428" t="str">
        <f t="shared" si="209"/>
        <v/>
      </c>
    </row>
    <row r="13429" spans="26:26" x14ac:dyDescent="0.2">
      <c r="Z13429" t="str">
        <f t="shared" si="209"/>
        <v/>
      </c>
    </row>
    <row r="13430" spans="26:26" x14ac:dyDescent="0.2">
      <c r="Z13430" t="str">
        <f t="shared" si="209"/>
        <v/>
      </c>
    </row>
    <row r="13431" spans="26:26" x14ac:dyDescent="0.2">
      <c r="Z13431" t="str">
        <f t="shared" si="209"/>
        <v/>
      </c>
    </row>
    <row r="13432" spans="26:26" x14ac:dyDescent="0.2">
      <c r="Z13432" t="str">
        <f t="shared" si="209"/>
        <v/>
      </c>
    </row>
    <row r="13433" spans="26:26" x14ac:dyDescent="0.2">
      <c r="Z13433" t="str">
        <f t="shared" si="209"/>
        <v/>
      </c>
    </row>
    <row r="13434" spans="26:26" x14ac:dyDescent="0.2">
      <c r="Z13434" t="str">
        <f t="shared" si="209"/>
        <v/>
      </c>
    </row>
    <row r="13435" spans="26:26" x14ac:dyDescent="0.2">
      <c r="Z13435" t="str">
        <f t="shared" si="209"/>
        <v/>
      </c>
    </row>
    <row r="13436" spans="26:26" x14ac:dyDescent="0.2">
      <c r="Z13436" t="str">
        <f t="shared" si="209"/>
        <v/>
      </c>
    </row>
    <row r="13437" spans="26:26" x14ac:dyDescent="0.2">
      <c r="Z13437" t="str">
        <f t="shared" si="209"/>
        <v/>
      </c>
    </row>
    <row r="13438" spans="26:26" x14ac:dyDescent="0.2">
      <c r="Z13438" t="str">
        <f t="shared" si="209"/>
        <v/>
      </c>
    </row>
    <row r="13439" spans="26:26" x14ac:dyDescent="0.2">
      <c r="Z13439" t="str">
        <f t="shared" si="209"/>
        <v/>
      </c>
    </row>
    <row r="13440" spans="26:26" x14ac:dyDescent="0.2">
      <c r="Z13440" t="str">
        <f t="shared" si="209"/>
        <v/>
      </c>
    </row>
    <row r="13441" spans="26:26" x14ac:dyDescent="0.2">
      <c r="Z13441" t="str">
        <f t="shared" si="209"/>
        <v/>
      </c>
    </row>
    <row r="13442" spans="26:26" x14ac:dyDescent="0.2">
      <c r="Z13442" t="str">
        <f t="shared" si="209"/>
        <v/>
      </c>
    </row>
    <row r="13443" spans="26:26" x14ac:dyDescent="0.2">
      <c r="Z13443" t="str">
        <f t="shared" ref="Z13443:Z13506" si="210">IF(K13443="","",IFERROR(VALUE(TRIM(MID(K13443,FIND(CHAR(167),SUBSTITUTE(K13443,"-",CHAR(167),LEN(K13443)-LEN(SUBSTITUTE(K13443,"-",""))))+1,100))),K13443))</f>
        <v/>
      </c>
    </row>
    <row r="13444" spans="26:26" x14ac:dyDescent="0.2">
      <c r="Z13444" t="str">
        <f t="shared" si="210"/>
        <v/>
      </c>
    </row>
    <row r="13445" spans="26:26" x14ac:dyDescent="0.2">
      <c r="Z13445" t="str">
        <f t="shared" si="210"/>
        <v/>
      </c>
    </row>
    <row r="13446" spans="26:26" x14ac:dyDescent="0.2">
      <c r="Z13446" t="str">
        <f t="shared" si="210"/>
        <v/>
      </c>
    </row>
    <row r="13447" spans="26:26" x14ac:dyDescent="0.2">
      <c r="Z13447" t="str">
        <f t="shared" si="210"/>
        <v/>
      </c>
    </row>
    <row r="13448" spans="26:26" x14ac:dyDescent="0.2">
      <c r="Z13448" t="str">
        <f t="shared" si="210"/>
        <v/>
      </c>
    </row>
    <row r="13449" spans="26:26" x14ac:dyDescent="0.2">
      <c r="Z13449" t="str">
        <f t="shared" si="210"/>
        <v/>
      </c>
    </row>
    <row r="13450" spans="26:26" x14ac:dyDescent="0.2">
      <c r="Z13450" t="str">
        <f t="shared" si="210"/>
        <v/>
      </c>
    </row>
    <row r="13451" spans="26:26" x14ac:dyDescent="0.2">
      <c r="Z13451" t="str">
        <f t="shared" si="210"/>
        <v/>
      </c>
    </row>
    <row r="13452" spans="26:26" x14ac:dyDescent="0.2">
      <c r="Z13452" t="str">
        <f t="shared" si="210"/>
        <v/>
      </c>
    </row>
    <row r="13453" spans="26:26" x14ac:dyDescent="0.2">
      <c r="Z13453" t="str">
        <f t="shared" si="210"/>
        <v/>
      </c>
    </row>
    <row r="13454" spans="26:26" x14ac:dyDescent="0.2">
      <c r="Z13454" t="str">
        <f t="shared" si="210"/>
        <v/>
      </c>
    </row>
    <row r="13455" spans="26:26" x14ac:dyDescent="0.2">
      <c r="Z13455" t="str">
        <f t="shared" si="210"/>
        <v/>
      </c>
    </row>
    <row r="13456" spans="26:26" x14ac:dyDescent="0.2">
      <c r="Z13456" t="str">
        <f t="shared" si="210"/>
        <v/>
      </c>
    </row>
    <row r="13457" spans="26:26" x14ac:dyDescent="0.2">
      <c r="Z13457" t="str">
        <f t="shared" si="210"/>
        <v/>
      </c>
    </row>
    <row r="13458" spans="26:26" x14ac:dyDescent="0.2">
      <c r="Z13458" t="str">
        <f t="shared" si="210"/>
        <v/>
      </c>
    </row>
    <row r="13459" spans="26:26" x14ac:dyDescent="0.2">
      <c r="Z13459" t="str">
        <f t="shared" si="210"/>
        <v/>
      </c>
    </row>
    <row r="13460" spans="26:26" x14ac:dyDescent="0.2">
      <c r="Z13460" t="str">
        <f t="shared" si="210"/>
        <v/>
      </c>
    </row>
    <row r="13461" spans="26:26" x14ac:dyDescent="0.2">
      <c r="Z13461" t="str">
        <f t="shared" si="210"/>
        <v/>
      </c>
    </row>
    <row r="13462" spans="26:26" x14ac:dyDescent="0.2">
      <c r="Z13462" t="str">
        <f t="shared" si="210"/>
        <v/>
      </c>
    </row>
    <row r="13463" spans="26:26" x14ac:dyDescent="0.2">
      <c r="Z13463" t="str">
        <f t="shared" si="210"/>
        <v/>
      </c>
    </row>
    <row r="13464" spans="26:26" x14ac:dyDescent="0.2">
      <c r="Z13464" t="str">
        <f t="shared" si="210"/>
        <v/>
      </c>
    </row>
    <row r="13465" spans="26:26" x14ac:dyDescent="0.2">
      <c r="Z13465" t="str">
        <f t="shared" si="210"/>
        <v/>
      </c>
    </row>
    <row r="13466" spans="26:26" x14ac:dyDescent="0.2">
      <c r="Z13466" t="str">
        <f t="shared" si="210"/>
        <v/>
      </c>
    </row>
    <row r="13467" spans="26:26" x14ac:dyDescent="0.2">
      <c r="Z13467" t="str">
        <f t="shared" si="210"/>
        <v/>
      </c>
    </row>
    <row r="13468" spans="26:26" x14ac:dyDescent="0.2">
      <c r="Z13468" t="str">
        <f t="shared" si="210"/>
        <v/>
      </c>
    </row>
    <row r="13469" spans="26:26" x14ac:dyDescent="0.2">
      <c r="Z13469" t="str">
        <f t="shared" si="210"/>
        <v/>
      </c>
    </row>
    <row r="13470" spans="26:26" x14ac:dyDescent="0.2">
      <c r="Z13470" t="str">
        <f t="shared" si="210"/>
        <v/>
      </c>
    </row>
    <row r="13471" spans="26:26" x14ac:dyDescent="0.2">
      <c r="Z13471" t="str">
        <f t="shared" si="210"/>
        <v/>
      </c>
    </row>
    <row r="13472" spans="26:26" x14ac:dyDescent="0.2">
      <c r="Z13472" t="str">
        <f t="shared" si="210"/>
        <v/>
      </c>
    </row>
    <row r="13473" spans="26:26" x14ac:dyDescent="0.2">
      <c r="Z13473" t="str">
        <f t="shared" si="210"/>
        <v/>
      </c>
    </row>
    <row r="13474" spans="26:26" x14ac:dyDescent="0.2">
      <c r="Z13474" t="str">
        <f t="shared" si="210"/>
        <v/>
      </c>
    </row>
    <row r="13475" spans="26:26" x14ac:dyDescent="0.2">
      <c r="Z13475" t="str">
        <f t="shared" si="210"/>
        <v/>
      </c>
    </row>
    <row r="13476" spans="26:26" x14ac:dyDescent="0.2">
      <c r="Z13476" t="str">
        <f t="shared" si="210"/>
        <v/>
      </c>
    </row>
    <row r="13477" spans="26:26" x14ac:dyDescent="0.2">
      <c r="Z13477" t="str">
        <f t="shared" si="210"/>
        <v/>
      </c>
    </row>
    <row r="13478" spans="26:26" x14ac:dyDescent="0.2">
      <c r="Z13478" t="str">
        <f t="shared" si="210"/>
        <v/>
      </c>
    </row>
    <row r="13479" spans="26:26" x14ac:dyDescent="0.2">
      <c r="Z13479" t="str">
        <f t="shared" si="210"/>
        <v/>
      </c>
    </row>
    <row r="13480" spans="26:26" x14ac:dyDescent="0.2">
      <c r="Z13480" t="str">
        <f t="shared" si="210"/>
        <v/>
      </c>
    </row>
    <row r="13481" spans="26:26" x14ac:dyDescent="0.2">
      <c r="Z13481" t="str">
        <f t="shared" si="210"/>
        <v/>
      </c>
    </row>
    <row r="13482" spans="26:26" x14ac:dyDescent="0.2">
      <c r="Z13482" t="str">
        <f t="shared" si="210"/>
        <v/>
      </c>
    </row>
    <row r="13483" spans="26:26" x14ac:dyDescent="0.2">
      <c r="Z13483" t="str">
        <f t="shared" si="210"/>
        <v/>
      </c>
    </row>
    <row r="13484" spans="26:26" x14ac:dyDescent="0.2">
      <c r="Z13484" t="str">
        <f t="shared" si="210"/>
        <v/>
      </c>
    </row>
    <row r="13485" spans="26:26" x14ac:dyDescent="0.2">
      <c r="Z13485" t="str">
        <f t="shared" si="210"/>
        <v/>
      </c>
    </row>
    <row r="13486" spans="26:26" x14ac:dyDescent="0.2">
      <c r="Z13486" t="str">
        <f t="shared" si="210"/>
        <v/>
      </c>
    </row>
    <row r="13487" spans="26:26" x14ac:dyDescent="0.2">
      <c r="Z13487" t="str">
        <f t="shared" si="210"/>
        <v/>
      </c>
    </row>
    <row r="13488" spans="26:26" x14ac:dyDescent="0.2">
      <c r="Z13488" t="str">
        <f t="shared" si="210"/>
        <v/>
      </c>
    </row>
    <row r="13489" spans="26:26" x14ac:dyDescent="0.2">
      <c r="Z13489" t="str">
        <f t="shared" si="210"/>
        <v/>
      </c>
    </row>
    <row r="13490" spans="26:26" x14ac:dyDescent="0.2">
      <c r="Z13490" t="str">
        <f t="shared" si="210"/>
        <v/>
      </c>
    </row>
    <row r="13491" spans="26:26" x14ac:dyDescent="0.2">
      <c r="Z13491" t="str">
        <f t="shared" si="210"/>
        <v/>
      </c>
    </row>
    <row r="13492" spans="26:26" x14ac:dyDescent="0.2">
      <c r="Z13492" t="str">
        <f t="shared" si="210"/>
        <v/>
      </c>
    </row>
    <row r="13493" spans="26:26" x14ac:dyDescent="0.2">
      <c r="Z13493" t="str">
        <f t="shared" si="210"/>
        <v/>
      </c>
    </row>
    <row r="13494" spans="26:26" x14ac:dyDescent="0.2">
      <c r="Z13494" t="str">
        <f t="shared" si="210"/>
        <v/>
      </c>
    </row>
    <row r="13495" spans="26:26" x14ac:dyDescent="0.2">
      <c r="Z13495" t="str">
        <f t="shared" si="210"/>
        <v/>
      </c>
    </row>
    <row r="13496" spans="26:26" x14ac:dyDescent="0.2">
      <c r="Z13496" t="str">
        <f t="shared" si="210"/>
        <v/>
      </c>
    </row>
    <row r="13497" spans="26:26" x14ac:dyDescent="0.2">
      <c r="Z13497" t="str">
        <f t="shared" si="210"/>
        <v/>
      </c>
    </row>
    <row r="13498" spans="26:26" x14ac:dyDescent="0.2">
      <c r="Z13498" t="str">
        <f t="shared" si="210"/>
        <v/>
      </c>
    </row>
    <row r="13499" spans="26:26" x14ac:dyDescent="0.2">
      <c r="Z13499" t="str">
        <f t="shared" si="210"/>
        <v/>
      </c>
    </row>
    <row r="13500" spans="26:26" x14ac:dyDescent="0.2">
      <c r="Z13500" t="str">
        <f t="shared" si="210"/>
        <v/>
      </c>
    </row>
    <row r="13501" spans="26:26" x14ac:dyDescent="0.2">
      <c r="Z13501" t="str">
        <f t="shared" si="210"/>
        <v/>
      </c>
    </row>
    <row r="13502" spans="26:26" x14ac:dyDescent="0.2">
      <c r="Z13502" t="str">
        <f t="shared" si="210"/>
        <v/>
      </c>
    </row>
    <row r="13503" spans="26:26" x14ac:dyDescent="0.2">
      <c r="Z13503" t="str">
        <f t="shared" si="210"/>
        <v/>
      </c>
    </row>
    <row r="13504" spans="26:26" x14ac:dyDescent="0.2">
      <c r="Z13504" t="str">
        <f t="shared" si="210"/>
        <v/>
      </c>
    </row>
    <row r="13505" spans="26:26" x14ac:dyDescent="0.2">
      <c r="Z13505" t="str">
        <f t="shared" si="210"/>
        <v/>
      </c>
    </row>
    <row r="13506" spans="26:26" x14ac:dyDescent="0.2">
      <c r="Z13506" t="str">
        <f t="shared" si="210"/>
        <v/>
      </c>
    </row>
    <row r="13507" spans="26:26" x14ac:dyDescent="0.2">
      <c r="Z13507" t="str">
        <f t="shared" ref="Z13507:Z13570" si="211">IF(K13507="","",IFERROR(VALUE(TRIM(MID(K13507,FIND(CHAR(167),SUBSTITUTE(K13507,"-",CHAR(167),LEN(K13507)-LEN(SUBSTITUTE(K13507,"-",""))))+1,100))),K13507))</f>
        <v/>
      </c>
    </row>
    <row r="13508" spans="26:26" x14ac:dyDescent="0.2">
      <c r="Z13508" t="str">
        <f t="shared" si="211"/>
        <v/>
      </c>
    </row>
    <row r="13509" spans="26:26" x14ac:dyDescent="0.2">
      <c r="Z13509" t="str">
        <f t="shared" si="211"/>
        <v/>
      </c>
    </row>
    <row r="13510" spans="26:26" x14ac:dyDescent="0.2">
      <c r="Z13510" t="str">
        <f t="shared" si="211"/>
        <v/>
      </c>
    </row>
    <row r="13511" spans="26:26" x14ac:dyDescent="0.2">
      <c r="Z13511" t="str">
        <f t="shared" si="211"/>
        <v/>
      </c>
    </row>
    <row r="13512" spans="26:26" x14ac:dyDescent="0.2">
      <c r="Z13512" t="str">
        <f t="shared" si="211"/>
        <v/>
      </c>
    </row>
    <row r="13513" spans="26:26" x14ac:dyDescent="0.2">
      <c r="Z13513" t="str">
        <f t="shared" si="211"/>
        <v/>
      </c>
    </row>
    <row r="13514" spans="26:26" x14ac:dyDescent="0.2">
      <c r="Z13514" t="str">
        <f t="shared" si="211"/>
        <v/>
      </c>
    </row>
    <row r="13515" spans="26:26" x14ac:dyDescent="0.2">
      <c r="Z13515" t="str">
        <f t="shared" si="211"/>
        <v/>
      </c>
    </row>
    <row r="13516" spans="26:26" x14ac:dyDescent="0.2">
      <c r="Z13516" t="str">
        <f t="shared" si="211"/>
        <v/>
      </c>
    </row>
    <row r="13517" spans="26:26" x14ac:dyDescent="0.2">
      <c r="Z13517" t="str">
        <f t="shared" si="211"/>
        <v/>
      </c>
    </row>
    <row r="13518" spans="26:26" x14ac:dyDescent="0.2">
      <c r="Z13518" t="str">
        <f t="shared" si="211"/>
        <v/>
      </c>
    </row>
    <row r="13519" spans="26:26" x14ac:dyDescent="0.2">
      <c r="Z13519" t="str">
        <f t="shared" si="211"/>
        <v/>
      </c>
    </row>
    <row r="13520" spans="26:26" x14ac:dyDescent="0.2">
      <c r="Z13520" t="str">
        <f t="shared" si="211"/>
        <v/>
      </c>
    </row>
    <row r="13521" spans="26:26" x14ac:dyDescent="0.2">
      <c r="Z13521" t="str">
        <f t="shared" si="211"/>
        <v/>
      </c>
    </row>
    <row r="13522" spans="26:26" x14ac:dyDescent="0.2">
      <c r="Z13522" t="str">
        <f t="shared" si="211"/>
        <v/>
      </c>
    </row>
    <row r="13523" spans="26:26" x14ac:dyDescent="0.2">
      <c r="Z13523" t="str">
        <f t="shared" si="211"/>
        <v/>
      </c>
    </row>
    <row r="13524" spans="26:26" x14ac:dyDescent="0.2">
      <c r="Z13524" t="str">
        <f t="shared" si="211"/>
        <v/>
      </c>
    </row>
    <row r="13525" spans="26:26" x14ac:dyDescent="0.2">
      <c r="Z13525" t="str">
        <f t="shared" si="211"/>
        <v/>
      </c>
    </row>
    <row r="13526" spans="26:26" x14ac:dyDescent="0.2">
      <c r="Z13526" t="str">
        <f t="shared" si="211"/>
        <v/>
      </c>
    </row>
    <row r="13527" spans="26:26" x14ac:dyDescent="0.2">
      <c r="Z13527" t="str">
        <f t="shared" si="211"/>
        <v/>
      </c>
    </row>
    <row r="13528" spans="26:26" x14ac:dyDescent="0.2">
      <c r="Z13528" t="str">
        <f t="shared" si="211"/>
        <v/>
      </c>
    </row>
    <row r="13529" spans="26:26" x14ac:dyDescent="0.2">
      <c r="Z13529" t="str">
        <f t="shared" si="211"/>
        <v/>
      </c>
    </row>
    <row r="13530" spans="26:26" x14ac:dyDescent="0.2">
      <c r="Z13530" t="str">
        <f t="shared" si="211"/>
        <v/>
      </c>
    </row>
    <row r="13531" spans="26:26" x14ac:dyDescent="0.2">
      <c r="Z13531" t="str">
        <f t="shared" si="211"/>
        <v/>
      </c>
    </row>
    <row r="13532" spans="26:26" x14ac:dyDescent="0.2">
      <c r="Z13532" t="str">
        <f t="shared" si="211"/>
        <v/>
      </c>
    </row>
    <row r="13533" spans="26:26" x14ac:dyDescent="0.2">
      <c r="Z13533" t="str">
        <f t="shared" si="211"/>
        <v/>
      </c>
    </row>
    <row r="13534" spans="26:26" x14ac:dyDescent="0.2">
      <c r="Z13534" t="str">
        <f t="shared" si="211"/>
        <v/>
      </c>
    </row>
    <row r="13535" spans="26:26" x14ac:dyDescent="0.2">
      <c r="Z13535" t="str">
        <f t="shared" si="211"/>
        <v/>
      </c>
    </row>
    <row r="13536" spans="26:26" x14ac:dyDescent="0.2">
      <c r="Z13536" t="str">
        <f t="shared" si="211"/>
        <v/>
      </c>
    </row>
    <row r="13537" spans="26:26" x14ac:dyDescent="0.2">
      <c r="Z13537" t="str">
        <f t="shared" si="211"/>
        <v/>
      </c>
    </row>
    <row r="13538" spans="26:26" x14ac:dyDescent="0.2">
      <c r="Z13538" t="str">
        <f t="shared" si="211"/>
        <v/>
      </c>
    </row>
    <row r="13539" spans="26:26" x14ac:dyDescent="0.2">
      <c r="Z13539" t="str">
        <f t="shared" si="211"/>
        <v/>
      </c>
    </row>
    <row r="13540" spans="26:26" x14ac:dyDescent="0.2">
      <c r="Z13540" t="str">
        <f t="shared" si="211"/>
        <v/>
      </c>
    </row>
    <row r="13541" spans="26:26" x14ac:dyDescent="0.2">
      <c r="Z13541" t="str">
        <f t="shared" si="211"/>
        <v/>
      </c>
    </row>
    <row r="13542" spans="26:26" x14ac:dyDescent="0.2">
      <c r="Z13542" t="str">
        <f t="shared" si="211"/>
        <v/>
      </c>
    </row>
    <row r="13543" spans="26:26" x14ac:dyDescent="0.2">
      <c r="Z13543" t="str">
        <f t="shared" si="211"/>
        <v/>
      </c>
    </row>
    <row r="13544" spans="26:26" x14ac:dyDescent="0.2">
      <c r="Z13544" t="str">
        <f t="shared" si="211"/>
        <v/>
      </c>
    </row>
    <row r="13545" spans="26:26" x14ac:dyDescent="0.2">
      <c r="Z13545" t="str">
        <f t="shared" si="211"/>
        <v/>
      </c>
    </row>
    <row r="13546" spans="26:26" x14ac:dyDescent="0.2">
      <c r="Z13546" t="str">
        <f t="shared" si="211"/>
        <v/>
      </c>
    </row>
    <row r="13547" spans="26:26" x14ac:dyDescent="0.2">
      <c r="Z13547" t="str">
        <f t="shared" si="211"/>
        <v/>
      </c>
    </row>
    <row r="13548" spans="26:26" x14ac:dyDescent="0.2">
      <c r="Z13548" t="str">
        <f t="shared" si="211"/>
        <v/>
      </c>
    </row>
    <row r="13549" spans="26:26" x14ac:dyDescent="0.2">
      <c r="Z13549" t="str">
        <f t="shared" si="211"/>
        <v/>
      </c>
    </row>
    <row r="13550" spans="26:26" x14ac:dyDescent="0.2">
      <c r="Z13550" t="str">
        <f t="shared" si="211"/>
        <v/>
      </c>
    </row>
    <row r="13551" spans="26:26" x14ac:dyDescent="0.2">
      <c r="Z13551" t="str">
        <f t="shared" si="211"/>
        <v/>
      </c>
    </row>
    <row r="13552" spans="26:26" x14ac:dyDescent="0.2">
      <c r="Z13552" t="str">
        <f t="shared" si="211"/>
        <v/>
      </c>
    </row>
    <row r="13553" spans="26:26" x14ac:dyDescent="0.2">
      <c r="Z13553" t="str">
        <f t="shared" si="211"/>
        <v/>
      </c>
    </row>
    <row r="13554" spans="26:26" x14ac:dyDescent="0.2">
      <c r="Z13554" t="str">
        <f t="shared" si="211"/>
        <v/>
      </c>
    </row>
    <row r="13555" spans="26:26" x14ac:dyDescent="0.2">
      <c r="Z13555" t="str">
        <f t="shared" si="211"/>
        <v/>
      </c>
    </row>
    <row r="13556" spans="26:26" x14ac:dyDescent="0.2">
      <c r="Z13556" t="str">
        <f t="shared" si="211"/>
        <v/>
      </c>
    </row>
    <row r="13557" spans="26:26" x14ac:dyDescent="0.2">
      <c r="Z13557" t="str">
        <f t="shared" si="211"/>
        <v/>
      </c>
    </row>
    <row r="13558" spans="26:26" x14ac:dyDescent="0.2">
      <c r="Z13558" t="str">
        <f t="shared" si="211"/>
        <v/>
      </c>
    </row>
    <row r="13559" spans="26:26" x14ac:dyDescent="0.2">
      <c r="Z13559" t="str">
        <f t="shared" si="211"/>
        <v/>
      </c>
    </row>
    <row r="13560" spans="26:26" x14ac:dyDescent="0.2">
      <c r="Z13560" t="str">
        <f t="shared" si="211"/>
        <v/>
      </c>
    </row>
    <row r="13561" spans="26:26" x14ac:dyDescent="0.2">
      <c r="Z13561" t="str">
        <f t="shared" si="211"/>
        <v/>
      </c>
    </row>
    <row r="13562" spans="26:26" x14ac:dyDescent="0.2">
      <c r="Z13562" t="str">
        <f t="shared" si="211"/>
        <v/>
      </c>
    </row>
    <row r="13563" spans="26:26" x14ac:dyDescent="0.2">
      <c r="Z13563" t="str">
        <f t="shared" si="211"/>
        <v/>
      </c>
    </row>
    <row r="13564" spans="26:26" x14ac:dyDescent="0.2">
      <c r="Z13564" t="str">
        <f t="shared" si="211"/>
        <v/>
      </c>
    </row>
    <row r="13565" spans="26:26" x14ac:dyDescent="0.2">
      <c r="Z13565" t="str">
        <f t="shared" si="211"/>
        <v/>
      </c>
    </row>
    <row r="13566" spans="26:26" x14ac:dyDescent="0.2">
      <c r="Z13566" t="str">
        <f t="shared" si="211"/>
        <v/>
      </c>
    </row>
    <row r="13567" spans="26:26" x14ac:dyDescent="0.2">
      <c r="Z13567" t="str">
        <f t="shared" si="211"/>
        <v/>
      </c>
    </row>
    <row r="13568" spans="26:26" x14ac:dyDescent="0.2">
      <c r="Z13568" t="str">
        <f t="shared" si="211"/>
        <v/>
      </c>
    </row>
    <row r="13569" spans="26:26" x14ac:dyDescent="0.2">
      <c r="Z13569" t="str">
        <f t="shared" si="211"/>
        <v/>
      </c>
    </row>
    <row r="13570" spans="26:26" x14ac:dyDescent="0.2">
      <c r="Z13570" t="str">
        <f t="shared" si="211"/>
        <v/>
      </c>
    </row>
    <row r="13571" spans="26:26" x14ac:dyDescent="0.2">
      <c r="Z13571" t="str">
        <f t="shared" ref="Z13571:Z13634" si="212">IF(K13571="","",IFERROR(VALUE(TRIM(MID(K13571,FIND(CHAR(167),SUBSTITUTE(K13571,"-",CHAR(167),LEN(K13571)-LEN(SUBSTITUTE(K13571,"-",""))))+1,100))),K13571))</f>
        <v/>
      </c>
    </row>
    <row r="13572" spans="26:26" x14ac:dyDescent="0.2">
      <c r="Z13572" t="str">
        <f t="shared" si="212"/>
        <v/>
      </c>
    </row>
    <row r="13573" spans="26:26" x14ac:dyDescent="0.2">
      <c r="Z13573" t="str">
        <f t="shared" si="212"/>
        <v/>
      </c>
    </row>
    <row r="13574" spans="26:26" x14ac:dyDescent="0.2">
      <c r="Z13574" t="str">
        <f t="shared" si="212"/>
        <v/>
      </c>
    </row>
    <row r="13575" spans="26:26" x14ac:dyDescent="0.2">
      <c r="Z13575" t="str">
        <f t="shared" si="212"/>
        <v/>
      </c>
    </row>
    <row r="13576" spans="26:26" x14ac:dyDescent="0.2">
      <c r="Z13576" t="str">
        <f t="shared" si="212"/>
        <v/>
      </c>
    </row>
    <row r="13577" spans="26:26" x14ac:dyDescent="0.2">
      <c r="Z13577" t="str">
        <f t="shared" si="212"/>
        <v/>
      </c>
    </row>
    <row r="13578" spans="26:26" x14ac:dyDescent="0.2">
      <c r="Z13578" t="str">
        <f t="shared" si="212"/>
        <v/>
      </c>
    </row>
    <row r="13579" spans="26:26" x14ac:dyDescent="0.2">
      <c r="Z13579" t="str">
        <f t="shared" si="212"/>
        <v/>
      </c>
    </row>
    <row r="13580" spans="26:26" x14ac:dyDescent="0.2">
      <c r="Z13580" t="str">
        <f t="shared" si="212"/>
        <v/>
      </c>
    </row>
    <row r="13581" spans="26:26" x14ac:dyDescent="0.2">
      <c r="Z13581" t="str">
        <f t="shared" si="212"/>
        <v/>
      </c>
    </row>
    <row r="13582" spans="26:26" x14ac:dyDescent="0.2">
      <c r="Z13582" t="str">
        <f t="shared" si="212"/>
        <v/>
      </c>
    </row>
    <row r="13583" spans="26:26" x14ac:dyDescent="0.2">
      <c r="Z13583" t="str">
        <f t="shared" si="212"/>
        <v/>
      </c>
    </row>
    <row r="13584" spans="26:26" x14ac:dyDescent="0.2">
      <c r="Z13584" t="str">
        <f t="shared" si="212"/>
        <v/>
      </c>
    </row>
    <row r="13585" spans="26:26" x14ac:dyDescent="0.2">
      <c r="Z13585" t="str">
        <f t="shared" si="212"/>
        <v/>
      </c>
    </row>
    <row r="13586" spans="26:26" x14ac:dyDescent="0.2">
      <c r="Z13586" t="str">
        <f t="shared" si="212"/>
        <v/>
      </c>
    </row>
    <row r="13587" spans="26:26" x14ac:dyDescent="0.2">
      <c r="Z13587" t="str">
        <f t="shared" si="212"/>
        <v/>
      </c>
    </row>
    <row r="13588" spans="26:26" x14ac:dyDescent="0.2">
      <c r="Z13588" t="str">
        <f t="shared" si="212"/>
        <v/>
      </c>
    </row>
    <row r="13589" spans="26:26" x14ac:dyDescent="0.2">
      <c r="Z13589" t="str">
        <f t="shared" si="212"/>
        <v/>
      </c>
    </row>
    <row r="13590" spans="26:26" x14ac:dyDescent="0.2">
      <c r="Z13590" t="str">
        <f t="shared" si="212"/>
        <v/>
      </c>
    </row>
    <row r="13591" spans="26:26" x14ac:dyDescent="0.2">
      <c r="Z13591" t="str">
        <f t="shared" si="212"/>
        <v/>
      </c>
    </row>
    <row r="13592" spans="26:26" x14ac:dyDescent="0.2">
      <c r="Z13592" t="str">
        <f t="shared" si="212"/>
        <v/>
      </c>
    </row>
    <row r="13593" spans="26:26" x14ac:dyDescent="0.2">
      <c r="Z13593" t="str">
        <f t="shared" si="212"/>
        <v/>
      </c>
    </row>
    <row r="13594" spans="26:26" x14ac:dyDescent="0.2">
      <c r="Z13594" t="str">
        <f t="shared" si="212"/>
        <v/>
      </c>
    </row>
    <row r="13595" spans="26:26" x14ac:dyDescent="0.2">
      <c r="Z13595" t="str">
        <f t="shared" si="212"/>
        <v/>
      </c>
    </row>
    <row r="13596" spans="26:26" x14ac:dyDescent="0.2">
      <c r="Z13596" t="str">
        <f t="shared" si="212"/>
        <v/>
      </c>
    </row>
    <row r="13597" spans="26:26" x14ac:dyDescent="0.2">
      <c r="Z13597" t="str">
        <f t="shared" si="212"/>
        <v/>
      </c>
    </row>
    <row r="13598" spans="26:26" x14ac:dyDescent="0.2">
      <c r="Z13598" t="str">
        <f t="shared" si="212"/>
        <v/>
      </c>
    </row>
    <row r="13599" spans="26:26" x14ac:dyDescent="0.2">
      <c r="Z13599" t="str">
        <f t="shared" si="212"/>
        <v/>
      </c>
    </row>
    <row r="13600" spans="26:26" x14ac:dyDescent="0.2">
      <c r="Z13600" t="str">
        <f t="shared" si="212"/>
        <v/>
      </c>
    </row>
    <row r="13601" spans="26:26" x14ac:dyDescent="0.2">
      <c r="Z13601" t="str">
        <f t="shared" si="212"/>
        <v/>
      </c>
    </row>
    <row r="13602" spans="26:26" x14ac:dyDescent="0.2">
      <c r="Z13602" t="str">
        <f t="shared" si="212"/>
        <v/>
      </c>
    </row>
    <row r="13603" spans="26:26" x14ac:dyDescent="0.2">
      <c r="Z13603" t="str">
        <f t="shared" si="212"/>
        <v/>
      </c>
    </row>
    <row r="13604" spans="26:26" x14ac:dyDescent="0.2">
      <c r="Z13604" t="str">
        <f t="shared" si="212"/>
        <v/>
      </c>
    </row>
    <row r="13605" spans="26:26" x14ac:dyDescent="0.2">
      <c r="Z13605" t="str">
        <f t="shared" si="212"/>
        <v/>
      </c>
    </row>
    <row r="13606" spans="26:26" x14ac:dyDescent="0.2">
      <c r="Z13606" t="str">
        <f t="shared" si="212"/>
        <v/>
      </c>
    </row>
    <row r="13607" spans="26:26" x14ac:dyDescent="0.2">
      <c r="Z13607" t="str">
        <f t="shared" si="212"/>
        <v/>
      </c>
    </row>
    <row r="13608" spans="26:26" x14ac:dyDescent="0.2">
      <c r="Z13608" t="str">
        <f t="shared" si="212"/>
        <v/>
      </c>
    </row>
    <row r="13609" spans="26:26" x14ac:dyDescent="0.2">
      <c r="Z13609" t="str">
        <f t="shared" si="212"/>
        <v/>
      </c>
    </row>
    <row r="13610" spans="26:26" x14ac:dyDescent="0.2">
      <c r="Z13610" t="str">
        <f t="shared" si="212"/>
        <v/>
      </c>
    </row>
    <row r="13611" spans="26:26" x14ac:dyDescent="0.2">
      <c r="Z13611" t="str">
        <f t="shared" si="212"/>
        <v/>
      </c>
    </row>
    <row r="13612" spans="26:26" x14ac:dyDescent="0.2">
      <c r="Z13612" t="str">
        <f t="shared" si="212"/>
        <v/>
      </c>
    </row>
    <row r="13613" spans="26:26" x14ac:dyDescent="0.2">
      <c r="Z13613" t="str">
        <f t="shared" si="212"/>
        <v/>
      </c>
    </row>
    <row r="13614" spans="26:26" x14ac:dyDescent="0.2">
      <c r="Z13614" t="str">
        <f t="shared" si="212"/>
        <v/>
      </c>
    </row>
    <row r="13615" spans="26:26" x14ac:dyDescent="0.2">
      <c r="Z13615" t="str">
        <f t="shared" si="212"/>
        <v/>
      </c>
    </row>
    <row r="13616" spans="26:26" x14ac:dyDescent="0.2">
      <c r="Z13616" t="str">
        <f t="shared" si="212"/>
        <v/>
      </c>
    </row>
    <row r="13617" spans="26:26" x14ac:dyDescent="0.2">
      <c r="Z13617" t="str">
        <f t="shared" si="212"/>
        <v/>
      </c>
    </row>
    <row r="13618" spans="26:26" x14ac:dyDescent="0.2">
      <c r="Z13618" t="str">
        <f t="shared" si="212"/>
        <v/>
      </c>
    </row>
    <row r="13619" spans="26:26" x14ac:dyDescent="0.2">
      <c r="Z13619" t="str">
        <f t="shared" si="212"/>
        <v/>
      </c>
    </row>
    <row r="13620" spans="26:26" x14ac:dyDescent="0.2">
      <c r="Z13620" t="str">
        <f t="shared" si="212"/>
        <v/>
      </c>
    </row>
    <row r="13621" spans="26:26" x14ac:dyDescent="0.2">
      <c r="Z13621" t="str">
        <f t="shared" si="212"/>
        <v/>
      </c>
    </row>
    <row r="13622" spans="26:26" x14ac:dyDescent="0.2">
      <c r="Z13622" t="str">
        <f t="shared" si="212"/>
        <v/>
      </c>
    </row>
    <row r="13623" spans="26:26" x14ac:dyDescent="0.2">
      <c r="Z13623" t="str">
        <f t="shared" si="212"/>
        <v/>
      </c>
    </row>
    <row r="13624" spans="26:26" x14ac:dyDescent="0.2">
      <c r="Z13624" t="str">
        <f t="shared" si="212"/>
        <v/>
      </c>
    </row>
    <row r="13625" spans="26:26" x14ac:dyDescent="0.2">
      <c r="Z13625" t="str">
        <f t="shared" si="212"/>
        <v/>
      </c>
    </row>
    <row r="13626" spans="26:26" x14ac:dyDescent="0.2">
      <c r="Z13626" t="str">
        <f t="shared" si="212"/>
        <v/>
      </c>
    </row>
    <row r="13627" spans="26:26" x14ac:dyDescent="0.2">
      <c r="Z13627" t="str">
        <f t="shared" si="212"/>
        <v/>
      </c>
    </row>
    <row r="13628" spans="26:26" x14ac:dyDescent="0.2">
      <c r="Z13628" t="str">
        <f t="shared" si="212"/>
        <v/>
      </c>
    </row>
    <row r="13629" spans="26:26" x14ac:dyDescent="0.2">
      <c r="Z13629" t="str">
        <f t="shared" si="212"/>
        <v/>
      </c>
    </row>
    <row r="13630" spans="26:26" x14ac:dyDescent="0.2">
      <c r="Z13630" t="str">
        <f t="shared" si="212"/>
        <v/>
      </c>
    </row>
    <row r="13631" spans="26:26" x14ac:dyDescent="0.2">
      <c r="Z13631" t="str">
        <f t="shared" si="212"/>
        <v/>
      </c>
    </row>
    <row r="13632" spans="26:26" x14ac:dyDescent="0.2">
      <c r="Z13632" t="str">
        <f t="shared" si="212"/>
        <v/>
      </c>
    </row>
    <row r="13633" spans="26:26" x14ac:dyDescent="0.2">
      <c r="Z13633" t="str">
        <f t="shared" si="212"/>
        <v/>
      </c>
    </row>
    <row r="13634" spans="26:26" x14ac:dyDescent="0.2">
      <c r="Z13634" t="str">
        <f t="shared" si="212"/>
        <v/>
      </c>
    </row>
    <row r="13635" spans="26:26" x14ac:dyDescent="0.2">
      <c r="Z13635" t="str">
        <f t="shared" ref="Z13635:Z13698" si="213">IF(K13635="","",IFERROR(VALUE(TRIM(MID(K13635,FIND(CHAR(167),SUBSTITUTE(K13635,"-",CHAR(167),LEN(K13635)-LEN(SUBSTITUTE(K13635,"-",""))))+1,100))),K13635))</f>
        <v/>
      </c>
    </row>
    <row r="13636" spans="26:26" x14ac:dyDescent="0.2">
      <c r="Z13636" t="str">
        <f t="shared" si="213"/>
        <v/>
      </c>
    </row>
    <row r="13637" spans="26:26" x14ac:dyDescent="0.2">
      <c r="Z13637" t="str">
        <f t="shared" si="213"/>
        <v/>
      </c>
    </row>
    <row r="13638" spans="26:26" x14ac:dyDescent="0.2">
      <c r="Z13638" t="str">
        <f t="shared" si="213"/>
        <v/>
      </c>
    </row>
    <row r="13639" spans="26:26" x14ac:dyDescent="0.2">
      <c r="Z13639" t="str">
        <f t="shared" si="213"/>
        <v/>
      </c>
    </row>
    <row r="13640" spans="26:26" x14ac:dyDescent="0.2">
      <c r="Z13640" t="str">
        <f t="shared" si="213"/>
        <v/>
      </c>
    </row>
    <row r="13641" spans="26:26" x14ac:dyDescent="0.2">
      <c r="Z13641" t="str">
        <f t="shared" si="213"/>
        <v/>
      </c>
    </row>
    <row r="13642" spans="26:26" x14ac:dyDescent="0.2">
      <c r="Z13642" t="str">
        <f t="shared" si="213"/>
        <v/>
      </c>
    </row>
    <row r="13643" spans="26:26" x14ac:dyDescent="0.2">
      <c r="Z13643" t="str">
        <f t="shared" si="213"/>
        <v/>
      </c>
    </row>
    <row r="13644" spans="26:26" x14ac:dyDescent="0.2">
      <c r="Z13644" t="str">
        <f t="shared" si="213"/>
        <v/>
      </c>
    </row>
    <row r="13645" spans="26:26" x14ac:dyDescent="0.2">
      <c r="Z13645" t="str">
        <f t="shared" si="213"/>
        <v/>
      </c>
    </row>
    <row r="13646" spans="26:26" x14ac:dyDescent="0.2">
      <c r="Z13646" t="str">
        <f t="shared" si="213"/>
        <v/>
      </c>
    </row>
    <row r="13647" spans="26:26" x14ac:dyDescent="0.2">
      <c r="Z13647" t="str">
        <f t="shared" si="213"/>
        <v/>
      </c>
    </row>
    <row r="13648" spans="26:26" x14ac:dyDescent="0.2">
      <c r="Z13648" t="str">
        <f t="shared" si="213"/>
        <v/>
      </c>
    </row>
    <row r="13649" spans="26:26" x14ac:dyDescent="0.2">
      <c r="Z13649" t="str">
        <f t="shared" si="213"/>
        <v/>
      </c>
    </row>
    <row r="13650" spans="26:26" x14ac:dyDescent="0.2">
      <c r="Z13650" t="str">
        <f t="shared" si="213"/>
        <v/>
      </c>
    </row>
    <row r="13651" spans="26:26" x14ac:dyDescent="0.2">
      <c r="Z13651" t="str">
        <f t="shared" si="213"/>
        <v/>
      </c>
    </row>
    <row r="13652" spans="26:26" x14ac:dyDescent="0.2">
      <c r="Z13652" t="str">
        <f t="shared" si="213"/>
        <v/>
      </c>
    </row>
    <row r="13653" spans="26:26" x14ac:dyDescent="0.2">
      <c r="Z13653" t="str">
        <f t="shared" si="213"/>
        <v/>
      </c>
    </row>
    <row r="13654" spans="26:26" x14ac:dyDescent="0.2">
      <c r="Z13654" t="str">
        <f t="shared" si="213"/>
        <v/>
      </c>
    </row>
    <row r="13655" spans="26:26" x14ac:dyDescent="0.2">
      <c r="Z13655" t="str">
        <f t="shared" si="213"/>
        <v/>
      </c>
    </row>
    <row r="13656" spans="26:26" x14ac:dyDescent="0.2">
      <c r="Z13656" t="str">
        <f t="shared" si="213"/>
        <v/>
      </c>
    </row>
    <row r="13657" spans="26:26" x14ac:dyDescent="0.2">
      <c r="Z13657" t="str">
        <f t="shared" si="213"/>
        <v/>
      </c>
    </row>
    <row r="13658" spans="26:26" x14ac:dyDescent="0.2">
      <c r="Z13658" t="str">
        <f t="shared" si="213"/>
        <v/>
      </c>
    </row>
    <row r="13659" spans="26:26" x14ac:dyDescent="0.2">
      <c r="Z13659" t="str">
        <f t="shared" si="213"/>
        <v/>
      </c>
    </row>
    <row r="13660" spans="26:26" x14ac:dyDescent="0.2">
      <c r="Z13660" t="str">
        <f t="shared" si="213"/>
        <v/>
      </c>
    </row>
    <row r="13661" spans="26:26" x14ac:dyDescent="0.2">
      <c r="Z13661" t="str">
        <f t="shared" si="213"/>
        <v/>
      </c>
    </row>
    <row r="13662" spans="26:26" x14ac:dyDescent="0.2">
      <c r="Z13662" t="str">
        <f t="shared" si="213"/>
        <v/>
      </c>
    </row>
    <row r="13663" spans="26:26" x14ac:dyDescent="0.2">
      <c r="Z13663" t="str">
        <f t="shared" si="213"/>
        <v/>
      </c>
    </row>
    <row r="13664" spans="26:26" x14ac:dyDescent="0.2">
      <c r="Z13664" t="str">
        <f t="shared" si="213"/>
        <v/>
      </c>
    </row>
    <row r="13665" spans="26:26" x14ac:dyDescent="0.2">
      <c r="Z13665" t="str">
        <f t="shared" si="213"/>
        <v/>
      </c>
    </row>
    <row r="13666" spans="26:26" x14ac:dyDescent="0.2">
      <c r="Z13666" t="str">
        <f t="shared" si="213"/>
        <v/>
      </c>
    </row>
    <row r="13667" spans="26:26" x14ac:dyDescent="0.2">
      <c r="Z13667" t="str">
        <f t="shared" si="213"/>
        <v/>
      </c>
    </row>
    <row r="13668" spans="26:26" x14ac:dyDescent="0.2">
      <c r="Z13668" t="str">
        <f t="shared" si="213"/>
        <v/>
      </c>
    </row>
    <row r="13669" spans="26:26" x14ac:dyDescent="0.2">
      <c r="Z13669" t="str">
        <f t="shared" si="213"/>
        <v/>
      </c>
    </row>
    <row r="13670" spans="26:26" x14ac:dyDescent="0.2">
      <c r="Z13670" t="str">
        <f t="shared" si="213"/>
        <v/>
      </c>
    </row>
    <row r="13671" spans="26:26" x14ac:dyDescent="0.2">
      <c r="Z13671" t="str">
        <f t="shared" si="213"/>
        <v/>
      </c>
    </row>
    <row r="13672" spans="26:26" x14ac:dyDescent="0.2">
      <c r="Z13672" t="str">
        <f t="shared" si="213"/>
        <v/>
      </c>
    </row>
    <row r="13673" spans="26:26" x14ac:dyDescent="0.2">
      <c r="Z13673" t="str">
        <f t="shared" si="213"/>
        <v/>
      </c>
    </row>
    <row r="13674" spans="26:26" x14ac:dyDescent="0.2">
      <c r="Z13674" t="str">
        <f t="shared" si="213"/>
        <v/>
      </c>
    </row>
    <row r="13675" spans="26:26" x14ac:dyDescent="0.2">
      <c r="Z13675" t="str">
        <f t="shared" si="213"/>
        <v/>
      </c>
    </row>
    <row r="13676" spans="26:26" x14ac:dyDescent="0.2">
      <c r="Z13676" t="str">
        <f t="shared" si="213"/>
        <v/>
      </c>
    </row>
    <row r="13677" spans="26:26" x14ac:dyDescent="0.2">
      <c r="Z13677" t="str">
        <f t="shared" si="213"/>
        <v/>
      </c>
    </row>
    <row r="13678" spans="26:26" x14ac:dyDescent="0.2">
      <c r="Z13678" t="str">
        <f t="shared" si="213"/>
        <v/>
      </c>
    </row>
    <row r="13679" spans="26:26" x14ac:dyDescent="0.2">
      <c r="Z13679" t="str">
        <f t="shared" si="213"/>
        <v/>
      </c>
    </row>
    <row r="13680" spans="26:26" x14ac:dyDescent="0.2">
      <c r="Z13680" t="str">
        <f t="shared" si="213"/>
        <v/>
      </c>
    </row>
    <row r="13681" spans="26:26" x14ac:dyDescent="0.2">
      <c r="Z13681" t="str">
        <f t="shared" si="213"/>
        <v/>
      </c>
    </row>
    <row r="13682" spans="26:26" x14ac:dyDescent="0.2">
      <c r="Z13682" t="str">
        <f t="shared" si="213"/>
        <v/>
      </c>
    </row>
    <row r="13683" spans="26:26" x14ac:dyDescent="0.2">
      <c r="Z13683" t="str">
        <f t="shared" si="213"/>
        <v/>
      </c>
    </row>
    <row r="13684" spans="26:26" x14ac:dyDescent="0.2">
      <c r="Z13684" t="str">
        <f t="shared" si="213"/>
        <v/>
      </c>
    </row>
    <row r="13685" spans="26:26" x14ac:dyDescent="0.2">
      <c r="Z13685" t="str">
        <f t="shared" si="213"/>
        <v/>
      </c>
    </row>
    <row r="13686" spans="26:26" x14ac:dyDescent="0.2">
      <c r="Z13686" t="str">
        <f t="shared" si="213"/>
        <v/>
      </c>
    </row>
    <row r="13687" spans="26:26" x14ac:dyDescent="0.2">
      <c r="Z13687" t="str">
        <f t="shared" si="213"/>
        <v/>
      </c>
    </row>
    <row r="13688" spans="26:26" x14ac:dyDescent="0.2">
      <c r="Z13688" t="str">
        <f t="shared" si="213"/>
        <v/>
      </c>
    </row>
    <row r="13689" spans="26:26" x14ac:dyDescent="0.2">
      <c r="Z13689" t="str">
        <f t="shared" si="213"/>
        <v/>
      </c>
    </row>
    <row r="13690" spans="26:26" x14ac:dyDescent="0.2">
      <c r="Z13690" t="str">
        <f t="shared" si="213"/>
        <v/>
      </c>
    </row>
    <row r="13691" spans="26:26" x14ac:dyDescent="0.2">
      <c r="Z13691" t="str">
        <f t="shared" si="213"/>
        <v/>
      </c>
    </row>
    <row r="13692" spans="26:26" x14ac:dyDescent="0.2">
      <c r="Z13692" t="str">
        <f t="shared" si="213"/>
        <v/>
      </c>
    </row>
    <row r="13693" spans="26:26" x14ac:dyDescent="0.2">
      <c r="Z13693" t="str">
        <f t="shared" si="213"/>
        <v/>
      </c>
    </row>
    <row r="13694" spans="26:26" x14ac:dyDescent="0.2">
      <c r="Z13694" t="str">
        <f t="shared" si="213"/>
        <v/>
      </c>
    </row>
    <row r="13695" spans="26:26" x14ac:dyDescent="0.2">
      <c r="Z13695" t="str">
        <f t="shared" si="213"/>
        <v/>
      </c>
    </row>
    <row r="13696" spans="26:26" x14ac:dyDescent="0.2">
      <c r="Z13696" t="str">
        <f t="shared" si="213"/>
        <v/>
      </c>
    </row>
    <row r="13697" spans="26:26" x14ac:dyDescent="0.2">
      <c r="Z13697" t="str">
        <f t="shared" si="213"/>
        <v/>
      </c>
    </row>
    <row r="13698" spans="26:26" x14ac:dyDescent="0.2">
      <c r="Z13698" t="str">
        <f t="shared" si="213"/>
        <v/>
      </c>
    </row>
    <row r="13699" spans="26:26" x14ac:dyDescent="0.2">
      <c r="Z13699" t="str">
        <f t="shared" ref="Z13699:Z13762" si="214">IF(K13699="","",IFERROR(VALUE(TRIM(MID(K13699,FIND(CHAR(167),SUBSTITUTE(K13699,"-",CHAR(167),LEN(K13699)-LEN(SUBSTITUTE(K13699,"-",""))))+1,100))),K13699))</f>
        <v/>
      </c>
    </row>
    <row r="13700" spans="26:26" x14ac:dyDescent="0.2">
      <c r="Z13700" t="str">
        <f t="shared" si="214"/>
        <v/>
      </c>
    </row>
    <row r="13701" spans="26:26" x14ac:dyDescent="0.2">
      <c r="Z13701" t="str">
        <f t="shared" si="214"/>
        <v/>
      </c>
    </row>
    <row r="13702" spans="26:26" x14ac:dyDescent="0.2">
      <c r="Z13702" t="str">
        <f t="shared" si="214"/>
        <v/>
      </c>
    </row>
    <row r="13703" spans="26:26" x14ac:dyDescent="0.2">
      <c r="Z13703" t="str">
        <f t="shared" si="214"/>
        <v/>
      </c>
    </row>
    <row r="13704" spans="26:26" x14ac:dyDescent="0.2">
      <c r="Z13704" t="str">
        <f t="shared" si="214"/>
        <v/>
      </c>
    </row>
    <row r="13705" spans="26:26" x14ac:dyDescent="0.2">
      <c r="Z13705" t="str">
        <f t="shared" si="214"/>
        <v/>
      </c>
    </row>
    <row r="13706" spans="26:26" x14ac:dyDescent="0.2">
      <c r="Z13706" t="str">
        <f t="shared" si="214"/>
        <v/>
      </c>
    </row>
    <row r="13707" spans="26:26" x14ac:dyDescent="0.2">
      <c r="Z13707" t="str">
        <f t="shared" si="214"/>
        <v/>
      </c>
    </row>
    <row r="13708" spans="26:26" x14ac:dyDescent="0.2">
      <c r="Z13708" t="str">
        <f t="shared" si="214"/>
        <v/>
      </c>
    </row>
    <row r="13709" spans="26:26" x14ac:dyDescent="0.2">
      <c r="Z13709" t="str">
        <f t="shared" si="214"/>
        <v/>
      </c>
    </row>
    <row r="13710" spans="26:26" x14ac:dyDescent="0.2">
      <c r="Z13710" t="str">
        <f t="shared" si="214"/>
        <v/>
      </c>
    </row>
    <row r="13711" spans="26:26" x14ac:dyDescent="0.2">
      <c r="Z13711" t="str">
        <f t="shared" si="214"/>
        <v/>
      </c>
    </row>
    <row r="13712" spans="26:26" x14ac:dyDescent="0.2">
      <c r="Z13712" t="str">
        <f t="shared" si="214"/>
        <v/>
      </c>
    </row>
    <row r="13713" spans="26:26" x14ac:dyDescent="0.2">
      <c r="Z13713" t="str">
        <f t="shared" si="214"/>
        <v/>
      </c>
    </row>
    <row r="13714" spans="26:26" x14ac:dyDescent="0.2">
      <c r="Z13714" t="str">
        <f t="shared" si="214"/>
        <v/>
      </c>
    </row>
    <row r="13715" spans="26:26" x14ac:dyDescent="0.2">
      <c r="Z13715" t="str">
        <f t="shared" si="214"/>
        <v/>
      </c>
    </row>
    <row r="13716" spans="26:26" x14ac:dyDescent="0.2">
      <c r="Z13716" t="str">
        <f t="shared" si="214"/>
        <v/>
      </c>
    </row>
    <row r="13717" spans="26:26" x14ac:dyDescent="0.2">
      <c r="Z13717" t="str">
        <f t="shared" si="214"/>
        <v/>
      </c>
    </row>
    <row r="13718" spans="26:26" x14ac:dyDescent="0.2">
      <c r="Z13718" t="str">
        <f t="shared" si="214"/>
        <v/>
      </c>
    </row>
    <row r="13719" spans="26:26" x14ac:dyDescent="0.2">
      <c r="Z13719" t="str">
        <f t="shared" si="214"/>
        <v/>
      </c>
    </row>
    <row r="13720" spans="26:26" x14ac:dyDescent="0.2">
      <c r="Z13720" t="str">
        <f t="shared" si="214"/>
        <v/>
      </c>
    </row>
    <row r="13721" spans="26:26" x14ac:dyDescent="0.2">
      <c r="Z13721" t="str">
        <f t="shared" si="214"/>
        <v/>
      </c>
    </row>
    <row r="13722" spans="26:26" x14ac:dyDescent="0.2">
      <c r="Z13722" t="str">
        <f t="shared" si="214"/>
        <v/>
      </c>
    </row>
    <row r="13723" spans="26:26" x14ac:dyDescent="0.2">
      <c r="Z13723" t="str">
        <f t="shared" si="214"/>
        <v/>
      </c>
    </row>
    <row r="13724" spans="26:26" x14ac:dyDescent="0.2">
      <c r="Z13724" t="str">
        <f t="shared" si="214"/>
        <v/>
      </c>
    </row>
    <row r="13725" spans="26:26" x14ac:dyDescent="0.2">
      <c r="Z13725" t="str">
        <f t="shared" si="214"/>
        <v/>
      </c>
    </row>
    <row r="13726" spans="26:26" x14ac:dyDescent="0.2">
      <c r="Z13726" t="str">
        <f t="shared" si="214"/>
        <v/>
      </c>
    </row>
    <row r="13727" spans="26:26" x14ac:dyDescent="0.2">
      <c r="Z13727" t="str">
        <f t="shared" si="214"/>
        <v/>
      </c>
    </row>
    <row r="13728" spans="26:26" x14ac:dyDescent="0.2">
      <c r="Z13728" t="str">
        <f t="shared" si="214"/>
        <v/>
      </c>
    </row>
    <row r="13729" spans="26:26" x14ac:dyDescent="0.2">
      <c r="Z13729" t="str">
        <f t="shared" si="214"/>
        <v/>
      </c>
    </row>
    <row r="13730" spans="26:26" x14ac:dyDescent="0.2">
      <c r="Z13730" t="str">
        <f t="shared" si="214"/>
        <v/>
      </c>
    </row>
    <row r="13731" spans="26:26" x14ac:dyDescent="0.2">
      <c r="Z13731" t="str">
        <f t="shared" si="214"/>
        <v/>
      </c>
    </row>
    <row r="13732" spans="26:26" x14ac:dyDescent="0.2">
      <c r="Z13732" t="str">
        <f t="shared" si="214"/>
        <v/>
      </c>
    </row>
    <row r="13733" spans="26:26" x14ac:dyDescent="0.2">
      <c r="Z13733" t="str">
        <f t="shared" si="214"/>
        <v/>
      </c>
    </row>
    <row r="13734" spans="26:26" x14ac:dyDescent="0.2">
      <c r="Z13734" t="str">
        <f t="shared" si="214"/>
        <v/>
      </c>
    </row>
    <row r="13735" spans="26:26" x14ac:dyDescent="0.2">
      <c r="Z13735" t="str">
        <f t="shared" si="214"/>
        <v/>
      </c>
    </row>
    <row r="13736" spans="26:26" x14ac:dyDescent="0.2">
      <c r="Z13736" t="str">
        <f t="shared" si="214"/>
        <v/>
      </c>
    </row>
    <row r="13737" spans="26:26" x14ac:dyDescent="0.2">
      <c r="Z13737" t="str">
        <f t="shared" si="214"/>
        <v/>
      </c>
    </row>
    <row r="13738" spans="26:26" x14ac:dyDescent="0.2">
      <c r="Z13738" t="str">
        <f t="shared" si="214"/>
        <v/>
      </c>
    </row>
    <row r="13739" spans="26:26" x14ac:dyDescent="0.2">
      <c r="Z13739" t="str">
        <f t="shared" si="214"/>
        <v/>
      </c>
    </row>
    <row r="13740" spans="26:26" x14ac:dyDescent="0.2">
      <c r="Z13740" t="str">
        <f t="shared" si="214"/>
        <v/>
      </c>
    </row>
    <row r="13741" spans="26:26" x14ac:dyDescent="0.2">
      <c r="Z13741" t="str">
        <f t="shared" si="214"/>
        <v/>
      </c>
    </row>
    <row r="13742" spans="26:26" x14ac:dyDescent="0.2">
      <c r="Z13742" t="str">
        <f t="shared" si="214"/>
        <v/>
      </c>
    </row>
    <row r="13743" spans="26:26" x14ac:dyDescent="0.2">
      <c r="Z13743" t="str">
        <f t="shared" si="214"/>
        <v/>
      </c>
    </row>
    <row r="13744" spans="26:26" x14ac:dyDescent="0.2">
      <c r="Z13744" t="str">
        <f t="shared" si="214"/>
        <v/>
      </c>
    </row>
    <row r="13745" spans="26:26" x14ac:dyDescent="0.2">
      <c r="Z13745" t="str">
        <f t="shared" si="214"/>
        <v/>
      </c>
    </row>
    <row r="13746" spans="26:26" x14ac:dyDescent="0.2">
      <c r="Z13746" t="str">
        <f t="shared" si="214"/>
        <v/>
      </c>
    </row>
    <row r="13747" spans="26:26" x14ac:dyDescent="0.2">
      <c r="Z13747" t="str">
        <f t="shared" si="214"/>
        <v/>
      </c>
    </row>
    <row r="13748" spans="26:26" x14ac:dyDescent="0.2">
      <c r="Z13748" t="str">
        <f t="shared" si="214"/>
        <v/>
      </c>
    </row>
    <row r="13749" spans="26:26" x14ac:dyDescent="0.2">
      <c r="Z13749" t="str">
        <f t="shared" si="214"/>
        <v/>
      </c>
    </row>
    <row r="13750" spans="26:26" x14ac:dyDescent="0.2">
      <c r="Z13750" t="str">
        <f t="shared" si="214"/>
        <v/>
      </c>
    </row>
    <row r="13751" spans="26:26" x14ac:dyDescent="0.2">
      <c r="Z13751" t="str">
        <f t="shared" si="214"/>
        <v/>
      </c>
    </row>
    <row r="13752" spans="26:26" x14ac:dyDescent="0.2">
      <c r="Z13752" t="str">
        <f t="shared" si="214"/>
        <v/>
      </c>
    </row>
    <row r="13753" spans="26:26" x14ac:dyDescent="0.2">
      <c r="Z13753" t="str">
        <f t="shared" si="214"/>
        <v/>
      </c>
    </row>
    <row r="13754" spans="26:26" x14ac:dyDescent="0.2">
      <c r="Z13754" t="str">
        <f t="shared" si="214"/>
        <v/>
      </c>
    </row>
    <row r="13755" spans="26:26" x14ac:dyDescent="0.2">
      <c r="Z13755" t="str">
        <f t="shared" si="214"/>
        <v/>
      </c>
    </row>
    <row r="13756" spans="26:26" x14ac:dyDescent="0.2">
      <c r="Z13756" t="str">
        <f t="shared" si="214"/>
        <v/>
      </c>
    </row>
    <row r="13757" spans="26:26" x14ac:dyDescent="0.2">
      <c r="Z13757" t="str">
        <f t="shared" si="214"/>
        <v/>
      </c>
    </row>
    <row r="13758" spans="26:26" x14ac:dyDescent="0.2">
      <c r="Z13758" t="str">
        <f t="shared" si="214"/>
        <v/>
      </c>
    </row>
    <row r="13759" spans="26:26" x14ac:dyDescent="0.2">
      <c r="Z13759" t="str">
        <f t="shared" si="214"/>
        <v/>
      </c>
    </row>
    <row r="13760" spans="26:26" x14ac:dyDescent="0.2">
      <c r="Z13760" t="str">
        <f t="shared" si="214"/>
        <v/>
      </c>
    </row>
    <row r="13761" spans="26:26" x14ac:dyDescent="0.2">
      <c r="Z13761" t="str">
        <f t="shared" si="214"/>
        <v/>
      </c>
    </row>
    <row r="13762" spans="26:26" x14ac:dyDescent="0.2">
      <c r="Z13762" t="str">
        <f t="shared" si="214"/>
        <v/>
      </c>
    </row>
    <row r="13763" spans="26:26" x14ac:dyDescent="0.2">
      <c r="Z13763" t="str">
        <f t="shared" ref="Z13763:Z13826" si="215">IF(K13763="","",IFERROR(VALUE(TRIM(MID(K13763,FIND(CHAR(167),SUBSTITUTE(K13763,"-",CHAR(167),LEN(K13763)-LEN(SUBSTITUTE(K13763,"-",""))))+1,100))),K13763))</f>
        <v/>
      </c>
    </row>
    <row r="13764" spans="26:26" x14ac:dyDescent="0.2">
      <c r="Z13764" t="str">
        <f t="shared" si="215"/>
        <v/>
      </c>
    </row>
    <row r="13765" spans="26:26" x14ac:dyDescent="0.2">
      <c r="Z13765" t="str">
        <f t="shared" si="215"/>
        <v/>
      </c>
    </row>
    <row r="13766" spans="26:26" x14ac:dyDescent="0.2">
      <c r="Z13766" t="str">
        <f t="shared" si="215"/>
        <v/>
      </c>
    </row>
    <row r="13767" spans="26:26" x14ac:dyDescent="0.2">
      <c r="Z13767" t="str">
        <f t="shared" si="215"/>
        <v/>
      </c>
    </row>
    <row r="13768" spans="26:26" x14ac:dyDescent="0.2">
      <c r="Z13768" t="str">
        <f t="shared" si="215"/>
        <v/>
      </c>
    </row>
    <row r="13769" spans="26:26" x14ac:dyDescent="0.2">
      <c r="Z13769" t="str">
        <f t="shared" si="215"/>
        <v/>
      </c>
    </row>
    <row r="13770" spans="26:26" x14ac:dyDescent="0.2">
      <c r="Z13770" t="str">
        <f t="shared" si="215"/>
        <v/>
      </c>
    </row>
    <row r="13771" spans="26:26" x14ac:dyDescent="0.2">
      <c r="Z13771" t="str">
        <f t="shared" si="215"/>
        <v/>
      </c>
    </row>
    <row r="13772" spans="26:26" x14ac:dyDescent="0.2">
      <c r="Z13772" t="str">
        <f t="shared" si="215"/>
        <v/>
      </c>
    </row>
    <row r="13773" spans="26:26" x14ac:dyDescent="0.2">
      <c r="Z13773" t="str">
        <f t="shared" si="215"/>
        <v/>
      </c>
    </row>
    <row r="13774" spans="26:26" x14ac:dyDescent="0.2">
      <c r="Z13774" t="str">
        <f t="shared" si="215"/>
        <v/>
      </c>
    </row>
    <row r="13775" spans="26:26" x14ac:dyDescent="0.2">
      <c r="Z13775" t="str">
        <f t="shared" si="215"/>
        <v/>
      </c>
    </row>
    <row r="13776" spans="26:26" x14ac:dyDescent="0.2">
      <c r="Z13776" t="str">
        <f t="shared" si="215"/>
        <v/>
      </c>
    </row>
    <row r="13777" spans="26:26" x14ac:dyDescent="0.2">
      <c r="Z13777" t="str">
        <f t="shared" si="215"/>
        <v/>
      </c>
    </row>
    <row r="13778" spans="26:26" x14ac:dyDescent="0.2">
      <c r="Z13778" t="str">
        <f t="shared" si="215"/>
        <v/>
      </c>
    </row>
    <row r="13779" spans="26:26" x14ac:dyDescent="0.2">
      <c r="Z13779" t="str">
        <f t="shared" si="215"/>
        <v/>
      </c>
    </row>
    <row r="13780" spans="26:26" x14ac:dyDescent="0.2">
      <c r="Z13780" t="str">
        <f t="shared" si="215"/>
        <v/>
      </c>
    </row>
    <row r="13781" spans="26:26" x14ac:dyDescent="0.2">
      <c r="Z13781" t="str">
        <f t="shared" si="215"/>
        <v/>
      </c>
    </row>
    <row r="13782" spans="26:26" x14ac:dyDescent="0.2">
      <c r="Z13782" t="str">
        <f t="shared" si="215"/>
        <v/>
      </c>
    </row>
    <row r="13783" spans="26:26" x14ac:dyDescent="0.2">
      <c r="Z13783" t="str">
        <f t="shared" si="215"/>
        <v/>
      </c>
    </row>
    <row r="13784" spans="26:26" x14ac:dyDescent="0.2">
      <c r="Z13784" t="str">
        <f t="shared" si="215"/>
        <v/>
      </c>
    </row>
    <row r="13785" spans="26:26" x14ac:dyDescent="0.2">
      <c r="Z13785" t="str">
        <f t="shared" si="215"/>
        <v/>
      </c>
    </row>
    <row r="13786" spans="26:26" x14ac:dyDescent="0.2">
      <c r="Z13786" t="str">
        <f t="shared" si="215"/>
        <v/>
      </c>
    </row>
    <row r="13787" spans="26:26" x14ac:dyDescent="0.2">
      <c r="Z13787" t="str">
        <f t="shared" si="215"/>
        <v/>
      </c>
    </row>
    <row r="13788" spans="26:26" x14ac:dyDescent="0.2">
      <c r="Z13788" t="str">
        <f t="shared" si="215"/>
        <v/>
      </c>
    </row>
    <row r="13789" spans="26:26" x14ac:dyDescent="0.2">
      <c r="Z13789" t="str">
        <f t="shared" si="215"/>
        <v/>
      </c>
    </row>
    <row r="13790" spans="26:26" x14ac:dyDescent="0.2">
      <c r="Z13790" t="str">
        <f t="shared" si="215"/>
        <v/>
      </c>
    </row>
    <row r="13791" spans="26:26" x14ac:dyDescent="0.2">
      <c r="Z13791" t="str">
        <f t="shared" si="215"/>
        <v/>
      </c>
    </row>
    <row r="13792" spans="26:26" x14ac:dyDescent="0.2">
      <c r="Z13792" t="str">
        <f t="shared" si="215"/>
        <v/>
      </c>
    </row>
    <row r="13793" spans="26:26" x14ac:dyDescent="0.2">
      <c r="Z13793" t="str">
        <f t="shared" si="215"/>
        <v/>
      </c>
    </row>
    <row r="13794" spans="26:26" x14ac:dyDescent="0.2">
      <c r="Z13794" t="str">
        <f t="shared" si="215"/>
        <v/>
      </c>
    </row>
    <row r="13795" spans="26:26" x14ac:dyDescent="0.2">
      <c r="Z13795" t="str">
        <f t="shared" si="215"/>
        <v/>
      </c>
    </row>
    <row r="13796" spans="26:26" x14ac:dyDescent="0.2">
      <c r="Z13796" t="str">
        <f t="shared" si="215"/>
        <v/>
      </c>
    </row>
    <row r="13797" spans="26:26" x14ac:dyDescent="0.2">
      <c r="Z13797" t="str">
        <f t="shared" si="215"/>
        <v/>
      </c>
    </row>
    <row r="13798" spans="26:26" x14ac:dyDescent="0.2">
      <c r="Z13798" t="str">
        <f t="shared" si="215"/>
        <v/>
      </c>
    </row>
    <row r="13799" spans="26:26" x14ac:dyDescent="0.2">
      <c r="Z13799" t="str">
        <f t="shared" si="215"/>
        <v/>
      </c>
    </row>
    <row r="13800" spans="26:26" x14ac:dyDescent="0.2">
      <c r="Z13800" t="str">
        <f t="shared" si="215"/>
        <v/>
      </c>
    </row>
    <row r="13801" spans="26:26" x14ac:dyDescent="0.2">
      <c r="Z13801" t="str">
        <f t="shared" si="215"/>
        <v/>
      </c>
    </row>
    <row r="13802" spans="26:26" x14ac:dyDescent="0.2">
      <c r="Z13802" t="str">
        <f t="shared" si="215"/>
        <v/>
      </c>
    </row>
    <row r="13803" spans="26:26" x14ac:dyDescent="0.2">
      <c r="Z13803" t="str">
        <f t="shared" si="215"/>
        <v/>
      </c>
    </row>
    <row r="13804" spans="26:26" x14ac:dyDescent="0.2">
      <c r="Z13804" t="str">
        <f t="shared" si="215"/>
        <v/>
      </c>
    </row>
    <row r="13805" spans="26:26" x14ac:dyDescent="0.2">
      <c r="Z13805" t="str">
        <f t="shared" si="215"/>
        <v/>
      </c>
    </row>
    <row r="13806" spans="26:26" x14ac:dyDescent="0.2">
      <c r="Z13806" t="str">
        <f t="shared" si="215"/>
        <v/>
      </c>
    </row>
    <row r="13807" spans="26:26" x14ac:dyDescent="0.2">
      <c r="Z13807" t="str">
        <f t="shared" si="215"/>
        <v/>
      </c>
    </row>
    <row r="13808" spans="26:26" x14ac:dyDescent="0.2">
      <c r="Z13808" t="str">
        <f t="shared" si="215"/>
        <v/>
      </c>
    </row>
    <row r="13809" spans="26:26" x14ac:dyDescent="0.2">
      <c r="Z13809" t="str">
        <f t="shared" si="215"/>
        <v/>
      </c>
    </row>
    <row r="13810" spans="26:26" x14ac:dyDescent="0.2">
      <c r="Z13810" t="str">
        <f t="shared" si="215"/>
        <v/>
      </c>
    </row>
    <row r="13811" spans="26:26" x14ac:dyDescent="0.2">
      <c r="Z13811" t="str">
        <f t="shared" si="215"/>
        <v/>
      </c>
    </row>
    <row r="13812" spans="26:26" x14ac:dyDescent="0.2">
      <c r="Z13812" t="str">
        <f t="shared" si="215"/>
        <v/>
      </c>
    </row>
    <row r="13813" spans="26:26" x14ac:dyDescent="0.2">
      <c r="Z13813" t="str">
        <f t="shared" si="215"/>
        <v/>
      </c>
    </row>
    <row r="13814" spans="26:26" x14ac:dyDescent="0.2">
      <c r="Z13814" t="str">
        <f t="shared" si="215"/>
        <v/>
      </c>
    </row>
    <row r="13815" spans="26:26" x14ac:dyDescent="0.2">
      <c r="Z13815" t="str">
        <f t="shared" si="215"/>
        <v/>
      </c>
    </row>
    <row r="13816" spans="26:26" x14ac:dyDescent="0.2">
      <c r="Z13816" t="str">
        <f t="shared" si="215"/>
        <v/>
      </c>
    </row>
    <row r="13817" spans="26:26" x14ac:dyDescent="0.2">
      <c r="Z13817" t="str">
        <f t="shared" si="215"/>
        <v/>
      </c>
    </row>
    <row r="13818" spans="26:26" x14ac:dyDescent="0.2">
      <c r="Z13818" t="str">
        <f t="shared" si="215"/>
        <v/>
      </c>
    </row>
    <row r="13819" spans="26:26" x14ac:dyDescent="0.2">
      <c r="Z13819" t="str">
        <f t="shared" si="215"/>
        <v/>
      </c>
    </row>
    <row r="13820" spans="26:26" x14ac:dyDescent="0.2">
      <c r="Z13820" t="str">
        <f t="shared" si="215"/>
        <v/>
      </c>
    </row>
    <row r="13821" spans="26:26" x14ac:dyDescent="0.2">
      <c r="Z13821" t="str">
        <f t="shared" si="215"/>
        <v/>
      </c>
    </row>
    <row r="13822" spans="26:26" x14ac:dyDescent="0.2">
      <c r="Z13822" t="str">
        <f t="shared" si="215"/>
        <v/>
      </c>
    </row>
    <row r="13823" spans="26:26" x14ac:dyDescent="0.2">
      <c r="Z13823" t="str">
        <f t="shared" si="215"/>
        <v/>
      </c>
    </row>
    <row r="13824" spans="26:26" x14ac:dyDescent="0.2">
      <c r="Z13824" t="str">
        <f t="shared" si="215"/>
        <v/>
      </c>
    </row>
    <row r="13825" spans="26:26" x14ac:dyDescent="0.2">
      <c r="Z13825" t="str">
        <f t="shared" si="215"/>
        <v/>
      </c>
    </row>
    <row r="13826" spans="26:26" x14ac:dyDescent="0.2">
      <c r="Z13826" t="str">
        <f t="shared" si="215"/>
        <v/>
      </c>
    </row>
    <row r="13827" spans="26:26" x14ac:dyDescent="0.2">
      <c r="Z13827" t="str">
        <f t="shared" ref="Z13827:Z13890" si="216">IF(K13827="","",IFERROR(VALUE(TRIM(MID(K13827,FIND(CHAR(167),SUBSTITUTE(K13827,"-",CHAR(167),LEN(K13827)-LEN(SUBSTITUTE(K13827,"-",""))))+1,100))),K13827))</f>
        <v/>
      </c>
    </row>
    <row r="13828" spans="26:26" x14ac:dyDescent="0.2">
      <c r="Z13828" t="str">
        <f t="shared" si="216"/>
        <v/>
      </c>
    </row>
    <row r="13829" spans="26:26" x14ac:dyDescent="0.2">
      <c r="Z13829" t="str">
        <f t="shared" si="216"/>
        <v/>
      </c>
    </row>
    <row r="13830" spans="26:26" x14ac:dyDescent="0.2">
      <c r="Z13830" t="str">
        <f t="shared" si="216"/>
        <v/>
      </c>
    </row>
    <row r="13831" spans="26:26" x14ac:dyDescent="0.2">
      <c r="Z13831" t="str">
        <f t="shared" si="216"/>
        <v/>
      </c>
    </row>
    <row r="13832" spans="26:26" x14ac:dyDescent="0.2">
      <c r="Z13832" t="str">
        <f t="shared" si="216"/>
        <v/>
      </c>
    </row>
    <row r="13833" spans="26:26" x14ac:dyDescent="0.2">
      <c r="Z13833" t="str">
        <f t="shared" si="216"/>
        <v/>
      </c>
    </row>
    <row r="13834" spans="26:26" x14ac:dyDescent="0.2">
      <c r="Z13834" t="str">
        <f t="shared" si="216"/>
        <v/>
      </c>
    </row>
    <row r="13835" spans="26:26" x14ac:dyDescent="0.2">
      <c r="Z13835" t="str">
        <f t="shared" si="216"/>
        <v/>
      </c>
    </row>
    <row r="13836" spans="26:26" x14ac:dyDescent="0.2">
      <c r="Z13836" t="str">
        <f t="shared" si="216"/>
        <v/>
      </c>
    </row>
    <row r="13837" spans="26:26" x14ac:dyDescent="0.2">
      <c r="Z13837" t="str">
        <f t="shared" si="216"/>
        <v/>
      </c>
    </row>
    <row r="13838" spans="26:26" x14ac:dyDescent="0.2">
      <c r="Z13838" t="str">
        <f t="shared" si="216"/>
        <v/>
      </c>
    </row>
    <row r="13839" spans="26:26" x14ac:dyDescent="0.2">
      <c r="Z13839" t="str">
        <f t="shared" si="216"/>
        <v/>
      </c>
    </row>
    <row r="13840" spans="26:26" x14ac:dyDescent="0.2">
      <c r="Z13840" t="str">
        <f t="shared" si="216"/>
        <v/>
      </c>
    </row>
    <row r="13841" spans="26:26" x14ac:dyDescent="0.2">
      <c r="Z13841" t="str">
        <f t="shared" si="216"/>
        <v/>
      </c>
    </row>
    <row r="13842" spans="26:26" x14ac:dyDescent="0.2">
      <c r="Z13842" t="str">
        <f t="shared" si="216"/>
        <v/>
      </c>
    </row>
    <row r="13843" spans="26:26" x14ac:dyDescent="0.2">
      <c r="Z13843" t="str">
        <f t="shared" si="216"/>
        <v/>
      </c>
    </row>
    <row r="13844" spans="26:26" x14ac:dyDescent="0.2">
      <c r="Z13844" t="str">
        <f t="shared" si="216"/>
        <v/>
      </c>
    </row>
    <row r="13845" spans="26:26" x14ac:dyDescent="0.2">
      <c r="Z13845" t="str">
        <f t="shared" si="216"/>
        <v/>
      </c>
    </row>
    <row r="13846" spans="26:26" x14ac:dyDescent="0.2">
      <c r="Z13846" t="str">
        <f t="shared" si="216"/>
        <v/>
      </c>
    </row>
    <row r="13847" spans="26:26" x14ac:dyDescent="0.2">
      <c r="Z13847" t="str">
        <f t="shared" si="216"/>
        <v/>
      </c>
    </row>
    <row r="13848" spans="26:26" x14ac:dyDescent="0.2">
      <c r="Z13848" t="str">
        <f t="shared" si="216"/>
        <v/>
      </c>
    </row>
    <row r="13849" spans="26:26" x14ac:dyDescent="0.2">
      <c r="Z13849" t="str">
        <f t="shared" si="216"/>
        <v/>
      </c>
    </row>
    <row r="13850" spans="26:26" x14ac:dyDescent="0.2">
      <c r="Z13850" t="str">
        <f t="shared" si="216"/>
        <v/>
      </c>
    </row>
    <row r="13851" spans="26:26" x14ac:dyDescent="0.2">
      <c r="Z13851" t="str">
        <f t="shared" si="216"/>
        <v/>
      </c>
    </row>
    <row r="13852" spans="26:26" x14ac:dyDescent="0.2">
      <c r="Z13852" t="str">
        <f t="shared" si="216"/>
        <v/>
      </c>
    </row>
    <row r="13853" spans="26:26" x14ac:dyDescent="0.2">
      <c r="Z13853" t="str">
        <f t="shared" si="216"/>
        <v/>
      </c>
    </row>
    <row r="13854" spans="26:26" x14ac:dyDescent="0.2">
      <c r="Z13854" t="str">
        <f t="shared" si="216"/>
        <v/>
      </c>
    </row>
    <row r="13855" spans="26:26" x14ac:dyDescent="0.2">
      <c r="Z13855" t="str">
        <f t="shared" si="216"/>
        <v/>
      </c>
    </row>
    <row r="13856" spans="26:26" x14ac:dyDescent="0.2">
      <c r="Z13856" t="str">
        <f t="shared" si="216"/>
        <v/>
      </c>
    </row>
    <row r="13857" spans="26:26" x14ac:dyDescent="0.2">
      <c r="Z13857" t="str">
        <f t="shared" si="216"/>
        <v/>
      </c>
    </row>
    <row r="13858" spans="26:26" x14ac:dyDescent="0.2">
      <c r="Z13858" t="str">
        <f t="shared" si="216"/>
        <v/>
      </c>
    </row>
    <row r="13859" spans="26:26" x14ac:dyDescent="0.2">
      <c r="Z13859" t="str">
        <f t="shared" si="216"/>
        <v/>
      </c>
    </row>
    <row r="13860" spans="26:26" x14ac:dyDescent="0.2">
      <c r="Z13860" t="str">
        <f t="shared" si="216"/>
        <v/>
      </c>
    </row>
    <row r="13861" spans="26:26" x14ac:dyDescent="0.2">
      <c r="Z13861" t="str">
        <f t="shared" si="216"/>
        <v/>
      </c>
    </row>
    <row r="13862" spans="26:26" x14ac:dyDescent="0.2">
      <c r="Z13862" t="str">
        <f t="shared" si="216"/>
        <v/>
      </c>
    </row>
    <row r="13863" spans="26:26" x14ac:dyDescent="0.2">
      <c r="Z13863" t="str">
        <f t="shared" si="216"/>
        <v/>
      </c>
    </row>
    <row r="13864" spans="26:26" x14ac:dyDescent="0.2">
      <c r="Z13864" t="str">
        <f t="shared" si="216"/>
        <v/>
      </c>
    </row>
    <row r="13865" spans="26:26" x14ac:dyDescent="0.2">
      <c r="Z13865" t="str">
        <f t="shared" si="216"/>
        <v/>
      </c>
    </row>
    <row r="13866" spans="26:26" x14ac:dyDescent="0.2">
      <c r="Z13866" t="str">
        <f t="shared" si="216"/>
        <v/>
      </c>
    </row>
    <row r="13867" spans="26:26" x14ac:dyDescent="0.2">
      <c r="Z13867" t="str">
        <f t="shared" si="216"/>
        <v/>
      </c>
    </row>
    <row r="13868" spans="26:26" x14ac:dyDescent="0.2">
      <c r="Z13868" t="str">
        <f t="shared" si="216"/>
        <v/>
      </c>
    </row>
    <row r="13869" spans="26:26" x14ac:dyDescent="0.2">
      <c r="Z13869" t="str">
        <f t="shared" si="216"/>
        <v/>
      </c>
    </row>
    <row r="13870" spans="26:26" x14ac:dyDescent="0.2">
      <c r="Z13870" t="str">
        <f t="shared" si="216"/>
        <v/>
      </c>
    </row>
    <row r="13871" spans="26:26" x14ac:dyDescent="0.2">
      <c r="Z13871" t="str">
        <f t="shared" si="216"/>
        <v/>
      </c>
    </row>
    <row r="13872" spans="26:26" x14ac:dyDescent="0.2">
      <c r="Z13872" t="str">
        <f t="shared" si="216"/>
        <v/>
      </c>
    </row>
    <row r="13873" spans="26:26" x14ac:dyDescent="0.2">
      <c r="Z13873" t="str">
        <f t="shared" si="216"/>
        <v/>
      </c>
    </row>
    <row r="13874" spans="26:26" x14ac:dyDescent="0.2">
      <c r="Z13874" t="str">
        <f t="shared" si="216"/>
        <v/>
      </c>
    </row>
    <row r="13875" spans="26:26" x14ac:dyDescent="0.2">
      <c r="Z13875" t="str">
        <f t="shared" si="216"/>
        <v/>
      </c>
    </row>
    <row r="13876" spans="26:26" x14ac:dyDescent="0.2">
      <c r="Z13876" t="str">
        <f t="shared" si="216"/>
        <v/>
      </c>
    </row>
    <row r="13877" spans="26:26" x14ac:dyDescent="0.2">
      <c r="Z13877" t="str">
        <f t="shared" si="216"/>
        <v/>
      </c>
    </row>
    <row r="13878" spans="26:26" x14ac:dyDescent="0.2">
      <c r="Z13878" t="str">
        <f t="shared" si="216"/>
        <v/>
      </c>
    </row>
    <row r="13879" spans="26:26" x14ac:dyDescent="0.2">
      <c r="Z13879" t="str">
        <f t="shared" si="216"/>
        <v/>
      </c>
    </row>
    <row r="13880" spans="26:26" x14ac:dyDescent="0.2">
      <c r="Z13880" t="str">
        <f t="shared" si="216"/>
        <v/>
      </c>
    </row>
    <row r="13881" spans="26:26" x14ac:dyDescent="0.2">
      <c r="Z13881" t="str">
        <f t="shared" si="216"/>
        <v/>
      </c>
    </row>
    <row r="13882" spans="26:26" x14ac:dyDescent="0.2">
      <c r="Z13882" t="str">
        <f t="shared" si="216"/>
        <v/>
      </c>
    </row>
    <row r="13883" spans="26:26" x14ac:dyDescent="0.2">
      <c r="Z13883" t="str">
        <f t="shared" si="216"/>
        <v/>
      </c>
    </row>
    <row r="13884" spans="26:26" x14ac:dyDescent="0.2">
      <c r="Z13884" t="str">
        <f t="shared" si="216"/>
        <v/>
      </c>
    </row>
    <row r="13885" spans="26:26" x14ac:dyDescent="0.2">
      <c r="Z13885" t="str">
        <f t="shared" si="216"/>
        <v/>
      </c>
    </row>
    <row r="13886" spans="26:26" x14ac:dyDescent="0.2">
      <c r="Z13886" t="str">
        <f t="shared" si="216"/>
        <v/>
      </c>
    </row>
    <row r="13887" spans="26:26" x14ac:dyDescent="0.2">
      <c r="Z13887" t="str">
        <f t="shared" si="216"/>
        <v/>
      </c>
    </row>
    <row r="13888" spans="26:26" x14ac:dyDescent="0.2">
      <c r="Z13888" t="str">
        <f t="shared" si="216"/>
        <v/>
      </c>
    </row>
    <row r="13889" spans="26:26" x14ac:dyDescent="0.2">
      <c r="Z13889" t="str">
        <f t="shared" si="216"/>
        <v/>
      </c>
    </row>
    <row r="13890" spans="26:26" x14ac:dyDescent="0.2">
      <c r="Z13890" t="str">
        <f t="shared" si="216"/>
        <v/>
      </c>
    </row>
    <row r="13891" spans="26:26" x14ac:dyDescent="0.2">
      <c r="Z13891" t="str">
        <f t="shared" ref="Z13891:Z13954" si="217">IF(K13891="","",IFERROR(VALUE(TRIM(MID(K13891,FIND(CHAR(167),SUBSTITUTE(K13891,"-",CHAR(167),LEN(K13891)-LEN(SUBSTITUTE(K13891,"-",""))))+1,100))),K13891))</f>
        <v/>
      </c>
    </row>
    <row r="13892" spans="26:26" x14ac:dyDescent="0.2">
      <c r="Z13892" t="str">
        <f t="shared" si="217"/>
        <v/>
      </c>
    </row>
    <row r="13893" spans="26:26" x14ac:dyDescent="0.2">
      <c r="Z13893" t="str">
        <f t="shared" si="217"/>
        <v/>
      </c>
    </row>
    <row r="13894" spans="26:26" x14ac:dyDescent="0.2">
      <c r="Z13894" t="str">
        <f t="shared" si="217"/>
        <v/>
      </c>
    </row>
    <row r="13895" spans="26:26" x14ac:dyDescent="0.2">
      <c r="Z13895" t="str">
        <f t="shared" si="217"/>
        <v/>
      </c>
    </row>
    <row r="13896" spans="26:26" x14ac:dyDescent="0.2">
      <c r="Z13896" t="str">
        <f t="shared" si="217"/>
        <v/>
      </c>
    </row>
    <row r="13897" spans="26:26" x14ac:dyDescent="0.2">
      <c r="Z13897" t="str">
        <f t="shared" si="217"/>
        <v/>
      </c>
    </row>
    <row r="13898" spans="26:26" x14ac:dyDescent="0.2">
      <c r="Z13898" t="str">
        <f t="shared" si="217"/>
        <v/>
      </c>
    </row>
    <row r="13899" spans="26:26" x14ac:dyDescent="0.2">
      <c r="Z13899" t="str">
        <f t="shared" si="217"/>
        <v/>
      </c>
    </row>
    <row r="13900" spans="26:26" x14ac:dyDescent="0.2">
      <c r="Z13900" t="str">
        <f t="shared" si="217"/>
        <v/>
      </c>
    </row>
    <row r="13901" spans="26:26" x14ac:dyDescent="0.2">
      <c r="Z13901" t="str">
        <f t="shared" si="217"/>
        <v/>
      </c>
    </row>
    <row r="13902" spans="26:26" x14ac:dyDescent="0.2">
      <c r="Z13902" t="str">
        <f t="shared" si="217"/>
        <v/>
      </c>
    </row>
    <row r="13903" spans="26:26" x14ac:dyDescent="0.2">
      <c r="Z13903" t="str">
        <f t="shared" si="217"/>
        <v/>
      </c>
    </row>
    <row r="13904" spans="26:26" x14ac:dyDescent="0.2">
      <c r="Z13904" t="str">
        <f t="shared" si="217"/>
        <v/>
      </c>
    </row>
    <row r="13905" spans="26:26" x14ac:dyDescent="0.2">
      <c r="Z13905" t="str">
        <f t="shared" si="217"/>
        <v/>
      </c>
    </row>
    <row r="13906" spans="26:26" x14ac:dyDescent="0.2">
      <c r="Z13906" t="str">
        <f t="shared" si="217"/>
        <v/>
      </c>
    </row>
    <row r="13907" spans="26:26" x14ac:dyDescent="0.2">
      <c r="Z13907" t="str">
        <f t="shared" si="217"/>
        <v/>
      </c>
    </row>
    <row r="13908" spans="26:26" x14ac:dyDescent="0.2">
      <c r="Z13908" t="str">
        <f t="shared" si="217"/>
        <v/>
      </c>
    </row>
    <row r="13909" spans="26:26" x14ac:dyDescent="0.2">
      <c r="Z13909" t="str">
        <f t="shared" si="217"/>
        <v/>
      </c>
    </row>
    <row r="13910" spans="26:26" x14ac:dyDescent="0.2">
      <c r="Z13910" t="str">
        <f t="shared" si="217"/>
        <v/>
      </c>
    </row>
    <row r="13911" spans="26:26" x14ac:dyDescent="0.2">
      <c r="Z13911" t="str">
        <f t="shared" si="217"/>
        <v/>
      </c>
    </row>
    <row r="13912" spans="26:26" x14ac:dyDescent="0.2">
      <c r="Z13912" t="str">
        <f t="shared" si="217"/>
        <v/>
      </c>
    </row>
    <row r="13913" spans="26:26" x14ac:dyDescent="0.2">
      <c r="Z13913" t="str">
        <f t="shared" si="217"/>
        <v/>
      </c>
    </row>
    <row r="13914" spans="26:26" x14ac:dyDescent="0.2">
      <c r="Z13914" t="str">
        <f t="shared" si="217"/>
        <v/>
      </c>
    </row>
    <row r="13915" spans="26:26" x14ac:dyDescent="0.2">
      <c r="Z13915" t="str">
        <f t="shared" si="217"/>
        <v/>
      </c>
    </row>
    <row r="13916" spans="26:26" x14ac:dyDescent="0.2">
      <c r="Z13916" t="str">
        <f t="shared" si="217"/>
        <v/>
      </c>
    </row>
    <row r="13917" spans="26:26" x14ac:dyDescent="0.2">
      <c r="Z13917" t="str">
        <f t="shared" si="217"/>
        <v/>
      </c>
    </row>
    <row r="13918" spans="26:26" x14ac:dyDescent="0.2">
      <c r="Z13918" t="str">
        <f t="shared" si="217"/>
        <v/>
      </c>
    </row>
    <row r="13919" spans="26:26" x14ac:dyDescent="0.2">
      <c r="Z13919" t="str">
        <f t="shared" si="217"/>
        <v/>
      </c>
    </row>
    <row r="13920" spans="26:26" x14ac:dyDescent="0.2">
      <c r="Z13920" t="str">
        <f t="shared" si="217"/>
        <v/>
      </c>
    </row>
    <row r="13921" spans="26:26" x14ac:dyDescent="0.2">
      <c r="Z13921" t="str">
        <f t="shared" si="217"/>
        <v/>
      </c>
    </row>
    <row r="13922" spans="26:26" x14ac:dyDescent="0.2">
      <c r="Z13922" t="str">
        <f t="shared" si="217"/>
        <v/>
      </c>
    </row>
    <row r="13923" spans="26:26" x14ac:dyDescent="0.2">
      <c r="Z13923" t="str">
        <f t="shared" si="217"/>
        <v/>
      </c>
    </row>
    <row r="13924" spans="26:26" x14ac:dyDescent="0.2">
      <c r="Z13924" t="str">
        <f t="shared" si="217"/>
        <v/>
      </c>
    </row>
    <row r="13925" spans="26:26" x14ac:dyDescent="0.2">
      <c r="Z13925" t="str">
        <f t="shared" si="217"/>
        <v/>
      </c>
    </row>
    <row r="13926" spans="26:26" x14ac:dyDescent="0.2">
      <c r="Z13926" t="str">
        <f t="shared" si="217"/>
        <v/>
      </c>
    </row>
    <row r="13927" spans="26:26" x14ac:dyDescent="0.2">
      <c r="Z13927" t="str">
        <f t="shared" si="217"/>
        <v/>
      </c>
    </row>
    <row r="13928" spans="26:26" x14ac:dyDescent="0.2">
      <c r="Z13928" t="str">
        <f t="shared" si="217"/>
        <v/>
      </c>
    </row>
    <row r="13929" spans="26:26" x14ac:dyDescent="0.2">
      <c r="Z13929" t="str">
        <f t="shared" si="217"/>
        <v/>
      </c>
    </row>
    <row r="13930" spans="26:26" x14ac:dyDescent="0.2">
      <c r="Z13930" t="str">
        <f t="shared" si="217"/>
        <v/>
      </c>
    </row>
    <row r="13931" spans="26:26" x14ac:dyDescent="0.2">
      <c r="Z13931" t="str">
        <f t="shared" si="217"/>
        <v/>
      </c>
    </row>
    <row r="13932" spans="26:26" x14ac:dyDescent="0.2">
      <c r="Z13932" t="str">
        <f t="shared" si="217"/>
        <v/>
      </c>
    </row>
    <row r="13933" spans="26:26" x14ac:dyDescent="0.2">
      <c r="Z13933" t="str">
        <f t="shared" si="217"/>
        <v/>
      </c>
    </row>
    <row r="13934" spans="26:26" x14ac:dyDescent="0.2">
      <c r="Z13934" t="str">
        <f t="shared" si="217"/>
        <v/>
      </c>
    </row>
    <row r="13935" spans="26:26" x14ac:dyDescent="0.2">
      <c r="Z13935" t="str">
        <f t="shared" si="217"/>
        <v/>
      </c>
    </row>
    <row r="13936" spans="26:26" x14ac:dyDescent="0.2">
      <c r="Z13936" t="str">
        <f t="shared" si="217"/>
        <v/>
      </c>
    </row>
    <row r="13937" spans="26:26" x14ac:dyDescent="0.2">
      <c r="Z13937" t="str">
        <f t="shared" si="217"/>
        <v/>
      </c>
    </row>
    <row r="13938" spans="26:26" x14ac:dyDescent="0.2">
      <c r="Z13938" t="str">
        <f t="shared" si="217"/>
        <v/>
      </c>
    </row>
    <row r="13939" spans="26:26" x14ac:dyDescent="0.2">
      <c r="Z13939" t="str">
        <f t="shared" si="217"/>
        <v/>
      </c>
    </row>
    <row r="13940" spans="26:26" x14ac:dyDescent="0.2">
      <c r="Z13940" t="str">
        <f t="shared" si="217"/>
        <v/>
      </c>
    </row>
    <row r="13941" spans="26:26" x14ac:dyDescent="0.2">
      <c r="Z13941" t="str">
        <f t="shared" si="217"/>
        <v/>
      </c>
    </row>
    <row r="13942" spans="26:26" x14ac:dyDescent="0.2">
      <c r="Z13942" t="str">
        <f t="shared" si="217"/>
        <v/>
      </c>
    </row>
    <row r="13943" spans="26:26" x14ac:dyDescent="0.2">
      <c r="Z13943" t="str">
        <f t="shared" si="217"/>
        <v/>
      </c>
    </row>
    <row r="13944" spans="26:26" x14ac:dyDescent="0.2">
      <c r="Z13944" t="str">
        <f t="shared" si="217"/>
        <v/>
      </c>
    </row>
    <row r="13945" spans="26:26" x14ac:dyDescent="0.2">
      <c r="Z13945" t="str">
        <f t="shared" si="217"/>
        <v/>
      </c>
    </row>
    <row r="13946" spans="26:26" x14ac:dyDescent="0.2">
      <c r="Z13946" t="str">
        <f t="shared" si="217"/>
        <v/>
      </c>
    </row>
    <row r="13947" spans="26:26" x14ac:dyDescent="0.2">
      <c r="Z13947" t="str">
        <f t="shared" si="217"/>
        <v/>
      </c>
    </row>
    <row r="13948" spans="26:26" x14ac:dyDescent="0.2">
      <c r="Z13948" t="str">
        <f t="shared" si="217"/>
        <v/>
      </c>
    </row>
    <row r="13949" spans="26:26" x14ac:dyDescent="0.2">
      <c r="Z13949" t="str">
        <f t="shared" si="217"/>
        <v/>
      </c>
    </row>
    <row r="13950" spans="26:26" x14ac:dyDescent="0.2">
      <c r="Z13950" t="str">
        <f t="shared" si="217"/>
        <v/>
      </c>
    </row>
    <row r="13951" spans="26:26" x14ac:dyDescent="0.2">
      <c r="Z13951" t="str">
        <f t="shared" si="217"/>
        <v/>
      </c>
    </row>
    <row r="13952" spans="26:26" x14ac:dyDescent="0.2">
      <c r="Z13952" t="str">
        <f t="shared" si="217"/>
        <v/>
      </c>
    </row>
    <row r="13953" spans="26:26" x14ac:dyDescent="0.2">
      <c r="Z13953" t="str">
        <f t="shared" si="217"/>
        <v/>
      </c>
    </row>
    <row r="13954" spans="26:26" x14ac:dyDescent="0.2">
      <c r="Z13954" t="str">
        <f t="shared" si="217"/>
        <v/>
      </c>
    </row>
    <row r="13955" spans="26:26" x14ac:dyDescent="0.2">
      <c r="Z13955" t="str">
        <f t="shared" ref="Z13955:Z14018" si="218">IF(K13955="","",IFERROR(VALUE(TRIM(MID(K13955,FIND(CHAR(167),SUBSTITUTE(K13955,"-",CHAR(167),LEN(K13955)-LEN(SUBSTITUTE(K13955,"-",""))))+1,100))),K13955))</f>
        <v/>
      </c>
    </row>
    <row r="13956" spans="26:26" x14ac:dyDescent="0.2">
      <c r="Z13956" t="str">
        <f t="shared" si="218"/>
        <v/>
      </c>
    </row>
    <row r="13957" spans="26:26" x14ac:dyDescent="0.2">
      <c r="Z13957" t="str">
        <f t="shared" si="218"/>
        <v/>
      </c>
    </row>
    <row r="13958" spans="26:26" x14ac:dyDescent="0.2">
      <c r="Z13958" t="str">
        <f t="shared" si="218"/>
        <v/>
      </c>
    </row>
    <row r="13959" spans="26:26" x14ac:dyDescent="0.2">
      <c r="Z13959" t="str">
        <f t="shared" si="218"/>
        <v/>
      </c>
    </row>
    <row r="13960" spans="26:26" x14ac:dyDescent="0.2">
      <c r="Z13960" t="str">
        <f t="shared" si="218"/>
        <v/>
      </c>
    </row>
    <row r="13961" spans="26:26" x14ac:dyDescent="0.2">
      <c r="Z13961" t="str">
        <f t="shared" si="218"/>
        <v/>
      </c>
    </row>
    <row r="13962" spans="26:26" x14ac:dyDescent="0.2">
      <c r="Z13962" t="str">
        <f t="shared" si="218"/>
        <v/>
      </c>
    </row>
    <row r="13963" spans="26:26" x14ac:dyDescent="0.2">
      <c r="Z13963" t="str">
        <f t="shared" si="218"/>
        <v/>
      </c>
    </row>
    <row r="13964" spans="26:26" x14ac:dyDescent="0.2">
      <c r="Z13964" t="str">
        <f t="shared" si="218"/>
        <v/>
      </c>
    </row>
    <row r="13965" spans="26:26" x14ac:dyDescent="0.2">
      <c r="Z13965" t="str">
        <f t="shared" si="218"/>
        <v/>
      </c>
    </row>
    <row r="13966" spans="26:26" x14ac:dyDescent="0.2">
      <c r="Z13966" t="str">
        <f t="shared" si="218"/>
        <v/>
      </c>
    </row>
    <row r="13967" spans="26:26" x14ac:dyDescent="0.2">
      <c r="Z13967" t="str">
        <f t="shared" si="218"/>
        <v/>
      </c>
    </row>
    <row r="13968" spans="26:26" x14ac:dyDescent="0.2">
      <c r="Z13968" t="str">
        <f t="shared" si="218"/>
        <v/>
      </c>
    </row>
    <row r="13969" spans="26:26" x14ac:dyDescent="0.2">
      <c r="Z13969" t="str">
        <f t="shared" si="218"/>
        <v/>
      </c>
    </row>
    <row r="13970" spans="26:26" x14ac:dyDescent="0.2">
      <c r="Z13970" t="str">
        <f t="shared" si="218"/>
        <v/>
      </c>
    </row>
    <row r="13971" spans="26:26" x14ac:dyDescent="0.2">
      <c r="Z13971" t="str">
        <f t="shared" si="218"/>
        <v/>
      </c>
    </row>
    <row r="13972" spans="26:26" x14ac:dyDescent="0.2">
      <c r="Z13972" t="str">
        <f t="shared" si="218"/>
        <v/>
      </c>
    </row>
    <row r="13973" spans="26:26" x14ac:dyDescent="0.2">
      <c r="Z13973" t="str">
        <f t="shared" si="218"/>
        <v/>
      </c>
    </row>
    <row r="13974" spans="26:26" x14ac:dyDescent="0.2">
      <c r="Z13974" t="str">
        <f t="shared" si="218"/>
        <v/>
      </c>
    </row>
    <row r="13975" spans="26:26" x14ac:dyDescent="0.2">
      <c r="Z13975" t="str">
        <f t="shared" si="218"/>
        <v/>
      </c>
    </row>
    <row r="13976" spans="26:26" x14ac:dyDescent="0.2">
      <c r="Z13976" t="str">
        <f t="shared" si="218"/>
        <v/>
      </c>
    </row>
    <row r="13977" spans="26:26" x14ac:dyDescent="0.2">
      <c r="Z13977" t="str">
        <f t="shared" si="218"/>
        <v/>
      </c>
    </row>
    <row r="13978" spans="26:26" x14ac:dyDescent="0.2">
      <c r="Z13978" t="str">
        <f t="shared" si="218"/>
        <v/>
      </c>
    </row>
    <row r="13979" spans="26:26" x14ac:dyDescent="0.2">
      <c r="Z13979" t="str">
        <f t="shared" si="218"/>
        <v/>
      </c>
    </row>
    <row r="13980" spans="26:26" x14ac:dyDescent="0.2">
      <c r="Z13980" t="str">
        <f t="shared" si="218"/>
        <v/>
      </c>
    </row>
    <row r="13981" spans="26:26" x14ac:dyDescent="0.2">
      <c r="Z13981" t="str">
        <f t="shared" si="218"/>
        <v/>
      </c>
    </row>
    <row r="13982" spans="26:26" x14ac:dyDescent="0.2">
      <c r="Z13982" t="str">
        <f t="shared" si="218"/>
        <v/>
      </c>
    </row>
    <row r="13983" spans="26:26" x14ac:dyDescent="0.2">
      <c r="Z13983" t="str">
        <f t="shared" si="218"/>
        <v/>
      </c>
    </row>
    <row r="13984" spans="26:26" x14ac:dyDescent="0.2">
      <c r="Z13984" t="str">
        <f t="shared" si="218"/>
        <v/>
      </c>
    </row>
    <row r="13985" spans="26:26" x14ac:dyDescent="0.2">
      <c r="Z13985" t="str">
        <f t="shared" si="218"/>
        <v/>
      </c>
    </row>
    <row r="13986" spans="26:26" x14ac:dyDescent="0.2">
      <c r="Z13986" t="str">
        <f t="shared" si="218"/>
        <v/>
      </c>
    </row>
    <row r="13987" spans="26:26" x14ac:dyDescent="0.2">
      <c r="Z13987" t="str">
        <f t="shared" si="218"/>
        <v/>
      </c>
    </row>
    <row r="13988" spans="26:26" x14ac:dyDescent="0.2">
      <c r="Z13988" t="str">
        <f t="shared" si="218"/>
        <v/>
      </c>
    </row>
    <row r="13989" spans="26:26" x14ac:dyDescent="0.2">
      <c r="Z13989" t="str">
        <f t="shared" si="218"/>
        <v/>
      </c>
    </row>
    <row r="13990" spans="26:26" x14ac:dyDescent="0.2">
      <c r="Z13990" t="str">
        <f t="shared" si="218"/>
        <v/>
      </c>
    </row>
    <row r="13991" spans="26:26" x14ac:dyDescent="0.2">
      <c r="Z13991" t="str">
        <f t="shared" si="218"/>
        <v/>
      </c>
    </row>
    <row r="13992" spans="26:26" x14ac:dyDescent="0.2">
      <c r="Z13992" t="str">
        <f t="shared" si="218"/>
        <v/>
      </c>
    </row>
    <row r="13993" spans="26:26" x14ac:dyDescent="0.2">
      <c r="Z13993" t="str">
        <f t="shared" si="218"/>
        <v/>
      </c>
    </row>
    <row r="13994" spans="26:26" x14ac:dyDescent="0.2">
      <c r="Z13994" t="str">
        <f t="shared" si="218"/>
        <v/>
      </c>
    </row>
    <row r="13995" spans="26:26" x14ac:dyDescent="0.2">
      <c r="Z13995" t="str">
        <f t="shared" si="218"/>
        <v/>
      </c>
    </row>
    <row r="13996" spans="26:26" x14ac:dyDescent="0.2">
      <c r="Z13996" t="str">
        <f t="shared" si="218"/>
        <v/>
      </c>
    </row>
    <row r="13997" spans="26:26" x14ac:dyDescent="0.2">
      <c r="Z13997" t="str">
        <f t="shared" si="218"/>
        <v/>
      </c>
    </row>
    <row r="13998" spans="26:26" x14ac:dyDescent="0.2">
      <c r="Z13998" t="str">
        <f t="shared" si="218"/>
        <v/>
      </c>
    </row>
    <row r="13999" spans="26:26" x14ac:dyDescent="0.2">
      <c r="Z13999" t="str">
        <f t="shared" si="218"/>
        <v/>
      </c>
    </row>
    <row r="14000" spans="26:26" x14ac:dyDescent="0.2">
      <c r="Z14000" t="str">
        <f t="shared" si="218"/>
        <v/>
      </c>
    </row>
    <row r="14001" spans="26:26" x14ac:dyDescent="0.2">
      <c r="Z14001" t="str">
        <f t="shared" si="218"/>
        <v/>
      </c>
    </row>
    <row r="14002" spans="26:26" x14ac:dyDescent="0.2">
      <c r="Z14002" t="str">
        <f t="shared" si="218"/>
        <v/>
      </c>
    </row>
    <row r="14003" spans="26:26" x14ac:dyDescent="0.2">
      <c r="Z14003" t="str">
        <f t="shared" si="218"/>
        <v/>
      </c>
    </row>
    <row r="14004" spans="26:26" x14ac:dyDescent="0.2">
      <c r="Z14004" t="str">
        <f t="shared" si="218"/>
        <v/>
      </c>
    </row>
    <row r="14005" spans="26:26" x14ac:dyDescent="0.2">
      <c r="Z14005" t="str">
        <f t="shared" si="218"/>
        <v/>
      </c>
    </row>
    <row r="14006" spans="26:26" x14ac:dyDescent="0.2">
      <c r="Z14006" t="str">
        <f t="shared" si="218"/>
        <v/>
      </c>
    </row>
    <row r="14007" spans="26:26" x14ac:dyDescent="0.2">
      <c r="Z14007" t="str">
        <f t="shared" si="218"/>
        <v/>
      </c>
    </row>
    <row r="14008" spans="26:26" x14ac:dyDescent="0.2">
      <c r="Z14008" t="str">
        <f t="shared" si="218"/>
        <v/>
      </c>
    </row>
    <row r="14009" spans="26:26" x14ac:dyDescent="0.2">
      <c r="Z14009" t="str">
        <f t="shared" si="218"/>
        <v/>
      </c>
    </row>
    <row r="14010" spans="26:26" x14ac:dyDescent="0.2">
      <c r="Z14010" t="str">
        <f t="shared" si="218"/>
        <v/>
      </c>
    </row>
    <row r="14011" spans="26:26" x14ac:dyDescent="0.2">
      <c r="Z14011" t="str">
        <f t="shared" si="218"/>
        <v/>
      </c>
    </row>
    <row r="14012" spans="26:26" x14ac:dyDescent="0.2">
      <c r="Z14012" t="str">
        <f t="shared" si="218"/>
        <v/>
      </c>
    </row>
    <row r="14013" spans="26:26" x14ac:dyDescent="0.2">
      <c r="Z14013" t="str">
        <f t="shared" si="218"/>
        <v/>
      </c>
    </row>
    <row r="14014" spans="26:26" x14ac:dyDescent="0.2">
      <c r="Z14014" t="str">
        <f t="shared" si="218"/>
        <v/>
      </c>
    </row>
    <row r="14015" spans="26:26" x14ac:dyDescent="0.2">
      <c r="Z14015" t="str">
        <f t="shared" si="218"/>
        <v/>
      </c>
    </row>
    <row r="14016" spans="26:26" x14ac:dyDescent="0.2">
      <c r="Z14016" t="str">
        <f t="shared" si="218"/>
        <v/>
      </c>
    </row>
    <row r="14017" spans="26:26" x14ac:dyDescent="0.2">
      <c r="Z14017" t="str">
        <f t="shared" si="218"/>
        <v/>
      </c>
    </row>
    <row r="14018" spans="26:26" x14ac:dyDescent="0.2">
      <c r="Z14018" t="str">
        <f t="shared" si="218"/>
        <v/>
      </c>
    </row>
    <row r="14019" spans="26:26" x14ac:dyDescent="0.2">
      <c r="Z14019" t="str">
        <f t="shared" ref="Z14019:Z14082" si="219">IF(K14019="","",IFERROR(VALUE(TRIM(MID(K14019,FIND(CHAR(167),SUBSTITUTE(K14019,"-",CHAR(167),LEN(K14019)-LEN(SUBSTITUTE(K14019,"-",""))))+1,100))),K14019))</f>
        <v/>
      </c>
    </row>
    <row r="14020" spans="26:26" x14ac:dyDescent="0.2">
      <c r="Z14020" t="str">
        <f t="shared" si="219"/>
        <v/>
      </c>
    </row>
    <row r="14021" spans="26:26" x14ac:dyDescent="0.2">
      <c r="Z14021" t="str">
        <f t="shared" si="219"/>
        <v/>
      </c>
    </row>
    <row r="14022" spans="26:26" x14ac:dyDescent="0.2">
      <c r="Z14022" t="str">
        <f t="shared" si="219"/>
        <v/>
      </c>
    </row>
    <row r="14023" spans="26:26" x14ac:dyDescent="0.2">
      <c r="Z14023" t="str">
        <f t="shared" si="219"/>
        <v/>
      </c>
    </row>
    <row r="14024" spans="26:26" x14ac:dyDescent="0.2">
      <c r="Z14024" t="str">
        <f t="shared" si="219"/>
        <v/>
      </c>
    </row>
    <row r="14025" spans="26:26" x14ac:dyDescent="0.2">
      <c r="Z14025" t="str">
        <f t="shared" si="219"/>
        <v/>
      </c>
    </row>
    <row r="14026" spans="26:26" x14ac:dyDescent="0.2">
      <c r="Z14026" t="str">
        <f t="shared" si="219"/>
        <v/>
      </c>
    </row>
    <row r="14027" spans="26:26" x14ac:dyDescent="0.2">
      <c r="Z14027" t="str">
        <f t="shared" si="219"/>
        <v/>
      </c>
    </row>
    <row r="14028" spans="26:26" x14ac:dyDescent="0.2">
      <c r="Z14028" t="str">
        <f t="shared" si="219"/>
        <v/>
      </c>
    </row>
    <row r="14029" spans="26:26" x14ac:dyDescent="0.2">
      <c r="Z14029" t="str">
        <f t="shared" si="219"/>
        <v/>
      </c>
    </row>
    <row r="14030" spans="26:26" x14ac:dyDescent="0.2">
      <c r="Z14030" t="str">
        <f t="shared" si="219"/>
        <v/>
      </c>
    </row>
    <row r="14031" spans="26:26" x14ac:dyDescent="0.2">
      <c r="Z14031" t="str">
        <f t="shared" si="219"/>
        <v/>
      </c>
    </row>
    <row r="14032" spans="26:26" x14ac:dyDescent="0.2">
      <c r="Z14032" t="str">
        <f t="shared" si="219"/>
        <v/>
      </c>
    </row>
    <row r="14033" spans="26:26" x14ac:dyDescent="0.2">
      <c r="Z14033" t="str">
        <f t="shared" si="219"/>
        <v/>
      </c>
    </row>
    <row r="14034" spans="26:26" x14ac:dyDescent="0.2">
      <c r="Z14034" t="str">
        <f t="shared" si="219"/>
        <v/>
      </c>
    </row>
    <row r="14035" spans="26:26" x14ac:dyDescent="0.2">
      <c r="Z14035" t="str">
        <f t="shared" si="219"/>
        <v/>
      </c>
    </row>
    <row r="14036" spans="26:26" x14ac:dyDescent="0.2">
      <c r="Z14036" t="str">
        <f t="shared" si="219"/>
        <v/>
      </c>
    </row>
    <row r="14037" spans="26:26" x14ac:dyDescent="0.2">
      <c r="Z14037" t="str">
        <f t="shared" si="219"/>
        <v/>
      </c>
    </row>
    <row r="14038" spans="26:26" x14ac:dyDescent="0.2">
      <c r="Z14038" t="str">
        <f t="shared" si="219"/>
        <v/>
      </c>
    </row>
    <row r="14039" spans="26:26" x14ac:dyDescent="0.2">
      <c r="Z14039" t="str">
        <f t="shared" si="219"/>
        <v/>
      </c>
    </row>
    <row r="14040" spans="26:26" x14ac:dyDescent="0.2">
      <c r="Z14040" t="str">
        <f t="shared" si="219"/>
        <v/>
      </c>
    </row>
    <row r="14041" spans="26:26" x14ac:dyDescent="0.2">
      <c r="Z14041" t="str">
        <f t="shared" si="219"/>
        <v/>
      </c>
    </row>
    <row r="14042" spans="26:26" x14ac:dyDescent="0.2">
      <c r="Z14042" t="str">
        <f t="shared" si="219"/>
        <v/>
      </c>
    </row>
    <row r="14043" spans="26:26" x14ac:dyDescent="0.2">
      <c r="Z14043" t="str">
        <f t="shared" si="219"/>
        <v/>
      </c>
    </row>
    <row r="14044" spans="26:26" x14ac:dyDescent="0.2">
      <c r="Z14044" t="str">
        <f t="shared" si="219"/>
        <v/>
      </c>
    </row>
    <row r="14045" spans="26:26" x14ac:dyDescent="0.2">
      <c r="Z14045" t="str">
        <f t="shared" si="219"/>
        <v/>
      </c>
    </row>
    <row r="14046" spans="26:26" x14ac:dyDescent="0.2">
      <c r="Z14046" t="str">
        <f t="shared" si="219"/>
        <v/>
      </c>
    </row>
    <row r="14047" spans="26:26" x14ac:dyDescent="0.2">
      <c r="Z14047" t="str">
        <f t="shared" si="219"/>
        <v/>
      </c>
    </row>
    <row r="14048" spans="26:26" x14ac:dyDescent="0.2">
      <c r="Z14048" t="str">
        <f t="shared" si="219"/>
        <v/>
      </c>
    </row>
    <row r="14049" spans="26:26" x14ac:dyDescent="0.2">
      <c r="Z14049" t="str">
        <f t="shared" si="219"/>
        <v/>
      </c>
    </row>
    <row r="14050" spans="26:26" x14ac:dyDescent="0.2">
      <c r="Z14050" t="str">
        <f t="shared" si="219"/>
        <v/>
      </c>
    </row>
    <row r="14051" spans="26:26" x14ac:dyDescent="0.2">
      <c r="Z14051" t="str">
        <f t="shared" si="219"/>
        <v/>
      </c>
    </row>
    <row r="14052" spans="26:26" x14ac:dyDescent="0.2">
      <c r="Z14052" t="str">
        <f t="shared" si="219"/>
        <v/>
      </c>
    </row>
    <row r="14053" spans="26:26" x14ac:dyDescent="0.2">
      <c r="Z14053" t="str">
        <f t="shared" si="219"/>
        <v/>
      </c>
    </row>
    <row r="14054" spans="26:26" x14ac:dyDescent="0.2">
      <c r="Z14054" t="str">
        <f t="shared" si="219"/>
        <v/>
      </c>
    </row>
    <row r="14055" spans="26:26" x14ac:dyDescent="0.2">
      <c r="Z14055" t="str">
        <f t="shared" si="219"/>
        <v/>
      </c>
    </row>
    <row r="14056" spans="26:26" x14ac:dyDescent="0.2">
      <c r="Z14056" t="str">
        <f t="shared" si="219"/>
        <v/>
      </c>
    </row>
    <row r="14057" spans="26:26" x14ac:dyDescent="0.2">
      <c r="Z14057" t="str">
        <f t="shared" si="219"/>
        <v/>
      </c>
    </row>
    <row r="14058" spans="26:26" x14ac:dyDescent="0.2">
      <c r="Z14058" t="str">
        <f t="shared" si="219"/>
        <v/>
      </c>
    </row>
    <row r="14059" spans="26:26" x14ac:dyDescent="0.2">
      <c r="Z14059" t="str">
        <f t="shared" si="219"/>
        <v/>
      </c>
    </row>
    <row r="14060" spans="26:26" x14ac:dyDescent="0.2">
      <c r="Z14060" t="str">
        <f t="shared" si="219"/>
        <v/>
      </c>
    </row>
    <row r="14061" spans="26:26" x14ac:dyDescent="0.2">
      <c r="Z14061" t="str">
        <f t="shared" si="219"/>
        <v/>
      </c>
    </row>
    <row r="14062" spans="26:26" x14ac:dyDescent="0.2">
      <c r="Z14062" t="str">
        <f t="shared" si="219"/>
        <v/>
      </c>
    </row>
    <row r="14063" spans="26:26" x14ac:dyDescent="0.2">
      <c r="Z14063" t="str">
        <f t="shared" si="219"/>
        <v/>
      </c>
    </row>
    <row r="14064" spans="26:26" x14ac:dyDescent="0.2">
      <c r="Z14064" t="str">
        <f t="shared" si="219"/>
        <v/>
      </c>
    </row>
    <row r="14065" spans="26:26" x14ac:dyDescent="0.2">
      <c r="Z14065" t="str">
        <f t="shared" si="219"/>
        <v/>
      </c>
    </row>
    <row r="14066" spans="26:26" x14ac:dyDescent="0.2">
      <c r="Z14066" t="str">
        <f t="shared" si="219"/>
        <v/>
      </c>
    </row>
    <row r="14067" spans="26:26" x14ac:dyDescent="0.2">
      <c r="Z14067" t="str">
        <f t="shared" si="219"/>
        <v/>
      </c>
    </row>
    <row r="14068" spans="26:26" x14ac:dyDescent="0.2">
      <c r="Z14068" t="str">
        <f t="shared" si="219"/>
        <v/>
      </c>
    </row>
    <row r="14069" spans="26:26" x14ac:dyDescent="0.2">
      <c r="Z14069" t="str">
        <f t="shared" si="219"/>
        <v/>
      </c>
    </row>
    <row r="14070" spans="26:26" x14ac:dyDescent="0.2">
      <c r="Z14070" t="str">
        <f t="shared" si="219"/>
        <v/>
      </c>
    </row>
    <row r="14071" spans="26:26" x14ac:dyDescent="0.2">
      <c r="Z14071" t="str">
        <f t="shared" si="219"/>
        <v/>
      </c>
    </row>
    <row r="14072" spans="26:26" x14ac:dyDescent="0.2">
      <c r="Z14072" t="str">
        <f t="shared" si="219"/>
        <v/>
      </c>
    </row>
    <row r="14073" spans="26:26" x14ac:dyDescent="0.2">
      <c r="Z14073" t="str">
        <f t="shared" si="219"/>
        <v/>
      </c>
    </row>
    <row r="14074" spans="26:26" x14ac:dyDescent="0.2">
      <c r="Z14074" t="str">
        <f t="shared" si="219"/>
        <v/>
      </c>
    </row>
    <row r="14075" spans="26:26" x14ac:dyDescent="0.2">
      <c r="Z14075" t="str">
        <f t="shared" si="219"/>
        <v/>
      </c>
    </row>
    <row r="14076" spans="26:26" x14ac:dyDescent="0.2">
      <c r="Z14076" t="str">
        <f t="shared" si="219"/>
        <v/>
      </c>
    </row>
    <row r="14077" spans="26:26" x14ac:dyDescent="0.2">
      <c r="Z14077" t="str">
        <f t="shared" si="219"/>
        <v/>
      </c>
    </row>
    <row r="14078" spans="26:26" x14ac:dyDescent="0.2">
      <c r="Z14078" t="str">
        <f t="shared" si="219"/>
        <v/>
      </c>
    </row>
    <row r="14079" spans="26:26" x14ac:dyDescent="0.2">
      <c r="Z14079" t="str">
        <f t="shared" si="219"/>
        <v/>
      </c>
    </row>
    <row r="14080" spans="26:26" x14ac:dyDescent="0.2">
      <c r="Z14080" t="str">
        <f t="shared" si="219"/>
        <v/>
      </c>
    </row>
    <row r="14081" spans="26:26" x14ac:dyDescent="0.2">
      <c r="Z14081" t="str">
        <f t="shared" si="219"/>
        <v/>
      </c>
    </row>
    <row r="14082" spans="26:26" x14ac:dyDescent="0.2">
      <c r="Z14082" t="str">
        <f t="shared" si="219"/>
        <v/>
      </c>
    </row>
    <row r="14083" spans="26:26" x14ac:dyDescent="0.2">
      <c r="Z14083" t="str">
        <f t="shared" ref="Z14083:Z14146" si="220">IF(K14083="","",IFERROR(VALUE(TRIM(MID(K14083,FIND(CHAR(167),SUBSTITUTE(K14083,"-",CHAR(167),LEN(K14083)-LEN(SUBSTITUTE(K14083,"-",""))))+1,100))),K14083))</f>
        <v/>
      </c>
    </row>
    <row r="14084" spans="26:26" x14ac:dyDescent="0.2">
      <c r="Z14084" t="str">
        <f t="shared" si="220"/>
        <v/>
      </c>
    </row>
    <row r="14085" spans="26:26" x14ac:dyDescent="0.2">
      <c r="Z14085" t="str">
        <f t="shared" si="220"/>
        <v/>
      </c>
    </row>
    <row r="14086" spans="26:26" x14ac:dyDescent="0.2">
      <c r="Z14086" t="str">
        <f t="shared" si="220"/>
        <v/>
      </c>
    </row>
    <row r="14087" spans="26:26" x14ac:dyDescent="0.2">
      <c r="Z14087" t="str">
        <f t="shared" si="220"/>
        <v/>
      </c>
    </row>
    <row r="14088" spans="26:26" x14ac:dyDescent="0.2">
      <c r="Z14088" t="str">
        <f t="shared" si="220"/>
        <v/>
      </c>
    </row>
    <row r="14089" spans="26:26" x14ac:dyDescent="0.2">
      <c r="Z14089" t="str">
        <f t="shared" si="220"/>
        <v/>
      </c>
    </row>
    <row r="14090" spans="26:26" x14ac:dyDescent="0.2">
      <c r="Z14090" t="str">
        <f t="shared" si="220"/>
        <v/>
      </c>
    </row>
    <row r="14091" spans="26:26" x14ac:dyDescent="0.2">
      <c r="Z14091" t="str">
        <f t="shared" si="220"/>
        <v/>
      </c>
    </row>
    <row r="14092" spans="26:26" x14ac:dyDescent="0.2">
      <c r="Z14092" t="str">
        <f t="shared" si="220"/>
        <v/>
      </c>
    </row>
    <row r="14093" spans="26:26" x14ac:dyDescent="0.2">
      <c r="Z14093" t="str">
        <f t="shared" si="220"/>
        <v/>
      </c>
    </row>
    <row r="14094" spans="26:26" x14ac:dyDescent="0.2">
      <c r="Z14094" t="str">
        <f t="shared" si="220"/>
        <v/>
      </c>
    </row>
    <row r="14095" spans="26:26" x14ac:dyDescent="0.2">
      <c r="Z14095" t="str">
        <f t="shared" si="220"/>
        <v/>
      </c>
    </row>
    <row r="14096" spans="26:26" x14ac:dyDescent="0.2">
      <c r="Z14096" t="str">
        <f t="shared" si="220"/>
        <v/>
      </c>
    </row>
    <row r="14097" spans="26:26" x14ac:dyDescent="0.2">
      <c r="Z14097" t="str">
        <f t="shared" si="220"/>
        <v/>
      </c>
    </row>
    <row r="14098" spans="26:26" x14ac:dyDescent="0.2">
      <c r="Z14098" t="str">
        <f t="shared" si="220"/>
        <v/>
      </c>
    </row>
    <row r="14099" spans="26:26" x14ac:dyDescent="0.2">
      <c r="Z14099" t="str">
        <f t="shared" si="220"/>
        <v/>
      </c>
    </row>
    <row r="14100" spans="26:26" x14ac:dyDescent="0.2">
      <c r="Z14100" t="str">
        <f t="shared" si="220"/>
        <v/>
      </c>
    </row>
    <row r="14101" spans="26:26" x14ac:dyDescent="0.2">
      <c r="Z14101" t="str">
        <f t="shared" si="220"/>
        <v/>
      </c>
    </row>
    <row r="14102" spans="26:26" x14ac:dyDescent="0.2">
      <c r="Z14102" t="str">
        <f t="shared" si="220"/>
        <v/>
      </c>
    </row>
    <row r="14103" spans="26:26" x14ac:dyDescent="0.2">
      <c r="Z14103" t="str">
        <f t="shared" si="220"/>
        <v/>
      </c>
    </row>
    <row r="14104" spans="26:26" x14ac:dyDescent="0.2">
      <c r="Z14104" t="str">
        <f t="shared" si="220"/>
        <v/>
      </c>
    </row>
    <row r="14105" spans="26:26" x14ac:dyDescent="0.2">
      <c r="Z14105" t="str">
        <f t="shared" si="220"/>
        <v/>
      </c>
    </row>
    <row r="14106" spans="26:26" x14ac:dyDescent="0.2">
      <c r="Z14106" t="str">
        <f t="shared" si="220"/>
        <v/>
      </c>
    </row>
    <row r="14107" spans="26:26" x14ac:dyDescent="0.2">
      <c r="Z14107" t="str">
        <f t="shared" si="220"/>
        <v/>
      </c>
    </row>
    <row r="14108" spans="26:26" x14ac:dyDescent="0.2">
      <c r="Z14108" t="str">
        <f t="shared" si="220"/>
        <v/>
      </c>
    </row>
    <row r="14109" spans="26:26" x14ac:dyDescent="0.2">
      <c r="Z14109" t="str">
        <f t="shared" si="220"/>
        <v/>
      </c>
    </row>
    <row r="14110" spans="26:26" x14ac:dyDescent="0.2">
      <c r="Z14110" t="str">
        <f t="shared" si="220"/>
        <v/>
      </c>
    </row>
    <row r="14111" spans="26:26" x14ac:dyDescent="0.2">
      <c r="Z14111" t="str">
        <f t="shared" si="220"/>
        <v/>
      </c>
    </row>
    <row r="14112" spans="26:26" x14ac:dyDescent="0.2">
      <c r="Z14112" t="str">
        <f t="shared" si="220"/>
        <v/>
      </c>
    </row>
    <row r="14113" spans="26:26" x14ac:dyDescent="0.2">
      <c r="Z14113" t="str">
        <f t="shared" si="220"/>
        <v/>
      </c>
    </row>
    <row r="14114" spans="26:26" x14ac:dyDescent="0.2">
      <c r="Z14114" t="str">
        <f t="shared" si="220"/>
        <v/>
      </c>
    </row>
    <row r="14115" spans="26:26" x14ac:dyDescent="0.2">
      <c r="Z14115" t="str">
        <f t="shared" si="220"/>
        <v/>
      </c>
    </row>
    <row r="14116" spans="26:26" x14ac:dyDescent="0.2">
      <c r="Z14116" t="str">
        <f t="shared" si="220"/>
        <v/>
      </c>
    </row>
    <row r="14117" spans="26:26" x14ac:dyDescent="0.2">
      <c r="Z14117" t="str">
        <f t="shared" si="220"/>
        <v/>
      </c>
    </row>
    <row r="14118" spans="26:26" x14ac:dyDescent="0.2">
      <c r="Z14118" t="str">
        <f t="shared" si="220"/>
        <v/>
      </c>
    </row>
    <row r="14119" spans="26:26" x14ac:dyDescent="0.2">
      <c r="Z14119" t="str">
        <f t="shared" si="220"/>
        <v/>
      </c>
    </row>
    <row r="14120" spans="26:26" x14ac:dyDescent="0.2">
      <c r="Z14120" t="str">
        <f t="shared" si="220"/>
        <v/>
      </c>
    </row>
    <row r="14121" spans="26:26" x14ac:dyDescent="0.2">
      <c r="Z14121" t="str">
        <f t="shared" si="220"/>
        <v/>
      </c>
    </row>
    <row r="14122" spans="26:26" x14ac:dyDescent="0.2">
      <c r="Z14122" t="str">
        <f t="shared" si="220"/>
        <v/>
      </c>
    </row>
    <row r="14123" spans="26:26" x14ac:dyDescent="0.2">
      <c r="Z14123" t="str">
        <f t="shared" si="220"/>
        <v/>
      </c>
    </row>
    <row r="14124" spans="26:26" x14ac:dyDescent="0.2">
      <c r="Z14124" t="str">
        <f t="shared" si="220"/>
        <v/>
      </c>
    </row>
    <row r="14125" spans="26:26" x14ac:dyDescent="0.2">
      <c r="Z14125" t="str">
        <f t="shared" si="220"/>
        <v/>
      </c>
    </row>
    <row r="14126" spans="26:26" x14ac:dyDescent="0.2">
      <c r="Z14126" t="str">
        <f t="shared" si="220"/>
        <v/>
      </c>
    </row>
    <row r="14127" spans="26:26" x14ac:dyDescent="0.2">
      <c r="Z14127" t="str">
        <f t="shared" si="220"/>
        <v/>
      </c>
    </row>
    <row r="14128" spans="26:26" x14ac:dyDescent="0.2">
      <c r="Z14128" t="str">
        <f t="shared" si="220"/>
        <v/>
      </c>
    </row>
    <row r="14129" spans="26:26" x14ac:dyDescent="0.2">
      <c r="Z14129" t="str">
        <f t="shared" si="220"/>
        <v/>
      </c>
    </row>
    <row r="14130" spans="26:26" x14ac:dyDescent="0.2">
      <c r="Z14130" t="str">
        <f t="shared" si="220"/>
        <v/>
      </c>
    </row>
    <row r="14131" spans="26:26" x14ac:dyDescent="0.2">
      <c r="Z14131" t="str">
        <f t="shared" si="220"/>
        <v/>
      </c>
    </row>
    <row r="14132" spans="26:26" x14ac:dyDescent="0.2">
      <c r="Z14132" t="str">
        <f t="shared" si="220"/>
        <v/>
      </c>
    </row>
    <row r="14133" spans="26:26" x14ac:dyDescent="0.2">
      <c r="Z14133" t="str">
        <f t="shared" si="220"/>
        <v/>
      </c>
    </row>
    <row r="14134" spans="26:26" x14ac:dyDescent="0.2">
      <c r="Z14134" t="str">
        <f t="shared" si="220"/>
        <v/>
      </c>
    </row>
    <row r="14135" spans="26:26" x14ac:dyDescent="0.2">
      <c r="Z14135" t="str">
        <f t="shared" si="220"/>
        <v/>
      </c>
    </row>
    <row r="14136" spans="26:26" x14ac:dyDescent="0.2">
      <c r="Z14136" t="str">
        <f t="shared" si="220"/>
        <v/>
      </c>
    </row>
    <row r="14137" spans="26:26" x14ac:dyDescent="0.2">
      <c r="Z14137" t="str">
        <f t="shared" si="220"/>
        <v/>
      </c>
    </row>
    <row r="14138" spans="26:26" x14ac:dyDescent="0.2">
      <c r="Z14138" t="str">
        <f t="shared" si="220"/>
        <v/>
      </c>
    </row>
    <row r="14139" spans="26:26" x14ac:dyDescent="0.2">
      <c r="Z14139" t="str">
        <f t="shared" si="220"/>
        <v/>
      </c>
    </row>
    <row r="14140" spans="26:26" x14ac:dyDescent="0.2">
      <c r="Z14140" t="str">
        <f t="shared" si="220"/>
        <v/>
      </c>
    </row>
    <row r="14141" spans="26:26" x14ac:dyDescent="0.2">
      <c r="Z14141" t="str">
        <f t="shared" si="220"/>
        <v/>
      </c>
    </row>
    <row r="14142" spans="26:26" x14ac:dyDescent="0.2">
      <c r="Z14142" t="str">
        <f t="shared" si="220"/>
        <v/>
      </c>
    </row>
    <row r="14143" spans="26:26" x14ac:dyDescent="0.2">
      <c r="Z14143" t="str">
        <f t="shared" si="220"/>
        <v/>
      </c>
    </row>
    <row r="14144" spans="26:26" x14ac:dyDescent="0.2">
      <c r="Z14144" t="str">
        <f t="shared" si="220"/>
        <v/>
      </c>
    </row>
    <row r="14145" spans="26:26" x14ac:dyDescent="0.2">
      <c r="Z14145" t="str">
        <f t="shared" si="220"/>
        <v/>
      </c>
    </row>
    <row r="14146" spans="26:26" x14ac:dyDescent="0.2">
      <c r="Z14146" t="str">
        <f t="shared" si="220"/>
        <v/>
      </c>
    </row>
    <row r="14147" spans="26:26" x14ac:dyDescent="0.2">
      <c r="Z14147" t="str">
        <f t="shared" ref="Z14147:Z14210" si="221">IF(K14147="","",IFERROR(VALUE(TRIM(MID(K14147,FIND(CHAR(167),SUBSTITUTE(K14147,"-",CHAR(167),LEN(K14147)-LEN(SUBSTITUTE(K14147,"-",""))))+1,100))),K14147))</f>
        <v/>
      </c>
    </row>
    <row r="14148" spans="26:26" x14ac:dyDescent="0.2">
      <c r="Z14148" t="str">
        <f t="shared" si="221"/>
        <v/>
      </c>
    </row>
    <row r="14149" spans="26:26" x14ac:dyDescent="0.2">
      <c r="Z14149" t="str">
        <f t="shared" si="221"/>
        <v/>
      </c>
    </row>
    <row r="14150" spans="26:26" x14ac:dyDescent="0.2">
      <c r="Z14150" t="str">
        <f t="shared" si="221"/>
        <v/>
      </c>
    </row>
    <row r="14151" spans="26:26" x14ac:dyDescent="0.2">
      <c r="Z14151" t="str">
        <f t="shared" si="221"/>
        <v/>
      </c>
    </row>
    <row r="14152" spans="26:26" x14ac:dyDescent="0.2">
      <c r="Z14152" t="str">
        <f t="shared" si="221"/>
        <v/>
      </c>
    </row>
    <row r="14153" spans="26:26" x14ac:dyDescent="0.2">
      <c r="Z14153" t="str">
        <f t="shared" si="221"/>
        <v/>
      </c>
    </row>
    <row r="14154" spans="26:26" x14ac:dyDescent="0.2">
      <c r="Z14154" t="str">
        <f t="shared" si="221"/>
        <v/>
      </c>
    </row>
    <row r="14155" spans="26:26" x14ac:dyDescent="0.2">
      <c r="Z14155" t="str">
        <f t="shared" si="221"/>
        <v/>
      </c>
    </row>
    <row r="14156" spans="26:26" x14ac:dyDescent="0.2">
      <c r="Z14156" t="str">
        <f t="shared" si="221"/>
        <v/>
      </c>
    </row>
    <row r="14157" spans="26:26" x14ac:dyDescent="0.2">
      <c r="Z14157" t="str">
        <f t="shared" si="221"/>
        <v/>
      </c>
    </row>
    <row r="14158" spans="26:26" x14ac:dyDescent="0.2">
      <c r="Z14158" t="str">
        <f t="shared" si="221"/>
        <v/>
      </c>
    </row>
    <row r="14159" spans="26:26" x14ac:dyDescent="0.2">
      <c r="Z14159" t="str">
        <f t="shared" si="221"/>
        <v/>
      </c>
    </row>
    <row r="14160" spans="26:26" x14ac:dyDescent="0.2">
      <c r="Z14160" t="str">
        <f t="shared" si="221"/>
        <v/>
      </c>
    </row>
    <row r="14161" spans="26:26" x14ac:dyDescent="0.2">
      <c r="Z14161" t="str">
        <f t="shared" si="221"/>
        <v/>
      </c>
    </row>
    <row r="14162" spans="26:26" x14ac:dyDescent="0.2">
      <c r="Z14162" t="str">
        <f t="shared" si="221"/>
        <v/>
      </c>
    </row>
    <row r="14163" spans="26:26" x14ac:dyDescent="0.2">
      <c r="Z14163" t="str">
        <f t="shared" si="221"/>
        <v/>
      </c>
    </row>
    <row r="14164" spans="26:26" x14ac:dyDescent="0.2">
      <c r="Z14164" t="str">
        <f t="shared" si="221"/>
        <v/>
      </c>
    </row>
    <row r="14165" spans="26:26" x14ac:dyDescent="0.2">
      <c r="Z14165" t="str">
        <f t="shared" si="221"/>
        <v/>
      </c>
    </row>
    <row r="14166" spans="26:26" x14ac:dyDescent="0.2">
      <c r="Z14166" t="str">
        <f t="shared" si="221"/>
        <v/>
      </c>
    </row>
    <row r="14167" spans="26:26" x14ac:dyDescent="0.2">
      <c r="Z14167" t="str">
        <f t="shared" si="221"/>
        <v/>
      </c>
    </row>
    <row r="14168" spans="26:26" x14ac:dyDescent="0.2">
      <c r="Z14168" t="str">
        <f t="shared" si="221"/>
        <v/>
      </c>
    </row>
    <row r="14169" spans="26:26" x14ac:dyDescent="0.2">
      <c r="Z14169" t="str">
        <f t="shared" si="221"/>
        <v/>
      </c>
    </row>
    <row r="14170" spans="26:26" x14ac:dyDescent="0.2">
      <c r="Z14170" t="str">
        <f t="shared" si="221"/>
        <v/>
      </c>
    </row>
    <row r="14171" spans="26:26" x14ac:dyDescent="0.2">
      <c r="Z14171" t="str">
        <f t="shared" si="221"/>
        <v/>
      </c>
    </row>
    <row r="14172" spans="26:26" x14ac:dyDescent="0.2">
      <c r="Z14172" t="str">
        <f t="shared" si="221"/>
        <v/>
      </c>
    </row>
    <row r="14173" spans="26:26" x14ac:dyDescent="0.2">
      <c r="Z14173" t="str">
        <f t="shared" si="221"/>
        <v/>
      </c>
    </row>
    <row r="14174" spans="26:26" x14ac:dyDescent="0.2">
      <c r="Z14174" t="str">
        <f t="shared" si="221"/>
        <v/>
      </c>
    </row>
    <row r="14175" spans="26:26" x14ac:dyDescent="0.2">
      <c r="Z14175" t="str">
        <f t="shared" si="221"/>
        <v/>
      </c>
    </row>
    <row r="14176" spans="26:26" x14ac:dyDescent="0.2">
      <c r="Z14176" t="str">
        <f t="shared" si="221"/>
        <v/>
      </c>
    </row>
    <row r="14177" spans="26:26" x14ac:dyDescent="0.2">
      <c r="Z14177" t="str">
        <f t="shared" si="221"/>
        <v/>
      </c>
    </row>
    <row r="14178" spans="26:26" x14ac:dyDescent="0.2">
      <c r="Z14178" t="str">
        <f t="shared" si="221"/>
        <v/>
      </c>
    </row>
    <row r="14179" spans="26:26" x14ac:dyDescent="0.2">
      <c r="Z14179" t="str">
        <f t="shared" si="221"/>
        <v/>
      </c>
    </row>
    <row r="14180" spans="26:26" x14ac:dyDescent="0.2">
      <c r="Z14180" t="str">
        <f t="shared" si="221"/>
        <v/>
      </c>
    </row>
    <row r="14181" spans="26:26" x14ac:dyDescent="0.2">
      <c r="Z14181" t="str">
        <f t="shared" si="221"/>
        <v/>
      </c>
    </row>
    <row r="14182" spans="26:26" x14ac:dyDescent="0.2">
      <c r="Z14182" t="str">
        <f t="shared" si="221"/>
        <v/>
      </c>
    </row>
    <row r="14183" spans="26:26" x14ac:dyDescent="0.2">
      <c r="Z14183" t="str">
        <f t="shared" si="221"/>
        <v/>
      </c>
    </row>
    <row r="14184" spans="26:26" x14ac:dyDescent="0.2">
      <c r="Z14184" t="str">
        <f t="shared" si="221"/>
        <v/>
      </c>
    </row>
    <row r="14185" spans="26:26" x14ac:dyDescent="0.2">
      <c r="Z14185" t="str">
        <f t="shared" si="221"/>
        <v/>
      </c>
    </row>
    <row r="14186" spans="26:26" x14ac:dyDescent="0.2">
      <c r="Z14186" t="str">
        <f t="shared" si="221"/>
        <v/>
      </c>
    </row>
    <row r="14187" spans="26:26" x14ac:dyDescent="0.2">
      <c r="Z14187" t="str">
        <f t="shared" si="221"/>
        <v/>
      </c>
    </row>
    <row r="14188" spans="26:26" x14ac:dyDescent="0.2">
      <c r="Z14188" t="str">
        <f t="shared" si="221"/>
        <v/>
      </c>
    </row>
    <row r="14189" spans="26:26" x14ac:dyDescent="0.2">
      <c r="Z14189" t="str">
        <f t="shared" si="221"/>
        <v/>
      </c>
    </row>
    <row r="14190" spans="26:26" x14ac:dyDescent="0.2">
      <c r="Z14190" t="str">
        <f t="shared" si="221"/>
        <v/>
      </c>
    </row>
    <row r="14191" spans="26:26" x14ac:dyDescent="0.2">
      <c r="Z14191" t="str">
        <f t="shared" si="221"/>
        <v/>
      </c>
    </row>
    <row r="14192" spans="26:26" x14ac:dyDescent="0.2">
      <c r="Z14192" t="str">
        <f t="shared" si="221"/>
        <v/>
      </c>
    </row>
    <row r="14193" spans="26:26" x14ac:dyDescent="0.2">
      <c r="Z14193" t="str">
        <f t="shared" si="221"/>
        <v/>
      </c>
    </row>
    <row r="14194" spans="26:26" x14ac:dyDescent="0.2">
      <c r="Z14194" t="str">
        <f t="shared" si="221"/>
        <v/>
      </c>
    </row>
    <row r="14195" spans="26:26" x14ac:dyDescent="0.2">
      <c r="Z14195" t="str">
        <f t="shared" si="221"/>
        <v/>
      </c>
    </row>
    <row r="14196" spans="26:26" x14ac:dyDescent="0.2">
      <c r="Z14196" t="str">
        <f t="shared" si="221"/>
        <v/>
      </c>
    </row>
    <row r="14197" spans="26:26" x14ac:dyDescent="0.2">
      <c r="Z14197" t="str">
        <f t="shared" si="221"/>
        <v/>
      </c>
    </row>
    <row r="14198" spans="26:26" x14ac:dyDescent="0.2">
      <c r="Z14198" t="str">
        <f t="shared" si="221"/>
        <v/>
      </c>
    </row>
    <row r="14199" spans="26:26" x14ac:dyDescent="0.2">
      <c r="Z14199" t="str">
        <f t="shared" si="221"/>
        <v/>
      </c>
    </row>
    <row r="14200" spans="26:26" x14ac:dyDescent="0.2">
      <c r="Z14200" t="str">
        <f t="shared" si="221"/>
        <v/>
      </c>
    </row>
    <row r="14201" spans="26:26" x14ac:dyDescent="0.2">
      <c r="Z14201" t="str">
        <f t="shared" si="221"/>
        <v/>
      </c>
    </row>
    <row r="14202" spans="26:26" x14ac:dyDescent="0.2">
      <c r="Z14202" t="str">
        <f t="shared" si="221"/>
        <v/>
      </c>
    </row>
    <row r="14203" spans="26:26" x14ac:dyDescent="0.2">
      <c r="Z14203" t="str">
        <f t="shared" si="221"/>
        <v/>
      </c>
    </row>
    <row r="14204" spans="26:26" x14ac:dyDescent="0.2">
      <c r="Z14204" t="str">
        <f t="shared" si="221"/>
        <v/>
      </c>
    </row>
    <row r="14205" spans="26:26" x14ac:dyDescent="0.2">
      <c r="Z14205" t="str">
        <f t="shared" si="221"/>
        <v/>
      </c>
    </row>
    <row r="14206" spans="26:26" x14ac:dyDescent="0.2">
      <c r="Z14206" t="str">
        <f t="shared" si="221"/>
        <v/>
      </c>
    </row>
    <row r="14207" spans="26:26" x14ac:dyDescent="0.2">
      <c r="Z14207" t="str">
        <f t="shared" si="221"/>
        <v/>
      </c>
    </row>
    <row r="14208" spans="26:26" x14ac:dyDescent="0.2">
      <c r="Z14208" t="str">
        <f t="shared" si="221"/>
        <v/>
      </c>
    </row>
    <row r="14209" spans="26:26" x14ac:dyDescent="0.2">
      <c r="Z14209" t="str">
        <f t="shared" si="221"/>
        <v/>
      </c>
    </row>
    <row r="14210" spans="26:26" x14ac:dyDescent="0.2">
      <c r="Z14210" t="str">
        <f t="shared" si="221"/>
        <v/>
      </c>
    </row>
    <row r="14211" spans="26:26" x14ac:dyDescent="0.2">
      <c r="Z14211" t="str">
        <f t="shared" ref="Z14211:Z14274" si="222">IF(K14211="","",IFERROR(VALUE(TRIM(MID(K14211,FIND(CHAR(167),SUBSTITUTE(K14211,"-",CHAR(167),LEN(K14211)-LEN(SUBSTITUTE(K14211,"-",""))))+1,100))),K14211))</f>
        <v/>
      </c>
    </row>
    <row r="14212" spans="26:26" x14ac:dyDescent="0.2">
      <c r="Z14212" t="str">
        <f t="shared" si="222"/>
        <v/>
      </c>
    </row>
    <row r="14213" spans="26:26" x14ac:dyDescent="0.2">
      <c r="Z14213" t="str">
        <f t="shared" si="222"/>
        <v/>
      </c>
    </row>
    <row r="14214" spans="26:26" x14ac:dyDescent="0.2">
      <c r="Z14214" t="str">
        <f t="shared" si="222"/>
        <v/>
      </c>
    </row>
    <row r="14215" spans="26:26" x14ac:dyDescent="0.2">
      <c r="Z14215" t="str">
        <f t="shared" si="222"/>
        <v/>
      </c>
    </row>
    <row r="14216" spans="26:26" x14ac:dyDescent="0.2">
      <c r="Z14216" t="str">
        <f t="shared" si="222"/>
        <v/>
      </c>
    </row>
    <row r="14217" spans="26:26" x14ac:dyDescent="0.2">
      <c r="Z14217" t="str">
        <f t="shared" si="222"/>
        <v/>
      </c>
    </row>
    <row r="14218" spans="26:26" x14ac:dyDescent="0.2">
      <c r="Z14218" t="str">
        <f t="shared" si="222"/>
        <v/>
      </c>
    </row>
    <row r="14219" spans="26:26" x14ac:dyDescent="0.2">
      <c r="Z14219" t="str">
        <f t="shared" si="222"/>
        <v/>
      </c>
    </row>
    <row r="14220" spans="26:26" x14ac:dyDescent="0.2">
      <c r="Z14220" t="str">
        <f t="shared" si="222"/>
        <v/>
      </c>
    </row>
    <row r="14221" spans="26:26" x14ac:dyDescent="0.2">
      <c r="Z14221" t="str">
        <f t="shared" si="222"/>
        <v/>
      </c>
    </row>
    <row r="14222" spans="26:26" x14ac:dyDescent="0.2">
      <c r="Z14222" t="str">
        <f t="shared" si="222"/>
        <v/>
      </c>
    </row>
    <row r="14223" spans="26:26" x14ac:dyDescent="0.2">
      <c r="Z14223" t="str">
        <f t="shared" si="222"/>
        <v/>
      </c>
    </row>
    <row r="14224" spans="26:26" x14ac:dyDescent="0.2">
      <c r="Z14224" t="str">
        <f t="shared" si="222"/>
        <v/>
      </c>
    </row>
    <row r="14225" spans="26:26" x14ac:dyDescent="0.2">
      <c r="Z14225" t="str">
        <f t="shared" si="222"/>
        <v/>
      </c>
    </row>
    <row r="14226" spans="26:26" x14ac:dyDescent="0.2">
      <c r="Z14226" t="str">
        <f t="shared" si="222"/>
        <v/>
      </c>
    </row>
    <row r="14227" spans="26:26" x14ac:dyDescent="0.2">
      <c r="Z14227" t="str">
        <f t="shared" si="222"/>
        <v/>
      </c>
    </row>
    <row r="14228" spans="26:26" x14ac:dyDescent="0.2">
      <c r="Z14228" t="str">
        <f t="shared" si="222"/>
        <v/>
      </c>
    </row>
    <row r="14229" spans="26:26" x14ac:dyDescent="0.2">
      <c r="Z14229" t="str">
        <f t="shared" si="222"/>
        <v/>
      </c>
    </row>
    <row r="14230" spans="26:26" x14ac:dyDescent="0.2">
      <c r="Z14230" t="str">
        <f t="shared" si="222"/>
        <v/>
      </c>
    </row>
    <row r="14231" spans="26:26" x14ac:dyDescent="0.2">
      <c r="Z14231" t="str">
        <f t="shared" si="222"/>
        <v/>
      </c>
    </row>
    <row r="14232" spans="26:26" x14ac:dyDescent="0.2">
      <c r="Z14232" t="str">
        <f t="shared" si="222"/>
        <v/>
      </c>
    </row>
    <row r="14233" spans="26:26" x14ac:dyDescent="0.2">
      <c r="Z14233" t="str">
        <f t="shared" si="222"/>
        <v/>
      </c>
    </row>
    <row r="14234" spans="26:26" x14ac:dyDescent="0.2">
      <c r="Z14234" t="str">
        <f t="shared" si="222"/>
        <v/>
      </c>
    </row>
    <row r="14235" spans="26:26" x14ac:dyDescent="0.2">
      <c r="Z14235" t="str">
        <f t="shared" si="222"/>
        <v/>
      </c>
    </row>
    <row r="14236" spans="26:26" x14ac:dyDescent="0.2">
      <c r="Z14236" t="str">
        <f t="shared" si="222"/>
        <v/>
      </c>
    </row>
    <row r="14237" spans="26:26" x14ac:dyDescent="0.2">
      <c r="Z14237" t="str">
        <f t="shared" si="222"/>
        <v/>
      </c>
    </row>
    <row r="14238" spans="26:26" x14ac:dyDescent="0.2">
      <c r="Z14238" t="str">
        <f t="shared" si="222"/>
        <v/>
      </c>
    </row>
    <row r="14239" spans="26:26" x14ac:dyDescent="0.2">
      <c r="Z14239" t="str">
        <f t="shared" si="222"/>
        <v/>
      </c>
    </row>
    <row r="14240" spans="26:26" x14ac:dyDescent="0.2">
      <c r="Z14240" t="str">
        <f t="shared" si="222"/>
        <v/>
      </c>
    </row>
    <row r="14241" spans="26:26" x14ac:dyDescent="0.2">
      <c r="Z14241" t="str">
        <f t="shared" si="222"/>
        <v/>
      </c>
    </row>
    <row r="14242" spans="26:26" x14ac:dyDescent="0.2">
      <c r="Z14242" t="str">
        <f t="shared" si="222"/>
        <v/>
      </c>
    </row>
    <row r="14243" spans="26:26" x14ac:dyDescent="0.2">
      <c r="Z14243" t="str">
        <f t="shared" si="222"/>
        <v/>
      </c>
    </row>
    <row r="14244" spans="26:26" x14ac:dyDescent="0.2">
      <c r="Z14244" t="str">
        <f t="shared" si="222"/>
        <v/>
      </c>
    </row>
    <row r="14245" spans="26:26" x14ac:dyDescent="0.2">
      <c r="Z14245" t="str">
        <f t="shared" si="222"/>
        <v/>
      </c>
    </row>
    <row r="14246" spans="26:26" x14ac:dyDescent="0.2">
      <c r="Z14246" t="str">
        <f t="shared" si="222"/>
        <v/>
      </c>
    </row>
    <row r="14247" spans="26:26" x14ac:dyDescent="0.2">
      <c r="Z14247" t="str">
        <f t="shared" si="222"/>
        <v/>
      </c>
    </row>
    <row r="14248" spans="26:26" x14ac:dyDescent="0.2">
      <c r="Z14248" t="str">
        <f t="shared" si="222"/>
        <v/>
      </c>
    </row>
    <row r="14249" spans="26:26" x14ac:dyDescent="0.2">
      <c r="Z14249" t="str">
        <f t="shared" si="222"/>
        <v/>
      </c>
    </row>
    <row r="14250" spans="26:26" x14ac:dyDescent="0.2">
      <c r="Z14250" t="str">
        <f t="shared" si="222"/>
        <v/>
      </c>
    </row>
    <row r="14251" spans="26:26" x14ac:dyDescent="0.2">
      <c r="Z14251" t="str">
        <f t="shared" si="222"/>
        <v/>
      </c>
    </row>
    <row r="14252" spans="26:26" x14ac:dyDescent="0.2">
      <c r="Z14252" t="str">
        <f t="shared" si="222"/>
        <v/>
      </c>
    </row>
    <row r="14253" spans="26:26" x14ac:dyDescent="0.2">
      <c r="Z14253" t="str">
        <f t="shared" si="222"/>
        <v/>
      </c>
    </row>
    <row r="14254" spans="26:26" x14ac:dyDescent="0.2">
      <c r="Z14254" t="str">
        <f t="shared" si="222"/>
        <v/>
      </c>
    </row>
    <row r="14255" spans="26:26" x14ac:dyDescent="0.2">
      <c r="Z14255" t="str">
        <f t="shared" si="222"/>
        <v/>
      </c>
    </row>
    <row r="14256" spans="26:26" x14ac:dyDescent="0.2">
      <c r="Z14256" t="str">
        <f t="shared" si="222"/>
        <v/>
      </c>
    </row>
    <row r="14257" spans="26:26" x14ac:dyDescent="0.2">
      <c r="Z14257" t="str">
        <f t="shared" si="222"/>
        <v/>
      </c>
    </row>
    <row r="14258" spans="26:26" x14ac:dyDescent="0.2">
      <c r="Z14258" t="str">
        <f t="shared" si="222"/>
        <v/>
      </c>
    </row>
    <row r="14259" spans="26:26" x14ac:dyDescent="0.2">
      <c r="Z14259" t="str">
        <f t="shared" si="222"/>
        <v/>
      </c>
    </row>
    <row r="14260" spans="26:26" x14ac:dyDescent="0.2">
      <c r="Z14260" t="str">
        <f t="shared" si="222"/>
        <v/>
      </c>
    </row>
    <row r="14261" spans="26:26" x14ac:dyDescent="0.2">
      <c r="Z14261" t="str">
        <f t="shared" si="222"/>
        <v/>
      </c>
    </row>
    <row r="14262" spans="26:26" x14ac:dyDescent="0.2">
      <c r="Z14262" t="str">
        <f t="shared" si="222"/>
        <v/>
      </c>
    </row>
    <row r="14263" spans="26:26" x14ac:dyDescent="0.2">
      <c r="Z14263" t="str">
        <f t="shared" si="222"/>
        <v/>
      </c>
    </row>
    <row r="14264" spans="26:26" x14ac:dyDescent="0.2">
      <c r="Z14264" t="str">
        <f t="shared" si="222"/>
        <v/>
      </c>
    </row>
    <row r="14265" spans="26:26" x14ac:dyDescent="0.2">
      <c r="Z14265" t="str">
        <f t="shared" si="222"/>
        <v/>
      </c>
    </row>
    <row r="14266" spans="26:26" x14ac:dyDescent="0.2">
      <c r="Z14266" t="str">
        <f t="shared" si="222"/>
        <v/>
      </c>
    </row>
    <row r="14267" spans="26:26" x14ac:dyDescent="0.2">
      <c r="Z14267" t="str">
        <f t="shared" si="222"/>
        <v/>
      </c>
    </row>
    <row r="14268" spans="26:26" x14ac:dyDescent="0.2">
      <c r="Z14268" t="str">
        <f t="shared" si="222"/>
        <v/>
      </c>
    </row>
    <row r="14269" spans="26:26" x14ac:dyDescent="0.2">
      <c r="Z14269" t="str">
        <f t="shared" si="222"/>
        <v/>
      </c>
    </row>
    <row r="14270" spans="26:26" x14ac:dyDescent="0.2">
      <c r="Z14270" t="str">
        <f t="shared" si="222"/>
        <v/>
      </c>
    </row>
    <row r="14271" spans="26:26" x14ac:dyDescent="0.2">
      <c r="Z14271" t="str">
        <f t="shared" si="222"/>
        <v/>
      </c>
    </row>
    <row r="14272" spans="26:26" x14ac:dyDescent="0.2">
      <c r="Z14272" t="str">
        <f t="shared" si="222"/>
        <v/>
      </c>
    </row>
    <row r="14273" spans="26:26" x14ac:dyDescent="0.2">
      <c r="Z14273" t="str">
        <f t="shared" si="222"/>
        <v/>
      </c>
    </row>
    <row r="14274" spans="26:26" x14ac:dyDescent="0.2">
      <c r="Z14274" t="str">
        <f t="shared" si="222"/>
        <v/>
      </c>
    </row>
    <row r="14275" spans="26:26" x14ac:dyDescent="0.2">
      <c r="Z14275" t="str">
        <f t="shared" ref="Z14275:Z14338" si="223">IF(K14275="","",IFERROR(VALUE(TRIM(MID(K14275,FIND(CHAR(167),SUBSTITUTE(K14275,"-",CHAR(167),LEN(K14275)-LEN(SUBSTITUTE(K14275,"-",""))))+1,100))),K14275))</f>
        <v/>
      </c>
    </row>
    <row r="14276" spans="26:26" x14ac:dyDescent="0.2">
      <c r="Z14276" t="str">
        <f t="shared" si="223"/>
        <v/>
      </c>
    </row>
    <row r="14277" spans="26:26" x14ac:dyDescent="0.2">
      <c r="Z14277" t="str">
        <f t="shared" si="223"/>
        <v/>
      </c>
    </row>
    <row r="14278" spans="26:26" x14ac:dyDescent="0.2">
      <c r="Z14278" t="str">
        <f t="shared" si="223"/>
        <v/>
      </c>
    </row>
    <row r="14279" spans="26:26" x14ac:dyDescent="0.2">
      <c r="Z14279" t="str">
        <f t="shared" si="223"/>
        <v/>
      </c>
    </row>
    <row r="14280" spans="26:26" x14ac:dyDescent="0.2">
      <c r="Z14280" t="str">
        <f t="shared" si="223"/>
        <v/>
      </c>
    </row>
    <row r="14281" spans="26:26" x14ac:dyDescent="0.2">
      <c r="Z14281" t="str">
        <f t="shared" si="223"/>
        <v/>
      </c>
    </row>
    <row r="14282" spans="26:26" x14ac:dyDescent="0.2">
      <c r="Z14282" t="str">
        <f t="shared" si="223"/>
        <v/>
      </c>
    </row>
    <row r="14283" spans="26:26" x14ac:dyDescent="0.2">
      <c r="Z14283" t="str">
        <f t="shared" si="223"/>
        <v/>
      </c>
    </row>
    <row r="14284" spans="26:26" x14ac:dyDescent="0.2">
      <c r="Z14284" t="str">
        <f t="shared" si="223"/>
        <v/>
      </c>
    </row>
    <row r="14285" spans="26:26" x14ac:dyDescent="0.2">
      <c r="Z14285" t="str">
        <f t="shared" si="223"/>
        <v/>
      </c>
    </row>
    <row r="14286" spans="26:26" x14ac:dyDescent="0.2">
      <c r="Z14286" t="str">
        <f t="shared" si="223"/>
        <v/>
      </c>
    </row>
    <row r="14287" spans="26:26" x14ac:dyDescent="0.2">
      <c r="Z14287" t="str">
        <f t="shared" si="223"/>
        <v/>
      </c>
    </row>
    <row r="14288" spans="26:26" x14ac:dyDescent="0.2">
      <c r="Z14288" t="str">
        <f t="shared" si="223"/>
        <v/>
      </c>
    </row>
    <row r="14289" spans="26:26" x14ac:dyDescent="0.2">
      <c r="Z14289" t="str">
        <f t="shared" si="223"/>
        <v/>
      </c>
    </row>
    <row r="14290" spans="26:26" x14ac:dyDescent="0.2">
      <c r="Z14290" t="str">
        <f t="shared" si="223"/>
        <v/>
      </c>
    </row>
    <row r="14291" spans="26:26" x14ac:dyDescent="0.2">
      <c r="Z14291" t="str">
        <f t="shared" si="223"/>
        <v/>
      </c>
    </row>
    <row r="14292" spans="26:26" x14ac:dyDescent="0.2">
      <c r="Z14292" t="str">
        <f t="shared" si="223"/>
        <v/>
      </c>
    </row>
    <row r="14293" spans="26:26" x14ac:dyDescent="0.2">
      <c r="Z14293" t="str">
        <f t="shared" si="223"/>
        <v/>
      </c>
    </row>
    <row r="14294" spans="26:26" x14ac:dyDescent="0.2">
      <c r="Z14294" t="str">
        <f t="shared" si="223"/>
        <v/>
      </c>
    </row>
    <row r="14295" spans="26:26" x14ac:dyDescent="0.2">
      <c r="Z14295" t="str">
        <f t="shared" si="223"/>
        <v/>
      </c>
    </row>
    <row r="14296" spans="26:26" x14ac:dyDescent="0.2">
      <c r="Z14296" t="str">
        <f t="shared" si="223"/>
        <v/>
      </c>
    </row>
    <row r="14297" spans="26:26" x14ac:dyDescent="0.2">
      <c r="Z14297" t="str">
        <f t="shared" si="223"/>
        <v/>
      </c>
    </row>
    <row r="14298" spans="26:26" x14ac:dyDescent="0.2">
      <c r="Z14298" t="str">
        <f t="shared" si="223"/>
        <v/>
      </c>
    </row>
    <row r="14299" spans="26:26" x14ac:dyDescent="0.2">
      <c r="Z14299" t="str">
        <f t="shared" si="223"/>
        <v/>
      </c>
    </row>
    <row r="14300" spans="26:26" x14ac:dyDescent="0.2">
      <c r="Z14300" t="str">
        <f t="shared" si="223"/>
        <v/>
      </c>
    </row>
    <row r="14301" spans="26:26" x14ac:dyDescent="0.2">
      <c r="Z14301" t="str">
        <f t="shared" si="223"/>
        <v/>
      </c>
    </row>
    <row r="14302" spans="26:26" x14ac:dyDescent="0.2">
      <c r="Z14302" t="str">
        <f t="shared" si="223"/>
        <v/>
      </c>
    </row>
    <row r="14303" spans="26:26" x14ac:dyDescent="0.2">
      <c r="Z14303" t="str">
        <f t="shared" si="223"/>
        <v/>
      </c>
    </row>
    <row r="14304" spans="26:26" x14ac:dyDescent="0.2">
      <c r="Z14304" t="str">
        <f t="shared" si="223"/>
        <v/>
      </c>
    </row>
    <row r="14305" spans="26:26" x14ac:dyDescent="0.2">
      <c r="Z14305" t="str">
        <f t="shared" si="223"/>
        <v/>
      </c>
    </row>
    <row r="14306" spans="26:26" x14ac:dyDescent="0.2">
      <c r="Z14306" t="str">
        <f t="shared" si="223"/>
        <v/>
      </c>
    </row>
    <row r="14307" spans="26:26" x14ac:dyDescent="0.2">
      <c r="Z14307" t="str">
        <f t="shared" si="223"/>
        <v/>
      </c>
    </row>
    <row r="14308" spans="26:26" x14ac:dyDescent="0.2">
      <c r="Z14308" t="str">
        <f t="shared" si="223"/>
        <v/>
      </c>
    </row>
    <row r="14309" spans="26:26" x14ac:dyDescent="0.2">
      <c r="Z14309" t="str">
        <f t="shared" si="223"/>
        <v/>
      </c>
    </row>
    <row r="14310" spans="26:26" x14ac:dyDescent="0.2">
      <c r="Z14310" t="str">
        <f t="shared" si="223"/>
        <v/>
      </c>
    </row>
    <row r="14311" spans="26:26" x14ac:dyDescent="0.2">
      <c r="Z14311" t="str">
        <f t="shared" si="223"/>
        <v/>
      </c>
    </row>
    <row r="14312" spans="26:26" x14ac:dyDescent="0.2">
      <c r="Z14312" t="str">
        <f t="shared" si="223"/>
        <v/>
      </c>
    </row>
    <row r="14313" spans="26:26" x14ac:dyDescent="0.2">
      <c r="Z14313" t="str">
        <f t="shared" si="223"/>
        <v/>
      </c>
    </row>
    <row r="14314" spans="26:26" x14ac:dyDescent="0.2">
      <c r="Z14314" t="str">
        <f t="shared" si="223"/>
        <v/>
      </c>
    </row>
    <row r="14315" spans="26:26" x14ac:dyDescent="0.2">
      <c r="Z14315" t="str">
        <f t="shared" si="223"/>
        <v/>
      </c>
    </row>
    <row r="14316" spans="26:26" x14ac:dyDescent="0.2">
      <c r="Z14316" t="str">
        <f t="shared" si="223"/>
        <v/>
      </c>
    </row>
    <row r="14317" spans="26:26" x14ac:dyDescent="0.2">
      <c r="Z14317" t="str">
        <f t="shared" si="223"/>
        <v/>
      </c>
    </row>
    <row r="14318" spans="26:26" x14ac:dyDescent="0.2">
      <c r="Z14318" t="str">
        <f t="shared" si="223"/>
        <v/>
      </c>
    </row>
    <row r="14319" spans="26:26" x14ac:dyDescent="0.2">
      <c r="Z14319" t="str">
        <f t="shared" si="223"/>
        <v/>
      </c>
    </row>
    <row r="14320" spans="26:26" x14ac:dyDescent="0.2">
      <c r="Z14320" t="str">
        <f t="shared" si="223"/>
        <v/>
      </c>
    </row>
    <row r="14321" spans="26:26" x14ac:dyDescent="0.2">
      <c r="Z14321" t="str">
        <f t="shared" si="223"/>
        <v/>
      </c>
    </row>
    <row r="14322" spans="26:26" x14ac:dyDescent="0.2">
      <c r="Z14322" t="str">
        <f t="shared" si="223"/>
        <v/>
      </c>
    </row>
    <row r="14323" spans="26:26" x14ac:dyDescent="0.2">
      <c r="Z14323" t="str">
        <f t="shared" si="223"/>
        <v/>
      </c>
    </row>
    <row r="14324" spans="26:26" x14ac:dyDescent="0.2">
      <c r="Z14324" t="str">
        <f t="shared" si="223"/>
        <v/>
      </c>
    </row>
    <row r="14325" spans="26:26" x14ac:dyDescent="0.2">
      <c r="Z14325" t="str">
        <f t="shared" si="223"/>
        <v/>
      </c>
    </row>
    <row r="14326" spans="26:26" x14ac:dyDescent="0.2">
      <c r="Z14326" t="str">
        <f t="shared" si="223"/>
        <v/>
      </c>
    </row>
    <row r="14327" spans="26:26" x14ac:dyDescent="0.2">
      <c r="Z14327" t="str">
        <f t="shared" si="223"/>
        <v/>
      </c>
    </row>
    <row r="14328" spans="26:26" x14ac:dyDescent="0.2">
      <c r="Z14328" t="str">
        <f t="shared" si="223"/>
        <v/>
      </c>
    </row>
    <row r="14329" spans="26:26" x14ac:dyDescent="0.2">
      <c r="Z14329" t="str">
        <f t="shared" si="223"/>
        <v/>
      </c>
    </row>
    <row r="14330" spans="26:26" x14ac:dyDescent="0.2">
      <c r="Z14330" t="str">
        <f t="shared" si="223"/>
        <v/>
      </c>
    </row>
    <row r="14331" spans="26:26" x14ac:dyDescent="0.2">
      <c r="Z14331" t="str">
        <f t="shared" si="223"/>
        <v/>
      </c>
    </row>
    <row r="14332" spans="26:26" x14ac:dyDescent="0.2">
      <c r="Z14332" t="str">
        <f t="shared" si="223"/>
        <v/>
      </c>
    </row>
    <row r="14333" spans="26:26" x14ac:dyDescent="0.2">
      <c r="Z14333" t="str">
        <f t="shared" si="223"/>
        <v/>
      </c>
    </row>
    <row r="14334" spans="26:26" x14ac:dyDescent="0.2">
      <c r="Z14334" t="str">
        <f t="shared" si="223"/>
        <v/>
      </c>
    </row>
    <row r="14335" spans="26:26" x14ac:dyDescent="0.2">
      <c r="Z14335" t="str">
        <f t="shared" si="223"/>
        <v/>
      </c>
    </row>
    <row r="14336" spans="26:26" x14ac:dyDescent="0.2">
      <c r="Z14336" t="str">
        <f t="shared" si="223"/>
        <v/>
      </c>
    </row>
    <row r="14337" spans="26:26" x14ac:dyDescent="0.2">
      <c r="Z14337" t="str">
        <f t="shared" si="223"/>
        <v/>
      </c>
    </row>
    <row r="14338" spans="26:26" x14ac:dyDescent="0.2">
      <c r="Z14338" t="str">
        <f t="shared" si="223"/>
        <v/>
      </c>
    </row>
    <row r="14339" spans="26:26" x14ac:dyDescent="0.2">
      <c r="Z14339" t="str">
        <f t="shared" ref="Z14339:Z14402" si="224">IF(K14339="","",IFERROR(VALUE(TRIM(MID(K14339,FIND(CHAR(167),SUBSTITUTE(K14339,"-",CHAR(167),LEN(K14339)-LEN(SUBSTITUTE(K14339,"-",""))))+1,100))),K14339))</f>
        <v/>
      </c>
    </row>
    <row r="14340" spans="26:26" x14ac:dyDescent="0.2">
      <c r="Z14340" t="str">
        <f t="shared" si="224"/>
        <v/>
      </c>
    </row>
    <row r="14341" spans="26:26" x14ac:dyDescent="0.2">
      <c r="Z14341" t="str">
        <f t="shared" si="224"/>
        <v/>
      </c>
    </row>
    <row r="14342" spans="26:26" x14ac:dyDescent="0.2">
      <c r="Z14342" t="str">
        <f t="shared" si="224"/>
        <v/>
      </c>
    </row>
    <row r="14343" spans="26:26" x14ac:dyDescent="0.2">
      <c r="Z14343" t="str">
        <f t="shared" si="224"/>
        <v/>
      </c>
    </row>
    <row r="14344" spans="26:26" x14ac:dyDescent="0.2">
      <c r="Z14344" t="str">
        <f t="shared" si="224"/>
        <v/>
      </c>
    </row>
    <row r="14345" spans="26:26" x14ac:dyDescent="0.2">
      <c r="Z14345" t="str">
        <f t="shared" si="224"/>
        <v/>
      </c>
    </row>
    <row r="14346" spans="26:26" x14ac:dyDescent="0.2">
      <c r="Z14346" t="str">
        <f t="shared" si="224"/>
        <v/>
      </c>
    </row>
    <row r="14347" spans="26:26" x14ac:dyDescent="0.2">
      <c r="Z14347" t="str">
        <f t="shared" si="224"/>
        <v/>
      </c>
    </row>
    <row r="14348" spans="26:26" x14ac:dyDescent="0.2">
      <c r="Z14348" t="str">
        <f t="shared" si="224"/>
        <v/>
      </c>
    </row>
    <row r="14349" spans="26:26" x14ac:dyDescent="0.2">
      <c r="Z14349" t="str">
        <f t="shared" si="224"/>
        <v/>
      </c>
    </row>
    <row r="14350" spans="26:26" x14ac:dyDescent="0.2">
      <c r="Z14350" t="str">
        <f t="shared" si="224"/>
        <v/>
      </c>
    </row>
    <row r="14351" spans="26:26" x14ac:dyDescent="0.2">
      <c r="Z14351" t="str">
        <f t="shared" si="224"/>
        <v/>
      </c>
    </row>
    <row r="14352" spans="26:26" x14ac:dyDescent="0.2">
      <c r="Z14352" t="str">
        <f t="shared" si="224"/>
        <v/>
      </c>
    </row>
    <row r="14353" spans="26:26" x14ac:dyDescent="0.2">
      <c r="Z14353" t="str">
        <f t="shared" si="224"/>
        <v/>
      </c>
    </row>
    <row r="14354" spans="26:26" x14ac:dyDescent="0.2">
      <c r="Z14354" t="str">
        <f t="shared" si="224"/>
        <v/>
      </c>
    </row>
    <row r="14355" spans="26:26" x14ac:dyDescent="0.2">
      <c r="Z14355" t="str">
        <f t="shared" si="224"/>
        <v/>
      </c>
    </row>
    <row r="14356" spans="26:26" x14ac:dyDescent="0.2">
      <c r="Z14356" t="str">
        <f t="shared" si="224"/>
        <v/>
      </c>
    </row>
    <row r="14357" spans="26:26" x14ac:dyDescent="0.2">
      <c r="Z14357" t="str">
        <f t="shared" si="224"/>
        <v/>
      </c>
    </row>
    <row r="14358" spans="26:26" x14ac:dyDescent="0.2">
      <c r="Z14358" t="str">
        <f t="shared" si="224"/>
        <v/>
      </c>
    </row>
    <row r="14359" spans="26:26" x14ac:dyDescent="0.2">
      <c r="Z14359" t="str">
        <f t="shared" si="224"/>
        <v/>
      </c>
    </row>
    <row r="14360" spans="26:26" x14ac:dyDescent="0.2">
      <c r="Z14360" t="str">
        <f t="shared" si="224"/>
        <v/>
      </c>
    </row>
    <row r="14361" spans="26:26" x14ac:dyDescent="0.2">
      <c r="Z14361" t="str">
        <f t="shared" si="224"/>
        <v/>
      </c>
    </row>
    <row r="14362" spans="26:26" x14ac:dyDescent="0.2">
      <c r="Z14362" t="str">
        <f t="shared" si="224"/>
        <v/>
      </c>
    </row>
    <row r="14363" spans="26:26" x14ac:dyDescent="0.2">
      <c r="Z14363" t="str">
        <f t="shared" si="224"/>
        <v/>
      </c>
    </row>
    <row r="14364" spans="26:26" x14ac:dyDescent="0.2">
      <c r="Z14364" t="str">
        <f t="shared" si="224"/>
        <v/>
      </c>
    </row>
    <row r="14365" spans="26:26" x14ac:dyDescent="0.2">
      <c r="Z14365" t="str">
        <f t="shared" si="224"/>
        <v/>
      </c>
    </row>
    <row r="14366" spans="26:26" x14ac:dyDescent="0.2">
      <c r="Z14366" t="str">
        <f t="shared" si="224"/>
        <v/>
      </c>
    </row>
    <row r="14367" spans="26:26" x14ac:dyDescent="0.2">
      <c r="Z14367" t="str">
        <f t="shared" si="224"/>
        <v/>
      </c>
    </row>
    <row r="14368" spans="26:26" x14ac:dyDescent="0.2">
      <c r="Z14368" t="str">
        <f t="shared" si="224"/>
        <v/>
      </c>
    </row>
    <row r="14369" spans="26:26" x14ac:dyDescent="0.2">
      <c r="Z14369" t="str">
        <f t="shared" si="224"/>
        <v/>
      </c>
    </row>
    <row r="14370" spans="26:26" x14ac:dyDescent="0.2">
      <c r="Z14370" t="str">
        <f t="shared" si="224"/>
        <v/>
      </c>
    </row>
    <row r="14371" spans="26:26" x14ac:dyDescent="0.2">
      <c r="Z14371" t="str">
        <f t="shared" si="224"/>
        <v/>
      </c>
    </row>
    <row r="14372" spans="26:26" x14ac:dyDescent="0.2">
      <c r="Z14372" t="str">
        <f t="shared" si="224"/>
        <v/>
      </c>
    </row>
    <row r="14373" spans="26:26" x14ac:dyDescent="0.2">
      <c r="Z14373" t="str">
        <f t="shared" si="224"/>
        <v/>
      </c>
    </row>
    <row r="14374" spans="26:26" x14ac:dyDescent="0.2">
      <c r="Z14374" t="str">
        <f t="shared" si="224"/>
        <v/>
      </c>
    </row>
    <row r="14375" spans="26:26" x14ac:dyDescent="0.2">
      <c r="Z14375" t="str">
        <f t="shared" si="224"/>
        <v/>
      </c>
    </row>
    <row r="14376" spans="26:26" x14ac:dyDescent="0.2">
      <c r="Z14376" t="str">
        <f t="shared" si="224"/>
        <v/>
      </c>
    </row>
    <row r="14377" spans="26:26" x14ac:dyDescent="0.2">
      <c r="Z14377" t="str">
        <f t="shared" si="224"/>
        <v/>
      </c>
    </row>
    <row r="14378" spans="26:26" x14ac:dyDescent="0.2">
      <c r="Z14378" t="str">
        <f t="shared" si="224"/>
        <v/>
      </c>
    </row>
    <row r="14379" spans="26:26" x14ac:dyDescent="0.2">
      <c r="Z14379" t="str">
        <f t="shared" si="224"/>
        <v/>
      </c>
    </row>
    <row r="14380" spans="26:26" x14ac:dyDescent="0.2">
      <c r="Z14380" t="str">
        <f t="shared" si="224"/>
        <v/>
      </c>
    </row>
    <row r="14381" spans="26:26" x14ac:dyDescent="0.2">
      <c r="Z14381" t="str">
        <f t="shared" si="224"/>
        <v/>
      </c>
    </row>
    <row r="14382" spans="26:26" x14ac:dyDescent="0.2">
      <c r="Z14382" t="str">
        <f t="shared" si="224"/>
        <v/>
      </c>
    </row>
    <row r="14383" spans="26:26" x14ac:dyDescent="0.2">
      <c r="Z14383" t="str">
        <f t="shared" si="224"/>
        <v/>
      </c>
    </row>
    <row r="14384" spans="26:26" x14ac:dyDescent="0.2">
      <c r="Z14384" t="str">
        <f t="shared" si="224"/>
        <v/>
      </c>
    </row>
    <row r="14385" spans="26:26" x14ac:dyDescent="0.2">
      <c r="Z14385" t="str">
        <f t="shared" si="224"/>
        <v/>
      </c>
    </row>
    <row r="14386" spans="26:26" x14ac:dyDescent="0.2">
      <c r="Z14386" t="str">
        <f t="shared" si="224"/>
        <v/>
      </c>
    </row>
    <row r="14387" spans="26:26" x14ac:dyDescent="0.2">
      <c r="Z14387" t="str">
        <f t="shared" si="224"/>
        <v/>
      </c>
    </row>
    <row r="14388" spans="26:26" x14ac:dyDescent="0.2">
      <c r="Z14388" t="str">
        <f t="shared" si="224"/>
        <v/>
      </c>
    </row>
    <row r="14389" spans="26:26" x14ac:dyDescent="0.2">
      <c r="Z14389" t="str">
        <f t="shared" si="224"/>
        <v/>
      </c>
    </row>
    <row r="14390" spans="26:26" x14ac:dyDescent="0.2">
      <c r="Z14390" t="str">
        <f t="shared" si="224"/>
        <v/>
      </c>
    </row>
    <row r="14391" spans="26:26" x14ac:dyDescent="0.2">
      <c r="Z14391" t="str">
        <f t="shared" si="224"/>
        <v/>
      </c>
    </row>
    <row r="14392" spans="26:26" x14ac:dyDescent="0.2">
      <c r="Z14392" t="str">
        <f t="shared" si="224"/>
        <v/>
      </c>
    </row>
    <row r="14393" spans="26:26" x14ac:dyDescent="0.2">
      <c r="Z14393" t="str">
        <f t="shared" si="224"/>
        <v/>
      </c>
    </row>
    <row r="14394" spans="26:26" x14ac:dyDescent="0.2">
      <c r="Z14394" t="str">
        <f t="shared" si="224"/>
        <v/>
      </c>
    </row>
    <row r="14395" spans="26:26" x14ac:dyDescent="0.2">
      <c r="Z14395" t="str">
        <f t="shared" si="224"/>
        <v/>
      </c>
    </row>
    <row r="14396" spans="26:26" x14ac:dyDescent="0.2">
      <c r="Z14396" t="str">
        <f t="shared" si="224"/>
        <v/>
      </c>
    </row>
    <row r="14397" spans="26:26" x14ac:dyDescent="0.2">
      <c r="Z14397" t="str">
        <f t="shared" si="224"/>
        <v/>
      </c>
    </row>
    <row r="14398" spans="26:26" x14ac:dyDescent="0.2">
      <c r="Z14398" t="str">
        <f t="shared" si="224"/>
        <v/>
      </c>
    </row>
    <row r="14399" spans="26:26" x14ac:dyDescent="0.2">
      <c r="Z14399" t="str">
        <f t="shared" si="224"/>
        <v/>
      </c>
    </row>
    <row r="14400" spans="26:26" x14ac:dyDescent="0.2">
      <c r="Z14400" t="str">
        <f t="shared" si="224"/>
        <v/>
      </c>
    </row>
    <row r="14401" spans="26:26" x14ac:dyDescent="0.2">
      <c r="Z14401" t="str">
        <f t="shared" si="224"/>
        <v/>
      </c>
    </row>
    <row r="14402" spans="26:26" x14ac:dyDescent="0.2">
      <c r="Z14402" t="str">
        <f t="shared" si="224"/>
        <v/>
      </c>
    </row>
    <row r="14403" spans="26:26" x14ac:dyDescent="0.2">
      <c r="Z14403" t="str">
        <f t="shared" ref="Z14403:Z14466" si="225">IF(K14403="","",IFERROR(VALUE(TRIM(MID(K14403,FIND(CHAR(167),SUBSTITUTE(K14403,"-",CHAR(167),LEN(K14403)-LEN(SUBSTITUTE(K14403,"-",""))))+1,100))),K14403))</f>
        <v/>
      </c>
    </row>
    <row r="14404" spans="26:26" x14ac:dyDescent="0.2">
      <c r="Z14404" t="str">
        <f t="shared" si="225"/>
        <v/>
      </c>
    </row>
    <row r="14405" spans="26:26" x14ac:dyDescent="0.2">
      <c r="Z14405" t="str">
        <f t="shared" si="225"/>
        <v/>
      </c>
    </row>
    <row r="14406" spans="26:26" x14ac:dyDescent="0.2">
      <c r="Z14406" t="str">
        <f t="shared" si="225"/>
        <v/>
      </c>
    </row>
    <row r="14407" spans="26:26" x14ac:dyDescent="0.2">
      <c r="Z14407" t="str">
        <f t="shared" si="225"/>
        <v/>
      </c>
    </row>
    <row r="14408" spans="26:26" x14ac:dyDescent="0.2">
      <c r="Z14408" t="str">
        <f t="shared" si="225"/>
        <v/>
      </c>
    </row>
    <row r="14409" spans="26:26" x14ac:dyDescent="0.2">
      <c r="Z14409" t="str">
        <f t="shared" si="225"/>
        <v/>
      </c>
    </row>
    <row r="14410" spans="26:26" x14ac:dyDescent="0.2">
      <c r="Z14410" t="str">
        <f t="shared" si="225"/>
        <v/>
      </c>
    </row>
    <row r="14411" spans="26:26" x14ac:dyDescent="0.2">
      <c r="Z14411" t="str">
        <f t="shared" si="225"/>
        <v/>
      </c>
    </row>
    <row r="14412" spans="26:26" x14ac:dyDescent="0.2">
      <c r="Z14412" t="str">
        <f t="shared" si="225"/>
        <v/>
      </c>
    </row>
    <row r="14413" spans="26:26" x14ac:dyDescent="0.2">
      <c r="Z14413" t="str">
        <f t="shared" si="225"/>
        <v/>
      </c>
    </row>
    <row r="14414" spans="26:26" x14ac:dyDescent="0.2">
      <c r="Z14414" t="str">
        <f t="shared" si="225"/>
        <v/>
      </c>
    </row>
    <row r="14415" spans="26:26" x14ac:dyDescent="0.2">
      <c r="Z14415" t="str">
        <f t="shared" si="225"/>
        <v/>
      </c>
    </row>
    <row r="14416" spans="26:26" x14ac:dyDescent="0.2">
      <c r="Z14416" t="str">
        <f t="shared" si="225"/>
        <v/>
      </c>
    </row>
    <row r="14417" spans="26:26" x14ac:dyDescent="0.2">
      <c r="Z14417" t="str">
        <f t="shared" si="225"/>
        <v/>
      </c>
    </row>
    <row r="14418" spans="26:26" x14ac:dyDescent="0.2">
      <c r="Z14418" t="str">
        <f t="shared" si="225"/>
        <v/>
      </c>
    </row>
    <row r="14419" spans="26:26" x14ac:dyDescent="0.2">
      <c r="Z14419" t="str">
        <f t="shared" si="225"/>
        <v/>
      </c>
    </row>
    <row r="14420" spans="26:26" x14ac:dyDescent="0.2">
      <c r="Z14420" t="str">
        <f t="shared" si="225"/>
        <v/>
      </c>
    </row>
    <row r="14421" spans="26:26" x14ac:dyDescent="0.2">
      <c r="Z14421" t="str">
        <f t="shared" si="225"/>
        <v/>
      </c>
    </row>
    <row r="14422" spans="26:26" x14ac:dyDescent="0.2">
      <c r="Z14422" t="str">
        <f t="shared" si="225"/>
        <v/>
      </c>
    </row>
    <row r="14423" spans="26:26" x14ac:dyDescent="0.2">
      <c r="Z14423" t="str">
        <f t="shared" si="225"/>
        <v/>
      </c>
    </row>
    <row r="14424" spans="26:26" x14ac:dyDescent="0.2">
      <c r="Z14424" t="str">
        <f t="shared" si="225"/>
        <v/>
      </c>
    </row>
    <row r="14425" spans="26:26" x14ac:dyDescent="0.2">
      <c r="Z14425" t="str">
        <f t="shared" si="225"/>
        <v/>
      </c>
    </row>
    <row r="14426" spans="26:26" x14ac:dyDescent="0.2">
      <c r="Z14426" t="str">
        <f t="shared" si="225"/>
        <v/>
      </c>
    </row>
    <row r="14427" spans="26:26" x14ac:dyDescent="0.2">
      <c r="Z14427" t="str">
        <f t="shared" si="225"/>
        <v/>
      </c>
    </row>
    <row r="14428" spans="26:26" x14ac:dyDescent="0.2">
      <c r="Z14428" t="str">
        <f t="shared" si="225"/>
        <v/>
      </c>
    </row>
    <row r="14429" spans="26:26" x14ac:dyDescent="0.2">
      <c r="Z14429" t="str">
        <f t="shared" si="225"/>
        <v/>
      </c>
    </row>
    <row r="14430" spans="26:26" x14ac:dyDescent="0.2">
      <c r="Z14430" t="str">
        <f t="shared" si="225"/>
        <v/>
      </c>
    </row>
    <row r="14431" spans="26:26" x14ac:dyDescent="0.2">
      <c r="Z14431" t="str">
        <f t="shared" si="225"/>
        <v/>
      </c>
    </row>
    <row r="14432" spans="26:26" x14ac:dyDescent="0.2">
      <c r="Z14432" t="str">
        <f t="shared" si="225"/>
        <v/>
      </c>
    </row>
    <row r="14433" spans="26:26" x14ac:dyDescent="0.2">
      <c r="Z14433" t="str">
        <f t="shared" si="225"/>
        <v/>
      </c>
    </row>
    <row r="14434" spans="26:26" x14ac:dyDescent="0.2">
      <c r="Z14434" t="str">
        <f t="shared" si="225"/>
        <v/>
      </c>
    </row>
    <row r="14435" spans="26:26" x14ac:dyDescent="0.2">
      <c r="Z14435" t="str">
        <f t="shared" si="225"/>
        <v/>
      </c>
    </row>
    <row r="14436" spans="26:26" x14ac:dyDescent="0.2">
      <c r="Z14436" t="str">
        <f t="shared" si="225"/>
        <v/>
      </c>
    </row>
    <row r="14437" spans="26:26" x14ac:dyDescent="0.2">
      <c r="Z14437" t="str">
        <f t="shared" si="225"/>
        <v/>
      </c>
    </row>
    <row r="14438" spans="26:26" x14ac:dyDescent="0.2">
      <c r="Z14438" t="str">
        <f t="shared" si="225"/>
        <v/>
      </c>
    </row>
    <row r="14439" spans="26:26" x14ac:dyDescent="0.2">
      <c r="Z14439" t="str">
        <f t="shared" si="225"/>
        <v/>
      </c>
    </row>
    <row r="14440" spans="26:26" x14ac:dyDescent="0.2">
      <c r="Z14440" t="str">
        <f t="shared" si="225"/>
        <v/>
      </c>
    </row>
    <row r="14441" spans="26:26" x14ac:dyDescent="0.2">
      <c r="Z14441" t="str">
        <f t="shared" si="225"/>
        <v/>
      </c>
    </row>
    <row r="14442" spans="26:26" x14ac:dyDescent="0.2">
      <c r="Z14442" t="str">
        <f t="shared" si="225"/>
        <v/>
      </c>
    </row>
    <row r="14443" spans="26:26" x14ac:dyDescent="0.2">
      <c r="Z14443" t="str">
        <f t="shared" si="225"/>
        <v/>
      </c>
    </row>
    <row r="14444" spans="26:26" x14ac:dyDescent="0.2">
      <c r="Z14444" t="str">
        <f t="shared" si="225"/>
        <v/>
      </c>
    </row>
    <row r="14445" spans="26:26" x14ac:dyDescent="0.2">
      <c r="Z14445" t="str">
        <f t="shared" si="225"/>
        <v/>
      </c>
    </row>
    <row r="14446" spans="26:26" x14ac:dyDescent="0.2">
      <c r="Z14446" t="str">
        <f t="shared" si="225"/>
        <v/>
      </c>
    </row>
    <row r="14447" spans="26:26" x14ac:dyDescent="0.2">
      <c r="Z14447" t="str">
        <f t="shared" si="225"/>
        <v/>
      </c>
    </row>
    <row r="14448" spans="26:26" x14ac:dyDescent="0.2">
      <c r="Z14448" t="str">
        <f t="shared" si="225"/>
        <v/>
      </c>
    </row>
    <row r="14449" spans="26:26" x14ac:dyDescent="0.2">
      <c r="Z14449" t="str">
        <f t="shared" si="225"/>
        <v/>
      </c>
    </row>
    <row r="14450" spans="26:26" x14ac:dyDescent="0.2">
      <c r="Z14450" t="str">
        <f t="shared" si="225"/>
        <v/>
      </c>
    </row>
    <row r="14451" spans="26:26" x14ac:dyDescent="0.2">
      <c r="Z14451" t="str">
        <f t="shared" si="225"/>
        <v/>
      </c>
    </row>
    <row r="14452" spans="26:26" x14ac:dyDescent="0.2">
      <c r="Z14452" t="str">
        <f t="shared" si="225"/>
        <v/>
      </c>
    </row>
    <row r="14453" spans="26:26" x14ac:dyDescent="0.2">
      <c r="Z14453" t="str">
        <f t="shared" si="225"/>
        <v/>
      </c>
    </row>
    <row r="14454" spans="26:26" x14ac:dyDescent="0.2">
      <c r="Z14454" t="str">
        <f t="shared" si="225"/>
        <v/>
      </c>
    </row>
    <row r="14455" spans="26:26" x14ac:dyDescent="0.2">
      <c r="Z14455" t="str">
        <f t="shared" si="225"/>
        <v/>
      </c>
    </row>
    <row r="14456" spans="26:26" x14ac:dyDescent="0.2">
      <c r="Z14456" t="str">
        <f t="shared" si="225"/>
        <v/>
      </c>
    </row>
    <row r="14457" spans="26:26" x14ac:dyDescent="0.2">
      <c r="Z14457" t="str">
        <f t="shared" si="225"/>
        <v/>
      </c>
    </row>
    <row r="14458" spans="26:26" x14ac:dyDescent="0.2">
      <c r="Z14458" t="str">
        <f t="shared" si="225"/>
        <v/>
      </c>
    </row>
    <row r="14459" spans="26:26" x14ac:dyDescent="0.2">
      <c r="Z14459" t="str">
        <f t="shared" si="225"/>
        <v/>
      </c>
    </row>
    <row r="14460" spans="26:26" x14ac:dyDescent="0.2">
      <c r="Z14460" t="str">
        <f t="shared" si="225"/>
        <v/>
      </c>
    </row>
    <row r="14461" spans="26:26" x14ac:dyDescent="0.2">
      <c r="Z14461" t="str">
        <f t="shared" si="225"/>
        <v/>
      </c>
    </row>
    <row r="14462" spans="26:26" x14ac:dyDescent="0.2">
      <c r="Z14462" t="str">
        <f t="shared" si="225"/>
        <v/>
      </c>
    </row>
    <row r="14463" spans="26:26" x14ac:dyDescent="0.2">
      <c r="Z14463" t="str">
        <f t="shared" si="225"/>
        <v/>
      </c>
    </row>
    <row r="14464" spans="26:26" x14ac:dyDescent="0.2">
      <c r="Z14464" t="str">
        <f t="shared" si="225"/>
        <v/>
      </c>
    </row>
    <row r="14465" spans="26:26" x14ac:dyDescent="0.2">
      <c r="Z14465" t="str">
        <f t="shared" si="225"/>
        <v/>
      </c>
    </row>
    <row r="14466" spans="26:26" x14ac:dyDescent="0.2">
      <c r="Z14466" t="str">
        <f t="shared" si="225"/>
        <v/>
      </c>
    </row>
    <row r="14467" spans="26:26" x14ac:dyDescent="0.2">
      <c r="Z14467" t="str">
        <f t="shared" ref="Z14467:Z14530" si="226">IF(K14467="","",IFERROR(VALUE(TRIM(MID(K14467,FIND(CHAR(167),SUBSTITUTE(K14467,"-",CHAR(167),LEN(K14467)-LEN(SUBSTITUTE(K14467,"-",""))))+1,100))),K14467))</f>
        <v/>
      </c>
    </row>
    <row r="14468" spans="26:26" x14ac:dyDescent="0.2">
      <c r="Z14468" t="str">
        <f t="shared" si="226"/>
        <v/>
      </c>
    </row>
    <row r="14469" spans="26:26" x14ac:dyDescent="0.2">
      <c r="Z14469" t="str">
        <f t="shared" si="226"/>
        <v/>
      </c>
    </row>
    <row r="14470" spans="26:26" x14ac:dyDescent="0.2">
      <c r="Z14470" t="str">
        <f t="shared" si="226"/>
        <v/>
      </c>
    </row>
    <row r="14471" spans="26:26" x14ac:dyDescent="0.2">
      <c r="Z14471" t="str">
        <f t="shared" si="226"/>
        <v/>
      </c>
    </row>
    <row r="14472" spans="26:26" x14ac:dyDescent="0.2">
      <c r="Z14472" t="str">
        <f t="shared" si="226"/>
        <v/>
      </c>
    </row>
    <row r="14473" spans="26:26" x14ac:dyDescent="0.2">
      <c r="Z14473" t="str">
        <f t="shared" si="226"/>
        <v/>
      </c>
    </row>
    <row r="14474" spans="26:26" x14ac:dyDescent="0.2">
      <c r="Z14474" t="str">
        <f t="shared" si="226"/>
        <v/>
      </c>
    </row>
    <row r="14475" spans="26:26" x14ac:dyDescent="0.2">
      <c r="Z14475" t="str">
        <f t="shared" si="226"/>
        <v/>
      </c>
    </row>
    <row r="14476" spans="26:26" x14ac:dyDescent="0.2">
      <c r="Z14476" t="str">
        <f t="shared" si="226"/>
        <v/>
      </c>
    </row>
    <row r="14477" spans="26:26" x14ac:dyDescent="0.2">
      <c r="Z14477" t="str">
        <f t="shared" si="226"/>
        <v/>
      </c>
    </row>
    <row r="14478" spans="26:26" x14ac:dyDescent="0.2">
      <c r="Z14478" t="str">
        <f t="shared" si="226"/>
        <v/>
      </c>
    </row>
    <row r="14479" spans="26:26" x14ac:dyDescent="0.2">
      <c r="Z14479" t="str">
        <f t="shared" si="226"/>
        <v/>
      </c>
    </row>
    <row r="14480" spans="26:26" x14ac:dyDescent="0.2">
      <c r="Z14480" t="str">
        <f t="shared" si="226"/>
        <v/>
      </c>
    </row>
    <row r="14481" spans="26:26" x14ac:dyDescent="0.2">
      <c r="Z14481" t="str">
        <f t="shared" si="226"/>
        <v/>
      </c>
    </row>
    <row r="14482" spans="26:26" x14ac:dyDescent="0.2">
      <c r="Z14482" t="str">
        <f t="shared" si="226"/>
        <v/>
      </c>
    </row>
    <row r="14483" spans="26:26" x14ac:dyDescent="0.2">
      <c r="Z14483" t="str">
        <f t="shared" si="226"/>
        <v/>
      </c>
    </row>
    <row r="14484" spans="26:26" x14ac:dyDescent="0.2">
      <c r="Z14484" t="str">
        <f t="shared" si="226"/>
        <v/>
      </c>
    </row>
    <row r="14485" spans="26:26" x14ac:dyDescent="0.2">
      <c r="Z14485" t="str">
        <f t="shared" si="226"/>
        <v/>
      </c>
    </row>
    <row r="14486" spans="26:26" x14ac:dyDescent="0.2">
      <c r="Z14486" t="str">
        <f t="shared" si="226"/>
        <v/>
      </c>
    </row>
    <row r="14487" spans="26:26" x14ac:dyDescent="0.2">
      <c r="Z14487" t="str">
        <f t="shared" si="226"/>
        <v/>
      </c>
    </row>
    <row r="14488" spans="26:26" x14ac:dyDescent="0.2">
      <c r="Z14488" t="str">
        <f t="shared" si="226"/>
        <v/>
      </c>
    </row>
    <row r="14489" spans="26:26" x14ac:dyDescent="0.2">
      <c r="Z14489" t="str">
        <f t="shared" si="226"/>
        <v/>
      </c>
    </row>
    <row r="14490" spans="26:26" x14ac:dyDescent="0.2">
      <c r="Z14490" t="str">
        <f t="shared" si="226"/>
        <v/>
      </c>
    </row>
    <row r="14491" spans="26:26" x14ac:dyDescent="0.2">
      <c r="Z14491" t="str">
        <f t="shared" si="226"/>
        <v/>
      </c>
    </row>
    <row r="14492" spans="26:26" x14ac:dyDescent="0.2">
      <c r="Z14492" t="str">
        <f t="shared" si="226"/>
        <v/>
      </c>
    </row>
    <row r="14493" spans="26:26" x14ac:dyDescent="0.2">
      <c r="Z14493" t="str">
        <f t="shared" si="226"/>
        <v/>
      </c>
    </row>
    <row r="14494" spans="26:26" x14ac:dyDescent="0.2">
      <c r="Z14494" t="str">
        <f t="shared" si="226"/>
        <v/>
      </c>
    </row>
    <row r="14495" spans="26:26" x14ac:dyDescent="0.2">
      <c r="Z14495" t="str">
        <f t="shared" si="226"/>
        <v/>
      </c>
    </row>
    <row r="14496" spans="26:26" x14ac:dyDescent="0.2">
      <c r="Z14496" t="str">
        <f t="shared" si="226"/>
        <v/>
      </c>
    </row>
    <row r="14497" spans="26:26" x14ac:dyDescent="0.2">
      <c r="Z14497" t="str">
        <f t="shared" si="226"/>
        <v/>
      </c>
    </row>
    <row r="14498" spans="26:26" x14ac:dyDescent="0.2">
      <c r="Z14498" t="str">
        <f t="shared" si="226"/>
        <v/>
      </c>
    </row>
    <row r="14499" spans="26:26" x14ac:dyDescent="0.2">
      <c r="Z14499" t="str">
        <f t="shared" si="226"/>
        <v/>
      </c>
    </row>
    <row r="14500" spans="26:26" x14ac:dyDescent="0.2">
      <c r="Z14500" t="str">
        <f t="shared" si="226"/>
        <v/>
      </c>
    </row>
    <row r="14501" spans="26:26" x14ac:dyDescent="0.2">
      <c r="Z14501" t="str">
        <f t="shared" si="226"/>
        <v/>
      </c>
    </row>
    <row r="14502" spans="26:26" x14ac:dyDescent="0.2">
      <c r="Z14502" t="str">
        <f t="shared" si="226"/>
        <v/>
      </c>
    </row>
    <row r="14503" spans="26:26" x14ac:dyDescent="0.2">
      <c r="Z14503" t="str">
        <f t="shared" si="226"/>
        <v/>
      </c>
    </row>
    <row r="14504" spans="26:26" x14ac:dyDescent="0.2">
      <c r="Z14504" t="str">
        <f t="shared" si="226"/>
        <v/>
      </c>
    </row>
    <row r="14505" spans="26:26" x14ac:dyDescent="0.2">
      <c r="Z14505" t="str">
        <f t="shared" si="226"/>
        <v/>
      </c>
    </row>
    <row r="14506" spans="26:26" x14ac:dyDescent="0.2">
      <c r="Z14506" t="str">
        <f t="shared" si="226"/>
        <v/>
      </c>
    </row>
    <row r="14507" spans="26:26" x14ac:dyDescent="0.2">
      <c r="Z14507" t="str">
        <f t="shared" si="226"/>
        <v/>
      </c>
    </row>
    <row r="14508" spans="26:26" x14ac:dyDescent="0.2">
      <c r="Z14508" t="str">
        <f t="shared" si="226"/>
        <v/>
      </c>
    </row>
    <row r="14509" spans="26:26" x14ac:dyDescent="0.2">
      <c r="Z14509" t="str">
        <f t="shared" si="226"/>
        <v/>
      </c>
    </row>
    <row r="14510" spans="26:26" x14ac:dyDescent="0.2">
      <c r="Z14510" t="str">
        <f t="shared" si="226"/>
        <v/>
      </c>
    </row>
    <row r="14511" spans="26:26" x14ac:dyDescent="0.2">
      <c r="Z14511" t="str">
        <f t="shared" si="226"/>
        <v/>
      </c>
    </row>
    <row r="14512" spans="26:26" x14ac:dyDescent="0.2">
      <c r="Z14512" t="str">
        <f t="shared" si="226"/>
        <v/>
      </c>
    </row>
    <row r="14513" spans="26:26" x14ac:dyDescent="0.2">
      <c r="Z14513" t="str">
        <f t="shared" si="226"/>
        <v/>
      </c>
    </row>
    <row r="14514" spans="26:26" x14ac:dyDescent="0.2">
      <c r="Z14514" t="str">
        <f t="shared" si="226"/>
        <v/>
      </c>
    </row>
    <row r="14515" spans="26:26" x14ac:dyDescent="0.2">
      <c r="Z14515" t="str">
        <f t="shared" si="226"/>
        <v/>
      </c>
    </row>
    <row r="14516" spans="26:26" x14ac:dyDescent="0.2">
      <c r="Z14516" t="str">
        <f t="shared" si="226"/>
        <v/>
      </c>
    </row>
    <row r="14517" spans="26:26" x14ac:dyDescent="0.2">
      <c r="Z14517" t="str">
        <f t="shared" si="226"/>
        <v/>
      </c>
    </row>
    <row r="14518" spans="26:26" x14ac:dyDescent="0.2">
      <c r="Z14518" t="str">
        <f t="shared" si="226"/>
        <v/>
      </c>
    </row>
    <row r="14519" spans="26:26" x14ac:dyDescent="0.2">
      <c r="Z14519" t="str">
        <f t="shared" si="226"/>
        <v/>
      </c>
    </row>
    <row r="14520" spans="26:26" x14ac:dyDescent="0.2">
      <c r="Z14520" t="str">
        <f t="shared" si="226"/>
        <v/>
      </c>
    </row>
    <row r="14521" spans="26:26" x14ac:dyDescent="0.2">
      <c r="Z14521" t="str">
        <f t="shared" si="226"/>
        <v/>
      </c>
    </row>
    <row r="14522" spans="26:26" x14ac:dyDescent="0.2">
      <c r="Z14522" t="str">
        <f t="shared" si="226"/>
        <v/>
      </c>
    </row>
    <row r="14523" spans="26:26" x14ac:dyDescent="0.2">
      <c r="Z14523" t="str">
        <f t="shared" si="226"/>
        <v/>
      </c>
    </row>
    <row r="14524" spans="26:26" x14ac:dyDescent="0.2">
      <c r="Z14524" t="str">
        <f t="shared" si="226"/>
        <v/>
      </c>
    </row>
    <row r="14525" spans="26:26" x14ac:dyDescent="0.2">
      <c r="Z14525" t="str">
        <f t="shared" si="226"/>
        <v/>
      </c>
    </row>
    <row r="14526" spans="26:26" x14ac:dyDescent="0.2">
      <c r="Z14526" t="str">
        <f t="shared" si="226"/>
        <v/>
      </c>
    </row>
    <row r="14527" spans="26:26" x14ac:dyDescent="0.2">
      <c r="Z14527" t="str">
        <f t="shared" si="226"/>
        <v/>
      </c>
    </row>
    <row r="14528" spans="26:26" x14ac:dyDescent="0.2">
      <c r="Z14528" t="str">
        <f t="shared" si="226"/>
        <v/>
      </c>
    </row>
    <row r="14529" spans="26:26" x14ac:dyDescent="0.2">
      <c r="Z14529" t="str">
        <f t="shared" si="226"/>
        <v/>
      </c>
    </row>
    <row r="14530" spans="26:26" x14ac:dyDescent="0.2">
      <c r="Z14530" t="str">
        <f t="shared" si="226"/>
        <v/>
      </c>
    </row>
    <row r="14531" spans="26:26" x14ac:dyDescent="0.2">
      <c r="Z14531" t="str">
        <f t="shared" ref="Z14531:Z14594" si="227">IF(K14531="","",IFERROR(VALUE(TRIM(MID(K14531,FIND(CHAR(167),SUBSTITUTE(K14531,"-",CHAR(167),LEN(K14531)-LEN(SUBSTITUTE(K14531,"-",""))))+1,100))),K14531))</f>
        <v/>
      </c>
    </row>
    <row r="14532" spans="26:26" x14ac:dyDescent="0.2">
      <c r="Z14532" t="str">
        <f t="shared" si="227"/>
        <v/>
      </c>
    </row>
    <row r="14533" spans="26:26" x14ac:dyDescent="0.2">
      <c r="Z14533" t="str">
        <f t="shared" si="227"/>
        <v/>
      </c>
    </row>
    <row r="14534" spans="26:26" x14ac:dyDescent="0.2">
      <c r="Z14534" t="str">
        <f t="shared" si="227"/>
        <v/>
      </c>
    </row>
    <row r="14535" spans="26:26" x14ac:dyDescent="0.2">
      <c r="Z14535" t="str">
        <f t="shared" si="227"/>
        <v/>
      </c>
    </row>
    <row r="14536" spans="26:26" x14ac:dyDescent="0.2">
      <c r="Z14536" t="str">
        <f t="shared" si="227"/>
        <v/>
      </c>
    </row>
    <row r="14537" spans="26:26" x14ac:dyDescent="0.2">
      <c r="Z14537" t="str">
        <f t="shared" si="227"/>
        <v/>
      </c>
    </row>
    <row r="14538" spans="26:26" x14ac:dyDescent="0.2">
      <c r="Z14538" t="str">
        <f t="shared" si="227"/>
        <v/>
      </c>
    </row>
    <row r="14539" spans="26:26" x14ac:dyDescent="0.2">
      <c r="Z14539" t="str">
        <f t="shared" si="227"/>
        <v/>
      </c>
    </row>
    <row r="14540" spans="26:26" x14ac:dyDescent="0.2">
      <c r="Z14540" t="str">
        <f t="shared" si="227"/>
        <v/>
      </c>
    </row>
    <row r="14541" spans="26:26" x14ac:dyDescent="0.2">
      <c r="Z14541" t="str">
        <f t="shared" si="227"/>
        <v/>
      </c>
    </row>
    <row r="14542" spans="26:26" x14ac:dyDescent="0.2">
      <c r="Z14542" t="str">
        <f t="shared" si="227"/>
        <v/>
      </c>
    </row>
    <row r="14543" spans="26:26" x14ac:dyDescent="0.2">
      <c r="Z14543" t="str">
        <f t="shared" si="227"/>
        <v/>
      </c>
    </row>
    <row r="14544" spans="26:26" x14ac:dyDescent="0.2">
      <c r="Z14544" t="str">
        <f t="shared" si="227"/>
        <v/>
      </c>
    </row>
    <row r="14545" spans="26:26" x14ac:dyDescent="0.2">
      <c r="Z14545" t="str">
        <f t="shared" si="227"/>
        <v/>
      </c>
    </row>
    <row r="14546" spans="26:26" x14ac:dyDescent="0.2">
      <c r="Z14546" t="str">
        <f t="shared" si="227"/>
        <v/>
      </c>
    </row>
    <row r="14547" spans="26:26" x14ac:dyDescent="0.2">
      <c r="Z14547" t="str">
        <f t="shared" si="227"/>
        <v/>
      </c>
    </row>
    <row r="14548" spans="26:26" x14ac:dyDescent="0.2">
      <c r="Z14548" t="str">
        <f t="shared" si="227"/>
        <v/>
      </c>
    </row>
    <row r="14549" spans="26:26" x14ac:dyDescent="0.2">
      <c r="Z14549" t="str">
        <f t="shared" si="227"/>
        <v/>
      </c>
    </row>
    <row r="14550" spans="26:26" x14ac:dyDescent="0.2">
      <c r="Z14550" t="str">
        <f t="shared" si="227"/>
        <v/>
      </c>
    </row>
    <row r="14551" spans="26:26" x14ac:dyDescent="0.2">
      <c r="Z14551" t="str">
        <f t="shared" si="227"/>
        <v/>
      </c>
    </row>
    <row r="14552" spans="26:26" x14ac:dyDescent="0.2">
      <c r="Z14552" t="str">
        <f t="shared" si="227"/>
        <v/>
      </c>
    </row>
    <row r="14553" spans="26:26" x14ac:dyDescent="0.2">
      <c r="Z14553" t="str">
        <f t="shared" si="227"/>
        <v/>
      </c>
    </row>
    <row r="14554" spans="26:26" x14ac:dyDescent="0.2">
      <c r="Z14554" t="str">
        <f t="shared" si="227"/>
        <v/>
      </c>
    </row>
    <row r="14555" spans="26:26" x14ac:dyDescent="0.2">
      <c r="Z14555" t="str">
        <f t="shared" si="227"/>
        <v/>
      </c>
    </row>
    <row r="14556" spans="26:26" x14ac:dyDescent="0.2">
      <c r="Z14556" t="str">
        <f t="shared" si="227"/>
        <v/>
      </c>
    </row>
    <row r="14557" spans="26:26" x14ac:dyDescent="0.2">
      <c r="Z14557" t="str">
        <f t="shared" si="227"/>
        <v/>
      </c>
    </row>
    <row r="14558" spans="26:26" x14ac:dyDescent="0.2">
      <c r="Z14558" t="str">
        <f t="shared" si="227"/>
        <v/>
      </c>
    </row>
    <row r="14559" spans="26:26" x14ac:dyDescent="0.2">
      <c r="Z14559" t="str">
        <f t="shared" si="227"/>
        <v/>
      </c>
    </row>
    <row r="14560" spans="26:26" x14ac:dyDescent="0.2">
      <c r="Z14560" t="str">
        <f t="shared" si="227"/>
        <v/>
      </c>
    </row>
    <row r="14561" spans="26:26" x14ac:dyDescent="0.2">
      <c r="Z14561" t="str">
        <f t="shared" si="227"/>
        <v/>
      </c>
    </row>
    <row r="14562" spans="26:26" x14ac:dyDescent="0.2">
      <c r="Z14562" t="str">
        <f t="shared" si="227"/>
        <v/>
      </c>
    </row>
    <row r="14563" spans="26:26" x14ac:dyDescent="0.2">
      <c r="Z14563" t="str">
        <f t="shared" si="227"/>
        <v/>
      </c>
    </row>
    <row r="14564" spans="26:26" x14ac:dyDescent="0.2">
      <c r="Z14564" t="str">
        <f t="shared" si="227"/>
        <v/>
      </c>
    </row>
    <row r="14565" spans="26:26" x14ac:dyDescent="0.2">
      <c r="Z14565" t="str">
        <f t="shared" si="227"/>
        <v/>
      </c>
    </row>
    <row r="14566" spans="26:26" x14ac:dyDescent="0.2">
      <c r="Z14566" t="str">
        <f t="shared" si="227"/>
        <v/>
      </c>
    </row>
    <row r="14567" spans="26:26" x14ac:dyDescent="0.2">
      <c r="Z14567" t="str">
        <f t="shared" si="227"/>
        <v/>
      </c>
    </row>
    <row r="14568" spans="26:26" x14ac:dyDescent="0.2">
      <c r="Z14568" t="str">
        <f t="shared" si="227"/>
        <v/>
      </c>
    </row>
    <row r="14569" spans="26:26" x14ac:dyDescent="0.2">
      <c r="Z14569" t="str">
        <f t="shared" si="227"/>
        <v/>
      </c>
    </row>
    <row r="14570" spans="26:26" x14ac:dyDescent="0.2">
      <c r="Z14570" t="str">
        <f t="shared" si="227"/>
        <v/>
      </c>
    </row>
    <row r="14571" spans="26:26" x14ac:dyDescent="0.2">
      <c r="Z14571" t="str">
        <f t="shared" si="227"/>
        <v/>
      </c>
    </row>
    <row r="14572" spans="26:26" x14ac:dyDescent="0.2">
      <c r="Z14572" t="str">
        <f t="shared" si="227"/>
        <v/>
      </c>
    </row>
    <row r="14573" spans="26:26" x14ac:dyDescent="0.2">
      <c r="Z14573" t="str">
        <f t="shared" si="227"/>
        <v/>
      </c>
    </row>
    <row r="14574" spans="26:26" x14ac:dyDescent="0.2">
      <c r="Z14574" t="str">
        <f t="shared" si="227"/>
        <v/>
      </c>
    </row>
    <row r="14575" spans="26:26" x14ac:dyDescent="0.2">
      <c r="Z14575" t="str">
        <f t="shared" si="227"/>
        <v/>
      </c>
    </row>
    <row r="14576" spans="26:26" x14ac:dyDescent="0.2">
      <c r="Z14576" t="str">
        <f t="shared" si="227"/>
        <v/>
      </c>
    </row>
    <row r="14577" spans="26:26" x14ac:dyDescent="0.2">
      <c r="Z14577" t="str">
        <f t="shared" si="227"/>
        <v/>
      </c>
    </row>
    <row r="14578" spans="26:26" x14ac:dyDescent="0.2">
      <c r="Z14578" t="str">
        <f t="shared" si="227"/>
        <v/>
      </c>
    </row>
    <row r="14579" spans="26:26" x14ac:dyDescent="0.2">
      <c r="Z14579" t="str">
        <f t="shared" si="227"/>
        <v/>
      </c>
    </row>
    <row r="14580" spans="26:26" x14ac:dyDescent="0.2">
      <c r="Z14580" t="str">
        <f t="shared" si="227"/>
        <v/>
      </c>
    </row>
    <row r="14581" spans="26:26" x14ac:dyDescent="0.2">
      <c r="Z14581" t="str">
        <f t="shared" si="227"/>
        <v/>
      </c>
    </row>
    <row r="14582" spans="26:26" x14ac:dyDescent="0.2">
      <c r="Z14582" t="str">
        <f t="shared" si="227"/>
        <v/>
      </c>
    </row>
    <row r="14583" spans="26:26" x14ac:dyDescent="0.2">
      <c r="Z14583" t="str">
        <f t="shared" si="227"/>
        <v/>
      </c>
    </row>
    <row r="14584" spans="26:26" x14ac:dyDescent="0.2">
      <c r="Z14584" t="str">
        <f t="shared" si="227"/>
        <v/>
      </c>
    </row>
    <row r="14585" spans="26:26" x14ac:dyDescent="0.2">
      <c r="Z14585" t="str">
        <f t="shared" si="227"/>
        <v/>
      </c>
    </row>
    <row r="14586" spans="26:26" x14ac:dyDescent="0.2">
      <c r="Z14586" t="str">
        <f t="shared" si="227"/>
        <v/>
      </c>
    </row>
    <row r="14587" spans="26:26" x14ac:dyDescent="0.2">
      <c r="Z14587" t="str">
        <f t="shared" si="227"/>
        <v/>
      </c>
    </row>
    <row r="14588" spans="26:26" x14ac:dyDescent="0.2">
      <c r="Z14588" t="str">
        <f t="shared" si="227"/>
        <v/>
      </c>
    </row>
    <row r="14589" spans="26:26" x14ac:dyDescent="0.2">
      <c r="Z14589" t="str">
        <f t="shared" si="227"/>
        <v/>
      </c>
    </row>
    <row r="14590" spans="26:26" x14ac:dyDescent="0.2">
      <c r="Z14590" t="str">
        <f t="shared" si="227"/>
        <v/>
      </c>
    </row>
    <row r="14591" spans="26:26" x14ac:dyDescent="0.2">
      <c r="Z14591" t="str">
        <f t="shared" si="227"/>
        <v/>
      </c>
    </row>
    <row r="14592" spans="26:26" x14ac:dyDescent="0.2">
      <c r="Z14592" t="str">
        <f t="shared" si="227"/>
        <v/>
      </c>
    </row>
    <row r="14593" spans="26:26" x14ac:dyDescent="0.2">
      <c r="Z14593" t="str">
        <f t="shared" si="227"/>
        <v/>
      </c>
    </row>
    <row r="14594" spans="26:26" x14ac:dyDescent="0.2">
      <c r="Z14594" t="str">
        <f t="shared" si="227"/>
        <v/>
      </c>
    </row>
    <row r="14595" spans="26:26" x14ac:dyDescent="0.2">
      <c r="Z14595" t="str">
        <f t="shared" ref="Z14595:Z14658" si="228">IF(K14595="","",IFERROR(VALUE(TRIM(MID(K14595,FIND(CHAR(167),SUBSTITUTE(K14595,"-",CHAR(167),LEN(K14595)-LEN(SUBSTITUTE(K14595,"-",""))))+1,100))),K14595))</f>
        <v/>
      </c>
    </row>
    <row r="14596" spans="26:26" x14ac:dyDescent="0.2">
      <c r="Z14596" t="str">
        <f t="shared" si="228"/>
        <v/>
      </c>
    </row>
    <row r="14597" spans="26:26" x14ac:dyDescent="0.2">
      <c r="Z14597" t="str">
        <f t="shared" si="228"/>
        <v/>
      </c>
    </row>
    <row r="14598" spans="26:26" x14ac:dyDescent="0.2">
      <c r="Z14598" t="str">
        <f t="shared" si="228"/>
        <v/>
      </c>
    </row>
    <row r="14599" spans="26:26" x14ac:dyDescent="0.2">
      <c r="Z14599" t="str">
        <f t="shared" si="228"/>
        <v/>
      </c>
    </row>
    <row r="14600" spans="26:26" x14ac:dyDescent="0.2">
      <c r="Z14600" t="str">
        <f t="shared" si="228"/>
        <v/>
      </c>
    </row>
    <row r="14601" spans="26:26" x14ac:dyDescent="0.2">
      <c r="Z14601" t="str">
        <f t="shared" si="228"/>
        <v/>
      </c>
    </row>
    <row r="14602" spans="26:26" x14ac:dyDescent="0.2">
      <c r="Z14602" t="str">
        <f t="shared" si="228"/>
        <v/>
      </c>
    </row>
    <row r="14603" spans="26:26" x14ac:dyDescent="0.2">
      <c r="Z14603" t="str">
        <f t="shared" si="228"/>
        <v/>
      </c>
    </row>
    <row r="14604" spans="26:26" x14ac:dyDescent="0.2">
      <c r="Z14604" t="str">
        <f t="shared" si="228"/>
        <v/>
      </c>
    </row>
    <row r="14605" spans="26:26" x14ac:dyDescent="0.2">
      <c r="Z14605" t="str">
        <f t="shared" si="228"/>
        <v/>
      </c>
    </row>
    <row r="14606" spans="26:26" x14ac:dyDescent="0.2">
      <c r="Z14606" t="str">
        <f t="shared" si="228"/>
        <v/>
      </c>
    </row>
    <row r="14607" spans="26:26" x14ac:dyDescent="0.2">
      <c r="Z14607" t="str">
        <f t="shared" si="228"/>
        <v/>
      </c>
    </row>
    <row r="14608" spans="26:26" x14ac:dyDescent="0.2">
      <c r="Z14608" t="str">
        <f t="shared" si="228"/>
        <v/>
      </c>
    </row>
    <row r="14609" spans="26:26" x14ac:dyDescent="0.2">
      <c r="Z14609" t="str">
        <f t="shared" si="228"/>
        <v/>
      </c>
    </row>
    <row r="14610" spans="26:26" x14ac:dyDescent="0.2">
      <c r="Z14610" t="str">
        <f t="shared" si="228"/>
        <v/>
      </c>
    </row>
    <row r="14611" spans="26:26" x14ac:dyDescent="0.2">
      <c r="Z14611" t="str">
        <f t="shared" si="228"/>
        <v/>
      </c>
    </row>
    <row r="14612" spans="26:26" x14ac:dyDescent="0.2">
      <c r="Z14612" t="str">
        <f t="shared" si="228"/>
        <v/>
      </c>
    </row>
    <row r="14613" spans="26:26" x14ac:dyDescent="0.2">
      <c r="Z14613" t="str">
        <f t="shared" si="228"/>
        <v/>
      </c>
    </row>
    <row r="14614" spans="26:26" x14ac:dyDescent="0.2">
      <c r="Z14614" t="str">
        <f t="shared" si="228"/>
        <v/>
      </c>
    </row>
    <row r="14615" spans="26:26" x14ac:dyDescent="0.2">
      <c r="Z14615" t="str">
        <f t="shared" si="228"/>
        <v/>
      </c>
    </row>
    <row r="14616" spans="26:26" x14ac:dyDescent="0.2">
      <c r="Z14616" t="str">
        <f t="shared" si="228"/>
        <v/>
      </c>
    </row>
    <row r="14617" spans="26:26" x14ac:dyDescent="0.2">
      <c r="Z14617" t="str">
        <f t="shared" si="228"/>
        <v/>
      </c>
    </row>
    <row r="14618" spans="26:26" x14ac:dyDescent="0.2">
      <c r="Z14618" t="str">
        <f t="shared" si="228"/>
        <v/>
      </c>
    </row>
    <row r="14619" spans="26:26" x14ac:dyDescent="0.2">
      <c r="Z14619" t="str">
        <f t="shared" si="228"/>
        <v/>
      </c>
    </row>
    <row r="14620" spans="26:26" x14ac:dyDescent="0.2">
      <c r="Z14620" t="str">
        <f t="shared" si="228"/>
        <v/>
      </c>
    </row>
    <row r="14621" spans="26:26" x14ac:dyDescent="0.2">
      <c r="Z14621" t="str">
        <f t="shared" si="228"/>
        <v/>
      </c>
    </row>
    <row r="14622" spans="26:26" x14ac:dyDescent="0.2">
      <c r="Z14622" t="str">
        <f t="shared" si="228"/>
        <v/>
      </c>
    </row>
    <row r="14623" spans="26:26" x14ac:dyDescent="0.2">
      <c r="Z14623" t="str">
        <f t="shared" si="228"/>
        <v/>
      </c>
    </row>
    <row r="14624" spans="26:26" x14ac:dyDescent="0.2">
      <c r="Z14624" t="str">
        <f t="shared" si="228"/>
        <v/>
      </c>
    </row>
    <row r="14625" spans="26:26" x14ac:dyDescent="0.2">
      <c r="Z14625" t="str">
        <f t="shared" si="228"/>
        <v/>
      </c>
    </row>
    <row r="14626" spans="26:26" x14ac:dyDescent="0.2">
      <c r="Z14626" t="str">
        <f t="shared" si="228"/>
        <v/>
      </c>
    </row>
    <row r="14627" spans="26:26" x14ac:dyDescent="0.2">
      <c r="Z14627" t="str">
        <f t="shared" si="228"/>
        <v/>
      </c>
    </row>
    <row r="14628" spans="26:26" x14ac:dyDescent="0.2">
      <c r="Z14628" t="str">
        <f t="shared" si="228"/>
        <v/>
      </c>
    </row>
    <row r="14629" spans="26:26" x14ac:dyDescent="0.2">
      <c r="Z14629" t="str">
        <f t="shared" si="228"/>
        <v/>
      </c>
    </row>
    <row r="14630" spans="26:26" x14ac:dyDescent="0.2">
      <c r="Z14630" t="str">
        <f t="shared" si="228"/>
        <v/>
      </c>
    </row>
    <row r="14631" spans="26:26" x14ac:dyDescent="0.2">
      <c r="Z14631" t="str">
        <f t="shared" si="228"/>
        <v/>
      </c>
    </row>
    <row r="14632" spans="26:26" x14ac:dyDescent="0.2">
      <c r="Z14632" t="str">
        <f t="shared" si="228"/>
        <v/>
      </c>
    </row>
    <row r="14633" spans="26:26" x14ac:dyDescent="0.2">
      <c r="Z14633" t="str">
        <f t="shared" si="228"/>
        <v/>
      </c>
    </row>
    <row r="14634" spans="26:26" x14ac:dyDescent="0.2">
      <c r="Z14634" t="str">
        <f t="shared" si="228"/>
        <v/>
      </c>
    </row>
    <row r="14635" spans="26:26" x14ac:dyDescent="0.2">
      <c r="Z14635" t="str">
        <f t="shared" si="228"/>
        <v/>
      </c>
    </row>
    <row r="14636" spans="26:26" x14ac:dyDescent="0.2">
      <c r="Z14636" t="str">
        <f t="shared" si="228"/>
        <v/>
      </c>
    </row>
    <row r="14637" spans="26:26" x14ac:dyDescent="0.2">
      <c r="Z14637" t="str">
        <f t="shared" si="228"/>
        <v/>
      </c>
    </row>
    <row r="14638" spans="26:26" x14ac:dyDescent="0.2">
      <c r="Z14638" t="str">
        <f t="shared" si="228"/>
        <v/>
      </c>
    </row>
    <row r="14639" spans="26:26" x14ac:dyDescent="0.2">
      <c r="Z14639" t="str">
        <f t="shared" si="228"/>
        <v/>
      </c>
    </row>
    <row r="14640" spans="26:26" x14ac:dyDescent="0.2">
      <c r="Z14640" t="str">
        <f t="shared" si="228"/>
        <v/>
      </c>
    </row>
    <row r="14641" spans="26:26" x14ac:dyDescent="0.2">
      <c r="Z14641" t="str">
        <f t="shared" si="228"/>
        <v/>
      </c>
    </row>
    <row r="14642" spans="26:26" x14ac:dyDescent="0.2">
      <c r="Z14642" t="str">
        <f t="shared" si="228"/>
        <v/>
      </c>
    </row>
    <row r="14643" spans="26:26" x14ac:dyDescent="0.2">
      <c r="Z14643" t="str">
        <f t="shared" si="228"/>
        <v/>
      </c>
    </row>
    <row r="14644" spans="26:26" x14ac:dyDescent="0.2">
      <c r="Z14644" t="str">
        <f t="shared" si="228"/>
        <v/>
      </c>
    </row>
    <row r="14645" spans="26:26" x14ac:dyDescent="0.2">
      <c r="Z14645" t="str">
        <f t="shared" si="228"/>
        <v/>
      </c>
    </row>
    <row r="14646" spans="26:26" x14ac:dyDescent="0.2">
      <c r="Z14646" t="str">
        <f t="shared" si="228"/>
        <v/>
      </c>
    </row>
    <row r="14647" spans="26:26" x14ac:dyDescent="0.2">
      <c r="Z14647" t="str">
        <f t="shared" si="228"/>
        <v/>
      </c>
    </row>
    <row r="14648" spans="26:26" x14ac:dyDescent="0.2">
      <c r="Z14648" t="str">
        <f t="shared" si="228"/>
        <v/>
      </c>
    </row>
    <row r="14649" spans="26:26" x14ac:dyDescent="0.2">
      <c r="Z14649" t="str">
        <f t="shared" si="228"/>
        <v/>
      </c>
    </row>
    <row r="14650" spans="26:26" x14ac:dyDescent="0.2">
      <c r="Z14650" t="str">
        <f t="shared" si="228"/>
        <v/>
      </c>
    </row>
    <row r="14651" spans="26:26" x14ac:dyDescent="0.2">
      <c r="Z14651" t="str">
        <f t="shared" si="228"/>
        <v/>
      </c>
    </row>
    <row r="14652" spans="26:26" x14ac:dyDescent="0.2">
      <c r="Z14652" t="str">
        <f t="shared" si="228"/>
        <v/>
      </c>
    </row>
    <row r="14653" spans="26:26" x14ac:dyDescent="0.2">
      <c r="Z14653" t="str">
        <f t="shared" si="228"/>
        <v/>
      </c>
    </row>
    <row r="14654" spans="26:26" x14ac:dyDescent="0.2">
      <c r="Z14654" t="str">
        <f t="shared" si="228"/>
        <v/>
      </c>
    </row>
    <row r="14655" spans="26:26" x14ac:dyDescent="0.2">
      <c r="Z14655" t="str">
        <f t="shared" si="228"/>
        <v/>
      </c>
    </row>
    <row r="14656" spans="26:26" x14ac:dyDescent="0.2">
      <c r="Z14656" t="str">
        <f t="shared" si="228"/>
        <v/>
      </c>
    </row>
    <row r="14657" spans="26:26" x14ac:dyDescent="0.2">
      <c r="Z14657" t="str">
        <f t="shared" si="228"/>
        <v/>
      </c>
    </row>
    <row r="14658" spans="26:26" x14ac:dyDescent="0.2">
      <c r="Z14658" t="str">
        <f t="shared" si="228"/>
        <v/>
      </c>
    </row>
    <row r="14659" spans="26:26" x14ac:dyDescent="0.2">
      <c r="Z14659" t="str">
        <f t="shared" ref="Z14659:Z14722" si="229">IF(K14659="","",IFERROR(VALUE(TRIM(MID(K14659,FIND(CHAR(167),SUBSTITUTE(K14659,"-",CHAR(167),LEN(K14659)-LEN(SUBSTITUTE(K14659,"-",""))))+1,100))),K14659))</f>
        <v/>
      </c>
    </row>
    <row r="14660" spans="26:26" x14ac:dyDescent="0.2">
      <c r="Z14660" t="str">
        <f t="shared" si="229"/>
        <v/>
      </c>
    </row>
    <row r="14661" spans="26:26" x14ac:dyDescent="0.2">
      <c r="Z14661" t="str">
        <f t="shared" si="229"/>
        <v/>
      </c>
    </row>
    <row r="14662" spans="26:26" x14ac:dyDescent="0.2">
      <c r="Z14662" t="str">
        <f t="shared" si="229"/>
        <v/>
      </c>
    </row>
    <row r="14663" spans="26:26" x14ac:dyDescent="0.2">
      <c r="Z14663" t="str">
        <f t="shared" si="229"/>
        <v/>
      </c>
    </row>
    <row r="14664" spans="26:26" x14ac:dyDescent="0.2">
      <c r="Z14664" t="str">
        <f t="shared" si="229"/>
        <v/>
      </c>
    </row>
    <row r="14665" spans="26:26" x14ac:dyDescent="0.2">
      <c r="Z14665" t="str">
        <f t="shared" si="229"/>
        <v/>
      </c>
    </row>
    <row r="14666" spans="26:26" x14ac:dyDescent="0.2">
      <c r="Z14666" t="str">
        <f t="shared" si="229"/>
        <v/>
      </c>
    </row>
    <row r="14667" spans="26:26" x14ac:dyDescent="0.2">
      <c r="Z14667" t="str">
        <f t="shared" si="229"/>
        <v/>
      </c>
    </row>
    <row r="14668" spans="26:26" x14ac:dyDescent="0.2">
      <c r="Z14668" t="str">
        <f t="shared" si="229"/>
        <v/>
      </c>
    </row>
    <row r="14669" spans="26:26" x14ac:dyDescent="0.2">
      <c r="Z14669" t="str">
        <f t="shared" si="229"/>
        <v/>
      </c>
    </row>
    <row r="14670" spans="26:26" x14ac:dyDescent="0.2">
      <c r="Z14670" t="str">
        <f t="shared" si="229"/>
        <v/>
      </c>
    </row>
    <row r="14671" spans="26:26" x14ac:dyDescent="0.2">
      <c r="Z14671" t="str">
        <f t="shared" si="229"/>
        <v/>
      </c>
    </row>
    <row r="14672" spans="26:26" x14ac:dyDescent="0.2">
      <c r="Z14672" t="str">
        <f t="shared" si="229"/>
        <v/>
      </c>
    </row>
    <row r="14673" spans="26:26" x14ac:dyDescent="0.2">
      <c r="Z14673" t="str">
        <f t="shared" si="229"/>
        <v/>
      </c>
    </row>
    <row r="14674" spans="26:26" x14ac:dyDescent="0.2">
      <c r="Z14674" t="str">
        <f t="shared" si="229"/>
        <v/>
      </c>
    </row>
    <row r="14675" spans="26:26" x14ac:dyDescent="0.2">
      <c r="Z14675" t="str">
        <f t="shared" si="229"/>
        <v/>
      </c>
    </row>
    <row r="14676" spans="26:26" x14ac:dyDescent="0.2">
      <c r="Z14676" t="str">
        <f t="shared" si="229"/>
        <v/>
      </c>
    </row>
    <row r="14677" spans="26:26" x14ac:dyDescent="0.2">
      <c r="Z14677" t="str">
        <f t="shared" si="229"/>
        <v/>
      </c>
    </row>
    <row r="14678" spans="26:26" x14ac:dyDescent="0.2">
      <c r="Z14678" t="str">
        <f t="shared" si="229"/>
        <v/>
      </c>
    </row>
    <row r="14679" spans="26:26" x14ac:dyDescent="0.2">
      <c r="Z14679" t="str">
        <f t="shared" si="229"/>
        <v/>
      </c>
    </row>
    <row r="14680" spans="26:26" x14ac:dyDescent="0.2">
      <c r="Z14680" t="str">
        <f t="shared" si="229"/>
        <v/>
      </c>
    </row>
    <row r="14681" spans="26:26" x14ac:dyDescent="0.2">
      <c r="Z14681" t="str">
        <f t="shared" si="229"/>
        <v/>
      </c>
    </row>
    <row r="14682" spans="26:26" x14ac:dyDescent="0.2">
      <c r="Z14682" t="str">
        <f t="shared" si="229"/>
        <v/>
      </c>
    </row>
    <row r="14683" spans="26:26" x14ac:dyDescent="0.2">
      <c r="Z14683" t="str">
        <f t="shared" si="229"/>
        <v/>
      </c>
    </row>
    <row r="14684" spans="26:26" x14ac:dyDescent="0.2">
      <c r="Z14684" t="str">
        <f t="shared" si="229"/>
        <v/>
      </c>
    </row>
    <row r="14685" spans="26:26" x14ac:dyDescent="0.2">
      <c r="Z14685" t="str">
        <f t="shared" si="229"/>
        <v/>
      </c>
    </row>
    <row r="14686" spans="26:26" x14ac:dyDescent="0.2">
      <c r="Z14686" t="str">
        <f t="shared" si="229"/>
        <v/>
      </c>
    </row>
    <row r="14687" spans="26:26" x14ac:dyDescent="0.2">
      <c r="Z14687" t="str">
        <f t="shared" si="229"/>
        <v/>
      </c>
    </row>
    <row r="14688" spans="26:26" x14ac:dyDescent="0.2">
      <c r="Z14688" t="str">
        <f t="shared" si="229"/>
        <v/>
      </c>
    </row>
    <row r="14689" spans="26:26" x14ac:dyDescent="0.2">
      <c r="Z14689" t="str">
        <f t="shared" si="229"/>
        <v/>
      </c>
    </row>
    <row r="14690" spans="26:26" x14ac:dyDescent="0.2">
      <c r="Z14690" t="str">
        <f t="shared" si="229"/>
        <v/>
      </c>
    </row>
    <row r="14691" spans="26:26" x14ac:dyDescent="0.2">
      <c r="Z14691" t="str">
        <f t="shared" si="229"/>
        <v/>
      </c>
    </row>
    <row r="14692" spans="26:26" x14ac:dyDescent="0.2">
      <c r="Z14692" t="str">
        <f t="shared" si="229"/>
        <v/>
      </c>
    </row>
    <row r="14693" spans="26:26" x14ac:dyDescent="0.2">
      <c r="Z14693" t="str">
        <f t="shared" si="229"/>
        <v/>
      </c>
    </row>
    <row r="14694" spans="26:26" x14ac:dyDescent="0.2">
      <c r="Z14694" t="str">
        <f t="shared" si="229"/>
        <v/>
      </c>
    </row>
    <row r="14695" spans="26:26" x14ac:dyDescent="0.2">
      <c r="Z14695" t="str">
        <f t="shared" si="229"/>
        <v/>
      </c>
    </row>
    <row r="14696" spans="26:26" x14ac:dyDescent="0.2">
      <c r="Z14696" t="str">
        <f t="shared" si="229"/>
        <v/>
      </c>
    </row>
    <row r="14697" spans="26:26" x14ac:dyDescent="0.2">
      <c r="Z14697" t="str">
        <f t="shared" si="229"/>
        <v/>
      </c>
    </row>
    <row r="14698" spans="26:26" x14ac:dyDescent="0.2">
      <c r="Z14698" t="str">
        <f t="shared" si="229"/>
        <v/>
      </c>
    </row>
    <row r="14699" spans="26:26" x14ac:dyDescent="0.2">
      <c r="Z14699" t="str">
        <f t="shared" si="229"/>
        <v/>
      </c>
    </row>
    <row r="14700" spans="26:26" x14ac:dyDescent="0.2">
      <c r="Z14700" t="str">
        <f t="shared" si="229"/>
        <v/>
      </c>
    </row>
    <row r="14701" spans="26:26" x14ac:dyDescent="0.2">
      <c r="Z14701" t="str">
        <f t="shared" si="229"/>
        <v/>
      </c>
    </row>
    <row r="14702" spans="26:26" x14ac:dyDescent="0.2">
      <c r="Z14702" t="str">
        <f t="shared" si="229"/>
        <v/>
      </c>
    </row>
    <row r="14703" spans="26:26" x14ac:dyDescent="0.2">
      <c r="Z14703" t="str">
        <f t="shared" si="229"/>
        <v/>
      </c>
    </row>
    <row r="14704" spans="26:26" x14ac:dyDescent="0.2">
      <c r="Z14704" t="str">
        <f t="shared" si="229"/>
        <v/>
      </c>
    </row>
    <row r="14705" spans="26:26" x14ac:dyDescent="0.2">
      <c r="Z14705" t="str">
        <f t="shared" si="229"/>
        <v/>
      </c>
    </row>
    <row r="14706" spans="26:26" x14ac:dyDescent="0.2">
      <c r="Z14706" t="str">
        <f t="shared" si="229"/>
        <v/>
      </c>
    </row>
    <row r="14707" spans="26:26" x14ac:dyDescent="0.2">
      <c r="Z14707" t="str">
        <f t="shared" si="229"/>
        <v/>
      </c>
    </row>
    <row r="14708" spans="26:26" x14ac:dyDescent="0.2">
      <c r="Z14708" t="str">
        <f t="shared" si="229"/>
        <v/>
      </c>
    </row>
    <row r="14709" spans="26:26" x14ac:dyDescent="0.2">
      <c r="Z14709" t="str">
        <f t="shared" si="229"/>
        <v/>
      </c>
    </row>
    <row r="14710" spans="26:26" x14ac:dyDescent="0.2">
      <c r="Z14710" t="str">
        <f t="shared" si="229"/>
        <v/>
      </c>
    </row>
    <row r="14711" spans="26:26" x14ac:dyDescent="0.2">
      <c r="Z14711" t="str">
        <f t="shared" si="229"/>
        <v/>
      </c>
    </row>
    <row r="14712" spans="26:26" x14ac:dyDescent="0.2">
      <c r="Z14712" t="str">
        <f t="shared" si="229"/>
        <v/>
      </c>
    </row>
    <row r="14713" spans="26:26" x14ac:dyDescent="0.2">
      <c r="Z14713" t="str">
        <f t="shared" si="229"/>
        <v/>
      </c>
    </row>
    <row r="14714" spans="26:26" x14ac:dyDescent="0.2">
      <c r="Z14714" t="str">
        <f t="shared" si="229"/>
        <v/>
      </c>
    </row>
    <row r="14715" spans="26:26" x14ac:dyDescent="0.2">
      <c r="Z14715" t="str">
        <f t="shared" si="229"/>
        <v/>
      </c>
    </row>
    <row r="14716" spans="26:26" x14ac:dyDescent="0.2">
      <c r="Z14716" t="str">
        <f t="shared" si="229"/>
        <v/>
      </c>
    </row>
    <row r="14717" spans="26:26" x14ac:dyDescent="0.2">
      <c r="Z14717" t="str">
        <f t="shared" si="229"/>
        <v/>
      </c>
    </row>
    <row r="14718" spans="26:26" x14ac:dyDescent="0.2">
      <c r="Z14718" t="str">
        <f t="shared" si="229"/>
        <v/>
      </c>
    </row>
    <row r="14719" spans="26:26" x14ac:dyDescent="0.2">
      <c r="Z14719" t="str">
        <f t="shared" si="229"/>
        <v/>
      </c>
    </row>
    <row r="14720" spans="26:26" x14ac:dyDescent="0.2">
      <c r="Z14720" t="str">
        <f t="shared" si="229"/>
        <v/>
      </c>
    </row>
    <row r="14721" spans="26:26" x14ac:dyDescent="0.2">
      <c r="Z14721" t="str">
        <f t="shared" si="229"/>
        <v/>
      </c>
    </row>
    <row r="14722" spans="26:26" x14ac:dyDescent="0.2">
      <c r="Z14722" t="str">
        <f t="shared" si="229"/>
        <v/>
      </c>
    </row>
    <row r="14723" spans="26:26" x14ac:dyDescent="0.2">
      <c r="Z14723" t="str">
        <f t="shared" ref="Z14723:Z14786" si="230">IF(K14723="","",IFERROR(VALUE(TRIM(MID(K14723,FIND(CHAR(167),SUBSTITUTE(K14723,"-",CHAR(167),LEN(K14723)-LEN(SUBSTITUTE(K14723,"-",""))))+1,100))),K14723))</f>
        <v/>
      </c>
    </row>
    <row r="14724" spans="26:26" x14ac:dyDescent="0.2">
      <c r="Z14724" t="str">
        <f t="shared" si="230"/>
        <v/>
      </c>
    </row>
    <row r="14725" spans="26:26" x14ac:dyDescent="0.2">
      <c r="Z14725" t="str">
        <f t="shared" si="230"/>
        <v/>
      </c>
    </row>
    <row r="14726" spans="26:26" x14ac:dyDescent="0.2">
      <c r="Z14726" t="str">
        <f t="shared" si="230"/>
        <v/>
      </c>
    </row>
    <row r="14727" spans="26:26" x14ac:dyDescent="0.2">
      <c r="Z14727" t="str">
        <f t="shared" si="230"/>
        <v/>
      </c>
    </row>
    <row r="14728" spans="26:26" x14ac:dyDescent="0.2">
      <c r="Z14728" t="str">
        <f t="shared" si="230"/>
        <v/>
      </c>
    </row>
    <row r="14729" spans="26:26" x14ac:dyDescent="0.2">
      <c r="Z14729" t="str">
        <f t="shared" si="230"/>
        <v/>
      </c>
    </row>
    <row r="14730" spans="26:26" x14ac:dyDescent="0.2">
      <c r="Z14730" t="str">
        <f t="shared" si="230"/>
        <v/>
      </c>
    </row>
    <row r="14731" spans="26:26" x14ac:dyDescent="0.2">
      <c r="Z14731" t="str">
        <f t="shared" si="230"/>
        <v/>
      </c>
    </row>
    <row r="14732" spans="26:26" x14ac:dyDescent="0.2">
      <c r="Z14732" t="str">
        <f t="shared" si="230"/>
        <v/>
      </c>
    </row>
    <row r="14733" spans="26:26" x14ac:dyDescent="0.2">
      <c r="Z14733" t="str">
        <f t="shared" si="230"/>
        <v/>
      </c>
    </row>
    <row r="14734" spans="26:26" x14ac:dyDescent="0.2">
      <c r="Z14734" t="str">
        <f t="shared" si="230"/>
        <v/>
      </c>
    </row>
    <row r="14735" spans="26:26" x14ac:dyDescent="0.2">
      <c r="Z14735" t="str">
        <f t="shared" si="230"/>
        <v/>
      </c>
    </row>
    <row r="14736" spans="26:26" x14ac:dyDescent="0.2">
      <c r="Z14736" t="str">
        <f t="shared" si="230"/>
        <v/>
      </c>
    </row>
    <row r="14737" spans="26:26" x14ac:dyDescent="0.2">
      <c r="Z14737" t="str">
        <f t="shared" si="230"/>
        <v/>
      </c>
    </row>
    <row r="14738" spans="26:26" x14ac:dyDescent="0.2">
      <c r="Z14738" t="str">
        <f t="shared" si="230"/>
        <v/>
      </c>
    </row>
    <row r="14739" spans="26:26" x14ac:dyDescent="0.2">
      <c r="Z14739" t="str">
        <f t="shared" si="230"/>
        <v/>
      </c>
    </row>
    <row r="14740" spans="26:26" x14ac:dyDescent="0.2">
      <c r="Z14740" t="str">
        <f t="shared" si="230"/>
        <v/>
      </c>
    </row>
    <row r="14741" spans="26:26" x14ac:dyDescent="0.2">
      <c r="Z14741" t="str">
        <f t="shared" si="230"/>
        <v/>
      </c>
    </row>
    <row r="14742" spans="26:26" x14ac:dyDescent="0.2">
      <c r="Z14742" t="str">
        <f t="shared" si="230"/>
        <v/>
      </c>
    </row>
    <row r="14743" spans="26:26" x14ac:dyDescent="0.2">
      <c r="Z14743" t="str">
        <f t="shared" si="230"/>
        <v/>
      </c>
    </row>
    <row r="14744" spans="26:26" x14ac:dyDescent="0.2">
      <c r="Z14744" t="str">
        <f t="shared" si="230"/>
        <v/>
      </c>
    </row>
    <row r="14745" spans="26:26" x14ac:dyDescent="0.2">
      <c r="Z14745" t="str">
        <f t="shared" si="230"/>
        <v/>
      </c>
    </row>
    <row r="14746" spans="26:26" x14ac:dyDescent="0.2">
      <c r="Z14746" t="str">
        <f t="shared" si="230"/>
        <v/>
      </c>
    </row>
    <row r="14747" spans="26:26" x14ac:dyDescent="0.2">
      <c r="Z14747" t="str">
        <f t="shared" si="230"/>
        <v/>
      </c>
    </row>
    <row r="14748" spans="26:26" x14ac:dyDescent="0.2">
      <c r="Z14748" t="str">
        <f t="shared" si="230"/>
        <v/>
      </c>
    </row>
    <row r="14749" spans="26:26" x14ac:dyDescent="0.2">
      <c r="Z14749" t="str">
        <f t="shared" si="230"/>
        <v/>
      </c>
    </row>
    <row r="14750" spans="26:26" x14ac:dyDescent="0.2">
      <c r="Z14750" t="str">
        <f t="shared" si="230"/>
        <v/>
      </c>
    </row>
    <row r="14751" spans="26:26" x14ac:dyDescent="0.2">
      <c r="Z14751" t="str">
        <f t="shared" si="230"/>
        <v/>
      </c>
    </row>
    <row r="14752" spans="26:26" x14ac:dyDescent="0.2">
      <c r="Z14752" t="str">
        <f t="shared" si="230"/>
        <v/>
      </c>
    </row>
    <row r="14753" spans="26:26" x14ac:dyDescent="0.2">
      <c r="Z14753" t="str">
        <f t="shared" si="230"/>
        <v/>
      </c>
    </row>
    <row r="14754" spans="26:26" x14ac:dyDescent="0.2">
      <c r="Z14754" t="str">
        <f t="shared" si="230"/>
        <v/>
      </c>
    </row>
    <row r="14755" spans="26:26" x14ac:dyDescent="0.2">
      <c r="Z14755" t="str">
        <f t="shared" si="230"/>
        <v/>
      </c>
    </row>
    <row r="14756" spans="26:26" x14ac:dyDescent="0.2">
      <c r="Z14756" t="str">
        <f t="shared" si="230"/>
        <v/>
      </c>
    </row>
    <row r="14757" spans="26:26" x14ac:dyDescent="0.2">
      <c r="Z14757" t="str">
        <f t="shared" si="230"/>
        <v/>
      </c>
    </row>
    <row r="14758" spans="26:26" x14ac:dyDescent="0.2">
      <c r="Z14758" t="str">
        <f t="shared" si="230"/>
        <v/>
      </c>
    </row>
    <row r="14759" spans="26:26" x14ac:dyDescent="0.2">
      <c r="Z14759" t="str">
        <f t="shared" si="230"/>
        <v/>
      </c>
    </row>
    <row r="14760" spans="26:26" x14ac:dyDescent="0.2">
      <c r="Z14760" t="str">
        <f t="shared" si="230"/>
        <v/>
      </c>
    </row>
    <row r="14761" spans="26:26" x14ac:dyDescent="0.2">
      <c r="Z14761" t="str">
        <f t="shared" si="230"/>
        <v/>
      </c>
    </row>
    <row r="14762" spans="26:26" x14ac:dyDescent="0.2">
      <c r="Z14762" t="str">
        <f t="shared" si="230"/>
        <v/>
      </c>
    </row>
    <row r="14763" spans="26:26" x14ac:dyDescent="0.2">
      <c r="Z14763" t="str">
        <f t="shared" si="230"/>
        <v/>
      </c>
    </row>
    <row r="14764" spans="26:26" x14ac:dyDescent="0.2">
      <c r="Z14764" t="str">
        <f t="shared" si="230"/>
        <v/>
      </c>
    </row>
    <row r="14765" spans="26:26" x14ac:dyDescent="0.2">
      <c r="Z14765" t="str">
        <f t="shared" si="230"/>
        <v/>
      </c>
    </row>
    <row r="14766" spans="26:26" x14ac:dyDescent="0.2">
      <c r="Z14766" t="str">
        <f t="shared" si="230"/>
        <v/>
      </c>
    </row>
    <row r="14767" spans="26:26" x14ac:dyDescent="0.2">
      <c r="Z14767" t="str">
        <f t="shared" si="230"/>
        <v/>
      </c>
    </row>
    <row r="14768" spans="26:26" x14ac:dyDescent="0.2">
      <c r="Z14768" t="str">
        <f t="shared" si="230"/>
        <v/>
      </c>
    </row>
    <row r="14769" spans="26:26" x14ac:dyDescent="0.2">
      <c r="Z14769" t="str">
        <f t="shared" si="230"/>
        <v/>
      </c>
    </row>
    <row r="14770" spans="26:26" x14ac:dyDescent="0.2">
      <c r="Z14770" t="str">
        <f t="shared" si="230"/>
        <v/>
      </c>
    </row>
    <row r="14771" spans="26:26" x14ac:dyDescent="0.2">
      <c r="Z14771" t="str">
        <f t="shared" si="230"/>
        <v/>
      </c>
    </row>
    <row r="14772" spans="26:26" x14ac:dyDescent="0.2">
      <c r="Z14772" t="str">
        <f t="shared" si="230"/>
        <v/>
      </c>
    </row>
    <row r="14773" spans="26:26" x14ac:dyDescent="0.2">
      <c r="Z14773" t="str">
        <f t="shared" si="230"/>
        <v/>
      </c>
    </row>
    <row r="14774" spans="26:26" x14ac:dyDescent="0.2">
      <c r="Z14774" t="str">
        <f t="shared" si="230"/>
        <v/>
      </c>
    </row>
    <row r="14775" spans="26:26" x14ac:dyDescent="0.2">
      <c r="Z14775" t="str">
        <f t="shared" si="230"/>
        <v/>
      </c>
    </row>
    <row r="14776" spans="26:26" x14ac:dyDescent="0.2">
      <c r="Z14776" t="str">
        <f t="shared" si="230"/>
        <v/>
      </c>
    </row>
    <row r="14777" spans="26:26" x14ac:dyDescent="0.2">
      <c r="Z14777" t="str">
        <f t="shared" si="230"/>
        <v/>
      </c>
    </row>
    <row r="14778" spans="26:26" x14ac:dyDescent="0.2">
      <c r="Z14778" t="str">
        <f t="shared" si="230"/>
        <v/>
      </c>
    </row>
    <row r="14779" spans="26:26" x14ac:dyDescent="0.2">
      <c r="Z14779" t="str">
        <f t="shared" si="230"/>
        <v/>
      </c>
    </row>
    <row r="14780" spans="26:26" x14ac:dyDescent="0.2">
      <c r="Z14780" t="str">
        <f t="shared" si="230"/>
        <v/>
      </c>
    </row>
    <row r="14781" spans="26:26" x14ac:dyDescent="0.2">
      <c r="Z14781" t="str">
        <f t="shared" si="230"/>
        <v/>
      </c>
    </row>
    <row r="14782" spans="26:26" x14ac:dyDescent="0.2">
      <c r="Z14782" t="str">
        <f t="shared" si="230"/>
        <v/>
      </c>
    </row>
    <row r="14783" spans="26:26" x14ac:dyDescent="0.2">
      <c r="Z14783" t="str">
        <f t="shared" si="230"/>
        <v/>
      </c>
    </row>
    <row r="14784" spans="26:26" x14ac:dyDescent="0.2">
      <c r="Z14784" t="str">
        <f t="shared" si="230"/>
        <v/>
      </c>
    </row>
    <row r="14785" spans="26:26" x14ac:dyDescent="0.2">
      <c r="Z14785" t="str">
        <f t="shared" si="230"/>
        <v/>
      </c>
    </row>
    <row r="14786" spans="26:26" x14ac:dyDescent="0.2">
      <c r="Z14786" t="str">
        <f t="shared" si="230"/>
        <v/>
      </c>
    </row>
    <row r="14787" spans="26:26" x14ac:dyDescent="0.2">
      <c r="Z14787" t="str">
        <f t="shared" ref="Z14787:Z14850" si="231">IF(K14787="","",IFERROR(VALUE(TRIM(MID(K14787,FIND(CHAR(167),SUBSTITUTE(K14787,"-",CHAR(167),LEN(K14787)-LEN(SUBSTITUTE(K14787,"-",""))))+1,100))),K14787))</f>
        <v/>
      </c>
    </row>
    <row r="14788" spans="26:26" x14ac:dyDescent="0.2">
      <c r="Z14788" t="str">
        <f t="shared" si="231"/>
        <v/>
      </c>
    </row>
    <row r="14789" spans="26:26" x14ac:dyDescent="0.2">
      <c r="Z14789" t="str">
        <f t="shared" si="231"/>
        <v/>
      </c>
    </row>
    <row r="14790" spans="26:26" x14ac:dyDescent="0.2">
      <c r="Z14790" t="str">
        <f t="shared" si="231"/>
        <v/>
      </c>
    </row>
    <row r="14791" spans="26:26" x14ac:dyDescent="0.2">
      <c r="Z14791" t="str">
        <f t="shared" si="231"/>
        <v/>
      </c>
    </row>
    <row r="14792" spans="26:26" x14ac:dyDescent="0.2">
      <c r="Z14792" t="str">
        <f t="shared" si="231"/>
        <v/>
      </c>
    </row>
    <row r="14793" spans="26:26" x14ac:dyDescent="0.2">
      <c r="Z14793" t="str">
        <f t="shared" si="231"/>
        <v/>
      </c>
    </row>
    <row r="14794" spans="26:26" x14ac:dyDescent="0.2">
      <c r="Z14794" t="str">
        <f t="shared" si="231"/>
        <v/>
      </c>
    </row>
    <row r="14795" spans="26:26" x14ac:dyDescent="0.2">
      <c r="Z14795" t="str">
        <f t="shared" si="231"/>
        <v/>
      </c>
    </row>
    <row r="14796" spans="26:26" x14ac:dyDescent="0.2">
      <c r="Z14796" t="str">
        <f t="shared" si="231"/>
        <v/>
      </c>
    </row>
    <row r="14797" spans="26:26" x14ac:dyDescent="0.2">
      <c r="Z14797" t="str">
        <f t="shared" si="231"/>
        <v/>
      </c>
    </row>
    <row r="14798" spans="26:26" x14ac:dyDescent="0.2">
      <c r="Z14798" t="str">
        <f t="shared" si="231"/>
        <v/>
      </c>
    </row>
    <row r="14799" spans="26:26" x14ac:dyDescent="0.2">
      <c r="Z14799" t="str">
        <f t="shared" si="231"/>
        <v/>
      </c>
    </row>
    <row r="14800" spans="26:26" x14ac:dyDescent="0.2">
      <c r="Z14800" t="str">
        <f t="shared" si="231"/>
        <v/>
      </c>
    </row>
    <row r="14801" spans="26:26" x14ac:dyDescent="0.2">
      <c r="Z14801" t="str">
        <f t="shared" si="231"/>
        <v/>
      </c>
    </row>
    <row r="14802" spans="26:26" x14ac:dyDescent="0.2">
      <c r="Z14802" t="str">
        <f t="shared" si="231"/>
        <v/>
      </c>
    </row>
    <row r="14803" spans="26:26" x14ac:dyDescent="0.2">
      <c r="Z14803" t="str">
        <f t="shared" si="231"/>
        <v/>
      </c>
    </row>
    <row r="14804" spans="26:26" x14ac:dyDescent="0.2">
      <c r="Z14804" t="str">
        <f t="shared" si="231"/>
        <v/>
      </c>
    </row>
    <row r="14805" spans="26:26" x14ac:dyDescent="0.2">
      <c r="Z14805" t="str">
        <f t="shared" si="231"/>
        <v/>
      </c>
    </row>
    <row r="14806" spans="26:26" x14ac:dyDescent="0.2">
      <c r="Z14806" t="str">
        <f t="shared" si="231"/>
        <v/>
      </c>
    </row>
    <row r="14807" spans="26:26" x14ac:dyDescent="0.2">
      <c r="Z14807" t="str">
        <f t="shared" si="231"/>
        <v/>
      </c>
    </row>
    <row r="14808" spans="26:26" x14ac:dyDescent="0.2">
      <c r="Z14808" t="str">
        <f t="shared" si="231"/>
        <v/>
      </c>
    </row>
    <row r="14809" spans="26:26" x14ac:dyDescent="0.2">
      <c r="Z14809" t="str">
        <f t="shared" si="231"/>
        <v/>
      </c>
    </row>
    <row r="14810" spans="26:26" x14ac:dyDescent="0.2">
      <c r="Z14810" t="str">
        <f t="shared" si="231"/>
        <v/>
      </c>
    </row>
    <row r="14811" spans="26:26" x14ac:dyDescent="0.2">
      <c r="Z14811" t="str">
        <f t="shared" si="231"/>
        <v/>
      </c>
    </row>
    <row r="14812" spans="26:26" x14ac:dyDescent="0.2">
      <c r="Z14812" t="str">
        <f t="shared" si="231"/>
        <v/>
      </c>
    </row>
    <row r="14813" spans="26:26" x14ac:dyDescent="0.2">
      <c r="Z14813" t="str">
        <f t="shared" si="231"/>
        <v/>
      </c>
    </row>
    <row r="14814" spans="26:26" x14ac:dyDescent="0.2">
      <c r="Z14814" t="str">
        <f t="shared" si="231"/>
        <v/>
      </c>
    </row>
    <row r="14815" spans="26:26" x14ac:dyDescent="0.2">
      <c r="Z14815" t="str">
        <f t="shared" si="231"/>
        <v/>
      </c>
    </row>
    <row r="14816" spans="26:26" x14ac:dyDescent="0.2">
      <c r="Z14816" t="str">
        <f t="shared" si="231"/>
        <v/>
      </c>
    </row>
    <row r="14817" spans="26:26" x14ac:dyDescent="0.2">
      <c r="Z14817" t="str">
        <f t="shared" si="231"/>
        <v/>
      </c>
    </row>
    <row r="14818" spans="26:26" x14ac:dyDescent="0.2">
      <c r="Z14818" t="str">
        <f t="shared" si="231"/>
        <v/>
      </c>
    </row>
    <row r="14819" spans="26:26" x14ac:dyDescent="0.2">
      <c r="Z14819" t="str">
        <f t="shared" si="231"/>
        <v/>
      </c>
    </row>
    <row r="14820" spans="26:26" x14ac:dyDescent="0.2">
      <c r="Z14820" t="str">
        <f t="shared" si="231"/>
        <v/>
      </c>
    </row>
    <row r="14821" spans="26:26" x14ac:dyDescent="0.2">
      <c r="Z14821" t="str">
        <f t="shared" si="231"/>
        <v/>
      </c>
    </row>
    <row r="14822" spans="26:26" x14ac:dyDescent="0.2">
      <c r="Z14822" t="str">
        <f t="shared" si="231"/>
        <v/>
      </c>
    </row>
    <row r="14823" spans="26:26" x14ac:dyDescent="0.2">
      <c r="Z14823" t="str">
        <f t="shared" si="231"/>
        <v/>
      </c>
    </row>
    <row r="14824" spans="26:26" x14ac:dyDescent="0.2">
      <c r="Z14824" t="str">
        <f t="shared" si="231"/>
        <v/>
      </c>
    </row>
    <row r="14825" spans="26:26" x14ac:dyDescent="0.2">
      <c r="Z14825" t="str">
        <f t="shared" si="231"/>
        <v/>
      </c>
    </row>
    <row r="14826" spans="26:26" x14ac:dyDescent="0.2">
      <c r="Z14826" t="str">
        <f t="shared" si="231"/>
        <v/>
      </c>
    </row>
    <row r="14827" spans="26:26" x14ac:dyDescent="0.2">
      <c r="Z14827" t="str">
        <f t="shared" si="231"/>
        <v/>
      </c>
    </row>
    <row r="14828" spans="26:26" x14ac:dyDescent="0.2">
      <c r="Z14828" t="str">
        <f t="shared" si="231"/>
        <v/>
      </c>
    </row>
    <row r="14829" spans="26:26" x14ac:dyDescent="0.2">
      <c r="Z14829" t="str">
        <f t="shared" si="231"/>
        <v/>
      </c>
    </row>
    <row r="14830" spans="26:26" x14ac:dyDescent="0.2">
      <c r="Z14830" t="str">
        <f t="shared" si="231"/>
        <v/>
      </c>
    </row>
    <row r="14831" spans="26:26" x14ac:dyDescent="0.2">
      <c r="Z14831" t="str">
        <f t="shared" si="231"/>
        <v/>
      </c>
    </row>
    <row r="14832" spans="26:26" x14ac:dyDescent="0.2">
      <c r="Z14832" t="str">
        <f t="shared" si="231"/>
        <v/>
      </c>
    </row>
    <row r="14833" spans="26:26" x14ac:dyDescent="0.2">
      <c r="Z14833" t="str">
        <f t="shared" si="231"/>
        <v/>
      </c>
    </row>
    <row r="14834" spans="26:26" x14ac:dyDescent="0.2">
      <c r="Z14834" t="str">
        <f t="shared" si="231"/>
        <v/>
      </c>
    </row>
    <row r="14835" spans="26:26" x14ac:dyDescent="0.2">
      <c r="Z14835" t="str">
        <f t="shared" si="231"/>
        <v/>
      </c>
    </row>
    <row r="14836" spans="26:26" x14ac:dyDescent="0.2">
      <c r="Z14836" t="str">
        <f t="shared" si="231"/>
        <v/>
      </c>
    </row>
    <row r="14837" spans="26:26" x14ac:dyDescent="0.2">
      <c r="Z14837" t="str">
        <f t="shared" si="231"/>
        <v/>
      </c>
    </row>
    <row r="14838" spans="26:26" x14ac:dyDescent="0.2">
      <c r="Z14838" t="str">
        <f t="shared" si="231"/>
        <v/>
      </c>
    </row>
    <row r="14839" spans="26:26" x14ac:dyDescent="0.2">
      <c r="Z14839" t="str">
        <f t="shared" si="231"/>
        <v/>
      </c>
    </row>
    <row r="14840" spans="26:26" x14ac:dyDescent="0.2">
      <c r="Z14840" t="str">
        <f t="shared" si="231"/>
        <v/>
      </c>
    </row>
    <row r="14841" spans="26:26" x14ac:dyDescent="0.2">
      <c r="Z14841" t="str">
        <f t="shared" si="231"/>
        <v/>
      </c>
    </row>
    <row r="14842" spans="26:26" x14ac:dyDescent="0.2">
      <c r="Z14842" t="str">
        <f t="shared" si="231"/>
        <v/>
      </c>
    </row>
    <row r="14843" spans="26:26" x14ac:dyDescent="0.2">
      <c r="Z14843" t="str">
        <f t="shared" si="231"/>
        <v/>
      </c>
    </row>
    <row r="14844" spans="26:26" x14ac:dyDescent="0.2">
      <c r="Z14844" t="str">
        <f t="shared" si="231"/>
        <v/>
      </c>
    </row>
    <row r="14845" spans="26:26" x14ac:dyDescent="0.2">
      <c r="Z14845" t="str">
        <f t="shared" si="231"/>
        <v/>
      </c>
    </row>
    <row r="14846" spans="26:26" x14ac:dyDescent="0.2">
      <c r="Z14846" t="str">
        <f t="shared" si="231"/>
        <v/>
      </c>
    </row>
    <row r="14847" spans="26:26" x14ac:dyDescent="0.2">
      <c r="Z14847" t="str">
        <f t="shared" si="231"/>
        <v/>
      </c>
    </row>
    <row r="14848" spans="26:26" x14ac:dyDescent="0.2">
      <c r="Z14848" t="str">
        <f t="shared" si="231"/>
        <v/>
      </c>
    </row>
    <row r="14849" spans="26:26" x14ac:dyDescent="0.2">
      <c r="Z14849" t="str">
        <f t="shared" si="231"/>
        <v/>
      </c>
    </row>
    <row r="14850" spans="26:26" x14ac:dyDescent="0.2">
      <c r="Z14850" t="str">
        <f t="shared" si="231"/>
        <v/>
      </c>
    </row>
    <row r="14851" spans="26:26" x14ac:dyDescent="0.2">
      <c r="Z14851" t="str">
        <f t="shared" ref="Z14851:Z14914" si="232">IF(K14851="","",IFERROR(VALUE(TRIM(MID(K14851,FIND(CHAR(167),SUBSTITUTE(K14851,"-",CHAR(167),LEN(K14851)-LEN(SUBSTITUTE(K14851,"-",""))))+1,100))),K14851))</f>
        <v/>
      </c>
    </row>
    <row r="14852" spans="26:26" x14ac:dyDescent="0.2">
      <c r="Z14852" t="str">
        <f t="shared" si="232"/>
        <v/>
      </c>
    </row>
    <row r="14853" spans="26:26" x14ac:dyDescent="0.2">
      <c r="Z14853" t="str">
        <f t="shared" si="232"/>
        <v/>
      </c>
    </row>
    <row r="14854" spans="26:26" x14ac:dyDescent="0.2">
      <c r="Z14854" t="str">
        <f t="shared" si="232"/>
        <v/>
      </c>
    </row>
    <row r="14855" spans="26:26" x14ac:dyDescent="0.2">
      <c r="Z14855" t="str">
        <f t="shared" si="232"/>
        <v/>
      </c>
    </row>
    <row r="14856" spans="26:26" x14ac:dyDescent="0.2">
      <c r="Z14856" t="str">
        <f t="shared" si="232"/>
        <v/>
      </c>
    </row>
    <row r="14857" spans="26:26" x14ac:dyDescent="0.2">
      <c r="Z14857" t="str">
        <f t="shared" si="232"/>
        <v/>
      </c>
    </row>
    <row r="14858" spans="26:26" x14ac:dyDescent="0.2">
      <c r="Z14858" t="str">
        <f t="shared" si="232"/>
        <v/>
      </c>
    </row>
    <row r="14859" spans="26:26" x14ac:dyDescent="0.2">
      <c r="Z14859" t="str">
        <f t="shared" si="232"/>
        <v/>
      </c>
    </row>
    <row r="14860" spans="26:26" x14ac:dyDescent="0.2">
      <c r="Z14860" t="str">
        <f t="shared" si="232"/>
        <v/>
      </c>
    </row>
    <row r="14861" spans="26:26" x14ac:dyDescent="0.2">
      <c r="Z14861" t="str">
        <f t="shared" si="232"/>
        <v/>
      </c>
    </row>
    <row r="14862" spans="26:26" x14ac:dyDescent="0.2">
      <c r="Z14862" t="str">
        <f t="shared" si="232"/>
        <v/>
      </c>
    </row>
    <row r="14863" spans="26:26" x14ac:dyDescent="0.2">
      <c r="Z14863" t="str">
        <f t="shared" si="232"/>
        <v/>
      </c>
    </row>
    <row r="14864" spans="26:26" x14ac:dyDescent="0.2">
      <c r="Z14864" t="str">
        <f t="shared" si="232"/>
        <v/>
      </c>
    </row>
    <row r="14865" spans="26:26" x14ac:dyDescent="0.2">
      <c r="Z14865" t="str">
        <f t="shared" si="232"/>
        <v/>
      </c>
    </row>
    <row r="14866" spans="26:26" x14ac:dyDescent="0.2">
      <c r="Z14866" t="str">
        <f t="shared" si="232"/>
        <v/>
      </c>
    </row>
    <row r="14867" spans="26:26" x14ac:dyDescent="0.2">
      <c r="Z14867" t="str">
        <f t="shared" si="232"/>
        <v/>
      </c>
    </row>
    <row r="14868" spans="26:26" x14ac:dyDescent="0.2">
      <c r="Z14868" t="str">
        <f t="shared" si="232"/>
        <v/>
      </c>
    </row>
    <row r="14869" spans="26:26" x14ac:dyDescent="0.2">
      <c r="Z14869" t="str">
        <f t="shared" si="232"/>
        <v/>
      </c>
    </row>
    <row r="14870" spans="26:26" x14ac:dyDescent="0.2">
      <c r="Z14870" t="str">
        <f t="shared" si="232"/>
        <v/>
      </c>
    </row>
    <row r="14871" spans="26:26" x14ac:dyDescent="0.2">
      <c r="Z14871" t="str">
        <f t="shared" si="232"/>
        <v/>
      </c>
    </row>
    <row r="14872" spans="26:26" x14ac:dyDescent="0.2">
      <c r="Z14872" t="str">
        <f t="shared" si="232"/>
        <v/>
      </c>
    </row>
    <row r="14873" spans="26:26" x14ac:dyDescent="0.2">
      <c r="Z14873" t="str">
        <f t="shared" si="232"/>
        <v/>
      </c>
    </row>
    <row r="14874" spans="26:26" x14ac:dyDescent="0.2">
      <c r="Z14874" t="str">
        <f t="shared" si="232"/>
        <v/>
      </c>
    </row>
    <row r="14875" spans="26:26" x14ac:dyDescent="0.2">
      <c r="Z14875" t="str">
        <f t="shared" si="232"/>
        <v/>
      </c>
    </row>
    <row r="14876" spans="26:26" x14ac:dyDescent="0.2">
      <c r="Z14876" t="str">
        <f t="shared" si="232"/>
        <v/>
      </c>
    </row>
    <row r="14877" spans="26:26" x14ac:dyDescent="0.2">
      <c r="Z14877" t="str">
        <f t="shared" si="232"/>
        <v/>
      </c>
    </row>
    <row r="14878" spans="26:26" x14ac:dyDescent="0.2">
      <c r="Z14878" t="str">
        <f t="shared" si="232"/>
        <v/>
      </c>
    </row>
    <row r="14879" spans="26:26" x14ac:dyDescent="0.2">
      <c r="Z14879" t="str">
        <f t="shared" si="232"/>
        <v/>
      </c>
    </row>
    <row r="14880" spans="26:26" x14ac:dyDescent="0.2">
      <c r="Z14880" t="str">
        <f t="shared" si="232"/>
        <v/>
      </c>
    </row>
    <row r="14881" spans="26:26" x14ac:dyDescent="0.2">
      <c r="Z14881" t="str">
        <f t="shared" si="232"/>
        <v/>
      </c>
    </row>
    <row r="14882" spans="26:26" x14ac:dyDescent="0.2">
      <c r="Z14882" t="str">
        <f t="shared" si="232"/>
        <v/>
      </c>
    </row>
    <row r="14883" spans="26:26" x14ac:dyDescent="0.2">
      <c r="Z14883" t="str">
        <f t="shared" si="232"/>
        <v/>
      </c>
    </row>
    <row r="14884" spans="26:26" x14ac:dyDescent="0.2">
      <c r="Z14884" t="str">
        <f t="shared" si="232"/>
        <v/>
      </c>
    </row>
    <row r="14885" spans="26:26" x14ac:dyDescent="0.2">
      <c r="Z14885" t="str">
        <f t="shared" si="232"/>
        <v/>
      </c>
    </row>
    <row r="14886" spans="26:26" x14ac:dyDescent="0.2">
      <c r="Z14886" t="str">
        <f t="shared" si="232"/>
        <v/>
      </c>
    </row>
    <row r="14887" spans="26:26" x14ac:dyDescent="0.2">
      <c r="Z14887" t="str">
        <f t="shared" si="232"/>
        <v/>
      </c>
    </row>
    <row r="14888" spans="26:26" x14ac:dyDescent="0.2">
      <c r="Z14888" t="str">
        <f t="shared" si="232"/>
        <v/>
      </c>
    </row>
    <row r="14889" spans="26:26" x14ac:dyDescent="0.2">
      <c r="Z14889" t="str">
        <f t="shared" si="232"/>
        <v/>
      </c>
    </row>
    <row r="14890" spans="26:26" x14ac:dyDescent="0.2">
      <c r="Z14890" t="str">
        <f t="shared" si="232"/>
        <v/>
      </c>
    </row>
    <row r="14891" spans="26:26" x14ac:dyDescent="0.2">
      <c r="Z14891" t="str">
        <f t="shared" si="232"/>
        <v/>
      </c>
    </row>
    <row r="14892" spans="26:26" x14ac:dyDescent="0.2">
      <c r="Z14892" t="str">
        <f t="shared" si="232"/>
        <v/>
      </c>
    </row>
    <row r="14893" spans="26:26" x14ac:dyDescent="0.2">
      <c r="Z14893" t="str">
        <f t="shared" si="232"/>
        <v/>
      </c>
    </row>
    <row r="14894" spans="26:26" x14ac:dyDescent="0.2">
      <c r="Z14894" t="str">
        <f t="shared" si="232"/>
        <v/>
      </c>
    </row>
    <row r="14895" spans="26:26" x14ac:dyDescent="0.2">
      <c r="Z14895" t="str">
        <f t="shared" si="232"/>
        <v/>
      </c>
    </row>
    <row r="14896" spans="26:26" x14ac:dyDescent="0.2">
      <c r="Z14896" t="str">
        <f t="shared" si="232"/>
        <v/>
      </c>
    </row>
    <row r="14897" spans="26:26" x14ac:dyDescent="0.2">
      <c r="Z14897" t="str">
        <f t="shared" si="232"/>
        <v/>
      </c>
    </row>
    <row r="14898" spans="26:26" x14ac:dyDescent="0.2">
      <c r="Z14898" t="str">
        <f t="shared" si="232"/>
        <v/>
      </c>
    </row>
    <row r="14899" spans="26:26" x14ac:dyDescent="0.2">
      <c r="Z14899" t="str">
        <f t="shared" si="232"/>
        <v/>
      </c>
    </row>
    <row r="14900" spans="26:26" x14ac:dyDescent="0.2">
      <c r="Z14900" t="str">
        <f t="shared" si="232"/>
        <v/>
      </c>
    </row>
    <row r="14901" spans="26:26" x14ac:dyDescent="0.2">
      <c r="Z14901" t="str">
        <f t="shared" si="232"/>
        <v/>
      </c>
    </row>
    <row r="14902" spans="26:26" x14ac:dyDescent="0.2">
      <c r="Z14902" t="str">
        <f t="shared" si="232"/>
        <v/>
      </c>
    </row>
    <row r="14903" spans="26:26" x14ac:dyDescent="0.2">
      <c r="Z14903" t="str">
        <f t="shared" si="232"/>
        <v/>
      </c>
    </row>
    <row r="14904" spans="26:26" x14ac:dyDescent="0.2">
      <c r="Z14904" t="str">
        <f t="shared" si="232"/>
        <v/>
      </c>
    </row>
    <row r="14905" spans="26:26" x14ac:dyDescent="0.2">
      <c r="Z14905" t="str">
        <f t="shared" si="232"/>
        <v/>
      </c>
    </row>
    <row r="14906" spans="26:26" x14ac:dyDescent="0.2">
      <c r="Z14906" t="str">
        <f t="shared" si="232"/>
        <v/>
      </c>
    </row>
    <row r="14907" spans="26:26" x14ac:dyDescent="0.2">
      <c r="Z14907" t="str">
        <f t="shared" si="232"/>
        <v/>
      </c>
    </row>
    <row r="14908" spans="26:26" x14ac:dyDescent="0.2">
      <c r="Z14908" t="str">
        <f t="shared" si="232"/>
        <v/>
      </c>
    </row>
    <row r="14909" spans="26:26" x14ac:dyDescent="0.2">
      <c r="Z14909" t="str">
        <f t="shared" si="232"/>
        <v/>
      </c>
    </row>
    <row r="14910" spans="26:26" x14ac:dyDescent="0.2">
      <c r="Z14910" t="str">
        <f t="shared" si="232"/>
        <v/>
      </c>
    </row>
    <row r="14911" spans="26:26" x14ac:dyDescent="0.2">
      <c r="Z14911" t="str">
        <f t="shared" si="232"/>
        <v/>
      </c>
    </row>
    <row r="14912" spans="26:26" x14ac:dyDescent="0.2">
      <c r="Z14912" t="str">
        <f t="shared" si="232"/>
        <v/>
      </c>
    </row>
    <row r="14913" spans="26:26" x14ac:dyDescent="0.2">
      <c r="Z14913" t="str">
        <f t="shared" si="232"/>
        <v/>
      </c>
    </row>
    <row r="14914" spans="26:26" x14ac:dyDescent="0.2">
      <c r="Z14914" t="str">
        <f t="shared" si="232"/>
        <v/>
      </c>
    </row>
    <row r="14915" spans="26:26" x14ac:dyDescent="0.2">
      <c r="Z14915" t="str">
        <f t="shared" ref="Z14915:Z14978" si="233">IF(K14915="","",IFERROR(VALUE(TRIM(MID(K14915,FIND(CHAR(167),SUBSTITUTE(K14915,"-",CHAR(167),LEN(K14915)-LEN(SUBSTITUTE(K14915,"-",""))))+1,100))),K14915))</f>
        <v/>
      </c>
    </row>
    <row r="14916" spans="26:26" x14ac:dyDescent="0.2">
      <c r="Z14916" t="str">
        <f t="shared" si="233"/>
        <v/>
      </c>
    </row>
    <row r="14917" spans="26:26" x14ac:dyDescent="0.2">
      <c r="Z14917" t="str">
        <f t="shared" si="233"/>
        <v/>
      </c>
    </row>
    <row r="14918" spans="26:26" x14ac:dyDescent="0.2">
      <c r="Z14918" t="str">
        <f t="shared" si="233"/>
        <v/>
      </c>
    </row>
    <row r="14919" spans="26:26" x14ac:dyDescent="0.2">
      <c r="Z14919" t="str">
        <f t="shared" si="233"/>
        <v/>
      </c>
    </row>
    <row r="14920" spans="26:26" x14ac:dyDescent="0.2">
      <c r="Z14920" t="str">
        <f t="shared" si="233"/>
        <v/>
      </c>
    </row>
    <row r="14921" spans="26:26" x14ac:dyDescent="0.2">
      <c r="Z14921" t="str">
        <f t="shared" si="233"/>
        <v/>
      </c>
    </row>
    <row r="14922" spans="26:26" x14ac:dyDescent="0.2">
      <c r="Z14922" t="str">
        <f t="shared" si="233"/>
        <v/>
      </c>
    </row>
    <row r="14923" spans="26:26" x14ac:dyDescent="0.2">
      <c r="Z14923" t="str">
        <f t="shared" si="233"/>
        <v/>
      </c>
    </row>
    <row r="14924" spans="26:26" x14ac:dyDescent="0.2">
      <c r="Z14924" t="str">
        <f t="shared" si="233"/>
        <v/>
      </c>
    </row>
    <row r="14925" spans="26:26" x14ac:dyDescent="0.2">
      <c r="Z14925" t="str">
        <f t="shared" si="233"/>
        <v/>
      </c>
    </row>
    <row r="14926" spans="26:26" x14ac:dyDescent="0.2">
      <c r="Z14926" t="str">
        <f t="shared" si="233"/>
        <v/>
      </c>
    </row>
    <row r="14927" spans="26:26" x14ac:dyDescent="0.2">
      <c r="Z14927" t="str">
        <f t="shared" si="233"/>
        <v/>
      </c>
    </row>
    <row r="14928" spans="26:26" x14ac:dyDescent="0.2">
      <c r="Z14928" t="str">
        <f t="shared" si="233"/>
        <v/>
      </c>
    </row>
    <row r="14929" spans="26:26" x14ac:dyDescent="0.2">
      <c r="Z14929" t="str">
        <f t="shared" si="233"/>
        <v/>
      </c>
    </row>
    <row r="14930" spans="26:26" x14ac:dyDescent="0.2">
      <c r="Z14930" t="str">
        <f t="shared" si="233"/>
        <v/>
      </c>
    </row>
    <row r="14931" spans="26:26" x14ac:dyDescent="0.2">
      <c r="Z14931" t="str">
        <f t="shared" si="233"/>
        <v/>
      </c>
    </row>
    <row r="14932" spans="26:26" x14ac:dyDescent="0.2">
      <c r="Z14932" t="str">
        <f t="shared" si="233"/>
        <v/>
      </c>
    </row>
    <row r="14933" spans="26:26" x14ac:dyDescent="0.2">
      <c r="Z14933" t="str">
        <f t="shared" si="233"/>
        <v/>
      </c>
    </row>
    <row r="14934" spans="26:26" x14ac:dyDescent="0.2">
      <c r="Z14934" t="str">
        <f t="shared" si="233"/>
        <v/>
      </c>
    </row>
    <row r="14935" spans="26:26" x14ac:dyDescent="0.2">
      <c r="Z14935" t="str">
        <f t="shared" si="233"/>
        <v/>
      </c>
    </row>
    <row r="14936" spans="26:26" x14ac:dyDescent="0.2">
      <c r="Z14936" t="str">
        <f t="shared" si="233"/>
        <v/>
      </c>
    </row>
    <row r="14937" spans="26:26" x14ac:dyDescent="0.2">
      <c r="Z14937" t="str">
        <f t="shared" si="233"/>
        <v/>
      </c>
    </row>
    <row r="14938" spans="26:26" x14ac:dyDescent="0.2">
      <c r="Z14938" t="str">
        <f t="shared" si="233"/>
        <v/>
      </c>
    </row>
    <row r="14939" spans="26:26" x14ac:dyDescent="0.2">
      <c r="Z14939" t="str">
        <f t="shared" si="233"/>
        <v/>
      </c>
    </row>
    <row r="14940" spans="26:26" x14ac:dyDescent="0.2">
      <c r="Z14940" t="str">
        <f t="shared" si="233"/>
        <v/>
      </c>
    </row>
    <row r="14941" spans="26:26" x14ac:dyDescent="0.2">
      <c r="Z14941" t="str">
        <f t="shared" si="233"/>
        <v/>
      </c>
    </row>
    <row r="14942" spans="26:26" x14ac:dyDescent="0.2">
      <c r="Z14942" t="str">
        <f t="shared" si="233"/>
        <v/>
      </c>
    </row>
    <row r="14943" spans="26:26" x14ac:dyDescent="0.2">
      <c r="Z14943" t="str">
        <f t="shared" si="233"/>
        <v/>
      </c>
    </row>
    <row r="14944" spans="26:26" x14ac:dyDescent="0.2">
      <c r="Z14944" t="str">
        <f t="shared" si="233"/>
        <v/>
      </c>
    </row>
    <row r="14945" spans="26:26" x14ac:dyDescent="0.2">
      <c r="Z14945" t="str">
        <f t="shared" si="233"/>
        <v/>
      </c>
    </row>
    <row r="14946" spans="26:26" x14ac:dyDescent="0.2">
      <c r="Z14946" t="str">
        <f t="shared" si="233"/>
        <v/>
      </c>
    </row>
    <row r="14947" spans="26:26" x14ac:dyDescent="0.2">
      <c r="Z14947" t="str">
        <f t="shared" si="233"/>
        <v/>
      </c>
    </row>
    <row r="14948" spans="26:26" x14ac:dyDescent="0.2">
      <c r="Z14948" t="str">
        <f t="shared" si="233"/>
        <v/>
      </c>
    </row>
    <row r="14949" spans="26:26" x14ac:dyDescent="0.2">
      <c r="Z14949" t="str">
        <f t="shared" si="233"/>
        <v/>
      </c>
    </row>
    <row r="14950" spans="26:26" x14ac:dyDescent="0.2">
      <c r="Z14950" t="str">
        <f t="shared" si="233"/>
        <v/>
      </c>
    </row>
    <row r="14951" spans="26:26" x14ac:dyDescent="0.2">
      <c r="Z14951" t="str">
        <f t="shared" si="233"/>
        <v/>
      </c>
    </row>
    <row r="14952" spans="26:26" x14ac:dyDescent="0.2">
      <c r="Z14952" t="str">
        <f t="shared" si="233"/>
        <v/>
      </c>
    </row>
    <row r="14953" spans="26:26" x14ac:dyDescent="0.2">
      <c r="Z14953" t="str">
        <f t="shared" si="233"/>
        <v/>
      </c>
    </row>
    <row r="14954" spans="26:26" x14ac:dyDescent="0.2">
      <c r="Z14954" t="str">
        <f t="shared" si="233"/>
        <v/>
      </c>
    </row>
    <row r="14955" spans="26:26" x14ac:dyDescent="0.2">
      <c r="Z14955" t="str">
        <f t="shared" si="233"/>
        <v/>
      </c>
    </row>
    <row r="14956" spans="26:26" x14ac:dyDescent="0.2">
      <c r="Z14956" t="str">
        <f t="shared" si="233"/>
        <v/>
      </c>
    </row>
    <row r="14957" spans="26:26" x14ac:dyDescent="0.2">
      <c r="Z14957" t="str">
        <f t="shared" si="233"/>
        <v/>
      </c>
    </row>
    <row r="14958" spans="26:26" x14ac:dyDescent="0.2">
      <c r="Z14958" t="str">
        <f t="shared" si="233"/>
        <v/>
      </c>
    </row>
    <row r="14959" spans="26:26" x14ac:dyDescent="0.2">
      <c r="Z14959" t="str">
        <f t="shared" si="233"/>
        <v/>
      </c>
    </row>
    <row r="14960" spans="26:26" x14ac:dyDescent="0.2">
      <c r="Z14960" t="str">
        <f t="shared" si="233"/>
        <v/>
      </c>
    </row>
    <row r="14961" spans="26:26" x14ac:dyDescent="0.2">
      <c r="Z14961" t="str">
        <f t="shared" si="233"/>
        <v/>
      </c>
    </row>
    <row r="14962" spans="26:26" x14ac:dyDescent="0.2">
      <c r="Z14962" t="str">
        <f t="shared" si="233"/>
        <v/>
      </c>
    </row>
    <row r="14963" spans="26:26" x14ac:dyDescent="0.2">
      <c r="Z14963" t="str">
        <f t="shared" si="233"/>
        <v/>
      </c>
    </row>
    <row r="14964" spans="26:26" x14ac:dyDescent="0.2">
      <c r="Z14964" t="str">
        <f t="shared" si="233"/>
        <v/>
      </c>
    </row>
    <row r="14965" spans="26:26" x14ac:dyDescent="0.2">
      <c r="Z14965" t="str">
        <f t="shared" si="233"/>
        <v/>
      </c>
    </row>
    <row r="14966" spans="26:26" x14ac:dyDescent="0.2">
      <c r="Z14966" t="str">
        <f t="shared" si="233"/>
        <v/>
      </c>
    </row>
    <row r="14967" spans="26:26" x14ac:dyDescent="0.2">
      <c r="Z14967" t="str">
        <f t="shared" si="233"/>
        <v/>
      </c>
    </row>
    <row r="14968" spans="26:26" x14ac:dyDescent="0.2">
      <c r="Z14968" t="str">
        <f t="shared" si="233"/>
        <v/>
      </c>
    </row>
    <row r="14969" spans="26:26" x14ac:dyDescent="0.2">
      <c r="Z14969" t="str">
        <f t="shared" si="233"/>
        <v/>
      </c>
    </row>
    <row r="14970" spans="26:26" x14ac:dyDescent="0.2">
      <c r="Z14970" t="str">
        <f t="shared" si="233"/>
        <v/>
      </c>
    </row>
    <row r="14971" spans="26:26" x14ac:dyDescent="0.2">
      <c r="Z14971" t="str">
        <f t="shared" si="233"/>
        <v/>
      </c>
    </row>
    <row r="14972" spans="26:26" x14ac:dyDescent="0.2">
      <c r="Z14972" t="str">
        <f t="shared" si="233"/>
        <v/>
      </c>
    </row>
    <row r="14973" spans="26:26" x14ac:dyDescent="0.2">
      <c r="Z14973" t="str">
        <f t="shared" si="233"/>
        <v/>
      </c>
    </row>
    <row r="14974" spans="26:26" x14ac:dyDescent="0.2">
      <c r="Z14974" t="str">
        <f t="shared" si="233"/>
        <v/>
      </c>
    </row>
    <row r="14975" spans="26:26" x14ac:dyDescent="0.2">
      <c r="Z14975" t="str">
        <f t="shared" si="233"/>
        <v/>
      </c>
    </row>
    <row r="14976" spans="26:26" x14ac:dyDescent="0.2">
      <c r="Z14976" t="str">
        <f t="shared" si="233"/>
        <v/>
      </c>
    </row>
    <row r="14977" spans="26:26" x14ac:dyDescent="0.2">
      <c r="Z14977" t="str">
        <f t="shared" si="233"/>
        <v/>
      </c>
    </row>
    <row r="14978" spans="26:26" x14ac:dyDescent="0.2">
      <c r="Z14978" t="str">
        <f t="shared" si="233"/>
        <v/>
      </c>
    </row>
    <row r="14979" spans="26:26" x14ac:dyDescent="0.2">
      <c r="Z14979" t="str">
        <f t="shared" ref="Z14979:Z15042" si="234">IF(K14979="","",IFERROR(VALUE(TRIM(MID(K14979,FIND(CHAR(167),SUBSTITUTE(K14979,"-",CHAR(167),LEN(K14979)-LEN(SUBSTITUTE(K14979,"-",""))))+1,100))),K14979))</f>
        <v/>
      </c>
    </row>
    <row r="14980" spans="26:26" x14ac:dyDescent="0.2">
      <c r="Z14980" t="str">
        <f t="shared" si="234"/>
        <v/>
      </c>
    </row>
    <row r="14981" spans="26:26" x14ac:dyDescent="0.2">
      <c r="Z14981" t="str">
        <f t="shared" si="234"/>
        <v/>
      </c>
    </row>
    <row r="14982" spans="26:26" x14ac:dyDescent="0.2">
      <c r="Z14982" t="str">
        <f t="shared" si="234"/>
        <v/>
      </c>
    </row>
    <row r="14983" spans="26:26" x14ac:dyDescent="0.2">
      <c r="Z14983" t="str">
        <f t="shared" si="234"/>
        <v/>
      </c>
    </row>
    <row r="14984" spans="26:26" x14ac:dyDescent="0.2">
      <c r="Z14984" t="str">
        <f t="shared" si="234"/>
        <v/>
      </c>
    </row>
    <row r="14985" spans="26:26" x14ac:dyDescent="0.2">
      <c r="Z14985" t="str">
        <f t="shared" si="234"/>
        <v/>
      </c>
    </row>
    <row r="14986" spans="26:26" x14ac:dyDescent="0.2">
      <c r="Z14986" t="str">
        <f t="shared" si="234"/>
        <v/>
      </c>
    </row>
    <row r="14987" spans="26:26" x14ac:dyDescent="0.2">
      <c r="Z14987" t="str">
        <f t="shared" si="234"/>
        <v/>
      </c>
    </row>
    <row r="14988" spans="26:26" x14ac:dyDescent="0.2">
      <c r="Z14988" t="str">
        <f t="shared" si="234"/>
        <v/>
      </c>
    </row>
    <row r="14989" spans="26:26" x14ac:dyDescent="0.2">
      <c r="Z14989" t="str">
        <f t="shared" si="234"/>
        <v/>
      </c>
    </row>
    <row r="14990" spans="26:26" x14ac:dyDescent="0.2">
      <c r="Z14990" t="str">
        <f t="shared" si="234"/>
        <v/>
      </c>
    </row>
    <row r="14991" spans="26:26" x14ac:dyDescent="0.2">
      <c r="Z14991" t="str">
        <f t="shared" si="234"/>
        <v/>
      </c>
    </row>
    <row r="14992" spans="26:26" x14ac:dyDescent="0.2">
      <c r="Z14992" t="str">
        <f t="shared" si="234"/>
        <v/>
      </c>
    </row>
    <row r="14993" spans="26:26" x14ac:dyDescent="0.2">
      <c r="Z14993" t="str">
        <f t="shared" si="234"/>
        <v/>
      </c>
    </row>
    <row r="14994" spans="26:26" x14ac:dyDescent="0.2">
      <c r="Z14994" t="str">
        <f t="shared" si="234"/>
        <v/>
      </c>
    </row>
    <row r="14995" spans="26:26" x14ac:dyDescent="0.2">
      <c r="Z14995" t="str">
        <f t="shared" si="234"/>
        <v/>
      </c>
    </row>
    <row r="14996" spans="26:26" x14ac:dyDescent="0.2">
      <c r="Z14996" t="str">
        <f t="shared" si="234"/>
        <v/>
      </c>
    </row>
    <row r="14997" spans="26:26" x14ac:dyDescent="0.2">
      <c r="Z14997" t="str">
        <f t="shared" si="234"/>
        <v/>
      </c>
    </row>
    <row r="14998" spans="26:26" x14ac:dyDescent="0.2">
      <c r="Z14998" t="str">
        <f t="shared" si="234"/>
        <v/>
      </c>
    </row>
    <row r="14999" spans="26:26" x14ac:dyDescent="0.2">
      <c r="Z14999" t="str">
        <f t="shared" si="234"/>
        <v/>
      </c>
    </row>
    <row r="15000" spans="26:26" x14ac:dyDescent="0.2">
      <c r="Z15000" t="str">
        <f t="shared" si="234"/>
        <v/>
      </c>
    </row>
    <row r="15001" spans="26:26" x14ac:dyDescent="0.2">
      <c r="Z15001" t="str">
        <f t="shared" si="234"/>
        <v/>
      </c>
    </row>
    <row r="15002" spans="26:26" x14ac:dyDescent="0.2">
      <c r="Z15002" t="str">
        <f t="shared" si="234"/>
        <v/>
      </c>
    </row>
    <row r="15003" spans="26:26" x14ac:dyDescent="0.2">
      <c r="Z15003" t="str">
        <f t="shared" si="234"/>
        <v/>
      </c>
    </row>
    <row r="15004" spans="26:26" x14ac:dyDescent="0.2">
      <c r="Z15004" t="str">
        <f t="shared" si="234"/>
        <v/>
      </c>
    </row>
    <row r="15005" spans="26:26" x14ac:dyDescent="0.2">
      <c r="Z15005" t="str">
        <f t="shared" si="234"/>
        <v/>
      </c>
    </row>
    <row r="15006" spans="26:26" x14ac:dyDescent="0.2">
      <c r="Z15006" t="str">
        <f t="shared" si="234"/>
        <v/>
      </c>
    </row>
    <row r="15007" spans="26:26" x14ac:dyDescent="0.2">
      <c r="Z15007" t="str">
        <f t="shared" si="234"/>
        <v/>
      </c>
    </row>
    <row r="15008" spans="26:26" x14ac:dyDescent="0.2">
      <c r="Z15008" t="str">
        <f t="shared" si="234"/>
        <v/>
      </c>
    </row>
    <row r="15009" spans="26:26" x14ac:dyDescent="0.2">
      <c r="Z15009" t="str">
        <f t="shared" si="234"/>
        <v/>
      </c>
    </row>
    <row r="15010" spans="26:26" x14ac:dyDescent="0.2">
      <c r="Z15010" t="str">
        <f t="shared" si="234"/>
        <v/>
      </c>
    </row>
    <row r="15011" spans="26:26" x14ac:dyDescent="0.2">
      <c r="Z15011" t="str">
        <f t="shared" si="234"/>
        <v/>
      </c>
    </row>
    <row r="15012" spans="26:26" x14ac:dyDescent="0.2">
      <c r="Z15012" t="str">
        <f t="shared" si="234"/>
        <v/>
      </c>
    </row>
    <row r="15013" spans="26:26" x14ac:dyDescent="0.2">
      <c r="Z15013" t="str">
        <f t="shared" si="234"/>
        <v/>
      </c>
    </row>
    <row r="15014" spans="26:26" x14ac:dyDescent="0.2">
      <c r="Z15014" t="str">
        <f t="shared" si="234"/>
        <v/>
      </c>
    </row>
    <row r="15015" spans="26:26" x14ac:dyDescent="0.2">
      <c r="Z15015" t="str">
        <f t="shared" si="234"/>
        <v/>
      </c>
    </row>
    <row r="15016" spans="26:26" x14ac:dyDescent="0.2">
      <c r="Z15016" t="str">
        <f t="shared" si="234"/>
        <v/>
      </c>
    </row>
    <row r="15017" spans="26:26" x14ac:dyDescent="0.2">
      <c r="Z15017" t="str">
        <f t="shared" si="234"/>
        <v/>
      </c>
    </row>
    <row r="15018" spans="26:26" x14ac:dyDescent="0.2">
      <c r="Z15018" t="str">
        <f t="shared" si="234"/>
        <v/>
      </c>
    </row>
    <row r="15019" spans="26:26" x14ac:dyDescent="0.2">
      <c r="Z15019" t="str">
        <f t="shared" si="234"/>
        <v/>
      </c>
    </row>
    <row r="15020" spans="26:26" x14ac:dyDescent="0.2">
      <c r="Z15020" t="str">
        <f t="shared" si="234"/>
        <v/>
      </c>
    </row>
    <row r="15021" spans="26:26" x14ac:dyDescent="0.2">
      <c r="Z15021" t="str">
        <f t="shared" si="234"/>
        <v/>
      </c>
    </row>
    <row r="15022" spans="26:26" x14ac:dyDescent="0.2">
      <c r="Z15022" t="str">
        <f t="shared" si="234"/>
        <v/>
      </c>
    </row>
    <row r="15023" spans="26:26" x14ac:dyDescent="0.2">
      <c r="Z15023" t="str">
        <f t="shared" si="234"/>
        <v/>
      </c>
    </row>
    <row r="15024" spans="26:26" x14ac:dyDescent="0.2">
      <c r="Z15024" t="str">
        <f t="shared" si="234"/>
        <v/>
      </c>
    </row>
    <row r="15025" spans="26:26" x14ac:dyDescent="0.2">
      <c r="Z15025" t="str">
        <f t="shared" si="234"/>
        <v/>
      </c>
    </row>
    <row r="15026" spans="26:26" x14ac:dyDescent="0.2">
      <c r="Z15026" t="str">
        <f t="shared" si="234"/>
        <v/>
      </c>
    </row>
    <row r="15027" spans="26:26" x14ac:dyDescent="0.2">
      <c r="Z15027" t="str">
        <f t="shared" si="234"/>
        <v/>
      </c>
    </row>
    <row r="15028" spans="26:26" x14ac:dyDescent="0.2">
      <c r="Z15028" t="str">
        <f t="shared" si="234"/>
        <v/>
      </c>
    </row>
    <row r="15029" spans="26:26" x14ac:dyDescent="0.2">
      <c r="Z15029" t="str">
        <f t="shared" si="234"/>
        <v/>
      </c>
    </row>
    <row r="15030" spans="26:26" x14ac:dyDescent="0.2">
      <c r="Z15030" t="str">
        <f t="shared" si="234"/>
        <v/>
      </c>
    </row>
    <row r="15031" spans="26:26" x14ac:dyDescent="0.2">
      <c r="Z15031" t="str">
        <f t="shared" si="234"/>
        <v/>
      </c>
    </row>
    <row r="15032" spans="26:26" x14ac:dyDescent="0.2">
      <c r="Z15032" t="str">
        <f t="shared" si="234"/>
        <v/>
      </c>
    </row>
    <row r="15033" spans="26:26" x14ac:dyDescent="0.2">
      <c r="Z15033" t="str">
        <f t="shared" si="234"/>
        <v/>
      </c>
    </row>
    <row r="15034" spans="26:26" x14ac:dyDescent="0.2">
      <c r="Z15034" t="str">
        <f t="shared" si="234"/>
        <v/>
      </c>
    </row>
    <row r="15035" spans="26:26" x14ac:dyDescent="0.2">
      <c r="Z15035" t="str">
        <f t="shared" si="234"/>
        <v/>
      </c>
    </row>
    <row r="15036" spans="26:26" x14ac:dyDescent="0.2">
      <c r="Z15036" t="str">
        <f t="shared" si="234"/>
        <v/>
      </c>
    </row>
    <row r="15037" spans="26:26" x14ac:dyDescent="0.2">
      <c r="Z15037" t="str">
        <f t="shared" si="234"/>
        <v/>
      </c>
    </row>
    <row r="15038" spans="26:26" x14ac:dyDescent="0.2">
      <c r="Z15038" t="str">
        <f t="shared" si="234"/>
        <v/>
      </c>
    </row>
    <row r="15039" spans="26:26" x14ac:dyDescent="0.2">
      <c r="Z15039" t="str">
        <f t="shared" si="234"/>
        <v/>
      </c>
    </row>
    <row r="15040" spans="26:26" x14ac:dyDescent="0.2">
      <c r="Z15040" t="str">
        <f t="shared" si="234"/>
        <v/>
      </c>
    </row>
    <row r="15041" spans="26:26" x14ac:dyDescent="0.2">
      <c r="Z15041" t="str">
        <f t="shared" si="234"/>
        <v/>
      </c>
    </row>
    <row r="15042" spans="26:26" x14ac:dyDescent="0.2">
      <c r="Z15042" t="str">
        <f t="shared" si="234"/>
        <v/>
      </c>
    </row>
    <row r="15043" spans="26:26" x14ac:dyDescent="0.2">
      <c r="Z15043" t="str">
        <f t="shared" ref="Z15043:Z15106" si="235">IF(K15043="","",IFERROR(VALUE(TRIM(MID(K15043,FIND(CHAR(167),SUBSTITUTE(K15043,"-",CHAR(167),LEN(K15043)-LEN(SUBSTITUTE(K15043,"-",""))))+1,100))),K15043))</f>
        <v/>
      </c>
    </row>
    <row r="15044" spans="26:26" x14ac:dyDescent="0.2">
      <c r="Z15044" t="str">
        <f t="shared" si="235"/>
        <v/>
      </c>
    </row>
    <row r="15045" spans="26:26" x14ac:dyDescent="0.2">
      <c r="Z15045" t="str">
        <f t="shared" si="235"/>
        <v/>
      </c>
    </row>
    <row r="15046" spans="26:26" x14ac:dyDescent="0.2">
      <c r="Z15046" t="str">
        <f t="shared" si="235"/>
        <v/>
      </c>
    </row>
    <row r="15047" spans="26:26" x14ac:dyDescent="0.2">
      <c r="Z15047" t="str">
        <f t="shared" si="235"/>
        <v/>
      </c>
    </row>
    <row r="15048" spans="26:26" x14ac:dyDescent="0.2">
      <c r="Z15048" t="str">
        <f t="shared" si="235"/>
        <v/>
      </c>
    </row>
    <row r="15049" spans="26:26" x14ac:dyDescent="0.2">
      <c r="Z15049" t="str">
        <f t="shared" si="235"/>
        <v/>
      </c>
    </row>
    <row r="15050" spans="26:26" x14ac:dyDescent="0.2">
      <c r="Z15050" t="str">
        <f t="shared" si="235"/>
        <v/>
      </c>
    </row>
    <row r="15051" spans="26:26" x14ac:dyDescent="0.2">
      <c r="Z15051" t="str">
        <f t="shared" si="235"/>
        <v/>
      </c>
    </row>
    <row r="15052" spans="26:26" x14ac:dyDescent="0.2">
      <c r="Z15052" t="str">
        <f t="shared" si="235"/>
        <v/>
      </c>
    </row>
    <row r="15053" spans="26:26" x14ac:dyDescent="0.2">
      <c r="Z15053" t="str">
        <f t="shared" si="235"/>
        <v/>
      </c>
    </row>
    <row r="15054" spans="26:26" x14ac:dyDescent="0.2">
      <c r="Z15054" t="str">
        <f t="shared" si="235"/>
        <v/>
      </c>
    </row>
    <row r="15055" spans="26:26" x14ac:dyDescent="0.2">
      <c r="Z15055" t="str">
        <f t="shared" si="235"/>
        <v/>
      </c>
    </row>
    <row r="15056" spans="26:26" x14ac:dyDescent="0.2">
      <c r="Z15056" t="str">
        <f t="shared" si="235"/>
        <v/>
      </c>
    </row>
    <row r="15057" spans="26:26" x14ac:dyDescent="0.2">
      <c r="Z15057" t="str">
        <f t="shared" si="235"/>
        <v/>
      </c>
    </row>
    <row r="15058" spans="26:26" x14ac:dyDescent="0.2">
      <c r="Z15058" t="str">
        <f t="shared" si="235"/>
        <v/>
      </c>
    </row>
    <row r="15059" spans="26:26" x14ac:dyDescent="0.2">
      <c r="Z15059" t="str">
        <f t="shared" si="235"/>
        <v/>
      </c>
    </row>
    <row r="15060" spans="26:26" x14ac:dyDescent="0.2">
      <c r="Z15060" t="str">
        <f t="shared" si="235"/>
        <v/>
      </c>
    </row>
    <row r="15061" spans="26:26" x14ac:dyDescent="0.2">
      <c r="Z15061" t="str">
        <f t="shared" si="235"/>
        <v/>
      </c>
    </row>
    <row r="15062" spans="26:26" x14ac:dyDescent="0.2">
      <c r="Z15062" t="str">
        <f t="shared" si="235"/>
        <v/>
      </c>
    </row>
    <row r="15063" spans="26:26" x14ac:dyDescent="0.2">
      <c r="Z15063" t="str">
        <f t="shared" si="235"/>
        <v/>
      </c>
    </row>
    <row r="15064" spans="26:26" x14ac:dyDescent="0.2">
      <c r="Z15064" t="str">
        <f t="shared" si="235"/>
        <v/>
      </c>
    </row>
    <row r="15065" spans="26:26" x14ac:dyDescent="0.2">
      <c r="Z15065" t="str">
        <f t="shared" si="235"/>
        <v/>
      </c>
    </row>
    <row r="15066" spans="26:26" x14ac:dyDescent="0.2">
      <c r="Z15066" t="str">
        <f t="shared" si="235"/>
        <v/>
      </c>
    </row>
    <row r="15067" spans="26:26" x14ac:dyDescent="0.2">
      <c r="Z15067" t="str">
        <f t="shared" si="235"/>
        <v/>
      </c>
    </row>
    <row r="15068" spans="26:26" x14ac:dyDescent="0.2">
      <c r="Z15068" t="str">
        <f t="shared" si="235"/>
        <v/>
      </c>
    </row>
    <row r="15069" spans="26:26" x14ac:dyDescent="0.2">
      <c r="Z15069" t="str">
        <f t="shared" si="235"/>
        <v/>
      </c>
    </row>
    <row r="15070" spans="26:26" x14ac:dyDescent="0.2">
      <c r="Z15070" t="str">
        <f t="shared" si="235"/>
        <v/>
      </c>
    </row>
    <row r="15071" spans="26:26" x14ac:dyDescent="0.2">
      <c r="Z15071" t="str">
        <f t="shared" si="235"/>
        <v/>
      </c>
    </row>
    <row r="15072" spans="26:26" x14ac:dyDescent="0.2">
      <c r="Z15072" t="str">
        <f t="shared" si="235"/>
        <v/>
      </c>
    </row>
    <row r="15073" spans="26:26" x14ac:dyDescent="0.2">
      <c r="Z15073" t="str">
        <f t="shared" si="235"/>
        <v/>
      </c>
    </row>
    <row r="15074" spans="26:26" x14ac:dyDescent="0.2">
      <c r="Z15074" t="str">
        <f t="shared" si="235"/>
        <v/>
      </c>
    </row>
    <row r="15075" spans="26:26" x14ac:dyDescent="0.2">
      <c r="Z15075" t="str">
        <f t="shared" si="235"/>
        <v/>
      </c>
    </row>
    <row r="15076" spans="26:26" x14ac:dyDescent="0.2">
      <c r="Z15076" t="str">
        <f t="shared" si="235"/>
        <v/>
      </c>
    </row>
    <row r="15077" spans="26:26" x14ac:dyDescent="0.2">
      <c r="Z15077" t="str">
        <f t="shared" si="235"/>
        <v/>
      </c>
    </row>
    <row r="15078" spans="26:26" x14ac:dyDescent="0.2">
      <c r="Z15078" t="str">
        <f t="shared" si="235"/>
        <v/>
      </c>
    </row>
    <row r="15079" spans="26:26" x14ac:dyDescent="0.2">
      <c r="Z15079" t="str">
        <f t="shared" si="235"/>
        <v/>
      </c>
    </row>
    <row r="15080" spans="26:26" x14ac:dyDescent="0.2">
      <c r="Z15080" t="str">
        <f t="shared" si="235"/>
        <v/>
      </c>
    </row>
    <row r="15081" spans="26:26" x14ac:dyDescent="0.2">
      <c r="Z15081" t="str">
        <f t="shared" si="235"/>
        <v/>
      </c>
    </row>
    <row r="15082" spans="26:26" x14ac:dyDescent="0.2">
      <c r="Z15082" t="str">
        <f t="shared" si="235"/>
        <v/>
      </c>
    </row>
    <row r="15083" spans="26:26" x14ac:dyDescent="0.2">
      <c r="Z15083" t="str">
        <f t="shared" si="235"/>
        <v/>
      </c>
    </row>
    <row r="15084" spans="26:26" x14ac:dyDescent="0.2">
      <c r="Z15084" t="str">
        <f t="shared" si="235"/>
        <v/>
      </c>
    </row>
    <row r="15085" spans="26:26" x14ac:dyDescent="0.2">
      <c r="Z15085" t="str">
        <f t="shared" si="235"/>
        <v/>
      </c>
    </row>
    <row r="15086" spans="26:26" x14ac:dyDescent="0.2">
      <c r="Z15086" t="str">
        <f t="shared" si="235"/>
        <v/>
      </c>
    </row>
    <row r="15087" spans="26:26" x14ac:dyDescent="0.2">
      <c r="Z15087" t="str">
        <f t="shared" si="235"/>
        <v/>
      </c>
    </row>
    <row r="15088" spans="26:26" x14ac:dyDescent="0.2">
      <c r="Z15088" t="str">
        <f t="shared" si="235"/>
        <v/>
      </c>
    </row>
    <row r="15089" spans="26:26" x14ac:dyDescent="0.2">
      <c r="Z15089" t="str">
        <f t="shared" si="235"/>
        <v/>
      </c>
    </row>
    <row r="15090" spans="26:26" x14ac:dyDescent="0.2">
      <c r="Z15090" t="str">
        <f t="shared" si="235"/>
        <v/>
      </c>
    </row>
    <row r="15091" spans="26:26" x14ac:dyDescent="0.2">
      <c r="Z15091" t="str">
        <f t="shared" si="235"/>
        <v/>
      </c>
    </row>
    <row r="15092" spans="26:26" x14ac:dyDescent="0.2">
      <c r="Z15092" t="str">
        <f t="shared" si="235"/>
        <v/>
      </c>
    </row>
    <row r="15093" spans="26:26" x14ac:dyDescent="0.2">
      <c r="Z15093" t="str">
        <f t="shared" si="235"/>
        <v/>
      </c>
    </row>
    <row r="15094" spans="26:26" x14ac:dyDescent="0.2">
      <c r="Z15094" t="str">
        <f t="shared" si="235"/>
        <v/>
      </c>
    </row>
    <row r="15095" spans="26:26" x14ac:dyDescent="0.2">
      <c r="Z15095" t="str">
        <f t="shared" si="235"/>
        <v/>
      </c>
    </row>
    <row r="15096" spans="26:26" x14ac:dyDescent="0.2">
      <c r="Z15096" t="str">
        <f t="shared" si="235"/>
        <v/>
      </c>
    </row>
    <row r="15097" spans="26:26" x14ac:dyDescent="0.2">
      <c r="Z15097" t="str">
        <f t="shared" si="235"/>
        <v/>
      </c>
    </row>
    <row r="15098" spans="26:26" x14ac:dyDescent="0.2">
      <c r="Z15098" t="str">
        <f t="shared" si="235"/>
        <v/>
      </c>
    </row>
    <row r="15099" spans="26:26" x14ac:dyDescent="0.2">
      <c r="Z15099" t="str">
        <f t="shared" si="235"/>
        <v/>
      </c>
    </row>
    <row r="15100" spans="26:26" x14ac:dyDescent="0.2">
      <c r="Z15100" t="str">
        <f t="shared" si="235"/>
        <v/>
      </c>
    </row>
    <row r="15101" spans="26:26" x14ac:dyDescent="0.2">
      <c r="Z15101" t="str">
        <f t="shared" si="235"/>
        <v/>
      </c>
    </row>
    <row r="15102" spans="26:26" x14ac:dyDescent="0.2">
      <c r="Z15102" t="str">
        <f t="shared" si="235"/>
        <v/>
      </c>
    </row>
    <row r="15103" spans="26:26" x14ac:dyDescent="0.2">
      <c r="Z15103" t="str">
        <f t="shared" si="235"/>
        <v/>
      </c>
    </row>
    <row r="15104" spans="26:26" x14ac:dyDescent="0.2">
      <c r="Z15104" t="str">
        <f t="shared" si="235"/>
        <v/>
      </c>
    </row>
    <row r="15105" spans="26:26" x14ac:dyDescent="0.2">
      <c r="Z15105" t="str">
        <f t="shared" si="235"/>
        <v/>
      </c>
    </row>
    <row r="15106" spans="26:26" x14ac:dyDescent="0.2">
      <c r="Z15106" t="str">
        <f t="shared" si="235"/>
        <v/>
      </c>
    </row>
    <row r="15107" spans="26:26" x14ac:dyDescent="0.2">
      <c r="Z15107" t="str">
        <f t="shared" ref="Z15107:Z15170" si="236">IF(K15107="","",IFERROR(VALUE(TRIM(MID(K15107,FIND(CHAR(167),SUBSTITUTE(K15107,"-",CHAR(167),LEN(K15107)-LEN(SUBSTITUTE(K15107,"-",""))))+1,100))),K15107))</f>
        <v/>
      </c>
    </row>
    <row r="15108" spans="26:26" x14ac:dyDescent="0.2">
      <c r="Z15108" t="str">
        <f t="shared" si="236"/>
        <v/>
      </c>
    </row>
    <row r="15109" spans="26:26" x14ac:dyDescent="0.2">
      <c r="Z15109" t="str">
        <f t="shared" si="236"/>
        <v/>
      </c>
    </row>
    <row r="15110" spans="26:26" x14ac:dyDescent="0.2">
      <c r="Z15110" t="str">
        <f t="shared" si="236"/>
        <v/>
      </c>
    </row>
    <row r="15111" spans="26:26" x14ac:dyDescent="0.2">
      <c r="Z15111" t="str">
        <f t="shared" si="236"/>
        <v/>
      </c>
    </row>
    <row r="15112" spans="26:26" x14ac:dyDescent="0.2">
      <c r="Z15112" t="str">
        <f t="shared" si="236"/>
        <v/>
      </c>
    </row>
    <row r="15113" spans="26:26" x14ac:dyDescent="0.2">
      <c r="Z15113" t="str">
        <f t="shared" si="236"/>
        <v/>
      </c>
    </row>
    <row r="15114" spans="26:26" x14ac:dyDescent="0.2">
      <c r="Z15114" t="str">
        <f t="shared" si="236"/>
        <v/>
      </c>
    </row>
    <row r="15115" spans="26:26" x14ac:dyDescent="0.2">
      <c r="Z15115" t="str">
        <f t="shared" si="236"/>
        <v/>
      </c>
    </row>
    <row r="15116" spans="26:26" x14ac:dyDescent="0.2">
      <c r="Z15116" t="str">
        <f t="shared" si="236"/>
        <v/>
      </c>
    </row>
    <row r="15117" spans="26:26" x14ac:dyDescent="0.2">
      <c r="Z15117" t="str">
        <f t="shared" si="236"/>
        <v/>
      </c>
    </row>
    <row r="15118" spans="26:26" x14ac:dyDescent="0.2">
      <c r="Z15118" t="str">
        <f t="shared" si="236"/>
        <v/>
      </c>
    </row>
    <row r="15119" spans="26:26" x14ac:dyDescent="0.2">
      <c r="Z15119" t="str">
        <f t="shared" si="236"/>
        <v/>
      </c>
    </row>
    <row r="15120" spans="26:26" x14ac:dyDescent="0.2">
      <c r="Z15120" t="str">
        <f t="shared" si="236"/>
        <v/>
      </c>
    </row>
    <row r="15121" spans="26:26" x14ac:dyDescent="0.2">
      <c r="Z15121" t="str">
        <f t="shared" si="236"/>
        <v/>
      </c>
    </row>
    <row r="15122" spans="26:26" x14ac:dyDescent="0.2">
      <c r="Z15122" t="str">
        <f t="shared" si="236"/>
        <v/>
      </c>
    </row>
    <row r="15123" spans="26:26" x14ac:dyDescent="0.2">
      <c r="Z15123" t="str">
        <f t="shared" si="236"/>
        <v/>
      </c>
    </row>
    <row r="15124" spans="26:26" x14ac:dyDescent="0.2">
      <c r="Z15124" t="str">
        <f t="shared" si="236"/>
        <v/>
      </c>
    </row>
    <row r="15125" spans="26:26" x14ac:dyDescent="0.2">
      <c r="Z15125" t="str">
        <f t="shared" si="236"/>
        <v/>
      </c>
    </row>
    <row r="15126" spans="26:26" x14ac:dyDescent="0.2">
      <c r="Z15126" t="str">
        <f t="shared" si="236"/>
        <v/>
      </c>
    </row>
    <row r="15127" spans="26:26" x14ac:dyDescent="0.2">
      <c r="Z15127" t="str">
        <f t="shared" si="236"/>
        <v/>
      </c>
    </row>
    <row r="15128" spans="26:26" x14ac:dyDescent="0.2">
      <c r="Z15128" t="str">
        <f t="shared" si="236"/>
        <v/>
      </c>
    </row>
    <row r="15129" spans="26:26" x14ac:dyDescent="0.2">
      <c r="Z15129" t="str">
        <f t="shared" si="236"/>
        <v/>
      </c>
    </row>
    <row r="15130" spans="26:26" x14ac:dyDescent="0.2">
      <c r="Z15130" t="str">
        <f t="shared" si="236"/>
        <v/>
      </c>
    </row>
    <row r="15131" spans="26:26" x14ac:dyDescent="0.2">
      <c r="Z15131" t="str">
        <f t="shared" si="236"/>
        <v/>
      </c>
    </row>
    <row r="15132" spans="26:26" x14ac:dyDescent="0.2">
      <c r="Z15132" t="str">
        <f t="shared" si="236"/>
        <v/>
      </c>
    </row>
    <row r="15133" spans="26:26" x14ac:dyDescent="0.2">
      <c r="Z15133" t="str">
        <f t="shared" si="236"/>
        <v/>
      </c>
    </row>
    <row r="15134" spans="26:26" x14ac:dyDescent="0.2">
      <c r="Z15134" t="str">
        <f t="shared" si="236"/>
        <v/>
      </c>
    </row>
    <row r="15135" spans="26:26" x14ac:dyDescent="0.2">
      <c r="Z15135" t="str">
        <f t="shared" si="236"/>
        <v/>
      </c>
    </row>
    <row r="15136" spans="26:26" x14ac:dyDescent="0.2">
      <c r="Z15136" t="str">
        <f t="shared" si="236"/>
        <v/>
      </c>
    </row>
    <row r="15137" spans="26:26" x14ac:dyDescent="0.2">
      <c r="Z15137" t="str">
        <f t="shared" si="236"/>
        <v/>
      </c>
    </row>
    <row r="15138" spans="26:26" x14ac:dyDescent="0.2">
      <c r="Z15138" t="str">
        <f t="shared" si="236"/>
        <v/>
      </c>
    </row>
    <row r="15139" spans="26:26" x14ac:dyDescent="0.2">
      <c r="Z15139" t="str">
        <f t="shared" si="236"/>
        <v/>
      </c>
    </row>
    <row r="15140" spans="26:26" x14ac:dyDescent="0.2">
      <c r="Z15140" t="str">
        <f t="shared" si="236"/>
        <v/>
      </c>
    </row>
    <row r="15141" spans="26:26" x14ac:dyDescent="0.2">
      <c r="Z15141" t="str">
        <f t="shared" si="236"/>
        <v/>
      </c>
    </row>
    <row r="15142" spans="26:26" x14ac:dyDescent="0.2">
      <c r="Z15142" t="str">
        <f t="shared" si="236"/>
        <v/>
      </c>
    </row>
    <row r="15143" spans="26:26" x14ac:dyDescent="0.2">
      <c r="Z15143" t="str">
        <f t="shared" si="236"/>
        <v/>
      </c>
    </row>
    <row r="15144" spans="26:26" x14ac:dyDescent="0.2">
      <c r="Z15144" t="str">
        <f t="shared" si="236"/>
        <v/>
      </c>
    </row>
    <row r="15145" spans="26:26" x14ac:dyDescent="0.2">
      <c r="Z15145" t="str">
        <f t="shared" si="236"/>
        <v/>
      </c>
    </row>
    <row r="15146" spans="26:26" x14ac:dyDescent="0.2">
      <c r="Z15146" t="str">
        <f t="shared" si="236"/>
        <v/>
      </c>
    </row>
    <row r="15147" spans="26:26" x14ac:dyDescent="0.2">
      <c r="Z15147" t="str">
        <f t="shared" si="236"/>
        <v/>
      </c>
    </row>
    <row r="15148" spans="26:26" x14ac:dyDescent="0.2">
      <c r="Z15148" t="str">
        <f t="shared" si="236"/>
        <v/>
      </c>
    </row>
    <row r="15149" spans="26:26" x14ac:dyDescent="0.2">
      <c r="Z15149" t="str">
        <f t="shared" si="236"/>
        <v/>
      </c>
    </row>
    <row r="15150" spans="26:26" x14ac:dyDescent="0.2">
      <c r="Z15150" t="str">
        <f t="shared" si="236"/>
        <v/>
      </c>
    </row>
    <row r="15151" spans="26:26" x14ac:dyDescent="0.2">
      <c r="Z15151" t="str">
        <f t="shared" si="236"/>
        <v/>
      </c>
    </row>
    <row r="15152" spans="26:26" x14ac:dyDescent="0.2">
      <c r="Z15152" t="str">
        <f t="shared" si="236"/>
        <v/>
      </c>
    </row>
    <row r="15153" spans="26:26" x14ac:dyDescent="0.2">
      <c r="Z15153" t="str">
        <f t="shared" si="236"/>
        <v/>
      </c>
    </row>
    <row r="15154" spans="26:26" x14ac:dyDescent="0.2">
      <c r="Z15154" t="str">
        <f t="shared" si="236"/>
        <v/>
      </c>
    </row>
    <row r="15155" spans="26:26" x14ac:dyDescent="0.2">
      <c r="Z15155" t="str">
        <f t="shared" si="236"/>
        <v/>
      </c>
    </row>
    <row r="15156" spans="26:26" x14ac:dyDescent="0.2">
      <c r="Z15156" t="str">
        <f t="shared" si="236"/>
        <v/>
      </c>
    </row>
    <row r="15157" spans="26:26" x14ac:dyDescent="0.2">
      <c r="Z15157" t="str">
        <f t="shared" si="236"/>
        <v/>
      </c>
    </row>
    <row r="15158" spans="26:26" x14ac:dyDescent="0.2">
      <c r="Z15158" t="str">
        <f t="shared" si="236"/>
        <v/>
      </c>
    </row>
    <row r="15159" spans="26:26" x14ac:dyDescent="0.2">
      <c r="Z15159" t="str">
        <f t="shared" si="236"/>
        <v/>
      </c>
    </row>
    <row r="15160" spans="26:26" x14ac:dyDescent="0.2">
      <c r="Z15160" t="str">
        <f t="shared" si="236"/>
        <v/>
      </c>
    </row>
    <row r="15161" spans="26:26" x14ac:dyDescent="0.2">
      <c r="Z15161" t="str">
        <f t="shared" si="236"/>
        <v/>
      </c>
    </row>
    <row r="15162" spans="26:26" x14ac:dyDescent="0.2">
      <c r="Z15162" t="str">
        <f t="shared" si="236"/>
        <v/>
      </c>
    </row>
    <row r="15163" spans="26:26" x14ac:dyDescent="0.2">
      <c r="Z15163" t="str">
        <f t="shared" si="236"/>
        <v/>
      </c>
    </row>
    <row r="15164" spans="26:26" x14ac:dyDescent="0.2">
      <c r="Z15164" t="str">
        <f t="shared" si="236"/>
        <v/>
      </c>
    </row>
    <row r="15165" spans="26:26" x14ac:dyDescent="0.2">
      <c r="Z15165" t="str">
        <f t="shared" si="236"/>
        <v/>
      </c>
    </row>
    <row r="15166" spans="26:26" x14ac:dyDescent="0.2">
      <c r="Z15166" t="str">
        <f t="shared" si="236"/>
        <v/>
      </c>
    </row>
    <row r="15167" spans="26:26" x14ac:dyDescent="0.2">
      <c r="Z15167" t="str">
        <f t="shared" si="236"/>
        <v/>
      </c>
    </row>
    <row r="15168" spans="26:26" x14ac:dyDescent="0.2">
      <c r="Z15168" t="str">
        <f t="shared" si="236"/>
        <v/>
      </c>
    </row>
    <row r="15169" spans="26:26" x14ac:dyDescent="0.2">
      <c r="Z15169" t="str">
        <f t="shared" si="236"/>
        <v/>
      </c>
    </row>
    <row r="15170" spans="26:26" x14ac:dyDescent="0.2">
      <c r="Z15170" t="str">
        <f t="shared" si="236"/>
        <v/>
      </c>
    </row>
    <row r="15171" spans="26:26" x14ac:dyDescent="0.2">
      <c r="Z15171" t="str">
        <f t="shared" ref="Z15171:Z15234" si="237">IF(K15171="","",IFERROR(VALUE(TRIM(MID(K15171,FIND(CHAR(167),SUBSTITUTE(K15171,"-",CHAR(167),LEN(K15171)-LEN(SUBSTITUTE(K15171,"-",""))))+1,100))),K15171))</f>
        <v/>
      </c>
    </row>
    <row r="15172" spans="26:26" x14ac:dyDescent="0.2">
      <c r="Z15172" t="str">
        <f t="shared" si="237"/>
        <v/>
      </c>
    </row>
    <row r="15173" spans="26:26" x14ac:dyDescent="0.2">
      <c r="Z15173" t="str">
        <f t="shared" si="237"/>
        <v/>
      </c>
    </row>
    <row r="15174" spans="26:26" x14ac:dyDescent="0.2">
      <c r="Z15174" t="str">
        <f t="shared" si="237"/>
        <v/>
      </c>
    </row>
    <row r="15175" spans="26:26" x14ac:dyDescent="0.2">
      <c r="Z15175" t="str">
        <f t="shared" si="237"/>
        <v/>
      </c>
    </row>
    <row r="15176" spans="26:26" x14ac:dyDescent="0.2">
      <c r="Z15176" t="str">
        <f t="shared" si="237"/>
        <v/>
      </c>
    </row>
    <row r="15177" spans="26:26" x14ac:dyDescent="0.2">
      <c r="Z15177" t="str">
        <f t="shared" si="237"/>
        <v/>
      </c>
    </row>
    <row r="15178" spans="26:26" x14ac:dyDescent="0.2">
      <c r="Z15178" t="str">
        <f t="shared" si="237"/>
        <v/>
      </c>
    </row>
    <row r="15179" spans="26:26" x14ac:dyDescent="0.2">
      <c r="Z15179" t="str">
        <f t="shared" si="237"/>
        <v/>
      </c>
    </row>
    <row r="15180" spans="26:26" x14ac:dyDescent="0.2">
      <c r="Z15180" t="str">
        <f t="shared" si="237"/>
        <v/>
      </c>
    </row>
    <row r="15181" spans="26:26" x14ac:dyDescent="0.2">
      <c r="Z15181" t="str">
        <f t="shared" si="237"/>
        <v/>
      </c>
    </row>
    <row r="15182" spans="26:26" x14ac:dyDescent="0.2">
      <c r="Z15182" t="str">
        <f t="shared" si="237"/>
        <v/>
      </c>
    </row>
    <row r="15183" spans="26:26" x14ac:dyDescent="0.2">
      <c r="Z15183" t="str">
        <f t="shared" si="237"/>
        <v/>
      </c>
    </row>
    <row r="15184" spans="26:26" x14ac:dyDescent="0.2">
      <c r="Z15184" t="str">
        <f t="shared" si="237"/>
        <v/>
      </c>
    </row>
    <row r="15185" spans="26:26" x14ac:dyDescent="0.2">
      <c r="Z15185" t="str">
        <f t="shared" si="237"/>
        <v/>
      </c>
    </row>
    <row r="15186" spans="26:26" x14ac:dyDescent="0.2">
      <c r="Z15186" t="str">
        <f t="shared" si="237"/>
        <v/>
      </c>
    </row>
    <row r="15187" spans="26:26" x14ac:dyDescent="0.2">
      <c r="Z15187" t="str">
        <f t="shared" si="237"/>
        <v/>
      </c>
    </row>
    <row r="15188" spans="26:26" x14ac:dyDescent="0.2">
      <c r="Z15188" t="str">
        <f t="shared" si="237"/>
        <v/>
      </c>
    </row>
    <row r="15189" spans="26:26" x14ac:dyDescent="0.2">
      <c r="Z15189" t="str">
        <f t="shared" si="237"/>
        <v/>
      </c>
    </row>
    <row r="15190" spans="26:26" x14ac:dyDescent="0.2">
      <c r="Z15190" t="str">
        <f t="shared" si="237"/>
        <v/>
      </c>
    </row>
    <row r="15191" spans="26:26" x14ac:dyDescent="0.2">
      <c r="Z15191" t="str">
        <f t="shared" si="237"/>
        <v/>
      </c>
    </row>
    <row r="15192" spans="26:26" x14ac:dyDescent="0.2">
      <c r="Z15192" t="str">
        <f t="shared" si="237"/>
        <v/>
      </c>
    </row>
    <row r="15193" spans="26:26" x14ac:dyDescent="0.2">
      <c r="Z15193" t="str">
        <f t="shared" si="237"/>
        <v/>
      </c>
    </row>
    <row r="15194" spans="26:26" x14ac:dyDescent="0.2">
      <c r="Z15194" t="str">
        <f t="shared" si="237"/>
        <v/>
      </c>
    </row>
    <row r="15195" spans="26:26" x14ac:dyDescent="0.2">
      <c r="Z15195" t="str">
        <f t="shared" si="237"/>
        <v/>
      </c>
    </row>
    <row r="15196" spans="26:26" x14ac:dyDescent="0.2">
      <c r="Z15196" t="str">
        <f t="shared" si="237"/>
        <v/>
      </c>
    </row>
    <row r="15197" spans="26:26" x14ac:dyDescent="0.2">
      <c r="Z15197" t="str">
        <f t="shared" si="237"/>
        <v/>
      </c>
    </row>
    <row r="15198" spans="26:26" x14ac:dyDescent="0.2">
      <c r="Z15198" t="str">
        <f t="shared" si="237"/>
        <v/>
      </c>
    </row>
    <row r="15199" spans="26:26" x14ac:dyDescent="0.2">
      <c r="Z15199" t="str">
        <f t="shared" si="237"/>
        <v/>
      </c>
    </row>
    <row r="15200" spans="26:26" x14ac:dyDescent="0.2">
      <c r="Z15200" t="str">
        <f t="shared" si="237"/>
        <v/>
      </c>
    </row>
    <row r="15201" spans="26:26" x14ac:dyDescent="0.2">
      <c r="Z15201" t="str">
        <f t="shared" si="237"/>
        <v/>
      </c>
    </row>
    <row r="15202" spans="26:26" x14ac:dyDescent="0.2">
      <c r="Z15202" t="str">
        <f t="shared" si="237"/>
        <v/>
      </c>
    </row>
    <row r="15203" spans="26:26" x14ac:dyDescent="0.2">
      <c r="Z15203" t="str">
        <f t="shared" si="237"/>
        <v/>
      </c>
    </row>
    <row r="15204" spans="26:26" x14ac:dyDescent="0.2">
      <c r="Z15204" t="str">
        <f t="shared" si="237"/>
        <v/>
      </c>
    </row>
    <row r="15205" spans="26:26" x14ac:dyDescent="0.2">
      <c r="Z15205" t="str">
        <f t="shared" si="237"/>
        <v/>
      </c>
    </row>
    <row r="15206" spans="26:26" x14ac:dyDescent="0.2">
      <c r="Z15206" t="str">
        <f t="shared" si="237"/>
        <v/>
      </c>
    </row>
    <row r="15207" spans="26:26" x14ac:dyDescent="0.2">
      <c r="Z15207" t="str">
        <f t="shared" si="237"/>
        <v/>
      </c>
    </row>
    <row r="15208" spans="26:26" x14ac:dyDescent="0.2">
      <c r="Z15208" t="str">
        <f t="shared" si="237"/>
        <v/>
      </c>
    </row>
    <row r="15209" spans="26:26" x14ac:dyDescent="0.2">
      <c r="Z15209" t="str">
        <f t="shared" si="237"/>
        <v/>
      </c>
    </row>
    <row r="15210" spans="26:26" x14ac:dyDescent="0.2">
      <c r="Z15210" t="str">
        <f t="shared" si="237"/>
        <v/>
      </c>
    </row>
    <row r="15211" spans="26:26" x14ac:dyDescent="0.2">
      <c r="Z15211" t="str">
        <f t="shared" si="237"/>
        <v/>
      </c>
    </row>
    <row r="15212" spans="26:26" x14ac:dyDescent="0.2">
      <c r="Z15212" t="str">
        <f t="shared" si="237"/>
        <v/>
      </c>
    </row>
    <row r="15213" spans="26:26" x14ac:dyDescent="0.2">
      <c r="Z15213" t="str">
        <f t="shared" si="237"/>
        <v/>
      </c>
    </row>
    <row r="15214" spans="26:26" x14ac:dyDescent="0.2">
      <c r="Z15214" t="str">
        <f t="shared" si="237"/>
        <v/>
      </c>
    </row>
    <row r="15215" spans="26:26" x14ac:dyDescent="0.2">
      <c r="Z15215" t="str">
        <f t="shared" si="237"/>
        <v/>
      </c>
    </row>
    <row r="15216" spans="26:26" x14ac:dyDescent="0.2">
      <c r="Z15216" t="str">
        <f t="shared" si="237"/>
        <v/>
      </c>
    </row>
    <row r="15217" spans="26:26" x14ac:dyDescent="0.2">
      <c r="Z15217" t="str">
        <f t="shared" si="237"/>
        <v/>
      </c>
    </row>
    <row r="15218" spans="26:26" x14ac:dyDescent="0.2">
      <c r="Z15218" t="str">
        <f t="shared" si="237"/>
        <v/>
      </c>
    </row>
    <row r="15219" spans="26:26" x14ac:dyDescent="0.2">
      <c r="Z15219" t="str">
        <f t="shared" si="237"/>
        <v/>
      </c>
    </row>
    <row r="15220" spans="26:26" x14ac:dyDescent="0.2">
      <c r="Z15220" t="str">
        <f t="shared" si="237"/>
        <v/>
      </c>
    </row>
    <row r="15221" spans="26:26" x14ac:dyDescent="0.2">
      <c r="Z15221" t="str">
        <f t="shared" si="237"/>
        <v/>
      </c>
    </row>
    <row r="15222" spans="26:26" x14ac:dyDescent="0.2">
      <c r="Z15222" t="str">
        <f t="shared" si="237"/>
        <v/>
      </c>
    </row>
    <row r="15223" spans="26:26" x14ac:dyDescent="0.2">
      <c r="Z15223" t="str">
        <f t="shared" si="237"/>
        <v/>
      </c>
    </row>
    <row r="15224" spans="26:26" x14ac:dyDescent="0.2">
      <c r="Z15224" t="str">
        <f t="shared" si="237"/>
        <v/>
      </c>
    </row>
    <row r="15225" spans="26:26" x14ac:dyDescent="0.2">
      <c r="Z15225" t="str">
        <f t="shared" si="237"/>
        <v/>
      </c>
    </row>
    <row r="15226" spans="26:26" x14ac:dyDescent="0.2">
      <c r="Z15226" t="str">
        <f t="shared" si="237"/>
        <v/>
      </c>
    </row>
    <row r="15227" spans="26:26" x14ac:dyDescent="0.2">
      <c r="Z15227" t="str">
        <f t="shared" si="237"/>
        <v/>
      </c>
    </row>
    <row r="15228" spans="26:26" x14ac:dyDescent="0.2">
      <c r="Z15228" t="str">
        <f t="shared" si="237"/>
        <v/>
      </c>
    </row>
    <row r="15229" spans="26:26" x14ac:dyDescent="0.2">
      <c r="Z15229" t="str">
        <f t="shared" si="237"/>
        <v/>
      </c>
    </row>
    <row r="15230" spans="26:26" x14ac:dyDescent="0.2">
      <c r="Z15230" t="str">
        <f t="shared" si="237"/>
        <v/>
      </c>
    </row>
    <row r="15231" spans="26:26" x14ac:dyDescent="0.2">
      <c r="Z15231" t="str">
        <f t="shared" si="237"/>
        <v/>
      </c>
    </row>
    <row r="15232" spans="26:26" x14ac:dyDescent="0.2">
      <c r="Z15232" t="str">
        <f t="shared" si="237"/>
        <v/>
      </c>
    </row>
    <row r="15233" spans="26:26" x14ac:dyDescent="0.2">
      <c r="Z15233" t="str">
        <f t="shared" si="237"/>
        <v/>
      </c>
    </row>
    <row r="15234" spans="26:26" x14ac:dyDescent="0.2">
      <c r="Z15234" t="str">
        <f t="shared" si="237"/>
        <v/>
      </c>
    </row>
    <row r="15235" spans="26:26" x14ac:dyDescent="0.2">
      <c r="Z15235" t="str">
        <f t="shared" ref="Z15235:Z15298" si="238">IF(K15235="","",IFERROR(VALUE(TRIM(MID(K15235,FIND(CHAR(167),SUBSTITUTE(K15235,"-",CHAR(167),LEN(K15235)-LEN(SUBSTITUTE(K15235,"-",""))))+1,100))),K15235))</f>
        <v/>
      </c>
    </row>
    <row r="15236" spans="26:26" x14ac:dyDescent="0.2">
      <c r="Z15236" t="str">
        <f t="shared" si="238"/>
        <v/>
      </c>
    </row>
    <row r="15237" spans="26:26" x14ac:dyDescent="0.2">
      <c r="Z15237" t="str">
        <f t="shared" si="238"/>
        <v/>
      </c>
    </row>
    <row r="15238" spans="26:26" x14ac:dyDescent="0.2">
      <c r="Z15238" t="str">
        <f t="shared" si="238"/>
        <v/>
      </c>
    </row>
    <row r="15239" spans="26:26" x14ac:dyDescent="0.2">
      <c r="Z15239" t="str">
        <f t="shared" si="238"/>
        <v/>
      </c>
    </row>
    <row r="15240" spans="26:26" x14ac:dyDescent="0.2">
      <c r="Z15240" t="str">
        <f t="shared" si="238"/>
        <v/>
      </c>
    </row>
    <row r="15241" spans="26:26" x14ac:dyDescent="0.2">
      <c r="Z15241" t="str">
        <f t="shared" si="238"/>
        <v/>
      </c>
    </row>
    <row r="15242" spans="26:26" x14ac:dyDescent="0.2">
      <c r="Z15242" t="str">
        <f t="shared" si="238"/>
        <v/>
      </c>
    </row>
    <row r="15243" spans="26:26" x14ac:dyDescent="0.2">
      <c r="Z15243" t="str">
        <f t="shared" si="238"/>
        <v/>
      </c>
    </row>
    <row r="15244" spans="26:26" x14ac:dyDescent="0.2">
      <c r="Z15244" t="str">
        <f t="shared" si="238"/>
        <v/>
      </c>
    </row>
    <row r="15245" spans="26:26" x14ac:dyDescent="0.2">
      <c r="Z15245" t="str">
        <f t="shared" si="238"/>
        <v/>
      </c>
    </row>
    <row r="15246" spans="26:26" x14ac:dyDescent="0.2">
      <c r="Z15246" t="str">
        <f t="shared" si="238"/>
        <v/>
      </c>
    </row>
    <row r="15247" spans="26:26" x14ac:dyDescent="0.2">
      <c r="Z15247" t="str">
        <f t="shared" si="238"/>
        <v/>
      </c>
    </row>
    <row r="15248" spans="26:26" x14ac:dyDescent="0.2">
      <c r="Z15248" t="str">
        <f t="shared" si="238"/>
        <v/>
      </c>
    </row>
    <row r="15249" spans="26:26" x14ac:dyDescent="0.2">
      <c r="Z15249" t="str">
        <f t="shared" si="238"/>
        <v/>
      </c>
    </row>
    <row r="15250" spans="26:26" x14ac:dyDescent="0.2">
      <c r="Z15250" t="str">
        <f t="shared" si="238"/>
        <v/>
      </c>
    </row>
    <row r="15251" spans="26:26" x14ac:dyDescent="0.2">
      <c r="Z15251" t="str">
        <f t="shared" si="238"/>
        <v/>
      </c>
    </row>
    <row r="15252" spans="26:26" x14ac:dyDescent="0.2">
      <c r="Z15252" t="str">
        <f t="shared" si="238"/>
        <v/>
      </c>
    </row>
    <row r="15253" spans="26:26" x14ac:dyDescent="0.2">
      <c r="Z15253" t="str">
        <f t="shared" si="238"/>
        <v/>
      </c>
    </row>
    <row r="15254" spans="26:26" x14ac:dyDescent="0.2">
      <c r="Z15254" t="str">
        <f t="shared" si="238"/>
        <v/>
      </c>
    </row>
    <row r="15255" spans="26:26" x14ac:dyDescent="0.2">
      <c r="Z15255" t="str">
        <f t="shared" si="238"/>
        <v/>
      </c>
    </row>
    <row r="15256" spans="26:26" x14ac:dyDescent="0.2">
      <c r="Z15256" t="str">
        <f t="shared" si="238"/>
        <v/>
      </c>
    </row>
    <row r="15257" spans="26:26" x14ac:dyDescent="0.2">
      <c r="Z15257" t="str">
        <f t="shared" si="238"/>
        <v/>
      </c>
    </row>
    <row r="15258" spans="26:26" x14ac:dyDescent="0.2">
      <c r="Z15258" t="str">
        <f t="shared" si="238"/>
        <v/>
      </c>
    </row>
    <row r="15259" spans="26:26" x14ac:dyDescent="0.2">
      <c r="Z15259" t="str">
        <f t="shared" si="238"/>
        <v/>
      </c>
    </row>
    <row r="15260" spans="26:26" x14ac:dyDescent="0.2">
      <c r="Z15260" t="str">
        <f t="shared" si="238"/>
        <v/>
      </c>
    </row>
    <row r="15261" spans="26:26" x14ac:dyDescent="0.2">
      <c r="Z15261" t="str">
        <f t="shared" si="238"/>
        <v/>
      </c>
    </row>
    <row r="15262" spans="26:26" x14ac:dyDescent="0.2">
      <c r="Z15262" t="str">
        <f t="shared" si="238"/>
        <v/>
      </c>
    </row>
    <row r="15263" spans="26:26" x14ac:dyDescent="0.2">
      <c r="Z15263" t="str">
        <f t="shared" si="238"/>
        <v/>
      </c>
    </row>
    <row r="15264" spans="26:26" x14ac:dyDescent="0.2">
      <c r="Z15264" t="str">
        <f t="shared" si="238"/>
        <v/>
      </c>
    </row>
    <row r="15265" spans="26:26" x14ac:dyDescent="0.2">
      <c r="Z15265" t="str">
        <f t="shared" si="238"/>
        <v/>
      </c>
    </row>
    <row r="15266" spans="26:26" x14ac:dyDescent="0.2">
      <c r="Z15266" t="str">
        <f t="shared" si="238"/>
        <v/>
      </c>
    </row>
    <row r="15267" spans="26:26" x14ac:dyDescent="0.2">
      <c r="Z15267" t="str">
        <f t="shared" si="238"/>
        <v/>
      </c>
    </row>
    <row r="15268" spans="26:26" x14ac:dyDescent="0.2">
      <c r="Z15268" t="str">
        <f t="shared" si="238"/>
        <v/>
      </c>
    </row>
    <row r="15269" spans="26:26" x14ac:dyDescent="0.2">
      <c r="Z15269" t="str">
        <f t="shared" si="238"/>
        <v/>
      </c>
    </row>
    <row r="15270" spans="26:26" x14ac:dyDescent="0.2">
      <c r="Z15270" t="str">
        <f t="shared" si="238"/>
        <v/>
      </c>
    </row>
    <row r="15271" spans="26:26" x14ac:dyDescent="0.2">
      <c r="Z15271" t="str">
        <f t="shared" si="238"/>
        <v/>
      </c>
    </row>
    <row r="15272" spans="26:26" x14ac:dyDescent="0.2">
      <c r="Z15272" t="str">
        <f t="shared" si="238"/>
        <v/>
      </c>
    </row>
    <row r="15273" spans="26:26" x14ac:dyDescent="0.2">
      <c r="Z15273" t="str">
        <f t="shared" si="238"/>
        <v/>
      </c>
    </row>
    <row r="15274" spans="26:26" x14ac:dyDescent="0.2">
      <c r="Z15274" t="str">
        <f t="shared" si="238"/>
        <v/>
      </c>
    </row>
    <row r="15275" spans="26:26" x14ac:dyDescent="0.2">
      <c r="Z15275" t="str">
        <f t="shared" si="238"/>
        <v/>
      </c>
    </row>
    <row r="15276" spans="26:26" x14ac:dyDescent="0.2">
      <c r="Z15276" t="str">
        <f t="shared" si="238"/>
        <v/>
      </c>
    </row>
    <row r="15277" spans="26:26" x14ac:dyDescent="0.2">
      <c r="Z15277" t="str">
        <f t="shared" si="238"/>
        <v/>
      </c>
    </row>
    <row r="15278" spans="26:26" x14ac:dyDescent="0.2">
      <c r="Z15278" t="str">
        <f t="shared" si="238"/>
        <v/>
      </c>
    </row>
    <row r="15279" spans="26:26" x14ac:dyDescent="0.2">
      <c r="Z15279" t="str">
        <f t="shared" si="238"/>
        <v/>
      </c>
    </row>
    <row r="15280" spans="26:26" x14ac:dyDescent="0.2">
      <c r="Z15280" t="str">
        <f t="shared" si="238"/>
        <v/>
      </c>
    </row>
    <row r="15281" spans="26:26" x14ac:dyDescent="0.2">
      <c r="Z15281" t="str">
        <f t="shared" si="238"/>
        <v/>
      </c>
    </row>
    <row r="15282" spans="26:26" x14ac:dyDescent="0.2">
      <c r="Z15282" t="str">
        <f t="shared" si="238"/>
        <v/>
      </c>
    </row>
    <row r="15283" spans="26:26" x14ac:dyDescent="0.2">
      <c r="Z15283" t="str">
        <f t="shared" si="238"/>
        <v/>
      </c>
    </row>
    <row r="15284" spans="26:26" x14ac:dyDescent="0.2">
      <c r="Z15284" t="str">
        <f t="shared" si="238"/>
        <v/>
      </c>
    </row>
    <row r="15285" spans="26:26" x14ac:dyDescent="0.2">
      <c r="Z15285" t="str">
        <f t="shared" si="238"/>
        <v/>
      </c>
    </row>
    <row r="15286" spans="26:26" x14ac:dyDescent="0.2">
      <c r="Z15286" t="str">
        <f t="shared" si="238"/>
        <v/>
      </c>
    </row>
    <row r="15287" spans="26:26" x14ac:dyDescent="0.2">
      <c r="Z15287" t="str">
        <f t="shared" si="238"/>
        <v/>
      </c>
    </row>
    <row r="15288" spans="26:26" x14ac:dyDescent="0.2">
      <c r="Z15288" t="str">
        <f t="shared" si="238"/>
        <v/>
      </c>
    </row>
    <row r="15289" spans="26:26" x14ac:dyDescent="0.2">
      <c r="Z15289" t="str">
        <f t="shared" si="238"/>
        <v/>
      </c>
    </row>
    <row r="15290" spans="26:26" x14ac:dyDescent="0.2">
      <c r="Z15290" t="str">
        <f t="shared" si="238"/>
        <v/>
      </c>
    </row>
    <row r="15291" spans="26:26" x14ac:dyDescent="0.2">
      <c r="Z15291" t="str">
        <f t="shared" si="238"/>
        <v/>
      </c>
    </row>
    <row r="15292" spans="26:26" x14ac:dyDescent="0.2">
      <c r="Z15292" t="str">
        <f t="shared" si="238"/>
        <v/>
      </c>
    </row>
    <row r="15293" spans="26:26" x14ac:dyDescent="0.2">
      <c r="Z15293" t="str">
        <f t="shared" si="238"/>
        <v/>
      </c>
    </row>
    <row r="15294" spans="26:26" x14ac:dyDescent="0.2">
      <c r="Z15294" t="str">
        <f t="shared" si="238"/>
        <v/>
      </c>
    </row>
    <row r="15295" spans="26:26" x14ac:dyDescent="0.2">
      <c r="Z15295" t="str">
        <f t="shared" si="238"/>
        <v/>
      </c>
    </row>
    <row r="15296" spans="26:26" x14ac:dyDescent="0.2">
      <c r="Z15296" t="str">
        <f t="shared" si="238"/>
        <v/>
      </c>
    </row>
    <row r="15297" spans="26:26" x14ac:dyDescent="0.2">
      <c r="Z15297" t="str">
        <f t="shared" si="238"/>
        <v/>
      </c>
    </row>
    <row r="15298" spans="26:26" x14ac:dyDescent="0.2">
      <c r="Z15298" t="str">
        <f t="shared" si="238"/>
        <v/>
      </c>
    </row>
    <row r="15299" spans="26:26" x14ac:dyDescent="0.2">
      <c r="Z15299" t="str">
        <f t="shared" ref="Z15299:Z15362" si="239">IF(K15299="","",IFERROR(VALUE(TRIM(MID(K15299,FIND(CHAR(167),SUBSTITUTE(K15299,"-",CHAR(167),LEN(K15299)-LEN(SUBSTITUTE(K15299,"-",""))))+1,100))),K15299))</f>
        <v/>
      </c>
    </row>
    <row r="15300" spans="26:26" x14ac:dyDescent="0.2">
      <c r="Z15300" t="str">
        <f t="shared" si="239"/>
        <v/>
      </c>
    </row>
    <row r="15301" spans="26:26" x14ac:dyDescent="0.2">
      <c r="Z15301" t="str">
        <f t="shared" si="239"/>
        <v/>
      </c>
    </row>
    <row r="15302" spans="26:26" x14ac:dyDescent="0.2">
      <c r="Z15302" t="str">
        <f t="shared" si="239"/>
        <v/>
      </c>
    </row>
    <row r="15303" spans="26:26" x14ac:dyDescent="0.2">
      <c r="Z15303" t="str">
        <f t="shared" si="239"/>
        <v/>
      </c>
    </row>
    <row r="15304" spans="26:26" x14ac:dyDescent="0.2">
      <c r="Z15304" t="str">
        <f t="shared" si="239"/>
        <v/>
      </c>
    </row>
    <row r="15305" spans="26:26" x14ac:dyDescent="0.2">
      <c r="Z15305" t="str">
        <f t="shared" si="239"/>
        <v/>
      </c>
    </row>
    <row r="15306" spans="26:26" x14ac:dyDescent="0.2">
      <c r="Z15306" t="str">
        <f t="shared" si="239"/>
        <v/>
      </c>
    </row>
    <row r="15307" spans="26:26" x14ac:dyDescent="0.2">
      <c r="Z15307" t="str">
        <f t="shared" si="239"/>
        <v/>
      </c>
    </row>
    <row r="15308" spans="26:26" x14ac:dyDescent="0.2">
      <c r="Z15308" t="str">
        <f t="shared" si="239"/>
        <v/>
      </c>
    </row>
    <row r="15309" spans="26:26" x14ac:dyDescent="0.2">
      <c r="Z15309" t="str">
        <f t="shared" si="239"/>
        <v/>
      </c>
    </row>
    <row r="15310" spans="26:26" x14ac:dyDescent="0.2">
      <c r="Z15310" t="str">
        <f t="shared" si="239"/>
        <v/>
      </c>
    </row>
    <row r="15311" spans="26:26" x14ac:dyDescent="0.2">
      <c r="Z15311" t="str">
        <f t="shared" si="239"/>
        <v/>
      </c>
    </row>
    <row r="15312" spans="26:26" x14ac:dyDescent="0.2">
      <c r="Z15312" t="str">
        <f t="shared" si="239"/>
        <v/>
      </c>
    </row>
    <row r="15313" spans="26:26" x14ac:dyDescent="0.2">
      <c r="Z15313" t="str">
        <f t="shared" si="239"/>
        <v/>
      </c>
    </row>
    <row r="15314" spans="26:26" x14ac:dyDescent="0.2">
      <c r="Z15314" t="str">
        <f t="shared" si="239"/>
        <v/>
      </c>
    </row>
    <row r="15315" spans="26:26" x14ac:dyDescent="0.2">
      <c r="Z15315" t="str">
        <f t="shared" si="239"/>
        <v/>
      </c>
    </row>
    <row r="15316" spans="26:26" x14ac:dyDescent="0.2">
      <c r="Z15316" t="str">
        <f t="shared" si="239"/>
        <v/>
      </c>
    </row>
    <row r="15317" spans="26:26" x14ac:dyDescent="0.2">
      <c r="Z15317" t="str">
        <f t="shared" si="239"/>
        <v/>
      </c>
    </row>
    <row r="15318" spans="26:26" x14ac:dyDescent="0.2">
      <c r="Z15318" t="str">
        <f t="shared" si="239"/>
        <v/>
      </c>
    </row>
    <row r="15319" spans="26:26" x14ac:dyDescent="0.2">
      <c r="Z15319" t="str">
        <f t="shared" si="239"/>
        <v/>
      </c>
    </row>
    <row r="15320" spans="26:26" x14ac:dyDescent="0.2">
      <c r="Z15320" t="str">
        <f t="shared" si="239"/>
        <v/>
      </c>
    </row>
    <row r="15321" spans="26:26" x14ac:dyDescent="0.2">
      <c r="Z15321" t="str">
        <f t="shared" si="239"/>
        <v/>
      </c>
    </row>
    <row r="15322" spans="26:26" x14ac:dyDescent="0.2">
      <c r="Z15322" t="str">
        <f t="shared" si="239"/>
        <v/>
      </c>
    </row>
    <row r="15323" spans="26:26" x14ac:dyDescent="0.2">
      <c r="Z15323" t="str">
        <f t="shared" si="239"/>
        <v/>
      </c>
    </row>
    <row r="15324" spans="26:26" x14ac:dyDescent="0.2">
      <c r="Z15324" t="str">
        <f t="shared" si="239"/>
        <v/>
      </c>
    </row>
    <row r="15325" spans="26:26" x14ac:dyDescent="0.2">
      <c r="Z15325" t="str">
        <f t="shared" si="239"/>
        <v/>
      </c>
    </row>
    <row r="15326" spans="26:26" x14ac:dyDescent="0.2">
      <c r="Z15326" t="str">
        <f t="shared" si="239"/>
        <v/>
      </c>
    </row>
    <row r="15327" spans="26:26" x14ac:dyDescent="0.2">
      <c r="Z15327" t="str">
        <f t="shared" si="239"/>
        <v/>
      </c>
    </row>
    <row r="15328" spans="26:26" x14ac:dyDescent="0.2">
      <c r="Z15328" t="str">
        <f t="shared" si="239"/>
        <v/>
      </c>
    </row>
    <row r="15329" spans="26:26" x14ac:dyDescent="0.2">
      <c r="Z15329" t="str">
        <f t="shared" si="239"/>
        <v/>
      </c>
    </row>
    <row r="15330" spans="26:26" x14ac:dyDescent="0.2">
      <c r="Z15330" t="str">
        <f t="shared" si="239"/>
        <v/>
      </c>
    </row>
    <row r="15331" spans="26:26" x14ac:dyDescent="0.2">
      <c r="Z15331" t="str">
        <f t="shared" si="239"/>
        <v/>
      </c>
    </row>
    <row r="15332" spans="26:26" x14ac:dyDescent="0.2">
      <c r="Z15332" t="str">
        <f t="shared" si="239"/>
        <v/>
      </c>
    </row>
    <row r="15333" spans="26:26" x14ac:dyDescent="0.2">
      <c r="Z15333" t="str">
        <f t="shared" si="239"/>
        <v/>
      </c>
    </row>
    <row r="15334" spans="26:26" x14ac:dyDescent="0.2">
      <c r="Z15334" t="str">
        <f t="shared" si="239"/>
        <v/>
      </c>
    </row>
    <row r="15335" spans="26:26" x14ac:dyDescent="0.2">
      <c r="Z15335" t="str">
        <f t="shared" si="239"/>
        <v/>
      </c>
    </row>
    <row r="15336" spans="26:26" x14ac:dyDescent="0.2">
      <c r="Z15336" t="str">
        <f t="shared" si="239"/>
        <v/>
      </c>
    </row>
    <row r="15337" spans="26:26" x14ac:dyDescent="0.2">
      <c r="Z15337" t="str">
        <f t="shared" si="239"/>
        <v/>
      </c>
    </row>
    <row r="15338" spans="26:26" x14ac:dyDescent="0.2">
      <c r="Z15338" t="str">
        <f t="shared" si="239"/>
        <v/>
      </c>
    </row>
    <row r="15339" spans="26:26" x14ac:dyDescent="0.2">
      <c r="Z15339" t="str">
        <f t="shared" si="239"/>
        <v/>
      </c>
    </row>
    <row r="15340" spans="26:26" x14ac:dyDescent="0.2">
      <c r="Z15340" t="str">
        <f t="shared" si="239"/>
        <v/>
      </c>
    </row>
    <row r="15341" spans="26:26" x14ac:dyDescent="0.2">
      <c r="Z15341" t="str">
        <f t="shared" si="239"/>
        <v/>
      </c>
    </row>
    <row r="15342" spans="26:26" x14ac:dyDescent="0.2">
      <c r="Z15342" t="str">
        <f t="shared" si="239"/>
        <v/>
      </c>
    </row>
    <row r="15343" spans="26:26" x14ac:dyDescent="0.2">
      <c r="Z15343" t="str">
        <f t="shared" si="239"/>
        <v/>
      </c>
    </row>
    <row r="15344" spans="26:26" x14ac:dyDescent="0.2">
      <c r="Z15344" t="str">
        <f t="shared" si="239"/>
        <v/>
      </c>
    </row>
    <row r="15345" spans="26:26" x14ac:dyDescent="0.2">
      <c r="Z15345" t="str">
        <f t="shared" si="239"/>
        <v/>
      </c>
    </row>
    <row r="15346" spans="26:26" x14ac:dyDescent="0.2">
      <c r="Z15346" t="str">
        <f t="shared" si="239"/>
        <v/>
      </c>
    </row>
    <row r="15347" spans="26:26" x14ac:dyDescent="0.2">
      <c r="Z15347" t="str">
        <f t="shared" si="239"/>
        <v/>
      </c>
    </row>
    <row r="15348" spans="26:26" x14ac:dyDescent="0.2">
      <c r="Z15348" t="str">
        <f t="shared" si="239"/>
        <v/>
      </c>
    </row>
    <row r="15349" spans="26:26" x14ac:dyDescent="0.2">
      <c r="Z15349" t="str">
        <f t="shared" si="239"/>
        <v/>
      </c>
    </row>
    <row r="15350" spans="26:26" x14ac:dyDescent="0.2">
      <c r="Z15350" t="str">
        <f t="shared" si="239"/>
        <v/>
      </c>
    </row>
    <row r="15351" spans="26:26" x14ac:dyDescent="0.2">
      <c r="Z15351" t="str">
        <f t="shared" si="239"/>
        <v/>
      </c>
    </row>
    <row r="15352" spans="26:26" x14ac:dyDescent="0.2">
      <c r="Z15352" t="str">
        <f t="shared" si="239"/>
        <v/>
      </c>
    </row>
    <row r="15353" spans="26:26" x14ac:dyDescent="0.2">
      <c r="Z15353" t="str">
        <f t="shared" si="239"/>
        <v/>
      </c>
    </row>
    <row r="15354" spans="26:26" x14ac:dyDescent="0.2">
      <c r="Z15354" t="str">
        <f t="shared" si="239"/>
        <v/>
      </c>
    </row>
    <row r="15355" spans="26:26" x14ac:dyDescent="0.2">
      <c r="Z15355" t="str">
        <f t="shared" si="239"/>
        <v/>
      </c>
    </row>
    <row r="15356" spans="26:26" x14ac:dyDescent="0.2">
      <c r="Z15356" t="str">
        <f t="shared" si="239"/>
        <v/>
      </c>
    </row>
    <row r="15357" spans="26:26" x14ac:dyDescent="0.2">
      <c r="Z15357" t="str">
        <f t="shared" si="239"/>
        <v/>
      </c>
    </row>
    <row r="15358" spans="26:26" x14ac:dyDescent="0.2">
      <c r="Z15358" t="str">
        <f t="shared" si="239"/>
        <v/>
      </c>
    </row>
    <row r="15359" spans="26:26" x14ac:dyDescent="0.2">
      <c r="Z15359" t="str">
        <f t="shared" si="239"/>
        <v/>
      </c>
    </row>
    <row r="15360" spans="26:26" x14ac:dyDescent="0.2">
      <c r="Z15360" t="str">
        <f t="shared" si="239"/>
        <v/>
      </c>
    </row>
    <row r="15361" spans="26:26" x14ac:dyDescent="0.2">
      <c r="Z15361" t="str">
        <f t="shared" si="239"/>
        <v/>
      </c>
    </row>
    <row r="15362" spans="26:26" x14ac:dyDescent="0.2">
      <c r="Z15362" t="str">
        <f t="shared" si="239"/>
        <v/>
      </c>
    </row>
    <row r="15363" spans="26:26" x14ac:dyDescent="0.2">
      <c r="Z15363" t="str">
        <f t="shared" ref="Z15363:Z15426" si="240">IF(K15363="","",IFERROR(VALUE(TRIM(MID(K15363,FIND(CHAR(167),SUBSTITUTE(K15363,"-",CHAR(167),LEN(K15363)-LEN(SUBSTITUTE(K15363,"-",""))))+1,100))),K15363))</f>
        <v/>
      </c>
    </row>
    <row r="15364" spans="26:26" x14ac:dyDescent="0.2">
      <c r="Z15364" t="str">
        <f t="shared" si="240"/>
        <v/>
      </c>
    </row>
    <row r="15365" spans="26:26" x14ac:dyDescent="0.2">
      <c r="Z15365" t="str">
        <f t="shared" si="240"/>
        <v/>
      </c>
    </row>
    <row r="15366" spans="26:26" x14ac:dyDescent="0.2">
      <c r="Z15366" t="str">
        <f t="shared" si="240"/>
        <v/>
      </c>
    </row>
    <row r="15367" spans="26:26" x14ac:dyDescent="0.2">
      <c r="Z15367" t="str">
        <f t="shared" si="240"/>
        <v/>
      </c>
    </row>
    <row r="15368" spans="26:26" x14ac:dyDescent="0.2">
      <c r="Z15368" t="str">
        <f t="shared" si="240"/>
        <v/>
      </c>
    </row>
    <row r="15369" spans="26:26" x14ac:dyDescent="0.2">
      <c r="Z15369" t="str">
        <f t="shared" si="240"/>
        <v/>
      </c>
    </row>
    <row r="15370" spans="26:26" x14ac:dyDescent="0.2">
      <c r="Z15370" t="str">
        <f t="shared" si="240"/>
        <v/>
      </c>
    </row>
    <row r="15371" spans="26:26" x14ac:dyDescent="0.2">
      <c r="Z15371" t="str">
        <f t="shared" si="240"/>
        <v/>
      </c>
    </row>
    <row r="15372" spans="26:26" x14ac:dyDescent="0.2">
      <c r="Z15372" t="str">
        <f t="shared" si="240"/>
        <v/>
      </c>
    </row>
    <row r="15373" spans="26:26" x14ac:dyDescent="0.2">
      <c r="Z15373" t="str">
        <f t="shared" si="240"/>
        <v/>
      </c>
    </row>
    <row r="15374" spans="26:26" x14ac:dyDescent="0.2">
      <c r="Z15374" t="str">
        <f t="shared" si="240"/>
        <v/>
      </c>
    </row>
    <row r="15375" spans="26:26" x14ac:dyDescent="0.2">
      <c r="Z15375" t="str">
        <f t="shared" si="240"/>
        <v/>
      </c>
    </row>
    <row r="15376" spans="26:26" x14ac:dyDescent="0.2">
      <c r="Z15376" t="str">
        <f t="shared" si="240"/>
        <v/>
      </c>
    </row>
    <row r="15377" spans="26:26" x14ac:dyDescent="0.2">
      <c r="Z15377" t="str">
        <f t="shared" si="240"/>
        <v/>
      </c>
    </row>
    <row r="15378" spans="26:26" x14ac:dyDescent="0.2">
      <c r="Z15378" t="str">
        <f t="shared" si="240"/>
        <v/>
      </c>
    </row>
    <row r="15379" spans="26:26" x14ac:dyDescent="0.2">
      <c r="Z15379" t="str">
        <f t="shared" si="240"/>
        <v/>
      </c>
    </row>
    <row r="15380" spans="26:26" x14ac:dyDescent="0.2">
      <c r="Z15380" t="str">
        <f t="shared" si="240"/>
        <v/>
      </c>
    </row>
    <row r="15381" spans="26:26" x14ac:dyDescent="0.2">
      <c r="Z15381" t="str">
        <f t="shared" si="240"/>
        <v/>
      </c>
    </row>
    <row r="15382" spans="26:26" x14ac:dyDescent="0.2">
      <c r="Z15382" t="str">
        <f t="shared" si="240"/>
        <v/>
      </c>
    </row>
    <row r="15383" spans="26:26" x14ac:dyDescent="0.2">
      <c r="Z15383" t="str">
        <f t="shared" si="240"/>
        <v/>
      </c>
    </row>
    <row r="15384" spans="26:26" x14ac:dyDescent="0.2">
      <c r="Z15384" t="str">
        <f t="shared" si="240"/>
        <v/>
      </c>
    </row>
    <row r="15385" spans="26:26" x14ac:dyDescent="0.2">
      <c r="Z15385" t="str">
        <f t="shared" si="240"/>
        <v/>
      </c>
    </row>
    <row r="15386" spans="26:26" x14ac:dyDescent="0.2">
      <c r="Z15386" t="str">
        <f t="shared" si="240"/>
        <v/>
      </c>
    </row>
    <row r="15387" spans="26:26" x14ac:dyDescent="0.2">
      <c r="Z15387" t="str">
        <f t="shared" si="240"/>
        <v/>
      </c>
    </row>
    <row r="15388" spans="26:26" x14ac:dyDescent="0.2">
      <c r="Z15388" t="str">
        <f t="shared" si="240"/>
        <v/>
      </c>
    </row>
    <row r="15389" spans="26:26" x14ac:dyDescent="0.2">
      <c r="Z15389" t="str">
        <f t="shared" si="240"/>
        <v/>
      </c>
    </row>
    <row r="15390" spans="26:26" x14ac:dyDescent="0.2">
      <c r="Z15390" t="str">
        <f t="shared" si="240"/>
        <v/>
      </c>
    </row>
    <row r="15391" spans="26:26" x14ac:dyDescent="0.2">
      <c r="Z15391" t="str">
        <f t="shared" si="240"/>
        <v/>
      </c>
    </row>
    <row r="15392" spans="26:26" x14ac:dyDescent="0.2">
      <c r="Z15392" t="str">
        <f t="shared" si="240"/>
        <v/>
      </c>
    </row>
    <row r="15393" spans="26:26" x14ac:dyDescent="0.2">
      <c r="Z15393" t="str">
        <f t="shared" si="240"/>
        <v/>
      </c>
    </row>
    <row r="15394" spans="26:26" x14ac:dyDescent="0.2">
      <c r="Z15394" t="str">
        <f t="shared" si="240"/>
        <v/>
      </c>
    </row>
    <row r="15395" spans="26:26" x14ac:dyDescent="0.2">
      <c r="Z15395" t="str">
        <f t="shared" si="240"/>
        <v/>
      </c>
    </row>
    <row r="15396" spans="26:26" x14ac:dyDescent="0.2">
      <c r="Z15396" t="str">
        <f t="shared" si="240"/>
        <v/>
      </c>
    </row>
    <row r="15397" spans="26:26" x14ac:dyDescent="0.2">
      <c r="Z15397" t="str">
        <f t="shared" si="240"/>
        <v/>
      </c>
    </row>
    <row r="15398" spans="26:26" x14ac:dyDescent="0.2">
      <c r="Z15398" t="str">
        <f t="shared" si="240"/>
        <v/>
      </c>
    </row>
    <row r="15399" spans="26:26" x14ac:dyDescent="0.2">
      <c r="Z15399" t="str">
        <f t="shared" si="240"/>
        <v/>
      </c>
    </row>
    <row r="15400" spans="26:26" x14ac:dyDescent="0.2">
      <c r="Z15400" t="str">
        <f t="shared" si="240"/>
        <v/>
      </c>
    </row>
    <row r="15401" spans="26:26" x14ac:dyDescent="0.2">
      <c r="Z15401" t="str">
        <f t="shared" si="240"/>
        <v/>
      </c>
    </row>
    <row r="15402" spans="26:26" x14ac:dyDescent="0.2">
      <c r="Z15402" t="str">
        <f t="shared" si="240"/>
        <v/>
      </c>
    </row>
    <row r="15403" spans="26:26" x14ac:dyDescent="0.2">
      <c r="Z15403" t="str">
        <f t="shared" si="240"/>
        <v/>
      </c>
    </row>
    <row r="15404" spans="26:26" x14ac:dyDescent="0.2">
      <c r="Z15404" t="str">
        <f t="shared" si="240"/>
        <v/>
      </c>
    </row>
    <row r="15405" spans="26:26" x14ac:dyDescent="0.2">
      <c r="Z15405" t="str">
        <f t="shared" si="240"/>
        <v/>
      </c>
    </row>
    <row r="15406" spans="26:26" x14ac:dyDescent="0.2">
      <c r="Z15406" t="str">
        <f t="shared" si="240"/>
        <v/>
      </c>
    </row>
    <row r="15407" spans="26:26" x14ac:dyDescent="0.2">
      <c r="Z15407" t="str">
        <f t="shared" si="240"/>
        <v/>
      </c>
    </row>
    <row r="15408" spans="26:26" x14ac:dyDescent="0.2">
      <c r="Z15408" t="str">
        <f t="shared" si="240"/>
        <v/>
      </c>
    </row>
    <row r="15409" spans="26:26" x14ac:dyDescent="0.2">
      <c r="Z15409" t="str">
        <f t="shared" si="240"/>
        <v/>
      </c>
    </row>
    <row r="15410" spans="26:26" x14ac:dyDescent="0.2">
      <c r="Z15410" t="str">
        <f t="shared" si="240"/>
        <v/>
      </c>
    </row>
    <row r="15411" spans="26:26" x14ac:dyDescent="0.2">
      <c r="Z15411" t="str">
        <f t="shared" si="240"/>
        <v/>
      </c>
    </row>
    <row r="15412" spans="26:26" x14ac:dyDescent="0.2">
      <c r="Z15412" t="str">
        <f t="shared" si="240"/>
        <v/>
      </c>
    </row>
    <row r="15413" spans="26:26" x14ac:dyDescent="0.2">
      <c r="Z15413" t="str">
        <f t="shared" si="240"/>
        <v/>
      </c>
    </row>
    <row r="15414" spans="26:26" x14ac:dyDescent="0.2">
      <c r="Z15414" t="str">
        <f t="shared" si="240"/>
        <v/>
      </c>
    </row>
    <row r="15415" spans="26:26" x14ac:dyDescent="0.2">
      <c r="Z15415" t="str">
        <f t="shared" si="240"/>
        <v/>
      </c>
    </row>
    <row r="15416" spans="26:26" x14ac:dyDescent="0.2">
      <c r="Z15416" t="str">
        <f t="shared" si="240"/>
        <v/>
      </c>
    </row>
    <row r="15417" spans="26:26" x14ac:dyDescent="0.2">
      <c r="Z15417" t="str">
        <f t="shared" si="240"/>
        <v/>
      </c>
    </row>
    <row r="15418" spans="26:26" x14ac:dyDescent="0.2">
      <c r="Z15418" t="str">
        <f t="shared" si="240"/>
        <v/>
      </c>
    </row>
    <row r="15419" spans="26:26" x14ac:dyDescent="0.2">
      <c r="Z15419" t="str">
        <f t="shared" si="240"/>
        <v/>
      </c>
    </row>
    <row r="15420" spans="26:26" x14ac:dyDescent="0.2">
      <c r="Z15420" t="str">
        <f t="shared" si="240"/>
        <v/>
      </c>
    </row>
    <row r="15421" spans="26:26" x14ac:dyDescent="0.2">
      <c r="Z15421" t="str">
        <f t="shared" si="240"/>
        <v/>
      </c>
    </row>
    <row r="15422" spans="26:26" x14ac:dyDescent="0.2">
      <c r="Z15422" t="str">
        <f t="shared" si="240"/>
        <v/>
      </c>
    </row>
    <row r="15423" spans="26:26" x14ac:dyDescent="0.2">
      <c r="Z15423" t="str">
        <f t="shared" si="240"/>
        <v/>
      </c>
    </row>
    <row r="15424" spans="26:26" x14ac:dyDescent="0.2">
      <c r="Z15424" t="str">
        <f t="shared" si="240"/>
        <v/>
      </c>
    </row>
    <row r="15425" spans="26:26" x14ac:dyDescent="0.2">
      <c r="Z15425" t="str">
        <f t="shared" si="240"/>
        <v/>
      </c>
    </row>
    <row r="15426" spans="26:26" x14ac:dyDescent="0.2">
      <c r="Z15426" t="str">
        <f t="shared" si="240"/>
        <v/>
      </c>
    </row>
    <row r="15427" spans="26:26" x14ac:dyDescent="0.2">
      <c r="Z15427" t="str">
        <f t="shared" ref="Z15427:Z15490" si="241">IF(K15427="","",IFERROR(VALUE(TRIM(MID(K15427,FIND(CHAR(167),SUBSTITUTE(K15427,"-",CHAR(167),LEN(K15427)-LEN(SUBSTITUTE(K15427,"-",""))))+1,100))),K15427))</f>
        <v/>
      </c>
    </row>
    <row r="15428" spans="26:26" x14ac:dyDescent="0.2">
      <c r="Z15428" t="str">
        <f t="shared" si="241"/>
        <v/>
      </c>
    </row>
    <row r="15429" spans="26:26" x14ac:dyDescent="0.2">
      <c r="Z15429" t="str">
        <f t="shared" si="241"/>
        <v/>
      </c>
    </row>
    <row r="15430" spans="26:26" x14ac:dyDescent="0.2">
      <c r="Z15430" t="str">
        <f t="shared" si="241"/>
        <v/>
      </c>
    </row>
    <row r="15431" spans="26:26" x14ac:dyDescent="0.2">
      <c r="Z15431" t="str">
        <f t="shared" si="241"/>
        <v/>
      </c>
    </row>
    <row r="15432" spans="26:26" x14ac:dyDescent="0.2">
      <c r="Z15432" t="str">
        <f t="shared" si="241"/>
        <v/>
      </c>
    </row>
    <row r="15433" spans="26:26" x14ac:dyDescent="0.2">
      <c r="Z15433" t="str">
        <f t="shared" si="241"/>
        <v/>
      </c>
    </row>
    <row r="15434" spans="26:26" x14ac:dyDescent="0.2">
      <c r="Z15434" t="str">
        <f t="shared" si="241"/>
        <v/>
      </c>
    </row>
    <row r="15435" spans="26:26" x14ac:dyDescent="0.2">
      <c r="Z15435" t="str">
        <f t="shared" si="241"/>
        <v/>
      </c>
    </row>
    <row r="15436" spans="26:26" x14ac:dyDescent="0.2">
      <c r="Z15436" t="str">
        <f t="shared" si="241"/>
        <v/>
      </c>
    </row>
    <row r="15437" spans="26:26" x14ac:dyDescent="0.2">
      <c r="Z15437" t="str">
        <f t="shared" si="241"/>
        <v/>
      </c>
    </row>
    <row r="15438" spans="26:26" x14ac:dyDescent="0.2">
      <c r="Z15438" t="str">
        <f t="shared" si="241"/>
        <v/>
      </c>
    </row>
    <row r="15439" spans="26:26" x14ac:dyDescent="0.2">
      <c r="Z15439" t="str">
        <f t="shared" si="241"/>
        <v/>
      </c>
    </row>
    <row r="15440" spans="26:26" x14ac:dyDescent="0.2">
      <c r="Z15440" t="str">
        <f t="shared" si="241"/>
        <v/>
      </c>
    </row>
    <row r="15441" spans="26:26" x14ac:dyDescent="0.2">
      <c r="Z15441" t="str">
        <f t="shared" si="241"/>
        <v/>
      </c>
    </row>
    <row r="15442" spans="26:26" x14ac:dyDescent="0.2">
      <c r="Z15442" t="str">
        <f t="shared" si="241"/>
        <v/>
      </c>
    </row>
    <row r="15443" spans="26:26" x14ac:dyDescent="0.2">
      <c r="Z15443" t="str">
        <f t="shared" si="241"/>
        <v/>
      </c>
    </row>
    <row r="15444" spans="26:26" x14ac:dyDescent="0.2">
      <c r="Z15444" t="str">
        <f t="shared" si="241"/>
        <v/>
      </c>
    </row>
    <row r="15445" spans="26:26" x14ac:dyDescent="0.2">
      <c r="Z15445" t="str">
        <f t="shared" si="241"/>
        <v/>
      </c>
    </row>
    <row r="15446" spans="26:26" x14ac:dyDescent="0.2">
      <c r="Z15446" t="str">
        <f t="shared" si="241"/>
        <v/>
      </c>
    </row>
    <row r="15447" spans="26:26" x14ac:dyDescent="0.2">
      <c r="Z15447" t="str">
        <f t="shared" si="241"/>
        <v/>
      </c>
    </row>
    <row r="15448" spans="26:26" x14ac:dyDescent="0.2">
      <c r="Z15448" t="str">
        <f t="shared" si="241"/>
        <v/>
      </c>
    </row>
    <row r="15449" spans="26:26" x14ac:dyDescent="0.2">
      <c r="Z15449" t="str">
        <f t="shared" si="241"/>
        <v/>
      </c>
    </row>
    <row r="15450" spans="26:26" x14ac:dyDescent="0.2">
      <c r="Z15450" t="str">
        <f t="shared" si="241"/>
        <v/>
      </c>
    </row>
    <row r="15451" spans="26:26" x14ac:dyDescent="0.2">
      <c r="Z15451" t="str">
        <f t="shared" si="241"/>
        <v/>
      </c>
    </row>
    <row r="15452" spans="26:26" x14ac:dyDescent="0.2">
      <c r="Z15452" t="str">
        <f t="shared" si="241"/>
        <v/>
      </c>
    </row>
    <row r="15453" spans="26:26" x14ac:dyDescent="0.2">
      <c r="Z15453" t="str">
        <f t="shared" si="241"/>
        <v/>
      </c>
    </row>
    <row r="15454" spans="26:26" x14ac:dyDescent="0.2">
      <c r="Z15454" t="str">
        <f t="shared" si="241"/>
        <v/>
      </c>
    </row>
    <row r="15455" spans="26:26" x14ac:dyDescent="0.2">
      <c r="Z15455" t="str">
        <f t="shared" si="241"/>
        <v/>
      </c>
    </row>
    <row r="15456" spans="26:26" x14ac:dyDescent="0.2">
      <c r="Z15456" t="str">
        <f t="shared" si="241"/>
        <v/>
      </c>
    </row>
    <row r="15457" spans="26:26" x14ac:dyDescent="0.2">
      <c r="Z15457" t="str">
        <f t="shared" si="241"/>
        <v/>
      </c>
    </row>
    <row r="15458" spans="26:26" x14ac:dyDescent="0.2">
      <c r="Z15458" t="str">
        <f t="shared" si="241"/>
        <v/>
      </c>
    </row>
    <row r="15459" spans="26:26" x14ac:dyDescent="0.2">
      <c r="Z15459" t="str">
        <f t="shared" si="241"/>
        <v/>
      </c>
    </row>
    <row r="15460" spans="26:26" x14ac:dyDescent="0.2">
      <c r="Z15460" t="str">
        <f t="shared" si="241"/>
        <v/>
      </c>
    </row>
    <row r="15461" spans="26:26" x14ac:dyDescent="0.2">
      <c r="Z15461" t="str">
        <f t="shared" si="241"/>
        <v/>
      </c>
    </row>
    <row r="15462" spans="26:26" x14ac:dyDescent="0.2">
      <c r="Z15462" t="str">
        <f t="shared" si="241"/>
        <v/>
      </c>
    </row>
    <row r="15463" spans="26:26" x14ac:dyDescent="0.2">
      <c r="Z15463" t="str">
        <f t="shared" si="241"/>
        <v/>
      </c>
    </row>
    <row r="15464" spans="26:26" x14ac:dyDescent="0.2">
      <c r="Z15464" t="str">
        <f t="shared" si="241"/>
        <v/>
      </c>
    </row>
    <row r="15465" spans="26:26" x14ac:dyDescent="0.2">
      <c r="Z15465" t="str">
        <f t="shared" si="241"/>
        <v/>
      </c>
    </row>
    <row r="15466" spans="26:26" x14ac:dyDescent="0.2">
      <c r="Z15466" t="str">
        <f t="shared" si="241"/>
        <v/>
      </c>
    </row>
    <row r="15467" spans="26:26" x14ac:dyDescent="0.2">
      <c r="Z15467" t="str">
        <f t="shared" si="241"/>
        <v/>
      </c>
    </row>
    <row r="15468" spans="26:26" x14ac:dyDescent="0.2">
      <c r="Z15468" t="str">
        <f t="shared" si="241"/>
        <v/>
      </c>
    </row>
    <row r="15469" spans="26:26" x14ac:dyDescent="0.2">
      <c r="Z15469" t="str">
        <f t="shared" si="241"/>
        <v/>
      </c>
    </row>
    <row r="15470" spans="26:26" x14ac:dyDescent="0.2">
      <c r="Z15470" t="str">
        <f t="shared" si="241"/>
        <v/>
      </c>
    </row>
    <row r="15471" spans="26:26" x14ac:dyDescent="0.2">
      <c r="Z15471" t="str">
        <f t="shared" si="241"/>
        <v/>
      </c>
    </row>
    <row r="15472" spans="26:26" x14ac:dyDescent="0.2">
      <c r="Z15472" t="str">
        <f t="shared" si="241"/>
        <v/>
      </c>
    </row>
    <row r="15473" spans="26:26" x14ac:dyDescent="0.2">
      <c r="Z15473" t="str">
        <f t="shared" si="241"/>
        <v/>
      </c>
    </row>
    <row r="15474" spans="26:26" x14ac:dyDescent="0.2">
      <c r="Z15474" t="str">
        <f t="shared" si="241"/>
        <v/>
      </c>
    </row>
    <row r="15475" spans="26:26" x14ac:dyDescent="0.2">
      <c r="Z15475" t="str">
        <f t="shared" si="241"/>
        <v/>
      </c>
    </row>
    <row r="15476" spans="26:26" x14ac:dyDescent="0.2">
      <c r="Z15476" t="str">
        <f t="shared" si="241"/>
        <v/>
      </c>
    </row>
    <row r="15477" spans="26:26" x14ac:dyDescent="0.2">
      <c r="Z15477" t="str">
        <f t="shared" si="241"/>
        <v/>
      </c>
    </row>
    <row r="15478" spans="26:26" x14ac:dyDescent="0.2">
      <c r="Z15478" t="str">
        <f t="shared" si="241"/>
        <v/>
      </c>
    </row>
    <row r="15479" spans="26:26" x14ac:dyDescent="0.2">
      <c r="Z15479" t="str">
        <f t="shared" si="241"/>
        <v/>
      </c>
    </row>
    <row r="15480" spans="26:26" x14ac:dyDescent="0.2">
      <c r="Z15480" t="str">
        <f t="shared" si="241"/>
        <v/>
      </c>
    </row>
    <row r="15481" spans="26:26" x14ac:dyDescent="0.2">
      <c r="Z15481" t="str">
        <f t="shared" si="241"/>
        <v/>
      </c>
    </row>
    <row r="15482" spans="26:26" x14ac:dyDescent="0.2">
      <c r="Z15482" t="str">
        <f t="shared" si="241"/>
        <v/>
      </c>
    </row>
    <row r="15483" spans="26:26" x14ac:dyDescent="0.2">
      <c r="Z15483" t="str">
        <f t="shared" si="241"/>
        <v/>
      </c>
    </row>
    <row r="15484" spans="26:26" x14ac:dyDescent="0.2">
      <c r="Z15484" t="str">
        <f t="shared" si="241"/>
        <v/>
      </c>
    </row>
    <row r="15485" spans="26:26" x14ac:dyDescent="0.2">
      <c r="Z15485" t="str">
        <f t="shared" si="241"/>
        <v/>
      </c>
    </row>
    <row r="15486" spans="26:26" x14ac:dyDescent="0.2">
      <c r="Z15486" t="str">
        <f t="shared" si="241"/>
        <v/>
      </c>
    </row>
    <row r="15487" spans="26:26" x14ac:dyDescent="0.2">
      <c r="Z15487" t="str">
        <f t="shared" si="241"/>
        <v/>
      </c>
    </row>
    <row r="15488" spans="26:26" x14ac:dyDescent="0.2">
      <c r="Z15488" t="str">
        <f t="shared" si="241"/>
        <v/>
      </c>
    </row>
    <row r="15489" spans="26:26" x14ac:dyDescent="0.2">
      <c r="Z15489" t="str">
        <f t="shared" si="241"/>
        <v/>
      </c>
    </row>
    <row r="15490" spans="26:26" x14ac:dyDescent="0.2">
      <c r="Z15490" t="str">
        <f t="shared" si="241"/>
        <v/>
      </c>
    </row>
    <row r="15491" spans="26:26" x14ac:dyDescent="0.2">
      <c r="Z15491" t="str">
        <f t="shared" ref="Z15491:Z15554" si="242">IF(K15491="","",IFERROR(VALUE(TRIM(MID(K15491,FIND(CHAR(167),SUBSTITUTE(K15491,"-",CHAR(167),LEN(K15491)-LEN(SUBSTITUTE(K15491,"-",""))))+1,100))),K15491))</f>
        <v/>
      </c>
    </row>
    <row r="15492" spans="26:26" x14ac:dyDescent="0.2">
      <c r="Z15492" t="str">
        <f t="shared" si="242"/>
        <v/>
      </c>
    </row>
    <row r="15493" spans="26:26" x14ac:dyDescent="0.2">
      <c r="Z15493" t="str">
        <f t="shared" si="242"/>
        <v/>
      </c>
    </row>
    <row r="15494" spans="26:26" x14ac:dyDescent="0.2">
      <c r="Z15494" t="str">
        <f t="shared" si="242"/>
        <v/>
      </c>
    </row>
    <row r="15495" spans="26:26" x14ac:dyDescent="0.2">
      <c r="Z15495" t="str">
        <f t="shared" si="242"/>
        <v/>
      </c>
    </row>
    <row r="15496" spans="26:26" x14ac:dyDescent="0.2">
      <c r="Z15496" t="str">
        <f t="shared" si="242"/>
        <v/>
      </c>
    </row>
    <row r="15497" spans="26:26" x14ac:dyDescent="0.2">
      <c r="Z15497" t="str">
        <f t="shared" si="242"/>
        <v/>
      </c>
    </row>
    <row r="15498" spans="26:26" x14ac:dyDescent="0.2">
      <c r="Z15498" t="str">
        <f t="shared" si="242"/>
        <v/>
      </c>
    </row>
    <row r="15499" spans="26:26" x14ac:dyDescent="0.2">
      <c r="Z15499" t="str">
        <f t="shared" si="242"/>
        <v/>
      </c>
    </row>
    <row r="15500" spans="26:26" x14ac:dyDescent="0.2">
      <c r="Z15500" t="str">
        <f t="shared" si="242"/>
        <v/>
      </c>
    </row>
    <row r="15501" spans="26:26" x14ac:dyDescent="0.2">
      <c r="Z15501" t="str">
        <f t="shared" si="242"/>
        <v/>
      </c>
    </row>
    <row r="15502" spans="26:26" x14ac:dyDescent="0.2">
      <c r="Z15502" t="str">
        <f t="shared" si="242"/>
        <v/>
      </c>
    </row>
    <row r="15503" spans="26:26" x14ac:dyDescent="0.2">
      <c r="Z15503" t="str">
        <f t="shared" si="242"/>
        <v/>
      </c>
    </row>
    <row r="15504" spans="26:26" x14ac:dyDescent="0.2">
      <c r="Z15504" t="str">
        <f t="shared" si="242"/>
        <v/>
      </c>
    </row>
    <row r="15505" spans="26:26" x14ac:dyDescent="0.2">
      <c r="Z15505" t="str">
        <f t="shared" si="242"/>
        <v/>
      </c>
    </row>
    <row r="15506" spans="26:26" x14ac:dyDescent="0.2">
      <c r="Z15506" t="str">
        <f t="shared" si="242"/>
        <v/>
      </c>
    </row>
    <row r="15507" spans="26:26" x14ac:dyDescent="0.2">
      <c r="Z15507" t="str">
        <f t="shared" si="242"/>
        <v/>
      </c>
    </row>
    <row r="15508" spans="26:26" x14ac:dyDescent="0.2">
      <c r="Z15508" t="str">
        <f t="shared" si="242"/>
        <v/>
      </c>
    </row>
    <row r="15509" spans="26:26" x14ac:dyDescent="0.2">
      <c r="Z15509" t="str">
        <f t="shared" si="242"/>
        <v/>
      </c>
    </row>
    <row r="15510" spans="26:26" x14ac:dyDescent="0.2">
      <c r="Z15510" t="str">
        <f t="shared" si="242"/>
        <v/>
      </c>
    </row>
    <row r="15511" spans="26:26" x14ac:dyDescent="0.2">
      <c r="Z15511" t="str">
        <f t="shared" si="242"/>
        <v/>
      </c>
    </row>
    <row r="15512" spans="26:26" x14ac:dyDescent="0.2">
      <c r="Z15512" t="str">
        <f t="shared" si="242"/>
        <v/>
      </c>
    </row>
    <row r="15513" spans="26:26" x14ac:dyDescent="0.2">
      <c r="Z15513" t="str">
        <f t="shared" si="242"/>
        <v/>
      </c>
    </row>
    <row r="15514" spans="26:26" x14ac:dyDescent="0.2">
      <c r="Z15514" t="str">
        <f t="shared" si="242"/>
        <v/>
      </c>
    </row>
    <row r="15515" spans="26:26" x14ac:dyDescent="0.2">
      <c r="Z15515" t="str">
        <f t="shared" si="242"/>
        <v/>
      </c>
    </row>
    <row r="15516" spans="26:26" x14ac:dyDescent="0.2">
      <c r="Z15516" t="str">
        <f t="shared" si="242"/>
        <v/>
      </c>
    </row>
    <row r="15517" spans="26:26" x14ac:dyDescent="0.2">
      <c r="Z15517" t="str">
        <f t="shared" si="242"/>
        <v/>
      </c>
    </row>
    <row r="15518" spans="26:26" x14ac:dyDescent="0.2">
      <c r="Z15518" t="str">
        <f t="shared" si="242"/>
        <v/>
      </c>
    </row>
    <row r="15519" spans="26:26" x14ac:dyDescent="0.2">
      <c r="Z15519" t="str">
        <f t="shared" si="242"/>
        <v/>
      </c>
    </row>
    <row r="15520" spans="26:26" x14ac:dyDescent="0.2">
      <c r="Z15520" t="str">
        <f t="shared" si="242"/>
        <v/>
      </c>
    </row>
    <row r="15521" spans="26:26" x14ac:dyDescent="0.2">
      <c r="Z15521" t="str">
        <f t="shared" si="242"/>
        <v/>
      </c>
    </row>
    <row r="15522" spans="26:26" x14ac:dyDescent="0.2">
      <c r="Z15522" t="str">
        <f t="shared" si="242"/>
        <v/>
      </c>
    </row>
    <row r="15523" spans="26:26" x14ac:dyDescent="0.2">
      <c r="Z15523" t="str">
        <f t="shared" si="242"/>
        <v/>
      </c>
    </row>
    <row r="15524" spans="26:26" x14ac:dyDescent="0.2">
      <c r="Z15524" t="str">
        <f t="shared" si="242"/>
        <v/>
      </c>
    </row>
    <row r="15525" spans="26:26" x14ac:dyDescent="0.2">
      <c r="Z15525" t="str">
        <f t="shared" si="242"/>
        <v/>
      </c>
    </row>
    <row r="15526" spans="26:26" x14ac:dyDescent="0.2">
      <c r="Z15526" t="str">
        <f t="shared" si="242"/>
        <v/>
      </c>
    </row>
    <row r="15527" spans="26:26" x14ac:dyDescent="0.2">
      <c r="Z15527" t="str">
        <f t="shared" si="242"/>
        <v/>
      </c>
    </row>
    <row r="15528" spans="26:26" x14ac:dyDescent="0.2">
      <c r="Z15528" t="str">
        <f t="shared" si="242"/>
        <v/>
      </c>
    </row>
    <row r="15529" spans="26:26" x14ac:dyDescent="0.2">
      <c r="Z15529" t="str">
        <f t="shared" si="242"/>
        <v/>
      </c>
    </row>
    <row r="15530" spans="26:26" x14ac:dyDescent="0.2">
      <c r="Z15530" t="str">
        <f t="shared" si="242"/>
        <v/>
      </c>
    </row>
    <row r="15531" spans="26:26" x14ac:dyDescent="0.2">
      <c r="Z15531" t="str">
        <f t="shared" si="242"/>
        <v/>
      </c>
    </row>
    <row r="15532" spans="26:26" x14ac:dyDescent="0.2">
      <c r="Z15532" t="str">
        <f t="shared" si="242"/>
        <v/>
      </c>
    </row>
    <row r="15533" spans="26:26" x14ac:dyDescent="0.2">
      <c r="Z15533" t="str">
        <f t="shared" si="242"/>
        <v/>
      </c>
    </row>
    <row r="15534" spans="26:26" x14ac:dyDescent="0.2">
      <c r="Z15534" t="str">
        <f t="shared" si="242"/>
        <v/>
      </c>
    </row>
    <row r="15535" spans="26:26" x14ac:dyDescent="0.2">
      <c r="Z15535" t="str">
        <f t="shared" si="242"/>
        <v/>
      </c>
    </row>
    <row r="15536" spans="26:26" x14ac:dyDescent="0.2">
      <c r="Z15536" t="str">
        <f t="shared" si="242"/>
        <v/>
      </c>
    </row>
    <row r="15537" spans="26:26" x14ac:dyDescent="0.2">
      <c r="Z15537" t="str">
        <f t="shared" si="242"/>
        <v/>
      </c>
    </row>
    <row r="15538" spans="26:26" x14ac:dyDescent="0.2">
      <c r="Z15538" t="str">
        <f t="shared" si="242"/>
        <v/>
      </c>
    </row>
    <row r="15539" spans="26:26" x14ac:dyDescent="0.2">
      <c r="Z15539" t="str">
        <f t="shared" si="242"/>
        <v/>
      </c>
    </row>
    <row r="15540" spans="26:26" x14ac:dyDescent="0.2">
      <c r="Z15540" t="str">
        <f t="shared" si="242"/>
        <v/>
      </c>
    </row>
    <row r="15541" spans="26:26" x14ac:dyDescent="0.2">
      <c r="Z15541" t="str">
        <f t="shared" si="242"/>
        <v/>
      </c>
    </row>
    <row r="15542" spans="26:26" x14ac:dyDescent="0.2">
      <c r="Z15542" t="str">
        <f t="shared" si="242"/>
        <v/>
      </c>
    </row>
    <row r="15543" spans="26:26" x14ac:dyDescent="0.2">
      <c r="Z15543" t="str">
        <f t="shared" si="242"/>
        <v/>
      </c>
    </row>
    <row r="15544" spans="26:26" x14ac:dyDescent="0.2">
      <c r="Z15544" t="str">
        <f t="shared" si="242"/>
        <v/>
      </c>
    </row>
    <row r="15545" spans="26:26" x14ac:dyDescent="0.2">
      <c r="Z15545" t="str">
        <f t="shared" si="242"/>
        <v/>
      </c>
    </row>
    <row r="15546" spans="26:26" x14ac:dyDescent="0.2">
      <c r="Z15546" t="str">
        <f t="shared" si="242"/>
        <v/>
      </c>
    </row>
    <row r="15547" spans="26:26" x14ac:dyDescent="0.2">
      <c r="Z15547" t="str">
        <f t="shared" si="242"/>
        <v/>
      </c>
    </row>
    <row r="15548" spans="26:26" x14ac:dyDescent="0.2">
      <c r="Z15548" t="str">
        <f t="shared" si="242"/>
        <v/>
      </c>
    </row>
    <row r="15549" spans="26:26" x14ac:dyDescent="0.2">
      <c r="Z15549" t="str">
        <f t="shared" si="242"/>
        <v/>
      </c>
    </row>
    <row r="15550" spans="26:26" x14ac:dyDescent="0.2">
      <c r="Z15550" t="str">
        <f t="shared" si="242"/>
        <v/>
      </c>
    </row>
    <row r="15551" spans="26:26" x14ac:dyDescent="0.2">
      <c r="Z15551" t="str">
        <f t="shared" si="242"/>
        <v/>
      </c>
    </row>
    <row r="15552" spans="26:26" x14ac:dyDescent="0.2">
      <c r="Z15552" t="str">
        <f t="shared" si="242"/>
        <v/>
      </c>
    </row>
    <row r="15553" spans="26:26" x14ac:dyDescent="0.2">
      <c r="Z15553" t="str">
        <f t="shared" si="242"/>
        <v/>
      </c>
    </row>
    <row r="15554" spans="26:26" x14ac:dyDescent="0.2">
      <c r="Z15554" t="str">
        <f t="shared" si="242"/>
        <v/>
      </c>
    </row>
    <row r="15555" spans="26:26" x14ac:dyDescent="0.2">
      <c r="Z15555" t="str">
        <f t="shared" ref="Z15555:Z15618" si="243">IF(K15555="","",IFERROR(VALUE(TRIM(MID(K15555,FIND(CHAR(167),SUBSTITUTE(K15555,"-",CHAR(167),LEN(K15555)-LEN(SUBSTITUTE(K15555,"-",""))))+1,100))),K15555))</f>
        <v/>
      </c>
    </row>
    <row r="15556" spans="26:26" x14ac:dyDescent="0.2">
      <c r="Z15556" t="str">
        <f t="shared" si="243"/>
        <v/>
      </c>
    </row>
    <row r="15557" spans="26:26" x14ac:dyDescent="0.2">
      <c r="Z15557" t="str">
        <f t="shared" si="243"/>
        <v/>
      </c>
    </row>
    <row r="15558" spans="26:26" x14ac:dyDescent="0.2">
      <c r="Z15558" t="str">
        <f t="shared" si="243"/>
        <v/>
      </c>
    </row>
    <row r="15559" spans="26:26" x14ac:dyDescent="0.2">
      <c r="Z15559" t="str">
        <f t="shared" si="243"/>
        <v/>
      </c>
    </row>
    <row r="15560" spans="26:26" x14ac:dyDescent="0.2">
      <c r="Z15560" t="str">
        <f t="shared" si="243"/>
        <v/>
      </c>
    </row>
    <row r="15561" spans="26:26" x14ac:dyDescent="0.2">
      <c r="Z15561" t="str">
        <f t="shared" si="243"/>
        <v/>
      </c>
    </row>
    <row r="15562" spans="26:26" x14ac:dyDescent="0.2">
      <c r="Z15562" t="str">
        <f t="shared" si="243"/>
        <v/>
      </c>
    </row>
    <row r="15563" spans="26:26" x14ac:dyDescent="0.2">
      <c r="Z15563" t="str">
        <f t="shared" si="243"/>
        <v/>
      </c>
    </row>
    <row r="15564" spans="26:26" x14ac:dyDescent="0.2">
      <c r="Z15564" t="str">
        <f t="shared" si="243"/>
        <v/>
      </c>
    </row>
    <row r="15565" spans="26:26" x14ac:dyDescent="0.2">
      <c r="Z15565" t="str">
        <f t="shared" si="243"/>
        <v/>
      </c>
    </row>
    <row r="15566" spans="26:26" x14ac:dyDescent="0.2">
      <c r="Z15566" t="str">
        <f t="shared" si="243"/>
        <v/>
      </c>
    </row>
    <row r="15567" spans="26:26" x14ac:dyDescent="0.2">
      <c r="Z15567" t="str">
        <f t="shared" si="243"/>
        <v/>
      </c>
    </row>
    <row r="15568" spans="26:26" x14ac:dyDescent="0.2">
      <c r="Z15568" t="str">
        <f t="shared" si="243"/>
        <v/>
      </c>
    </row>
    <row r="15569" spans="26:26" x14ac:dyDescent="0.2">
      <c r="Z15569" t="str">
        <f t="shared" si="243"/>
        <v/>
      </c>
    </row>
    <row r="15570" spans="26:26" x14ac:dyDescent="0.2">
      <c r="Z15570" t="str">
        <f t="shared" si="243"/>
        <v/>
      </c>
    </row>
    <row r="15571" spans="26:26" x14ac:dyDescent="0.2">
      <c r="Z15571" t="str">
        <f t="shared" si="243"/>
        <v/>
      </c>
    </row>
    <row r="15572" spans="26:26" x14ac:dyDescent="0.2">
      <c r="Z15572" t="str">
        <f t="shared" si="243"/>
        <v/>
      </c>
    </row>
    <row r="15573" spans="26:26" x14ac:dyDescent="0.2">
      <c r="Z15573" t="str">
        <f t="shared" si="243"/>
        <v/>
      </c>
    </row>
    <row r="15574" spans="26:26" x14ac:dyDescent="0.2">
      <c r="Z15574" t="str">
        <f t="shared" si="243"/>
        <v/>
      </c>
    </row>
    <row r="15575" spans="26:26" x14ac:dyDescent="0.2">
      <c r="Z15575" t="str">
        <f t="shared" si="243"/>
        <v/>
      </c>
    </row>
    <row r="15576" spans="26:26" x14ac:dyDescent="0.2">
      <c r="Z15576" t="str">
        <f t="shared" si="243"/>
        <v/>
      </c>
    </row>
    <row r="15577" spans="26:26" x14ac:dyDescent="0.2">
      <c r="Z15577" t="str">
        <f t="shared" si="243"/>
        <v/>
      </c>
    </row>
    <row r="15578" spans="26:26" x14ac:dyDescent="0.2">
      <c r="Z15578" t="str">
        <f t="shared" si="243"/>
        <v/>
      </c>
    </row>
    <row r="15579" spans="26:26" x14ac:dyDescent="0.2">
      <c r="Z15579" t="str">
        <f t="shared" si="243"/>
        <v/>
      </c>
    </row>
    <row r="15580" spans="26:26" x14ac:dyDescent="0.2">
      <c r="Z15580" t="str">
        <f t="shared" si="243"/>
        <v/>
      </c>
    </row>
    <row r="15581" spans="26:26" x14ac:dyDescent="0.2">
      <c r="Z15581" t="str">
        <f t="shared" si="243"/>
        <v/>
      </c>
    </row>
    <row r="15582" spans="26:26" x14ac:dyDescent="0.2">
      <c r="Z15582" t="str">
        <f t="shared" si="243"/>
        <v/>
      </c>
    </row>
    <row r="15583" spans="26:26" x14ac:dyDescent="0.2">
      <c r="Z15583" t="str">
        <f t="shared" si="243"/>
        <v/>
      </c>
    </row>
    <row r="15584" spans="26:26" x14ac:dyDescent="0.2">
      <c r="Z15584" t="str">
        <f t="shared" si="243"/>
        <v/>
      </c>
    </row>
    <row r="15585" spans="26:26" x14ac:dyDescent="0.2">
      <c r="Z15585" t="str">
        <f t="shared" si="243"/>
        <v/>
      </c>
    </row>
    <row r="15586" spans="26:26" x14ac:dyDescent="0.2">
      <c r="Z15586" t="str">
        <f t="shared" si="243"/>
        <v/>
      </c>
    </row>
    <row r="15587" spans="26:26" x14ac:dyDescent="0.2">
      <c r="Z15587" t="str">
        <f t="shared" si="243"/>
        <v/>
      </c>
    </row>
    <row r="15588" spans="26:26" x14ac:dyDescent="0.2">
      <c r="Z15588" t="str">
        <f t="shared" si="243"/>
        <v/>
      </c>
    </row>
    <row r="15589" spans="26:26" x14ac:dyDescent="0.2">
      <c r="Z15589" t="str">
        <f t="shared" si="243"/>
        <v/>
      </c>
    </row>
    <row r="15590" spans="26:26" x14ac:dyDescent="0.2">
      <c r="Z15590" t="str">
        <f t="shared" si="243"/>
        <v/>
      </c>
    </row>
    <row r="15591" spans="26:26" x14ac:dyDescent="0.2">
      <c r="Z15591" t="str">
        <f t="shared" si="243"/>
        <v/>
      </c>
    </row>
    <row r="15592" spans="26:26" x14ac:dyDescent="0.2">
      <c r="Z15592" t="str">
        <f t="shared" si="243"/>
        <v/>
      </c>
    </row>
    <row r="15593" spans="26:26" x14ac:dyDescent="0.2">
      <c r="Z15593" t="str">
        <f t="shared" si="243"/>
        <v/>
      </c>
    </row>
    <row r="15594" spans="26:26" x14ac:dyDescent="0.2">
      <c r="Z15594" t="str">
        <f t="shared" si="243"/>
        <v/>
      </c>
    </row>
    <row r="15595" spans="26:26" x14ac:dyDescent="0.2">
      <c r="Z15595" t="str">
        <f t="shared" si="243"/>
        <v/>
      </c>
    </row>
    <row r="15596" spans="26:26" x14ac:dyDescent="0.2">
      <c r="Z15596" t="str">
        <f t="shared" si="243"/>
        <v/>
      </c>
    </row>
    <row r="15597" spans="26:26" x14ac:dyDescent="0.2">
      <c r="Z15597" t="str">
        <f t="shared" si="243"/>
        <v/>
      </c>
    </row>
    <row r="15598" spans="26:26" x14ac:dyDescent="0.2">
      <c r="Z15598" t="str">
        <f t="shared" si="243"/>
        <v/>
      </c>
    </row>
    <row r="15599" spans="26:26" x14ac:dyDescent="0.2">
      <c r="Z15599" t="str">
        <f t="shared" si="243"/>
        <v/>
      </c>
    </row>
    <row r="15600" spans="26:26" x14ac:dyDescent="0.2">
      <c r="Z15600" t="str">
        <f t="shared" si="243"/>
        <v/>
      </c>
    </row>
    <row r="15601" spans="26:26" x14ac:dyDescent="0.2">
      <c r="Z15601" t="str">
        <f t="shared" si="243"/>
        <v/>
      </c>
    </row>
    <row r="15602" spans="26:26" x14ac:dyDescent="0.2">
      <c r="Z15602" t="str">
        <f t="shared" si="243"/>
        <v/>
      </c>
    </row>
    <row r="15603" spans="26:26" x14ac:dyDescent="0.2">
      <c r="Z15603" t="str">
        <f t="shared" si="243"/>
        <v/>
      </c>
    </row>
    <row r="15604" spans="26:26" x14ac:dyDescent="0.2">
      <c r="Z15604" t="str">
        <f t="shared" si="243"/>
        <v/>
      </c>
    </row>
    <row r="15605" spans="26:26" x14ac:dyDescent="0.2">
      <c r="Z15605" t="str">
        <f t="shared" si="243"/>
        <v/>
      </c>
    </row>
    <row r="15606" spans="26:26" x14ac:dyDescent="0.2">
      <c r="Z15606" t="str">
        <f t="shared" si="243"/>
        <v/>
      </c>
    </row>
    <row r="15607" spans="26:26" x14ac:dyDescent="0.2">
      <c r="Z15607" t="str">
        <f t="shared" si="243"/>
        <v/>
      </c>
    </row>
    <row r="15608" spans="26:26" x14ac:dyDescent="0.2">
      <c r="Z15608" t="str">
        <f t="shared" si="243"/>
        <v/>
      </c>
    </row>
    <row r="15609" spans="26:26" x14ac:dyDescent="0.2">
      <c r="Z15609" t="str">
        <f t="shared" si="243"/>
        <v/>
      </c>
    </row>
    <row r="15610" spans="26:26" x14ac:dyDescent="0.2">
      <c r="Z15610" t="str">
        <f t="shared" si="243"/>
        <v/>
      </c>
    </row>
    <row r="15611" spans="26:26" x14ac:dyDescent="0.2">
      <c r="Z15611" t="str">
        <f t="shared" si="243"/>
        <v/>
      </c>
    </row>
    <row r="15612" spans="26:26" x14ac:dyDescent="0.2">
      <c r="Z15612" t="str">
        <f t="shared" si="243"/>
        <v/>
      </c>
    </row>
    <row r="15613" spans="26:26" x14ac:dyDescent="0.2">
      <c r="Z15613" t="str">
        <f t="shared" si="243"/>
        <v/>
      </c>
    </row>
    <row r="15614" spans="26:26" x14ac:dyDescent="0.2">
      <c r="Z15614" t="str">
        <f t="shared" si="243"/>
        <v/>
      </c>
    </row>
    <row r="15615" spans="26:26" x14ac:dyDescent="0.2">
      <c r="Z15615" t="str">
        <f t="shared" si="243"/>
        <v/>
      </c>
    </row>
    <row r="15616" spans="26:26" x14ac:dyDescent="0.2">
      <c r="Z15616" t="str">
        <f t="shared" si="243"/>
        <v/>
      </c>
    </row>
    <row r="15617" spans="26:26" x14ac:dyDescent="0.2">
      <c r="Z15617" t="str">
        <f t="shared" si="243"/>
        <v/>
      </c>
    </row>
    <row r="15618" spans="26:26" x14ac:dyDescent="0.2">
      <c r="Z15618" t="str">
        <f t="shared" si="243"/>
        <v/>
      </c>
    </row>
    <row r="15619" spans="26:26" x14ac:dyDescent="0.2">
      <c r="Z15619" t="str">
        <f t="shared" ref="Z15619:Z15682" si="244">IF(K15619="","",IFERROR(VALUE(TRIM(MID(K15619,FIND(CHAR(167),SUBSTITUTE(K15619,"-",CHAR(167),LEN(K15619)-LEN(SUBSTITUTE(K15619,"-",""))))+1,100))),K15619))</f>
        <v/>
      </c>
    </row>
    <row r="15620" spans="26:26" x14ac:dyDescent="0.2">
      <c r="Z15620" t="str">
        <f t="shared" si="244"/>
        <v/>
      </c>
    </row>
    <row r="15621" spans="26:26" x14ac:dyDescent="0.2">
      <c r="Z15621" t="str">
        <f t="shared" si="244"/>
        <v/>
      </c>
    </row>
    <row r="15622" spans="26:26" x14ac:dyDescent="0.2">
      <c r="Z15622" t="str">
        <f t="shared" si="244"/>
        <v/>
      </c>
    </row>
    <row r="15623" spans="26:26" x14ac:dyDescent="0.2">
      <c r="Z15623" t="str">
        <f t="shared" si="244"/>
        <v/>
      </c>
    </row>
    <row r="15624" spans="26:26" x14ac:dyDescent="0.2">
      <c r="Z15624" t="str">
        <f t="shared" si="244"/>
        <v/>
      </c>
    </row>
    <row r="15625" spans="26:26" x14ac:dyDescent="0.2">
      <c r="Z15625" t="str">
        <f t="shared" si="244"/>
        <v/>
      </c>
    </row>
    <row r="15626" spans="26:26" x14ac:dyDescent="0.2">
      <c r="Z15626" t="str">
        <f t="shared" si="244"/>
        <v/>
      </c>
    </row>
    <row r="15627" spans="26:26" x14ac:dyDescent="0.2">
      <c r="Z15627" t="str">
        <f t="shared" si="244"/>
        <v/>
      </c>
    </row>
    <row r="15628" spans="26:26" x14ac:dyDescent="0.2">
      <c r="Z15628" t="str">
        <f t="shared" si="244"/>
        <v/>
      </c>
    </row>
    <row r="15629" spans="26:26" x14ac:dyDescent="0.2">
      <c r="Z15629" t="str">
        <f t="shared" si="244"/>
        <v/>
      </c>
    </row>
    <row r="15630" spans="26:26" x14ac:dyDescent="0.2">
      <c r="Z15630" t="str">
        <f t="shared" si="244"/>
        <v/>
      </c>
    </row>
    <row r="15631" spans="26:26" x14ac:dyDescent="0.2">
      <c r="Z15631" t="str">
        <f t="shared" si="244"/>
        <v/>
      </c>
    </row>
    <row r="15632" spans="26:26" x14ac:dyDescent="0.2">
      <c r="Z15632" t="str">
        <f t="shared" si="244"/>
        <v/>
      </c>
    </row>
    <row r="15633" spans="26:26" x14ac:dyDescent="0.2">
      <c r="Z15633" t="str">
        <f t="shared" si="244"/>
        <v/>
      </c>
    </row>
    <row r="15634" spans="26:26" x14ac:dyDescent="0.2">
      <c r="Z15634" t="str">
        <f t="shared" si="244"/>
        <v/>
      </c>
    </row>
    <row r="15635" spans="26:26" x14ac:dyDescent="0.2">
      <c r="Z15635" t="str">
        <f t="shared" si="244"/>
        <v/>
      </c>
    </row>
    <row r="15636" spans="26:26" x14ac:dyDescent="0.2">
      <c r="Z15636" t="str">
        <f t="shared" si="244"/>
        <v/>
      </c>
    </row>
    <row r="15637" spans="26:26" x14ac:dyDescent="0.2">
      <c r="Z15637" t="str">
        <f t="shared" si="244"/>
        <v/>
      </c>
    </row>
    <row r="15638" spans="26:26" x14ac:dyDescent="0.2">
      <c r="Z15638" t="str">
        <f t="shared" si="244"/>
        <v/>
      </c>
    </row>
    <row r="15639" spans="26:26" x14ac:dyDescent="0.2">
      <c r="Z15639" t="str">
        <f t="shared" si="244"/>
        <v/>
      </c>
    </row>
    <row r="15640" spans="26:26" x14ac:dyDescent="0.2">
      <c r="Z15640" t="str">
        <f t="shared" si="244"/>
        <v/>
      </c>
    </row>
    <row r="15641" spans="26:26" x14ac:dyDescent="0.2">
      <c r="Z15641" t="str">
        <f t="shared" si="244"/>
        <v/>
      </c>
    </row>
    <row r="15642" spans="26:26" x14ac:dyDescent="0.2">
      <c r="Z15642" t="str">
        <f t="shared" si="244"/>
        <v/>
      </c>
    </row>
    <row r="15643" spans="26:26" x14ac:dyDescent="0.2">
      <c r="Z15643" t="str">
        <f t="shared" si="244"/>
        <v/>
      </c>
    </row>
    <row r="15644" spans="26:26" x14ac:dyDescent="0.2">
      <c r="Z15644" t="str">
        <f t="shared" si="244"/>
        <v/>
      </c>
    </row>
    <row r="15645" spans="26:26" x14ac:dyDescent="0.2">
      <c r="Z15645" t="str">
        <f t="shared" si="244"/>
        <v/>
      </c>
    </row>
    <row r="15646" spans="26:26" x14ac:dyDescent="0.2">
      <c r="Z15646" t="str">
        <f t="shared" si="244"/>
        <v/>
      </c>
    </row>
    <row r="15647" spans="26:26" x14ac:dyDescent="0.2">
      <c r="Z15647" t="str">
        <f t="shared" si="244"/>
        <v/>
      </c>
    </row>
    <row r="15648" spans="26:26" x14ac:dyDescent="0.2">
      <c r="Z15648" t="str">
        <f t="shared" si="244"/>
        <v/>
      </c>
    </row>
    <row r="15649" spans="26:26" x14ac:dyDescent="0.2">
      <c r="Z15649" t="str">
        <f t="shared" si="244"/>
        <v/>
      </c>
    </row>
    <row r="15650" spans="26:26" x14ac:dyDescent="0.2">
      <c r="Z15650" t="str">
        <f t="shared" si="244"/>
        <v/>
      </c>
    </row>
    <row r="15651" spans="26:26" x14ac:dyDescent="0.2">
      <c r="Z15651" t="str">
        <f t="shared" si="244"/>
        <v/>
      </c>
    </row>
    <row r="15652" spans="26:26" x14ac:dyDescent="0.2">
      <c r="Z15652" t="str">
        <f t="shared" si="244"/>
        <v/>
      </c>
    </row>
    <row r="15653" spans="26:26" x14ac:dyDescent="0.2">
      <c r="Z15653" t="str">
        <f t="shared" si="244"/>
        <v/>
      </c>
    </row>
    <row r="15654" spans="26:26" x14ac:dyDescent="0.2">
      <c r="Z15654" t="str">
        <f t="shared" si="244"/>
        <v/>
      </c>
    </row>
    <row r="15655" spans="26:26" x14ac:dyDescent="0.2">
      <c r="Z15655" t="str">
        <f t="shared" si="244"/>
        <v/>
      </c>
    </row>
    <row r="15656" spans="26:26" x14ac:dyDescent="0.2">
      <c r="Z15656" t="str">
        <f t="shared" si="244"/>
        <v/>
      </c>
    </row>
    <row r="15657" spans="26:26" x14ac:dyDescent="0.2">
      <c r="Z15657" t="str">
        <f t="shared" si="244"/>
        <v/>
      </c>
    </row>
    <row r="15658" spans="26:26" x14ac:dyDescent="0.2">
      <c r="Z15658" t="str">
        <f t="shared" si="244"/>
        <v/>
      </c>
    </row>
    <row r="15659" spans="26:26" x14ac:dyDescent="0.2">
      <c r="Z15659" t="str">
        <f t="shared" si="244"/>
        <v/>
      </c>
    </row>
    <row r="15660" spans="26:26" x14ac:dyDescent="0.2">
      <c r="Z15660" t="str">
        <f t="shared" si="244"/>
        <v/>
      </c>
    </row>
    <row r="15661" spans="26:26" x14ac:dyDescent="0.2">
      <c r="Z15661" t="str">
        <f t="shared" si="244"/>
        <v/>
      </c>
    </row>
    <row r="15662" spans="26:26" x14ac:dyDescent="0.2">
      <c r="Z15662" t="str">
        <f t="shared" si="244"/>
        <v/>
      </c>
    </row>
    <row r="15663" spans="26:26" x14ac:dyDescent="0.2">
      <c r="Z15663" t="str">
        <f t="shared" si="244"/>
        <v/>
      </c>
    </row>
    <row r="15664" spans="26:26" x14ac:dyDescent="0.2">
      <c r="Z15664" t="str">
        <f t="shared" si="244"/>
        <v/>
      </c>
    </row>
    <row r="15665" spans="26:26" x14ac:dyDescent="0.2">
      <c r="Z15665" t="str">
        <f t="shared" si="244"/>
        <v/>
      </c>
    </row>
    <row r="15666" spans="26:26" x14ac:dyDescent="0.2">
      <c r="Z15666" t="str">
        <f t="shared" si="244"/>
        <v/>
      </c>
    </row>
    <row r="15667" spans="26:26" x14ac:dyDescent="0.2">
      <c r="Z15667" t="str">
        <f t="shared" si="244"/>
        <v/>
      </c>
    </row>
    <row r="15668" spans="26:26" x14ac:dyDescent="0.2">
      <c r="Z15668" t="str">
        <f t="shared" si="244"/>
        <v/>
      </c>
    </row>
    <row r="15669" spans="26:26" x14ac:dyDescent="0.2">
      <c r="Z15669" t="str">
        <f t="shared" si="244"/>
        <v/>
      </c>
    </row>
    <row r="15670" spans="26:26" x14ac:dyDescent="0.2">
      <c r="Z15670" t="str">
        <f t="shared" si="244"/>
        <v/>
      </c>
    </row>
    <row r="15671" spans="26:26" x14ac:dyDescent="0.2">
      <c r="Z15671" t="str">
        <f t="shared" si="244"/>
        <v/>
      </c>
    </row>
    <row r="15672" spans="26:26" x14ac:dyDescent="0.2">
      <c r="Z15672" t="str">
        <f t="shared" si="244"/>
        <v/>
      </c>
    </row>
    <row r="15673" spans="26:26" x14ac:dyDescent="0.2">
      <c r="Z15673" t="str">
        <f t="shared" si="244"/>
        <v/>
      </c>
    </row>
    <row r="15674" spans="26:26" x14ac:dyDescent="0.2">
      <c r="Z15674" t="str">
        <f t="shared" si="244"/>
        <v/>
      </c>
    </row>
    <row r="15675" spans="26:26" x14ac:dyDescent="0.2">
      <c r="Z15675" t="str">
        <f t="shared" si="244"/>
        <v/>
      </c>
    </row>
    <row r="15676" spans="26:26" x14ac:dyDescent="0.2">
      <c r="Z15676" t="str">
        <f t="shared" si="244"/>
        <v/>
      </c>
    </row>
    <row r="15677" spans="26:26" x14ac:dyDescent="0.2">
      <c r="Z15677" t="str">
        <f t="shared" si="244"/>
        <v/>
      </c>
    </row>
    <row r="15678" spans="26:26" x14ac:dyDescent="0.2">
      <c r="Z15678" t="str">
        <f t="shared" si="244"/>
        <v/>
      </c>
    </row>
    <row r="15679" spans="26:26" x14ac:dyDescent="0.2">
      <c r="Z15679" t="str">
        <f t="shared" si="244"/>
        <v/>
      </c>
    </row>
    <row r="15680" spans="26:26" x14ac:dyDescent="0.2">
      <c r="Z15680" t="str">
        <f t="shared" si="244"/>
        <v/>
      </c>
    </row>
    <row r="15681" spans="26:26" x14ac:dyDescent="0.2">
      <c r="Z15681" t="str">
        <f t="shared" si="244"/>
        <v/>
      </c>
    </row>
    <row r="15682" spans="26:26" x14ac:dyDescent="0.2">
      <c r="Z15682" t="str">
        <f t="shared" si="244"/>
        <v/>
      </c>
    </row>
    <row r="15683" spans="26:26" x14ac:dyDescent="0.2">
      <c r="Z15683" t="str">
        <f t="shared" ref="Z15683:Z15746" si="245">IF(K15683="","",IFERROR(VALUE(TRIM(MID(K15683,FIND(CHAR(167),SUBSTITUTE(K15683,"-",CHAR(167),LEN(K15683)-LEN(SUBSTITUTE(K15683,"-",""))))+1,100))),K15683))</f>
        <v/>
      </c>
    </row>
    <row r="15684" spans="26:26" x14ac:dyDescent="0.2">
      <c r="Z15684" t="str">
        <f t="shared" si="245"/>
        <v/>
      </c>
    </row>
    <row r="15685" spans="26:26" x14ac:dyDescent="0.2">
      <c r="Z15685" t="str">
        <f t="shared" si="245"/>
        <v/>
      </c>
    </row>
    <row r="15686" spans="26:26" x14ac:dyDescent="0.2">
      <c r="Z15686" t="str">
        <f t="shared" si="245"/>
        <v/>
      </c>
    </row>
    <row r="15687" spans="26:26" x14ac:dyDescent="0.2">
      <c r="Z15687" t="str">
        <f t="shared" si="245"/>
        <v/>
      </c>
    </row>
    <row r="15688" spans="26:26" x14ac:dyDescent="0.2">
      <c r="Z15688" t="str">
        <f t="shared" si="245"/>
        <v/>
      </c>
    </row>
    <row r="15689" spans="26:26" x14ac:dyDescent="0.2">
      <c r="Z15689" t="str">
        <f t="shared" si="245"/>
        <v/>
      </c>
    </row>
    <row r="15690" spans="26:26" x14ac:dyDescent="0.2">
      <c r="Z15690" t="str">
        <f t="shared" si="245"/>
        <v/>
      </c>
    </row>
    <row r="15691" spans="26:26" x14ac:dyDescent="0.2">
      <c r="Z15691" t="str">
        <f t="shared" si="245"/>
        <v/>
      </c>
    </row>
    <row r="15692" spans="26:26" x14ac:dyDescent="0.2">
      <c r="Z15692" t="str">
        <f t="shared" si="245"/>
        <v/>
      </c>
    </row>
    <row r="15693" spans="26:26" x14ac:dyDescent="0.2">
      <c r="Z15693" t="str">
        <f t="shared" si="245"/>
        <v/>
      </c>
    </row>
    <row r="15694" spans="26:26" x14ac:dyDescent="0.2">
      <c r="Z15694" t="str">
        <f t="shared" si="245"/>
        <v/>
      </c>
    </row>
    <row r="15695" spans="26:26" x14ac:dyDescent="0.2">
      <c r="Z15695" t="str">
        <f t="shared" si="245"/>
        <v/>
      </c>
    </row>
    <row r="15696" spans="26:26" x14ac:dyDescent="0.2">
      <c r="Z15696" t="str">
        <f t="shared" si="245"/>
        <v/>
      </c>
    </row>
    <row r="15697" spans="26:26" x14ac:dyDescent="0.2">
      <c r="Z15697" t="str">
        <f t="shared" si="245"/>
        <v/>
      </c>
    </row>
    <row r="15698" spans="26:26" x14ac:dyDescent="0.2">
      <c r="Z15698" t="str">
        <f t="shared" si="245"/>
        <v/>
      </c>
    </row>
    <row r="15699" spans="26:26" x14ac:dyDescent="0.2">
      <c r="Z15699" t="str">
        <f t="shared" si="245"/>
        <v/>
      </c>
    </row>
    <row r="15700" spans="26:26" x14ac:dyDescent="0.2">
      <c r="Z15700" t="str">
        <f t="shared" si="245"/>
        <v/>
      </c>
    </row>
    <row r="15701" spans="26:26" x14ac:dyDescent="0.2">
      <c r="Z15701" t="str">
        <f t="shared" si="245"/>
        <v/>
      </c>
    </row>
    <row r="15702" spans="26:26" x14ac:dyDescent="0.2">
      <c r="Z15702" t="str">
        <f t="shared" si="245"/>
        <v/>
      </c>
    </row>
    <row r="15703" spans="26:26" x14ac:dyDescent="0.2">
      <c r="Z15703" t="str">
        <f t="shared" si="245"/>
        <v/>
      </c>
    </row>
    <row r="15704" spans="26:26" x14ac:dyDescent="0.2">
      <c r="Z15704" t="str">
        <f t="shared" si="245"/>
        <v/>
      </c>
    </row>
    <row r="15705" spans="26:26" x14ac:dyDescent="0.2">
      <c r="Z15705" t="str">
        <f t="shared" si="245"/>
        <v/>
      </c>
    </row>
    <row r="15706" spans="26:26" x14ac:dyDescent="0.2">
      <c r="Z15706" t="str">
        <f t="shared" si="245"/>
        <v/>
      </c>
    </row>
    <row r="15707" spans="26:26" x14ac:dyDescent="0.2">
      <c r="Z15707" t="str">
        <f t="shared" si="245"/>
        <v/>
      </c>
    </row>
    <row r="15708" spans="26:26" x14ac:dyDescent="0.2">
      <c r="Z15708" t="str">
        <f t="shared" si="245"/>
        <v/>
      </c>
    </row>
    <row r="15709" spans="26:26" x14ac:dyDescent="0.2">
      <c r="Z15709" t="str">
        <f t="shared" si="245"/>
        <v/>
      </c>
    </row>
    <row r="15710" spans="26:26" x14ac:dyDescent="0.2">
      <c r="Z15710" t="str">
        <f t="shared" si="245"/>
        <v/>
      </c>
    </row>
    <row r="15711" spans="26:26" x14ac:dyDescent="0.2">
      <c r="Z15711" t="str">
        <f t="shared" si="245"/>
        <v/>
      </c>
    </row>
    <row r="15712" spans="26:26" x14ac:dyDescent="0.2">
      <c r="Z15712" t="str">
        <f t="shared" si="245"/>
        <v/>
      </c>
    </row>
    <row r="15713" spans="26:26" x14ac:dyDescent="0.2">
      <c r="Z15713" t="str">
        <f t="shared" si="245"/>
        <v/>
      </c>
    </row>
    <row r="15714" spans="26:26" x14ac:dyDescent="0.2">
      <c r="Z15714" t="str">
        <f t="shared" si="245"/>
        <v/>
      </c>
    </row>
    <row r="15715" spans="26:26" x14ac:dyDescent="0.2">
      <c r="Z15715" t="str">
        <f t="shared" si="245"/>
        <v/>
      </c>
    </row>
    <row r="15716" spans="26:26" x14ac:dyDescent="0.2">
      <c r="Z15716" t="str">
        <f t="shared" si="245"/>
        <v/>
      </c>
    </row>
    <row r="15717" spans="26:26" x14ac:dyDescent="0.2">
      <c r="Z15717" t="str">
        <f t="shared" si="245"/>
        <v/>
      </c>
    </row>
    <row r="15718" spans="26:26" x14ac:dyDescent="0.2">
      <c r="Z15718" t="str">
        <f t="shared" si="245"/>
        <v/>
      </c>
    </row>
    <row r="15719" spans="26:26" x14ac:dyDescent="0.2">
      <c r="Z15719" t="str">
        <f t="shared" si="245"/>
        <v/>
      </c>
    </row>
    <row r="15720" spans="26:26" x14ac:dyDescent="0.2">
      <c r="Z15720" t="str">
        <f t="shared" si="245"/>
        <v/>
      </c>
    </row>
    <row r="15721" spans="26:26" x14ac:dyDescent="0.2">
      <c r="Z15721" t="str">
        <f t="shared" si="245"/>
        <v/>
      </c>
    </row>
    <row r="15722" spans="26:26" x14ac:dyDescent="0.2">
      <c r="Z15722" t="str">
        <f t="shared" si="245"/>
        <v/>
      </c>
    </row>
    <row r="15723" spans="26:26" x14ac:dyDescent="0.2">
      <c r="Z15723" t="str">
        <f t="shared" si="245"/>
        <v/>
      </c>
    </row>
    <row r="15724" spans="26:26" x14ac:dyDescent="0.2">
      <c r="Z15724" t="str">
        <f t="shared" si="245"/>
        <v/>
      </c>
    </row>
    <row r="15725" spans="26:26" x14ac:dyDescent="0.2">
      <c r="Z15725" t="str">
        <f t="shared" si="245"/>
        <v/>
      </c>
    </row>
    <row r="15726" spans="26:26" x14ac:dyDescent="0.2">
      <c r="Z15726" t="str">
        <f t="shared" si="245"/>
        <v/>
      </c>
    </row>
    <row r="15727" spans="26:26" x14ac:dyDescent="0.2">
      <c r="Z15727" t="str">
        <f t="shared" si="245"/>
        <v/>
      </c>
    </row>
    <row r="15728" spans="26:26" x14ac:dyDescent="0.2">
      <c r="Z15728" t="str">
        <f t="shared" si="245"/>
        <v/>
      </c>
    </row>
    <row r="15729" spans="26:26" x14ac:dyDescent="0.2">
      <c r="Z15729" t="str">
        <f t="shared" si="245"/>
        <v/>
      </c>
    </row>
    <row r="15730" spans="26:26" x14ac:dyDescent="0.2">
      <c r="Z15730" t="str">
        <f t="shared" si="245"/>
        <v/>
      </c>
    </row>
    <row r="15731" spans="26:26" x14ac:dyDescent="0.2">
      <c r="Z15731" t="str">
        <f t="shared" si="245"/>
        <v/>
      </c>
    </row>
    <row r="15732" spans="26:26" x14ac:dyDescent="0.2">
      <c r="Z15732" t="str">
        <f t="shared" si="245"/>
        <v/>
      </c>
    </row>
    <row r="15733" spans="26:26" x14ac:dyDescent="0.2">
      <c r="Z15733" t="str">
        <f t="shared" si="245"/>
        <v/>
      </c>
    </row>
    <row r="15734" spans="26:26" x14ac:dyDescent="0.2">
      <c r="Z15734" t="str">
        <f t="shared" si="245"/>
        <v/>
      </c>
    </row>
    <row r="15735" spans="26:26" x14ac:dyDescent="0.2">
      <c r="Z15735" t="str">
        <f t="shared" si="245"/>
        <v/>
      </c>
    </row>
    <row r="15736" spans="26:26" x14ac:dyDescent="0.2">
      <c r="Z15736" t="str">
        <f t="shared" si="245"/>
        <v/>
      </c>
    </row>
    <row r="15737" spans="26:26" x14ac:dyDescent="0.2">
      <c r="Z15737" t="str">
        <f t="shared" si="245"/>
        <v/>
      </c>
    </row>
    <row r="15738" spans="26:26" x14ac:dyDescent="0.2">
      <c r="Z15738" t="str">
        <f t="shared" si="245"/>
        <v/>
      </c>
    </row>
    <row r="15739" spans="26:26" x14ac:dyDescent="0.2">
      <c r="Z15739" t="str">
        <f t="shared" si="245"/>
        <v/>
      </c>
    </row>
    <row r="15740" spans="26:26" x14ac:dyDescent="0.2">
      <c r="Z15740" t="str">
        <f t="shared" si="245"/>
        <v/>
      </c>
    </row>
    <row r="15741" spans="26:26" x14ac:dyDescent="0.2">
      <c r="Z15741" t="str">
        <f t="shared" si="245"/>
        <v/>
      </c>
    </row>
    <row r="15742" spans="26:26" x14ac:dyDescent="0.2">
      <c r="Z15742" t="str">
        <f t="shared" si="245"/>
        <v/>
      </c>
    </row>
    <row r="15743" spans="26:26" x14ac:dyDescent="0.2">
      <c r="Z15743" t="str">
        <f t="shared" si="245"/>
        <v/>
      </c>
    </row>
    <row r="15744" spans="26:26" x14ac:dyDescent="0.2">
      <c r="Z15744" t="str">
        <f t="shared" si="245"/>
        <v/>
      </c>
    </row>
    <row r="15745" spans="26:26" x14ac:dyDescent="0.2">
      <c r="Z15745" t="str">
        <f t="shared" si="245"/>
        <v/>
      </c>
    </row>
    <row r="15746" spans="26:26" x14ac:dyDescent="0.2">
      <c r="Z15746" t="str">
        <f t="shared" si="245"/>
        <v/>
      </c>
    </row>
    <row r="15747" spans="26:26" x14ac:dyDescent="0.2">
      <c r="Z15747" t="str">
        <f t="shared" ref="Z15747:Z15810" si="246">IF(K15747="","",IFERROR(VALUE(TRIM(MID(K15747,FIND(CHAR(167),SUBSTITUTE(K15747,"-",CHAR(167),LEN(K15747)-LEN(SUBSTITUTE(K15747,"-",""))))+1,100))),K15747))</f>
        <v/>
      </c>
    </row>
    <row r="15748" spans="26:26" x14ac:dyDescent="0.2">
      <c r="Z15748" t="str">
        <f t="shared" si="246"/>
        <v/>
      </c>
    </row>
    <row r="15749" spans="26:26" x14ac:dyDescent="0.2">
      <c r="Z15749" t="str">
        <f t="shared" si="246"/>
        <v/>
      </c>
    </row>
    <row r="15750" spans="26:26" x14ac:dyDescent="0.2">
      <c r="Z15750" t="str">
        <f t="shared" si="246"/>
        <v/>
      </c>
    </row>
    <row r="15751" spans="26:26" x14ac:dyDescent="0.2">
      <c r="Z15751" t="str">
        <f t="shared" si="246"/>
        <v/>
      </c>
    </row>
    <row r="15752" spans="26:26" x14ac:dyDescent="0.2">
      <c r="Z15752" t="str">
        <f t="shared" si="246"/>
        <v/>
      </c>
    </row>
    <row r="15753" spans="26:26" x14ac:dyDescent="0.2">
      <c r="Z15753" t="str">
        <f t="shared" si="246"/>
        <v/>
      </c>
    </row>
    <row r="15754" spans="26:26" x14ac:dyDescent="0.2">
      <c r="Z15754" t="str">
        <f t="shared" si="246"/>
        <v/>
      </c>
    </row>
    <row r="15755" spans="26:26" x14ac:dyDescent="0.2">
      <c r="Z15755" t="str">
        <f t="shared" si="246"/>
        <v/>
      </c>
    </row>
    <row r="15756" spans="26:26" x14ac:dyDescent="0.2">
      <c r="Z15756" t="str">
        <f t="shared" si="246"/>
        <v/>
      </c>
    </row>
    <row r="15757" spans="26:26" x14ac:dyDescent="0.2">
      <c r="Z15757" t="str">
        <f t="shared" si="246"/>
        <v/>
      </c>
    </row>
    <row r="15758" spans="26:26" x14ac:dyDescent="0.2">
      <c r="Z15758" t="str">
        <f t="shared" si="246"/>
        <v/>
      </c>
    </row>
    <row r="15759" spans="26:26" x14ac:dyDescent="0.2">
      <c r="Z15759" t="str">
        <f t="shared" si="246"/>
        <v/>
      </c>
    </row>
    <row r="15760" spans="26:26" x14ac:dyDescent="0.2">
      <c r="Z15760" t="str">
        <f t="shared" si="246"/>
        <v/>
      </c>
    </row>
    <row r="15761" spans="26:26" x14ac:dyDescent="0.2">
      <c r="Z15761" t="str">
        <f t="shared" si="246"/>
        <v/>
      </c>
    </row>
    <row r="15762" spans="26:26" x14ac:dyDescent="0.2">
      <c r="Z15762" t="str">
        <f t="shared" si="246"/>
        <v/>
      </c>
    </row>
    <row r="15763" spans="26:26" x14ac:dyDescent="0.2">
      <c r="Z15763" t="str">
        <f t="shared" si="246"/>
        <v/>
      </c>
    </row>
    <row r="15764" spans="26:26" x14ac:dyDescent="0.2">
      <c r="Z15764" t="str">
        <f t="shared" si="246"/>
        <v/>
      </c>
    </row>
    <row r="15765" spans="26:26" x14ac:dyDescent="0.2">
      <c r="Z15765" t="str">
        <f t="shared" si="246"/>
        <v/>
      </c>
    </row>
    <row r="15766" spans="26:26" x14ac:dyDescent="0.2">
      <c r="Z15766" t="str">
        <f t="shared" si="246"/>
        <v/>
      </c>
    </row>
    <row r="15767" spans="26:26" x14ac:dyDescent="0.2">
      <c r="Z15767" t="str">
        <f t="shared" si="246"/>
        <v/>
      </c>
    </row>
    <row r="15768" spans="26:26" x14ac:dyDescent="0.2">
      <c r="Z15768" t="str">
        <f t="shared" si="246"/>
        <v/>
      </c>
    </row>
    <row r="15769" spans="26:26" x14ac:dyDescent="0.2">
      <c r="Z15769" t="str">
        <f t="shared" si="246"/>
        <v/>
      </c>
    </row>
    <row r="15770" spans="26:26" x14ac:dyDescent="0.2">
      <c r="Z15770" t="str">
        <f t="shared" si="246"/>
        <v/>
      </c>
    </row>
    <row r="15771" spans="26:26" x14ac:dyDescent="0.2">
      <c r="Z15771" t="str">
        <f t="shared" si="246"/>
        <v/>
      </c>
    </row>
    <row r="15772" spans="26:26" x14ac:dyDescent="0.2">
      <c r="Z15772" t="str">
        <f t="shared" si="246"/>
        <v/>
      </c>
    </row>
    <row r="15773" spans="26:26" x14ac:dyDescent="0.2">
      <c r="Z15773" t="str">
        <f t="shared" si="246"/>
        <v/>
      </c>
    </row>
    <row r="15774" spans="26:26" x14ac:dyDescent="0.2">
      <c r="Z15774" t="str">
        <f t="shared" si="246"/>
        <v/>
      </c>
    </row>
    <row r="15775" spans="26:26" x14ac:dyDescent="0.2">
      <c r="Z15775" t="str">
        <f t="shared" si="246"/>
        <v/>
      </c>
    </row>
    <row r="15776" spans="26:26" x14ac:dyDescent="0.2">
      <c r="Z15776" t="str">
        <f t="shared" si="246"/>
        <v/>
      </c>
    </row>
    <row r="15777" spans="26:26" x14ac:dyDescent="0.2">
      <c r="Z15777" t="str">
        <f t="shared" si="246"/>
        <v/>
      </c>
    </row>
    <row r="15778" spans="26:26" x14ac:dyDescent="0.2">
      <c r="Z15778" t="str">
        <f t="shared" si="246"/>
        <v/>
      </c>
    </row>
    <row r="15779" spans="26:26" x14ac:dyDescent="0.2">
      <c r="Z15779" t="str">
        <f t="shared" si="246"/>
        <v/>
      </c>
    </row>
    <row r="15780" spans="26:26" x14ac:dyDescent="0.2">
      <c r="Z15780" t="str">
        <f t="shared" si="246"/>
        <v/>
      </c>
    </row>
    <row r="15781" spans="26:26" x14ac:dyDescent="0.2">
      <c r="Z15781" t="str">
        <f t="shared" si="246"/>
        <v/>
      </c>
    </row>
    <row r="15782" spans="26:26" x14ac:dyDescent="0.2">
      <c r="Z15782" t="str">
        <f t="shared" si="246"/>
        <v/>
      </c>
    </row>
    <row r="15783" spans="26:26" x14ac:dyDescent="0.2">
      <c r="Z15783" t="str">
        <f t="shared" si="246"/>
        <v/>
      </c>
    </row>
    <row r="15784" spans="26:26" x14ac:dyDescent="0.2">
      <c r="Z15784" t="str">
        <f t="shared" si="246"/>
        <v/>
      </c>
    </row>
    <row r="15785" spans="26:26" x14ac:dyDescent="0.2">
      <c r="Z15785" t="str">
        <f t="shared" si="246"/>
        <v/>
      </c>
    </row>
    <row r="15786" spans="26:26" x14ac:dyDescent="0.2">
      <c r="Z15786" t="str">
        <f t="shared" si="246"/>
        <v/>
      </c>
    </row>
    <row r="15787" spans="26:26" x14ac:dyDescent="0.2">
      <c r="Z15787" t="str">
        <f t="shared" si="246"/>
        <v/>
      </c>
    </row>
    <row r="15788" spans="26:26" x14ac:dyDescent="0.2">
      <c r="Z15788" t="str">
        <f t="shared" si="246"/>
        <v/>
      </c>
    </row>
    <row r="15789" spans="26:26" x14ac:dyDescent="0.2">
      <c r="Z15789" t="str">
        <f t="shared" si="246"/>
        <v/>
      </c>
    </row>
    <row r="15790" spans="26:26" x14ac:dyDescent="0.2">
      <c r="Z15790" t="str">
        <f t="shared" si="246"/>
        <v/>
      </c>
    </row>
    <row r="15791" spans="26:26" x14ac:dyDescent="0.2">
      <c r="Z15791" t="str">
        <f t="shared" si="246"/>
        <v/>
      </c>
    </row>
    <row r="15792" spans="26:26" x14ac:dyDescent="0.2">
      <c r="Z15792" t="str">
        <f t="shared" si="246"/>
        <v/>
      </c>
    </row>
    <row r="15793" spans="26:26" x14ac:dyDescent="0.2">
      <c r="Z15793" t="str">
        <f t="shared" si="246"/>
        <v/>
      </c>
    </row>
    <row r="15794" spans="26:26" x14ac:dyDescent="0.2">
      <c r="Z15794" t="str">
        <f t="shared" si="246"/>
        <v/>
      </c>
    </row>
    <row r="15795" spans="26:26" x14ac:dyDescent="0.2">
      <c r="Z15795" t="str">
        <f t="shared" si="246"/>
        <v/>
      </c>
    </row>
    <row r="15796" spans="26:26" x14ac:dyDescent="0.2">
      <c r="Z15796" t="str">
        <f t="shared" si="246"/>
        <v/>
      </c>
    </row>
    <row r="15797" spans="26:26" x14ac:dyDescent="0.2">
      <c r="Z15797" t="str">
        <f t="shared" si="246"/>
        <v/>
      </c>
    </row>
    <row r="15798" spans="26:26" x14ac:dyDescent="0.2">
      <c r="Z15798" t="str">
        <f t="shared" si="246"/>
        <v/>
      </c>
    </row>
    <row r="15799" spans="26:26" x14ac:dyDescent="0.2">
      <c r="Z15799" t="str">
        <f t="shared" si="246"/>
        <v/>
      </c>
    </row>
    <row r="15800" spans="26:26" x14ac:dyDescent="0.2">
      <c r="Z15800" t="str">
        <f t="shared" si="246"/>
        <v/>
      </c>
    </row>
    <row r="15801" spans="26:26" x14ac:dyDescent="0.2">
      <c r="Z15801" t="str">
        <f t="shared" si="246"/>
        <v/>
      </c>
    </row>
    <row r="15802" spans="26:26" x14ac:dyDescent="0.2">
      <c r="Z15802" t="str">
        <f t="shared" si="246"/>
        <v/>
      </c>
    </row>
    <row r="15803" spans="26:26" x14ac:dyDescent="0.2">
      <c r="Z15803" t="str">
        <f t="shared" si="246"/>
        <v/>
      </c>
    </row>
    <row r="15804" spans="26:26" x14ac:dyDescent="0.2">
      <c r="Z15804" t="str">
        <f t="shared" si="246"/>
        <v/>
      </c>
    </row>
    <row r="15805" spans="26:26" x14ac:dyDescent="0.2">
      <c r="Z15805" t="str">
        <f t="shared" si="246"/>
        <v/>
      </c>
    </row>
    <row r="15806" spans="26:26" x14ac:dyDescent="0.2">
      <c r="Z15806" t="str">
        <f t="shared" si="246"/>
        <v/>
      </c>
    </row>
    <row r="15807" spans="26:26" x14ac:dyDescent="0.2">
      <c r="Z15807" t="str">
        <f t="shared" si="246"/>
        <v/>
      </c>
    </row>
    <row r="15808" spans="26:26" x14ac:dyDescent="0.2">
      <c r="Z15808" t="str">
        <f t="shared" si="246"/>
        <v/>
      </c>
    </row>
    <row r="15809" spans="26:26" x14ac:dyDescent="0.2">
      <c r="Z15809" t="str">
        <f t="shared" si="246"/>
        <v/>
      </c>
    </row>
    <row r="15810" spans="26:26" x14ac:dyDescent="0.2">
      <c r="Z15810" t="str">
        <f t="shared" si="246"/>
        <v/>
      </c>
    </row>
    <row r="15811" spans="26:26" x14ac:dyDescent="0.2">
      <c r="Z15811" t="str">
        <f t="shared" ref="Z15811:Z15874" si="247">IF(K15811="","",IFERROR(VALUE(TRIM(MID(K15811,FIND(CHAR(167),SUBSTITUTE(K15811,"-",CHAR(167),LEN(K15811)-LEN(SUBSTITUTE(K15811,"-",""))))+1,100))),K15811))</f>
        <v/>
      </c>
    </row>
    <row r="15812" spans="26:26" x14ac:dyDescent="0.2">
      <c r="Z15812" t="str">
        <f t="shared" si="247"/>
        <v/>
      </c>
    </row>
    <row r="15813" spans="26:26" x14ac:dyDescent="0.2">
      <c r="Z15813" t="str">
        <f t="shared" si="247"/>
        <v/>
      </c>
    </row>
    <row r="15814" spans="26:26" x14ac:dyDescent="0.2">
      <c r="Z15814" t="str">
        <f t="shared" si="247"/>
        <v/>
      </c>
    </row>
    <row r="15815" spans="26:26" x14ac:dyDescent="0.2">
      <c r="Z15815" t="str">
        <f t="shared" si="247"/>
        <v/>
      </c>
    </row>
    <row r="15816" spans="26:26" x14ac:dyDescent="0.2">
      <c r="Z15816" t="str">
        <f t="shared" si="247"/>
        <v/>
      </c>
    </row>
    <row r="15817" spans="26:26" x14ac:dyDescent="0.2">
      <c r="Z15817" t="str">
        <f t="shared" si="247"/>
        <v/>
      </c>
    </row>
    <row r="15818" spans="26:26" x14ac:dyDescent="0.2">
      <c r="Z15818" t="str">
        <f t="shared" si="247"/>
        <v/>
      </c>
    </row>
    <row r="15819" spans="26:26" x14ac:dyDescent="0.2">
      <c r="Z15819" t="str">
        <f t="shared" si="247"/>
        <v/>
      </c>
    </row>
    <row r="15820" spans="26:26" x14ac:dyDescent="0.2">
      <c r="Z15820" t="str">
        <f t="shared" si="247"/>
        <v/>
      </c>
    </row>
    <row r="15821" spans="26:26" x14ac:dyDescent="0.2">
      <c r="Z15821" t="str">
        <f t="shared" si="247"/>
        <v/>
      </c>
    </row>
    <row r="15822" spans="26:26" x14ac:dyDescent="0.2">
      <c r="Z15822" t="str">
        <f t="shared" si="247"/>
        <v/>
      </c>
    </row>
    <row r="15823" spans="26:26" x14ac:dyDescent="0.2">
      <c r="Z15823" t="str">
        <f t="shared" si="247"/>
        <v/>
      </c>
    </row>
    <row r="15824" spans="26:26" x14ac:dyDescent="0.2">
      <c r="Z15824" t="str">
        <f t="shared" si="247"/>
        <v/>
      </c>
    </row>
    <row r="15825" spans="26:26" x14ac:dyDescent="0.2">
      <c r="Z15825" t="str">
        <f t="shared" si="247"/>
        <v/>
      </c>
    </row>
    <row r="15826" spans="26:26" x14ac:dyDescent="0.2">
      <c r="Z15826" t="str">
        <f t="shared" si="247"/>
        <v/>
      </c>
    </row>
    <row r="15827" spans="26:26" x14ac:dyDescent="0.2">
      <c r="Z15827" t="str">
        <f t="shared" si="247"/>
        <v/>
      </c>
    </row>
    <row r="15828" spans="26:26" x14ac:dyDescent="0.2">
      <c r="Z15828" t="str">
        <f t="shared" si="247"/>
        <v/>
      </c>
    </row>
    <row r="15829" spans="26:26" x14ac:dyDescent="0.2">
      <c r="Z15829" t="str">
        <f t="shared" si="247"/>
        <v/>
      </c>
    </row>
    <row r="15830" spans="26:26" x14ac:dyDescent="0.2">
      <c r="Z15830" t="str">
        <f t="shared" si="247"/>
        <v/>
      </c>
    </row>
    <row r="15831" spans="26:26" x14ac:dyDescent="0.2">
      <c r="Z15831" t="str">
        <f t="shared" si="247"/>
        <v/>
      </c>
    </row>
    <row r="15832" spans="26:26" x14ac:dyDescent="0.2">
      <c r="Z15832" t="str">
        <f t="shared" si="247"/>
        <v/>
      </c>
    </row>
    <row r="15833" spans="26:26" x14ac:dyDescent="0.2">
      <c r="Z15833" t="str">
        <f t="shared" si="247"/>
        <v/>
      </c>
    </row>
    <row r="15834" spans="26:26" x14ac:dyDescent="0.2">
      <c r="Z15834" t="str">
        <f t="shared" si="247"/>
        <v/>
      </c>
    </row>
    <row r="15835" spans="26:26" x14ac:dyDescent="0.2">
      <c r="Z15835" t="str">
        <f t="shared" si="247"/>
        <v/>
      </c>
    </row>
    <row r="15836" spans="26:26" x14ac:dyDescent="0.2">
      <c r="Z15836" t="str">
        <f t="shared" si="247"/>
        <v/>
      </c>
    </row>
    <row r="15837" spans="26:26" x14ac:dyDescent="0.2">
      <c r="Z15837" t="str">
        <f t="shared" si="247"/>
        <v/>
      </c>
    </row>
    <row r="15838" spans="26:26" x14ac:dyDescent="0.2">
      <c r="Z15838" t="str">
        <f t="shared" si="247"/>
        <v/>
      </c>
    </row>
    <row r="15839" spans="26:26" x14ac:dyDescent="0.2">
      <c r="Z15839" t="str">
        <f t="shared" si="247"/>
        <v/>
      </c>
    </row>
    <row r="15840" spans="26:26" x14ac:dyDescent="0.2">
      <c r="Z15840" t="str">
        <f t="shared" si="247"/>
        <v/>
      </c>
    </row>
    <row r="15841" spans="26:26" x14ac:dyDescent="0.2">
      <c r="Z15841" t="str">
        <f t="shared" si="247"/>
        <v/>
      </c>
    </row>
    <row r="15842" spans="26:26" x14ac:dyDescent="0.2">
      <c r="Z15842" t="str">
        <f t="shared" si="247"/>
        <v/>
      </c>
    </row>
    <row r="15843" spans="26:26" x14ac:dyDescent="0.2">
      <c r="Z15843" t="str">
        <f t="shared" si="247"/>
        <v/>
      </c>
    </row>
    <row r="15844" spans="26:26" x14ac:dyDescent="0.2">
      <c r="Z15844" t="str">
        <f t="shared" si="247"/>
        <v/>
      </c>
    </row>
    <row r="15845" spans="26:26" x14ac:dyDescent="0.2">
      <c r="Z15845" t="str">
        <f t="shared" si="247"/>
        <v/>
      </c>
    </row>
    <row r="15846" spans="26:26" x14ac:dyDescent="0.2">
      <c r="Z15846" t="str">
        <f t="shared" si="247"/>
        <v/>
      </c>
    </row>
    <row r="15847" spans="26:26" x14ac:dyDescent="0.2">
      <c r="Z15847" t="str">
        <f t="shared" si="247"/>
        <v/>
      </c>
    </row>
    <row r="15848" spans="26:26" x14ac:dyDescent="0.2">
      <c r="Z15848" t="str">
        <f t="shared" si="247"/>
        <v/>
      </c>
    </row>
    <row r="15849" spans="26:26" x14ac:dyDescent="0.2">
      <c r="Z15849" t="str">
        <f t="shared" si="247"/>
        <v/>
      </c>
    </row>
    <row r="15850" spans="26:26" x14ac:dyDescent="0.2">
      <c r="Z15850" t="str">
        <f t="shared" si="247"/>
        <v/>
      </c>
    </row>
    <row r="15851" spans="26:26" x14ac:dyDescent="0.2">
      <c r="Z15851" t="str">
        <f t="shared" si="247"/>
        <v/>
      </c>
    </row>
    <row r="15852" spans="26:26" x14ac:dyDescent="0.2">
      <c r="Z15852" t="str">
        <f t="shared" si="247"/>
        <v/>
      </c>
    </row>
    <row r="15853" spans="26:26" x14ac:dyDescent="0.2">
      <c r="Z15853" t="str">
        <f t="shared" si="247"/>
        <v/>
      </c>
    </row>
    <row r="15854" spans="26:26" x14ac:dyDescent="0.2">
      <c r="Z15854" t="str">
        <f t="shared" si="247"/>
        <v/>
      </c>
    </row>
    <row r="15855" spans="26:26" x14ac:dyDescent="0.2">
      <c r="Z15855" t="str">
        <f t="shared" si="247"/>
        <v/>
      </c>
    </row>
    <row r="15856" spans="26:26" x14ac:dyDescent="0.2">
      <c r="Z15856" t="str">
        <f t="shared" si="247"/>
        <v/>
      </c>
    </row>
    <row r="15857" spans="26:26" x14ac:dyDescent="0.2">
      <c r="Z15857" t="str">
        <f t="shared" si="247"/>
        <v/>
      </c>
    </row>
    <row r="15858" spans="26:26" x14ac:dyDescent="0.2">
      <c r="Z15858" t="str">
        <f t="shared" si="247"/>
        <v/>
      </c>
    </row>
    <row r="15859" spans="26:26" x14ac:dyDescent="0.2">
      <c r="Z15859" t="str">
        <f t="shared" si="247"/>
        <v/>
      </c>
    </row>
    <row r="15860" spans="26:26" x14ac:dyDescent="0.2">
      <c r="Z15860" t="str">
        <f t="shared" si="247"/>
        <v/>
      </c>
    </row>
    <row r="15861" spans="26:26" x14ac:dyDescent="0.2">
      <c r="Z15861" t="str">
        <f t="shared" si="247"/>
        <v/>
      </c>
    </row>
    <row r="15862" spans="26:26" x14ac:dyDescent="0.2">
      <c r="Z15862" t="str">
        <f t="shared" si="247"/>
        <v/>
      </c>
    </row>
    <row r="15863" spans="26:26" x14ac:dyDescent="0.2">
      <c r="Z15863" t="str">
        <f t="shared" si="247"/>
        <v/>
      </c>
    </row>
    <row r="15864" spans="26:26" x14ac:dyDescent="0.2">
      <c r="Z15864" t="str">
        <f t="shared" si="247"/>
        <v/>
      </c>
    </row>
    <row r="15865" spans="26:26" x14ac:dyDescent="0.2">
      <c r="Z15865" t="str">
        <f t="shared" si="247"/>
        <v/>
      </c>
    </row>
    <row r="15866" spans="26:26" x14ac:dyDescent="0.2">
      <c r="Z15866" t="str">
        <f t="shared" si="247"/>
        <v/>
      </c>
    </row>
    <row r="15867" spans="26:26" x14ac:dyDescent="0.2">
      <c r="Z15867" t="str">
        <f t="shared" si="247"/>
        <v/>
      </c>
    </row>
    <row r="15868" spans="26:26" x14ac:dyDescent="0.2">
      <c r="Z15868" t="str">
        <f t="shared" si="247"/>
        <v/>
      </c>
    </row>
    <row r="15869" spans="26:26" x14ac:dyDescent="0.2">
      <c r="Z15869" t="str">
        <f t="shared" si="247"/>
        <v/>
      </c>
    </row>
    <row r="15870" spans="26:26" x14ac:dyDescent="0.2">
      <c r="Z15870" t="str">
        <f t="shared" si="247"/>
        <v/>
      </c>
    </row>
    <row r="15871" spans="26:26" x14ac:dyDescent="0.2">
      <c r="Z15871" t="str">
        <f t="shared" si="247"/>
        <v/>
      </c>
    </row>
    <row r="15872" spans="26:26" x14ac:dyDescent="0.2">
      <c r="Z15872" t="str">
        <f t="shared" si="247"/>
        <v/>
      </c>
    </row>
    <row r="15873" spans="26:26" x14ac:dyDescent="0.2">
      <c r="Z15873" t="str">
        <f t="shared" si="247"/>
        <v/>
      </c>
    </row>
    <row r="15874" spans="26:26" x14ac:dyDescent="0.2">
      <c r="Z15874" t="str">
        <f t="shared" si="247"/>
        <v/>
      </c>
    </row>
    <row r="15875" spans="26:26" x14ac:dyDescent="0.2">
      <c r="Z15875" t="str">
        <f t="shared" ref="Z15875:Z15938" si="248">IF(K15875="","",IFERROR(VALUE(TRIM(MID(K15875,FIND(CHAR(167),SUBSTITUTE(K15875,"-",CHAR(167),LEN(K15875)-LEN(SUBSTITUTE(K15875,"-",""))))+1,100))),K15875))</f>
        <v/>
      </c>
    </row>
    <row r="15876" spans="26:26" x14ac:dyDescent="0.2">
      <c r="Z15876" t="str">
        <f t="shared" si="248"/>
        <v/>
      </c>
    </row>
    <row r="15877" spans="26:26" x14ac:dyDescent="0.2">
      <c r="Z15877" t="str">
        <f t="shared" si="248"/>
        <v/>
      </c>
    </row>
    <row r="15878" spans="26:26" x14ac:dyDescent="0.2">
      <c r="Z15878" t="str">
        <f t="shared" si="248"/>
        <v/>
      </c>
    </row>
    <row r="15879" spans="26:26" x14ac:dyDescent="0.2">
      <c r="Z15879" t="str">
        <f t="shared" si="248"/>
        <v/>
      </c>
    </row>
    <row r="15880" spans="26:26" x14ac:dyDescent="0.2">
      <c r="Z15880" t="str">
        <f t="shared" si="248"/>
        <v/>
      </c>
    </row>
    <row r="15881" spans="26:26" x14ac:dyDescent="0.2">
      <c r="Z15881" t="str">
        <f t="shared" si="248"/>
        <v/>
      </c>
    </row>
    <row r="15882" spans="26:26" x14ac:dyDescent="0.2">
      <c r="Z15882" t="str">
        <f t="shared" si="248"/>
        <v/>
      </c>
    </row>
    <row r="15883" spans="26:26" x14ac:dyDescent="0.2">
      <c r="Z15883" t="str">
        <f t="shared" si="248"/>
        <v/>
      </c>
    </row>
    <row r="15884" spans="26:26" x14ac:dyDescent="0.2">
      <c r="Z15884" t="str">
        <f t="shared" si="248"/>
        <v/>
      </c>
    </row>
    <row r="15885" spans="26:26" x14ac:dyDescent="0.2">
      <c r="Z15885" t="str">
        <f t="shared" si="248"/>
        <v/>
      </c>
    </row>
    <row r="15886" spans="26:26" x14ac:dyDescent="0.2">
      <c r="Z15886" t="str">
        <f t="shared" si="248"/>
        <v/>
      </c>
    </row>
    <row r="15887" spans="26:26" x14ac:dyDescent="0.2">
      <c r="Z15887" t="str">
        <f t="shared" si="248"/>
        <v/>
      </c>
    </row>
    <row r="15888" spans="26:26" x14ac:dyDescent="0.2">
      <c r="Z15888" t="str">
        <f t="shared" si="248"/>
        <v/>
      </c>
    </row>
    <row r="15889" spans="26:26" x14ac:dyDescent="0.2">
      <c r="Z15889" t="str">
        <f t="shared" si="248"/>
        <v/>
      </c>
    </row>
    <row r="15890" spans="26:26" x14ac:dyDescent="0.2">
      <c r="Z15890" t="str">
        <f t="shared" si="248"/>
        <v/>
      </c>
    </row>
    <row r="15891" spans="26:26" x14ac:dyDescent="0.2">
      <c r="Z15891" t="str">
        <f t="shared" si="248"/>
        <v/>
      </c>
    </row>
    <row r="15892" spans="26:26" x14ac:dyDescent="0.2">
      <c r="Z15892" t="str">
        <f t="shared" si="248"/>
        <v/>
      </c>
    </row>
    <row r="15893" spans="26:26" x14ac:dyDescent="0.2">
      <c r="Z15893" t="str">
        <f t="shared" si="248"/>
        <v/>
      </c>
    </row>
    <row r="15894" spans="26:26" x14ac:dyDescent="0.2">
      <c r="Z15894" t="str">
        <f t="shared" si="248"/>
        <v/>
      </c>
    </row>
    <row r="15895" spans="26:26" x14ac:dyDescent="0.2">
      <c r="Z15895" t="str">
        <f t="shared" si="248"/>
        <v/>
      </c>
    </row>
    <row r="15896" spans="26:26" x14ac:dyDescent="0.2">
      <c r="Z15896" t="str">
        <f t="shared" si="248"/>
        <v/>
      </c>
    </row>
    <row r="15897" spans="26:26" x14ac:dyDescent="0.2">
      <c r="Z15897" t="str">
        <f t="shared" si="248"/>
        <v/>
      </c>
    </row>
    <row r="15898" spans="26:26" x14ac:dyDescent="0.2">
      <c r="Z15898" t="str">
        <f t="shared" si="248"/>
        <v/>
      </c>
    </row>
    <row r="15899" spans="26:26" x14ac:dyDescent="0.2">
      <c r="Z15899" t="str">
        <f t="shared" si="248"/>
        <v/>
      </c>
    </row>
    <row r="15900" spans="26:26" x14ac:dyDescent="0.2">
      <c r="Z15900" t="str">
        <f t="shared" si="248"/>
        <v/>
      </c>
    </row>
    <row r="15901" spans="26:26" x14ac:dyDescent="0.2">
      <c r="Z15901" t="str">
        <f t="shared" si="248"/>
        <v/>
      </c>
    </row>
    <row r="15902" spans="26:26" x14ac:dyDescent="0.2">
      <c r="Z15902" t="str">
        <f t="shared" si="248"/>
        <v/>
      </c>
    </row>
    <row r="15903" spans="26:26" x14ac:dyDescent="0.2">
      <c r="Z15903" t="str">
        <f t="shared" si="248"/>
        <v/>
      </c>
    </row>
    <row r="15904" spans="26:26" x14ac:dyDescent="0.2">
      <c r="Z15904" t="str">
        <f t="shared" si="248"/>
        <v/>
      </c>
    </row>
    <row r="15905" spans="26:26" x14ac:dyDescent="0.2">
      <c r="Z15905" t="str">
        <f t="shared" si="248"/>
        <v/>
      </c>
    </row>
    <row r="15906" spans="26:26" x14ac:dyDescent="0.2">
      <c r="Z15906" t="str">
        <f t="shared" si="248"/>
        <v/>
      </c>
    </row>
    <row r="15907" spans="26:26" x14ac:dyDescent="0.2">
      <c r="Z15907" t="str">
        <f t="shared" si="248"/>
        <v/>
      </c>
    </row>
    <row r="15908" spans="26:26" x14ac:dyDescent="0.2">
      <c r="Z15908" t="str">
        <f t="shared" si="248"/>
        <v/>
      </c>
    </row>
    <row r="15909" spans="26:26" x14ac:dyDescent="0.2">
      <c r="Z15909" t="str">
        <f t="shared" si="248"/>
        <v/>
      </c>
    </row>
    <row r="15910" spans="26:26" x14ac:dyDescent="0.2">
      <c r="Z15910" t="str">
        <f t="shared" si="248"/>
        <v/>
      </c>
    </row>
    <row r="15911" spans="26:26" x14ac:dyDescent="0.2">
      <c r="Z15911" t="str">
        <f t="shared" si="248"/>
        <v/>
      </c>
    </row>
    <row r="15912" spans="26:26" x14ac:dyDescent="0.2">
      <c r="Z15912" t="str">
        <f t="shared" si="248"/>
        <v/>
      </c>
    </row>
    <row r="15913" spans="26:26" x14ac:dyDescent="0.2">
      <c r="Z15913" t="str">
        <f t="shared" si="248"/>
        <v/>
      </c>
    </row>
    <row r="15914" spans="26:26" x14ac:dyDescent="0.2">
      <c r="Z15914" t="str">
        <f t="shared" si="248"/>
        <v/>
      </c>
    </row>
    <row r="15915" spans="26:26" x14ac:dyDescent="0.2">
      <c r="Z15915" t="str">
        <f t="shared" si="248"/>
        <v/>
      </c>
    </row>
    <row r="15916" spans="26:26" x14ac:dyDescent="0.2">
      <c r="Z15916" t="str">
        <f t="shared" si="248"/>
        <v/>
      </c>
    </row>
    <row r="15917" spans="26:26" x14ac:dyDescent="0.2">
      <c r="Z15917" t="str">
        <f t="shared" si="248"/>
        <v/>
      </c>
    </row>
    <row r="15918" spans="26:26" x14ac:dyDescent="0.2">
      <c r="Z15918" t="str">
        <f t="shared" si="248"/>
        <v/>
      </c>
    </row>
    <row r="15919" spans="26:26" x14ac:dyDescent="0.2">
      <c r="Z15919" t="str">
        <f t="shared" si="248"/>
        <v/>
      </c>
    </row>
    <row r="15920" spans="26:26" x14ac:dyDescent="0.2">
      <c r="Z15920" t="str">
        <f t="shared" si="248"/>
        <v/>
      </c>
    </row>
    <row r="15921" spans="26:26" x14ac:dyDescent="0.2">
      <c r="Z15921" t="str">
        <f t="shared" si="248"/>
        <v/>
      </c>
    </row>
    <row r="15922" spans="26:26" x14ac:dyDescent="0.2">
      <c r="Z15922" t="str">
        <f t="shared" si="248"/>
        <v/>
      </c>
    </row>
    <row r="15923" spans="26:26" x14ac:dyDescent="0.2">
      <c r="Z15923" t="str">
        <f t="shared" si="248"/>
        <v/>
      </c>
    </row>
    <row r="15924" spans="26:26" x14ac:dyDescent="0.2">
      <c r="Z15924" t="str">
        <f t="shared" si="248"/>
        <v/>
      </c>
    </row>
    <row r="15925" spans="26:26" x14ac:dyDescent="0.2">
      <c r="Z15925" t="str">
        <f t="shared" si="248"/>
        <v/>
      </c>
    </row>
    <row r="15926" spans="26:26" x14ac:dyDescent="0.2">
      <c r="Z15926" t="str">
        <f t="shared" si="248"/>
        <v/>
      </c>
    </row>
    <row r="15927" spans="26:26" x14ac:dyDescent="0.2">
      <c r="Z15927" t="str">
        <f t="shared" si="248"/>
        <v/>
      </c>
    </row>
    <row r="15928" spans="26:26" x14ac:dyDescent="0.2">
      <c r="Z15928" t="str">
        <f t="shared" si="248"/>
        <v/>
      </c>
    </row>
    <row r="15929" spans="26:26" x14ac:dyDescent="0.2">
      <c r="Z15929" t="str">
        <f t="shared" si="248"/>
        <v/>
      </c>
    </row>
    <row r="15930" spans="26:26" x14ac:dyDescent="0.2">
      <c r="Z15930" t="str">
        <f t="shared" si="248"/>
        <v/>
      </c>
    </row>
    <row r="15931" spans="26:26" x14ac:dyDescent="0.2">
      <c r="Z15931" t="str">
        <f t="shared" si="248"/>
        <v/>
      </c>
    </row>
    <row r="15932" spans="26:26" x14ac:dyDescent="0.2">
      <c r="Z15932" t="str">
        <f t="shared" si="248"/>
        <v/>
      </c>
    </row>
    <row r="15933" spans="26:26" x14ac:dyDescent="0.2">
      <c r="Z15933" t="str">
        <f t="shared" si="248"/>
        <v/>
      </c>
    </row>
    <row r="15934" spans="26:26" x14ac:dyDescent="0.2">
      <c r="Z15934" t="str">
        <f t="shared" si="248"/>
        <v/>
      </c>
    </row>
    <row r="15935" spans="26:26" x14ac:dyDescent="0.2">
      <c r="Z15935" t="str">
        <f t="shared" si="248"/>
        <v/>
      </c>
    </row>
    <row r="15936" spans="26:26" x14ac:dyDescent="0.2">
      <c r="Z15936" t="str">
        <f t="shared" si="248"/>
        <v/>
      </c>
    </row>
    <row r="15937" spans="26:26" x14ac:dyDescent="0.2">
      <c r="Z15937" t="str">
        <f t="shared" si="248"/>
        <v/>
      </c>
    </row>
    <row r="15938" spans="26:26" x14ac:dyDescent="0.2">
      <c r="Z15938" t="str">
        <f t="shared" si="248"/>
        <v/>
      </c>
    </row>
    <row r="15939" spans="26:26" x14ac:dyDescent="0.2">
      <c r="Z15939" t="str">
        <f t="shared" ref="Z15939:Z16002" si="249">IF(K15939="","",IFERROR(VALUE(TRIM(MID(K15939,FIND(CHAR(167),SUBSTITUTE(K15939,"-",CHAR(167),LEN(K15939)-LEN(SUBSTITUTE(K15939,"-",""))))+1,100))),K15939))</f>
        <v/>
      </c>
    </row>
    <row r="15940" spans="26:26" x14ac:dyDescent="0.2">
      <c r="Z15940" t="str">
        <f t="shared" si="249"/>
        <v/>
      </c>
    </row>
    <row r="15941" spans="26:26" x14ac:dyDescent="0.2">
      <c r="Z15941" t="str">
        <f t="shared" si="249"/>
        <v/>
      </c>
    </row>
    <row r="15942" spans="26:26" x14ac:dyDescent="0.2">
      <c r="Z15942" t="str">
        <f t="shared" si="249"/>
        <v/>
      </c>
    </row>
    <row r="15943" spans="26:26" x14ac:dyDescent="0.2">
      <c r="Z15943" t="str">
        <f t="shared" si="249"/>
        <v/>
      </c>
    </row>
    <row r="15944" spans="26:26" x14ac:dyDescent="0.2">
      <c r="Z15944" t="str">
        <f t="shared" si="249"/>
        <v/>
      </c>
    </row>
    <row r="15945" spans="26:26" x14ac:dyDescent="0.2">
      <c r="Z15945" t="str">
        <f t="shared" si="249"/>
        <v/>
      </c>
    </row>
    <row r="15946" spans="26:26" x14ac:dyDescent="0.2">
      <c r="Z15946" t="str">
        <f t="shared" si="249"/>
        <v/>
      </c>
    </row>
    <row r="15947" spans="26:26" x14ac:dyDescent="0.2">
      <c r="Z15947" t="str">
        <f t="shared" si="249"/>
        <v/>
      </c>
    </row>
    <row r="15948" spans="26:26" x14ac:dyDescent="0.2">
      <c r="Z15948" t="str">
        <f t="shared" si="249"/>
        <v/>
      </c>
    </row>
    <row r="15949" spans="26:26" x14ac:dyDescent="0.2">
      <c r="Z15949" t="str">
        <f t="shared" si="249"/>
        <v/>
      </c>
    </row>
    <row r="15950" spans="26:26" x14ac:dyDescent="0.2">
      <c r="Z15950" t="str">
        <f t="shared" si="249"/>
        <v/>
      </c>
    </row>
    <row r="15951" spans="26:26" x14ac:dyDescent="0.2">
      <c r="Z15951" t="str">
        <f t="shared" si="249"/>
        <v/>
      </c>
    </row>
    <row r="15952" spans="26:26" x14ac:dyDescent="0.2">
      <c r="Z15952" t="str">
        <f t="shared" si="249"/>
        <v/>
      </c>
    </row>
    <row r="15953" spans="26:26" x14ac:dyDescent="0.2">
      <c r="Z15953" t="str">
        <f t="shared" si="249"/>
        <v/>
      </c>
    </row>
    <row r="15954" spans="26:26" x14ac:dyDescent="0.2">
      <c r="Z15954" t="str">
        <f t="shared" si="249"/>
        <v/>
      </c>
    </row>
    <row r="15955" spans="26:26" x14ac:dyDescent="0.2">
      <c r="Z15955" t="str">
        <f t="shared" si="249"/>
        <v/>
      </c>
    </row>
    <row r="15956" spans="26:26" x14ac:dyDescent="0.2">
      <c r="Z15956" t="str">
        <f t="shared" si="249"/>
        <v/>
      </c>
    </row>
    <row r="15957" spans="26:26" x14ac:dyDescent="0.2">
      <c r="Z15957" t="str">
        <f t="shared" si="249"/>
        <v/>
      </c>
    </row>
    <row r="15958" spans="26:26" x14ac:dyDescent="0.2">
      <c r="Z15958" t="str">
        <f t="shared" si="249"/>
        <v/>
      </c>
    </row>
    <row r="15959" spans="26:26" x14ac:dyDescent="0.2">
      <c r="Z15959" t="str">
        <f t="shared" si="249"/>
        <v/>
      </c>
    </row>
    <row r="15960" spans="26:26" x14ac:dyDescent="0.2">
      <c r="Z15960" t="str">
        <f t="shared" si="249"/>
        <v/>
      </c>
    </row>
    <row r="15961" spans="26:26" x14ac:dyDescent="0.2">
      <c r="Z15961" t="str">
        <f t="shared" si="249"/>
        <v/>
      </c>
    </row>
    <row r="15962" spans="26:26" x14ac:dyDescent="0.2">
      <c r="Z15962" t="str">
        <f t="shared" si="249"/>
        <v/>
      </c>
    </row>
    <row r="15963" spans="26:26" x14ac:dyDescent="0.2">
      <c r="Z15963" t="str">
        <f t="shared" si="249"/>
        <v/>
      </c>
    </row>
    <row r="15964" spans="26:26" x14ac:dyDescent="0.2">
      <c r="Z15964" t="str">
        <f t="shared" si="249"/>
        <v/>
      </c>
    </row>
    <row r="15965" spans="26:26" x14ac:dyDescent="0.2">
      <c r="Z15965" t="str">
        <f t="shared" si="249"/>
        <v/>
      </c>
    </row>
    <row r="15966" spans="26:26" x14ac:dyDescent="0.2">
      <c r="Z15966" t="str">
        <f t="shared" si="249"/>
        <v/>
      </c>
    </row>
    <row r="15967" spans="26:26" x14ac:dyDescent="0.2">
      <c r="Z15967" t="str">
        <f t="shared" si="249"/>
        <v/>
      </c>
    </row>
    <row r="15968" spans="26:26" x14ac:dyDescent="0.2">
      <c r="Z15968" t="str">
        <f t="shared" si="249"/>
        <v/>
      </c>
    </row>
    <row r="15969" spans="26:26" x14ac:dyDescent="0.2">
      <c r="Z15969" t="str">
        <f t="shared" si="249"/>
        <v/>
      </c>
    </row>
    <row r="15970" spans="26:26" x14ac:dyDescent="0.2">
      <c r="Z15970" t="str">
        <f t="shared" si="249"/>
        <v/>
      </c>
    </row>
    <row r="15971" spans="26:26" x14ac:dyDescent="0.2">
      <c r="Z15971" t="str">
        <f t="shared" si="249"/>
        <v/>
      </c>
    </row>
    <row r="15972" spans="26:26" x14ac:dyDescent="0.2">
      <c r="Z15972" t="str">
        <f t="shared" si="249"/>
        <v/>
      </c>
    </row>
    <row r="15973" spans="26:26" x14ac:dyDescent="0.2">
      <c r="Z15973" t="str">
        <f t="shared" si="249"/>
        <v/>
      </c>
    </row>
    <row r="15974" spans="26:26" x14ac:dyDescent="0.2">
      <c r="Z15974" t="str">
        <f t="shared" si="249"/>
        <v/>
      </c>
    </row>
    <row r="15975" spans="26:26" x14ac:dyDescent="0.2">
      <c r="Z15975" t="str">
        <f t="shared" si="249"/>
        <v/>
      </c>
    </row>
    <row r="15976" spans="26:26" x14ac:dyDescent="0.2">
      <c r="Z15976" t="str">
        <f t="shared" si="249"/>
        <v/>
      </c>
    </row>
    <row r="15977" spans="26:26" x14ac:dyDescent="0.2">
      <c r="Z15977" t="str">
        <f t="shared" si="249"/>
        <v/>
      </c>
    </row>
    <row r="15978" spans="26:26" x14ac:dyDescent="0.2">
      <c r="Z15978" t="str">
        <f t="shared" si="249"/>
        <v/>
      </c>
    </row>
    <row r="15979" spans="26:26" x14ac:dyDescent="0.2">
      <c r="Z15979" t="str">
        <f t="shared" si="249"/>
        <v/>
      </c>
    </row>
    <row r="15980" spans="26:26" x14ac:dyDescent="0.2">
      <c r="Z15980" t="str">
        <f t="shared" si="249"/>
        <v/>
      </c>
    </row>
    <row r="15981" spans="26:26" x14ac:dyDescent="0.2">
      <c r="Z15981" t="str">
        <f t="shared" si="249"/>
        <v/>
      </c>
    </row>
    <row r="15982" spans="26:26" x14ac:dyDescent="0.2">
      <c r="Z15982" t="str">
        <f t="shared" si="249"/>
        <v/>
      </c>
    </row>
    <row r="15983" spans="26:26" x14ac:dyDescent="0.2">
      <c r="Z15983" t="str">
        <f t="shared" si="249"/>
        <v/>
      </c>
    </row>
    <row r="15984" spans="26:26" x14ac:dyDescent="0.2">
      <c r="Z15984" t="str">
        <f t="shared" si="249"/>
        <v/>
      </c>
    </row>
    <row r="15985" spans="26:26" x14ac:dyDescent="0.2">
      <c r="Z15985" t="str">
        <f t="shared" si="249"/>
        <v/>
      </c>
    </row>
    <row r="15986" spans="26:26" x14ac:dyDescent="0.2">
      <c r="Z15986" t="str">
        <f t="shared" si="249"/>
        <v/>
      </c>
    </row>
    <row r="15987" spans="26:26" x14ac:dyDescent="0.2">
      <c r="Z15987" t="str">
        <f t="shared" si="249"/>
        <v/>
      </c>
    </row>
    <row r="15988" spans="26:26" x14ac:dyDescent="0.2">
      <c r="Z15988" t="str">
        <f t="shared" si="249"/>
        <v/>
      </c>
    </row>
    <row r="15989" spans="26:26" x14ac:dyDescent="0.2">
      <c r="Z15989" t="str">
        <f t="shared" si="249"/>
        <v/>
      </c>
    </row>
    <row r="15990" spans="26:26" x14ac:dyDescent="0.2">
      <c r="Z15990" t="str">
        <f t="shared" si="249"/>
        <v/>
      </c>
    </row>
    <row r="15991" spans="26:26" x14ac:dyDescent="0.2">
      <c r="Z15991" t="str">
        <f t="shared" si="249"/>
        <v/>
      </c>
    </row>
    <row r="15992" spans="26:26" x14ac:dyDescent="0.2">
      <c r="Z15992" t="str">
        <f t="shared" si="249"/>
        <v/>
      </c>
    </row>
    <row r="15993" spans="26:26" x14ac:dyDescent="0.2">
      <c r="Z15993" t="str">
        <f t="shared" si="249"/>
        <v/>
      </c>
    </row>
    <row r="15994" spans="26:26" x14ac:dyDescent="0.2">
      <c r="Z15994" t="str">
        <f t="shared" si="249"/>
        <v/>
      </c>
    </row>
    <row r="15995" spans="26:26" x14ac:dyDescent="0.2">
      <c r="Z15995" t="str">
        <f t="shared" si="249"/>
        <v/>
      </c>
    </row>
    <row r="15996" spans="26:26" x14ac:dyDescent="0.2">
      <c r="Z15996" t="str">
        <f t="shared" si="249"/>
        <v/>
      </c>
    </row>
    <row r="15997" spans="26:26" x14ac:dyDescent="0.2">
      <c r="Z15997" t="str">
        <f t="shared" si="249"/>
        <v/>
      </c>
    </row>
    <row r="15998" spans="26:26" x14ac:dyDescent="0.2">
      <c r="Z15998" t="str">
        <f t="shared" si="249"/>
        <v/>
      </c>
    </row>
    <row r="15999" spans="26:26" x14ac:dyDescent="0.2">
      <c r="Z15999" t="str">
        <f t="shared" si="249"/>
        <v/>
      </c>
    </row>
    <row r="16000" spans="26:26" x14ac:dyDescent="0.2">
      <c r="Z16000" t="str">
        <f t="shared" si="249"/>
        <v/>
      </c>
    </row>
    <row r="16001" spans="26:26" x14ac:dyDescent="0.2">
      <c r="Z16001" t="str">
        <f t="shared" si="249"/>
        <v/>
      </c>
    </row>
    <row r="16002" spans="26:26" x14ac:dyDescent="0.2">
      <c r="Z16002" t="str">
        <f t="shared" si="249"/>
        <v/>
      </c>
    </row>
    <row r="16003" spans="26:26" x14ac:dyDescent="0.2">
      <c r="Z16003" t="str">
        <f t="shared" ref="Z16003:Z16066" si="250">IF(K16003="","",IFERROR(VALUE(TRIM(MID(K16003,FIND(CHAR(167),SUBSTITUTE(K16003,"-",CHAR(167),LEN(K16003)-LEN(SUBSTITUTE(K16003,"-",""))))+1,100))),K16003))</f>
        <v/>
      </c>
    </row>
    <row r="16004" spans="26:26" x14ac:dyDescent="0.2">
      <c r="Z16004" t="str">
        <f t="shared" si="250"/>
        <v/>
      </c>
    </row>
    <row r="16005" spans="26:26" x14ac:dyDescent="0.2">
      <c r="Z16005" t="str">
        <f t="shared" si="250"/>
        <v/>
      </c>
    </row>
    <row r="16006" spans="26:26" x14ac:dyDescent="0.2">
      <c r="Z16006" t="str">
        <f t="shared" si="250"/>
        <v/>
      </c>
    </row>
    <row r="16007" spans="26:26" x14ac:dyDescent="0.2">
      <c r="Z16007" t="str">
        <f t="shared" si="250"/>
        <v/>
      </c>
    </row>
    <row r="16008" spans="26:26" x14ac:dyDescent="0.2">
      <c r="Z16008" t="str">
        <f t="shared" si="250"/>
        <v/>
      </c>
    </row>
    <row r="16009" spans="26:26" x14ac:dyDescent="0.2">
      <c r="Z16009" t="str">
        <f t="shared" si="250"/>
        <v/>
      </c>
    </row>
    <row r="16010" spans="26:26" x14ac:dyDescent="0.2">
      <c r="Z16010" t="str">
        <f t="shared" si="250"/>
        <v/>
      </c>
    </row>
    <row r="16011" spans="26:26" x14ac:dyDescent="0.2">
      <c r="Z16011" t="str">
        <f t="shared" si="250"/>
        <v/>
      </c>
    </row>
    <row r="16012" spans="26:26" x14ac:dyDescent="0.2">
      <c r="Z16012" t="str">
        <f t="shared" si="250"/>
        <v/>
      </c>
    </row>
    <row r="16013" spans="26:26" x14ac:dyDescent="0.2">
      <c r="Z16013" t="str">
        <f t="shared" si="250"/>
        <v/>
      </c>
    </row>
    <row r="16014" spans="26:26" x14ac:dyDescent="0.2">
      <c r="Z16014" t="str">
        <f t="shared" si="250"/>
        <v/>
      </c>
    </row>
    <row r="16015" spans="26:26" x14ac:dyDescent="0.2">
      <c r="Z16015" t="str">
        <f t="shared" si="250"/>
        <v/>
      </c>
    </row>
    <row r="16016" spans="26:26" x14ac:dyDescent="0.2">
      <c r="Z16016" t="str">
        <f t="shared" si="250"/>
        <v/>
      </c>
    </row>
    <row r="16017" spans="26:26" x14ac:dyDescent="0.2">
      <c r="Z16017" t="str">
        <f t="shared" si="250"/>
        <v/>
      </c>
    </row>
    <row r="16018" spans="26:26" x14ac:dyDescent="0.2">
      <c r="Z16018" t="str">
        <f t="shared" si="250"/>
        <v/>
      </c>
    </row>
    <row r="16019" spans="26:26" x14ac:dyDescent="0.2">
      <c r="Z16019" t="str">
        <f t="shared" si="250"/>
        <v/>
      </c>
    </row>
    <row r="16020" spans="26:26" x14ac:dyDescent="0.2">
      <c r="Z16020" t="str">
        <f t="shared" si="250"/>
        <v/>
      </c>
    </row>
    <row r="16021" spans="26:26" x14ac:dyDescent="0.2">
      <c r="Z16021" t="str">
        <f t="shared" si="250"/>
        <v/>
      </c>
    </row>
    <row r="16022" spans="26:26" x14ac:dyDescent="0.2">
      <c r="Z16022" t="str">
        <f t="shared" si="250"/>
        <v/>
      </c>
    </row>
    <row r="16023" spans="26:26" x14ac:dyDescent="0.2">
      <c r="Z16023" t="str">
        <f t="shared" si="250"/>
        <v/>
      </c>
    </row>
    <row r="16024" spans="26:26" x14ac:dyDescent="0.2">
      <c r="Z16024" t="str">
        <f t="shared" si="250"/>
        <v/>
      </c>
    </row>
    <row r="16025" spans="26:26" x14ac:dyDescent="0.2">
      <c r="Z16025" t="str">
        <f t="shared" si="250"/>
        <v/>
      </c>
    </row>
    <row r="16026" spans="26:26" x14ac:dyDescent="0.2">
      <c r="Z16026" t="str">
        <f t="shared" si="250"/>
        <v/>
      </c>
    </row>
    <row r="16027" spans="26:26" x14ac:dyDescent="0.2">
      <c r="Z16027" t="str">
        <f t="shared" si="250"/>
        <v/>
      </c>
    </row>
    <row r="16028" spans="26:26" x14ac:dyDescent="0.2">
      <c r="Z16028" t="str">
        <f t="shared" si="250"/>
        <v/>
      </c>
    </row>
    <row r="16029" spans="26:26" x14ac:dyDescent="0.2">
      <c r="Z16029" t="str">
        <f t="shared" si="250"/>
        <v/>
      </c>
    </row>
    <row r="16030" spans="26:26" x14ac:dyDescent="0.2">
      <c r="Z16030" t="str">
        <f t="shared" si="250"/>
        <v/>
      </c>
    </row>
    <row r="16031" spans="26:26" x14ac:dyDescent="0.2">
      <c r="Z16031" t="str">
        <f t="shared" si="250"/>
        <v/>
      </c>
    </row>
    <row r="16032" spans="26:26" x14ac:dyDescent="0.2">
      <c r="Z16032" t="str">
        <f t="shared" si="250"/>
        <v/>
      </c>
    </row>
    <row r="16033" spans="26:26" x14ac:dyDescent="0.2">
      <c r="Z16033" t="str">
        <f t="shared" si="250"/>
        <v/>
      </c>
    </row>
    <row r="16034" spans="26:26" x14ac:dyDescent="0.2">
      <c r="Z16034" t="str">
        <f t="shared" si="250"/>
        <v/>
      </c>
    </row>
    <row r="16035" spans="26:26" x14ac:dyDescent="0.2">
      <c r="Z16035" t="str">
        <f t="shared" si="250"/>
        <v/>
      </c>
    </row>
    <row r="16036" spans="26:26" x14ac:dyDescent="0.2">
      <c r="Z16036" t="str">
        <f t="shared" si="250"/>
        <v/>
      </c>
    </row>
    <row r="16037" spans="26:26" x14ac:dyDescent="0.2">
      <c r="Z16037" t="str">
        <f t="shared" si="250"/>
        <v/>
      </c>
    </row>
    <row r="16038" spans="26:26" x14ac:dyDescent="0.2">
      <c r="Z16038" t="str">
        <f t="shared" si="250"/>
        <v/>
      </c>
    </row>
    <row r="16039" spans="26:26" x14ac:dyDescent="0.2">
      <c r="Z16039" t="str">
        <f t="shared" si="250"/>
        <v/>
      </c>
    </row>
    <row r="16040" spans="26:26" x14ac:dyDescent="0.2">
      <c r="Z16040" t="str">
        <f t="shared" si="250"/>
        <v/>
      </c>
    </row>
    <row r="16041" spans="26:26" x14ac:dyDescent="0.2">
      <c r="Z16041" t="str">
        <f t="shared" si="250"/>
        <v/>
      </c>
    </row>
    <row r="16042" spans="26:26" x14ac:dyDescent="0.2">
      <c r="Z16042" t="str">
        <f t="shared" si="250"/>
        <v/>
      </c>
    </row>
    <row r="16043" spans="26:26" x14ac:dyDescent="0.2">
      <c r="Z16043" t="str">
        <f t="shared" si="250"/>
        <v/>
      </c>
    </row>
    <row r="16044" spans="26:26" x14ac:dyDescent="0.2">
      <c r="Z16044" t="str">
        <f t="shared" si="250"/>
        <v/>
      </c>
    </row>
    <row r="16045" spans="26:26" x14ac:dyDescent="0.2">
      <c r="Z16045" t="str">
        <f t="shared" si="250"/>
        <v/>
      </c>
    </row>
    <row r="16046" spans="26:26" x14ac:dyDescent="0.2">
      <c r="Z16046" t="str">
        <f t="shared" si="250"/>
        <v/>
      </c>
    </row>
    <row r="16047" spans="26:26" x14ac:dyDescent="0.2">
      <c r="Z16047" t="str">
        <f t="shared" si="250"/>
        <v/>
      </c>
    </row>
    <row r="16048" spans="26:26" x14ac:dyDescent="0.2">
      <c r="Z16048" t="str">
        <f t="shared" si="250"/>
        <v/>
      </c>
    </row>
    <row r="16049" spans="26:26" x14ac:dyDescent="0.2">
      <c r="Z16049" t="str">
        <f t="shared" si="250"/>
        <v/>
      </c>
    </row>
    <row r="16050" spans="26:26" x14ac:dyDescent="0.2">
      <c r="Z16050" t="str">
        <f t="shared" si="250"/>
        <v/>
      </c>
    </row>
    <row r="16051" spans="26:26" x14ac:dyDescent="0.2">
      <c r="Z16051" t="str">
        <f t="shared" si="250"/>
        <v/>
      </c>
    </row>
    <row r="16052" spans="26:26" x14ac:dyDescent="0.2">
      <c r="Z16052" t="str">
        <f t="shared" si="250"/>
        <v/>
      </c>
    </row>
    <row r="16053" spans="26:26" x14ac:dyDescent="0.2">
      <c r="Z16053" t="str">
        <f t="shared" si="250"/>
        <v/>
      </c>
    </row>
    <row r="16054" spans="26:26" x14ac:dyDescent="0.2">
      <c r="Z16054" t="str">
        <f t="shared" si="250"/>
        <v/>
      </c>
    </row>
    <row r="16055" spans="26:26" x14ac:dyDescent="0.2">
      <c r="Z16055" t="str">
        <f t="shared" si="250"/>
        <v/>
      </c>
    </row>
    <row r="16056" spans="26:26" x14ac:dyDescent="0.2">
      <c r="Z16056" t="str">
        <f t="shared" si="250"/>
        <v/>
      </c>
    </row>
    <row r="16057" spans="26:26" x14ac:dyDescent="0.2">
      <c r="Z16057" t="str">
        <f t="shared" si="250"/>
        <v/>
      </c>
    </row>
    <row r="16058" spans="26:26" x14ac:dyDescent="0.2">
      <c r="Z16058" t="str">
        <f t="shared" si="250"/>
        <v/>
      </c>
    </row>
    <row r="16059" spans="26:26" x14ac:dyDescent="0.2">
      <c r="Z16059" t="str">
        <f t="shared" si="250"/>
        <v/>
      </c>
    </row>
    <row r="16060" spans="26:26" x14ac:dyDescent="0.2">
      <c r="Z16060" t="str">
        <f t="shared" si="250"/>
        <v/>
      </c>
    </row>
    <row r="16061" spans="26:26" x14ac:dyDescent="0.2">
      <c r="Z16061" t="str">
        <f t="shared" si="250"/>
        <v/>
      </c>
    </row>
    <row r="16062" spans="26:26" x14ac:dyDescent="0.2">
      <c r="Z16062" t="str">
        <f t="shared" si="250"/>
        <v/>
      </c>
    </row>
    <row r="16063" spans="26:26" x14ac:dyDescent="0.2">
      <c r="Z16063" t="str">
        <f t="shared" si="250"/>
        <v/>
      </c>
    </row>
    <row r="16064" spans="26:26" x14ac:dyDescent="0.2">
      <c r="Z16064" t="str">
        <f t="shared" si="250"/>
        <v/>
      </c>
    </row>
    <row r="16065" spans="26:26" x14ac:dyDescent="0.2">
      <c r="Z16065" t="str">
        <f t="shared" si="250"/>
        <v/>
      </c>
    </row>
    <row r="16066" spans="26:26" x14ac:dyDescent="0.2">
      <c r="Z16066" t="str">
        <f t="shared" si="250"/>
        <v/>
      </c>
    </row>
    <row r="16067" spans="26:26" x14ac:dyDescent="0.2">
      <c r="Z16067" t="str">
        <f t="shared" ref="Z16067:Z16130" si="251">IF(K16067="","",IFERROR(VALUE(TRIM(MID(K16067,FIND(CHAR(167),SUBSTITUTE(K16067,"-",CHAR(167),LEN(K16067)-LEN(SUBSTITUTE(K16067,"-",""))))+1,100))),K16067))</f>
        <v/>
      </c>
    </row>
    <row r="16068" spans="26:26" x14ac:dyDescent="0.2">
      <c r="Z16068" t="str">
        <f t="shared" si="251"/>
        <v/>
      </c>
    </row>
    <row r="16069" spans="26:26" x14ac:dyDescent="0.2">
      <c r="Z16069" t="str">
        <f t="shared" si="251"/>
        <v/>
      </c>
    </row>
    <row r="16070" spans="26:26" x14ac:dyDescent="0.2">
      <c r="Z16070" t="str">
        <f t="shared" si="251"/>
        <v/>
      </c>
    </row>
    <row r="16071" spans="26:26" x14ac:dyDescent="0.2">
      <c r="Z16071" t="str">
        <f t="shared" si="251"/>
        <v/>
      </c>
    </row>
    <row r="16072" spans="26:26" x14ac:dyDescent="0.2">
      <c r="Z16072" t="str">
        <f t="shared" si="251"/>
        <v/>
      </c>
    </row>
    <row r="16073" spans="26:26" x14ac:dyDescent="0.2">
      <c r="Z16073" t="str">
        <f t="shared" si="251"/>
        <v/>
      </c>
    </row>
    <row r="16074" spans="26:26" x14ac:dyDescent="0.2">
      <c r="Z16074" t="str">
        <f t="shared" si="251"/>
        <v/>
      </c>
    </row>
    <row r="16075" spans="26:26" x14ac:dyDescent="0.2">
      <c r="Z16075" t="str">
        <f t="shared" si="251"/>
        <v/>
      </c>
    </row>
    <row r="16076" spans="26:26" x14ac:dyDescent="0.2">
      <c r="Z16076" t="str">
        <f t="shared" si="251"/>
        <v/>
      </c>
    </row>
    <row r="16077" spans="26:26" x14ac:dyDescent="0.2">
      <c r="Z16077" t="str">
        <f t="shared" si="251"/>
        <v/>
      </c>
    </row>
    <row r="16078" spans="26:26" x14ac:dyDescent="0.2">
      <c r="Z16078" t="str">
        <f t="shared" si="251"/>
        <v/>
      </c>
    </row>
    <row r="16079" spans="26:26" x14ac:dyDescent="0.2">
      <c r="Z16079" t="str">
        <f t="shared" si="251"/>
        <v/>
      </c>
    </row>
    <row r="16080" spans="26:26" x14ac:dyDescent="0.2">
      <c r="Z16080" t="str">
        <f t="shared" si="251"/>
        <v/>
      </c>
    </row>
    <row r="16081" spans="26:26" x14ac:dyDescent="0.2">
      <c r="Z16081" t="str">
        <f t="shared" si="251"/>
        <v/>
      </c>
    </row>
    <row r="16082" spans="26:26" x14ac:dyDescent="0.2">
      <c r="Z16082" t="str">
        <f t="shared" si="251"/>
        <v/>
      </c>
    </row>
    <row r="16083" spans="26:26" x14ac:dyDescent="0.2">
      <c r="Z16083" t="str">
        <f t="shared" si="251"/>
        <v/>
      </c>
    </row>
    <row r="16084" spans="26:26" x14ac:dyDescent="0.2">
      <c r="Z16084" t="str">
        <f t="shared" si="251"/>
        <v/>
      </c>
    </row>
    <row r="16085" spans="26:26" x14ac:dyDescent="0.2">
      <c r="Z16085" t="str">
        <f t="shared" si="251"/>
        <v/>
      </c>
    </row>
    <row r="16086" spans="26:26" x14ac:dyDescent="0.2">
      <c r="Z16086" t="str">
        <f t="shared" si="251"/>
        <v/>
      </c>
    </row>
    <row r="16087" spans="26:26" x14ac:dyDescent="0.2">
      <c r="Z16087" t="str">
        <f t="shared" si="251"/>
        <v/>
      </c>
    </row>
    <row r="16088" spans="26:26" x14ac:dyDescent="0.2">
      <c r="Z16088" t="str">
        <f t="shared" si="251"/>
        <v/>
      </c>
    </row>
    <row r="16089" spans="26:26" x14ac:dyDescent="0.2">
      <c r="Z16089" t="str">
        <f t="shared" si="251"/>
        <v/>
      </c>
    </row>
    <row r="16090" spans="26:26" x14ac:dyDescent="0.2">
      <c r="Z16090" t="str">
        <f t="shared" si="251"/>
        <v/>
      </c>
    </row>
    <row r="16091" spans="26:26" x14ac:dyDescent="0.2">
      <c r="Z16091" t="str">
        <f t="shared" si="251"/>
        <v/>
      </c>
    </row>
    <row r="16092" spans="26:26" x14ac:dyDescent="0.2">
      <c r="Z16092" t="str">
        <f t="shared" si="251"/>
        <v/>
      </c>
    </row>
    <row r="16093" spans="26:26" x14ac:dyDescent="0.2">
      <c r="Z16093" t="str">
        <f t="shared" si="251"/>
        <v/>
      </c>
    </row>
    <row r="16094" spans="26:26" x14ac:dyDescent="0.2">
      <c r="Z16094" t="str">
        <f t="shared" si="251"/>
        <v/>
      </c>
    </row>
    <row r="16095" spans="26:26" x14ac:dyDescent="0.2">
      <c r="Z16095" t="str">
        <f t="shared" si="251"/>
        <v/>
      </c>
    </row>
    <row r="16096" spans="26:26" x14ac:dyDescent="0.2">
      <c r="Z16096" t="str">
        <f t="shared" si="251"/>
        <v/>
      </c>
    </row>
    <row r="16097" spans="26:26" x14ac:dyDescent="0.2">
      <c r="Z16097" t="str">
        <f t="shared" si="251"/>
        <v/>
      </c>
    </row>
    <row r="16098" spans="26:26" x14ac:dyDescent="0.2">
      <c r="Z16098" t="str">
        <f t="shared" si="251"/>
        <v/>
      </c>
    </row>
    <row r="16099" spans="26:26" x14ac:dyDescent="0.2">
      <c r="Z16099" t="str">
        <f t="shared" si="251"/>
        <v/>
      </c>
    </row>
    <row r="16100" spans="26:26" x14ac:dyDescent="0.2">
      <c r="Z16100" t="str">
        <f t="shared" si="251"/>
        <v/>
      </c>
    </row>
    <row r="16101" spans="26:26" x14ac:dyDescent="0.2">
      <c r="Z16101" t="str">
        <f t="shared" si="251"/>
        <v/>
      </c>
    </row>
    <row r="16102" spans="26:26" x14ac:dyDescent="0.2">
      <c r="Z16102" t="str">
        <f t="shared" si="251"/>
        <v/>
      </c>
    </row>
    <row r="16103" spans="26:26" x14ac:dyDescent="0.2">
      <c r="Z16103" t="str">
        <f t="shared" si="251"/>
        <v/>
      </c>
    </row>
    <row r="16104" spans="26:26" x14ac:dyDescent="0.2">
      <c r="Z16104" t="str">
        <f t="shared" si="251"/>
        <v/>
      </c>
    </row>
    <row r="16105" spans="26:26" x14ac:dyDescent="0.2">
      <c r="Z16105" t="str">
        <f t="shared" si="251"/>
        <v/>
      </c>
    </row>
    <row r="16106" spans="26:26" x14ac:dyDescent="0.2">
      <c r="Z16106" t="str">
        <f t="shared" si="251"/>
        <v/>
      </c>
    </row>
    <row r="16107" spans="26:26" x14ac:dyDescent="0.2">
      <c r="Z16107" t="str">
        <f t="shared" si="251"/>
        <v/>
      </c>
    </row>
    <row r="16108" spans="26:26" x14ac:dyDescent="0.2">
      <c r="Z16108" t="str">
        <f t="shared" si="251"/>
        <v/>
      </c>
    </row>
    <row r="16109" spans="26:26" x14ac:dyDescent="0.2">
      <c r="Z16109" t="str">
        <f t="shared" si="251"/>
        <v/>
      </c>
    </row>
    <row r="16110" spans="26:26" x14ac:dyDescent="0.2">
      <c r="Z16110" t="str">
        <f t="shared" si="251"/>
        <v/>
      </c>
    </row>
    <row r="16111" spans="26:26" x14ac:dyDescent="0.2">
      <c r="Z16111" t="str">
        <f t="shared" si="251"/>
        <v/>
      </c>
    </row>
    <row r="16112" spans="26:26" x14ac:dyDescent="0.2">
      <c r="Z16112" t="str">
        <f t="shared" si="251"/>
        <v/>
      </c>
    </row>
    <row r="16113" spans="26:26" x14ac:dyDescent="0.2">
      <c r="Z16113" t="str">
        <f t="shared" si="251"/>
        <v/>
      </c>
    </row>
    <row r="16114" spans="26:26" x14ac:dyDescent="0.2">
      <c r="Z16114" t="str">
        <f t="shared" si="251"/>
        <v/>
      </c>
    </row>
    <row r="16115" spans="26:26" x14ac:dyDescent="0.2">
      <c r="Z16115" t="str">
        <f t="shared" si="251"/>
        <v/>
      </c>
    </row>
    <row r="16116" spans="26:26" x14ac:dyDescent="0.2">
      <c r="Z16116" t="str">
        <f t="shared" si="251"/>
        <v/>
      </c>
    </row>
    <row r="16117" spans="26:26" x14ac:dyDescent="0.2">
      <c r="Z16117" t="str">
        <f t="shared" si="251"/>
        <v/>
      </c>
    </row>
    <row r="16118" spans="26:26" x14ac:dyDescent="0.2">
      <c r="Z16118" t="str">
        <f t="shared" si="251"/>
        <v/>
      </c>
    </row>
    <row r="16119" spans="26:26" x14ac:dyDescent="0.2">
      <c r="Z16119" t="str">
        <f t="shared" si="251"/>
        <v/>
      </c>
    </row>
    <row r="16120" spans="26:26" x14ac:dyDescent="0.2">
      <c r="Z16120" t="str">
        <f t="shared" si="251"/>
        <v/>
      </c>
    </row>
    <row r="16121" spans="26:26" x14ac:dyDescent="0.2">
      <c r="Z16121" t="str">
        <f t="shared" si="251"/>
        <v/>
      </c>
    </row>
    <row r="16122" spans="26:26" x14ac:dyDescent="0.2">
      <c r="Z16122" t="str">
        <f t="shared" si="251"/>
        <v/>
      </c>
    </row>
    <row r="16123" spans="26:26" x14ac:dyDescent="0.2">
      <c r="Z16123" t="str">
        <f t="shared" si="251"/>
        <v/>
      </c>
    </row>
    <row r="16124" spans="26:26" x14ac:dyDescent="0.2">
      <c r="Z16124" t="str">
        <f t="shared" si="251"/>
        <v/>
      </c>
    </row>
    <row r="16125" spans="26:26" x14ac:dyDescent="0.2">
      <c r="Z16125" t="str">
        <f t="shared" si="251"/>
        <v/>
      </c>
    </row>
    <row r="16126" spans="26:26" x14ac:dyDescent="0.2">
      <c r="Z16126" t="str">
        <f t="shared" si="251"/>
        <v/>
      </c>
    </row>
    <row r="16127" spans="26:26" x14ac:dyDescent="0.2">
      <c r="Z16127" t="str">
        <f t="shared" si="251"/>
        <v/>
      </c>
    </row>
    <row r="16128" spans="26:26" x14ac:dyDescent="0.2">
      <c r="Z16128" t="str">
        <f t="shared" si="251"/>
        <v/>
      </c>
    </row>
    <row r="16129" spans="26:26" x14ac:dyDescent="0.2">
      <c r="Z16129" t="str">
        <f t="shared" si="251"/>
        <v/>
      </c>
    </row>
    <row r="16130" spans="26:26" x14ac:dyDescent="0.2">
      <c r="Z16130" t="str">
        <f t="shared" si="251"/>
        <v/>
      </c>
    </row>
    <row r="16131" spans="26:26" x14ac:dyDescent="0.2">
      <c r="Z16131" t="str">
        <f t="shared" ref="Z16131:Z16194" si="252">IF(K16131="","",IFERROR(VALUE(TRIM(MID(K16131,FIND(CHAR(167),SUBSTITUTE(K16131,"-",CHAR(167),LEN(K16131)-LEN(SUBSTITUTE(K16131,"-",""))))+1,100))),K16131))</f>
        <v/>
      </c>
    </row>
    <row r="16132" spans="26:26" x14ac:dyDescent="0.2">
      <c r="Z16132" t="str">
        <f t="shared" si="252"/>
        <v/>
      </c>
    </row>
    <row r="16133" spans="26:26" x14ac:dyDescent="0.2">
      <c r="Z16133" t="str">
        <f t="shared" si="252"/>
        <v/>
      </c>
    </row>
    <row r="16134" spans="26:26" x14ac:dyDescent="0.2">
      <c r="Z16134" t="str">
        <f t="shared" si="252"/>
        <v/>
      </c>
    </row>
    <row r="16135" spans="26:26" x14ac:dyDescent="0.2">
      <c r="Z16135" t="str">
        <f t="shared" si="252"/>
        <v/>
      </c>
    </row>
    <row r="16136" spans="26:26" x14ac:dyDescent="0.2">
      <c r="Z16136" t="str">
        <f t="shared" si="252"/>
        <v/>
      </c>
    </row>
    <row r="16137" spans="26:26" x14ac:dyDescent="0.2">
      <c r="Z16137" t="str">
        <f t="shared" si="252"/>
        <v/>
      </c>
    </row>
    <row r="16138" spans="26:26" x14ac:dyDescent="0.2">
      <c r="Z16138" t="str">
        <f t="shared" si="252"/>
        <v/>
      </c>
    </row>
    <row r="16139" spans="26:26" x14ac:dyDescent="0.2">
      <c r="Z16139" t="str">
        <f t="shared" si="252"/>
        <v/>
      </c>
    </row>
    <row r="16140" spans="26:26" x14ac:dyDescent="0.2">
      <c r="Z16140" t="str">
        <f t="shared" si="252"/>
        <v/>
      </c>
    </row>
    <row r="16141" spans="26:26" x14ac:dyDescent="0.2">
      <c r="Z16141" t="str">
        <f t="shared" si="252"/>
        <v/>
      </c>
    </row>
    <row r="16142" spans="26:26" x14ac:dyDescent="0.2">
      <c r="Z16142" t="str">
        <f t="shared" si="252"/>
        <v/>
      </c>
    </row>
    <row r="16143" spans="26:26" x14ac:dyDescent="0.2">
      <c r="Z16143" t="str">
        <f t="shared" si="252"/>
        <v/>
      </c>
    </row>
    <row r="16144" spans="26:26" x14ac:dyDescent="0.2">
      <c r="Z16144" t="str">
        <f t="shared" si="252"/>
        <v/>
      </c>
    </row>
    <row r="16145" spans="26:26" x14ac:dyDescent="0.2">
      <c r="Z16145" t="str">
        <f t="shared" si="252"/>
        <v/>
      </c>
    </row>
    <row r="16146" spans="26:26" x14ac:dyDescent="0.2">
      <c r="Z16146" t="str">
        <f t="shared" si="252"/>
        <v/>
      </c>
    </row>
    <row r="16147" spans="26:26" x14ac:dyDescent="0.2">
      <c r="Z16147" t="str">
        <f t="shared" si="252"/>
        <v/>
      </c>
    </row>
    <row r="16148" spans="26:26" x14ac:dyDescent="0.2">
      <c r="Z16148" t="str">
        <f t="shared" si="252"/>
        <v/>
      </c>
    </row>
    <row r="16149" spans="26:26" x14ac:dyDescent="0.2">
      <c r="Z16149" t="str">
        <f t="shared" si="252"/>
        <v/>
      </c>
    </row>
    <row r="16150" spans="26:26" x14ac:dyDescent="0.2">
      <c r="Z16150" t="str">
        <f t="shared" si="252"/>
        <v/>
      </c>
    </row>
    <row r="16151" spans="26:26" x14ac:dyDescent="0.2">
      <c r="Z16151" t="str">
        <f t="shared" si="252"/>
        <v/>
      </c>
    </row>
    <row r="16152" spans="26:26" x14ac:dyDescent="0.2">
      <c r="Z16152" t="str">
        <f t="shared" si="252"/>
        <v/>
      </c>
    </row>
    <row r="16153" spans="26:26" x14ac:dyDescent="0.2">
      <c r="Z16153" t="str">
        <f t="shared" si="252"/>
        <v/>
      </c>
    </row>
    <row r="16154" spans="26:26" x14ac:dyDescent="0.2">
      <c r="Z16154" t="str">
        <f t="shared" si="252"/>
        <v/>
      </c>
    </row>
    <row r="16155" spans="26:26" x14ac:dyDescent="0.2">
      <c r="Z16155" t="str">
        <f t="shared" si="252"/>
        <v/>
      </c>
    </row>
    <row r="16156" spans="26:26" x14ac:dyDescent="0.2">
      <c r="Z16156" t="str">
        <f t="shared" si="252"/>
        <v/>
      </c>
    </row>
    <row r="16157" spans="26:26" x14ac:dyDescent="0.2">
      <c r="Z16157" t="str">
        <f t="shared" si="252"/>
        <v/>
      </c>
    </row>
    <row r="16158" spans="26:26" x14ac:dyDescent="0.2">
      <c r="Z16158" t="str">
        <f t="shared" si="252"/>
        <v/>
      </c>
    </row>
    <row r="16159" spans="26:26" x14ac:dyDescent="0.2">
      <c r="Z16159" t="str">
        <f t="shared" si="252"/>
        <v/>
      </c>
    </row>
    <row r="16160" spans="26:26" x14ac:dyDescent="0.2">
      <c r="Z16160" t="str">
        <f t="shared" si="252"/>
        <v/>
      </c>
    </row>
    <row r="16161" spans="26:26" x14ac:dyDescent="0.2">
      <c r="Z16161" t="str">
        <f t="shared" si="252"/>
        <v/>
      </c>
    </row>
    <row r="16162" spans="26:26" x14ac:dyDescent="0.2">
      <c r="Z16162" t="str">
        <f t="shared" si="252"/>
        <v/>
      </c>
    </row>
    <row r="16163" spans="26:26" x14ac:dyDescent="0.2">
      <c r="Z16163" t="str">
        <f t="shared" si="252"/>
        <v/>
      </c>
    </row>
    <row r="16164" spans="26:26" x14ac:dyDescent="0.2">
      <c r="Z16164" t="str">
        <f t="shared" si="252"/>
        <v/>
      </c>
    </row>
    <row r="16165" spans="26:26" x14ac:dyDescent="0.2">
      <c r="Z16165" t="str">
        <f t="shared" si="252"/>
        <v/>
      </c>
    </row>
    <row r="16166" spans="26:26" x14ac:dyDescent="0.2">
      <c r="Z16166" t="str">
        <f t="shared" si="252"/>
        <v/>
      </c>
    </row>
    <row r="16167" spans="26:26" x14ac:dyDescent="0.2">
      <c r="Z16167" t="str">
        <f t="shared" si="252"/>
        <v/>
      </c>
    </row>
    <row r="16168" spans="26:26" x14ac:dyDescent="0.2">
      <c r="Z16168" t="str">
        <f t="shared" si="252"/>
        <v/>
      </c>
    </row>
    <row r="16169" spans="26:26" x14ac:dyDescent="0.2">
      <c r="Z16169" t="str">
        <f t="shared" si="252"/>
        <v/>
      </c>
    </row>
    <row r="16170" spans="26:26" x14ac:dyDescent="0.2">
      <c r="Z16170" t="str">
        <f t="shared" si="252"/>
        <v/>
      </c>
    </row>
    <row r="16171" spans="26:26" x14ac:dyDescent="0.2">
      <c r="Z16171" t="str">
        <f t="shared" si="252"/>
        <v/>
      </c>
    </row>
    <row r="16172" spans="26:26" x14ac:dyDescent="0.2">
      <c r="Z16172" t="str">
        <f t="shared" si="252"/>
        <v/>
      </c>
    </row>
    <row r="16173" spans="26:26" x14ac:dyDescent="0.2">
      <c r="Z16173" t="str">
        <f t="shared" si="252"/>
        <v/>
      </c>
    </row>
    <row r="16174" spans="26:26" x14ac:dyDescent="0.2">
      <c r="Z16174" t="str">
        <f t="shared" si="252"/>
        <v/>
      </c>
    </row>
    <row r="16175" spans="26:26" x14ac:dyDescent="0.2">
      <c r="Z16175" t="str">
        <f t="shared" si="252"/>
        <v/>
      </c>
    </row>
    <row r="16176" spans="26:26" x14ac:dyDescent="0.2">
      <c r="Z16176" t="str">
        <f t="shared" si="252"/>
        <v/>
      </c>
    </row>
    <row r="16177" spans="26:26" x14ac:dyDescent="0.2">
      <c r="Z16177" t="str">
        <f t="shared" si="252"/>
        <v/>
      </c>
    </row>
    <row r="16178" spans="26:26" x14ac:dyDescent="0.2">
      <c r="Z16178" t="str">
        <f t="shared" si="252"/>
        <v/>
      </c>
    </row>
    <row r="16179" spans="26:26" x14ac:dyDescent="0.2">
      <c r="Z16179" t="str">
        <f t="shared" si="252"/>
        <v/>
      </c>
    </row>
    <row r="16180" spans="26:26" x14ac:dyDescent="0.2">
      <c r="Z16180" t="str">
        <f t="shared" si="252"/>
        <v/>
      </c>
    </row>
    <row r="16181" spans="26:26" x14ac:dyDescent="0.2">
      <c r="Z16181" t="str">
        <f t="shared" si="252"/>
        <v/>
      </c>
    </row>
    <row r="16182" spans="26:26" x14ac:dyDescent="0.2">
      <c r="Z16182" t="str">
        <f t="shared" si="252"/>
        <v/>
      </c>
    </row>
    <row r="16183" spans="26:26" x14ac:dyDescent="0.2">
      <c r="Z16183" t="str">
        <f t="shared" si="252"/>
        <v/>
      </c>
    </row>
    <row r="16184" spans="26:26" x14ac:dyDescent="0.2">
      <c r="Z16184" t="str">
        <f t="shared" si="252"/>
        <v/>
      </c>
    </row>
    <row r="16185" spans="26:26" x14ac:dyDescent="0.2">
      <c r="Z16185" t="str">
        <f t="shared" si="252"/>
        <v/>
      </c>
    </row>
    <row r="16186" spans="26:26" x14ac:dyDescent="0.2">
      <c r="Z16186" t="str">
        <f t="shared" si="252"/>
        <v/>
      </c>
    </row>
    <row r="16187" spans="26:26" x14ac:dyDescent="0.2">
      <c r="Z16187" t="str">
        <f t="shared" si="252"/>
        <v/>
      </c>
    </row>
    <row r="16188" spans="26:26" x14ac:dyDescent="0.2">
      <c r="Z16188" t="str">
        <f t="shared" si="252"/>
        <v/>
      </c>
    </row>
    <row r="16189" spans="26:26" x14ac:dyDescent="0.2">
      <c r="Z16189" t="str">
        <f t="shared" si="252"/>
        <v/>
      </c>
    </row>
    <row r="16190" spans="26:26" x14ac:dyDescent="0.2">
      <c r="Z16190" t="str">
        <f t="shared" si="252"/>
        <v/>
      </c>
    </row>
    <row r="16191" spans="26:26" x14ac:dyDescent="0.2">
      <c r="Z16191" t="str">
        <f t="shared" si="252"/>
        <v/>
      </c>
    </row>
    <row r="16192" spans="26:26" x14ac:dyDescent="0.2">
      <c r="Z16192" t="str">
        <f t="shared" si="252"/>
        <v/>
      </c>
    </row>
    <row r="16193" spans="26:26" x14ac:dyDescent="0.2">
      <c r="Z16193" t="str">
        <f t="shared" si="252"/>
        <v/>
      </c>
    </row>
    <row r="16194" spans="26:26" x14ac:dyDescent="0.2">
      <c r="Z16194" t="str">
        <f t="shared" si="252"/>
        <v/>
      </c>
    </row>
    <row r="16195" spans="26:26" x14ac:dyDescent="0.2">
      <c r="Z16195" t="str">
        <f t="shared" ref="Z16195:Z16258" si="253">IF(K16195="","",IFERROR(VALUE(TRIM(MID(K16195,FIND(CHAR(167),SUBSTITUTE(K16195,"-",CHAR(167),LEN(K16195)-LEN(SUBSTITUTE(K16195,"-",""))))+1,100))),K16195))</f>
        <v/>
      </c>
    </row>
    <row r="16196" spans="26:26" x14ac:dyDescent="0.2">
      <c r="Z16196" t="str">
        <f t="shared" si="253"/>
        <v/>
      </c>
    </row>
    <row r="16197" spans="26:26" x14ac:dyDescent="0.2">
      <c r="Z16197" t="str">
        <f t="shared" si="253"/>
        <v/>
      </c>
    </row>
    <row r="16198" spans="26:26" x14ac:dyDescent="0.2">
      <c r="Z16198" t="str">
        <f t="shared" si="253"/>
        <v/>
      </c>
    </row>
    <row r="16199" spans="26:26" x14ac:dyDescent="0.2">
      <c r="Z16199" t="str">
        <f t="shared" si="253"/>
        <v/>
      </c>
    </row>
    <row r="16200" spans="26:26" x14ac:dyDescent="0.2">
      <c r="Z16200" t="str">
        <f t="shared" si="253"/>
        <v/>
      </c>
    </row>
    <row r="16201" spans="26:26" x14ac:dyDescent="0.2">
      <c r="Z16201" t="str">
        <f t="shared" si="253"/>
        <v/>
      </c>
    </row>
    <row r="16202" spans="26:26" x14ac:dyDescent="0.2">
      <c r="Z16202" t="str">
        <f t="shared" si="253"/>
        <v/>
      </c>
    </row>
    <row r="16203" spans="26:26" x14ac:dyDescent="0.2">
      <c r="Z16203" t="str">
        <f t="shared" si="253"/>
        <v/>
      </c>
    </row>
    <row r="16204" spans="26:26" x14ac:dyDescent="0.2">
      <c r="Z16204" t="str">
        <f t="shared" si="253"/>
        <v/>
      </c>
    </row>
    <row r="16205" spans="26:26" x14ac:dyDescent="0.2">
      <c r="Z16205" t="str">
        <f t="shared" si="253"/>
        <v/>
      </c>
    </row>
    <row r="16206" spans="26:26" x14ac:dyDescent="0.2">
      <c r="Z16206" t="str">
        <f t="shared" si="253"/>
        <v/>
      </c>
    </row>
    <row r="16207" spans="26:26" x14ac:dyDescent="0.2">
      <c r="Z16207" t="str">
        <f t="shared" si="253"/>
        <v/>
      </c>
    </row>
    <row r="16208" spans="26:26" x14ac:dyDescent="0.2">
      <c r="Z16208" t="str">
        <f t="shared" si="253"/>
        <v/>
      </c>
    </row>
    <row r="16209" spans="26:26" x14ac:dyDescent="0.2">
      <c r="Z16209" t="str">
        <f t="shared" si="253"/>
        <v/>
      </c>
    </row>
    <row r="16210" spans="26:26" x14ac:dyDescent="0.2">
      <c r="Z16210" t="str">
        <f t="shared" si="253"/>
        <v/>
      </c>
    </row>
    <row r="16211" spans="26:26" x14ac:dyDescent="0.2">
      <c r="Z16211" t="str">
        <f t="shared" si="253"/>
        <v/>
      </c>
    </row>
    <row r="16212" spans="26:26" x14ac:dyDescent="0.2">
      <c r="Z16212" t="str">
        <f t="shared" si="253"/>
        <v/>
      </c>
    </row>
    <row r="16213" spans="26:26" x14ac:dyDescent="0.2">
      <c r="Z16213" t="str">
        <f t="shared" si="253"/>
        <v/>
      </c>
    </row>
    <row r="16214" spans="26:26" x14ac:dyDescent="0.2">
      <c r="Z16214" t="str">
        <f t="shared" si="253"/>
        <v/>
      </c>
    </row>
    <row r="16215" spans="26:26" x14ac:dyDescent="0.2">
      <c r="Z16215" t="str">
        <f t="shared" si="253"/>
        <v/>
      </c>
    </row>
    <row r="16216" spans="26:26" x14ac:dyDescent="0.2">
      <c r="Z16216" t="str">
        <f t="shared" si="253"/>
        <v/>
      </c>
    </row>
    <row r="16217" spans="26:26" x14ac:dyDescent="0.2">
      <c r="Z16217" t="str">
        <f t="shared" si="253"/>
        <v/>
      </c>
    </row>
    <row r="16218" spans="26:26" x14ac:dyDescent="0.2">
      <c r="Z16218" t="str">
        <f t="shared" si="253"/>
        <v/>
      </c>
    </row>
    <row r="16219" spans="26:26" x14ac:dyDescent="0.2">
      <c r="Z16219" t="str">
        <f t="shared" si="253"/>
        <v/>
      </c>
    </row>
    <row r="16220" spans="26:26" x14ac:dyDescent="0.2">
      <c r="Z16220" t="str">
        <f t="shared" si="253"/>
        <v/>
      </c>
    </row>
    <row r="16221" spans="26:26" x14ac:dyDescent="0.2">
      <c r="Z16221" t="str">
        <f t="shared" si="253"/>
        <v/>
      </c>
    </row>
    <row r="16222" spans="26:26" x14ac:dyDescent="0.2">
      <c r="Z16222" t="str">
        <f t="shared" si="253"/>
        <v/>
      </c>
    </row>
    <row r="16223" spans="26:26" x14ac:dyDescent="0.2">
      <c r="Z16223" t="str">
        <f t="shared" si="253"/>
        <v/>
      </c>
    </row>
    <row r="16224" spans="26:26" x14ac:dyDescent="0.2">
      <c r="Z16224" t="str">
        <f t="shared" si="253"/>
        <v/>
      </c>
    </row>
    <row r="16225" spans="26:26" x14ac:dyDescent="0.2">
      <c r="Z16225" t="str">
        <f t="shared" si="253"/>
        <v/>
      </c>
    </row>
    <row r="16226" spans="26:26" x14ac:dyDescent="0.2">
      <c r="Z16226" t="str">
        <f t="shared" si="253"/>
        <v/>
      </c>
    </row>
    <row r="16227" spans="26:26" x14ac:dyDescent="0.2">
      <c r="Z16227" t="str">
        <f t="shared" si="253"/>
        <v/>
      </c>
    </row>
    <row r="16228" spans="26:26" x14ac:dyDescent="0.2">
      <c r="Z16228" t="str">
        <f t="shared" si="253"/>
        <v/>
      </c>
    </row>
    <row r="16229" spans="26:26" x14ac:dyDescent="0.2">
      <c r="Z16229" t="str">
        <f t="shared" si="253"/>
        <v/>
      </c>
    </row>
    <row r="16230" spans="26:26" x14ac:dyDescent="0.2">
      <c r="Z16230" t="str">
        <f t="shared" si="253"/>
        <v/>
      </c>
    </row>
    <row r="16231" spans="26:26" x14ac:dyDescent="0.2">
      <c r="Z16231" t="str">
        <f t="shared" si="253"/>
        <v/>
      </c>
    </row>
    <row r="16232" spans="26:26" x14ac:dyDescent="0.2">
      <c r="Z16232" t="str">
        <f t="shared" si="253"/>
        <v/>
      </c>
    </row>
    <row r="16233" spans="26:26" x14ac:dyDescent="0.2">
      <c r="Z16233" t="str">
        <f t="shared" si="253"/>
        <v/>
      </c>
    </row>
    <row r="16234" spans="26:26" x14ac:dyDescent="0.2">
      <c r="Z16234" t="str">
        <f t="shared" si="253"/>
        <v/>
      </c>
    </row>
    <row r="16235" spans="26:26" x14ac:dyDescent="0.2">
      <c r="Z16235" t="str">
        <f t="shared" si="253"/>
        <v/>
      </c>
    </row>
    <row r="16236" spans="26:26" x14ac:dyDescent="0.2">
      <c r="Z16236" t="str">
        <f t="shared" si="253"/>
        <v/>
      </c>
    </row>
    <row r="16237" spans="26:26" x14ac:dyDescent="0.2">
      <c r="Z16237" t="str">
        <f t="shared" si="253"/>
        <v/>
      </c>
    </row>
    <row r="16238" spans="26:26" x14ac:dyDescent="0.2">
      <c r="Z16238" t="str">
        <f t="shared" si="253"/>
        <v/>
      </c>
    </row>
    <row r="16239" spans="26:26" x14ac:dyDescent="0.2">
      <c r="Z16239" t="str">
        <f t="shared" si="253"/>
        <v/>
      </c>
    </row>
    <row r="16240" spans="26:26" x14ac:dyDescent="0.2">
      <c r="Z16240" t="str">
        <f t="shared" si="253"/>
        <v/>
      </c>
    </row>
    <row r="16241" spans="26:26" x14ac:dyDescent="0.2">
      <c r="Z16241" t="str">
        <f t="shared" si="253"/>
        <v/>
      </c>
    </row>
    <row r="16242" spans="26:26" x14ac:dyDescent="0.2">
      <c r="Z16242" t="str">
        <f t="shared" si="253"/>
        <v/>
      </c>
    </row>
    <row r="16243" spans="26:26" x14ac:dyDescent="0.2">
      <c r="Z16243" t="str">
        <f t="shared" si="253"/>
        <v/>
      </c>
    </row>
    <row r="16244" spans="26:26" x14ac:dyDescent="0.2">
      <c r="Z16244" t="str">
        <f t="shared" si="253"/>
        <v/>
      </c>
    </row>
    <row r="16245" spans="26:26" x14ac:dyDescent="0.2">
      <c r="Z16245" t="str">
        <f t="shared" si="253"/>
        <v/>
      </c>
    </row>
    <row r="16246" spans="26:26" x14ac:dyDescent="0.2">
      <c r="Z16246" t="str">
        <f t="shared" si="253"/>
        <v/>
      </c>
    </row>
    <row r="16247" spans="26:26" x14ac:dyDescent="0.2">
      <c r="Z16247" t="str">
        <f t="shared" si="253"/>
        <v/>
      </c>
    </row>
    <row r="16248" spans="26:26" x14ac:dyDescent="0.2">
      <c r="Z16248" t="str">
        <f t="shared" si="253"/>
        <v/>
      </c>
    </row>
    <row r="16249" spans="26:26" x14ac:dyDescent="0.2">
      <c r="Z16249" t="str">
        <f t="shared" si="253"/>
        <v/>
      </c>
    </row>
    <row r="16250" spans="26:26" x14ac:dyDescent="0.2">
      <c r="Z16250" t="str">
        <f t="shared" si="253"/>
        <v/>
      </c>
    </row>
    <row r="16251" spans="26:26" x14ac:dyDescent="0.2">
      <c r="Z16251" t="str">
        <f t="shared" si="253"/>
        <v/>
      </c>
    </row>
    <row r="16252" spans="26:26" x14ac:dyDescent="0.2">
      <c r="Z16252" t="str">
        <f t="shared" si="253"/>
        <v/>
      </c>
    </row>
    <row r="16253" spans="26:26" x14ac:dyDescent="0.2">
      <c r="Z16253" t="str">
        <f t="shared" si="253"/>
        <v/>
      </c>
    </row>
    <row r="16254" spans="26:26" x14ac:dyDescent="0.2">
      <c r="Z16254" t="str">
        <f t="shared" si="253"/>
        <v/>
      </c>
    </row>
    <row r="16255" spans="26:26" x14ac:dyDescent="0.2">
      <c r="Z16255" t="str">
        <f t="shared" si="253"/>
        <v/>
      </c>
    </row>
    <row r="16256" spans="26:26" x14ac:dyDescent="0.2">
      <c r="Z16256" t="str">
        <f t="shared" si="253"/>
        <v/>
      </c>
    </row>
    <row r="16257" spans="26:26" x14ac:dyDescent="0.2">
      <c r="Z16257" t="str">
        <f t="shared" si="253"/>
        <v/>
      </c>
    </row>
    <row r="16258" spans="26:26" x14ac:dyDescent="0.2">
      <c r="Z16258" t="str">
        <f t="shared" si="253"/>
        <v/>
      </c>
    </row>
    <row r="16259" spans="26:26" x14ac:dyDescent="0.2">
      <c r="Z16259" t="str">
        <f t="shared" ref="Z16259:Z16322" si="254">IF(K16259="","",IFERROR(VALUE(TRIM(MID(K16259,FIND(CHAR(167),SUBSTITUTE(K16259,"-",CHAR(167),LEN(K16259)-LEN(SUBSTITUTE(K16259,"-",""))))+1,100))),K16259))</f>
        <v/>
      </c>
    </row>
    <row r="16260" spans="26:26" x14ac:dyDescent="0.2">
      <c r="Z16260" t="str">
        <f t="shared" si="254"/>
        <v/>
      </c>
    </row>
    <row r="16261" spans="26:26" x14ac:dyDescent="0.2">
      <c r="Z16261" t="str">
        <f t="shared" si="254"/>
        <v/>
      </c>
    </row>
    <row r="16262" spans="26:26" x14ac:dyDescent="0.2">
      <c r="Z16262" t="str">
        <f t="shared" si="254"/>
        <v/>
      </c>
    </row>
    <row r="16263" spans="26:26" x14ac:dyDescent="0.2">
      <c r="Z16263" t="str">
        <f t="shared" si="254"/>
        <v/>
      </c>
    </row>
    <row r="16264" spans="26:26" x14ac:dyDescent="0.2">
      <c r="Z16264" t="str">
        <f t="shared" si="254"/>
        <v/>
      </c>
    </row>
    <row r="16265" spans="26:26" x14ac:dyDescent="0.2">
      <c r="Z16265" t="str">
        <f t="shared" si="254"/>
        <v/>
      </c>
    </row>
    <row r="16266" spans="26:26" x14ac:dyDescent="0.2">
      <c r="Z16266" t="str">
        <f t="shared" si="254"/>
        <v/>
      </c>
    </row>
    <row r="16267" spans="26:26" x14ac:dyDescent="0.2">
      <c r="Z16267" t="str">
        <f t="shared" si="254"/>
        <v/>
      </c>
    </row>
    <row r="16268" spans="26:26" x14ac:dyDescent="0.2">
      <c r="Z16268" t="str">
        <f t="shared" si="254"/>
        <v/>
      </c>
    </row>
    <row r="16269" spans="26:26" x14ac:dyDescent="0.2">
      <c r="Z16269" t="str">
        <f t="shared" si="254"/>
        <v/>
      </c>
    </row>
    <row r="16270" spans="26:26" x14ac:dyDescent="0.2">
      <c r="Z16270" t="str">
        <f t="shared" si="254"/>
        <v/>
      </c>
    </row>
    <row r="16271" spans="26:26" x14ac:dyDescent="0.2">
      <c r="Z16271" t="str">
        <f t="shared" si="254"/>
        <v/>
      </c>
    </row>
    <row r="16272" spans="26:26" x14ac:dyDescent="0.2">
      <c r="Z16272" t="str">
        <f t="shared" si="254"/>
        <v/>
      </c>
    </row>
    <row r="16273" spans="26:26" x14ac:dyDescent="0.2">
      <c r="Z16273" t="str">
        <f t="shared" si="254"/>
        <v/>
      </c>
    </row>
    <row r="16274" spans="26:26" x14ac:dyDescent="0.2">
      <c r="Z16274" t="str">
        <f t="shared" si="254"/>
        <v/>
      </c>
    </row>
    <row r="16275" spans="26:26" x14ac:dyDescent="0.2">
      <c r="Z16275" t="str">
        <f t="shared" si="254"/>
        <v/>
      </c>
    </row>
    <row r="16276" spans="26:26" x14ac:dyDescent="0.2">
      <c r="Z16276" t="str">
        <f t="shared" si="254"/>
        <v/>
      </c>
    </row>
    <row r="16277" spans="26:26" x14ac:dyDescent="0.2">
      <c r="Z16277" t="str">
        <f t="shared" si="254"/>
        <v/>
      </c>
    </row>
    <row r="16278" spans="26:26" x14ac:dyDescent="0.2">
      <c r="Z16278" t="str">
        <f t="shared" si="254"/>
        <v/>
      </c>
    </row>
    <row r="16279" spans="26:26" x14ac:dyDescent="0.2">
      <c r="Z16279" t="str">
        <f t="shared" si="254"/>
        <v/>
      </c>
    </row>
    <row r="16280" spans="26:26" x14ac:dyDescent="0.2">
      <c r="Z16280" t="str">
        <f t="shared" si="254"/>
        <v/>
      </c>
    </row>
    <row r="16281" spans="26:26" x14ac:dyDescent="0.2">
      <c r="Z16281" t="str">
        <f t="shared" si="254"/>
        <v/>
      </c>
    </row>
    <row r="16282" spans="26:26" x14ac:dyDescent="0.2">
      <c r="Z16282" t="str">
        <f t="shared" si="254"/>
        <v/>
      </c>
    </row>
    <row r="16283" spans="26:26" x14ac:dyDescent="0.2">
      <c r="Z16283" t="str">
        <f t="shared" si="254"/>
        <v/>
      </c>
    </row>
    <row r="16284" spans="26:26" x14ac:dyDescent="0.2">
      <c r="Z16284" t="str">
        <f t="shared" si="254"/>
        <v/>
      </c>
    </row>
    <row r="16285" spans="26:26" x14ac:dyDescent="0.2">
      <c r="Z16285" t="str">
        <f t="shared" si="254"/>
        <v/>
      </c>
    </row>
    <row r="16286" spans="26:26" x14ac:dyDescent="0.2">
      <c r="Z16286" t="str">
        <f t="shared" si="254"/>
        <v/>
      </c>
    </row>
    <row r="16287" spans="26:26" x14ac:dyDescent="0.2">
      <c r="Z16287" t="str">
        <f t="shared" si="254"/>
        <v/>
      </c>
    </row>
    <row r="16288" spans="26:26" x14ac:dyDescent="0.2">
      <c r="Z16288" t="str">
        <f t="shared" si="254"/>
        <v/>
      </c>
    </row>
    <row r="16289" spans="26:26" x14ac:dyDescent="0.2">
      <c r="Z16289" t="str">
        <f t="shared" si="254"/>
        <v/>
      </c>
    </row>
    <row r="16290" spans="26:26" x14ac:dyDescent="0.2">
      <c r="Z16290" t="str">
        <f t="shared" si="254"/>
        <v/>
      </c>
    </row>
    <row r="16291" spans="26:26" x14ac:dyDescent="0.2">
      <c r="Z16291" t="str">
        <f t="shared" si="254"/>
        <v/>
      </c>
    </row>
    <row r="16292" spans="26:26" x14ac:dyDescent="0.2">
      <c r="Z16292" t="str">
        <f t="shared" si="254"/>
        <v/>
      </c>
    </row>
    <row r="16293" spans="26:26" x14ac:dyDescent="0.2">
      <c r="Z16293" t="str">
        <f t="shared" si="254"/>
        <v/>
      </c>
    </row>
    <row r="16294" spans="26:26" x14ac:dyDescent="0.2">
      <c r="Z16294" t="str">
        <f t="shared" si="254"/>
        <v/>
      </c>
    </row>
    <row r="16295" spans="26:26" x14ac:dyDescent="0.2">
      <c r="Z16295" t="str">
        <f t="shared" si="254"/>
        <v/>
      </c>
    </row>
    <row r="16296" spans="26:26" x14ac:dyDescent="0.2">
      <c r="Z16296" t="str">
        <f t="shared" si="254"/>
        <v/>
      </c>
    </row>
    <row r="16297" spans="26:26" x14ac:dyDescent="0.2">
      <c r="Z16297" t="str">
        <f t="shared" si="254"/>
        <v/>
      </c>
    </row>
    <row r="16298" spans="26:26" x14ac:dyDescent="0.2">
      <c r="Z16298" t="str">
        <f t="shared" si="254"/>
        <v/>
      </c>
    </row>
    <row r="16299" spans="26:26" x14ac:dyDescent="0.2">
      <c r="Z16299" t="str">
        <f t="shared" si="254"/>
        <v/>
      </c>
    </row>
    <row r="16300" spans="26:26" x14ac:dyDescent="0.2">
      <c r="Z16300" t="str">
        <f t="shared" si="254"/>
        <v/>
      </c>
    </row>
    <row r="16301" spans="26:26" x14ac:dyDescent="0.2">
      <c r="Z16301" t="str">
        <f t="shared" si="254"/>
        <v/>
      </c>
    </row>
    <row r="16302" spans="26:26" x14ac:dyDescent="0.2">
      <c r="Z16302" t="str">
        <f t="shared" si="254"/>
        <v/>
      </c>
    </row>
    <row r="16303" spans="26:26" x14ac:dyDescent="0.2">
      <c r="Z16303" t="str">
        <f t="shared" si="254"/>
        <v/>
      </c>
    </row>
    <row r="16304" spans="26:26" x14ac:dyDescent="0.2">
      <c r="Z16304" t="str">
        <f t="shared" si="254"/>
        <v/>
      </c>
    </row>
    <row r="16305" spans="26:26" x14ac:dyDescent="0.2">
      <c r="Z16305" t="str">
        <f t="shared" si="254"/>
        <v/>
      </c>
    </row>
    <row r="16306" spans="26:26" x14ac:dyDescent="0.2">
      <c r="Z16306" t="str">
        <f t="shared" si="254"/>
        <v/>
      </c>
    </row>
    <row r="16307" spans="26:26" x14ac:dyDescent="0.2">
      <c r="Z16307" t="str">
        <f t="shared" si="254"/>
        <v/>
      </c>
    </row>
    <row r="16308" spans="26:26" x14ac:dyDescent="0.2">
      <c r="Z16308" t="str">
        <f t="shared" si="254"/>
        <v/>
      </c>
    </row>
    <row r="16309" spans="26:26" x14ac:dyDescent="0.2">
      <c r="Z16309" t="str">
        <f t="shared" si="254"/>
        <v/>
      </c>
    </row>
    <row r="16310" spans="26:26" x14ac:dyDescent="0.2">
      <c r="Z16310" t="str">
        <f t="shared" si="254"/>
        <v/>
      </c>
    </row>
    <row r="16311" spans="26:26" x14ac:dyDescent="0.2">
      <c r="Z16311" t="str">
        <f t="shared" si="254"/>
        <v/>
      </c>
    </row>
    <row r="16312" spans="26:26" x14ac:dyDescent="0.2">
      <c r="Z16312" t="str">
        <f t="shared" si="254"/>
        <v/>
      </c>
    </row>
    <row r="16313" spans="26:26" x14ac:dyDescent="0.2">
      <c r="Z16313" t="str">
        <f t="shared" si="254"/>
        <v/>
      </c>
    </row>
    <row r="16314" spans="26:26" x14ac:dyDescent="0.2">
      <c r="Z16314" t="str">
        <f t="shared" si="254"/>
        <v/>
      </c>
    </row>
    <row r="16315" spans="26:26" x14ac:dyDescent="0.2">
      <c r="Z16315" t="str">
        <f t="shared" si="254"/>
        <v/>
      </c>
    </row>
    <row r="16316" spans="26:26" x14ac:dyDescent="0.2">
      <c r="Z16316" t="str">
        <f t="shared" si="254"/>
        <v/>
      </c>
    </row>
    <row r="16317" spans="26:26" x14ac:dyDescent="0.2">
      <c r="Z16317" t="str">
        <f t="shared" si="254"/>
        <v/>
      </c>
    </row>
    <row r="16318" spans="26:26" x14ac:dyDescent="0.2">
      <c r="Z16318" t="str">
        <f t="shared" si="254"/>
        <v/>
      </c>
    </row>
    <row r="16319" spans="26:26" x14ac:dyDescent="0.2">
      <c r="Z16319" t="str">
        <f t="shared" si="254"/>
        <v/>
      </c>
    </row>
    <row r="16320" spans="26:26" x14ac:dyDescent="0.2">
      <c r="Z16320" t="str">
        <f t="shared" si="254"/>
        <v/>
      </c>
    </row>
    <row r="16321" spans="26:26" x14ac:dyDescent="0.2">
      <c r="Z16321" t="str">
        <f t="shared" si="254"/>
        <v/>
      </c>
    </row>
    <row r="16322" spans="26:26" x14ac:dyDescent="0.2">
      <c r="Z16322" t="str">
        <f t="shared" si="254"/>
        <v/>
      </c>
    </row>
    <row r="16323" spans="26:26" x14ac:dyDescent="0.2">
      <c r="Z16323" t="str">
        <f t="shared" ref="Z16323:Z16386" si="255">IF(K16323="","",IFERROR(VALUE(TRIM(MID(K16323,FIND(CHAR(167),SUBSTITUTE(K16323,"-",CHAR(167),LEN(K16323)-LEN(SUBSTITUTE(K16323,"-",""))))+1,100))),K16323))</f>
        <v/>
      </c>
    </row>
    <row r="16324" spans="26:26" x14ac:dyDescent="0.2">
      <c r="Z16324" t="str">
        <f t="shared" si="255"/>
        <v/>
      </c>
    </row>
    <row r="16325" spans="26:26" x14ac:dyDescent="0.2">
      <c r="Z16325" t="str">
        <f t="shared" si="255"/>
        <v/>
      </c>
    </row>
    <row r="16326" spans="26:26" x14ac:dyDescent="0.2">
      <c r="Z16326" t="str">
        <f t="shared" si="255"/>
        <v/>
      </c>
    </row>
    <row r="16327" spans="26:26" x14ac:dyDescent="0.2">
      <c r="Z16327" t="str">
        <f t="shared" si="255"/>
        <v/>
      </c>
    </row>
    <row r="16328" spans="26:26" x14ac:dyDescent="0.2">
      <c r="Z16328" t="str">
        <f t="shared" si="255"/>
        <v/>
      </c>
    </row>
    <row r="16329" spans="26:26" x14ac:dyDescent="0.2">
      <c r="Z16329" t="str">
        <f t="shared" si="255"/>
        <v/>
      </c>
    </row>
    <row r="16330" spans="26:26" x14ac:dyDescent="0.2">
      <c r="Z16330" t="str">
        <f t="shared" si="255"/>
        <v/>
      </c>
    </row>
    <row r="16331" spans="26:26" x14ac:dyDescent="0.2">
      <c r="Z16331" t="str">
        <f t="shared" si="255"/>
        <v/>
      </c>
    </row>
    <row r="16332" spans="26:26" x14ac:dyDescent="0.2">
      <c r="Z16332" t="str">
        <f t="shared" si="255"/>
        <v/>
      </c>
    </row>
    <row r="16333" spans="26:26" x14ac:dyDescent="0.2">
      <c r="Z16333" t="str">
        <f t="shared" si="255"/>
        <v/>
      </c>
    </row>
    <row r="16334" spans="26:26" x14ac:dyDescent="0.2">
      <c r="Z16334" t="str">
        <f t="shared" si="255"/>
        <v/>
      </c>
    </row>
    <row r="16335" spans="26:26" x14ac:dyDescent="0.2">
      <c r="Z16335" t="str">
        <f t="shared" si="255"/>
        <v/>
      </c>
    </row>
    <row r="16336" spans="26:26" x14ac:dyDescent="0.2">
      <c r="Z16336" t="str">
        <f t="shared" si="255"/>
        <v/>
      </c>
    </row>
    <row r="16337" spans="26:26" x14ac:dyDescent="0.2">
      <c r="Z16337" t="str">
        <f t="shared" si="255"/>
        <v/>
      </c>
    </row>
    <row r="16338" spans="26:26" x14ac:dyDescent="0.2">
      <c r="Z16338" t="str">
        <f t="shared" si="255"/>
        <v/>
      </c>
    </row>
    <row r="16339" spans="26:26" x14ac:dyDescent="0.2">
      <c r="Z16339" t="str">
        <f t="shared" si="255"/>
        <v/>
      </c>
    </row>
    <row r="16340" spans="26:26" x14ac:dyDescent="0.2">
      <c r="Z16340" t="str">
        <f t="shared" si="255"/>
        <v/>
      </c>
    </row>
    <row r="16341" spans="26:26" x14ac:dyDescent="0.2">
      <c r="Z16341" t="str">
        <f t="shared" si="255"/>
        <v/>
      </c>
    </row>
    <row r="16342" spans="26:26" x14ac:dyDescent="0.2">
      <c r="Z16342" t="str">
        <f t="shared" si="255"/>
        <v/>
      </c>
    </row>
    <row r="16343" spans="26:26" x14ac:dyDescent="0.2">
      <c r="Z16343" t="str">
        <f t="shared" si="255"/>
        <v/>
      </c>
    </row>
    <row r="16344" spans="26:26" x14ac:dyDescent="0.2">
      <c r="Z16344" t="str">
        <f t="shared" si="255"/>
        <v/>
      </c>
    </row>
    <row r="16345" spans="26:26" x14ac:dyDescent="0.2">
      <c r="Z16345" t="str">
        <f t="shared" si="255"/>
        <v/>
      </c>
    </row>
    <row r="16346" spans="26:26" x14ac:dyDescent="0.2">
      <c r="Z16346" t="str">
        <f t="shared" si="255"/>
        <v/>
      </c>
    </row>
    <row r="16347" spans="26:26" x14ac:dyDescent="0.2">
      <c r="Z16347" t="str">
        <f t="shared" si="255"/>
        <v/>
      </c>
    </row>
    <row r="16348" spans="26:26" x14ac:dyDescent="0.2">
      <c r="Z16348" t="str">
        <f t="shared" si="255"/>
        <v/>
      </c>
    </row>
    <row r="16349" spans="26:26" x14ac:dyDescent="0.2">
      <c r="Z16349" t="str">
        <f t="shared" si="255"/>
        <v/>
      </c>
    </row>
    <row r="16350" spans="26:26" x14ac:dyDescent="0.2">
      <c r="Z16350" t="str">
        <f t="shared" si="255"/>
        <v/>
      </c>
    </row>
    <row r="16351" spans="26:26" x14ac:dyDescent="0.2">
      <c r="Z16351" t="str">
        <f t="shared" si="255"/>
        <v/>
      </c>
    </row>
    <row r="16352" spans="26:26" x14ac:dyDescent="0.2">
      <c r="Z16352" t="str">
        <f t="shared" si="255"/>
        <v/>
      </c>
    </row>
    <row r="16353" spans="26:26" x14ac:dyDescent="0.2">
      <c r="Z16353" t="str">
        <f t="shared" si="255"/>
        <v/>
      </c>
    </row>
    <row r="16354" spans="26:26" x14ac:dyDescent="0.2">
      <c r="Z16354" t="str">
        <f t="shared" si="255"/>
        <v/>
      </c>
    </row>
    <row r="16355" spans="26:26" x14ac:dyDescent="0.2">
      <c r="Z16355" t="str">
        <f t="shared" si="255"/>
        <v/>
      </c>
    </row>
    <row r="16356" spans="26:26" x14ac:dyDescent="0.2">
      <c r="Z16356" t="str">
        <f t="shared" si="255"/>
        <v/>
      </c>
    </row>
    <row r="16357" spans="26:26" x14ac:dyDescent="0.2">
      <c r="Z16357" t="str">
        <f t="shared" si="255"/>
        <v/>
      </c>
    </row>
    <row r="16358" spans="26:26" x14ac:dyDescent="0.2">
      <c r="Z16358" t="str">
        <f t="shared" si="255"/>
        <v/>
      </c>
    </row>
    <row r="16359" spans="26:26" x14ac:dyDescent="0.2">
      <c r="Z16359" t="str">
        <f t="shared" si="255"/>
        <v/>
      </c>
    </row>
    <row r="16360" spans="26:26" x14ac:dyDescent="0.2">
      <c r="Z16360" t="str">
        <f t="shared" si="255"/>
        <v/>
      </c>
    </row>
    <row r="16361" spans="26:26" x14ac:dyDescent="0.2">
      <c r="Z16361" t="str">
        <f t="shared" si="255"/>
        <v/>
      </c>
    </row>
    <row r="16362" spans="26:26" x14ac:dyDescent="0.2">
      <c r="Z16362" t="str">
        <f t="shared" si="255"/>
        <v/>
      </c>
    </row>
    <row r="16363" spans="26:26" x14ac:dyDescent="0.2">
      <c r="Z16363" t="str">
        <f t="shared" si="255"/>
        <v/>
      </c>
    </row>
    <row r="16364" spans="26:26" x14ac:dyDescent="0.2">
      <c r="Z16364" t="str">
        <f t="shared" si="255"/>
        <v/>
      </c>
    </row>
    <row r="16365" spans="26:26" x14ac:dyDescent="0.2">
      <c r="Z16365" t="str">
        <f t="shared" si="255"/>
        <v/>
      </c>
    </row>
    <row r="16366" spans="26:26" x14ac:dyDescent="0.2">
      <c r="Z16366" t="str">
        <f t="shared" si="255"/>
        <v/>
      </c>
    </row>
    <row r="16367" spans="26:26" x14ac:dyDescent="0.2">
      <c r="Z16367" t="str">
        <f t="shared" si="255"/>
        <v/>
      </c>
    </row>
    <row r="16368" spans="26:26" x14ac:dyDescent="0.2">
      <c r="Z16368" t="str">
        <f t="shared" si="255"/>
        <v/>
      </c>
    </row>
    <row r="16369" spans="26:26" x14ac:dyDescent="0.2">
      <c r="Z16369" t="str">
        <f t="shared" si="255"/>
        <v/>
      </c>
    </row>
    <row r="16370" spans="26:26" x14ac:dyDescent="0.2">
      <c r="Z16370" t="str">
        <f t="shared" si="255"/>
        <v/>
      </c>
    </row>
    <row r="16371" spans="26:26" x14ac:dyDescent="0.2">
      <c r="Z16371" t="str">
        <f t="shared" si="255"/>
        <v/>
      </c>
    </row>
    <row r="16372" spans="26:26" x14ac:dyDescent="0.2">
      <c r="Z16372" t="str">
        <f t="shared" si="255"/>
        <v/>
      </c>
    </row>
    <row r="16373" spans="26:26" x14ac:dyDescent="0.2">
      <c r="Z16373" t="str">
        <f t="shared" si="255"/>
        <v/>
      </c>
    </row>
    <row r="16374" spans="26:26" x14ac:dyDescent="0.2">
      <c r="Z16374" t="str">
        <f t="shared" si="255"/>
        <v/>
      </c>
    </row>
    <row r="16375" spans="26:26" x14ac:dyDescent="0.2">
      <c r="Z16375" t="str">
        <f t="shared" si="255"/>
        <v/>
      </c>
    </row>
    <row r="16376" spans="26:26" x14ac:dyDescent="0.2">
      <c r="Z16376" t="str">
        <f t="shared" si="255"/>
        <v/>
      </c>
    </row>
    <row r="16377" spans="26:26" x14ac:dyDescent="0.2">
      <c r="Z16377" t="str">
        <f t="shared" si="255"/>
        <v/>
      </c>
    </row>
    <row r="16378" spans="26:26" x14ac:dyDescent="0.2">
      <c r="Z16378" t="str">
        <f t="shared" si="255"/>
        <v/>
      </c>
    </row>
    <row r="16379" spans="26:26" x14ac:dyDescent="0.2">
      <c r="Z16379" t="str">
        <f t="shared" si="255"/>
        <v/>
      </c>
    </row>
    <row r="16380" spans="26:26" x14ac:dyDescent="0.2">
      <c r="Z16380" t="str">
        <f t="shared" si="255"/>
        <v/>
      </c>
    </row>
    <row r="16381" spans="26:26" x14ac:dyDescent="0.2">
      <c r="Z16381" t="str">
        <f t="shared" si="255"/>
        <v/>
      </c>
    </row>
    <row r="16382" spans="26:26" x14ac:dyDescent="0.2">
      <c r="Z16382" t="str">
        <f t="shared" si="255"/>
        <v/>
      </c>
    </row>
    <row r="16383" spans="26:26" x14ac:dyDescent="0.2">
      <c r="Z16383" t="str">
        <f t="shared" si="255"/>
        <v/>
      </c>
    </row>
    <row r="16384" spans="26:26" x14ac:dyDescent="0.2">
      <c r="Z16384" t="str">
        <f t="shared" si="255"/>
        <v/>
      </c>
    </row>
    <row r="16385" spans="26:26" x14ac:dyDescent="0.2">
      <c r="Z16385" t="str">
        <f t="shared" si="255"/>
        <v/>
      </c>
    </row>
    <row r="16386" spans="26:26" x14ac:dyDescent="0.2">
      <c r="Z16386" t="str">
        <f t="shared" si="255"/>
        <v/>
      </c>
    </row>
    <row r="16387" spans="26:26" x14ac:dyDescent="0.2">
      <c r="Z16387" t="str">
        <f t="shared" ref="Z16387:Z16450" si="256">IF(K16387="","",IFERROR(VALUE(TRIM(MID(K16387,FIND(CHAR(167),SUBSTITUTE(K16387,"-",CHAR(167),LEN(K16387)-LEN(SUBSTITUTE(K16387,"-",""))))+1,100))),K16387))</f>
        <v/>
      </c>
    </row>
    <row r="16388" spans="26:26" x14ac:dyDescent="0.2">
      <c r="Z16388" t="str">
        <f t="shared" si="256"/>
        <v/>
      </c>
    </row>
    <row r="16389" spans="26:26" x14ac:dyDescent="0.2">
      <c r="Z16389" t="str">
        <f t="shared" si="256"/>
        <v/>
      </c>
    </row>
    <row r="16390" spans="26:26" x14ac:dyDescent="0.2">
      <c r="Z16390" t="str">
        <f t="shared" si="256"/>
        <v/>
      </c>
    </row>
    <row r="16391" spans="26:26" x14ac:dyDescent="0.2">
      <c r="Z16391" t="str">
        <f t="shared" si="256"/>
        <v/>
      </c>
    </row>
    <row r="16392" spans="26:26" x14ac:dyDescent="0.2">
      <c r="Z16392" t="str">
        <f t="shared" si="256"/>
        <v/>
      </c>
    </row>
    <row r="16393" spans="26:26" x14ac:dyDescent="0.2">
      <c r="Z16393" t="str">
        <f t="shared" si="256"/>
        <v/>
      </c>
    </row>
    <row r="16394" spans="26:26" x14ac:dyDescent="0.2">
      <c r="Z16394" t="str">
        <f t="shared" si="256"/>
        <v/>
      </c>
    </row>
    <row r="16395" spans="26:26" x14ac:dyDescent="0.2">
      <c r="Z16395" t="str">
        <f t="shared" si="256"/>
        <v/>
      </c>
    </row>
    <row r="16396" spans="26:26" x14ac:dyDescent="0.2">
      <c r="Z16396" t="str">
        <f t="shared" si="256"/>
        <v/>
      </c>
    </row>
    <row r="16397" spans="26:26" x14ac:dyDescent="0.2">
      <c r="Z16397" t="str">
        <f t="shared" si="256"/>
        <v/>
      </c>
    </row>
    <row r="16398" spans="26:26" x14ac:dyDescent="0.2">
      <c r="Z16398" t="str">
        <f t="shared" si="256"/>
        <v/>
      </c>
    </row>
    <row r="16399" spans="26:26" x14ac:dyDescent="0.2">
      <c r="Z16399" t="str">
        <f t="shared" si="256"/>
        <v/>
      </c>
    </row>
    <row r="16400" spans="26:26" x14ac:dyDescent="0.2">
      <c r="Z16400" t="str">
        <f t="shared" si="256"/>
        <v/>
      </c>
    </row>
    <row r="16401" spans="26:26" x14ac:dyDescent="0.2">
      <c r="Z16401" t="str">
        <f t="shared" si="256"/>
        <v/>
      </c>
    </row>
    <row r="16402" spans="26:26" x14ac:dyDescent="0.2">
      <c r="Z16402" t="str">
        <f t="shared" si="256"/>
        <v/>
      </c>
    </row>
    <row r="16403" spans="26:26" x14ac:dyDescent="0.2">
      <c r="Z16403" t="str">
        <f t="shared" si="256"/>
        <v/>
      </c>
    </row>
    <row r="16404" spans="26:26" x14ac:dyDescent="0.2">
      <c r="Z16404" t="str">
        <f t="shared" si="256"/>
        <v/>
      </c>
    </row>
    <row r="16405" spans="26:26" x14ac:dyDescent="0.2">
      <c r="Z16405" t="str">
        <f t="shared" si="256"/>
        <v/>
      </c>
    </row>
    <row r="16406" spans="26:26" x14ac:dyDescent="0.2">
      <c r="Z16406" t="str">
        <f t="shared" si="256"/>
        <v/>
      </c>
    </row>
    <row r="16407" spans="26:26" x14ac:dyDescent="0.2">
      <c r="Z16407" t="str">
        <f t="shared" si="256"/>
        <v/>
      </c>
    </row>
    <row r="16408" spans="26:26" x14ac:dyDescent="0.2">
      <c r="Z16408" t="str">
        <f t="shared" si="256"/>
        <v/>
      </c>
    </row>
    <row r="16409" spans="26:26" x14ac:dyDescent="0.2">
      <c r="Z16409" t="str">
        <f t="shared" si="256"/>
        <v/>
      </c>
    </row>
    <row r="16410" spans="26:26" x14ac:dyDescent="0.2">
      <c r="Z16410" t="str">
        <f t="shared" si="256"/>
        <v/>
      </c>
    </row>
    <row r="16411" spans="26:26" x14ac:dyDescent="0.2">
      <c r="Z16411" t="str">
        <f t="shared" si="256"/>
        <v/>
      </c>
    </row>
    <row r="16412" spans="26:26" x14ac:dyDescent="0.2">
      <c r="Z16412" t="str">
        <f t="shared" si="256"/>
        <v/>
      </c>
    </row>
    <row r="16413" spans="26:26" x14ac:dyDescent="0.2">
      <c r="Z16413" t="str">
        <f t="shared" si="256"/>
        <v/>
      </c>
    </row>
    <row r="16414" spans="26:26" x14ac:dyDescent="0.2">
      <c r="Z16414" t="str">
        <f t="shared" si="256"/>
        <v/>
      </c>
    </row>
    <row r="16415" spans="26:26" x14ac:dyDescent="0.2">
      <c r="Z16415" t="str">
        <f t="shared" si="256"/>
        <v/>
      </c>
    </row>
    <row r="16416" spans="26:26" x14ac:dyDescent="0.2">
      <c r="Z16416" t="str">
        <f t="shared" si="256"/>
        <v/>
      </c>
    </row>
    <row r="16417" spans="26:26" x14ac:dyDescent="0.2">
      <c r="Z16417" t="str">
        <f t="shared" si="256"/>
        <v/>
      </c>
    </row>
    <row r="16418" spans="26:26" x14ac:dyDescent="0.2">
      <c r="Z16418" t="str">
        <f t="shared" si="256"/>
        <v/>
      </c>
    </row>
    <row r="16419" spans="26:26" x14ac:dyDescent="0.2">
      <c r="Z16419" t="str">
        <f t="shared" si="256"/>
        <v/>
      </c>
    </row>
    <row r="16420" spans="26:26" x14ac:dyDescent="0.2">
      <c r="Z16420" t="str">
        <f t="shared" si="256"/>
        <v/>
      </c>
    </row>
    <row r="16421" spans="26:26" x14ac:dyDescent="0.2">
      <c r="Z16421" t="str">
        <f t="shared" si="256"/>
        <v/>
      </c>
    </row>
    <row r="16422" spans="26:26" x14ac:dyDescent="0.2">
      <c r="Z16422" t="str">
        <f t="shared" si="256"/>
        <v/>
      </c>
    </row>
    <row r="16423" spans="26:26" x14ac:dyDescent="0.2">
      <c r="Z16423" t="str">
        <f t="shared" si="256"/>
        <v/>
      </c>
    </row>
    <row r="16424" spans="26:26" x14ac:dyDescent="0.2">
      <c r="Z16424" t="str">
        <f t="shared" si="256"/>
        <v/>
      </c>
    </row>
    <row r="16425" spans="26:26" x14ac:dyDescent="0.2">
      <c r="Z16425" t="str">
        <f t="shared" si="256"/>
        <v/>
      </c>
    </row>
    <row r="16426" spans="26:26" x14ac:dyDescent="0.2">
      <c r="Z16426" t="str">
        <f t="shared" si="256"/>
        <v/>
      </c>
    </row>
    <row r="16427" spans="26:26" x14ac:dyDescent="0.2">
      <c r="Z16427" t="str">
        <f t="shared" si="256"/>
        <v/>
      </c>
    </row>
    <row r="16428" spans="26:26" x14ac:dyDescent="0.2">
      <c r="Z16428" t="str">
        <f t="shared" si="256"/>
        <v/>
      </c>
    </row>
    <row r="16429" spans="26:26" x14ac:dyDescent="0.2">
      <c r="Z16429" t="str">
        <f t="shared" si="256"/>
        <v/>
      </c>
    </row>
    <row r="16430" spans="26:26" x14ac:dyDescent="0.2">
      <c r="Z16430" t="str">
        <f t="shared" si="256"/>
        <v/>
      </c>
    </row>
    <row r="16431" spans="26:26" x14ac:dyDescent="0.2">
      <c r="Z16431" t="str">
        <f t="shared" si="256"/>
        <v/>
      </c>
    </row>
    <row r="16432" spans="26:26" x14ac:dyDescent="0.2">
      <c r="Z16432" t="str">
        <f t="shared" si="256"/>
        <v/>
      </c>
    </row>
    <row r="16433" spans="26:26" x14ac:dyDescent="0.2">
      <c r="Z16433" t="str">
        <f t="shared" si="256"/>
        <v/>
      </c>
    </row>
    <row r="16434" spans="26:26" x14ac:dyDescent="0.2">
      <c r="Z16434" t="str">
        <f t="shared" si="256"/>
        <v/>
      </c>
    </row>
    <row r="16435" spans="26:26" x14ac:dyDescent="0.2">
      <c r="Z16435" t="str">
        <f t="shared" si="256"/>
        <v/>
      </c>
    </row>
    <row r="16436" spans="26:26" x14ac:dyDescent="0.2">
      <c r="Z16436" t="str">
        <f t="shared" si="256"/>
        <v/>
      </c>
    </row>
    <row r="16437" spans="26:26" x14ac:dyDescent="0.2">
      <c r="Z16437" t="str">
        <f t="shared" si="256"/>
        <v/>
      </c>
    </row>
    <row r="16438" spans="26:26" x14ac:dyDescent="0.2">
      <c r="Z16438" t="str">
        <f t="shared" si="256"/>
        <v/>
      </c>
    </row>
    <row r="16439" spans="26:26" x14ac:dyDescent="0.2">
      <c r="Z16439" t="str">
        <f t="shared" si="256"/>
        <v/>
      </c>
    </row>
    <row r="16440" spans="26:26" x14ac:dyDescent="0.2">
      <c r="Z16440" t="str">
        <f t="shared" si="256"/>
        <v/>
      </c>
    </row>
    <row r="16441" spans="26:26" x14ac:dyDescent="0.2">
      <c r="Z16441" t="str">
        <f t="shared" si="256"/>
        <v/>
      </c>
    </row>
    <row r="16442" spans="26:26" x14ac:dyDescent="0.2">
      <c r="Z16442" t="str">
        <f t="shared" si="256"/>
        <v/>
      </c>
    </row>
    <row r="16443" spans="26:26" x14ac:dyDescent="0.2">
      <c r="Z16443" t="str">
        <f t="shared" si="256"/>
        <v/>
      </c>
    </row>
    <row r="16444" spans="26:26" x14ac:dyDescent="0.2">
      <c r="Z16444" t="str">
        <f t="shared" si="256"/>
        <v/>
      </c>
    </row>
    <row r="16445" spans="26:26" x14ac:dyDescent="0.2">
      <c r="Z16445" t="str">
        <f t="shared" si="256"/>
        <v/>
      </c>
    </row>
    <row r="16446" spans="26:26" x14ac:dyDescent="0.2">
      <c r="Z16446" t="str">
        <f t="shared" si="256"/>
        <v/>
      </c>
    </row>
    <row r="16447" spans="26:26" x14ac:dyDescent="0.2">
      <c r="Z16447" t="str">
        <f t="shared" si="256"/>
        <v/>
      </c>
    </row>
    <row r="16448" spans="26:26" x14ac:dyDescent="0.2">
      <c r="Z16448" t="str">
        <f t="shared" si="256"/>
        <v/>
      </c>
    </row>
    <row r="16449" spans="26:26" x14ac:dyDescent="0.2">
      <c r="Z16449" t="str">
        <f t="shared" si="256"/>
        <v/>
      </c>
    </row>
    <row r="16450" spans="26:26" x14ac:dyDescent="0.2">
      <c r="Z16450" t="str">
        <f t="shared" si="256"/>
        <v/>
      </c>
    </row>
    <row r="16451" spans="26:26" x14ac:dyDescent="0.2">
      <c r="Z16451" t="str">
        <f t="shared" ref="Z16451:Z16514" si="257">IF(K16451="","",IFERROR(VALUE(TRIM(MID(K16451,FIND(CHAR(167),SUBSTITUTE(K16451,"-",CHAR(167),LEN(K16451)-LEN(SUBSTITUTE(K16451,"-",""))))+1,100))),K16451))</f>
        <v/>
      </c>
    </row>
    <row r="16452" spans="26:26" x14ac:dyDescent="0.2">
      <c r="Z16452" t="str">
        <f t="shared" si="257"/>
        <v/>
      </c>
    </row>
    <row r="16453" spans="26:26" x14ac:dyDescent="0.2">
      <c r="Z16453" t="str">
        <f t="shared" si="257"/>
        <v/>
      </c>
    </row>
    <row r="16454" spans="26:26" x14ac:dyDescent="0.2">
      <c r="Z16454" t="str">
        <f t="shared" si="257"/>
        <v/>
      </c>
    </row>
    <row r="16455" spans="26:26" x14ac:dyDescent="0.2">
      <c r="Z16455" t="str">
        <f t="shared" si="257"/>
        <v/>
      </c>
    </row>
    <row r="16456" spans="26:26" x14ac:dyDescent="0.2">
      <c r="Z16456" t="str">
        <f t="shared" si="257"/>
        <v/>
      </c>
    </row>
    <row r="16457" spans="26:26" x14ac:dyDescent="0.2">
      <c r="Z16457" t="str">
        <f t="shared" si="257"/>
        <v/>
      </c>
    </row>
    <row r="16458" spans="26:26" x14ac:dyDescent="0.2">
      <c r="Z16458" t="str">
        <f t="shared" si="257"/>
        <v/>
      </c>
    </row>
    <row r="16459" spans="26:26" x14ac:dyDescent="0.2">
      <c r="Z16459" t="str">
        <f t="shared" si="257"/>
        <v/>
      </c>
    </row>
    <row r="16460" spans="26:26" x14ac:dyDescent="0.2">
      <c r="Z16460" t="str">
        <f t="shared" si="257"/>
        <v/>
      </c>
    </row>
    <row r="16461" spans="26:26" x14ac:dyDescent="0.2">
      <c r="Z16461" t="str">
        <f t="shared" si="257"/>
        <v/>
      </c>
    </row>
    <row r="16462" spans="26:26" x14ac:dyDescent="0.2">
      <c r="Z16462" t="str">
        <f t="shared" si="257"/>
        <v/>
      </c>
    </row>
    <row r="16463" spans="26:26" x14ac:dyDescent="0.2">
      <c r="Z16463" t="str">
        <f t="shared" si="257"/>
        <v/>
      </c>
    </row>
    <row r="16464" spans="26:26" x14ac:dyDescent="0.2">
      <c r="Z16464" t="str">
        <f t="shared" si="257"/>
        <v/>
      </c>
    </row>
    <row r="16465" spans="26:26" x14ac:dyDescent="0.2">
      <c r="Z16465" t="str">
        <f t="shared" si="257"/>
        <v/>
      </c>
    </row>
    <row r="16466" spans="26:26" x14ac:dyDescent="0.2">
      <c r="Z16466" t="str">
        <f t="shared" si="257"/>
        <v/>
      </c>
    </row>
    <row r="16467" spans="26:26" x14ac:dyDescent="0.2">
      <c r="Z16467" t="str">
        <f t="shared" si="257"/>
        <v/>
      </c>
    </row>
    <row r="16468" spans="26:26" x14ac:dyDescent="0.2">
      <c r="Z16468" t="str">
        <f t="shared" si="257"/>
        <v/>
      </c>
    </row>
    <row r="16469" spans="26:26" x14ac:dyDescent="0.2">
      <c r="Z16469" t="str">
        <f t="shared" si="257"/>
        <v/>
      </c>
    </row>
    <row r="16470" spans="26:26" x14ac:dyDescent="0.2">
      <c r="Z16470" t="str">
        <f t="shared" si="257"/>
        <v/>
      </c>
    </row>
    <row r="16471" spans="26:26" x14ac:dyDescent="0.2">
      <c r="Z16471" t="str">
        <f t="shared" si="257"/>
        <v/>
      </c>
    </row>
    <row r="16472" spans="26:26" x14ac:dyDescent="0.2">
      <c r="Z16472" t="str">
        <f t="shared" si="257"/>
        <v/>
      </c>
    </row>
    <row r="16473" spans="26:26" x14ac:dyDescent="0.2">
      <c r="Z16473" t="str">
        <f t="shared" si="257"/>
        <v/>
      </c>
    </row>
    <row r="16474" spans="26:26" x14ac:dyDescent="0.2">
      <c r="Z16474" t="str">
        <f t="shared" si="257"/>
        <v/>
      </c>
    </row>
    <row r="16475" spans="26:26" x14ac:dyDescent="0.2">
      <c r="Z16475" t="str">
        <f t="shared" si="257"/>
        <v/>
      </c>
    </row>
    <row r="16476" spans="26:26" x14ac:dyDescent="0.2">
      <c r="Z16476" t="str">
        <f t="shared" si="257"/>
        <v/>
      </c>
    </row>
    <row r="16477" spans="26:26" x14ac:dyDescent="0.2">
      <c r="Z16477" t="str">
        <f t="shared" si="257"/>
        <v/>
      </c>
    </row>
    <row r="16478" spans="26:26" x14ac:dyDescent="0.2">
      <c r="Z16478" t="str">
        <f t="shared" si="257"/>
        <v/>
      </c>
    </row>
    <row r="16479" spans="26:26" x14ac:dyDescent="0.2">
      <c r="Z16479" t="str">
        <f t="shared" si="257"/>
        <v/>
      </c>
    </row>
    <row r="16480" spans="26:26" x14ac:dyDescent="0.2">
      <c r="Z16480" t="str">
        <f t="shared" si="257"/>
        <v/>
      </c>
    </row>
    <row r="16481" spans="26:26" x14ac:dyDescent="0.2">
      <c r="Z16481" t="str">
        <f t="shared" si="257"/>
        <v/>
      </c>
    </row>
    <row r="16482" spans="26:26" x14ac:dyDescent="0.2">
      <c r="Z16482" t="str">
        <f t="shared" si="257"/>
        <v/>
      </c>
    </row>
    <row r="16483" spans="26:26" x14ac:dyDescent="0.2">
      <c r="Z16483" t="str">
        <f t="shared" si="257"/>
        <v/>
      </c>
    </row>
    <row r="16484" spans="26:26" x14ac:dyDescent="0.2">
      <c r="Z16484" t="str">
        <f t="shared" si="257"/>
        <v/>
      </c>
    </row>
    <row r="16485" spans="26:26" x14ac:dyDescent="0.2">
      <c r="Z16485" t="str">
        <f t="shared" si="257"/>
        <v/>
      </c>
    </row>
    <row r="16486" spans="26:26" x14ac:dyDescent="0.2">
      <c r="Z16486" t="str">
        <f t="shared" si="257"/>
        <v/>
      </c>
    </row>
    <row r="16487" spans="26:26" x14ac:dyDescent="0.2">
      <c r="Z16487" t="str">
        <f t="shared" si="257"/>
        <v/>
      </c>
    </row>
    <row r="16488" spans="26:26" x14ac:dyDescent="0.2">
      <c r="Z16488" t="str">
        <f t="shared" si="257"/>
        <v/>
      </c>
    </row>
    <row r="16489" spans="26:26" x14ac:dyDescent="0.2">
      <c r="Z16489" t="str">
        <f t="shared" si="257"/>
        <v/>
      </c>
    </row>
    <row r="16490" spans="26:26" x14ac:dyDescent="0.2">
      <c r="Z16490" t="str">
        <f t="shared" si="257"/>
        <v/>
      </c>
    </row>
    <row r="16491" spans="26:26" x14ac:dyDescent="0.2">
      <c r="Z16491" t="str">
        <f t="shared" si="257"/>
        <v/>
      </c>
    </row>
    <row r="16492" spans="26:26" x14ac:dyDescent="0.2">
      <c r="Z16492" t="str">
        <f t="shared" si="257"/>
        <v/>
      </c>
    </row>
    <row r="16493" spans="26:26" x14ac:dyDescent="0.2">
      <c r="Z16493" t="str">
        <f t="shared" si="257"/>
        <v/>
      </c>
    </row>
    <row r="16494" spans="26:26" x14ac:dyDescent="0.2">
      <c r="Z16494" t="str">
        <f t="shared" si="257"/>
        <v/>
      </c>
    </row>
    <row r="16495" spans="26:26" x14ac:dyDescent="0.2">
      <c r="Z16495" t="str">
        <f t="shared" si="257"/>
        <v/>
      </c>
    </row>
    <row r="16496" spans="26:26" x14ac:dyDescent="0.2">
      <c r="Z16496" t="str">
        <f t="shared" si="257"/>
        <v/>
      </c>
    </row>
    <row r="16497" spans="26:26" x14ac:dyDescent="0.2">
      <c r="Z16497" t="str">
        <f t="shared" si="257"/>
        <v/>
      </c>
    </row>
    <row r="16498" spans="26:26" x14ac:dyDescent="0.2">
      <c r="Z16498" t="str">
        <f t="shared" si="257"/>
        <v/>
      </c>
    </row>
    <row r="16499" spans="26:26" x14ac:dyDescent="0.2">
      <c r="Z16499" t="str">
        <f t="shared" si="257"/>
        <v/>
      </c>
    </row>
    <row r="16500" spans="26:26" x14ac:dyDescent="0.2">
      <c r="Z16500" t="str">
        <f t="shared" si="257"/>
        <v/>
      </c>
    </row>
    <row r="16501" spans="26:26" x14ac:dyDescent="0.2">
      <c r="Z16501" t="str">
        <f t="shared" si="257"/>
        <v/>
      </c>
    </row>
    <row r="16502" spans="26:26" x14ac:dyDescent="0.2">
      <c r="Z16502" t="str">
        <f t="shared" si="257"/>
        <v/>
      </c>
    </row>
    <row r="16503" spans="26:26" x14ac:dyDescent="0.2">
      <c r="Z16503" t="str">
        <f t="shared" si="257"/>
        <v/>
      </c>
    </row>
    <row r="16504" spans="26:26" x14ac:dyDescent="0.2">
      <c r="Z16504" t="str">
        <f t="shared" si="257"/>
        <v/>
      </c>
    </row>
    <row r="16505" spans="26:26" x14ac:dyDescent="0.2">
      <c r="Z16505" t="str">
        <f t="shared" si="257"/>
        <v/>
      </c>
    </row>
    <row r="16506" spans="26:26" x14ac:dyDescent="0.2">
      <c r="Z16506" t="str">
        <f t="shared" si="257"/>
        <v/>
      </c>
    </row>
    <row r="16507" spans="26:26" x14ac:dyDescent="0.2">
      <c r="Z16507" t="str">
        <f t="shared" si="257"/>
        <v/>
      </c>
    </row>
    <row r="16508" spans="26:26" x14ac:dyDescent="0.2">
      <c r="Z16508" t="str">
        <f t="shared" si="257"/>
        <v/>
      </c>
    </row>
    <row r="16509" spans="26:26" x14ac:dyDescent="0.2">
      <c r="Z16509" t="str">
        <f t="shared" si="257"/>
        <v/>
      </c>
    </row>
    <row r="16510" spans="26:26" x14ac:dyDescent="0.2">
      <c r="Z16510" t="str">
        <f t="shared" si="257"/>
        <v/>
      </c>
    </row>
    <row r="16511" spans="26:26" x14ac:dyDescent="0.2">
      <c r="Z16511" t="str">
        <f t="shared" si="257"/>
        <v/>
      </c>
    </row>
    <row r="16512" spans="26:26" x14ac:dyDescent="0.2">
      <c r="Z16512" t="str">
        <f t="shared" si="257"/>
        <v/>
      </c>
    </row>
    <row r="16513" spans="26:26" x14ac:dyDescent="0.2">
      <c r="Z16513" t="str">
        <f t="shared" si="257"/>
        <v/>
      </c>
    </row>
    <row r="16514" spans="26:26" x14ac:dyDescent="0.2">
      <c r="Z16514" t="str">
        <f t="shared" si="257"/>
        <v/>
      </c>
    </row>
    <row r="16515" spans="26:26" x14ac:dyDescent="0.2">
      <c r="Z16515" t="str">
        <f t="shared" ref="Z16515:Z16578" si="258">IF(K16515="","",IFERROR(VALUE(TRIM(MID(K16515,FIND(CHAR(167),SUBSTITUTE(K16515,"-",CHAR(167),LEN(K16515)-LEN(SUBSTITUTE(K16515,"-",""))))+1,100))),K16515))</f>
        <v/>
      </c>
    </row>
    <row r="16516" spans="26:26" x14ac:dyDescent="0.2">
      <c r="Z16516" t="str">
        <f t="shared" si="258"/>
        <v/>
      </c>
    </row>
    <row r="16517" spans="26:26" x14ac:dyDescent="0.2">
      <c r="Z16517" t="str">
        <f t="shared" si="258"/>
        <v/>
      </c>
    </row>
    <row r="16518" spans="26:26" x14ac:dyDescent="0.2">
      <c r="Z16518" t="str">
        <f t="shared" si="258"/>
        <v/>
      </c>
    </row>
    <row r="16519" spans="26:26" x14ac:dyDescent="0.2">
      <c r="Z16519" t="str">
        <f t="shared" si="258"/>
        <v/>
      </c>
    </row>
    <row r="16520" spans="26:26" x14ac:dyDescent="0.2">
      <c r="Z16520" t="str">
        <f t="shared" si="258"/>
        <v/>
      </c>
    </row>
    <row r="16521" spans="26:26" x14ac:dyDescent="0.2">
      <c r="Z16521" t="str">
        <f t="shared" si="258"/>
        <v/>
      </c>
    </row>
    <row r="16522" spans="26:26" x14ac:dyDescent="0.2">
      <c r="Z16522" t="str">
        <f t="shared" si="258"/>
        <v/>
      </c>
    </row>
    <row r="16523" spans="26:26" x14ac:dyDescent="0.2">
      <c r="Z16523" t="str">
        <f t="shared" si="258"/>
        <v/>
      </c>
    </row>
    <row r="16524" spans="26:26" x14ac:dyDescent="0.2">
      <c r="Z16524" t="str">
        <f t="shared" si="258"/>
        <v/>
      </c>
    </row>
    <row r="16525" spans="26:26" x14ac:dyDescent="0.2">
      <c r="Z16525" t="str">
        <f t="shared" si="258"/>
        <v/>
      </c>
    </row>
    <row r="16526" spans="26:26" x14ac:dyDescent="0.2">
      <c r="Z16526" t="str">
        <f t="shared" si="258"/>
        <v/>
      </c>
    </row>
    <row r="16527" spans="26:26" x14ac:dyDescent="0.2">
      <c r="Z16527" t="str">
        <f t="shared" si="258"/>
        <v/>
      </c>
    </row>
    <row r="16528" spans="26:26" x14ac:dyDescent="0.2">
      <c r="Z16528" t="str">
        <f t="shared" si="258"/>
        <v/>
      </c>
    </row>
    <row r="16529" spans="26:26" x14ac:dyDescent="0.2">
      <c r="Z16529" t="str">
        <f t="shared" si="258"/>
        <v/>
      </c>
    </row>
    <row r="16530" spans="26:26" x14ac:dyDescent="0.2">
      <c r="Z16530" t="str">
        <f t="shared" si="258"/>
        <v/>
      </c>
    </row>
    <row r="16531" spans="26:26" x14ac:dyDescent="0.2">
      <c r="Z16531" t="str">
        <f t="shared" si="258"/>
        <v/>
      </c>
    </row>
    <row r="16532" spans="26:26" x14ac:dyDescent="0.2">
      <c r="Z16532" t="str">
        <f t="shared" si="258"/>
        <v/>
      </c>
    </row>
    <row r="16533" spans="26:26" x14ac:dyDescent="0.2">
      <c r="Z16533" t="str">
        <f t="shared" si="258"/>
        <v/>
      </c>
    </row>
    <row r="16534" spans="26:26" x14ac:dyDescent="0.2">
      <c r="Z16534" t="str">
        <f t="shared" si="258"/>
        <v/>
      </c>
    </row>
    <row r="16535" spans="26:26" x14ac:dyDescent="0.2">
      <c r="Z16535" t="str">
        <f t="shared" si="258"/>
        <v/>
      </c>
    </row>
    <row r="16536" spans="26:26" x14ac:dyDescent="0.2">
      <c r="Z16536" t="str">
        <f t="shared" si="258"/>
        <v/>
      </c>
    </row>
    <row r="16537" spans="26:26" x14ac:dyDescent="0.2">
      <c r="Z16537" t="str">
        <f t="shared" si="258"/>
        <v/>
      </c>
    </row>
    <row r="16538" spans="26:26" x14ac:dyDescent="0.2">
      <c r="Z16538" t="str">
        <f t="shared" si="258"/>
        <v/>
      </c>
    </row>
    <row r="16539" spans="26:26" x14ac:dyDescent="0.2">
      <c r="Z16539" t="str">
        <f t="shared" si="258"/>
        <v/>
      </c>
    </row>
    <row r="16540" spans="26:26" x14ac:dyDescent="0.2">
      <c r="Z16540" t="str">
        <f t="shared" si="258"/>
        <v/>
      </c>
    </row>
    <row r="16541" spans="26:26" x14ac:dyDescent="0.2">
      <c r="Z16541" t="str">
        <f t="shared" si="258"/>
        <v/>
      </c>
    </row>
    <row r="16542" spans="26:26" x14ac:dyDescent="0.2">
      <c r="Z16542" t="str">
        <f t="shared" si="258"/>
        <v/>
      </c>
    </row>
    <row r="16543" spans="26:26" x14ac:dyDescent="0.2">
      <c r="Z16543" t="str">
        <f t="shared" si="258"/>
        <v/>
      </c>
    </row>
    <row r="16544" spans="26:26" x14ac:dyDescent="0.2">
      <c r="Z16544" t="str">
        <f t="shared" si="258"/>
        <v/>
      </c>
    </row>
    <row r="16545" spans="26:26" x14ac:dyDescent="0.2">
      <c r="Z16545" t="str">
        <f t="shared" si="258"/>
        <v/>
      </c>
    </row>
    <row r="16546" spans="26:26" x14ac:dyDescent="0.2">
      <c r="Z16546" t="str">
        <f t="shared" si="258"/>
        <v/>
      </c>
    </row>
    <row r="16547" spans="26:26" x14ac:dyDescent="0.2">
      <c r="Z16547" t="str">
        <f t="shared" si="258"/>
        <v/>
      </c>
    </row>
    <row r="16548" spans="26:26" x14ac:dyDescent="0.2">
      <c r="Z16548" t="str">
        <f t="shared" si="258"/>
        <v/>
      </c>
    </row>
    <row r="16549" spans="26:26" x14ac:dyDescent="0.2">
      <c r="Z16549" t="str">
        <f t="shared" si="258"/>
        <v/>
      </c>
    </row>
    <row r="16550" spans="26:26" x14ac:dyDescent="0.2">
      <c r="Z16550" t="str">
        <f t="shared" si="258"/>
        <v/>
      </c>
    </row>
    <row r="16551" spans="26:26" x14ac:dyDescent="0.2">
      <c r="Z16551" t="str">
        <f t="shared" si="258"/>
        <v/>
      </c>
    </row>
    <row r="16552" spans="26:26" x14ac:dyDescent="0.2">
      <c r="Z16552" t="str">
        <f t="shared" si="258"/>
        <v/>
      </c>
    </row>
    <row r="16553" spans="26:26" x14ac:dyDescent="0.2">
      <c r="Z16553" t="str">
        <f t="shared" si="258"/>
        <v/>
      </c>
    </row>
    <row r="16554" spans="26:26" x14ac:dyDescent="0.2">
      <c r="Z16554" t="str">
        <f t="shared" si="258"/>
        <v/>
      </c>
    </row>
    <row r="16555" spans="26:26" x14ac:dyDescent="0.2">
      <c r="Z16555" t="str">
        <f t="shared" si="258"/>
        <v/>
      </c>
    </row>
    <row r="16556" spans="26:26" x14ac:dyDescent="0.2">
      <c r="Z16556" t="str">
        <f t="shared" si="258"/>
        <v/>
      </c>
    </row>
    <row r="16557" spans="26:26" x14ac:dyDescent="0.2">
      <c r="Z16557" t="str">
        <f t="shared" si="258"/>
        <v/>
      </c>
    </row>
    <row r="16558" spans="26:26" x14ac:dyDescent="0.2">
      <c r="Z16558" t="str">
        <f t="shared" si="258"/>
        <v/>
      </c>
    </row>
    <row r="16559" spans="26:26" x14ac:dyDescent="0.2">
      <c r="Z16559" t="str">
        <f t="shared" si="258"/>
        <v/>
      </c>
    </row>
    <row r="16560" spans="26:26" x14ac:dyDescent="0.2">
      <c r="Z16560" t="str">
        <f t="shared" si="258"/>
        <v/>
      </c>
    </row>
    <row r="16561" spans="26:26" x14ac:dyDescent="0.2">
      <c r="Z16561" t="str">
        <f t="shared" si="258"/>
        <v/>
      </c>
    </row>
    <row r="16562" spans="26:26" x14ac:dyDescent="0.2">
      <c r="Z16562" t="str">
        <f t="shared" si="258"/>
        <v/>
      </c>
    </row>
    <row r="16563" spans="26:26" x14ac:dyDescent="0.2">
      <c r="Z16563" t="str">
        <f t="shared" si="258"/>
        <v/>
      </c>
    </row>
    <row r="16564" spans="26:26" x14ac:dyDescent="0.2">
      <c r="Z16564" t="str">
        <f t="shared" si="258"/>
        <v/>
      </c>
    </row>
    <row r="16565" spans="26:26" x14ac:dyDescent="0.2">
      <c r="Z16565" t="str">
        <f t="shared" si="258"/>
        <v/>
      </c>
    </row>
    <row r="16566" spans="26:26" x14ac:dyDescent="0.2">
      <c r="Z16566" t="str">
        <f t="shared" si="258"/>
        <v/>
      </c>
    </row>
    <row r="16567" spans="26:26" x14ac:dyDescent="0.2">
      <c r="Z16567" t="str">
        <f t="shared" si="258"/>
        <v/>
      </c>
    </row>
    <row r="16568" spans="26:26" x14ac:dyDescent="0.2">
      <c r="Z16568" t="str">
        <f t="shared" si="258"/>
        <v/>
      </c>
    </row>
    <row r="16569" spans="26:26" x14ac:dyDescent="0.2">
      <c r="Z16569" t="str">
        <f t="shared" si="258"/>
        <v/>
      </c>
    </row>
    <row r="16570" spans="26:26" x14ac:dyDescent="0.2">
      <c r="Z16570" t="str">
        <f t="shared" si="258"/>
        <v/>
      </c>
    </row>
    <row r="16571" spans="26:26" x14ac:dyDescent="0.2">
      <c r="Z16571" t="str">
        <f t="shared" si="258"/>
        <v/>
      </c>
    </row>
    <row r="16572" spans="26:26" x14ac:dyDescent="0.2">
      <c r="Z16572" t="str">
        <f t="shared" si="258"/>
        <v/>
      </c>
    </row>
    <row r="16573" spans="26:26" x14ac:dyDescent="0.2">
      <c r="Z16573" t="str">
        <f t="shared" si="258"/>
        <v/>
      </c>
    </row>
    <row r="16574" spans="26:26" x14ac:dyDescent="0.2">
      <c r="Z16574" t="str">
        <f t="shared" si="258"/>
        <v/>
      </c>
    </row>
    <row r="16575" spans="26:26" x14ac:dyDescent="0.2">
      <c r="Z16575" t="str">
        <f t="shared" si="258"/>
        <v/>
      </c>
    </row>
    <row r="16576" spans="26:26" x14ac:dyDescent="0.2">
      <c r="Z16576" t="str">
        <f t="shared" si="258"/>
        <v/>
      </c>
    </row>
    <row r="16577" spans="26:26" x14ac:dyDescent="0.2">
      <c r="Z16577" t="str">
        <f t="shared" si="258"/>
        <v/>
      </c>
    </row>
    <row r="16578" spans="26:26" x14ac:dyDescent="0.2">
      <c r="Z16578" t="str">
        <f t="shared" si="258"/>
        <v/>
      </c>
    </row>
    <row r="16579" spans="26:26" x14ac:dyDescent="0.2">
      <c r="Z16579" t="str">
        <f t="shared" ref="Z16579:Z16642" si="259">IF(K16579="","",IFERROR(VALUE(TRIM(MID(K16579,FIND(CHAR(167),SUBSTITUTE(K16579,"-",CHAR(167),LEN(K16579)-LEN(SUBSTITUTE(K16579,"-",""))))+1,100))),K16579))</f>
        <v/>
      </c>
    </row>
    <row r="16580" spans="26:26" x14ac:dyDescent="0.2">
      <c r="Z16580" t="str">
        <f t="shared" si="259"/>
        <v/>
      </c>
    </row>
    <row r="16581" spans="26:26" x14ac:dyDescent="0.2">
      <c r="Z16581" t="str">
        <f t="shared" si="259"/>
        <v/>
      </c>
    </row>
    <row r="16582" spans="26:26" x14ac:dyDescent="0.2">
      <c r="Z16582" t="str">
        <f t="shared" si="259"/>
        <v/>
      </c>
    </row>
    <row r="16583" spans="26:26" x14ac:dyDescent="0.2">
      <c r="Z16583" t="str">
        <f t="shared" si="259"/>
        <v/>
      </c>
    </row>
    <row r="16584" spans="26:26" x14ac:dyDescent="0.2">
      <c r="Z16584" t="str">
        <f t="shared" si="259"/>
        <v/>
      </c>
    </row>
    <row r="16585" spans="26:26" x14ac:dyDescent="0.2">
      <c r="Z16585" t="str">
        <f t="shared" si="259"/>
        <v/>
      </c>
    </row>
    <row r="16586" spans="26:26" x14ac:dyDescent="0.2">
      <c r="Z16586" t="str">
        <f t="shared" si="259"/>
        <v/>
      </c>
    </row>
    <row r="16587" spans="26:26" x14ac:dyDescent="0.2">
      <c r="Z16587" t="str">
        <f t="shared" si="259"/>
        <v/>
      </c>
    </row>
    <row r="16588" spans="26:26" x14ac:dyDescent="0.2">
      <c r="Z16588" t="str">
        <f t="shared" si="259"/>
        <v/>
      </c>
    </row>
    <row r="16589" spans="26:26" x14ac:dyDescent="0.2">
      <c r="Z16589" t="str">
        <f t="shared" si="259"/>
        <v/>
      </c>
    </row>
    <row r="16590" spans="26:26" x14ac:dyDescent="0.2">
      <c r="Z16590" t="str">
        <f t="shared" si="259"/>
        <v/>
      </c>
    </row>
    <row r="16591" spans="26:26" x14ac:dyDescent="0.2">
      <c r="Z16591" t="str">
        <f t="shared" si="259"/>
        <v/>
      </c>
    </row>
    <row r="16592" spans="26:26" x14ac:dyDescent="0.2">
      <c r="Z16592" t="str">
        <f t="shared" si="259"/>
        <v/>
      </c>
    </row>
    <row r="16593" spans="26:26" x14ac:dyDescent="0.2">
      <c r="Z16593" t="str">
        <f t="shared" si="259"/>
        <v/>
      </c>
    </row>
    <row r="16594" spans="26:26" x14ac:dyDescent="0.2">
      <c r="Z16594" t="str">
        <f t="shared" si="259"/>
        <v/>
      </c>
    </row>
    <row r="16595" spans="26:26" x14ac:dyDescent="0.2">
      <c r="Z16595" t="str">
        <f t="shared" si="259"/>
        <v/>
      </c>
    </row>
    <row r="16596" spans="26:26" x14ac:dyDescent="0.2">
      <c r="Z16596" t="str">
        <f t="shared" si="259"/>
        <v/>
      </c>
    </row>
    <row r="16597" spans="26:26" x14ac:dyDescent="0.2">
      <c r="Z16597" t="str">
        <f t="shared" si="259"/>
        <v/>
      </c>
    </row>
    <row r="16598" spans="26:26" x14ac:dyDescent="0.2">
      <c r="Z16598" t="str">
        <f t="shared" si="259"/>
        <v/>
      </c>
    </row>
    <row r="16599" spans="26:26" x14ac:dyDescent="0.2">
      <c r="Z16599" t="str">
        <f t="shared" si="259"/>
        <v/>
      </c>
    </row>
    <row r="16600" spans="26:26" x14ac:dyDescent="0.2">
      <c r="Z16600" t="str">
        <f t="shared" si="259"/>
        <v/>
      </c>
    </row>
    <row r="16601" spans="26:26" x14ac:dyDescent="0.2">
      <c r="Z16601" t="str">
        <f t="shared" si="259"/>
        <v/>
      </c>
    </row>
    <row r="16602" spans="26:26" x14ac:dyDescent="0.2">
      <c r="Z16602" t="str">
        <f t="shared" si="259"/>
        <v/>
      </c>
    </row>
    <row r="16603" spans="26:26" x14ac:dyDescent="0.2">
      <c r="Z16603" t="str">
        <f t="shared" si="259"/>
        <v/>
      </c>
    </row>
    <row r="16604" spans="26:26" x14ac:dyDescent="0.2">
      <c r="Z16604" t="str">
        <f t="shared" si="259"/>
        <v/>
      </c>
    </row>
    <row r="16605" spans="26:26" x14ac:dyDescent="0.2">
      <c r="Z16605" t="str">
        <f t="shared" si="259"/>
        <v/>
      </c>
    </row>
    <row r="16606" spans="26:26" x14ac:dyDescent="0.2">
      <c r="Z16606" t="str">
        <f t="shared" si="259"/>
        <v/>
      </c>
    </row>
    <row r="16607" spans="26:26" x14ac:dyDescent="0.2">
      <c r="Z16607" t="str">
        <f t="shared" si="259"/>
        <v/>
      </c>
    </row>
    <row r="16608" spans="26:26" x14ac:dyDescent="0.2">
      <c r="Z16608" t="str">
        <f t="shared" si="259"/>
        <v/>
      </c>
    </row>
    <row r="16609" spans="26:26" x14ac:dyDescent="0.2">
      <c r="Z16609" t="str">
        <f t="shared" si="259"/>
        <v/>
      </c>
    </row>
    <row r="16610" spans="26:26" x14ac:dyDescent="0.2">
      <c r="Z16610" t="str">
        <f t="shared" si="259"/>
        <v/>
      </c>
    </row>
    <row r="16611" spans="26:26" x14ac:dyDescent="0.2">
      <c r="Z16611" t="str">
        <f t="shared" si="259"/>
        <v/>
      </c>
    </row>
    <row r="16612" spans="26:26" x14ac:dyDescent="0.2">
      <c r="Z16612" t="str">
        <f t="shared" si="259"/>
        <v/>
      </c>
    </row>
    <row r="16613" spans="26:26" x14ac:dyDescent="0.2">
      <c r="Z16613" t="str">
        <f t="shared" si="259"/>
        <v/>
      </c>
    </row>
    <row r="16614" spans="26:26" x14ac:dyDescent="0.2">
      <c r="Z16614" t="str">
        <f t="shared" si="259"/>
        <v/>
      </c>
    </row>
    <row r="16615" spans="26:26" x14ac:dyDescent="0.2">
      <c r="Z16615" t="str">
        <f t="shared" si="259"/>
        <v/>
      </c>
    </row>
    <row r="16616" spans="26:26" x14ac:dyDescent="0.2">
      <c r="Z16616" t="str">
        <f t="shared" si="259"/>
        <v/>
      </c>
    </row>
    <row r="16617" spans="26:26" x14ac:dyDescent="0.2">
      <c r="Z16617" t="str">
        <f t="shared" si="259"/>
        <v/>
      </c>
    </row>
    <row r="16618" spans="26:26" x14ac:dyDescent="0.2">
      <c r="Z16618" t="str">
        <f t="shared" si="259"/>
        <v/>
      </c>
    </row>
    <row r="16619" spans="26:26" x14ac:dyDescent="0.2">
      <c r="Z16619" t="str">
        <f t="shared" si="259"/>
        <v/>
      </c>
    </row>
    <row r="16620" spans="26:26" x14ac:dyDescent="0.2">
      <c r="Z16620" t="str">
        <f t="shared" si="259"/>
        <v/>
      </c>
    </row>
    <row r="16621" spans="26:26" x14ac:dyDescent="0.2">
      <c r="Z16621" t="str">
        <f t="shared" si="259"/>
        <v/>
      </c>
    </row>
    <row r="16622" spans="26:26" x14ac:dyDescent="0.2">
      <c r="Z16622" t="str">
        <f t="shared" si="259"/>
        <v/>
      </c>
    </row>
    <row r="16623" spans="26:26" x14ac:dyDescent="0.2">
      <c r="Z16623" t="str">
        <f t="shared" si="259"/>
        <v/>
      </c>
    </row>
    <row r="16624" spans="26:26" x14ac:dyDescent="0.2">
      <c r="Z16624" t="str">
        <f t="shared" si="259"/>
        <v/>
      </c>
    </row>
    <row r="16625" spans="26:26" x14ac:dyDescent="0.2">
      <c r="Z16625" t="str">
        <f t="shared" si="259"/>
        <v/>
      </c>
    </row>
    <row r="16626" spans="26:26" x14ac:dyDescent="0.2">
      <c r="Z16626" t="str">
        <f t="shared" si="259"/>
        <v/>
      </c>
    </row>
    <row r="16627" spans="26:26" x14ac:dyDescent="0.2">
      <c r="Z16627" t="str">
        <f t="shared" si="259"/>
        <v/>
      </c>
    </row>
    <row r="16628" spans="26:26" x14ac:dyDescent="0.2">
      <c r="Z16628" t="str">
        <f t="shared" si="259"/>
        <v/>
      </c>
    </row>
    <row r="16629" spans="26:26" x14ac:dyDescent="0.2">
      <c r="Z16629" t="str">
        <f t="shared" si="259"/>
        <v/>
      </c>
    </row>
    <row r="16630" spans="26:26" x14ac:dyDescent="0.2">
      <c r="Z16630" t="str">
        <f t="shared" si="259"/>
        <v/>
      </c>
    </row>
    <row r="16631" spans="26:26" x14ac:dyDescent="0.2">
      <c r="Z16631" t="str">
        <f t="shared" si="259"/>
        <v/>
      </c>
    </row>
    <row r="16632" spans="26:26" x14ac:dyDescent="0.2">
      <c r="Z16632" t="str">
        <f t="shared" si="259"/>
        <v/>
      </c>
    </row>
    <row r="16633" spans="26:26" x14ac:dyDescent="0.2">
      <c r="Z16633" t="str">
        <f t="shared" si="259"/>
        <v/>
      </c>
    </row>
    <row r="16634" spans="26:26" x14ac:dyDescent="0.2">
      <c r="Z16634" t="str">
        <f t="shared" si="259"/>
        <v/>
      </c>
    </row>
    <row r="16635" spans="26:26" x14ac:dyDescent="0.2">
      <c r="Z16635" t="str">
        <f t="shared" si="259"/>
        <v/>
      </c>
    </row>
    <row r="16636" spans="26:26" x14ac:dyDescent="0.2">
      <c r="Z16636" t="str">
        <f t="shared" si="259"/>
        <v/>
      </c>
    </row>
    <row r="16637" spans="26:26" x14ac:dyDescent="0.2">
      <c r="Z16637" t="str">
        <f t="shared" si="259"/>
        <v/>
      </c>
    </row>
    <row r="16638" spans="26:26" x14ac:dyDescent="0.2">
      <c r="Z16638" t="str">
        <f t="shared" si="259"/>
        <v/>
      </c>
    </row>
    <row r="16639" spans="26:26" x14ac:dyDescent="0.2">
      <c r="Z16639" t="str">
        <f t="shared" si="259"/>
        <v/>
      </c>
    </row>
    <row r="16640" spans="26:26" x14ac:dyDescent="0.2">
      <c r="Z16640" t="str">
        <f t="shared" si="259"/>
        <v/>
      </c>
    </row>
    <row r="16641" spans="26:26" x14ac:dyDescent="0.2">
      <c r="Z16641" t="str">
        <f t="shared" si="259"/>
        <v/>
      </c>
    </row>
    <row r="16642" spans="26:26" x14ac:dyDescent="0.2">
      <c r="Z16642" t="str">
        <f t="shared" si="259"/>
        <v/>
      </c>
    </row>
    <row r="16643" spans="26:26" x14ac:dyDescent="0.2">
      <c r="Z16643" t="str">
        <f t="shared" ref="Z16643:Z16706" si="260">IF(K16643="","",IFERROR(VALUE(TRIM(MID(K16643,FIND(CHAR(167),SUBSTITUTE(K16643,"-",CHAR(167),LEN(K16643)-LEN(SUBSTITUTE(K16643,"-",""))))+1,100))),K16643))</f>
        <v/>
      </c>
    </row>
    <row r="16644" spans="26:26" x14ac:dyDescent="0.2">
      <c r="Z16644" t="str">
        <f t="shared" si="260"/>
        <v/>
      </c>
    </row>
    <row r="16645" spans="26:26" x14ac:dyDescent="0.2">
      <c r="Z16645" t="str">
        <f t="shared" si="260"/>
        <v/>
      </c>
    </row>
    <row r="16646" spans="26:26" x14ac:dyDescent="0.2">
      <c r="Z16646" t="str">
        <f t="shared" si="260"/>
        <v/>
      </c>
    </row>
    <row r="16647" spans="26:26" x14ac:dyDescent="0.2">
      <c r="Z16647" t="str">
        <f t="shared" si="260"/>
        <v/>
      </c>
    </row>
    <row r="16648" spans="26:26" x14ac:dyDescent="0.2">
      <c r="Z16648" t="str">
        <f t="shared" si="260"/>
        <v/>
      </c>
    </row>
    <row r="16649" spans="26:26" x14ac:dyDescent="0.2">
      <c r="Z16649" t="str">
        <f t="shared" si="260"/>
        <v/>
      </c>
    </row>
    <row r="16650" spans="26:26" x14ac:dyDescent="0.2">
      <c r="Z16650" t="str">
        <f t="shared" si="260"/>
        <v/>
      </c>
    </row>
    <row r="16651" spans="26:26" x14ac:dyDescent="0.2">
      <c r="Z16651" t="str">
        <f t="shared" si="260"/>
        <v/>
      </c>
    </row>
    <row r="16652" spans="26:26" x14ac:dyDescent="0.2">
      <c r="Z16652" t="str">
        <f t="shared" si="260"/>
        <v/>
      </c>
    </row>
    <row r="16653" spans="26:26" x14ac:dyDescent="0.2">
      <c r="Z16653" t="str">
        <f t="shared" si="260"/>
        <v/>
      </c>
    </row>
    <row r="16654" spans="26:26" x14ac:dyDescent="0.2">
      <c r="Z16654" t="str">
        <f t="shared" si="260"/>
        <v/>
      </c>
    </row>
    <row r="16655" spans="26:26" x14ac:dyDescent="0.2">
      <c r="Z16655" t="str">
        <f t="shared" si="260"/>
        <v/>
      </c>
    </row>
    <row r="16656" spans="26:26" x14ac:dyDescent="0.2">
      <c r="Z16656" t="str">
        <f t="shared" si="260"/>
        <v/>
      </c>
    </row>
    <row r="16657" spans="26:26" x14ac:dyDescent="0.2">
      <c r="Z16657" t="str">
        <f t="shared" si="260"/>
        <v/>
      </c>
    </row>
    <row r="16658" spans="26:26" x14ac:dyDescent="0.2">
      <c r="Z16658" t="str">
        <f t="shared" si="260"/>
        <v/>
      </c>
    </row>
    <row r="16659" spans="26:26" x14ac:dyDescent="0.2">
      <c r="Z16659" t="str">
        <f t="shared" si="260"/>
        <v/>
      </c>
    </row>
    <row r="16660" spans="26:26" x14ac:dyDescent="0.2">
      <c r="Z16660" t="str">
        <f t="shared" si="260"/>
        <v/>
      </c>
    </row>
    <row r="16661" spans="26:26" x14ac:dyDescent="0.2">
      <c r="Z16661" t="str">
        <f t="shared" si="260"/>
        <v/>
      </c>
    </row>
    <row r="16662" spans="26:26" x14ac:dyDescent="0.2">
      <c r="Z16662" t="str">
        <f t="shared" si="260"/>
        <v/>
      </c>
    </row>
    <row r="16663" spans="26:26" x14ac:dyDescent="0.2">
      <c r="Z16663" t="str">
        <f t="shared" si="260"/>
        <v/>
      </c>
    </row>
    <row r="16664" spans="26:26" x14ac:dyDescent="0.2">
      <c r="Z16664" t="str">
        <f t="shared" si="260"/>
        <v/>
      </c>
    </row>
    <row r="16665" spans="26:26" x14ac:dyDescent="0.2">
      <c r="Z16665" t="str">
        <f t="shared" si="260"/>
        <v/>
      </c>
    </row>
    <row r="16666" spans="26:26" x14ac:dyDescent="0.2">
      <c r="Z16666" t="str">
        <f t="shared" si="260"/>
        <v/>
      </c>
    </row>
    <row r="16667" spans="26:26" x14ac:dyDescent="0.2">
      <c r="Z16667" t="str">
        <f t="shared" si="260"/>
        <v/>
      </c>
    </row>
    <row r="16668" spans="26:26" x14ac:dyDescent="0.2">
      <c r="Z16668" t="str">
        <f t="shared" si="260"/>
        <v/>
      </c>
    </row>
    <row r="16669" spans="26:26" x14ac:dyDescent="0.2">
      <c r="Z16669" t="str">
        <f t="shared" si="260"/>
        <v/>
      </c>
    </row>
    <row r="16670" spans="26:26" x14ac:dyDescent="0.2">
      <c r="Z16670" t="str">
        <f t="shared" si="260"/>
        <v/>
      </c>
    </row>
    <row r="16671" spans="26:26" x14ac:dyDescent="0.2">
      <c r="Z16671" t="str">
        <f t="shared" si="260"/>
        <v/>
      </c>
    </row>
    <row r="16672" spans="26:26" x14ac:dyDescent="0.2">
      <c r="Z16672" t="str">
        <f t="shared" si="260"/>
        <v/>
      </c>
    </row>
    <row r="16673" spans="26:26" x14ac:dyDescent="0.2">
      <c r="Z16673" t="str">
        <f t="shared" si="260"/>
        <v/>
      </c>
    </row>
    <row r="16674" spans="26:26" x14ac:dyDescent="0.2">
      <c r="Z16674" t="str">
        <f t="shared" si="260"/>
        <v/>
      </c>
    </row>
    <row r="16675" spans="26:26" x14ac:dyDescent="0.2">
      <c r="Z16675" t="str">
        <f t="shared" si="260"/>
        <v/>
      </c>
    </row>
    <row r="16676" spans="26:26" x14ac:dyDescent="0.2">
      <c r="Z16676" t="str">
        <f t="shared" si="260"/>
        <v/>
      </c>
    </row>
    <row r="16677" spans="26:26" x14ac:dyDescent="0.2">
      <c r="Z16677" t="str">
        <f t="shared" si="260"/>
        <v/>
      </c>
    </row>
    <row r="16678" spans="26:26" x14ac:dyDescent="0.2">
      <c r="Z16678" t="str">
        <f t="shared" si="260"/>
        <v/>
      </c>
    </row>
    <row r="16679" spans="26:26" x14ac:dyDescent="0.2">
      <c r="Z16679" t="str">
        <f t="shared" si="260"/>
        <v/>
      </c>
    </row>
    <row r="16680" spans="26:26" x14ac:dyDescent="0.2">
      <c r="Z16680" t="str">
        <f t="shared" si="260"/>
        <v/>
      </c>
    </row>
    <row r="16681" spans="26:26" x14ac:dyDescent="0.2">
      <c r="Z16681" t="str">
        <f t="shared" si="260"/>
        <v/>
      </c>
    </row>
    <row r="16682" spans="26:26" x14ac:dyDescent="0.2">
      <c r="Z16682" t="str">
        <f t="shared" si="260"/>
        <v/>
      </c>
    </row>
    <row r="16683" spans="26:26" x14ac:dyDescent="0.2">
      <c r="Z16683" t="str">
        <f t="shared" si="260"/>
        <v/>
      </c>
    </row>
    <row r="16684" spans="26:26" x14ac:dyDescent="0.2">
      <c r="Z16684" t="str">
        <f t="shared" si="260"/>
        <v/>
      </c>
    </row>
    <row r="16685" spans="26:26" x14ac:dyDescent="0.2">
      <c r="Z16685" t="str">
        <f t="shared" si="260"/>
        <v/>
      </c>
    </row>
    <row r="16686" spans="26:26" x14ac:dyDescent="0.2">
      <c r="Z16686" t="str">
        <f t="shared" si="260"/>
        <v/>
      </c>
    </row>
    <row r="16687" spans="26:26" x14ac:dyDescent="0.2">
      <c r="Z16687" t="str">
        <f t="shared" si="260"/>
        <v/>
      </c>
    </row>
    <row r="16688" spans="26:26" x14ac:dyDescent="0.2">
      <c r="Z16688" t="str">
        <f t="shared" si="260"/>
        <v/>
      </c>
    </row>
    <row r="16689" spans="26:26" x14ac:dyDescent="0.2">
      <c r="Z16689" t="str">
        <f t="shared" si="260"/>
        <v/>
      </c>
    </row>
    <row r="16690" spans="26:26" x14ac:dyDescent="0.2">
      <c r="Z16690" t="str">
        <f t="shared" si="260"/>
        <v/>
      </c>
    </row>
    <row r="16691" spans="26:26" x14ac:dyDescent="0.2">
      <c r="Z16691" t="str">
        <f t="shared" si="260"/>
        <v/>
      </c>
    </row>
    <row r="16692" spans="26:26" x14ac:dyDescent="0.2">
      <c r="Z16692" t="str">
        <f t="shared" si="260"/>
        <v/>
      </c>
    </row>
    <row r="16693" spans="26:26" x14ac:dyDescent="0.2">
      <c r="Z16693" t="str">
        <f t="shared" si="260"/>
        <v/>
      </c>
    </row>
    <row r="16694" spans="26:26" x14ac:dyDescent="0.2">
      <c r="Z16694" t="str">
        <f t="shared" si="260"/>
        <v/>
      </c>
    </row>
    <row r="16695" spans="26:26" x14ac:dyDescent="0.2">
      <c r="Z16695" t="str">
        <f t="shared" si="260"/>
        <v/>
      </c>
    </row>
    <row r="16696" spans="26:26" x14ac:dyDescent="0.2">
      <c r="Z16696" t="str">
        <f t="shared" si="260"/>
        <v/>
      </c>
    </row>
    <row r="16697" spans="26:26" x14ac:dyDescent="0.2">
      <c r="Z16697" t="str">
        <f t="shared" si="260"/>
        <v/>
      </c>
    </row>
    <row r="16698" spans="26:26" x14ac:dyDescent="0.2">
      <c r="Z16698" t="str">
        <f t="shared" si="260"/>
        <v/>
      </c>
    </row>
    <row r="16699" spans="26:26" x14ac:dyDescent="0.2">
      <c r="Z16699" t="str">
        <f t="shared" si="260"/>
        <v/>
      </c>
    </row>
    <row r="16700" spans="26:26" x14ac:dyDescent="0.2">
      <c r="Z16700" t="str">
        <f t="shared" si="260"/>
        <v/>
      </c>
    </row>
    <row r="16701" spans="26:26" x14ac:dyDescent="0.2">
      <c r="Z16701" t="str">
        <f t="shared" si="260"/>
        <v/>
      </c>
    </row>
    <row r="16702" spans="26:26" x14ac:dyDescent="0.2">
      <c r="Z16702" t="str">
        <f t="shared" si="260"/>
        <v/>
      </c>
    </row>
    <row r="16703" spans="26:26" x14ac:dyDescent="0.2">
      <c r="Z16703" t="str">
        <f t="shared" si="260"/>
        <v/>
      </c>
    </row>
    <row r="16704" spans="26:26" x14ac:dyDescent="0.2">
      <c r="Z16704" t="str">
        <f t="shared" si="260"/>
        <v/>
      </c>
    </row>
    <row r="16705" spans="26:26" x14ac:dyDescent="0.2">
      <c r="Z16705" t="str">
        <f t="shared" si="260"/>
        <v/>
      </c>
    </row>
    <row r="16706" spans="26:26" x14ac:dyDescent="0.2">
      <c r="Z16706" t="str">
        <f t="shared" si="260"/>
        <v/>
      </c>
    </row>
    <row r="16707" spans="26:26" x14ac:dyDescent="0.2">
      <c r="Z16707" t="str">
        <f t="shared" ref="Z16707:Z16770" si="261">IF(K16707="","",IFERROR(VALUE(TRIM(MID(K16707,FIND(CHAR(167),SUBSTITUTE(K16707,"-",CHAR(167),LEN(K16707)-LEN(SUBSTITUTE(K16707,"-",""))))+1,100))),K16707))</f>
        <v/>
      </c>
    </row>
    <row r="16708" spans="26:26" x14ac:dyDescent="0.2">
      <c r="Z16708" t="str">
        <f t="shared" si="261"/>
        <v/>
      </c>
    </row>
    <row r="16709" spans="26:26" x14ac:dyDescent="0.2">
      <c r="Z16709" t="str">
        <f t="shared" si="261"/>
        <v/>
      </c>
    </row>
    <row r="16710" spans="26:26" x14ac:dyDescent="0.2">
      <c r="Z16710" t="str">
        <f t="shared" si="261"/>
        <v/>
      </c>
    </row>
    <row r="16711" spans="26:26" x14ac:dyDescent="0.2">
      <c r="Z16711" t="str">
        <f t="shared" si="261"/>
        <v/>
      </c>
    </row>
    <row r="16712" spans="26:26" x14ac:dyDescent="0.2">
      <c r="Z16712" t="str">
        <f t="shared" si="261"/>
        <v/>
      </c>
    </row>
    <row r="16713" spans="26:26" x14ac:dyDescent="0.2">
      <c r="Z16713" t="str">
        <f t="shared" si="261"/>
        <v/>
      </c>
    </row>
    <row r="16714" spans="26:26" x14ac:dyDescent="0.2">
      <c r="Z16714" t="str">
        <f t="shared" si="261"/>
        <v/>
      </c>
    </row>
    <row r="16715" spans="26:26" x14ac:dyDescent="0.2">
      <c r="Z16715" t="str">
        <f t="shared" si="261"/>
        <v/>
      </c>
    </row>
    <row r="16716" spans="26:26" x14ac:dyDescent="0.2">
      <c r="Z16716" t="str">
        <f t="shared" si="261"/>
        <v/>
      </c>
    </row>
    <row r="16717" spans="26:26" x14ac:dyDescent="0.2">
      <c r="Z16717" t="str">
        <f t="shared" si="261"/>
        <v/>
      </c>
    </row>
    <row r="16718" spans="26:26" x14ac:dyDescent="0.2">
      <c r="Z16718" t="str">
        <f t="shared" si="261"/>
        <v/>
      </c>
    </row>
    <row r="16719" spans="26:26" x14ac:dyDescent="0.2">
      <c r="Z16719" t="str">
        <f t="shared" si="261"/>
        <v/>
      </c>
    </row>
    <row r="16720" spans="26:26" x14ac:dyDescent="0.2">
      <c r="Z16720" t="str">
        <f t="shared" si="261"/>
        <v/>
      </c>
    </row>
    <row r="16721" spans="26:26" x14ac:dyDescent="0.2">
      <c r="Z16721" t="str">
        <f t="shared" si="261"/>
        <v/>
      </c>
    </row>
    <row r="16722" spans="26:26" x14ac:dyDescent="0.2">
      <c r="Z16722" t="str">
        <f t="shared" si="261"/>
        <v/>
      </c>
    </row>
    <row r="16723" spans="26:26" x14ac:dyDescent="0.2">
      <c r="Z16723" t="str">
        <f t="shared" si="261"/>
        <v/>
      </c>
    </row>
    <row r="16724" spans="26:26" x14ac:dyDescent="0.2">
      <c r="Z16724" t="str">
        <f t="shared" si="261"/>
        <v/>
      </c>
    </row>
    <row r="16725" spans="26:26" x14ac:dyDescent="0.2">
      <c r="Z16725" t="str">
        <f t="shared" si="261"/>
        <v/>
      </c>
    </row>
    <row r="16726" spans="26:26" x14ac:dyDescent="0.2">
      <c r="Z16726" t="str">
        <f t="shared" si="261"/>
        <v/>
      </c>
    </row>
    <row r="16727" spans="26:26" x14ac:dyDescent="0.2">
      <c r="Z16727" t="str">
        <f t="shared" si="261"/>
        <v/>
      </c>
    </row>
    <row r="16728" spans="26:26" x14ac:dyDescent="0.2">
      <c r="Z16728" t="str">
        <f t="shared" si="261"/>
        <v/>
      </c>
    </row>
    <row r="16729" spans="26:26" x14ac:dyDescent="0.2">
      <c r="Z16729" t="str">
        <f t="shared" si="261"/>
        <v/>
      </c>
    </row>
    <row r="16730" spans="26:26" x14ac:dyDescent="0.2">
      <c r="Z16730" t="str">
        <f t="shared" si="261"/>
        <v/>
      </c>
    </row>
    <row r="16731" spans="26:26" x14ac:dyDescent="0.2">
      <c r="Z16731" t="str">
        <f t="shared" si="261"/>
        <v/>
      </c>
    </row>
    <row r="16732" spans="26:26" x14ac:dyDescent="0.2">
      <c r="Z16732" t="str">
        <f t="shared" si="261"/>
        <v/>
      </c>
    </row>
    <row r="16733" spans="26:26" x14ac:dyDescent="0.2">
      <c r="Z16733" t="str">
        <f t="shared" si="261"/>
        <v/>
      </c>
    </row>
    <row r="16734" spans="26:26" x14ac:dyDescent="0.2">
      <c r="Z16734" t="str">
        <f t="shared" si="261"/>
        <v/>
      </c>
    </row>
    <row r="16735" spans="26:26" x14ac:dyDescent="0.2">
      <c r="Z16735" t="str">
        <f t="shared" si="261"/>
        <v/>
      </c>
    </row>
    <row r="16736" spans="26:26" x14ac:dyDescent="0.2">
      <c r="Z16736" t="str">
        <f t="shared" si="261"/>
        <v/>
      </c>
    </row>
    <row r="16737" spans="26:26" x14ac:dyDescent="0.2">
      <c r="Z16737" t="str">
        <f t="shared" si="261"/>
        <v/>
      </c>
    </row>
    <row r="16738" spans="26:26" x14ac:dyDescent="0.2">
      <c r="Z16738" t="str">
        <f t="shared" si="261"/>
        <v/>
      </c>
    </row>
    <row r="16739" spans="26:26" x14ac:dyDescent="0.2">
      <c r="Z16739" t="str">
        <f t="shared" si="261"/>
        <v/>
      </c>
    </row>
    <row r="16740" spans="26:26" x14ac:dyDescent="0.2">
      <c r="Z16740" t="str">
        <f t="shared" si="261"/>
        <v/>
      </c>
    </row>
    <row r="16741" spans="26:26" x14ac:dyDescent="0.2">
      <c r="Z16741" t="str">
        <f t="shared" si="261"/>
        <v/>
      </c>
    </row>
    <row r="16742" spans="26:26" x14ac:dyDescent="0.2">
      <c r="Z16742" t="str">
        <f t="shared" si="261"/>
        <v/>
      </c>
    </row>
    <row r="16743" spans="26:26" x14ac:dyDescent="0.2">
      <c r="Z16743" t="str">
        <f t="shared" si="261"/>
        <v/>
      </c>
    </row>
    <row r="16744" spans="26:26" x14ac:dyDescent="0.2">
      <c r="Z16744" t="str">
        <f t="shared" si="261"/>
        <v/>
      </c>
    </row>
    <row r="16745" spans="26:26" x14ac:dyDescent="0.2">
      <c r="Z16745" t="str">
        <f t="shared" si="261"/>
        <v/>
      </c>
    </row>
    <row r="16746" spans="26:26" x14ac:dyDescent="0.2">
      <c r="Z16746" t="str">
        <f t="shared" si="261"/>
        <v/>
      </c>
    </row>
    <row r="16747" spans="26:26" x14ac:dyDescent="0.2">
      <c r="Z16747" t="str">
        <f t="shared" si="261"/>
        <v/>
      </c>
    </row>
    <row r="16748" spans="26:26" x14ac:dyDescent="0.2">
      <c r="Z16748" t="str">
        <f t="shared" si="261"/>
        <v/>
      </c>
    </row>
    <row r="16749" spans="26:26" x14ac:dyDescent="0.2">
      <c r="Z16749" t="str">
        <f t="shared" si="261"/>
        <v/>
      </c>
    </row>
    <row r="16750" spans="26:26" x14ac:dyDescent="0.2">
      <c r="Z16750" t="str">
        <f t="shared" si="261"/>
        <v/>
      </c>
    </row>
    <row r="16751" spans="26:26" x14ac:dyDescent="0.2">
      <c r="Z16751" t="str">
        <f t="shared" si="261"/>
        <v/>
      </c>
    </row>
    <row r="16752" spans="26:26" x14ac:dyDescent="0.2">
      <c r="Z16752" t="str">
        <f t="shared" si="261"/>
        <v/>
      </c>
    </row>
    <row r="16753" spans="26:26" x14ac:dyDescent="0.2">
      <c r="Z16753" t="str">
        <f t="shared" si="261"/>
        <v/>
      </c>
    </row>
    <row r="16754" spans="26:26" x14ac:dyDescent="0.2">
      <c r="Z16754" t="str">
        <f t="shared" si="261"/>
        <v/>
      </c>
    </row>
    <row r="16755" spans="26:26" x14ac:dyDescent="0.2">
      <c r="Z16755" t="str">
        <f t="shared" si="261"/>
        <v/>
      </c>
    </row>
    <row r="16756" spans="26:26" x14ac:dyDescent="0.2">
      <c r="Z16756" t="str">
        <f t="shared" si="261"/>
        <v/>
      </c>
    </row>
    <row r="16757" spans="26:26" x14ac:dyDescent="0.2">
      <c r="Z16757" t="str">
        <f t="shared" si="261"/>
        <v/>
      </c>
    </row>
    <row r="16758" spans="26:26" x14ac:dyDescent="0.2">
      <c r="Z16758" t="str">
        <f t="shared" si="261"/>
        <v/>
      </c>
    </row>
    <row r="16759" spans="26:26" x14ac:dyDescent="0.2">
      <c r="Z16759" t="str">
        <f t="shared" si="261"/>
        <v/>
      </c>
    </row>
    <row r="16760" spans="26:26" x14ac:dyDescent="0.2">
      <c r="Z16760" t="str">
        <f t="shared" si="261"/>
        <v/>
      </c>
    </row>
    <row r="16761" spans="26:26" x14ac:dyDescent="0.2">
      <c r="Z16761" t="str">
        <f t="shared" si="261"/>
        <v/>
      </c>
    </row>
    <row r="16762" spans="26:26" x14ac:dyDescent="0.2">
      <c r="Z16762" t="str">
        <f t="shared" si="261"/>
        <v/>
      </c>
    </row>
    <row r="16763" spans="26:26" x14ac:dyDescent="0.2">
      <c r="Z16763" t="str">
        <f t="shared" si="261"/>
        <v/>
      </c>
    </row>
    <row r="16764" spans="26:26" x14ac:dyDescent="0.2">
      <c r="Z16764" t="str">
        <f t="shared" si="261"/>
        <v/>
      </c>
    </row>
    <row r="16765" spans="26:26" x14ac:dyDescent="0.2">
      <c r="Z16765" t="str">
        <f t="shared" si="261"/>
        <v/>
      </c>
    </row>
    <row r="16766" spans="26:26" x14ac:dyDescent="0.2">
      <c r="Z16766" t="str">
        <f t="shared" si="261"/>
        <v/>
      </c>
    </row>
    <row r="16767" spans="26:26" x14ac:dyDescent="0.2">
      <c r="Z16767" t="str">
        <f t="shared" si="261"/>
        <v/>
      </c>
    </row>
    <row r="16768" spans="26:26" x14ac:dyDescent="0.2">
      <c r="Z16768" t="str">
        <f t="shared" si="261"/>
        <v/>
      </c>
    </row>
    <row r="16769" spans="26:26" x14ac:dyDescent="0.2">
      <c r="Z16769" t="str">
        <f t="shared" si="261"/>
        <v/>
      </c>
    </row>
    <row r="16770" spans="26:26" x14ac:dyDescent="0.2">
      <c r="Z16770" t="str">
        <f t="shared" si="261"/>
        <v/>
      </c>
    </row>
    <row r="16771" spans="26:26" x14ac:dyDescent="0.2">
      <c r="Z16771" t="str">
        <f t="shared" ref="Z16771:Z16834" si="262">IF(K16771="","",IFERROR(VALUE(TRIM(MID(K16771,FIND(CHAR(167),SUBSTITUTE(K16771,"-",CHAR(167),LEN(K16771)-LEN(SUBSTITUTE(K16771,"-",""))))+1,100))),K16771))</f>
        <v/>
      </c>
    </row>
    <row r="16772" spans="26:26" x14ac:dyDescent="0.2">
      <c r="Z16772" t="str">
        <f t="shared" si="262"/>
        <v/>
      </c>
    </row>
    <row r="16773" spans="26:26" x14ac:dyDescent="0.2">
      <c r="Z16773" t="str">
        <f t="shared" si="262"/>
        <v/>
      </c>
    </row>
    <row r="16774" spans="26:26" x14ac:dyDescent="0.2">
      <c r="Z16774" t="str">
        <f t="shared" si="262"/>
        <v/>
      </c>
    </row>
    <row r="16775" spans="26:26" x14ac:dyDescent="0.2">
      <c r="Z16775" t="str">
        <f t="shared" si="262"/>
        <v/>
      </c>
    </row>
    <row r="16776" spans="26:26" x14ac:dyDescent="0.2">
      <c r="Z16776" t="str">
        <f t="shared" si="262"/>
        <v/>
      </c>
    </row>
    <row r="16777" spans="26:26" x14ac:dyDescent="0.2">
      <c r="Z16777" t="str">
        <f t="shared" si="262"/>
        <v/>
      </c>
    </row>
    <row r="16778" spans="26:26" x14ac:dyDescent="0.2">
      <c r="Z16778" t="str">
        <f t="shared" si="262"/>
        <v/>
      </c>
    </row>
    <row r="16779" spans="26:26" x14ac:dyDescent="0.2">
      <c r="Z16779" t="str">
        <f t="shared" si="262"/>
        <v/>
      </c>
    </row>
    <row r="16780" spans="26:26" x14ac:dyDescent="0.2">
      <c r="Z16780" t="str">
        <f t="shared" si="262"/>
        <v/>
      </c>
    </row>
    <row r="16781" spans="26:26" x14ac:dyDescent="0.2">
      <c r="Z16781" t="str">
        <f t="shared" si="262"/>
        <v/>
      </c>
    </row>
    <row r="16782" spans="26:26" x14ac:dyDescent="0.2">
      <c r="Z16782" t="str">
        <f t="shared" si="262"/>
        <v/>
      </c>
    </row>
    <row r="16783" spans="26:26" x14ac:dyDescent="0.2">
      <c r="Z16783" t="str">
        <f t="shared" si="262"/>
        <v/>
      </c>
    </row>
    <row r="16784" spans="26:26" x14ac:dyDescent="0.2">
      <c r="Z16784" t="str">
        <f t="shared" si="262"/>
        <v/>
      </c>
    </row>
    <row r="16785" spans="26:26" x14ac:dyDescent="0.2">
      <c r="Z16785" t="str">
        <f t="shared" si="262"/>
        <v/>
      </c>
    </row>
    <row r="16786" spans="26:26" x14ac:dyDescent="0.2">
      <c r="Z16786" t="str">
        <f t="shared" si="262"/>
        <v/>
      </c>
    </row>
    <row r="16787" spans="26:26" x14ac:dyDescent="0.2">
      <c r="Z16787" t="str">
        <f t="shared" si="262"/>
        <v/>
      </c>
    </row>
    <row r="16788" spans="26:26" x14ac:dyDescent="0.2">
      <c r="Z16788" t="str">
        <f t="shared" si="262"/>
        <v/>
      </c>
    </row>
    <row r="16789" spans="26:26" x14ac:dyDescent="0.2">
      <c r="Z16789" t="str">
        <f t="shared" si="262"/>
        <v/>
      </c>
    </row>
    <row r="16790" spans="26:26" x14ac:dyDescent="0.2">
      <c r="Z16790" t="str">
        <f t="shared" si="262"/>
        <v/>
      </c>
    </row>
    <row r="16791" spans="26:26" x14ac:dyDescent="0.2">
      <c r="Z16791" t="str">
        <f t="shared" si="262"/>
        <v/>
      </c>
    </row>
    <row r="16792" spans="26:26" x14ac:dyDescent="0.2">
      <c r="Z16792" t="str">
        <f t="shared" si="262"/>
        <v/>
      </c>
    </row>
    <row r="16793" spans="26:26" x14ac:dyDescent="0.2">
      <c r="Z16793" t="str">
        <f t="shared" si="262"/>
        <v/>
      </c>
    </row>
    <row r="16794" spans="26:26" x14ac:dyDescent="0.2">
      <c r="Z16794" t="str">
        <f t="shared" si="262"/>
        <v/>
      </c>
    </row>
    <row r="16795" spans="26:26" x14ac:dyDescent="0.2">
      <c r="Z16795" t="str">
        <f t="shared" si="262"/>
        <v/>
      </c>
    </row>
    <row r="16796" spans="26:26" x14ac:dyDescent="0.2">
      <c r="Z16796" t="str">
        <f t="shared" si="262"/>
        <v/>
      </c>
    </row>
    <row r="16797" spans="26:26" x14ac:dyDescent="0.2">
      <c r="Z16797" t="str">
        <f t="shared" si="262"/>
        <v/>
      </c>
    </row>
    <row r="16798" spans="26:26" x14ac:dyDescent="0.2">
      <c r="Z16798" t="str">
        <f t="shared" si="262"/>
        <v/>
      </c>
    </row>
    <row r="16799" spans="26:26" x14ac:dyDescent="0.2">
      <c r="Z16799" t="str">
        <f t="shared" si="262"/>
        <v/>
      </c>
    </row>
    <row r="16800" spans="26:26" x14ac:dyDescent="0.2">
      <c r="Z16800" t="str">
        <f t="shared" si="262"/>
        <v/>
      </c>
    </row>
    <row r="16801" spans="26:26" x14ac:dyDescent="0.2">
      <c r="Z16801" t="str">
        <f t="shared" si="262"/>
        <v/>
      </c>
    </row>
    <row r="16802" spans="26:26" x14ac:dyDescent="0.2">
      <c r="Z16802" t="str">
        <f t="shared" si="262"/>
        <v/>
      </c>
    </row>
    <row r="16803" spans="26:26" x14ac:dyDescent="0.2">
      <c r="Z16803" t="str">
        <f t="shared" si="262"/>
        <v/>
      </c>
    </row>
    <row r="16804" spans="26:26" x14ac:dyDescent="0.2">
      <c r="Z16804" t="str">
        <f t="shared" si="262"/>
        <v/>
      </c>
    </row>
    <row r="16805" spans="26:26" x14ac:dyDescent="0.2">
      <c r="Z16805" t="str">
        <f t="shared" si="262"/>
        <v/>
      </c>
    </row>
    <row r="16806" spans="26:26" x14ac:dyDescent="0.2">
      <c r="Z16806" t="str">
        <f t="shared" si="262"/>
        <v/>
      </c>
    </row>
    <row r="16807" spans="26:26" x14ac:dyDescent="0.2">
      <c r="Z16807" t="str">
        <f t="shared" si="262"/>
        <v/>
      </c>
    </row>
    <row r="16808" spans="26:26" x14ac:dyDescent="0.2">
      <c r="Z16808" t="str">
        <f t="shared" si="262"/>
        <v/>
      </c>
    </row>
    <row r="16809" spans="26:26" x14ac:dyDescent="0.2">
      <c r="Z16809" t="str">
        <f t="shared" si="262"/>
        <v/>
      </c>
    </row>
    <row r="16810" spans="26:26" x14ac:dyDescent="0.2">
      <c r="Z16810" t="str">
        <f t="shared" si="262"/>
        <v/>
      </c>
    </row>
    <row r="16811" spans="26:26" x14ac:dyDescent="0.2">
      <c r="Z16811" t="str">
        <f t="shared" si="262"/>
        <v/>
      </c>
    </row>
    <row r="16812" spans="26:26" x14ac:dyDescent="0.2">
      <c r="Z16812" t="str">
        <f t="shared" si="262"/>
        <v/>
      </c>
    </row>
    <row r="16813" spans="26:26" x14ac:dyDescent="0.2">
      <c r="Z16813" t="str">
        <f t="shared" si="262"/>
        <v/>
      </c>
    </row>
    <row r="16814" spans="26:26" x14ac:dyDescent="0.2">
      <c r="Z16814" t="str">
        <f t="shared" si="262"/>
        <v/>
      </c>
    </row>
    <row r="16815" spans="26:26" x14ac:dyDescent="0.2">
      <c r="Z16815" t="str">
        <f t="shared" si="262"/>
        <v/>
      </c>
    </row>
    <row r="16816" spans="26:26" x14ac:dyDescent="0.2">
      <c r="Z16816" t="str">
        <f t="shared" si="262"/>
        <v/>
      </c>
    </row>
    <row r="16817" spans="26:26" x14ac:dyDescent="0.2">
      <c r="Z16817" t="str">
        <f t="shared" si="262"/>
        <v/>
      </c>
    </row>
    <row r="16818" spans="26:26" x14ac:dyDescent="0.2">
      <c r="Z16818" t="str">
        <f t="shared" si="262"/>
        <v/>
      </c>
    </row>
    <row r="16819" spans="26:26" x14ac:dyDescent="0.2">
      <c r="Z16819" t="str">
        <f t="shared" si="262"/>
        <v/>
      </c>
    </row>
    <row r="16820" spans="26:26" x14ac:dyDescent="0.2">
      <c r="Z16820" t="str">
        <f t="shared" si="262"/>
        <v/>
      </c>
    </row>
    <row r="16821" spans="26:26" x14ac:dyDescent="0.2">
      <c r="Z16821" t="str">
        <f t="shared" si="262"/>
        <v/>
      </c>
    </row>
    <row r="16822" spans="26:26" x14ac:dyDescent="0.2">
      <c r="Z16822" t="str">
        <f t="shared" si="262"/>
        <v/>
      </c>
    </row>
    <row r="16823" spans="26:26" x14ac:dyDescent="0.2">
      <c r="Z16823" t="str">
        <f t="shared" si="262"/>
        <v/>
      </c>
    </row>
    <row r="16824" spans="26:26" x14ac:dyDescent="0.2">
      <c r="Z16824" t="str">
        <f t="shared" si="262"/>
        <v/>
      </c>
    </row>
    <row r="16825" spans="26:26" x14ac:dyDescent="0.2">
      <c r="Z16825" t="str">
        <f t="shared" si="262"/>
        <v/>
      </c>
    </row>
    <row r="16826" spans="26:26" x14ac:dyDescent="0.2">
      <c r="Z16826" t="str">
        <f t="shared" si="262"/>
        <v/>
      </c>
    </row>
    <row r="16827" spans="26:26" x14ac:dyDescent="0.2">
      <c r="Z16827" t="str">
        <f t="shared" si="262"/>
        <v/>
      </c>
    </row>
    <row r="16828" spans="26:26" x14ac:dyDescent="0.2">
      <c r="Z16828" t="str">
        <f t="shared" si="262"/>
        <v/>
      </c>
    </row>
    <row r="16829" spans="26:26" x14ac:dyDescent="0.2">
      <c r="Z16829" t="str">
        <f t="shared" si="262"/>
        <v/>
      </c>
    </row>
    <row r="16830" spans="26:26" x14ac:dyDescent="0.2">
      <c r="Z16830" t="str">
        <f t="shared" si="262"/>
        <v/>
      </c>
    </row>
    <row r="16831" spans="26:26" x14ac:dyDescent="0.2">
      <c r="Z16831" t="str">
        <f t="shared" si="262"/>
        <v/>
      </c>
    </row>
    <row r="16832" spans="26:26" x14ac:dyDescent="0.2">
      <c r="Z16832" t="str">
        <f t="shared" si="262"/>
        <v/>
      </c>
    </row>
    <row r="16833" spans="26:26" x14ac:dyDescent="0.2">
      <c r="Z16833" t="str">
        <f t="shared" si="262"/>
        <v/>
      </c>
    </row>
    <row r="16834" spans="26:26" x14ac:dyDescent="0.2">
      <c r="Z16834" t="str">
        <f t="shared" si="262"/>
        <v/>
      </c>
    </row>
    <row r="16835" spans="26:26" x14ac:dyDescent="0.2">
      <c r="Z16835" t="str">
        <f t="shared" ref="Z16835:Z16898" si="263">IF(K16835="","",IFERROR(VALUE(TRIM(MID(K16835,FIND(CHAR(167),SUBSTITUTE(K16835,"-",CHAR(167),LEN(K16835)-LEN(SUBSTITUTE(K16835,"-",""))))+1,100))),K16835))</f>
        <v/>
      </c>
    </row>
    <row r="16836" spans="26:26" x14ac:dyDescent="0.2">
      <c r="Z16836" t="str">
        <f t="shared" si="263"/>
        <v/>
      </c>
    </row>
    <row r="16837" spans="26:26" x14ac:dyDescent="0.2">
      <c r="Z16837" t="str">
        <f t="shared" si="263"/>
        <v/>
      </c>
    </row>
    <row r="16838" spans="26:26" x14ac:dyDescent="0.2">
      <c r="Z16838" t="str">
        <f t="shared" si="263"/>
        <v/>
      </c>
    </row>
    <row r="16839" spans="26:26" x14ac:dyDescent="0.2">
      <c r="Z16839" t="str">
        <f t="shared" si="263"/>
        <v/>
      </c>
    </row>
    <row r="16840" spans="26:26" x14ac:dyDescent="0.2">
      <c r="Z16840" t="str">
        <f t="shared" si="263"/>
        <v/>
      </c>
    </row>
    <row r="16841" spans="26:26" x14ac:dyDescent="0.2">
      <c r="Z16841" t="str">
        <f t="shared" si="263"/>
        <v/>
      </c>
    </row>
    <row r="16842" spans="26:26" x14ac:dyDescent="0.2">
      <c r="Z16842" t="str">
        <f t="shared" si="263"/>
        <v/>
      </c>
    </row>
    <row r="16843" spans="26:26" x14ac:dyDescent="0.2">
      <c r="Z16843" t="str">
        <f t="shared" si="263"/>
        <v/>
      </c>
    </row>
    <row r="16844" spans="26:26" x14ac:dyDescent="0.2">
      <c r="Z16844" t="str">
        <f t="shared" si="263"/>
        <v/>
      </c>
    </row>
    <row r="16845" spans="26:26" x14ac:dyDescent="0.2">
      <c r="Z16845" t="str">
        <f t="shared" si="263"/>
        <v/>
      </c>
    </row>
    <row r="16846" spans="26:26" x14ac:dyDescent="0.2">
      <c r="Z16846" t="str">
        <f t="shared" si="263"/>
        <v/>
      </c>
    </row>
    <row r="16847" spans="26:26" x14ac:dyDescent="0.2">
      <c r="Z16847" t="str">
        <f t="shared" si="263"/>
        <v/>
      </c>
    </row>
    <row r="16848" spans="26:26" x14ac:dyDescent="0.2">
      <c r="Z16848" t="str">
        <f t="shared" si="263"/>
        <v/>
      </c>
    </row>
    <row r="16849" spans="26:26" x14ac:dyDescent="0.2">
      <c r="Z16849" t="str">
        <f t="shared" si="263"/>
        <v/>
      </c>
    </row>
    <row r="16850" spans="26:26" x14ac:dyDescent="0.2">
      <c r="Z16850" t="str">
        <f t="shared" si="263"/>
        <v/>
      </c>
    </row>
    <row r="16851" spans="26:26" x14ac:dyDescent="0.2">
      <c r="Z16851" t="str">
        <f t="shared" si="263"/>
        <v/>
      </c>
    </row>
    <row r="16852" spans="26:26" x14ac:dyDescent="0.2">
      <c r="Z16852" t="str">
        <f t="shared" si="263"/>
        <v/>
      </c>
    </row>
    <row r="16853" spans="26:26" x14ac:dyDescent="0.2">
      <c r="Z16853" t="str">
        <f t="shared" si="263"/>
        <v/>
      </c>
    </row>
    <row r="16854" spans="26:26" x14ac:dyDescent="0.2">
      <c r="Z16854" t="str">
        <f t="shared" si="263"/>
        <v/>
      </c>
    </row>
    <row r="16855" spans="26:26" x14ac:dyDescent="0.2">
      <c r="Z16855" t="str">
        <f t="shared" si="263"/>
        <v/>
      </c>
    </row>
    <row r="16856" spans="26:26" x14ac:dyDescent="0.2">
      <c r="Z16856" t="str">
        <f t="shared" si="263"/>
        <v/>
      </c>
    </row>
    <row r="16857" spans="26:26" x14ac:dyDescent="0.2">
      <c r="Z16857" t="str">
        <f t="shared" si="263"/>
        <v/>
      </c>
    </row>
    <row r="16858" spans="26:26" x14ac:dyDescent="0.2">
      <c r="Z16858" t="str">
        <f t="shared" si="263"/>
        <v/>
      </c>
    </row>
    <row r="16859" spans="26:26" x14ac:dyDescent="0.2">
      <c r="Z16859" t="str">
        <f t="shared" si="263"/>
        <v/>
      </c>
    </row>
    <row r="16860" spans="26:26" x14ac:dyDescent="0.2">
      <c r="Z16860" t="str">
        <f t="shared" si="263"/>
        <v/>
      </c>
    </row>
    <row r="16861" spans="26:26" x14ac:dyDescent="0.2">
      <c r="Z16861" t="str">
        <f t="shared" si="263"/>
        <v/>
      </c>
    </row>
    <row r="16862" spans="26:26" x14ac:dyDescent="0.2">
      <c r="Z16862" t="str">
        <f t="shared" si="263"/>
        <v/>
      </c>
    </row>
    <row r="16863" spans="26:26" x14ac:dyDescent="0.2">
      <c r="Z16863" t="str">
        <f t="shared" si="263"/>
        <v/>
      </c>
    </row>
    <row r="16864" spans="26:26" x14ac:dyDescent="0.2">
      <c r="Z16864" t="str">
        <f t="shared" si="263"/>
        <v/>
      </c>
    </row>
    <row r="16865" spans="26:26" x14ac:dyDescent="0.2">
      <c r="Z16865" t="str">
        <f t="shared" si="263"/>
        <v/>
      </c>
    </row>
    <row r="16866" spans="26:26" x14ac:dyDescent="0.2">
      <c r="Z16866" t="str">
        <f t="shared" si="263"/>
        <v/>
      </c>
    </row>
    <row r="16867" spans="26:26" x14ac:dyDescent="0.2">
      <c r="Z16867" t="str">
        <f t="shared" si="263"/>
        <v/>
      </c>
    </row>
    <row r="16868" spans="26:26" x14ac:dyDescent="0.2">
      <c r="Z16868" t="str">
        <f t="shared" si="263"/>
        <v/>
      </c>
    </row>
    <row r="16869" spans="26:26" x14ac:dyDescent="0.2">
      <c r="Z16869" t="str">
        <f t="shared" si="263"/>
        <v/>
      </c>
    </row>
    <row r="16870" spans="26:26" x14ac:dyDescent="0.2">
      <c r="Z16870" t="str">
        <f t="shared" si="263"/>
        <v/>
      </c>
    </row>
    <row r="16871" spans="26:26" x14ac:dyDescent="0.2">
      <c r="Z16871" t="str">
        <f t="shared" si="263"/>
        <v/>
      </c>
    </row>
    <row r="16872" spans="26:26" x14ac:dyDescent="0.2">
      <c r="Z16872" t="str">
        <f t="shared" si="263"/>
        <v/>
      </c>
    </row>
    <row r="16873" spans="26:26" x14ac:dyDescent="0.2">
      <c r="Z16873" t="str">
        <f t="shared" si="263"/>
        <v/>
      </c>
    </row>
    <row r="16874" spans="26:26" x14ac:dyDescent="0.2">
      <c r="Z16874" t="str">
        <f t="shared" si="263"/>
        <v/>
      </c>
    </row>
    <row r="16875" spans="26:26" x14ac:dyDescent="0.2">
      <c r="Z16875" t="str">
        <f t="shared" si="263"/>
        <v/>
      </c>
    </row>
    <row r="16876" spans="26:26" x14ac:dyDescent="0.2">
      <c r="Z16876" t="str">
        <f t="shared" si="263"/>
        <v/>
      </c>
    </row>
    <row r="16877" spans="26:26" x14ac:dyDescent="0.2">
      <c r="Z16877" t="str">
        <f t="shared" si="263"/>
        <v/>
      </c>
    </row>
    <row r="16878" spans="26:26" x14ac:dyDescent="0.2">
      <c r="Z16878" t="str">
        <f t="shared" si="263"/>
        <v/>
      </c>
    </row>
    <row r="16879" spans="26:26" x14ac:dyDescent="0.2">
      <c r="Z16879" t="str">
        <f t="shared" si="263"/>
        <v/>
      </c>
    </row>
    <row r="16880" spans="26:26" x14ac:dyDescent="0.2">
      <c r="Z16880" t="str">
        <f t="shared" si="263"/>
        <v/>
      </c>
    </row>
    <row r="16881" spans="26:26" x14ac:dyDescent="0.2">
      <c r="Z16881" t="str">
        <f t="shared" si="263"/>
        <v/>
      </c>
    </row>
    <row r="16882" spans="26:26" x14ac:dyDescent="0.2">
      <c r="Z16882" t="str">
        <f t="shared" si="263"/>
        <v/>
      </c>
    </row>
    <row r="16883" spans="26:26" x14ac:dyDescent="0.2">
      <c r="Z16883" t="str">
        <f t="shared" si="263"/>
        <v/>
      </c>
    </row>
    <row r="16884" spans="26:26" x14ac:dyDescent="0.2">
      <c r="Z16884" t="str">
        <f t="shared" si="263"/>
        <v/>
      </c>
    </row>
    <row r="16885" spans="26:26" x14ac:dyDescent="0.2">
      <c r="Z16885" t="str">
        <f t="shared" si="263"/>
        <v/>
      </c>
    </row>
    <row r="16886" spans="26:26" x14ac:dyDescent="0.2">
      <c r="Z16886" t="str">
        <f t="shared" si="263"/>
        <v/>
      </c>
    </row>
    <row r="16887" spans="26:26" x14ac:dyDescent="0.2">
      <c r="Z16887" t="str">
        <f t="shared" si="263"/>
        <v/>
      </c>
    </row>
    <row r="16888" spans="26:26" x14ac:dyDescent="0.2">
      <c r="Z16888" t="str">
        <f t="shared" si="263"/>
        <v/>
      </c>
    </row>
    <row r="16889" spans="26:26" x14ac:dyDescent="0.2">
      <c r="Z16889" t="str">
        <f t="shared" si="263"/>
        <v/>
      </c>
    </row>
    <row r="16890" spans="26:26" x14ac:dyDescent="0.2">
      <c r="Z16890" t="str">
        <f t="shared" si="263"/>
        <v/>
      </c>
    </row>
    <row r="16891" spans="26:26" x14ac:dyDescent="0.2">
      <c r="Z16891" t="str">
        <f t="shared" si="263"/>
        <v/>
      </c>
    </row>
    <row r="16892" spans="26:26" x14ac:dyDescent="0.2">
      <c r="Z16892" t="str">
        <f t="shared" si="263"/>
        <v/>
      </c>
    </row>
    <row r="16893" spans="26:26" x14ac:dyDescent="0.2">
      <c r="Z16893" t="str">
        <f t="shared" si="263"/>
        <v/>
      </c>
    </row>
    <row r="16894" spans="26:26" x14ac:dyDescent="0.2">
      <c r="Z16894" t="str">
        <f t="shared" si="263"/>
        <v/>
      </c>
    </row>
    <row r="16895" spans="26:26" x14ac:dyDescent="0.2">
      <c r="Z16895" t="str">
        <f t="shared" si="263"/>
        <v/>
      </c>
    </row>
    <row r="16896" spans="26:26" x14ac:dyDescent="0.2">
      <c r="Z16896" t="str">
        <f t="shared" si="263"/>
        <v/>
      </c>
    </row>
    <row r="16897" spans="26:26" x14ac:dyDescent="0.2">
      <c r="Z16897" t="str">
        <f t="shared" si="263"/>
        <v/>
      </c>
    </row>
    <row r="16898" spans="26:26" x14ac:dyDescent="0.2">
      <c r="Z16898" t="str">
        <f t="shared" si="263"/>
        <v/>
      </c>
    </row>
    <row r="16899" spans="26:26" x14ac:dyDescent="0.2">
      <c r="Z16899" t="str">
        <f t="shared" ref="Z16899:Z16962" si="264">IF(K16899="","",IFERROR(VALUE(TRIM(MID(K16899,FIND(CHAR(167),SUBSTITUTE(K16899,"-",CHAR(167),LEN(K16899)-LEN(SUBSTITUTE(K16899,"-",""))))+1,100))),K16899))</f>
        <v/>
      </c>
    </row>
    <row r="16900" spans="26:26" x14ac:dyDescent="0.2">
      <c r="Z16900" t="str">
        <f t="shared" si="264"/>
        <v/>
      </c>
    </row>
    <row r="16901" spans="26:26" x14ac:dyDescent="0.2">
      <c r="Z16901" t="str">
        <f t="shared" si="264"/>
        <v/>
      </c>
    </row>
    <row r="16902" spans="26:26" x14ac:dyDescent="0.2">
      <c r="Z16902" t="str">
        <f t="shared" si="264"/>
        <v/>
      </c>
    </row>
    <row r="16903" spans="26:26" x14ac:dyDescent="0.2">
      <c r="Z16903" t="str">
        <f t="shared" si="264"/>
        <v/>
      </c>
    </row>
    <row r="16904" spans="26:26" x14ac:dyDescent="0.2">
      <c r="Z16904" t="str">
        <f t="shared" si="264"/>
        <v/>
      </c>
    </row>
    <row r="16905" spans="26:26" x14ac:dyDescent="0.2">
      <c r="Z16905" t="str">
        <f t="shared" si="264"/>
        <v/>
      </c>
    </row>
    <row r="16906" spans="26:26" x14ac:dyDescent="0.2">
      <c r="Z16906" t="str">
        <f t="shared" si="264"/>
        <v/>
      </c>
    </row>
    <row r="16907" spans="26:26" x14ac:dyDescent="0.2">
      <c r="Z16907" t="str">
        <f t="shared" si="264"/>
        <v/>
      </c>
    </row>
    <row r="16908" spans="26:26" x14ac:dyDescent="0.2">
      <c r="Z16908" t="str">
        <f t="shared" si="264"/>
        <v/>
      </c>
    </row>
    <row r="16909" spans="26:26" x14ac:dyDescent="0.2">
      <c r="Z16909" t="str">
        <f t="shared" si="264"/>
        <v/>
      </c>
    </row>
    <row r="16910" spans="26:26" x14ac:dyDescent="0.2">
      <c r="Z16910" t="str">
        <f t="shared" si="264"/>
        <v/>
      </c>
    </row>
    <row r="16911" spans="26:26" x14ac:dyDescent="0.2">
      <c r="Z16911" t="str">
        <f t="shared" si="264"/>
        <v/>
      </c>
    </row>
    <row r="16912" spans="26:26" x14ac:dyDescent="0.2">
      <c r="Z16912" t="str">
        <f t="shared" si="264"/>
        <v/>
      </c>
    </row>
    <row r="16913" spans="26:26" x14ac:dyDescent="0.2">
      <c r="Z16913" t="str">
        <f t="shared" si="264"/>
        <v/>
      </c>
    </row>
    <row r="16914" spans="26:26" x14ac:dyDescent="0.2">
      <c r="Z16914" t="str">
        <f t="shared" si="264"/>
        <v/>
      </c>
    </row>
    <row r="16915" spans="26:26" x14ac:dyDescent="0.2">
      <c r="Z16915" t="str">
        <f t="shared" si="264"/>
        <v/>
      </c>
    </row>
    <row r="16916" spans="26:26" x14ac:dyDescent="0.2">
      <c r="Z16916" t="str">
        <f t="shared" si="264"/>
        <v/>
      </c>
    </row>
    <row r="16917" spans="26:26" x14ac:dyDescent="0.2">
      <c r="Z16917" t="str">
        <f t="shared" si="264"/>
        <v/>
      </c>
    </row>
    <row r="16918" spans="26:26" x14ac:dyDescent="0.2">
      <c r="Z16918" t="str">
        <f t="shared" si="264"/>
        <v/>
      </c>
    </row>
    <row r="16919" spans="26:26" x14ac:dyDescent="0.2">
      <c r="Z16919" t="str">
        <f t="shared" si="264"/>
        <v/>
      </c>
    </row>
    <row r="16920" spans="26:26" x14ac:dyDescent="0.2">
      <c r="Z16920" t="str">
        <f t="shared" si="264"/>
        <v/>
      </c>
    </row>
    <row r="16921" spans="26:26" x14ac:dyDescent="0.2">
      <c r="Z16921" t="str">
        <f t="shared" si="264"/>
        <v/>
      </c>
    </row>
    <row r="16922" spans="26:26" x14ac:dyDescent="0.2">
      <c r="Z16922" t="str">
        <f t="shared" si="264"/>
        <v/>
      </c>
    </row>
    <row r="16923" spans="26:26" x14ac:dyDescent="0.2">
      <c r="Z16923" t="str">
        <f t="shared" si="264"/>
        <v/>
      </c>
    </row>
    <row r="16924" spans="26:26" x14ac:dyDescent="0.2">
      <c r="Z16924" t="str">
        <f t="shared" si="264"/>
        <v/>
      </c>
    </row>
    <row r="16925" spans="26:26" x14ac:dyDescent="0.2">
      <c r="Z16925" t="str">
        <f t="shared" si="264"/>
        <v/>
      </c>
    </row>
    <row r="16926" spans="26:26" x14ac:dyDescent="0.2">
      <c r="Z16926" t="str">
        <f t="shared" si="264"/>
        <v/>
      </c>
    </row>
    <row r="16927" spans="26:26" x14ac:dyDescent="0.2">
      <c r="Z16927" t="str">
        <f t="shared" si="264"/>
        <v/>
      </c>
    </row>
    <row r="16928" spans="26:26" x14ac:dyDescent="0.2">
      <c r="Z16928" t="str">
        <f t="shared" si="264"/>
        <v/>
      </c>
    </row>
    <row r="16929" spans="26:26" x14ac:dyDescent="0.2">
      <c r="Z16929" t="str">
        <f t="shared" si="264"/>
        <v/>
      </c>
    </row>
    <row r="16930" spans="26:26" x14ac:dyDescent="0.2">
      <c r="Z16930" t="str">
        <f t="shared" si="264"/>
        <v/>
      </c>
    </row>
    <row r="16931" spans="26:26" x14ac:dyDescent="0.2">
      <c r="Z16931" t="str">
        <f t="shared" si="264"/>
        <v/>
      </c>
    </row>
    <row r="16932" spans="26:26" x14ac:dyDescent="0.2">
      <c r="Z16932" t="str">
        <f t="shared" si="264"/>
        <v/>
      </c>
    </row>
    <row r="16933" spans="26:26" x14ac:dyDescent="0.2">
      <c r="Z16933" t="str">
        <f t="shared" si="264"/>
        <v/>
      </c>
    </row>
    <row r="16934" spans="26:26" x14ac:dyDescent="0.2">
      <c r="Z16934" t="str">
        <f t="shared" si="264"/>
        <v/>
      </c>
    </row>
    <row r="16935" spans="26:26" x14ac:dyDescent="0.2">
      <c r="Z16935" t="str">
        <f t="shared" si="264"/>
        <v/>
      </c>
    </row>
    <row r="16936" spans="26:26" x14ac:dyDescent="0.2">
      <c r="Z16936" t="str">
        <f t="shared" si="264"/>
        <v/>
      </c>
    </row>
    <row r="16937" spans="26:26" x14ac:dyDescent="0.2">
      <c r="Z16937" t="str">
        <f t="shared" si="264"/>
        <v/>
      </c>
    </row>
    <row r="16938" spans="26:26" x14ac:dyDescent="0.2">
      <c r="Z16938" t="str">
        <f t="shared" si="264"/>
        <v/>
      </c>
    </row>
    <row r="16939" spans="26:26" x14ac:dyDescent="0.2">
      <c r="Z16939" t="str">
        <f t="shared" si="264"/>
        <v/>
      </c>
    </row>
    <row r="16940" spans="26:26" x14ac:dyDescent="0.2">
      <c r="Z16940" t="str">
        <f t="shared" si="264"/>
        <v/>
      </c>
    </row>
    <row r="16941" spans="26:26" x14ac:dyDescent="0.2">
      <c r="Z16941" t="str">
        <f t="shared" si="264"/>
        <v/>
      </c>
    </row>
    <row r="16942" spans="26:26" x14ac:dyDescent="0.2">
      <c r="Z16942" t="str">
        <f t="shared" si="264"/>
        <v/>
      </c>
    </row>
    <row r="16943" spans="26:26" x14ac:dyDescent="0.2">
      <c r="Z16943" t="str">
        <f t="shared" si="264"/>
        <v/>
      </c>
    </row>
    <row r="16944" spans="26:26" x14ac:dyDescent="0.2">
      <c r="Z16944" t="str">
        <f t="shared" si="264"/>
        <v/>
      </c>
    </row>
    <row r="16945" spans="26:26" x14ac:dyDescent="0.2">
      <c r="Z16945" t="str">
        <f t="shared" si="264"/>
        <v/>
      </c>
    </row>
    <row r="16946" spans="26:26" x14ac:dyDescent="0.2">
      <c r="Z16946" t="str">
        <f t="shared" si="264"/>
        <v/>
      </c>
    </row>
    <row r="16947" spans="26:26" x14ac:dyDescent="0.2">
      <c r="Z16947" t="str">
        <f t="shared" si="264"/>
        <v/>
      </c>
    </row>
    <row r="16948" spans="26:26" x14ac:dyDescent="0.2">
      <c r="Z16948" t="str">
        <f t="shared" si="264"/>
        <v/>
      </c>
    </row>
    <row r="16949" spans="26:26" x14ac:dyDescent="0.2">
      <c r="Z16949" t="str">
        <f t="shared" si="264"/>
        <v/>
      </c>
    </row>
    <row r="16950" spans="26:26" x14ac:dyDescent="0.2">
      <c r="Z16950" t="str">
        <f t="shared" si="264"/>
        <v/>
      </c>
    </row>
    <row r="16951" spans="26:26" x14ac:dyDescent="0.2">
      <c r="Z16951" t="str">
        <f t="shared" si="264"/>
        <v/>
      </c>
    </row>
    <row r="16952" spans="26:26" x14ac:dyDescent="0.2">
      <c r="Z16952" t="str">
        <f t="shared" si="264"/>
        <v/>
      </c>
    </row>
    <row r="16953" spans="26:26" x14ac:dyDescent="0.2">
      <c r="Z16953" t="str">
        <f t="shared" si="264"/>
        <v/>
      </c>
    </row>
    <row r="16954" spans="26:26" x14ac:dyDescent="0.2">
      <c r="Z16954" t="str">
        <f t="shared" si="264"/>
        <v/>
      </c>
    </row>
    <row r="16955" spans="26:26" x14ac:dyDescent="0.2">
      <c r="Z16955" t="str">
        <f t="shared" si="264"/>
        <v/>
      </c>
    </row>
    <row r="16956" spans="26:26" x14ac:dyDescent="0.2">
      <c r="Z16956" t="str">
        <f t="shared" si="264"/>
        <v/>
      </c>
    </row>
    <row r="16957" spans="26:26" x14ac:dyDescent="0.2">
      <c r="Z16957" t="str">
        <f t="shared" si="264"/>
        <v/>
      </c>
    </row>
    <row r="16958" spans="26:26" x14ac:dyDescent="0.2">
      <c r="Z16958" t="str">
        <f t="shared" si="264"/>
        <v/>
      </c>
    </row>
    <row r="16959" spans="26:26" x14ac:dyDescent="0.2">
      <c r="Z16959" t="str">
        <f t="shared" si="264"/>
        <v/>
      </c>
    </row>
    <row r="16960" spans="26:26" x14ac:dyDescent="0.2">
      <c r="Z16960" t="str">
        <f t="shared" si="264"/>
        <v/>
      </c>
    </row>
    <row r="16961" spans="26:26" x14ac:dyDescent="0.2">
      <c r="Z16961" t="str">
        <f t="shared" si="264"/>
        <v/>
      </c>
    </row>
    <row r="16962" spans="26:26" x14ac:dyDescent="0.2">
      <c r="Z16962" t="str">
        <f t="shared" si="264"/>
        <v/>
      </c>
    </row>
    <row r="16963" spans="26:26" x14ac:dyDescent="0.2">
      <c r="Z16963" t="str">
        <f t="shared" ref="Z16963:Z17026" si="265">IF(K16963="","",IFERROR(VALUE(TRIM(MID(K16963,FIND(CHAR(167),SUBSTITUTE(K16963,"-",CHAR(167),LEN(K16963)-LEN(SUBSTITUTE(K16963,"-",""))))+1,100))),K16963))</f>
        <v/>
      </c>
    </row>
    <row r="16964" spans="26:26" x14ac:dyDescent="0.2">
      <c r="Z16964" t="str">
        <f t="shared" si="265"/>
        <v/>
      </c>
    </row>
    <row r="16965" spans="26:26" x14ac:dyDescent="0.2">
      <c r="Z16965" t="str">
        <f t="shared" si="265"/>
        <v/>
      </c>
    </row>
    <row r="16966" spans="26:26" x14ac:dyDescent="0.2">
      <c r="Z16966" t="str">
        <f t="shared" si="265"/>
        <v/>
      </c>
    </row>
    <row r="16967" spans="26:26" x14ac:dyDescent="0.2">
      <c r="Z16967" t="str">
        <f t="shared" si="265"/>
        <v/>
      </c>
    </row>
    <row r="16968" spans="26:26" x14ac:dyDescent="0.2">
      <c r="Z16968" t="str">
        <f t="shared" si="265"/>
        <v/>
      </c>
    </row>
    <row r="16969" spans="26:26" x14ac:dyDescent="0.2">
      <c r="Z16969" t="str">
        <f t="shared" si="265"/>
        <v/>
      </c>
    </row>
    <row r="16970" spans="26:26" x14ac:dyDescent="0.2">
      <c r="Z16970" t="str">
        <f t="shared" si="265"/>
        <v/>
      </c>
    </row>
    <row r="16971" spans="26:26" x14ac:dyDescent="0.2">
      <c r="Z16971" t="str">
        <f t="shared" si="265"/>
        <v/>
      </c>
    </row>
    <row r="16972" spans="26:26" x14ac:dyDescent="0.2">
      <c r="Z16972" t="str">
        <f t="shared" si="265"/>
        <v/>
      </c>
    </row>
    <row r="16973" spans="26:26" x14ac:dyDescent="0.2">
      <c r="Z16973" t="str">
        <f t="shared" si="265"/>
        <v/>
      </c>
    </row>
    <row r="16974" spans="26:26" x14ac:dyDescent="0.2">
      <c r="Z16974" t="str">
        <f t="shared" si="265"/>
        <v/>
      </c>
    </row>
    <row r="16975" spans="26:26" x14ac:dyDescent="0.2">
      <c r="Z16975" t="str">
        <f t="shared" si="265"/>
        <v/>
      </c>
    </row>
    <row r="16976" spans="26:26" x14ac:dyDescent="0.2">
      <c r="Z16976" t="str">
        <f t="shared" si="265"/>
        <v/>
      </c>
    </row>
    <row r="16977" spans="26:26" x14ac:dyDescent="0.2">
      <c r="Z16977" t="str">
        <f t="shared" si="265"/>
        <v/>
      </c>
    </row>
    <row r="16978" spans="26:26" x14ac:dyDescent="0.2">
      <c r="Z16978" t="str">
        <f t="shared" si="265"/>
        <v/>
      </c>
    </row>
    <row r="16979" spans="26:26" x14ac:dyDescent="0.2">
      <c r="Z16979" t="str">
        <f t="shared" si="265"/>
        <v/>
      </c>
    </row>
    <row r="16980" spans="26:26" x14ac:dyDescent="0.2">
      <c r="Z16980" t="str">
        <f t="shared" si="265"/>
        <v/>
      </c>
    </row>
    <row r="16981" spans="26:26" x14ac:dyDescent="0.2">
      <c r="Z16981" t="str">
        <f t="shared" si="265"/>
        <v/>
      </c>
    </row>
    <row r="16982" spans="26:26" x14ac:dyDescent="0.2">
      <c r="Z16982" t="str">
        <f t="shared" si="265"/>
        <v/>
      </c>
    </row>
    <row r="16983" spans="26:26" x14ac:dyDescent="0.2">
      <c r="Z16983" t="str">
        <f t="shared" si="265"/>
        <v/>
      </c>
    </row>
    <row r="16984" spans="26:26" x14ac:dyDescent="0.2">
      <c r="Z16984" t="str">
        <f t="shared" si="265"/>
        <v/>
      </c>
    </row>
    <row r="16985" spans="26:26" x14ac:dyDescent="0.2">
      <c r="Z16985" t="str">
        <f t="shared" si="265"/>
        <v/>
      </c>
    </row>
    <row r="16986" spans="26:26" x14ac:dyDescent="0.2">
      <c r="Z16986" t="str">
        <f t="shared" si="265"/>
        <v/>
      </c>
    </row>
    <row r="16987" spans="26:26" x14ac:dyDescent="0.2">
      <c r="Z16987" t="str">
        <f t="shared" si="265"/>
        <v/>
      </c>
    </row>
    <row r="16988" spans="26:26" x14ac:dyDescent="0.2">
      <c r="Z16988" t="str">
        <f t="shared" si="265"/>
        <v/>
      </c>
    </row>
    <row r="16989" spans="26:26" x14ac:dyDescent="0.2">
      <c r="Z16989" t="str">
        <f t="shared" si="265"/>
        <v/>
      </c>
    </row>
    <row r="16990" spans="26:26" x14ac:dyDescent="0.2">
      <c r="Z16990" t="str">
        <f t="shared" si="265"/>
        <v/>
      </c>
    </row>
    <row r="16991" spans="26:26" x14ac:dyDescent="0.2">
      <c r="Z16991" t="str">
        <f t="shared" si="265"/>
        <v/>
      </c>
    </row>
    <row r="16992" spans="26:26" x14ac:dyDescent="0.2">
      <c r="Z16992" t="str">
        <f t="shared" si="265"/>
        <v/>
      </c>
    </row>
    <row r="16993" spans="26:26" x14ac:dyDescent="0.2">
      <c r="Z16993" t="str">
        <f t="shared" si="265"/>
        <v/>
      </c>
    </row>
    <row r="16994" spans="26:26" x14ac:dyDescent="0.2">
      <c r="Z16994" t="str">
        <f t="shared" si="265"/>
        <v/>
      </c>
    </row>
    <row r="16995" spans="26:26" x14ac:dyDescent="0.2">
      <c r="Z16995" t="str">
        <f t="shared" si="265"/>
        <v/>
      </c>
    </row>
    <row r="16996" spans="26:26" x14ac:dyDescent="0.2">
      <c r="Z16996" t="str">
        <f t="shared" si="265"/>
        <v/>
      </c>
    </row>
    <row r="16997" spans="26:26" x14ac:dyDescent="0.2">
      <c r="Z16997" t="str">
        <f t="shared" si="265"/>
        <v/>
      </c>
    </row>
    <row r="16998" spans="26:26" x14ac:dyDescent="0.2">
      <c r="Z16998" t="str">
        <f t="shared" si="265"/>
        <v/>
      </c>
    </row>
    <row r="16999" spans="26:26" x14ac:dyDescent="0.2">
      <c r="Z16999" t="str">
        <f t="shared" si="265"/>
        <v/>
      </c>
    </row>
    <row r="17000" spans="26:26" x14ac:dyDescent="0.2">
      <c r="Z17000" t="str">
        <f t="shared" si="265"/>
        <v/>
      </c>
    </row>
    <row r="17001" spans="26:26" x14ac:dyDescent="0.2">
      <c r="Z17001" t="str">
        <f t="shared" si="265"/>
        <v/>
      </c>
    </row>
    <row r="17002" spans="26:26" x14ac:dyDescent="0.2">
      <c r="Z17002" t="str">
        <f t="shared" si="265"/>
        <v/>
      </c>
    </row>
    <row r="17003" spans="26:26" x14ac:dyDescent="0.2">
      <c r="Z17003" t="str">
        <f t="shared" si="265"/>
        <v/>
      </c>
    </row>
    <row r="17004" spans="26:26" x14ac:dyDescent="0.2">
      <c r="Z17004" t="str">
        <f t="shared" si="265"/>
        <v/>
      </c>
    </row>
    <row r="17005" spans="26:26" x14ac:dyDescent="0.2">
      <c r="Z17005" t="str">
        <f t="shared" si="265"/>
        <v/>
      </c>
    </row>
    <row r="17006" spans="26:26" x14ac:dyDescent="0.2">
      <c r="Z17006" t="str">
        <f t="shared" si="265"/>
        <v/>
      </c>
    </row>
    <row r="17007" spans="26:26" x14ac:dyDescent="0.2">
      <c r="Z17007" t="str">
        <f t="shared" si="265"/>
        <v/>
      </c>
    </row>
    <row r="17008" spans="26:26" x14ac:dyDescent="0.2">
      <c r="Z17008" t="str">
        <f t="shared" si="265"/>
        <v/>
      </c>
    </row>
    <row r="17009" spans="26:26" x14ac:dyDescent="0.2">
      <c r="Z17009" t="str">
        <f t="shared" si="265"/>
        <v/>
      </c>
    </row>
    <row r="17010" spans="26:26" x14ac:dyDescent="0.2">
      <c r="Z17010" t="str">
        <f t="shared" si="265"/>
        <v/>
      </c>
    </row>
    <row r="17011" spans="26:26" x14ac:dyDescent="0.2">
      <c r="Z17011" t="str">
        <f t="shared" si="265"/>
        <v/>
      </c>
    </row>
    <row r="17012" spans="26:26" x14ac:dyDescent="0.2">
      <c r="Z17012" t="str">
        <f t="shared" si="265"/>
        <v/>
      </c>
    </row>
    <row r="17013" spans="26:26" x14ac:dyDescent="0.2">
      <c r="Z17013" t="str">
        <f t="shared" si="265"/>
        <v/>
      </c>
    </row>
    <row r="17014" spans="26:26" x14ac:dyDescent="0.2">
      <c r="Z17014" t="str">
        <f t="shared" si="265"/>
        <v/>
      </c>
    </row>
    <row r="17015" spans="26:26" x14ac:dyDescent="0.2">
      <c r="Z17015" t="str">
        <f t="shared" si="265"/>
        <v/>
      </c>
    </row>
    <row r="17016" spans="26:26" x14ac:dyDescent="0.2">
      <c r="Z17016" t="str">
        <f t="shared" si="265"/>
        <v/>
      </c>
    </row>
    <row r="17017" spans="26:26" x14ac:dyDescent="0.2">
      <c r="Z17017" t="str">
        <f t="shared" si="265"/>
        <v/>
      </c>
    </row>
    <row r="17018" spans="26:26" x14ac:dyDescent="0.2">
      <c r="Z17018" t="str">
        <f t="shared" si="265"/>
        <v/>
      </c>
    </row>
    <row r="17019" spans="26:26" x14ac:dyDescent="0.2">
      <c r="Z17019" t="str">
        <f t="shared" si="265"/>
        <v/>
      </c>
    </row>
    <row r="17020" spans="26:26" x14ac:dyDescent="0.2">
      <c r="Z17020" t="str">
        <f t="shared" si="265"/>
        <v/>
      </c>
    </row>
    <row r="17021" spans="26:26" x14ac:dyDescent="0.2">
      <c r="Z17021" t="str">
        <f t="shared" si="265"/>
        <v/>
      </c>
    </row>
    <row r="17022" spans="26:26" x14ac:dyDescent="0.2">
      <c r="Z17022" t="str">
        <f t="shared" si="265"/>
        <v/>
      </c>
    </row>
    <row r="17023" spans="26:26" x14ac:dyDescent="0.2">
      <c r="Z17023" t="str">
        <f t="shared" si="265"/>
        <v/>
      </c>
    </row>
    <row r="17024" spans="26:26" x14ac:dyDescent="0.2">
      <c r="Z17024" t="str">
        <f t="shared" si="265"/>
        <v/>
      </c>
    </row>
    <row r="17025" spans="26:26" x14ac:dyDescent="0.2">
      <c r="Z17025" t="str">
        <f t="shared" si="265"/>
        <v/>
      </c>
    </row>
    <row r="17026" spans="26:26" x14ac:dyDescent="0.2">
      <c r="Z17026" t="str">
        <f t="shared" si="265"/>
        <v/>
      </c>
    </row>
    <row r="17027" spans="26:26" x14ac:dyDescent="0.2">
      <c r="Z17027" t="str">
        <f t="shared" ref="Z17027:Z17090" si="266">IF(K17027="","",IFERROR(VALUE(TRIM(MID(K17027,FIND(CHAR(167),SUBSTITUTE(K17027,"-",CHAR(167),LEN(K17027)-LEN(SUBSTITUTE(K17027,"-",""))))+1,100))),K17027))</f>
        <v/>
      </c>
    </row>
    <row r="17028" spans="26:26" x14ac:dyDescent="0.2">
      <c r="Z17028" t="str">
        <f t="shared" si="266"/>
        <v/>
      </c>
    </row>
    <row r="17029" spans="26:26" x14ac:dyDescent="0.2">
      <c r="Z17029" t="str">
        <f t="shared" si="266"/>
        <v/>
      </c>
    </row>
    <row r="17030" spans="26:26" x14ac:dyDescent="0.2">
      <c r="Z17030" t="str">
        <f t="shared" si="266"/>
        <v/>
      </c>
    </row>
    <row r="17031" spans="26:26" x14ac:dyDescent="0.2">
      <c r="Z17031" t="str">
        <f t="shared" si="266"/>
        <v/>
      </c>
    </row>
    <row r="17032" spans="26:26" x14ac:dyDescent="0.2">
      <c r="Z17032" t="str">
        <f t="shared" si="266"/>
        <v/>
      </c>
    </row>
    <row r="17033" spans="26:26" x14ac:dyDescent="0.2">
      <c r="Z17033" t="str">
        <f t="shared" si="266"/>
        <v/>
      </c>
    </row>
    <row r="17034" spans="26:26" x14ac:dyDescent="0.2">
      <c r="Z17034" t="str">
        <f t="shared" si="266"/>
        <v/>
      </c>
    </row>
    <row r="17035" spans="26:26" x14ac:dyDescent="0.2">
      <c r="Z17035" t="str">
        <f t="shared" si="266"/>
        <v/>
      </c>
    </row>
    <row r="17036" spans="26:26" x14ac:dyDescent="0.2">
      <c r="Z17036" t="str">
        <f t="shared" si="266"/>
        <v/>
      </c>
    </row>
    <row r="17037" spans="26:26" x14ac:dyDescent="0.2">
      <c r="Z17037" t="str">
        <f t="shared" si="266"/>
        <v/>
      </c>
    </row>
    <row r="17038" spans="26:26" x14ac:dyDescent="0.2">
      <c r="Z17038" t="str">
        <f t="shared" si="266"/>
        <v/>
      </c>
    </row>
    <row r="17039" spans="26:26" x14ac:dyDescent="0.2">
      <c r="Z17039" t="str">
        <f t="shared" si="266"/>
        <v/>
      </c>
    </row>
    <row r="17040" spans="26:26" x14ac:dyDescent="0.2">
      <c r="Z17040" t="str">
        <f t="shared" si="266"/>
        <v/>
      </c>
    </row>
    <row r="17041" spans="26:26" x14ac:dyDescent="0.2">
      <c r="Z17041" t="str">
        <f t="shared" si="266"/>
        <v/>
      </c>
    </row>
    <row r="17042" spans="26:26" x14ac:dyDescent="0.2">
      <c r="Z17042" t="str">
        <f t="shared" si="266"/>
        <v/>
      </c>
    </row>
    <row r="17043" spans="26:26" x14ac:dyDescent="0.2">
      <c r="Z17043" t="str">
        <f t="shared" si="266"/>
        <v/>
      </c>
    </row>
    <row r="17044" spans="26:26" x14ac:dyDescent="0.2">
      <c r="Z17044" t="str">
        <f t="shared" si="266"/>
        <v/>
      </c>
    </row>
    <row r="17045" spans="26:26" x14ac:dyDescent="0.2">
      <c r="Z17045" t="str">
        <f t="shared" si="266"/>
        <v/>
      </c>
    </row>
    <row r="17046" spans="26:26" x14ac:dyDescent="0.2">
      <c r="Z17046" t="str">
        <f t="shared" si="266"/>
        <v/>
      </c>
    </row>
    <row r="17047" spans="26:26" x14ac:dyDescent="0.2">
      <c r="Z17047" t="str">
        <f t="shared" si="266"/>
        <v/>
      </c>
    </row>
    <row r="17048" spans="26:26" x14ac:dyDescent="0.2">
      <c r="Z17048" t="str">
        <f t="shared" si="266"/>
        <v/>
      </c>
    </row>
    <row r="17049" spans="26:26" x14ac:dyDescent="0.2">
      <c r="Z17049" t="str">
        <f t="shared" si="266"/>
        <v/>
      </c>
    </row>
    <row r="17050" spans="26:26" x14ac:dyDescent="0.2">
      <c r="Z17050" t="str">
        <f t="shared" si="266"/>
        <v/>
      </c>
    </row>
    <row r="17051" spans="26:26" x14ac:dyDescent="0.2">
      <c r="Z17051" t="str">
        <f t="shared" si="266"/>
        <v/>
      </c>
    </row>
    <row r="17052" spans="26:26" x14ac:dyDescent="0.2">
      <c r="Z17052" t="str">
        <f t="shared" si="266"/>
        <v/>
      </c>
    </row>
    <row r="17053" spans="26:26" x14ac:dyDescent="0.2">
      <c r="Z17053" t="str">
        <f t="shared" si="266"/>
        <v/>
      </c>
    </row>
    <row r="17054" spans="26:26" x14ac:dyDescent="0.2">
      <c r="Z17054" t="str">
        <f t="shared" si="266"/>
        <v/>
      </c>
    </row>
    <row r="17055" spans="26:26" x14ac:dyDescent="0.2">
      <c r="Z17055" t="str">
        <f t="shared" si="266"/>
        <v/>
      </c>
    </row>
    <row r="17056" spans="26:26" x14ac:dyDescent="0.2">
      <c r="Z17056" t="str">
        <f t="shared" si="266"/>
        <v/>
      </c>
    </row>
    <row r="17057" spans="26:26" x14ac:dyDescent="0.2">
      <c r="Z17057" t="str">
        <f t="shared" si="266"/>
        <v/>
      </c>
    </row>
    <row r="17058" spans="26:26" x14ac:dyDescent="0.2">
      <c r="Z17058" t="str">
        <f t="shared" si="266"/>
        <v/>
      </c>
    </row>
    <row r="17059" spans="26:26" x14ac:dyDescent="0.2">
      <c r="Z17059" t="str">
        <f t="shared" si="266"/>
        <v/>
      </c>
    </row>
    <row r="17060" spans="26:26" x14ac:dyDescent="0.2">
      <c r="Z17060" t="str">
        <f t="shared" si="266"/>
        <v/>
      </c>
    </row>
    <row r="17061" spans="26:26" x14ac:dyDescent="0.2">
      <c r="Z17061" t="str">
        <f t="shared" si="266"/>
        <v/>
      </c>
    </row>
    <row r="17062" spans="26:26" x14ac:dyDescent="0.2">
      <c r="Z17062" t="str">
        <f t="shared" si="266"/>
        <v/>
      </c>
    </row>
    <row r="17063" spans="26:26" x14ac:dyDescent="0.2">
      <c r="Z17063" t="str">
        <f t="shared" si="266"/>
        <v/>
      </c>
    </row>
    <row r="17064" spans="26:26" x14ac:dyDescent="0.2">
      <c r="Z17064" t="str">
        <f t="shared" si="266"/>
        <v/>
      </c>
    </row>
    <row r="17065" spans="26:26" x14ac:dyDescent="0.2">
      <c r="Z17065" t="str">
        <f t="shared" si="266"/>
        <v/>
      </c>
    </row>
    <row r="17066" spans="26:26" x14ac:dyDescent="0.2">
      <c r="Z17066" t="str">
        <f t="shared" si="266"/>
        <v/>
      </c>
    </row>
    <row r="17067" spans="26:26" x14ac:dyDescent="0.2">
      <c r="Z17067" t="str">
        <f t="shared" si="266"/>
        <v/>
      </c>
    </row>
    <row r="17068" spans="26:26" x14ac:dyDescent="0.2">
      <c r="Z17068" t="str">
        <f t="shared" si="266"/>
        <v/>
      </c>
    </row>
    <row r="17069" spans="26:26" x14ac:dyDescent="0.2">
      <c r="Z17069" t="str">
        <f t="shared" si="266"/>
        <v/>
      </c>
    </row>
    <row r="17070" spans="26:26" x14ac:dyDescent="0.2">
      <c r="Z17070" t="str">
        <f t="shared" si="266"/>
        <v/>
      </c>
    </row>
    <row r="17071" spans="26:26" x14ac:dyDescent="0.2">
      <c r="Z17071" t="str">
        <f t="shared" si="266"/>
        <v/>
      </c>
    </row>
    <row r="17072" spans="26:26" x14ac:dyDescent="0.2">
      <c r="Z17072" t="str">
        <f t="shared" si="266"/>
        <v/>
      </c>
    </row>
    <row r="17073" spans="26:26" x14ac:dyDescent="0.2">
      <c r="Z17073" t="str">
        <f t="shared" si="266"/>
        <v/>
      </c>
    </row>
    <row r="17074" spans="26:26" x14ac:dyDescent="0.2">
      <c r="Z17074" t="str">
        <f t="shared" si="266"/>
        <v/>
      </c>
    </row>
    <row r="17075" spans="26:26" x14ac:dyDescent="0.2">
      <c r="Z17075" t="str">
        <f t="shared" si="266"/>
        <v/>
      </c>
    </row>
    <row r="17076" spans="26:26" x14ac:dyDescent="0.2">
      <c r="Z17076" t="str">
        <f t="shared" si="266"/>
        <v/>
      </c>
    </row>
    <row r="17077" spans="26:26" x14ac:dyDescent="0.2">
      <c r="Z17077" t="str">
        <f t="shared" si="266"/>
        <v/>
      </c>
    </row>
    <row r="17078" spans="26:26" x14ac:dyDescent="0.2">
      <c r="Z17078" t="str">
        <f t="shared" si="266"/>
        <v/>
      </c>
    </row>
    <row r="17079" spans="26:26" x14ac:dyDescent="0.2">
      <c r="Z17079" t="str">
        <f t="shared" si="266"/>
        <v/>
      </c>
    </row>
    <row r="17080" spans="26:26" x14ac:dyDescent="0.2">
      <c r="Z17080" t="str">
        <f t="shared" si="266"/>
        <v/>
      </c>
    </row>
    <row r="17081" spans="26:26" x14ac:dyDescent="0.2">
      <c r="Z17081" t="str">
        <f t="shared" si="266"/>
        <v/>
      </c>
    </row>
    <row r="17082" spans="26:26" x14ac:dyDescent="0.2">
      <c r="Z17082" t="str">
        <f t="shared" si="266"/>
        <v/>
      </c>
    </row>
    <row r="17083" spans="26:26" x14ac:dyDescent="0.2">
      <c r="Z17083" t="str">
        <f t="shared" si="266"/>
        <v/>
      </c>
    </row>
    <row r="17084" spans="26:26" x14ac:dyDescent="0.2">
      <c r="Z17084" t="str">
        <f t="shared" si="266"/>
        <v/>
      </c>
    </row>
    <row r="17085" spans="26:26" x14ac:dyDescent="0.2">
      <c r="Z17085" t="str">
        <f t="shared" si="266"/>
        <v/>
      </c>
    </row>
    <row r="17086" spans="26:26" x14ac:dyDescent="0.2">
      <c r="Z17086" t="str">
        <f t="shared" si="266"/>
        <v/>
      </c>
    </row>
    <row r="17087" spans="26:26" x14ac:dyDescent="0.2">
      <c r="Z17087" t="str">
        <f t="shared" si="266"/>
        <v/>
      </c>
    </row>
    <row r="17088" spans="26:26" x14ac:dyDescent="0.2">
      <c r="Z17088" t="str">
        <f t="shared" si="266"/>
        <v/>
      </c>
    </row>
    <row r="17089" spans="26:26" x14ac:dyDescent="0.2">
      <c r="Z17089" t="str">
        <f t="shared" si="266"/>
        <v/>
      </c>
    </row>
    <row r="17090" spans="26:26" x14ac:dyDescent="0.2">
      <c r="Z17090" t="str">
        <f t="shared" si="266"/>
        <v/>
      </c>
    </row>
    <row r="17091" spans="26:26" x14ac:dyDescent="0.2">
      <c r="Z17091" t="str">
        <f t="shared" ref="Z17091:Z17154" si="267">IF(K17091="","",IFERROR(VALUE(TRIM(MID(K17091,FIND(CHAR(167),SUBSTITUTE(K17091,"-",CHAR(167),LEN(K17091)-LEN(SUBSTITUTE(K17091,"-",""))))+1,100))),K17091))</f>
        <v/>
      </c>
    </row>
    <row r="17092" spans="26:26" x14ac:dyDescent="0.2">
      <c r="Z17092" t="str">
        <f t="shared" si="267"/>
        <v/>
      </c>
    </row>
    <row r="17093" spans="26:26" x14ac:dyDescent="0.2">
      <c r="Z17093" t="str">
        <f t="shared" si="267"/>
        <v/>
      </c>
    </row>
    <row r="17094" spans="26:26" x14ac:dyDescent="0.2">
      <c r="Z17094" t="str">
        <f t="shared" si="267"/>
        <v/>
      </c>
    </row>
    <row r="17095" spans="26:26" x14ac:dyDescent="0.2">
      <c r="Z17095" t="str">
        <f t="shared" si="267"/>
        <v/>
      </c>
    </row>
    <row r="17096" spans="26:26" x14ac:dyDescent="0.2">
      <c r="Z17096" t="str">
        <f t="shared" si="267"/>
        <v/>
      </c>
    </row>
    <row r="17097" spans="26:26" x14ac:dyDescent="0.2">
      <c r="Z17097" t="str">
        <f t="shared" si="267"/>
        <v/>
      </c>
    </row>
    <row r="17098" spans="26:26" x14ac:dyDescent="0.2">
      <c r="Z17098" t="str">
        <f t="shared" si="267"/>
        <v/>
      </c>
    </row>
    <row r="17099" spans="26:26" x14ac:dyDescent="0.2">
      <c r="Z17099" t="str">
        <f t="shared" si="267"/>
        <v/>
      </c>
    </row>
    <row r="17100" spans="26:26" x14ac:dyDescent="0.2">
      <c r="Z17100" t="str">
        <f t="shared" si="267"/>
        <v/>
      </c>
    </row>
    <row r="17101" spans="26:26" x14ac:dyDescent="0.2">
      <c r="Z17101" t="str">
        <f t="shared" si="267"/>
        <v/>
      </c>
    </row>
    <row r="17102" spans="26:26" x14ac:dyDescent="0.2">
      <c r="Z17102" t="str">
        <f t="shared" si="267"/>
        <v/>
      </c>
    </row>
    <row r="17103" spans="26:26" x14ac:dyDescent="0.2">
      <c r="Z17103" t="str">
        <f t="shared" si="267"/>
        <v/>
      </c>
    </row>
    <row r="17104" spans="26:26" x14ac:dyDescent="0.2">
      <c r="Z17104" t="str">
        <f t="shared" si="267"/>
        <v/>
      </c>
    </row>
    <row r="17105" spans="26:26" x14ac:dyDescent="0.2">
      <c r="Z17105" t="str">
        <f t="shared" si="267"/>
        <v/>
      </c>
    </row>
    <row r="17106" spans="26:26" x14ac:dyDescent="0.2">
      <c r="Z17106" t="str">
        <f t="shared" si="267"/>
        <v/>
      </c>
    </row>
    <row r="17107" spans="26:26" x14ac:dyDescent="0.2">
      <c r="Z17107" t="str">
        <f t="shared" si="267"/>
        <v/>
      </c>
    </row>
    <row r="17108" spans="26:26" x14ac:dyDescent="0.2">
      <c r="Z17108" t="str">
        <f t="shared" si="267"/>
        <v/>
      </c>
    </row>
    <row r="17109" spans="26:26" x14ac:dyDescent="0.2">
      <c r="Z17109" t="str">
        <f t="shared" si="267"/>
        <v/>
      </c>
    </row>
    <row r="17110" spans="26:26" x14ac:dyDescent="0.2">
      <c r="Z17110" t="str">
        <f t="shared" si="267"/>
        <v/>
      </c>
    </row>
    <row r="17111" spans="26:26" x14ac:dyDescent="0.2">
      <c r="Z17111" t="str">
        <f t="shared" si="267"/>
        <v/>
      </c>
    </row>
    <row r="17112" spans="26:26" x14ac:dyDescent="0.2">
      <c r="Z17112" t="str">
        <f t="shared" si="267"/>
        <v/>
      </c>
    </row>
    <row r="17113" spans="26:26" x14ac:dyDescent="0.2">
      <c r="Z17113" t="str">
        <f t="shared" si="267"/>
        <v/>
      </c>
    </row>
    <row r="17114" spans="26:26" x14ac:dyDescent="0.2">
      <c r="Z17114" t="str">
        <f t="shared" si="267"/>
        <v/>
      </c>
    </row>
    <row r="17115" spans="26:26" x14ac:dyDescent="0.2">
      <c r="Z17115" t="str">
        <f t="shared" si="267"/>
        <v/>
      </c>
    </row>
    <row r="17116" spans="26:26" x14ac:dyDescent="0.2">
      <c r="Z17116" t="str">
        <f t="shared" si="267"/>
        <v/>
      </c>
    </row>
    <row r="17117" spans="26:26" x14ac:dyDescent="0.2">
      <c r="Z17117" t="str">
        <f t="shared" si="267"/>
        <v/>
      </c>
    </row>
    <row r="17118" spans="26:26" x14ac:dyDescent="0.2">
      <c r="Z17118" t="str">
        <f t="shared" si="267"/>
        <v/>
      </c>
    </row>
    <row r="17119" spans="26:26" x14ac:dyDescent="0.2">
      <c r="Z17119" t="str">
        <f t="shared" si="267"/>
        <v/>
      </c>
    </row>
    <row r="17120" spans="26:26" x14ac:dyDescent="0.2">
      <c r="Z17120" t="str">
        <f t="shared" si="267"/>
        <v/>
      </c>
    </row>
    <row r="17121" spans="26:26" x14ac:dyDescent="0.2">
      <c r="Z17121" t="str">
        <f t="shared" si="267"/>
        <v/>
      </c>
    </row>
    <row r="17122" spans="26:26" x14ac:dyDescent="0.2">
      <c r="Z17122" t="str">
        <f t="shared" si="267"/>
        <v/>
      </c>
    </row>
    <row r="17123" spans="26:26" x14ac:dyDescent="0.2">
      <c r="Z17123" t="str">
        <f t="shared" si="267"/>
        <v/>
      </c>
    </row>
    <row r="17124" spans="26:26" x14ac:dyDescent="0.2">
      <c r="Z17124" t="str">
        <f t="shared" si="267"/>
        <v/>
      </c>
    </row>
    <row r="17125" spans="26:26" x14ac:dyDescent="0.2">
      <c r="Z17125" t="str">
        <f t="shared" si="267"/>
        <v/>
      </c>
    </row>
    <row r="17126" spans="26:26" x14ac:dyDescent="0.2">
      <c r="Z17126" t="str">
        <f t="shared" si="267"/>
        <v/>
      </c>
    </row>
    <row r="17127" spans="26:26" x14ac:dyDescent="0.2">
      <c r="Z17127" t="str">
        <f t="shared" si="267"/>
        <v/>
      </c>
    </row>
    <row r="17128" spans="26:26" x14ac:dyDescent="0.2">
      <c r="Z17128" t="str">
        <f t="shared" si="267"/>
        <v/>
      </c>
    </row>
    <row r="17129" spans="26:26" x14ac:dyDescent="0.2">
      <c r="Z17129" t="str">
        <f t="shared" si="267"/>
        <v/>
      </c>
    </row>
    <row r="17130" spans="26:26" x14ac:dyDescent="0.2">
      <c r="Z17130" t="str">
        <f t="shared" si="267"/>
        <v/>
      </c>
    </row>
    <row r="17131" spans="26:26" x14ac:dyDescent="0.2">
      <c r="Z17131" t="str">
        <f t="shared" si="267"/>
        <v/>
      </c>
    </row>
    <row r="17132" spans="26:26" x14ac:dyDescent="0.2">
      <c r="Z17132" t="str">
        <f t="shared" si="267"/>
        <v/>
      </c>
    </row>
    <row r="17133" spans="26:26" x14ac:dyDescent="0.2">
      <c r="Z17133" t="str">
        <f t="shared" si="267"/>
        <v/>
      </c>
    </row>
    <row r="17134" spans="26:26" x14ac:dyDescent="0.2">
      <c r="Z17134" t="str">
        <f t="shared" si="267"/>
        <v/>
      </c>
    </row>
    <row r="17135" spans="26:26" x14ac:dyDescent="0.2">
      <c r="Z17135" t="str">
        <f t="shared" si="267"/>
        <v/>
      </c>
    </row>
    <row r="17136" spans="26:26" x14ac:dyDescent="0.2">
      <c r="Z17136" t="str">
        <f t="shared" si="267"/>
        <v/>
      </c>
    </row>
    <row r="17137" spans="26:26" x14ac:dyDescent="0.2">
      <c r="Z17137" t="str">
        <f t="shared" si="267"/>
        <v/>
      </c>
    </row>
    <row r="17138" spans="26:26" x14ac:dyDescent="0.2">
      <c r="Z17138" t="str">
        <f t="shared" si="267"/>
        <v/>
      </c>
    </row>
    <row r="17139" spans="26:26" x14ac:dyDescent="0.2">
      <c r="Z17139" t="str">
        <f t="shared" si="267"/>
        <v/>
      </c>
    </row>
    <row r="17140" spans="26:26" x14ac:dyDescent="0.2">
      <c r="Z17140" t="str">
        <f t="shared" si="267"/>
        <v/>
      </c>
    </row>
    <row r="17141" spans="26:26" x14ac:dyDescent="0.2">
      <c r="Z17141" t="str">
        <f t="shared" si="267"/>
        <v/>
      </c>
    </row>
    <row r="17142" spans="26:26" x14ac:dyDescent="0.2">
      <c r="Z17142" t="str">
        <f t="shared" si="267"/>
        <v/>
      </c>
    </row>
    <row r="17143" spans="26:26" x14ac:dyDescent="0.2">
      <c r="Z17143" t="str">
        <f t="shared" si="267"/>
        <v/>
      </c>
    </row>
    <row r="17144" spans="26:26" x14ac:dyDescent="0.2">
      <c r="Z17144" t="str">
        <f t="shared" si="267"/>
        <v/>
      </c>
    </row>
    <row r="17145" spans="26:26" x14ac:dyDescent="0.2">
      <c r="Z17145" t="str">
        <f t="shared" si="267"/>
        <v/>
      </c>
    </row>
    <row r="17146" spans="26:26" x14ac:dyDescent="0.2">
      <c r="Z17146" t="str">
        <f t="shared" si="267"/>
        <v/>
      </c>
    </row>
    <row r="17147" spans="26:26" x14ac:dyDescent="0.2">
      <c r="Z17147" t="str">
        <f t="shared" si="267"/>
        <v/>
      </c>
    </row>
    <row r="17148" spans="26:26" x14ac:dyDescent="0.2">
      <c r="Z17148" t="str">
        <f t="shared" si="267"/>
        <v/>
      </c>
    </row>
    <row r="17149" spans="26:26" x14ac:dyDescent="0.2">
      <c r="Z17149" t="str">
        <f t="shared" si="267"/>
        <v/>
      </c>
    </row>
    <row r="17150" spans="26:26" x14ac:dyDescent="0.2">
      <c r="Z17150" t="str">
        <f t="shared" si="267"/>
        <v/>
      </c>
    </row>
    <row r="17151" spans="26:26" x14ac:dyDescent="0.2">
      <c r="Z17151" t="str">
        <f t="shared" si="267"/>
        <v/>
      </c>
    </row>
    <row r="17152" spans="26:26" x14ac:dyDescent="0.2">
      <c r="Z17152" t="str">
        <f t="shared" si="267"/>
        <v/>
      </c>
    </row>
    <row r="17153" spans="26:26" x14ac:dyDescent="0.2">
      <c r="Z17153" t="str">
        <f t="shared" si="267"/>
        <v/>
      </c>
    </row>
    <row r="17154" spans="26:26" x14ac:dyDescent="0.2">
      <c r="Z17154" t="str">
        <f t="shared" si="267"/>
        <v/>
      </c>
    </row>
    <row r="17155" spans="26:26" x14ac:dyDescent="0.2">
      <c r="Z17155" t="str">
        <f t="shared" ref="Z17155:Z17218" si="268">IF(K17155="","",IFERROR(VALUE(TRIM(MID(K17155,FIND(CHAR(167),SUBSTITUTE(K17155,"-",CHAR(167),LEN(K17155)-LEN(SUBSTITUTE(K17155,"-",""))))+1,100))),K17155))</f>
        <v/>
      </c>
    </row>
    <row r="17156" spans="26:26" x14ac:dyDescent="0.2">
      <c r="Z17156" t="str">
        <f t="shared" si="268"/>
        <v/>
      </c>
    </row>
    <row r="17157" spans="26:26" x14ac:dyDescent="0.2">
      <c r="Z17157" t="str">
        <f t="shared" si="268"/>
        <v/>
      </c>
    </row>
    <row r="17158" spans="26:26" x14ac:dyDescent="0.2">
      <c r="Z17158" t="str">
        <f t="shared" si="268"/>
        <v/>
      </c>
    </row>
    <row r="17159" spans="26:26" x14ac:dyDescent="0.2">
      <c r="Z17159" t="str">
        <f t="shared" si="268"/>
        <v/>
      </c>
    </row>
    <row r="17160" spans="26:26" x14ac:dyDescent="0.2">
      <c r="Z17160" t="str">
        <f t="shared" si="268"/>
        <v/>
      </c>
    </row>
    <row r="17161" spans="26:26" x14ac:dyDescent="0.2">
      <c r="Z17161" t="str">
        <f t="shared" si="268"/>
        <v/>
      </c>
    </row>
    <row r="17162" spans="26:26" x14ac:dyDescent="0.2">
      <c r="Z17162" t="str">
        <f t="shared" si="268"/>
        <v/>
      </c>
    </row>
    <row r="17163" spans="26:26" x14ac:dyDescent="0.2">
      <c r="Z17163" t="str">
        <f t="shared" si="268"/>
        <v/>
      </c>
    </row>
    <row r="17164" spans="26:26" x14ac:dyDescent="0.2">
      <c r="Z17164" t="str">
        <f t="shared" si="268"/>
        <v/>
      </c>
    </row>
    <row r="17165" spans="26:26" x14ac:dyDescent="0.2">
      <c r="Z17165" t="str">
        <f t="shared" si="268"/>
        <v/>
      </c>
    </row>
    <row r="17166" spans="26:26" x14ac:dyDescent="0.2">
      <c r="Z17166" t="str">
        <f t="shared" si="268"/>
        <v/>
      </c>
    </row>
    <row r="17167" spans="26:26" x14ac:dyDescent="0.2">
      <c r="Z17167" t="str">
        <f t="shared" si="268"/>
        <v/>
      </c>
    </row>
    <row r="17168" spans="26:26" x14ac:dyDescent="0.2">
      <c r="Z17168" t="str">
        <f t="shared" si="268"/>
        <v/>
      </c>
    </row>
    <row r="17169" spans="26:26" x14ac:dyDescent="0.2">
      <c r="Z17169" t="str">
        <f t="shared" si="268"/>
        <v/>
      </c>
    </row>
    <row r="17170" spans="26:26" x14ac:dyDescent="0.2">
      <c r="Z17170" t="str">
        <f t="shared" si="268"/>
        <v/>
      </c>
    </row>
    <row r="17171" spans="26:26" x14ac:dyDescent="0.2">
      <c r="Z17171" t="str">
        <f t="shared" si="268"/>
        <v/>
      </c>
    </row>
    <row r="17172" spans="26:26" x14ac:dyDescent="0.2">
      <c r="Z17172" t="str">
        <f t="shared" si="268"/>
        <v/>
      </c>
    </row>
    <row r="17173" spans="26:26" x14ac:dyDescent="0.2">
      <c r="Z17173" t="str">
        <f t="shared" si="268"/>
        <v/>
      </c>
    </row>
    <row r="17174" spans="26:26" x14ac:dyDescent="0.2">
      <c r="Z17174" t="str">
        <f t="shared" si="268"/>
        <v/>
      </c>
    </row>
    <row r="17175" spans="26:26" x14ac:dyDescent="0.2">
      <c r="Z17175" t="str">
        <f t="shared" si="268"/>
        <v/>
      </c>
    </row>
    <row r="17176" spans="26:26" x14ac:dyDescent="0.2">
      <c r="Z17176" t="str">
        <f t="shared" si="268"/>
        <v/>
      </c>
    </row>
    <row r="17177" spans="26:26" x14ac:dyDescent="0.2">
      <c r="Z17177" t="str">
        <f t="shared" si="268"/>
        <v/>
      </c>
    </row>
    <row r="17178" spans="26:26" x14ac:dyDescent="0.2">
      <c r="Z17178" t="str">
        <f t="shared" si="268"/>
        <v/>
      </c>
    </row>
    <row r="17179" spans="26:26" x14ac:dyDescent="0.2">
      <c r="Z17179" t="str">
        <f t="shared" si="268"/>
        <v/>
      </c>
    </row>
    <row r="17180" spans="26:26" x14ac:dyDescent="0.2">
      <c r="Z17180" t="str">
        <f t="shared" si="268"/>
        <v/>
      </c>
    </row>
    <row r="17181" spans="26:26" x14ac:dyDescent="0.2">
      <c r="Z17181" t="str">
        <f t="shared" si="268"/>
        <v/>
      </c>
    </row>
    <row r="17182" spans="26:26" x14ac:dyDescent="0.2">
      <c r="Z17182" t="str">
        <f t="shared" si="268"/>
        <v/>
      </c>
    </row>
    <row r="17183" spans="26:26" x14ac:dyDescent="0.2">
      <c r="Z17183" t="str">
        <f t="shared" si="268"/>
        <v/>
      </c>
    </row>
    <row r="17184" spans="26:26" x14ac:dyDescent="0.2">
      <c r="Z17184" t="str">
        <f t="shared" si="268"/>
        <v/>
      </c>
    </row>
    <row r="17185" spans="26:26" x14ac:dyDescent="0.2">
      <c r="Z17185" t="str">
        <f t="shared" si="268"/>
        <v/>
      </c>
    </row>
    <row r="17186" spans="26:26" x14ac:dyDescent="0.2">
      <c r="Z17186" t="str">
        <f t="shared" si="268"/>
        <v/>
      </c>
    </row>
    <row r="17187" spans="26:26" x14ac:dyDescent="0.2">
      <c r="Z17187" t="str">
        <f t="shared" si="268"/>
        <v/>
      </c>
    </row>
    <row r="17188" spans="26:26" x14ac:dyDescent="0.2">
      <c r="Z17188" t="str">
        <f t="shared" si="268"/>
        <v/>
      </c>
    </row>
    <row r="17189" spans="26:26" x14ac:dyDescent="0.2">
      <c r="Z17189" t="str">
        <f t="shared" si="268"/>
        <v/>
      </c>
    </row>
    <row r="17190" spans="26:26" x14ac:dyDescent="0.2">
      <c r="Z17190" t="str">
        <f t="shared" si="268"/>
        <v/>
      </c>
    </row>
    <row r="17191" spans="26:26" x14ac:dyDescent="0.2">
      <c r="Z17191" t="str">
        <f t="shared" si="268"/>
        <v/>
      </c>
    </row>
    <row r="17192" spans="26:26" x14ac:dyDescent="0.2">
      <c r="Z17192" t="str">
        <f t="shared" si="268"/>
        <v/>
      </c>
    </row>
    <row r="17193" spans="26:26" x14ac:dyDescent="0.2">
      <c r="Z17193" t="str">
        <f t="shared" si="268"/>
        <v/>
      </c>
    </row>
    <row r="17194" spans="26:26" x14ac:dyDescent="0.2">
      <c r="Z17194" t="str">
        <f t="shared" si="268"/>
        <v/>
      </c>
    </row>
    <row r="17195" spans="26:26" x14ac:dyDescent="0.2">
      <c r="Z17195" t="str">
        <f t="shared" si="268"/>
        <v/>
      </c>
    </row>
    <row r="17196" spans="26:26" x14ac:dyDescent="0.2">
      <c r="Z17196" t="str">
        <f t="shared" si="268"/>
        <v/>
      </c>
    </row>
    <row r="17197" spans="26:26" x14ac:dyDescent="0.2">
      <c r="Z17197" t="str">
        <f t="shared" si="268"/>
        <v/>
      </c>
    </row>
    <row r="17198" spans="26:26" x14ac:dyDescent="0.2">
      <c r="Z17198" t="str">
        <f t="shared" si="268"/>
        <v/>
      </c>
    </row>
    <row r="17199" spans="26:26" x14ac:dyDescent="0.2">
      <c r="Z17199" t="str">
        <f t="shared" si="268"/>
        <v/>
      </c>
    </row>
    <row r="17200" spans="26:26" x14ac:dyDescent="0.2">
      <c r="Z17200" t="str">
        <f t="shared" si="268"/>
        <v/>
      </c>
    </row>
    <row r="17201" spans="26:26" x14ac:dyDescent="0.2">
      <c r="Z17201" t="str">
        <f t="shared" si="268"/>
        <v/>
      </c>
    </row>
    <row r="17202" spans="26:26" x14ac:dyDescent="0.2">
      <c r="Z17202" t="str">
        <f t="shared" si="268"/>
        <v/>
      </c>
    </row>
    <row r="17203" spans="26:26" x14ac:dyDescent="0.2">
      <c r="Z17203" t="str">
        <f t="shared" si="268"/>
        <v/>
      </c>
    </row>
    <row r="17204" spans="26:26" x14ac:dyDescent="0.2">
      <c r="Z17204" t="str">
        <f t="shared" si="268"/>
        <v/>
      </c>
    </row>
    <row r="17205" spans="26:26" x14ac:dyDescent="0.2">
      <c r="Z17205" t="str">
        <f t="shared" si="268"/>
        <v/>
      </c>
    </row>
    <row r="17206" spans="26:26" x14ac:dyDescent="0.2">
      <c r="Z17206" t="str">
        <f t="shared" si="268"/>
        <v/>
      </c>
    </row>
    <row r="17207" spans="26:26" x14ac:dyDescent="0.2">
      <c r="Z17207" t="str">
        <f t="shared" si="268"/>
        <v/>
      </c>
    </row>
    <row r="17208" spans="26:26" x14ac:dyDescent="0.2">
      <c r="Z17208" t="str">
        <f t="shared" si="268"/>
        <v/>
      </c>
    </row>
    <row r="17209" spans="26:26" x14ac:dyDescent="0.2">
      <c r="Z17209" t="str">
        <f t="shared" si="268"/>
        <v/>
      </c>
    </row>
    <row r="17210" spans="26:26" x14ac:dyDescent="0.2">
      <c r="Z17210" t="str">
        <f t="shared" si="268"/>
        <v/>
      </c>
    </row>
    <row r="17211" spans="26:26" x14ac:dyDescent="0.2">
      <c r="Z17211" t="str">
        <f t="shared" si="268"/>
        <v/>
      </c>
    </row>
    <row r="17212" spans="26:26" x14ac:dyDescent="0.2">
      <c r="Z17212" t="str">
        <f t="shared" si="268"/>
        <v/>
      </c>
    </row>
    <row r="17213" spans="26:26" x14ac:dyDescent="0.2">
      <c r="Z17213" t="str">
        <f t="shared" si="268"/>
        <v/>
      </c>
    </row>
    <row r="17214" spans="26:26" x14ac:dyDescent="0.2">
      <c r="Z17214" t="str">
        <f t="shared" si="268"/>
        <v/>
      </c>
    </row>
    <row r="17215" spans="26:26" x14ac:dyDescent="0.2">
      <c r="Z17215" t="str">
        <f t="shared" si="268"/>
        <v/>
      </c>
    </row>
    <row r="17216" spans="26:26" x14ac:dyDescent="0.2">
      <c r="Z17216" t="str">
        <f t="shared" si="268"/>
        <v/>
      </c>
    </row>
    <row r="17217" spans="26:26" x14ac:dyDescent="0.2">
      <c r="Z17217" t="str">
        <f t="shared" si="268"/>
        <v/>
      </c>
    </row>
    <row r="17218" spans="26:26" x14ac:dyDescent="0.2">
      <c r="Z17218" t="str">
        <f t="shared" si="268"/>
        <v/>
      </c>
    </row>
    <row r="17219" spans="26:26" x14ac:dyDescent="0.2">
      <c r="Z17219" t="str">
        <f t="shared" ref="Z17219:Z17282" si="269">IF(K17219="","",IFERROR(VALUE(TRIM(MID(K17219,FIND(CHAR(167),SUBSTITUTE(K17219,"-",CHAR(167),LEN(K17219)-LEN(SUBSTITUTE(K17219,"-",""))))+1,100))),K17219))</f>
        <v/>
      </c>
    </row>
    <row r="17220" spans="26:26" x14ac:dyDescent="0.2">
      <c r="Z17220" t="str">
        <f t="shared" si="269"/>
        <v/>
      </c>
    </row>
    <row r="17221" spans="26:26" x14ac:dyDescent="0.2">
      <c r="Z17221" t="str">
        <f t="shared" si="269"/>
        <v/>
      </c>
    </row>
    <row r="17222" spans="26:26" x14ac:dyDescent="0.2">
      <c r="Z17222" t="str">
        <f t="shared" si="269"/>
        <v/>
      </c>
    </row>
    <row r="17223" spans="26:26" x14ac:dyDescent="0.2">
      <c r="Z17223" t="str">
        <f t="shared" si="269"/>
        <v/>
      </c>
    </row>
    <row r="17224" spans="26:26" x14ac:dyDescent="0.2">
      <c r="Z17224" t="str">
        <f t="shared" si="269"/>
        <v/>
      </c>
    </row>
    <row r="17225" spans="26:26" x14ac:dyDescent="0.2">
      <c r="Z17225" t="str">
        <f t="shared" si="269"/>
        <v/>
      </c>
    </row>
    <row r="17226" spans="26:26" x14ac:dyDescent="0.2">
      <c r="Z17226" t="str">
        <f t="shared" si="269"/>
        <v/>
      </c>
    </row>
    <row r="17227" spans="26:26" x14ac:dyDescent="0.2">
      <c r="Z17227" t="str">
        <f t="shared" si="269"/>
        <v/>
      </c>
    </row>
    <row r="17228" spans="26:26" x14ac:dyDescent="0.2">
      <c r="Z17228" t="str">
        <f t="shared" si="269"/>
        <v/>
      </c>
    </row>
    <row r="17229" spans="26:26" x14ac:dyDescent="0.2">
      <c r="Z17229" t="str">
        <f t="shared" si="269"/>
        <v/>
      </c>
    </row>
    <row r="17230" spans="26:26" x14ac:dyDescent="0.2">
      <c r="Z17230" t="str">
        <f t="shared" si="269"/>
        <v/>
      </c>
    </row>
    <row r="17231" spans="26:26" x14ac:dyDescent="0.2">
      <c r="Z17231" t="str">
        <f t="shared" si="269"/>
        <v/>
      </c>
    </row>
    <row r="17232" spans="26:26" x14ac:dyDescent="0.2">
      <c r="Z17232" t="str">
        <f t="shared" si="269"/>
        <v/>
      </c>
    </row>
    <row r="17233" spans="26:26" x14ac:dyDescent="0.2">
      <c r="Z17233" t="str">
        <f t="shared" si="269"/>
        <v/>
      </c>
    </row>
    <row r="17234" spans="26:26" x14ac:dyDescent="0.2">
      <c r="Z17234" t="str">
        <f t="shared" si="269"/>
        <v/>
      </c>
    </row>
    <row r="17235" spans="26:26" x14ac:dyDescent="0.2">
      <c r="Z17235" t="str">
        <f t="shared" si="269"/>
        <v/>
      </c>
    </row>
    <row r="17236" spans="26:26" x14ac:dyDescent="0.2">
      <c r="Z17236" t="str">
        <f t="shared" si="269"/>
        <v/>
      </c>
    </row>
    <row r="17237" spans="26:26" x14ac:dyDescent="0.2">
      <c r="Z17237" t="str">
        <f t="shared" si="269"/>
        <v/>
      </c>
    </row>
    <row r="17238" spans="26:26" x14ac:dyDescent="0.2">
      <c r="Z17238" t="str">
        <f t="shared" si="269"/>
        <v/>
      </c>
    </row>
    <row r="17239" spans="26:26" x14ac:dyDescent="0.2">
      <c r="Z17239" t="str">
        <f t="shared" si="269"/>
        <v/>
      </c>
    </row>
    <row r="17240" spans="26:26" x14ac:dyDescent="0.2">
      <c r="Z17240" t="str">
        <f t="shared" si="269"/>
        <v/>
      </c>
    </row>
    <row r="17241" spans="26:26" x14ac:dyDescent="0.2">
      <c r="Z17241" t="str">
        <f t="shared" si="269"/>
        <v/>
      </c>
    </row>
    <row r="17242" spans="26:26" x14ac:dyDescent="0.2">
      <c r="Z17242" t="str">
        <f t="shared" si="269"/>
        <v/>
      </c>
    </row>
    <row r="17243" spans="26:26" x14ac:dyDescent="0.2">
      <c r="Z17243" t="str">
        <f t="shared" si="269"/>
        <v/>
      </c>
    </row>
    <row r="17244" spans="26:26" x14ac:dyDescent="0.2">
      <c r="Z17244" t="str">
        <f t="shared" si="269"/>
        <v/>
      </c>
    </row>
    <row r="17245" spans="26:26" x14ac:dyDescent="0.2">
      <c r="Z17245" t="str">
        <f t="shared" si="269"/>
        <v/>
      </c>
    </row>
    <row r="17246" spans="26:26" x14ac:dyDescent="0.2">
      <c r="Z17246" t="str">
        <f t="shared" si="269"/>
        <v/>
      </c>
    </row>
    <row r="17247" spans="26:26" x14ac:dyDescent="0.2">
      <c r="Z17247" t="str">
        <f t="shared" si="269"/>
        <v/>
      </c>
    </row>
    <row r="17248" spans="26:26" x14ac:dyDescent="0.2">
      <c r="Z17248" t="str">
        <f t="shared" si="269"/>
        <v/>
      </c>
    </row>
    <row r="17249" spans="26:26" x14ac:dyDescent="0.2">
      <c r="Z17249" t="str">
        <f t="shared" si="269"/>
        <v/>
      </c>
    </row>
    <row r="17250" spans="26:26" x14ac:dyDescent="0.2">
      <c r="Z17250" t="str">
        <f t="shared" si="269"/>
        <v/>
      </c>
    </row>
    <row r="17251" spans="26:26" x14ac:dyDescent="0.2">
      <c r="Z17251" t="str">
        <f t="shared" si="269"/>
        <v/>
      </c>
    </row>
    <row r="17252" spans="26:26" x14ac:dyDescent="0.2">
      <c r="Z17252" t="str">
        <f t="shared" si="269"/>
        <v/>
      </c>
    </row>
    <row r="17253" spans="26:26" x14ac:dyDescent="0.2">
      <c r="Z17253" t="str">
        <f t="shared" si="269"/>
        <v/>
      </c>
    </row>
    <row r="17254" spans="26:26" x14ac:dyDescent="0.2">
      <c r="Z17254" t="str">
        <f t="shared" si="269"/>
        <v/>
      </c>
    </row>
    <row r="17255" spans="26:26" x14ac:dyDescent="0.2">
      <c r="Z17255" t="str">
        <f t="shared" si="269"/>
        <v/>
      </c>
    </row>
    <row r="17256" spans="26:26" x14ac:dyDescent="0.2">
      <c r="Z17256" t="str">
        <f t="shared" si="269"/>
        <v/>
      </c>
    </row>
    <row r="17257" spans="26:26" x14ac:dyDescent="0.2">
      <c r="Z17257" t="str">
        <f t="shared" si="269"/>
        <v/>
      </c>
    </row>
    <row r="17258" spans="26:26" x14ac:dyDescent="0.2">
      <c r="Z17258" t="str">
        <f t="shared" si="269"/>
        <v/>
      </c>
    </row>
    <row r="17259" spans="26:26" x14ac:dyDescent="0.2">
      <c r="Z17259" t="str">
        <f t="shared" si="269"/>
        <v/>
      </c>
    </row>
    <row r="17260" spans="26:26" x14ac:dyDescent="0.2">
      <c r="Z17260" t="str">
        <f t="shared" si="269"/>
        <v/>
      </c>
    </row>
    <row r="17261" spans="26:26" x14ac:dyDescent="0.2">
      <c r="Z17261" t="str">
        <f t="shared" si="269"/>
        <v/>
      </c>
    </row>
    <row r="17262" spans="26:26" x14ac:dyDescent="0.2">
      <c r="Z17262" t="str">
        <f t="shared" si="269"/>
        <v/>
      </c>
    </row>
    <row r="17263" spans="26:26" x14ac:dyDescent="0.2">
      <c r="Z17263" t="str">
        <f t="shared" si="269"/>
        <v/>
      </c>
    </row>
    <row r="17264" spans="26:26" x14ac:dyDescent="0.2">
      <c r="Z17264" t="str">
        <f t="shared" si="269"/>
        <v/>
      </c>
    </row>
    <row r="17265" spans="26:26" x14ac:dyDescent="0.2">
      <c r="Z17265" t="str">
        <f t="shared" si="269"/>
        <v/>
      </c>
    </row>
    <row r="17266" spans="26:26" x14ac:dyDescent="0.2">
      <c r="Z17266" t="str">
        <f t="shared" si="269"/>
        <v/>
      </c>
    </row>
    <row r="17267" spans="26:26" x14ac:dyDescent="0.2">
      <c r="Z17267" t="str">
        <f t="shared" si="269"/>
        <v/>
      </c>
    </row>
    <row r="17268" spans="26:26" x14ac:dyDescent="0.2">
      <c r="Z17268" t="str">
        <f t="shared" si="269"/>
        <v/>
      </c>
    </row>
    <row r="17269" spans="26:26" x14ac:dyDescent="0.2">
      <c r="Z17269" t="str">
        <f t="shared" si="269"/>
        <v/>
      </c>
    </row>
    <row r="17270" spans="26:26" x14ac:dyDescent="0.2">
      <c r="Z17270" t="str">
        <f t="shared" si="269"/>
        <v/>
      </c>
    </row>
    <row r="17271" spans="26:26" x14ac:dyDescent="0.2">
      <c r="Z17271" t="str">
        <f t="shared" si="269"/>
        <v/>
      </c>
    </row>
    <row r="17272" spans="26:26" x14ac:dyDescent="0.2">
      <c r="Z17272" t="str">
        <f t="shared" si="269"/>
        <v/>
      </c>
    </row>
    <row r="17273" spans="26:26" x14ac:dyDescent="0.2">
      <c r="Z17273" t="str">
        <f t="shared" si="269"/>
        <v/>
      </c>
    </row>
    <row r="17274" spans="26:26" x14ac:dyDescent="0.2">
      <c r="Z17274" t="str">
        <f t="shared" si="269"/>
        <v/>
      </c>
    </row>
    <row r="17275" spans="26:26" x14ac:dyDescent="0.2">
      <c r="Z17275" t="str">
        <f t="shared" si="269"/>
        <v/>
      </c>
    </row>
    <row r="17276" spans="26:26" x14ac:dyDescent="0.2">
      <c r="Z17276" t="str">
        <f t="shared" si="269"/>
        <v/>
      </c>
    </row>
    <row r="17277" spans="26:26" x14ac:dyDescent="0.2">
      <c r="Z17277" t="str">
        <f t="shared" si="269"/>
        <v/>
      </c>
    </row>
    <row r="17278" spans="26:26" x14ac:dyDescent="0.2">
      <c r="Z17278" t="str">
        <f t="shared" si="269"/>
        <v/>
      </c>
    </row>
    <row r="17279" spans="26:26" x14ac:dyDescent="0.2">
      <c r="Z17279" t="str">
        <f t="shared" si="269"/>
        <v/>
      </c>
    </row>
    <row r="17280" spans="26:26" x14ac:dyDescent="0.2">
      <c r="Z17280" t="str">
        <f t="shared" si="269"/>
        <v/>
      </c>
    </row>
    <row r="17281" spans="26:26" x14ac:dyDescent="0.2">
      <c r="Z17281" t="str">
        <f t="shared" si="269"/>
        <v/>
      </c>
    </row>
    <row r="17282" spans="26:26" x14ac:dyDescent="0.2">
      <c r="Z17282" t="str">
        <f t="shared" si="269"/>
        <v/>
      </c>
    </row>
    <row r="17283" spans="26:26" x14ac:dyDescent="0.2">
      <c r="Z17283" t="str">
        <f t="shared" ref="Z17283:Z17346" si="270">IF(K17283="","",IFERROR(VALUE(TRIM(MID(K17283,FIND(CHAR(167),SUBSTITUTE(K17283,"-",CHAR(167),LEN(K17283)-LEN(SUBSTITUTE(K17283,"-",""))))+1,100))),K17283))</f>
        <v/>
      </c>
    </row>
    <row r="17284" spans="26:26" x14ac:dyDescent="0.2">
      <c r="Z17284" t="str">
        <f t="shared" si="270"/>
        <v/>
      </c>
    </row>
    <row r="17285" spans="26:26" x14ac:dyDescent="0.2">
      <c r="Z17285" t="str">
        <f t="shared" si="270"/>
        <v/>
      </c>
    </row>
    <row r="17286" spans="26:26" x14ac:dyDescent="0.2">
      <c r="Z17286" t="str">
        <f t="shared" si="270"/>
        <v/>
      </c>
    </row>
    <row r="17287" spans="26:26" x14ac:dyDescent="0.2">
      <c r="Z17287" t="str">
        <f t="shared" si="270"/>
        <v/>
      </c>
    </row>
    <row r="17288" spans="26:26" x14ac:dyDescent="0.2">
      <c r="Z17288" t="str">
        <f t="shared" si="270"/>
        <v/>
      </c>
    </row>
    <row r="17289" spans="26:26" x14ac:dyDescent="0.2">
      <c r="Z17289" t="str">
        <f t="shared" si="270"/>
        <v/>
      </c>
    </row>
    <row r="17290" spans="26:26" x14ac:dyDescent="0.2">
      <c r="Z17290" t="str">
        <f t="shared" si="270"/>
        <v/>
      </c>
    </row>
    <row r="17291" spans="26:26" x14ac:dyDescent="0.2">
      <c r="Z17291" t="str">
        <f t="shared" si="270"/>
        <v/>
      </c>
    </row>
    <row r="17292" spans="26:26" x14ac:dyDescent="0.2">
      <c r="Z17292" t="str">
        <f t="shared" si="270"/>
        <v/>
      </c>
    </row>
    <row r="17293" spans="26:26" x14ac:dyDescent="0.2">
      <c r="Z17293" t="str">
        <f t="shared" si="270"/>
        <v/>
      </c>
    </row>
    <row r="17294" spans="26:26" x14ac:dyDescent="0.2">
      <c r="Z17294" t="str">
        <f t="shared" si="270"/>
        <v/>
      </c>
    </row>
    <row r="17295" spans="26:26" x14ac:dyDescent="0.2">
      <c r="Z17295" t="str">
        <f t="shared" si="270"/>
        <v/>
      </c>
    </row>
    <row r="17296" spans="26:26" x14ac:dyDescent="0.2">
      <c r="Z17296" t="str">
        <f t="shared" si="270"/>
        <v/>
      </c>
    </row>
    <row r="17297" spans="26:26" x14ac:dyDescent="0.2">
      <c r="Z17297" t="str">
        <f t="shared" si="270"/>
        <v/>
      </c>
    </row>
    <row r="17298" spans="26:26" x14ac:dyDescent="0.2">
      <c r="Z17298" t="str">
        <f t="shared" si="270"/>
        <v/>
      </c>
    </row>
    <row r="17299" spans="26:26" x14ac:dyDescent="0.2">
      <c r="Z17299" t="str">
        <f t="shared" si="270"/>
        <v/>
      </c>
    </row>
    <row r="17300" spans="26:26" x14ac:dyDescent="0.2">
      <c r="Z17300" t="str">
        <f t="shared" si="270"/>
        <v/>
      </c>
    </row>
    <row r="17301" spans="26:26" x14ac:dyDescent="0.2">
      <c r="Z17301" t="str">
        <f t="shared" si="270"/>
        <v/>
      </c>
    </row>
    <row r="17302" spans="26:26" x14ac:dyDescent="0.2">
      <c r="Z17302" t="str">
        <f t="shared" si="270"/>
        <v/>
      </c>
    </row>
    <row r="17303" spans="26:26" x14ac:dyDescent="0.2">
      <c r="Z17303" t="str">
        <f t="shared" si="270"/>
        <v/>
      </c>
    </row>
    <row r="17304" spans="26:26" x14ac:dyDescent="0.2">
      <c r="Z17304" t="str">
        <f t="shared" si="270"/>
        <v/>
      </c>
    </row>
    <row r="17305" spans="26:26" x14ac:dyDescent="0.2">
      <c r="Z17305" t="str">
        <f t="shared" si="270"/>
        <v/>
      </c>
    </row>
    <row r="17306" spans="26:26" x14ac:dyDescent="0.2">
      <c r="Z17306" t="str">
        <f t="shared" si="270"/>
        <v/>
      </c>
    </row>
    <row r="17307" spans="26:26" x14ac:dyDescent="0.2">
      <c r="Z17307" t="str">
        <f t="shared" si="270"/>
        <v/>
      </c>
    </row>
    <row r="17308" spans="26:26" x14ac:dyDescent="0.2">
      <c r="Z17308" t="str">
        <f t="shared" si="270"/>
        <v/>
      </c>
    </row>
    <row r="17309" spans="26:26" x14ac:dyDescent="0.2">
      <c r="Z17309" t="str">
        <f t="shared" si="270"/>
        <v/>
      </c>
    </row>
    <row r="17310" spans="26:26" x14ac:dyDescent="0.2">
      <c r="Z17310" t="str">
        <f t="shared" si="270"/>
        <v/>
      </c>
    </row>
    <row r="17311" spans="26:26" x14ac:dyDescent="0.2">
      <c r="Z17311" t="str">
        <f t="shared" si="270"/>
        <v/>
      </c>
    </row>
    <row r="17312" spans="26:26" x14ac:dyDescent="0.2">
      <c r="Z17312" t="str">
        <f t="shared" si="270"/>
        <v/>
      </c>
    </row>
    <row r="17313" spans="26:26" x14ac:dyDescent="0.2">
      <c r="Z17313" t="str">
        <f t="shared" si="270"/>
        <v/>
      </c>
    </row>
    <row r="17314" spans="26:26" x14ac:dyDescent="0.2">
      <c r="Z17314" t="str">
        <f t="shared" si="270"/>
        <v/>
      </c>
    </row>
    <row r="17315" spans="26:26" x14ac:dyDescent="0.2">
      <c r="Z17315" t="str">
        <f t="shared" si="270"/>
        <v/>
      </c>
    </row>
    <row r="17316" spans="26:26" x14ac:dyDescent="0.2">
      <c r="Z17316" t="str">
        <f t="shared" si="270"/>
        <v/>
      </c>
    </row>
    <row r="17317" spans="26:26" x14ac:dyDescent="0.2">
      <c r="Z17317" t="str">
        <f t="shared" si="270"/>
        <v/>
      </c>
    </row>
    <row r="17318" spans="26:26" x14ac:dyDescent="0.2">
      <c r="Z17318" t="str">
        <f t="shared" si="270"/>
        <v/>
      </c>
    </row>
    <row r="17319" spans="26:26" x14ac:dyDescent="0.2">
      <c r="Z17319" t="str">
        <f t="shared" si="270"/>
        <v/>
      </c>
    </row>
    <row r="17320" spans="26:26" x14ac:dyDescent="0.2">
      <c r="Z17320" t="str">
        <f t="shared" si="270"/>
        <v/>
      </c>
    </row>
    <row r="17321" spans="26:26" x14ac:dyDescent="0.2">
      <c r="Z17321" t="str">
        <f t="shared" si="270"/>
        <v/>
      </c>
    </row>
    <row r="17322" spans="26:26" x14ac:dyDescent="0.2">
      <c r="Z17322" t="str">
        <f t="shared" si="270"/>
        <v/>
      </c>
    </row>
    <row r="17323" spans="26:26" x14ac:dyDescent="0.2">
      <c r="Z17323" t="str">
        <f t="shared" si="270"/>
        <v/>
      </c>
    </row>
    <row r="17324" spans="26:26" x14ac:dyDescent="0.2">
      <c r="Z17324" t="str">
        <f t="shared" si="270"/>
        <v/>
      </c>
    </row>
    <row r="17325" spans="26:26" x14ac:dyDescent="0.2">
      <c r="Z17325" t="str">
        <f t="shared" si="270"/>
        <v/>
      </c>
    </row>
    <row r="17326" spans="26:26" x14ac:dyDescent="0.2">
      <c r="Z17326" t="str">
        <f t="shared" si="270"/>
        <v/>
      </c>
    </row>
    <row r="17327" spans="26:26" x14ac:dyDescent="0.2">
      <c r="Z17327" t="str">
        <f t="shared" si="270"/>
        <v/>
      </c>
    </row>
    <row r="17328" spans="26:26" x14ac:dyDescent="0.2">
      <c r="Z17328" t="str">
        <f t="shared" si="270"/>
        <v/>
      </c>
    </row>
    <row r="17329" spans="26:26" x14ac:dyDescent="0.2">
      <c r="Z17329" t="str">
        <f t="shared" si="270"/>
        <v/>
      </c>
    </row>
    <row r="17330" spans="26:26" x14ac:dyDescent="0.2">
      <c r="Z17330" t="str">
        <f t="shared" si="270"/>
        <v/>
      </c>
    </row>
    <row r="17331" spans="26:26" x14ac:dyDescent="0.2">
      <c r="Z17331" t="str">
        <f t="shared" si="270"/>
        <v/>
      </c>
    </row>
    <row r="17332" spans="26:26" x14ac:dyDescent="0.2">
      <c r="Z17332" t="str">
        <f t="shared" si="270"/>
        <v/>
      </c>
    </row>
    <row r="17333" spans="26:26" x14ac:dyDescent="0.2">
      <c r="Z17333" t="str">
        <f t="shared" si="270"/>
        <v/>
      </c>
    </row>
    <row r="17334" spans="26:26" x14ac:dyDescent="0.2">
      <c r="Z17334" t="str">
        <f t="shared" si="270"/>
        <v/>
      </c>
    </row>
    <row r="17335" spans="26:26" x14ac:dyDescent="0.2">
      <c r="Z17335" t="str">
        <f t="shared" si="270"/>
        <v/>
      </c>
    </row>
    <row r="17336" spans="26:26" x14ac:dyDescent="0.2">
      <c r="Z17336" t="str">
        <f t="shared" si="270"/>
        <v/>
      </c>
    </row>
    <row r="17337" spans="26:26" x14ac:dyDescent="0.2">
      <c r="Z17337" t="str">
        <f t="shared" si="270"/>
        <v/>
      </c>
    </row>
    <row r="17338" spans="26:26" x14ac:dyDescent="0.2">
      <c r="Z17338" t="str">
        <f t="shared" si="270"/>
        <v/>
      </c>
    </row>
    <row r="17339" spans="26:26" x14ac:dyDescent="0.2">
      <c r="Z17339" t="str">
        <f t="shared" si="270"/>
        <v/>
      </c>
    </row>
    <row r="17340" spans="26:26" x14ac:dyDescent="0.2">
      <c r="Z17340" t="str">
        <f t="shared" si="270"/>
        <v/>
      </c>
    </row>
    <row r="17341" spans="26:26" x14ac:dyDescent="0.2">
      <c r="Z17341" t="str">
        <f t="shared" si="270"/>
        <v/>
      </c>
    </row>
    <row r="17342" spans="26:26" x14ac:dyDescent="0.2">
      <c r="Z17342" t="str">
        <f t="shared" si="270"/>
        <v/>
      </c>
    </row>
    <row r="17343" spans="26:26" x14ac:dyDescent="0.2">
      <c r="Z17343" t="str">
        <f t="shared" si="270"/>
        <v/>
      </c>
    </row>
    <row r="17344" spans="26:26" x14ac:dyDescent="0.2">
      <c r="Z17344" t="str">
        <f t="shared" si="270"/>
        <v/>
      </c>
    </row>
    <row r="17345" spans="26:26" x14ac:dyDescent="0.2">
      <c r="Z17345" t="str">
        <f t="shared" si="270"/>
        <v/>
      </c>
    </row>
    <row r="17346" spans="26:26" x14ac:dyDescent="0.2">
      <c r="Z17346" t="str">
        <f t="shared" si="270"/>
        <v/>
      </c>
    </row>
    <row r="17347" spans="26:26" x14ac:dyDescent="0.2">
      <c r="Z17347" t="str">
        <f t="shared" ref="Z17347:Z17410" si="271">IF(K17347="","",IFERROR(VALUE(TRIM(MID(K17347,FIND(CHAR(167),SUBSTITUTE(K17347,"-",CHAR(167),LEN(K17347)-LEN(SUBSTITUTE(K17347,"-",""))))+1,100))),K17347))</f>
        <v/>
      </c>
    </row>
    <row r="17348" spans="26:26" x14ac:dyDescent="0.2">
      <c r="Z17348" t="str">
        <f t="shared" si="271"/>
        <v/>
      </c>
    </row>
    <row r="17349" spans="26:26" x14ac:dyDescent="0.2">
      <c r="Z17349" t="str">
        <f t="shared" si="271"/>
        <v/>
      </c>
    </row>
    <row r="17350" spans="26:26" x14ac:dyDescent="0.2">
      <c r="Z17350" t="str">
        <f t="shared" si="271"/>
        <v/>
      </c>
    </row>
    <row r="17351" spans="26:26" x14ac:dyDescent="0.2">
      <c r="Z17351" t="str">
        <f t="shared" si="271"/>
        <v/>
      </c>
    </row>
    <row r="17352" spans="26:26" x14ac:dyDescent="0.2">
      <c r="Z17352" t="str">
        <f t="shared" si="271"/>
        <v/>
      </c>
    </row>
    <row r="17353" spans="26:26" x14ac:dyDescent="0.2">
      <c r="Z17353" t="str">
        <f t="shared" si="271"/>
        <v/>
      </c>
    </row>
    <row r="17354" spans="26:26" x14ac:dyDescent="0.2">
      <c r="Z17354" t="str">
        <f t="shared" si="271"/>
        <v/>
      </c>
    </row>
    <row r="17355" spans="26:26" x14ac:dyDescent="0.2">
      <c r="Z17355" t="str">
        <f t="shared" si="271"/>
        <v/>
      </c>
    </row>
    <row r="17356" spans="26:26" x14ac:dyDescent="0.2">
      <c r="Z17356" t="str">
        <f t="shared" si="271"/>
        <v/>
      </c>
    </row>
    <row r="17357" spans="26:26" x14ac:dyDescent="0.2">
      <c r="Z17357" t="str">
        <f t="shared" si="271"/>
        <v/>
      </c>
    </row>
    <row r="17358" spans="26:26" x14ac:dyDescent="0.2">
      <c r="Z17358" t="str">
        <f t="shared" si="271"/>
        <v/>
      </c>
    </row>
    <row r="17359" spans="26:26" x14ac:dyDescent="0.2">
      <c r="Z17359" t="str">
        <f t="shared" si="271"/>
        <v/>
      </c>
    </row>
    <row r="17360" spans="26:26" x14ac:dyDescent="0.2">
      <c r="Z17360" t="str">
        <f t="shared" si="271"/>
        <v/>
      </c>
    </row>
    <row r="17361" spans="26:26" x14ac:dyDescent="0.2">
      <c r="Z17361" t="str">
        <f t="shared" si="271"/>
        <v/>
      </c>
    </row>
    <row r="17362" spans="26:26" x14ac:dyDescent="0.2">
      <c r="Z17362" t="str">
        <f t="shared" si="271"/>
        <v/>
      </c>
    </row>
    <row r="17363" spans="26:26" x14ac:dyDescent="0.2">
      <c r="Z17363" t="str">
        <f t="shared" si="271"/>
        <v/>
      </c>
    </row>
    <row r="17364" spans="26:26" x14ac:dyDescent="0.2">
      <c r="Z17364" t="str">
        <f t="shared" si="271"/>
        <v/>
      </c>
    </row>
    <row r="17365" spans="26:26" x14ac:dyDescent="0.2">
      <c r="Z17365" t="str">
        <f t="shared" si="271"/>
        <v/>
      </c>
    </row>
    <row r="17366" spans="26:26" x14ac:dyDescent="0.2">
      <c r="Z17366" t="str">
        <f t="shared" si="271"/>
        <v/>
      </c>
    </row>
    <row r="17367" spans="26:26" x14ac:dyDescent="0.2">
      <c r="Z17367" t="str">
        <f t="shared" si="271"/>
        <v/>
      </c>
    </row>
    <row r="17368" spans="26:26" x14ac:dyDescent="0.2">
      <c r="Z17368" t="str">
        <f t="shared" si="271"/>
        <v/>
      </c>
    </row>
    <row r="17369" spans="26:26" x14ac:dyDescent="0.2">
      <c r="Z17369" t="str">
        <f t="shared" si="271"/>
        <v/>
      </c>
    </row>
    <row r="17370" spans="26:26" x14ac:dyDescent="0.2">
      <c r="Z17370" t="str">
        <f t="shared" si="271"/>
        <v/>
      </c>
    </row>
    <row r="17371" spans="26:26" x14ac:dyDescent="0.2">
      <c r="Z17371" t="str">
        <f t="shared" si="271"/>
        <v/>
      </c>
    </row>
    <row r="17372" spans="26:26" x14ac:dyDescent="0.2">
      <c r="Z17372" t="str">
        <f t="shared" si="271"/>
        <v/>
      </c>
    </row>
    <row r="17373" spans="26:26" x14ac:dyDescent="0.2">
      <c r="Z17373" t="str">
        <f t="shared" si="271"/>
        <v/>
      </c>
    </row>
    <row r="17374" spans="26:26" x14ac:dyDescent="0.2">
      <c r="Z17374" t="str">
        <f t="shared" si="271"/>
        <v/>
      </c>
    </row>
    <row r="17375" spans="26:26" x14ac:dyDescent="0.2">
      <c r="Z17375" t="str">
        <f t="shared" si="271"/>
        <v/>
      </c>
    </row>
    <row r="17376" spans="26:26" x14ac:dyDescent="0.2">
      <c r="Z17376" t="str">
        <f t="shared" si="271"/>
        <v/>
      </c>
    </row>
    <row r="17377" spans="26:26" x14ac:dyDescent="0.2">
      <c r="Z17377" t="str">
        <f t="shared" si="271"/>
        <v/>
      </c>
    </row>
    <row r="17378" spans="26:26" x14ac:dyDescent="0.2">
      <c r="Z17378" t="str">
        <f t="shared" si="271"/>
        <v/>
      </c>
    </row>
    <row r="17379" spans="26:26" x14ac:dyDescent="0.2">
      <c r="Z17379" t="str">
        <f t="shared" si="271"/>
        <v/>
      </c>
    </row>
    <row r="17380" spans="26:26" x14ac:dyDescent="0.2">
      <c r="Z17380" t="str">
        <f t="shared" si="271"/>
        <v/>
      </c>
    </row>
    <row r="17381" spans="26:26" x14ac:dyDescent="0.2">
      <c r="Z17381" t="str">
        <f t="shared" si="271"/>
        <v/>
      </c>
    </row>
    <row r="17382" spans="26:26" x14ac:dyDescent="0.2">
      <c r="Z17382" t="str">
        <f t="shared" si="271"/>
        <v/>
      </c>
    </row>
    <row r="17383" spans="26:26" x14ac:dyDescent="0.2">
      <c r="Z17383" t="str">
        <f t="shared" si="271"/>
        <v/>
      </c>
    </row>
    <row r="17384" spans="26:26" x14ac:dyDescent="0.2">
      <c r="Z17384" t="str">
        <f t="shared" si="271"/>
        <v/>
      </c>
    </row>
    <row r="17385" spans="26:26" x14ac:dyDescent="0.2">
      <c r="Z17385" t="str">
        <f t="shared" si="271"/>
        <v/>
      </c>
    </row>
    <row r="17386" spans="26:26" x14ac:dyDescent="0.2">
      <c r="Z17386" t="str">
        <f t="shared" si="271"/>
        <v/>
      </c>
    </row>
    <row r="17387" spans="26:26" x14ac:dyDescent="0.2">
      <c r="Z17387" t="str">
        <f t="shared" si="271"/>
        <v/>
      </c>
    </row>
    <row r="17388" spans="26:26" x14ac:dyDescent="0.2">
      <c r="Z17388" t="str">
        <f t="shared" si="271"/>
        <v/>
      </c>
    </row>
    <row r="17389" spans="26:26" x14ac:dyDescent="0.2">
      <c r="Z17389" t="str">
        <f t="shared" si="271"/>
        <v/>
      </c>
    </row>
    <row r="17390" spans="26:26" x14ac:dyDescent="0.2">
      <c r="Z17390" t="str">
        <f t="shared" si="271"/>
        <v/>
      </c>
    </row>
    <row r="17391" spans="26:26" x14ac:dyDescent="0.2">
      <c r="Z17391" t="str">
        <f t="shared" si="271"/>
        <v/>
      </c>
    </row>
    <row r="17392" spans="26:26" x14ac:dyDescent="0.2">
      <c r="Z17392" t="str">
        <f t="shared" si="271"/>
        <v/>
      </c>
    </row>
    <row r="17393" spans="26:26" x14ac:dyDescent="0.2">
      <c r="Z17393" t="str">
        <f t="shared" si="271"/>
        <v/>
      </c>
    </row>
    <row r="17394" spans="26:26" x14ac:dyDescent="0.2">
      <c r="Z17394" t="str">
        <f t="shared" si="271"/>
        <v/>
      </c>
    </row>
    <row r="17395" spans="26:26" x14ac:dyDescent="0.2">
      <c r="Z17395" t="str">
        <f t="shared" si="271"/>
        <v/>
      </c>
    </row>
    <row r="17396" spans="26:26" x14ac:dyDescent="0.2">
      <c r="Z17396" t="str">
        <f t="shared" si="271"/>
        <v/>
      </c>
    </row>
    <row r="17397" spans="26:26" x14ac:dyDescent="0.2">
      <c r="Z17397" t="str">
        <f t="shared" si="271"/>
        <v/>
      </c>
    </row>
    <row r="17398" spans="26:26" x14ac:dyDescent="0.2">
      <c r="Z17398" t="str">
        <f t="shared" si="271"/>
        <v/>
      </c>
    </row>
    <row r="17399" spans="26:26" x14ac:dyDescent="0.2">
      <c r="Z17399" t="str">
        <f t="shared" si="271"/>
        <v/>
      </c>
    </row>
    <row r="17400" spans="26:26" x14ac:dyDescent="0.2">
      <c r="Z17400" t="str">
        <f t="shared" si="271"/>
        <v/>
      </c>
    </row>
    <row r="17401" spans="26:26" x14ac:dyDescent="0.2">
      <c r="Z17401" t="str">
        <f t="shared" si="271"/>
        <v/>
      </c>
    </row>
    <row r="17402" spans="26:26" x14ac:dyDescent="0.2">
      <c r="Z17402" t="str">
        <f t="shared" si="271"/>
        <v/>
      </c>
    </row>
    <row r="17403" spans="26:26" x14ac:dyDescent="0.2">
      <c r="Z17403" t="str">
        <f t="shared" si="271"/>
        <v/>
      </c>
    </row>
    <row r="17404" spans="26:26" x14ac:dyDescent="0.2">
      <c r="Z17404" t="str">
        <f t="shared" si="271"/>
        <v/>
      </c>
    </row>
    <row r="17405" spans="26:26" x14ac:dyDescent="0.2">
      <c r="Z17405" t="str">
        <f t="shared" si="271"/>
        <v/>
      </c>
    </row>
    <row r="17406" spans="26:26" x14ac:dyDescent="0.2">
      <c r="Z17406" t="str">
        <f t="shared" si="271"/>
        <v/>
      </c>
    </row>
    <row r="17407" spans="26:26" x14ac:dyDescent="0.2">
      <c r="Z17407" t="str">
        <f t="shared" si="271"/>
        <v/>
      </c>
    </row>
    <row r="17408" spans="26:26" x14ac:dyDescent="0.2">
      <c r="Z17408" t="str">
        <f t="shared" si="271"/>
        <v/>
      </c>
    </row>
    <row r="17409" spans="26:26" x14ac:dyDescent="0.2">
      <c r="Z17409" t="str">
        <f t="shared" si="271"/>
        <v/>
      </c>
    </row>
    <row r="17410" spans="26:26" x14ac:dyDescent="0.2">
      <c r="Z17410" t="str">
        <f t="shared" si="271"/>
        <v/>
      </c>
    </row>
    <row r="17411" spans="26:26" x14ac:dyDescent="0.2">
      <c r="Z17411" t="str">
        <f t="shared" ref="Z17411:Z17474" si="272">IF(K17411="","",IFERROR(VALUE(TRIM(MID(K17411,FIND(CHAR(167),SUBSTITUTE(K17411,"-",CHAR(167),LEN(K17411)-LEN(SUBSTITUTE(K17411,"-",""))))+1,100))),K17411))</f>
        <v/>
      </c>
    </row>
    <row r="17412" spans="26:26" x14ac:dyDescent="0.2">
      <c r="Z17412" t="str">
        <f t="shared" si="272"/>
        <v/>
      </c>
    </row>
    <row r="17413" spans="26:26" x14ac:dyDescent="0.2">
      <c r="Z17413" t="str">
        <f t="shared" si="272"/>
        <v/>
      </c>
    </row>
    <row r="17414" spans="26:26" x14ac:dyDescent="0.2">
      <c r="Z17414" t="str">
        <f t="shared" si="272"/>
        <v/>
      </c>
    </row>
    <row r="17415" spans="26:26" x14ac:dyDescent="0.2">
      <c r="Z17415" t="str">
        <f t="shared" si="272"/>
        <v/>
      </c>
    </row>
    <row r="17416" spans="26:26" x14ac:dyDescent="0.2">
      <c r="Z17416" t="str">
        <f t="shared" si="272"/>
        <v/>
      </c>
    </row>
    <row r="17417" spans="26:26" x14ac:dyDescent="0.2">
      <c r="Z17417" t="str">
        <f t="shared" si="272"/>
        <v/>
      </c>
    </row>
    <row r="17418" spans="26:26" x14ac:dyDescent="0.2">
      <c r="Z17418" t="str">
        <f t="shared" si="272"/>
        <v/>
      </c>
    </row>
    <row r="17419" spans="26:26" x14ac:dyDescent="0.2">
      <c r="Z17419" t="str">
        <f t="shared" si="272"/>
        <v/>
      </c>
    </row>
    <row r="17420" spans="26:26" x14ac:dyDescent="0.2">
      <c r="Z17420" t="str">
        <f t="shared" si="272"/>
        <v/>
      </c>
    </row>
    <row r="17421" spans="26:26" x14ac:dyDescent="0.2">
      <c r="Z17421" t="str">
        <f t="shared" si="272"/>
        <v/>
      </c>
    </row>
    <row r="17422" spans="26:26" x14ac:dyDescent="0.2">
      <c r="Z17422" t="str">
        <f t="shared" si="272"/>
        <v/>
      </c>
    </row>
    <row r="17423" spans="26:26" x14ac:dyDescent="0.2">
      <c r="Z17423" t="str">
        <f t="shared" si="272"/>
        <v/>
      </c>
    </row>
    <row r="17424" spans="26:26" x14ac:dyDescent="0.2">
      <c r="Z17424" t="str">
        <f t="shared" si="272"/>
        <v/>
      </c>
    </row>
    <row r="17425" spans="26:26" x14ac:dyDescent="0.2">
      <c r="Z17425" t="str">
        <f t="shared" si="272"/>
        <v/>
      </c>
    </row>
    <row r="17426" spans="26:26" x14ac:dyDescent="0.2">
      <c r="Z17426" t="str">
        <f t="shared" si="272"/>
        <v/>
      </c>
    </row>
    <row r="17427" spans="26:26" x14ac:dyDescent="0.2">
      <c r="Z17427" t="str">
        <f t="shared" si="272"/>
        <v/>
      </c>
    </row>
    <row r="17428" spans="26:26" x14ac:dyDescent="0.2">
      <c r="Z17428" t="str">
        <f t="shared" si="272"/>
        <v/>
      </c>
    </row>
    <row r="17429" spans="26:26" x14ac:dyDescent="0.2">
      <c r="Z17429" t="str">
        <f t="shared" si="272"/>
        <v/>
      </c>
    </row>
    <row r="17430" spans="26:26" x14ac:dyDescent="0.2">
      <c r="Z17430" t="str">
        <f t="shared" si="272"/>
        <v/>
      </c>
    </row>
    <row r="17431" spans="26:26" x14ac:dyDescent="0.2">
      <c r="Z17431" t="str">
        <f t="shared" si="272"/>
        <v/>
      </c>
    </row>
    <row r="17432" spans="26:26" x14ac:dyDescent="0.2">
      <c r="Z17432" t="str">
        <f t="shared" si="272"/>
        <v/>
      </c>
    </row>
    <row r="17433" spans="26:26" x14ac:dyDescent="0.2">
      <c r="Z17433" t="str">
        <f t="shared" si="272"/>
        <v/>
      </c>
    </row>
    <row r="17434" spans="26:26" x14ac:dyDescent="0.2">
      <c r="Z17434" t="str">
        <f t="shared" si="272"/>
        <v/>
      </c>
    </row>
    <row r="17435" spans="26:26" x14ac:dyDescent="0.2">
      <c r="Z17435" t="str">
        <f t="shared" si="272"/>
        <v/>
      </c>
    </row>
    <row r="17436" spans="26:26" x14ac:dyDescent="0.2">
      <c r="Z17436" t="str">
        <f t="shared" si="272"/>
        <v/>
      </c>
    </row>
    <row r="17437" spans="26:26" x14ac:dyDescent="0.2">
      <c r="Z17437" t="str">
        <f t="shared" si="272"/>
        <v/>
      </c>
    </row>
    <row r="17438" spans="26:26" x14ac:dyDescent="0.2">
      <c r="Z17438" t="str">
        <f t="shared" si="272"/>
        <v/>
      </c>
    </row>
    <row r="17439" spans="26:26" x14ac:dyDescent="0.2">
      <c r="Z17439" t="str">
        <f t="shared" si="272"/>
        <v/>
      </c>
    </row>
    <row r="17440" spans="26:26" x14ac:dyDescent="0.2">
      <c r="Z17440" t="str">
        <f t="shared" si="272"/>
        <v/>
      </c>
    </row>
    <row r="17441" spans="26:26" x14ac:dyDescent="0.2">
      <c r="Z17441" t="str">
        <f t="shared" si="272"/>
        <v/>
      </c>
    </row>
    <row r="17442" spans="26:26" x14ac:dyDescent="0.2">
      <c r="Z17442" t="str">
        <f t="shared" si="272"/>
        <v/>
      </c>
    </row>
    <row r="17443" spans="26:26" x14ac:dyDescent="0.2">
      <c r="Z17443" t="str">
        <f t="shared" si="272"/>
        <v/>
      </c>
    </row>
    <row r="17444" spans="26:26" x14ac:dyDescent="0.2">
      <c r="Z17444" t="str">
        <f t="shared" si="272"/>
        <v/>
      </c>
    </row>
    <row r="17445" spans="26:26" x14ac:dyDescent="0.2">
      <c r="Z17445" t="str">
        <f t="shared" si="272"/>
        <v/>
      </c>
    </row>
    <row r="17446" spans="26:26" x14ac:dyDescent="0.2">
      <c r="Z17446" t="str">
        <f t="shared" si="272"/>
        <v/>
      </c>
    </row>
    <row r="17447" spans="26:26" x14ac:dyDescent="0.2">
      <c r="Z17447" t="str">
        <f t="shared" si="272"/>
        <v/>
      </c>
    </row>
    <row r="17448" spans="26:26" x14ac:dyDescent="0.2">
      <c r="Z17448" t="str">
        <f t="shared" si="272"/>
        <v/>
      </c>
    </row>
    <row r="17449" spans="26:26" x14ac:dyDescent="0.2">
      <c r="Z17449" t="str">
        <f t="shared" si="272"/>
        <v/>
      </c>
    </row>
    <row r="17450" spans="26:26" x14ac:dyDescent="0.2">
      <c r="Z17450" t="str">
        <f t="shared" si="272"/>
        <v/>
      </c>
    </row>
    <row r="17451" spans="26:26" x14ac:dyDescent="0.2">
      <c r="Z17451" t="str">
        <f t="shared" si="272"/>
        <v/>
      </c>
    </row>
    <row r="17452" spans="26:26" x14ac:dyDescent="0.2">
      <c r="Z17452" t="str">
        <f t="shared" si="272"/>
        <v/>
      </c>
    </row>
    <row r="17453" spans="26:26" x14ac:dyDescent="0.2">
      <c r="Z17453" t="str">
        <f t="shared" si="272"/>
        <v/>
      </c>
    </row>
    <row r="17454" spans="26:26" x14ac:dyDescent="0.2">
      <c r="Z17454" t="str">
        <f t="shared" si="272"/>
        <v/>
      </c>
    </row>
    <row r="17455" spans="26:26" x14ac:dyDescent="0.2">
      <c r="Z17455" t="str">
        <f t="shared" si="272"/>
        <v/>
      </c>
    </row>
    <row r="17456" spans="26:26" x14ac:dyDescent="0.2">
      <c r="Z17456" t="str">
        <f t="shared" si="272"/>
        <v/>
      </c>
    </row>
    <row r="17457" spans="26:26" x14ac:dyDescent="0.2">
      <c r="Z17457" t="str">
        <f t="shared" si="272"/>
        <v/>
      </c>
    </row>
    <row r="17458" spans="26:26" x14ac:dyDescent="0.2">
      <c r="Z17458" t="str">
        <f t="shared" si="272"/>
        <v/>
      </c>
    </row>
    <row r="17459" spans="26:26" x14ac:dyDescent="0.2">
      <c r="Z17459" t="str">
        <f t="shared" si="272"/>
        <v/>
      </c>
    </row>
    <row r="17460" spans="26:26" x14ac:dyDescent="0.2">
      <c r="Z17460" t="str">
        <f t="shared" si="272"/>
        <v/>
      </c>
    </row>
    <row r="17461" spans="26:26" x14ac:dyDescent="0.2">
      <c r="Z17461" t="str">
        <f t="shared" si="272"/>
        <v/>
      </c>
    </row>
    <row r="17462" spans="26:26" x14ac:dyDescent="0.2">
      <c r="Z17462" t="str">
        <f t="shared" si="272"/>
        <v/>
      </c>
    </row>
    <row r="17463" spans="26:26" x14ac:dyDescent="0.2">
      <c r="Z17463" t="str">
        <f t="shared" si="272"/>
        <v/>
      </c>
    </row>
    <row r="17464" spans="26:26" x14ac:dyDescent="0.2">
      <c r="Z17464" t="str">
        <f t="shared" si="272"/>
        <v/>
      </c>
    </row>
    <row r="17465" spans="26:26" x14ac:dyDescent="0.2">
      <c r="Z17465" t="str">
        <f t="shared" si="272"/>
        <v/>
      </c>
    </row>
    <row r="17466" spans="26:26" x14ac:dyDescent="0.2">
      <c r="Z17466" t="str">
        <f t="shared" si="272"/>
        <v/>
      </c>
    </row>
    <row r="17467" spans="26:26" x14ac:dyDescent="0.2">
      <c r="Z17467" t="str">
        <f t="shared" si="272"/>
        <v/>
      </c>
    </row>
    <row r="17468" spans="26:26" x14ac:dyDescent="0.2">
      <c r="Z17468" t="str">
        <f t="shared" si="272"/>
        <v/>
      </c>
    </row>
    <row r="17469" spans="26:26" x14ac:dyDescent="0.2">
      <c r="Z17469" t="str">
        <f t="shared" si="272"/>
        <v/>
      </c>
    </row>
    <row r="17470" spans="26:26" x14ac:dyDescent="0.2">
      <c r="Z17470" t="str">
        <f t="shared" si="272"/>
        <v/>
      </c>
    </row>
    <row r="17471" spans="26:26" x14ac:dyDescent="0.2">
      <c r="Z17471" t="str">
        <f t="shared" si="272"/>
        <v/>
      </c>
    </row>
    <row r="17472" spans="26:26" x14ac:dyDescent="0.2">
      <c r="Z17472" t="str">
        <f t="shared" si="272"/>
        <v/>
      </c>
    </row>
    <row r="17473" spans="26:26" x14ac:dyDescent="0.2">
      <c r="Z17473" t="str">
        <f t="shared" si="272"/>
        <v/>
      </c>
    </row>
    <row r="17474" spans="26:26" x14ac:dyDescent="0.2">
      <c r="Z17474" t="str">
        <f t="shared" si="272"/>
        <v/>
      </c>
    </row>
    <row r="17475" spans="26:26" x14ac:dyDescent="0.2">
      <c r="Z17475" t="str">
        <f t="shared" ref="Z17475:Z17538" si="273">IF(K17475="","",IFERROR(VALUE(TRIM(MID(K17475,FIND(CHAR(167),SUBSTITUTE(K17475,"-",CHAR(167),LEN(K17475)-LEN(SUBSTITUTE(K17475,"-",""))))+1,100))),K17475))</f>
        <v/>
      </c>
    </row>
    <row r="17476" spans="26:26" x14ac:dyDescent="0.2">
      <c r="Z17476" t="str">
        <f t="shared" si="273"/>
        <v/>
      </c>
    </row>
    <row r="17477" spans="26:26" x14ac:dyDescent="0.2">
      <c r="Z17477" t="str">
        <f t="shared" si="273"/>
        <v/>
      </c>
    </row>
    <row r="17478" spans="26:26" x14ac:dyDescent="0.2">
      <c r="Z17478" t="str">
        <f t="shared" si="273"/>
        <v/>
      </c>
    </row>
    <row r="17479" spans="26:26" x14ac:dyDescent="0.2">
      <c r="Z17479" t="str">
        <f t="shared" si="273"/>
        <v/>
      </c>
    </row>
    <row r="17480" spans="26:26" x14ac:dyDescent="0.2">
      <c r="Z17480" t="str">
        <f t="shared" si="273"/>
        <v/>
      </c>
    </row>
    <row r="17481" spans="26:26" x14ac:dyDescent="0.2">
      <c r="Z17481" t="str">
        <f t="shared" si="273"/>
        <v/>
      </c>
    </row>
    <row r="17482" spans="26:26" x14ac:dyDescent="0.2">
      <c r="Z17482" t="str">
        <f t="shared" si="273"/>
        <v/>
      </c>
    </row>
    <row r="17483" spans="26:26" x14ac:dyDescent="0.2">
      <c r="Z17483" t="str">
        <f t="shared" si="273"/>
        <v/>
      </c>
    </row>
    <row r="17484" spans="26:26" x14ac:dyDescent="0.2">
      <c r="Z17484" t="str">
        <f t="shared" si="273"/>
        <v/>
      </c>
    </row>
    <row r="17485" spans="26:26" x14ac:dyDescent="0.2">
      <c r="Z17485" t="str">
        <f t="shared" si="273"/>
        <v/>
      </c>
    </row>
    <row r="17486" spans="26:26" x14ac:dyDescent="0.2">
      <c r="Z17486" t="str">
        <f t="shared" si="273"/>
        <v/>
      </c>
    </row>
    <row r="17487" spans="26:26" x14ac:dyDescent="0.2">
      <c r="Z17487" t="str">
        <f t="shared" si="273"/>
        <v/>
      </c>
    </row>
    <row r="17488" spans="26:26" x14ac:dyDescent="0.2">
      <c r="Z17488" t="str">
        <f t="shared" si="273"/>
        <v/>
      </c>
    </row>
    <row r="17489" spans="26:26" x14ac:dyDescent="0.2">
      <c r="Z17489" t="str">
        <f t="shared" si="273"/>
        <v/>
      </c>
    </row>
    <row r="17490" spans="26:26" x14ac:dyDescent="0.2">
      <c r="Z17490" t="str">
        <f t="shared" si="273"/>
        <v/>
      </c>
    </row>
    <row r="17491" spans="26:26" x14ac:dyDescent="0.2">
      <c r="Z17491" t="str">
        <f t="shared" si="273"/>
        <v/>
      </c>
    </row>
    <row r="17492" spans="26:26" x14ac:dyDescent="0.2">
      <c r="Z17492" t="str">
        <f t="shared" si="273"/>
        <v/>
      </c>
    </row>
    <row r="17493" spans="26:26" x14ac:dyDescent="0.2">
      <c r="Z17493" t="str">
        <f t="shared" si="273"/>
        <v/>
      </c>
    </row>
    <row r="17494" spans="26:26" x14ac:dyDescent="0.2">
      <c r="Z17494" t="str">
        <f t="shared" si="273"/>
        <v/>
      </c>
    </row>
    <row r="17495" spans="26:26" x14ac:dyDescent="0.2">
      <c r="Z17495" t="str">
        <f t="shared" si="273"/>
        <v/>
      </c>
    </row>
    <row r="17496" spans="26:26" x14ac:dyDescent="0.2">
      <c r="Z17496" t="str">
        <f t="shared" si="273"/>
        <v/>
      </c>
    </row>
    <row r="17497" spans="26:26" x14ac:dyDescent="0.2">
      <c r="Z17497" t="str">
        <f t="shared" si="273"/>
        <v/>
      </c>
    </row>
    <row r="17498" spans="26:26" x14ac:dyDescent="0.2">
      <c r="Z17498" t="str">
        <f t="shared" si="273"/>
        <v/>
      </c>
    </row>
    <row r="17499" spans="26:26" x14ac:dyDescent="0.2">
      <c r="Z17499" t="str">
        <f t="shared" si="273"/>
        <v/>
      </c>
    </row>
    <row r="17500" spans="26:26" x14ac:dyDescent="0.2">
      <c r="Z17500" t="str">
        <f t="shared" si="273"/>
        <v/>
      </c>
    </row>
    <row r="17501" spans="26:26" x14ac:dyDescent="0.2">
      <c r="Z17501" t="str">
        <f t="shared" si="273"/>
        <v/>
      </c>
    </row>
    <row r="17502" spans="26:26" x14ac:dyDescent="0.2">
      <c r="Z17502" t="str">
        <f t="shared" si="273"/>
        <v/>
      </c>
    </row>
    <row r="17503" spans="26:26" x14ac:dyDescent="0.2">
      <c r="Z17503" t="str">
        <f t="shared" si="273"/>
        <v/>
      </c>
    </row>
    <row r="17504" spans="26:26" x14ac:dyDescent="0.2">
      <c r="Z17504" t="str">
        <f t="shared" si="273"/>
        <v/>
      </c>
    </row>
    <row r="17505" spans="26:26" x14ac:dyDescent="0.2">
      <c r="Z17505" t="str">
        <f t="shared" si="273"/>
        <v/>
      </c>
    </row>
    <row r="17506" spans="26:26" x14ac:dyDescent="0.2">
      <c r="Z17506" t="str">
        <f t="shared" si="273"/>
        <v/>
      </c>
    </row>
    <row r="17507" spans="26:26" x14ac:dyDescent="0.2">
      <c r="Z17507" t="str">
        <f t="shared" si="273"/>
        <v/>
      </c>
    </row>
    <row r="17508" spans="26:26" x14ac:dyDescent="0.2">
      <c r="Z17508" t="str">
        <f t="shared" si="273"/>
        <v/>
      </c>
    </row>
    <row r="17509" spans="26:26" x14ac:dyDescent="0.2">
      <c r="Z17509" t="str">
        <f t="shared" si="273"/>
        <v/>
      </c>
    </row>
    <row r="17510" spans="26:26" x14ac:dyDescent="0.2">
      <c r="Z17510" t="str">
        <f t="shared" si="273"/>
        <v/>
      </c>
    </row>
    <row r="17511" spans="26:26" x14ac:dyDescent="0.2">
      <c r="Z17511" t="str">
        <f t="shared" si="273"/>
        <v/>
      </c>
    </row>
    <row r="17512" spans="26:26" x14ac:dyDescent="0.2">
      <c r="Z17512" t="str">
        <f t="shared" si="273"/>
        <v/>
      </c>
    </row>
    <row r="17513" spans="26:26" x14ac:dyDescent="0.2">
      <c r="Z17513" t="str">
        <f t="shared" si="273"/>
        <v/>
      </c>
    </row>
    <row r="17514" spans="26:26" x14ac:dyDescent="0.2">
      <c r="Z17514" t="str">
        <f t="shared" si="273"/>
        <v/>
      </c>
    </row>
    <row r="17515" spans="26:26" x14ac:dyDescent="0.2">
      <c r="Z17515" t="str">
        <f t="shared" si="273"/>
        <v/>
      </c>
    </row>
    <row r="17516" spans="26:26" x14ac:dyDescent="0.2">
      <c r="Z17516" t="str">
        <f t="shared" si="273"/>
        <v/>
      </c>
    </row>
    <row r="17517" spans="26:26" x14ac:dyDescent="0.2">
      <c r="Z17517" t="str">
        <f t="shared" si="273"/>
        <v/>
      </c>
    </row>
    <row r="17518" spans="26:26" x14ac:dyDescent="0.2">
      <c r="Z17518" t="str">
        <f t="shared" si="273"/>
        <v/>
      </c>
    </row>
    <row r="17519" spans="26:26" x14ac:dyDescent="0.2">
      <c r="Z17519" t="str">
        <f t="shared" si="273"/>
        <v/>
      </c>
    </row>
    <row r="17520" spans="26:26" x14ac:dyDescent="0.2">
      <c r="Z17520" t="str">
        <f t="shared" si="273"/>
        <v/>
      </c>
    </row>
    <row r="17521" spans="26:26" x14ac:dyDescent="0.2">
      <c r="Z17521" t="str">
        <f t="shared" si="273"/>
        <v/>
      </c>
    </row>
    <row r="17522" spans="26:26" x14ac:dyDescent="0.2">
      <c r="Z17522" t="str">
        <f t="shared" si="273"/>
        <v/>
      </c>
    </row>
    <row r="17523" spans="26:26" x14ac:dyDescent="0.2">
      <c r="Z17523" t="str">
        <f t="shared" si="273"/>
        <v/>
      </c>
    </row>
    <row r="17524" spans="26:26" x14ac:dyDescent="0.2">
      <c r="Z17524" t="str">
        <f t="shared" si="273"/>
        <v/>
      </c>
    </row>
    <row r="17525" spans="26:26" x14ac:dyDescent="0.2">
      <c r="Z17525" t="str">
        <f t="shared" si="273"/>
        <v/>
      </c>
    </row>
    <row r="17526" spans="26:26" x14ac:dyDescent="0.2">
      <c r="Z17526" t="str">
        <f t="shared" si="273"/>
        <v/>
      </c>
    </row>
    <row r="17527" spans="26:26" x14ac:dyDescent="0.2">
      <c r="Z17527" t="str">
        <f t="shared" si="273"/>
        <v/>
      </c>
    </row>
    <row r="17528" spans="26:26" x14ac:dyDescent="0.2">
      <c r="Z17528" t="str">
        <f t="shared" si="273"/>
        <v/>
      </c>
    </row>
    <row r="17529" spans="26:26" x14ac:dyDescent="0.2">
      <c r="Z17529" t="str">
        <f t="shared" si="273"/>
        <v/>
      </c>
    </row>
    <row r="17530" spans="26:26" x14ac:dyDescent="0.2">
      <c r="Z17530" t="str">
        <f t="shared" si="273"/>
        <v/>
      </c>
    </row>
    <row r="17531" spans="26:26" x14ac:dyDescent="0.2">
      <c r="Z17531" t="str">
        <f t="shared" si="273"/>
        <v/>
      </c>
    </row>
    <row r="17532" spans="26:26" x14ac:dyDescent="0.2">
      <c r="Z17532" t="str">
        <f t="shared" si="273"/>
        <v/>
      </c>
    </row>
    <row r="17533" spans="26:26" x14ac:dyDescent="0.2">
      <c r="Z17533" t="str">
        <f t="shared" si="273"/>
        <v/>
      </c>
    </row>
    <row r="17534" spans="26:26" x14ac:dyDescent="0.2">
      <c r="Z17534" t="str">
        <f t="shared" si="273"/>
        <v/>
      </c>
    </row>
    <row r="17535" spans="26:26" x14ac:dyDescent="0.2">
      <c r="Z17535" t="str">
        <f t="shared" si="273"/>
        <v/>
      </c>
    </row>
    <row r="17536" spans="26:26" x14ac:dyDescent="0.2">
      <c r="Z17536" t="str">
        <f t="shared" si="273"/>
        <v/>
      </c>
    </row>
    <row r="17537" spans="26:26" x14ac:dyDescent="0.2">
      <c r="Z17537" t="str">
        <f t="shared" si="273"/>
        <v/>
      </c>
    </row>
    <row r="17538" spans="26:26" x14ac:dyDescent="0.2">
      <c r="Z17538" t="str">
        <f t="shared" si="273"/>
        <v/>
      </c>
    </row>
    <row r="17539" spans="26:26" x14ac:dyDescent="0.2">
      <c r="Z17539" t="str">
        <f t="shared" ref="Z17539:Z17602" si="274">IF(K17539="","",IFERROR(VALUE(TRIM(MID(K17539,FIND(CHAR(167),SUBSTITUTE(K17539,"-",CHAR(167),LEN(K17539)-LEN(SUBSTITUTE(K17539,"-",""))))+1,100))),K17539))</f>
        <v/>
      </c>
    </row>
    <row r="17540" spans="26:26" x14ac:dyDescent="0.2">
      <c r="Z17540" t="str">
        <f t="shared" si="274"/>
        <v/>
      </c>
    </row>
    <row r="17541" spans="26:26" x14ac:dyDescent="0.2">
      <c r="Z17541" t="str">
        <f t="shared" si="274"/>
        <v/>
      </c>
    </row>
    <row r="17542" spans="26:26" x14ac:dyDescent="0.2">
      <c r="Z17542" t="str">
        <f t="shared" si="274"/>
        <v/>
      </c>
    </row>
    <row r="17543" spans="26:26" x14ac:dyDescent="0.2">
      <c r="Z17543" t="str">
        <f t="shared" si="274"/>
        <v/>
      </c>
    </row>
    <row r="17544" spans="26:26" x14ac:dyDescent="0.2">
      <c r="Z17544" t="str">
        <f t="shared" si="274"/>
        <v/>
      </c>
    </row>
    <row r="17545" spans="26:26" x14ac:dyDescent="0.2">
      <c r="Z17545" t="str">
        <f t="shared" si="274"/>
        <v/>
      </c>
    </row>
    <row r="17546" spans="26:26" x14ac:dyDescent="0.2">
      <c r="Z17546" t="str">
        <f t="shared" si="274"/>
        <v/>
      </c>
    </row>
    <row r="17547" spans="26:26" x14ac:dyDescent="0.2">
      <c r="Z17547" t="str">
        <f t="shared" si="274"/>
        <v/>
      </c>
    </row>
    <row r="17548" spans="26:26" x14ac:dyDescent="0.2">
      <c r="Z17548" t="str">
        <f t="shared" si="274"/>
        <v/>
      </c>
    </row>
    <row r="17549" spans="26:26" x14ac:dyDescent="0.2">
      <c r="Z17549" t="str">
        <f t="shared" si="274"/>
        <v/>
      </c>
    </row>
    <row r="17550" spans="26:26" x14ac:dyDescent="0.2">
      <c r="Z17550" t="str">
        <f t="shared" si="274"/>
        <v/>
      </c>
    </row>
    <row r="17551" spans="26:26" x14ac:dyDescent="0.2">
      <c r="Z17551" t="str">
        <f t="shared" si="274"/>
        <v/>
      </c>
    </row>
    <row r="17552" spans="26:26" x14ac:dyDescent="0.2">
      <c r="Z17552" t="str">
        <f t="shared" si="274"/>
        <v/>
      </c>
    </row>
    <row r="17553" spans="26:26" x14ac:dyDescent="0.2">
      <c r="Z17553" t="str">
        <f t="shared" si="274"/>
        <v/>
      </c>
    </row>
    <row r="17554" spans="26:26" x14ac:dyDescent="0.2">
      <c r="Z17554" t="str">
        <f t="shared" si="274"/>
        <v/>
      </c>
    </row>
    <row r="17555" spans="26:26" x14ac:dyDescent="0.2">
      <c r="Z17555" t="str">
        <f t="shared" si="274"/>
        <v/>
      </c>
    </row>
    <row r="17556" spans="26:26" x14ac:dyDescent="0.2">
      <c r="Z17556" t="str">
        <f t="shared" si="274"/>
        <v/>
      </c>
    </row>
    <row r="17557" spans="26:26" x14ac:dyDescent="0.2">
      <c r="Z17557" t="str">
        <f t="shared" si="274"/>
        <v/>
      </c>
    </row>
    <row r="17558" spans="26:26" x14ac:dyDescent="0.2">
      <c r="Z17558" t="str">
        <f t="shared" si="274"/>
        <v/>
      </c>
    </row>
    <row r="17559" spans="26:26" x14ac:dyDescent="0.2">
      <c r="Z17559" t="str">
        <f t="shared" si="274"/>
        <v/>
      </c>
    </row>
    <row r="17560" spans="26:26" x14ac:dyDescent="0.2">
      <c r="Z17560" t="str">
        <f t="shared" si="274"/>
        <v/>
      </c>
    </row>
    <row r="17561" spans="26:26" x14ac:dyDescent="0.2">
      <c r="Z17561" t="str">
        <f t="shared" si="274"/>
        <v/>
      </c>
    </row>
    <row r="17562" spans="26:26" x14ac:dyDescent="0.2">
      <c r="Z17562" t="str">
        <f t="shared" si="274"/>
        <v/>
      </c>
    </row>
    <row r="17563" spans="26:26" x14ac:dyDescent="0.2">
      <c r="Z17563" t="str">
        <f t="shared" si="274"/>
        <v/>
      </c>
    </row>
    <row r="17564" spans="26:26" x14ac:dyDescent="0.2">
      <c r="Z17564" t="str">
        <f t="shared" si="274"/>
        <v/>
      </c>
    </row>
    <row r="17565" spans="26:26" x14ac:dyDescent="0.2">
      <c r="Z17565" t="str">
        <f t="shared" si="274"/>
        <v/>
      </c>
    </row>
    <row r="17566" spans="26:26" x14ac:dyDescent="0.2">
      <c r="Z17566" t="str">
        <f t="shared" si="274"/>
        <v/>
      </c>
    </row>
    <row r="17567" spans="26:26" x14ac:dyDescent="0.2">
      <c r="Z17567" t="str">
        <f t="shared" si="274"/>
        <v/>
      </c>
    </row>
    <row r="17568" spans="26:26" x14ac:dyDescent="0.2">
      <c r="Z17568" t="str">
        <f t="shared" si="274"/>
        <v/>
      </c>
    </row>
    <row r="17569" spans="26:26" x14ac:dyDescent="0.2">
      <c r="Z17569" t="str">
        <f t="shared" si="274"/>
        <v/>
      </c>
    </row>
    <row r="17570" spans="26:26" x14ac:dyDescent="0.2">
      <c r="Z17570" t="str">
        <f t="shared" si="274"/>
        <v/>
      </c>
    </row>
    <row r="17571" spans="26:26" x14ac:dyDescent="0.2">
      <c r="Z17571" t="str">
        <f t="shared" si="274"/>
        <v/>
      </c>
    </row>
    <row r="17572" spans="26:26" x14ac:dyDescent="0.2">
      <c r="Z17572" t="str">
        <f t="shared" si="274"/>
        <v/>
      </c>
    </row>
    <row r="17573" spans="26:26" x14ac:dyDescent="0.2">
      <c r="Z17573" t="str">
        <f t="shared" si="274"/>
        <v/>
      </c>
    </row>
    <row r="17574" spans="26:26" x14ac:dyDescent="0.2">
      <c r="Z17574" t="str">
        <f t="shared" si="274"/>
        <v/>
      </c>
    </row>
    <row r="17575" spans="26:26" x14ac:dyDescent="0.2">
      <c r="Z17575" t="str">
        <f t="shared" si="274"/>
        <v/>
      </c>
    </row>
    <row r="17576" spans="26:26" x14ac:dyDescent="0.2">
      <c r="Z17576" t="str">
        <f t="shared" si="274"/>
        <v/>
      </c>
    </row>
    <row r="17577" spans="26:26" x14ac:dyDescent="0.2">
      <c r="Z17577" t="str">
        <f t="shared" si="274"/>
        <v/>
      </c>
    </row>
    <row r="17578" spans="26:26" x14ac:dyDescent="0.2">
      <c r="Z17578" t="str">
        <f t="shared" si="274"/>
        <v/>
      </c>
    </row>
    <row r="17579" spans="26:26" x14ac:dyDescent="0.2">
      <c r="Z17579" t="str">
        <f t="shared" si="274"/>
        <v/>
      </c>
    </row>
    <row r="17580" spans="26:26" x14ac:dyDescent="0.2">
      <c r="Z17580" t="str">
        <f t="shared" si="274"/>
        <v/>
      </c>
    </row>
    <row r="17581" spans="26:26" x14ac:dyDescent="0.2">
      <c r="Z17581" t="str">
        <f t="shared" si="274"/>
        <v/>
      </c>
    </row>
    <row r="17582" spans="26:26" x14ac:dyDescent="0.2">
      <c r="Z17582" t="str">
        <f t="shared" si="274"/>
        <v/>
      </c>
    </row>
    <row r="17583" spans="26:26" x14ac:dyDescent="0.2">
      <c r="Z17583" t="str">
        <f t="shared" si="274"/>
        <v/>
      </c>
    </row>
    <row r="17584" spans="26:26" x14ac:dyDescent="0.2">
      <c r="Z17584" t="str">
        <f t="shared" si="274"/>
        <v/>
      </c>
    </row>
    <row r="17585" spans="26:26" x14ac:dyDescent="0.2">
      <c r="Z17585" t="str">
        <f t="shared" si="274"/>
        <v/>
      </c>
    </row>
    <row r="17586" spans="26:26" x14ac:dyDescent="0.2">
      <c r="Z17586" t="str">
        <f t="shared" si="274"/>
        <v/>
      </c>
    </row>
    <row r="17587" spans="26:26" x14ac:dyDescent="0.2">
      <c r="Z17587" t="str">
        <f t="shared" si="274"/>
        <v/>
      </c>
    </row>
    <row r="17588" spans="26:26" x14ac:dyDescent="0.2">
      <c r="Z17588" t="str">
        <f t="shared" si="274"/>
        <v/>
      </c>
    </row>
    <row r="17589" spans="26:26" x14ac:dyDescent="0.2">
      <c r="Z17589" t="str">
        <f t="shared" si="274"/>
        <v/>
      </c>
    </row>
    <row r="17590" spans="26:26" x14ac:dyDescent="0.2">
      <c r="Z17590" t="str">
        <f t="shared" si="274"/>
        <v/>
      </c>
    </row>
    <row r="17591" spans="26:26" x14ac:dyDescent="0.2">
      <c r="Z17591" t="str">
        <f t="shared" si="274"/>
        <v/>
      </c>
    </row>
    <row r="17592" spans="26:26" x14ac:dyDescent="0.2">
      <c r="Z17592" t="str">
        <f t="shared" si="274"/>
        <v/>
      </c>
    </row>
    <row r="17593" spans="26:26" x14ac:dyDescent="0.2">
      <c r="Z17593" t="str">
        <f t="shared" si="274"/>
        <v/>
      </c>
    </row>
    <row r="17594" spans="26:26" x14ac:dyDescent="0.2">
      <c r="Z17594" t="str">
        <f t="shared" si="274"/>
        <v/>
      </c>
    </row>
    <row r="17595" spans="26:26" x14ac:dyDescent="0.2">
      <c r="Z17595" t="str">
        <f t="shared" si="274"/>
        <v/>
      </c>
    </row>
    <row r="17596" spans="26:26" x14ac:dyDescent="0.2">
      <c r="Z17596" t="str">
        <f t="shared" si="274"/>
        <v/>
      </c>
    </row>
    <row r="17597" spans="26:26" x14ac:dyDescent="0.2">
      <c r="Z17597" t="str">
        <f t="shared" si="274"/>
        <v/>
      </c>
    </row>
    <row r="17598" spans="26:26" x14ac:dyDescent="0.2">
      <c r="Z17598" t="str">
        <f t="shared" si="274"/>
        <v/>
      </c>
    </row>
    <row r="17599" spans="26:26" x14ac:dyDescent="0.2">
      <c r="Z17599" t="str">
        <f t="shared" si="274"/>
        <v/>
      </c>
    </row>
    <row r="17600" spans="26:26" x14ac:dyDescent="0.2">
      <c r="Z17600" t="str">
        <f t="shared" si="274"/>
        <v/>
      </c>
    </row>
    <row r="17601" spans="26:26" x14ac:dyDescent="0.2">
      <c r="Z17601" t="str">
        <f t="shared" si="274"/>
        <v/>
      </c>
    </row>
    <row r="17602" spans="26:26" x14ac:dyDescent="0.2">
      <c r="Z17602" t="str">
        <f t="shared" si="274"/>
        <v/>
      </c>
    </row>
    <row r="17603" spans="26:26" x14ac:dyDescent="0.2">
      <c r="Z17603" t="str">
        <f t="shared" ref="Z17603:Z17666" si="275">IF(K17603="","",IFERROR(VALUE(TRIM(MID(K17603,FIND(CHAR(167),SUBSTITUTE(K17603,"-",CHAR(167),LEN(K17603)-LEN(SUBSTITUTE(K17603,"-",""))))+1,100))),K17603))</f>
        <v/>
      </c>
    </row>
    <row r="17604" spans="26:26" x14ac:dyDescent="0.2">
      <c r="Z17604" t="str">
        <f t="shared" si="275"/>
        <v/>
      </c>
    </row>
    <row r="17605" spans="26:26" x14ac:dyDescent="0.2">
      <c r="Z17605" t="str">
        <f t="shared" si="275"/>
        <v/>
      </c>
    </row>
    <row r="17606" spans="26:26" x14ac:dyDescent="0.2">
      <c r="Z17606" t="str">
        <f t="shared" si="275"/>
        <v/>
      </c>
    </row>
    <row r="17607" spans="26:26" x14ac:dyDescent="0.2">
      <c r="Z17607" t="str">
        <f t="shared" si="275"/>
        <v/>
      </c>
    </row>
    <row r="17608" spans="26:26" x14ac:dyDescent="0.2">
      <c r="Z17608" t="str">
        <f t="shared" si="275"/>
        <v/>
      </c>
    </row>
    <row r="17609" spans="26:26" x14ac:dyDescent="0.2">
      <c r="Z17609" t="str">
        <f t="shared" si="275"/>
        <v/>
      </c>
    </row>
    <row r="17610" spans="26:26" x14ac:dyDescent="0.2">
      <c r="Z17610" t="str">
        <f t="shared" si="275"/>
        <v/>
      </c>
    </row>
    <row r="17611" spans="26:26" x14ac:dyDescent="0.2">
      <c r="Z17611" t="str">
        <f t="shared" si="275"/>
        <v/>
      </c>
    </row>
    <row r="17612" spans="26:26" x14ac:dyDescent="0.2">
      <c r="Z17612" t="str">
        <f t="shared" si="275"/>
        <v/>
      </c>
    </row>
    <row r="17613" spans="26:26" x14ac:dyDescent="0.2">
      <c r="Z17613" t="str">
        <f t="shared" si="275"/>
        <v/>
      </c>
    </row>
    <row r="17614" spans="26:26" x14ac:dyDescent="0.2">
      <c r="Z17614" t="str">
        <f t="shared" si="275"/>
        <v/>
      </c>
    </row>
    <row r="17615" spans="26:26" x14ac:dyDescent="0.2">
      <c r="Z17615" t="str">
        <f t="shared" si="275"/>
        <v/>
      </c>
    </row>
    <row r="17616" spans="26:26" x14ac:dyDescent="0.2">
      <c r="Z17616" t="str">
        <f t="shared" si="275"/>
        <v/>
      </c>
    </row>
    <row r="17617" spans="26:26" x14ac:dyDescent="0.2">
      <c r="Z17617" t="str">
        <f t="shared" si="275"/>
        <v/>
      </c>
    </row>
    <row r="17618" spans="26:26" x14ac:dyDescent="0.2">
      <c r="Z17618" t="str">
        <f t="shared" si="275"/>
        <v/>
      </c>
    </row>
    <row r="17619" spans="26:26" x14ac:dyDescent="0.2">
      <c r="Z17619" t="str">
        <f t="shared" si="275"/>
        <v/>
      </c>
    </row>
    <row r="17620" spans="26:26" x14ac:dyDescent="0.2">
      <c r="Z17620" t="str">
        <f t="shared" si="275"/>
        <v/>
      </c>
    </row>
    <row r="17621" spans="26:26" x14ac:dyDescent="0.2">
      <c r="Z17621" t="str">
        <f t="shared" si="275"/>
        <v/>
      </c>
    </row>
    <row r="17622" spans="26:26" x14ac:dyDescent="0.2">
      <c r="Z17622" t="str">
        <f t="shared" si="275"/>
        <v/>
      </c>
    </row>
    <row r="17623" spans="26:26" x14ac:dyDescent="0.2">
      <c r="Z17623" t="str">
        <f t="shared" si="275"/>
        <v/>
      </c>
    </row>
    <row r="17624" spans="26:26" x14ac:dyDescent="0.2">
      <c r="Z17624" t="str">
        <f t="shared" si="275"/>
        <v/>
      </c>
    </row>
    <row r="17625" spans="26:26" x14ac:dyDescent="0.2">
      <c r="Z17625" t="str">
        <f t="shared" si="275"/>
        <v/>
      </c>
    </row>
    <row r="17626" spans="26:26" x14ac:dyDescent="0.2">
      <c r="Z17626" t="str">
        <f t="shared" si="275"/>
        <v/>
      </c>
    </row>
    <row r="17627" spans="26:26" x14ac:dyDescent="0.2">
      <c r="Z17627" t="str">
        <f t="shared" si="275"/>
        <v/>
      </c>
    </row>
    <row r="17628" spans="26:26" x14ac:dyDescent="0.2">
      <c r="Z17628" t="str">
        <f t="shared" si="275"/>
        <v/>
      </c>
    </row>
    <row r="17629" spans="26:26" x14ac:dyDescent="0.2">
      <c r="Z17629" t="str">
        <f t="shared" si="275"/>
        <v/>
      </c>
    </row>
    <row r="17630" spans="26:26" x14ac:dyDescent="0.2">
      <c r="Z17630" t="str">
        <f t="shared" si="275"/>
        <v/>
      </c>
    </row>
    <row r="17631" spans="26:26" x14ac:dyDescent="0.2">
      <c r="Z17631" t="str">
        <f t="shared" si="275"/>
        <v/>
      </c>
    </row>
    <row r="17632" spans="26:26" x14ac:dyDescent="0.2">
      <c r="Z17632" t="str">
        <f t="shared" si="275"/>
        <v/>
      </c>
    </row>
    <row r="17633" spans="26:26" x14ac:dyDescent="0.2">
      <c r="Z17633" t="str">
        <f t="shared" si="275"/>
        <v/>
      </c>
    </row>
    <row r="17634" spans="26:26" x14ac:dyDescent="0.2">
      <c r="Z17634" t="str">
        <f t="shared" si="275"/>
        <v/>
      </c>
    </row>
    <row r="17635" spans="26:26" x14ac:dyDescent="0.2">
      <c r="Z17635" t="str">
        <f t="shared" si="275"/>
        <v/>
      </c>
    </row>
    <row r="17636" spans="26:26" x14ac:dyDescent="0.2">
      <c r="Z17636" t="str">
        <f t="shared" si="275"/>
        <v/>
      </c>
    </row>
    <row r="17637" spans="26:26" x14ac:dyDescent="0.2">
      <c r="Z17637" t="str">
        <f t="shared" si="275"/>
        <v/>
      </c>
    </row>
    <row r="17638" spans="26:26" x14ac:dyDescent="0.2">
      <c r="Z17638" t="str">
        <f t="shared" si="275"/>
        <v/>
      </c>
    </row>
    <row r="17639" spans="26:26" x14ac:dyDescent="0.2">
      <c r="Z17639" t="str">
        <f t="shared" si="275"/>
        <v/>
      </c>
    </row>
    <row r="17640" spans="26:26" x14ac:dyDescent="0.2">
      <c r="Z17640" t="str">
        <f t="shared" si="275"/>
        <v/>
      </c>
    </row>
    <row r="17641" spans="26:26" x14ac:dyDescent="0.2">
      <c r="Z17641" t="str">
        <f t="shared" si="275"/>
        <v/>
      </c>
    </row>
    <row r="17642" spans="26:26" x14ac:dyDescent="0.2">
      <c r="Z17642" t="str">
        <f t="shared" si="275"/>
        <v/>
      </c>
    </row>
    <row r="17643" spans="26:26" x14ac:dyDescent="0.2">
      <c r="Z17643" t="str">
        <f t="shared" si="275"/>
        <v/>
      </c>
    </row>
    <row r="17644" spans="26:26" x14ac:dyDescent="0.2">
      <c r="Z17644" t="str">
        <f t="shared" si="275"/>
        <v/>
      </c>
    </row>
    <row r="17645" spans="26:26" x14ac:dyDescent="0.2">
      <c r="Z17645" t="str">
        <f t="shared" si="275"/>
        <v/>
      </c>
    </row>
    <row r="17646" spans="26:26" x14ac:dyDescent="0.2">
      <c r="Z17646" t="str">
        <f t="shared" si="275"/>
        <v/>
      </c>
    </row>
    <row r="17647" spans="26:26" x14ac:dyDescent="0.2">
      <c r="Z17647" t="str">
        <f t="shared" si="275"/>
        <v/>
      </c>
    </row>
    <row r="17648" spans="26:26" x14ac:dyDescent="0.2">
      <c r="Z17648" t="str">
        <f t="shared" si="275"/>
        <v/>
      </c>
    </row>
    <row r="17649" spans="26:26" x14ac:dyDescent="0.2">
      <c r="Z17649" t="str">
        <f t="shared" si="275"/>
        <v/>
      </c>
    </row>
    <row r="17650" spans="26:26" x14ac:dyDescent="0.2">
      <c r="Z17650" t="str">
        <f t="shared" si="275"/>
        <v/>
      </c>
    </row>
    <row r="17651" spans="26:26" x14ac:dyDescent="0.2">
      <c r="Z17651" t="str">
        <f t="shared" si="275"/>
        <v/>
      </c>
    </row>
    <row r="17652" spans="26:26" x14ac:dyDescent="0.2">
      <c r="Z17652" t="str">
        <f t="shared" si="275"/>
        <v/>
      </c>
    </row>
    <row r="17653" spans="26:26" x14ac:dyDescent="0.2">
      <c r="Z17653" t="str">
        <f t="shared" si="275"/>
        <v/>
      </c>
    </row>
    <row r="17654" spans="26:26" x14ac:dyDescent="0.2">
      <c r="Z17654" t="str">
        <f t="shared" si="275"/>
        <v/>
      </c>
    </row>
    <row r="17655" spans="26:26" x14ac:dyDescent="0.2">
      <c r="Z17655" t="str">
        <f t="shared" si="275"/>
        <v/>
      </c>
    </row>
    <row r="17656" spans="26:26" x14ac:dyDescent="0.2">
      <c r="Z17656" t="str">
        <f t="shared" si="275"/>
        <v/>
      </c>
    </row>
    <row r="17657" spans="26:26" x14ac:dyDescent="0.2">
      <c r="Z17657" t="str">
        <f t="shared" si="275"/>
        <v/>
      </c>
    </row>
    <row r="17658" spans="26:26" x14ac:dyDescent="0.2">
      <c r="Z17658" t="str">
        <f t="shared" si="275"/>
        <v/>
      </c>
    </row>
    <row r="17659" spans="26:26" x14ac:dyDescent="0.2">
      <c r="Z17659" t="str">
        <f t="shared" si="275"/>
        <v/>
      </c>
    </row>
    <row r="17660" spans="26:26" x14ac:dyDescent="0.2">
      <c r="Z17660" t="str">
        <f t="shared" si="275"/>
        <v/>
      </c>
    </row>
    <row r="17661" spans="26:26" x14ac:dyDescent="0.2">
      <c r="Z17661" t="str">
        <f t="shared" si="275"/>
        <v/>
      </c>
    </row>
    <row r="17662" spans="26:26" x14ac:dyDescent="0.2">
      <c r="Z17662" t="str">
        <f t="shared" si="275"/>
        <v/>
      </c>
    </row>
    <row r="17663" spans="26:26" x14ac:dyDescent="0.2">
      <c r="Z17663" t="str">
        <f t="shared" si="275"/>
        <v/>
      </c>
    </row>
    <row r="17664" spans="26:26" x14ac:dyDescent="0.2">
      <c r="Z17664" t="str">
        <f t="shared" si="275"/>
        <v/>
      </c>
    </row>
    <row r="17665" spans="26:26" x14ac:dyDescent="0.2">
      <c r="Z17665" t="str">
        <f t="shared" si="275"/>
        <v/>
      </c>
    </row>
    <row r="17666" spans="26:26" x14ac:dyDescent="0.2">
      <c r="Z17666" t="str">
        <f t="shared" si="275"/>
        <v/>
      </c>
    </row>
    <row r="17667" spans="26:26" x14ac:dyDescent="0.2">
      <c r="Z17667" t="str">
        <f t="shared" ref="Z17667:Z17730" si="276">IF(K17667="","",IFERROR(VALUE(TRIM(MID(K17667,FIND(CHAR(167),SUBSTITUTE(K17667,"-",CHAR(167),LEN(K17667)-LEN(SUBSTITUTE(K17667,"-",""))))+1,100))),K17667))</f>
        <v/>
      </c>
    </row>
    <row r="17668" spans="26:26" x14ac:dyDescent="0.2">
      <c r="Z17668" t="str">
        <f t="shared" si="276"/>
        <v/>
      </c>
    </row>
    <row r="17669" spans="26:26" x14ac:dyDescent="0.2">
      <c r="Z17669" t="str">
        <f t="shared" si="276"/>
        <v/>
      </c>
    </row>
    <row r="17670" spans="26:26" x14ac:dyDescent="0.2">
      <c r="Z17670" t="str">
        <f t="shared" si="276"/>
        <v/>
      </c>
    </row>
    <row r="17671" spans="26:26" x14ac:dyDescent="0.2">
      <c r="Z17671" t="str">
        <f t="shared" si="276"/>
        <v/>
      </c>
    </row>
    <row r="17672" spans="26:26" x14ac:dyDescent="0.2">
      <c r="Z17672" t="str">
        <f t="shared" si="276"/>
        <v/>
      </c>
    </row>
    <row r="17673" spans="26:26" x14ac:dyDescent="0.2">
      <c r="Z17673" t="str">
        <f t="shared" si="276"/>
        <v/>
      </c>
    </row>
    <row r="17674" spans="26:26" x14ac:dyDescent="0.2">
      <c r="Z17674" t="str">
        <f t="shared" si="276"/>
        <v/>
      </c>
    </row>
    <row r="17675" spans="26:26" x14ac:dyDescent="0.2">
      <c r="Z17675" t="str">
        <f t="shared" si="276"/>
        <v/>
      </c>
    </row>
    <row r="17676" spans="26:26" x14ac:dyDescent="0.2">
      <c r="Z17676" t="str">
        <f t="shared" si="276"/>
        <v/>
      </c>
    </row>
    <row r="17677" spans="26:26" x14ac:dyDescent="0.2">
      <c r="Z17677" t="str">
        <f t="shared" si="276"/>
        <v/>
      </c>
    </row>
    <row r="17678" spans="26:26" x14ac:dyDescent="0.2">
      <c r="Z17678" t="str">
        <f t="shared" si="276"/>
        <v/>
      </c>
    </row>
    <row r="17679" spans="26:26" x14ac:dyDescent="0.2">
      <c r="Z17679" t="str">
        <f t="shared" si="276"/>
        <v/>
      </c>
    </row>
    <row r="17680" spans="26:26" x14ac:dyDescent="0.2">
      <c r="Z17680" t="str">
        <f t="shared" si="276"/>
        <v/>
      </c>
    </row>
    <row r="17681" spans="26:26" x14ac:dyDescent="0.2">
      <c r="Z17681" t="str">
        <f t="shared" si="276"/>
        <v/>
      </c>
    </row>
    <row r="17682" spans="26:26" x14ac:dyDescent="0.2">
      <c r="Z17682" t="str">
        <f t="shared" si="276"/>
        <v/>
      </c>
    </row>
    <row r="17683" spans="26:26" x14ac:dyDescent="0.2">
      <c r="Z17683" t="str">
        <f t="shared" si="276"/>
        <v/>
      </c>
    </row>
    <row r="17684" spans="26:26" x14ac:dyDescent="0.2">
      <c r="Z17684" t="str">
        <f t="shared" si="276"/>
        <v/>
      </c>
    </row>
    <row r="17685" spans="26:26" x14ac:dyDescent="0.2">
      <c r="Z17685" t="str">
        <f t="shared" si="276"/>
        <v/>
      </c>
    </row>
    <row r="17686" spans="26:26" x14ac:dyDescent="0.2">
      <c r="Z17686" t="str">
        <f t="shared" si="276"/>
        <v/>
      </c>
    </row>
    <row r="17687" spans="26:26" x14ac:dyDescent="0.2">
      <c r="Z17687" t="str">
        <f t="shared" si="276"/>
        <v/>
      </c>
    </row>
    <row r="17688" spans="26:26" x14ac:dyDescent="0.2">
      <c r="Z17688" t="str">
        <f t="shared" si="276"/>
        <v/>
      </c>
    </row>
    <row r="17689" spans="26:26" x14ac:dyDescent="0.2">
      <c r="Z17689" t="str">
        <f t="shared" si="276"/>
        <v/>
      </c>
    </row>
    <row r="17690" spans="26:26" x14ac:dyDescent="0.2">
      <c r="Z17690" t="str">
        <f t="shared" si="276"/>
        <v/>
      </c>
    </row>
    <row r="17691" spans="26:26" x14ac:dyDescent="0.2">
      <c r="Z17691" t="str">
        <f t="shared" si="276"/>
        <v/>
      </c>
    </row>
    <row r="17692" spans="26:26" x14ac:dyDescent="0.2">
      <c r="Z17692" t="str">
        <f t="shared" si="276"/>
        <v/>
      </c>
    </row>
    <row r="17693" spans="26:26" x14ac:dyDescent="0.2">
      <c r="Z17693" t="str">
        <f t="shared" si="276"/>
        <v/>
      </c>
    </row>
    <row r="17694" spans="26:26" x14ac:dyDescent="0.2">
      <c r="Z17694" t="str">
        <f t="shared" si="276"/>
        <v/>
      </c>
    </row>
    <row r="17695" spans="26:26" x14ac:dyDescent="0.2">
      <c r="Z17695" t="str">
        <f t="shared" si="276"/>
        <v/>
      </c>
    </row>
    <row r="17696" spans="26:26" x14ac:dyDescent="0.2">
      <c r="Z17696" t="str">
        <f t="shared" si="276"/>
        <v/>
      </c>
    </row>
    <row r="17697" spans="26:26" x14ac:dyDescent="0.2">
      <c r="Z17697" t="str">
        <f t="shared" si="276"/>
        <v/>
      </c>
    </row>
    <row r="17698" spans="26:26" x14ac:dyDescent="0.2">
      <c r="Z17698" t="str">
        <f t="shared" si="276"/>
        <v/>
      </c>
    </row>
    <row r="17699" spans="26:26" x14ac:dyDescent="0.2">
      <c r="Z17699" t="str">
        <f t="shared" si="276"/>
        <v/>
      </c>
    </row>
    <row r="17700" spans="26:26" x14ac:dyDescent="0.2">
      <c r="Z17700" t="str">
        <f t="shared" si="276"/>
        <v/>
      </c>
    </row>
    <row r="17701" spans="26:26" x14ac:dyDescent="0.2">
      <c r="Z17701" t="str">
        <f t="shared" si="276"/>
        <v/>
      </c>
    </row>
    <row r="17702" spans="26:26" x14ac:dyDescent="0.2">
      <c r="Z17702" t="str">
        <f t="shared" si="276"/>
        <v/>
      </c>
    </row>
    <row r="17703" spans="26:26" x14ac:dyDescent="0.2">
      <c r="Z17703" t="str">
        <f t="shared" si="276"/>
        <v/>
      </c>
    </row>
    <row r="17704" spans="26:26" x14ac:dyDescent="0.2">
      <c r="Z17704" t="str">
        <f t="shared" si="276"/>
        <v/>
      </c>
    </row>
    <row r="17705" spans="26:26" x14ac:dyDescent="0.2">
      <c r="Z17705" t="str">
        <f t="shared" si="276"/>
        <v/>
      </c>
    </row>
    <row r="17706" spans="26:26" x14ac:dyDescent="0.2">
      <c r="Z17706" t="str">
        <f t="shared" si="276"/>
        <v/>
      </c>
    </row>
    <row r="17707" spans="26:26" x14ac:dyDescent="0.2">
      <c r="Z17707" t="str">
        <f t="shared" si="276"/>
        <v/>
      </c>
    </row>
    <row r="17708" spans="26:26" x14ac:dyDescent="0.2">
      <c r="Z17708" t="str">
        <f t="shared" si="276"/>
        <v/>
      </c>
    </row>
    <row r="17709" spans="26:26" x14ac:dyDescent="0.2">
      <c r="Z17709" t="str">
        <f t="shared" si="276"/>
        <v/>
      </c>
    </row>
    <row r="17710" spans="26:26" x14ac:dyDescent="0.2">
      <c r="Z17710" t="str">
        <f t="shared" si="276"/>
        <v/>
      </c>
    </row>
    <row r="17711" spans="26:26" x14ac:dyDescent="0.2">
      <c r="Z17711" t="str">
        <f t="shared" si="276"/>
        <v/>
      </c>
    </row>
    <row r="17712" spans="26:26" x14ac:dyDescent="0.2">
      <c r="Z17712" t="str">
        <f t="shared" si="276"/>
        <v/>
      </c>
    </row>
    <row r="17713" spans="26:26" x14ac:dyDescent="0.2">
      <c r="Z17713" t="str">
        <f t="shared" si="276"/>
        <v/>
      </c>
    </row>
    <row r="17714" spans="26:26" x14ac:dyDescent="0.2">
      <c r="Z17714" t="str">
        <f t="shared" si="276"/>
        <v/>
      </c>
    </row>
    <row r="17715" spans="26:26" x14ac:dyDescent="0.2">
      <c r="Z17715" t="str">
        <f t="shared" si="276"/>
        <v/>
      </c>
    </row>
    <row r="17716" spans="26:26" x14ac:dyDescent="0.2">
      <c r="Z17716" t="str">
        <f t="shared" si="276"/>
        <v/>
      </c>
    </row>
    <row r="17717" spans="26:26" x14ac:dyDescent="0.2">
      <c r="Z17717" t="str">
        <f t="shared" si="276"/>
        <v/>
      </c>
    </row>
    <row r="17718" spans="26:26" x14ac:dyDescent="0.2">
      <c r="Z17718" t="str">
        <f t="shared" si="276"/>
        <v/>
      </c>
    </row>
    <row r="17719" spans="26:26" x14ac:dyDescent="0.2">
      <c r="Z17719" t="str">
        <f t="shared" si="276"/>
        <v/>
      </c>
    </row>
    <row r="17720" spans="26:26" x14ac:dyDescent="0.2">
      <c r="Z17720" t="str">
        <f t="shared" si="276"/>
        <v/>
      </c>
    </row>
    <row r="17721" spans="26:26" x14ac:dyDescent="0.2">
      <c r="Z17721" t="str">
        <f t="shared" si="276"/>
        <v/>
      </c>
    </row>
    <row r="17722" spans="26:26" x14ac:dyDescent="0.2">
      <c r="Z17722" t="str">
        <f t="shared" si="276"/>
        <v/>
      </c>
    </row>
    <row r="17723" spans="26:26" x14ac:dyDescent="0.2">
      <c r="Z17723" t="str">
        <f t="shared" si="276"/>
        <v/>
      </c>
    </row>
    <row r="17724" spans="26:26" x14ac:dyDescent="0.2">
      <c r="Z17724" t="str">
        <f t="shared" si="276"/>
        <v/>
      </c>
    </row>
    <row r="17725" spans="26:26" x14ac:dyDescent="0.2">
      <c r="Z17725" t="str">
        <f t="shared" si="276"/>
        <v/>
      </c>
    </row>
    <row r="17726" spans="26:26" x14ac:dyDescent="0.2">
      <c r="Z17726" t="str">
        <f t="shared" si="276"/>
        <v/>
      </c>
    </row>
    <row r="17727" spans="26:26" x14ac:dyDescent="0.2">
      <c r="Z17727" t="str">
        <f t="shared" si="276"/>
        <v/>
      </c>
    </row>
    <row r="17728" spans="26:26" x14ac:dyDescent="0.2">
      <c r="Z17728" t="str">
        <f t="shared" si="276"/>
        <v/>
      </c>
    </row>
    <row r="17729" spans="26:26" x14ac:dyDescent="0.2">
      <c r="Z17729" t="str">
        <f t="shared" si="276"/>
        <v/>
      </c>
    </row>
    <row r="17730" spans="26:26" x14ac:dyDescent="0.2">
      <c r="Z17730" t="str">
        <f t="shared" si="276"/>
        <v/>
      </c>
    </row>
    <row r="17731" spans="26:26" x14ac:dyDescent="0.2">
      <c r="Z17731" t="str">
        <f t="shared" ref="Z17731:Z17794" si="277">IF(K17731="","",IFERROR(VALUE(TRIM(MID(K17731,FIND(CHAR(167),SUBSTITUTE(K17731,"-",CHAR(167),LEN(K17731)-LEN(SUBSTITUTE(K17731,"-",""))))+1,100))),K17731))</f>
        <v/>
      </c>
    </row>
    <row r="17732" spans="26:26" x14ac:dyDescent="0.2">
      <c r="Z17732" t="str">
        <f t="shared" si="277"/>
        <v/>
      </c>
    </row>
    <row r="17733" spans="26:26" x14ac:dyDescent="0.2">
      <c r="Z17733" t="str">
        <f t="shared" si="277"/>
        <v/>
      </c>
    </row>
    <row r="17734" spans="26:26" x14ac:dyDescent="0.2">
      <c r="Z17734" t="str">
        <f t="shared" si="277"/>
        <v/>
      </c>
    </row>
    <row r="17735" spans="26:26" x14ac:dyDescent="0.2">
      <c r="Z17735" t="str">
        <f t="shared" si="277"/>
        <v/>
      </c>
    </row>
    <row r="17736" spans="26:26" x14ac:dyDescent="0.2">
      <c r="Z17736" t="str">
        <f t="shared" si="277"/>
        <v/>
      </c>
    </row>
    <row r="17737" spans="26:26" x14ac:dyDescent="0.2">
      <c r="Z17737" t="str">
        <f t="shared" si="277"/>
        <v/>
      </c>
    </row>
    <row r="17738" spans="26:26" x14ac:dyDescent="0.2">
      <c r="Z17738" t="str">
        <f t="shared" si="277"/>
        <v/>
      </c>
    </row>
    <row r="17739" spans="26:26" x14ac:dyDescent="0.2">
      <c r="Z17739" t="str">
        <f t="shared" si="277"/>
        <v/>
      </c>
    </row>
    <row r="17740" spans="26:26" x14ac:dyDescent="0.2">
      <c r="Z17740" t="str">
        <f t="shared" si="277"/>
        <v/>
      </c>
    </row>
    <row r="17741" spans="26:26" x14ac:dyDescent="0.2">
      <c r="Z17741" t="str">
        <f t="shared" si="277"/>
        <v/>
      </c>
    </row>
    <row r="17742" spans="26:26" x14ac:dyDescent="0.2">
      <c r="Z17742" t="str">
        <f t="shared" si="277"/>
        <v/>
      </c>
    </row>
    <row r="17743" spans="26:26" x14ac:dyDescent="0.2">
      <c r="Z17743" t="str">
        <f t="shared" si="277"/>
        <v/>
      </c>
    </row>
    <row r="17744" spans="26:26" x14ac:dyDescent="0.2">
      <c r="Z17744" t="str">
        <f t="shared" si="277"/>
        <v/>
      </c>
    </row>
    <row r="17745" spans="26:26" x14ac:dyDescent="0.2">
      <c r="Z17745" t="str">
        <f t="shared" si="277"/>
        <v/>
      </c>
    </row>
    <row r="17746" spans="26:26" x14ac:dyDescent="0.2">
      <c r="Z17746" t="str">
        <f t="shared" si="277"/>
        <v/>
      </c>
    </row>
    <row r="17747" spans="26:26" x14ac:dyDescent="0.2">
      <c r="Z17747" t="str">
        <f t="shared" si="277"/>
        <v/>
      </c>
    </row>
    <row r="17748" spans="26:26" x14ac:dyDescent="0.2">
      <c r="Z17748" t="str">
        <f t="shared" si="277"/>
        <v/>
      </c>
    </row>
    <row r="17749" spans="26:26" x14ac:dyDescent="0.2">
      <c r="Z17749" t="str">
        <f t="shared" si="277"/>
        <v/>
      </c>
    </row>
    <row r="17750" spans="26:26" x14ac:dyDescent="0.2">
      <c r="Z17750" t="str">
        <f t="shared" si="277"/>
        <v/>
      </c>
    </row>
    <row r="17751" spans="26:26" x14ac:dyDescent="0.2">
      <c r="Z17751" t="str">
        <f t="shared" si="277"/>
        <v/>
      </c>
    </row>
    <row r="17752" spans="26:26" x14ac:dyDescent="0.2">
      <c r="Z17752" t="str">
        <f t="shared" si="277"/>
        <v/>
      </c>
    </row>
    <row r="17753" spans="26:26" x14ac:dyDescent="0.2">
      <c r="Z17753" t="str">
        <f t="shared" si="277"/>
        <v/>
      </c>
    </row>
    <row r="17754" spans="26:26" x14ac:dyDescent="0.2">
      <c r="Z17754" t="str">
        <f t="shared" si="277"/>
        <v/>
      </c>
    </row>
    <row r="17755" spans="26:26" x14ac:dyDescent="0.2">
      <c r="Z17755" t="str">
        <f t="shared" si="277"/>
        <v/>
      </c>
    </row>
    <row r="17756" spans="26:26" x14ac:dyDescent="0.2">
      <c r="Z17756" t="str">
        <f t="shared" si="277"/>
        <v/>
      </c>
    </row>
    <row r="17757" spans="26:26" x14ac:dyDescent="0.2">
      <c r="Z17757" t="str">
        <f t="shared" si="277"/>
        <v/>
      </c>
    </row>
    <row r="17758" spans="26:26" x14ac:dyDescent="0.2">
      <c r="Z17758" t="str">
        <f t="shared" si="277"/>
        <v/>
      </c>
    </row>
    <row r="17759" spans="26:26" x14ac:dyDescent="0.2">
      <c r="Z17759" t="str">
        <f t="shared" si="277"/>
        <v/>
      </c>
    </row>
    <row r="17760" spans="26:26" x14ac:dyDescent="0.2">
      <c r="Z17760" t="str">
        <f t="shared" si="277"/>
        <v/>
      </c>
    </row>
    <row r="17761" spans="26:26" x14ac:dyDescent="0.2">
      <c r="Z17761" t="str">
        <f t="shared" si="277"/>
        <v/>
      </c>
    </row>
    <row r="17762" spans="26:26" x14ac:dyDescent="0.2">
      <c r="Z17762" t="str">
        <f t="shared" si="277"/>
        <v/>
      </c>
    </row>
    <row r="17763" spans="26:26" x14ac:dyDescent="0.2">
      <c r="Z17763" t="str">
        <f t="shared" si="277"/>
        <v/>
      </c>
    </row>
    <row r="17764" spans="26:26" x14ac:dyDescent="0.2">
      <c r="Z17764" t="str">
        <f t="shared" si="277"/>
        <v/>
      </c>
    </row>
    <row r="17765" spans="26:26" x14ac:dyDescent="0.2">
      <c r="Z17765" t="str">
        <f t="shared" si="277"/>
        <v/>
      </c>
    </row>
    <row r="17766" spans="26:26" x14ac:dyDescent="0.2">
      <c r="Z17766" t="str">
        <f t="shared" si="277"/>
        <v/>
      </c>
    </row>
    <row r="17767" spans="26:26" x14ac:dyDescent="0.2">
      <c r="Z17767" t="str">
        <f t="shared" si="277"/>
        <v/>
      </c>
    </row>
    <row r="17768" spans="26:26" x14ac:dyDescent="0.2">
      <c r="Z17768" t="str">
        <f t="shared" si="277"/>
        <v/>
      </c>
    </row>
    <row r="17769" spans="26:26" x14ac:dyDescent="0.2">
      <c r="Z17769" t="str">
        <f t="shared" si="277"/>
        <v/>
      </c>
    </row>
    <row r="17770" spans="26:26" x14ac:dyDescent="0.2">
      <c r="Z17770" t="str">
        <f t="shared" si="277"/>
        <v/>
      </c>
    </row>
    <row r="17771" spans="26:26" x14ac:dyDescent="0.2">
      <c r="Z17771" t="str">
        <f t="shared" si="277"/>
        <v/>
      </c>
    </row>
    <row r="17772" spans="26:26" x14ac:dyDescent="0.2">
      <c r="Z17772" t="str">
        <f t="shared" si="277"/>
        <v/>
      </c>
    </row>
    <row r="17773" spans="26:26" x14ac:dyDescent="0.2">
      <c r="Z17773" t="str">
        <f t="shared" si="277"/>
        <v/>
      </c>
    </row>
    <row r="17774" spans="26:26" x14ac:dyDescent="0.2">
      <c r="Z17774" t="str">
        <f t="shared" si="277"/>
        <v/>
      </c>
    </row>
    <row r="17775" spans="26:26" x14ac:dyDescent="0.2">
      <c r="Z17775" t="str">
        <f t="shared" si="277"/>
        <v/>
      </c>
    </row>
    <row r="17776" spans="26:26" x14ac:dyDescent="0.2">
      <c r="Z17776" t="str">
        <f t="shared" si="277"/>
        <v/>
      </c>
    </row>
    <row r="17777" spans="26:26" x14ac:dyDescent="0.2">
      <c r="Z17777" t="str">
        <f t="shared" si="277"/>
        <v/>
      </c>
    </row>
    <row r="17778" spans="26:26" x14ac:dyDescent="0.2">
      <c r="Z17778" t="str">
        <f t="shared" si="277"/>
        <v/>
      </c>
    </row>
    <row r="17779" spans="26:26" x14ac:dyDescent="0.2">
      <c r="Z17779" t="str">
        <f t="shared" si="277"/>
        <v/>
      </c>
    </row>
    <row r="17780" spans="26:26" x14ac:dyDescent="0.2">
      <c r="Z17780" t="str">
        <f t="shared" si="277"/>
        <v/>
      </c>
    </row>
    <row r="17781" spans="26:26" x14ac:dyDescent="0.2">
      <c r="Z17781" t="str">
        <f t="shared" si="277"/>
        <v/>
      </c>
    </row>
    <row r="17782" spans="26:26" x14ac:dyDescent="0.2">
      <c r="Z17782" t="str">
        <f t="shared" si="277"/>
        <v/>
      </c>
    </row>
    <row r="17783" spans="26:26" x14ac:dyDescent="0.2">
      <c r="Z17783" t="str">
        <f t="shared" si="277"/>
        <v/>
      </c>
    </row>
    <row r="17784" spans="26:26" x14ac:dyDescent="0.2">
      <c r="Z17784" t="str">
        <f t="shared" si="277"/>
        <v/>
      </c>
    </row>
    <row r="17785" spans="26:26" x14ac:dyDescent="0.2">
      <c r="Z17785" t="str">
        <f t="shared" si="277"/>
        <v/>
      </c>
    </row>
    <row r="17786" spans="26:26" x14ac:dyDescent="0.2">
      <c r="Z17786" t="str">
        <f t="shared" si="277"/>
        <v/>
      </c>
    </row>
    <row r="17787" spans="26:26" x14ac:dyDescent="0.2">
      <c r="Z17787" t="str">
        <f t="shared" si="277"/>
        <v/>
      </c>
    </row>
    <row r="17788" spans="26:26" x14ac:dyDescent="0.2">
      <c r="Z17788" t="str">
        <f t="shared" si="277"/>
        <v/>
      </c>
    </row>
    <row r="17789" spans="26:26" x14ac:dyDescent="0.2">
      <c r="Z17789" t="str">
        <f t="shared" si="277"/>
        <v/>
      </c>
    </row>
    <row r="17790" spans="26:26" x14ac:dyDescent="0.2">
      <c r="Z17790" t="str">
        <f t="shared" si="277"/>
        <v/>
      </c>
    </row>
    <row r="17791" spans="26:26" x14ac:dyDescent="0.2">
      <c r="Z17791" t="str">
        <f t="shared" si="277"/>
        <v/>
      </c>
    </row>
    <row r="17792" spans="26:26" x14ac:dyDescent="0.2">
      <c r="Z17792" t="str">
        <f t="shared" si="277"/>
        <v/>
      </c>
    </row>
    <row r="17793" spans="26:26" x14ac:dyDescent="0.2">
      <c r="Z17793" t="str">
        <f t="shared" si="277"/>
        <v/>
      </c>
    </row>
    <row r="17794" spans="26:26" x14ac:dyDescent="0.2">
      <c r="Z17794" t="str">
        <f t="shared" si="277"/>
        <v/>
      </c>
    </row>
    <row r="17795" spans="26:26" x14ac:dyDescent="0.2">
      <c r="Z17795" t="str">
        <f t="shared" ref="Z17795:Z17858" si="278">IF(K17795="","",IFERROR(VALUE(TRIM(MID(K17795,FIND(CHAR(167),SUBSTITUTE(K17795,"-",CHAR(167),LEN(K17795)-LEN(SUBSTITUTE(K17795,"-",""))))+1,100))),K17795))</f>
        <v/>
      </c>
    </row>
    <row r="17796" spans="26:26" x14ac:dyDescent="0.2">
      <c r="Z17796" t="str">
        <f t="shared" si="278"/>
        <v/>
      </c>
    </row>
    <row r="17797" spans="26:26" x14ac:dyDescent="0.2">
      <c r="Z17797" t="str">
        <f t="shared" si="278"/>
        <v/>
      </c>
    </row>
    <row r="17798" spans="26:26" x14ac:dyDescent="0.2">
      <c r="Z17798" t="str">
        <f t="shared" si="278"/>
        <v/>
      </c>
    </row>
    <row r="17799" spans="26:26" x14ac:dyDescent="0.2">
      <c r="Z17799" t="str">
        <f t="shared" si="278"/>
        <v/>
      </c>
    </row>
    <row r="17800" spans="26:26" x14ac:dyDescent="0.2">
      <c r="Z17800" t="str">
        <f t="shared" si="278"/>
        <v/>
      </c>
    </row>
    <row r="17801" spans="26:26" x14ac:dyDescent="0.2">
      <c r="Z17801" t="str">
        <f t="shared" si="278"/>
        <v/>
      </c>
    </row>
    <row r="17802" spans="26:26" x14ac:dyDescent="0.2">
      <c r="Z17802" t="str">
        <f t="shared" si="278"/>
        <v/>
      </c>
    </row>
    <row r="17803" spans="26:26" x14ac:dyDescent="0.2">
      <c r="Z17803" t="str">
        <f t="shared" si="278"/>
        <v/>
      </c>
    </row>
    <row r="17804" spans="26:26" x14ac:dyDescent="0.2">
      <c r="Z17804" t="str">
        <f t="shared" si="278"/>
        <v/>
      </c>
    </row>
    <row r="17805" spans="26:26" x14ac:dyDescent="0.2">
      <c r="Z17805" t="str">
        <f t="shared" si="278"/>
        <v/>
      </c>
    </row>
    <row r="17806" spans="26:26" x14ac:dyDescent="0.2">
      <c r="Z17806" t="str">
        <f t="shared" si="278"/>
        <v/>
      </c>
    </row>
    <row r="17807" spans="26:26" x14ac:dyDescent="0.2">
      <c r="Z17807" t="str">
        <f t="shared" si="278"/>
        <v/>
      </c>
    </row>
    <row r="17808" spans="26:26" x14ac:dyDescent="0.2">
      <c r="Z17808" t="str">
        <f t="shared" si="278"/>
        <v/>
      </c>
    </row>
    <row r="17809" spans="26:26" x14ac:dyDescent="0.2">
      <c r="Z17809" t="str">
        <f t="shared" si="278"/>
        <v/>
      </c>
    </row>
    <row r="17810" spans="26:26" x14ac:dyDescent="0.2">
      <c r="Z17810" t="str">
        <f t="shared" si="278"/>
        <v/>
      </c>
    </row>
    <row r="17811" spans="26:26" x14ac:dyDescent="0.2">
      <c r="Z17811" t="str">
        <f t="shared" si="278"/>
        <v/>
      </c>
    </row>
    <row r="17812" spans="26:26" x14ac:dyDescent="0.2">
      <c r="Z17812" t="str">
        <f t="shared" si="278"/>
        <v/>
      </c>
    </row>
    <row r="17813" spans="26:26" x14ac:dyDescent="0.2">
      <c r="Z17813" t="str">
        <f t="shared" si="278"/>
        <v/>
      </c>
    </row>
    <row r="17814" spans="26:26" x14ac:dyDescent="0.2">
      <c r="Z17814" t="str">
        <f t="shared" si="278"/>
        <v/>
      </c>
    </row>
    <row r="17815" spans="26:26" x14ac:dyDescent="0.2">
      <c r="Z17815" t="str">
        <f t="shared" si="278"/>
        <v/>
      </c>
    </row>
    <row r="17816" spans="26:26" x14ac:dyDescent="0.2">
      <c r="Z17816" t="str">
        <f t="shared" si="278"/>
        <v/>
      </c>
    </row>
    <row r="17817" spans="26:26" x14ac:dyDescent="0.2">
      <c r="Z17817" t="str">
        <f t="shared" si="278"/>
        <v/>
      </c>
    </row>
    <row r="17818" spans="26:26" x14ac:dyDescent="0.2">
      <c r="Z17818" t="str">
        <f t="shared" si="278"/>
        <v/>
      </c>
    </row>
    <row r="17819" spans="26:26" x14ac:dyDescent="0.2">
      <c r="Z17819" t="str">
        <f t="shared" si="278"/>
        <v/>
      </c>
    </row>
    <row r="17820" spans="26:26" x14ac:dyDescent="0.2">
      <c r="Z17820" t="str">
        <f t="shared" si="278"/>
        <v/>
      </c>
    </row>
    <row r="17821" spans="26:26" x14ac:dyDescent="0.2">
      <c r="Z17821" t="str">
        <f t="shared" si="278"/>
        <v/>
      </c>
    </row>
    <row r="17822" spans="26:26" x14ac:dyDescent="0.2">
      <c r="Z17822" t="str">
        <f t="shared" si="278"/>
        <v/>
      </c>
    </row>
    <row r="17823" spans="26:26" x14ac:dyDescent="0.2">
      <c r="Z17823" t="str">
        <f t="shared" si="278"/>
        <v/>
      </c>
    </row>
    <row r="17824" spans="26:26" x14ac:dyDescent="0.2">
      <c r="Z17824" t="str">
        <f t="shared" si="278"/>
        <v/>
      </c>
    </row>
    <row r="17825" spans="26:26" x14ac:dyDescent="0.2">
      <c r="Z17825" t="str">
        <f t="shared" si="278"/>
        <v/>
      </c>
    </row>
    <row r="17826" spans="26:26" x14ac:dyDescent="0.2">
      <c r="Z17826" t="str">
        <f t="shared" si="278"/>
        <v/>
      </c>
    </row>
    <row r="17827" spans="26:26" x14ac:dyDescent="0.2">
      <c r="Z17827" t="str">
        <f t="shared" si="278"/>
        <v/>
      </c>
    </row>
    <row r="17828" spans="26:26" x14ac:dyDescent="0.2">
      <c r="Z17828" t="str">
        <f t="shared" si="278"/>
        <v/>
      </c>
    </row>
    <row r="17829" spans="26:26" x14ac:dyDescent="0.2">
      <c r="Z17829" t="str">
        <f t="shared" si="278"/>
        <v/>
      </c>
    </row>
    <row r="17830" spans="26:26" x14ac:dyDescent="0.2">
      <c r="Z17830" t="str">
        <f t="shared" si="278"/>
        <v/>
      </c>
    </row>
    <row r="17831" spans="26:26" x14ac:dyDescent="0.2">
      <c r="Z17831" t="str">
        <f t="shared" si="278"/>
        <v/>
      </c>
    </row>
    <row r="17832" spans="26:26" x14ac:dyDescent="0.2">
      <c r="Z17832" t="str">
        <f t="shared" si="278"/>
        <v/>
      </c>
    </row>
    <row r="17833" spans="26:26" x14ac:dyDescent="0.2">
      <c r="Z17833" t="str">
        <f t="shared" si="278"/>
        <v/>
      </c>
    </row>
    <row r="17834" spans="26:26" x14ac:dyDescent="0.2">
      <c r="Z17834" t="str">
        <f t="shared" si="278"/>
        <v/>
      </c>
    </row>
    <row r="17835" spans="26:26" x14ac:dyDescent="0.2">
      <c r="Z17835" t="str">
        <f t="shared" si="278"/>
        <v/>
      </c>
    </row>
    <row r="17836" spans="26:26" x14ac:dyDescent="0.2">
      <c r="Z17836" t="str">
        <f t="shared" si="278"/>
        <v/>
      </c>
    </row>
    <row r="17837" spans="26:26" x14ac:dyDescent="0.2">
      <c r="Z17837" t="str">
        <f t="shared" si="278"/>
        <v/>
      </c>
    </row>
    <row r="17838" spans="26:26" x14ac:dyDescent="0.2">
      <c r="Z17838" t="str">
        <f t="shared" si="278"/>
        <v/>
      </c>
    </row>
    <row r="17839" spans="26:26" x14ac:dyDescent="0.2">
      <c r="Z17839" t="str">
        <f t="shared" si="278"/>
        <v/>
      </c>
    </row>
    <row r="17840" spans="26:26" x14ac:dyDescent="0.2">
      <c r="Z17840" t="str">
        <f t="shared" si="278"/>
        <v/>
      </c>
    </row>
    <row r="17841" spans="26:26" x14ac:dyDescent="0.2">
      <c r="Z17841" t="str">
        <f t="shared" si="278"/>
        <v/>
      </c>
    </row>
    <row r="17842" spans="26:26" x14ac:dyDescent="0.2">
      <c r="Z17842" t="str">
        <f t="shared" si="278"/>
        <v/>
      </c>
    </row>
    <row r="17843" spans="26:26" x14ac:dyDescent="0.2">
      <c r="Z17843" t="str">
        <f t="shared" si="278"/>
        <v/>
      </c>
    </row>
    <row r="17844" spans="26:26" x14ac:dyDescent="0.2">
      <c r="Z17844" t="str">
        <f t="shared" si="278"/>
        <v/>
      </c>
    </row>
    <row r="17845" spans="26:26" x14ac:dyDescent="0.2">
      <c r="Z17845" t="str">
        <f t="shared" si="278"/>
        <v/>
      </c>
    </row>
    <row r="17846" spans="26:26" x14ac:dyDescent="0.2">
      <c r="Z17846" t="str">
        <f t="shared" si="278"/>
        <v/>
      </c>
    </row>
    <row r="17847" spans="26:26" x14ac:dyDescent="0.2">
      <c r="Z17847" t="str">
        <f t="shared" si="278"/>
        <v/>
      </c>
    </row>
    <row r="17848" spans="26:26" x14ac:dyDescent="0.2">
      <c r="Z17848" t="str">
        <f t="shared" si="278"/>
        <v/>
      </c>
    </row>
    <row r="17849" spans="26:26" x14ac:dyDescent="0.2">
      <c r="Z17849" t="str">
        <f t="shared" si="278"/>
        <v/>
      </c>
    </row>
    <row r="17850" spans="26:26" x14ac:dyDescent="0.2">
      <c r="Z17850" t="str">
        <f t="shared" si="278"/>
        <v/>
      </c>
    </row>
    <row r="17851" spans="26:26" x14ac:dyDescent="0.2">
      <c r="Z17851" t="str">
        <f t="shared" si="278"/>
        <v/>
      </c>
    </row>
    <row r="17852" spans="26:26" x14ac:dyDescent="0.2">
      <c r="Z17852" t="str">
        <f t="shared" si="278"/>
        <v/>
      </c>
    </row>
    <row r="17853" spans="26:26" x14ac:dyDescent="0.2">
      <c r="Z17853" t="str">
        <f t="shared" si="278"/>
        <v/>
      </c>
    </row>
    <row r="17854" spans="26:26" x14ac:dyDescent="0.2">
      <c r="Z17854" t="str">
        <f t="shared" si="278"/>
        <v/>
      </c>
    </row>
    <row r="17855" spans="26:26" x14ac:dyDescent="0.2">
      <c r="Z17855" t="str">
        <f t="shared" si="278"/>
        <v/>
      </c>
    </row>
    <row r="17856" spans="26:26" x14ac:dyDescent="0.2">
      <c r="Z17856" t="str">
        <f t="shared" si="278"/>
        <v/>
      </c>
    </row>
    <row r="17857" spans="26:26" x14ac:dyDescent="0.2">
      <c r="Z17857" t="str">
        <f t="shared" si="278"/>
        <v/>
      </c>
    </row>
    <row r="17858" spans="26:26" x14ac:dyDescent="0.2">
      <c r="Z17858" t="str">
        <f t="shared" si="278"/>
        <v/>
      </c>
    </row>
    <row r="17859" spans="26:26" x14ac:dyDescent="0.2">
      <c r="Z17859" t="str">
        <f t="shared" ref="Z17859:Z17922" si="279">IF(K17859="","",IFERROR(VALUE(TRIM(MID(K17859,FIND(CHAR(167),SUBSTITUTE(K17859,"-",CHAR(167),LEN(K17859)-LEN(SUBSTITUTE(K17859,"-",""))))+1,100))),K17859))</f>
        <v/>
      </c>
    </row>
    <row r="17860" spans="26:26" x14ac:dyDescent="0.2">
      <c r="Z17860" t="str">
        <f t="shared" si="279"/>
        <v/>
      </c>
    </row>
    <row r="17861" spans="26:26" x14ac:dyDescent="0.2">
      <c r="Z17861" t="str">
        <f t="shared" si="279"/>
        <v/>
      </c>
    </row>
    <row r="17862" spans="26:26" x14ac:dyDescent="0.2">
      <c r="Z17862" t="str">
        <f t="shared" si="279"/>
        <v/>
      </c>
    </row>
    <row r="17863" spans="26:26" x14ac:dyDescent="0.2">
      <c r="Z17863" t="str">
        <f t="shared" si="279"/>
        <v/>
      </c>
    </row>
    <row r="17864" spans="26:26" x14ac:dyDescent="0.2">
      <c r="Z17864" t="str">
        <f t="shared" si="279"/>
        <v/>
      </c>
    </row>
    <row r="17865" spans="26:26" x14ac:dyDescent="0.2">
      <c r="Z17865" t="str">
        <f t="shared" si="279"/>
        <v/>
      </c>
    </row>
    <row r="17866" spans="26:26" x14ac:dyDescent="0.2">
      <c r="Z17866" t="str">
        <f t="shared" si="279"/>
        <v/>
      </c>
    </row>
    <row r="17867" spans="26:26" x14ac:dyDescent="0.2">
      <c r="Z17867" t="str">
        <f t="shared" si="279"/>
        <v/>
      </c>
    </row>
    <row r="17868" spans="26:26" x14ac:dyDescent="0.2">
      <c r="Z17868" t="str">
        <f t="shared" si="279"/>
        <v/>
      </c>
    </row>
    <row r="17869" spans="26:26" x14ac:dyDescent="0.2">
      <c r="Z17869" t="str">
        <f t="shared" si="279"/>
        <v/>
      </c>
    </row>
    <row r="17870" spans="26:26" x14ac:dyDescent="0.2">
      <c r="Z17870" t="str">
        <f t="shared" si="279"/>
        <v/>
      </c>
    </row>
    <row r="17871" spans="26:26" x14ac:dyDescent="0.2">
      <c r="Z17871" t="str">
        <f t="shared" si="279"/>
        <v/>
      </c>
    </row>
    <row r="17872" spans="26:26" x14ac:dyDescent="0.2">
      <c r="Z17872" t="str">
        <f t="shared" si="279"/>
        <v/>
      </c>
    </row>
    <row r="17873" spans="26:26" x14ac:dyDescent="0.2">
      <c r="Z17873" t="str">
        <f t="shared" si="279"/>
        <v/>
      </c>
    </row>
    <row r="17874" spans="26:26" x14ac:dyDescent="0.2">
      <c r="Z17874" t="str">
        <f t="shared" si="279"/>
        <v/>
      </c>
    </row>
    <row r="17875" spans="26:26" x14ac:dyDescent="0.2">
      <c r="Z17875" t="str">
        <f t="shared" si="279"/>
        <v/>
      </c>
    </row>
    <row r="17876" spans="26:26" x14ac:dyDescent="0.2">
      <c r="Z17876" t="str">
        <f t="shared" si="279"/>
        <v/>
      </c>
    </row>
    <row r="17877" spans="26:26" x14ac:dyDescent="0.2">
      <c r="Z17877" t="str">
        <f t="shared" si="279"/>
        <v/>
      </c>
    </row>
    <row r="17878" spans="26:26" x14ac:dyDescent="0.2">
      <c r="Z17878" t="str">
        <f t="shared" si="279"/>
        <v/>
      </c>
    </row>
    <row r="17879" spans="26:26" x14ac:dyDescent="0.2">
      <c r="Z17879" t="str">
        <f t="shared" si="279"/>
        <v/>
      </c>
    </row>
    <row r="17880" spans="26:26" x14ac:dyDescent="0.2">
      <c r="Z17880" t="str">
        <f t="shared" si="279"/>
        <v/>
      </c>
    </row>
    <row r="17881" spans="26:26" x14ac:dyDescent="0.2">
      <c r="Z17881" t="str">
        <f t="shared" si="279"/>
        <v/>
      </c>
    </row>
    <row r="17882" spans="26:26" x14ac:dyDescent="0.2">
      <c r="Z17882" t="str">
        <f t="shared" si="279"/>
        <v/>
      </c>
    </row>
    <row r="17883" spans="26:26" x14ac:dyDescent="0.2">
      <c r="Z17883" t="str">
        <f t="shared" si="279"/>
        <v/>
      </c>
    </row>
    <row r="17884" spans="26:26" x14ac:dyDescent="0.2">
      <c r="Z17884" t="str">
        <f t="shared" si="279"/>
        <v/>
      </c>
    </row>
    <row r="17885" spans="26:26" x14ac:dyDescent="0.2">
      <c r="Z17885" t="str">
        <f t="shared" si="279"/>
        <v/>
      </c>
    </row>
    <row r="17886" spans="26:26" x14ac:dyDescent="0.2">
      <c r="Z17886" t="str">
        <f t="shared" si="279"/>
        <v/>
      </c>
    </row>
    <row r="17887" spans="26:26" x14ac:dyDescent="0.2">
      <c r="Z17887" t="str">
        <f t="shared" si="279"/>
        <v/>
      </c>
    </row>
    <row r="17888" spans="26:26" x14ac:dyDescent="0.2">
      <c r="Z17888" t="str">
        <f t="shared" si="279"/>
        <v/>
      </c>
    </row>
    <row r="17889" spans="26:26" x14ac:dyDescent="0.2">
      <c r="Z17889" t="str">
        <f t="shared" si="279"/>
        <v/>
      </c>
    </row>
    <row r="17890" spans="26:26" x14ac:dyDescent="0.2">
      <c r="Z17890" t="str">
        <f t="shared" si="279"/>
        <v/>
      </c>
    </row>
    <row r="17891" spans="26:26" x14ac:dyDescent="0.2">
      <c r="Z17891" t="str">
        <f t="shared" si="279"/>
        <v/>
      </c>
    </row>
    <row r="17892" spans="26:26" x14ac:dyDescent="0.2">
      <c r="Z17892" t="str">
        <f t="shared" si="279"/>
        <v/>
      </c>
    </row>
    <row r="17893" spans="26:26" x14ac:dyDescent="0.2">
      <c r="Z17893" t="str">
        <f t="shared" si="279"/>
        <v/>
      </c>
    </row>
    <row r="17894" spans="26:26" x14ac:dyDescent="0.2">
      <c r="Z17894" t="str">
        <f t="shared" si="279"/>
        <v/>
      </c>
    </row>
    <row r="17895" spans="26:26" x14ac:dyDescent="0.2">
      <c r="Z17895" t="str">
        <f t="shared" si="279"/>
        <v/>
      </c>
    </row>
    <row r="17896" spans="26:26" x14ac:dyDescent="0.2">
      <c r="Z17896" t="str">
        <f t="shared" si="279"/>
        <v/>
      </c>
    </row>
    <row r="17897" spans="26:26" x14ac:dyDescent="0.2">
      <c r="Z17897" t="str">
        <f t="shared" si="279"/>
        <v/>
      </c>
    </row>
    <row r="17898" spans="26:26" x14ac:dyDescent="0.2">
      <c r="Z17898" t="str">
        <f t="shared" si="279"/>
        <v/>
      </c>
    </row>
    <row r="17899" spans="26:26" x14ac:dyDescent="0.2">
      <c r="Z17899" t="str">
        <f t="shared" si="279"/>
        <v/>
      </c>
    </row>
    <row r="17900" spans="26:26" x14ac:dyDescent="0.2">
      <c r="Z17900" t="str">
        <f t="shared" si="279"/>
        <v/>
      </c>
    </row>
    <row r="17901" spans="26:26" x14ac:dyDescent="0.2">
      <c r="Z17901" t="str">
        <f t="shared" si="279"/>
        <v/>
      </c>
    </row>
    <row r="17902" spans="26:26" x14ac:dyDescent="0.2">
      <c r="Z17902" t="str">
        <f t="shared" si="279"/>
        <v/>
      </c>
    </row>
    <row r="17903" spans="26:26" x14ac:dyDescent="0.2">
      <c r="Z17903" t="str">
        <f t="shared" si="279"/>
        <v/>
      </c>
    </row>
    <row r="17904" spans="26:26" x14ac:dyDescent="0.2">
      <c r="Z17904" t="str">
        <f t="shared" si="279"/>
        <v/>
      </c>
    </row>
    <row r="17905" spans="26:26" x14ac:dyDescent="0.2">
      <c r="Z17905" t="str">
        <f t="shared" si="279"/>
        <v/>
      </c>
    </row>
    <row r="17906" spans="26:26" x14ac:dyDescent="0.2">
      <c r="Z17906" t="str">
        <f t="shared" si="279"/>
        <v/>
      </c>
    </row>
    <row r="17907" spans="26:26" x14ac:dyDescent="0.2">
      <c r="Z17907" t="str">
        <f t="shared" si="279"/>
        <v/>
      </c>
    </row>
    <row r="17908" spans="26:26" x14ac:dyDescent="0.2">
      <c r="Z17908" t="str">
        <f t="shared" si="279"/>
        <v/>
      </c>
    </row>
    <row r="17909" spans="26:26" x14ac:dyDescent="0.2">
      <c r="Z17909" t="str">
        <f t="shared" si="279"/>
        <v/>
      </c>
    </row>
    <row r="17910" spans="26:26" x14ac:dyDescent="0.2">
      <c r="Z17910" t="str">
        <f t="shared" si="279"/>
        <v/>
      </c>
    </row>
    <row r="17911" spans="26:26" x14ac:dyDescent="0.2">
      <c r="Z17911" t="str">
        <f t="shared" si="279"/>
        <v/>
      </c>
    </row>
    <row r="17912" spans="26:26" x14ac:dyDescent="0.2">
      <c r="Z17912" t="str">
        <f t="shared" si="279"/>
        <v/>
      </c>
    </row>
    <row r="17913" spans="26:26" x14ac:dyDescent="0.2">
      <c r="Z17913" t="str">
        <f t="shared" si="279"/>
        <v/>
      </c>
    </row>
    <row r="17914" spans="26:26" x14ac:dyDescent="0.2">
      <c r="Z17914" t="str">
        <f t="shared" si="279"/>
        <v/>
      </c>
    </row>
    <row r="17915" spans="26:26" x14ac:dyDescent="0.2">
      <c r="Z17915" t="str">
        <f t="shared" si="279"/>
        <v/>
      </c>
    </row>
    <row r="17916" spans="26:26" x14ac:dyDescent="0.2">
      <c r="Z17916" t="str">
        <f t="shared" si="279"/>
        <v/>
      </c>
    </row>
    <row r="17917" spans="26:26" x14ac:dyDescent="0.2">
      <c r="Z17917" t="str">
        <f t="shared" si="279"/>
        <v/>
      </c>
    </row>
    <row r="17918" spans="26:26" x14ac:dyDescent="0.2">
      <c r="Z17918" t="str">
        <f t="shared" si="279"/>
        <v/>
      </c>
    </row>
    <row r="17919" spans="26:26" x14ac:dyDescent="0.2">
      <c r="Z17919" t="str">
        <f t="shared" si="279"/>
        <v/>
      </c>
    </row>
    <row r="17920" spans="26:26" x14ac:dyDescent="0.2">
      <c r="Z17920" t="str">
        <f t="shared" si="279"/>
        <v/>
      </c>
    </row>
    <row r="17921" spans="26:26" x14ac:dyDescent="0.2">
      <c r="Z17921" t="str">
        <f t="shared" si="279"/>
        <v/>
      </c>
    </row>
    <row r="17922" spans="26:26" x14ac:dyDescent="0.2">
      <c r="Z17922" t="str">
        <f t="shared" si="279"/>
        <v/>
      </c>
    </row>
    <row r="17923" spans="26:26" x14ac:dyDescent="0.2">
      <c r="Z17923" t="str">
        <f t="shared" ref="Z17923:Z17986" si="280">IF(K17923="","",IFERROR(VALUE(TRIM(MID(K17923,FIND(CHAR(167),SUBSTITUTE(K17923,"-",CHAR(167),LEN(K17923)-LEN(SUBSTITUTE(K17923,"-",""))))+1,100))),K17923))</f>
        <v/>
      </c>
    </row>
    <row r="17924" spans="26:26" x14ac:dyDescent="0.2">
      <c r="Z17924" t="str">
        <f t="shared" si="280"/>
        <v/>
      </c>
    </row>
    <row r="17925" spans="26:26" x14ac:dyDescent="0.2">
      <c r="Z17925" t="str">
        <f t="shared" si="280"/>
        <v/>
      </c>
    </row>
    <row r="17926" spans="26:26" x14ac:dyDescent="0.2">
      <c r="Z17926" t="str">
        <f t="shared" si="280"/>
        <v/>
      </c>
    </row>
    <row r="17927" spans="26:26" x14ac:dyDescent="0.2">
      <c r="Z17927" t="str">
        <f t="shared" si="280"/>
        <v/>
      </c>
    </row>
    <row r="17928" spans="26:26" x14ac:dyDescent="0.2">
      <c r="Z17928" t="str">
        <f t="shared" si="280"/>
        <v/>
      </c>
    </row>
    <row r="17929" spans="26:26" x14ac:dyDescent="0.2">
      <c r="Z17929" t="str">
        <f t="shared" si="280"/>
        <v/>
      </c>
    </row>
    <row r="17930" spans="26:26" x14ac:dyDescent="0.2">
      <c r="Z17930" t="str">
        <f t="shared" si="280"/>
        <v/>
      </c>
    </row>
    <row r="17931" spans="26:26" x14ac:dyDescent="0.2">
      <c r="Z17931" t="str">
        <f t="shared" si="280"/>
        <v/>
      </c>
    </row>
    <row r="17932" spans="26:26" x14ac:dyDescent="0.2">
      <c r="Z17932" t="str">
        <f t="shared" si="280"/>
        <v/>
      </c>
    </row>
    <row r="17933" spans="26:26" x14ac:dyDescent="0.2">
      <c r="Z17933" t="str">
        <f t="shared" si="280"/>
        <v/>
      </c>
    </row>
    <row r="17934" spans="26:26" x14ac:dyDescent="0.2">
      <c r="Z17934" t="str">
        <f t="shared" si="280"/>
        <v/>
      </c>
    </row>
    <row r="17935" spans="26:26" x14ac:dyDescent="0.2">
      <c r="Z17935" t="str">
        <f t="shared" si="280"/>
        <v/>
      </c>
    </row>
    <row r="17936" spans="26:26" x14ac:dyDescent="0.2">
      <c r="Z17936" t="str">
        <f t="shared" si="280"/>
        <v/>
      </c>
    </row>
    <row r="17937" spans="26:26" x14ac:dyDescent="0.2">
      <c r="Z17937" t="str">
        <f t="shared" si="280"/>
        <v/>
      </c>
    </row>
    <row r="17938" spans="26:26" x14ac:dyDescent="0.2">
      <c r="Z17938" t="str">
        <f t="shared" si="280"/>
        <v/>
      </c>
    </row>
    <row r="17939" spans="26:26" x14ac:dyDescent="0.2">
      <c r="Z17939" t="str">
        <f t="shared" si="280"/>
        <v/>
      </c>
    </row>
    <row r="17940" spans="26:26" x14ac:dyDescent="0.2">
      <c r="Z17940" t="str">
        <f t="shared" si="280"/>
        <v/>
      </c>
    </row>
    <row r="17941" spans="26:26" x14ac:dyDescent="0.2">
      <c r="Z17941" t="str">
        <f t="shared" si="280"/>
        <v/>
      </c>
    </row>
    <row r="17942" spans="26:26" x14ac:dyDescent="0.2">
      <c r="Z17942" t="str">
        <f t="shared" si="280"/>
        <v/>
      </c>
    </row>
    <row r="17943" spans="26:26" x14ac:dyDescent="0.2">
      <c r="Z17943" t="str">
        <f t="shared" si="280"/>
        <v/>
      </c>
    </row>
    <row r="17944" spans="26:26" x14ac:dyDescent="0.2">
      <c r="Z17944" t="str">
        <f t="shared" si="280"/>
        <v/>
      </c>
    </row>
    <row r="17945" spans="26:26" x14ac:dyDescent="0.2">
      <c r="Z17945" t="str">
        <f t="shared" si="280"/>
        <v/>
      </c>
    </row>
    <row r="17946" spans="26:26" x14ac:dyDescent="0.2">
      <c r="Z17946" t="str">
        <f t="shared" si="280"/>
        <v/>
      </c>
    </row>
    <row r="17947" spans="26:26" x14ac:dyDescent="0.2">
      <c r="Z17947" t="str">
        <f t="shared" si="280"/>
        <v/>
      </c>
    </row>
    <row r="17948" spans="26:26" x14ac:dyDescent="0.2">
      <c r="Z17948" t="str">
        <f t="shared" si="280"/>
        <v/>
      </c>
    </row>
    <row r="17949" spans="26:26" x14ac:dyDescent="0.2">
      <c r="Z17949" t="str">
        <f t="shared" si="280"/>
        <v/>
      </c>
    </row>
    <row r="17950" spans="26:26" x14ac:dyDescent="0.2">
      <c r="Z17950" t="str">
        <f t="shared" si="280"/>
        <v/>
      </c>
    </row>
    <row r="17951" spans="26:26" x14ac:dyDescent="0.2">
      <c r="Z17951" t="str">
        <f t="shared" si="280"/>
        <v/>
      </c>
    </row>
    <row r="17952" spans="26:26" x14ac:dyDescent="0.2">
      <c r="Z17952" t="str">
        <f t="shared" si="280"/>
        <v/>
      </c>
    </row>
    <row r="17953" spans="26:26" x14ac:dyDescent="0.2">
      <c r="Z17953" t="str">
        <f t="shared" si="280"/>
        <v/>
      </c>
    </row>
    <row r="17954" spans="26:26" x14ac:dyDescent="0.2">
      <c r="Z17954" t="str">
        <f t="shared" si="280"/>
        <v/>
      </c>
    </row>
    <row r="17955" spans="26:26" x14ac:dyDescent="0.2">
      <c r="Z17955" t="str">
        <f t="shared" si="280"/>
        <v/>
      </c>
    </row>
    <row r="17956" spans="26:26" x14ac:dyDescent="0.2">
      <c r="Z17956" t="str">
        <f t="shared" si="280"/>
        <v/>
      </c>
    </row>
    <row r="17957" spans="26:26" x14ac:dyDescent="0.2">
      <c r="Z17957" t="str">
        <f t="shared" si="280"/>
        <v/>
      </c>
    </row>
    <row r="17958" spans="26:26" x14ac:dyDescent="0.2">
      <c r="Z17958" t="str">
        <f t="shared" si="280"/>
        <v/>
      </c>
    </row>
    <row r="17959" spans="26:26" x14ac:dyDescent="0.2">
      <c r="Z17959" t="str">
        <f t="shared" si="280"/>
        <v/>
      </c>
    </row>
    <row r="17960" spans="26:26" x14ac:dyDescent="0.2">
      <c r="Z17960" t="str">
        <f t="shared" si="280"/>
        <v/>
      </c>
    </row>
    <row r="17961" spans="26:26" x14ac:dyDescent="0.2">
      <c r="Z17961" t="str">
        <f t="shared" si="280"/>
        <v/>
      </c>
    </row>
    <row r="17962" spans="26:26" x14ac:dyDescent="0.2">
      <c r="Z17962" t="str">
        <f t="shared" si="280"/>
        <v/>
      </c>
    </row>
    <row r="17963" spans="26:26" x14ac:dyDescent="0.2">
      <c r="Z17963" t="str">
        <f t="shared" si="280"/>
        <v/>
      </c>
    </row>
    <row r="17964" spans="26:26" x14ac:dyDescent="0.2">
      <c r="Z17964" t="str">
        <f t="shared" si="280"/>
        <v/>
      </c>
    </row>
    <row r="17965" spans="26:26" x14ac:dyDescent="0.2">
      <c r="Z17965" t="str">
        <f t="shared" si="280"/>
        <v/>
      </c>
    </row>
    <row r="17966" spans="26:26" x14ac:dyDescent="0.2">
      <c r="Z17966" t="str">
        <f t="shared" si="280"/>
        <v/>
      </c>
    </row>
    <row r="17967" spans="26:26" x14ac:dyDescent="0.2">
      <c r="Z17967" t="str">
        <f t="shared" si="280"/>
        <v/>
      </c>
    </row>
    <row r="17968" spans="26:26" x14ac:dyDescent="0.2">
      <c r="Z17968" t="str">
        <f t="shared" si="280"/>
        <v/>
      </c>
    </row>
    <row r="17969" spans="26:26" x14ac:dyDescent="0.2">
      <c r="Z17969" t="str">
        <f t="shared" si="280"/>
        <v/>
      </c>
    </row>
    <row r="17970" spans="26:26" x14ac:dyDescent="0.2">
      <c r="Z17970" t="str">
        <f t="shared" si="280"/>
        <v/>
      </c>
    </row>
    <row r="17971" spans="26:26" x14ac:dyDescent="0.2">
      <c r="Z17971" t="str">
        <f t="shared" si="280"/>
        <v/>
      </c>
    </row>
    <row r="17972" spans="26:26" x14ac:dyDescent="0.2">
      <c r="Z17972" t="str">
        <f t="shared" si="280"/>
        <v/>
      </c>
    </row>
    <row r="17973" spans="26:26" x14ac:dyDescent="0.2">
      <c r="Z17973" t="str">
        <f t="shared" si="280"/>
        <v/>
      </c>
    </row>
    <row r="17974" spans="26:26" x14ac:dyDescent="0.2">
      <c r="Z17974" t="str">
        <f t="shared" si="280"/>
        <v/>
      </c>
    </row>
    <row r="17975" spans="26:26" x14ac:dyDescent="0.2">
      <c r="Z17975" t="str">
        <f t="shared" si="280"/>
        <v/>
      </c>
    </row>
    <row r="17976" spans="26:26" x14ac:dyDescent="0.2">
      <c r="Z17976" t="str">
        <f t="shared" si="280"/>
        <v/>
      </c>
    </row>
    <row r="17977" spans="26:26" x14ac:dyDescent="0.2">
      <c r="Z17977" t="str">
        <f t="shared" si="280"/>
        <v/>
      </c>
    </row>
    <row r="17978" spans="26:26" x14ac:dyDescent="0.2">
      <c r="Z17978" t="str">
        <f t="shared" si="280"/>
        <v/>
      </c>
    </row>
    <row r="17979" spans="26:26" x14ac:dyDescent="0.2">
      <c r="Z17979" t="str">
        <f t="shared" si="280"/>
        <v/>
      </c>
    </row>
    <row r="17980" spans="26:26" x14ac:dyDescent="0.2">
      <c r="Z17980" t="str">
        <f t="shared" si="280"/>
        <v/>
      </c>
    </row>
    <row r="17981" spans="26:26" x14ac:dyDescent="0.2">
      <c r="Z17981" t="str">
        <f t="shared" si="280"/>
        <v/>
      </c>
    </row>
    <row r="17982" spans="26:26" x14ac:dyDescent="0.2">
      <c r="Z17982" t="str">
        <f t="shared" si="280"/>
        <v/>
      </c>
    </row>
    <row r="17983" spans="26:26" x14ac:dyDescent="0.2">
      <c r="Z17983" t="str">
        <f t="shared" si="280"/>
        <v/>
      </c>
    </row>
    <row r="17984" spans="26:26" x14ac:dyDescent="0.2">
      <c r="Z17984" t="str">
        <f t="shared" si="280"/>
        <v/>
      </c>
    </row>
    <row r="17985" spans="26:26" x14ac:dyDescent="0.2">
      <c r="Z17985" t="str">
        <f t="shared" si="280"/>
        <v/>
      </c>
    </row>
    <row r="17986" spans="26:26" x14ac:dyDescent="0.2">
      <c r="Z17986" t="str">
        <f t="shared" si="280"/>
        <v/>
      </c>
    </row>
    <row r="17987" spans="26:26" x14ac:dyDescent="0.2">
      <c r="Z17987" t="str">
        <f t="shared" ref="Z17987:Z18050" si="281">IF(K17987="","",IFERROR(VALUE(TRIM(MID(K17987,FIND(CHAR(167),SUBSTITUTE(K17987,"-",CHAR(167),LEN(K17987)-LEN(SUBSTITUTE(K17987,"-",""))))+1,100))),K17987))</f>
        <v/>
      </c>
    </row>
    <row r="17988" spans="26:26" x14ac:dyDescent="0.2">
      <c r="Z17988" t="str">
        <f t="shared" si="281"/>
        <v/>
      </c>
    </row>
    <row r="17989" spans="26:26" x14ac:dyDescent="0.2">
      <c r="Z17989" t="str">
        <f t="shared" si="281"/>
        <v/>
      </c>
    </row>
    <row r="17990" spans="26:26" x14ac:dyDescent="0.2">
      <c r="Z17990" t="str">
        <f t="shared" si="281"/>
        <v/>
      </c>
    </row>
    <row r="17991" spans="26:26" x14ac:dyDescent="0.2">
      <c r="Z17991" t="str">
        <f t="shared" si="281"/>
        <v/>
      </c>
    </row>
    <row r="17992" spans="26:26" x14ac:dyDescent="0.2">
      <c r="Z17992" t="str">
        <f t="shared" si="281"/>
        <v/>
      </c>
    </row>
    <row r="17993" spans="26:26" x14ac:dyDescent="0.2">
      <c r="Z17993" t="str">
        <f t="shared" si="281"/>
        <v/>
      </c>
    </row>
    <row r="17994" spans="26:26" x14ac:dyDescent="0.2">
      <c r="Z17994" t="str">
        <f t="shared" si="281"/>
        <v/>
      </c>
    </row>
    <row r="17995" spans="26:26" x14ac:dyDescent="0.2">
      <c r="Z17995" t="str">
        <f t="shared" si="281"/>
        <v/>
      </c>
    </row>
    <row r="17996" spans="26:26" x14ac:dyDescent="0.2">
      <c r="Z17996" t="str">
        <f t="shared" si="281"/>
        <v/>
      </c>
    </row>
    <row r="17997" spans="26:26" x14ac:dyDescent="0.2">
      <c r="Z17997" t="str">
        <f t="shared" si="281"/>
        <v/>
      </c>
    </row>
    <row r="17998" spans="26:26" x14ac:dyDescent="0.2">
      <c r="Z17998" t="str">
        <f t="shared" si="281"/>
        <v/>
      </c>
    </row>
    <row r="17999" spans="26:26" x14ac:dyDescent="0.2">
      <c r="Z17999" t="str">
        <f t="shared" si="281"/>
        <v/>
      </c>
    </row>
    <row r="18000" spans="26:26" x14ac:dyDescent="0.2">
      <c r="Z18000" t="str">
        <f t="shared" si="281"/>
        <v/>
      </c>
    </row>
    <row r="18001" spans="26:26" x14ac:dyDescent="0.2">
      <c r="Z18001" t="str">
        <f t="shared" si="281"/>
        <v/>
      </c>
    </row>
    <row r="18002" spans="26:26" x14ac:dyDescent="0.2">
      <c r="Z18002" t="str">
        <f t="shared" si="281"/>
        <v/>
      </c>
    </row>
    <row r="18003" spans="26:26" x14ac:dyDescent="0.2">
      <c r="Z18003" t="str">
        <f t="shared" si="281"/>
        <v/>
      </c>
    </row>
    <row r="18004" spans="26:26" x14ac:dyDescent="0.2">
      <c r="Z18004" t="str">
        <f t="shared" si="281"/>
        <v/>
      </c>
    </row>
    <row r="18005" spans="26:26" x14ac:dyDescent="0.2">
      <c r="Z18005" t="str">
        <f t="shared" si="281"/>
        <v/>
      </c>
    </row>
    <row r="18006" spans="26:26" x14ac:dyDescent="0.2">
      <c r="Z18006" t="str">
        <f t="shared" si="281"/>
        <v/>
      </c>
    </row>
    <row r="18007" spans="26:26" x14ac:dyDescent="0.2">
      <c r="Z18007" t="str">
        <f t="shared" si="281"/>
        <v/>
      </c>
    </row>
    <row r="18008" spans="26:26" x14ac:dyDescent="0.2">
      <c r="Z18008" t="str">
        <f t="shared" si="281"/>
        <v/>
      </c>
    </row>
    <row r="18009" spans="26:26" x14ac:dyDescent="0.2">
      <c r="Z18009" t="str">
        <f t="shared" si="281"/>
        <v/>
      </c>
    </row>
    <row r="18010" spans="26:26" x14ac:dyDescent="0.2">
      <c r="Z18010" t="str">
        <f t="shared" si="281"/>
        <v/>
      </c>
    </row>
    <row r="18011" spans="26:26" x14ac:dyDescent="0.2">
      <c r="Z18011" t="str">
        <f t="shared" si="281"/>
        <v/>
      </c>
    </row>
    <row r="18012" spans="26:26" x14ac:dyDescent="0.2">
      <c r="Z18012" t="str">
        <f t="shared" si="281"/>
        <v/>
      </c>
    </row>
    <row r="18013" spans="26:26" x14ac:dyDescent="0.2">
      <c r="Z18013" t="str">
        <f t="shared" si="281"/>
        <v/>
      </c>
    </row>
    <row r="18014" spans="26:26" x14ac:dyDescent="0.2">
      <c r="Z18014" t="str">
        <f t="shared" si="281"/>
        <v/>
      </c>
    </row>
    <row r="18015" spans="26:26" x14ac:dyDescent="0.2">
      <c r="Z18015" t="str">
        <f t="shared" si="281"/>
        <v/>
      </c>
    </row>
    <row r="18016" spans="26:26" x14ac:dyDescent="0.2">
      <c r="Z18016" t="str">
        <f t="shared" si="281"/>
        <v/>
      </c>
    </row>
    <row r="18017" spans="26:26" x14ac:dyDescent="0.2">
      <c r="Z18017" t="str">
        <f t="shared" si="281"/>
        <v/>
      </c>
    </row>
    <row r="18018" spans="26:26" x14ac:dyDescent="0.2">
      <c r="Z18018" t="str">
        <f t="shared" si="281"/>
        <v/>
      </c>
    </row>
    <row r="18019" spans="26:26" x14ac:dyDescent="0.2">
      <c r="Z18019" t="str">
        <f t="shared" si="281"/>
        <v/>
      </c>
    </row>
    <row r="18020" spans="26:26" x14ac:dyDescent="0.2">
      <c r="Z18020" t="str">
        <f t="shared" si="281"/>
        <v/>
      </c>
    </row>
    <row r="18021" spans="26:26" x14ac:dyDescent="0.2">
      <c r="Z18021" t="str">
        <f t="shared" si="281"/>
        <v/>
      </c>
    </row>
    <row r="18022" spans="26:26" x14ac:dyDescent="0.2">
      <c r="Z18022" t="str">
        <f t="shared" si="281"/>
        <v/>
      </c>
    </row>
    <row r="18023" spans="26:26" x14ac:dyDescent="0.2">
      <c r="Z18023" t="str">
        <f t="shared" si="281"/>
        <v/>
      </c>
    </row>
    <row r="18024" spans="26:26" x14ac:dyDescent="0.2">
      <c r="Z18024" t="str">
        <f t="shared" si="281"/>
        <v/>
      </c>
    </row>
    <row r="18025" spans="26:26" x14ac:dyDescent="0.2">
      <c r="Z18025" t="str">
        <f t="shared" si="281"/>
        <v/>
      </c>
    </row>
    <row r="18026" spans="26:26" x14ac:dyDescent="0.2">
      <c r="Z18026" t="str">
        <f t="shared" si="281"/>
        <v/>
      </c>
    </row>
    <row r="18027" spans="26:26" x14ac:dyDescent="0.2">
      <c r="Z18027" t="str">
        <f t="shared" si="281"/>
        <v/>
      </c>
    </row>
    <row r="18028" spans="26:26" x14ac:dyDescent="0.2">
      <c r="Z18028" t="str">
        <f t="shared" si="281"/>
        <v/>
      </c>
    </row>
    <row r="18029" spans="26:26" x14ac:dyDescent="0.2">
      <c r="Z18029" t="str">
        <f t="shared" si="281"/>
        <v/>
      </c>
    </row>
    <row r="18030" spans="26:26" x14ac:dyDescent="0.2">
      <c r="Z18030" t="str">
        <f t="shared" si="281"/>
        <v/>
      </c>
    </row>
    <row r="18031" spans="26:26" x14ac:dyDescent="0.2">
      <c r="Z18031" t="str">
        <f t="shared" si="281"/>
        <v/>
      </c>
    </row>
    <row r="18032" spans="26:26" x14ac:dyDescent="0.2">
      <c r="Z18032" t="str">
        <f t="shared" si="281"/>
        <v/>
      </c>
    </row>
    <row r="18033" spans="26:26" x14ac:dyDescent="0.2">
      <c r="Z18033" t="str">
        <f t="shared" si="281"/>
        <v/>
      </c>
    </row>
    <row r="18034" spans="26:26" x14ac:dyDescent="0.2">
      <c r="Z18034" t="str">
        <f t="shared" si="281"/>
        <v/>
      </c>
    </row>
    <row r="18035" spans="26:26" x14ac:dyDescent="0.2">
      <c r="Z18035" t="str">
        <f t="shared" si="281"/>
        <v/>
      </c>
    </row>
    <row r="18036" spans="26:26" x14ac:dyDescent="0.2">
      <c r="Z18036" t="str">
        <f t="shared" si="281"/>
        <v/>
      </c>
    </row>
    <row r="18037" spans="26:26" x14ac:dyDescent="0.2">
      <c r="Z18037" t="str">
        <f t="shared" si="281"/>
        <v/>
      </c>
    </row>
    <row r="18038" spans="26:26" x14ac:dyDescent="0.2">
      <c r="Z18038" t="str">
        <f t="shared" si="281"/>
        <v/>
      </c>
    </row>
    <row r="18039" spans="26:26" x14ac:dyDescent="0.2">
      <c r="Z18039" t="str">
        <f t="shared" si="281"/>
        <v/>
      </c>
    </row>
    <row r="18040" spans="26:26" x14ac:dyDescent="0.2">
      <c r="Z18040" t="str">
        <f t="shared" si="281"/>
        <v/>
      </c>
    </row>
    <row r="18041" spans="26:26" x14ac:dyDescent="0.2">
      <c r="Z18041" t="str">
        <f t="shared" si="281"/>
        <v/>
      </c>
    </row>
    <row r="18042" spans="26:26" x14ac:dyDescent="0.2">
      <c r="Z18042" t="str">
        <f t="shared" si="281"/>
        <v/>
      </c>
    </row>
    <row r="18043" spans="26:26" x14ac:dyDescent="0.2">
      <c r="Z18043" t="str">
        <f t="shared" si="281"/>
        <v/>
      </c>
    </row>
    <row r="18044" spans="26:26" x14ac:dyDescent="0.2">
      <c r="Z18044" t="str">
        <f t="shared" si="281"/>
        <v/>
      </c>
    </row>
    <row r="18045" spans="26:26" x14ac:dyDescent="0.2">
      <c r="Z18045" t="str">
        <f t="shared" si="281"/>
        <v/>
      </c>
    </row>
    <row r="18046" spans="26:26" x14ac:dyDescent="0.2">
      <c r="Z18046" t="str">
        <f t="shared" si="281"/>
        <v/>
      </c>
    </row>
    <row r="18047" spans="26:26" x14ac:dyDescent="0.2">
      <c r="Z18047" t="str">
        <f t="shared" si="281"/>
        <v/>
      </c>
    </row>
    <row r="18048" spans="26:26" x14ac:dyDescent="0.2">
      <c r="Z18048" t="str">
        <f t="shared" si="281"/>
        <v/>
      </c>
    </row>
    <row r="18049" spans="26:26" x14ac:dyDescent="0.2">
      <c r="Z18049" t="str">
        <f t="shared" si="281"/>
        <v/>
      </c>
    </row>
    <row r="18050" spans="26:26" x14ac:dyDescent="0.2">
      <c r="Z18050" t="str">
        <f t="shared" si="281"/>
        <v/>
      </c>
    </row>
    <row r="18051" spans="26:26" x14ac:dyDescent="0.2">
      <c r="Z18051" t="str">
        <f t="shared" ref="Z18051:Z18114" si="282">IF(K18051="","",IFERROR(VALUE(TRIM(MID(K18051,FIND(CHAR(167),SUBSTITUTE(K18051,"-",CHAR(167),LEN(K18051)-LEN(SUBSTITUTE(K18051,"-",""))))+1,100))),K18051))</f>
        <v/>
      </c>
    </row>
    <row r="18052" spans="26:26" x14ac:dyDescent="0.2">
      <c r="Z18052" t="str">
        <f t="shared" si="282"/>
        <v/>
      </c>
    </row>
    <row r="18053" spans="26:26" x14ac:dyDescent="0.2">
      <c r="Z18053" t="str">
        <f t="shared" si="282"/>
        <v/>
      </c>
    </row>
    <row r="18054" spans="26:26" x14ac:dyDescent="0.2">
      <c r="Z18054" t="str">
        <f t="shared" si="282"/>
        <v/>
      </c>
    </row>
    <row r="18055" spans="26:26" x14ac:dyDescent="0.2">
      <c r="Z18055" t="str">
        <f t="shared" si="282"/>
        <v/>
      </c>
    </row>
    <row r="18056" spans="26:26" x14ac:dyDescent="0.2">
      <c r="Z18056" t="str">
        <f t="shared" si="282"/>
        <v/>
      </c>
    </row>
    <row r="18057" spans="26:26" x14ac:dyDescent="0.2">
      <c r="Z18057" t="str">
        <f t="shared" si="282"/>
        <v/>
      </c>
    </row>
    <row r="18058" spans="26:26" x14ac:dyDescent="0.2">
      <c r="Z18058" t="str">
        <f t="shared" si="282"/>
        <v/>
      </c>
    </row>
    <row r="18059" spans="26:26" x14ac:dyDescent="0.2">
      <c r="Z18059" t="str">
        <f t="shared" si="282"/>
        <v/>
      </c>
    </row>
    <row r="18060" spans="26:26" x14ac:dyDescent="0.2">
      <c r="Z18060" t="str">
        <f t="shared" si="282"/>
        <v/>
      </c>
    </row>
    <row r="18061" spans="26:26" x14ac:dyDescent="0.2">
      <c r="Z18061" t="str">
        <f t="shared" si="282"/>
        <v/>
      </c>
    </row>
    <row r="18062" spans="26:26" x14ac:dyDescent="0.2">
      <c r="Z18062" t="str">
        <f t="shared" si="282"/>
        <v/>
      </c>
    </row>
    <row r="18063" spans="26:26" x14ac:dyDescent="0.2">
      <c r="Z18063" t="str">
        <f t="shared" si="282"/>
        <v/>
      </c>
    </row>
    <row r="18064" spans="26:26" x14ac:dyDescent="0.2">
      <c r="Z18064" t="str">
        <f t="shared" si="282"/>
        <v/>
      </c>
    </row>
    <row r="18065" spans="26:26" x14ac:dyDescent="0.2">
      <c r="Z18065" t="str">
        <f t="shared" si="282"/>
        <v/>
      </c>
    </row>
    <row r="18066" spans="26:26" x14ac:dyDescent="0.2">
      <c r="Z18066" t="str">
        <f t="shared" si="282"/>
        <v/>
      </c>
    </row>
    <row r="18067" spans="26:26" x14ac:dyDescent="0.2">
      <c r="Z18067" t="str">
        <f t="shared" si="282"/>
        <v/>
      </c>
    </row>
    <row r="18068" spans="26:26" x14ac:dyDescent="0.2">
      <c r="Z18068" t="str">
        <f t="shared" si="282"/>
        <v/>
      </c>
    </row>
    <row r="18069" spans="26:26" x14ac:dyDescent="0.2">
      <c r="Z18069" t="str">
        <f t="shared" si="282"/>
        <v/>
      </c>
    </row>
    <row r="18070" spans="26:26" x14ac:dyDescent="0.2">
      <c r="Z18070" t="str">
        <f t="shared" si="282"/>
        <v/>
      </c>
    </row>
    <row r="18071" spans="26:26" x14ac:dyDescent="0.2">
      <c r="Z18071" t="str">
        <f t="shared" si="282"/>
        <v/>
      </c>
    </row>
    <row r="18072" spans="26:26" x14ac:dyDescent="0.2">
      <c r="Z18072" t="str">
        <f t="shared" si="282"/>
        <v/>
      </c>
    </row>
    <row r="18073" spans="26:26" x14ac:dyDescent="0.2">
      <c r="Z18073" t="str">
        <f t="shared" si="282"/>
        <v/>
      </c>
    </row>
    <row r="18074" spans="26:26" x14ac:dyDescent="0.2">
      <c r="Z18074" t="str">
        <f t="shared" si="282"/>
        <v/>
      </c>
    </row>
    <row r="18075" spans="26:26" x14ac:dyDescent="0.2">
      <c r="Z18075" t="str">
        <f t="shared" si="282"/>
        <v/>
      </c>
    </row>
    <row r="18076" spans="26:26" x14ac:dyDescent="0.2">
      <c r="Z18076" t="str">
        <f t="shared" si="282"/>
        <v/>
      </c>
    </row>
    <row r="18077" spans="26:26" x14ac:dyDescent="0.2">
      <c r="Z18077" t="str">
        <f t="shared" si="282"/>
        <v/>
      </c>
    </row>
    <row r="18078" spans="26:26" x14ac:dyDescent="0.2">
      <c r="Z18078" t="str">
        <f t="shared" si="282"/>
        <v/>
      </c>
    </row>
    <row r="18079" spans="26:26" x14ac:dyDescent="0.2">
      <c r="Z18079" t="str">
        <f t="shared" si="282"/>
        <v/>
      </c>
    </row>
    <row r="18080" spans="26:26" x14ac:dyDescent="0.2">
      <c r="Z18080" t="str">
        <f t="shared" si="282"/>
        <v/>
      </c>
    </row>
    <row r="18081" spans="26:26" x14ac:dyDescent="0.2">
      <c r="Z18081" t="str">
        <f t="shared" si="282"/>
        <v/>
      </c>
    </row>
    <row r="18082" spans="26:26" x14ac:dyDescent="0.2">
      <c r="Z18082" t="str">
        <f t="shared" si="282"/>
        <v/>
      </c>
    </row>
    <row r="18083" spans="26:26" x14ac:dyDescent="0.2">
      <c r="Z18083" t="str">
        <f t="shared" si="282"/>
        <v/>
      </c>
    </row>
    <row r="18084" spans="26:26" x14ac:dyDescent="0.2">
      <c r="Z18084" t="str">
        <f t="shared" si="282"/>
        <v/>
      </c>
    </row>
    <row r="18085" spans="26:26" x14ac:dyDescent="0.2">
      <c r="Z18085" t="str">
        <f t="shared" si="282"/>
        <v/>
      </c>
    </row>
    <row r="18086" spans="26:26" x14ac:dyDescent="0.2">
      <c r="Z18086" t="str">
        <f t="shared" si="282"/>
        <v/>
      </c>
    </row>
    <row r="18087" spans="26:26" x14ac:dyDescent="0.2">
      <c r="Z18087" t="str">
        <f t="shared" si="282"/>
        <v/>
      </c>
    </row>
    <row r="18088" spans="26:26" x14ac:dyDescent="0.2">
      <c r="Z18088" t="str">
        <f t="shared" si="282"/>
        <v/>
      </c>
    </row>
    <row r="18089" spans="26:26" x14ac:dyDescent="0.2">
      <c r="Z18089" t="str">
        <f t="shared" si="282"/>
        <v/>
      </c>
    </row>
    <row r="18090" spans="26:26" x14ac:dyDescent="0.2">
      <c r="Z18090" t="str">
        <f t="shared" si="282"/>
        <v/>
      </c>
    </row>
    <row r="18091" spans="26:26" x14ac:dyDescent="0.2">
      <c r="Z18091" t="str">
        <f t="shared" si="282"/>
        <v/>
      </c>
    </row>
    <row r="18092" spans="26:26" x14ac:dyDescent="0.2">
      <c r="Z18092" t="str">
        <f t="shared" si="282"/>
        <v/>
      </c>
    </row>
    <row r="18093" spans="26:26" x14ac:dyDescent="0.2">
      <c r="Z18093" t="str">
        <f t="shared" si="282"/>
        <v/>
      </c>
    </row>
    <row r="18094" spans="26:26" x14ac:dyDescent="0.2">
      <c r="Z18094" t="str">
        <f t="shared" si="282"/>
        <v/>
      </c>
    </row>
    <row r="18095" spans="26:26" x14ac:dyDescent="0.2">
      <c r="Z18095" t="str">
        <f t="shared" si="282"/>
        <v/>
      </c>
    </row>
    <row r="18096" spans="26:26" x14ac:dyDescent="0.2">
      <c r="Z18096" t="str">
        <f t="shared" si="282"/>
        <v/>
      </c>
    </row>
    <row r="18097" spans="26:26" x14ac:dyDescent="0.2">
      <c r="Z18097" t="str">
        <f t="shared" si="282"/>
        <v/>
      </c>
    </row>
    <row r="18098" spans="26:26" x14ac:dyDescent="0.2">
      <c r="Z18098" t="str">
        <f t="shared" si="282"/>
        <v/>
      </c>
    </row>
    <row r="18099" spans="26:26" x14ac:dyDescent="0.2">
      <c r="Z18099" t="str">
        <f t="shared" si="282"/>
        <v/>
      </c>
    </row>
    <row r="18100" spans="26:26" x14ac:dyDescent="0.2">
      <c r="Z18100" t="str">
        <f t="shared" si="282"/>
        <v/>
      </c>
    </row>
    <row r="18101" spans="26:26" x14ac:dyDescent="0.2">
      <c r="Z18101" t="str">
        <f t="shared" si="282"/>
        <v/>
      </c>
    </row>
    <row r="18102" spans="26:26" x14ac:dyDescent="0.2">
      <c r="Z18102" t="str">
        <f t="shared" si="282"/>
        <v/>
      </c>
    </row>
    <row r="18103" spans="26:26" x14ac:dyDescent="0.2">
      <c r="Z18103" t="str">
        <f t="shared" si="282"/>
        <v/>
      </c>
    </row>
    <row r="18104" spans="26:26" x14ac:dyDescent="0.2">
      <c r="Z18104" t="str">
        <f t="shared" si="282"/>
        <v/>
      </c>
    </row>
    <row r="18105" spans="26:26" x14ac:dyDescent="0.2">
      <c r="Z18105" t="str">
        <f t="shared" si="282"/>
        <v/>
      </c>
    </row>
    <row r="18106" spans="26:26" x14ac:dyDescent="0.2">
      <c r="Z18106" t="str">
        <f t="shared" si="282"/>
        <v/>
      </c>
    </row>
    <row r="18107" spans="26:26" x14ac:dyDescent="0.2">
      <c r="Z18107" t="str">
        <f t="shared" si="282"/>
        <v/>
      </c>
    </row>
    <row r="18108" spans="26:26" x14ac:dyDescent="0.2">
      <c r="Z18108" t="str">
        <f t="shared" si="282"/>
        <v/>
      </c>
    </row>
    <row r="18109" spans="26:26" x14ac:dyDescent="0.2">
      <c r="Z18109" t="str">
        <f t="shared" si="282"/>
        <v/>
      </c>
    </row>
    <row r="18110" spans="26:26" x14ac:dyDescent="0.2">
      <c r="Z18110" t="str">
        <f t="shared" si="282"/>
        <v/>
      </c>
    </row>
    <row r="18111" spans="26:26" x14ac:dyDescent="0.2">
      <c r="Z18111" t="str">
        <f t="shared" si="282"/>
        <v/>
      </c>
    </row>
    <row r="18112" spans="26:26" x14ac:dyDescent="0.2">
      <c r="Z18112" t="str">
        <f t="shared" si="282"/>
        <v/>
      </c>
    </row>
    <row r="18113" spans="26:26" x14ac:dyDescent="0.2">
      <c r="Z18113" t="str">
        <f t="shared" si="282"/>
        <v/>
      </c>
    </row>
    <row r="18114" spans="26:26" x14ac:dyDescent="0.2">
      <c r="Z18114" t="str">
        <f t="shared" si="282"/>
        <v/>
      </c>
    </row>
    <row r="18115" spans="26:26" x14ac:dyDescent="0.2">
      <c r="Z18115" t="str">
        <f t="shared" ref="Z18115:Z18178" si="283">IF(K18115="","",IFERROR(VALUE(TRIM(MID(K18115,FIND(CHAR(167),SUBSTITUTE(K18115,"-",CHAR(167),LEN(K18115)-LEN(SUBSTITUTE(K18115,"-",""))))+1,100))),K18115))</f>
        <v/>
      </c>
    </row>
    <row r="18116" spans="26:26" x14ac:dyDescent="0.2">
      <c r="Z18116" t="str">
        <f t="shared" si="283"/>
        <v/>
      </c>
    </row>
    <row r="18117" spans="26:26" x14ac:dyDescent="0.2">
      <c r="Z18117" t="str">
        <f t="shared" si="283"/>
        <v/>
      </c>
    </row>
    <row r="18118" spans="26:26" x14ac:dyDescent="0.2">
      <c r="Z18118" t="str">
        <f t="shared" si="283"/>
        <v/>
      </c>
    </row>
    <row r="18119" spans="26:26" x14ac:dyDescent="0.2">
      <c r="Z18119" t="str">
        <f t="shared" si="283"/>
        <v/>
      </c>
    </row>
    <row r="18120" spans="26:26" x14ac:dyDescent="0.2">
      <c r="Z18120" t="str">
        <f t="shared" si="283"/>
        <v/>
      </c>
    </row>
    <row r="18121" spans="26:26" x14ac:dyDescent="0.2">
      <c r="Z18121" t="str">
        <f t="shared" si="283"/>
        <v/>
      </c>
    </row>
    <row r="18122" spans="26:26" x14ac:dyDescent="0.2">
      <c r="Z18122" t="str">
        <f t="shared" si="283"/>
        <v/>
      </c>
    </row>
    <row r="18123" spans="26:26" x14ac:dyDescent="0.2">
      <c r="Z18123" t="str">
        <f t="shared" si="283"/>
        <v/>
      </c>
    </row>
    <row r="18124" spans="26:26" x14ac:dyDescent="0.2">
      <c r="Z18124" t="str">
        <f t="shared" si="283"/>
        <v/>
      </c>
    </row>
    <row r="18125" spans="26:26" x14ac:dyDescent="0.2">
      <c r="Z18125" t="str">
        <f t="shared" si="283"/>
        <v/>
      </c>
    </row>
    <row r="18126" spans="26:26" x14ac:dyDescent="0.2">
      <c r="Z18126" t="str">
        <f t="shared" si="283"/>
        <v/>
      </c>
    </row>
    <row r="18127" spans="26:26" x14ac:dyDescent="0.2">
      <c r="Z18127" t="str">
        <f t="shared" si="283"/>
        <v/>
      </c>
    </row>
    <row r="18128" spans="26:26" x14ac:dyDescent="0.2">
      <c r="Z18128" t="str">
        <f t="shared" si="283"/>
        <v/>
      </c>
    </row>
    <row r="18129" spans="26:26" x14ac:dyDescent="0.2">
      <c r="Z18129" t="str">
        <f t="shared" si="283"/>
        <v/>
      </c>
    </row>
    <row r="18130" spans="26:26" x14ac:dyDescent="0.2">
      <c r="Z18130" t="str">
        <f t="shared" si="283"/>
        <v/>
      </c>
    </row>
    <row r="18131" spans="26:26" x14ac:dyDescent="0.2">
      <c r="Z18131" t="str">
        <f t="shared" si="283"/>
        <v/>
      </c>
    </row>
    <row r="18132" spans="26:26" x14ac:dyDescent="0.2">
      <c r="Z18132" t="str">
        <f t="shared" si="283"/>
        <v/>
      </c>
    </row>
    <row r="18133" spans="26:26" x14ac:dyDescent="0.2">
      <c r="Z18133" t="str">
        <f t="shared" si="283"/>
        <v/>
      </c>
    </row>
    <row r="18134" spans="26:26" x14ac:dyDescent="0.2">
      <c r="Z18134" t="str">
        <f t="shared" si="283"/>
        <v/>
      </c>
    </row>
    <row r="18135" spans="26:26" x14ac:dyDescent="0.2">
      <c r="Z18135" t="str">
        <f t="shared" si="283"/>
        <v/>
      </c>
    </row>
    <row r="18136" spans="26:26" x14ac:dyDescent="0.2">
      <c r="Z18136" t="str">
        <f t="shared" si="283"/>
        <v/>
      </c>
    </row>
    <row r="18137" spans="26:26" x14ac:dyDescent="0.2">
      <c r="Z18137" t="str">
        <f t="shared" si="283"/>
        <v/>
      </c>
    </row>
    <row r="18138" spans="26:26" x14ac:dyDescent="0.2">
      <c r="Z18138" t="str">
        <f t="shared" si="283"/>
        <v/>
      </c>
    </row>
    <row r="18139" spans="26:26" x14ac:dyDescent="0.2">
      <c r="Z18139" t="str">
        <f t="shared" si="283"/>
        <v/>
      </c>
    </row>
    <row r="18140" spans="26:26" x14ac:dyDescent="0.2">
      <c r="Z18140" t="str">
        <f t="shared" si="283"/>
        <v/>
      </c>
    </row>
    <row r="18141" spans="26:26" x14ac:dyDescent="0.2">
      <c r="Z18141" t="str">
        <f t="shared" si="283"/>
        <v/>
      </c>
    </row>
    <row r="18142" spans="26:26" x14ac:dyDescent="0.2">
      <c r="Z18142" t="str">
        <f t="shared" si="283"/>
        <v/>
      </c>
    </row>
    <row r="18143" spans="26:26" x14ac:dyDescent="0.2">
      <c r="Z18143" t="str">
        <f t="shared" si="283"/>
        <v/>
      </c>
    </row>
    <row r="18144" spans="26:26" x14ac:dyDescent="0.2">
      <c r="Z18144" t="str">
        <f t="shared" si="283"/>
        <v/>
      </c>
    </row>
    <row r="18145" spans="26:26" x14ac:dyDescent="0.2">
      <c r="Z18145" t="str">
        <f t="shared" si="283"/>
        <v/>
      </c>
    </row>
    <row r="18146" spans="26:26" x14ac:dyDescent="0.2">
      <c r="Z18146" t="str">
        <f t="shared" si="283"/>
        <v/>
      </c>
    </row>
    <row r="18147" spans="26:26" x14ac:dyDescent="0.2">
      <c r="Z18147" t="str">
        <f t="shared" si="283"/>
        <v/>
      </c>
    </row>
    <row r="18148" spans="26:26" x14ac:dyDescent="0.2">
      <c r="Z18148" t="str">
        <f t="shared" si="283"/>
        <v/>
      </c>
    </row>
    <row r="18149" spans="26:26" x14ac:dyDescent="0.2">
      <c r="Z18149" t="str">
        <f t="shared" si="283"/>
        <v/>
      </c>
    </row>
    <row r="18150" spans="26:26" x14ac:dyDescent="0.2">
      <c r="Z18150" t="str">
        <f t="shared" si="283"/>
        <v/>
      </c>
    </row>
    <row r="18151" spans="26:26" x14ac:dyDescent="0.2">
      <c r="Z18151" t="str">
        <f t="shared" si="283"/>
        <v/>
      </c>
    </row>
    <row r="18152" spans="26:26" x14ac:dyDescent="0.2">
      <c r="Z18152" t="str">
        <f t="shared" si="283"/>
        <v/>
      </c>
    </row>
    <row r="18153" spans="26:26" x14ac:dyDescent="0.2">
      <c r="Z18153" t="str">
        <f t="shared" si="283"/>
        <v/>
      </c>
    </row>
    <row r="18154" spans="26:26" x14ac:dyDescent="0.2">
      <c r="Z18154" t="str">
        <f t="shared" si="283"/>
        <v/>
      </c>
    </row>
    <row r="18155" spans="26:26" x14ac:dyDescent="0.2">
      <c r="Z18155" t="str">
        <f t="shared" si="283"/>
        <v/>
      </c>
    </row>
    <row r="18156" spans="26:26" x14ac:dyDescent="0.2">
      <c r="Z18156" t="str">
        <f t="shared" si="283"/>
        <v/>
      </c>
    </row>
    <row r="18157" spans="26:26" x14ac:dyDescent="0.2">
      <c r="Z18157" t="str">
        <f t="shared" si="283"/>
        <v/>
      </c>
    </row>
    <row r="18158" spans="26:26" x14ac:dyDescent="0.2">
      <c r="Z18158" t="str">
        <f t="shared" si="283"/>
        <v/>
      </c>
    </row>
    <row r="18159" spans="26:26" x14ac:dyDescent="0.2">
      <c r="Z18159" t="str">
        <f t="shared" si="283"/>
        <v/>
      </c>
    </row>
    <row r="18160" spans="26:26" x14ac:dyDescent="0.2">
      <c r="Z18160" t="str">
        <f t="shared" si="283"/>
        <v/>
      </c>
    </row>
    <row r="18161" spans="26:26" x14ac:dyDescent="0.2">
      <c r="Z18161" t="str">
        <f t="shared" si="283"/>
        <v/>
      </c>
    </row>
    <row r="18162" spans="26:26" x14ac:dyDescent="0.2">
      <c r="Z18162" t="str">
        <f t="shared" si="283"/>
        <v/>
      </c>
    </row>
    <row r="18163" spans="26:26" x14ac:dyDescent="0.2">
      <c r="Z18163" t="str">
        <f t="shared" si="283"/>
        <v/>
      </c>
    </row>
    <row r="18164" spans="26:26" x14ac:dyDescent="0.2">
      <c r="Z18164" t="str">
        <f t="shared" si="283"/>
        <v/>
      </c>
    </row>
    <row r="18165" spans="26:26" x14ac:dyDescent="0.2">
      <c r="Z18165" t="str">
        <f t="shared" si="283"/>
        <v/>
      </c>
    </row>
    <row r="18166" spans="26:26" x14ac:dyDescent="0.2">
      <c r="Z18166" t="str">
        <f t="shared" si="283"/>
        <v/>
      </c>
    </row>
    <row r="18167" spans="26:26" x14ac:dyDescent="0.2">
      <c r="Z18167" t="str">
        <f t="shared" si="283"/>
        <v/>
      </c>
    </row>
    <row r="18168" spans="26:26" x14ac:dyDescent="0.2">
      <c r="Z18168" t="str">
        <f t="shared" si="283"/>
        <v/>
      </c>
    </row>
    <row r="18169" spans="26:26" x14ac:dyDescent="0.2">
      <c r="Z18169" t="str">
        <f t="shared" si="283"/>
        <v/>
      </c>
    </row>
    <row r="18170" spans="26:26" x14ac:dyDescent="0.2">
      <c r="Z18170" t="str">
        <f t="shared" si="283"/>
        <v/>
      </c>
    </row>
    <row r="18171" spans="26:26" x14ac:dyDescent="0.2">
      <c r="Z18171" t="str">
        <f t="shared" si="283"/>
        <v/>
      </c>
    </row>
    <row r="18172" spans="26:26" x14ac:dyDescent="0.2">
      <c r="Z18172" t="str">
        <f t="shared" si="283"/>
        <v/>
      </c>
    </row>
    <row r="18173" spans="26:26" x14ac:dyDescent="0.2">
      <c r="Z18173" t="str">
        <f t="shared" si="283"/>
        <v/>
      </c>
    </row>
    <row r="18174" spans="26:26" x14ac:dyDescent="0.2">
      <c r="Z18174" t="str">
        <f t="shared" si="283"/>
        <v/>
      </c>
    </row>
    <row r="18175" spans="26:26" x14ac:dyDescent="0.2">
      <c r="Z18175" t="str">
        <f t="shared" si="283"/>
        <v/>
      </c>
    </row>
    <row r="18176" spans="26:26" x14ac:dyDescent="0.2">
      <c r="Z18176" t="str">
        <f t="shared" si="283"/>
        <v/>
      </c>
    </row>
    <row r="18177" spans="26:26" x14ac:dyDescent="0.2">
      <c r="Z18177" t="str">
        <f t="shared" si="283"/>
        <v/>
      </c>
    </row>
    <row r="18178" spans="26:26" x14ac:dyDescent="0.2">
      <c r="Z18178" t="str">
        <f t="shared" si="283"/>
        <v/>
      </c>
    </row>
    <row r="18179" spans="26:26" x14ac:dyDescent="0.2">
      <c r="Z18179" t="str">
        <f t="shared" ref="Z18179:Z18242" si="284">IF(K18179="","",IFERROR(VALUE(TRIM(MID(K18179,FIND(CHAR(167),SUBSTITUTE(K18179,"-",CHAR(167),LEN(K18179)-LEN(SUBSTITUTE(K18179,"-",""))))+1,100))),K18179))</f>
        <v/>
      </c>
    </row>
    <row r="18180" spans="26:26" x14ac:dyDescent="0.2">
      <c r="Z18180" t="str">
        <f t="shared" si="284"/>
        <v/>
      </c>
    </row>
    <row r="18181" spans="26:26" x14ac:dyDescent="0.2">
      <c r="Z18181" t="str">
        <f t="shared" si="284"/>
        <v/>
      </c>
    </row>
    <row r="18182" spans="26:26" x14ac:dyDescent="0.2">
      <c r="Z18182" t="str">
        <f t="shared" si="284"/>
        <v/>
      </c>
    </row>
    <row r="18183" spans="26:26" x14ac:dyDescent="0.2">
      <c r="Z18183" t="str">
        <f t="shared" si="284"/>
        <v/>
      </c>
    </row>
    <row r="18184" spans="26:26" x14ac:dyDescent="0.2">
      <c r="Z18184" t="str">
        <f t="shared" si="284"/>
        <v/>
      </c>
    </row>
    <row r="18185" spans="26:26" x14ac:dyDescent="0.2">
      <c r="Z18185" t="str">
        <f t="shared" si="284"/>
        <v/>
      </c>
    </row>
    <row r="18186" spans="26:26" x14ac:dyDescent="0.2">
      <c r="Z18186" t="str">
        <f t="shared" si="284"/>
        <v/>
      </c>
    </row>
    <row r="18187" spans="26:26" x14ac:dyDescent="0.2">
      <c r="Z18187" t="str">
        <f t="shared" si="284"/>
        <v/>
      </c>
    </row>
    <row r="18188" spans="26:26" x14ac:dyDescent="0.2">
      <c r="Z18188" t="str">
        <f t="shared" si="284"/>
        <v/>
      </c>
    </row>
    <row r="18189" spans="26:26" x14ac:dyDescent="0.2">
      <c r="Z18189" t="str">
        <f t="shared" si="284"/>
        <v/>
      </c>
    </row>
    <row r="18190" spans="26:26" x14ac:dyDescent="0.2">
      <c r="Z18190" t="str">
        <f t="shared" si="284"/>
        <v/>
      </c>
    </row>
    <row r="18191" spans="26:26" x14ac:dyDescent="0.2">
      <c r="Z18191" t="str">
        <f t="shared" si="284"/>
        <v/>
      </c>
    </row>
    <row r="18192" spans="26:26" x14ac:dyDescent="0.2">
      <c r="Z18192" t="str">
        <f t="shared" si="284"/>
        <v/>
      </c>
    </row>
    <row r="18193" spans="26:26" x14ac:dyDescent="0.2">
      <c r="Z18193" t="str">
        <f t="shared" si="284"/>
        <v/>
      </c>
    </row>
    <row r="18194" spans="26:26" x14ac:dyDescent="0.2">
      <c r="Z18194" t="str">
        <f t="shared" si="284"/>
        <v/>
      </c>
    </row>
    <row r="18195" spans="26:26" x14ac:dyDescent="0.2">
      <c r="Z18195" t="str">
        <f t="shared" si="284"/>
        <v/>
      </c>
    </row>
    <row r="18196" spans="26:26" x14ac:dyDescent="0.2">
      <c r="Z18196" t="str">
        <f t="shared" si="284"/>
        <v/>
      </c>
    </row>
    <row r="18197" spans="26:26" x14ac:dyDescent="0.2">
      <c r="Z18197" t="str">
        <f t="shared" si="284"/>
        <v/>
      </c>
    </row>
    <row r="18198" spans="26:26" x14ac:dyDescent="0.2">
      <c r="Z18198" t="str">
        <f t="shared" si="284"/>
        <v/>
      </c>
    </row>
    <row r="18199" spans="26:26" x14ac:dyDescent="0.2">
      <c r="Z18199" t="str">
        <f t="shared" si="284"/>
        <v/>
      </c>
    </row>
    <row r="18200" spans="26:26" x14ac:dyDescent="0.2">
      <c r="Z18200" t="str">
        <f t="shared" si="284"/>
        <v/>
      </c>
    </row>
    <row r="18201" spans="26:26" x14ac:dyDescent="0.2">
      <c r="Z18201" t="str">
        <f t="shared" si="284"/>
        <v/>
      </c>
    </row>
    <row r="18202" spans="26:26" x14ac:dyDescent="0.2">
      <c r="Z18202" t="str">
        <f t="shared" si="284"/>
        <v/>
      </c>
    </row>
    <row r="18203" spans="26:26" x14ac:dyDescent="0.2">
      <c r="Z18203" t="str">
        <f t="shared" si="284"/>
        <v/>
      </c>
    </row>
    <row r="18204" spans="26:26" x14ac:dyDescent="0.2">
      <c r="Z18204" t="str">
        <f t="shared" si="284"/>
        <v/>
      </c>
    </row>
    <row r="18205" spans="26:26" x14ac:dyDescent="0.2">
      <c r="Z18205" t="str">
        <f t="shared" si="284"/>
        <v/>
      </c>
    </row>
    <row r="18206" spans="26:26" x14ac:dyDescent="0.2">
      <c r="Z18206" t="str">
        <f t="shared" si="284"/>
        <v/>
      </c>
    </row>
    <row r="18207" spans="26:26" x14ac:dyDescent="0.2">
      <c r="Z18207" t="str">
        <f t="shared" si="284"/>
        <v/>
      </c>
    </row>
    <row r="18208" spans="26:26" x14ac:dyDescent="0.2">
      <c r="Z18208" t="str">
        <f t="shared" si="284"/>
        <v/>
      </c>
    </row>
    <row r="18209" spans="26:26" x14ac:dyDescent="0.2">
      <c r="Z18209" t="str">
        <f t="shared" si="284"/>
        <v/>
      </c>
    </row>
    <row r="18210" spans="26:26" x14ac:dyDescent="0.2">
      <c r="Z18210" t="str">
        <f t="shared" si="284"/>
        <v/>
      </c>
    </row>
    <row r="18211" spans="26:26" x14ac:dyDescent="0.2">
      <c r="Z18211" t="str">
        <f t="shared" si="284"/>
        <v/>
      </c>
    </row>
    <row r="18212" spans="26:26" x14ac:dyDescent="0.2">
      <c r="Z18212" t="str">
        <f t="shared" si="284"/>
        <v/>
      </c>
    </row>
    <row r="18213" spans="26:26" x14ac:dyDescent="0.2">
      <c r="Z18213" t="str">
        <f t="shared" si="284"/>
        <v/>
      </c>
    </row>
    <row r="18214" spans="26:26" x14ac:dyDescent="0.2">
      <c r="Z18214" t="str">
        <f t="shared" si="284"/>
        <v/>
      </c>
    </row>
    <row r="18215" spans="26:26" x14ac:dyDescent="0.2">
      <c r="Z18215" t="str">
        <f t="shared" si="284"/>
        <v/>
      </c>
    </row>
    <row r="18216" spans="26:26" x14ac:dyDescent="0.2">
      <c r="Z18216" t="str">
        <f t="shared" si="284"/>
        <v/>
      </c>
    </row>
    <row r="18217" spans="26:26" x14ac:dyDescent="0.2">
      <c r="Z18217" t="str">
        <f t="shared" si="284"/>
        <v/>
      </c>
    </row>
    <row r="18218" spans="26:26" x14ac:dyDescent="0.2">
      <c r="Z18218" t="str">
        <f t="shared" si="284"/>
        <v/>
      </c>
    </row>
    <row r="18219" spans="26:26" x14ac:dyDescent="0.2">
      <c r="Z18219" t="str">
        <f t="shared" si="284"/>
        <v/>
      </c>
    </row>
    <row r="18220" spans="26:26" x14ac:dyDescent="0.2">
      <c r="Z18220" t="str">
        <f t="shared" si="284"/>
        <v/>
      </c>
    </row>
    <row r="18221" spans="26:26" x14ac:dyDescent="0.2">
      <c r="Z18221" t="str">
        <f t="shared" si="284"/>
        <v/>
      </c>
    </row>
    <row r="18222" spans="26:26" x14ac:dyDescent="0.2">
      <c r="Z18222" t="str">
        <f t="shared" si="284"/>
        <v/>
      </c>
    </row>
    <row r="18223" spans="26:26" x14ac:dyDescent="0.2">
      <c r="Z18223" t="str">
        <f t="shared" si="284"/>
        <v/>
      </c>
    </row>
    <row r="18224" spans="26:26" x14ac:dyDescent="0.2">
      <c r="Z18224" t="str">
        <f t="shared" si="284"/>
        <v/>
      </c>
    </row>
    <row r="18225" spans="26:26" x14ac:dyDescent="0.2">
      <c r="Z18225" t="str">
        <f t="shared" si="284"/>
        <v/>
      </c>
    </row>
    <row r="18226" spans="26:26" x14ac:dyDescent="0.2">
      <c r="Z18226" t="str">
        <f t="shared" si="284"/>
        <v/>
      </c>
    </row>
    <row r="18227" spans="26:26" x14ac:dyDescent="0.2">
      <c r="Z18227" t="str">
        <f t="shared" si="284"/>
        <v/>
      </c>
    </row>
    <row r="18228" spans="26:26" x14ac:dyDescent="0.2">
      <c r="Z18228" t="str">
        <f t="shared" si="284"/>
        <v/>
      </c>
    </row>
    <row r="18229" spans="26:26" x14ac:dyDescent="0.2">
      <c r="Z18229" t="str">
        <f t="shared" si="284"/>
        <v/>
      </c>
    </row>
    <row r="18230" spans="26:26" x14ac:dyDescent="0.2">
      <c r="Z18230" t="str">
        <f t="shared" si="284"/>
        <v/>
      </c>
    </row>
    <row r="18231" spans="26:26" x14ac:dyDescent="0.2">
      <c r="Z18231" t="str">
        <f t="shared" si="284"/>
        <v/>
      </c>
    </row>
    <row r="18232" spans="26:26" x14ac:dyDescent="0.2">
      <c r="Z18232" t="str">
        <f t="shared" si="284"/>
        <v/>
      </c>
    </row>
    <row r="18233" spans="26:26" x14ac:dyDescent="0.2">
      <c r="Z18233" t="str">
        <f t="shared" si="284"/>
        <v/>
      </c>
    </row>
    <row r="18234" spans="26:26" x14ac:dyDescent="0.2">
      <c r="Z18234" t="str">
        <f t="shared" si="284"/>
        <v/>
      </c>
    </row>
    <row r="18235" spans="26:26" x14ac:dyDescent="0.2">
      <c r="Z18235" t="str">
        <f t="shared" si="284"/>
        <v/>
      </c>
    </row>
    <row r="18236" spans="26:26" x14ac:dyDescent="0.2">
      <c r="Z18236" t="str">
        <f t="shared" si="284"/>
        <v/>
      </c>
    </row>
    <row r="18237" spans="26:26" x14ac:dyDescent="0.2">
      <c r="Z18237" t="str">
        <f t="shared" si="284"/>
        <v/>
      </c>
    </row>
    <row r="18238" spans="26:26" x14ac:dyDescent="0.2">
      <c r="Z18238" t="str">
        <f t="shared" si="284"/>
        <v/>
      </c>
    </row>
    <row r="18239" spans="26:26" x14ac:dyDescent="0.2">
      <c r="Z18239" t="str">
        <f t="shared" si="284"/>
        <v/>
      </c>
    </row>
    <row r="18240" spans="26:26" x14ac:dyDescent="0.2">
      <c r="Z18240" t="str">
        <f t="shared" si="284"/>
        <v/>
      </c>
    </row>
    <row r="18241" spans="26:26" x14ac:dyDescent="0.2">
      <c r="Z18241" t="str">
        <f t="shared" si="284"/>
        <v/>
      </c>
    </row>
    <row r="18242" spans="26:26" x14ac:dyDescent="0.2">
      <c r="Z18242" t="str">
        <f t="shared" si="284"/>
        <v/>
      </c>
    </row>
    <row r="18243" spans="26:26" x14ac:dyDescent="0.2">
      <c r="Z18243" t="str">
        <f t="shared" ref="Z18243:Z18306" si="285">IF(K18243="","",IFERROR(VALUE(TRIM(MID(K18243,FIND(CHAR(167),SUBSTITUTE(K18243,"-",CHAR(167),LEN(K18243)-LEN(SUBSTITUTE(K18243,"-",""))))+1,100))),K18243))</f>
        <v/>
      </c>
    </row>
    <row r="18244" spans="26:26" x14ac:dyDescent="0.2">
      <c r="Z18244" t="str">
        <f t="shared" si="285"/>
        <v/>
      </c>
    </row>
    <row r="18245" spans="26:26" x14ac:dyDescent="0.2">
      <c r="Z18245" t="str">
        <f t="shared" si="285"/>
        <v/>
      </c>
    </row>
    <row r="18246" spans="26:26" x14ac:dyDescent="0.2">
      <c r="Z18246" t="str">
        <f t="shared" si="285"/>
        <v/>
      </c>
    </row>
    <row r="18247" spans="26:26" x14ac:dyDescent="0.2">
      <c r="Z18247" t="str">
        <f t="shared" si="285"/>
        <v/>
      </c>
    </row>
    <row r="18248" spans="26:26" x14ac:dyDescent="0.2">
      <c r="Z18248" t="str">
        <f t="shared" si="285"/>
        <v/>
      </c>
    </row>
    <row r="18249" spans="26:26" x14ac:dyDescent="0.2">
      <c r="Z18249" t="str">
        <f t="shared" si="285"/>
        <v/>
      </c>
    </row>
    <row r="18250" spans="26:26" x14ac:dyDescent="0.2">
      <c r="Z18250" t="str">
        <f t="shared" si="285"/>
        <v/>
      </c>
    </row>
    <row r="18251" spans="26:26" x14ac:dyDescent="0.2">
      <c r="Z18251" t="str">
        <f t="shared" si="285"/>
        <v/>
      </c>
    </row>
    <row r="18252" spans="26:26" x14ac:dyDescent="0.2">
      <c r="Z18252" t="str">
        <f t="shared" si="285"/>
        <v/>
      </c>
    </row>
    <row r="18253" spans="26:26" x14ac:dyDescent="0.2">
      <c r="Z18253" t="str">
        <f t="shared" si="285"/>
        <v/>
      </c>
    </row>
    <row r="18254" spans="26:26" x14ac:dyDescent="0.2">
      <c r="Z18254" t="str">
        <f t="shared" si="285"/>
        <v/>
      </c>
    </row>
    <row r="18255" spans="26:26" x14ac:dyDescent="0.2">
      <c r="Z18255" t="str">
        <f t="shared" si="285"/>
        <v/>
      </c>
    </row>
    <row r="18256" spans="26:26" x14ac:dyDescent="0.2">
      <c r="Z18256" t="str">
        <f t="shared" si="285"/>
        <v/>
      </c>
    </row>
    <row r="18257" spans="26:26" x14ac:dyDescent="0.2">
      <c r="Z18257" t="str">
        <f t="shared" si="285"/>
        <v/>
      </c>
    </row>
    <row r="18258" spans="26:26" x14ac:dyDescent="0.2">
      <c r="Z18258" t="str">
        <f t="shared" si="285"/>
        <v/>
      </c>
    </row>
    <row r="18259" spans="26:26" x14ac:dyDescent="0.2">
      <c r="Z18259" t="str">
        <f t="shared" si="285"/>
        <v/>
      </c>
    </row>
    <row r="18260" spans="26:26" x14ac:dyDescent="0.2">
      <c r="Z18260" t="str">
        <f t="shared" si="285"/>
        <v/>
      </c>
    </row>
    <row r="18261" spans="26:26" x14ac:dyDescent="0.2">
      <c r="Z18261" t="str">
        <f t="shared" si="285"/>
        <v/>
      </c>
    </row>
    <row r="18262" spans="26:26" x14ac:dyDescent="0.2">
      <c r="Z18262" t="str">
        <f t="shared" si="285"/>
        <v/>
      </c>
    </row>
    <row r="18263" spans="26:26" x14ac:dyDescent="0.2">
      <c r="Z18263" t="str">
        <f t="shared" si="285"/>
        <v/>
      </c>
    </row>
    <row r="18264" spans="26:26" x14ac:dyDescent="0.2">
      <c r="Z18264" t="str">
        <f t="shared" si="285"/>
        <v/>
      </c>
    </row>
    <row r="18265" spans="26:26" x14ac:dyDescent="0.2">
      <c r="Z18265" t="str">
        <f t="shared" si="285"/>
        <v/>
      </c>
    </row>
    <row r="18266" spans="26:26" x14ac:dyDescent="0.2">
      <c r="Z18266" t="str">
        <f t="shared" si="285"/>
        <v/>
      </c>
    </row>
    <row r="18267" spans="26:26" x14ac:dyDescent="0.2">
      <c r="Z18267" t="str">
        <f t="shared" si="285"/>
        <v/>
      </c>
    </row>
    <row r="18268" spans="26:26" x14ac:dyDescent="0.2">
      <c r="Z18268" t="str">
        <f t="shared" si="285"/>
        <v/>
      </c>
    </row>
    <row r="18269" spans="26:26" x14ac:dyDescent="0.2">
      <c r="Z18269" t="str">
        <f t="shared" si="285"/>
        <v/>
      </c>
    </row>
    <row r="18270" spans="26:26" x14ac:dyDescent="0.2">
      <c r="Z18270" t="str">
        <f t="shared" si="285"/>
        <v/>
      </c>
    </row>
    <row r="18271" spans="26:26" x14ac:dyDescent="0.2">
      <c r="Z18271" t="str">
        <f t="shared" si="285"/>
        <v/>
      </c>
    </row>
    <row r="18272" spans="26:26" x14ac:dyDescent="0.2">
      <c r="Z18272" t="str">
        <f t="shared" si="285"/>
        <v/>
      </c>
    </row>
    <row r="18273" spans="26:26" x14ac:dyDescent="0.2">
      <c r="Z18273" t="str">
        <f t="shared" si="285"/>
        <v/>
      </c>
    </row>
    <row r="18274" spans="26:26" x14ac:dyDescent="0.2">
      <c r="Z18274" t="str">
        <f t="shared" si="285"/>
        <v/>
      </c>
    </row>
    <row r="18275" spans="26:26" x14ac:dyDescent="0.2">
      <c r="Z18275" t="str">
        <f t="shared" si="285"/>
        <v/>
      </c>
    </row>
    <row r="18276" spans="26:26" x14ac:dyDescent="0.2">
      <c r="Z18276" t="str">
        <f t="shared" si="285"/>
        <v/>
      </c>
    </row>
    <row r="18277" spans="26:26" x14ac:dyDescent="0.2">
      <c r="Z18277" t="str">
        <f t="shared" si="285"/>
        <v/>
      </c>
    </row>
    <row r="18278" spans="26:26" x14ac:dyDescent="0.2">
      <c r="Z18278" t="str">
        <f t="shared" si="285"/>
        <v/>
      </c>
    </row>
    <row r="18279" spans="26:26" x14ac:dyDescent="0.2">
      <c r="Z18279" t="str">
        <f t="shared" si="285"/>
        <v/>
      </c>
    </row>
    <row r="18280" spans="26:26" x14ac:dyDescent="0.2">
      <c r="Z18280" t="str">
        <f t="shared" si="285"/>
        <v/>
      </c>
    </row>
    <row r="18281" spans="26:26" x14ac:dyDescent="0.2">
      <c r="Z18281" t="str">
        <f t="shared" si="285"/>
        <v/>
      </c>
    </row>
    <row r="18282" spans="26:26" x14ac:dyDescent="0.2">
      <c r="Z18282" t="str">
        <f t="shared" si="285"/>
        <v/>
      </c>
    </row>
    <row r="18283" spans="26:26" x14ac:dyDescent="0.2">
      <c r="Z18283" t="str">
        <f t="shared" si="285"/>
        <v/>
      </c>
    </row>
    <row r="18284" spans="26:26" x14ac:dyDescent="0.2">
      <c r="Z18284" t="str">
        <f t="shared" si="285"/>
        <v/>
      </c>
    </row>
    <row r="18285" spans="26:26" x14ac:dyDescent="0.2">
      <c r="Z18285" t="str">
        <f t="shared" si="285"/>
        <v/>
      </c>
    </row>
    <row r="18286" spans="26:26" x14ac:dyDescent="0.2">
      <c r="Z18286" t="str">
        <f t="shared" si="285"/>
        <v/>
      </c>
    </row>
    <row r="18287" spans="26:26" x14ac:dyDescent="0.2">
      <c r="Z18287" t="str">
        <f t="shared" si="285"/>
        <v/>
      </c>
    </row>
    <row r="18288" spans="26:26" x14ac:dyDescent="0.2">
      <c r="Z18288" t="str">
        <f t="shared" si="285"/>
        <v/>
      </c>
    </row>
    <row r="18289" spans="26:26" x14ac:dyDescent="0.2">
      <c r="Z18289" t="str">
        <f t="shared" si="285"/>
        <v/>
      </c>
    </row>
    <row r="18290" spans="26:26" x14ac:dyDescent="0.2">
      <c r="Z18290" t="str">
        <f t="shared" si="285"/>
        <v/>
      </c>
    </row>
    <row r="18291" spans="26:26" x14ac:dyDescent="0.2">
      <c r="Z18291" t="str">
        <f t="shared" si="285"/>
        <v/>
      </c>
    </row>
    <row r="18292" spans="26:26" x14ac:dyDescent="0.2">
      <c r="Z18292" t="str">
        <f t="shared" si="285"/>
        <v/>
      </c>
    </row>
    <row r="18293" spans="26:26" x14ac:dyDescent="0.2">
      <c r="Z18293" t="str">
        <f t="shared" si="285"/>
        <v/>
      </c>
    </row>
    <row r="18294" spans="26:26" x14ac:dyDescent="0.2">
      <c r="Z18294" t="str">
        <f t="shared" si="285"/>
        <v/>
      </c>
    </row>
    <row r="18295" spans="26:26" x14ac:dyDescent="0.2">
      <c r="Z18295" t="str">
        <f t="shared" si="285"/>
        <v/>
      </c>
    </row>
    <row r="18296" spans="26:26" x14ac:dyDescent="0.2">
      <c r="Z18296" t="str">
        <f t="shared" si="285"/>
        <v/>
      </c>
    </row>
    <row r="18297" spans="26:26" x14ac:dyDescent="0.2">
      <c r="Z18297" t="str">
        <f t="shared" si="285"/>
        <v/>
      </c>
    </row>
    <row r="18298" spans="26:26" x14ac:dyDescent="0.2">
      <c r="Z18298" t="str">
        <f t="shared" si="285"/>
        <v/>
      </c>
    </row>
    <row r="18299" spans="26:26" x14ac:dyDescent="0.2">
      <c r="Z18299" t="str">
        <f t="shared" si="285"/>
        <v/>
      </c>
    </row>
    <row r="18300" spans="26:26" x14ac:dyDescent="0.2">
      <c r="Z18300" t="str">
        <f t="shared" si="285"/>
        <v/>
      </c>
    </row>
    <row r="18301" spans="26:26" x14ac:dyDescent="0.2">
      <c r="Z18301" t="str">
        <f t="shared" si="285"/>
        <v/>
      </c>
    </row>
    <row r="18302" spans="26:26" x14ac:dyDescent="0.2">
      <c r="Z18302" t="str">
        <f t="shared" si="285"/>
        <v/>
      </c>
    </row>
    <row r="18303" spans="26:26" x14ac:dyDescent="0.2">
      <c r="Z18303" t="str">
        <f t="shared" si="285"/>
        <v/>
      </c>
    </row>
    <row r="18304" spans="26:26" x14ac:dyDescent="0.2">
      <c r="Z18304" t="str">
        <f t="shared" si="285"/>
        <v/>
      </c>
    </row>
    <row r="18305" spans="26:26" x14ac:dyDescent="0.2">
      <c r="Z18305" t="str">
        <f t="shared" si="285"/>
        <v/>
      </c>
    </row>
    <row r="18306" spans="26:26" x14ac:dyDescent="0.2">
      <c r="Z18306" t="str">
        <f t="shared" si="285"/>
        <v/>
      </c>
    </row>
    <row r="18307" spans="26:26" x14ac:dyDescent="0.2">
      <c r="Z18307" t="str">
        <f t="shared" ref="Z18307:Z18370" si="286">IF(K18307="","",IFERROR(VALUE(TRIM(MID(K18307,FIND(CHAR(167),SUBSTITUTE(K18307,"-",CHAR(167),LEN(K18307)-LEN(SUBSTITUTE(K18307,"-",""))))+1,100))),K18307))</f>
        <v/>
      </c>
    </row>
    <row r="18308" spans="26:26" x14ac:dyDescent="0.2">
      <c r="Z18308" t="str">
        <f t="shared" si="286"/>
        <v/>
      </c>
    </row>
    <row r="18309" spans="26:26" x14ac:dyDescent="0.2">
      <c r="Z18309" t="str">
        <f t="shared" si="286"/>
        <v/>
      </c>
    </row>
    <row r="18310" spans="26:26" x14ac:dyDescent="0.2">
      <c r="Z18310" t="str">
        <f t="shared" si="286"/>
        <v/>
      </c>
    </row>
    <row r="18311" spans="26:26" x14ac:dyDescent="0.2">
      <c r="Z18311" t="str">
        <f t="shared" si="286"/>
        <v/>
      </c>
    </row>
    <row r="18312" spans="26:26" x14ac:dyDescent="0.2">
      <c r="Z18312" t="str">
        <f t="shared" si="286"/>
        <v/>
      </c>
    </row>
    <row r="18313" spans="26:26" x14ac:dyDescent="0.2">
      <c r="Z18313" t="str">
        <f t="shared" si="286"/>
        <v/>
      </c>
    </row>
    <row r="18314" spans="26:26" x14ac:dyDescent="0.2">
      <c r="Z18314" t="str">
        <f t="shared" si="286"/>
        <v/>
      </c>
    </row>
    <row r="18315" spans="26:26" x14ac:dyDescent="0.2">
      <c r="Z18315" t="str">
        <f t="shared" si="286"/>
        <v/>
      </c>
    </row>
    <row r="18316" spans="26:26" x14ac:dyDescent="0.2">
      <c r="Z18316" t="str">
        <f t="shared" si="286"/>
        <v/>
      </c>
    </row>
    <row r="18317" spans="26:26" x14ac:dyDescent="0.2">
      <c r="Z18317" t="str">
        <f t="shared" si="286"/>
        <v/>
      </c>
    </row>
    <row r="18318" spans="26:26" x14ac:dyDescent="0.2">
      <c r="Z18318" t="str">
        <f t="shared" si="286"/>
        <v/>
      </c>
    </row>
    <row r="18319" spans="26:26" x14ac:dyDescent="0.2">
      <c r="Z18319" t="str">
        <f t="shared" si="286"/>
        <v/>
      </c>
    </row>
    <row r="18320" spans="26:26" x14ac:dyDescent="0.2">
      <c r="Z18320" t="str">
        <f t="shared" si="286"/>
        <v/>
      </c>
    </row>
    <row r="18321" spans="26:26" x14ac:dyDescent="0.2">
      <c r="Z18321" t="str">
        <f t="shared" si="286"/>
        <v/>
      </c>
    </row>
    <row r="18322" spans="26:26" x14ac:dyDescent="0.2">
      <c r="Z18322" t="str">
        <f t="shared" si="286"/>
        <v/>
      </c>
    </row>
    <row r="18323" spans="26:26" x14ac:dyDescent="0.2">
      <c r="Z18323" t="str">
        <f t="shared" si="286"/>
        <v/>
      </c>
    </row>
    <row r="18324" spans="26:26" x14ac:dyDescent="0.2">
      <c r="Z18324" t="str">
        <f t="shared" si="286"/>
        <v/>
      </c>
    </row>
    <row r="18325" spans="26:26" x14ac:dyDescent="0.2">
      <c r="Z18325" t="str">
        <f t="shared" si="286"/>
        <v/>
      </c>
    </row>
    <row r="18326" spans="26:26" x14ac:dyDescent="0.2">
      <c r="Z18326" t="str">
        <f t="shared" si="286"/>
        <v/>
      </c>
    </row>
    <row r="18327" spans="26:26" x14ac:dyDescent="0.2">
      <c r="Z18327" t="str">
        <f t="shared" si="286"/>
        <v/>
      </c>
    </row>
    <row r="18328" spans="26:26" x14ac:dyDescent="0.2">
      <c r="Z18328" t="str">
        <f t="shared" si="286"/>
        <v/>
      </c>
    </row>
    <row r="18329" spans="26:26" x14ac:dyDescent="0.2">
      <c r="Z18329" t="str">
        <f t="shared" si="286"/>
        <v/>
      </c>
    </row>
    <row r="18330" spans="26:26" x14ac:dyDescent="0.2">
      <c r="Z18330" t="str">
        <f t="shared" si="286"/>
        <v/>
      </c>
    </row>
    <row r="18331" spans="26:26" x14ac:dyDescent="0.2">
      <c r="Z18331" t="str">
        <f t="shared" si="286"/>
        <v/>
      </c>
    </row>
    <row r="18332" spans="26:26" x14ac:dyDescent="0.2">
      <c r="Z18332" t="str">
        <f t="shared" si="286"/>
        <v/>
      </c>
    </row>
    <row r="18333" spans="26:26" x14ac:dyDescent="0.2">
      <c r="Z18333" t="str">
        <f t="shared" si="286"/>
        <v/>
      </c>
    </row>
    <row r="18334" spans="26:26" x14ac:dyDescent="0.2">
      <c r="Z18334" t="str">
        <f t="shared" si="286"/>
        <v/>
      </c>
    </row>
    <row r="18335" spans="26:26" x14ac:dyDescent="0.2">
      <c r="Z18335" t="str">
        <f t="shared" si="286"/>
        <v/>
      </c>
    </row>
    <row r="18336" spans="26:26" x14ac:dyDescent="0.2">
      <c r="Z18336" t="str">
        <f t="shared" si="286"/>
        <v/>
      </c>
    </row>
    <row r="18337" spans="26:26" x14ac:dyDescent="0.2">
      <c r="Z18337" t="str">
        <f t="shared" si="286"/>
        <v/>
      </c>
    </row>
    <row r="18338" spans="26:26" x14ac:dyDescent="0.2">
      <c r="Z18338" t="str">
        <f t="shared" si="286"/>
        <v/>
      </c>
    </row>
    <row r="18339" spans="26:26" x14ac:dyDescent="0.2">
      <c r="Z18339" t="str">
        <f t="shared" si="286"/>
        <v/>
      </c>
    </row>
    <row r="18340" spans="26:26" x14ac:dyDescent="0.2">
      <c r="Z18340" t="str">
        <f t="shared" si="286"/>
        <v/>
      </c>
    </row>
    <row r="18341" spans="26:26" x14ac:dyDescent="0.2">
      <c r="Z18341" t="str">
        <f t="shared" si="286"/>
        <v/>
      </c>
    </row>
    <row r="18342" spans="26:26" x14ac:dyDescent="0.2">
      <c r="Z18342" t="str">
        <f t="shared" si="286"/>
        <v/>
      </c>
    </row>
    <row r="18343" spans="26:26" x14ac:dyDescent="0.2">
      <c r="Z18343" t="str">
        <f t="shared" si="286"/>
        <v/>
      </c>
    </row>
    <row r="18344" spans="26:26" x14ac:dyDescent="0.2">
      <c r="Z18344" t="str">
        <f t="shared" si="286"/>
        <v/>
      </c>
    </row>
    <row r="18345" spans="26:26" x14ac:dyDescent="0.2">
      <c r="Z18345" t="str">
        <f t="shared" si="286"/>
        <v/>
      </c>
    </row>
    <row r="18346" spans="26:26" x14ac:dyDescent="0.2">
      <c r="Z18346" t="str">
        <f t="shared" si="286"/>
        <v/>
      </c>
    </row>
    <row r="18347" spans="26:26" x14ac:dyDescent="0.2">
      <c r="Z18347" t="str">
        <f t="shared" si="286"/>
        <v/>
      </c>
    </row>
    <row r="18348" spans="26:26" x14ac:dyDescent="0.2">
      <c r="Z18348" t="str">
        <f t="shared" si="286"/>
        <v/>
      </c>
    </row>
    <row r="18349" spans="26:26" x14ac:dyDescent="0.2">
      <c r="Z18349" t="str">
        <f t="shared" si="286"/>
        <v/>
      </c>
    </row>
    <row r="18350" spans="26:26" x14ac:dyDescent="0.2">
      <c r="Z18350" t="str">
        <f t="shared" si="286"/>
        <v/>
      </c>
    </row>
    <row r="18351" spans="26:26" x14ac:dyDescent="0.2">
      <c r="Z18351" t="str">
        <f t="shared" si="286"/>
        <v/>
      </c>
    </row>
    <row r="18352" spans="26:26" x14ac:dyDescent="0.2">
      <c r="Z18352" t="str">
        <f t="shared" si="286"/>
        <v/>
      </c>
    </row>
    <row r="18353" spans="26:26" x14ac:dyDescent="0.2">
      <c r="Z18353" t="str">
        <f t="shared" si="286"/>
        <v/>
      </c>
    </row>
    <row r="18354" spans="26:26" x14ac:dyDescent="0.2">
      <c r="Z18354" t="str">
        <f t="shared" si="286"/>
        <v/>
      </c>
    </row>
    <row r="18355" spans="26:26" x14ac:dyDescent="0.2">
      <c r="Z18355" t="str">
        <f t="shared" si="286"/>
        <v/>
      </c>
    </row>
    <row r="18356" spans="26:26" x14ac:dyDescent="0.2">
      <c r="Z18356" t="str">
        <f t="shared" si="286"/>
        <v/>
      </c>
    </row>
    <row r="18357" spans="26:26" x14ac:dyDescent="0.2">
      <c r="Z18357" t="str">
        <f t="shared" si="286"/>
        <v/>
      </c>
    </row>
    <row r="18358" spans="26:26" x14ac:dyDescent="0.2">
      <c r="Z18358" t="str">
        <f t="shared" si="286"/>
        <v/>
      </c>
    </row>
    <row r="18359" spans="26:26" x14ac:dyDescent="0.2">
      <c r="Z18359" t="str">
        <f t="shared" si="286"/>
        <v/>
      </c>
    </row>
    <row r="18360" spans="26:26" x14ac:dyDescent="0.2">
      <c r="Z18360" t="str">
        <f t="shared" si="286"/>
        <v/>
      </c>
    </row>
    <row r="18361" spans="26:26" x14ac:dyDescent="0.2">
      <c r="Z18361" t="str">
        <f t="shared" si="286"/>
        <v/>
      </c>
    </row>
    <row r="18362" spans="26:26" x14ac:dyDescent="0.2">
      <c r="Z18362" t="str">
        <f t="shared" si="286"/>
        <v/>
      </c>
    </row>
    <row r="18363" spans="26:26" x14ac:dyDescent="0.2">
      <c r="Z18363" t="str">
        <f t="shared" si="286"/>
        <v/>
      </c>
    </row>
    <row r="18364" spans="26:26" x14ac:dyDescent="0.2">
      <c r="Z18364" t="str">
        <f t="shared" si="286"/>
        <v/>
      </c>
    </row>
    <row r="18365" spans="26:26" x14ac:dyDescent="0.2">
      <c r="Z18365" t="str">
        <f t="shared" si="286"/>
        <v/>
      </c>
    </row>
    <row r="18366" spans="26:26" x14ac:dyDescent="0.2">
      <c r="Z18366" t="str">
        <f t="shared" si="286"/>
        <v/>
      </c>
    </row>
    <row r="18367" spans="26:26" x14ac:dyDescent="0.2">
      <c r="Z18367" t="str">
        <f t="shared" si="286"/>
        <v/>
      </c>
    </row>
    <row r="18368" spans="26:26" x14ac:dyDescent="0.2">
      <c r="Z18368" t="str">
        <f t="shared" si="286"/>
        <v/>
      </c>
    </row>
    <row r="18369" spans="26:26" x14ac:dyDescent="0.2">
      <c r="Z18369" t="str">
        <f t="shared" si="286"/>
        <v/>
      </c>
    </row>
    <row r="18370" spans="26:26" x14ac:dyDescent="0.2">
      <c r="Z18370" t="str">
        <f t="shared" si="286"/>
        <v/>
      </c>
    </row>
    <row r="18371" spans="26:26" x14ac:dyDescent="0.2">
      <c r="Z18371" t="str">
        <f t="shared" ref="Z18371:Z18434" si="287">IF(K18371="","",IFERROR(VALUE(TRIM(MID(K18371,FIND(CHAR(167),SUBSTITUTE(K18371,"-",CHAR(167),LEN(K18371)-LEN(SUBSTITUTE(K18371,"-",""))))+1,100))),K18371))</f>
        <v/>
      </c>
    </row>
    <row r="18372" spans="26:26" x14ac:dyDescent="0.2">
      <c r="Z18372" t="str">
        <f t="shared" si="287"/>
        <v/>
      </c>
    </row>
    <row r="18373" spans="26:26" x14ac:dyDescent="0.2">
      <c r="Z18373" t="str">
        <f t="shared" si="287"/>
        <v/>
      </c>
    </row>
    <row r="18374" spans="26:26" x14ac:dyDescent="0.2">
      <c r="Z18374" t="str">
        <f t="shared" si="287"/>
        <v/>
      </c>
    </row>
    <row r="18375" spans="26:26" x14ac:dyDescent="0.2">
      <c r="Z18375" t="str">
        <f t="shared" si="287"/>
        <v/>
      </c>
    </row>
    <row r="18376" spans="26:26" x14ac:dyDescent="0.2">
      <c r="Z18376" t="str">
        <f t="shared" si="287"/>
        <v/>
      </c>
    </row>
    <row r="18377" spans="26:26" x14ac:dyDescent="0.2">
      <c r="Z18377" t="str">
        <f t="shared" si="287"/>
        <v/>
      </c>
    </row>
    <row r="18378" spans="26:26" x14ac:dyDescent="0.2">
      <c r="Z18378" t="str">
        <f t="shared" si="287"/>
        <v/>
      </c>
    </row>
    <row r="18379" spans="26:26" x14ac:dyDescent="0.2">
      <c r="Z18379" t="str">
        <f t="shared" si="287"/>
        <v/>
      </c>
    </row>
    <row r="18380" spans="26:26" x14ac:dyDescent="0.2">
      <c r="Z18380" t="str">
        <f t="shared" si="287"/>
        <v/>
      </c>
    </row>
    <row r="18381" spans="26:26" x14ac:dyDescent="0.2">
      <c r="Z18381" t="str">
        <f t="shared" si="287"/>
        <v/>
      </c>
    </row>
    <row r="18382" spans="26:26" x14ac:dyDescent="0.2">
      <c r="Z18382" t="str">
        <f t="shared" si="287"/>
        <v/>
      </c>
    </row>
    <row r="18383" spans="26:26" x14ac:dyDescent="0.2">
      <c r="Z18383" t="str">
        <f t="shared" si="287"/>
        <v/>
      </c>
    </row>
    <row r="18384" spans="26:26" x14ac:dyDescent="0.2">
      <c r="Z18384" t="str">
        <f t="shared" si="287"/>
        <v/>
      </c>
    </row>
    <row r="18385" spans="26:26" x14ac:dyDescent="0.2">
      <c r="Z18385" t="str">
        <f t="shared" si="287"/>
        <v/>
      </c>
    </row>
    <row r="18386" spans="26:26" x14ac:dyDescent="0.2">
      <c r="Z18386" t="str">
        <f t="shared" si="287"/>
        <v/>
      </c>
    </row>
    <row r="18387" spans="26:26" x14ac:dyDescent="0.2">
      <c r="Z18387" t="str">
        <f t="shared" si="287"/>
        <v/>
      </c>
    </row>
    <row r="18388" spans="26:26" x14ac:dyDescent="0.2">
      <c r="Z18388" t="str">
        <f t="shared" si="287"/>
        <v/>
      </c>
    </row>
    <row r="18389" spans="26:26" x14ac:dyDescent="0.2">
      <c r="Z18389" t="str">
        <f t="shared" si="287"/>
        <v/>
      </c>
    </row>
    <row r="18390" spans="26:26" x14ac:dyDescent="0.2">
      <c r="Z18390" t="str">
        <f t="shared" si="287"/>
        <v/>
      </c>
    </row>
    <row r="18391" spans="26:26" x14ac:dyDescent="0.2">
      <c r="Z18391" t="str">
        <f t="shared" si="287"/>
        <v/>
      </c>
    </row>
    <row r="18392" spans="26:26" x14ac:dyDescent="0.2">
      <c r="Z18392" t="str">
        <f t="shared" si="287"/>
        <v/>
      </c>
    </row>
    <row r="18393" spans="26:26" x14ac:dyDescent="0.2">
      <c r="Z18393" t="str">
        <f t="shared" si="287"/>
        <v/>
      </c>
    </row>
    <row r="18394" spans="26:26" x14ac:dyDescent="0.2">
      <c r="Z18394" t="str">
        <f t="shared" si="287"/>
        <v/>
      </c>
    </row>
    <row r="18395" spans="26:26" x14ac:dyDescent="0.2">
      <c r="Z18395" t="str">
        <f t="shared" si="287"/>
        <v/>
      </c>
    </row>
    <row r="18396" spans="26:26" x14ac:dyDescent="0.2">
      <c r="Z18396" t="str">
        <f t="shared" si="287"/>
        <v/>
      </c>
    </row>
    <row r="18397" spans="26:26" x14ac:dyDescent="0.2">
      <c r="Z18397" t="str">
        <f t="shared" si="287"/>
        <v/>
      </c>
    </row>
    <row r="18398" spans="26:26" x14ac:dyDescent="0.2">
      <c r="Z18398" t="str">
        <f t="shared" si="287"/>
        <v/>
      </c>
    </row>
    <row r="18399" spans="26:26" x14ac:dyDescent="0.2">
      <c r="Z18399" t="str">
        <f t="shared" si="287"/>
        <v/>
      </c>
    </row>
    <row r="18400" spans="26:26" x14ac:dyDescent="0.2">
      <c r="Z18400" t="str">
        <f t="shared" si="287"/>
        <v/>
      </c>
    </row>
    <row r="18401" spans="26:26" x14ac:dyDescent="0.2">
      <c r="Z18401" t="str">
        <f t="shared" si="287"/>
        <v/>
      </c>
    </row>
    <row r="18402" spans="26:26" x14ac:dyDescent="0.2">
      <c r="Z18402" t="str">
        <f t="shared" si="287"/>
        <v/>
      </c>
    </row>
    <row r="18403" spans="26:26" x14ac:dyDescent="0.2">
      <c r="Z18403" t="str">
        <f t="shared" si="287"/>
        <v/>
      </c>
    </row>
    <row r="18404" spans="26:26" x14ac:dyDescent="0.2">
      <c r="Z18404" t="str">
        <f t="shared" si="287"/>
        <v/>
      </c>
    </row>
    <row r="18405" spans="26:26" x14ac:dyDescent="0.2">
      <c r="Z18405" t="str">
        <f t="shared" si="287"/>
        <v/>
      </c>
    </row>
    <row r="18406" spans="26:26" x14ac:dyDescent="0.2">
      <c r="Z18406" t="str">
        <f t="shared" si="287"/>
        <v/>
      </c>
    </row>
    <row r="18407" spans="26:26" x14ac:dyDescent="0.2">
      <c r="Z18407" t="str">
        <f t="shared" si="287"/>
        <v/>
      </c>
    </row>
    <row r="18408" spans="26:26" x14ac:dyDescent="0.2">
      <c r="Z18408" t="str">
        <f t="shared" si="287"/>
        <v/>
      </c>
    </row>
    <row r="18409" spans="26:26" x14ac:dyDescent="0.2">
      <c r="Z18409" t="str">
        <f t="shared" si="287"/>
        <v/>
      </c>
    </row>
    <row r="18410" spans="26:26" x14ac:dyDescent="0.2">
      <c r="Z18410" t="str">
        <f t="shared" si="287"/>
        <v/>
      </c>
    </row>
    <row r="18411" spans="26:26" x14ac:dyDescent="0.2">
      <c r="Z18411" t="str">
        <f t="shared" si="287"/>
        <v/>
      </c>
    </row>
    <row r="18412" spans="26:26" x14ac:dyDescent="0.2">
      <c r="Z18412" t="str">
        <f t="shared" si="287"/>
        <v/>
      </c>
    </row>
    <row r="18413" spans="26:26" x14ac:dyDescent="0.2">
      <c r="Z18413" t="str">
        <f t="shared" si="287"/>
        <v/>
      </c>
    </row>
    <row r="18414" spans="26:26" x14ac:dyDescent="0.2">
      <c r="Z18414" t="str">
        <f t="shared" si="287"/>
        <v/>
      </c>
    </row>
    <row r="18415" spans="26:26" x14ac:dyDescent="0.2">
      <c r="Z18415" t="str">
        <f t="shared" si="287"/>
        <v/>
      </c>
    </row>
    <row r="18416" spans="26:26" x14ac:dyDescent="0.2">
      <c r="Z18416" t="str">
        <f t="shared" si="287"/>
        <v/>
      </c>
    </row>
    <row r="18417" spans="26:26" x14ac:dyDescent="0.2">
      <c r="Z18417" t="str">
        <f t="shared" si="287"/>
        <v/>
      </c>
    </row>
    <row r="18418" spans="26:26" x14ac:dyDescent="0.2">
      <c r="Z18418" t="str">
        <f t="shared" si="287"/>
        <v/>
      </c>
    </row>
    <row r="18419" spans="26:26" x14ac:dyDescent="0.2">
      <c r="Z18419" t="str">
        <f t="shared" si="287"/>
        <v/>
      </c>
    </row>
    <row r="18420" spans="26:26" x14ac:dyDescent="0.2">
      <c r="Z18420" t="str">
        <f t="shared" si="287"/>
        <v/>
      </c>
    </row>
    <row r="18421" spans="26:26" x14ac:dyDescent="0.2">
      <c r="Z18421" t="str">
        <f t="shared" si="287"/>
        <v/>
      </c>
    </row>
    <row r="18422" spans="26:26" x14ac:dyDescent="0.2">
      <c r="Z18422" t="str">
        <f t="shared" si="287"/>
        <v/>
      </c>
    </row>
    <row r="18423" spans="26:26" x14ac:dyDescent="0.2">
      <c r="Z18423" t="str">
        <f t="shared" si="287"/>
        <v/>
      </c>
    </row>
    <row r="18424" spans="26:26" x14ac:dyDescent="0.2">
      <c r="Z18424" t="str">
        <f t="shared" si="287"/>
        <v/>
      </c>
    </row>
    <row r="18425" spans="26:26" x14ac:dyDescent="0.2">
      <c r="Z18425" t="str">
        <f t="shared" si="287"/>
        <v/>
      </c>
    </row>
    <row r="18426" spans="26:26" x14ac:dyDescent="0.2">
      <c r="Z18426" t="str">
        <f t="shared" si="287"/>
        <v/>
      </c>
    </row>
    <row r="18427" spans="26:26" x14ac:dyDescent="0.2">
      <c r="Z18427" t="str">
        <f t="shared" si="287"/>
        <v/>
      </c>
    </row>
    <row r="18428" spans="26:26" x14ac:dyDescent="0.2">
      <c r="Z18428" t="str">
        <f t="shared" si="287"/>
        <v/>
      </c>
    </row>
    <row r="18429" spans="26:26" x14ac:dyDescent="0.2">
      <c r="Z18429" t="str">
        <f t="shared" si="287"/>
        <v/>
      </c>
    </row>
    <row r="18430" spans="26:26" x14ac:dyDescent="0.2">
      <c r="Z18430" t="str">
        <f t="shared" si="287"/>
        <v/>
      </c>
    </row>
    <row r="18431" spans="26:26" x14ac:dyDescent="0.2">
      <c r="Z18431" t="str">
        <f t="shared" si="287"/>
        <v/>
      </c>
    </row>
    <row r="18432" spans="26:26" x14ac:dyDescent="0.2">
      <c r="Z18432" t="str">
        <f t="shared" si="287"/>
        <v/>
      </c>
    </row>
    <row r="18433" spans="26:26" x14ac:dyDescent="0.2">
      <c r="Z18433" t="str">
        <f t="shared" si="287"/>
        <v/>
      </c>
    </row>
    <row r="18434" spans="26:26" x14ac:dyDescent="0.2">
      <c r="Z18434" t="str">
        <f t="shared" si="287"/>
        <v/>
      </c>
    </row>
    <row r="18435" spans="26:26" x14ac:dyDescent="0.2">
      <c r="Z18435" t="str">
        <f t="shared" ref="Z18435:Z18498" si="288">IF(K18435="","",IFERROR(VALUE(TRIM(MID(K18435,FIND(CHAR(167),SUBSTITUTE(K18435,"-",CHAR(167),LEN(K18435)-LEN(SUBSTITUTE(K18435,"-",""))))+1,100))),K18435))</f>
        <v/>
      </c>
    </row>
    <row r="18436" spans="26:26" x14ac:dyDescent="0.2">
      <c r="Z18436" t="str">
        <f t="shared" si="288"/>
        <v/>
      </c>
    </row>
    <row r="18437" spans="26:26" x14ac:dyDescent="0.2">
      <c r="Z18437" t="str">
        <f t="shared" si="288"/>
        <v/>
      </c>
    </row>
    <row r="18438" spans="26:26" x14ac:dyDescent="0.2">
      <c r="Z18438" t="str">
        <f t="shared" si="288"/>
        <v/>
      </c>
    </row>
    <row r="18439" spans="26:26" x14ac:dyDescent="0.2">
      <c r="Z18439" t="str">
        <f t="shared" si="288"/>
        <v/>
      </c>
    </row>
    <row r="18440" spans="26:26" x14ac:dyDescent="0.2">
      <c r="Z18440" t="str">
        <f t="shared" si="288"/>
        <v/>
      </c>
    </row>
    <row r="18441" spans="26:26" x14ac:dyDescent="0.2">
      <c r="Z18441" t="str">
        <f t="shared" si="288"/>
        <v/>
      </c>
    </row>
    <row r="18442" spans="26:26" x14ac:dyDescent="0.2">
      <c r="Z18442" t="str">
        <f t="shared" si="288"/>
        <v/>
      </c>
    </row>
    <row r="18443" spans="26:26" x14ac:dyDescent="0.2">
      <c r="Z18443" t="str">
        <f t="shared" si="288"/>
        <v/>
      </c>
    </row>
    <row r="18444" spans="26:26" x14ac:dyDescent="0.2">
      <c r="Z18444" t="str">
        <f t="shared" si="288"/>
        <v/>
      </c>
    </row>
    <row r="18445" spans="26:26" x14ac:dyDescent="0.2">
      <c r="Z18445" t="str">
        <f t="shared" si="288"/>
        <v/>
      </c>
    </row>
    <row r="18446" spans="26:26" x14ac:dyDescent="0.2">
      <c r="Z18446" t="str">
        <f t="shared" si="288"/>
        <v/>
      </c>
    </row>
    <row r="18447" spans="26:26" x14ac:dyDescent="0.2">
      <c r="Z18447" t="str">
        <f t="shared" si="288"/>
        <v/>
      </c>
    </row>
    <row r="18448" spans="26:26" x14ac:dyDescent="0.2">
      <c r="Z18448" t="str">
        <f t="shared" si="288"/>
        <v/>
      </c>
    </row>
    <row r="18449" spans="26:26" x14ac:dyDescent="0.2">
      <c r="Z18449" t="str">
        <f t="shared" si="288"/>
        <v/>
      </c>
    </row>
    <row r="18450" spans="26:26" x14ac:dyDescent="0.2">
      <c r="Z18450" t="str">
        <f t="shared" si="288"/>
        <v/>
      </c>
    </row>
    <row r="18451" spans="26:26" x14ac:dyDescent="0.2">
      <c r="Z18451" t="str">
        <f t="shared" si="288"/>
        <v/>
      </c>
    </row>
    <row r="18452" spans="26:26" x14ac:dyDescent="0.2">
      <c r="Z18452" t="str">
        <f t="shared" si="288"/>
        <v/>
      </c>
    </row>
    <row r="18453" spans="26:26" x14ac:dyDescent="0.2">
      <c r="Z18453" t="str">
        <f t="shared" si="288"/>
        <v/>
      </c>
    </row>
    <row r="18454" spans="26:26" x14ac:dyDescent="0.2">
      <c r="Z18454" t="str">
        <f t="shared" si="288"/>
        <v/>
      </c>
    </row>
    <row r="18455" spans="26:26" x14ac:dyDescent="0.2">
      <c r="Z18455" t="str">
        <f t="shared" si="288"/>
        <v/>
      </c>
    </row>
    <row r="18456" spans="26:26" x14ac:dyDescent="0.2">
      <c r="Z18456" t="str">
        <f t="shared" si="288"/>
        <v/>
      </c>
    </row>
    <row r="18457" spans="26:26" x14ac:dyDescent="0.2">
      <c r="Z18457" t="str">
        <f t="shared" si="288"/>
        <v/>
      </c>
    </row>
    <row r="18458" spans="26:26" x14ac:dyDescent="0.2">
      <c r="Z18458" t="str">
        <f t="shared" si="288"/>
        <v/>
      </c>
    </row>
    <row r="18459" spans="26:26" x14ac:dyDescent="0.2">
      <c r="Z18459" t="str">
        <f t="shared" si="288"/>
        <v/>
      </c>
    </row>
    <row r="18460" spans="26:26" x14ac:dyDescent="0.2">
      <c r="Z18460" t="str">
        <f t="shared" si="288"/>
        <v/>
      </c>
    </row>
    <row r="18461" spans="26:26" x14ac:dyDescent="0.2">
      <c r="Z18461" t="str">
        <f t="shared" si="288"/>
        <v/>
      </c>
    </row>
    <row r="18462" spans="26:26" x14ac:dyDescent="0.2">
      <c r="Z18462" t="str">
        <f t="shared" si="288"/>
        <v/>
      </c>
    </row>
    <row r="18463" spans="26:26" x14ac:dyDescent="0.2">
      <c r="Z18463" t="str">
        <f t="shared" si="288"/>
        <v/>
      </c>
    </row>
    <row r="18464" spans="26:26" x14ac:dyDescent="0.2">
      <c r="Z18464" t="str">
        <f t="shared" si="288"/>
        <v/>
      </c>
    </row>
    <row r="18465" spans="26:26" x14ac:dyDescent="0.2">
      <c r="Z18465" t="str">
        <f t="shared" si="288"/>
        <v/>
      </c>
    </row>
    <row r="18466" spans="26:26" x14ac:dyDescent="0.2">
      <c r="Z18466" t="str">
        <f t="shared" si="288"/>
        <v/>
      </c>
    </row>
    <row r="18467" spans="26:26" x14ac:dyDescent="0.2">
      <c r="Z18467" t="str">
        <f t="shared" si="288"/>
        <v/>
      </c>
    </row>
    <row r="18468" spans="26:26" x14ac:dyDescent="0.2">
      <c r="Z18468" t="str">
        <f t="shared" si="288"/>
        <v/>
      </c>
    </row>
    <row r="18469" spans="26:26" x14ac:dyDescent="0.2">
      <c r="Z18469" t="str">
        <f t="shared" si="288"/>
        <v/>
      </c>
    </row>
    <row r="18470" spans="26:26" x14ac:dyDescent="0.2">
      <c r="Z18470" t="str">
        <f t="shared" si="288"/>
        <v/>
      </c>
    </row>
    <row r="18471" spans="26:26" x14ac:dyDescent="0.2">
      <c r="Z18471" t="str">
        <f t="shared" si="288"/>
        <v/>
      </c>
    </row>
    <row r="18472" spans="26:26" x14ac:dyDescent="0.2">
      <c r="Z18472" t="str">
        <f t="shared" si="288"/>
        <v/>
      </c>
    </row>
    <row r="18473" spans="26:26" x14ac:dyDescent="0.2">
      <c r="Z18473" t="str">
        <f t="shared" si="288"/>
        <v/>
      </c>
    </row>
    <row r="18474" spans="26:26" x14ac:dyDescent="0.2">
      <c r="Z18474" t="str">
        <f t="shared" si="288"/>
        <v/>
      </c>
    </row>
    <row r="18475" spans="26:26" x14ac:dyDescent="0.2">
      <c r="Z18475" t="str">
        <f t="shared" si="288"/>
        <v/>
      </c>
    </row>
    <row r="18476" spans="26:26" x14ac:dyDescent="0.2">
      <c r="Z18476" t="str">
        <f t="shared" si="288"/>
        <v/>
      </c>
    </row>
    <row r="18477" spans="26:26" x14ac:dyDescent="0.2">
      <c r="Z18477" t="str">
        <f t="shared" si="288"/>
        <v/>
      </c>
    </row>
    <row r="18478" spans="26:26" x14ac:dyDescent="0.2">
      <c r="Z18478" t="str">
        <f t="shared" si="288"/>
        <v/>
      </c>
    </row>
    <row r="18479" spans="26:26" x14ac:dyDescent="0.2">
      <c r="Z18479" t="str">
        <f t="shared" si="288"/>
        <v/>
      </c>
    </row>
    <row r="18480" spans="26:26" x14ac:dyDescent="0.2">
      <c r="Z18480" t="str">
        <f t="shared" si="288"/>
        <v/>
      </c>
    </row>
    <row r="18481" spans="26:26" x14ac:dyDescent="0.2">
      <c r="Z18481" t="str">
        <f t="shared" si="288"/>
        <v/>
      </c>
    </row>
    <row r="18482" spans="26:26" x14ac:dyDescent="0.2">
      <c r="Z18482" t="str">
        <f t="shared" si="288"/>
        <v/>
      </c>
    </row>
    <row r="18483" spans="26:26" x14ac:dyDescent="0.2">
      <c r="Z18483" t="str">
        <f t="shared" si="288"/>
        <v/>
      </c>
    </row>
    <row r="18484" spans="26:26" x14ac:dyDescent="0.2">
      <c r="Z18484" t="str">
        <f t="shared" si="288"/>
        <v/>
      </c>
    </row>
    <row r="18485" spans="26:26" x14ac:dyDescent="0.2">
      <c r="Z18485" t="str">
        <f t="shared" si="288"/>
        <v/>
      </c>
    </row>
    <row r="18486" spans="26:26" x14ac:dyDescent="0.2">
      <c r="Z18486" t="str">
        <f t="shared" si="288"/>
        <v/>
      </c>
    </row>
    <row r="18487" spans="26:26" x14ac:dyDescent="0.2">
      <c r="Z18487" t="str">
        <f t="shared" si="288"/>
        <v/>
      </c>
    </row>
    <row r="18488" spans="26:26" x14ac:dyDescent="0.2">
      <c r="Z18488" t="str">
        <f t="shared" si="288"/>
        <v/>
      </c>
    </row>
    <row r="18489" spans="26:26" x14ac:dyDescent="0.2">
      <c r="Z18489" t="str">
        <f t="shared" si="288"/>
        <v/>
      </c>
    </row>
    <row r="18490" spans="26:26" x14ac:dyDescent="0.2">
      <c r="Z18490" t="str">
        <f t="shared" si="288"/>
        <v/>
      </c>
    </row>
    <row r="18491" spans="26:26" x14ac:dyDescent="0.2">
      <c r="Z18491" t="str">
        <f t="shared" si="288"/>
        <v/>
      </c>
    </row>
    <row r="18492" spans="26:26" x14ac:dyDescent="0.2">
      <c r="Z18492" t="str">
        <f t="shared" si="288"/>
        <v/>
      </c>
    </row>
    <row r="18493" spans="26:26" x14ac:dyDescent="0.2">
      <c r="Z18493" t="str">
        <f t="shared" si="288"/>
        <v/>
      </c>
    </row>
    <row r="18494" spans="26:26" x14ac:dyDescent="0.2">
      <c r="Z18494" t="str">
        <f t="shared" si="288"/>
        <v/>
      </c>
    </row>
    <row r="18495" spans="26:26" x14ac:dyDescent="0.2">
      <c r="Z18495" t="str">
        <f t="shared" si="288"/>
        <v/>
      </c>
    </row>
    <row r="18496" spans="26:26" x14ac:dyDescent="0.2">
      <c r="Z18496" t="str">
        <f t="shared" si="288"/>
        <v/>
      </c>
    </row>
    <row r="18497" spans="26:26" x14ac:dyDescent="0.2">
      <c r="Z18497" t="str">
        <f t="shared" si="288"/>
        <v/>
      </c>
    </row>
    <row r="18498" spans="26:26" x14ac:dyDescent="0.2">
      <c r="Z18498" t="str">
        <f t="shared" si="288"/>
        <v/>
      </c>
    </row>
    <row r="18499" spans="26:26" x14ac:dyDescent="0.2">
      <c r="Z18499" t="str">
        <f t="shared" ref="Z18499:Z18562" si="289">IF(K18499="","",IFERROR(VALUE(TRIM(MID(K18499,FIND(CHAR(167),SUBSTITUTE(K18499,"-",CHAR(167),LEN(K18499)-LEN(SUBSTITUTE(K18499,"-",""))))+1,100))),K18499))</f>
        <v/>
      </c>
    </row>
    <row r="18500" spans="26:26" x14ac:dyDescent="0.2">
      <c r="Z18500" t="str">
        <f t="shared" si="289"/>
        <v/>
      </c>
    </row>
    <row r="18501" spans="26:26" x14ac:dyDescent="0.2">
      <c r="Z18501" t="str">
        <f t="shared" si="289"/>
        <v/>
      </c>
    </row>
    <row r="18502" spans="26:26" x14ac:dyDescent="0.2">
      <c r="Z18502" t="str">
        <f t="shared" si="289"/>
        <v/>
      </c>
    </row>
    <row r="18503" spans="26:26" x14ac:dyDescent="0.2">
      <c r="Z18503" t="str">
        <f t="shared" si="289"/>
        <v/>
      </c>
    </row>
    <row r="18504" spans="26:26" x14ac:dyDescent="0.2">
      <c r="Z18504" t="str">
        <f t="shared" si="289"/>
        <v/>
      </c>
    </row>
    <row r="18505" spans="26:26" x14ac:dyDescent="0.2">
      <c r="Z18505" t="str">
        <f t="shared" si="289"/>
        <v/>
      </c>
    </row>
    <row r="18506" spans="26:26" x14ac:dyDescent="0.2">
      <c r="Z18506" t="str">
        <f t="shared" si="289"/>
        <v/>
      </c>
    </row>
    <row r="18507" spans="26:26" x14ac:dyDescent="0.2">
      <c r="Z18507" t="str">
        <f t="shared" si="289"/>
        <v/>
      </c>
    </row>
    <row r="18508" spans="26:26" x14ac:dyDescent="0.2">
      <c r="Z18508" t="str">
        <f t="shared" si="289"/>
        <v/>
      </c>
    </row>
    <row r="18509" spans="26:26" x14ac:dyDescent="0.2">
      <c r="Z18509" t="str">
        <f t="shared" si="289"/>
        <v/>
      </c>
    </row>
    <row r="18510" spans="26:26" x14ac:dyDescent="0.2">
      <c r="Z18510" t="str">
        <f t="shared" si="289"/>
        <v/>
      </c>
    </row>
    <row r="18511" spans="26:26" x14ac:dyDescent="0.2">
      <c r="Z18511" t="str">
        <f t="shared" si="289"/>
        <v/>
      </c>
    </row>
    <row r="18512" spans="26:26" x14ac:dyDescent="0.2">
      <c r="Z18512" t="str">
        <f t="shared" si="289"/>
        <v/>
      </c>
    </row>
    <row r="18513" spans="26:26" x14ac:dyDescent="0.2">
      <c r="Z18513" t="str">
        <f t="shared" si="289"/>
        <v/>
      </c>
    </row>
    <row r="18514" spans="26:26" x14ac:dyDescent="0.2">
      <c r="Z18514" t="str">
        <f t="shared" si="289"/>
        <v/>
      </c>
    </row>
    <row r="18515" spans="26:26" x14ac:dyDescent="0.2">
      <c r="Z18515" t="str">
        <f t="shared" si="289"/>
        <v/>
      </c>
    </row>
    <row r="18516" spans="26:26" x14ac:dyDescent="0.2">
      <c r="Z18516" t="str">
        <f t="shared" si="289"/>
        <v/>
      </c>
    </row>
    <row r="18517" spans="26:26" x14ac:dyDescent="0.2">
      <c r="Z18517" t="str">
        <f t="shared" si="289"/>
        <v/>
      </c>
    </row>
    <row r="18518" spans="26:26" x14ac:dyDescent="0.2">
      <c r="Z18518" t="str">
        <f t="shared" si="289"/>
        <v/>
      </c>
    </row>
    <row r="18519" spans="26:26" x14ac:dyDescent="0.2">
      <c r="Z18519" t="str">
        <f t="shared" si="289"/>
        <v/>
      </c>
    </row>
    <row r="18520" spans="26:26" x14ac:dyDescent="0.2">
      <c r="Z18520" t="str">
        <f t="shared" si="289"/>
        <v/>
      </c>
    </row>
    <row r="18521" spans="26:26" x14ac:dyDescent="0.2">
      <c r="Z18521" t="str">
        <f t="shared" si="289"/>
        <v/>
      </c>
    </row>
    <row r="18522" spans="26:26" x14ac:dyDescent="0.2">
      <c r="Z18522" t="str">
        <f t="shared" si="289"/>
        <v/>
      </c>
    </row>
    <row r="18523" spans="26:26" x14ac:dyDescent="0.2">
      <c r="Z18523" t="str">
        <f t="shared" si="289"/>
        <v/>
      </c>
    </row>
    <row r="18524" spans="26:26" x14ac:dyDescent="0.2">
      <c r="Z18524" t="str">
        <f t="shared" si="289"/>
        <v/>
      </c>
    </row>
    <row r="18525" spans="26:26" x14ac:dyDescent="0.2">
      <c r="Z18525" t="str">
        <f t="shared" si="289"/>
        <v/>
      </c>
    </row>
    <row r="18526" spans="26:26" x14ac:dyDescent="0.2">
      <c r="Z18526" t="str">
        <f t="shared" si="289"/>
        <v/>
      </c>
    </row>
    <row r="18527" spans="26:26" x14ac:dyDescent="0.2">
      <c r="Z18527" t="str">
        <f t="shared" si="289"/>
        <v/>
      </c>
    </row>
    <row r="18528" spans="26:26" x14ac:dyDescent="0.2">
      <c r="Z18528" t="str">
        <f t="shared" si="289"/>
        <v/>
      </c>
    </row>
    <row r="18529" spans="26:26" x14ac:dyDescent="0.2">
      <c r="Z18529" t="str">
        <f t="shared" si="289"/>
        <v/>
      </c>
    </row>
    <row r="18530" spans="26:26" x14ac:dyDescent="0.2">
      <c r="Z18530" t="str">
        <f t="shared" si="289"/>
        <v/>
      </c>
    </row>
    <row r="18531" spans="26:26" x14ac:dyDescent="0.2">
      <c r="Z18531" t="str">
        <f t="shared" si="289"/>
        <v/>
      </c>
    </row>
    <row r="18532" spans="26:26" x14ac:dyDescent="0.2">
      <c r="Z18532" t="str">
        <f t="shared" si="289"/>
        <v/>
      </c>
    </row>
    <row r="18533" spans="26:26" x14ac:dyDescent="0.2">
      <c r="Z18533" t="str">
        <f t="shared" si="289"/>
        <v/>
      </c>
    </row>
    <row r="18534" spans="26:26" x14ac:dyDescent="0.2">
      <c r="Z18534" t="str">
        <f t="shared" si="289"/>
        <v/>
      </c>
    </row>
    <row r="18535" spans="26:26" x14ac:dyDescent="0.2">
      <c r="Z18535" t="str">
        <f t="shared" si="289"/>
        <v/>
      </c>
    </row>
    <row r="18536" spans="26:26" x14ac:dyDescent="0.2">
      <c r="Z18536" t="str">
        <f t="shared" si="289"/>
        <v/>
      </c>
    </row>
    <row r="18537" spans="26:26" x14ac:dyDescent="0.2">
      <c r="Z18537" t="str">
        <f t="shared" si="289"/>
        <v/>
      </c>
    </row>
    <row r="18538" spans="26:26" x14ac:dyDescent="0.2">
      <c r="Z18538" t="str">
        <f t="shared" si="289"/>
        <v/>
      </c>
    </row>
    <row r="18539" spans="26:26" x14ac:dyDescent="0.2">
      <c r="Z18539" t="str">
        <f t="shared" si="289"/>
        <v/>
      </c>
    </row>
    <row r="18540" spans="26:26" x14ac:dyDescent="0.2">
      <c r="Z18540" t="str">
        <f t="shared" si="289"/>
        <v/>
      </c>
    </row>
    <row r="18541" spans="26:26" x14ac:dyDescent="0.2">
      <c r="Z18541" t="str">
        <f t="shared" si="289"/>
        <v/>
      </c>
    </row>
    <row r="18542" spans="26:26" x14ac:dyDescent="0.2">
      <c r="Z18542" t="str">
        <f t="shared" si="289"/>
        <v/>
      </c>
    </row>
    <row r="18543" spans="26:26" x14ac:dyDescent="0.2">
      <c r="Z18543" t="str">
        <f t="shared" si="289"/>
        <v/>
      </c>
    </row>
    <row r="18544" spans="26:26" x14ac:dyDescent="0.2">
      <c r="Z18544" t="str">
        <f t="shared" si="289"/>
        <v/>
      </c>
    </row>
    <row r="18545" spans="26:26" x14ac:dyDescent="0.2">
      <c r="Z18545" t="str">
        <f t="shared" si="289"/>
        <v/>
      </c>
    </row>
    <row r="18546" spans="26:26" x14ac:dyDescent="0.2">
      <c r="Z18546" t="str">
        <f t="shared" si="289"/>
        <v/>
      </c>
    </row>
    <row r="18547" spans="26:26" x14ac:dyDescent="0.2">
      <c r="Z18547" t="str">
        <f t="shared" si="289"/>
        <v/>
      </c>
    </row>
    <row r="18548" spans="26:26" x14ac:dyDescent="0.2">
      <c r="Z18548" t="str">
        <f t="shared" si="289"/>
        <v/>
      </c>
    </row>
    <row r="18549" spans="26:26" x14ac:dyDescent="0.2">
      <c r="Z18549" t="str">
        <f t="shared" si="289"/>
        <v/>
      </c>
    </row>
    <row r="18550" spans="26:26" x14ac:dyDescent="0.2">
      <c r="Z18550" t="str">
        <f t="shared" si="289"/>
        <v/>
      </c>
    </row>
    <row r="18551" spans="26:26" x14ac:dyDescent="0.2">
      <c r="Z18551" t="str">
        <f t="shared" si="289"/>
        <v/>
      </c>
    </row>
    <row r="18552" spans="26:26" x14ac:dyDescent="0.2">
      <c r="Z18552" t="str">
        <f t="shared" si="289"/>
        <v/>
      </c>
    </row>
    <row r="18553" spans="26:26" x14ac:dyDescent="0.2">
      <c r="Z18553" t="str">
        <f t="shared" si="289"/>
        <v/>
      </c>
    </row>
    <row r="18554" spans="26:26" x14ac:dyDescent="0.2">
      <c r="Z18554" t="str">
        <f t="shared" si="289"/>
        <v/>
      </c>
    </row>
    <row r="18555" spans="26:26" x14ac:dyDescent="0.2">
      <c r="Z18555" t="str">
        <f t="shared" si="289"/>
        <v/>
      </c>
    </row>
    <row r="18556" spans="26:26" x14ac:dyDescent="0.2">
      <c r="Z18556" t="str">
        <f t="shared" si="289"/>
        <v/>
      </c>
    </row>
    <row r="18557" spans="26:26" x14ac:dyDescent="0.2">
      <c r="Z18557" t="str">
        <f t="shared" si="289"/>
        <v/>
      </c>
    </row>
    <row r="18558" spans="26:26" x14ac:dyDescent="0.2">
      <c r="Z18558" t="str">
        <f t="shared" si="289"/>
        <v/>
      </c>
    </row>
    <row r="18559" spans="26:26" x14ac:dyDescent="0.2">
      <c r="Z18559" t="str">
        <f t="shared" si="289"/>
        <v/>
      </c>
    </row>
    <row r="18560" spans="26:26" x14ac:dyDescent="0.2">
      <c r="Z18560" t="str">
        <f t="shared" si="289"/>
        <v/>
      </c>
    </row>
    <row r="18561" spans="26:26" x14ac:dyDescent="0.2">
      <c r="Z18561" t="str">
        <f t="shared" si="289"/>
        <v/>
      </c>
    </row>
    <row r="18562" spans="26:26" x14ac:dyDescent="0.2">
      <c r="Z18562" t="str">
        <f t="shared" si="289"/>
        <v/>
      </c>
    </row>
    <row r="18563" spans="26:26" x14ac:dyDescent="0.2">
      <c r="Z18563" t="str">
        <f t="shared" ref="Z18563:Z18626" si="290">IF(K18563="","",IFERROR(VALUE(TRIM(MID(K18563,FIND(CHAR(167),SUBSTITUTE(K18563,"-",CHAR(167),LEN(K18563)-LEN(SUBSTITUTE(K18563,"-",""))))+1,100))),K18563))</f>
        <v/>
      </c>
    </row>
    <row r="18564" spans="26:26" x14ac:dyDescent="0.2">
      <c r="Z18564" t="str">
        <f t="shared" si="290"/>
        <v/>
      </c>
    </row>
    <row r="18565" spans="26:26" x14ac:dyDescent="0.2">
      <c r="Z18565" t="str">
        <f t="shared" si="290"/>
        <v/>
      </c>
    </row>
    <row r="18566" spans="26:26" x14ac:dyDescent="0.2">
      <c r="Z18566" t="str">
        <f t="shared" si="290"/>
        <v/>
      </c>
    </row>
    <row r="18567" spans="26:26" x14ac:dyDescent="0.2">
      <c r="Z18567" t="str">
        <f t="shared" si="290"/>
        <v/>
      </c>
    </row>
    <row r="18568" spans="26:26" x14ac:dyDescent="0.2">
      <c r="Z18568" t="str">
        <f t="shared" si="290"/>
        <v/>
      </c>
    </row>
    <row r="18569" spans="26:26" x14ac:dyDescent="0.2">
      <c r="Z18569" t="str">
        <f t="shared" si="290"/>
        <v/>
      </c>
    </row>
    <row r="18570" spans="26:26" x14ac:dyDescent="0.2">
      <c r="Z18570" t="str">
        <f t="shared" si="290"/>
        <v/>
      </c>
    </row>
    <row r="18571" spans="26:26" x14ac:dyDescent="0.2">
      <c r="Z18571" t="str">
        <f t="shared" si="290"/>
        <v/>
      </c>
    </row>
    <row r="18572" spans="26:26" x14ac:dyDescent="0.2">
      <c r="Z18572" t="str">
        <f t="shared" si="290"/>
        <v/>
      </c>
    </row>
    <row r="18573" spans="26:26" x14ac:dyDescent="0.2">
      <c r="Z18573" t="str">
        <f t="shared" si="290"/>
        <v/>
      </c>
    </row>
    <row r="18574" spans="26:26" x14ac:dyDescent="0.2">
      <c r="Z18574" t="str">
        <f t="shared" si="290"/>
        <v/>
      </c>
    </row>
    <row r="18575" spans="26:26" x14ac:dyDescent="0.2">
      <c r="Z18575" t="str">
        <f t="shared" si="290"/>
        <v/>
      </c>
    </row>
    <row r="18576" spans="26:26" x14ac:dyDescent="0.2">
      <c r="Z18576" t="str">
        <f t="shared" si="290"/>
        <v/>
      </c>
    </row>
    <row r="18577" spans="26:26" x14ac:dyDescent="0.2">
      <c r="Z18577" t="str">
        <f t="shared" si="290"/>
        <v/>
      </c>
    </row>
    <row r="18578" spans="26:26" x14ac:dyDescent="0.2">
      <c r="Z18578" t="str">
        <f t="shared" si="290"/>
        <v/>
      </c>
    </row>
    <row r="18579" spans="26:26" x14ac:dyDescent="0.2">
      <c r="Z18579" t="str">
        <f t="shared" si="290"/>
        <v/>
      </c>
    </row>
    <row r="18580" spans="26:26" x14ac:dyDescent="0.2">
      <c r="Z18580" t="str">
        <f t="shared" si="290"/>
        <v/>
      </c>
    </row>
    <row r="18581" spans="26:26" x14ac:dyDescent="0.2">
      <c r="Z18581" t="str">
        <f t="shared" si="290"/>
        <v/>
      </c>
    </row>
    <row r="18582" spans="26:26" x14ac:dyDescent="0.2">
      <c r="Z18582" t="str">
        <f t="shared" si="290"/>
        <v/>
      </c>
    </row>
    <row r="18583" spans="26:26" x14ac:dyDescent="0.2">
      <c r="Z18583" t="str">
        <f t="shared" si="290"/>
        <v/>
      </c>
    </row>
    <row r="18584" spans="26:26" x14ac:dyDescent="0.2">
      <c r="Z18584" t="str">
        <f t="shared" si="290"/>
        <v/>
      </c>
    </row>
    <row r="18585" spans="26:26" x14ac:dyDescent="0.2">
      <c r="Z18585" t="str">
        <f t="shared" si="290"/>
        <v/>
      </c>
    </row>
    <row r="18586" spans="26:26" x14ac:dyDescent="0.2">
      <c r="Z18586" t="str">
        <f t="shared" si="290"/>
        <v/>
      </c>
    </row>
    <row r="18587" spans="26:26" x14ac:dyDescent="0.2">
      <c r="Z18587" t="str">
        <f t="shared" si="290"/>
        <v/>
      </c>
    </row>
    <row r="18588" spans="26:26" x14ac:dyDescent="0.2">
      <c r="Z18588" t="str">
        <f t="shared" si="290"/>
        <v/>
      </c>
    </row>
    <row r="18589" spans="26:26" x14ac:dyDescent="0.2">
      <c r="Z18589" t="str">
        <f t="shared" si="290"/>
        <v/>
      </c>
    </row>
    <row r="18590" spans="26:26" x14ac:dyDescent="0.2">
      <c r="Z18590" t="str">
        <f t="shared" si="290"/>
        <v/>
      </c>
    </row>
    <row r="18591" spans="26:26" x14ac:dyDescent="0.2">
      <c r="Z18591" t="str">
        <f t="shared" si="290"/>
        <v/>
      </c>
    </row>
    <row r="18592" spans="26:26" x14ac:dyDescent="0.2">
      <c r="Z18592" t="str">
        <f t="shared" si="290"/>
        <v/>
      </c>
    </row>
    <row r="18593" spans="26:26" x14ac:dyDescent="0.2">
      <c r="Z18593" t="str">
        <f t="shared" si="290"/>
        <v/>
      </c>
    </row>
    <row r="18594" spans="26:26" x14ac:dyDescent="0.2">
      <c r="Z18594" t="str">
        <f t="shared" si="290"/>
        <v/>
      </c>
    </row>
    <row r="18595" spans="26:26" x14ac:dyDescent="0.2">
      <c r="Z18595" t="str">
        <f t="shared" si="290"/>
        <v/>
      </c>
    </row>
    <row r="18596" spans="26:26" x14ac:dyDescent="0.2">
      <c r="Z18596" t="str">
        <f t="shared" si="290"/>
        <v/>
      </c>
    </row>
    <row r="18597" spans="26:26" x14ac:dyDescent="0.2">
      <c r="Z18597" t="str">
        <f t="shared" si="290"/>
        <v/>
      </c>
    </row>
    <row r="18598" spans="26:26" x14ac:dyDescent="0.2">
      <c r="Z18598" t="str">
        <f t="shared" si="290"/>
        <v/>
      </c>
    </row>
    <row r="18599" spans="26:26" x14ac:dyDescent="0.2">
      <c r="Z18599" t="str">
        <f t="shared" si="290"/>
        <v/>
      </c>
    </row>
    <row r="18600" spans="26:26" x14ac:dyDescent="0.2">
      <c r="Z18600" t="str">
        <f t="shared" si="290"/>
        <v/>
      </c>
    </row>
    <row r="18601" spans="26:26" x14ac:dyDescent="0.2">
      <c r="Z18601" t="str">
        <f t="shared" si="290"/>
        <v/>
      </c>
    </row>
    <row r="18602" spans="26:26" x14ac:dyDescent="0.2">
      <c r="Z18602" t="str">
        <f t="shared" si="290"/>
        <v/>
      </c>
    </row>
    <row r="18603" spans="26:26" x14ac:dyDescent="0.2">
      <c r="Z18603" t="str">
        <f t="shared" si="290"/>
        <v/>
      </c>
    </row>
    <row r="18604" spans="26:26" x14ac:dyDescent="0.2">
      <c r="Z18604" t="str">
        <f t="shared" si="290"/>
        <v/>
      </c>
    </row>
    <row r="18605" spans="26:26" x14ac:dyDescent="0.2">
      <c r="Z18605" t="str">
        <f t="shared" si="290"/>
        <v/>
      </c>
    </row>
    <row r="18606" spans="26:26" x14ac:dyDescent="0.2">
      <c r="Z18606" t="str">
        <f t="shared" si="290"/>
        <v/>
      </c>
    </row>
    <row r="18607" spans="26:26" x14ac:dyDescent="0.2">
      <c r="Z18607" t="str">
        <f t="shared" si="290"/>
        <v/>
      </c>
    </row>
    <row r="18608" spans="26:26" x14ac:dyDescent="0.2">
      <c r="Z18608" t="str">
        <f t="shared" si="290"/>
        <v/>
      </c>
    </row>
    <row r="18609" spans="26:26" x14ac:dyDescent="0.2">
      <c r="Z18609" t="str">
        <f t="shared" si="290"/>
        <v/>
      </c>
    </row>
    <row r="18610" spans="26:26" x14ac:dyDescent="0.2">
      <c r="Z18610" t="str">
        <f t="shared" si="290"/>
        <v/>
      </c>
    </row>
    <row r="18611" spans="26:26" x14ac:dyDescent="0.2">
      <c r="Z18611" t="str">
        <f t="shared" si="290"/>
        <v/>
      </c>
    </row>
    <row r="18612" spans="26:26" x14ac:dyDescent="0.2">
      <c r="Z18612" t="str">
        <f t="shared" si="290"/>
        <v/>
      </c>
    </row>
    <row r="18613" spans="26:26" x14ac:dyDescent="0.2">
      <c r="Z18613" t="str">
        <f t="shared" si="290"/>
        <v/>
      </c>
    </row>
    <row r="18614" spans="26:26" x14ac:dyDescent="0.2">
      <c r="Z18614" t="str">
        <f t="shared" si="290"/>
        <v/>
      </c>
    </row>
    <row r="18615" spans="26:26" x14ac:dyDescent="0.2">
      <c r="Z18615" t="str">
        <f t="shared" si="290"/>
        <v/>
      </c>
    </row>
    <row r="18616" spans="26:26" x14ac:dyDescent="0.2">
      <c r="Z18616" t="str">
        <f t="shared" si="290"/>
        <v/>
      </c>
    </row>
    <row r="18617" spans="26:26" x14ac:dyDescent="0.2">
      <c r="Z18617" t="str">
        <f t="shared" si="290"/>
        <v/>
      </c>
    </row>
    <row r="18618" spans="26:26" x14ac:dyDescent="0.2">
      <c r="Z18618" t="str">
        <f t="shared" si="290"/>
        <v/>
      </c>
    </row>
    <row r="18619" spans="26:26" x14ac:dyDescent="0.2">
      <c r="Z18619" t="str">
        <f t="shared" si="290"/>
        <v/>
      </c>
    </row>
    <row r="18620" spans="26:26" x14ac:dyDescent="0.2">
      <c r="Z18620" t="str">
        <f t="shared" si="290"/>
        <v/>
      </c>
    </row>
    <row r="18621" spans="26:26" x14ac:dyDescent="0.2">
      <c r="Z18621" t="str">
        <f t="shared" si="290"/>
        <v/>
      </c>
    </row>
    <row r="18622" spans="26:26" x14ac:dyDescent="0.2">
      <c r="Z18622" t="str">
        <f t="shared" si="290"/>
        <v/>
      </c>
    </row>
    <row r="18623" spans="26:26" x14ac:dyDescent="0.2">
      <c r="Z18623" t="str">
        <f t="shared" si="290"/>
        <v/>
      </c>
    </row>
    <row r="18624" spans="26:26" x14ac:dyDescent="0.2">
      <c r="Z18624" t="str">
        <f t="shared" si="290"/>
        <v/>
      </c>
    </row>
    <row r="18625" spans="26:26" x14ac:dyDescent="0.2">
      <c r="Z18625" t="str">
        <f t="shared" si="290"/>
        <v/>
      </c>
    </row>
    <row r="18626" spans="26:26" x14ac:dyDescent="0.2">
      <c r="Z18626" t="str">
        <f t="shared" si="290"/>
        <v/>
      </c>
    </row>
    <row r="18627" spans="26:26" x14ac:dyDescent="0.2">
      <c r="Z18627" t="str">
        <f t="shared" ref="Z18627:Z18690" si="291">IF(K18627="","",IFERROR(VALUE(TRIM(MID(K18627,FIND(CHAR(167),SUBSTITUTE(K18627,"-",CHAR(167),LEN(K18627)-LEN(SUBSTITUTE(K18627,"-",""))))+1,100))),K18627))</f>
        <v/>
      </c>
    </row>
    <row r="18628" spans="26:26" x14ac:dyDescent="0.2">
      <c r="Z18628" t="str">
        <f t="shared" si="291"/>
        <v/>
      </c>
    </row>
    <row r="18629" spans="26:26" x14ac:dyDescent="0.2">
      <c r="Z18629" t="str">
        <f t="shared" si="291"/>
        <v/>
      </c>
    </row>
    <row r="18630" spans="26:26" x14ac:dyDescent="0.2">
      <c r="Z18630" t="str">
        <f t="shared" si="291"/>
        <v/>
      </c>
    </row>
    <row r="18631" spans="26:26" x14ac:dyDescent="0.2">
      <c r="Z18631" t="str">
        <f t="shared" si="291"/>
        <v/>
      </c>
    </row>
    <row r="18632" spans="26:26" x14ac:dyDescent="0.2">
      <c r="Z18632" t="str">
        <f t="shared" si="291"/>
        <v/>
      </c>
    </row>
    <row r="18633" spans="26:26" x14ac:dyDescent="0.2">
      <c r="Z18633" t="str">
        <f t="shared" si="291"/>
        <v/>
      </c>
    </row>
    <row r="18634" spans="26:26" x14ac:dyDescent="0.2">
      <c r="Z18634" t="str">
        <f t="shared" si="291"/>
        <v/>
      </c>
    </row>
    <row r="18635" spans="26:26" x14ac:dyDescent="0.2">
      <c r="Z18635" t="str">
        <f t="shared" si="291"/>
        <v/>
      </c>
    </row>
    <row r="18636" spans="26:26" x14ac:dyDescent="0.2">
      <c r="Z18636" t="str">
        <f t="shared" si="291"/>
        <v/>
      </c>
    </row>
    <row r="18637" spans="26:26" x14ac:dyDescent="0.2">
      <c r="Z18637" t="str">
        <f t="shared" si="291"/>
        <v/>
      </c>
    </row>
    <row r="18638" spans="26:26" x14ac:dyDescent="0.2">
      <c r="Z18638" t="str">
        <f t="shared" si="291"/>
        <v/>
      </c>
    </row>
    <row r="18639" spans="26:26" x14ac:dyDescent="0.2">
      <c r="Z18639" t="str">
        <f t="shared" si="291"/>
        <v/>
      </c>
    </row>
    <row r="18640" spans="26:26" x14ac:dyDescent="0.2">
      <c r="Z18640" t="str">
        <f t="shared" si="291"/>
        <v/>
      </c>
    </row>
    <row r="18641" spans="26:26" x14ac:dyDescent="0.2">
      <c r="Z18641" t="str">
        <f t="shared" si="291"/>
        <v/>
      </c>
    </row>
    <row r="18642" spans="26:26" x14ac:dyDescent="0.2">
      <c r="Z18642" t="str">
        <f t="shared" si="291"/>
        <v/>
      </c>
    </row>
    <row r="18643" spans="26:26" x14ac:dyDescent="0.2">
      <c r="Z18643" t="str">
        <f t="shared" si="291"/>
        <v/>
      </c>
    </row>
    <row r="18644" spans="26:26" x14ac:dyDescent="0.2">
      <c r="Z18644" t="str">
        <f t="shared" si="291"/>
        <v/>
      </c>
    </row>
    <row r="18645" spans="26:26" x14ac:dyDescent="0.2">
      <c r="Z18645" t="str">
        <f t="shared" si="291"/>
        <v/>
      </c>
    </row>
    <row r="18646" spans="26:26" x14ac:dyDescent="0.2">
      <c r="Z18646" t="str">
        <f t="shared" si="291"/>
        <v/>
      </c>
    </row>
    <row r="18647" spans="26:26" x14ac:dyDescent="0.2">
      <c r="Z18647" t="str">
        <f t="shared" si="291"/>
        <v/>
      </c>
    </row>
    <row r="18648" spans="26:26" x14ac:dyDescent="0.2">
      <c r="Z18648" t="str">
        <f t="shared" si="291"/>
        <v/>
      </c>
    </row>
    <row r="18649" spans="26:26" x14ac:dyDescent="0.2">
      <c r="Z18649" t="str">
        <f t="shared" si="291"/>
        <v/>
      </c>
    </row>
    <row r="18650" spans="26:26" x14ac:dyDescent="0.2">
      <c r="Z18650" t="str">
        <f t="shared" si="291"/>
        <v/>
      </c>
    </row>
    <row r="18651" spans="26:26" x14ac:dyDescent="0.2">
      <c r="Z18651" t="str">
        <f t="shared" si="291"/>
        <v/>
      </c>
    </row>
    <row r="18652" spans="26:26" x14ac:dyDescent="0.2">
      <c r="Z18652" t="str">
        <f t="shared" si="291"/>
        <v/>
      </c>
    </row>
    <row r="18653" spans="26:26" x14ac:dyDescent="0.2">
      <c r="Z18653" t="str">
        <f t="shared" si="291"/>
        <v/>
      </c>
    </row>
    <row r="18654" spans="26:26" x14ac:dyDescent="0.2">
      <c r="Z18654" t="str">
        <f t="shared" si="291"/>
        <v/>
      </c>
    </row>
    <row r="18655" spans="26:26" x14ac:dyDescent="0.2">
      <c r="Z18655" t="str">
        <f t="shared" si="291"/>
        <v/>
      </c>
    </row>
    <row r="18656" spans="26:26" x14ac:dyDescent="0.2">
      <c r="Z18656" t="str">
        <f t="shared" si="291"/>
        <v/>
      </c>
    </row>
    <row r="18657" spans="26:26" x14ac:dyDescent="0.2">
      <c r="Z18657" t="str">
        <f t="shared" si="291"/>
        <v/>
      </c>
    </row>
    <row r="18658" spans="26:26" x14ac:dyDescent="0.2">
      <c r="Z18658" t="str">
        <f t="shared" si="291"/>
        <v/>
      </c>
    </row>
    <row r="18659" spans="26:26" x14ac:dyDescent="0.2">
      <c r="Z18659" t="str">
        <f t="shared" si="291"/>
        <v/>
      </c>
    </row>
    <row r="18660" spans="26:26" x14ac:dyDescent="0.2">
      <c r="Z18660" t="str">
        <f t="shared" si="291"/>
        <v/>
      </c>
    </row>
    <row r="18661" spans="26:26" x14ac:dyDescent="0.2">
      <c r="Z18661" t="str">
        <f t="shared" si="291"/>
        <v/>
      </c>
    </row>
    <row r="18662" spans="26:26" x14ac:dyDescent="0.2">
      <c r="Z18662" t="str">
        <f t="shared" si="291"/>
        <v/>
      </c>
    </row>
    <row r="18663" spans="26:26" x14ac:dyDescent="0.2">
      <c r="Z18663" t="str">
        <f t="shared" si="291"/>
        <v/>
      </c>
    </row>
    <row r="18664" spans="26:26" x14ac:dyDescent="0.2">
      <c r="Z18664" t="str">
        <f t="shared" si="291"/>
        <v/>
      </c>
    </row>
    <row r="18665" spans="26:26" x14ac:dyDescent="0.2">
      <c r="Z18665" t="str">
        <f t="shared" si="291"/>
        <v/>
      </c>
    </row>
    <row r="18666" spans="26:26" x14ac:dyDescent="0.2">
      <c r="Z18666" t="str">
        <f t="shared" si="291"/>
        <v/>
      </c>
    </row>
    <row r="18667" spans="26:26" x14ac:dyDescent="0.2">
      <c r="Z18667" t="str">
        <f t="shared" si="291"/>
        <v/>
      </c>
    </row>
    <row r="18668" spans="26:26" x14ac:dyDescent="0.2">
      <c r="Z18668" t="str">
        <f t="shared" si="291"/>
        <v/>
      </c>
    </row>
    <row r="18669" spans="26:26" x14ac:dyDescent="0.2">
      <c r="Z18669" t="str">
        <f t="shared" si="291"/>
        <v/>
      </c>
    </row>
    <row r="18670" spans="26:26" x14ac:dyDescent="0.2">
      <c r="Z18670" t="str">
        <f t="shared" si="291"/>
        <v/>
      </c>
    </row>
    <row r="18671" spans="26:26" x14ac:dyDescent="0.2">
      <c r="Z18671" t="str">
        <f t="shared" si="291"/>
        <v/>
      </c>
    </row>
    <row r="18672" spans="26:26" x14ac:dyDescent="0.2">
      <c r="Z18672" t="str">
        <f t="shared" si="291"/>
        <v/>
      </c>
    </row>
    <row r="18673" spans="26:26" x14ac:dyDescent="0.2">
      <c r="Z18673" t="str">
        <f t="shared" si="291"/>
        <v/>
      </c>
    </row>
    <row r="18674" spans="26:26" x14ac:dyDescent="0.2">
      <c r="Z18674" t="str">
        <f t="shared" si="291"/>
        <v/>
      </c>
    </row>
    <row r="18675" spans="26:26" x14ac:dyDescent="0.2">
      <c r="Z18675" t="str">
        <f t="shared" si="291"/>
        <v/>
      </c>
    </row>
    <row r="18676" spans="26:26" x14ac:dyDescent="0.2">
      <c r="Z18676" t="str">
        <f t="shared" si="291"/>
        <v/>
      </c>
    </row>
    <row r="18677" spans="26:26" x14ac:dyDescent="0.2">
      <c r="Z18677" t="str">
        <f t="shared" si="291"/>
        <v/>
      </c>
    </row>
    <row r="18678" spans="26:26" x14ac:dyDescent="0.2">
      <c r="Z18678" t="str">
        <f t="shared" si="291"/>
        <v/>
      </c>
    </row>
    <row r="18679" spans="26:26" x14ac:dyDescent="0.2">
      <c r="Z18679" t="str">
        <f t="shared" si="291"/>
        <v/>
      </c>
    </row>
    <row r="18680" spans="26:26" x14ac:dyDescent="0.2">
      <c r="Z18680" t="str">
        <f t="shared" si="291"/>
        <v/>
      </c>
    </row>
    <row r="18681" spans="26:26" x14ac:dyDescent="0.2">
      <c r="Z18681" t="str">
        <f t="shared" si="291"/>
        <v/>
      </c>
    </row>
    <row r="18682" spans="26:26" x14ac:dyDescent="0.2">
      <c r="Z18682" t="str">
        <f t="shared" si="291"/>
        <v/>
      </c>
    </row>
    <row r="18683" spans="26:26" x14ac:dyDescent="0.2">
      <c r="Z18683" t="str">
        <f t="shared" si="291"/>
        <v/>
      </c>
    </row>
    <row r="18684" spans="26:26" x14ac:dyDescent="0.2">
      <c r="Z18684" t="str">
        <f t="shared" si="291"/>
        <v/>
      </c>
    </row>
    <row r="18685" spans="26:26" x14ac:dyDescent="0.2">
      <c r="Z18685" t="str">
        <f t="shared" si="291"/>
        <v/>
      </c>
    </row>
    <row r="18686" spans="26:26" x14ac:dyDescent="0.2">
      <c r="Z18686" t="str">
        <f t="shared" si="291"/>
        <v/>
      </c>
    </row>
    <row r="18687" spans="26:26" x14ac:dyDescent="0.2">
      <c r="Z18687" t="str">
        <f t="shared" si="291"/>
        <v/>
      </c>
    </row>
    <row r="18688" spans="26:26" x14ac:dyDescent="0.2">
      <c r="Z18688" t="str">
        <f t="shared" si="291"/>
        <v/>
      </c>
    </row>
    <row r="18689" spans="26:26" x14ac:dyDescent="0.2">
      <c r="Z18689" t="str">
        <f t="shared" si="291"/>
        <v/>
      </c>
    </row>
    <row r="18690" spans="26:26" x14ac:dyDescent="0.2">
      <c r="Z18690" t="str">
        <f t="shared" si="291"/>
        <v/>
      </c>
    </row>
    <row r="18691" spans="26:26" x14ac:dyDescent="0.2">
      <c r="Z18691" t="str">
        <f t="shared" ref="Z18691:Z18754" si="292">IF(K18691="","",IFERROR(VALUE(TRIM(MID(K18691,FIND(CHAR(167),SUBSTITUTE(K18691,"-",CHAR(167),LEN(K18691)-LEN(SUBSTITUTE(K18691,"-",""))))+1,100))),K18691))</f>
        <v/>
      </c>
    </row>
    <row r="18692" spans="26:26" x14ac:dyDescent="0.2">
      <c r="Z18692" t="str">
        <f t="shared" si="292"/>
        <v/>
      </c>
    </row>
    <row r="18693" spans="26:26" x14ac:dyDescent="0.2">
      <c r="Z18693" t="str">
        <f t="shared" si="292"/>
        <v/>
      </c>
    </row>
    <row r="18694" spans="26:26" x14ac:dyDescent="0.2">
      <c r="Z18694" t="str">
        <f t="shared" si="292"/>
        <v/>
      </c>
    </row>
    <row r="18695" spans="26:26" x14ac:dyDescent="0.2">
      <c r="Z18695" t="str">
        <f t="shared" si="292"/>
        <v/>
      </c>
    </row>
    <row r="18696" spans="26:26" x14ac:dyDescent="0.2">
      <c r="Z18696" t="str">
        <f t="shared" si="292"/>
        <v/>
      </c>
    </row>
    <row r="18697" spans="26:26" x14ac:dyDescent="0.2">
      <c r="Z18697" t="str">
        <f t="shared" si="292"/>
        <v/>
      </c>
    </row>
    <row r="18698" spans="26:26" x14ac:dyDescent="0.2">
      <c r="Z18698" t="str">
        <f t="shared" si="292"/>
        <v/>
      </c>
    </row>
    <row r="18699" spans="26:26" x14ac:dyDescent="0.2">
      <c r="Z18699" t="str">
        <f t="shared" si="292"/>
        <v/>
      </c>
    </row>
    <row r="18700" spans="26:26" x14ac:dyDescent="0.2">
      <c r="Z18700" t="str">
        <f t="shared" si="292"/>
        <v/>
      </c>
    </row>
    <row r="18701" spans="26:26" x14ac:dyDescent="0.2">
      <c r="Z18701" t="str">
        <f t="shared" si="292"/>
        <v/>
      </c>
    </row>
    <row r="18702" spans="26:26" x14ac:dyDescent="0.2">
      <c r="Z18702" t="str">
        <f t="shared" si="292"/>
        <v/>
      </c>
    </row>
    <row r="18703" spans="26:26" x14ac:dyDescent="0.2">
      <c r="Z18703" t="str">
        <f t="shared" si="292"/>
        <v/>
      </c>
    </row>
    <row r="18704" spans="26:26" x14ac:dyDescent="0.2">
      <c r="Z18704" t="str">
        <f t="shared" si="292"/>
        <v/>
      </c>
    </row>
    <row r="18705" spans="26:26" x14ac:dyDescent="0.2">
      <c r="Z18705" t="str">
        <f t="shared" si="292"/>
        <v/>
      </c>
    </row>
    <row r="18706" spans="26:26" x14ac:dyDescent="0.2">
      <c r="Z18706" t="str">
        <f t="shared" si="292"/>
        <v/>
      </c>
    </row>
    <row r="18707" spans="26:26" x14ac:dyDescent="0.2">
      <c r="Z18707" t="str">
        <f t="shared" si="292"/>
        <v/>
      </c>
    </row>
    <row r="18708" spans="26:26" x14ac:dyDescent="0.2">
      <c r="Z18708" t="str">
        <f t="shared" si="292"/>
        <v/>
      </c>
    </row>
    <row r="18709" spans="26:26" x14ac:dyDescent="0.2">
      <c r="Z18709" t="str">
        <f t="shared" si="292"/>
        <v/>
      </c>
    </row>
    <row r="18710" spans="26:26" x14ac:dyDescent="0.2">
      <c r="Z18710" t="str">
        <f t="shared" si="292"/>
        <v/>
      </c>
    </row>
    <row r="18711" spans="26:26" x14ac:dyDescent="0.2">
      <c r="Z18711" t="str">
        <f t="shared" si="292"/>
        <v/>
      </c>
    </row>
    <row r="18712" spans="26:26" x14ac:dyDescent="0.2">
      <c r="Z18712" t="str">
        <f t="shared" si="292"/>
        <v/>
      </c>
    </row>
    <row r="18713" spans="26:26" x14ac:dyDescent="0.2">
      <c r="Z18713" t="str">
        <f t="shared" si="292"/>
        <v/>
      </c>
    </row>
    <row r="18714" spans="26:26" x14ac:dyDescent="0.2">
      <c r="Z18714" t="str">
        <f t="shared" si="292"/>
        <v/>
      </c>
    </row>
    <row r="18715" spans="26:26" x14ac:dyDescent="0.2">
      <c r="Z18715" t="str">
        <f t="shared" si="292"/>
        <v/>
      </c>
    </row>
    <row r="18716" spans="26:26" x14ac:dyDescent="0.2">
      <c r="Z18716" t="str">
        <f t="shared" si="292"/>
        <v/>
      </c>
    </row>
    <row r="18717" spans="26:26" x14ac:dyDescent="0.2">
      <c r="Z18717" t="str">
        <f t="shared" si="292"/>
        <v/>
      </c>
    </row>
    <row r="18718" spans="26:26" x14ac:dyDescent="0.2">
      <c r="Z18718" t="str">
        <f t="shared" si="292"/>
        <v/>
      </c>
    </row>
    <row r="18719" spans="26:26" x14ac:dyDescent="0.2">
      <c r="Z18719" t="str">
        <f t="shared" si="292"/>
        <v/>
      </c>
    </row>
    <row r="18720" spans="26:26" x14ac:dyDescent="0.2">
      <c r="Z18720" t="str">
        <f t="shared" si="292"/>
        <v/>
      </c>
    </row>
    <row r="18721" spans="26:26" x14ac:dyDescent="0.2">
      <c r="Z18721" t="str">
        <f t="shared" si="292"/>
        <v/>
      </c>
    </row>
    <row r="18722" spans="26:26" x14ac:dyDescent="0.2">
      <c r="Z18722" t="str">
        <f t="shared" si="292"/>
        <v/>
      </c>
    </row>
    <row r="18723" spans="26:26" x14ac:dyDescent="0.2">
      <c r="Z18723" t="str">
        <f t="shared" si="292"/>
        <v/>
      </c>
    </row>
    <row r="18724" spans="26:26" x14ac:dyDescent="0.2">
      <c r="Z18724" t="str">
        <f t="shared" si="292"/>
        <v/>
      </c>
    </row>
    <row r="18725" spans="26:26" x14ac:dyDescent="0.2">
      <c r="Z18725" t="str">
        <f t="shared" si="292"/>
        <v/>
      </c>
    </row>
    <row r="18726" spans="26:26" x14ac:dyDescent="0.2">
      <c r="Z18726" t="str">
        <f t="shared" si="292"/>
        <v/>
      </c>
    </row>
    <row r="18727" spans="26:26" x14ac:dyDescent="0.2">
      <c r="Z18727" t="str">
        <f t="shared" si="292"/>
        <v/>
      </c>
    </row>
    <row r="18728" spans="26:26" x14ac:dyDescent="0.2">
      <c r="Z18728" t="str">
        <f t="shared" si="292"/>
        <v/>
      </c>
    </row>
    <row r="18729" spans="26:26" x14ac:dyDescent="0.2">
      <c r="Z18729" t="str">
        <f t="shared" si="292"/>
        <v/>
      </c>
    </row>
    <row r="18730" spans="26:26" x14ac:dyDescent="0.2">
      <c r="Z18730" t="str">
        <f t="shared" si="292"/>
        <v/>
      </c>
    </row>
    <row r="18731" spans="26:26" x14ac:dyDescent="0.2">
      <c r="Z18731" t="str">
        <f t="shared" si="292"/>
        <v/>
      </c>
    </row>
    <row r="18732" spans="26:26" x14ac:dyDescent="0.2">
      <c r="Z18732" t="str">
        <f t="shared" si="292"/>
        <v/>
      </c>
    </row>
    <row r="18733" spans="26:26" x14ac:dyDescent="0.2">
      <c r="Z18733" t="str">
        <f t="shared" si="292"/>
        <v/>
      </c>
    </row>
    <row r="18734" spans="26:26" x14ac:dyDescent="0.2">
      <c r="Z18734" t="str">
        <f t="shared" si="292"/>
        <v/>
      </c>
    </row>
    <row r="18735" spans="26:26" x14ac:dyDescent="0.2">
      <c r="Z18735" t="str">
        <f t="shared" si="292"/>
        <v/>
      </c>
    </row>
    <row r="18736" spans="26:26" x14ac:dyDescent="0.2">
      <c r="Z18736" t="str">
        <f t="shared" si="292"/>
        <v/>
      </c>
    </row>
    <row r="18737" spans="26:26" x14ac:dyDescent="0.2">
      <c r="Z18737" t="str">
        <f t="shared" si="292"/>
        <v/>
      </c>
    </row>
    <row r="18738" spans="26:26" x14ac:dyDescent="0.2">
      <c r="Z18738" t="str">
        <f t="shared" si="292"/>
        <v/>
      </c>
    </row>
    <row r="18739" spans="26:26" x14ac:dyDescent="0.2">
      <c r="Z18739" t="str">
        <f t="shared" si="292"/>
        <v/>
      </c>
    </row>
    <row r="18740" spans="26:26" x14ac:dyDescent="0.2">
      <c r="Z18740" t="str">
        <f t="shared" si="292"/>
        <v/>
      </c>
    </row>
    <row r="18741" spans="26:26" x14ac:dyDescent="0.2">
      <c r="Z18741" t="str">
        <f t="shared" si="292"/>
        <v/>
      </c>
    </row>
    <row r="18742" spans="26:26" x14ac:dyDescent="0.2">
      <c r="Z18742" t="str">
        <f t="shared" si="292"/>
        <v/>
      </c>
    </row>
    <row r="18743" spans="26:26" x14ac:dyDescent="0.2">
      <c r="Z18743" t="str">
        <f t="shared" si="292"/>
        <v/>
      </c>
    </row>
    <row r="18744" spans="26:26" x14ac:dyDescent="0.2">
      <c r="Z18744" t="str">
        <f t="shared" si="292"/>
        <v/>
      </c>
    </row>
    <row r="18745" spans="26:26" x14ac:dyDescent="0.2">
      <c r="Z18745" t="str">
        <f t="shared" si="292"/>
        <v/>
      </c>
    </row>
    <row r="18746" spans="26:26" x14ac:dyDescent="0.2">
      <c r="Z18746" t="str">
        <f t="shared" si="292"/>
        <v/>
      </c>
    </row>
    <row r="18747" spans="26:26" x14ac:dyDescent="0.2">
      <c r="Z18747" t="str">
        <f t="shared" si="292"/>
        <v/>
      </c>
    </row>
    <row r="18748" spans="26:26" x14ac:dyDescent="0.2">
      <c r="Z18748" t="str">
        <f t="shared" si="292"/>
        <v/>
      </c>
    </row>
    <row r="18749" spans="26:26" x14ac:dyDescent="0.2">
      <c r="Z18749" t="str">
        <f t="shared" si="292"/>
        <v/>
      </c>
    </row>
    <row r="18750" spans="26:26" x14ac:dyDescent="0.2">
      <c r="Z18750" t="str">
        <f t="shared" si="292"/>
        <v/>
      </c>
    </row>
    <row r="18751" spans="26:26" x14ac:dyDescent="0.2">
      <c r="Z18751" t="str">
        <f t="shared" si="292"/>
        <v/>
      </c>
    </row>
    <row r="18752" spans="26:26" x14ac:dyDescent="0.2">
      <c r="Z18752" t="str">
        <f t="shared" si="292"/>
        <v/>
      </c>
    </row>
    <row r="18753" spans="26:26" x14ac:dyDescent="0.2">
      <c r="Z18753" t="str">
        <f t="shared" si="292"/>
        <v/>
      </c>
    </row>
    <row r="18754" spans="26:26" x14ac:dyDescent="0.2">
      <c r="Z18754" t="str">
        <f t="shared" si="292"/>
        <v/>
      </c>
    </row>
    <row r="18755" spans="26:26" x14ac:dyDescent="0.2">
      <c r="Z18755" t="str">
        <f t="shared" ref="Z18755:Z18818" si="293">IF(K18755="","",IFERROR(VALUE(TRIM(MID(K18755,FIND(CHAR(167),SUBSTITUTE(K18755,"-",CHAR(167),LEN(K18755)-LEN(SUBSTITUTE(K18755,"-",""))))+1,100))),K18755))</f>
        <v/>
      </c>
    </row>
    <row r="18756" spans="26:26" x14ac:dyDescent="0.2">
      <c r="Z18756" t="str">
        <f t="shared" si="293"/>
        <v/>
      </c>
    </row>
    <row r="18757" spans="26:26" x14ac:dyDescent="0.2">
      <c r="Z18757" t="str">
        <f t="shared" si="293"/>
        <v/>
      </c>
    </row>
    <row r="18758" spans="26:26" x14ac:dyDescent="0.2">
      <c r="Z18758" t="str">
        <f t="shared" si="293"/>
        <v/>
      </c>
    </row>
    <row r="18759" spans="26:26" x14ac:dyDescent="0.2">
      <c r="Z18759" t="str">
        <f t="shared" si="293"/>
        <v/>
      </c>
    </row>
    <row r="18760" spans="26:26" x14ac:dyDescent="0.2">
      <c r="Z18760" t="str">
        <f t="shared" si="293"/>
        <v/>
      </c>
    </row>
    <row r="18761" spans="26:26" x14ac:dyDescent="0.2">
      <c r="Z18761" t="str">
        <f t="shared" si="293"/>
        <v/>
      </c>
    </row>
    <row r="18762" spans="26:26" x14ac:dyDescent="0.2">
      <c r="Z18762" t="str">
        <f t="shared" si="293"/>
        <v/>
      </c>
    </row>
    <row r="18763" spans="26:26" x14ac:dyDescent="0.2">
      <c r="Z18763" t="str">
        <f t="shared" si="293"/>
        <v/>
      </c>
    </row>
    <row r="18764" spans="26:26" x14ac:dyDescent="0.2">
      <c r="Z18764" t="str">
        <f t="shared" si="293"/>
        <v/>
      </c>
    </row>
    <row r="18765" spans="26:26" x14ac:dyDescent="0.2">
      <c r="Z18765" t="str">
        <f t="shared" si="293"/>
        <v/>
      </c>
    </row>
    <row r="18766" spans="26:26" x14ac:dyDescent="0.2">
      <c r="Z18766" t="str">
        <f t="shared" si="293"/>
        <v/>
      </c>
    </row>
    <row r="18767" spans="26:26" x14ac:dyDescent="0.2">
      <c r="Z18767" t="str">
        <f t="shared" si="293"/>
        <v/>
      </c>
    </row>
    <row r="18768" spans="26:26" x14ac:dyDescent="0.2">
      <c r="Z18768" t="str">
        <f t="shared" si="293"/>
        <v/>
      </c>
    </row>
    <row r="18769" spans="26:26" x14ac:dyDescent="0.2">
      <c r="Z18769" t="str">
        <f t="shared" si="293"/>
        <v/>
      </c>
    </row>
    <row r="18770" spans="26:26" x14ac:dyDescent="0.2">
      <c r="Z18770" t="str">
        <f t="shared" si="293"/>
        <v/>
      </c>
    </row>
    <row r="18771" spans="26:26" x14ac:dyDescent="0.2">
      <c r="Z18771" t="str">
        <f t="shared" si="293"/>
        <v/>
      </c>
    </row>
    <row r="18772" spans="26:26" x14ac:dyDescent="0.2">
      <c r="Z18772" t="str">
        <f t="shared" si="293"/>
        <v/>
      </c>
    </row>
    <row r="18773" spans="26:26" x14ac:dyDescent="0.2">
      <c r="Z18773" t="str">
        <f t="shared" si="293"/>
        <v/>
      </c>
    </row>
    <row r="18774" spans="26:26" x14ac:dyDescent="0.2">
      <c r="Z18774" t="str">
        <f t="shared" si="293"/>
        <v/>
      </c>
    </row>
    <row r="18775" spans="26:26" x14ac:dyDescent="0.2">
      <c r="Z18775" t="str">
        <f t="shared" si="293"/>
        <v/>
      </c>
    </row>
    <row r="18776" spans="26:26" x14ac:dyDescent="0.2">
      <c r="Z18776" t="str">
        <f t="shared" si="293"/>
        <v/>
      </c>
    </row>
    <row r="18777" spans="26:26" x14ac:dyDescent="0.2">
      <c r="Z18777" t="str">
        <f t="shared" si="293"/>
        <v/>
      </c>
    </row>
    <row r="18778" spans="26:26" x14ac:dyDescent="0.2">
      <c r="Z18778" t="str">
        <f t="shared" si="293"/>
        <v/>
      </c>
    </row>
    <row r="18779" spans="26:26" x14ac:dyDescent="0.2">
      <c r="Z18779" t="str">
        <f t="shared" si="293"/>
        <v/>
      </c>
    </row>
    <row r="18780" spans="26:26" x14ac:dyDescent="0.2">
      <c r="Z18780" t="str">
        <f t="shared" si="293"/>
        <v/>
      </c>
    </row>
    <row r="18781" spans="26:26" x14ac:dyDescent="0.2">
      <c r="Z18781" t="str">
        <f t="shared" si="293"/>
        <v/>
      </c>
    </row>
    <row r="18782" spans="26:26" x14ac:dyDescent="0.2">
      <c r="Z18782" t="str">
        <f t="shared" si="293"/>
        <v/>
      </c>
    </row>
    <row r="18783" spans="26:26" x14ac:dyDescent="0.2">
      <c r="Z18783" t="str">
        <f t="shared" si="293"/>
        <v/>
      </c>
    </row>
    <row r="18784" spans="26:26" x14ac:dyDescent="0.2">
      <c r="Z18784" t="str">
        <f t="shared" si="293"/>
        <v/>
      </c>
    </row>
    <row r="18785" spans="26:26" x14ac:dyDescent="0.2">
      <c r="Z18785" t="str">
        <f t="shared" si="293"/>
        <v/>
      </c>
    </row>
    <row r="18786" spans="26:26" x14ac:dyDescent="0.2">
      <c r="Z18786" t="str">
        <f t="shared" si="293"/>
        <v/>
      </c>
    </row>
    <row r="18787" spans="26:26" x14ac:dyDescent="0.2">
      <c r="Z18787" t="str">
        <f t="shared" si="293"/>
        <v/>
      </c>
    </row>
    <row r="18788" spans="26:26" x14ac:dyDescent="0.2">
      <c r="Z18788" t="str">
        <f t="shared" si="293"/>
        <v/>
      </c>
    </row>
    <row r="18789" spans="26:26" x14ac:dyDescent="0.2">
      <c r="Z18789" t="str">
        <f t="shared" si="293"/>
        <v/>
      </c>
    </row>
    <row r="18790" spans="26:26" x14ac:dyDescent="0.2">
      <c r="Z18790" t="str">
        <f t="shared" si="293"/>
        <v/>
      </c>
    </row>
    <row r="18791" spans="26:26" x14ac:dyDescent="0.2">
      <c r="Z18791" t="str">
        <f t="shared" si="293"/>
        <v/>
      </c>
    </row>
    <row r="18792" spans="26:26" x14ac:dyDescent="0.2">
      <c r="Z18792" t="str">
        <f t="shared" si="293"/>
        <v/>
      </c>
    </row>
    <row r="18793" spans="26:26" x14ac:dyDescent="0.2">
      <c r="Z18793" t="str">
        <f t="shared" si="293"/>
        <v/>
      </c>
    </row>
    <row r="18794" spans="26:26" x14ac:dyDescent="0.2">
      <c r="Z18794" t="str">
        <f t="shared" si="293"/>
        <v/>
      </c>
    </row>
    <row r="18795" spans="26:26" x14ac:dyDescent="0.2">
      <c r="Z18795" t="str">
        <f t="shared" si="293"/>
        <v/>
      </c>
    </row>
    <row r="18796" spans="26:26" x14ac:dyDescent="0.2">
      <c r="Z18796" t="str">
        <f t="shared" si="293"/>
        <v/>
      </c>
    </row>
    <row r="18797" spans="26:26" x14ac:dyDescent="0.2">
      <c r="Z18797" t="str">
        <f t="shared" si="293"/>
        <v/>
      </c>
    </row>
    <row r="18798" spans="26:26" x14ac:dyDescent="0.2">
      <c r="Z18798" t="str">
        <f t="shared" si="293"/>
        <v/>
      </c>
    </row>
    <row r="18799" spans="26:26" x14ac:dyDescent="0.2">
      <c r="Z18799" t="str">
        <f t="shared" si="293"/>
        <v/>
      </c>
    </row>
    <row r="18800" spans="26:26" x14ac:dyDescent="0.2">
      <c r="Z18800" t="str">
        <f t="shared" si="293"/>
        <v/>
      </c>
    </row>
    <row r="18801" spans="26:26" x14ac:dyDescent="0.2">
      <c r="Z18801" t="str">
        <f t="shared" si="293"/>
        <v/>
      </c>
    </row>
    <row r="18802" spans="26:26" x14ac:dyDescent="0.2">
      <c r="Z18802" t="str">
        <f t="shared" si="293"/>
        <v/>
      </c>
    </row>
    <row r="18803" spans="26:26" x14ac:dyDescent="0.2">
      <c r="Z18803" t="str">
        <f t="shared" si="293"/>
        <v/>
      </c>
    </row>
    <row r="18804" spans="26:26" x14ac:dyDescent="0.2">
      <c r="Z18804" t="str">
        <f t="shared" si="293"/>
        <v/>
      </c>
    </row>
    <row r="18805" spans="26:26" x14ac:dyDescent="0.2">
      <c r="Z18805" t="str">
        <f t="shared" si="293"/>
        <v/>
      </c>
    </row>
    <row r="18806" spans="26:26" x14ac:dyDescent="0.2">
      <c r="Z18806" t="str">
        <f t="shared" si="293"/>
        <v/>
      </c>
    </row>
    <row r="18807" spans="26:26" x14ac:dyDescent="0.2">
      <c r="Z18807" t="str">
        <f t="shared" si="293"/>
        <v/>
      </c>
    </row>
    <row r="18808" spans="26:26" x14ac:dyDescent="0.2">
      <c r="Z18808" t="str">
        <f t="shared" si="293"/>
        <v/>
      </c>
    </row>
    <row r="18809" spans="26:26" x14ac:dyDescent="0.2">
      <c r="Z18809" t="str">
        <f t="shared" si="293"/>
        <v/>
      </c>
    </row>
    <row r="18810" spans="26:26" x14ac:dyDescent="0.2">
      <c r="Z18810" t="str">
        <f t="shared" si="293"/>
        <v/>
      </c>
    </row>
    <row r="18811" spans="26:26" x14ac:dyDescent="0.2">
      <c r="Z18811" t="str">
        <f t="shared" si="293"/>
        <v/>
      </c>
    </row>
    <row r="18812" spans="26:26" x14ac:dyDescent="0.2">
      <c r="Z18812" t="str">
        <f t="shared" si="293"/>
        <v/>
      </c>
    </row>
    <row r="18813" spans="26:26" x14ac:dyDescent="0.2">
      <c r="Z18813" t="str">
        <f t="shared" si="293"/>
        <v/>
      </c>
    </row>
    <row r="18814" spans="26:26" x14ac:dyDescent="0.2">
      <c r="Z18814" t="str">
        <f t="shared" si="293"/>
        <v/>
      </c>
    </row>
    <row r="18815" spans="26:26" x14ac:dyDescent="0.2">
      <c r="Z18815" t="str">
        <f t="shared" si="293"/>
        <v/>
      </c>
    </row>
    <row r="18816" spans="26:26" x14ac:dyDescent="0.2">
      <c r="Z18816" t="str">
        <f t="shared" si="293"/>
        <v/>
      </c>
    </row>
    <row r="18817" spans="26:26" x14ac:dyDescent="0.2">
      <c r="Z18817" t="str">
        <f t="shared" si="293"/>
        <v/>
      </c>
    </row>
    <row r="18818" spans="26:26" x14ac:dyDescent="0.2">
      <c r="Z18818" t="str">
        <f t="shared" si="293"/>
        <v/>
      </c>
    </row>
    <row r="18819" spans="26:26" x14ac:dyDescent="0.2">
      <c r="Z18819" t="str">
        <f t="shared" ref="Z18819:Z18882" si="294">IF(K18819="","",IFERROR(VALUE(TRIM(MID(K18819,FIND(CHAR(167),SUBSTITUTE(K18819,"-",CHAR(167),LEN(K18819)-LEN(SUBSTITUTE(K18819,"-",""))))+1,100))),K18819))</f>
        <v/>
      </c>
    </row>
    <row r="18820" spans="26:26" x14ac:dyDescent="0.2">
      <c r="Z18820" t="str">
        <f t="shared" si="294"/>
        <v/>
      </c>
    </row>
    <row r="18821" spans="26:26" x14ac:dyDescent="0.2">
      <c r="Z18821" t="str">
        <f t="shared" si="294"/>
        <v/>
      </c>
    </row>
    <row r="18822" spans="26:26" x14ac:dyDescent="0.2">
      <c r="Z18822" t="str">
        <f t="shared" si="294"/>
        <v/>
      </c>
    </row>
    <row r="18823" spans="26:26" x14ac:dyDescent="0.2">
      <c r="Z18823" t="str">
        <f t="shared" si="294"/>
        <v/>
      </c>
    </row>
    <row r="18824" spans="26:26" x14ac:dyDescent="0.2">
      <c r="Z18824" t="str">
        <f t="shared" si="294"/>
        <v/>
      </c>
    </row>
    <row r="18825" spans="26:26" x14ac:dyDescent="0.2">
      <c r="Z18825" t="str">
        <f t="shared" si="294"/>
        <v/>
      </c>
    </row>
    <row r="18826" spans="26:26" x14ac:dyDescent="0.2">
      <c r="Z18826" t="str">
        <f t="shared" si="294"/>
        <v/>
      </c>
    </row>
    <row r="18827" spans="26:26" x14ac:dyDescent="0.2">
      <c r="Z18827" t="str">
        <f t="shared" si="294"/>
        <v/>
      </c>
    </row>
    <row r="18828" spans="26:26" x14ac:dyDescent="0.2">
      <c r="Z18828" t="str">
        <f t="shared" si="294"/>
        <v/>
      </c>
    </row>
    <row r="18829" spans="26:26" x14ac:dyDescent="0.2">
      <c r="Z18829" t="str">
        <f t="shared" si="294"/>
        <v/>
      </c>
    </row>
    <row r="18830" spans="26:26" x14ac:dyDescent="0.2">
      <c r="Z18830" t="str">
        <f t="shared" si="294"/>
        <v/>
      </c>
    </row>
    <row r="18831" spans="26:26" x14ac:dyDescent="0.2">
      <c r="Z18831" t="str">
        <f t="shared" si="294"/>
        <v/>
      </c>
    </row>
    <row r="18832" spans="26:26" x14ac:dyDescent="0.2">
      <c r="Z18832" t="str">
        <f t="shared" si="294"/>
        <v/>
      </c>
    </row>
    <row r="18833" spans="26:26" x14ac:dyDescent="0.2">
      <c r="Z18833" t="str">
        <f t="shared" si="294"/>
        <v/>
      </c>
    </row>
    <row r="18834" spans="26:26" x14ac:dyDescent="0.2">
      <c r="Z18834" t="str">
        <f t="shared" si="294"/>
        <v/>
      </c>
    </row>
    <row r="18835" spans="26:26" x14ac:dyDescent="0.2">
      <c r="Z18835" t="str">
        <f t="shared" si="294"/>
        <v/>
      </c>
    </row>
    <row r="18836" spans="26:26" x14ac:dyDescent="0.2">
      <c r="Z18836" t="str">
        <f t="shared" si="294"/>
        <v/>
      </c>
    </row>
    <row r="18837" spans="26:26" x14ac:dyDescent="0.2">
      <c r="Z18837" t="str">
        <f t="shared" si="294"/>
        <v/>
      </c>
    </row>
    <row r="18838" spans="26:26" x14ac:dyDescent="0.2">
      <c r="Z18838" t="str">
        <f t="shared" si="294"/>
        <v/>
      </c>
    </row>
    <row r="18839" spans="26:26" x14ac:dyDescent="0.2">
      <c r="Z18839" t="str">
        <f t="shared" si="294"/>
        <v/>
      </c>
    </row>
    <row r="18840" spans="26:26" x14ac:dyDescent="0.2">
      <c r="Z18840" t="str">
        <f t="shared" si="294"/>
        <v/>
      </c>
    </row>
    <row r="18841" spans="26:26" x14ac:dyDescent="0.2">
      <c r="Z18841" t="str">
        <f t="shared" si="294"/>
        <v/>
      </c>
    </row>
    <row r="18842" spans="26:26" x14ac:dyDescent="0.2">
      <c r="Z18842" t="str">
        <f t="shared" si="294"/>
        <v/>
      </c>
    </row>
    <row r="18843" spans="26:26" x14ac:dyDescent="0.2">
      <c r="Z18843" t="str">
        <f t="shared" si="294"/>
        <v/>
      </c>
    </row>
    <row r="18844" spans="26:26" x14ac:dyDescent="0.2">
      <c r="Z18844" t="str">
        <f t="shared" si="294"/>
        <v/>
      </c>
    </row>
    <row r="18845" spans="26:26" x14ac:dyDescent="0.2">
      <c r="Z18845" t="str">
        <f t="shared" si="294"/>
        <v/>
      </c>
    </row>
    <row r="18846" spans="26:26" x14ac:dyDescent="0.2">
      <c r="Z18846" t="str">
        <f t="shared" si="294"/>
        <v/>
      </c>
    </row>
    <row r="18847" spans="26:26" x14ac:dyDescent="0.2">
      <c r="Z18847" t="str">
        <f t="shared" si="294"/>
        <v/>
      </c>
    </row>
    <row r="18848" spans="26:26" x14ac:dyDescent="0.2">
      <c r="Z18848" t="str">
        <f t="shared" si="294"/>
        <v/>
      </c>
    </row>
    <row r="18849" spans="26:26" x14ac:dyDescent="0.2">
      <c r="Z18849" t="str">
        <f t="shared" si="294"/>
        <v/>
      </c>
    </row>
    <row r="18850" spans="26:26" x14ac:dyDescent="0.2">
      <c r="Z18850" t="str">
        <f t="shared" si="294"/>
        <v/>
      </c>
    </row>
    <row r="18851" spans="26:26" x14ac:dyDescent="0.2">
      <c r="Z18851" t="str">
        <f t="shared" si="294"/>
        <v/>
      </c>
    </row>
    <row r="18852" spans="26:26" x14ac:dyDescent="0.2">
      <c r="Z18852" t="str">
        <f t="shared" si="294"/>
        <v/>
      </c>
    </row>
    <row r="18853" spans="26:26" x14ac:dyDescent="0.2">
      <c r="Z18853" t="str">
        <f t="shared" si="294"/>
        <v/>
      </c>
    </row>
    <row r="18854" spans="26:26" x14ac:dyDescent="0.2">
      <c r="Z18854" t="str">
        <f t="shared" si="294"/>
        <v/>
      </c>
    </row>
    <row r="18855" spans="26:26" x14ac:dyDescent="0.2">
      <c r="Z18855" t="str">
        <f t="shared" si="294"/>
        <v/>
      </c>
    </row>
    <row r="18856" spans="26:26" x14ac:dyDescent="0.2">
      <c r="Z18856" t="str">
        <f t="shared" si="294"/>
        <v/>
      </c>
    </row>
    <row r="18857" spans="26:26" x14ac:dyDescent="0.2">
      <c r="Z18857" t="str">
        <f t="shared" si="294"/>
        <v/>
      </c>
    </row>
    <row r="18858" spans="26:26" x14ac:dyDescent="0.2">
      <c r="Z18858" t="str">
        <f t="shared" si="294"/>
        <v/>
      </c>
    </row>
    <row r="18859" spans="26:26" x14ac:dyDescent="0.2">
      <c r="Z18859" t="str">
        <f t="shared" si="294"/>
        <v/>
      </c>
    </row>
    <row r="18860" spans="26:26" x14ac:dyDescent="0.2">
      <c r="Z18860" t="str">
        <f t="shared" si="294"/>
        <v/>
      </c>
    </row>
    <row r="18861" spans="26:26" x14ac:dyDescent="0.2">
      <c r="Z18861" t="str">
        <f t="shared" si="294"/>
        <v/>
      </c>
    </row>
    <row r="18862" spans="26:26" x14ac:dyDescent="0.2">
      <c r="Z18862" t="str">
        <f t="shared" si="294"/>
        <v/>
      </c>
    </row>
    <row r="18863" spans="26:26" x14ac:dyDescent="0.2">
      <c r="Z18863" t="str">
        <f t="shared" si="294"/>
        <v/>
      </c>
    </row>
    <row r="18864" spans="26:26" x14ac:dyDescent="0.2">
      <c r="Z18864" t="str">
        <f t="shared" si="294"/>
        <v/>
      </c>
    </row>
    <row r="18865" spans="26:26" x14ac:dyDescent="0.2">
      <c r="Z18865" t="str">
        <f t="shared" si="294"/>
        <v/>
      </c>
    </row>
    <row r="18866" spans="26:26" x14ac:dyDescent="0.2">
      <c r="Z18866" t="str">
        <f t="shared" si="294"/>
        <v/>
      </c>
    </row>
    <row r="18867" spans="26:26" x14ac:dyDescent="0.2">
      <c r="Z18867" t="str">
        <f t="shared" si="294"/>
        <v/>
      </c>
    </row>
    <row r="18868" spans="26:26" x14ac:dyDescent="0.2">
      <c r="Z18868" t="str">
        <f t="shared" si="294"/>
        <v/>
      </c>
    </row>
    <row r="18869" spans="26:26" x14ac:dyDescent="0.2">
      <c r="Z18869" t="str">
        <f t="shared" si="294"/>
        <v/>
      </c>
    </row>
    <row r="18870" spans="26:26" x14ac:dyDescent="0.2">
      <c r="Z18870" t="str">
        <f t="shared" si="294"/>
        <v/>
      </c>
    </row>
    <row r="18871" spans="26:26" x14ac:dyDescent="0.2">
      <c r="Z18871" t="str">
        <f t="shared" si="294"/>
        <v/>
      </c>
    </row>
    <row r="18872" spans="26:26" x14ac:dyDescent="0.2">
      <c r="Z18872" t="str">
        <f t="shared" si="294"/>
        <v/>
      </c>
    </row>
    <row r="18873" spans="26:26" x14ac:dyDescent="0.2">
      <c r="Z18873" t="str">
        <f t="shared" si="294"/>
        <v/>
      </c>
    </row>
    <row r="18874" spans="26:26" x14ac:dyDescent="0.2">
      <c r="Z18874" t="str">
        <f t="shared" si="294"/>
        <v/>
      </c>
    </row>
    <row r="18875" spans="26:26" x14ac:dyDescent="0.2">
      <c r="Z18875" t="str">
        <f t="shared" si="294"/>
        <v/>
      </c>
    </row>
    <row r="18876" spans="26:26" x14ac:dyDescent="0.2">
      <c r="Z18876" t="str">
        <f t="shared" si="294"/>
        <v/>
      </c>
    </row>
    <row r="18877" spans="26:26" x14ac:dyDescent="0.2">
      <c r="Z18877" t="str">
        <f t="shared" si="294"/>
        <v/>
      </c>
    </row>
    <row r="18878" spans="26:26" x14ac:dyDescent="0.2">
      <c r="Z18878" t="str">
        <f t="shared" si="294"/>
        <v/>
      </c>
    </row>
    <row r="18879" spans="26:26" x14ac:dyDescent="0.2">
      <c r="Z18879" t="str">
        <f t="shared" si="294"/>
        <v/>
      </c>
    </row>
    <row r="18880" spans="26:26" x14ac:dyDescent="0.2">
      <c r="Z18880" t="str">
        <f t="shared" si="294"/>
        <v/>
      </c>
    </row>
    <row r="18881" spans="26:26" x14ac:dyDescent="0.2">
      <c r="Z18881" t="str">
        <f t="shared" si="294"/>
        <v/>
      </c>
    </row>
    <row r="18882" spans="26:26" x14ac:dyDescent="0.2">
      <c r="Z18882" t="str">
        <f t="shared" si="294"/>
        <v/>
      </c>
    </row>
    <row r="18883" spans="26:26" x14ac:dyDescent="0.2">
      <c r="Z18883" t="str">
        <f t="shared" ref="Z18883:Z18946" si="295">IF(K18883="","",IFERROR(VALUE(TRIM(MID(K18883,FIND(CHAR(167),SUBSTITUTE(K18883,"-",CHAR(167),LEN(K18883)-LEN(SUBSTITUTE(K18883,"-",""))))+1,100))),K18883))</f>
        <v/>
      </c>
    </row>
    <row r="18884" spans="26:26" x14ac:dyDescent="0.2">
      <c r="Z18884" t="str">
        <f t="shared" si="295"/>
        <v/>
      </c>
    </row>
    <row r="18885" spans="26:26" x14ac:dyDescent="0.2">
      <c r="Z18885" t="str">
        <f t="shared" si="295"/>
        <v/>
      </c>
    </row>
    <row r="18886" spans="26:26" x14ac:dyDescent="0.2">
      <c r="Z18886" t="str">
        <f t="shared" si="295"/>
        <v/>
      </c>
    </row>
    <row r="18887" spans="26:26" x14ac:dyDescent="0.2">
      <c r="Z18887" t="str">
        <f t="shared" si="295"/>
        <v/>
      </c>
    </row>
    <row r="18888" spans="26:26" x14ac:dyDescent="0.2">
      <c r="Z18888" t="str">
        <f t="shared" si="295"/>
        <v/>
      </c>
    </row>
    <row r="18889" spans="26:26" x14ac:dyDescent="0.2">
      <c r="Z18889" t="str">
        <f t="shared" si="295"/>
        <v/>
      </c>
    </row>
    <row r="18890" spans="26:26" x14ac:dyDescent="0.2">
      <c r="Z18890" t="str">
        <f t="shared" si="295"/>
        <v/>
      </c>
    </row>
    <row r="18891" spans="26:26" x14ac:dyDescent="0.2">
      <c r="Z18891" t="str">
        <f t="shared" si="295"/>
        <v/>
      </c>
    </row>
    <row r="18892" spans="26:26" x14ac:dyDescent="0.2">
      <c r="Z18892" t="str">
        <f t="shared" si="295"/>
        <v/>
      </c>
    </row>
    <row r="18893" spans="26:26" x14ac:dyDescent="0.2">
      <c r="Z18893" t="str">
        <f t="shared" si="295"/>
        <v/>
      </c>
    </row>
    <row r="18894" spans="26:26" x14ac:dyDescent="0.2">
      <c r="Z18894" t="str">
        <f t="shared" si="295"/>
        <v/>
      </c>
    </row>
    <row r="18895" spans="26:26" x14ac:dyDescent="0.2">
      <c r="Z18895" t="str">
        <f t="shared" si="295"/>
        <v/>
      </c>
    </row>
    <row r="18896" spans="26:26" x14ac:dyDescent="0.2">
      <c r="Z18896" t="str">
        <f t="shared" si="295"/>
        <v/>
      </c>
    </row>
    <row r="18897" spans="26:26" x14ac:dyDescent="0.2">
      <c r="Z18897" t="str">
        <f t="shared" si="295"/>
        <v/>
      </c>
    </row>
    <row r="18898" spans="26:26" x14ac:dyDescent="0.2">
      <c r="Z18898" t="str">
        <f t="shared" si="295"/>
        <v/>
      </c>
    </row>
    <row r="18899" spans="26:26" x14ac:dyDescent="0.2">
      <c r="Z18899" t="str">
        <f t="shared" si="295"/>
        <v/>
      </c>
    </row>
    <row r="18900" spans="26:26" x14ac:dyDescent="0.2">
      <c r="Z18900" t="str">
        <f t="shared" si="295"/>
        <v/>
      </c>
    </row>
    <row r="18901" spans="26:26" x14ac:dyDescent="0.2">
      <c r="Z18901" t="str">
        <f t="shared" si="295"/>
        <v/>
      </c>
    </row>
    <row r="18902" spans="26:26" x14ac:dyDescent="0.2">
      <c r="Z18902" t="str">
        <f t="shared" si="295"/>
        <v/>
      </c>
    </row>
    <row r="18903" spans="26:26" x14ac:dyDescent="0.2">
      <c r="Z18903" t="str">
        <f t="shared" si="295"/>
        <v/>
      </c>
    </row>
    <row r="18904" spans="26:26" x14ac:dyDescent="0.2">
      <c r="Z18904" t="str">
        <f t="shared" si="295"/>
        <v/>
      </c>
    </row>
    <row r="18905" spans="26:26" x14ac:dyDescent="0.2">
      <c r="Z18905" t="str">
        <f t="shared" si="295"/>
        <v/>
      </c>
    </row>
    <row r="18906" spans="26:26" x14ac:dyDescent="0.2">
      <c r="Z18906" t="str">
        <f t="shared" si="295"/>
        <v/>
      </c>
    </row>
    <row r="18907" spans="26:26" x14ac:dyDescent="0.2">
      <c r="Z18907" t="str">
        <f t="shared" si="295"/>
        <v/>
      </c>
    </row>
    <row r="18908" spans="26:26" x14ac:dyDescent="0.2">
      <c r="Z18908" t="str">
        <f t="shared" si="295"/>
        <v/>
      </c>
    </row>
    <row r="18909" spans="26:26" x14ac:dyDescent="0.2">
      <c r="Z18909" t="str">
        <f t="shared" si="295"/>
        <v/>
      </c>
    </row>
    <row r="18910" spans="26:26" x14ac:dyDescent="0.2">
      <c r="Z18910" t="str">
        <f t="shared" si="295"/>
        <v/>
      </c>
    </row>
    <row r="18911" spans="26:26" x14ac:dyDescent="0.2">
      <c r="Z18911" t="str">
        <f t="shared" si="295"/>
        <v/>
      </c>
    </row>
    <row r="18912" spans="26:26" x14ac:dyDescent="0.2">
      <c r="Z18912" t="str">
        <f t="shared" si="295"/>
        <v/>
      </c>
    </row>
    <row r="18913" spans="26:26" x14ac:dyDescent="0.2">
      <c r="Z18913" t="str">
        <f t="shared" si="295"/>
        <v/>
      </c>
    </row>
    <row r="18914" spans="26:26" x14ac:dyDescent="0.2">
      <c r="Z18914" t="str">
        <f t="shared" si="295"/>
        <v/>
      </c>
    </row>
    <row r="18915" spans="26:26" x14ac:dyDescent="0.2">
      <c r="Z18915" t="str">
        <f t="shared" si="295"/>
        <v/>
      </c>
    </row>
    <row r="18916" spans="26:26" x14ac:dyDescent="0.2">
      <c r="Z18916" t="str">
        <f t="shared" si="295"/>
        <v/>
      </c>
    </row>
    <row r="18917" spans="26:26" x14ac:dyDescent="0.2">
      <c r="Z18917" t="str">
        <f t="shared" si="295"/>
        <v/>
      </c>
    </row>
    <row r="18918" spans="26:26" x14ac:dyDescent="0.2">
      <c r="Z18918" t="str">
        <f t="shared" si="295"/>
        <v/>
      </c>
    </row>
    <row r="18919" spans="26:26" x14ac:dyDescent="0.2">
      <c r="Z18919" t="str">
        <f t="shared" si="295"/>
        <v/>
      </c>
    </row>
    <row r="18920" spans="26:26" x14ac:dyDescent="0.2">
      <c r="Z18920" t="str">
        <f t="shared" si="295"/>
        <v/>
      </c>
    </row>
    <row r="18921" spans="26:26" x14ac:dyDescent="0.2">
      <c r="Z18921" t="str">
        <f t="shared" si="295"/>
        <v/>
      </c>
    </row>
    <row r="18922" spans="26:26" x14ac:dyDescent="0.2">
      <c r="Z18922" t="str">
        <f t="shared" si="295"/>
        <v/>
      </c>
    </row>
    <row r="18923" spans="26:26" x14ac:dyDescent="0.2">
      <c r="Z18923" t="str">
        <f t="shared" si="295"/>
        <v/>
      </c>
    </row>
    <row r="18924" spans="26:26" x14ac:dyDescent="0.2">
      <c r="Z18924" t="str">
        <f t="shared" si="295"/>
        <v/>
      </c>
    </row>
    <row r="18925" spans="26:26" x14ac:dyDescent="0.2">
      <c r="Z18925" t="str">
        <f t="shared" si="295"/>
        <v/>
      </c>
    </row>
    <row r="18926" spans="26:26" x14ac:dyDescent="0.2">
      <c r="Z18926" t="str">
        <f t="shared" si="295"/>
        <v/>
      </c>
    </row>
    <row r="18927" spans="26:26" x14ac:dyDescent="0.2">
      <c r="Z18927" t="str">
        <f t="shared" si="295"/>
        <v/>
      </c>
    </row>
    <row r="18928" spans="26:26" x14ac:dyDescent="0.2">
      <c r="Z18928" t="str">
        <f t="shared" si="295"/>
        <v/>
      </c>
    </row>
    <row r="18929" spans="26:26" x14ac:dyDescent="0.2">
      <c r="Z18929" t="str">
        <f t="shared" si="295"/>
        <v/>
      </c>
    </row>
    <row r="18930" spans="26:26" x14ac:dyDescent="0.2">
      <c r="Z18930" t="str">
        <f t="shared" si="295"/>
        <v/>
      </c>
    </row>
    <row r="18931" spans="26:26" x14ac:dyDescent="0.2">
      <c r="Z18931" t="str">
        <f t="shared" si="295"/>
        <v/>
      </c>
    </row>
    <row r="18932" spans="26:26" x14ac:dyDescent="0.2">
      <c r="Z18932" t="str">
        <f t="shared" si="295"/>
        <v/>
      </c>
    </row>
    <row r="18933" spans="26:26" x14ac:dyDescent="0.2">
      <c r="Z18933" t="str">
        <f t="shared" si="295"/>
        <v/>
      </c>
    </row>
    <row r="18934" spans="26:26" x14ac:dyDescent="0.2">
      <c r="Z18934" t="str">
        <f t="shared" si="295"/>
        <v/>
      </c>
    </row>
    <row r="18935" spans="26:26" x14ac:dyDescent="0.2">
      <c r="Z18935" t="str">
        <f t="shared" si="295"/>
        <v/>
      </c>
    </row>
    <row r="18936" spans="26:26" x14ac:dyDescent="0.2">
      <c r="Z18936" t="str">
        <f t="shared" si="295"/>
        <v/>
      </c>
    </row>
    <row r="18937" spans="26:26" x14ac:dyDescent="0.2">
      <c r="Z18937" t="str">
        <f t="shared" si="295"/>
        <v/>
      </c>
    </row>
    <row r="18938" spans="26:26" x14ac:dyDescent="0.2">
      <c r="Z18938" t="str">
        <f t="shared" si="295"/>
        <v/>
      </c>
    </row>
    <row r="18939" spans="26:26" x14ac:dyDescent="0.2">
      <c r="Z18939" t="str">
        <f t="shared" si="295"/>
        <v/>
      </c>
    </row>
    <row r="18940" spans="26:26" x14ac:dyDescent="0.2">
      <c r="Z18940" t="str">
        <f t="shared" si="295"/>
        <v/>
      </c>
    </row>
    <row r="18941" spans="26:26" x14ac:dyDescent="0.2">
      <c r="Z18941" t="str">
        <f t="shared" si="295"/>
        <v/>
      </c>
    </row>
    <row r="18942" spans="26:26" x14ac:dyDescent="0.2">
      <c r="Z18942" t="str">
        <f t="shared" si="295"/>
        <v/>
      </c>
    </row>
    <row r="18943" spans="26:26" x14ac:dyDescent="0.2">
      <c r="Z18943" t="str">
        <f t="shared" si="295"/>
        <v/>
      </c>
    </row>
    <row r="18944" spans="26:26" x14ac:dyDescent="0.2">
      <c r="Z18944" t="str">
        <f t="shared" si="295"/>
        <v/>
      </c>
    </row>
    <row r="18945" spans="26:26" x14ac:dyDescent="0.2">
      <c r="Z18945" t="str">
        <f t="shared" si="295"/>
        <v/>
      </c>
    </row>
    <row r="18946" spans="26:26" x14ac:dyDescent="0.2">
      <c r="Z18946" t="str">
        <f t="shared" si="295"/>
        <v/>
      </c>
    </row>
    <row r="18947" spans="26:26" x14ac:dyDescent="0.2">
      <c r="Z18947" t="str">
        <f t="shared" ref="Z18947:Z19010" si="296">IF(K18947="","",IFERROR(VALUE(TRIM(MID(K18947,FIND(CHAR(167),SUBSTITUTE(K18947,"-",CHAR(167),LEN(K18947)-LEN(SUBSTITUTE(K18947,"-",""))))+1,100))),K18947))</f>
        <v/>
      </c>
    </row>
    <row r="18948" spans="26:26" x14ac:dyDescent="0.2">
      <c r="Z18948" t="str">
        <f t="shared" si="296"/>
        <v/>
      </c>
    </row>
    <row r="18949" spans="26:26" x14ac:dyDescent="0.2">
      <c r="Z18949" t="str">
        <f t="shared" si="296"/>
        <v/>
      </c>
    </row>
    <row r="18950" spans="26:26" x14ac:dyDescent="0.2">
      <c r="Z18950" t="str">
        <f t="shared" si="296"/>
        <v/>
      </c>
    </row>
    <row r="18951" spans="26:26" x14ac:dyDescent="0.2">
      <c r="Z18951" t="str">
        <f t="shared" si="296"/>
        <v/>
      </c>
    </row>
    <row r="18952" spans="26:26" x14ac:dyDescent="0.2">
      <c r="Z18952" t="str">
        <f t="shared" si="296"/>
        <v/>
      </c>
    </row>
    <row r="18953" spans="26:26" x14ac:dyDescent="0.2">
      <c r="Z18953" t="str">
        <f t="shared" si="296"/>
        <v/>
      </c>
    </row>
    <row r="18954" spans="26:26" x14ac:dyDescent="0.2">
      <c r="Z18954" t="str">
        <f t="shared" si="296"/>
        <v/>
      </c>
    </row>
    <row r="18955" spans="26:26" x14ac:dyDescent="0.2">
      <c r="Z18955" t="str">
        <f t="shared" si="296"/>
        <v/>
      </c>
    </row>
    <row r="18956" spans="26:26" x14ac:dyDescent="0.2">
      <c r="Z18956" t="str">
        <f t="shared" si="296"/>
        <v/>
      </c>
    </row>
    <row r="18957" spans="26:26" x14ac:dyDescent="0.2">
      <c r="Z18957" t="str">
        <f t="shared" si="296"/>
        <v/>
      </c>
    </row>
    <row r="18958" spans="26:26" x14ac:dyDescent="0.2">
      <c r="Z18958" t="str">
        <f t="shared" si="296"/>
        <v/>
      </c>
    </row>
    <row r="18959" spans="26:26" x14ac:dyDescent="0.2">
      <c r="Z18959" t="str">
        <f t="shared" si="296"/>
        <v/>
      </c>
    </row>
    <row r="18960" spans="26:26" x14ac:dyDescent="0.2">
      <c r="Z18960" t="str">
        <f t="shared" si="296"/>
        <v/>
      </c>
    </row>
    <row r="18961" spans="26:26" x14ac:dyDescent="0.2">
      <c r="Z18961" t="str">
        <f t="shared" si="296"/>
        <v/>
      </c>
    </row>
    <row r="18962" spans="26:26" x14ac:dyDescent="0.2">
      <c r="Z18962" t="str">
        <f t="shared" si="296"/>
        <v/>
      </c>
    </row>
    <row r="18963" spans="26:26" x14ac:dyDescent="0.2">
      <c r="Z18963" t="str">
        <f t="shared" si="296"/>
        <v/>
      </c>
    </row>
    <row r="18964" spans="26:26" x14ac:dyDescent="0.2">
      <c r="Z18964" t="str">
        <f t="shared" si="296"/>
        <v/>
      </c>
    </row>
    <row r="18965" spans="26:26" x14ac:dyDescent="0.2">
      <c r="Z18965" t="str">
        <f t="shared" si="296"/>
        <v/>
      </c>
    </row>
    <row r="18966" spans="26:26" x14ac:dyDescent="0.2">
      <c r="Z18966" t="str">
        <f t="shared" si="296"/>
        <v/>
      </c>
    </row>
    <row r="18967" spans="26:26" x14ac:dyDescent="0.2">
      <c r="Z18967" t="str">
        <f t="shared" si="296"/>
        <v/>
      </c>
    </row>
    <row r="18968" spans="26:26" x14ac:dyDescent="0.2">
      <c r="Z18968" t="str">
        <f t="shared" si="296"/>
        <v/>
      </c>
    </row>
    <row r="18969" spans="26:26" x14ac:dyDescent="0.2">
      <c r="Z18969" t="str">
        <f t="shared" si="296"/>
        <v/>
      </c>
    </row>
    <row r="18970" spans="26:26" x14ac:dyDescent="0.2">
      <c r="Z18970" t="str">
        <f t="shared" si="296"/>
        <v/>
      </c>
    </row>
    <row r="18971" spans="26:26" x14ac:dyDescent="0.2">
      <c r="Z18971" t="str">
        <f t="shared" si="296"/>
        <v/>
      </c>
    </row>
    <row r="18972" spans="26:26" x14ac:dyDescent="0.2">
      <c r="Z18972" t="str">
        <f t="shared" si="296"/>
        <v/>
      </c>
    </row>
    <row r="18973" spans="26:26" x14ac:dyDescent="0.2">
      <c r="Z18973" t="str">
        <f t="shared" si="296"/>
        <v/>
      </c>
    </row>
    <row r="18974" spans="26:26" x14ac:dyDescent="0.2">
      <c r="Z18974" t="str">
        <f t="shared" si="296"/>
        <v/>
      </c>
    </row>
    <row r="18975" spans="26:26" x14ac:dyDescent="0.2">
      <c r="Z18975" t="str">
        <f t="shared" si="296"/>
        <v/>
      </c>
    </row>
    <row r="18976" spans="26:26" x14ac:dyDescent="0.2">
      <c r="Z18976" t="str">
        <f t="shared" si="296"/>
        <v/>
      </c>
    </row>
    <row r="18977" spans="26:26" x14ac:dyDescent="0.2">
      <c r="Z18977" t="str">
        <f t="shared" si="296"/>
        <v/>
      </c>
    </row>
    <row r="18978" spans="26:26" x14ac:dyDescent="0.2">
      <c r="Z18978" t="str">
        <f t="shared" si="296"/>
        <v/>
      </c>
    </row>
    <row r="18979" spans="26:26" x14ac:dyDescent="0.2">
      <c r="Z18979" t="str">
        <f t="shared" si="296"/>
        <v/>
      </c>
    </row>
    <row r="18980" spans="26:26" x14ac:dyDescent="0.2">
      <c r="Z18980" t="str">
        <f t="shared" si="296"/>
        <v/>
      </c>
    </row>
    <row r="18981" spans="26:26" x14ac:dyDescent="0.2">
      <c r="Z18981" t="str">
        <f t="shared" si="296"/>
        <v/>
      </c>
    </row>
    <row r="18982" spans="26:26" x14ac:dyDescent="0.2">
      <c r="Z18982" t="str">
        <f t="shared" si="296"/>
        <v/>
      </c>
    </row>
    <row r="18983" spans="26:26" x14ac:dyDescent="0.2">
      <c r="Z18983" t="str">
        <f t="shared" si="296"/>
        <v/>
      </c>
    </row>
    <row r="18984" spans="26:26" x14ac:dyDescent="0.2">
      <c r="Z18984" t="str">
        <f t="shared" si="296"/>
        <v/>
      </c>
    </row>
    <row r="18985" spans="26:26" x14ac:dyDescent="0.2">
      <c r="Z18985" t="str">
        <f t="shared" si="296"/>
        <v/>
      </c>
    </row>
    <row r="18986" spans="26:26" x14ac:dyDescent="0.2">
      <c r="Z18986" t="str">
        <f t="shared" si="296"/>
        <v/>
      </c>
    </row>
    <row r="18987" spans="26:26" x14ac:dyDescent="0.2">
      <c r="Z18987" t="str">
        <f t="shared" si="296"/>
        <v/>
      </c>
    </row>
    <row r="18988" spans="26:26" x14ac:dyDescent="0.2">
      <c r="Z18988" t="str">
        <f t="shared" si="296"/>
        <v/>
      </c>
    </row>
    <row r="18989" spans="26:26" x14ac:dyDescent="0.2">
      <c r="Z18989" t="str">
        <f t="shared" si="296"/>
        <v/>
      </c>
    </row>
    <row r="18990" spans="26:26" x14ac:dyDescent="0.2">
      <c r="Z18990" t="str">
        <f t="shared" si="296"/>
        <v/>
      </c>
    </row>
    <row r="18991" spans="26:26" x14ac:dyDescent="0.2">
      <c r="Z18991" t="str">
        <f t="shared" si="296"/>
        <v/>
      </c>
    </row>
    <row r="18992" spans="26:26" x14ac:dyDescent="0.2">
      <c r="Z18992" t="str">
        <f t="shared" si="296"/>
        <v/>
      </c>
    </row>
    <row r="18993" spans="26:26" x14ac:dyDescent="0.2">
      <c r="Z18993" t="str">
        <f t="shared" si="296"/>
        <v/>
      </c>
    </row>
    <row r="18994" spans="26:26" x14ac:dyDescent="0.2">
      <c r="Z18994" t="str">
        <f t="shared" si="296"/>
        <v/>
      </c>
    </row>
    <row r="18995" spans="26:26" x14ac:dyDescent="0.2">
      <c r="Z18995" t="str">
        <f t="shared" si="296"/>
        <v/>
      </c>
    </row>
    <row r="18996" spans="26:26" x14ac:dyDescent="0.2">
      <c r="Z18996" t="str">
        <f t="shared" si="296"/>
        <v/>
      </c>
    </row>
    <row r="18997" spans="26:26" x14ac:dyDescent="0.2">
      <c r="Z18997" t="str">
        <f t="shared" si="296"/>
        <v/>
      </c>
    </row>
    <row r="18998" spans="26:26" x14ac:dyDescent="0.2">
      <c r="Z18998" t="str">
        <f t="shared" si="296"/>
        <v/>
      </c>
    </row>
    <row r="18999" spans="26:26" x14ac:dyDescent="0.2">
      <c r="Z18999" t="str">
        <f t="shared" si="296"/>
        <v/>
      </c>
    </row>
    <row r="19000" spans="26:26" x14ac:dyDescent="0.2">
      <c r="Z19000" t="str">
        <f t="shared" si="296"/>
        <v/>
      </c>
    </row>
    <row r="19001" spans="26:26" x14ac:dyDescent="0.2">
      <c r="Z19001" t="str">
        <f t="shared" si="296"/>
        <v/>
      </c>
    </row>
    <row r="19002" spans="26:26" x14ac:dyDescent="0.2">
      <c r="Z19002" t="str">
        <f t="shared" si="296"/>
        <v/>
      </c>
    </row>
    <row r="19003" spans="26:26" x14ac:dyDescent="0.2">
      <c r="Z19003" t="str">
        <f t="shared" si="296"/>
        <v/>
      </c>
    </row>
    <row r="19004" spans="26:26" x14ac:dyDescent="0.2">
      <c r="Z19004" t="str">
        <f t="shared" si="296"/>
        <v/>
      </c>
    </row>
    <row r="19005" spans="26:26" x14ac:dyDescent="0.2">
      <c r="Z19005" t="str">
        <f t="shared" si="296"/>
        <v/>
      </c>
    </row>
    <row r="19006" spans="26:26" x14ac:dyDescent="0.2">
      <c r="Z19006" t="str">
        <f t="shared" si="296"/>
        <v/>
      </c>
    </row>
    <row r="19007" spans="26:26" x14ac:dyDescent="0.2">
      <c r="Z19007" t="str">
        <f t="shared" si="296"/>
        <v/>
      </c>
    </row>
    <row r="19008" spans="26:26" x14ac:dyDescent="0.2">
      <c r="Z19008" t="str">
        <f t="shared" si="296"/>
        <v/>
      </c>
    </row>
    <row r="19009" spans="26:26" x14ac:dyDescent="0.2">
      <c r="Z19009" t="str">
        <f t="shared" si="296"/>
        <v/>
      </c>
    </row>
    <row r="19010" spans="26:26" x14ac:dyDescent="0.2">
      <c r="Z19010" t="str">
        <f t="shared" si="296"/>
        <v/>
      </c>
    </row>
    <row r="19011" spans="26:26" x14ac:dyDescent="0.2">
      <c r="Z19011" t="str">
        <f t="shared" ref="Z19011:Z19074" si="297">IF(K19011="","",IFERROR(VALUE(TRIM(MID(K19011,FIND(CHAR(167),SUBSTITUTE(K19011,"-",CHAR(167),LEN(K19011)-LEN(SUBSTITUTE(K19011,"-",""))))+1,100))),K19011))</f>
        <v/>
      </c>
    </row>
    <row r="19012" spans="26:26" x14ac:dyDescent="0.2">
      <c r="Z19012" t="str">
        <f t="shared" si="297"/>
        <v/>
      </c>
    </row>
    <row r="19013" spans="26:26" x14ac:dyDescent="0.2">
      <c r="Z19013" t="str">
        <f t="shared" si="297"/>
        <v/>
      </c>
    </row>
    <row r="19014" spans="26:26" x14ac:dyDescent="0.2">
      <c r="Z19014" t="str">
        <f t="shared" si="297"/>
        <v/>
      </c>
    </row>
    <row r="19015" spans="26:26" x14ac:dyDescent="0.2">
      <c r="Z19015" t="str">
        <f t="shared" si="297"/>
        <v/>
      </c>
    </row>
    <row r="19016" spans="26:26" x14ac:dyDescent="0.2">
      <c r="Z19016" t="str">
        <f t="shared" si="297"/>
        <v/>
      </c>
    </row>
    <row r="19017" spans="26:26" x14ac:dyDescent="0.2">
      <c r="Z19017" t="str">
        <f t="shared" si="297"/>
        <v/>
      </c>
    </row>
    <row r="19018" spans="26:26" x14ac:dyDescent="0.2">
      <c r="Z19018" t="str">
        <f t="shared" si="297"/>
        <v/>
      </c>
    </row>
    <row r="19019" spans="26:26" x14ac:dyDescent="0.2">
      <c r="Z19019" t="str">
        <f t="shared" si="297"/>
        <v/>
      </c>
    </row>
    <row r="19020" spans="26:26" x14ac:dyDescent="0.2">
      <c r="Z19020" t="str">
        <f t="shared" si="297"/>
        <v/>
      </c>
    </row>
    <row r="19021" spans="26:26" x14ac:dyDescent="0.2">
      <c r="Z19021" t="str">
        <f t="shared" si="297"/>
        <v/>
      </c>
    </row>
    <row r="19022" spans="26:26" x14ac:dyDescent="0.2">
      <c r="Z19022" t="str">
        <f t="shared" si="297"/>
        <v/>
      </c>
    </row>
    <row r="19023" spans="26:26" x14ac:dyDescent="0.2">
      <c r="Z19023" t="str">
        <f t="shared" si="297"/>
        <v/>
      </c>
    </row>
    <row r="19024" spans="26:26" x14ac:dyDescent="0.2">
      <c r="Z19024" t="str">
        <f t="shared" si="297"/>
        <v/>
      </c>
    </row>
    <row r="19025" spans="26:26" x14ac:dyDescent="0.2">
      <c r="Z19025" t="str">
        <f t="shared" si="297"/>
        <v/>
      </c>
    </row>
    <row r="19026" spans="26:26" x14ac:dyDescent="0.2">
      <c r="Z19026" t="str">
        <f t="shared" si="297"/>
        <v/>
      </c>
    </row>
    <row r="19027" spans="26:26" x14ac:dyDescent="0.2">
      <c r="Z19027" t="str">
        <f t="shared" si="297"/>
        <v/>
      </c>
    </row>
    <row r="19028" spans="26:26" x14ac:dyDescent="0.2">
      <c r="Z19028" t="str">
        <f t="shared" si="297"/>
        <v/>
      </c>
    </row>
    <row r="19029" spans="26:26" x14ac:dyDescent="0.2">
      <c r="Z19029" t="str">
        <f t="shared" si="297"/>
        <v/>
      </c>
    </row>
    <row r="19030" spans="26:26" x14ac:dyDescent="0.2">
      <c r="Z19030" t="str">
        <f t="shared" si="297"/>
        <v/>
      </c>
    </row>
    <row r="19031" spans="26:26" x14ac:dyDescent="0.2">
      <c r="Z19031" t="str">
        <f t="shared" si="297"/>
        <v/>
      </c>
    </row>
    <row r="19032" spans="26:26" x14ac:dyDescent="0.2">
      <c r="Z19032" t="str">
        <f t="shared" si="297"/>
        <v/>
      </c>
    </row>
    <row r="19033" spans="26:26" x14ac:dyDescent="0.2">
      <c r="Z19033" t="str">
        <f t="shared" si="297"/>
        <v/>
      </c>
    </row>
    <row r="19034" spans="26:26" x14ac:dyDescent="0.2">
      <c r="Z19034" t="str">
        <f t="shared" si="297"/>
        <v/>
      </c>
    </row>
    <row r="19035" spans="26:26" x14ac:dyDescent="0.2">
      <c r="Z19035" t="str">
        <f t="shared" si="297"/>
        <v/>
      </c>
    </row>
    <row r="19036" spans="26:26" x14ac:dyDescent="0.2">
      <c r="Z19036" t="str">
        <f t="shared" si="297"/>
        <v/>
      </c>
    </row>
    <row r="19037" spans="26:26" x14ac:dyDescent="0.2">
      <c r="Z19037" t="str">
        <f t="shared" si="297"/>
        <v/>
      </c>
    </row>
    <row r="19038" spans="26:26" x14ac:dyDescent="0.2">
      <c r="Z19038" t="str">
        <f t="shared" si="297"/>
        <v/>
      </c>
    </row>
    <row r="19039" spans="26:26" x14ac:dyDescent="0.2">
      <c r="Z19039" t="str">
        <f t="shared" si="297"/>
        <v/>
      </c>
    </row>
    <row r="19040" spans="26:26" x14ac:dyDescent="0.2">
      <c r="Z19040" t="str">
        <f t="shared" si="297"/>
        <v/>
      </c>
    </row>
    <row r="19041" spans="26:26" x14ac:dyDescent="0.2">
      <c r="Z19041" t="str">
        <f t="shared" si="297"/>
        <v/>
      </c>
    </row>
    <row r="19042" spans="26:26" x14ac:dyDescent="0.2">
      <c r="Z19042" t="str">
        <f t="shared" si="297"/>
        <v/>
      </c>
    </row>
    <row r="19043" spans="26:26" x14ac:dyDescent="0.2">
      <c r="Z19043" t="str">
        <f t="shared" si="297"/>
        <v/>
      </c>
    </row>
    <row r="19044" spans="26:26" x14ac:dyDescent="0.2">
      <c r="Z19044" t="str">
        <f t="shared" si="297"/>
        <v/>
      </c>
    </row>
    <row r="19045" spans="26:26" x14ac:dyDescent="0.2">
      <c r="Z19045" t="str">
        <f t="shared" si="297"/>
        <v/>
      </c>
    </row>
    <row r="19046" spans="26:26" x14ac:dyDescent="0.2">
      <c r="Z19046" t="str">
        <f t="shared" si="297"/>
        <v/>
      </c>
    </row>
    <row r="19047" spans="26:26" x14ac:dyDescent="0.2">
      <c r="Z19047" t="str">
        <f t="shared" si="297"/>
        <v/>
      </c>
    </row>
    <row r="19048" spans="26:26" x14ac:dyDescent="0.2">
      <c r="Z19048" t="str">
        <f t="shared" si="297"/>
        <v/>
      </c>
    </row>
    <row r="19049" spans="26:26" x14ac:dyDescent="0.2">
      <c r="Z19049" t="str">
        <f t="shared" si="297"/>
        <v/>
      </c>
    </row>
    <row r="19050" spans="26:26" x14ac:dyDescent="0.2">
      <c r="Z19050" t="str">
        <f t="shared" si="297"/>
        <v/>
      </c>
    </row>
    <row r="19051" spans="26:26" x14ac:dyDescent="0.2">
      <c r="Z19051" t="str">
        <f t="shared" si="297"/>
        <v/>
      </c>
    </row>
    <row r="19052" spans="26:26" x14ac:dyDescent="0.2">
      <c r="Z19052" t="str">
        <f t="shared" si="297"/>
        <v/>
      </c>
    </row>
    <row r="19053" spans="26:26" x14ac:dyDescent="0.2">
      <c r="Z19053" t="str">
        <f t="shared" si="297"/>
        <v/>
      </c>
    </row>
    <row r="19054" spans="26:26" x14ac:dyDescent="0.2">
      <c r="Z19054" t="str">
        <f t="shared" si="297"/>
        <v/>
      </c>
    </row>
    <row r="19055" spans="26:26" x14ac:dyDescent="0.2">
      <c r="Z19055" t="str">
        <f t="shared" si="297"/>
        <v/>
      </c>
    </row>
    <row r="19056" spans="26:26" x14ac:dyDescent="0.2">
      <c r="Z19056" t="str">
        <f t="shared" si="297"/>
        <v/>
      </c>
    </row>
    <row r="19057" spans="26:26" x14ac:dyDescent="0.2">
      <c r="Z19057" t="str">
        <f t="shared" si="297"/>
        <v/>
      </c>
    </row>
    <row r="19058" spans="26:26" x14ac:dyDescent="0.2">
      <c r="Z19058" t="str">
        <f t="shared" si="297"/>
        <v/>
      </c>
    </row>
    <row r="19059" spans="26:26" x14ac:dyDescent="0.2">
      <c r="Z19059" t="str">
        <f t="shared" si="297"/>
        <v/>
      </c>
    </row>
    <row r="19060" spans="26:26" x14ac:dyDescent="0.2">
      <c r="Z19060" t="str">
        <f t="shared" si="297"/>
        <v/>
      </c>
    </row>
    <row r="19061" spans="26:26" x14ac:dyDescent="0.2">
      <c r="Z19061" t="str">
        <f t="shared" si="297"/>
        <v/>
      </c>
    </row>
    <row r="19062" spans="26:26" x14ac:dyDescent="0.2">
      <c r="Z19062" t="str">
        <f t="shared" si="297"/>
        <v/>
      </c>
    </row>
    <row r="19063" spans="26:26" x14ac:dyDescent="0.2">
      <c r="Z19063" t="str">
        <f t="shared" si="297"/>
        <v/>
      </c>
    </row>
    <row r="19064" spans="26:26" x14ac:dyDescent="0.2">
      <c r="Z19064" t="str">
        <f t="shared" si="297"/>
        <v/>
      </c>
    </row>
    <row r="19065" spans="26:26" x14ac:dyDescent="0.2">
      <c r="Z19065" t="str">
        <f t="shared" si="297"/>
        <v/>
      </c>
    </row>
    <row r="19066" spans="26:26" x14ac:dyDescent="0.2">
      <c r="Z19066" t="str">
        <f t="shared" si="297"/>
        <v/>
      </c>
    </row>
    <row r="19067" spans="26:26" x14ac:dyDescent="0.2">
      <c r="Z19067" t="str">
        <f t="shared" si="297"/>
        <v/>
      </c>
    </row>
    <row r="19068" spans="26:26" x14ac:dyDescent="0.2">
      <c r="Z19068" t="str">
        <f t="shared" si="297"/>
        <v/>
      </c>
    </row>
    <row r="19069" spans="26:26" x14ac:dyDescent="0.2">
      <c r="Z19069" t="str">
        <f t="shared" si="297"/>
        <v/>
      </c>
    </row>
    <row r="19070" spans="26:26" x14ac:dyDescent="0.2">
      <c r="Z19070" t="str">
        <f t="shared" si="297"/>
        <v/>
      </c>
    </row>
    <row r="19071" spans="26:26" x14ac:dyDescent="0.2">
      <c r="Z19071" t="str">
        <f t="shared" si="297"/>
        <v/>
      </c>
    </row>
    <row r="19072" spans="26:26" x14ac:dyDescent="0.2">
      <c r="Z19072" t="str">
        <f t="shared" si="297"/>
        <v/>
      </c>
    </row>
    <row r="19073" spans="26:26" x14ac:dyDescent="0.2">
      <c r="Z19073" t="str">
        <f t="shared" si="297"/>
        <v/>
      </c>
    </row>
    <row r="19074" spans="26:26" x14ac:dyDescent="0.2">
      <c r="Z19074" t="str">
        <f t="shared" si="297"/>
        <v/>
      </c>
    </row>
    <row r="19075" spans="26:26" x14ac:dyDescent="0.2">
      <c r="Z19075" t="str">
        <f t="shared" ref="Z19075:Z19138" si="298">IF(K19075="","",IFERROR(VALUE(TRIM(MID(K19075,FIND(CHAR(167),SUBSTITUTE(K19075,"-",CHAR(167),LEN(K19075)-LEN(SUBSTITUTE(K19075,"-",""))))+1,100))),K19075))</f>
        <v/>
      </c>
    </row>
    <row r="19076" spans="26:26" x14ac:dyDescent="0.2">
      <c r="Z19076" t="str">
        <f t="shared" si="298"/>
        <v/>
      </c>
    </row>
    <row r="19077" spans="26:26" x14ac:dyDescent="0.2">
      <c r="Z19077" t="str">
        <f t="shared" si="298"/>
        <v/>
      </c>
    </row>
    <row r="19078" spans="26:26" x14ac:dyDescent="0.2">
      <c r="Z19078" t="str">
        <f t="shared" si="298"/>
        <v/>
      </c>
    </row>
    <row r="19079" spans="26:26" x14ac:dyDescent="0.2">
      <c r="Z19079" t="str">
        <f t="shared" si="298"/>
        <v/>
      </c>
    </row>
    <row r="19080" spans="26:26" x14ac:dyDescent="0.2">
      <c r="Z19080" t="str">
        <f t="shared" si="298"/>
        <v/>
      </c>
    </row>
    <row r="19081" spans="26:26" x14ac:dyDescent="0.2">
      <c r="Z19081" t="str">
        <f t="shared" si="298"/>
        <v/>
      </c>
    </row>
    <row r="19082" spans="26:26" x14ac:dyDescent="0.2">
      <c r="Z19082" t="str">
        <f t="shared" si="298"/>
        <v/>
      </c>
    </row>
    <row r="19083" spans="26:26" x14ac:dyDescent="0.2">
      <c r="Z19083" t="str">
        <f t="shared" si="298"/>
        <v/>
      </c>
    </row>
    <row r="19084" spans="26:26" x14ac:dyDescent="0.2">
      <c r="Z19084" t="str">
        <f t="shared" si="298"/>
        <v/>
      </c>
    </row>
    <row r="19085" spans="26:26" x14ac:dyDescent="0.2">
      <c r="Z19085" t="str">
        <f t="shared" si="298"/>
        <v/>
      </c>
    </row>
    <row r="19086" spans="26:26" x14ac:dyDescent="0.2">
      <c r="Z19086" t="str">
        <f t="shared" si="298"/>
        <v/>
      </c>
    </row>
    <row r="19087" spans="26:26" x14ac:dyDescent="0.2">
      <c r="Z19087" t="str">
        <f t="shared" si="298"/>
        <v/>
      </c>
    </row>
    <row r="19088" spans="26:26" x14ac:dyDescent="0.2">
      <c r="Z19088" t="str">
        <f t="shared" si="298"/>
        <v/>
      </c>
    </row>
    <row r="19089" spans="26:26" x14ac:dyDescent="0.2">
      <c r="Z19089" t="str">
        <f t="shared" si="298"/>
        <v/>
      </c>
    </row>
    <row r="19090" spans="26:26" x14ac:dyDescent="0.2">
      <c r="Z19090" t="str">
        <f t="shared" si="298"/>
        <v/>
      </c>
    </row>
    <row r="19091" spans="26:26" x14ac:dyDescent="0.2">
      <c r="Z19091" t="str">
        <f t="shared" si="298"/>
        <v/>
      </c>
    </row>
    <row r="19092" spans="26:26" x14ac:dyDescent="0.2">
      <c r="Z19092" t="str">
        <f t="shared" si="298"/>
        <v/>
      </c>
    </row>
    <row r="19093" spans="26:26" x14ac:dyDescent="0.2">
      <c r="Z19093" t="str">
        <f t="shared" si="298"/>
        <v/>
      </c>
    </row>
    <row r="19094" spans="26:26" x14ac:dyDescent="0.2">
      <c r="Z19094" t="str">
        <f t="shared" si="298"/>
        <v/>
      </c>
    </row>
    <row r="19095" spans="26:26" x14ac:dyDescent="0.2">
      <c r="Z19095" t="str">
        <f t="shared" si="298"/>
        <v/>
      </c>
    </row>
    <row r="19096" spans="26:26" x14ac:dyDescent="0.2">
      <c r="Z19096" t="str">
        <f t="shared" si="298"/>
        <v/>
      </c>
    </row>
    <row r="19097" spans="26:26" x14ac:dyDescent="0.2">
      <c r="Z19097" t="str">
        <f t="shared" si="298"/>
        <v/>
      </c>
    </row>
    <row r="19098" spans="26:26" x14ac:dyDescent="0.2">
      <c r="Z19098" t="str">
        <f t="shared" si="298"/>
        <v/>
      </c>
    </row>
    <row r="19099" spans="26:26" x14ac:dyDescent="0.2">
      <c r="Z19099" t="str">
        <f t="shared" si="298"/>
        <v/>
      </c>
    </row>
    <row r="19100" spans="26:26" x14ac:dyDescent="0.2">
      <c r="Z19100" t="str">
        <f t="shared" si="298"/>
        <v/>
      </c>
    </row>
    <row r="19101" spans="26:26" x14ac:dyDescent="0.2">
      <c r="Z19101" t="str">
        <f t="shared" si="298"/>
        <v/>
      </c>
    </row>
    <row r="19102" spans="26:26" x14ac:dyDescent="0.2">
      <c r="Z19102" t="str">
        <f t="shared" si="298"/>
        <v/>
      </c>
    </row>
    <row r="19103" spans="26:26" x14ac:dyDescent="0.2">
      <c r="Z19103" t="str">
        <f t="shared" si="298"/>
        <v/>
      </c>
    </row>
    <row r="19104" spans="26:26" x14ac:dyDescent="0.2">
      <c r="Z19104" t="str">
        <f t="shared" si="298"/>
        <v/>
      </c>
    </row>
    <row r="19105" spans="26:26" x14ac:dyDescent="0.2">
      <c r="Z19105" t="str">
        <f t="shared" si="298"/>
        <v/>
      </c>
    </row>
    <row r="19106" spans="26:26" x14ac:dyDescent="0.2">
      <c r="Z19106" t="str">
        <f t="shared" si="298"/>
        <v/>
      </c>
    </row>
    <row r="19107" spans="26:26" x14ac:dyDescent="0.2">
      <c r="Z19107" t="str">
        <f t="shared" si="298"/>
        <v/>
      </c>
    </row>
    <row r="19108" spans="26:26" x14ac:dyDescent="0.2">
      <c r="Z19108" t="str">
        <f t="shared" si="298"/>
        <v/>
      </c>
    </row>
    <row r="19109" spans="26:26" x14ac:dyDescent="0.2">
      <c r="Z19109" t="str">
        <f t="shared" si="298"/>
        <v/>
      </c>
    </row>
    <row r="19110" spans="26:26" x14ac:dyDescent="0.2">
      <c r="Z19110" t="str">
        <f t="shared" si="298"/>
        <v/>
      </c>
    </row>
    <row r="19111" spans="26:26" x14ac:dyDescent="0.2">
      <c r="Z19111" t="str">
        <f t="shared" si="298"/>
        <v/>
      </c>
    </row>
    <row r="19112" spans="26:26" x14ac:dyDescent="0.2">
      <c r="Z19112" t="str">
        <f t="shared" si="298"/>
        <v/>
      </c>
    </row>
    <row r="19113" spans="26:26" x14ac:dyDescent="0.2">
      <c r="Z19113" t="str">
        <f t="shared" si="298"/>
        <v/>
      </c>
    </row>
    <row r="19114" spans="26:26" x14ac:dyDescent="0.2">
      <c r="Z19114" t="str">
        <f t="shared" si="298"/>
        <v/>
      </c>
    </row>
    <row r="19115" spans="26:26" x14ac:dyDescent="0.2">
      <c r="Z19115" t="str">
        <f t="shared" si="298"/>
        <v/>
      </c>
    </row>
    <row r="19116" spans="26:26" x14ac:dyDescent="0.2">
      <c r="Z19116" t="str">
        <f t="shared" si="298"/>
        <v/>
      </c>
    </row>
    <row r="19117" spans="26:26" x14ac:dyDescent="0.2">
      <c r="Z19117" t="str">
        <f t="shared" si="298"/>
        <v/>
      </c>
    </row>
    <row r="19118" spans="26:26" x14ac:dyDescent="0.2">
      <c r="Z19118" t="str">
        <f t="shared" si="298"/>
        <v/>
      </c>
    </row>
    <row r="19119" spans="26:26" x14ac:dyDescent="0.2">
      <c r="Z19119" t="str">
        <f t="shared" si="298"/>
        <v/>
      </c>
    </row>
    <row r="19120" spans="26:26" x14ac:dyDescent="0.2">
      <c r="Z19120" t="str">
        <f t="shared" si="298"/>
        <v/>
      </c>
    </row>
    <row r="19121" spans="26:26" x14ac:dyDescent="0.2">
      <c r="Z19121" t="str">
        <f t="shared" si="298"/>
        <v/>
      </c>
    </row>
    <row r="19122" spans="26:26" x14ac:dyDescent="0.2">
      <c r="Z19122" t="str">
        <f t="shared" si="298"/>
        <v/>
      </c>
    </row>
    <row r="19123" spans="26:26" x14ac:dyDescent="0.2">
      <c r="Z19123" t="str">
        <f t="shared" si="298"/>
        <v/>
      </c>
    </row>
    <row r="19124" spans="26:26" x14ac:dyDescent="0.2">
      <c r="Z19124" t="str">
        <f t="shared" si="298"/>
        <v/>
      </c>
    </row>
    <row r="19125" spans="26:26" x14ac:dyDescent="0.2">
      <c r="Z19125" t="str">
        <f t="shared" si="298"/>
        <v/>
      </c>
    </row>
    <row r="19126" spans="26:26" x14ac:dyDescent="0.2">
      <c r="Z19126" t="str">
        <f t="shared" si="298"/>
        <v/>
      </c>
    </row>
    <row r="19127" spans="26:26" x14ac:dyDescent="0.2">
      <c r="Z19127" t="str">
        <f t="shared" si="298"/>
        <v/>
      </c>
    </row>
    <row r="19128" spans="26:26" x14ac:dyDescent="0.2">
      <c r="Z19128" t="str">
        <f t="shared" si="298"/>
        <v/>
      </c>
    </row>
    <row r="19129" spans="26:26" x14ac:dyDescent="0.2">
      <c r="Z19129" t="str">
        <f t="shared" si="298"/>
        <v/>
      </c>
    </row>
    <row r="19130" spans="26:26" x14ac:dyDescent="0.2">
      <c r="Z19130" t="str">
        <f t="shared" si="298"/>
        <v/>
      </c>
    </row>
    <row r="19131" spans="26:26" x14ac:dyDescent="0.2">
      <c r="Z19131" t="str">
        <f t="shared" si="298"/>
        <v/>
      </c>
    </row>
    <row r="19132" spans="26:26" x14ac:dyDescent="0.2">
      <c r="Z19132" t="str">
        <f t="shared" si="298"/>
        <v/>
      </c>
    </row>
    <row r="19133" spans="26:26" x14ac:dyDescent="0.2">
      <c r="Z19133" t="str">
        <f t="shared" si="298"/>
        <v/>
      </c>
    </row>
    <row r="19134" spans="26:26" x14ac:dyDescent="0.2">
      <c r="Z19134" t="str">
        <f t="shared" si="298"/>
        <v/>
      </c>
    </row>
    <row r="19135" spans="26:26" x14ac:dyDescent="0.2">
      <c r="Z19135" t="str">
        <f t="shared" si="298"/>
        <v/>
      </c>
    </row>
    <row r="19136" spans="26:26" x14ac:dyDescent="0.2">
      <c r="Z19136" t="str">
        <f t="shared" si="298"/>
        <v/>
      </c>
    </row>
    <row r="19137" spans="26:26" x14ac:dyDescent="0.2">
      <c r="Z19137" t="str">
        <f t="shared" si="298"/>
        <v/>
      </c>
    </row>
    <row r="19138" spans="26:26" x14ac:dyDescent="0.2">
      <c r="Z19138" t="str">
        <f t="shared" si="298"/>
        <v/>
      </c>
    </row>
    <row r="19139" spans="26:26" x14ac:dyDescent="0.2">
      <c r="Z19139" t="str">
        <f t="shared" ref="Z19139:Z19202" si="299">IF(K19139="","",IFERROR(VALUE(TRIM(MID(K19139,FIND(CHAR(167),SUBSTITUTE(K19139,"-",CHAR(167),LEN(K19139)-LEN(SUBSTITUTE(K19139,"-",""))))+1,100))),K19139))</f>
        <v/>
      </c>
    </row>
    <row r="19140" spans="26:26" x14ac:dyDescent="0.2">
      <c r="Z19140" t="str">
        <f t="shared" si="299"/>
        <v/>
      </c>
    </row>
    <row r="19141" spans="26:26" x14ac:dyDescent="0.2">
      <c r="Z19141" t="str">
        <f t="shared" si="299"/>
        <v/>
      </c>
    </row>
    <row r="19142" spans="26:26" x14ac:dyDescent="0.2">
      <c r="Z19142" t="str">
        <f t="shared" si="299"/>
        <v/>
      </c>
    </row>
    <row r="19143" spans="26:26" x14ac:dyDescent="0.2">
      <c r="Z19143" t="str">
        <f t="shared" si="299"/>
        <v/>
      </c>
    </row>
    <row r="19144" spans="26:26" x14ac:dyDescent="0.2">
      <c r="Z19144" t="str">
        <f t="shared" si="299"/>
        <v/>
      </c>
    </row>
    <row r="19145" spans="26:26" x14ac:dyDescent="0.2">
      <c r="Z19145" t="str">
        <f t="shared" si="299"/>
        <v/>
      </c>
    </row>
    <row r="19146" spans="26:26" x14ac:dyDescent="0.2">
      <c r="Z19146" t="str">
        <f t="shared" si="299"/>
        <v/>
      </c>
    </row>
    <row r="19147" spans="26:26" x14ac:dyDescent="0.2">
      <c r="Z19147" t="str">
        <f t="shared" si="299"/>
        <v/>
      </c>
    </row>
    <row r="19148" spans="26:26" x14ac:dyDescent="0.2">
      <c r="Z19148" t="str">
        <f t="shared" si="299"/>
        <v/>
      </c>
    </row>
    <row r="19149" spans="26:26" x14ac:dyDescent="0.2">
      <c r="Z19149" t="str">
        <f t="shared" si="299"/>
        <v/>
      </c>
    </row>
    <row r="19150" spans="26:26" x14ac:dyDescent="0.2">
      <c r="Z19150" t="str">
        <f t="shared" si="299"/>
        <v/>
      </c>
    </row>
    <row r="19151" spans="26:26" x14ac:dyDescent="0.2">
      <c r="Z19151" t="str">
        <f t="shared" si="299"/>
        <v/>
      </c>
    </row>
    <row r="19152" spans="26:26" x14ac:dyDescent="0.2">
      <c r="Z19152" t="str">
        <f t="shared" si="299"/>
        <v/>
      </c>
    </row>
    <row r="19153" spans="26:26" x14ac:dyDescent="0.2">
      <c r="Z19153" t="str">
        <f t="shared" si="299"/>
        <v/>
      </c>
    </row>
    <row r="19154" spans="26:26" x14ac:dyDescent="0.2">
      <c r="Z19154" t="str">
        <f t="shared" si="299"/>
        <v/>
      </c>
    </row>
    <row r="19155" spans="26:26" x14ac:dyDescent="0.2">
      <c r="Z19155" t="str">
        <f t="shared" si="299"/>
        <v/>
      </c>
    </row>
    <row r="19156" spans="26:26" x14ac:dyDescent="0.2">
      <c r="Z19156" t="str">
        <f t="shared" si="299"/>
        <v/>
      </c>
    </row>
    <row r="19157" spans="26:26" x14ac:dyDescent="0.2">
      <c r="Z19157" t="str">
        <f t="shared" si="299"/>
        <v/>
      </c>
    </row>
    <row r="19158" spans="26:26" x14ac:dyDescent="0.2">
      <c r="Z19158" t="str">
        <f t="shared" si="299"/>
        <v/>
      </c>
    </row>
    <row r="19159" spans="26:26" x14ac:dyDescent="0.2">
      <c r="Z19159" t="str">
        <f t="shared" si="299"/>
        <v/>
      </c>
    </row>
    <row r="19160" spans="26:26" x14ac:dyDescent="0.2">
      <c r="Z19160" t="str">
        <f t="shared" si="299"/>
        <v/>
      </c>
    </row>
    <row r="19161" spans="26:26" x14ac:dyDescent="0.2">
      <c r="Z19161" t="str">
        <f t="shared" si="299"/>
        <v/>
      </c>
    </row>
    <row r="19162" spans="26:26" x14ac:dyDescent="0.2">
      <c r="Z19162" t="str">
        <f t="shared" si="299"/>
        <v/>
      </c>
    </row>
    <row r="19163" spans="26:26" x14ac:dyDescent="0.2">
      <c r="Z19163" t="str">
        <f t="shared" si="299"/>
        <v/>
      </c>
    </row>
    <row r="19164" spans="26:26" x14ac:dyDescent="0.2">
      <c r="Z19164" t="str">
        <f t="shared" si="299"/>
        <v/>
      </c>
    </row>
    <row r="19165" spans="26:26" x14ac:dyDescent="0.2">
      <c r="Z19165" t="str">
        <f t="shared" si="299"/>
        <v/>
      </c>
    </row>
    <row r="19166" spans="26:26" x14ac:dyDescent="0.2">
      <c r="Z19166" t="str">
        <f t="shared" si="299"/>
        <v/>
      </c>
    </row>
    <row r="19167" spans="26:26" x14ac:dyDescent="0.2">
      <c r="Z19167" t="str">
        <f t="shared" si="299"/>
        <v/>
      </c>
    </row>
    <row r="19168" spans="26:26" x14ac:dyDescent="0.2">
      <c r="Z19168" t="str">
        <f t="shared" si="299"/>
        <v/>
      </c>
    </row>
    <row r="19169" spans="26:26" x14ac:dyDescent="0.2">
      <c r="Z19169" t="str">
        <f t="shared" si="299"/>
        <v/>
      </c>
    </row>
    <row r="19170" spans="26:26" x14ac:dyDescent="0.2">
      <c r="Z19170" t="str">
        <f t="shared" si="299"/>
        <v/>
      </c>
    </row>
    <row r="19171" spans="26:26" x14ac:dyDescent="0.2">
      <c r="Z19171" t="str">
        <f t="shared" si="299"/>
        <v/>
      </c>
    </row>
    <row r="19172" spans="26:26" x14ac:dyDescent="0.2">
      <c r="Z19172" t="str">
        <f t="shared" si="299"/>
        <v/>
      </c>
    </row>
    <row r="19173" spans="26:26" x14ac:dyDescent="0.2">
      <c r="Z19173" t="str">
        <f t="shared" si="299"/>
        <v/>
      </c>
    </row>
    <row r="19174" spans="26:26" x14ac:dyDescent="0.2">
      <c r="Z19174" t="str">
        <f t="shared" si="299"/>
        <v/>
      </c>
    </row>
    <row r="19175" spans="26:26" x14ac:dyDescent="0.2">
      <c r="Z19175" t="str">
        <f t="shared" si="299"/>
        <v/>
      </c>
    </row>
    <row r="19176" spans="26:26" x14ac:dyDescent="0.2">
      <c r="Z19176" t="str">
        <f t="shared" si="299"/>
        <v/>
      </c>
    </row>
    <row r="19177" spans="26:26" x14ac:dyDescent="0.2">
      <c r="Z19177" t="str">
        <f t="shared" si="299"/>
        <v/>
      </c>
    </row>
    <row r="19178" spans="26:26" x14ac:dyDescent="0.2">
      <c r="Z19178" t="str">
        <f t="shared" si="299"/>
        <v/>
      </c>
    </row>
    <row r="19179" spans="26:26" x14ac:dyDescent="0.2">
      <c r="Z19179" t="str">
        <f t="shared" si="299"/>
        <v/>
      </c>
    </row>
    <row r="19180" spans="26:26" x14ac:dyDescent="0.2">
      <c r="Z19180" t="str">
        <f t="shared" si="299"/>
        <v/>
      </c>
    </row>
    <row r="19181" spans="26:26" x14ac:dyDescent="0.2">
      <c r="Z19181" t="str">
        <f t="shared" si="299"/>
        <v/>
      </c>
    </row>
    <row r="19182" spans="26:26" x14ac:dyDescent="0.2">
      <c r="Z19182" t="str">
        <f t="shared" si="299"/>
        <v/>
      </c>
    </row>
    <row r="19183" spans="26:26" x14ac:dyDescent="0.2">
      <c r="Z19183" t="str">
        <f t="shared" si="299"/>
        <v/>
      </c>
    </row>
    <row r="19184" spans="26:26" x14ac:dyDescent="0.2">
      <c r="Z19184" t="str">
        <f t="shared" si="299"/>
        <v/>
      </c>
    </row>
    <row r="19185" spans="26:26" x14ac:dyDescent="0.2">
      <c r="Z19185" t="str">
        <f t="shared" si="299"/>
        <v/>
      </c>
    </row>
    <row r="19186" spans="26:26" x14ac:dyDescent="0.2">
      <c r="Z19186" t="str">
        <f t="shared" si="299"/>
        <v/>
      </c>
    </row>
    <row r="19187" spans="26:26" x14ac:dyDescent="0.2">
      <c r="Z19187" t="str">
        <f t="shared" si="299"/>
        <v/>
      </c>
    </row>
    <row r="19188" spans="26:26" x14ac:dyDescent="0.2">
      <c r="Z19188" t="str">
        <f t="shared" si="299"/>
        <v/>
      </c>
    </row>
    <row r="19189" spans="26:26" x14ac:dyDescent="0.2">
      <c r="Z19189" t="str">
        <f t="shared" si="299"/>
        <v/>
      </c>
    </row>
    <row r="19190" spans="26:26" x14ac:dyDescent="0.2">
      <c r="Z19190" t="str">
        <f t="shared" si="299"/>
        <v/>
      </c>
    </row>
    <row r="19191" spans="26:26" x14ac:dyDescent="0.2">
      <c r="Z19191" t="str">
        <f t="shared" si="299"/>
        <v/>
      </c>
    </row>
    <row r="19192" spans="26:26" x14ac:dyDescent="0.2">
      <c r="Z19192" t="str">
        <f t="shared" si="299"/>
        <v/>
      </c>
    </row>
    <row r="19193" spans="26:26" x14ac:dyDescent="0.2">
      <c r="Z19193" t="str">
        <f t="shared" si="299"/>
        <v/>
      </c>
    </row>
    <row r="19194" spans="26:26" x14ac:dyDescent="0.2">
      <c r="Z19194" t="str">
        <f t="shared" si="299"/>
        <v/>
      </c>
    </row>
    <row r="19195" spans="26:26" x14ac:dyDescent="0.2">
      <c r="Z19195" t="str">
        <f t="shared" si="299"/>
        <v/>
      </c>
    </row>
    <row r="19196" spans="26:26" x14ac:dyDescent="0.2">
      <c r="Z19196" t="str">
        <f t="shared" si="299"/>
        <v/>
      </c>
    </row>
    <row r="19197" spans="26:26" x14ac:dyDescent="0.2">
      <c r="Z19197" t="str">
        <f t="shared" si="299"/>
        <v/>
      </c>
    </row>
    <row r="19198" spans="26:26" x14ac:dyDescent="0.2">
      <c r="Z19198" t="str">
        <f t="shared" si="299"/>
        <v/>
      </c>
    </row>
    <row r="19199" spans="26:26" x14ac:dyDescent="0.2">
      <c r="Z19199" t="str">
        <f t="shared" si="299"/>
        <v/>
      </c>
    </row>
    <row r="19200" spans="26:26" x14ac:dyDescent="0.2">
      <c r="Z19200" t="str">
        <f t="shared" si="299"/>
        <v/>
      </c>
    </row>
    <row r="19201" spans="26:26" x14ac:dyDescent="0.2">
      <c r="Z19201" t="str">
        <f t="shared" si="299"/>
        <v/>
      </c>
    </row>
    <row r="19202" spans="26:26" x14ac:dyDescent="0.2">
      <c r="Z19202" t="str">
        <f t="shared" si="299"/>
        <v/>
      </c>
    </row>
    <row r="19203" spans="26:26" x14ac:dyDescent="0.2">
      <c r="Z19203" t="str">
        <f t="shared" ref="Z19203:Z19266" si="300">IF(K19203="","",IFERROR(VALUE(TRIM(MID(K19203,FIND(CHAR(167),SUBSTITUTE(K19203,"-",CHAR(167),LEN(K19203)-LEN(SUBSTITUTE(K19203,"-",""))))+1,100))),K19203))</f>
        <v/>
      </c>
    </row>
    <row r="19204" spans="26:26" x14ac:dyDescent="0.2">
      <c r="Z19204" t="str">
        <f t="shared" si="300"/>
        <v/>
      </c>
    </row>
    <row r="19205" spans="26:26" x14ac:dyDescent="0.2">
      <c r="Z19205" t="str">
        <f t="shared" si="300"/>
        <v/>
      </c>
    </row>
    <row r="19206" spans="26:26" x14ac:dyDescent="0.2">
      <c r="Z19206" t="str">
        <f t="shared" si="300"/>
        <v/>
      </c>
    </row>
    <row r="19207" spans="26:26" x14ac:dyDescent="0.2">
      <c r="Z19207" t="str">
        <f t="shared" si="300"/>
        <v/>
      </c>
    </row>
    <row r="19208" spans="26:26" x14ac:dyDescent="0.2">
      <c r="Z19208" t="str">
        <f t="shared" si="300"/>
        <v/>
      </c>
    </row>
    <row r="19209" spans="26:26" x14ac:dyDescent="0.2">
      <c r="Z19209" t="str">
        <f t="shared" si="300"/>
        <v/>
      </c>
    </row>
    <row r="19210" spans="26:26" x14ac:dyDescent="0.2">
      <c r="Z19210" t="str">
        <f t="shared" si="300"/>
        <v/>
      </c>
    </row>
    <row r="19211" spans="26:26" x14ac:dyDescent="0.2">
      <c r="Z19211" t="str">
        <f t="shared" si="300"/>
        <v/>
      </c>
    </row>
    <row r="19212" spans="26:26" x14ac:dyDescent="0.2">
      <c r="Z19212" t="str">
        <f t="shared" si="300"/>
        <v/>
      </c>
    </row>
    <row r="19213" spans="26:26" x14ac:dyDescent="0.2">
      <c r="Z19213" t="str">
        <f t="shared" si="300"/>
        <v/>
      </c>
    </row>
    <row r="19214" spans="26:26" x14ac:dyDescent="0.2">
      <c r="Z19214" t="str">
        <f t="shared" si="300"/>
        <v/>
      </c>
    </row>
    <row r="19215" spans="26:26" x14ac:dyDescent="0.2">
      <c r="Z19215" t="str">
        <f t="shared" si="300"/>
        <v/>
      </c>
    </row>
    <row r="19216" spans="26:26" x14ac:dyDescent="0.2">
      <c r="Z19216" t="str">
        <f t="shared" si="300"/>
        <v/>
      </c>
    </row>
    <row r="19217" spans="26:26" x14ac:dyDescent="0.2">
      <c r="Z19217" t="str">
        <f t="shared" si="300"/>
        <v/>
      </c>
    </row>
    <row r="19218" spans="26:26" x14ac:dyDescent="0.2">
      <c r="Z19218" t="str">
        <f t="shared" si="300"/>
        <v/>
      </c>
    </row>
    <row r="19219" spans="26:26" x14ac:dyDescent="0.2">
      <c r="Z19219" t="str">
        <f t="shared" si="300"/>
        <v/>
      </c>
    </row>
    <row r="19220" spans="26:26" x14ac:dyDescent="0.2">
      <c r="Z19220" t="str">
        <f t="shared" si="300"/>
        <v/>
      </c>
    </row>
    <row r="19221" spans="26:26" x14ac:dyDescent="0.2">
      <c r="Z19221" t="str">
        <f t="shared" si="300"/>
        <v/>
      </c>
    </row>
    <row r="19222" spans="26:26" x14ac:dyDescent="0.2">
      <c r="Z19222" t="str">
        <f t="shared" si="300"/>
        <v/>
      </c>
    </row>
    <row r="19223" spans="26:26" x14ac:dyDescent="0.2">
      <c r="Z19223" t="str">
        <f t="shared" si="300"/>
        <v/>
      </c>
    </row>
    <row r="19224" spans="26:26" x14ac:dyDescent="0.2">
      <c r="Z19224" t="str">
        <f t="shared" si="300"/>
        <v/>
      </c>
    </row>
    <row r="19225" spans="26:26" x14ac:dyDescent="0.2">
      <c r="Z19225" t="str">
        <f t="shared" si="300"/>
        <v/>
      </c>
    </row>
    <row r="19226" spans="26:26" x14ac:dyDescent="0.2">
      <c r="Z19226" t="str">
        <f t="shared" si="300"/>
        <v/>
      </c>
    </row>
    <row r="19227" spans="26:26" x14ac:dyDescent="0.2">
      <c r="Z19227" t="str">
        <f t="shared" si="300"/>
        <v/>
      </c>
    </row>
    <row r="19228" spans="26:26" x14ac:dyDescent="0.2">
      <c r="Z19228" t="str">
        <f t="shared" si="300"/>
        <v/>
      </c>
    </row>
    <row r="19229" spans="26:26" x14ac:dyDescent="0.2">
      <c r="Z19229" t="str">
        <f t="shared" si="300"/>
        <v/>
      </c>
    </row>
    <row r="19230" spans="26:26" x14ac:dyDescent="0.2">
      <c r="Z19230" t="str">
        <f t="shared" si="300"/>
        <v/>
      </c>
    </row>
    <row r="19231" spans="26:26" x14ac:dyDescent="0.2">
      <c r="Z19231" t="str">
        <f t="shared" si="300"/>
        <v/>
      </c>
    </row>
    <row r="19232" spans="26:26" x14ac:dyDescent="0.2">
      <c r="Z19232" t="str">
        <f t="shared" si="300"/>
        <v/>
      </c>
    </row>
    <row r="19233" spans="26:26" x14ac:dyDescent="0.2">
      <c r="Z19233" t="str">
        <f t="shared" si="300"/>
        <v/>
      </c>
    </row>
    <row r="19234" spans="26:26" x14ac:dyDescent="0.2">
      <c r="Z19234" t="str">
        <f t="shared" si="300"/>
        <v/>
      </c>
    </row>
    <row r="19235" spans="26:26" x14ac:dyDescent="0.2">
      <c r="Z19235" t="str">
        <f t="shared" si="300"/>
        <v/>
      </c>
    </row>
    <row r="19236" spans="26:26" x14ac:dyDescent="0.2">
      <c r="Z19236" t="str">
        <f t="shared" si="300"/>
        <v/>
      </c>
    </row>
    <row r="19237" spans="26:26" x14ac:dyDescent="0.2">
      <c r="Z19237" t="str">
        <f t="shared" si="300"/>
        <v/>
      </c>
    </row>
    <row r="19238" spans="26:26" x14ac:dyDescent="0.2">
      <c r="Z19238" t="str">
        <f t="shared" si="300"/>
        <v/>
      </c>
    </row>
    <row r="19239" spans="26:26" x14ac:dyDescent="0.2">
      <c r="Z19239" t="str">
        <f t="shared" si="300"/>
        <v/>
      </c>
    </row>
    <row r="19240" spans="26:26" x14ac:dyDescent="0.2">
      <c r="Z19240" t="str">
        <f t="shared" si="300"/>
        <v/>
      </c>
    </row>
    <row r="19241" spans="26:26" x14ac:dyDescent="0.2">
      <c r="Z19241" t="str">
        <f t="shared" si="300"/>
        <v/>
      </c>
    </row>
    <row r="19242" spans="26:26" x14ac:dyDescent="0.2">
      <c r="Z19242" t="str">
        <f t="shared" si="300"/>
        <v/>
      </c>
    </row>
    <row r="19243" spans="26:26" x14ac:dyDescent="0.2">
      <c r="Z19243" t="str">
        <f t="shared" si="300"/>
        <v/>
      </c>
    </row>
    <row r="19244" spans="26:26" x14ac:dyDescent="0.2">
      <c r="Z19244" t="str">
        <f t="shared" si="300"/>
        <v/>
      </c>
    </row>
    <row r="19245" spans="26:26" x14ac:dyDescent="0.2">
      <c r="Z19245" t="str">
        <f t="shared" si="300"/>
        <v/>
      </c>
    </row>
    <row r="19246" spans="26:26" x14ac:dyDescent="0.2">
      <c r="Z19246" t="str">
        <f t="shared" si="300"/>
        <v/>
      </c>
    </row>
    <row r="19247" spans="26:26" x14ac:dyDescent="0.2">
      <c r="Z19247" t="str">
        <f t="shared" si="300"/>
        <v/>
      </c>
    </row>
    <row r="19248" spans="26:26" x14ac:dyDescent="0.2">
      <c r="Z19248" t="str">
        <f t="shared" si="300"/>
        <v/>
      </c>
    </row>
    <row r="19249" spans="26:26" x14ac:dyDescent="0.2">
      <c r="Z19249" t="str">
        <f t="shared" si="300"/>
        <v/>
      </c>
    </row>
    <row r="19250" spans="26:26" x14ac:dyDescent="0.2">
      <c r="Z19250" t="str">
        <f t="shared" si="300"/>
        <v/>
      </c>
    </row>
    <row r="19251" spans="26:26" x14ac:dyDescent="0.2">
      <c r="Z19251" t="str">
        <f t="shared" si="300"/>
        <v/>
      </c>
    </row>
    <row r="19252" spans="26:26" x14ac:dyDescent="0.2">
      <c r="Z19252" t="str">
        <f t="shared" si="300"/>
        <v/>
      </c>
    </row>
    <row r="19253" spans="26:26" x14ac:dyDescent="0.2">
      <c r="Z19253" t="str">
        <f t="shared" si="300"/>
        <v/>
      </c>
    </row>
    <row r="19254" spans="26:26" x14ac:dyDescent="0.2">
      <c r="Z19254" t="str">
        <f t="shared" si="300"/>
        <v/>
      </c>
    </row>
    <row r="19255" spans="26:26" x14ac:dyDescent="0.2">
      <c r="Z19255" t="str">
        <f t="shared" si="300"/>
        <v/>
      </c>
    </row>
    <row r="19256" spans="26:26" x14ac:dyDescent="0.2">
      <c r="Z19256" t="str">
        <f t="shared" si="300"/>
        <v/>
      </c>
    </row>
    <row r="19257" spans="26:26" x14ac:dyDescent="0.2">
      <c r="Z19257" t="str">
        <f t="shared" si="300"/>
        <v/>
      </c>
    </row>
    <row r="19258" spans="26:26" x14ac:dyDescent="0.2">
      <c r="Z19258" t="str">
        <f t="shared" si="300"/>
        <v/>
      </c>
    </row>
    <row r="19259" spans="26:26" x14ac:dyDescent="0.2">
      <c r="Z19259" t="str">
        <f t="shared" si="300"/>
        <v/>
      </c>
    </row>
    <row r="19260" spans="26:26" x14ac:dyDescent="0.2">
      <c r="Z19260" t="str">
        <f t="shared" si="300"/>
        <v/>
      </c>
    </row>
    <row r="19261" spans="26:26" x14ac:dyDescent="0.2">
      <c r="Z19261" t="str">
        <f t="shared" si="300"/>
        <v/>
      </c>
    </row>
    <row r="19262" spans="26:26" x14ac:dyDescent="0.2">
      <c r="Z19262" t="str">
        <f t="shared" si="300"/>
        <v/>
      </c>
    </row>
    <row r="19263" spans="26:26" x14ac:dyDescent="0.2">
      <c r="Z19263" t="str">
        <f t="shared" si="300"/>
        <v/>
      </c>
    </row>
    <row r="19264" spans="26:26" x14ac:dyDescent="0.2">
      <c r="Z19264" t="str">
        <f t="shared" si="300"/>
        <v/>
      </c>
    </row>
    <row r="19265" spans="26:26" x14ac:dyDescent="0.2">
      <c r="Z19265" t="str">
        <f t="shared" si="300"/>
        <v/>
      </c>
    </row>
    <row r="19266" spans="26:26" x14ac:dyDescent="0.2">
      <c r="Z19266" t="str">
        <f t="shared" si="300"/>
        <v/>
      </c>
    </row>
    <row r="19267" spans="26:26" x14ac:dyDescent="0.2">
      <c r="Z19267" t="str">
        <f t="shared" ref="Z19267:Z19330" si="301">IF(K19267="","",IFERROR(VALUE(TRIM(MID(K19267,FIND(CHAR(167),SUBSTITUTE(K19267,"-",CHAR(167),LEN(K19267)-LEN(SUBSTITUTE(K19267,"-",""))))+1,100))),K19267))</f>
        <v/>
      </c>
    </row>
    <row r="19268" spans="26:26" x14ac:dyDescent="0.2">
      <c r="Z19268" t="str">
        <f t="shared" si="301"/>
        <v/>
      </c>
    </row>
    <row r="19269" spans="26:26" x14ac:dyDescent="0.2">
      <c r="Z19269" t="str">
        <f t="shared" si="301"/>
        <v/>
      </c>
    </row>
    <row r="19270" spans="26:26" x14ac:dyDescent="0.2">
      <c r="Z19270" t="str">
        <f t="shared" si="301"/>
        <v/>
      </c>
    </row>
    <row r="19271" spans="26:26" x14ac:dyDescent="0.2">
      <c r="Z19271" t="str">
        <f t="shared" si="301"/>
        <v/>
      </c>
    </row>
    <row r="19272" spans="26:26" x14ac:dyDescent="0.2">
      <c r="Z19272" t="str">
        <f t="shared" si="301"/>
        <v/>
      </c>
    </row>
    <row r="19273" spans="26:26" x14ac:dyDescent="0.2">
      <c r="Z19273" t="str">
        <f t="shared" si="301"/>
        <v/>
      </c>
    </row>
    <row r="19274" spans="26:26" x14ac:dyDescent="0.2">
      <c r="Z19274" t="str">
        <f t="shared" si="301"/>
        <v/>
      </c>
    </row>
    <row r="19275" spans="26:26" x14ac:dyDescent="0.2">
      <c r="Z19275" t="str">
        <f t="shared" si="301"/>
        <v/>
      </c>
    </row>
    <row r="19276" spans="26:26" x14ac:dyDescent="0.2">
      <c r="Z19276" t="str">
        <f t="shared" si="301"/>
        <v/>
      </c>
    </row>
    <row r="19277" spans="26:26" x14ac:dyDescent="0.2">
      <c r="Z19277" t="str">
        <f t="shared" si="301"/>
        <v/>
      </c>
    </row>
    <row r="19278" spans="26:26" x14ac:dyDescent="0.2">
      <c r="Z19278" t="str">
        <f t="shared" si="301"/>
        <v/>
      </c>
    </row>
    <row r="19279" spans="26:26" x14ac:dyDescent="0.2">
      <c r="Z19279" t="str">
        <f t="shared" si="301"/>
        <v/>
      </c>
    </row>
    <row r="19280" spans="26:26" x14ac:dyDescent="0.2">
      <c r="Z19280" t="str">
        <f t="shared" si="301"/>
        <v/>
      </c>
    </row>
    <row r="19281" spans="26:26" x14ac:dyDescent="0.2">
      <c r="Z19281" t="str">
        <f t="shared" si="301"/>
        <v/>
      </c>
    </row>
    <row r="19282" spans="26:26" x14ac:dyDescent="0.2">
      <c r="Z19282" t="str">
        <f t="shared" si="301"/>
        <v/>
      </c>
    </row>
    <row r="19283" spans="26:26" x14ac:dyDescent="0.2">
      <c r="Z19283" t="str">
        <f t="shared" si="301"/>
        <v/>
      </c>
    </row>
    <row r="19284" spans="26:26" x14ac:dyDescent="0.2">
      <c r="Z19284" t="str">
        <f t="shared" si="301"/>
        <v/>
      </c>
    </row>
    <row r="19285" spans="26:26" x14ac:dyDescent="0.2">
      <c r="Z19285" t="str">
        <f t="shared" si="301"/>
        <v/>
      </c>
    </row>
    <row r="19286" spans="26:26" x14ac:dyDescent="0.2">
      <c r="Z19286" t="str">
        <f t="shared" si="301"/>
        <v/>
      </c>
    </row>
    <row r="19287" spans="26:26" x14ac:dyDescent="0.2">
      <c r="Z19287" t="str">
        <f t="shared" si="301"/>
        <v/>
      </c>
    </row>
    <row r="19288" spans="26:26" x14ac:dyDescent="0.2">
      <c r="Z19288" t="str">
        <f t="shared" si="301"/>
        <v/>
      </c>
    </row>
    <row r="19289" spans="26:26" x14ac:dyDescent="0.2">
      <c r="Z19289" t="str">
        <f t="shared" si="301"/>
        <v/>
      </c>
    </row>
    <row r="19290" spans="26:26" x14ac:dyDescent="0.2">
      <c r="Z19290" t="str">
        <f t="shared" si="301"/>
        <v/>
      </c>
    </row>
    <row r="19291" spans="26:26" x14ac:dyDescent="0.2">
      <c r="Z19291" t="str">
        <f t="shared" si="301"/>
        <v/>
      </c>
    </row>
    <row r="19292" spans="26:26" x14ac:dyDescent="0.2">
      <c r="Z19292" t="str">
        <f t="shared" si="301"/>
        <v/>
      </c>
    </row>
    <row r="19293" spans="26:26" x14ac:dyDescent="0.2">
      <c r="Z19293" t="str">
        <f t="shared" si="301"/>
        <v/>
      </c>
    </row>
    <row r="19294" spans="26:26" x14ac:dyDescent="0.2">
      <c r="Z19294" t="str">
        <f t="shared" si="301"/>
        <v/>
      </c>
    </row>
    <row r="19295" spans="26:26" x14ac:dyDescent="0.2">
      <c r="Z19295" t="str">
        <f t="shared" si="301"/>
        <v/>
      </c>
    </row>
    <row r="19296" spans="26:26" x14ac:dyDescent="0.2">
      <c r="Z19296" t="str">
        <f t="shared" si="301"/>
        <v/>
      </c>
    </row>
    <row r="19297" spans="26:26" x14ac:dyDescent="0.2">
      <c r="Z19297" t="str">
        <f t="shared" si="301"/>
        <v/>
      </c>
    </row>
    <row r="19298" spans="26:26" x14ac:dyDescent="0.2">
      <c r="Z19298" t="str">
        <f t="shared" si="301"/>
        <v/>
      </c>
    </row>
    <row r="19299" spans="26:26" x14ac:dyDescent="0.2">
      <c r="Z19299" t="str">
        <f t="shared" si="301"/>
        <v/>
      </c>
    </row>
    <row r="19300" spans="26:26" x14ac:dyDescent="0.2">
      <c r="Z19300" t="str">
        <f t="shared" si="301"/>
        <v/>
      </c>
    </row>
    <row r="19301" spans="26:26" x14ac:dyDescent="0.2">
      <c r="Z19301" t="str">
        <f t="shared" si="301"/>
        <v/>
      </c>
    </row>
    <row r="19302" spans="26:26" x14ac:dyDescent="0.2">
      <c r="Z19302" t="str">
        <f t="shared" si="301"/>
        <v/>
      </c>
    </row>
    <row r="19303" spans="26:26" x14ac:dyDescent="0.2">
      <c r="Z19303" t="str">
        <f t="shared" si="301"/>
        <v/>
      </c>
    </row>
    <row r="19304" spans="26:26" x14ac:dyDescent="0.2">
      <c r="Z19304" t="str">
        <f t="shared" si="301"/>
        <v/>
      </c>
    </row>
    <row r="19305" spans="26:26" x14ac:dyDescent="0.2">
      <c r="Z19305" t="str">
        <f t="shared" si="301"/>
        <v/>
      </c>
    </row>
    <row r="19306" spans="26:26" x14ac:dyDescent="0.2">
      <c r="Z19306" t="str">
        <f t="shared" si="301"/>
        <v/>
      </c>
    </row>
    <row r="19307" spans="26:26" x14ac:dyDescent="0.2">
      <c r="Z19307" t="str">
        <f t="shared" si="301"/>
        <v/>
      </c>
    </row>
    <row r="19308" spans="26:26" x14ac:dyDescent="0.2">
      <c r="Z19308" t="str">
        <f t="shared" si="301"/>
        <v/>
      </c>
    </row>
    <row r="19309" spans="26:26" x14ac:dyDescent="0.2">
      <c r="Z19309" t="str">
        <f t="shared" si="301"/>
        <v/>
      </c>
    </row>
    <row r="19310" spans="26:26" x14ac:dyDescent="0.2">
      <c r="Z19310" t="str">
        <f t="shared" si="301"/>
        <v/>
      </c>
    </row>
    <row r="19311" spans="26:26" x14ac:dyDescent="0.2">
      <c r="Z19311" t="str">
        <f t="shared" si="301"/>
        <v/>
      </c>
    </row>
    <row r="19312" spans="26:26" x14ac:dyDescent="0.2">
      <c r="Z19312" t="str">
        <f t="shared" si="301"/>
        <v/>
      </c>
    </row>
    <row r="19313" spans="26:26" x14ac:dyDescent="0.2">
      <c r="Z19313" t="str">
        <f t="shared" si="301"/>
        <v/>
      </c>
    </row>
    <row r="19314" spans="26:26" x14ac:dyDescent="0.2">
      <c r="Z19314" t="str">
        <f t="shared" si="301"/>
        <v/>
      </c>
    </row>
    <row r="19315" spans="26:26" x14ac:dyDescent="0.2">
      <c r="Z19315" t="str">
        <f t="shared" si="301"/>
        <v/>
      </c>
    </row>
    <row r="19316" spans="26:26" x14ac:dyDescent="0.2">
      <c r="Z19316" t="str">
        <f t="shared" si="301"/>
        <v/>
      </c>
    </row>
    <row r="19317" spans="26:26" x14ac:dyDescent="0.2">
      <c r="Z19317" t="str">
        <f t="shared" si="301"/>
        <v/>
      </c>
    </row>
    <row r="19318" spans="26:26" x14ac:dyDescent="0.2">
      <c r="Z19318" t="str">
        <f t="shared" si="301"/>
        <v/>
      </c>
    </row>
    <row r="19319" spans="26:26" x14ac:dyDescent="0.2">
      <c r="Z19319" t="str">
        <f t="shared" si="301"/>
        <v/>
      </c>
    </row>
    <row r="19320" spans="26:26" x14ac:dyDescent="0.2">
      <c r="Z19320" t="str">
        <f t="shared" si="301"/>
        <v/>
      </c>
    </row>
    <row r="19321" spans="26:26" x14ac:dyDescent="0.2">
      <c r="Z19321" t="str">
        <f t="shared" si="301"/>
        <v/>
      </c>
    </row>
    <row r="19322" spans="26:26" x14ac:dyDescent="0.2">
      <c r="Z19322" t="str">
        <f t="shared" si="301"/>
        <v/>
      </c>
    </row>
    <row r="19323" spans="26:26" x14ac:dyDescent="0.2">
      <c r="Z19323" t="str">
        <f t="shared" si="301"/>
        <v/>
      </c>
    </row>
    <row r="19324" spans="26:26" x14ac:dyDescent="0.2">
      <c r="Z19324" t="str">
        <f t="shared" si="301"/>
        <v/>
      </c>
    </row>
    <row r="19325" spans="26:26" x14ac:dyDescent="0.2">
      <c r="Z19325" t="str">
        <f t="shared" si="301"/>
        <v/>
      </c>
    </row>
    <row r="19326" spans="26:26" x14ac:dyDescent="0.2">
      <c r="Z19326" t="str">
        <f t="shared" si="301"/>
        <v/>
      </c>
    </row>
    <row r="19327" spans="26:26" x14ac:dyDescent="0.2">
      <c r="Z19327" t="str">
        <f t="shared" si="301"/>
        <v/>
      </c>
    </row>
    <row r="19328" spans="26:26" x14ac:dyDescent="0.2">
      <c r="Z19328" t="str">
        <f t="shared" si="301"/>
        <v/>
      </c>
    </row>
    <row r="19329" spans="26:26" x14ac:dyDescent="0.2">
      <c r="Z19329" t="str">
        <f t="shared" si="301"/>
        <v/>
      </c>
    </row>
    <row r="19330" spans="26:26" x14ac:dyDescent="0.2">
      <c r="Z19330" t="str">
        <f t="shared" si="301"/>
        <v/>
      </c>
    </row>
    <row r="19331" spans="26:26" x14ac:dyDescent="0.2">
      <c r="Z19331" t="str">
        <f t="shared" ref="Z19331:Z19394" si="302">IF(K19331="","",IFERROR(VALUE(TRIM(MID(K19331,FIND(CHAR(167),SUBSTITUTE(K19331,"-",CHAR(167),LEN(K19331)-LEN(SUBSTITUTE(K19331,"-",""))))+1,100))),K19331))</f>
        <v/>
      </c>
    </row>
    <row r="19332" spans="26:26" x14ac:dyDescent="0.2">
      <c r="Z19332" t="str">
        <f t="shared" si="302"/>
        <v/>
      </c>
    </row>
    <row r="19333" spans="26:26" x14ac:dyDescent="0.2">
      <c r="Z19333" t="str">
        <f t="shared" si="302"/>
        <v/>
      </c>
    </row>
    <row r="19334" spans="26:26" x14ac:dyDescent="0.2">
      <c r="Z19334" t="str">
        <f t="shared" si="302"/>
        <v/>
      </c>
    </row>
    <row r="19335" spans="26:26" x14ac:dyDescent="0.2">
      <c r="Z19335" t="str">
        <f t="shared" si="302"/>
        <v/>
      </c>
    </row>
    <row r="19336" spans="26:26" x14ac:dyDescent="0.2">
      <c r="Z19336" t="str">
        <f t="shared" si="302"/>
        <v/>
      </c>
    </row>
    <row r="19337" spans="26:26" x14ac:dyDescent="0.2">
      <c r="Z19337" t="str">
        <f t="shared" si="302"/>
        <v/>
      </c>
    </row>
    <row r="19338" spans="26:26" x14ac:dyDescent="0.2">
      <c r="Z19338" t="str">
        <f t="shared" si="302"/>
        <v/>
      </c>
    </row>
    <row r="19339" spans="26:26" x14ac:dyDescent="0.2">
      <c r="Z19339" t="str">
        <f t="shared" si="302"/>
        <v/>
      </c>
    </row>
    <row r="19340" spans="26:26" x14ac:dyDescent="0.2">
      <c r="Z19340" t="str">
        <f t="shared" si="302"/>
        <v/>
      </c>
    </row>
    <row r="19341" spans="26:26" x14ac:dyDescent="0.2">
      <c r="Z19341" t="str">
        <f t="shared" si="302"/>
        <v/>
      </c>
    </row>
    <row r="19342" spans="26:26" x14ac:dyDescent="0.2">
      <c r="Z19342" t="str">
        <f t="shared" si="302"/>
        <v/>
      </c>
    </row>
    <row r="19343" spans="26:26" x14ac:dyDescent="0.2">
      <c r="Z19343" t="str">
        <f t="shared" si="302"/>
        <v/>
      </c>
    </row>
    <row r="19344" spans="26:26" x14ac:dyDescent="0.2">
      <c r="Z19344" t="str">
        <f t="shared" si="302"/>
        <v/>
      </c>
    </row>
    <row r="19345" spans="26:26" x14ac:dyDescent="0.2">
      <c r="Z19345" t="str">
        <f t="shared" si="302"/>
        <v/>
      </c>
    </row>
    <row r="19346" spans="26:26" x14ac:dyDescent="0.2">
      <c r="Z19346" t="str">
        <f t="shared" si="302"/>
        <v/>
      </c>
    </row>
    <row r="19347" spans="26:26" x14ac:dyDescent="0.2">
      <c r="Z19347" t="str">
        <f t="shared" si="302"/>
        <v/>
      </c>
    </row>
    <row r="19348" spans="26:26" x14ac:dyDescent="0.2">
      <c r="Z19348" t="str">
        <f t="shared" si="302"/>
        <v/>
      </c>
    </row>
    <row r="19349" spans="26:26" x14ac:dyDescent="0.2">
      <c r="Z19349" t="str">
        <f t="shared" si="302"/>
        <v/>
      </c>
    </row>
    <row r="19350" spans="26:26" x14ac:dyDescent="0.2">
      <c r="Z19350" t="str">
        <f t="shared" si="302"/>
        <v/>
      </c>
    </row>
    <row r="19351" spans="26:26" x14ac:dyDescent="0.2">
      <c r="Z19351" t="str">
        <f t="shared" si="302"/>
        <v/>
      </c>
    </row>
    <row r="19352" spans="26:26" x14ac:dyDescent="0.2">
      <c r="Z19352" t="str">
        <f t="shared" si="302"/>
        <v/>
      </c>
    </row>
    <row r="19353" spans="26:26" x14ac:dyDescent="0.2">
      <c r="Z19353" t="str">
        <f t="shared" si="302"/>
        <v/>
      </c>
    </row>
    <row r="19354" spans="26:26" x14ac:dyDescent="0.2">
      <c r="Z19354" t="str">
        <f t="shared" si="302"/>
        <v/>
      </c>
    </row>
    <row r="19355" spans="26:26" x14ac:dyDescent="0.2">
      <c r="Z19355" t="str">
        <f t="shared" si="302"/>
        <v/>
      </c>
    </row>
    <row r="19356" spans="26:26" x14ac:dyDescent="0.2">
      <c r="Z19356" t="str">
        <f t="shared" si="302"/>
        <v/>
      </c>
    </row>
    <row r="19357" spans="26:26" x14ac:dyDescent="0.2">
      <c r="Z19357" t="str">
        <f t="shared" si="302"/>
        <v/>
      </c>
    </row>
    <row r="19358" spans="26:26" x14ac:dyDescent="0.2">
      <c r="Z19358" t="str">
        <f t="shared" si="302"/>
        <v/>
      </c>
    </row>
    <row r="19359" spans="26:26" x14ac:dyDescent="0.2">
      <c r="Z19359" t="str">
        <f t="shared" si="302"/>
        <v/>
      </c>
    </row>
    <row r="19360" spans="26:26" x14ac:dyDescent="0.2">
      <c r="Z19360" t="str">
        <f t="shared" si="302"/>
        <v/>
      </c>
    </row>
    <row r="19361" spans="26:26" x14ac:dyDescent="0.2">
      <c r="Z19361" t="str">
        <f t="shared" si="302"/>
        <v/>
      </c>
    </row>
    <row r="19362" spans="26:26" x14ac:dyDescent="0.2">
      <c r="Z19362" t="str">
        <f t="shared" si="302"/>
        <v/>
      </c>
    </row>
    <row r="19363" spans="26:26" x14ac:dyDescent="0.2">
      <c r="Z19363" t="str">
        <f t="shared" si="302"/>
        <v/>
      </c>
    </row>
    <row r="19364" spans="26:26" x14ac:dyDescent="0.2">
      <c r="Z19364" t="str">
        <f t="shared" si="302"/>
        <v/>
      </c>
    </row>
    <row r="19365" spans="26:26" x14ac:dyDescent="0.2">
      <c r="Z19365" t="str">
        <f t="shared" si="302"/>
        <v/>
      </c>
    </row>
    <row r="19366" spans="26:26" x14ac:dyDescent="0.2">
      <c r="Z19366" t="str">
        <f t="shared" si="302"/>
        <v/>
      </c>
    </row>
    <row r="19367" spans="26:26" x14ac:dyDescent="0.2">
      <c r="Z19367" t="str">
        <f t="shared" si="302"/>
        <v/>
      </c>
    </row>
    <row r="19368" spans="26:26" x14ac:dyDescent="0.2">
      <c r="Z19368" t="str">
        <f t="shared" si="302"/>
        <v/>
      </c>
    </row>
    <row r="19369" spans="26:26" x14ac:dyDescent="0.2">
      <c r="Z19369" t="str">
        <f t="shared" si="302"/>
        <v/>
      </c>
    </row>
    <row r="19370" spans="26:26" x14ac:dyDescent="0.2">
      <c r="Z19370" t="str">
        <f t="shared" si="302"/>
        <v/>
      </c>
    </row>
    <row r="19371" spans="26:26" x14ac:dyDescent="0.2">
      <c r="Z19371" t="str">
        <f t="shared" si="302"/>
        <v/>
      </c>
    </row>
    <row r="19372" spans="26:26" x14ac:dyDescent="0.2">
      <c r="Z19372" t="str">
        <f t="shared" si="302"/>
        <v/>
      </c>
    </row>
    <row r="19373" spans="26:26" x14ac:dyDescent="0.2">
      <c r="Z19373" t="str">
        <f t="shared" si="302"/>
        <v/>
      </c>
    </row>
    <row r="19374" spans="26:26" x14ac:dyDescent="0.2">
      <c r="Z19374" t="str">
        <f t="shared" si="302"/>
        <v/>
      </c>
    </row>
    <row r="19375" spans="26:26" x14ac:dyDescent="0.2">
      <c r="Z19375" t="str">
        <f t="shared" si="302"/>
        <v/>
      </c>
    </row>
    <row r="19376" spans="26:26" x14ac:dyDescent="0.2">
      <c r="Z19376" t="str">
        <f t="shared" si="302"/>
        <v/>
      </c>
    </row>
    <row r="19377" spans="26:26" x14ac:dyDescent="0.2">
      <c r="Z19377" t="str">
        <f t="shared" si="302"/>
        <v/>
      </c>
    </row>
    <row r="19378" spans="26:26" x14ac:dyDescent="0.2">
      <c r="Z19378" t="str">
        <f t="shared" si="302"/>
        <v/>
      </c>
    </row>
    <row r="19379" spans="26:26" x14ac:dyDescent="0.2">
      <c r="Z19379" t="str">
        <f t="shared" si="302"/>
        <v/>
      </c>
    </row>
    <row r="19380" spans="26:26" x14ac:dyDescent="0.2">
      <c r="Z19380" t="str">
        <f t="shared" si="302"/>
        <v/>
      </c>
    </row>
    <row r="19381" spans="26:26" x14ac:dyDescent="0.2">
      <c r="Z19381" t="str">
        <f t="shared" si="302"/>
        <v/>
      </c>
    </row>
    <row r="19382" spans="26:26" x14ac:dyDescent="0.2">
      <c r="Z19382" t="str">
        <f t="shared" si="302"/>
        <v/>
      </c>
    </row>
    <row r="19383" spans="26:26" x14ac:dyDescent="0.2">
      <c r="Z19383" t="str">
        <f t="shared" si="302"/>
        <v/>
      </c>
    </row>
    <row r="19384" spans="26:26" x14ac:dyDescent="0.2">
      <c r="Z19384" t="str">
        <f t="shared" si="302"/>
        <v/>
      </c>
    </row>
    <row r="19385" spans="26:26" x14ac:dyDescent="0.2">
      <c r="Z19385" t="str">
        <f t="shared" si="302"/>
        <v/>
      </c>
    </row>
    <row r="19386" spans="26:26" x14ac:dyDescent="0.2">
      <c r="Z19386" t="str">
        <f t="shared" si="302"/>
        <v/>
      </c>
    </row>
    <row r="19387" spans="26:26" x14ac:dyDescent="0.2">
      <c r="Z19387" t="str">
        <f t="shared" si="302"/>
        <v/>
      </c>
    </row>
    <row r="19388" spans="26:26" x14ac:dyDescent="0.2">
      <c r="Z19388" t="str">
        <f t="shared" si="302"/>
        <v/>
      </c>
    </row>
    <row r="19389" spans="26:26" x14ac:dyDescent="0.2">
      <c r="Z19389" t="str">
        <f t="shared" si="302"/>
        <v/>
      </c>
    </row>
    <row r="19390" spans="26:26" x14ac:dyDescent="0.2">
      <c r="Z19390" t="str">
        <f t="shared" si="302"/>
        <v/>
      </c>
    </row>
    <row r="19391" spans="26:26" x14ac:dyDescent="0.2">
      <c r="Z19391" t="str">
        <f t="shared" si="302"/>
        <v/>
      </c>
    </row>
    <row r="19392" spans="26:26" x14ac:dyDescent="0.2">
      <c r="Z19392" t="str">
        <f t="shared" si="302"/>
        <v/>
      </c>
    </row>
    <row r="19393" spans="26:26" x14ac:dyDescent="0.2">
      <c r="Z19393" t="str">
        <f t="shared" si="302"/>
        <v/>
      </c>
    </row>
    <row r="19394" spans="26:26" x14ac:dyDescent="0.2">
      <c r="Z19394" t="str">
        <f t="shared" si="302"/>
        <v/>
      </c>
    </row>
    <row r="19395" spans="26:26" x14ac:dyDescent="0.2">
      <c r="Z19395" t="str">
        <f t="shared" ref="Z19395:Z19458" si="303">IF(K19395="","",IFERROR(VALUE(TRIM(MID(K19395,FIND(CHAR(167),SUBSTITUTE(K19395,"-",CHAR(167),LEN(K19395)-LEN(SUBSTITUTE(K19395,"-",""))))+1,100))),K19395))</f>
        <v/>
      </c>
    </row>
    <row r="19396" spans="26:26" x14ac:dyDescent="0.2">
      <c r="Z19396" t="str">
        <f t="shared" si="303"/>
        <v/>
      </c>
    </row>
    <row r="19397" spans="26:26" x14ac:dyDescent="0.2">
      <c r="Z19397" t="str">
        <f t="shared" si="303"/>
        <v/>
      </c>
    </row>
    <row r="19398" spans="26:26" x14ac:dyDescent="0.2">
      <c r="Z19398" t="str">
        <f t="shared" si="303"/>
        <v/>
      </c>
    </row>
    <row r="19399" spans="26:26" x14ac:dyDescent="0.2">
      <c r="Z19399" t="str">
        <f t="shared" si="303"/>
        <v/>
      </c>
    </row>
    <row r="19400" spans="26:26" x14ac:dyDescent="0.2">
      <c r="Z19400" t="str">
        <f t="shared" si="303"/>
        <v/>
      </c>
    </row>
    <row r="19401" spans="26:26" x14ac:dyDescent="0.2">
      <c r="Z19401" t="str">
        <f t="shared" si="303"/>
        <v/>
      </c>
    </row>
    <row r="19402" spans="26:26" x14ac:dyDescent="0.2">
      <c r="Z19402" t="str">
        <f t="shared" si="303"/>
        <v/>
      </c>
    </row>
    <row r="19403" spans="26:26" x14ac:dyDescent="0.2">
      <c r="Z19403" t="str">
        <f t="shared" si="303"/>
        <v/>
      </c>
    </row>
    <row r="19404" spans="26:26" x14ac:dyDescent="0.2">
      <c r="Z19404" t="str">
        <f t="shared" si="303"/>
        <v/>
      </c>
    </row>
    <row r="19405" spans="26:26" x14ac:dyDescent="0.2">
      <c r="Z19405" t="str">
        <f t="shared" si="303"/>
        <v/>
      </c>
    </row>
    <row r="19406" spans="26:26" x14ac:dyDescent="0.2">
      <c r="Z19406" t="str">
        <f t="shared" si="303"/>
        <v/>
      </c>
    </row>
    <row r="19407" spans="26:26" x14ac:dyDescent="0.2">
      <c r="Z19407" t="str">
        <f t="shared" si="303"/>
        <v/>
      </c>
    </row>
    <row r="19408" spans="26:26" x14ac:dyDescent="0.2">
      <c r="Z19408" t="str">
        <f t="shared" si="303"/>
        <v/>
      </c>
    </row>
    <row r="19409" spans="26:26" x14ac:dyDescent="0.2">
      <c r="Z19409" t="str">
        <f t="shared" si="303"/>
        <v/>
      </c>
    </row>
    <row r="19410" spans="26:26" x14ac:dyDescent="0.2">
      <c r="Z19410" t="str">
        <f t="shared" si="303"/>
        <v/>
      </c>
    </row>
    <row r="19411" spans="26:26" x14ac:dyDescent="0.2">
      <c r="Z19411" t="str">
        <f t="shared" si="303"/>
        <v/>
      </c>
    </row>
    <row r="19412" spans="26:26" x14ac:dyDescent="0.2">
      <c r="Z19412" t="str">
        <f t="shared" si="303"/>
        <v/>
      </c>
    </row>
    <row r="19413" spans="26:26" x14ac:dyDescent="0.2">
      <c r="Z19413" t="str">
        <f t="shared" si="303"/>
        <v/>
      </c>
    </row>
    <row r="19414" spans="26:26" x14ac:dyDescent="0.2">
      <c r="Z19414" t="str">
        <f t="shared" si="303"/>
        <v/>
      </c>
    </row>
    <row r="19415" spans="26:26" x14ac:dyDescent="0.2">
      <c r="Z19415" t="str">
        <f t="shared" si="303"/>
        <v/>
      </c>
    </row>
    <row r="19416" spans="26:26" x14ac:dyDescent="0.2">
      <c r="Z19416" t="str">
        <f t="shared" si="303"/>
        <v/>
      </c>
    </row>
    <row r="19417" spans="26:26" x14ac:dyDescent="0.2">
      <c r="Z19417" t="str">
        <f t="shared" si="303"/>
        <v/>
      </c>
    </row>
    <row r="19418" spans="26:26" x14ac:dyDescent="0.2">
      <c r="Z19418" t="str">
        <f t="shared" si="303"/>
        <v/>
      </c>
    </row>
    <row r="19419" spans="26:26" x14ac:dyDescent="0.2">
      <c r="Z19419" t="str">
        <f t="shared" si="303"/>
        <v/>
      </c>
    </row>
    <row r="19420" spans="26:26" x14ac:dyDescent="0.2">
      <c r="Z19420" t="str">
        <f t="shared" si="303"/>
        <v/>
      </c>
    </row>
    <row r="19421" spans="26:26" x14ac:dyDescent="0.2">
      <c r="Z19421" t="str">
        <f t="shared" si="303"/>
        <v/>
      </c>
    </row>
    <row r="19422" spans="26:26" x14ac:dyDescent="0.2">
      <c r="Z19422" t="str">
        <f t="shared" si="303"/>
        <v/>
      </c>
    </row>
    <row r="19423" spans="26:26" x14ac:dyDescent="0.2">
      <c r="Z19423" t="str">
        <f t="shared" si="303"/>
        <v/>
      </c>
    </row>
    <row r="19424" spans="26:26" x14ac:dyDescent="0.2">
      <c r="Z19424" t="str">
        <f t="shared" si="303"/>
        <v/>
      </c>
    </row>
    <row r="19425" spans="26:26" x14ac:dyDescent="0.2">
      <c r="Z19425" t="str">
        <f t="shared" si="303"/>
        <v/>
      </c>
    </row>
    <row r="19426" spans="26:26" x14ac:dyDescent="0.2">
      <c r="Z19426" t="str">
        <f t="shared" si="303"/>
        <v/>
      </c>
    </row>
    <row r="19427" spans="26:26" x14ac:dyDescent="0.2">
      <c r="Z19427" t="str">
        <f t="shared" si="303"/>
        <v/>
      </c>
    </row>
    <row r="19428" spans="26:26" x14ac:dyDescent="0.2">
      <c r="Z19428" t="str">
        <f t="shared" si="303"/>
        <v/>
      </c>
    </row>
    <row r="19429" spans="26:26" x14ac:dyDescent="0.2">
      <c r="Z19429" t="str">
        <f t="shared" si="303"/>
        <v/>
      </c>
    </row>
    <row r="19430" spans="26:26" x14ac:dyDescent="0.2">
      <c r="Z19430" t="str">
        <f t="shared" si="303"/>
        <v/>
      </c>
    </row>
    <row r="19431" spans="26:26" x14ac:dyDescent="0.2">
      <c r="Z19431" t="str">
        <f t="shared" si="303"/>
        <v/>
      </c>
    </row>
    <row r="19432" spans="26:26" x14ac:dyDescent="0.2">
      <c r="Z19432" t="str">
        <f t="shared" si="303"/>
        <v/>
      </c>
    </row>
    <row r="19433" spans="26:26" x14ac:dyDescent="0.2">
      <c r="Z19433" t="str">
        <f t="shared" si="303"/>
        <v/>
      </c>
    </row>
    <row r="19434" spans="26:26" x14ac:dyDescent="0.2">
      <c r="Z19434" t="str">
        <f t="shared" si="303"/>
        <v/>
      </c>
    </row>
    <row r="19435" spans="26:26" x14ac:dyDescent="0.2">
      <c r="Z19435" t="str">
        <f t="shared" si="303"/>
        <v/>
      </c>
    </row>
    <row r="19436" spans="26:26" x14ac:dyDescent="0.2">
      <c r="Z19436" t="str">
        <f t="shared" si="303"/>
        <v/>
      </c>
    </row>
    <row r="19437" spans="26:26" x14ac:dyDescent="0.2">
      <c r="Z19437" t="str">
        <f t="shared" si="303"/>
        <v/>
      </c>
    </row>
    <row r="19438" spans="26:26" x14ac:dyDescent="0.2">
      <c r="Z19438" t="str">
        <f t="shared" si="303"/>
        <v/>
      </c>
    </row>
    <row r="19439" spans="26:26" x14ac:dyDescent="0.2">
      <c r="Z19439" t="str">
        <f t="shared" si="303"/>
        <v/>
      </c>
    </row>
    <row r="19440" spans="26:26" x14ac:dyDescent="0.2">
      <c r="Z19440" t="str">
        <f t="shared" si="303"/>
        <v/>
      </c>
    </row>
    <row r="19441" spans="26:26" x14ac:dyDescent="0.2">
      <c r="Z19441" t="str">
        <f t="shared" si="303"/>
        <v/>
      </c>
    </row>
    <row r="19442" spans="26:26" x14ac:dyDescent="0.2">
      <c r="Z19442" t="str">
        <f t="shared" si="303"/>
        <v/>
      </c>
    </row>
    <row r="19443" spans="26:26" x14ac:dyDescent="0.2">
      <c r="Z19443" t="str">
        <f t="shared" si="303"/>
        <v/>
      </c>
    </row>
    <row r="19444" spans="26:26" x14ac:dyDescent="0.2">
      <c r="Z19444" t="str">
        <f t="shared" si="303"/>
        <v/>
      </c>
    </row>
    <row r="19445" spans="26:26" x14ac:dyDescent="0.2">
      <c r="Z19445" t="str">
        <f t="shared" si="303"/>
        <v/>
      </c>
    </row>
    <row r="19446" spans="26:26" x14ac:dyDescent="0.2">
      <c r="Z19446" t="str">
        <f t="shared" si="303"/>
        <v/>
      </c>
    </row>
    <row r="19447" spans="26:26" x14ac:dyDescent="0.2">
      <c r="Z19447" t="str">
        <f t="shared" si="303"/>
        <v/>
      </c>
    </row>
    <row r="19448" spans="26:26" x14ac:dyDescent="0.2">
      <c r="Z19448" t="str">
        <f t="shared" si="303"/>
        <v/>
      </c>
    </row>
    <row r="19449" spans="26:26" x14ac:dyDescent="0.2">
      <c r="Z19449" t="str">
        <f t="shared" si="303"/>
        <v/>
      </c>
    </row>
    <row r="19450" spans="26:26" x14ac:dyDescent="0.2">
      <c r="Z19450" t="str">
        <f t="shared" si="303"/>
        <v/>
      </c>
    </row>
    <row r="19451" spans="26:26" x14ac:dyDescent="0.2">
      <c r="Z19451" t="str">
        <f t="shared" si="303"/>
        <v/>
      </c>
    </row>
    <row r="19452" spans="26:26" x14ac:dyDescent="0.2">
      <c r="Z19452" t="str">
        <f t="shared" si="303"/>
        <v/>
      </c>
    </row>
    <row r="19453" spans="26:26" x14ac:dyDescent="0.2">
      <c r="Z19453" t="str">
        <f t="shared" si="303"/>
        <v/>
      </c>
    </row>
    <row r="19454" spans="26:26" x14ac:dyDescent="0.2">
      <c r="Z19454" t="str">
        <f t="shared" si="303"/>
        <v/>
      </c>
    </row>
    <row r="19455" spans="26:26" x14ac:dyDescent="0.2">
      <c r="Z19455" t="str">
        <f t="shared" si="303"/>
        <v/>
      </c>
    </row>
    <row r="19456" spans="26:26" x14ac:dyDescent="0.2">
      <c r="Z19456" t="str">
        <f t="shared" si="303"/>
        <v/>
      </c>
    </row>
    <row r="19457" spans="26:26" x14ac:dyDescent="0.2">
      <c r="Z19457" t="str">
        <f t="shared" si="303"/>
        <v/>
      </c>
    </row>
    <row r="19458" spans="26:26" x14ac:dyDescent="0.2">
      <c r="Z19458" t="str">
        <f t="shared" si="303"/>
        <v/>
      </c>
    </row>
    <row r="19459" spans="26:26" x14ac:dyDescent="0.2">
      <c r="Z19459" t="str">
        <f t="shared" ref="Z19459:Z19522" si="304">IF(K19459="","",IFERROR(VALUE(TRIM(MID(K19459,FIND(CHAR(167),SUBSTITUTE(K19459,"-",CHAR(167),LEN(K19459)-LEN(SUBSTITUTE(K19459,"-",""))))+1,100))),K19459))</f>
        <v/>
      </c>
    </row>
    <row r="19460" spans="26:26" x14ac:dyDescent="0.2">
      <c r="Z19460" t="str">
        <f t="shared" si="304"/>
        <v/>
      </c>
    </row>
    <row r="19461" spans="26:26" x14ac:dyDescent="0.2">
      <c r="Z19461" t="str">
        <f t="shared" si="304"/>
        <v/>
      </c>
    </row>
    <row r="19462" spans="26:26" x14ac:dyDescent="0.2">
      <c r="Z19462" t="str">
        <f t="shared" si="304"/>
        <v/>
      </c>
    </row>
    <row r="19463" spans="26:26" x14ac:dyDescent="0.2">
      <c r="Z19463" t="str">
        <f t="shared" si="304"/>
        <v/>
      </c>
    </row>
    <row r="19464" spans="26:26" x14ac:dyDescent="0.2">
      <c r="Z19464" t="str">
        <f t="shared" si="304"/>
        <v/>
      </c>
    </row>
    <row r="19465" spans="26:26" x14ac:dyDescent="0.2">
      <c r="Z19465" t="str">
        <f t="shared" si="304"/>
        <v/>
      </c>
    </row>
    <row r="19466" spans="26:26" x14ac:dyDescent="0.2">
      <c r="Z19466" t="str">
        <f t="shared" si="304"/>
        <v/>
      </c>
    </row>
    <row r="19467" spans="26:26" x14ac:dyDescent="0.2">
      <c r="Z19467" t="str">
        <f t="shared" si="304"/>
        <v/>
      </c>
    </row>
    <row r="19468" spans="26:26" x14ac:dyDescent="0.2">
      <c r="Z19468" t="str">
        <f t="shared" si="304"/>
        <v/>
      </c>
    </row>
    <row r="19469" spans="26:26" x14ac:dyDescent="0.2">
      <c r="Z19469" t="str">
        <f t="shared" si="304"/>
        <v/>
      </c>
    </row>
    <row r="19470" spans="26:26" x14ac:dyDescent="0.2">
      <c r="Z19470" t="str">
        <f t="shared" si="304"/>
        <v/>
      </c>
    </row>
    <row r="19471" spans="26:26" x14ac:dyDescent="0.2">
      <c r="Z19471" t="str">
        <f t="shared" si="304"/>
        <v/>
      </c>
    </row>
    <row r="19472" spans="26:26" x14ac:dyDescent="0.2">
      <c r="Z19472" t="str">
        <f t="shared" si="304"/>
        <v/>
      </c>
    </row>
    <row r="19473" spans="26:26" x14ac:dyDescent="0.2">
      <c r="Z19473" t="str">
        <f t="shared" si="304"/>
        <v/>
      </c>
    </row>
    <row r="19474" spans="26:26" x14ac:dyDescent="0.2">
      <c r="Z19474" t="str">
        <f t="shared" si="304"/>
        <v/>
      </c>
    </row>
    <row r="19475" spans="26:26" x14ac:dyDescent="0.2">
      <c r="Z19475" t="str">
        <f t="shared" si="304"/>
        <v/>
      </c>
    </row>
    <row r="19476" spans="26:26" x14ac:dyDescent="0.2">
      <c r="Z19476" t="str">
        <f t="shared" si="304"/>
        <v/>
      </c>
    </row>
    <row r="19477" spans="26:26" x14ac:dyDescent="0.2">
      <c r="Z19477" t="str">
        <f t="shared" si="304"/>
        <v/>
      </c>
    </row>
    <row r="19478" spans="26:26" x14ac:dyDescent="0.2">
      <c r="Z19478" t="str">
        <f t="shared" si="304"/>
        <v/>
      </c>
    </row>
    <row r="19479" spans="26:26" x14ac:dyDescent="0.2">
      <c r="Z19479" t="str">
        <f t="shared" si="304"/>
        <v/>
      </c>
    </row>
    <row r="19480" spans="26:26" x14ac:dyDescent="0.2">
      <c r="Z19480" t="str">
        <f t="shared" si="304"/>
        <v/>
      </c>
    </row>
    <row r="19481" spans="26:26" x14ac:dyDescent="0.2">
      <c r="Z19481" t="str">
        <f t="shared" si="304"/>
        <v/>
      </c>
    </row>
    <row r="19482" spans="26:26" x14ac:dyDescent="0.2">
      <c r="Z19482" t="str">
        <f t="shared" si="304"/>
        <v/>
      </c>
    </row>
    <row r="19483" spans="26:26" x14ac:dyDescent="0.2">
      <c r="Z19483" t="str">
        <f t="shared" si="304"/>
        <v/>
      </c>
    </row>
    <row r="19484" spans="26:26" x14ac:dyDescent="0.2">
      <c r="Z19484" t="str">
        <f t="shared" si="304"/>
        <v/>
      </c>
    </row>
    <row r="19485" spans="26:26" x14ac:dyDescent="0.2">
      <c r="Z19485" t="str">
        <f t="shared" si="304"/>
        <v/>
      </c>
    </row>
    <row r="19486" spans="26:26" x14ac:dyDescent="0.2">
      <c r="Z19486" t="str">
        <f t="shared" si="304"/>
        <v/>
      </c>
    </row>
    <row r="19487" spans="26:26" x14ac:dyDescent="0.2">
      <c r="Z19487" t="str">
        <f t="shared" si="304"/>
        <v/>
      </c>
    </row>
    <row r="19488" spans="26:26" x14ac:dyDescent="0.2">
      <c r="Z19488" t="str">
        <f t="shared" si="304"/>
        <v/>
      </c>
    </row>
    <row r="19489" spans="26:26" x14ac:dyDescent="0.2">
      <c r="Z19489" t="str">
        <f t="shared" si="304"/>
        <v/>
      </c>
    </row>
    <row r="19490" spans="26:26" x14ac:dyDescent="0.2">
      <c r="Z19490" t="str">
        <f t="shared" si="304"/>
        <v/>
      </c>
    </row>
    <row r="19491" spans="26:26" x14ac:dyDescent="0.2">
      <c r="Z19491" t="str">
        <f t="shared" si="304"/>
        <v/>
      </c>
    </row>
    <row r="19492" spans="26:26" x14ac:dyDescent="0.2">
      <c r="Z19492" t="str">
        <f t="shared" si="304"/>
        <v/>
      </c>
    </row>
    <row r="19493" spans="26:26" x14ac:dyDescent="0.2">
      <c r="Z19493" t="str">
        <f t="shared" si="304"/>
        <v/>
      </c>
    </row>
    <row r="19494" spans="26:26" x14ac:dyDescent="0.2">
      <c r="Z19494" t="str">
        <f t="shared" si="304"/>
        <v/>
      </c>
    </row>
    <row r="19495" spans="26:26" x14ac:dyDescent="0.2">
      <c r="Z19495" t="str">
        <f t="shared" si="304"/>
        <v/>
      </c>
    </row>
    <row r="19496" spans="26:26" x14ac:dyDescent="0.2">
      <c r="Z19496" t="str">
        <f t="shared" si="304"/>
        <v/>
      </c>
    </row>
    <row r="19497" spans="26:26" x14ac:dyDescent="0.2">
      <c r="Z19497" t="str">
        <f t="shared" si="304"/>
        <v/>
      </c>
    </row>
    <row r="19498" spans="26:26" x14ac:dyDescent="0.2">
      <c r="Z19498" t="str">
        <f t="shared" si="304"/>
        <v/>
      </c>
    </row>
    <row r="19499" spans="26:26" x14ac:dyDescent="0.2">
      <c r="Z19499" t="str">
        <f t="shared" si="304"/>
        <v/>
      </c>
    </row>
    <row r="19500" spans="26:26" x14ac:dyDescent="0.2">
      <c r="Z19500" t="str">
        <f t="shared" si="304"/>
        <v/>
      </c>
    </row>
    <row r="19501" spans="26:26" x14ac:dyDescent="0.2">
      <c r="Z19501" t="str">
        <f t="shared" si="304"/>
        <v/>
      </c>
    </row>
    <row r="19502" spans="26:26" x14ac:dyDescent="0.2">
      <c r="Z19502" t="str">
        <f t="shared" si="304"/>
        <v/>
      </c>
    </row>
    <row r="19503" spans="26:26" x14ac:dyDescent="0.2">
      <c r="Z19503" t="str">
        <f t="shared" si="304"/>
        <v/>
      </c>
    </row>
    <row r="19504" spans="26:26" x14ac:dyDescent="0.2">
      <c r="Z19504" t="str">
        <f t="shared" si="304"/>
        <v/>
      </c>
    </row>
    <row r="19505" spans="26:26" x14ac:dyDescent="0.2">
      <c r="Z19505" t="str">
        <f t="shared" si="304"/>
        <v/>
      </c>
    </row>
    <row r="19506" spans="26:26" x14ac:dyDescent="0.2">
      <c r="Z19506" t="str">
        <f t="shared" si="304"/>
        <v/>
      </c>
    </row>
    <row r="19507" spans="26:26" x14ac:dyDescent="0.2">
      <c r="Z19507" t="str">
        <f t="shared" si="304"/>
        <v/>
      </c>
    </row>
    <row r="19508" spans="26:26" x14ac:dyDescent="0.2">
      <c r="Z19508" t="str">
        <f t="shared" si="304"/>
        <v/>
      </c>
    </row>
    <row r="19509" spans="26:26" x14ac:dyDescent="0.2">
      <c r="Z19509" t="str">
        <f t="shared" si="304"/>
        <v/>
      </c>
    </row>
    <row r="19510" spans="26:26" x14ac:dyDescent="0.2">
      <c r="Z19510" t="str">
        <f t="shared" si="304"/>
        <v/>
      </c>
    </row>
    <row r="19511" spans="26:26" x14ac:dyDescent="0.2">
      <c r="Z19511" t="str">
        <f t="shared" si="304"/>
        <v/>
      </c>
    </row>
    <row r="19512" spans="26:26" x14ac:dyDescent="0.2">
      <c r="Z19512" t="str">
        <f t="shared" si="304"/>
        <v/>
      </c>
    </row>
    <row r="19513" spans="26:26" x14ac:dyDescent="0.2">
      <c r="Z19513" t="str">
        <f t="shared" si="304"/>
        <v/>
      </c>
    </row>
    <row r="19514" spans="26:26" x14ac:dyDescent="0.2">
      <c r="Z19514" t="str">
        <f t="shared" si="304"/>
        <v/>
      </c>
    </row>
    <row r="19515" spans="26:26" x14ac:dyDescent="0.2">
      <c r="Z19515" t="str">
        <f t="shared" si="304"/>
        <v/>
      </c>
    </row>
    <row r="19516" spans="26:26" x14ac:dyDescent="0.2">
      <c r="Z19516" t="str">
        <f t="shared" si="304"/>
        <v/>
      </c>
    </row>
    <row r="19517" spans="26:26" x14ac:dyDescent="0.2">
      <c r="Z19517" t="str">
        <f t="shared" si="304"/>
        <v/>
      </c>
    </row>
    <row r="19518" spans="26:26" x14ac:dyDescent="0.2">
      <c r="Z19518" t="str">
        <f t="shared" si="304"/>
        <v/>
      </c>
    </row>
    <row r="19519" spans="26:26" x14ac:dyDescent="0.2">
      <c r="Z19519" t="str">
        <f t="shared" si="304"/>
        <v/>
      </c>
    </row>
    <row r="19520" spans="26:26" x14ac:dyDescent="0.2">
      <c r="Z19520" t="str">
        <f t="shared" si="304"/>
        <v/>
      </c>
    </row>
    <row r="19521" spans="26:26" x14ac:dyDescent="0.2">
      <c r="Z19521" t="str">
        <f t="shared" si="304"/>
        <v/>
      </c>
    </row>
    <row r="19522" spans="26:26" x14ac:dyDescent="0.2">
      <c r="Z19522" t="str">
        <f t="shared" si="304"/>
        <v/>
      </c>
    </row>
    <row r="19523" spans="26:26" x14ac:dyDescent="0.2">
      <c r="Z19523" t="str">
        <f t="shared" ref="Z19523:Z19586" si="305">IF(K19523="","",IFERROR(VALUE(TRIM(MID(K19523,FIND(CHAR(167),SUBSTITUTE(K19523,"-",CHAR(167),LEN(K19523)-LEN(SUBSTITUTE(K19523,"-",""))))+1,100))),K19523))</f>
        <v/>
      </c>
    </row>
    <row r="19524" spans="26:26" x14ac:dyDescent="0.2">
      <c r="Z19524" t="str">
        <f t="shared" si="305"/>
        <v/>
      </c>
    </row>
    <row r="19525" spans="26:26" x14ac:dyDescent="0.2">
      <c r="Z19525" t="str">
        <f t="shared" si="305"/>
        <v/>
      </c>
    </row>
    <row r="19526" spans="26:26" x14ac:dyDescent="0.2">
      <c r="Z19526" t="str">
        <f t="shared" si="305"/>
        <v/>
      </c>
    </row>
    <row r="19527" spans="26:26" x14ac:dyDescent="0.2">
      <c r="Z19527" t="str">
        <f t="shared" si="305"/>
        <v/>
      </c>
    </row>
    <row r="19528" spans="26:26" x14ac:dyDescent="0.2">
      <c r="Z19528" t="str">
        <f t="shared" si="305"/>
        <v/>
      </c>
    </row>
    <row r="19529" spans="26:26" x14ac:dyDescent="0.2">
      <c r="Z19529" t="str">
        <f t="shared" si="305"/>
        <v/>
      </c>
    </row>
    <row r="19530" spans="26:26" x14ac:dyDescent="0.2">
      <c r="Z19530" t="str">
        <f t="shared" si="305"/>
        <v/>
      </c>
    </row>
    <row r="19531" spans="26:26" x14ac:dyDescent="0.2">
      <c r="Z19531" t="str">
        <f t="shared" si="305"/>
        <v/>
      </c>
    </row>
    <row r="19532" spans="26:26" x14ac:dyDescent="0.2">
      <c r="Z19532" t="str">
        <f t="shared" si="305"/>
        <v/>
      </c>
    </row>
    <row r="19533" spans="26:26" x14ac:dyDescent="0.2">
      <c r="Z19533" t="str">
        <f t="shared" si="305"/>
        <v/>
      </c>
    </row>
    <row r="19534" spans="26:26" x14ac:dyDescent="0.2">
      <c r="Z19534" t="str">
        <f t="shared" si="305"/>
        <v/>
      </c>
    </row>
    <row r="19535" spans="26:26" x14ac:dyDescent="0.2">
      <c r="Z19535" t="str">
        <f t="shared" si="305"/>
        <v/>
      </c>
    </row>
    <row r="19536" spans="26:26" x14ac:dyDescent="0.2">
      <c r="Z19536" t="str">
        <f t="shared" si="305"/>
        <v/>
      </c>
    </row>
    <row r="19537" spans="26:26" x14ac:dyDescent="0.2">
      <c r="Z19537" t="str">
        <f t="shared" si="305"/>
        <v/>
      </c>
    </row>
    <row r="19538" spans="26:26" x14ac:dyDescent="0.2">
      <c r="Z19538" t="str">
        <f t="shared" si="305"/>
        <v/>
      </c>
    </row>
    <row r="19539" spans="26:26" x14ac:dyDescent="0.2">
      <c r="Z19539" t="str">
        <f t="shared" si="305"/>
        <v/>
      </c>
    </row>
    <row r="19540" spans="26:26" x14ac:dyDescent="0.2">
      <c r="Z19540" t="str">
        <f t="shared" si="305"/>
        <v/>
      </c>
    </row>
    <row r="19541" spans="26:26" x14ac:dyDescent="0.2">
      <c r="Z19541" t="str">
        <f t="shared" si="305"/>
        <v/>
      </c>
    </row>
    <row r="19542" spans="26:26" x14ac:dyDescent="0.2">
      <c r="Z19542" t="str">
        <f t="shared" si="305"/>
        <v/>
      </c>
    </row>
    <row r="19543" spans="26:26" x14ac:dyDescent="0.2">
      <c r="Z19543" t="str">
        <f t="shared" si="305"/>
        <v/>
      </c>
    </row>
    <row r="19544" spans="26:26" x14ac:dyDescent="0.2">
      <c r="Z19544" t="str">
        <f t="shared" si="305"/>
        <v/>
      </c>
    </row>
    <row r="19545" spans="26:26" x14ac:dyDescent="0.2">
      <c r="Z19545" t="str">
        <f t="shared" si="305"/>
        <v/>
      </c>
    </row>
    <row r="19546" spans="26:26" x14ac:dyDescent="0.2">
      <c r="Z19546" t="str">
        <f t="shared" si="305"/>
        <v/>
      </c>
    </row>
    <row r="19547" spans="26:26" x14ac:dyDescent="0.2">
      <c r="Z19547" t="str">
        <f t="shared" si="305"/>
        <v/>
      </c>
    </row>
    <row r="19548" spans="26:26" x14ac:dyDescent="0.2">
      <c r="Z19548" t="str">
        <f t="shared" si="305"/>
        <v/>
      </c>
    </row>
    <row r="19549" spans="26:26" x14ac:dyDescent="0.2">
      <c r="Z19549" t="str">
        <f t="shared" si="305"/>
        <v/>
      </c>
    </row>
    <row r="19550" spans="26:26" x14ac:dyDescent="0.2">
      <c r="Z19550" t="str">
        <f t="shared" si="305"/>
        <v/>
      </c>
    </row>
    <row r="19551" spans="26:26" x14ac:dyDescent="0.2">
      <c r="Z19551" t="str">
        <f t="shared" si="305"/>
        <v/>
      </c>
    </row>
    <row r="19552" spans="26:26" x14ac:dyDescent="0.2">
      <c r="Z19552" t="str">
        <f t="shared" si="305"/>
        <v/>
      </c>
    </row>
    <row r="19553" spans="26:26" x14ac:dyDescent="0.2">
      <c r="Z19553" t="str">
        <f t="shared" si="305"/>
        <v/>
      </c>
    </row>
    <row r="19554" spans="26:26" x14ac:dyDescent="0.2">
      <c r="Z19554" t="str">
        <f t="shared" si="305"/>
        <v/>
      </c>
    </row>
    <row r="19555" spans="26:26" x14ac:dyDescent="0.2">
      <c r="Z19555" t="str">
        <f t="shared" si="305"/>
        <v/>
      </c>
    </row>
    <row r="19556" spans="26:26" x14ac:dyDescent="0.2">
      <c r="Z19556" t="str">
        <f t="shared" si="305"/>
        <v/>
      </c>
    </row>
    <row r="19557" spans="26:26" x14ac:dyDescent="0.2">
      <c r="Z19557" t="str">
        <f t="shared" si="305"/>
        <v/>
      </c>
    </row>
    <row r="19558" spans="26:26" x14ac:dyDescent="0.2">
      <c r="Z19558" t="str">
        <f t="shared" si="305"/>
        <v/>
      </c>
    </row>
    <row r="19559" spans="26:26" x14ac:dyDescent="0.2">
      <c r="Z19559" t="str">
        <f t="shared" si="305"/>
        <v/>
      </c>
    </row>
    <row r="19560" spans="26:26" x14ac:dyDescent="0.2">
      <c r="Z19560" t="str">
        <f t="shared" si="305"/>
        <v/>
      </c>
    </row>
    <row r="19561" spans="26:26" x14ac:dyDescent="0.2">
      <c r="Z19561" t="str">
        <f t="shared" si="305"/>
        <v/>
      </c>
    </row>
    <row r="19562" spans="26:26" x14ac:dyDescent="0.2">
      <c r="Z19562" t="str">
        <f t="shared" si="305"/>
        <v/>
      </c>
    </row>
    <row r="19563" spans="26:26" x14ac:dyDescent="0.2">
      <c r="Z19563" t="str">
        <f t="shared" si="305"/>
        <v/>
      </c>
    </row>
    <row r="19564" spans="26:26" x14ac:dyDescent="0.2">
      <c r="Z19564" t="str">
        <f t="shared" si="305"/>
        <v/>
      </c>
    </row>
    <row r="19565" spans="26:26" x14ac:dyDescent="0.2">
      <c r="Z19565" t="str">
        <f t="shared" si="305"/>
        <v/>
      </c>
    </row>
    <row r="19566" spans="26:26" x14ac:dyDescent="0.2">
      <c r="Z19566" t="str">
        <f t="shared" si="305"/>
        <v/>
      </c>
    </row>
    <row r="19567" spans="26:26" x14ac:dyDescent="0.2">
      <c r="Z19567" t="str">
        <f t="shared" si="305"/>
        <v/>
      </c>
    </row>
    <row r="19568" spans="26:26" x14ac:dyDescent="0.2">
      <c r="Z19568" t="str">
        <f t="shared" si="305"/>
        <v/>
      </c>
    </row>
    <row r="19569" spans="26:26" x14ac:dyDescent="0.2">
      <c r="Z19569" t="str">
        <f t="shared" si="305"/>
        <v/>
      </c>
    </row>
    <row r="19570" spans="26:26" x14ac:dyDescent="0.2">
      <c r="Z19570" t="str">
        <f t="shared" si="305"/>
        <v/>
      </c>
    </row>
    <row r="19571" spans="26:26" x14ac:dyDescent="0.2">
      <c r="Z19571" t="str">
        <f t="shared" si="305"/>
        <v/>
      </c>
    </row>
    <row r="19572" spans="26:26" x14ac:dyDescent="0.2">
      <c r="Z19572" t="str">
        <f t="shared" si="305"/>
        <v/>
      </c>
    </row>
    <row r="19573" spans="26:26" x14ac:dyDescent="0.2">
      <c r="Z19573" t="str">
        <f t="shared" si="305"/>
        <v/>
      </c>
    </row>
    <row r="19574" spans="26:26" x14ac:dyDescent="0.2">
      <c r="Z19574" t="str">
        <f t="shared" si="305"/>
        <v/>
      </c>
    </row>
    <row r="19575" spans="26:26" x14ac:dyDescent="0.2">
      <c r="Z19575" t="str">
        <f t="shared" si="305"/>
        <v/>
      </c>
    </row>
    <row r="19576" spans="26:26" x14ac:dyDescent="0.2">
      <c r="Z19576" t="str">
        <f t="shared" si="305"/>
        <v/>
      </c>
    </row>
    <row r="19577" spans="26:26" x14ac:dyDescent="0.2">
      <c r="Z19577" t="str">
        <f t="shared" si="305"/>
        <v/>
      </c>
    </row>
    <row r="19578" spans="26:26" x14ac:dyDescent="0.2">
      <c r="Z19578" t="str">
        <f t="shared" si="305"/>
        <v/>
      </c>
    </row>
    <row r="19579" spans="26:26" x14ac:dyDescent="0.2">
      <c r="Z19579" t="str">
        <f t="shared" si="305"/>
        <v/>
      </c>
    </row>
    <row r="19580" spans="26:26" x14ac:dyDescent="0.2">
      <c r="Z19580" t="str">
        <f t="shared" si="305"/>
        <v/>
      </c>
    </row>
    <row r="19581" spans="26:26" x14ac:dyDescent="0.2">
      <c r="Z19581" t="str">
        <f t="shared" si="305"/>
        <v/>
      </c>
    </row>
    <row r="19582" spans="26:26" x14ac:dyDescent="0.2">
      <c r="Z19582" t="str">
        <f t="shared" si="305"/>
        <v/>
      </c>
    </row>
    <row r="19583" spans="26:26" x14ac:dyDescent="0.2">
      <c r="Z19583" t="str">
        <f t="shared" si="305"/>
        <v/>
      </c>
    </row>
    <row r="19584" spans="26:26" x14ac:dyDescent="0.2">
      <c r="Z19584" t="str">
        <f t="shared" si="305"/>
        <v/>
      </c>
    </row>
    <row r="19585" spans="26:26" x14ac:dyDescent="0.2">
      <c r="Z19585" t="str">
        <f t="shared" si="305"/>
        <v/>
      </c>
    </row>
    <row r="19586" spans="26:26" x14ac:dyDescent="0.2">
      <c r="Z19586" t="str">
        <f t="shared" si="305"/>
        <v/>
      </c>
    </row>
    <row r="19587" spans="26:26" x14ac:dyDescent="0.2">
      <c r="Z19587" t="str">
        <f t="shared" ref="Z19587:Z19650" si="306">IF(K19587="","",IFERROR(VALUE(TRIM(MID(K19587,FIND(CHAR(167),SUBSTITUTE(K19587,"-",CHAR(167),LEN(K19587)-LEN(SUBSTITUTE(K19587,"-",""))))+1,100))),K19587))</f>
        <v/>
      </c>
    </row>
    <row r="19588" spans="26:26" x14ac:dyDescent="0.2">
      <c r="Z19588" t="str">
        <f t="shared" si="306"/>
        <v/>
      </c>
    </row>
    <row r="19589" spans="26:26" x14ac:dyDescent="0.2">
      <c r="Z19589" t="str">
        <f t="shared" si="306"/>
        <v/>
      </c>
    </row>
    <row r="19590" spans="26:26" x14ac:dyDescent="0.2">
      <c r="Z19590" t="str">
        <f t="shared" si="306"/>
        <v/>
      </c>
    </row>
    <row r="19591" spans="26:26" x14ac:dyDescent="0.2">
      <c r="Z19591" t="str">
        <f t="shared" si="306"/>
        <v/>
      </c>
    </row>
    <row r="19592" spans="26:26" x14ac:dyDescent="0.2">
      <c r="Z19592" t="str">
        <f t="shared" si="306"/>
        <v/>
      </c>
    </row>
    <row r="19593" spans="26:26" x14ac:dyDescent="0.2">
      <c r="Z19593" t="str">
        <f t="shared" si="306"/>
        <v/>
      </c>
    </row>
    <row r="19594" spans="26:26" x14ac:dyDescent="0.2">
      <c r="Z19594" t="str">
        <f t="shared" si="306"/>
        <v/>
      </c>
    </row>
    <row r="19595" spans="26:26" x14ac:dyDescent="0.2">
      <c r="Z19595" t="str">
        <f t="shared" si="306"/>
        <v/>
      </c>
    </row>
    <row r="19596" spans="26:26" x14ac:dyDescent="0.2">
      <c r="Z19596" t="str">
        <f t="shared" si="306"/>
        <v/>
      </c>
    </row>
    <row r="19597" spans="26:26" x14ac:dyDescent="0.2">
      <c r="Z19597" t="str">
        <f t="shared" si="306"/>
        <v/>
      </c>
    </row>
    <row r="19598" spans="26:26" x14ac:dyDescent="0.2">
      <c r="Z19598" t="str">
        <f t="shared" si="306"/>
        <v/>
      </c>
    </row>
    <row r="19599" spans="26:26" x14ac:dyDescent="0.2">
      <c r="Z19599" t="str">
        <f t="shared" si="306"/>
        <v/>
      </c>
    </row>
    <row r="19600" spans="26:26" x14ac:dyDescent="0.2">
      <c r="Z19600" t="str">
        <f t="shared" si="306"/>
        <v/>
      </c>
    </row>
    <row r="19601" spans="26:26" x14ac:dyDescent="0.2">
      <c r="Z19601" t="str">
        <f t="shared" si="306"/>
        <v/>
      </c>
    </row>
    <row r="19602" spans="26:26" x14ac:dyDescent="0.2">
      <c r="Z19602" t="str">
        <f t="shared" si="306"/>
        <v/>
      </c>
    </row>
    <row r="19603" spans="26:26" x14ac:dyDescent="0.2">
      <c r="Z19603" t="str">
        <f t="shared" si="306"/>
        <v/>
      </c>
    </row>
    <row r="19604" spans="26:26" x14ac:dyDescent="0.2">
      <c r="Z19604" t="str">
        <f t="shared" si="306"/>
        <v/>
      </c>
    </row>
    <row r="19605" spans="26:26" x14ac:dyDescent="0.2">
      <c r="Z19605" t="str">
        <f t="shared" si="306"/>
        <v/>
      </c>
    </row>
    <row r="19606" spans="26:26" x14ac:dyDescent="0.2">
      <c r="Z19606" t="str">
        <f t="shared" si="306"/>
        <v/>
      </c>
    </row>
    <row r="19607" spans="26:26" x14ac:dyDescent="0.2">
      <c r="Z19607" t="str">
        <f t="shared" si="306"/>
        <v/>
      </c>
    </row>
    <row r="19608" spans="26:26" x14ac:dyDescent="0.2">
      <c r="Z19608" t="str">
        <f t="shared" si="306"/>
        <v/>
      </c>
    </row>
    <row r="19609" spans="26:26" x14ac:dyDescent="0.2">
      <c r="Z19609" t="str">
        <f t="shared" si="306"/>
        <v/>
      </c>
    </row>
    <row r="19610" spans="26:26" x14ac:dyDescent="0.2">
      <c r="Z19610" t="str">
        <f t="shared" si="306"/>
        <v/>
      </c>
    </row>
    <row r="19611" spans="26:26" x14ac:dyDescent="0.2">
      <c r="Z19611" t="str">
        <f t="shared" si="306"/>
        <v/>
      </c>
    </row>
    <row r="19612" spans="26:26" x14ac:dyDescent="0.2">
      <c r="Z19612" t="str">
        <f t="shared" si="306"/>
        <v/>
      </c>
    </row>
    <row r="19613" spans="26:26" x14ac:dyDescent="0.2">
      <c r="Z19613" t="str">
        <f t="shared" si="306"/>
        <v/>
      </c>
    </row>
    <row r="19614" spans="26:26" x14ac:dyDescent="0.2">
      <c r="Z19614" t="str">
        <f t="shared" si="306"/>
        <v/>
      </c>
    </row>
    <row r="19615" spans="26:26" x14ac:dyDescent="0.2">
      <c r="Z19615" t="str">
        <f t="shared" si="306"/>
        <v/>
      </c>
    </row>
    <row r="19616" spans="26:26" x14ac:dyDescent="0.2">
      <c r="Z19616" t="str">
        <f t="shared" si="306"/>
        <v/>
      </c>
    </row>
    <row r="19617" spans="26:26" x14ac:dyDescent="0.2">
      <c r="Z19617" t="str">
        <f t="shared" si="306"/>
        <v/>
      </c>
    </row>
    <row r="19618" spans="26:26" x14ac:dyDescent="0.2">
      <c r="Z19618" t="str">
        <f t="shared" si="306"/>
        <v/>
      </c>
    </row>
    <row r="19619" spans="26:26" x14ac:dyDescent="0.2">
      <c r="Z19619" t="str">
        <f t="shared" si="306"/>
        <v/>
      </c>
    </row>
    <row r="19620" spans="26:26" x14ac:dyDescent="0.2">
      <c r="Z19620" t="str">
        <f t="shared" si="306"/>
        <v/>
      </c>
    </row>
    <row r="19621" spans="26:26" x14ac:dyDescent="0.2">
      <c r="Z19621" t="str">
        <f t="shared" si="306"/>
        <v/>
      </c>
    </row>
    <row r="19622" spans="26:26" x14ac:dyDescent="0.2">
      <c r="Z19622" t="str">
        <f t="shared" si="306"/>
        <v/>
      </c>
    </row>
    <row r="19623" spans="26:26" x14ac:dyDescent="0.2">
      <c r="Z19623" t="str">
        <f t="shared" si="306"/>
        <v/>
      </c>
    </row>
    <row r="19624" spans="26:26" x14ac:dyDescent="0.2">
      <c r="Z19624" t="str">
        <f t="shared" si="306"/>
        <v/>
      </c>
    </row>
    <row r="19625" spans="26:26" x14ac:dyDescent="0.2">
      <c r="Z19625" t="str">
        <f t="shared" si="306"/>
        <v/>
      </c>
    </row>
    <row r="19626" spans="26:26" x14ac:dyDescent="0.2">
      <c r="Z19626" t="str">
        <f t="shared" si="306"/>
        <v/>
      </c>
    </row>
    <row r="19627" spans="26:26" x14ac:dyDescent="0.2">
      <c r="Z19627" t="str">
        <f t="shared" si="306"/>
        <v/>
      </c>
    </row>
    <row r="19628" spans="26:26" x14ac:dyDescent="0.2">
      <c r="Z19628" t="str">
        <f t="shared" si="306"/>
        <v/>
      </c>
    </row>
    <row r="19629" spans="26:26" x14ac:dyDescent="0.2">
      <c r="Z19629" t="str">
        <f t="shared" si="306"/>
        <v/>
      </c>
    </row>
    <row r="19630" spans="26:26" x14ac:dyDescent="0.2">
      <c r="Z19630" t="str">
        <f t="shared" si="306"/>
        <v/>
      </c>
    </row>
    <row r="19631" spans="26:26" x14ac:dyDescent="0.2">
      <c r="Z19631" t="str">
        <f t="shared" si="306"/>
        <v/>
      </c>
    </row>
    <row r="19632" spans="26:26" x14ac:dyDescent="0.2">
      <c r="Z19632" t="str">
        <f t="shared" si="306"/>
        <v/>
      </c>
    </row>
    <row r="19633" spans="26:26" x14ac:dyDescent="0.2">
      <c r="Z19633" t="str">
        <f t="shared" si="306"/>
        <v/>
      </c>
    </row>
    <row r="19634" spans="26:26" x14ac:dyDescent="0.2">
      <c r="Z19634" t="str">
        <f t="shared" si="306"/>
        <v/>
      </c>
    </row>
    <row r="19635" spans="26:26" x14ac:dyDescent="0.2">
      <c r="Z19635" t="str">
        <f t="shared" si="306"/>
        <v/>
      </c>
    </row>
    <row r="19636" spans="26:26" x14ac:dyDescent="0.2">
      <c r="Z19636" t="str">
        <f t="shared" si="306"/>
        <v/>
      </c>
    </row>
    <row r="19637" spans="26:26" x14ac:dyDescent="0.2">
      <c r="Z19637" t="str">
        <f t="shared" si="306"/>
        <v/>
      </c>
    </row>
    <row r="19638" spans="26:26" x14ac:dyDescent="0.2">
      <c r="Z19638" t="str">
        <f t="shared" si="306"/>
        <v/>
      </c>
    </row>
    <row r="19639" spans="26:26" x14ac:dyDescent="0.2">
      <c r="Z19639" t="str">
        <f t="shared" si="306"/>
        <v/>
      </c>
    </row>
    <row r="19640" spans="26:26" x14ac:dyDescent="0.2">
      <c r="Z19640" t="str">
        <f t="shared" si="306"/>
        <v/>
      </c>
    </row>
    <row r="19641" spans="26:26" x14ac:dyDescent="0.2">
      <c r="Z19641" t="str">
        <f t="shared" si="306"/>
        <v/>
      </c>
    </row>
    <row r="19642" spans="26:26" x14ac:dyDescent="0.2">
      <c r="Z19642" t="str">
        <f t="shared" si="306"/>
        <v/>
      </c>
    </row>
    <row r="19643" spans="26:26" x14ac:dyDescent="0.2">
      <c r="Z19643" t="str">
        <f t="shared" si="306"/>
        <v/>
      </c>
    </row>
    <row r="19644" spans="26:26" x14ac:dyDescent="0.2">
      <c r="Z19644" t="str">
        <f t="shared" si="306"/>
        <v/>
      </c>
    </row>
    <row r="19645" spans="26:26" x14ac:dyDescent="0.2">
      <c r="Z19645" t="str">
        <f t="shared" si="306"/>
        <v/>
      </c>
    </row>
    <row r="19646" spans="26:26" x14ac:dyDescent="0.2">
      <c r="Z19646" t="str">
        <f t="shared" si="306"/>
        <v/>
      </c>
    </row>
    <row r="19647" spans="26:26" x14ac:dyDescent="0.2">
      <c r="Z19647" t="str">
        <f t="shared" si="306"/>
        <v/>
      </c>
    </row>
    <row r="19648" spans="26:26" x14ac:dyDescent="0.2">
      <c r="Z19648" t="str">
        <f t="shared" si="306"/>
        <v/>
      </c>
    </row>
    <row r="19649" spans="26:26" x14ac:dyDescent="0.2">
      <c r="Z19649" t="str">
        <f t="shared" si="306"/>
        <v/>
      </c>
    </row>
    <row r="19650" spans="26:26" x14ac:dyDescent="0.2">
      <c r="Z19650" t="str">
        <f t="shared" si="306"/>
        <v/>
      </c>
    </row>
    <row r="19651" spans="26:26" x14ac:dyDescent="0.2">
      <c r="Z19651" t="str">
        <f t="shared" ref="Z19651:Z19714" si="307">IF(K19651="","",IFERROR(VALUE(TRIM(MID(K19651,FIND(CHAR(167),SUBSTITUTE(K19651,"-",CHAR(167),LEN(K19651)-LEN(SUBSTITUTE(K19651,"-",""))))+1,100))),K19651))</f>
        <v/>
      </c>
    </row>
    <row r="19652" spans="26:26" x14ac:dyDescent="0.2">
      <c r="Z19652" t="str">
        <f t="shared" si="307"/>
        <v/>
      </c>
    </row>
    <row r="19653" spans="26:26" x14ac:dyDescent="0.2">
      <c r="Z19653" t="str">
        <f t="shared" si="307"/>
        <v/>
      </c>
    </row>
    <row r="19654" spans="26:26" x14ac:dyDescent="0.2">
      <c r="Z19654" t="str">
        <f t="shared" si="307"/>
        <v/>
      </c>
    </row>
    <row r="19655" spans="26:26" x14ac:dyDescent="0.2">
      <c r="Z19655" t="str">
        <f t="shared" si="307"/>
        <v/>
      </c>
    </row>
    <row r="19656" spans="26:26" x14ac:dyDescent="0.2">
      <c r="Z19656" t="str">
        <f t="shared" si="307"/>
        <v/>
      </c>
    </row>
    <row r="19657" spans="26:26" x14ac:dyDescent="0.2">
      <c r="Z19657" t="str">
        <f t="shared" si="307"/>
        <v/>
      </c>
    </row>
    <row r="19658" spans="26:26" x14ac:dyDescent="0.2">
      <c r="Z19658" t="str">
        <f t="shared" si="307"/>
        <v/>
      </c>
    </row>
    <row r="19659" spans="26:26" x14ac:dyDescent="0.2">
      <c r="Z19659" t="str">
        <f t="shared" si="307"/>
        <v/>
      </c>
    </row>
    <row r="19660" spans="26:26" x14ac:dyDescent="0.2">
      <c r="Z19660" t="str">
        <f t="shared" si="307"/>
        <v/>
      </c>
    </row>
    <row r="19661" spans="26:26" x14ac:dyDescent="0.2">
      <c r="Z19661" t="str">
        <f t="shared" si="307"/>
        <v/>
      </c>
    </row>
    <row r="19662" spans="26:26" x14ac:dyDescent="0.2">
      <c r="Z19662" t="str">
        <f t="shared" si="307"/>
        <v/>
      </c>
    </row>
    <row r="19663" spans="26:26" x14ac:dyDescent="0.2">
      <c r="Z19663" t="str">
        <f t="shared" si="307"/>
        <v/>
      </c>
    </row>
    <row r="19664" spans="26:26" x14ac:dyDescent="0.2">
      <c r="Z19664" t="str">
        <f t="shared" si="307"/>
        <v/>
      </c>
    </row>
    <row r="19665" spans="26:26" x14ac:dyDescent="0.2">
      <c r="Z19665" t="str">
        <f t="shared" si="307"/>
        <v/>
      </c>
    </row>
    <row r="19666" spans="26:26" x14ac:dyDescent="0.2">
      <c r="Z19666" t="str">
        <f t="shared" si="307"/>
        <v/>
      </c>
    </row>
    <row r="19667" spans="26:26" x14ac:dyDescent="0.2">
      <c r="Z19667" t="str">
        <f t="shared" si="307"/>
        <v/>
      </c>
    </row>
    <row r="19668" spans="26:26" x14ac:dyDescent="0.2">
      <c r="Z19668" t="str">
        <f t="shared" si="307"/>
        <v/>
      </c>
    </row>
    <row r="19669" spans="26:26" x14ac:dyDescent="0.2">
      <c r="Z19669" t="str">
        <f t="shared" si="307"/>
        <v/>
      </c>
    </row>
    <row r="19670" spans="26:26" x14ac:dyDescent="0.2">
      <c r="Z19670" t="str">
        <f t="shared" si="307"/>
        <v/>
      </c>
    </row>
    <row r="19671" spans="26:26" x14ac:dyDescent="0.2">
      <c r="Z19671" t="str">
        <f t="shared" si="307"/>
        <v/>
      </c>
    </row>
    <row r="19672" spans="26:26" x14ac:dyDescent="0.2">
      <c r="Z19672" t="str">
        <f t="shared" si="307"/>
        <v/>
      </c>
    </row>
    <row r="19673" spans="26:26" x14ac:dyDescent="0.2">
      <c r="Z19673" t="str">
        <f t="shared" si="307"/>
        <v/>
      </c>
    </row>
    <row r="19674" spans="26:26" x14ac:dyDescent="0.2">
      <c r="Z19674" t="str">
        <f t="shared" si="307"/>
        <v/>
      </c>
    </row>
    <row r="19675" spans="26:26" x14ac:dyDescent="0.2">
      <c r="Z19675" t="str">
        <f t="shared" si="307"/>
        <v/>
      </c>
    </row>
    <row r="19676" spans="26:26" x14ac:dyDescent="0.2">
      <c r="Z19676" t="str">
        <f t="shared" si="307"/>
        <v/>
      </c>
    </row>
    <row r="19677" spans="26:26" x14ac:dyDescent="0.2">
      <c r="Z19677" t="str">
        <f t="shared" si="307"/>
        <v/>
      </c>
    </row>
    <row r="19678" spans="26:26" x14ac:dyDescent="0.2">
      <c r="Z19678" t="str">
        <f t="shared" si="307"/>
        <v/>
      </c>
    </row>
    <row r="19679" spans="26:26" x14ac:dyDescent="0.2">
      <c r="Z19679" t="str">
        <f t="shared" si="307"/>
        <v/>
      </c>
    </row>
    <row r="19680" spans="26:26" x14ac:dyDescent="0.2">
      <c r="Z19680" t="str">
        <f t="shared" si="307"/>
        <v/>
      </c>
    </row>
    <row r="19681" spans="26:26" x14ac:dyDescent="0.2">
      <c r="Z19681" t="str">
        <f t="shared" si="307"/>
        <v/>
      </c>
    </row>
    <row r="19682" spans="26:26" x14ac:dyDescent="0.2">
      <c r="Z19682" t="str">
        <f t="shared" si="307"/>
        <v/>
      </c>
    </row>
    <row r="19683" spans="26:26" x14ac:dyDescent="0.2">
      <c r="Z19683" t="str">
        <f t="shared" si="307"/>
        <v/>
      </c>
    </row>
    <row r="19684" spans="26:26" x14ac:dyDescent="0.2">
      <c r="Z19684" t="str">
        <f t="shared" si="307"/>
        <v/>
      </c>
    </row>
    <row r="19685" spans="26:26" x14ac:dyDescent="0.2">
      <c r="Z19685" t="str">
        <f t="shared" si="307"/>
        <v/>
      </c>
    </row>
    <row r="19686" spans="26:26" x14ac:dyDescent="0.2">
      <c r="Z19686" t="str">
        <f t="shared" si="307"/>
        <v/>
      </c>
    </row>
    <row r="19687" spans="26:26" x14ac:dyDescent="0.2">
      <c r="Z19687" t="str">
        <f t="shared" si="307"/>
        <v/>
      </c>
    </row>
    <row r="19688" spans="26:26" x14ac:dyDescent="0.2">
      <c r="Z19688" t="str">
        <f t="shared" si="307"/>
        <v/>
      </c>
    </row>
    <row r="19689" spans="26:26" x14ac:dyDescent="0.2">
      <c r="Z19689" t="str">
        <f t="shared" si="307"/>
        <v/>
      </c>
    </row>
    <row r="19690" spans="26:26" x14ac:dyDescent="0.2">
      <c r="Z19690" t="str">
        <f t="shared" si="307"/>
        <v/>
      </c>
    </row>
    <row r="19691" spans="26:26" x14ac:dyDescent="0.2">
      <c r="Z19691" t="str">
        <f t="shared" si="307"/>
        <v/>
      </c>
    </row>
    <row r="19692" spans="26:26" x14ac:dyDescent="0.2">
      <c r="Z19692" t="str">
        <f t="shared" si="307"/>
        <v/>
      </c>
    </row>
    <row r="19693" spans="26:26" x14ac:dyDescent="0.2">
      <c r="Z19693" t="str">
        <f t="shared" si="307"/>
        <v/>
      </c>
    </row>
    <row r="19694" spans="26:26" x14ac:dyDescent="0.2">
      <c r="Z19694" t="str">
        <f t="shared" si="307"/>
        <v/>
      </c>
    </row>
    <row r="19695" spans="26:26" x14ac:dyDescent="0.2">
      <c r="Z19695" t="str">
        <f t="shared" si="307"/>
        <v/>
      </c>
    </row>
    <row r="19696" spans="26:26" x14ac:dyDescent="0.2">
      <c r="Z19696" t="str">
        <f t="shared" si="307"/>
        <v/>
      </c>
    </row>
    <row r="19697" spans="26:26" x14ac:dyDescent="0.2">
      <c r="Z19697" t="str">
        <f t="shared" si="307"/>
        <v/>
      </c>
    </row>
    <row r="19698" spans="26:26" x14ac:dyDescent="0.2">
      <c r="Z19698" t="str">
        <f t="shared" si="307"/>
        <v/>
      </c>
    </row>
    <row r="19699" spans="26:26" x14ac:dyDescent="0.2">
      <c r="Z19699" t="str">
        <f t="shared" si="307"/>
        <v/>
      </c>
    </row>
    <row r="19700" spans="26:26" x14ac:dyDescent="0.2">
      <c r="Z19700" t="str">
        <f t="shared" si="307"/>
        <v/>
      </c>
    </row>
    <row r="19701" spans="26:26" x14ac:dyDescent="0.2">
      <c r="Z19701" t="str">
        <f t="shared" si="307"/>
        <v/>
      </c>
    </row>
    <row r="19702" spans="26:26" x14ac:dyDescent="0.2">
      <c r="Z19702" t="str">
        <f t="shared" si="307"/>
        <v/>
      </c>
    </row>
    <row r="19703" spans="26:26" x14ac:dyDescent="0.2">
      <c r="Z19703" t="str">
        <f t="shared" si="307"/>
        <v/>
      </c>
    </row>
    <row r="19704" spans="26:26" x14ac:dyDescent="0.2">
      <c r="Z19704" t="str">
        <f t="shared" si="307"/>
        <v/>
      </c>
    </row>
    <row r="19705" spans="26:26" x14ac:dyDescent="0.2">
      <c r="Z19705" t="str">
        <f t="shared" si="307"/>
        <v/>
      </c>
    </row>
    <row r="19706" spans="26:26" x14ac:dyDescent="0.2">
      <c r="Z19706" t="str">
        <f t="shared" si="307"/>
        <v/>
      </c>
    </row>
    <row r="19707" spans="26:26" x14ac:dyDescent="0.2">
      <c r="Z19707" t="str">
        <f t="shared" si="307"/>
        <v/>
      </c>
    </row>
    <row r="19708" spans="26:26" x14ac:dyDescent="0.2">
      <c r="Z19708" t="str">
        <f t="shared" si="307"/>
        <v/>
      </c>
    </row>
    <row r="19709" spans="26:26" x14ac:dyDescent="0.2">
      <c r="Z19709" t="str">
        <f t="shared" si="307"/>
        <v/>
      </c>
    </row>
    <row r="19710" spans="26:26" x14ac:dyDescent="0.2">
      <c r="Z19710" t="str">
        <f t="shared" si="307"/>
        <v/>
      </c>
    </row>
    <row r="19711" spans="26:26" x14ac:dyDescent="0.2">
      <c r="Z19711" t="str">
        <f t="shared" si="307"/>
        <v/>
      </c>
    </row>
    <row r="19712" spans="26:26" x14ac:dyDescent="0.2">
      <c r="Z19712" t="str">
        <f t="shared" si="307"/>
        <v/>
      </c>
    </row>
    <row r="19713" spans="26:26" x14ac:dyDescent="0.2">
      <c r="Z19713" t="str">
        <f t="shared" si="307"/>
        <v/>
      </c>
    </row>
    <row r="19714" spans="26:26" x14ac:dyDescent="0.2">
      <c r="Z19714" t="str">
        <f t="shared" si="307"/>
        <v/>
      </c>
    </row>
    <row r="19715" spans="26:26" x14ac:dyDescent="0.2">
      <c r="Z19715" t="str">
        <f t="shared" ref="Z19715:Z19778" si="308">IF(K19715="","",IFERROR(VALUE(TRIM(MID(K19715,FIND(CHAR(167),SUBSTITUTE(K19715,"-",CHAR(167),LEN(K19715)-LEN(SUBSTITUTE(K19715,"-",""))))+1,100))),K19715))</f>
        <v/>
      </c>
    </row>
    <row r="19716" spans="26:26" x14ac:dyDescent="0.2">
      <c r="Z19716" t="str">
        <f t="shared" si="308"/>
        <v/>
      </c>
    </row>
    <row r="19717" spans="26:26" x14ac:dyDescent="0.2">
      <c r="Z19717" t="str">
        <f t="shared" si="308"/>
        <v/>
      </c>
    </row>
    <row r="19718" spans="26:26" x14ac:dyDescent="0.2">
      <c r="Z19718" t="str">
        <f t="shared" si="308"/>
        <v/>
      </c>
    </row>
    <row r="19719" spans="26:26" x14ac:dyDescent="0.2">
      <c r="Z19719" t="str">
        <f t="shared" si="308"/>
        <v/>
      </c>
    </row>
    <row r="19720" spans="26:26" x14ac:dyDescent="0.2">
      <c r="Z19720" t="str">
        <f t="shared" si="308"/>
        <v/>
      </c>
    </row>
    <row r="19721" spans="26:26" x14ac:dyDescent="0.2">
      <c r="Z19721" t="str">
        <f t="shared" si="308"/>
        <v/>
      </c>
    </row>
    <row r="19722" spans="26:26" x14ac:dyDescent="0.2">
      <c r="Z19722" t="str">
        <f t="shared" si="308"/>
        <v/>
      </c>
    </row>
    <row r="19723" spans="26:26" x14ac:dyDescent="0.2">
      <c r="Z19723" t="str">
        <f t="shared" si="308"/>
        <v/>
      </c>
    </row>
    <row r="19724" spans="26:26" x14ac:dyDescent="0.2">
      <c r="Z19724" t="str">
        <f t="shared" si="308"/>
        <v/>
      </c>
    </row>
    <row r="19725" spans="26:26" x14ac:dyDescent="0.2">
      <c r="Z19725" t="str">
        <f t="shared" si="308"/>
        <v/>
      </c>
    </row>
    <row r="19726" spans="26:26" x14ac:dyDescent="0.2">
      <c r="Z19726" t="str">
        <f t="shared" si="308"/>
        <v/>
      </c>
    </row>
    <row r="19727" spans="26:26" x14ac:dyDescent="0.2">
      <c r="Z19727" t="str">
        <f t="shared" si="308"/>
        <v/>
      </c>
    </row>
    <row r="19728" spans="26:26" x14ac:dyDescent="0.2">
      <c r="Z19728" t="str">
        <f t="shared" si="308"/>
        <v/>
      </c>
    </row>
    <row r="19729" spans="26:26" x14ac:dyDescent="0.2">
      <c r="Z19729" t="str">
        <f t="shared" si="308"/>
        <v/>
      </c>
    </row>
    <row r="19730" spans="26:26" x14ac:dyDescent="0.2">
      <c r="Z19730" t="str">
        <f t="shared" si="308"/>
        <v/>
      </c>
    </row>
    <row r="19731" spans="26:26" x14ac:dyDescent="0.2">
      <c r="Z19731" t="str">
        <f t="shared" si="308"/>
        <v/>
      </c>
    </row>
    <row r="19732" spans="26:26" x14ac:dyDescent="0.2">
      <c r="Z19732" t="str">
        <f t="shared" si="308"/>
        <v/>
      </c>
    </row>
    <row r="19733" spans="26:26" x14ac:dyDescent="0.2">
      <c r="Z19733" t="str">
        <f t="shared" si="308"/>
        <v/>
      </c>
    </row>
    <row r="19734" spans="26:26" x14ac:dyDescent="0.2">
      <c r="Z19734" t="str">
        <f t="shared" si="308"/>
        <v/>
      </c>
    </row>
    <row r="19735" spans="26:26" x14ac:dyDescent="0.2">
      <c r="Z19735" t="str">
        <f t="shared" si="308"/>
        <v/>
      </c>
    </row>
    <row r="19736" spans="26:26" x14ac:dyDescent="0.2">
      <c r="Z19736" t="str">
        <f t="shared" si="308"/>
        <v/>
      </c>
    </row>
    <row r="19737" spans="26:26" x14ac:dyDescent="0.2">
      <c r="Z19737" t="str">
        <f t="shared" si="308"/>
        <v/>
      </c>
    </row>
    <row r="19738" spans="26:26" x14ac:dyDescent="0.2">
      <c r="Z19738" t="str">
        <f t="shared" si="308"/>
        <v/>
      </c>
    </row>
    <row r="19739" spans="26:26" x14ac:dyDescent="0.2">
      <c r="Z19739" t="str">
        <f t="shared" si="308"/>
        <v/>
      </c>
    </row>
    <row r="19740" spans="26:26" x14ac:dyDescent="0.2">
      <c r="Z19740" t="str">
        <f t="shared" si="308"/>
        <v/>
      </c>
    </row>
    <row r="19741" spans="26:26" x14ac:dyDescent="0.2">
      <c r="Z19741" t="str">
        <f t="shared" si="308"/>
        <v/>
      </c>
    </row>
    <row r="19742" spans="26:26" x14ac:dyDescent="0.2">
      <c r="Z19742" t="str">
        <f t="shared" si="308"/>
        <v/>
      </c>
    </row>
    <row r="19743" spans="26:26" x14ac:dyDescent="0.2">
      <c r="Z19743" t="str">
        <f t="shared" si="308"/>
        <v/>
      </c>
    </row>
    <row r="19744" spans="26:26" x14ac:dyDescent="0.2">
      <c r="Z19744" t="str">
        <f t="shared" si="308"/>
        <v/>
      </c>
    </row>
    <row r="19745" spans="26:26" x14ac:dyDescent="0.2">
      <c r="Z19745" t="str">
        <f t="shared" si="308"/>
        <v/>
      </c>
    </row>
    <row r="19746" spans="26:26" x14ac:dyDescent="0.2">
      <c r="Z19746" t="str">
        <f t="shared" si="308"/>
        <v/>
      </c>
    </row>
    <row r="19747" spans="26:26" x14ac:dyDescent="0.2">
      <c r="Z19747" t="str">
        <f t="shared" si="308"/>
        <v/>
      </c>
    </row>
    <row r="19748" spans="26:26" x14ac:dyDescent="0.2">
      <c r="Z19748" t="str">
        <f t="shared" si="308"/>
        <v/>
      </c>
    </row>
    <row r="19749" spans="26:26" x14ac:dyDescent="0.2">
      <c r="Z19749" t="str">
        <f t="shared" si="308"/>
        <v/>
      </c>
    </row>
    <row r="19750" spans="26:26" x14ac:dyDescent="0.2">
      <c r="Z19750" t="str">
        <f t="shared" si="308"/>
        <v/>
      </c>
    </row>
    <row r="19751" spans="26:26" x14ac:dyDescent="0.2">
      <c r="Z19751" t="str">
        <f t="shared" si="308"/>
        <v/>
      </c>
    </row>
    <row r="19752" spans="26:26" x14ac:dyDescent="0.2">
      <c r="Z19752" t="str">
        <f t="shared" si="308"/>
        <v/>
      </c>
    </row>
    <row r="19753" spans="26:26" x14ac:dyDescent="0.2">
      <c r="Z19753" t="str">
        <f t="shared" si="308"/>
        <v/>
      </c>
    </row>
    <row r="19754" spans="26:26" x14ac:dyDescent="0.2">
      <c r="Z19754" t="str">
        <f t="shared" si="308"/>
        <v/>
      </c>
    </row>
    <row r="19755" spans="26:26" x14ac:dyDescent="0.2">
      <c r="Z19755" t="str">
        <f t="shared" si="308"/>
        <v/>
      </c>
    </row>
    <row r="19756" spans="26:26" x14ac:dyDescent="0.2">
      <c r="Z19756" t="str">
        <f t="shared" si="308"/>
        <v/>
      </c>
    </row>
    <row r="19757" spans="26:26" x14ac:dyDescent="0.2">
      <c r="Z19757" t="str">
        <f t="shared" si="308"/>
        <v/>
      </c>
    </row>
    <row r="19758" spans="26:26" x14ac:dyDescent="0.2">
      <c r="Z19758" t="str">
        <f t="shared" si="308"/>
        <v/>
      </c>
    </row>
    <row r="19759" spans="26:26" x14ac:dyDescent="0.2">
      <c r="Z19759" t="str">
        <f t="shared" si="308"/>
        <v/>
      </c>
    </row>
    <row r="19760" spans="26:26" x14ac:dyDescent="0.2">
      <c r="Z19760" t="str">
        <f t="shared" si="308"/>
        <v/>
      </c>
    </row>
    <row r="19761" spans="26:26" x14ac:dyDescent="0.2">
      <c r="Z19761" t="str">
        <f t="shared" si="308"/>
        <v/>
      </c>
    </row>
    <row r="19762" spans="26:26" x14ac:dyDescent="0.2">
      <c r="Z19762" t="str">
        <f t="shared" si="308"/>
        <v/>
      </c>
    </row>
    <row r="19763" spans="26:26" x14ac:dyDescent="0.2">
      <c r="Z19763" t="str">
        <f t="shared" si="308"/>
        <v/>
      </c>
    </row>
    <row r="19764" spans="26:26" x14ac:dyDescent="0.2">
      <c r="Z19764" t="str">
        <f t="shared" si="308"/>
        <v/>
      </c>
    </row>
    <row r="19765" spans="26:26" x14ac:dyDescent="0.2">
      <c r="Z19765" t="str">
        <f t="shared" si="308"/>
        <v/>
      </c>
    </row>
    <row r="19766" spans="26:26" x14ac:dyDescent="0.2">
      <c r="Z19766" t="str">
        <f t="shared" si="308"/>
        <v/>
      </c>
    </row>
    <row r="19767" spans="26:26" x14ac:dyDescent="0.2">
      <c r="Z19767" t="str">
        <f t="shared" si="308"/>
        <v/>
      </c>
    </row>
    <row r="19768" spans="26:26" x14ac:dyDescent="0.2">
      <c r="Z19768" t="str">
        <f t="shared" si="308"/>
        <v/>
      </c>
    </row>
    <row r="19769" spans="26:26" x14ac:dyDescent="0.2">
      <c r="Z19769" t="str">
        <f t="shared" si="308"/>
        <v/>
      </c>
    </row>
    <row r="19770" spans="26:26" x14ac:dyDescent="0.2">
      <c r="Z19770" t="str">
        <f t="shared" si="308"/>
        <v/>
      </c>
    </row>
    <row r="19771" spans="26:26" x14ac:dyDescent="0.2">
      <c r="Z19771" t="str">
        <f t="shared" si="308"/>
        <v/>
      </c>
    </row>
    <row r="19772" spans="26:26" x14ac:dyDescent="0.2">
      <c r="Z19772" t="str">
        <f t="shared" si="308"/>
        <v/>
      </c>
    </row>
    <row r="19773" spans="26:26" x14ac:dyDescent="0.2">
      <c r="Z19773" t="str">
        <f t="shared" si="308"/>
        <v/>
      </c>
    </row>
    <row r="19774" spans="26:26" x14ac:dyDescent="0.2">
      <c r="Z19774" t="str">
        <f t="shared" si="308"/>
        <v/>
      </c>
    </row>
    <row r="19775" spans="26:26" x14ac:dyDescent="0.2">
      <c r="Z19775" t="str">
        <f t="shared" si="308"/>
        <v/>
      </c>
    </row>
    <row r="19776" spans="26:26" x14ac:dyDescent="0.2">
      <c r="Z19776" t="str">
        <f t="shared" si="308"/>
        <v/>
      </c>
    </row>
    <row r="19777" spans="26:26" x14ac:dyDescent="0.2">
      <c r="Z19777" t="str">
        <f t="shared" si="308"/>
        <v/>
      </c>
    </row>
    <row r="19778" spans="26:26" x14ac:dyDescent="0.2">
      <c r="Z19778" t="str">
        <f t="shared" si="308"/>
        <v/>
      </c>
    </row>
    <row r="19779" spans="26:26" x14ac:dyDescent="0.2">
      <c r="Z19779" t="str">
        <f t="shared" ref="Z19779:Z19842" si="309">IF(K19779="","",IFERROR(VALUE(TRIM(MID(K19779,FIND(CHAR(167),SUBSTITUTE(K19779,"-",CHAR(167),LEN(K19779)-LEN(SUBSTITUTE(K19779,"-",""))))+1,100))),K19779))</f>
        <v/>
      </c>
    </row>
    <row r="19780" spans="26:26" x14ac:dyDescent="0.2">
      <c r="Z19780" t="str">
        <f t="shared" si="309"/>
        <v/>
      </c>
    </row>
    <row r="19781" spans="26:26" x14ac:dyDescent="0.2">
      <c r="Z19781" t="str">
        <f t="shared" si="309"/>
        <v/>
      </c>
    </row>
    <row r="19782" spans="26:26" x14ac:dyDescent="0.2">
      <c r="Z19782" t="str">
        <f t="shared" si="309"/>
        <v/>
      </c>
    </row>
    <row r="19783" spans="26:26" x14ac:dyDescent="0.2">
      <c r="Z19783" t="str">
        <f t="shared" si="309"/>
        <v/>
      </c>
    </row>
    <row r="19784" spans="26:26" x14ac:dyDescent="0.2">
      <c r="Z19784" t="str">
        <f t="shared" si="309"/>
        <v/>
      </c>
    </row>
    <row r="19785" spans="26:26" x14ac:dyDescent="0.2">
      <c r="Z19785" t="str">
        <f t="shared" si="309"/>
        <v/>
      </c>
    </row>
    <row r="19786" spans="26:26" x14ac:dyDescent="0.2">
      <c r="Z19786" t="str">
        <f t="shared" si="309"/>
        <v/>
      </c>
    </row>
    <row r="19787" spans="26:26" x14ac:dyDescent="0.2">
      <c r="Z19787" t="str">
        <f t="shared" si="309"/>
        <v/>
      </c>
    </row>
    <row r="19788" spans="26:26" x14ac:dyDescent="0.2">
      <c r="Z19788" t="str">
        <f t="shared" si="309"/>
        <v/>
      </c>
    </row>
    <row r="19789" spans="26:26" x14ac:dyDescent="0.2">
      <c r="Z19789" t="str">
        <f t="shared" si="309"/>
        <v/>
      </c>
    </row>
    <row r="19790" spans="26:26" x14ac:dyDescent="0.2">
      <c r="Z19790" t="str">
        <f t="shared" si="309"/>
        <v/>
      </c>
    </row>
    <row r="19791" spans="26:26" x14ac:dyDescent="0.2">
      <c r="Z19791" t="str">
        <f t="shared" si="309"/>
        <v/>
      </c>
    </row>
    <row r="19792" spans="26:26" x14ac:dyDescent="0.2">
      <c r="Z19792" t="str">
        <f t="shared" si="309"/>
        <v/>
      </c>
    </row>
    <row r="19793" spans="26:26" x14ac:dyDescent="0.2">
      <c r="Z19793" t="str">
        <f t="shared" si="309"/>
        <v/>
      </c>
    </row>
    <row r="19794" spans="26:26" x14ac:dyDescent="0.2">
      <c r="Z19794" t="str">
        <f t="shared" si="309"/>
        <v/>
      </c>
    </row>
    <row r="19795" spans="26:26" x14ac:dyDescent="0.2">
      <c r="Z19795" t="str">
        <f t="shared" si="309"/>
        <v/>
      </c>
    </row>
    <row r="19796" spans="26:26" x14ac:dyDescent="0.2">
      <c r="Z19796" t="str">
        <f t="shared" si="309"/>
        <v/>
      </c>
    </row>
    <row r="19797" spans="26:26" x14ac:dyDescent="0.2">
      <c r="Z19797" t="str">
        <f t="shared" si="309"/>
        <v/>
      </c>
    </row>
    <row r="19798" spans="26:26" x14ac:dyDescent="0.2">
      <c r="Z19798" t="str">
        <f t="shared" si="309"/>
        <v/>
      </c>
    </row>
    <row r="19799" spans="26:26" x14ac:dyDescent="0.2">
      <c r="Z19799" t="str">
        <f t="shared" si="309"/>
        <v/>
      </c>
    </row>
    <row r="19800" spans="26:26" x14ac:dyDescent="0.2">
      <c r="Z19800" t="str">
        <f t="shared" si="309"/>
        <v/>
      </c>
    </row>
    <row r="19801" spans="26:26" x14ac:dyDescent="0.2">
      <c r="Z19801" t="str">
        <f t="shared" si="309"/>
        <v/>
      </c>
    </row>
    <row r="19802" spans="26:26" x14ac:dyDescent="0.2">
      <c r="Z19802" t="str">
        <f t="shared" si="309"/>
        <v/>
      </c>
    </row>
    <row r="19803" spans="26:26" x14ac:dyDescent="0.2">
      <c r="Z19803" t="str">
        <f t="shared" si="309"/>
        <v/>
      </c>
    </row>
    <row r="19804" spans="26:26" x14ac:dyDescent="0.2">
      <c r="Z19804" t="str">
        <f t="shared" si="309"/>
        <v/>
      </c>
    </row>
    <row r="19805" spans="26:26" x14ac:dyDescent="0.2">
      <c r="Z19805" t="str">
        <f t="shared" si="309"/>
        <v/>
      </c>
    </row>
    <row r="19806" spans="26:26" x14ac:dyDescent="0.2">
      <c r="Z19806" t="str">
        <f t="shared" si="309"/>
        <v/>
      </c>
    </row>
    <row r="19807" spans="26:26" x14ac:dyDescent="0.2">
      <c r="Z19807" t="str">
        <f t="shared" si="309"/>
        <v/>
      </c>
    </row>
    <row r="19808" spans="26:26" x14ac:dyDescent="0.2">
      <c r="Z19808" t="str">
        <f t="shared" si="309"/>
        <v/>
      </c>
    </row>
    <row r="19809" spans="26:26" x14ac:dyDescent="0.2">
      <c r="Z19809" t="str">
        <f t="shared" si="309"/>
        <v/>
      </c>
    </row>
    <row r="19810" spans="26:26" x14ac:dyDescent="0.2">
      <c r="Z19810" t="str">
        <f t="shared" si="309"/>
        <v/>
      </c>
    </row>
    <row r="19811" spans="26:26" x14ac:dyDescent="0.2">
      <c r="Z19811" t="str">
        <f t="shared" si="309"/>
        <v/>
      </c>
    </row>
    <row r="19812" spans="26:26" x14ac:dyDescent="0.2">
      <c r="Z19812" t="str">
        <f t="shared" si="309"/>
        <v/>
      </c>
    </row>
    <row r="19813" spans="26:26" x14ac:dyDescent="0.2">
      <c r="Z19813" t="str">
        <f t="shared" si="309"/>
        <v/>
      </c>
    </row>
    <row r="19814" spans="26:26" x14ac:dyDescent="0.2">
      <c r="Z19814" t="str">
        <f t="shared" si="309"/>
        <v/>
      </c>
    </row>
    <row r="19815" spans="26:26" x14ac:dyDescent="0.2">
      <c r="Z19815" t="str">
        <f t="shared" si="309"/>
        <v/>
      </c>
    </row>
    <row r="19816" spans="26:26" x14ac:dyDescent="0.2">
      <c r="Z19816" t="str">
        <f t="shared" si="309"/>
        <v/>
      </c>
    </row>
    <row r="19817" spans="26:26" x14ac:dyDescent="0.2">
      <c r="Z19817" t="str">
        <f t="shared" si="309"/>
        <v/>
      </c>
    </row>
    <row r="19818" spans="26:26" x14ac:dyDescent="0.2">
      <c r="Z19818" t="str">
        <f t="shared" si="309"/>
        <v/>
      </c>
    </row>
    <row r="19819" spans="26:26" x14ac:dyDescent="0.2">
      <c r="Z19819" t="str">
        <f t="shared" si="309"/>
        <v/>
      </c>
    </row>
    <row r="19820" spans="26:26" x14ac:dyDescent="0.2">
      <c r="Z19820" t="str">
        <f t="shared" si="309"/>
        <v/>
      </c>
    </row>
    <row r="19821" spans="26:26" x14ac:dyDescent="0.2">
      <c r="Z19821" t="str">
        <f t="shared" si="309"/>
        <v/>
      </c>
    </row>
    <row r="19822" spans="26:26" x14ac:dyDescent="0.2">
      <c r="Z19822" t="str">
        <f t="shared" si="309"/>
        <v/>
      </c>
    </row>
    <row r="19823" spans="26:26" x14ac:dyDescent="0.2">
      <c r="Z19823" t="str">
        <f t="shared" si="309"/>
        <v/>
      </c>
    </row>
    <row r="19824" spans="26:26" x14ac:dyDescent="0.2">
      <c r="Z19824" t="str">
        <f t="shared" si="309"/>
        <v/>
      </c>
    </row>
    <row r="19825" spans="26:26" x14ac:dyDescent="0.2">
      <c r="Z19825" t="str">
        <f t="shared" si="309"/>
        <v/>
      </c>
    </row>
    <row r="19826" spans="26:26" x14ac:dyDescent="0.2">
      <c r="Z19826" t="str">
        <f t="shared" si="309"/>
        <v/>
      </c>
    </row>
    <row r="19827" spans="26:26" x14ac:dyDescent="0.2">
      <c r="Z19827" t="str">
        <f t="shared" si="309"/>
        <v/>
      </c>
    </row>
    <row r="19828" spans="26:26" x14ac:dyDescent="0.2">
      <c r="Z19828" t="str">
        <f t="shared" si="309"/>
        <v/>
      </c>
    </row>
    <row r="19829" spans="26:26" x14ac:dyDescent="0.2">
      <c r="Z19829" t="str">
        <f t="shared" si="309"/>
        <v/>
      </c>
    </row>
    <row r="19830" spans="26:26" x14ac:dyDescent="0.2">
      <c r="Z19830" t="str">
        <f t="shared" si="309"/>
        <v/>
      </c>
    </row>
    <row r="19831" spans="26:26" x14ac:dyDescent="0.2">
      <c r="Z19831" t="str">
        <f t="shared" si="309"/>
        <v/>
      </c>
    </row>
    <row r="19832" spans="26:26" x14ac:dyDescent="0.2">
      <c r="Z19832" t="str">
        <f t="shared" si="309"/>
        <v/>
      </c>
    </row>
    <row r="19833" spans="26:26" x14ac:dyDescent="0.2">
      <c r="Z19833" t="str">
        <f t="shared" si="309"/>
        <v/>
      </c>
    </row>
    <row r="19834" spans="26:26" x14ac:dyDescent="0.2">
      <c r="Z19834" t="str">
        <f t="shared" si="309"/>
        <v/>
      </c>
    </row>
    <row r="19835" spans="26:26" x14ac:dyDescent="0.2">
      <c r="Z19835" t="str">
        <f t="shared" si="309"/>
        <v/>
      </c>
    </row>
    <row r="19836" spans="26:26" x14ac:dyDescent="0.2">
      <c r="Z19836" t="str">
        <f t="shared" si="309"/>
        <v/>
      </c>
    </row>
    <row r="19837" spans="26:26" x14ac:dyDescent="0.2">
      <c r="Z19837" t="str">
        <f t="shared" si="309"/>
        <v/>
      </c>
    </row>
    <row r="19838" spans="26:26" x14ac:dyDescent="0.2">
      <c r="Z19838" t="str">
        <f t="shared" si="309"/>
        <v/>
      </c>
    </row>
    <row r="19839" spans="26:26" x14ac:dyDescent="0.2">
      <c r="Z19839" t="str">
        <f t="shared" si="309"/>
        <v/>
      </c>
    </row>
    <row r="19840" spans="26:26" x14ac:dyDescent="0.2">
      <c r="Z19840" t="str">
        <f t="shared" si="309"/>
        <v/>
      </c>
    </row>
    <row r="19841" spans="26:26" x14ac:dyDescent="0.2">
      <c r="Z19841" t="str">
        <f t="shared" si="309"/>
        <v/>
      </c>
    </row>
    <row r="19842" spans="26:26" x14ac:dyDescent="0.2">
      <c r="Z19842" t="str">
        <f t="shared" si="309"/>
        <v/>
      </c>
    </row>
    <row r="19843" spans="26:26" x14ac:dyDescent="0.2">
      <c r="Z19843" t="str">
        <f t="shared" ref="Z19843:Z19906" si="310">IF(K19843="","",IFERROR(VALUE(TRIM(MID(K19843,FIND(CHAR(167),SUBSTITUTE(K19843,"-",CHAR(167),LEN(K19843)-LEN(SUBSTITUTE(K19843,"-",""))))+1,100))),K19843))</f>
        <v/>
      </c>
    </row>
    <row r="19844" spans="26:26" x14ac:dyDescent="0.2">
      <c r="Z19844" t="str">
        <f t="shared" si="310"/>
        <v/>
      </c>
    </row>
    <row r="19845" spans="26:26" x14ac:dyDescent="0.2">
      <c r="Z19845" t="str">
        <f t="shared" si="310"/>
        <v/>
      </c>
    </row>
    <row r="19846" spans="26:26" x14ac:dyDescent="0.2">
      <c r="Z19846" t="str">
        <f t="shared" si="310"/>
        <v/>
      </c>
    </row>
    <row r="19847" spans="26:26" x14ac:dyDescent="0.2">
      <c r="Z19847" t="str">
        <f t="shared" si="310"/>
        <v/>
      </c>
    </row>
    <row r="19848" spans="26:26" x14ac:dyDescent="0.2">
      <c r="Z19848" t="str">
        <f t="shared" si="310"/>
        <v/>
      </c>
    </row>
    <row r="19849" spans="26:26" x14ac:dyDescent="0.2">
      <c r="Z19849" t="str">
        <f t="shared" si="310"/>
        <v/>
      </c>
    </row>
    <row r="19850" spans="26:26" x14ac:dyDescent="0.2">
      <c r="Z19850" t="str">
        <f t="shared" si="310"/>
        <v/>
      </c>
    </row>
    <row r="19851" spans="26:26" x14ac:dyDescent="0.2">
      <c r="Z19851" t="str">
        <f t="shared" si="310"/>
        <v/>
      </c>
    </row>
    <row r="19852" spans="26:26" x14ac:dyDescent="0.2">
      <c r="Z19852" t="str">
        <f t="shared" si="310"/>
        <v/>
      </c>
    </row>
    <row r="19853" spans="26:26" x14ac:dyDescent="0.2">
      <c r="Z19853" t="str">
        <f t="shared" si="310"/>
        <v/>
      </c>
    </row>
    <row r="19854" spans="26:26" x14ac:dyDescent="0.2">
      <c r="Z19854" t="str">
        <f t="shared" si="310"/>
        <v/>
      </c>
    </row>
    <row r="19855" spans="26:26" x14ac:dyDescent="0.2">
      <c r="Z19855" t="str">
        <f t="shared" si="310"/>
        <v/>
      </c>
    </row>
    <row r="19856" spans="26:26" x14ac:dyDescent="0.2">
      <c r="Z19856" t="str">
        <f t="shared" si="310"/>
        <v/>
      </c>
    </row>
    <row r="19857" spans="26:26" x14ac:dyDescent="0.2">
      <c r="Z19857" t="str">
        <f t="shared" si="310"/>
        <v/>
      </c>
    </row>
    <row r="19858" spans="26:26" x14ac:dyDescent="0.2">
      <c r="Z19858" t="str">
        <f t="shared" si="310"/>
        <v/>
      </c>
    </row>
    <row r="19859" spans="26:26" x14ac:dyDescent="0.2">
      <c r="Z19859" t="str">
        <f t="shared" si="310"/>
        <v/>
      </c>
    </row>
    <row r="19860" spans="26:26" x14ac:dyDescent="0.2">
      <c r="Z19860" t="str">
        <f t="shared" si="310"/>
        <v/>
      </c>
    </row>
    <row r="19861" spans="26:26" x14ac:dyDescent="0.2">
      <c r="Z19861" t="str">
        <f t="shared" si="310"/>
        <v/>
      </c>
    </row>
    <row r="19862" spans="26:26" x14ac:dyDescent="0.2">
      <c r="Z19862" t="str">
        <f t="shared" si="310"/>
        <v/>
      </c>
    </row>
    <row r="19863" spans="26:26" x14ac:dyDescent="0.2">
      <c r="Z19863" t="str">
        <f t="shared" si="310"/>
        <v/>
      </c>
    </row>
    <row r="19864" spans="26:26" x14ac:dyDescent="0.2">
      <c r="Z19864" t="str">
        <f t="shared" si="310"/>
        <v/>
      </c>
    </row>
    <row r="19865" spans="26:26" x14ac:dyDescent="0.2">
      <c r="Z19865" t="str">
        <f t="shared" si="310"/>
        <v/>
      </c>
    </row>
    <row r="19866" spans="26:26" x14ac:dyDescent="0.2">
      <c r="Z19866" t="str">
        <f t="shared" si="310"/>
        <v/>
      </c>
    </row>
    <row r="19867" spans="26:26" x14ac:dyDescent="0.2">
      <c r="Z19867" t="str">
        <f t="shared" si="310"/>
        <v/>
      </c>
    </row>
    <row r="19868" spans="26:26" x14ac:dyDescent="0.2">
      <c r="Z19868" t="str">
        <f t="shared" si="310"/>
        <v/>
      </c>
    </row>
    <row r="19869" spans="26:26" x14ac:dyDescent="0.2">
      <c r="Z19869" t="str">
        <f t="shared" si="310"/>
        <v/>
      </c>
    </row>
    <row r="19870" spans="26:26" x14ac:dyDescent="0.2">
      <c r="Z19870" t="str">
        <f t="shared" si="310"/>
        <v/>
      </c>
    </row>
    <row r="19871" spans="26:26" x14ac:dyDescent="0.2">
      <c r="Z19871" t="str">
        <f t="shared" si="310"/>
        <v/>
      </c>
    </row>
    <row r="19872" spans="26:26" x14ac:dyDescent="0.2">
      <c r="Z19872" t="str">
        <f t="shared" si="310"/>
        <v/>
      </c>
    </row>
    <row r="19873" spans="26:26" x14ac:dyDescent="0.2">
      <c r="Z19873" t="str">
        <f t="shared" si="310"/>
        <v/>
      </c>
    </row>
    <row r="19874" spans="26:26" x14ac:dyDescent="0.2">
      <c r="Z19874" t="str">
        <f t="shared" si="310"/>
        <v/>
      </c>
    </row>
    <row r="19875" spans="26:26" x14ac:dyDescent="0.2">
      <c r="Z19875" t="str">
        <f t="shared" si="310"/>
        <v/>
      </c>
    </row>
    <row r="19876" spans="26:26" x14ac:dyDescent="0.2">
      <c r="Z19876" t="str">
        <f t="shared" si="310"/>
        <v/>
      </c>
    </row>
    <row r="19877" spans="26:26" x14ac:dyDescent="0.2">
      <c r="Z19877" t="str">
        <f t="shared" si="310"/>
        <v/>
      </c>
    </row>
    <row r="19878" spans="26:26" x14ac:dyDescent="0.2">
      <c r="Z19878" t="str">
        <f t="shared" si="310"/>
        <v/>
      </c>
    </row>
    <row r="19879" spans="26:26" x14ac:dyDescent="0.2">
      <c r="Z19879" t="str">
        <f t="shared" si="310"/>
        <v/>
      </c>
    </row>
    <row r="19880" spans="26:26" x14ac:dyDescent="0.2">
      <c r="Z19880" t="str">
        <f t="shared" si="310"/>
        <v/>
      </c>
    </row>
    <row r="19881" spans="26:26" x14ac:dyDescent="0.2">
      <c r="Z19881" t="str">
        <f t="shared" si="310"/>
        <v/>
      </c>
    </row>
    <row r="19882" spans="26:26" x14ac:dyDescent="0.2">
      <c r="Z19882" t="str">
        <f t="shared" si="310"/>
        <v/>
      </c>
    </row>
    <row r="19883" spans="26:26" x14ac:dyDescent="0.2">
      <c r="Z19883" t="str">
        <f t="shared" si="310"/>
        <v/>
      </c>
    </row>
    <row r="19884" spans="26:26" x14ac:dyDescent="0.2">
      <c r="Z19884" t="str">
        <f t="shared" si="310"/>
        <v/>
      </c>
    </row>
    <row r="19885" spans="26:26" x14ac:dyDescent="0.2">
      <c r="Z19885" t="str">
        <f t="shared" si="310"/>
        <v/>
      </c>
    </row>
    <row r="19886" spans="26:26" x14ac:dyDescent="0.2">
      <c r="Z19886" t="str">
        <f t="shared" si="310"/>
        <v/>
      </c>
    </row>
    <row r="19887" spans="26:26" x14ac:dyDescent="0.2">
      <c r="Z19887" t="str">
        <f t="shared" si="310"/>
        <v/>
      </c>
    </row>
    <row r="19888" spans="26:26" x14ac:dyDescent="0.2">
      <c r="Z19888" t="str">
        <f t="shared" si="310"/>
        <v/>
      </c>
    </row>
    <row r="19889" spans="26:26" x14ac:dyDescent="0.2">
      <c r="Z19889" t="str">
        <f t="shared" si="310"/>
        <v/>
      </c>
    </row>
    <row r="19890" spans="26:26" x14ac:dyDescent="0.2">
      <c r="Z19890" t="str">
        <f t="shared" si="310"/>
        <v/>
      </c>
    </row>
    <row r="19891" spans="26:26" x14ac:dyDescent="0.2">
      <c r="Z19891" t="str">
        <f t="shared" si="310"/>
        <v/>
      </c>
    </row>
    <row r="19892" spans="26:26" x14ac:dyDescent="0.2">
      <c r="Z19892" t="str">
        <f t="shared" si="310"/>
        <v/>
      </c>
    </row>
    <row r="19893" spans="26:26" x14ac:dyDescent="0.2">
      <c r="Z19893" t="str">
        <f t="shared" si="310"/>
        <v/>
      </c>
    </row>
    <row r="19894" spans="26:26" x14ac:dyDescent="0.2">
      <c r="Z19894" t="str">
        <f t="shared" si="310"/>
        <v/>
      </c>
    </row>
    <row r="19895" spans="26:26" x14ac:dyDescent="0.2">
      <c r="Z19895" t="str">
        <f t="shared" si="310"/>
        <v/>
      </c>
    </row>
    <row r="19896" spans="26:26" x14ac:dyDescent="0.2">
      <c r="Z19896" t="str">
        <f t="shared" si="310"/>
        <v/>
      </c>
    </row>
    <row r="19897" spans="26:26" x14ac:dyDescent="0.2">
      <c r="Z19897" t="str">
        <f t="shared" si="310"/>
        <v/>
      </c>
    </row>
    <row r="19898" spans="26:26" x14ac:dyDescent="0.2">
      <c r="Z19898" t="str">
        <f t="shared" si="310"/>
        <v/>
      </c>
    </row>
    <row r="19899" spans="26:26" x14ac:dyDescent="0.2">
      <c r="Z19899" t="str">
        <f t="shared" si="310"/>
        <v/>
      </c>
    </row>
    <row r="19900" spans="26:26" x14ac:dyDescent="0.2">
      <c r="Z19900" t="str">
        <f t="shared" si="310"/>
        <v/>
      </c>
    </row>
    <row r="19901" spans="26:26" x14ac:dyDescent="0.2">
      <c r="Z19901" t="str">
        <f t="shared" si="310"/>
        <v/>
      </c>
    </row>
    <row r="19902" spans="26:26" x14ac:dyDescent="0.2">
      <c r="Z19902" t="str">
        <f t="shared" si="310"/>
        <v/>
      </c>
    </row>
    <row r="19903" spans="26:26" x14ac:dyDescent="0.2">
      <c r="Z19903" t="str">
        <f t="shared" si="310"/>
        <v/>
      </c>
    </row>
    <row r="19904" spans="26:26" x14ac:dyDescent="0.2">
      <c r="Z19904" t="str">
        <f t="shared" si="310"/>
        <v/>
      </c>
    </row>
    <row r="19905" spans="26:26" x14ac:dyDescent="0.2">
      <c r="Z19905" t="str">
        <f t="shared" si="310"/>
        <v/>
      </c>
    </row>
    <row r="19906" spans="26:26" x14ac:dyDescent="0.2">
      <c r="Z19906" t="str">
        <f t="shared" si="310"/>
        <v/>
      </c>
    </row>
    <row r="19907" spans="26:26" x14ac:dyDescent="0.2">
      <c r="Z19907" t="str">
        <f t="shared" ref="Z19907:Z19970" si="311">IF(K19907="","",IFERROR(VALUE(TRIM(MID(K19907,FIND(CHAR(167),SUBSTITUTE(K19907,"-",CHAR(167),LEN(K19907)-LEN(SUBSTITUTE(K19907,"-",""))))+1,100))),K19907))</f>
        <v/>
      </c>
    </row>
    <row r="19908" spans="26:26" x14ac:dyDescent="0.2">
      <c r="Z19908" t="str">
        <f t="shared" si="311"/>
        <v/>
      </c>
    </row>
    <row r="19909" spans="26:26" x14ac:dyDescent="0.2">
      <c r="Z19909" t="str">
        <f t="shared" si="311"/>
        <v/>
      </c>
    </row>
    <row r="19910" spans="26:26" x14ac:dyDescent="0.2">
      <c r="Z19910" t="str">
        <f t="shared" si="311"/>
        <v/>
      </c>
    </row>
    <row r="19911" spans="26:26" x14ac:dyDescent="0.2">
      <c r="Z19911" t="str">
        <f t="shared" si="311"/>
        <v/>
      </c>
    </row>
    <row r="19912" spans="26:26" x14ac:dyDescent="0.2">
      <c r="Z19912" t="str">
        <f t="shared" si="311"/>
        <v/>
      </c>
    </row>
    <row r="19913" spans="26:26" x14ac:dyDescent="0.2">
      <c r="Z19913" t="str">
        <f t="shared" si="311"/>
        <v/>
      </c>
    </row>
    <row r="19914" spans="26:26" x14ac:dyDescent="0.2">
      <c r="Z19914" t="str">
        <f t="shared" si="311"/>
        <v/>
      </c>
    </row>
    <row r="19915" spans="26:26" x14ac:dyDescent="0.2">
      <c r="Z19915" t="str">
        <f t="shared" si="311"/>
        <v/>
      </c>
    </row>
    <row r="19916" spans="26:26" x14ac:dyDescent="0.2">
      <c r="Z19916" t="str">
        <f t="shared" si="311"/>
        <v/>
      </c>
    </row>
    <row r="19917" spans="26:26" x14ac:dyDescent="0.2">
      <c r="Z19917" t="str">
        <f t="shared" si="311"/>
        <v/>
      </c>
    </row>
    <row r="19918" spans="26:26" x14ac:dyDescent="0.2">
      <c r="Z19918" t="str">
        <f t="shared" si="311"/>
        <v/>
      </c>
    </row>
    <row r="19919" spans="26:26" x14ac:dyDescent="0.2">
      <c r="Z19919" t="str">
        <f t="shared" si="311"/>
        <v/>
      </c>
    </row>
    <row r="19920" spans="26:26" x14ac:dyDescent="0.2">
      <c r="Z19920" t="str">
        <f t="shared" si="311"/>
        <v/>
      </c>
    </row>
    <row r="19921" spans="26:26" x14ac:dyDescent="0.2">
      <c r="Z19921" t="str">
        <f t="shared" si="311"/>
        <v/>
      </c>
    </row>
    <row r="19922" spans="26:26" x14ac:dyDescent="0.2">
      <c r="Z19922" t="str">
        <f t="shared" si="311"/>
        <v/>
      </c>
    </row>
    <row r="19923" spans="26:26" x14ac:dyDescent="0.2">
      <c r="Z19923" t="str">
        <f t="shared" si="311"/>
        <v/>
      </c>
    </row>
    <row r="19924" spans="26:26" x14ac:dyDescent="0.2">
      <c r="Z19924" t="str">
        <f t="shared" si="311"/>
        <v/>
      </c>
    </row>
    <row r="19925" spans="26:26" x14ac:dyDescent="0.2">
      <c r="Z19925" t="str">
        <f t="shared" si="311"/>
        <v/>
      </c>
    </row>
    <row r="19926" spans="26:26" x14ac:dyDescent="0.2">
      <c r="Z19926" t="str">
        <f t="shared" si="311"/>
        <v/>
      </c>
    </row>
    <row r="19927" spans="26:26" x14ac:dyDescent="0.2">
      <c r="Z19927" t="str">
        <f t="shared" si="311"/>
        <v/>
      </c>
    </row>
    <row r="19928" spans="26:26" x14ac:dyDescent="0.2">
      <c r="Z19928" t="str">
        <f t="shared" si="311"/>
        <v/>
      </c>
    </row>
    <row r="19929" spans="26:26" x14ac:dyDescent="0.2">
      <c r="Z19929" t="str">
        <f t="shared" si="311"/>
        <v/>
      </c>
    </row>
    <row r="19930" spans="26:26" x14ac:dyDescent="0.2">
      <c r="Z19930" t="str">
        <f t="shared" si="311"/>
        <v/>
      </c>
    </row>
    <row r="19931" spans="26:26" x14ac:dyDescent="0.2">
      <c r="Z19931" t="str">
        <f t="shared" si="311"/>
        <v/>
      </c>
    </row>
    <row r="19932" spans="26:26" x14ac:dyDescent="0.2">
      <c r="Z19932" t="str">
        <f t="shared" si="311"/>
        <v/>
      </c>
    </row>
    <row r="19933" spans="26:26" x14ac:dyDescent="0.2">
      <c r="Z19933" t="str">
        <f t="shared" si="311"/>
        <v/>
      </c>
    </row>
    <row r="19934" spans="26:26" x14ac:dyDescent="0.2">
      <c r="Z19934" t="str">
        <f t="shared" si="311"/>
        <v/>
      </c>
    </row>
    <row r="19935" spans="26:26" x14ac:dyDescent="0.2">
      <c r="Z19935" t="str">
        <f t="shared" si="311"/>
        <v/>
      </c>
    </row>
    <row r="19936" spans="26:26" x14ac:dyDescent="0.2">
      <c r="Z19936" t="str">
        <f t="shared" si="311"/>
        <v/>
      </c>
    </row>
    <row r="19937" spans="26:26" x14ac:dyDescent="0.2">
      <c r="Z19937" t="str">
        <f t="shared" si="311"/>
        <v/>
      </c>
    </row>
    <row r="19938" spans="26:26" x14ac:dyDescent="0.2">
      <c r="Z19938" t="str">
        <f t="shared" si="311"/>
        <v/>
      </c>
    </row>
    <row r="19939" spans="26:26" x14ac:dyDescent="0.2">
      <c r="Z19939" t="str">
        <f t="shared" si="311"/>
        <v/>
      </c>
    </row>
    <row r="19940" spans="26:26" x14ac:dyDescent="0.2">
      <c r="Z19940" t="str">
        <f t="shared" si="311"/>
        <v/>
      </c>
    </row>
    <row r="19941" spans="26:26" x14ac:dyDescent="0.2">
      <c r="Z19941" t="str">
        <f t="shared" si="311"/>
        <v/>
      </c>
    </row>
    <row r="19942" spans="26:26" x14ac:dyDescent="0.2">
      <c r="Z19942" t="str">
        <f t="shared" si="311"/>
        <v/>
      </c>
    </row>
    <row r="19943" spans="26:26" x14ac:dyDescent="0.2">
      <c r="Z19943" t="str">
        <f t="shared" si="311"/>
        <v/>
      </c>
    </row>
    <row r="19944" spans="26:26" x14ac:dyDescent="0.2">
      <c r="Z19944" t="str">
        <f t="shared" si="311"/>
        <v/>
      </c>
    </row>
    <row r="19945" spans="26:26" x14ac:dyDescent="0.2">
      <c r="Z19945" t="str">
        <f t="shared" si="311"/>
        <v/>
      </c>
    </row>
    <row r="19946" spans="26:26" x14ac:dyDescent="0.2">
      <c r="Z19946" t="str">
        <f t="shared" si="311"/>
        <v/>
      </c>
    </row>
    <row r="19947" spans="26:26" x14ac:dyDescent="0.2">
      <c r="Z19947" t="str">
        <f t="shared" si="311"/>
        <v/>
      </c>
    </row>
    <row r="19948" spans="26:26" x14ac:dyDescent="0.2">
      <c r="Z19948" t="str">
        <f t="shared" si="311"/>
        <v/>
      </c>
    </row>
    <row r="19949" spans="26:26" x14ac:dyDescent="0.2">
      <c r="Z19949" t="str">
        <f t="shared" si="311"/>
        <v/>
      </c>
    </row>
    <row r="19950" spans="26:26" x14ac:dyDescent="0.2">
      <c r="Z19950" t="str">
        <f t="shared" si="311"/>
        <v/>
      </c>
    </row>
    <row r="19951" spans="26:26" x14ac:dyDescent="0.2">
      <c r="Z19951" t="str">
        <f t="shared" si="311"/>
        <v/>
      </c>
    </row>
    <row r="19952" spans="26:26" x14ac:dyDescent="0.2">
      <c r="Z19952" t="str">
        <f t="shared" si="311"/>
        <v/>
      </c>
    </row>
    <row r="19953" spans="26:26" x14ac:dyDescent="0.2">
      <c r="Z19953" t="str">
        <f t="shared" si="311"/>
        <v/>
      </c>
    </row>
    <row r="19954" spans="26:26" x14ac:dyDescent="0.2">
      <c r="Z19954" t="str">
        <f t="shared" si="311"/>
        <v/>
      </c>
    </row>
    <row r="19955" spans="26:26" x14ac:dyDescent="0.2">
      <c r="Z19955" t="str">
        <f t="shared" si="311"/>
        <v/>
      </c>
    </row>
    <row r="19956" spans="26:26" x14ac:dyDescent="0.2">
      <c r="Z19956" t="str">
        <f t="shared" si="311"/>
        <v/>
      </c>
    </row>
    <row r="19957" spans="26:26" x14ac:dyDescent="0.2">
      <c r="Z19957" t="str">
        <f t="shared" si="311"/>
        <v/>
      </c>
    </row>
    <row r="19958" spans="26:26" x14ac:dyDescent="0.2">
      <c r="Z19958" t="str">
        <f t="shared" si="311"/>
        <v/>
      </c>
    </row>
    <row r="19959" spans="26:26" x14ac:dyDescent="0.2">
      <c r="Z19959" t="str">
        <f t="shared" si="311"/>
        <v/>
      </c>
    </row>
    <row r="19960" spans="26:26" x14ac:dyDescent="0.2">
      <c r="Z19960" t="str">
        <f t="shared" si="311"/>
        <v/>
      </c>
    </row>
    <row r="19961" spans="26:26" x14ac:dyDescent="0.2">
      <c r="Z19961" t="str">
        <f t="shared" si="311"/>
        <v/>
      </c>
    </row>
    <row r="19962" spans="26:26" x14ac:dyDescent="0.2">
      <c r="Z19962" t="str">
        <f t="shared" si="311"/>
        <v/>
      </c>
    </row>
    <row r="19963" spans="26:26" x14ac:dyDescent="0.2">
      <c r="Z19963" t="str">
        <f t="shared" si="311"/>
        <v/>
      </c>
    </row>
    <row r="19964" spans="26:26" x14ac:dyDescent="0.2">
      <c r="Z19964" t="str">
        <f t="shared" si="311"/>
        <v/>
      </c>
    </row>
    <row r="19965" spans="26:26" x14ac:dyDescent="0.2">
      <c r="Z19965" t="str">
        <f t="shared" si="311"/>
        <v/>
      </c>
    </row>
    <row r="19966" spans="26:26" x14ac:dyDescent="0.2">
      <c r="Z19966" t="str">
        <f t="shared" si="311"/>
        <v/>
      </c>
    </row>
    <row r="19967" spans="26:26" x14ac:dyDescent="0.2">
      <c r="Z19967" t="str">
        <f t="shared" si="311"/>
        <v/>
      </c>
    </row>
    <row r="19968" spans="26:26" x14ac:dyDescent="0.2">
      <c r="Z19968" t="str">
        <f t="shared" si="311"/>
        <v/>
      </c>
    </row>
    <row r="19969" spans="26:26" x14ac:dyDescent="0.2">
      <c r="Z19969" t="str">
        <f t="shared" si="311"/>
        <v/>
      </c>
    </row>
    <row r="19970" spans="26:26" x14ac:dyDescent="0.2">
      <c r="Z19970" t="str">
        <f t="shared" si="311"/>
        <v/>
      </c>
    </row>
    <row r="19971" spans="26:26" x14ac:dyDescent="0.2">
      <c r="Z19971" t="str">
        <f t="shared" ref="Z19971:Z20034" si="312">IF(K19971="","",IFERROR(VALUE(TRIM(MID(K19971,FIND(CHAR(167),SUBSTITUTE(K19971,"-",CHAR(167),LEN(K19971)-LEN(SUBSTITUTE(K19971,"-",""))))+1,100))),K19971))</f>
        <v/>
      </c>
    </row>
    <row r="19972" spans="26:26" x14ac:dyDescent="0.2">
      <c r="Z19972" t="str">
        <f t="shared" si="312"/>
        <v/>
      </c>
    </row>
    <row r="19973" spans="26:26" x14ac:dyDescent="0.2">
      <c r="Z19973" t="str">
        <f t="shared" si="312"/>
        <v/>
      </c>
    </row>
    <row r="19974" spans="26:26" x14ac:dyDescent="0.2">
      <c r="Z19974" t="str">
        <f t="shared" si="312"/>
        <v/>
      </c>
    </row>
    <row r="19975" spans="26:26" x14ac:dyDescent="0.2">
      <c r="Z19975" t="str">
        <f t="shared" si="312"/>
        <v/>
      </c>
    </row>
    <row r="19976" spans="26:26" x14ac:dyDescent="0.2">
      <c r="Z19976" t="str">
        <f t="shared" si="312"/>
        <v/>
      </c>
    </row>
    <row r="19977" spans="26:26" x14ac:dyDescent="0.2">
      <c r="Z19977" t="str">
        <f t="shared" si="312"/>
        <v/>
      </c>
    </row>
    <row r="19978" spans="26:26" x14ac:dyDescent="0.2">
      <c r="Z19978" t="str">
        <f t="shared" si="312"/>
        <v/>
      </c>
    </row>
    <row r="19979" spans="26:26" x14ac:dyDescent="0.2">
      <c r="Z19979" t="str">
        <f t="shared" si="312"/>
        <v/>
      </c>
    </row>
    <row r="19980" spans="26:26" x14ac:dyDescent="0.2">
      <c r="Z19980" t="str">
        <f t="shared" si="312"/>
        <v/>
      </c>
    </row>
    <row r="19981" spans="26:26" x14ac:dyDescent="0.2">
      <c r="Z19981" t="str">
        <f t="shared" si="312"/>
        <v/>
      </c>
    </row>
    <row r="19982" spans="26:26" x14ac:dyDescent="0.2">
      <c r="Z19982" t="str">
        <f t="shared" si="312"/>
        <v/>
      </c>
    </row>
    <row r="19983" spans="26:26" x14ac:dyDescent="0.2">
      <c r="Z19983" t="str">
        <f t="shared" si="312"/>
        <v/>
      </c>
    </row>
    <row r="19984" spans="26:26" x14ac:dyDescent="0.2">
      <c r="Z19984" t="str">
        <f t="shared" si="312"/>
        <v/>
      </c>
    </row>
    <row r="19985" spans="26:26" x14ac:dyDescent="0.2">
      <c r="Z19985" t="str">
        <f t="shared" si="312"/>
        <v/>
      </c>
    </row>
    <row r="19986" spans="26:26" x14ac:dyDescent="0.2">
      <c r="Z19986" t="str">
        <f t="shared" si="312"/>
        <v/>
      </c>
    </row>
    <row r="19987" spans="26:26" x14ac:dyDescent="0.2">
      <c r="Z19987" t="str">
        <f t="shared" si="312"/>
        <v/>
      </c>
    </row>
    <row r="19988" spans="26:26" x14ac:dyDescent="0.2">
      <c r="Z19988" t="str">
        <f t="shared" si="312"/>
        <v/>
      </c>
    </row>
    <row r="19989" spans="26:26" x14ac:dyDescent="0.2">
      <c r="Z19989" t="str">
        <f t="shared" si="312"/>
        <v/>
      </c>
    </row>
    <row r="19990" spans="26:26" x14ac:dyDescent="0.2">
      <c r="Z19990" t="str">
        <f t="shared" si="312"/>
        <v/>
      </c>
    </row>
    <row r="19991" spans="26:26" x14ac:dyDescent="0.2">
      <c r="Z19991" t="str">
        <f t="shared" si="312"/>
        <v/>
      </c>
    </row>
    <row r="19992" spans="26:26" x14ac:dyDescent="0.2">
      <c r="Z19992" t="str">
        <f t="shared" si="312"/>
        <v/>
      </c>
    </row>
    <row r="19993" spans="26:26" x14ac:dyDescent="0.2">
      <c r="Z19993" t="str">
        <f t="shared" si="312"/>
        <v/>
      </c>
    </row>
    <row r="19994" spans="26:26" x14ac:dyDescent="0.2">
      <c r="Z19994" t="str">
        <f t="shared" si="312"/>
        <v/>
      </c>
    </row>
    <row r="19995" spans="26:26" x14ac:dyDescent="0.2">
      <c r="Z19995" t="str">
        <f t="shared" si="312"/>
        <v/>
      </c>
    </row>
    <row r="19996" spans="26:26" x14ac:dyDescent="0.2">
      <c r="Z19996" t="str">
        <f t="shared" si="312"/>
        <v/>
      </c>
    </row>
    <row r="19997" spans="26:26" x14ac:dyDescent="0.2">
      <c r="Z19997" t="str">
        <f t="shared" si="312"/>
        <v/>
      </c>
    </row>
    <row r="19998" spans="26:26" x14ac:dyDescent="0.2">
      <c r="Z19998" t="str">
        <f t="shared" si="312"/>
        <v/>
      </c>
    </row>
    <row r="19999" spans="26:26" x14ac:dyDescent="0.2">
      <c r="Z19999" t="str">
        <f t="shared" si="312"/>
        <v/>
      </c>
    </row>
    <row r="20000" spans="26:26" x14ac:dyDescent="0.2">
      <c r="Z20000" t="str">
        <f t="shared" si="312"/>
        <v/>
      </c>
    </row>
    <row r="20001" spans="26:26" x14ac:dyDescent="0.2">
      <c r="Z20001" t="str">
        <f t="shared" si="312"/>
        <v/>
      </c>
    </row>
    <row r="20002" spans="26:26" x14ac:dyDescent="0.2">
      <c r="Z20002" t="str">
        <f t="shared" si="312"/>
        <v/>
      </c>
    </row>
    <row r="20003" spans="26:26" x14ac:dyDescent="0.2">
      <c r="Z20003" t="str">
        <f t="shared" si="312"/>
        <v/>
      </c>
    </row>
    <row r="20004" spans="26:26" x14ac:dyDescent="0.2">
      <c r="Z20004" t="str">
        <f t="shared" si="312"/>
        <v/>
      </c>
    </row>
    <row r="20005" spans="26:26" x14ac:dyDescent="0.2">
      <c r="Z20005" t="str">
        <f t="shared" si="312"/>
        <v/>
      </c>
    </row>
    <row r="20006" spans="26:26" x14ac:dyDescent="0.2">
      <c r="Z20006" t="str">
        <f t="shared" si="312"/>
        <v/>
      </c>
    </row>
    <row r="20007" spans="26:26" x14ac:dyDescent="0.2">
      <c r="Z20007" t="str">
        <f t="shared" si="312"/>
        <v/>
      </c>
    </row>
    <row r="20008" spans="26:26" x14ac:dyDescent="0.2">
      <c r="Z20008" t="str">
        <f t="shared" si="312"/>
        <v/>
      </c>
    </row>
    <row r="20009" spans="26:26" x14ac:dyDescent="0.2">
      <c r="Z20009" t="str">
        <f t="shared" si="312"/>
        <v/>
      </c>
    </row>
    <row r="20010" spans="26:26" x14ac:dyDescent="0.2">
      <c r="Z20010" t="str">
        <f t="shared" si="312"/>
        <v/>
      </c>
    </row>
    <row r="20011" spans="26:26" x14ac:dyDescent="0.2">
      <c r="Z20011" t="str">
        <f t="shared" si="312"/>
        <v/>
      </c>
    </row>
    <row r="20012" spans="26:26" x14ac:dyDescent="0.2">
      <c r="Z20012" t="str">
        <f t="shared" si="312"/>
        <v/>
      </c>
    </row>
    <row r="20013" spans="26:26" x14ac:dyDescent="0.2">
      <c r="Z20013" t="str">
        <f t="shared" si="312"/>
        <v/>
      </c>
    </row>
    <row r="20014" spans="26:26" x14ac:dyDescent="0.2">
      <c r="Z20014" t="str">
        <f t="shared" si="312"/>
        <v/>
      </c>
    </row>
    <row r="20015" spans="26:26" x14ac:dyDescent="0.2">
      <c r="Z20015" t="str">
        <f t="shared" si="312"/>
        <v/>
      </c>
    </row>
    <row r="20016" spans="26:26" x14ac:dyDescent="0.2">
      <c r="Z20016" t="str">
        <f t="shared" si="312"/>
        <v/>
      </c>
    </row>
    <row r="20017" spans="26:26" x14ac:dyDescent="0.2">
      <c r="Z20017" t="str">
        <f t="shared" si="312"/>
        <v/>
      </c>
    </row>
    <row r="20018" spans="26:26" x14ac:dyDescent="0.2">
      <c r="Z20018" t="str">
        <f t="shared" si="312"/>
        <v/>
      </c>
    </row>
    <row r="20019" spans="26:26" x14ac:dyDescent="0.2">
      <c r="Z20019" t="str">
        <f t="shared" si="312"/>
        <v/>
      </c>
    </row>
    <row r="20020" spans="26:26" x14ac:dyDescent="0.2">
      <c r="Z20020" t="str">
        <f t="shared" si="312"/>
        <v/>
      </c>
    </row>
    <row r="20021" spans="26:26" x14ac:dyDescent="0.2">
      <c r="Z20021" t="str">
        <f t="shared" si="312"/>
        <v/>
      </c>
    </row>
    <row r="20022" spans="26:26" x14ac:dyDescent="0.2">
      <c r="Z20022" t="str">
        <f t="shared" si="312"/>
        <v/>
      </c>
    </row>
    <row r="20023" spans="26:26" x14ac:dyDescent="0.2">
      <c r="Z20023" t="str">
        <f t="shared" si="312"/>
        <v/>
      </c>
    </row>
    <row r="20024" spans="26:26" x14ac:dyDescent="0.2">
      <c r="Z20024" t="str">
        <f t="shared" si="312"/>
        <v/>
      </c>
    </row>
    <row r="20025" spans="26:26" x14ac:dyDescent="0.2">
      <c r="Z20025" t="str">
        <f t="shared" si="312"/>
        <v/>
      </c>
    </row>
    <row r="20026" spans="26:26" x14ac:dyDescent="0.2">
      <c r="Z20026" t="str">
        <f t="shared" si="312"/>
        <v/>
      </c>
    </row>
    <row r="20027" spans="26:26" x14ac:dyDescent="0.2">
      <c r="Z20027" t="str">
        <f t="shared" si="312"/>
        <v/>
      </c>
    </row>
    <row r="20028" spans="26:26" x14ac:dyDescent="0.2">
      <c r="Z20028" t="str">
        <f t="shared" si="312"/>
        <v/>
      </c>
    </row>
    <row r="20029" spans="26:26" x14ac:dyDescent="0.2">
      <c r="Z20029" t="str">
        <f t="shared" si="312"/>
        <v/>
      </c>
    </row>
    <row r="20030" spans="26:26" x14ac:dyDescent="0.2">
      <c r="Z20030" t="str">
        <f t="shared" si="312"/>
        <v/>
      </c>
    </row>
    <row r="20031" spans="26:26" x14ac:dyDescent="0.2">
      <c r="Z20031" t="str">
        <f t="shared" si="312"/>
        <v/>
      </c>
    </row>
    <row r="20032" spans="26:26" x14ac:dyDescent="0.2">
      <c r="Z20032" t="str">
        <f t="shared" si="312"/>
        <v/>
      </c>
    </row>
    <row r="20033" spans="26:26" x14ac:dyDescent="0.2">
      <c r="Z20033" t="str">
        <f t="shared" si="312"/>
        <v/>
      </c>
    </row>
    <row r="20034" spans="26:26" x14ac:dyDescent="0.2">
      <c r="Z20034" t="str">
        <f t="shared" si="312"/>
        <v/>
      </c>
    </row>
    <row r="20035" spans="26:26" x14ac:dyDescent="0.2">
      <c r="Z20035" t="str">
        <f t="shared" ref="Z20035:Z20098" si="313">IF(K20035="","",IFERROR(VALUE(TRIM(MID(K20035,FIND(CHAR(167),SUBSTITUTE(K20035,"-",CHAR(167),LEN(K20035)-LEN(SUBSTITUTE(K20035,"-",""))))+1,100))),K20035))</f>
        <v/>
      </c>
    </row>
    <row r="20036" spans="26:26" x14ac:dyDescent="0.2">
      <c r="Z20036" t="str">
        <f t="shared" si="313"/>
        <v/>
      </c>
    </row>
    <row r="20037" spans="26:26" x14ac:dyDescent="0.2">
      <c r="Z20037" t="str">
        <f t="shared" si="313"/>
        <v/>
      </c>
    </row>
    <row r="20038" spans="26:26" x14ac:dyDescent="0.2">
      <c r="Z20038" t="str">
        <f t="shared" si="313"/>
        <v/>
      </c>
    </row>
    <row r="20039" spans="26:26" x14ac:dyDescent="0.2">
      <c r="Z20039" t="str">
        <f t="shared" si="313"/>
        <v/>
      </c>
    </row>
    <row r="20040" spans="26:26" x14ac:dyDescent="0.2">
      <c r="Z20040" t="str">
        <f t="shared" si="313"/>
        <v/>
      </c>
    </row>
    <row r="20041" spans="26:26" x14ac:dyDescent="0.2">
      <c r="Z20041" t="str">
        <f t="shared" si="313"/>
        <v/>
      </c>
    </row>
    <row r="20042" spans="26:26" x14ac:dyDescent="0.2">
      <c r="Z20042" t="str">
        <f t="shared" si="313"/>
        <v/>
      </c>
    </row>
    <row r="20043" spans="26:26" x14ac:dyDescent="0.2">
      <c r="Z20043" t="str">
        <f t="shared" si="313"/>
        <v/>
      </c>
    </row>
    <row r="20044" spans="26:26" x14ac:dyDescent="0.2">
      <c r="Z20044" t="str">
        <f t="shared" si="313"/>
        <v/>
      </c>
    </row>
    <row r="20045" spans="26:26" x14ac:dyDescent="0.2">
      <c r="Z20045" t="str">
        <f t="shared" si="313"/>
        <v/>
      </c>
    </row>
    <row r="20046" spans="26:26" x14ac:dyDescent="0.2">
      <c r="Z20046" t="str">
        <f t="shared" si="313"/>
        <v/>
      </c>
    </row>
    <row r="20047" spans="26:26" x14ac:dyDescent="0.2">
      <c r="Z20047" t="str">
        <f t="shared" si="313"/>
        <v/>
      </c>
    </row>
    <row r="20048" spans="26:26" x14ac:dyDescent="0.2">
      <c r="Z20048" t="str">
        <f t="shared" si="313"/>
        <v/>
      </c>
    </row>
    <row r="20049" spans="26:26" x14ac:dyDescent="0.2">
      <c r="Z20049" t="str">
        <f t="shared" si="313"/>
        <v/>
      </c>
    </row>
    <row r="20050" spans="26:26" x14ac:dyDescent="0.2">
      <c r="Z20050" t="str">
        <f t="shared" si="313"/>
        <v/>
      </c>
    </row>
    <row r="20051" spans="26:26" x14ac:dyDescent="0.2">
      <c r="Z20051" t="str">
        <f t="shared" si="313"/>
        <v/>
      </c>
    </row>
    <row r="20052" spans="26:26" x14ac:dyDescent="0.2">
      <c r="Z20052" t="str">
        <f t="shared" si="313"/>
        <v/>
      </c>
    </row>
    <row r="20053" spans="26:26" x14ac:dyDescent="0.2">
      <c r="Z20053" t="str">
        <f t="shared" si="313"/>
        <v/>
      </c>
    </row>
    <row r="20054" spans="26:26" x14ac:dyDescent="0.2">
      <c r="Z20054" t="str">
        <f t="shared" si="313"/>
        <v/>
      </c>
    </row>
    <row r="20055" spans="26:26" x14ac:dyDescent="0.2">
      <c r="Z20055" t="str">
        <f t="shared" si="313"/>
        <v/>
      </c>
    </row>
    <row r="20056" spans="26:26" x14ac:dyDescent="0.2">
      <c r="Z20056" t="str">
        <f t="shared" si="313"/>
        <v/>
      </c>
    </row>
    <row r="20057" spans="26:26" x14ac:dyDescent="0.2">
      <c r="Z20057" t="str">
        <f t="shared" si="313"/>
        <v/>
      </c>
    </row>
    <row r="20058" spans="26:26" x14ac:dyDescent="0.2">
      <c r="Z20058" t="str">
        <f t="shared" si="313"/>
        <v/>
      </c>
    </row>
    <row r="20059" spans="26:26" x14ac:dyDescent="0.2">
      <c r="Z20059" t="str">
        <f t="shared" si="313"/>
        <v/>
      </c>
    </row>
    <row r="20060" spans="26:26" x14ac:dyDescent="0.2">
      <c r="Z20060" t="str">
        <f t="shared" si="313"/>
        <v/>
      </c>
    </row>
    <row r="20061" spans="26:26" x14ac:dyDescent="0.2">
      <c r="Z20061" t="str">
        <f t="shared" si="313"/>
        <v/>
      </c>
    </row>
    <row r="20062" spans="26:26" x14ac:dyDescent="0.2">
      <c r="Z20062" t="str">
        <f t="shared" si="313"/>
        <v/>
      </c>
    </row>
    <row r="20063" spans="26:26" x14ac:dyDescent="0.2">
      <c r="Z20063" t="str">
        <f t="shared" si="313"/>
        <v/>
      </c>
    </row>
    <row r="20064" spans="26:26" x14ac:dyDescent="0.2">
      <c r="Z20064" t="str">
        <f t="shared" si="313"/>
        <v/>
      </c>
    </row>
    <row r="20065" spans="26:26" x14ac:dyDescent="0.2">
      <c r="Z20065" t="str">
        <f t="shared" si="313"/>
        <v/>
      </c>
    </row>
    <row r="20066" spans="26:26" x14ac:dyDescent="0.2">
      <c r="Z20066" t="str">
        <f t="shared" si="313"/>
        <v/>
      </c>
    </row>
    <row r="20067" spans="26:26" x14ac:dyDescent="0.2">
      <c r="Z20067" t="str">
        <f t="shared" si="313"/>
        <v/>
      </c>
    </row>
    <row r="20068" spans="26:26" x14ac:dyDescent="0.2">
      <c r="Z20068" t="str">
        <f t="shared" si="313"/>
        <v/>
      </c>
    </row>
    <row r="20069" spans="26:26" x14ac:dyDescent="0.2">
      <c r="Z20069" t="str">
        <f t="shared" si="313"/>
        <v/>
      </c>
    </row>
    <row r="20070" spans="26:26" x14ac:dyDescent="0.2">
      <c r="Z20070" t="str">
        <f t="shared" si="313"/>
        <v/>
      </c>
    </row>
    <row r="20071" spans="26:26" x14ac:dyDescent="0.2">
      <c r="Z20071" t="str">
        <f t="shared" si="313"/>
        <v/>
      </c>
    </row>
    <row r="20072" spans="26:26" x14ac:dyDescent="0.2">
      <c r="Z20072" t="str">
        <f t="shared" si="313"/>
        <v/>
      </c>
    </row>
    <row r="20073" spans="26:26" x14ac:dyDescent="0.2">
      <c r="Z20073" t="str">
        <f t="shared" si="313"/>
        <v/>
      </c>
    </row>
    <row r="20074" spans="26:26" x14ac:dyDescent="0.2">
      <c r="Z20074" t="str">
        <f t="shared" si="313"/>
        <v/>
      </c>
    </row>
    <row r="20075" spans="26:26" x14ac:dyDescent="0.2">
      <c r="Z20075" t="str">
        <f t="shared" si="313"/>
        <v/>
      </c>
    </row>
    <row r="20076" spans="26:26" x14ac:dyDescent="0.2">
      <c r="Z20076" t="str">
        <f t="shared" si="313"/>
        <v/>
      </c>
    </row>
    <row r="20077" spans="26:26" x14ac:dyDescent="0.2">
      <c r="Z20077" t="str">
        <f t="shared" si="313"/>
        <v/>
      </c>
    </row>
    <row r="20078" spans="26:26" x14ac:dyDescent="0.2">
      <c r="Z20078" t="str">
        <f t="shared" si="313"/>
        <v/>
      </c>
    </row>
    <row r="20079" spans="26:26" x14ac:dyDescent="0.2">
      <c r="Z20079" t="str">
        <f t="shared" si="313"/>
        <v/>
      </c>
    </row>
    <row r="20080" spans="26:26" x14ac:dyDescent="0.2">
      <c r="Z20080" t="str">
        <f t="shared" si="313"/>
        <v/>
      </c>
    </row>
    <row r="20081" spans="26:26" x14ac:dyDescent="0.2">
      <c r="Z20081" t="str">
        <f t="shared" si="313"/>
        <v/>
      </c>
    </row>
    <row r="20082" spans="26:26" x14ac:dyDescent="0.2">
      <c r="Z20082" t="str">
        <f t="shared" si="313"/>
        <v/>
      </c>
    </row>
    <row r="20083" spans="26:26" x14ac:dyDescent="0.2">
      <c r="Z20083" t="str">
        <f t="shared" si="313"/>
        <v/>
      </c>
    </row>
    <row r="20084" spans="26:26" x14ac:dyDescent="0.2">
      <c r="Z20084" t="str">
        <f t="shared" si="313"/>
        <v/>
      </c>
    </row>
    <row r="20085" spans="26:26" x14ac:dyDescent="0.2">
      <c r="Z20085" t="str">
        <f t="shared" si="313"/>
        <v/>
      </c>
    </row>
    <row r="20086" spans="26:26" x14ac:dyDescent="0.2">
      <c r="Z20086" t="str">
        <f t="shared" si="313"/>
        <v/>
      </c>
    </row>
    <row r="20087" spans="26:26" x14ac:dyDescent="0.2">
      <c r="Z20087" t="str">
        <f t="shared" si="313"/>
        <v/>
      </c>
    </row>
    <row r="20088" spans="26:26" x14ac:dyDescent="0.2">
      <c r="Z20088" t="str">
        <f t="shared" si="313"/>
        <v/>
      </c>
    </row>
    <row r="20089" spans="26:26" x14ac:dyDescent="0.2">
      <c r="Z20089" t="str">
        <f t="shared" si="313"/>
        <v/>
      </c>
    </row>
    <row r="20090" spans="26:26" x14ac:dyDescent="0.2">
      <c r="Z20090" t="str">
        <f t="shared" si="313"/>
        <v/>
      </c>
    </row>
    <row r="20091" spans="26:26" x14ac:dyDescent="0.2">
      <c r="Z20091" t="str">
        <f t="shared" si="313"/>
        <v/>
      </c>
    </row>
    <row r="20092" spans="26:26" x14ac:dyDescent="0.2">
      <c r="Z20092" t="str">
        <f t="shared" si="313"/>
        <v/>
      </c>
    </row>
    <row r="20093" spans="26:26" x14ac:dyDescent="0.2">
      <c r="Z20093" t="str">
        <f t="shared" si="313"/>
        <v/>
      </c>
    </row>
    <row r="20094" spans="26:26" x14ac:dyDescent="0.2">
      <c r="Z20094" t="str">
        <f t="shared" si="313"/>
        <v/>
      </c>
    </row>
    <row r="20095" spans="26:26" x14ac:dyDescent="0.2">
      <c r="Z20095" t="str">
        <f t="shared" si="313"/>
        <v/>
      </c>
    </row>
    <row r="20096" spans="26:26" x14ac:dyDescent="0.2">
      <c r="Z20096" t="str">
        <f t="shared" si="313"/>
        <v/>
      </c>
    </row>
    <row r="20097" spans="26:26" x14ac:dyDescent="0.2">
      <c r="Z20097" t="str">
        <f t="shared" si="313"/>
        <v/>
      </c>
    </row>
    <row r="20098" spans="26:26" x14ac:dyDescent="0.2">
      <c r="Z20098" t="str">
        <f t="shared" si="313"/>
        <v/>
      </c>
    </row>
    <row r="20099" spans="26:26" x14ac:dyDescent="0.2">
      <c r="Z20099" t="str">
        <f t="shared" ref="Z20099:Z20162" si="314">IF(K20099="","",IFERROR(VALUE(TRIM(MID(K20099,FIND(CHAR(167),SUBSTITUTE(K20099,"-",CHAR(167),LEN(K20099)-LEN(SUBSTITUTE(K20099,"-",""))))+1,100))),K20099))</f>
        <v/>
      </c>
    </row>
    <row r="20100" spans="26:26" x14ac:dyDescent="0.2">
      <c r="Z20100" t="str">
        <f t="shared" si="314"/>
        <v/>
      </c>
    </row>
    <row r="20101" spans="26:26" x14ac:dyDescent="0.2">
      <c r="Z20101" t="str">
        <f t="shared" si="314"/>
        <v/>
      </c>
    </row>
    <row r="20102" spans="26:26" x14ac:dyDescent="0.2">
      <c r="Z20102" t="str">
        <f t="shared" si="314"/>
        <v/>
      </c>
    </row>
    <row r="20103" spans="26:26" x14ac:dyDescent="0.2">
      <c r="Z20103" t="str">
        <f t="shared" si="314"/>
        <v/>
      </c>
    </row>
    <row r="20104" spans="26:26" x14ac:dyDescent="0.2">
      <c r="Z20104" t="str">
        <f t="shared" si="314"/>
        <v/>
      </c>
    </row>
    <row r="20105" spans="26:26" x14ac:dyDescent="0.2">
      <c r="Z20105" t="str">
        <f t="shared" si="314"/>
        <v/>
      </c>
    </row>
    <row r="20106" spans="26:26" x14ac:dyDescent="0.2">
      <c r="Z20106" t="str">
        <f t="shared" si="314"/>
        <v/>
      </c>
    </row>
    <row r="20107" spans="26:26" x14ac:dyDescent="0.2">
      <c r="Z20107" t="str">
        <f t="shared" si="314"/>
        <v/>
      </c>
    </row>
    <row r="20108" spans="26:26" x14ac:dyDescent="0.2">
      <c r="Z20108" t="str">
        <f t="shared" si="314"/>
        <v/>
      </c>
    </row>
    <row r="20109" spans="26:26" x14ac:dyDescent="0.2">
      <c r="Z20109" t="str">
        <f t="shared" si="314"/>
        <v/>
      </c>
    </row>
    <row r="20110" spans="26:26" x14ac:dyDescent="0.2">
      <c r="Z20110" t="str">
        <f t="shared" si="314"/>
        <v/>
      </c>
    </row>
    <row r="20111" spans="26:26" x14ac:dyDescent="0.2">
      <c r="Z20111" t="str">
        <f t="shared" si="314"/>
        <v/>
      </c>
    </row>
    <row r="20112" spans="26:26" x14ac:dyDescent="0.2">
      <c r="Z20112" t="str">
        <f t="shared" si="314"/>
        <v/>
      </c>
    </row>
    <row r="20113" spans="26:26" x14ac:dyDescent="0.2">
      <c r="Z20113" t="str">
        <f t="shared" si="314"/>
        <v/>
      </c>
    </row>
    <row r="20114" spans="26:26" x14ac:dyDescent="0.2">
      <c r="Z20114" t="str">
        <f t="shared" si="314"/>
        <v/>
      </c>
    </row>
    <row r="20115" spans="26:26" x14ac:dyDescent="0.2">
      <c r="Z20115" t="str">
        <f t="shared" si="314"/>
        <v/>
      </c>
    </row>
    <row r="20116" spans="26:26" x14ac:dyDescent="0.2">
      <c r="Z20116" t="str">
        <f t="shared" si="314"/>
        <v/>
      </c>
    </row>
    <row r="20117" spans="26:26" x14ac:dyDescent="0.2">
      <c r="Z20117" t="str">
        <f t="shared" si="314"/>
        <v/>
      </c>
    </row>
    <row r="20118" spans="26:26" x14ac:dyDescent="0.2">
      <c r="Z20118" t="str">
        <f t="shared" si="314"/>
        <v/>
      </c>
    </row>
    <row r="20119" spans="26:26" x14ac:dyDescent="0.2">
      <c r="Z20119" t="str">
        <f t="shared" si="314"/>
        <v/>
      </c>
    </row>
    <row r="20120" spans="26:26" x14ac:dyDescent="0.2">
      <c r="Z20120" t="str">
        <f t="shared" si="314"/>
        <v/>
      </c>
    </row>
    <row r="20121" spans="26:26" x14ac:dyDescent="0.2">
      <c r="Z20121" t="str">
        <f t="shared" si="314"/>
        <v/>
      </c>
    </row>
    <row r="20122" spans="26:26" x14ac:dyDescent="0.2">
      <c r="Z20122" t="str">
        <f t="shared" si="314"/>
        <v/>
      </c>
    </row>
    <row r="20123" spans="26:26" x14ac:dyDescent="0.2">
      <c r="Z20123" t="str">
        <f t="shared" si="314"/>
        <v/>
      </c>
    </row>
    <row r="20124" spans="26:26" x14ac:dyDescent="0.2">
      <c r="Z20124" t="str">
        <f t="shared" si="314"/>
        <v/>
      </c>
    </row>
    <row r="20125" spans="26:26" x14ac:dyDescent="0.2">
      <c r="Z20125" t="str">
        <f t="shared" si="314"/>
        <v/>
      </c>
    </row>
    <row r="20126" spans="26:26" x14ac:dyDescent="0.2">
      <c r="Z20126" t="str">
        <f t="shared" si="314"/>
        <v/>
      </c>
    </row>
    <row r="20127" spans="26:26" x14ac:dyDescent="0.2">
      <c r="Z20127" t="str">
        <f t="shared" si="314"/>
        <v/>
      </c>
    </row>
    <row r="20128" spans="26:26" x14ac:dyDescent="0.2">
      <c r="Z20128" t="str">
        <f t="shared" si="314"/>
        <v/>
      </c>
    </row>
    <row r="20129" spans="26:26" x14ac:dyDescent="0.2">
      <c r="Z20129" t="str">
        <f t="shared" si="314"/>
        <v/>
      </c>
    </row>
    <row r="20130" spans="26:26" x14ac:dyDescent="0.2">
      <c r="Z20130" t="str">
        <f t="shared" si="314"/>
        <v/>
      </c>
    </row>
    <row r="20131" spans="26:26" x14ac:dyDescent="0.2">
      <c r="Z20131" t="str">
        <f t="shared" si="314"/>
        <v/>
      </c>
    </row>
    <row r="20132" spans="26:26" x14ac:dyDescent="0.2">
      <c r="Z20132" t="str">
        <f t="shared" si="314"/>
        <v/>
      </c>
    </row>
    <row r="20133" spans="26:26" x14ac:dyDescent="0.2">
      <c r="Z20133" t="str">
        <f t="shared" si="314"/>
        <v/>
      </c>
    </row>
    <row r="20134" spans="26:26" x14ac:dyDescent="0.2">
      <c r="Z20134" t="str">
        <f t="shared" si="314"/>
        <v/>
      </c>
    </row>
    <row r="20135" spans="26:26" x14ac:dyDescent="0.2">
      <c r="Z20135" t="str">
        <f t="shared" si="314"/>
        <v/>
      </c>
    </row>
    <row r="20136" spans="26:26" x14ac:dyDescent="0.2">
      <c r="Z20136" t="str">
        <f t="shared" si="314"/>
        <v/>
      </c>
    </row>
    <row r="20137" spans="26:26" x14ac:dyDescent="0.2">
      <c r="Z20137" t="str">
        <f t="shared" si="314"/>
        <v/>
      </c>
    </row>
    <row r="20138" spans="26:26" x14ac:dyDescent="0.2">
      <c r="Z20138" t="str">
        <f t="shared" si="314"/>
        <v/>
      </c>
    </row>
    <row r="20139" spans="26:26" x14ac:dyDescent="0.2">
      <c r="Z20139" t="str">
        <f t="shared" si="314"/>
        <v/>
      </c>
    </row>
    <row r="20140" spans="26:26" x14ac:dyDescent="0.2">
      <c r="Z20140" t="str">
        <f t="shared" si="314"/>
        <v/>
      </c>
    </row>
    <row r="20141" spans="26:26" x14ac:dyDescent="0.2">
      <c r="Z20141" t="str">
        <f t="shared" si="314"/>
        <v/>
      </c>
    </row>
    <row r="20142" spans="26:26" x14ac:dyDescent="0.2">
      <c r="Z20142" t="str">
        <f t="shared" si="314"/>
        <v/>
      </c>
    </row>
    <row r="20143" spans="26:26" x14ac:dyDescent="0.2">
      <c r="Z20143" t="str">
        <f t="shared" si="314"/>
        <v/>
      </c>
    </row>
    <row r="20144" spans="26:26" x14ac:dyDescent="0.2">
      <c r="Z20144" t="str">
        <f t="shared" si="314"/>
        <v/>
      </c>
    </row>
    <row r="20145" spans="26:26" x14ac:dyDescent="0.2">
      <c r="Z20145" t="str">
        <f t="shared" si="314"/>
        <v/>
      </c>
    </row>
    <row r="20146" spans="26:26" x14ac:dyDescent="0.2">
      <c r="Z20146" t="str">
        <f t="shared" si="314"/>
        <v/>
      </c>
    </row>
    <row r="20147" spans="26:26" x14ac:dyDescent="0.2">
      <c r="Z20147" t="str">
        <f t="shared" si="314"/>
        <v/>
      </c>
    </row>
    <row r="20148" spans="26:26" x14ac:dyDescent="0.2">
      <c r="Z20148" t="str">
        <f t="shared" si="314"/>
        <v/>
      </c>
    </row>
    <row r="20149" spans="26:26" x14ac:dyDescent="0.2">
      <c r="Z20149" t="str">
        <f t="shared" si="314"/>
        <v/>
      </c>
    </row>
    <row r="20150" spans="26:26" x14ac:dyDescent="0.2">
      <c r="Z20150" t="str">
        <f t="shared" si="314"/>
        <v/>
      </c>
    </row>
    <row r="20151" spans="26:26" x14ac:dyDescent="0.2">
      <c r="Z20151" t="str">
        <f t="shared" si="314"/>
        <v/>
      </c>
    </row>
    <row r="20152" spans="26:26" x14ac:dyDescent="0.2">
      <c r="Z20152" t="str">
        <f t="shared" si="314"/>
        <v/>
      </c>
    </row>
    <row r="20153" spans="26:26" x14ac:dyDescent="0.2">
      <c r="Z20153" t="str">
        <f t="shared" si="314"/>
        <v/>
      </c>
    </row>
    <row r="20154" spans="26:26" x14ac:dyDescent="0.2">
      <c r="Z20154" t="str">
        <f t="shared" si="314"/>
        <v/>
      </c>
    </row>
    <row r="20155" spans="26:26" x14ac:dyDescent="0.2">
      <c r="Z20155" t="str">
        <f t="shared" si="314"/>
        <v/>
      </c>
    </row>
    <row r="20156" spans="26:26" x14ac:dyDescent="0.2">
      <c r="Z20156" t="str">
        <f t="shared" si="314"/>
        <v/>
      </c>
    </row>
    <row r="20157" spans="26:26" x14ac:dyDescent="0.2">
      <c r="Z20157" t="str">
        <f t="shared" si="314"/>
        <v/>
      </c>
    </row>
    <row r="20158" spans="26:26" x14ac:dyDescent="0.2">
      <c r="Z20158" t="str">
        <f t="shared" si="314"/>
        <v/>
      </c>
    </row>
    <row r="20159" spans="26:26" x14ac:dyDescent="0.2">
      <c r="Z20159" t="str">
        <f t="shared" si="314"/>
        <v/>
      </c>
    </row>
    <row r="20160" spans="26:26" x14ac:dyDescent="0.2">
      <c r="Z20160" t="str">
        <f t="shared" si="314"/>
        <v/>
      </c>
    </row>
    <row r="20161" spans="26:26" x14ac:dyDescent="0.2">
      <c r="Z20161" t="str">
        <f t="shared" si="314"/>
        <v/>
      </c>
    </row>
    <row r="20162" spans="26:26" x14ac:dyDescent="0.2">
      <c r="Z20162" t="str">
        <f t="shared" si="314"/>
        <v/>
      </c>
    </row>
    <row r="20163" spans="26:26" x14ac:dyDescent="0.2">
      <c r="Z20163" t="str">
        <f t="shared" ref="Z20163:Z20226" si="315">IF(K20163="","",IFERROR(VALUE(TRIM(MID(K20163,FIND(CHAR(167),SUBSTITUTE(K20163,"-",CHAR(167),LEN(K20163)-LEN(SUBSTITUTE(K20163,"-",""))))+1,100))),K20163))</f>
        <v/>
      </c>
    </row>
    <row r="20164" spans="26:26" x14ac:dyDescent="0.2">
      <c r="Z20164" t="str">
        <f t="shared" si="315"/>
        <v/>
      </c>
    </row>
    <row r="20165" spans="26:26" x14ac:dyDescent="0.2">
      <c r="Z20165" t="str">
        <f t="shared" si="315"/>
        <v/>
      </c>
    </row>
    <row r="20166" spans="26:26" x14ac:dyDescent="0.2">
      <c r="Z20166" t="str">
        <f t="shared" si="315"/>
        <v/>
      </c>
    </row>
    <row r="20167" spans="26:26" x14ac:dyDescent="0.2">
      <c r="Z20167" t="str">
        <f t="shared" si="315"/>
        <v/>
      </c>
    </row>
    <row r="20168" spans="26:26" x14ac:dyDescent="0.2">
      <c r="Z20168" t="str">
        <f t="shared" si="315"/>
        <v/>
      </c>
    </row>
    <row r="20169" spans="26:26" x14ac:dyDescent="0.2">
      <c r="Z20169" t="str">
        <f t="shared" si="315"/>
        <v/>
      </c>
    </row>
    <row r="20170" spans="26:26" x14ac:dyDescent="0.2">
      <c r="Z20170" t="str">
        <f t="shared" si="315"/>
        <v/>
      </c>
    </row>
    <row r="20171" spans="26:26" x14ac:dyDescent="0.2">
      <c r="Z20171" t="str">
        <f t="shared" si="315"/>
        <v/>
      </c>
    </row>
    <row r="20172" spans="26:26" x14ac:dyDescent="0.2">
      <c r="Z20172" t="str">
        <f t="shared" si="315"/>
        <v/>
      </c>
    </row>
    <row r="20173" spans="26:26" x14ac:dyDescent="0.2">
      <c r="Z20173" t="str">
        <f t="shared" si="315"/>
        <v/>
      </c>
    </row>
    <row r="20174" spans="26:26" x14ac:dyDescent="0.2">
      <c r="Z20174" t="str">
        <f t="shared" si="315"/>
        <v/>
      </c>
    </row>
    <row r="20175" spans="26:26" x14ac:dyDescent="0.2">
      <c r="Z20175" t="str">
        <f t="shared" si="315"/>
        <v/>
      </c>
    </row>
    <row r="20176" spans="26:26" x14ac:dyDescent="0.2">
      <c r="Z20176" t="str">
        <f t="shared" si="315"/>
        <v/>
      </c>
    </row>
    <row r="20177" spans="26:26" x14ac:dyDescent="0.2">
      <c r="Z20177" t="str">
        <f t="shared" si="315"/>
        <v/>
      </c>
    </row>
    <row r="20178" spans="26:26" x14ac:dyDescent="0.2">
      <c r="Z20178" t="str">
        <f t="shared" si="315"/>
        <v/>
      </c>
    </row>
    <row r="20179" spans="26:26" x14ac:dyDescent="0.2">
      <c r="Z20179" t="str">
        <f t="shared" si="315"/>
        <v/>
      </c>
    </row>
    <row r="20180" spans="26:26" x14ac:dyDescent="0.2">
      <c r="Z20180" t="str">
        <f t="shared" si="315"/>
        <v/>
      </c>
    </row>
    <row r="20181" spans="26:26" x14ac:dyDescent="0.2">
      <c r="Z20181" t="str">
        <f t="shared" si="315"/>
        <v/>
      </c>
    </row>
    <row r="20182" spans="26:26" x14ac:dyDescent="0.2">
      <c r="Z20182" t="str">
        <f t="shared" si="315"/>
        <v/>
      </c>
    </row>
    <row r="20183" spans="26:26" x14ac:dyDescent="0.2">
      <c r="Z20183" t="str">
        <f t="shared" si="315"/>
        <v/>
      </c>
    </row>
    <row r="20184" spans="26:26" x14ac:dyDescent="0.2">
      <c r="Z20184" t="str">
        <f t="shared" si="315"/>
        <v/>
      </c>
    </row>
    <row r="20185" spans="26:26" x14ac:dyDescent="0.2">
      <c r="Z20185" t="str">
        <f t="shared" si="315"/>
        <v/>
      </c>
    </row>
    <row r="20186" spans="26:26" x14ac:dyDescent="0.2">
      <c r="Z20186" t="str">
        <f t="shared" si="315"/>
        <v/>
      </c>
    </row>
    <row r="20187" spans="26:26" x14ac:dyDescent="0.2">
      <c r="Z20187" t="str">
        <f t="shared" si="315"/>
        <v/>
      </c>
    </row>
    <row r="20188" spans="26:26" x14ac:dyDescent="0.2">
      <c r="Z20188" t="str">
        <f t="shared" si="315"/>
        <v/>
      </c>
    </row>
    <row r="20189" spans="26:26" x14ac:dyDescent="0.2">
      <c r="Z20189" t="str">
        <f t="shared" si="315"/>
        <v/>
      </c>
    </row>
    <row r="20190" spans="26:26" x14ac:dyDescent="0.2">
      <c r="Z20190" t="str">
        <f t="shared" si="315"/>
        <v/>
      </c>
    </row>
    <row r="20191" spans="26:26" x14ac:dyDescent="0.2">
      <c r="Z20191" t="str">
        <f t="shared" si="315"/>
        <v/>
      </c>
    </row>
    <row r="20192" spans="26:26" x14ac:dyDescent="0.2">
      <c r="Z20192" t="str">
        <f t="shared" si="315"/>
        <v/>
      </c>
    </row>
    <row r="20193" spans="26:26" x14ac:dyDescent="0.2">
      <c r="Z20193" t="str">
        <f t="shared" si="315"/>
        <v/>
      </c>
    </row>
    <row r="20194" spans="26:26" x14ac:dyDescent="0.2">
      <c r="Z20194" t="str">
        <f t="shared" si="315"/>
        <v/>
      </c>
    </row>
    <row r="20195" spans="26:26" x14ac:dyDescent="0.2">
      <c r="Z20195" t="str">
        <f t="shared" si="315"/>
        <v/>
      </c>
    </row>
    <row r="20196" spans="26:26" x14ac:dyDescent="0.2">
      <c r="Z20196" t="str">
        <f t="shared" si="315"/>
        <v/>
      </c>
    </row>
    <row r="20197" spans="26:26" x14ac:dyDescent="0.2">
      <c r="Z20197" t="str">
        <f t="shared" si="315"/>
        <v/>
      </c>
    </row>
    <row r="20198" spans="26:26" x14ac:dyDescent="0.2">
      <c r="Z20198" t="str">
        <f t="shared" si="315"/>
        <v/>
      </c>
    </row>
    <row r="20199" spans="26:26" x14ac:dyDescent="0.2">
      <c r="Z20199" t="str">
        <f t="shared" si="315"/>
        <v/>
      </c>
    </row>
    <row r="20200" spans="26:26" x14ac:dyDescent="0.2">
      <c r="Z20200" t="str">
        <f t="shared" si="315"/>
        <v/>
      </c>
    </row>
    <row r="20201" spans="26:26" x14ac:dyDescent="0.2">
      <c r="Z20201" t="str">
        <f t="shared" si="315"/>
        <v/>
      </c>
    </row>
    <row r="20202" spans="26:26" x14ac:dyDescent="0.2">
      <c r="Z20202" t="str">
        <f t="shared" si="315"/>
        <v/>
      </c>
    </row>
    <row r="20203" spans="26:26" x14ac:dyDescent="0.2">
      <c r="Z20203" t="str">
        <f t="shared" si="315"/>
        <v/>
      </c>
    </row>
    <row r="20204" spans="26:26" x14ac:dyDescent="0.2">
      <c r="Z20204" t="str">
        <f t="shared" si="315"/>
        <v/>
      </c>
    </row>
    <row r="20205" spans="26:26" x14ac:dyDescent="0.2">
      <c r="Z20205" t="str">
        <f t="shared" si="315"/>
        <v/>
      </c>
    </row>
    <row r="20206" spans="26:26" x14ac:dyDescent="0.2">
      <c r="Z20206" t="str">
        <f t="shared" si="315"/>
        <v/>
      </c>
    </row>
    <row r="20207" spans="26:26" x14ac:dyDescent="0.2">
      <c r="Z20207" t="str">
        <f t="shared" si="315"/>
        <v/>
      </c>
    </row>
    <row r="20208" spans="26:26" x14ac:dyDescent="0.2">
      <c r="Z20208" t="str">
        <f t="shared" si="315"/>
        <v/>
      </c>
    </row>
    <row r="20209" spans="26:26" x14ac:dyDescent="0.2">
      <c r="Z20209" t="str">
        <f t="shared" si="315"/>
        <v/>
      </c>
    </row>
    <row r="20210" spans="26:26" x14ac:dyDescent="0.2">
      <c r="Z20210" t="str">
        <f t="shared" si="315"/>
        <v/>
      </c>
    </row>
    <row r="20211" spans="26:26" x14ac:dyDescent="0.2">
      <c r="Z20211" t="str">
        <f t="shared" si="315"/>
        <v/>
      </c>
    </row>
    <row r="20212" spans="26:26" x14ac:dyDescent="0.2">
      <c r="Z20212" t="str">
        <f t="shared" si="315"/>
        <v/>
      </c>
    </row>
    <row r="20213" spans="26:26" x14ac:dyDescent="0.2">
      <c r="Z20213" t="str">
        <f t="shared" si="315"/>
        <v/>
      </c>
    </row>
    <row r="20214" spans="26:26" x14ac:dyDescent="0.2">
      <c r="Z20214" t="str">
        <f t="shared" si="315"/>
        <v/>
      </c>
    </row>
    <row r="20215" spans="26:26" x14ac:dyDescent="0.2">
      <c r="Z20215" t="str">
        <f t="shared" si="315"/>
        <v/>
      </c>
    </row>
    <row r="20216" spans="26:26" x14ac:dyDescent="0.2">
      <c r="Z20216" t="str">
        <f t="shared" si="315"/>
        <v/>
      </c>
    </row>
    <row r="20217" spans="26:26" x14ac:dyDescent="0.2">
      <c r="Z20217" t="str">
        <f t="shared" si="315"/>
        <v/>
      </c>
    </row>
    <row r="20218" spans="26:26" x14ac:dyDescent="0.2">
      <c r="Z20218" t="str">
        <f t="shared" si="315"/>
        <v/>
      </c>
    </row>
    <row r="20219" spans="26:26" x14ac:dyDescent="0.2">
      <c r="Z20219" t="str">
        <f t="shared" si="315"/>
        <v/>
      </c>
    </row>
    <row r="20220" spans="26:26" x14ac:dyDescent="0.2">
      <c r="Z20220" t="str">
        <f t="shared" si="315"/>
        <v/>
      </c>
    </row>
    <row r="20221" spans="26:26" x14ac:dyDescent="0.2">
      <c r="Z20221" t="str">
        <f t="shared" si="315"/>
        <v/>
      </c>
    </row>
    <row r="20222" spans="26:26" x14ac:dyDescent="0.2">
      <c r="Z20222" t="str">
        <f t="shared" si="315"/>
        <v/>
      </c>
    </row>
    <row r="20223" spans="26:26" x14ac:dyDescent="0.2">
      <c r="Z20223" t="str">
        <f t="shared" si="315"/>
        <v/>
      </c>
    </row>
    <row r="20224" spans="26:26" x14ac:dyDescent="0.2">
      <c r="Z20224" t="str">
        <f t="shared" si="315"/>
        <v/>
      </c>
    </row>
    <row r="20225" spans="26:26" x14ac:dyDescent="0.2">
      <c r="Z20225" t="str">
        <f t="shared" si="315"/>
        <v/>
      </c>
    </row>
    <row r="20226" spans="26:26" x14ac:dyDescent="0.2">
      <c r="Z20226" t="str">
        <f t="shared" si="315"/>
        <v/>
      </c>
    </row>
    <row r="20227" spans="26:26" x14ac:dyDescent="0.2">
      <c r="Z20227" t="str">
        <f t="shared" ref="Z20227:Z20290" si="316">IF(K20227="","",IFERROR(VALUE(TRIM(MID(K20227,FIND(CHAR(167),SUBSTITUTE(K20227,"-",CHAR(167),LEN(K20227)-LEN(SUBSTITUTE(K20227,"-",""))))+1,100))),K20227))</f>
        <v/>
      </c>
    </row>
    <row r="20228" spans="26:26" x14ac:dyDescent="0.2">
      <c r="Z20228" t="str">
        <f t="shared" si="316"/>
        <v/>
      </c>
    </row>
    <row r="20229" spans="26:26" x14ac:dyDescent="0.2">
      <c r="Z20229" t="str">
        <f t="shared" si="316"/>
        <v/>
      </c>
    </row>
    <row r="20230" spans="26:26" x14ac:dyDescent="0.2">
      <c r="Z20230" t="str">
        <f t="shared" si="316"/>
        <v/>
      </c>
    </row>
    <row r="20231" spans="26:26" x14ac:dyDescent="0.2">
      <c r="Z20231" t="str">
        <f t="shared" si="316"/>
        <v/>
      </c>
    </row>
    <row r="20232" spans="26:26" x14ac:dyDescent="0.2">
      <c r="Z20232" t="str">
        <f t="shared" si="316"/>
        <v/>
      </c>
    </row>
    <row r="20233" spans="26:26" x14ac:dyDescent="0.2">
      <c r="Z20233" t="str">
        <f t="shared" si="316"/>
        <v/>
      </c>
    </row>
    <row r="20234" spans="26:26" x14ac:dyDescent="0.2">
      <c r="Z20234" t="str">
        <f t="shared" si="316"/>
        <v/>
      </c>
    </row>
    <row r="20235" spans="26:26" x14ac:dyDescent="0.2">
      <c r="Z20235" t="str">
        <f t="shared" si="316"/>
        <v/>
      </c>
    </row>
    <row r="20236" spans="26:26" x14ac:dyDescent="0.2">
      <c r="Z20236" t="str">
        <f t="shared" si="316"/>
        <v/>
      </c>
    </row>
    <row r="20237" spans="26:26" x14ac:dyDescent="0.2">
      <c r="Z20237" t="str">
        <f t="shared" si="316"/>
        <v/>
      </c>
    </row>
    <row r="20238" spans="26:26" x14ac:dyDescent="0.2">
      <c r="Z20238" t="str">
        <f t="shared" si="316"/>
        <v/>
      </c>
    </row>
    <row r="20239" spans="26:26" x14ac:dyDescent="0.2">
      <c r="Z20239" t="str">
        <f t="shared" si="316"/>
        <v/>
      </c>
    </row>
    <row r="20240" spans="26:26" x14ac:dyDescent="0.2">
      <c r="Z20240" t="str">
        <f t="shared" si="316"/>
        <v/>
      </c>
    </row>
    <row r="20241" spans="26:26" x14ac:dyDescent="0.2">
      <c r="Z20241" t="str">
        <f t="shared" si="316"/>
        <v/>
      </c>
    </row>
    <row r="20242" spans="26:26" x14ac:dyDescent="0.2">
      <c r="Z20242" t="str">
        <f t="shared" si="316"/>
        <v/>
      </c>
    </row>
    <row r="20243" spans="26:26" x14ac:dyDescent="0.2">
      <c r="Z20243" t="str">
        <f t="shared" si="316"/>
        <v/>
      </c>
    </row>
    <row r="20244" spans="26:26" x14ac:dyDescent="0.2">
      <c r="Z20244" t="str">
        <f t="shared" si="316"/>
        <v/>
      </c>
    </row>
    <row r="20245" spans="26:26" x14ac:dyDescent="0.2">
      <c r="Z20245" t="str">
        <f t="shared" si="316"/>
        <v/>
      </c>
    </row>
    <row r="20246" spans="26:26" x14ac:dyDescent="0.2">
      <c r="Z20246" t="str">
        <f t="shared" si="316"/>
        <v/>
      </c>
    </row>
    <row r="20247" spans="26:26" x14ac:dyDescent="0.2">
      <c r="Z20247" t="str">
        <f t="shared" si="316"/>
        <v/>
      </c>
    </row>
    <row r="20248" spans="26:26" x14ac:dyDescent="0.2">
      <c r="Z20248" t="str">
        <f t="shared" si="316"/>
        <v/>
      </c>
    </row>
    <row r="20249" spans="26:26" x14ac:dyDescent="0.2">
      <c r="Z20249" t="str">
        <f t="shared" si="316"/>
        <v/>
      </c>
    </row>
    <row r="20250" spans="26:26" x14ac:dyDescent="0.2">
      <c r="Z20250" t="str">
        <f t="shared" si="316"/>
        <v/>
      </c>
    </row>
    <row r="20251" spans="26:26" x14ac:dyDescent="0.2">
      <c r="Z20251" t="str">
        <f t="shared" si="316"/>
        <v/>
      </c>
    </row>
    <row r="20252" spans="26:26" x14ac:dyDescent="0.2">
      <c r="Z20252" t="str">
        <f t="shared" si="316"/>
        <v/>
      </c>
    </row>
    <row r="20253" spans="26:26" x14ac:dyDescent="0.2">
      <c r="Z20253" t="str">
        <f t="shared" si="316"/>
        <v/>
      </c>
    </row>
    <row r="20254" spans="26:26" x14ac:dyDescent="0.2">
      <c r="Z20254" t="str">
        <f t="shared" si="316"/>
        <v/>
      </c>
    </row>
    <row r="20255" spans="26:26" x14ac:dyDescent="0.2">
      <c r="Z20255" t="str">
        <f t="shared" si="316"/>
        <v/>
      </c>
    </row>
    <row r="20256" spans="26:26" x14ac:dyDescent="0.2">
      <c r="Z20256" t="str">
        <f t="shared" si="316"/>
        <v/>
      </c>
    </row>
    <row r="20257" spans="26:26" x14ac:dyDescent="0.2">
      <c r="Z20257" t="str">
        <f t="shared" si="316"/>
        <v/>
      </c>
    </row>
    <row r="20258" spans="26:26" x14ac:dyDescent="0.2">
      <c r="Z20258" t="str">
        <f t="shared" si="316"/>
        <v/>
      </c>
    </row>
    <row r="20259" spans="26:26" x14ac:dyDescent="0.2">
      <c r="Z20259" t="str">
        <f t="shared" si="316"/>
        <v/>
      </c>
    </row>
    <row r="20260" spans="26:26" x14ac:dyDescent="0.2">
      <c r="Z20260" t="str">
        <f t="shared" si="316"/>
        <v/>
      </c>
    </row>
    <row r="20261" spans="26:26" x14ac:dyDescent="0.2">
      <c r="Z20261" t="str">
        <f t="shared" si="316"/>
        <v/>
      </c>
    </row>
    <row r="20262" spans="26:26" x14ac:dyDescent="0.2">
      <c r="Z20262" t="str">
        <f t="shared" si="316"/>
        <v/>
      </c>
    </row>
    <row r="20263" spans="26:26" x14ac:dyDescent="0.2">
      <c r="Z20263" t="str">
        <f t="shared" si="316"/>
        <v/>
      </c>
    </row>
    <row r="20264" spans="26:26" x14ac:dyDescent="0.2">
      <c r="Z20264" t="str">
        <f t="shared" si="316"/>
        <v/>
      </c>
    </row>
    <row r="20265" spans="26:26" x14ac:dyDescent="0.2">
      <c r="Z20265" t="str">
        <f t="shared" si="316"/>
        <v/>
      </c>
    </row>
    <row r="20266" spans="26:26" x14ac:dyDescent="0.2">
      <c r="Z20266" t="str">
        <f t="shared" si="316"/>
        <v/>
      </c>
    </row>
    <row r="20267" spans="26:26" x14ac:dyDescent="0.2">
      <c r="Z20267" t="str">
        <f t="shared" si="316"/>
        <v/>
      </c>
    </row>
    <row r="20268" spans="26:26" x14ac:dyDescent="0.2">
      <c r="Z20268" t="str">
        <f t="shared" si="316"/>
        <v/>
      </c>
    </row>
    <row r="20269" spans="26:26" x14ac:dyDescent="0.2">
      <c r="Z20269" t="str">
        <f t="shared" si="316"/>
        <v/>
      </c>
    </row>
    <row r="20270" spans="26:26" x14ac:dyDescent="0.2">
      <c r="Z20270" t="str">
        <f t="shared" si="316"/>
        <v/>
      </c>
    </row>
    <row r="20271" spans="26:26" x14ac:dyDescent="0.2">
      <c r="Z20271" t="str">
        <f t="shared" si="316"/>
        <v/>
      </c>
    </row>
    <row r="20272" spans="26:26" x14ac:dyDescent="0.2">
      <c r="Z20272" t="str">
        <f t="shared" si="316"/>
        <v/>
      </c>
    </row>
    <row r="20273" spans="26:26" x14ac:dyDescent="0.2">
      <c r="Z20273" t="str">
        <f t="shared" si="316"/>
        <v/>
      </c>
    </row>
    <row r="20274" spans="26:26" x14ac:dyDescent="0.2">
      <c r="Z20274" t="str">
        <f t="shared" si="316"/>
        <v/>
      </c>
    </row>
    <row r="20275" spans="26:26" x14ac:dyDescent="0.2">
      <c r="Z20275" t="str">
        <f t="shared" si="316"/>
        <v/>
      </c>
    </row>
    <row r="20276" spans="26:26" x14ac:dyDescent="0.2">
      <c r="Z20276" t="str">
        <f t="shared" si="316"/>
        <v/>
      </c>
    </row>
    <row r="20277" spans="26:26" x14ac:dyDescent="0.2">
      <c r="Z20277" t="str">
        <f t="shared" si="316"/>
        <v/>
      </c>
    </row>
    <row r="20278" spans="26:26" x14ac:dyDescent="0.2">
      <c r="Z20278" t="str">
        <f t="shared" si="316"/>
        <v/>
      </c>
    </row>
    <row r="20279" spans="26:26" x14ac:dyDescent="0.2">
      <c r="Z20279" t="str">
        <f t="shared" si="316"/>
        <v/>
      </c>
    </row>
    <row r="20280" spans="26:26" x14ac:dyDescent="0.2">
      <c r="Z20280" t="str">
        <f t="shared" si="316"/>
        <v/>
      </c>
    </row>
    <row r="20281" spans="26:26" x14ac:dyDescent="0.2">
      <c r="Z20281" t="str">
        <f t="shared" si="316"/>
        <v/>
      </c>
    </row>
    <row r="20282" spans="26:26" x14ac:dyDescent="0.2">
      <c r="Z20282" t="str">
        <f t="shared" si="316"/>
        <v/>
      </c>
    </row>
    <row r="20283" spans="26:26" x14ac:dyDescent="0.2">
      <c r="Z20283" t="str">
        <f t="shared" si="316"/>
        <v/>
      </c>
    </row>
    <row r="20284" spans="26:26" x14ac:dyDescent="0.2">
      <c r="Z20284" t="str">
        <f t="shared" si="316"/>
        <v/>
      </c>
    </row>
    <row r="20285" spans="26:26" x14ac:dyDescent="0.2">
      <c r="Z20285" t="str">
        <f t="shared" si="316"/>
        <v/>
      </c>
    </row>
    <row r="20286" spans="26:26" x14ac:dyDescent="0.2">
      <c r="Z20286" t="str">
        <f t="shared" si="316"/>
        <v/>
      </c>
    </row>
    <row r="20287" spans="26:26" x14ac:dyDescent="0.2">
      <c r="Z20287" t="str">
        <f t="shared" si="316"/>
        <v/>
      </c>
    </row>
    <row r="20288" spans="26:26" x14ac:dyDescent="0.2">
      <c r="Z20288" t="str">
        <f t="shared" si="316"/>
        <v/>
      </c>
    </row>
    <row r="20289" spans="26:26" x14ac:dyDescent="0.2">
      <c r="Z20289" t="str">
        <f t="shared" si="316"/>
        <v/>
      </c>
    </row>
    <row r="20290" spans="26:26" x14ac:dyDescent="0.2">
      <c r="Z20290" t="str">
        <f t="shared" si="316"/>
        <v/>
      </c>
    </row>
    <row r="20291" spans="26:26" x14ac:dyDescent="0.2">
      <c r="Z20291" t="str">
        <f t="shared" ref="Z20291:Z20354" si="317">IF(K20291="","",IFERROR(VALUE(TRIM(MID(K20291,FIND(CHAR(167),SUBSTITUTE(K20291,"-",CHAR(167),LEN(K20291)-LEN(SUBSTITUTE(K20291,"-",""))))+1,100))),K20291))</f>
        <v/>
      </c>
    </row>
    <row r="20292" spans="26:26" x14ac:dyDescent="0.2">
      <c r="Z20292" t="str">
        <f t="shared" si="317"/>
        <v/>
      </c>
    </row>
    <row r="20293" spans="26:26" x14ac:dyDescent="0.2">
      <c r="Z20293" t="str">
        <f t="shared" si="317"/>
        <v/>
      </c>
    </row>
    <row r="20294" spans="26:26" x14ac:dyDescent="0.2">
      <c r="Z20294" t="str">
        <f t="shared" si="317"/>
        <v/>
      </c>
    </row>
    <row r="20295" spans="26:26" x14ac:dyDescent="0.2">
      <c r="Z20295" t="str">
        <f t="shared" si="317"/>
        <v/>
      </c>
    </row>
    <row r="20296" spans="26:26" x14ac:dyDescent="0.2">
      <c r="Z20296" t="str">
        <f t="shared" si="317"/>
        <v/>
      </c>
    </row>
    <row r="20297" spans="26:26" x14ac:dyDescent="0.2">
      <c r="Z20297" t="str">
        <f t="shared" si="317"/>
        <v/>
      </c>
    </row>
    <row r="20298" spans="26:26" x14ac:dyDescent="0.2">
      <c r="Z20298" t="str">
        <f t="shared" si="317"/>
        <v/>
      </c>
    </row>
    <row r="20299" spans="26:26" x14ac:dyDescent="0.2">
      <c r="Z20299" t="str">
        <f t="shared" si="317"/>
        <v/>
      </c>
    </row>
    <row r="20300" spans="26:26" x14ac:dyDescent="0.2">
      <c r="Z20300" t="str">
        <f t="shared" si="317"/>
        <v/>
      </c>
    </row>
    <row r="20301" spans="26:26" x14ac:dyDescent="0.2">
      <c r="Z20301" t="str">
        <f t="shared" si="317"/>
        <v/>
      </c>
    </row>
    <row r="20302" spans="26:26" x14ac:dyDescent="0.2">
      <c r="Z20302" t="str">
        <f t="shared" si="317"/>
        <v/>
      </c>
    </row>
    <row r="20303" spans="26:26" x14ac:dyDescent="0.2">
      <c r="Z20303" t="str">
        <f t="shared" si="317"/>
        <v/>
      </c>
    </row>
    <row r="20304" spans="26:26" x14ac:dyDescent="0.2">
      <c r="Z20304" t="str">
        <f t="shared" si="317"/>
        <v/>
      </c>
    </row>
    <row r="20305" spans="26:26" x14ac:dyDescent="0.2">
      <c r="Z20305" t="str">
        <f t="shared" si="317"/>
        <v/>
      </c>
    </row>
    <row r="20306" spans="26:26" x14ac:dyDescent="0.2">
      <c r="Z20306" t="str">
        <f t="shared" si="317"/>
        <v/>
      </c>
    </row>
    <row r="20307" spans="26:26" x14ac:dyDescent="0.2">
      <c r="Z20307" t="str">
        <f t="shared" si="317"/>
        <v/>
      </c>
    </row>
    <row r="20308" spans="26:26" x14ac:dyDescent="0.2">
      <c r="Z20308" t="str">
        <f t="shared" si="317"/>
        <v/>
      </c>
    </row>
    <row r="20309" spans="26:26" x14ac:dyDescent="0.2">
      <c r="Z20309" t="str">
        <f t="shared" si="317"/>
        <v/>
      </c>
    </row>
    <row r="20310" spans="26:26" x14ac:dyDescent="0.2">
      <c r="Z20310" t="str">
        <f t="shared" si="317"/>
        <v/>
      </c>
    </row>
    <row r="20311" spans="26:26" x14ac:dyDescent="0.2">
      <c r="Z20311" t="str">
        <f t="shared" si="317"/>
        <v/>
      </c>
    </row>
    <row r="20312" spans="26:26" x14ac:dyDescent="0.2">
      <c r="Z20312" t="str">
        <f t="shared" si="317"/>
        <v/>
      </c>
    </row>
    <row r="20313" spans="26:26" x14ac:dyDescent="0.2">
      <c r="Z20313" t="str">
        <f t="shared" si="317"/>
        <v/>
      </c>
    </row>
    <row r="20314" spans="26:26" x14ac:dyDescent="0.2">
      <c r="Z20314" t="str">
        <f t="shared" si="317"/>
        <v/>
      </c>
    </row>
    <row r="20315" spans="26:26" x14ac:dyDescent="0.2">
      <c r="Z20315" t="str">
        <f t="shared" si="317"/>
        <v/>
      </c>
    </row>
    <row r="20316" spans="26:26" x14ac:dyDescent="0.2">
      <c r="Z20316" t="str">
        <f t="shared" si="317"/>
        <v/>
      </c>
    </row>
    <row r="20317" spans="26:26" x14ac:dyDescent="0.2">
      <c r="Z20317" t="str">
        <f t="shared" si="317"/>
        <v/>
      </c>
    </row>
    <row r="20318" spans="26:26" x14ac:dyDescent="0.2">
      <c r="Z20318" t="str">
        <f t="shared" si="317"/>
        <v/>
      </c>
    </row>
    <row r="20319" spans="26:26" x14ac:dyDescent="0.2">
      <c r="Z20319" t="str">
        <f t="shared" si="317"/>
        <v/>
      </c>
    </row>
    <row r="20320" spans="26:26" x14ac:dyDescent="0.2">
      <c r="Z20320" t="str">
        <f t="shared" si="317"/>
        <v/>
      </c>
    </row>
    <row r="20321" spans="26:26" x14ac:dyDescent="0.2">
      <c r="Z20321" t="str">
        <f t="shared" si="317"/>
        <v/>
      </c>
    </row>
    <row r="20322" spans="26:26" x14ac:dyDescent="0.2">
      <c r="Z20322" t="str">
        <f t="shared" si="317"/>
        <v/>
      </c>
    </row>
    <row r="20323" spans="26:26" x14ac:dyDescent="0.2">
      <c r="Z20323" t="str">
        <f t="shared" si="317"/>
        <v/>
      </c>
    </row>
    <row r="20324" spans="26:26" x14ac:dyDescent="0.2">
      <c r="Z20324" t="str">
        <f t="shared" si="317"/>
        <v/>
      </c>
    </row>
    <row r="20325" spans="26:26" x14ac:dyDescent="0.2">
      <c r="Z20325" t="str">
        <f t="shared" si="317"/>
        <v/>
      </c>
    </row>
    <row r="20326" spans="26:26" x14ac:dyDescent="0.2">
      <c r="Z20326" t="str">
        <f t="shared" si="317"/>
        <v/>
      </c>
    </row>
    <row r="20327" spans="26:26" x14ac:dyDescent="0.2">
      <c r="Z20327" t="str">
        <f t="shared" si="317"/>
        <v/>
      </c>
    </row>
    <row r="20328" spans="26:26" x14ac:dyDescent="0.2">
      <c r="Z20328" t="str">
        <f t="shared" si="317"/>
        <v/>
      </c>
    </row>
    <row r="20329" spans="26:26" x14ac:dyDescent="0.2">
      <c r="Z20329" t="str">
        <f t="shared" si="317"/>
        <v/>
      </c>
    </row>
    <row r="20330" spans="26:26" x14ac:dyDescent="0.2">
      <c r="Z20330" t="str">
        <f t="shared" si="317"/>
        <v/>
      </c>
    </row>
    <row r="20331" spans="26:26" x14ac:dyDescent="0.2">
      <c r="Z20331" t="str">
        <f t="shared" si="317"/>
        <v/>
      </c>
    </row>
    <row r="20332" spans="26:26" x14ac:dyDescent="0.2">
      <c r="Z20332" t="str">
        <f t="shared" si="317"/>
        <v/>
      </c>
    </row>
    <row r="20333" spans="26:26" x14ac:dyDescent="0.2">
      <c r="Z20333" t="str">
        <f t="shared" si="317"/>
        <v/>
      </c>
    </row>
    <row r="20334" spans="26:26" x14ac:dyDescent="0.2">
      <c r="Z20334" t="str">
        <f t="shared" si="317"/>
        <v/>
      </c>
    </row>
    <row r="20335" spans="26:26" x14ac:dyDescent="0.2">
      <c r="Z20335" t="str">
        <f t="shared" si="317"/>
        <v/>
      </c>
    </row>
    <row r="20336" spans="26:26" x14ac:dyDescent="0.2">
      <c r="Z20336" t="str">
        <f t="shared" si="317"/>
        <v/>
      </c>
    </row>
    <row r="20337" spans="26:26" x14ac:dyDescent="0.2">
      <c r="Z20337" t="str">
        <f t="shared" si="317"/>
        <v/>
      </c>
    </row>
    <row r="20338" spans="26:26" x14ac:dyDescent="0.2">
      <c r="Z20338" t="str">
        <f t="shared" si="317"/>
        <v/>
      </c>
    </row>
    <row r="20339" spans="26:26" x14ac:dyDescent="0.2">
      <c r="Z20339" t="str">
        <f t="shared" si="317"/>
        <v/>
      </c>
    </row>
    <row r="20340" spans="26:26" x14ac:dyDescent="0.2">
      <c r="Z20340" t="str">
        <f t="shared" si="317"/>
        <v/>
      </c>
    </row>
    <row r="20341" spans="26:26" x14ac:dyDescent="0.2">
      <c r="Z20341" t="str">
        <f t="shared" si="317"/>
        <v/>
      </c>
    </row>
    <row r="20342" spans="26:26" x14ac:dyDescent="0.2">
      <c r="Z20342" t="str">
        <f t="shared" si="317"/>
        <v/>
      </c>
    </row>
    <row r="20343" spans="26:26" x14ac:dyDescent="0.2">
      <c r="Z20343" t="str">
        <f t="shared" si="317"/>
        <v/>
      </c>
    </row>
    <row r="20344" spans="26:26" x14ac:dyDescent="0.2">
      <c r="Z20344" t="str">
        <f t="shared" si="317"/>
        <v/>
      </c>
    </row>
    <row r="20345" spans="26:26" x14ac:dyDescent="0.2">
      <c r="Z20345" t="str">
        <f t="shared" si="317"/>
        <v/>
      </c>
    </row>
    <row r="20346" spans="26:26" x14ac:dyDescent="0.2">
      <c r="Z20346" t="str">
        <f t="shared" si="317"/>
        <v/>
      </c>
    </row>
    <row r="20347" spans="26:26" x14ac:dyDescent="0.2">
      <c r="Z20347" t="str">
        <f t="shared" si="317"/>
        <v/>
      </c>
    </row>
    <row r="20348" spans="26:26" x14ac:dyDescent="0.2">
      <c r="Z20348" t="str">
        <f t="shared" si="317"/>
        <v/>
      </c>
    </row>
    <row r="20349" spans="26:26" x14ac:dyDescent="0.2">
      <c r="Z20349" t="str">
        <f t="shared" si="317"/>
        <v/>
      </c>
    </row>
    <row r="20350" spans="26:26" x14ac:dyDescent="0.2">
      <c r="Z20350" t="str">
        <f t="shared" si="317"/>
        <v/>
      </c>
    </row>
    <row r="20351" spans="26:26" x14ac:dyDescent="0.2">
      <c r="Z20351" t="str">
        <f t="shared" si="317"/>
        <v/>
      </c>
    </row>
    <row r="20352" spans="26:26" x14ac:dyDescent="0.2">
      <c r="Z20352" t="str">
        <f t="shared" si="317"/>
        <v/>
      </c>
    </row>
    <row r="20353" spans="26:26" x14ac:dyDescent="0.2">
      <c r="Z20353" t="str">
        <f t="shared" si="317"/>
        <v/>
      </c>
    </row>
    <row r="20354" spans="26:26" x14ac:dyDescent="0.2">
      <c r="Z20354" t="str">
        <f t="shared" si="317"/>
        <v/>
      </c>
    </row>
    <row r="20355" spans="26:26" x14ac:dyDescent="0.2">
      <c r="Z20355" t="str">
        <f t="shared" ref="Z20355:Z20418" si="318">IF(K20355="","",IFERROR(VALUE(TRIM(MID(K20355,FIND(CHAR(167),SUBSTITUTE(K20355,"-",CHAR(167),LEN(K20355)-LEN(SUBSTITUTE(K20355,"-",""))))+1,100))),K20355))</f>
        <v/>
      </c>
    </row>
    <row r="20356" spans="26:26" x14ac:dyDescent="0.2">
      <c r="Z20356" t="str">
        <f t="shared" si="318"/>
        <v/>
      </c>
    </row>
    <row r="20357" spans="26:26" x14ac:dyDescent="0.2">
      <c r="Z20357" t="str">
        <f t="shared" si="318"/>
        <v/>
      </c>
    </row>
    <row r="20358" spans="26:26" x14ac:dyDescent="0.2">
      <c r="Z20358" t="str">
        <f t="shared" si="318"/>
        <v/>
      </c>
    </row>
    <row r="20359" spans="26:26" x14ac:dyDescent="0.2">
      <c r="Z20359" t="str">
        <f t="shared" si="318"/>
        <v/>
      </c>
    </row>
    <row r="20360" spans="26:26" x14ac:dyDescent="0.2">
      <c r="Z20360" t="str">
        <f t="shared" si="318"/>
        <v/>
      </c>
    </row>
    <row r="20361" spans="26:26" x14ac:dyDescent="0.2">
      <c r="Z20361" t="str">
        <f t="shared" si="318"/>
        <v/>
      </c>
    </row>
    <row r="20362" spans="26:26" x14ac:dyDescent="0.2">
      <c r="Z20362" t="str">
        <f t="shared" si="318"/>
        <v/>
      </c>
    </row>
    <row r="20363" spans="26:26" x14ac:dyDescent="0.2">
      <c r="Z20363" t="str">
        <f t="shared" si="318"/>
        <v/>
      </c>
    </row>
    <row r="20364" spans="26:26" x14ac:dyDescent="0.2">
      <c r="Z20364" t="str">
        <f t="shared" si="318"/>
        <v/>
      </c>
    </row>
    <row r="20365" spans="26:26" x14ac:dyDescent="0.2">
      <c r="Z20365" t="str">
        <f t="shared" si="318"/>
        <v/>
      </c>
    </row>
    <row r="20366" spans="26:26" x14ac:dyDescent="0.2">
      <c r="Z20366" t="str">
        <f t="shared" si="318"/>
        <v/>
      </c>
    </row>
    <row r="20367" spans="26:26" x14ac:dyDescent="0.2">
      <c r="Z20367" t="str">
        <f t="shared" si="318"/>
        <v/>
      </c>
    </row>
    <row r="20368" spans="26:26" x14ac:dyDescent="0.2">
      <c r="Z20368" t="str">
        <f t="shared" si="318"/>
        <v/>
      </c>
    </row>
    <row r="20369" spans="26:26" x14ac:dyDescent="0.2">
      <c r="Z20369" t="str">
        <f t="shared" si="318"/>
        <v/>
      </c>
    </row>
    <row r="20370" spans="26:26" x14ac:dyDescent="0.2">
      <c r="Z20370" t="str">
        <f t="shared" si="318"/>
        <v/>
      </c>
    </row>
    <row r="20371" spans="26:26" x14ac:dyDescent="0.2">
      <c r="Z20371" t="str">
        <f t="shared" si="318"/>
        <v/>
      </c>
    </row>
    <row r="20372" spans="26:26" x14ac:dyDescent="0.2">
      <c r="Z20372" t="str">
        <f t="shared" si="318"/>
        <v/>
      </c>
    </row>
    <row r="20373" spans="26:26" x14ac:dyDescent="0.2">
      <c r="Z20373" t="str">
        <f t="shared" si="318"/>
        <v/>
      </c>
    </row>
    <row r="20374" spans="26:26" x14ac:dyDescent="0.2">
      <c r="Z20374" t="str">
        <f t="shared" si="318"/>
        <v/>
      </c>
    </row>
    <row r="20375" spans="26:26" x14ac:dyDescent="0.2">
      <c r="Z20375" t="str">
        <f t="shared" si="318"/>
        <v/>
      </c>
    </row>
    <row r="20376" spans="26:26" x14ac:dyDescent="0.2">
      <c r="Z20376" t="str">
        <f t="shared" si="318"/>
        <v/>
      </c>
    </row>
    <row r="20377" spans="26:26" x14ac:dyDescent="0.2">
      <c r="Z20377" t="str">
        <f t="shared" si="318"/>
        <v/>
      </c>
    </row>
    <row r="20378" spans="26:26" x14ac:dyDescent="0.2">
      <c r="Z20378" t="str">
        <f t="shared" si="318"/>
        <v/>
      </c>
    </row>
    <row r="20379" spans="26:26" x14ac:dyDescent="0.2">
      <c r="Z20379" t="str">
        <f t="shared" si="318"/>
        <v/>
      </c>
    </row>
    <row r="20380" spans="26:26" x14ac:dyDescent="0.2">
      <c r="Z20380" t="str">
        <f t="shared" si="318"/>
        <v/>
      </c>
    </row>
    <row r="20381" spans="26:26" x14ac:dyDescent="0.2">
      <c r="Z20381" t="str">
        <f t="shared" si="318"/>
        <v/>
      </c>
    </row>
    <row r="20382" spans="26:26" x14ac:dyDescent="0.2">
      <c r="Z20382" t="str">
        <f t="shared" si="318"/>
        <v/>
      </c>
    </row>
    <row r="20383" spans="26:26" x14ac:dyDescent="0.2">
      <c r="Z20383" t="str">
        <f t="shared" si="318"/>
        <v/>
      </c>
    </row>
    <row r="20384" spans="26:26" x14ac:dyDescent="0.2">
      <c r="Z20384" t="str">
        <f t="shared" si="318"/>
        <v/>
      </c>
    </row>
    <row r="20385" spans="26:26" x14ac:dyDescent="0.2">
      <c r="Z20385" t="str">
        <f t="shared" si="318"/>
        <v/>
      </c>
    </row>
    <row r="20386" spans="26:26" x14ac:dyDescent="0.2">
      <c r="Z20386" t="str">
        <f t="shared" si="318"/>
        <v/>
      </c>
    </row>
    <row r="20387" spans="26:26" x14ac:dyDescent="0.2">
      <c r="Z20387" t="str">
        <f t="shared" si="318"/>
        <v/>
      </c>
    </row>
    <row r="20388" spans="26:26" x14ac:dyDescent="0.2">
      <c r="Z20388" t="str">
        <f t="shared" si="318"/>
        <v/>
      </c>
    </row>
    <row r="20389" spans="26:26" x14ac:dyDescent="0.2">
      <c r="Z20389" t="str">
        <f t="shared" si="318"/>
        <v/>
      </c>
    </row>
    <row r="20390" spans="26:26" x14ac:dyDescent="0.2">
      <c r="Z20390" t="str">
        <f t="shared" si="318"/>
        <v/>
      </c>
    </row>
    <row r="20391" spans="26:26" x14ac:dyDescent="0.2">
      <c r="Z20391" t="str">
        <f t="shared" si="318"/>
        <v/>
      </c>
    </row>
    <row r="20392" spans="26:26" x14ac:dyDescent="0.2">
      <c r="Z20392" t="str">
        <f t="shared" si="318"/>
        <v/>
      </c>
    </row>
    <row r="20393" spans="26:26" x14ac:dyDescent="0.2">
      <c r="Z20393" t="str">
        <f t="shared" si="318"/>
        <v/>
      </c>
    </row>
    <row r="20394" spans="26:26" x14ac:dyDescent="0.2">
      <c r="Z20394" t="str">
        <f t="shared" si="318"/>
        <v/>
      </c>
    </row>
    <row r="20395" spans="26:26" x14ac:dyDescent="0.2">
      <c r="Z20395" t="str">
        <f t="shared" si="318"/>
        <v/>
      </c>
    </row>
    <row r="20396" spans="26:26" x14ac:dyDescent="0.2">
      <c r="Z20396" t="str">
        <f t="shared" si="318"/>
        <v/>
      </c>
    </row>
    <row r="20397" spans="26:26" x14ac:dyDescent="0.2">
      <c r="Z20397" t="str">
        <f t="shared" si="318"/>
        <v/>
      </c>
    </row>
    <row r="20398" spans="26:26" x14ac:dyDescent="0.2">
      <c r="Z20398" t="str">
        <f t="shared" si="318"/>
        <v/>
      </c>
    </row>
    <row r="20399" spans="26:26" x14ac:dyDescent="0.2">
      <c r="Z20399" t="str">
        <f t="shared" si="318"/>
        <v/>
      </c>
    </row>
    <row r="20400" spans="26:26" x14ac:dyDescent="0.2">
      <c r="Z20400" t="str">
        <f t="shared" si="318"/>
        <v/>
      </c>
    </row>
    <row r="20401" spans="26:26" x14ac:dyDescent="0.2">
      <c r="Z20401" t="str">
        <f t="shared" si="318"/>
        <v/>
      </c>
    </row>
    <row r="20402" spans="26:26" x14ac:dyDescent="0.2">
      <c r="Z20402" t="str">
        <f t="shared" si="318"/>
        <v/>
      </c>
    </row>
    <row r="20403" spans="26:26" x14ac:dyDescent="0.2">
      <c r="Z20403" t="str">
        <f t="shared" si="318"/>
        <v/>
      </c>
    </row>
    <row r="20404" spans="26:26" x14ac:dyDescent="0.2">
      <c r="Z20404" t="str">
        <f t="shared" si="318"/>
        <v/>
      </c>
    </row>
    <row r="20405" spans="26:26" x14ac:dyDescent="0.2">
      <c r="Z20405" t="str">
        <f t="shared" si="318"/>
        <v/>
      </c>
    </row>
    <row r="20406" spans="26:26" x14ac:dyDescent="0.2">
      <c r="Z20406" t="str">
        <f t="shared" si="318"/>
        <v/>
      </c>
    </row>
    <row r="20407" spans="26:26" x14ac:dyDescent="0.2">
      <c r="Z20407" t="str">
        <f t="shared" si="318"/>
        <v/>
      </c>
    </row>
    <row r="20408" spans="26:26" x14ac:dyDescent="0.2">
      <c r="Z20408" t="str">
        <f t="shared" si="318"/>
        <v/>
      </c>
    </row>
    <row r="20409" spans="26:26" x14ac:dyDescent="0.2">
      <c r="Z20409" t="str">
        <f t="shared" si="318"/>
        <v/>
      </c>
    </row>
    <row r="20410" spans="26:26" x14ac:dyDescent="0.2">
      <c r="Z20410" t="str">
        <f t="shared" si="318"/>
        <v/>
      </c>
    </row>
    <row r="20411" spans="26:26" x14ac:dyDescent="0.2">
      <c r="Z20411" t="str">
        <f t="shared" si="318"/>
        <v/>
      </c>
    </row>
    <row r="20412" spans="26:26" x14ac:dyDescent="0.2">
      <c r="Z20412" t="str">
        <f t="shared" si="318"/>
        <v/>
      </c>
    </row>
    <row r="20413" spans="26:26" x14ac:dyDescent="0.2">
      <c r="Z20413" t="str">
        <f t="shared" si="318"/>
        <v/>
      </c>
    </row>
    <row r="20414" spans="26:26" x14ac:dyDescent="0.2">
      <c r="Z20414" t="str">
        <f t="shared" si="318"/>
        <v/>
      </c>
    </row>
    <row r="20415" spans="26:26" x14ac:dyDescent="0.2">
      <c r="Z20415" t="str">
        <f t="shared" si="318"/>
        <v/>
      </c>
    </row>
    <row r="20416" spans="26:26" x14ac:dyDescent="0.2">
      <c r="Z20416" t="str">
        <f t="shared" si="318"/>
        <v/>
      </c>
    </row>
    <row r="20417" spans="26:26" x14ac:dyDescent="0.2">
      <c r="Z20417" t="str">
        <f t="shared" si="318"/>
        <v/>
      </c>
    </row>
    <row r="20418" spans="26:26" x14ac:dyDescent="0.2">
      <c r="Z20418" t="str">
        <f t="shared" si="318"/>
        <v/>
      </c>
    </row>
    <row r="20419" spans="26:26" x14ac:dyDescent="0.2">
      <c r="Z20419" t="str">
        <f t="shared" ref="Z20419:Z20482" si="319">IF(K20419="","",IFERROR(VALUE(TRIM(MID(K20419,FIND(CHAR(167),SUBSTITUTE(K20419,"-",CHAR(167),LEN(K20419)-LEN(SUBSTITUTE(K20419,"-",""))))+1,100))),K20419))</f>
        <v/>
      </c>
    </row>
    <row r="20420" spans="26:26" x14ac:dyDescent="0.2">
      <c r="Z20420" t="str">
        <f t="shared" si="319"/>
        <v/>
      </c>
    </row>
    <row r="20421" spans="26:26" x14ac:dyDescent="0.2">
      <c r="Z20421" t="str">
        <f t="shared" si="319"/>
        <v/>
      </c>
    </row>
    <row r="20422" spans="26:26" x14ac:dyDescent="0.2">
      <c r="Z20422" t="str">
        <f t="shared" si="319"/>
        <v/>
      </c>
    </row>
    <row r="20423" spans="26:26" x14ac:dyDescent="0.2">
      <c r="Z20423" t="str">
        <f t="shared" si="319"/>
        <v/>
      </c>
    </row>
    <row r="20424" spans="26:26" x14ac:dyDescent="0.2">
      <c r="Z20424" t="str">
        <f t="shared" si="319"/>
        <v/>
      </c>
    </row>
    <row r="20425" spans="26:26" x14ac:dyDescent="0.2">
      <c r="Z20425" t="str">
        <f t="shared" si="319"/>
        <v/>
      </c>
    </row>
    <row r="20426" spans="26:26" x14ac:dyDescent="0.2">
      <c r="Z20426" t="str">
        <f t="shared" si="319"/>
        <v/>
      </c>
    </row>
    <row r="20427" spans="26:26" x14ac:dyDescent="0.2">
      <c r="Z20427" t="str">
        <f t="shared" si="319"/>
        <v/>
      </c>
    </row>
    <row r="20428" spans="26:26" x14ac:dyDescent="0.2">
      <c r="Z20428" t="str">
        <f t="shared" si="319"/>
        <v/>
      </c>
    </row>
    <row r="20429" spans="26:26" x14ac:dyDescent="0.2">
      <c r="Z20429" t="str">
        <f t="shared" si="319"/>
        <v/>
      </c>
    </row>
    <row r="20430" spans="26:26" x14ac:dyDescent="0.2">
      <c r="Z20430" t="str">
        <f t="shared" si="319"/>
        <v/>
      </c>
    </row>
    <row r="20431" spans="26:26" x14ac:dyDescent="0.2">
      <c r="Z20431" t="str">
        <f t="shared" si="319"/>
        <v/>
      </c>
    </row>
    <row r="20432" spans="26:26" x14ac:dyDescent="0.2">
      <c r="Z20432" t="str">
        <f t="shared" si="319"/>
        <v/>
      </c>
    </row>
    <row r="20433" spans="26:26" x14ac:dyDescent="0.2">
      <c r="Z20433" t="str">
        <f t="shared" si="319"/>
        <v/>
      </c>
    </row>
    <row r="20434" spans="26:26" x14ac:dyDescent="0.2">
      <c r="Z20434" t="str">
        <f t="shared" si="319"/>
        <v/>
      </c>
    </row>
    <row r="20435" spans="26:26" x14ac:dyDescent="0.2">
      <c r="Z20435" t="str">
        <f t="shared" si="319"/>
        <v/>
      </c>
    </row>
    <row r="20436" spans="26:26" x14ac:dyDescent="0.2">
      <c r="Z20436" t="str">
        <f t="shared" si="319"/>
        <v/>
      </c>
    </row>
    <row r="20437" spans="26:26" x14ac:dyDescent="0.2">
      <c r="Z20437" t="str">
        <f t="shared" si="319"/>
        <v/>
      </c>
    </row>
    <row r="20438" spans="26:26" x14ac:dyDescent="0.2">
      <c r="Z20438" t="str">
        <f t="shared" si="319"/>
        <v/>
      </c>
    </row>
    <row r="20439" spans="26:26" x14ac:dyDescent="0.2">
      <c r="Z20439" t="str">
        <f t="shared" si="319"/>
        <v/>
      </c>
    </row>
    <row r="20440" spans="26:26" x14ac:dyDescent="0.2">
      <c r="Z20440" t="str">
        <f t="shared" si="319"/>
        <v/>
      </c>
    </row>
    <row r="20441" spans="26:26" x14ac:dyDescent="0.2">
      <c r="Z20441" t="str">
        <f t="shared" si="319"/>
        <v/>
      </c>
    </row>
    <row r="20442" spans="26:26" x14ac:dyDescent="0.2">
      <c r="Z20442" t="str">
        <f t="shared" si="319"/>
        <v/>
      </c>
    </row>
    <row r="20443" spans="26:26" x14ac:dyDescent="0.2">
      <c r="Z20443" t="str">
        <f t="shared" si="319"/>
        <v/>
      </c>
    </row>
    <row r="20444" spans="26:26" x14ac:dyDescent="0.2">
      <c r="Z20444" t="str">
        <f t="shared" si="319"/>
        <v/>
      </c>
    </row>
    <row r="20445" spans="26:26" x14ac:dyDescent="0.2">
      <c r="Z20445" t="str">
        <f t="shared" si="319"/>
        <v/>
      </c>
    </row>
    <row r="20446" spans="26:26" x14ac:dyDescent="0.2">
      <c r="Z20446" t="str">
        <f t="shared" si="319"/>
        <v/>
      </c>
    </row>
    <row r="20447" spans="26:26" x14ac:dyDescent="0.2">
      <c r="Z20447" t="str">
        <f t="shared" si="319"/>
        <v/>
      </c>
    </row>
    <row r="20448" spans="26:26" x14ac:dyDescent="0.2">
      <c r="Z20448" t="str">
        <f t="shared" si="319"/>
        <v/>
      </c>
    </row>
    <row r="20449" spans="26:26" x14ac:dyDescent="0.2">
      <c r="Z20449" t="str">
        <f t="shared" si="319"/>
        <v/>
      </c>
    </row>
    <row r="20450" spans="26:26" x14ac:dyDescent="0.2">
      <c r="Z20450" t="str">
        <f t="shared" si="319"/>
        <v/>
      </c>
    </row>
    <row r="20451" spans="26:26" x14ac:dyDescent="0.2">
      <c r="Z20451" t="str">
        <f t="shared" si="319"/>
        <v/>
      </c>
    </row>
    <row r="20452" spans="26:26" x14ac:dyDescent="0.2">
      <c r="Z20452" t="str">
        <f t="shared" si="319"/>
        <v/>
      </c>
    </row>
    <row r="20453" spans="26:26" x14ac:dyDescent="0.2">
      <c r="Z20453" t="str">
        <f t="shared" si="319"/>
        <v/>
      </c>
    </row>
    <row r="20454" spans="26:26" x14ac:dyDescent="0.2">
      <c r="Z20454" t="str">
        <f t="shared" si="319"/>
        <v/>
      </c>
    </row>
    <row r="20455" spans="26:26" x14ac:dyDescent="0.2">
      <c r="Z20455" t="str">
        <f t="shared" si="319"/>
        <v/>
      </c>
    </row>
    <row r="20456" spans="26:26" x14ac:dyDescent="0.2">
      <c r="Z20456" t="str">
        <f t="shared" si="319"/>
        <v/>
      </c>
    </row>
    <row r="20457" spans="26:26" x14ac:dyDescent="0.2">
      <c r="Z20457" t="str">
        <f t="shared" si="319"/>
        <v/>
      </c>
    </row>
    <row r="20458" spans="26:26" x14ac:dyDescent="0.2">
      <c r="Z20458" t="str">
        <f t="shared" si="319"/>
        <v/>
      </c>
    </row>
    <row r="20459" spans="26:26" x14ac:dyDescent="0.2">
      <c r="Z20459" t="str">
        <f t="shared" si="319"/>
        <v/>
      </c>
    </row>
    <row r="20460" spans="26:26" x14ac:dyDescent="0.2">
      <c r="Z20460" t="str">
        <f t="shared" si="319"/>
        <v/>
      </c>
    </row>
    <row r="20461" spans="26:26" x14ac:dyDescent="0.2">
      <c r="Z20461" t="str">
        <f t="shared" si="319"/>
        <v/>
      </c>
    </row>
    <row r="20462" spans="26:26" x14ac:dyDescent="0.2">
      <c r="Z20462" t="str">
        <f t="shared" si="319"/>
        <v/>
      </c>
    </row>
    <row r="20463" spans="26:26" x14ac:dyDescent="0.2">
      <c r="Z20463" t="str">
        <f t="shared" si="319"/>
        <v/>
      </c>
    </row>
    <row r="20464" spans="26:26" x14ac:dyDescent="0.2">
      <c r="Z20464" t="str">
        <f t="shared" si="319"/>
        <v/>
      </c>
    </row>
    <row r="20465" spans="26:26" x14ac:dyDescent="0.2">
      <c r="Z20465" t="str">
        <f t="shared" si="319"/>
        <v/>
      </c>
    </row>
    <row r="20466" spans="26:26" x14ac:dyDescent="0.2">
      <c r="Z20466" t="str">
        <f t="shared" si="319"/>
        <v/>
      </c>
    </row>
    <row r="20467" spans="26:26" x14ac:dyDescent="0.2">
      <c r="Z20467" t="str">
        <f t="shared" si="319"/>
        <v/>
      </c>
    </row>
    <row r="20468" spans="26:26" x14ac:dyDescent="0.2">
      <c r="Z20468" t="str">
        <f t="shared" si="319"/>
        <v/>
      </c>
    </row>
    <row r="20469" spans="26:26" x14ac:dyDescent="0.2">
      <c r="Z20469" t="str">
        <f t="shared" si="319"/>
        <v/>
      </c>
    </row>
    <row r="20470" spans="26:26" x14ac:dyDescent="0.2">
      <c r="Z20470" t="str">
        <f t="shared" si="319"/>
        <v/>
      </c>
    </row>
    <row r="20471" spans="26:26" x14ac:dyDescent="0.2">
      <c r="Z20471" t="str">
        <f t="shared" si="319"/>
        <v/>
      </c>
    </row>
    <row r="20472" spans="26:26" x14ac:dyDescent="0.2">
      <c r="Z20472" t="str">
        <f t="shared" si="319"/>
        <v/>
      </c>
    </row>
    <row r="20473" spans="26:26" x14ac:dyDescent="0.2">
      <c r="Z20473" t="str">
        <f t="shared" si="319"/>
        <v/>
      </c>
    </row>
    <row r="20474" spans="26:26" x14ac:dyDescent="0.2">
      <c r="Z20474" t="str">
        <f t="shared" si="319"/>
        <v/>
      </c>
    </row>
    <row r="20475" spans="26:26" x14ac:dyDescent="0.2">
      <c r="Z20475" t="str">
        <f t="shared" si="319"/>
        <v/>
      </c>
    </row>
    <row r="20476" spans="26:26" x14ac:dyDescent="0.2">
      <c r="Z20476" t="str">
        <f t="shared" si="319"/>
        <v/>
      </c>
    </row>
    <row r="20477" spans="26:26" x14ac:dyDescent="0.2">
      <c r="Z20477" t="str">
        <f t="shared" si="319"/>
        <v/>
      </c>
    </row>
    <row r="20478" spans="26:26" x14ac:dyDescent="0.2">
      <c r="Z20478" t="str">
        <f t="shared" si="319"/>
        <v/>
      </c>
    </row>
    <row r="20479" spans="26:26" x14ac:dyDescent="0.2">
      <c r="Z20479" t="str">
        <f t="shared" si="319"/>
        <v/>
      </c>
    </row>
    <row r="20480" spans="26:26" x14ac:dyDescent="0.2">
      <c r="Z20480" t="str">
        <f t="shared" si="319"/>
        <v/>
      </c>
    </row>
    <row r="20481" spans="26:26" x14ac:dyDescent="0.2">
      <c r="Z20481" t="str">
        <f t="shared" si="319"/>
        <v/>
      </c>
    </row>
    <row r="20482" spans="26:26" x14ac:dyDescent="0.2">
      <c r="Z20482" t="str">
        <f t="shared" si="319"/>
        <v/>
      </c>
    </row>
    <row r="20483" spans="26:26" x14ac:dyDescent="0.2">
      <c r="Z20483" t="str">
        <f t="shared" ref="Z20483:Z20546" si="320">IF(K20483="","",IFERROR(VALUE(TRIM(MID(K20483,FIND(CHAR(167),SUBSTITUTE(K20483,"-",CHAR(167),LEN(K20483)-LEN(SUBSTITUTE(K20483,"-",""))))+1,100))),K20483))</f>
        <v/>
      </c>
    </row>
    <row r="20484" spans="26:26" x14ac:dyDescent="0.2">
      <c r="Z20484" t="str">
        <f t="shared" si="320"/>
        <v/>
      </c>
    </row>
    <row r="20485" spans="26:26" x14ac:dyDescent="0.2">
      <c r="Z20485" t="str">
        <f t="shared" si="320"/>
        <v/>
      </c>
    </row>
    <row r="20486" spans="26:26" x14ac:dyDescent="0.2">
      <c r="Z20486" t="str">
        <f t="shared" si="320"/>
        <v/>
      </c>
    </row>
    <row r="20487" spans="26:26" x14ac:dyDescent="0.2">
      <c r="Z20487" t="str">
        <f t="shared" si="320"/>
        <v/>
      </c>
    </row>
    <row r="20488" spans="26:26" x14ac:dyDescent="0.2">
      <c r="Z20488" t="str">
        <f t="shared" si="320"/>
        <v/>
      </c>
    </row>
    <row r="20489" spans="26:26" x14ac:dyDescent="0.2">
      <c r="Z20489" t="str">
        <f t="shared" si="320"/>
        <v/>
      </c>
    </row>
    <row r="20490" spans="26:26" x14ac:dyDescent="0.2">
      <c r="Z20490" t="str">
        <f t="shared" si="320"/>
        <v/>
      </c>
    </row>
    <row r="20491" spans="26:26" x14ac:dyDescent="0.2">
      <c r="Z20491" t="str">
        <f t="shared" si="320"/>
        <v/>
      </c>
    </row>
    <row r="20492" spans="26:26" x14ac:dyDescent="0.2">
      <c r="Z20492" t="str">
        <f t="shared" si="320"/>
        <v/>
      </c>
    </row>
    <row r="20493" spans="26:26" x14ac:dyDescent="0.2">
      <c r="Z20493" t="str">
        <f t="shared" si="320"/>
        <v/>
      </c>
    </row>
    <row r="20494" spans="26:26" x14ac:dyDescent="0.2">
      <c r="Z20494" t="str">
        <f t="shared" si="320"/>
        <v/>
      </c>
    </row>
    <row r="20495" spans="26:26" x14ac:dyDescent="0.2">
      <c r="Z20495" t="str">
        <f t="shared" si="320"/>
        <v/>
      </c>
    </row>
    <row r="20496" spans="26:26" x14ac:dyDescent="0.2">
      <c r="Z20496" t="str">
        <f t="shared" si="320"/>
        <v/>
      </c>
    </row>
    <row r="20497" spans="26:26" x14ac:dyDescent="0.2">
      <c r="Z20497" t="str">
        <f t="shared" si="320"/>
        <v/>
      </c>
    </row>
    <row r="20498" spans="26:26" x14ac:dyDescent="0.2">
      <c r="Z20498" t="str">
        <f t="shared" si="320"/>
        <v/>
      </c>
    </row>
    <row r="20499" spans="26:26" x14ac:dyDescent="0.2">
      <c r="Z20499" t="str">
        <f t="shared" si="320"/>
        <v/>
      </c>
    </row>
    <row r="20500" spans="26:26" x14ac:dyDescent="0.2">
      <c r="Z20500" t="str">
        <f t="shared" si="320"/>
        <v/>
      </c>
    </row>
    <row r="20501" spans="26:26" x14ac:dyDescent="0.2">
      <c r="Z20501" t="str">
        <f t="shared" si="320"/>
        <v/>
      </c>
    </row>
    <row r="20502" spans="26:26" x14ac:dyDescent="0.2">
      <c r="Z20502" t="str">
        <f t="shared" si="320"/>
        <v/>
      </c>
    </row>
    <row r="20503" spans="26:26" x14ac:dyDescent="0.2">
      <c r="Z20503" t="str">
        <f t="shared" si="320"/>
        <v/>
      </c>
    </row>
    <row r="20504" spans="26:26" x14ac:dyDescent="0.2">
      <c r="Z20504" t="str">
        <f t="shared" si="320"/>
        <v/>
      </c>
    </row>
    <row r="20505" spans="26:26" x14ac:dyDescent="0.2">
      <c r="Z20505" t="str">
        <f t="shared" si="320"/>
        <v/>
      </c>
    </row>
    <row r="20506" spans="26:26" x14ac:dyDescent="0.2">
      <c r="Z20506" t="str">
        <f t="shared" si="320"/>
        <v/>
      </c>
    </row>
    <row r="20507" spans="26:26" x14ac:dyDescent="0.2">
      <c r="Z20507" t="str">
        <f t="shared" si="320"/>
        <v/>
      </c>
    </row>
    <row r="20508" spans="26:26" x14ac:dyDescent="0.2">
      <c r="Z20508" t="str">
        <f t="shared" si="320"/>
        <v/>
      </c>
    </row>
    <row r="20509" spans="26:26" x14ac:dyDescent="0.2">
      <c r="Z20509" t="str">
        <f t="shared" si="320"/>
        <v/>
      </c>
    </row>
    <row r="20510" spans="26:26" x14ac:dyDescent="0.2">
      <c r="Z20510" t="str">
        <f t="shared" si="320"/>
        <v/>
      </c>
    </row>
    <row r="20511" spans="26:26" x14ac:dyDescent="0.2">
      <c r="Z20511" t="str">
        <f t="shared" si="320"/>
        <v/>
      </c>
    </row>
    <row r="20512" spans="26:26" x14ac:dyDescent="0.2">
      <c r="Z20512" t="str">
        <f t="shared" si="320"/>
        <v/>
      </c>
    </row>
    <row r="20513" spans="26:26" x14ac:dyDescent="0.2">
      <c r="Z20513" t="str">
        <f t="shared" si="320"/>
        <v/>
      </c>
    </row>
    <row r="20514" spans="26:26" x14ac:dyDescent="0.2">
      <c r="Z20514" t="str">
        <f t="shared" si="320"/>
        <v/>
      </c>
    </row>
    <row r="20515" spans="26:26" x14ac:dyDescent="0.2">
      <c r="Z20515" t="str">
        <f t="shared" si="320"/>
        <v/>
      </c>
    </row>
    <row r="20516" spans="26:26" x14ac:dyDescent="0.2">
      <c r="Z20516" t="str">
        <f t="shared" si="320"/>
        <v/>
      </c>
    </row>
    <row r="20517" spans="26:26" x14ac:dyDescent="0.2">
      <c r="Z20517" t="str">
        <f t="shared" si="320"/>
        <v/>
      </c>
    </row>
    <row r="20518" spans="26:26" x14ac:dyDescent="0.2">
      <c r="Z20518" t="str">
        <f t="shared" si="320"/>
        <v/>
      </c>
    </row>
    <row r="20519" spans="26:26" x14ac:dyDescent="0.2">
      <c r="Z20519" t="str">
        <f t="shared" si="320"/>
        <v/>
      </c>
    </row>
    <row r="20520" spans="26:26" x14ac:dyDescent="0.2">
      <c r="Z20520" t="str">
        <f t="shared" si="320"/>
        <v/>
      </c>
    </row>
    <row r="20521" spans="26:26" x14ac:dyDescent="0.2">
      <c r="Z20521" t="str">
        <f t="shared" si="320"/>
        <v/>
      </c>
    </row>
    <row r="20522" spans="26:26" x14ac:dyDescent="0.2">
      <c r="Z20522" t="str">
        <f t="shared" si="320"/>
        <v/>
      </c>
    </row>
    <row r="20523" spans="26:26" x14ac:dyDescent="0.2">
      <c r="Z20523" t="str">
        <f t="shared" si="320"/>
        <v/>
      </c>
    </row>
    <row r="20524" spans="26:26" x14ac:dyDescent="0.2">
      <c r="Z20524" t="str">
        <f t="shared" si="320"/>
        <v/>
      </c>
    </row>
    <row r="20525" spans="26:26" x14ac:dyDescent="0.2">
      <c r="Z20525" t="str">
        <f t="shared" si="320"/>
        <v/>
      </c>
    </row>
    <row r="20526" spans="26:26" x14ac:dyDescent="0.2">
      <c r="Z20526" t="str">
        <f t="shared" si="320"/>
        <v/>
      </c>
    </row>
    <row r="20527" spans="26:26" x14ac:dyDescent="0.2">
      <c r="Z20527" t="str">
        <f t="shared" si="320"/>
        <v/>
      </c>
    </row>
    <row r="20528" spans="26:26" x14ac:dyDescent="0.2">
      <c r="Z20528" t="str">
        <f t="shared" si="320"/>
        <v/>
      </c>
    </row>
    <row r="20529" spans="26:26" x14ac:dyDescent="0.2">
      <c r="Z20529" t="str">
        <f t="shared" si="320"/>
        <v/>
      </c>
    </row>
    <row r="20530" spans="26:26" x14ac:dyDescent="0.2">
      <c r="Z20530" t="str">
        <f t="shared" si="320"/>
        <v/>
      </c>
    </row>
    <row r="20531" spans="26:26" x14ac:dyDescent="0.2">
      <c r="Z20531" t="str">
        <f t="shared" si="320"/>
        <v/>
      </c>
    </row>
    <row r="20532" spans="26:26" x14ac:dyDescent="0.2">
      <c r="Z20532" t="str">
        <f t="shared" si="320"/>
        <v/>
      </c>
    </row>
    <row r="20533" spans="26:26" x14ac:dyDescent="0.2">
      <c r="Z20533" t="str">
        <f t="shared" si="320"/>
        <v/>
      </c>
    </row>
    <row r="20534" spans="26:26" x14ac:dyDescent="0.2">
      <c r="Z20534" t="str">
        <f t="shared" si="320"/>
        <v/>
      </c>
    </row>
    <row r="20535" spans="26:26" x14ac:dyDescent="0.2">
      <c r="Z20535" t="str">
        <f t="shared" si="320"/>
        <v/>
      </c>
    </row>
    <row r="20536" spans="26:26" x14ac:dyDescent="0.2">
      <c r="Z20536" t="str">
        <f t="shared" si="320"/>
        <v/>
      </c>
    </row>
    <row r="20537" spans="26:26" x14ac:dyDescent="0.2">
      <c r="Z20537" t="str">
        <f t="shared" si="320"/>
        <v/>
      </c>
    </row>
    <row r="20538" spans="26:26" x14ac:dyDescent="0.2">
      <c r="Z20538" t="str">
        <f t="shared" si="320"/>
        <v/>
      </c>
    </row>
    <row r="20539" spans="26:26" x14ac:dyDescent="0.2">
      <c r="Z20539" t="str">
        <f t="shared" si="320"/>
        <v/>
      </c>
    </row>
    <row r="20540" spans="26:26" x14ac:dyDescent="0.2">
      <c r="Z20540" t="str">
        <f t="shared" si="320"/>
        <v/>
      </c>
    </row>
    <row r="20541" spans="26:26" x14ac:dyDescent="0.2">
      <c r="Z20541" t="str">
        <f t="shared" si="320"/>
        <v/>
      </c>
    </row>
    <row r="20542" spans="26:26" x14ac:dyDescent="0.2">
      <c r="Z20542" t="str">
        <f t="shared" si="320"/>
        <v/>
      </c>
    </row>
    <row r="20543" spans="26:26" x14ac:dyDescent="0.2">
      <c r="Z20543" t="str">
        <f t="shared" si="320"/>
        <v/>
      </c>
    </row>
    <row r="20544" spans="26:26" x14ac:dyDescent="0.2">
      <c r="Z20544" t="str">
        <f t="shared" si="320"/>
        <v/>
      </c>
    </row>
    <row r="20545" spans="26:26" x14ac:dyDescent="0.2">
      <c r="Z20545" t="str">
        <f t="shared" si="320"/>
        <v/>
      </c>
    </row>
    <row r="20546" spans="26:26" x14ac:dyDescent="0.2">
      <c r="Z20546" t="str">
        <f t="shared" si="320"/>
        <v/>
      </c>
    </row>
    <row r="20547" spans="26:26" x14ac:dyDescent="0.2">
      <c r="Z20547" t="str">
        <f t="shared" ref="Z20547:Z20610" si="321">IF(K20547="","",IFERROR(VALUE(TRIM(MID(K20547,FIND(CHAR(167),SUBSTITUTE(K20547,"-",CHAR(167),LEN(K20547)-LEN(SUBSTITUTE(K20547,"-",""))))+1,100))),K20547))</f>
        <v/>
      </c>
    </row>
    <row r="20548" spans="26:26" x14ac:dyDescent="0.2">
      <c r="Z20548" t="str">
        <f t="shared" si="321"/>
        <v/>
      </c>
    </row>
    <row r="20549" spans="26:26" x14ac:dyDescent="0.2">
      <c r="Z20549" t="str">
        <f t="shared" si="321"/>
        <v/>
      </c>
    </row>
    <row r="20550" spans="26:26" x14ac:dyDescent="0.2">
      <c r="Z20550" t="str">
        <f t="shared" si="321"/>
        <v/>
      </c>
    </row>
    <row r="20551" spans="26:26" x14ac:dyDescent="0.2">
      <c r="Z20551" t="str">
        <f t="shared" si="321"/>
        <v/>
      </c>
    </row>
    <row r="20552" spans="26:26" x14ac:dyDescent="0.2">
      <c r="Z20552" t="str">
        <f t="shared" si="321"/>
        <v/>
      </c>
    </row>
    <row r="20553" spans="26:26" x14ac:dyDescent="0.2">
      <c r="Z20553" t="str">
        <f t="shared" si="321"/>
        <v/>
      </c>
    </row>
    <row r="20554" spans="26:26" x14ac:dyDescent="0.2">
      <c r="Z20554" t="str">
        <f t="shared" si="321"/>
        <v/>
      </c>
    </row>
    <row r="20555" spans="26:26" x14ac:dyDescent="0.2">
      <c r="Z20555" t="str">
        <f t="shared" si="321"/>
        <v/>
      </c>
    </row>
    <row r="20556" spans="26:26" x14ac:dyDescent="0.2">
      <c r="Z20556" t="str">
        <f t="shared" si="321"/>
        <v/>
      </c>
    </row>
    <row r="20557" spans="26:26" x14ac:dyDescent="0.2">
      <c r="Z20557" t="str">
        <f t="shared" si="321"/>
        <v/>
      </c>
    </row>
    <row r="20558" spans="26:26" x14ac:dyDescent="0.2">
      <c r="Z20558" t="str">
        <f t="shared" si="321"/>
        <v/>
      </c>
    </row>
    <row r="20559" spans="26:26" x14ac:dyDescent="0.2">
      <c r="Z20559" t="str">
        <f t="shared" si="321"/>
        <v/>
      </c>
    </row>
    <row r="20560" spans="26:26" x14ac:dyDescent="0.2">
      <c r="Z20560" t="str">
        <f t="shared" si="321"/>
        <v/>
      </c>
    </row>
    <row r="20561" spans="26:26" x14ac:dyDescent="0.2">
      <c r="Z20561" t="str">
        <f t="shared" si="321"/>
        <v/>
      </c>
    </row>
    <row r="20562" spans="26:26" x14ac:dyDescent="0.2">
      <c r="Z20562" t="str">
        <f t="shared" si="321"/>
        <v/>
      </c>
    </row>
    <row r="20563" spans="26:26" x14ac:dyDescent="0.2">
      <c r="Z20563" t="str">
        <f t="shared" si="321"/>
        <v/>
      </c>
    </row>
    <row r="20564" spans="26:26" x14ac:dyDescent="0.2">
      <c r="Z20564" t="str">
        <f t="shared" si="321"/>
        <v/>
      </c>
    </row>
    <row r="20565" spans="26:26" x14ac:dyDescent="0.2">
      <c r="Z20565" t="str">
        <f t="shared" si="321"/>
        <v/>
      </c>
    </row>
    <row r="20566" spans="26:26" x14ac:dyDescent="0.2">
      <c r="Z20566" t="str">
        <f t="shared" si="321"/>
        <v/>
      </c>
    </row>
    <row r="20567" spans="26:26" x14ac:dyDescent="0.2">
      <c r="Z20567" t="str">
        <f t="shared" si="321"/>
        <v/>
      </c>
    </row>
    <row r="20568" spans="26:26" x14ac:dyDescent="0.2">
      <c r="Z20568" t="str">
        <f t="shared" si="321"/>
        <v/>
      </c>
    </row>
    <row r="20569" spans="26:26" x14ac:dyDescent="0.2">
      <c r="Z20569" t="str">
        <f t="shared" si="321"/>
        <v/>
      </c>
    </row>
    <row r="20570" spans="26:26" x14ac:dyDescent="0.2">
      <c r="Z20570" t="str">
        <f t="shared" si="321"/>
        <v/>
      </c>
    </row>
    <row r="20571" spans="26:26" x14ac:dyDescent="0.2">
      <c r="Z20571" t="str">
        <f t="shared" si="321"/>
        <v/>
      </c>
    </row>
    <row r="20572" spans="26:26" x14ac:dyDescent="0.2">
      <c r="Z20572" t="str">
        <f t="shared" si="321"/>
        <v/>
      </c>
    </row>
    <row r="20573" spans="26:26" x14ac:dyDescent="0.2">
      <c r="Z20573" t="str">
        <f t="shared" si="321"/>
        <v/>
      </c>
    </row>
    <row r="20574" spans="26:26" x14ac:dyDescent="0.2">
      <c r="Z20574" t="str">
        <f t="shared" si="321"/>
        <v/>
      </c>
    </row>
    <row r="20575" spans="26:26" x14ac:dyDescent="0.2">
      <c r="Z20575" t="str">
        <f t="shared" si="321"/>
        <v/>
      </c>
    </row>
    <row r="20576" spans="26:26" x14ac:dyDescent="0.2">
      <c r="Z20576" t="str">
        <f t="shared" si="321"/>
        <v/>
      </c>
    </row>
    <row r="20577" spans="26:26" x14ac:dyDescent="0.2">
      <c r="Z20577" t="str">
        <f t="shared" si="321"/>
        <v/>
      </c>
    </row>
    <row r="20578" spans="26:26" x14ac:dyDescent="0.2">
      <c r="Z20578" t="str">
        <f t="shared" si="321"/>
        <v/>
      </c>
    </row>
    <row r="20579" spans="26:26" x14ac:dyDescent="0.2">
      <c r="Z20579" t="str">
        <f t="shared" si="321"/>
        <v/>
      </c>
    </row>
    <row r="20580" spans="26:26" x14ac:dyDescent="0.2">
      <c r="Z20580" t="str">
        <f t="shared" si="321"/>
        <v/>
      </c>
    </row>
    <row r="20581" spans="26:26" x14ac:dyDescent="0.2">
      <c r="Z20581" t="str">
        <f t="shared" si="321"/>
        <v/>
      </c>
    </row>
    <row r="20582" spans="26:26" x14ac:dyDescent="0.2">
      <c r="Z20582" t="str">
        <f t="shared" si="321"/>
        <v/>
      </c>
    </row>
    <row r="20583" spans="26:26" x14ac:dyDescent="0.2">
      <c r="Z20583" t="str">
        <f t="shared" si="321"/>
        <v/>
      </c>
    </row>
    <row r="20584" spans="26:26" x14ac:dyDescent="0.2">
      <c r="Z20584" t="str">
        <f t="shared" si="321"/>
        <v/>
      </c>
    </row>
    <row r="20585" spans="26:26" x14ac:dyDescent="0.2">
      <c r="Z20585" t="str">
        <f t="shared" si="321"/>
        <v/>
      </c>
    </row>
    <row r="20586" spans="26:26" x14ac:dyDescent="0.2">
      <c r="Z20586" t="str">
        <f t="shared" si="321"/>
        <v/>
      </c>
    </row>
    <row r="20587" spans="26:26" x14ac:dyDescent="0.2">
      <c r="Z20587" t="str">
        <f t="shared" si="321"/>
        <v/>
      </c>
    </row>
    <row r="20588" spans="26:26" x14ac:dyDescent="0.2">
      <c r="Z20588" t="str">
        <f t="shared" si="321"/>
        <v/>
      </c>
    </row>
    <row r="20589" spans="26:26" x14ac:dyDescent="0.2">
      <c r="Z20589" t="str">
        <f t="shared" si="321"/>
        <v/>
      </c>
    </row>
    <row r="20590" spans="26:26" x14ac:dyDescent="0.2">
      <c r="Z20590" t="str">
        <f t="shared" si="321"/>
        <v/>
      </c>
    </row>
    <row r="20591" spans="26:26" x14ac:dyDescent="0.2">
      <c r="Z20591" t="str">
        <f t="shared" si="321"/>
        <v/>
      </c>
    </row>
    <row r="20592" spans="26:26" x14ac:dyDescent="0.2">
      <c r="Z20592" t="str">
        <f t="shared" si="321"/>
        <v/>
      </c>
    </row>
    <row r="20593" spans="26:26" x14ac:dyDescent="0.2">
      <c r="Z20593" t="str">
        <f t="shared" si="321"/>
        <v/>
      </c>
    </row>
    <row r="20594" spans="26:26" x14ac:dyDescent="0.2">
      <c r="Z20594" t="str">
        <f t="shared" si="321"/>
        <v/>
      </c>
    </row>
    <row r="20595" spans="26:26" x14ac:dyDescent="0.2">
      <c r="Z20595" t="str">
        <f t="shared" si="321"/>
        <v/>
      </c>
    </row>
    <row r="20596" spans="26:26" x14ac:dyDescent="0.2">
      <c r="Z20596" t="str">
        <f t="shared" si="321"/>
        <v/>
      </c>
    </row>
    <row r="20597" spans="26:26" x14ac:dyDescent="0.2">
      <c r="Z20597" t="str">
        <f t="shared" si="321"/>
        <v/>
      </c>
    </row>
    <row r="20598" spans="26:26" x14ac:dyDescent="0.2">
      <c r="Z20598" t="str">
        <f t="shared" si="321"/>
        <v/>
      </c>
    </row>
    <row r="20599" spans="26:26" x14ac:dyDescent="0.2">
      <c r="Z20599" t="str">
        <f t="shared" si="321"/>
        <v/>
      </c>
    </row>
    <row r="20600" spans="26:26" x14ac:dyDescent="0.2">
      <c r="Z20600" t="str">
        <f t="shared" si="321"/>
        <v/>
      </c>
    </row>
    <row r="20601" spans="26:26" x14ac:dyDescent="0.2">
      <c r="Z20601" t="str">
        <f t="shared" si="321"/>
        <v/>
      </c>
    </row>
    <row r="20602" spans="26:26" x14ac:dyDescent="0.2">
      <c r="Z20602" t="str">
        <f t="shared" si="321"/>
        <v/>
      </c>
    </row>
    <row r="20603" spans="26:26" x14ac:dyDescent="0.2">
      <c r="Z20603" t="str">
        <f t="shared" si="321"/>
        <v/>
      </c>
    </row>
    <row r="20604" spans="26:26" x14ac:dyDescent="0.2">
      <c r="Z20604" t="str">
        <f t="shared" si="321"/>
        <v/>
      </c>
    </row>
    <row r="20605" spans="26:26" x14ac:dyDescent="0.2">
      <c r="Z20605" t="str">
        <f t="shared" si="321"/>
        <v/>
      </c>
    </row>
    <row r="20606" spans="26:26" x14ac:dyDescent="0.2">
      <c r="Z20606" t="str">
        <f t="shared" si="321"/>
        <v/>
      </c>
    </row>
    <row r="20607" spans="26:26" x14ac:dyDescent="0.2">
      <c r="Z20607" t="str">
        <f t="shared" si="321"/>
        <v/>
      </c>
    </row>
    <row r="20608" spans="26:26" x14ac:dyDescent="0.2">
      <c r="Z20608" t="str">
        <f t="shared" si="321"/>
        <v/>
      </c>
    </row>
    <row r="20609" spans="26:26" x14ac:dyDescent="0.2">
      <c r="Z20609" t="str">
        <f t="shared" si="321"/>
        <v/>
      </c>
    </row>
    <row r="20610" spans="26:26" x14ac:dyDescent="0.2">
      <c r="Z20610" t="str">
        <f t="shared" si="321"/>
        <v/>
      </c>
    </row>
    <row r="20611" spans="26:26" x14ac:dyDescent="0.2">
      <c r="Z20611" t="str">
        <f t="shared" ref="Z20611:Z20674" si="322">IF(K20611="","",IFERROR(VALUE(TRIM(MID(K20611,FIND(CHAR(167),SUBSTITUTE(K20611,"-",CHAR(167),LEN(K20611)-LEN(SUBSTITUTE(K20611,"-",""))))+1,100))),K20611))</f>
        <v/>
      </c>
    </row>
    <row r="20612" spans="26:26" x14ac:dyDescent="0.2">
      <c r="Z20612" t="str">
        <f t="shared" si="322"/>
        <v/>
      </c>
    </row>
    <row r="20613" spans="26:26" x14ac:dyDescent="0.2">
      <c r="Z20613" t="str">
        <f t="shared" si="322"/>
        <v/>
      </c>
    </row>
    <row r="20614" spans="26:26" x14ac:dyDescent="0.2">
      <c r="Z20614" t="str">
        <f t="shared" si="322"/>
        <v/>
      </c>
    </row>
    <row r="20615" spans="26:26" x14ac:dyDescent="0.2">
      <c r="Z20615" t="str">
        <f t="shared" si="322"/>
        <v/>
      </c>
    </row>
    <row r="20616" spans="26:26" x14ac:dyDescent="0.2">
      <c r="Z20616" t="str">
        <f t="shared" si="322"/>
        <v/>
      </c>
    </row>
    <row r="20617" spans="26:26" x14ac:dyDescent="0.2">
      <c r="Z20617" t="str">
        <f t="shared" si="322"/>
        <v/>
      </c>
    </row>
    <row r="20618" spans="26:26" x14ac:dyDescent="0.2">
      <c r="Z20618" t="str">
        <f t="shared" si="322"/>
        <v/>
      </c>
    </row>
    <row r="20619" spans="26:26" x14ac:dyDescent="0.2">
      <c r="Z20619" t="str">
        <f t="shared" si="322"/>
        <v/>
      </c>
    </row>
    <row r="20620" spans="26:26" x14ac:dyDescent="0.2">
      <c r="Z20620" t="str">
        <f t="shared" si="322"/>
        <v/>
      </c>
    </row>
    <row r="20621" spans="26:26" x14ac:dyDescent="0.2">
      <c r="Z20621" t="str">
        <f t="shared" si="322"/>
        <v/>
      </c>
    </row>
    <row r="20622" spans="26:26" x14ac:dyDescent="0.2">
      <c r="Z20622" t="str">
        <f t="shared" si="322"/>
        <v/>
      </c>
    </row>
    <row r="20623" spans="26:26" x14ac:dyDescent="0.2">
      <c r="Z20623" t="str">
        <f t="shared" si="322"/>
        <v/>
      </c>
    </row>
    <row r="20624" spans="26:26" x14ac:dyDescent="0.2">
      <c r="Z20624" t="str">
        <f t="shared" si="322"/>
        <v/>
      </c>
    </row>
    <row r="20625" spans="26:26" x14ac:dyDescent="0.2">
      <c r="Z20625" t="str">
        <f t="shared" si="322"/>
        <v/>
      </c>
    </row>
    <row r="20626" spans="26:26" x14ac:dyDescent="0.2">
      <c r="Z20626" t="str">
        <f t="shared" si="322"/>
        <v/>
      </c>
    </row>
    <row r="20627" spans="26:26" x14ac:dyDescent="0.2">
      <c r="Z20627" t="str">
        <f t="shared" si="322"/>
        <v/>
      </c>
    </row>
    <row r="20628" spans="26:26" x14ac:dyDescent="0.2">
      <c r="Z20628" t="str">
        <f t="shared" si="322"/>
        <v/>
      </c>
    </row>
    <row r="20629" spans="26:26" x14ac:dyDescent="0.2">
      <c r="Z20629" t="str">
        <f t="shared" si="322"/>
        <v/>
      </c>
    </row>
    <row r="20630" spans="26:26" x14ac:dyDescent="0.2">
      <c r="Z20630" t="str">
        <f t="shared" si="322"/>
        <v/>
      </c>
    </row>
    <row r="20631" spans="26:26" x14ac:dyDescent="0.2">
      <c r="Z20631" t="str">
        <f t="shared" si="322"/>
        <v/>
      </c>
    </row>
    <row r="20632" spans="26:26" x14ac:dyDescent="0.2">
      <c r="Z20632" t="str">
        <f t="shared" si="322"/>
        <v/>
      </c>
    </row>
    <row r="20633" spans="26:26" x14ac:dyDescent="0.2">
      <c r="Z20633" t="str">
        <f t="shared" si="322"/>
        <v/>
      </c>
    </row>
    <row r="20634" spans="26:26" x14ac:dyDescent="0.2">
      <c r="Z20634" t="str">
        <f t="shared" si="322"/>
        <v/>
      </c>
    </row>
    <row r="20635" spans="26:26" x14ac:dyDescent="0.2">
      <c r="Z20635" t="str">
        <f t="shared" si="322"/>
        <v/>
      </c>
    </row>
    <row r="20636" spans="26:26" x14ac:dyDescent="0.2">
      <c r="Z20636" t="str">
        <f t="shared" si="322"/>
        <v/>
      </c>
    </row>
    <row r="20637" spans="26:26" x14ac:dyDescent="0.2">
      <c r="Z20637" t="str">
        <f t="shared" si="322"/>
        <v/>
      </c>
    </row>
    <row r="20638" spans="26:26" x14ac:dyDescent="0.2">
      <c r="Z20638" t="str">
        <f t="shared" si="322"/>
        <v/>
      </c>
    </row>
    <row r="20639" spans="26:26" x14ac:dyDescent="0.2">
      <c r="Z20639" t="str">
        <f t="shared" si="322"/>
        <v/>
      </c>
    </row>
    <row r="20640" spans="26:26" x14ac:dyDescent="0.2">
      <c r="Z20640" t="str">
        <f t="shared" si="322"/>
        <v/>
      </c>
    </row>
    <row r="20641" spans="26:26" x14ac:dyDescent="0.2">
      <c r="Z20641" t="str">
        <f t="shared" si="322"/>
        <v/>
      </c>
    </row>
    <row r="20642" spans="26:26" x14ac:dyDescent="0.2">
      <c r="Z20642" t="str">
        <f t="shared" si="322"/>
        <v/>
      </c>
    </row>
    <row r="20643" spans="26:26" x14ac:dyDescent="0.2">
      <c r="Z20643" t="str">
        <f t="shared" si="322"/>
        <v/>
      </c>
    </row>
    <row r="20644" spans="26:26" x14ac:dyDescent="0.2">
      <c r="Z20644" t="str">
        <f t="shared" si="322"/>
        <v/>
      </c>
    </row>
    <row r="20645" spans="26:26" x14ac:dyDescent="0.2">
      <c r="Z20645" t="str">
        <f t="shared" si="322"/>
        <v/>
      </c>
    </row>
    <row r="20646" spans="26:26" x14ac:dyDescent="0.2">
      <c r="Z20646" t="str">
        <f t="shared" si="322"/>
        <v/>
      </c>
    </row>
    <row r="20647" spans="26:26" x14ac:dyDescent="0.2">
      <c r="Z20647" t="str">
        <f t="shared" si="322"/>
        <v/>
      </c>
    </row>
    <row r="20648" spans="26:26" x14ac:dyDescent="0.2">
      <c r="Z20648" t="str">
        <f t="shared" si="322"/>
        <v/>
      </c>
    </row>
    <row r="20649" spans="26:26" x14ac:dyDescent="0.2">
      <c r="Z20649" t="str">
        <f t="shared" si="322"/>
        <v/>
      </c>
    </row>
    <row r="20650" spans="26:26" x14ac:dyDescent="0.2">
      <c r="Z20650" t="str">
        <f t="shared" si="322"/>
        <v/>
      </c>
    </row>
    <row r="20651" spans="26:26" x14ac:dyDescent="0.2">
      <c r="Z20651" t="str">
        <f t="shared" si="322"/>
        <v/>
      </c>
    </row>
    <row r="20652" spans="26:26" x14ac:dyDescent="0.2">
      <c r="Z20652" t="str">
        <f t="shared" si="322"/>
        <v/>
      </c>
    </row>
    <row r="20653" spans="26:26" x14ac:dyDescent="0.2">
      <c r="Z20653" t="str">
        <f t="shared" si="322"/>
        <v/>
      </c>
    </row>
    <row r="20654" spans="26:26" x14ac:dyDescent="0.2">
      <c r="Z20654" t="str">
        <f t="shared" si="322"/>
        <v/>
      </c>
    </row>
    <row r="20655" spans="26:26" x14ac:dyDescent="0.2">
      <c r="Z20655" t="str">
        <f t="shared" si="322"/>
        <v/>
      </c>
    </row>
    <row r="20656" spans="26:26" x14ac:dyDescent="0.2">
      <c r="Z20656" t="str">
        <f t="shared" si="322"/>
        <v/>
      </c>
    </row>
    <row r="20657" spans="26:26" x14ac:dyDescent="0.2">
      <c r="Z20657" t="str">
        <f t="shared" si="322"/>
        <v/>
      </c>
    </row>
    <row r="20658" spans="26:26" x14ac:dyDescent="0.2">
      <c r="Z20658" t="str">
        <f t="shared" si="322"/>
        <v/>
      </c>
    </row>
    <row r="20659" spans="26:26" x14ac:dyDescent="0.2">
      <c r="Z20659" t="str">
        <f t="shared" si="322"/>
        <v/>
      </c>
    </row>
    <row r="20660" spans="26:26" x14ac:dyDescent="0.2">
      <c r="Z20660" t="str">
        <f t="shared" si="322"/>
        <v/>
      </c>
    </row>
    <row r="20661" spans="26:26" x14ac:dyDescent="0.2">
      <c r="Z20661" t="str">
        <f t="shared" si="322"/>
        <v/>
      </c>
    </row>
    <row r="20662" spans="26:26" x14ac:dyDescent="0.2">
      <c r="Z20662" t="str">
        <f t="shared" si="322"/>
        <v/>
      </c>
    </row>
    <row r="20663" spans="26:26" x14ac:dyDescent="0.2">
      <c r="Z20663" t="str">
        <f t="shared" si="322"/>
        <v/>
      </c>
    </row>
    <row r="20664" spans="26:26" x14ac:dyDescent="0.2">
      <c r="Z20664" t="str">
        <f t="shared" si="322"/>
        <v/>
      </c>
    </row>
    <row r="20665" spans="26:26" x14ac:dyDescent="0.2">
      <c r="Z20665" t="str">
        <f t="shared" si="322"/>
        <v/>
      </c>
    </row>
    <row r="20666" spans="26:26" x14ac:dyDescent="0.2">
      <c r="Z20666" t="str">
        <f t="shared" si="322"/>
        <v/>
      </c>
    </row>
    <row r="20667" spans="26:26" x14ac:dyDescent="0.2">
      <c r="Z20667" t="str">
        <f t="shared" si="322"/>
        <v/>
      </c>
    </row>
    <row r="20668" spans="26:26" x14ac:dyDescent="0.2">
      <c r="Z20668" t="str">
        <f t="shared" si="322"/>
        <v/>
      </c>
    </row>
    <row r="20669" spans="26:26" x14ac:dyDescent="0.2">
      <c r="Z20669" t="str">
        <f t="shared" si="322"/>
        <v/>
      </c>
    </row>
    <row r="20670" spans="26:26" x14ac:dyDescent="0.2">
      <c r="Z20670" t="str">
        <f t="shared" si="322"/>
        <v/>
      </c>
    </row>
    <row r="20671" spans="26:26" x14ac:dyDescent="0.2">
      <c r="Z20671" t="str">
        <f t="shared" si="322"/>
        <v/>
      </c>
    </row>
    <row r="20672" spans="26:26" x14ac:dyDescent="0.2">
      <c r="Z20672" t="str">
        <f t="shared" si="322"/>
        <v/>
      </c>
    </row>
    <row r="20673" spans="26:26" x14ac:dyDescent="0.2">
      <c r="Z20673" t="str">
        <f t="shared" si="322"/>
        <v/>
      </c>
    </row>
    <row r="20674" spans="26:26" x14ac:dyDescent="0.2">
      <c r="Z20674" t="str">
        <f t="shared" si="322"/>
        <v/>
      </c>
    </row>
    <row r="20675" spans="26:26" x14ac:dyDescent="0.2">
      <c r="Z20675" t="str">
        <f t="shared" ref="Z20675:Z20738" si="323">IF(K20675="","",IFERROR(VALUE(TRIM(MID(K20675,FIND(CHAR(167),SUBSTITUTE(K20675,"-",CHAR(167),LEN(K20675)-LEN(SUBSTITUTE(K20675,"-",""))))+1,100))),K20675))</f>
        <v/>
      </c>
    </row>
    <row r="20676" spans="26:26" x14ac:dyDescent="0.2">
      <c r="Z20676" t="str">
        <f t="shared" si="323"/>
        <v/>
      </c>
    </row>
    <row r="20677" spans="26:26" x14ac:dyDescent="0.2">
      <c r="Z20677" t="str">
        <f t="shared" si="323"/>
        <v/>
      </c>
    </row>
    <row r="20678" spans="26:26" x14ac:dyDescent="0.2">
      <c r="Z20678" t="str">
        <f t="shared" si="323"/>
        <v/>
      </c>
    </row>
    <row r="20679" spans="26:26" x14ac:dyDescent="0.2">
      <c r="Z20679" t="str">
        <f t="shared" si="323"/>
        <v/>
      </c>
    </row>
    <row r="20680" spans="26:26" x14ac:dyDescent="0.2">
      <c r="Z20680" t="str">
        <f t="shared" si="323"/>
        <v/>
      </c>
    </row>
    <row r="20681" spans="26:26" x14ac:dyDescent="0.2">
      <c r="Z20681" t="str">
        <f t="shared" si="323"/>
        <v/>
      </c>
    </row>
    <row r="20682" spans="26:26" x14ac:dyDescent="0.2">
      <c r="Z20682" t="str">
        <f t="shared" si="323"/>
        <v/>
      </c>
    </row>
    <row r="20683" spans="26:26" x14ac:dyDescent="0.2">
      <c r="Z20683" t="str">
        <f t="shared" si="323"/>
        <v/>
      </c>
    </row>
    <row r="20684" spans="26:26" x14ac:dyDescent="0.2">
      <c r="Z20684" t="str">
        <f t="shared" si="323"/>
        <v/>
      </c>
    </row>
    <row r="20685" spans="26:26" x14ac:dyDescent="0.2">
      <c r="Z20685" t="str">
        <f t="shared" si="323"/>
        <v/>
      </c>
    </row>
    <row r="20686" spans="26:26" x14ac:dyDescent="0.2">
      <c r="Z20686" t="str">
        <f t="shared" si="323"/>
        <v/>
      </c>
    </row>
    <row r="20687" spans="26:26" x14ac:dyDescent="0.2">
      <c r="Z20687" t="str">
        <f t="shared" si="323"/>
        <v/>
      </c>
    </row>
    <row r="20688" spans="26:26" x14ac:dyDescent="0.2">
      <c r="Z20688" t="str">
        <f t="shared" si="323"/>
        <v/>
      </c>
    </row>
    <row r="20689" spans="26:26" x14ac:dyDescent="0.2">
      <c r="Z20689" t="str">
        <f t="shared" si="323"/>
        <v/>
      </c>
    </row>
    <row r="20690" spans="26:26" x14ac:dyDescent="0.2">
      <c r="Z20690" t="str">
        <f t="shared" si="323"/>
        <v/>
      </c>
    </row>
    <row r="20691" spans="26:26" x14ac:dyDescent="0.2">
      <c r="Z20691" t="str">
        <f t="shared" si="323"/>
        <v/>
      </c>
    </row>
    <row r="20692" spans="26:26" x14ac:dyDescent="0.2">
      <c r="Z20692" t="str">
        <f t="shared" si="323"/>
        <v/>
      </c>
    </row>
    <row r="20693" spans="26:26" x14ac:dyDescent="0.2">
      <c r="Z20693" t="str">
        <f t="shared" si="323"/>
        <v/>
      </c>
    </row>
    <row r="20694" spans="26:26" x14ac:dyDescent="0.2">
      <c r="Z20694" t="str">
        <f t="shared" si="323"/>
        <v/>
      </c>
    </row>
    <row r="20695" spans="26:26" x14ac:dyDescent="0.2">
      <c r="Z20695" t="str">
        <f t="shared" si="323"/>
        <v/>
      </c>
    </row>
    <row r="20696" spans="26:26" x14ac:dyDescent="0.2">
      <c r="Z20696" t="str">
        <f t="shared" si="323"/>
        <v/>
      </c>
    </row>
    <row r="20697" spans="26:26" x14ac:dyDescent="0.2">
      <c r="Z20697" t="str">
        <f t="shared" si="323"/>
        <v/>
      </c>
    </row>
    <row r="20698" spans="26:26" x14ac:dyDescent="0.2">
      <c r="Z20698" t="str">
        <f t="shared" si="323"/>
        <v/>
      </c>
    </row>
    <row r="20699" spans="26:26" x14ac:dyDescent="0.2">
      <c r="Z20699" t="str">
        <f t="shared" si="323"/>
        <v/>
      </c>
    </row>
    <row r="20700" spans="26:26" x14ac:dyDescent="0.2">
      <c r="Z20700" t="str">
        <f t="shared" si="323"/>
        <v/>
      </c>
    </row>
    <row r="20701" spans="26:26" x14ac:dyDescent="0.2">
      <c r="Z20701" t="str">
        <f t="shared" si="323"/>
        <v/>
      </c>
    </row>
    <row r="20702" spans="26:26" x14ac:dyDescent="0.2">
      <c r="Z20702" t="str">
        <f t="shared" si="323"/>
        <v/>
      </c>
    </row>
    <row r="20703" spans="26:26" x14ac:dyDescent="0.2">
      <c r="Z20703" t="str">
        <f t="shared" si="323"/>
        <v/>
      </c>
    </row>
    <row r="20704" spans="26:26" x14ac:dyDescent="0.2">
      <c r="Z20704" t="str">
        <f t="shared" si="323"/>
        <v/>
      </c>
    </row>
    <row r="20705" spans="26:26" x14ac:dyDescent="0.2">
      <c r="Z20705" t="str">
        <f t="shared" si="323"/>
        <v/>
      </c>
    </row>
    <row r="20706" spans="26:26" x14ac:dyDescent="0.2">
      <c r="Z20706" t="str">
        <f t="shared" si="323"/>
        <v/>
      </c>
    </row>
    <row r="20707" spans="26:26" x14ac:dyDescent="0.2">
      <c r="Z20707" t="str">
        <f t="shared" si="323"/>
        <v/>
      </c>
    </row>
    <row r="20708" spans="26:26" x14ac:dyDescent="0.2">
      <c r="Z20708" t="str">
        <f t="shared" si="323"/>
        <v/>
      </c>
    </row>
    <row r="20709" spans="26:26" x14ac:dyDescent="0.2">
      <c r="Z20709" t="str">
        <f t="shared" si="323"/>
        <v/>
      </c>
    </row>
    <row r="20710" spans="26:26" x14ac:dyDescent="0.2">
      <c r="Z20710" t="str">
        <f t="shared" si="323"/>
        <v/>
      </c>
    </row>
    <row r="20711" spans="26:26" x14ac:dyDescent="0.2">
      <c r="Z20711" t="str">
        <f t="shared" si="323"/>
        <v/>
      </c>
    </row>
    <row r="20712" spans="26:26" x14ac:dyDescent="0.2">
      <c r="Z20712" t="str">
        <f t="shared" si="323"/>
        <v/>
      </c>
    </row>
    <row r="20713" spans="26:26" x14ac:dyDescent="0.2">
      <c r="Z20713" t="str">
        <f t="shared" si="323"/>
        <v/>
      </c>
    </row>
    <row r="20714" spans="26:26" x14ac:dyDescent="0.2">
      <c r="Z20714" t="str">
        <f t="shared" si="323"/>
        <v/>
      </c>
    </row>
    <row r="20715" spans="26:26" x14ac:dyDescent="0.2">
      <c r="Z20715" t="str">
        <f t="shared" si="323"/>
        <v/>
      </c>
    </row>
    <row r="20716" spans="26:26" x14ac:dyDescent="0.2">
      <c r="Z20716" t="str">
        <f t="shared" si="323"/>
        <v/>
      </c>
    </row>
    <row r="20717" spans="26:26" x14ac:dyDescent="0.2">
      <c r="Z20717" t="str">
        <f t="shared" si="323"/>
        <v/>
      </c>
    </row>
    <row r="20718" spans="26:26" x14ac:dyDescent="0.2">
      <c r="Z20718" t="str">
        <f t="shared" si="323"/>
        <v/>
      </c>
    </row>
    <row r="20719" spans="26:26" x14ac:dyDescent="0.2">
      <c r="Z20719" t="str">
        <f t="shared" si="323"/>
        <v/>
      </c>
    </row>
    <row r="20720" spans="26:26" x14ac:dyDescent="0.2">
      <c r="Z20720" t="str">
        <f t="shared" si="323"/>
        <v/>
      </c>
    </row>
    <row r="20721" spans="26:26" x14ac:dyDescent="0.2">
      <c r="Z20721" t="str">
        <f t="shared" si="323"/>
        <v/>
      </c>
    </row>
    <row r="20722" spans="26:26" x14ac:dyDescent="0.2">
      <c r="Z20722" t="str">
        <f t="shared" si="323"/>
        <v/>
      </c>
    </row>
    <row r="20723" spans="26:26" x14ac:dyDescent="0.2">
      <c r="Z20723" t="str">
        <f t="shared" si="323"/>
        <v/>
      </c>
    </row>
    <row r="20724" spans="26:26" x14ac:dyDescent="0.2">
      <c r="Z20724" t="str">
        <f t="shared" si="323"/>
        <v/>
      </c>
    </row>
    <row r="20725" spans="26:26" x14ac:dyDescent="0.2">
      <c r="Z20725" t="str">
        <f t="shared" si="323"/>
        <v/>
      </c>
    </row>
    <row r="20726" spans="26:26" x14ac:dyDescent="0.2">
      <c r="Z20726" t="str">
        <f t="shared" si="323"/>
        <v/>
      </c>
    </row>
    <row r="20727" spans="26:26" x14ac:dyDescent="0.2">
      <c r="Z20727" t="str">
        <f t="shared" si="323"/>
        <v/>
      </c>
    </row>
    <row r="20728" spans="26:26" x14ac:dyDescent="0.2">
      <c r="Z20728" t="str">
        <f t="shared" si="323"/>
        <v/>
      </c>
    </row>
    <row r="20729" spans="26:26" x14ac:dyDescent="0.2">
      <c r="Z20729" t="str">
        <f t="shared" si="323"/>
        <v/>
      </c>
    </row>
    <row r="20730" spans="26:26" x14ac:dyDescent="0.2">
      <c r="Z20730" t="str">
        <f t="shared" si="323"/>
        <v/>
      </c>
    </row>
    <row r="20731" spans="26:26" x14ac:dyDescent="0.2">
      <c r="Z20731" t="str">
        <f t="shared" si="323"/>
        <v/>
      </c>
    </row>
    <row r="20732" spans="26:26" x14ac:dyDescent="0.2">
      <c r="Z20732" t="str">
        <f t="shared" si="323"/>
        <v/>
      </c>
    </row>
    <row r="20733" spans="26:26" x14ac:dyDescent="0.2">
      <c r="Z20733" t="str">
        <f t="shared" si="323"/>
        <v/>
      </c>
    </row>
    <row r="20734" spans="26:26" x14ac:dyDescent="0.2">
      <c r="Z20734" t="str">
        <f t="shared" si="323"/>
        <v/>
      </c>
    </row>
    <row r="20735" spans="26:26" x14ac:dyDescent="0.2">
      <c r="Z20735" t="str">
        <f t="shared" si="323"/>
        <v/>
      </c>
    </row>
    <row r="20736" spans="26:26" x14ac:dyDescent="0.2">
      <c r="Z20736" t="str">
        <f t="shared" si="323"/>
        <v/>
      </c>
    </row>
    <row r="20737" spans="26:26" x14ac:dyDescent="0.2">
      <c r="Z20737" t="str">
        <f t="shared" si="323"/>
        <v/>
      </c>
    </row>
    <row r="20738" spans="26:26" x14ac:dyDescent="0.2">
      <c r="Z20738" t="str">
        <f t="shared" si="323"/>
        <v/>
      </c>
    </row>
    <row r="20739" spans="26:26" x14ac:dyDescent="0.2">
      <c r="Z20739" t="str">
        <f t="shared" ref="Z20739:Z20802" si="324">IF(K20739="","",IFERROR(VALUE(TRIM(MID(K20739,FIND(CHAR(167),SUBSTITUTE(K20739,"-",CHAR(167),LEN(K20739)-LEN(SUBSTITUTE(K20739,"-",""))))+1,100))),K20739))</f>
        <v/>
      </c>
    </row>
    <row r="20740" spans="26:26" x14ac:dyDescent="0.2">
      <c r="Z20740" t="str">
        <f t="shared" si="324"/>
        <v/>
      </c>
    </row>
    <row r="20741" spans="26:26" x14ac:dyDescent="0.2">
      <c r="Z20741" t="str">
        <f t="shared" si="324"/>
        <v/>
      </c>
    </row>
    <row r="20742" spans="26:26" x14ac:dyDescent="0.2">
      <c r="Z20742" t="str">
        <f t="shared" si="324"/>
        <v/>
      </c>
    </row>
    <row r="20743" spans="26:26" x14ac:dyDescent="0.2">
      <c r="Z20743" t="str">
        <f t="shared" si="324"/>
        <v/>
      </c>
    </row>
    <row r="20744" spans="26:26" x14ac:dyDescent="0.2">
      <c r="Z20744" t="str">
        <f t="shared" si="324"/>
        <v/>
      </c>
    </row>
    <row r="20745" spans="26:26" x14ac:dyDescent="0.2">
      <c r="Z20745" t="str">
        <f t="shared" si="324"/>
        <v/>
      </c>
    </row>
    <row r="20746" spans="26:26" x14ac:dyDescent="0.2">
      <c r="Z20746" t="str">
        <f t="shared" si="324"/>
        <v/>
      </c>
    </row>
    <row r="20747" spans="26:26" x14ac:dyDescent="0.2">
      <c r="Z20747" t="str">
        <f t="shared" si="324"/>
        <v/>
      </c>
    </row>
    <row r="20748" spans="26:26" x14ac:dyDescent="0.2">
      <c r="Z20748" t="str">
        <f t="shared" si="324"/>
        <v/>
      </c>
    </row>
    <row r="20749" spans="26:26" x14ac:dyDescent="0.2">
      <c r="Z20749" t="str">
        <f t="shared" si="324"/>
        <v/>
      </c>
    </row>
    <row r="20750" spans="26:26" x14ac:dyDescent="0.2">
      <c r="Z20750" t="str">
        <f t="shared" si="324"/>
        <v/>
      </c>
    </row>
    <row r="20751" spans="26:26" x14ac:dyDescent="0.2">
      <c r="Z20751" t="str">
        <f t="shared" si="324"/>
        <v/>
      </c>
    </row>
    <row r="20752" spans="26:26" x14ac:dyDescent="0.2">
      <c r="Z20752" t="str">
        <f t="shared" si="324"/>
        <v/>
      </c>
    </row>
    <row r="20753" spans="26:26" x14ac:dyDescent="0.2">
      <c r="Z20753" t="str">
        <f t="shared" si="324"/>
        <v/>
      </c>
    </row>
    <row r="20754" spans="26:26" x14ac:dyDescent="0.2">
      <c r="Z20754" t="str">
        <f t="shared" si="324"/>
        <v/>
      </c>
    </row>
    <row r="20755" spans="26:26" x14ac:dyDescent="0.2">
      <c r="Z20755" t="str">
        <f t="shared" si="324"/>
        <v/>
      </c>
    </row>
    <row r="20756" spans="26:26" x14ac:dyDescent="0.2">
      <c r="Z20756" t="str">
        <f t="shared" si="324"/>
        <v/>
      </c>
    </row>
    <row r="20757" spans="26:26" x14ac:dyDescent="0.2">
      <c r="Z20757" t="str">
        <f t="shared" si="324"/>
        <v/>
      </c>
    </row>
    <row r="20758" spans="26:26" x14ac:dyDescent="0.2">
      <c r="Z20758" t="str">
        <f t="shared" si="324"/>
        <v/>
      </c>
    </row>
    <row r="20759" spans="26:26" x14ac:dyDescent="0.2">
      <c r="Z20759" t="str">
        <f t="shared" si="324"/>
        <v/>
      </c>
    </row>
    <row r="20760" spans="26:26" x14ac:dyDescent="0.2">
      <c r="Z20760" t="str">
        <f t="shared" si="324"/>
        <v/>
      </c>
    </row>
    <row r="20761" spans="26:26" x14ac:dyDescent="0.2">
      <c r="Z20761" t="str">
        <f t="shared" si="324"/>
        <v/>
      </c>
    </row>
    <row r="20762" spans="26:26" x14ac:dyDescent="0.2">
      <c r="Z20762" t="str">
        <f t="shared" si="324"/>
        <v/>
      </c>
    </row>
    <row r="20763" spans="26:26" x14ac:dyDescent="0.2">
      <c r="Z20763" t="str">
        <f t="shared" si="324"/>
        <v/>
      </c>
    </row>
    <row r="20764" spans="26:26" x14ac:dyDescent="0.2">
      <c r="Z20764" t="str">
        <f t="shared" si="324"/>
        <v/>
      </c>
    </row>
    <row r="20765" spans="26:26" x14ac:dyDescent="0.2">
      <c r="Z20765" t="str">
        <f t="shared" si="324"/>
        <v/>
      </c>
    </row>
    <row r="20766" spans="26:26" x14ac:dyDescent="0.2">
      <c r="Z20766" t="str">
        <f t="shared" si="324"/>
        <v/>
      </c>
    </row>
    <row r="20767" spans="26:26" x14ac:dyDescent="0.2">
      <c r="Z20767" t="str">
        <f t="shared" si="324"/>
        <v/>
      </c>
    </row>
    <row r="20768" spans="26:26" x14ac:dyDescent="0.2">
      <c r="Z20768" t="str">
        <f t="shared" si="324"/>
        <v/>
      </c>
    </row>
    <row r="20769" spans="26:26" x14ac:dyDescent="0.2">
      <c r="Z20769" t="str">
        <f t="shared" si="324"/>
        <v/>
      </c>
    </row>
    <row r="20770" spans="26:26" x14ac:dyDescent="0.2">
      <c r="Z20770" t="str">
        <f t="shared" si="324"/>
        <v/>
      </c>
    </row>
    <row r="20771" spans="26:26" x14ac:dyDescent="0.2">
      <c r="Z20771" t="str">
        <f t="shared" si="324"/>
        <v/>
      </c>
    </row>
    <row r="20772" spans="26:26" x14ac:dyDescent="0.2">
      <c r="Z20772" t="str">
        <f t="shared" si="324"/>
        <v/>
      </c>
    </row>
    <row r="20773" spans="26:26" x14ac:dyDescent="0.2">
      <c r="Z20773" t="str">
        <f t="shared" si="324"/>
        <v/>
      </c>
    </row>
    <row r="20774" spans="26:26" x14ac:dyDescent="0.2">
      <c r="Z20774" t="str">
        <f t="shared" si="324"/>
        <v/>
      </c>
    </row>
    <row r="20775" spans="26:26" x14ac:dyDescent="0.2">
      <c r="Z20775" t="str">
        <f t="shared" si="324"/>
        <v/>
      </c>
    </row>
    <row r="20776" spans="26:26" x14ac:dyDescent="0.2">
      <c r="Z20776" t="str">
        <f t="shared" si="324"/>
        <v/>
      </c>
    </row>
    <row r="20777" spans="26:26" x14ac:dyDescent="0.2">
      <c r="Z20777" t="str">
        <f t="shared" si="324"/>
        <v/>
      </c>
    </row>
    <row r="20778" spans="26:26" x14ac:dyDescent="0.2">
      <c r="Z20778" t="str">
        <f t="shared" si="324"/>
        <v/>
      </c>
    </row>
    <row r="20779" spans="26:26" x14ac:dyDescent="0.2">
      <c r="Z20779" t="str">
        <f t="shared" si="324"/>
        <v/>
      </c>
    </row>
    <row r="20780" spans="26:26" x14ac:dyDescent="0.2">
      <c r="Z20780" t="str">
        <f t="shared" si="324"/>
        <v/>
      </c>
    </row>
    <row r="20781" spans="26:26" x14ac:dyDescent="0.2">
      <c r="Z20781" t="str">
        <f t="shared" si="324"/>
        <v/>
      </c>
    </row>
    <row r="20782" spans="26:26" x14ac:dyDescent="0.2">
      <c r="Z20782" t="str">
        <f t="shared" si="324"/>
        <v/>
      </c>
    </row>
    <row r="20783" spans="26:26" x14ac:dyDescent="0.2">
      <c r="Z20783" t="str">
        <f t="shared" si="324"/>
        <v/>
      </c>
    </row>
    <row r="20784" spans="26:26" x14ac:dyDescent="0.2">
      <c r="Z20784" t="str">
        <f t="shared" si="324"/>
        <v/>
      </c>
    </row>
    <row r="20785" spans="26:26" x14ac:dyDescent="0.2">
      <c r="Z20785" t="str">
        <f t="shared" si="324"/>
        <v/>
      </c>
    </row>
    <row r="20786" spans="26:26" x14ac:dyDescent="0.2">
      <c r="Z20786" t="str">
        <f t="shared" si="324"/>
        <v/>
      </c>
    </row>
    <row r="20787" spans="26:26" x14ac:dyDescent="0.2">
      <c r="Z20787" t="str">
        <f t="shared" si="324"/>
        <v/>
      </c>
    </row>
    <row r="20788" spans="26:26" x14ac:dyDescent="0.2">
      <c r="Z20788" t="str">
        <f t="shared" si="324"/>
        <v/>
      </c>
    </row>
    <row r="20789" spans="26:26" x14ac:dyDescent="0.2">
      <c r="Z20789" t="str">
        <f t="shared" si="324"/>
        <v/>
      </c>
    </row>
    <row r="20790" spans="26:26" x14ac:dyDescent="0.2">
      <c r="Z20790" t="str">
        <f t="shared" si="324"/>
        <v/>
      </c>
    </row>
    <row r="20791" spans="26:26" x14ac:dyDescent="0.2">
      <c r="Z20791" t="str">
        <f t="shared" si="324"/>
        <v/>
      </c>
    </row>
    <row r="20792" spans="26:26" x14ac:dyDescent="0.2">
      <c r="Z20792" t="str">
        <f t="shared" si="324"/>
        <v/>
      </c>
    </row>
    <row r="20793" spans="26:26" x14ac:dyDescent="0.2">
      <c r="Z20793" t="str">
        <f t="shared" si="324"/>
        <v/>
      </c>
    </row>
    <row r="20794" spans="26:26" x14ac:dyDescent="0.2">
      <c r="Z20794" t="str">
        <f t="shared" si="324"/>
        <v/>
      </c>
    </row>
    <row r="20795" spans="26:26" x14ac:dyDescent="0.2">
      <c r="Z20795" t="str">
        <f t="shared" si="324"/>
        <v/>
      </c>
    </row>
    <row r="20796" spans="26:26" x14ac:dyDescent="0.2">
      <c r="Z20796" t="str">
        <f t="shared" si="324"/>
        <v/>
      </c>
    </row>
    <row r="20797" spans="26:26" x14ac:dyDescent="0.2">
      <c r="Z20797" t="str">
        <f t="shared" si="324"/>
        <v/>
      </c>
    </row>
    <row r="20798" spans="26:26" x14ac:dyDescent="0.2">
      <c r="Z20798" t="str">
        <f t="shared" si="324"/>
        <v/>
      </c>
    </row>
    <row r="20799" spans="26:26" x14ac:dyDescent="0.2">
      <c r="Z20799" t="str">
        <f t="shared" si="324"/>
        <v/>
      </c>
    </row>
    <row r="20800" spans="26:26" x14ac:dyDescent="0.2">
      <c r="Z20800" t="str">
        <f t="shared" si="324"/>
        <v/>
      </c>
    </row>
    <row r="20801" spans="26:26" x14ac:dyDescent="0.2">
      <c r="Z20801" t="str">
        <f t="shared" si="324"/>
        <v/>
      </c>
    </row>
    <row r="20802" spans="26:26" x14ac:dyDescent="0.2">
      <c r="Z20802" t="str">
        <f t="shared" si="324"/>
        <v/>
      </c>
    </row>
    <row r="20803" spans="26:26" x14ac:dyDescent="0.2">
      <c r="Z20803" t="str">
        <f t="shared" ref="Z20803:Z20866" si="325">IF(K20803="","",IFERROR(VALUE(TRIM(MID(K20803,FIND(CHAR(167),SUBSTITUTE(K20803,"-",CHAR(167),LEN(K20803)-LEN(SUBSTITUTE(K20803,"-",""))))+1,100))),K20803))</f>
        <v/>
      </c>
    </row>
    <row r="20804" spans="26:26" x14ac:dyDescent="0.2">
      <c r="Z20804" t="str">
        <f t="shared" si="325"/>
        <v/>
      </c>
    </row>
    <row r="20805" spans="26:26" x14ac:dyDescent="0.2">
      <c r="Z20805" t="str">
        <f t="shared" si="325"/>
        <v/>
      </c>
    </row>
    <row r="20806" spans="26:26" x14ac:dyDescent="0.2">
      <c r="Z20806" t="str">
        <f t="shared" si="325"/>
        <v/>
      </c>
    </row>
    <row r="20807" spans="26:26" x14ac:dyDescent="0.2">
      <c r="Z20807" t="str">
        <f t="shared" si="325"/>
        <v/>
      </c>
    </row>
    <row r="20808" spans="26:26" x14ac:dyDescent="0.2">
      <c r="Z20808" t="str">
        <f t="shared" si="325"/>
        <v/>
      </c>
    </row>
    <row r="20809" spans="26:26" x14ac:dyDescent="0.2">
      <c r="Z20809" t="str">
        <f t="shared" si="325"/>
        <v/>
      </c>
    </row>
    <row r="20810" spans="26:26" x14ac:dyDescent="0.2">
      <c r="Z20810" t="str">
        <f t="shared" si="325"/>
        <v/>
      </c>
    </row>
    <row r="20811" spans="26:26" x14ac:dyDescent="0.2">
      <c r="Z20811" t="str">
        <f t="shared" si="325"/>
        <v/>
      </c>
    </row>
    <row r="20812" spans="26:26" x14ac:dyDescent="0.2">
      <c r="Z20812" t="str">
        <f t="shared" si="325"/>
        <v/>
      </c>
    </row>
    <row r="20813" spans="26:26" x14ac:dyDescent="0.2">
      <c r="Z20813" t="str">
        <f t="shared" si="325"/>
        <v/>
      </c>
    </row>
    <row r="20814" spans="26:26" x14ac:dyDescent="0.2">
      <c r="Z20814" t="str">
        <f t="shared" si="325"/>
        <v/>
      </c>
    </row>
    <row r="20815" spans="26:26" x14ac:dyDescent="0.2">
      <c r="Z20815" t="str">
        <f t="shared" si="325"/>
        <v/>
      </c>
    </row>
    <row r="20816" spans="26:26" x14ac:dyDescent="0.2">
      <c r="Z20816" t="str">
        <f t="shared" si="325"/>
        <v/>
      </c>
    </row>
    <row r="20817" spans="26:26" x14ac:dyDescent="0.2">
      <c r="Z20817" t="str">
        <f t="shared" si="325"/>
        <v/>
      </c>
    </row>
    <row r="20818" spans="26:26" x14ac:dyDescent="0.2">
      <c r="Z20818" t="str">
        <f t="shared" si="325"/>
        <v/>
      </c>
    </row>
    <row r="20819" spans="26:26" x14ac:dyDescent="0.2">
      <c r="Z20819" t="str">
        <f t="shared" si="325"/>
        <v/>
      </c>
    </row>
    <row r="20820" spans="26:26" x14ac:dyDescent="0.2">
      <c r="Z20820" t="str">
        <f t="shared" si="325"/>
        <v/>
      </c>
    </row>
    <row r="20821" spans="26:26" x14ac:dyDescent="0.2">
      <c r="Z20821" t="str">
        <f t="shared" si="325"/>
        <v/>
      </c>
    </row>
    <row r="20822" spans="26:26" x14ac:dyDescent="0.2">
      <c r="Z20822" t="str">
        <f t="shared" si="325"/>
        <v/>
      </c>
    </row>
    <row r="20823" spans="26:26" x14ac:dyDescent="0.2">
      <c r="Z20823" t="str">
        <f t="shared" si="325"/>
        <v/>
      </c>
    </row>
    <row r="20824" spans="26:26" x14ac:dyDescent="0.2">
      <c r="Z20824" t="str">
        <f t="shared" si="325"/>
        <v/>
      </c>
    </row>
    <row r="20825" spans="26:26" x14ac:dyDescent="0.2">
      <c r="Z20825" t="str">
        <f t="shared" si="325"/>
        <v/>
      </c>
    </row>
    <row r="20826" spans="26:26" x14ac:dyDescent="0.2">
      <c r="Z20826" t="str">
        <f t="shared" si="325"/>
        <v/>
      </c>
    </row>
    <row r="20827" spans="26:26" x14ac:dyDescent="0.2">
      <c r="Z20827" t="str">
        <f t="shared" si="325"/>
        <v/>
      </c>
    </row>
    <row r="20828" spans="26:26" x14ac:dyDescent="0.2">
      <c r="Z20828" t="str">
        <f t="shared" si="325"/>
        <v/>
      </c>
    </row>
    <row r="20829" spans="26:26" x14ac:dyDescent="0.2">
      <c r="Z20829" t="str">
        <f t="shared" si="325"/>
        <v/>
      </c>
    </row>
    <row r="20830" spans="26:26" x14ac:dyDescent="0.2">
      <c r="Z20830" t="str">
        <f t="shared" si="325"/>
        <v/>
      </c>
    </row>
    <row r="20831" spans="26:26" x14ac:dyDescent="0.2">
      <c r="Z20831" t="str">
        <f t="shared" si="325"/>
        <v/>
      </c>
    </row>
    <row r="20832" spans="26:26" x14ac:dyDescent="0.2">
      <c r="Z20832" t="str">
        <f t="shared" si="325"/>
        <v/>
      </c>
    </row>
    <row r="20833" spans="26:26" x14ac:dyDescent="0.2">
      <c r="Z20833" t="str">
        <f t="shared" si="325"/>
        <v/>
      </c>
    </row>
    <row r="20834" spans="26:26" x14ac:dyDescent="0.2">
      <c r="Z20834" t="str">
        <f t="shared" si="325"/>
        <v/>
      </c>
    </row>
    <row r="20835" spans="26:26" x14ac:dyDescent="0.2">
      <c r="Z20835" t="str">
        <f t="shared" si="325"/>
        <v/>
      </c>
    </row>
    <row r="20836" spans="26:26" x14ac:dyDescent="0.2">
      <c r="Z20836" t="str">
        <f t="shared" si="325"/>
        <v/>
      </c>
    </row>
    <row r="20837" spans="26:26" x14ac:dyDescent="0.2">
      <c r="Z20837" t="str">
        <f t="shared" si="325"/>
        <v/>
      </c>
    </row>
    <row r="20838" spans="26:26" x14ac:dyDescent="0.2">
      <c r="Z20838" t="str">
        <f t="shared" si="325"/>
        <v/>
      </c>
    </row>
    <row r="20839" spans="26:26" x14ac:dyDescent="0.2">
      <c r="Z20839" t="str">
        <f t="shared" si="325"/>
        <v/>
      </c>
    </row>
    <row r="20840" spans="26:26" x14ac:dyDescent="0.2">
      <c r="Z20840" t="str">
        <f t="shared" si="325"/>
        <v/>
      </c>
    </row>
    <row r="20841" spans="26:26" x14ac:dyDescent="0.2">
      <c r="Z20841" t="str">
        <f t="shared" si="325"/>
        <v/>
      </c>
    </row>
    <row r="20842" spans="26:26" x14ac:dyDescent="0.2">
      <c r="Z20842" t="str">
        <f t="shared" si="325"/>
        <v/>
      </c>
    </row>
    <row r="20843" spans="26:26" x14ac:dyDescent="0.2">
      <c r="Z20843" t="str">
        <f t="shared" si="325"/>
        <v/>
      </c>
    </row>
    <row r="20844" spans="26:26" x14ac:dyDescent="0.2">
      <c r="Z20844" t="str">
        <f t="shared" si="325"/>
        <v/>
      </c>
    </row>
    <row r="20845" spans="26:26" x14ac:dyDescent="0.2">
      <c r="Z20845" t="str">
        <f t="shared" si="325"/>
        <v/>
      </c>
    </row>
    <row r="20846" spans="26:26" x14ac:dyDescent="0.2">
      <c r="Z20846" t="str">
        <f t="shared" si="325"/>
        <v/>
      </c>
    </row>
    <row r="20847" spans="26:26" x14ac:dyDescent="0.2">
      <c r="Z20847" t="str">
        <f t="shared" si="325"/>
        <v/>
      </c>
    </row>
    <row r="20848" spans="26:26" x14ac:dyDescent="0.2">
      <c r="Z20848" t="str">
        <f t="shared" si="325"/>
        <v/>
      </c>
    </row>
    <row r="20849" spans="26:26" x14ac:dyDescent="0.2">
      <c r="Z20849" t="str">
        <f t="shared" si="325"/>
        <v/>
      </c>
    </row>
    <row r="20850" spans="26:26" x14ac:dyDescent="0.2">
      <c r="Z20850" t="str">
        <f t="shared" si="325"/>
        <v/>
      </c>
    </row>
    <row r="20851" spans="26:26" x14ac:dyDescent="0.2">
      <c r="Z20851" t="str">
        <f t="shared" si="325"/>
        <v/>
      </c>
    </row>
    <row r="20852" spans="26:26" x14ac:dyDescent="0.2">
      <c r="Z20852" t="str">
        <f t="shared" si="325"/>
        <v/>
      </c>
    </row>
    <row r="20853" spans="26:26" x14ac:dyDescent="0.2">
      <c r="Z20853" t="str">
        <f t="shared" si="325"/>
        <v/>
      </c>
    </row>
    <row r="20854" spans="26:26" x14ac:dyDescent="0.2">
      <c r="Z20854" t="str">
        <f t="shared" si="325"/>
        <v/>
      </c>
    </row>
    <row r="20855" spans="26:26" x14ac:dyDescent="0.2">
      <c r="Z20855" t="str">
        <f t="shared" si="325"/>
        <v/>
      </c>
    </row>
    <row r="20856" spans="26:26" x14ac:dyDescent="0.2">
      <c r="Z20856" t="str">
        <f t="shared" si="325"/>
        <v/>
      </c>
    </row>
    <row r="20857" spans="26:26" x14ac:dyDescent="0.2">
      <c r="Z20857" t="str">
        <f t="shared" si="325"/>
        <v/>
      </c>
    </row>
    <row r="20858" spans="26:26" x14ac:dyDescent="0.2">
      <c r="Z20858" t="str">
        <f t="shared" si="325"/>
        <v/>
      </c>
    </row>
    <row r="20859" spans="26:26" x14ac:dyDescent="0.2">
      <c r="Z20859" t="str">
        <f t="shared" si="325"/>
        <v/>
      </c>
    </row>
    <row r="20860" spans="26:26" x14ac:dyDescent="0.2">
      <c r="Z20860" t="str">
        <f t="shared" si="325"/>
        <v/>
      </c>
    </row>
    <row r="20861" spans="26:26" x14ac:dyDescent="0.2">
      <c r="Z20861" t="str">
        <f t="shared" si="325"/>
        <v/>
      </c>
    </row>
    <row r="20862" spans="26:26" x14ac:dyDescent="0.2">
      <c r="Z20862" t="str">
        <f t="shared" si="325"/>
        <v/>
      </c>
    </row>
    <row r="20863" spans="26:26" x14ac:dyDescent="0.2">
      <c r="Z20863" t="str">
        <f t="shared" si="325"/>
        <v/>
      </c>
    </row>
    <row r="20864" spans="26:26" x14ac:dyDescent="0.2">
      <c r="Z20864" t="str">
        <f t="shared" si="325"/>
        <v/>
      </c>
    </row>
    <row r="20865" spans="26:26" x14ac:dyDescent="0.2">
      <c r="Z20865" t="str">
        <f t="shared" si="325"/>
        <v/>
      </c>
    </row>
    <row r="20866" spans="26:26" x14ac:dyDescent="0.2">
      <c r="Z20866" t="str">
        <f t="shared" si="325"/>
        <v/>
      </c>
    </row>
    <row r="20867" spans="26:26" x14ac:dyDescent="0.2">
      <c r="Z20867" t="str">
        <f t="shared" ref="Z20867:Z20930" si="326">IF(K20867="","",IFERROR(VALUE(TRIM(MID(K20867,FIND(CHAR(167),SUBSTITUTE(K20867,"-",CHAR(167),LEN(K20867)-LEN(SUBSTITUTE(K20867,"-",""))))+1,100))),K20867))</f>
        <v/>
      </c>
    </row>
    <row r="20868" spans="26:26" x14ac:dyDescent="0.2">
      <c r="Z20868" t="str">
        <f t="shared" si="326"/>
        <v/>
      </c>
    </row>
    <row r="20869" spans="26:26" x14ac:dyDescent="0.2">
      <c r="Z20869" t="str">
        <f t="shared" si="326"/>
        <v/>
      </c>
    </row>
    <row r="20870" spans="26:26" x14ac:dyDescent="0.2">
      <c r="Z20870" t="str">
        <f t="shared" si="326"/>
        <v/>
      </c>
    </row>
    <row r="20871" spans="26:26" x14ac:dyDescent="0.2">
      <c r="Z20871" t="str">
        <f t="shared" si="326"/>
        <v/>
      </c>
    </row>
    <row r="20872" spans="26:26" x14ac:dyDescent="0.2">
      <c r="Z20872" t="str">
        <f t="shared" si="326"/>
        <v/>
      </c>
    </row>
    <row r="20873" spans="26:26" x14ac:dyDescent="0.2">
      <c r="Z20873" t="str">
        <f t="shared" si="326"/>
        <v/>
      </c>
    </row>
    <row r="20874" spans="26:26" x14ac:dyDescent="0.2">
      <c r="Z20874" t="str">
        <f t="shared" si="326"/>
        <v/>
      </c>
    </row>
    <row r="20875" spans="26:26" x14ac:dyDescent="0.2">
      <c r="Z20875" t="str">
        <f t="shared" si="326"/>
        <v/>
      </c>
    </row>
    <row r="20876" spans="26:26" x14ac:dyDescent="0.2">
      <c r="Z20876" t="str">
        <f t="shared" si="326"/>
        <v/>
      </c>
    </row>
    <row r="20877" spans="26:26" x14ac:dyDescent="0.2">
      <c r="Z20877" t="str">
        <f t="shared" si="326"/>
        <v/>
      </c>
    </row>
    <row r="20878" spans="26:26" x14ac:dyDescent="0.2">
      <c r="Z20878" t="str">
        <f t="shared" si="326"/>
        <v/>
      </c>
    </row>
    <row r="20879" spans="26:26" x14ac:dyDescent="0.2">
      <c r="Z20879" t="str">
        <f t="shared" si="326"/>
        <v/>
      </c>
    </row>
    <row r="20880" spans="26:26" x14ac:dyDescent="0.2">
      <c r="Z20880" t="str">
        <f t="shared" si="326"/>
        <v/>
      </c>
    </row>
    <row r="20881" spans="26:26" x14ac:dyDescent="0.2">
      <c r="Z20881" t="str">
        <f t="shared" si="326"/>
        <v/>
      </c>
    </row>
    <row r="20882" spans="26:26" x14ac:dyDescent="0.2">
      <c r="Z20882" t="str">
        <f t="shared" si="326"/>
        <v/>
      </c>
    </row>
    <row r="20883" spans="26:26" x14ac:dyDescent="0.2">
      <c r="Z20883" t="str">
        <f t="shared" si="326"/>
        <v/>
      </c>
    </row>
    <row r="20884" spans="26:26" x14ac:dyDescent="0.2">
      <c r="Z20884" t="str">
        <f t="shared" si="326"/>
        <v/>
      </c>
    </row>
    <row r="20885" spans="26:26" x14ac:dyDescent="0.2">
      <c r="Z20885" t="str">
        <f t="shared" si="326"/>
        <v/>
      </c>
    </row>
    <row r="20886" spans="26:26" x14ac:dyDescent="0.2">
      <c r="Z20886" t="str">
        <f t="shared" si="326"/>
        <v/>
      </c>
    </row>
    <row r="20887" spans="26:26" x14ac:dyDescent="0.2">
      <c r="Z20887" t="str">
        <f t="shared" si="326"/>
        <v/>
      </c>
    </row>
    <row r="20888" spans="26:26" x14ac:dyDescent="0.2">
      <c r="Z20888" t="str">
        <f t="shared" si="326"/>
        <v/>
      </c>
    </row>
    <row r="20889" spans="26:26" x14ac:dyDescent="0.2">
      <c r="Z20889" t="str">
        <f t="shared" si="326"/>
        <v/>
      </c>
    </row>
    <row r="20890" spans="26:26" x14ac:dyDescent="0.2">
      <c r="Z20890" t="str">
        <f t="shared" si="326"/>
        <v/>
      </c>
    </row>
    <row r="20891" spans="26:26" x14ac:dyDescent="0.2">
      <c r="Z20891" t="str">
        <f t="shared" si="326"/>
        <v/>
      </c>
    </row>
    <row r="20892" spans="26:26" x14ac:dyDescent="0.2">
      <c r="Z20892" t="str">
        <f t="shared" si="326"/>
        <v/>
      </c>
    </row>
    <row r="20893" spans="26:26" x14ac:dyDescent="0.2">
      <c r="Z20893" t="str">
        <f t="shared" si="326"/>
        <v/>
      </c>
    </row>
    <row r="20894" spans="26:26" x14ac:dyDescent="0.2">
      <c r="Z20894" t="str">
        <f t="shared" si="326"/>
        <v/>
      </c>
    </row>
    <row r="20895" spans="26:26" x14ac:dyDescent="0.2">
      <c r="Z20895" t="str">
        <f t="shared" si="326"/>
        <v/>
      </c>
    </row>
    <row r="20896" spans="26:26" x14ac:dyDescent="0.2">
      <c r="Z20896" t="str">
        <f t="shared" si="326"/>
        <v/>
      </c>
    </row>
    <row r="20897" spans="26:26" x14ac:dyDescent="0.2">
      <c r="Z20897" t="str">
        <f t="shared" si="326"/>
        <v/>
      </c>
    </row>
    <row r="20898" spans="26:26" x14ac:dyDescent="0.2">
      <c r="Z20898" t="str">
        <f t="shared" si="326"/>
        <v/>
      </c>
    </row>
    <row r="20899" spans="26:26" x14ac:dyDescent="0.2">
      <c r="Z20899" t="str">
        <f t="shared" si="326"/>
        <v/>
      </c>
    </row>
    <row r="20900" spans="26:26" x14ac:dyDescent="0.2">
      <c r="Z20900" t="str">
        <f t="shared" si="326"/>
        <v/>
      </c>
    </row>
    <row r="20901" spans="26:26" x14ac:dyDescent="0.2">
      <c r="Z20901" t="str">
        <f t="shared" si="326"/>
        <v/>
      </c>
    </row>
    <row r="20902" spans="26:26" x14ac:dyDescent="0.2">
      <c r="Z20902" t="str">
        <f t="shared" si="326"/>
        <v/>
      </c>
    </row>
    <row r="20903" spans="26:26" x14ac:dyDescent="0.2">
      <c r="Z20903" t="str">
        <f t="shared" si="326"/>
        <v/>
      </c>
    </row>
    <row r="20904" spans="26:26" x14ac:dyDescent="0.2">
      <c r="Z20904" t="str">
        <f t="shared" si="326"/>
        <v/>
      </c>
    </row>
    <row r="20905" spans="26:26" x14ac:dyDescent="0.2">
      <c r="Z20905" t="str">
        <f t="shared" si="326"/>
        <v/>
      </c>
    </row>
    <row r="20906" spans="26:26" x14ac:dyDescent="0.2">
      <c r="Z20906" t="str">
        <f t="shared" si="326"/>
        <v/>
      </c>
    </row>
    <row r="20907" spans="26:26" x14ac:dyDescent="0.2">
      <c r="Z20907" t="str">
        <f t="shared" si="326"/>
        <v/>
      </c>
    </row>
    <row r="20908" spans="26:26" x14ac:dyDescent="0.2">
      <c r="Z20908" t="str">
        <f t="shared" si="326"/>
        <v/>
      </c>
    </row>
    <row r="20909" spans="26:26" x14ac:dyDescent="0.2">
      <c r="Z20909" t="str">
        <f t="shared" si="326"/>
        <v/>
      </c>
    </row>
    <row r="20910" spans="26:26" x14ac:dyDescent="0.2">
      <c r="Z20910" t="str">
        <f t="shared" si="326"/>
        <v/>
      </c>
    </row>
    <row r="20911" spans="26:26" x14ac:dyDescent="0.2">
      <c r="Z20911" t="str">
        <f t="shared" si="326"/>
        <v/>
      </c>
    </row>
    <row r="20912" spans="26:26" x14ac:dyDescent="0.2">
      <c r="Z20912" t="str">
        <f t="shared" si="326"/>
        <v/>
      </c>
    </row>
    <row r="20913" spans="26:26" x14ac:dyDescent="0.2">
      <c r="Z20913" t="str">
        <f t="shared" si="326"/>
        <v/>
      </c>
    </row>
    <row r="20914" spans="26:26" x14ac:dyDescent="0.2">
      <c r="Z20914" t="str">
        <f t="shared" si="326"/>
        <v/>
      </c>
    </row>
    <row r="20915" spans="26:26" x14ac:dyDescent="0.2">
      <c r="Z20915" t="str">
        <f t="shared" si="326"/>
        <v/>
      </c>
    </row>
    <row r="20916" spans="26:26" x14ac:dyDescent="0.2">
      <c r="Z20916" t="str">
        <f t="shared" si="326"/>
        <v/>
      </c>
    </row>
    <row r="20917" spans="26:26" x14ac:dyDescent="0.2">
      <c r="Z20917" t="str">
        <f t="shared" si="326"/>
        <v/>
      </c>
    </row>
    <row r="20918" spans="26:26" x14ac:dyDescent="0.2">
      <c r="Z20918" t="str">
        <f t="shared" si="326"/>
        <v/>
      </c>
    </row>
    <row r="20919" spans="26:26" x14ac:dyDescent="0.2">
      <c r="Z20919" t="str">
        <f t="shared" si="326"/>
        <v/>
      </c>
    </row>
    <row r="20920" spans="26:26" x14ac:dyDescent="0.2">
      <c r="Z20920" t="str">
        <f t="shared" si="326"/>
        <v/>
      </c>
    </row>
    <row r="20921" spans="26:26" x14ac:dyDescent="0.2">
      <c r="Z20921" t="str">
        <f t="shared" si="326"/>
        <v/>
      </c>
    </row>
    <row r="20922" spans="26:26" x14ac:dyDescent="0.2">
      <c r="Z20922" t="str">
        <f t="shared" si="326"/>
        <v/>
      </c>
    </row>
    <row r="20923" spans="26:26" x14ac:dyDescent="0.2">
      <c r="Z20923" t="str">
        <f t="shared" si="326"/>
        <v/>
      </c>
    </row>
    <row r="20924" spans="26:26" x14ac:dyDescent="0.2">
      <c r="Z20924" t="str">
        <f t="shared" si="326"/>
        <v/>
      </c>
    </row>
    <row r="20925" spans="26:26" x14ac:dyDescent="0.2">
      <c r="Z20925" t="str">
        <f t="shared" si="326"/>
        <v/>
      </c>
    </row>
    <row r="20926" spans="26:26" x14ac:dyDescent="0.2">
      <c r="Z20926" t="str">
        <f t="shared" si="326"/>
        <v/>
      </c>
    </row>
    <row r="20927" spans="26:26" x14ac:dyDescent="0.2">
      <c r="Z20927" t="str">
        <f t="shared" si="326"/>
        <v/>
      </c>
    </row>
    <row r="20928" spans="26:26" x14ac:dyDescent="0.2">
      <c r="Z20928" t="str">
        <f t="shared" si="326"/>
        <v/>
      </c>
    </row>
    <row r="20929" spans="26:26" x14ac:dyDescent="0.2">
      <c r="Z20929" t="str">
        <f t="shared" si="326"/>
        <v/>
      </c>
    </row>
    <row r="20930" spans="26:26" x14ac:dyDescent="0.2">
      <c r="Z20930" t="str">
        <f t="shared" si="326"/>
        <v/>
      </c>
    </row>
    <row r="20931" spans="26:26" x14ac:dyDescent="0.2">
      <c r="Z20931" t="str">
        <f t="shared" ref="Z20931:Z20994" si="327">IF(K20931="","",IFERROR(VALUE(TRIM(MID(K20931,FIND(CHAR(167),SUBSTITUTE(K20931,"-",CHAR(167),LEN(K20931)-LEN(SUBSTITUTE(K20931,"-",""))))+1,100))),K20931))</f>
        <v/>
      </c>
    </row>
    <row r="20932" spans="26:26" x14ac:dyDescent="0.2">
      <c r="Z20932" t="str">
        <f t="shared" si="327"/>
        <v/>
      </c>
    </row>
    <row r="20933" spans="26:26" x14ac:dyDescent="0.2">
      <c r="Z20933" t="str">
        <f t="shared" si="327"/>
        <v/>
      </c>
    </row>
    <row r="20934" spans="26:26" x14ac:dyDescent="0.2">
      <c r="Z20934" t="str">
        <f t="shared" si="327"/>
        <v/>
      </c>
    </row>
    <row r="20935" spans="26:26" x14ac:dyDescent="0.2">
      <c r="Z20935" t="str">
        <f t="shared" si="327"/>
        <v/>
      </c>
    </row>
    <row r="20936" spans="26:26" x14ac:dyDescent="0.2">
      <c r="Z20936" t="str">
        <f t="shared" si="327"/>
        <v/>
      </c>
    </row>
    <row r="20937" spans="26:26" x14ac:dyDescent="0.2">
      <c r="Z20937" t="str">
        <f t="shared" si="327"/>
        <v/>
      </c>
    </row>
    <row r="20938" spans="26:26" x14ac:dyDescent="0.2">
      <c r="Z20938" t="str">
        <f t="shared" si="327"/>
        <v/>
      </c>
    </row>
    <row r="20939" spans="26:26" x14ac:dyDescent="0.2">
      <c r="Z20939" t="str">
        <f t="shared" si="327"/>
        <v/>
      </c>
    </row>
    <row r="20940" spans="26:26" x14ac:dyDescent="0.2">
      <c r="Z20940" t="str">
        <f t="shared" si="327"/>
        <v/>
      </c>
    </row>
    <row r="20941" spans="26:26" x14ac:dyDescent="0.2">
      <c r="Z20941" t="str">
        <f t="shared" si="327"/>
        <v/>
      </c>
    </row>
    <row r="20942" spans="26:26" x14ac:dyDescent="0.2">
      <c r="Z20942" t="str">
        <f t="shared" si="327"/>
        <v/>
      </c>
    </row>
    <row r="20943" spans="26:26" x14ac:dyDescent="0.2">
      <c r="Z20943" t="str">
        <f t="shared" si="327"/>
        <v/>
      </c>
    </row>
    <row r="20944" spans="26:26" x14ac:dyDescent="0.2">
      <c r="Z20944" t="str">
        <f t="shared" si="327"/>
        <v/>
      </c>
    </row>
    <row r="20945" spans="26:26" x14ac:dyDescent="0.2">
      <c r="Z20945" t="str">
        <f t="shared" si="327"/>
        <v/>
      </c>
    </row>
    <row r="20946" spans="26:26" x14ac:dyDescent="0.2">
      <c r="Z20946" t="str">
        <f t="shared" si="327"/>
        <v/>
      </c>
    </row>
    <row r="20947" spans="26:26" x14ac:dyDescent="0.2">
      <c r="Z20947" t="str">
        <f t="shared" si="327"/>
        <v/>
      </c>
    </row>
    <row r="20948" spans="26:26" x14ac:dyDescent="0.2">
      <c r="Z20948" t="str">
        <f t="shared" si="327"/>
        <v/>
      </c>
    </row>
    <row r="20949" spans="26:26" x14ac:dyDescent="0.2">
      <c r="Z20949" t="str">
        <f t="shared" si="327"/>
        <v/>
      </c>
    </row>
    <row r="20950" spans="26:26" x14ac:dyDescent="0.2">
      <c r="Z20950" t="str">
        <f t="shared" si="327"/>
        <v/>
      </c>
    </row>
    <row r="20951" spans="26:26" x14ac:dyDescent="0.2">
      <c r="Z20951" t="str">
        <f t="shared" si="327"/>
        <v/>
      </c>
    </row>
    <row r="20952" spans="26:26" x14ac:dyDescent="0.2">
      <c r="Z20952" t="str">
        <f t="shared" si="327"/>
        <v/>
      </c>
    </row>
    <row r="20953" spans="26:26" x14ac:dyDescent="0.2">
      <c r="Z20953" t="str">
        <f t="shared" si="327"/>
        <v/>
      </c>
    </row>
    <row r="20954" spans="26:26" x14ac:dyDescent="0.2">
      <c r="Z20954" t="str">
        <f t="shared" si="327"/>
        <v/>
      </c>
    </row>
    <row r="20955" spans="26:26" x14ac:dyDescent="0.2">
      <c r="Z20955" t="str">
        <f t="shared" si="327"/>
        <v/>
      </c>
    </row>
    <row r="20956" spans="26:26" x14ac:dyDescent="0.2">
      <c r="Z20956" t="str">
        <f t="shared" si="327"/>
        <v/>
      </c>
    </row>
    <row r="20957" spans="26:26" x14ac:dyDescent="0.2">
      <c r="Z20957" t="str">
        <f t="shared" si="327"/>
        <v/>
      </c>
    </row>
    <row r="20958" spans="26:26" x14ac:dyDescent="0.2">
      <c r="Z20958" t="str">
        <f t="shared" si="327"/>
        <v/>
      </c>
    </row>
    <row r="20959" spans="26:26" x14ac:dyDescent="0.2">
      <c r="Z20959" t="str">
        <f t="shared" si="327"/>
        <v/>
      </c>
    </row>
    <row r="20960" spans="26:26" x14ac:dyDescent="0.2">
      <c r="Z20960" t="str">
        <f t="shared" si="327"/>
        <v/>
      </c>
    </row>
    <row r="20961" spans="26:26" x14ac:dyDescent="0.2">
      <c r="Z20961" t="str">
        <f t="shared" si="327"/>
        <v/>
      </c>
    </row>
    <row r="20962" spans="26:26" x14ac:dyDescent="0.2">
      <c r="Z20962" t="str">
        <f t="shared" si="327"/>
        <v/>
      </c>
    </row>
    <row r="20963" spans="26:26" x14ac:dyDescent="0.2">
      <c r="Z20963" t="str">
        <f t="shared" si="327"/>
        <v/>
      </c>
    </row>
    <row r="20964" spans="26:26" x14ac:dyDescent="0.2">
      <c r="Z20964" t="str">
        <f t="shared" si="327"/>
        <v/>
      </c>
    </row>
    <row r="20965" spans="26:26" x14ac:dyDescent="0.2">
      <c r="Z20965" t="str">
        <f t="shared" si="327"/>
        <v/>
      </c>
    </row>
    <row r="20966" spans="26:26" x14ac:dyDescent="0.2">
      <c r="Z20966" t="str">
        <f t="shared" si="327"/>
        <v/>
      </c>
    </row>
    <row r="20967" spans="26:26" x14ac:dyDescent="0.2">
      <c r="Z20967" t="str">
        <f t="shared" si="327"/>
        <v/>
      </c>
    </row>
    <row r="20968" spans="26:26" x14ac:dyDescent="0.2">
      <c r="Z20968" t="str">
        <f t="shared" si="327"/>
        <v/>
      </c>
    </row>
    <row r="20969" spans="26:26" x14ac:dyDescent="0.2">
      <c r="Z20969" t="str">
        <f t="shared" si="327"/>
        <v/>
      </c>
    </row>
    <row r="20970" spans="26:26" x14ac:dyDescent="0.2">
      <c r="Z20970" t="str">
        <f t="shared" si="327"/>
        <v/>
      </c>
    </row>
    <row r="20971" spans="26:26" x14ac:dyDescent="0.2">
      <c r="Z20971" t="str">
        <f t="shared" si="327"/>
        <v/>
      </c>
    </row>
    <row r="20972" spans="26:26" x14ac:dyDescent="0.2">
      <c r="Z20972" t="str">
        <f t="shared" si="327"/>
        <v/>
      </c>
    </row>
    <row r="20973" spans="26:26" x14ac:dyDescent="0.2">
      <c r="Z20973" t="str">
        <f t="shared" si="327"/>
        <v/>
      </c>
    </row>
    <row r="20974" spans="26:26" x14ac:dyDescent="0.2">
      <c r="Z20974" t="str">
        <f t="shared" si="327"/>
        <v/>
      </c>
    </row>
    <row r="20975" spans="26:26" x14ac:dyDescent="0.2">
      <c r="Z20975" t="str">
        <f t="shared" si="327"/>
        <v/>
      </c>
    </row>
    <row r="20976" spans="26:26" x14ac:dyDescent="0.2">
      <c r="Z20976" t="str">
        <f t="shared" si="327"/>
        <v/>
      </c>
    </row>
    <row r="20977" spans="26:26" x14ac:dyDescent="0.2">
      <c r="Z20977" t="str">
        <f t="shared" si="327"/>
        <v/>
      </c>
    </row>
    <row r="20978" spans="26:26" x14ac:dyDescent="0.2">
      <c r="Z20978" t="str">
        <f t="shared" si="327"/>
        <v/>
      </c>
    </row>
    <row r="20979" spans="26:26" x14ac:dyDescent="0.2">
      <c r="Z20979" t="str">
        <f t="shared" si="327"/>
        <v/>
      </c>
    </row>
    <row r="20980" spans="26:26" x14ac:dyDescent="0.2">
      <c r="Z20980" t="str">
        <f t="shared" si="327"/>
        <v/>
      </c>
    </row>
    <row r="20981" spans="26:26" x14ac:dyDescent="0.2">
      <c r="Z20981" t="str">
        <f t="shared" si="327"/>
        <v/>
      </c>
    </row>
    <row r="20982" spans="26:26" x14ac:dyDescent="0.2">
      <c r="Z20982" t="str">
        <f t="shared" si="327"/>
        <v/>
      </c>
    </row>
    <row r="20983" spans="26:26" x14ac:dyDescent="0.2">
      <c r="Z20983" t="str">
        <f t="shared" si="327"/>
        <v/>
      </c>
    </row>
    <row r="20984" spans="26:26" x14ac:dyDescent="0.2">
      <c r="Z20984" t="str">
        <f t="shared" si="327"/>
        <v/>
      </c>
    </row>
    <row r="20985" spans="26:26" x14ac:dyDescent="0.2">
      <c r="Z20985" t="str">
        <f t="shared" si="327"/>
        <v/>
      </c>
    </row>
    <row r="20986" spans="26:26" x14ac:dyDescent="0.2">
      <c r="Z20986" t="str">
        <f t="shared" si="327"/>
        <v/>
      </c>
    </row>
    <row r="20987" spans="26:26" x14ac:dyDescent="0.2">
      <c r="Z20987" t="str">
        <f t="shared" si="327"/>
        <v/>
      </c>
    </row>
    <row r="20988" spans="26:26" x14ac:dyDescent="0.2">
      <c r="Z20988" t="str">
        <f t="shared" si="327"/>
        <v/>
      </c>
    </row>
    <row r="20989" spans="26:26" x14ac:dyDescent="0.2">
      <c r="Z20989" t="str">
        <f t="shared" si="327"/>
        <v/>
      </c>
    </row>
    <row r="20990" spans="26:26" x14ac:dyDescent="0.2">
      <c r="Z20990" t="str">
        <f t="shared" si="327"/>
        <v/>
      </c>
    </row>
    <row r="20991" spans="26:26" x14ac:dyDescent="0.2">
      <c r="Z20991" t="str">
        <f t="shared" si="327"/>
        <v/>
      </c>
    </row>
    <row r="20992" spans="26:26" x14ac:dyDescent="0.2">
      <c r="Z20992" t="str">
        <f t="shared" si="327"/>
        <v/>
      </c>
    </row>
    <row r="20993" spans="26:26" x14ac:dyDescent="0.2">
      <c r="Z20993" t="str">
        <f t="shared" si="327"/>
        <v/>
      </c>
    </row>
    <row r="20994" spans="26:26" x14ac:dyDescent="0.2">
      <c r="Z20994" t="str">
        <f t="shared" si="327"/>
        <v/>
      </c>
    </row>
    <row r="20995" spans="26:26" x14ac:dyDescent="0.2">
      <c r="Z20995" t="str">
        <f t="shared" ref="Z20995:Z21058" si="328">IF(K20995="","",IFERROR(VALUE(TRIM(MID(K20995,FIND(CHAR(167),SUBSTITUTE(K20995,"-",CHAR(167),LEN(K20995)-LEN(SUBSTITUTE(K20995,"-",""))))+1,100))),K20995))</f>
        <v/>
      </c>
    </row>
    <row r="20996" spans="26:26" x14ac:dyDescent="0.2">
      <c r="Z20996" t="str">
        <f t="shared" si="328"/>
        <v/>
      </c>
    </row>
    <row r="20997" spans="26:26" x14ac:dyDescent="0.2">
      <c r="Z20997" t="str">
        <f t="shared" si="328"/>
        <v/>
      </c>
    </row>
    <row r="20998" spans="26:26" x14ac:dyDescent="0.2">
      <c r="Z20998" t="str">
        <f t="shared" si="328"/>
        <v/>
      </c>
    </row>
    <row r="20999" spans="26:26" x14ac:dyDescent="0.2">
      <c r="Z20999" t="str">
        <f t="shared" si="328"/>
        <v/>
      </c>
    </row>
    <row r="21000" spans="26:26" x14ac:dyDescent="0.2">
      <c r="Z21000" t="str">
        <f t="shared" si="328"/>
        <v/>
      </c>
    </row>
    <row r="21001" spans="26:26" x14ac:dyDescent="0.2">
      <c r="Z21001" t="str">
        <f t="shared" si="328"/>
        <v/>
      </c>
    </row>
    <row r="21002" spans="26:26" x14ac:dyDescent="0.2">
      <c r="Z21002" t="str">
        <f t="shared" si="328"/>
        <v/>
      </c>
    </row>
    <row r="21003" spans="26:26" x14ac:dyDescent="0.2">
      <c r="Z21003" t="str">
        <f t="shared" si="328"/>
        <v/>
      </c>
    </row>
    <row r="21004" spans="26:26" x14ac:dyDescent="0.2">
      <c r="Z21004" t="str">
        <f t="shared" si="328"/>
        <v/>
      </c>
    </row>
    <row r="21005" spans="26:26" x14ac:dyDescent="0.2">
      <c r="Z21005" t="str">
        <f t="shared" si="328"/>
        <v/>
      </c>
    </row>
    <row r="21006" spans="26:26" x14ac:dyDescent="0.2">
      <c r="Z21006" t="str">
        <f t="shared" si="328"/>
        <v/>
      </c>
    </row>
    <row r="21007" spans="26:26" x14ac:dyDescent="0.2">
      <c r="Z21007" t="str">
        <f t="shared" si="328"/>
        <v/>
      </c>
    </row>
    <row r="21008" spans="26:26" x14ac:dyDescent="0.2">
      <c r="Z21008" t="str">
        <f t="shared" si="328"/>
        <v/>
      </c>
    </row>
    <row r="21009" spans="26:26" x14ac:dyDescent="0.2">
      <c r="Z21009" t="str">
        <f t="shared" si="328"/>
        <v/>
      </c>
    </row>
    <row r="21010" spans="26:26" x14ac:dyDescent="0.2">
      <c r="Z21010" t="str">
        <f t="shared" si="328"/>
        <v/>
      </c>
    </row>
    <row r="21011" spans="26:26" x14ac:dyDescent="0.2">
      <c r="Z21011" t="str">
        <f t="shared" si="328"/>
        <v/>
      </c>
    </row>
    <row r="21012" spans="26:26" x14ac:dyDescent="0.2">
      <c r="Z21012" t="str">
        <f t="shared" si="328"/>
        <v/>
      </c>
    </row>
    <row r="21013" spans="26:26" x14ac:dyDescent="0.2">
      <c r="Z21013" t="str">
        <f t="shared" si="328"/>
        <v/>
      </c>
    </row>
    <row r="21014" spans="26:26" x14ac:dyDescent="0.2">
      <c r="Z21014" t="str">
        <f t="shared" si="328"/>
        <v/>
      </c>
    </row>
    <row r="21015" spans="26:26" x14ac:dyDescent="0.2">
      <c r="Z21015" t="str">
        <f t="shared" si="328"/>
        <v/>
      </c>
    </row>
    <row r="21016" spans="26:26" x14ac:dyDescent="0.2">
      <c r="Z21016" t="str">
        <f t="shared" si="328"/>
        <v/>
      </c>
    </row>
    <row r="21017" spans="26:26" x14ac:dyDescent="0.2">
      <c r="Z21017" t="str">
        <f t="shared" si="328"/>
        <v/>
      </c>
    </row>
    <row r="21018" spans="26:26" x14ac:dyDescent="0.2">
      <c r="Z21018" t="str">
        <f t="shared" si="328"/>
        <v/>
      </c>
    </row>
    <row r="21019" spans="26:26" x14ac:dyDescent="0.2">
      <c r="Z21019" t="str">
        <f t="shared" si="328"/>
        <v/>
      </c>
    </row>
    <row r="21020" spans="26:26" x14ac:dyDescent="0.2">
      <c r="Z21020" t="str">
        <f t="shared" si="328"/>
        <v/>
      </c>
    </row>
    <row r="21021" spans="26:26" x14ac:dyDescent="0.2">
      <c r="Z21021" t="str">
        <f t="shared" si="328"/>
        <v/>
      </c>
    </row>
    <row r="21022" spans="26:26" x14ac:dyDescent="0.2">
      <c r="Z21022" t="str">
        <f t="shared" si="328"/>
        <v/>
      </c>
    </row>
    <row r="21023" spans="26:26" x14ac:dyDescent="0.2">
      <c r="Z21023" t="str">
        <f t="shared" si="328"/>
        <v/>
      </c>
    </row>
    <row r="21024" spans="26:26" x14ac:dyDescent="0.2">
      <c r="Z21024" t="str">
        <f t="shared" si="328"/>
        <v/>
      </c>
    </row>
    <row r="21025" spans="26:26" x14ac:dyDescent="0.2">
      <c r="Z21025" t="str">
        <f t="shared" si="328"/>
        <v/>
      </c>
    </row>
    <row r="21026" spans="26:26" x14ac:dyDescent="0.2">
      <c r="Z21026" t="str">
        <f t="shared" si="328"/>
        <v/>
      </c>
    </row>
    <row r="21027" spans="26:26" x14ac:dyDescent="0.2">
      <c r="Z21027" t="str">
        <f t="shared" si="328"/>
        <v/>
      </c>
    </row>
    <row r="21028" spans="26:26" x14ac:dyDescent="0.2">
      <c r="Z21028" t="str">
        <f t="shared" si="328"/>
        <v/>
      </c>
    </row>
    <row r="21029" spans="26:26" x14ac:dyDescent="0.2">
      <c r="Z21029" t="str">
        <f t="shared" si="328"/>
        <v/>
      </c>
    </row>
    <row r="21030" spans="26:26" x14ac:dyDescent="0.2">
      <c r="Z21030" t="str">
        <f t="shared" si="328"/>
        <v/>
      </c>
    </row>
    <row r="21031" spans="26:26" x14ac:dyDescent="0.2">
      <c r="Z21031" t="str">
        <f t="shared" si="328"/>
        <v/>
      </c>
    </row>
    <row r="21032" spans="26:26" x14ac:dyDescent="0.2">
      <c r="Z21032" t="str">
        <f t="shared" si="328"/>
        <v/>
      </c>
    </row>
    <row r="21033" spans="26:26" x14ac:dyDescent="0.2">
      <c r="Z21033" t="str">
        <f t="shared" si="328"/>
        <v/>
      </c>
    </row>
    <row r="21034" spans="26:26" x14ac:dyDescent="0.2">
      <c r="Z21034" t="str">
        <f t="shared" si="328"/>
        <v/>
      </c>
    </row>
    <row r="21035" spans="26:26" x14ac:dyDescent="0.2">
      <c r="Z21035" t="str">
        <f t="shared" si="328"/>
        <v/>
      </c>
    </row>
    <row r="21036" spans="26:26" x14ac:dyDescent="0.2">
      <c r="Z21036" t="str">
        <f t="shared" si="328"/>
        <v/>
      </c>
    </row>
    <row r="21037" spans="26:26" x14ac:dyDescent="0.2">
      <c r="Z21037" t="str">
        <f t="shared" si="328"/>
        <v/>
      </c>
    </row>
    <row r="21038" spans="26:26" x14ac:dyDescent="0.2">
      <c r="Z21038" t="str">
        <f t="shared" si="328"/>
        <v/>
      </c>
    </row>
    <row r="21039" spans="26:26" x14ac:dyDescent="0.2">
      <c r="Z21039" t="str">
        <f t="shared" si="328"/>
        <v/>
      </c>
    </row>
    <row r="21040" spans="26:26" x14ac:dyDescent="0.2">
      <c r="Z21040" t="str">
        <f t="shared" si="328"/>
        <v/>
      </c>
    </row>
    <row r="21041" spans="26:26" x14ac:dyDescent="0.2">
      <c r="Z21041" t="str">
        <f t="shared" si="328"/>
        <v/>
      </c>
    </row>
    <row r="21042" spans="26:26" x14ac:dyDescent="0.2">
      <c r="Z21042" t="str">
        <f t="shared" si="328"/>
        <v/>
      </c>
    </row>
    <row r="21043" spans="26:26" x14ac:dyDescent="0.2">
      <c r="Z21043" t="str">
        <f t="shared" si="328"/>
        <v/>
      </c>
    </row>
    <row r="21044" spans="26:26" x14ac:dyDescent="0.2">
      <c r="Z21044" t="str">
        <f t="shared" si="328"/>
        <v/>
      </c>
    </row>
    <row r="21045" spans="26:26" x14ac:dyDescent="0.2">
      <c r="Z21045" t="str">
        <f t="shared" si="328"/>
        <v/>
      </c>
    </row>
    <row r="21046" spans="26:26" x14ac:dyDescent="0.2">
      <c r="Z21046" t="str">
        <f t="shared" si="328"/>
        <v/>
      </c>
    </row>
    <row r="21047" spans="26:26" x14ac:dyDescent="0.2">
      <c r="Z21047" t="str">
        <f t="shared" si="328"/>
        <v/>
      </c>
    </row>
    <row r="21048" spans="26:26" x14ac:dyDescent="0.2">
      <c r="Z21048" t="str">
        <f t="shared" si="328"/>
        <v/>
      </c>
    </row>
    <row r="21049" spans="26:26" x14ac:dyDescent="0.2">
      <c r="Z21049" t="str">
        <f t="shared" si="328"/>
        <v/>
      </c>
    </row>
    <row r="21050" spans="26:26" x14ac:dyDescent="0.2">
      <c r="Z21050" t="str">
        <f t="shared" si="328"/>
        <v/>
      </c>
    </row>
    <row r="21051" spans="26:26" x14ac:dyDescent="0.2">
      <c r="Z21051" t="str">
        <f t="shared" si="328"/>
        <v/>
      </c>
    </row>
    <row r="21052" spans="26:26" x14ac:dyDescent="0.2">
      <c r="Z21052" t="str">
        <f t="shared" si="328"/>
        <v/>
      </c>
    </row>
    <row r="21053" spans="26:26" x14ac:dyDescent="0.2">
      <c r="Z21053" t="str">
        <f t="shared" si="328"/>
        <v/>
      </c>
    </row>
    <row r="21054" spans="26:26" x14ac:dyDescent="0.2">
      <c r="Z21054" t="str">
        <f t="shared" si="328"/>
        <v/>
      </c>
    </row>
    <row r="21055" spans="26:26" x14ac:dyDescent="0.2">
      <c r="Z21055" t="str">
        <f t="shared" si="328"/>
        <v/>
      </c>
    </row>
    <row r="21056" spans="26:26" x14ac:dyDescent="0.2">
      <c r="Z21056" t="str">
        <f t="shared" si="328"/>
        <v/>
      </c>
    </row>
    <row r="21057" spans="26:26" x14ac:dyDescent="0.2">
      <c r="Z21057" t="str">
        <f t="shared" si="328"/>
        <v/>
      </c>
    </row>
    <row r="21058" spans="26:26" x14ac:dyDescent="0.2">
      <c r="Z21058" t="str">
        <f t="shared" si="328"/>
        <v/>
      </c>
    </row>
    <row r="21059" spans="26:26" x14ac:dyDescent="0.2">
      <c r="Z21059" t="str">
        <f t="shared" ref="Z21059:Z21122" si="329">IF(K21059="","",IFERROR(VALUE(TRIM(MID(K21059,FIND(CHAR(167),SUBSTITUTE(K21059,"-",CHAR(167),LEN(K21059)-LEN(SUBSTITUTE(K21059,"-",""))))+1,100))),K21059))</f>
        <v/>
      </c>
    </row>
    <row r="21060" spans="26:26" x14ac:dyDescent="0.2">
      <c r="Z21060" t="str">
        <f t="shared" si="329"/>
        <v/>
      </c>
    </row>
    <row r="21061" spans="26:26" x14ac:dyDescent="0.2">
      <c r="Z21061" t="str">
        <f t="shared" si="329"/>
        <v/>
      </c>
    </row>
    <row r="21062" spans="26:26" x14ac:dyDescent="0.2">
      <c r="Z21062" t="str">
        <f t="shared" si="329"/>
        <v/>
      </c>
    </row>
    <row r="21063" spans="26:26" x14ac:dyDescent="0.2">
      <c r="Z21063" t="str">
        <f t="shared" si="329"/>
        <v/>
      </c>
    </row>
    <row r="21064" spans="26:26" x14ac:dyDescent="0.2">
      <c r="Z21064" t="str">
        <f t="shared" si="329"/>
        <v/>
      </c>
    </row>
    <row r="21065" spans="26:26" x14ac:dyDescent="0.2">
      <c r="Z21065" t="str">
        <f t="shared" si="329"/>
        <v/>
      </c>
    </row>
    <row r="21066" spans="26:26" x14ac:dyDescent="0.2">
      <c r="Z21066" t="str">
        <f t="shared" si="329"/>
        <v/>
      </c>
    </row>
    <row r="21067" spans="26:26" x14ac:dyDescent="0.2">
      <c r="Z21067" t="str">
        <f t="shared" si="329"/>
        <v/>
      </c>
    </row>
    <row r="21068" spans="26:26" x14ac:dyDescent="0.2">
      <c r="Z21068" t="str">
        <f t="shared" si="329"/>
        <v/>
      </c>
    </row>
    <row r="21069" spans="26:26" x14ac:dyDescent="0.2">
      <c r="Z21069" t="str">
        <f t="shared" si="329"/>
        <v/>
      </c>
    </row>
    <row r="21070" spans="26:26" x14ac:dyDescent="0.2">
      <c r="Z21070" t="str">
        <f t="shared" si="329"/>
        <v/>
      </c>
    </row>
    <row r="21071" spans="26:26" x14ac:dyDescent="0.2">
      <c r="Z21071" t="str">
        <f t="shared" si="329"/>
        <v/>
      </c>
    </row>
    <row r="21072" spans="26:26" x14ac:dyDescent="0.2">
      <c r="Z21072" t="str">
        <f t="shared" si="329"/>
        <v/>
      </c>
    </row>
    <row r="21073" spans="26:26" x14ac:dyDescent="0.2">
      <c r="Z21073" t="str">
        <f t="shared" si="329"/>
        <v/>
      </c>
    </row>
    <row r="21074" spans="26:26" x14ac:dyDescent="0.2">
      <c r="Z21074" t="str">
        <f t="shared" si="329"/>
        <v/>
      </c>
    </row>
    <row r="21075" spans="26:26" x14ac:dyDescent="0.2">
      <c r="Z21075" t="str">
        <f t="shared" si="329"/>
        <v/>
      </c>
    </row>
    <row r="21076" spans="26:26" x14ac:dyDescent="0.2">
      <c r="Z21076" t="str">
        <f t="shared" si="329"/>
        <v/>
      </c>
    </row>
    <row r="21077" spans="26:26" x14ac:dyDescent="0.2">
      <c r="Z21077" t="str">
        <f t="shared" si="329"/>
        <v/>
      </c>
    </row>
    <row r="21078" spans="26:26" x14ac:dyDescent="0.2">
      <c r="Z21078" t="str">
        <f t="shared" si="329"/>
        <v/>
      </c>
    </row>
    <row r="21079" spans="26:26" x14ac:dyDescent="0.2">
      <c r="Z21079" t="str">
        <f t="shared" si="329"/>
        <v/>
      </c>
    </row>
    <row r="21080" spans="26:26" x14ac:dyDescent="0.2">
      <c r="Z21080" t="str">
        <f t="shared" si="329"/>
        <v/>
      </c>
    </row>
    <row r="21081" spans="26:26" x14ac:dyDescent="0.2">
      <c r="Z21081" t="str">
        <f t="shared" si="329"/>
        <v/>
      </c>
    </row>
    <row r="21082" spans="26:26" x14ac:dyDescent="0.2">
      <c r="Z21082" t="str">
        <f t="shared" si="329"/>
        <v/>
      </c>
    </row>
    <row r="21083" spans="26:26" x14ac:dyDescent="0.2">
      <c r="Z21083" t="str">
        <f t="shared" si="329"/>
        <v/>
      </c>
    </row>
    <row r="21084" spans="26:26" x14ac:dyDescent="0.2">
      <c r="Z21084" t="str">
        <f t="shared" si="329"/>
        <v/>
      </c>
    </row>
    <row r="21085" spans="26:26" x14ac:dyDescent="0.2">
      <c r="Z21085" t="str">
        <f t="shared" si="329"/>
        <v/>
      </c>
    </row>
    <row r="21086" spans="26:26" x14ac:dyDescent="0.2">
      <c r="Z21086" t="str">
        <f t="shared" si="329"/>
        <v/>
      </c>
    </row>
    <row r="21087" spans="26:26" x14ac:dyDescent="0.2">
      <c r="Z21087" t="str">
        <f t="shared" si="329"/>
        <v/>
      </c>
    </row>
    <row r="21088" spans="26:26" x14ac:dyDescent="0.2">
      <c r="Z21088" t="str">
        <f t="shared" si="329"/>
        <v/>
      </c>
    </row>
    <row r="21089" spans="26:26" x14ac:dyDescent="0.2">
      <c r="Z21089" t="str">
        <f t="shared" si="329"/>
        <v/>
      </c>
    </row>
    <row r="21090" spans="26:26" x14ac:dyDescent="0.2">
      <c r="Z21090" t="str">
        <f t="shared" si="329"/>
        <v/>
      </c>
    </row>
    <row r="21091" spans="26:26" x14ac:dyDescent="0.2">
      <c r="Z21091" t="str">
        <f t="shared" si="329"/>
        <v/>
      </c>
    </row>
    <row r="21092" spans="26:26" x14ac:dyDescent="0.2">
      <c r="Z21092" t="str">
        <f t="shared" si="329"/>
        <v/>
      </c>
    </row>
    <row r="21093" spans="26:26" x14ac:dyDescent="0.2">
      <c r="Z21093" t="str">
        <f t="shared" si="329"/>
        <v/>
      </c>
    </row>
    <row r="21094" spans="26:26" x14ac:dyDescent="0.2">
      <c r="Z21094" t="str">
        <f t="shared" si="329"/>
        <v/>
      </c>
    </row>
    <row r="21095" spans="26:26" x14ac:dyDescent="0.2">
      <c r="Z21095" t="str">
        <f t="shared" si="329"/>
        <v/>
      </c>
    </row>
    <row r="21096" spans="26:26" x14ac:dyDescent="0.2">
      <c r="Z21096" t="str">
        <f t="shared" si="329"/>
        <v/>
      </c>
    </row>
    <row r="21097" spans="26:26" x14ac:dyDescent="0.2">
      <c r="Z21097" t="str">
        <f t="shared" si="329"/>
        <v/>
      </c>
    </row>
    <row r="21098" spans="26:26" x14ac:dyDescent="0.2">
      <c r="Z21098" t="str">
        <f t="shared" si="329"/>
        <v/>
      </c>
    </row>
    <row r="21099" spans="26:26" x14ac:dyDescent="0.2">
      <c r="Z21099" t="str">
        <f t="shared" si="329"/>
        <v/>
      </c>
    </row>
    <row r="21100" spans="26:26" x14ac:dyDescent="0.2">
      <c r="Z21100" t="str">
        <f t="shared" si="329"/>
        <v/>
      </c>
    </row>
    <row r="21101" spans="26:26" x14ac:dyDescent="0.2">
      <c r="Z21101" t="str">
        <f t="shared" si="329"/>
        <v/>
      </c>
    </row>
    <row r="21102" spans="26:26" x14ac:dyDescent="0.2">
      <c r="Z21102" t="str">
        <f t="shared" si="329"/>
        <v/>
      </c>
    </row>
    <row r="21103" spans="26:26" x14ac:dyDescent="0.2">
      <c r="Z21103" t="str">
        <f t="shared" si="329"/>
        <v/>
      </c>
    </row>
    <row r="21104" spans="26:26" x14ac:dyDescent="0.2">
      <c r="Z21104" t="str">
        <f t="shared" si="329"/>
        <v/>
      </c>
    </row>
    <row r="21105" spans="26:26" x14ac:dyDescent="0.2">
      <c r="Z21105" t="str">
        <f t="shared" si="329"/>
        <v/>
      </c>
    </row>
    <row r="21106" spans="26:26" x14ac:dyDescent="0.2">
      <c r="Z21106" t="str">
        <f t="shared" si="329"/>
        <v/>
      </c>
    </row>
    <row r="21107" spans="26:26" x14ac:dyDescent="0.2">
      <c r="Z21107" t="str">
        <f t="shared" si="329"/>
        <v/>
      </c>
    </row>
    <row r="21108" spans="26:26" x14ac:dyDescent="0.2">
      <c r="Z21108" t="str">
        <f t="shared" si="329"/>
        <v/>
      </c>
    </row>
    <row r="21109" spans="26:26" x14ac:dyDescent="0.2">
      <c r="Z21109" t="str">
        <f t="shared" si="329"/>
        <v/>
      </c>
    </row>
    <row r="21110" spans="26:26" x14ac:dyDescent="0.2">
      <c r="Z21110" t="str">
        <f t="shared" si="329"/>
        <v/>
      </c>
    </row>
    <row r="21111" spans="26:26" x14ac:dyDescent="0.2">
      <c r="Z21111" t="str">
        <f t="shared" si="329"/>
        <v/>
      </c>
    </row>
    <row r="21112" spans="26:26" x14ac:dyDescent="0.2">
      <c r="Z21112" t="str">
        <f t="shared" si="329"/>
        <v/>
      </c>
    </row>
    <row r="21113" spans="26:26" x14ac:dyDescent="0.2">
      <c r="Z21113" t="str">
        <f t="shared" si="329"/>
        <v/>
      </c>
    </row>
    <row r="21114" spans="26:26" x14ac:dyDescent="0.2">
      <c r="Z21114" t="str">
        <f t="shared" si="329"/>
        <v/>
      </c>
    </row>
    <row r="21115" spans="26:26" x14ac:dyDescent="0.2">
      <c r="Z21115" t="str">
        <f t="shared" si="329"/>
        <v/>
      </c>
    </row>
    <row r="21116" spans="26:26" x14ac:dyDescent="0.2">
      <c r="Z21116" t="str">
        <f t="shared" si="329"/>
        <v/>
      </c>
    </row>
    <row r="21117" spans="26:26" x14ac:dyDescent="0.2">
      <c r="Z21117" t="str">
        <f t="shared" si="329"/>
        <v/>
      </c>
    </row>
    <row r="21118" spans="26:26" x14ac:dyDescent="0.2">
      <c r="Z21118" t="str">
        <f t="shared" si="329"/>
        <v/>
      </c>
    </row>
    <row r="21119" spans="26:26" x14ac:dyDescent="0.2">
      <c r="Z21119" t="str">
        <f t="shared" si="329"/>
        <v/>
      </c>
    </row>
    <row r="21120" spans="26:26" x14ac:dyDescent="0.2">
      <c r="Z21120" t="str">
        <f t="shared" si="329"/>
        <v/>
      </c>
    </row>
    <row r="21121" spans="26:26" x14ac:dyDescent="0.2">
      <c r="Z21121" t="str">
        <f t="shared" si="329"/>
        <v/>
      </c>
    </row>
    <row r="21122" spans="26:26" x14ac:dyDescent="0.2">
      <c r="Z21122" t="str">
        <f t="shared" si="329"/>
        <v/>
      </c>
    </row>
    <row r="21123" spans="26:26" x14ac:dyDescent="0.2">
      <c r="Z21123" t="str">
        <f t="shared" ref="Z21123:Z21186" si="330">IF(K21123="","",IFERROR(VALUE(TRIM(MID(K21123,FIND(CHAR(167),SUBSTITUTE(K21123,"-",CHAR(167),LEN(K21123)-LEN(SUBSTITUTE(K21123,"-",""))))+1,100))),K21123))</f>
        <v/>
      </c>
    </row>
    <row r="21124" spans="26:26" x14ac:dyDescent="0.2">
      <c r="Z21124" t="str">
        <f t="shared" si="330"/>
        <v/>
      </c>
    </row>
    <row r="21125" spans="26:26" x14ac:dyDescent="0.2">
      <c r="Z21125" t="str">
        <f t="shared" si="330"/>
        <v/>
      </c>
    </row>
    <row r="21126" spans="26:26" x14ac:dyDescent="0.2">
      <c r="Z21126" t="str">
        <f t="shared" si="330"/>
        <v/>
      </c>
    </row>
    <row r="21127" spans="26:26" x14ac:dyDescent="0.2">
      <c r="Z21127" t="str">
        <f t="shared" si="330"/>
        <v/>
      </c>
    </row>
    <row r="21128" spans="26:26" x14ac:dyDescent="0.2">
      <c r="Z21128" t="str">
        <f t="shared" si="330"/>
        <v/>
      </c>
    </row>
    <row r="21129" spans="26:26" x14ac:dyDescent="0.2">
      <c r="Z21129" t="str">
        <f t="shared" si="330"/>
        <v/>
      </c>
    </row>
    <row r="21130" spans="26:26" x14ac:dyDescent="0.2">
      <c r="Z21130" t="str">
        <f t="shared" si="330"/>
        <v/>
      </c>
    </row>
    <row r="21131" spans="26:26" x14ac:dyDescent="0.2">
      <c r="Z21131" t="str">
        <f t="shared" si="330"/>
        <v/>
      </c>
    </row>
    <row r="21132" spans="26:26" x14ac:dyDescent="0.2">
      <c r="Z21132" t="str">
        <f t="shared" si="330"/>
        <v/>
      </c>
    </row>
    <row r="21133" spans="26:26" x14ac:dyDescent="0.2">
      <c r="Z21133" t="str">
        <f t="shared" si="330"/>
        <v/>
      </c>
    </row>
    <row r="21134" spans="26:26" x14ac:dyDescent="0.2">
      <c r="Z21134" t="str">
        <f t="shared" si="330"/>
        <v/>
      </c>
    </row>
    <row r="21135" spans="26:26" x14ac:dyDescent="0.2">
      <c r="Z21135" t="str">
        <f t="shared" si="330"/>
        <v/>
      </c>
    </row>
    <row r="21136" spans="26:26" x14ac:dyDescent="0.2">
      <c r="Z21136" t="str">
        <f t="shared" si="330"/>
        <v/>
      </c>
    </row>
    <row r="21137" spans="26:26" x14ac:dyDescent="0.2">
      <c r="Z21137" t="str">
        <f t="shared" si="330"/>
        <v/>
      </c>
    </row>
    <row r="21138" spans="26:26" x14ac:dyDescent="0.2">
      <c r="Z21138" t="str">
        <f t="shared" si="330"/>
        <v/>
      </c>
    </row>
    <row r="21139" spans="26:26" x14ac:dyDescent="0.2">
      <c r="Z21139" t="str">
        <f t="shared" si="330"/>
        <v/>
      </c>
    </row>
    <row r="21140" spans="26:26" x14ac:dyDescent="0.2">
      <c r="Z21140" t="str">
        <f t="shared" si="330"/>
        <v/>
      </c>
    </row>
    <row r="21141" spans="26:26" x14ac:dyDescent="0.2">
      <c r="Z21141" t="str">
        <f t="shared" si="330"/>
        <v/>
      </c>
    </row>
    <row r="21142" spans="26:26" x14ac:dyDescent="0.2">
      <c r="Z21142" t="str">
        <f t="shared" si="330"/>
        <v/>
      </c>
    </row>
    <row r="21143" spans="26:26" x14ac:dyDescent="0.2">
      <c r="Z21143" t="str">
        <f t="shared" si="330"/>
        <v/>
      </c>
    </row>
    <row r="21144" spans="26:26" x14ac:dyDescent="0.2">
      <c r="Z21144" t="str">
        <f t="shared" si="330"/>
        <v/>
      </c>
    </row>
    <row r="21145" spans="26:26" x14ac:dyDescent="0.2">
      <c r="Z21145" t="str">
        <f t="shared" si="330"/>
        <v/>
      </c>
    </row>
    <row r="21146" spans="26:26" x14ac:dyDescent="0.2">
      <c r="Z21146" t="str">
        <f t="shared" si="330"/>
        <v/>
      </c>
    </row>
    <row r="21147" spans="26:26" x14ac:dyDescent="0.2">
      <c r="Z21147" t="str">
        <f t="shared" si="330"/>
        <v/>
      </c>
    </row>
    <row r="21148" spans="26:26" x14ac:dyDescent="0.2">
      <c r="Z21148" t="str">
        <f t="shared" si="330"/>
        <v/>
      </c>
    </row>
    <row r="21149" spans="26:26" x14ac:dyDescent="0.2">
      <c r="Z21149" t="str">
        <f t="shared" si="330"/>
        <v/>
      </c>
    </row>
    <row r="21150" spans="26:26" x14ac:dyDescent="0.2">
      <c r="Z21150" t="str">
        <f t="shared" si="330"/>
        <v/>
      </c>
    </row>
    <row r="21151" spans="26:26" x14ac:dyDescent="0.2">
      <c r="Z21151" t="str">
        <f t="shared" si="330"/>
        <v/>
      </c>
    </row>
    <row r="21152" spans="26:26" x14ac:dyDescent="0.2">
      <c r="Z21152" t="str">
        <f t="shared" si="330"/>
        <v/>
      </c>
    </row>
    <row r="21153" spans="26:26" x14ac:dyDescent="0.2">
      <c r="Z21153" t="str">
        <f t="shared" si="330"/>
        <v/>
      </c>
    </row>
    <row r="21154" spans="26:26" x14ac:dyDescent="0.2">
      <c r="Z21154" t="str">
        <f t="shared" si="330"/>
        <v/>
      </c>
    </row>
    <row r="21155" spans="26:26" x14ac:dyDescent="0.2">
      <c r="Z21155" t="str">
        <f t="shared" si="330"/>
        <v/>
      </c>
    </row>
    <row r="21156" spans="26:26" x14ac:dyDescent="0.2">
      <c r="Z21156" t="str">
        <f t="shared" si="330"/>
        <v/>
      </c>
    </row>
    <row r="21157" spans="26:26" x14ac:dyDescent="0.2">
      <c r="Z21157" t="str">
        <f t="shared" si="330"/>
        <v/>
      </c>
    </row>
    <row r="21158" spans="26:26" x14ac:dyDescent="0.2">
      <c r="Z21158" t="str">
        <f t="shared" si="330"/>
        <v/>
      </c>
    </row>
    <row r="21159" spans="26:26" x14ac:dyDescent="0.2">
      <c r="Z21159" t="str">
        <f t="shared" si="330"/>
        <v/>
      </c>
    </row>
    <row r="21160" spans="26:26" x14ac:dyDescent="0.2">
      <c r="Z21160" t="str">
        <f t="shared" si="330"/>
        <v/>
      </c>
    </row>
    <row r="21161" spans="26:26" x14ac:dyDescent="0.2">
      <c r="Z21161" t="str">
        <f t="shared" si="330"/>
        <v/>
      </c>
    </row>
    <row r="21162" spans="26:26" x14ac:dyDescent="0.2">
      <c r="Z21162" t="str">
        <f t="shared" si="330"/>
        <v/>
      </c>
    </row>
    <row r="21163" spans="26:26" x14ac:dyDescent="0.2">
      <c r="Z21163" t="str">
        <f t="shared" si="330"/>
        <v/>
      </c>
    </row>
    <row r="21164" spans="26:26" x14ac:dyDescent="0.2">
      <c r="Z21164" t="str">
        <f t="shared" si="330"/>
        <v/>
      </c>
    </row>
    <row r="21165" spans="26:26" x14ac:dyDescent="0.2">
      <c r="Z21165" t="str">
        <f t="shared" si="330"/>
        <v/>
      </c>
    </row>
    <row r="21166" spans="26:26" x14ac:dyDescent="0.2">
      <c r="Z21166" t="str">
        <f t="shared" si="330"/>
        <v/>
      </c>
    </row>
    <row r="21167" spans="26:26" x14ac:dyDescent="0.2">
      <c r="Z21167" t="str">
        <f t="shared" si="330"/>
        <v/>
      </c>
    </row>
    <row r="21168" spans="26:26" x14ac:dyDescent="0.2">
      <c r="Z21168" t="str">
        <f t="shared" si="330"/>
        <v/>
      </c>
    </row>
    <row r="21169" spans="26:26" x14ac:dyDescent="0.2">
      <c r="Z21169" t="str">
        <f t="shared" si="330"/>
        <v/>
      </c>
    </row>
    <row r="21170" spans="26:26" x14ac:dyDescent="0.2">
      <c r="Z21170" t="str">
        <f t="shared" si="330"/>
        <v/>
      </c>
    </row>
    <row r="21171" spans="26:26" x14ac:dyDescent="0.2">
      <c r="Z21171" t="str">
        <f t="shared" si="330"/>
        <v/>
      </c>
    </row>
    <row r="21172" spans="26:26" x14ac:dyDescent="0.2">
      <c r="Z21172" t="str">
        <f t="shared" si="330"/>
        <v/>
      </c>
    </row>
    <row r="21173" spans="26:26" x14ac:dyDescent="0.2">
      <c r="Z21173" t="str">
        <f t="shared" si="330"/>
        <v/>
      </c>
    </row>
    <row r="21174" spans="26:26" x14ac:dyDescent="0.2">
      <c r="Z21174" t="str">
        <f t="shared" si="330"/>
        <v/>
      </c>
    </row>
    <row r="21175" spans="26:26" x14ac:dyDescent="0.2">
      <c r="Z21175" t="str">
        <f t="shared" si="330"/>
        <v/>
      </c>
    </row>
    <row r="21176" spans="26:26" x14ac:dyDescent="0.2">
      <c r="Z21176" t="str">
        <f t="shared" si="330"/>
        <v/>
      </c>
    </row>
    <row r="21177" spans="26:26" x14ac:dyDescent="0.2">
      <c r="Z21177" t="str">
        <f t="shared" si="330"/>
        <v/>
      </c>
    </row>
    <row r="21178" spans="26:26" x14ac:dyDescent="0.2">
      <c r="Z21178" t="str">
        <f t="shared" si="330"/>
        <v/>
      </c>
    </row>
    <row r="21179" spans="26:26" x14ac:dyDescent="0.2">
      <c r="Z21179" t="str">
        <f t="shared" si="330"/>
        <v/>
      </c>
    </row>
    <row r="21180" spans="26:26" x14ac:dyDescent="0.2">
      <c r="Z21180" t="str">
        <f t="shared" si="330"/>
        <v/>
      </c>
    </row>
    <row r="21181" spans="26:26" x14ac:dyDescent="0.2">
      <c r="Z21181" t="str">
        <f t="shared" si="330"/>
        <v/>
      </c>
    </row>
    <row r="21182" spans="26:26" x14ac:dyDescent="0.2">
      <c r="Z21182" t="str">
        <f t="shared" si="330"/>
        <v/>
      </c>
    </row>
    <row r="21183" spans="26:26" x14ac:dyDescent="0.2">
      <c r="Z21183" t="str">
        <f t="shared" si="330"/>
        <v/>
      </c>
    </row>
    <row r="21184" spans="26:26" x14ac:dyDescent="0.2">
      <c r="Z21184" t="str">
        <f t="shared" si="330"/>
        <v/>
      </c>
    </row>
    <row r="21185" spans="26:26" x14ac:dyDescent="0.2">
      <c r="Z21185" t="str">
        <f t="shared" si="330"/>
        <v/>
      </c>
    </row>
    <row r="21186" spans="26:26" x14ac:dyDescent="0.2">
      <c r="Z21186" t="str">
        <f t="shared" si="330"/>
        <v/>
      </c>
    </row>
    <row r="21187" spans="26:26" x14ac:dyDescent="0.2">
      <c r="Z21187" t="str">
        <f t="shared" ref="Z21187:Z21250" si="331">IF(K21187="","",IFERROR(VALUE(TRIM(MID(K21187,FIND(CHAR(167),SUBSTITUTE(K21187,"-",CHAR(167),LEN(K21187)-LEN(SUBSTITUTE(K21187,"-",""))))+1,100))),K21187))</f>
        <v/>
      </c>
    </row>
    <row r="21188" spans="26:26" x14ac:dyDescent="0.2">
      <c r="Z21188" t="str">
        <f t="shared" si="331"/>
        <v/>
      </c>
    </row>
    <row r="21189" spans="26:26" x14ac:dyDescent="0.2">
      <c r="Z21189" t="str">
        <f t="shared" si="331"/>
        <v/>
      </c>
    </row>
    <row r="21190" spans="26:26" x14ac:dyDescent="0.2">
      <c r="Z21190" t="str">
        <f t="shared" si="331"/>
        <v/>
      </c>
    </row>
    <row r="21191" spans="26:26" x14ac:dyDescent="0.2">
      <c r="Z21191" t="str">
        <f t="shared" si="331"/>
        <v/>
      </c>
    </row>
    <row r="21192" spans="26:26" x14ac:dyDescent="0.2">
      <c r="Z21192" t="str">
        <f t="shared" si="331"/>
        <v/>
      </c>
    </row>
    <row r="21193" spans="26:26" x14ac:dyDescent="0.2">
      <c r="Z21193" t="str">
        <f t="shared" si="331"/>
        <v/>
      </c>
    </row>
    <row r="21194" spans="26:26" x14ac:dyDescent="0.2">
      <c r="Z21194" t="str">
        <f t="shared" si="331"/>
        <v/>
      </c>
    </row>
    <row r="21195" spans="26:26" x14ac:dyDescent="0.2">
      <c r="Z21195" t="str">
        <f t="shared" si="331"/>
        <v/>
      </c>
    </row>
    <row r="21196" spans="26:26" x14ac:dyDescent="0.2">
      <c r="Z21196" t="str">
        <f t="shared" si="331"/>
        <v/>
      </c>
    </row>
    <row r="21197" spans="26:26" x14ac:dyDescent="0.2">
      <c r="Z21197" t="str">
        <f t="shared" si="331"/>
        <v/>
      </c>
    </row>
    <row r="21198" spans="26:26" x14ac:dyDescent="0.2">
      <c r="Z21198" t="str">
        <f t="shared" si="331"/>
        <v/>
      </c>
    </row>
    <row r="21199" spans="26:26" x14ac:dyDescent="0.2">
      <c r="Z21199" t="str">
        <f t="shared" si="331"/>
        <v/>
      </c>
    </row>
    <row r="21200" spans="26:26" x14ac:dyDescent="0.2">
      <c r="Z21200" t="str">
        <f t="shared" si="331"/>
        <v/>
      </c>
    </row>
    <row r="21201" spans="26:26" x14ac:dyDescent="0.2">
      <c r="Z21201" t="str">
        <f t="shared" si="331"/>
        <v/>
      </c>
    </row>
    <row r="21202" spans="26:26" x14ac:dyDescent="0.2">
      <c r="Z21202" t="str">
        <f t="shared" si="331"/>
        <v/>
      </c>
    </row>
    <row r="21203" spans="26:26" x14ac:dyDescent="0.2">
      <c r="Z21203" t="str">
        <f t="shared" si="331"/>
        <v/>
      </c>
    </row>
    <row r="21204" spans="26:26" x14ac:dyDescent="0.2">
      <c r="Z21204" t="str">
        <f t="shared" si="331"/>
        <v/>
      </c>
    </row>
    <row r="21205" spans="26:26" x14ac:dyDescent="0.2">
      <c r="Z21205" t="str">
        <f t="shared" si="331"/>
        <v/>
      </c>
    </row>
    <row r="21206" spans="26:26" x14ac:dyDescent="0.2">
      <c r="Z21206" t="str">
        <f t="shared" si="331"/>
        <v/>
      </c>
    </row>
    <row r="21207" spans="26:26" x14ac:dyDescent="0.2">
      <c r="Z21207" t="str">
        <f t="shared" si="331"/>
        <v/>
      </c>
    </row>
    <row r="21208" spans="26:26" x14ac:dyDescent="0.2">
      <c r="Z21208" t="str">
        <f t="shared" si="331"/>
        <v/>
      </c>
    </row>
    <row r="21209" spans="26:26" x14ac:dyDescent="0.2">
      <c r="Z21209" t="str">
        <f t="shared" si="331"/>
        <v/>
      </c>
    </row>
    <row r="21210" spans="26:26" x14ac:dyDescent="0.2">
      <c r="Z21210" t="str">
        <f t="shared" si="331"/>
        <v/>
      </c>
    </row>
    <row r="21211" spans="26:26" x14ac:dyDescent="0.2">
      <c r="Z21211" t="str">
        <f t="shared" si="331"/>
        <v/>
      </c>
    </row>
    <row r="21212" spans="26:26" x14ac:dyDescent="0.2">
      <c r="Z21212" t="str">
        <f t="shared" si="331"/>
        <v/>
      </c>
    </row>
    <row r="21213" spans="26:26" x14ac:dyDescent="0.2">
      <c r="Z21213" t="str">
        <f t="shared" si="331"/>
        <v/>
      </c>
    </row>
    <row r="21214" spans="26:26" x14ac:dyDescent="0.2">
      <c r="Z21214" t="str">
        <f t="shared" si="331"/>
        <v/>
      </c>
    </row>
    <row r="21215" spans="26:26" x14ac:dyDescent="0.2">
      <c r="Z21215" t="str">
        <f t="shared" si="331"/>
        <v/>
      </c>
    </row>
    <row r="21216" spans="26:26" x14ac:dyDescent="0.2">
      <c r="Z21216" t="str">
        <f t="shared" si="331"/>
        <v/>
      </c>
    </row>
    <row r="21217" spans="26:26" x14ac:dyDescent="0.2">
      <c r="Z21217" t="str">
        <f t="shared" si="331"/>
        <v/>
      </c>
    </row>
    <row r="21218" spans="26:26" x14ac:dyDescent="0.2">
      <c r="Z21218" t="str">
        <f t="shared" si="331"/>
        <v/>
      </c>
    </row>
    <row r="21219" spans="26:26" x14ac:dyDescent="0.2">
      <c r="Z21219" t="str">
        <f t="shared" si="331"/>
        <v/>
      </c>
    </row>
    <row r="21220" spans="26:26" x14ac:dyDescent="0.2">
      <c r="Z21220" t="str">
        <f t="shared" si="331"/>
        <v/>
      </c>
    </row>
    <row r="21221" spans="26:26" x14ac:dyDescent="0.2">
      <c r="Z21221" t="str">
        <f t="shared" si="331"/>
        <v/>
      </c>
    </row>
    <row r="21222" spans="26:26" x14ac:dyDescent="0.2">
      <c r="Z21222" t="str">
        <f t="shared" si="331"/>
        <v/>
      </c>
    </row>
    <row r="21223" spans="26:26" x14ac:dyDescent="0.2">
      <c r="Z21223" t="str">
        <f t="shared" si="331"/>
        <v/>
      </c>
    </row>
    <row r="21224" spans="26:26" x14ac:dyDescent="0.2">
      <c r="Z21224" t="str">
        <f t="shared" si="331"/>
        <v/>
      </c>
    </row>
    <row r="21225" spans="26:26" x14ac:dyDescent="0.2">
      <c r="Z21225" t="str">
        <f t="shared" si="331"/>
        <v/>
      </c>
    </row>
    <row r="21226" spans="26:26" x14ac:dyDescent="0.2">
      <c r="Z21226" t="str">
        <f t="shared" si="331"/>
        <v/>
      </c>
    </row>
    <row r="21227" spans="26:26" x14ac:dyDescent="0.2">
      <c r="Z21227" t="str">
        <f t="shared" si="331"/>
        <v/>
      </c>
    </row>
    <row r="21228" spans="26:26" x14ac:dyDescent="0.2">
      <c r="Z21228" t="str">
        <f t="shared" si="331"/>
        <v/>
      </c>
    </row>
    <row r="21229" spans="26:26" x14ac:dyDescent="0.2">
      <c r="Z21229" t="str">
        <f t="shared" si="331"/>
        <v/>
      </c>
    </row>
    <row r="21230" spans="26:26" x14ac:dyDescent="0.2">
      <c r="Z21230" t="str">
        <f t="shared" si="331"/>
        <v/>
      </c>
    </row>
    <row r="21231" spans="26:26" x14ac:dyDescent="0.2">
      <c r="Z21231" t="str">
        <f t="shared" si="331"/>
        <v/>
      </c>
    </row>
    <row r="21232" spans="26:26" x14ac:dyDescent="0.2">
      <c r="Z21232" t="str">
        <f t="shared" si="331"/>
        <v/>
      </c>
    </row>
    <row r="21233" spans="26:26" x14ac:dyDescent="0.2">
      <c r="Z21233" t="str">
        <f t="shared" si="331"/>
        <v/>
      </c>
    </row>
    <row r="21234" spans="26:26" x14ac:dyDescent="0.2">
      <c r="Z21234" t="str">
        <f t="shared" si="331"/>
        <v/>
      </c>
    </row>
    <row r="21235" spans="26:26" x14ac:dyDescent="0.2">
      <c r="Z21235" t="str">
        <f t="shared" si="331"/>
        <v/>
      </c>
    </row>
    <row r="21236" spans="26:26" x14ac:dyDescent="0.2">
      <c r="Z21236" t="str">
        <f t="shared" si="331"/>
        <v/>
      </c>
    </row>
    <row r="21237" spans="26:26" x14ac:dyDescent="0.2">
      <c r="Z21237" t="str">
        <f t="shared" si="331"/>
        <v/>
      </c>
    </row>
    <row r="21238" spans="26:26" x14ac:dyDescent="0.2">
      <c r="Z21238" t="str">
        <f t="shared" si="331"/>
        <v/>
      </c>
    </row>
    <row r="21239" spans="26:26" x14ac:dyDescent="0.2">
      <c r="Z21239" t="str">
        <f t="shared" si="331"/>
        <v/>
      </c>
    </row>
    <row r="21240" spans="26:26" x14ac:dyDescent="0.2">
      <c r="Z21240" t="str">
        <f t="shared" si="331"/>
        <v/>
      </c>
    </row>
    <row r="21241" spans="26:26" x14ac:dyDescent="0.2">
      <c r="Z21241" t="str">
        <f t="shared" si="331"/>
        <v/>
      </c>
    </row>
    <row r="21242" spans="26:26" x14ac:dyDescent="0.2">
      <c r="Z21242" t="str">
        <f t="shared" si="331"/>
        <v/>
      </c>
    </row>
    <row r="21243" spans="26:26" x14ac:dyDescent="0.2">
      <c r="Z21243" t="str">
        <f t="shared" si="331"/>
        <v/>
      </c>
    </row>
    <row r="21244" spans="26:26" x14ac:dyDescent="0.2">
      <c r="Z21244" t="str">
        <f t="shared" si="331"/>
        <v/>
      </c>
    </row>
    <row r="21245" spans="26:26" x14ac:dyDescent="0.2">
      <c r="Z21245" t="str">
        <f t="shared" si="331"/>
        <v/>
      </c>
    </row>
    <row r="21246" spans="26:26" x14ac:dyDescent="0.2">
      <c r="Z21246" t="str">
        <f t="shared" si="331"/>
        <v/>
      </c>
    </row>
    <row r="21247" spans="26:26" x14ac:dyDescent="0.2">
      <c r="Z21247" t="str">
        <f t="shared" si="331"/>
        <v/>
      </c>
    </row>
    <row r="21248" spans="26:26" x14ac:dyDescent="0.2">
      <c r="Z21248" t="str">
        <f t="shared" si="331"/>
        <v/>
      </c>
    </row>
    <row r="21249" spans="26:26" x14ac:dyDescent="0.2">
      <c r="Z21249" t="str">
        <f t="shared" si="331"/>
        <v/>
      </c>
    </row>
    <row r="21250" spans="26:26" x14ac:dyDescent="0.2">
      <c r="Z21250" t="str">
        <f t="shared" si="331"/>
        <v/>
      </c>
    </row>
    <row r="21251" spans="26:26" x14ac:dyDescent="0.2">
      <c r="Z21251" t="str">
        <f t="shared" ref="Z21251:Z21314" si="332">IF(K21251="","",IFERROR(VALUE(TRIM(MID(K21251,FIND(CHAR(167),SUBSTITUTE(K21251,"-",CHAR(167),LEN(K21251)-LEN(SUBSTITUTE(K21251,"-",""))))+1,100))),K21251))</f>
        <v/>
      </c>
    </row>
    <row r="21252" spans="26:26" x14ac:dyDescent="0.2">
      <c r="Z21252" t="str">
        <f t="shared" si="332"/>
        <v/>
      </c>
    </row>
    <row r="21253" spans="26:26" x14ac:dyDescent="0.2">
      <c r="Z21253" t="str">
        <f t="shared" si="332"/>
        <v/>
      </c>
    </row>
    <row r="21254" spans="26:26" x14ac:dyDescent="0.2">
      <c r="Z21254" t="str">
        <f t="shared" si="332"/>
        <v/>
      </c>
    </row>
    <row r="21255" spans="26:26" x14ac:dyDescent="0.2">
      <c r="Z21255" t="str">
        <f t="shared" si="332"/>
        <v/>
      </c>
    </row>
    <row r="21256" spans="26:26" x14ac:dyDescent="0.2">
      <c r="Z21256" t="str">
        <f t="shared" si="332"/>
        <v/>
      </c>
    </row>
    <row r="21257" spans="26:26" x14ac:dyDescent="0.2">
      <c r="Z21257" t="str">
        <f t="shared" si="332"/>
        <v/>
      </c>
    </row>
    <row r="21258" spans="26:26" x14ac:dyDescent="0.2">
      <c r="Z21258" t="str">
        <f t="shared" si="332"/>
        <v/>
      </c>
    </row>
    <row r="21259" spans="26:26" x14ac:dyDescent="0.2">
      <c r="Z21259" t="str">
        <f t="shared" si="332"/>
        <v/>
      </c>
    </row>
    <row r="21260" spans="26:26" x14ac:dyDescent="0.2">
      <c r="Z21260" t="str">
        <f t="shared" si="332"/>
        <v/>
      </c>
    </row>
    <row r="21261" spans="26:26" x14ac:dyDescent="0.2">
      <c r="Z21261" t="str">
        <f t="shared" si="332"/>
        <v/>
      </c>
    </row>
    <row r="21262" spans="26:26" x14ac:dyDescent="0.2">
      <c r="Z21262" t="str">
        <f t="shared" si="332"/>
        <v/>
      </c>
    </row>
    <row r="21263" spans="26:26" x14ac:dyDescent="0.2">
      <c r="Z21263" t="str">
        <f t="shared" si="332"/>
        <v/>
      </c>
    </row>
    <row r="21264" spans="26:26" x14ac:dyDescent="0.2">
      <c r="Z21264" t="str">
        <f t="shared" si="332"/>
        <v/>
      </c>
    </row>
    <row r="21265" spans="26:26" x14ac:dyDescent="0.2">
      <c r="Z21265" t="str">
        <f t="shared" si="332"/>
        <v/>
      </c>
    </row>
    <row r="21266" spans="26:26" x14ac:dyDescent="0.2">
      <c r="Z21266" t="str">
        <f t="shared" si="332"/>
        <v/>
      </c>
    </row>
    <row r="21267" spans="26:26" x14ac:dyDescent="0.2">
      <c r="Z21267" t="str">
        <f t="shared" si="332"/>
        <v/>
      </c>
    </row>
    <row r="21268" spans="26:26" x14ac:dyDescent="0.2">
      <c r="Z21268" t="str">
        <f t="shared" si="332"/>
        <v/>
      </c>
    </row>
    <row r="21269" spans="26:26" x14ac:dyDescent="0.2">
      <c r="Z21269" t="str">
        <f t="shared" si="332"/>
        <v/>
      </c>
    </row>
    <row r="21270" spans="26:26" x14ac:dyDescent="0.2">
      <c r="Z21270" t="str">
        <f t="shared" si="332"/>
        <v/>
      </c>
    </row>
    <row r="21271" spans="26:26" x14ac:dyDescent="0.2">
      <c r="Z21271" t="str">
        <f t="shared" si="332"/>
        <v/>
      </c>
    </row>
    <row r="21272" spans="26:26" x14ac:dyDescent="0.2">
      <c r="Z21272" t="str">
        <f t="shared" si="332"/>
        <v/>
      </c>
    </row>
    <row r="21273" spans="26:26" x14ac:dyDescent="0.2">
      <c r="Z21273" t="str">
        <f t="shared" si="332"/>
        <v/>
      </c>
    </row>
    <row r="21274" spans="26:26" x14ac:dyDescent="0.2">
      <c r="Z21274" t="str">
        <f t="shared" si="332"/>
        <v/>
      </c>
    </row>
    <row r="21275" spans="26:26" x14ac:dyDescent="0.2">
      <c r="Z21275" t="str">
        <f t="shared" si="332"/>
        <v/>
      </c>
    </row>
    <row r="21276" spans="26:26" x14ac:dyDescent="0.2">
      <c r="Z21276" t="str">
        <f t="shared" si="332"/>
        <v/>
      </c>
    </row>
    <row r="21277" spans="26:26" x14ac:dyDescent="0.2">
      <c r="Z21277" t="str">
        <f t="shared" si="332"/>
        <v/>
      </c>
    </row>
    <row r="21278" spans="26:26" x14ac:dyDescent="0.2">
      <c r="Z21278" t="str">
        <f t="shared" si="332"/>
        <v/>
      </c>
    </row>
    <row r="21279" spans="26:26" x14ac:dyDescent="0.2">
      <c r="Z21279" t="str">
        <f t="shared" si="332"/>
        <v/>
      </c>
    </row>
    <row r="21280" spans="26:26" x14ac:dyDescent="0.2">
      <c r="Z21280" t="str">
        <f t="shared" si="332"/>
        <v/>
      </c>
    </row>
    <row r="21281" spans="26:26" x14ac:dyDescent="0.2">
      <c r="Z21281" t="str">
        <f t="shared" si="332"/>
        <v/>
      </c>
    </row>
    <row r="21282" spans="26:26" x14ac:dyDescent="0.2">
      <c r="Z21282" t="str">
        <f t="shared" si="332"/>
        <v/>
      </c>
    </row>
    <row r="21283" spans="26:26" x14ac:dyDescent="0.2">
      <c r="Z21283" t="str">
        <f t="shared" si="332"/>
        <v/>
      </c>
    </row>
    <row r="21284" spans="26:26" x14ac:dyDescent="0.2">
      <c r="Z21284" t="str">
        <f t="shared" si="332"/>
        <v/>
      </c>
    </row>
    <row r="21285" spans="26:26" x14ac:dyDescent="0.2">
      <c r="Z21285" t="str">
        <f t="shared" si="332"/>
        <v/>
      </c>
    </row>
    <row r="21286" spans="26:26" x14ac:dyDescent="0.2">
      <c r="Z21286" t="str">
        <f t="shared" si="332"/>
        <v/>
      </c>
    </row>
    <row r="21287" spans="26:26" x14ac:dyDescent="0.2">
      <c r="Z21287" t="str">
        <f t="shared" si="332"/>
        <v/>
      </c>
    </row>
    <row r="21288" spans="26:26" x14ac:dyDescent="0.2">
      <c r="Z21288" t="str">
        <f t="shared" si="332"/>
        <v/>
      </c>
    </row>
    <row r="21289" spans="26:26" x14ac:dyDescent="0.2">
      <c r="Z21289" t="str">
        <f t="shared" si="332"/>
        <v/>
      </c>
    </row>
    <row r="21290" spans="26:26" x14ac:dyDescent="0.2">
      <c r="Z21290" t="str">
        <f t="shared" si="332"/>
        <v/>
      </c>
    </row>
    <row r="21291" spans="26:26" x14ac:dyDescent="0.2">
      <c r="Z21291" t="str">
        <f t="shared" si="332"/>
        <v/>
      </c>
    </row>
    <row r="21292" spans="26:26" x14ac:dyDescent="0.2">
      <c r="Z21292" t="str">
        <f t="shared" si="332"/>
        <v/>
      </c>
    </row>
    <row r="21293" spans="26:26" x14ac:dyDescent="0.2">
      <c r="Z21293" t="str">
        <f t="shared" si="332"/>
        <v/>
      </c>
    </row>
    <row r="21294" spans="26:26" x14ac:dyDescent="0.2">
      <c r="Z21294" t="str">
        <f t="shared" si="332"/>
        <v/>
      </c>
    </row>
    <row r="21295" spans="26:26" x14ac:dyDescent="0.2">
      <c r="Z21295" t="str">
        <f t="shared" si="332"/>
        <v/>
      </c>
    </row>
    <row r="21296" spans="26:26" x14ac:dyDescent="0.2">
      <c r="Z21296" t="str">
        <f t="shared" si="332"/>
        <v/>
      </c>
    </row>
    <row r="21297" spans="26:26" x14ac:dyDescent="0.2">
      <c r="Z21297" t="str">
        <f t="shared" si="332"/>
        <v/>
      </c>
    </row>
    <row r="21298" spans="26:26" x14ac:dyDescent="0.2">
      <c r="Z21298" t="str">
        <f t="shared" si="332"/>
        <v/>
      </c>
    </row>
    <row r="21299" spans="26:26" x14ac:dyDescent="0.2">
      <c r="Z21299" t="str">
        <f t="shared" si="332"/>
        <v/>
      </c>
    </row>
    <row r="21300" spans="26:26" x14ac:dyDescent="0.2">
      <c r="Z21300" t="str">
        <f t="shared" si="332"/>
        <v/>
      </c>
    </row>
    <row r="21301" spans="26:26" x14ac:dyDescent="0.2">
      <c r="Z21301" t="str">
        <f t="shared" si="332"/>
        <v/>
      </c>
    </row>
    <row r="21302" spans="26:26" x14ac:dyDescent="0.2">
      <c r="Z21302" t="str">
        <f t="shared" si="332"/>
        <v/>
      </c>
    </row>
    <row r="21303" spans="26:26" x14ac:dyDescent="0.2">
      <c r="Z21303" t="str">
        <f t="shared" si="332"/>
        <v/>
      </c>
    </row>
    <row r="21304" spans="26:26" x14ac:dyDescent="0.2">
      <c r="Z21304" t="str">
        <f t="shared" si="332"/>
        <v/>
      </c>
    </row>
    <row r="21305" spans="26:26" x14ac:dyDescent="0.2">
      <c r="Z21305" t="str">
        <f t="shared" si="332"/>
        <v/>
      </c>
    </row>
    <row r="21306" spans="26:26" x14ac:dyDescent="0.2">
      <c r="Z21306" t="str">
        <f t="shared" si="332"/>
        <v/>
      </c>
    </row>
    <row r="21307" spans="26:26" x14ac:dyDescent="0.2">
      <c r="Z21307" t="str">
        <f t="shared" si="332"/>
        <v/>
      </c>
    </row>
    <row r="21308" spans="26:26" x14ac:dyDescent="0.2">
      <c r="Z21308" t="str">
        <f t="shared" si="332"/>
        <v/>
      </c>
    </row>
    <row r="21309" spans="26:26" x14ac:dyDescent="0.2">
      <c r="Z21309" t="str">
        <f t="shared" si="332"/>
        <v/>
      </c>
    </row>
    <row r="21310" spans="26:26" x14ac:dyDescent="0.2">
      <c r="Z21310" t="str">
        <f t="shared" si="332"/>
        <v/>
      </c>
    </row>
    <row r="21311" spans="26:26" x14ac:dyDescent="0.2">
      <c r="Z21311" t="str">
        <f t="shared" si="332"/>
        <v/>
      </c>
    </row>
    <row r="21312" spans="26:26" x14ac:dyDescent="0.2">
      <c r="Z21312" t="str">
        <f t="shared" si="332"/>
        <v/>
      </c>
    </row>
    <row r="21313" spans="26:26" x14ac:dyDescent="0.2">
      <c r="Z21313" t="str">
        <f t="shared" si="332"/>
        <v/>
      </c>
    </row>
    <row r="21314" spans="26:26" x14ac:dyDescent="0.2">
      <c r="Z21314" t="str">
        <f t="shared" si="332"/>
        <v/>
      </c>
    </row>
    <row r="21315" spans="26:26" x14ac:dyDescent="0.2">
      <c r="Z21315" t="str">
        <f t="shared" ref="Z21315:Z21378" si="333">IF(K21315="","",IFERROR(VALUE(TRIM(MID(K21315,FIND(CHAR(167),SUBSTITUTE(K21315,"-",CHAR(167),LEN(K21315)-LEN(SUBSTITUTE(K21315,"-",""))))+1,100))),K21315))</f>
        <v/>
      </c>
    </row>
    <row r="21316" spans="26:26" x14ac:dyDescent="0.2">
      <c r="Z21316" t="str">
        <f t="shared" si="333"/>
        <v/>
      </c>
    </row>
    <row r="21317" spans="26:26" x14ac:dyDescent="0.2">
      <c r="Z21317" t="str">
        <f t="shared" si="333"/>
        <v/>
      </c>
    </row>
    <row r="21318" spans="26:26" x14ac:dyDescent="0.2">
      <c r="Z21318" t="str">
        <f t="shared" si="333"/>
        <v/>
      </c>
    </row>
    <row r="21319" spans="26:26" x14ac:dyDescent="0.2">
      <c r="Z21319" t="str">
        <f t="shared" si="333"/>
        <v/>
      </c>
    </row>
    <row r="21320" spans="26:26" x14ac:dyDescent="0.2">
      <c r="Z21320" t="str">
        <f t="shared" si="333"/>
        <v/>
      </c>
    </row>
    <row r="21321" spans="26:26" x14ac:dyDescent="0.2">
      <c r="Z21321" t="str">
        <f t="shared" si="333"/>
        <v/>
      </c>
    </row>
    <row r="21322" spans="26:26" x14ac:dyDescent="0.2">
      <c r="Z21322" t="str">
        <f t="shared" si="333"/>
        <v/>
      </c>
    </row>
    <row r="21323" spans="26:26" x14ac:dyDescent="0.2">
      <c r="Z21323" t="str">
        <f t="shared" si="333"/>
        <v/>
      </c>
    </row>
    <row r="21324" spans="26:26" x14ac:dyDescent="0.2">
      <c r="Z21324" t="str">
        <f t="shared" si="333"/>
        <v/>
      </c>
    </row>
    <row r="21325" spans="26:26" x14ac:dyDescent="0.2">
      <c r="Z21325" t="str">
        <f t="shared" si="333"/>
        <v/>
      </c>
    </row>
    <row r="21326" spans="26:26" x14ac:dyDescent="0.2">
      <c r="Z21326" t="str">
        <f t="shared" si="333"/>
        <v/>
      </c>
    </row>
    <row r="21327" spans="26:26" x14ac:dyDescent="0.2">
      <c r="Z21327" t="str">
        <f t="shared" si="333"/>
        <v/>
      </c>
    </row>
    <row r="21328" spans="26:26" x14ac:dyDescent="0.2">
      <c r="Z21328" t="str">
        <f t="shared" si="333"/>
        <v/>
      </c>
    </row>
    <row r="21329" spans="26:26" x14ac:dyDescent="0.2">
      <c r="Z21329" t="str">
        <f t="shared" si="333"/>
        <v/>
      </c>
    </row>
    <row r="21330" spans="26:26" x14ac:dyDescent="0.2">
      <c r="Z21330" t="str">
        <f t="shared" si="333"/>
        <v/>
      </c>
    </row>
    <row r="21331" spans="26:26" x14ac:dyDescent="0.2">
      <c r="Z21331" t="str">
        <f t="shared" si="333"/>
        <v/>
      </c>
    </row>
    <row r="21332" spans="26:26" x14ac:dyDescent="0.2">
      <c r="Z21332" t="str">
        <f t="shared" si="333"/>
        <v/>
      </c>
    </row>
    <row r="21333" spans="26:26" x14ac:dyDescent="0.2">
      <c r="Z21333" t="str">
        <f t="shared" si="333"/>
        <v/>
      </c>
    </row>
    <row r="21334" spans="26:26" x14ac:dyDescent="0.2">
      <c r="Z21334" t="str">
        <f t="shared" si="333"/>
        <v/>
      </c>
    </row>
    <row r="21335" spans="26:26" x14ac:dyDescent="0.2">
      <c r="Z21335" t="str">
        <f t="shared" si="333"/>
        <v/>
      </c>
    </row>
    <row r="21336" spans="26:26" x14ac:dyDescent="0.2">
      <c r="Z21336" t="str">
        <f t="shared" si="333"/>
        <v/>
      </c>
    </row>
    <row r="21337" spans="26:26" x14ac:dyDescent="0.2">
      <c r="Z21337" t="str">
        <f t="shared" si="333"/>
        <v/>
      </c>
    </row>
    <row r="21338" spans="26:26" x14ac:dyDescent="0.2">
      <c r="Z21338" t="str">
        <f t="shared" si="333"/>
        <v/>
      </c>
    </row>
    <row r="21339" spans="26:26" x14ac:dyDescent="0.2">
      <c r="Z21339" t="str">
        <f t="shared" si="333"/>
        <v/>
      </c>
    </row>
    <row r="21340" spans="26:26" x14ac:dyDescent="0.2">
      <c r="Z21340" t="str">
        <f t="shared" si="333"/>
        <v/>
      </c>
    </row>
    <row r="21341" spans="26:26" x14ac:dyDescent="0.2">
      <c r="Z21341" t="str">
        <f t="shared" si="333"/>
        <v/>
      </c>
    </row>
    <row r="21342" spans="26:26" x14ac:dyDescent="0.2">
      <c r="Z21342" t="str">
        <f t="shared" si="333"/>
        <v/>
      </c>
    </row>
    <row r="21343" spans="26:26" x14ac:dyDescent="0.2">
      <c r="Z21343" t="str">
        <f t="shared" si="333"/>
        <v/>
      </c>
    </row>
    <row r="21344" spans="26:26" x14ac:dyDescent="0.2">
      <c r="Z21344" t="str">
        <f t="shared" si="333"/>
        <v/>
      </c>
    </row>
    <row r="21345" spans="26:26" x14ac:dyDescent="0.2">
      <c r="Z21345" t="str">
        <f t="shared" si="333"/>
        <v/>
      </c>
    </row>
    <row r="21346" spans="26:26" x14ac:dyDescent="0.2">
      <c r="Z21346" t="str">
        <f t="shared" si="333"/>
        <v/>
      </c>
    </row>
    <row r="21347" spans="26:26" x14ac:dyDescent="0.2">
      <c r="Z21347" t="str">
        <f t="shared" si="333"/>
        <v/>
      </c>
    </row>
    <row r="21348" spans="26:26" x14ac:dyDescent="0.2">
      <c r="Z21348" t="str">
        <f t="shared" si="333"/>
        <v/>
      </c>
    </row>
    <row r="21349" spans="26:26" x14ac:dyDescent="0.2">
      <c r="Z21349" t="str">
        <f t="shared" si="333"/>
        <v/>
      </c>
    </row>
    <row r="21350" spans="26:26" x14ac:dyDescent="0.2">
      <c r="Z21350" t="str">
        <f t="shared" si="333"/>
        <v/>
      </c>
    </row>
    <row r="21351" spans="26:26" x14ac:dyDescent="0.2">
      <c r="Z21351" t="str">
        <f t="shared" si="333"/>
        <v/>
      </c>
    </row>
    <row r="21352" spans="26:26" x14ac:dyDescent="0.2">
      <c r="Z21352" t="str">
        <f t="shared" si="333"/>
        <v/>
      </c>
    </row>
    <row r="21353" spans="26:26" x14ac:dyDescent="0.2">
      <c r="Z21353" t="str">
        <f t="shared" si="333"/>
        <v/>
      </c>
    </row>
    <row r="21354" spans="26:26" x14ac:dyDescent="0.2">
      <c r="Z21354" t="str">
        <f t="shared" si="333"/>
        <v/>
      </c>
    </row>
    <row r="21355" spans="26:26" x14ac:dyDescent="0.2">
      <c r="Z21355" t="str">
        <f t="shared" si="333"/>
        <v/>
      </c>
    </row>
    <row r="21356" spans="26:26" x14ac:dyDescent="0.2">
      <c r="Z21356" t="str">
        <f t="shared" si="333"/>
        <v/>
      </c>
    </row>
    <row r="21357" spans="26:26" x14ac:dyDescent="0.2">
      <c r="Z21357" t="str">
        <f t="shared" si="333"/>
        <v/>
      </c>
    </row>
    <row r="21358" spans="26:26" x14ac:dyDescent="0.2">
      <c r="Z21358" t="str">
        <f t="shared" si="333"/>
        <v/>
      </c>
    </row>
    <row r="21359" spans="26:26" x14ac:dyDescent="0.2">
      <c r="Z21359" t="str">
        <f t="shared" si="333"/>
        <v/>
      </c>
    </row>
    <row r="21360" spans="26:26" x14ac:dyDescent="0.2">
      <c r="Z21360" t="str">
        <f t="shared" si="333"/>
        <v/>
      </c>
    </row>
    <row r="21361" spans="26:26" x14ac:dyDescent="0.2">
      <c r="Z21361" t="str">
        <f t="shared" si="333"/>
        <v/>
      </c>
    </row>
    <row r="21362" spans="26:26" x14ac:dyDescent="0.2">
      <c r="Z21362" t="str">
        <f t="shared" si="333"/>
        <v/>
      </c>
    </row>
    <row r="21363" spans="26:26" x14ac:dyDescent="0.2">
      <c r="Z21363" t="str">
        <f t="shared" si="333"/>
        <v/>
      </c>
    </row>
    <row r="21364" spans="26:26" x14ac:dyDescent="0.2">
      <c r="Z21364" t="str">
        <f t="shared" si="333"/>
        <v/>
      </c>
    </row>
    <row r="21365" spans="26:26" x14ac:dyDescent="0.2">
      <c r="Z21365" t="str">
        <f t="shared" si="333"/>
        <v/>
      </c>
    </row>
    <row r="21366" spans="26:26" x14ac:dyDescent="0.2">
      <c r="Z21366" t="str">
        <f t="shared" si="333"/>
        <v/>
      </c>
    </row>
    <row r="21367" spans="26:26" x14ac:dyDescent="0.2">
      <c r="Z21367" t="str">
        <f t="shared" si="333"/>
        <v/>
      </c>
    </row>
    <row r="21368" spans="26:26" x14ac:dyDescent="0.2">
      <c r="Z21368" t="str">
        <f t="shared" si="333"/>
        <v/>
      </c>
    </row>
    <row r="21369" spans="26:26" x14ac:dyDescent="0.2">
      <c r="Z21369" t="str">
        <f t="shared" si="333"/>
        <v/>
      </c>
    </row>
    <row r="21370" spans="26:26" x14ac:dyDescent="0.2">
      <c r="Z21370" t="str">
        <f t="shared" si="333"/>
        <v/>
      </c>
    </row>
    <row r="21371" spans="26:26" x14ac:dyDescent="0.2">
      <c r="Z21371" t="str">
        <f t="shared" si="333"/>
        <v/>
      </c>
    </row>
    <row r="21372" spans="26:26" x14ac:dyDescent="0.2">
      <c r="Z21372" t="str">
        <f t="shared" si="333"/>
        <v/>
      </c>
    </row>
    <row r="21373" spans="26:26" x14ac:dyDescent="0.2">
      <c r="Z21373" t="str">
        <f t="shared" si="333"/>
        <v/>
      </c>
    </row>
    <row r="21374" spans="26:26" x14ac:dyDescent="0.2">
      <c r="Z21374" t="str">
        <f t="shared" si="333"/>
        <v/>
      </c>
    </row>
    <row r="21375" spans="26:26" x14ac:dyDescent="0.2">
      <c r="Z21375" t="str">
        <f t="shared" si="333"/>
        <v/>
      </c>
    </row>
    <row r="21376" spans="26:26" x14ac:dyDescent="0.2">
      <c r="Z21376" t="str">
        <f t="shared" si="333"/>
        <v/>
      </c>
    </row>
    <row r="21377" spans="26:26" x14ac:dyDescent="0.2">
      <c r="Z21377" t="str">
        <f t="shared" si="333"/>
        <v/>
      </c>
    </row>
    <row r="21378" spans="26:26" x14ac:dyDescent="0.2">
      <c r="Z21378" t="str">
        <f t="shared" si="333"/>
        <v/>
      </c>
    </row>
    <row r="21379" spans="26:26" x14ac:dyDescent="0.2">
      <c r="Z21379" t="str">
        <f t="shared" ref="Z21379:Z21442" si="334">IF(K21379="","",IFERROR(VALUE(TRIM(MID(K21379,FIND(CHAR(167),SUBSTITUTE(K21379,"-",CHAR(167),LEN(K21379)-LEN(SUBSTITUTE(K21379,"-",""))))+1,100))),K21379))</f>
        <v/>
      </c>
    </row>
    <row r="21380" spans="26:26" x14ac:dyDescent="0.2">
      <c r="Z21380" t="str">
        <f t="shared" si="334"/>
        <v/>
      </c>
    </row>
    <row r="21381" spans="26:26" x14ac:dyDescent="0.2">
      <c r="Z21381" t="str">
        <f t="shared" si="334"/>
        <v/>
      </c>
    </row>
    <row r="21382" spans="26:26" x14ac:dyDescent="0.2">
      <c r="Z21382" t="str">
        <f t="shared" si="334"/>
        <v/>
      </c>
    </row>
    <row r="21383" spans="26:26" x14ac:dyDescent="0.2">
      <c r="Z21383" t="str">
        <f t="shared" si="334"/>
        <v/>
      </c>
    </row>
    <row r="21384" spans="26:26" x14ac:dyDescent="0.2">
      <c r="Z21384" t="str">
        <f t="shared" si="334"/>
        <v/>
      </c>
    </row>
    <row r="21385" spans="26:26" x14ac:dyDescent="0.2">
      <c r="Z21385" t="str">
        <f t="shared" si="334"/>
        <v/>
      </c>
    </row>
    <row r="21386" spans="26:26" x14ac:dyDescent="0.2">
      <c r="Z21386" t="str">
        <f t="shared" si="334"/>
        <v/>
      </c>
    </row>
    <row r="21387" spans="26:26" x14ac:dyDescent="0.2">
      <c r="Z21387" t="str">
        <f t="shared" si="334"/>
        <v/>
      </c>
    </row>
    <row r="21388" spans="26:26" x14ac:dyDescent="0.2">
      <c r="Z21388" t="str">
        <f t="shared" si="334"/>
        <v/>
      </c>
    </row>
    <row r="21389" spans="26:26" x14ac:dyDescent="0.2">
      <c r="Z21389" t="str">
        <f t="shared" si="334"/>
        <v/>
      </c>
    </row>
    <row r="21390" spans="26:26" x14ac:dyDescent="0.2">
      <c r="Z21390" t="str">
        <f t="shared" si="334"/>
        <v/>
      </c>
    </row>
    <row r="21391" spans="26:26" x14ac:dyDescent="0.2">
      <c r="Z21391" t="str">
        <f t="shared" si="334"/>
        <v/>
      </c>
    </row>
    <row r="21392" spans="26:26" x14ac:dyDescent="0.2">
      <c r="Z21392" t="str">
        <f t="shared" si="334"/>
        <v/>
      </c>
    </row>
    <row r="21393" spans="26:26" x14ac:dyDescent="0.2">
      <c r="Z21393" t="str">
        <f t="shared" si="334"/>
        <v/>
      </c>
    </row>
    <row r="21394" spans="26:26" x14ac:dyDescent="0.2">
      <c r="Z21394" t="str">
        <f t="shared" si="334"/>
        <v/>
      </c>
    </row>
    <row r="21395" spans="26:26" x14ac:dyDescent="0.2">
      <c r="Z21395" t="str">
        <f t="shared" si="334"/>
        <v/>
      </c>
    </row>
    <row r="21396" spans="26:26" x14ac:dyDescent="0.2">
      <c r="Z21396" t="str">
        <f t="shared" si="334"/>
        <v/>
      </c>
    </row>
    <row r="21397" spans="26:26" x14ac:dyDescent="0.2">
      <c r="Z21397" t="str">
        <f t="shared" si="334"/>
        <v/>
      </c>
    </row>
    <row r="21398" spans="26:26" x14ac:dyDescent="0.2">
      <c r="Z21398" t="str">
        <f t="shared" si="334"/>
        <v/>
      </c>
    </row>
    <row r="21399" spans="26:26" x14ac:dyDescent="0.2">
      <c r="Z21399" t="str">
        <f t="shared" si="334"/>
        <v/>
      </c>
    </row>
    <row r="21400" spans="26:26" x14ac:dyDescent="0.2">
      <c r="Z21400" t="str">
        <f t="shared" si="334"/>
        <v/>
      </c>
    </row>
    <row r="21401" spans="26:26" x14ac:dyDescent="0.2">
      <c r="Z21401" t="str">
        <f t="shared" si="334"/>
        <v/>
      </c>
    </row>
    <row r="21402" spans="26:26" x14ac:dyDescent="0.2">
      <c r="Z21402" t="str">
        <f t="shared" si="334"/>
        <v/>
      </c>
    </row>
    <row r="21403" spans="26:26" x14ac:dyDescent="0.2">
      <c r="Z21403" t="str">
        <f t="shared" si="334"/>
        <v/>
      </c>
    </row>
    <row r="21404" spans="26:26" x14ac:dyDescent="0.2">
      <c r="Z21404" t="str">
        <f t="shared" si="334"/>
        <v/>
      </c>
    </row>
    <row r="21405" spans="26:26" x14ac:dyDescent="0.2">
      <c r="Z21405" t="str">
        <f t="shared" si="334"/>
        <v/>
      </c>
    </row>
    <row r="21406" spans="26:26" x14ac:dyDescent="0.2">
      <c r="Z21406" t="str">
        <f t="shared" si="334"/>
        <v/>
      </c>
    </row>
    <row r="21407" spans="26:26" x14ac:dyDescent="0.2">
      <c r="Z21407" t="str">
        <f t="shared" si="334"/>
        <v/>
      </c>
    </row>
    <row r="21408" spans="26:26" x14ac:dyDescent="0.2">
      <c r="Z21408" t="str">
        <f t="shared" si="334"/>
        <v/>
      </c>
    </row>
    <row r="21409" spans="26:26" x14ac:dyDescent="0.2">
      <c r="Z21409" t="str">
        <f t="shared" si="334"/>
        <v/>
      </c>
    </row>
    <row r="21410" spans="26:26" x14ac:dyDescent="0.2">
      <c r="Z21410" t="str">
        <f t="shared" si="334"/>
        <v/>
      </c>
    </row>
    <row r="21411" spans="26:26" x14ac:dyDescent="0.2">
      <c r="Z21411" t="str">
        <f t="shared" si="334"/>
        <v/>
      </c>
    </row>
    <row r="21412" spans="26:26" x14ac:dyDescent="0.2">
      <c r="Z21412" t="str">
        <f t="shared" si="334"/>
        <v/>
      </c>
    </row>
    <row r="21413" spans="26:26" x14ac:dyDescent="0.2">
      <c r="Z21413" t="str">
        <f t="shared" si="334"/>
        <v/>
      </c>
    </row>
    <row r="21414" spans="26:26" x14ac:dyDescent="0.2">
      <c r="Z21414" t="str">
        <f t="shared" si="334"/>
        <v/>
      </c>
    </row>
    <row r="21415" spans="26:26" x14ac:dyDescent="0.2">
      <c r="Z21415" t="str">
        <f t="shared" si="334"/>
        <v/>
      </c>
    </row>
    <row r="21416" spans="26:26" x14ac:dyDescent="0.2">
      <c r="Z21416" t="str">
        <f t="shared" si="334"/>
        <v/>
      </c>
    </row>
    <row r="21417" spans="26:26" x14ac:dyDescent="0.2">
      <c r="Z21417" t="str">
        <f t="shared" si="334"/>
        <v/>
      </c>
    </row>
    <row r="21418" spans="26:26" x14ac:dyDescent="0.2">
      <c r="Z21418" t="str">
        <f t="shared" si="334"/>
        <v/>
      </c>
    </row>
    <row r="21419" spans="26:26" x14ac:dyDescent="0.2">
      <c r="Z21419" t="str">
        <f t="shared" si="334"/>
        <v/>
      </c>
    </row>
    <row r="21420" spans="26:26" x14ac:dyDescent="0.2">
      <c r="Z21420" t="str">
        <f t="shared" si="334"/>
        <v/>
      </c>
    </row>
    <row r="21421" spans="26:26" x14ac:dyDescent="0.2">
      <c r="Z21421" t="str">
        <f t="shared" si="334"/>
        <v/>
      </c>
    </row>
    <row r="21422" spans="26:26" x14ac:dyDescent="0.2">
      <c r="Z21422" t="str">
        <f t="shared" si="334"/>
        <v/>
      </c>
    </row>
    <row r="21423" spans="26:26" x14ac:dyDescent="0.2">
      <c r="Z21423" t="str">
        <f t="shared" si="334"/>
        <v/>
      </c>
    </row>
    <row r="21424" spans="26:26" x14ac:dyDescent="0.2">
      <c r="Z21424" t="str">
        <f t="shared" si="334"/>
        <v/>
      </c>
    </row>
    <row r="21425" spans="26:26" x14ac:dyDescent="0.2">
      <c r="Z21425" t="str">
        <f t="shared" si="334"/>
        <v/>
      </c>
    </row>
    <row r="21426" spans="26:26" x14ac:dyDescent="0.2">
      <c r="Z21426" t="str">
        <f t="shared" si="334"/>
        <v/>
      </c>
    </row>
    <row r="21427" spans="26:26" x14ac:dyDescent="0.2">
      <c r="Z21427" t="str">
        <f t="shared" si="334"/>
        <v/>
      </c>
    </row>
    <row r="21428" spans="26:26" x14ac:dyDescent="0.2">
      <c r="Z21428" t="str">
        <f t="shared" si="334"/>
        <v/>
      </c>
    </row>
    <row r="21429" spans="26:26" x14ac:dyDescent="0.2">
      <c r="Z21429" t="str">
        <f t="shared" si="334"/>
        <v/>
      </c>
    </row>
    <row r="21430" spans="26:26" x14ac:dyDescent="0.2">
      <c r="Z21430" t="str">
        <f t="shared" si="334"/>
        <v/>
      </c>
    </row>
    <row r="21431" spans="26:26" x14ac:dyDescent="0.2">
      <c r="Z21431" t="str">
        <f t="shared" si="334"/>
        <v/>
      </c>
    </row>
    <row r="21432" spans="26:26" x14ac:dyDescent="0.2">
      <c r="Z21432" t="str">
        <f t="shared" si="334"/>
        <v/>
      </c>
    </row>
    <row r="21433" spans="26:26" x14ac:dyDescent="0.2">
      <c r="Z21433" t="str">
        <f t="shared" si="334"/>
        <v/>
      </c>
    </row>
    <row r="21434" spans="26:26" x14ac:dyDescent="0.2">
      <c r="Z21434" t="str">
        <f t="shared" si="334"/>
        <v/>
      </c>
    </row>
    <row r="21435" spans="26:26" x14ac:dyDescent="0.2">
      <c r="Z21435" t="str">
        <f t="shared" si="334"/>
        <v/>
      </c>
    </row>
    <row r="21436" spans="26:26" x14ac:dyDescent="0.2">
      <c r="Z21436" t="str">
        <f t="shared" si="334"/>
        <v/>
      </c>
    </row>
    <row r="21437" spans="26:26" x14ac:dyDescent="0.2">
      <c r="Z21437" t="str">
        <f t="shared" si="334"/>
        <v/>
      </c>
    </row>
    <row r="21438" spans="26:26" x14ac:dyDescent="0.2">
      <c r="Z21438" t="str">
        <f t="shared" si="334"/>
        <v/>
      </c>
    </row>
    <row r="21439" spans="26:26" x14ac:dyDescent="0.2">
      <c r="Z21439" t="str">
        <f t="shared" si="334"/>
        <v/>
      </c>
    </row>
    <row r="21440" spans="26:26" x14ac:dyDescent="0.2">
      <c r="Z21440" t="str">
        <f t="shared" si="334"/>
        <v/>
      </c>
    </row>
    <row r="21441" spans="26:26" x14ac:dyDescent="0.2">
      <c r="Z21441" t="str">
        <f t="shared" si="334"/>
        <v/>
      </c>
    </row>
    <row r="21442" spans="26:26" x14ac:dyDescent="0.2">
      <c r="Z21442" t="str">
        <f t="shared" si="334"/>
        <v/>
      </c>
    </row>
    <row r="21443" spans="26:26" x14ac:dyDescent="0.2">
      <c r="Z21443" t="str">
        <f t="shared" ref="Z21443:Z21506" si="335">IF(K21443="","",IFERROR(VALUE(TRIM(MID(K21443,FIND(CHAR(167),SUBSTITUTE(K21443,"-",CHAR(167),LEN(K21443)-LEN(SUBSTITUTE(K21443,"-",""))))+1,100))),K21443))</f>
        <v/>
      </c>
    </row>
    <row r="21444" spans="26:26" x14ac:dyDescent="0.2">
      <c r="Z21444" t="str">
        <f t="shared" si="335"/>
        <v/>
      </c>
    </row>
    <row r="21445" spans="26:26" x14ac:dyDescent="0.2">
      <c r="Z21445" t="str">
        <f t="shared" si="335"/>
        <v/>
      </c>
    </row>
    <row r="21446" spans="26:26" x14ac:dyDescent="0.2">
      <c r="Z21446" t="str">
        <f t="shared" si="335"/>
        <v/>
      </c>
    </row>
    <row r="21447" spans="26:26" x14ac:dyDescent="0.2">
      <c r="Z21447" t="str">
        <f t="shared" si="335"/>
        <v/>
      </c>
    </row>
    <row r="21448" spans="26:26" x14ac:dyDescent="0.2">
      <c r="Z21448" t="str">
        <f t="shared" si="335"/>
        <v/>
      </c>
    </row>
    <row r="21449" spans="26:26" x14ac:dyDescent="0.2">
      <c r="Z21449" t="str">
        <f t="shared" si="335"/>
        <v/>
      </c>
    </row>
    <row r="21450" spans="26:26" x14ac:dyDescent="0.2">
      <c r="Z21450" t="str">
        <f t="shared" si="335"/>
        <v/>
      </c>
    </row>
    <row r="21451" spans="26:26" x14ac:dyDescent="0.2">
      <c r="Z21451" t="str">
        <f t="shared" si="335"/>
        <v/>
      </c>
    </row>
    <row r="21452" spans="26:26" x14ac:dyDescent="0.2">
      <c r="Z21452" t="str">
        <f t="shared" si="335"/>
        <v/>
      </c>
    </row>
    <row r="21453" spans="26:26" x14ac:dyDescent="0.2">
      <c r="Z21453" t="str">
        <f t="shared" si="335"/>
        <v/>
      </c>
    </row>
    <row r="21454" spans="26:26" x14ac:dyDescent="0.2">
      <c r="Z21454" t="str">
        <f t="shared" si="335"/>
        <v/>
      </c>
    </row>
    <row r="21455" spans="26:26" x14ac:dyDescent="0.2">
      <c r="Z21455" t="str">
        <f t="shared" si="335"/>
        <v/>
      </c>
    </row>
    <row r="21456" spans="26:26" x14ac:dyDescent="0.2">
      <c r="Z21456" t="str">
        <f t="shared" si="335"/>
        <v/>
      </c>
    </row>
    <row r="21457" spans="26:26" x14ac:dyDescent="0.2">
      <c r="Z21457" t="str">
        <f t="shared" si="335"/>
        <v/>
      </c>
    </row>
    <row r="21458" spans="26:26" x14ac:dyDescent="0.2">
      <c r="Z21458" t="str">
        <f t="shared" si="335"/>
        <v/>
      </c>
    </row>
    <row r="21459" spans="26:26" x14ac:dyDescent="0.2">
      <c r="Z21459" t="str">
        <f t="shared" si="335"/>
        <v/>
      </c>
    </row>
    <row r="21460" spans="26:26" x14ac:dyDescent="0.2">
      <c r="Z21460" t="str">
        <f t="shared" si="335"/>
        <v/>
      </c>
    </row>
    <row r="21461" spans="26:26" x14ac:dyDescent="0.2">
      <c r="Z21461" t="str">
        <f t="shared" si="335"/>
        <v/>
      </c>
    </row>
    <row r="21462" spans="26:26" x14ac:dyDescent="0.2">
      <c r="Z21462" t="str">
        <f t="shared" si="335"/>
        <v/>
      </c>
    </row>
    <row r="21463" spans="26:26" x14ac:dyDescent="0.2">
      <c r="Z21463" t="str">
        <f t="shared" si="335"/>
        <v/>
      </c>
    </row>
    <row r="21464" spans="26:26" x14ac:dyDescent="0.2">
      <c r="Z21464" t="str">
        <f t="shared" si="335"/>
        <v/>
      </c>
    </row>
    <row r="21465" spans="26:26" x14ac:dyDescent="0.2">
      <c r="Z21465" t="str">
        <f t="shared" si="335"/>
        <v/>
      </c>
    </row>
    <row r="21466" spans="26:26" x14ac:dyDescent="0.2">
      <c r="Z21466" t="str">
        <f t="shared" si="335"/>
        <v/>
      </c>
    </row>
    <row r="21467" spans="26:26" x14ac:dyDescent="0.2">
      <c r="Z21467" t="str">
        <f t="shared" si="335"/>
        <v/>
      </c>
    </row>
    <row r="21468" spans="26:26" x14ac:dyDescent="0.2">
      <c r="Z21468" t="str">
        <f t="shared" si="335"/>
        <v/>
      </c>
    </row>
    <row r="21469" spans="26:26" x14ac:dyDescent="0.2">
      <c r="Z21469" t="str">
        <f t="shared" si="335"/>
        <v/>
      </c>
    </row>
    <row r="21470" spans="26:26" x14ac:dyDescent="0.2">
      <c r="Z21470" t="str">
        <f t="shared" si="335"/>
        <v/>
      </c>
    </row>
    <row r="21471" spans="26:26" x14ac:dyDescent="0.2">
      <c r="Z21471" t="str">
        <f t="shared" si="335"/>
        <v/>
      </c>
    </row>
    <row r="21472" spans="26:26" x14ac:dyDescent="0.2">
      <c r="Z21472" t="str">
        <f t="shared" si="335"/>
        <v/>
      </c>
    </row>
    <row r="21473" spans="26:26" x14ac:dyDescent="0.2">
      <c r="Z21473" t="str">
        <f t="shared" si="335"/>
        <v/>
      </c>
    </row>
    <row r="21474" spans="26:26" x14ac:dyDescent="0.2">
      <c r="Z21474" t="str">
        <f t="shared" si="335"/>
        <v/>
      </c>
    </row>
    <row r="21475" spans="26:26" x14ac:dyDescent="0.2">
      <c r="Z21475" t="str">
        <f t="shared" si="335"/>
        <v/>
      </c>
    </row>
    <row r="21476" spans="26:26" x14ac:dyDescent="0.2">
      <c r="Z21476" t="str">
        <f t="shared" si="335"/>
        <v/>
      </c>
    </row>
    <row r="21477" spans="26:26" x14ac:dyDescent="0.2">
      <c r="Z21477" t="str">
        <f t="shared" si="335"/>
        <v/>
      </c>
    </row>
    <row r="21478" spans="26:26" x14ac:dyDescent="0.2">
      <c r="Z21478" t="str">
        <f t="shared" si="335"/>
        <v/>
      </c>
    </row>
    <row r="21479" spans="26:26" x14ac:dyDescent="0.2">
      <c r="Z21479" t="str">
        <f t="shared" si="335"/>
        <v/>
      </c>
    </row>
    <row r="21480" spans="26:26" x14ac:dyDescent="0.2">
      <c r="Z21480" t="str">
        <f t="shared" si="335"/>
        <v/>
      </c>
    </row>
    <row r="21481" spans="26:26" x14ac:dyDescent="0.2">
      <c r="Z21481" t="str">
        <f t="shared" si="335"/>
        <v/>
      </c>
    </row>
    <row r="21482" spans="26:26" x14ac:dyDescent="0.2">
      <c r="Z21482" t="str">
        <f t="shared" si="335"/>
        <v/>
      </c>
    </row>
    <row r="21483" spans="26:26" x14ac:dyDescent="0.2">
      <c r="Z21483" t="str">
        <f t="shared" si="335"/>
        <v/>
      </c>
    </row>
    <row r="21484" spans="26:26" x14ac:dyDescent="0.2">
      <c r="Z21484" t="str">
        <f t="shared" si="335"/>
        <v/>
      </c>
    </row>
    <row r="21485" spans="26:26" x14ac:dyDescent="0.2">
      <c r="Z21485" t="str">
        <f t="shared" si="335"/>
        <v/>
      </c>
    </row>
    <row r="21486" spans="26:26" x14ac:dyDescent="0.2">
      <c r="Z21486" t="str">
        <f t="shared" si="335"/>
        <v/>
      </c>
    </row>
    <row r="21487" spans="26:26" x14ac:dyDescent="0.2">
      <c r="Z21487" t="str">
        <f t="shared" si="335"/>
        <v/>
      </c>
    </row>
    <row r="21488" spans="26:26" x14ac:dyDescent="0.2">
      <c r="Z21488" t="str">
        <f t="shared" si="335"/>
        <v/>
      </c>
    </row>
    <row r="21489" spans="26:26" x14ac:dyDescent="0.2">
      <c r="Z21489" t="str">
        <f t="shared" si="335"/>
        <v/>
      </c>
    </row>
    <row r="21490" spans="26:26" x14ac:dyDescent="0.2">
      <c r="Z21490" t="str">
        <f t="shared" si="335"/>
        <v/>
      </c>
    </row>
    <row r="21491" spans="26:26" x14ac:dyDescent="0.2">
      <c r="Z21491" t="str">
        <f t="shared" si="335"/>
        <v/>
      </c>
    </row>
    <row r="21492" spans="26:26" x14ac:dyDescent="0.2">
      <c r="Z21492" t="str">
        <f t="shared" si="335"/>
        <v/>
      </c>
    </row>
    <row r="21493" spans="26:26" x14ac:dyDescent="0.2">
      <c r="Z21493" t="str">
        <f t="shared" si="335"/>
        <v/>
      </c>
    </row>
    <row r="21494" spans="26:26" x14ac:dyDescent="0.2">
      <c r="Z21494" t="str">
        <f t="shared" si="335"/>
        <v/>
      </c>
    </row>
    <row r="21495" spans="26:26" x14ac:dyDescent="0.2">
      <c r="Z21495" t="str">
        <f t="shared" si="335"/>
        <v/>
      </c>
    </row>
    <row r="21496" spans="26:26" x14ac:dyDescent="0.2">
      <c r="Z21496" t="str">
        <f t="shared" si="335"/>
        <v/>
      </c>
    </row>
    <row r="21497" spans="26:26" x14ac:dyDescent="0.2">
      <c r="Z21497" t="str">
        <f t="shared" si="335"/>
        <v/>
      </c>
    </row>
    <row r="21498" spans="26:26" x14ac:dyDescent="0.2">
      <c r="Z21498" t="str">
        <f t="shared" si="335"/>
        <v/>
      </c>
    </row>
    <row r="21499" spans="26:26" x14ac:dyDescent="0.2">
      <c r="Z21499" t="str">
        <f t="shared" si="335"/>
        <v/>
      </c>
    </row>
    <row r="21500" spans="26:26" x14ac:dyDescent="0.2">
      <c r="Z21500" t="str">
        <f t="shared" si="335"/>
        <v/>
      </c>
    </row>
    <row r="21501" spans="26:26" x14ac:dyDescent="0.2">
      <c r="Z21501" t="str">
        <f t="shared" si="335"/>
        <v/>
      </c>
    </row>
    <row r="21502" spans="26:26" x14ac:dyDescent="0.2">
      <c r="Z21502" t="str">
        <f t="shared" si="335"/>
        <v/>
      </c>
    </row>
    <row r="21503" spans="26:26" x14ac:dyDescent="0.2">
      <c r="Z21503" t="str">
        <f t="shared" si="335"/>
        <v/>
      </c>
    </row>
    <row r="21504" spans="26:26" x14ac:dyDescent="0.2">
      <c r="Z21504" t="str">
        <f t="shared" si="335"/>
        <v/>
      </c>
    </row>
    <row r="21505" spans="26:26" x14ac:dyDescent="0.2">
      <c r="Z21505" t="str">
        <f t="shared" si="335"/>
        <v/>
      </c>
    </row>
    <row r="21506" spans="26:26" x14ac:dyDescent="0.2">
      <c r="Z21506" t="str">
        <f t="shared" si="335"/>
        <v/>
      </c>
    </row>
    <row r="21507" spans="26:26" x14ac:dyDescent="0.2">
      <c r="Z21507" t="str">
        <f t="shared" ref="Z21507:Z21570" si="336">IF(K21507="","",IFERROR(VALUE(TRIM(MID(K21507,FIND(CHAR(167),SUBSTITUTE(K21507,"-",CHAR(167),LEN(K21507)-LEN(SUBSTITUTE(K21507,"-",""))))+1,100))),K21507))</f>
        <v/>
      </c>
    </row>
    <row r="21508" spans="26:26" x14ac:dyDescent="0.2">
      <c r="Z21508" t="str">
        <f t="shared" si="336"/>
        <v/>
      </c>
    </row>
    <row r="21509" spans="26:26" x14ac:dyDescent="0.2">
      <c r="Z21509" t="str">
        <f t="shared" si="336"/>
        <v/>
      </c>
    </row>
    <row r="21510" spans="26:26" x14ac:dyDescent="0.2">
      <c r="Z21510" t="str">
        <f t="shared" si="336"/>
        <v/>
      </c>
    </row>
    <row r="21511" spans="26:26" x14ac:dyDescent="0.2">
      <c r="Z21511" t="str">
        <f t="shared" si="336"/>
        <v/>
      </c>
    </row>
    <row r="21512" spans="26:26" x14ac:dyDescent="0.2">
      <c r="Z21512" t="str">
        <f t="shared" si="336"/>
        <v/>
      </c>
    </row>
    <row r="21513" spans="26:26" x14ac:dyDescent="0.2">
      <c r="Z21513" t="str">
        <f t="shared" si="336"/>
        <v/>
      </c>
    </row>
    <row r="21514" spans="26:26" x14ac:dyDescent="0.2">
      <c r="Z21514" t="str">
        <f t="shared" si="336"/>
        <v/>
      </c>
    </row>
    <row r="21515" spans="26:26" x14ac:dyDescent="0.2">
      <c r="Z21515" t="str">
        <f t="shared" si="336"/>
        <v/>
      </c>
    </row>
    <row r="21516" spans="26:26" x14ac:dyDescent="0.2">
      <c r="Z21516" t="str">
        <f t="shared" si="336"/>
        <v/>
      </c>
    </row>
    <row r="21517" spans="26:26" x14ac:dyDescent="0.2">
      <c r="Z21517" t="str">
        <f t="shared" si="336"/>
        <v/>
      </c>
    </row>
    <row r="21518" spans="26:26" x14ac:dyDescent="0.2">
      <c r="Z21518" t="str">
        <f t="shared" si="336"/>
        <v/>
      </c>
    </row>
    <row r="21519" spans="26:26" x14ac:dyDescent="0.2">
      <c r="Z21519" t="str">
        <f t="shared" si="336"/>
        <v/>
      </c>
    </row>
    <row r="21520" spans="26:26" x14ac:dyDescent="0.2">
      <c r="Z21520" t="str">
        <f t="shared" si="336"/>
        <v/>
      </c>
    </row>
    <row r="21521" spans="26:26" x14ac:dyDescent="0.2">
      <c r="Z21521" t="str">
        <f t="shared" si="336"/>
        <v/>
      </c>
    </row>
    <row r="21522" spans="26:26" x14ac:dyDescent="0.2">
      <c r="Z21522" t="str">
        <f t="shared" si="336"/>
        <v/>
      </c>
    </row>
    <row r="21523" spans="26:26" x14ac:dyDescent="0.2">
      <c r="Z21523" t="str">
        <f t="shared" si="336"/>
        <v/>
      </c>
    </row>
    <row r="21524" spans="26:26" x14ac:dyDescent="0.2">
      <c r="Z21524" t="str">
        <f t="shared" si="336"/>
        <v/>
      </c>
    </row>
    <row r="21525" spans="26:26" x14ac:dyDescent="0.2">
      <c r="Z21525" t="str">
        <f t="shared" si="336"/>
        <v/>
      </c>
    </row>
    <row r="21526" spans="26:26" x14ac:dyDescent="0.2">
      <c r="Z21526" t="str">
        <f t="shared" si="336"/>
        <v/>
      </c>
    </row>
    <row r="21527" spans="26:26" x14ac:dyDescent="0.2">
      <c r="Z21527" t="str">
        <f t="shared" si="336"/>
        <v/>
      </c>
    </row>
    <row r="21528" spans="26:26" x14ac:dyDescent="0.2">
      <c r="Z21528" t="str">
        <f t="shared" si="336"/>
        <v/>
      </c>
    </row>
    <row r="21529" spans="26:26" x14ac:dyDescent="0.2">
      <c r="Z21529" t="str">
        <f t="shared" si="336"/>
        <v/>
      </c>
    </row>
    <row r="21530" spans="26:26" x14ac:dyDescent="0.2">
      <c r="Z21530" t="str">
        <f t="shared" si="336"/>
        <v/>
      </c>
    </row>
    <row r="21531" spans="26:26" x14ac:dyDescent="0.2">
      <c r="Z21531" t="str">
        <f t="shared" si="336"/>
        <v/>
      </c>
    </row>
    <row r="21532" spans="26:26" x14ac:dyDescent="0.2">
      <c r="Z21532" t="str">
        <f t="shared" si="336"/>
        <v/>
      </c>
    </row>
    <row r="21533" spans="26:26" x14ac:dyDescent="0.2">
      <c r="Z21533" t="str">
        <f t="shared" si="336"/>
        <v/>
      </c>
    </row>
    <row r="21534" spans="26:26" x14ac:dyDescent="0.2">
      <c r="Z21534" t="str">
        <f t="shared" si="336"/>
        <v/>
      </c>
    </row>
    <row r="21535" spans="26:26" x14ac:dyDescent="0.2">
      <c r="Z21535" t="str">
        <f t="shared" si="336"/>
        <v/>
      </c>
    </row>
    <row r="21536" spans="26:26" x14ac:dyDescent="0.2">
      <c r="Z21536" t="str">
        <f t="shared" si="336"/>
        <v/>
      </c>
    </row>
    <row r="21537" spans="26:26" x14ac:dyDescent="0.2">
      <c r="Z21537" t="str">
        <f t="shared" si="336"/>
        <v/>
      </c>
    </row>
    <row r="21538" spans="26:26" x14ac:dyDescent="0.2">
      <c r="Z21538" t="str">
        <f t="shared" si="336"/>
        <v/>
      </c>
    </row>
    <row r="21539" spans="26:26" x14ac:dyDescent="0.2">
      <c r="Z21539" t="str">
        <f t="shared" si="336"/>
        <v/>
      </c>
    </row>
    <row r="21540" spans="26:26" x14ac:dyDescent="0.2">
      <c r="Z21540" t="str">
        <f t="shared" si="336"/>
        <v/>
      </c>
    </row>
    <row r="21541" spans="26:26" x14ac:dyDescent="0.2">
      <c r="Z21541" t="str">
        <f t="shared" si="336"/>
        <v/>
      </c>
    </row>
    <row r="21542" spans="26:26" x14ac:dyDescent="0.2">
      <c r="Z21542" t="str">
        <f t="shared" si="336"/>
        <v/>
      </c>
    </row>
    <row r="21543" spans="26:26" x14ac:dyDescent="0.2">
      <c r="Z21543" t="str">
        <f t="shared" si="336"/>
        <v/>
      </c>
    </row>
    <row r="21544" spans="26:26" x14ac:dyDescent="0.2">
      <c r="Z21544" t="str">
        <f t="shared" si="336"/>
        <v/>
      </c>
    </row>
    <row r="21545" spans="26:26" x14ac:dyDescent="0.2">
      <c r="Z21545" t="str">
        <f t="shared" si="336"/>
        <v/>
      </c>
    </row>
    <row r="21546" spans="26:26" x14ac:dyDescent="0.2">
      <c r="Z21546" t="str">
        <f t="shared" si="336"/>
        <v/>
      </c>
    </row>
    <row r="21547" spans="26:26" x14ac:dyDescent="0.2">
      <c r="Z21547" t="str">
        <f t="shared" si="336"/>
        <v/>
      </c>
    </row>
    <row r="21548" spans="26:26" x14ac:dyDescent="0.2">
      <c r="Z21548" t="str">
        <f t="shared" si="336"/>
        <v/>
      </c>
    </row>
    <row r="21549" spans="26:26" x14ac:dyDescent="0.2">
      <c r="Z21549" t="str">
        <f t="shared" si="336"/>
        <v/>
      </c>
    </row>
    <row r="21550" spans="26:26" x14ac:dyDescent="0.2">
      <c r="Z21550" t="str">
        <f t="shared" si="336"/>
        <v/>
      </c>
    </row>
    <row r="21551" spans="26:26" x14ac:dyDescent="0.2">
      <c r="Z21551" t="str">
        <f t="shared" si="336"/>
        <v/>
      </c>
    </row>
    <row r="21552" spans="26:26" x14ac:dyDescent="0.2">
      <c r="Z21552" t="str">
        <f t="shared" si="336"/>
        <v/>
      </c>
    </row>
    <row r="21553" spans="26:26" x14ac:dyDescent="0.2">
      <c r="Z21553" t="str">
        <f t="shared" si="336"/>
        <v/>
      </c>
    </row>
    <row r="21554" spans="26:26" x14ac:dyDescent="0.2">
      <c r="Z21554" t="str">
        <f t="shared" si="336"/>
        <v/>
      </c>
    </row>
    <row r="21555" spans="26:26" x14ac:dyDescent="0.2">
      <c r="Z21555" t="str">
        <f t="shared" si="336"/>
        <v/>
      </c>
    </row>
    <row r="21556" spans="26:26" x14ac:dyDescent="0.2">
      <c r="Z21556" t="str">
        <f t="shared" si="336"/>
        <v/>
      </c>
    </row>
    <row r="21557" spans="26:26" x14ac:dyDescent="0.2">
      <c r="Z21557" t="str">
        <f t="shared" si="336"/>
        <v/>
      </c>
    </row>
    <row r="21558" spans="26:26" x14ac:dyDescent="0.2">
      <c r="Z21558" t="str">
        <f t="shared" si="336"/>
        <v/>
      </c>
    </row>
    <row r="21559" spans="26:26" x14ac:dyDescent="0.2">
      <c r="Z21559" t="str">
        <f t="shared" si="336"/>
        <v/>
      </c>
    </row>
    <row r="21560" spans="26:26" x14ac:dyDescent="0.2">
      <c r="Z21560" t="str">
        <f t="shared" si="336"/>
        <v/>
      </c>
    </row>
    <row r="21561" spans="26:26" x14ac:dyDescent="0.2">
      <c r="Z21561" t="str">
        <f t="shared" si="336"/>
        <v/>
      </c>
    </row>
    <row r="21562" spans="26:26" x14ac:dyDescent="0.2">
      <c r="Z21562" t="str">
        <f t="shared" si="336"/>
        <v/>
      </c>
    </row>
    <row r="21563" spans="26:26" x14ac:dyDescent="0.2">
      <c r="Z21563" t="str">
        <f t="shared" si="336"/>
        <v/>
      </c>
    </row>
    <row r="21564" spans="26:26" x14ac:dyDescent="0.2">
      <c r="Z21564" t="str">
        <f t="shared" si="336"/>
        <v/>
      </c>
    </row>
    <row r="21565" spans="26:26" x14ac:dyDescent="0.2">
      <c r="Z21565" t="str">
        <f t="shared" si="336"/>
        <v/>
      </c>
    </row>
    <row r="21566" spans="26:26" x14ac:dyDescent="0.2">
      <c r="Z21566" t="str">
        <f t="shared" si="336"/>
        <v/>
      </c>
    </row>
    <row r="21567" spans="26:26" x14ac:dyDescent="0.2">
      <c r="Z21567" t="str">
        <f t="shared" si="336"/>
        <v/>
      </c>
    </row>
    <row r="21568" spans="26:26" x14ac:dyDescent="0.2">
      <c r="Z21568" t="str">
        <f t="shared" si="336"/>
        <v/>
      </c>
    </row>
    <row r="21569" spans="26:26" x14ac:dyDescent="0.2">
      <c r="Z21569" t="str">
        <f t="shared" si="336"/>
        <v/>
      </c>
    </row>
    <row r="21570" spans="26:26" x14ac:dyDescent="0.2">
      <c r="Z21570" t="str">
        <f t="shared" si="336"/>
        <v/>
      </c>
    </row>
    <row r="21571" spans="26:26" x14ac:dyDescent="0.2">
      <c r="Z21571" t="str">
        <f t="shared" ref="Z21571:Z21634" si="337">IF(K21571="","",IFERROR(VALUE(TRIM(MID(K21571,FIND(CHAR(167),SUBSTITUTE(K21571,"-",CHAR(167),LEN(K21571)-LEN(SUBSTITUTE(K21571,"-",""))))+1,100))),K21571))</f>
        <v/>
      </c>
    </row>
    <row r="21572" spans="26:26" x14ac:dyDescent="0.2">
      <c r="Z21572" t="str">
        <f t="shared" si="337"/>
        <v/>
      </c>
    </row>
    <row r="21573" spans="26:26" x14ac:dyDescent="0.2">
      <c r="Z21573" t="str">
        <f t="shared" si="337"/>
        <v/>
      </c>
    </row>
    <row r="21574" spans="26:26" x14ac:dyDescent="0.2">
      <c r="Z21574" t="str">
        <f t="shared" si="337"/>
        <v/>
      </c>
    </row>
    <row r="21575" spans="26:26" x14ac:dyDescent="0.2">
      <c r="Z21575" t="str">
        <f t="shared" si="337"/>
        <v/>
      </c>
    </row>
    <row r="21576" spans="26:26" x14ac:dyDescent="0.2">
      <c r="Z21576" t="str">
        <f t="shared" si="337"/>
        <v/>
      </c>
    </row>
    <row r="21577" spans="26:26" x14ac:dyDescent="0.2">
      <c r="Z21577" t="str">
        <f t="shared" si="337"/>
        <v/>
      </c>
    </row>
    <row r="21578" spans="26:26" x14ac:dyDescent="0.2">
      <c r="Z21578" t="str">
        <f t="shared" si="337"/>
        <v/>
      </c>
    </row>
    <row r="21579" spans="26:26" x14ac:dyDescent="0.2">
      <c r="Z21579" t="str">
        <f t="shared" si="337"/>
        <v/>
      </c>
    </row>
    <row r="21580" spans="26:26" x14ac:dyDescent="0.2">
      <c r="Z21580" t="str">
        <f t="shared" si="337"/>
        <v/>
      </c>
    </row>
    <row r="21581" spans="26:26" x14ac:dyDescent="0.2">
      <c r="Z21581" t="str">
        <f t="shared" si="337"/>
        <v/>
      </c>
    </row>
    <row r="21582" spans="26:26" x14ac:dyDescent="0.2">
      <c r="Z21582" t="str">
        <f t="shared" si="337"/>
        <v/>
      </c>
    </row>
    <row r="21583" spans="26:26" x14ac:dyDescent="0.2">
      <c r="Z21583" t="str">
        <f t="shared" si="337"/>
        <v/>
      </c>
    </row>
    <row r="21584" spans="26:26" x14ac:dyDescent="0.2">
      <c r="Z21584" t="str">
        <f t="shared" si="337"/>
        <v/>
      </c>
    </row>
    <row r="21585" spans="26:26" x14ac:dyDescent="0.2">
      <c r="Z21585" t="str">
        <f t="shared" si="337"/>
        <v/>
      </c>
    </row>
    <row r="21586" spans="26:26" x14ac:dyDescent="0.2">
      <c r="Z21586" t="str">
        <f t="shared" si="337"/>
        <v/>
      </c>
    </row>
    <row r="21587" spans="26:26" x14ac:dyDescent="0.2">
      <c r="Z21587" t="str">
        <f t="shared" si="337"/>
        <v/>
      </c>
    </row>
    <row r="21588" spans="26:26" x14ac:dyDescent="0.2">
      <c r="Z21588" t="str">
        <f t="shared" si="337"/>
        <v/>
      </c>
    </row>
    <row r="21589" spans="26:26" x14ac:dyDescent="0.2">
      <c r="Z21589" t="str">
        <f t="shared" si="337"/>
        <v/>
      </c>
    </row>
    <row r="21590" spans="26:26" x14ac:dyDescent="0.2">
      <c r="Z21590" t="str">
        <f t="shared" si="337"/>
        <v/>
      </c>
    </row>
    <row r="21591" spans="26:26" x14ac:dyDescent="0.2">
      <c r="Z21591" t="str">
        <f t="shared" si="337"/>
        <v/>
      </c>
    </row>
    <row r="21592" spans="26:26" x14ac:dyDescent="0.2">
      <c r="Z21592" t="str">
        <f t="shared" si="337"/>
        <v/>
      </c>
    </row>
    <row r="21593" spans="26:26" x14ac:dyDescent="0.2">
      <c r="Z21593" t="str">
        <f t="shared" si="337"/>
        <v/>
      </c>
    </row>
    <row r="21594" spans="26:26" x14ac:dyDescent="0.2">
      <c r="Z21594" t="str">
        <f t="shared" si="337"/>
        <v/>
      </c>
    </row>
    <row r="21595" spans="26:26" x14ac:dyDescent="0.2">
      <c r="Z21595" t="str">
        <f t="shared" si="337"/>
        <v/>
      </c>
    </row>
    <row r="21596" spans="26:26" x14ac:dyDescent="0.2">
      <c r="Z21596" t="str">
        <f t="shared" si="337"/>
        <v/>
      </c>
    </row>
    <row r="21597" spans="26:26" x14ac:dyDescent="0.2">
      <c r="Z21597" t="str">
        <f t="shared" si="337"/>
        <v/>
      </c>
    </row>
    <row r="21598" spans="26:26" x14ac:dyDescent="0.2">
      <c r="Z21598" t="str">
        <f t="shared" si="337"/>
        <v/>
      </c>
    </row>
    <row r="21599" spans="26:26" x14ac:dyDescent="0.2">
      <c r="Z21599" t="str">
        <f t="shared" si="337"/>
        <v/>
      </c>
    </row>
    <row r="21600" spans="26:26" x14ac:dyDescent="0.2">
      <c r="Z21600" t="str">
        <f t="shared" si="337"/>
        <v/>
      </c>
    </row>
    <row r="21601" spans="26:26" x14ac:dyDescent="0.2">
      <c r="Z21601" t="str">
        <f t="shared" si="337"/>
        <v/>
      </c>
    </row>
    <row r="21602" spans="26:26" x14ac:dyDescent="0.2">
      <c r="Z21602" t="str">
        <f t="shared" si="337"/>
        <v/>
      </c>
    </row>
    <row r="21603" spans="26:26" x14ac:dyDescent="0.2">
      <c r="Z21603" t="str">
        <f t="shared" si="337"/>
        <v/>
      </c>
    </row>
    <row r="21604" spans="26:26" x14ac:dyDescent="0.2">
      <c r="Z21604" t="str">
        <f t="shared" si="337"/>
        <v/>
      </c>
    </row>
    <row r="21605" spans="26:26" x14ac:dyDescent="0.2">
      <c r="Z21605" t="str">
        <f t="shared" si="337"/>
        <v/>
      </c>
    </row>
    <row r="21606" spans="26:26" x14ac:dyDescent="0.2">
      <c r="Z21606" t="str">
        <f t="shared" si="337"/>
        <v/>
      </c>
    </row>
    <row r="21607" spans="26:26" x14ac:dyDescent="0.2">
      <c r="Z21607" t="str">
        <f t="shared" si="337"/>
        <v/>
      </c>
    </row>
    <row r="21608" spans="26:26" x14ac:dyDescent="0.2">
      <c r="Z21608" t="str">
        <f t="shared" si="337"/>
        <v/>
      </c>
    </row>
    <row r="21609" spans="26:26" x14ac:dyDescent="0.2">
      <c r="Z21609" t="str">
        <f t="shared" si="337"/>
        <v/>
      </c>
    </row>
    <row r="21610" spans="26:26" x14ac:dyDescent="0.2">
      <c r="Z21610" t="str">
        <f t="shared" si="337"/>
        <v/>
      </c>
    </row>
    <row r="21611" spans="26:26" x14ac:dyDescent="0.2">
      <c r="Z21611" t="str">
        <f t="shared" si="337"/>
        <v/>
      </c>
    </row>
    <row r="21612" spans="26:26" x14ac:dyDescent="0.2">
      <c r="Z21612" t="str">
        <f t="shared" si="337"/>
        <v/>
      </c>
    </row>
    <row r="21613" spans="26:26" x14ac:dyDescent="0.2">
      <c r="Z21613" t="str">
        <f t="shared" si="337"/>
        <v/>
      </c>
    </row>
    <row r="21614" spans="26:26" x14ac:dyDescent="0.2">
      <c r="Z21614" t="str">
        <f t="shared" si="337"/>
        <v/>
      </c>
    </row>
    <row r="21615" spans="26:26" x14ac:dyDescent="0.2">
      <c r="Z21615" t="str">
        <f t="shared" si="337"/>
        <v/>
      </c>
    </row>
    <row r="21616" spans="26:26" x14ac:dyDescent="0.2">
      <c r="Z21616" t="str">
        <f t="shared" si="337"/>
        <v/>
      </c>
    </row>
    <row r="21617" spans="26:26" x14ac:dyDescent="0.2">
      <c r="Z21617" t="str">
        <f t="shared" si="337"/>
        <v/>
      </c>
    </row>
    <row r="21618" spans="26:26" x14ac:dyDescent="0.2">
      <c r="Z21618" t="str">
        <f t="shared" si="337"/>
        <v/>
      </c>
    </row>
    <row r="21619" spans="26:26" x14ac:dyDescent="0.2">
      <c r="Z21619" t="str">
        <f t="shared" si="337"/>
        <v/>
      </c>
    </row>
    <row r="21620" spans="26:26" x14ac:dyDescent="0.2">
      <c r="Z21620" t="str">
        <f t="shared" si="337"/>
        <v/>
      </c>
    </row>
    <row r="21621" spans="26:26" x14ac:dyDescent="0.2">
      <c r="Z21621" t="str">
        <f t="shared" si="337"/>
        <v/>
      </c>
    </row>
    <row r="21622" spans="26:26" x14ac:dyDescent="0.2">
      <c r="Z21622" t="str">
        <f t="shared" si="337"/>
        <v/>
      </c>
    </row>
    <row r="21623" spans="26:26" x14ac:dyDescent="0.2">
      <c r="Z21623" t="str">
        <f t="shared" si="337"/>
        <v/>
      </c>
    </row>
    <row r="21624" spans="26:26" x14ac:dyDescent="0.2">
      <c r="Z21624" t="str">
        <f t="shared" si="337"/>
        <v/>
      </c>
    </row>
    <row r="21625" spans="26:26" x14ac:dyDescent="0.2">
      <c r="Z21625" t="str">
        <f t="shared" si="337"/>
        <v/>
      </c>
    </row>
    <row r="21626" spans="26:26" x14ac:dyDescent="0.2">
      <c r="Z21626" t="str">
        <f t="shared" si="337"/>
        <v/>
      </c>
    </row>
    <row r="21627" spans="26:26" x14ac:dyDescent="0.2">
      <c r="Z21627" t="str">
        <f t="shared" si="337"/>
        <v/>
      </c>
    </row>
    <row r="21628" spans="26:26" x14ac:dyDescent="0.2">
      <c r="Z21628" t="str">
        <f t="shared" si="337"/>
        <v/>
      </c>
    </row>
    <row r="21629" spans="26:26" x14ac:dyDescent="0.2">
      <c r="Z21629" t="str">
        <f t="shared" si="337"/>
        <v/>
      </c>
    </row>
    <row r="21630" spans="26:26" x14ac:dyDescent="0.2">
      <c r="Z21630" t="str">
        <f t="shared" si="337"/>
        <v/>
      </c>
    </row>
    <row r="21631" spans="26:26" x14ac:dyDescent="0.2">
      <c r="Z21631" t="str">
        <f t="shared" si="337"/>
        <v/>
      </c>
    </row>
    <row r="21632" spans="26:26" x14ac:dyDescent="0.2">
      <c r="Z21632" t="str">
        <f t="shared" si="337"/>
        <v/>
      </c>
    </row>
    <row r="21633" spans="26:26" x14ac:dyDescent="0.2">
      <c r="Z21633" t="str">
        <f t="shared" si="337"/>
        <v/>
      </c>
    </row>
    <row r="21634" spans="26:26" x14ac:dyDescent="0.2">
      <c r="Z21634" t="str">
        <f t="shared" si="337"/>
        <v/>
      </c>
    </row>
    <row r="21635" spans="26:26" x14ac:dyDescent="0.2">
      <c r="Z21635" t="str">
        <f t="shared" ref="Z21635:Z21698" si="338">IF(K21635="","",IFERROR(VALUE(TRIM(MID(K21635,FIND(CHAR(167),SUBSTITUTE(K21635,"-",CHAR(167),LEN(K21635)-LEN(SUBSTITUTE(K21635,"-",""))))+1,100))),K21635))</f>
        <v/>
      </c>
    </row>
    <row r="21636" spans="26:26" x14ac:dyDescent="0.2">
      <c r="Z21636" t="str">
        <f t="shared" si="338"/>
        <v/>
      </c>
    </row>
    <row r="21637" spans="26:26" x14ac:dyDescent="0.2">
      <c r="Z21637" t="str">
        <f t="shared" si="338"/>
        <v/>
      </c>
    </row>
    <row r="21638" spans="26:26" x14ac:dyDescent="0.2">
      <c r="Z21638" t="str">
        <f t="shared" si="338"/>
        <v/>
      </c>
    </row>
    <row r="21639" spans="26:26" x14ac:dyDescent="0.2">
      <c r="Z21639" t="str">
        <f t="shared" si="338"/>
        <v/>
      </c>
    </row>
    <row r="21640" spans="26:26" x14ac:dyDescent="0.2">
      <c r="Z21640" t="str">
        <f t="shared" si="338"/>
        <v/>
      </c>
    </row>
    <row r="21641" spans="26:26" x14ac:dyDescent="0.2">
      <c r="Z21641" t="str">
        <f t="shared" si="338"/>
        <v/>
      </c>
    </row>
    <row r="21642" spans="26:26" x14ac:dyDescent="0.2">
      <c r="Z21642" t="str">
        <f t="shared" si="338"/>
        <v/>
      </c>
    </row>
    <row r="21643" spans="26:26" x14ac:dyDescent="0.2">
      <c r="Z21643" t="str">
        <f t="shared" si="338"/>
        <v/>
      </c>
    </row>
    <row r="21644" spans="26:26" x14ac:dyDescent="0.2">
      <c r="Z21644" t="str">
        <f t="shared" si="338"/>
        <v/>
      </c>
    </row>
    <row r="21645" spans="26:26" x14ac:dyDescent="0.2">
      <c r="Z21645" t="str">
        <f t="shared" si="338"/>
        <v/>
      </c>
    </row>
    <row r="21646" spans="26:26" x14ac:dyDescent="0.2">
      <c r="Z21646" t="str">
        <f t="shared" si="338"/>
        <v/>
      </c>
    </row>
    <row r="21647" spans="26:26" x14ac:dyDescent="0.2">
      <c r="Z21647" t="str">
        <f t="shared" si="338"/>
        <v/>
      </c>
    </row>
    <row r="21648" spans="26:26" x14ac:dyDescent="0.2">
      <c r="Z21648" t="str">
        <f t="shared" si="338"/>
        <v/>
      </c>
    </row>
    <row r="21649" spans="26:26" x14ac:dyDescent="0.2">
      <c r="Z21649" t="str">
        <f t="shared" si="338"/>
        <v/>
      </c>
    </row>
    <row r="21650" spans="26:26" x14ac:dyDescent="0.2">
      <c r="Z21650" t="str">
        <f t="shared" si="338"/>
        <v/>
      </c>
    </row>
    <row r="21651" spans="26:26" x14ac:dyDescent="0.2">
      <c r="Z21651" t="str">
        <f t="shared" si="338"/>
        <v/>
      </c>
    </row>
    <row r="21652" spans="26:26" x14ac:dyDescent="0.2">
      <c r="Z21652" t="str">
        <f t="shared" si="338"/>
        <v/>
      </c>
    </row>
    <row r="21653" spans="26:26" x14ac:dyDescent="0.2">
      <c r="Z21653" t="str">
        <f t="shared" si="338"/>
        <v/>
      </c>
    </row>
    <row r="21654" spans="26:26" x14ac:dyDescent="0.2">
      <c r="Z21654" t="str">
        <f t="shared" si="338"/>
        <v/>
      </c>
    </row>
    <row r="21655" spans="26:26" x14ac:dyDescent="0.2">
      <c r="Z21655" t="str">
        <f t="shared" si="338"/>
        <v/>
      </c>
    </row>
    <row r="21656" spans="26:26" x14ac:dyDescent="0.2">
      <c r="Z21656" t="str">
        <f t="shared" si="338"/>
        <v/>
      </c>
    </row>
    <row r="21657" spans="26:26" x14ac:dyDescent="0.2">
      <c r="Z21657" t="str">
        <f t="shared" si="338"/>
        <v/>
      </c>
    </row>
    <row r="21658" spans="26:26" x14ac:dyDescent="0.2">
      <c r="Z21658" t="str">
        <f t="shared" si="338"/>
        <v/>
      </c>
    </row>
    <row r="21659" spans="26:26" x14ac:dyDescent="0.2">
      <c r="Z21659" t="str">
        <f t="shared" si="338"/>
        <v/>
      </c>
    </row>
    <row r="21660" spans="26:26" x14ac:dyDescent="0.2">
      <c r="Z21660" t="str">
        <f t="shared" si="338"/>
        <v/>
      </c>
    </row>
    <row r="21661" spans="26:26" x14ac:dyDescent="0.2">
      <c r="Z21661" t="str">
        <f t="shared" si="338"/>
        <v/>
      </c>
    </row>
    <row r="21662" spans="26:26" x14ac:dyDescent="0.2">
      <c r="Z21662" t="str">
        <f t="shared" si="338"/>
        <v/>
      </c>
    </row>
    <row r="21663" spans="26:26" x14ac:dyDescent="0.2">
      <c r="Z21663" t="str">
        <f t="shared" si="338"/>
        <v/>
      </c>
    </row>
    <row r="21664" spans="26:26" x14ac:dyDescent="0.2">
      <c r="Z21664" t="str">
        <f t="shared" si="338"/>
        <v/>
      </c>
    </row>
    <row r="21665" spans="26:26" x14ac:dyDescent="0.2">
      <c r="Z21665" t="str">
        <f t="shared" si="338"/>
        <v/>
      </c>
    </row>
    <row r="21666" spans="26:26" x14ac:dyDescent="0.2">
      <c r="Z21666" t="str">
        <f t="shared" si="338"/>
        <v/>
      </c>
    </row>
    <row r="21667" spans="26:26" x14ac:dyDescent="0.2">
      <c r="Z21667" t="str">
        <f t="shared" si="338"/>
        <v/>
      </c>
    </row>
    <row r="21668" spans="26:26" x14ac:dyDescent="0.2">
      <c r="Z21668" t="str">
        <f t="shared" si="338"/>
        <v/>
      </c>
    </row>
    <row r="21669" spans="26:26" x14ac:dyDescent="0.2">
      <c r="Z21669" t="str">
        <f t="shared" si="338"/>
        <v/>
      </c>
    </row>
    <row r="21670" spans="26:26" x14ac:dyDescent="0.2">
      <c r="Z21670" t="str">
        <f t="shared" si="338"/>
        <v/>
      </c>
    </row>
    <row r="21671" spans="26:26" x14ac:dyDescent="0.2">
      <c r="Z21671" t="str">
        <f t="shared" si="338"/>
        <v/>
      </c>
    </row>
    <row r="21672" spans="26:26" x14ac:dyDescent="0.2">
      <c r="Z21672" t="str">
        <f t="shared" si="338"/>
        <v/>
      </c>
    </row>
    <row r="21673" spans="26:26" x14ac:dyDescent="0.2">
      <c r="Z21673" t="str">
        <f t="shared" si="338"/>
        <v/>
      </c>
    </row>
    <row r="21674" spans="26:26" x14ac:dyDescent="0.2">
      <c r="Z21674" t="str">
        <f t="shared" si="338"/>
        <v/>
      </c>
    </row>
    <row r="21675" spans="26:26" x14ac:dyDescent="0.2">
      <c r="Z21675" t="str">
        <f t="shared" si="338"/>
        <v/>
      </c>
    </row>
    <row r="21676" spans="26:26" x14ac:dyDescent="0.2">
      <c r="Z21676" t="str">
        <f t="shared" si="338"/>
        <v/>
      </c>
    </row>
    <row r="21677" spans="26:26" x14ac:dyDescent="0.2">
      <c r="Z21677" t="str">
        <f t="shared" si="338"/>
        <v/>
      </c>
    </row>
    <row r="21678" spans="26:26" x14ac:dyDescent="0.2">
      <c r="Z21678" t="str">
        <f t="shared" si="338"/>
        <v/>
      </c>
    </row>
    <row r="21679" spans="26:26" x14ac:dyDescent="0.2">
      <c r="Z21679" t="str">
        <f t="shared" si="338"/>
        <v/>
      </c>
    </row>
    <row r="21680" spans="26:26" x14ac:dyDescent="0.2">
      <c r="Z21680" t="str">
        <f t="shared" si="338"/>
        <v/>
      </c>
    </row>
    <row r="21681" spans="26:26" x14ac:dyDescent="0.2">
      <c r="Z21681" t="str">
        <f t="shared" si="338"/>
        <v/>
      </c>
    </row>
    <row r="21682" spans="26:26" x14ac:dyDescent="0.2">
      <c r="Z21682" t="str">
        <f t="shared" si="338"/>
        <v/>
      </c>
    </row>
    <row r="21683" spans="26:26" x14ac:dyDescent="0.2">
      <c r="Z21683" t="str">
        <f t="shared" si="338"/>
        <v/>
      </c>
    </row>
    <row r="21684" spans="26:26" x14ac:dyDescent="0.2">
      <c r="Z21684" t="str">
        <f t="shared" si="338"/>
        <v/>
      </c>
    </row>
    <row r="21685" spans="26:26" x14ac:dyDescent="0.2">
      <c r="Z21685" t="str">
        <f t="shared" si="338"/>
        <v/>
      </c>
    </row>
    <row r="21686" spans="26:26" x14ac:dyDescent="0.2">
      <c r="Z21686" t="str">
        <f t="shared" si="338"/>
        <v/>
      </c>
    </row>
    <row r="21687" spans="26:26" x14ac:dyDescent="0.2">
      <c r="Z21687" t="str">
        <f t="shared" si="338"/>
        <v/>
      </c>
    </row>
    <row r="21688" spans="26:26" x14ac:dyDescent="0.2">
      <c r="Z21688" t="str">
        <f t="shared" si="338"/>
        <v/>
      </c>
    </row>
    <row r="21689" spans="26:26" x14ac:dyDescent="0.2">
      <c r="Z21689" t="str">
        <f t="shared" si="338"/>
        <v/>
      </c>
    </row>
    <row r="21690" spans="26:26" x14ac:dyDescent="0.2">
      <c r="Z21690" t="str">
        <f t="shared" si="338"/>
        <v/>
      </c>
    </row>
    <row r="21691" spans="26:26" x14ac:dyDescent="0.2">
      <c r="Z21691" t="str">
        <f t="shared" si="338"/>
        <v/>
      </c>
    </row>
    <row r="21692" spans="26:26" x14ac:dyDescent="0.2">
      <c r="Z21692" t="str">
        <f t="shared" si="338"/>
        <v/>
      </c>
    </row>
    <row r="21693" spans="26:26" x14ac:dyDescent="0.2">
      <c r="Z21693" t="str">
        <f t="shared" si="338"/>
        <v/>
      </c>
    </row>
    <row r="21694" spans="26:26" x14ac:dyDescent="0.2">
      <c r="Z21694" t="str">
        <f t="shared" si="338"/>
        <v/>
      </c>
    </row>
    <row r="21695" spans="26:26" x14ac:dyDescent="0.2">
      <c r="Z21695" t="str">
        <f t="shared" si="338"/>
        <v/>
      </c>
    </row>
    <row r="21696" spans="26:26" x14ac:dyDescent="0.2">
      <c r="Z21696" t="str">
        <f t="shared" si="338"/>
        <v/>
      </c>
    </row>
    <row r="21697" spans="26:26" x14ac:dyDescent="0.2">
      <c r="Z21697" t="str">
        <f t="shared" si="338"/>
        <v/>
      </c>
    </row>
    <row r="21698" spans="26:26" x14ac:dyDescent="0.2">
      <c r="Z21698" t="str">
        <f t="shared" si="338"/>
        <v/>
      </c>
    </row>
    <row r="21699" spans="26:26" x14ac:dyDescent="0.2">
      <c r="Z21699" t="str">
        <f t="shared" ref="Z21699:Z21762" si="339">IF(K21699="","",IFERROR(VALUE(TRIM(MID(K21699,FIND(CHAR(167),SUBSTITUTE(K21699,"-",CHAR(167),LEN(K21699)-LEN(SUBSTITUTE(K21699,"-",""))))+1,100))),K21699))</f>
        <v/>
      </c>
    </row>
    <row r="21700" spans="26:26" x14ac:dyDescent="0.2">
      <c r="Z21700" t="str">
        <f t="shared" si="339"/>
        <v/>
      </c>
    </row>
    <row r="21701" spans="26:26" x14ac:dyDescent="0.2">
      <c r="Z21701" t="str">
        <f t="shared" si="339"/>
        <v/>
      </c>
    </row>
    <row r="21702" spans="26:26" x14ac:dyDescent="0.2">
      <c r="Z21702" t="str">
        <f t="shared" si="339"/>
        <v/>
      </c>
    </row>
    <row r="21703" spans="26:26" x14ac:dyDescent="0.2">
      <c r="Z21703" t="str">
        <f t="shared" si="339"/>
        <v/>
      </c>
    </row>
    <row r="21704" spans="26:26" x14ac:dyDescent="0.2">
      <c r="Z21704" t="str">
        <f t="shared" si="339"/>
        <v/>
      </c>
    </row>
    <row r="21705" spans="26:26" x14ac:dyDescent="0.2">
      <c r="Z21705" t="str">
        <f t="shared" si="339"/>
        <v/>
      </c>
    </row>
    <row r="21706" spans="26:26" x14ac:dyDescent="0.2">
      <c r="Z21706" t="str">
        <f t="shared" si="339"/>
        <v/>
      </c>
    </row>
    <row r="21707" spans="26:26" x14ac:dyDescent="0.2">
      <c r="Z21707" t="str">
        <f t="shared" si="339"/>
        <v/>
      </c>
    </row>
    <row r="21708" spans="26:26" x14ac:dyDescent="0.2">
      <c r="Z21708" t="str">
        <f t="shared" si="339"/>
        <v/>
      </c>
    </row>
    <row r="21709" spans="26:26" x14ac:dyDescent="0.2">
      <c r="Z21709" t="str">
        <f t="shared" si="339"/>
        <v/>
      </c>
    </row>
    <row r="21710" spans="26:26" x14ac:dyDescent="0.2">
      <c r="Z21710" t="str">
        <f t="shared" si="339"/>
        <v/>
      </c>
    </row>
    <row r="21711" spans="26:26" x14ac:dyDescent="0.2">
      <c r="Z21711" t="str">
        <f t="shared" si="339"/>
        <v/>
      </c>
    </row>
    <row r="21712" spans="26:26" x14ac:dyDescent="0.2">
      <c r="Z21712" t="str">
        <f t="shared" si="339"/>
        <v/>
      </c>
    </row>
    <row r="21713" spans="26:26" x14ac:dyDescent="0.2">
      <c r="Z21713" t="str">
        <f t="shared" si="339"/>
        <v/>
      </c>
    </row>
    <row r="21714" spans="26:26" x14ac:dyDescent="0.2">
      <c r="Z21714" t="str">
        <f t="shared" si="339"/>
        <v/>
      </c>
    </row>
    <row r="21715" spans="26:26" x14ac:dyDescent="0.2">
      <c r="Z21715" t="str">
        <f t="shared" si="339"/>
        <v/>
      </c>
    </row>
    <row r="21716" spans="26:26" x14ac:dyDescent="0.2">
      <c r="Z21716" t="str">
        <f t="shared" si="339"/>
        <v/>
      </c>
    </row>
    <row r="21717" spans="26:26" x14ac:dyDescent="0.2">
      <c r="Z21717" t="str">
        <f t="shared" si="339"/>
        <v/>
      </c>
    </row>
    <row r="21718" spans="26:26" x14ac:dyDescent="0.2">
      <c r="Z21718" t="str">
        <f t="shared" si="339"/>
        <v/>
      </c>
    </row>
    <row r="21719" spans="26:26" x14ac:dyDescent="0.2">
      <c r="Z21719" t="str">
        <f t="shared" si="339"/>
        <v/>
      </c>
    </row>
    <row r="21720" spans="26:26" x14ac:dyDescent="0.2">
      <c r="Z21720" t="str">
        <f t="shared" si="339"/>
        <v/>
      </c>
    </row>
    <row r="21721" spans="26:26" x14ac:dyDescent="0.2">
      <c r="Z21721" t="str">
        <f t="shared" si="339"/>
        <v/>
      </c>
    </row>
    <row r="21722" spans="26:26" x14ac:dyDescent="0.2">
      <c r="Z21722" t="str">
        <f t="shared" si="339"/>
        <v/>
      </c>
    </row>
    <row r="21723" spans="26:26" x14ac:dyDescent="0.2">
      <c r="Z21723" t="str">
        <f t="shared" si="339"/>
        <v/>
      </c>
    </row>
    <row r="21724" spans="26:26" x14ac:dyDescent="0.2">
      <c r="Z21724" t="str">
        <f t="shared" si="339"/>
        <v/>
      </c>
    </row>
    <row r="21725" spans="26:26" x14ac:dyDescent="0.2">
      <c r="Z21725" t="str">
        <f t="shared" si="339"/>
        <v/>
      </c>
    </row>
    <row r="21726" spans="26:26" x14ac:dyDescent="0.2">
      <c r="Z21726" t="str">
        <f t="shared" si="339"/>
        <v/>
      </c>
    </row>
    <row r="21727" spans="26:26" x14ac:dyDescent="0.2">
      <c r="Z21727" t="str">
        <f t="shared" si="339"/>
        <v/>
      </c>
    </row>
    <row r="21728" spans="26:26" x14ac:dyDescent="0.2">
      <c r="Z21728" t="str">
        <f t="shared" si="339"/>
        <v/>
      </c>
    </row>
    <row r="21729" spans="26:26" x14ac:dyDescent="0.2">
      <c r="Z21729" t="str">
        <f t="shared" si="339"/>
        <v/>
      </c>
    </row>
    <row r="21730" spans="26:26" x14ac:dyDescent="0.2">
      <c r="Z21730" t="str">
        <f t="shared" si="339"/>
        <v/>
      </c>
    </row>
    <row r="21731" spans="26:26" x14ac:dyDescent="0.2">
      <c r="Z21731" t="str">
        <f t="shared" si="339"/>
        <v/>
      </c>
    </row>
    <row r="21732" spans="26:26" x14ac:dyDescent="0.2">
      <c r="Z21732" t="str">
        <f t="shared" si="339"/>
        <v/>
      </c>
    </row>
    <row r="21733" spans="26:26" x14ac:dyDescent="0.2">
      <c r="Z21733" t="str">
        <f t="shared" si="339"/>
        <v/>
      </c>
    </row>
    <row r="21734" spans="26:26" x14ac:dyDescent="0.2">
      <c r="Z21734" t="str">
        <f t="shared" si="339"/>
        <v/>
      </c>
    </row>
    <row r="21735" spans="26:26" x14ac:dyDescent="0.2">
      <c r="Z21735" t="str">
        <f t="shared" si="339"/>
        <v/>
      </c>
    </row>
    <row r="21736" spans="26:26" x14ac:dyDescent="0.2">
      <c r="Z21736" t="str">
        <f t="shared" si="339"/>
        <v/>
      </c>
    </row>
    <row r="21737" spans="26:26" x14ac:dyDescent="0.2">
      <c r="Z21737" t="str">
        <f t="shared" si="339"/>
        <v/>
      </c>
    </row>
    <row r="21738" spans="26:26" x14ac:dyDescent="0.2">
      <c r="Z21738" t="str">
        <f t="shared" si="339"/>
        <v/>
      </c>
    </row>
    <row r="21739" spans="26:26" x14ac:dyDescent="0.2">
      <c r="Z21739" t="str">
        <f t="shared" si="339"/>
        <v/>
      </c>
    </row>
    <row r="21740" spans="26:26" x14ac:dyDescent="0.2">
      <c r="Z21740" t="str">
        <f t="shared" si="339"/>
        <v/>
      </c>
    </row>
    <row r="21741" spans="26:26" x14ac:dyDescent="0.2">
      <c r="Z21741" t="str">
        <f t="shared" si="339"/>
        <v/>
      </c>
    </row>
    <row r="21742" spans="26:26" x14ac:dyDescent="0.2">
      <c r="Z21742" t="str">
        <f t="shared" si="339"/>
        <v/>
      </c>
    </row>
    <row r="21743" spans="26:26" x14ac:dyDescent="0.2">
      <c r="Z21743" t="str">
        <f t="shared" si="339"/>
        <v/>
      </c>
    </row>
    <row r="21744" spans="26:26" x14ac:dyDescent="0.2">
      <c r="Z21744" t="str">
        <f t="shared" si="339"/>
        <v/>
      </c>
    </row>
    <row r="21745" spans="26:26" x14ac:dyDescent="0.2">
      <c r="Z21745" t="str">
        <f t="shared" si="339"/>
        <v/>
      </c>
    </row>
    <row r="21746" spans="26:26" x14ac:dyDescent="0.2">
      <c r="Z21746" t="str">
        <f t="shared" si="339"/>
        <v/>
      </c>
    </row>
    <row r="21747" spans="26:26" x14ac:dyDescent="0.2">
      <c r="Z21747" t="str">
        <f t="shared" si="339"/>
        <v/>
      </c>
    </row>
    <row r="21748" spans="26:26" x14ac:dyDescent="0.2">
      <c r="Z21748" t="str">
        <f t="shared" si="339"/>
        <v/>
      </c>
    </row>
    <row r="21749" spans="26:26" x14ac:dyDescent="0.2">
      <c r="Z21749" t="str">
        <f t="shared" si="339"/>
        <v/>
      </c>
    </row>
    <row r="21750" spans="26:26" x14ac:dyDescent="0.2">
      <c r="Z21750" t="str">
        <f t="shared" si="339"/>
        <v/>
      </c>
    </row>
    <row r="21751" spans="26:26" x14ac:dyDescent="0.2">
      <c r="Z21751" t="str">
        <f t="shared" si="339"/>
        <v/>
      </c>
    </row>
    <row r="21752" spans="26:26" x14ac:dyDescent="0.2">
      <c r="Z21752" t="str">
        <f t="shared" si="339"/>
        <v/>
      </c>
    </row>
    <row r="21753" spans="26:26" x14ac:dyDescent="0.2">
      <c r="Z21753" t="str">
        <f t="shared" si="339"/>
        <v/>
      </c>
    </row>
    <row r="21754" spans="26:26" x14ac:dyDescent="0.2">
      <c r="Z21754" t="str">
        <f t="shared" si="339"/>
        <v/>
      </c>
    </row>
    <row r="21755" spans="26:26" x14ac:dyDescent="0.2">
      <c r="Z21755" t="str">
        <f t="shared" si="339"/>
        <v/>
      </c>
    </row>
    <row r="21756" spans="26:26" x14ac:dyDescent="0.2">
      <c r="Z21756" t="str">
        <f t="shared" si="339"/>
        <v/>
      </c>
    </row>
    <row r="21757" spans="26:26" x14ac:dyDescent="0.2">
      <c r="Z21757" t="str">
        <f t="shared" si="339"/>
        <v/>
      </c>
    </row>
    <row r="21758" spans="26:26" x14ac:dyDescent="0.2">
      <c r="Z21758" t="str">
        <f t="shared" si="339"/>
        <v/>
      </c>
    </row>
    <row r="21759" spans="26:26" x14ac:dyDescent="0.2">
      <c r="Z21759" t="str">
        <f t="shared" si="339"/>
        <v/>
      </c>
    </row>
    <row r="21760" spans="26:26" x14ac:dyDescent="0.2">
      <c r="Z21760" t="str">
        <f t="shared" si="339"/>
        <v/>
      </c>
    </row>
    <row r="21761" spans="26:26" x14ac:dyDescent="0.2">
      <c r="Z21761" t="str">
        <f t="shared" si="339"/>
        <v/>
      </c>
    </row>
    <row r="21762" spans="26:26" x14ac:dyDescent="0.2">
      <c r="Z21762" t="str">
        <f t="shared" si="339"/>
        <v/>
      </c>
    </row>
    <row r="21763" spans="26:26" x14ac:dyDescent="0.2">
      <c r="Z21763" t="str">
        <f t="shared" ref="Z21763:Z21826" si="340">IF(K21763="","",IFERROR(VALUE(TRIM(MID(K21763,FIND(CHAR(167),SUBSTITUTE(K21763,"-",CHAR(167),LEN(K21763)-LEN(SUBSTITUTE(K21763,"-",""))))+1,100))),K21763))</f>
        <v/>
      </c>
    </row>
    <row r="21764" spans="26:26" x14ac:dyDescent="0.2">
      <c r="Z21764" t="str">
        <f t="shared" si="340"/>
        <v/>
      </c>
    </row>
    <row r="21765" spans="26:26" x14ac:dyDescent="0.2">
      <c r="Z21765" t="str">
        <f t="shared" si="340"/>
        <v/>
      </c>
    </row>
    <row r="21766" spans="26:26" x14ac:dyDescent="0.2">
      <c r="Z21766" t="str">
        <f t="shared" si="340"/>
        <v/>
      </c>
    </row>
    <row r="21767" spans="26:26" x14ac:dyDescent="0.2">
      <c r="Z21767" t="str">
        <f t="shared" si="340"/>
        <v/>
      </c>
    </row>
    <row r="21768" spans="26:26" x14ac:dyDescent="0.2">
      <c r="Z21768" t="str">
        <f t="shared" si="340"/>
        <v/>
      </c>
    </row>
    <row r="21769" spans="26:26" x14ac:dyDescent="0.2">
      <c r="Z21769" t="str">
        <f t="shared" si="340"/>
        <v/>
      </c>
    </row>
    <row r="21770" spans="26:26" x14ac:dyDescent="0.2">
      <c r="Z21770" t="str">
        <f t="shared" si="340"/>
        <v/>
      </c>
    </row>
    <row r="21771" spans="26:26" x14ac:dyDescent="0.2">
      <c r="Z21771" t="str">
        <f t="shared" si="340"/>
        <v/>
      </c>
    </row>
    <row r="21772" spans="26:26" x14ac:dyDescent="0.2">
      <c r="Z21772" t="str">
        <f t="shared" si="340"/>
        <v/>
      </c>
    </row>
    <row r="21773" spans="26:26" x14ac:dyDescent="0.2">
      <c r="Z21773" t="str">
        <f t="shared" si="340"/>
        <v/>
      </c>
    </row>
    <row r="21774" spans="26:26" x14ac:dyDescent="0.2">
      <c r="Z21774" t="str">
        <f t="shared" si="340"/>
        <v/>
      </c>
    </row>
    <row r="21775" spans="26:26" x14ac:dyDescent="0.2">
      <c r="Z21775" t="str">
        <f t="shared" si="340"/>
        <v/>
      </c>
    </row>
    <row r="21776" spans="26:26" x14ac:dyDescent="0.2">
      <c r="Z21776" t="str">
        <f t="shared" si="340"/>
        <v/>
      </c>
    </row>
    <row r="21777" spans="26:26" x14ac:dyDescent="0.2">
      <c r="Z21777" t="str">
        <f t="shared" si="340"/>
        <v/>
      </c>
    </row>
    <row r="21778" spans="26:26" x14ac:dyDescent="0.2">
      <c r="Z21778" t="str">
        <f t="shared" si="340"/>
        <v/>
      </c>
    </row>
    <row r="21779" spans="26:26" x14ac:dyDescent="0.2">
      <c r="Z21779" t="str">
        <f t="shared" si="340"/>
        <v/>
      </c>
    </row>
    <row r="21780" spans="26:26" x14ac:dyDescent="0.2">
      <c r="Z21780" t="str">
        <f t="shared" si="340"/>
        <v/>
      </c>
    </row>
    <row r="21781" spans="26:26" x14ac:dyDescent="0.2">
      <c r="Z21781" t="str">
        <f t="shared" si="340"/>
        <v/>
      </c>
    </row>
    <row r="21782" spans="26:26" x14ac:dyDescent="0.2">
      <c r="Z21782" t="str">
        <f t="shared" si="340"/>
        <v/>
      </c>
    </row>
    <row r="21783" spans="26:26" x14ac:dyDescent="0.2">
      <c r="Z21783" t="str">
        <f t="shared" si="340"/>
        <v/>
      </c>
    </row>
    <row r="21784" spans="26:26" x14ac:dyDescent="0.2">
      <c r="Z21784" t="str">
        <f t="shared" si="340"/>
        <v/>
      </c>
    </row>
    <row r="21785" spans="26:26" x14ac:dyDescent="0.2">
      <c r="Z21785" t="str">
        <f t="shared" si="340"/>
        <v/>
      </c>
    </row>
    <row r="21786" spans="26:26" x14ac:dyDescent="0.2">
      <c r="Z21786" t="str">
        <f t="shared" si="340"/>
        <v/>
      </c>
    </row>
    <row r="21787" spans="26:26" x14ac:dyDescent="0.2">
      <c r="Z21787" t="str">
        <f t="shared" si="340"/>
        <v/>
      </c>
    </row>
    <row r="21788" spans="26:26" x14ac:dyDescent="0.2">
      <c r="Z21788" t="str">
        <f t="shared" si="340"/>
        <v/>
      </c>
    </row>
    <row r="21789" spans="26:26" x14ac:dyDescent="0.2">
      <c r="Z21789" t="str">
        <f t="shared" si="340"/>
        <v/>
      </c>
    </row>
    <row r="21790" spans="26:26" x14ac:dyDescent="0.2">
      <c r="Z21790" t="str">
        <f t="shared" si="340"/>
        <v/>
      </c>
    </row>
    <row r="21791" spans="26:26" x14ac:dyDescent="0.2">
      <c r="Z21791" t="str">
        <f t="shared" si="340"/>
        <v/>
      </c>
    </row>
    <row r="21792" spans="26:26" x14ac:dyDescent="0.2">
      <c r="Z21792" t="str">
        <f t="shared" si="340"/>
        <v/>
      </c>
    </row>
    <row r="21793" spans="26:26" x14ac:dyDescent="0.2">
      <c r="Z21793" t="str">
        <f t="shared" si="340"/>
        <v/>
      </c>
    </row>
    <row r="21794" spans="26:26" x14ac:dyDescent="0.2">
      <c r="Z21794" t="str">
        <f t="shared" si="340"/>
        <v/>
      </c>
    </row>
    <row r="21795" spans="26:26" x14ac:dyDescent="0.2">
      <c r="Z21795" t="str">
        <f t="shared" si="340"/>
        <v/>
      </c>
    </row>
    <row r="21796" spans="26:26" x14ac:dyDescent="0.2">
      <c r="Z21796" t="str">
        <f t="shared" si="340"/>
        <v/>
      </c>
    </row>
    <row r="21797" spans="26:26" x14ac:dyDescent="0.2">
      <c r="Z21797" t="str">
        <f t="shared" si="340"/>
        <v/>
      </c>
    </row>
    <row r="21798" spans="26:26" x14ac:dyDescent="0.2">
      <c r="Z21798" t="str">
        <f t="shared" si="340"/>
        <v/>
      </c>
    </row>
    <row r="21799" spans="26:26" x14ac:dyDescent="0.2">
      <c r="Z21799" t="str">
        <f t="shared" si="340"/>
        <v/>
      </c>
    </row>
    <row r="21800" spans="26:26" x14ac:dyDescent="0.2">
      <c r="Z21800" t="str">
        <f t="shared" si="340"/>
        <v/>
      </c>
    </row>
    <row r="21801" spans="26:26" x14ac:dyDescent="0.2">
      <c r="Z21801" t="str">
        <f t="shared" si="340"/>
        <v/>
      </c>
    </row>
    <row r="21802" spans="26:26" x14ac:dyDescent="0.2">
      <c r="Z21802" t="str">
        <f t="shared" si="340"/>
        <v/>
      </c>
    </row>
    <row r="21803" spans="26:26" x14ac:dyDescent="0.2">
      <c r="Z21803" t="str">
        <f t="shared" si="340"/>
        <v/>
      </c>
    </row>
    <row r="21804" spans="26:26" x14ac:dyDescent="0.2">
      <c r="Z21804" t="str">
        <f t="shared" si="340"/>
        <v/>
      </c>
    </row>
    <row r="21805" spans="26:26" x14ac:dyDescent="0.2">
      <c r="Z21805" t="str">
        <f t="shared" si="340"/>
        <v/>
      </c>
    </row>
    <row r="21806" spans="26:26" x14ac:dyDescent="0.2">
      <c r="Z21806" t="str">
        <f t="shared" si="340"/>
        <v/>
      </c>
    </row>
    <row r="21807" spans="26:26" x14ac:dyDescent="0.2">
      <c r="Z21807" t="str">
        <f t="shared" si="340"/>
        <v/>
      </c>
    </row>
    <row r="21808" spans="26:26" x14ac:dyDescent="0.2">
      <c r="Z21808" t="str">
        <f t="shared" si="340"/>
        <v/>
      </c>
    </row>
    <row r="21809" spans="26:26" x14ac:dyDescent="0.2">
      <c r="Z21809" t="str">
        <f t="shared" si="340"/>
        <v/>
      </c>
    </row>
    <row r="21810" spans="26:26" x14ac:dyDescent="0.2">
      <c r="Z21810" t="str">
        <f t="shared" si="340"/>
        <v/>
      </c>
    </row>
    <row r="21811" spans="26:26" x14ac:dyDescent="0.2">
      <c r="Z21811" t="str">
        <f t="shared" si="340"/>
        <v/>
      </c>
    </row>
    <row r="21812" spans="26:26" x14ac:dyDescent="0.2">
      <c r="Z21812" t="str">
        <f t="shared" si="340"/>
        <v/>
      </c>
    </row>
    <row r="21813" spans="26:26" x14ac:dyDescent="0.2">
      <c r="Z21813" t="str">
        <f t="shared" si="340"/>
        <v/>
      </c>
    </row>
    <row r="21814" spans="26:26" x14ac:dyDescent="0.2">
      <c r="Z21814" t="str">
        <f t="shared" si="340"/>
        <v/>
      </c>
    </row>
    <row r="21815" spans="26:26" x14ac:dyDescent="0.2">
      <c r="Z21815" t="str">
        <f t="shared" si="340"/>
        <v/>
      </c>
    </row>
    <row r="21816" spans="26:26" x14ac:dyDescent="0.2">
      <c r="Z21816" t="str">
        <f t="shared" si="340"/>
        <v/>
      </c>
    </row>
    <row r="21817" spans="26:26" x14ac:dyDescent="0.2">
      <c r="Z21817" t="str">
        <f t="shared" si="340"/>
        <v/>
      </c>
    </row>
    <row r="21818" spans="26:26" x14ac:dyDescent="0.2">
      <c r="Z21818" t="str">
        <f t="shared" si="340"/>
        <v/>
      </c>
    </row>
    <row r="21819" spans="26:26" x14ac:dyDescent="0.2">
      <c r="Z21819" t="str">
        <f t="shared" si="340"/>
        <v/>
      </c>
    </row>
    <row r="21820" spans="26:26" x14ac:dyDescent="0.2">
      <c r="Z21820" t="str">
        <f t="shared" si="340"/>
        <v/>
      </c>
    </row>
    <row r="21821" spans="26:26" x14ac:dyDescent="0.2">
      <c r="Z21821" t="str">
        <f t="shared" si="340"/>
        <v/>
      </c>
    </row>
    <row r="21822" spans="26:26" x14ac:dyDescent="0.2">
      <c r="Z21822" t="str">
        <f t="shared" si="340"/>
        <v/>
      </c>
    </row>
    <row r="21823" spans="26:26" x14ac:dyDescent="0.2">
      <c r="Z21823" t="str">
        <f t="shared" si="340"/>
        <v/>
      </c>
    </row>
    <row r="21824" spans="26:26" x14ac:dyDescent="0.2">
      <c r="Z21824" t="str">
        <f t="shared" si="340"/>
        <v/>
      </c>
    </row>
    <row r="21825" spans="26:26" x14ac:dyDescent="0.2">
      <c r="Z21825" t="str">
        <f t="shared" si="340"/>
        <v/>
      </c>
    </row>
    <row r="21826" spans="26:26" x14ac:dyDescent="0.2">
      <c r="Z21826" t="str">
        <f t="shared" si="340"/>
        <v/>
      </c>
    </row>
    <row r="21827" spans="26:26" x14ac:dyDescent="0.2">
      <c r="Z21827" t="str">
        <f t="shared" ref="Z21827:Z21890" si="341">IF(K21827="","",IFERROR(VALUE(TRIM(MID(K21827,FIND(CHAR(167),SUBSTITUTE(K21827,"-",CHAR(167),LEN(K21827)-LEN(SUBSTITUTE(K21827,"-",""))))+1,100))),K21827))</f>
        <v/>
      </c>
    </row>
    <row r="21828" spans="26:26" x14ac:dyDescent="0.2">
      <c r="Z21828" t="str">
        <f t="shared" si="341"/>
        <v/>
      </c>
    </row>
    <row r="21829" spans="26:26" x14ac:dyDescent="0.2">
      <c r="Z21829" t="str">
        <f t="shared" si="341"/>
        <v/>
      </c>
    </row>
    <row r="21830" spans="26:26" x14ac:dyDescent="0.2">
      <c r="Z21830" t="str">
        <f t="shared" si="341"/>
        <v/>
      </c>
    </row>
    <row r="21831" spans="26:26" x14ac:dyDescent="0.2">
      <c r="Z21831" t="str">
        <f t="shared" si="341"/>
        <v/>
      </c>
    </row>
    <row r="21832" spans="26:26" x14ac:dyDescent="0.2">
      <c r="Z21832" t="str">
        <f t="shared" si="341"/>
        <v/>
      </c>
    </row>
    <row r="21833" spans="26:26" x14ac:dyDescent="0.2">
      <c r="Z21833" t="str">
        <f t="shared" si="341"/>
        <v/>
      </c>
    </row>
    <row r="21834" spans="26:26" x14ac:dyDescent="0.2">
      <c r="Z21834" t="str">
        <f t="shared" si="341"/>
        <v/>
      </c>
    </row>
    <row r="21835" spans="26:26" x14ac:dyDescent="0.2">
      <c r="Z21835" t="str">
        <f t="shared" si="341"/>
        <v/>
      </c>
    </row>
    <row r="21836" spans="26:26" x14ac:dyDescent="0.2">
      <c r="Z21836" t="str">
        <f t="shared" si="341"/>
        <v/>
      </c>
    </row>
    <row r="21837" spans="26:26" x14ac:dyDescent="0.2">
      <c r="Z21837" t="str">
        <f t="shared" si="341"/>
        <v/>
      </c>
    </row>
    <row r="21838" spans="26:26" x14ac:dyDescent="0.2">
      <c r="Z21838" t="str">
        <f t="shared" si="341"/>
        <v/>
      </c>
    </row>
    <row r="21839" spans="26:26" x14ac:dyDescent="0.2">
      <c r="Z21839" t="str">
        <f t="shared" si="341"/>
        <v/>
      </c>
    </row>
    <row r="21840" spans="26:26" x14ac:dyDescent="0.2">
      <c r="Z21840" t="str">
        <f t="shared" si="341"/>
        <v/>
      </c>
    </row>
    <row r="21841" spans="26:26" x14ac:dyDescent="0.2">
      <c r="Z21841" t="str">
        <f t="shared" si="341"/>
        <v/>
      </c>
    </row>
    <row r="21842" spans="26:26" x14ac:dyDescent="0.2">
      <c r="Z21842" t="str">
        <f t="shared" si="341"/>
        <v/>
      </c>
    </row>
    <row r="21843" spans="26:26" x14ac:dyDescent="0.2">
      <c r="Z21843" t="str">
        <f t="shared" si="341"/>
        <v/>
      </c>
    </row>
    <row r="21844" spans="26:26" x14ac:dyDescent="0.2">
      <c r="Z21844" t="str">
        <f t="shared" si="341"/>
        <v/>
      </c>
    </row>
    <row r="21845" spans="26:26" x14ac:dyDescent="0.2">
      <c r="Z21845" t="str">
        <f t="shared" si="341"/>
        <v/>
      </c>
    </row>
    <row r="21846" spans="26:26" x14ac:dyDescent="0.2">
      <c r="Z21846" t="str">
        <f t="shared" si="341"/>
        <v/>
      </c>
    </row>
    <row r="21847" spans="26:26" x14ac:dyDescent="0.2">
      <c r="Z21847" t="str">
        <f t="shared" si="341"/>
        <v/>
      </c>
    </row>
    <row r="21848" spans="26:26" x14ac:dyDescent="0.2">
      <c r="Z21848" t="str">
        <f t="shared" si="341"/>
        <v/>
      </c>
    </row>
    <row r="21849" spans="26:26" x14ac:dyDescent="0.2">
      <c r="Z21849" t="str">
        <f t="shared" si="341"/>
        <v/>
      </c>
    </row>
    <row r="21850" spans="26:26" x14ac:dyDescent="0.2">
      <c r="Z21850" t="str">
        <f t="shared" si="341"/>
        <v/>
      </c>
    </row>
    <row r="21851" spans="26:26" x14ac:dyDescent="0.2">
      <c r="Z21851" t="str">
        <f t="shared" si="341"/>
        <v/>
      </c>
    </row>
    <row r="21852" spans="26:26" x14ac:dyDescent="0.2">
      <c r="Z21852" t="str">
        <f t="shared" si="341"/>
        <v/>
      </c>
    </row>
    <row r="21853" spans="26:26" x14ac:dyDescent="0.2">
      <c r="Z21853" t="str">
        <f t="shared" si="341"/>
        <v/>
      </c>
    </row>
    <row r="21854" spans="26:26" x14ac:dyDescent="0.2">
      <c r="Z21854" t="str">
        <f t="shared" si="341"/>
        <v/>
      </c>
    </row>
    <row r="21855" spans="26:26" x14ac:dyDescent="0.2">
      <c r="Z21855" t="str">
        <f t="shared" si="341"/>
        <v/>
      </c>
    </row>
    <row r="21856" spans="26:26" x14ac:dyDescent="0.2">
      <c r="Z21856" t="str">
        <f t="shared" si="341"/>
        <v/>
      </c>
    </row>
    <row r="21857" spans="26:26" x14ac:dyDescent="0.2">
      <c r="Z21857" t="str">
        <f t="shared" si="341"/>
        <v/>
      </c>
    </row>
    <row r="21858" spans="26:26" x14ac:dyDescent="0.2">
      <c r="Z21858" t="str">
        <f t="shared" si="341"/>
        <v/>
      </c>
    </row>
    <row r="21859" spans="26:26" x14ac:dyDescent="0.2">
      <c r="Z21859" t="str">
        <f t="shared" si="341"/>
        <v/>
      </c>
    </row>
    <row r="21860" spans="26:26" x14ac:dyDescent="0.2">
      <c r="Z21860" t="str">
        <f t="shared" si="341"/>
        <v/>
      </c>
    </row>
    <row r="21861" spans="26:26" x14ac:dyDescent="0.2">
      <c r="Z21861" t="str">
        <f t="shared" si="341"/>
        <v/>
      </c>
    </row>
    <row r="21862" spans="26:26" x14ac:dyDescent="0.2">
      <c r="Z21862" t="str">
        <f t="shared" si="341"/>
        <v/>
      </c>
    </row>
    <row r="21863" spans="26:26" x14ac:dyDescent="0.2">
      <c r="Z21863" t="str">
        <f t="shared" si="341"/>
        <v/>
      </c>
    </row>
    <row r="21864" spans="26:26" x14ac:dyDescent="0.2">
      <c r="Z21864" t="str">
        <f t="shared" si="341"/>
        <v/>
      </c>
    </row>
    <row r="21865" spans="26:26" x14ac:dyDescent="0.2">
      <c r="Z21865" t="str">
        <f t="shared" si="341"/>
        <v/>
      </c>
    </row>
    <row r="21866" spans="26:26" x14ac:dyDescent="0.2">
      <c r="Z21866" t="str">
        <f t="shared" si="341"/>
        <v/>
      </c>
    </row>
    <row r="21867" spans="26:26" x14ac:dyDescent="0.2">
      <c r="Z21867" t="str">
        <f t="shared" si="341"/>
        <v/>
      </c>
    </row>
    <row r="21868" spans="26:26" x14ac:dyDescent="0.2">
      <c r="Z21868" t="str">
        <f t="shared" si="341"/>
        <v/>
      </c>
    </row>
    <row r="21869" spans="26:26" x14ac:dyDescent="0.2">
      <c r="Z21869" t="str">
        <f t="shared" si="341"/>
        <v/>
      </c>
    </row>
    <row r="21870" spans="26:26" x14ac:dyDescent="0.2">
      <c r="Z21870" t="str">
        <f t="shared" si="341"/>
        <v/>
      </c>
    </row>
    <row r="21871" spans="26:26" x14ac:dyDescent="0.2">
      <c r="Z21871" t="str">
        <f t="shared" si="341"/>
        <v/>
      </c>
    </row>
    <row r="21872" spans="26:26" x14ac:dyDescent="0.2">
      <c r="Z21872" t="str">
        <f t="shared" si="341"/>
        <v/>
      </c>
    </row>
    <row r="21873" spans="26:26" x14ac:dyDescent="0.2">
      <c r="Z21873" t="str">
        <f t="shared" si="341"/>
        <v/>
      </c>
    </row>
    <row r="21874" spans="26:26" x14ac:dyDescent="0.2">
      <c r="Z21874" t="str">
        <f t="shared" si="341"/>
        <v/>
      </c>
    </row>
    <row r="21875" spans="26:26" x14ac:dyDescent="0.2">
      <c r="Z21875" t="str">
        <f t="shared" si="341"/>
        <v/>
      </c>
    </row>
    <row r="21876" spans="26:26" x14ac:dyDescent="0.2">
      <c r="Z21876" t="str">
        <f t="shared" si="341"/>
        <v/>
      </c>
    </row>
    <row r="21877" spans="26:26" x14ac:dyDescent="0.2">
      <c r="Z21877" t="str">
        <f t="shared" si="341"/>
        <v/>
      </c>
    </row>
    <row r="21878" spans="26:26" x14ac:dyDescent="0.2">
      <c r="Z21878" t="str">
        <f t="shared" si="341"/>
        <v/>
      </c>
    </row>
    <row r="21879" spans="26:26" x14ac:dyDescent="0.2">
      <c r="Z21879" t="str">
        <f t="shared" si="341"/>
        <v/>
      </c>
    </row>
    <row r="21880" spans="26:26" x14ac:dyDescent="0.2">
      <c r="Z21880" t="str">
        <f t="shared" si="341"/>
        <v/>
      </c>
    </row>
    <row r="21881" spans="26:26" x14ac:dyDescent="0.2">
      <c r="Z21881" t="str">
        <f t="shared" si="341"/>
        <v/>
      </c>
    </row>
    <row r="21882" spans="26:26" x14ac:dyDescent="0.2">
      <c r="Z21882" t="str">
        <f t="shared" si="341"/>
        <v/>
      </c>
    </row>
    <row r="21883" spans="26:26" x14ac:dyDescent="0.2">
      <c r="Z21883" t="str">
        <f t="shared" si="341"/>
        <v/>
      </c>
    </row>
    <row r="21884" spans="26:26" x14ac:dyDescent="0.2">
      <c r="Z21884" t="str">
        <f t="shared" si="341"/>
        <v/>
      </c>
    </row>
    <row r="21885" spans="26:26" x14ac:dyDescent="0.2">
      <c r="Z21885" t="str">
        <f t="shared" si="341"/>
        <v/>
      </c>
    </row>
    <row r="21886" spans="26:26" x14ac:dyDescent="0.2">
      <c r="Z21886" t="str">
        <f t="shared" si="341"/>
        <v/>
      </c>
    </row>
    <row r="21887" spans="26:26" x14ac:dyDescent="0.2">
      <c r="Z21887" t="str">
        <f t="shared" si="341"/>
        <v/>
      </c>
    </row>
    <row r="21888" spans="26:26" x14ac:dyDescent="0.2">
      <c r="Z21888" t="str">
        <f t="shared" si="341"/>
        <v/>
      </c>
    </row>
    <row r="21889" spans="26:26" x14ac:dyDescent="0.2">
      <c r="Z21889" t="str">
        <f t="shared" si="341"/>
        <v/>
      </c>
    </row>
    <row r="21890" spans="26:26" x14ac:dyDescent="0.2">
      <c r="Z21890" t="str">
        <f t="shared" si="341"/>
        <v/>
      </c>
    </row>
    <row r="21891" spans="26:26" x14ac:dyDescent="0.2">
      <c r="Z21891" t="str">
        <f t="shared" ref="Z21891:Z21954" si="342">IF(K21891="","",IFERROR(VALUE(TRIM(MID(K21891,FIND(CHAR(167),SUBSTITUTE(K21891,"-",CHAR(167),LEN(K21891)-LEN(SUBSTITUTE(K21891,"-",""))))+1,100))),K21891))</f>
        <v/>
      </c>
    </row>
    <row r="21892" spans="26:26" x14ac:dyDescent="0.2">
      <c r="Z21892" t="str">
        <f t="shared" si="342"/>
        <v/>
      </c>
    </row>
    <row r="21893" spans="26:26" x14ac:dyDescent="0.2">
      <c r="Z21893" t="str">
        <f t="shared" si="342"/>
        <v/>
      </c>
    </row>
    <row r="21894" spans="26:26" x14ac:dyDescent="0.2">
      <c r="Z21894" t="str">
        <f t="shared" si="342"/>
        <v/>
      </c>
    </row>
    <row r="21895" spans="26:26" x14ac:dyDescent="0.2">
      <c r="Z21895" t="str">
        <f t="shared" si="342"/>
        <v/>
      </c>
    </row>
    <row r="21896" spans="26:26" x14ac:dyDescent="0.2">
      <c r="Z21896" t="str">
        <f t="shared" si="342"/>
        <v/>
      </c>
    </row>
    <row r="21897" spans="26:26" x14ac:dyDescent="0.2">
      <c r="Z21897" t="str">
        <f t="shared" si="342"/>
        <v/>
      </c>
    </row>
    <row r="21898" spans="26:26" x14ac:dyDescent="0.2">
      <c r="Z21898" t="str">
        <f t="shared" si="342"/>
        <v/>
      </c>
    </row>
    <row r="21899" spans="26:26" x14ac:dyDescent="0.2">
      <c r="Z21899" t="str">
        <f t="shared" si="342"/>
        <v/>
      </c>
    </row>
    <row r="21900" spans="26:26" x14ac:dyDescent="0.2">
      <c r="Z21900" t="str">
        <f t="shared" si="342"/>
        <v/>
      </c>
    </row>
    <row r="21901" spans="26:26" x14ac:dyDescent="0.2">
      <c r="Z21901" t="str">
        <f t="shared" si="342"/>
        <v/>
      </c>
    </row>
    <row r="21902" spans="26:26" x14ac:dyDescent="0.2">
      <c r="Z21902" t="str">
        <f t="shared" si="342"/>
        <v/>
      </c>
    </row>
    <row r="21903" spans="26:26" x14ac:dyDescent="0.2">
      <c r="Z21903" t="str">
        <f t="shared" si="342"/>
        <v/>
      </c>
    </row>
    <row r="21904" spans="26:26" x14ac:dyDescent="0.2">
      <c r="Z21904" t="str">
        <f t="shared" si="342"/>
        <v/>
      </c>
    </row>
    <row r="21905" spans="26:26" x14ac:dyDescent="0.2">
      <c r="Z21905" t="str">
        <f t="shared" si="342"/>
        <v/>
      </c>
    </row>
    <row r="21906" spans="26:26" x14ac:dyDescent="0.2">
      <c r="Z21906" t="str">
        <f t="shared" si="342"/>
        <v/>
      </c>
    </row>
    <row r="21907" spans="26:26" x14ac:dyDescent="0.2">
      <c r="Z21907" t="str">
        <f t="shared" si="342"/>
        <v/>
      </c>
    </row>
    <row r="21908" spans="26:26" x14ac:dyDescent="0.2">
      <c r="Z21908" t="str">
        <f t="shared" si="342"/>
        <v/>
      </c>
    </row>
    <row r="21909" spans="26:26" x14ac:dyDescent="0.2">
      <c r="Z21909" t="str">
        <f t="shared" si="342"/>
        <v/>
      </c>
    </row>
    <row r="21910" spans="26:26" x14ac:dyDescent="0.2">
      <c r="Z21910" t="str">
        <f t="shared" si="342"/>
        <v/>
      </c>
    </row>
    <row r="21911" spans="26:26" x14ac:dyDescent="0.2">
      <c r="Z21911" t="str">
        <f t="shared" si="342"/>
        <v/>
      </c>
    </row>
    <row r="21912" spans="26:26" x14ac:dyDescent="0.2">
      <c r="Z21912" t="str">
        <f t="shared" si="342"/>
        <v/>
      </c>
    </row>
    <row r="21913" spans="26:26" x14ac:dyDescent="0.2">
      <c r="Z21913" t="str">
        <f t="shared" si="342"/>
        <v/>
      </c>
    </row>
    <row r="21914" spans="26:26" x14ac:dyDescent="0.2">
      <c r="Z21914" t="str">
        <f t="shared" si="342"/>
        <v/>
      </c>
    </row>
    <row r="21915" spans="26:26" x14ac:dyDescent="0.2">
      <c r="Z21915" t="str">
        <f t="shared" si="342"/>
        <v/>
      </c>
    </row>
    <row r="21916" spans="26:26" x14ac:dyDescent="0.2">
      <c r="Z21916" t="str">
        <f t="shared" si="342"/>
        <v/>
      </c>
    </row>
    <row r="21917" spans="26:26" x14ac:dyDescent="0.2">
      <c r="Z21917" t="str">
        <f t="shared" si="342"/>
        <v/>
      </c>
    </row>
    <row r="21918" spans="26:26" x14ac:dyDescent="0.2">
      <c r="Z21918" t="str">
        <f t="shared" si="342"/>
        <v/>
      </c>
    </row>
    <row r="21919" spans="26:26" x14ac:dyDescent="0.2">
      <c r="Z21919" t="str">
        <f t="shared" si="342"/>
        <v/>
      </c>
    </row>
    <row r="21920" spans="26:26" x14ac:dyDescent="0.2">
      <c r="Z21920" t="str">
        <f t="shared" si="342"/>
        <v/>
      </c>
    </row>
    <row r="21921" spans="26:26" x14ac:dyDescent="0.2">
      <c r="Z21921" t="str">
        <f t="shared" si="342"/>
        <v/>
      </c>
    </row>
    <row r="21922" spans="26:26" x14ac:dyDescent="0.2">
      <c r="Z21922" t="str">
        <f t="shared" si="342"/>
        <v/>
      </c>
    </row>
    <row r="21923" spans="26:26" x14ac:dyDescent="0.2">
      <c r="Z21923" t="str">
        <f t="shared" si="342"/>
        <v/>
      </c>
    </row>
    <row r="21924" spans="26:26" x14ac:dyDescent="0.2">
      <c r="Z21924" t="str">
        <f t="shared" si="342"/>
        <v/>
      </c>
    </row>
    <row r="21925" spans="26:26" x14ac:dyDescent="0.2">
      <c r="Z21925" t="str">
        <f t="shared" si="342"/>
        <v/>
      </c>
    </row>
    <row r="21926" spans="26:26" x14ac:dyDescent="0.2">
      <c r="Z21926" t="str">
        <f t="shared" si="342"/>
        <v/>
      </c>
    </row>
    <row r="21927" spans="26:26" x14ac:dyDescent="0.2">
      <c r="Z21927" t="str">
        <f t="shared" si="342"/>
        <v/>
      </c>
    </row>
    <row r="21928" spans="26:26" x14ac:dyDescent="0.2">
      <c r="Z21928" t="str">
        <f t="shared" si="342"/>
        <v/>
      </c>
    </row>
    <row r="21929" spans="26:26" x14ac:dyDescent="0.2">
      <c r="Z21929" t="str">
        <f t="shared" si="342"/>
        <v/>
      </c>
    </row>
    <row r="21930" spans="26:26" x14ac:dyDescent="0.2">
      <c r="Z21930" t="str">
        <f t="shared" si="342"/>
        <v/>
      </c>
    </row>
    <row r="21931" spans="26:26" x14ac:dyDescent="0.2">
      <c r="Z21931" t="str">
        <f t="shared" si="342"/>
        <v/>
      </c>
    </row>
    <row r="21932" spans="26:26" x14ac:dyDescent="0.2">
      <c r="Z21932" t="str">
        <f t="shared" si="342"/>
        <v/>
      </c>
    </row>
    <row r="21933" spans="26:26" x14ac:dyDescent="0.2">
      <c r="Z21933" t="str">
        <f t="shared" si="342"/>
        <v/>
      </c>
    </row>
    <row r="21934" spans="26:26" x14ac:dyDescent="0.2">
      <c r="Z21934" t="str">
        <f t="shared" si="342"/>
        <v/>
      </c>
    </row>
    <row r="21935" spans="26:26" x14ac:dyDescent="0.2">
      <c r="Z21935" t="str">
        <f t="shared" si="342"/>
        <v/>
      </c>
    </row>
    <row r="21936" spans="26:26" x14ac:dyDescent="0.2">
      <c r="Z21936" t="str">
        <f t="shared" si="342"/>
        <v/>
      </c>
    </row>
    <row r="21937" spans="26:26" x14ac:dyDescent="0.2">
      <c r="Z21937" t="str">
        <f t="shared" si="342"/>
        <v/>
      </c>
    </row>
    <row r="21938" spans="26:26" x14ac:dyDescent="0.2">
      <c r="Z21938" t="str">
        <f t="shared" si="342"/>
        <v/>
      </c>
    </row>
    <row r="21939" spans="26:26" x14ac:dyDescent="0.2">
      <c r="Z21939" t="str">
        <f t="shared" si="342"/>
        <v/>
      </c>
    </row>
    <row r="21940" spans="26:26" x14ac:dyDescent="0.2">
      <c r="Z21940" t="str">
        <f t="shared" si="342"/>
        <v/>
      </c>
    </row>
    <row r="21941" spans="26:26" x14ac:dyDescent="0.2">
      <c r="Z21941" t="str">
        <f t="shared" si="342"/>
        <v/>
      </c>
    </row>
    <row r="21942" spans="26:26" x14ac:dyDescent="0.2">
      <c r="Z21942" t="str">
        <f t="shared" si="342"/>
        <v/>
      </c>
    </row>
    <row r="21943" spans="26:26" x14ac:dyDescent="0.2">
      <c r="Z21943" t="str">
        <f t="shared" si="342"/>
        <v/>
      </c>
    </row>
    <row r="21944" spans="26:26" x14ac:dyDescent="0.2">
      <c r="Z21944" t="str">
        <f t="shared" si="342"/>
        <v/>
      </c>
    </row>
    <row r="21945" spans="26:26" x14ac:dyDescent="0.2">
      <c r="Z21945" t="str">
        <f t="shared" si="342"/>
        <v/>
      </c>
    </row>
    <row r="21946" spans="26:26" x14ac:dyDescent="0.2">
      <c r="Z21946" t="str">
        <f t="shared" si="342"/>
        <v/>
      </c>
    </row>
    <row r="21947" spans="26:26" x14ac:dyDescent="0.2">
      <c r="Z21947" t="str">
        <f t="shared" si="342"/>
        <v/>
      </c>
    </row>
    <row r="21948" spans="26:26" x14ac:dyDescent="0.2">
      <c r="Z21948" t="str">
        <f t="shared" si="342"/>
        <v/>
      </c>
    </row>
    <row r="21949" spans="26:26" x14ac:dyDescent="0.2">
      <c r="Z21949" t="str">
        <f t="shared" si="342"/>
        <v/>
      </c>
    </row>
    <row r="21950" spans="26:26" x14ac:dyDescent="0.2">
      <c r="Z21950" t="str">
        <f t="shared" si="342"/>
        <v/>
      </c>
    </row>
    <row r="21951" spans="26:26" x14ac:dyDescent="0.2">
      <c r="Z21951" t="str">
        <f t="shared" si="342"/>
        <v/>
      </c>
    </row>
    <row r="21952" spans="26:26" x14ac:dyDescent="0.2">
      <c r="Z21952" t="str">
        <f t="shared" si="342"/>
        <v/>
      </c>
    </row>
    <row r="21953" spans="26:26" x14ac:dyDescent="0.2">
      <c r="Z21953" t="str">
        <f t="shared" si="342"/>
        <v/>
      </c>
    </row>
    <row r="21954" spans="26:26" x14ac:dyDescent="0.2">
      <c r="Z21954" t="str">
        <f t="shared" si="342"/>
        <v/>
      </c>
    </row>
    <row r="21955" spans="26:26" x14ac:dyDescent="0.2">
      <c r="Z21955" t="str">
        <f t="shared" ref="Z21955:Z22018" si="343">IF(K21955="","",IFERROR(VALUE(TRIM(MID(K21955,FIND(CHAR(167),SUBSTITUTE(K21955,"-",CHAR(167),LEN(K21955)-LEN(SUBSTITUTE(K21955,"-",""))))+1,100))),K21955))</f>
        <v/>
      </c>
    </row>
    <row r="21956" spans="26:26" x14ac:dyDescent="0.2">
      <c r="Z21956" t="str">
        <f t="shared" si="343"/>
        <v/>
      </c>
    </row>
    <row r="21957" spans="26:26" x14ac:dyDescent="0.2">
      <c r="Z21957" t="str">
        <f t="shared" si="343"/>
        <v/>
      </c>
    </row>
    <row r="21958" spans="26:26" x14ac:dyDescent="0.2">
      <c r="Z21958" t="str">
        <f t="shared" si="343"/>
        <v/>
      </c>
    </row>
    <row r="21959" spans="26:26" x14ac:dyDescent="0.2">
      <c r="Z21959" t="str">
        <f t="shared" si="343"/>
        <v/>
      </c>
    </row>
    <row r="21960" spans="26:26" x14ac:dyDescent="0.2">
      <c r="Z21960" t="str">
        <f t="shared" si="343"/>
        <v/>
      </c>
    </row>
    <row r="21961" spans="26:26" x14ac:dyDescent="0.2">
      <c r="Z21961" t="str">
        <f t="shared" si="343"/>
        <v/>
      </c>
    </row>
    <row r="21962" spans="26:26" x14ac:dyDescent="0.2">
      <c r="Z21962" t="str">
        <f t="shared" si="343"/>
        <v/>
      </c>
    </row>
    <row r="21963" spans="26:26" x14ac:dyDescent="0.2">
      <c r="Z21963" t="str">
        <f t="shared" si="343"/>
        <v/>
      </c>
    </row>
    <row r="21964" spans="26:26" x14ac:dyDescent="0.2">
      <c r="Z21964" t="str">
        <f t="shared" si="343"/>
        <v/>
      </c>
    </row>
    <row r="21965" spans="26:26" x14ac:dyDescent="0.2">
      <c r="Z21965" t="str">
        <f t="shared" si="343"/>
        <v/>
      </c>
    </row>
    <row r="21966" spans="26:26" x14ac:dyDescent="0.2">
      <c r="Z21966" t="str">
        <f t="shared" si="343"/>
        <v/>
      </c>
    </row>
    <row r="21967" spans="26:26" x14ac:dyDescent="0.2">
      <c r="Z21967" t="str">
        <f t="shared" si="343"/>
        <v/>
      </c>
    </row>
    <row r="21968" spans="26:26" x14ac:dyDescent="0.2">
      <c r="Z21968" t="str">
        <f t="shared" si="343"/>
        <v/>
      </c>
    </row>
    <row r="21969" spans="26:26" x14ac:dyDescent="0.2">
      <c r="Z21969" t="str">
        <f t="shared" si="343"/>
        <v/>
      </c>
    </row>
    <row r="21970" spans="26:26" x14ac:dyDescent="0.2">
      <c r="Z21970" t="str">
        <f t="shared" si="343"/>
        <v/>
      </c>
    </row>
    <row r="21971" spans="26:26" x14ac:dyDescent="0.2">
      <c r="Z21971" t="str">
        <f t="shared" si="343"/>
        <v/>
      </c>
    </row>
    <row r="21972" spans="26:26" x14ac:dyDescent="0.2">
      <c r="Z21972" t="str">
        <f t="shared" si="343"/>
        <v/>
      </c>
    </row>
    <row r="21973" spans="26:26" x14ac:dyDescent="0.2">
      <c r="Z21973" t="str">
        <f t="shared" si="343"/>
        <v/>
      </c>
    </row>
    <row r="21974" spans="26:26" x14ac:dyDescent="0.2">
      <c r="Z21974" t="str">
        <f t="shared" si="343"/>
        <v/>
      </c>
    </row>
    <row r="21975" spans="26:26" x14ac:dyDescent="0.2">
      <c r="Z21975" t="str">
        <f t="shared" si="343"/>
        <v/>
      </c>
    </row>
    <row r="21976" spans="26:26" x14ac:dyDescent="0.2">
      <c r="Z21976" t="str">
        <f t="shared" si="343"/>
        <v/>
      </c>
    </row>
    <row r="21977" spans="26:26" x14ac:dyDescent="0.2">
      <c r="Z21977" t="str">
        <f t="shared" si="343"/>
        <v/>
      </c>
    </row>
    <row r="21978" spans="26:26" x14ac:dyDescent="0.2">
      <c r="Z21978" t="str">
        <f t="shared" si="343"/>
        <v/>
      </c>
    </row>
    <row r="21979" spans="26:26" x14ac:dyDescent="0.2">
      <c r="Z21979" t="str">
        <f t="shared" si="343"/>
        <v/>
      </c>
    </row>
    <row r="21980" spans="26:26" x14ac:dyDescent="0.2">
      <c r="Z21980" t="str">
        <f t="shared" si="343"/>
        <v/>
      </c>
    </row>
    <row r="21981" spans="26:26" x14ac:dyDescent="0.2">
      <c r="Z21981" t="str">
        <f t="shared" si="343"/>
        <v/>
      </c>
    </row>
    <row r="21982" spans="26:26" x14ac:dyDescent="0.2">
      <c r="Z21982" t="str">
        <f t="shared" si="343"/>
        <v/>
      </c>
    </row>
    <row r="21983" spans="26:26" x14ac:dyDescent="0.2">
      <c r="Z21983" t="str">
        <f t="shared" si="343"/>
        <v/>
      </c>
    </row>
    <row r="21984" spans="26:26" x14ac:dyDescent="0.2">
      <c r="Z21984" t="str">
        <f t="shared" si="343"/>
        <v/>
      </c>
    </row>
    <row r="21985" spans="26:26" x14ac:dyDescent="0.2">
      <c r="Z21985" t="str">
        <f t="shared" si="343"/>
        <v/>
      </c>
    </row>
    <row r="21986" spans="26:26" x14ac:dyDescent="0.2">
      <c r="Z21986" t="str">
        <f t="shared" si="343"/>
        <v/>
      </c>
    </row>
    <row r="21987" spans="26:26" x14ac:dyDescent="0.2">
      <c r="Z21987" t="str">
        <f t="shared" si="343"/>
        <v/>
      </c>
    </row>
    <row r="21988" spans="26:26" x14ac:dyDescent="0.2">
      <c r="Z21988" t="str">
        <f t="shared" si="343"/>
        <v/>
      </c>
    </row>
    <row r="21989" spans="26:26" x14ac:dyDescent="0.2">
      <c r="Z21989" t="str">
        <f t="shared" si="343"/>
        <v/>
      </c>
    </row>
    <row r="21990" spans="26:26" x14ac:dyDescent="0.2">
      <c r="Z21990" t="str">
        <f t="shared" si="343"/>
        <v/>
      </c>
    </row>
    <row r="21991" spans="26:26" x14ac:dyDescent="0.2">
      <c r="Z21991" t="str">
        <f t="shared" si="343"/>
        <v/>
      </c>
    </row>
    <row r="21992" spans="26:26" x14ac:dyDescent="0.2">
      <c r="Z21992" t="str">
        <f t="shared" si="343"/>
        <v/>
      </c>
    </row>
    <row r="21993" spans="26:26" x14ac:dyDescent="0.2">
      <c r="Z21993" t="str">
        <f t="shared" si="343"/>
        <v/>
      </c>
    </row>
    <row r="21994" spans="26:26" x14ac:dyDescent="0.2">
      <c r="Z21994" t="str">
        <f t="shared" si="343"/>
        <v/>
      </c>
    </row>
    <row r="21995" spans="26:26" x14ac:dyDescent="0.2">
      <c r="Z21995" t="str">
        <f t="shared" si="343"/>
        <v/>
      </c>
    </row>
    <row r="21996" spans="26:26" x14ac:dyDescent="0.2">
      <c r="Z21996" t="str">
        <f t="shared" si="343"/>
        <v/>
      </c>
    </row>
    <row r="21997" spans="26:26" x14ac:dyDescent="0.2">
      <c r="Z21997" t="str">
        <f t="shared" si="343"/>
        <v/>
      </c>
    </row>
    <row r="21998" spans="26:26" x14ac:dyDescent="0.2">
      <c r="Z21998" t="str">
        <f t="shared" si="343"/>
        <v/>
      </c>
    </row>
    <row r="21999" spans="26:26" x14ac:dyDescent="0.2">
      <c r="Z21999" t="str">
        <f t="shared" si="343"/>
        <v/>
      </c>
    </row>
    <row r="22000" spans="26:26" x14ac:dyDescent="0.2">
      <c r="Z22000" t="str">
        <f t="shared" si="343"/>
        <v/>
      </c>
    </row>
    <row r="22001" spans="26:26" x14ac:dyDescent="0.2">
      <c r="Z22001" t="str">
        <f t="shared" si="343"/>
        <v/>
      </c>
    </row>
    <row r="22002" spans="26:26" x14ac:dyDescent="0.2">
      <c r="Z22002" t="str">
        <f t="shared" si="343"/>
        <v/>
      </c>
    </row>
    <row r="22003" spans="26:26" x14ac:dyDescent="0.2">
      <c r="Z22003" t="str">
        <f t="shared" si="343"/>
        <v/>
      </c>
    </row>
    <row r="22004" spans="26:26" x14ac:dyDescent="0.2">
      <c r="Z22004" t="str">
        <f t="shared" si="343"/>
        <v/>
      </c>
    </row>
    <row r="22005" spans="26:26" x14ac:dyDescent="0.2">
      <c r="Z22005" t="str">
        <f t="shared" si="343"/>
        <v/>
      </c>
    </row>
    <row r="22006" spans="26:26" x14ac:dyDescent="0.2">
      <c r="Z22006" t="str">
        <f t="shared" si="343"/>
        <v/>
      </c>
    </row>
    <row r="22007" spans="26:26" x14ac:dyDescent="0.2">
      <c r="Z22007" t="str">
        <f t="shared" si="343"/>
        <v/>
      </c>
    </row>
    <row r="22008" spans="26:26" x14ac:dyDescent="0.2">
      <c r="Z22008" t="str">
        <f t="shared" si="343"/>
        <v/>
      </c>
    </row>
    <row r="22009" spans="26:26" x14ac:dyDescent="0.2">
      <c r="Z22009" t="str">
        <f t="shared" si="343"/>
        <v/>
      </c>
    </row>
    <row r="22010" spans="26:26" x14ac:dyDescent="0.2">
      <c r="Z22010" t="str">
        <f t="shared" si="343"/>
        <v/>
      </c>
    </row>
    <row r="22011" spans="26:26" x14ac:dyDescent="0.2">
      <c r="Z22011" t="str">
        <f t="shared" si="343"/>
        <v/>
      </c>
    </row>
    <row r="22012" spans="26:26" x14ac:dyDescent="0.2">
      <c r="Z22012" t="str">
        <f t="shared" si="343"/>
        <v/>
      </c>
    </row>
    <row r="22013" spans="26:26" x14ac:dyDescent="0.2">
      <c r="Z22013" t="str">
        <f t="shared" si="343"/>
        <v/>
      </c>
    </row>
    <row r="22014" spans="26:26" x14ac:dyDescent="0.2">
      <c r="Z22014" t="str">
        <f t="shared" si="343"/>
        <v/>
      </c>
    </row>
    <row r="22015" spans="26:26" x14ac:dyDescent="0.2">
      <c r="Z22015" t="str">
        <f t="shared" si="343"/>
        <v/>
      </c>
    </row>
    <row r="22016" spans="26:26" x14ac:dyDescent="0.2">
      <c r="Z22016" t="str">
        <f t="shared" si="343"/>
        <v/>
      </c>
    </row>
    <row r="22017" spans="26:26" x14ac:dyDescent="0.2">
      <c r="Z22017" t="str">
        <f t="shared" si="343"/>
        <v/>
      </c>
    </row>
    <row r="22018" spans="26:26" x14ac:dyDescent="0.2">
      <c r="Z22018" t="str">
        <f t="shared" si="343"/>
        <v/>
      </c>
    </row>
    <row r="22019" spans="26:26" x14ac:dyDescent="0.2">
      <c r="Z22019" t="str">
        <f t="shared" ref="Z22019:Z22082" si="344">IF(K22019="","",IFERROR(VALUE(TRIM(MID(K22019,FIND(CHAR(167),SUBSTITUTE(K22019,"-",CHAR(167),LEN(K22019)-LEN(SUBSTITUTE(K22019,"-",""))))+1,100))),K22019))</f>
        <v/>
      </c>
    </row>
    <row r="22020" spans="26:26" x14ac:dyDescent="0.2">
      <c r="Z22020" t="str">
        <f t="shared" si="344"/>
        <v/>
      </c>
    </row>
    <row r="22021" spans="26:26" x14ac:dyDescent="0.2">
      <c r="Z22021" t="str">
        <f t="shared" si="344"/>
        <v/>
      </c>
    </row>
    <row r="22022" spans="26:26" x14ac:dyDescent="0.2">
      <c r="Z22022" t="str">
        <f t="shared" si="344"/>
        <v/>
      </c>
    </row>
    <row r="22023" spans="26:26" x14ac:dyDescent="0.2">
      <c r="Z22023" t="str">
        <f t="shared" si="344"/>
        <v/>
      </c>
    </row>
    <row r="22024" spans="26:26" x14ac:dyDescent="0.2">
      <c r="Z22024" t="str">
        <f t="shared" si="344"/>
        <v/>
      </c>
    </row>
    <row r="22025" spans="26:26" x14ac:dyDescent="0.2">
      <c r="Z22025" t="str">
        <f t="shared" si="344"/>
        <v/>
      </c>
    </row>
    <row r="22026" spans="26:26" x14ac:dyDescent="0.2">
      <c r="Z22026" t="str">
        <f t="shared" si="344"/>
        <v/>
      </c>
    </row>
    <row r="22027" spans="26:26" x14ac:dyDescent="0.2">
      <c r="Z22027" t="str">
        <f t="shared" si="344"/>
        <v/>
      </c>
    </row>
    <row r="22028" spans="26:26" x14ac:dyDescent="0.2">
      <c r="Z22028" t="str">
        <f t="shared" si="344"/>
        <v/>
      </c>
    </row>
    <row r="22029" spans="26:26" x14ac:dyDescent="0.2">
      <c r="Z22029" t="str">
        <f t="shared" si="344"/>
        <v/>
      </c>
    </row>
    <row r="22030" spans="26:26" x14ac:dyDescent="0.2">
      <c r="Z22030" t="str">
        <f t="shared" si="344"/>
        <v/>
      </c>
    </row>
    <row r="22031" spans="26:26" x14ac:dyDescent="0.2">
      <c r="Z22031" t="str">
        <f t="shared" si="344"/>
        <v/>
      </c>
    </row>
    <row r="22032" spans="26:26" x14ac:dyDescent="0.2">
      <c r="Z22032" t="str">
        <f t="shared" si="344"/>
        <v/>
      </c>
    </row>
    <row r="22033" spans="26:26" x14ac:dyDescent="0.2">
      <c r="Z22033" t="str">
        <f t="shared" si="344"/>
        <v/>
      </c>
    </row>
    <row r="22034" spans="26:26" x14ac:dyDescent="0.2">
      <c r="Z22034" t="str">
        <f t="shared" si="344"/>
        <v/>
      </c>
    </row>
    <row r="22035" spans="26:26" x14ac:dyDescent="0.2">
      <c r="Z22035" t="str">
        <f t="shared" si="344"/>
        <v/>
      </c>
    </row>
    <row r="22036" spans="26:26" x14ac:dyDescent="0.2">
      <c r="Z22036" t="str">
        <f t="shared" si="344"/>
        <v/>
      </c>
    </row>
    <row r="22037" spans="26:26" x14ac:dyDescent="0.2">
      <c r="Z22037" t="str">
        <f t="shared" si="344"/>
        <v/>
      </c>
    </row>
    <row r="22038" spans="26:26" x14ac:dyDescent="0.2">
      <c r="Z22038" t="str">
        <f t="shared" si="344"/>
        <v/>
      </c>
    </row>
    <row r="22039" spans="26:26" x14ac:dyDescent="0.2">
      <c r="Z22039" t="str">
        <f t="shared" si="344"/>
        <v/>
      </c>
    </row>
    <row r="22040" spans="26:26" x14ac:dyDescent="0.2">
      <c r="Z22040" t="str">
        <f t="shared" si="344"/>
        <v/>
      </c>
    </row>
    <row r="22041" spans="26:26" x14ac:dyDescent="0.2">
      <c r="Z22041" t="str">
        <f t="shared" si="344"/>
        <v/>
      </c>
    </row>
    <row r="22042" spans="26:26" x14ac:dyDescent="0.2">
      <c r="Z22042" t="str">
        <f t="shared" si="344"/>
        <v/>
      </c>
    </row>
    <row r="22043" spans="26:26" x14ac:dyDescent="0.2">
      <c r="Z22043" t="str">
        <f t="shared" si="344"/>
        <v/>
      </c>
    </row>
    <row r="22044" spans="26:26" x14ac:dyDescent="0.2">
      <c r="Z22044" t="str">
        <f t="shared" si="344"/>
        <v/>
      </c>
    </row>
    <row r="22045" spans="26:26" x14ac:dyDescent="0.2">
      <c r="Z22045" t="str">
        <f t="shared" si="344"/>
        <v/>
      </c>
    </row>
    <row r="22046" spans="26:26" x14ac:dyDescent="0.2">
      <c r="Z22046" t="str">
        <f t="shared" si="344"/>
        <v/>
      </c>
    </row>
    <row r="22047" spans="26:26" x14ac:dyDescent="0.2">
      <c r="Z22047" t="str">
        <f t="shared" si="344"/>
        <v/>
      </c>
    </row>
    <row r="22048" spans="26:26" x14ac:dyDescent="0.2">
      <c r="Z22048" t="str">
        <f t="shared" si="344"/>
        <v/>
      </c>
    </row>
    <row r="22049" spans="26:26" x14ac:dyDescent="0.2">
      <c r="Z22049" t="str">
        <f t="shared" si="344"/>
        <v/>
      </c>
    </row>
    <row r="22050" spans="26:26" x14ac:dyDescent="0.2">
      <c r="Z22050" t="str">
        <f t="shared" si="344"/>
        <v/>
      </c>
    </row>
    <row r="22051" spans="26:26" x14ac:dyDescent="0.2">
      <c r="Z22051" t="str">
        <f t="shared" si="344"/>
        <v/>
      </c>
    </row>
    <row r="22052" spans="26:26" x14ac:dyDescent="0.2">
      <c r="Z22052" t="str">
        <f t="shared" si="344"/>
        <v/>
      </c>
    </row>
    <row r="22053" spans="26:26" x14ac:dyDescent="0.2">
      <c r="Z22053" t="str">
        <f t="shared" si="344"/>
        <v/>
      </c>
    </row>
    <row r="22054" spans="26:26" x14ac:dyDescent="0.2">
      <c r="Z22054" t="str">
        <f t="shared" si="344"/>
        <v/>
      </c>
    </row>
    <row r="22055" spans="26:26" x14ac:dyDescent="0.2">
      <c r="Z22055" t="str">
        <f t="shared" si="344"/>
        <v/>
      </c>
    </row>
    <row r="22056" spans="26:26" x14ac:dyDescent="0.2">
      <c r="Z22056" t="str">
        <f t="shared" si="344"/>
        <v/>
      </c>
    </row>
    <row r="22057" spans="26:26" x14ac:dyDescent="0.2">
      <c r="Z22057" t="str">
        <f t="shared" si="344"/>
        <v/>
      </c>
    </row>
    <row r="22058" spans="26:26" x14ac:dyDescent="0.2">
      <c r="Z22058" t="str">
        <f t="shared" si="344"/>
        <v/>
      </c>
    </row>
    <row r="22059" spans="26:26" x14ac:dyDescent="0.2">
      <c r="Z22059" t="str">
        <f t="shared" si="344"/>
        <v/>
      </c>
    </row>
    <row r="22060" spans="26:26" x14ac:dyDescent="0.2">
      <c r="Z22060" t="str">
        <f t="shared" si="344"/>
        <v/>
      </c>
    </row>
    <row r="22061" spans="26:26" x14ac:dyDescent="0.2">
      <c r="Z22061" t="str">
        <f t="shared" si="344"/>
        <v/>
      </c>
    </row>
    <row r="22062" spans="26:26" x14ac:dyDescent="0.2">
      <c r="Z22062" t="str">
        <f t="shared" si="344"/>
        <v/>
      </c>
    </row>
    <row r="22063" spans="26:26" x14ac:dyDescent="0.2">
      <c r="Z22063" t="str">
        <f t="shared" si="344"/>
        <v/>
      </c>
    </row>
    <row r="22064" spans="26:26" x14ac:dyDescent="0.2">
      <c r="Z22064" t="str">
        <f t="shared" si="344"/>
        <v/>
      </c>
    </row>
    <row r="22065" spans="26:26" x14ac:dyDescent="0.2">
      <c r="Z22065" t="str">
        <f t="shared" si="344"/>
        <v/>
      </c>
    </row>
    <row r="22066" spans="26:26" x14ac:dyDescent="0.2">
      <c r="Z22066" t="str">
        <f t="shared" si="344"/>
        <v/>
      </c>
    </row>
    <row r="22067" spans="26:26" x14ac:dyDescent="0.2">
      <c r="Z22067" t="str">
        <f t="shared" si="344"/>
        <v/>
      </c>
    </row>
    <row r="22068" spans="26:26" x14ac:dyDescent="0.2">
      <c r="Z22068" t="str">
        <f t="shared" si="344"/>
        <v/>
      </c>
    </row>
    <row r="22069" spans="26:26" x14ac:dyDescent="0.2">
      <c r="Z22069" t="str">
        <f t="shared" si="344"/>
        <v/>
      </c>
    </row>
    <row r="22070" spans="26:26" x14ac:dyDescent="0.2">
      <c r="Z22070" t="str">
        <f t="shared" si="344"/>
        <v/>
      </c>
    </row>
    <row r="22071" spans="26:26" x14ac:dyDescent="0.2">
      <c r="Z22071" t="str">
        <f t="shared" si="344"/>
        <v/>
      </c>
    </row>
    <row r="22072" spans="26:26" x14ac:dyDescent="0.2">
      <c r="Z22072" t="str">
        <f t="shared" si="344"/>
        <v/>
      </c>
    </row>
    <row r="22073" spans="26:26" x14ac:dyDescent="0.2">
      <c r="Z22073" t="str">
        <f t="shared" si="344"/>
        <v/>
      </c>
    </row>
    <row r="22074" spans="26:26" x14ac:dyDescent="0.2">
      <c r="Z22074" t="str">
        <f t="shared" si="344"/>
        <v/>
      </c>
    </row>
    <row r="22075" spans="26:26" x14ac:dyDescent="0.2">
      <c r="Z22075" t="str">
        <f t="shared" si="344"/>
        <v/>
      </c>
    </row>
    <row r="22076" spans="26:26" x14ac:dyDescent="0.2">
      <c r="Z22076" t="str">
        <f t="shared" si="344"/>
        <v/>
      </c>
    </row>
    <row r="22077" spans="26:26" x14ac:dyDescent="0.2">
      <c r="Z22077" t="str">
        <f t="shared" si="344"/>
        <v/>
      </c>
    </row>
    <row r="22078" spans="26:26" x14ac:dyDescent="0.2">
      <c r="Z22078" t="str">
        <f t="shared" si="344"/>
        <v/>
      </c>
    </row>
    <row r="22079" spans="26:26" x14ac:dyDescent="0.2">
      <c r="Z22079" t="str">
        <f t="shared" si="344"/>
        <v/>
      </c>
    </row>
    <row r="22080" spans="26:26" x14ac:dyDescent="0.2">
      <c r="Z22080" t="str">
        <f t="shared" si="344"/>
        <v/>
      </c>
    </row>
    <row r="22081" spans="26:26" x14ac:dyDescent="0.2">
      <c r="Z22081" t="str">
        <f t="shared" si="344"/>
        <v/>
      </c>
    </row>
    <row r="22082" spans="26:26" x14ac:dyDescent="0.2">
      <c r="Z22082" t="str">
        <f t="shared" si="344"/>
        <v/>
      </c>
    </row>
    <row r="22083" spans="26:26" x14ac:dyDescent="0.2">
      <c r="Z22083" t="str">
        <f t="shared" ref="Z22083:Z22146" si="345">IF(K22083="","",IFERROR(VALUE(TRIM(MID(K22083,FIND(CHAR(167),SUBSTITUTE(K22083,"-",CHAR(167),LEN(K22083)-LEN(SUBSTITUTE(K22083,"-",""))))+1,100))),K22083))</f>
        <v/>
      </c>
    </row>
    <row r="22084" spans="26:26" x14ac:dyDescent="0.2">
      <c r="Z22084" t="str">
        <f t="shared" si="345"/>
        <v/>
      </c>
    </row>
    <row r="22085" spans="26:26" x14ac:dyDescent="0.2">
      <c r="Z22085" t="str">
        <f t="shared" si="345"/>
        <v/>
      </c>
    </row>
    <row r="22086" spans="26:26" x14ac:dyDescent="0.2">
      <c r="Z22086" t="str">
        <f t="shared" si="345"/>
        <v/>
      </c>
    </row>
    <row r="22087" spans="26:26" x14ac:dyDescent="0.2">
      <c r="Z22087" t="str">
        <f t="shared" si="345"/>
        <v/>
      </c>
    </row>
    <row r="22088" spans="26:26" x14ac:dyDescent="0.2">
      <c r="Z22088" t="str">
        <f t="shared" si="345"/>
        <v/>
      </c>
    </row>
    <row r="22089" spans="26:26" x14ac:dyDescent="0.2">
      <c r="Z22089" t="str">
        <f t="shared" si="345"/>
        <v/>
      </c>
    </row>
    <row r="22090" spans="26:26" x14ac:dyDescent="0.2">
      <c r="Z22090" t="str">
        <f t="shared" si="345"/>
        <v/>
      </c>
    </row>
    <row r="22091" spans="26:26" x14ac:dyDescent="0.2">
      <c r="Z22091" t="str">
        <f t="shared" si="345"/>
        <v/>
      </c>
    </row>
    <row r="22092" spans="26:26" x14ac:dyDescent="0.2">
      <c r="Z22092" t="str">
        <f t="shared" si="345"/>
        <v/>
      </c>
    </row>
    <row r="22093" spans="26:26" x14ac:dyDescent="0.2">
      <c r="Z22093" t="str">
        <f t="shared" si="345"/>
        <v/>
      </c>
    </row>
    <row r="22094" spans="26:26" x14ac:dyDescent="0.2">
      <c r="Z22094" t="str">
        <f t="shared" si="345"/>
        <v/>
      </c>
    </row>
    <row r="22095" spans="26:26" x14ac:dyDescent="0.2">
      <c r="Z22095" t="str">
        <f t="shared" si="345"/>
        <v/>
      </c>
    </row>
    <row r="22096" spans="26:26" x14ac:dyDescent="0.2">
      <c r="Z22096" t="str">
        <f t="shared" si="345"/>
        <v/>
      </c>
    </row>
    <row r="22097" spans="26:26" x14ac:dyDescent="0.2">
      <c r="Z22097" t="str">
        <f t="shared" si="345"/>
        <v/>
      </c>
    </row>
    <row r="22098" spans="26:26" x14ac:dyDescent="0.2">
      <c r="Z22098" t="str">
        <f t="shared" si="345"/>
        <v/>
      </c>
    </row>
    <row r="22099" spans="26:26" x14ac:dyDescent="0.2">
      <c r="Z22099" t="str">
        <f t="shared" si="345"/>
        <v/>
      </c>
    </row>
    <row r="22100" spans="26:26" x14ac:dyDescent="0.2">
      <c r="Z22100" t="str">
        <f t="shared" si="345"/>
        <v/>
      </c>
    </row>
    <row r="22101" spans="26:26" x14ac:dyDescent="0.2">
      <c r="Z22101" t="str">
        <f t="shared" si="345"/>
        <v/>
      </c>
    </row>
    <row r="22102" spans="26:26" x14ac:dyDescent="0.2">
      <c r="Z22102" t="str">
        <f t="shared" si="345"/>
        <v/>
      </c>
    </row>
    <row r="22103" spans="26:26" x14ac:dyDescent="0.2">
      <c r="Z22103" t="str">
        <f t="shared" si="345"/>
        <v/>
      </c>
    </row>
    <row r="22104" spans="26:26" x14ac:dyDescent="0.2">
      <c r="Z22104" t="str">
        <f t="shared" si="345"/>
        <v/>
      </c>
    </row>
    <row r="22105" spans="26:26" x14ac:dyDescent="0.2">
      <c r="Z22105" t="str">
        <f t="shared" si="345"/>
        <v/>
      </c>
    </row>
    <row r="22106" spans="26:26" x14ac:dyDescent="0.2">
      <c r="Z22106" t="str">
        <f t="shared" si="345"/>
        <v/>
      </c>
    </row>
    <row r="22107" spans="26:26" x14ac:dyDescent="0.2">
      <c r="Z22107" t="str">
        <f t="shared" si="345"/>
        <v/>
      </c>
    </row>
    <row r="22108" spans="26:26" x14ac:dyDescent="0.2">
      <c r="Z22108" t="str">
        <f t="shared" si="345"/>
        <v/>
      </c>
    </row>
    <row r="22109" spans="26:26" x14ac:dyDescent="0.2">
      <c r="Z22109" t="str">
        <f t="shared" si="345"/>
        <v/>
      </c>
    </row>
    <row r="22110" spans="26:26" x14ac:dyDescent="0.2">
      <c r="Z22110" t="str">
        <f t="shared" si="345"/>
        <v/>
      </c>
    </row>
    <row r="22111" spans="26:26" x14ac:dyDescent="0.2">
      <c r="Z22111" t="str">
        <f t="shared" si="345"/>
        <v/>
      </c>
    </row>
    <row r="22112" spans="26:26" x14ac:dyDescent="0.2">
      <c r="Z22112" t="str">
        <f t="shared" si="345"/>
        <v/>
      </c>
    </row>
    <row r="22113" spans="26:26" x14ac:dyDescent="0.2">
      <c r="Z22113" t="str">
        <f t="shared" si="345"/>
        <v/>
      </c>
    </row>
    <row r="22114" spans="26:26" x14ac:dyDescent="0.2">
      <c r="Z22114" t="str">
        <f t="shared" si="345"/>
        <v/>
      </c>
    </row>
    <row r="22115" spans="26:26" x14ac:dyDescent="0.2">
      <c r="Z22115" t="str">
        <f t="shared" si="345"/>
        <v/>
      </c>
    </row>
    <row r="22116" spans="26:26" x14ac:dyDescent="0.2">
      <c r="Z22116" t="str">
        <f t="shared" si="345"/>
        <v/>
      </c>
    </row>
    <row r="22117" spans="26:26" x14ac:dyDescent="0.2">
      <c r="Z22117" t="str">
        <f t="shared" si="345"/>
        <v/>
      </c>
    </row>
    <row r="22118" spans="26:26" x14ac:dyDescent="0.2">
      <c r="Z22118" t="str">
        <f t="shared" si="345"/>
        <v/>
      </c>
    </row>
    <row r="22119" spans="26:26" x14ac:dyDescent="0.2">
      <c r="Z22119" t="str">
        <f t="shared" si="345"/>
        <v/>
      </c>
    </row>
    <row r="22120" spans="26:26" x14ac:dyDescent="0.2">
      <c r="Z22120" t="str">
        <f t="shared" si="345"/>
        <v/>
      </c>
    </row>
    <row r="22121" spans="26:26" x14ac:dyDescent="0.2">
      <c r="Z22121" t="str">
        <f t="shared" si="345"/>
        <v/>
      </c>
    </row>
    <row r="22122" spans="26:26" x14ac:dyDescent="0.2">
      <c r="Z22122" t="str">
        <f t="shared" si="345"/>
        <v/>
      </c>
    </row>
    <row r="22123" spans="26:26" x14ac:dyDescent="0.2">
      <c r="Z22123" t="str">
        <f t="shared" si="345"/>
        <v/>
      </c>
    </row>
    <row r="22124" spans="26:26" x14ac:dyDescent="0.2">
      <c r="Z22124" t="str">
        <f t="shared" si="345"/>
        <v/>
      </c>
    </row>
    <row r="22125" spans="26:26" x14ac:dyDescent="0.2">
      <c r="Z22125" t="str">
        <f t="shared" si="345"/>
        <v/>
      </c>
    </row>
    <row r="22126" spans="26:26" x14ac:dyDescent="0.2">
      <c r="Z22126" t="str">
        <f t="shared" si="345"/>
        <v/>
      </c>
    </row>
    <row r="22127" spans="26:26" x14ac:dyDescent="0.2">
      <c r="Z22127" t="str">
        <f t="shared" si="345"/>
        <v/>
      </c>
    </row>
    <row r="22128" spans="26:26" x14ac:dyDescent="0.2">
      <c r="Z22128" t="str">
        <f t="shared" si="345"/>
        <v/>
      </c>
    </row>
    <row r="22129" spans="26:26" x14ac:dyDescent="0.2">
      <c r="Z22129" t="str">
        <f t="shared" si="345"/>
        <v/>
      </c>
    </row>
    <row r="22130" spans="26:26" x14ac:dyDescent="0.2">
      <c r="Z22130" t="str">
        <f t="shared" si="345"/>
        <v/>
      </c>
    </row>
    <row r="22131" spans="26:26" x14ac:dyDescent="0.2">
      <c r="Z22131" t="str">
        <f t="shared" si="345"/>
        <v/>
      </c>
    </row>
    <row r="22132" spans="26:26" x14ac:dyDescent="0.2">
      <c r="Z22132" t="str">
        <f t="shared" si="345"/>
        <v/>
      </c>
    </row>
    <row r="22133" spans="26:26" x14ac:dyDescent="0.2">
      <c r="Z22133" t="str">
        <f t="shared" si="345"/>
        <v/>
      </c>
    </row>
    <row r="22134" spans="26:26" x14ac:dyDescent="0.2">
      <c r="Z22134" t="str">
        <f t="shared" si="345"/>
        <v/>
      </c>
    </row>
    <row r="22135" spans="26:26" x14ac:dyDescent="0.2">
      <c r="Z22135" t="str">
        <f t="shared" si="345"/>
        <v/>
      </c>
    </row>
    <row r="22136" spans="26:26" x14ac:dyDescent="0.2">
      <c r="Z22136" t="str">
        <f t="shared" si="345"/>
        <v/>
      </c>
    </row>
    <row r="22137" spans="26:26" x14ac:dyDescent="0.2">
      <c r="Z22137" t="str">
        <f t="shared" si="345"/>
        <v/>
      </c>
    </row>
    <row r="22138" spans="26:26" x14ac:dyDescent="0.2">
      <c r="Z22138" t="str">
        <f t="shared" si="345"/>
        <v/>
      </c>
    </row>
    <row r="22139" spans="26:26" x14ac:dyDescent="0.2">
      <c r="Z22139" t="str">
        <f t="shared" si="345"/>
        <v/>
      </c>
    </row>
    <row r="22140" spans="26:26" x14ac:dyDescent="0.2">
      <c r="Z22140" t="str">
        <f t="shared" si="345"/>
        <v/>
      </c>
    </row>
    <row r="22141" spans="26:26" x14ac:dyDescent="0.2">
      <c r="Z22141" t="str">
        <f t="shared" si="345"/>
        <v/>
      </c>
    </row>
    <row r="22142" spans="26:26" x14ac:dyDescent="0.2">
      <c r="Z22142" t="str">
        <f t="shared" si="345"/>
        <v/>
      </c>
    </row>
    <row r="22143" spans="26:26" x14ac:dyDescent="0.2">
      <c r="Z22143" t="str">
        <f t="shared" si="345"/>
        <v/>
      </c>
    </row>
    <row r="22144" spans="26:26" x14ac:dyDescent="0.2">
      <c r="Z22144" t="str">
        <f t="shared" si="345"/>
        <v/>
      </c>
    </row>
    <row r="22145" spans="26:26" x14ac:dyDescent="0.2">
      <c r="Z22145" t="str">
        <f t="shared" si="345"/>
        <v/>
      </c>
    </row>
    <row r="22146" spans="26:26" x14ac:dyDescent="0.2">
      <c r="Z22146" t="str">
        <f t="shared" si="345"/>
        <v/>
      </c>
    </row>
    <row r="22147" spans="26:26" x14ac:dyDescent="0.2">
      <c r="Z22147" t="str">
        <f t="shared" ref="Z22147:Z22210" si="346">IF(K22147="","",IFERROR(VALUE(TRIM(MID(K22147,FIND(CHAR(167),SUBSTITUTE(K22147,"-",CHAR(167),LEN(K22147)-LEN(SUBSTITUTE(K22147,"-",""))))+1,100))),K22147))</f>
        <v/>
      </c>
    </row>
    <row r="22148" spans="26:26" x14ac:dyDescent="0.2">
      <c r="Z22148" t="str">
        <f t="shared" si="346"/>
        <v/>
      </c>
    </row>
    <row r="22149" spans="26:26" x14ac:dyDescent="0.2">
      <c r="Z22149" t="str">
        <f t="shared" si="346"/>
        <v/>
      </c>
    </row>
    <row r="22150" spans="26:26" x14ac:dyDescent="0.2">
      <c r="Z22150" t="str">
        <f t="shared" si="346"/>
        <v/>
      </c>
    </row>
    <row r="22151" spans="26:26" x14ac:dyDescent="0.2">
      <c r="Z22151" t="str">
        <f t="shared" si="346"/>
        <v/>
      </c>
    </row>
    <row r="22152" spans="26:26" x14ac:dyDescent="0.2">
      <c r="Z22152" t="str">
        <f t="shared" si="346"/>
        <v/>
      </c>
    </row>
    <row r="22153" spans="26:26" x14ac:dyDescent="0.2">
      <c r="Z22153" t="str">
        <f t="shared" si="346"/>
        <v/>
      </c>
    </row>
    <row r="22154" spans="26:26" x14ac:dyDescent="0.2">
      <c r="Z22154" t="str">
        <f t="shared" si="346"/>
        <v/>
      </c>
    </row>
    <row r="22155" spans="26:26" x14ac:dyDescent="0.2">
      <c r="Z22155" t="str">
        <f t="shared" si="346"/>
        <v/>
      </c>
    </row>
    <row r="22156" spans="26:26" x14ac:dyDescent="0.2">
      <c r="Z22156" t="str">
        <f t="shared" si="346"/>
        <v/>
      </c>
    </row>
    <row r="22157" spans="26:26" x14ac:dyDescent="0.2">
      <c r="Z22157" t="str">
        <f t="shared" si="346"/>
        <v/>
      </c>
    </row>
    <row r="22158" spans="26:26" x14ac:dyDescent="0.2">
      <c r="Z22158" t="str">
        <f t="shared" si="346"/>
        <v/>
      </c>
    </row>
    <row r="22159" spans="26:26" x14ac:dyDescent="0.2">
      <c r="Z22159" t="str">
        <f t="shared" si="346"/>
        <v/>
      </c>
    </row>
    <row r="22160" spans="26:26" x14ac:dyDescent="0.2">
      <c r="Z22160" t="str">
        <f t="shared" si="346"/>
        <v/>
      </c>
    </row>
    <row r="22161" spans="26:26" x14ac:dyDescent="0.2">
      <c r="Z22161" t="str">
        <f t="shared" si="346"/>
        <v/>
      </c>
    </row>
    <row r="22162" spans="26:26" x14ac:dyDescent="0.2">
      <c r="Z22162" t="str">
        <f t="shared" si="346"/>
        <v/>
      </c>
    </row>
    <row r="22163" spans="26:26" x14ac:dyDescent="0.2">
      <c r="Z22163" t="str">
        <f t="shared" si="346"/>
        <v/>
      </c>
    </row>
    <row r="22164" spans="26:26" x14ac:dyDescent="0.2">
      <c r="Z22164" t="str">
        <f t="shared" si="346"/>
        <v/>
      </c>
    </row>
    <row r="22165" spans="26:26" x14ac:dyDescent="0.2">
      <c r="Z22165" t="str">
        <f t="shared" si="346"/>
        <v/>
      </c>
    </row>
    <row r="22166" spans="26:26" x14ac:dyDescent="0.2">
      <c r="Z22166" t="str">
        <f t="shared" si="346"/>
        <v/>
      </c>
    </row>
    <row r="22167" spans="26:26" x14ac:dyDescent="0.2">
      <c r="Z22167" t="str">
        <f t="shared" si="346"/>
        <v/>
      </c>
    </row>
    <row r="22168" spans="26:26" x14ac:dyDescent="0.2">
      <c r="Z22168" t="str">
        <f t="shared" si="346"/>
        <v/>
      </c>
    </row>
    <row r="22169" spans="26:26" x14ac:dyDescent="0.2">
      <c r="Z22169" t="str">
        <f t="shared" si="346"/>
        <v/>
      </c>
    </row>
    <row r="22170" spans="26:26" x14ac:dyDescent="0.2">
      <c r="Z22170" t="str">
        <f t="shared" si="346"/>
        <v/>
      </c>
    </row>
    <row r="22171" spans="26:26" x14ac:dyDescent="0.2">
      <c r="Z22171" t="str">
        <f t="shared" si="346"/>
        <v/>
      </c>
    </row>
    <row r="22172" spans="26:26" x14ac:dyDescent="0.2">
      <c r="Z22172" t="str">
        <f t="shared" si="346"/>
        <v/>
      </c>
    </row>
    <row r="22173" spans="26:26" x14ac:dyDescent="0.2">
      <c r="Z22173" t="str">
        <f t="shared" si="346"/>
        <v/>
      </c>
    </row>
    <row r="22174" spans="26:26" x14ac:dyDescent="0.2">
      <c r="Z22174" t="str">
        <f t="shared" si="346"/>
        <v/>
      </c>
    </row>
    <row r="22175" spans="26:26" x14ac:dyDescent="0.2">
      <c r="Z22175" t="str">
        <f t="shared" si="346"/>
        <v/>
      </c>
    </row>
    <row r="22176" spans="26:26" x14ac:dyDescent="0.2">
      <c r="Z22176" t="str">
        <f t="shared" si="346"/>
        <v/>
      </c>
    </row>
    <row r="22177" spans="26:26" x14ac:dyDescent="0.2">
      <c r="Z22177" t="str">
        <f t="shared" si="346"/>
        <v/>
      </c>
    </row>
    <row r="22178" spans="26:26" x14ac:dyDescent="0.2">
      <c r="Z22178" t="str">
        <f t="shared" si="346"/>
        <v/>
      </c>
    </row>
    <row r="22179" spans="26:26" x14ac:dyDescent="0.2">
      <c r="Z22179" t="str">
        <f t="shared" si="346"/>
        <v/>
      </c>
    </row>
    <row r="22180" spans="26:26" x14ac:dyDescent="0.2">
      <c r="Z22180" t="str">
        <f t="shared" si="346"/>
        <v/>
      </c>
    </row>
    <row r="22181" spans="26:26" x14ac:dyDescent="0.2">
      <c r="Z22181" t="str">
        <f t="shared" si="346"/>
        <v/>
      </c>
    </row>
    <row r="22182" spans="26:26" x14ac:dyDescent="0.2">
      <c r="Z22182" t="str">
        <f t="shared" si="346"/>
        <v/>
      </c>
    </row>
    <row r="22183" spans="26:26" x14ac:dyDescent="0.2">
      <c r="Z22183" t="str">
        <f t="shared" si="346"/>
        <v/>
      </c>
    </row>
    <row r="22184" spans="26:26" x14ac:dyDescent="0.2">
      <c r="Z22184" t="str">
        <f t="shared" si="346"/>
        <v/>
      </c>
    </row>
    <row r="22185" spans="26:26" x14ac:dyDescent="0.2">
      <c r="Z22185" t="str">
        <f t="shared" si="346"/>
        <v/>
      </c>
    </row>
    <row r="22186" spans="26:26" x14ac:dyDescent="0.2">
      <c r="Z22186" t="str">
        <f t="shared" si="346"/>
        <v/>
      </c>
    </row>
    <row r="22187" spans="26:26" x14ac:dyDescent="0.2">
      <c r="Z22187" t="str">
        <f t="shared" si="346"/>
        <v/>
      </c>
    </row>
    <row r="22188" spans="26:26" x14ac:dyDescent="0.2">
      <c r="Z22188" t="str">
        <f t="shared" si="346"/>
        <v/>
      </c>
    </row>
    <row r="22189" spans="26:26" x14ac:dyDescent="0.2">
      <c r="Z22189" t="str">
        <f t="shared" si="346"/>
        <v/>
      </c>
    </row>
    <row r="22190" spans="26:26" x14ac:dyDescent="0.2">
      <c r="Z22190" t="str">
        <f t="shared" si="346"/>
        <v/>
      </c>
    </row>
    <row r="22191" spans="26:26" x14ac:dyDescent="0.2">
      <c r="Z22191" t="str">
        <f t="shared" si="346"/>
        <v/>
      </c>
    </row>
    <row r="22192" spans="26:26" x14ac:dyDescent="0.2">
      <c r="Z22192" t="str">
        <f t="shared" si="346"/>
        <v/>
      </c>
    </row>
    <row r="22193" spans="26:26" x14ac:dyDescent="0.2">
      <c r="Z22193" t="str">
        <f t="shared" si="346"/>
        <v/>
      </c>
    </row>
    <row r="22194" spans="26:26" x14ac:dyDescent="0.2">
      <c r="Z22194" t="str">
        <f t="shared" si="346"/>
        <v/>
      </c>
    </row>
    <row r="22195" spans="26:26" x14ac:dyDescent="0.2">
      <c r="Z22195" t="str">
        <f t="shared" si="346"/>
        <v/>
      </c>
    </row>
    <row r="22196" spans="26:26" x14ac:dyDescent="0.2">
      <c r="Z22196" t="str">
        <f t="shared" si="346"/>
        <v/>
      </c>
    </row>
    <row r="22197" spans="26:26" x14ac:dyDescent="0.2">
      <c r="Z22197" t="str">
        <f t="shared" si="346"/>
        <v/>
      </c>
    </row>
    <row r="22198" spans="26:26" x14ac:dyDescent="0.2">
      <c r="Z22198" t="str">
        <f t="shared" si="346"/>
        <v/>
      </c>
    </row>
    <row r="22199" spans="26:26" x14ac:dyDescent="0.2">
      <c r="Z22199" t="str">
        <f t="shared" si="346"/>
        <v/>
      </c>
    </row>
    <row r="22200" spans="26:26" x14ac:dyDescent="0.2">
      <c r="Z22200" t="str">
        <f t="shared" si="346"/>
        <v/>
      </c>
    </row>
    <row r="22201" spans="26:26" x14ac:dyDescent="0.2">
      <c r="Z22201" t="str">
        <f t="shared" si="346"/>
        <v/>
      </c>
    </row>
    <row r="22202" spans="26:26" x14ac:dyDescent="0.2">
      <c r="Z22202" t="str">
        <f t="shared" si="346"/>
        <v/>
      </c>
    </row>
    <row r="22203" spans="26:26" x14ac:dyDescent="0.2">
      <c r="Z22203" t="str">
        <f t="shared" si="346"/>
        <v/>
      </c>
    </row>
    <row r="22204" spans="26:26" x14ac:dyDescent="0.2">
      <c r="Z22204" t="str">
        <f t="shared" si="346"/>
        <v/>
      </c>
    </row>
    <row r="22205" spans="26:26" x14ac:dyDescent="0.2">
      <c r="Z22205" t="str">
        <f t="shared" si="346"/>
        <v/>
      </c>
    </row>
    <row r="22206" spans="26:26" x14ac:dyDescent="0.2">
      <c r="Z22206" t="str">
        <f t="shared" si="346"/>
        <v/>
      </c>
    </row>
    <row r="22207" spans="26:26" x14ac:dyDescent="0.2">
      <c r="Z22207" t="str">
        <f t="shared" si="346"/>
        <v/>
      </c>
    </row>
    <row r="22208" spans="26:26" x14ac:dyDescent="0.2">
      <c r="Z22208" t="str">
        <f t="shared" si="346"/>
        <v/>
      </c>
    </row>
    <row r="22209" spans="26:26" x14ac:dyDescent="0.2">
      <c r="Z22209" t="str">
        <f t="shared" si="346"/>
        <v/>
      </c>
    </row>
    <row r="22210" spans="26:26" x14ac:dyDescent="0.2">
      <c r="Z22210" t="str">
        <f t="shared" si="346"/>
        <v/>
      </c>
    </row>
    <row r="22211" spans="26:26" x14ac:dyDescent="0.2">
      <c r="Z22211" t="str">
        <f t="shared" ref="Z22211:Z22274" si="347">IF(K22211="","",IFERROR(VALUE(TRIM(MID(K22211,FIND(CHAR(167),SUBSTITUTE(K22211,"-",CHAR(167),LEN(K22211)-LEN(SUBSTITUTE(K22211,"-",""))))+1,100))),K22211))</f>
        <v/>
      </c>
    </row>
    <row r="22212" spans="26:26" x14ac:dyDescent="0.2">
      <c r="Z22212" t="str">
        <f t="shared" si="347"/>
        <v/>
      </c>
    </row>
    <row r="22213" spans="26:26" x14ac:dyDescent="0.2">
      <c r="Z22213" t="str">
        <f t="shared" si="347"/>
        <v/>
      </c>
    </row>
    <row r="22214" spans="26:26" x14ac:dyDescent="0.2">
      <c r="Z22214" t="str">
        <f t="shared" si="347"/>
        <v/>
      </c>
    </row>
    <row r="22215" spans="26:26" x14ac:dyDescent="0.2">
      <c r="Z22215" t="str">
        <f t="shared" si="347"/>
        <v/>
      </c>
    </row>
    <row r="22216" spans="26:26" x14ac:dyDescent="0.2">
      <c r="Z22216" t="str">
        <f t="shared" si="347"/>
        <v/>
      </c>
    </row>
    <row r="22217" spans="26:26" x14ac:dyDescent="0.2">
      <c r="Z22217" t="str">
        <f t="shared" si="347"/>
        <v/>
      </c>
    </row>
    <row r="22218" spans="26:26" x14ac:dyDescent="0.2">
      <c r="Z22218" t="str">
        <f t="shared" si="347"/>
        <v/>
      </c>
    </row>
    <row r="22219" spans="26:26" x14ac:dyDescent="0.2">
      <c r="Z22219" t="str">
        <f t="shared" si="347"/>
        <v/>
      </c>
    </row>
    <row r="22220" spans="26:26" x14ac:dyDescent="0.2">
      <c r="Z22220" t="str">
        <f t="shared" si="347"/>
        <v/>
      </c>
    </row>
    <row r="22221" spans="26:26" x14ac:dyDescent="0.2">
      <c r="Z22221" t="str">
        <f t="shared" si="347"/>
        <v/>
      </c>
    </row>
    <row r="22222" spans="26:26" x14ac:dyDescent="0.2">
      <c r="Z22222" t="str">
        <f t="shared" si="347"/>
        <v/>
      </c>
    </row>
    <row r="22223" spans="26:26" x14ac:dyDescent="0.2">
      <c r="Z22223" t="str">
        <f t="shared" si="347"/>
        <v/>
      </c>
    </row>
    <row r="22224" spans="26:26" x14ac:dyDescent="0.2">
      <c r="Z22224" t="str">
        <f t="shared" si="347"/>
        <v/>
      </c>
    </row>
    <row r="22225" spans="26:26" x14ac:dyDescent="0.2">
      <c r="Z22225" t="str">
        <f t="shared" si="347"/>
        <v/>
      </c>
    </row>
    <row r="22226" spans="26:26" x14ac:dyDescent="0.2">
      <c r="Z22226" t="str">
        <f t="shared" si="347"/>
        <v/>
      </c>
    </row>
    <row r="22227" spans="26:26" x14ac:dyDescent="0.2">
      <c r="Z22227" t="str">
        <f t="shared" si="347"/>
        <v/>
      </c>
    </row>
    <row r="22228" spans="26:26" x14ac:dyDescent="0.2">
      <c r="Z22228" t="str">
        <f t="shared" si="347"/>
        <v/>
      </c>
    </row>
    <row r="22229" spans="26:26" x14ac:dyDescent="0.2">
      <c r="Z22229" t="str">
        <f t="shared" si="347"/>
        <v/>
      </c>
    </row>
    <row r="22230" spans="26:26" x14ac:dyDescent="0.2">
      <c r="Z22230" t="str">
        <f t="shared" si="347"/>
        <v/>
      </c>
    </row>
    <row r="22231" spans="26:26" x14ac:dyDescent="0.2">
      <c r="Z22231" t="str">
        <f t="shared" si="347"/>
        <v/>
      </c>
    </row>
    <row r="22232" spans="26:26" x14ac:dyDescent="0.2">
      <c r="Z22232" t="str">
        <f t="shared" si="347"/>
        <v/>
      </c>
    </row>
    <row r="22233" spans="26:26" x14ac:dyDescent="0.2">
      <c r="Z22233" t="str">
        <f t="shared" si="347"/>
        <v/>
      </c>
    </row>
    <row r="22234" spans="26:26" x14ac:dyDescent="0.2">
      <c r="Z22234" t="str">
        <f t="shared" si="347"/>
        <v/>
      </c>
    </row>
    <row r="22235" spans="26:26" x14ac:dyDescent="0.2">
      <c r="Z22235" t="str">
        <f t="shared" si="347"/>
        <v/>
      </c>
    </row>
    <row r="22236" spans="26:26" x14ac:dyDescent="0.2">
      <c r="Z22236" t="str">
        <f t="shared" si="347"/>
        <v/>
      </c>
    </row>
    <row r="22237" spans="26:26" x14ac:dyDescent="0.2">
      <c r="Z22237" t="str">
        <f t="shared" si="347"/>
        <v/>
      </c>
    </row>
    <row r="22238" spans="26:26" x14ac:dyDescent="0.2">
      <c r="Z22238" t="str">
        <f t="shared" si="347"/>
        <v/>
      </c>
    </row>
    <row r="22239" spans="26:26" x14ac:dyDescent="0.2">
      <c r="Z22239" t="str">
        <f t="shared" si="347"/>
        <v/>
      </c>
    </row>
    <row r="22240" spans="26:26" x14ac:dyDescent="0.2">
      <c r="Z22240" t="str">
        <f t="shared" si="347"/>
        <v/>
      </c>
    </row>
    <row r="22241" spans="26:26" x14ac:dyDescent="0.2">
      <c r="Z22241" t="str">
        <f t="shared" si="347"/>
        <v/>
      </c>
    </row>
    <row r="22242" spans="26:26" x14ac:dyDescent="0.2">
      <c r="Z22242" t="str">
        <f t="shared" si="347"/>
        <v/>
      </c>
    </row>
    <row r="22243" spans="26:26" x14ac:dyDescent="0.2">
      <c r="Z22243" t="str">
        <f t="shared" si="347"/>
        <v/>
      </c>
    </row>
    <row r="22244" spans="26:26" x14ac:dyDescent="0.2">
      <c r="Z22244" t="str">
        <f t="shared" si="347"/>
        <v/>
      </c>
    </row>
    <row r="22245" spans="26:26" x14ac:dyDescent="0.2">
      <c r="Z22245" t="str">
        <f t="shared" si="347"/>
        <v/>
      </c>
    </row>
    <row r="22246" spans="26:26" x14ac:dyDescent="0.2">
      <c r="Z22246" t="str">
        <f t="shared" si="347"/>
        <v/>
      </c>
    </row>
    <row r="22247" spans="26:26" x14ac:dyDescent="0.2">
      <c r="Z22247" t="str">
        <f t="shared" si="347"/>
        <v/>
      </c>
    </row>
    <row r="22248" spans="26:26" x14ac:dyDescent="0.2">
      <c r="Z22248" t="str">
        <f t="shared" si="347"/>
        <v/>
      </c>
    </row>
    <row r="22249" spans="26:26" x14ac:dyDescent="0.2">
      <c r="Z22249" t="str">
        <f t="shared" si="347"/>
        <v/>
      </c>
    </row>
    <row r="22250" spans="26:26" x14ac:dyDescent="0.2">
      <c r="Z22250" t="str">
        <f t="shared" si="347"/>
        <v/>
      </c>
    </row>
    <row r="22251" spans="26:26" x14ac:dyDescent="0.2">
      <c r="Z22251" t="str">
        <f t="shared" si="347"/>
        <v/>
      </c>
    </row>
    <row r="22252" spans="26:26" x14ac:dyDescent="0.2">
      <c r="Z22252" t="str">
        <f t="shared" si="347"/>
        <v/>
      </c>
    </row>
    <row r="22253" spans="26:26" x14ac:dyDescent="0.2">
      <c r="Z22253" t="str">
        <f t="shared" si="347"/>
        <v/>
      </c>
    </row>
    <row r="22254" spans="26:26" x14ac:dyDescent="0.2">
      <c r="Z22254" t="str">
        <f t="shared" si="347"/>
        <v/>
      </c>
    </row>
    <row r="22255" spans="26:26" x14ac:dyDescent="0.2">
      <c r="Z22255" t="str">
        <f t="shared" si="347"/>
        <v/>
      </c>
    </row>
    <row r="22256" spans="26:26" x14ac:dyDescent="0.2">
      <c r="Z22256" t="str">
        <f t="shared" si="347"/>
        <v/>
      </c>
    </row>
    <row r="22257" spans="26:26" x14ac:dyDescent="0.2">
      <c r="Z22257" t="str">
        <f t="shared" si="347"/>
        <v/>
      </c>
    </row>
    <row r="22258" spans="26:26" x14ac:dyDescent="0.2">
      <c r="Z22258" t="str">
        <f t="shared" si="347"/>
        <v/>
      </c>
    </row>
    <row r="22259" spans="26:26" x14ac:dyDescent="0.2">
      <c r="Z22259" t="str">
        <f t="shared" si="347"/>
        <v/>
      </c>
    </row>
    <row r="22260" spans="26:26" x14ac:dyDescent="0.2">
      <c r="Z22260" t="str">
        <f t="shared" si="347"/>
        <v/>
      </c>
    </row>
    <row r="22261" spans="26:26" x14ac:dyDescent="0.2">
      <c r="Z22261" t="str">
        <f t="shared" si="347"/>
        <v/>
      </c>
    </row>
    <row r="22262" spans="26:26" x14ac:dyDescent="0.2">
      <c r="Z22262" t="str">
        <f t="shared" si="347"/>
        <v/>
      </c>
    </row>
    <row r="22263" spans="26:26" x14ac:dyDescent="0.2">
      <c r="Z22263" t="str">
        <f t="shared" si="347"/>
        <v/>
      </c>
    </row>
    <row r="22264" spans="26:26" x14ac:dyDescent="0.2">
      <c r="Z22264" t="str">
        <f t="shared" si="347"/>
        <v/>
      </c>
    </row>
    <row r="22265" spans="26:26" x14ac:dyDescent="0.2">
      <c r="Z22265" t="str">
        <f t="shared" si="347"/>
        <v/>
      </c>
    </row>
    <row r="22266" spans="26:26" x14ac:dyDescent="0.2">
      <c r="Z22266" t="str">
        <f t="shared" si="347"/>
        <v/>
      </c>
    </row>
    <row r="22267" spans="26:26" x14ac:dyDescent="0.2">
      <c r="Z22267" t="str">
        <f t="shared" si="347"/>
        <v/>
      </c>
    </row>
    <row r="22268" spans="26:26" x14ac:dyDescent="0.2">
      <c r="Z22268" t="str">
        <f t="shared" si="347"/>
        <v/>
      </c>
    </row>
    <row r="22269" spans="26:26" x14ac:dyDescent="0.2">
      <c r="Z22269" t="str">
        <f t="shared" si="347"/>
        <v/>
      </c>
    </row>
    <row r="22270" spans="26:26" x14ac:dyDescent="0.2">
      <c r="Z22270" t="str">
        <f t="shared" si="347"/>
        <v/>
      </c>
    </row>
    <row r="22271" spans="26:26" x14ac:dyDescent="0.2">
      <c r="Z22271" t="str">
        <f t="shared" si="347"/>
        <v/>
      </c>
    </row>
    <row r="22272" spans="26:26" x14ac:dyDescent="0.2">
      <c r="Z22272" t="str">
        <f t="shared" si="347"/>
        <v/>
      </c>
    </row>
    <row r="22273" spans="26:26" x14ac:dyDescent="0.2">
      <c r="Z22273" t="str">
        <f t="shared" si="347"/>
        <v/>
      </c>
    </row>
    <row r="22274" spans="26:26" x14ac:dyDescent="0.2">
      <c r="Z22274" t="str">
        <f t="shared" si="347"/>
        <v/>
      </c>
    </row>
    <row r="22275" spans="26:26" x14ac:dyDescent="0.2">
      <c r="Z22275" t="str">
        <f t="shared" ref="Z22275:Z22338" si="348">IF(K22275="","",IFERROR(VALUE(TRIM(MID(K22275,FIND(CHAR(167),SUBSTITUTE(K22275,"-",CHAR(167),LEN(K22275)-LEN(SUBSTITUTE(K22275,"-",""))))+1,100))),K22275))</f>
        <v/>
      </c>
    </row>
    <row r="22276" spans="26:26" x14ac:dyDescent="0.2">
      <c r="Z22276" t="str">
        <f t="shared" si="348"/>
        <v/>
      </c>
    </row>
    <row r="22277" spans="26:26" x14ac:dyDescent="0.2">
      <c r="Z22277" t="str">
        <f t="shared" si="348"/>
        <v/>
      </c>
    </row>
    <row r="22278" spans="26:26" x14ac:dyDescent="0.2">
      <c r="Z22278" t="str">
        <f t="shared" si="348"/>
        <v/>
      </c>
    </row>
    <row r="22279" spans="26:26" x14ac:dyDescent="0.2">
      <c r="Z22279" t="str">
        <f t="shared" si="348"/>
        <v/>
      </c>
    </row>
    <row r="22280" spans="26:26" x14ac:dyDescent="0.2">
      <c r="Z22280" t="str">
        <f t="shared" si="348"/>
        <v/>
      </c>
    </row>
    <row r="22281" spans="26:26" x14ac:dyDescent="0.2">
      <c r="Z22281" t="str">
        <f t="shared" si="348"/>
        <v/>
      </c>
    </row>
    <row r="22282" spans="26:26" x14ac:dyDescent="0.2">
      <c r="Z22282" t="str">
        <f t="shared" si="348"/>
        <v/>
      </c>
    </row>
    <row r="22283" spans="26:26" x14ac:dyDescent="0.2">
      <c r="Z22283" t="str">
        <f t="shared" si="348"/>
        <v/>
      </c>
    </row>
    <row r="22284" spans="26:26" x14ac:dyDescent="0.2">
      <c r="Z22284" t="str">
        <f t="shared" si="348"/>
        <v/>
      </c>
    </row>
    <row r="22285" spans="26:26" x14ac:dyDescent="0.2">
      <c r="Z22285" t="str">
        <f t="shared" si="348"/>
        <v/>
      </c>
    </row>
    <row r="22286" spans="26:26" x14ac:dyDescent="0.2">
      <c r="Z22286" t="str">
        <f t="shared" si="348"/>
        <v/>
      </c>
    </row>
    <row r="22287" spans="26:26" x14ac:dyDescent="0.2">
      <c r="Z22287" t="str">
        <f t="shared" si="348"/>
        <v/>
      </c>
    </row>
    <row r="22288" spans="26:26" x14ac:dyDescent="0.2">
      <c r="Z22288" t="str">
        <f t="shared" si="348"/>
        <v/>
      </c>
    </row>
    <row r="22289" spans="26:26" x14ac:dyDescent="0.2">
      <c r="Z22289" t="str">
        <f t="shared" si="348"/>
        <v/>
      </c>
    </row>
    <row r="22290" spans="26:26" x14ac:dyDescent="0.2">
      <c r="Z22290" t="str">
        <f t="shared" si="348"/>
        <v/>
      </c>
    </row>
    <row r="22291" spans="26:26" x14ac:dyDescent="0.2">
      <c r="Z22291" t="str">
        <f t="shared" si="348"/>
        <v/>
      </c>
    </row>
    <row r="22292" spans="26:26" x14ac:dyDescent="0.2">
      <c r="Z22292" t="str">
        <f t="shared" si="348"/>
        <v/>
      </c>
    </row>
    <row r="22293" spans="26:26" x14ac:dyDescent="0.2">
      <c r="Z22293" t="str">
        <f t="shared" si="348"/>
        <v/>
      </c>
    </row>
    <row r="22294" spans="26:26" x14ac:dyDescent="0.2">
      <c r="Z22294" t="str">
        <f t="shared" si="348"/>
        <v/>
      </c>
    </row>
    <row r="22295" spans="26:26" x14ac:dyDescent="0.2">
      <c r="Z22295" t="str">
        <f t="shared" si="348"/>
        <v/>
      </c>
    </row>
    <row r="22296" spans="26:26" x14ac:dyDescent="0.2">
      <c r="Z22296" t="str">
        <f t="shared" si="348"/>
        <v/>
      </c>
    </row>
    <row r="22297" spans="26:26" x14ac:dyDescent="0.2">
      <c r="Z22297" t="str">
        <f t="shared" si="348"/>
        <v/>
      </c>
    </row>
    <row r="22298" spans="26:26" x14ac:dyDescent="0.2">
      <c r="Z22298" t="str">
        <f t="shared" si="348"/>
        <v/>
      </c>
    </row>
    <row r="22299" spans="26:26" x14ac:dyDescent="0.2">
      <c r="Z22299" t="str">
        <f t="shared" si="348"/>
        <v/>
      </c>
    </row>
    <row r="22300" spans="26:26" x14ac:dyDescent="0.2">
      <c r="Z22300" t="str">
        <f t="shared" si="348"/>
        <v/>
      </c>
    </row>
    <row r="22301" spans="26:26" x14ac:dyDescent="0.2">
      <c r="Z22301" t="str">
        <f t="shared" si="348"/>
        <v/>
      </c>
    </row>
    <row r="22302" spans="26:26" x14ac:dyDescent="0.2">
      <c r="Z22302" t="str">
        <f t="shared" si="348"/>
        <v/>
      </c>
    </row>
    <row r="22303" spans="26:26" x14ac:dyDescent="0.2">
      <c r="Z22303" t="str">
        <f t="shared" si="348"/>
        <v/>
      </c>
    </row>
    <row r="22304" spans="26:26" x14ac:dyDescent="0.2">
      <c r="Z22304" t="str">
        <f t="shared" si="348"/>
        <v/>
      </c>
    </row>
    <row r="22305" spans="26:26" x14ac:dyDescent="0.2">
      <c r="Z22305" t="str">
        <f t="shared" si="348"/>
        <v/>
      </c>
    </row>
    <row r="22306" spans="26:26" x14ac:dyDescent="0.2">
      <c r="Z22306" t="str">
        <f t="shared" si="348"/>
        <v/>
      </c>
    </row>
    <row r="22307" spans="26:26" x14ac:dyDescent="0.2">
      <c r="Z22307" t="str">
        <f t="shared" si="348"/>
        <v/>
      </c>
    </row>
    <row r="22308" spans="26:26" x14ac:dyDescent="0.2">
      <c r="Z22308" t="str">
        <f t="shared" si="348"/>
        <v/>
      </c>
    </row>
    <row r="22309" spans="26:26" x14ac:dyDescent="0.2">
      <c r="Z22309" t="str">
        <f t="shared" si="348"/>
        <v/>
      </c>
    </row>
    <row r="22310" spans="26:26" x14ac:dyDescent="0.2">
      <c r="Z22310" t="str">
        <f t="shared" si="348"/>
        <v/>
      </c>
    </row>
    <row r="22311" spans="26:26" x14ac:dyDescent="0.2">
      <c r="Z22311" t="str">
        <f t="shared" si="348"/>
        <v/>
      </c>
    </row>
    <row r="22312" spans="26:26" x14ac:dyDescent="0.2">
      <c r="Z22312" t="str">
        <f t="shared" si="348"/>
        <v/>
      </c>
    </row>
    <row r="22313" spans="26:26" x14ac:dyDescent="0.2">
      <c r="Z22313" t="str">
        <f t="shared" si="348"/>
        <v/>
      </c>
    </row>
    <row r="22314" spans="26:26" x14ac:dyDescent="0.2">
      <c r="Z22314" t="str">
        <f t="shared" si="348"/>
        <v/>
      </c>
    </row>
    <row r="22315" spans="26:26" x14ac:dyDescent="0.2">
      <c r="Z22315" t="str">
        <f t="shared" si="348"/>
        <v/>
      </c>
    </row>
    <row r="22316" spans="26:26" x14ac:dyDescent="0.2">
      <c r="Z22316" t="str">
        <f t="shared" si="348"/>
        <v/>
      </c>
    </row>
    <row r="22317" spans="26:26" x14ac:dyDescent="0.2">
      <c r="Z22317" t="str">
        <f t="shared" si="348"/>
        <v/>
      </c>
    </row>
    <row r="22318" spans="26:26" x14ac:dyDescent="0.2">
      <c r="Z22318" t="str">
        <f t="shared" si="348"/>
        <v/>
      </c>
    </row>
    <row r="22319" spans="26:26" x14ac:dyDescent="0.2">
      <c r="Z22319" t="str">
        <f t="shared" si="348"/>
        <v/>
      </c>
    </row>
    <row r="22320" spans="26:26" x14ac:dyDescent="0.2">
      <c r="Z22320" t="str">
        <f t="shared" si="348"/>
        <v/>
      </c>
    </row>
    <row r="22321" spans="26:26" x14ac:dyDescent="0.2">
      <c r="Z22321" t="str">
        <f t="shared" si="348"/>
        <v/>
      </c>
    </row>
    <row r="22322" spans="26:26" x14ac:dyDescent="0.2">
      <c r="Z22322" t="str">
        <f t="shared" si="348"/>
        <v/>
      </c>
    </row>
    <row r="22323" spans="26:26" x14ac:dyDescent="0.2">
      <c r="Z22323" t="str">
        <f t="shared" si="348"/>
        <v/>
      </c>
    </row>
    <row r="22324" spans="26:26" x14ac:dyDescent="0.2">
      <c r="Z22324" t="str">
        <f t="shared" si="348"/>
        <v/>
      </c>
    </row>
    <row r="22325" spans="26:26" x14ac:dyDescent="0.2">
      <c r="Z22325" t="str">
        <f t="shared" si="348"/>
        <v/>
      </c>
    </row>
    <row r="22326" spans="26:26" x14ac:dyDescent="0.2">
      <c r="Z22326" t="str">
        <f t="shared" si="348"/>
        <v/>
      </c>
    </row>
    <row r="22327" spans="26:26" x14ac:dyDescent="0.2">
      <c r="Z22327" t="str">
        <f t="shared" si="348"/>
        <v/>
      </c>
    </row>
    <row r="22328" spans="26:26" x14ac:dyDescent="0.2">
      <c r="Z22328" t="str">
        <f t="shared" si="348"/>
        <v/>
      </c>
    </row>
    <row r="22329" spans="26:26" x14ac:dyDescent="0.2">
      <c r="Z22329" t="str">
        <f t="shared" si="348"/>
        <v/>
      </c>
    </row>
    <row r="22330" spans="26:26" x14ac:dyDescent="0.2">
      <c r="Z22330" t="str">
        <f t="shared" si="348"/>
        <v/>
      </c>
    </row>
    <row r="22331" spans="26:26" x14ac:dyDescent="0.2">
      <c r="Z22331" t="str">
        <f t="shared" si="348"/>
        <v/>
      </c>
    </row>
    <row r="22332" spans="26:26" x14ac:dyDescent="0.2">
      <c r="Z22332" t="str">
        <f t="shared" si="348"/>
        <v/>
      </c>
    </row>
    <row r="22333" spans="26:26" x14ac:dyDescent="0.2">
      <c r="Z22333" t="str">
        <f t="shared" si="348"/>
        <v/>
      </c>
    </row>
    <row r="22334" spans="26:26" x14ac:dyDescent="0.2">
      <c r="Z22334" t="str">
        <f t="shared" si="348"/>
        <v/>
      </c>
    </row>
    <row r="22335" spans="26:26" x14ac:dyDescent="0.2">
      <c r="Z22335" t="str">
        <f t="shared" si="348"/>
        <v/>
      </c>
    </row>
    <row r="22336" spans="26:26" x14ac:dyDescent="0.2">
      <c r="Z22336" t="str">
        <f t="shared" si="348"/>
        <v/>
      </c>
    </row>
    <row r="22337" spans="26:26" x14ac:dyDescent="0.2">
      <c r="Z22337" t="str">
        <f t="shared" si="348"/>
        <v/>
      </c>
    </row>
    <row r="22338" spans="26:26" x14ac:dyDescent="0.2">
      <c r="Z22338" t="str">
        <f t="shared" si="348"/>
        <v/>
      </c>
    </row>
    <row r="22339" spans="26:26" x14ac:dyDescent="0.2">
      <c r="Z22339" t="str">
        <f t="shared" ref="Z22339:Z22402" si="349">IF(K22339="","",IFERROR(VALUE(TRIM(MID(K22339,FIND(CHAR(167),SUBSTITUTE(K22339,"-",CHAR(167),LEN(K22339)-LEN(SUBSTITUTE(K22339,"-",""))))+1,100))),K22339))</f>
        <v/>
      </c>
    </row>
    <row r="22340" spans="26:26" x14ac:dyDescent="0.2">
      <c r="Z22340" t="str">
        <f t="shared" si="349"/>
        <v/>
      </c>
    </row>
    <row r="22341" spans="26:26" x14ac:dyDescent="0.2">
      <c r="Z22341" t="str">
        <f t="shared" si="349"/>
        <v/>
      </c>
    </row>
    <row r="22342" spans="26:26" x14ac:dyDescent="0.2">
      <c r="Z22342" t="str">
        <f t="shared" si="349"/>
        <v/>
      </c>
    </row>
    <row r="22343" spans="26:26" x14ac:dyDescent="0.2">
      <c r="Z22343" t="str">
        <f t="shared" si="349"/>
        <v/>
      </c>
    </row>
    <row r="22344" spans="26:26" x14ac:dyDescent="0.2">
      <c r="Z22344" t="str">
        <f t="shared" si="349"/>
        <v/>
      </c>
    </row>
    <row r="22345" spans="26:26" x14ac:dyDescent="0.2">
      <c r="Z22345" t="str">
        <f t="shared" si="349"/>
        <v/>
      </c>
    </row>
    <row r="22346" spans="26:26" x14ac:dyDescent="0.2">
      <c r="Z22346" t="str">
        <f t="shared" si="349"/>
        <v/>
      </c>
    </row>
    <row r="22347" spans="26:26" x14ac:dyDescent="0.2">
      <c r="Z22347" t="str">
        <f t="shared" si="349"/>
        <v/>
      </c>
    </row>
    <row r="22348" spans="26:26" x14ac:dyDescent="0.2">
      <c r="Z22348" t="str">
        <f t="shared" si="349"/>
        <v/>
      </c>
    </row>
    <row r="22349" spans="26:26" x14ac:dyDescent="0.2">
      <c r="Z22349" t="str">
        <f t="shared" si="349"/>
        <v/>
      </c>
    </row>
    <row r="22350" spans="26:26" x14ac:dyDescent="0.2">
      <c r="Z22350" t="str">
        <f t="shared" si="349"/>
        <v/>
      </c>
    </row>
    <row r="22351" spans="26:26" x14ac:dyDescent="0.2">
      <c r="Z22351" t="str">
        <f t="shared" si="349"/>
        <v/>
      </c>
    </row>
    <row r="22352" spans="26:26" x14ac:dyDescent="0.2">
      <c r="Z22352" t="str">
        <f t="shared" si="349"/>
        <v/>
      </c>
    </row>
    <row r="22353" spans="26:26" x14ac:dyDescent="0.2">
      <c r="Z22353" t="str">
        <f t="shared" si="349"/>
        <v/>
      </c>
    </row>
    <row r="22354" spans="26:26" x14ac:dyDescent="0.2">
      <c r="Z22354" t="str">
        <f t="shared" si="349"/>
        <v/>
      </c>
    </row>
    <row r="22355" spans="26:26" x14ac:dyDescent="0.2">
      <c r="Z22355" t="str">
        <f t="shared" si="349"/>
        <v/>
      </c>
    </row>
    <row r="22356" spans="26:26" x14ac:dyDescent="0.2">
      <c r="Z22356" t="str">
        <f t="shared" si="349"/>
        <v/>
      </c>
    </row>
    <row r="22357" spans="26:26" x14ac:dyDescent="0.2">
      <c r="Z22357" t="str">
        <f t="shared" si="349"/>
        <v/>
      </c>
    </row>
    <row r="22358" spans="26:26" x14ac:dyDescent="0.2">
      <c r="Z22358" t="str">
        <f t="shared" si="349"/>
        <v/>
      </c>
    </row>
    <row r="22359" spans="26:26" x14ac:dyDescent="0.2">
      <c r="Z22359" t="str">
        <f t="shared" si="349"/>
        <v/>
      </c>
    </row>
    <row r="22360" spans="26:26" x14ac:dyDescent="0.2">
      <c r="Z22360" t="str">
        <f t="shared" si="349"/>
        <v/>
      </c>
    </row>
    <row r="22361" spans="26:26" x14ac:dyDescent="0.2">
      <c r="Z22361" t="str">
        <f t="shared" si="349"/>
        <v/>
      </c>
    </row>
    <row r="22362" spans="26:26" x14ac:dyDescent="0.2">
      <c r="Z22362" t="str">
        <f t="shared" si="349"/>
        <v/>
      </c>
    </row>
    <row r="22363" spans="26:26" x14ac:dyDescent="0.2">
      <c r="Z22363" t="str">
        <f t="shared" si="349"/>
        <v/>
      </c>
    </row>
    <row r="22364" spans="26:26" x14ac:dyDescent="0.2">
      <c r="Z22364" t="str">
        <f t="shared" si="349"/>
        <v/>
      </c>
    </row>
    <row r="22365" spans="26:26" x14ac:dyDescent="0.2">
      <c r="Z22365" t="str">
        <f t="shared" si="349"/>
        <v/>
      </c>
    </row>
    <row r="22366" spans="26:26" x14ac:dyDescent="0.2">
      <c r="Z22366" t="str">
        <f t="shared" si="349"/>
        <v/>
      </c>
    </row>
    <row r="22367" spans="26:26" x14ac:dyDescent="0.2">
      <c r="Z22367" t="str">
        <f t="shared" si="349"/>
        <v/>
      </c>
    </row>
    <row r="22368" spans="26:26" x14ac:dyDescent="0.2">
      <c r="Z22368" t="str">
        <f t="shared" si="349"/>
        <v/>
      </c>
    </row>
    <row r="22369" spans="26:26" x14ac:dyDescent="0.2">
      <c r="Z22369" t="str">
        <f t="shared" si="349"/>
        <v/>
      </c>
    </row>
    <row r="22370" spans="26:26" x14ac:dyDescent="0.2">
      <c r="Z22370" t="str">
        <f t="shared" si="349"/>
        <v/>
      </c>
    </row>
    <row r="22371" spans="26:26" x14ac:dyDescent="0.2">
      <c r="Z22371" t="str">
        <f t="shared" si="349"/>
        <v/>
      </c>
    </row>
    <row r="22372" spans="26:26" x14ac:dyDescent="0.2">
      <c r="Z22372" t="str">
        <f t="shared" si="349"/>
        <v/>
      </c>
    </row>
    <row r="22373" spans="26:26" x14ac:dyDescent="0.2">
      <c r="Z22373" t="str">
        <f t="shared" si="349"/>
        <v/>
      </c>
    </row>
    <row r="22374" spans="26:26" x14ac:dyDescent="0.2">
      <c r="Z22374" t="str">
        <f t="shared" si="349"/>
        <v/>
      </c>
    </row>
    <row r="22375" spans="26:26" x14ac:dyDescent="0.2">
      <c r="Z22375" t="str">
        <f t="shared" si="349"/>
        <v/>
      </c>
    </row>
    <row r="22376" spans="26:26" x14ac:dyDescent="0.2">
      <c r="Z22376" t="str">
        <f t="shared" si="349"/>
        <v/>
      </c>
    </row>
    <row r="22377" spans="26:26" x14ac:dyDescent="0.2">
      <c r="Z22377" t="str">
        <f t="shared" si="349"/>
        <v/>
      </c>
    </row>
    <row r="22378" spans="26:26" x14ac:dyDescent="0.2">
      <c r="Z22378" t="str">
        <f t="shared" si="349"/>
        <v/>
      </c>
    </row>
    <row r="22379" spans="26:26" x14ac:dyDescent="0.2">
      <c r="Z22379" t="str">
        <f t="shared" si="349"/>
        <v/>
      </c>
    </row>
    <row r="22380" spans="26:26" x14ac:dyDescent="0.2">
      <c r="Z22380" t="str">
        <f t="shared" si="349"/>
        <v/>
      </c>
    </row>
    <row r="22381" spans="26:26" x14ac:dyDescent="0.2">
      <c r="Z22381" t="str">
        <f t="shared" si="349"/>
        <v/>
      </c>
    </row>
    <row r="22382" spans="26:26" x14ac:dyDescent="0.2">
      <c r="Z22382" t="str">
        <f t="shared" si="349"/>
        <v/>
      </c>
    </row>
    <row r="22383" spans="26:26" x14ac:dyDescent="0.2">
      <c r="Z22383" t="str">
        <f t="shared" si="349"/>
        <v/>
      </c>
    </row>
    <row r="22384" spans="26:26" x14ac:dyDescent="0.2">
      <c r="Z22384" t="str">
        <f t="shared" si="349"/>
        <v/>
      </c>
    </row>
    <row r="22385" spans="26:26" x14ac:dyDescent="0.2">
      <c r="Z22385" t="str">
        <f t="shared" si="349"/>
        <v/>
      </c>
    </row>
    <row r="22386" spans="26:26" x14ac:dyDescent="0.2">
      <c r="Z22386" t="str">
        <f t="shared" si="349"/>
        <v/>
      </c>
    </row>
    <row r="22387" spans="26:26" x14ac:dyDescent="0.2">
      <c r="Z22387" t="str">
        <f t="shared" si="349"/>
        <v/>
      </c>
    </row>
    <row r="22388" spans="26:26" x14ac:dyDescent="0.2">
      <c r="Z22388" t="str">
        <f t="shared" si="349"/>
        <v/>
      </c>
    </row>
    <row r="22389" spans="26:26" x14ac:dyDescent="0.2">
      <c r="Z22389" t="str">
        <f t="shared" si="349"/>
        <v/>
      </c>
    </row>
    <row r="22390" spans="26:26" x14ac:dyDescent="0.2">
      <c r="Z22390" t="str">
        <f t="shared" si="349"/>
        <v/>
      </c>
    </row>
    <row r="22391" spans="26:26" x14ac:dyDescent="0.2">
      <c r="Z22391" t="str">
        <f t="shared" si="349"/>
        <v/>
      </c>
    </row>
    <row r="22392" spans="26:26" x14ac:dyDescent="0.2">
      <c r="Z22392" t="str">
        <f t="shared" si="349"/>
        <v/>
      </c>
    </row>
    <row r="22393" spans="26:26" x14ac:dyDescent="0.2">
      <c r="Z22393" t="str">
        <f t="shared" si="349"/>
        <v/>
      </c>
    </row>
    <row r="22394" spans="26:26" x14ac:dyDescent="0.2">
      <c r="Z22394" t="str">
        <f t="shared" si="349"/>
        <v/>
      </c>
    </row>
    <row r="22395" spans="26:26" x14ac:dyDescent="0.2">
      <c r="Z22395" t="str">
        <f t="shared" si="349"/>
        <v/>
      </c>
    </row>
    <row r="22396" spans="26:26" x14ac:dyDescent="0.2">
      <c r="Z22396" t="str">
        <f t="shared" si="349"/>
        <v/>
      </c>
    </row>
    <row r="22397" spans="26:26" x14ac:dyDescent="0.2">
      <c r="Z22397" t="str">
        <f t="shared" si="349"/>
        <v/>
      </c>
    </row>
    <row r="22398" spans="26:26" x14ac:dyDescent="0.2">
      <c r="Z22398" t="str">
        <f t="shared" si="349"/>
        <v/>
      </c>
    </row>
    <row r="22399" spans="26:26" x14ac:dyDescent="0.2">
      <c r="Z22399" t="str">
        <f t="shared" si="349"/>
        <v/>
      </c>
    </row>
    <row r="22400" spans="26:26" x14ac:dyDescent="0.2">
      <c r="Z22400" t="str">
        <f t="shared" si="349"/>
        <v/>
      </c>
    </row>
    <row r="22401" spans="26:26" x14ac:dyDescent="0.2">
      <c r="Z22401" t="str">
        <f t="shared" si="349"/>
        <v/>
      </c>
    </row>
    <row r="22402" spans="26:26" x14ac:dyDescent="0.2">
      <c r="Z22402" t="str">
        <f t="shared" si="349"/>
        <v/>
      </c>
    </row>
    <row r="22403" spans="26:26" x14ac:dyDescent="0.2">
      <c r="Z22403" t="str">
        <f t="shared" ref="Z22403:Z22466" si="350">IF(K22403="","",IFERROR(VALUE(TRIM(MID(K22403,FIND(CHAR(167),SUBSTITUTE(K22403,"-",CHAR(167),LEN(K22403)-LEN(SUBSTITUTE(K22403,"-",""))))+1,100))),K22403))</f>
        <v/>
      </c>
    </row>
    <row r="22404" spans="26:26" x14ac:dyDescent="0.2">
      <c r="Z22404" t="str">
        <f t="shared" si="350"/>
        <v/>
      </c>
    </row>
    <row r="22405" spans="26:26" x14ac:dyDescent="0.2">
      <c r="Z22405" t="str">
        <f t="shared" si="350"/>
        <v/>
      </c>
    </row>
    <row r="22406" spans="26:26" x14ac:dyDescent="0.2">
      <c r="Z22406" t="str">
        <f t="shared" si="350"/>
        <v/>
      </c>
    </row>
    <row r="22407" spans="26:26" x14ac:dyDescent="0.2">
      <c r="Z22407" t="str">
        <f t="shared" si="350"/>
        <v/>
      </c>
    </row>
    <row r="22408" spans="26:26" x14ac:dyDescent="0.2">
      <c r="Z22408" t="str">
        <f t="shared" si="350"/>
        <v/>
      </c>
    </row>
    <row r="22409" spans="26:26" x14ac:dyDescent="0.2">
      <c r="Z22409" t="str">
        <f t="shared" si="350"/>
        <v/>
      </c>
    </row>
    <row r="22410" spans="26:26" x14ac:dyDescent="0.2">
      <c r="Z22410" t="str">
        <f t="shared" si="350"/>
        <v/>
      </c>
    </row>
    <row r="22411" spans="26:26" x14ac:dyDescent="0.2">
      <c r="Z22411" t="str">
        <f t="shared" si="350"/>
        <v/>
      </c>
    </row>
    <row r="22412" spans="26:26" x14ac:dyDescent="0.2">
      <c r="Z22412" t="str">
        <f t="shared" si="350"/>
        <v/>
      </c>
    </row>
    <row r="22413" spans="26:26" x14ac:dyDescent="0.2">
      <c r="Z22413" t="str">
        <f t="shared" si="350"/>
        <v/>
      </c>
    </row>
    <row r="22414" spans="26:26" x14ac:dyDescent="0.2">
      <c r="Z22414" t="str">
        <f t="shared" si="350"/>
        <v/>
      </c>
    </row>
    <row r="22415" spans="26:26" x14ac:dyDescent="0.2">
      <c r="Z22415" t="str">
        <f t="shared" si="350"/>
        <v/>
      </c>
    </row>
    <row r="22416" spans="26:26" x14ac:dyDescent="0.2">
      <c r="Z22416" t="str">
        <f t="shared" si="350"/>
        <v/>
      </c>
    </row>
    <row r="22417" spans="26:26" x14ac:dyDescent="0.2">
      <c r="Z22417" t="str">
        <f t="shared" si="350"/>
        <v/>
      </c>
    </row>
    <row r="22418" spans="26:26" x14ac:dyDescent="0.2">
      <c r="Z22418" t="str">
        <f t="shared" si="350"/>
        <v/>
      </c>
    </row>
    <row r="22419" spans="26:26" x14ac:dyDescent="0.2">
      <c r="Z22419" t="str">
        <f t="shared" si="350"/>
        <v/>
      </c>
    </row>
    <row r="22420" spans="26:26" x14ac:dyDescent="0.2">
      <c r="Z22420" t="str">
        <f t="shared" si="350"/>
        <v/>
      </c>
    </row>
    <row r="22421" spans="26:26" x14ac:dyDescent="0.2">
      <c r="Z22421" t="str">
        <f t="shared" si="350"/>
        <v/>
      </c>
    </row>
    <row r="22422" spans="26:26" x14ac:dyDescent="0.2">
      <c r="Z22422" t="str">
        <f t="shared" si="350"/>
        <v/>
      </c>
    </row>
    <row r="22423" spans="26:26" x14ac:dyDescent="0.2">
      <c r="Z22423" t="str">
        <f t="shared" si="350"/>
        <v/>
      </c>
    </row>
    <row r="22424" spans="26:26" x14ac:dyDescent="0.2">
      <c r="Z22424" t="str">
        <f t="shared" si="350"/>
        <v/>
      </c>
    </row>
    <row r="22425" spans="26:26" x14ac:dyDescent="0.2">
      <c r="Z22425" t="str">
        <f t="shared" si="350"/>
        <v/>
      </c>
    </row>
    <row r="22426" spans="26:26" x14ac:dyDescent="0.2">
      <c r="Z22426" t="str">
        <f t="shared" si="350"/>
        <v/>
      </c>
    </row>
    <row r="22427" spans="26:26" x14ac:dyDescent="0.2">
      <c r="Z22427" t="str">
        <f t="shared" si="350"/>
        <v/>
      </c>
    </row>
    <row r="22428" spans="26:26" x14ac:dyDescent="0.2">
      <c r="Z22428" t="str">
        <f t="shared" si="350"/>
        <v/>
      </c>
    </row>
    <row r="22429" spans="26:26" x14ac:dyDescent="0.2">
      <c r="Z22429" t="str">
        <f t="shared" si="350"/>
        <v/>
      </c>
    </row>
    <row r="22430" spans="26:26" x14ac:dyDescent="0.2">
      <c r="Z22430" t="str">
        <f t="shared" si="350"/>
        <v/>
      </c>
    </row>
    <row r="22431" spans="26:26" x14ac:dyDescent="0.2">
      <c r="Z22431" t="str">
        <f t="shared" si="350"/>
        <v/>
      </c>
    </row>
    <row r="22432" spans="26:26" x14ac:dyDescent="0.2">
      <c r="Z22432" t="str">
        <f t="shared" si="350"/>
        <v/>
      </c>
    </row>
    <row r="22433" spans="26:26" x14ac:dyDescent="0.2">
      <c r="Z22433" t="str">
        <f t="shared" si="350"/>
        <v/>
      </c>
    </row>
    <row r="22434" spans="26:26" x14ac:dyDescent="0.2">
      <c r="Z22434" t="str">
        <f t="shared" si="350"/>
        <v/>
      </c>
    </row>
    <row r="22435" spans="26:26" x14ac:dyDescent="0.2">
      <c r="Z22435" t="str">
        <f t="shared" si="350"/>
        <v/>
      </c>
    </row>
    <row r="22436" spans="26:26" x14ac:dyDescent="0.2">
      <c r="Z22436" t="str">
        <f t="shared" si="350"/>
        <v/>
      </c>
    </row>
    <row r="22437" spans="26:26" x14ac:dyDescent="0.2">
      <c r="Z22437" t="str">
        <f t="shared" si="350"/>
        <v/>
      </c>
    </row>
    <row r="22438" spans="26:26" x14ac:dyDescent="0.2">
      <c r="Z22438" t="str">
        <f t="shared" si="350"/>
        <v/>
      </c>
    </row>
    <row r="22439" spans="26:26" x14ac:dyDescent="0.2">
      <c r="Z22439" t="str">
        <f t="shared" si="350"/>
        <v/>
      </c>
    </row>
    <row r="22440" spans="26:26" x14ac:dyDescent="0.2">
      <c r="Z22440" t="str">
        <f t="shared" si="350"/>
        <v/>
      </c>
    </row>
    <row r="22441" spans="26:26" x14ac:dyDescent="0.2">
      <c r="Z22441" t="str">
        <f t="shared" si="350"/>
        <v/>
      </c>
    </row>
    <row r="22442" spans="26:26" x14ac:dyDescent="0.2">
      <c r="Z22442" t="str">
        <f t="shared" si="350"/>
        <v/>
      </c>
    </row>
    <row r="22443" spans="26:26" x14ac:dyDescent="0.2">
      <c r="Z22443" t="str">
        <f t="shared" si="350"/>
        <v/>
      </c>
    </row>
    <row r="22444" spans="26:26" x14ac:dyDescent="0.2">
      <c r="Z22444" t="str">
        <f t="shared" si="350"/>
        <v/>
      </c>
    </row>
    <row r="22445" spans="26:26" x14ac:dyDescent="0.2">
      <c r="Z22445" t="str">
        <f t="shared" si="350"/>
        <v/>
      </c>
    </row>
    <row r="22446" spans="26:26" x14ac:dyDescent="0.2">
      <c r="Z22446" t="str">
        <f t="shared" si="350"/>
        <v/>
      </c>
    </row>
    <row r="22447" spans="26:26" x14ac:dyDescent="0.2">
      <c r="Z22447" t="str">
        <f t="shared" si="350"/>
        <v/>
      </c>
    </row>
    <row r="22448" spans="26:26" x14ac:dyDescent="0.2">
      <c r="Z22448" t="str">
        <f t="shared" si="350"/>
        <v/>
      </c>
    </row>
    <row r="22449" spans="26:26" x14ac:dyDescent="0.2">
      <c r="Z22449" t="str">
        <f t="shared" si="350"/>
        <v/>
      </c>
    </row>
    <row r="22450" spans="26:26" x14ac:dyDescent="0.2">
      <c r="Z22450" t="str">
        <f t="shared" si="350"/>
        <v/>
      </c>
    </row>
    <row r="22451" spans="26:26" x14ac:dyDescent="0.2">
      <c r="Z22451" t="str">
        <f t="shared" si="350"/>
        <v/>
      </c>
    </row>
    <row r="22452" spans="26:26" x14ac:dyDescent="0.2">
      <c r="Z22452" t="str">
        <f t="shared" si="350"/>
        <v/>
      </c>
    </row>
    <row r="22453" spans="26:26" x14ac:dyDescent="0.2">
      <c r="Z22453" t="str">
        <f t="shared" si="350"/>
        <v/>
      </c>
    </row>
    <row r="22454" spans="26:26" x14ac:dyDescent="0.2">
      <c r="Z22454" t="str">
        <f t="shared" si="350"/>
        <v/>
      </c>
    </row>
    <row r="22455" spans="26:26" x14ac:dyDescent="0.2">
      <c r="Z22455" t="str">
        <f t="shared" si="350"/>
        <v/>
      </c>
    </row>
    <row r="22456" spans="26:26" x14ac:dyDescent="0.2">
      <c r="Z22456" t="str">
        <f t="shared" si="350"/>
        <v/>
      </c>
    </row>
    <row r="22457" spans="26:26" x14ac:dyDescent="0.2">
      <c r="Z22457" t="str">
        <f t="shared" si="350"/>
        <v/>
      </c>
    </row>
    <row r="22458" spans="26:26" x14ac:dyDescent="0.2">
      <c r="Z22458" t="str">
        <f t="shared" si="350"/>
        <v/>
      </c>
    </row>
    <row r="22459" spans="26:26" x14ac:dyDescent="0.2">
      <c r="Z22459" t="str">
        <f t="shared" si="350"/>
        <v/>
      </c>
    </row>
    <row r="22460" spans="26:26" x14ac:dyDescent="0.2">
      <c r="Z22460" t="str">
        <f t="shared" si="350"/>
        <v/>
      </c>
    </row>
    <row r="22461" spans="26:26" x14ac:dyDescent="0.2">
      <c r="Z22461" t="str">
        <f t="shared" si="350"/>
        <v/>
      </c>
    </row>
    <row r="22462" spans="26:26" x14ac:dyDescent="0.2">
      <c r="Z22462" t="str">
        <f t="shared" si="350"/>
        <v/>
      </c>
    </row>
    <row r="22463" spans="26:26" x14ac:dyDescent="0.2">
      <c r="Z22463" t="str">
        <f t="shared" si="350"/>
        <v/>
      </c>
    </row>
    <row r="22464" spans="26:26" x14ac:dyDescent="0.2">
      <c r="Z22464" t="str">
        <f t="shared" si="350"/>
        <v/>
      </c>
    </row>
    <row r="22465" spans="26:26" x14ac:dyDescent="0.2">
      <c r="Z22465" t="str">
        <f t="shared" si="350"/>
        <v/>
      </c>
    </row>
    <row r="22466" spans="26:26" x14ac:dyDescent="0.2">
      <c r="Z22466" t="str">
        <f t="shared" si="350"/>
        <v/>
      </c>
    </row>
    <row r="22467" spans="26:26" x14ac:dyDescent="0.2">
      <c r="Z22467" t="str">
        <f t="shared" ref="Z22467:Z22530" si="351">IF(K22467="","",IFERROR(VALUE(TRIM(MID(K22467,FIND(CHAR(167),SUBSTITUTE(K22467,"-",CHAR(167),LEN(K22467)-LEN(SUBSTITUTE(K22467,"-",""))))+1,100))),K22467))</f>
        <v/>
      </c>
    </row>
    <row r="22468" spans="26:26" x14ac:dyDescent="0.2">
      <c r="Z22468" t="str">
        <f t="shared" si="351"/>
        <v/>
      </c>
    </row>
    <row r="22469" spans="26:26" x14ac:dyDescent="0.2">
      <c r="Z22469" t="str">
        <f t="shared" si="351"/>
        <v/>
      </c>
    </row>
    <row r="22470" spans="26:26" x14ac:dyDescent="0.2">
      <c r="Z22470" t="str">
        <f t="shared" si="351"/>
        <v/>
      </c>
    </row>
    <row r="22471" spans="26:26" x14ac:dyDescent="0.2">
      <c r="Z22471" t="str">
        <f t="shared" si="351"/>
        <v/>
      </c>
    </row>
    <row r="22472" spans="26:26" x14ac:dyDescent="0.2">
      <c r="Z22472" t="str">
        <f t="shared" si="351"/>
        <v/>
      </c>
    </row>
    <row r="22473" spans="26:26" x14ac:dyDescent="0.2">
      <c r="Z22473" t="str">
        <f t="shared" si="351"/>
        <v/>
      </c>
    </row>
    <row r="22474" spans="26:26" x14ac:dyDescent="0.2">
      <c r="Z22474" t="str">
        <f t="shared" si="351"/>
        <v/>
      </c>
    </row>
    <row r="22475" spans="26:26" x14ac:dyDescent="0.2">
      <c r="Z22475" t="str">
        <f t="shared" si="351"/>
        <v/>
      </c>
    </row>
    <row r="22476" spans="26:26" x14ac:dyDescent="0.2">
      <c r="Z22476" t="str">
        <f t="shared" si="351"/>
        <v/>
      </c>
    </row>
    <row r="22477" spans="26:26" x14ac:dyDescent="0.2">
      <c r="Z22477" t="str">
        <f t="shared" si="351"/>
        <v/>
      </c>
    </row>
    <row r="22478" spans="26:26" x14ac:dyDescent="0.2">
      <c r="Z22478" t="str">
        <f t="shared" si="351"/>
        <v/>
      </c>
    </row>
    <row r="22479" spans="26:26" x14ac:dyDescent="0.2">
      <c r="Z22479" t="str">
        <f t="shared" si="351"/>
        <v/>
      </c>
    </row>
    <row r="22480" spans="26:26" x14ac:dyDescent="0.2">
      <c r="Z22480" t="str">
        <f t="shared" si="351"/>
        <v/>
      </c>
    </row>
    <row r="22481" spans="26:26" x14ac:dyDescent="0.2">
      <c r="Z22481" t="str">
        <f t="shared" si="351"/>
        <v/>
      </c>
    </row>
    <row r="22482" spans="26:26" x14ac:dyDescent="0.2">
      <c r="Z22482" t="str">
        <f t="shared" si="351"/>
        <v/>
      </c>
    </row>
    <row r="22483" spans="26:26" x14ac:dyDescent="0.2">
      <c r="Z22483" t="str">
        <f t="shared" si="351"/>
        <v/>
      </c>
    </row>
    <row r="22484" spans="26:26" x14ac:dyDescent="0.2">
      <c r="Z22484" t="str">
        <f t="shared" si="351"/>
        <v/>
      </c>
    </row>
    <row r="22485" spans="26:26" x14ac:dyDescent="0.2">
      <c r="Z22485" t="str">
        <f t="shared" si="351"/>
        <v/>
      </c>
    </row>
    <row r="22486" spans="26:26" x14ac:dyDescent="0.2">
      <c r="Z22486" t="str">
        <f t="shared" si="351"/>
        <v/>
      </c>
    </row>
    <row r="22487" spans="26:26" x14ac:dyDescent="0.2">
      <c r="Z22487" t="str">
        <f t="shared" si="351"/>
        <v/>
      </c>
    </row>
    <row r="22488" spans="26:26" x14ac:dyDescent="0.2">
      <c r="Z22488" t="str">
        <f t="shared" si="351"/>
        <v/>
      </c>
    </row>
    <row r="22489" spans="26:26" x14ac:dyDescent="0.2">
      <c r="Z22489" t="str">
        <f t="shared" si="351"/>
        <v/>
      </c>
    </row>
    <row r="22490" spans="26:26" x14ac:dyDescent="0.2">
      <c r="Z22490" t="str">
        <f t="shared" si="351"/>
        <v/>
      </c>
    </row>
    <row r="22491" spans="26:26" x14ac:dyDescent="0.2">
      <c r="Z22491" t="str">
        <f t="shared" si="351"/>
        <v/>
      </c>
    </row>
    <row r="22492" spans="26:26" x14ac:dyDescent="0.2">
      <c r="Z22492" t="str">
        <f t="shared" si="351"/>
        <v/>
      </c>
    </row>
    <row r="22493" spans="26:26" x14ac:dyDescent="0.2">
      <c r="Z22493" t="str">
        <f t="shared" si="351"/>
        <v/>
      </c>
    </row>
    <row r="22494" spans="26:26" x14ac:dyDescent="0.2">
      <c r="Z22494" t="str">
        <f t="shared" si="351"/>
        <v/>
      </c>
    </row>
    <row r="22495" spans="26:26" x14ac:dyDescent="0.2">
      <c r="Z22495" t="str">
        <f t="shared" si="351"/>
        <v/>
      </c>
    </row>
    <row r="22496" spans="26:26" x14ac:dyDescent="0.2">
      <c r="Z22496" t="str">
        <f t="shared" si="351"/>
        <v/>
      </c>
    </row>
    <row r="22497" spans="26:26" x14ac:dyDescent="0.2">
      <c r="Z22497" t="str">
        <f t="shared" si="351"/>
        <v/>
      </c>
    </row>
    <row r="22498" spans="26:26" x14ac:dyDescent="0.2">
      <c r="Z22498" t="str">
        <f t="shared" si="351"/>
        <v/>
      </c>
    </row>
    <row r="22499" spans="26:26" x14ac:dyDescent="0.2">
      <c r="Z22499" t="str">
        <f t="shared" si="351"/>
        <v/>
      </c>
    </row>
    <row r="22500" spans="26:26" x14ac:dyDescent="0.2">
      <c r="Z22500" t="str">
        <f t="shared" si="351"/>
        <v/>
      </c>
    </row>
    <row r="22501" spans="26:26" x14ac:dyDescent="0.2">
      <c r="Z22501" t="str">
        <f t="shared" si="351"/>
        <v/>
      </c>
    </row>
    <row r="22502" spans="26:26" x14ac:dyDescent="0.2">
      <c r="Z22502" t="str">
        <f t="shared" si="351"/>
        <v/>
      </c>
    </row>
    <row r="22503" spans="26:26" x14ac:dyDescent="0.2">
      <c r="Z22503" t="str">
        <f t="shared" si="351"/>
        <v/>
      </c>
    </row>
    <row r="22504" spans="26:26" x14ac:dyDescent="0.2">
      <c r="Z22504" t="str">
        <f t="shared" si="351"/>
        <v/>
      </c>
    </row>
    <row r="22505" spans="26:26" x14ac:dyDescent="0.2">
      <c r="Z22505" t="str">
        <f t="shared" si="351"/>
        <v/>
      </c>
    </row>
    <row r="22506" spans="26:26" x14ac:dyDescent="0.2">
      <c r="Z22506" t="str">
        <f t="shared" si="351"/>
        <v/>
      </c>
    </row>
    <row r="22507" spans="26:26" x14ac:dyDescent="0.2">
      <c r="Z22507" t="str">
        <f t="shared" si="351"/>
        <v/>
      </c>
    </row>
    <row r="22508" spans="26:26" x14ac:dyDescent="0.2">
      <c r="Z22508" t="str">
        <f t="shared" si="351"/>
        <v/>
      </c>
    </row>
    <row r="22509" spans="26:26" x14ac:dyDescent="0.2">
      <c r="Z22509" t="str">
        <f t="shared" si="351"/>
        <v/>
      </c>
    </row>
    <row r="22510" spans="26:26" x14ac:dyDescent="0.2">
      <c r="Z22510" t="str">
        <f t="shared" si="351"/>
        <v/>
      </c>
    </row>
    <row r="22511" spans="26:26" x14ac:dyDescent="0.2">
      <c r="Z22511" t="str">
        <f t="shared" si="351"/>
        <v/>
      </c>
    </row>
    <row r="22512" spans="26:26" x14ac:dyDescent="0.2">
      <c r="Z22512" t="str">
        <f t="shared" si="351"/>
        <v/>
      </c>
    </row>
    <row r="22513" spans="26:26" x14ac:dyDescent="0.2">
      <c r="Z22513" t="str">
        <f t="shared" si="351"/>
        <v/>
      </c>
    </row>
    <row r="22514" spans="26:26" x14ac:dyDescent="0.2">
      <c r="Z22514" t="str">
        <f t="shared" si="351"/>
        <v/>
      </c>
    </row>
    <row r="22515" spans="26:26" x14ac:dyDescent="0.2">
      <c r="Z22515" t="str">
        <f t="shared" si="351"/>
        <v/>
      </c>
    </row>
    <row r="22516" spans="26:26" x14ac:dyDescent="0.2">
      <c r="Z22516" t="str">
        <f t="shared" si="351"/>
        <v/>
      </c>
    </row>
    <row r="22517" spans="26:26" x14ac:dyDescent="0.2">
      <c r="Z22517" t="str">
        <f t="shared" si="351"/>
        <v/>
      </c>
    </row>
    <row r="22518" spans="26:26" x14ac:dyDescent="0.2">
      <c r="Z22518" t="str">
        <f t="shared" si="351"/>
        <v/>
      </c>
    </row>
    <row r="22519" spans="26:26" x14ac:dyDescent="0.2">
      <c r="Z22519" t="str">
        <f t="shared" si="351"/>
        <v/>
      </c>
    </row>
    <row r="22520" spans="26:26" x14ac:dyDescent="0.2">
      <c r="Z22520" t="str">
        <f t="shared" si="351"/>
        <v/>
      </c>
    </row>
    <row r="22521" spans="26:26" x14ac:dyDescent="0.2">
      <c r="Z22521" t="str">
        <f t="shared" si="351"/>
        <v/>
      </c>
    </row>
    <row r="22522" spans="26:26" x14ac:dyDescent="0.2">
      <c r="Z22522" t="str">
        <f t="shared" si="351"/>
        <v/>
      </c>
    </row>
    <row r="22523" spans="26:26" x14ac:dyDescent="0.2">
      <c r="Z22523" t="str">
        <f t="shared" si="351"/>
        <v/>
      </c>
    </row>
    <row r="22524" spans="26:26" x14ac:dyDescent="0.2">
      <c r="Z22524" t="str">
        <f t="shared" si="351"/>
        <v/>
      </c>
    </row>
    <row r="22525" spans="26:26" x14ac:dyDescent="0.2">
      <c r="Z22525" t="str">
        <f t="shared" si="351"/>
        <v/>
      </c>
    </row>
    <row r="22526" spans="26:26" x14ac:dyDescent="0.2">
      <c r="Z22526" t="str">
        <f t="shared" si="351"/>
        <v/>
      </c>
    </row>
    <row r="22527" spans="26:26" x14ac:dyDescent="0.2">
      <c r="Z22527" t="str">
        <f t="shared" si="351"/>
        <v/>
      </c>
    </row>
    <row r="22528" spans="26:26" x14ac:dyDescent="0.2">
      <c r="Z22528" t="str">
        <f t="shared" si="351"/>
        <v/>
      </c>
    </row>
    <row r="22529" spans="26:26" x14ac:dyDescent="0.2">
      <c r="Z22529" t="str">
        <f t="shared" si="351"/>
        <v/>
      </c>
    </row>
    <row r="22530" spans="26:26" x14ac:dyDescent="0.2">
      <c r="Z22530" t="str">
        <f t="shared" si="351"/>
        <v/>
      </c>
    </row>
    <row r="22531" spans="26:26" x14ac:dyDescent="0.2">
      <c r="Z22531" t="str">
        <f t="shared" ref="Z22531:Z22594" si="352">IF(K22531="","",IFERROR(VALUE(TRIM(MID(K22531,FIND(CHAR(167),SUBSTITUTE(K22531,"-",CHAR(167),LEN(K22531)-LEN(SUBSTITUTE(K22531,"-",""))))+1,100))),K22531))</f>
        <v/>
      </c>
    </row>
    <row r="22532" spans="26:26" x14ac:dyDescent="0.2">
      <c r="Z22532" t="str">
        <f t="shared" si="352"/>
        <v/>
      </c>
    </row>
    <row r="22533" spans="26:26" x14ac:dyDescent="0.2">
      <c r="Z22533" t="str">
        <f t="shared" si="352"/>
        <v/>
      </c>
    </row>
    <row r="22534" spans="26:26" x14ac:dyDescent="0.2">
      <c r="Z22534" t="str">
        <f t="shared" si="352"/>
        <v/>
      </c>
    </row>
    <row r="22535" spans="26:26" x14ac:dyDescent="0.2">
      <c r="Z22535" t="str">
        <f t="shared" si="352"/>
        <v/>
      </c>
    </row>
    <row r="22536" spans="26:26" x14ac:dyDescent="0.2">
      <c r="Z22536" t="str">
        <f t="shared" si="352"/>
        <v/>
      </c>
    </row>
    <row r="22537" spans="26:26" x14ac:dyDescent="0.2">
      <c r="Z22537" t="str">
        <f t="shared" si="352"/>
        <v/>
      </c>
    </row>
    <row r="22538" spans="26:26" x14ac:dyDescent="0.2">
      <c r="Z22538" t="str">
        <f t="shared" si="352"/>
        <v/>
      </c>
    </row>
    <row r="22539" spans="26:26" x14ac:dyDescent="0.2">
      <c r="Z22539" t="str">
        <f t="shared" si="352"/>
        <v/>
      </c>
    </row>
    <row r="22540" spans="26:26" x14ac:dyDescent="0.2">
      <c r="Z22540" t="str">
        <f t="shared" si="352"/>
        <v/>
      </c>
    </row>
    <row r="22541" spans="26:26" x14ac:dyDescent="0.2">
      <c r="Z22541" t="str">
        <f t="shared" si="352"/>
        <v/>
      </c>
    </row>
    <row r="22542" spans="26:26" x14ac:dyDescent="0.2">
      <c r="Z22542" t="str">
        <f t="shared" si="352"/>
        <v/>
      </c>
    </row>
    <row r="22543" spans="26:26" x14ac:dyDescent="0.2">
      <c r="Z22543" t="str">
        <f t="shared" si="352"/>
        <v/>
      </c>
    </row>
    <row r="22544" spans="26:26" x14ac:dyDescent="0.2">
      <c r="Z22544" t="str">
        <f t="shared" si="352"/>
        <v/>
      </c>
    </row>
    <row r="22545" spans="26:26" x14ac:dyDescent="0.2">
      <c r="Z22545" t="str">
        <f t="shared" si="352"/>
        <v/>
      </c>
    </row>
    <row r="22546" spans="26:26" x14ac:dyDescent="0.2">
      <c r="Z22546" t="str">
        <f t="shared" si="352"/>
        <v/>
      </c>
    </row>
    <row r="22547" spans="26:26" x14ac:dyDescent="0.2">
      <c r="Z22547" t="str">
        <f t="shared" si="352"/>
        <v/>
      </c>
    </row>
    <row r="22548" spans="26:26" x14ac:dyDescent="0.2">
      <c r="Z22548" t="str">
        <f t="shared" si="352"/>
        <v/>
      </c>
    </row>
    <row r="22549" spans="26:26" x14ac:dyDescent="0.2">
      <c r="Z22549" t="str">
        <f t="shared" si="352"/>
        <v/>
      </c>
    </row>
    <row r="22550" spans="26:26" x14ac:dyDescent="0.2">
      <c r="Z22550" t="str">
        <f t="shared" si="352"/>
        <v/>
      </c>
    </row>
    <row r="22551" spans="26:26" x14ac:dyDescent="0.2">
      <c r="Z22551" t="str">
        <f t="shared" si="352"/>
        <v/>
      </c>
    </row>
    <row r="22552" spans="26:26" x14ac:dyDescent="0.2">
      <c r="Z22552" t="str">
        <f t="shared" si="352"/>
        <v/>
      </c>
    </row>
    <row r="22553" spans="26:26" x14ac:dyDescent="0.2">
      <c r="Z22553" t="str">
        <f t="shared" si="352"/>
        <v/>
      </c>
    </row>
    <row r="22554" spans="26:26" x14ac:dyDescent="0.2">
      <c r="Z22554" t="str">
        <f t="shared" si="352"/>
        <v/>
      </c>
    </row>
    <row r="22555" spans="26:26" x14ac:dyDescent="0.2">
      <c r="Z22555" t="str">
        <f t="shared" si="352"/>
        <v/>
      </c>
    </row>
    <row r="22556" spans="26:26" x14ac:dyDescent="0.2">
      <c r="Z22556" t="str">
        <f t="shared" si="352"/>
        <v/>
      </c>
    </row>
    <row r="22557" spans="26:26" x14ac:dyDescent="0.2">
      <c r="Z22557" t="str">
        <f t="shared" si="352"/>
        <v/>
      </c>
    </row>
    <row r="22558" spans="26:26" x14ac:dyDescent="0.2">
      <c r="Z22558" t="str">
        <f t="shared" si="352"/>
        <v/>
      </c>
    </row>
    <row r="22559" spans="26:26" x14ac:dyDescent="0.2">
      <c r="Z22559" t="str">
        <f t="shared" si="352"/>
        <v/>
      </c>
    </row>
    <row r="22560" spans="26:26" x14ac:dyDescent="0.2">
      <c r="Z22560" t="str">
        <f t="shared" si="352"/>
        <v/>
      </c>
    </row>
    <row r="22561" spans="26:26" x14ac:dyDescent="0.2">
      <c r="Z22561" t="str">
        <f t="shared" si="352"/>
        <v/>
      </c>
    </row>
    <row r="22562" spans="26:26" x14ac:dyDescent="0.2">
      <c r="Z22562" t="str">
        <f t="shared" si="352"/>
        <v/>
      </c>
    </row>
    <row r="22563" spans="26:26" x14ac:dyDescent="0.2">
      <c r="Z22563" t="str">
        <f t="shared" si="352"/>
        <v/>
      </c>
    </row>
    <row r="22564" spans="26:26" x14ac:dyDescent="0.2">
      <c r="Z22564" t="str">
        <f t="shared" si="352"/>
        <v/>
      </c>
    </row>
    <row r="22565" spans="26:26" x14ac:dyDescent="0.2">
      <c r="Z22565" t="str">
        <f t="shared" si="352"/>
        <v/>
      </c>
    </row>
    <row r="22566" spans="26:26" x14ac:dyDescent="0.2">
      <c r="Z22566" t="str">
        <f t="shared" si="352"/>
        <v/>
      </c>
    </row>
    <row r="22567" spans="26:26" x14ac:dyDescent="0.2">
      <c r="Z22567" t="str">
        <f t="shared" si="352"/>
        <v/>
      </c>
    </row>
    <row r="22568" spans="26:26" x14ac:dyDescent="0.2">
      <c r="Z22568" t="str">
        <f t="shared" si="352"/>
        <v/>
      </c>
    </row>
    <row r="22569" spans="26:26" x14ac:dyDescent="0.2">
      <c r="Z22569" t="str">
        <f t="shared" si="352"/>
        <v/>
      </c>
    </row>
    <row r="22570" spans="26:26" x14ac:dyDescent="0.2">
      <c r="Z22570" t="str">
        <f t="shared" si="352"/>
        <v/>
      </c>
    </row>
    <row r="22571" spans="26:26" x14ac:dyDescent="0.2">
      <c r="Z22571" t="str">
        <f t="shared" si="352"/>
        <v/>
      </c>
    </row>
    <row r="22572" spans="26:26" x14ac:dyDescent="0.2">
      <c r="Z22572" t="str">
        <f t="shared" si="352"/>
        <v/>
      </c>
    </row>
    <row r="22573" spans="26:26" x14ac:dyDescent="0.2">
      <c r="Z22573" t="str">
        <f t="shared" si="352"/>
        <v/>
      </c>
    </row>
    <row r="22574" spans="26:26" x14ac:dyDescent="0.2">
      <c r="Z22574" t="str">
        <f t="shared" si="352"/>
        <v/>
      </c>
    </row>
    <row r="22575" spans="26:26" x14ac:dyDescent="0.2">
      <c r="Z22575" t="str">
        <f t="shared" si="352"/>
        <v/>
      </c>
    </row>
    <row r="22576" spans="26:26" x14ac:dyDescent="0.2">
      <c r="Z22576" t="str">
        <f t="shared" si="352"/>
        <v/>
      </c>
    </row>
    <row r="22577" spans="26:26" x14ac:dyDescent="0.2">
      <c r="Z22577" t="str">
        <f t="shared" si="352"/>
        <v/>
      </c>
    </row>
    <row r="22578" spans="26:26" x14ac:dyDescent="0.2">
      <c r="Z22578" t="str">
        <f t="shared" si="352"/>
        <v/>
      </c>
    </row>
    <row r="22579" spans="26:26" x14ac:dyDescent="0.2">
      <c r="Z22579" t="str">
        <f t="shared" si="352"/>
        <v/>
      </c>
    </row>
    <row r="22580" spans="26:26" x14ac:dyDescent="0.2">
      <c r="Z22580" t="str">
        <f t="shared" si="352"/>
        <v/>
      </c>
    </row>
    <row r="22581" spans="26:26" x14ac:dyDescent="0.2">
      <c r="Z22581" t="str">
        <f t="shared" si="352"/>
        <v/>
      </c>
    </row>
    <row r="22582" spans="26:26" x14ac:dyDescent="0.2">
      <c r="Z22582" t="str">
        <f t="shared" si="352"/>
        <v/>
      </c>
    </row>
    <row r="22583" spans="26:26" x14ac:dyDescent="0.2">
      <c r="Z22583" t="str">
        <f t="shared" si="352"/>
        <v/>
      </c>
    </row>
    <row r="22584" spans="26:26" x14ac:dyDescent="0.2">
      <c r="Z22584" t="str">
        <f t="shared" si="352"/>
        <v/>
      </c>
    </row>
    <row r="22585" spans="26:26" x14ac:dyDescent="0.2">
      <c r="Z22585" t="str">
        <f t="shared" si="352"/>
        <v/>
      </c>
    </row>
    <row r="22586" spans="26:26" x14ac:dyDescent="0.2">
      <c r="Z22586" t="str">
        <f t="shared" si="352"/>
        <v/>
      </c>
    </row>
    <row r="22587" spans="26:26" x14ac:dyDescent="0.2">
      <c r="Z22587" t="str">
        <f t="shared" si="352"/>
        <v/>
      </c>
    </row>
    <row r="22588" spans="26:26" x14ac:dyDescent="0.2">
      <c r="Z22588" t="str">
        <f t="shared" si="352"/>
        <v/>
      </c>
    </row>
    <row r="22589" spans="26:26" x14ac:dyDescent="0.2">
      <c r="Z22589" t="str">
        <f t="shared" si="352"/>
        <v/>
      </c>
    </row>
    <row r="22590" spans="26:26" x14ac:dyDescent="0.2">
      <c r="Z22590" t="str">
        <f t="shared" si="352"/>
        <v/>
      </c>
    </row>
    <row r="22591" spans="26:26" x14ac:dyDescent="0.2">
      <c r="Z22591" t="str">
        <f t="shared" si="352"/>
        <v/>
      </c>
    </row>
    <row r="22592" spans="26:26" x14ac:dyDescent="0.2">
      <c r="Z22592" t="str">
        <f t="shared" si="352"/>
        <v/>
      </c>
    </row>
    <row r="22593" spans="26:26" x14ac:dyDescent="0.2">
      <c r="Z22593" t="str">
        <f t="shared" si="352"/>
        <v/>
      </c>
    </row>
    <row r="22594" spans="26:26" x14ac:dyDescent="0.2">
      <c r="Z22594" t="str">
        <f t="shared" si="352"/>
        <v/>
      </c>
    </row>
    <row r="22595" spans="26:26" x14ac:dyDescent="0.2">
      <c r="Z22595" t="str">
        <f t="shared" ref="Z22595:Z22658" si="353">IF(K22595="","",IFERROR(VALUE(TRIM(MID(K22595,FIND(CHAR(167),SUBSTITUTE(K22595,"-",CHAR(167),LEN(K22595)-LEN(SUBSTITUTE(K22595,"-",""))))+1,100))),K22595))</f>
        <v/>
      </c>
    </row>
    <row r="22596" spans="26:26" x14ac:dyDescent="0.2">
      <c r="Z22596" t="str">
        <f t="shared" si="353"/>
        <v/>
      </c>
    </row>
    <row r="22597" spans="26:26" x14ac:dyDescent="0.2">
      <c r="Z22597" t="str">
        <f t="shared" si="353"/>
        <v/>
      </c>
    </row>
    <row r="22598" spans="26:26" x14ac:dyDescent="0.2">
      <c r="Z22598" t="str">
        <f t="shared" si="353"/>
        <v/>
      </c>
    </row>
    <row r="22599" spans="26:26" x14ac:dyDescent="0.2">
      <c r="Z22599" t="str">
        <f t="shared" si="353"/>
        <v/>
      </c>
    </row>
    <row r="22600" spans="26:26" x14ac:dyDescent="0.2">
      <c r="Z22600" t="str">
        <f t="shared" si="353"/>
        <v/>
      </c>
    </row>
    <row r="22601" spans="26:26" x14ac:dyDescent="0.2">
      <c r="Z22601" t="str">
        <f t="shared" si="353"/>
        <v/>
      </c>
    </row>
    <row r="22602" spans="26:26" x14ac:dyDescent="0.2">
      <c r="Z22602" t="str">
        <f t="shared" si="353"/>
        <v/>
      </c>
    </row>
    <row r="22603" spans="26:26" x14ac:dyDescent="0.2">
      <c r="Z22603" t="str">
        <f t="shared" si="353"/>
        <v/>
      </c>
    </row>
    <row r="22604" spans="26:26" x14ac:dyDescent="0.2">
      <c r="Z22604" t="str">
        <f t="shared" si="353"/>
        <v/>
      </c>
    </row>
    <row r="22605" spans="26:26" x14ac:dyDescent="0.2">
      <c r="Z22605" t="str">
        <f t="shared" si="353"/>
        <v/>
      </c>
    </row>
    <row r="22606" spans="26:26" x14ac:dyDescent="0.2">
      <c r="Z22606" t="str">
        <f t="shared" si="353"/>
        <v/>
      </c>
    </row>
    <row r="22607" spans="26:26" x14ac:dyDescent="0.2">
      <c r="Z22607" t="str">
        <f t="shared" si="353"/>
        <v/>
      </c>
    </row>
    <row r="22608" spans="26:26" x14ac:dyDescent="0.2">
      <c r="Z22608" t="str">
        <f t="shared" si="353"/>
        <v/>
      </c>
    </row>
    <row r="22609" spans="26:26" x14ac:dyDescent="0.2">
      <c r="Z22609" t="str">
        <f t="shared" si="353"/>
        <v/>
      </c>
    </row>
    <row r="22610" spans="26:26" x14ac:dyDescent="0.2">
      <c r="Z22610" t="str">
        <f t="shared" si="353"/>
        <v/>
      </c>
    </row>
    <row r="22611" spans="26:26" x14ac:dyDescent="0.2">
      <c r="Z22611" t="str">
        <f t="shared" si="353"/>
        <v/>
      </c>
    </row>
    <row r="22612" spans="26:26" x14ac:dyDescent="0.2">
      <c r="Z22612" t="str">
        <f t="shared" si="353"/>
        <v/>
      </c>
    </row>
    <row r="22613" spans="26:26" x14ac:dyDescent="0.2">
      <c r="Z22613" t="str">
        <f t="shared" si="353"/>
        <v/>
      </c>
    </row>
    <row r="22614" spans="26:26" x14ac:dyDescent="0.2">
      <c r="Z22614" t="str">
        <f t="shared" si="353"/>
        <v/>
      </c>
    </row>
    <row r="22615" spans="26:26" x14ac:dyDescent="0.2">
      <c r="Z22615" t="str">
        <f t="shared" si="353"/>
        <v/>
      </c>
    </row>
    <row r="22616" spans="26:26" x14ac:dyDescent="0.2">
      <c r="Z22616" t="str">
        <f t="shared" si="353"/>
        <v/>
      </c>
    </row>
    <row r="22617" spans="26:26" x14ac:dyDescent="0.2">
      <c r="Z22617" t="str">
        <f t="shared" si="353"/>
        <v/>
      </c>
    </row>
    <row r="22618" spans="26:26" x14ac:dyDescent="0.2">
      <c r="Z22618" t="str">
        <f t="shared" si="353"/>
        <v/>
      </c>
    </row>
    <row r="22619" spans="26:26" x14ac:dyDescent="0.2">
      <c r="Z22619" t="str">
        <f t="shared" si="353"/>
        <v/>
      </c>
    </row>
    <row r="22620" spans="26:26" x14ac:dyDescent="0.2">
      <c r="Z22620" t="str">
        <f t="shared" si="353"/>
        <v/>
      </c>
    </row>
    <row r="22621" spans="26:26" x14ac:dyDescent="0.2">
      <c r="Z22621" t="str">
        <f t="shared" si="353"/>
        <v/>
      </c>
    </row>
    <row r="22622" spans="26:26" x14ac:dyDescent="0.2">
      <c r="Z22622" t="str">
        <f t="shared" si="353"/>
        <v/>
      </c>
    </row>
    <row r="22623" spans="26:26" x14ac:dyDescent="0.2">
      <c r="Z22623" t="str">
        <f t="shared" si="353"/>
        <v/>
      </c>
    </row>
    <row r="22624" spans="26:26" x14ac:dyDescent="0.2">
      <c r="Z22624" t="str">
        <f t="shared" si="353"/>
        <v/>
      </c>
    </row>
    <row r="22625" spans="26:26" x14ac:dyDescent="0.2">
      <c r="Z22625" t="str">
        <f t="shared" si="353"/>
        <v/>
      </c>
    </row>
    <row r="22626" spans="26:26" x14ac:dyDescent="0.2">
      <c r="Z22626" t="str">
        <f t="shared" si="353"/>
        <v/>
      </c>
    </row>
    <row r="22627" spans="26:26" x14ac:dyDescent="0.2">
      <c r="Z22627" t="str">
        <f t="shared" si="353"/>
        <v/>
      </c>
    </row>
    <row r="22628" spans="26:26" x14ac:dyDescent="0.2">
      <c r="Z22628" t="str">
        <f t="shared" si="353"/>
        <v/>
      </c>
    </row>
    <row r="22629" spans="26:26" x14ac:dyDescent="0.2">
      <c r="Z22629" t="str">
        <f t="shared" si="353"/>
        <v/>
      </c>
    </row>
    <row r="22630" spans="26:26" x14ac:dyDescent="0.2">
      <c r="Z22630" t="str">
        <f t="shared" si="353"/>
        <v/>
      </c>
    </row>
    <row r="22631" spans="26:26" x14ac:dyDescent="0.2">
      <c r="Z22631" t="str">
        <f t="shared" si="353"/>
        <v/>
      </c>
    </row>
    <row r="22632" spans="26:26" x14ac:dyDescent="0.2">
      <c r="Z22632" t="str">
        <f t="shared" si="353"/>
        <v/>
      </c>
    </row>
    <row r="22633" spans="26:26" x14ac:dyDescent="0.2">
      <c r="Z22633" t="str">
        <f t="shared" si="353"/>
        <v/>
      </c>
    </row>
    <row r="22634" spans="26:26" x14ac:dyDescent="0.2">
      <c r="Z22634" t="str">
        <f t="shared" si="353"/>
        <v/>
      </c>
    </row>
    <row r="22635" spans="26:26" x14ac:dyDescent="0.2">
      <c r="Z22635" t="str">
        <f t="shared" si="353"/>
        <v/>
      </c>
    </row>
    <row r="22636" spans="26:26" x14ac:dyDescent="0.2">
      <c r="Z22636" t="str">
        <f t="shared" si="353"/>
        <v/>
      </c>
    </row>
    <row r="22637" spans="26:26" x14ac:dyDescent="0.2">
      <c r="Z22637" t="str">
        <f t="shared" si="353"/>
        <v/>
      </c>
    </row>
    <row r="22638" spans="26:26" x14ac:dyDescent="0.2">
      <c r="Z22638" t="str">
        <f t="shared" si="353"/>
        <v/>
      </c>
    </row>
    <row r="22639" spans="26:26" x14ac:dyDescent="0.2">
      <c r="Z22639" t="str">
        <f t="shared" si="353"/>
        <v/>
      </c>
    </row>
    <row r="22640" spans="26:26" x14ac:dyDescent="0.2">
      <c r="Z22640" t="str">
        <f t="shared" si="353"/>
        <v/>
      </c>
    </row>
    <row r="22641" spans="26:26" x14ac:dyDescent="0.2">
      <c r="Z22641" t="str">
        <f t="shared" si="353"/>
        <v/>
      </c>
    </row>
    <row r="22642" spans="26:26" x14ac:dyDescent="0.2">
      <c r="Z22642" t="str">
        <f t="shared" si="353"/>
        <v/>
      </c>
    </row>
    <row r="22643" spans="26:26" x14ac:dyDescent="0.2">
      <c r="Z22643" t="str">
        <f t="shared" si="353"/>
        <v/>
      </c>
    </row>
    <row r="22644" spans="26:26" x14ac:dyDescent="0.2">
      <c r="Z22644" t="str">
        <f t="shared" si="353"/>
        <v/>
      </c>
    </row>
    <row r="22645" spans="26:26" x14ac:dyDescent="0.2">
      <c r="Z22645" t="str">
        <f t="shared" si="353"/>
        <v/>
      </c>
    </row>
    <row r="22646" spans="26:26" x14ac:dyDescent="0.2">
      <c r="Z22646" t="str">
        <f t="shared" si="353"/>
        <v/>
      </c>
    </row>
    <row r="22647" spans="26:26" x14ac:dyDescent="0.2">
      <c r="Z22647" t="str">
        <f t="shared" si="353"/>
        <v/>
      </c>
    </row>
    <row r="22648" spans="26:26" x14ac:dyDescent="0.2">
      <c r="Z22648" t="str">
        <f t="shared" si="353"/>
        <v/>
      </c>
    </row>
    <row r="22649" spans="26:26" x14ac:dyDescent="0.2">
      <c r="Z22649" t="str">
        <f t="shared" si="353"/>
        <v/>
      </c>
    </row>
    <row r="22650" spans="26:26" x14ac:dyDescent="0.2">
      <c r="Z22650" t="str">
        <f t="shared" si="353"/>
        <v/>
      </c>
    </row>
    <row r="22651" spans="26:26" x14ac:dyDescent="0.2">
      <c r="Z22651" t="str">
        <f t="shared" si="353"/>
        <v/>
      </c>
    </row>
    <row r="22652" spans="26:26" x14ac:dyDescent="0.2">
      <c r="Z22652" t="str">
        <f t="shared" si="353"/>
        <v/>
      </c>
    </row>
    <row r="22653" spans="26:26" x14ac:dyDescent="0.2">
      <c r="Z22653" t="str">
        <f t="shared" si="353"/>
        <v/>
      </c>
    </row>
    <row r="22654" spans="26:26" x14ac:dyDescent="0.2">
      <c r="Z22654" t="str">
        <f t="shared" si="353"/>
        <v/>
      </c>
    </row>
    <row r="22655" spans="26:26" x14ac:dyDescent="0.2">
      <c r="Z22655" t="str">
        <f t="shared" si="353"/>
        <v/>
      </c>
    </row>
    <row r="22656" spans="26:26" x14ac:dyDescent="0.2">
      <c r="Z22656" t="str">
        <f t="shared" si="353"/>
        <v/>
      </c>
    </row>
    <row r="22657" spans="26:26" x14ac:dyDescent="0.2">
      <c r="Z22657" t="str">
        <f t="shared" si="353"/>
        <v/>
      </c>
    </row>
    <row r="22658" spans="26:26" x14ac:dyDescent="0.2">
      <c r="Z22658" t="str">
        <f t="shared" si="353"/>
        <v/>
      </c>
    </row>
    <row r="22659" spans="26:26" x14ac:dyDescent="0.2">
      <c r="Z22659" t="str">
        <f t="shared" ref="Z22659:Z22722" si="354">IF(K22659="","",IFERROR(VALUE(TRIM(MID(K22659,FIND(CHAR(167),SUBSTITUTE(K22659,"-",CHAR(167),LEN(K22659)-LEN(SUBSTITUTE(K22659,"-",""))))+1,100))),K22659))</f>
        <v/>
      </c>
    </row>
    <row r="22660" spans="26:26" x14ac:dyDescent="0.2">
      <c r="Z22660" t="str">
        <f t="shared" si="354"/>
        <v/>
      </c>
    </row>
    <row r="22661" spans="26:26" x14ac:dyDescent="0.2">
      <c r="Z22661" t="str">
        <f t="shared" si="354"/>
        <v/>
      </c>
    </row>
    <row r="22662" spans="26:26" x14ac:dyDescent="0.2">
      <c r="Z22662" t="str">
        <f t="shared" si="354"/>
        <v/>
      </c>
    </row>
    <row r="22663" spans="26:26" x14ac:dyDescent="0.2">
      <c r="Z22663" t="str">
        <f t="shared" si="354"/>
        <v/>
      </c>
    </row>
    <row r="22664" spans="26:26" x14ac:dyDescent="0.2">
      <c r="Z22664" t="str">
        <f t="shared" si="354"/>
        <v/>
      </c>
    </row>
    <row r="22665" spans="26:26" x14ac:dyDescent="0.2">
      <c r="Z22665" t="str">
        <f t="shared" si="354"/>
        <v/>
      </c>
    </row>
    <row r="22666" spans="26:26" x14ac:dyDescent="0.2">
      <c r="Z22666" t="str">
        <f t="shared" si="354"/>
        <v/>
      </c>
    </row>
    <row r="22667" spans="26:26" x14ac:dyDescent="0.2">
      <c r="Z22667" t="str">
        <f t="shared" si="354"/>
        <v/>
      </c>
    </row>
    <row r="22668" spans="26:26" x14ac:dyDescent="0.2">
      <c r="Z22668" t="str">
        <f t="shared" si="354"/>
        <v/>
      </c>
    </row>
    <row r="22669" spans="26:26" x14ac:dyDescent="0.2">
      <c r="Z22669" t="str">
        <f t="shared" si="354"/>
        <v/>
      </c>
    </row>
    <row r="22670" spans="26:26" x14ac:dyDescent="0.2">
      <c r="Z22670" t="str">
        <f t="shared" si="354"/>
        <v/>
      </c>
    </row>
    <row r="22671" spans="26:26" x14ac:dyDescent="0.2">
      <c r="Z22671" t="str">
        <f t="shared" si="354"/>
        <v/>
      </c>
    </row>
    <row r="22672" spans="26:26" x14ac:dyDescent="0.2">
      <c r="Z22672" t="str">
        <f t="shared" si="354"/>
        <v/>
      </c>
    </row>
    <row r="22673" spans="26:26" x14ac:dyDescent="0.2">
      <c r="Z22673" t="str">
        <f t="shared" si="354"/>
        <v/>
      </c>
    </row>
    <row r="22674" spans="26:26" x14ac:dyDescent="0.2">
      <c r="Z22674" t="str">
        <f t="shared" si="354"/>
        <v/>
      </c>
    </row>
    <row r="22675" spans="26:26" x14ac:dyDescent="0.2">
      <c r="Z22675" t="str">
        <f t="shared" si="354"/>
        <v/>
      </c>
    </row>
    <row r="22676" spans="26:26" x14ac:dyDescent="0.2">
      <c r="Z22676" t="str">
        <f t="shared" si="354"/>
        <v/>
      </c>
    </row>
    <row r="22677" spans="26:26" x14ac:dyDescent="0.2">
      <c r="Z22677" t="str">
        <f t="shared" si="354"/>
        <v/>
      </c>
    </row>
    <row r="22678" spans="26:26" x14ac:dyDescent="0.2">
      <c r="Z22678" t="str">
        <f t="shared" si="354"/>
        <v/>
      </c>
    </row>
    <row r="22679" spans="26:26" x14ac:dyDescent="0.2">
      <c r="Z22679" t="str">
        <f t="shared" si="354"/>
        <v/>
      </c>
    </row>
    <row r="22680" spans="26:26" x14ac:dyDescent="0.2">
      <c r="Z22680" t="str">
        <f t="shared" si="354"/>
        <v/>
      </c>
    </row>
    <row r="22681" spans="26:26" x14ac:dyDescent="0.2">
      <c r="Z22681" t="str">
        <f t="shared" si="354"/>
        <v/>
      </c>
    </row>
    <row r="22682" spans="26:26" x14ac:dyDescent="0.2">
      <c r="Z22682" t="str">
        <f t="shared" si="354"/>
        <v/>
      </c>
    </row>
    <row r="22683" spans="26:26" x14ac:dyDescent="0.2">
      <c r="Z22683" t="str">
        <f t="shared" si="354"/>
        <v/>
      </c>
    </row>
    <row r="22684" spans="26:26" x14ac:dyDescent="0.2">
      <c r="Z22684" t="str">
        <f t="shared" si="354"/>
        <v/>
      </c>
    </row>
    <row r="22685" spans="26:26" x14ac:dyDescent="0.2">
      <c r="Z22685" t="str">
        <f t="shared" si="354"/>
        <v/>
      </c>
    </row>
    <row r="22686" spans="26:26" x14ac:dyDescent="0.2">
      <c r="Z22686" t="str">
        <f t="shared" si="354"/>
        <v/>
      </c>
    </row>
    <row r="22687" spans="26:26" x14ac:dyDescent="0.2">
      <c r="Z22687" t="str">
        <f t="shared" si="354"/>
        <v/>
      </c>
    </row>
    <row r="22688" spans="26:26" x14ac:dyDescent="0.2">
      <c r="Z22688" t="str">
        <f t="shared" si="354"/>
        <v/>
      </c>
    </row>
    <row r="22689" spans="26:26" x14ac:dyDescent="0.2">
      <c r="Z22689" t="str">
        <f t="shared" si="354"/>
        <v/>
      </c>
    </row>
    <row r="22690" spans="26:26" x14ac:dyDescent="0.2">
      <c r="Z22690" t="str">
        <f t="shared" si="354"/>
        <v/>
      </c>
    </row>
    <row r="22691" spans="26:26" x14ac:dyDescent="0.2">
      <c r="Z22691" t="str">
        <f t="shared" si="354"/>
        <v/>
      </c>
    </row>
    <row r="22692" spans="26:26" x14ac:dyDescent="0.2">
      <c r="Z22692" t="str">
        <f t="shared" si="354"/>
        <v/>
      </c>
    </row>
    <row r="22693" spans="26:26" x14ac:dyDescent="0.2">
      <c r="Z22693" t="str">
        <f t="shared" si="354"/>
        <v/>
      </c>
    </row>
    <row r="22694" spans="26:26" x14ac:dyDescent="0.2">
      <c r="Z22694" t="str">
        <f t="shared" si="354"/>
        <v/>
      </c>
    </row>
    <row r="22695" spans="26:26" x14ac:dyDescent="0.2">
      <c r="Z22695" t="str">
        <f t="shared" si="354"/>
        <v/>
      </c>
    </row>
    <row r="22696" spans="26:26" x14ac:dyDescent="0.2">
      <c r="Z22696" t="str">
        <f t="shared" si="354"/>
        <v/>
      </c>
    </row>
    <row r="22697" spans="26:26" x14ac:dyDescent="0.2">
      <c r="Z22697" t="str">
        <f t="shared" si="354"/>
        <v/>
      </c>
    </row>
    <row r="22698" spans="26:26" x14ac:dyDescent="0.2">
      <c r="Z22698" t="str">
        <f t="shared" si="354"/>
        <v/>
      </c>
    </row>
    <row r="22699" spans="26:26" x14ac:dyDescent="0.2">
      <c r="Z22699" t="str">
        <f t="shared" si="354"/>
        <v/>
      </c>
    </row>
    <row r="22700" spans="26:26" x14ac:dyDescent="0.2">
      <c r="Z22700" t="str">
        <f t="shared" si="354"/>
        <v/>
      </c>
    </row>
    <row r="22701" spans="26:26" x14ac:dyDescent="0.2">
      <c r="Z22701" t="str">
        <f t="shared" si="354"/>
        <v/>
      </c>
    </row>
    <row r="22702" spans="26:26" x14ac:dyDescent="0.2">
      <c r="Z22702" t="str">
        <f t="shared" si="354"/>
        <v/>
      </c>
    </row>
    <row r="22703" spans="26:26" x14ac:dyDescent="0.2">
      <c r="Z22703" t="str">
        <f t="shared" si="354"/>
        <v/>
      </c>
    </row>
    <row r="22704" spans="26:26" x14ac:dyDescent="0.2">
      <c r="Z22704" t="str">
        <f t="shared" si="354"/>
        <v/>
      </c>
    </row>
    <row r="22705" spans="26:26" x14ac:dyDescent="0.2">
      <c r="Z22705" t="str">
        <f t="shared" si="354"/>
        <v/>
      </c>
    </row>
    <row r="22706" spans="26:26" x14ac:dyDescent="0.2">
      <c r="Z22706" t="str">
        <f t="shared" si="354"/>
        <v/>
      </c>
    </row>
    <row r="22707" spans="26:26" x14ac:dyDescent="0.2">
      <c r="Z22707" t="str">
        <f t="shared" si="354"/>
        <v/>
      </c>
    </row>
    <row r="22708" spans="26:26" x14ac:dyDescent="0.2">
      <c r="Z22708" t="str">
        <f t="shared" si="354"/>
        <v/>
      </c>
    </row>
    <row r="22709" spans="26:26" x14ac:dyDescent="0.2">
      <c r="Z22709" t="str">
        <f t="shared" si="354"/>
        <v/>
      </c>
    </row>
    <row r="22710" spans="26:26" x14ac:dyDescent="0.2">
      <c r="Z22710" t="str">
        <f t="shared" si="354"/>
        <v/>
      </c>
    </row>
    <row r="22711" spans="26:26" x14ac:dyDescent="0.2">
      <c r="Z22711" t="str">
        <f t="shared" si="354"/>
        <v/>
      </c>
    </row>
    <row r="22712" spans="26:26" x14ac:dyDescent="0.2">
      <c r="Z22712" t="str">
        <f t="shared" si="354"/>
        <v/>
      </c>
    </row>
    <row r="22713" spans="26:26" x14ac:dyDescent="0.2">
      <c r="Z22713" t="str">
        <f t="shared" si="354"/>
        <v/>
      </c>
    </row>
    <row r="22714" spans="26:26" x14ac:dyDescent="0.2">
      <c r="Z22714" t="str">
        <f t="shared" si="354"/>
        <v/>
      </c>
    </row>
    <row r="22715" spans="26:26" x14ac:dyDescent="0.2">
      <c r="Z22715" t="str">
        <f t="shared" si="354"/>
        <v/>
      </c>
    </row>
    <row r="22716" spans="26:26" x14ac:dyDescent="0.2">
      <c r="Z22716" t="str">
        <f t="shared" si="354"/>
        <v/>
      </c>
    </row>
    <row r="22717" spans="26:26" x14ac:dyDescent="0.2">
      <c r="Z22717" t="str">
        <f t="shared" si="354"/>
        <v/>
      </c>
    </row>
    <row r="22718" spans="26:26" x14ac:dyDescent="0.2">
      <c r="Z22718" t="str">
        <f t="shared" si="354"/>
        <v/>
      </c>
    </row>
    <row r="22719" spans="26:26" x14ac:dyDescent="0.2">
      <c r="Z22719" t="str">
        <f t="shared" si="354"/>
        <v/>
      </c>
    </row>
    <row r="22720" spans="26:26" x14ac:dyDescent="0.2">
      <c r="Z22720" t="str">
        <f t="shared" si="354"/>
        <v/>
      </c>
    </row>
    <row r="22721" spans="26:26" x14ac:dyDescent="0.2">
      <c r="Z22721" t="str">
        <f t="shared" si="354"/>
        <v/>
      </c>
    </row>
    <row r="22722" spans="26:26" x14ac:dyDescent="0.2">
      <c r="Z22722" t="str">
        <f t="shared" si="354"/>
        <v/>
      </c>
    </row>
    <row r="22723" spans="26:26" x14ac:dyDescent="0.2">
      <c r="Z22723" t="str">
        <f t="shared" ref="Z22723:Z22786" si="355">IF(K22723="","",IFERROR(VALUE(TRIM(MID(K22723,FIND(CHAR(167),SUBSTITUTE(K22723,"-",CHAR(167),LEN(K22723)-LEN(SUBSTITUTE(K22723,"-",""))))+1,100))),K22723))</f>
        <v/>
      </c>
    </row>
    <row r="22724" spans="26:26" x14ac:dyDescent="0.2">
      <c r="Z22724" t="str">
        <f t="shared" si="355"/>
        <v/>
      </c>
    </row>
    <row r="22725" spans="26:26" x14ac:dyDescent="0.2">
      <c r="Z22725" t="str">
        <f t="shared" si="355"/>
        <v/>
      </c>
    </row>
    <row r="22726" spans="26:26" x14ac:dyDescent="0.2">
      <c r="Z22726" t="str">
        <f t="shared" si="355"/>
        <v/>
      </c>
    </row>
    <row r="22727" spans="26:26" x14ac:dyDescent="0.2">
      <c r="Z22727" t="str">
        <f t="shared" si="355"/>
        <v/>
      </c>
    </row>
    <row r="22728" spans="26:26" x14ac:dyDescent="0.2">
      <c r="Z22728" t="str">
        <f t="shared" si="355"/>
        <v/>
      </c>
    </row>
    <row r="22729" spans="26:26" x14ac:dyDescent="0.2">
      <c r="Z22729" t="str">
        <f t="shared" si="355"/>
        <v/>
      </c>
    </row>
    <row r="22730" spans="26:26" x14ac:dyDescent="0.2">
      <c r="Z22730" t="str">
        <f t="shared" si="355"/>
        <v/>
      </c>
    </row>
    <row r="22731" spans="26:26" x14ac:dyDescent="0.2">
      <c r="Z22731" t="str">
        <f t="shared" si="355"/>
        <v/>
      </c>
    </row>
    <row r="22732" spans="26:26" x14ac:dyDescent="0.2">
      <c r="Z22732" t="str">
        <f t="shared" si="355"/>
        <v/>
      </c>
    </row>
    <row r="22733" spans="26:26" x14ac:dyDescent="0.2">
      <c r="Z22733" t="str">
        <f t="shared" si="355"/>
        <v/>
      </c>
    </row>
    <row r="22734" spans="26:26" x14ac:dyDescent="0.2">
      <c r="Z22734" t="str">
        <f t="shared" si="355"/>
        <v/>
      </c>
    </row>
    <row r="22735" spans="26:26" x14ac:dyDescent="0.2">
      <c r="Z22735" t="str">
        <f t="shared" si="355"/>
        <v/>
      </c>
    </row>
    <row r="22736" spans="26:26" x14ac:dyDescent="0.2">
      <c r="Z22736" t="str">
        <f t="shared" si="355"/>
        <v/>
      </c>
    </row>
    <row r="22737" spans="26:26" x14ac:dyDescent="0.2">
      <c r="Z22737" t="str">
        <f t="shared" si="355"/>
        <v/>
      </c>
    </row>
    <row r="22738" spans="26:26" x14ac:dyDescent="0.2">
      <c r="Z22738" t="str">
        <f t="shared" si="355"/>
        <v/>
      </c>
    </row>
    <row r="22739" spans="26:26" x14ac:dyDescent="0.2">
      <c r="Z22739" t="str">
        <f t="shared" si="355"/>
        <v/>
      </c>
    </row>
    <row r="22740" spans="26:26" x14ac:dyDescent="0.2">
      <c r="Z22740" t="str">
        <f t="shared" si="355"/>
        <v/>
      </c>
    </row>
    <row r="22741" spans="26:26" x14ac:dyDescent="0.2">
      <c r="Z22741" t="str">
        <f t="shared" si="355"/>
        <v/>
      </c>
    </row>
    <row r="22742" spans="26:26" x14ac:dyDescent="0.2">
      <c r="Z22742" t="str">
        <f t="shared" si="355"/>
        <v/>
      </c>
    </row>
    <row r="22743" spans="26:26" x14ac:dyDescent="0.2">
      <c r="Z22743" t="str">
        <f t="shared" si="355"/>
        <v/>
      </c>
    </row>
    <row r="22744" spans="26:26" x14ac:dyDescent="0.2">
      <c r="Z22744" t="str">
        <f t="shared" si="355"/>
        <v/>
      </c>
    </row>
    <row r="22745" spans="26:26" x14ac:dyDescent="0.2">
      <c r="Z22745" t="str">
        <f t="shared" si="355"/>
        <v/>
      </c>
    </row>
    <row r="22746" spans="26:26" x14ac:dyDescent="0.2">
      <c r="Z22746" t="str">
        <f t="shared" si="355"/>
        <v/>
      </c>
    </row>
    <row r="22747" spans="26:26" x14ac:dyDescent="0.2">
      <c r="Z22747" t="str">
        <f t="shared" si="355"/>
        <v/>
      </c>
    </row>
    <row r="22748" spans="26:26" x14ac:dyDescent="0.2">
      <c r="Z22748" t="str">
        <f t="shared" si="355"/>
        <v/>
      </c>
    </row>
    <row r="22749" spans="26:26" x14ac:dyDescent="0.2">
      <c r="Z22749" t="str">
        <f t="shared" si="355"/>
        <v/>
      </c>
    </row>
    <row r="22750" spans="26:26" x14ac:dyDescent="0.2">
      <c r="Z22750" t="str">
        <f t="shared" si="355"/>
        <v/>
      </c>
    </row>
    <row r="22751" spans="26:26" x14ac:dyDescent="0.2">
      <c r="Z22751" t="str">
        <f t="shared" si="355"/>
        <v/>
      </c>
    </row>
    <row r="22752" spans="26:26" x14ac:dyDescent="0.2">
      <c r="Z22752" t="str">
        <f t="shared" si="355"/>
        <v/>
      </c>
    </row>
    <row r="22753" spans="26:26" x14ac:dyDescent="0.2">
      <c r="Z22753" t="str">
        <f t="shared" si="355"/>
        <v/>
      </c>
    </row>
    <row r="22754" spans="26:26" x14ac:dyDescent="0.2">
      <c r="Z22754" t="str">
        <f t="shared" si="355"/>
        <v/>
      </c>
    </row>
    <row r="22755" spans="26:26" x14ac:dyDescent="0.2">
      <c r="Z22755" t="str">
        <f t="shared" si="355"/>
        <v/>
      </c>
    </row>
    <row r="22756" spans="26:26" x14ac:dyDescent="0.2">
      <c r="Z22756" t="str">
        <f t="shared" si="355"/>
        <v/>
      </c>
    </row>
    <row r="22757" spans="26:26" x14ac:dyDescent="0.2">
      <c r="Z22757" t="str">
        <f t="shared" si="355"/>
        <v/>
      </c>
    </row>
    <row r="22758" spans="26:26" x14ac:dyDescent="0.2">
      <c r="Z22758" t="str">
        <f t="shared" si="355"/>
        <v/>
      </c>
    </row>
    <row r="22759" spans="26:26" x14ac:dyDescent="0.2">
      <c r="Z22759" t="str">
        <f t="shared" si="355"/>
        <v/>
      </c>
    </row>
    <row r="22760" spans="26:26" x14ac:dyDescent="0.2">
      <c r="Z22760" t="str">
        <f t="shared" si="355"/>
        <v/>
      </c>
    </row>
    <row r="22761" spans="26:26" x14ac:dyDescent="0.2">
      <c r="Z22761" t="str">
        <f t="shared" si="355"/>
        <v/>
      </c>
    </row>
    <row r="22762" spans="26:26" x14ac:dyDescent="0.2">
      <c r="Z22762" t="str">
        <f t="shared" si="355"/>
        <v/>
      </c>
    </row>
    <row r="22763" spans="26:26" x14ac:dyDescent="0.2">
      <c r="Z22763" t="str">
        <f t="shared" si="355"/>
        <v/>
      </c>
    </row>
    <row r="22764" spans="26:26" x14ac:dyDescent="0.2">
      <c r="Z22764" t="str">
        <f t="shared" si="355"/>
        <v/>
      </c>
    </row>
    <row r="22765" spans="26:26" x14ac:dyDescent="0.2">
      <c r="Z22765" t="str">
        <f t="shared" si="355"/>
        <v/>
      </c>
    </row>
    <row r="22766" spans="26:26" x14ac:dyDescent="0.2">
      <c r="Z22766" t="str">
        <f t="shared" si="355"/>
        <v/>
      </c>
    </row>
    <row r="22767" spans="26:26" x14ac:dyDescent="0.2">
      <c r="Z22767" t="str">
        <f t="shared" si="355"/>
        <v/>
      </c>
    </row>
    <row r="22768" spans="26:26" x14ac:dyDescent="0.2">
      <c r="Z22768" t="str">
        <f t="shared" si="355"/>
        <v/>
      </c>
    </row>
    <row r="22769" spans="26:26" x14ac:dyDescent="0.2">
      <c r="Z22769" t="str">
        <f t="shared" si="355"/>
        <v/>
      </c>
    </row>
    <row r="22770" spans="26:26" x14ac:dyDescent="0.2">
      <c r="Z22770" t="str">
        <f t="shared" si="355"/>
        <v/>
      </c>
    </row>
    <row r="22771" spans="26:26" x14ac:dyDescent="0.2">
      <c r="Z22771" t="str">
        <f t="shared" si="355"/>
        <v/>
      </c>
    </row>
    <row r="22772" spans="26:26" x14ac:dyDescent="0.2">
      <c r="Z22772" t="str">
        <f t="shared" si="355"/>
        <v/>
      </c>
    </row>
    <row r="22773" spans="26:26" x14ac:dyDescent="0.2">
      <c r="Z22773" t="str">
        <f t="shared" si="355"/>
        <v/>
      </c>
    </row>
    <row r="22774" spans="26:26" x14ac:dyDescent="0.2">
      <c r="Z22774" t="str">
        <f t="shared" si="355"/>
        <v/>
      </c>
    </row>
    <row r="22775" spans="26:26" x14ac:dyDescent="0.2">
      <c r="Z22775" t="str">
        <f t="shared" si="355"/>
        <v/>
      </c>
    </row>
    <row r="22776" spans="26:26" x14ac:dyDescent="0.2">
      <c r="Z22776" t="str">
        <f t="shared" si="355"/>
        <v/>
      </c>
    </row>
    <row r="22777" spans="26:26" x14ac:dyDescent="0.2">
      <c r="Z22777" t="str">
        <f t="shared" si="355"/>
        <v/>
      </c>
    </row>
    <row r="22778" spans="26:26" x14ac:dyDescent="0.2">
      <c r="Z22778" t="str">
        <f t="shared" si="355"/>
        <v/>
      </c>
    </row>
    <row r="22779" spans="26:26" x14ac:dyDescent="0.2">
      <c r="Z22779" t="str">
        <f t="shared" si="355"/>
        <v/>
      </c>
    </row>
    <row r="22780" spans="26:26" x14ac:dyDescent="0.2">
      <c r="Z22780" t="str">
        <f t="shared" si="355"/>
        <v/>
      </c>
    </row>
    <row r="22781" spans="26:26" x14ac:dyDescent="0.2">
      <c r="Z22781" t="str">
        <f t="shared" si="355"/>
        <v/>
      </c>
    </row>
    <row r="22782" spans="26:26" x14ac:dyDescent="0.2">
      <c r="Z22782" t="str">
        <f t="shared" si="355"/>
        <v/>
      </c>
    </row>
    <row r="22783" spans="26:26" x14ac:dyDescent="0.2">
      <c r="Z22783" t="str">
        <f t="shared" si="355"/>
        <v/>
      </c>
    </row>
    <row r="22784" spans="26:26" x14ac:dyDescent="0.2">
      <c r="Z22784" t="str">
        <f t="shared" si="355"/>
        <v/>
      </c>
    </row>
    <row r="22785" spans="26:26" x14ac:dyDescent="0.2">
      <c r="Z22785" t="str">
        <f t="shared" si="355"/>
        <v/>
      </c>
    </row>
    <row r="22786" spans="26:26" x14ac:dyDescent="0.2">
      <c r="Z22786" t="str">
        <f t="shared" si="355"/>
        <v/>
      </c>
    </row>
    <row r="22787" spans="26:26" x14ac:dyDescent="0.2">
      <c r="Z22787" t="str">
        <f t="shared" ref="Z22787:Z22850" si="356">IF(K22787="","",IFERROR(VALUE(TRIM(MID(K22787,FIND(CHAR(167),SUBSTITUTE(K22787,"-",CHAR(167),LEN(K22787)-LEN(SUBSTITUTE(K22787,"-",""))))+1,100))),K22787))</f>
        <v/>
      </c>
    </row>
    <row r="22788" spans="26:26" x14ac:dyDescent="0.2">
      <c r="Z22788" t="str">
        <f t="shared" si="356"/>
        <v/>
      </c>
    </row>
    <row r="22789" spans="26:26" x14ac:dyDescent="0.2">
      <c r="Z22789" t="str">
        <f t="shared" si="356"/>
        <v/>
      </c>
    </row>
    <row r="22790" spans="26:26" x14ac:dyDescent="0.2">
      <c r="Z22790" t="str">
        <f t="shared" si="356"/>
        <v/>
      </c>
    </row>
    <row r="22791" spans="26:26" x14ac:dyDescent="0.2">
      <c r="Z22791" t="str">
        <f t="shared" si="356"/>
        <v/>
      </c>
    </row>
    <row r="22792" spans="26:26" x14ac:dyDescent="0.2">
      <c r="Z22792" t="str">
        <f t="shared" si="356"/>
        <v/>
      </c>
    </row>
    <row r="22793" spans="26:26" x14ac:dyDescent="0.2">
      <c r="Z22793" t="str">
        <f t="shared" si="356"/>
        <v/>
      </c>
    </row>
    <row r="22794" spans="26:26" x14ac:dyDescent="0.2">
      <c r="Z22794" t="str">
        <f t="shared" si="356"/>
        <v/>
      </c>
    </row>
    <row r="22795" spans="26:26" x14ac:dyDescent="0.2">
      <c r="Z22795" t="str">
        <f t="shared" si="356"/>
        <v/>
      </c>
    </row>
    <row r="22796" spans="26:26" x14ac:dyDescent="0.2">
      <c r="Z22796" t="str">
        <f t="shared" si="356"/>
        <v/>
      </c>
    </row>
    <row r="22797" spans="26:26" x14ac:dyDescent="0.2">
      <c r="Z22797" t="str">
        <f t="shared" si="356"/>
        <v/>
      </c>
    </row>
    <row r="22798" spans="26:26" x14ac:dyDescent="0.2">
      <c r="Z22798" t="str">
        <f t="shared" si="356"/>
        <v/>
      </c>
    </row>
    <row r="22799" spans="26:26" x14ac:dyDescent="0.2">
      <c r="Z22799" t="str">
        <f t="shared" si="356"/>
        <v/>
      </c>
    </row>
    <row r="22800" spans="26:26" x14ac:dyDescent="0.2">
      <c r="Z22800" t="str">
        <f t="shared" si="356"/>
        <v/>
      </c>
    </row>
    <row r="22801" spans="26:26" x14ac:dyDescent="0.2">
      <c r="Z22801" t="str">
        <f t="shared" si="356"/>
        <v/>
      </c>
    </row>
    <row r="22802" spans="26:26" x14ac:dyDescent="0.2">
      <c r="Z22802" t="str">
        <f t="shared" si="356"/>
        <v/>
      </c>
    </row>
    <row r="22803" spans="26:26" x14ac:dyDescent="0.2">
      <c r="Z22803" t="str">
        <f t="shared" si="356"/>
        <v/>
      </c>
    </row>
    <row r="22804" spans="26:26" x14ac:dyDescent="0.2">
      <c r="Z22804" t="str">
        <f t="shared" si="356"/>
        <v/>
      </c>
    </row>
    <row r="22805" spans="26:26" x14ac:dyDescent="0.2">
      <c r="Z22805" t="str">
        <f t="shared" si="356"/>
        <v/>
      </c>
    </row>
    <row r="22806" spans="26:26" x14ac:dyDescent="0.2">
      <c r="Z22806" t="str">
        <f t="shared" si="356"/>
        <v/>
      </c>
    </row>
    <row r="22807" spans="26:26" x14ac:dyDescent="0.2">
      <c r="Z22807" t="str">
        <f t="shared" si="356"/>
        <v/>
      </c>
    </row>
    <row r="22808" spans="26:26" x14ac:dyDescent="0.2">
      <c r="Z22808" t="str">
        <f t="shared" si="356"/>
        <v/>
      </c>
    </row>
    <row r="22809" spans="26:26" x14ac:dyDescent="0.2">
      <c r="Z22809" t="str">
        <f t="shared" si="356"/>
        <v/>
      </c>
    </row>
    <row r="22810" spans="26:26" x14ac:dyDescent="0.2">
      <c r="Z22810" t="str">
        <f t="shared" si="356"/>
        <v/>
      </c>
    </row>
    <row r="22811" spans="26:26" x14ac:dyDescent="0.2">
      <c r="Z22811" t="str">
        <f t="shared" si="356"/>
        <v/>
      </c>
    </row>
    <row r="22812" spans="26:26" x14ac:dyDescent="0.2">
      <c r="Z22812" t="str">
        <f t="shared" si="356"/>
        <v/>
      </c>
    </row>
    <row r="22813" spans="26:26" x14ac:dyDescent="0.2">
      <c r="Z22813" t="str">
        <f t="shared" si="356"/>
        <v/>
      </c>
    </row>
    <row r="22814" spans="26:26" x14ac:dyDescent="0.2">
      <c r="Z22814" t="str">
        <f t="shared" si="356"/>
        <v/>
      </c>
    </row>
    <row r="22815" spans="26:26" x14ac:dyDescent="0.2">
      <c r="Z22815" t="str">
        <f t="shared" si="356"/>
        <v/>
      </c>
    </row>
    <row r="22816" spans="26:26" x14ac:dyDescent="0.2">
      <c r="Z22816" t="str">
        <f t="shared" si="356"/>
        <v/>
      </c>
    </row>
    <row r="22817" spans="26:26" x14ac:dyDescent="0.2">
      <c r="Z22817" t="str">
        <f t="shared" si="356"/>
        <v/>
      </c>
    </row>
    <row r="22818" spans="26:26" x14ac:dyDescent="0.2">
      <c r="Z22818" t="str">
        <f t="shared" si="356"/>
        <v/>
      </c>
    </row>
    <row r="22819" spans="26:26" x14ac:dyDescent="0.2">
      <c r="Z22819" t="str">
        <f t="shared" si="356"/>
        <v/>
      </c>
    </row>
    <row r="22820" spans="26:26" x14ac:dyDescent="0.2">
      <c r="Z22820" t="str">
        <f t="shared" si="356"/>
        <v/>
      </c>
    </row>
    <row r="22821" spans="26:26" x14ac:dyDescent="0.2">
      <c r="Z22821" t="str">
        <f t="shared" si="356"/>
        <v/>
      </c>
    </row>
    <row r="22822" spans="26:26" x14ac:dyDescent="0.2">
      <c r="Z22822" t="str">
        <f t="shared" si="356"/>
        <v/>
      </c>
    </row>
    <row r="22823" spans="26:26" x14ac:dyDescent="0.2">
      <c r="Z22823" t="str">
        <f t="shared" si="356"/>
        <v/>
      </c>
    </row>
    <row r="22824" spans="26:26" x14ac:dyDescent="0.2">
      <c r="Z22824" t="str">
        <f t="shared" si="356"/>
        <v/>
      </c>
    </row>
    <row r="22825" spans="26:26" x14ac:dyDescent="0.2">
      <c r="Z22825" t="str">
        <f t="shared" si="356"/>
        <v/>
      </c>
    </row>
    <row r="22826" spans="26:26" x14ac:dyDescent="0.2">
      <c r="Z22826" t="str">
        <f t="shared" si="356"/>
        <v/>
      </c>
    </row>
    <row r="22827" spans="26:26" x14ac:dyDescent="0.2">
      <c r="Z22827" t="str">
        <f t="shared" si="356"/>
        <v/>
      </c>
    </row>
    <row r="22828" spans="26:26" x14ac:dyDescent="0.2">
      <c r="Z22828" t="str">
        <f t="shared" si="356"/>
        <v/>
      </c>
    </row>
    <row r="22829" spans="26:26" x14ac:dyDescent="0.2">
      <c r="Z22829" t="str">
        <f t="shared" si="356"/>
        <v/>
      </c>
    </row>
    <row r="22830" spans="26:26" x14ac:dyDescent="0.2">
      <c r="Z22830" t="str">
        <f t="shared" si="356"/>
        <v/>
      </c>
    </row>
    <row r="22831" spans="26:26" x14ac:dyDescent="0.2">
      <c r="Z22831" t="str">
        <f t="shared" si="356"/>
        <v/>
      </c>
    </row>
    <row r="22832" spans="26:26" x14ac:dyDescent="0.2">
      <c r="Z22832" t="str">
        <f t="shared" si="356"/>
        <v/>
      </c>
    </row>
    <row r="22833" spans="26:26" x14ac:dyDescent="0.2">
      <c r="Z22833" t="str">
        <f t="shared" si="356"/>
        <v/>
      </c>
    </row>
    <row r="22834" spans="26:26" x14ac:dyDescent="0.2">
      <c r="Z22834" t="str">
        <f t="shared" si="356"/>
        <v/>
      </c>
    </row>
    <row r="22835" spans="26:26" x14ac:dyDescent="0.2">
      <c r="Z22835" t="str">
        <f t="shared" si="356"/>
        <v/>
      </c>
    </row>
    <row r="22836" spans="26:26" x14ac:dyDescent="0.2">
      <c r="Z22836" t="str">
        <f t="shared" si="356"/>
        <v/>
      </c>
    </row>
    <row r="22837" spans="26:26" x14ac:dyDescent="0.2">
      <c r="Z22837" t="str">
        <f t="shared" si="356"/>
        <v/>
      </c>
    </row>
    <row r="22838" spans="26:26" x14ac:dyDescent="0.2">
      <c r="Z22838" t="str">
        <f t="shared" si="356"/>
        <v/>
      </c>
    </row>
    <row r="22839" spans="26:26" x14ac:dyDescent="0.2">
      <c r="Z22839" t="str">
        <f t="shared" si="356"/>
        <v/>
      </c>
    </row>
    <row r="22840" spans="26:26" x14ac:dyDescent="0.2">
      <c r="Z22840" t="str">
        <f t="shared" si="356"/>
        <v/>
      </c>
    </row>
    <row r="22841" spans="26:26" x14ac:dyDescent="0.2">
      <c r="Z22841" t="str">
        <f t="shared" si="356"/>
        <v/>
      </c>
    </row>
    <row r="22842" spans="26:26" x14ac:dyDescent="0.2">
      <c r="Z22842" t="str">
        <f t="shared" si="356"/>
        <v/>
      </c>
    </row>
    <row r="22843" spans="26:26" x14ac:dyDescent="0.2">
      <c r="Z22843" t="str">
        <f t="shared" si="356"/>
        <v/>
      </c>
    </row>
    <row r="22844" spans="26:26" x14ac:dyDescent="0.2">
      <c r="Z22844" t="str">
        <f t="shared" si="356"/>
        <v/>
      </c>
    </row>
    <row r="22845" spans="26:26" x14ac:dyDescent="0.2">
      <c r="Z22845" t="str">
        <f t="shared" si="356"/>
        <v/>
      </c>
    </row>
    <row r="22846" spans="26:26" x14ac:dyDescent="0.2">
      <c r="Z22846" t="str">
        <f t="shared" si="356"/>
        <v/>
      </c>
    </row>
    <row r="22847" spans="26:26" x14ac:dyDescent="0.2">
      <c r="Z22847" t="str">
        <f t="shared" si="356"/>
        <v/>
      </c>
    </row>
    <row r="22848" spans="26:26" x14ac:dyDescent="0.2">
      <c r="Z22848" t="str">
        <f t="shared" si="356"/>
        <v/>
      </c>
    </row>
    <row r="22849" spans="26:26" x14ac:dyDescent="0.2">
      <c r="Z22849" t="str">
        <f t="shared" si="356"/>
        <v/>
      </c>
    </row>
    <row r="22850" spans="26:26" x14ac:dyDescent="0.2">
      <c r="Z22850" t="str">
        <f t="shared" si="356"/>
        <v/>
      </c>
    </row>
    <row r="22851" spans="26:26" x14ac:dyDescent="0.2">
      <c r="Z22851" t="str">
        <f t="shared" ref="Z22851:Z22914" si="357">IF(K22851="","",IFERROR(VALUE(TRIM(MID(K22851,FIND(CHAR(167),SUBSTITUTE(K22851,"-",CHAR(167),LEN(K22851)-LEN(SUBSTITUTE(K22851,"-",""))))+1,100))),K22851))</f>
        <v/>
      </c>
    </row>
    <row r="22852" spans="26:26" x14ac:dyDescent="0.2">
      <c r="Z22852" t="str">
        <f t="shared" si="357"/>
        <v/>
      </c>
    </row>
    <row r="22853" spans="26:26" x14ac:dyDescent="0.2">
      <c r="Z22853" t="str">
        <f t="shared" si="357"/>
        <v/>
      </c>
    </row>
    <row r="22854" spans="26:26" x14ac:dyDescent="0.2">
      <c r="Z22854" t="str">
        <f t="shared" si="357"/>
        <v/>
      </c>
    </row>
    <row r="22855" spans="26:26" x14ac:dyDescent="0.2">
      <c r="Z22855" t="str">
        <f t="shared" si="357"/>
        <v/>
      </c>
    </row>
    <row r="22856" spans="26:26" x14ac:dyDescent="0.2">
      <c r="Z22856" t="str">
        <f t="shared" si="357"/>
        <v/>
      </c>
    </row>
    <row r="22857" spans="26:26" x14ac:dyDescent="0.2">
      <c r="Z22857" t="str">
        <f t="shared" si="357"/>
        <v/>
      </c>
    </row>
    <row r="22858" spans="26:26" x14ac:dyDescent="0.2">
      <c r="Z22858" t="str">
        <f t="shared" si="357"/>
        <v/>
      </c>
    </row>
    <row r="22859" spans="26:26" x14ac:dyDescent="0.2">
      <c r="Z22859" t="str">
        <f t="shared" si="357"/>
        <v/>
      </c>
    </row>
    <row r="22860" spans="26:26" x14ac:dyDescent="0.2">
      <c r="Z22860" t="str">
        <f t="shared" si="357"/>
        <v/>
      </c>
    </row>
    <row r="22861" spans="26:26" x14ac:dyDescent="0.2">
      <c r="Z22861" t="str">
        <f t="shared" si="357"/>
        <v/>
      </c>
    </row>
    <row r="22862" spans="26:26" x14ac:dyDescent="0.2">
      <c r="Z22862" t="str">
        <f t="shared" si="357"/>
        <v/>
      </c>
    </row>
    <row r="22863" spans="26:26" x14ac:dyDescent="0.2">
      <c r="Z22863" t="str">
        <f t="shared" si="357"/>
        <v/>
      </c>
    </row>
    <row r="22864" spans="26:26" x14ac:dyDescent="0.2">
      <c r="Z22864" t="str">
        <f t="shared" si="357"/>
        <v/>
      </c>
    </row>
    <row r="22865" spans="26:26" x14ac:dyDescent="0.2">
      <c r="Z22865" t="str">
        <f t="shared" si="357"/>
        <v/>
      </c>
    </row>
    <row r="22866" spans="26:26" x14ac:dyDescent="0.2">
      <c r="Z22866" t="str">
        <f t="shared" si="357"/>
        <v/>
      </c>
    </row>
    <row r="22867" spans="26:26" x14ac:dyDescent="0.2">
      <c r="Z22867" t="str">
        <f t="shared" si="357"/>
        <v/>
      </c>
    </row>
    <row r="22868" spans="26:26" x14ac:dyDescent="0.2">
      <c r="Z22868" t="str">
        <f t="shared" si="357"/>
        <v/>
      </c>
    </row>
    <row r="22869" spans="26:26" x14ac:dyDescent="0.2">
      <c r="Z22869" t="str">
        <f t="shared" si="357"/>
        <v/>
      </c>
    </row>
    <row r="22870" spans="26:26" x14ac:dyDescent="0.2">
      <c r="Z22870" t="str">
        <f t="shared" si="357"/>
        <v/>
      </c>
    </row>
    <row r="22871" spans="26:26" x14ac:dyDescent="0.2">
      <c r="Z22871" t="str">
        <f t="shared" si="357"/>
        <v/>
      </c>
    </row>
    <row r="22872" spans="26:26" x14ac:dyDescent="0.2">
      <c r="Z22872" t="str">
        <f t="shared" si="357"/>
        <v/>
      </c>
    </row>
    <row r="22873" spans="26:26" x14ac:dyDescent="0.2">
      <c r="Z22873" t="str">
        <f t="shared" si="357"/>
        <v/>
      </c>
    </row>
    <row r="22874" spans="26:26" x14ac:dyDescent="0.2">
      <c r="Z22874" t="str">
        <f t="shared" si="357"/>
        <v/>
      </c>
    </row>
    <row r="22875" spans="26:26" x14ac:dyDescent="0.2">
      <c r="Z22875" t="str">
        <f t="shared" si="357"/>
        <v/>
      </c>
    </row>
    <row r="22876" spans="26:26" x14ac:dyDescent="0.2">
      <c r="Z22876" t="str">
        <f t="shared" si="357"/>
        <v/>
      </c>
    </row>
    <row r="22877" spans="26:26" x14ac:dyDescent="0.2">
      <c r="Z22877" t="str">
        <f t="shared" si="357"/>
        <v/>
      </c>
    </row>
    <row r="22878" spans="26:26" x14ac:dyDescent="0.2">
      <c r="Z22878" t="str">
        <f t="shared" si="357"/>
        <v/>
      </c>
    </row>
    <row r="22879" spans="26:26" x14ac:dyDescent="0.2">
      <c r="Z22879" t="str">
        <f t="shared" si="357"/>
        <v/>
      </c>
    </row>
    <row r="22880" spans="26:26" x14ac:dyDescent="0.2">
      <c r="Z22880" t="str">
        <f t="shared" si="357"/>
        <v/>
      </c>
    </row>
    <row r="22881" spans="26:26" x14ac:dyDescent="0.2">
      <c r="Z22881" t="str">
        <f t="shared" si="357"/>
        <v/>
      </c>
    </row>
    <row r="22882" spans="26:26" x14ac:dyDescent="0.2">
      <c r="Z22882" t="str">
        <f t="shared" si="357"/>
        <v/>
      </c>
    </row>
    <row r="22883" spans="26:26" x14ac:dyDescent="0.2">
      <c r="Z22883" t="str">
        <f t="shared" si="357"/>
        <v/>
      </c>
    </row>
    <row r="22884" spans="26:26" x14ac:dyDescent="0.2">
      <c r="Z22884" t="str">
        <f t="shared" si="357"/>
        <v/>
      </c>
    </row>
    <row r="22885" spans="26:26" x14ac:dyDescent="0.2">
      <c r="Z22885" t="str">
        <f t="shared" si="357"/>
        <v/>
      </c>
    </row>
    <row r="22886" spans="26:26" x14ac:dyDescent="0.2">
      <c r="Z22886" t="str">
        <f t="shared" si="357"/>
        <v/>
      </c>
    </row>
    <row r="22887" spans="26:26" x14ac:dyDescent="0.2">
      <c r="Z22887" t="str">
        <f t="shared" si="357"/>
        <v/>
      </c>
    </row>
    <row r="22888" spans="26:26" x14ac:dyDescent="0.2">
      <c r="Z22888" t="str">
        <f t="shared" si="357"/>
        <v/>
      </c>
    </row>
    <row r="22889" spans="26:26" x14ac:dyDescent="0.2">
      <c r="Z22889" t="str">
        <f t="shared" si="357"/>
        <v/>
      </c>
    </row>
    <row r="22890" spans="26:26" x14ac:dyDescent="0.2">
      <c r="Z22890" t="str">
        <f t="shared" si="357"/>
        <v/>
      </c>
    </row>
    <row r="22891" spans="26:26" x14ac:dyDescent="0.2">
      <c r="Z22891" t="str">
        <f t="shared" si="357"/>
        <v/>
      </c>
    </row>
    <row r="22892" spans="26:26" x14ac:dyDescent="0.2">
      <c r="Z22892" t="str">
        <f t="shared" si="357"/>
        <v/>
      </c>
    </row>
    <row r="22893" spans="26:26" x14ac:dyDescent="0.2">
      <c r="Z22893" t="str">
        <f t="shared" si="357"/>
        <v/>
      </c>
    </row>
    <row r="22894" spans="26:26" x14ac:dyDescent="0.2">
      <c r="Z22894" t="str">
        <f t="shared" si="357"/>
        <v/>
      </c>
    </row>
    <row r="22895" spans="26:26" x14ac:dyDescent="0.2">
      <c r="Z22895" t="str">
        <f t="shared" si="357"/>
        <v/>
      </c>
    </row>
    <row r="22896" spans="26:26" x14ac:dyDescent="0.2">
      <c r="Z22896" t="str">
        <f t="shared" si="357"/>
        <v/>
      </c>
    </row>
    <row r="22897" spans="26:26" x14ac:dyDescent="0.2">
      <c r="Z22897" t="str">
        <f t="shared" si="357"/>
        <v/>
      </c>
    </row>
    <row r="22898" spans="26:26" x14ac:dyDescent="0.2">
      <c r="Z22898" t="str">
        <f t="shared" si="357"/>
        <v/>
      </c>
    </row>
    <row r="22899" spans="26:26" x14ac:dyDescent="0.2">
      <c r="Z22899" t="str">
        <f t="shared" si="357"/>
        <v/>
      </c>
    </row>
    <row r="22900" spans="26:26" x14ac:dyDescent="0.2">
      <c r="Z22900" t="str">
        <f t="shared" si="357"/>
        <v/>
      </c>
    </row>
    <row r="22901" spans="26:26" x14ac:dyDescent="0.2">
      <c r="Z22901" t="str">
        <f t="shared" si="357"/>
        <v/>
      </c>
    </row>
    <row r="22902" spans="26:26" x14ac:dyDescent="0.2">
      <c r="Z22902" t="str">
        <f t="shared" si="357"/>
        <v/>
      </c>
    </row>
    <row r="22903" spans="26:26" x14ac:dyDescent="0.2">
      <c r="Z22903" t="str">
        <f t="shared" si="357"/>
        <v/>
      </c>
    </row>
    <row r="22904" spans="26:26" x14ac:dyDescent="0.2">
      <c r="Z22904" t="str">
        <f t="shared" si="357"/>
        <v/>
      </c>
    </row>
    <row r="22905" spans="26:26" x14ac:dyDescent="0.2">
      <c r="Z22905" t="str">
        <f t="shared" si="357"/>
        <v/>
      </c>
    </row>
    <row r="22906" spans="26:26" x14ac:dyDescent="0.2">
      <c r="Z22906" t="str">
        <f t="shared" si="357"/>
        <v/>
      </c>
    </row>
    <row r="22907" spans="26:26" x14ac:dyDescent="0.2">
      <c r="Z22907" t="str">
        <f t="shared" si="357"/>
        <v/>
      </c>
    </row>
    <row r="22908" spans="26:26" x14ac:dyDescent="0.2">
      <c r="Z22908" t="str">
        <f t="shared" si="357"/>
        <v/>
      </c>
    </row>
    <row r="22909" spans="26:26" x14ac:dyDescent="0.2">
      <c r="Z22909" t="str">
        <f t="shared" si="357"/>
        <v/>
      </c>
    </row>
    <row r="22910" spans="26:26" x14ac:dyDescent="0.2">
      <c r="Z22910" t="str">
        <f t="shared" si="357"/>
        <v/>
      </c>
    </row>
    <row r="22911" spans="26:26" x14ac:dyDescent="0.2">
      <c r="Z22911" t="str">
        <f t="shared" si="357"/>
        <v/>
      </c>
    </row>
    <row r="22912" spans="26:26" x14ac:dyDescent="0.2">
      <c r="Z22912" t="str">
        <f t="shared" si="357"/>
        <v/>
      </c>
    </row>
    <row r="22913" spans="26:26" x14ac:dyDescent="0.2">
      <c r="Z22913" t="str">
        <f t="shared" si="357"/>
        <v/>
      </c>
    </row>
    <row r="22914" spans="26:26" x14ac:dyDescent="0.2">
      <c r="Z22914" t="str">
        <f t="shared" si="357"/>
        <v/>
      </c>
    </row>
    <row r="22915" spans="26:26" x14ac:dyDescent="0.2">
      <c r="Z22915" t="str">
        <f t="shared" ref="Z22915:Z22978" si="358">IF(K22915="","",IFERROR(VALUE(TRIM(MID(K22915,FIND(CHAR(167),SUBSTITUTE(K22915,"-",CHAR(167),LEN(K22915)-LEN(SUBSTITUTE(K22915,"-",""))))+1,100))),K22915))</f>
        <v/>
      </c>
    </row>
    <row r="22916" spans="26:26" x14ac:dyDescent="0.2">
      <c r="Z22916" t="str">
        <f t="shared" si="358"/>
        <v/>
      </c>
    </row>
    <row r="22917" spans="26:26" x14ac:dyDescent="0.2">
      <c r="Z22917" t="str">
        <f t="shared" si="358"/>
        <v/>
      </c>
    </row>
    <row r="22918" spans="26:26" x14ac:dyDescent="0.2">
      <c r="Z22918" t="str">
        <f t="shared" si="358"/>
        <v/>
      </c>
    </row>
    <row r="22919" spans="26:26" x14ac:dyDescent="0.2">
      <c r="Z22919" t="str">
        <f t="shared" si="358"/>
        <v/>
      </c>
    </row>
    <row r="22920" spans="26:26" x14ac:dyDescent="0.2">
      <c r="Z22920" t="str">
        <f t="shared" si="358"/>
        <v/>
      </c>
    </row>
    <row r="22921" spans="26:26" x14ac:dyDescent="0.2">
      <c r="Z22921" t="str">
        <f t="shared" si="358"/>
        <v/>
      </c>
    </row>
    <row r="22922" spans="26:26" x14ac:dyDescent="0.2">
      <c r="Z22922" t="str">
        <f t="shared" si="358"/>
        <v/>
      </c>
    </row>
    <row r="22923" spans="26:26" x14ac:dyDescent="0.2">
      <c r="Z22923" t="str">
        <f t="shared" si="358"/>
        <v/>
      </c>
    </row>
    <row r="22924" spans="26:26" x14ac:dyDescent="0.2">
      <c r="Z22924" t="str">
        <f t="shared" si="358"/>
        <v/>
      </c>
    </row>
    <row r="22925" spans="26:26" x14ac:dyDescent="0.2">
      <c r="Z22925" t="str">
        <f t="shared" si="358"/>
        <v/>
      </c>
    </row>
    <row r="22926" spans="26:26" x14ac:dyDescent="0.2">
      <c r="Z22926" t="str">
        <f t="shared" si="358"/>
        <v/>
      </c>
    </row>
    <row r="22927" spans="26:26" x14ac:dyDescent="0.2">
      <c r="Z22927" t="str">
        <f t="shared" si="358"/>
        <v/>
      </c>
    </row>
    <row r="22928" spans="26:26" x14ac:dyDescent="0.2">
      <c r="Z22928" t="str">
        <f t="shared" si="358"/>
        <v/>
      </c>
    </row>
    <row r="22929" spans="26:26" x14ac:dyDescent="0.2">
      <c r="Z22929" t="str">
        <f t="shared" si="358"/>
        <v/>
      </c>
    </row>
    <row r="22930" spans="26:26" x14ac:dyDescent="0.2">
      <c r="Z22930" t="str">
        <f t="shared" si="358"/>
        <v/>
      </c>
    </row>
    <row r="22931" spans="26:26" x14ac:dyDescent="0.2">
      <c r="Z22931" t="str">
        <f t="shared" si="358"/>
        <v/>
      </c>
    </row>
    <row r="22932" spans="26:26" x14ac:dyDescent="0.2">
      <c r="Z22932" t="str">
        <f t="shared" si="358"/>
        <v/>
      </c>
    </row>
    <row r="22933" spans="26:26" x14ac:dyDescent="0.2">
      <c r="Z22933" t="str">
        <f t="shared" si="358"/>
        <v/>
      </c>
    </row>
    <row r="22934" spans="26:26" x14ac:dyDescent="0.2">
      <c r="Z22934" t="str">
        <f t="shared" si="358"/>
        <v/>
      </c>
    </row>
    <row r="22935" spans="26:26" x14ac:dyDescent="0.2">
      <c r="Z22935" t="str">
        <f t="shared" si="358"/>
        <v/>
      </c>
    </row>
    <row r="22936" spans="26:26" x14ac:dyDescent="0.2">
      <c r="Z22936" t="str">
        <f t="shared" si="358"/>
        <v/>
      </c>
    </row>
    <row r="22937" spans="26:26" x14ac:dyDescent="0.2">
      <c r="Z22937" t="str">
        <f t="shared" si="358"/>
        <v/>
      </c>
    </row>
    <row r="22938" spans="26:26" x14ac:dyDescent="0.2">
      <c r="Z22938" t="str">
        <f t="shared" si="358"/>
        <v/>
      </c>
    </row>
    <row r="22939" spans="26:26" x14ac:dyDescent="0.2">
      <c r="Z22939" t="str">
        <f t="shared" si="358"/>
        <v/>
      </c>
    </row>
    <row r="22940" spans="26:26" x14ac:dyDescent="0.2">
      <c r="Z22940" t="str">
        <f t="shared" si="358"/>
        <v/>
      </c>
    </row>
    <row r="22941" spans="26:26" x14ac:dyDescent="0.2">
      <c r="Z22941" t="str">
        <f t="shared" si="358"/>
        <v/>
      </c>
    </row>
    <row r="22942" spans="26:26" x14ac:dyDescent="0.2">
      <c r="Z22942" t="str">
        <f t="shared" si="358"/>
        <v/>
      </c>
    </row>
    <row r="22943" spans="26:26" x14ac:dyDescent="0.2">
      <c r="Z22943" t="str">
        <f t="shared" si="358"/>
        <v/>
      </c>
    </row>
    <row r="22944" spans="26:26" x14ac:dyDescent="0.2">
      <c r="Z22944" t="str">
        <f t="shared" si="358"/>
        <v/>
      </c>
    </row>
    <row r="22945" spans="26:26" x14ac:dyDescent="0.2">
      <c r="Z22945" t="str">
        <f t="shared" si="358"/>
        <v/>
      </c>
    </row>
    <row r="22946" spans="26:26" x14ac:dyDescent="0.2">
      <c r="Z22946" t="str">
        <f t="shared" si="358"/>
        <v/>
      </c>
    </row>
    <row r="22947" spans="26:26" x14ac:dyDescent="0.2">
      <c r="Z22947" t="str">
        <f t="shared" si="358"/>
        <v/>
      </c>
    </row>
    <row r="22948" spans="26:26" x14ac:dyDescent="0.2">
      <c r="Z22948" t="str">
        <f t="shared" si="358"/>
        <v/>
      </c>
    </row>
    <row r="22949" spans="26:26" x14ac:dyDescent="0.2">
      <c r="Z22949" t="str">
        <f t="shared" si="358"/>
        <v/>
      </c>
    </row>
    <row r="22950" spans="26:26" x14ac:dyDescent="0.2">
      <c r="Z22950" t="str">
        <f t="shared" si="358"/>
        <v/>
      </c>
    </row>
    <row r="22951" spans="26:26" x14ac:dyDescent="0.2">
      <c r="Z22951" t="str">
        <f t="shared" si="358"/>
        <v/>
      </c>
    </row>
    <row r="22952" spans="26:26" x14ac:dyDescent="0.2">
      <c r="Z22952" t="str">
        <f t="shared" si="358"/>
        <v/>
      </c>
    </row>
    <row r="22953" spans="26:26" x14ac:dyDescent="0.2">
      <c r="Z22953" t="str">
        <f t="shared" si="358"/>
        <v/>
      </c>
    </row>
    <row r="22954" spans="26:26" x14ac:dyDescent="0.2">
      <c r="Z22954" t="str">
        <f t="shared" si="358"/>
        <v/>
      </c>
    </row>
    <row r="22955" spans="26:26" x14ac:dyDescent="0.2">
      <c r="Z22955" t="str">
        <f t="shared" si="358"/>
        <v/>
      </c>
    </row>
    <row r="22956" spans="26:26" x14ac:dyDescent="0.2">
      <c r="Z22956" t="str">
        <f t="shared" si="358"/>
        <v/>
      </c>
    </row>
    <row r="22957" spans="26:26" x14ac:dyDescent="0.2">
      <c r="Z22957" t="str">
        <f t="shared" si="358"/>
        <v/>
      </c>
    </row>
    <row r="22958" spans="26:26" x14ac:dyDescent="0.2">
      <c r="Z22958" t="str">
        <f t="shared" si="358"/>
        <v/>
      </c>
    </row>
    <row r="22959" spans="26:26" x14ac:dyDescent="0.2">
      <c r="Z22959" t="str">
        <f t="shared" si="358"/>
        <v/>
      </c>
    </row>
    <row r="22960" spans="26:26" x14ac:dyDescent="0.2">
      <c r="Z22960" t="str">
        <f t="shared" si="358"/>
        <v/>
      </c>
    </row>
    <row r="22961" spans="26:26" x14ac:dyDescent="0.2">
      <c r="Z22961" t="str">
        <f t="shared" si="358"/>
        <v/>
      </c>
    </row>
    <row r="22962" spans="26:26" x14ac:dyDescent="0.2">
      <c r="Z22962" t="str">
        <f t="shared" si="358"/>
        <v/>
      </c>
    </row>
    <row r="22963" spans="26:26" x14ac:dyDescent="0.2">
      <c r="Z22963" t="str">
        <f t="shared" si="358"/>
        <v/>
      </c>
    </row>
    <row r="22964" spans="26:26" x14ac:dyDescent="0.2">
      <c r="Z22964" t="str">
        <f t="shared" si="358"/>
        <v/>
      </c>
    </row>
    <row r="22965" spans="26:26" x14ac:dyDescent="0.2">
      <c r="Z22965" t="str">
        <f t="shared" si="358"/>
        <v/>
      </c>
    </row>
    <row r="22966" spans="26:26" x14ac:dyDescent="0.2">
      <c r="Z22966" t="str">
        <f t="shared" si="358"/>
        <v/>
      </c>
    </row>
    <row r="22967" spans="26:26" x14ac:dyDescent="0.2">
      <c r="Z22967" t="str">
        <f t="shared" si="358"/>
        <v/>
      </c>
    </row>
    <row r="22968" spans="26:26" x14ac:dyDescent="0.2">
      <c r="Z22968" t="str">
        <f t="shared" si="358"/>
        <v/>
      </c>
    </row>
    <row r="22969" spans="26:26" x14ac:dyDescent="0.2">
      <c r="Z22969" t="str">
        <f t="shared" si="358"/>
        <v/>
      </c>
    </row>
    <row r="22970" spans="26:26" x14ac:dyDescent="0.2">
      <c r="Z22970" t="str">
        <f t="shared" si="358"/>
        <v/>
      </c>
    </row>
    <row r="22971" spans="26:26" x14ac:dyDescent="0.2">
      <c r="Z22971" t="str">
        <f t="shared" si="358"/>
        <v/>
      </c>
    </row>
    <row r="22972" spans="26:26" x14ac:dyDescent="0.2">
      <c r="Z22972" t="str">
        <f t="shared" si="358"/>
        <v/>
      </c>
    </row>
    <row r="22973" spans="26:26" x14ac:dyDescent="0.2">
      <c r="Z22973" t="str">
        <f t="shared" si="358"/>
        <v/>
      </c>
    </row>
    <row r="22974" spans="26:26" x14ac:dyDescent="0.2">
      <c r="Z22974" t="str">
        <f t="shared" si="358"/>
        <v/>
      </c>
    </row>
    <row r="22975" spans="26:26" x14ac:dyDescent="0.2">
      <c r="Z22975" t="str">
        <f t="shared" si="358"/>
        <v/>
      </c>
    </row>
    <row r="22976" spans="26:26" x14ac:dyDescent="0.2">
      <c r="Z22976" t="str">
        <f t="shared" si="358"/>
        <v/>
      </c>
    </row>
    <row r="22977" spans="26:26" x14ac:dyDescent="0.2">
      <c r="Z22977" t="str">
        <f t="shared" si="358"/>
        <v/>
      </c>
    </row>
    <row r="22978" spans="26:26" x14ac:dyDescent="0.2">
      <c r="Z22978" t="str">
        <f t="shared" si="358"/>
        <v/>
      </c>
    </row>
    <row r="22979" spans="26:26" x14ac:dyDescent="0.2">
      <c r="Z22979" t="str">
        <f t="shared" ref="Z22979:Z23042" si="359">IF(K22979="","",IFERROR(VALUE(TRIM(MID(K22979,FIND(CHAR(167),SUBSTITUTE(K22979,"-",CHAR(167),LEN(K22979)-LEN(SUBSTITUTE(K22979,"-",""))))+1,100))),K22979))</f>
        <v/>
      </c>
    </row>
    <row r="22980" spans="26:26" x14ac:dyDescent="0.2">
      <c r="Z22980" t="str">
        <f t="shared" si="359"/>
        <v/>
      </c>
    </row>
    <row r="22981" spans="26:26" x14ac:dyDescent="0.2">
      <c r="Z22981" t="str">
        <f t="shared" si="359"/>
        <v/>
      </c>
    </row>
    <row r="22982" spans="26:26" x14ac:dyDescent="0.2">
      <c r="Z22982" t="str">
        <f t="shared" si="359"/>
        <v/>
      </c>
    </row>
    <row r="22983" spans="26:26" x14ac:dyDescent="0.2">
      <c r="Z22983" t="str">
        <f t="shared" si="359"/>
        <v/>
      </c>
    </row>
    <row r="22984" spans="26:26" x14ac:dyDescent="0.2">
      <c r="Z22984" t="str">
        <f t="shared" si="359"/>
        <v/>
      </c>
    </row>
    <row r="22985" spans="26:26" x14ac:dyDescent="0.2">
      <c r="Z22985" t="str">
        <f t="shared" si="359"/>
        <v/>
      </c>
    </row>
    <row r="22986" spans="26:26" x14ac:dyDescent="0.2">
      <c r="Z22986" t="str">
        <f t="shared" si="359"/>
        <v/>
      </c>
    </row>
    <row r="22987" spans="26:26" x14ac:dyDescent="0.2">
      <c r="Z22987" t="str">
        <f t="shared" si="359"/>
        <v/>
      </c>
    </row>
    <row r="22988" spans="26:26" x14ac:dyDescent="0.2">
      <c r="Z22988" t="str">
        <f t="shared" si="359"/>
        <v/>
      </c>
    </row>
    <row r="22989" spans="26:26" x14ac:dyDescent="0.2">
      <c r="Z22989" t="str">
        <f t="shared" si="359"/>
        <v/>
      </c>
    </row>
    <row r="22990" spans="26:26" x14ac:dyDescent="0.2">
      <c r="Z22990" t="str">
        <f t="shared" si="359"/>
        <v/>
      </c>
    </row>
    <row r="22991" spans="26:26" x14ac:dyDescent="0.2">
      <c r="Z22991" t="str">
        <f t="shared" si="359"/>
        <v/>
      </c>
    </row>
    <row r="22992" spans="26:26" x14ac:dyDescent="0.2">
      <c r="Z22992" t="str">
        <f t="shared" si="359"/>
        <v/>
      </c>
    </row>
    <row r="22993" spans="26:26" x14ac:dyDescent="0.2">
      <c r="Z22993" t="str">
        <f t="shared" si="359"/>
        <v/>
      </c>
    </row>
    <row r="22994" spans="26:26" x14ac:dyDescent="0.2">
      <c r="Z22994" t="str">
        <f t="shared" si="359"/>
        <v/>
      </c>
    </row>
    <row r="22995" spans="26:26" x14ac:dyDescent="0.2">
      <c r="Z22995" t="str">
        <f t="shared" si="359"/>
        <v/>
      </c>
    </row>
    <row r="22996" spans="26:26" x14ac:dyDescent="0.2">
      <c r="Z22996" t="str">
        <f t="shared" si="359"/>
        <v/>
      </c>
    </row>
    <row r="22997" spans="26:26" x14ac:dyDescent="0.2">
      <c r="Z22997" t="str">
        <f t="shared" si="359"/>
        <v/>
      </c>
    </row>
    <row r="22998" spans="26:26" x14ac:dyDescent="0.2">
      <c r="Z22998" t="str">
        <f t="shared" si="359"/>
        <v/>
      </c>
    </row>
    <row r="22999" spans="26:26" x14ac:dyDescent="0.2">
      <c r="Z22999" t="str">
        <f t="shared" si="359"/>
        <v/>
      </c>
    </row>
    <row r="23000" spans="26:26" x14ac:dyDescent="0.2">
      <c r="Z23000" t="str">
        <f t="shared" si="359"/>
        <v/>
      </c>
    </row>
    <row r="23001" spans="26:26" x14ac:dyDescent="0.2">
      <c r="Z23001" t="str">
        <f t="shared" si="359"/>
        <v/>
      </c>
    </row>
    <row r="23002" spans="26:26" x14ac:dyDescent="0.2">
      <c r="Z23002" t="str">
        <f t="shared" si="359"/>
        <v/>
      </c>
    </row>
    <row r="23003" spans="26:26" x14ac:dyDescent="0.2">
      <c r="Z23003" t="str">
        <f t="shared" si="359"/>
        <v/>
      </c>
    </row>
    <row r="23004" spans="26:26" x14ac:dyDescent="0.2">
      <c r="Z23004" t="str">
        <f t="shared" si="359"/>
        <v/>
      </c>
    </row>
    <row r="23005" spans="26:26" x14ac:dyDescent="0.2">
      <c r="Z23005" t="str">
        <f t="shared" si="359"/>
        <v/>
      </c>
    </row>
    <row r="23006" spans="26:26" x14ac:dyDescent="0.2">
      <c r="Z23006" t="str">
        <f t="shared" si="359"/>
        <v/>
      </c>
    </row>
    <row r="23007" spans="26:26" x14ac:dyDescent="0.2">
      <c r="Z23007" t="str">
        <f t="shared" si="359"/>
        <v/>
      </c>
    </row>
    <row r="23008" spans="26:26" x14ac:dyDescent="0.2">
      <c r="Z23008" t="str">
        <f t="shared" si="359"/>
        <v/>
      </c>
    </row>
    <row r="23009" spans="26:26" x14ac:dyDescent="0.2">
      <c r="Z23009" t="str">
        <f t="shared" si="359"/>
        <v/>
      </c>
    </row>
    <row r="23010" spans="26:26" x14ac:dyDescent="0.2">
      <c r="Z23010" t="str">
        <f t="shared" si="359"/>
        <v/>
      </c>
    </row>
    <row r="23011" spans="26:26" x14ac:dyDescent="0.2">
      <c r="Z23011" t="str">
        <f t="shared" si="359"/>
        <v/>
      </c>
    </row>
    <row r="23012" spans="26:26" x14ac:dyDescent="0.2">
      <c r="Z23012" t="str">
        <f t="shared" si="359"/>
        <v/>
      </c>
    </row>
    <row r="23013" spans="26:26" x14ac:dyDescent="0.2">
      <c r="Z23013" t="str">
        <f t="shared" si="359"/>
        <v/>
      </c>
    </row>
    <row r="23014" spans="26:26" x14ac:dyDescent="0.2">
      <c r="Z23014" t="str">
        <f t="shared" si="359"/>
        <v/>
      </c>
    </row>
    <row r="23015" spans="26:26" x14ac:dyDescent="0.2">
      <c r="Z23015" t="str">
        <f t="shared" si="359"/>
        <v/>
      </c>
    </row>
    <row r="23016" spans="26:26" x14ac:dyDescent="0.2">
      <c r="Z23016" t="str">
        <f t="shared" si="359"/>
        <v/>
      </c>
    </row>
    <row r="23017" spans="26:26" x14ac:dyDescent="0.2">
      <c r="Z23017" t="str">
        <f t="shared" si="359"/>
        <v/>
      </c>
    </row>
    <row r="23018" spans="26:26" x14ac:dyDescent="0.2">
      <c r="Z23018" t="str">
        <f t="shared" si="359"/>
        <v/>
      </c>
    </row>
    <row r="23019" spans="26:26" x14ac:dyDescent="0.2">
      <c r="Z23019" t="str">
        <f t="shared" si="359"/>
        <v/>
      </c>
    </row>
    <row r="23020" spans="26:26" x14ac:dyDescent="0.2">
      <c r="Z23020" t="str">
        <f t="shared" si="359"/>
        <v/>
      </c>
    </row>
    <row r="23021" spans="26:26" x14ac:dyDescent="0.2">
      <c r="Z23021" t="str">
        <f t="shared" si="359"/>
        <v/>
      </c>
    </row>
    <row r="23022" spans="26:26" x14ac:dyDescent="0.2">
      <c r="Z23022" t="str">
        <f t="shared" si="359"/>
        <v/>
      </c>
    </row>
    <row r="23023" spans="26:26" x14ac:dyDescent="0.2">
      <c r="Z23023" t="str">
        <f t="shared" si="359"/>
        <v/>
      </c>
    </row>
    <row r="23024" spans="26:26" x14ac:dyDescent="0.2">
      <c r="Z23024" t="str">
        <f t="shared" si="359"/>
        <v/>
      </c>
    </row>
    <row r="23025" spans="26:26" x14ac:dyDescent="0.2">
      <c r="Z23025" t="str">
        <f t="shared" si="359"/>
        <v/>
      </c>
    </row>
    <row r="23026" spans="26:26" x14ac:dyDescent="0.2">
      <c r="Z23026" t="str">
        <f t="shared" si="359"/>
        <v/>
      </c>
    </row>
    <row r="23027" spans="26:26" x14ac:dyDescent="0.2">
      <c r="Z23027" t="str">
        <f t="shared" si="359"/>
        <v/>
      </c>
    </row>
    <row r="23028" spans="26:26" x14ac:dyDescent="0.2">
      <c r="Z23028" t="str">
        <f t="shared" si="359"/>
        <v/>
      </c>
    </row>
    <row r="23029" spans="26:26" x14ac:dyDescent="0.2">
      <c r="Z23029" t="str">
        <f t="shared" si="359"/>
        <v/>
      </c>
    </row>
    <row r="23030" spans="26:26" x14ac:dyDescent="0.2">
      <c r="Z23030" t="str">
        <f t="shared" si="359"/>
        <v/>
      </c>
    </row>
    <row r="23031" spans="26:26" x14ac:dyDescent="0.2">
      <c r="Z23031" t="str">
        <f t="shared" si="359"/>
        <v/>
      </c>
    </row>
    <row r="23032" spans="26:26" x14ac:dyDescent="0.2">
      <c r="Z23032" t="str">
        <f t="shared" si="359"/>
        <v/>
      </c>
    </row>
    <row r="23033" spans="26:26" x14ac:dyDescent="0.2">
      <c r="Z23033" t="str">
        <f t="shared" si="359"/>
        <v/>
      </c>
    </row>
    <row r="23034" spans="26:26" x14ac:dyDescent="0.2">
      <c r="Z23034" t="str">
        <f t="shared" si="359"/>
        <v/>
      </c>
    </row>
    <row r="23035" spans="26:26" x14ac:dyDescent="0.2">
      <c r="Z23035" t="str">
        <f t="shared" si="359"/>
        <v/>
      </c>
    </row>
    <row r="23036" spans="26:26" x14ac:dyDescent="0.2">
      <c r="Z23036" t="str">
        <f t="shared" si="359"/>
        <v/>
      </c>
    </row>
    <row r="23037" spans="26:26" x14ac:dyDescent="0.2">
      <c r="Z23037" t="str">
        <f t="shared" si="359"/>
        <v/>
      </c>
    </row>
    <row r="23038" spans="26:26" x14ac:dyDescent="0.2">
      <c r="Z23038" t="str">
        <f t="shared" si="359"/>
        <v/>
      </c>
    </row>
    <row r="23039" spans="26:26" x14ac:dyDescent="0.2">
      <c r="Z23039" t="str">
        <f t="shared" si="359"/>
        <v/>
      </c>
    </row>
    <row r="23040" spans="26:26" x14ac:dyDescent="0.2">
      <c r="Z23040" t="str">
        <f t="shared" si="359"/>
        <v/>
      </c>
    </row>
    <row r="23041" spans="26:26" x14ac:dyDescent="0.2">
      <c r="Z23041" t="str">
        <f t="shared" si="359"/>
        <v/>
      </c>
    </row>
    <row r="23042" spans="26:26" x14ac:dyDescent="0.2">
      <c r="Z23042" t="str">
        <f t="shared" si="359"/>
        <v/>
      </c>
    </row>
    <row r="23043" spans="26:26" x14ac:dyDescent="0.2">
      <c r="Z23043" t="str">
        <f t="shared" ref="Z23043:Z23106" si="360">IF(K23043="","",IFERROR(VALUE(TRIM(MID(K23043,FIND(CHAR(167),SUBSTITUTE(K23043,"-",CHAR(167),LEN(K23043)-LEN(SUBSTITUTE(K23043,"-",""))))+1,100))),K23043))</f>
        <v/>
      </c>
    </row>
    <row r="23044" spans="26:26" x14ac:dyDescent="0.2">
      <c r="Z23044" t="str">
        <f t="shared" si="360"/>
        <v/>
      </c>
    </row>
    <row r="23045" spans="26:26" x14ac:dyDescent="0.2">
      <c r="Z23045" t="str">
        <f t="shared" si="360"/>
        <v/>
      </c>
    </row>
    <row r="23046" spans="26:26" x14ac:dyDescent="0.2">
      <c r="Z23046" t="str">
        <f t="shared" si="360"/>
        <v/>
      </c>
    </row>
    <row r="23047" spans="26:26" x14ac:dyDescent="0.2">
      <c r="Z23047" t="str">
        <f t="shared" si="360"/>
        <v/>
      </c>
    </row>
    <row r="23048" spans="26:26" x14ac:dyDescent="0.2">
      <c r="Z23048" t="str">
        <f t="shared" si="360"/>
        <v/>
      </c>
    </row>
    <row r="23049" spans="26:26" x14ac:dyDescent="0.2">
      <c r="Z23049" t="str">
        <f t="shared" si="360"/>
        <v/>
      </c>
    </row>
    <row r="23050" spans="26:26" x14ac:dyDescent="0.2">
      <c r="Z23050" t="str">
        <f t="shared" si="360"/>
        <v/>
      </c>
    </row>
    <row r="23051" spans="26:26" x14ac:dyDescent="0.2">
      <c r="Z23051" t="str">
        <f t="shared" si="360"/>
        <v/>
      </c>
    </row>
    <row r="23052" spans="26:26" x14ac:dyDescent="0.2">
      <c r="Z23052" t="str">
        <f t="shared" si="360"/>
        <v/>
      </c>
    </row>
    <row r="23053" spans="26:26" x14ac:dyDescent="0.2">
      <c r="Z23053" t="str">
        <f t="shared" si="360"/>
        <v/>
      </c>
    </row>
    <row r="23054" spans="26:26" x14ac:dyDescent="0.2">
      <c r="Z23054" t="str">
        <f t="shared" si="360"/>
        <v/>
      </c>
    </row>
    <row r="23055" spans="26:26" x14ac:dyDescent="0.2">
      <c r="Z23055" t="str">
        <f t="shared" si="360"/>
        <v/>
      </c>
    </row>
    <row r="23056" spans="26:26" x14ac:dyDescent="0.2">
      <c r="Z23056" t="str">
        <f t="shared" si="360"/>
        <v/>
      </c>
    </row>
    <row r="23057" spans="26:26" x14ac:dyDescent="0.2">
      <c r="Z23057" t="str">
        <f t="shared" si="360"/>
        <v/>
      </c>
    </row>
    <row r="23058" spans="26:26" x14ac:dyDescent="0.2">
      <c r="Z23058" t="str">
        <f t="shared" si="360"/>
        <v/>
      </c>
    </row>
    <row r="23059" spans="26:26" x14ac:dyDescent="0.2">
      <c r="Z23059" t="str">
        <f t="shared" si="360"/>
        <v/>
      </c>
    </row>
    <row r="23060" spans="26:26" x14ac:dyDescent="0.2">
      <c r="Z23060" t="str">
        <f t="shared" si="360"/>
        <v/>
      </c>
    </row>
    <row r="23061" spans="26:26" x14ac:dyDescent="0.2">
      <c r="Z23061" t="str">
        <f t="shared" si="360"/>
        <v/>
      </c>
    </row>
    <row r="23062" spans="26:26" x14ac:dyDescent="0.2">
      <c r="Z23062" t="str">
        <f t="shared" si="360"/>
        <v/>
      </c>
    </row>
    <row r="23063" spans="26:26" x14ac:dyDescent="0.2">
      <c r="Z23063" t="str">
        <f t="shared" si="360"/>
        <v/>
      </c>
    </row>
    <row r="23064" spans="26:26" x14ac:dyDescent="0.2">
      <c r="Z23064" t="str">
        <f t="shared" si="360"/>
        <v/>
      </c>
    </row>
    <row r="23065" spans="26:26" x14ac:dyDescent="0.2">
      <c r="Z23065" t="str">
        <f t="shared" si="360"/>
        <v/>
      </c>
    </row>
    <row r="23066" spans="26:26" x14ac:dyDescent="0.2">
      <c r="Z23066" t="str">
        <f t="shared" si="360"/>
        <v/>
      </c>
    </row>
    <row r="23067" spans="26:26" x14ac:dyDescent="0.2">
      <c r="Z23067" t="str">
        <f t="shared" si="360"/>
        <v/>
      </c>
    </row>
    <row r="23068" spans="26:26" x14ac:dyDescent="0.2">
      <c r="Z23068" t="str">
        <f t="shared" si="360"/>
        <v/>
      </c>
    </row>
    <row r="23069" spans="26:26" x14ac:dyDescent="0.2">
      <c r="Z23069" t="str">
        <f t="shared" si="360"/>
        <v/>
      </c>
    </row>
    <row r="23070" spans="26:26" x14ac:dyDescent="0.2">
      <c r="Z23070" t="str">
        <f t="shared" si="360"/>
        <v/>
      </c>
    </row>
    <row r="23071" spans="26:26" x14ac:dyDescent="0.2">
      <c r="Z23071" t="str">
        <f t="shared" si="360"/>
        <v/>
      </c>
    </row>
    <row r="23072" spans="26:26" x14ac:dyDescent="0.2">
      <c r="Z23072" t="str">
        <f t="shared" si="360"/>
        <v/>
      </c>
    </row>
    <row r="23073" spans="26:26" x14ac:dyDescent="0.2">
      <c r="Z23073" t="str">
        <f t="shared" si="360"/>
        <v/>
      </c>
    </row>
    <row r="23074" spans="26:26" x14ac:dyDescent="0.2">
      <c r="Z23074" t="str">
        <f t="shared" si="360"/>
        <v/>
      </c>
    </row>
    <row r="23075" spans="26:26" x14ac:dyDescent="0.2">
      <c r="Z23075" t="str">
        <f t="shared" si="360"/>
        <v/>
      </c>
    </row>
    <row r="23076" spans="26:26" x14ac:dyDescent="0.2">
      <c r="Z23076" t="str">
        <f t="shared" si="360"/>
        <v/>
      </c>
    </row>
    <row r="23077" spans="26:26" x14ac:dyDescent="0.2">
      <c r="Z23077" t="str">
        <f t="shared" si="360"/>
        <v/>
      </c>
    </row>
    <row r="23078" spans="26:26" x14ac:dyDescent="0.2">
      <c r="Z23078" t="str">
        <f t="shared" si="360"/>
        <v/>
      </c>
    </row>
    <row r="23079" spans="26:26" x14ac:dyDescent="0.2">
      <c r="Z23079" t="str">
        <f t="shared" si="360"/>
        <v/>
      </c>
    </row>
    <row r="23080" spans="26:26" x14ac:dyDescent="0.2">
      <c r="Z23080" t="str">
        <f t="shared" si="360"/>
        <v/>
      </c>
    </row>
    <row r="23081" spans="26:26" x14ac:dyDescent="0.2">
      <c r="Z23081" t="str">
        <f t="shared" si="360"/>
        <v/>
      </c>
    </row>
    <row r="23082" spans="26:26" x14ac:dyDescent="0.2">
      <c r="Z23082" t="str">
        <f t="shared" si="360"/>
        <v/>
      </c>
    </row>
    <row r="23083" spans="26:26" x14ac:dyDescent="0.2">
      <c r="Z23083" t="str">
        <f t="shared" si="360"/>
        <v/>
      </c>
    </row>
    <row r="23084" spans="26:26" x14ac:dyDescent="0.2">
      <c r="Z23084" t="str">
        <f t="shared" si="360"/>
        <v/>
      </c>
    </row>
    <row r="23085" spans="26:26" x14ac:dyDescent="0.2">
      <c r="Z23085" t="str">
        <f t="shared" si="360"/>
        <v/>
      </c>
    </row>
    <row r="23086" spans="26:26" x14ac:dyDescent="0.2">
      <c r="Z23086" t="str">
        <f t="shared" si="360"/>
        <v/>
      </c>
    </row>
    <row r="23087" spans="26:26" x14ac:dyDescent="0.2">
      <c r="Z23087" t="str">
        <f t="shared" si="360"/>
        <v/>
      </c>
    </row>
    <row r="23088" spans="26:26" x14ac:dyDescent="0.2">
      <c r="Z23088" t="str">
        <f t="shared" si="360"/>
        <v/>
      </c>
    </row>
    <row r="23089" spans="26:26" x14ac:dyDescent="0.2">
      <c r="Z23089" t="str">
        <f t="shared" si="360"/>
        <v/>
      </c>
    </row>
    <row r="23090" spans="26:26" x14ac:dyDescent="0.2">
      <c r="Z23090" t="str">
        <f t="shared" si="360"/>
        <v/>
      </c>
    </row>
    <row r="23091" spans="26:26" x14ac:dyDescent="0.2">
      <c r="Z23091" t="str">
        <f t="shared" si="360"/>
        <v/>
      </c>
    </row>
    <row r="23092" spans="26:26" x14ac:dyDescent="0.2">
      <c r="Z23092" t="str">
        <f t="shared" si="360"/>
        <v/>
      </c>
    </row>
    <row r="23093" spans="26:26" x14ac:dyDescent="0.2">
      <c r="Z23093" t="str">
        <f t="shared" si="360"/>
        <v/>
      </c>
    </row>
    <row r="23094" spans="26:26" x14ac:dyDescent="0.2">
      <c r="Z23094" t="str">
        <f t="shared" si="360"/>
        <v/>
      </c>
    </row>
    <row r="23095" spans="26:26" x14ac:dyDescent="0.2">
      <c r="Z23095" t="str">
        <f t="shared" si="360"/>
        <v/>
      </c>
    </row>
    <row r="23096" spans="26:26" x14ac:dyDescent="0.2">
      <c r="Z23096" t="str">
        <f t="shared" si="360"/>
        <v/>
      </c>
    </row>
    <row r="23097" spans="26:26" x14ac:dyDescent="0.2">
      <c r="Z23097" t="str">
        <f t="shared" si="360"/>
        <v/>
      </c>
    </row>
    <row r="23098" spans="26:26" x14ac:dyDescent="0.2">
      <c r="Z23098" t="str">
        <f t="shared" si="360"/>
        <v/>
      </c>
    </row>
    <row r="23099" spans="26:26" x14ac:dyDescent="0.2">
      <c r="Z23099" t="str">
        <f t="shared" si="360"/>
        <v/>
      </c>
    </row>
    <row r="23100" spans="26:26" x14ac:dyDescent="0.2">
      <c r="Z23100" t="str">
        <f t="shared" si="360"/>
        <v/>
      </c>
    </row>
    <row r="23101" spans="26:26" x14ac:dyDescent="0.2">
      <c r="Z23101" t="str">
        <f t="shared" si="360"/>
        <v/>
      </c>
    </row>
    <row r="23102" spans="26:26" x14ac:dyDescent="0.2">
      <c r="Z23102" t="str">
        <f t="shared" si="360"/>
        <v/>
      </c>
    </row>
    <row r="23103" spans="26:26" x14ac:dyDescent="0.2">
      <c r="Z23103" t="str">
        <f t="shared" si="360"/>
        <v/>
      </c>
    </row>
    <row r="23104" spans="26:26" x14ac:dyDescent="0.2">
      <c r="Z23104" t="str">
        <f t="shared" si="360"/>
        <v/>
      </c>
    </row>
    <row r="23105" spans="26:26" x14ac:dyDescent="0.2">
      <c r="Z23105" t="str">
        <f t="shared" si="360"/>
        <v/>
      </c>
    </row>
    <row r="23106" spans="26:26" x14ac:dyDescent="0.2">
      <c r="Z23106" t="str">
        <f t="shared" si="360"/>
        <v/>
      </c>
    </row>
    <row r="23107" spans="26:26" x14ac:dyDescent="0.2">
      <c r="Z23107" t="str">
        <f t="shared" ref="Z23107:Z23170" si="361">IF(K23107="","",IFERROR(VALUE(TRIM(MID(K23107,FIND(CHAR(167),SUBSTITUTE(K23107,"-",CHAR(167),LEN(K23107)-LEN(SUBSTITUTE(K23107,"-",""))))+1,100))),K23107))</f>
        <v/>
      </c>
    </row>
    <row r="23108" spans="26:26" x14ac:dyDescent="0.2">
      <c r="Z23108" t="str">
        <f t="shared" si="361"/>
        <v/>
      </c>
    </row>
    <row r="23109" spans="26:26" x14ac:dyDescent="0.2">
      <c r="Z23109" t="str">
        <f t="shared" si="361"/>
        <v/>
      </c>
    </row>
    <row r="23110" spans="26:26" x14ac:dyDescent="0.2">
      <c r="Z23110" t="str">
        <f t="shared" si="361"/>
        <v/>
      </c>
    </row>
    <row r="23111" spans="26:26" x14ac:dyDescent="0.2">
      <c r="Z23111" t="str">
        <f t="shared" si="361"/>
        <v/>
      </c>
    </row>
    <row r="23112" spans="26:26" x14ac:dyDescent="0.2">
      <c r="Z23112" t="str">
        <f t="shared" si="361"/>
        <v/>
      </c>
    </row>
    <row r="23113" spans="26:26" x14ac:dyDescent="0.2">
      <c r="Z23113" t="str">
        <f t="shared" si="361"/>
        <v/>
      </c>
    </row>
    <row r="23114" spans="26:26" x14ac:dyDescent="0.2">
      <c r="Z23114" t="str">
        <f t="shared" si="361"/>
        <v/>
      </c>
    </row>
    <row r="23115" spans="26:26" x14ac:dyDescent="0.2">
      <c r="Z23115" t="str">
        <f t="shared" si="361"/>
        <v/>
      </c>
    </row>
    <row r="23116" spans="26:26" x14ac:dyDescent="0.2">
      <c r="Z23116" t="str">
        <f t="shared" si="361"/>
        <v/>
      </c>
    </row>
    <row r="23117" spans="26:26" x14ac:dyDescent="0.2">
      <c r="Z23117" t="str">
        <f t="shared" si="361"/>
        <v/>
      </c>
    </row>
    <row r="23118" spans="26:26" x14ac:dyDescent="0.2">
      <c r="Z23118" t="str">
        <f t="shared" si="361"/>
        <v/>
      </c>
    </row>
    <row r="23119" spans="26:26" x14ac:dyDescent="0.2">
      <c r="Z23119" t="str">
        <f t="shared" si="361"/>
        <v/>
      </c>
    </row>
    <row r="23120" spans="26:26" x14ac:dyDescent="0.2">
      <c r="Z23120" t="str">
        <f t="shared" si="361"/>
        <v/>
      </c>
    </row>
    <row r="23121" spans="26:26" x14ac:dyDescent="0.2">
      <c r="Z23121" t="str">
        <f t="shared" si="361"/>
        <v/>
      </c>
    </row>
    <row r="23122" spans="26:26" x14ac:dyDescent="0.2">
      <c r="Z23122" t="str">
        <f t="shared" si="361"/>
        <v/>
      </c>
    </row>
    <row r="23123" spans="26:26" x14ac:dyDescent="0.2">
      <c r="Z23123" t="str">
        <f t="shared" si="361"/>
        <v/>
      </c>
    </row>
    <row r="23124" spans="26:26" x14ac:dyDescent="0.2">
      <c r="Z23124" t="str">
        <f t="shared" si="361"/>
        <v/>
      </c>
    </row>
    <row r="23125" spans="26:26" x14ac:dyDescent="0.2">
      <c r="Z23125" t="str">
        <f t="shared" si="361"/>
        <v/>
      </c>
    </row>
    <row r="23126" spans="26:26" x14ac:dyDescent="0.2">
      <c r="Z23126" t="str">
        <f t="shared" si="361"/>
        <v/>
      </c>
    </row>
    <row r="23127" spans="26:26" x14ac:dyDescent="0.2">
      <c r="Z23127" t="str">
        <f t="shared" si="361"/>
        <v/>
      </c>
    </row>
    <row r="23128" spans="26:26" x14ac:dyDescent="0.2">
      <c r="Z23128" t="str">
        <f t="shared" si="361"/>
        <v/>
      </c>
    </row>
    <row r="23129" spans="26:26" x14ac:dyDescent="0.2">
      <c r="Z23129" t="str">
        <f t="shared" si="361"/>
        <v/>
      </c>
    </row>
    <row r="23130" spans="26:26" x14ac:dyDescent="0.2">
      <c r="Z23130" t="str">
        <f t="shared" si="361"/>
        <v/>
      </c>
    </row>
    <row r="23131" spans="26:26" x14ac:dyDescent="0.2">
      <c r="Z23131" t="str">
        <f t="shared" si="361"/>
        <v/>
      </c>
    </row>
    <row r="23132" spans="26:26" x14ac:dyDescent="0.2">
      <c r="Z23132" t="str">
        <f t="shared" si="361"/>
        <v/>
      </c>
    </row>
    <row r="23133" spans="26:26" x14ac:dyDescent="0.2">
      <c r="Z23133" t="str">
        <f t="shared" si="361"/>
        <v/>
      </c>
    </row>
    <row r="23134" spans="26:26" x14ac:dyDescent="0.2">
      <c r="Z23134" t="str">
        <f t="shared" si="361"/>
        <v/>
      </c>
    </row>
    <row r="23135" spans="26:26" x14ac:dyDescent="0.2">
      <c r="Z23135" t="str">
        <f t="shared" si="361"/>
        <v/>
      </c>
    </row>
    <row r="23136" spans="26:26" x14ac:dyDescent="0.2">
      <c r="Z23136" t="str">
        <f t="shared" si="361"/>
        <v/>
      </c>
    </row>
    <row r="23137" spans="26:26" x14ac:dyDescent="0.2">
      <c r="Z23137" t="str">
        <f t="shared" si="361"/>
        <v/>
      </c>
    </row>
    <row r="23138" spans="26:26" x14ac:dyDescent="0.2">
      <c r="Z23138" t="str">
        <f t="shared" si="361"/>
        <v/>
      </c>
    </row>
    <row r="23139" spans="26:26" x14ac:dyDescent="0.2">
      <c r="Z23139" t="str">
        <f t="shared" si="361"/>
        <v/>
      </c>
    </row>
    <row r="23140" spans="26:26" x14ac:dyDescent="0.2">
      <c r="Z23140" t="str">
        <f t="shared" si="361"/>
        <v/>
      </c>
    </row>
    <row r="23141" spans="26:26" x14ac:dyDescent="0.2">
      <c r="Z23141" t="str">
        <f t="shared" si="361"/>
        <v/>
      </c>
    </row>
    <row r="23142" spans="26:26" x14ac:dyDescent="0.2">
      <c r="Z23142" t="str">
        <f t="shared" si="361"/>
        <v/>
      </c>
    </row>
    <row r="23143" spans="26:26" x14ac:dyDescent="0.2">
      <c r="Z23143" t="str">
        <f t="shared" si="361"/>
        <v/>
      </c>
    </row>
    <row r="23144" spans="26:26" x14ac:dyDescent="0.2">
      <c r="Z23144" t="str">
        <f t="shared" si="361"/>
        <v/>
      </c>
    </row>
    <row r="23145" spans="26:26" x14ac:dyDescent="0.2">
      <c r="Z23145" t="str">
        <f t="shared" si="361"/>
        <v/>
      </c>
    </row>
    <row r="23146" spans="26:26" x14ac:dyDescent="0.2">
      <c r="Z23146" t="str">
        <f t="shared" si="361"/>
        <v/>
      </c>
    </row>
    <row r="23147" spans="26:26" x14ac:dyDescent="0.2">
      <c r="Z23147" t="str">
        <f t="shared" si="361"/>
        <v/>
      </c>
    </row>
    <row r="23148" spans="26:26" x14ac:dyDescent="0.2">
      <c r="Z23148" t="str">
        <f t="shared" si="361"/>
        <v/>
      </c>
    </row>
    <row r="23149" spans="26:26" x14ac:dyDescent="0.2">
      <c r="Z23149" t="str">
        <f t="shared" si="361"/>
        <v/>
      </c>
    </row>
    <row r="23150" spans="26:26" x14ac:dyDescent="0.2">
      <c r="Z23150" t="str">
        <f t="shared" si="361"/>
        <v/>
      </c>
    </row>
    <row r="23151" spans="26:26" x14ac:dyDescent="0.2">
      <c r="Z23151" t="str">
        <f t="shared" si="361"/>
        <v/>
      </c>
    </row>
    <row r="23152" spans="26:26" x14ac:dyDescent="0.2">
      <c r="Z23152" t="str">
        <f t="shared" si="361"/>
        <v/>
      </c>
    </row>
    <row r="23153" spans="26:26" x14ac:dyDescent="0.2">
      <c r="Z23153" t="str">
        <f t="shared" si="361"/>
        <v/>
      </c>
    </row>
    <row r="23154" spans="26:26" x14ac:dyDescent="0.2">
      <c r="Z23154" t="str">
        <f t="shared" si="361"/>
        <v/>
      </c>
    </row>
    <row r="23155" spans="26:26" x14ac:dyDescent="0.2">
      <c r="Z23155" t="str">
        <f t="shared" si="361"/>
        <v/>
      </c>
    </row>
    <row r="23156" spans="26:26" x14ac:dyDescent="0.2">
      <c r="Z23156" t="str">
        <f t="shared" si="361"/>
        <v/>
      </c>
    </row>
    <row r="23157" spans="26:26" x14ac:dyDescent="0.2">
      <c r="Z23157" t="str">
        <f t="shared" si="361"/>
        <v/>
      </c>
    </row>
    <row r="23158" spans="26:26" x14ac:dyDescent="0.2">
      <c r="Z23158" t="str">
        <f t="shared" si="361"/>
        <v/>
      </c>
    </row>
    <row r="23159" spans="26:26" x14ac:dyDescent="0.2">
      <c r="Z23159" t="str">
        <f t="shared" si="361"/>
        <v/>
      </c>
    </row>
    <row r="23160" spans="26:26" x14ac:dyDescent="0.2">
      <c r="Z23160" t="str">
        <f t="shared" si="361"/>
        <v/>
      </c>
    </row>
    <row r="23161" spans="26:26" x14ac:dyDescent="0.2">
      <c r="Z23161" t="str">
        <f t="shared" si="361"/>
        <v/>
      </c>
    </row>
    <row r="23162" spans="26:26" x14ac:dyDescent="0.2">
      <c r="Z23162" t="str">
        <f t="shared" si="361"/>
        <v/>
      </c>
    </row>
    <row r="23163" spans="26:26" x14ac:dyDescent="0.2">
      <c r="Z23163" t="str">
        <f t="shared" si="361"/>
        <v/>
      </c>
    </row>
    <row r="23164" spans="26:26" x14ac:dyDescent="0.2">
      <c r="Z23164" t="str">
        <f t="shared" si="361"/>
        <v/>
      </c>
    </row>
    <row r="23165" spans="26:26" x14ac:dyDescent="0.2">
      <c r="Z23165" t="str">
        <f t="shared" si="361"/>
        <v/>
      </c>
    </row>
    <row r="23166" spans="26:26" x14ac:dyDescent="0.2">
      <c r="Z23166" t="str">
        <f t="shared" si="361"/>
        <v/>
      </c>
    </row>
    <row r="23167" spans="26:26" x14ac:dyDescent="0.2">
      <c r="Z23167" t="str">
        <f t="shared" si="361"/>
        <v/>
      </c>
    </row>
    <row r="23168" spans="26:26" x14ac:dyDescent="0.2">
      <c r="Z23168" t="str">
        <f t="shared" si="361"/>
        <v/>
      </c>
    </row>
    <row r="23169" spans="26:26" x14ac:dyDescent="0.2">
      <c r="Z23169" t="str">
        <f t="shared" si="361"/>
        <v/>
      </c>
    </row>
    <row r="23170" spans="26:26" x14ac:dyDescent="0.2">
      <c r="Z23170" t="str">
        <f t="shared" si="361"/>
        <v/>
      </c>
    </row>
    <row r="23171" spans="26:26" x14ac:dyDescent="0.2">
      <c r="Z23171" t="str">
        <f t="shared" ref="Z23171:Z23234" si="362">IF(K23171="","",IFERROR(VALUE(TRIM(MID(K23171,FIND(CHAR(167),SUBSTITUTE(K23171,"-",CHAR(167),LEN(K23171)-LEN(SUBSTITUTE(K23171,"-",""))))+1,100))),K23171))</f>
        <v/>
      </c>
    </row>
    <row r="23172" spans="26:26" x14ac:dyDescent="0.2">
      <c r="Z23172" t="str">
        <f t="shared" si="362"/>
        <v/>
      </c>
    </row>
    <row r="23173" spans="26:26" x14ac:dyDescent="0.2">
      <c r="Z23173" t="str">
        <f t="shared" si="362"/>
        <v/>
      </c>
    </row>
    <row r="23174" spans="26:26" x14ac:dyDescent="0.2">
      <c r="Z23174" t="str">
        <f t="shared" si="362"/>
        <v/>
      </c>
    </row>
    <row r="23175" spans="26:26" x14ac:dyDescent="0.2">
      <c r="Z23175" t="str">
        <f t="shared" si="362"/>
        <v/>
      </c>
    </row>
    <row r="23176" spans="26:26" x14ac:dyDescent="0.2">
      <c r="Z23176" t="str">
        <f t="shared" si="362"/>
        <v/>
      </c>
    </row>
    <row r="23177" spans="26:26" x14ac:dyDescent="0.2">
      <c r="Z23177" t="str">
        <f t="shared" si="362"/>
        <v/>
      </c>
    </row>
    <row r="23178" spans="26:26" x14ac:dyDescent="0.2">
      <c r="Z23178" t="str">
        <f t="shared" si="362"/>
        <v/>
      </c>
    </row>
    <row r="23179" spans="26:26" x14ac:dyDescent="0.2">
      <c r="Z23179" t="str">
        <f t="shared" si="362"/>
        <v/>
      </c>
    </row>
    <row r="23180" spans="26:26" x14ac:dyDescent="0.2">
      <c r="Z23180" t="str">
        <f t="shared" si="362"/>
        <v/>
      </c>
    </row>
    <row r="23181" spans="26:26" x14ac:dyDescent="0.2">
      <c r="Z23181" t="str">
        <f t="shared" si="362"/>
        <v/>
      </c>
    </row>
    <row r="23182" spans="26:26" x14ac:dyDescent="0.2">
      <c r="Z23182" t="str">
        <f t="shared" si="362"/>
        <v/>
      </c>
    </row>
    <row r="23183" spans="26:26" x14ac:dyDescent="0.2">
      <c r="Z23183" t="str">
        <f t="shared" si="362"/>
        <v/>
      </c>
    </row>
    <row r="23184" spans="26:26" x14ac:dyDescent="0.2">
      <c r="Z23184" t="str">
        <f t="shared" si="362"/>
        <v/>
      </c>
    </row>
    <row r="23185" spans="26:26" x14ac:dyDescent="0.2">
      <c r="Z23185" t="str">
        <f t="shared" si="362"/>
        <v/>
      </c>
    </row>
    <row r="23186" spans="26:26" x14ac:dyDescent="0.2">
      <c r="Z23186" t="str">
        <f t="shared" si="362"/>
        <v/>
      </c>
    </row>
    <row r="23187" spans="26:26" x14ac:dyDescent="0.2">
      <c r="Z23187" t="str">
        <f t="shared" si="362"/>
        <v/>
      </c>
    </row>
    <row r="23188" spans="26:26" x14ac:dyDescent="0.2">
      <c r="Z23188" t="str">
        <f t="shared" si="362"/>
        <v/>
      </c>
    </row>
    <row r="23189" spans="26:26" x14ac:dyDescent="0.2">
      <c r="Z23189" t="str">
        <f t="shared" si="362"/>
        <v/>
      </c>
    </row>
    <row r="23190" spans="26:26" x14ac:dyDescent="0.2">
      <c r="Z23190" t="str">
        <f t="shared" si="362"/>
        <v/>
      </c>
    </row>
    <row r="23191" spans="26:26" x14ac:dyDescent="0.2">
      <c r="Z23191" t="str">
        <f t="shared" si="362"/>
        <v/>
      </c>
    </row>
    <row r="23192" spans="26:26" x14ac:dyDescent="0.2">
      <c r="Z23192" t="str">
        <f t="shared" si="362"/>
        <v/>
      </c>
    </row>
    <row r="23193" spans="26:26" x14ac:dyDescent="0.2">
      <c r="Z23193" t="str">
        <f t="shared" si="362"/>
        <v/>
      </c>
    </row>
    <row r="23194" spans="26:26" x14ac:dyDescent="0.2">
      <c r="Z23194" t="str">
        <f t="shared" si="362"/>
        <v/>
      </c>
    </row>
    <row r="23195" spans="26:26" x14ac:dyDescent="0.2">
      <c r="Z23195" t="str">
        <f t="shared" si="362"/>
        <v/>
      </c>
    </row>
    <row r="23196" spans="26:26" x14ac:dyDescent="0.2">
      <c r="Z23196" t="str">
        <f t="shared" si="362"/>
        <v/>
      </c>
    </row>
    <row r="23197" spans="26:26" x14ac:dyDescent="0.2">
      <c r="Z23197" t="str">
        <f t="shared" si="362"/>
        <v/>
      </c>
    </row>
    <row r="23198" spans="26:26" x14ac:dyDescent="0.2">
      <c r="Z23198" t="str">
        <f t="shared" si="362"/>
        <v/>
      </c>
    </row>
    <row r="23199" spans="26:26" x14ac:dyDescent="0.2">
      <c r="Z23199" t="str">
        <f t="shared" si="362"/>
        <v/>
      </c>
    </row>
    <row r="23200" spans="26:26" x14ac:dyDescent="0.2">
      <c r="Z23200" t="str">
        <f t="shared" si="362"/>
        <v/>
      </c>
    </row>
    <row r="23201" spans="26:26" x14ac:dyDescent="0.2">
      <c r="Z23201" t="str">
        <f t="shared" si="362"/>
        <v/>
      </c>
    </row>
    <row r="23202" spans="26:26" x14ac:dyDescent="0.2">
      <c r="Z23202" t="str">
        <f t="shared" si="362"/>
        <v/>
      </c>
    </row>
    <row r="23203" spans="26:26" x14ac:dyDescent="0.2">
      <c r="Z23203" t="str">
        <f t="shared" si="362"/>
        <v/>
      </c>
    </row>
    <row r="23204" spans="26:26" x14ac:dyDescent="0.2">
      <c r="Z23204" t="str">
        <f t="shared" si="362"/>
        <v/>
      </c>
    </row>
    <row r="23205" spans="26:26" x14ac:dyDescent="0.2">
      <c r="Z23205" t="str">
        <f t="shared" si="362"/>
        <v/>
      </c>
    </row>
    <row r="23206" spans="26:26" x14ac:dyDescent="0.2">
      <c r="Z23206" t="str">
        <f t="shared" si="362"/>
        <v/>
      </c>
    </row>
    <row r="23207" spans="26:26" x14ac:dyDescent="0.2">
      <c r="Z23207" t="str">
        <f t="shared" si="362"/>
        <v/>
      </c>
    </row>
    <row r="23208" spans="26:26" x14ac:dyDescent="0.2">
      <c r="Z23208" t="str">
        <f t="shared" si="362"/>
        <v/>
      </c>
    </row>
    <row r="23209" spans="26:26" x14ac:dyDescent="0.2">
      <c r="Z23209" t="str">
        <f t="shared" si="362"/>
        <v/>
      </c>
    </row>
    <row r="23210" spans="26:26" x14ac:dyDescent="0.2">
      <c r="Z23210" t="str">
        <f t="shared" si="362"/>
        <v/>
      </c>
    </row>
    <row r="23211" spans="26:26" x14ac:dyDescent="0.2">
      <c r="Z23211" t="str">
        <f t="shared" si="362"/>
        <v/>
      </c>
    </row>
    <row r="23212" spans="26:26" x14ac:dyDescent="0.2">
      <c r="Z23212" t="str">
        <f t="shared" si="362"/>
        <v/>
      </c>
    </row>
    <row r="23213" spans="26:26" x14ac:dyDescent="0.2">
      <c r="Z23213" t="str">
        <f t="shared" si="362"/>
        <v/>
      </c>
    </row>
    <row r="23214" spans="26:26" x14ac:dyDescent="0.2">
      <c r="Z23214" t="str">
        <f t="shared" si="362"/>
        <v/>
      </c>
    </row>
    <row r="23215" spans="26:26" x14ac:dyDescent="0.2">
      <c r="Z23215" t="str">
        <f t="shared" si="362"/>
        <v/>
      </c>
    </row>
    <row r="23216" spans="26:26" x14ac:dyDescent="0.2">
      <c r="Z23216" t="str">
        <f t="shared" si="362"/>
        <v/>
      </c>
    </row>
    <row r="23217" spans="26:26" x14ac:dyDescent="0.2">
      <c r="Z23217" t="str">
        <f t="shared" si="362"/>
        <v/>
      </c>
    </row>
    <row r="23218" spans="26:26" x14ac:dyDescent="0.2">
      <c r="Z23218" t="str">
        <f t="shared" si="362"/>
        <v/>
      </c>
    </row>
    <row r="23219" spans="26:26" x14ac:dyDescent="0.2">
      <c r="Z23219" t="str">
        <f t="shared" si="362"/>
        <v/>
      </c>
    </row>
    <row r="23220" spans="26:26" x14ac:dyDescent="0.2">
      <c r="Z23220" t="str">
        <f t="shared" si="362"/>
        <v/>
      </c>
    </row>
    <row r="23221" spans="26:26" x14ac:dyDescent="0.2">
      <c r="Z23221" t="str">
        <f t="shared" si="362"/>
        <v/>
      </c>
    </row>
    <row r="23222" spans="26:26" x14ac:dyDescent="0.2">
      <c r="Z23222" t="str">
        <f t="shared" si="362"/>
        <v/>
      </c>
    </row>
    <row r="23223" spans="26:26" x14ac:dyDescent="0.2">
      <c r="Z23223" t="str">
        <f t="shared" si="362"/>
        <v/>
      </c>
    </row>
    <row r="23224" spans="26:26" x14ac:dyDescent="0.2">
      <c r="Z23224" t="str">
        <f t="shared" si="362"/>
        <v/>
      </c>
    </row>
    <row r="23225" spans="26:26" x14ac:dyDescent="0.2">
      <c r="Z23225" t="str">
        <f t="shared" si="362"/>
        <v/>
      </c>
    </row>
    <row r="23226" spans="26:26" x14ac:dyDescent="0.2">
      <c r="Z23226" t="str">
        <f t="shared" si="362"/>
        <v/>
      </c>
    </row>
    <row r="23227" spans="26:26" x14ac:dyDescent="0.2">
      <c r="Z23227" t="str">
        <f t="shared" si="362"/>
        <v/>
      </c>
    </row>
    <row r="23228" spans="26:26" x14ac:dyDescent="0.2">
      <c r="Z23228" t="str">
        <f t="shared" si="362"/>
        <v/>
      </c>
    </row>
    <row r="23229" spans="26:26" x14ac:dyDescent="0.2">
      <c r="Z23229" t="str">
        <f t="shared" si="362"/>
        <v/>
      </c>
    </row>
    <row r="23230" spans="26:26" x14ac:dyDescent="0.2">
      <c r="Z23230" t="str">
        <f t="shared" si="362"/>
        <v/>
      </c>
    </row>
    <row r="23231" spans="26:26" x14ac:dyDescent="0.2">
      <c r="Z23231" t="str">
        <f t="shared" si="362"/>
        <v/>
      </c>
    </row>
    <row r="23232" spans="26:26" x14ac:dyDescent="0.2">
      <c r="Z23232" t="str">
        <f t="shared" si="362"/>
        <v/>
      </c>
    </row>
    <row r="23233" spans="26:26" x14ac:dyDescent="0.2">
      <c r="Z23233" t="str">
        <f t="shared" si="362"/>
        <v/>
      </c>
    </row>
    <row r="23234" spans="26:26" x14ac:dyDescent="0.2">
      <c r="Z23234" t="str">
        <f t="shared" si="362"/>
        <v/>
      </c>
    </row>
    <row r="23235" spans="26:26" x14ac:dyDescent="0.2">
      <c r="Z23235" t="str">
        <f t="shared" ref="Z23235:Z23298" si="363">IF(K23235="","",IFERROR(VALUE(TRIM(MID(K23235,FIND(CHAR(167),SUBSTITUTE(K23235,"-",CHAR(167),LEN(K23235)-LEN(SUBSTITUTE(K23235,"-",""))))+1,100))),K23235))</f>
        <v/>
      </c>
    </row>
    <row r="23236" spans="26:26" x14ac:dyDescent="0.2">
      <c r="Z23236" t="str">
        <f t="shared" si="363"/>
        <v/>
      </c>
    </row>
    <row r="23237" spans="26:26" x14ac:dyDescent="0.2">
      <c r="Z23237" t="str">
        <f t="shared" si="363"/>
        <v/>
      </c>
    </row>
    <row r="23238" spans="26:26" x14ac:dyDescent="0.2">
      <c r="Z23238" t="str">
        <f t="shared" si="363"/>
        <v/>
      </c>
    </row>
    <row r="23239" spans="26:26" x14ac:dyDescent="0.2">
      <c r="Z23239" t="str">
        <f t="shared" si="363"/>
        <v/>
      </c>
    </row>
    <row r="23240" spans="26:26" x14ac:dyDescent="0.2">
      <c r="Z23240" t="str">
        <f t="shared" si="363"/>
        <v/>
      </c>
    </row>
    <row r="23241" spans="26:26" x14ac:dyDescent="0.2">
      <c r="Z23241" t="str">
        <f t="shared" si="363"/>
        <v/>
      </c>
    </row>
    <row r="23242" spans="26:26" x14ac:dyDescent="0.2">
      <c r="Z23242" t="str">
        <f t="shared" si="363"/>
        <v/>
      </c>
    </row>
    <row r="23243" spans="26:26" x14ac:dyDescent="0.2">
      <c r="Z23243" t="str">
        <f t="shared" si="363"/>
        <v/>
      </c>
    </row>
    <row r="23244" spans="26:26" x14ac:dyDescent="0.2">
      <c r="Z23244" t="str">
        <f t="shared" si="363"/>
        <v/>
      </c>
    </row>
    <row r="23245" spans="26:26" x14ac:dyDescent="0.2">
      <c r="Z23245" t="str">
        <f t="shared" si="363"/>
        <v/>
      </c>
    </row>
    <row r="23246" spans="26:26" x14ac:dyDescent="0.2">
      <c r="Z23246" t="str">
        <f t="shared" si="363"/>
        <v/>
      </c>
    </row>
    <row r="23247" spans="26:26" x14ac:dyDescent="0.2">
      <c r="Z23247" t="str">
        <f t="shared" si="363"/>
        <v/>
      </c>
    </row>
    <row r="23248" spans="26:26" x14ac:dyDescent="0.2">
      <c r="Z23248" t="str">
        <f t="shared" si="363"/>
        <v/>
      </c>
    </row>
    <row r="23249" spans="26:26" x14ac:dyDescent="0.2">
      <c r="Z23249" t="str">
        <f t="shared" si="363"/>
        <v/>
      </c>
    </row>
    <row r="23250" spans="26:26" x14ac:dyDescent="0.2">
      <c r="Z23250" t="str">
        <f t="shared" si="363"/>
        <v/>
      </c>
    </row>
    <row r="23251" spans="26:26" x14ac:dyDescent="0.2">
      <c r="Z23251" t="str">
        <f t="shared" si="363"/>
        <v/>
      </c>
    </row>
    <row r="23252" spans="26:26" x14ac:dyDescent="0.2">
      <c r="Z23252" t="str">
        <f t="shared" si="363"/>
        <v/>
      </c>
    </row>
    <row r="23253" spans="26:26" x14ac:dyDescent="0.2">
      <c r="Z23253" t="str">
        <f t="shared" si="363"/>
        <v/>
      </c>
    </row>
    <row r="23254" spans="26:26" x14ac:dyDescent="0.2">
      <c r="Z23254" t="str">
        <f t="shared" si="363"/>
        <v/>
      </c>
    </row>
    <row r="23255" spans="26:26" x14ac:dyDescent="0.2">
      <c r="Z23255" t="str">
        <f t="shared" si="363"/>
        <v/>
      </c>
    </row>
    <row r="23256" spans="26:26" x14ac:dyDescent="0.2">
      <c r="Z23256" t="str">
        <f t="shared" si="363"/>
        <v/>
      </c>
    </row>
    <row r="23257" spans="26:26" x14ac:dyDescent="0.2">
      <c r="Z23257" t="str">
        <f t="shared" si="363"/>
        <v/>
      </c>
    </row>
    <row r="23258" spans="26:26" x14ac:dyDescent="0.2">
      <c r="Z23258" t="str">
        <f t="shared" si="363"/>
        <v/>
      </c>
    </row>
    <row r="23259" spans="26:26" x14ac:dyDescent="0.2">
      <c r="Z23259" t="str">
        <f t="shared" si="363"/>
        <v/>
      </c>
    </row>
    <row r="23260" spans="26:26" x14ac:dyDescent="0.2">
      <c r="Z23260" t="str">
        <f t="shared" si="363"/>
        <v/>
      </c>
    </row>
    <row r="23261" spans="26:26" x14ac:dyDescent="0.2">
      <c r="Z23261" t="str">
        <f t="shared" si="363"/>
        <v/>
      </c>
    </row>
    <row r="23262" spans="26:26" x14ac:dyDescent="0.2">
      <c r="Z23262" t="str">
        <f t="shared" si="363"/>
        <v/>
      </c>
    </row>
    <row r="23263" spans="26:26" x14ac:dyDescent="0.2">
      <c r="Z23263" t="str">
        <f t="shared" si="363"/>
        <v/>
      </c>
    </row>
    <row r="23264" spans="26:26" x14ac:dyDescent="0.2">
      <c r="Z23264" t="str">
        <f t="shared" si="363"/>
        <v/>
      </c>
    </row>
    <row r="23265" spans="26:26" x14ac:dyDescent="0.2">
      <c r="Z23265" t="str">
        <f t="shared" si="363"/>
        <v/>
      </c>
    </row>
    <row r="23266" spans="26:26" x14ac:dyDescent="0.2">
      <c r="Z23266" t="str">
        <f t="shared" si="363"/>
        <v/>
      </c>
    </row>
    <row r="23267" spans="26:26" x14ac:dyDescent="0.2">
      <c r="Z23267" t="str">
        <f t="shared" si="363"/>
        <v/>
      </c>
    </row>
    <row r="23268" spans="26:26" x14ac:dyDescent="0.2">
      <c r="Z23268" t="str">
        <f t="shared" si="363"/>
        <v/>
      </c>
    </row>
    <row r="23269" spans="26:26" x14ac:dyDescent="0.2">
      <c r="Z23269" t="str">
        <f t="shared" si="363"/>
        <v/>
      </c>
    </row>
    <row r="23270" spans="26:26" x14ac:dyDescent="0.2">
      <c r="Z23270" t="str">
        <f t="shared" si="363"/>
        <v/>
      </c>
    </row>
    <row r="23271" spans="26:26" x14ac:dyDescent="0.2">
      <c r="Z23271" t="str">
        <f t="shared" si="363"/>
        <v/>
      </c>
    </row>
    <row r="23272" spans="26:26" x14ac:dyDescent="0.2">
      <c r="Z23272" t="str">
        <f t="shared" si="363"/>
        <v/>
      </c>
    </row>
    <row r="23273" spans="26:26" x14ac:dyDescent="0.2">
      <c r="Z23273" t="str">
        <f t="shared" si="363"/>
        <v/>
      </c>
    </row>
    <row r="23274" spans="26:26" x14ac:dyDescent="0.2">
      <c r="Z23274" t="str">
        <f t="shared" si="363"/>
        <v/>
      </c>
    </row>
    <row r="23275" spans="26:26" x14ac:dyDescent="0.2">
      <c r="Z23275" t="str">
        <f t="shared" si="363"/>
        <v/>
      </c>
    </row>
    <row r="23276" spans="26:26" x14ac:dyDescent="0.2">
      <c r="Z23276" t="str">
        <f t="shared" si="363"/>
        <v/>
      </c>
    </row>
    <row r="23277" spans="26:26" x14ac:dyDescent="0.2">
      <c r="Z23277" t="str">
        <f t="shared" si="363"/>
        <v/>
      </c>
    </row>
    <row r="23278" spans="26:26" x14ac:dyDescent="0.2">
      <c r="Z23278" t="str">
        <f t="shared" si="363"/>
        <v/>
      </c>
    </row>
    <row r="23279" spans="26:26" x14ac:dyDescent="0.2">
      <c r="Z23279" t="str">
        <f t="shared" si="363"/>
        <v/>
      </c>
    </row>
    <row r="23280" spans="26:26" x14ac:dyDescent="0.2">
      <c r="Z23280" t="str">
        <f t="shared" si="363"/>
        <v/>
      </c>
    </row>
    <row r="23281" spans="26:26" x14ac:dyDescent="0.2">
      <c r="Z23281" t="str">
        <f t="shared" si="363"/>
        <v/>
      </c>
    </row>
    <row r="23282" spans="26:26" x14ac:dyDescent="0.2">
      <c r="Z23282" t="str">
        <f t="shared" si="363"/>
        <v/>
      </c>
    </row>
    <row r="23283" spans="26:26" x14ac:dyDescent="0.2">
      <c r="Z23283" t="str">
        <f t="shared" si="363"/>
        <v/>
      </c>
    </row>
    <row r="23284" spans="26:26" x14ac:dyDescent="0.2">
      <c r="Z23284" t="str">
        <f t="shared" si="363"/>
        <v/>
      </c>
    </row>
    <row r="23285" spans="26:26" x14ac:dyDescent="0.2">
      <c r="Z23285" t="str">
        <f t="shared" si="363"/>
        <v/>
      </c>
    </row>
    <row r="23286" spans="26:26" x14ac:dyDescent="0.2">
      <c r="Z23286" t="str">
        <f t="shared" si="363"/>
        <v/>
      </c>
    </row>
    <row r="23287" spans="26:26" x14ac:dyDescent="0.2">
      <c r="Z23287" t="str">
        <f t="shared" si="363"/>
        <v/>
      </c>
    </row>
    <row r="23288" spans="26:26" x14ac:dyDescent="0.2">
      <c r="Z23288" t="str">
        <f t="shared" si="363"/>
        <v/>
      </c>
    </row>
    <row r="23289" spans="26:26" x14ac:dyDescent="0.2">
      <c r="Z23289" t="str">
        <f t="shared" si="363"/>
        <v/>
      </c>
    </row>
    <row r="23290" spans="26:26" x14ac:dyDescent="0.2">
      <c r="Z23290" t="str">
        <f t="shared" si="363"/>
        <v/>
      </c>
    </row>
    <row r="23291" spans="26:26" x14ac:dyDescent="0.2">
      <c r="Z23291" t="str">
        <f t="shared" si="363"/>
        <v/>
      </c>
    </row>
    <row r="23292" spans="26:26" x14ac:dyDescent="0.2">
      <c r="Z23292" t="str">
        <f t="shared" si="363"/>
        <v/>
      </c>
    </row>
    <row r="23293" spans="26:26" x14ac:dyDescent="0.2">
      <c r="Z23293" t="str">
        <f t="shared" si="363"/>
        <v/>
      </c>
    </row>
    <row r="23294" spans="26:26" x14ac:dyDescent="0.2">
      <c r="Z23294" t="str">
        <f t="shared" si="363"/>
        <v/>
      </c>
    </row>
    <row r="23295" spans="26:26" x14ac:dyDescent="0.2">
      <c r="Z23295" t="str">
        <f t="shared" si="363"/>
        <v/>
      </c>
    </row>
    <row r="23296" spans="26:26" x14ac:dyDescent="0.2">
      <c r="Z23296" t="str">
        <f t="shared" si="363"/>
        <v/>
      </c>
    </row>
    <row r="23297" spans="26:26" x14ac:dyDescent="0.2">
      <c r="Z23297" t="str">
        <f t="shared" si="363"/>
        <v/>
      </c>
    </row>
    <row r="23298" spans="26:26" x14ac:dyDescent="0.2">
      <c r="Z23298" t="str">
        <f t="shared" si="363"/>
        <v/>
      </c>
    </row>
    <row r="23299" spans="26:26" x14ac:dyDescent="0.2">
      <c r="Z23299" t="str">
        <f t="shared" ref="Z23299:Z23362" si="364">IF(K23299="","",IFERROR(VALUE(TRIM(MID(K23299,FIND(CHAR(167),SUBSTITUTE(K23299,"-",CHAR(167),LEN(K23299)-LEN(SUBSTITUTE(K23299,"-",""))))+1,100))),K23299))</f>
        <v/>
      </c>
    </row>
    <row r="23300" spans="26:26" x14ac:dyDescent="0.2">
      <c r="Z23300" t="str">
        <f t="shared" si="364"/>
        <v/>
      </c>
    </row>
    <row r="23301" spans="26:26" x14ac:dyDescent="0.2">
      <c r="Z23301" t="str">
        <f t="shared" si="364"/>
        <v/>
      </c>
    </row>
    <row r="23302" spans="26:26" x14ac:dyDescent="0.2">
      <c r="Z23302" t="str">
        <f t="shared" si="364"/>
        <v/>
      </c>
    </row>
    <row r="23303" spans="26:26" x14ac:dyDescent="0.2">
      <c r="Z23303" t="str">
        <f t="shared" si="364"/>
        <v/>
      </c>
    </row>
    <row r="23304" spans="26:26" x14ac:dyDescent="0.2">
      <c r="Z23304" t="str">
        <f t="shared" si="364"/>
        <v/>
      </c>
    </row>
    <row r="23305" spans="26:26" x14ac:dyDescent="0.2">
      <c r="Z23305" t="str">
        <f t="shared" si="364"/>
        <v/>
      </c>
    </row>
    <row r="23306" spans="26:26" x14ac:dyDescent="0.2">
      <c r="Z23306" t="str">
        <f t="shared" si="364"/>
        <v/>
      </c>
    </row>
    <row r="23307" spans="26:26" x14ac:dyDescent="0.2">
      <c r="Z23307" t="str">
        <f t="shared" si="364"/>
        <v/>
      </c>
    </row>
    <row r="23308" spans="26:26" x14ac:dyDescent="0.2">
      <c r="Z23308" t="str">
        <f t="shared" si="364"/>
        <v/>
      </c>
    </row>
    <row r="23309" spans="26:26" x14ac:dyDescent="0.2">
      <c r="Z23309" t="str">
        <f t="shared" si="364"/>
        <v/>
      </c>
    </row>
    <row r="23310" spans="26:26" x14ac:dyDescent="0.2">
      <c r="Z23310" t="str">
        <f t="shared" si="364"/>
        <v/>
      </c>
    </row>
    <row r="23311" spans="26:26" x14ac:dyDescent="0.2">
      <c r="Z23311" t="str">
        <f t="shared" si="364"/>
        <v/>
      </c>
    </row>
    <row r="23312" spans="26:26" x14ac:dyDescent="0.2">
      <c r="Z23312" t="str">
        <f t="shared" si="364"/>
        <v/>
      </c>
    </row>
    <row r="23313" spans="26:26" x14ac:dyDescent="0.2">
      <c r="Z23313" t="str">
        <f t="shared" si="364"/>
        <v/>
      </c>
    </row>
    <row r="23314" spans="26:26" x14ac:dyDescent="0.2">
      <c r="Z23314" t="str">
        <f t="shared" si="364"/>
        <v/>
      </c>
    </row>
    <row r="23315" spans="26:26" x14ac:dyDescent="0.2">
      <c r="Z23315" t="str">
        <f t="shared" si="364"/>
        <v/>
      </c>
    </row>
    <row r="23316" spans="26:26" x14ac:dyDescent="0.2">
      <c r="Z23316" t="str">
        <f t="shared" si="364"/>
        <v/>
      </c>
    </row>
    <row r="23317" spans="26:26" x14ac:dyDescent="0.2">
      <c r="Z23317" t="str">
        <f t="shared" si="364"/>
        <v/>
      </c>
    </row>
    <row r="23318" spans="26:26" x14ac:dyDescent="0.2">
      <c r="Z23318" t="str">
        <f t="shared" si="364"/>
        <v/>
      </c>
    </row>
    <row r="23319" spans="26:26" x14ac:dyDescent="0.2">
      <c r="Z23319" t="str">
        <f t="shared" si="364"/>
        <v/>
      </c>
    </row>
    <row r="23320" spans="26:26" x14ac:dyDescent="0.2">
      <c r="Z23320" t="str">
        <f t="shared" si="364"/>
        <v/>
      </c>
    </row>
    <row r="23321" spans="26:26" x14ac:dyDescent="0.2">
      <c r="Z23321" t="str">
        <f t="shared" si="364"/>
        <v/>
      </c>
    </row>
    <row r="23322" spans="26:26" x14ac:dyDescent="0.2">
      <c r="Z23322" t="str">
        <f t="shared" si="364"/>
        <v/>
      </c>
    </row>
    <row r="23323" spans="26:26" x14ac:dyDescent="0.2">
      <c r="Z23323" t="str">
        <f t="shared" si="364"/>
        <v/>
      </c>
    </row>
    <row r="23324" spans="26:26" x14ac:dyDescent="0.2">
      <c r="Z23324" t="str">
        <f t="shared" si="364"/>
        <v/>
      </c>
    </row>
    <row r="23325" spans="26:26" x14ac:dyDescent="0.2">
      <c r="Z23325" t="str">
        <f t="shared" si="364"/>
        <v/>
      </c>
    </row>
    <row r="23326" spans="26:26" x14ac:dyDescent="0.2">
      <c r="Z23326" t="str">
        <f t="shared" si="364"/>
        <v/>
      </c>
    </row>
    <row r="23327" spans="26:26" x14ac:dyDescent="0.2">
      <c r="Z23327" t="str">
        <f t="shared" si="364"/>
        <v/>
      </c>
    </row>
    <row r="23328" spans="26:26" x14ac:dyDescent="0.2">
      <c r="Z23328" t="str">
        <f t="shared" si="364"/>
        <v/>
      </c>
    </row>
    <row r="23329" spans="26:26" x14ac:dyDescent="0.2">
      <c r="Z23329" t="str">
        <f t="shared" si="364"/>
        <v/>
      </c>
    </row>
    <row r="23330" spans="26:26" x14ac:dyDescent="0.2">
      <c r="Z23330" t="str">
        <f t="shared" si="364"/>
        <v/>
      </c>
    </row>
    <row r="23331" spans="26:26" x14ac:dyDescent="0.2">
      <c r="Z23331" t="str">
        <f t="shared" si="364"/>
        <v/>
      </c>
    </row>
    <row r="23332" spans="26:26" x14ac:dyDescent="0.2">
      <c r="Z23332" t="str">
        <f t="shared" si="364"/>
        <v/>
      </c>
    </row>
    <row r="23333" spans="26:26" x14ac:dyDescent="0.2">
      <c r="Z23333" t="str">
        <f t="shared" si="364"/>
        <v/>
      </c>
    </row>
    <row r="23334" spans="26:26" x14ac:dyDescent="0.2">
      <c r="Z23334" t="str">
        <f t="shared" si="364"/>
        <v/>
      </c>
    </row>
    <row r="23335" spans="26:26" x14ac:dyDescent="0.2">
      <c r="Z23335" t="str">
        <f t="shared" si="364"/>
        <v/>
      </c>
    </row>
    <row r="23336" spans="26:26" x14ac:dyDescent="0.2">
      <c r="Z23336" t="str">
        <f t="shared" si="364"/>
        <v/>
      </c>
    </row>
    <row r="23337" spans="26:26" x14ac:dyDescent="0.2">
      <c r="Z23337" t="str">
        <f t="shared" si="364"/>
        <v/>
      </c>
    </row>
    <row r="23338" spans="26:26" x14ac:dyDescent="0.2">
      <c r="Z23338" t="str">
        <f t="shared" si="364"/>
        <v/>
      </c>
    </row>
    <row r="23339" spans="26:26" x14ac:dyDescent="0.2">
      <c r="Z23339" t="str">
        <f t="shared" si="364"/>
        <v/>
      </c>
    </row>
    <row r="23340" spans="26:26" x14ac:dyDescent="0.2">
      <c r="Z23340" t="str">
        <f t="shared" si="364"/>
        <v/>
      </c>
    </row>
    <row r="23341" spans="26:26" x14ac:dyDescent="0.2">
      <c r="Z23341" t="str">
        <f t="shared" si="364"/>
        <v/>
      </c>
    </row>
    <row r="23342" spans="26:26" x14ac:dyDescent="0.2">
      <c r="Z23342" t="str">
        <f t="shared" si="364"/>
        <v/>
      </c>
    </row>
    <row r="23343" spans="26:26" x14ac:dyDescent="0.2">
      <c r="Z23343" t="str">
        <f t="shared" si="364"/>
        <v/>
      </c>
    </row>
    <row r="23344" spans="26:26" x14ac:dyDescent="0.2">
      <c r="Z23344" t="str">
        <f t="shared" si="364"/>
        <v/>
      </c>
    </row>
    <row r="23345" spans="26:26" x14ac:dyDescent="0.2">
      <c r="Z23345" t="str">
        <f t="shared" si="364"/>
        <v/>
      </c>
    </row>
    <row r="23346" spans="26:26" x14ac:dyDescent="0.2">
      <c r="Z23346" t="str">
        <f t="shared" si="364"/>
        <v/>
      </c>
    </row>
    <row r="23347" spans="26:26" x14ac:dyDescent="0.2">
      <c r="Z23347" t="str">
        <f t="shared" si="364"/>
        <v/>
      </c>
    </row>
    <row r="23348" spans="26:26" x14ac:dyDescent="0.2">
      <c r="Z23348" t="str">
        <f t="shared" si="364"/>
        <v/>
      </c>
    </row>
    <row r="23349" spans="26:26" x14ac:dyDescent="0.2">
      <c r="Z23349" t="str">
        <f t="shared" si="364"/>
        <v/>
      </c>
    </row>
    <row r="23350" spans="26:26" x14ac:dyDescent="0.2">
      <c r="Z23350" t="str">
        <f t="shared" si="364"/>
        <v/>
      </c>
    </row>
    <row r="23351" spans="26:26" x14ac:dyDescent="0.2">
      <c r="Z23351" t="str">
        <f t="shared" si="364"/>
        <v/>
      </c>
    </row>
    <row r="23352" spans="26:26" x14ac:dyDescent="0.2">
      <c r="Z23352" t="str">
        <f t="shared" si="364"/>
        <v/>
      </c>
    </row>
    <row r="23353" spans="26:26" x14ac:dyDescent="0.2">
      <c r="Z23353" t="str">
        <f t="shared" si="364"/>
        <v/>
      </c>
    </row>
    <row r="23354" spans="26:26" x14ac:dyDescent="0.2">
      <c r="Z23354" t="str">
        <f t="shared" si="364"/>
        <v/>
      </c>
    </row>
    <row r="23355" spans="26:26" x14ac:dyDescent="0.2">
      <c r="Z23355" t="str">
        <f t="shared" si="364"/>
        <v/>
      </c>
    </row>
    <row r="23356" spans="26:26" x14ac:dyDescent="0.2">
      <c r="Z23356" t="str">
        <f t="shared" si="364"/>
        <v/>
      </c>
    </row>
    <row r="23357" spans="26:26" x14ac:dyDescent="0.2">
      <c r="Z23357" t="str">
        <f t="shared" si="364"/>
        <v/>
      </c>
    </row>
    <row r="23358" spans="26:26" x14ac:dyDescent="0.2">
      <c r="Z23358" t="str">
        <f t="shared" si="364"/>
        <v/>
      </c>
    </row>
    <row r="23359" spans="26:26" x14ac:dyDescent="0.2">
      <c r="Z23359" t="str">
        <f t="shared" si="364"/>
        <v/>
      </c>
    </row>
    <row r="23360" spans="26:26" x14ac:dyDescent="0.2">
      <c r="Z23360" t="str">
        <f t="shared" si="364"/>
        <v/>
      </c>
    </row>
    <row r="23361" spans="26:26" x14ac:dyDescent="0.2">
      <c r="Z23361" t="str">
        <f t="shared" si="364"/>
        <v/>
      </c>
    </row>
    <row r="23362" spans="26:26" x14ac:dyDescent="0.2">
      <c r="Z23362" t="str">
        <f t="shared" si="364"/>
        <v/>
      </c>
    </row>
    <row r="23363" spans="26:26" x14ac:dyDescent="0.2">
      <c r="Z23363" t="str">
        <f t="shared" ref="Z23363:Z23426" si="365">IF(K23363="","",IFERROR(VALUE(TRIM(MID(K23363,FIND(CHAR(167),SUBSTITUTE(K23363,"-",CHAR(167),LEN(K23363)-LEN(SUBSTITUTE(K23363,"-",""))))+1,100))),K23363))</f>
        <v/>
      </c>
    </row>
    <row r="23364" spans="26:26" x14ac:dyDescent="0.2">
      <c r="Z23364" t="str">
        <f t="shared" si="365"/>
        <v/>
      </c>
    </row>
    <row r="23365" spans="26:26" x14ac:dyDescent="0.2">
      <c r="Z23365" t="str">
        <f t="shared" si="365"/>
        <v/>
      </c>
    </row>
    <row r="23366" spans="26:26" x14ac:dyDescent="0.2">
      <c r="Z23366" t="str">
        <f t="shared" si="365"/>
        <v/>
      </c>
    </row>
    <row r="23367" spans="26:26" x14ac:dyDescent="0.2">
      <c r="Z23367" t="str">
        <f t="shared" si="365"/>
        <v/>
      </c>
    </row>
    <row r="23368" spans="26:26" x14ac:dyDescent="0.2">
      <c r="Z23368" t="str">
        <f t="shared" si="365"/>
        <v/>
      </c>
    </row>
    <row r="23369" spans="26:26" x14ac:dyDescent="0.2">
      <c r="Z23369" t="str">
        <f t="shared" si="365"/>
        <v/>
      </c>
    </row>
    <row r="23370" spans="26:26" x14ac:dyDescent="0.2">
      <c r="Z23370" t="str">
        <f t="shared" si="365"/>
        <v/>
      </c>
    </row>
    <row r="23371" spans="26:26" x14ac:dyDescent="0.2">
      <c r="Z23371" t="str">
        <f t="shared" si="365"/>
        <v/>
      </c>
    </row>
    <row r="23372" spans="26:26" x14ac:dyDescent="0.2">
      <c r="Z23372" t="str">
        <f t="shared" si="365"/>
        <v/>
      </c>
    </row>
    <row r="23373" spans="26:26" x14ac:dyDescent="0.2">
      <c r="Z23373" t="str">
        <f t="shared" si="365"/>
        <v/>
      </c>
    </row>
    <row r="23374" spans="26:26" x14ac:dyDescent="0.2">
      <c r="Z23374" t="str">
        <f t="shared" si="365"/>
        <v/>
      </c>
    </row>
    <row r="23375" spans="26:26" x14ac:dyDescent="0.2">
      <c r="Z23375" t="str">
        <f t="shared" si="365"/>
        <v/>
      </c>
    </row>
    <row r="23376" spans="26:26" x14ac:dyDescent="0.2">
      <c r="Z23376" t="str">
        <f t="shared" si="365"/>
        <v/>
      </c>
    </row>
    <row r="23377" spans="26:26" x14ac:dyDescent="0.2">
      <c r="Z23377" t="str">
        <f t="shared" si="365"/>
        <v/>
      </c>
    </row>
    <row r="23378" spans="26:26" x14ac:dyDescent="0.2">
      <c r="Z23378" t="str">
        <f t="shared" si="365"/>
        <v/>
      </c>
    </row>
    <row r="23379" spans="26:26" x14ac:dyDescent="0.2">
      <c r="Z23379" t="str">
        <f t="shared" si="365"/>
        <v/>
      </c>
    </row>
    <row r="23380" spans="26:26" x14ac:dyDescent="0.2">
      <c r="Z23380" t="str">
        <f t="shared" si="365"/>
        <v/>
      </c>
    </row>
    <row r="23381" spans="26:26" x14ac:dyDescent="0.2">
      <c r="Z23381" t="str">
        <f t="shared" si="365"/>
        <v/>
      </c>
    </row>
    <row r="23382" spans="26:26" x14ac:dyDescent="0.2">
      <c r="Z23382" t="str">
        <f t="shared" si="365"/>
        <v/>
      </c>
    </row>
    <row r="23383" spans="26:26" x14ac:dyDescent="0.2">
      <c r="Z23383" t="str">
        <f t="shared" si="365"/>
        <v/>
      </c>
    </row>
    <row r="23384" spans="26:26" x14ac:dyDescent="0.2">
      <c r="Z23384" t="str">
        <f t="shared" si="365"/>
        <v/>
      </c>
    </row>
    <row r="23385" spans="26:26" x14ac:dyDescent="0.2">
      <c r="Z23385" t="str">
        <f t="shared" si="365"/>
        <v/>
      </c>
    </row>
    <row r="23386" spans="26:26" x14ac:dyDescent="0.2">
      <c r="Z23386" t="str">
        <f t="shared" si="365"/>
        <v/>
      </c>
    </row>
    <row r="23387" spans="26:26" x14ac:dyDescent="0.2">
      <c r="Z23387" t="str">
        <f t="shared" si="365"/>
        <v/>
      </c>
    </row>
    <row r="23388" spans="26:26" x14ac:dyDescent="0.2">
      <c r="Z23388" t="str">
        <f t="shared" si="365"/>
        <v/>
      </c>
    </row>
    <row r="23389" spans="26:26" x14ac:dyDescent="0.2">
      <c r="Z23389" t="str">
        <f t="shared" si="365"/>
        <v/>
      </c>
    </row>
    <row r="23390" spans="26:26" x14ac:dyDescent="0.2">
      <c r="Z23390" t="str">
        <f t="shared" si="365"/>
        <v/>
      </c>
    </row>
    <row r="23391" spans="26:26" x14ac:dyDescent="0.2">
      <c r="Z23391" t="str">
        <f t="shared" si="365"/>
        <v/>
      </c>
    </row>
    <row r="23392" spans="26:26" x14ac:dyDescent="0.2">
      <c r="Z23392" t="str">
        <f t="shared" si="365"/>
        <v/>
      </c>
    </row>
    <row r="23393" spans="26:26" x14ac:dyDescent="0.2">
      <c r="Z23393" t="str">
        <f t="shared" si="365"/>
        <v/>
      </c>
    </row>
    <row r="23394" spans="26:26" x14ac:dyDescent="0.2">
      <c r="Z23394" t="str">
        <f t="shared" si="365"/>
        <v/>
      </c>
    </row>
    <row r="23395" spans="26:26" x14ac:dyDescent="0.2">
      <c r="Z23395" t="str">
        <f t="shared" si="365"/>
        <v/>
      </c>
    </row>
    <row r="23396" spans="26:26" x14ac:dyDescent="0.2">
      <c r="Z23396" t="str">
        <f t="shared" si="365"/>
        <v/>
      </c>
    </row>
    <row r="23397" spans="26:26" x14ac:dyDescent="0.2">
      <c r="Z23397" t="str">
        <f t="shared" si="365"/>
        <v/>
      </c>
    </row>
    <row r="23398" spans="26:26" x14ac:dyDescent="0.2">
      <c r="Z23398" t="str">
        <f t="shared" si="365"/>
        <v/>
      </c>
    </row>
    <row r="23399" spans="26:26" x14ac:dyDescent="0.2">
      <c r="Z23399" t="str">
        <f t="shared" si="365"/>
        <v/>
      </c>
    </row>
    <row r="23400" spans="26:26" x14ac:dyDescent="0.2">
      <c r="Z23400" t="str">
        <f t="shared" si="365"/>
        <v/>
      </c>
    </row>
    <row r="23401" spans="26:26" x14ac:dyDescent="0.2">
      <c r="Z23401" t="str">
        <f t="shared" si="365"/>
        <v/>
      </c>
    </row>
    <row r="23402" spans="26:26" x14ac:dyDescent="0.2">
      <c r="Z23402" t="str">
        <f t="shared" si="365"/>
        <v/>
      </c>
    </row>
    <row r="23403" spans="26:26" x14ac:dyDescent="0.2">
      <c r="Z23403" t="str">
        <f t="shared" si="365"/>
        <v/>
      </c>
    </row>
    <row r="23404" spans="26:26" x14ac:dyDescent="0.2">
      <c r="Z23404" t="str">
        <f t="shared" si="365"/>
        <v/>
      </c>
    </row>
    <row r="23405" spans="26:26" x14ac:dyDescent="0.2">
      <c r="Z23405" t="str">
        <f t="shared" si="365"/>
        <v/>
      </c>
    </row>
    <row r="23406" spans="26:26" x14ac:dyDescent="0.2">
      <c r="Z23406" t="str">
        <f t="shared" si="365"/>
        <v/>
      </c>
    </row>
    <row r="23407" spans="26:26" x14ac:dyDescent="0.2">
      <c r="Z23407" t="str">
        <f t="shared" si="365"/>
        <v/>
      </c>
    </row>
    <row r="23408" spans="26:26" x14ac:dyDescent="0.2">
      <c r="Z23408" t="str">
        <f t="shared" si="365"/>
        <v/>
      </c>
    </row>
    <row r="23409" spans="26:26" x14ac:dyDescent="0.2">
      <c r="Z23409" t="str">
        <f t="shared" si="365"/>
        <v/>
      </c>
    </row>
    <row r="23410" spans="26:26" x14ac:dyDescent="0.2">
      <c r="Z23410" t="str">
        <f t="shared" si="365"/>
        <v/>
      </c>
    </row>
    <row r="23411" spans="26:26" x14ac:dyDescent="0.2">
      <c r="Z23411" t="str">
        <f t="shared" si="365"/>
        <v/>
      </c>
    </row>
    <row r="23412" spans="26:26" x14ac:dyDescent="0.2">
      <c r="Z23412" t="str">
        <f t="shared" si="365"/>
        <v/>
      </c>
    </row>
    <row r="23413" spans="26:26" x14ac:dyDescent="0.2">
      <c r="Z23413" t="str">
        <f t="shared" si="365"/>
        <v/>
      </c>
    </row>
    <row r="23414" spans="26:26" x14ac:dyDescent="0.2">
      <c r="Z23414" t="str">
        <f t="shared" si="365"/>
        <v/>
      </c>
    </row>
    <row r="23415" spans="26:26" x14ac:dyDescent="0.2">
      <c r="Z23415" t="str">
        <f t="shared" si="365"/>
        <v/>
      </c>
    </row>
    <row r="23416" spans="26:26" x14ac:dyDescent="0.2">
      <c r="Z23416" t="str">
        <f t="shared" si="365"/>
        <v/>
      </c>
    </row>
    <row r="23417" spans="26:26" x14ac:dyDescent="0.2">
      <c r="Z23417" t="str">
        <f t="shared" si="365"/>
        <v/>
      </c>
    </row>
    <row r="23418" spans="26:26" x14ac:dyDescent="0.2">
      <c r="Z23418" t="str">
        <f t="shared" si="365"/>
        <v/>
      </c>
    </row>
    <row r="23419" spans="26:26" x14ac:dyDescent="0.2">
      <c r="Z23419" t="str">
        <f t="shared" si="365"/>
        <v/>
      </c>
    </row>
    <row r="23420" spans="26:26" x14ac:dyDescent="0.2">
      <c r="Z23420" t="str">
        <f t="shared" si="365"/>
        <v/>
      </c>
    </row>
    <row r="23421" spans="26:26" x14ac:dyDescent="0.2">
      <c r="Z23421" t="str">
        <f t="shared" si="365"/>
        <v/>
      </c>
    </row>
    <row r="23422" spans="26:26" x14ac:dyDescent="0.2">
      <c r="Z23422" t="str">
        <f t="shared" si="365"/>
        <v/>
      </c>
    </row>
    <row r="23423" spans="26:26" x14ac:dyDescent="0.2">
      <c r="Z23423" t="str">
        <f t="shared" si="365"/>
        <v/>
      </c>
    </row>
    <row r="23424" spans="26:26" x14ac:dyDescent="0.2">
      <c r="Z23424" t="str">
        <f t="shared" si="365"/>
        <v/>
      </c>
    </row>
    <row r="23425" spans="26:26" x14ac:dyDescent="0.2">
      <c r="Z23425" t="str">
        <f t="shared" si="365"/>
        <v/>
      </c>
    </row>
    <row r="23426" spans="26:26" x14ac:dyDescent="0.2">
      <c r="Z23426" t="str">
        <f t="shared" si="365"/>
        <v/>
      </c>
    </row>
    <row r="23427" spans="26:26" x14ac:dyDescent="0.2">
      <c r="Z23427" t="str">
        <f t="shared" ref="Z23427:Z23490" si="366">IF(K23427="","",IFERROR(VALUE(TRIM(MID(K23427,FIND(CHAR(167),SUBSTITUTE(K23427,"-",CHAR(167),LEN(K23427)-LEN(SUBSTITUTE(K23427,"-",""))))+1,100))),K23427))</f>
        <v/>
      </c>
    </row>
    <row r="23428" spans="26:26" x14ac:dyDescent="0.2">
      <c r="Z23428" t="str">
        <f t="shared" si="366"/>
        <v/>
      </c>
    </row>
    <row r="23429" spans="26:26" x14ac:dyDescent="0.2">
      <c r="Z23429" t="str">
        <f t="shared" si="366"/>
        <v/>
      </c>
    </row>
    <row r="23430" spans="26:26" x14ac:dyDescent="0.2">
      <c r="Z23430" t="str">
        <f t="shared" si="366"/>
        <v/>
      </c>
    </row>
    <row r="23431" spans="26:26" x14ac:dyDescent="0.2">
      <c r="Z23431" t="str">
        <f t="shared" si="366"/>
        <v/>
      </c>
    </row>
    <row r="23432" spans="26:26" x14ac:dyDescent="0.2">
      <c r="Z23432" t="str">
        <f t="shared" si="366"/>
        <v/>
      </c>
    </row>
    <row r="23433" spans="26:26" x14ac:dyDescent="0.2">
      <c r="Z23433" t="str">
        <f t="shared" si="366"/>
        <v/>
      </c>
    </row>
    <row r="23434" spans="26:26" x14ac:dyDescent="0.2">
      <c r="Z23434" t="str">
        <f t="shared" si="366"/>
        <v/>
      </c>
    </row>
    <row r="23435" spans="26:26" x14ac:dyDescent="0.2">
      <c r="Z23435" t="str">
        <f t="shared" si="366"/>
        <v/>
      </c>
    </row>
    <row r="23436" spans="26:26" x14ac:dyDescent="0.2">
      <c r="Z23436" t="str">
        <f t="shared" si="366"/>
        <v/>
      </c>
    </row>
    <row r="23437" spans="26:26" x14ac:dyDescent="0.2">
      <c r="Z23437" t="str">
        <f t="shared" si="366"/>
        <v/>
      </c>
    </row>
    <row r="23438" spans="26:26" x14ac:dyDescent="0.2">
      <c r="Z23438" t="str">
        <f t="shared" si="366"/>
        <v/>
      </c>
    </row>
    <row r="23439" spans="26:26" x14ac:dyDescent="0.2">
      <c r="Z23439" t="str">
        <f t="shared" si="366"/>
        <v/>
      </c>
    </row>
    <row r="23440" spans="26:26" x14ac:dyDescent="0.2">
      <c r="Z23440" t="str">
        <f t="shared" si="366"/>
        <v/>
      </c>
    </row>
    <row r="23441" spans="26:26" x14ac:dyDescent="0.2">
      <c r="Z23441" t="str">
        <f t="shared" si="366"/>
        <v/>
      </c>
    </row>
    <row r="23442" spans="26:26" x14ac:dyDescent="0.2">
      <c r="Z23442" t="str">
        <f t="shared" si="366"/>
        <v/>
      </c>
    </row>
    <row r="23443" spans="26:26" x14ac:dyDescent="0.2">
      <c r="Z23443" t="str">
        <f t="shared" si="366"/>
        <v/>
      </c>
    </row>
    <row r="23444" spans="26:26" x14ac:dyDescent="0.2">
      <c r="Z23444" t="str">
        <f t="shared" si="366"/>
        <v/>
      </c>
    </row>
    <row r="23445" spans="26:26" x14ac:dyDescent="0.2">
      <c r="Z23445" t="str">
        <f t="shared" si="366"/>
        <v/>
      </c>
    </row>
    <row r="23446" spans="26:26" x14ac:dyDescent="0.2">
      <c r="Z23446" t="str">
        <f t="shared" si="366"/>
        <v/>
      </c>
    </row>
    <row r="23447" spans="26:26" x14ac:dyDescent="0.2">
      <c r="Z23447" t="str">
        <f t="shared" si="366"/>
        <v/>
      </c>
    </row>
    <row r="23448" spans="26:26" x14ac:dyDescent="0.2">
      <c r="Z23448" t="str">
        <f t="shared" si="366"/>
        <v/>
      </c>
    </row>
    <row r="23449" spans="26:26" x14ac:dyDescent="0.2">
      <c r="Z23449" t="str">
        <f t="shared" si="366"/>
        <v/>
      </c>
    </row>
    <row r="23450" spans="26:26" x14ac:dyDescent="0.2">
      <c r="Z23450" t="str">
        <f t="shared" si="366"/>
        <v/>
      </c>
    </row>
    <row r="23451" spans="26:26" x14ac:dyDescent="0.2">
      <c r="Z23451" t="str">
        <f t="shared" si="366"/>
        <v/>
      </c>
    </row>
    <row r="23452" spans="26:26" x14ac:dyDescent="0.2">
      <c r="Z23452" t="str">
        <f t="shared" si="366"/>
        <v/>
      </c>
    </row>
    <row r="23453" spans="26:26" x14ac:dyDescent="0.2">
      <c r="Z23453" t="str">
        <f t="shared" si="366"/>
        <v/>
      </c>
    </row>
    <row r="23454" spans="26:26" x14ac:dyDescent="0.2">
      <c r="Z23454" t="str">
        <f t="shared" si="366"/>
        <v/>
      </c>
    </row>
    <row r="23455" spans="26:26" x14ac:dyDescent="0.2">
      <c r="Z23455" t="str">
        <f t="shared" si="366"/>
        <v/>
      </c>
    </row>
    <row r="23456" spans="26:26" x14ac:dyDescent="0.2">
      <c r="Z23456" t="str">
        <f t="shared" si="366"/>
        <v/>
      </c>
    </row>
    <row r="23457" spans="26:26" x14ac:dyDescent="0.2">
      <c r="Z23457" t="str">
        <f t="shared" si="366"/>
        <v/>
      </c>
    </row>
    <row r="23458" spans="26:26" x14ac:dyDescent="0.2">
      <c r="Z23458" t="str">
        <f t="shared" si="366"/>
        <v/>
      </c>
    </row>
    <row r="23459" spans="26:26" x14ac:dyDescent="0.2">
      <c r="Z23459" t="str">
        <f t="shared" si="366"/>
        <v/>
      </c>
    </row>
    <row r="23460" spans="26:26" x14ac:dyDescent="0.2">
      <c r="Z23460" t="str">
        <f t="shared" si="366"/>
        <v/>
      </c>
    </row>
    <row r="23461" spans="26:26" x14ac:dyDescent="0.2">
      <c r="Z23461" t="str">
        <f t="shared" si="366"/>
        <v/>
      </c>
    </row>
    <row r="23462" spans="26:26" x14ac:dyDescent="0.2">
      <c r="Z23462" t="str">
        <f t="shared" si="366"/>
        <v/>
      </c>
    </row>
    <row r="23463" spans="26:26" x14ac:dyDescent="0.2">
      <c r="Z23463" t="str">
        <f t="shared" si="366"/>
        <v/>
      </c>
    </row>
    <row r="23464" spans="26:26" x14ac:dyDescent="0.2">
      <c r="Z23464" t="str">
        <f t="shared" si="366"/>
        <v/>
      </c>
    </row>
    <row r="23465" spans="26:26" x14ac:dyDescent="0.2">
      <c r="Z23465" t="str">
        <f t="shared" si="366"/>
        <v/>
      </c>
    </row>
    <row r="23466" spans="26:26" x14ac:dyDescent="0.2">
      <c r="Z23466" t="str">
        <f t="shared" si="366"/>
        <v/>
      </c>
    </row>
    <row r="23467" spans="26:26" x14ac:dyDescent="0.2">
      <c r="Z23467" t="str">
        <f t="shared" si="366"/>
        <v/>
      </c>
    </row>
    <row r="23468" spans="26:26" x14ac:dyDescent="0.2">
      <c r="Z23468" t="str">
        <f t="shared" si="366"/>
        <v/>
      </c>
    </row>
    <row r="23469" spans="26:26" x14ac:dyDescent="0.2">
      <c r="Z23469" t="str">
        <f t="shared" si="366"/>
        <v/>
      </c>
    </row>
    <row r="23470" spans="26:26" x14ac:dyDescent="0.2">
      <c r="Z23470" t="str">
        <f t="shared" si="366"/>
        <v/>
      </c>
    </row>
    <row r="23471" spans="26:26" x14ac:dyDescent="0.2">
      <c r="Z23471" t="str">
        <f t="shared" si="366"/>
        <v/>
      </c>
    </row>
    <row r="23472" spans="26:26" x14ac:dyDescent="0.2">
      <c r="Z23472" t="str">
        <f t="shared" si="366"/>
        <v/>
      </c>
    </row>
    <row r="23473" spans="26:26" x14ac:dyDescent="0.2">
      <c r="Z23473" t="str">
        <f t="shared" si="366"/>
        <v/>
      </c>
    </row>
    <row r="23474" spans="26:26" x14ac:dyDescent="0.2">
      <c r="Z23474" t="str">
        <f t="shared" si="366"/>
        <v/>
      </c>
    </row>
    <row r="23475" spans="26:26" x14ac:dyDescent="0.2">
      <c r="Z23475" t="str">
        <f t="shared" si="366"/>
        <v/>
      </c>
    </row>
    <row r="23476" spans="26:26" x14ac:dyDescent="0.2">
      <c r="Z23476" t="str">
        <f t="shared" si="366"/>
        <v/>
      </c>
    </row>
    <row r="23477" spans="26:26" x14ac:dyDescent="0.2">
      <c r="Z23477" t="str">
        <f t="shared" si="366"/>
        <v/>
      </c>
    </row>
    <row r="23478" spans="26:26" x14ac:dyDescent="0.2">
      <c r="Z23478" t="str">
        <f t="shared" si="366"/>
        <v/>
      </c>
    </row>
    <row r="23479" spans="26:26" x14ac:dyDescent="0.2">
      <c r="Z23479" t="str">
        <f t="shared" si="366"/>
        <v/>
      </c>
    </row>
    <row r="23480" spans="26:26" x14ac:dyDescent="0.2">
      <c r="Z23480" t="str">
        <f t="shared" si="366"/>
        <v/>
      </c>
    </row>
    <row r="23481" spans="26:26" x14ac:dyDescent="0.2">
      <c r="Z23481" t="str">
        <f t="shared" si="366"/>
        <v/>
      </c>
    </row>
    <row r="23482" spans="26:26" x14ac:dyDescent="0.2">
      <c r="Z23482" t="str">
        <f t="shared" si="366"/>
        <v/>
      </c>
    </row>
    <row r="23483" spans="26:26" x14ac:dyDescent="0.2">
      <c r="Z23483" t="str">
        <f t="shared" si="366"/>
        <v/>
      </c>
    </row>
    <row r="23484" spans="26:26" x14ac:dyDescent="0.2">
      <c r="Z23484" t="str">
        <f t="shared" si="366"/>
        <v/>
      </c>
    </row>
    <row r="23485" spans="26:26" x14ac:dyDescent="0.2">
      <c r="Z23485" t="str">
        <f t="shared" si="366"/>
        <v/>
      </c>
    </row>
    <row r="23486" spans="26:26" x14ac:dyDescent="0.2">
      <c r="Z23486" t="str">
        <f t="shared" si="366"/>
        <v/>
      </c>
    </row>
    <row r="23487" spans="26:26" x14ac:dyDescent="0.2">
      <c r="Z23487" t="str">
        <f t="shared" si="366"/>
        <v/>
      </c>
    </row>
    <row r="23488" spans="26:26" x14ac:dyDescent="0.2">
      <c r="Z23488" t="str">
        <f t="shared" si="366"/>
        <v/>
      </c>
    </row>
    <row r="23489" spans="26:26" x14ac:dyDescent="0.2">
      <c r="Z23489" t="str">
        <f t="shared" si="366"/>
        <v/>
      </c>
    </row>
    <row r="23490" spans="26:26" x14ac:dyDescent="0.2">
      <c r="Z23490" t="str">
        <f t="shared" si="366"/>
        <v/>
      </c>
    </row>
    <row r="23491" spans="26:26" x14ac:dyDescent="0.2">
      <c r="Z23491" t="str">
        <f t="shared" ref="Z23491:Z23554" si="367">IF(K23491="","",IFERROR(VALUE(TRIM(MID(K23491,FIND(CHAR(167),SUBSTITUTE(K23491,"-",CHAR(167),LEN(K23491)-LEN(SUBSTITUTE(K23491,"-",""))))+1,100))),K23491))</f>
        <v/>
      </c>
    </row>
    <row r="23492" spans="26:26" x14ac:dyDescent="0.2">
      <c r="Z23492" t="str">
        <f t="shared" si="367"/>
        <v/>
      </c>
    </row>
    <row r="23493" spans="26:26" x14ac:dyDescent="0.2">
      <c r="Z23493" t="str">
        <f t="shared" si="367"/>
        <v/>
      </c>
    </row>
    <row r="23494" spans="26:26" x14ac:dyDescent="0.2">
      <c r="Z23494" t="str">
        <f t="shared" si="367"/>
        <v/>
      </c>
    </row>
    <row r="23495" spans="26:26" x14ac:dyDescent="0.2">
      <c r="Z23495" t="str">
        <f t="shared" si="367"/>
        <v/>
      </c>
    </row>
    <row r="23496" spans="26:26" x14ac:dyDescent="0.2">
      <c r="Z23496" t="str">
        <f t="shared" si="367"/>
        <v/>
      </c>
    </row>
    <row r="23497" spans="26:26" x14ac:dyDescent="0.2">
      <c r="Z23497" t="str">
        <f t="shared" si="367"/>
        <v/>
      </c>
    </row>
    <row r="23498" spans="26:26" x14ac:dyDescent="0.2">
      <c r="Z23498" t="str">
        <f t="shared" si="367"/>
        <v/>
      </c>
    </row>
    <row r="23499" spans="26:26" x14ac:dyDescent="0.2">
      <c r="Z23499" t="str">
        <f t="shared" si="367"/>
        <v/>
      </c>
    </row>
    <row r="23500" spans="26:26" x14ac:dyDescent="0.2">
      <c r="Z23500" t="str">
        <f t="shared" si="367"/>
        <v/>
      </c>
    </row>
    <row r="23501" spans="26:26" x14ac:dyDescent="0.2">
      <c r="Z23501" t="str">
        <f t="shared" si="367"/>
        <v/>
      </c>
    </row>
    <row r="23502" spans="26:26" x14ac:dyDescent="0.2">
      <c r="Z23502" t="str">
        <f t="shared" si="367"/>
        <v/>
      </c>
    </row>
    <row r="23503" spans="26:26" x14ac:dyDescent="0.2">
      <c r="Z23503" t="str">
        <f t="shared" si="367"/>
        <v/>
      </c>
    </row>
    <row r="23504" spans="26:26" x14ac:dyDescent="0.2">
      <c r="Z23504" t="str">
        <f t="shared" si="367"/>
        <v/>
      </c>
    </row>
    <row r="23505" spans="26:26" x14ac:dyDescent="0.2">
      <c r="Z23505" t="str">
        <f t="shared" si="367"/>
        <v/>
      </c>
    </row>
    <row r="23506" spans="26:26" x14ac:dyDescent="0.2">
      <c r="Z23506" t="str">
        <f t="shared" si="367"/>
        <v/>
      </c>
    </row>
    <row r="23507" spans="26:26" x14ac:dyDescent="0.2">
      <c r="Z23507" t="str">
        <f t="shared" si="367"/>
        <v/>
      </c>
    </row>
    <row r="23508" spans="26:26" x14ac:dyDescent="0.2">
      <c r="Z23508" t="str">
        <f t="shared" si="367"/>
        <v/>
      </c>
    </row>
    <row r="23509" spans="26:26" x14ac:dyDescent="0.2">
      <c r="Z23509" t="str">
        <f t="shared" si="367"/>
        <v/>
      </c>
    </row>
    <row r="23510" spans="26:26" x14ac:dyDescent="0.2">
      <c r="Z23510" t="str">
        <f t="shared" si="367"/>
        <v/>
      </c>
    </row>
    <row r="23511" spans="26:26" x14ac:dyDescent="0.2">
      <c r="Z23511" t="str">
        <f t="shared" si="367"/>
        <v/>
      </c>
    </row>
    <row r="23512" spans="26:26" x14ac:dyDescent="0.2">
      <c r="Z23512" t="str">
        <f t="shared" si="367"/>
        <v/>
      </c>
    </row>
    <row r="23513" spans="26:26" x14ac:dyDescent="0.2">
      <c r="Z23513" t="str">
        <f t="shared" si="367"/>
        <v/>
      </c>
    </row>
    <row r="23514" spans="26:26" x14ac:dyDescent="0.2">
      <c r="Z23514" t="str">
        <f t="shared" si="367"/>
        <v/>
      </c>
    </row>
    <row r="23515" spans="26:26" x14ac:dyDescent="0.2">
      <c r="Z23515" t="str">
        <f t="shared" si="367"/>
        <v/>
      </c>
    </row>
    <row r="23516" spans="26:26" x14ac:dyDescent="0.2">
      <c r="Z23516" t="str">
        <f t="shared" si="367"/>
        <v/>
      </c>
    </row>
    <row r="23517" spans="26:26" x14ac:dyDescent="0.2">
      <c r="Z23517" t="str">
        <f t="shared" si="367"/>
        <v/>
      </c>
    </row>
    <row r="23518" spans="26:26" x14ac:dyDescent="0.2">
      <c r="Z23518" t="str">
        <f t="shared" si="367"/>
        <v/>
      </c>
    </row>
    <row r="23519" spans="26:26" x14ac:dyDescent="0.2">
      <c r="Z23519" t="str">
        <f t="shared" si="367"/>
        <v/>
      </c>
    </row>
    <row r="23520" spans="26:26" x14ac:dyDescent="0.2">
      <c r="Z23520" t="str">
        <f t="shared" si="367"/>
        <v/>
      </c>
    </row>
    <row r="23521" spans="26:26" x14ac:dyDescent="0.2">
      <c r="Z23521" t="str">
        <f t="shared" si="367"/>
        <v/>
      </c>
    </row>
    <row r="23522" spans="26:26" x14ac:dyDescent="0.2">
      <c r="Z23522" t="str">
        <f t="shared" si="367"/>
        <v/>
      </c>
    </row>
    <row r="23523" spans="26:26" x14ac:dyDescent="0.2">
      <c r="Z23523" t="str">
        <f t="shared" si="367"/>
        <v/>
      </c>
    </row>
    <row r="23524" spans="26:26" x14ac:dyDescent="0.2">
      <c r="Z23524" t="str">
        <f t="shared" si="367"/>
        <v/>
      </c>
    </row>
    <row r="23525" spans="26:26" x14ac:dyDescent="0.2">
      <c r="Z23525" t="str">
        <f t="shared" si="367"/>
        <v/>
      </c>
    </row>
    <row r="23526" spans="26:26" x14ac:dyDescent="0.2">
      <c r="Z23526" t="str">
        <f t="shared" si="367"/>
        <v/>
      </c>
    </row>
    <row r="23527" spans="26:26" x14ac:dyDescent="0.2">
      <c r="Z23527" t="str">
        <f t="shared" si="367"/>
        <v/>
      </c>
    </row>
    <row r="23528" spans="26:26" x14ac:dyDescent="0.2">
      <c r="Z23528" t="str">
        <f t="shared" si="367"/>
        <v/>
      </c>
    </row>
    <row r="23529" spans="26:26" x14ac:dyDescent="0.2">
      <c r="Z23529" t="str">
        <f t="shared" si="367"/>
        <v/>
      </c>
    </row>
    <row r="23530" spans="26:26" x14ac:dyDescent="0.2">
      <c r="Z23530" t="str">
        <f t="shared" si="367"/>
        <v/>
      </c>
    </row>
    <row r="23531" spans="26:26" x14ac:dyDescent="0.2">
      <c r="Z23531" t="str">
        <f t="shared" si="367"/>
        <v/>
      </c>
    </row>
    <row r="23532" spans="26:26" x14ac:dyDescent="0.2">
      <c r="Z23532" t="str">
        <f t="shared" si="367"/>
        <v/>
      </c>
    </row>
    <row r="23533" spans="26:26" x14ac:dyDescent="0.2">
      <c r="Z23533" t="str">
        <f t="shared" si="367"/>
        <v/>
      </c>
    </row>
    <row r="23534" spans="26:26" x14ac:dyDescent="0.2">
      <c r="Z23534" t="str">
        <f t="shared" si="367"/>
        <v/>
      </c>
    </row>
    <row r="23535" spans="26:26" x14ac:dyDescent="0.2">
      <c r="Z23535" t="str">
        <f t="shared" si="367"/>
        <v/>
      </c>
    </row>
    <row r="23536" spans="26:26" x14ac:dyDescent="0.2">
      <c r="Z23536" t="str">
        <f t="shared" si="367"/>
        <v/>
      </c>
    </row>
    <row r="23537" spans="26:26" x14ac:dyDescent="0.2">
      <c r="Z23537" t="str">
        <f t="shared" si="367"/>
        <v/>
      </c>
    </row>
    <row r="23538" spans="26:26" x14ac:dyDescent="0.2">
      <c r="Z23538" t="str">
        <f t="shared" si="367"/>
        <v/>
      </c>
    </row>
    <row r="23539" spans="26:26" x14ac:dyDescent="0.2">
      <c r="Z23539" t="str">
        <f t="shared" si="367"/>
        <v/>
      </c>
    </row>
    <row r="23540" spans="26:26" x14ac:dyDescent="0.2">
      <c r="Z23540" t="str">
        <f t="shared" si="367"/>
        <v/>
      </c>
    </row>
    <row r="23541" spans="26:26" x14ac:dyDescent="0.2">
      <c r="Z23541" t="str">
        <f t="shared" si="367"/>
        <v/>
      </c>
    </row>
    <row r="23542" spans="26:26" x14ac:dyDescent="0.2">
      <c r="Z23542" t="str">
        <f t="shared" si="367"/>
        <v/>
      </c>
    </row>
    <row r="23543" spans="26:26" x14ac:dyDescent="0.2">
      <c r="Z23543" t="str">
        <f t="shared" si="367"/>
        <v/>
      </c>
    </row>
    <row r="23544" spans="26:26" x14ac:dyDescent="0.2">
      <c r="Z23544" t="str">
        <f t="shared" si="367"/>
        <v/>
      </c>
    </row>
    <row r="23545" spans="26:26" x14ac:dyDescent="0.2">
      <c r="Z23545" t="str">
        <f t="shared" si="367"/>
        <v/>
      </c>
    </row>
    <row r="23546" spans="26:26" x14ac:dyDescent="0.2">
      <c r="Z23546" t="str">
        <f t="shared" si="367"/>
        <v/>
      </c>
    </row>
    <row r="23547" spans="26:26" x14ac:dyDescent="0.2">
      <c r="Z23547" t="str">
        <f t="shared" si="367"/>
        <v/>
      </c>
    </row>
    <row r="23548" spans="26:26" x14ac:dyDescent="0.2">
      <c r="Z23548" t="str">
        <f t="shared" si="367"/>
        <v/>
      </c>
    </row>
    <row r="23549" spans="26:26" x14ac:dyDescent="0.2">
      <c r="Z23549" t="str">
        <f t="shared" si="367"/>
        <v/>
      </c>
    </row>
    <row r="23550" spans="26:26" x14ac:dyDescent="0.2">
      <c r="Z23550" t="str">
        <f t="shared" si="367"/>
        <v/>
      </c>
    </row>
    <row r="23551" spans="26:26" x14ac:dyDescent="0.2">
      <c r="Z23551" t="str">
        <f t="shared" si="367"/>
        <v/>
      </c>
    </row>
    <row r="23552" spans="26:26" x14ac:dyDescent="0.2">
      <c r="Z23552" t="str">
        <f t="shared" si="367"/>
        <v/>
      </c>
    </row>
    <row r="23553" spans="26:26" x14ac:dyDescent="0.2">
      <c r="Z23553" t="str">
        <f t="shared" si="367"/>
        <v/>
      </c>
    </row>
    <row r="23554" spans="26:26" x14ac:dyDescent="0.2">
      <c r="Z23554" t="str">
        <f t="shared" si="367"/>
        <v/>
      </c>
    </row>
    <row r="23555" spans="26:26" x14ac:dyDescent="0.2">
      <c r="Z23555" t="str">
        <f t="shared" ref="Z23555:Z23618" si="368">IF(K23555="","",IFERROR(VALUE(TRIM(MID(K23555,FIND(CHAR(167),SUBSTITUTE(K23555,"-",CHAR(167),LEN(K23555)-LEN(SUBSTITUTE(K23555,"-",""))))+1,100))),K23555))</f>
        <v/>
      </c>
    </row>
    <row r="23556" spans="26:26" x14ac:dyDescent="0.2">
      <c r="Z23556" t="str">
        <f t="shared" si="368"/>
        <v/>
      </c>
    </row>
    <row r="23557" spans="26:26" x14ac:dyDescent="0.2">
      <c r="Z23557" t="str">
        <f t="shared" si="368"/>
        <v/>
      </c>
    </row>
    <row r="23558" spans="26:26" x14ac:dyDescent="0.2">
      <c r="Z23558" t="str">
        <f t="shared" si="368"/>
        <v/>
      </c>
    </row>
    <row r="23559" spans="26:26" x14ac:dyDescent="0.2">
      <c r="Z23559" t="str">
        <f t="shared" si="368"/>
        <v/>
      </c>
    </row>
    <row r="23560" spans="26:26" x14ac:dyDescent="0.2">
      <c r="Z23560" t="str">
        <f t="shared" si="368"/>
        <v/>
      </c>
    </row>
    <row r="23561" spans="26:26" x14ac:dyDescent="0.2">
      <c r="Z23561" t="str">
        <f t="shared" si="368"/>
        <v/>
      </c>
    </row>
    <row r="23562" spans="26:26" x14ac:dyDescent="0.2">
      <c r="Z23562" t="str">
        <f t="shared" si="368"/>
        <v/>
      </c>
    </row>
    <row r="23563" spans="26:26" x14ac:dyDescent="0.2">
      <c r="Z23563" t="str">
        <f t="shared" si="368"/>
        <v/>
      </c>
    </row>
    <row r="23564" spans="26:26" x14ac:dyDescent="0.2">
      <c r="Z23564" t="str">
        <f t="shared" si="368"/>
        <v/>
      </c>
    </row>
    <row r="23565" spans="26:26" x14ac:dyDescent="0.2">
      <c r="Z23565" t="str">
        <f t="shared" si="368"/>
        <v/>
      </c>
    </row>
    <row r="23566" spans="26:26" x14ac:dyDescent="0.2">
      <c r="Z23566" t="str">
        <f t="shared" si="368"/>
        <v/>
      </c>
    </row>
    <row r="23567" spans="26:26" x14ac:dyDescent="0.2">
      <c r="Z23567" t="str">
        <f t="shared" si="368"/>
        <v/>
      </c>
    </row>
    <row r="23568" spans="26:26" x14ac:dyDescent="0.2">
      <c r="Z23568" t="str">
        <f t="shared" si="368"/>
        <v/>
      </c>
    </row>
    <row r="23569" spans="26:26" x14ac:dyDescent="0.2">
      <c r="Z23569" t="str">
        <f t="shared" si="368"/>
        <v/>
      </c>
    </row>
    <row r="23570" spans="26:26" x14ac:dyDescent="0.2">
      <c r="Z23570" t="str">
        <f t="shared" si="368"/>
        <v/>
      </c>
    </row>
    <row r="23571" spans="26:26" x14ac:dyDescent="0.2">
      <c r="Z23571" t="str">
        <f t="shared" si="368"/>
        <v/>
      </c>
    </row>
    <row r="23572" spans="26:26" x14ac:dyDescent="0.2">
      <c r="Z23572" t="str">
        <f t="shared" si="368"/>
        <v/>
      </c>
    </row>
    <row r="23573" spans="26:26" x14ac:dyDescent="0.2">
      <c r="Z23573" t="str">
        <f t="shared" si="368"/>
        <v/>
      </c>
    </row>
    <row r="23574" spans="26:26" x14ac:dyDescent="0.2">
      <c r="Z23574" t="str">
        <f t="shared" si="368"/>
        <v/>
      </c>
    </row>
    <row r="23575" spans="26:26" x14ac:dyDescent="0.2">
      <c r="Z23575" t="str">
        <f t="shared" si="368"/>
        <v/>
      </c>
    </row>
    <row r="23576" spans="26:26" x14ac:dyDescent="0.2">
      <c r="Z23576" t="str">
        <f t="shared" si="368"/>
        <v/>
      </c>
    </row>
    <row r="23577" spans="26:26" x14ac:dyDescent="0.2">
      <c r="Z23577" t="str">
        <f t="shared" si="368"/>
        <v/>
      </c>
    </row>
    <row r="23578" spans="26:26" x14ac:dyDescent="0.2">
      <c r="Z23578" t="str">
        <f t="shared" si="368"/>
        <v/>
      </c>
    </row>
    <row r="23579" spans="26:26" x14ac:dyDescent="0.2">
      <c r="Z23579" t="str">
        <f t="shared" si="368"/>
        <v/>
      </c>
    </row>
    <row r="23580" spans="26:26" x14ac:dyDescent="0.2">
      <c r="Z23580" t="str">
        <f t="shared" si="368"/>
        <v/>
      </c>
    </row>
    <row r="23581" spans="26:26" x14ac:dyDescent="0.2">
      <c r="Z23581" t="str">
        <f t="shared" si="368"/>
        <v/>
      </c>
    </row>
    <row r="23582" spans="26:26" x14ac:dyDescent="0.2">
      <c r="Z23582" t="str">
        <f t="shared" si="368"/>
        <v/>
      </c>
    </row>
    <row r="23583" spans="26:26" x14ac:dyDescent="0.2">
      <c r="Z23583" t="str">
        <f t="shared" si="368"/>
        <v/>
      </c>
    </row>
    <row r="23584" spans="26:26" x14ac:dyDescent="0.2">
      <c r="Z23584" t="str">
        <f t="shared" si="368"/>
        <v/>
      </c>
    </row>
    <row r="23585" spans="26:26" x14ac:dyDescent="0.2">
      <c r="Z23585" t="str">
        <f t="shared" si="368"/>
        <v/>
      </c>
    </row>
    <row r="23586" spans="26:26" x14ac:dyDescent="0.2">
      <c r="Z23586" t="str">
        <f t="shared" si="368"/>
        <v/>
      </c>
    </row>
    <row r="23587" spans="26:26" x14ac:dyDescent="0.2">
      <c r="Z23587" t="str">
        <f t="shared" si="368"/>
        <v/>
      </c>
    </row>
    <row r="23588" spans="26:26" x14ac:dyDescent="0.2">
      <c r="Z23588" t="str">
        <f t="shared" si="368"/>
        <v/>
      </c>
    </row>
    <row r="23589" spans="26:26" x14ac:dyDescent="0.2">
      <c r="Z23589" t="str">
        <f t="shared" si="368"/>
        <v/>
      </c>
    </row>
    <row r="23590" spans="26:26" x14ac:dyDescent="0.2">
      <c r="Z23590" t="str">
        <f t="shared" si="368"/>
        <v/>
      </c>
    </row>
    <row r="23591" spans="26:26" x14ac:dyDescent="0.2">
      <c r="Z23591" t="str">
        <f t="shared" si="368"/>
        <v/>
      </c>
    </row>
    <row r="23592" spans="26:26" x14ac:dyDescent="0.2">
      <c r="Z23592" t="str">
        <f t="shared" si="368"/>
        <v/>
      </c>
    </row>
    <row r="23593" spans="26:26" x14ac:dyDescent="0.2">
      <c r="Z23593" t="str">
        <f t="shared" si="368"/>
        <v/>
      </c>
    </row>
    <row r="23594" spans="26:26" x14ac:dyDescent="0.2">
      <c r="Z23594" t="str">
        <f t="shared" si="368"/>
        <v/>
      </c>
    </row>
    <row r="23595" spans="26:26" x14ac:dyDescent="0.2">
      <c r="Z23595" t="str">
        <f t="shared" si="368"/>
        <v/>
      </c>
    </row>
    <row r="23596" spans="26:26" x14ac:dyDescent="0.2">
      <c r="Z23596" t="str">
        <f t="shared" si="368"/>
        <v/>
      </c>
    </row>
    <row r="23597" spans="26:26" x14ac:dyDescent="0.2">
      <c r="Z23597" t="str">
        <f t="shared" si="368"/>
        <v/>
      </c>
    </row>
    <row r="23598" spans="26:26" x14ac:dyDescent="0.2">
      <c r="Z23598" t="str">
        <f t="shared" si="368"/>
        <v/>
      </c>
    </row>
    <row r="23599" spans="26:26" x14ac:dyDescent="0.2">
      <c r="Z23599" t="str">
        <f t="shared" si="368"/>
        <v/>
      </c>
    </row>
    <row r="23600" spans="26:26" x14ac:dyDescent="0.2">
      <c r="Z23600" t="str">
        <f t="shared" si="368"/>
        <v/>
      </c>
    </row>
    <row r="23601" spans="26:26" x14ac:dyDescent="0.2">
      <c r="Z23601" t="str">
        <f t="shared" si="368"/>
        <v/>
      </c>
    </row>
    <row r="23602" spans="26:26" x14ac:dyDescent="0.2">
      <c r="Z23602" t="str">
        <f t="shared" si="368"/>
        <v/>
      </c>
    </row>
    <row r="23603" spans="26:26" x14ac:dyDescent="0.2">
      <c r="Z23603" t="str">
        <f t="shared" si="368"/>
        <v/>
      </c>
    </row>
    <row r="23604" spans="26:26" x14ac:dyDescent="0.2">
      <c r="Z23604" t="str">
        <f t="shared" si="368"/>
        <v/>
      </c>
    </row>
    <row r="23605" spans="26:26" x14ac:dyDescent="0.2">
      <c r="Z23605" t="str">
        <f t="shared" si="368"/>
        <v/>
      </c>
    </row>
    <row r="23606" spans="26:26" x14ac:dyDescent="0.2">
      <c r="Z23606" t="str">
        <f t="shared" si="368"/>
        <v/>
      </c>
    </row>
    <row r="23607" spans="26:26" x14ac:dyDescent="0.2">
      <c r="Z23607" t="str">
        <f t="shared" si="368"/>
        <v/>
      </c>
    </row>
    <row r="23608" spans="26:26" x14ac:dyDescent="0.2">
      <c r="Z23608" t="str">
        <f t="shared" si="368"/>
        <v/>
      </c>
    </row>
    <row r="23609" spans="26:26" x14ac:dyDescent="0.2">
      <c r="Z23609" t="str">
        <f t="shared" si="368"/>
        <v/>
      </c>
    </row>
    <row r="23610" spans="26:26" x14ac:dyDescent="0.2">
      <c r="Z23610" t="str">
        <f t="shared" si="368"/>
        <v/>
      </c>
    </row>
    <row r="23611" spans="26:26" x14ac:dyDescent="0.2">
      <c r="Z23611" t="str">
        <f t="shared" si="368"/>
        <v/>
      </c>
    </row>
    <row r="23612" spans="26:26" x14ac:dyDescent="0.2">
      <c r="Z23612" t="str">
        <f t="shared" si="368"/>
        <v/>
      </c>
    </row>
    <row r="23613" spans="26:26" x14ac:dyDescent="0.2">
      <c r="Z23613" t="str">
        <f t="shared" si="368"/>
        <v/>
      </c>
    </row>
    <row r="23614" spans="26:26" x14ac:dyDescent="0.2">
      <c r="Z23614" t="str">
        <f t="shared" si="368"/>
        <v/>
      </c>
    </row>
    <row r="23615" spans="26:26" x14ac:dyDescent="0.2">
      <c r="Z23615" t="str">
        <f t="shared" si="368"/>
        <v/>
      </c>
    </row>
    <row r="23616" spans="26:26" x14ac:dyDescent="0.2">
      <c r="Z23616" t="str">
        <f t="shared" si="368"/>
        <v/>
      </c>
    </row>
    <row r="23617" spans="26:26" x14ac:dyDescent="0.2">
      <c r="Z23617" t="str">
        <f t="shared" si="368"/>
        <v/>
      </c>
    </row>
    <row r="23618" spans="26:26" x14ac:dyDescent="0.2">
      <c r="Z23618" t="str">
        <f t="shared" si="368"/>
        <v/>
      </c>
    </row>
    <row r="23619" spans="26:26" x14ac:dyDescent="0.2">
      <c r="Z23619" t="str">
        <f t="shared" ref="Z23619:Z23682" si="369">IF(K23619="","",IFERROR(VALUE(TRIM(MID(K23619,FIND(CHAR(167),SUBSTITUTE(K23619,"-",CHAR(167),LEN(K23619)-LEN(SUBSTITUTE(K23619,"-",""))))+1,100))),K23619))</f>
        <v/>
      </c>
    </row>
    <row r="23620" spans="26:26" x14ac:dyDescent="0.2">
      <c r="Z23620" t="str">
        <f t="shared" si="369"/>
        <v/>
      </c>
    </row>
    <row r="23621" spans="26:26" x14ac:dyDescent="0.2">
      <c r="Z23621" t="str">
        <f t="shared" si="369"/>
        <v/>
      </c>
    </row>
    <row r="23622" spans="26:26" x14ac:dyDescent="0.2">
      <c r="Z23622" t="str">
        <f t="shared" si="369"/>
        <v/>
      </c>
    </row>
    <row r="23623" spans="26:26" x14ac:dyDescent="0.2">
      <c r="Z23623" t="str">
        <f t="shared" si="369"/>
        <v/>
      </c>
    </row>
    <row r="23624" spans="26:26" x14ac:dyDescent="0.2">
      <c r="Z23624" t="str">
        <f t="shared" si="369"/>
        <v/>
      </c>
    </row>
    <row r="23625" spans="26:26" x14ac:dyDescent="0.2">
      <c r="Z23625" t="str">
        <f t="shared" si="369"/>
        <v/>
      </c>
    </row>
    <row r="23626" spans="26:26" x14ac:dyDescent="0.2">
      <c r="Z23626" t="str">
        <f t="shared" si="369"/>
        <v/>
      </c>
    </row>
    <row r="23627" spans="26:26" x14ac:dyDescent="0.2">
      <c r="Z23627" t="str">
        <f t="shared" si="369"/>
        <v/>
      </c>
    </row>
    <row r="23628" spans="26:26" x14ac:dyDescent="0.2">
      <c r="Z23628" t="str">
        <f t="shared" si="369"/>
        <v/>
      </c>
    </row>
    <row r="23629" spans="26:26" x14ac:dyDescent="0.2">
      <c r="Z23629" t="str">
        <f t="shared" si="369"/>
        <v/>
      </c>
    </row>
    <row r="23630" spans="26:26" x14ac:dyDescent="0.2">
      <c r="Z23630" t="str">
        <f t="shared" si="369"/>
        <v/>
      </c>
    </row>
    <row r="23631" spans="26:26" x14ac:dyDescent="0.2">
      <c r="Z23631" t="str">
        <f t="shared" si="369"/>
        <v/>
      </c>
    </row>
    <row r="23632" spans="26:26" x14ac:dyDescent="0.2">
      <c r="Z23632" t="str">
        <f t="shared" si="369"/>
        <v/>
      </c>
    </row>
    <row r="23633" spans="26:26" x14ac:dyDescent="0.2">
      <c r="Z23633" t="str">
        <f t="shared" si="369"/>
        <v/>
      </c>
    </row>
    <row r="23634" spans="26:26" x14ac:dyDescent="0.2">
      <c r="Z23634" t="str">
        <f t="shared" si="369"/>
        <v/>
      </c>
    </row>
    <row r="23635" spans="26:26" x14ac:dyDescent="0.2">
      <c r="Z23635" t="str">
        <f t="shared" si="369"/>
        <v/>
      </c>
    </row>
    <row r="23636" spans="26:26" x14ac:dyDescent="0.2">
      <c r="Z23636" t="str">
        <f t="shared" si="369"/>
        <v/>
      </c>
    </row>
    <row r="23637" spans="26:26" x14ac:dyDescent="0.2">
      <c r="Z23637" t="str">
        <f t="shared" si="369"/>
        <v/>
      </c>
    </row>
    <row r="23638" spans="26:26" x14ac:dyDescent="0.2">
      <c r="Z23638" t="str">
        <f t="shared" si="369"/>
        <v/>
      </c>
    </row>
    <row r="23639" spans="26:26" x14ac:dyDescent="0.2">
      <c r="Z23639" t="str">
        <f t="shared" si="369"/>
        <v/>
      </c>
    </row>
    <row r="23640" spans="26:26" x14ac:dyDescent="0.2">
      <c r="Z23640" t="str">
        <f t="shared" si="369"/>
        <v/>
      </c>
    </row>
    <row r="23641" spans="26:26" x14ac:dyDescent="0.2">
      <c r="Z23641" t="str">
        <f t="shared" si="369"/>
        <v/>
      </c>
    </row>
    <row r="23642" spans="26:26" x14ac:dyDescent="0.2">
      <c r="Z23642" t="str">
        <f t="shared" si="369"/>
        <v/>
      </c>
    </row>
    <row r="23643" spans="26:26" x14ac:dyDescent="0.2">
      <c r="Z23643" t="str">
        <f t="shared" si="369"/>
        <v/>
      </c>
    </row>
    <row r="23644" spans="26:26" x14ac:dyDescent="0.2">
      <c r="Z23644" t="str">
        <f t="shared" si="369"/>
        <v/>
      </c>
    </row>
    <row r="23645" spans="26:26" x14ac:dyDescent="0.2">
      <c r="Z23645" t="str">
        <f t="shared" si="369"/>
        <v/>
      </c>
    </row>
    <row r="23646" spans="26:26" x14ac:dyDescent="0.2">
      <c r="Z23646" t="str">
        <f t="shared" si="369"/>
        <v/>
      </c>
    </row>
    <row r="23647" spans="26:26" x14ac:dyDescent="0.2">
      <c r="Z23647" t="str">
        <f t="shared" si="369"/>
        <v/>
      </c>
    </row>
    <row r="23648" spans="26:26" x14ac:dyDescent="0.2">
      <c r="Z23648" t="str">
        <f t="shared" si="369"/>
        <v/>
      </c>
    </row>
    <row r="23649" spans="26:26" x14ac:dyDescent="0.2">
      <c r="Z23649" t="str">
        <f t="shared" si="369"/>
        <v/>
      </c>
    </row>
    <row r="23650" spans="26:26" x14ac:dyDescent="0.2">
      <c r="Z23650" t="str">
        <f t="shared" si="369"/>
        <v/>
      </c>
    </row>
    <row r="23651" spans="26:26" x14ac:dyDescent="0.2">
      <c r="Z23651" t="str">
        <f t="shared" si="369"/>
        <v/>
      </c>
    </row>
    <row r="23652" spans="26:26" x14ac:dyDescent="0.2">
      <c r="Z23652" t="str">
        <f t="shared" si="369"/>
        <v/>
      </c>
    </row>
    <row r="23653" spans="26:26" x14ac:dyDescent="0.2">
      <c r="Z23653" t="str">
        <f t="shared" si="369"/>
        <v/>
      </c>
    </row>
    <row r="23654" spans="26:26" x14ac:dyDescent="0.2">
      <c r="Z23654" t="str">
        <f t="shared" si="369"/>
        <v/>
      </c>
    </row>
    <row r="23655" spans="26:26" x14ac:dyDescent="0.2">
      <c r="Z23655" t="str">
        <f t="shared" si="369"/>
        <v/>
      </c>
    </row>
    <row r="23656" spans="26:26" x14ac:dyDescent="0.2">
      <c r="Z23656" t="str">
        <f t="shared" si="369"/>
        <v/>
      </c>
    </row>
    <row r="23657" spans="26:26" x14ac:dyDescent="0.2">
      <c r="Z23657" t="str">
        <f t="shared" si="369"/>
        <v/>
      </c>
    </row>
    <row r="23658" spans="26:26" x14ac:dyDescent="0.2">
      <c r="Z23658" t="str">
        <f t="shared" si="369"/>
        <v/>
      </c>
    </row>
    <row r="23659" spans="26:26" x14ac:dyDescent="0.2">
      <c r="Z23659" t="str">
        <f t="shared" si="369"/>
        <v/>
      </c>
    </row>
    <row r="23660" spans="26:26" x14ac:dyDescent="0.2">
      <c r="Z23660" t="str">
        <f t="shared" si="369"/>
        <v/>
      </c>
    </row>
    <row r="23661" spans="26:26" x14ac:dyDescent="0.2">
      <c r="Z23661" t="str">
        <f t="shared" si="369"/>
        <v/>
      </c>
    </row>
    <row r="23662" spans="26:26" x14ac:dyDescent="0.2">
      <c r="Z23662" t="str">
        <f t="shared" si="369"/>
        <v/>
      </c>
    </row>
    <row r="23663" spans="26:26" x14ac:dyDescent="0.2">
      <c r="Z23663" t="str">
        <f t="shared" si="369"/>
        <v/>
      </c>
    </row>
    <row r="23664" spans="26:26" x14ac:dyDescent="0.2">
      <c r="Z23664" t="str">
        <f t="shared" si="369"/>
        <v/>
      </c>
    </row>
    <row r="23665" spans="26:26" x14ac:dyDescent="0.2">
      <c r="Z23665" t="str">
        <f t="shared" si="369"/>
        <v/>
      </c>
    </row>
    <row r="23666" spans="26:26" x14ac:dyDescent="0.2">
      <c r="Z23666" t="str">
        <f t="shared" si="369"/>
        <v/>
      </c>
    </row>
    <row r="23667" spans="26:26" x14ac:dyDescent="0.2">
      <c r="Z23667" t="str">
        <f t="shared" si="369"/>
        <v/>
      </c>
    </row>
    <row r="23668" spans="26:26" x14ac:dyDescent="0.2">
      <c r="Z23668" t="str">
        <f t="shared" si="369"/>
        <v/>
      </c>
    </row>
    <row r="23669" spans="26:26" x14ac:dyDescent="0.2">
      <c r="Z23669" t="str">
        <f t="shared" si="369"/>
        <v/>
      </c>
    </row>
    <row r="23670" spans="26:26" x14ac:dyDescent="0.2">
      <c r="Z23670" t="str">
        <f t="shared" si="369"/>
        <v/>
      </c>
    </row>
    <row r="23671" spans="26:26" x14ac:dyDescent="0.2">
      <c r="Z23671" t="str">
        <f t="shared" si="369"/>
        <v/>
      </c>
    </row>
    <row r="23672" spans="26:26" x14ac:dyDescent="0.2">
      <c r="Z23672" t="str">
        <f t="shared" si="369"/>
        <v/>
      </c>
    </row>
    <row r="23673" spans="26:26" x14ac:dyDescent="0.2">
      <c r="Z23673" t="str">
        <f t="shared" si="369"/>
        <v/>
      </c>
    </row>
    <row r="23674" spans="26:26" x14ac:dyDescent="0.2">
      <c r="Z23674" t="str">
        <f t="shared" si="369"/>
        <v/>
      </c>
    </row>
    <row r="23675" spans="26:26" x14ac:dyDescent="0.2">
      <c r="Z23675" t="str">
        <f t="shared" si="369"/>
        <v/>
      </c>
    </row>
    <row r="23676" spans="26:26" x14ac:dyDescent="0.2">
      <c r="Z23676" t="str">
        <f t="shared" si="369"/>
        <v/>
      </c>
    </row>
    <row r="23677" spans="26:26" x14ac:dyDescent="0.2">
      <c r="Z23677" t="str">
        <f t="shared" si="369"/>
        <v/>
      </c>
    </row>
    <row r="23678" spans="26:26" x14ac:dyDescent="0.2">
      <c r="Z23678" t="str">
        <f t="shared" si="369"/>
        <v/>
      </c>
    </row>
    <row r="23679" spans="26:26" x14ac:dyDescent="0.2">
      <c r="Z23679" t="str">
        <f t="shared" si="369"/>
        <v/>
      </c>
    </row>
    <row r="23680" spans="26:26" x14ac:dyDescent="0.2">
      <c r="Z23680" t="str">
        <f t="shared" si="369"/>
        <v/>
      </c>
    </row>
    <row r="23681" spans="26:26" x14ac:dyDescent="0.2">
      <c r="Z23681" t="str">
        <f t="shared" si="369"/>
        <v/>
      </c>
    </row>
    <row r="23682" spans="26:26" x14ac:dyDescent="0.2">
      <c r="Z23682" t="str">
        <f t="shared" si="369"/>
        <v/>
      </c>
    </row>
    <row r="23683" spans="26:26" x14ac:dyDescent="0.2">
      <c r="Z23683" t="str">
        <f t="shared" ref="Z23683:Z23746" si="370">IF(K23683="","",IFERROR(VALUE(TRIM(MID(K23683,FIND(CHAR(167),SUBSTITUTE(K23683,"-",CHAR(167),LEN(K23683)-LEN(SUBSTITUTE(K23683,"-",""))))+1,100))),K23683))</f>
        <v/>
      </c>
    </row>
    <row r="23684" spans="26:26" x14ac:dyDescent="0.2">
      <c r="Z23684" t="str">
        <f t="shared" si="370"/>
        <v/>
      </c>
    </row>
    <row r="23685" spans="26:26" x14ac:dyDescent="0.2">
      <c r="Z23685" t="str">
        <f t="shared" si="370"/>
        <v/>
      </c>
    </row>
    <row r="23686" spans="26:26" x14ac:dyDescent="0.2">
      <c r="Z23686" t="str">
        <f t="shared" si="370"/>
        <v/>
      </c>
    </row>
    <row r="23687" spans="26:26" x14ac:dyDescent="0.2">
      <c r="Z23687" t="str">
        <f t="shared" si="370"/>
        <v/>
      </c>
    </row>
    <row r="23688" spans="26:26" x14ac:dyDescent="0.2">
      <c r="Z23688" t="str">
        <f t="shared" si="370"/>
        <v/>
      </c>
    </row>
    <row r="23689" spans="26:26" x14ac:dyDescent="0.2">
      <c r="Z23689" t="str">
        <f t="shared" si="370"/>
        <v/>
      </c>
    </row>
    <row r="23690" spans="26:26" x14ac:dyDescent="0.2">
      <c r="Z23690" t="str">
        <f t="shared" si="370"/>
        <v/>
      </c>
    </row>
    <row r="23691" spans="26:26" x14ac:dyDescent="0.2">
      <c r="Z23691" t="str">
        <f t="shared" si="370"/>
        <v/>
      </c>
    </row>
    <row r="23692" spans="26:26" x14ac:dyDescent="0.2">
      <c r="Z23692" t="str">
        <f t="shared" si="370"/>
        <v/>
      </c>
    </row>
    <row r="23693" spans="26:26" x14ac:dyDescent="0.2">
      <c r="Z23693" t="str">
        <f t="shared" si="370"/>
        <v/>
      </c>
    </row>
    <row r="23694" spans="26:26" x14ac:dyDescent="0.2">
      <c r="Z23694" t="str">
        <f t="shared" si="370"/>
        <v/>
      </c>
    </row>
    <row r="23695" spans="26:26" x14ac:dyDescent="0.2">
      <c r="Z23695" t="str">
        <f t="shared" si="370"/>
        <v/>
      </c>
    </row>
    <row r="23696" spans="26:26" x14ac:dyDescent="0.2">
      <c r="Z23696" t="str">
        <f t="shared" si="370"/>
        <v/>
      </c>
    </row>
    <row r="23697" spans="26:26" x14ac:dyDescent="0.2">
      <c r="Z23697" t="str">
        <f t="shared" si="370"/>
        <v/>
      </c>
    </row>
    <row r="23698" spans="26:26" x14ac:dyDescent="0.2">
      <c r="Z23698" t="str">
        <f t="shared" si="370"/>
        <v/>
      </c>
    </row>
    <row r="23699" spans="26:26" x14ac:dyDescent="0.2">
      <c r="Z23699" t="str">
        <f t="shared" si="370"/>
        <v/>
      </c>
    </row>
    <row r="23700" spans="26:26" x14ac:dyDescent="0.2">
      <c r="Z23700" t="str">
        <f t="shared" si="370"/>
        <v/>
      </c>
    </row>
    <row r="23701" spans="26:26" x14ac:dyDescent="0.2">
      <c r="Z23701" t="str">
        <f t="shared" si="370"/>
        <v/>
      </c>
    </row>
    <row r="23702" spans="26:26" x14ac:dyDescent="0.2">
      <c r="Z23702" t="str">
        <f t="shared" si="370"/>
        <v/>
      </c>
    </row>
    <row r="23703" spans="26:26" x14ac:dyDescent="0.2">
      <c r="Z23703" t="str">
        <f t="shared" si="370"/>
        <v/>
      </c>
    </row>
    <row r="23704" spans="26:26" x14ac:dyDescent="0.2">
      <c r="Z23704" t="str">
        <f t="shared" si="370"/>
        <v/>
      </c>
    </row>
    <row r="23705" spans="26:26" x14ac:dyDescent="0.2">
      <c r="Z23705" t="str">
        <f t="shared" si="370"/>
        <v/>
      </c>
    </row>
    <row r="23706" spans="26:26" x14ac:dyDescent="0.2">
      <c r="Z23706" t="str">
        <f t="shared" si="370"/>
        <v/>
      </c>
    </row>
    <row r="23707" spans="26:26" x14ac:dyDescent="0.2">
      <c r="Z23707" t="str">
        <f t="shared" si="370"/>
        <v/>
      </c>
    </row>
    <row r="23708" spans="26:26" x14ac:dyDescent="0.2">
      <c r="Z23708" t="str">
        <f t="shared" si="370"/>
        <v/>
      </c>
    </row>
    <row r="23709" spans="26:26" x14ac:dyDescent="0.2">
      <c r="Z23709" t="str">
        <f t="shared" si="370"/>
        <v/>
      </c>
    </row>
    <row r="23710" spans="26:26" x14ac:dyDescent="0.2">
      <c r="Z23710" t="str">
        <f t="shared" si="370"/>
        <v/>
      </c>
    </row>
    <row r="23711" spans="26:26" x14ac:dyDescent="0.2">
      <c r="Z23711" t="str">
        <f t="shared" si="370"/>
        <v/>
      </c>
    </row>
    <row r="23712" spans="26:26" x14ac:dyDescent="0.2">
      <c r="Z23712" t="str">
        <f t="shared" si="370"/>
        <v/>
      </c>
    </row>
    <row r="23713" spans="26:26" x14ac:dyDescent="0.2">
      <c r="Z23713" t="str">
        <f t="shared" si="370"/>
        <v/>
      </c>
    </row>
    <row r="23714" spans="26:26" x14ac:dyDescent="0.2">
      <c r="Z23714" t="str">
        <f t="shared" si="370"/>
        <v/>
      </c>
    </row>
    <row r="23715" spans="26:26" x14ac:dyDescent="0.2">
      <c r="Z23715" t="str">
        <f t="shared" si="370"/>
        <v/>
      </c>
    </row>
    <row r="23716" spans="26:26" x14ac:dyDescent="0.2">
      <c r="Z23716" t="str">
        <f t="shared" si="370"/>
        <v/>
      </c>
    </row>
    <row r="23717" spans="26:26" x14ac:dyDescent="0.2">
      <c r="Z23717" t="str">
        <f t="shared" si="370"/>
        <v/>
      </c>
    </row>
    <row r="23718" spans="26:26" x14ac:dyDescent="0.2">
      <c r="Z23718" t="str">
        <f t="shared" si="370"/>
        <v/>
      </c>
    </row>
    <row r="23719" spans="26:26" x14ac:dyDescent="0.2">
      <c r="Z23719" t="str">
        <f t="shared" si="370"/>
        <v/>
      </c>
    </row>
    <row r="23720" spans="26:26" x14ac:dyDescent="0.2">
      <c r="Z23720" t="str">
        <f t="shared" si="370"/>
        <v/>
      </c>
    </row>
    <row r="23721" spans="26:26" x14ac:dyDescent="0.2">
      <c r="Z23721" t="str">
        <f t="shared" si="370"/>
        <v/>
      </c>
    </row>
    <row r="23722" spans="26:26" x14ac:dyDescent="0.2">
      <c r="Z23722" t="str">
        <f t="shared" si="370"/>
        <v/>
      </c>
    </row>
    <row r="23723" spans="26:26" x14ac:dyDescent="0.2">
      <c r="Z23723" t="str">
        <f t="shared" si="370"/>
        <v/>
      </c>
    </row>
    <row r="23724" spans="26:26" x14ac:dyDescent="0.2">
      <c r="Z23724" t="str">
        <f t="shared" si="370"/>
        <v/>
      </c>
    </row>
    <row r="23725" spans="26:26" x14ac:dyDescent="0.2">
      <c r="Z23725" t="str">
        <f t="shared" si="370"/>
        <v/>
      </c>
    </row>
    <row r="23726" spans="26:26" x14ac:dyDescent="0.2">
      <c r="Z23726" t="str">
        <f t="shared" si="370"/>
        <v/>
      </c>
    </row>
    <row r="23727" spans="26:26" x14ac:dyDescent="0.2">
      <c r="Z23727" t="str">
        <f t="shared" si="370"/>
        <v/>
      </c>
    </row>
    <row r="23728" spans="26:26" x14ac:dyDescent="0.2">
      <c r="Z23728" t="str">
        <f t="shared" si="370"/>
        <v/>
      </c>
    </row>
    <row r="23729" spans="26:26" x14ac:dyDescent="0.2">
      <c r="Z23729" t="str">
        <f t="shared" si="370"/>
        <v/>
      </c>
    </row>
    <row r="23730" spans="26:26" x14ac:dyDescent="0.2">
      <c r="Z23730" t="str">
        <f t="shared" si="370"/>
        <v/>
      </c>
    </row>
    <row r="23731" spans="26:26" x14ac:dyDescent="0.2">
      <c r="Z23731" t="str">
        <f t="shared" si="370"/>
        <v/>
      </c>
    </row>
    <row r="23732" spans="26:26" x14ac:dyDescent="0.2">
      <c r="Z23732" t="str">
        <f t="shared" si="370"/>
        <v/>
      </c>
    </row>
    <row r="23733" spans="26:26" x14ac:dyDescent="0.2">
      <c r="Z23733" t="str">
        <f t="shared" si="370"/>
        <v/>
      </c>
    </row>
    <row r="23734" spans="26:26" x14ac:dyDescent="0.2">
      <c r="Z23734" t="str">
        <f t="shared" si="370"/>
        <v/>
      </c>
    </row>
    <row r="23735" spans="26:26" x14ac:dyDescent="0.2">
      <c r="Z23735" t="str">
        <f t="shared" si="370"/>
        <v/>
      </c>
    </row>
    <row r="23736" spans="26:26" x14ac:dyDescent="0.2">
      <c r="Z23736" t="str">
        <f t="shared" si="370"/>
        <v/>
      </c>
    </row>
    <row r="23737" spans="26:26" x14ac:dyDescent="0.2">
      <c r="Z23737" t="str">
        <f t="shared" si="370"/>
        <v/>
      </c>
    </row>
    <row r="23738" spans="26:26" x14ac:dyDescent="0.2">
      <c r="Z23738" t="str">
        <f t="shared" si="370"/>
        <v/>
      </c>
    </row>
    <row r="23739" spans="26:26" x14ac:dyDescent="0.2">
      <c r="Z23739" t="str">
        <f t="shared" si="370"/>
        <v/>
      </c>
    </row>
    <row r="23740" spans="26:26" x14ac:dyDescent="0.2">
      <c r="Z23740" t="str">
        <f t="shared" si="370"/>
        <v/>
      </c>
    </row>
    <row r="23741" spans="26:26" x14ac:dyDescent="0.2">
      <c r="Z23741" t="str">
        <f t="shared" si="370"/>
        <v/>
      </c>
    </row>
    <row r="23742" spans="26:26" x14ac:dyDescent="0.2">
      <c r="Z23742" t="str">
        <f t="shared" si="370"/>
        <v/>
      </c>
    </row>
    <row r="23743" spans="26:26" x14ac:dyDescent="0.2">
      <c r="Z23743" t="str">
        <f t="shared" si="370"/>
        <v/>
      </c>
    </row>
    <row r="23744" spans="26:26" x14ac:dyDescent="0.2">
      <c r="Z23744" t="str">
        <f t="shared" si="370"/>
        <v/>
      </c>
    </row>
    <row r="23745" spans="26:26" x14ac:dyDescent="0.2">
      <c r="Z23745" t="str">
        <f t="shared" si="370"/>
        <v/>
      </c>
    </row>
    <row r="23746" spans="26:26" x14ac:dyDescent="0.2">
      <c r="Z23746" t="str">
        <f t="shared" si="370"/>
        <v/>
      </c>
    </row>
    <row r="23747" spans="26:26" x14ac:dyDescent="0.2">
      <c r="Z23747" t="str">
        <f t="shared" ref="Z23747:Z23810" si="371">IF(K23747="","",IFERROR(VALUE(TRIM(MID(K23747,FIND(CHAR(167),SUBSTITUTE(K23747,"-",CHAR(167),LEN(K23747)-LEN(SUBSTITUTE(K23747,"-",""))))+1,100))),K23747))</f>
        <v/>
      </c>
    </row>
    <row r="23748" spans="26:26" x14ac:dyDescent="0.2">
      <c r="Z23748" t="str">
        <f t="shared" si="371"/>
        <v/>
      </c>
    </row>
    <row r="23749" spans="26:26" x14ac:dyDescent="0.2">
      <c r="Z23749" t="str">
        <f t="shared" si="371"/>
        <v/>
      </c>
    </row>
    <row r="23750" spans="26:26" x14ac:dyDescent="0.2">
      <c r="Z23750" t="str">
        <f t="shared" si="371"/>
        <v/>
      </c>
    </row>
    <row r="23751" spans="26:26" x14ac:dyDescent="0.2">
      <c r="Z23751" t="str">
        <f t="shared" si="371"/>
        <v/>
      </c>
    </row>
    <row r="23752" spans="26:26" x14ac:dyDescent="0.2">
      <c r="Z23752" t="str">
        <f t="shared" si="371"/>
        <v/>
      </c>
    </row>
    <row r="23753" spans="26:26" x14ac:dyDescent="0.2">
      <c r="Z23753" t="str">
        <f t="shared" si="371"/>
        <v/>
      </c>
    </row>
    <row r="23754" spans="26:26" x14ac:dyDescent="0.2">
      <c r="Z23754" t="str">
        <f t="shared" si="371"/>
        <v/>
      </c>
    </row>
    <row r="23755" spans="26:26" x14ac:dyDescent="0.2">
      <c r="Z23755" t="str">
        <f t="shared" si="371"/>
        <v/>
      </c>
    </row>
    <row r="23756" spans="26:26" x14ac:dyDescent="0.2">
      <c r="Z23756" t="str">
        <f t="shared" si="371"/>
        <v/>
      </c>
    </row>
    <row r="23757" spans="26:26" x14ac:dyDescent="0.2">
      <c r="Z23757" t="str">
        <f t="shared" si="371"/>
        <v/>
      </c>
    </row>
    <row r="23758" spans="26:26" x14ac:dyDescent="0.2">
      <c r="Z23758" t="str">
        <f t="shared" si="371"/>
        <v/>
      </c>
    </row>
    <row r="23759" spans="26:26" x14ac:dyDescent="0.2">
      <c r="Z23759" t="str">
        <f t="shared" si="371"/>
        <v/>
      </c>
    </row>
    <row r="23760" spans="26:26" x14ac:dyDescent="0.2">
      <c r="Z23760" t="str">
        <f t="shared" si="371"/>
        <v/>
      </c>
    </row>
    <row r="23761" spans="26:26" x14ac:dyDescent="0.2">
      <c r="Z23761" t="str">
        <f t="shared" si="371"/>
        <v/>
      </c>
    </row>
    <row r="23762" spans="26:26" x14ac:dyDescent="0.2">
      <c r="Z23762" t="str">
        <f t="shared" si="371"/>
        <v/>
      </c>
    </row>
    <row r="23763" spans="26:26" x14ac:dyDescent="0.2">
      <c r="Z23763" t="str">
        <f t="shared" si="371"/>
        <v/>
      </c>
    </row>
    <row r="23764" spans="26:26" x14ac:dyDescent="0.2">
      <c r="Z23764" t="str">
        <f t="shared" si="371"/>
        <v/>
      </c>
    </row>
    <row r="23765" spans="26:26" x14ac:dyDescent="0.2">
      <c r="Z23765" t="str">
        <f t="shared" si="371"/>
        <v/>
      </c>
    </row>
    <row r="23766" spans="26:26" x14ac:dyDescent="0.2">
      <c r="Z23766" t="str">
        <f t="shared" si="371"/>
        <v/>
      </c>
    </row>
    <row r="23767" spans="26:26" x14ac:dyDescent="0.2">
      <c r="Z23767" t="str">
        <f t="shared" si="371"/>
        <v/>
      </c>
    </row>
    <row r="23768" spans="26:26" x14ac:dyDescent="0.2">
      <c r="Z23768" t="str">
        <f t="shared" si="371"/>
        <v/>
      </c>
    </row>
    <row r="23769" spans="26:26" x14ac:dyDescent="0.2">
      <c r="Z23769" t="str">
        <f t="shared" si="371"/>
        <v/>
      </c>
    </row>
    <row r="23770" spans="26:26" x14ac:dyDescent="0.2">
      <c r="Z23770" t="str">
        <f t="shared" si="371"/>
        <v/>
      </c>
    </row>
    <row r="23771" spans="26:26" x14ac:dyDescent="0.2">
      <c r="Z23771" t="str">
        <f t="shared" si="371"/>
        <v/>
      </c>
    </row>
    <row r="23772" spans="26:26" x14ac:dyDescent="0.2">
      <c r="Z23772" t="str">
        <f t="shared" si="371"/>
        <v/>
      </c>
    </row>
    <row r="23773" spans="26:26" x14ac:dyDescent="0.2">
      <c r="Z23773" t="str">
        <f t="shared" si="371"/>
        <v/>
      </c>
    </row>
    <row r="23774" spans="26:26" x14ac:dyDescent="0.2">
      <c r="Z23774" t="str">
        <f t="shared" si="371"/>
        <v/>
      </c>
    </row>
    <row r="23775" spans="26:26" x14ac:dyDescent="0.2">
      <c r="Z23775" t="str">
        <f t="shared" si="371"/>
        <v/>
      </c>
    </row>
    <row r="23776" spans="26:26" x14ac:dyDescent="0.2">
      <c r="Z23776" t="str">
        <f t="shared" si="371"/>
        <v/>
      </c>
    </row>
    <row r="23777" spans="26:26" x14ac:dyDescent="0.2">
      <c r="Z23777" t="str">
        <f t="shared" si="371"/>
        <v/>
      </c>
    </row>
    <row r="23778" spans="26:26" x14ac:dyDescent="0.2">
      <c r="Z23778" t="str">
        <f t="shared" si="371"/>
        <v/>
      </c>
    </row>
    <row r="23779" spans="26:26" x14ac:dyDescent="0.2">
      <c r="Z23779" t="str">
        <f t="shared" si="371"/>
        <v/>
      </c>
    </row>
    <row r="23780" spans="26:26" x14ac:dyDescent="0.2">
      <c r="Z23780" t="str">
        <f t="shared" si="371"/>
        <v/>
      </c>
    </row>
    <row r="23781" spans="26:26" x14ac:dyDescent="0.2">
      <c r="Z23781" t="str">
        <f t="shared" si="371"/>
        <v/>
      </c>
    </row>
    <row r="23782" spans="26:26" x14ac:dyDescent="0.2">
      <c r="Z23782" t="str">
        <f t="shared" si="371"/>
        <v/>
      </c>
    </row>
    <row r="23783" spans="26:26" x14ac:dyDescent="0.2">
      <c r="Z23783" t="str">
        <f t="shared" si="371"/>
        <v/>
      </c>
    </row>
    <row r="23784" spans="26:26" x14ac:dyDescent="0.2">
      <c r="Z23784" t="str">
        <f t="shared" si="371"/>
        <v/>
      </c>
    </row>
    <row r="23785" spans="26:26" x14ac:dyDescent="0.2">
      <c r="Z23785" t="str">
        <f t="shared" si="371"/>
        <v/>
      </c>
    </row>
    <row r="23786" spans="26:26" x14ac:dyDescent="0.2">
      <c r="Z23786" t="str">
        <f t="shared" si="371"/>
        <v/>
      </c>
    </row>
    <row r="23787" spans="26:26" x14ac:dyDescent="0.2">
      <c r="Z23787" t="str">
        <f t="shared" si="371"/>
        <v/>
      </c>
    </row>
    <row r="23788" spans="26:26" x14ac:dyDescent="0.2">
      <c r="Z23788" t="str">
        <f t="shared" si="371"/>
        <v/>
      </c>
    </row>
    <row r="23789" spans="26:26" x14ac:dyDescent="0.2">
      <c r="Z23789" t="str">
        <f t="shared" si="371"/>
        <v/>
      </c>
    </row>
    <row r="23790" spans="26:26" x14ac:dyDescent="0.2">
      <c r="Z23790" t="str">
        <f t="shared" si="371"/>
        <v/>
      </c>
    </row>
    <row r="23791" spans="26:26" x14ac:dyDescent="0.2">
      <c r="Z23791" t="str">
        <f t="shared" si="371"/>
        <v/>
      </c>
    </row>
    <row r="23792" spans="26:26" x14ac:dyDescent="0.2">
      <c r="Z23792" t="str">
        <f t="shared" si="371"/>
        <v/>
      </c>
    </row>
    <row r="23793" spans="26:26" x14ac:dyDescent="0.2">
      <c r="Z23793" t="str">
        <f t="shared" si="371"/>
        <v/>
      </c>
    </row>
    <row r="23794" spans="26:26" x14ac:dyDescent="0.2">
      <c r="Z23794" t="str">
        <f t="shared" si="371"/>
        <v/>
      </c>
    </row>
    <row r="23795" spans="26:26" x14ac:dyDescent="0.2">
      <c r="Z23795" t="str">
        <f t="shared" si="371"/>
        <v/>
      </c>
    </row>
    <row r="23796" spans="26:26" x14ac:dyDescent="0.2">
      <c r="Z23796" t="str">
        <f t="shared" si="371"/>
        <v/>
      </c>
    </row>
    <row r="23797" spans="26:26" x14ac:dyDescent="0.2">
      <c r="Z23797" t="str">
        <f t="shared" si="371"/>
        <v/>
      </c>
    </row>
    <row r="23798" spans="26:26" x14ac:dyDescent="0.2">
      <c r="Z23798" t="str">
        <f t="shared" si="371"/>
        <v/>
      </c>
    </row>
    <row r="23799" spans="26:26" x14ac:dyDescent="0.2">
      <c r="Z23799" t="str">
        <f t="shared" si="371"/>
        <v/>
      </c>
    </row>
    <row r="23800" spans="26:26" x14ac:dyDescent="0.2">
      <c r="Z23800" t="str">
        <f t="shared" si="371"/>
        <v/>
      </c>
    </row>
    <row r="23801" spans="26:26" x14ac:dyDescent="0.2">
      <c r="Z23801" t="str">
        <f t="shared" si="371"/>
        <v/>
      </c>
    </row>
    <row r="23802" spans="26:26" x14ac:dyDescent="0.2">
      <c r="Z23802" t="str">
        <f t="shared" si="371"/>
        <v/>
      </c>
    </row>
    <row r="23803" spans="26:26" x14ac:dyDescent="0.2">
      <c r="Z23803" t="str">
        <f t="shared" si="371"/>
        <v/>
      </c>
    </row>
    <row r="23804" spans="26:26" x14ac:dyDescent="0.2">
      <c r="Z23804" t="str">
        <f t="shared" si="371"/>
        <v/>
      </c>
    </row>
    <row r="23805" spans="26:26" x14ac:dyDescent="0.2">
      <c r="Z23805" t="str">
        <f t="shared" si="371"/>
        <v/>
      </c>
    </row>
    <row r="23806" spans="26:26" x14ac:dyDescent="0.2">
      <c r="Z23806" t="str">
        <f t="shared" si="371"/>
        <v/>
      </c>
    </row>
    <row r="23807" spans="26:26" x14ac:dyDescent="0.2">
      <c r="Z23807" t="str">
        <f t="shared" si="371"/>
        <v/>
      </c>
    </row>
    <row r="23808" spans="26:26" x14ac:dyDescent="0.2">
      <c r="Z23808" t="str">
        <f t="shared" si="371"/>
        <v/>
      </c>
    </row>
    <row r="23809" spans="26:26" x14ac:dyDescent="0.2">
      <c r="Z23809" t="str">
        <f t="shared" si="371"/>
        <v/>
      </c>
    </row>
    <row r="23810" spans="26:26" x14ac:dyDescent="0.2">
      <c r="Z23810" t="str">
        <f t="shared" si="371"/>
        <v/>
      </c>
    </row>
    <row r="23811" spans="26:26" x14ac:dyDescent="0.2">
      <c r="Z23811" t="str">
        <f t="shared" ref="Z23811:Z23874" si="372">IF(K23811="","",IFERROR(VALUE(TRIM(MID(K23811,FIND(CHAR(167),SUBSTITUTE(K23811,"-",CHAR(167),LEN(K23811)-LEN(SUBSTITUTE(K23811,"-",""))))+1,100))),K23811))</f>
        <v/>
      </c>
    </row>
    <row r="23812" spans="26:26" x14ac:dyDescent="0.2">
      <c r="Z23812" t="str">
        <f t="shared" si="372"/>
        <v/>
      </c>
    </row>
    <row r="23813" spans="26:26" x14ac:dyDescent="0.2">
      <c r="Z23813" t="str">
        <f t="shared" si="372"/>
        <v/>
      </c>
    </row>
    <row r="23814" spans="26:26" x14ac:dyDescent="0.2">
      <c r="Z23814" t="str">
        <f t="shared" si="372"/>
        <v/>
      </c>
    </row>
    <row r="23815" spans="26:26" x14ac:dyDescent="0.2">
      <c r="Z23815" t="str">
        <f t="shared" si="372"/>
        <v/>
      </c>
    </row>
    <row r="23816" spans="26:26" x14ac:dyDescent="0.2">
      <c r="Z23816" t="str">
        <f t="shared" si="372"/>
        <v/>
      </c>
    </row>
    <row r="23817" spans="26:26" x14ac:dyDescent="0.2">
      <c r="Z23817" t="str">
        <f t="shared" si="372"/>
        <v/>
      </c>
    </row>
    <row r="23818" spans="26:26" x14ac:dyDescent="0.2">
      <c r="Z23818" t="str">
        <f t="shared" si="372"/>
        <v/>
      </c>
    </row>
    <row r="23819" spans="26:26" x14ac:dyDescent="0.2">
      <c r="Z23819" t="str">
        <f t="shared" si="372"/>
        <v/>
      </c>
    </row>
    <row r="23820" spans="26:26" x14ac:dyDescent="0.2">
      <c r="Z23820" t="str">
        <f t="shared" si="372"/>
        <v/>
      </c>
    </row>
    <row r="23821" spans="26:26" x14ac:dyDescent="0.2">
      <c r="Z23821" t="str">
        <f t="shared" si="372"/>
        <v/>
      </c>
    </row>
    <row r="23822" spans="26:26" x14ac:dyDescent="0.2">
      <c r="Z23822" t="str">
        <f t="shared" si="372"/>
        <v/>
      </c>
    </row>
    <row r="23823" spans="26:26" x14ac:dyDescent="0.2">
      <c r="Z23823" t="str">
        <f t="shared" si="372"/>
        <v/>
      </c>
    </row>
    <row r="23824" spans="26:26" x14ac:dyDescent="0.2">
      <c r="Z23824" t="str">
        <f t="shared" si="372"/>
        <v/>
      </c>
    </row>
    <row r="23825" spans="26:26" x14ac:dyDescent="0.2">
      <c r="Z23825" t="str">
        <f t="shared" si="372"/>
        <v/>
      </c>
    </row>
    <row r="23826" spans="26:26" x14ac:dyDescent="0.2">
      <c r="Z23826" t="str">
        <f t="shared" si="372"/>
        <v/>
      </c>
    </row>
    <row r="23827" spans="26:26" x14ac:dyDescent="0.2">
      <c r="Z23827" t="str">
        <f t="shared" si="372"/>
        <v/>
      </c>
    </row>
    <row r="23828" spans="26:26" x14ac:dyDescent="0.2">
      <c r="Z23828" t="str">
        <f t="shared" si="372"/>
        <v/>
      </c>
    </row>
    <row r="23829" spans="26:26" x14ac:dyDescent="0.2">
      <c r="Z23829" t="str">
        <f t="shared" si="372"/>
        <v/>
      </c>
    </row>
    <row r="23830" spans="26:26" x14ac:dyDescent="0.2">
      <c r="Z23830" t="str">
        <f t="shared" si="372"/>
        <v/>
      </c>
    </row>
    <row r="23831" spans="26:26" x14ac:dyDescent="0.2">
      <c r="Z23831" t="str">
        <f t="shared" si="372"/>
        <v/>
      </c>
    </row>
    <row r="23832" spans="26:26" x14ac:dyDescent="0.2">
      <c r="Z23832" t="str">
        <f t="shared" si="372"/>
        <v/>
      </c>
    </row>
    <row r="23833" spans="26:26" x14ac:dyDescent="0.2">
      <c r="Z23833" t="str">
        <f t="shared" si="372"/>
        <v/>
      </c>
    </row>
    <row r="23834" spans="26:26" x14ac:dyDescent="0.2">
      <c r="Z23834" t="str">
        <f t="shared" si="372"/>
        <v/>
      </c>
    </row>
    <row r="23835" spans="26:26" x14ac:dyDescent="0.2">
      <c r="Z23835" t="str">
        <f t="shared" si="372"/>
        <v/>
      </c>
    </row>
    <row r="23836" spans="26:26" x14ac:dyDescent="0.2">
      <c r="Z23836" t="str">
        <f t="shared" si="372"/>
        <v/>
      </c>
    </row>
    <row r="23837" spans="26:26" x14ac:dyDescent="0.2">
      <c r="Z23837" t="str">
        <f t="shared" si="372"/>
        <v/>
      </c>
    </row>
    <row r="23838" spans="26:26" x14ac:dyDescent="0.2">
      <c r="Z23838" t="str">
        <f t="shared" si="372"/>
        <v/>
      </c>
    </row>
    <row r="23839" spans="26:26" x14ac:dyDescent="0.2">
      <c r="Z23839" t="str">
        <f t="shared" si="372"/>
        <v/>
      </c>
    </row>
    <row r="23840" spans="26:26" x14ac:dyDescent="0.2">
      <c r="Z23840" t="str">
        <f t="shared" si="372"/>
        <v/>
      </c>
    </row>
    <row r="23841" spans="26:26" x14ac:dyDescent="0.2">
      <c r="Z23841" t="str">
        <f t="shared" si="372"/>
        <v/>
      </c>
    </row>
    <row r="23842" spans="26:26" x14ac:dyDescent="0.2">
      <c r="Z23842" t="str">
        <f t="shared" si="372"/>
        <v/>
      </c>
    </row>
    <row r="23843" spans="26:26" x14ac:dyDescent="0.2">
      <c r="Z23843" t="str">
        <f t="shared" si="372"/>
        <v/>
      </c>
    </row>
    <row r="23844" spans="26:26" x14ac:dyDescent="0.2">
      <c r="Z23844" t="str">
        <f t="shared" si="372"/>
        <v/>
      </c>
    </row>
    <row r="23845" spans="26:26" x14ac:dyDescent="0.2">
      <c r="Z23845" t="str">
        <f t="shared" si="372"/>
        <v/>
      </c>
    </row>
    <row r="23846" spans="26:26" x14ac:dyDescent="0.2">
      <c r="Z23846" t="str">
        <f t="shared" si="372"/>
        <v/>
      </c>
    </row>
    <row r="23847" spans="26:26" x14ac:dyDescent="0.2">
      <c r="Z23847" t="str">
        <f t="shared" si="372"/>
        <v/>
      </c>
    </row>
    <row r="23848" spans="26:26" x14ac:dyDescent="0.2">
      <c r="Z23848" t="str">
        <f t="shared" si="372"/>
        <v/>
      </c>
    </row>
    <row r="23849" spans="26:26" x14ac:dyDescent="0.2">
      <c r="Z23849" t="str">
        <f t="shared" si="372"/>
        <v/>
      </c>
    </row>
    <row r="23850" spans="26:26" x14ac:dyDescent="0.2">
      <c r="Z23850" t="str">
        <f t="shared" si="372"/>
        <v/>
      </c>
    </row>
    <row r="23851" spans="26:26" x14ac:dyDescent="0.2">
      <c r="Z23851" t="str">
        <f t="shared" si="372"/>
        <v/>
      </c>
    </row>
    <row r="23852" spans="26:26" x14ac:dyDescent="0.2">
      <c r="Z23852" t="str">
        <f t="shared" si="372"/>
        <v/>
      </c>
    </row>
    <row r="23853" spans="26:26" x14ac:dyDescent="0.2">
      <c r="Z23853" t="str">
        <f t="shared" si="372"/>
        <v/>
      </c>
    </row>
    <row r="23854" spans="26:26" x14ac:dyDescent="0.2">
      <c r="Z23854" t="str">
        <f t="shared" si="372"/>
        <v/>
      </c>
    </row>
    <row r="23855" spans="26:26" x14ac:dyDescent="0.2">
      <c r="Z23855" t="str">
        <f t="shared" si="372"/>
        <v/>
      </c>
    </row>
    <row r="23856" spans="26:26" x14ac:dyDescent="0.2">
      <c r="Z23856" t="str">
        <f t="shared" si="372"/>
        <v/>
      </c>
    </row>
    <row r="23857" spans="26:26" x14ac:dyDescent="0.2">
      <c r="Z23857" t="str">
        <f t="shared" si="372"/>
        <v/>
      </c>
    </row>
    <row r="23858" spans="26:26" x14ac:dyDescent="0.2">
      <c r="Z23858" t="str">
        <f t="shared" si="372"/>
        <v/>
      </c>
    </row>
    <row r="23859" spans="26:26" x14ac:dyDescent="0.2">
      <c r="Z23859" t="str">
        <f t="shared" si="372"/>
        <v/>
      </c>
    </row>
    <row r="23860" spans="26:26" x14ac:dyDescent="0.2">
      <c r="Z23860" t="str">
        <f t="shared" si="372"/>
        <v/>
      </c>
    </row>
    <row r="23861" spans="26:26" x14ac:dyDescent="0.2">
      <c r="Z23861" t="str">
        <f t="shared" si="372"/>
        <v/>
      </c>
    </row>
    <row r="23862" spans="26:26" x14ac:dyDescent="0.2">
      <c r="Z23862" t="str">
        <f t="shared" si="372"/>
        <v/>
      </c>
    </row>
    <row r="23863" spans="26:26" x14ac:dyDescent="0.2">
      <c r="Z23863" t="str">
        <f t="shared" si="372"/>
        <v/>
      </c>
    </row>
    <row r="23864" spans="26:26" x14ac:dyDescent="0.2">
      <c r="Z23864" t="str">
        <f t="shared" si="372"/>
        <v/>
      </c>
    </row>
    <row r="23865" spans="26:26" x14ac:dyDescent="0.2">
      <c r="Z23865" t="str">
        <f t="shared" si="372"/>
        <v/>
      </c>
    </row>
    <row r="23866" spans="26:26" x14ac:dyDescent="0.2">
      <c r="Z23866" t="str">
        <f t="shared" si="372"/>
        <v/>
      </c>
    </row>
    <row r="23867" spans="26:26" x14ac:dyDescent="0.2">
      <c r="Z23867" t="str">
        <f t="shared" si="372"/>
        <v/>
      </c>
    </row>
    <row r="23868" spans="26:26" x14ac:dyDescent="0.2">
      <c r="Z23868" t="str">
        <f t="shared" si="372"/>
        <v/>
      </c>
    </row>
    <row r="23869" spans="26:26" x14ac:dyDescent="0.2">
      <c r="Z23869" t="str">
        <f t="shared" si="372"/>
        <v/>
      </c>
    </row>
    <row r="23870" spans="26:26" x14ac:dyDescent="0.2">
      <c r="Z23870" t="str">
        <f t="shared" si="372"/>
        <v/>
      </c>
    </row>
    <row r="23871" spans="26:26" x14ac:dyDescent="0.2">
      <c r="Z23871" t="str">
        <f t="shared" si="372"/>
        <v/>
      </c>
    </row>
    <row r="23872" spans="26:26" x14ac:dyDescent="0.2">
      <c r="Z23872" t="str">
        <f t="shared" si="372"/>
        <v/>
      </c>
    </row>
    <row r="23873" spans="26:26" x14ac:dyDescent="0.2">
      <c r="Z23873" t="str">
        <f t="shared" si="372"/>
        <v/>
      </c>
    </row>
    <row r="23874" spans="26:26" x14ac:dyDescent="0.2">
      <c r="Z23874" t="str">
        <f t="shared" si="372"/>
        <v/>
      </c>
    </row>
    <row r="23875" spans="26:26" x14ac:dyDescent="0.2">
      <c r="Z23875" t="str">
        <f t="shared" ref="Z23875:Z23938" si="373">IF(K23875="","",IFERROR(VALUE(TRIM(MID(K23875,FIND(CHAR(167),SUBSTITUTE(K23875,"-",CHAR(167),LEN(K23875)-LEN(SUBSTITUTE(K23875,"-",""))))+1,100))),K23875))</f>
        <v/>
      </c>
    </row>
    <row r="23876" spans="26:26" x14ac:dyDescent="0.2">
      <c r="Z23876" t="str">
        <f t="shared" si="373"/>
        <v/>
      </c>
    </row>
    <row r="23877" spans="26:26" x14ac:dyDescent="0.2">
      <c r="Z23877" t="str">
        <f t="shared" si="373"/>
        <v/>
      </c>
    </row>
    <row r="23878" spans="26:26" x14ac:dyDescent="0.2">
      <c r="Z23878" t="str">
        <f t="shared" si="373"/>
        <v/>
      </c>
    </row>
    <row r="23879" spans="26:26" x14ac:dyDescent="0.2">
      <c r="Z23879" t="str">
        <f t="shared" si="373"/>
        <v/>
      </c>
    </row>
    <row r="23880" spans="26:26" x14ac:dyDescent="0.2">
      <c r="Z23880" t="str">
        <f t="shared" si="373"/>
        <v/>
      </c>
    </row>
    <row r="23881" spans="26:26" x14ac:dyDescent="0.2">
      <c r="Z23881" t="str">
        <f t="shared" si="373"/>
        <v/>
      </c>
    </row>
    <row r="23882" spans="26:26" x14ac:dyDescent="0.2">
      <c r="Z23882" t="str">
        <f t="shared" si="373"/>
        <v/>
      </c>
    </row>
    <row r="23883" spans="26:26" x14ac:dyDescent="0.2">
      <c r="Z23883" t="str">
        <f t="shared" si="373"/>
        <v/>
      </c>
    </row>
    <row r="23884" spans="26:26" x14ac:dyDescent="0.2">
      <c r="Z23884" t="str">
        <f t="shared" si="373"/>
        <v/>
      </c>
    </row>
    <row r="23885" spans="26:26" x14ac:dyDescent="0.2">
      <c r="Z23885" t="str">
        <f t="shared" si="373"/>
        <v/>
      </c>
    </row>
    <row r="23886" spans="26:26" x14ac:dyDescent="0.2">
      <c r="Z23886" t="str">
        <f t="shared" si="373"/>
        <v/>
      </c>
    </row>
    <row r="23887" spans="26:26" x14ac:dyDescent="0.2">
      <c r="Z23887" t="str">
        <f t="shared" si="373"/>
        <v/>
      </c>
    </row>
    <row r="23888" spans="26:26" x14ac:dyDescent="0.2">
      <c r="Z23888" t="str">
        <f t="shared" si="373"/>
        <v/>
      </c>
    </row>
    <row r="23889" spans="26:26" x14ac:dyDescent="0.2">
      <c r="Z23889" t="str">
        <f t="shared" si="373"/>
        <v/>
      </c>
    </row>
    <row r="23890" spans="26:26" x14ac:dyDescent="0.2">
      <c r="Z23890" t="str">
        <f t="shared" si="373"/>
        <v/>
      </c>
    </row>
    <row r="23891" spans="26:26" x14ac:dyDescent="0.2">
      <c r="Z23891" t="str">
        <f t="shared" si="373"/>
        <v/>
      </c>
    </row>
    <row r="23892" spans="26:26" x14ac:dyDescent="0.2">
      <c r="Z23892" t="str">
        <f t="shared" si="373"/>
        <v/>
      </c>
    </row>
    <row r="23893" spans="26:26" x14ac:dyDescent="0.2">
      <c r="Z23893" t="str">
        <f t="shared" si="373"/>
        <v/>
      </c>
    </row>
    <row r="23894" spans="26:26" x14ac:dyDescent="0.2">
      <c r="Z23894" t="str">
        <f t="shared" si="373"/>
        <v/>
      </c>
    </row>
    <row r="23895" spans="26:26" x14ac:dyDescent="0.2">
      <c r="Z23895" t="str">
        <f t="shared" si="373"/>
        <v/>
      </c>
    </row>
    <row r="23896" spans="26:26" x14ac:dyDescent="0.2">
      <c r="Z23896" t="str">
        <f t="shared" si="373"/>
        <v/>
      </c>
    </row>
    <row r="23897" spans="26:26" x14ac:dyDescent="0.2">
      <c r="Z23897" t="str">
        <f t="shared" si="373"/>
        <v/>
      </c>
    </row>
    <row r="23898" spans="26:26" x14ac:dyDescent="0.2">
      <c r="Z23898" t="str">
        <f t="shared" si="373"/>
        <v/>
      </c>
    </row>
    <row r="23899" spans="26:26" x14ac:dyDescent="0.2">
      <c r="Z23899" t="str">
        <f t="shared" si="373"/>
        <v/>
      </c>
    </row>
    <row r="23900" spans="26:26" x14ac:dyDescent="0.2">
      <c r="Z23900" t="str">
        <f t="shared" si="373"/>
        <v/>
      </c>
    </row>
    <row r="23901" spans="26:26" x14ac:dyDescent="0.2">
      <c r="Z23901" t="str">
        <f t="shared" si="373"/>
        <v/>
      </c>
    </row>
    <row r="23902" spans="26:26" x14ac:dyDescent="0.2">
      <c r="Z23902" t="str">
        <f t="shared" si="373"/>
        <v/>
      </c>
    </row>
    <row r="23903" spans="26:26" x14ac:dyDescent="0.2">
      <c r="Z23903" t="str">
        <f t="shared" si="373"/>
        <v/>
      </c>
    </row>
    <row r="23904" spans="26:26" x14ac:dyDescent="0.2">
      <c r="Z23904" t="str">
        <f t="shared" si="373"/>
        <v/>
      </c>
    </row>
    <row r="23905" spans="26:26" x14ac:dyDescent="0.2">
      <c r="Z23905" t="str">
        <f t="shared" si="373"/>
        <v/>
      </c>
    </row>
    <row r="23906" spans="26:26" x14ac:dyDescent="0.2">
      <c r="Z23906" t="str">
        <f t="shared" si="373"/>
        <v/>
      </c>
    </row>
    <row r="23907" spans="26:26" x14ac:dyDescent="0.2">
      <c r="Z23907" t="str">
        <f t="shared" si="373"/>
        <v/>
      </c>
    </row>
    <row r="23908" spans="26:26" x14ac:dyDescent="0.2">
      <c r="Z23908" t="str">
        <f t="shared" si="373"/>
        <v/>
      </c>
    </row>
    <row r="23909" spans="26:26" x14ac:dyDescent="0.2">
      <c r="Z23909" t="str">
        <f t="shared" si="373"/>
        <v/>
      </c>
    </row>
    <row r="23910" spans="26:26" x14ac:dyDescent="0.2">
      <c r="Z23910" t="str">
        <f t="shared" si="373"/>
        <v/>
      </c>
    </row>
    <row r="23911" spans="26:26" x14ac:dyDescent="0.2">
      <c r="Z23911" t="str">
        <f t="shared" si="373"/>
        <v/>
      </c>
    </row>
    <row r="23912" spans="26:26" x14ac:dyDescent="0.2">
      <c r="Z23912" t="str">
        <f t="shared" si="373"/>
        <v/>
      </c>
    </row>
    <row r="23913" spans="26:26" x14ac:dyDescent="0.2">
      <c r="Z23913" t="str">
        <f t="shared" si="373"/>
        <v/>
      </c>
    </row>
    <row r="23914" spans="26:26" x14ac:dyDescent="0.2">
      <c r="Z23914" t="str">
        <f t="shared" si="373"/>
        <v/>
      </c>
    </row>
    <row r="23915" spans="26:26" x14ac:dyDescent="0.2">
      <c r="Z23915" t="str">
        <f t="shared" si="373"/>
        <v/>
      </c>
    </row>
    <row r="23916" spans="26:26" x14ac:dyDescent="0.2">
      <c r="Z23916" t="str">
        <f t="shared" si="373"/>
        <v/>
      </c>
    </row>
    <row r="23917" spans="26:26" x14ac:dyDescent="0.2">
      <c r="Z23917" t="str">
        <f t="shared" si="373"/>
        <v/>
      </c>
    </row>
    <row r="23918" spans="26:26" x14ac:dyDescent="0.2">
      <c r="Z23918" t="str">
        <f t="shared" si="373"/>
        <v/>
      </c>
    </row>
    <row r="23919" spans="26:26" x14ac:dyDescent="0.2">
      <c r="Z23919" t="str">
        <f t="shared" si="373"/>
        <v/>
      </c>
    </row>
    <row r="23920" spans="26:26" x14ac:dyDescent="0.2">
      <c r="Z23920" t="str">
        <f t="shared" si="373"/>
        <v/>
      </c>
    </row>
    <row r="23921" spans="26:26" x14ac:dyDescent="0.2">
      <c r="Z23921" t="str">
        <f t="shared" si="373"/>
        <v/>
      </c>
    </row>
    <row r="23922" spans="26:26" x14ac:dyDescent="0.2">
      <c r="Z23922" t="str">
        <f t="shared" si="373"/>
        <v/>
      </c>
    </row>
    <row r="23923" spans="26:26" x14ac:dyDescent="0.2">
      <c r="Z23923" t="str">
        <f t="shared" si="373"/>
        <v/>
      </c>
    </row>
    <row r="23924" spans="26:26" x14ac:dyDescent="0.2">
      <c r="Z23924" t="str">
        <f t="shared" si="373"/>
        <v/>
      </c>
    </row>
    <row r="23925" spans="26:26" x14ac:dyDescent="0.2">
      <c r="Z23925" t="str">
        <f t="shared" si="373"/>
        <v/>
      </c>
    </row>
    <row r="23926" spans="26:26" x14ac:dyDescent="0.2">
      <c r="Z23926" t="str">
        <f t="shared" si="373"/>
        <v/>
      </c>
    </row>
    <row r="23927" spans="26:26" x14ac:dyDescent="0.2">
      <c r="Z23927" t="str">
        <f t="shared" si="373"/>
        <v/>
      </c>
    </row>
    <row r="23928" spans="26:26" x14ac:dyDescent="0.2">
      <c r="Z23928" t="str">
        <f t="shared" si="373"/>
        <v/>
      </c>
    </row>
    <row r="23929" spans="26:26" x14ac:dyDescent="0.2">
      <c r="Z23929" t="str">
        <f t="shared" si="373"/>
        <v/>
      </c>
    </row>
    <row r="23930" spans="26:26" x14ac:dyDescent="0.2">
      <c r="Z23930" t="str">
        <f t="shared" si="373"/>
        <v/>
      </c>
    </row>
    <row r="23931" spans="26:26" x14ac:dyDescent="0.2">
      <c r="Z23931" t="str">
        <f t="shared" si="373"/>
        <v/>
      </c>
    </row>
    <row r="23932" spans="26:26" x14ac:dyDescent="0.2">
      <c r="Z23932" t="str">
        <f t="shared" si="373"/>
        <v/>
      </c>
    </row>
    <row r="23933" spans="26:26" x14ac:dyDescent="0.2">
      <c r="Z23933" t="str">
        <f t="shared" si="373"/>
        <v/>
      </c>
    </row>
    <row r="23934" spans="26:26" x14ac:dyDescent="0.2">
      <c r="Z23934" t="str">
        <f t="shared" si="373"/>
        <v/>
      </c>
    </row>
    <row r="23935" spans="26:26" x14ac:dyDescent="0.2">
      <c r="Z23935" t="str">
        <f t="shared" si="373"/>
        <v/>
      </c>
    </row>
    <row r="23936" spans="26:26" x14ac:dyDescent="0.2">
      <c r="Z23936" t="str">
        <f t="shared" si="373"/>
        <v/>
      </c>
    </row>
    <row r="23937" spans="26:26" x14ac:dyDescent="0.2">
      <c r="Z23937" t="str">
        <f t="shared" si="373"/>
        <v/>
      </c>
    </row>
    <row r="23938" spans="26:26" x14ac:dyDescent="0.2">
      <c r="Z23938" t="str">
        <f t="shared" si="373"/>
        <v/>
      </c>
    </row>
    <row r="23939" spans="26:26" x14ac:dyDescent="0.2">
      <c r="Z23939" t="str">
        <f t="shared" ref="Z23939:Z24002" si="374">IF(K23939="","",IFERROR(VALUE(TRIM(MID(K23939,FIND(CHAR(167),SUBSTITUTE(K23939,"-",CHAR(167),LEN(K23939)-LEN(SUBSTITUTE(K23939,"-",""))))+1,100))),K23939))</f>
        <v/>
      </c>
    </row>
    <row r="23940" spans="26:26" x14ac:dyDescent="0.2">
      <c r="Z23940" t="str">
        <f t="shared" si="374"/>
        <v/>
      </c>
    </row>
    <row r="23941" spans="26:26" x14ac:dyDescent="0.2">
      <c r="Z23941" t="str">
        <f t="shared" si="374"/>
        <v/>
      </c>
    </row>
    <row r="23942" spans="26:26" x14ac:dyDescent="0.2">
      <c r="Z23942" t="str">
        <f t="shared" si="374"/>
        <v/>
      </c>
    </row>
    <row r="23943" spans="26:26" x14ac:dyDescent="0.2">
      <c r="Z23943" t="str">
        <f t="shared" si="374"/>
        <v/>
      </c>
    </row>
    <row r="23944" spans="26:26" x14ac:dyDescent="0.2">
      <c r="Z23944" t="str">
        <f t="shared" si="374"/>
        <v/>
      </c>
    </row>
    <row r="23945" spans="26:26" x14ac:dyDescent="0.2">
      <c r="Z23945" t="str">
        <f t="shared" si="374"/>
        <v/>
      </c>
    </row>
    <row r="23946" spans="26:26" x14ac:dyDescent="0.2">
      <c r="Z23946" t="str">
        <f t="shared" si="374"/>
        <v/>
      </c>
    </row>
    <row r="23947" spans="26:26" x14ac:dyDescent="0.2">
      <c r="Z23947" t="str">
        <f t="shared" si="374"/>
        <v/>
      </c>
    </row>
    <row r="23948" spans="26:26" x14ac:dyDescent="0.2">
      <c r="Z23948" t="str">
        <f t="shared" si="374"/>
        <v/>
      </c>
    </row>
    <row r="23949" spans="26:26" x14ac:dyDescent="0.2">
      <c r="Z23949" t="str">
        <f t="shared" si="374"/>
        <v/>
      </c>
    </row>
    <row r="23950" spans="26:26" x14ac:dyDescent="0.2">
      <c r="Z23950" t="str">
        <f t="shared" si="374"/>
        <v/>
      </c>
    </row>
    <row r="23951" spans="26:26" x14ac:dyDescent="0.2">
      <c r="Z23951" t="str">
        <f t="shared" si="374"/>
        <v/>
      </c>
    </row>
    <row r="23952" spans="26:26" x14ac:dyDescent="0.2">
      <c r="Z23952" t="str">
        <f t="shared" si="374"/>
        <v/>
      </c>
    </row>
    <row r="23953" spans="26:26" x14ac:dyDescent="0.2">
      <c r="Z23953" t="str">
        <f t="shared" si="374"/>
        <v/>
      </c>
    </row>
    <row r="23954" spans="26:26" x14ac:dyDescent="0.2">
      <c r="Z23954" t="str">
        <f t="shared" si="374"/>
        <v/>
      </c>
    </row>
    <row r="23955" spans="26:26" x14ac:dyDescent="0.2">
      <c r="Z23955" t="str">
        <f t="shared" si="374"/>
        <v/>
      </c>
    </row>
    <row r="23956" spans="26:26" x14ac:dyDescent="0.2">
      <c r="Z23956" t="str">
        <f t="shared" si="374"/>
        <v/>
      </c>
    </row>
    <row r="23957" spans="26:26" x14ac:dyDescent="0.2">
      <c r="Z23957" t="str">
        <f t="shared" si="374"/>
        <v/>
      </c>
    </row>
    <row r="23958" spans="26:26" x14ac:dyDescent="0.2">
      <c r="Z23958" t="str">
        <f t="shared" si="374"/>
        <v/>
      </c>
    </row>
    <row r="23959" spans="26:26" x14ac:dyDescent="0.2">
      <c r="Z23959" t="str">
        <f t="shared" si="374"/>
        <v/>
      </c>
    </row>
    <row r="23960" spans="26:26" x14ac:dyDescent="0.2">
      <c r="Z23960" t="str">
        <f t="shared" si="374"/>
        <v/>
      </c>
    </row>
    <row r="23961" spans="26:26" x14ac:dyDescent="0.2">
      <c r="Z23961" t="str">
        <f t="shared" si="374"/>
        <v/>
      </c>
    </row>
    <row r="23962" spans="26:26" x14ac:dyDescent="0.2">
      <c r="Z23962" t="str">
        <f t="shared" si="374"/>
        <v/>
      </c>
    </row>
    <row r="23963" spans="26:26" x14ac:dyDescent="0.2">
      <c r="Z23963" t="str">
        <f t="shared" si="374"/>
        <v/>
      </c>
    </row>
    <row r="23964" spans="26:26" x14ac:dyDescent="0.2">
      <c r="Z23964" t="str">
        <f t="shared" si="374"/>
        <v/>
      </c>
    </row>
    <row r="23965" spans="26:26" x14ac:dyDescent="0.2">
      <c r="Z23965" t="str">
        <f t="shared" si="374"/>
        <v/>
      </c>
    </row>
    <row r="23966" spans="26:26" x14ac:dyDescent="0.2">
      <c r="Z23966" t="str">
        <f t="shared" si="374"/>
        <v/>
      </c>
    </row>
    <row r="23967" spans="26:26" x14ac:dyDescent="0.2">
      <c r="Z23967" t="str">
        <f t="shared" si="374"/>
        <v/>
      </c>
    </row>
    <row r="23968" spans="26:26" x14ac:dyDescent="0.2">
      <c r="Z23968" t="str">
        <f t="shared" si="374"/>
        <v/>
      </c>
    </row>
    <row r="23969" spans="26:26" x14ac:dyDescent="0.2">
      <c r="Z23969" t="str">
        <f t="shared" si="374"/>
        <v/>
      </c>
    </row>
    <row r="23970" spans="26:26" x14ac:dyDescent="0.2">
      <c r="Z23970" t="str">
        <f t="shared" si="374"/>
        <v/>
      </c>
    </row>
    <row r="23971" spans="26:26" x14ac:dyDescent="0.2">
      <c r="Z23971" t="str">
        <f t="shared" si="374"/>
        <v/>
      </c>
    </row>
    <row r="23972" spans="26:26" x14ac:dyDescent="0.2">
      <c r="Z23972" t="str">
        <f t="shared" si="374"/>
        <v/>
      </c>
    </row>
    <row r="23973" spans="26:26" x14ac:dyDescent="0.2">
      <c r="Z23973" t="str">
        <f t="shared" si="374"/>
        <v/>
      </c>
    </row>
    <row r="23974" spans="26:26" x14ac:dyDescent="0.2">
      <c r="Z23974" t="str">
        <f t="shared" si="374"/>
        <v/>
      </c>
    </row>
    <row r="23975" spans="26:26" x14ac:dyDescent="0.2">
      <c r="Z23975" t="str">
        <f t="shared" si="374"/>
        <v/>
      </c>
    </row>
    <row r="23976" spans="26:26" x14ac:dyDescent="0.2">
      <c r="Z23976" t="str">
        <f t="shared" si="374"/>
        <v/>
      </c>
    </row>
    <row r="23977" spans="26:26" x14ac:dyDescent="0.2">
      <c r="Z23977" t="str">
        <f t="shared" si="374"/>
        <v/>
      </c>
    </row>
    <row r="23978" spans="26:26" x14ac:dyDescent="0.2">
      <c r="Z23978" t="str">
        <f t="shared" si="374"/>
        <v/>
      </c>
    </row>
    <row r="23979" spans="26:26" x14ac:dyDescent="0.2">
      <c r="Z23979" t="str">
        <f t="shared" si="374"/>
        <v/>
      </c>
    </row>
    <row r="23980" spans="26:26" x14ac:dyDescent="0.2">
      <c r="Z23980" t="str">
        <f t="shared" si="374"/>
        <v/>
      </c>
    </row>
    <row r="23981" spans="26:26" x14ac:dyDescent="0.2">
      <c r="Z23981" t="str">
        <f t="shared" si="374"/>
        <v/>
      </c>
    </row>
    <row r="23982" spans="26:26" x14ac:dyDescent="0.2">
      <c r="Z23982" t="str">
        <f t="shared" si="374"/>
        <v/>
      </c>
    </row>
    <row r="23983" spans="26:26" x14ac:dyDescent="0.2">
      <c r="Z23983" t="str">
        <f t="shared" si="374"/>
        <v/>
      </c>
    </row>
    <row r="23984" spans="26:26" x14ac:dyDescent="0.2">
      <c r="Z23984" t="str">
        <f t="shared" si="374"/>
        <v/>
      </c>
    </row>
    <row r="23985" spans="26:26" x14ac:dyDescent="0.2">
      <c r="Z23985" t="str">
        <f t="shared" si="374"/>
        <v/>
      </c>
    </row>
    <row r="23986" spans="26:26" x14ac:dyDescent="0.2">
      <c r="Z23986" t="str">
        <f t="shared" si="374"/>
        <v/>
      </c>
    </row>
    <row r="23987" spans="26:26" x14ac:dyDescent="0.2">
      <c r="Z23987" t="str">
        <f t="shared" si="374"/>
        <v/>
      </c>
    </row>
    <row r="23988" spans="26:26" x14ac:dyDescent="0.2">
      <c r="Z23988" t="str">
        <f t="shared" si="374"/>
        <v/>
      </c>
    </row>
    <row r="23989" spans="26:26" x14ac:dyDescent="0.2">
      <c r="Z23989" t="str">
        <f t="shared" si="374"/>
        <v/>
      </c>
    </row>
    <row r="23990" spans="26:26" x14ac:dyDescent="0.2">
      <c r="Z23990" t="str">
        <f t="shared" si="374"/>
        <v/>
      </c>
    </row>
    <row r="23991" spans="26:26" x14ac:dyDescent="0.2">
      <c r="Z23991" t="str">
        <f t="shared" si="374"/>
        <v/>
      </c>
    </row>
    <row r="23992" spans="26:26" x14ac:dyDescent="0.2">
      <c r="Z23992" t="str">
        <f t="shared" si="374"/>
        <v/>
      </c>
    </row>
    <row r="23993" spans="26:26" x14ac:dyDescent="0.2">
      <c r="Z23993" t="str">
        <f t="shared" si="374"/>
        <v/>
      </c>
    </row>
    <row r="23994" spans="26:26" x14ac:dyDescent="0.2">
      <c r="Z23994" t="str">
        <f t="shared" si="374"/>
        <v/>
      </c>
    </row>
    <row r="23995" spans="26:26" x14ac:dyDescent="0.2">
      <c r="Z23995" t="str">
        <f t="shared" si="374"/>
        <v/>
      </c>
    </row>
    <row r="23996" spans="26:26" x14ac:dyDescent="0.2">
      <c r="Z23996" t="str">
        <f t="shared" si="374"/>
        <v/>
      </c>
    </row>
    <row r="23997" spans="26:26" x14ac:dyDescent="0.2">
      <c r="Z23997" t="str">
        <f t="shared" si="374"/>
        <v/>
      </c>
    </row>
    <row r="23998" spans="26:26" x14ac:dyDescent="0.2">
      <c r="Z23998" t="str">
        <f t="shared" si="374"/>
        <v/>
      </c>
    </row>
    <row r="23999" spans="26:26" x14ac:dyDescent="0.2">
      <c r="Z23999" t="str">
        <f t="shared" si="374"/>
        <v/>
      </c>
    </row>
    <row r="24000" spans="26:26" x14ac:dyDescent="0.2">
      <c r="Z24000" t="str">
        <f t="shared" si="374"/>
        <v/>
      </c>
    </row>
    <row r="24001" spans="26:26" x14ac:dyDescent="0.2">
      <c r="Z24001" t="str">
        <f t="shared" si="374"/>
        <v/>
      </c>
    </row>
    <row r="24002" spans="26:26" x14ac:dyDescent="0.2">
      <c r="Z24002" t="str">
        <f t="shared" si="374"/>
        <v/>
      </c>
    </row>
    <row r="24003" spans="26:26" x14ac:dyDescent="0.2">
      <c r="Z24003" t="str">
        <f t="shared" ref="Z24003:Z24066" si="375">IF(K24003="","",IFERROR(VALUE(TRIM(MID(K24003,FIND(CHAR(167),SUBSTITUTE(K24003,"-",CHAR(167),LEN(K24003)-LEN(SUBSTITUTE(K24003,"-",""))))+1,100))),K24003))</f>
        <v/>
      </c>
    </row>
    <row r="24004" spans="26:26" x14ac:dyDescent="0.2">
      <c r="Z24004" t="str">
        <f t="shared" si="375"/>
        <v/>
      </c>
    </row>
    <row r="24005" spans="26:26" x14ac:dyDescent="0.2">
      <c r="Z24005" t="str">
        <f t="shared" si="375"/>
        <v/>
      </c>
    </row>
    <row r="24006" spans="26:26" x14ac:dyDescent="0.2">
      <c r="Z24006" t="str">
        <f t="shared" si="375"/>
        <v/>
      </c>
    </row>
    <row r="24007" spans="26:26" x14ac:dyDescent="0.2">
      <c r="Z24007" t="str">
        <f t="shared" si="375"/>
        <v/>
      </c>
    </row>
    <row r="24008" spans="26:26" x14ac:dyDescent="0.2">
      <c r="Z24008" t="str">
        <f t="shared" si="375"/>
        <v/>
      </c>
    </row>
    <row r="24009" spans="26:26" x14ac:dyDescent="0.2">
      <c r="Z24009" t="str">
        <f t="shared" si="375"/>
        <v/>
      </c>
    </row>
    <row r="24010" spans="26:26" x14ac:dyDescent="0.2">
      <c r="Z24010" t="str">
        <f t="shared" si="375"/>
        <v/>
      </c>
    </row>
    <row r="24011" spans="26:26" x14ac:dyDescent="0.2">
      <c r="Z24011" t="str">
        <f t="shared" si="375"/>
        <v/>
      </c>
    </row>
    <row r="24012" spans="26:26" x14ac:dyDescent="0.2">
      <c r="Z24012" t="str">
        <f t="shared" si="375"/>
        <v/>
      </c>
    </row>
    <row r="24013" spans="26:26" x14ac:dyDescent="0.2">
      <c r="Z24013" t="str">
        <f t="shared" si="375"/>
        <v/>
      </c>
    </row>
    <row r="24014" spans="26:26" x14ac:dyDescent="0.2">
      <c r="Z24014" t="str">
        <f t="shared" si="375"/>
        <v/>
      </c>
    </row>
    <row r="24015" spans="26:26" x14ac:dyDescent="0.2">
      <c r="Z24015" t="str">
        <f t="shared" si="375"/>
        <v/>
      </c>
    </row>
    <row r="24016" spans="26:26" x14ac:dyDescent="0.2">
      <c r="Z24016" t="str">
        <f t="shared" si="375"/>
        <v/>
      </c>
    </row>
    <row r="24017" spans="26:26" x14ac:dyDescent="0.2">
      <c r="Z24017" t="str">
        <f t="shared" si="375"/>
        <v/>
      </c>
    </row>
    <row r="24018" spans="26:26" x14ac:dyDescent="0.2">
      <c r="Z24018" t="str">
        <f t="shared" si="375"/>
        <v/>
      </c>
    </row>
    <row r="24019" spans="26:26" x14ac:dyDescent="0.2">
      <c r="Z24019" t="str">
        <f t="shared" si="375"/>
        <v/>
      </c>
    </row>
    <row r="24020" spans="26:26" x14ac:dyDescent="0.2">
      <c r="Z24020" t="str">
        <f t="shared" si="375"/>
        <v/>
      </c>
    </row>
    <row r="24021" spans="26:26" x14ac:dyDescent="0.2">
      <c r="Z24021" t="str">
        <f t="shared" si="375"/>
        <v/>
      </c>
    </row>
    <row r="24022" spans="26:26" x14ac:dyDescent="0.2">
      <c r="Z24022" t="str">
        <f t="shared" si="375"/>
        <v/>
      </c>
    </row>
    <row r="24023" spans="26:26" x14ac:dyDescent="0.2">
      <c r="Z24023" t="str">
        <f t="shared" si="375"/>
        <v/>
      </c>
    </row>
    <row r="24024" spans="26:26" x14ac:dyDescent="0.2">
      <c r="Z24024" t="str">
        <f t="shared" si="375"/>
        <v/>
      </c>
    </row>
    <row r="24025" spans="26:26" x14ac:dyDescent="0.2">
      <c r="Z24025" t="str">
        <f t="shared" si="375"/>
        <v/>
      </c>
    </row>
    <row r="24026" spans="26:26" x14ac:dyDescent="0.2">
      <c r="Z24026" t="str">
        <f t="shared" si="375"/>
        <v/>
      </c>
    </row>
    <row r="24027" spans="26:26" x14ac:dyDescent="0.2">
      <c r="Z24027" t="str">
        <f t="shared" si="375"/>
        <v/>
      </c>
    </row>
    <row r="24028" spans="26:26" x14ac:dyDescent="0.2">
      <c r="Z24028" t="str">
        <f t="shared" si="375"/>
        <v/>
      </c>
    </row>
    <row r="24029" spans="26:26" x14ac:dyDescent="0.2">
      <c r="Z24029" t="str">
        <f t="shared" si="375"/>
        <v/>
      </c>
    </row>
    <row r="24030" spans="26:26" x14ac:dyDescent="0.2">
      <c r="Z24030" t="str">
        <f t="shared" si="375"/>
        <v/>
      </c>
    </row>
    <row r="24031" spans="26:26" x14ac:dyDescent="0.2">
      <c r="Z24031" t="str">
        <f t="shared" si="375"/>
        <v/>
      </c>
    </row>
    <row r="24032" spans="26:26" x14ac:dyDescent="0.2">
      <c r="Z24032" t="str">
        <f t="shared" si="375"/>
        <v/>
      </c>
    </row>
    <row r="24033" spans="26:26" x14ac:dyDescent="0.2">
      <c r="Z24033" t="str">
        <f t="shared" si="375"/>
        <v/>
      </c>
    </row>
    <row r="24034" spans="26:26" x14ac:dyDescent="0.2">
      <c r="Z24034" t="str">
        <f t="shared" si="375"/>
        <v/>
      </c>
    </row>
    <row r="24035" spans="26:26" x14ac:dyDescent="0.2">
      <c r="Z24035" t="str">
        <f t="shared" si="375"/>
        <v/>
      </c>
    </row>
    <row r="24036" spans="26:26" x14ac:dyDescent="0.2">
      <c r="Z24036" t="str">
        <f t="shared" si="375"/>
        <v/>
      </c>
    </row>
    <row r="24037" spans="26:26" x14ac:dyDescent="0.2">
      <c r="Z24037" t="str">
        <f t="shared" si="375"/>
        <v/>
      </c>
    </row>
    <row r="24038" spans="26:26" x14ac:dyDescent="0.2">
      <c r="Z24038" t="str">
        <f t="shared" si="375"/>
        <v/>
      </c>
    </row>
    <row r="24039" spans="26:26" x14ac:dyDescent="0.2">
      <c r="Z24039" t="str">
        <f t="shared" si="375"/>
        <v/>
      </c>
    </row>
    <row r="24040" spans="26:26" x14ac:dyDescent="0.2">
      <c r="Z24040" t="str">
        <f t="shared" si="375"/>
        <v/>
      </c>
    </row>
    <row r="24041" spans="26:26" x14ac:dyDescent="0.2">
      <c r="Z24041" t="str">
        <f t="shared" si="375"/>
        <v/>
      </c>
    </row>
    <row r="24042" spans="26:26" x14ac:dyDescent="0.2">
      <c r="Z24042" t="str">
        <f t="shared" si="375"/>
        <v/>
      </c>
    </row>
    <row r="24043" spans="26:26" x14ac:dyDescent="0.2">
      <c r="Z24043" t="str">
        <f t="shared" si="375"/>
        <v/>
      </c>
    </row>
    <row r="24044" spans="26:26" x14ac:dyDescent="0.2">
      <c r="Z24044" t="str">
        <f t="shared" si="375"/>
        <v/>
      </c>
    </row>
    <row r="24045" spans="26:26" x14ac:dyDescent="0.2">
      <c r="Z24045" t="str">
        <f t="shared" si="375"/>
        <v/>
      </c>
    </row>
    <row r="24046" spans="26:26" x14ac:dyDescent="0.2">
      <c r="Z24046" t="str">
        <f t="shared" si="375"/>
        <v/>
      </c>
    </row>
    <row r="24047" spans="26:26" x14ac:dyDescent="0.2">
      <c r="Z24047" t="str">
        <f t="shared" si="375"/>
        <v/>
      </c>
    </row>
    <row r="24048" spans="26:26" x14ac:dyDescent="0.2">
      <c r="Z24048" t="str">
        <f t="shared" si="375"/>
        <v/>
      </c>
    </row>
    <row r="24049" spans="26:26" x14ac:dyDescent="0.2">
      <c r="Z24049" t="str">
        <f t="shared" si="375"/>
        <v/>
      </c>
    </row>
    <row r="24050" spans="26:26" x14ac:dyDescent="0.2">
      <c r="Z24050" t="str">
        <f t="shared" si="375"/>
        <v/>
      </c>
    </row>
    <row r="24051" spans="26:26" x14ac:dyDescent="0.2">
      <c r="Z24051" t="str">
        <f t="shared" si="375"/>
        <v/>
      </c>
    </row>
    <row r="24052" spans="26:26" x14ac:dyDescent="0.2">
      <c r="Z24052" t="str">
        <f t="shared" si="375"/>
        <v/>
      </c>
    </row>
    <row r="24053" spans="26:26" x14ac:dyDescent="0.2">
      <c r="Z24053" t="str">
        <f t="shared" si="375"/>
        <v/>
      </c>
    </row>
    <row r="24054" spans="26:26" x14ac:dyDescent="0.2">
      <c r="Z24054" t="str">
        <f t="shared" si="375"/>
        <v/>
      </c>
    </row>
    <row r="24055" spans="26:26" x14ac:dyDescent="0.2">
      <c r="Z24055" t="str">
        <f t="shared" si="375"/>
        <v/>
      </c>
    </row>
    <row r="24056" spans="26:26" x14ac:dyDescent="0.2">
      <c r="Z24056" t="str">
        <f t="shared" si="375"/>
        <v/>
      </c>
    </row>
    <row r="24057" spans="26:26" x14ac:dyDescent="0.2">
      <c r="Z24057" t="str">
        <f t="shared" si="375"/>
        <v/>
      </c>
    </row>
    <row r="24058" spans="26:26" x14ac:dyDescent="0.2">
      <c r="Z24058" t="str">
        <f t="shared" si="375"/>
        <v/>
      </c>
    </row>
    <row r="24059" spans="26:26" x14ac:dyDescent="0.2">
      <c r="Z24059" t="str">
        <f t="shared" si="375"/>
        <v/>
      </c>
    </row>
    <row r="24060" spans="26:26" x14ac:dyDescent="0.2">
      <c r="Z24060" t="str">
        <f t="shared" si="375"/>
        <v/>
      </c>
    </row>
    <row r="24061" spans="26:26" x14ac:dyDescent="0.2">
      <c r="Z24061" t="str">
        <f t="shared" si="375"/>
        <v/>
      </c>
    </row>
    <row r="24062" spans="26:26" x14ac:dyDescent="0.2">
      <c r="Z24062" t="str">
        <f t="shared" si="375"/>
        <v/>
      </c>
    </row>
    <row r="24063" spans="26:26" x14ac:dyDescent="0.2">
      <c r="Z24063" t="str">
        <f t="shared" si="375"/>
        <v/>
      </c>
    </row>
    <row r="24064" spans="26:26" x14ac:dyDescent="0.2">
      <c r="Z24064" t="str">
        <f t="shared" si="375"/>
        <v/>
      </c>
    </row>
    <row r="24065" spans="26:26" x14ac:dyDescent="0.2">
      <c r="Z24065" t="str">
        <f t="shared" si="375"/>
        <v/>
      </c>
    </row>
    <row r="24066" spans="26:26" x14ac:dyDescent="0.2">
      <c r="Z24066" t="str">
        <f t="shared" si="375"/>
        <v/>
      </c>
    </row>
    <row r="24067" spans="26:26" x14ac:dyDescent="0.2">
      <c r="Z24067" t="str">
        <f t="shared" ref="Z24067:Z24130" si="376">IF(K24067="","",IFERROR(VALUE(TRIM(MID(K24067,FIND(CHAR(167),SUBSTITUTE(K24067,"-",CHAR(167),LEN(K24067)-LEN(SUBSTITUTE(K24067,"-",""))))+1,100))),K24067))</f>
        <v/>
      </c>
    </row>
    <row r="24068" spans="26:26" x14ac:dyDescent="0.2">
      <c r="Z24068" t="str">
        <f t="shared" si="376"/>
        <v/>
      </c>
    </row>
    <row r="24069" spans="26:26" x14ac:dyDescent="0.2">
      <c r="Z24069" t="str">
        <f t="shared" si="376"/>
        <v/>
      </c>
    </row>
    <row r="24070" spans="26:26" x14ac:dyDescent="0.2">
      <c r="Z24070" t="str">
        <f t="shared" si="376"/>
        <v/>
      </c>
    </row>
    <row r="24071" spans="26:26" x14ac:dyDescent="0.2">
      <c r="Z24071" t="str">
        <f t="shared" si="376"/>
        <v/>
      </c>
    </row>
    <row r="24072" spans="26:26" x14ac:dyDescent="0.2">
      <c r="Z24072" t="str">
        <f t="shared" si="376"/>
        <v/>
      </c>
    </row>
    <row r="24073" spans="26:26" x14ac:dyDescent="0.2">
      <c r="Z24073" t="str">
        <f t="shared" si="376"/>
        <v/>
      </c>
    </row>
    <row r="24074" spans="26:26" x14ac:dyDescent="0.2">
      <c r="Z24074" t="str">
        <f t="shared" si="376"/>
        <v/>
      </c>
    </row>
    <row r="24075" spans="26:26" x14ac:dyDescent="0.2">
      <c r="Z24075" t="str">
        <f t="shared" si="376"/>
        <v/>
      </c>
    </row>
    <row r="24076" spans="26:26" x14ac:dyDescent="0.2">
      <c r="Z24076" t="str">
        <f t="shared" si="376"/>
        <v/>
      </c>
    </row>
    <row r="24077" spans="26:26" x14ac:dyDescent="0.2">
      <c r="Z24077" t="str">
        <f t="shared" si="376"/>
        <v/>
      </c>
    </row>
    <row r="24078" spans="26:26" x14ac:dyDescent="0.2">
      <c r="Z24078" t="str">
        <f t="shared" si="376"/>
        <v/>
      </c>
    </row>
    <row r="24079" spans="26:26" x14ac:dyDescent="0.2">
      <c r="Z24079" t="str">
        <f t="shared" si="376"/>
        <v/>
      </c>
    </row>
    <row r="24080" spans="26:26" x14ac:dyDescent="0.2">
      <c r="Z24080" t="str">
        <f t="shared" si="376"/>
        <v/>
      </c>
    </row>
    <row r="24081" spans="26:26" x14ac:dyDescent="0.2">
      <c r="Z24081" t="str">
        <f t="shared" si="376"/>
        <v/>
      </c>
    </row>
    <row r="24082" spans="26:26" x14ac:dyDescent="0.2">
      <c r="Z24082" t="str">
        <f t="shared" si="376"/>
        <v/>
      </c>
    </row>
    <row r="24083" spans="26:26" x14ac:dyDescent="0.2">
      <c r="Z24083" t="str">
        <f t="shared" si="376"/>
        <v/>
      </c>
    </row>
    <row r="24084" spans="26:26" x14ac:dyDescent="0.2">
      <c r="Z24084" t="str">
        <f t="shared" si="376"/>
        <v/>
      </c>
    </row>
    <row r="24085" spans="26:26" x14ac:dyDescent="0.2">
      <c r="Z24085" t="str">
        <f t="shared" si="376"/>
        <v/>
      </c>
    </row>
    <row r="24086" spans="26:26" x14ac:dyDescent="0.2">
      <c r="Z24086" t="str">
        <f t="shared" si="376"/>
        <v/>
      </c>
    </row>
    <row r="24087" spans="26:26" x14ac:dyDescent="0.2">
      <c r="Z24087" t="str">
        <f t="shared" si="376"/>
        <v/>
      </c>
    </row>
    <row r="24088" spans="26:26" x14ac:dyDescent="0.2">
      <c r="Z24088" t="str">
        <f t="shared" si="376"/>
        <v/>
      </c>
    </row>
    <row r="24089" spans="26:26" x14ac:dyDescent="0.2">
      <c r="Z24089" t="str">
        <f t="shared" si="376"/>
        <v/>
      </c>
    </row>
    <row r="24090" spans="26:26" x14ac:dyDescent="0.2">
      <c r="Z24090" t="str">
        <f t="shared" si="376"/>
        <v/>
      </c>
    </row>
    <row r="24091" spans="26:26" x14ac:dyDescent="0.2">
      <c r="Z24091" t="str">
        <f t="shared" si="376"/>
        <v/>
      </c>
    </row>
    <row r="24092" spans="26:26" x14ac:dyDescent="0.2">
      <c r="Z24092" t="str">
        <f t="shared" si="376"/>
        <v/>
      </c>
    </row>
    <row r="24093" spans="26:26" x14ac:dyDescent="0.2">
      <c r="Z24093" t="str">
        <f t="shared" si="376"/>
        <v/>
      </c>
    </row>
    <row r="24094" spans="26:26" x14ac:dyDescent="0.2">
      <c r="Z24094" t="str">
        <f t="shared" si="376"/>
        <v/>
      </c>
    </row>
    <row r="24095" spans="26:26" x14ac:dyDescent="0.2">
      <c r="Z24095" t="str">
        <f t="shared" si="376"/>
        <v/>
      </c>
    </row>
    <row r="24096" spans="26:26" x14ac:dyDescent="0.2">
      <c r="Z24096" t="str">
        <f t="shared" si="376"/>
        <v/>
      </c>
    </row>
    <row r="24097" spans="26:26" x14ac:dyDescent="0.2">
      <c r="Z24097" t="str">
        <f t="shared" si="376"/>
        <v/>
      </c>
    </row>
    <row r="24098" spans="26:26" x14ac:dyDescent="0.2">
      <c r="Z24098" t="str">
        <f t="shared" si="376"/>
        <v/>
      </c>
    </row>
    <row r="24099" spans="26:26" x14ac:dyDescent="0.2">
      <c r="Z24099" t="str">
        <f t="shared" si="376"/>
        <v/>
      </c>
    </row>
    <row r="24100" spans="26:26" x14ac:dyDescent="0.2">
      <c r="Z24100" t="str">
        <f t="shared" si="376"/>
        <v/>
      </c>
    </row>
    <row r="24101" spans="26:26" x14ac:dyDescent="0.2">
      <c r="Z24101" t="str">
        <f t="shared" si="376"/>
        <v/>
      </c>
    </row>
    <row r="24102" spans="26:26" x14ac:dyDescent="0.2">
      <c r="Z24102" t="str">
        <f t="shared" si="376"/>
        <v/>
      </c>
    </row>
    <row r="24103" spans="26:26" x14ac:dyDescent="0.2">
      <c r="Z24103" t="str">
        <f t="shared" si="376"/>
        <v/>
      </c>
    </row>
    <row r="24104" spans="26:26" x14ac:dyDescent="0.2">
      <c r="Z24104" t="str">
        <f t="shared" si="376"/>
        <v/>
      </c>
    </row>
    <row r="24105" spans="26:26" x14ac:dyDescent="0.2">
      <c r="Z24105" t="str">
        <f t="shared" si="376"/>
        <v/>
      </c>
    </row>
    <row r="24106" spans="26:26" x14ac:dyDescent="0.2">
      <c r="Z24106" t="str">
        <f t="shared" si="376"/>
        <v/>
      </c>
    </row>
    <row r="24107" spans="26:26" x14ac:dyDescent="0.2">
      <c r="Z24107" t="str">
        <f t="shared" si="376"/>
        <v/>
      </c>
    </row>
    <row r="24108" spans="26:26" x14ac:dyDescent="0.2">
      <c r="Z24108" t="str">
        <f t="shared" si="376"/>
        <v/>
      </c>
    </row>
    <row r="24109" spans="26:26" x14ac:dyDescent="0.2">
      <c r="Z24109" t="str">
        <f t="shared" si="376"/>
        <v/>
      </c>
    </row>
    <row r="24110" spans="26:26" x14ac:dyDescent="0.2">
      <c r="Z24110" t="str">
        <f t="shared" si="376"/>
        <v/>
      </c>
    </row>
    <row r="24111" spans="26:26" x14ac:dyDescent="0.2">
      <c r="Z24111" t="str">
        <f t="shared" si="376"/>
        <v/>
      </c>
    </row>
    <row r="24112" spans="26:26" x14ac:dyDescent="0.2">
      <c r="Z24112" t="str">
        <f t="shared" si="376"/>
        <v/>
      </c>
    </row>
    <row r="24113" spans="26:26" x14ac:dyDescent="0.2">
      <c r="Z24113" t="str">
        <f t="shared" si="376"/>
        <v/>
      </c>
    </row>
    <row r="24114" spans="26:26" x14ac:dyDescent="0.2">
      <c r="Z24114" t="str">
        <f t="shared" si="376"/>
        <v/>
      </c>
    </row>
    <row r="24115" spans="26:26" x14ac:dyDescent="0.2">
      <c r="Z24115" t="str">
        <f t="shared" si="376"/>
        <v/>
      </c>
    </row>
    <row r="24116" spans="26:26" x14ac:dyDescent="0.2">
      <c r="Z24116" t="str">
        <f t="shared" si="376"/>
        <v/>
      </c>
    </row>
    <row r="24117" spans="26:26" x14ac:dyDescent="0.2">
      <c r="Z24117" t="str">
        <f t="shared" si="376"/>
        <v/>
      </c>
    </row>
    <row r="24118" spans="26:26" x14ac:dyDescent="0.2">
      <c r="Z24118" t="str">
        <f t="shared" si="376"/>
        <v/>
      </c>
    </row>
    <row r="24119" spans="26:26" x14ac:dyDescent="0.2">
      <c r="Z24119" t="str">
        <f t="shared" si="376"/>
        <v/>
      </c>
    </row>
    <row r="24120" spans="26:26" x14ac:dyDescent="0.2">
      <c r="Z24120" t="str">
        <f t="shared" si="376"/>
        <v/>
      </c>
    </row>
    <row r="24121" spans="26:26" x14ac:dyDescent="0.2">
      <c r="Z24121" t="str">
        <f t="shared" si="376"/>
        <v/>
      </c>
    </row>
    <row r="24122" spans="26:26" x14ac:dyDescent="0.2">
      <c r="Z24122" t="str">
        <f t="shared" si="376"/>
        <v/>
      </c>
    </row>
    <row r="24123" spans="26:26" x14ac:dyDescent="0.2">
      <c r="Z24123" t="str">
        <f t="shared" si="376"/>
        <v/>
      </c>
    </row>
    <row r="24124" spans="26:26" x14ac:dyDescent="0.2">
      <c r="Z24124" t="str">
        <f t="shared" si="376"/>
        <v/>
      </c>
    </row>
    <row r="24125" spans="26:26" x14ac:dyDescent="0.2">
      <c r="Z24125" t="str">
        <f t="shared" si="376"/>
        <v/>
      </c>
    </row>
    <row r="24126" spans="26:26" x14ac:dyDescent="0.2">
      <c r="Z24126" t="str">
        <f t="shared" si="376"/>
        <v/>
      </c>
    </row>
    <row r="24127" spans="26:26" x14ac:dyDescent="0.2">
      <c r="Z24127" t="str">
        <f t="shared" si="376"/>
        <v/>
      </c>
    </row>
    <row r="24128" spans="26:26" x14ac:dyDescent="0.2">
      <c r="Z24128" t="str">
        <f t="shared" si="376"/>
        <v/>
      </c>
    </row>
    <row r="24129" spans="26:26" x14ac:dyDescent="0.2">
      <c r="Z24129" t="str">
        <f t="shared" si="376"/>
        <v/>
      </c>
    </row>
    <row r="24130" spans="26:26" x14ac:dyDescent="0.2">
      <c r="Z24130" t="str">
        <f t="shared" si="376"/>
        <v/>
      </c>
    </row>
    <row r="24131" spans="26:26" x14ac:dyDescent="0.2">
      <c r="Z24131" t="str">
        <f t="shared" ref="Z24131:Z24194" si="377">IF(K24131="","",IFERROR(VALUE(TRIM(MID(K24131,FIND(CHAR(167),SUBSTITUTE(K24131,"-",CHAR(167),LEN(K24131)-LEN(SUBSTITUTE(K24131,"-",""))))+1,100))),K24131))</f>
        <v/>
      </c>
    </row>
    <row r="24132" spans="26:26" x14ac:dyDescent="0.2">
      <c r="Z24132" t="str">
        <f t="shared" si="377"/>
        <v/>
      </c>
    </row>
    <row r="24133" spans="26:26" x14ac:dyDescent="0.2">
      <c r="Z24133" t="str">
        <f t="shared" si="377"/>
        <v/>
      </c>
    </row>
    <row r="24134" spans="26:26" x14ac:dyDescent="0.2">
      <c r="Z24134" t="str">
        <f t="shared" si="377"/>
        <v/>
      </c>
    </row>
    <row r="24135" spans="26:26" x14ac:dyDescent="0.2">
      <c r="Z24135" t="str">
        <f t="shared" si="377"/>
        <v/>
      </c>
    </row>
    <row r="24136" spans="26:26" x14ac:dyDescent="0.2">
      <c r="Z24136" t="str">
        <f t="shared" si="377"/>
        <v/>
      </c>
    </row>
    <row r="24137" spans="26:26" x14ac:dyDescent="0.2">
      <c r="Z24137" t="str">
        <f t="shared" si="377"/>
        <v/>
      </c>
    </row>
    <row r="24138" spans="26:26" x14ac:dyDescent="0.2">
      <c r="Z24138" t="str">
        <f t="shared" si="377"/>
        <v/>
      </c>
    </row>
    <row r="24139" spans="26:26" x14ac:dyDescent="0.2">
      <c r="Z24139" t="str">
        <f t="shared" si="377"/>
        <v/>
      </c>
    </row>
    <row r="24140" spans="26:26" x14ac:dyDescent="0.2">
      <c r="Z24140" t="str">
        <f t="shared" si="377"/>
        <v/>
      </c>
    </row>
    <row r="24141" spans="26:26" x14ac:dyDescent="0.2">
      <c r="Z24141" t="str">
        <f t="shared" si="377"/>
        <v/>
      </c>
    </row>
    <row r="24142" spans="26:26" x14ac:dyDescent="0.2">
      <c r="Z24142" t="str">
        <f t="shared" si="377"/>
        <v/>
      </c>
    </row>
    <row r="24143" spans="26:26" x14ac:dyDescent="0.2">
      <c r="Z24143" t="str">
        <f t="shared" si="377"/>
        <v/>
      </c>
    </row>
    <row r="24144" spans="26:26" x14ac:dyDescent="0.2">
      <c r="Z24144" t="str">
        <f t="shared" si="377"/>
        <v/>
      </c>
    </row>
    <row r="24145" spans="26:26" x14ac:dyDescent="0.2">
      <c r="Z24145" t="str">
        <f t="shared" si="377"/>
        <v/>
      </c>
    </row>
    <row r="24146" spans="26:26" x14ac:dyDescent="0.2">
      <c r="Z24146" t="str">
        <f t="shared" si="377"/>
        <v/>
      </c>
    </row>
    <row r="24147" spans="26:26" x14ac:dyDescent="0.2">
      <c r="Z24147" t="str">
        <f t="shared" si="377"/>
        <v/>
      </c>
    </row>
    <row r="24148" spans="26:26" x14ac:dyDescent="0.2">
      <c r="Z24148" t="str">
        <f t="shared" si="377"/>
        <v/>
      </c>
    </row>
    <row r="24149" spans="26:26" x14ac:dyDescent="0.2">
      <c r="Z24149" t="str">
        <f t="shared" si="377"/>
        <v/>
      </c>
    </row>
    <row r="24150" spans="26:26" x14ac:dyDescent="0.2">
      <c r="Z24150" t="str">
        <f t="shared" si="377"/>
        <v/>
      </c>
    </row>
    <row r="24151" spans="26:26" x14ac:dyDescent="0.2">
      <c r="Z24151" t="str">
        <f t="shared" si="377"/>
        <v/>
      </c>
    </row>
    <row r="24152" spans="26:26" x14ac:dyDescent="0.2">
      <c r="Z24152" t="str">
        <f t="shared" si="377"/>
        <v/>
      </c>
    </row>
    <row r="24153" spans="26:26" x14ac:dyDescent="0.2">
      <c r="Z24153" t="str">
        <f t="shared" si="377"/>
        <v/>
      </c>
    </row>
    <row r="24154" spans="26:26" x14ac:dyDescent="0.2">
      <c r="Z24154" t="str">
        <f t="shared" si="377"/>
        <v/>
      </c>
    </row>
    <row r="24155" spans="26:26" x14ac:dyDescent="0.2">
      <c r="Z24155" t="str">
        <f t="shared" si="377"/>
        <v/>
      </c>
    </row>
    <row r="24156" spans="26:26" x14ac:dyDescent="0.2">
      <c r="Z24156" t="str">
        <f t="shared" si="377"/>
        <v/>
      </c>
    </row>
    <row r="24157" spans="26:26" x14ac:dyDescent="0.2">
      <c r="Z24157" t="str">
        <f t="shared" si="377"/>
        <v/>
      </c>
    </row>
    <row r="24158" spans="26:26" x14ac:dyDescent="0.2">
      <c r="Z24158" t="str">
        <f t="shared" si="377"/>
        <v/>
      </c>
    </row>
    <row r="24159" spans="26:26" x14ac:dyDescent="0.2">
      <c r="Z24159" t="str">
        <f t="shared" si="377"/>
        <v/>
      </c>
    </row>
    <row r="24160" spans="26:26" x14ac:dyDescent="0.2">
      <c r="Z24160" t="str">
        <f t="shared" si="377"/>
        <v/>
      </c>
    </row>
    <row r="24161" spans="26:26" x14ac:dyDescent="0.2">
      <c r="Z24161" t="str">
        <f t="shared" si="377"/>
        <v/>
      </c>
    </row>
    <row r="24162" spans="26:26" x14ac:dyDescent="0.2">
      <c r="Z24162" t="str">
        <f t="shared" si="377"/>
        <v/>
      </c>
    </row>
    <row r="24163" spans="26:26" x14ac:dyDescent="0.2">
      <c r="Z24163" t="str">
        <f t="shared" si="377"/>
        <v/>
      </c>
    </row>
    <row r="24164" spans="26:26" x14ac:dyDescent="0.2">
      <c r="Z24164" t="str">
        <f t="shared" si="377"/>
        <v/>
      </c>
    </row>
    <row r="24165" spans="26:26" x14ac:dyDescent="0.2">
      <c r="Z24165" t="str">
        <f t="shared" si="377"/>
        <v/>
      </c>
    </row>
    <row r="24166" spans="26:26" x14ac:dyDescent="0.2">
      <c r="Z24166" t="str">
        <f t="shared" si="377"/>
        <v/>
      </c>
    </row>
    <row r="24167" spans="26:26" x14ac:dyDescent="0.2">
      <c r="Z24167" t="str">
        <f t="shared" si="377"/>
        <v/>
      </c>
    </row>
    <row r="24168" spans="26:26" x14ac:dyDescent="0.2">
      <c r="Z24168" t="str">
        <f t="shared" si="377"/>
        <v/>
      </c>
    </row>
    <row r="24169" spans="26:26" x14ac:dyDescent="0.2">
      <c r="Z24169" t="str">
        <f t="shared" si="377"/>
        <v/>
      </c>
    </row>
    <row r="24170" spans="26:26" x14ac:dyDescent="0.2">
      <c r="Z24170" t="str">
        <f t="shared" si="377"/>
        <v/>
      </c>
    </row>
    <row r="24171" spans="26:26" x14ac:dyDescent="0.2">
      <c r="Z24171" t="str">
        <f t="shared" si="377"/>
        <v/>
      </c>
    </row>
    <row r="24172" spans="26:26" x14ac:dyDescent="0.2">
      <c r="Z24172" t="str">
        <f t="shared" si="377"/>
        <v/>
      </c>
    </row>
    <row r="24173" spans="26:26" x14ac:dyDescent="0.2">
      <c r="Z24173" t="str">
        <f t="shared" si="377"/>
        <v/>
      </c>
    </row>
    <row r="24174" spans="26:26" x14ac:dyDescent="0.2">
      <c r="Z24174" t="str">
        <f t="shared" si="377"/>
        <v/>
      </c>
    </row>
    <row r="24175" spans="26:26" x14ac:dyDescent="0.2">
      <c r="Z24175" t="str">
        <f t="shared" si="377"/>
        <v/>
      </c>
    </row>
    <row r="24176" spans="26:26" x14ac:dyDescent="0.2">
      <c r="Z24176" t="str">
        <f t="shared" si="377"/>
        <v/>
      </c>
    </row>
    <row r="24177" spans="26:26" x14ac:dyDescent="0.2">
      <c r="Z24177" t="str">
        <f t="shared" si="377"/>
        <v/>
      </c>
    </row>
    <row r="24178" spans="26:26" x14ac:dyDescent="0.2">
      <c r="Z24178" t="str">
        <f t="shared" si="377"/>
        <v/>
      </c>
    </row>
    <row r="24179" spans="26:26" x14ac:dyDescent="0.2">
      <c r="Z24179" t="str">
        <f t="shared" si="377"/>
        <v/>
      </c>
    </row>
    <row r="24180" spans="26:26" x14ac:dyDescent="0.2">
      <c r="Z24180" t="str">
        <f t="shared" si="377"/>
        <v/>
      </c>
    </row>
    <row r="24181" spans="26:26" x14ac:dyDescent="0.2">
      <c r="Z24181" t="str">
        <f t="shared" si="377"/>
        <v/>
      </c>
    </row>
    <row r="24182" spans="26:26" x14ac:dyDescent="0.2">
      <c r="Z24182" t="str">
        <f t="shared" si="377"/>
        <v/>
      </c>
    </row>
    <row r="24183" spans="26:26" x14ac:dyDescent="0.2">
      <c r="Z24183" t="str">
        <f t="shared" si="377"/>
        <v/>
      </c>
    </row>
    <row r="24184" spans="26:26" x14ac:dyDescent="0.2">
      <c r="Z24184" t="str">
        <f t="shared" si="377"/>
        <v/>
      </c>
    </row>
    <row r="24185" spans="26:26" x14ac:dyDescent="0.2">
      <c r="Z24185" t="str">
        <f t="shared" si="377"/>
        <v/>
      </c>
    </row>
    <row r="24186" spans="26:26" x14ac:dyDescent="0.2">
      <c r="Z24186" t="str">
        <f t="shared" si="377"/>
        <v/>
      </c>
    </row>
    <row r="24187" spans="26:26" x14ac:dyDescent="0.2">
      <c r="Z24187" t="str">
        <f t="shared" si="377"/>
        <v/>
      </c>
    </row>
    <row r="24188" spans="26:26" x14ac:dyDescent="0.2">
      <c r="Z24188" t="str">
        <f t="shared" si="377"/>
        <v/>
      </c>
    </row>
    <row r="24189" spans="26:26" x14ac:dyDescent="0.2">
      <c r="Z24189" t="str">
        <f t="shared" si="377"/>
        <v/>
      </c>
    </row>
    <row r="24190" spans="26:26" x14ac:dyDescent="0.2">
      <c r="Z24190" t="str">
        <f t="shared" si="377"/>
        <v/>
      </c>
    </row>
    <row r="24191" spans="26:26" x14ac:dyDescent="0.2">
      <c r="Z24191" t="str">
        <f t="shared" si="377"/>
        <v/>
      </c>
    </row>
    <row r="24192" spans="26:26" x14ac:dyDescent="0.2">
      <c r="Z24192" t="str">
        <f t="shared" si="377"/>
        <v/>
      </c>
    </row>
    <row r="24193" spans="26:26" x14ac:dyDescent="0.2">
      <c r="Z24193" t="str">
        <f t="shared" si="377"/>
        <v/>
      </c>
    </row>
    <row r="24194" spans="26:26" x14ac:dyDescent="0.2">
      <c r="Z24194" t="str">
        <f t="shared" si="377"/>
        <v/>
      </c>
    </row>
    <row r="24195" spans="26:26" x14ac:dyDescent="0.2">
      <c r="Z24195" t="str">
        <f t="shared" ref="Z24195:Z24258" si="378">IF(K24195="","",IFERROR(VALUE(TRIM(MID(K24195,FIND(CHAR(167),SUBSTITUTE(K24195,"-",CHAR(167),LEN(K24195)-LEN(SUBSTITUTE(K24195,"-",""))))+1,100))),K24195))</f>
        <v/>
      </c>
    </row>
    <row r="24196" spans="26:26" x14ac:dyDescent="0.2">
      <c r="Z24196" t="str">
        <f t="shared" si="378"/>
        <v/>
      </c>
    </row>
    <row r="24197" spans="26:26" x14ac:dyDescent="0.2">
      <c r="Z24197" t="str">
        <f t="shared" si="378"/>
        <v/>
      </c>
    </row>
    <row r="24198" spans="26:26" x14ac:dyDescent="0.2">
      <c r="Z24198" t="str">
        <f t="shared" si="378"/>
        <v/>
      </c>
    </row>
    <row r="24199" spans="26:26" x14ac:dyDescent="0.2">
      <c r="Z24199" t="str">
        <f t="shared" si="378"/>
        <v/>
      </c>
    </row>
    <row r="24200" spans="26:26" x14ac:dyDescent="0.2">
      <c r="Z24200" t="str">
        <f t="shared" si="378"/>
        <v/>
      </c>
    </row>
    <row r="24201" spans="26:26" x14ac:dyDescent="0.2">
      <c r="Z24201" t="str">
        <f t="shared" si="378"/>
        <v/>
      </c>
    </row>
    <row r="24202" spans="26:26" x14ac:dyDescent="0.2">
      <c r="Z24202" t="str">
        <f t="shared" si="378"/>
        <v/>
      </c>
    </row>
    <row r="24203" spans="26:26" x14ac:dyDescent="0.2">
      <c r="Z24203" t="str">
        <f t="shared" si="378"/>
        <v/>
      </c>
    </row>
    <row r="24204" spans="26:26" x14ac:dyDescent="0.2">
      <c r="Z24204" t="str">
        <f t="shared" si="378"/>
        <v/>
      </c>
    </row>
    <row r="24205" spans="26:26" x14ac:dyDescent="0.2">
      <c r="Z24205" t="str">
        <f t="shared" si="378"/>
        <v/>
      </c>
    </row>
    <row r="24206" spans="26:26" x14ac:dyDescent="0.2">
      <c r="Z24206" t="str">
        <f t="shared" si="378"/>
        <v/>
      </c>
    </row>
    <row r="24207" spans="26:26" x14ac:dyDescent="0.2">
      <c r="Z24207" t="str">
        <f t="shared" si="378"/>
        <v/>
      </c>
    </row>
    <row r="24208" spans="26:26" x14ac:dyDescent="0.2">
      <c r="Z24208" t="str">
        <f t="shared" si="378"/>
        <v/>
      </c>
    </row>
    <row r="24209" spans="26:26" x14ac:dyDescent="0.2">
      <c r="Z24209" t="str">
        <f t="shared" si="378"/>
        <v/>
      </c>
    </row>
    <row r="24210" spans="26:26" x14ac:dyDescent="0.2">
      <c r="Z24210" t="str">
        <f t="shared" si="378"/>
        <v/>
      </c>
    </row>
    <row r="24211" spans="26:26" x14ac:dyDescent="0.2">
      <c r="Z24211" t="str">
        <f t="shared" si="378"/>
        <v/>
      </c>
    </row>
    <row r="24212" spans="26:26" x14ac:dyDescent="0.2">
      <c r="Z24212" t="str">
        <f t="shared" si="378"/>
        <v/>
      </c>
    </row>
    <row r="24213" spans="26:26" x14ac:dyDescent="0.2">
      <c r="Z24213" t="str">
        <f t="shared" si="378"/>
        <v/>
      </c>
    </row>
    <row r="24214" spans="26:26" x14ac:dyDescent="0.2">
      <c r="Z24214" t="str">
        <f t="shared" si="378"/>
        <v/>
      </c>
    </row>
    <row r="24215" spans="26:26" x14ac:dyDescent="0.2">
      <c r="Z24215" t="str">
        <f t="shared" si="378"/>
        <v/>
      </c>
    </row>
    <row r="24216" spans="26:26" x14ac:dyDescent="0.2">
      <c r="Z24216" t="str">
        <f t="shared" si="378"/>
        <v/>
      </c>
    </row>
    <row r="24217" spans="26:26" x14ac:dyDescent="0.2">
      <c r="Z24217" t="str">
        <f t="shared" si="378"/>
        <v/>
      </c>
    </row>
    <row r="24218" spans="26:26" x14ac:dyDescent="0.2">
      <c r="Z24218" t="str">
        <f t="shared" si="378"/>
        <v/>
      </c>
    </row>
    <row r="24219" spans="26:26" x14ac:dyDescent="0.2">
      <c r="Z24219" t="str">
        <f t="shared" si="378"/>
        <v/>
      </c>
    </row>
    <row r="24220" spans="26:26" x14ac:dyDescent="0.2">
      <c r="Z24220" t="str">
        <f t="shared" si="378"/>
        <v/>
      </c>
    </row>
    <row r="24221" spans="26:26" x14ac:dyDescent="0.2">
      <c r="Z24221" t="str">
        <f t="shared" si="378"/>
        <v/>
      </c>
    </row>
    <row r="24222" spans="26:26" x14ac:dyDescent="0.2">
      <c r="Z24222" t="str">
        <f t="shared" si="378"/>
        <v/>
      </c>
    </row>
    <row r="24223" spans="26:26" x14ac:dyDescent="0.2">
      <c r="Z24223" t="str">
        <f t="shared" si="378"/>
        <v/>
      </c>
    </row>
    <row r="24224" spans="26:26" x14ac:dyDescent="0.2">
      <c r="Z24224" t="str">
        <f t="shared" si="378"/>
        <v/>
      </c>
    </row>
    <row r="24225" spans="26:26" x14ac:dyDescent="0.2">
      <c r="Z24225" t="str">
        <f t="shared" si="378"/>
        <v/>
      </c>
    </row>
    <row r="24226" spans="26:26" x14ac:dyDescent="0.2">
      <c r="Z24226" t="str">
        <f t="shared" si="378"/>
        <v/>
      </c>
    </row>
    <row r="24227" spans="26:26" x14ac:dyDescent="0.2">
      <c r="Z24227" t="str">
        <f t="shared" si="378"/>
        <v/>
      </c>
    </row>
    <row r="24228" spans="26:26" x14ac:dyDescent="0.2">
      <c r="Z24228" t="str">
        <f t="shared" si="378"/>
        <v/>
      </c>
    </row>
    <row r="24229" spans="26:26" x14ac:dyDescent="0.2">
      <c r="Z24229" t="str">
        <f t="shared" si="378"/>
        <v/>
      </c>
    </row>
    <row r="24230" spans="26:26" x14ac:dyDescent="0.2">
      <c r="Z24230" t="str">
        <f t="shared" si="378"/>
        <v/>
      </c>
    </row>
    <row r="24231" spans="26:26" x14ac:dyDescent="0.2">
      <c r="Z24231" t="str">
        <f t="shared" si="378"/>
        <v/>
      </c>
    </row>
    <row r="24232" spans="26:26" x14ac:dyDescent="0.2">
      <c r="Z24232" t="str">
        <f t="shared" si="378"/>
        <v/>
      </c>
    </row>
    <row r="24233" spans="26:26" x14ac:dyDescent="0.2">
      <c r="Z24233" t="str">
        <f t="shared" si="378"/>
        <v/>
      </c>
    </row>
    <row r="24234" spans="26:26" x14ac:dyDescent="0.2">
      <c r="Z24234" t="str">
        <f t="shared" si="378"/>
        <v/>
      </c>
    </row>
    <row r="24235" spans="26:26" x14ac:dyDescent="0.2">
      <c r="Z24235" t="str">
        <f t="shared" si="378"/>
        <v/>
      </c>
    </row>
    <row r="24236" spans="26:26" x14ac:dyDescent="0.2">
      <c r="Z24236" t="str">
        <f t="shared" si="378"/>
        <v/>
      </c>
    </row>
    <row r="24237" spans="26:26" x14ac:dyDescent="0.2">
      <c r="Z24237" t="str">
        <f t="shared" si="378"/>
        <v/>
      </c>
    </row>
    <row r="24238" spans="26:26" x14ac:dyDescent="0.2">
      <c r="Z24238" t="str">
        <f t="shared" si="378"/>
        <v/>
      </c>
    </row>
    <row r="24239" spans="26:26" x14ac:dyDescent="0.2">
      <c r="Z24239" t="str">
        <f t="shared" si="378"/>
        <v/>
      </c>
    </row>
    <row r="24240" spans="26:26" x14ac:dyDescent="0.2">
      <c r="Z24240" t="str">
        <f t="shared" si="378"/>
        <v/>
      </c>
    </row>
    <row r="24241" spans="26:26" x14ac:dyDescent="0.2">
      <c r="Z24241" t="str">
        <f t="shared" si="378"/>
        <v/>
      </c>
    </row>
    <row r="24242" spans="26:26" x14ac:dyDescent="0.2">
      <c r="Z24242" t="str">
        <f t="shared" si="378"/>
        <v/>
      </c>
    </row>
    <row r="24243" spans="26:26" x14ac:dyDescent="0.2">
      <c r="Z24243" t="str">
        <f t="shared" si="378"/>
        <v/>
      </c>
    </row>
    <row r="24244" spans="26:26" x14ac:dyDescent="0.2">
      <c r="Z24244" t="str">
        <f t="shared" si="378"/>
        <v/>
      </c>
    </row>
    <row r="24245" spans="26:26" x14ac:dyDescent="0.2">
      <c r="Z24245" t="str">
        <f t="shared" si="378"/>
        <v/>
      </c>
    </row>
    <row r="24246" spans="26:26" x14ac:dyDescent="0.2">
      <c r="Z24246" t="str">
        <f t="shared" si="378"/>
        <v/>
      </c>
    </row>
    <row r="24247" spans="26:26" x14ac:dyDescent="0.2">
      <c r="Z24247" t="str">
        <f t="shared" si="378"/>
        <v/>
      </c>
    </row>
    <row r="24248" spans="26:26" x14ac:dyDescent="0.2">
      <c r="Z24248" t="str">
        <f t="shared" si="378"/>
        <v/>
      </c>
    </row>
    <row r="24249" spans="26:26" x14ac:dyDescent="0.2">
      <c r="Z24249" t="str">
        <f t="shared" si="378"/>
        <v/>
      </c>
    </row>
    <row r="24250" spans="26:26" x14ac:dyDescent="0.2">
      <c r="Z24250" t="str">
        <f t="shared" si="378"/>
        <v/>
      </c>
    </row>
    <row r="24251" spans="26:26" x14ac:dyDescent="0.2">
      <c r="Z24251" t="str">
        <f t="shared" si="378"/>
        <v/>
      </c>
    </row>
    <row r="24252" spans="26:26" x14ac:dyDescent="0.2">
      <c r="Z24252" t="str">
        <f t="shared" si="378"/>
        <v/>
      </c>
    </row>
    <row r="24253" spans="26:26" x14ac:dyDescent="0.2">
      <c r="Z24253" t="str">
        <f t="shared" si="378"/>
        <v/>
      </c>
    </row>
    <row r="24254" spans="26:26" x14ac:dyDescent="0.2">
      <c r="Z24254" t="str">
        <f t="shared" si="378"/>
        <v/>
      </c>
    </row>
    <row r="24255" spans="26:26" x14ac:dyDescent="0.2">
      <c r="Z24255" t="str">
        <f t="shared" si="378"/>
        <v/>
      </c>
    </row>
    <row r="24256" spans="26:26" x14ac:dyDescent="0.2">
      <c r="Z24256" t="str">
        <f t="shared" si="378"/>
        <v/>
      </c>
    </row>
    <row r="24257" spans="26:26" x14ac:dyDescent="0.2">
      <c r="Z24257" t="str">
        <f t="shared" si="378"/>
        <v/>
      </c>
    </row>
    <row r="24258" spans="26:26" x14ac:dyDescent="0.2">
      <c r="Z24258" t="str">
        <f t="shared" si="378"/>
        <v/>
      </c>
    </row>
    <row r="24259" spans="26:26" x14ac:dyDescent="0.2">
      <c r="Z24259" t="str">
        <f t="shared" ref="Z24259:Z24322" si="379">IF(K24259="","",IFERROR(VALUE(TRIM(MID(K24259,FIND(CHAR(167),SUBSTITUTE(K24259,"-",CHAR(167),LEN(K24259)-LEN(SUBSTITUTE(K24259,"-",""))))+1,100))),K24259))</f>
        <v/>
      </c>
    </row>
    <row r="24260" spans="26:26" x14ac:dyDescent="0.2">
      <c r="Z24260" t="str">
        <f t="shared" si="379"/>
        <v/>
      </c>
    </row>
    <row r="24261" spans="26:26" x14ac:dyDescent="0.2">
      <c r="Z24261" t="str">
        <f t="shared" si="379"/>
        <v/>
      </c>
    </row>
    <row r="24262" spans="26:26" x14ac:dyDescent="0.2">
      <c r="Z24262" t="str">
        <f t="shared" si="379"/>
        <v/>
      </c>
    </row>
    <row r="24263" spans="26:26" x14ac:dyDescent="0.2">
      <c r="Z24263" t="str">
        <f t="shared" si="379"/>
        <v/>
      </c>
    </row>
    <row r="24264" spans="26:26" x14ac:dyDescent="0.2">
      <c r="Z24264" t="str">
        <f t="shared" si="379"/>
        <v/>
      </c>
    </row>
    <row r="24265" spans="26:26" x14ac:dyDescent="0.2">
      <c r="Z24265" t="str">
        <f t="shared" si="379"/>
        <v/>
      </c>
    </row>
    <row r="24266" spans="26:26" x14ac:dyDescent="0.2">
      <c r="Z24266" t="str">
        <f t="shared" si="379"/>
        <v/>
      </c>
    </row>
    <row r="24267" spans="26:26" x14ac:dyDescent="0.2">
      <c r="Z24267" t="str">
        <f t="shared" si="379"/>
        <v/>
      </c>
    </row>
    <row r="24268" spans="26:26" x14ac:dyDescent="0.2">
      <c r="Z24268" t="str">
        <f t="shared" si="379"/>
        <v/>
      </c>
    </row>
    <row r="24269" spans="26:26" x14ac:dyDescent="0.2">
      <c r="Z24269" t="str">
        <f t="shared" si="379"/>
        <v/>
      </c>
    </row>
    <row r="24270" spans="26:26" x14ac:dyDescent="0.2">
      <c r="Z24270" t="str">
        <f t="shared" si="379"/>
        <v/>
      </c>
    </row>
    <row r="24271" spans="26:26" x14ac:dyDescent="0.2">
      <c r="Z24271" t="str">
        <f t="shared" si="379"/>
        <v/>
      </c>
    </row>
    <row r="24272" spans="26:26" x14ac:dyDescent="0.2">
      <c r="Z24272" t="str">
        <f t="shared" si="379"/>
        <v/>
      </c>
    </row>
    <row r="24273" spans="26:26" x14ac:dyDescent="0.2">
      <c r="Z24273" t="str">
        <f t="shared" si="379"/>
        <v/>
      </c>
    </row>
    <row r="24274" spans="26:26" x14ac:dyDescent="0.2">
      <c r="Z24274" t="str">
        <f t="shared" si="379"/>
        <v/>
      </c>
    </row>
    <row r="24275" spans="26:26" x14ac:dyDescent="0.2">
      <c r="Z24275" t="str">
        <f t="shared" si="379"/>
        <v/>
      </c>
    </row>
    <row r="24276" spans="26:26" x14ac:dyDescent="0.2">
      <c r="Z24276" t="str">
        <f t="shared" si="379"/>
        <v/>
      </c>
    </row>
    <row r="24277" spans="26:26" x14ac:dyDescent="0.2">
      <c r="Z24277" t="str">
        <f t="shared" si="379"/>
        <v/>
      </c>
    </row>
    <row r="24278" spans="26:26" x14ac:dyDescent="0.2">
      <c r="Z24278" t="str">
        <f t="shared" si="379"/>
        <v/>
      </c>
    </row>
    <row r="24279" spans="26:26" x14ac:dyDescent="0.2">
      <c r="Z24279" t="str">
        <f t="shared" si="379"/>
        <v/>
      </c>
    </row>
    <row r="24280" spans="26:26" x14ac:dyDescent="0.2">
      <c r="Z24280" t="str">
        <f t="shared" si="379"/>
        <v/>
      </c>
    </row>
    <row r="24281" spans="26:26" x14ac:dyDescent="0.2">
      <c r="Z24281" t="str">
        <f t="shared" si="379"/>
        <v/>
      </c>
    </row>
    <row r="24282" spans="26:26" x14ac:dyDescent="0.2">
      <c r="Z24282" t="str">
        <f t="shared" si="379"/>
        <v/>
      </c>
    </row>
    <row r="24283" spans="26:26" x14ac:dyDescent="0.2">
      <c r="Z24283" t="str">
        <f t="shared" si="379"/>
        <v/>
      </c>
    </row>
    <row r="24284" spans="26:26" x14ac:dyDescent="0.2">
      <c r="Z24284" t="str">
        <f t="shared" si="379"/>
        <v/>
      </c>
    </row>
    <row r="24285" spans="26:26" x14ac:dyDescent="0.2">
      <c r="Z24285" t="str">
        <f t="shared" si="379"/>
        <v/>
      </c>
    </row>
    <row r="24286" spans="26:26" x14ac:dyDescent="0.2">
      <c r="Z24286" t="str">
        <f t="shared" si="379"/>
        <v/>
      </c>
    </row>
    <row r="24287" spans="26:26" x14ac:dyDescent="0.2">
      <c r="Z24287" t="str">
        <f t="shared" si="379"/>
        <v/>
      </c>
    </row>
    <row r="24288" spans="26:26" x14ac:dyDescent="0.2">
      <c r="Z24288" t="str">
        <f t="shared" si="379"/>
        <v/>
      </c>
    </row>
    <row r="24289" spans="26:26" x14ac:dyDescent="0.2">
      <c r="Z24289" t="str">
        <f t="shared" si="379"/>
        <v/>
      </c>
    </row>
    <row r="24290" spans="26:26" x14ac:dyDescent="0.2">
      <c r="Z24290" t="str">
        <f t="shared" si="379"/>
        <v/>
      </c>
    </row>
    <row r="24291" spans="26:26" x14ac:dyDescent="0.2">
      <c r="Z24291" t="str">
        <f t="shared" si="379"/>
        <v/>
      </c>
    </row>
    <row r="24292" spans="26:26" x14ac:dyDescent="0.2">
      <c r="Z24292" t="str">
        <f t="shared" si="379"/>
        <v/>
      </c>
    </row>
    <row r="24293" spans="26:26" x14ac:dyDescent="0.2">
      <c r="Z24293" t="str">
        <f t="shared" si="379"/>
        <v/>
      </c>
    </row>
    <row r="24294" spans="26:26" x14ac:dyDescent="0.2">
      <c r="Z24294" t="str">
        <f t="shared" si="379"/>
        <v/>
      </c>
    </row>
    <row r="24295" spans="26:26" x14ac:dyDescent="0.2">
      <c r="Z24295" t="str">
        <f t="shared" si="379"/>
        <v/>
      </c>
    </row>
    <row r="24296" spans="26:26" x14ac:dyDescent="0.2">
      <c r="Z24296" t="str">
        <f t="shared" si="379"/>
        <v/>
      </c>
    </row>
    <row r="24297" spans="26:26" x14ac:dyDescent="0.2">
      <c r="Z24297" t="str">
        <f t="shared" si="379"/>
        <v/>
      </c>
    </row>
    <row r="24298" spans="26:26" x14ac:dyDescent="0.2">
      <c r="Z24298" t="str">
        <f t="shared" si="379"/>
        <v/>
      </c>
    </row>
    <row r="24299" spans="26:26" x14ac:dyDescent="0.2">
      <c r="Z24299" t="str">
        <f t="shared" si="379"/>
        <v/>
      </c>
    </row>
    <row r="24300" spans="26:26" x14ac:dyDescent="0.2">
      <c r="Z24300" t="str">
        <f t="shared" si="379"/>
        <v/>
      </c>
    </row>
    <row r="24301" spans="26:26" x14ac:dyDescent="0.2">
      <c r="Z24301" t="str">
        <f t="shared" si="379"/>
        <v/>
      </c>
    </row>
    <row r="24302" spans="26:26" x14ac:dyDescent="0.2">
      <c r="Z24302" t="str">
        <f t="shared" si="379"/>
        <v/>
      </c>
    </row>
    <row r="24303" spans="26:26" x14ac:dyDescent="0.2">
      <c r="Z24303" t="str">
        <f t="shared" si="379"/>
        <v/>
      </c>
    </row>
    <row r="24304" spans="26:26" x14ac:dyDescent="0.2">
      <c r="Z24304" t="str">
        <f t="shared" si="379"/>
        <v/>
      </c>
    </row>
    <row r="24305" spans="26:26" x14ac:dyDescent="0.2">
      <c r="Z24305" t="str">
        <f t="shared" si="379"/>
        <v/>
      </c>
    </row>
    <row r="24306" spans="26:26" x14ac:dyDescent="0.2">
      <c r="Z24306" t="str">
        <f t="shared" si="379"/>
        <v/>
      </c>
    </row>
    <row r="24307" spans="26:26" x14ac:dyDescent="0.2">
      <c r="Z24307" t="str">
        <f t="shared" si="379"/>
        <v/>
      </c>
    </row>
    <row r="24308" spans="26:26" x14ac:dyDescent="0.2">
      <c r="Z24308" t="str">
        <f t="shared" si="379"/>
        <v/>
      </c>
    </row>
    <row r="24309" spans="26:26" x14ac:dyDescent="0.2">
      <c r="Z24309" t="str">
        <f t="shared" si="379"/>
        <v/>
      </c>
    </row>
    <row r="24310" spans="26:26" x14ac:dyDescent="0.2">
      <c r="Z24310" t="str">
        <f t="shared" si="379"/>
        <v/>
      </c>
    </row>
    <row r="24311" spans="26:26" x14ac:dyDescent="0.2">
      <c r="Z24311" t="str">
        <f t="shared" si="379"/>
        <v/>
      </c>
    </row>
    <row r="24312" spans="26:26" x14ac:dyDescent="0.2">
      <c r="Z24312" t="str">
        <f t="shared" si="379"/>
        <v/>
      </c>
    </row>
    <row r="24313" spans="26:26" x14ac:dyDescent="0.2">
      <c r="Z24313" t="str">
        <f t="shared" si="379"/>
        <v/>
      </c>
    </row>
    <row r="24314" spans="26:26" x14ac:dyDescent="0.2">
      <c r="Z24314" t="str">
        <f t="shared" si="379"/>
        <v/>
      </c>
    </row>
    <row r="24315" spans="26:26" x14ac:dyDescent="0.2">
      <c r="Z24315" t="str">
        <f t="shared" si="379"/>
        <v/>
      </c>
    </row>
    <row r="24316" spans="26:26" x14ac:dyDescent="0.2">
      <c r="Z24316" t="str">
        <f t="shared" si="379"/>
        <v/>
      </c>
    </row>
    <row r="24317" spans="26:26" x14ac:dyDescent="0.2">
      <c r="Z24317" t="str">
        <f t="shared" si="379"/>
        <v/>
      </c>
    </row>
    <row r="24318" spans="26:26" x14ac:dyDescent="0.2">
      <c r="Z24318" t="str">
        <f t="shared" si="379"/>
        <v/>
      </c>
    </row>
    <row r="24319" spans="26:26" x14ac:dyDescent="0.2">
      <c r="Z24319" t="str">
        <f t="shared" si="379"/>
        <v/>
      </c>
    </row>
    <row r="24320" spans="26:26" x14ac:dyDescent="0.2">
      <c r="Z24320" t="str">
        <f t="shared" si="379"/>
        <v/>
      </c>
    </row>
    <row r="24321" spans="26:26" x14ac:dyDescent="0.2">
      <c r="Z24321" t="str">
        <f t="shared" si="379"/>
        <v/>
      </c>
    </row>
    <row r="24322" spans="26:26" x14ac:dyDescent="0.2">
      <c r="Z24322" t="str">
        <f t="shared" si="379"/>
        <v/>
      </c>
    </row>
    <row r="24323" spans="26:26" x14ac:dyDescent="0.2">
      <c r="Z24323" t="str">
        <f t="shared" ref="Z24323:Z24386" si="380">IF(K24323="","",IFERROR(VALUE(TRIM(MID(K24323,FIND(CHAR(167),SUBSTITUTE(K24323,"-",CHAR(167),LEN(K24323)-LEN(SUBSTITUTE(K24323,"-",""))))+1,100))),K24323))</f>
        <v/>
      </c>
    </row>
    <row r="24324" spans="26:26" x14ac:dyDescent="0.2">
      <c r="Z24324" t="str">
        <f t="shared" si="380"/>
        <v/>
      </c>
    </row>
    <row r="24325" spans="26:26" x14ac:dyDescent="0.2">
      <c r="Z24325" t="str">
        <f t="shared" si="380"/>
        <v/>
      </c>
    </row>
    <row r="24326" spans="26:26" x14ac:dyDescent="0.2">
      <c r="Z24326" t="str">
        <f t="shared" si="380"/>
        <v/>
      </c>
    </row>
    <row r="24327" spans="26:26" x14ac:dyDescent="0.2">
      <c r="Z24327" t="str">
        <f t="shared" si="380"/>
        <v/>
      </c>
    </row>
    <row r="24328" spans="26:26" x14ac:dyDescent="0.2">
      <c r="Z24328" t="str">
        <f t="shared" si="380"/>
        <v/>
      </c>
    </row>
    <row r="24329" spans="26:26" x14ac:dyDescent="0.2">
      <c r="Z24329" t="str">
        <f t="shared" si="380"/>
        <v/>
      </c>
    </row>
    <row r="24330" spans="26:26" x14ac:dyDescent="0.2">
      <c r="Z24330" t="str">
        <f t="shared" si="380"/>
        <v/>
      </c>
    </row>
    <row r="24331" spans="26:26" x14ac:dyDescent="0.2">
      <c r="Z24331" t="str">
        <f t="shared" si="380"/>
        <v/>
      </c>
    </row>
    <row r="24332" spans="26:26" x14ac:dyDescent="0.2">
      <c r="Z24332" t="str">
        <f t="shared" si="380"/>
        <v/>
      </c>
    </row>
    <row r="24333" spans="26:26" x14ac:dyDescent="0.2">
      <c r="Z24333" t="str">
        <f t="shared" si="380"/>
        <v/>
      </c>
    </row>
    <row r="24334" spans="26:26" x14ac:dyDescent="0.2">
      <c r="Z24334" t="str">
        <f t="shared" si="380"/>
        <v/>
      </c>
    </row>
    <row r="24335" spans="26:26" x14ac:dyDescent="0.2">
      <c r="Z24335" t="str">
        <f t="shared" si="380"/>
        <v/>
      </c>
    </row>
    <row r="24336" spans="26:26" x14ac:dyDescent="0.2">
      <c r="Z24336" t="str">
        <f t="shared" si="380"/>
        <v/>
      </c>
    </row>
    <row r="24337" spans="26:26" x14ac:dyDescent="0.2">
      <c r="Z24337" t="str">
        <f t="shared" si="380"/>
        <v/>
      </c>
    </row>
    <row r="24338" spans="26:26" x14ac:dyDescent="0.2">
      <c r="Z24338" t="str">
        <f t="shared" si="380"/>
        <v/>
      </c>
    </row>
    <row r="24339" spans="26:26" x14ac:dyDescent="0.2">
      <c r="Z24339" t="str">
        <f t="shared" si="380"/>
        <v/>
      </c>
    </row>
    <row r="24340" spans="26:26" x14ac:dyDescent="0.2">
      <c r="Z24340" t="str">
        <f t="shared" si="380"/>
        <v/>
      </c>
    </row>
    <row r="24341" spans="26:26" x14ac:dyDescent="0.2">
      <c r="Z24341" t="str">
        <f t="shared" si="380"/>
        <v/>
      </c>
    </row>
    <row r="24342" spans="26:26" x14ac:dyDescent="0.2">
      <c r="Z24342" t="str">
        <f t="shared" si="380"/>
        <v/>
      </c>
    </row>
    <row r="24343" spans="26:26" x14ac:dyDescent="0.2">
      <c r="Z24343" t="str">
        <f t="shared" si="380"/>
        <v/>
      </c>
    </row>
    <row r="24344" spans="26:26" x14ac:dyDescent="0.2">
      <c r="Z24344" t="str">
        <f t="shared" si="380"/>
        <v/>
      </c>
    </row>
    <row r="24345" spans="26:26" x14ac:dyDescent="0.2">
      <c r="Z24345" t="str">
        <f t="shared" si="380"/>
        <v/>
      </c>
    </row>
    <row r="24346" spans="26:26" x14ac:dyDescent="0.2">
      <c r="Z24346" t="str">
        <f t="shared" si="380"/>
        <v/>
      </c>
    </row>
    <row r="24347" spans="26:26" x14ac:dyDescent="0.2">
      <c r="Z24347" t="str">
        <f t="shared" si="380"/>
        <v/>
      </c>
    </row>
    <row r="24348" spans="26:26" x14ac:dyDescent="0.2">
      <c r="Z24348" t="str">
        <f t="shared" si="380"/>
        <v/>
      </c>
    </row>
    <row r="24349" spans="26:26" x14ac:dyDescent="0.2">
      <c r="Z24349" t="str">
        <f t="shared" si="380"/>
        <v/>
      </c>
    </row>
    <row r="24350" spans="26:26" x14ac:dyDescent="0.2">
      <c r="Z24350" t="str">
        <f t="shared" si="380"/>
        <v/>
      </c>
    </row>
    <row r="24351" spans="26:26" x14ac:dyDescent="0.2">
      <c r="Z24351" t="str">
        <f t="shared" si="380"/>
        <v/>
      </c>
    </row>
    <row r="24352" spans="26:26" x14ac:dyDescent="0.2">
      <c r="Z24352" t="str">
        <f t="shared" si="380"/>
        <v/>
      </c>
    </row>
    <row r="24353" spans="26:26" x14ac:dyDescent="0.2">
      <c r="Z24353" t="str">
        <f t="shared" si="380"/>
        <v/>
      </c>
    </row>
    <row r="24354" spans="26:26" x14ac:dyDescent="0.2">
      <c r="Z24354" t="str">
        <f t="shared" si="380"/>
        <v/>
      </c>
    </row>
    <row r="24355" spans="26:26" x14ac:dyDescent="0.2">
      <c r="Z24355" t="str">
        <f t="shared" si="380"/>
        <v/>
      </c>
    </row>
    <row r="24356" spans="26:26" x14ac:dyDescent="0.2">
      <c r="Z24356" t="str">
        <f t="shared" si="380"/>
        <v/>
      </c>
    </row>
    <row r="24357" spans="26:26" x14ac:dyDescent="0.2">
      <c r="Z24357" t="str">
        <f t="shared" si="380"/>
        <v/>
      </c>
    </row>
    <row r="24358" spans="26:26" x14ac:dyDescent="0.2">
      <c r="Z24358" t="str">
        <f t="shared" si="380"/>
        <v/>
      </c>
    </row>
    <row r="24359" spans="26:26" x14ac:dyDescent="0.2">
      <c r="Z24359" t="str">
        <f t="shared" si="380"/>
        <v/>
      </c>
    </row>
    <row r="24360" spans="26:26" x14ac:dyDescent="0.2">
      <c r="Z24360" t="str">
        <f t="shared" si="380"/>
        <v/>
      </c>
    </row>
    <row r="24361" spans="26:26" x14ac:dyDescent="0.2">
      <c r="Z24361" t="str">
        <f t="shared" si="380"/>
        <v/>
      </c>
    </row>
    <row r="24362" spans="26:26" x14ac:dyDescent="0.2">
      <c r="Z24362" t="str">
        <f t="shared" si="380"/>
        <v/>
      </c>
    </row>
    <row r="24363" spans="26:26" x14ac:dyDescent="0.2">
      <c r="Z24363" t="str">
        <f t="shared" si="380"/>
        <v/>
      </c>
    </row>
    <row r="24364" spans="26:26" x14ac:dyDescent="0.2">
      <c r="Z24364" t="str">
        <f t="shared" si="380"/>
        <v/>
      </c>
    </row>
    <row r="24365" spans="26:26" x14ac:dyDescent="0.2">
      <c r="Z24365" t="str">
        <f t="shared" si="380"/>
        <v/>
      </c>
    </row>
    <row r="24366" spans="26:26" x14ac:dyDescent="0.2">
      <c r="Z24366" t="str">
        <f t="shared" si="380"/>
        <v/>
      </c>
    </row>
    <row r="24367" spans="26:26" x14ac:dyDescent="0.2">
      <c r="Z24367" t="str">
        <f t="shared" si="380"/>
        <v/>
      </c>
    </row>
    <row r="24368" spans="26:26" x14ac:dyDescent="0.2">
      <c r="Z24368" t="str">
        <f t="shared" si="380"/>
        <v/>
      </c>
    </row>
    <row r="24369" spans="26:26" x14ac:dyDescent="0.2">
      <c r="Z24369" t="str">
        <f t="shared" si="380"/>
        <v/>
      </c>
    </row>
    <row r="24370" spans="26:26" x14ac:dyDescent="0.2">
      <c r="Z24370" t="str">
        <f t="shared" si="380"/>
        <v/>
      </c>
    </row>
    <row r="24371" spans="26:26" x14ac:dyDescent="0.2">
      <c r="Z24371" t="str">
        <f t="shared" si="380"/>
        <v/>
      </c>
    </row>
    <row r="24372" spans="26:26" x14ac:dyDescent="0.2">
      <c r="Z24372" t="str">
        <f t="shared" si="380"/>
        <v/>
      </c>
    </row>
    <row r="24373" spans="26:26" x14ac:dyDescent="0.2">
      <c r="Z24373" t="str">
        <f t="shared" si="380"/>
        <v/>
      </c>
    </row>
    <row r="24374" spans="26:26" x14ac:dyDescent="0.2">
      <c r="Z24374" t="str">
        <f t="shared" si="380"/>
        <v/>
      </c>
    </row>
    <row r="24375" spans="26:26" x14ac:dyDescent="0.2">
      <c r="Z24375" t="str">
        <f t="shared" si="380"/>
        <v/>
      </c>
    </row>
    <row r="24376" spans="26:26" x14ac:dyDescent="0.2">
      <c r="Z24376" t="str">
        <f t="shared" si="380"/>
        <v/>
      </c>
    </row>
    <row r="24377" spans="26:26" x14ac:dyDescent="0.2">
      <c r="Z24377" t="str">
        <f t="shared" si="380"/>
        <v/>
      </c>
    </row>
    <row r="24378" spans="26:26" x14ac:dyDescent="0.2">
      <c r="Z24378" t="str">
        <f t="shared" si="380"/>
        <v/>
      </c>
    </row>
    <row r="24379" spans="26:26" x14ac:dyDescent="0.2">
      <c r="Z24379" t="str">
        <f t="shared" si="380"/>
        <v/>
      </c>
    </row>
    <row r="24380" spans="26:26" x14ac:dyDescent="0.2">
      <c r="Z24380" t="str">
        <f t="shared" si="380"/>
        <v/>
      </c>
    </row>
    <row r="24381" spans="26:26" x14ac:dyDescent="0.2">
      <c r="Z24381" t="str">
        <f t="shared" si="380"/>
        <v/>
      </c>
    </row>
    <row r="24382" spans="26:26" x14ac:dyDescent="0.2">
      <c r="Z24382" t="str">
        <f t="shared" si="380"/>
        <v/>
      </c>
    </row>
    <row r="24383" spans="26:26" x14ac:dyDescent="0.2">
      <c r="Z24383" t="str">
        <f t="shared" si="380"/>
        <v/>
      </c>
    </row>
    <row r="24384" spans="26:26" x14ac:dyDescent="0.2">
      <c r="Z24384" t="str">
        <f t="shared" si="380"/>
        <v/>
      </c>
    </row>
    <row r="24385" spans="26:26" x14ac:dyDescent="0.2">
      <c r="Z24385" t="str">
        <f t="shared" si="380"/>
        <v/>
      </c>
    </row>
    <row r="24386" spans="26:26" x14ac:dyDescent="0.2">
      <c r="Z24386" t="str">
        <f t="shared" si="380"/>
        <v/>
      </c>
    </row>
    <row r="24387" spans="26:26" x14ac:dyDescent="0.2">
      <c r="Z24387" t="str">
        <f t="shared" ref="Z24387:Z24450" si="381">IF(K24387="","",IFERROR(VALUE(TRIM(MID(K24387,FIND(CHAR(167),SUBSTITUTE(K24387,"-",CHAR(167),LEN(K24387)-LEN(SUBSTITUTE(K24387,"-",""))))+1,100))),K24387))</f>
        <v/>
      </c>
    </row>
    <row r="24388" spans="26:26" x14ac:dyDescent="0.2">
      <c r="Z24388" t="str">
        <f t="shared" si="381"/>
        <v/>
      </c>
    </row>
    <row r="24389" spans="26:26" x14ac:dyDescent="0.2">
      <c r="Z24389" t="str">
        <f t="shared" si="381"/>
        <v/>
      </c>
    </row>
    <row r="24390" spans="26:26" x14ac:dyDescent="0.2">
      <c r="Z24390" t="str">
        <f t="shared" si="381"/>
        <v/>
      </c>
    </row>
    <row r="24391" spans="26:26" x14ac:dyDescent="0.2">
      <c r="Z24391" t="str">
        <f t="shared" si="381"/>
        <v/>
      </c>
    </row>
    <row r="24392" spans="26:26" x14ac:dyDescent="0.2">
      <c r="Z24392" t="str">
        <f t="shared" si="381"/>
        <v/>
      </c>
    </row>
    <row r="24393" spans="26:26" x14ac:dyDescent="0.2">
      <c r="Z24393" t="str">
        <f t="shared" si="381"/>
        <v/>
      </c>
    </row>
    <row r="24394" spans="26:26" x14ac:dyDescent="0.2">
      <c r="Z24394" t="str">
        <f t="shared" si="381"/>
        <v/>
      </c>
    </row>
    <row r="24395" spans="26:26" x14ac:dyDescent="0.2">
      <c r="Z24395" t="str">
        <f t="shared" si="381"/>
        <v/>
      </c>
    </row>
    <row r="24396" spans="26:26" x14ac:dyDescent="0.2">
      <c r="Z24396" t="str">
        <f t="shared" si="381"/>
        <v/>
      </c>
    </row>
    <row r="24397" spans="26:26" x14ac:dyDescent="0.2">
      <c r="Z24397" t="str">
        <f t="shared" si="381"/>
        <v/>
      </c>
    </row>
    <row r="24398" spans="26:26" x14ac:dyDescent="0.2">
      <c r="Z24398" t="str">
        <f t="shared" si="381"/>
        <v/>
      </c>
    </row>
    <row r="24399" spans="26:26" x14ac:dyDescent="0.2">
      <c r="Z24399" t="str">
        <f t="shared" si="381"/>
        <v/>
      </c>
    </row>
    <row r="24400" spans="26:26" x14ac:dyDescent="0.2">
      <c r="Z24400" t="str">
        <f t="shared" si="381"/>
        <v/>
      </c>
    </row>
    <row r="24401" spans="26:26" x14ac:dyDescent="0.2">
      <c r="Z24401" t="str">
        <f t="shared" si="381"/>
        <v/>
      </c>
    </row>
    <row r="24402" spans="26:26" x14ac:dyDescent="0.2">
      <c r="Z24402" t="str">
        <f t="shared" si="381"/>
        <v/>
      </c>
    </row>
    <row r="24403" spans="26:26" x14ac:dyDescent="0.2">
      <c r="Z24403" t="str">
        <f t="shared" si="381"/>
        <v/>
      </c>
    </row>
    <row r="24404" spans="26:26" x14ac:dyDescent="0.2">
      <c r="Z24404" t="str">
        <f t="shared" si="381"/>
        <v/>
      </c>
    </row>
    <row r="24405" spans="26:26" x14ac:dyDescent="0.2">
      <c r="Z24405" t="str">
        <f t="shared" si="381"/>
        <v/>
      </c>
    </row>
    <row r="24406" spans="26:26" x14ac:dyDescent="0.2">
      <c r="Z24406" t="str">
        <f t="shared" si="381"/>
        <v/>
      </c>
    </row>
    <row r="24407" spans="26:26" x14ac:dyDescent="0.2">
      <c r="Z24407" t="str">
        <f t="shared" si="381"/>
        <v/>
      </c>
    </row>
    <row r="24408" spans="26:26" x14ac:dyDescent="0.2">
      <c r="Z24408" t="str">
        <f t="shared" si="381"/>
        <v/>
      </c>
    </row>
    <row r="24409" spans="26:26" x14ac:dyDescent="0.2">
      <c r="Z24409" t="str">
        <f t="shared" si="381"/>
        <v/>
      </c>
    </row>
    <row r="24410" spans="26:26" x14ac:dyDescent="0.2">
      <c r="Z24410" t="str">
        <f t="shared" si="381"/>
        <v/>
      </c>
    </row>
    <row r="24411" spans="26:26" x14ac:dyDescent="0.2">
      <c r="Z24411" t="str">
        <f t="shared" si="381"/>
        <v/>
      </c>
    </row>
    <row r="24412" spans="26:26" x14ac:dyDescent="0.2">
      <c r="Z24412" t="str">
        <f t="shared" si="381"/>
        <v/>
      </c>
    </row>
    <row r="24413" spans="26:26" x14ac:dyDescent="0.2">
      <c r="Z24413" t="str">
        <f t="shared" si="381"/>
        <v/>
      </c>
    </row>
    <row r="24414" spans="26:26" x14ac:dyDescent="0.2">
      <c r="Z24414" t="str">
        <f t="shared" si="381"/>
        <v/>
      </c>
    </row>
    <row r="24415" spans="26:26" x14ac:dyDescent="0.2">
      <c r="Z24415" t="str">
        <f t="shared" si="381"/>
        <v/>
      </c>
    </row>
    <row r="24416" spans="26:26" x14ac:dyDescent="0.2">
      <c r="Z24416" t="str">
        <f t="shared" si="381"/>
        <v/>
      </c>
    </row>
    <row r="24417" spans="26:26" x14ac:dyDescent="0.2">
      <c r="Z24417" t="str">
        <f t="shared" si="381"/>
        <v/>
      </c>
    </row>
    <row r="24418" spans="26:26" x14ac:dyDescent="0.2">
      <c r="Z24418" t="str">
        <f t="shared" si="381"/>
        <v/>
      </c>
    </row>
    <row r="24419" spans="26:26" x14ac:dyDescent="0.2">
      <c r="Z24419" t="str">
        <f t="shared" si="381"/>
        <v/>
      </c>
    </row>
    <row r="24420" spans="26:26" x14ac:dyDescent="0.2">
      <c r="Z24420" t="str">
        <f t="shared" si="381"/>
        <v/>
      </c>
    </row>
    <row r="24421" spans="26:26" x14ac:dyDescent="0.2">
      <c r="Z24421" t="str">
        <f t="shared" si="381"/>
        <v/>
      </c>
    </row>
    <row r="24422" spans="26:26" x14ac:dyDescent="0.2">
      <c r="Z24422" t="str">
        <f t="shared" si="381"/>
        <v/>
      </c>
    </row>
    <row r="24423" spans="26:26" x14ac:dyDescent="0.2">
      <c r="Z24423" t="str">
        <f t="shared" si="381"/>
        <v/>
      </c>
    </row>
    <row r="24424" spans="26:26" x14ac:dyDescent="0.2">
      <c r="Z24424" t="str">
        <f t="shared" si="381"/>
        <v/>
      </c>
    </row>
    <row r="24425" spans="26:26" x14ac:dyDescent="0.2">
      <c r="Z24425" t="str">
        <f t="shared" si="381"/>
        <v/>
      </c>
    </row>
    <row r="24426" spans="26:26" x14ac:dyDescent="0.2">
      <c r="Z24426" t="str">
        <f t="shared" si="381"/>
        <v/>
      </c>
    </row>
    <row r="24427" spans="26:26" x14ac:dyDescent="0.2">
      <c r="Z24427" t="str">
        <f t="shared" si="381"/>
        <v/>
      </c>
    </row>
    <row r="24428" spans="26:26" x14ac:dyDescent="0.2">
      <c r="Z24428" t="str">
        <f t="shared" si="381"/>
        <v/>
      </c>
    </row>
    <row r="24429" spans="26:26" x14ac:dyDescent="0.2">
      <c r="Z24429" t="str">
        <f t="shared" si="381"/>
        <v/>
      </c>
    </row>
    <row r="24430" spans="26:26" x14ac:dyDescent="0.2">
      <c r="Z24430" t="str">
        <f t="shared" si="381"/>
        <v/>
      </c>
    </row>
    <row r="24431" spans="26:26" x14ac:dyDescent="0.2">
      <c r="Z24431" t="str">
        <f t="shared" si="381"/>
        <v/>
      </c>
    </row>
    <row r="24432" spans="26:26" x14ac:dyDescent="0.2">
      <c r="Z24432" t="str">
        <f t="shared" si="381"/>
        <v/>
      </c>
    </row>
    <row r="24433" spans="26:26" x14ac:dyDescent="0.2">
      <c r="Z24433" t="str">
        <f t="shared" si="381"/>
        <v/>
      </c>
    </row>
    <row r="24434" spans="26:26" x14ac:dyDescent="0.2">
      <c r="Z24434" t="str">
        <f t="shared" si="381"/>
        <v/>
      </c>
    </row>
    <row r="24435" spans="26:26" x14ac:dyDescent="0.2">
      <c r="Z24435" t="str">
        <f t="shared" si="381"/>
        <v/>
      </c>
    </row>
    <row r="24436" spans="26:26" x14ac:dyDescent="0.2">
      <c r="Z24436" t="str">
        <f t="shared" si="381"/>
        <v/>
      </c>
    </row>
    <row r="24437" spans="26:26" x14ac:dyDescent="0.2">
      <c r="Z24437" t="str">
        <f t="shared" si="381"/>
        <v/>
      </c>
    </row>
    <row r="24438" spans="26:26" x14ac:dyDescent="0.2">
      <c r="Z24438" t="str">
        <f t="shared" si="381"/>
        <v/>
      </c>
    </row>
    <row r="24439" spans="26:26" x14ac:dyDescent="0.2">
      <c r="Z24439" t="str">
        <f t="shared" si="381"/>
        <v/>
      </c>
    </row>
    <row r="24440" spans="26:26" x14ac:dyDescent="0.2">
      <c r="Z24440" t="str">
        <f t="shared" si="381"/>
        <v/>
      </c>
    </row>
    <row r="24441" spans="26:26" x14ac:dyDescent="0.2">
      <c r="Z24441" t="str">
        <f t="shared" si="381"/>
        <v/>
      </c>
    </row>
    <row r="24442" spans="26:26" x14ac:dyDescent="0.2">
      <c r="Z24442" t="str">
        <f t="shared" si="381"/>
        <v/>
      </c>
    </row>
    <row r="24443" spans="26:26" x14ac:dyDescent="0.2">
      <c r="Z24443" t="str">
        <f t="shared" si="381"/>
        <v/>
      </c>
    </row>
    <row r="24444" spans="26:26" x14ac:dyDescent="0.2">
      <c r="Z24444" t="str">
        <f t="shared" si="381"/>
        <v/>
      </c>
    </row>
    <row r="24445" spans="26:26" x14ac:dyDescent="0.2">
      <c r="Z24445" t="str">
        <f t="shared" si="381"/>
        <v/>
      </c>
    </row>
    <row r="24446" spans="26:26" x14ac:dyDescent="0.2">
      <c r="Z24446" t="str">
        <f t="shared" si="381"/>
        <v/>
      </c>
    </row>
    <row r="24447" spans="26:26" x14ac:dyDescent="0.2">
      <c r="Z24447" t="str">
        <f t="shared" si="381"/>
        <v/>
      </c>
    </row>
    <row r="24448" spans="26:26" x14ac:dyDescent="0.2">
      <c r="Z24448" t="str">
        <f t="shared" si="381"/>
        <v/>
      </c>
    </row>
    <row r="24449" spans="26:26" x14ac:dyDescent="0.2">
      <c r="Z24449" t="str">
        <f t="shared" si="381"/>
        <v/>
      </c>
    </row>
    <row r="24450" spans="26:26" x14ac:dyDescent="0.2">
      <c r="Z24450" t="str">
        <f t="shared" si="381"/>
        <v/>
      </c>
    </row>
    <row r="24451" spans="26:26" x14ac:dyDescent="0.2">
      <c r="Z24451" t="str">
        <f t="shared" ref="Z24451:Z24514" si="382">IF(K24451="","",IFERROR(VALUE(TRIM(MID(K24451,FIND(CHAR(167),SUBSTITUTE(K24451,"-",CHAR(167),LEN(K24451)-LEN(SUBSTITUTE(K24451,"-",""))))+1,100))),K24451))</f>
        <v/>
      </c>
    </row>
    <row r="24452" spans="26:26" x14ac:dyDescent="0.2">
      <c r="Z24452" t="str">
        <f t="shared" si="382"/>
        <v/>
      </c>
    </row>
    <row r="24453" spans="26:26" x14ac:dyDescent="0.2">
      <c r="Z24453" t="str">
        <f t="shared" si="382"/>
        <v/>
      </c>
    </row>
    <row r="24454" spans="26:26" x14ac:dyDescent="0.2">
      <c r="Z24454" t="str">
        <f t="shared" si="382"/>
        <v/>
      </c>
    </row>
    <row r="24455" spans="26:26" x14ac:dyDescent="0.2">
      <c r="Z24455" t="str">
        <f t="shared" si="382"/>
        <v/>
      </c>
    </row>
    <row r="24456" spans="26:26" x14ac:dyDescent="0.2">
      <c r="Z24456" t="str">
        <f t="shared" si="382"/>
        <v/>
      </c>
    </row>
    <row r="24457" spans="26:26" x14ac:dyDescent="0.2">
      <c r="Z24457" t="str">
        <f t="shared" si="382"/>
        <v/>
      </c>
    </row>
    <row r="24458" spans="26:26" x14ac:dyDescent="0.2">
      <c r="Z24458" t="str">
        <f t="shared" si="382"/>
        <v/>
      </c>
    </row>
    <row r="24459" spans="26:26" x14ac:dyDescent="0.2">
      <c r="Z24459" t="str">
        <f t="shared" si="382"/>
        <v/>
      </c>
    </row>
    <row r="24460" spans="26:26" x14ac:dyDescent="0.2">
      <c r="Z24460" t="str">
        <f t="shared" si="382"/>
        <v/>
      </c>
    </row>
    <row r="24461" spans="26:26" x14ac:dyDescent="0.2">
      <c r="Z24461" t="str">
        <f t="shared" si="382"/>
        <v/>
      </c>
    </row>
    <row r="24462" spans="26:26" x14ac:dyDescent="0.2">
      <c r="Z24462" t="str">
        <f t="shared" si="382"/>
        <v/>
      </c>
    </row>
    <row r="24463" spans="26:26" x14ac:dyDescent="0.2">
      <c r="Z24463" t="str">
        <f t="shared" si="382"/>
        <v/>
      </c>
    </row>
    <row r="24464" spans="26:26" x14ac:dyDescent="0.2">
      <c r="Z24464" t="str">
        <f t="shared" si="382"/>
        <v/>
      </c>
    </row>
    <row r="24465" spans="26:26" x14ac:dyDescent="0.2">
      <c r="Z24465" t="str">
        <f t="shared" si="382"/>
        <v/>
      </c>
    </row>
    <row r="24466" spans="26:26" x14ac:dyDescent="0.2">
      <c r="Z24466" t="str">
        <f t="shared" si="382"/>
        <v/>
      </c>
    </row>
    <row r="24467" spans="26:26" x14ac:dyDescent="0.2">
      <c r="Z24467" t="str">
        <f t="shared" si="382"/>
        <v/>
      </c>
    </row>
    <row r="24468" spans="26:26" x14ac:dyDescent="0.2">
      <c r="Z24468" t="str">
        <f t="shared" si="382"/>
        <v/>
      </c>
    </row>
    <row r="24469" spans="26:26" x14ac:dyDescent="0.2">
      <c r="Z24469" t="str">
        <f t="shared" si="382"/>
        <v/>
      </c>
    </row>
    <row r="24470" spans="26:26" x14ac:dyDescent="0.2">
      <c r="Z24470" t="str">
        <f t="shared" si="382"/>
        <v/>
      </c>
    </row>
    <row r="24471" spans="26:26" x14ac:dyDescent="0.2">
      <c r="Z24471" t="str">
        <f t="shared" si="382"/>
        <v/>
      </c>
    </row>
    <row r="24472" spans="26:26" x14ac:dyDescent="0.2">
      <c r="Z24472" t="str">
        <f t="shared" si="382"/>
        <v/>
      </c>
    </row>
    <row r="24473" spans="26:26" x14ac:dyDescent="0.2">
      <c r="Z24473" t="str">
        <f t="shared" si="382"/>
        <v/>
      </c>
    </row>
    <row r="24474" spans="26:26" x14ac:dyDescent="0.2">
      <c r="Z24474" t="str">
        <f t="shared" si="382"/>
        <v/>
      </c>
    </row>
    <row r="24475" spans="26:26" x14ac:dyDescent="0.2">
      <c r="Z24475" t="str">
        <f t="shared" si="382"/>
        <v/>
      </c>
    </row>
    <row r="24476" spans="26:26" x14ac:dyDescent="0.2">
      <c r="Z24476" t="str">
        <f t="shared" si="382"/>
        <v/>
      </c>
    </row>
    <row r="24477" spans="26:26" x14ac:dyDescent="0.2">
      <c r="Z24477" t="str">
        <f t="shared" si="382"/>
        <v/>
      </c>
    </row>
    <row r="24478" spans="26:26" x14ac:dyDescent="0.2">
      <c r="Z24478" t="str">
        <f t="shared" si="382"/>
        <v/>
      </c>
    </row>
    <row r="24479" spans="26:26" x14ac:dyDescent="0.2">
      <c r="Z24479" t="str">
        <f t="shared" si="382"/>
        <v/>
      </c>
    </row>
    <row r="24480" spans="26:26" x14ac:dyDescent="0.2">
      <c r="Z24480" t="str">
        <f t="shared" si="382"/>
        <v/>
      </c>
    </row>
    <row r="24481" spans="26:26" x14ac:dyDescent="0.2">
      <c r="Z24481" t="str">
        <f t="shared" si="382"/>
        <v/>
      </c>
    </row>
    <row r="24482" spans="26:26" x14ac:dyDescent="0.2">
      <c r="Z24482" t="str">
        <f t="shared" si="382"/>
        <v/>
      </c>
    </row>
    <row r="24483" spans="26:26" x14ac:dyDescent="0.2">
      <c r="Z24483" t="str">
        <f t="shared" si="382"/>
        <v/>
      </c>
    </row>
    <row r="24484" spans="26:26" x14ac:dyDescent="0.2">
      <c r="Z24484" t="str">
        <f t="shared" si="382"/>
        <v/>
      </c>
    </row>
    <row r="24485" spans="26:26" x14ac:dyDescent="0.2">
      <c r="Z24485" t="str">
        <f t="shared" si="382"/>
        <v/>
      </c>
    </row>
    <row r="24486" spans="26:26" x14ac:dyDescent="0.2">
      <c r="Z24486" t="str">
        <f t="shared" si="382"/>
        <v/>
      </c>
    </row>
    <row r="24487" spans="26:26" x14ac:dyDescent="0.2">
      <c r="Z24487" t="str">
        <f t="shared" si="382"/>
        <v/>
      </c>
    </row>
    <row r="24488" spans="26:26" x14ac:dyDescent="0.2">
      <c r="Z24488" t="str">
        <f t="shared" si="382"/>
        <v/>
      </c>
    </row>
    <row r="24489" spans="26:26" x14ac:dyDescent="0.2">
      <c r="Z24489" t="str">
        <f t="shared" si="382"/>
        <v/>
      </c>
    </row>
    <row r="24490" spans="26:26" x14ac:dyDescent="0.2">
      <c r="Z24490" t="str">
        <f t="shared" si="382"/>
        <v/>
      </c>
    </row>
    <row r="24491" spans="26:26" x14ac:dyDescent="0.2">
      <c r="Z24491" t="str">
        <f t="shared" si="382"/>
        <v/>
      </c>
    </row>
    <row r="24492" spans="26:26" x14ac:dyDescent="0.2">
      <c r="Z24492" t="str">
        <f t="shared" si="382"/>
        <v/>
      </c>
    </row>
    <row r="24493" spans="26:26" x14ac:dyDescent="0.2">
      <c r="Z24493" t="str">
        <f t="shared" si="382"/>
        <v/>
      </c>
    </row>
    <row r="24494" spans="26:26" x14ac:dyDescent="0.2">
      <c r="Z24494" t="str">
        <f t="shared" si="382"/>
        <v/>
      </c>
    </row>
    <row r="24495" spans="26:26" x14ac:dyDescent="0.2">
      <c r="Z24495" t="str">
        <f t="shared" si="382"/>
        <v/>
      </c>
    </row>
    <row r="24496" spans="26:26" x14ac:dyDescent="0.2">
      <c r="Z24496" t="str">
        <f t="shared" si="382"/>
        <v/>
      </c>
    </row>
    <row r="24497" spans="26:26" x14ac:dyDescent="0.2">
      <c r="Z24497" t="str">
        <f t="shared" si="382"/>
        <v/>
      </c>
    </row>
    <row r="24498" spans="26:26" x14ac:dyDescent="0.2">
      <c r="Z24498" t="str">
        <f t="shared" si="382"/>
        <v/>
      </c>
    </row>
    <row r="24499" spans="26:26" x14ac:dyDescent="0.2">
      <c r="Z24499" t="str">
        <f t="shared" si="382"/>
        <v/>
      </c>
    </row>
    <row r="24500" spans="26:26" x14ac:dyDescent="0.2">
      <c r="Z24500" t="str">
        <f t="shared" si="382"/>
        <v/>
      </c>
    </row>
    <row r="24501" spans="26:26" x14ac:dyDescent="0.2">
      <c r="Z24501" t="str">
        <f t="shared" si="382"/>
        <v/>
      </c>
    </row>
    <row r="24502" spans="26:26" x14ac:dyDescent="0.2">
      <c r="Z24502" t="str">
        <f t="shared" si="382"/>
        <v/>
      </c>
    </row>
    <row r="24503" spans="26:26" x14ac:dyDescent="0.2">
      <c r="Z24503" t="str">
        <f t="shared" si="382"/>
        <v/>
      </c>
    </row>
    <row r="24504" spans="26:26" x14ac:dyDescent="0.2">
      <c r="Z24504" t="str">
        <f t="shared" si="382"/>
        <v/>
      </c>
    </row>
    <row r="24505" spans="26:26" x14ac:dyDescent="0.2">
      <c r="Z24505" t="str">
        <f t="shared" si="382"/>
        <v/>
      </c>
    </row>
    <row r="24506" spans="26:26" x14ac:dyDescent="0.2">
      <c r="Z24506" t="str">
        <f t="shared" si="382"/>
        <v/>
      </c>
    </row>
    <row r="24507" spans="26:26" x14ac:dyDescent="0.2">
      <c r="Z24507" t="str">
        <f t="shared" si="382"/>
        <v/>
      </c>
    </row>
    <row r="24508" spans="26:26" x14ac:dyDescent="0.2">
      <c r="Z24508" t="str">
        <f t="shared" si="382"/>
        <v/>
      </c>
    </row>
    <row r="24509" spans="26:26" x14ac:dyDescent="0.2">
      <c r="Z24509" t="str">
        <f t="shared" si="382"/>
        <v/>
      </c>
    </row>
    <row r="24510" spans="26:26" x14ac:dyDescent="0.2">
      <c r="Z24510" t="str">
        <f t="shared" si="382"/>
        <v/>
      </c>
    </row>
    <row r="24511" spans="26:26" x14ac:dyDescent="0.2">
      <c r="Z24511" t="str">
        <f t="shared" si="382"/>
        <v/>
      </c>
    </row>
    <row r="24512" spans="26:26" x14ac:dyDescent="0.2">
      <c r="Z24512" t="str">
        <f t="shared" si="382"/>
        <v/>
      </c>
    </row>
    <row r="24513" spans="26:26" x14ac:dyDescent="0.2">
      <c r="Z24513" t="str">
        <f t="shared" si="382"/>
        <v/>
      </c>
    </row>
    <row r="24514" spans="26:26" x14ac:dyDescent="0.2">
      <c r="Z24514" t="str">
        <f t="shared" si="382"/>
        <v/>
      </c>
    </row>
    <row r="24515" spans="26:26" x14ac:dyDescent="0.2">
      <c r="Z24515" t="str">
        <f t="shared" ref="Z24515:Z24578" si="383">IF(K24515="","",IFERROR(VALUE(TRIM(MID(K24515,FIND(CHAR(167),SUBSTITUTE(K24515,"-",CHAR(167),LEN(K24515)-LEN(SUBSTITUTE(K24515,"-",""))))+1,100))),K24515))</f>
        <v/>
      </c>
    </row>
    <row r="24516" spans="26:26" x14ac:dyDescent="0.2">
      <c r="Z24516" t="str">
        <f t="shared" si="383"/>
        <v/>
      </c>
    </row>
    <row r="24517" spans="26:26" x14ac:dyDescent="0.2">
      <c r="Z24517" t="str">
        <f t="shared" si="383"/>
        <v/>
      </c>
    </row>
    <row r="24518" spans="26:26" x14ac:dyDescent="0.2">
      <c r="Z24518" t="str">
        <f t="shared" si="383"/>
        <v/>
      </c>
    </row>
    <row r="24519" spans="26:26" x14ac:dyDescent="0.2">
      <c r="Z24519" t="str">
        <f t="shared" si="383"/>
        <v/>
      </c>
    </row>
    <row r="24520" spans="26:26" x14ac:dyDescent="0.2">
      <c r="Z24520" t="str">
        <f t="shared" si="383"/>
        <v/>
      </c>
    </row>
    <row r="24521" spans="26:26" x14ac:dyDescent="0.2">
      <c r="Z24521" t="str">
        <f t="shared" si="383"/>
        <v/>
      </c>
    </row>
    <row r="24522" spans="26:26" x14ac:dyDescent="0.2">
      <c r="Z24522" t="str">
        <f t="shared" si="383"/>
        <v/>
      </c>
    </row>
    <row r="24523" spans="26:26" x14ac:dyDescent="0.2">
      <c r="Z24523" t="str">
        <f t="shared" si="383"/>
        <v/>
      </c>
    </row>
    <row r="24524" spans="26:26" x14ac:dyDescent="0.2">
      <c r="Z24524" t="str">
        <f t="shared" si="383"/>
        <v/>
      </c>
    </row>
    <row r="24525" spans="26:26" x14ac:dyDescent="0.2">
      <c r="Z24525" t="str">
        <f t="shared" si="383"/>
        <v/>
      </c>
    </row>
    <row r="24526" spans="26:26" x14ac:dyDescent="0.2">
      <c r="Z24526" t="str">
        <f t="shared" si="383"/>
        <v/>
      </c>
    </row>
    <row r="24527" spans="26:26" x14ac:dyDescent="0.2">
      <c r="Z24527" t="str">
        <f t="shared" si="383"/>
        <v/>
      </c>
    </row>
    <row r="24528" spans="26:26" x14ac:dyDescent="0.2">
      <c r="Z24528" t="str">
        <f t="shared" si="383"/>
        <v/>
      </c>
    </row>
    <row r="24529" spans="26:26" x14ac:dyDescent="0.2">
      <c r="Z24529" t="str">
        <f t="shared" si="383"/>
        <v/>
      </c>
    </row>
    <row r="24530" spans="26:26" x14ac:dyDescent="0.2">
      <c r="Z24530" t="str">
        <f t="shared" si="383"/>
        <v/>
      </c>
    </row>
    <row r="24531" spans="26:26" x14ac:dyDescent="0.2">
      <c r="Z24531" t="str">
        <f t="shared" si="383"/>
        <v/>
      </c>
    </row>
    <row r="24532" spans="26:26" x14ac:dyDescent="0.2">
      <c r="Z24532" t="str">
        <f t="shared" si="383"/>
        <v/>
      </c>
    </row>
    <row r="24533" spans="26:26" x14ac:dyDescent="0.2">
      <c r="Z24533" t="str">
        <f t="shared" si="383"/>
        <v/>
      </c>
    </row>
    <row r="24534" spans="26:26" x14ac:dyDescent="0.2">
      <c r="Z24534" t="str">
        <f t="shared" si="383"/>
        <v/>
      </c>
    </row>
    <row r="24535" spans="26:26" x14ac:dyDescent="0.2">
      <c r="Z24535" t="str">
        <f t="shared" si="383"/>
        <v/>
      </c>
    </row>
    <row r="24536" spans="26:26" x14ac:dyDescent="0.2">
      <c r="Z24536" t="str">
        <f t="shared" si="383"/>
        <v/>
      </c>
    </row>
    <row r="24537" spans="26:26" x14ac:dyDescent="0.2">
      <c r="Z24537" t="str">
        <f t="shared" si="383"/>
        <v/>
      </c>
    </row>
    <row r="24538" spans="26:26" x14ac:dyDescent="0.2">
      <c r="Z24538" t="str">
        <f t="shared" si="383"/>
        <v/>
      </c>
    </row>
    <row r="24539" spans="26:26" x14ac:dyDescent="0.2">
      <c r="Z24539" t="str">
        <f t="shared" si="383"/>
        <v/>
      </c>
    </row>
    <row r="24540" spans="26:26" x14ac:dyDescent="0.2">
      <c r="Z24540" t="str">
        <f t="shared" si="383"/>
        <v/>
      </c>
    </row>
    <row r="24541" spans="26:26" x14ac:dyDescent="0.2">
      <c r="Z24541" t="str">
        <f t="shared" si="383"/>
        <v/>
      </c>
    </row>
    <row r="24542" spans="26:26" x14ac:dyDescent="0.2">
      <c r="Z24542" t="str">
        <f t="shared" si="383"/>
        <v/>
      </c>
    </row>
    <row r="24543" spans="26:26" x14ac:dyDescent="0.2">
      <c r="Z24543" t="str">
        <f t="shared" si="383"/>
        <v/>
      </c>
    </row>
    <row r="24544" spans="26:26" x14ac:dyDescent="0.2">
      <c r="Z24544" t="str">
        <f t="shared" si="383"/>
        <v/>
      </c>
    </row>
    <row r="24545" spans="26:26" x14ac:dyDescent="0.2">
      <c r="Z24545" t="str">
        <f t="shared" si="383"/>
        <v/>
      </c>
    </row>
    <row r="24546" spans="26:26" x14ac:dyDescent="0.2">
      <c r="Z24546" t="str">
        <f t="shared" si="383"/>
        <v/>
      </c>
    </row>
    <row r="24547" spans="26:26" x14ac:dyDescent="0.2">
      <c r="Z24547" t="str">
        <f t="shared" si="383"/>
        <v/>
      </c>
    </row>
    <row r="24548" spans="26:26" x14ac:dyDescent="0.2">
      <c r="Z24548" t="str">
        <f t="shared" si="383"/>
        <v/>
      </c>
    </row>
    <row r="24549" spans="26:26" x14ac:dyDescent="0.2">
      <c r="Z24549" t="str">
        <f t="shared" si="383"/>
        <v/>
      </c>
    </row>
    <row r="24550" spans="26:26" x14ac:dyDescent="0.2">
      <c r="Z24550" t="str">
        <f t="shared" si="383"/>
        <v/>
      </c>
    </row>
    <row r="24551" spans="26:26" x14ac:dyDescent="0.2">
      <c r="Z24551" t="str">
        <f t="shared" si="383"/>
        <v/>
      </c>
    </row>
    <row r="24552" spans="26:26" x14ac:dyDescent="0.2">
      <c r="Z24552" t="str">
        <f t="shared" si="383"/>
        <v/>
      </c>
    </row>
    <row r="24553" spans="26:26" x14ac:dyDescent="0.2">
      <c r="Z24553" t="str">
        <f t="shared" si="383"/>
        <v/>
      </c>
    </row>
    <row r="24554" spans="26:26" x14ac:dyDescent="0.2">
      <c r="Z24554" t="str">
        <f t="shared" si="383"/>
        <v/>
      </c>
    </row>
    <row r="24555" spans="26:26" x14ac:dyDescent="0.2">
      <c r="Z24555" t="str">
        <f t="shared" si="383"/>
        <v/>
      </c>
    </row>
    <row r="24556" spans="26:26" x14ac:dyDescent="0.2">
      <c r="Z24556" t="str">
        <f t="shared" si="383"/>
        <v/>
      </c>
    </row>
    <row r="24557" spans="26:26" x14ac:dyDescent="0.2">
      <c r="Z24557" t="str">
        <f t="shared" si="383"/>
        <v/>
      </c>
    </row>
    <row r="24558" spans="26:26" x14ac:dyDescent="0.2">
      <c r="Z24558" t="str">
        <f t="shared" si="383"/>
        <v/>
      </c>
    </row>
    <row r="24559" spans="26:26" x14ac:dyDescent="0.2">
      <c r="Z24559" t="str">
        <f t="shared" si="383"/>
        <v/>
      </c>
    </row>
    <row r="24560" spans="26:26" x14ac:dyDescent="0.2">
      <c r="Z24560" t="str">
        <f t="shared" si="383"/>
        <v/>
      </c>
    </row>
    <row r="24561" spans="26:26" x14ac:dyDescent="0.2">
      <c r="Z24561" t="str">
        <f t="shared" si="383"/>
        <v/>
      </c>
    </row>
    <row r="24562" spans="26:26" x14ac:dyDescent="0.2">
      <c r="Z24562" t="str">
        <f t="shared" si="383"/>
        <v/>
      </c>
    </row>
    <row r="24563" spans="26:26" x14ac:dyDescent="0.2">
      <c r="Z24563" t="str">
        <f t="shared" si="383"/>
        <v/>
      </c>
    </row>
    <row r="24564" spans="26:26" x14ac:dyDescent="0.2">
      <c r="Z24564" t="str">
        <f t="shared" si="383"/>
        <v/>
      </c>
    </row>
    <row r="24565" spans="26:26" x14ac:dyDescent="0.2">
      <c r="Z24565" t="str">
        <f t="shared" si="383"/>
        <v/>
      </c>
    </row>
    <row r="24566" spans="26:26" x14ac:dyDescent="0.2">
      <c r="Z24566" t="str">
        <f t="shared" si="383"/>
        <v/>
      </c>
    </row>
    <row r="24567" spans="26:26" x14ac:dyDescent="0.2">
      <c r="Z24567" t="str">
        <f t="shared" si="383"/>
        <v/>
      </c>
    </row>
    <row r="24568" spans="26:26" x14ac:dyDescent="0.2">
      <c r="Z24568" t="str">
        <f t="shared" si="383"/>
        <v/>
      </c>
    </row>
    <row r="24569" spans="26:26" x14ac:dyDescent="0.2">
      <c r="Z24569" t="str">
        <f t="shared" si="383"/>
        <v/>
      </c>
    </row>
    <row r="24570" spans="26:26" x14ac:dyDescent="0.2">
      <c r="Z24570" t="str">
        <f t="shared" si="383"/>
        <v/>
      </c>
    </row>
    <row r="24571" spans="26:26" x14ac:dyDescent="0.2">
      <c r="Z24571" t="str">
        <f t="shared" si="383"/>
        <v/>
      </c>
    </row>
    <row r="24572" spans="26:26" x14ac:dyDescent="0.2">
      <c r="Z24572" t="str">
        <f t="shared" si="383"/>
        <v/>
      </c>
    </row>
    <row r="24573" spans="26:26" x14ac:dyDescent="0.2">
      <c r="Z24573" t="str">
        <f t="shared" si="383"/>
        <v/>
      </c>
    </row>
    <row r="24574" spans="26:26" x14ac:dyDescent="0.2">
      <c r="Z24574" t="str">
        <f t="shared" si="383"/>
        <v/>
      </c>
    </row>
    <row r="24575" spans="26:26" x14ac:dyDescent="0.2">
      <c r="Z24575" t="str">
        <f t="shared" si="383"/>
        <v/>
      </c>
    </row>
    <row r="24576" spans="26:26" x14ac:dyDescent="0.2">
      <c r="Z24576" t="str">
        <f t="shared" si="383"/>
        <v/>
      </c>
    </row>
    <row r="24577" spans="26:26" x14ac:dyDescent="0.2">
      <c r="Z24577" t="str">
        <f t="shared" si="383"/>
        <v/>
      </c>
    </row>
    <row r="24578" spans="26:26" x14ac:dyDescent="0.2">
      <c r="Z24578" t="str">
        <f t="shared" si="383"/>
        <v/>
      </c>
    </row>
    <row r="24579" spans="26:26" x14ac:dyDescent="0.2">
      <c r="Z24579" t="str">
        <f t="shared" ref="Z24579:Z24642" si="384">IF(K24579="","",IFERROR(VALUE(TRIM(MID(K24579,FIND(CHAR(167),SUBSTITUTE(K24579,"-",CHAR(167),LEN(K24579)-LEN(SUBSTITUTE(K24579,"-",""))))+1,100))),K24579))</f>
        <v/>
      </c>
    </row>
    <row r="24580" spans="26:26" x14ac:dyDescent="0.2">
      <c r="Z24580" t="str">
        <f t="shared" si="384"/>
        <v/>
      </c>
    </row>
    <row r="24581" spans="26:26" x14ac:dyDescent="0.2">
      <c r="Z24581" t="str">
        <f t="shared" si="384"/>
        <v/>
      </c>
    </row>
    <row r="24582" spans="26:26" x14ac:dyDescent="0.2">
      <c r="Z24582" t="str">
        <f t="shared" si="384"/>
        <v/>
      </c>
    </row>
    <row r="24583" spans="26:26" x14ac:dyDescent="0.2">
      <c r="Z24583" t="str">
        <f t="shared" si="384"/>
        <v/>
      </c>
    </row>
    <row r="24584" spans="26:26" x14ac:dyDescent="0.2">
      <c r="Z24584" t="str">
        <f t="shared" si="384"/>
        <v/>
      </c>
    </row>
    <row r="24585" spans="26:26" x14ac:dyDescent="0.2">
      <c r="Z24585" t="str">
        <f t="shared" si="384"/>
        <v/>
      </c>
    </row>
    <row r="24586" spans="26:26" x14ac:dyDescent="0.2">
      <c r="Z24586" t="str">
        <f t="shared" si="384"/>
        <v/>
      </c>
    </row>
    <row r="24587" spans="26:26" x14ac:dyDescent="0.2">
      <c r="Z24587" t="str">
        <f t="shared" si="384"/>
        <v/>
      </c>
    </row>
    <row r="24588" spans="26:26" x14ac:dyDescent="0.2">
      <c r="Z24588" t="str">
        <f t="shared" si="384"/>
        <v/>
      </c>
    </row>
    <row r="24589" spans="26:26" x14ac:dyDescent="0.2">
      <c r="Z24589" t="str">
        <f t="shared" si="384"/>
        <v/>
      </c>
    </row>
    <row r="24590" spans="26:26" x14ac:dyDescent="0.2">
      <c r="Z24590" t="str">
        <f t="shared" si="384"/>
        <v/>
      </c>
    </row>
    <row r="24591" spans="26:26" x14ac:dyDescent="0.2">
      <c r="Z24591" t="str">
        <f t="shared" si="384"/>
        <v/>
      </c>
    </row>
    <row r="24592" spans="26:26" x14ac:dyDescent="0.2">
      <c r="Z24592" t="str">
        <f t="shared" si="384"/>
        <v/>
      </c>
    </row>
    <row r="24593" spans="26:26" x14ac:dyDescent="0.2">
      <c r="Z24593" t="str">
        <f t="shared" si="384"/>
        <v/>
      </c>
    </row>
    <row r="24594" spans="26:26" x14ac:dyDescent="0.2">
      <c r="Z24594" t="str">
        <f t="shared" si="384"/>
        <v/>
      </c>
    </row>
    <row r="24595" spans="26:26" x14ac:dyDescent="0.2">
      <c r="Z24595" t="str">
        <f t="shared" si="384"/>
        <v/>
      </c>
    </row>
    <row r="24596" spans="26:26" x14ac:dyDescent="0.2">
      <c r="Z24596" t="str">
        <f t="shared" si="384"/>
        <v/>
      </c>
    </row>
    <row r="24597" spans="26:26" x14ac:dyDescent="0.2">
      <c r="Z24597" t="str">
        <f t="shared" si="384"/>
        <v/>
      </c>
    </row>
    <row r="24598" spans="26:26" x14ac:dyDescent="0.2">
      <c r="Z24598" t="str">
        <f t="shared" si="384"/>
        <v/>
      </c>
    </row>
    <row r="24599" spans="26:26" x14ac:dyDescent="0.2">
      <c r="Z24599" t="str">
        <f t="shared" si="384"/>
        <v/>
      </c>
    </row>
    <row r="24600" spans="26:26" x14ac:dyDescent="0.2">
      <c r="Z24600" t="str">
        <f t="shared" si="384"/>
        <v/>
      </c>
    </row>
    <row r="24601" spans="26:26" x14ac:dyDescent="0.2">
      <c r="Z24601" t="str">
        <f t="shared" si="384"/>
        <v/>
      </c>
    </row>
    <row r="24602" spans="26:26" x14ac:dyDescent="0.2">
      <c r="Z24602" t="str">
        <f t="shared" si="384"/>
        <v/>
      </c>
    </row>
    <row r="24603" spans="26:26" x14ac:dyDescent="0.2">
      <c r="Z24603" t="str">
        <f t="shared" si="384"/>
        <v/>
      </c>
    </row>
    <row r="24604" spans="26:26" x14ac:dyDescent="0.2">
      <c r="Z24604" t="str">
        <f t="shared" si="384"/>
        <v/>
      </c>
    </row>
    <row r="24605" spans="26:26" x14ac:dyDescent="0.2">
      <c r="Z24605" t="str">
        <f t="shared" si="384"/>
        <v/>
      </c>
    </row>
    <row r="24606" spans="26:26" x14ac:dyDescent="0.2">
      <c r="Z24606" t="str">
        <f t="shared" si="384"/>
        <v/>
      </c>
    </row>
    <row r="24607" spans="26:26" x14ac:dyDescent="0.2">
      <c r="Z24607" t="str">
        <f t="shared" si="384"/>
        <v/>
      </c>
    </row>
    <row r="24608" spans="26:26" x14ac:dyDescent="0.2">
      <c r="Z24608" t="str">
        <f t="shared" si="384"/>
        <v/>
      </c>
    </row>
    <row r="24609" spans="26:26" x14ac:dyDescent="0.2">
      <c r="Z24609" t="str">
        <f t="shared" si="384"/>
        <v/>
      </c>
    </row>
    <row r="24610" spans="26:26" x14ac:dyDescent="0.2">
      <c r="Z24610" t="str">
        <f t="shared" si="384"/>
        <v/>
      </c>
    </row>
    <row r="24611" spans="26:26" x14ac:dyDescent="0.2">
      <c r="Z24611" t="str">
        <f t="shared" si="384"/>
        <v/>
      </c>
    </row>
    <row r="24612" spans="26:26" x14ac:dyDescent="0.2">
      <c r="Z24612" t="str">
        <f t="shared" si="384"/>
        <v/>
      </c>
    </row>
    <row r="24613" spans="26:26" x14ac:dyDescent="0.2">
      <c r="Z24613" t="str">
        <f t="shared" si="384"/>
        <v/>
      </c>
    </row>
    <row r="24614" spans="26:26" x14ac:dyDescent="0.2">
      <c r="Z24614" t="str">
        <f t="shared" si="384"/>
        <v/>
      </c>
    </row>
    <row r="24615" spans="26:26" x14ac:dyDescent="0.2">
      <c r="Z24615" t="str">
        <f t="shared" si="384"/>
        <v/>
      </c>
    </row>
    <row r="24616" spans="26:26" x14ac:dyDescent="0.2">
      <c r="Z24616" t="str">
        <f t="shared" si="384"/>
        <v/>
      </c>
    </row>
    <row r="24617" spans="26:26" x14ac:dyDescent="0.2">
      <c r="Z24617" t="str">
        <f t="shared" si="384"/>
        <v/>
      </c>
    </row>
    <row r="24618" spans="26:26" x14ac:dyDescent="0.2">
      <c r="Z24618" t="str">
        <f t="shared" si="384"/>
        <v/>
      </c>
    </row>
    <row r="24619" spans="26:26" x14ac:dyDescent="0.2">
      <c r="Z24619" t="str">
        <f t="shared" si="384"/>
        <v/>
      </c>
    </row>
    <row r="24620" spans="26:26" x14ac:dyDescent="0.2">
      <c r="Z24620" t="str">
        <f t="shared" si="384"/>
        <v/>
      </c>
    </row>
    <row r="24621" spans="26:26" x14ac:dyDescent="0.2">
      <c r="Z24621" t="str">
        <f t="shared" si="384"/>
        <v/>
      </c>
    </row>
    <row r="24622" spans="26:26" x14ac:dyDescent="0.2">
      <c r="Z24622" t="str">
        <f t="shared" si="384"/>
        <v/>
      </c>
    </row>
    <row r="24623" spans="26:26" x14ac:dyDescent="0.2">
      <c r="Z24623" t="str">
        <f t="shared" si="384"/>
        <v/>
      </c>
    </row>
    <row r="24624" spans="26:26" x14ac:dyDescent="0.2">
      <c r="Z24624" t="str">
        <f t="shared" si="384"/>
        <v/>
      </c>
    </row>
    <row r="24625" spans="26:26" x14ac:dyDescent="0.2">
      <c r="Z24625" t="str">
        <f t="shared" si="384"/>
        <v/>
      </c>
    </row>
    <row r="24626" spans="26:26" x14ac:dyDescent="0.2">
      <c r="Z24626" t="str">
        <f t="shared" si="384"/>
        <v/>
      </c>
    </row>
    <row r="24627" spans="26:26" x14ac:dyDescent="0.2">
      <c r="Z24627" t="str">
        <f t="shared" si="384"/>
        <v/>
      </c>
    </row>
    <row r="24628" spans="26:26" x14ac:dyDescent="0.2">
      <c r="Z24628" t="str">
        <f t="shared" si="384"/>
        <v/>
      </c>
    </row>
    <row r="24629" spans="26:26" x14ac:dyDescent="0.2">
      <c r="Z24629" t="str">
        <f t="shared" si="384"/>
        <v/>
      </c>
    </row>
    <row r="24630" spans="26:26" x14ac:dyDescent="0.2">
      <c r="Z24630" t="str">
        <f t="shared" si="384"/>
        <v/>
      </c>
    </row>
    <row r="24631" spans="26:26" x14ac:dyDescent="0.2">
      <c r="Z24631" t="str">
        <f t="shared" si="384"/>
        <v/>
      </c>
    </row>
    <row r="24632" spans="26:26" x14ac:dyDescent="0.2">
      <c r="Z24632" t="str">
        <f t="shared" si="384"/>
        <v/>
      </c>
    </row>
    <row r="24633" spans="26:26" x14ac:dyDescent="0.2">
      <c r="Z24633" t="str">
        <f t="shared" si="384"/>
        <v/>
      </c>
    </row>
    <row r="24634" spans="26:26" x14ac:dyDescent="0.2">
      <c r="Z24634" t="str">
        <f t="shared" si="384"/>
        <v/>
      </c>
    </row>
    <row r="24635" spans="26:26" x14ac:dyDescent="0.2">
      <c r="Z24635" t="str">
        <f t="shared" si="384"/>
        <v/>
      </c>
    </row>
    <row r="24636" spans="26:26" x14ac:dyDescent="0.2">
      <c r="Z24636" t="str">
        <f t="shared" si="384"/>
        <v/>
      </c>
    </row>
    <row r="24637" spans="26:26" x14ac:dyDescent="0.2">
      <c r="Z24637" t="str">
        <f t="shared" si="384"/>
        <v/>
      </c>
    </row>
    <row r="24638" spans="26:26" x14ac:dyDescent="0.2">
      <c r="Z24638" t="str">
        <f t="shared" si="384"/>
        <v/>
      </c>
    </row>
    <row r="24639" spans="26:26" x14ac:dyDescent="0.2">
      <c r="Z24639" t="str">
        <f t="shared" si="384"/>
        <v/>
      </c>
    </row>
    <row r="24640" spans="26:26" x14ac:dyDescent="0.2">
      <c r="Z24640" t="str">
        <f t="shared" si="384"/>
        <v/>
      </c>
    </row>
    <row r="24641" spans="26:26" x14ac:dyDescent="0.2">
      <c r="Z24641" t="str">
        <f t="shared" si="384"/>
        <v/>
      </c>
    </row>
    <row r="24642" spans="26:26" x14ac:dyDescent="0.2">
      <c r="Z24642" t="str">
        <f t="shared" si="384"/>
        <v/>
      </c>
    </row>
    <row r="24643" spans="26:26" x14ac:dyDescent="0.2">
      <c r="Z24643" t="str">
        <f t="shared" ref="Z24643:Z24706" si="385">IF(K24643="","",IFERROR(VALUE(TRIM(MID(K24643,FIND(CHAR(167),SUBSTITUTE(K24643,"-",CHAR(167),LEN(K24643)-LEN(SUBSTITUTE(K24643,"-",""))))+1,100))),K24643))</f>
        <v/>
      </c>
    </row>
    <row r="24644" spans="26:26" x14ac:dyDescent="0.2">
      <c r="Z24644" t="str">
        <f t="shared" si="385"/>
        <v/>
      </c>
    </row>
    <row r="24645" spans="26:26" x14ac:dyDescent="0.2">
      <c r="Z24645" t="str">
        <f t="shared" si="385"/>
        <v/>
      </c>
    </row>
    <row r="24646" spans="26:26" x14ac:dyDescent="0.2">
      <c r="Z24646" t="str">
        <f t="shared" si="385"/>
        <v/>
      </c>
    </row>
    <row r="24647" spans="26:26" x14ac:dyDescent="0.2">
      <c r="Z24647" t="str">
        <f t="shared" si="385"/>
        <v/>
      </c>
    </row>
    <row r="24648" spans="26:26" x14ac:dyDescent="0.2">
      <c r="Z24648" t="str">
        <f t="shared" si="385"/>
        <v/>
      </c>
    </row>
    <row r="24649" spans="26:26" x14ac:dyDescent="0.2">
      <c r="Z24649" t="str">
        <f t="shared" si="385"/>
        <v/>
      </c>
    </row>
    <row r="24650" spans="26:26" x14ac:dyDescent="0.2">
      <c r="Z24650" t="str">
        <f t="shared" si="385"/>
        <v/>
      </c>
    </row>
    <row r="24651" spans="26:26" x14ac:dyDescent="0.2">
      <c r="Z24651" t="str">
        <f t="shared" si="385"/>
        <v/>
      </c>
    </row>
    <row r="24652" spans="26:26" x14ac:dyDescent="0.2">
      <c r="Z24652" t="str">
        <f t="shared" si="385"/>
        <v/>
      </c>
    </row>
    <row r="24653" spans="26:26" x14ac:dyDescent="0.2">
      <c r="Z24653" t="str">
        <f t="shared" si="385"/>
        <v/>
      </c>
    </row>
    <row r="24654" spans="26:26" x14ac:dyDescent="0.2">
      <c r="Z24654" t="str">
        <f t="shared" si="385"/>
        <v/>
      </c>
    </row>
    <row r="24655" spans="26:26" x14ac:dyDescent="0.2">
      <c r="Z24655" t="str">
        <f t="shared" si="385"/>
        <v/>
      </c>
    </row>
    <row r="24656" spans="26:26" x14ac:dyDescent="0.2">
      <c r="Z24656" t="str">
        <f t="shared" si="385"/>
        <v/>
      </c>
    </row>
    <row r="24657" spans="26:26" x14ac:dyDescent="0.2">
      <c r="Z24657" t="str">
        <f t="shared" si="385"/>
        <v/>
      </c>
    </row>
    <row r="24658" spans="26:26" x14ac:dyDescent="0.2">
      <c r="Z24658" t="str">
        <f t="shared" si="385"/>
        <v/>
      </c>
    </row>
    <row r="24659" spans="26:26" x14ac:dyDescent="0.2">
      <c r="Z24659" t="str">
        <f t="shared" si="385"/>
        <v/>
      </c>
    </row>
    <row r="24660" spans="26:26" x14ac:dyDescent="0.2">
      <c r="Z24660" t="str">
        <f t="shared" si="385"/>
        <v/>
      </c>
    </row>
    <row r="24661" spans="26:26" x14ac:dyDescent="0.2">
      <c r="Z24661" t="str">
        <f t="shared" si="385"/>
        <v/>
      </c>
    </row>
    <row r="24662" spans="26:26" x14ac:dyDescent="0.2">
      <c r="Z24662" t="str">
        <f t="shared" si="385"/>
        <v/>
      </c>
    </row>
    <row r="24663" spans="26:26" x14ac:dyDescent="0.2">
      <c r="Z24663" t="str">
        <f t="shared" si="385"/>
        <v/>
      </c>
    </row>
    <row r="24664" spans="26:26" x14ac:dyDescent="0.2">
      <c r="Z24664" t="str">
        <f t="shared" si="385"/>
        <v/>
      </c>
    </row>
    <row r="24665" spans="26:26" x14ac:dyDescent="0.2">
      <c r="Z24665" t="str">
        <f t="shared" si="385"/>
        <v/>
      </c>
    </row>
    <row r="24666" spans="26:26" x14ac:dyDescent="0.2">
      <c r="Z24666" t="str">
        <f t="shared" si="385"/>
        <v/>
      </c>
    </row>
    <row r="24667" spans="26:26" x14ac:dyDescent="0.2">
      <c r="Z24667" t="str">
        <f t="shared" si="385"/>
        <v/>
      </c>
    </row>
    <row r="24668" spans="26:26" x14ac:dyDescent="0.2">
      <c r="Z24668" t="str">
        <f t="shared" si="385"/>
        <v/>
      </c>
    </row>
    <row r="24669" spans="26:26" x14ac:dyDescent="0.2">
      <c r="Z24669" t="str">
        <f t="shared" si="385"/>
        <v/>
      </c>
    </row>
    <row r="24670" spans="26:26" x14ac:dyDescent="0.2">
      <c r="Z24670" t="str">
        <f t="shared" si="385"/>
        <v/>
      </c>
    </row>
    <row r="24671" spans="26:26" x14ac:dyDescent="0.2">
      <c r="Z24671" t="str">
        <f t="shared" si="385"/>
        <v/>
      </c>
    </row>
    <row r="24672" spans="26:26" x14ac:dyDescent="0.2">
      <c r="Z24672" t="str">
        <f t="shared" si="385"/>
        <v/>
      </c>
    </row>
    <row r="24673" spans="26:26" x14ac:dyDescent="0.2">
      <c r="Z24673" t="str">
        <f t="shared" si="385"/>
        <v/>
      </c>
    </row>
    <row r="24674" spans="26:26" x14ac:dyDescent="0.2">
      <c r="Z24674" t="str">
        <f t="shared" si="385"/>
        <v/>
      </c>
    </row>
    <row r="24675" spans="26:26" x14ac:dyDescent="0.2">
      <c r="Z24675" t="str">
        <f t="shared" si="385"/>
        <v/>
      </c>
    </row>
    <row r="24676" spans="26:26" x14ac:dyDescent="0.2">
      <c r="Z24676" t="str">
        <f t="shared" si="385"/>
        <v/>
      </c>
    </row>
    <row r="24677" spans="26:26" x14ac:dyDescent="0.2">
      <c r="Z24677" t="str">
        <f t="shared" si="385"/>
        <v/>
      </c>
    </row>
    <row r="24678" spans="26:26" x14ac:dyDescent="0.2">
      <c r="Z24678" t="str">
        <f t="shared" si="385"/>
        <v/>
      </c>
    </row>
    <row r="24679" spans="26:26" x14ac:dyDescent="0.2">
      <c r="Z24679" t="str">
        <f t="shared" si="385"/>
        <v/>
      </c>
    </row>
    <row r="24680" spans="26:26" x14ac:dyDescent="0.2">
      <c r="Z24680" t="str">
        <f t="shared" si="385"/>
        <v/>
      </c>
    </row>
    <row r="24681" spans="26:26" x14ac:dyDescent="0.2">
      <c r="Z24681" t="str">
        <f t="shared" si="385"/>
        <v/>
      </c>
    </row>
    <row r="24682" spans="26:26" x14ac:dyDescent="0.2">
      <c r="Z24682" t="str">
        <f t="shared" si="385"/>
        <v/>
      </c>
    </row>
    <row r="24683" spans="26:26" x14ac:dyDescent="0.2">
      <c r="Z24683" t="str">
        <f t="shared" si="385"/>
        <v/>
      </c>
    </row>
    <row r="24684" spans="26:26" x14ac:dyDescent="0.2">
      <c r="Z24684" t="str">
        <f t="shared" si="385"/>
        <v/>
      </c>
    </row>
    <row r="24685" spans="26:26" x14ac:dyDescent="0.2">
      <c r="Z24685" t="str">
        <f t="shared" si="385"/>
        <v/>
      </c>
    </row>
    <row r="24686" spans="26:26" x14ac:dyDescent="0.2">
      <c r="Z24686" t="str">
        <f t="shared" si="385"/>
        <v/>
      </c>
    </row>
    <row r="24687" spans="26:26" x14ac:dyDescent="0.2">
      <c r="Z24687" t="str">
        <f t="shared" si="385"/>
        <v/>
      </c>
    </row>
    <row r="24688" spans="26:26" x14ac:dyDescent="0.2">
      <c r="Z24688" t="str">
        <f t="shared" si="385"/>
        <v/>
      </c>
    </row>
    <row r="24689" spans="26:26" x14ac:dyDescent="0.2">
      <c r="Z24689" t="str">
        <f t="shared" si="385"/>
        <v/>
      </c>
    </row>
    <row r="24690" spans="26:26" x14ac:dyDescent="0.2">
      <c r="Z24690" t="str">
        <f t="shared" si="385"/>
        <v/>
      </c>
    </row>
    <row r="24691" spans="26:26" x14ac:dyDescent="0.2">
      <c r="Z24691" t="str">
        <f t="shared" si="385"/>
        <v/>
      </c>
    </row>
    <row r="24692" spans="26:26" x14ac:dyDescent="0.2">
      <c r="Z24692" t="str">
        <f t="shared" si="385"/>
        <v/>
      </c>
    </row>
    <row r="24693" spans="26:26" x14ac:dyDescent="0.2">
      <c r="Z24693" t="str">
        <f t="shared" si="385"/>
        <v/>
      </c>
    </row>
    <row r="24694" spans="26:26" x14ac:dyDescent="0.2">
      <c r="Z24694" t="str">
        <f t="shared" si="385"/>
        <v/>
      </c>
    </row>
    <row r="24695" spans="26:26" x14ac:dyDescent="0.2">
      <c r="Z24695" t="str">
        <f t="shared" si="385"/>
        <v/>
      </c>
    </row>
    <row r="24696" spans="26:26" x14ac:dyDescent="0.2">
      <c r="Z24696" t="str">
        <f t="shared" si="385"/>
        <v/>
      </c>
    </row>
    <row r="24697" spans="26:26" x14ac:dyDescent="0.2">
      <c r="Z24697" t="str">
        <f t="shared" si="385"/>
        <v/>
      </c>
    </row>
    <row r="24698" spans="26:26" x14ac:dyDescent="0.2">
      <c r="Z24698" t="str">
        <f t="shared" si="385"/>
        <v/>
      </c>
    </row>
    <row r="24699" spans="26:26" x14ac:dyDescent="0.2">
      <c r="Z24699" t="str">
        <f t="shared" si="385"/>
        <v/>
      </c>
    </row>
    <row r="24700" spans="26:26" x14ac:dyDescent="0.2">
      <c r="Z24700" t="str">
        <f t="shared" si="385"/>
        <v/>
      </c>
    </row>
    <row r="24701" spans="26:26" x14ac:dyDescent="0.2">
      <c r="Z24701" t="str">
        <f t="shared" si="385"/>
        <v/>
      </c>
    </row>
    <row r="24702" spans="26:26" x14ac:dyDescent="0.2">
      <c r="Z24702" t="str">
        <f t="shared" si="385"/>
        <v/>
      </c>
    </row>
    <row r="24703" spans="26:26" x14ac:dyDescent="0.2">
      <c r="Z24703" t="str">
        <f t="shared" si="385"/>
        <v/>
      </c>
    </row>
    <row r="24704" spans="26:26" x14ac:dyDescent="0.2">
      <c r="Z24704" t="str">
        <f t="shared" si="385"/>
        <v/>
      </c>
    </row>
    <row r="24705" spans="26:26" x14ac:dyDescent="0.2">
      <c r="Z24705" t="str">
        <f t="shared" si="385"/>
        <v/>
      </c>
    </row>
    <row r="24706" spans="26:26" x14ac:dyDescent="0.2">
      <c r="Z24706" t="str">
        <f t="shared" si="385"/>
        <v/>
      </c>
    </row>
    <row r="24707" spans="26:26" x14ac:dyDescent="0.2">
      <c r="Z24707" t="str">
        <f t="shared" ref="Z24707:Z24770" si="386">IF(K24707="","",IFERROR(VALUE(TRIM(MID(K24707,FIND(CHAR(167),SUBSTITUTE(K24707,"-",CHAR(167),LEN(K24707)-LEN(SUBSTITUTE(K24707,"-",""))))+1,100))),K24707))</f>
        <v/>
      </c>
    </row>
    <row r="24708" spans="26:26" x14ac:dyDescent="0.2">
      <c r="Z24708" t="str">
        <f t="shared" si="386"/>
        <v/>
      </c>
    </row>
    <row r="24709" spans="26:26" x14ac:dyDescent="0.2">
      <c r="Z24709" t="str">
        <f t="shared" si="386"/>
        <v/>
      </c>
    </row>
    <row r="24710" spans="26:26" x14ac:dyDescent="0.2">
      <c r="Z24710" t="str">
        <f t="shared" si="386"/>
        <v/>
      </c>
    </row>
    <row r="24711" spans="26:26" x14ac:dyDescent="0.2">
      <c r="Z24711" t="str">
        <f t="shared" si="386"/>
        <v/>
      </c>
    </row>
    <row r="24712" spans="26:26" x14ac:dyDescent="0.2">
      <c r="Z24712" t="str">
        <f t="shared" si="386"/>
        <v/>
      </c>
    </row>
    <row r="24713" spans="26:26" x14ac:dyDescent="0.2">
      <c r="Z24713" t="str">
        <f t="shared" si="386"/>
        <v/>
      </c>
    </row>
    <row r="24714" spans="26:26" x14ac:dyDescent="0.2">
      <c r="Z24714" t="str">
        <f t="shared" si="386"/>
        <v/>
      </c>
    </row>
    <row r="24715" spans="26:26" x14ac:dyDescent="0.2">
      <c r="Z24715" t="str">
        <f t="shared" si="386"/>
        <v/>
      </c>
    </row>
    <row r="24716" spans="26:26" x14ac:dyDescent="0.2">
      <c r="Z24716" t="str">
        <f t="shared" si="386"/>
        <v/>
      </c>
    </row>
    <row r="24717" spans="26:26" x14ac:dyDescent="0.2">
      <c r="Z24717" t="str">
        <f t="shared" si="386"/>
        <v/>
      </c>
    </row>
    <row r="24718" spans="26:26" x14ac:dyDescent="0.2">
      <c r="Z24718" t="str">
        <f t="shared" si="386"/>
        <v/>
      </c>
    </row>
    <row r="24719" spans="26:26" x14ac:dyDescent="0.2">
      <c r="Z24719" t="str">
        <f t="shared" si="386"/>
        <v/>
      </c>
    </row>
    <row r="24720" spans="26:26" x14ac:dyDescent="0.2">
      <c r="Z24720" t="str">
        <f t="shared" si="386"/>
        <v/>
      </c>
    </row>
    <row r="24721" spans="26:26" x14ac:dyDescent="0.2">
      <c r="Z24721" t="str">
        <f t="shared" si="386"/>
        <v/>
      </c>
    </row>
    <row r="24722" spans="26:26" x14ac:dyDescent="0.2">
      <c r="Z24722" t="str">
        <f t="shared" si="386"/>
        <v/>
      </c>
    </row>
    <row r="24723" spans="26:26" x14ac:dyDescent="0.2">
      <c r="Z24723" t="str">
        <f t="shared" si="386"/>
        <v/>
      </c>
    </row>
    <row r="24724" spans="26:26" x14ac:dyDescent="0.2">
      <c r="Z24724" t="str">
        <f t="shared" si="386"/>
        <v/>
      </c>
    </row>
    <row r="24725" spans="26:26" x14ac:dyDescent="0.2">
      <c r="Z24725" t="str">
        <f t="shared" si="386"/>
        <v/>
      </c>
    </row>
    <row r="24726" spans="26:26" x14ac:dyDescent="0.2">
      <c r="Z24726" t="str">
        <f t="shared" si="386"/>
        <v/>
      </c>
    </row>
    <row r="24727" spans="26:26" x14ac:dyDescent="0.2">
      <c r="Z24727" t="str">
        <f t="shared" si="386"/>
        <v/>
      </c>
    </row>
    <row r="24728" spans="26:26" x14ac:dyDescent="0.2">
      <c r="Z24728" t="str">
        <f t="shared" si="386"/>
        <v/>
      </c>
    </row>
    <row r="24729" spans="26:26" x14ac:dyDescent="0.2">
      <c r="Z24729" t="str">
        <f t="shared" si="386"/>
        <v/>
      </c>
    </row>
    <row r="24730" spans="26:26" x14ac:dyDescent="0.2">
      <c r="Z24730" t="str">
        <f t="shared" si="386"/>
        <v/>
      </c>
    </row>
    <row r="24731" spans="26:26" x14ac:dyDescent="0.2">
      <c r="Z24731" t="str">
        <f t="shared" si="386"/>
        <v/>
      </c>
    </row>
    <row r="24732" spans="26:26" x14ac:dyDescent="0.2">
      <c r="Z24732" t="str">
        <f t="shared" si="386"/>
        <v/>
      </c>
    </row>
    <row r="24733" spans="26:26" x14ac:dyDescent="0.2">
      <c r="Z24733" t="str">
        <f t="shared" si="386"/>
        <v/>
      </c>
    </row>
    <row r="24734" spans="26:26" x14ac:dyDescent="0.2">
      <c r="Z24734" t="str">
        <f t="shared" si="386"/>
        <v/>
      </c>
    </row>
    <row r="24735" spans="26:26" x14ac:dyDescent="0.2">
      <c r="Z24735" t="str">
        <f t="shared" si="386"/>
        <v/>
      </c>
    </row>
    <row r="24736" spans="26:26" x14ac:dyDescent="0.2">
      <c r="Z24736" t="str">
        <f t="shared" si="386"/>
        <v/>
      </c>
    </row>
    <row r="24737" spans="26:26" x14ac:dyDescent="0.2">
      <c r="Z24737" t="str">
        <f t="shared" si="386"/>
        <v/>
      </c>
    </row>
    <row r="24738" spans="26:26" x14ac:dyDescent="0.2">
      <c r="Z24738" t="str">
        <f t="shared" si="386"/>
        <v/>
      </c>
    </row>
    <row r="24739" spans="26:26" x14ac:dyDescent="0.2">
      <c r="Z24739" t="str">
        <f t="shared" si="386"/>
        <v/>
      </c>
    </row>
    <row r="24740" spans="26:26" x14ac:dyDescent="0.2">
      <c r="Z24740" t="str">
        <f t="shared" si="386"/>
        <v/>
      </c>
    </row>
    <row r="24741" spans="26:26" x14ac:dyDescent="0.2">
      <c r="Z24741" t="str">
        <f t="shared" si="386"/>
        <v/>
      </c>
    </row>
    <row r="24742" spans="26:26" x14ac:dyDescent="0.2">
      <c r="Z24742" t="str">
        <f t="shared" si="386"/>
        <v/>
      </c>
    </row>
    <row r="24743" spans="26:26" x14ac:dyDescent="0.2">
      <c r="Z24743" t="str">
        <f t="shared" si="386"/>
        <v/>
      </c>
    </row>
    <row r="24744" spans="26:26" x14ac:dyDescent="0.2">
      <c r="Z24744" t="str">
        <f t="shared" si="386"/>
        <v/>
      </c>
    </row>
    <row r="24745" spans="26:26" x14ac:dyDescent="0.2">
      <c r="Z24745" t="str">
        <f t="shared" si="386"/>
        <v/>
      </c>
    </row>
    <row r="24746" spans="26:26" x14ac:dyDescent="0.2">
      <c r="Z24746" t="str">
        <f t="shared" si="386"/>
        <v/>
      </c>
    </row>
    <row r="24747" spans="26:26" x14ac:dyDescent="0.2">
      <c r="Z24747" t="str">
        <f t="shared" si="386"/>
        <v/>
      </c>
    </row>
    <row r="24748" spans="26:26" x14ac:dyDescent="0.2">
      <c r="Z24748" t="str">
        <f t="shared" si="386"/>
        <v/>
      </c>
    </row>
    <row r="24749" spans="26:26" x14ac:dyDescent="0.2">
      <c r="Z24749" t="str">
        <f t="shared" si="386"/>
        <v/>
      </c>
    </row>
    <row r="24750" spans="26:26" x14ac:dyDescent="0.2">
      <c r="Z24750" t="str">
        <f t="shared" si="386"/>
        <v/>
      </c>
    </row>
    <row r="24751" spans="26:26" x14ac:dyDescent="0.2">
      <c r="Z24751" t="str">
        <f t="shared" si="386"/>
        <v/>
      </c>
    </row>
    <row r="24752" spans="26:26" x14ac:dyDescent="0.2">
      <c r="Z24752" t="str">
        <f t="shared" si="386"/>
        <v/>
      </c>
    </row>
    <row r="24753" spans="26:26" x14ac:dyDescent="0.2">
      <c r="Z24753" t="str">
        <f t="shared" si="386"/>
        <v/>
      </c>
    </row>
    <row r="24754" spans="26:26" x14ac:dyDescent="0.2">
      <c r="Z24754" t="str">
        <f t="shared" si="386"/>
        <v/>
      </c>
    </row>
    <row r="24755" spans="26:26" x14ac:dyDescent="0.2">
      <c r="Z24755" t="str">
        <f t="shared" si="386"/>
        <v/>
      </c>
    </row>
    <row r="24756" spans="26:26" x14ac:dyDescent="0.2">
      <c r="Z24756" t="str">
        <f t="shared" si="386"/>
        <v/>
      </c>
    </row>
    <row r="24757" spans="26:26" x14ac:dyDescent="0.2">
      <c r="Z24757" t="str">
        <f t="shared" si="386"/>
        <v/>
      </c>
    </row>
    <row r="24758" spans="26:26" x14ac:dyDescent="0.2">
      <c r="Z24758" t="str">
        <f t="shared" si="386"/>
        <v/>
      </c>
    </row>
    <row r="24759" spans="26:26" x14ac:dyDescent="0.2">
      <c r="Z24759" t="str">
        <f t="shared" si="386"/>
        <v/>
      </c>
    </row>
    <row r="24760" spans="26:26" x14ac:dyDescent="0.2">
      <c r="Z24760" t="str">
        <f t="shared" si="386"/>
        <v/>
      </c>
    </row>
    <row r="24761" spans="26:26" x14ac:dyDescent="0.2">
      <c r="Z24761" t="str">
        <f t="shared" si="386"/>
        <v/>
      </c>
    </row>
    <row r="24762" spans="26:26" x14ac:dyDescent="0.2">
      <c r="Z24762" t="str">
        <f t="shared" si="386"/>
        <v/>
      </c>
    </row>
    <row r="24763" spans="26:26" x14ac:dyDescent="0.2">
      <c r="Z24763" t="str">
        <f t="shared" si="386"/>
        <v/>
      </c>
    </row>
    <row r="24764" spans="26:26" x14ac:dyDescent="0.2">
      <c r="Z24764" t="str">
        <f t="shared" si="386"/>
        <v/>
      </c>
    </row>
    <row r="24765" spans="26:26" x14ac:dyDescent="0.2">
      <c r="Z24765" t="str">
        <f t="shared" si="386"/>
        <v/>
      </c>
    </row>
    <row r="24766" spans="26:26" x14ac:dyDescent="0.2">
      <c r="Z24766" t="str">
        <f t="shared" si="386"/>
        <v/>
      </c>
    </row>
    <row r="24767" spans="26:26" x14ac:dyDescent="0.2">
      <c r="Z24767" t="str">
        <f t="shared" si="386"/>
        <v/>
      </c>
    </row>
    <row r="24768" spans="26:26" x14ac:dyDescent="0.2">
      <c r="Z24768" t="str">
        <f t="shared" si="386"/>
        <v/>
      </c>
    </row>
    <row r="24769" spans="26:26" x14ac:dyDescent="0.2">
      <c r="Z24769" t="str">
        <f t="shared" si="386"/>
        <v/>
      </c>
    </row>
    <row r="24770" spans="26:26" x14ac:dyDescent="0.2">
      <c r="Z24770" t="str">
        <f t="shared" si="386"/>
        <v/>
      </c>
    </row>
    <row r="24771" spans="26:26" x14ac:dyDescent="0.2">
      <c r="Z24771" t="str">
        <f t="shared" ref="Z24771:Z24834" si="387">IF(K24771="","",IFERROR(VALUE(TRIM(MID(K24771,FIND(CHAR(167),SUBSTITUTE(K24771,"-",CHAR(167),LEN(K24771)-LEN(SUBSTITUTE(K24771,"-",""))))+1,100))),K24771))</f>
        <v/>
      </c>
    </row>
    <row r="24772" spans="26:26" x14ac:dyDescent="0.2">
      <c r="Z24772" t="str">
        <f t="shared" si="387"/>
        <v/>
      </c>
    </row>
    <row r="24773" spans="26:26" x14ac:dyDescent="0.2">
      <c r="Z24773" t="str">
        <f t="shared" si="387"/>
        <v/>
      </c>
    </row>
    <row r="24774" spans="26:26" x14ac:dyDescent="0.2">
      <c r="Z24774" t="str">
        <f t="shared" si="387"/>
        <v/>
      </c>
    </row>
    <row r="24775" spans="26:26" x14ac:dyDescent="0.2">
      <c r="Z24775" t="str">
        <f t="shared" si="387"/>
        <v/>
      </c>
    </row>
    <row r="24776" spans="26:26" x14ac:dyDescent="0.2">
      <c r="Z24776" t="str">
        <f t="shared" si="387"/>
        <v/>
      </c>
    </row>
    <row r="24777" spans="26:26" x14ac:dyDescent="0.2">
      <c r="Z24777" t="str">
        <f t="shared" si="387"/>
        <v/>
      </c>
    </row>
    <row r="24778" spans="26:26" x14ac:dyDescent="0.2">
      <c r="Z24778" t="str">
        <f t="shared" si="387"/>
        <v/>
      </c>
    </row>
    <row r="24779" spans="26:26" x14ac:dyDescent="0.2">
      <c r="Z24779" t="str">
        <f t="shared" si="387"/>
        <v/>
      </c>
    </row>
    <row r="24780" spans="26:26" x14ac:dyDescent="0.2">
      <c r="Z24780" t="str">
        <f t="shared" si="387"/>
        <v/>
      </c>
    </row>
    <row r="24781" spans="26:26" x14ac:dyDescent="0.2">
      <c r="Z24781" t="str">
        <f t="shared" si="387"/>
        <v/>
      </c>
    </row>
    <row r="24782" spans="26:26" x14ac:dyDescent="0.2">
      <c r="Z24782" t="str">
        <f t="shared" si="387"/>
        <v/>
      </c>
    </row>
    <row r="24783" spans="26:26" x14ac:dyDescent="0.2">
      <c r="Z24783" t="str">
        <f t="shared" si="387"/>
        <v/>
      </c>
    </row>
    <row r="24784" spans="26:26" x14ac:dyDescent="0.2">
      <c r="Z24784" t="str">
        <f t="shared" si="387"/>
        <v/>
      </c>
    </row>
    <row r="24785" spans="26:26" x14ac:dyDescent="0.2">
      <c r="Z24785" t="str">
        <f t="shared" si="387"/>
        <v/>
      </c>
    </row>
    <row r="24786" spans="26:26" x14ac:dyDescent="0.2">
      <c r="Z24786" t="str">
        <f t="shared" si="387"/>
        <v/>
      </c>
    </row>
    <row r="24787" spans="26:26" x14ac:dyDescent="0.2">
      <c r="Z24787" t="str">
        <f t="shared" si="387"/>
        <v/>
      </c>
    </row>
    <row r="24788" spans="26:26" x14ac:dyDescent="0.2">
      <c r="Z24788" t="str">
        <f t="shared" si="387"/>
        <v/>
      </c>
    </row>
    <row r="24789" spans="26:26" x14ac:dyDescent="0.2">
      <c r="Z24789" t="str">
        <f t="shared" si="387"/>
        <v/>
      </c>
    </row>
    <row r="24790" spans="26:26" x14ac:dyDescent="0.2">
      <c r="Z24790" t="str">
        <f t="shared" si="387"/>
        <v/>
      </c>
    </row>
    <row r="24791" spans="26:26" x14ac:dyDescent="0.2">
      <c r="Z24791" t="str">
        <f t="shared" si="387"/>
        <v/>
      </c>
    </row>
    <row r="24792" spans="26:26" x14ac:dyDescent="0.2">
      <c r="Z24792" t="str">
        <f t="shared" si="387"/>
        <v/>
      </c>
    </row>
    <row r="24793" spans="26:26" x14ac:dyDescent="0.2">
      <c r="Z24793" t="str">
        <f t="shared" si="387"/>
        <v/>
      </c>
    </row>
    <row r="24794" spans="26:26" x14ac:dyDescent="0.2">
      <c r="Z24794" t="str">
        <f t="shared" si="387"/>
        <v/>
      </c>
    </row>
    <row r="24795" spans="26:26" x14ac:dyDescent="0.2">
      <c r="Z24795" t="str">
        <f t="shared" si="387"/>
        <v/>
      </c>
    </row>
    <row r="24796" spans="26:26" x14ac:dyDescent="0.2">
      <c r="Z24796" t="str">
        <f t="shared" si="387"/>
        <v/>
      </c>
    </row>
    <row r="24797" spans="26:26" x14ac:dyDescent="0.2">
      <c r="Z24797" t="str">
        <f t="shared" si="387"/>
        <v/>
      </c>
    </row>
    <row r="24798" spans="26:26" x14ac:dyDescent="0.2">
      <c r="Z24798" t="str">
        <f t="shared" si="387"/>
        <v/>
      </c>
    </row>
    <row r="24799" spans="26:26" x14ac:dyDescent="0.2">
      <c r="Z24799" t="str">
        <f t="shared" si="387"/>
        <v/>
      </c>
    </row>
    <row r="24800" spans="26:26" x14ac:dyDescent="0.2">
      <c r="Z24800" t="str">
        <f t="shared" si="387"/>
        <v/>
      </c>
    </row>
    <row r="24801" spans="26:26" x14ac:dyDescent="0.2">
      <c r="Z24801" t="str">
        <f t="shared" si="387"/>
        <v/>
      </c>
    </row>
    <row r="24802" spans="26:26" x14ac:dyDescent="0.2">
      <c r="Z24802" t="str">
        <f t="shared" si="387"/>
        <v/>
      </c>
    </row>
    <row r="24803" spans="26:26" x14ac:dyDescent="0.2">
      <c r="Z24803" t="str">
        <f t="shared" si="387"/>
        <v/>
      </c>
    </row>
    <row r="24804" spans="26:26" x14ac:dyDescent="0.2">
      <c r="Z24804" t="str">
        <f t="shared" si="387"/>
        <v/>
      </c>
    </row>
    <row r="24805" spans="26:26" x14ac:dyDescent="0.2">
      <c r="Z24805" t="str">
        <f t="shared" si="387"/>
        <v/>
      </c>
    </row>
    <row r="24806" spans="26:26" x14ac:dyDescent="0.2">
      <c r="Z24806" t="str">
        <f t="shared" si="387"/>
        <v/>
      </c>
    </row>
    <row r="24807" spans="26:26" x14ac:dyDescent="0.2">
      <c r="Z24807" t="str">
        <f t="shared" si="387"/>
        <v/>
      </c>
    </row>
    <row r="24808" spans="26:26" x14ac:dyDescent="0.2">
      <c r="Z24808" t="str">
        <f t="shared" si="387"/>
        <v/>
      </c>
    </row>
    <row r="24809" spans="26:26" x14ac:dyDescent="0.2">
      <c r="Z24809" t="str">
        <f t="shared" si="387"/>
        <v/>
      </c>
    </row>
    <row r="24810" spans="26:26" x14ac:dyDescent="0.2">
      <c r="Z24810" t="str">
        <f t="shared" si="387"/>
        <v/>
      </c>
    </row>
    <row r="24811" spans="26:26" x14ac:dyDescent="0.2">
      <c r="Z24811" t="str">
        <f t="shared" si="387"/>
        <v/>
      </c>
    </row>
    <row r="24812" spans="26:26" x14ac:dyDescent="0.2">
      <c r="Z24812" t="str">
        <f t="shared" si="387"/>
        <v/>
      </c>
    </row>
    <row r="24813" spans="26:26" x14ac:dyDescent="0.2">
      <c r="Z24813" t="str">
        <f t="shared" si="387"/>
        <v/>
      </c>
    </row>
    <row r="24814" spans="26:26" x14ac:dyDescent="0.2">
      <c r="Z24814" t="str">
        <f t="shared" si="387"/>
        <v/>
      </c>
    </row>
    <row r="24815" spans="26:26" x14ac:dyDescent="0.2">
      <c r="Z24815" t="str">
        <f t="shared" si="387"/>
        <v/>
      </c>
    </row>
    <row r="24816" spans="26:26" x14ac:dyDescent="0.2">
      <c r="Z24816" t="str">
        <f t="shared" si="387"/>
        <v/>
      </c>
    </row>
    <row r="24817" spans="26:26" x14ac:dyDescent="0.2">
      <c r="Z24817" t="str">
        <f t="shared" si="387"/>
        <v/>
      </c>
    </row>
    <row r="24818" spans="26:26" x14ac:dyDescent="0.2">
      <c r="Z24818" t="str">
        <f t="shared" si="387"/>
        <v/>
      </c>
    </row>
    <row r="24819" spans="26:26" x14ac:dyDescent="0.2">
      <c r="Z24819" t="str">
        <f t="shared" si="387"/>
        <v/>
      </c>
    </row>
    <row r="24820" spans="26:26" x14ac:dyDescent="0.2">
      <c r="Z24820" t="str">
        <f t="shared" si="387"/>
        <v/>
      </c>
    </row>
    <row r="24821" spans="26:26" x14ac:dyDescent="0.2">
      <c r="Z24821" t="str">
        <f t="shared" si="387"/>
        <v/>
      </c>
    </row>
    <row r="24822" spans="26:26" x14ac:dyDescent="0.2">
      <c r="Z24822" t="str">
        <f t="shared" si="387"/>
        <v/>
      </c>
    </row>
    <row r="24823" spans="26:26" x14ac:dyDescent="0.2">
      <c r="Z24823" t="str">
        <f t="shared" si="387"/>
        <v/>
      </c>
    </row>
    <row r="24824" spans="26:26" x14ac:dyDescent="0.2">
      <c r="Z24824" t="str">
        <f t="shared" si="387"/>
        <v/>
      </c>
    </row>
    <row r="24825" spans="26:26" x14ac:dyDescent="0.2">
      <c r="Z24825" t="str">
        <f t="shared" si="387"/>
        <v/>
      </c>
    </row>
    <row r="24826" spans="26:26" x14ac:dyDescent="0.2">
      <c r="Z24826" t="str">
        <f t="shared" si="387"/>
        <v/>
      </c>
    </row>
    <row r="24827" spans="26:26" x14ac:dyDescent="0.2">
      <c r="Z24827" t="str">
        <f t="shared" si="387"/>
        <v/>
      </c>
    </row>
    <row r="24828" spans="26:26" x14ac:dyDescent="0.2">
      <c r="Z24828" t="str">
        <f t="shared" si="387"/>
        <v/>
      </c>
    </row>
    <row r="24829" spans="26:26" x14ac:dyDescent="0.2">
      <c r="Z24829" t="str">
        <f t="shared" si="387"/>
        <v/>
      </c>
    </row>
    <row r="24830" spans="26:26" x14ac:dyDescent="0.2">
      <c r="Z24830" t="str">
        <f t="shared" si="387"/>
        <v/>
      </c>
    </row>
    <row r="24831" spans="26:26" x14ac:dyDescent="0.2">
      <c r="Z24831" t="str">
        <f t="shared" si="387"/>
        <v/>
      </c>
    </row>
    <row r="24832" spans="26:26" x14ac:dyDescent="0.2">
      <c r="Z24832" t="str">
        <f t="shared" si="387"/>
        <v/>
      </c>
    </row>
    <row r="24833" spans="26:26" x14ac:dyDescent="0.2">
      <c r="Z24833" t="str">
        <f t="shared" si="387"/>
        <v/>
      </c>
    </row>
    <row r="24834" spans="26:26" x14ac:dyDescent="0.2">
      <c r="Z24834" t="str">
        <f t="shared" si="387"/>
        <v/>
      </c>
    </row>
    <row r="24835" spans="26:26" x14ac:dyDescent="0.2">
      <c r="Z24835" t="str">
        <f t="shared" ref="Z24835:Z24898" si="388">IF(K24835="","",IFERROR(VALUE(TRIM(MID(K24835,FIND(CHAR(167),SUBSTITUTE(K24835,"-",CHAR(167),LEN(K24835)-LEN(SUBSTITUTE(K24835,"-",""))))+1,100))),K24835))</f>
        <v/>
      </c>
    </row>
    <row r="24836" spans="26:26" x14ac:dyDescent="0.2">
      <c r="Z24836" t="str">
        <f t="shared" si="388"/>
        <v/>
      </c>
    </row>
    <row r="24837" spans="26:26" x14ac:dyDescent="0.2">
      <c r="Z24837" t="str">
        <f t="shared" si="388"/>
        <v/>
      </c>
    </row>
    <row r="24838" spans="26:26" x14ac:dyDescent="0.2">
      <c r="Z24838" t="str">
        <f t="shared" si="388"/>
        <v/>
      </c>
    </row>
    <row r="24839" spans="26:26" x14ac:dyDescent="0.2">
      <c r="Z24839" t="str">
        <f t="shared" si="388"/>
        <v/>
      </c>
    </row>
    <row r="24840" spans="26:26" x14ac:dyDescent="0.2">
      <c r="Z24840" t="str">
        <f t="shared" si="388"/>
        <v/>
      </c>
    </row>
    <row r="24841" spans="26:26" x14ac:dyDescent="0.2">
      <c r="Z24841" t="str">
        <f t="shared" si="388"/>
        <v/>
      </c>
    </row>
    <row r="24842" spans="26:26" x14ac:dyDescent="0.2">
      <c r="Z24842" t="str">
        <f t="shared" si="388"/>
        <v/>
      </c>
    </row>
    <row r="24843" spans="26:26" x14ac:dyDescent="0.2">
      <c r="Z24843" t="str">
        <f t="shared" si="388"/>
        <v/>
      </c>
    </row>
    <row r="24844" spans="26:26" x14ac:dyDescent="0.2">
      <c r="Z24844" t="str">
        <f t="shared" si="388"/>
        <v/>
      </c>
    </row>
    <row r="24845" spans="26:26" x14ac:dyDescent="0.2">
      <c r="Z24845" t="str">
        <f t="shared" si="388"/>
        <v/>
      </c>
    </row>
    <row r="24846" spans="26:26" x14ac:dyDescent="0.2">
      <c r="Z24846" t="str">
        <f t="shared" si="388"/>
        <v/>
      </c>
    </row>
    <row r="24847" spans="26:26" x14ac:dyDescent="0.2">
      <c r="Z24847" t="str">
        <f t="shared" si="388"/>
        <v/>
      </c>
    </row>
    <row r="24848" spans="26:26" x14ac:dyDescent="0.2">
      <c r="Z24848" t="str">
        <f t="shared" si="388"/>
        <v/>
      </c>
    </row>
    <row r="24849" spans="26:26" x14ac:dyDescent="0.2">
      <c r="Z24849" t="str">
        <f t="shared" si="388"/>
        <v/>
      </c>
    </row>
    <row r="24850" spans="26:26" x14ac:dyDescent="0.2">
      <c r="Z24850" t="str">
        <f t="shared" si="388"/>
        <v/>
      </c>
    </row>
    <row r="24851" spans="26:26" x14ac:dyDescent="0.2">
      <c r="Z24851" t="str">
        <f t="shared" si="388"/>
        <v/>
      </c>
    </row>
    <row r="24852" spans="26:26" x14ac:dyDescent="0.2">
      <c r="Z24852" t="str">
        <f t="shared" si="388"/>
        <v/>
      </c>
    </row>
    <row r="24853" spans="26:26" x14ac:dyDescent="0.2">
      <c r="Z24853" t="str">
        <f t="shared" si="388"/>
        <v/>
      </c>
    </row>
    <row r="24854" spans="26:26" x14ac:dyDescent="0.2">
      <c r="Z24854" t="str">
        <f t="shared" si="388"/>
        <v/>
      </c>
    </row>
    <row r="24855" spans="26:26" x14ac:dyDescent="0.2">
      <c r="Z24855" t="str">
        <f t="shared" si="388"/>
        <v/>
      </c>
    </row>
    <row r="24856" spans="26:26" x14ac:dyDescent="0.2">
      <c r="Z24856" t="str">
        <f t="shared" si="388"/>
        <v/>
      </c>
    </row>
    <row r="24857" spans="26:26" x14ac:dyDescent="0.2">
      <c r="Z24857" t="str">
        <f t="shared" si="388"/>
        <v/>
      </c>
    </row>
    <row r="24858" spans="26:26" x14ac:dyDescent="0.2">
      <c r="Z24858" t="str">
        <f t="shared" si="388"/>
        <v/>
      </c>
    </row>
    <row r="24859" spans="26:26" x14ac:dyDescent="0.2">
      <c r="Z24859" t="str">
        <f t="shared" si="388"/>
        <v/>
      </c>
    </row>
    <row r="24860" spans="26:26" x14ac:dyDescent="0.2">
      <c r="Z24860" t="str">
        <f t="shared" si="388"/>
        <v/>
      </c>
    </row>
    <row r="24861" spans="26:26" x14ac:dyDescent="0.2">
      <c r="Z24861" t="str">
        <f t="shared" si="388"/>
        <v/>
      </c>
    </row>
    <row r="24862" spans="26:26" x14ac:dyDescent="0.2">
      <c r="Z24862" t="str">
        <f t="shared" si="388"/>
        <v/>
      </c>
    </row>
    <row r="24863" spans="26:26" x14ac:dyDescent="0.2">
      <c r="Z24863" t="str">
        <f t="shared" si="388"/>
        <v/>
      </c>
    </row>
    <row r="24864" spans="26:26" x14ac:dyDescent="0.2">
      <c r="Z24864" t="str">
        <f t="shared" si="388"/>
        <v/>
      </c>
    </row>
    <row r="24865" spans="26:26" x14ac:dyDescent="0.2">
      <c r="Z24865" t="str">
        <f t="shared" si="388"/>
        <v/>
      </c>
    </row>
    <row r="24866" spans="26:26" x14ac:dyDescent="0.2">
      <c r="Z24866" t="str">
        <f t="shared" si="388"/>
        <v/>
      </c>
    </row>
    <row r="24867" spans="26:26" x14ac:dyDescent="0.2">
      <c r="Z24867" t="str">
        <f t="shared" si="388"/>
        <v/>
      </c>
    </row>
    <row r="24868" spans="26:26" x14ac:dyDescent="0.2">
      <c r="Z24868" t="str">
        <f t="shared" si="388"/>
        <v/>
      </c>
    </row>
    <row r="24869" spans="26:26" x14ac:dyDescent="0.2">
      <c r="Z24869" t="str">
        <f t="shared" si="388"/>
        <v/>
      </c>
    </row>
    <row r="24870" spans="26:26" x14ac:dyDescent="0.2">
      <c r="Z24870" t="str">
        <f t="shared" si="388"/>
        <v/>
      </c>
    </row>
    <row r="24871" spans="26:26" x14ac:dyDescent="0.2">
      <c r="Z24871" t="str">
        <f t="shared" si="388"/>
        <v/>
      </c>
    </row>
    <row r="24872" spans="26:26" x14ac:dyDescent="0.2">
      <c r="Z24872" t="str">
        <f t="shared" si="388"/>
        <v/>
      </c>
    </row>
    <row r="24873" spans="26:26" x14ac:dyDescent="0.2">
      <c r="Z24873" t="str">
        <f t="shared" si="388"/>
        <v/>
      </c>
    </row>
    <row r="24874" spans="26:26" x14ac:dyDescent="0.2">
      <c r="Z24874" t="str">
        <f t="shared" si="388"/>
        <v/>
      </c>
    </row>
    <row r="24875" spans="26:26" x14ac:dyDescent="0.2">
      <c r="Z24875" t="str">
        <f t="shared" si="388"/>
        <v/>
      </c>
    </row>
    <row r="24876" spans="26:26" x14ac:dyDescent="0.2">
      <c r="Z24876" t="str">
        <f t="shared" si="388"/>
        <v/>
      </c>
    </row>
    <row r="24877" spans="26:26" x14ac:dyDescent="0.2">
      <c r="Z24877" t="str">
        <f t="shared" si="388"/>
        <v/>
      </c>
    </row>
    <row r="24878" spans="26:26" x14ac:dyDescent="0.2">
      <c r="Z24878" t="str">
        <f t="shared" si="388"/>
        <v/>
      </c>
    </row>
    <row r="24879" spans="26:26" x14ac:dyDescent="0.2">
      <c r="Z24879" t="str">
        <f t="shared" si="388"/>
        <v/>
      </c>
    </row>
    <row r="24880" spans="26:26" x14ac:dyDescent="0.2">
      <c r="Z24880" t="str">
        <f t="shared" si="388"/>
        <v/>
      </c>
    </row>
    <row r="24881" spans="26:26" x14ac:dyDescent="0.2">
      <c r="Z24881" t="str">
        <f t="shared" si="388"/>
        <v/>
      </c>
    </row>
    <row r="24882" spans="26:26" x14ac:dyDescent="0.2">
      <c r="Z24882" t="str">
        <f t="shared" si="388"/>
        <v/>
      </c>
    </row>
    <row r="24883" spans="26:26" x14ac:dyDescent="0.2">
      <c r="Z24883" t="str">
        <f t="shared" si="388"/>
        <v/>
      </c>
    </row>
    <row r="24884" spans="26:26" x14ac:dyDescent="0.2">
      <c r="Z24884" t="str">
        <f t="shared" si="388"/>
        <v/>
      </c>
    </row>
    <row r="24885" spans="26:26" x14ac:dyDescent="0.2">
      <c r="Z24885" t="str">
        <f t="shared" si="388"/>
        <v/>
      </c>
    </row>
    <row r="24886" spans="26:26" x14ac:dyDescent="0.2">
      <c r="Z24886" t="str">
        <f t="shared" si="388"/>
        <v/>
      </c>
    </row>
    <row r="24887" spans="26:26" x14ac:dyDescent="0.2">
      <c r="Z24887" t="str">
        <f t="shared" si="388"/>
        <v/>
      </c>
    </row>
    <row r="24888" spans="26:26" x14ac:dyDescent="0.2">
      <c r="Z24888" t="str">
        <f t="shared" si="388"/>
        <v/>
      </c>
    </row>
    <row r="24889" spans="26:26" x14ac:dyDescent="0.2">
      <c r="Z24889" t="str">
        <f t="shared" si="388"/>
        <v/>
      </c>
    </row>
    <row r="24890" spans="26:26" x14ac:dyDescent="0.2">
      <c r="Z24890" t="str">
        <f t="shared" si="388"/>
        <v/>
      </c>
    </row>
    <row r="24891" spans="26:26" x14ac:dyDescent="0.2">
      <c r="Z24891" t="str">
        <f t="shared" si="388"/>
        <v/>
      </c>
    </row>
    <row r="24892" spans="26:26" x14ac:dyDescent="0.2">
      <c r="Z24892" t="str">
        <f t="shared" si="388"/>
        <v/>
      </c>
    </row>
    <row r="24893" spans="26:26" x14ac:dyDescent="0.2">
      <c r="Z24893" t="str">
        <f t="shared" si="388"/>
        <v/>
      </c>
    </row>
    <row r="24894" spans="26:26" x14ac:dyDescent="0.2">
      <c r="Z24894" t="str">
        <f t="shared" si="388"/>
        <v/>
      </c>
    </row>
    <row r="24895" spans="26:26" x14ac:dyDescent="0.2">
      <c r="Z24895" t="str">
        <f t="shared" si="388"/>
        <v/>
      </c>
    </row>
    <row r="24896" spans="26:26" x14ac:dyDescent="0.2">
      <c r="Z24896" t="str">
        <f t="shared" si="388"/>
        <v/>
      </c>
    </row>
    <row r="24897" spans="26:26" x14ac:dyDescent="0.2">
      <c r="Z24897" t="str">
        <f t="shared" si="388"/>
        <v/>
      </c>
    </row>
    <row r="24898" spans="26:26" x14ac:dyDescent="0.2">
      <c r="Z24898" t="str">
        <f t="shared" si="388"/>
        <v/>
      </c>
    </row>
    <row r="24899" spans="26:26" x14ac:dyDescent="0.2">
      <c r="Z24899" t="str">
        <f t="shared" ref="Z24899:Z24962" si="389">IF(K24899="","",IFERROR(VALUE(TRIM(MID(K24899,FIND(CHAR(167),SUBSTITUTE(K24899,"-",CHAR(167),LEN(K24899)-LEN(SUBSTITUTE(K24899,"-",""))))+1,100))),K24899))</f>
        <v/>
      </c>
    </row>
    <row r="24900" spans="26:26" x14ac:dyDescent="0.2">
      <c r="Z24900" t="str">
        <f t="shared" si="389"/>
        <v/>
      </c>
    </row>
    <row r="24901" spans="26:26" x14ac:dyDescent="0.2">
      <c r="Z24901" t="str">
        <f t="shared" si="389"/>
        <v/>
      </c>
    </row>
    <row r="24902" spans="26:26" x14ac:dyDescent="0.2">
      <c r="Z24902" t="str">
        <f t="shared" si="389"/>
        <v/>
      </c>
    </row>
    <row r="24903" spans="26:26" x14ac:dyDescent="0.2">
      <c r="Z24903" t="str">
        <f t="shared" si="389"/>
        <v/>
      </c>
    </row>
    <row r="24904" spans="26:26" x14ac:dyDescent="0.2">
      <c r="Z24904" t="str">
        <f t="shared" si="389"/>
        <v/>
      </c>
    </row>
    <row r="24905" spans="26:26" x14ac:dyDescent="0.2">
      <c r="Z24905" t="str">
        <f t="shared" si="389"/>
        <v/>
      </c>
    </row>
    <row r="24906" spans="26:26" x14ac:dyDescent="0.2">
      <c r="Z24906" t="str">
        <f t="shared" si="389"/>
        <v/>
      </c>
    </row>
    <row r="24907" spans="26:26" x14ac:dyDescent="0.2">
      <c r="Z24907" t="str">
        <f t="shared" si="389"/>
        <v/>
      </c>
    </row>
    <row r="24908" spans="26:26" x14ac:dyDescent="0.2">
      <c r="Z24908" t="str">
        <f t="shared" si="389"/>
        <v/>
      </c>
    </row>
    <row r="24909" spans="26:26" x14ac:dyDescent="0.2">
      <c r="Z24909" t="str">
        <f t="shared" si="389"/>
        <v/>
      </c>
    </row>
    <row r="24910" spans="26:26" x14ac:dyDescent="0.2">
      <c r="Z24910" t="str">
        <f t="shared" si="389"/>
        <v/>
      </c>
    </row>
    <row r="24911" spans="26:26" x14ac:dyDescent="0.2">
      <c r="Z24911" t="str">
        <f t="shared" si="389"/>
        <v/>
      </c>
    </row>
    <row r="24912" spans="26:26" x14ac:dyDescent="0.2">
      <c r="Z24912" t="str">
        <f t="shared" si="389"/>
        <v/>
      </c>
    </row>
    <row r="24913" spans="26:26" x14ac:dyDescent="0.2">
      <c r="Z24913" t="str">
        <f t="shared" si="389"/>
        <v/>
      </c>
    </row>
    <row r="24914" spans="26:26" x14ac:dyDescent="0.2">
      <c r="Z24914" t="str">
        <f t="shared" si="389"/>
        <v/>
      </c>
    </row>
    <row r="24915" spans="26:26" x14ac:dyDescent="0.2">
      <c r="Z24915" t="str">
        <f t="shared" si="389"/>
        <v/>
      </c>
    </row>
    <row r="24916" spans="26:26" x14ac:dyDescent="0.2">
      <c r="Z24916" t="str">
        <f t="shared" si="389"/>
        <v/>
      </c>
    </row>
    <row r="24917" spans="26:26" x14ac:dyDescent="0.2">
      <c r="Z24917" t="str">
        <f t="shared" si="389"/>
        <v/>
      </c>
    </row>
    <row r="24918" spans="26:26" x14ac:dyDescent="0.2">
      <c r="Z24918" t="str">
        <f t="shared" si="389"/>
        <v/>
      </c>
    </row>
    <row r="24919" spans="26:26" x14ac:dyDescent="0.2">
      <c r="Z24919" t="str">
        <f t="shared" si="389"/>
        <v/>
      </c>
    </row>
    <row r="24920" spans="26:26" x14ac:dyDescent="0.2">
      <c r="Z24920" t="str">
        <f t="shared" si="389"/>
        <v/>
      </c>
    </row>
    <row r="24921" spans="26:26" x14ac:dyDescent="0.2">
      <c r="Z24921" t="str">
        <f t="shared" si="389"/>
        <v/>
      </c>
    </row>
    <row r="24922" spans="26:26" x14ac:dyDescent="0.2">
      <c r="Z24922" t="str">
        <f t="shared" si="389"/>
        <v/>
      </c>
    </row>
    <row r="24923" spans="26:26" x14ac:dyDescent="0.2">
      <c r="Z24923" t="str">
        <f t="shared" si="389"/>
        <v/>
      </c>
    </row>
    <row r="24924" spans="26:26" x14ac:dyDescent="0.2">
      <c r="Z24924" t="str">
        <f t="shared" si="389"/>
        <v/>
      </c>
    </row>
    <row r="24925" spans="26:26" x14ac:dyDescent="0.2">
      <c r="Z24925" t="str">
        <f t="shared" si="389"/>
        <v/>
      </c>
    </row>
    <row r="24926" spans="26:26" x14ac:dyDescent="0.2">
      <c r="Z24926" t="str">
        <f t="shared" si="389"/>
        <v/>
      </c>
    </row>
    <row r="24927" spans="26:26" x14ac:dyDescent="0.2">
      <c r="Z24927" t="str">
        <f t="shared" si="389"/>
        <v/>
      </c>
    </row>
    <row r="24928" spans="26:26" x14ac:dyDescent="0.2">
      <c r="Z24928" t="str">
        <f t="shared" si="389"/>
        <v/>
      </c>
    </row>
    <row r="24929" spans="26:26" x14ac:dyDescent="0.2">
      <c r="Z24929" t="str">
        <f t="shared" si="389"/>
        <v/>
      </c>
    </row>
    <row r="24930" spans="26:26" x14ac:dyDescent="0.2">
      <c r="Z24930" t="str">
        <f t="shared" si="389"/>
        <v/>
      </c>
    </row>
    <row r="24931" spans="26:26" x14ac:dyDescent="0.2">
      <c r="Z24931" t="str">
        <f t="shared" si="389"/>
        <v/>
      </c>
    </row>
    <row r="24932" spans="26:26" x14ac:dyDescent="0.2">
      <c r="Z24932" t="str">
        <f t="shared" si="389"/>
        <v/>
      </c>
    </row>
    <row r="24933" spans="26:26" x14ac:dyDescent="0.2">
      <c r="Z24933" t="str">
        <f t="shared" si="389"/>
        <v/>
      </c>
    </row>
    <row r="24934" spans="26:26" x14ac:dyDescent="0.2">
      <c r="Z24934" t="str">
        <f t="shared" si="389"/>
        <v/>
      </c>
    </row>
    <row r="24935" spans="26:26" x14ac:dyDescent="0.2">
      <c r="Z24935" t="str">
        <f t="shared" si="389"/>
        <v/>
      </c>
    </row>
    <row r="24936" spans="26:26" x14ac:dyDescent="0.2">
      <c r="Z24936" t="str">
        <f t="shared" si="389"/>
        <v/>
      </c>
    </row>
    <row r="24937" spans="26:26" x14ac:dyDescent="0.2">
      <c r="Z24937" t="str">
        <f t="shared" si="389"/>
        <v/>
      </c>
    </row>
    <row r="24938" spans="26:26" x14ac:dyDescent="0.2">
      <c r="Z24938" t="str">
        <f t="shared" si="389"/>
        <v/>
      </c>
    </row>
    <row r="24939" spans="26:26" x14ac:dyDescent="0.2">
      <c r="Z24939" t="str">
        <f t="shared" si="389"/>
        <v/>
      </c>
    </row>
    <row r="24940" spans="26:26" x14ac:dyDescent="0.2">
      <c r="Z24940" t="str">
        <f t="shared" si="389"/>
        <v/>
      </c>
    </row>
    <row r="24941" spans="26:26" x14ac:dyDescent="0.2">
      <c r="Z24941" t="str">
        <f t="shared" si="389"/>
        <v/>
      </c>
    </row>
    <row r="24942" spans="26:26" x14ac:dyDescent="0.2">
      <c r="Z24942" t="str">
        <f t="shared" si="389"/>
        <v/>
      </c>
    </row>
    <row r="24943" spans="26:26" x14ac:dyDescent="0.2">
      <c r="Z24943" t="str">
        <f t="shared" si="389"/>
        <v/>
      </c>
    </row>
    <row r="24944" spans="26:26" x14ac:dyDescent="0.2">
      <c r="Z24944" t="str">
        <f t="shared" si="389"/>
        <v/>
      </c>
    </row>
    <row r="24945" spans="26:26" x14ac:dyDescent="0.2">
      <c r="Z24945" t="str">
        <f t="shared" si="389"/>
        <v/>
      </c>
    </row>
    <row r="24946" spans="26:26" x14ac:dyDescent="0.2">
      <c r="Z24946" t="str">
        <f t="shared" si="389"/>
        <v/>
      </c>
    </row>
    <row r="24947" spans="26:26" x14ac:dyDescent="0.2">
      <c r="Z24947" t="str">
        <f t="shared" si="389"/>
        <v/>
      </c>
    </row>
    <row r="24948" spans="26:26" x14ac:dyDescent="0.2">
      <c r="Z24948" t="str">
        <f t="shared" si="389"/>
        <v/>
      </c>
    </row>
    <row r="24949" spans="26:26" x14ac:dyDescent="0.2">
      <c r="Z24949" t="str">
        <f t="shared" si="389"/>
        <v/>
      </c>
    </row>
    <row r="24950" spans="26:26" x14ac:dyDescent="0.2">
      <c r="Z24950" t="str">
        <f t="shared" si="389"/>
        <v/>
      </c>
    </row>
    <row r="24951" spans="26:26" x14ac:dyDescent="0.2">
      <c r="Z24951" t="str">
        <f t="shared" si="389"/>
        <v/>
      </c>
    </row>
    <row r="24952" spans="26:26" x14ac:dyDescent="0.2">
      <c r="Z24952" t="str">
        <f t="shared" si="389"/>
        <v/>
      </c>
    </row>
    <row r="24953" spans="26:26" x14ac:dyDescent="0.2">
      <c r="Z24953" t="str">
        <f t="shared" si="389"/>
        <v/>
      </c>
    </row>
    <row r="24954" spans="26:26" x14ac:dyDescent="0.2">
      <c r="Z24954" t="str">
        <f t="shared" si="389"/>
        <v/>
      </c>
    </row>
    <row r="24955" spans="26:26" x14ac:dyDescent="0.2">
      <c r="Z24955" t="str">
        <f t="shared" si="389"/>
        <v/>
      </c>
    </row>
    <row r="24956" spans="26:26" x14ac:dyDescent="0.2">
      <c r="Z24956" t="str">
        <f t="shared" si="389"/>
        <v/>
      </c>
    </row>
    <row r="24957" spans="26:26" x14ac:dyDescent="0.2">
      <c r="Z24957" t="str">
        <f t="shared" si="389"/>
        <v/>
      </c>
    </row>
    <row r="24958" spans="26:26" x14ac:dyDescent="0.2">
      <c r="Z24958" t="str">
        <f t="shared" si="389"/>
        <v/>
      </c>
    </row>
    <row r="24959" spans="26:26" x14ac:dyDescent="0.2">
      <c r="Z24959" t="str">
        <f t="shared" si="389"/>
        <v/>
      </c>
    </row>
    <row r="24960" spans="26:26" x14ac:dyDescent="0.2">
      <c r="Z24960" t="str">
        <f t="shared" si="389"/>
        <v/>
      </c>
    </row>
    <row r="24961" spans="26:26" x14ac:dyDescent="0.2">
      <c r="Z24961" t="str">
        <f t="shared" si="389"/>
        <v/>
      </c>
    </row>
    <row r="24962" spans="26:26" x14ac:dyDescent="0.2">
      <c r="Z24962" t="str">
        <f t="shared" si="389"/>
        <v/>
      </c>
    </row>
    <row r="24963" spans="26:26" x14ac:dyDescent="0.2">
      <c r="Z24963" t="str">
        <f t="shared" ref="Z24963:Z25026" si="390">IF(K24963="","",IFERROR(VALUE(TRIM(MID(K24963,FIND(CHAR(167),SUBSTITUTE(K24963,"-",CHAR(167),LEN(K24963)-LEN(SUBSTITUTE(K24963,"-",""))))+1,100))),K24963))</f>
        <v/>
      </c>
    </row>
    <row r="24964" spans="26:26" x14ac:dyDescent="0.2">
      <c r="Z24964" t="str">
        <f t="shared" si="390"/>
        <v/>
      </c>
    </row>
    <row r="24965" spans="26:26" x14ac:dyDescent="0.2">
      <c r="Z24965" t="str">
        <f t="shared" si="390"/>
        <v/>
      </c>
    </row>
    <row r="24966" spans="26:26" x14ac:dyDescent="0.2">
      <c r="Z24966" t="str">
        <f t="shared" si="390"/>
        <v/>
      </c>
    </row>
    <row r="24967" spans="26:26" x14ac:dyDescent="0.2">
      <c r="Z24967" t="str">
        <f t="shared" si="390"/>
        <v/>
      </c>
    </row>
    <row r="24968" spans="26:26" x14ac:dyDescent="0.2">
      <c r="Z24968" t="str">
        <f t="shared" si="390"/>
        <v/>
      </c>
    </row>
    <row r="24969" spans="26:26" x14ac:dyDescent="0.2">
      <c r="Z24969" t="str">
        <f t="shared" si="390"/>
        <v/>
      </c>
    </row>
    <row r="24970" spans="26:26" x14ac:dyDescent="0.2">
      <c r="Z24970" t="str">
        <f t="shared" si="390"/>
        <v/>
      </c>
    </row>
    <row r="24971" spans="26:26" x14ac:dyDescent="0.2">
      <c r="Z24971" t="str">
        <f t="shared" si="390"/>
        <v/>
      </c>
    </row>
    <row r="24972" spans="26:26" x14ac:dyDescent="0.2">
      <c r="Z24972" t="str">
        <f t="shared" si="390"/>
        <v/>
      </c>
    </row>
    <row r="24973" spans="26:26" x14ac:dyDescent="0.2">
      <c r="Z24973" t="str">
        <f t="shared" si="390"/>
        <v/>
      </c>
    </row>
    <row r="24974" spans="26:26" x14ac:dyDescent="0.2">
      <c r="Z24974" t="str">
        <f t="shared" si="390"/>
        <v/>
      </c>
    </row>
    <row r="24975" spans="26:26" x14ac:dyDescent="0.2">
      <c r="Z24975" t="str">
        <f t="shared" si="390"/>
        <v/>
      </c>
    </row>
    <row r="24976" spans="26:26" x14ac:dyDescent="0.2">
      <c r="Z24976" t="str">
        <f t="shared" si="390"/>
        <v/>
      </c>
    </row>
    <row r="24977" spans="26:26" x14ac:dyDescent="0.2">
      <c r="Z24977" t="str">
        <f t="shared" si="390"/>
        <v/>
      </c>
    </row>
    <row r="24978" spans="26:26" x14ac:dyDescent="0.2">
      <c r="Z24978" t="str">
        <f t="shared" si="390"/>
        <v/>
      </c>
    </row>
    <row r="24979" spans="26:26" x14ac:dyDescent="0.2">
      <c r="Z24979" t="str">
        <f t="shared" si="390"/>
        <v/>
      </c>
    </row>
    <row r="24980" spans="26:26" x14ac:dyDescent="0.2">
      <c r="Z24980" t="str">
        <f t="shared" si="390"/>
        <v/>
      </c>
    </row>
    <row r="24981" spans="26:26" x14ac:dyDescent="0.2">
      <c r="Z24981" t="str">
        <f t="shared" si="390"/>
        <v/>
      </c>
    </row>
    <row r="24982" spans="26:26" x14ac:dyDescent="0.2">
      <c r="Z24982" t="str">
        <f t="shared" si="390"/>
        <v/>
      </c>
    </row>
    <row r="24983" spans="26:26" x14ac:dyDescent="0.2">
      <c r="Z24983" t="str">
        <f t="shared" si="390"/>
        <v/>
      </c>
    </row>
    <row r="24984" spans="26:26" x14ac:dyDescent="0.2">
      <c r="Z24984" t="str">
        <f t="shared" si="390"/>
        <v/>
      </c>
    </row>
    <row r="24985" spans="26:26" x14ac:dyDescent="0.2">
      <c r="Z24985" t="str">
        <f t="shared" si="390"/>
        <v/>
      </c>
    </row>
    <row r="24986" spans="26:26" x14ac:dyDescent="0.2">
      <c r="Z24986" t="str">
        <f t="shared" si="390"/>
        <v/>
      </c>
    </row>
    <row r="24987" spans="26:26" x14ac:dyDescent="0.2">
      <c r="Z24987" t="str">
        <f t="shared" si="390"/>
        <v/>
      </c>
    </row>
    <row r="24988" spans="26:26" x14ac:dyDescent="0.2">
      <c r="Z24988" t="str">
        <f t="shared" si="390"/>
        <v/>
      </c>
    </row>
    <row r="24989" spans="26:26" x14ac:dyDescent="0.2">
      <c r="Z24989" t="str">
        <f t="shared" si="390"/>
        <v/>
      </c>
    </row>
    <row r="24990" spans="26:26" x14ac:dyDescent="0.2">
      <c r="Z24990" t="str">
        <f t="shared" si="390"/>
        <v/>
      </c>
    </row>
    <row r="24991" spans="26:26" x14ac:dyDescent="0.2">
      <c r="Z24991" t="str">
        <f t="shared" si="390"/>
        <v/>
      </c>
    </row>
    <row r="24992" spans="26:26" x14ac:dyDescent="0.2">
      <c r="Z24992" t="str">
        <f t="shared" si="390"/>
        <v/>
      </c>
    </row>
    <row r="24993" spans="26:26" x14ac:dyDescent="0.2">
      <c r="Z24993" t="str">
        <f t="shared" si="390"/>
        <v/>
      </c>
    </row>
    <row r="24994" spans="26:26" x14ac:dyDescent="0.2">
      <c r="Z24994" t="str">
        <f t="shared" si="390"/>
        <v/>
      </c>
    </row>
    <row r="24995" spans="26:26" x14ac:dyDescent="0.2">
      <c r="Z24995" t="str">
        <f t="shared" si="390"/>
        <v/>
      </c>
    </row>
    <row r="24996" spans="26:26" x14ac:dyDescent="0.2">
      <c r="Z24996" t="str">
        <f t="shared" si="390"/>
        <v/>
      </c>
    </row>
    <row r="24997" spans="26:26" x14ac:dyDescent="0.2">
      <c r="Z24997" t="str">
        <f t="shared" si="390"/>
        <v/>
      </c>
    </row>
    <row r="24998" spans="26:26" x14ac:dyDescent="0.2">
      <c r="Z24998" t="str">
        <f t="shared" si="390"/>
        <v/>
      </c>
    </row>
    <row r="24999" spans="26:26" x14ac:dyDescent="0.2">
      <c r="Z24999" t="str">
        <f t="shared" si="390"/>
        <v/>
      </c>
    </row>
    <row r="25000" spans="26:26" x14ac:dyDescent="0.2">
      <c r="Z25000" t="str">
        <f t="shared" si="390"/>
        <v/>
      </c>
    </row>
    <row r="25001" spans="26:26" x14ac:dyDescent="0.2">
      <c r="Z25001" t="str">
        <f t="shared" si="390"/>
        <v/>
      </c>
    </row>
    <row r="25002" spans="26:26" x14ac:dyDescent="0.2">
      <c r="Z25002" t="str">
        <f t="shared" si="390"/>
        <v/>
      </c>
    </row>
    <row r="25003" spans="26:26" x14ac:dyDescent="0.2">
      <c r="Z25003" t="str">
        <f t="shared" si="390"/>
        <v/>
      </c>
    </row>
    <row r="25004" spans="26:26" x14ac:dyDescent="0.2">
      <c r="Z25004" t="str">
        <f t="shared" si="390"/>
        <v/>
      </c>
    </row>
    <row r="25005" spans="26:26" x14ac:dyDescent="0.2">
      <c r="Z25005" t="str">
        <f t="shared" si="390"/>
        <v/>
      </c>
    </row>
    <row r="25006" spans="26:26" x14ac:dyDescent="0.2">
      <c r="Z25006" t="str">
        <f t="shared" si="390"/>
        <v/>
      </c>
    </row>
    <row r="25007" spans="26:26" x14ac:dyDescent="0.2">
      <c r="Z25007" t="str">
        <f t="shared" si="390"/>
        <v/>
      </c>
    </row>
    <row r="25008" spans="26:26" x14ac:dyDescent="0.2">
      <c r="Z25008" t="str">
        <f t="shared" si="390"/>
        <v/>
      </c>
    </row>
    <row r="25009" spans="26:26" x14ac:dyDescent="0.2">
      <c r="Z25009" t="str">
        <f t="shared" si="390"/>
        <v/>
      </c>
    </row>
    <row r="25010" spans="26:26" x14ac:dyDescent="0.2">
      <c r="Z25010" t="str">
        <f t="shared" si="390"/>
        <v/>
      </c>
    </row>
    <row r="25011" spans="26:26" x14ac:dyDescent="0.2">
      <c r="Z25011" t="str">
        <f t="shared" si="390"/>
        <v/>
      </c>
    </row>
    <row r="25012" spans="26:26" x14ac:dyDescent="0.2">
      <c r="Z25012" t="str">
        <f t="shared" si="390"/>
        <v/>
      </c>
    </row>
    <row r="25013" spans="26:26" x14ac:dyDescent="0.2">
      <c r="Z25013" t="str">
        <f t="shared" si="390"/>
        <v/>
      </c>
    </row>
    <row r="25014" spans="26:26" x14ac:dyDescent="0.2">
      <c r="Z25014" t="str">
        <f t="shared" si="390"/>
        <v/>
      </c>
    </row>
    <row r="25015" spans="26:26" x14ac:dyDescent="0.2">
      <c r="Z25015" t="str">
        <f t="shared" si="390"/>
        <v/>
      </c>
    </row>
    <row r="25016" spans="26:26" x14ac:dyDescent="0.2">
      <c r="Z25016" t="str">
        <f t="shared" si="390"/>
        <v/>
      </c>
    </row>
    <row r="25017" spans="26:26" x14ac:dyDescent="0.2">
      <c r="Z25017" t="str">
        <f t="shared" si="390"/>
        <v/>
      </c>
    </row>
    <row r="25018" spans="26:26" x14ac:dyDescent="0.2">
      <c r="Z25018" t="str">
        <f t="shared" si="390"/>
        <v/>
      </c>
    </row>
    <row r="25019" spans="26:26" x14ac:dyDescent="0.2">
      <c r="Z25019" t="str">
        <f t="shared" si="390"/>
        <v/>
      </c>
    </row>
    <row r="25020" spans="26:26" x14ac:dyDescent="0.2">
      <c r="Z25020" t="str">
        <f t="shared" si="390"/>
        <v/>
      </c>
    </row>
    <row r="25021" spans="26:26" x14ac:dyDescent="0.2">
      <c r="Z25021" t="str">
        <f t="shared" si="390"/>
        <v/>
      </c>
    </row>
    <row r="25022" spans="26:26" x14ac:dyDescent="0.2">
      <c r="Z25022" t="str">
        <f t="shared" si="390"/>
        <v/>
      </c>
    </row>
    <row r="25023" spans="26:26" x14ac:dyDescent="0.2">
      <c r="Z25023" t="str">
        <f t="shared" si="390"/>
        <v/>
      </c>
    </row>
    <row r="25024" spans="26:26" x14ac:dyDescent="0.2">
      <c r="Z25024" t="str">
        <f t="shared" si="390"/>
        <v/>
      </c>
    </row>
    <row r="25025" spans="26:26" x14ac:dyDescent="0.2">
      <c r="Z25025" t="str">
        <f t="shared" si="390"/>
        <v/>
      </c>
    </row>
    <row r="25026" spans="26:26" x14ac:dyDescent="0.2">
      <c r="Z25026" t="str">
        <f t="shared" si="390"/>
        <v/>
      </c>
    </row>
    <row r="25027" spans="26:26" x14ac:dyDescent="0.2">
      <c r="Z25027" t="str">
        <f t="shared" ref="Z25027:Z25090" si="391">IF(K25027="","",IFERROR(VALUE(TRIM(MID(K25027,FIND(CHAR(167),SUBSTITUTE(K25027,"-",CHAR(167),LEN(K25027)-LEN(SUBSTITUTE(K25027,"-",""))))+1,100))),K25027))</f>
        <v/>
      </c>
    </row>
    <row r="25028" spans="26:26" x14ac:dyDescent="0.2">
      <c r="Z25028" t="str">
        <f t="shared" si="391"/>
        <v/>
      </c>
    </row>
    <row r="25029" spans="26:26" x14ac:dyDescent="0.2">
      <c r="Z25029" t="str">
        <f t="shared" si="391"/>
        <v/>
      </c>
    </row>
    <row r="25030" spans="26:26" x14ac:dyDescent="0.2">
      <c r="Z25030" t="str">
        <f t="shared" si="391"/>
        <v/>
      </c>
    </row>
    <row r="25031" spans="26:26" x14ac:dyDescent="0.2">
      <c r="Z25031" t="str">
        <f t="shared" si="391"/>
        <v/>
      </c>
    </row>
    <row r="25032" spans="26:26" x14ac:dyDescent="0.2">
      <c r="Z25032" t="str">
        <f t="shared" si="391"/>
        <v/>
      </c>
    </row>
    <row r="25033" spans="26:26" x14ac:dyDescent="0.2">
      <c r="Z25033" t="str">
        <f t="shared" si="391"/>
        <v/>
      </c>
    </row>
    <row r="25034" spans="26:26" x14ac:dyDescent="0.2">
      <c r="Z25034" t="str">
        <f t="shared" si="391"/>
        <v/>
      </c>
    </row>
    <row r="25035" spans="26:26" x14ac:dyDescent="0.2">
      <c r="Z25035" t="str">
        <f t="shared" si="391"/>
        <v/>
      </c>
    </row>
    <row r="25036" spans="26:26" x14ac:dyDescent="0.2">
      <c r="Z25036" t="str">
        <f t="shared" si="391"/>
        <v/>
      </c>
    </row>
    <row r="25037" spans="26:26" x14ac:dyDescent="0.2">
      <c r="Z25037" t="str">
        <f t="shared" si="391"/>
        <v/>
      </c>
    </row>
    <row r="25038" spans="26:26" x14ac:dyDescent="0.2">
      <c r="Z25038" t="str">
        <f t="shared" si="391"/>
        <v/>
      </c>
    </row>
    <row r="25039" spans="26:26" x14ac:dyDescent="0.2">
      <c r="Z25039" t="str">
        <f t="shared" si="391"/>
        <v/>
      </c>
    </row>
    <row r="25040" spans="26:26" x14ac:dyDescent="0.2">
      <c r="Z25040" t="str">
        <f t="shared" si="391"/>
        <v/>
      </c>
    </row>
    <row r="25041" spans="26:26" x14ac:dyDescent="0.2">
      <c r="Z25041" t="str">
        <f t="shared" si="391"/>
        <v/>
      </c>
    </row>
    <row r="25042" spans="26:26" x14ac:dyDescent="0.2">
      <c r="Z25042" t="str">
        <f t="shared" si="391"/>
        <v/>
      </c>
    </row>
    <row r="25043" spans="26:26" x14ac:dyDescent="0.2">
      <c r="Z25043" t="str">
        <f t="shared" si="391"/>
        <v/>
      </c>
    </row>
    <row r="25044" spans="26:26" x14ac:dyDescent="0.2">
      <c r="Z25044" t="str">
        <f t="shared" si="391"/>
        <v/>
      </c>
    </row>
    <row r="25045" spans="26:26" x14ac:dyDescent="0.2">
      <c r="Z25045" t="str">
        <f t="shared" si="391"/>
        <v/>
      </c>
    </row>
    <row r="25046" spans="26:26" x14ac:dyDescent="0.2">
      <c r="Z25046" t="str">
        <f t="shared" si="391"/>
        <v/>
      </c>
    </row>
    <row r="25047" spans="26:26" x14ac:dyDescent="0.2">
      <c r="Z25047" t="str">
        <f t="shared" si="391"/>
        <v/>
      </c>
    </row>
    <row r="25048" spans="26:26" x14ac:dyDescent="0.2">
      <c r="Z25048" t="str">
        <f t="shared" si="391"/>
        <v/>
      </c>
    </row>
    <row r="25049" spans="26:26" x14ac:dyDescent="0.2">
      <c r="Z25049" t="str">
        <f t="shared" si="391"/>
        <v/>
      </c>
    </row>
    <row r="25050" spans="26:26" x14ac:dyDescent="0.2">
      <c r="Z25050" t="str">
        <f t="shared" si="391"/>
        <v/>
      </c>
    </row>
    <row r="25051" spans="26:26" x14ac:dyDescent="0.2">
      <c r="Z25051" t="str">
        <f t="shared" si="391"/>
        <v/>
      </c>
    </row>
    <row r="25052" spans="26:26" x14ac:dyDescent="0.2">
      <c r="Z25052" t="str">
        <f t="shared" si="391"/>
        <v/>
      </c>
    </row>
    <row r="25053" spans="26:26" x14ac:dyDescent="0.2">
      <c r="Z25053" t="str">
        <f t="shared" si="391"/>
        <v/>
      </c>
    </row>
    <row r="25054" spans="26:26" x14ac:dyDescent="0.2">
      <c r="Z25054" t="str">
        <f t="shared" si="391"/>
        <v/>
      </c>
    </row>
    <row r="25055" spans="26:26" x14ac:dyDescent="0.2">
      <c r="Z25055" t="str">
        <f t="shared" si="391"/>
        <v/>
      </c>
    </row>
    <row r="25056" spans="26:26" x14ac:dyDescent="0.2">
      <c r="Z25056" t="str">
        <f t="shared" si="391"/>
        <v/>
      </c>
    </row>
    <row r="25057" spans="26:26" x14ac:dyDescent="0.2">
      <c r="Z25057" t="str">
        <f t="shared" si="391"/>
        <v/>
      </c>
    </row>
    <row r="25058" spans="26:26" x14ac:dyDescent="0.2">
      <c r="Z25058" t="str">
        <f t="shared" si="391"/>
        <v/>
      </c>
    </row>
    <row r="25059" spans="26:26" x14ac:dyDescent="0.2">
      <c r="Z25059" t="str">
        <f t="shared" si="391"/>
        <v/>
      </c>
    </row>
    <row r="25060" spans="26:26" x14ac:dyDescent="0.2">
      <c r="Z25060" t="str">
        <f t="shared" si="391"/>
        <v/>
      </c>
    </row>
    <row r="25061" spans="26:26" x14ac:dyDescent="0.2">
      <c r="Z25061" t="str">
        <f t="shared" si="391"/>
        <v/>
      </c>
    </row>
    <row r="25062" spans="26:26" x14ac:dyDescent="0.2">
      <c r="Z25062" t="str">
        <f t="shared" si="391"/>
        <v/>
      </c>
    </row>
    <row r="25063" spans="26:26" x14ac:dyDescent="0.2">
      <c r="Z25063" t="str">
        <f t="shared" si="391"/>
        <v/>
      </c>
    </row>
    <row r="25064" spans="26:26" x14ac:dyDescent="0.2">
      <c r="Z25064" t="str">
        <f t="shared" si="391"/>
        <v/>
      </c>
    </row>
    <row r="25065" spans="26:26" x14ac:dyDescent="0.2">
      <c r="Z25065" t="str">
        <f t="shared" si="391"/>
        <v/>
      </c>
    </row>
    <row r="25066" spans="26:26" x14ac:dyDescent="0.2">
      <c r="Z25066" t="str">
        <f t="shared" si="391"/>
        <v/>
      </c>
    </row>
    <row r="25067" spans="26:26" x14ac:dyDescent="0.2">
      <c r="Z25067" t="str">
        <f t="shared" si="391"/>
        <v/>
      </c>
    </row>
    <row r="25068" spans="26:26" x14ac:dyDescent="0.2">
      <c r="Z25068" t="str">
        <f t="shared" si="391"/>
        <v/>
      </c>
    </row>
    <row r="25069" spans="26:26" x14ac:dyDescent="0.2">
      <c r="Z25069" t="str">
        <f t="shared" si="391"/>
        <v/>
      </c>
    </row>
    <row r="25070" spans="26:26" x14ac:dyDescent="0.2">
      <c r="Z25070" t="str">
        <f t="shared" si="391"/>
        <v/>
      </c>
    </row>
    <row r="25071" spans="26:26" x14ac:dyDescent="0.2">
      <c r="Z25071" t="str">
        <f t="shared" si="391"/>
        <v/>
      </c>
    </row>
    <row r="25072" spans="26:26" x14ac:dyDescent="0.2">
      <c r="Z25072" t="str">
        <f t="shared" si="391"/>
        <v/>
      </c>
    </row>
    <row r="25073" spans="26:26" x14ac:dyDescent="0.2">
      <c r="Z25073" t="str">
        <f t="shared" si="391"/>
        <v/>
      </c>
    </row>
    <row r="25074" spans="26:26" x14ac:dyDescent="0.2">
      <c r="Z25074" t="str">
        <f t="shared" si="391"/>
        <v/>
      </c>
    </row>
    <row r="25075" spans="26:26" x14ac:dyDescent="0.2">
      <c r="Z25075" t="str">
        <f t="shared" si="391"/>
        <v/>
      </c>
    </row>
    <row r="25076" spans="26:26" x14ac:dyDescent="0.2">
      <c r="Z25076" t="str">
        <f t="shared" si="391"/>
        <v/>
      </c>
    </row>
    <row r="25077" spans="26:26" x14ac:dyDescent="0.2">
      <c r="Z25077" t="str">
        <f t="shared" si="391"/>
        <v/>
      </c>
    </row>
    <row r="25078" spans="26:26" x14ac:dyDescent="0.2">
      <c r="Z25078" t="str">
        <f t="shared" si="391"/>
        <v/>
      </c>
    </row>
    <row r="25079" spans="26:26" x14ac:dyDescent="0.2">
      <c r="Z25079" t="str">
        <f t="shared" si="391"/>
        <v/>
      </c>
    </row>
    <row r="25080" spans="26:26" x14ac:dyDescent="0.2">
      <c r="Z25080" t="str">
        <f t="shared" si="391"/>
        <v/>
      </c>
    </row>
    <row r="25081" spans="26:26" x14ac:dyDescent="0.2">
      <c r="Z25081" t="str">
        <f t="shared" si="391"/>
        <v/>
      </c>
    </row>
    <row r="25082" spans="26:26" x14ac:dyDescent="0.2">
      <c r="Z25082" t="str">
        <f t="shared" si="391"/>
        <v/>
      </c>
    </row>
    <row r="25083" spans="26:26" x14ac:dyDescent="0.2">
      <c r="Z25083" t="str">
        <f t="shared" si="391"/>
        <v/>
      </c>
    </row>
    <row r="25084" spans="26:26" x14ac:dyDescent="0.2">
      <c r="Z25084" t="str">
        <f t="shared" si="391"/>
        <v/>
      </c>
    </row>
    <row r="25085" spans="26:26" x14ac:dyDescent="0.2">
      <c r="Z25085" t="str">
        <f t="shared" si="391"/>
        <v/>
      </c>
    </row>
    <row r="25086" spans="26:26" x14ac:dyDescent="0.2">
      <c r="Z25086" t="str">
        <f t="shared" si="391"/>
        <v/>
      </c>
    </row>
    <row r="25087" spans="26:26" x14ac:dyDescent="0.2">
      <c r="Z25087" t="str">
        <f t="shared" si="391"/>
        <v/>
      </c>
    </row>
    <row r="25088" spans="26:26" x14ac:dyDescent="0.2">
      <c r="Z25088" t="str">
        <f t="shared" si="391"/>
        <v/>
      </c>
    </row>
    <row r="25089" spans="26:26" x14ac:dyDescent="0.2">
      <c r="Z25089" t="str">
        <f t="shared" si="391"/>
        <v/>
      </c>
    </row>
    <row r="25090" spans="26:26" x14ac:dyDescent="0.2">
      <c r="Z25090" t="str">
        <f t="shared" si="391"/>
        <v/>
      </c>
    </row>
    <row r="25091" spans="26:26" x14ac:dyDescent="0.2">
      <c r="Z25091" t="str">
        <f t="shared" ref="Z25091:Z25154" si="392">IF(K25091="","",IFERROR(VALUE(TRIM(MID(K25091,FIND(CHAR(167),SUBSTITUTE(K25091,"-",CHAR(167),LEN(K25091)-LEN(SUBSTITUTE(K25091,"-",""))))+1,100))),K25091))</f>
        <v/>
      </c>
    </row>
    <row r="25092" spans="26:26" x14ac:dyDescent="0.2">
      <c r="Z25092" t="str">
        <f t="shared" si="392"/>
        <v/>
      </c>
    </row>
    <row r="25093" spans="26:26" x14ac:dyDescent="0.2">
      <c r="Z25093" t="str">
        <f t="shared" si="392"/>
        <v/>
      </c>
    </row>
    <row r="25094" spans="26:26" x14ac:dyDescent="0.2">
      <c r="Z25094" t="str">
        <f t="shared" si="392"/>
        <v/>
      </c>
    </row>
    <row r="25095" spans="26:26" x14ac:dyDescent="0.2">
      <c r="Z25095" t="str">
        <f t="shared" si="392"/>
        <v/>
      </c>
    </row>
    <row r="25096" spans="26:26" x14ac:dyDescent="0.2">
      <c r="Z25096" t="str">
        <f t="shared" si="392"/>
        <v/>
      </c>
    </row>
    <row r="25097" spans="26:26" x14ac:dyDescent="0.2">
      <c r="Z25097" t="str">
        <f t="shared" si="392"/>
        <v/>
      </c>
    </row>
    <row r="25098" spans="26:26" x14ac:dyDescent="0.2">
      <c r="Z25098" t="str">
        <f t="shared" si="392"/>
        <v/>
      </c>
    </row>
    <row r="25099" spans="26:26" x14ac:dyDescent="0.2">
      <c r="Z25099" t="str">
        <f t="shared" si="392"/>
        <v/>
      </c>
    </row>
    <row r="25100" spans="26:26" x14ac:dyDescent="0.2">
      <c r="Z25100" t="str">
        <f t="shared" si="392"/>
        <v/>
      </c>
    </row>
    <row r="25101" spans="26:26" x14ac:dyDescent="0.2">
      <c r="Z25101" t="str">
        <f t="shared" si="392"/>
        <v/>
      </c>
    </row>
    <row r="25102" spans="26:26" x14ac:dyDescent="0.2">
      <c r="Z25102" t="str">
        <f t="shared" si="392"/>
        <v/>
      </c>
    </row>
    <row r="25103" spans="26:26" x14ac:dyDescent="0.2">
      <c r="Z25103" t="str">
        <f t="shared" si="392"/>
        <v/>
      </c>
    </row>
    <row r="25104" spans="26:26" x14ac:dyDescent="0.2">
      <c r="Z25104" t="str">
        <f t="shared" si="392"/>
        <v/>
      </c>
    </row>
    <row r="25105" spans="26:26" x14ac:dyDescent="0.2">
      <c r="Z25105" t="str">
        <f t="shared" si="392"/>
        <v/>
      </c>
    </row>
    <row r="25106" spans="26:26" x14ac:dyDescent="0.2">
      <c r="Z25106" t="str">
        <f t="shared" si="392"/>
        <v/>
      </c>
    </row>
    <row r="25107" spans="26:26" x14ac:dyDescent="0.2">
      <c r="Z25107" t="str">
        <f t="shared" si="392"/>
        <v/>
      </c>
    </row>
    <row r="25108" spans="26:26" x14ac:dyDescent="0.2">
      <c r="Z25108" t="str">
        <f t="shared" si="392"/>
        <v/>
      </c>
    </row>
    <row r="25109" spans="26:26" x14ac:dyDescent="0.2">
      <c r="Z25109" t="str">
        <f t="shared" si="392"/>
        <v/>
      </c>
    </row>
    <row r="25110" spans="26:26" x14ac:dyDescent="0.2">
      <c r="Z25110" t="str">
        <f t="shared" si="392"/>
        <v/>
      </c>
    </row>
    <row r="25111" spans="26:26" x14ac:dyDescent="0.2">
      <c r="Z25111" t="str">
        <f t="shared" si="392"/>
        <v/>
      </c>
    </row>
    <row r="25112" spans="26:26" x14ac:dyDescent="0.2">
      <c r="Z25112" t="str">
        <f t="shared" si="392"/>
        <v/>
      </c>
    </row>
    <row r="25113" spans="26:26" x14ac:dyDescent="0.2">
      <c r="Z25113" t="str">
        <f t="shared" si="392"/>
        <v/>
      </c>
    </row>
    <row r="25114" spans="26:26" x14ac:dyDescent="0.2">
      <c r="Z25114" t="str">
        <f t="shared" si="392"/>
        <v/>
      </c>
    </row>
    <row r="25115" spans="26:26" x14ac:dyDescent="0.2">
      <c r="Z25115" t="str">
        <f t="shared" si="392"/>
        <v/>
      </c>
    </row>
    <row r="25116" spans="26:26" x14ac:dyDescent="0.2">
      <c r="Z25116" t="str">
        <f t="shared" si="392"/>
        <v/>
      </c>
    </row>
    <row r="25117" spans="26:26" x14ac:dyDescent="0.2">
      <c r="Z25117" t="str">
        <f t="shared" si="392"/>
        <v/>
      </c>
    </row>
    <row r="25118" spans="26:26" x14ac:dyDescent="0.2">
      <c r="Z25118" t="str">
        <f t="shared" si="392"/>
        <v/>
      </c>
    </row>
    <row r="25119" spans="26:26" x14ac:dyDescent="0.2">
      <c r="Z25119" t="str">
        <f t="shared" si="392"/>
        <v/>
      </c>
    </row>
    <row r="25120" spans="26:26" x14ac:dyDescent="0.2">
      <c r="Z25120" t="str">
        <f t="shared" si="392"/>
        <v/>
      </c>
    </row>
    <row r="25121" spans="26:26" x14ac:dyDescent="0.2">
      <c r="Z25121" t="str">
        <f t="shared" si="392"/>
        <v/>
      </c>
    </row>
    <row r="25122" spans="26:26" x14ac:dyDescent="0.2">
      <c r="Z25122" t="str">
        <f t="shared" si="392"/>
        <v/>
      </c>
    </row>
    <row r="25123" spans="26:26" x14ac:dyDescent="0.2">
      <c r="Z25123" t="str">
        <f t="shared" si="392"/>
        <v/>
      </c>
    </row>
    <row r="25124" spans="26:26" x14ac:dyDescent="0.2">
      <c r="Z25124" t="str">
        <f t="shared" si="392"/>
        <v/>
      </c>
    </row>
    <row r="25125" spans="26:26" x14ac:dyDescent="0.2">
      <c r="Z25125" t="str">
        <f t="shared" si="392"/>
        <v/>
      </c>
    </row>
    <row r="25126" spans="26:26" x14ac:dyDescent="0.2">
      <c r="Z25126" t="str">
        <f t="shared" si="392"/>
        <v/>
      </c>
    </row>
    <row r="25127" spans="26:26" x14ac:dyDescent="0.2">
      <c r="Z25127" t="str">
        <f t="shared" si="392"/>
        <v/>
      </c>
    </row>
    <row r="25128" spans="26:26" x14ac:dyDescent="0.2">
      <c r="Z25128" t="str">
        <f t="shared" si="392"/>
        <v/>
      </c>
    </row>
    <row r="25129" spans="26:26" x14ac:dyDescent="0.2">
      <c r="Z25129" t="str">
        <f t="shared" si="392"/>
        <v/>
      </c>
    </row>
    <row r="25130" spans="26:26" x14ac:dyDescent="0.2">
      <c r="Z25130" t="str">
        <f t="shared" si="392"/>
        <v/>
      </c>
    </row>
    <row r="25131" spans="26:26" x14ac:dyDescent="0.2">
      <c r="Z25131" t="str">
        <f t="shared" si="392"/>
        <v/>
      </c>
    </row>
    <row r="25132" spans="26:26" x14ac:dyDescent="0.2">
      <c r="Z25132" t="str">
        <f t="shared" si="392"/>
        <v/>
      </c>
    </row>
    <row r="25133" spans="26:26" x14ac:dyDescent="0.2">
      <c r="Z25133" t="str">
        <f t="shared" si="392"/>
        <v/>
      </c>
    </row>
    <row r="25134" spans="26:26" x14ac:dyDescent="0.2">
      <c r="Z25134" t="str">
        <f t="shared" si="392"/>
        <v/>
      </c>
    </row>
    <row r="25135" spans="26:26" x14ac:dyDescent="0.2">
      <c r="Z25135" t="str">
        <f t="shared" si="392"/>
        <v/>
      </c>
    </row>
    <row r="25136" spans="26:26" x14ac:dyDescent="0.2">
      <c r="Z25136" t="str">
        <f t="shared" si="392"/>
        <v/>
      </c>
    </row>
    <row r="25137" spans="26:26" x14ac:dyDescent="0.2">
      <c r="Z25137" t="str">
        <f t="shared" si="392"/>
        <v/>
      </c>
    </row>
    <row r="25138" spans="26:26" x14ac:dyDescent="0.2">
      <c r="Z25138" t="str">
        <f t="shared" si="392"/>
        <v/>
      </c>
    </row>
    <row r="25139" spans="26:26" x14ac:dyDescent="0.2">
      <c r="Z25139" t="str">
        <f t="shared" si="392"/>
        <v/>
      </c>
    </row>
    <row r="25140" spans="26:26" x14ac:dyDescent="0.2">
      <c r="Z25140" t="str">
        <f t="shared" si="392"/>
        <v/>
      </c>
    </row>
    <row r="25141" spans="26:26" x14ac:dyDescent="0.2">
      <c r="Z25141" t="str">
        <f t="shared" si="392"/>
        <v/>
      </c>
    </row>
    <row r="25142" spans="26:26" x14ac:dyDescent="0.2">
      <c r="Z25142" t="str">
        <f t="shared" si="392"/>
        <v/>
      </c>
    </row>
    <row r="25143" spans="26:26" x14ac:dyDescent="0.2">
      <c r="Z25143" t="str">
        <f t="shared" si="392"/>
        <v/>
      </c>
    </row>
    <row r="25144" spans="26:26" x14ac:dyDescent="0.2">
      <c r="Z25144" t="str">
        <f t="shared" si="392"/>
        <v/>
      </c>
    </row>
    <row r="25145" spans="26:26" x14ac:dyDescent="0.2">
      <c r="Z25145" t="str">
        <f t="shared" si="392"/>
        <v/>
      </c>
    </row>
    <row r="25146" spans="26:26" x14ac:dyDescent="0.2">
      <c r="Z25146" t="str">
        <f t="shared" si="392"/>
        <v/>
      </c>
    </row>
    <row r="25147" spans="26:26" x14ac:dyDescent="0.2">
      <c r="Z25147" t="str">
        <f t="shared" si="392"/>
        <v/>
      </c>
    </row>
    <row r="25148" spans="26:26" x14ac:dyDescent="0.2">
      <c r="Z25148" t="str">
        <f t="shared" si="392"/>
        <v/>
      </c>
    </row>
    <row r="25149" spans="26:26" x14ac:dyDescent="0.2">
      <c r="Z25149" t="str">
        <f t="shared" si="392"/>
        <v/>
      </c>
    </row>
    <row r="25150" spans="26:26" x14ac:dyDescent="0.2">
      <c r="Z25150" t="str">
        <f t="shared" si="392"/>
        <v/>
      </c>
    </row>
    <row r="25151" spans="26:26" x14ac:dyDescent="0.2">
      <c r="Z25151" t="str">
        <f t="shared" si="392"/>
        <v/>
      </c>
    </row>
    <row r="25152" spans="26:26" x14ac:dyDescent="0.2">
      <c r="Z25152" t="str">
        <f t="shared" si="392"/>
        <v/>
      </c>
    </row>
    <row r="25153" spans="26:26" x14ac:dyDescent="0.2">
      <c r="Z25153" t="str">
        <f t="shared" si="392"/>
        <v/>
      </c>
    </row>
    <row r="25154" spans="26:26" x14ac:dyDescent="0.2">
      <c r="Z25154" t="str">
        <f t="shared" si="392"/>
        <v/>
      </c>
    </row>
    <row r="25155" spans="26:26" x14ac:dyDescent="0.2">
      <c r="Z25155" t="str">
        <f t="shared" ref="Z25155:Z25218" si="393">IF(K25155="","",IFERROR(VALUE(TRIM(MID(K25155,FIND(CHAR(167),SUBSTITUTE(K25155,"-",CHAR(167),LEN(K25155)-LEN(SUBSTITUTE(K25155,"-",""))))+1,100))),K25155))</f>
        <v/>
      </c>
    </row>
    <row r="25156" spans="26:26" x14ac:dyDescent="0.2">
      <c r="Z25156" t="str">
        <f t="shared" si="393"/>
        <v/>
      </c>
    </row>
    <row r="25157" spans="26:26" x14ac:dyDescent="0.2">
      <c r="Z25157" t="str">
        <f t="shared" si="393"/>
        <v/>
      </c>
    </row>
    <row r="25158" spans="26:26" x14ac:dyDescent="0.2">
      <c r="Z25158" t="str">
        <f t="shared" si="393"/>
        <v/>
      </c>
    </row>
    <row r="25159" spans="26:26" x14ac:dyDescent="0.2">
      <c r="Z25159" t="str">
        <f t="shared" si="393"/>
        <v/>
      </c>
    </row>
    <row r="25160" spans="26:26" x14ac:dyDescent="0.2">
      <c r="Z25160" t="str">
        <f t="shared" si="393"/>
        <v/>
      </c>
    </row>
    <row r="25161" spans="26:26" x14ac:dyDescent="0.2">
      <c r="Z25161" t="str">
        <f t="shared" si="393"/>
        <v/>
      </c>
    </row>
    <row r="25162" spans="26:26" x14ac:dyDescent="0.2">
      <c r="Z25162" t="str">
        <f t="shared" si="393"/>
        <v/>
      </c>
    </row>
    <row r="25163" spans="26:26" x14ac:dyDescent="0.2">
      <c r="Z25163" t="str">
        <f t="shared" si="393"/>
        <v/>
      </c>
    </row>
    <row r="25164" spans="26:26" x14ac:dyDescent="0.2">
      <c r="Z25164" t="str">
        <f t="shared" si="393"/>
        <v/>
      </c>
    </row>
    <row r="25165" spans="26:26" x14ac:dyDescent="0.2">
      <c r="Z25165" t="str">
        <f t="shared" si="393"/>
        <v/>
      </c>
    </row>
    <row r="25166" spans="26:26" x14ac:dyDescent="0.2">
      <c r="Z25166" t="str">
        <f t="shared" si="393"/>
        <v/>
      </c>
    </row>
    <row r="25167" spans="26:26" x14ac:dyDescent="0.2">
      <c r="Z25167" t="str">
        <f t="shared" si="393"/>
        <v/>
      </c>
    </row>
    <row r="25168" spans="26:26" x14ac:dyDescent="0.2">
      <c r="Z25168" t="str">
        <f t="shared" si="393"/>
        <v/>
      </c>
    </row>
    <row r="25169" spans="26:26" x14ac:dyDescent="0.2">
      <c r="Z25169" t="str">
        <f t="shared" si="393"/>
        <v/>
      </c>
    </row>
    <row r="25170" spans="26:26" x14ac:dyDescent="0.2">
      <c r="Z25170" t="str">
        <f t="shared" si="393"/>
        <v/>
      </c>
    </row>
    <row r="25171" spans="26:26" x14ac:dyDescent="0.2">
      <c r="Z25171" t="str">
        <f t="shared" si="393"/>
        <v/>
      </c>
    </row>
    <row r="25172" spans="26:26" x14ac:dyDescent="0.2">
      <c r="Z25172" t="str">
        <f t="shared" si="393"/>
        <v/>
      </c>
    </row>
    <row r="25173" spans="26:26" x14ac:dyDescent="0.2">
      <c r="Z25173" t="str">
        <f t="shared" si="393"/>
        <v/>
      </c>
    </row>
    <row r="25174" spans="26:26" x14ac:dyDescent="0.2">
      <c r="Z25174" t="str">
        <f t="shared" si="393"/>
        <v/>
      </c>
    </row>
    <row r="25175" spans="26:26" x14ac:dyDescent="0.2">
      <c r="Z25175" t="str">
        <f t="shared" si="393"/>
        <v/>
      </c>
    </row>
    <row r="25176" spans="26:26" x14ac:dyDescent="0.2">
      <c r="Z25176" t="str">
        <f t="shared" si="393"/>
        <v/>
      </c>
    </row>
    <row r="25177" spans="26:26" x14ac:dyDescent="0.2">
      <c r="Z25177" t="str">
        <f t="shared" si="393"/>
        <v/>
      </c>
    </row>
    <row r="25178" spans="26:26" x14ac:dyDescent="0.2">
      <c r="Z25178" t="str">
        <f t="shared" si="393"/>
        <v/>
      </c>
    </row>
    <row r="25179" spans="26:26" x14ac:dyDescent="0.2">
      <c r="Z25179" t="str">
        <f t="shared" si="393"/>
        <v/>
      </c>
    </row>
    <row r="25180" spans="26:26" x14ac:dyDescent="0.2">
      <c r="Z25180" t="str">
        <f t="shared" si="393"/>
        <v/>
      </c>
    </row>
    <row r="25181" spans="26:26" x14ac:dyDescent="0.2">
      <c r="Z25181" t="str">
        <f t="shared" si="393"/>
        <v/>
      </c>
    </row>
    <row r="25182" spans="26:26" x14ac:dyDescent="0.2">
      <c r="Z25182" t="str">
        <f t="shared" si="393"/>
        <v/>
      </c>
    </row>
    <row r="25183" spans="26:26" x14ac:dyDescent="0.2">
      <c r="Z25183" t="str">
        <f t="shared" si="393"/>
        <v/>
      </c>
    </row>
    <row r="25184" spans="26:26" x14ac:dyDescent="0.2">
      <c r="Z25184" t="str">
        <f t="shared" si="393"/>
        <v/>
      </c>
    </row>
    <row r="25185" spans="26:26" x14ac:dyDescent="0.2">
      <c r="Z25185" t="str">
        <f t="shared" si="393"/>
        <v/>
      </c>
    </row>
    <row r="25186" spans="26:26" x14ac:dyDescent="0.2">
      <c r="Z25186" t="str">
        <f t="shared" si="393"/>
        <v/>
      </c>
    </row>
    <row r="25187" spans="26:26" x14ac:dyDescent="0.2">
      <c r="Z25187" t="str">
        <f t="shared" si="393"/>
        <v/>
      </c>
    </row>
    <row r="25188" spans="26:26" x14ac:dyDescent="0.2">
      <c r="Z25188" t="str">
        <f t="shared" si="393"/>
        <v/>
      </c>
    </row>
    <row r="25189" spans="26:26" x14ac:dyDescent="0.2">
      <c r="Z25189" t="str">
        <f t="shared" si="393"/>
        <v/>
      </c>
    </row>
    <row r="25190" spans="26:26" x14ac:dyDescent="0.2">
      <c r="Z25190" t="str">
        <f t="shared" si="393"/>
        <v/>
      </c>
    </row>
    <row r="25191" spans="26:26" x14ac:dyDescent="0.2">
      <c r="Z25191" t="str">
        <f t="shared" si="393"/>
        <v/>
      </c>
    </row>
    <row r="25192" spans="26:26" x14ac:dyDescent="0.2">
      <c r="Z25192" t="str">
        <f t="shared" si="393"/>
        <v/>
      </c>
    </row>
    <row r="25193" spans="26:26" x14ac:dyDescent="0.2">
      <c r="Z25193" t="str">
        <f t="shared" si="393"/>
        <v/>
      </c>
    </row>
    <row r="25194" spans="26:26" x14ac:dyDescent="0.2">
      <c r="Z25194" t="str">
        <f t="shared" si="393"/>
        <v/>
      </c>
    </row>
    <row r="25195" spans="26:26" x14ac:dyDescent="0.2">
      <c r="Z25195" t="str">
        <f t="shared" si="393"/>
        <v/>
      </c>
    </row>
    <row r="25196" spans="26:26" x14ac:dyDescent="0.2">
      <c r="Z25196" t="str">
        <f t="shared" si="393"/>
        <v/>
      </c>
    </row>
    <row r="25197" spans="26:26" x14ac:dyDescent="0.2">
      <c r="Z25197" t="str">
        <f t="shared" si="393"/>
        <v/>
      </c>
    </row>
    <row r="25198" spans="26:26" x14ac:dyDescent="0.2">
      <c r="Z25198" t="str">
        <f t="shared" si="393"/>
        <v/>
      </c>
    </row>
    <row r="25199" spans="26:26" x14ac:dyDescent="0.2">
      <c r="Z25199" t="str">
        <f t="shared" si="393"/>
        <v/>
      </c>
    </row>
    <row r="25200" spans="26:26" x14ac:dyDescent="0.2">
      <c r="Z25200" t="str">
        <f t="shared" si="393"/>
        <v/>
      </c>
    </row>
    <row r="25201" spans="26:26" x14ac:dyDescent="0.2">
      <c r="Z25201" t="str">
        <f t="shared" si="393"/>
        <v/>
      </c>
    </row>
    <row r="25202" spans="26:26" x14ac:dyDescent="0.2">
      <c r="Z25202" t="str">
        <f t="shared" si="393"/>
        <v/>
      </c>
    </row>
    <row r="25203" spans="26:26" x14ac:dyDescent="0.2">
      <c r="Z25203" t="str">
        <f t="shared" si="393"/>
        <v/>
      </c>
    </row>
    <row r="25204" spans="26:26" x14ac:dyDescent="0.2">
      <c r="Z25204" t="str">
        <f t="shared" si="393"/>
        <v/>
      </c>
    </row>
    <row r="25205" spans="26:26" x14ac:dyDescent="0.2">
      <c r="Z25205" t="str">
        <f t="shared" si="393"/>
        <v/>
      </c>
    </row>
    <row r="25206" spans="26:26" x14ac:dyDescent="0.2">
      <c r="Z25206" t="str">
        <f t="shared" si="393"/>
        <v/>
      </c>
    </row>
    <row r="25207" spans="26:26" x14ac:dyDescent="0.2">
      <c r="Z25207" t="str">
        <f t="shared" si="393"/>
        <v/>
      </c>
    </row>
    <row r="25208" spans="26:26" x14ac:dyDescent="0.2">
      <c r="Z25208" t="str">
        <f t="shared" si="393"/>
        <v/>
      </c>
    </row>
    <row r="25209" spans="26:26" x14ac:dyDescent="0.2">
      <c r="Z25209" t="str">
        <f t="shared" si="393"/>
        <v/>
      </c>
    </row>
    <row r="25210" spans="26:26" x14ac:dyDescent="0.2">
      <c r="Z25210" t="str">
        <f t="shared" si="393"/>
        <v/>
      </c>
    </row>
    <row r="25211" spans="26:26" x14ac:dyDescent="0.2">
      <c r="Z25211" t="str">
        <f t="shared" si="393"/>
        <v/>
      </c>
    </row>
    <row r="25212" spans="26:26" x14ac:dyDescent="0.2">
      <c r="Z25212" t="str">
        <f t="shared" si="393"/>
        <v/>
      </c>
    </row>
    <row r="25213" spans="26:26" x14ac:dyDescent="0.2">
      <c r="Z25213" t="str">
        <f t="shared" si="393"/>
        <v/>
      </c>
    </row>
    <row r="25214" spans="26:26" x14ac:dyDescent="0.2">
      <c r="Z25214" t="str">
        <f t="shared" si="393"/>
        <v/>
      </c>
    </row>
    <row r="25215" spans="26:26" x14ac:dyDescent="0.2">
      <c r="Z25215" t="str">
        <f t="shared" si="393"/>
        <v/>
      </c>
    </row>
    <row r="25216" spans="26:26" x14ac:dyDescent="0.2">
      <c r="Z25216" t="str">
        <f t="shared" si="393"/>
        <v/>
      </c>
    </row>
    <row r="25217" spans="26:26" x14ac:dyDescent="0.2">
      <c r="Z25217" t="str">
        <f t="shared" si="393"/>
        <v/>
      </c>
    </row>
    <row r="25218" spans="26:26" x14ac:dyDescent="0.2">
      <c r="Z25218" t="str">
        <f t="shared" si="393"/>
        <v/>
      </c>
    </row>
    <row r="25219" spans="26:26" x14ac:dyDescent="0.2">
      <c r="Z25219" t="str">
        <f t="shared" ref="Z25219:Z25282" si="394">IF(K25219="","",IFERROR(VALUE(TRIM(MID(K25219,FIND(CHAR(167),SUBSTITUTE(K25219,"-",CHAR(167),LEN(K25219)-LEN(SUBSTITUTE(K25219,"-",""))))+1,100))),K25219))</f>
        <v/>
      </c>
    </row>
    <row r="25220" spans="26:26" x14ac:dyDescent="0.2">
      <c r="Z25220" t="str">
        <f t="shared" si="394"/>
        <v/>
      </c>
    </row>
    <row r="25221" spans="26:26" x14ac:dyDescent="0.2">
      <c r="Z25221" t="str">
        <f t="shared" si="394"/>
        <v/>
      </c>
    </row>
    <row r="25222" spans="26:26" x14ac:dyDescent="0.2">
      <c r="Z25222" t="str">
        <f t="shared" si="394"/>
        <v/>
      </c>
    </row>
    <row r="25223" spans="26:26" x14ac:dyDescent="0.2">
      <c r="Z25223" t="str">
        <f t="shared" si="394"/>
        <v/>
      </c>
    </row>
    <row r="25224" spans="26:26" x14ac:dyDescent="0.2">
      <c r="Z25224" t="str">
        <f t="shared" si="394"/>
        <v/>
      </c>
    </row>
    <row r="25225" spans="26:26" x14ac:dyDescent="0.2">
      <c r="Z25225" t="str">
        <f t="shared" si="394"/>
        <v/>
      </c>
    </row>
    <row r="25226" spans="26:26" x14ac:dyDescent="0.2">
      <c r="Z25226" t="str">
        <f t="shared" si="394"/>
        <v/>
      </c>
    </row>
    <row r="25227" spans="26:26" x14ac:dyDescent="0.2">
      <c r="Z25227" t="str">
        <f t="shared" si="394"/>
        <v/>
      </c>
    </row>
    <row r="25228" spans="26:26" x14ac:dyDescent="0.2">
      <c r="Z25228" t="str">
        <f t="shared" si="394"/>
        <v/>
      </c>
    </row>
    <row r="25229" spans="26:26" x14ac:dyDescent="0.2">
      <c r="Z25229" t="str">
        <f t="shared" si="394"/>
        <v/>
      </c>
    </row>
    <row r="25230" spans="26:26" x14ac:dyDescent="0.2">
      <c r="Z25230" t="str">
        <f t="shared" si="394"/>
        <v/>
      </c>
    </row>
    <row r="25231" spans="26:26" x14ac:dyDescent="0.2">
      <c r="Z25231" t="str">
        <f t="shared" si="394"/>
        <v/>
      </c>
    </row>
    <row r="25232" spans="26:26" x14ac:dyDescent="0.2">
      <c r="Z25232" t="str">
        <f t="shared" si="394"/>
        <v/>
      </c>
    </row>
    <row r="25233" spans="26:26" x14ac:dyDescent="0.2">
      <c r="Z25233" t="str">
        <f t="shared" si="394"/>
        <v/>
      </c>
    </row>
    <row r="25234" spans="26:26" x14ac:dyDescent="0.2">
      <c r="Z25234" t="str">
        <f t="shared" si="394"/>
        <v/>
      </c>
    </row>
    <row r="25235" spans="26:26" x14ac:dyDescent="0.2">
      <c r="Z25235" t="str">
        <f t="shared" si="394"/>
        <v/>
      </c>
    </row>
    <row r="25236" spans="26:26" x14ac:dyDescent="0.2">
      <c r="Z25236" t="str">
        <f t="shared" si="394"/>
        <v/>
      </c>
    </row>
    <row r="25237" spans="26:26" x14ac:dyDescent="0.2">
      <c r="Z25237" t="str">
        <f t="shared" si="394"/>
        <v/>
      </c>
    </row>
    <row r="25238" spans="26:26" x14ac:dyDescent="0.2">
      <c r="Z25238" t="str">
        <f t="shared" si="394"/>
        <v/>
      </c>
    </row>
    <row r="25239" spans="26:26" x14ac:dyDescent="0.2">
      <c r="Z25239" t="str">
        <f t="shared" si="394"/>
        <v/>
      </c>
    </row>
    <row r="25240" spans="26:26" x14ac:dyDescent="0.2">
      <c r="Z25240" t="str">
        <f t="shared" si="394"/>
        <v/>
      </c>
    </row>
    <row r="25241" spans="26:26" x14ac:dyDescent="0.2">
      <c r="Z25241" t="str">
        <f t="shared" si="394"/>
        <v/>
      </c>
    </row>
    <row r="25242" spans="26:26" x14ac:dyDescent="0.2">
      <c r="Z25242" t="str">
        <f t="shared" si="394"/>
        <v/>
      </c>
    </row>
    <row r="25243" spans="26:26" x14ac:dyDescent="0.2">
      <c r="Z25243" t="str">
        <f t="shared" si="394"/>
        <v/>
      </c>
    </row>
    <row r="25244" spans="26:26" x14ac:dyDescent="0.2">
      <c r="Z25244" t="str">
        <f t="shared" si="394"/>
        <v/>
      </c>
    </row>
    <row r="25245" spans="26:26" x14ac:dyDescent="0.2">
      <c r="Z25245" t="str">
        <f t="shared" si="394"/>
        <v/>
      </c>
    </row>
    <row r="25246" spans="26:26" x14ac:dyDescent="0.2">
      <c r="Z25246" t="str">
        <f t="shared" si="394"/>
        <v/>
      </c>
    </row>
    <row r="25247" spans="26:26" x14ac:dyDescent="0.2">
      <c r="Z25247" t="str">
        <f t="shared" si="394"/>
        <v/>
      </c>
    </row>
    <row r="25248" spans="26:26" x14ac:dyDescent="0.2">
      <c r="Z25248" t="str">
        <f t="shared" si="394"/>
        <v/>
      </c>
    </row>
    <row r="25249" spans="26:26" x14ac:dyDescent="0.2">
      <c r="Z25249" t="str">
        <f t="shared" si="394"/>
        <v/>
      </c>
    </row>
    <row r="25250" spans="26:26" x14ac:dyDescent="0.2">
      <c r="Z25250" t="str">
        <f t="shared" si="394"/>
        <v/>
      </c>
    </row>
    <row r="25251" spans="26:26" x14ac:dyDescent="0.2">
      <c r="Z25251" t="str">
        <f t="shared" si="394"/>
        <v/>
      </c>
    </row>
    <row r="25252" spans="26:26" x14ac:dyDescent="0.2">
      <c r="Z25252" t="str">
        <f t="shared" si="394"/>
        <v/>
      </c>
    </row>
    <row r="25253" spans="26:26" x14ac:dyDescent="0.2">
      <c r="Z25253" t="str">
        <f t="shared" si="394"/>
        <v/>
      </c>
    </row>
    <row r="25254" spans="26:26" x14ac:dyDescent="0.2">
      <c r="Z25254" t="str">
        <f t="shared" si="394"/>
        <v/>
      </c>
    </row>
    <row r="25255" spans="26:26" x14ac:dyDescent="0.2">
      <c r="Z25255" t="str">
        <f t="shared" si="394"/>
        <v/>
      </c>
    </row>
    <row r="25256" spans="26:26" x14ac:dyDescent="0.2">
      <c r="Z25256" t="str">
        <f t="shared" si="394"/>
        <v/>
      </c>
    </row>
    <row r="25257" spans="26:26" x14ac:dyDescent="0.2">
      <c r="Z25257" t="str">
        <f t="shared" si="394"/>
        <v/>
      </c>
    </row>
    <row r="25258" spans="26:26" x14ac:dyDescent="0.2">
      <c r="Z25258" t="str">
        <f t="shared" si="394"/>
        <v/>
      </c>
    </row>
    <row r="25259" spans="26:26" x14ac:dyDescent="0.2">
      <c r="Z25259" t="str">
        <f t="shared" si="394"/>
        <v/>
      </c>
    </row>
    <row r="25260" spans="26:26" x14ac:dyDescent="0.2">
      <c r="Z25260" t="str">
        <f t="shared" si="394"/>
        <v/>
      </c>
    </row>
    <row r="25261" spans="26:26" x14ac:dyDescent="0.2">
      <c r="Z25261" t="str">
        <f t="shared" si="394"/>
        <v/>
      </c>
    </row>
    <row r="25262" spans="26:26" x14ac:dyDescent="0.2">
      <c r="Z25262" t="str">
        <f t="shared" si="394"/>
        <v/>
      </c>
    </row>
    <row r="25263" spans="26:26" x14ac:dyDescent="0.2">
      <c r="Z25263" t="str">
        <f t="shared" si="394"/>
        <v/>
      </c>
    </row>
    <row r="25264" spans="26:26" x14ac:dyDescent="0.2">
      <c r="Z25264" t="str">
        <f t="shared" si="394"/>
        <v/>
      </c>
    </row>
    <row r="25265" spans="26:26" x14ac:dyDescent="0.2">
      <c r="Z25265" t="str">
        <f t="shared" si="394"/>
        <v/>
      </c>
    </row>
    <row r="25266" spans="26:26" x14ac:dyDescent="0.2">
      <c r="Z25266" t="str">
        <f t="shared" si="394"/>
        <v/>
      </c>
    </row>
    <row r="25267" spans="26:26" x14ac:dyDescent="0.2">
      <c r="Z25267" t="str">
        <f t="shared" si="394"/>
        <v/>
      </c>
    </row>
    <row r="25268" spans="26:26" x14ac:dyDescent="0.2">
      <c r="Z25268" t="str">
        <f t="shared" si="394"/>
        <v/>
      </c>
    </row>
    <row r="25269" spans="26:26" x14ac:dyDescent="0.2">
      <c r="Z25269" t="str">
        <f t="shared" si="394"/>
        <v/>
      </c>
    </row>
    <row r="25270" spans="26:26" x14ac:dyDescent="0.2">
      <c r="Z25270" t="str">
        <f t="shared" si="394"/>
        <v/>
      </c>
    </row>
    <row r="25271" spans="26:26" x14ac:dyDescent="0.2">
      <c r="Z25271" t="str">
        <f t="shared" si="394"/>
        <v/>
      </c>
    </row>
    <row r="25272" spans="26:26" x14ac:dyDescent="0.2">
      <c r="Z25272" t="str">
        <f t="shared" si="394"/>
        <v/>
      </c>
    </row>
    <row r="25273" spans="26:26" x14ac:dyDescent="0.2">
      <c r="Z25273" t="str">
        <f t="shared" si="394"/>
        <v/>
      </c>
    </row>
    <row r="25274" spans="26:26" x14ac:dyDescent="0.2">
      <c r="Z25274" t="str">
        <f t="shared" si="394"/>
        <v/>
      </c>
    </row>
    <row r="25275" spans="26:26" x14ac:dyDescent="0.2">
      <c r="Z25275" t="str">
        <f t="shared" si="394"/>
        <v/>
      </c>
    </row>
    <row r="25276" spans="26:26" x14ac:dyDescent="0.2">
      <c r="Z25276" t="str">
        <f t="shared" si="394"/>
        <v/>
      </c>
    </row>
    <row r="25277" spans="26:26" x14ac:dyDescent="0.2">
      <c r="Z25277" t="str">
        <f t="shared" si="394"/>
        <v/>
      </c>
    </row>
    <row r="25278" spans="26:26" x14ac:dyDescent="0.2">
      <c r="Z25278" t="str">
        <f t="shared" si="394"/>
        <v/>
      </c>
    </row>
    <row r="25279" spans="26:26" x14ac:dyDescent="0.2">
      <c r="Z25279" t="str">
        <f t="shared" si="394"/>
        <v/>
      </c>
    </row>
    <row r="25280" spans="26:26" x14ac:dyDescent="0.2">
      <c r="Z25280" t="str">
        <f t="shared" si="394"/>
        <v/>
      </c>
    </row>
    <row r="25281" spans="26:26" x14ac:dyDescent="0.2">
      <c r="Z25281" t="str">
        <f t="shared" si="394"/>
        <v/>
      </c>
    </row>
    <row r="25282" spans="26:26" x14ac:dyDescent="0.2">
      <c r="Z25282" t="str">
        <f t="shared" si="394"/>
        <v/>
      </c>
    </row>
    <row r="25283" spans="26:26" x14ac:dyDescent="0.2">
      <c r="Z25283" t="str">
        <f t="shared" ref="Z25283:Z25346" si="395">IF(K25283="","",IFERROR(VALUE(TRIM(MID(K25283,FIND(CHAR(167),SUBSTITUTE(K25283,"-",CHAR(167),LEN(K25283)-LEN(SUBSTITUTE(K25283,"-",""))))+1,100))),K25283))</f>
        <v/>
      </c>
    </row>
    <row r="25284" spans="26:26" x14ac:dyDescent="0.2">
      <c r="Z25284" t="str">
        <f t="shared" si="395"/>
        <v/>
      </c>
    </row>
    <row r="25285" spans="26:26" x14ac:dyDescent="0.2">
      <c r="Z25285" t="str">
        <f t="shared" si="395"/>
        <v/>
      </c>
    </row>
    <row r="25286" spans="26:26" x14ac:dyDescent="0.2">
      <c r="Z25286" t="str">
        <f t="shared" si="395"/>
        <v/>
      </c>
    </row>
    <row r="25287" spans="26:26" x14ac:dyDescent="0.2">
      <c r="Z25287" t="str">
        <f t="shared" si="395"/>
        <v/>
      </c>
    </row>
    <row r="25288" spans="26:26" x14ac:dyDescent="0.2">
      <c r="Z25288" t="str">
        <f t="shared" si="395"/>
        <v/>
      </c>
    </row>
    <row r="25289" spans="26:26" x14ac:dyDescent="0.2">
      <c r="Z25289" t="str">
        <f t="shared" si="395"/>
        <v/>
      </c>
    </row>
    <row r="25290" spans="26:26" x14ac:dyDescent="0.2">
      <c r="Z25290" t="str">
        <f t="shared" si="395"/>
        <v/>
      </c>
    </row>
    <row r="25291" spans="26:26" x14ac:dyDescent="0.2">
      <c r="Z25291" t="str">
        <f t="shared" si="395"/>
        <v/>
      </c>
    </row>
    <row r="25292" spans="26:26" x14ac:dyDescent="0.2">
      <c r="Z25292" t="str">
        <f t="shared" si="395"/>
        <v/>
      </c>
    </row>
    <row r="25293" spans="26:26" x14ac:dyDescent="0.2">
      <c r="Z25293" t="str">
        <f t="shared" si="395"/>
        <v/>
      </c>
    </row>
    <row r="25294" spans="26:26" x14ac:dyDescent="0.2">
      <c r="Z25294" t="str">
        <f t="shared" si="395"/>
        <v/>
      </c>
    </row>
    <row r="25295" spans="26:26" x14ac:dyDescent="0.2">
      <c r="Z25295" t="str">
        <f t="shared" si="395"/>
        <v/>
      </c>
    </row>
    <row r="25296" spans="26:26" x14ac:dyDescent="0.2">
      <c r="Z25296" t="str">
        <f t="shared" si="395"/>
        <v/>
      </c>
    </row>
    <row r="25297" spans="26:26" x14ac:dyDescent="0.2">
      <c r="Z25297" t="str">
        <f t="shared" si="395"/>
        <v/>
      </c>
    </row>
    <row r="25298" spans="26:26" x14ac:dyDescent="0.2">
      <c r="Z25298" t="str">
        <f t="shared" si="395"/>
        <v/>
      </c>
    </row>
    <row r="25299" spans="26:26" x14ac:dyDescent="0.2">
      <c r="Z25299" t="str">
        <f t="shared" si="395"/>
        <v/>
      </c>
    </row>
    <row r="25300" spans="26:26" x14ac:dyDescent="0.2">
      <c r="Z25300" t="str">
        <f t="shared" si="395"/>
        <v/>
      </c>
    </row>
    <row r="25301" spans="26:26" x14ac:dyDescent="0.2">
      <c r="Z25301" t="str">
        <f t="shared" si="395"/>
        <v/>
      </c>
    </row>
    <row r="25302" spans="26:26" x14ac:dyDescent="0.2">
      <c r="Z25302" t="str">
        <f t="shared" si="395"/>
        <v/>
      </c>
    </row>
    <row r="25303" spans="26:26" x14ac:dyDescent="0.2">
      <c r="Z25303" t="str">
        <f t="shared" si="395"/>
        <v/>
      </c>
    </row>
    <row r="25304" spans="26:26" x14ac:dyDescent="0.2">
      <c r="Z25304" t="str">
        <f t="shared" si="395"/>
        <v/>
      </c>
    </row>
    <row r="25305" spans="26:26" x14ac:dyDescent="0.2">
      <c r="Z25305" t="str">
        <f t="shared" si="395"/>
        <v/>
      </c>
    </row>
    <row r="25306" spans="26:26" x14ac:dyDescent="0.2">
      <c r="Z25306" t="str">
        <f t="shared" si="395"/>
        <v/>
      </c>
    </row>
    <row r="25307" spans="26:26" x14ac:dyDescent="0.2">
      <c r="Z25307" t="str">
        <f t="shared" si="395"/>
        <v/>
      </c>
    </row>
    <row r="25308" spans="26:26" x14ac:dyDescent="0.2">
      <c r="Z25308" t="str">
        <f t="shared" si="395"/>
        <v/>
      </c>
    </row>
    <row r="25309" spans="26:26" x14ac:dyDescent="0.2">
      <c r="Z25309" t="str">
        <f t="shared" si="395"/>
        <v/>
      </c>
    </row>
    <row r="25310" spans="26:26" x14ac:dyDescent="0.2">
      <c r="Z25310" t="str">
        <f t="shared" si="395"/>
        <v/>
      </c>
    </row>
    <row r="25311" spans="26:26" x14ac:dyDescent="0.2">
      <c r="Z25311" t="str">
        <f t="shared" si="395"/>
        <v/>
      </c>
    </row>
    <row r="25312" spans="26:26" x14ac:dyDescent="0.2">
      <c r="Z25312" t="str">
        <f t="shared" si="395"/>
        <v/>
      </c>
    </row>
    <row r="25313" spans="26:26" x14ac:dyDescent="0.2">
      <c r="Z25313" t="str">
        <f t="shared" si="395"/>
        <v/>
      </c>
    </row>
    <row r="25314" spans="26:26" x14ac:dyDescent="0.2">
      <c r="Z25314" t="str">
        <f t="shared" si="395"/>
        <v/>
      </c>
    </row>
    <row r="25315" spans="26:26" x14ac:dyDescent="0.2">
      <c r="Z25315" t="str">
        <f t="shared" si="395"/>
        <v/>
      </c>
    </row>
    <row r="25316" spans="26:26" x14ac:dyDescent="0.2">
      <c r="Z25316" t="str">
        <f t="shared" si="395"/>
        <v/>
      </c>
    </row>
    <row r="25317" spans="26:26" x14ac:dyDescent="0.2">
      <c r="Z25317" t="str">
        <f t="shared" si="395"/>
        <v/>
      </c>
    </row>
    <row r="25318" spans="26:26" x14ac:dyDescent="0.2">
      <c r="Z25318" t="str">
        <f t="shared" si="395"/>
        <v/>
      </c>
    </row>
    <row r="25319" spans="26:26" x14ac:dyDescent="0.2">
      <c r="Z25319" t="str">
        <f t="shared" si="395"/>
        <v/>
      </c>
    </row>
    <row r="25320" spans="26:26" x14ac:dyDescent="0.2">
      <c r="Z25320" t="str">
        <f t="shared" si="395"/>
        <v/>
      </c>
    </row>
    <row r="25321" spans="26:26" x14ac:dyDescent="0.2">
      <c r="Z25321" t="str">
        <f t="shared" si="395"/>
        <v/>
      </c>
    </row>
    <row r="25322" spans="26:26" x14ac:dyDescent="0.2">
      <c r="Z25322" t="str">
        <f t="shared" si="395"/>
        <v/>
      </c>
    </row>
    <row r="25323" spans="26:26" x14ac:dyDescent="0.2">
      <c r="Z25323" t="str">
        <f t="shared" si="395"/>
        <v/>
      </c>
    </row>
    <row r="25324" spans="26:26" x14ac:dyDescent="0.2">
      <c r="Z25324" t="str">
        <f t="shared" si="395"/>
        <v/>
      </c>
    </row>
    <row r="25325" spans="26:26" x14ac:dyDescent="0.2">
      <c r="Z25325" t="str">
        <f t="shared" si="395"/>
        <v/>
      </c>
    </row>
    <row r="25326" spans="26:26" x14ac:dyDescent="0.2">
      <c r="Z25326" t="str">
        <f t="shared" si="395"/>
        <v/>
      </c>
    </row>
    <row r="25327" spans="26:26" x14ac:dyDescent="0.2">
      <c r="Z25327" t="str">
        <f t="shared" si="395"/>
        <v/>
      </c>
    </row>
    <row r="25328" spans="26:26" x14ac:dyDescent="0.2">
      <c r="Z25328" t="str">
        <f t="shared" si="395"/>
        <v/>
      </c>
    </row>
    <row r="25329" spans="26:26" x14ac:dyDescent="0.2">
      <c r="Z25329" t="str">
        <f t="shared" si="395"/>
        <v/>
      </c>
    </row>
    <row r="25330" spans="26:26" x14ac:dyDescent="0.2">
      <c r="Z25330" t="str">
        <f t="shared" si="395"/>
        <v/>
      </c>
    </row>
    <row r="25331" spans="26:26" x14ac:dyDescent="0.2">
      <c r="Z25331" t="str">
        <f t="shared" si="395"/>
        <v/>
      </c>
    </row>
    <row r="25332" spans="26:26" x14ac:dyDescent="0.2">
      <c r="Z25332" t="str">
        <f t="shared" si="395"/>
        <v/>
      </c>
    </row>
    <row r="25333" spans="26:26" x14ac:dyDescent="0.2">
      <c r="Z25333" t="str">
        <f t="shared" si="395"/>
        <v/>
      </c>
    </row>
    <row r="25334" spans="26:26" x14ac:dyDescent="0.2">
      <c r="Z25334" t="str">
        <f t="shared" si="395"/>
        <v/>
      </c>
    </row>
    <row r="25335" spans="26:26" x14ac:dyDescent="0.2">
      <c r="Z25335" t="str">
        <f t="shared" si="395"/>
        <v/>
      </c>
    </row>
    <row r="25336" spans="26:26" x14ac:dyDescent="0.2">
      <c r="Z25336" t="str">
        <f t="shared" si="395"/>
        <v/>
      </c>
    </row>
    <row r="25337" spans="26:26" x14ac:dyDescent="0.2">
      <c r="Z25337" t="str">
        <f t="shared" si="395"/>
        <v/>
      </c>
    </row>
    <row r="25338" spans="26:26" x14ac:dyDescent="0.2">
      <c r="Z25338" t="str">
        <f t="shared" si="395"/>
        <v/>
      </c>
    </row>
    <row r="25339" spans="26:26" x14ac:dyDescent="0.2">
      <c r="Z25339" t="str">
        <f t="shared" si="395"/>
        <v/>
      </c>
    </row>
    <row r="25340" spans="26:26" x14ac:dyDescent="0.2">
      <c r="Z25340" t="str">
        <f t="shared" si="395"/>
        <v/>
      </c>
    </row>
    <row r="25341" spans="26:26" x14ac:dyDescent="0.2">
      <c r="Z25341" t="str">
        <f t="shared" si="395"/>
        <v/>
      </c>
    </row>
    <row r="25342" spans="26:26" x14ac:dyDescent="0.2">
      <c r="Z25342" t="str">
        <f t="shared" si="395"/>
        <v/>
      </c>
    </row>
    <row r="25343" spans="26:26" x14ac:dyDescent="0.2">
      <c r="Z25343" t="str">
        <f t="shared" si="395"/>
        <v/>
      </c>
    </row>
    <row r="25344" spans="26:26" x14ac:dyDescent="0.2">
      <c r="Z25344" t="str">
        <f t="shared" si="395"/>
        <v/>
      </c>
    </row>
    <row r="25345" spans="26:26" x14ac:dyDescent="0.2">
      <c r="Z25345" t="str">
        <f t="shared" si="395"/>
        <v/>
      </c>
    </row>
    <row r="25346" spans="26:26" x14ac:dyDescent="0.2">
      <c r="Z25346" t="str">
        <f t="shared" si="395"/>
        <v/>
      </c>
    </row>
    <row r="25347" spans="26:26" x14ac:dyDescent="0.2">
      <c r="Z25347" t="str">
        <f t="shared" ref="Z25347:Z25410" si="396">IF(K25347="","",IFERROR(VALUE(TRIM(MID(K25347,FIND(CHAR(167),SUBSTITUTE(K25347,"-",CHAR(167),LEN(K25347)-LEN(SUBSTITUTE(K25347,"-",""))))+1,100))),K25347))</f>
        <v/>
      </c>
    </row>
    <row r="25348" spans="26:26" x14ac:dyDescent="0.2">
      <c r="Z25348" t="str">
        <f t="shared" si="396"/>
        <v/>
      </c>
    </row>
    <row r="25349" spans="26:26" x14ac:dyDescent="0.2">
      <c r="Z25349" t="str">
        <f t="shared" si="396"/>
        <v/>
      </c>
    </row>
    <row r="25350" spans="26:26" x14ac:dyDescent="0.2">
      <c r="Z25350" t="str">
        <f t="shared" si="396"/>
        <v/>
      </c>
    </row>
    <row r="25351" spans="26:26" x14ac:dyDescent="0.2">
      <c r="Z25351" t="str">
        <f t="shared" si="396"/>
        <v/>
      </c>
    </row>
    <row r="25352" spans="26:26" x14ac:dyDescent="0.2">
      <c r="Z25352" t="str">
        <f t="shared" si="396"/>
        <v/>
      </c>
    </row>
    <row r="25353" spans="26:26" x14ac:dyDescent="0.2">
      <c r="Z25353" t="str">
        <f t="shared" si="396"/>
        <v/>
      </c>
    </row>
    <row r="25354" spans="26:26" x14ac:dyDescent="0.2">
      <c r="Z25354" t="str">
        <f t="shared" si="396"/>
        <v/>
      </c>
    </row>
    <row r="25355" spans="26:26" x14ac:dyDescent="0.2">
      <c r="Z25355" t="str">
        <f t="shared" si="396"/>
        <v/>
      </c>
    </row>
    <row r="25356" spans="26:26" x14ac:dyDescent="0.2">
      <c r="Z25356" t="str">
        <f t="shared" si="396"/>
        <v/>
      </c>
    </row>
    <row r="25357" spans="26:26" x14ac:dyDescent="0.2">
      <c r="Z25357" t="str">
        <f t="shared" si="396"/>
        <v/>
      </c>
    </row>
    <row r="25358" spans="26:26" x14ac:dyDescent="0.2">
      <c r="Z25358" t="str">
        <f t="shared" si="396"/>
        <v/>
      </c>
    </row>
    <row r="25359" spans="26:26" x14ac:dyDescent="0.2">
      <c r="Z25359" t="str">
        <f t="shared" si="396"/>
        <v/>
      </c>
    </row>
    <row r="25360" spans="26:26" x14ac:dyDescent="0.2">
      <c r="Z25360" t="str">
        <f t="shared" si="396"/>
        <v/>
      </c>
    </row>
    <row r="25361" spans="26:26" x14ac:dyDescent="0.2">
      <c r="Z25361" t="str">
        <f t="shared" si="396"/>
        <v/>
      </c>
    </row>
    <row r="25362" spans="26:26" x14ac:dyDescent="0.2">
      <c r="Z25362" t="str">
        <f t="shared" si="396"/>
        <v/>
      </c>
    </row>
    <row r="25363" spans="26:26" x14ac:dyDescent="0.2">
      <c r="Z25363" t="str">
        <f t="shared" si="396"/>
        <v/>
      </c>
    </row>
    <row r="25364" spans="26:26" x14ac:dyDescent="0.2">
      <c r="Z25364" t="str">
        <f t="shared" si="396"/>
        <v/>
      </c>
    </row>
    <row r="25365" spans="26:26" x14ac:dyDescent="0.2">
      <c r="Z25365" t="str">
        <f t="shared" si="396"/>
        <v/>
      </c>
    </row>
    <row r="25366" spans="26:26" x14ac:dyDescent="0.2">
      <c r="Z25366" t="str">
        <f t="shared" si="396"/>
        <v/>
      </c>
    </row>
    <row r="25367" spans="26:26" x14ac:dyDescent="0.2">
      <c r="Z25367" t="str">
        <f t="shared" si="396"/>
        <v/>
      </c>
    </row>
    <row r="25368" spans="26:26" x14ac:dyDescent="0.2">
      <c r="Z25368" t="str">
        <f t="shared" si="396"/>
        <v/>
      </c>
    </row>
    <row r="25369" spans="26:26" x14ac:dyDescent="0.2">
      <c r="Z25369" t="str">
        <f t="shared" si="396"/>
        <v/>
      </c>
    </row>
    <row r="25370" spans="26:26" x14ac:dyDescent="0.2">
      <c r="Z25370" t="str">
        <f t="shared" si="396"/>
        <v/>
      </c>
    </row>
    <row r="25371" spans="26:26" x14ac:dyDescent="0.2">
      <c r="Z25371" t="str">
        <f t="shared" si="396"/>
        <v/>
      </c>
    </row>
    <row r="25372" spans="26:26" x14ac:dyDescent="0.2">
      <c r="Z25372" t="str">
        <f t="shared" si="396"/>
        <v/>
      </c>
    </row>
    <row r="25373" spans="26:26" x14ac:dyDescent="0.2">
      <c r="Z25373" t="str">
        <f t="shared" si="396"/>
        <v/>
      </c>
    </row>
    <row r="25374" spans="26:26" x14ac:dyDescent="0.2">
      <c r="Z25374" t="str">
        <f t="shared" si="396"/>
        <v/>
      </c>
    </row>
    <row r="25375" spans="26:26" x14ac:dyDescent="0.2">
      <c r="Z25375" t="str">
        <f t="shared" si="396"/>
        <v/>
      </c>
    </row>
    <row r="25376" spans="26:26" x14ac:dyDescent="0.2">
      <c r="Z25376" t="str">
        <f t="shared" si="396"/>
        <v/>
      </c>
    </row>
    <row r="25377" spans="26:26" x14ac:dyDescent="0.2">
      <c r="Z25377" t="str">
        <f t="shared" si="396"/>
        <v/>
      </c>
    </row>
    <row r="25378" spans="26:26" x14ac:dyDescent="0.2">
      <c r="Z25378" t="str">
        <f t="shared" si="396"/>
        <v/>
      </c>
    </row>
    <row r="25379" spans="26:26" x14ac:dyDescent="0.2">
      <c r="Z25379" t="str">
        <f t="shared" si="396"/>
        <v/>
      </c>
    </row>
    <row r="25380" spans="26:26" x14ac:dyDescent="0.2">
      <c r="Z25380" t="str">
        <f t="shared" si="396"/>
        <v/>
      </c>
    </row>
    <row r="25381" spans="26:26" x14ac:dyDescent="0.2">
      <c r="Z25381" t="str">
        <f t="shared" si="396"/>
        <v/>
      </c>
    </row>
    <row r="25382" spans="26:26" x14ac:dyDescent="0.2">
      <c r="Z25382" t="str">
        <f t="shared" si="396"/>
        <v/>
      </c>
    </row>
    <row r="25383" spans="26:26" x14ac:dyDescent="0.2">
      <c r="Z25383" t="str">
        <f t="shared" si="396"/>
        <v/>
      </c>
    </row>
    <row r="25384" spans="26:26" x14ac:dyDescent="0.2">
      <c r="Z25384" t="str">
        <f t="shared" si="396"/>
        <v/>
      </c>
    </row>
    <row r="25385" spans="26:26" x14ac:dyDescent="0.2">
      <c r="Z25385" t="str">
        <f t="shared" si="396"/>
        <v/>
      </c>
    </row>
    <row r="25386" spans="26:26" x14ac:dyDescent="0.2">
      <c r="Z25386" t="str">
        <f t="shared" si="396"/>
        <v/>
      </c>
    </row>
    <row r="25387" spans="26:26" x14ac:dyDescent="0.2">
      <c r="Z25387" t="str">
        <f t="shared" si="396"/>
        <v/>
      </c>
    </row>
    <row r="25388" spans="26:26" x14ac:dyDescent="0.2">
      <c r="Z25388" t="str">
        <f t="shared" si="396"/>
        <v/>
      </c>
    </row>
    <row r="25389" spans="26:26" x14ac:dyDescent="0.2">
      <c r="Z25389" t="str">
        <f t="shared" si="396"/>
        <v/>
      </c>
    </row>
    <row r="25390" spans="26:26" x14ac:dyDescent="0.2">
      <c r="Z25390" t="str">
        <f t="shared" si="396"/>
        <v/>
      </c>
    </row>
    <row r="25391" spans="26:26" x14ac:dyDescent="0.2">
      <c r="Z25391" t="str">
        <f t="shared" si="396"/>
        <v/>
      </c>
    </row>
    <row r="25392" spans="26:26" x14ac:dyDescent="0.2">
      <c r="Z25392" t="str">
        <f t="shared" si="396"/>
        <v/>
      </c>
    </row>
    <row r="25393" spans="26:26" x14ac:dyDescent="0.2">
      <c r="Z25393" t="str">
        <f t="shared" si="396"/>
        <v/>
      </c>
    </row>
    <row r="25394" spans="26:26" x14ac:dyDescent="0.2">
      <c r="Z25394" t="str">
        <f t="shared" si="396"/>
        <v/>
      </c>
    </row>
    <row r="25395" spans="26:26" x14ac:dyDescent="0.2">
      <c r="Z25395" t="str">
        <f t="shared" si="396"/>
        <v/>
      </c>
    </row>
    <row r="25396" spans="26:26" x14ac:dyDescent="0.2">
      <c r="Z25396" t="str">
        <f t="shared" si="396"/>
        <v/>
      </c>
    </row>
    <row r="25397" spans="26:26" x14ac:dyDescent="0.2">
      <c r="Z25397" t="str">
        <f t="shared" si="396"/>
        <v/>
      </c>
    </row>
    <row r="25398" spans="26:26" x14ac:dyDescent="0.2">
      <c r="Z25398" t="str">
        <f t="shared" si="396"/>
        <v/>
      </c>
    </row>
    <row r="25399" spans="26:26" x14ac:dyDescent="0.2">
      <c r="Z25399" t="str">
        <f t="shared" si="396"/>
        <v/>
      </c>
    </row>
    <row r="25400" spans="26:26" x14ac:dyDescent="0.2">
      <c r="Z25400" t="str">
        <f t="shared" si="396"/>
        <v/>
      </c>
    </row>
    <row r="25401" spans="26:26" x14ac:dyDescent="0.2">
      <c r="Z25401" t="str">
        <f t="shared" si="396"/>
        <v/>
      </c>
    </row>
    <row r="25402" spans="26:26" x14ac:dyDescent="0.2">
      <c r="Z25402" t="str">
        <f t="shared" si="396"/>
        <v/>
      </c>
    </row>
    <row r="25403" spans="26:26" x14ac:dyDescent="0.2">
      <c r="Z25403" t="str">
        <f t="shared" si="396"/>
        <v/>
      </c>
    </row>
    <row r="25404" spans="26:26" x14ac:dyDescent="0.2">
      <c r="Z25404" t="str">
        <f t="shared" si="396"/>
        <v/>
      </c>
    </row>
    <row r="25405" spans="26:26" x14ac:dyDescent="0.2">
      <c r="Z25405" t="str">
        <f t="shared" si="396"/>
        <v/>
      </c>
    </row>
    <row r="25406" spans="26:26" x14ac:dyDescent="0.2">
      <c r="Z25406" t="str">
        <f t="shared" si="396"/>
        <v/>
      </c>
    </row>
    <row r="25407" spans="26:26" x14ac:dyDescent="0.2">
      <c r="Z25407" t="str">
        <f t="shared" si="396"/>
        <v/>
      </c>
    </row>
    <row r="25408" spans="26:26" x14ac:dyDescent="0.2">
      <c r="Z25408" t="str">
        <f t="shared" si="396"/>
        <v/>
      </c>
    </row>
    <row r="25409" spans="26:26" x14ac:dyDescent="0.2">
      <c r="Z25409" t="str">
        <f t="shared" si="396"/>
        <v/>
      </c>
    </row>
    <row r="25410" spans="26:26" x14ac:dyDescent="0.2">
      <c r="Z25410" t="str">
        <f t="shared" si="396"/>
        <v/>
      </c>
    </row>
    <row r="25411" spans="26:26" x14ac:dyDescent="0.2">
      <c r="Z25411" t="str">
        <f t="shared" ref="Z25411:Z25474" si="397">IF(K25411="","",IFERROR(VALUE(TRIM(MID(K25411,FIND(CHAR(167),SUBSTITUTE(K25411,"-",CHAR(167),LEN(K25411)-LEN(SUBSTITUTE(K25411,"-",""))))+1,100))),K25411))</f>
        <v/>
      </c>
    </row>
    <row r="25412" spans="26:26" x14ac:dyDescent="0.2">
      <c r="Z25412" t="str">
        <f t="shared" si="397"/>
        <v/>
      </c>
    </row>
    <row r="25413" spans="26:26" x14ac:dyDescent="0.2">
      <c r="Z25413" t="str">
        <f t="shared" si="397"/>
        <v/>
      </c>
    </row>
    <row r="25414" spans="26:26" x14ac:dyDescent="0.2">
      <c r="Z25414" t="str">
        <f t="shared" si="397"/>
        <v/>
      </c>
    </row>
    <row r="25415" spans="26:26" x14ac:dyDescent="0.2">
      <c r="Z25415" t="str">
        <f t="shared" si="397"/>
        <v/>
      </c>
    </row>
    <row r="25416" spans="26:26" x14ac:dyDescent="0.2">
      <c r="Z25416" t="str">
        <f t="shared" si="397"/>
        <v/>
      </c>
    </row>
    <row r="25417" spans="26:26" x14ac:dyDescent="0.2">
      <c r="Z25417" t="str">
        <f t="shared" si="397"/>
        <v/>
      </c>
    </row>
    <row r="25418" spans="26:26" x14ac:dyDescent="0.2">
      <c r="Z25418" t="str">
        <f t="shared" si="397"/>
        <v/>
      </c>
    </row>
    <row r="25419" spans="26:26" x14ac:dyDescent="0.2">
      <c r="Z25419" t="str">
        <f t="shared" si="397"/>
        <v/>
      </c>
    </row>
    <row r="25420" spans="26:26" x14ac:dyDescent="0.2">
      <c r="Z25420" t="str">
        <f t="shared" si="397"/>
        <v/>
      </c>
    </row>
    <row r="25421" spans="26:26" x14ac:dyDescent="0.2">
      <c r="Z25421" t="str">
        <f t="shared" si="397"/>
        <v/>
      </c>
    </row>
    <row r="25422" spans="26:26" x14ac:dyDescent="0.2">
      <c r="Z25422" t="str">
        <f t="shared" si="397"/>
        <v/>
      </c>
    </row>
    <row r="25423" spans="26:26" x14ac:dyDescent="0.2">
      <c r="Z25423" t="str">
        <f t="shared" si="397"/>
        <v/>
      </c>
    </row>
    <row r="25424" spans="26:26" x14ac:dyDescent="0.2">
      <c r="Z25424" t="str">
        <f t="shared" si="397"/>
        <v/>
      </c>
    </row>
    <row r="25425" spans="26:26" x14ac:dyDescent="0.2">
      <c r="Z25425" t="str">
        <f t="shared" si="397"/>
        <v/>
      </c>
    </row>
    <row r="25426" spans="26:26" x14ac:dyDescent="0.2">
      <c r="Z25426" t="str">
        <f t="shared" si="397"/>
        <v/>
      </c>
    </row>
    <row r="25427" spans="26:26" x14ac:dyDescent="0.2">
      <c r="Z25427" t="str">
        <f t="shared" si="397"/>
        <v/>
      </c>
    </row>
    <row r="25428" spans="26:26" x14ac:dyDescent="0.2">
      <c r="Z25428" t="str">
        <f t="shared" si="397"/>
        <v/>
      </c>
    </row>
    <row r="25429" spans="26:26" x14ac:dyDescent="0.2">
      <c r="Z25429" t="str">
        <f t="shared" si="397"/>
        <v/>
      </c>
    </row>
    <row r="25430" spans="26:26" x14ac:dyDescent="0.2">
      <c r="Z25430" t="str">
        <f t="shared" si="397"/>
        <v/>
      </c>
    </row>
    <row r="25431" spans="26:26" x14ac:dyDescent="0.2">
      <c r="Z25431" t="str">
        <f t="shared" si="397"/>
        <v/>
      </c>
    </row>
    <row r="25432" spans="26:26" x14ac:dyDescent="0.2">
      <c r="Z25432" t="str">
        <f t="shared" si="397"/>
        <v/>
      </c>
    </row>
    <row r="25433" spans="26:26" x14ac:dyDescent="0.2">
      <c r="Z25433" t="str">
        <f t="shared" si="397"/>
        <v/>
      </c>
    </row>
    <row r="25434" spans="26:26" x14ac:dyDescent="0.2">
      <c r="Z25434" t="str">
        <f t="shared" si="397"/>
        <v/>
      </c>
    </row>
    <row r="25435" spans="26:26" x14ac:dyDescent="0.2">
      <c r="Z25435" t="str">
        <f t="shared" si="397"/>
        <v/>
      </c>
    </row>
    <row r="25436" spans="26:26" x14ac:dyDescent="0.2">
      <c r="Z25436" t="str">
        <f t="shared" si="397"/>
        <v/>
      </c>
    </row>
    <row r="25437" spans="26:26" x14ac:dyDescent="0.2">
      <c r="Z25437" t="str">
        <f t="shared" si="397"/>
        <v/>
      </c>
    </row>
    <row r="25438" spans="26:26" x14ac:dyDescent="0.2">
      <c r="Z25438" t="str">
        <f t="shared" si="397"/>
        <v/>
      </c>
    </row>
    <row r="25439" spans="26:26" x14ac:dyDescent="0.2">
      <c r="Z25439" t="str">
        <f t="shared" si="397"/>
        <v/>
      </c>
    </row>
    <row r="25440" spans="26:26" x14ac:dyDescent="0.2">
      <c r="Z25440" t="str">
        <f t="shared" si="397"/>
        <v/>
      </c>
    </row>
    <row r="25441" spans="26:26" x14ac:dyDescent="0.2">
      <c r="Z25441" t="str">
        <f t="shared" si="397"/>
        <v/>
      </c>
    </row>
    <row r="25442" spans="26:26" x14ac:dyDescent="0.2">
      <c r="Z25442" t="str">
        <f t="shared" si="397"/>
        <v/>
      </c>
    </row>
    <row r="25443" spans="26:26" x14ac:dyDescent="0.2">
      <c r="Z25443" t="str">
        <f t="shared" si="397"/>
        <v/>
      </c>
    </row>
    <row r="25444" spans="26:26" x14ac:dyDescent="0.2">
      <c r="Z25444" t="str">
        <f t="shared" si="397"/>
        <v/>
      </c>
    </row>
    <row r="25445" spans="26:26" x14ac:dyDescent="0.2">
      <c r="Z25445" t="str">
        <f t="shared" si="397"/>
        <v/>
      </c>
    </row>
    <row r="25446" spans="26:26" x14ac:dyDescent="0.2">
      <c r="Z25446" t="str">
        <f t="shared" si="397"/>
        <v/>
      </c>
    </row>
    <row r="25447" spans="26:26" x14ac:dyDescent="0.2">
      <c r="Z25447" t="str">
        <f t="shared" si="397"/>
        <v/>
      </c>
    </row>
    <row r="25448" spans="26:26" x14ac:dyDescent="0.2">
      <c r="Z25448" t="str">
        <f t="shared" si="397"/>
        <v/>
      </c>
    </row>
    <row r="25449" spans="26:26" x14ac:dyDescent="0.2">
      <c r="Z25449" t="str">
        <f t="shared" si="397"/>
        <v/>
      </c>
    </row>
    <row r="25450" spans="26:26" x14ac:dyDescent="0.2">
      <c r="Z25450" t="str">
        <f t="shared" si="397"/>
        <v/>
      </c>
    </row>
    <row r="25451" spans="26:26" x14ac:dyDescent="0.2">
      <c r="Z25451" t="str">
        <f t="shared" si="397"/>
        <v/>
      </c>
    </row>
    <row r="25452" spans="26:26" x14ac:dyDescent="0.2">
      <c r="Z25452" t="str">
        <f t="shared" si="397"/>
        <v/>
      </c>
    </row>
    <row r="25453" spans="26:26" x14ac:dyDescent="0.2">
      <c r="Z25453" t="str">
        <f t="shared" si="397"/>
        <v/>
      </c>
    </row>
    <row r="25454" spans="26:26" x14ac:dyDescent="0.2">
      <c r="Z25454" t="str">
        <f t="shared" si="397"/>
        <v/>
      </c>
    </row>
    <row r="25455" spans="26:26" x14ac:dyDescent="0.2">
      <c r="Z25455" t="str">
        <f t="shared" si="397"/>
        <v/>
      </c>
    </row>
    <row r="25456" spans="26:26" x14ac:dyDescent="0.2">
      <c r="Z25456" t="str">
        <f t="shared" si="397"/>
        <v/>
      </c>
    </row>
    <row r="25457" spans="26:26" x14ac:dyDescent="0.2">
      <c r="Z25457" t="str">
        <f t="shared" si="397"/>
        <v/>
      </c>
    </row>
    <row r="25458" spans="26:26" x14ac:dyDescent="0.2">
      <c r="Z25458" t="str">
        <f t="shared" si="397"/>
        <v/>
      </c>
    </row>
    <row r="25459" spans="26:26" x14ac:dyDescent="0.2">
      <c r="Z25459" t="str">
        <f t="shared" si="397"/>
        <v/>
      </c>
    </row>
    <row r="25460" spans="26:26" x14ac:dyDescent="0.2">
      <c r="Z25460" t="str">
        <f t="shared" si="397"/>
        <v/>
      </c>
    </row>
    <row r="25461" spans="26:26" x14ac:dyDescent="0.2">
      <c r="Z25461" t="str">
        <f t="shared" si="397"/>
        <v/>
      </c>
    </row>
    <row r="25462" spans="26:26" x14ac:dyDescent="0.2">
      <c r="Z25462" t="str">
        <f t="shared" si="397"/>
        <v/>
      </c>
    </row>
    <row r="25463" spans="26:26" x14ac:dyDescent="0.2">
      <c r="Z25463" t="str">
        <f t="shared" si="397"/>
        <v/>
      </c>
    </row>
    <row r="25464" spans="26:26" x14ac:dyDescent="0.2">
      <c r="Z25464" t="str">
        <f t="shared" si="397"/>
        <v/>
      </c>
    </row>
    <row r="25465" spans="26:26" x14ac:dyDescent="0.2">
      <c r="Z25465" t="str">
        <f t="shared" si="397"/>
        <v/>
      </c>
    </row>
    <row r="25466" spans="26:26" x14ac:dyDescent="0.2">
      <c r="Z25466" t="str">
        <f t="shared" si="397"/>
        <v/>
      </c>
    </row>
    <row r="25467" spans="26:26" x14ac:dyDescent="0.2">
      <c r="Z25467" t="str">
        <f t="shared" si="397"/>
        <v/>
      </c>
    </row>
    <row r="25468" spans="26:26" x14ac:dyDescent="0.2">
      <c r="Z25468" t="str">
        <f t="shared" si="397"/>
        <v/>
      </c>
    </row>
    <row r="25469" spans="26:26" x14ac:dyDescent="0.2">
      <c r="Z25469" t="str">
        <f t="shared" si="397"/>
        <v/>
      </c>
    </row>
    <row r="25470" spans="26:26" x14ac:dyDescent="0.2">
      <c r="Z25470" t="str">
        <f t="shared" si="397"/>
        <v/>
      </c>
    </row>
    <row r="25471" spans="26:26" x14ac:dyDescent="0.2">
      <c r="Z25471" t="str">
        <f t="shared" si="397"/>
        <v/>
      </c>
    </row>
    <row r="25472" spans="26:26" x14ac:dyDescent="0.2">
      <c r="Z25472" t="str">
        <f t="shared" si="397"/>
        <v/>
      </c>
    </row>
    <row r="25473" spans="26:26" x14ac:dyDescent="0.2">
      <c r="Z25473" t="str">
        <f t="shared" si="397"/>
        <v/>
      </c>
    </row>
    <row r="25474" spans="26:26" x14ac:dyDescent="0.2">
      <c r="Z25474" t="str">
        <f t="shared" si="397"/>
        <v/>
      </c>
    </row>
    <row r="25475" spans="26:26" x14ac:dyDescent="0.2">
      <c r="Z25475" t="str">
        <f t="shared" ref="Z25475:Z25538" si="398">IF(K25475="","",IFERROR(VALUE(TRIM(MID(K25475,FIND(CHAR(167),SUBSTITUTE(K25475,"-",CHAR(167),LEN(K25475)-LEN(SUBSTITUTE(K25475,"-",""))))+1,100))),K25475))</f>
        <v/>
      </c>
    </row>
    <row r="25476" spans="26:26" x14ac:dyDescent="0.2">
      <c r="Z25476" t="str">
        <f t="shared" si="398"/>
        <v/>
      </c>
    </row>
    <row r="25477" spans="26:26" x14ac:dyDescent="0.2">
      <c r="Z25477" t="str">
        <f t="shared" si="398"/>
        <v/>
      </c>
    </row>
    <row r="25478" spans="26:26" x14ac:dyDescent="0.2">
      <c r="Z25478" t="str">
        <f t="shared" si="398"/>
        <v/>
      </c>
    </row>
    <row r="25479" spans="26:26" x14ac:dyDescent="0.2">
      <c r="Z25479" t="str">
        <f t="shared" si="398"/>
        <v/>
      </c>
    </row>
    <row r="25480" spans="26:26" x14ac:dyDescent="0.2">
      <c r="Z25480" t="str">
        <f t="shared" si="398"/>
        <v/>
      </c>
    </row>
    <row r="25481" spans="26:26" x14ac:dyDescent="0.2">
      <c r="Z25481" t="str">
        <f t="shared" si="398"/>
        <v/>
      </c>
    </row>
    <row r="25482" spans="26:26" x14ac:dyDescent="0.2">
      <c r="Z25482" t="str">
        <f t="shared" si="398"/>
        <v/>
      </c>
    </row>
    <row r="25483" spans="26:26" x14ac:dyDescent="0.2">
      <c r="Z25483" t="str">
        <f t="shared" si="398"/>
        <v/>
      </c>
    </row>
    <row r="25484" spans="26:26" x14ac:dyDescent="0.2">
      <c r="Z25484" t="str">
        <f t="shared" si="398"/>
        <v/>
      </c>
    </row>
    <row r="25485" spans="26:26" x14ac:dyDescent="0.2">
      <c r="Z25485" t="str">
        <f t="shared" si="398"/>
        <v/>
      </c>
    </row>
    <row r="25486" spans="26:26" x14ac:dyDescent="0.2">
      <c r="Z25486" t="str">
        <f t="shared" si="398"/>
        <v/>
      </c>
    </row>
    <row r="25487" spans="26:26" x14ac:dyDescent="0.2">
      <c r="Z25487" t="str">
        <f t="shared" si="398"/>
        <v/>
      </c>
    </row>
    <row r="25488" spans="26:26" x14ac:dyDescent="0.2">
      <c r="Z25488" t="str">
        <f t="shared" si="398"/>
        <v/>
      </c>
    </row>
    <row r="25489" spans="26:26" x14ac:dyDescent="0.2">
      <c r="Z25489" t="str">
        <f t="shared" si="398"/>
        <v/>
      </c>
    </row>
    <row r="25490" spans="26:26" x14ac:dyDescent="0.2">
      <c r="Z25490" t="str">
        <f t="shared" si="398"/>
        <v/>
      </c>
    </row>
    <row r="25491" spans="26:26" x14ac:dyDescent="0.2">
      <c r="Z25491" t="str">
        <f t="shared" si="398"/>
        <v/>
      </c>
    </row>
    <row r="25492" spans="26:26" x14ac:dyDescent="0.2">
      <c r="Z25492" t="str">
        <f t="shared" si="398"/>
        <v/>
      </c>
    </row>
    <row r="25493" spans="26:26" x14ac:dyDescent="0.2">
      <c r="Z25493" t="str">
        <f t="shared" si="398"/>
        <v/>
      </c>
    </row>
    <row r="25494" spans="26:26" x14ac:dyDescent="0.2">
      <c r="Z25494" t="str">
        <f t="shared" si="398"/>
        <v/>
      </c>
    </row>
    <row r="25495" spans="26:26" x14ac:dyDescent="0.2">
      <c r="Z25495" t="str">
        <f t="shared" si="398"/>
        <v/>
      </c>
    </row>
    <row r="25496" spans="26:26" x14ac:dyDescent="0.2">
      <c r="Z25496" t="str">
        <f t="shared" si="398"/>
        <v/>
      </c>
    </row>
    <row r="25497" spans="26:26" x14ac:dyDescent="0.2">
      <c r="Z25497" t="str">
        <f t="shared" si="398"/>
        <v/>
      </c>
    </row>
    <row r="25498" spans="26:26" x14ac:dyDescent="0.2">
      <c r="Z25498" t="str">
        <f t="shared" si="398"/>
        <v/>
      </c>
    </row>
    <row r="25499" spans="26:26" x14ac:dyDescent="0.2">
      <c r="Z25499" t="str">
        <f t="shared" si="398"/>
        <v/>
      </c>
    </row>
    <row r="25500" spans="26:26" x14ac:dyDescent="0.2">
      <c r="Z25500" t="str">
        <f t="shared" si="398"/>
        <v/>
      </c>
    </row>
    <row r="25501" spans="26:26" x14ac:dyDescent="0.2">
      <c r="Z25501" t="str">
        <f t="shared" si="398"/>
        <v/>
      </c>
    </row>
    <row r="25502" spans="26:26" x14ac:dyDescent="0.2">
      <c r="Z25502" t="str">
        <f t="shared" si="398"/>
        <v/>
      </c>
    </row>
    <row r="25503" spans="26:26" x14ac:dyDescent="0.2">
      <c r="Z25503" t="str">
        <f t="shared" si="398"/>
        <v/>
      </c>
    </row>
    <row r="25504" spans="26:26" x14ac:dyDescent="0.2">
      <c r="Z25504" t="str">
        <f t="shared" si="398"/>
        <v/>
      </c>
    </row>
    <row r="25505" spans="26:26" x14ac:dyDescent="0.2">
      <c r="Z25505" t="str">
        <f t="shared" si="398"/>
        <v/>
      </c>
    </row>
    <row r="25506" spans="26:26" x14ac:dyDescent="0.2">
      <c r="Z25506" t="str">
        <f t="shared" si="398"/>
        <v/>
      </c>
    </row>
    <row r="25507" spans="26:26" x14ac:dyDescent="0.2">
      <c r="Z25507" t="str">
        <f t="shared" si="398"/>
        <v/>
      </c>
    </row>
    <row r="25508" spans="26:26" x14ac:dyDescent="0.2">
      <c r="Z25508" t="str">
        <f t="shared" si="398"/>
        <v/>
      </c>
    </row>
    <row r="25509" spans="26:26" x14ac:dyDescent="0.2">
      <c r="Z25509" t="str">
        <f t="shared" si="398"/>
        <v/>
      </c>
    </row>
    <row r="25510" spans="26:26" x14ac:dyDescent="0.2">
      <c r="Z25510" t="str">
        <f t="shared" si="398"/>
        <v/>
      </c>
    </row>
    <row r="25511" spans="26:26" x14ac:dyDescent="0.2">
      <c r="Z25511" t="str">
        <f t="shared" si="398"/>
        <v/>
      </c>
    </row>
    <row r="25512" spans="26:26" x14ac:dyDescent="0.2">
      <c r="Z25512" t="str">
        <f t="shared" si="398"/>
        <v/>
      </c>
    </row>
    <row r="25513" spans="26:26" x14ac:dyDescent="0.2">
      <c r="Z25513" t="str">
        <f t="shared" si="398"/>
        <v/>
      </c>
    </row>
    <row r="25514" spans="26:26" x14ac:dyDescent="0.2">
      <c r="Z25514" t="str">
        <f t="shared" si="398"/>
        <v/>
      </c>
    </row>
    <row r="25515" spans="26:26" x14ac:dyDescent="0.2">
      <c r="Z25515" t="str">
        <f t="shared" si="398"/>
        <v/>
      </c>
    </row>
    <row r="25516" spans="26:26" x14ac:dyDescent="0.2">
      <c r="Z25516" t="str">
        <f t="shared" si="398"/>
        <v/>
      </c>
    </row>
    <row r="25517" spans="26:26" x14ac:dyDescent="0.2">
      <c r="Z25517" t="str">
        <f t="shared" si="398"/>
        <v/>
      </c>
    </row>
    <row r="25518" spans="26:26" x14ac:dyDescent="0.2">
      <c r="Z25518" t="str">
        <f t="shared" si="398"/>
        <v/>
      </c>
    </row>
    <row r="25519" spans="26:26" x14ac:dyDescent="0.2">
      <c r="Z25519" t="str">
        <f t="shared" si="398"/>
        <v/>
      </c>
    </row>
    <row r="25520" spans="26:26" x14ac:dyDescent="0.2">
      <c r="Z25520" t="str">
        <f t="shared" si="398"/>
        <v/>
      </c>
    </row>
    <row r="25521" spans="26:26" x14ac:dyDescent="0.2">
      <c r="Z25521" t="str">
        <f t="shared" si="398"/>
        <v/>
      </c>
    </row>
    <row r="25522" spans="26:26" x14ac:dyDescent="0.2">
      <c r="Z25522" t="str">
        <f t="shared" si="398"/>
        <v/>
      </c>
    </row>
    <row r="25523" spans="26:26" x14ac:dyDescent="0.2">
      <c r="Z25523" t="str">
        <f t="shared" si="398"/>
        <v/>
      </c>
    </row>
    <row r="25524" spans="26:26" x14ac:dyDescent="0.2">
      <c r="Z25524" t="str">
        <f t="shared" si="398"/>
        <v/>
      </c>
    </row>
    <row r="25525" spans="26:26" x14ac:dyDescent="0.2">
      <c r="Z25525" t="str">
        <f t="shared" si="398"/>
        <v/>
      </c>
    </row>
    <row r="25526" spans="26:26" x14ac:dyDescent="0.2">
      <c r="Z25526" t="str">
        <f t="shared" si="398"/>
        <v/>
      </c>
    </row>
    <row r="25527" spans="26:26" x14ac:dyDescent="0.2">
      <c r="Z25527" t="str">
        <f t="shared" si="398"/>
        <v/>
      </c>
    </row>
    <row r="25528" spans="26:26" x14ac:dyDescent="0.2">
      <c r="Z25528" t="str">
        <f t="shared" si="398"/>
        <v/>
      </c>
    </row>
    <row r="25529" spans="26:26" x14ac:dyDescent="0.2">
      <c r="Z25529" t="str">
        <f t="shared" si="398"/>
        <v/>
      </c>
    </row>
    <row r="25530" spans="26:26" x14ac:dyDescent="0.2">
      <c r="Z25530" t="str">
        <f t="shared" si="398"/>
        <v/>
      </c>
    </row>
    <row r="25531" spans="26:26" x14ac:dyDescent="0.2">
      <c r="Z25531" t="str">
        <f t="shared" si="398"/>
        <v/>
      </c>
    </row>
    <row r="25532" spans="26:26" x14ac:dyDescent="0.2">
      <c r="Z25532" t="str">
        <f t="shared" si="398"/>
        <v/>
      </c>
    </row>
    <row r="25533" spans="26:26" x14ac:dyDescent="0.2">
      <c r="Z25533" t="str">
        <f t="shared" si="398"/>
        <v/>
      </c>
    </row>
    <row r="25534" spans="26:26" x14ac:dyDescent="0.2">
      <c r="Z25534" t="str">
        <f t="shared" si="398"/>
        <v/>
      </c>
    </row>
    <row r="25535" spans="26:26" x14ac:dyDescent="0.2">
      <c r="Z25535" t="str">
        <f t="shared" si="398"/>
        <v/>
      </c>
    </row>
    <row r="25536" spans="26:26" x14ac:dyDescent="0.2">
      <c r="Z25536" t="str">
        <f t="shared" si="398"/>
        <v/>
      </c>
    </row>
    <row r="25537" spans="26:26" x14ac:dyDescent="0.2">
      <c r="Z25537" t="str">
        <f t="shared" si="398"/>
        <v/>
      </c>
    </row>
    <row r="25538" spans="26:26" x14ac:dyDescent="0.2">
      <c r="Z25538" t="str">
        <f t="shared" si="398"/>
        <v/>
      </c>
    </row>
    <row r="25539" spans="26:26" x14ac:dyDescent="0.2">
      <c r="Z25539" t="str">
        <f t="shared" ref="Z25539:Z25602" si="399">IF(K25539="","",IFERROR(VALUE(TRIM(MID(K25539,FIND(CHAR(167),SUBSTITUTE(K25539,"-",CHAR(167),LEN(K25539)-LEN(SUBSTITUTE(K25539,"-",""))))+1,100))),K25539))</f>
        <v/>
      </c>
    </row>
    <row r="25540" spans="26:26" x14ac:dyDescent="0.2">
      <c r="Z25540" t="str">
        <f t="shared" si="399"/>
        <v/>
      </c>
    </row>
    <row r="25541" spans="26:26" x14ac:dyDescent="0.2">
      <c r="Z25541" t="str">
        <f t="shared" si="399"/>
        <v/>
      </c>
    </row>
    <row r="25542" spans="26:26" x14ac:dyDescent="0.2">
      <c r="Z25542" t="str">
        <f t="shared" si="399"/>
        <v/>
      </c>
    </row>
    <row r="25543" spans="26:26" x14ac:dyDescent="0.2">
      <c r="Z25543" t="str">
        <f t="shared" si="399"/>
        <v/>
      </c>
    </row>
    <row r="25544" spans="26:26" x14ac:dyDescent="0.2">
      <c r="Z25544" t="str">
        <f t="shared" si="399"/>
        <v/>
      </c>
    </row>
    <row r="25545" spans="26:26" x14ac:dyDescent="0.2">
      <c r="Z25545" t="str">
        <f t="shared" si="399"/>
        <v/>
      </c>
    </row>
    <row r="25546" spans="26:26" x14ac:dyDescent="0.2">
      <c r="Z25546" t="str">
        <f t="shared" si="399"/>
        <v/>
      </c>
    </row>
    <row r="25547" spans="26:26" x14ac:dyDescent="0.2">
      <c r="Z25547" t="str">
        <f t="shared" si="399"/>
        <v/>
      </c>
    </row>
    <row r="25548" spans="26:26" x14ac:dyDescent="0.2">
      <c r="Z25548" t="str">
        <f t="shared" si="399"/>
        <v/>
      </c>
    </row>
    <row r="25549" spans="26:26" x14ac:dyDescent="0.2">
      <c r="Z25549" t="str">
        <f t="shared" si="399"/>
        <v/>
      </c>
    </row>
    <row r="25550" spans="26:26" x14ac:dyDescent="0.2">
      <c r="Z25550" t="str">
        <f t="shared" si="399"/>
        <v/>
      </c>
    </row>
    <row r="25551" spans="26:26" x14ac:dyDescent="0.2">
      <c r="Z25551" t="str">
        <f t="shared" si="399"/>
        <v/>
      </c>
    </row>
    <row r="25552" spans="26:26" x14ac:dyDescent="0.2">
      <c r="Z25552" t="str">
        <f t="shared" si="399"/>
        <v/>
      </c>
    </row>
    <row r="25553" spans="26:26" x14ac:dyDescent="0.2">
      <c r="Z25553" t="str">
        <f t="shared" si="399"/>
        <v/>
      </c>
    </row>
    <row r="25554" spans="26:26" x14ac:dyDescent="0.2">
      <c r="Z25554" t="str">
        <f t="shared" si="399"/>
        <v/>
      </c>
    </row>
    <row r="25555" spans="26:26" x14ac:dyDescent="0.2">
      <c r="Z25555" t="str">
        <f t="shared" si="399"/>
        <v/>
      </c>
    </row>
    <row r="25556" spans="26:26" x14ac:dyDescent="0.2">
      <c r="Z25556" t="str">
        <f t="shared" si="399"/>
        <v/>
      </c>
    </row>
    <row r="25557" spans="26:26" x14ac:dyDescent="0.2">
      <c r="Z25557" t="str">
        <f t="shared" si="399"/>
        <v/>
      </c>
    </row>
    <row r="25558" spans="26:26" x14ac:dyDescent="0.2">
      <c r="Z25558" t="str">
        <f t="shared" si="399"/>
        <v/>
      </c>
    </row>
    <row r="25559" spans="26:26" x14ac:dyDescent="0.2">
      <c r="Z25559" t="str">
        <f t="shared" si="399"/>
        <v/>
      </c>
    </row>
    <row r="25560" spans="26:26" x14ac:dyDescent="0.2">
      <c r="Z25560" t="str">
        <f t="shared" si="399"/>
        <v/>
      </c>
    </row>
    <row r="25561" spans="26:26" x14ac:dyDescent="0.2">
      <c r="Z25561" t="str">
        <f t="shared" si="399"/>
        <v/>
      </c>
    </row>
    <row r="25562" spans="26:26" x14ac:dyDescent="0.2">
      <c r="Z25562" t="str">
        <f t="shared" si="399"/>
        <v/>
      </c>
    </row>
    <row r="25563" spans="26:26" x14ac:dyDescent="0.2">
      <c r="Z25563" t="str">
        <f t="shared" si="399"/>
        <v/>
      </c>
    </row>
    <row r="25564" spans="26:26" x14ac:dyDescent="0.2">
      <c r="Z25564" t="str">
        <f t="shared" si="399"/>
        <v/>
      </c>
    </row>
    <row r="25565" spans="26:26" x14ac:dyDescent="0.2">
      <c r="Z25565" t="str">
        <f t="shared" si="399"/>
        <v/>
      </c>
    </row>
    <row r="25566" spans="26:26" x14ac:dyDescent="0.2">
      <c r="Z25566" t="str">
        <f t="shared" si="399"/>
        <v/>
      </c>
    </row>
    <row r="25567" spans="26:26" x14ac:dyDescent="0.2">
      <c r="Z25567" t="str">
        <f t="shared" si="399"/>
        <v/>
      </c>
    </row>
    <row r="25568" spans="26:26" x14ac:dyDescent="0.2">
      <c r="Z25568" t="str">
        <f t="shared" si="399"/>
        <v/>
      </c>
    </row>
    <row r="25569" spans="26:26" x14ac:dyDescent="0.2">
      <c r="Z25569" t="str">
        <f t="shared" si="399"/>
        <v/>
      </c>
    </row>
    <row r="25570" spans="26:26" x14ac:dyDescent="0.2">
      <c r="Z25570" t="str">
        <f t="shared" si="399"/>
        <v/>
      </c>
    </row>
    <row r="25571" spans="26:26" x14ac:dyDescent="0.2">
      <c r="Z25571" t="str">
        <f t="shared" si="399"/>
        <v/>
      </c>
    </row>
    <row r="25572" spans="26:26" x14ac:dyDescent="0.2">
      <c r="Z25572" t="str">
        <f t="shared" si="399"/>
        <v/>
      </c>
    </row>
    <row r="25573" spans="26:26" x14ac:dyDescent="0.2">
      <c r="Z25573" t="str">
        <f t="shared" si="399"/>
        <v/>
      </c>
    </row>
    <row r="25574" spans="26:26" x14ac:dyDescent="0.2">
      <c r="Z25574" t="str">
        <f t="shared" si="399"/>
        <v/>
      </c>
    </row>
    <row r="25575" spans="26:26" x14ac:dyDescent="0.2">
      <c r="Z25575" t="str">
        <f t="shared" si="399"/>
        <v/>
      </c>
    </row>
    <row r="25576" spans="26:26" x14ac:dyDescent="0.2">
      <c r="Z25576" t="str">
        <f t="shared" si="399"/>
        <v/>
      </c>
    </row>
    <row r="25577" spans="26:26" x14ac:dyDescent="0.2">
      <c r="Z25577" t="str">
        <f t="shared" si="399"/>
        <v/>
      </c>
    </row>
    <row r="25578" spans="26:26" x14ac:dyDescent="0.2">
      <c r="Z25578" t="str">
        <f t="shared" si="399"/>
        <v/>
      </c>
    </row>
    <row r="25579" spans="26:26" x14ac:dyDescent="0.2">
      <c r="Z25579" t="str">
        <f t="shared" si="399"/>
        <v/>
      </c>
    </row>
    <row r="25580" spans="26:26" x14ac:dyDescent="0.2">
      <c r="Z25580" t="str">
        <f t="shared" si="399"/>
        <v/>
      </c>
    </row>
    <row r="25581" spans="26:26" x14ac:dyDescent="0.2">
      <c r="Z25581" t="str">
        <f t="shared" si="399"/>
        <v/>
      </c>
    </row>
    <row r="25582" spans="26:26" x14ac:dyDescent="0.2">
      <c r="Z25582" t="str">
        <f t="shared" si="399"/>
        <v/>
      </c>
    </row>
    <row r="25583" spans="26:26" x14ac:dyDescent="0.2">
      <c r="Z25583" t="str">
        <f t="shared" si="399"/>
        <v/>
      </c>
    </row>
    <row r="25584" spans="26:26" x14ac:dyDescent="0.2">
      <c r="Z25584" t="str">
        <f t="shared" si="399"/>
        <v/>
      </c>
    </row>
    <row r="25585" spans="26:26" x14ac:dyDescent="0.2">
      <c r="Z25585" t="str">
        <f t="shared" si="399"/>
        <v/>
      </c>
    </row>
    <row r="25586" spans="26:26" x14ac:dyDescent="0.2">
      <c r="Z25586" t="str">
        <f t="shared" si="399"/>
        <v/>
      </c>
    </row>
    <row r="25587" spans="26:26" x14ac:dyDescent="0.2">
      <c r="Z25587" t="str">
        <f t="shared" si="399"/>
        <v/>
      </c>
    </row>
    <row r="25588" spans="26:26" x14ac:dyDescent="0.2">
      <c r="Z25588" t="str">
        <f t="shared" si="399"/>
        <v/>
      </c>
    </row>
    <row r="25589" spans="26:26" x14ac:dyDescent="0.2">
      <c r="Z25589" t="str">
        <f t="shared" si="399"/>
        <v/>
      </c>
    </row>
    <row r="25590" spans="26:26" x14ac:dyDescent="0.2">
      <c r="Z25590" t="str">
        <f t="shared" si="399"/>
        <v/>
      </c>
    </row>
    <row r="25591" spans="26:26" x14ac:dyDescent="0.2">
      <c r="Z25591" t="str">
        <f t="shared" si="399"/>
        <v/>
      </c>
    </row>
    <row r="25592" spans="26:26" x14ac:dyDescent="0.2">
      <c r="Z25592" t="str">
        <f t="shared" si="399"/>
        <v/>
      </c>
    </row>
    <row r="25593" spans="26:26" x14ac:dyDescent="0.2">
      <c r="Z25593" t="str">
        <f t="shared" si="399"/>
        <v/>
      </c>
    </row>
    <row r="25594" spans="26:26" x14ac:dyDescent="0.2">
      <c r="Z25594" t="str">
        <f t="shared" si="399"/>
        <v/>
      </c>
    </row>
    <row r="25595" spans="26:26" x14ac:dyDescent="0.2">
      <c r="Z25595" t="str">
        <f t="shared" si="399"/>
        <v/>
      </c>
    </row>
    <row r="25596" spans="26:26" x14ac:dyDescent="0.2">
      <c r="Z25596" t="str">
        <f t="shared" si="399"/>
        <v/>
      </c>
    </row>
    <row r="25597" spans="26:26" x14ac:dyDescent="0.2">
      <c r="Z25597" t="str">
        <f t="shared" si="399"/>
        <v/>
      </c>
    </row>
    <row r="25598" spans="26:26" x14ac:dyDescent="0.2">
      <c r="Z25598" t="str">
        <f t="shared" si="399"/>
        <v/>
      </c>
    </row>
    <row r="25599" spans="26:26" x14ac:dyDescent="0.2">
      <c r="Z25599" t="str">
        <f t="shared" si="399"/>
        <v/>
      </c>
    </row>
    <row r="25600" spans="26:26" x14ac:dyDescent="0.2">
      <c r="Z25600" t="str">
        <f t="shared" si="399"/>
        <v/>
      </c>
    </row>
    <row r="25601" spans="26:26" x14ac:dyDescent="0.2">
      <c r="Z25601" t="str">
        <f t="shared" si="399"/>
        <v/>
      </c>
    </row>
    <row r="25602" spans="26:26" x14ac:dyDescent="0.2">
      <c r="Z25602" t="str">
        <f t="shared" si="399"/>
        <v/>
      </c>
    </row>
    <row r="25603" spans="26:26" x14ac:dyDescent="0.2">
      <c r="Z25603" t="str">
        <f t="shared" ref="Z25603:Z25666" si="400">IF(K25603="","",IFERROR(VALUE(TRIM(MID(K25603,FIND(CHAR(167),SUBSTITUTE(K25603,"-",CHAR(167),LEN(K25603)-LEN(SUBSTITUTE(K25603,"-",""))))+1,100))),K25603))</f>
        <v/>
      </c>
    </row>
    <row r="25604" spans="26:26" x14ac:dyDescent="0.2">
      <c r="Z25604" t="str">
        <f t="shared" si="400"/>
        <v/>
      </c>
    </row>
    <row r="25605" spans="26:26" x14ac:dyDescent="0.2">
      <c r="Z25605" t="str">
        <f t="shared" si="400"/>
        <v/>
      </c>
    </row>
    <row r="25606" spans="26:26" x14ac:dyDescent="0.2">
      <c r="Z25606" t="str">
        <f t="shared" si="400"/>
        <v/>
      </c>
    </row>
    <row r="25607" spans="26:26" x14ac:dyDescent="0.2">
      <c r="Z25607" t="str">
        <f t="shared" si="400"/>
        <v/>
      </c>
    </row>
    <row r="25608" spans="26:26" x14ac:dyDescent="0.2">
      <c r="Z25608" t="str">
        <f t="shared" si="400"/>
        <v/>
      </c>
    </row>
    <row r="25609" spans="26:26" x14ac:dyDescent="0.2">
      <c r="Z25609" t="str">
        <f t="shared" si="400"/>
        <v/>
      </c>
    </row>
    <row r="25610" spans="26:26" x14ac:dyDescent="0.2">
      <c r="Z25610" t="str">
        <f t="shared" si="400"/>
        <v/>
      </c>
    </row>
    <row r="25611" spans="26:26" x14ac:dyDescent="0.2">
      <c r="Z25611" t="str">
        <f t="shared" si="400"/>
        <v/>
      </c>
    </row>
    <row r="25612" spans="26:26" x14ac:dyDescent="0.2">
      <c r="Z25612" t="str">
        <f t="shared" si="400"/>
        <v/>
      </c>
    </row>
    <row r="25613" spans="26:26" x14ac:dyDescent="0.2">
      <c r="Z25613" t="str">
        <f t="shared" si="400"/>
        <v/>
      </c>
    </row>
    <row r="25614" spans="26:26" x14ac:dyDescent="0.2">
      <c r="Z25614" t="str">
        <f t="shared" si="400"/>
        <v/>
      </c>
    </row>
    <row r="25615" spans="26:26" x14ac:dyDescent="0.2">
      <c r="Z25615" t="str">
        <f t="shared" si="400"/>
        <v/>
      </c>
    </row>
    <row r="25616" spans="26:26" x14ac:dyDescent="0.2">
      <c r="Z25616" t="str">
        <f t="shared" si="400"/>
        <v/>
      </c>
    </row>
    <row r="25617" spans="26:26" x14ac:dyDescent="0.2">
      <c r="Z25617" t="str">
        <f t="shared" si="400"/>
        <v/>
      </c>
    </row>
    <row r="25618" spans="26:26" x14ac:dyDescent="0.2">
      <c r="Z25618" t="str">
        <f t="shared" si="400"/>
        <v/>
      </c>
    </row>
    <row r="25619" spans="26:26" x14ac:dyDescent="0.2">
      <c r="Z25619" t="str">
        <f t="shared" si="400"/>
        <v/>
      </c>
    </row>
    <row r="25620" spans="26:26" x14ac:dyDescent="0.2">
      <c r="Z25620" t="str">
        <f t="shared" si="400"/>
        <v/>
      </c>
    </row>
    <row r="25621" spans="26:26" x14ac:dyDescent="0.2">
      <c r="Z25621" t="str">
        <f t="shared" si="400"/>
        <v/>
      </c>
    </row>
    <row r="25622" spans="26:26" x14ac:dyDescent="0.2">
      <c r="Z25622" t="str">
        <f t="shared" si="400"/>
        <v/>
      </c>
    </row>
    <row r="25623" spans="26:26" x14ac:dyDescent="0.2">
      <c r="Z25623" t="str">
        <f t="shared" si="400"/>
        <v/>
      </c>
    </row>
    <row r="25624" spans="26:26" x14ac:dyDescent="0.2">
      <c r="Z25624" t="str">
        <f t="shared" si="400"/>
        <v/>
      </c>
    </row>
    <row r="25625" spans="26:26" x14ac:dyDescent="0.2">
      <c r="Z25625" t="str">
        <f t="shared" si="400"/>
        <v/>
      </c>
    </row>
    <row r="25626" spans="26:26" x14ac:dyDescent="0.2">
      <c r="Z25626" t="str">
        <f t="shared" si="400"/>
        <v/>
      </c>
    </row>
    <row r="25627" spans="26:26" x14ac:dyDescent="0.2">
      <c r="Z25627" t="str">
        <f t="shared" si="400"/>
        <v/>
      </c>
    </row>
    <row r="25628" spans="26:26" x14ac:dyDescent="0.2">
      <c r="Z25628" t="str">
        <f t="shared" si="400"/>
        <v/>
      </c>
    </row>
    <row r="25629" spans="26:26" x14ac:dyDescent="0.2">
      <c r="Z25629" t="str">
        <f t="shared" si="400"/>
        <v/>
      </c>
    </row>
    <row r="25630" spans="26:26" x14ac:dyDescent="0.2">
      <c r="Z25630" t="str">
        <f t="shared" si="400"/>
        <v/>
      </c>
    </row>
    <row r="25631" spans="26:26" x14ac:dyDescent="0.2">
      <c r="Z25631" t="str">
        <f t="shared" si="400"/>
        <v/>
      </c>
    </row>
    <row r="25632" spans="26:26" x14ac:dyDescent="0.2">
      <c r="Z25632" t="str">
        <f t="shared" si="400"/>
        <v/>
      </c>
    </row>
    <row r="25633" spans="26:26" x14ac:dyDescent="0.2">
      <c r="Z25633" t="str">
        <f t="shared" si="400"/>
        <v/>
      </c>
    </row>
    <row r="25634" spans="26:26" x14ac:dyDescent="0.2">
      <c r="Z25634" t="str">
        <f t="shared" si="400"/>
        <v/>
      </c>
    </row>
    <row r="25635" spans="26:26" x14ac:dyDescent="0.2">
      <c r="Z25635" t="str">
        <f t="shared" si="400"/>
        <v/>
      </c>
    </row>
    <row r="25636" spans="26:26" x14ac:dyDescent="0.2">
      <c r="Z25636" t="str">
        <f t="shared" si="400"/>
        <v/>
      </c>
    </row>
    <row r="25637" spans="26:26" x14ac:dyDescent="0.2">
      <c r="Z25637" t="str">
        <f t="shared" si="400"/>
        <v/>
      </c>
    </row>
    <row r="25638" spans="26:26" x14ac:dyDescent="0.2">
      <c r="Z25638" t="str">
        <f t="shared" si="400"/>
        <v/>
      </c>
    </row>
    <row r="25639" spans="26:26" x14ac:dyDescent="0.2">
      <c r="Z25639" t="str">
        <f t="shared" si="400"/>
        <v/>
      </c>
    </row>
    <row r="25640" spans="26:26" x14ac:dyDescent="0.2">
      <c r="Z25640" t="str">
        <f t="shared" si="400"/>
        <v/>
      </c>
    </row>
    <row r="25641" spans="26:26" x14ac:dyDescent="0.2">
      <c r="Z25641" t="str">
        <f t="shared" si="400"/>
        <v/>
      </c>
    </row>
    <row r="25642" spans="26:26" x14ac:dyDescent="0.2">
      <c r="Z25642" t="str">
        <f t="shared" si="400"/>
        <v/>
      </c>
    </row>
    <row r="25643" spans="26:26" x14ac:dyDescent="0.2">
      <c r="Z25643" t="str">
        <f t="shared" si="400"/>
        <v/>
      </c>
    </row>
    <row r="25644" spans="26:26" x14ac:dyDescent="0.2">
      <c r="Z25644" t="str">
        <f t="shared" si="400"/>
        <v/>
      </c>
    </row>
    <row r="25645" spans="26:26" x14ac:dyDescent="0.2">
      <c r="Z25645" t="str">
        <f t="shared" si="400"/>
        <v/>
      </c>
    </row>
    <row r="25646" spans="26:26" x14ac:dyDescent="0.2">
      <c r="Z25646" t="str">
        <f t="shared" si="400"/>
        <v/>
      </c>
    </row>
    <row r="25647" spans="26:26" x14ac:dyDescent="0.2">
      <c r="Z25647" t="str">
        <f t="shared" si="400"/>
        <v/>
      </c>
    </row>
    <row r="25648" spans="26:26" x14ac:dyDescent="0.2">
      <c r="Z25648" t="str">
        <f t="shared" si="400"/>
        <v/>
      </c>
    </row>
    <row r="25649" spans="26:26" x14ac:dyDescent="0.2">
      <c r="Z25649" t="str">
        <f t="shared" si="400"/>
        <v/>
      </c>
    </row>
    <row r="25650" spans="26:26" x14ac:dyDescent="0.2">
      <c r="Z25650" t="str">
        <f t="shared" si="400"/>
        <v/>
      </c>
    </row>
    <row r="25651" spans="26:26" x14ac:dyDescent="0.2">
      <c r="Z25651" t="str">
        <f t="shared" si="400"/>
        <v/>
      </c>
    </row>
    <row r="25652" spans="26:26" x14ac:dyDescent="0.2">
      <c r="Z25652" t="str">
        <f t="shared" si="400"/>
        <v/>
      </c>
    </row>
    <row r="25653" spans="26:26" x14ac:dyDescent="0.2">
      <c r="Z25653" t="str">
        <f t="shared" si="400"/>
        <v/>
      </c>
    </row>
    <row r="25654" spans="26:26" x14ac:dyDescent="0.2">
      <c r="Z25654" t="str">
        <f t="shared" si="400"/>
        <v/>
      </c>
    </row>
    <row r="25655" spans="26:26" x14ac:dyDescent="0.2">
      <c r="Z25655" t="str">
        <f t="shared" si="400"/>
        <v/>
      </c>
    </row>
    <row r="25656" spans="26:26" x14ac:dyDescent="0.2">
      <c r="Z25656" t="str">
        <f t="shared" si="400"/>
        <v/>
      </c>
    </row>
    <row r="25657" spans="26:26" x14ac:dyDescent="0.2">
      <c r="Z25657" t="str">
        <f t="shared" si="400"/>
        <v/>
      </c>
    </row>
    <row r="25658" spans="26:26" x14ac:dyDescent="0.2">
      <c r="Z25658" t="str">
        <f t="shared" si="400"/>
        <v/>
      </c>
    </row>
    <row r="25659" spans="26:26" x14ac:dyDescent="0.2">
      <c r="Z25659" t="str">
        <f t="shared" si="400"/>
        <v/>
      </c>
    </row>
    <row r="25660" spans="26:26" x14ac:dyDescent="0.2">
      <c r="Z25660" t="str">
        <f t="shared" si="400"/>
        <v/>
      </c>
    </row>
    <row r="25661" spans="26:26" x14ac:dyDescent="0.2">
      <c r="Z25661" t="str">
        <f t="shared" si="400"/>
        <v/>
      </c>
    </row>
    <row r="25662" spans="26:26" x14ac:dyDescent="0.2">
      <c r="Z25662" t="str">
        <f t="shared" si="400"/>
        <v/>
      </c>
    </row>
    <row r="25663" spans="26:26" x14ac:dyDescent="0.2">
      <c r="Z25663" t="str">
        <f t="shared" si="400"/>
        <v/>
      </c>
    </row>
    <row r="25664" spans="26:26" x14ac:dyDescent="0.2">
      <c r="Z25664" t="str">
        <f t="shared" si="400"/>
        <v/>
      </c>
    </row>
    <row r="25665" spans="26:26" x14ac:dyDescent="0.2">
      <c r="Z25665" t="str">
        <f t="shared" si="400"/>
        <v/>
      </c>
    </row>
    <row r="25666" spans="26:26" x14ac:dyDescent="0.2">
      <c r="Z25666" t="str">
        <f t="shared" si="400"/>
        <v/>
      </c>
    </row>
    <row r="25667" spans="26:26" x14ac:dyDescent="0.2">
      <c r="Z25667" t="str">
        <f t="shared" ref="Z25667:Z25730" si="401">IF(K25667="","",IFERROR(VALUE(TRIM(MID(K25667,FIND(CHAR(167),SUBSTITUTE(K25667,"-",CHAR(167),LEN(K25667)-LEN(SUBSTITUTE(K25667,"-",""))))+1,100))),K25667))</f>
        <v/>
      </c>
    </row>
    <row r="25668" spans="26:26" x14ac:dyDescent="0.2">
      <c r="Z25668" t="str">
        <f t="shared" si="401"/>
        <v/>
      </c>
    </row>
    <row r="25669" spans="26:26" x14ac:dyDescent="0.2">
      <c r="Z25669" t="str">
        <f t="shared" si="401"/>
        <v/>
      </c>
    </row>
    <row r="25670" spans="26:26" x14ac:dyDescent="0.2">
      <c r="Z25670" t="str">
        <f t="shared" si="401"/>
        <v/>
      </c>
    </row>
    <row r="25671" spans="26:26" x14ac:dyDescent="0.2">
      <c r="Z25671" t="str">
        <f t="shared" si="401"/>
        <v/>
      </c>
    </row>
    <row r="25672" spans="26:26" x14ac:dyDescent="0.2">
      <c r="Z25672" t="str">
        <f t="shared" si="401"/>
        <v/>
      </c>
    </row>
    <row r="25673" spans="26:26" x14ac:dyDescent="0.2">
      <c r="Z25673" t="str">
        <f t="shared" si="401"/>
        <v/>
      </c>
    </row>
    <row r="25674" spans="26:26" x14ac:dyDescent="0.2">
      <c r="Z25674" t="str">
        <f t="shared" si="401"/>
        <v/>
      </c>
    </row>
    <row r="25675" spans="26:26" x14ac:dyDescent="0.2">
      <c r="Z25675" t="str">
        <f t="shared" si="401"/>
        <v/>
      </c>
    </row>
    <row r="25676" spans="26:26" x14ac:dyDescent="0.2">
      <c r="Z25676" t="str">
        <f t="shared" si="401"/>
        <v/>
      </c>
    </row>
    <row r="25677" spans="26:26" x14ac:dyDescent="0.2">
      <c r="Z25677" t="str">
        <f t="shared" si="401"/>
        <v/>
      </c>
    </row>
    <row r="25678" spans="26:26" x14ac:dyDescent="0.2">
      <c r="Z25678" t="str">
        <f t="shared" si="401"/>
        <v/>
      </c>
    </row>
    <row r="25679" spans="26:26" x14ac:dyDescent="0.2">
      <c r="Z25679" t="str">
        <f t="shared" si="401"/>
        <v/>
      </c>
    </row>
    <row r="25680" spans="26:26" x14ac:dyDescent="0.2">
      <c r="Z25680" t="str">
        <f t="shared" si="401"/>
        <v/>
      </c>
    </row>
    <row r="25681" spans="26:26" x14ac:dyDescent="0.2">
      <c r="Z25681" t="str">
        <f t="shared" si="401"/>
        <v/>
      </c>
    </row>
    <row r="25682" spans="26:26" x14ac:dyDescent="0.2">
      <c r="Z25682" t="str">
        <f t="shared" si="401"/>
        <v/>
      </c>
    </row>
    <row r="25683" spans="26:26" x14ac:dyDescent="0.2">
      <c r="Z25683" t="str">
        <f t="shared" si="401"/>
        <v/>
      </c>
    </row>
    <row r="25684" spans="26:26" x14ac:dyDescent="0.2">
      <c r="Z25684" t="str">
        <f t="shared" si="401"/>
        <v/>
      </c>
    </row>
    <row r="25685" spans="26:26" x14ac:dyDescent="0.2">
      <c r="Z25685" t="str">
        <f t="shared" si="401"/>
        <v/>
      </c>
    </row>
    <row r="25686" spans="26:26" x14ac:dyDescent="0.2">
      <c r="Z25686" t="str">
        <f t="shared" si="401"/>
        <v/>
      </c>
    </row>
    <row r="25687" spans="26:26" x14ac:dyDescent="0.2">
      <c r="Z25687" t="str">
        <f t="shared" si="401"/>
        <v/>
      </c>
    </row>
    <row r="25688" spans="26:26" x14ac:dyDescent="0.2">
      <c r="Z25688" t="str">
        <f t="shared" si="401"/>
        <v/>
      </c>
    </row>
    <row r="25689" spans="26:26" x14ac:dyDescent="0.2">
      <c r="Z25689" t="str">
        <f t="shared" si="401"/>
        <v/>
      </c>
    </row>
    <row r="25690" spans="26:26" x14ac:dyDescent="0.2">
      <c r="Z25690" t="str">
        <f t="shared" si="401"/>
        <v/>
      </c>
    </row>
    <row r="25691" spans="26:26" x14ac:dyDescent="0.2">
      <c r="Z25691" t="str">
        <f t="shared" si="401"/>
        <v/>
      </c>
    </row>
    <row r="25692" spans="26:26" x14ac:dyDescent="0.2">
      <c r="Z25692" t="str">
        <f t="shared" si="401"/>
        <v/>
      </c>
    </row>
    <row r="25693" spans="26:26" x14ac:dyDescent="0.2">
      <c r="Z25693" t="str">
        <f t="shared" si="401"/>
        <v/>
      </c>
    </row>
    <row r="25694" spans="26:26" x14ac:dyDescent="0.2">
      <c r="Z25694" t="str">
        <f t="shared" si="401"/>
        <v/>
      </c>
    </row>
    <row r="25695" spans="26:26" x14ac:dyDescent="0.2">
      <c r="Z25695" t="str">
        <f t="shared" si="401"/>
        <v/>
      </c>
    </row>
    <row r="25696" spans="26:26" x14ac:dyDescent="0.2">
      <c r="Z25696" t="str">
        <f t="shared" si="401"/>
        <v/>
      </c>
    </row>
    <row r="25697" spans="26:26" x14ac:dyDescent="0.2">
      <c r="Z25697" t="str">
        <f t="shared" si="401"/>
        <v/>
      </c>
    </row>
    <row r="25698" spans="26:26" x14ac:dyDescent="0.2">
      <c r="Z25698" t="str">
        <f t="shared" si="401"/>
        <v/>
      </c>
    </row>
    <row r="25699" spans="26:26" x14ac:dyDescent="0.2">
      <c r="Z25699" t="str">
        <f t="shared" si="401"/>
        <v/>
      </c>
    </row>
    <row r="25700" spans="26:26" x14ac:dyDescent="0.2">
      <c r="Z25700" t="str">
        <f t="shared" si="401"/>
        <v/>
      </c>
    </row>
    <row r="25701" spans="26:26" x14ac:dyDescent="0.2">
      <c r="Z25701" t="str">
        <f t="shared" si="401"/>
        <v/>
      </c>
    </row>
    <row r="25702" spans="26:26" x14ac:dyDescent="0.2">
      <c r="Z25702" t="str">
        <f t="shared" si="401"/>
        <v/>
      </c>
    </row>
    <row r="25703" spans="26:26" x14ac:dyDescent="0.2">
      <c r="Z25703" t="str">
        <f t="shared" si="401"/>
        <v/>
      </c>
    </row>
    <row r="25704" spans="26:26" x14ac:dyDescent="0.2">
      <c r="Z25704" t="str">
        <f t="shared" si="401"/>
        <v/>
      </c>
    </row>
    <row r="25705" spans="26:26" x14ac:dyDescent="0.2">
      <c r="Z25705" t="str">
        <f t="shared" si="401"/>
        <v/>
      </c>
    </row>
    <row r="25706" spans="26:26" x14ac:dyDescent="0.2">
      <c r="Z25706" t="str">
        <f t="shared" si="401"/>
        <v/>
      </c>
    </row>
    <row r="25707" spans="26:26" x14ac:dyDescent="0.2">
      <c r="Z25707" t="str">
        <f t="shared" si="401"/>
        <v/>
      </c>
    </row>
    <row r="25708" spans="26:26" x14ac:dyDescent="0.2">
      <c r="Z25708" t="str">
        <f t="shared" si="401"/>
        <v/>
      </c>
    </row>
    <row r="25709" spans="26:26" x14ac:dyDescent="0.2">
      <c r="Z25709" t="str">
        <f t="shared" si="401"/>
        <v/>
      </c>
    </row>
    <row r="25710" spans="26:26" x14ac:dyDescent="0.2">
      <c r="Z25710" t="str">
        <f t="shared" si="401"/>
        <v/>
      </c>
    </row>
    <row r="25711" spans="26:26" x14ac:dyDescent="0.2">
      <c r="Z25711" t="str">
        <f t="shared" si="401"/>
        <v/>
      </c>
    </row>
    <row r="25712" spans="26:26" x14ac:dyDescent="0.2">
      <c r="Z25712" t="str">
        <f t="shared" si="401"/>
        <v/>
      </c>
    </row>
    <row r="25713" spans="26:26" x14ac:dyDescent="0.2">
      <c r="Z25713" t="str">
        <f t="shared" si="401"/>
        <v/>
      </c>
    </row>
    <row r="25714" spans="26:26" x14ac:dyDescent="0.2">
      <c r="Z25714" t="str">
        <f t="shared" si="401"/>
        <v/>
      </c>
    </row>
    <row r="25715" spans="26:26" x14ac:dyDescent="0.2">
      <c r="Z25715" t="str">
        <f t="shared" si="401"/>
        <v/>
      </c>
    </row>
    <row r="25716" spans="26:26" x14ac:dyDescent="0.2">
      <c r="Z25716" t="str">
        <f t="shared" si="401"/>
        <v/>
      </c>
    </row>
    <row r="25717" spans="26:26" x14ac:dyDescent="0.2">
      <c r="Z25717" t="str">
        <f t="shared" si="401"/>
        <v/>
      </c>
    </row>
    <row r="25718" spans="26:26" x14ac:dyDescent="0.2">
      <c r="Z25718" t="str">
        <f t="shared" si="401"/>
        <v/>
      </c>
    </row>
    <row r="25719" spans="26:26" x14ac:dyDescent="0.2">
      <c r="Z25719" t="str">
        <f t="shared" si="401"/>
        <v/>
      </c>
    </row>
    <row r="25720" spans="26:26" x14ac:dyDescent="0.2">
      <c r="Z25720" t="str">
        <f t="shared" si="401"/>
        <v/>
      </c>
    </row>
    <row r="25721" spans="26:26" x14ac:dyDescent="0.2">
      <c r="Z25721" t="str">
        <f t="shared" si="401"/>
        <v/>
      </c>
    </row>
    <row r="25722" spans="26:26" x14ac:dyDescent="0.2">
      <c r="Z25722" t="str">
        <f t="shared" si="401"/>
        <v/>
      </c>
    </row>
    <row r="25723" spans="26:26" x14ac:dyDescent="0.2">
      <c r="Z25723" t="str">
        <f t="shared" si="401"/>
        <v/>
      </c>
    </row>
    <row r="25724" spans="26:26" x14ac:dyDescent="0.2">
      <c r="Z25724" t="str">
        <f t="shared" si="401"/>
        <v/>
      </c>
    </row>
    <row r="25725" spans="26:26" x14ac:dyDescent="0.2">
      <c r="Z25725" t="str">
        <f t="shared" si="401"/>
        <v/>
      </c>
    </row>
    <row r="25726" spans="26:26" x14ac:dyDescent="0.2">
      <c r="Z25726" t="str">
        <f t="shared" si="401"/>
        <v/>
      </c>
    </row>
    <row r="25727" spans="26:26" x14ac:dyDescent="0.2">
      <c r="Z25727" t="str">
        <f t="shared" si="401"/>
        <v/>
      </c>
    </row>
    <row r="25728" spans="26:26" x14ac:dyDescent="0.2">
      <c r="Z25728" t="str">
        <f t="shared" si="401"/>
        <v/>
      </c>
    </row>
    <row r="25729" spans="26:26" x14ac:dyDescent="0.2">
      <c r="Z25729" t="str">
        <f t="shared" si="401"/>
        <v/>
      </c>
    </row>
    <row r="25730" spans="26:26" x14ac:dyDescent="0.2">
      <c r="Z25730" t="str">
        <f t="shared" si="401"/>
        <v/>
      </c>
    </row>
    <row r="25731" spans="26:26" x14ac:dyDescent="0.2">
      <c r="Z25731" t="str">
        <f t="shared" ref="Z25731:Z25794" si="402">IF(K25731="","",IFERROR(VALUE(TRIM(MID(K25731,FIND(CHAR(167),SUBSTITUTE(K25731,"-",CHAR(167),LEN(K25731)-LEN(SUBSTITUTE(K25731,"-",""))))+1,100))),K25731))</f>
        <v/>
      </c>
    </row>
    <row r="25732" spans="26:26" x14ac:dyDescent="0.2">
      <c r="Z25732" t="str">
        <f t="shared" si="402"/>
        <v/>
      </c>
    </row>
    <row r="25733" spans="26:26" x14ac:dyDescent="0.2">
      <c r="Z25733" t="str">
        <f t="shared" si="402"/>
        <v/>
      </c>
    </row>
    <row r="25734" spans="26:26" x14ac:dyDescent="0.2">
      <c r="Z25734" t="str">
        <f t="shared" si="402"/>
        <v/>
      </c>
    </row>
    <row r="25735" spans="26:26" x14ac:dyDescent="0.2">
      <c r="Z25735" t="str">
        <f t="shared" si="402"/>
        <v/>
      </c>
    </row>
    <row r="25736" spans="26:26" x14ac:dyDescent="0.2">
      <c r="Z25736" t="str">
        <f t="shared" si="402"/>
        <v/>
      </c>
    </row>
    <row r="25737" spans="26:26" x14ac:dyDescent="0.2">
      <c r="Z25737" t="str">
        <f t="shared" si="402"/>
        <v/>
      </c>
    </row>
    <row r="25738" spans="26:26" x14ac:dyDescent="0.2">
      <c r="Z25738" t="str">
        <f t="shared" si="402"/>
        <v/>
      </c>
    </row>
    <row r="25739" spans="26:26" x14ac:dyDescent="0.2">
      <c r="Z25739" t="str">
        <f t="shared" si="402"/>
        <v/>
      </c>
    </row>
    <row r="25740" spans="26:26" x14ac:dyDescent="0.2">
      <c r="Z25740" t="str">
        <f t="shared" si="402"/>
        <v/>
      </c>
    </row>
    <row r="25741" spans="26:26" x14ac:dyDescent="0.2">
      <c r="Z25741" t="str">
        <f t="shared" si="402"/>
        <v/>
      </c>
    </row>
    <row r="25742" spans="26:26" x14ac:dyDescent="0.2">
      <c r="Z25742" t="str">
        <f t="shared" si="402"/>
        <v/>
      </c>
    </row>
    <row r="25743" spans="26:26" x14ac:dyDescent="0.2">
      <c r="Z25743" t="str">
        <f t="shared" si="402"/>
        <v/>
      </c>
    </row>
    <row r="25744" spans="26:26" x14ac:dyDescent="0.2">
      <c r="Z25744" t="str">
        <f t="shared" si="402"/>
        <v/>
      </c>
    </row>
    <row r="25745" spans="26:26" x14ac:dyDescent="0.2">
      <c r="Z25745" t="str">
        <f t="shared" si="402"/>
        <v/>
      </c>
    </row>
    <row r="25746" spans="26:26" x14ac:dyDescent="0.2">
      <c r="Z25746" t="str">
        <f t="shared" si="402"/>
        <v/>
      </c>
    </row>
    <row r="25747" spans="26:26" x14ac:dyDescent="0.2">
      <c r="Z25747" t="str">
        <f t="shared" si="402"/>
        <v/>
      </c>
    </row>
    <row r="25748" spans="26:26" x14ac:dyDescent="0.2">
      <c r="Z25748" t="str">
        <f t="shared" si="402"/>
        <v/>
      </c>
    </row>
    <row r="25749" spans="26:26" x14ac:dyDescent="0.2">
      <c r="Z25749" t="str">
        <f t="shared" si="402"/>
        <v/>
      </c>
    </row>
    <row r="25750" spans="26:26" x14ac:dyDescent="0.2">
      <c r="Z25750" t="str">
        <f t="shared" si="402"/>
        <v/>
      </c>
    </row>
    <row r="25751" spans="26:26" x14ac:dyDescent="0.2">
      <c r="Z25751" t="str">
        <f t="shared" si="402"/>
        <v/>
      </c>
    </row>
    <row r="25752" spans="26:26" x14ac:dyDescent="0.2">
      <c r="Z25752" t="str">
        <f t="shared" si="402"/>
        <v/>
      </c>
    </row>
    <row r="25753" spans="26:26" x14ac:dyDescent="0.2">
      <c r="Z25753" t="str">
        <f t="shared" si="402"/>
        <v/>
      </c>
    </row>
    <row r="25754" spans="26:26" x14ac:dyDescent="0.2">
      <c r="Z25754" t="str">
        <f t="shared" si="402"/>
        <v/>
      </c>
    </row>
    <row r="25755" spans="26:26" x14ac:dyDescent="0.2">
      <c r="Z25755" t="str">
        <f t="shared" si="402"/>
        <v/>
      </c>
    </row>
    <row r="25756" spans="26:26" x14ac:dyDescent="0.2">
      <c r="Z25756" t="str">
        <f t="shared" si="402"/>
        <v/>
      </c>
    </row>
    <row r="25757" spans="26:26" x14ac:dyDescent="0.2">
      <c r="Z25757" t="str">
        <f t="shared" si="402"/>
        <v/>
      </c>
    </row>
    <row r="25758" spans="26:26" x14ac:dyDescent="0.2">
      <c r="Z25758" t="str">
        <f t="shared" si="402"/>
        <v/>
      </c>
    </row>
    <row r="25759" spans="26:26" x14ac:dyDescent="0.2">
      <c r="Z25759" t="str">
        <f t="shared" si="402"/>
        <v/>
      </c>
    </row>
    <row r="25760" spans="26:26" x14ac:dyDescent="0.2">
      <c r="Z25760" t="str">
        <f t="shared" si="402"/>
        <v/>
      </c>
    </row>
    <row r="25761" spans="26:26" x14ac:dyDescent="0.2">
      <c r="Z25761" t="str">
        <f t="shared" si="402"/>
        <v/>
      </c>
    </row>
    <row r="25762" spans="26:26" x14ac:dyDescent="0.2">
      <c r="Z25762" t="str">
        <f t="shared" si="402"/>
        <v/>
      </c>
    </row>
    <row r="25763" spans="26:26" x14ac:dyDescent="0.2">
      <c r="Z25763" t="str">
        <f t="shared" si="402"/>
        <v/>
      </c>
    </row>
    <row r="25764" spans="26:26" x14ac:dyDescent="0.2">
      <c r="Z25764" t="str">
        <f t="shared" si="402"/>
        <v/>
      </c>
    </row>
    <row r="25765" spans="26:26" x14ac:dyDescent="0.2">
      <c r="Z25765" t="str">
        <f t="shared" si="402"/>
        <v/>
      </c>
    </row>
    <row r="25766" spans="26:26" x14ac:dyDescent="0.2">
      <c r="Z25766" t="str">
        <f t="shared" si="402"/>
        <v/>
      </c>
    </row>
    <row r="25767" spans="26:26" x14ac:dyDescent="0.2">
      <c r="Z25767" t="str">
        <f t="shared" si="402"/>
        <v/>
      </c>
    </row>
    <row r="25768" spans="26:26" x14ac:dyDescent="0.2">
      <c r="Z25768" t="str">
        <f t="shared" si="402"/>
        <v/>
      </c>
    </row>
    <row r="25769" spans="26:26" x14ac:dyDescent="0.2">
      <c r="Z25769" t="str">
        <f t="shared" si="402"/>
        <v/>
      </c>
    </row>
    <row r="25770" spans="26:26" x14ac:dyDescent="0.2">
      <c r="Z25770" t="str">
        <f t="shared" si="402"/>
        <v/>
      </c>
    </row>
    <row r="25771" spans="26:26" x14ac:dyDescent="0.2">
      <c r="Z25771" t="str">
        <f t="shared" si="402"/>
        <v/>
      </c>
    </row>
    <row r="25772" spans="26:26" x14ac:dyDescent="0.2">
      <c r="Z25772" t="str">
        <f t="shared" si="402"/>
        <v/>
      </c>
    </row>
    <row r="25773" spans="26:26" x14ac:dyDescent="0.2">
      <c r="Z25773" t="str">
        <f t="shared" si="402"/>
        <v/>
      </c>
    </row>
    <row r="25774" spans="26:26" x14ac:dyDescent="0.2">
      <c r="Z25774" t="str">
        <f t="shared" si="402"/>
        <v/>
      </c>
    </row>
    <row r="25775" spans="26:26" x14ac:dyDescent="0.2">
      <c r="Z25775" t="str">
        <f t="shared" si="402"/>
        <v/>
      </c>
    </row>
    <row r="25776" spans="26:26" x14ac:dyDescent="0.2">
      <c r="Z25776" t="str">
        <f t="shared" si="402"/>
        <v/>
      </c>
    </row>
    <row r="25777" spans="26:26" x14ac:dyDescent="0.2">
      <c r="Z25777" t="str">
        <f t="shared" si="402"/>
        <v/>
      </c>
    </row>
    <row r="25778" spans="26:26" x14ac:dyDescent="0.2">
      <c r="Z25778" t="str">
        <f t="shared" si="402"/>
        <v/>
      </c>
    </row>
    <row r="25779" spans="26:26" x14ac:dyDescent="0.2">
      <c r="Z25779" t="str">
        <f t="shared" si="402"/>
        <v/>
      </c>
    </row>
    <row r="25780" spans="26:26" x14ac:dyDescent="0.2">
      <c r="Z25780" t="str">
        <f t="shared" si="402"/>
        <v/>
      </c>
    </row>
    <row r="25781" spans="26:26" x14ac:dyDescent="0.2">
      <c r="Z25781" t="str">
        <f t="shared" si="402"/>
        <v/>
      </c>
    </row>
    <row r="25782" spans="26:26" x14ac:dyDescent="0.2">
      <c r="Z25782" t="str">
        <f t="shared" si="402"/>
        <v/>
      </c>
    </row>
    <row r="25783" spans="26:26" x14ac:dyDescent="0.2">
      <c r="Z25783" t="str">
        <f t="shared" si="402"/>
        <v/>
      </c>
    </row>
    <row r="25784" spans="26:26" x14ac:dyDescent="0.2">
      <c r="Z25784" t="str">
        <f t="shared" si="402"/>
        <v/>
      </c>
    </row>
    <row r="25785" spans="26:26" x14ac:dyDescent="0.2">
      <c r="Z25785" t="str">
        <f t="shared" si="402"/>
        <v/>
      </c>
    </row>
    <row r="25786" spans="26:26" x14ac:dyDescent="0.2">
      <c r="Z25786" t="str">
        <f t="shared" si="402"/>
        <v/>
      </c>
    </row>
    <row r="25787" spans="26:26" x14ac:dyDescent="0.2">
      <c r="Z25787" t="str">
        <f t="shared" si="402"/>
        <v/>
      </c>
    </row>
    <row r="25788" spans="26:26" x14ac:dyDescent="0.2">
      <c r="Z25788" t="str">
        <f t="shared" si="402"/>
        <v/>
      </c>
    </row>
    <row r="25789" spans="26:26" x14ac:dyDescent="0.2">
      <c r="Z25789" t="str">
        <f t="shared" si="402"/>
        <v/>
      </c>
    </row>
    <row r="25790" spans="26:26" x14ac:dyDescent="0.2">
      <c r="Z25790" t="str">
        <f t="shared" si="402"/>
        <v/>
      </c>
    </row>
    <row r="25791" spans="26:26" x14ac:dyDescent="0.2">
      <c r="Z25791" t="str">
        <f t="shared" si="402"/>
        <v/>
      </c>
    </row>
    <row r="25792" spans="26:26" x14ac:dyDescent="0.2">
      <c r="Z25792" t="str">
        <f t="shared" si="402"/>
        <v/>
      </c>
    </row>
    <row r="25793" spans="26:26" x14ac:dyDescent="0.2">
      <c r="Z25793" t="str">
        <f t="shared" si="402"/>
        <v/>
      </c>
    </row>
    <row r="25794" spans="26:26" x14ac:dyDescent="0.2">
      <c r="Z25794" t="str">
        <f t="shared" si="402"/>
        <v/>
      </c>
    </row>
    <row r="25795" spans="26:26" x14ac:dyDescent="0.2">
      <c r="Z25795" t="str">
        <f t="shared" ref="Z25795:Z25858" si="403">IF(K25795="","",IFERROR(VALUE(TRIM(MID(K25795,FIND(CHAR(167),SUBSTITUTE(K25795,"-",CHAR(167),LEN(K25795)-LEN(SUBSTITUTE(K25795,"-",""))))+1,100))),K25795))</f>
        <v/>
      </c>
    </row>
    <row r="25796" spans="26:26" x14ac:dyDescent="0.2">
      <c r="Z25796" t="str">
        <f t="shared" si="403"/>
        <v/>
      </c>
    </row>
    <row r="25797" spans="26:26" x14ac:dyDescent="0.2">
      <c r="Z25797" t="str">
        <f t="shared" si="403"/>
        <v/>
      </c>
    </row>
    <row r="25798" spans="26:26" x14ac:dyDescent="0.2">
      <c r="Z25798" t="str">
        <f t="shared" si="403"/>
        <v/>
      </c>
    </row>
    <row r="25799" spans="26:26" x14ac:dyDescent="0.2">
      <c r="Z25799" t="str">
        <f t="shared" si="403"/>
        <v/>
      </c>
    </row>
    <row r="25800" spans="26:26" x14ac:dyDescent="0.2">
      <c r="Z25800" t="str">
        <f t="shared" si="403"/>
        <v/>
      </c>
    </row>
    <row r="25801" spans="26:26" x14ac:dyDescent="0.2">
      <c r="Z25801" t="str">
        <f t="shared" si="403"/>
        <v/>
      </c>
    </row>
    <row r="25802" spans="26:26" x14ac:dyDescent="0.2">
      <c r="Z25802" t="str">
        <f t="shared" si="403"/>
        <v/>
      </c>
    </row>
    <row r="25803" spans="26:26" x14ac:dyDescent="0.2">
      <c r="Z25803" t="str">
        <f t="shared" si="403"/>
        <v/>
      </c>
    </row>
    <row r="25804" spans="26:26" x14ac:dyDescent="0.2">
      <c r="Z25804" t="str">
        <f t="shared" si="403"/>
        <v/>
      </c>
    </row>
    <row r="25805" spans="26:26" x14ac:dyDescent="0.2">
      <c r="Z25805" t="str">
        <f t="shared" si="403"/>
        <v/>
      </c>
    </row>
    <row r="25806" spans="26:26" x14ac:dyDescent="0.2">
      <c r="Z25806" t="str">
        <f t="shared" si="403"/>
        <v/>
      </c>
    </row>
    <row r="25807" spans="26:26" x14ac:dyDescent="0.2">
      <c r="Z25807" t="str">
        <f t="shared" si="403"/>
        <v/>
      </c>
    </row>
    <row r="25808" spans="26:26" x14ac:dyDescent="0.2">
      <c r="Z25808" t="str">
        <f t="shared" si="403"/>
        <v/>
      </c>
    </row>
    <row r="25809" spans="26:26" x14ac:dyDescent="0.2">
      <c r="Z25809" t="str">
        <f t="shared" si="403"/>
        <v/>
      </c>
    </row>
    <row r="25810" spans="26:26" x14ac:dyDescent="0.2">
      <c r="Z25810" t="str">
        <f t="shared" si="403"/>
        <v/>
      </c>
    </row>
    <row r="25811" spans="26:26" x14ac:dyDescent="0.2">
      <c r="Z25811" t="str">
        <f t="shared" si="403"/>
        <v/>
      </c>
    </row>
    <row r="25812" spans="26:26" x14ac:dyDescent="0.2">
      <c r="Z25812" t="str">
        <f t="shared" si="403"/>
        <v/>
      </c>
    </row>
    <row r="25813" spans="26:26" x14ac:dyDescent="0.2">
      <c r="Z25813" t="str">
        <f t="shared" si="403"/>
        <v/>
      </c>
    </row>
    <row r="25814" spans="26:26" x14ac:dyDescent="0.2">
      <c r="Z25814" t="str">
        <f t="shared" si="403"/>
        <v/>
      </c>
    </row>
    <row r="25815" spans="26:26" x14ac:dyDescent="0.2">
      <c r="Z25815" t="str">
        <f t="shared" si="403"/>
        <v/>
      </c>
    </row>
    <row r="25816" spans="26:26" x14ac:dyDescent="0.2">
      <c r="Z25816" t="str">
        <f t="shared" si="403"/>
        <v/>
      </c>
    </row>
    <row r="25817" spans="26:26" x14ac:dyDescent="0.2">
      <c r="Z25817" t="str">
        <f t="shared" si="403"/>
        <v/>
      </c>
    </row>
    <row r="25818" spans="26:26" x14ac:dyDescent="0.2">
      <c r="Z25818" t="str">
        <f t="shared" si="403"/>
        <v/>
      </c>
    </row>
    <row r="25819" spans="26:26" x14ac:dyDescent="0.2">
      <c r="Z25819" t="str">
        <f t="shared" si="403"/>
        <v/>
      </c>
    </row>
    <row r="25820" spans="26:26" x14ac:dyDescent="0.2">
      <c r="Z25820" t="str">
        <f t="shared" si="403"/>
        <v/>
      </c>
    </row>
    <row r="25821" spans="26:26" x14ac:dyDescent="0.2">
      <c r="Z25821" t="str">
        <f t="shared" si="403"/>
        <v/>
      </c>
    </row>
    <row r="25822" spans="26:26" x14ac:dyDescent="0.2">
      <c r="Z25822" t="str">
        <f t="shared" si="403"/>
        <v/>
      </c>
    </row>
    <row r="25823" spans="26:26" x14ac:dyDescent="0.2">
      <c r="Z25823" t="str">
        <f t="shared" si="403"/>
        <v/>
      </c>
    </row>
    <row r="25824" spans="26:26" x14ac:dyDescent="0.2">
      <c r="Z25824" t="str">
        <f t="shared" si="403"/>
        <v/>
      </c>
    </row>
    <row r="25825" spans="26:26" x14ac:dyDescent="0.2">
      <c r="Z25825" t="str">
        <f t="shared" si="403"/>
        <v/>
      </c>
    </row>
    <row r="25826" spans="26:26" x14ac:dyDescent="0.2">
      <c r="Z25826" t="str">
        <f t="shared" si="403"/>
        <v/>
      </c>
    </row>
    <row r="25827" spans="26:26" x14ac:dyDescent="0.2">
      <c r="Z25827" t="str">
        <f t="shared" si="403"/>
        <v/>
      </c>
    </row>
    <row r="25828" spans="26:26" x14ac:dyDescent="0.2">
      <c r="Z25828" t="str">
        <f t="shared" si="403"/>
        <v/>
      </c>
    </row>
    <row r="25829" spans="26:26" x14ac:dyDescent="0.2">
      <c r="Z25829" t="str">
        <f t="shared" si="403"/>
        <v/>
      </c>
    </row>
    <row r="25830" spans="26:26" x14ac:dyDescent="0.2">
      <c r="Z25830" t="str">
        <f t="shared" si="403"/>
        <v/>
      </c>
    </row>
    <row r="25831" spans="26:26" x14ac:dyDescent="0.2">
      <c r="Z25831" t="str">
        <f t="shared" si="403"/>
        <v/>
      </c>
    </row>
    <row r="25832" spans="26:26" x14ac:dyDescent="0.2">
      <c r="Z25832" t="str">
        <f t="shared" si="403"/>
        <v/>
      </c>
    </row>
    <row r="25833" spans="26:26" x14ac:dyDescent="0.2">
      <c r="Z25833" t="str">
        <f t="shared" si="403"/>
        <v/>
      </c>
    </row>
    <row r="25834" spans="26:26" x14ac:dyDescent="0.2">
      <c r="Z25834" t="str">
        <f t="shared" si="403"/>
        <v/>
      </c>
    </row>
    <row r="25835" spans="26:26" x14ac:dyDescent="0.2">
      <c r="Z25835" t="str">
        <f t="shared" si="403"/>
        <v/>
      </c>
    </row>
    <row r="25836" spans="26:26" x14ac:dyDescent="0.2">
      <c r="Z25836" t="str">
        <f t="shared" si="403"/>
        <v/>
      </c>
    </row>
    <row r="25837" spans="26:26" x14ac:dyDescent="0.2">
      <c r="Z25837" t="str">
        <f t="shared" si="403"/>
        <v/>
      </c>
    </row>
    <row r="25838" spans="26:26" x14ac:dyDescent="0.2">
      <c r="Z25838" t="str">
        <f t="shared" si="403"/>
        <v/>
      </c>
    </row>
    <row r="25839" spans="26:26" x14ac:dyDescent="0.2">
      <c r="Z25839" t="str">
        <f t="shared" si="403"/>
        <v/>
      </c>
    </row>
    <row r="25840" spans="26:26" x14ac:dyDescent="0.2">
      <c r="Z25840" t="str">
        <f t="shared" si="403"/>
        <v/>
      </c>
    </row>
    <row r="25841" spans="26:26" x14ac:dyDescent="0.2">
      <c r="Z25841" t="str">
        <f t="shared" si="403"/>
        <v/>
      </c>
    </row>
    <row r="25842" spans="26:26" x14ac:dyDescent="0.2">
      <c r="Z25842" t="str">
        <f t="shared" si="403"/>
        <v/>
      </c>
    </row>
    <row r="25843" spans="26:26" x14ac:dyDescent="0.2">
      <c r="Z25843" t="str">
        <f t="shared" si="403"/>
        <v/>
      </c>
    </row>
    <row r="25844" spans="26:26" x14ac:dyDescent="0.2">
      <c r="Z25844" t="str">
        <f t="shared" si="403"/>
        <v/>
      </c>
    </row>
    <row r="25845" spans="26:26" x14ac:dyDescent="0.2">
      <c r="Z25845" t="str">
        <f t="shared" si="403"/>
        <v/>
      </c>
    </row>
    <row r="25846" spans="26:26" x14ac:dyDescent="0.2">
      <c r="Z25846" t="str">
        <f t="shared" si="403"/>
        <v/>
      </c>
    </row>
    <row r="25847" spans="26:26" x14ac:dyDescent="0.2">
      <c r="Z25847" t="str">
        <f t="shared" si="403"/>
        <v/>
      </c>
    </row>
    <row r="25848" spans="26:26" x14ac:dyDescent="0.2">
      <c r="Z25848" t="str">
        <f t="shared" si="403"/>
        <v/>
      </c>
    </row>
    <row r="25849" spans="26:26" x14ac:dyDescent="0.2">
      <c r="Z25849" t="str">
        <f t="shared" si="403"/>
        <v/>
      </c>
    </row>
    <row r="25850" spans="26:26" x14ac:dyDescent="0.2">
      <c r="Z25850" t="str">
        <f t="shared" si="403"/>
        <v/>
      </c>
    </row>
    <row r="25851" spans="26:26" x14ac:dyDescent="0.2">
      <c r="Z25851" t="str">
        <f t="shared" si="403"/>
        <v/>
      </c>
    </row>
    <row r="25852" spans="26:26" x14ac:dyDescent="0.2">
      <c r="Z25852" t="str">
        <f t="shared" si="403"/>
        <v/>
      </c>
    </row>
    <row r="25853" spans="26:26" x14ac:dyDescent="0.2">
      <c r="Z25853" t="str">
        <f t="shared" si="403"/>
        <v/>
      </c>
    </row>
    <row r="25854" spans="26:26" x14ac:dyDescent="0.2">
      <c r="Z25854" t="str">
        <f t="shared" si="403"/>
        <v/>
      </c>
    </row>
    <row r="25855" spans="26:26" x14ac:dyDescent="0.2">
      <c r="Z25855" t="str">
        <f t="shared" si="403"/>
        <v/>
      </c>
    </row>
    <row r="25856" spans="26:26" x14ac:dyDescent="0.2">
      <c r="Z25856" t="str">
        <f t="shared" si="403"/>
        <v/>
      </c>
    </row>
    <row r="25857" spans="26:26" x14ac:dyDescent="0.2">
      <c r="Z25857" t="str">
        <f t="shared" si="403"/>
        <v/>
      </c>
    </row>
    <row r="25858" spans="26:26" x14ac:dyDescent="0.2">
      <c r="Z25858" t="str">
        <f t="shared" si="403"/>
        <v/>
      </c>
    </row>
    <row r="25859" spans="26:26" x14ac:dyDescent="0.2">
      <c r="Z25859" t="str">
        <f t="shared" ref="Z25859:Z25922" si="404">IF(K25859="","",IFERROR(VALUE(TRIM(MID(K25859,FIND(CHAR(167),SUBSTITUTE(K25859,"-",CHAR(167),LEN(K25859)-LEN(SUBSTITUTE(K25859,"-",""))))+1,100))),K25859))</f>
        <v/>
      </c>
    </row>
    <row r="25860" spans="26:26" x14ac:dyDescent="0.2">
      <c r="Z25860" t="str">
        <f t="shared" si="404"/>
        <v/>
      </c>
    </row>
    <row r="25861" spans="26:26" x14ac:dyDescent="0.2">
      <c r="Z25861" t="str">
        <f t="shared" si="404"/>
        <v/>
      </c>
    </row>
    <row r="25862" spans="26:26" x14ac:dyDescent="0.2">
      <c r="Z25862" t="str">
        <f t="shared" si="404"/>
        <v/>
      </c>
    </row>
    <row r="25863" spans="26:26" x14ac:dyDescent="0.2">
      <c r="Z25863" t="str">
        <f t="shared" si="404"/>
        <v/>
      </c>
    </row>
    <row r="25864" spans="26:26" x14ac:dyDescent="0.2">
      <c r="Z25864" t="str">
        <f t="shared" si="404"/>
        <v/>
      </c>
    </row>
    <row r="25865" spans="26:26" x14ac:dyDescent="0.2">
      <c r="Z25865" t="str">
        <f t="shared" si="404"/>
        <v/>
      </c>
    </row>
    <row r="25866" spans="26:26" x14ac:dyDescent="0.2">
      <c r="Z25866" t="str">
        <f t="shared" si="404"/>
        <v/>
      </c>
    </row>
    <row r="25867" spans="26:26" x14ac:dyDescent="0.2">
      <c r="Z25867" t="str">
        <f t="shared" si="404"/>
        <v/>
      </c>
    </row>
    <row r="25868" spans="26:26" x14ac:dyDescent="0.2">
      <c r="Z25868" t="str">
        <f t="shared" si="404"/>
        <v/>
      </c>
    </row>
    <row r="25869" spans="26:26" x14ac:dyDescent="0.2">
      <c r="Z25869" t="str">
        <f t="shared" si="404"/>
        <v/>
      </c>
    </row>
    <row r="25870" spans="26:26" x14ac:dyDescent="0.2">
      <c r="Z25870" t="str">
        <f t="shared" si="404"/>
        <v/>
      </c>
    </row>
    <row r="25871" spans="26:26" x14ac:dyDescent="0.2">
      <c r="Z25871" t="str">
        <f t="shared" si="404"/>
        <v/>
      </c>
    </row>
    <row r="25872" spans="26:26" x14ac:dyDescent="0.2">
      <c r="Z25872" t="str">
        <f t="shared" si="404"/>
        <v/>
      </c>
    </row>
    <row r="25873" spans="26:26" x14ac:dyDescent="0.2">
      <c r="Z25873" t="str">
        <f t="shared" si="404"/>
        <v/>
      </c>
    </row>
    <row r="25874" spans="26:26" x14ac:dyDescent="0.2">
      <c r="Z25874" t="str">
        <f t="shared" si="404"/>
        <v/>
      </c>
    </row>
    <row r="25875" spans="26:26" x14ac:dyDescent="0.2">
      <c r="Z25875" t="str">
        <f t="shared" si="404"/>
        <v/>
      </c>
    </row>
    <row r="25876" spans="26:26" x14ac:dyDescent="0.2">
      <c r="Z25876" t="str">
        <f t="shared" si="404"/>
        <v/>
      </c>
    </row>
    <row r="25877" spans="26:26" x14ac:dyDescent="0.2">
      <c r="Z25877" t="str">
        <f t="shared" si="404"/>
        <v/>
      </c>
    </row>
    <row r="25878" spans="26:26" x14ac:dyDescent="0.2">
      <c r="Z25878" t="str">
        <f t="shared" si="404"/>
        <v/>
      </c>
    </row>
    <row r="25879" spans="26:26" x14ac:dyDescent="0.2">
      <c r="Z25879" t="str">
        <f t="shared" si="404"/>
        <v/>
      </c>
    </row>
    <row r="25880" spans="26:26" x14ac:dyDescent="0.2">
      <c r="Z25880" t="str">
        <f t="shared" si="404"/>
        <v/>
      </c>
    </row>
    <row r="25881" spans="26:26" x14ac:dyDescent="0.2">
      <c r="Z25881" t="str">
        <f t="shared" si="404"/>
        <v/>
      </c>
    </row>
    <row r="25882" spans="26:26" x14ac:dyDescent="0.2">
      <c r="Z25882" t="str">
        <f t="shared" si="404"/>
        <v/>
      </c>
    </row>
    <row r="25883" spans="26:26" x14ac:dyDescent="0.2">
      <c r="Z25883" t="str">
        <f t="shared" si="404"/>
        <v/>
      </c>
    </row>
    <row r="25884" spans="26:26" x14ac:dyDescent="0.2">
      <c r="Z25884" t="str">
        <f t="shared" si="404"/>
        <v/>
      </c>
    </row>
    <row r="25885" spans="26:26" x14ac:dyDescent="0.2">
      <c r="Z25885" t="str">
        <f t="shared" si="404"/>
        <v/>
      </c>
    </row>
    <row r="25886" spans="26:26" x14ac:dyDescent="0.2">
      <c r="Z25886" t="str">
        <f t="shared" si="404"/>
        <v/>
      </c>
    </row>
    <row r="25887" spans="26:26" x14ac:dyDescent="0.2">
      <c r="Z25887" t="str">
        <f t="shared" si="404"/>
        <v/>
      </c>
    </row>
    <row r="25888" spans="26:26" x14ac:dyDescent="0.2">
      <c r="Z25888" t="str">
        <f t="shared" si="404"/>
        <v/>
      </c>
    </row>
    <row r="25889" spans="26:26" x14ac:dyDescent="0.2">
      <c r="Z25889" t="str">
        <f t="shared" si="404"/>
        <v/>
      </c>
    </row>
    <row r="25890" spans="26:26" x14ac:dyDescent="0.2">
      <c r="Z25890" t="str">
        <f t="shared" si="404"/>
        <v/>
      </c>
    </row>
    <row r="25891" spans="26:26" x14ac:dyDescent="0.2">
      <c r="Z25891" t="str">
        <f t="shared" si="404"/>
        <v/>
      </c>
    </row>
    <row r="25892" spans="26:26" x14ac:dyDescent="0.2">
      <c r="Z25892" t="str">
        <f t="shared" si="404"/>
        <v/>
      </c>
    </row>
    <row r="25893" spans="26:26" x14ac:dyDescent="0.2">
      <c r="Z25893" t="str">
        <f t="shared" si="404"/>
        <v/>
      </c>
    </row>
    <row r="25894" spans="26:26" x14ac:dyDescent="0.2">
      <c r="Z25894" t="str">
        <f t="shared" si="404"/>
        <v/>
      </c>
    </row>
    <row r="25895" spans="26:26" x14ac:dyDescent="0.2">
      <c r="Z25895" t="str">
        <f t="shared" si="404"/>
        <v/>
      </c>
    </row>
    <row r="25896" spans="26:26" x14ac:dyDescent="0.2">
      <c r="Z25896" t="str">
        <f t="shared" si="404"/>
        <v/>
      </c>
    </row>
    <row r="25897" spans="26:26" x14ac:dyDescent="0.2">
      <c r="Z25897" t="str">
        <f t="shared" si="404"/>
        <v/>
      </c>
    </row>
    <row r="25898" spans="26:26" x14ac:dyDescent="0.2">
      <c r="Z25898" t="str">
        <f t="shared" si="404"/>
        <v/>
      </c>
    </row>
    <row r="25899" spans="26:26" x14ac:dyDescent="0.2">
      <c r="Z25899" t="str">
        <f t="shared" si="404"/>
        <v/>
      </c>
    </row>
    <row r="25900" spans="26:26" x14ac:dyDescent="0.2">
      <c r="Z25900" t="str">
        <f t="shared" si="404"/>
        <v/>
      </c>
    </row>
    <row r="25901" spans="26:26" x14ac:dyDescent="0.2">
      <c r="Z25901" t="str">
        <f t="shared" si="404"/>
        <v/>
      </c>
    </row>
    <row r="25902" spans="26:26" x14ac:dyDescent="0.2">
      <c r="Z25902" t="str">
        <f t="shared" si="404"/>
        <v/>
      </c>
    </row>
    <row r="25903" spans="26:26" x14ac:dyDescent="0.2">
      <c r="Z25903" t="str">
        <f t="shared" si="404"/>
        <v/>
      </c>
    </row>
    <row r="25904" spans="26:26" x14ac:dyDescent="0.2">
      <c r="Z25904" t="str">
        <f t="shared" si="404"/>
        <v/>
      </c>
    </row>
    <row r="25905" spans="26:26" x14ac:dyDescent="0.2">
      <c r="Z25905" t="str">
        <f t="shared" si="404"/>
        <v/>
      </c>
    </row>
    <row r="25906" spans="26:26" x14ac:dyDescent="0.2">
      <c r="Z25906" t="str">
        <f t="shared" si="404"/>
        <v/>
      </c>
    </row>
    <row r="25907" spans="26:26" x14ac:dyDescent="0.2">
      <c r="Z25907" t="str">
        <f t="shared" si="404"/>
        <v/>
      </c>
    </row>
    <row r="25908" spans="26:26" x14ac:dyDescent="0.2">
      <c r="Z25908" t="str">
        <f t="shared" si="404"/>
        <v/>
      </c>
    </row>
    <row r="25909" spans="26:26" x14ac:dyDescent="0.2">
      <c r="Z25909" t="str">
        <f t="shared" si="404"/>
        <v/>
      </c>
    </row>
    <row r="25910" spans="26:26" x14ac:dyDescent="0.2">
      <c r="Z25910" t="str">
        <f t="shared" si="404"/>
        <v/>
      </c>
    </row>
    <row r="25911" spans="26:26" x14ac:dyDescent="0.2">
      <c r="Z25911" t="str">
        <f t="shared" si="404"/>
        <v/>
      </c>
    </row>
    <row r="25912" spans="26:26" x14ac:dyDescent="0.2">
      <c r="Z25912" t="str">
        <f t="shared" si="404"/>
        <v/>
      </c>
    </row>
    <row r="25913" spans="26:26" x14ac:dyDescent="0.2">
      <c r="Z25913" t="str">
        <f t="shared" si="404"/>
        <v/>
      </c>
    </row>
    <row r="25914" spans="26:26" x14ac:dyDescent="0.2">
      <c r="Z25914" t="str">
        <f t="shared" si="404"/>
        <v/>
      </c>
    </row>
    <row r="25915" spans="26:26" x14ac:dyDescent="0.2">
      <c r="Z25915" t="str">
        <f t="shared" si="404"/>
        <v/>
      </c>
    </row>
    <row r="25916" spans="26:26" x14ac:dyDescent="0.2">
      <c r="Z25916" t="str">
        <f t="shared" si="404"/>
        <v/>
      </c>
    </row>
    <row r="25917" spans="26:26" x14ac:dyDescent="0.2">
      <c r="Z25917" t="str">
        <f t="shared" si="404"/>
        <v/>
      </c>
    </row>
    <row r="25918" spans="26:26" x14ac:dyDescent="0.2">
      <c r="Z25918" t="str">
        <f t="shared" si="404"/>
        <v/>
      </c>
    </row>
    <row r="25919" spans="26:26" x14ac:dyDescent="0.2">
      <c r="Z25919" t="str">
        <f t="shared" si="404"/>
        <v/>
      </c>
    </row>
    <row r="25920" spans="26:26" x14ac:dyDescent="0.2">
      <c r="Z25920" t="str">
        <f t="shared" si="404"/>
        <v/>
      </c>
    </row>
    <row r="25921" spans="26:26" x14ac:dyDescent="0.2">
      <c r="Z25921" t="str">
        <f t="shared" si="404"/>
        <v/>
      </c>
    </row>
    <row r="25922" spans="26:26" x14ac:dyDescent="0.2">
      <c r="Z25922" t="str">
        <f t="shared" si="404"/>
        <v/>
      </c>
    </row>
    <row r="25923" spans="26:26" x14ac:dyDescent="0.2">
      <c r="Z25923" t="str">
        <f t="shared" ref="Z25923:Z25986" si="405">IF(K25923="","",IFERROR(VALUE(TRIM(MID(K25923,FIND(CHAR(167),SUBSTITUTE(K25923,"-",CHAR(167),LEN(K25923)-LEN(SUBSTITUTE(K25923,"-",""))))+1,100))),K25923))</f>
        <v/>
      </c>
    </row>
    <row r="25924" spans="26:26" x14ac:dyDescent="0.2">
      <c r="Z25924" t="str">
        <f t="shared" si="405"/>
        <v/>
      </c>
    </row>
    <row r="25925" spans="26:26" x14ac:dyDescent="0.2">
      <c r="Z25925" t="str">
        <f t="shared" si="405"/>
        <v/>
      </c>
    </row>
    <row r="25926" spans="26:26" x14ac:dyDescent="0.2">
      <c r="Z25926" t="str">
        <f t="shared" si="405"/>
        <v/>
      </c>
    </row>
    <row r="25927" spans="26:26" x14ac:dyDescent="0.2">
      <c r="Z25927" t="str">
        <f t="shared" si="405"/>
        <v/>
      </c>
    </row>
    <row r="25928" spans="26:26" x14ac:dyDescent="0.2">
      <c r="Z25928" t="str">
        <f t="shared" si="405"/>
        <v/>
      </c>
    </row>
    <row r="25929" spans="26:26" x14ac:dyDescent="0.2">
      <c r="Z25929" t="str">
        <f t="shared" si="405"/>
        <v/>
      </c>
    </row>
    <row r="25930" spans="26:26" x14ac:dyDescent="0.2">
      <c r="Z25930" t="str">
        <f t="shared" si="405"/>
        <v/>
      </c>
    </row>
    <row r="25931" spans="26:26" x14ac:dyDescent="0.2">
      <c r="Z25931" t="str">
        <f t="shared" si="405"/>
        <v/>
      </c>
    </row>
    <row r="25932" spans="26:26" x14ac:dyDescent="0.2">
      <c r="Z25932" t="str">
        <f t="shared" si="405"/>
        <v/>
      </c>
    </row>
    <row r="25933" spans="26:26" x14ac:dyDescent="0.2">
      <c r="Z25933" t="str">
        <f t="shared" si="405"/>
        <v/>
      </c>
    </row>
    <row r="25934" spans="26:26" x14ac:dyDescent="0.2">
      <c r="Z25934" t="str">
        <f t="shared" si="405"/>
        <v/>
      </c>
    </row>
    <row r="25935" spans="26:26" x14ac:dyDescent="0.2">
      <c r="Z25935" t="str">
        <f t="shared" si="405"/>
        <v/>
      </c>
    </row>
    <row r="25936" spans="26:26" x14ac:dyDescent="0.2">
      <c r="Z25936" t="str">
        <f t="shared" si="405"/>
        <v/>
      </c>
    </row>
    <row r="25937" spans="26:26" x14ac:dyDescent="0.2">
      <c r="Z25937" t="str">
        <f t="shared" si="405"/>
        <v/>
      </c>
    </row>
    <row r="25938" spans="26:26" x14ac:dyDescent="0.2">
      <c r="Z25938" t="str">
        <f t="shared" si="405"/>
        <v/>
      </c>
    </row>
    <row r="25939" spans="26:26" x14ac:dyDescent="0.2">
      <c r="Z25939" t="str">
        <f t="shared" si="405"/>
        <v/>
      </c>
    </row>
    <row r="25940" spans="26:26" x14ac:dyDescent="0.2">
      <c r="Z25940" t="str">
        <f t="shared" si="405"/>
        <v/>
      </c>
    </row>
    <row r="25941" spans="26:26" x14ac:dyDescent="0.2">
      <c r="Z25941" t="str">
        <f t="shared" si="405"/>
        <v/>
      </c>
    </row>
    <row r="25942" spans="26:26" x14ac:dyDescent="0.2">
      <c r="Z25942" t="str">
        <f t="shared" si="405"/>
        <v/>
      </c>
    </row>
    <row r="25943" spans="26:26" x14ac:dyDescent="0.2">
      <c r="Z25943" t="str">
        <f t="shared" si="405"/>
        <v/>
      </c>
    </row>
    <row r="25944" spans="26:26" x14ac:dyDescent="0.2">
      <c r="Z25944" t="str">
        <f t="shared" si="405"/>
        <v/>
      </c>
    </row>
    <row r="25945" spans="26:26" x14ac:dyDescent="0.2">
      <c r="Z25945" t="str">
        <f t="shared" si="405"/>
        <v/>
      </c>
    </row>
    <row r="25946" spans="26:26" x14ac:dyDescent="0.2">
      <c r="Z25946" t="str">
        <f t="shared" si="405"/>
        <v/>
      </c>
    </row>
    <row r="25947" spans="26:26" x14ac:dyDescent="0.2">
      <c r="Z25947" t="str">
        <f t="shared" si="405"/>
        <v/>
      </c>
    </row>
    <row r="25948" spans="26:26" x14ac:dyDescent="0.2">
      <c r="Z25948" t="str">
        <f t="shared" si="405"/>
        <v/>
      </c>
    </row>
    <row r="25949" spans="26:26" x14ac:dyDescent="0.2">
      <c r="Z25949" t="str">
        <f t="shared" si="405"/>
        <v/>
      </c>
    </row>
    <row r="25950" spans="26:26" x14ac:dyDescent="0.2">
      <c r="Z25950" t="str">
        <f t="shared" si="405"/>
        <v/>
      </c>
    </row>
    <row r="25951" spans="26:26" x14ac:dyDescent="0.2">
      <c r="Z25951" t="str">
        <f t="shared" si="405"/>
        <v/>
      </c>
    </row>
    <row r="25952" spans="26:26" x14ac:dyDescent="0.2">
      <c r="Z25952" t="str">
        <f t="shared" si="405"/>
        <v/>
      </c>
    </row>
    <row r="25953" spans="26:26" x14ac:dyDescent="0.2">
      <c r="Z25953" t="str">
        <f t="shared" si="405"/>
        <v/>
      </c>
    </row>
    <row r="25954" spans="26:26" x14ac:dyDescent="0.2">
      <c r="Z25954" t="str">
        <f t="shared" si="405"/>
        <v/>
      </c>
    </row>
    <row r="25955" spans="26:26" x14ac:dyDescent="0.2">
      <c r="Z25955" t="str">
        <f t="shared" si="405"/>
        <v/>
      </c>
    </row>
    <row r="25956" spans="26:26" x14ac:dyDescent="0.2">
      <c r="Z25956" t="str">
        <f t="shared" si="405"/>
        <v/>
      </c>
    </row>
    <row r="25957" spans="26:26" x14ac:dyDescent="0.2">
      <c r="Z25957" t="str">
        <f t="shared" si="405"/>
        <v/>
      </c>
    </row>
    <row r="25958" spans="26:26" x14ac:dyDescent="0.2">
      <c r="Z25958" t="str">
        <f t="shared" si="405"/>
        <v/>
      </c>
    </row>
    <row r="25959" spans="26:26" x14ac:dyDescent="0.2">
      <c r="Z25959" t="str">
        <f t="shared" si="405"/>
        <v/>
      </c>
    </row>
    <row r="25960" spans="26:26" x14ac:dyDescent="0.2">
      <c r="Z25960" t="str">
        <f t="shared" si="405"/>
        <v/>
      </c>
    </row>
    <row r="25961" spans="26:26" x14ac:dyDescent="0.2">
      <c r="Z25961" t="str">
        <f t="shared" si="405"/>
        <v/>
      </c>
    </row>
    <row r="25962" spans="26:26" x14ac:dyDescent="0.2">
      <c r="Z25962" t="str">
        <f t="shared" si="405"/>
        <v/>
      </c>
    </row>
    <row r="25963" spans="26:26" x14ac:dyDescent="0.2">
      <c r="Z25963" t="str">
        <f t="shared" si="405"/>
        <v/>
      </c>
    </row>
    <row r="25964" spans="26:26" x14ac:dyDescent="0.2">
      <c r="Z25964" t="str">
        <f t="shared" si="405"/>
        <v/>
      </c>
    </row>
    <row r="25965" spans="26:26" x14ac:dyDescent="0.2">
      <c r="Z25965" t="str">
        <f t="shared" si="405"/>
        <v/>
      </c>
    </row>
    <row r="25966" spans="26:26" x14ac:dyDescent="0.2">
      <c r="Z25966" t="str">
        <f t="shared" si="405"/>
        <v/>
      </c>
    </row>
    <row r="25967" spans="26:26" x14ac:dyDescent="0.2">
      <c r="Z25967" t="str">
        <f t="shared" si="405"/>
        <v/>
      </c>
    </row>
    <row r="25968" spans="26:26" x14ac:dyDescent="0.2">
      <c r="Z25968" t="str">
        <f t="shared" si="405"/>
        <v/>
      </c>
    </row>
    <row r="25969" spans="26:26" x14ac:dyDescent="0.2">
      <c r="Z25969" t="str">
        <f t="shared" si="405"/>
        <v/>
      </c>
    </row>
    <row r="25970" spans="26:26" x14ac:dyDescent="0.2">
      <c r="Z25970" t="str">
        <f t="shared" si="405"/>
        <v/>
      </c>
    </row>
    <row r="25971" spans="26:26" x14ac:dyDescent="0.2">
      <c r="Z25971" t="str">
        <f t="shared" si="405"/>
        <v/>
      </c>
    </row>
    <row r="25972" spans="26:26" x14ac:dyDescent="0.2">
      <c r="Z25972" t="str">
        <f t="shared" si="405"/>
        <v/>
      </c>
    </row>
    <row r="25973" spans="26:26" x14ac:dyDescent="0.2">
      <c r="Z25973" t="str">
        <f t="shared" si="405"/>
        <v/>
      </c>
    </row>
    <row r="25974" spans="26:26" x14ac:dyDescent="0.2">
      <c r="Z25974" t="str">
        <f t="shared" si="405"/>
        <v/>
      </c>
    </row>
    <row r="25975" spans="26:26" x14ac:dyDescent="0.2">
      <c r="Z25975" t="str">
        <f t="shared" si="405"/>
        <v/>
      </c>
    </row>
    <row r="25976" spans="26:26" x14ac:dyDescent="0.2">
      <c r="Z25976" t="str">
        <f t="shared" si="405"/>
        <v/>
      </c>
    </row>
    <row r="25977" spans="26:26" x14ac:dyDescent="0.2">
      <c r="Z25977" t="str">
        <f t="shared" si="405"/>
        <v/>
      </c>
    </row>
    <row r="25978" spans="26:26" x14ac:dyDescent="0.2">
      <c r="Z25978" t="str">
        <f t="shared" si="405"/>
        <v/>
      </c>
    </row>
    <row r="25979" spans="26:26" x14ac:dyDescent="0.2">
      <c r="Z25979" t="str">
        <f t="shared" si="405"/>
        <v/>
      </c>
    </row>
    <row r="25980" spans="26:26" x14ac:dyDescent="0.2">
      <c r="Z25980" t="str">
        <f t="shared" si="405"/>
        <v/>
      </c>
    </row>
    <row r="25981" spans="26:26" x14ac:dyDescent="0.2">
      <c r="Z25981" t="str">
        <f t="shared" si="405"/>
        <v/>
      </c>
    </row>
    <row r="25982" spans="26:26" x14ac:dyDescent="0.2">
      <c r="Z25982" t="str">
        <f t="shared" si="405"/>
        <v/>
      </c>
    </row>
    <row r="25983" spans="26:26" x14ac:dyDescent="0.2">
      <c r="Z25983" t="str">
        <f t="shared" si="405"/>
        <v/>
      </c>
    </row>
    <row r="25984" spans="26:26" x14ac:dyDescent="0.2">
      <c r="Z25984" t="str">
        <f t="shared" si="405"/>
        <v/>
      </c>
    </row>
    <row r="25985" spans="26:26" x14ac:dyDescent="0.2">
      <c r="Z25985" t="str">
        <f t="shared" si="405"/>
        <v/>
      </c>
    </row>
    <row r="25986" spans="26:26" x14ac:dyDescent="0.2">
      <c r="Z25986" t="str">
        <f t="shared" si="405"/>
        <v/>
      </c>
    </row>
    <row r="25987" spans="26:26" x14ac:dyDescent="0.2">
      <c r="Z25987" t="str">
        <f t="shared" ref="Z25987:Z26050" si="406">IF(K25987="","",IFERROR(VALUE(TRIM(MID(K25987,FIND(CHAR(167),SUBSTITUTE(K25987,"-",CHAR(167),LEN(K25987)-LEN(SUBSTITUTE(K25987,"-",""))))+1,100))),K25987))</f>
        <v/>
      </c>
    </row>
    <row r="25988" spans="26:26" x14ac:dyDescent="0.2">
      <c r="Z25988" t="str">
        <f t="shared" si="406"/>
        <v/>
      </c>
    </row>
    <row r="25989" spans="26:26" x14ac:dyDescent="0.2">
      <c r="Z25989" t="str">
        <f t="shared" si="406"/>
        <v/>
      </c>
    </row>
    <row r="25990" spans="26:26" x14ac:dyDescent="0.2">
      <c r="Z25990" t="str">
        <f t="shared" si="406"/>
        <v/>
      </c>
    </row>
    <row r="25991" spans="26:26" x14ac:dyDescent="0.2">
      <c r="Z25991" t="str">
        <f t="shared" si="406"/>
        <v/>
      </c>
    </row>
    <row r="25992" spans="26:26" x14ac:dyDescent="0.2">
      <c r="Z25992" t="str">
        <f t="shared" si="406"/>
        <v/>
      </c>
    </row>
    <row r="25993" spans="26:26" x14ac:dyDescent="0.2">
      <c r="Z25993" t="str">
        <f t="shared" si="406"/>
        <v/>
      </c>
    </row>
    <row r="25994" spans="26:26" x14ac:dyDescent="0.2">
      <c r="Z25994" t="str">
        <f t="shared" si="406"/>
        <v/>
      </c>
    </row>
    <row r="25995" spans="26:26" x14ac:dyDescent="0.2">
      <c r="Z25995" t="str">
        <f t="shared" si="406"/>
        <v/>
      </c>
    </row>
    <row r="25996" spans="26:26" x14ac:dyDescent="0.2">
      <c r="Z25996" t="str">
        <f t="shared" si="406"/>
        <v/>
      </c>
    </row>
    <row r="25997" spans="26:26" x14ac:dyDescent="0.2">
      <c r="Z25997" t="str">
        <f t="shared" si="406"/>
        <v/>
      </c>
    </row>
    <row r="25998" spans="26:26" x14ac:dyDescent="0.2">
      <c r="Z25998" t="str">
        <f t="shared" si="406"/>
        <v/>
      </c>
    </row>
    <row r="25999" spans="26:26" x14ac:dyDescent="0.2">
      <c r="Z25999" t="str">
        <f t="shared" si="406"/>
        <v/>
      </c>
    </row>
    <row r="26000" spans="26:26" x14ac:dyDescent="0.2">
      <c r="Z26000" t="str">
        <f t="shared" si="406"/>
        <v/>
      </c>
    </row>
    <row r="26001" spans="26:26" x14ac:dyDescent="0.2">
      <c r="Z26001" t="str">
        <f t="shared" si="406"/>
        <v/>
      </c>
    </row>
    <row r="26002" spans="26:26" x14ac:dyDescent="0.2">
      <c r="Z26002" t="str">
        <f t="shared" si="406"/>
        <v/>
      </c>
    </row>
    <row r="26003" spans="26:26" x14ac:dyDescent="0.2">
      <c r="Z26003" t="str">
        <f t="shared" si="406"/>
        <v/>
      </c>
    </row>
    <row r="26004" spans="26:26" x14ac:dyDescent="0.2">
      <c r="Z26004" t="str">
        <f t="shared" si="406"/>
        <v/>
      </c>
    </row>
    <row r="26005" spans="26:26" x14ac:dyDescent="0.2">
      <c r="Z26005" t="str">
        <f t="shared" si="406"/>
        <v/>
      </c>
    </row>
    <row r="26006" spans="26:26" x14ac:dyDescent="0.2">
      <c r="Z26006" t="str">
        <f t="shared" si="406"/>
        <v/>
      </c>
    </row>
    <row r="26007" spans="26:26" x14ac:dyDescent="0.2">
      <c r="Z26007" t="str">
        <f t="shared" si="406"/>
        <v/>
      </c>
    </row>
    <row r="26008" spans="26:26" x14ac:dyDescent="0.2">
      <c r="Z26008" t="str">
        <f t="shared" si="406"/>
        <v/>
      </c>
    </row>
    <row r="26009" spans="26:26" x14ac:dyDescent="0.2">
      <c r="Z26009" t="str">
        <f t="shared" si="406"/>
        <v/>
      </c>
    </row>
    <row r="26010" spans="26:26" x14ac:dyDescent="0.2">
      <c r="Z26010" t="str">
        <f t="shared" si="406"/>
        <v/>
      </c>
    </row>
    <row r="26011" spans="26:26" x14ac:dyDescent="0.2">
      <c r="Z26011" t="str">
        <f t="shared" si="406"/>
        <v/>
      </c>
    </row>
    <row r="26012" spans="26:26" x14ac:dyDescent="0.2">
      <c r="Z26012" t="str">
        <f t="shared" si="406"/>
        <v/>
      </c>
    </row>
    <row r="26013" spans="26:26" x14ac:dyDescent="0.2">
      <c r="Z26013" t="str">
        <f t="shared" si="406"/>
        <v/>
      </c>
    </row>
    <row r="26014" spans="26:26" x14ac:dyDescent="0.2">
      <c r="Z26014" t="str">
        <f t="shared" si="406"/>
        <v/>
      </c>
    </row>
    <row r="26015" spans="26:26" x14ac:dyDescent="0.2">
      <c r="Z26015" t="str">
        <f t="shared" si="406"/>
        <v/>
      </c>
    </row>
    <row r="26016" spans="26:26" x14ac:dyDescent="0.2">
      <c r="Z26016" t="str">
        <f t="shared" si="406"/>
        <v/>
      </c>
    </row>
    <row r="26017" spans="26:26" x14ac:dyDescent="0.2">
      <c r="Z26017" t="str">
        <f t="shared" si="406"/>
        <v/>
      </c>
    </row>
    <row r="26018" spans="26:26" x14ac:dyDescent="0.2">
      <c r="Z26018" t="str">
        <f t="shared" si="406"/>
        <v/>
      </c>
    </row>
    <row r="26019" spans="26:26" x14ac:dyDescent="0.2">
      <c r="Z26019" t="str">
        <f t="shared" si="406"/>
        <v/>
      </c>
    </row>
    <row r="26020" spans="26:26" x14ac:dyDescent="0.2">
      <c r="Z26020" t="str">
        <f t="shared" si="406"/>
        <v/>
      </c>
    </row>
    <row r="26021" spans="26:26" x14ac:dyDescent="0.2">
      <c r="Z26021" t="str">
        <f t="shared" si="406"/>
        <v/>
      </c>
    </row>
    <row r="26022" spans="26:26" x14ac:dyDescent="0.2">
      <c r="Z26022" t="str">
        <f t="shared" si="406"/>
        <v/>
      </c>
    </row>
    <row r="26023" spans="26:26" x14ac:dyDescent="0.2">
      <c r="Z26023" t="str">
        <f t="shared" si="406"/>
        <v/>
      </c>
    </row>
    <row r="26024" spans="26:26" x14ac:dyDescent="0.2">
      <c r="Z26024" t="str">
        <f t="shared" si="406"/>
        <v/>
      </c>
    </row>
    <row r="26025" spans="26:26" x14ac:dyDescent="0.2">
      <c r="Z26025" t="str">
        <f t="shared" si="406"/>
        <v/>
      </c>
    </row>
    <row r="26026" spans="26:26" x14ac:dyDescent="0.2">
      <c r="Z26026" t="str">
        <f t="shared" si="406"/>
        <v/>
      </c>
    </row>
    <row r="26027" spans="26:26" x14ac:dyDescent="0.2">
      <c r="Z26027" t="str">
        <f t="shared" si="406"/>
        <v/>
      </c>
    </row>
    <row r="26028" spans="26:26" x14ac:dyDescent="0.2">
      <c r="Z26028" t="str">
        <f t="shared" si="406"/>
        <v/>
      </c>
    </row>
    <row r="26029" spans="26:26" x14ac:dyDescent="0.2">
      <c r="Z26029" t="str">
        <f t="shared" si="406"/>
        <v/>
      </c>
    </row>
    <row r="26030" spans="26:26" x14ac:dyDescent="0.2">
      <c r="Z26030" t="str">
        <f t="shared" si="406"/>
        <v/>
      </c>
    </row>
    <row r="26031" spans="26:26" x14ac:dyDescent="0.2">
      <c r="Z26031" t="str">
        <f t="shared" si="406"/>
        <v/>
      </c>
    </row>
    <row r="26032" spans="26:26" x14ac:dyDescent="0.2">
      <c r="Z26032" t="str">
        <f t="shared" si="406"/>
        <v/>
      </c>
    </row>
    <row r="26033" spans="26:26" x14ac:dyDescent="0.2">
      <c r="Z26033" t="str">
        <f t="shared" si="406"/>
        <v/>
      </c>
    </row>
    <row r="26034" spans="26:26" x14ac:dyDescent="0.2">
      <c r="Z26034" t="str">
        <f t="shared" si="406"/>
        <v/>
      </c>
    </row>
    <row r="26035" spans="26:26" x14ac:dyDescent="0.2">
      <c r="Z26035" t="str">
        <f t="shared" si="406"/>
        <v/>
      </c>
    </row>
    <row r="26036" spans="26:26" x14ac:dyDescent="0.2">
      <c r="Z26036" t="str">
        <f t="shared" si="406"/>
        <v/>
      </c>
    </row>
    <row r="26037" spans="26:26" x14ac:dyDescent="0.2">
      <c r="Z26037" t="str">
        <f t="shared" si="406"/>
        <v/>
      </c>
    </row>
    <row r="26038" spans="26:26" x14ac:dyDescent="0.2">
      <c r="Z26038" t="str">
        <f t="shared" si="406"/>
        <v/>
      </c>
    </row>
    <row r="26039" spans="26:26" x14ac:dyDescent="0.2">
      <c r="Z26039" t="str">
        <f t="shared" si="406"/>
        <v/>
      </c>
    </row>
    <row r="26040" spans="26:26" x14ac:dyDescent="0.2">
      <c r="Z26040" t="str">
        <f t="shared" si="406"/>
        <v/>
      </c>
    </row>
    <row r="26041" spans="26:26" x14ac:dyDescent="0.2">
      <c r="Z26041" t="str">
        <f t="shared" si="406"/>
        <v/>
      </c>
    </row>
    <row r="26042" spans="26:26" x14ac:dyDescent="0.2">
      <c r="Z26042" t="str">
        <f t="shared" si="406"/>
        <v/>
      </c>
    </row>
    <row r="26043" spans="26:26" x14ac:dyDescent="0.2">
      <c r="Z26043" t="str">
        <f t="shared" si="406"/>
        <v/>
      </c>
    </row>
    <row r="26044" spans="26:26" x14ac:dyDescent="0.2">
      <c r="Z26044" t="str">
        <f t="shared" si="406"/>
        <v/>
      </c>
    </row>
    <row r="26045" spans="26:26" x14ac:dyDescent="0.2">
      <c r="Z26045" t="str">
        <f t="shared" si="406"/>
        <v/>
      </c>
    </row>
    <row r="26046" spans="26:26" x14ac:dyDescent="0.2">
      <c r="Z26046" t="str">
        <f t="shared" si="406"/>
        <v/>
      </c>
    </row>
    <row r="26047" spans="26:26" x14ac:dyDescent="0.2">
      <c r="Z26047" t="str">
        <f t="shared" si="406"/>
        <v/>
      </c>
    </row>
    <row r="26048" spans="26:26" x14ac:dyDescent="0.2">
      <c r="Z26048" t="str">
        <f t="shared" si="406"/>
        <v/>
      </c>
    </row>
    <row r="26049" spans="26:26" x14ac:dyDescent="0.2">
      <c r="Z26049" t="str">
        <f t="shared" si="406"/>
        <v/>
      </c>
    </row>
    <row r="26050" spans="26:26" x14ac:dyDescent="0.2">
      <c r="Z26050" t="str">
        <f t="shared" si="406"/>
        <v/>
      </c>
    </row>
    <row r="26051" spans="26:26" x14ac:dyDescent="0.2">
      <c r="Z26051" t="str">
        <f t="shared" ref="Z26051:Z26114" si="407">IF(K26051="","",IFERROR(VALUE(TRIM(MID(K26051,FIND(CHAR(167),SUBSTITUTE(K26051,"-",CHAR(167),LEN(K26051)-LEN(SUBSTITUTE(K26051,"-",""))))+1,100))),K26051))</f>
        <v/>
      </c>
    </row>
    <row r="26052" spans="26:26" x14ac:dyDescent="0.2">
      <c r="Z26052" t="str">
        <f t="shared" si="407"/>
        <v/>
      </c>
    </row>
    <row r="26053" spans="26:26" x14ac:dyDescent="0.2">
      <c r="Z26053" t="str">
        <f t="shared" si="407"/>
        <v/>
      </c>
    </row>
    <row r="26054" spans="26:26" x14ac:dyDescent="0.2">
      <c r="Z26054" t="str">
        <f t="shared" si="407"/>
        <v/>
      </c>
    </row>
    <row r="26055" spans="26:26" x14ac:dyDescent="0.2">
      <c r="Z26055" t="str">
        <f t="shared" si="407"/>
        <v/>
      </c>
    </row>
    <row r="26056" spans="26:26" x14ac:dyDescent="0.2">
      <c r="Z26056" t="str">
        <f t="shared" si="407"/>
        <v/>
      </c>
    </row>
    <row r="26057" spans="26:26" x14ac:dyDescent="0.2">
      <c r="Z26057" t="str">
        <f t="shared" si="407"/>
        <v/>
      </c>
    </row>
    <row r="26058" spans="26:26" x14ac:dyDescent="0.2">
      <c r="Z26058" t="str">
        <f t="shared" si="407"/>
        <v/>
      </c>
    </row>
    <row r="26059" spans="26:26" x14ac:dyDescent="0.2">
      <c r="Z26059" t="str">
        <f t="shared" si="407"/>
        <v/>
      </c>
    </row>
    <row r="26060" spans="26:26" x14ac:dyDescent="0.2">
      <c r="Z26060" t="str">
        <f t="shared" si="407"/>
        <v/>
      </c>
    </row>
    <row r="26061" spans="26:26" x14ac:dyDescent="0.2">
      <c r="Z26061" t="str">
        <f t="shared" si="407"/>
        <v/>
      </c>
    </row>
    <row r="26062" spans="26:26" x14ac:dyDescent="0.2">
      <c r="Z26062" t="str">
        <f t="shared" si="407"/>
        <v/>
      </c>
    </row>
    <row r="26063" spans="26:26" x14ac:dyDescent="0.2">
      <c r="Z26063" t="str">
        <f t="shared" si="407"/>
        <v/>
      </c>
    </row>
    <row r="26064" spans="26:26" x14ac:dyDescent="0.2">
      <c r="Z26064" t="str">
        <f t="shared" si="407"/>
        <v/>
      </c>
    </row>
    <row r="26065" spans="26:26" x14ac:dyDescent="0.2">
      <c r="Z26065" t="str">
        <f t="shared" si="407"/>
        <v/>
      </c>
    </row>
    <row r="26066" spans="26:26" x14ac:dyDescent="0.2">
      <c r="Z26066" t="str">
        <f t="shared" si="407"/>
        <v/>
      </c>
    </row>
    <row r="26067" spans="26:26" x14ac:dyDescent="0.2">
      <c r="Z26067" t="str">
        <f t="shared" si="407"/>
        <v/>
      </c>
    </row>
    <row r="26068" spans="26:26" x14ac:dyDescent="0.2">
      <c r="Z26068" t="str">
        <f t="shared" si="407"/>
        <v/>
      </c>
    </row>
    <row r="26069" spans="26:26" x14ac:dyDescent="0.2">
      <c r="Z26069" t="str">
        <f t="shared" si="407"/>
        <v/>
      </c>
    </row>
    <row r="26070" spans="26:26" x14ac:dyDescent="0.2">
      <c r="Z26070" t="str">
        <f t="shared" si="407"/>
        <v/>
      </c>
    </row>
    <row r="26071" spans="26:26" x14ac:dyDescent="0.2">
      <c r="Z26071" t="str">
        <f t="shared" si="407"/>
        <v/>
      </c>
    </row>
    <row r="26072" spans="26:26" x14ac:dyDescent="0.2">
      <c r="Z26072" t="str">
        <f t="shared" si="407"/>
        <v/>
      </c>
    </row>
    <row r="26073" spans="26:26" x14ac:dyDescent="0.2">
      <c r="Z26073" t="str">
        <f t="shared" si="407"/>
        <v/>
      </c>
    </row>
    <row r="26074" spans="26:26" x14ac:dyDescent="0.2">
      <c r="Z26074" t="str">
        <f t="shared" si="407"/>
        <v/>
      </c>
    </row>
    <row r="26075" spans="26:26" x14ac:dyDescent="0.2">
      <c r="Z26075" t="str">
        <f t="shared" si="407"/>
        <v/>
      </c>
    </row>
    <row r="26076" spans="26:26" x14ac:dyDescent="0.2">
      <c r="Z26076" t="str">
        <f t="shared" si="407"/>
        <v/>
      </c>
    </row>
    <row r="26077" spans="26:26" x14ac:dyDescent="0.2">
      <c r="Z26077" t="str">
        <f t="shared" si="407"/>
        <v/>
      </c>
    </row>
    <row r="26078" spans="26:26" x14ac:dyDescent="0.2">
      <c r="Z26078" t="str">
        <f t="shared" si="407"/>
        <v/>
      </c>
    </row>
    <row r="26079" spans="26:26" x14ac:dyDescent="0.2">
      <c r="Z26079" t="str">
        <f t="shared" si="407"/>
        <v/>
      </c>
    </row>
    <row r="26080" spans="26:26" x14ac:dyDescent="0.2">
      <c r="Z26080" t="str">
        <f t="shared" si="407"/>
        <v/>
      </c>
    </row>
    <row r="26081" spans="26:26" x14ac:dyDescent="0.2">
      <c r="Z26081" t="str">
        <f t="shared" si="407"/>
        <v/>
      </c>
    </row>
    <row r="26082" spans="26:26" x14ac:dyDescent="0.2">
      <c r="Z26082" t="str">
        <f t="shared" si="407"/>
        <v/>
      </c>
    </row>
    <row r="26083" spans="26:26" x14ac:dyDescent="0.2">
      <c r="Z26083" t="str">
        <f t="shared" si="407"/>
        <v/>
      </c>
    </row>
    <row r="26084" spans="26:26" x14ac:dyDescent="0.2">
      <c r="Z26084" t="str">
        <f t="shared" si="407"/>
        <v/>
      </c>
    </row>
    <row r="26085" spans="26:26" x14ac:dyDescent="0.2">
      <c r="Z26085" t="str">
        <f t="shared" si="407"/>
        <v/>
      </c>
    </row>
    <row r="26086" spans="26:26" x14ac:dyDescent="0.2">
      <c r="Z26086" t="str">
        <f t="shared" si="407"/>
        <v/>
      </c>
    </row>
    <row r="26087" spans="26:26" x14ac:dyDescent="0.2">
      <c r="Z26087" t="str">
        <f t="shared" si="407"/>
        <v/>
      </c>
    </row>
    <row r="26088" spans="26:26" x14ac:dyDescent="0.2">
      <c r="Z26088" t="str">
        <f t="shared" si="407"/>
        <v/>
      </c>
    </row>
    <row r="26089" spans="26:26" x14ac:dyDescent="0.2">
      <c r="Z26089" t="str">
        <f t="shared" si="407"/>
        <v/>
      </c>
    </row>
    <row r="26090" spans="26:26" x14ac:dyDescent="0.2">
      <c r="Z26090" t="str">
        <f t="shared" si="407"/>
        <v/>
      </c>
    </row>
    <row r="26091" spans="26:26" x14ac:dyDescent="0.2">
      <c r="Z26091" t="str">
        <f t="shared" si="407"/>
        <v/>
      </c>
    </row>
    <row r="26092" spans="26:26" x14ac:dyDescent="0.2">
      <c r="Z26092" t="str">
        <f t="shared" si="407"/>
        <v/>
      </c>
    </row>
    <row r="26093" spans="26:26" x14ac:dyDescent="0.2">
      <c r="Z26093" t="str">
        <f t="shared" si="407"/>
        <v/>
      </c>
    </row>
    <row r="26094" spans="26:26" x14ac:dyDescent="0.2">
      <c r="Z26094" t="str">
        <f t="shared" si="407"/>
        <v/>
      </c>
    </row>
    <row r="26095" spans="26:26" x14ac:dyDescent="0.2">
      <c r="Z26095" t="str">
        <f t="shared" si="407"/>
        <v/>
      </c>
    </row>
    <row r="26096" spans="26:26" x14ac:dyDescent="0.2">
      <c r="Z26096" t="str">
        <f t="shared" si="407"/>
        <v/>
      </c>
    </row>
    <row r="26097" spans="26:26" x14ac:dyDescent="0.2">
      <c r="Z26097" t="str">
        <f t="shared" si="407"/>
        <v/>
      </c>
    </row>
    <row r="26098" spans="26:26" x14ac:dyDescent="0.2">
      <c r="Z26098" t="str">
        <f t="shared" si="407"/>
        <v/>
      </c>
    </row>
    <row r="26099" spans="26:26" x14ac:dyDescent="0.2">
      <c r="Z26099" t="str">
        <f t="shared" si="407"/>
        <v/>
      </c>
    </row>
    <row r="26100" spans="26:26" x14ac:dyDescent="0.2">
      <c r="Z26100" t="str">
        <f t="shared" si="407"/>
        <v/>
      </c>
    </row>
    <row r="26101" spans="26:26" x14ac:dyDescent="0.2">
      <c r="Z26101" t="str">
        <f t="shared" si="407"/>
        <v/>
      </c>
    </row>
    <row r="26102" spans="26:26" x14ac:dyDescent="0.2">
      <c r="Z26102" t="str">
        <f t="shared" si="407"/>
        <v/>
      </c>
    </row>
    <row r="26103" spans="26:26" x14ac:dyDescent="0.2">
      <c r="Z26103" t="str">
        <f t="shared" si="407"/>
        <v/>
      </c>
    </row>
    <row r="26104" spans="26:26" x14ac:dyDescent="0.2">
      <c r="Z26104" t="str">
        <f t="shared" si="407"/>
        <v/>
      </c>
    </row>
    <row r="26105" spans="26:26" x14ac:dyDescent="0.2">
      <c r="Z26105" t="str">
        <f t="shared" si="407"/>
        <v/>
      </c>
    </row>
    <row r="26106" spans="26:26" x14ac:dyDescent="0.2">
      <c r="Z26106" t="str">
        <f t="shared" si="407"/>
        <v/>
      </c>
    </row>
    <row r="26107" spans="26:26" x14ac:dyDescent="0.2">
      <c r="Z26107" t="str">
        <f t="shared" si="407"/>
        <v/>
      </c>
    </row>
    <row r="26108" spans="26:26" x14ac:dyDescent="0.2">
      <c r="Z26108" t="str">
        <f t="shared" si="407"/>
        <v/>
      </c>
    </row>
    <row r="26109" spans="26:26" x14ac:dyDescent="0.2">
      <c r="Z26109" t="str">
        <f t="shared" si="407"/>
        <v/>
      </c>
    </row>
    <row r="26110" spans="26:26" x14ac:dyDescent="0.2">
      <c r="Z26110" t="str">
        <f t="shared" si="407"/>
        <v/>
      </c>
    </row>
    <row r="26111" spans="26:26" x14ac:dyDescent="0.2">
      <c r="Z26111" t="str">
        <f t="shared" si="407"/>
        <v/>
      </c>
    </row>
    <row r="26112" spans="26:26" x14ac:dyDescent="0.2">
      <c r="Z26112" t="str">
        <f t="shared" si="407"/>
        <v/>
      </c>
    </row>
    <row r="26113" spans="26:26" x14ac:dyDescent="0.2">
      <c r="Z26113" t="str">
        <f t="shared" si="407"/>
        <v/>
      </c>
    </row>
    <row r="26114" spans="26:26" x14ac:dyDescent="0.2">
      <c r="Z26114" t="str">
        <f t="shared" si="407"/>
        <v/>
      </c>
    </row>
    <row r="26115" spans="26:26" x14ac:dyDescent="0.2">
      <c r="Z26115" t="str">
        <f t="shared" ref="Z26115:Z26178" si="408">IF(K26115="","",IFERROR(VALUE(TRIM(MID(K26115,FIND(CHAR(167),SUBSTITUTE(K26115,"-",CHAR(167),LEN(K26115)-LEN(SUBSTITUTE(K26115,"-",""))))+1,100))),K26115))</f>
        <v/>
      </c>
    </row>
    <row r="26116" spans="26:26" x14ac:dyDescent="0.2">
      <c r="Z26116" t="str">
        <f t="shared" si="408"/>
        <v/>
      </c>
    </row>
    <row r="26117" spans="26:26" x14ac:dyDescent="0.2">
      <c r="Z26117" t="str">
        <f t="shared" si="408"/>
        <v/>
      </c>
    </row>
    <row r="26118" spans="26:26" x14ac:dyDescent="0.2">
      <c r="Z26118" t="str">
        <f t="shared" si="408"/>
        <v/>
      </c>
    </row>
    <row r="26119" spans="26:26" x14ac:dyDescent="0.2">
      <c r="Z26119" t="str">
        <f t="shared" si="408"/>
        <v/>
      </c>
    </row>
    <row r="26120" spans="26:26" x14ac:dyDescent="0.2">
      <c r="Z26120" t="str">
        <f t="shared" si="408"/>
        <v/>
      </c>
    </row>
    <row r="26121" spans="26:26" x14ac:dyDescent="0.2">
      <c r="Z26121" t="str">
        <f t="shared" si="408"/>
        <v/>
      </c>
    </row>
    <row r="26122" spans="26:26" x14ac:dyDescent="0.2">
      <c r="Z26122" t="str">
        <f t="shared" si="408"/>
        <v/>
      </c>
    </row>
    <row r="26123" spans="26:26" x14ac:dyDescent="0.2">
      <c r="Z26123" t="str">
        <f t="shared" si="408"/>
        <v/>
      </c>
    </row>
    <row r="26124" spans="26:26" x14ac:dyDescent="0.2">
      <c r="Z26124" t="str">
        <f t="shared" si="408"/>
        <v/>
      </c>
    </row>
    <row r="26125" spans="26:26" x14ac:dyDescent="0.2">
      <c r="Z26125" t="str">
        <f t="shared" si="408"/>
        <v/>
      </c>
    </row>
    <row r="26126" spans="26:26" x14ac:dyDescent="0.2">
      <c r="Z26126" t="str">
        <f t="shared" si="408"/>
        <v/>
      </c>
    </row>
    <row r="26127" spans="26:26" x14ac:dyDescent="0.2">
      <c r="Z26127" t="str">
        <f t="shared" si="408"/>
        <v/>
      </c>
    </row>
    <row r="26128" spans="26:26" x14ac:dyDescent="0.2">
      <c r="Z26128" t="str">
        <f t="shared" si="408"/>
        <v/>
      </c>
    </row>
    <row r="26129" spans="26:26" x14ac:dyDescent="0.2">
      <c r="Z26129" t="str">
        <f t="shared" si="408"/>
        <v/>
      </c>
    </row>
    <row r="26130" spans="26:26" x14ac:dyDescent="0.2">
      <c r="Z26130" t="str">
        <f t="shared" si="408"/>
        <v/>
      </c>
    </row>
    <row r="26131" spans="26:26" x14ac:dyDescent="0.2">
      <c r="Z26131" t="str">
        <f t="shared" si="408"/>
        <v/>
      </c>
    </row>
    <row r="26132" spans="26:26" x14ac:dyDescent="0.2">
      <c r="Z26132" t="str">
        <f t="shared" si="408"/>
        <v/>
      </c>
    </row>
    <row r="26133" spans="26:26" x14ac:dyDescent="0.2">
      <c r="Z26133" t="str">
        <f t="shared" si="408"/>
        <v/>
      </c>
    </row>
    <row r="26134" spans="26:26" x14ac:dyDescent="0.2">
      <c r="Z26134" t="str">
        <f t="shared" si="408"/>
        <v/>
      </c>
    </row>
    <row r="26135" spans="26:26" x14ac:dyDescent="0.2">
      <c r="Z26135" t="str">
        <f t="shared" si="408"/>
        <v/>
      </c>
    </row>
    <row r="26136" spans="26:26" x14ac:dyDescent="0.2">
      <c r="Z26136" t="str">
        <f t="shared" si="408"/>
        <v/>
      </c>
    </row>
    <row r="26137" spans="26:26" x14ac:dyDescent="0.2">
      <c r="Z26137" t="str">
        <f t="shared" si="408"/>
        <v/>
      </c>
    </row>
    <row r="26138" spans="26:26" x14ac:dyDescent="0.2">
      <c r="Z26138" t="str">
        <f t="shared" si="408"/>
        <v/>
      </c>
    </row>
    <row r="26139" spans="26:26" x14ac:dyDescent="0.2">
      <c r="Z26139" t="str">
        <f t="shared" si="408"/>
        <v/>
      </c>
    </row>
    <row r="26140" spans="26:26" x14ac:dyDescent="0.2">
      <c r="Z26140" t="str">
        <f t="shared" si="408"/>
        <v/>
      </c>
    </row>
    <row r="26141" spans="26:26" x14ac:dyDescent="0.2">
      <c r="Z26141" t="str">
        <f t="shared" si="408"/>
        <v/>
      </c>
    </row>
    <row r="26142" spans="26:26" x14ac:dyDescent="0.2">
      <c r="Z26142" t="str">
        <f t="shared" si="408"/>
        <v/>
      </c>
    </row>
    <row r="26143" spans="26:26" x14ac:dyDescent="0.2">
      <c r="Z26143" t="str">
        <f t="shared" si="408"/>
        <v/>
      </c>
    </row>
    <row r="26144" spans="26:26" x14ac:dyDescent="0.2">
      <c r="Z26144" t="str">
        <f t="shared" si="408"/>
        <v/>
      </c>
    </row>
    <row r="26145" spans="26:26" x14ac:dyDescent="0.2">
      <c r="Z26145" t="str">
        <f t="shared" si="408"/>
        <v/>
      </c>
    </row>
    <row r="26146" spans="26:26" x14ac:dyDescent="0.2">
      <c r="Z26146" t="str">
        <f t="shared" si="408"/>
        <v/>
      </c>
    </row>
    <row r="26147" spans="26:26" x14ac:dyDescent="0.2">
      <c r="Z26147" t="str">
        <f t="shared" si="408"/>
        <v/>
      </c>
    </row>
    <row r="26148" spans="26:26" x14ac:dyDescent="0.2">
      <c r="Z26148" t="str">
        <f t="shared" si="408"/>
        <v/>
      </c>
    </row>
    <row r="26149" spans="26:26" x14ac:dyDescent="0.2">
      <c r="Z26149" t="str">
        <f t="shared" si="408"/>
        <v/>
      </c>
    </row>
    <row r="26150" spans="26:26" x14ac:dyDescent="0.2">
      <c r="Z26150" t="str">
        <f t="shared" si="408"/>
        <v/>
      </c>
    </row>
    <row r="26151" spans="26:26" x14ac:dyDescent="0.2">
      <c r="Z26151" t="str">
        <f t="shared" si="408"/>
        <v/>
      </c>
    </row>
    <row r="26152" spans="26:26" x14ac:dyDescent="0.2">
      <c r="Z26152" t="str">
        <f t="shared" si="408"/>
        <v/>
      </c>
    </row>
    <row r="26153" spans="26:26" x14ac:dyDescent="0.2">
      <c r="Z26153" t="str">
        <f t="shared" si="408"/>
        <v/>
      </c>
    </row>
    <row r="26154" spans="26:26" x14ac:dyDescent="0.2">
      <c r="Z26154" t="str">
        <f t="shared" si="408"/>
        <v/>
      </c>
    </row>
    <row r="26155" spans="26:26" x14ac:dyDescent="0.2">
      <c r="Z26155" t="str">
        <f t="shared" si="408"/>
        <v/>
      </c>
    </row>
    <row r="26156" spans="26:26" x14ac:dyDescent="0.2">
      <c r="Z26156" t="str">
        <f t="shared" si="408"/>
        <v/>
      </c>
    </row>
    <row r="26157" spans="26:26" x14ac:dyDescent="0.2">
      <c r="Z26157" t="str">
        <f t="shared" si="408"/>
        <v/>
      </c>
    </row>
    <row r="26158" spans="26:26" x14ac:dyDescent="0.2">
      <c r="Z26158" t="str">
        <f t="shared" si="408"/>
        <v/>
      </c>
    </row>
    <row r="26159" spans="26:26" x14ac:dyDescent="0.2">
      <c r="Z26159" t="str">
        <f t="shared" si="408"/>
        <v/>
      </c>
    </row>
    <row r="26160" spans="26:26" x14ac:dyDescent="0.2">
      <c r="Z26160" t="str">
        <f t="shared" si="408"/>
        <v/>
      </c>
    </row>
    <row r="26161" spans="26:26" x14ac:dyDescent="0.2">
      <c r="Z26161" t="str">
        <f t="shared" si="408"/>
        <v/>
      </c>
    </row>
    <row r="26162" spans="26:26" x14ac:dyDescent="0.2">
      <c r="Z26162" t="str">
        <f t="shared" si="408"/>
        <v/>
      </c>
    </row>
    <row r="26163" spans="26:26" x14ac:dyDescent="0.2">
      <c r="Z26163" t="str">
        <f t="shared" si="408"/>
        <v/>
      </c>
    </row>
    <row r="26164" spans="26:26" x14ac:dyDescent="0.2">
      <c r="Z26164" t="str">
        <f t="shared" si="408"/>
        <v/>
      </c>
    </row>
    <row r="26165" spans="26:26" x14ac:dyDescent="0.2">
      <c r="Z26165" t="str">
        <f t="shared" si="408"/>
        <v/>
      </c>
    </row>
    <row r="26166" spans="26:26" x14ac:dyDescent="0.2">
      <c r="Z26166" t="str">
        <f t="shared" si="408"/>
        <v/>
      </c>
    </row>
    <row r="26167" spans="26:26" x14ac:dyDescent="0.2">
      <c r="Z26167" t="str">
        <f t="shared" si="408"/>
        <v/>
      </c>
    </row>
    <row r="26168" spans="26:26" x14ac:dyDescent="0.2">
      <c r="Z26168" t="str">
        <f t="shared" si="408"/>
        <v/>
      </c>
    </row>
    <row r="26169" spans="26:26" x14ac:dyDescent="0.2">
      <c r="Z26169" t="str">
        <f t="shared" si="408"/>
        <v/>
      </c>
    </row>
    <row r="26170" spans="26:26" x14ac:dyDescent="0.2">
      <c r="Z26170" t="str">
        <f t="shared" si="408"/>
        <v/>
      </c>
    </row>
    <row r="26171" spans="26:26" x14ac:dyDescent="0.2">
      <c r="Z26171" t="str">
        <f t="shared" si="408"/>
        <v/>
      </c>
    </row>
    <row r="26172" spans="26:26" x14ac:dyDescent="0.2">
      <c r="Z26172" t="str">
        <f t="shared" si="408"/>
        <v/>
      </c>
    </row>
    <row r="26173" spans="26:26" x14ac:dyDescent="0.2">
      <c r="Z26173" t="str">
        <f t="shared" si="408"/>
        <v/>
      </c>
    </row>
    <row r="26174" spans="26:26" x14ac:dyDescent="0.2">
      <c r="Z26174" t="str">
        <f t="shared" si="408"/>
        <v/>
      </c>
    </row>
    <row r="26175" spans="26:26" x14ac:dyDescent="0.2">
      <c r="Z26175" t="str">
        <f t="shared" si="408"/>
        <v/>
      </c>
    </row>
    <row r="26176" spans="26:26" x14ac:dyDescent="0.2">
      <c r="Z26176" t="str">
        <f t="shared" si="408"/>
        <v/>
      </c>
    </row>
    <row r="26177" spans="26:26" x14ac:dyDescent="0.2">
      <c r="Z26177" t="str">
        <f t="shared" si="408"/>
        <v/>
      </c>
    </row>
    <row r="26178" spans="26:26" x14ac:dyDescent="0.2">
      <c r="Z26178" t="str">
        <f t="shared" si="408"/>
        <v/>
      </c>
    </row>
    <row r="26179" spans="26:26" x14ac:dyDescent="0.2">
      <c r="Z26179" t="str">
        <f t="shared" ref="Z26179:Z26242" si="409">IF(K26179="","",IFERROR(VALUE(TRIM(MID(K26179,FIND(CHAR(167),SUBSTITUTE(K26179,"-",CHAR(167),LEN(K26179)-LEN(SUBSTITUTE(K26179,"-",""))))+1,100))),K26179))</f>
        <v/>
      </c>
    </row>
    <row r="26180" spans="26:26" x14ac:dyDescent="0.2">
      <c r="Z26180" t="str">
        <f t="shared" si="409"/>
        <v/>
      </c>
    </row>
    <row r="26181" spans="26:26" x14ac:dyDescent="0.2">
      <c r="Z26181" t="str">
        <f t="shared" si="409"/>
        <v/>
      </c>
    </row>
    <row r="26182" spans="26:26" x14ac:dyDescent="0.2">
      <c r="Z26182" t="str">
        <f t="shared" si="409"/>
        <v/>
      </c>
    </row>
    <row r="26183" spans="26:26" x14ac:dyDescent="0.2">
      <c r="Z26183" t="str">
        <f t="shared" si="409"/>
        <v/>
      </c>
    </row>
    <row r="26184" spans="26:26" x14ac:dyDescent="0.2">
      <c r="Z26184" t="str">
        <f t="shared" si="409"/>
        <v/>
      </c>
    </row>
    <row r="26185" spans="26:26" x14ac:dyDescent="0.2">
      <c r="Z26185" t="str">
        <f t="shared" si="409"/>
        <v/>
      </c>
    </row>
    <row r="26186" spans="26:26" x14ac:dyDescent="0.2">
      <c r="Z26186" t="str">
        <f t="shared" si="409"/>
        <v/>
      </c>
    </row>
    <row r="26187" spans="26:26" x14ac:dyDescent="0.2">
      <c r="Z26187" t="str">
        <f t="shared" si="409"/>
        <v/>
      </c>
    </row>
    <row r="26188" spans="26:26" x14ac:dyDescent="0.2">
      <c r="Z26188" t="str">
        <f t="shared" si="409"/>
        <v/>
      </c>
    </row>
    <row r="26189" spans="26:26" x14ac:dyDescent="0.2">
      <c r="Z26189" t="str">
        <f t="shared" si="409"/>
        <v/>
      </c>
    </row>
    <row r="26190" spans="26:26" x14ac:dyDescent="0.2">
      <c r="Z26190" t="str">
        <f t="shared" si="409"/>
        <v/>
      </c>
    </row>
    <row r="26191" spans="26:26" x14ac:dyDescent="0.2">
      <c r="Z26191" t="str">
        <f t="shared" si="409"/>
        <v/>
      </c>
    </row>
    <row r="26192" spans="26:26" x14ac:dyDescent="0.2">
      <c r="Z26192" t="str">
        <f t="shared" si="409"/>
        <v/>
      </c>
    </row>
    <row r="26193" spans="26:26" x14ac:dyDescent="0.2">
      <c r="Z26193" t="str">
        <f t="shared" si="409"/>
        <v/>
      </c>
    </row>
    <row r="26194" spans="26:26" x14ac:dyDescent="0.2">
      <c r="Z26194" t="str">
        <f t="shared" si="409"/>
        <v/>
      </c>
    </row>
    <row r="26195" spans="26:26" x14ac:dyDescent="0.2">
      <c r="Z26195" t="str">
        <f t="shared" si="409"/>
        <v/>
      </c>
    </row>
    <row r="26196" spans="26:26" x14ac:dyDescent="0.2">
      <c r="Z26196" t="str">
        <f t="shared" si="409"/>
        <v/>
      </c>
    </row>
    <row r="26197" spans="26:26" x14ac:dyDescent="0.2">
      <c r="Z26197" t="str">
        <f t="shared" si="409"/>
        <v/>
      </c>
    </row>
    <row r="26198" spans="26:26" x14ac:dyDescent="0.2">
      <c r="Z26198" t="str">
        <f t="shared" si="409"/>
        <v/>
      </c>
    </row>
    <row r="26199" spans="26:26" x14ac:dyDescent="0.2">
      <c r="Z26199" t="str">
        <f t="shared" si="409"/>
        <v/>
      </c>
    </row>
    <row r="26200" spans="26:26" x14ac:dyDescent="0.2">
      <c r="Z26200" t="str">
        <f t="shared" si="409"/>
        <v/>
      </c>
    </row>
    <row r="26201" spans="26:26" x14ac:dyDescent="0.2">
      <c r="Z26201" t="str">
        <f t="shared" si="409"/>
        <v/>
      </c>
    </row>
    <row r="26202" spans="26:26" x14ac:dyDescent="0.2">
      <c r="Z26202" t="str">
        <f t="shared" si="409"/>
        <v/>
      </c>
    </row>
    <row r="26203" spans="26:26" x14ac:dyDescent="0.2">
      <c r="Z26203" t="str">
        <f t="shared" si="409"/>
        <v/>
      </c>
    </row>
    <row r="26204" spans="26:26" x14ac:dyDescent="0.2">
      <c r="Z26204" t="str">
        <f t="shared" si="409"/>
        <v/>
      </c>
    </row>
    <row r="26205" spans="26:26" x14ac:dyDescent="0.2">
      <c r="Z26205" t="str">
        <f t="shared" si="409"/>
        <v/>
      </c>
    </row>
    <row r="26206" spans="26:26" x14ac:dyDescent="0.2">
      <c r="Z26206" t="str">
        <f t="shared" si="409"/>
        <v/>
      </c>
    </row>
    <row r="26207" spans="26:26" x14ac:dyDescent="0.2">
      <c r="Z26207" t="str">
        <f t="shared" si="409"/>
        <v/>
      </c>
    </row>
    <row r="26208" spans="26:26" x14ac:dyDescent="0.2">
      <c r="Z26208" t="str">
        <f t="shared" si="409"/>
        <v/>
      </c>
    </row>
    <row r="26209" spans="26:26" x14ac:dyDescent="0.2">
      <c r="Z26209" t="str">
        <f t="shared" si="409"/>
        <v/>
      </c>
    </row>
    <row r="26210" spans="26:26" x14ac:dyDescent="0.2">
      <c r="Z26210" t="str">
        <f t="shared" si="409"/>
        <v/>
      </c>
    </row>
    <row r="26211" spans="26:26" x14ac:dyDescent="0.2">
      <c r="Z26211" t="str">
        <f t="shared" si="409"/>
        <v/>
      </c>
    </row>
    <row r="26212" spans="26:26" x14ac:dyDescent="0.2">
      <c r="Z26212" t="str">
        <f t="shared" si="409"/>
        <v/>
      </c>
    </row>
    <row r="26213" spans="26:26" x14ac:dyDescent="0.2">
      <c r="Z26213" t="str">
        <f t="shared" si="409"/>
        <v/>
      </c>
    </row>
    <row r="26214" spans="26:26" x14ac:dyDescent="0.2">
      <c r="Z26214" t="str">
        <f t="shared" si="409"/>
        <v/>
      </c>
    </row>
    <row r="26215" spans="26:26" x14ac:dyDescent="0.2">
      <c r="Z26215" t="str">
        <f t="shared" si="409"/>
        <v/>
      </c>
    </row>
    <row r="26216" spans="26:26" x14ac:dyDescent="0.2">
      <c r="Z26216" t="str">
        <f t="shared" si="409"/>
        <v/>
      </c>
    </row>
    <row r="26217" spans="26:26" x14ac:dyDescent="0.2">
      <c r="Z26217" t="str">
        <f t="shared" si="409"/>
        <v/>
      </c>
    </row>
    <row r="26218" spans="26:26" x14ac:dyDescent="0.2">
      <c r="Z26218" t="str">
        <f t="shared" si="409"/>
        <v/>
      </c>
    </row>
    <row r="26219" spans="26:26" x14ac:dyDescent="0.2">
      <c r="Z26219" t="str">
        <f t="shared" si="409"/>
        <v/>
      </c>
    </row>
    <row r="26220" spans="26:26" x14ac:dyDescent="0.2">
      <c r="Z26220" t="str">
        <f t="shared" si="409"/>
        <v/>
      </c>
    </row>
    <row r="26221" spans="26:26" x14ac:dyDescent="0.2">
      <c r="Z26221" t="str">
        <f t="shared" si="409"/>
        <v/>
      </c>
    </row>
    <row r="26222" spans="26:26" x14ac:dyDescent="0.2">
      <c r="Z26222" t="str">
        <f t="shared" si="409"/>
        <v/>
      </c>
    </row>
    <row r="26223" spans="26:26" x14ac:dyDescent="0.2">
      <c r="Z26223" t="str">
        <f t="shared" si="409"/>
        <v/>
      </c>
    </row>
    <row r="26224" spans="26:26" x14ac:dyDescent="0.2">
      <c r="Z26224" t="str">
        <f t="shared" si="409"/>
        <v/>
      </c>
    </row>
    <row r="26225" spans="26:26" x14ac:dyDescent="0.2">
      <c r="Z26225" t="str">
        <f t="shared" si="409"/>
        <v/>
      </c>
    </row>
    <row r="26226" spans="26:26" x14ac:dyDescent="0.2">
      <c r="Z26226" t="str">
        <f t="shared" si="409"/>
        <v/>
      </c>
    </row>
    <row r="26227" spans="26:26" x14ac:dyDescent="0.2">
      <c r="Z26227" t="str">
        <f t="shared" si="409"/>
        <v/>
      </c>
    </row>
    <row r="26228" spans="26:26" x14ac:dyDescent="0.2">
      <c r="Z26228" t="str">
        <f t="shared" si="409"/>
        <v/>
      </c>
    </row>
    <row r="26229" spans="26:26" x14ac:dyDescent="0.2">
      <c r="Z26229" t="str">
        <f t="shared" si="409"/>
        <v/>
      </c>
    </row>
    <row r="26230" spans="26:26" x14ac:dyDescent="0.2">
      <c r="Z26230" t="str">
        <f t="shared" si="409"/>
        <v/>
      </c>
    </row>
    <row r="26231" spans="26:26" x14ac:dyDescent="0.2">
      <c r="Z26231" t="str">
        <f t="shared" si="409"/>
        <v/>
      </c>
    </row>
    <row r="26232" spans="26:26" x14ac:dyDescent="0.2">
      <c r="Z26232" t="str">
        <f t="shared" si="409"/>
        <v/>
      </c>
    </row>
    <row r="26233" spans="26:26" x14ac:dyDescent="0.2">
      <c r="Z26233" t="str">
        <f t="shared" si="409"/>
        <v/>
      </c>
    </row>
    <row r="26234" spans="26:26" x14ac:dyDescent="0.2">
      <c r="Z26234" t="str">
        <f t="shared" si="409"/>
        <v/>
      </c>
    </row>
    <row r="26235" spans="26:26" x14ac:dyDescent="0.2">
      <c r="Z26235" t="str">
        <f t="shared" si="409"/>
        <v/>
      </c>
    </row>
    <row r="26236" spans="26:26" x14ac:dyDescent="0.2">
      <c r="Z26236" t="str">
        <f t="shared" si="409"/>
        <v/>
      </c>
    </row>
    <row r="26237" spans="26:26" x14ac:dyDescent="0.2">
      <c r="Z26237" t="str">
        <f t="shared" si="409"/>
        <v/>
      </c>
    </row>
    <row r="26238" spans="26:26" x14ac:dyDescent="0.2">
      <c r="Z26238" t="str">
        <f t="shared" si="409"/>
        <v/>
      </c>
    </row>
    <row r="26239" spans="26:26" x14ac:dyDescent="0.2">
      <c r="Z26239" t="str">
        <f t="shared" si="409"/>
        <v/>
      </c>
    </row>
    <row r="26240" spans="26:26" x14ac:dyDescent="0.2">
      <c r="Z26240" t="str">
        <f t="shared" si="409"/>
        <v/>
      </c>
    </row>
    <row r="26241" spans="26:26" x14ac:dyDescent="0.2">
      <c r="Z26241" t="str">
        <f t="shared" si="409"/>
        <v/>
      </c>
    </row>
    <row r="26242" spans="26:26" x14ac:dyDescent="0.2">
      <c r="Z26242" t="str">
        <f t="shared" si="409"/>
        <v/>
      </c>
    </row>
    <row r="26243" spans="26:26" x14ac:dyDescent="0.2">
      <c r="Z26243" t="str">
        <f t="shared" ref="Z26243:Z26306" si="410">IF(K26243="","",IFERROR(VALUE(TRIM(MID(K26243,FIND(CHAR(167),SUBSTITUTE(K26243,"-",CHAR(167),LEN(K26243)-LEN(SUBSTITUTE(K26243,"-",""))))+1,100))),K26243))</f>
        <v/>
      </c>
    </row>
    <row r="26244" spans="26:26" x14ac:dyDescent="0.2">
      <c r="Z26244" t="str">
        <f t="shared" si="410"/>
        <v/>
      </c>
    </row>
    <row r="26245" spans="26:26" x14ac:dyDescent="0.2">
      <c r="Z26245" t="str">
        <f t="shared" si="410"/>
        <v/>
      </c>
    </row>
    <row r="26246" spans="26:26" x14ac:dyDescent="0.2">
      <c r="Z26246" t="str">
        <f t="shared" si="410"/>
        <v/>
      </c>
    </row>
    <row r="26247" spans="26:26" x14ac:dyDescent="0.2">
      <c r="Z26247" t="str">
        <f t="shared" si="410"/>
        <v/>
      </c>
    </row>
    <row r="26248" spans="26:26" x14ac:dyDescent="0.2">
      <c r="Z26248" t="str">
        <f t="shared" si="410"/>
        <v/>
      </c>
    </row>
    <row r="26249" spans="26:26" x14ac:dyDescent="0.2">
      <c r="Z26249" t="str">
        <f t="shared" si="410"/>
        <v/>
      </c>
    </row>
    <row r="26250" spans="26:26" x14ac:dyDescent="0.2">
      <c r="Z26250" t="str">
        <f t="shared" si="410"/>
        <v/>
      </c>
    </row>
    <row r="26251" spans="26:26" x14ac:dyDescent="0.2">
      <c r="Z26251" t="str">
        <f t="shared" si="410"/>
        <v/>
      </c>
    </row>
    <row r="26252" spans="26:26" x14ac:dyDescent="0.2">
      <c r="Z26252" t="str">
        <f t="shared" si="410"/>
        <v/>
      </c>
    </row>
    <row r="26253" spans="26:26" x14ac:dyDescent="0.2">
      <c r="Z26253" t="str">
        <f t="shared" si="410"/>
        <v/>
      </c>
    </row>
    <row r="26254" spans="26:26" x14ac:dyDescent="0.2">
      <c r="Z26254" t="str">
        <f t="shared" si="410"/>
        <v/>
      </c>
    </row>
    <row r="26255" spans="26:26" x14ac:dyDescent="0.2">
      <c r="Z26255" t="str">
        <f t="shared" si="410"/>
        <v/>
      </c>
    </row>
    <row r="26256" spans="26:26" x14ac:dyDescent="0.2">
      <c r="Z26256" t="str">
        <f t="shared" si="410"/>
        <v/>
      </c>
    </row>
    <row r="26257" spans="26:26" x14ac:dyDescent="0.2">
      <c r="Z26257" t="str">
        <f t="shared" si="410"/>
        <v/>
      </c>
    </row>
    <row r="26258" spans="26:26" x14ac:dyDescent="0.2">
      <c r="Z26258" t="str">
        <f t="shared" si="410"/>
        <v/>
      </c>
    </row>
    <row r="26259" spans="26:26" x14ac:dyDescent="0.2">
      <c r="Z26259" t="str">
        <f t="shared" si="410"/>
        <v/>
      </c>
    </row>
    <row r="26260" spans="26:26" x14ac:dyDescent="0.2">
      <c r="Z26260" t="str">
        <f t="shared" si="410"/>
        <v/>
      </c>
    </row>
    <row r="26261" spans="26:26" x14ac:dyDescent="0.2">
      <c r="Z26261" t="str">
        <f t="shared" si="410"/>
        <v/>
      </c>
    </row>
    <row r="26262" spans="26:26" x14ac:dyDescent="0.2">
      <c r="Z26262" t="str">
        <f t="shared" si="410"/>
        <v/>
      </c>
    </row>
    <row r="26263" spans="26:26" x14ac:dyDescent="0.2">
      <c r="Z26263" t="str">
        <f t="shared" si="410"/>
        <v/>
      </c>
    </row>
    <row r="26264" spans="26:26" x14ac:dyDescent="0.2">
      <c r="Z26264" t="str">
        <f t="shared" si="410"/>
        <v/>
      </c>
    </row>
    <row r="26265" spans="26:26" x14ac:dyDescent="0.2">
      <c r="Z26265" t="str">
        <f t="shared" si="410"/>
        <v/>
      </c>
    </row>
    <row r="26266" spans="26:26" x14ac:dyDescent="0.2">
      <c r="Z26266" t="str">
        <f t="shared" si="410"/>
        <v/>
      </c>
    </row>
    <row r="26267" spans="26:26" x14ac:dyDescent="0.2">
      <c r="Z26267" t="str">
        <f t="shared" si="410"/>
        <v/>
      </c>
    </row>
    <row r="26268" spans="26:26" x14ac:dyDescent="0.2">
      <c r="Z26268" t="str">
        <f t="shared" si="410"/>
        <v/>
      </c>
    </row>
    <row r="26269" spans="26:26" x14ac:dyDescent="0.2">
      <c r="Z26269" t="str">
        <f t="shared" si="410"/>
        <v/>
      </c>
    </row>
    <row r="26270" spans="26:26" x14ac:dyDescent="0.2">
      <c r="Z26270" t="str">
        <f t="shared" si="410"/>
        <v/>
      </c>
    </row>
    <row r="26271" spans="26:26" x14ac:dyDescent="0.2">
      <c r="Z26271" t="str">
        <f t="shared" si="410"/>
        <v/>
      </c>
    </row>
    <row r="26272" spans="26:26" x14ac:dyDescent="0.2">
      <c r="Z26272" t="str">
        <f t="shared" si="410"/>
        <v/>
      </c>
    </row>
    <row r="26273" spans="26:26" x14ac:dyDescent="0.2">
      <c r="Z26273" t="str">
        <f t="shared" si="410"/>
        <v/>
      </c>
    </row>
    <row r="26274" spans="26:26" x14ac:dyDescent="0.2">
      <c r="Z26274" t="str">
        <f t="shared" si="410"/>
        <v/>
      </c>
    </row>
    <row r="26275" spans="26:26" x14ac:dyDescent="0.2">
      <c r="Z26275" t="str">
        <f t="shared" si="410"/>
        <v/>
      </c>
    </row>
    <row r="26276" spans="26:26" x14ac:dyDescent="0.2">
      <c r="Z26276" t="str">
        <f t="shared" si="410"/>
        <v/>
      </c>
    </row>
    <row r="26277" spans="26:26" x14ac:dyDescent="0.2">
      <c r="Z26277" t="str">
        <f t="shared" si="410"/>
        <v/>
      </c>
    </row>
    <row r="26278" spans="26:26" x14ac:dyDescent="0.2">
      <c r="Z26278" t="str">
        <f t="shared" si="410"/>
        <v/>
      </c>
    </row>
    <row r="26279" spans="26:26" x14ac:dyDescent="0.2">
      <c r="Z26279" t="str">
        <f t="shared" si="410"/>
        <v/>
      </c>
    </row>
    <row r="26280" spans="26:26" x14ac:dyDescent="0.2">
      <c r="Z26280" t="str">
        <f t="shared" si="410"/>
        <v/>
      </c>
    </row>
    <row r="26281" spans="26:26" x14ac:dyDescent="0.2">
      <c r="Z26281" t="str">
        <f t="shared" si="410"/>
        <v/>
      </c>
    </row>
    <row r="26282" spans="26:26" x14ac:dyDescent="0.2">
      <c r="Z26282" t="str">
        <f t="shared" si="410"/>
        <v/>
      </c>
    </row>
    <row r="26283" spans="26:26" x14ac:dyDescent="0.2">
      <c r="Z26283" t="str">
        <f t="shared" si="410"/>
        <v/>
      </c>
    </row>
    <row r="26284" spans="26:26" x14ac:dyDescent="0.2">
      <c r="Z26284" t="str">
        <f t="shared" si="410"/>
        <v/>
      </c>
    </row>
    <row r="26285" spans="26:26" x14ac:dyDescent="0.2">
      <c r="Z26285" t="str">
        <f t="shared" si="410"/>
        <v/>
      </c>
    </row>
    <row r="26286" spans="26:26" x14ac:dyDescent="0.2">
      <c r="Z26286" t="str">
        <f t="shared" si="410"/>
        <v/>
      </c>
    </row>
    <row r="26287" spans="26:26" x14ac:dyDescent="0.2">
      <c r="Z26287" t="str">
        <f t="shared" si="410"/>
        <v/>
      </c>
    </row>
    <row r="26288" spans="26:26" x14ac:dyDescent="0.2">
      <c r="Z26288" t="str">
        <f t="shared" si="410"/>
        <v/>
      </c>
    </row>
    <row r="26289" spans="26:26" x14ac:dyDescent="0.2">
      <c r="Z26289" t="str">
        <f t="shared" si="410"/>
        <v/>
      </c>
    </row>
    <row r="26290" spans="26:26" x14ac:dyDescent="0.2">
      <c r="Z26290" t="str">
        <f t="shared" si="410"/>
        <v/>
      </c>
    </row>
    <row r="26291" spans="26:26" x14ac:dyDescent="0.2">
      <c r="Z26291" t="str">
        <f t="shared" si="410"/>
        <v/>
      </c>
    </row>
    <row r="26292" spans="26:26" x14ac:dyDescent="0.2">
      <c r="Z26292" t="str">
        <f t="shared" si="410"/>
        <v/>
      </c>
    </row>
    <row r="26293" spans="26:26" x14ac:dyDescent="0.2">
      <c r="Z26293" t="str">
        <f t="shared" si="410"/>
        <v/>
      </c>
    </row>
    <row r="26294" spans="26:26" x14ac:dyDescent="0.2">
      <c r="Z26294" t="str">
        <f t="shared" si="410"/>
        <v/>
      </c>
    </row>
    <row r="26295" spans="26:26" x14ac:dyDescent="0.2">
      <c r="Z26295" t="str">
        <f t="shared" si="410"/>
        <v/>
      </c>
    </row>
    <row r="26296" spans="26:26" x14ac:dyDescent="0.2">
      <c r="Z26296" t="str">
        <f t="shared" si="410"/>
        <v/>
      </c>
    </row>
    <row r="26297" spans="26:26" x14ac:dyDescent="0.2">
      <c r="Z26297" t="str">
        <f t="shared" si="410"/>
        <v/>
      </c>
    </row>
    <row r="26298" spans="26:26" x14ac:dyDescent="0.2">
      <c r="Z26298" t="str">
        <f t="shared" si="410"/>
        <v/>
      </c>
    </row>
    <row r="26299" spans="26:26" x14ac:dyDescent="0.2">
      <c r="Z26299" t="str">
        <f t="shared" si="410"/>
        <v/>
      </c>
    </row>
    <row r="26300" spans="26:26" x14ac:dyDescent="0.2">
      <c r="Z26300" t="str">
        <f t="shared" si="410"/>
        <v/>
      </c>
    </row>
    <row r="26301" spans="26:26" x14ac:dyDescent="0.2">
      <c r="Z26301" t="str">
        <f t="shared" si="410"/>
        <v/>
      </c>
    </row>
    <row r="26302" spans="26:26" x14ac:dyDescent="0.2">
      <c r="Z26302" t="str">
        <f t="shared" si="410"/>
        <v/>
      </c>
    </row>
    <row r="26303" spans="26:26" x14ac:dyDescent="0.2">
      <c r="Z26303" t="str">
        <f t="shared" si="410"/>
        <v/>
      </c>
    </row>
    <row r="26304" spans="26:26" x14ac:dyDescent="0.2">
      <c r="Z26304" t="str">
        <f t="shared" si="410"/>
        <v/>
      </c>
    </row>
    <row r="26305" spans="26:26" x14ac:dyDescent="0.2">
      <c r="Z26305" t="str">
        <f t="shared" si="410"/>
        <v/>
      </c>
    </row>
    <row r="26306" spans="26:26" x14ac:dyDescent="0.2">
      <c r="Z26306" t="str">
        <f t="shared" si="410"/>
        <v/>
      </c>
    </row>
    <row r="26307" spans="26:26" x14ac:dyDescent="0.2">
      <c r="Z26307" t="str">
        <f t="shared" ref="Z26307:Z26370" si="411">IF(K26307="","",IFERROR(VALUE(TRIM(MID(K26307,FIND(CHAR(167),SUBSTITUTE(K26307,"-",CHAR(167),LEN(K26307)-LEN(SUBSTITUTE(K26307,"-",""))))+1,100))),K26307))</f>
        <v/>
      </c>
    </row>
    <row r="26308" spans="26:26" x14ac:dyDescent="0.2">
      <c r="Z26308" t="str">
        <f t="shared" si="411"/>
        <v/>
      </c>
    </row>
    <row r="26309" spans="26:26" x14ac:dyDescent="0.2">
      <c r="Z26309" t="str">
        <f t="shared" si="411"/>
        <v/>
      </c>
    </row>
    <row r="26310" spans="26:26" x14ac:dyDescent="0.2">
      <c r="Z26310" t="str">
        <f t="shared" si="411"/>
        <v/>
      </c>
    </row>
    <row r="26311" spans="26:26" x14ac:dyDescent="0.2">
      <c r="Z26311" t="str">
        <f t="shared" si="411"/>
        <v/>
      </c>
    </row>
    <row r="26312" spans="26:26" x14ac:dyDescent="0.2">
      <c r="Z26312" t="str">
        <f t="shared" si="411"/>
        <v/>
      </c>
    </row>
    <row r="26313" spans="26:26" x14ac:dyDescent="0.2">
      <c r="Z26313" t="str">
        <f t="shared" si="411"/>
        <v/>
      </c>
    </row>
    <row r="26314" spans="26:26" x14ac:dyDescent="0.2">
      <c r="Z26314" t="str">
        <f t="shared" si="411"/>
        <v/>
      </c>
    </row>
    <row r="26315" spans="26:26" x14ac:dyDescent="0.2">
      <c r="Z26315" t="str">
        <f t="shared" si="411"/>
        <v/>
      </c>
    </row>
    <row r="26316" spans="26:26" x14ac:dyDescent="0.2">
      <c r="Z26316" t="str">
        <f t="shared" si="411"/>
        <v/>
      </c>
    </row>
    <row r="26317" spans="26:26" x14ac:dyDescent="0.2">
      <c r="Z26317" t="str">
        <f t="shared" si="411"/>
        <v/>
      </c>
    </row>
    <row r="26318" spans="26:26" x14ac:dyDescent="0.2">
      <c r="Z26318" t="str">
        <f t="shared" si="411"/>
        <v/>
      </c>
    </row>
    <row r="26319" spans="26:26" x14ac:dyDescent="0.2">
      <c r="Z26319" t="str">
        <f t="shared" si="411"/>
        <v/>
      </c>
    </row>
    <row r="26320" spans="26:26" x14ac:dyDescent="0.2">
      <c r="Z26320" t="str">
        <f t="shared" si="411"/>
        <v/>
      </c>
    </row>
    <row r="26321" spans="26:26" x14ac:dyDescent="0.2">
      <c r="Z26321" t="str">
        <f t="shared" si="411"/>
        <v/>
      </c>
    </row>
    <row r="26322" spans="26:26" x14ac:dyDescent="0.2">
      <c r="Z26322" t="str">
        <f t="shared" si="411"/>
        <v/>
      </c>
    </row>
    <row r="26323" spans="26:26" x14ac:dyDescent="0.2">
      <c r="Z26323" t="str">
        <f t="shared" si="411"/>
        <v/>
      </c>
    </row>
    <row r="26324" spans="26:26" x14ac:dyDescent="0.2">
      <c r="Z26324" t="str">
        <f t="shared" si="411"/>
        <v/>
      </c>
    </row>
    <row r="26325" spans="26:26" x14ac:dyDescent="0.2">
      <c r="Z26325" t="str">
        <f t="shared" si="411"/>
        <v/>
      </c>
    </row>
    <row r="26326" spans="26:26" x14ac:dyDescent="0.2">
      <c r="Z26326" t="str">
        <f t="shared" si="411"/>
        <v/>
      </c>
    </row>
    <row r="26327" spans="26:26" x14ac:dyDescent="0.2">
      <c r="Z26327" t="str">
        <f t="shared" si="411"/>
        <v/>
      </c>
    </row>
    <row r="26328" spans="26:26" x14ac:dyDescent="0.2">
      <c r="Z26328" t="str">
        <f t="shared" si="411"/>
        <v/>
      </c>
    </row>
    <row r="26329" spans="26:26" x14ac:dyDescent="0.2">
      <c r="Z26329" t="str">
        <f t="shared" si="411"/>
        <v/>
      </c>
    </row>
    <row r="26330" spans="26:26" x14ac:dyDescent="0.2">
      <c r="Z26330" t="str">
        <f t="shared" si="411"/>
        <v/>
      </c>
    </row>
    <row r="26331" spans="26:26" x14ac:dyDescent="0.2">
      <c r="Z26331" t="str">
        <f t="shared" si="411"/>
        <v/>
      </c>
    </row>
    <row r="26332" spans="26:26" x14ac:dyDescent="0.2">
      <c r="Z26332" t="str">
        <f t="shared" si="411"/>
        <v/>
      </c>
    </row>
    <row r="26333" spans="26:26" x14ac:dyDescent="0.2">
      <c r="Z26333" t="str">
        <f t="shared" si="411"/>
        <v/>
      </c>
    </row>
    <row r="26334" spans="26:26" x14ac:dyDescent="0.2">
      <c r="Z26334" t="str">
        <f t="shared" si="411"/>
        <v/>
      </c>
    </row>
    <row r="26335" spans="26:26" x14ac:dyDescent="0.2">
      <c r="Z26335" t="str">
        <f t="shared" si="411"/>
        <v/>
      </c>
    </row>
    <row r="26336" spans="26:26" x14ac:dyDescent="0.2">
      <c r="Z26336" t="str">
        <f t="shared" si="411"/>
        <v/>
      </c>
    </row>
    <row r="26337" spans="26:26" x14ac:dyDescent="0.2">
      <c r="Z26337" t="str">
        <f t="shared" si="411"/>
        <v/>
      </c>
    </row>
    <row r="26338" spans="26:26" x14ac:dyDescent="0.2">
      <c r="Z26338" t="str">
        <f t="shared" si="411"/>
        <v/>
      </c>
    </row>
    <row r="26339" spans="26:26" x14ac:dyDescent="0.2">
      <c r="Z26339" t="str">
        <f t="shared" si="411"/>
        <v/>
      </c>
    </row>
    <row r="26340" spans="26:26" x14ac:dyDescent="0.2">
      <c r="Z26340" t="str">
        <f t="shared" si="411"/>
        <v/>
      </c>
    </row>
    <row r="26341" spans="26:26" x14ac:dyDescent="0.2">
      <c r="Z26341" t="str">
        <f t="shared" si="411"/>
        <v/>
      </c>
    </row>
    <row r="26342" spans="26:26" x14ac:dyDescent="0.2">
      <c r="Z26342" t="str">
        <f t="shared" si="411"/>
        <v/>
      </c>
    </row>
    <row r="26343" spans="26:26" x14ac:dyDescent="0.2">
      <c r="Z26343" t="str">
        <f t="shared" si="411"/>
        <v/>
      </c>
    </row>
    <row r="26344" spans="26:26" x14ac:dyDescent="0.2">
      <c r="Z26344" t="str">
        <f t="shared" si="411"/>
        <v/>
      </c>
    </row>
    <row r="26345" spans="26:26" x14ac:dyDescent="0.2">
      <c r="Z26345" t="str">
        <f t="shared" si="411"/>
        <v/>
      </c>
    </row>
    <row r="26346" spans="26:26" x14ac:dyDescent="0.2">
      <c r="Z26346" t="str">
        <f t="shared" si="411"/>
        <v/>
      </c>
    </row>
    <row r="26347" spans="26:26" x14ac:dyDescent="0.2">
      <c r="Z26347" t="str">
        <f t="shared" si="411"/>
        <v/>
      </c>
    </row>
    <row r="26348" spans="26:26" x14ac:dyDescent="0.2">
      <c r="Z26348" t="str">
        <f t="shared" si="411"/>
        <v/>
      </c>
    </row>
    <row r="26349" spans="26:26" x14ac:dyDescent="0.2">
      <c r="Z26349" t="str">
        <f t="shared" si="411"/>
        <v/>
      </c>
    </row>
    <row r="26350" spans="26:26" x14ac:dyDescent="0.2">
      <c r="Z26350" t="str">
        <f t="shared" si="411"/>
        <v/>
      </c>
    </row>
    <row r="26351" spans="26:26" x14ac:dyDescent="0.2">
      <c r="Z26351" t="str">
        <f t="shared" si="411"/>
        <v/>
      </c>
    </row>
    <row r="26352" spans="26:26" x14ac:dyDescent="0.2">
      <c r="Z26352" t="str">
        <f t="shared" si="411"/>
        <v/>
      </c>
    </row>
    <row r="26353" spans="26:26" x14ac:dyDescent="0.2">
      <c r="Z26353" t="str">
        <f t="shared" si="411"/>
        <v/>
      </c>
    </row>
    <row r="26354" spans="26:26" x14ac:dyDescent="0.2">
      <c r="Z26354" t="str">
        <f t="shared" si="411"/>
        <v/>
      </c>
    </row>
    <row r="26355" spans="26:26" x14ac:dyDescent="0.2">
      <c r="Z26355" t="str">
        <f t="shared" si="411"/>
        <v/>
      </c>
    </row>
    <row r="26356" spans="26:26" x14ac:dyDescent="0.2">
      <c r="Z26356" t="str">
        <f t="shared" si="411"/>
        <v/>
      </c>
    </row>
    <row r="26357" spans="26:26" x14ac:dyDescent="0.2">
      <c r="Z26357" t="str">
        <f t="shared" si="411"/>
        <v/>
      </c>
    </row>
    <row r="26358" spans="26:26" x14ac:dyDescent="0.2">
      <c r="Z26358" t="str">
        <f t="shared" si="411"/>
        <v/>
      </c>
    </row>
    <row r="26359" spans="26:26" x14ac:dyDescent="0.2">
      <c r="Z26359" t="str">
        <f t="shared" si="411"/>
        <v/>
      </c>
    </row>
    <row r="26360" spans="26:26" x14ac:dyDescent="0.2">
      <c r="Z26360" t="str">
        <f t="shared" si="411"/>
        <v/>
      </c>
    </row>
    <row r="26361" spans="26:26" x14ac:dyDescent="0.2">
      <c r="Z26361" t="str">
        <f t="shared" si="411"/>
        <v/>
      </c>
    </row>
    <row r="26362" spans="26:26" x14ac:dyDescent="0.2">
      <c r="Z26362" t="str">
        <f t="shared" si="411"/>
        <v/>
      </c>
    </row>
    <row r="26363" spans="26:26" x14ac:dyDescent="0.2">
      <c r="Z26363" t="str">
        <f t="shared" si="411"/>
        <v/>
      </c>
    </row>
    <row r="26364" spans="26:26" x14ac:dyDescent="0.2">
      <c r="Z26364" t="str">
        <f t="shared" si="411"/>
        <v/>
      </c>
    </row>
    <row r="26365" spans="26:26" x14ac:dyDescent="0.2">
      <c r="Z26365" t="str">
        <f t="shared" si="411"/>
        <v/>
      </c>
    </row>
    <row r="26366" spans="26:26" x14ac:dyDescent="0.2">
      <c r="Z26366" t="str">
        <f t="shared" si="411"/>
        <v/>
      </c>
    </row>
    <row r="26367" spans="26:26" x14ac:dyDescent="0.2">
      <c r="Z26367" t="str">
        <f t="shared" si="411"/>
        <v/>
      </c>
    </row>
    <row r="26368" spans="26:26" x14ac:dyDescent="0.2">
      <c r="Z26368" t="str">
        <f t="shared" si="411"/>
        <v/>
      </c>
    </row>
    <row r="26369" spans="26:26" x14ac:dyDescent="0.2">
      <c r="Z26369" t="str">
        <f t="shared" si="411"/>
        <v/>
      </c>
    </row>
    <row r="26370" spans="26:26" x14ac:dyDescent="0.2">
      <c r="Z26370" t="str">
        <f t="shared" si="411"/>
        <v/>
      </c>
    </row>
    <row r="26371" spans="26:26" x14ac:dyDescent="0.2">
      <c r="Z26371" t="str">
        <f t="shared" ref="Z26371:Z26434" si="412">IF(K26371="","",IFERROR(VALUE(TRIM(MID(K26371,FIND(CHAR(167),SUBSTITUTE(K26371,"-",CHAR(167),LEN(K26371)-LEN(SUBSTITUTE(K26371,"-",""))))+1,100))),K26371))</f>
        <v/>
      </c>
    </row>
    <row r="26372" spans="26:26" x14ac:dyDescent="0.2">
      <c r="Z26372" t="str">
        <f t="shared" si="412"/>
        <v/>
      </c>
    </row>
    <row r="26373" spans="26:26" x14ac:dyDescent="0.2">
      <c r="Z26373" t="str">
        <f t="shared" si="412"/>
        <v/>
      </c>
    </row>
    <row r="26374" spans="26:26" x14ac:dyDescent="0.2">
      <c r="Z26374" t="str">
        <f t="shared" si="412"/>
        <v/>
      </c>
    </row>
    <row r="26375" spans="26:26" x14ac:dyDescent="0.2">
      <c r="Z26375" t="str">
        <f t="shared" si="412"/>
        <v/>
      </c>
    </row>
    <row r="26376" spans="26:26" x14ac:dyDescent="0.2">
      <c r="Z26376" t="str">
        <f t="shared" si="412"/>
        <v/>
      </c>
    </row>
    <row r="26377" spans="26:26" x14ac:dyDescent="0.2">
      <c r="Z26377" t="str">
        <f t="shared" si="412"/>
        <v/>
      </c>
    </row>
    <row r="26378" spans="26:26" x14ac:dyDescent="0.2">
      <c r="Z26378" t="str">
        <f t="shared" si="412"/>
        <v/>
      </c>
    </row>
    <row r="26379" spans="26:26" x14ac:dyDescent="0.2">
      <c r="Z26379" t="str">
        <f t="shared" si="412"/>
        <v/>
      </c>
    </row>
    <row r="26380" spans="26:26" x14ac:dyDescent="0.2">
      <c r="Z26380" t="str">
        <f t="shared" si="412"/>
        <v/>
      </c>
    </row>
    <row r="26381" spans="26:26" x14ac:dyDescent="0.2">
      <c r="Z26381" t="str">
        <f t="shared" si="412"/>
        <v/>
      </c>
    </row>
    <row r="26382" spans="26:26" x14ac:dyDescent="0.2">
      <c r="Z26382" t="str">
        <f t="shared" si="412"/>
        <v/>
      </c>
    </row>
    <row r="26383" spans="26:26" x14ac:dyDescent="0.2">
      <c r="Z26383" t="str">
        <f t="shared" si="412"/>
        <v/>
      </c>
    </row>
    <row r="26384" spans="26:26" x14ac:dyDescent="0.2">
      <c r="Z26384" t="str">
        <f t="shared" si="412"/>
        <v/>
      </c>
    </row>
    <row r="26385" spans="26:26" x14ac:dyDescent="0.2">
      <c r="Z26385" t="str">
        <f t="shared" si="412"/>
        <v/>
      </c>
    </row>
    <row r="26386" spans="26:26" x14ac:dyDescent="0.2">
      <c r="Z26386" t="str">
        <f t="shared" si="412"/>
        <v/>
      </c>
    </row>
    <row r="26387" spans="26:26" x14ac:dyDescent="0.2">
      <c r="Z26387" t="str">
        <f t="shared" si="412"/>
        <v/>
      </c>
    </row>
    <row r="26388" spans="26:26" x14ac:dyDescent="0.2">
      <c r="Z26388" t="str">
        <f t="shared" si="412"/>
        <v/>
      </c>
    </row>
    <row r="26389" spans="26:26" x14ac:dyDescent="0.2">
      <c r="Z26389" t="str">
        <f t="shared" si="412"/>
        <v/>
      </c>
    </row>
    <row r="26390" spans="26:26" x14ac:dyDescent="0.2">
      <c r="Z26390" t="str">
        <f t="shared" si="412"/>
        <v/>
      </c>
    </row>
    <row r="26391" spans="26:26" x14ac:dyDescent="0.2">
      <c r="Z26391" t="str">
        <f t="shared" si="412"/>
        <v/>
      </c>
    </row>
    <row r="26392" spans="26:26" x14ac:dyDescent="0.2">
      <c r="Z26392" t="str">
        <f t="shared" si="412"/>
        <v/>
      </c>
    </row>
    <row r="26393" spans="26:26" x14ac:dyDescent="0.2">
      <c r="Z26393" t="str">
        <f t="shared" si="412"/>
        <v/>
      </c>
    </row>
    <row r="26394" spans="26:26" x14ac:dyDescent="0.2">
      <c r="Z26394" t="str">
        <f t="shared" si="412"/>
        <v/>
      </c>
    </row>
    <row r="26395" spans="26:26" x14ac:dyDescent="0.2">
      <c r="Z26395" t="str">
        <f t="shared" si="412"/>
        <v/>
      </c>
    </row>
    <row r="26396" spans="26:26" x14ac:dyDescent="0.2">
      <c r="Z26396" t="str">
        <f t="shared" si="412"/>
        <v/>
      </c>
    </row>
    <row r="26397" spans="26:26" x14ac:dyDescent="0.2">
      <c r="Z26397" t="str">
        <f t="shared" si="412"/>
        <v/>
      </c>
    </row>
    <row r="26398" spans="26:26" x14ac:dyDescent="0.2">
      <c r="Z26398" t="str">
        <f t="shared" si="412"/>
        <v/>
      </c>
    </row>
    <row r="26399" spans="26:26" x14ac:dyDescent="0.2">
      <c r="Z26399" t="str">
        <f t="shared" si="412"/>
        <v/>
      </c>
    </row>
    <row r="26400" spans="26:26" x14ac:dyDescent="0.2">
      <c r="Z26400" t="str">
        <f t="shared" si="412"/>
        <v/>
      </c>
    </row>
    <row r="26401" spans="26:26" x14ac:dyDescent="0.2">
      <c r="Z26401" t="str">
        <f t="shared" si="412"/>
        <v/>
      </c>
    </row>
    <row r="26402" spans="26:26" x14ac:dyDescent="0.2">
      <c r="Z26402" t="str">
        <f t="shared" si="412"/>
        <v/>
      </c>
    </row>
    <row r="26403" spans="26:26" x14ac:dyDescent="0.2">
      <c r="Z26403" t="str">
        <f t="shared" si="412"/>
        <v/>
      </c>
    </row>
    <row r="26404" spans="26:26" x14ac:dyDescent="0.2">
      <c r="Z26404" t="str">
        <f t="shared" si="412"/>
        <v/>
      </c>
    </row>
    <row r="26405" spans="26:26" x14ac:dyDescent="0.2">
      <c r="Z26405" t="str">
        <f t="shared" si="412"/>
        <v/>
      </c>
    </row>
    <row r="26406" spans="26:26" x14ac:dyDescent="0.2">
      <c r="Z26406" t="str">
        <f t="shared" si="412"/>
        <v/>
      </c>
    </row>
    <row r="26407" spans="26:26" x14ac:dyDescent="0.2">
      <c r="Z26407" t="str">
        <f t="shared" si="412"/>
        <v/>
      </c>
    </row>
    <row r="26408" spans="26:26" x14ac:dyDescent="0.2">
      <c r="Z26408" t="str">
        <f t="shared" si="412"/>
        <v/>
      </c>
    </row>
    <row r="26409" spans="26:26" x14ac:dyDescent="0.2">
      <c r="Z26409" t="str">
        <f t="shared" si="412"/>
        <v/>
      </c>
    </row>
    <row r="26410" spans="26:26" x14ac:dyDescent="0.2">
      <c r="Z26410" t="str">
        <f t="shared" si="412"/>
        <v/>
      </c>
    </row>
    <row r="26411" spans="26:26" x14ac:dyDescent="0.2">
      <c r="Z26411" t="str">
        <f t="shared" si="412"/>
        <v/>
      </c>
    </row>
    <row r="26412" spans="26:26" x14ac:dyDescent="0.2">
      <c r="Z26412" t="str">
        <f t="shared" si="412"/>
        <v/>
      </c>
    </row>
    <row r="26413" spans="26:26" x14ac:dyDescent="0.2">
      <c r="Z26413" t="str">
        <f t="shared" si="412"/>
        <v/>
      </c>
    </row>
    <row r="26414" spans="26:26" x14ac:dyDescent="0.2">
      <c r="Z26414" t="str">
        <f t="shared" si="412"/>
        <v/>
      </c>
    </row>
    <row r="26415" spans="26:26" x14ac:dyDescent="0.2">
      <c r="Z26415" t="str">
        <f t="shared" si="412"/>
        <v/>
      </c>
    </row>
    <row r="26416" spans="26:26" x14ac:dyDescent="0.2">
      <c r="Z26416" t="str">
        <f t="shared" si="412"/>
        <v/>
      </c>
    </row>
    <row r="26417" spans="26:26" x14ac:dyDescent="0.2">
      <c r="Z26417" t="str">
        <f t="shared" si="412"/>
        <v/>
      </c>
    </row>
    <row r="26418" spans="26:26" x14ac:dyDescent="0.2">
      <c r="Z26418" t="str">
        <f t="shared" si="412"/>
        <v/>
      </c>
    </row>
    <row r="26419" spans="26:26" x14ac:dyDescent="0.2">
      <c r="Z26419" t="str">
        <f t="shared" si="412"/>
        <v/>
      </c>
    </row>
    <row r="26420" spans="26:26" x14ac:dyDescent="0.2">
      <c r="Z26420" t="str">
        <f t="shared" si="412"/>
        <v/>
      </c>
    </row>
    <row r="26421" spans="26:26" x14ac:dyDescent="0.2">
      <c r="Z26421" t="str">
        <f t="shared" si="412"/>
        <v/>
      </c>
    </row>
    <row r="26422" spans="26:26" x14ac:dyDescent="0.2">
      <c r="Z26422" t="str">
        <f t="shared" si="412"/>
        <v/>
      </c>
    </row>
    <row r="26423" spans="26:26" x14ac:dyDescent="0.2">
      <c r="Z26423" t="str">
        <f t="shared" si="412"/>
        <v/>
      </c>
    </row>
    <row r="26424" spans="26:26" x14ac:dyDescent="0.2">
      <c r="Z26424" t="str">
        <f t="shared" si="412"/>
        <v/>
      </c>
    </row>
    <row r="26425" spans="26:26" x14ac:dyDescent="0.2">
      <c r="Z26425" t="str">
        <f t="shared" si="412"/>
        <v/>
      </c>
    </row>
    <row r="26426" spans="26:26" x14ac:dyDescent="0.2">
      <c r="Z26426" t="str">
        <f t="shared" si="412"/>
        <v/>
      </c>
    </row>
    <row r="26427" spans="26:26" x14ac:dyDescent="0.2">
      <c r="Z26427" t="str">
        <f t="shared" si="412"/>
        <v/>
      </c>
    </row>
    <row r="26428" spans="26:26" x14ac:dyDescent="0.2">
      <c r="Z26428" t="str">
        <f t="shared" si="412"/>
        <v/>
      </c>
    </row>
    <row r="26429" spans="26:26" x14ac:dyDescent="0.2">
      <c r="Z26429" t="str">
        <f t="shared" si="412"/>
        <v/>
      </c>
    </row>
    <row r="26430" spans="26:26" x14ac:dyDescent="0.2">
      <c r="Z26430" t="str">
        <f t="shared" si="412"/>
        <v/>
      </c>
    </row>
    <row r="26431" spans="26:26" x14ac:dyDescent="0.2">
      <c r="Z26431" t="str">
        <f t="shared" si="412"/>
        <v/>
      </c>
    </row>
    <row r="26432" spans="26:26" x14ac:dyDescent="0.2">
      <c r="Z26432" t="str">
        <f t="shared" si="412"/>
        <v/>
      </c>
    </row>
    <row r="26433" spans="26:26" x14ac:dyDescent="0.2">
      <c r="Z26433" t="str">
        <f t="shared" si="412"/>
        <v/>
      </c>
    </row>
    <row r="26434" spans="26:26" x14ac:dyDescent="0.2">
      <c r="Z26434" t="str">
        <f t="shared" si="412"/>
        <v/>
      </c>
    </row>
    <row r="26435" spans="26:26" x14ac:dyDescent="0.2">
      <c r="Z26435" t="str">
        <f t="shared" ref="Z26435:Z26498" si="413">IF(K26435="","",IFERROR(VALUE(TRIM(MID(K26435,FIND(CHAR(167),SUBSTITUTE(K26435,"-",CHAR(167),LEN(K26435)-LEN(SUBSTITUTE(K26435,"-",""))))+1,100))),K26435))</f>
        <v/>
      </c>
    </row>
    <row r="26436" spans="26:26" x14ac:dyDescent="0.2">
      <c r="Z26436" t="str">
        <f t="shared" si="413"/>
        <v/>
      </c>
    </row>
    <row r="26437" spans="26:26" x14ac:dyDescent="0.2">
      <c r="Z26437" t="str">
        <f t="shared" si="413"/>
        <v/>
      </c>
    </row>
    <row r="26438" spans="26:26" x14ac:dyDescent="0.2">
      <c r="Z26438" t="str">
        <f t="shared" si="413"/>
        <v/>
      </c>
    </row>
    <row r="26439" spans="26:26" x14ac:dyDescent="0.2">
      <c r="Z26439" t="str">
        <f t="shared" si="413"/>
        <v/>
      </c>
    </row>
    <row r="26440" spans="26:26" x14ac:dyDescent="0.2">
      <c r="Z26440" t="str">
        <f t="shared" si="413"/>
        <v/>
      </c>
    </row>
    <row r="26441" spans="26:26" x14ac:dyDescent="0.2">
      <c r="Z26441" t="str">
        <f t="shared" si="413"/>
        <v/>
      </c>
    </row>
    <row r="26442" spans="26:26" x14ac:dyDescent="0.2">
      <c r="Z26442" t="str">
        <f t="shared" si="413"/>
        <v/>
      </c>
    </row>
    <row r="26443" spans="26:26" x14ac:dyDescent="0.2">
      <c r="Z26443" t="str">
        <f t="shared" si="413"/>
        <v/>
      </c>
    </row>
    <row r="26444" spans="26:26" x14ac:dyDescent="0.2">
      <c r="Z26444" t="str">
        <f t="shared" si="413"/>
        <v/>
      </c>
    </row>
    <row r="26445" spans="26:26" x14ac:dyDescent="0.2">
      <c r="Z26445" t="str">
        <f t="shared" si="413"/>
        <v/>
      </c>
    </row>
    <row r="26446" spans="26:26" x14ac:dyDescent="0.2">
      <c r="Z26446" t="str">
        <f t="shared" si="413"/>
        <v/>
      </c>
    </row>
    <row r="26447" spans="26:26" x14ac:dyDescent="0.2">
      <c r="Z26447" t="str">
        <f t="shared" si="413"/>
        <v/>
      </c>
    </row>
    <row r="26448" spans="26:26" x14ac:dyDescent="0.2">
      <c r="Z26448" t="str">
        <f t="shared" si="413"/>
        <v/>
      </c>
    </row>
    <row r="26449" spans="26:26" x14ac:dyDescent="0.2">
      <c r="Z26449" t="str">
        <f t="shared" si="413"/>
        <v/>
      </c>
    </row>
    <row r="26450" spans="26:26" x14ac:dyDescent="0.2">
      <c r="Z26450" t="str">
        <f t="shared" si="413"/>
        <v/>
      </c>
    </row>
    <row r="26451" spans="26:26" x14ac:dyDescent="0.2">
      <c r="Z26451" t="str">
        <f t="shared" si="413"/>
        <v/>
      </c>
    </row>
    <row r="26452" spans="26:26" x14ac:dyDescent="0.2">
      <c r="Z26452" t="str">
        <f t="shared" si="413"/>
        <v/>
      </c>
    </row>
    <row r="26453" spans="26:26" x14ac:dyDescent="0.2">
      <c r="Z26453" t="str">
        <f t="shared" si="413"/>
        <v/>
      </c>
    </row>
    <row r="26454" spans="26:26" x14ac:dyDescent="0.2">
      <c r="Z26454" t="str">
        <f t="shared" si="413"/>
        <v/>
      </c>
    </row>
    <row r="26455" spans="26:26" x14ac:dyDescent="0.2">
      <c r="Z26455" t="str">
        <f t="shared" si="413"/>
        <v/>
      </c>
    </row>
    <row r="26456" spans="26:26" x14ac:dyDescent="0.2">
      <c r="Z26456" t="str">
        <f t="shared" si="413"/>
        <v/>
      </c>
    </row>
    <row r="26457" spans="26:26" x14ac:dyDescent="0.2">
      <c r="Z26457" t="str">
        <f t="shared" si="413"/>
        <v/>
      </c>
    </row>
    <row r="26458" spans="26:26" x14ac:dyDescent="0.2">
      <c r="Z26458" t="str">
        <f t="shared" si="413"/>
        <v/>
      </c>
    </row>
    <row r="26459" spans="26:26" x14ac:dyDescent="0.2">
      <c r="Z26459" t="str">
        <f t="shared" si="413"/>
        <v/>
      </c>
    </row>
    <row r="26460" spans="26:26" x14ac:dyDescent="0.2">
      <c r="Z26460" t="str">
        <f t="shared" si="413"/>
        <v/>
      </c>
    </row>
    <row r="26461" spans="26:26" x14ac:dyDescent="0.2">
      <c r="Z26461" t="str">
        <f t="shared" si="413"/>
        <v/>
      </c>
    </row>
    <row r="26462" spans="26:26" x14ac:dyDescent="0.2">
      <c r="Z26462" t="str">
        <f t="shared" si="413"/>
        <v/>
      </c>
    </row>
    <row r="26463" spans="26:26" x14ac:dyDescent="0.2">
      <c r="Z26463" t="str">
        <f t="shared" si="413"/>
        <v/>
      </c>
    </row>
    <row r="26464" spans="26:26" x14ac:dyDescent="0.2">
      <c r="Z26464" t="str">
        <f t="shared" si="413"/>
        <v/>
      </c>
    </row>
    <row r="26465" spans="26:26" x14ac:dyDescent="0.2">
      <c r="Z26465" t="str">
        <f t="shared" si="413"/>
        <v/>
      </c>
    </row>
    <row r="26466" spans="26:26" x14ac:dyDescent="0.2">
      <c r="Z26466" t="str">
        <f t="shared" si="413"/>
        <v/>
      </c>
    </row>
    <row r="26467" spans="26:26" x14ac:dyDescent="0.2">
      <c r="Z26467" t="str">
        <f t="shared" si="413"/>
        <v/>
      </c>
    </row>
    <row r="26468" spans="26:26" x14ac:dyDescent="0.2">
      <c r="Z26468" t="str">
        <f t="shared" si="413"/>
        <v/>
      </c>
    </row>
    <row r="26469" spans="26:26" x14ac:dyDescent="0.2">
      <c r="Z26469" t="str">
        <f t="shared" si="413"/>
        <v/>
      </c>
    </row>
    <row r="26470" spans="26:26" x14ac:dyDescent="0.2">
      <c r="Z26470" t="str">
        <f t="shared" si="413"/>
        <v/>
      </c>
    </row>
    <row r="26471" spans="26:26" x14ac:dyDescent="0.2">
      <c r="Z26471" t="str">
        <f t="shared" si="413"/>
        <v/>
      </c>
    </row>
    <row r="26472" spans="26:26" x14ac:dyDescent="0.2">
      <c r="Z26472" t="str">
        <f t="shared" si="413"/>
        <v/>
      </c>
    </row>
    <row r="26473" spans="26:26" x14ac:dyDescent="0.2">
      <c r="Z26473" t="str">
        <f t="shared" si="413"/>
        <v/>
      </c>
    </row>
    <row r="26474" spans="26:26" x14ac:dyDescent="0.2">
      <c r="Z26474" t="str">
        <f t="shared" si="413"/>
        <v/>
      </c>
    </row>
    <row r="26475" spans="26:26" x14ac:dyDescent="0.2">
      <c r="Z26475" t="str">
        <f t="shared" si="413"/>
        <v/>
      </c>
    </row>
    <row r="26476" spans="26:26" x14ac:dyDescent="0.2">
      <c r="Z26476" t="str">
        <f t="shared" si="413"/>
        <v/>
      </c>
    </row>
    <row r="26477" spans="26:26" x14ac:dyDescent="0.2">
      <c r="Z26477" t="str">
        <f t="shared" si="413"/>
        <v/>
      </c>
    </row>
    <row r="26478" spans="26:26" x14ac:dyDescent="0.2">
      <c r="Z26478" t="str">
        <f t="shared" si="413"/>
        <v/>
      </c>
    </row>
    <row r="26479" spans="26:26" x14ac:dyDescent="0.2">
      <c r="Z26479" t="str">
        <f t="shared" si="413"/>
        <v/>
      </c>
    </row>
    <row r="26480" spans="26:26" x14ac:dyDescent="0.2">
      <c r="Z26480" t="str">
        <f t="shared" si="413"/>
        <v/>
      </c>
    </row>
    <row r="26481" spans="26:26" x14ac:dyDescent="0.2">
      <c r="Z26481" t="str">
        <f t="shared" si="413"/>
        <v/>
      </c>
    </row>
    <row r="26482" spans="26:26" x14ac:dyDescent="0.2">
      <c r="Z26482" t="str">
        <f t="shared" si="413"/>
        <v/>
      </c>
    </row>
    <row r="26483" spans="26:26" x14ac:dyDescent="0.2">
      <c r="Z26483" t="str">
        <f t="shared" si="413"/>
        <v/>
      </c>
    </row>
    <row r="26484" spans="26:26" x14ac:dyDescent="0.2">
      <c r="Z26484" t="str">
        <f t="shared" si="413"/>
        <v/>
      </c>
    </row>
    <row r="26485" spans="26:26" x14ac:dyDescent="0.2">
      <c r="Z26485" t="str">
        <f t="shared" si="413"/>
        <v/>
      </c>
    </row>
    <row r="26486" spans="26:26" x14ac:dyDescent="0.2">
      <c r="Z26486" t="str">
        <f t="shared" si="413"/>
        <v/>
      </c>
    </row>
    <row r="26487" spans="26:26" x14ac:dyDescent="0.2">
      <c r="Z26487" t="str">
        <f t="shared" si="413"/>
        <v/>
      </c>
    </row>
    <row r="26488" spans="26:26" x14ac:dyDescent="0.2">
      <c r="Z26488" t="str">
        <f t="shared" si="413"/>
        <v/>
      </c>
    </row>
    <row r="26489" spans="26:26" x14ac:dyDescent="0.2">
      <c r="Z26489" t="str">
        <f t="shared" si="413"/>
        <v/>
      </c>
    </row>
    <row r="26490" spans="26:26" x14ac:dyDescent="0.2">
      <c r="Z26490" t="str">
        <f t="shared" si="413"/>
        <v/>
      </c>
    </row>
    <row r="26491" spans="26:26" x14ac:dyDescent="0.2">
      <c r="Z26491" t="str">
        <f t="shared" si="413"/>
        <v/>
      </c>
    </row>
    <row r="26492" spans="26:26" x14ac:dyDescent="0.2">
      <c r="Z26492" t="str">
        <f t="shared" si="413"/>
        <v/>
      </c>
    </row>
    <row r="26493" spans="26:26" x14ac:dyDescent="0.2">
      <c r="Z26493" t="str">
        <f t="shared" si="413"/>
        <v/>
      </c>
    </row>
    <row r="26494" spans="26:26" x14ac:dyDescent="0.2">
      <c r="Z26494" t="str">
        <f t="shared" si="413"/>
        <v/>
      </c>
    </row>
    <row r="26495" spans="26:26" x14ac:dyDescent="0.2">
      <c r="Z26495" t="str">
        <f t="shared" si="413"/>
        <v/>
      </c>
    </row>
    <row r="26496" spans="26:26" x14ac:dyDescent="0.2">
      <c r="Z26496" t="str">
        <f t="shared" si="413"/>
        <v/>
      </c>
    </row>
    <row r="26497" spans="26:26" x14ac:dyDescent="0.2">
      <c r="Z26497" t="str">
        <f t="shared" si="413"/>
        <v/>
      </c>
    </row>
    <row r="26498" spans="26:26" x14ac:dyDescent="0.2">
      <c r="Z26498" t="str">
        <f t="shared" si="413"/>
        <v/>
      </c>
    </row>
    <row r="26499" spans="26:26" x14ac:dyDescent="0.2">
      <c r="Z26499" t="str">
        <f t="shared" ref="Z26499:Z26562" si="414">IF(K26499="","",IFERROR(VALUE(TRIM(MID(K26499,FIND(CHAR(167),SUBSTITUTE(K26499,"-",CHAR(167),LEN(K26499)-LEN(SUBSTITUTE(K26499,"-",""))))+1,100))),K26499))</f>
        <v/>
      </c>
    </row>
    <row r="26500" spans="26:26" x14ac:dyDescent="0.2">
      <c r="Z26500" t="str">
        <f t="shared" si="414"/>
        <v/>
      </c>
    </row>
    <row r="26501" spans="26:26" x14ac:dyDescent="0.2">
      <c r="Z26501" t="str">
        <f t="shared" si="414"/>
        <v/>
      </c>
    </row>
    <row r="26502" spans="26:26" x14ac:dyDescent="0.2">
      <c r="Z26502" t="str">
        <f t="shared" si="414"/>
        <v/>
      </c>
    </row>
    <row r="26503" spans="26:26" x14ac:dyDescent="0.2">
      <c r="Z26503" t="str">
        <f t="shared" si="414"/>
        <v/>
      </c>
    </row>
    <row r="26504" spans="26:26" x14ac:dyDescent="0.2">
      <c r="Z26504" t="str">
        <f t="shared" si="414"/>
        <v/>
      </c>
    </row>
    <row r="26505" spans="26:26" x14ac:dyDescent="0.2">
      <c r="Z26505" t="str">
        <f t="shared" si="414"/>
        <v/>
      </c>
    </row>
    <row r="26506" spans="26:26" x14ac:dyDescent="0.2">
      <c r="Z26506" t="str">
        <f t="shared" si="414"/>
        <v/>
      </c>
    </row>
    <row r="26507" spans="26:26" x14ac:dyDescent="0.2">
      <c r="Z26507" t="str">
        <f t="shared" si="414"/>
        <v/>
      </c>
    </row>
    <row r="26508" spans="26:26" x14ac:dyDescent="0.2">
      <c r="Z26508" t="str">
        <f t="shared" si="414"/>
        <v/>
      </c>
    </row>
    <row r="26509" spans="26:26" x14ac:dyDescent="0.2">
      <c r="Z26509" t="str">
        <f t="shared" si="414"/>
        <v/>
      </c>
    </row>
    <row r="26510" spans="26:26" x14ac:dyDescent="0.2">
      <c r="Z26510" t="str">
        <f t="shared" si="414"/>
        <v/>
      </c>
    </row>
    <row r="26511" spans="26:26" x14ac:dyDescent="0.2">
      <c r="Z26511" t="str">
        <f t="shared" si="414"/>
        <v/>
      </c>
    </row>
    <row r="26512" spans="26:26" x14ac:dyDescent="0.2">
      <c r="Z26512" t="str">
        <f t="shared" si="414"/>
        <v/>
      </c>
    </row>
    <row r="26513" spans="26:26" x14ac:dyDescent="0.2">
      <c r="Z26513" t="str">
        <f t="shared" si="414"/>
        <v/>
      </c>
    </row>
    <row r="26514" spans="26:26" x14ac:dyDescent="0.2">
      <c r="Z26514" t="str">
        <f t="shared" si="414"/>
        <v/>
      </c>
    </row>
    <row r="26515" spans="26:26" x14ac:dyDescent="0.2">
      <c r="Z26515" t="str">
        <f t="shared" si="414"/>
        <v/>
      </c>
    </row>
    <row r="26516" spans="26:26" x14ac:dyDescent="0.2">
      <c r="Z26516" t="str">
        <f t="shared" si="414"/>
        <v/>
      </c>
    </row>
    <row r="26517" spans="26:26" x14ac:dyDescent="0.2">
      <c r="Z26517" t="str">
        <f t="shared" si="414"/>
        <v/>
      </c>
    </row>
    <row r="26518" spans="26:26" x14ac:dyDescent="0.2">
      <c r="Z26518" t="str">
        <f t="shared" si="414"/>
        <v/>
      </c>
    </row>
    <row r="26519" spans="26:26" x14ac:dyDescent="0.2">
      <c r="Z26519" t="str">
        <f t="shared" si="414"/>
        <v/>
      </c>
    </row>
    <row r="26520" spans="26:26" x14ac:dyDescent="0.2">
      <c r="Z26520" t="str">
        <f t="shared" si="414"/>
        <v/>
      </c>
    </row>
    <row r="26521" spans="26:26" x14ac:dyDescent="0.2">
      <c r="Z26521" t="str">
        <f t="shared" si="414"/>
        <v/>
      </c>
    </row>
    <row r="26522" spans="26:26" x14ac:dyDescent="0.2">
      <c r="Z26522" t="str">
        <f t="shared" si="414"/>
        <v/>
      </c>
    </row>
    <row r="26523" spans="26:26" x14ac:dyDescent="0.2">
      <c r="Z26523" t="str">
        <f t="shared" si="414"/>
        <v/>
      </c>
    </row>
    <row r="26524" spans="26:26" x14ac:dyDescent="0.2">
      <c r="Z26524" t="str">
        <f t="shared" si="414"/>
        <v/>
      </c>
    </row>
    <row r="26525" spans="26:26" x14ac:dyDescent="0.2">
      <c r="Z26525" t="str">
        <f t="shared" si="414"/>
        <v/>
      </c>
    </row>
    <row r="26526" spans="26:26" x14ac:dyDescent="0.2">
      <c r="Z26526" t="str">
        <f t="shared" si="414"/>
        <v/>
      </c>
    </row>
    <row r="26527" spans="26:26" x14ac:dyDescent="0.2">
      <c r="Z26527" t="str">
        <f t="shared" si="414"/>
        <v/>
      </c>
    </row>
    <row r="26528" spans="26:26" x14ac:dyDescent="0.2">
      <c r="Z26528" t="str">
        <f t="shared" si="414"/>
        <v/>
      </c>
    </row>
    <row r="26529" spans="26:26" x14ac:dyDescent="0.2">
      <c r="Z26529" t="str">
        <f t="shared" si="414"/>
        <v/>
      </c>
    </row>
    <row r="26530" spans="26:26" x14ac:dyDescent="0.2">
      <c r="Z26530" t="str">
        <f t="shared" si="414"/>
        <v/>
      </c>
    </row>
    <row r="26531" spans="26:26" x14ac:dyDescent="0.2">
      <c r="Z26531" t="str">
        <f t="shared" si="414"/>
        <v/>
      </c>
    </row>
    <row r="26532" spans="26:26" x14ac:dyDescent="0.2">
      <c r="Z26532" t="str">
        <f t="shared" si="414"/>
        <v/>
      </c>
    </row>
    <row r="26533" spans="26:26" x14ac:dyDescent="0.2">
      <c r="Z26533" t="str">
        <f t="shared" si="414"/>
        <v/>
      </c>
    </row>
    <row r="26534" spans="26:26" x14ac:dyDescent="0.2">
      <c r="Z26534" t="str">
        <f t="shared" si="414"/>
        <v/>
      </c>
    </row>
    <row r="26535" spans="26:26" x14ac:dyDescent="0.2">
      <c r="Z26535" t="str">
        <f t="shared" si="414"/>
        <v/>
      </c>
    </row>
    <row r="26536" spans="26:26" x14ac:dyDescent="0.2">
      <c r="Z26536" t="str">
        <f t="shared" si="414"/>
        <v/>
      </c>
    </row>
    <row r="26537" spans="26:26" x14ac:dyDescent="0.2">
      <c r="Z26537" t="str">
        <f t="shared" si="414"/>
        <v/>
      </c>
    </row>
    <row r="26538" spans="26:26" x14ac:dyDescent="0.2">
      <c r="Z26538" t="str">
        <f t="shared" si="414"/>
        <v/>
      </c>
    </row>
    <row r="26539" spans="26:26" x14ac:dyDescent="0.2">
      <c r="Z26539" t="str">
        <f t="shared" si="414"/>
        <v/>
      </c>
    </row>
    <row r="26540" spans="26:26" x14ac:dyDescent="0.2">
      <c r="Z26540" t="str">
        <f t="shared" si="414"/>
        <v/>
      </c>
    </row>
    <row r="26541" spans="26:26" x14ac:dyDescent="0.2">
      <c r="Z26541" t="str">
        <f t="shared" si="414"/>
        <v/>
      </c>
    </row>
    <row r="26542" spans="26:26" x14ac:dyDescent="0.2">
      <c r="Z26542" t="str">
        <f t="shared" si="414"/>
        <v/>
      </c>
    </row>
    <row r="26543" spans="26:26" x14ac:dyDescent="0.2">
      <c r="Z26543" t="str">
        <f t="shared" si="414"/>
        <v/>
      </c>
    </row>
    <row r="26544" spans="26:26" x14ac:dyDescent="0.2">
      <c r="Z26544" t="str">
        <f t="shared" si="414"/>
        <v/>
      </c>
    </row>
    <row r="26545" spans="26:26" x14ac:dyDescent="0.2">
      <c r="Z26545" t="str">
        <f t="shared" si="414"/>
        <v/>
      </c>
    </row>
    <row r="26546" spans="26:26" x14ac:dyDescent="0.2">
      <c r="Z26546" t="str">
        <f t="shared" si="414"/>
        <v/>
      </c>
    </row>
    <row r="26547" spans="26:26" x14ac:dyDescent="0.2">
      <c r="Z26547" t="str">
        <f t="shared" si="414"/>
        <v/>
      </c>
    </row>
    <row r="26548" spans="26:26" x14ac:dyDescent="0.2">
      <c r="Z26548" t="str">
        <f t="shared" si="414"/>
        <v/>
      </c>
    </row>
    <row r="26549" spans="26:26" x14ac:dyDescent="0.2">
      <c r="Z26549" t="str">
        <f t="shared" si="414"/>
        <v/>
      </c>
    </row>
    <row r="26550" spans="26:26" x14ac:dyDescent="0.2">
      <c r="Z26550" t="str">
        <f t="shared" si="414"/>
        <v/>
      </c>
    </row>
    <row r="26551" spans="26:26" x14ac:dyDescent="0.2">
      <c r="Z26551" t="str">
        <f t="shared" si="414"/>
        <v/>
      </c>
    </row>
    <row r="26552" spans="26:26" x14ac:dyDescent="0.2">
      <c r="Z26552" t="str">
        <f t="shared" si="414"/>
        <v/>
      </c>
    </row>
    <row r="26553" spans="26:26" x14ac:dyDescent="0.2">
      <c r="Z26553" t="str">
        <f t="shared" si="414"/>
        <v/>
      </c>
    </row>
    <row r="26554" spans="26:26" x14ac:dyDescent="0.2">
      <c r="Z26554" t="str">
        <f t="shared" si="414"/>
        <v/>
      </c>
    </row>
    <row r="26555" spans="26:26" x14ac:dyDescent="0.2">
      <c r="Z26555" t="str">
        <f t="shared" si="414"/>
        <v/>
      </c>
    </row>
    <row r="26556" spans="26:26" x14ac:dyDescent="0.2">
      <c r="Z26556" t="str">
        <f t="shared" si="414"/>
        <v/>
      </c>
    </row>
    <row r="26557" spans="26:26" x14ac:dyDescent="0.2">
      <c r="Z26557" t="str">
        <f t="shared" si="414"/>
        <v/>
      </c>
    </row>
    <row r="26558" spans="26:26" x14ac:dyDescent="0.2">
      <c r="Z26558" t="str">
        <f t="shared" si="414"/>
        <v/>
      </c>
    </row>
    <row r="26559" spans="26:26" x14ac:dyDescent="0.2">
      <c r="Z26559" t="str">
        <f t="shared" si="414"/>
        <v/>
      </c>
    </row>
    <row r="26560" spans="26:26" x14ac:dyDescent="0.2">
      <c r="Z26560" t="str">
        <f t="shared" si="414"/>
        <v/>
      </c>
    </row>
    <row r="26561" spans="26:26" x14ac:dyDescent="0.2">
      <c r="Z26561" t="str">
        <f t="shared" si="414"/>
        <v/>
      </c>
    </row>
    <row r="26562" spans="26:26" x14ac:dyDescent="0.2">
      <c r="Z26562" t="str">
        <f t="shared" si="414"/>
        <v/>
      </c>
    </row>
    <row r="26563" spans="26:26" x14ac:dyDescent="0.2">
      <c r="Z26563" t="str">
        <f t="shared" ref="Z26563:Z26626" si="415">IF(K26563="","",IFERROR(VALUE(TRIM(MID(K26563,FIND(CHAR(167),SUBSTITUTE(K26563,"-",CHAR(167),LEN(K26563)-LEN(SUBSTITUTE(K26563,"-",""))))+1,100))),K26563))</f>
        <v/>
      </c>
    </row>
    <row r="26564" spans="26:26" x14ac:dyDescent="0.2">
      <c r="Z26564" t="str">
        <f t="shared" si="415"/>
        <v/>
      </c>
    </row>
    <row r="26565" spans="26:26" x14ac:dyDescent="0.2">
      <c r="Z26565" t="str">
        <f t="shared" si="415"/>
        <v/>
      </c>
    </row>
    <row r="26566" spans="26:26" x14ac:dyDescent="0.2">
      <c r="Z26566" t="str">
        <f t="shared" si="415"/>
        <v/>
      </c>
    </row>
    <row r="26567" spans="26:26" x14ac:dyDescent="0.2">
      <c r="Z26567" t="str">
        <f t="shared" si="415"/>
        <v/>
      </c>
    </row>
    <row r="26568" spans="26:26" x14ac:dyDescent="0.2">
      <c r="Z26568" t="str">
        <f t="shared" si="415"/>
        <v/>
      </c>
    </row>
    <row r="26569" spans="26:26" x14ac:dyDescent="0.2">
      <c r="Z26569" t="str">
        <f t="shared" si="415"/>
        <v/>
      </c>
    </row>
    <row r="26570" spans="26:26" x14ac:dyDescent="0.2">
      <c r="Z26570" t="str">
        <f t="shared" si="415"/>
        <v/>
      </c>
    </row>
    <row r="26571" spans="26:26" x14ac:dyDescent="0.2">
      <c r="Z26571" t="str">
        <f t="shared" si="415"/>
        <v/>
      </c>
    </row>
    <row r="26572" spans="26:26" x14ac:dyDescent="0.2">
      <c r="Z26572" t="str">
        <f t="shared" si="415"/>
        <v/>
      </c>
    </row>
    <row r="26573" spans="26:26" x14ac:dyDescent="0.2">
      <c r="Z26573" t="str">
        <f t="shared" si="415"/>
        <v/>
      </c>
    </row>
    <row r="26574" spans="26:26" x14ac:dyDescent="0.2">
      <c r="Z26574" t="str">
        <f t="shared" si="415"/>
        <v/>
      </c>
    </row>
    <row r="26575" spans="26:26" x14ac:dyDescent="0.2">
      <c r="Z26575" t="str">
        <f t="shared" si="415"/>
        <v/>
      </c>
    </row>
    <row r="26576" spans="26:26" x14ac:dyDescent="0.2">
      <c r="Z26576" t="str">
        <f t="shared" si="415"/>
        <v/>
      </c>
    </row>
    <row r="26577" spans="26:26" x14ac:dyDescent="0.2">
      <c r="Z26577" t="str">
        <f t="shared" si="415"/>
        <v/>
      </c>
    </row>
    <row r="26578" spans="26:26" x14ac:dyDescent="0.2">
      <c r="Z26578" t="str">
        <f t="shared" si="415"/>
        <v/>
      </c>
    </row>
    <row r="26579" spans="26:26" x14ac:dyDescent="0.2">
      <c r="Z26579" t="str">
        <f t="shared" si="415"/>
        <v/>
      </c>
    </row>
    <row r="26580" spans="26:26" x14ac:dyDescent="0.2">
      <c r="Z26580" t="str">
        <f t="shared" si="415"/>
        <v/>
      </c>
    </row>
    <row r="26581" spans="26:26" x14ac:dyDescent="0.2">
      <c r="Z26581" t="str">
        <f t="shared" si="415"/>
        <v/>
      </c>
    </row>
    <row r="26582" spans="26:26" x14ac:dyDescent="0.2">
      <c r="Z26582" t="str">
        <f t="shared" si="415"/>
        <v/>
      </c>
    </row>
    <row r="26583" spans="26:26" x14ac:dyDescent="0.2">
      <c r="Z26583" t="str">
        <f t="shared" si="415"/>
        <v/>
      </c>
    </row>
    <row r="26584" spans="26:26" x14ac:dyDescent="0.2">
      <c r="Z26584" t="str">
        <f t="shared" si="415"/>
        <v/>
      </c>
    </row>
    <row r="26585" spans="26:26" x14ac:dyDescent="0.2">
      <c r="Z26585" t="str">
        <f t="shared" si="415"/>
        <v/>
      </c>
    </row>
    <row r="26586" spans="26:26" x14ac:dyDescent="0.2">
      <c r="Z26586" t="str">
        <f t="shared" si="415"/>
        <v/>
      </c>
    </row>
    <row r="26587" spans="26:26" x14ac:dyDescent="0.2">
      <c r="Z26587" t="str">
        <f t="shared" si="415"/>
        <v/>
      </c>
    </row>
    <row r="26588" spans="26:26" x14ac:dyDescent="0.2">
      <c r="Z26588" t="str">
        <f t="shared" si="415"/>
        <v/>
      </c>
    </row>
    <row r="26589" spans="26:26" x14ac:dyDescent="0.2">
      <c r="Z26589" t="str">
        <f t="shared" si="415"/>
        <v/>
      </c>
    </row>
    <row r="26590" spans="26:26" x14ac:dyDescent="0.2">
      <c r="Z26590" t="str">
        <f t="shared" si="415"/>
        <v/>
      </c>
    </row>
    <row r="26591" spans="26:26" x14ac:dyDescent="0.2">
      <c r="Z26591" t="str">
        <f t="shared" si="415"/>
        <v/>
      </c>
    </row>
    <row r="26592" spans="26:26" x14ac:dyDescent="0.2">
      <c r="Z26592" t="str">
        <f t="shared" si="415"/>
        <v/>
      </c>
    </row>
    <row r="26593" spans="26:26" x14ac:dyDescent="0.2">
      <c r="Z26593" t="str">
        <f t="shared" si="415"/>
        <v/>
      </c>
    </row>
    <row r="26594" spans="26:26" x14ac:dyDescent="0.2">
      <c r="Z26594" t="str">
        <f t="shared" si="415"/>
        <v/>
      </c>
    </row>
    <row r="26595" spans="26:26" x14ac:dyDescent="0.2">
      <c r="Z26595" t="str">
        <f t="shared" si="415"/>
        <v/>
      </c>
    </row>
    <row r="26596" spans="26:26" x14ac:dyDescent="0.2">
      <c r="Z26596" t="str">
        <f t="shared" si="415"/>
        <v/>
      </c>
    </row>
    <row r="26597" spans="26:26" x14ac:dyDescent="0.2">
      <c r="Z26597" t="str">
        <f t="shared" si="415"/>
        <v/>
      </c>
    </row>
    <row r="26598" spans="26:26" x14ac:dyDescent="0.2">
      <c r="Z26598" t="str">
        <f t="shared" si="415"/>
        <v/>
      </c>
    </row>
    <row r="26599" spans="26:26" x14ac:dyDescent="0.2">
      <c r="Z26599" t="str">
        <f t="shared" si="415"/>
        <v/>
      </c>
    </row>
    <row r="26600" spans="26:26" x14ac:dyDescent="0.2">
      <c r="Z26600" t="str">
        <f t="shared" si="415"/>
        <v/>
      </c>
    </row>
    <row r="26601" spans="26:26" x14ac:dyDescent="0.2">
      <c r="Z26601" t="str">
        <f t="shared" si="415"/>
        <v/>
      </c>
    </row>
    <row r="26602" spans="26:26" x14ac:dyDescent="0.2">
      <c r="Z26602" t="str">
        <f t="shared" si="415"/>
        <v/>
      </c>
    </row>
    <row r="26603" spans="26:26" x14ac:dyDescent="0.2">
      <c r="Z26603" t="str">
        <f t="shared" si="415"/>
        <v/>
      </c>
    </row>
    <row r="26604" spans="26:26" x14ac:dyDescent="0.2">
      <c r="Z26604" t="str">
        <f t="shared" si="415"/>
        <v/>
      </c>
    </row>
    <row r="26605" spans="26:26" x14ac:dyDescent="0.2">
      <c r="Z26605" t="str">
        <f t="shared" si="415"/>
        <v/>
      </c>
    </row>
    <row r="26606" spans="26:26" x14ac:dyDescent="0.2">
      <c r="Z26606" t="str">
        <f t="shared" si="415"/>
        <v/>
      </c>
    </row>
    <row r="26607" spans="26:26" x14ac:dyDescent="0.2">
      <c r="Z26607" t="str">
        <f t="shared" si="415"/>
        <v/>
      </c>
    </row>
    <row r="26608" spans="26:26" x14ac:dyDescent="0.2">
      <c r="Z26608" t="str">
        <f t="shared" si="415"/>
        <v/>
      </c>
    </row>
    <row r="26609" spans="26:26" x14ac:dyDescent="0.2">
      <c r="Z26609" t="str">
        <f t="shared" si="415"/>
        <v/>
      </c>
    </row>
    <row r="26610" spans="26:26" x14ac:dyDescent="0.2">
      <c r="Z26610" t="str">
        <f t="shared" si="415"/>
        <v/>
      </c>
    </row>
    <row r="26611" spans="26:26" x14ac:dyDescent="0.2">
      <c r="Z26611" t="str">
        <f t="shared" si="415"/>
        <v/>
      </c>
    </row>
    <row r="26612" spans="26:26" x14ac:dyDescent="0.2">
      <c r="Z26612" t="str">
        <f t="shared" si="415"/>
        <v/>
      </c>
    </row>
    <row r="26613" spans="26:26" x14ac:dyDescent="0.2">
      <c r="Z26613" t="str">
        <f t="shared" si="415"/>
        <v/>
      </c>
    </row>
    <row r="26614" spans="26:26" x14ac:dyDescent="0.2">
      <c r="Z26614" t="str">
        <f t="shared" si="415"/>
        <v/>
      </c>
    </row>
    <row r="26615" spans="26:26" x14ac:dyDescent="0.2">
      <c r="Z26615" t="str">
        <f t="shared" si="415"/>
        <v/>
      </c>
    </row>
    <row r="26616" spans="26:26" x14ac:dyDescent="0.2">
      <c r="Z26616" t="str">
        <f t="shared" si="415"/>
        <v/>
      </c>
    </row>
    <row r="26617" spans="26:26" x14ac:dyDescent="0.2">
      <c r="Z26617" t="str">
        <f t="shared" si="415"/>
        <v/>
      </c>
    </row>
    <row r="26618" spans="26:26" x14ac:dyDescent="0.2">
      <c r="Z26618" t="str">
        <f t="shared" si="415"/>
        <v/>
      </c>
    </row>
    <row r="26619" spans="26:26" x14ac:dyDescent="0.2">
      <c r="Z26619" t="str">
        <f t="shared" si="415"/>
        <v/>
      </c>
    </row>
    <row r="26620" spans="26:26" x14ac:dyDescent="0.2">
      <c r="Z26620" t="str">
        <f t="shared" si="415"/>
        <v/>
      </c>
    </row>
    <row r="26621" spans="26:26" x14ac:dyDescent="0.2">
      <c r="Z26621" t="str">
        <f t="shared" si="415"/>
        <v/>
      </c>
    </row>
    <row r="26622" spans="26:26" x14ac:dyDescent="0.2">
      <c r="Z26622" t="str">
        <f t="shared" si="415"/>
        <v/>
      </c>
    </row>
    <row r="26623" spans="26:26" x14ac:dyDescent="0.2">
      <c r="Z26623" t="str">
        <f t="shared" si="415"/>
        <v/>
      </c>
    </row>
    <row r="26624" spans="26:26" x14ac:dyDescent="0.2">
      <c r="Z26624" t="str">
        <f t="shared" si="415"/>
        <v/>
      </c>
    </row>
    <row r="26625" spans="26:26" x14ac:dyDescent="0.2">
      <c r="Z26625" t="str">
        <f t="shared" si="415"/>
        <v/>
      </c>
    </row>
    <row r="26626" spans="26:26" x14ac:dyDescent="0.2">
      <c r="Z26626" t="str">
        <f t="shared" si="415"/>
        <v/>
      </c>
    </row>
    <row r="26627" spans="26:26" x14ac:dyDescent="0.2">
      <c r="Z26627" t="str">
        <f t="shared" ref="Z26627:Z26690" si="416">IF(K26627="","",IFERROR(VALUE(TRIM(MID(K26627,FIND(CHAR(167),SUBSTITUTE(K26627,"-",CHAR(167),LEN(K26627)-LEN(SUBSTITUTE(K26627,"-",""))))+1,100))),K26627))</f>
        <v/>
      </c>
    </row>
    <row r="26628" spans="26:26" x14ac:dyDescent="0.2">
      <c r="Z26628" t="str">
        <f t="shared" si="416"/>
        <v/>
      </c>
    </row>
    <row r="26629" spans="26:26" x14ac:dyDescent="0.2">
      <c r="Z26629" t="str">
        <f t="shared" si="416"/>
        <v/>
      </c>
    </row>
    <row r="26630" spans="26:26" x14ac:dyDescent="0.2">
      <c r="Z26630" t="str">
        <f t="shared" si="416"/>
        <v/>
      </c>
    </row>
    <row r="26631" spans="26:26" x14ac:dyDescent="0.2">
      <c r="Z26631" t="str">
        <f t="shared" si="416"/>
        <v/>
      </c>
    </row>
    <row r="26632" spans="26:26" x14ac:dyDescent="0.2">
      <c r="Z26632" t="str">
        <f t="shared" si="416"/>
        <v/>
      </c>
    </row>
    <row r="26633" spans="26:26" x14ac:dyDescent="0.2">
      <c r="Z26633" t="str">
        <f t="shared" si="416"/>
        <v/>
      </c>
    </row>
    <row r="26634" spans="26:26" x14ac:dyDescent="0.2">
      <c r="Z26634" t="str">
        <f t="shared" si="416"/>
        <v/>
      </c>
    </row>
    <row r="26635" spans="26:26" x14ac:dyDescent="0.2">
      <c r="Z26635" t="str">
        <f t="shared" si="416"/>
        <v/>
      </c>
    </row>
    <row r="26636" spans="26:26" x14ac:dyDescent="0.2">
      <c r="Z26636" t="str">
        <f t="shared" si="416"/>
        <v/>
      </c>
    </row>
    <row r="26637" spans="26:26" x14ac:dyDescent="0.2">
      <c r="Z26637" t="str">
        <f t="shared" si="416"/>
        <v/>
      </c>
    </row>
    <row r="26638" spans="26:26" x14ac:dyDescent="0.2">
      <c r="Z26638" t="str">
        <f t="shared" si="416"/>
        <v/>
      </c>
    </row>
    <row r="26639" spans="26:26" x14ac:dyDescent="0.2">
      <c r="Z26639" t="str">
        <f t="shared" si="416"/>
        <v/>
      </c>
    </row>
    <row r="26640" spans="26:26" x14ac:dyDescent="0.2">
      <c r="Z26640" t="str">
        <f t="shared" si="416"/>
        <v/>
      </c>
    </row>
    <row r="26641" spans="26:26" x14ac:dyDescent="0.2">
      <c r="Z26641" t="str">
        <f t="shared" si="416"/>
        <v/>
      </c>
    </row>
    <row r="26642" spans="26:26" x14ac:dyDescent="0.2">
      <c r="Z26642" t="str">
        <f t="shared" si="416"/>
        <v/>
      </c>
    </row>
    <row r="26643" spans="26:26" x14ac:dyDescent="0.2">
      <c r="Z26643" t="str">
        <f t="shared" si="416"/>
        <v/>
      </c>
    </row>
    <row r="26644" spans="26:26" x14ac:dyDescent="0.2">
      <c r="Z26644" t="str">
        <f t="shared" si="416"/>
        <v/>
      </c>
    </row>
    <row r="26645" spans="26:26" x14ac:dyDescent="0.2">
      <c r="Z26645" t="str">
        <f t="shared" si="416"/>
        <v/>
      </c>
    </row>
    <row r="26646" spans="26:26" x14ac:dyDescent="0.2">
      <c r="Z26646" t="str">
        <f t="shared" si="416"/>
        <v/>
      </c>
    </row>
    <row r="26647" spans="26:26" x14ac:dyDescent="0.2">
      <c r="Z26647" t="str">
        <f t="shared" si="416"/>
        <v/>
      </c>
    </row>
    <row r="26648" spans="26:26" x14ac:dyDescent="0.2">
      <c r="Z26648" t="str">
        <f t="shared" si="416"/>
        <v/>
      </c>
    </row>
    <row r="26649" spans="26:26" x14ac:dyDescent="0.2">
      <c r="Z26649" t="str">
        <f t="shared" si="416"/>
        <v/>
      </c>
    </row>
    <row r="26650" spans="26:26" x14ac:dyDescent="0.2">
      <c r="Z26650" t="str">
        <f t="shared" si="416"/>
        <v/>
      </c>
    </row>
    <row r="26651" spans="26:26" x14ac:dyDescent="0.2">
      <c r="Z26651" t="str">
        <f t="shared" si="416"/>
        <v/>
      </c>
    </row>
    <row r="26652" spans="26:26" x14ac:dyDescent="0.2">
      <c r="Z26652" t="str">
        <f t="shared" si="416"/>
        <v/>
      </c>
    </row>
    <row r="26653" spans="26:26" x14ac:dyDescent="0.2">
      <c r="Z26653" t="str">
        <f t="shared" si="416"/>
        <v/>
      </c>
    </row>
    <row r="26654" spans="26:26" x14ac:dyDescent="0.2">
      <c r="Z26654" t="str">
        <f t="shared" si="416"/>
        <v/>
      </c>
    </row>
    <row r="26655" spans="26:26" x14ac:dyDescent="0.2">
      <c r="Z26655" t="str">
        <f t="shared" si="416"/>
        <v/>
      </c>
    </row>
    <row r="26656" spans="26:26" x14ac:dyDescent="0.2">
      <c r="Z26656" t="str">
        <f t="shared" si="416"/>
        <v/>
      </c>
    </row>
    <row r="26657" spans="26:26" x14ac:dyDescent="0.2">
      <c r="Z26657" t="str">
        <f t="shared" si="416"/>
        <v/>
      </c>
    </row>
    <row r="26658" spans="26:26" x14ac:dyDescent="0.2">
      <c r="Z26658" t="str">
        <f t="shared" si="416"/>
        <v/>
      </c>
    </row>
    <row r="26659" spans="26:26" x14ac:dyDescent="0.2">
      <c r="Z26659" t="str">
        <f t="shared" si="416"/>
        <v/>
      </c>
    </row>
    <row r="26660" spans="26:26" x14ac:dyDescent="0.2">
      <c r="Z26660" t="str">
        <f t="shared" si="416"/>
        <v/>
      </c>
    </row>
    <row r="26661" spans="26:26" x14ac:dyDescent="0.2">
      <c r="Z26661" t="str">
        <f t="shared" si="416"/>
        <v/>
      </c>
    </row>
    <row r="26662" spans="26:26" x14ac:dyDescent="0.2">
      <c r="Z26662" t="str">
        <f t="shared" si="416"/>
        <v/>
      </c>
    </row>
    <row r="26663" spans="26:26" x14ac:dyDescent="0.2">
      <c r="Z26663" t="str">
        <f t="shared" si="416"/>
        <v/>
      </c>
    </row>
    <row r="26664" spans="26:26" x14ac:dyDescent="0.2">
      <c r="Z26664" t="str">
        <f t="shared" si="416"/>
        <v/>
      </c>
    </row>
    <row r="26665" spans="26:26" x14ac:dyDescent="0.2">
      <c r="Z26665" t="str">
        <f t="shared" si="416"/>
        <v/>
      </c>
    </row>
    <row r="26666" spans="26:26" x14ac:dyDescent="0.2">
      <c r="Z26666" t="str">
        <f t="shared" si="416"/>
        <v/>
      </c>
    </row>
    <row r="26667" spans="26:26" x14ac:dyDescent="0.2">
      <c r="Z26667" t="str">
        <f t="shared" si="416"/>
        <v/>
      </c>
    </row>
    <row r="26668" spans="26:26" x14ac:dyDescent="0.2">
      <c r="Z26668" t="str">
        <f t="shared" si="416"/>
        <v/>
      </c>
    </row>
    <row r="26669" spans="26:26" x14ac:dyDescent="0.2">
      <c r="Z26669" t="str">
        <f t="shared" si="416"/>
        <v/>
      </c>
    </row>
    <row r="26670" spans="26:26" x14ac:dyDescent="0.2">
      <c r="Z26670" t="str">
        <f t="shared" si="416"/>
        <v/>
      </c>
    </row>
    <row r="26671" spans="26:26" x14ac:dyDescent="0.2">
      <c r="Z26671" t="str">
        <f t="shared" si="416"/>
        <v/>
      </c>
    </row>
    <row r="26672" spans="26:26" x14ac:dyDescent="0.2">
      <c r="Z26672" t="str">
        <f t="shared" si="416"/>
        <v/>
      </c>
    </row>
    <row r="26673" spans="26:26" x14ac:dyDescent="0.2">
      <c r="Z26673" t="str">
        <f t="shared" si="416"/>
        <v/>
      </c>
    </row>
    <row r="26674" spans="26:26" x14ac:dyDescent="0.2">
      <c r="Z26674" t="str">
        <f t="shared" si="416"/>
        <v/>
      </c>
    </row>
    <row r="26675" spans="26:26" x14ac:dyDescent="0.2">
      <c r="Z26675" t="str">
        <f t="shared" si="416"/>
        <v/>
      </c>
    </row>
    <row r="26676" spans="26:26" x14ac:dyDescent="0.2">
      <c r="Z26676" t="str">
        <f t="shared" si="416"/>
        <v/>
      </c>
    </row>
    <row r="26677" spans="26:26" x14ac:dyDescent="0.2">
      <c r="Z26677" t="str">
        <f t="shared" si="416"/>
        <v/>
      </c>
    </row>
    <row r="26678" spans="26:26" x14ac:dyDescent="0.2">
      <c r="Z26678" t="str">
        <f t="shared" si="416"/>
        <v/>
      </c>
    </row>
    <row r="26679" spans="26:26" x14ac:dyDescent="0.2">
      <c r="Z26679" t="str">
        <f t="shared" si="416"/>
        <v/>
      </c>
    </row>
    <row r="26680" spans="26:26" x14ac:dyDescent="0.2">
      <c r="Z26680" t="str">
        <f t="shared" si="416"/>
        <v/>
      </c>
    </row>
    <row r="26681" spans="26:26" x14ac:dyDescent="0.2">
      <c r="Z26681" t="str">
        <f t="shared" si="416"/>
        <v/>
      </c>
    </row>
    <row r="26682" spans="26:26" x14ac:dyDescent="0.2">
      <c r="Z26682" t="str">
        <f t="shared" si="416"/>
        <v/>
      </c>
    </row>
    <row r="26683" spans="26:26" x14ac:dyDescent="0.2">
      <c r="Z26683" t="str">
        <f t="shared" si="416"/>
        <v/>
      </c>
    </row>
    <row r="26684" spans="26:26" x14ac:dyDescent="0.2">
      <c r="Z26684" t="str">
        <f t="shared" si="416"/>
        <v/>
      </c>
    </row>
    <row r="26685" spans="26:26" x14ac:dyDescent="0.2">
      <c r="Z26685" t="str">
        <f t="shared" si="416"/>
        <v/>
      </c>
    </row>
    <row r="26686" spans="26:26" x14ac:dyDescent="0.2">
      <c r="Z26686" t="str">
        <f t="shared" si="416"/>
        <v/>
      </c>
    </row>
    <row r="26687" spans="26:26" x14ac:dyDescent="0.2">
      <c r="Z26687" t="str">
        <f t="shared" si="416"/>
        <v/>
      </c>
    </row>
    <row r="26688" spans="26:26" x14ac:dyDescent="0.2">
      <c r="Z26688" t="str">
        <f t="shared" si="416"/>
        <v/>
      </c>
    </row>
    <row r="26689" spans="26:26" x14ac:dyDescent="0.2">
      <c r="Z26689" t="str">
        <f t="shared" si="416"/>
        <v/>
      </c>
    </row>
    <row r="26690" spans="26:26" x14ac:dyDescent="0.2">
      <c r="Z26690" t="str">
        <f t="shared" si="416"/>
        <v/>
      </c>
    </row>
    <row r="26691" spans="26:26" x14ac:dyDescent="0.2">
      <c r="Z26691" t="str">
        <f t="shared" ref="Z26691:Z26754" si="417">IF(K26691="","",IFERROR(VALUE(TRIM(MID(K26691,FIND(CHAR(167),SUBSTITUTE(K26691,"-",CHAR(167),LEN(K26691)-LEN(SUBSTITUTE(K26691,"-",""))))+1,100))),K26691))</f>
        <v/>
      </c>
    </row>
    <row r="26692" spans="26:26" x14ac:dyDescent="0.2">
      <c r="Z26692" t="str">
        <f t="shared" si="417"/>
        <v/>
      </c>
    </row>
    <row r="26693" spans="26:26" x14ac:dyDescent="0.2">
      <c r="Z26693" t="str">
        <f t="shared" si="417"/>
        <v/>
      </c>
    </row>
    <row r="26694" spans="26:26" x14ac:dyDescent="0.2">
      <c r="Z26694" t="str">
        <f t="shared" si="417"/>
        <v/>
      </c>
    </row>
    <row r="26695" spans="26:26" x14ac:dyDescent="0.2">
      <c r="Z26695" t="str">
        <f t="shared" si="417"/>
        <v/>
      </c>
    </row>
    <row r="26696" spans="26:26" x14ac:dyDescent="0.2">
      <c r="Z26696" t="str">
        <f t="shared" si="417"/>
        <v/>
      </c>
    </row>
    <row r="26697" spans="26:26" x14ac:dyDescent="0.2">
      <c r="Z26697" t="str">
        <f t="shared" si="417"/>
        <v/>
      </c>
    </row>
    <row r="26698" spans="26:26" x14ac:dyDescent="0.2">
      <c r="Z26698" t="str">
        <f t="shared" si="417"/>
        <v/>
      </c>
    </row>
    <row r="26699" spans="26:26" x14ac:dyDescent="0.2">
      <c r="Z26699" t="str">
        <f t="shared" si="417"/>
        <v/>
      </c>
    </row>
    <row r="26700" spans="26:26" x14ac:dyDescent="0.2">
      <c r="Z26700" t="str">
        <f t="shared" si="417"/>
        <v/>
      </c>
    </row>
    <row r="26701" spans="26:26" x14ac:dyDescent="0.2">
      <c r="Z26701" t="str">
        <f t="shared" si="417"/>
        <v/>
      </c>
    </row>
    <row r="26702" spans="26:26" x14ac:dyDescent="0.2">
      <c r="Z26702" t="str">
        <f t="shared" si="417"/>
        <v/>
      </c>
    </row>
    <row r="26703" spans="26:26" x14ac:dyDescent="0.2">
      <c r="Z26703" t="str">
        <f t="shared" si="417"/>
        <v/>
      </c>
    </row>
    <row r="26704" spans="26:26" x14ac:dyDescent="0.2">
      <c r="Z26704" t="str">
        <f t="shared" si="417"/>
        <v/>
      </c>
    </row>
    <row r="26705" spans="26:26" x14ac:dyDescent="0.2">
      <c r="Z26705" t="str">
        <f t="shared" si="417"/>
        <v/>
      </c>
    </row>
    <row r="26706" spans="26:26" x14ac:dyDescent="0.2">
      <c r="Z26706" t="str">
        <f t="shared" si="417"/>
        <v/>
      </c>
    </row>
    <row r="26707" spans="26:26" x14ac:dyDescent="0.2">
      <c r="Z26707" t="str">
        <f t="shared" si="417"/>
        <v/>
      </c>
    </row>
    <row r="26708" spans="26:26" x14ac:dyDescent="0.2">
      <c r="Z26708" t="str">
        <f t="shared" si="417"/>
        <v/>
      </c>
    </row>
    <row r="26709" spans="26:26" x14ac:dyDescent="0.2">
      <c r="Z26709" t="str">
        <f t="shared" si="417"/>
        <v/>
      </c>
    </row>
    <row r="26710" spans="26:26" x14ac:dyDescent="0.2">
      <c r="Z26710" t="str">
        <f t="shared" si="417"/>
        <v/>
      </c>
    </row>
    <row r="26711" spans="26:26" x14ac:dyDescent="0.2">
      <c r="Z26711" t="str">
        <f t="shared" si="417"/>
        <v/>
      </c>
    </row>
    <row r="26712" spans="26:26" x14ac:dyDescent="0.2">
      <c r="Z26712" t="str">
        <f t="shared" si="417"/>
        <v/>
      </c>
    </row>
    <row r="26713" spans="26:26" x14ac:dyDescent="0.2">
      <c r="Z26713" t="str">
        <f t="shared" si="417"/>
        <v/>
      </c>
    </row>
    <row r="26714" spans="26:26" x14ac:dyDescent="0.2">
      <c r="Z26714" t="str">
        <f t="shared" si="417"/>
        <v/>
      </c>
    </row>
    <row r="26715" spans="26:26" x14ac:dyDescent="0.2">
      <c r="Z26715" t="str">
        <f t="shared" si="417"/>
        <v/>
      </c>
    </row>
    <row r="26716" spans="26:26" x14ac:dyDescent="0.2">
      <c r="Z26716" t="str">
        <f t="shared" si="417"/>
        <v/>
      </c>
    </row>
    <row r="26717" spans="26:26" x14ac:dyDescent="0.2">
      <c r="Z26717" t="str">
        <f t="shared" si="417"/>
        <v/>
      </c>
    </row>
    <row r="26718" spans="26:26" x14ac:dyDescent="0.2">
      <c r="Z26718" t="str">
        <f t="shared" si="417"/>
        <v/>
      </c>
    </row>
    <row r="26719" spans="26:26" x14ac:dyDescent="0.2">
      <c r="Z26719" t="str">
        <f t="shared" si="417"/>
        <v/>
      </c>
    </row>
    <row r="26720" spans="26:26" x14ac:dyDescent="0.2">
      <c r="Z26720" t="str">
        <f t="shared" si="417"/>
        <v/>
      </c>
    </row>
    <row r="26721" spans="26:26" x14ac:dyDescent="0.2">
      <c r="Z26721" t="str">
        <f t="shared" si="417"/>
        <v/>
      </c>
    </row>
    <row r="26722" spans="26:26" x14ac:dyDescent="0.2">
      <c r="Z26722" t="str">
        <f t="shared" si="417"/>
        <v/>
      </c>
    </row>
    <row r="26723" spans="26:26" x14ac:dyDescent="0.2">
      <c r="Z26723" t="str">
        <f t="shared" si="417"/>
        <v/>
      </c>
    </row>
    <row r="26724" spans="26:26" x14ac:dyDescent="0.2">
      <c r="Z26724" t="str">
        <f t="shared" si="417"/>
        <v/>
      </c>
    </row>
    <row r="26725" spans="26:26" x14ac:dyDescent="0.2">
      <c r="Z26725" t="str">
        <f t="shared" si="417"/>
        <v/>
      </c>
    </row>
    <row r="26726" spans="26:26" x14ac:dyDescent="0.2">
      <c r="Z26726" t="str">
        <f t="shared" si="417"/>
        <v/>
      </c>
    </row>
    <row r="26727" spans="26:26" x14ac:dyDescent="0.2">
      <c r="Z26727" t="str">
        <f t="shared" si="417"/>
        <v/>
      </c>
    </row>
    <row r="26728" spans="26:26" x14ac:dyDescent="0.2">
      <c r="Z26728" t="str">
        <f t="shared" si="417"/>
        <v/>
      </c>
    </row>
    <row r="26729" spans="26:26" x14ac:dyDescent="0.2">
      <c r="Z26729" t="str">
        <f t="shared" si="417"/>
        <v/>
      </c>
    </row>
    <row r="26730" spans="26:26" x14ac:dyDescent="0.2">
      <c r="Z26730" t="str">
        <f t="shared" si="417"/>
        <v/>
      </c>
    </row>
    <row r="26731" spans="26:26" x14ac:dyDescent="0.2">
      <c r="Z26731" t="str">
        <f t="shared" si="417"/>
        <v/>
      </c>
    </row>
    <row r="26732" spans="26:26" x14ac:dyDescent="0.2">
      <c r="Z26732" t="str">
        <f t="shared" si="417"/>
        <v/>
      </c>
    </row>
    <row r="26733" spans="26:26" x14ac:dyDescent="0.2">
      <c r="Z26733" t="str">
        <f t="shared" si="417"/>
        <v/>
      </c>
    </row>
    <row r="26734" spans="26:26" x14ac:dyDescent="0.2">
      <c r="Z26734" t="str">
        <f t="shared" si="417"/>
        <v/>
      </c>
    </row>
    <row r="26735" spans="26:26" x14ac:dyDescent="0.2">
      <c r="Z26735" t="str">
        <f t="shared" si="417"/>
        <v/>
      </c>
    </row>
    <row r="26736" spans="26:26" x14ac:dyDescent="0.2">
      <c r="Z26736" t="str">
        <f t="shared" si="417"/>
        <v/>
      </c>
    </row>
    <row r="26737" spans="26:26" x14ac:dyDescent="0.2">
      <c r="Z26737" t="str">
        <f t="shared" si="417"/>
        <v/>
      </c>
    </row>
    <row r="26738" spans="26:26" x14ac:dyDescent="0.2">
      <c r="Z26738" t="str">
        <f t="shared" si="417"/>
        <v/>
      </c>
    </row>
    <row r="26739" spans="26:26" x14ac:dyDescent="0.2">
      <c r="Z26739" t="str">
        <f t="shared" si="417"/>
        <v/>
      </c>
    </row>
    <row r="26740" spans="26:26" x14ac:dyDescent="0.2">
      <c r="Z26740" t="str">
        <f t="shared" si="417"/>
        <v/>
      </c>
    </row>
    <row r="26741" spans="26:26" x14ac:dyDescent="0.2">
      <c r="Z26741" t="str">
        <f t="shared" si="417"/>
        <v/>
      </c>
    </row>
    <row r="26742" spans="26:26" x14ac:dyDescent="0.2">
      <c r="Z26742" t="str">
        <f t="shared" si="417"/>
        <v/>
      </c>
    </row>
    <row r="26743" spans="26:26" x14ac:dyDescent="0.2">
      <c r="Z26743" t="str">
        <f t="shared" si="417"/>
        <v/>
      </c>
    </row>
    <row r="26744" spans="26:26" x14ac:dyDescent="0.2">
      <c r="Z26744" t="str">
        <f t="shared" si="417"/>
        <v/>
      </c>
    </row>
    <row r="26745" spans="26:26" x14ac:dyDescent="0.2">
      <c r="Z26745" t="str">
        <f t="shared" si="417"/>
        <v/>
      </c>
    </row>
    <row r="26746" spans="26:26" x14ac:dyDescent="0.2">
      <c r="Z26746" t="str">
        <f t="shared" si="417"/>
        <v/>
      </c>
    </row>
    <row r="26747" spans="26:26" x14ac:dyDescent="0.2">
      <c r="Z26747" t="str">
        <f t="shared" si="417"/>
        <v/>
      </c>
    </row>
    <row r="26748" spans="26:26" x14ac:dyDescent="0.2">
      <c r="Z26748" t="str">
        <f t="shared" si="417"/>
        <v/>
      </c>
    </row>
    <row r="26749" spans="26:26" x14ac:dyDescent="0.2">
      <c r="Z26749" t="str">
        <f t="shared" si="417"/>
        <v/>
      </c>
    </row>
    <row r="26750" spans="26:26" x14ac:dyDescent="0.2">
      <c r="Z26750" t="str">
        <f t="shared" si="417"/>
        <v/>
      </c>
    </row>
    <row r="26751" spans="26:26" x14ac:dyDescent="0.2">
      <c r="Z26751" t="str">
        <f t="shared" si="417"/>
        <v/>
      </c>
    </row>
    <row r="26752" spans="26:26" x14ac:dyDescent="0.2">
      <c r="Z26752" t="str">
        <f t="shared" si="417"/>
        <v/>
      </c>
    </row>
    <row r="26753" spans="26:26" x14ac:dyDescent="0.2">
      <c r="Z26753" t="str">
        <f t="shared" si="417"/>
        <v/>
      </c>
    </row>
    <row r="26754" spans="26:26" x14ac:dyDescent="0.2">
      <c r="Z26754" t="str">
        <f t="shared" si="417"/>
        <v/>
      </c>
    </row>
    <row r="26755" spans="26:26" x14ac:dyDescent="0.2">
      <c r="Z26755" t="str">
        <f t="shared" ref="Z26755:Z26818" si="418">IF(K26755="","",IFERROR(VALUE(TRIM(MID(K26755,FIND(CHAR(167),SUBSTITUTE(K26755,"-",CHAR(167),LEN(K26755)-LEN(SUBSTITUTE(K26755,"-",""))))+1,100))),K26755))</f>
        <v/>
      </c>
    </row>
    <row r="26756" spans="26:26" x14ac:dyDescent="0.2">
      <c r="Z26756" t="str">
        <f t="shared" si="418"/>
        <v/>
      </c>
    </row>
    <row r="26757" spans="26:26" x14ac:dyDescent="0.2">
      <c r="Z26757" t="str">
        <f t="shared" si="418"/>
        <v/>
      </c>
    </row>
    <row r="26758" spans="26:26" x14ac:dyDescent="0.2">
      <c r="Z26758" t="str">
        <f t="shared" si="418"/>
        <v/>
      </c>
    </row>
    <row r="26759" spans="26:26" x14ac:dyDescent="0.2">
      <c r="Z26759" t="str">
        <f t="shared" si="418"/>
        <v/>
      </c>
    </row>
    <row r="26760" spans="26:26" x14ac:dyDescent="0.2">
      <c r="Z26760" t="str">
        <f t="shared" si="418"/>
        <v/>
      </c>
    </row>
    <row r="26761" spans="26:26" x14ac:dyDescent="0.2">
      <c r="Z26761" t="str">
        <f t="shared" si="418"/>
        <v/>
      </c>
    </row>
    <row r="26762" spans="26:26" x14ac:dyDescent="0.2">
      <c r="Z26762" t="str">
        <f t="shared" si="418"/>
        <v/>
      </c>
    </row>
    <row r="26763" spans="26:26" x14ac:dyDescent="0.2">
      <c r="Z26763" t="str">
        <f t="shared" si="418"/>
        <v/>
      </c>
    </row>
    <row r="26764" spans="26:26" x14ac:dyDescent="0.2">
      <c r="Z26764" t="str">
        <f t="shared" si="418"/>
        <v/>
      </c>
    </row>
    <row r="26765" spans="26:26" x14ac:dyDescent="0.2">
      <c r="Z26765" t="str">
        <f t="shared" si="418"/>
        <v/>
      </c>
    </row>
    <row r="26766" spans="26:26" x14ac:dyDescent="0.2">
      <c r="Z26766" t="str">
        <f t="shared" si="418"/>
        <v/>
      </c>
    </row>
    <row r="26767" spans="26:26" x14ac:dyDescent="0.2">
      <c r="Z26767" t="str">
        <f t="shared" si="418"/>
        <v/>
      </c>
    </row>
    <row r="26768" spans="26:26" x14ac:dyDescent="0.2">
      <c r="Z26768" t="str">
        <f t="shared" si="418"/>
        <v/>
      </c>
    </row>
    <row r="26769" spans="26:26" x14ac:dyDescent="0.2">
      <c r="Z26769" t="str">
        <f t="shared" si="418"/>
        <v/>
      </c>
    </row>
    <row r="26770" spans="26:26" x14ac:dyDescent="0.2">
      <c r="Z26770" t="str">
        <f t="shared" si="418"/>
        <v/>
      </c>
    </row>
    <row r="26771" spans="26:26" x14ac:dyDescent="0.2">
      <c r="Z26771" t="str">
        <f t="shared" si="418"/>
        <v/>
      </c>
    </row>
    <row r="26772" spans="26:26" x14ac:dyDescent="0.2">
      <c r="Z26772" t="str">
        <f t="shared" si="418"/>
        <v/>
      </c>
    </row>
    <row r="26773" spans="26:26" x14ac:dyDescent="0.2">
      <c r="Z26773" t="str">
        <f t="shared" si="418"/>
        <v/>
      </c>
    </row>
    <row r="26774" spans="26:26" x14ac:dyDescent="0.2">
      <c r="Z26774" t="str">
        <f t="shared" si="418"/>
        <v/>
      </c>
    </row>
    <row r="26775" spans="26:26" x14ac:dyDescent="0.2">
      <c r="Z26775" t="str">
        <f t="shared" si="418"/>
        <v/>
      </c>
    </row>
    <row r="26776" spans="26:26" x14ac:dyDescent="0.2">
      <c r="Z26776" t="str">
        <f t="shared" si="418"/>
        <v/>
      </c>
    </row>
    <row r="26777" spans="26:26" x14ac:dyDescent="0.2">
      <c r="Z26777" t="str">
        <f t="shared" si="418"/>
        <v/>
      </c>
    </row>
    <row r="26778" spans="26:26" x14ac:dyDescent="0.2">
      <c r="Z26778" t="str">
        <f t="shared" si="418"/>
        <v/>
      </c>
    </row>
    <row r="26779" spans="26:26" x14ac:dyDescent="0.2">
      <c r="Z26779" t="str">
        <f t="shared" si="418"/>
        <v/>
      </c>
    </row>
    <row r="26780" spans="26:26" x14ac:dyDescent="0.2">
      <c r="Z26780" t="str">
        <f t="shared" si="418"/>
        <v/>
      </c>
    </row>
    <row r="26781" spans="26:26" x14ac:dyDescent="0.2">
      <c r="Z26781" t="str">
        <f t="shared" si="418"/>
        <v/>
      </c>
    </row>
    <row r="26782" spans="26:26" x14ac:dyDescent="0.2">
      <c r="Z26782" t="str">
        <f t="shared" si="418"/>
        <v/>
      </c>
    </row>
    <row r="26783" spans="26:26" x14ac:dyDescent="0.2">
      <c r="Z26783" t="str">
        <f t="shared" si="418"/>
        <v/>
      </c>
    </row>
    <row r="26784" spans="26:26" x14ac:dyDescent="0.2">
      <c r="Z26784" t="str">
        <f t="shared" si="418"/>
        <v/>
      </c>
    </row>
    <row r="26785" spans="26:26" x14ac:dyDescent="0.2">
      <c r="Z26785" t="str">
        <f t="shared" si="418"/>
        <v/>
      </c>
    </row>
    <row r="26786" spans="26:26" x14ac:dyDescent="0.2">
      <c r="Z26786" t="str">
        <f t="shared" si="418"/>
        <v/>
      </c>
    </row>
    <row r="26787" spans="26:26" x14ac:dyDescent="0.2">
      <c r="Z26787" t="str">
        <f t="shared" si="418"/>
        <v/>
      </c>
    </row>
    <row r="26788" spans="26:26" x14ac:dyDescent="0.2">
      <c r="Z26788" t="str">
        <f t="shared" si="418"/>
        <v/>
      </c>
    </row>
    <row r="26789" spans="26:26" x14ac:dyDescent="0.2">
      <c r="Z26789" t="str">
        <f t="shared" si="418"/>
        <v/>
      </c>
    </row>
    <row r="26790" spans="26:26" x14ac:dyDescent="0.2">
      <c r="Z26790" t="str">
        <f t="shared" si="418"/>
        <v/>
      </c>
    </row>
    <row r="26791" spans="26:26" x14ac:dyDescent="0.2">
      <c r="Z26791" t="str">
        <f t="shared" si="418"/>
        <v/>
      </c>
    </row>
    <row r="26792" spans="26:26" x14ac:dyDescent="0.2">
      <c r="Z26792" t="str">
        <f t="shared" si="418"/>
        <v/>
      </c>
    </row>
    <row r="26793" spans="26:26" x14ac:dyDescent="0.2">
      <c r="Z26793" t="str">
        <f t="shared" si="418"/>
        <v/>
      </c>
    </row>
    <row r="26794" spans="26:26" x14ac:dyDescent="0.2">
      <c r="Z26794" t="str">
        <f t="shared" si="418"/>
        <v/>
      </c>
    </row>
    <row r="26795" spans="26:26" x14ac:dyDescent="0.2">
      <c r="Z26795" t="str">
        <f t="shared" si="418"/>
        <v/>
      </c>
    </row>
    <row r="26796" spans="26:26" x14ac:dyDescent="0.2">
      <c r="Z26796" t="str">
        <f t="shared" si="418"/>
        <v/>
      </c>
    </row>
    <row r="26797" spans="26:26" x14ac:dyDescent="0.2">
      <c r="Z26797" t="str">
        <f t="shared" si="418"/>
        <v/>
      </c>
    </row>
    <row r="26798" spans="26:26" x14ac:dyDescent="0.2">
      <c r="Z26798" t="str">
        <f t="shared" si="418"/>
        <v/>
      </c>
    </row>
    <row r="26799" spans="26:26" x14ac:dyDescent="0.2">
      <c r="Z26799" t="str">
        <f t="shared" si="418"/>
        <v/>
      </c>
    </row>
    <row r="26800" spans="26:26" x14ac:dyDescent="0.2">
      <c r="Z26800" t="str">
        <f t="shared" si="418"/>
        <v/>
      </c>
    </row>
    <row r="26801" spans="26:26" x14ac:dyDescent="0.2">
      <c r="Z26801" t="str">
        <f t="shared" si="418"/>
        <v/>
      </c>
    </row>
    <row r="26802" spans="26:26" x14ac:dyDescent="0.2">
      <c r="Z26802" t="str">
        <f t="shared" si="418"/>
        <v/>
      </c>
    </row>
    <row r="26803" spans="26:26" x14ac:dyDescent="0.2">
      <c r="Z26803" t="str">
        <f t="shared" si="418"/>
        <v/>
      </c>
    </row>
    <row r="26804" spans="26:26" x14ac:dyDescent="0.2">
      <c r="Z26804" t="str">
        <f t="shared" si="418"/>
        <v/>
      </c>
    </row>
    <row r="26805" spans="26:26" x14ac:dyDescent="0.2">
      <c r="Z26805" t="str">
        <f t="shared" si="418"/>
        <v/>
      </c>
    </row>
    <row r="26806" spans="26:26" x14ac:dyDescent="0.2">
      <c r="Z26806" t="str">
        <f t="shared" si="418"/>
        <v/>
      </c>
    </row>
    <row r="26807" spans="26:26" x14ac:dyDescent="0.2">
      <c r="Z26807" t="str">
        <f t="shared" si="418"/>
        <v/>
      </c>
    </row>
    <row r="26808" spans="26:26" x14ac:dyDescent="0.2">
      <c r="Z26808" t="str">
        <f t="shared" si="418"/>
        <v/>
      </c>
    </row>
    <row r="26809" spans="26:26" x14ac:dyDescent="0.2">
      <c r="Z26809" t="str">
        <f t="shared" si="418"/>
        <v/>
      </c>
    </row>
    <row r="26810" spans="26:26" x14ac:dyDescent="0.2">
      <c r="Z26810" t="str">
        <f t="shared" si="418"/>
        <v/>
      </c>
    </row>
    <row r="26811" spans="26:26" x14ac:dyDescent="0.2">
      <c r="Z26811" t="str">
        <f t="shared" si="418"/>
        <v/>
      </c>
    </row>
    <row r="26812" spans="26:26" x14ac:dyDescent="0.2">
      <c r="Z26812" t="str">
        <f t="shared" si="418"/>
        <v/>
      </c>
    </row>
    <row r="26813" spans="26:26" x14ac:dyDescent="0.2">
      <c r="Z26813" t="str">
        <f t="shared" si="418"/>
        <v/>
      </c>
    </row>
    <row r="26814" spans="26:26" x14ac:dyDescent="0.2">
      <c r="Z26814" t="str">
        <f t="shared" si="418"/>
        <v/>
      </c>
    </row>
    <row r="26815" spans="26:26" x14ac:dyDescent="0.2">
      <c r="Z26815" t="str">
        <f t="shared" si="418"/>
        <v/>
      </c>
    </row>
    <row r="26816" spans="26:26" x14ac:dyDescent="0.2">
      <c r="Z26816" t="str">
        <f t="shared" si="418"/>
        <v/>
      </c>
    </row>
    <row r="26817" spans="26:26" x14ac:dyDescent="0.2">
      <c r="Z26817" t="str">
        <f t="shared" si="418"/>
        <v/>
      </c>
    </row>
    <row r="26818" spans="26:26" x14ac:dyDescent="0.2">
      <c r="Z26818" t="str">
        <f t="shared" si="418"/>
        <v/>
      </c>
    </row>
    <row r="26819" spans="26:26" x14ac:dyDescent="0.2">
      <c r="Z26819" t="str">
        <f t="shared" ref="Z26819:Z26882" si="419">IF(K26819="","",IFERROR(VALUE(TRIM(MID(K26819,FIND(CHAR(167),SUBSTITUTE(K26819,"-",CHAR(167),LEN(K26819)-LEN(SUBSTITUTE(K26819,"-",""))))+1,100))),K26819))</f>
        <v/>
      </c>
    </row>
    <row r="26820" spans="26:26" x14ac:dyDescent="0.2">
      <c r="Z26820" t="str">
        <f t="shared" si="419"/>
        <v/>
      </c>
    </row>
    <row r="26821" spans="26:26" x14ac:dyDescent="0.2">
      <c r="Z26821" t="str">
        <f t="shared" si="419"/>
        <v/>
      </c>
    </row>
    <row r="26822" spans="26:26" x14ac:dyDescent="0.2">
      <c r="Z26822" t="str">
        <f t="shared" si="419"/>
        <v/>
      </c>
    </row>
    <row r="26823" spans="26:26" x14ac:dyDescent="0.2">
      <c r="Z26823" t="str">
        <f t="shared" si="419"/>
        <v/>
      </c>
    </row>
    <row r="26824" spans="26:26" x14ac:dyDescent="0.2">
      <c r="Z26824" t="str">
        <f t="shared" si="419"/>
        <v/>
      </c>
    </row>
    <row r="26825" spans="26:26" x14ac:dyDescent="0.2">
      <c r="Z26825" t="str">
        <f t="shared" si="419"/>
        <v/>
      </c>
    </row>
    <row r="26826" spans="26:26" x14ac:dyDescent="0.2">
      <c r="Z26826" t="str">
        <f t="shared" si="419"/>
        <v/>
      </c>
    </row>
    <row r="26827" spans="26:26" x14ac:dyDescent="0.2">
      <c r="Z26827" t="str">
        <f t="shared" si="419"/>
        <v/>
      </c>
    </row>
    <row r="26828" spans="26:26" x14ac:dyDescent="0.2">
      <c r="Z26828" t="str">
        <f t="shared" si="419"/>
        <v/>
      </c>
    </row>
    <row r="26829" spans="26:26" x14ac:dyDescent="0.2">
      <c r="Z26829" t="str">
        <f t="shared" si="419"/>
        <v/>
      </c>
    </row>
    <row r="26830" spans="26:26" x14ac:dyDescent="0.2">
      <c r="Z26830" t="str">
        <f t="shared" si="419"/>
        <v/>
      </c>
    </row>
    <row r="26831" spans="26:26" x14ac:dyDescent="0.2">
      <c r="Z26831" t="str">
        <f t="shared" si="419"/>
        <v/>
      </c>
    </row>
    <row r="26832" spans="26:26" x14ac:dyDescent="0.2">
      <c r="Z26832" t="str">
        <f t="shared" si="419"/>
        <v/>
      </c>
    </row>
    <row r="26833" spans="26:26" x14ac:dyDescent="0.2">
      <c r="Z26833" t="str">
        <f t="shared" si="419"/>
        <v/>
      </c>
    </row>
    <row r="26834" spans="26:26" x14ac:dyDescent="0.2">
      <c r="Z26834" t="str">
        <f t="shared" si="419"/>
        <v/>
      </c>
    </row>
    <row r="26835" spans="26:26" x14ac:dyDescent="0.2">
      <c r="Z26835" t="str">
        <f t="shared" si="419"/>
        <v/>
      </c>
    </row>
    <row r="26836" spans="26:26" x14ac:dyDescent="0.2">
      <c r="Z26836" t="str">
        <f t="shared" si="419"/>
        <v/>
      </c>
    </row>
    <row r="26837" spans="26:26" x14ac:dyDescent="0.2">
      <c r="Z26837" t="str">
        <f t="shared" si="419"/>
        <v/>
      </c>
    </row>
    <row r="26838" spans="26:26" x14ac:dyDescent="0.2">
      <c r="Z26838" t="str">
        <f t="shared" si="419"/>
        <v/>
      </c>
    </row>
    <row r="26839" spans="26:26" x14ac:dyDescent="0.2">
      <c r="Z26839" t="str">
        <f t="shared" si="419"/>
        <v/>
      </c>
    </row>
    <row r="26840" spans="26:26" x14ac:dyDescent="0.2">
      <c r="Z26840" t="str">
        <f t="shared" si="419"/>
        <v/>
      </c>
    </row>
    <row r="26841" spans="26:26" x14ac:dyDescent="0.2">
      <c r="Z26841" t="str">
        <f t="shared" si="419"/>
        <v/>
      </c>
    </row>
    <row r="26842" spans="26:26" x14ac:dyDescent="0.2">
      <c r="Z26842" t="str">
        <f t="shared" si="419"/>
        <v/>
      </c>
    </row>
    <row r="26843" spans="26:26" x14ac:dyDescent="0.2">
      <c r="Z26843" t="str">
        <f t="shared" si="419"/>
        <v/>
      </c>
    </row>
    <row r="26844" spans="26:26" x14ac:dyDescent="0.2">
      <c r="Z26844" t="str">
        <f t="shared" si="419"/>
        <v/>
      </c>
    </row>
    <row r="26845" spans="26:26" x14ac:dyDescent="0.2">
      <c r="Z26845" t="str">
        <f t="shared" si="419"/>
        <v/>
      </c>
    </row>
    <row r="26846" spans="26:26" x14ac:dyDescent="0.2">
      <c r="Z26846" t="str">
        <f t="shared" si="419"/>
        <v/>
      </c>
    </row>
    <row r="26847" spans="26:26" x14ac:dyDescent="0.2">
      <c r="Z26847" t="str">
        <f t="shared" si="419"/>
        <v/>
      </c>
    </row>
    <row r="26848" spans="26:26" x14ac:dyDescent="0.2">
      <c r="Z26848" t="str">
        <f t="shared" si="419"/>
        <v/>
      </c>
    </row>
    <row r="26849" spans="26:26" x14ac:dyDescent="0.2">
      <c r="Z26849" t="str">
        <f t="shared" si="419"/>
        <v/>
      </c>
    </row>
    <row r="26850" spans="26:26" x14ac:dyDescent="0.2">
      <c r="Z26850" t="str">
        <f t="shared" si="419"/>
        <v/>
      </c>
    </row>
    <row r="26851" spans="26:26" x14ac:dyDescent="0.2">
      <c r="Z26851" t="str">
        <f t="shared" si="419"/>
        <v/>
      </c>
    </row>
    <row r="26852" spans="26:26" x14ac:dyDescent="0.2">
      <c r="Z26852" t="str">
        <f t="shared" si="419"/>
        <v/>
      </c>
    </row>
    <row r="26853" spans="26:26" x14ac:dyDescent="0.2">
      <c r="Z26853" t="str">
        <f t="shared" si="419"/>
        <v/>
      </c>
    </row>
    <row r="26854" spans="26:26" x14ac:dyDescent="0.2">
      <c r="Z26854" t="str">
        <f t="shared" si="419"/>
        <v/>
      </c>
    </row>
    <row r="26855" spans="26:26" x14ac:dyDescent="0.2">
      <c r="Z26855" t="str">
        <f t="shared" si="419"/>
        <v/>
      </c>
    </row>
    <row r="26856" spans="26:26" x14ac:dyDescent="0.2">
      <c r="Z26856" t="str">
        <f t="shared" si="419"/>
        <v/>
      </c>
    </row>
    <row r="26857" spans="26:26" x14ac:dyDescent="0.2">
      <c r="Z26857" t="str">
        <f t="shared" si="419"/>
        <v/>
      </c>
    </row>
    <row r="26858" spans="26:26" x14ac:dyDescent="0.2">
      <c r="Z26858" t="str">
        <f t="shared" si="419"/>
        <v/>
      </c>
    </row>
    <row r="26859" spans="26:26" x14ac:dyDescent="0.2">
      <c r="Z26859" t="str">
        <f t="shared" si="419"/>
        <v/>
      </c>
    </row>
    <row r="26860" spans="26:26" x14ac:dyDescent="0.2">
      <c r="Z26860" t="str">
        <f t="shared" si="419"/>
        <v/>
      </c>
    </row>
    <row r="26861" spans="26:26" x14ac:dyDescent="0.2">
      <c r="Z26861" t="str">
        <f t="shared" si="419"/>
        <v/>
      </c>
    </row>
    <row r="26862" spans="26:26" x14ac:dyDescent="0.2">
      <c r="Z26862" t="str">
        <f t="shared" si="419"/>
        <v/>
      </c>
    </row>
    <row r="26863" spans="26:26" x14ac:dyDescent="0.2">
      <c r="Z26863" t="str">
        <f t="shared" si="419"/>
        <v/>
      </c>
    </row>
    <row r="26864" spans="26:26" x14ac:dyDescent="0.2">
      <c r="Z26864" t="str">
        <f t="shared" si="419"/>
        <v/>
      </c>
    </row>
    <row r="26865" spans="26:26" x14ac:dyDescent="0.2">
      <c r="Z26865" t="str">
        <f t="shared" si="419"/>
        <v/>
      </c>
    </row>
    <row r="26866" spans="26:26" x14ac:dyDescent="0.2">
      <c r="Z26866" t="str">
        <f t="shared" si="419"/>
        <v/>
      </c>
    </row>
    <row r="26867" spans="26:26" x14ac:dyDescent="0.2">
      <c r="Z26867" t="str">
        <f t="shared" si="419"/>
        <v/>
      </c>
    </row>
    <row r="26868" spans="26:26" x14ac:dyDescent="0.2">
      <c r="Z26868" t="str">
        <f t="shared" si="419"/>
        <v/>
      </c>
    </row>
    <row r="26869" spans="26:26" x14ac:dyDescent="0.2">
      <c r="Z26869" t="str">
        <f t="shared" si="419"/>
        <v/>
      </c>
    </row>
    <row r="26870" spans="26:26" x14ac:dyDescent="0.2">
      <c r="Z26870" t="str">
        <f t="shared" si="419"/>
        <v/>
      </c>
    </row>
    <row r="26871" spans="26:26" x14ac:dyDescent="0.2">
      <c r="Z26871" t="str">
        <f t="shared" si="419"/>
        <v/>
      </c>
    </row>
    <row r="26872" spans="26:26" x14ac:dyDescent="0.2">
      <c r="Z26872" t="str">
        <f t="shared" si="419"/>
        <v/>
      </c>
    </row>
    <row r="26873" spans="26:26" x14ac:dyDescent="0.2">
      <c r="Z26873" t="str">
        <f t="shared" si="419"/>
        <v/>
      </c>
    </row>
    <row r="26874" spans="26:26" x14ac:dyDescent="0.2">
      <c r="Z26874" t="str">
        <f t="shared" si="419"/>
        <v/>
      </c>
    </row>
    <row r="26875" spans="26:26" x14ac:dyDescent="0.2">
      <c r="Z26875" t="str">
        <f t="shared" si="419"/>
        <v/>
      </c>
    </row>
    <row r="26876" spans="26:26" x14ac:dyDescent="0.2">
      <c r="Z26876" t="str">
        <f t="shared" si="419"/>
        <v/>
      </c>
    </row>
    <row r="26877" spans="26:26" x14ac:dyDescent="0.2">
      <c r="Z26877" t="str">
        <f t="shared" si="419"/>
        <v/>
      </c>
    </row>
    <row r="26878" spans="26:26" x14ac:dyDescent="0.2">
      <c r="Z26878" t="str">
        <f t="shared" si="419"/>
        <v/>
      </c>
    </row>
    <row r="26879" spans="26:26" x14ac:dyDescent="0.2">
      <c r="Z26879" t="str">
        <f t="shared" si="419"/>
        <v/>
      </c>
    </row>
    <row r="26880" spans="26:26" x14ac:dyDescent="0.2">
      <c r="Z26880" t="str">
        <f t="shared" si="419"/>
        <v/>
      </c>
    </row>
    <row r="26881" spans="26:26" x14ac:dyDescent="0.2">
      <c r="Z26881" t="str">
        <f t="shared" si="419"/>
        <v/>
      </c>
    </row>
    <row r="26882" spans="26:26" x14ac:dyDescent="0.2">
      <c r="Z26882" t="str">
        <f t="shared" si="419"/>
        <v/>
      </c>
    </row>
    <row r="26883" spans="26:26" x14ac:dyDescent="0.2">
      <c r="Z26883" t="str">
        <f t="shared" ref="Z26883:Z26946" si="420">IF(K26883="","",IFERROR(VALUE(TRIM(MID(K26883,FIND(CHAR(167),SUBSTITUTE(K26883,"-",CHAR(167),LEN(K26883)-LEN(SUBSTITUTE(K26883,"-",""))))+1,100))),K26883))</f>
        <v/>
      </c>
    </row>
    <row r="26884" spans="26:26" x14ac:dyDescent="0.2">
      <c r="Z26884" t="str">
        <f t="shared" si="420"/>
        <v/>
      </c>
    </row>
    <row r="26885" spans="26:26" x14ac:dyDescent="0.2">
      <c r="Z26885" t="str">
        <f t="shared" si="420"/>
        <v/>
      </c>
    </row>
    <row r="26886" spans="26:26" x14ac:dyDescent="0.2">
      <c r="Z26886" t="str">
        <f t="shared" si="420"/>
        <v/>
      </c>
    </row>
    <row r="26887" spans="26:26" x14ac:dyDescent="0.2">
      <c r="Z26887" t="str">
        <f t="shared" si="420"/>
        <v/>
      </c>
    </row>
    <row r="26888" spans="26:26" x14ac:dyDescent="0.2">
      <c r="Z26888" t="str">
        <f t="shared" si="420"/>
        <v/>
      </c>
    </row>
    <row r="26889" spans="26:26" x14ac:dyDescent="0.2">
      <c r="Z26889" t="str">
        <f t="shared" si="420"/>
        <v/>
      </c>
    </row>
    <row r="26890" spans="26:26" x14ac:dyDescent="0.2">
      <c r="Z26890" t="str">
        <f t="shared" si="420"/>
        <v/>
      </c>
    </row>
    <row r="26891" spans="26:26" x14ac:dyDescent="0.2">
      <c r="Z26891" t="str">
        <f t="shared" si="420"/>
        <v/>
      </c>
    </row>
    <row r="26892" spans="26:26" x14ac:dyDescent="0.2">
      <c r="Z26892" t="str">
        <f t="shared" si="420"/>
        <v/>
      </c>
    </row>
    <row r="26893" spans="26:26" x14ac:dyDescent="0.2">
      <c r="Z26893" t="str">
        <f t="shared" si="420"/>
        <v/>
      </c>
    </row>
    <row r="26894" spans="26:26" x14ac:dyDescent="0.2">
      <c r="Z26894" t="str">
        <f t="shared" si="420"/>
        <v/>
      </c>
    </row>
    <row r="26895" spans="26:26" x14ac:dyDescent="0.2">
      <c r="Z26895" t="str">
        <f t="shared" si="420"/>
        <v/>
      </c>
    </row>
    <row r="26896" spans="26:26" x14ac:dyDescent="0.2">
      <c r="Z26896" t="str">
        <f t="shared" si="420"/>
        <v/>
      </c>
    </row>
    <row r="26897" spans="26:26" x14ac:dyDescent="0.2">
      <c r="Z26897" t="str">
        <f t="shared" si="420"/>
        <v/>
      </c>
    </row>
    <row r="26898" spans="26:26" x14ac:dyDescent="0.2">
      <c r="Z26898" t="str">
        <f t="shared" si="420"/>
        <v/>
      </c>
    </row>
    <row r="26899" spans="26:26" x14ac:dyDescent="0.2">
      <c r="Z26899" t="str">
        <f t="shared" si="420"/>
        <v/>
      </c>
    </row>
    <row r="26900" spans="26:26" x14ac:dyDescent="0.2">
      <c r="Z26900" t="str">
        <f t="shared" si="420"/>
        <v/>
      </c>
    </row>
    <row r="26901" spans="26:26" x14ac:dyDescent="0.2">
      <c r="Z26901" t="str">
        <f t="shared" si="420"/>
        <v/>
      </c>
    </row>
    <row r="26902" spans="26:26" x14ac:dyDescent="0.2">
      <c r="Z26902" t="str">
        <f t="shared" si="420"/>
        <v/>
      </c>
    </row>
    <row r="26903" spans="26:26" x14ac:dyDescent="0.2">
      <c r="Z26903" t="str">
        <f t="shared" si="420"/>
        <v/>
      </c>
    </row>
    <row r="26904" spans="26:26" x14ac:dyDescent="0.2">
      <c r="Z26904" t="str">
        <f t="shared" si="420"/>
        <v/>
      </c>
    </row>
    <row r="26905" spans="26:26" x14ac:dyDescent="0.2">
      <c r="Z26905" t="str">
        <f t="shared" si="420"/>
        <v/>
      </c>
    </row>
    <row r="26906" spans="26:26" x14ac:dyDescent="0.2">
      <c r="Z26906" t="str">
        <f t="shared" si="420"/>
        <v/>
      </c>
    </row>
    <row r="26907" spans="26:26" x14ac:dyDescent="0.2">
      <c r="Z26907" t="str">
        <f t="shared" si="420"/>
        <v/>
      </c>
    </row>
    <row r="26908" spans="26:26" x14ac:dyDescent="0.2">
      <c r="Z26908" t="str">
        <f t="shared" si="420"/>
        <v/>
      </c>
    </row>
    <row r="26909" spans="26:26" x14ac:dyDescent="0.2">
      <c r="Z26909" t="str">
        <f t="shared" si="420"/>
        <v/>
      </c>
    </row>
    <row r="26910" spans="26:26" x14ac:dyDescent="0.2">
      <c r="Z26910" t="str">
        <f t="shared" si="420"/>
        <v/>
      </c>
    </row>
    <row r="26911" spans="26:26" x14ac:dyDescent="0.2">
      <c r="Z26911" t="str">
        <f t="shared" si="420"/>
        <v/>
      </c>
    </row>
    <row r="26912" spans="26:26" x14ac:dyDescent="0.2">
      <c r="Z26912" t="str">
        <f t="shared" si="420"/>
        <v/>
      </c>
    </row>
    <row r="26913" spans="26:26" x14ac:dyDescent="0.2">
      <c r="Z26913" t="str">
        <f t="shared" si="420"/>
        <v/>
      </c>
    </row>
    <row r="26914" spans="26:26" x14ac:dyDescent="0.2">
      <c r="Z26914" t="str">
        <f t="shared" si="420"/>
        <v/>
      </c>
    </row>
    <row r="26915" spans="26:26" x14ac:dyDescent="0.2">
      <c r="Z26915" t="str">
        <f t="shared" si="420"/>
        <v/>
      </c>
    </row>
    <row r="26916" spans="26:26" x14ac:dyDescent="0.2">
      <c r="Z26916" t="str">
        <f t="shared" si="420"/>
        <v/>
      </c>
    </row>
    <row r="26917" spans="26:26" x14ac:dyDescent="0.2">
      <c r="Z26917" t="str">
        <f t="shared" si="420"/>
        <v/>
      </c>
    </row>
    <row r="26918" spans="26:26" x14ac:dyDescent="0.2">
      <c r="Z26918" t="str">
        <f t="shared" si="420"/>
        <v/>
      </c>
    </row>
    <row r="26919" spans="26:26" x14ac:dyDescent="0.2">
      <c r="Z26919" t="str">
        <f t="shared" si="420"/>
        <v/>
      </c>
    </row>
    <row r="26920" spans="26:26" x14ac:dyDescent="0.2">
      <c r="Z26920" t="str">
        <f t="shared" si="420"/>
        <v/>
      </c>
    </row>
    <row r="26921" spans="26:26" x14ac:dyDescent="0.2">
      <c r="Z26921" t="str">
        <f t="shared" si="420"/>
        <v/>
      </c>
    </row>
    <row r="26922" spans="26:26" x14ac:dyDescent="0.2">
      <c r="Z26922" t="str">
        <f t="shared" si="420"/>
        <v/>
      </c>
    </row>
    <row r="26923" spans="26:26" x14ac:dyDescent="0.2">
      <c r="Z26923" t="str">
        <f t="shared" si="420"/>
        <v/>
      </c>
    </row>
    <row r="26924" spans="26:26" x14ac:dyDescent="0.2">
      <c r="Z26924" t="str">
        <f t="shared" si="420"/>
        <v/>
      </c>
    </row>
    <row r="26925" spans="26:26" x14ac:dyDescent="0.2">
      <c r="Z26925" t="str">
        <f t="shared" si="420"/>
        <v/>
      </c>
    </row>
    <row r="26926" spans="26:26" x14ac:dyDescent="0.2">
      <c r="Z26926" t="str">
        <f t="shared" si="420"/>
        <v/>
      </c>
    </row>
    <row r="26927" spans="26:26" x14ac:dyDescent="0.2">
      <c r="Z26927" t="str">
        <f t="shared" si="420"/>
        <v/>
      </c>
    </row>
    <row r="26928" spans="26:26" x14ac:dyDescent="0.2">
      <c r="Z26928" t="str">
        <f t="shared" si="420"/>
        <v/>
      </c>
    </row>
    <row r="26929" spans="26:26" x14ac:dyDescent="0.2">
      <c r="Z26929" t="str">
        <f t="shared" si="420"/>
        <v/>
      </c>
    </row>
    <row r="26930" spans="26:26" x14ac:dyDescent="0.2">
      <c r="Z26930" t="str">
        <f t="shared" si="420"/>
        <v/>
      </c>
    </row>
    <row r="26931" spans="26:26" x14ac:dyDescent="0.2">
      <c r="Z26931" t="str">
        <f t="shared" si="420"/>
        <v/>
      </c>
    </row>
    <row r="26932" spans="26:26" x14ac:dyDescent="0.2">
      <c r="Z26932" t="str">
        <f t="shared" si="420"/>
        <v/>
      </c>
    </row>
    <row r="26933" spans="26:26" x14ac:dyDescent="0.2">
      <c r="Z26933" t="str">
        <f t="shared" si="420"/>
        <v/>
      </c>
    </row>
    <row r="26934" spans="26:26" x14ac:dyDescent="0.2">
      <c r="Z26934" t="str">
        <f t="shared" si="420"/>
        <v/>
      </c>
    </row>
    <row r="26935" spans="26:26" x14ac:dyDescent="0.2">
      <c r="Z26935" t="str">
        <f t="shared" si="420"/>
        <v/>
      </c>
    </row>
    <row r="26936" spans="26:26" x14ac:dyDescent="0.2">
      <c r="Z26936" t="str">
        <f t="shared" si="420"/>
        <v/>
      </c>
    </row>
    <row r="26937" spans="26:26" x14ac:dyDescent="0.2">
      <c r="Z26937" t="str">
        <f t="shared" si="420"/>
        <v/>
      </c>
    </row>
    <row r="26938" spans="26:26" x14ac:dyDescent="0.2">
      <c r="Z26938" t="str">
        <f t="shared" si="420"/>
        <v/>
      </c>
    </row>
    <row r="26939" spans="26:26" x14ac:dyDescent="0.2">
      <c r="Z26939" t="str">
        <f t="shared" si="420"/>
        <v/>
      </c>
    </row>
    <row r="26940" spans="26:26" x14ac:dyDescent="0.2">
      <c r="Z26940" t="str">
        <f t="shared" si="420"/>
        <v/>
      </c>
    </row>
    <row r="26941" spans="26:26" x14ac:dyDescent="0.2">
      <c r="Z26941" t="str">
        <f t="shared" si="420"/>
        <v/>
      </c>
    </row>
    <row r="26942" spans="26:26" x14ac:dyDescent="0.2">
      <c r="Z26942" t="str">
        <f t="shared" si="420"/>
        <v/>
      </c>
    </row>
    <row r="26943" spans="26:26" x14ac:dyDescent="0.2">
      <c r="Z26943" t="str">
        <f t="shared" si="420"/>
        <v/>
      </c>
    </row>
    <row r="26944" spans="26:26" x14ac:dyDescent="0.2">
      <c r="Z26944" t="str">
        <f t="shared" si="420"/>
        <v/>
      </c>
    </row>
    <row r="26945" spans="26:26" x14ac:dyDescent="0.2">
      <c r="Z26945" t="str">
        <f t="shared" si="420"/>
        <v/>
      </c>
    </row>
    <row r="26946" spans="26:26" x14ac:dyDescent="0.2">
      <c r="Z26946" t="str">
        <f t="shared" si="420"/>
        <v/>
      </c>
    </row>
    <row r="26947" spans="26:26" x14ac:dyDescent="0.2">
      <c r="Z26947" t="str">
        <f t="shared" ref="Z26947:Z27010" si="421">IF(K26947="","",IFERROR(VALUE(TRIM(MID(K26947,FIND(CHAR(167),SUBSTITUTE(K26947,"-",CHAR(167),LEN(K26947)-LEN(SUBSTITUTE(K26947,"-",""))))+1,100))),K26947))</f>
        <v/>
      </c>
    </row>
    <row r="26948" spans="26:26" x14ac:dyDescent="0.2">
      <c r="Z26948" t="str">
        <f t="shared" si="421"/>
        <v/>
      </c>
    </row>
    <row r="26949" spans="26:26" x14ac:dyDescent="0.2">
      <c r="Z26949" t="str">
        <f t="shared" si="421"/>
        <v/>
      </c>
    </row>
    <row r="26950" spans="26:26" x14ac:dyDescent="0.2">
      <c r="Z26950" t="str">
        <f t="shared" si="421"/>
        <v/>
      </c>
    </row>
    <row r="26951" spans="26:26" x14ac:dyDescent="0.2">
      <c r="Z26951" t="str">
        <f t="shared" si="421"/>
        <v/>
      </c>
    </row>
    <row r="26952" spans="26:26" x14ac:dyDescent="0.2">
      <c r="Z26952" t="str">
        <f t="shared" si="421"/>
        <v/>
      </c>
    </row>
    <row r="26953" spans="26:26" x14ac:dyDescent="0.2">
      <c r="Z26953" t="str">
        <f t="shared" si="421"/>
        <v/>
      </c>
    </row>
    <row r="26954" spans="26:26" x14ac:dyDescent="0.2">
      <c r="Z26954" t="str">
        <f t="shared" si="421"/>
        <v/>
      </c>
    </row>
    <row r="26955" spans="26:26" x14ac:dyDescent="0.2">
      <c r="Z26955" t="str">
        <f t="shared" si="421"/>
        <v/>
      </c>
    </row>
    <row r="26956" spans="26:26" x14ac:dyDescent="0.2">
      <c r="Z26956" t="str">
        <f t="shared" si="421"/>
        <v/>
      </c>
    </row>
    <row r="26957" spans="26:26" x14ac:dyDescent="0.2">
      <c r="Z26957" t="str">
        <f t="shared" si="421"/>
        <v/>
      </c>
    </row>
    <row r="26958" spans="26:26" x14ac:dyDescent="0.2">
      <c r="Z26958" t="str">
        <f t="shared" si="421"/>
        <v/>
      </c>
    </row>
    <row r="26959" spans="26:26" x14ac:dyDescent="0.2">
      <c r="Z26959" t="str">
        <f t="shared" si="421"/>
        <v/>
      </c>
    </row>
    <row r="26960" spans="26:26" x14ac:dyDescent="0.2">
      <c r="Z26960" t="str">
        <f t="shared" si="421"/>
        <v/>
      </c>
    </row>
    <row r="26961" spans="26:26" x14ac:dyDescent="0.2">
      <c r="Z26961" t="str">
        <f t="shared" si="421"/>
        <v/>
      </c>
    </row>
    <row r="26962" spans="26:26" x14ac:dyDescent="0.2">
      <c r="Z26962" t="str">
        <f t="shared" si="421"/>
        <v/>
      </c>
    </row>
    <row r="26963" spans="26:26" x14ac:dyDescent="0.2">
      <c r="Z26963" t="str">
        <f t="shared" si="421"/>
        <v/>
      </c>
    </row>
    <row r="26964" spans="26:26" x14ac:dyDescent="0.2">
      <c r="Z26964" t="str">
        <f t="shared" si="421"/>
        <v/>
      </c>
    </row>
    <row r="26965" spans="26:26" x14ac:dyDescent="0.2">
      <c r="Z26965" t="str">
        <f t="shared" si="421"/>
        <v/>
      </c>
    </row>
    <row r="26966" spans="26:26" x14ac:dyDescent="0.2">
      <c r="Z26966" t="str">
        <f t="shared" si="421"/>
        <v/>
      </c>
    </row>
    <row r="26967" spans="26:26" x14ac:dyDescent="0.2">
      <c r="Z26967" t="str">
        <f t="shared" si="421"/>
        <v/>
      </c>
    </row>
    <row r="26968" spans="26:26" x14ac:dyDescent="0.2">
      <c r="Z26968" t="str">
        <f t="shared" si="421"/>
        <v/>
      </c>
    </row>
    <row r="26969" spans="26:26" x14ac:dyDescent="0.2">
      <c r="Z26969" t="str">
        <f t="shared" si="421"/>
        <v/>
      </c>
    </row>
    <row r="26970" spans="26:26" x14ac:dyDescent="0.2">
      <c r="Z26970" t="str">
        <f t="shared" si="421"/>
        <v/>
      </c>
    </row>
    <row r="26971" spans="26:26" x14ac:dyDescent="0.2">
      <c r="Z26971" t="str">
        <f t="shared" si="421"/>
        <v/>
      </c>
    </row>
    <row r="26972" spans="26:26" x14ac:dyDescent="0.2">
      <c r="Z26972" t="str">
        <f t="shared" si="421"/>
        <v/>
      </c>
    </row>
    <row r="26973" spans="26:26" x14ac:dyDescent="0.2">
      <c r="Z26973" t="str">
        <f t="shared" si="421"/>
        <v/>
      </c>
    </row>
    <row r="26974" spans="26:26" x14ac:dyDescent="0.2">
      <c r="Z26974" t="str">
        <f t="shared" si="421"/>
        <v/>
      </c>
    </row>
    <row r="26975" spans="26:26" x14ac:dyDescent="0.2">
      <c r="Z26975" t="str">
        <f t="shared" si="421"/>
        <v/>
      </c>
    </row>
    <row r="26976" spans="26:26" x14ac:dyDescent="0.2">
      <c r="Z26976" t="str">
        <f t="shared" si="421"/>
        <v/>
      </c>
    </row>
    <row r="26977" spans="26:26" x14ac:dyDescent="0.2">
      <c r="Z26977" t="str">
        <f t="shared" si="421"/>
        <v/>
      </c>
    </row>
    <row r="26978" spans="26:26" x14ac:dyDescent="0.2">
      <c r="Z26978" t="str">
        <f t="shared" si="421"/>
        <v/>
      </c>
    </row>
    <row r="26979" spans="26:26" x14ac:dyDescent="0.2">
      <c r="Z26979" t="str">
        <f t="shared" si="421"/>
        <v/>
      </c>
    </row>
    <row r="26980" spans="26:26" x14ac:dyDescent="0.2">
      <c r="Z26980" t="str">
        <f t="shared" si="421"/>
        <v/>
      </c>
    </row>
    <row r="26981" spans="26:26" x14ac:dyDescent="0.2">
      <c r="Z26981" t="str">
        <f t="shared" si="421"/>
        <v/>
      </c>
    </row>
    <row r="26982" spans="26:26" x14ac:dyDescent="0.2">
      <c r="Z26982" t="str">
        <f t="shared" si="421"/>
        <v/>
      </c>
    </row>
    <row r="26983" spans="26:26" x14ac:dyDescent="0.2">
      <c r="Z26983" t="str">
        <f t="shared" si="421"/>
        <v/>
      </c>
    </row>
    <row r="26984" spans="26:26" x14ac:dyDescent="0.2">
      <c r="Z26984" t="str">
        <f t="shared" si="421"/>
        <v/>
      </c>
    </row>
    <row r="26985" spans="26:26" x14ac:dyDescent="0.2">
      <c r="Z26985" t="str">
        <f t="shared" si="421"/>
        <v/>
      </c>
    </row>
    <row r="26986" spans="26:26" x14ac:dyDescent="0.2">
      <c r="Z26986" t="str">
        <f t="shared" si="421"/>
        <v/>
      </c>
    </row>
    <row r="26987" spans="26:26" x14ac:dyDescent="0.2">
      <c r="Z26987" t="str">
        <f t="shared" si="421"/>
        <v/>
      </c>
    </row>
    <row r="26988" spans="26:26" x14ac:dyDescent="0.2">
      <c r="Z26988" t="str">
        <f t="shared" si="421"/>
        <v/>
      </c>
    </row>
    <row r="26989" spans="26:26" x14ac:dyDescent="0.2">
      <c r="Z26989" t="str">
        <f t="shared" si="421"/>
        <v/>
      </c>
    </row>
    <row r="26990" spans="26:26" x14ac:dyDescent="0.2">
      <c r="Z26990" t="str">
        <f t="shared" si="421"/>
        <v/>
      </c>
    </row>
    <row r="26991" spans="26:26" x14ac:dyDescent="0.2">
      <c r="Z26991" t="str">
        <f t="shared" si="421"/>
        <v/>
      </c>
    </row>
    <row r="26992" spans="26:26" x14ac:dyDescent="0.2">
      <c r="Z26992" t="str">
        <f t="shared" si="421"/>
        <v/>
      </c>
    </row>
    <row r="26993" spans="26:26" x14ac:dyDescent="0.2">
      <c r="Z26993" t="str">
        <f t="shared" si="421"/>
        <v/>
      </c>
    </row>
    <row r="26994" spans="26:26" x14ac:dyDescent="0.2">
      <c r="Z26994" t="str">
        <f t="shared" si="421"/>
        <v/>
      </c>
    </row>
    <row r="26995" spans="26:26" x14ac:dyDescent="0.2">
      <c r="Z26995" t="str">
        <f t="shared" si="421"/>
        <v/>
      </c>
    </row>
    <row r="26996" spans="26:26" x14ac:dyDescent="0.2">
      <c r="Z26996" t="str">
        <f t="shared" si="421"/>
        <v/>
      </c>
    </row>
    <row r="26997" spans="26:26" x14ac:dyDescent="0.2">
      <c r="Z26997" t="str">
        <f t="shared" si="421"/>
        <v/>
      </c>
    </row>
    <row r="26998" spans="26:26" x14ac:dyDescent="0.2">
      <c r="Z26998" t="str">
        <f t="shared" si="421"/>
        <v/>
      </c>
    </row>
    <row r="26999" spans="26:26" x14ac:dyDescent="0.2">
      <c r="Z26999" t="str">
        <f t="shared" si="421"/>
        <v/>
      </c>
    </row>
    <row r="27000" spans="26:26" x14ac:dyDescent="0.2">
      <c r="Z27000" t="str">
        <f t="shared" si="421"/>
        <v/>
      </c>
    </row>
    <row r="27001" spans="26:26" x14ac:dyDescent="0.2">
      <c r="Z27001" t="str">
        <f t="shared" si="421"/>
        <v/>
      </c>
    </row>
    <row r="27002" spans="26:26" x14ac:dyDescent="0.2">
      <c r="Z27002" t="str">
        <f t="shared" si="421"/>
        <v/>
      </c>
    </row>
    <row r="27003" spans="26:26" x14ac:dyDescent="0.2">
      <c r="Z27003" t="str">
        <f t="shared" si="421"/>
        <v/>
      </c>
    </row>
    <row r="27004" spans="26:26" x14ac:dyDescent="0.2">
      <c r="Z27004" t="str">
        <f t="shared" si="421"/>
        <v/>
      </c>
    </row>
    <row r="27005" spans="26:26" x14ac:dyDescent="0.2">
      <c r="Z27005" t="str">
        <f t="shared" si="421"/>
        <v/>
      </c>
    </row>
    <row r="27006" spans="26:26" x14ac:dyDescent="0.2">
      <c r="Z27006" t="str">
        <f t="shared" si="421"/>
        <v/>
      </c>
    </row>
    <row r="27007" spans="26:26" x14ac:dyDescent="0.2">
      <c r="Z27007" t="str">
        <f t="shared" si="421"/>
        <v/>
      </c>
    </row>
    <row r="27008" spans="26:26" x14ac:dyDescent="0.2">
      <c r="Z27008" t="str">
        <f t="shared" si="421"/>
        <v/>
      </c>
    </row>
    <row r="27009" spans="26:26" x14ac:dyDescent="0.2">
      <c r="Z27009" t="str">
        <f t="shared" si="421"/>
        <v/>
      </c>
    </row>
    <row r="27010" spans="26:26" x14ac:dyDescent="0.2">
      <c r="Z27010" t="str">
        <f t="shared" si="421"/>
        <v/>
      </c>
    </row>
    <row r="27011" spans="26:26" x14ac:dyDescent="0.2">
      <c r="Z27011" t="str">
        <f t="shared" ref="Z27011:Z27074" si="422">IF(K27011="","",IFERROR(VALUE(TRIM(MID(K27011,FIND(CHAR(167),SUBSTITUTE(K27011,"-",CHAR(167),LEN(K27011)-LEN(SUBSTITUTE(K27011,"-",""))))+1,100))),K27011))</f>
        <v/>
      </c>
    </row>
    <row r="27012" spans="26:26" x14ac:dyDescent="0.2">
      <c r="Z27012" t="str">
        <f t="shared" si="422"/>
        <v/>
      </c>
    </row>
    <row r="27013" spans="26:26" x14ac:dyDescent="0.2">
      <c r="Z27013" t="str">
        <f t="shared" si="422"/>
        <v/>
      </c>
    </row>
    <row r="27014" spans="26:26" x14ac:dyDescent="0.2">
      <c r="Z27014" t="str">
        <f t="shared" si="422"/>
        <v/>
      </c>
    </row>
    <row r="27015" spans="26:26" x14ac:dyDescent="0.2">
      <c r="Z27015" t="str">
        <f t="shared" si="422"/>
        <v/>
      </c>
    </row>
    <row r="27016" spans="26:26" x14ac:dyDescent="0.2">
      <c r="Z27016" t="str">
        <f t="shared" si="422"/>
        <v/>
      </c>
    </row>
    <row r="27017" spans="26:26" x14ac:dyDescent="0.2">
      <c r="Z27017" t="str">
        <f t="shared" si="422"/>
        <v/>
      </c>
    </row>
    <row r="27018" spans="26:26" x14ac:dyDescent="0.2">
      <c r="Z27018" t="str">
        <f t="shared" si="422"/>
        <v/>
      </c>
    </row>
    <row r="27019" spans="26:26" x14ac:dyDescent="0.2">
      <c r="Z27019" t="str">
        <f t="shared" si="422"/>
        <v/>
      </c>
    </row>
    <row r="27020" spans="26:26" x14ac:dyDescent="0.2">
      <c r="Z27020" t="str">
        <f t="shared" si="422"/>
        <v/>
      </c>
    </row>
    <row r="27021" spans="26:26" x14ac:dyDescent="0.2">
      <c r="Z27021" t="str">
        <f t="shared" si="422"/>
        <v/>
      </c>
    </row>
    <row r="27022" spans="26:26" x14ac:dyDescent="0.2">
      <c r="Z27022" t="str">
        <f t="shared" si="422"/>
        <v/>
      </c>
    </row>
    <row r="27023" spans="26:26" x14ac:dyDescent="0.2">
      <c r="Z27023" t="str">
        <f t="shared" si="422"/>
        <v/>
      </c>
    </row>
    <row r="27024" spans="26:26" x14ac:dyDescent="0.2">
      <c r="Z27024" t="str">
        <f t="shared" si="422"/>
        <v/>
      </c>
    </row>
    <row r="27025" spans="26:26" x14ac:dyDescent="0.2">
      <c r="Z27025" t="str">
        <f t="shared" si="422"/>
        <v/>
      </c>
    </row>
    <row r="27026" spans="26:26" x14ac:dyDescent="0.2">
      <c r="Z27026" t="str">
        <f t="shared" si="422"/>
        <v/>
      </c>
    </row>
    <row r="27027" spans="26:26" x14ac:dyDescent="0.2">
      <c r="Z27027" t="str">
        <f t="shared" si="422"/>
        <v/>
      </c>
    </row>
    <row r="27028" spans="26:26" x14ac:dyDescent="0.2">
      <c r="Z27028" t="str">
        <f t="shared" si="422"/>
        <v/>
      </c>
    </row>
    <row r="27029" spans="26:26" x14ac:dyDescent="0.2">
      <c r="Z27029" t="str">
        <f t="shared" si="422"/>
        <v/>
      </c>
    </row>
    <row r="27030" spans="26:26" x14ac:dyDescent="0.2">
      <c r="Z27030" t="str">
        <f t="shared" si="422"/>
        <v/>
      </c>
    </row>
    <row r="27031" spans="26:26" x14ac:dyDescent="0.2">
      <c r="Z27031" t="str">
        <f t="shared" si="422"/>
        <v/>
      </c>
    </row>
    <row r="27032" spans="26:26" x14ac:dyDescent="0.2">
      <c r="Z27032" t="str">
        <f t="shared" si="422"/>
        <v/>
      </c>
    </row>
    <row r="27033" spans="26:26" x14ac:dyDescent="0.2">
      <c r="Z27033" t="str">
        <f t="shared" si="422"/>
        <v/>
      </c>
    </row>
    <row r="27034" spans="26:26" x14ac:dyDescent="0.2">
      <c r="Z27034" t="str">
        <f t="shared" si="422"/>
        <v/>
      </c>
    </row>
    <row r="27035" spans="26:26" x14ac:dyDescent="0.2">
      <c r="Z27035" t="str">
        <f t="shared" si="422"/>
        <v/>
      </c>
    </row>
    <row r="27036" spans="26:26" x14ac:dyDescent="0.2">
      <c r="Z27036" t="str">
        <f t="shared" si="422"/>
        <v/>
      </c>
    </row>
    <row r="27037" spans="26:26" x14ac:dyDescent="0.2">
      <c r="Z27037" t="str">
        <f t="shared" si="422"/>
        <v/>
      </c>
    </row>
    <row r="27038" spans="26:26" x14ac:dyDescent="0.2">
      <c r="Z27038" t="str">
        <f t="shared" si="422"/>
        <v/>
      </c>
    </row>
    <row r="27039" spans="26:26" x14ac:dyDescent="0.2">
      <c r="Z27039" t="str">
        <f t="shared" si="422"/>
        <v/>
      </c>
    </row>
    <row r="27040" spans="26:26" x14ac:dyDescent="0.2">
      <c r="Z27040" t="str">
        <f t="shared" si="422"/>
        <v/>
      </c>
    </row>
    <row r="27041" spans="26:26" x14ac:dyDescent="0.2">
      <c r="Z27041" t="str">
        <f t="shared" si="422"/>
        <v/>
      </c>
    </row>
    <row r="27042" spans="26:26" x14ac:dyDescent="0.2">
      <c r="Z27042" t="str">
        <f t="shared" si="422"/>
        <v/>
      </c>
    </row>
    <row r="27043" spans="26:26" x14ac:dyDescent="0.2">
      <c r="Z27043" t="str">
        <f t="shared" si="422"/>
        <v/>
      </c>
    </row>
    <row r="27044" spans="26:26" x14ac:dyDescent="0.2">
      <c r="Z27044" t="str">
        <f t="shared" si="422"/>
        <v/>
      </c>
    </row>
    <row r="27045" spans="26:26" x14ac:dyDescent="0.2">
      <c r="Z27045" t="str">
        <f t="shared" si="422"/>
        <v/>
      </c>
    </row>
    <row r="27046" spans="26:26" x14ac:dyDescent="0.2">
      <c r="Z27046" t="str">
        <f t="shared" si="422"/>
        <v/>
      </c>
    </row>
    <row r="27047" spans="26:26" x14ac:dyDescent="0.2">
      <c r="Z27047" t="str">
        <f t="shared" si="422"/>
        <v/>
      </c>
    </row>
    <row r="27048" spans="26:26" x14ac:dyDescent="0.2">
      <c r="Z27048" t="str">
        <f t="shared" si="422"/>
        <v/>
      </c>
    </row>
    <row r="27049" spans="26:26" x14ac:dyDescent="0.2">
      <c r="Z27049" t="str">
        <f t="shared" si="422"/>
        <v/>
      </c>
    </row>
    <row r="27050" spans="26:26" x14ac:dyDescent="0.2">
      <c r="Z27050" t="str">
        <f t="shared" si="422"/>
        <v/>
      </c>
    </row>
    <row r="27051" spans="26:26" x14ac:dyDescent="0.2">
      <c r="Z27051" t="str">
        <f t="shared" si="422"/>
        <v/>
      </c>
    </row>
    <row r="27052" spans="26:26" x14ac:dyDescent="0.2">
      <c r="Z27052" t="str">
        <f t="shared" si="422"/>
        <v/>
      </c>
    </row>
    <row r="27053" spans="26:26" x14ac:dyDescent="0.2">
      <c r="Z27053" t="str">
        <f t="shared" si="422"/>
        <v/>
      </c>
    </row>
    <row r="27054" spans="26:26" x14ac:dyDescent="0.2">
      <c r="Z27054" t="str">
        <f t="shared" si="422"/>
        <v/>
      </c>
    </row>
    <row r="27055" spans="26:26" x14ac:dyDescent="0.2">
      <c r="Z27055" t="str">
        <f t="shared" si="422"/>
        <v/>
      </c>
    </row>
    <row r="27056" spans="26:26" x14ac:dyDescent="0.2">
      <c r="Z27056" t="str">
        <f t="shared" si="422"/>
        <v/>
      </c>
    </row>
    <row r="27057" spans="26:26" x14ac:dyDescent="0.2">
      <c r="Z27057" t="str">
        <f t="shared" si="422"/>
        <v/>
      </c>
    </row>
    <row r="27058" spans="26:26" x14ac:dyDescent="0.2">
      <c r="Z27058" t="str">
        <f t="shared" si="422"/>
        <v/>
      </c>
    </row>
    <row r="27059" spans="26:26" x14ac:dyDescent="0.2">
      <c r="Z27059" t="str">
        <f t="shared" si="422"/>
        <v/>
      </c>
    </row>
    <row r="27060" spans="26:26" x14ac:dyDescent="0.2">
      <c r="Z27060" t="str">
        <f t="shared" si="422"/>
        <v/>
      </c>
    </row>
    <row r="27061" spans="26:26" x14ac:dyDescent="0.2">
      <c r="Z27061" t="str">
        <f t="shared" si="422"/>
        <v/>
      </c>
    </row>
    <row r="27062" spans="26:26" x14ac:dyDescent="0.2">
      <c r="Z27062" t="str">
        <f t="shared" si="422"/>
        <v/>
      </c>
    </row>
    <row r="27063" spans="26:26" x14ac:dyDescent="0.2">
      <c r="Z27063" t="str">
        <f t="shared" si="422"/>
        <v/>
      </c>
    </row>
    <row r="27064" spans="26:26" x14ac:dyDescent="0.2">
      <c r="Z27064" t="str">
        <f t="shared" si="422"/>
        <v/>
      </c>
    </row>
    <row r="27065" spans="26:26" x14ac:dyDescent="0.2">
      <c r="Z27065" t="str">
        <f t="shared" si="422"/>
        <v/>
      </c>
    </row>
    <row r="27066" spans="26:26" x14ac:dyDescent="0.2">
      <c r="Z27066" t="str">
        <f t="shared" si="422"/>
        <v/>
      </c>
    </row>
    <row r="27067" spans="26:26" x14ac:dyDescent="0.2">
      <c r="Z27067" t="str">
        <f t="shared" si="422"/>
        <v/>
      </c>
    </row>
    <row r="27068" spans="26:26" x14ac:dyDescent="0.2">
      <c r="Z27068" t="str">
        <f t="shared" si="422"/>
        <v/>
      </c>
    </row>
    <row r="27069" spans="26:26" x14ac:dyDescent="0.2">
      <c r="Z27069" t="str">
        <f t="shared" si="422"/>
        <v/>
      </c>
    </row>
    <row r="27070" spans="26:26" x14ac:dyDescent="0.2">
      <c r="Z27070" t="str">
        <f t="shared" si="422"/>
        <v/>
      </c>
    </row>
    <row r="27071" spans="26:26" x14ac:dyDescent="0.2">
      <c r="Z27071" t="str">
        <f t="shared" si="422"/>
        <v/>
      </c>
    </row>
    <row r="27072" spans="26:26" x14ac:dyDescent="0.2">
      <c r="Z27072" t="str">
        <f t="shared" si="422"/>
        <v/>
      </c>
    </row>
    <row r="27073" spans="26:26" x14ac:dyDescent="0.2">
      <c r="Z27073" t="str">
        <f t="shared" si="422"/>
        <v/>
      </c>
    </row>
    <row r="27074" spans="26:26" x14ac:dyDescent="0.2">
      <c r="Z27074" t="str">
        <f t="shared" si="422"/>
        <v/>
      </c>
    </row>
    <row r="27075" spans="26:26" x14ac:dyDescent="0.2">
      <c r="Z27075" t="str">
        <f t="shared" ref="Z27075:Z27138" si="423">IF(K27075="","",IFERROR(VALUE(TRIM(MID(K27075,FIND(CHAR(167),SUBSTITUTE(K27075,"-",CHAR(167),LEN(K27075)-LEN(SUBSTITUTE(K27075,"-",""))))+1,100))),K27075))</f>
        <v/>
      </c>
    </row>
    <row r="27076" spans="26:26" x14ac:dyDescent="0.2">
      <c r="Z27076" t="str">
        <f t="shared" si="423"/>
        <v/>
      </c>
    </row>
    <row r="27077" spans="26:26" x14ac:dyDescent="0.2">
      <c r="Z27077" t="str">
        <f t="shared" si="423"/>
        <v/>
      </c>
    </row>
    <row r="27078" spans="26:26" x14ac:dyDescent="0.2">
      <c r="Z27078" t="str">
        <f t="shared" si="423"/>
        <v/>
      </c>
    </row>
    <row r="27079" spans="26:26" x14ac:dyDescent="0.2">
      <c r="Z27079" t="str">
        <f t="shared" si="423"/>
        <v/>
      </c>
    </row>
    <row r="27080" spans="26:26" x14ac:dyDescent="0.2">
      <c r="Z27080" t="str">
        <f t="shared" si="423"/>
        <v/>
      </c>
    </row>
    <row r="27081" spans="26:26" x14ac:dyDescent="0.2">
      <c r="Z27081" t="str">
        <f t="shared" si="423"/>
        <v/>
      </c>
    </row>
    <row r="27082" spans="26:26" x14ac:dyDescent="0.2">
      <c r="Z27082" t="str">
        <f t="shared" si="423"/>
        <v/>
      </c>
    </row>
    <row r="27083" spans="26:26" x14ac:dyDescent="0.2">
      <c r="Z27083" t="str">
        <f t="shared" si="423"/>
        <v/>
      </c>
    </row>
    <row r="27084" spans="26:26" x14ac:dyDescent="0.2">
      <c r="Z27084" t="str">
        <f t="shared" si="423"/>
        <v/>
      </c>
    </row>
    <row r="27085" spans="26:26" x14ac:dyDescent="0.2">
      <c r="Z27085" t="str">
        <f t="shared" si="423"/>
        <v/>
      </c>
    </row>
    <row r="27086" spans="26:26" x14ac:dyDescent="0.2">
      <c r="Z27086" t="str">
        <f t="shared" si="423"/>
        <v/>
      </c>
    </row>
    <row r="27087" spans="26:26" x14ac:dyDescent="0.2">
      <c r="Z27087" t="str">
        <f t="shared" si="423"/>
        <v/>
      </c>
    </row>
    <row r="27088" spans="26:26" x14ac:dyDescent="0.2">
      <c r="Z27088" t="str">
        <f t="shared" si="423"/>
        <v/>
      </c>
    </row>
    <row r="27089" spans="26:26" x14ac:dyDescent="0.2">
      <c r="Z27089" t="str">
        <f t="shared" si="423"/>
        <v/>
      </c>
    </row>
    <row r="27090" spans="26:26" x14ac:dyDescent="0.2">
      <c r="Z27090" t="str">
        <f t="shared" si="423"/>
        <v/>
      </c>
    </row>
    <row r="27091" spans="26:26" x14ac:dyDescent="0.2">
      <c r="Z27091" t="str">
        <f t="shared" si="423"/>
        <v/>
      </c>
    </row>
    <row r="27092" spans="26:26" x14ac:dyDescent="0.2">
      <c r="Z27092" t="str">
        <f t="shared" si="423"/>
        <v/>
      </c>
    </row>
    <row r="27093" spans="26:26" x14ac:dyDescent="0.2">
      <c r="Z27093" t="str">
        <f t="shared" si="423"/>
        <v/>
      </c>
    </row>
    <row r="27094" spans="26:26" x14ac:dyDescent="0.2">
      <c r="Z27094" t="str">
        <f t="shared" si="423"/>
        <v/>
      </c>
    </row>
    <row r="27095" spans="26:26" x14ac:dyDescent="0.2">
      <c r="Z27095" t="str">
        <f t="shared" si="423"/>
        <v/>
      </c>
    </row>
    <row r="27096" spans="26:26" x14ac:dyDescent="0.2">
      <c r="Z27096" t="str">
        <f t="shared" si="423"/>
        <v/>
      </c>
    </row>
    <row r="27097" spans="26:26" x14ac:dyDescent="0.2">
      <c r="Z27097" t="str">
        <f t="shared" si="423"/>
        <v/>
      </c>
    </row>
    <row r="27098" spans="26:26" x14ac:dyDescent="0.2">
      <c r="Z27098" t="str">
        <f t="shared" si="423"/>
        <v/>
      </c>
    </row>
    <row r="27099" spans="26:26" x14ac:dyDescent="0.2">
      <c r="Z27099" t="str">
        <f t="shared" si="423"/>
        <v/>
      </c>
    </row>
    <row r="27100" spans="26:26" x14ac:dyDescent="0.2">
      <c r="Z27100" t="str">
        <f t="shared" si="423"/>
        <v/>
      </c>
    </row>
    <row r="27101" spans="26:26" x14ac:dyDescent="0.2">
      <c r="Z27101" t="str">
        <f t="shared" si="423"/>
        <v/>
      </c>
    </row>
    <row r="27102" spans="26:26" x14ac:dyDescent="0.2">
      <c r="Z27102" t="str">
        <f t="shared" si="423"/>
        <v/>
      </c>
    </row>
    <row r="27103" spans="26:26" x14ac:dyDescent="0.2">
      <c r="Z27103" t="str">
        <f t="shared" si="423"/>
        <v/>
      </c>
    </row>
    <row r="27104" spans="26:26" x14ac:dyDescent="0.2">
      <c r="Z27104" t="str">
        <f t="shared" si="423"/>
        <v/>
      </c>
    </row>
    <row r="27105" spans="26:26" x14ac:dyDescent="0.2">
      <c r="Z27105" t="str">
        <f t="shared" si="423"/>
        <v/>
      </c>
    </row>
    <row r="27106" spans="26:26" x14ac:dyDescent="0.2">
      <c r="Z27106" t="str">
        <f t="shared" si="423"/>
        <v/>
      </c>
    </row>
    <row r="27107" spans="26:26" x14ac:dyDescent="0.2">
      <c r="Z27107" t="str">
        <f t="shared" si="423"/>
        <v/>
      </c>
    </row>
    <row r="27108" spans="26:26" x14ac:dyDescent="0.2">
      <c r="Z27108" t="str">
        <f t="shared" si="423"/>
        <v/>
      </c>
    </row>
    <row r="27109" spans="26:26" x14ac:dyDescent="0.2">
      <c r="Z27109" t="str">
        <f t="shared" si="423"/>
        <v/>
      </c>
    </row>
    <row r="27110" spans="26:26" x14ac:dyDescent="0.2">
      <c r="Z27110" t="str">
        <f t="shared" si="423"/>
        <v/>
      </c>
    </row>
    <row r="27111" spans="26:26" x14ac:dyDescent="0.2">
      <c r="Z27111" t="str">
        <f t="shared" si="423"/>
        <v/>
      </c>
    </row>
    <row r="27112" spans="26:26" x14ac:dyDescent="0.2">
      <c r="Z27112" t="str">
        <f t="shared" si="423"/>
        <v/>
      </c>
    </row>
    <row r="27113" spans="26:26" x14ac:dyDescent="0.2">
      <c r="Z27113" t="str">
        <f t="shared" si="423"/>
        <v/>
      </c>
    </row>
    <row r="27114" spans="26:26" x14ac:dyDescent="0.2">
      <c r="Z27114" t="str">
        <f t="shared" si="423"/>
        <v/>
      </c>
    </row>
    <row r="27115" spans="26:26" x14ac:dyDescent="0.2">
      <c r="Z27115" t="str">
        <f t="shared" si="423"/>
        <v/>
      </c>
    </row>
    <row r="27116" spans="26:26" x14ac:dyDescent="0.2">
      <c r="Z27116" t="str">
        <f t="shared" si="423"/>
        <v/>
      </c>
    </row>
    <row r="27117" spans="26:26" x14ac:dyDescent="0.2">
      <c r="Z27117" t="str">
        <f t="shared" si="423"/>
        <v/>
      </c>
    </row>
    <row r="27118" spans="26:26" x14ac:dyDescent="0.2">
      <c r="Z27118" t="str">
        <f t="shared" si="423"/>
        <v/>
      </c>
    </row>
    <row r="27119" spans="26:26" x14ac:dyDescent="0.2">
      <c r="Z27119" t="str">
        <f t="shared" si="423"/>
        <v/>
      </c>
    </row>
    <row r="27120" spans="26:26" x14ac:dyDescent="0.2">
      <c r="Z27120" t="str">
        <f t="shared" si="423"/>
        <v/>
      </c>
    </row>
    <row r="27121" spans="26:26" x14ac:dyDescent="0.2">
      <c r="Z27121" t="str">
        <f t="shared" si="423"/>
        <v/>
      </c>
    </row>
    <row r="27122" spans="26:26" x14ac:dyDescent="0.2">
      <c r="Z27122" t="str">
        <f t="shared" si="423"/>
        <v/>
      </c>
    </row>
    <row r="27123" spans="26:26" x14ac:dyDescent="0.2">
      <c r="Z27123" t="str">
        <f t="shared" si="423"/>
        <v/>
      </c>
    </row>
    <row r="27124" spans="26:26" x14ac:dyDescent="0.2">
      <c r="Z27124" t="str">
        <f t="shared" si="423"/>
        <v/>
      </c>
    </row>
    <row r="27125" spans="26:26" x14ac:dyDescent="0.2">
      <c r="Z27125" t="str">
        <f t="shared" si="423"/>
        <v/>
      </c>
    </row>
    <row r="27126" spans="26:26" x14ac:dyDescent="0.2">
      <c r="Z27126" t="str">
        <f t="shared" si="423"/>
        <v/>
      </c>
    </row>
    <row r="27127" spans="26:26" x14ac:dyDescent="0.2">
      <c r="Z27127" t="str">
        <f t="shared" si="423"/>
        <v/>
      </c>
    </row>
    <row r="27128" spans="26:26" x14ac:dyDescent="0.2">
      <c r="Z27128" t="str">
        <f t="shared" si="423"/>
        <v/>
      </c>
    </row>
    <row r="27129" spans="26:26" x14ac:dyDescent="0.2">
      <c r="Z27129" t="str">
        <f t="shared" si="423"/>
        <v/>
      </c>
    </row>
    <row r="27130" spans="26:26" x14ac:dyDescent="0.2">
      <c r="Z27130" t="str">
        <f t="shared" si="423"/>
        <v/>
      </c>
    </row>
    <row r="27131" spans="26:26" x14ac:dyDescent="0.2">
      <c r="Z27131" t="str">
        <f t="shared" si="423"/>
        <v/>
      </c>
    </row>
    <row r="27132" spans="26:26" x14ac:dyDescent="0.2">
      <c r="Z27132" t="str">
        <f t="shared" si="423"/>
        <v/>
      </c>
    </row>
    <row r="27133" spans="26:26" x14ac:dyDescent="0.2">
      <c r="Z27133" t="str">
        <f t="shared" si="423"/>
        <v/>
      </c>
    </row>
    <row r="27134" spans="26:26" x14ac:dyDescent="0.2">
      <c r="Z27134" t="str">
        <f t="shared" si="423"/>
        <v/>
      </c>
    </row>
    <row r="27135" spans="26:26" x14ac:dyDescent="0.2">
      <c r="Z27135" t="str">
        <f t="shared" si="423"/>
        <v/>
      </c>
    </row>
    <row r="27136" spans="26:26" x14ac:dyDescent="0.2">
      <c r="Z27136" t="str">
        <f t="shared" si="423"/>
        <v/>
      </c>
    </row>
    <row r="27137" spans="26:26" x14ac:dyDescent="0.2">
      <c r="Z27137" t="str">
        <f t="shared" si="423"/>
        <v/>
      </c>
    </row>
    <row r="27138" spans="26:26" x14ac:dyDescent="0.2">
      <c r="Z27138" t="str">
        <f t="shared" si="423"/>
        <v/>
      </c>
    </row>
    <row r="27139" spans="26:26" x14ac:dyDescent="0.2">
      <c r="Z27139" t="str">
        <f t="shared" ref="Z27139:Z27202" si="424">IF(K27139="","",IFERROR(VALUE(TRIM(MID(K27139,FIND(CHAR(167),SUBSTITUTE(K27139,"-",CHAR(167),LEN(K27139)-LEN(SUBSTITUTE(K27139,"-",""))))+1,100))),K27139))</f>
        <v/>
      </c>
    </row>
    <row r="27140" spans="26:26" x14ac:dyDescent="0.2">
      <c r="Z27140" t="str">
        <f t="shared" si="424"/>
        <v/>
      </c>
    </row>
    <row r="27141" spans="26:26" x14ac:dyDescent="0.2">
      <c r="Z27141" t="str">
        <f t="shared" si="424"/>
        <v/>
      </c>
    </row>
    <row r="27142" spans="26:26" x14ac:dyDescent="0.2">
      <c r="Z27142" t="str">
        <f t="shared" si="424"/>
        <v/>
      </c>
    </row>
    <row r="27143" spans="26:26" x14ac:dyDescent="0.2">
      <c r="Z27143" t="str">
        <f t="shared" si="424"/>
        <v/>
      </c>
    </row>
    <row r="27144" spans="26:26" x14ac:dyDescent="0.2">
      <c r="Z27144" t="str">
        <f t="shared" si="424"/>
        <v/>
      </c>
    </row>
    <row r="27145" spans="26:26" x14ac:dyDescent="0.2">
      <c r="Z27145" t="str">
        <f t="shared" si="424"/>
        <v/>
      </c>
    </row>
    <row r="27146" spans="26:26" x14ac:dyDescent="0.2">
      <c r="Z27146" t="str">
        <f t="shared" si="424"/>
        <v/>
      </c>
    </row>
    <row r="27147" spans="26:26" x14ac:dyDescent="0.2">
      <c r="Z27147" t="str">
        <f t="shared" si="424"/>
        <v/>
      </c>
    </row>
    <row r="27148" spans="26:26" x14ac:dyDescent="0.2">
      <c r="Z27148" t="str">
        <f t="shared" si="424"/>
        <v/>
      </c>
    </row>
    <row r="27149" spans="26:26" x14ac:dyDescent="0.2">
      <c r="Z27149" t="str">
        <f t="shared" si="424"/>
        <v/>
      </c>
    </row>
    <row r="27150" spans="26:26" x14ac:dyDescent="0.2">
      <c r="Z27150" t="str">
        <f t="shared" si="424"/>
        <v/>
      </c>
    </row>
    <row r="27151" spans="26:26" x14ac:dyDescent="0.2">
      <c r="Z27151" t="str">
        <f t="shared" si="424"/>
        <v/>
      </c>
    </row>
    <row r="27152" spans="26:26" x14ac:dyDescent="0.2">
      <c r="Z27152" t="str">
        <f t="shared" si="424"/>
        <v/>
      </c>
    </row>
    <row r="27153" spans="26:26" x14ac:dyDescent="0.2">
      <c r="Z27153" t="str">
        <f t="shared" si="424"/>
        <v/>
      </c>
    </row>
    <row r="27154" spans="26:26" x14ac:dyDescent="0.2">
      <c r="Z27154" t="str">
        <f t="shared" si="424"/>
        <v/>
      </c>
    </row>
    <row r="27155" spans="26:26" x14ac:dyDescent="0.2">
      <c r="Z27155" t="str">
        <f t="shared" si="424"/>
        <v/>
      </c>
    </row>
    <row r="27156" spans="26:26" x14ac:dyDescent="0.2">
      <c r="Z27156" t="str">
        <f t="shared" si="424"/>
        <v/>
      </c>
    </row>
    <row r="27157" spans="26:26" x14ac:dyDescent="0.2">
      <c r="Z27157" t="str">
        <f t="shared" si="424"/>
        <v/>
      </c>
    </row>
    <row r="27158" spans="26:26" x14ac:dyDescent="0.2">
      <c r="Z27158" t="str">
        <f t="shared" si="424"/>
        <v/>
      </c>
    </row>
    <row r="27159" spans="26:26" x14ac:dyDescent="0.2">
      <c r="Z27159" t="str">
        <f t="shared" si="424"/>
        <v/>
      </c>
    </row>
    <row r="27160" spans="26:26" x14ac:dyDescent="0.2">
      <c r="Z27160" t="str">
        <f t="shared" si="424"/>
        <v/>
      </c>
    </row>
    <row r="27161" spans="26:26" x14ac:dyDescent="0.2">
      <c r="Z27161" t="str">
        <f t="shared" si="424"/>
        <v/>
      </c>
    </row>
    <row r="27162" spans="26:26" x14ac:dyDescent="0.2">
      <c r="Z27162" t="str">
        <f t="shared" si="424"/>
        <v/>
      </c>
    </row>
    <row r="27163" spans="26:26" x14ac:dyDescent="0.2">
      <c r="Z27163" t="str">
        <f t="shared" si="424"/>
        <v/>
      </c>
    </row>
    <row r="27164" spans="26:26" x14ac:dyDescent="0.2">
      <c r="Z27164" t="str">
        <f t="shared" si="424"/>
        <v/>
      </c>
    </row>
    <row r="27165" spans="26:26" x14ac:dyDescent="0.2">
      <c r="Z27165" t="str">
        <f t="shared" si="424"/>
        <v/>
      </c>
    </row>
    <row r="27166" spans="26:26" x14ac:dyDescent="0.2">
      <c r="Z27166" t="str">
        <f t="shared" si="424"/>
        <v/>
      </c>
    </row>
    <row r="27167" spans="26:26" x14ac:dyDescent="0.2">
      <c r="Z27167" t="str">
        <f t="shared" si="424"/>
        <v/>
      </c>
    </row>
    <row r="27168" spans="26:26" x14ac:dyDescent="0.2">
      <c r="Z27168" t="str">
        <f t="shared" si="424"/>
        <v/>
      </c>
    </row>
    <row r="27169" spans="26:26" x14ac:dyDescent="0.2">
      <c r="Z27169" t="str">
        <f t="shared" si="424"/>
        <v/>
      </c>
    </row>
    <row r="27170" spans="26:26" x14ac:dyDescent="0.2">
      <c r="Z27170" t="str">
        <f t="shared" si="424"/>
        <v/>
      </c>
    </row>
    <row r="27171" spans="26:26" x14ac:dyDescent="0.2">
      <c r="Z27171" t="str">
        <f t="shared" si="424"/>
        <v/>
      </c>
    </row>
    <row r="27172" spans="26:26" x14ac:dyDescent="0.2">
      <c r="Z27172" t="str">
        <f t="shared" si="424"/>
        <v/>
      </c>
    </row>
    <row r="27173" spans="26:26" x14ac:dyDescent="0.2">
      <c r="Z27173" t="str">
        <f t="shared" si="424"/>
        <v/>
      </c>
    </row>
    <row r="27174" spans="26:26" x14ac:dyDescent="0.2">
      <c r="Z27174" t="str">
        <f t="shared" si="424"/>
        <v/>
      </c>
    </row>
    <row r="27175" spans="26:26" x14ac:dyDescent="0.2">
      <c r="Z27175" t="str">
        <f t="shared" si="424"/>
        <v/>
      </c>
    </row>
    <row r="27176" spans="26:26" x14ac:dyDescent="0.2">
      <c r="Z27176" t="str">
        <f t="shared" si="424"/>
        <v/>
      </c>
    </row>
    <row r="27177" spans="26:26" x14ac:dyDescent="0.2">
      <c r="Z27177" t="str">
        <f t="shared" si="424"/>
        <v/>
      </c>
    </row>
    <row r="27178" spans="26:26" x14ac:dyDescent="0.2">
      <c r="Z27178" t="str">
        <f t="shared" si="424"/>
        <v/>
      </c>
    </row>
    <row r="27179" spans="26:26" x14ac:dyDescent="0.2">
      <c r="Z27179" t="str">
        <f t="shared" si="424"/>
        <v/>
      </c>
    </row>
    <row r="27180" spans="26:26" x14ac:dyDescent="0.2">
      <c r="Z27180" t="str">
        <f t="shared" si="424"/>
        <v/>
      </c>
    </row>
    <row r="27181" spans="26:26" x14ac:dyDescent="0.2">
      <c r="Z27181" t="str">
        <f t="shared" si="424"/>
        <v/>
      </c>
    </row>
    <row r="27182" spans="26:26" x14ac:dyDescent="0.2">
      <c r="Z27182" t="str">
        <f t="shared" si="424"/>
        <v/>
      </c>
    </row>
    <row r="27183" spans="26:26" x14ac:dyDescent="0.2">
      <c r="Z27183" t="str">
        <f t="shared" si="424"/>
        <v/>
      </c>
    </row>
    <row r="27184" spans="26:26" x14ac:dyDescent="0.2">
      <c r="Z27184" t="str">
        <f t="shared" si="424"/>
        <v/>
      </c>
    </row>
    <row r="27185" spans="26:26" x14ac:dyDescent="0.2">
      <c r="Z27185" t="str">
        <f t="shared" si="424"/>
        <v/>
      </c>
    </row>
    <row r="27186" spans="26:26" x14ac:dyDescent="0.2">
      <c r="Z27186" t="str">
        <f t="shared" si="424"/>
        <v/>
      </c>
    </row>
    <row r="27187" spans="26:26" x14ac:dyDescent="0.2">
      <c r="Z27187" t="str">
        <f t="shared" si="424"/>
        <v/>
      </c>
    </row>
    <row r="27188" spans="26:26" x14ac:dyDescent="0.2">
      <c r="Z27188" t="str">
        <f t="shared" si="424"/>
        <v/>
      </c>
    </row>
    <row r="27189" spans="26:26" x14ac:dyDescent="0.2">
      <c r="Z27189" t="str">
        <f t="shared" si="424"/>
        <v/>
      </c>
    </row>
    <row r="27190" spans="26:26" x14ac:dyDescent="0.2">
      <c r="Z27190" t="str">
        <f t="shared" si="424"/>
        <v/>
      </c>
    </row>
    <row r="27191" spans="26:26" x14ac:dyDescent="0.2">
      <c r="Z27191" t="str">
        <f t="shared" si="424"/>
        <v/>
      </c>
    </row>
    <row r="27192" spans="26:26" x14ac:dyDescent="0.2">
      <c r="Z27192" t="str">
        <f t="shared" si="424"/>
        <v/>
      </c>
    </row>
    <row r="27193" spans="26:26" x14ac:dyDescent="0.2">
      <c r="Z27193" t="str">
        <f t="shared" si="424"/>
        <v/>
      </c>
    </row>
    <row r="27194" spans="26:26" x14ac:dyDescent="0.2">
      <c r="Z27194" t="str">
        <f t="shared" si="424"/>
        <v/>
      </c>
    </row>
    <row r="27195" spans="26:26" x14ac:dyDescent="0.2">
      <c r="Z27195" t="str">
        <f t="shared" si="424"/>
        <v/>
      </c>
    </row>
    <row r="27196" spans="26:26" x14ac:dyDescent="0.2">
      <c r="Z27196" t="str">
        <f t="shared" si="424"/>
        <v/>
      </c>
    </row>
    <row r="27197" spans="26:26" x14ac:dyDescent="0.2">
      <c r="Z27197" t="str">
        <f t="shared" si="424"/>
        <v/>
      </c>
    </row>
    <row r="27198" spans="26:26" x14ac:dyDescent="0.2">
      <c r="Z27198" t="str">
        <f t="shared" si="424"/>
        <v/>
      </c>
    </row>
    <row r="27199" spans="26:26" x14ac:dyDescent="0.2">
      <c r="Z27199" t="str">
        <f t="shared" si="424"/>
        <v/>
      </c>
    </row>
    <row r="27200" spans="26:26" x14ac:dyDescent="0.2">
      <c r="Z27200" t="str">
        <f t="shared" si="424"/>
        <v/>
      </c>
    </row>
    <row r="27201" spans="26:26" x14ac:dyDescent="0.2">
      <c r="Z27201" t="str">
        <f t="shared" si="424"/>
        <v/>
      </c>
    </row>
    <row r="27202" spans="26:26" x14ac:dyDescent="0.2">
      <c r="Z27202" t="str">
        <f t="shared" si="424"/>
        <v/>
      </c>
    </row>
    <row r="27203" spans="26:26" x14ac:dyDescent="0.2">
      <c r="Z27203" t="str">
        <f t="shared" ref="Z27203:Z27266" si="425">IF(K27203="","",IFERROR(VALUE(TRIM(MID(K27203,FIND(CHAR(167),SUBSTITUTE(K27203,"-",CHAR(167),LEN(K27203)-LEN(SUBSTITUTE(K27203,"-",""))))+1,100))),K27203))</f>
        <v/>
      </c>
    </row>
    <row r="27204" spans="26:26" x14ac:dyDescent="0.2">
      <c r="Z27204" t="str">
        <f t="shared" si="425"/>
        <v/>
      </c>
    </row>
    <row r="27205" spans="26:26" x14ac:dyDescent="0.2">
      <c r="Z27205" t="str">
        <f t="shared" si="425"/>
        <v/>
      </c>
    </row>
    <row r="27206" spans="26:26" x14ac:dyDescent="0.2">
      <c r="Z27206" t="str">
        <f t="shared" si="425"/>
        <v/>
      </c>
    </row>
    <row r="27207" spans="26:26" x14ac:dyDescent="0.2">
      <c r="Z27207" t="str">
        <f t="shared" si="425"/>
        <v/>
      </c>
    </row>
    <row r="27208" spans="26:26" x14ac:dyDescent="0.2">
      <c r="Z27208" t="str">
        <f t="shared" si="425"/>
        <v/>
      </c>
    </row>
    <row r="27209" spans="26:26" x14ac:dyDescent="0.2">
      <c r="Z27209" t="str">
        <f t="shared" si="425"/>
        <v/>
      </c>
    </row>
    <row r="27210" spans="26:26" x14ac:dyDescent="0.2">
      <c r="Z27210" t="str">
        <f t="shared" si="425"/>
        <v/>
      </c>
    </row>
    <row r="27211" spans="26:26" x14ac:dyDescent="0.2">
      <c r="Z27211" t="str">
        <f t="shared" si="425"/>
        <v/>
      </c>
    </row>
    <row r="27212" spans="26:26" x14ac:dyDescent="0.2">
      <c r="Z27212" t="str">
        <f t="shared" si="425"/>
        <v/>
      </c>
    </row>
    <row r="27213" spans="26:26" x14ac:dyDescent="0.2">
      <c r="Z27213" t="str">
        <f t="shared" si="425"/>
        <v/>
      </c>
    </row>
    <row r="27214" spans="26:26" x14ac:dyDescent="0.2">
      <c r="Z27214" t="str">
        <f t="shared" si="425"/>
        <v/>
      </c>
    </row>
    <row r="27215" spans="26:26" x14ac:dyDescent="0.2">
      <c r="Z27215" t="str">
        <f t="shared" si="425"/>
        <v/>
      </c>
    </row>
    <row r="27216" spans="26:26" x14ac:dyDescent="0.2">
      <c r="Z27216" t="str">
        <f t="shared" si="425"/>
        <v/>
      </c>
    </row>
    <row r="27217" spans="26:26" x14ac:dyDescent="0.2">
      <c r="Z27217" t="str">
        <f t="shared" si="425"/>
        <v/>
      </c>
    </row>
    <row r="27218" spans="26:26" x14ac:dyDescent="0.2">
      <c r="Z27218" t="str">
        <f t="shared" si="425"/>
        <v/>
      </c>
    </row>
    <row r="27219" spans="26:26" x14ac:dyDescent="0.2">
      <c r="Z27219" t="str">
        <f t="shared" si="425"/>
        <v/>
      </c>
    </row>
    <row r="27220" spans="26:26" x14ac:dyDescent="0.2">
      <c r="Z27220" t="str">
        <f t="shared" si="425"/>
        <v/>
      </c>
    </row>
    <row r="27221" spans="26:26" x14ac:dyDescent="0.2">
      <c r="Z27221" t="str">
        <f t="shared" si="425"/>
        <v/>
      </c>
    </row>
    <row r="27222" spans="26:26" x14ac:dyDescent="0.2">
      <c r="Z27222" t="str">
        <f t="shared" si="425"/>
        <v/>
      </c>
    </row>
    <row r="27223" spans="26:26" x14ac:dyDescent="0.2">
      <c r="Z27223" t="str">
        <f t="shared" si="425"/>
        <v/>
      </c>
    </row>
    <row r="27224" spans="26:26" x14ac:dyDescent="0.2">
      <c r="Z27224" t="str">
        <f t="shared" si="425"/>
        <v/>
      </c>
    </row>
    <row r="27225" spans="26:26" x14ac:dyDescent="0.2">
      <c r="Z27225" t="str">
        <f t="shared" si="425"/>
        <v/>
      </c>
    </row>
    <row r="27226" spans="26:26" x14ac:dyDescent="0.2">
      <c r="Z27226" t="str">
        <f t="shared" si="425"/>
        <v/>
      </c>
    </row>
    <row r="27227" spans="26:26" x14ac:dyDescent="0.2">
      <c r="Z27227" t="str">
        <f t="shared" si="425"/>
        <v/>
      </c>
    </row>
    <row r="27228" spans="26:26" x14ac:dyDescent="0.2">
      <c r="Z27228" t="str">
        <f t="shared" si="425"/>
        <v/>
      </c>
    </row>
    <row r="27229" spans="26:26" x14ac:dyDescent="0.2">
      <c r="Z27229" t="str">
        <f t="shared" si="425"/>
        <v/>
      </c>
    </row>
    <row r="27230" spans="26:26" x14ac:dyDescent="0.2">
      <c r="Z27230" t="str">
        <f t="shared" si="425"/>
        <v/>
      </c>
    </row>
    <row r="27231" spans="26:26" x14ac:dyDescent="0.2">
      <c r="Z27231" t="str">
        <f t="shared" si="425"/>
        <v/>
      </c>
    </row>
    <row r="27232" spans="26:26" x14ac:dyDescent="0.2">
      <c r="Z27232" t="str">
        <f t="shared" si="425"/>
        <v/>
      </c>
    </row>
    <row r="27233" spans="26:26" x14ac:dyDescent="0.2">
      <c r="Z27233" t="str">
        <f t="shared" si="425"/>
        <v/>
      </c>
    </row>
    <row r="27234" spans="26:26" x14ac:dyDescent="0.2">
      <c r="Z27234" t="str">
        <f t="shared" si="425"/>
        <v/>
      </c>
    </row>
    <row r="27235" spans="26:26" x14ac:dyDescent="0.2">
      <c r="Z27235" t="str">
        <f t="shared" si="425"/>
        <v/>
      </c>
    </row>
    <row r="27236" spans="26:26" x14ac:dyDescent="0.2">
      <c r="Z27236" t="str">
        <f t="shared" si="425"/>
        <v/>
      </c>
    </row>
    <row r="27237" spans="26:26" x14ac:dyDescent="0.2">
      <c r="Z27237" t="str">
        <f t="shared" si="425"/>
        <v/>
      </c>
    </row>
    <row r="27238" spans="26:26" x14ac:dyDescent="0.2">
      <c r="Z27238" t="str">
        <f t="shared" si="425"/>
        <v/>
      </c>
    </row>
    <row r="27239" spans="26:26" x14ac:dyDescent="0.2">
      <c r="Z27239" t="str">
        <f t="shared" si="425"/>
        <v/>
      </c>
    </row>
    <row r="27240" spans="26:26" x14ac:dyDescent="0.2">
      <c r="Z27240" t="str">
        <f t="shared" si="425"/>
        <v/>
      </c>
    </row>
    <row r="27241" spans="26:26" x14ac:dyDescent="0.2">
      <c r="Z27241" t="str">
        <f t="shared" si="425"/>
        <v/>
      </c>
    </row>
    <row r="27242" spans="26:26" x14ac:dyDescent="0.2">
      <c r="Z27242" t="str">
        <f t="shared" si="425"/>
        <v/>
      </c>
    </row>
    <row r="27243" spans="26:26" x14ac:dyDescent="0.2">
      <c r="Z27243" t="str">
        <f t="shared" si="425"/>
        <v/>
      </c>
    </row>
    <row r="27244" spans="26:26" x14ac:dyDescent="0.2">
      <c r="Z27244" t="str">
        <f t="shared" si="425"/>
        <v/>
      </c>
    </row>
    <row r="27245" spans="26:26" x14ac:dyDescent="0.2">
      <c r="Z27245" t="str">
        <f t="shared" si="425"/>
        <v/>
      </c>
    </row>
    <row r="27246" spans="26:26" x14ac:dyDescent="0.2">
      <c r="Z27246" t="str">
        <f t="shared" si="425"/>
        <v/>
      </c>
    </row>
    <row r="27247" spans="26:26" x14ac:dyDescent="0.2">
      <c r="Z27247" t="str">
        <f t="shared" si="425"/>
        <v/>
      </c>
    </row>
    <row r="27248" spans="26:26" x14ac:dyDescent="0.2">
      <c r="Z27248" t="str">
        <f t="shared" si="425"/>
        <v/>
      </c>
    </row>
    <row r="27249" spans="26:26" x14ac:dyDescent="0.2">
      <c r="Z27249" t="str">
        <f t="shared" si="425"/>
        <v/>
      </c>
    </row>
    <row r="27250" spans="26:26" x14ac:dyDescent="0.2">
      <c r="Z27250" t="str">
        <f t="shared" si="425"/>
        <v/>
      </c>
    </row>
    <row r="27251" spans="26:26" x14ac:dyDescent="0.2">
      <c r="Z27251" t="str">
        <f t="shared" si="425"/>
        <v/>
      </c>
    </row>
    <row r="27252" spans="26:26" x14ac:dyDescent="0.2">
      <c r="Z27252" t="str">
        <f t="shared" si="425"/>
        <v/>
      </c>
    </row>
    <row r="27253" spans="26:26" x14ac:dyDescent="0.2">
      <c r="Z27253" t="str">
        <f t="shared" si="425"/>
        <v/>
      </c>
    </row>
    <row r="27254" spans="26:26" x14ac:dyDescent="0.2">
      <c r="Z27254" t="str">
        <f t="shared" si="425"/>
        <v/>
      </c>
    </row>
    <row r="27255" spans="26:26" x14ac:dyDescent="0.2">
      <c r="Z27255" t="str">
        <f t="shared" si="425"/>
        <v/>
      </c>
    </row>
    <row r="27256" spans="26:26" x14ac:dyDescent="0.2">
      <c r="Z27256" t="str">
        <f t="shared" si="425"/>
        <v/>
      </c>
    </row>
    <row r="27257" spans="26:26" x14ac:dyDescent="0.2">
      <c r="Z27257" t="str">
        <f t="shared" si="425"/>
        <v/>
      </c>
    </row>
    <row r="27258" spans="26:26" x14ac:dyDescent="0.2">
      <c r="Z27258" t="str">
        <f t="shared" si="425"/>
        <v/>
      </c>
    </row>
    <row r="27259" spans="26:26" x14ac:dyDescent="0.2">
      <c r="Z27259" t="str">
        <f t="shared" si="425"/>
        <v/>
      </c>
    </row>
    <row r="27260" spans="26:26" x14ac:dyDescent="0.2">
      <c r="Z27260" t="str">
        <f t="shared" si="425"/>
        <v/>
      </c>
    </row>
    <row r="27261" spans="26:26" x14ac:dyDescent="0.2">
      <c r="Z27261" t="str">
        <f t="shared" si="425"/>
        <v/>
      </c>
    </row>
    <row r="27262" spans="26:26" x14ac:dyDescent="0.2">
      <c r="Z27262" t="str">
        <f t="shared" si="425"/>
        <v/>
      </c>
    </row>
    <row r="27263" spans="26:26" x14ac:dyDescent="0.2">
      <c r="Z27263" t="str">
        <f t="shared" si="425"/>
        <v/>
      </c>
    </row>
    <row r="27264" spans="26:26" x14ac:dyDescent="0.2">
      <c r="Z27264" t="str">
        <f t="shared" si="425"/>
        <v/>
      </c>
    </row>
    <row r="27265" spans="26:26" x14ac:dyDescent="0.2">
      <c r="Z27265" t="str">
        <f t="shared" si="425"/>
        <v/>
      </c>
    </row>
    <row r="27266" spans="26:26" x14ac:dyDescent="0.2">
      <c r="Z27266" t="str">
        <f t="shared" si="425"/>
        <v/>
      </c>
    </row>
    <row r="27267" spans="26:26" x14ac:dyDescent="0.2">
      <c r="Z27267" t="str">
        <f t="shared" ref="Z27267:Z27330" si="426">IF(K27267="","",IFERROR(VALUE(TRIM(MID(K27267,FIND(CHAR(167),SUBSTITUTE(K27267,"-",CHAR(167),LEN(K27267)-LEN(SUBSTITUTE(K27267,"-",""))))+1,100))),K27267))</f>
        <v/>
      </c>
    </row>
    <row r="27268" spans="26:26" x14ac:dyDescent="0.2">
      <c r="Z27268" t="str">
        <f t="shared" si="426"/>
        <v/>
      </c>
    </row>
    <row r="27269" spans="26:26" x14ac:dyDescent="0.2">
      <c r="Z27269" t="str">
        <f t="shared" si="426"/>
        <v/>
      </c>
    </row>
    <row r="27270" spans="26:26" x14ac:dyDescent="0.2">
      <c r="Z27270" t="str">
        <f t="shared" si="426"/>
        <v/>
      </c>
    </row>
    <row r="27271" spans="26:26" x14ac:dyDescent="0.2">
      <c r="Z27271" t="str">
        <f t="shared" si="426"/>
        <v/>
      </c>
    </row>
    <row r="27272" spans="26:26" x14ac:dyDescent="0.2">
      <c r="Z27272" t="str">
        <f t="shared" si="426"/>
        <v/>
      </c>
    </row>
    <row r="27273" spans="26:26" x14ac:dyDescent="0.2">
      <c r="Z27273" t="str">
        <f t="shared" si="426"/>
        <v/>
      </c>
    </row>
    <row r="27274" spans="26:26" x14ac:dyDescent="0.2">
      <c r="Z27274" t="str">
        <f t="shared" si="426"/>
        <v/>
      </c>
    </row>
    <row r="27275" spans="26:26" x14ac:dyDescent="0.2">
      <c r="Z27275" t="str">
        <f t="shared" si="426"/>
        <v/>
      </c>
    </row>
    <row r="27276" spans="26:26" x14ac:dyDescent="0.2">
      <c r="Z27276" t="str">
        <f t="shared" si="426"/>
        <v/>
      </c>
    </row>
    <row r="27277" spans="26:26" x14ac:dyDescent="0.2">
      <c r="Z27277" t="str">
        <f t="shared" si="426"/>
        <v/>
      </c>
    </row>
    <row r="27278" spans="26:26" x14ac:dyDescent="0.2">
      <c r="Z27278" t="str">
        <f t="shared" si="426"/>
        <v/>
      </c>
    </row>
    <row r="27279" spans="26:26" x14ac:dyDescent="0.2">
      <c r="Z27279" t="str">
        <f t="shared" si="426"/>
        <v/>
      </c>
    </row>
    <row r="27280" spans="26:26" x14ac:dyDescent="0.2">
      <c r="Z27280" t="str">
        <f t="shared" si="426"/>
        <v/>
      </c>
    </row>
    <row r="27281" spans="26:26" x14ac:dyDescent="0.2">
      <c r="Z27281" t="str">
        <f t="shared" si="426"/>
        <v/>
      </c>
    </row>
    <row r="27282" spans="26:26" x14ac:dyDescent="0.2">
      <c r="Z27282" t="str">
        <f t="shared" si="426"/>
        <v/>
      </c>
    </row>
    <row r="27283" spans="26:26" x14ac:dyDescent="0.2">
      <c r="Z27283" t="str">
        <f t="shared" si="426"/>
        <v/>
      </c>
    </row>
    <row r="27284" spans="26:26" x14ac:dyDescent="0.2">
      <c r="Z27284" t="str">
        <f t="shared" si="426"/>
        <v/>
      </c>
    </row>
    <row r="27285" spans="26:26" x14ac:dyDescent="0.2">
      <c r="Z27285" t="str">
        <f t="shared" si="426"/>
        <v/>
      </c>
    </row>
    <row r="27286" spans="26:26" x14ac:dyDescent="0.2">
      <c r="Z27286" t="str">
        <f t="shared" si="426"/>
        <v/>
      </c>
    </row>
    <row r="27287" spans="26:26" x14ac:dyDescent="0.2">
      <c r="Z27287" t="str">
        <f t="shared" si="426"/>
        <v/>
      </c>
    </row>
    <row r="27288" spans="26:26" x14ac:dyDescent="0.2">
      <c r="Z27288" t="str">
        <f t="shared" si="426"/>
        <v/>
      </c>
    </row>
    <row r="27289" spans="26:26" x14ac:dyDescent="0.2">
      <c r="Z27289" t="str">
        <f t="shared" si="426"/>
        <v/>
      </c>
    </row>
    <row r="27290" spans="26:26" x14ac:dyDescent="0.2">
      <c r="Z27290" t="str">
        <f t="shared" si="426"/>
        <v/>
      </c>
    </row>
    <row r="27291" spans="26:26" x14ac:dyDescent="0.2">
      <c r="Z27291" t="str">
        <f t="shared" si="426"/>
        <v/>
      </c>
    </row>
    <row r="27292" spans="26:26" x14ac:dyDescent="0.2">
      <c r="Z27292" t="str">
        <f t="shared" si="426"/>
        <v/>
      </c>
    </row>
    <row r="27293" spans="26:26" x14ac:dyDescent="0.2">
      <c r="Z27293" t="str">
        <f t="shared" si="426"/>
        <v/>
      </c>
    </row>
    <row r="27294" spans="26:26" x14ac:dyDescent="0.2">
      <c r="Z27294" t="str">
        <f t="shared" si="426"/>
        <v/>
      </c>
    </row>
    <row r="27295" spans="26:26" x14ac:dyDescent="0.2">
      <c r="Z27295" t="str">
        <f t="shared" si="426"/>
        <v/>
      </c>
    </row>
    <row r="27296" spans="26:26" x14ac:dyDescent="0.2">
      <c r="Z27296" t="str">
        <f t="shared" si="426"/>
        <v/>
      </c>
    </row>
    <row r="27297" spans="26:26" x14ac:dyDescent="0.2">
      <c r="Z27297" t="str">
        <f t="shared" si="426"/>
        <v/>
      </c>
    </row>
    <row r="27298" spans="26:26" x14ac:dyDescent="0.2">
      <c r="Z27298" t="str">
        <f t="shared" si="426"/>
        <v/>
      </c>
    </row>
    <row r="27299" spans="26:26" x14ac:dyDescent="0.2">
      <c r="Z27299" t="str">
        <f t="shared" si="426"/>
        <v/>
      </c>
    </row>
    <row r="27300" spans="26:26" x14ac:dyDescent="0.2">
      <c r="Z27300" t="str">
        <f t="shared" si="426"/>
        <v/>
      </c>
    </row>
    <row r="27301" spans="26:26" x14ac:dyDescent="0.2">
      <c r="Z27301" t="str">
        <f t="shared" si="426"/>
        <v/>
      </c>
    </row>
    <row r="27302" spans="26:26" x14ac:dyDescent="0.2">
      <c r="Z27302" t="str">
        <f t="shared" si="426"/>
        <v/>
      </c>
    </row>
    <row r="27303" spans="26:26" x14ac:dyDescent="0.2">
      <c r="Z27303" t="str">
        <f t="shared" si="426"/>
        <v/>
      </c>
    </row>
    <row r="27304" spans="26:26" x14ac:dyDescent="0.2">
      <c r="Z27304" t="str">
        <f t="shared" si="426"/>
        <v/>
      </c>
    </row>
    <row r="27305" spans="26:26" x14ac:dyDescent="0.2">
      <c r="Z27305" t="str">
        <f t="shared" si="426"/>
        <v/>
      </c>
    </row>
    <row r="27306" spans="26:26" x14ac:dyDescent="0.2">
      <c r="Z27306" t="str">
        <f t="shared" si="426"/>
        <v/>
      </c>
    </row>
    <row r="27307" spans="26:26" x14ac:dyDescent="0.2">
      <c r="Z27307" t="str">
        <f t="shared" si="426"/>
        <v/>
      </c>
    </row>
    <row r="27308" spans="26:26" x14ac:dyDescent="0.2">
      <c r="Z27308" t="str">
        <f t="shared" si="426"/>
        <v/>
      </c>
    </row>
    <row r="27309" spans="26:26" x14ac:dyDescent="0.2">
      <c r="Z27309" t="str">
        <f t="shared" si="426"/>
        <v/>
      </c>
    </row>
    <row r="27310" spans="26:26" x14ac:dyDescent="0.2">
      <c r="Z27310" t="str">
        <f t="shared" si="426"/>
        <v/>
      </c>
    </row>
    <row r="27311" spans="26:26" x14ac:dyDescent="0.2">
      <c r="Z27311" t="str">
        <f t="shared" si="426"/>
        <v/>
      </c>
    </row>
    <row r="27312" spans="26:26" x14ac:dyDescent="0.2">
      <c r="Z27312" t="str">
        <f t="shared" si="426"/>
        <v/>
      </c>
    </row>
    <row r="27313" spans="26:26" x14ac:dyDescent="0.2">
      <c r="Z27313" t="str">
        <f t="shared" si="426"/>
        <v/>
      </c>
    </row>
    <row r="27314" spans="26:26" x14ac:dyDescent="0.2">
      <c r="Z27314" t="str">
        <f t="shared" si="426"/>
        <v/>
      </c>
    </row>
    <row r="27315" spans="26:26" x14ac:dyDescent="0.2">
      <c r="Z27315" t="str">
        <f t="shared" si="426"/>
        <v/>
      </c>
    </row>
    <row r="27316" spans="26:26" x14ac:dyDescent="0.2">
      <c r="Z27316" t="str">
        <f t="shared" si="426"/>
        <v/>
      </c>
    </row>
    <row r="27317" spans="26:26" x14ac:dyDescent="0.2">
      <c r="Z27317" t="str">
        <f t="shared" si="426"/>
        <v/>
      </c>
    </row>
    <row r="27318" spans="26:26" x14ac:dyDescent="0.2">
      <c r="Z27318" t="str">
        <f t="shared" si="426"/>
        <v/>
      </c>
    </row>
    <row r="27319" spans="26:26" x14ac:dyDescent="0.2">
      <c r="Z27319" t="str">
        <f t="shared" si="426"/>
        <v/>
      </c>
    </row>
    <row r="27320" spans="26:26" x14ac:dyDescent="0.2">
      <c r="Z27320" t="str">
        <f t="shared" si="426"/>
        <v/>
      </c>
    </row>
    <row r="27321" spans="26:26" x14ac:dyDescent="0.2">
      <c r="Z27321" t="str">
        <f t="shared" si="426"/>
        <v/>
      </c>
    </row>
    <row r="27322" spans="26:26" x14ac:dyDescent="0.2">
      <c r="Z27322" t="str">
        <f t="shared" si="426"/>
        <v/>
      </c>
    </row>
    <row r="27323" spans="26:26" x14ac:dyDescent="0.2">
      <c r="Z27323" t="str">
        <f t="shared" si="426"/>
        <v/>
      </c>
    </row>
    <row r="27324" spans="26:26" x14ac:dyDescent="0.2">
      <c r="Z27324" t="str">
        <f t="shared" si="426"/>
        <v/>
      </c>
    </row>
    <row r="27325" spans="26:26" x14ac:dyDescent="0.2">
      <c r="Z27325" t="str">
        <f t="shared" si="426"/>
        <v/>
      </c>
    </row>
    <row r="27326" spans="26:26" x14ac:dyDescent="0.2">
      <c r="Z27326" t="str">
        <f t="shared" si="426"/>
        <v/>
      </c>
    </row>
    <row r="27327" spans="26:26" x14ac:dyDescent="0.2">
      <c r="Z27327" t="str">
        <f t="shared" si="426"/>
        <v/>
      </c>
    </row>
    <row r="27328" spans="26:26" x14ac:dyDescent="0.2">
      <c r="Z27328" t="str">
        <f t="shared" si="426"/>
        <v/>
      </c>
    </row>
    <row r="27329" spans="26:26" x14ac:dyDescent="0.2">
      <c r="Z27329" t="str">
        <f t="shared" si="426"/>
        <v/>
      </c>
    </row>
    <row r="27330" spans="26:26" x14ac:dyDescent="0.2">
      <c r="Z27330" t="str">
        <f t="shared" si="426"/>
        <v/>
      </c>
    </row>
    <row r="27331" spans="26:26" x14ac:dyDescent="0.2">
      <c r="Z27331" t="str">
        <f t="shared" ref="Z27331:Z27394" si="427">IF(K27331="","",IFERROR(VALUE(TRIM(MID(K27331,FIND(CHAR(167),SUBSTITUTE(K27331,"-",CHAR(167),LEN(K27331)-LEN(SUBSTITUTE(K27331,"-",""))))+1,100))),K27331))</f>
        <v/>
      </c>
    </row>
    <row r="27332" spans="26:26" x14ac:dyDescent="0.2">
      <c r="Z27332" t="str">
        <f t="shared" si="427"/>
        <v/>
      </c>
    </row>
    <row r="27333" spans="26:26" x14ac:dyDescent="0.2">
      <c r="Z27333" t="str">
        <f t="shared" si="427"/>
        <v/>
      </c>
    </row>
    <row r="27334" spans="26:26" x14ac:dyDescent="0.2">
      <c r="Z27334" t="str">
        <f t="shared" si="427"/>
        <v/>
      </c>
    </row>
    <row r="27335" spans="26:26" x14ac:dyDescent="0.2">
      <c r="Z27335" t="str">
        <f t="shared" si="427"/>
        <v/>
      </c>
    </row>
    <row r="27336" spans="26:26" x14ac:dyDescent="0.2">
      <c r="Z27336" t="str">
        <f t="shared" si="427"/>
        <v/>
      </c>
    </row>
    <row r="27337" spans="26:26" x14ac:dyDescent="0.2">
      <c r="Z27337" t="str">
        <f t="shared" si="427"/>
        <v/>
      </c>
    </row>
    <row r="27338" spans="26:26" x14ac:dyDescent="0.2">
      <c r="Z27338" t="str">
        <f t="shared" si="427"/>
        <v/>
      </c>
    </row>
    <row r="27339" spans="26:26" x14ac:dyDescent="0.2">
      <c r="Z27339" t="str">
        <f t="shared" si="427"/>
        <v/>
      </c>
    </row>
    <row r="27340" spans="26:26" x14ac:dyDescent="0.2">
      <c r="Z27340" t="str">
        <f t="shared" si="427"/>
        <v/>
      </c>
    </row>
    <row r="27341" spans="26:26" x14ac:dyDescent="0.2">
      <c r="Z27341" t="str">
        <f t="shared" si="427"/>
        <v/>
      </c>
    </row>
    <row r="27342" spans="26:26" x14ac:dyDescent="0.2">
      <c r="Z27342" t="str">
        <f t="shared" si="427"/>
        <v/>
      </c>
    </row>
    <row r="27343" spans="26:26" x14ac:dyDescent="0.2">
      <c r="Z27343" t="str">
        <f t="shared" si="427"/>
        <v/>
      </c>
    </row>
    <row r="27344" spans="26:26" x14ac:dyDescent="0.2">
      <c r="Z27344" t="str">
        <f t="shared" si="427"/>
        <v/>
      </c>
    </row>
    <row r="27345" spans="26:26" x14ac:dyDescent="0.2">
      <c r="Z27345" t="str">
        <f t="shared" si="427"/>
        <v/>
      </c>
    </row>
    <row r="27346" spans="26:26" x14ac:dyDescent="0.2">
      <c r="Z27346" t="str">
        <f t="shared" si="427"/>
        <v/>
      </c>
    </row>
    <row r="27347" spans="26:26" x14ac:dyDescent="0.2">
      <c r="Z27347" t="str">
        <f t="shared" si="427"/>
        <v/>
      </c>
    </row>
    <row r="27348" spans="26:26" x14ac:dyDescent="0.2">
      <c r="Z27348" t="str">
        <f t="shared" si="427"/>
        <v/>
      </c>
    </row>
    <row r="27349" spans="26:26" x14ac:dyDescent="0.2">
      <c r="Z27349" t="str">
        <f t="shared" si="427"/>
        <v/>
      </c>
    </row>
    <row r="27350" spans="26:26" x14ac:dyDescent="0.2">
      <c r="Z27350" t="str">
        <f t="shared" si="427"/>
        <v/>
      </c>
    </row>
    <row r="27351" spans="26:26" x14ac:dyDescent="0.2">
      <c r="Z27351" t="str">
        <f t="shared" si="427"/>
        <v/>
      </c>
    </row>
    <row r="27352" spans="26:26" x14ac:dyDescent="0.2">
      <c r="Z27352" t="str">
        <f t="shared" si="427"/>
        <v/>
      </c>
    </row>
    <row r="27353" spans="26:26" x14ac:dyDescent="0.2">
      <c r="Z27353" t="str">
        <f t="shared" si="427"/>
        <v/>
      </c>
    </row>
    <row r="27354" spans="26:26" x14ac:dyDescent="0.2">
      <c r="Z27354" t="str">
        <f t="shared" si="427"/>
        <v/>
      </c>
    </row>
    <row r="27355" spans="26:26" x14ac:dyDescent="0.2">
      <c r="Z27355" t="str">
        <f t="shared" si="427"/>
        <v/>
      </c>
    </row>
    <row r="27356" spans="26:26" x14ac:dyDescent="0.2">
      <c r="Z27356" t="str">
        <f t="shared" si="427"/>
        <v/>
      </c>
    </row>
    <row r="27357" spans="26:26" x14ac:dyDescent="0.2">
      <c r="Z27357" t="str">
        <f t="shared" si="427"/>
        <v/>
      </c>
    </row>
    <row r="27358" spans="26:26" x14ac:dyDescent="0.2">
      <c r="Z27358" t="str">
        <f t="shared" si="427"/>
        <v/>
      </c>
    </row>
    <row r="27359" spans="26:26" x14ac:dyDescent="0.2">
      <c r="Z27359" t="str">
        <f t="shared" si="427"/>
        <v/>
      </c>
    </row>
    <row r="27360" spans="26:26" x14ac:dyDescent="0.2">
      <c r="Z27360" t="str">
        <f t="shared" si="427"/>
        <v/>
      </c>
    </row>
    <row r="27361" spans="26:26" x14ac:dyDescent="0.2">
      <c r="Z27361" t="str">
        <f t="shared" si="427"/>
        <v/>
      </c>
    </row>
    <row r="27362" spans="26:26" x14ac:dyDescent="0.2">
      <c r="Z27362" t="str">
        <f t="shared" si="427"/>
        <v/>
      </c>
    </row>
    <row r="27363" spans="26:26" x14ac:dyDescent="0.2">
      <c r="Z27363" t="str">
        <f t="shared" si="427"/>
        <v/>
      </c>
    </row>
    <row r="27364" spans="26:26" x14ac:dyDescent="0.2">
      <c r="Z27364" t="str">
        <f t="shared" si="427"/>
        <v/>
      </c>
    </row>
    <row r="27365" spans="26:26" x14ac:dyDescent="0.2">
      <c r="Z27365" t="str">
        <f t="shared" si="427"/>
        <v/>
      </c>
    </row>
    <row r="27366" spans="26:26" x14ac:dyDescent="0.2">
      <c r="Z27366" t="str">
        <f t="shared" si="427"/>
        <v/>
      </c>
    </row>
    <row r="27367" spans="26:26" x14ac:dyDescent="0.2">
      <c r="Z27367" t="str">
        <f t="shared" si="427"/>
        <v/>
      </c>
    </row>
    <row r="27368" spans="26:26" x14ac:dyDescent="0.2">
      <c r="Z27368" t="str">
        <f t="shared" si="427"/>
        <v/>
      </c>
    </row>
    <row r="27369" spans="26:26" x14ac:dyDescent="0.2">
      <c r="Z27369" t="str">
        <f t="shared" si="427"/>
        <v/>
      </c>
    </row>
    <row r="27370" spans="26:26" x14ac:dyDescent="0.2">
      <c r="Z27370" t="str">
        <f t="shared" si="427"/>
        <v/>
      </c>
    </row>
    <row r="27371" spans="26:26" x14ac:dyDescent="0.2">
      <c r="Z27371" t="str">
        <f t="shared" si="427"/>
        <v/>
      </c>
    </row>
    <row r="27372" spans="26:26" x14ac:dyDescent="0.2">
      <c r="Z27372" t="str">
        <f t="shared" si="427"/>
        <v/>
      </c>
    </row>
    <row r="27373" spans="26:26" x14ac:dyDescent="0.2">
      <c r="Z27373" t="str">
        <f t="shared" si="427"/>
        <v/>
      </c>
    </row>
    <row r="27374" spans="26:26" x14ac:dyDescent="0.2">
      <c r="Z27374" t="str">
        <f t="shared" si="427"/>
        <v/>
      </c>
    </row>
    <row r="27375" spans="26:26" x14ac:dyDescent="0.2">
      <c r="Z27375" t="str">
        <f t="shared" si="427"/>
        <v/>
      </c>
    </row>
    <row r="27376" spans="26:26" x14ac:dyDescent="0.2">
      <c r="Z27376" t="str">
        <f t="shared" si="427"/>
        <v/>
      </c>
    </row>
    <row r="27377" spans="26:26" x14ac:dyDescent="0.2">
      <c r="Z27377" t="str">
        <f t="shared" si="427"/>
        <v/>
      </c>
    </row>
    <row r="27378" spans="26:26" x14ac:dyDescent="0.2">
      <c r="Z27378" t="str">
        <f t="shared" si="427"/>
        <v/>
      </c>
    </row>
    <row r="27379" spans="26:26" x14ac:dyDescent="0.2">
      <c r="Z27379" t="str">
        <f t="shared" si="427"/>
        <v/>
      </c>
    </row>
    <row r="27380" spans="26:26" x14ac:dyDescent="0.2">
      <c r="Z27380" t="str">
        <f t="shared" si="427"/>
        <v/>
      </c>
    </row>
    <row r="27381" spans="26:26" x14ac:dyDescent="0.2">
      <c r="Z27381" t="str">
        <f t="shared" si="427"/>
        <v/>
      </c>
    </row>
    <row r="27382" spans="26:26" x14ac:dyDescent="0.2">
      <c r="Z27382" t="str">
        <f t="shared" si="427"/>
        <v/>
      </c>
    </row>
    <row r="27383" spans="26:26" x14ac:dyDescent="0.2">
      <c r="Z27383" t="str">
        <f t="shared" si="427"/>
        <v/>
      </c>
    </row>
    <row r="27384" spans="26:26" x14ac:dyDescent="0.2">
      <c r="Z27384" t="str">
        <f t="shared" si="427"/>
        <v/>
      </c>
    </row>
    <row r="27385" spans="26:26" x14ac:dyDescent="0.2">
      <c r="Z27385" t="str">
        <f t="shared" si="427"/>
        <v/>
      </c>
    </row>
    <row r="27386" spans="26:26" x14ac:dyDescent="0.2">
      <c r="Z27386" t="str">
        <f t="shared" si="427"/>
        <v/>
      </c>
    </row>
    <row r="27387" spans="26:26" x14ac:dyDescent="0.2">
      <c r="Z27387" t="str">
        <f t="shared" si="427"/>
        <v/>
      </c>
    </row>
    <row r="27388" spans="26:26" x14ac:dyDescent="0.2">
      <c r="Z27388" t="str">
        <f t="shared" si="427"/>
        <v/>
      </c>
    </row>
    <row r="27389" spans="26:26" x14ac:dyDescent="0.2">
      <c r="Z27389" t="str">
        <f t="shared" si="427"/>
        <v/>
      </c>
    </row>
    <row r="27390" spans="26:26" x14ac:dyDescent="0.2">
      <c r="Z27390" t="str">
        <f t="shared" si="427"/>
        <v/>
      </c>
    </row>
    <row r="27391" spans="26:26" x14ac:dyDescent="0.2">
      <c r="Z27391" t="str">
        <f t="shared" si="427"/>
        <v/>
      </c>
    </row>
    <row r="27392" spans="26:26" x14ac:dyDescent="0.2">
      <c r="Z27392" t="str">
        <f t="shared" si="427"/>
        <v/>
      </c>
    </row>
    <row r="27393" spans="26:26" x14ac:dyDescent="0.2">
      <c r="Z27393" t="str">
        <f t="shared" si="427"/>
        <v/>
      </c>
    </row>
    <row r="27394" spans="26:26" x14ac:dyDescent="0.2">
      <c r="Z27394" t="str">
        <f t="shared" si="427"/>
        <v/>
      </c>
    </row>
    <row r="27395" spans="26:26" x14ac:dyDescent="0.2">
      <c r="Z27395" t="str">
        <f t="shared" ref="Z27395:Z27458" si="428">IF(K27395="","",IFERROR(VALUE(TRIM(MID(K27395,FIND(CHAR(167),SUBSTITUTE(K27395,"-",CHAR(167),LEN(K27395)-LEN(SUBSTITUTE(K27395,"-",""))))+1,100))),K27395))</f>
        <v/>
      </c>
    </row>
    <row r="27396" spans="26:26" x14ac:dyDescent="0.2">
      <c r="Z27396" t="str">
        <f t="shared" si="428"/>
        <v/>
      </c>
    </row>
    <row r="27397" spans="26:26" x14ac:dyDescent="0.2">
      <c r="Z27397" t="str">
        <f t="shared" si="428"/>
        <v/>
      </c>
    </row>
    <row r="27398" spans="26:26" x14ac:dyDescent="0.2">
      <c r="Z27398" t="str">
        <f t="shared" si="428"/>
        <v/>
      </c>
    </row>
    <row r="27399" spans="26:26" x14ac:dyDescent="0.2">
      <c r="Z27399" t="str">
        <f t="shared" si="428"/>
        <v/>
      </c>
    </row>
    <row r="27400" spans="26:26" x14ac:dyDescent="0.2">
      <c r="Z27400" t="str">
        <f t="shared" si="428"/>
        <v/>
      </c>
    </row>
    <row r="27401" spans="26:26" x14ac:dyDescent="0.2">
      <c r="Z27401" t="str">
        <f t="shared" si="428"/>
        <v/>
      </c>
    </row>
    <row r="27402" spans="26:26" x14ac:dyDescent="0.2">
      <c r="Z27402" t="str">
        <f t="shared" si="428"/>
        <v/>
      </c>
    </row>
    <row r="27403" spans="26:26" x14ac:dyDescent="0.2">
      <c r="Z27403" t="str">
        <f t="shared" si="428"/>
        <v/>
      </c>
    </row>
    <row r="27404" spans="26:26" x14ac:dyDescent="0.2">
      <c r="Z27404" t="str">
        <f t="shared" si="428"/>
        <v/>
      </c>
    </row>
    <row r="27405" spans="26:26" x14ac:dyDescent="0.2">
      <c r="Z27405" t="str">
        <f t="shared" si="428"/>
        <v/>
      </c>
    </row>
    <row r="27406" spans="26:26" x14ac:dyDescent="0.2">
      <c r="Z27406" t="str">
        <f t="shared" si="428"/>
        <v/>
      </c>
    </row>
    <row r="27407" spans="26:26" x14ac:dyDescent="0.2">
      <c r="Z27407" t="str">
        <f t="shared" si="428"/>
        <v/>
      </c>
    </row>
    <row r="27408" spans="26:26" x14ac:dyDescent="0.2">
      <c r="Z27408" t="str">
        <f t="shared" si="428"/>
        <v/>
      </c>
    </row>
    <row r="27409" spans="26:26" x14ac:dyDescent="0.2">
      <c r="Z27409" t="str">
        <f t="shared" si="428"/>
        <v/>
      </c>
    </row>
    <row r="27410" spans="26:26" x14ac:dyDescent="0.2">
      <c r="Z27410" t="str">
        <f t="shared" si="428"/>
        <v/>
      </c>
    </row>
    <row r="27411" spans="26:26" x14ac:dyDescent="0.2">
      <c r="Z27411" t="str">
        <f t="shared" si="428"/>
        <v/>
      </c>
    </row>
    <row r="27412" spans="26:26" x14ac:dyDescent="0.2">
      <c r="Z27412" t="str">
        <f t="shared" si="428"/>
        <v/>
      </c>
    </row>
    <row r="27413" spans="26:26" x14ac:dyDescent="0.2">
      <c r="Z27413" t="str">
        <f t="shared" si="428"/>
        <v/>
      </c>
    </row>
    <row r="27414" spans="26:26" x14ac:dyDescent="0.2">
      <c r="Z27414" t="str">
        <f t="shared" si="428"/>
        <v/>
      </c>
    </row>
    <row r="27415" spans="26:26" x14ac:dyDescent="0.2">
      <c r="Z27415" t="str">
        <f t="shared" si="428"/>
        <v/>
      </c>
    </row>
    <row r="27416" spans="26:26" x14ac:dyDescent="0.2">
      <c r="Z27416" t="str">
        <f t="shared" si="428"/>
        <v/>
      </c>
    </row>
    <row r="27417" spans="26:26" x14ac:dyDescent="0.2">
      <c r="Z27417" t="str">
        <f t="shared" si="428"/>
        <v/>
      </c>
    </row>
    <row r="27418" spans="26:26" x14ac:dyDescent="0.2">
      <c r="Z27418" t="str">
        <f t="shared" si="428"/>
        <v/>
      </c>
    </row>
    <row r="27419" spans="26:26" x14ac:dyDescent="0.2">
      <c r="Z27419" t="str">
        <f t="shared" si="428"/>
        <v/>
      </c>
    </row>
    <row r="27420" spans="26:26" x14ac:dyDescent="0.2">
      <c r="Z27420" t="str">
        <f t="shared" si="428"/>
        <v/>
      </c>
    </row>
    <row r="27421" spans="26:26" x14ac:dyDescent="0.2">
      <c r="Z27421" t="str">
        <f t="shared" si="428"/>
        <v/>
      </c>
    </row>
    <row r="27422" spans="26:26" x14ac:dyDescent="0.2">
      <c r="Z27422" t="str">
        <f t="shared" si="428"/>
        <v/>
      </c>
    </row>
    <row r="27423" spans="26:26" x14ac:dyDescent="0.2">
      <c r="Z27423" t="str">
        <f t="shared" si="428"/>
        <v/>
      </c>
    </row>
    <row r="27424" spans="26:26" x14ac:dyDescent="0.2">
      <c r="Z27424" t="str">
        <f t="shared" si="428"/>
        <v/>
      </c>
    </row>
    <row r="27425" spans="26:26" x14ac:dyDescent="0.2">
      <c r="Z27425" t="str">
        <f t="shared" si="428"/>
        <v/>
      </c>
    </row>
    <row r="27426" spans="26:26" x14ac:dyDescent="0.2">
      <c r="Z27426" t="str">
        <f t="shared" si="428"/>
        <v/>
      </c>
    </row>
    <row r="27427" spans="26:26" x14ac:dyDescent="0.2">
      <c r="Z27427" t="str">
        <f t="shared" si="428"/>
        <v/>
      </c>
    </row>
    <row r="27428" spans="26:26" x14ac:dyDescent="0.2">
      <c r="Z27428" t="str">
        <f t="shared" si="428"/>
        <v/>
      </c>
    </row>
    <row r="27429" spans="26:26" x14ac:dyDescent="0.2">
      <c r="Z27429" t="str">
        <f t="shared" si="428"/>
        <v/>
      </c>
    </row>
    <row r="27430" spans="26:26" x14ac:dyDescent="0.2">
      <c r="Z27430" t="str">
        <f t="shared" si="428"/>
        <v/>
      </c>
    </row>
    <row r="27431" spans="26:26" x14ac:dyDescent="0.2">
      <c r="Z27431" t="str">
        <f t="shared" si="428"/>
        <v/>
      </c>
    </row>
    <row r="27432" spans="26:26" x14ac:dyDescent="0.2">
      <c r="Z27432" t="str">
        <f t="shared" si="428"/>
        <v/>
      </c>
    </row>
    <row r="27433" spans="26:26" x14ac:dyDescent="0.2">
      <c r="Z27433" t="str">
        <f t="shared" si="428"/>
        <v/>
      </c>
    </row>
    <row r="27434" spans="26:26" x14ac:dyDescent="0.2">
      <c r="Z27434" t="str">
        <f t="shared" si="428"/>
        <v/>
      </c>
    </row>
    <row r="27435" spans="26:26" x14ac:dyDescent="0.2">
      <c r="Z27435" t="str">
        <f t="shared" si="428"/>
        <v/>
      </c>
    </row>
    <row r="27436" spans="26:26" x14ac:dyDescent="0.2">
      <c r="Z27436" t="str">
        <f t="shared" si="428"/>
        <v/>
      </c>
    </row>
    <row r="27437" spans="26:26" x14ac:dyDescent="0.2">
      <c r="Z27437" t="str">
        <f t="shared" si="428"/>
        <v/>
      </c>
    </row>
    <row r="27438" spans="26:26" x14ac:dyDescent="0.2">
      <c r="Z27438" t="str">
        <f t="shared" si="428"/>
        <v/>
      </c>
    </row>
    <row r="27439" spans="26:26" x14ac:dyDescent="0.2">
      <c r="Z27439" t="str">
        <f t="shared" si="428"/>
        <v/>
      </c>
    </row>
    <row r="27440" spans="26:26" x14ac:dyDescent="0.2">
      <c r="Z27440" t="str">
        <f t="shared" si="428"/>
        <v/>
      </c>
    </row>
    <row r="27441" spans="26:26" x14ac:dyDescent="0.2">
      <c r="Z27441" t="str">
        <f t="shared" si="428"/>
        <v/>
      </c>
    </row>
    <row r="27442" spans="26:26" x14ac:dyDescent="0.2">
      <c r="Z27442" t="str">
        <f t="shared" si="428"/>
        <v/>
      </c>
    </row>
    <row r="27443" spans="26:26" x14ac:dyDescent="0.2">
      <c r="Z27443" t="str">
        <f t="shared" si="428"/>
        <v/>
      </c>
    </row>
    <row r="27444" spans="26:26" x14ac:dyDescent="0.2">
      <c r="Z27444" t="str">
        <f t="shared" si="428"/>
        <v/>
      </c>
    </row>
    <row r="27445" spans="26:26" x14ac:dyDescent="0.2">
      <c r="Z27445" t="str">
        <f t="shared" si="428"/>
        <v/>
      </c>
    </row>
    <row r="27446" spans="26:26" x14ac:dyDescent="0.2">
      <c r="Z27446" t="str">
        <f t="shared" si="428"/>
        <v/>
      </c>
    </row>
    <row r="27447" spans="26:26" x14ac:dyDescent="0.2">
      <c r="Z27447" t="str">
        <f t="shared" si="428"/>
        <v/>
      </c>
    </row>
    <row r="27448" spans="26:26" x14ac:dyDescent="0.2">
      <c r="Z27448" t="str">
        <f t="shared" si="428"/>
        <v/>
      </c>
    </row>
    <row r="27449" spans="26:26" x14ac:dyDescent="0.2">
      <c r="Z27449" t="str">
        <f t="shared" si="428"/>
        <v/>
      </c>
    </row>
    <row r="27450" spans="26:26" x14ac:dyDescent="0.2">
      <c r="Z27450" t="str">
        <f t="shared" si="428"/>
        <v/>
      </c>
    </row>
    <row r="27451" spans="26:26" x14ac:dyDescent="0.2">
      <c r="Z27451" t="str">
        <f t="shared" si="428"/>
        <v/>
      </c>
    </row>
    <row r="27452" spans="26:26" x14ac:dyDescent="0.2">
      <c r="Z27452" t="str">
        <f t="shared" si="428"/>
        <v/>
      </c>
    </row>
    <row r="27453" spans="26:26" x14ac:dyDescent="0.2">
      <c r="Z27453" t="str">
        <f t="shared" si="428"/>
        <v/>
      </c>
    </row>
    <row r="27454" spans="26:26" x14ac:dyDescent="0.2">
      <c r="Z27454" t="str">
        <f t="shared" si="428"/>
        <v/>
      </c>
    </row>
    <row r="27455" spans="26:26" x14ac:dyDescent="0.2">
      <c r="Z27455" t="str">
        <f t="shared" si="428"/>
        <v/>
      </c>
    </row>
    <row r="27456" spans="26:26" x14ac:dyDescent="0.2">
      <c r="Z27456" t="str">
        <f t="shared" si="428"/>
        <v/>
      </c>
    </row>
    <row r="27457" spans="26:26" x14ac:dyDescent="0.2">
      <c r="Z27457" t="str">
        <f t="shared" si="428"/>
        <v/>
      </c>
    </row>
    <row r="27458" spans="26:26" x14ac:dyDescent="0.2">
      <c r="Z27458" t="str">
        <f t="shared" si="428"/>
        <v/>
      </c>
    </row>
    <row r="27459" spans="26:26" x14ac:dyDescent="0.2">
      <c r="Z27459" t="str">
        <f t="shared" ref="Z27459:Z27522" si="429">IF(K27459="","",IFERROR(VALUE(TRIM(MID(K27459,FIND(CHAR(167),SUBSTITUTE(K27459,"-",CHAR(167),LEN(K27459)-LEN(SUBSTITUTE(K27459,"-",""))))+1,100))),K27459))</f>
        <v/>
      </c>
    </row>
    <row r="27460" spans="26:26" x14ac:dyDescent="0.2">
      <c r="Z27460" t="str">
        <f t="shared" si="429"/>
        <v/>
      </c>
    </row>
    <row r="27461" spans="26:26" x14ac:dyDescent="0.2">
      <c r="Z27461" t="str">
        <f t="shared" si="429"/>
        <v/>
      </c>
    </row>
    <row r="27462" spans="26:26" x14ac:dyDescent="0.2">
      <c r="Z27462" t="str">
        <f t="shared" si="429"/>
        <v/>
      </c>
    </row>
    <row r="27463" spans="26:26" x14ac:dyDescent="0.2">
      <c r="Z27463" t="str">
        <f t="shared" si="429"/>
        <v/>
      </c>
    </row>
    <row r="27464" spans="26:26" x14ac:dyDescent="0.2">
      <c r="Z27464" t="str">
        <f t="shared" si="429"/>
        <v/>
      </c>
    </row>
    <row r="27465" spans="26:26" x14ac:dyDescent="0.2">
      <c r="Z27465" t="str">
        <f t="shared" si="429"/>
        <v/>
      </c>
    </row>
    <row r="27466" spans="26:26" x14ac:dyDescent="0.2">
      <c r="Z27466" t="str">
        <f t="shared" si="429"/>
        <v/>
      </c>
    </row>
    <row r="27467" spans="26:26" x14ac:dyDescent="0.2">
      <c r="Z27467" t="str">
        <f t="shared" si="429"/>
        <v/>
      </c>
    </row>
    <row r="27468" spans="26:26" x14ac:dyDescent="0.2">
      <c r="Z27468" t="str">
        <f t="shared" si="429"/>
        <v/>
      </c>
    </row>
    <row r="27469" spans="26:26" x14ac:dyDescent="0.2">
      <c r="Z27469" t="str">
        <f t="shared" si="429"/>
        <v/>
      </c>
    </row>
    <row r="27470" spans="26:26" x14ac:dyDescent="0.2">
      <c r="Z27470" t="str">
        <f t="shared" si="429"/>
        <v/>
      </c>
    </row>
    <row r="27471" spans="26:26" x14ac:dyDescent="0.2">
      <c r="Z27471" t="str">
        <f t="shared" si="429"/>
        <v/>
      </c>
    </row>
    <row r="27472" spans="26:26" x14ac:dyDescent="0.2">
      <c r="Z27472" t="str">
        <f t="shared" si="429"/>
        <v/>
      </c>
    </row>
    <row r="27473" spans="26:26" x14ac:dyDescent="0.2">
      <c r="Z27473" t="str">
        <f t="shared" si="429"/>
        <v/>
      </c>
    </row>
    <row r="27474" spans="26:26" x14ac:dyDescent="0.2">
      <c r="Z27474" t="str">
        <f t="shared" si="429"/>
        <v/>
      </c>
    </row>
    <row r="27475" spans="26:26" x14ac:dyDescent="0.2">
      <c r="Z27475" t="str">
        <f t="shared" si="429"/>
        <v/>
      </c>
    </row>
    <row r="27476" spans="26:26" x14ac:dyDescent="0.2">
      <c r="Z27476" t="str">
        <f t="shared" si="429"/>
        <v/>
      </c>
    </row>
    <row r="27477" spans="26:26" x14ac:dyDescent="0.2">
      <c r="Z27477" t="str">
        <f t="shared" si="429"/>
        <v/>
      </c>
    </row>
    <row r="27478" spans="26:26" x14ac:dyDescent="0.2">
      <c r="Z27478" t="str">
        <f t="shared" si="429"/>
        <v/>
      </c>
    </row>
    <row r="27479" spans="26:26" x14ac:dyDescent="0.2">
      <c r="Z27479" t="str">
        <f t="shared" si="429"/>
        <v/>
      </c>
    </row>
    <row r="27480" spans="26:26" x14ac:dyDescent="0.2">
      <c r="Z27480" t="str">
        <f t="shared" si="429"/>
        <v/>
      </c>
    </row>
    <row r="27481" spans="26:26" x14ac:dyDescent="0.2">
      <c r="Z27481" t="str">
        <f t="shared" si="429"/>
        <v/>
      </c>
    </row>
    <row r="27482" spans="26:26" x14ac:dyDescent="0.2">
      <c r="Z27482" t="str">
        <f t="shared" si="429"/>
        <v/>
      </c>
    </row>
    <row r="27483" spans="26:26" x14ac:dyDescent="0.2">
      <c r="Z27483" t="str">
        <f t="shared" si="429"/>
        <v/>
      </c>
    </row>
    <row r="27484" spans="26:26" x14ac:dyDescent="0.2">
      <c r="Z27484" t="str">
        <f t="shared" si="429"/>
        <v/>
      </c>
    </row>
    <row r="27485" spans="26:26" x14ac:dyDescent="0.2">
      <c r="Z27485" t="str">
        <f t="shared" si="429"/>
        <v/>
      </c>
    </row>
    <row r="27486" spans="26:26" x14ac:dyDescent="0.2">
      <c r="Z27486" t="str">
        <f t="shared" si="429"/>
        <v/>
      </c>
    </row>
    <row r="27487" spans="26:26" x14ac:dyDescent="0.2">
      <c r="Z27487" t="str">
        <f t="shared" si="429"/>
        <v/>
      </c>
    </row>
    <row r="27488" spans="26:26" x14ac:dyDescent="0.2">
      <c r="Z27488" t="str">
        <f t="shared" si="429"/>
        <v/>
      </c>
    </row>
    <row r="27489" spans="26:26" x14ac:dyDescent="0.2">
      <c r="Z27489" t="str">
        <f t="shared" si="429"/>
        <v/>
      </c>
    </row>
    <row r="27490" spans="26:26" x14ac:dyDescent="0.2">
      <c r="Z27490" t="str">
        <f t="shared" si="429"/>
        <v/>
      </c>
    </row>
    <row r="27491" spans="26:26" x14ac:dyDescent="0.2">
      <c r="Z27491" t="str">
        <f t="shared" si="429"/>
        <v/>
      </c>
    </row>
    <row r="27492" spans="26:26" x14ac:dyDescent="0.2">
      <c r="Z27492" t="str">
        <f t="shared" si="429"/>
        <v/>
      </c>
    </row>
    <row r="27493" spans="26:26" x14ac:dyDescent="0.2">
      <c r="Z27493" t="str">
        <f t="shared" si="429"/>
        <v/>
      </c>
    </row>
    <row r="27494" spans="26:26" x14ac:dyDescent="0.2">
      <c r="Z27494" t="str">
        <f t="shared" si="429"/>
        <v/>
      </c>
    </row>
    <row r="27495" spans="26:26" x14ac:dyDescent="0.2">
      <c r="Z27495" t="str">
        <f t="shared" si="429"/>
        <v/>
      </c>
    </row>
    <row r="27496" spans="26:26" x14ac:dyDescent="0.2">
      <c r="Z27496" t="str">
        <f t="shared" si="429"/>
        <v/>
      </c>
    </row>
    <row r="27497" spans="26:26" x14ac:dyDescent="0.2">
      <c r="Z27497" t="str">
        <f t="shared" si="429"/>
        <v/>
      </c>
    </row>
    <row r="27498" spans="26:26" x14ac:dyDescent="0.2">
      <c r="Z27498" t="str">
        <f t="shared" si="429"/>
        <v/>
      </c>
    </row>
    <row r="27499" spans="26:26" x14ac:dyDescent="0.2">
      <c r="Z27499" t="str">
        <f t="shared" si="429"/>
        <v/>
      </c>
    </row>
    <row r="27500" spans="26:26" x14ac:dyDescent="0.2">
      <c r="Z27500" t="str">
        <f t="shared" si="429"/>
        <v/>
      </c>
    </row>
    <row r="27501" spans="26:26" x14ac:dyDescent="0.2">
      <c r="Z27501" t="str">
        <f t="shared" si="429"/>
        <v/>
      </c>
    </row>
    <row r="27502" spans="26:26" x14ac:dyDescent="0.2">
      <c r="Z27502" t="str">
        <f t="shared" si="429"/>
        <v/>
      </c>
    </row>
    <row r="27503" spans="26:26" x14ac:dyDescent="0.2">
      <c r="Z27503" t="str">
        <f t="shared" si="429"/>
        <v/>
      </c>
    </row>
    <row r="27504" spans="26:26" x14ac:dyDescent="0.2">
      <c r="Z27504" t="str">
        <f t="shared" si="429"/>
        <v/>
      </c>
    </row>
    <row r="27505" spans="26:26" x14ac:dyDescent="0.2">
      <c r="Z27505" t="str">
        <f t="shared" si="429"/>
        <v/>
      </c>
    </row>
    <row r="27506" spans="26:26" x14ac:dyDescent="0.2">
      <c r="Z27506" t="str">
        <f t="shared" si="429"/>
        <v/>
      </c>
    </row>
    <row r="27507" spans="26:26" x14ac:dyDescent="0.2">
      <c r="Z27507" t="str">
        <f t="shared" si="429"/>
        <v/>
      </c>
    </row>
    <row r="27508" spans="26:26" x14ac:dyDescent="0.2">
      <c r="Z27508" t="str">
        <f t="shared" si="429"/>
        <v/>
      </c>
    </row>
    <row r="27509" spans="26:26" x14ac:dyDescent="0.2">
      <c r="Z27509" t="str">
        <f t="shared" si="429"/>
        <v/>
      </c>
    </row>
    <row r="27510" spans="26:26" x14ac:dyDescent="0.2">
      <c r="Z27510" t="str">
        <f t="shared" si="429"/>
        <v/>
      </c>
    </row>
    <row r="27511" spans="26:26" x14ac:dyDescent="0.2">
      <c r="Z27511" t="str">
        <f t="shared" si="429"/>
        <v/>
      </c>
    </row>
    <row r="27512" spans="26:26" x14ac:dyDescent="0.2">
      <c r="Z27512" t="str">
        <f t="shared" si="429"/>
        <v/>
      </c>
    </row>
    <row r="27513" spans="26:26" x14ac:dyDescent="0.2">
      <c r="Z27513" t="str">
        <f t="shared" si="429"/>
        <v/>
      </c>
    </row>
    <row r="27514" spans="26:26" x14ac:dyDescent="0.2">
      <c r="Z27514" t="str">
        <f t="shared" si="429"/>
        <v/>
      </c>
    </row>
    <row r="27515" spans="26:26" x14ac:dyDescent="0.2">
      <c r="Z27515" t="str">
        <f t="shared" si="429"/>
        <v/>
      </c>
    </row>
    <row r="27516" spans="26:26" x14ac:dyDescent="0.2">
      <c r="Z27516" t="str">
        <f t="shared" si="429"/>
        <v/>
      </c>
    </row>
    <row r="27517" spans="26:26" x14ac:dyDescent="0.2">
      <c r="Z27517" t="str">
        <f t="shared" si="429"/>
        <v/>
      </c>
    </row>
    <row r="27518" spans="26:26" x14ac:dyDescent="0.2">
      <c r="Z27518" t="str">
        <f t="shared" si="429"/>
        <v/>
      </c>
    </row>
    <row r="27519" spans="26:26" x14ac:dyDescent="0.2">
      <c r="Z27519" t="str">
        <f t="shared" si="429"/>
        <v/>
      </c>
    </row>
    <row r="27520" spans="26:26" x14ac:dyDescent="0.2">
      <c r="Z27520" t="str">
        <f t="shared" si="429"/>
        <v/>
      </c>
    </row>
    <row r="27521" spans="26:26" x14ac:dyDescent="0.2">
      <c r="Z27521" t="str">
        <f t="shared" si="429"/>
        <v/>
      </c>
    </row>
    <row r="27522" spans="26:26" x14ac:dyDescent="0.2">
      <c r="Z27522" t="str">
        <f t="shared" si="429"/>
        <v/>
      </c>
    </row>
    <row r="27523" spans="26:26" x14ac:dyDescent="0.2">
      <c r="Z27523" t="str">
        <f t="shared" ref="Z27523:Z27586" si="430">IF(K27523="","",IFERROR(VALUE(TRIM(MID(K27523,FIND(CHAR(167),SUBSTITUTE(K27523,"-",CHAR(167),LEN(K27523)-LEN(SUBSTITUTE(K27523,"-",""))))+1,100))),K27523))</f>
        <v/>
      </c>
    </row>
    <row r="27524" spans="26:26" x14ac:dyDescent="0.2">
      <c r="Z27524" t="str">
        <f t="shared" si="430"/>
        <v/>
      </c>
    </row>
    <row r="27525" spans="26:26" x14ac:dyDescent="0.2">
      <c r="Z27525" t="str">
        <f t="shared" si="430"/>
        <v/>
      </c>
    </row>
    <row r="27526" spans="26:26" x14ac:dyDescent="0.2">
      <c r="Z27526" t="str">
        <f t="shared" si="430"/>
        <v/>
      </c>
    </row>
    <row r="27527" spans="26:26" x14ac:dyDescent="0.2">
      <c r="Z27527" t="str">
        <f t="shared" si="430"/>
        <v/>
      </c>
    </row>
    <row r="27528" spans="26:26" x14ac:dyDescent="0.2">
      <c r="Z27528" t="str">
        <f t="shared" si="430"/>
        <v/>
      </c>
    </row>
    <row r="27529" spans="26:26" x14ac:dyDescent="0.2">
      <c r="Z27529" t="str">
        <f t="shared" si="430"/>
        <v/>
      </c>
    </row>
    <row r="27530" spans="26:26" x14ac:dyDescent="0.2">
      <c r="Z27530" t="str">
        <f t="shared" si="430"/>
        <v/>
      </c>
    </row>
    <row r="27531" spans="26:26" x14ac:dyDescent="0.2">
      <c r="Z27531" t="str">
        <f t="shared" si="430"/>
        <v/>
      </c>
    </row>
    <row r="27532" spans="26:26" x14ac:dyDescent="0.2">
      <c r="Z27532" t="str">
        <f t="shared" si="430"/>
        <v/>
      </c>
    </row>
    <row r="27533" spans="26:26" x14ac:dyDescent="0.2">
      <c r="Z27533" t="str">
        <f t="shared" si="430"/>
        <v/>
      </c>
    </row>
    <row r="27534" spans="26:26" x14ac:dyDescent="0.2">
      <c r="Z27534" t="str">
        <f t="shared" si="430"/>
        <v/>
      </c>
    </row>
    <row r="27535" spans="26:26" x14ac:dyDescent="0.2">
      <c r="Z27535" t="str">
        <f t="shared" si="430"/>
        <v/>
      </c>
    </row>
    <row r="27536" spans="26:26" x14ac:dyDescent="0.2">
      <c r="Z27536" t="str">
        <f t="shared" si="430"/>
        <v/>
      </c>
    </row>
    <row r="27537" spans="26:26" x14ac:dyDescent="0.2">
      <c r="Z27537" t="str">
        <f t="shared" si="430"/>
        <v/>
      </c>
    </row>
    <row r="27538" spans="26:26" x14ac:dyDescent="0.2">
      <c r="Z27538" t="str">
        <f t="shared" si="430"/>
        <v/>
      </c>
    </row>
    <row r="27539" spans="26:26" x14ac:dyDescent="0.2">
      <c r="Z27539" t="str">
        <f t="shared" si="430"/>
        <v/>
      </c>
    </row>
    <row r="27540" spans="26:26" x14ac:dyDescent="0.2">
      <c r="Z27540" t="str">
        <f t="shared" si="430"/>
        <v/>
      </c>
    </row>
    <row r="27541" spans="26:26" x14ac:dyDescent="0.2">
      <c r="Z27541" t="str">
        <f t="shared" si="430"/>
        <v/>
      </c>
    </row>
    <row r="27542" spans="26:26" x14ac:dyDescent="0.2">
      <c r="Z27542" t="str">
        <f t="shared" si="430"/>
        <v/>
      </c>
    </row>
    <row r="27543" spans="26:26" x14ac:dyDescent="0.2">
      <c r="Z27543" t="str">
        <f t="shared" si="430"/>
        <v/>
      </c>
    </row>
    <row r="27544" spans="26:26" x14ac:dyDescent="0.2">
      <c r="Z27544" t="str">
        <f t="shared" si="430"/>
        <v/>
      </c>
    </row>
    <row r="27545" spans="26:26" x14ac:dyDescent="0.2">
      <c r="Z27545" t="str">
        <f t="shared" si="430"/>
        <v/>
      </c>
    </row>
    <row r="27546" spans="26:26" x14ac:dyDescent="0.2">
      <c r="Z27546" t="str">
        <f t="shared" si="430"/>
        <v/>
      </c>
    </row>
    <row r="27547" spans="26:26" x14ac:dyDescent="0.2">
      <c r="Z27547" t="str">
        <f t="shared" si="430"/>
        <v/>
      </c>
    </row>
    <row r="27548" spans="26:26" x14ac:dyDescent="0.2">
      <c r="Z27548" t="str">
        <f t="shared" si="430"/>
        <v/>
      </c>
    </row>
    <row r="27549" spans="26:26" x14ac:dyDescent="0.2">
      <c r="Z27549" t="str">
        <f t="shared" si="430"/>
        <v/>
      </c>
    </row>
    <row r="27550" spans="26:26" x14ac:dyDescent="0.2">
      <c r="Z27550" t="str">
        <f t="shared" si="430"/>
        <v/>
      </c>
    </row>
    <row r="27551" spans="26:26" x14ac:dyDescent="0.2">
      <c r="Z27551" t="str">
        <f t="shared" si="430"/>
        <v/>
      </c>
    </row>
    <row r="27552" spans="26:26" x14ac:dyDescent="0.2">
      <c r="Z27552" t="str">
        <f t="shared" si="430"/>
        <v/>
      </c>
    </row>
    <row r="27553" spans="26:26" x14ac:dyDescent="0.2">
      <c r="Z27553" t="str">
        <f t="shared" si="430"/>
        <v/>
      </c>
    </row>
    <row r="27554" spans="26:26" x14ac:dyDescent="0.2">
      <c r="Z27554" t="str">
        <f t="shared" si="430"/>
        <v/>
      </c>
    </row>
    <row r="27555" spans="26:26" x14ac:dyDescent="0.2">
      <c r="Z27555" t="str">
        <f t="shared" si="430"/>
        <v/>
      </c>
    </row>
    <row r="27556" spans="26:26" x14ac:dyDescent="0.2">
      <c r="Z27556" t="str">
        <f t="shared" si="430"/>
        <v/>
      </c>
    </row>
    <row r="27557" spans="26:26" x14ac:dyDescent="0.2">
      <c r="Z27557" t="str">
        <f t="shared" si="430"/>
        <v/>
      </c>
    </row>
    <row r="27558" spans="26:26" x14ac:dyDescent="0.2">
      <c r="Z27558" t="str">
        <f t="shared" si="430"/>
        <v/>
      </c>
    </row>
    <row r="27559" spans="26:26" x14ac:dyDescent="0.2">
      <c r="Z27559" t="str">
        <f t="shared" si="430"/>
        <v/>
      </c>
    </row>
    <row r="27560" spans="26:26" x14ac:dyDescent="0.2">
      <c r="Z27560" t="str">
        <f t="shared" si="430"/>
        <v/>
      </c>
    </row>
    <row r="27561" spans="26:26" x14ac:dyDescent="0.2">
      <c r="Z27561" t="str">
        <f t="shared" si="430"/>
        <v/>
      </c>
    </row>
    <row r="27562" spans="26:26" x14ac:dyDescent="0.2">
      <c r="Z27562" t="str">
        <f t="shared" si="430"/>
        <v/>
      </c>
    </row>
    <row r="27563" spans="26:26" x14ac:dyDescent="0.2">
      <c r="Z27563" t="str">
        <f t="shared" si="430"/>
        <v/>
      </c>
    </row>
    <row r="27564" spans="26:26" x14ac:dyDescent="0.2">
      <c r="Z27564" t="str">
        <f t="shared" si="430"/>
        <v/>
      </c>
    </row>
    <row r="27565" spans="26:26" x14ac:dyDescent="0.2">
      <c r="Z27565" t="str">
        <f t="shared" si="430"/>
        <v/>
      </c>
    </row>
    <row r="27566" spans="26:26" x14ac:dyDescent="0.2">
      <c r="Z27566" t="str">
        <f t="shared" si="430"/>
        <v/>
      </c>
    </row>
    <row r="27567" spans="26:26" x14ac:dyDescent="0.2">
      <c r="Z27567" t="str">
        <f t="shared" si="430"/>
        <v/>
      </c>
    </row>
    <row r="27568" spans="26:26" x14ac:dyDescent="0.2">
      <c r="Z27568" t="str">
        <f t="shared" si="430"/>
        <v/>
      </c>
    </row>
    <row r="27569" spans="26:26" x14ac:dyDescent="0.2">
      <c r="Z27569" t="str">
        <f t="shared" si="430"/>
        <v/>
      </c>
    </row>
    <row r="27570" spans="26:26" x14ac:dyDescent="0.2">
      <c r="Z27570" t="str">
        <f t="shared" si="430"/>
        <v/>
      </c>
    </row>
    <row r="27571" spans="26:26" x14ac:dyDescent="0.2">
      <c r="Z27571" t="str">
        <f t="shared" si="430"/>
        <v/>
      </c>
    </row>
    <row r="27572" spans="26:26" x14ac:dyDescent="0.2">
      <c r="Z27572" t="str">
        <f t="shared" si="430"/>
        <v/>
      </c>
    </row>
    <row r="27573" spans="26:26" x14ac:dyDescent="0.2">
      <c r="Z27573" t="str">
        <f t="shared" si="430"/>
        <v/>
      </c>
    </row>
    <row r="27574" spans="26:26" x14ac:dyDescent="0.2">
      <c r="Z27574" t="str">
        <f t="shared" si="430"/>
        <v/>
      </c>
    </row>
    <row r="27575" spans="26:26" x14ac:dyDescent="0.2">
      <c r="Z27575" t="str">
        <f t="shared" si="430"/>
        <v/>
      </c>
    </row>
    <row r="27576" spans="26:26" x14ac:dyDescent="0.2">
      <c r="Z27576" t="str">
        <f t="shared" si="430"/>
        <v/>
      </c>
    </row>
    <row r="27577" spans="26:26" x14ac:dyDescent="0.2">
      <c r="Z27577" t="str">
        <f t="shared" si="430"/>
        <v/>
      </c>
    </row>
    <row r="27578" spans="26:26" x14ac:dyDescent="0.2">
      <c r="Z27578" t="str">
        <f t="shared" si="430"/>
        <v/>
      </c>
    </row>
    <row r="27579" spans="26:26" x14ac:dyDescent="0.2">
      <c r="Z27579" t="str">
        <f t="shared" si="430"/>
        <v/>
      </c>
    </row>
    <row r="27580" spans="26:26" x14ac:dyDescent="0.2">
      <c r="Z27580" t="str">
        <f t="shared" si="430"/>
        <v/>
      </c>
    </row>
    <row r="27581" spans="26:26" x14ac:dyDescent="0.2">
      <c r="Z27581" t="str">
        <f t="shared" si="430"/>
        <v/>
      </c>
    </row>
    <row r="27582" spans="26:26" x14ac:dyDescent="0.2">
      <c r="Z27582" t="str">
        <f t="shared" si="430"/>
        <v/>
      </c>
    </row>
    <row r="27583" spans="26:26" x14ac:dyDescent="0.2">
      <c r="Z27583" t="str">
        <f t="shared" si="430"/>
        <v/>
      </c>
    </row>
    <row r="27584" spans="26:26" x14ac:dyDescent="0.2">
      <c r="Z27584" t="str">
        <f t="shared" si="430"/>
        <v/>
      </c>
    </row>
    <row r="27585" spans="26:26" x14ac:dyDescent="0.2">
      <c r="Z27585" t="str">
        <f t="shared" si="430"/>
        <v/>
      </c>
    </row>
    <row r="27586" spans="26:26" x14ac:dyDescent="0.2">
      <c r="Z27586" t="str">
        <f t="shared" si="430"/>
        <v/>
      </c>
    </row>
    <row r="27587" spans="26:26" x14ac:dyDescent="0.2">
      <c r="Z27587" t="str">
        <f t="shared" ref="Z27587:Z27650" si="431">IF(K27587="","",IFERROR(VALUE(TRIM(MID(K27587,FIND(CHAR(167),SUBSTITUTE(K27587,"-",CHAR(167),LEN(K27587)-LEN(SUBSTITUTE(K27587,"-",""))))+1,100))),K27587))</f>
        <v/>
      </c>
    </row>
    <row r="27588" spans="26:26" x14ac:dyDescent="0.2">
      <c r="Z27588" t="str">
        <f t="shared" si="431"/>
        <v/>
      </c>
    </row>
    <row r="27589" spans="26:26" x14ac:dyDescent="0.2">
      <c r="Z27589" t="str">
        <f t="shared" si="431"/>
        <v/>
      </c>
    </row>
    <row r="27590" spans="26:26" x14ac:dyDescent="0.2">
      <c r="Z27590" t="str">
        <f t="shared" si="431"/>
        <v/>
      </c>
    </row>
    <row r="27591" spans="26:26" x14ac:dyDescent="0.2">
      <c r="Z27591" t="str">
        <f t="shared" si="431"/>
        <v/>
      </c>
    </row>
    <row r="27592" spans="26:26" x14ac:dyDescent="0.2">
      <c r="Z27592" t="str">
        <f t="shared" si="431"/>
        <v/>
      </c>
    </row>
    <row r="27593" spans="26:26" x14ac:dyDescent="0.2">
      <c r="Z27593" t="str">
        <f t="shared" si="431"/>
        <v/>
      </c>
    </row>
    <row r="27594" spans="26:26" x14ac:dyDescent="0.2">
      <c r="Z27594" t="str">
        <f t="shared" si="431"/>
        <v/>
      </c>
    </row>
    <row r="27595" spans="26:26" x14ac:dyDescent="0.2">
      <c r="Z27595" t="str">
        <f t="shared" si="431"/>
        <v/>
      </c>
    </row>
    <row r="27596" spans="26:26" x14ac:dyDescent="0.2">
      <c r="Z27596" t="str">
        <f t="shared" si="431"/>
        <v/>
      </c>
    </row>
    <row r="27597" spans="26:26" x14ac:dyDescent="0.2">
      <c r="Z27597" t="str">
        <f t="shared" si="431"/>
        <v/>
      </c>
    </row>
    <row r="27598" spans="26:26" x14ac:dyDescent="0.2">
      <c r="Z27598" t="str">
        <f t="shared" si="431"/>
        <v/>
      </c>
    </row>
    <row r="27599" spans="26:26" x14ac:dyDescent="0.2">
      <c r="Z27599" t="str">
        <f t="shared" si="431"/>
        <v/>
      </c>
    </row>
    <row r="27600" spans="26:26" x14ac:dyDescent="0.2">
      <c r="Z27600" t="str">
        <f t="shared" si="431"/>
        <v/>
      </c>
    </row>
    <row r="27601" spans="26:26" x14ac:dyDescent="0.2">
      <c r="Z27601" t="str">
        <f t="shared" si="431"/>
        <v/>
      </c>
    </row>
    <row r="27602" spans="26:26" x14ac:dyDescent="0.2">
      <c r="Z27602" t="str">
        <f t="shared" si="431"/>
        <v/>
      </c>
    </row>
    <row r="27603" spans="26:26" x14ac:dyDescent="0.2">
      <c r="Z27603" t="str">
        <f t="shared" si="431"/>
        <v/>
      </c>
    </row>
    <row r="27604" spans="26:26" x14ac:dyDescent="0.2">
      <c r="Z27604" t="str">
        <f t="shared" si="431"/>
        <v/>
      </c>
    </row>
    <row r="27605" spans="26:26" x14ac:dyDescent="0.2">
      <c r="Z27605" t="str">
        <f t="shared" si="431"/>
        <v/>
      </c>
    </row>
    <row r="27606" spans="26:26" x14ac:dyDescent="0.2">
      <c r="Z27606" t="str">
        <f t="shared" si="431"/>
        <v/>
      </c>
    </row>
    <row r="27607" spans="26:26" x14ac:dyDescent="0.2">
      <c r="Z27607" t="str">
        <f t="shared" si="431"/>
        <v/>
      </c>
    </row>
    <row r="27608" spans="26:26" x14ac:dyDescent="0.2">
      <c r="Z27608" t="str">
        <f t="shared" si="431"/>
        <v/>
      </c>
    </row>
    <row r="27609" spans="26:26" x14ac:dyDescent="0.2">
      <c r="Z27609" t="str">
        <f t="shared" si="431"/>
        <v/>
      </c>
    </row>
    <row r="27610" spans="26:26" x14ac:dyDescent="0.2">
      <c r="Z27610" t="str">
        <f t="shared" si="431"/>
        <v/>
      </c>
    </row>
    <row r="27611" spans="26:26" x14ac:dyDescent="0.2">
      <c r="Z27611" t="str">
        <f t="shared" si="431"/>
        <v/>
      </c>
    </row>
    <row r="27612" spans="26:26" x14ac:dyDescent="0.2">
      <c r="Z27612" t="str">
        <f t="shared" si="431"/>
        <v/>
      </c>
    </row>
    <row r="27613" spans="26:26" x14ac:dyDescent="0.2">
      <c r="Z27613" t="str">
        <f t="shared" si="431"/>
        <v/>
      </c>
    </row>
    <row r="27614" spans="26:26" x14ac:dyDescent="0.2">
      <c r="Z27614" t="str">
        <f t="shared" si="431"/>
        <v/>
      </c>
    </row>
    <row r="27615" spans="26:26" x14ac:dyDescent="0.2">
      <c r="Z27615" t="str">
        <f t="shared" si="431"/>
        <v/>
      </c>
    </row>
    <row r="27616" spans="26:26" x14ac:dyDescent="0.2">
      <c r="Z27616" t="str">
        <f t="shared" si="431"/>
        <v/>
      </c>
    </row>
    <row r="27617" spans="26:26" x14ac:dyDescent="0.2">
      <c r="Z27617" t="str">
        <f t="shared" si="431"/>
        <v/>
      </c>
    </row>
    <row r="27618" spans="26:26" x14ac:dyDescent="0.2">
      <c r="Z27618" t="str">
        <f t="shared" si="431"/>
        <v/>
      </c>
    </row>
    <row r="27619" spans="26:26" x14ac:dyDescent="0.2">
      <c r="Z27619" t="str">
        <f t="shared" si="431"/>
        <v/>
      </c>
    </row>
    <row r="27620" spans="26:26" x14ac:dyDescent="0.2">
      <c r="Z27620" t="str">
        <f t="shared" si="431"/>
        <v/>
      </c>
    </row>
    <row r="27621" spans="26:26" x14ac:dyDescent="0.2">
      <c r="Z27621" t="str">
        <f t="shared" si="431"/>
        <v/>
      </c>
    </row>
    <row r="27622" spans="26:26" x14ac:dyDescent="0.2">
      <c r="Z27622" t="str">
        <f t="shared" si="431"/>
        <v/>
      </c>
    </row>
    <row r="27623" spans="26:26" x14ac:dyDescent="0.2">
      <c r="Z27623" t="str">
        <f t="shared" si="431"/>
        <v/>
      </c>
    </row>
    <row r="27624" spans="26:26" x14ac:dyDescent="0.2">
      <c r="Z27624" t="str">
        <f t="shared" si="431"/>
        <v/>
      </c>
    </row>
    <row r="27625" spans="26:26" x14ac:dyDescent="0.2">
      <c r="Z27625" t="str">
        <f t="shared" si="431"/>
        <v/>
      </c>
    </row>
    <row r="27626" spans="26:26" x14ac:dyDescent="0.2">
      <c r="Z27626" t="str">
        <f t="shared" si="431"/>
        <v/>
      </c>
    </row>
    <row r="27627" spans="26:26" x14ac:dyDescent="0.2">
      <c r="Z27627" t="str">
        <f t="shared" si="431"/>
        <v/>
      </c>
    </row>
    <row r="27628" spans="26:26" x14ac:dyDescent="0.2">
      <c r="Z27628" t="str">
        <f t="shared" si="431"/>
        <v/>
      </c>
    </row>
    <row r="27629" spans="26:26" x14ac:dyDescent="0.2">
      <c r="Z27629" t="str">
        <f t="shared" si="431"/>
        <v/>
      </c>
    </row>
    <row r="27630" spans="26:26" x14ac:dyDescent="0.2">
      <c r="Z27630" t="str">
        <f t="shared" si="431"/>
        <v/>
      </c>
    </row>
    <row r="27631" spans="26:26" x14ac:dyDescent="0.2">
      <c r="Z27631" t="str">
        <f t="shared" si="431"/>
        <v/>
      </c>
    </row>
    <row r="27632" spans="26:26" x14ac:dyDescent="0.2">
      <c r="Z27632" t="str">
        <f t="shared" si="431"/>
        <v/>
      </c>
    </row>
    <row r="27633" spans="26:26" x14ac:dyDescent="0.2">
      <c r="Z27633" t="str">
        <f t="shared" si="431"/>
        <v/>
      </c>
    </row>
    <row r="27634" spans="26:26" x14ac:dyDescent="0.2">
      <c r="Z27634" t="str">
        <f t="shared" si="431"/>
        <v/>
      </c>
    </row>
    <row r="27635" spans="26:26" x14ac:dyDescent="0.2">
      <c r="Z27635" t="str">
        <f t="shared" si="431"/>
        <v/>
      </c>
    </row>
    <row r="27636" spans="26:26" x14ac:dyDescent="0.2">
      <c r="Z27636" t="str">
        <f t="shared" si="431"/>
        <v/>
      </c>
    </row>
    <row r="27637" spans="26:26" x14ac:dyDescent="0.2">
      <c r="Z27637" t="str">
        <f t="shared" si="431"/>
        <v/>
      </c>
    </row>
    <row r="27638" spans="26:26" x14ac:dyDescent="0.2">
      <c r="Z27638" t="str">
        <f t="shared" si="431"/>
        <v/>
      </c>
    </row>
    <row r="27639" spans="26:26" x14ac:dyDescent="0.2">
      <c r="Z27639" t="str">
        <f t="shared" si="431"/>
        <v/>
      </c>
    </row>
    <row r="27640" spans="26:26" x14ac:dyDescent="0.2">
      <c r="Z27640" t="str">
        <f t="shared" si="431"/>
        <v/>
      </c>
    </row>
    <row r="27641" spans="26:26" x14ac:dyDescent="0.2">
      <c r="Z27641" t="str">
        <f t="shared" si="431"/>
        <v/>
      </c>
    </row>
    <row r="27642" spans="26:26" x14ac:dyDescent="0.2">
      <c r="Z27642" t="str">
        <f t="shared" si="431"/>
        <v/>
      </c>
    </row>
    <row r="27643" spans="26:26" x14ac:dyDescent="0.2">
      <c r="Z27643" t="str">
        <f t="shared" si="431"/>
        <v/>
      </c>
    </row>
    <row r="27644" spans="26:26" x14ac:dyDescent="0.2">
      <c r="Z27644" t="str">
        <f t="shared" si="431"/>
        <v/>
      </c>
    </row>
    <row r="27645" spans="26:26" x14ac:dyDescent="0.2">
      <c r="Z27645" t="str">
        <f t="shared" si="431"/>
        <v/>
      </c>
    </row>
    <row r="27646" spans="26:26" x14ac:dyDescent="0.2">
      <c r="Z27646" t="str">
        <f t="shared" si="431"/>
        <v/>
      </c>
    </row>
    <row r="27647" spans="26:26" x14ac:dyDescent="0.2">
      <c r="Z27647" t="str">
        <f t="shared" si="431"/>
        <v/>
      </c>
    </row>
    <row r="27648" spans="26:26" x14ac:dyDescent="0.2">
      <c r="Z27648" t="str">
        <f t="shared" si="431"/>
        <v/>
      </c>
    </row>
    <row r="27649" spans="26:26" x14ac:dyDescent="0.2">
      <c r="Z27649" t="str">
        <f t="shared" si="431"/>
        <v/>
      </c>
    </row>
    <row r="27650" spans="26:26" x14ac:dyDescent="0.2">
      <c r="Z27650" t="str">
        <f t="shared" si="431"/>
        <v/>
      </c>
    </row>
    <row r="27651" spans="26:26" x14ac:dyDescent="0.2">
      <c r="Z27651" t="str">
        <f t="shared" ref="Z27651:Z27714" si="432">IF(K27651="","",IFERROR(VALUE(TRIM(MID(K27651,FIND(CHAR(167),SUBSTITUTE(K27651,"-",CHAR(167),LEN(K27651)-LEN(SUBSTITUTE(K27651,"-",""))))+1,100))),K27651))</f>
        <v/>
      </c>
    </row>
    <row r="27652" spans="26:26" x14ac:dyDescent="0.2">
      <c r="Z27652" t="str">
        <f t="shared" si="432"/>
        <v/>
      </c>
    </row>
    <row r="27653" spans="26:26" x14ac:dyDescent="0.2">
      <c r="Z27653" t="str">
        <f t="shared" si="432"/>
        <v/>
      </c>
    </row>
    <row r="27654" spans="26:26" x14ac:dyDescent="0.2">
      <c r="Z27654" t="str">
        <f t="shared" si="432"/>
        <v/>
      </c>
    </row>
    <row r="27655" spans="26:26" x14ac:dyDescent="0.2">
      <c r="Z27655" t="str">
        <f t="shared" si="432"/>
        <v/>
      </c>
    </row>
    <row r="27656" spans="26:26" x14ac:dyDescent="0.2">
      <c r="Z27656" t="str">
        <f t="shared" si="432"/>
        <v/>
      </c>
    </row>
    <row r="27657" spans="26:26" x14ac:dyDescent="0.2">
      <c r="Z27657" t="str">
        <f t="shared" si="432"/>
        <v/>
      </c>
    </row>
    <row r="27658" spans="26:26" x14ac:dyDescent="0.2">
      <c r="Z27658" t="str">
        <f t="shared" si="432"/>
        <v/>
      </c>
    </row>
    <row r="27659" spans="26:26" x14ac:dyDescent="0.2">
      <c r="Z27659" t="str">
        <f t="shared" si="432"/>
        <v/>
      </c>
    </row>
    <row r="27660" spans="26:26" x14ac:dyDescent="0.2">
      <c r="Z27660" t="str">
        <f t="shared" si="432"/>
        <v/>
      </c>
    </row>
    <row r="27661" spans="26:26" x14ac:dyDescent="0.2">
      <c r="Z27661" t="str">
        <f t="shared" si="432"/>
        <v/>
      </c>
    </row>
    <row r="27662" spans="26:26" x14ac:dyDescent="0.2">
      <c r="Z27662" t="str">
        <f t="shared" si="432"/>
        <v/>
      </c>
    </row>
    <row r="27663" spans="26:26" x14ac:dyDescent="0.2">
      <c r="Z27663" t="str">
        <f t="shared" si="432"/>
        <v/>
      </c>
    </row>
    <row r="27664" spans="26:26" x14ac:dyDescent="0.2">
      <c r="Z27664" t="str">
        <f t="shared" si="432"/>
        <v/>
      </c>
    </row>
    <row r="27665" spans="26:26" x14ac:dyDescent="0.2">
      <c r="Z27665" t="str">
        <f t="shared" si="432"/>
        <v/>
      </c>
    </row>
    <row r="27666" spans="26:26" x14ac:dyDescent="0.2">
      <c r="Z27666" t="str">
        <f t="shared" si="432"/>
        <v/>
      </c>
    </row>
    <row r="27667" spans="26:26" x14ac:dyDescent="0.2">
      <c r="Z27667" t="str">
        <f t="shared" si="432"/>
        <v/>
      </c>
    </row>
    <row r="27668" spans="26:26" x14ac:dyDescent="0.2">
      <c r="Z27668" t="str">
        <f t="shared" si="432"/>
        <v/>
      </c>
    </row>
    <row r="27669" spans="26:26" x14ac:dyDescent="0.2">
      <c r="Z27669" t="str">
        <f t="shared" si="432"/>
        <v/>
      </c>
    </row>
    <row r="27670" spans="26:26" x14ac:dyDescent="0.2">
      <c r="Z27670" t="str">
        <f t="shared" si="432"/>
        <v/>
      </c>
    </row>
    <row r="27671" spans="26:26" x14ac:dyDescent="0.2">
      <c r="Z27671" t="str">
        <f t="shared" si="432"/>
        <v/>
      </c>
    </row>
    <row r="27672" spans="26:26" x14ac:dyDescent="0.2">
      <c r="Z27672" t="str">
        <f t="shared" si="432"/>
        <v/>
      </c>
    </row>
    <row r="27673" spans="26:26" x14ac:dyDescent="0.2">
      <c r="Z27673" t="str">
        <f t="shared" si="432"/>
        <v/>
      </c>
    </row>
    <row r="27674" spans="26:26" x14ac:dyDescent="0.2">
      <c r="Z27674" t="str">
        <f t="shared" si="432"/>
        <v/>
      </c>
    </row>
    <row r="27675" spans="26:26" x14ac:dyDescent="0.2">
      <c r="Z27675" t="str">
        <f t="shared" si="432"/>
        <v/>
      </c>
    </row>
    <row r="27676" spans="26:26" x14ac:dyDescent="0.2">
      <c r="Z27676" t="str">
        <f t="shared" si="432"/>
        <v/>
      </c>
    </row>
    <row r="27677" spans="26:26" x14ac:dyDescent="0.2">
      <c r="Z27677" t="str">
        <f t="shared" si="432"/>
        <v/>
      </c>
    </row>
    <row r="27678" spans="26:26" x14ac:dyDescent="0.2">
      <c r="Z27678" t="str">
        <f t="shared" si="432"/>
        <v/>
      </c>
    </row>
    <row r="27679" spans="26:26" x14ac:dyDescent="0.2">
      <c r="Z27679" t="str">
        <f t="shared" si="432"/>
        <v/>
      </c>
    </row>
    <row r="27680" spans="26:26" x14ac:dyDescent="0.2">
      <c r="Z27680" t="str">
        <f t="shared" si="432"/>
        <v/>
      </c>
    </row>
    <row r="27681" spans="26:26" x14ac:dyDescent="0.2">
      <c r="Z27681" t="str">
        <f t="shared" si="432"/>
        <v/>
      </c>
    </row>
    <row r="27682" spans="26:26" x14ac:dyDescent="0.2">
      <c r="Z27682" t="str">
        <f t="shared" si="432"/>
        <v/>
      </c>
    </row>
    <row r="27683" spans="26:26" x14ac:dyDescent="0.2">
      <c r="Z27683" t="str">
        <f t="shared" si="432"/>
        <v/>
      </c>
    </row>
    <row r="27684" spans="26:26" x14ac:dyDescent="0.2">
      <c r="Z27684" t="str">
        <f t="shared" si="432"/>
        <v/>
      </c>
    </row>
    <row r="27685" spans="26:26" x14ac:dyDescent="0.2">
      <c r="Z27685" t="str">
        <f t="shared" si="432"/>
        <v/>
      </c>
    </row>
    <row r="27686" spans="26:26" x14ac:dyDescent="0.2">
      <c r="Z27686" t="str">
        <f t="shared" si="432"/>
        <v/>
      </c>
    </row>
    <row r="27687" spans="26:26" x14ac:dyDescent="0.2">
      <c r="Z27687" t="str">
        <f t="shared" si="432"/>
        <v/>
      </c>
    </row>
    <row r="27688" spans="26:26" x14ac:dyDescent="0.2">
      <c r="Z27688" t="str">
        <f t="shared" si="432"/>
        <v/>
      </c>
    </row>
    <row r="27689" spans="26:26" x14ac:dyDescent="0.2">
      <c r="Z27689" t="str">
        <f t="shared" si="432"/>
        <v/>
      </c>
    </row>
    <row r="27690" spans="26:26" x14ac:dyDescent="0.2">
      <c r="Z27690" t="str">
        <f t="shared" si="432"/>
        <v/>
      </c>
    </row>
    <row r="27691" spans="26:26" x14ac:dyDescent="0.2">
      <c r="Z27691" t="str">
        <f t="shared" si="432"/>
        <v/>
      </c>
    </row>
    <row r="27692" spans="26:26" x14ac:dyDescent="0.2">
      <c r="Z27692" t="str">
        <f t="shared" si="432"/>
        <v/>
      </c>
    </row>
    <row r="27693" spans="26:26" x14ac:dyDescent="0.2">
      <c r="Z27693" t="str">
        <f t="shared" si="432"/>
        <v/>
      </c>
    </row>
    <row r="27694" spans="26:26" x14ac:dyDescent="0.2">
      <c r="Z27694" t="str">
        <f t="shared" si="432"/>
        <v/>
      </c>
    </row>
    <row r="27695" spans="26:26" x14ac:dyDescent="0.2">
      <c r="Z27695" t="str">
        <f t="shared" si="432"/>
        <v/>
      </c>
    </row>
    <row r="27696" spans="26:26" x14ac:dyDescent="0.2">
      <c r="Z27696" t="str">
        <f t="shared" si="432"/>
        <v/>
      </c>
    </row>
    <row r="27697" spans="26:26" x14ac:dyDescent="0.2">
      <c r="Z27697" t="str">
        <f t="shared" si="432"/>
        <v/>
      </c>
    </row>
    <row r="27698" spans="26:26" x14ac:dyDescent="0.2">
      <c r="Z27698" t="str">
        <f t="shared" si="432"/>
        <v/>
      </c>
    </row>
    <row r="27699" spans="26:26" x14ac:dyDescent="0.2">
      <c r="Z27699" t="str">
        <f t="shared" si="432"/>
        <v/>
      </c>
    </row>
    <row r="27700" spans="26:26" x14ac:dyDescent="0.2">
      <c r="Z27700" t="str">
        <f t="shared" si="432"/>
        <v/>
      </c>
    </row>
    <row r="27701" spans="26:26" x14ac:dyDescent="0.2">
      <c r="Z27701" t="str">
        <f t="shared" si="432"/>
        <v/>
      </c>
    </row>
    <row r="27702" spans="26:26" x14ac:dyDescent="0.2">
      <c r="Z27702" t="str">
        <f t="shared" si="432"/>
        <v/>
      </c>
    </row>
    <row r="27703" spans="26:26" x14ac:dyDescent="0.2">
      <c r="Z27703" t="str">
        <f t="shared" si="432"/>
        <v/>
      </c>
    </row>
    <row r="27704" spans="26:26" x14ac:dyDescent="0.2">
      <c r="Z27704" t="str">
        <f t="shared" si="432"/>
        <v/>
      </c>
    </row>
    <row r="27705" spans="26:26" x14ac:dyDescent="0.2">
      <c r="Z27705" t="str">
        <f t="shared" si="432"/>
        <v/>
      </c>
    </row>
    <row r="27706" spans="26:26" x14ac:dyDescent="0.2">
      <c r="Z27706" t="str">
        <f t="shared" si="432"/>
        <v/>
      </c>
    </row>
    <row r="27707" spans="26:26" x14ac:dyDescent="0.2">
      <c r="Z27707" t="str">
        <f t="shared" si="432"/>
        <v/>
      </c>
    </row>
    <row r="27708" spans="26:26" x14ac:dyDescent="0.2">
      <c r="Z27708" t="str">
        <f t="shared" si="432"/>
        <v/>
      </c>
    </row>
    <row r="27709" spans="26:26" x14ac:dyDescent="0.2">
      <c r="Z27709" t="str">
        <f t="shared" si="432"/>
        <v/>
      </c>
    </row>
    <row r="27710" spans="26:26" x14ac:dyDescent="0.2">
      <c r="Z27710" t="str">
        <f t="shared" si="432"/>
        <v/>
      </c>
    </row>
    <row r="27711" spans="26:26" x14ac:dyDescent="0.2">
      <c r="Z27711" t="str">
        <f t="shared" si="432"/>
        <v/>
      </c>
    </row>
    <row r="27712" spans="26:26" x14ac:dyDescent="0.2">
      <c r="Z27712" t="str">
        <f t="shared" si="432"/>
        <v/>
      </c>
    </row>
    <row r="27713" spans="26:26" x14ac:dyDescent="0.2">
      <c r="Z27713" t="str">
        <f t="shared" si="432"/>
        <v/>
      </c>
    </row>
    <row r="27714" spans="26:26" x14ac:dyDescent="0.2">
      <c r="Z27714" t="str">
        <f t="shared" si="432"/>
        <v/>
      </c>
    </row>
    <row r="27715" spans="26:26" x14ac:dyDescent="0.2">
      <c r="Z27715" t="str">
        <f t="shared" ref="Z27715:Z27778" si="433">IF(K27715="","",IFERROR(VALUE(TRIM(MID(K27715,FIND(CHAR(167),SUBSTITUTE(K27715,"-",CHAR(167),LEN(K27715)-LEN(SUBSTITUTE(K27715,"-",""))))+1,100))),K27715))</f>
        <v/>
      </c>
    </row>
    <row r="27716" spans="26:26" x14ac:dyDescent="0.2">
      <c r="Z27716" t="str">
        <f t="shared" si="433"/>
        <v/>
      </c>
    </row>
    <row r="27717" spans="26:26" x14ac:dyDescent="0.2">
      <c r="Z27717" t="str">
        <f t="shared" si="433"/>
        <v/>
      </c>
    </row>
    <row r="27718" spans="26:26" x14ac:dyDescent="0.2">
      <c r="Z27718" t="str">
        <f t="shared" si="433"/>
        <v/>
      </c>
    </row>
    <row r="27719" spans="26:26" x14ac:dyDescent="0.2">
      <c r="Z27719" t="str">
        <f t="shared" si="433"/>
        <v/>
      </c>
    </row>
    <row r="27720" spans="26:26" x14ac:dyDescent="0.2">
      <c r="Z27720" t="str">
        <f t="shared" si="433"/>
        <v/>
      </c>
    </row>
    <row r="27721" spans="26:26" x14ac:dyDescent="0.2">
      <c r="Z27721" t="str">
        <f t="shared" si="433"/>
        <v/>
      </c>
    </row>
    <row r="27722" spans="26:26" x14ac:dyDescent="0.2">
      <c r="Z27722" t="str">
        <f t="shared" si="433"/>
        <v/>
      </c>
    </row>
    <row r="27723" spans="26:26" x14ac:dyDescent="0.2">
      <c r="Z27723" t="str">
        <f t="shared" si="433"/>
        <v/>
      </c>
    </row>
    <row r="27724" spans="26:26" x14ac:dyDescent="0.2">
      <c r="Z27724" t="str">
        <f t="shared" si="433"/>
        <v/>
      </c>
    </row>
    <row r="27725" spans="26:26" x14ac:dyDescent="0.2">
      <c r="Z27725" t="str">
        <f t="shared" si="433"/>
        <v/>
      </c>
    </row>
    <row r="27726" spans="26:26" x14ac:dyDescent="0.2">
      <c r="Z27726" t="str">
        <f t="shared" si="433"/>
        <v/>
      </c>
    </row>
    <row r="27727" spans="26:26" x14ac:dyDescent="0.2">
      <c r="Z27727" t="str">
        <f t="shared" si="433"/>
        <v/>
      </c>
    </row>
    <row r="27728" spans="26:26" x14ac:dyDescent="0.2">
      <c r="Z27728" t="str">
        <f t="shared" si="433"/>
        <v/>
      </c>
    </row>
    <row r="27729" spans="26:26" x14ac:dyDescent="0.2">
      <c r="Z27729" t="str">
        <f t="shared" si="433"/>
        <v/>
      </c>
    </row>
    <row r="27730" spans="26:26" x14ac:dyDescent="0.2">
      <c r="Z27730" t="str">
        <f t="shared" si="433"/>
        <v/>
      </c>
    </row>
    <row r="27731" spans="26:26" x14ac:dyDescent="0.2">
      <c r="Z27731" t="str">
        <f t="shared" si="433"/>
        <v/>
      </c>
    </row>
    <row r="27732" spans="26:26" x14ac:dyDescent="0.2">
      <c r="Z27732" t="str">
        <f t="shared" si="433"/>
        <v/>
      </c>
    </row>
    <row r="27733" spans="26:26" x14ac:dyDescent="0.2">
      <c r="Z27733" t="str">
        <f t="shared" si="433"/>
        <v/>
      </c>
    </row>
    <row r="27734" spans="26:26" x14ac:dyDescent="0.2">
      <c r="Z27734" t="str">
        <f t="shared" si="433"/>
        <v/>
      </c>
    </row>
    <row r="27735" spans="26:26" x14ac:dyDescent="0.2">
      <c r="Z27735" t="str">
        <f t="shared" si="433"/>
        <v/>
      </c>
    </row>
    <row r="27736" spans="26:26" x14ac:dyDescent="0.2">
      <c r="Z27736" t="str">
        <f t="shared" si="433"/>
        <v/>
      </c>
    </row>
    <row r="27737" spans="26:26" x14ac:dyDescent="0.2">
      <c r="Z27737" t="str">
        <f t="shared" si="433"/>
        <v/>
      </c>
    </row>
    <row r="27738" spans="26:26" x14ac:dyDescent="0.2">
      <c r="Z27738" t="str">
        <f t="shared" si="433"/>
        <v/>
      </c>
    </row>
    <row r="27739" spans="26:26" x14ac:dyDescent="0.2">
      <c r="Z27739" t="str">
        <f t="shared" si="433"/>
        <v/>
      </c>
    </row>
    <row r="27740" spans="26:26" x14ac:dyDescent="0.2">
      <c r="Z27740" t="str">
        <f t="shared" si="433"/>
        <v/>
      </c>
    </row>
    <row r="27741" spans="26:26" x14ac:dyDescent="0.2">
      <c r="Z27741" t="str">
        <f t="shared" si="433"/>
        <v/>
      </c>
    </row>
    <row r="27742" spans="26:26" x14ac:dyDescent="0.2">
      <c r="Z27742" t="str">
        <f t="shared" si="433"/>
        <v/>
      </c>
    </row>
    <row r="27743" spans="26:26" x14ac:dyDescent="0.2">
      <c r="Z27743" t="str">
        <f t="shared" si="433"/>
        <v/>
      </c>
    </row>
    <row r="27744" spans="26:26" x14ac:dyDescent="0.2">
      <c r="Z27744" t="str">
        <f t="shared" si="433"/>
        <v/>
      </c>
    </row>
    <row r="27745" spans="26:26" x14ac:dyDescent="0.2">
      <c r="Z27745" t="str">
        <f t="shared" si="433"/>
        <v/>
      </c>
    </row>
    <row r="27746" spans="26:26" x14ac:dyDescent="0.2">
      <c r="Z27746" t="str">
        <f t="shared" si="433"/>
        <v/>
      </c>
    </row>
    <row r="27747" spans="26:26" x14ac:dyDescent="0.2">
      <c r="Z27747" t="str">
        <f t="shared" si="433"/>
        <v/>
      </c>
    </row>
    <row r="27748" spans="26:26" x14ac:dyDescent="0.2">
      <c r="Z27748" t="str">
        <f t="shared" si="433"/>
        <v/>
      </c>
    </row>
    <row r="27749" spans="26:26" x14ac:dyDescent="0.2">
      <c r="Z27749" t="str">
        <f t="shared" si="433"/>
        <v/>
      </c>
    </row>
    <row r="27750" spans="26:26" x14ac:dyDescent="0.2">
      <c r="Z27750" t="str">
        <f t="shared" si="433"/>
        <v/>
      </c>
    </row>
    <row r="27751" spans="26:26" x14ac:dyDescent="0.2">
      <c r="Z27751" t="str">
        <f t="shared" si="433"/>
        <v/>
      </c>
    </row>
    <row r="27752" spans="26:26" x14ac:dyDescent="0.2">
      <c r="Z27752" t="str">
        <f t="shared" si="433"/>
        <v/>
      </c>
    </row>
    <row r="27753" spans="26:26" x14ac:dyDescent="0.2">
      <c r="Z27753" t="str">
        <f t="shared" si="433"/>
        <v/>
      </c>
    </row>
    <row r="27754" spans="26:26" x14ac:dyDescent="0.2">
      <c r="Z27754" t="str">
        <f t="shared" si="433"/>
        <v/>
      </c>
    </row>
    <row r="27755" spans="26:26" x14ac:dyDescent="0.2">
      <c r="Z27755" t="str">
        <f t="shared" si="433"/>
        <v/>
      </c>
    </row>
    <row r="27756" spans="26:26" x14ac:dyDescent="0.2">
      <c r="Z27756" t="str">
        <f t="shared" si="433"/>
        <v/>
      </c>
    </row>
    <row r="27757" spans="26:26" x14ac:dyDescent="0.2">
      <c r="Z27757" t="str">
        <f t="shared" si="433"/>
        <v/>
      </c>
    </row>
    <row r="27758" spans="26:26" x14ac:dyDescent="0.2">
      <c r="Z27758" t="str">
        <f t="shared" si="433"/>
        <v/>
      </c>
    </row>
    <row r="27759" spans="26:26" x14ac:dyDescent="0.2">
      <c r="Z27759" t="str">
        <f t="shared" si="433"/>
        <v/>
      </c>
    </row>
    <row r="27760" spans="26:26" x14ac:dyDescent="0.2">
      <c r="Z27760" t="str">
        <f t="shared" si="433"/>
        <v/>
      </c>
    </row>
    <row r="27761" spans="26:26" x14ac:dyDescent="0.2">
      <c r="Z27761" t="str">
        <f t="shared" si="433"/>
        <v/>
      </c>
    </row>
    <row r="27762" spans="26:26" x14ac:dyDescent="0.2">
      <c r="Z27762" t="str">
        <f t="shared" si="433"/>
        <v/>
      </c>
    </row>
    <row r="27763" spans="26:26" x14ac:dyDescent="0.2">
      <c r="Z27763" t="str">
        <f t="shared" si="433"/>
        <v/>
      </c>
    </row>
    <row r="27764" spans="26:26" x14ac:dyDescent="0.2">
      <c r="Z27764" t="str">
        <f t="shared" si="433"/>
        <v/>
      </c>
    </row>
    <row r="27765" spans="26:26" x14ac:dyDescent="0.2">
      <c r="Z27765" t="str">
        <f t="shared" si="433"/>
        <v/>
      </c>
    </row>
    <row r="27766" spans="26:26" x14ac:dyDescent="0.2">
      <c r="Z27766" t="str">
        <f t="shared" si="433"/>
        <v/>
      </c>
    </row>
    <row r="27767" spans="26:26" x14ac:dyDescent="0.2">
      <c r="Z27767" t="str">
        <f t="shared" si="433"/>
        <v/>
      </c>
    </row>
    <row r="27768" spans="26:26" x14ac:dyDescent="0.2">
      <c r="Z27768" t="str">
        <f t="shared" si="433"/>
        <v/>
      </c>
    </row>
    <row r="27769" spans="26:26" x14ac:dyDescent="0.2">
      <c r="Z27769" t="str">
        <f t="shared" si="433"/>
        <v/>
      </c>
    </row>
    <row r="27770" spans="26:26" x14ac:dyDescent="0.2">
      <c r="Z27770" t="str">
        <f t="shared" si="433"/>
        <v/>
      </c>
    </row>
    <row r="27771" spans="26:26" x14ac:dyDescent="0.2">
      <c r="Z27771" t="str">
        <f t="shared" si="433"/>
        <v/>
      </c>
    </row>
    <row r="27772" spans="26:26" x14ac:dyDescent="0.2">
      <c r="Z27772" t="str">
        <f t="shared" si="433"/>
        <v/>
      </c>
    </row>
    <row r="27773" spans="26:26" x14ac:dyDescent="0.2">
      <c r="Z27773" t="str">
        <f t="shared" si="433"/>
        <v/>
      </c>
    </row>
    <row r="27774" spans="26:26" x14ac:dyDescent="0.2">
      <c r="Z27774" t="str">
        <f t="shared" si="433"/>
        <v/>
      </c>
    </row>
    <row r="27775" spans="26:26" x14ac:dyDescent="0.2">
      <c r="Z27775" t="str">
        <f t="shared" si="433"/>
        <v/>
      </c>
    </row>
    <row r="27776" spans="26:26" x14ac:dyDescent="0.2">
      <c r="Z27776" t="str">
        <f t="shared" si="433"/>
        <v/>
      </c>
    </row>
    <row r="27777" spans="26:26" x14ac:dyDescent="0.2">
      <c r="Z27777" t="str">
        <f t="shared" si="433"/>
        <v/>
      </c>
    </row>
    <row r="27778" spans="26:26" x14ac:dyDescent="0.2">
      <c r="Z27778" t="str">
        <f t="shared" si="433"/>
        <v/>
      </c>
    </row>
    <row r="27779" spans="26:26" x14ac:dyDescent="0.2">
      <c r="Z27779" t="str">
        <f t="shared" ref="Z27779:Z27842" si="434">IF(K27779="","",IFERROR(VALUE(TRIM(MID(K27779,FIND(CHAR(167),SUBSTITUTE(K27779,"-",CHAR(167),LEN(K27779)-LEN(SUBSTITUTE(K27779,"-",""))))+1,100))),K27779))</f>
        <v/>
      </c>
    </row>
    <row r="27780" spans="26:26" x14ac:dyDescent="0.2">
      <c r="Z27780" t="str">
        <f t="shared" si="434"/>
        <v/>
      </c>
    </row>
    <row r="27781" spans="26:26" x14ac:dyDescent="0.2">
      <c r="Z27781" t="str">
        <f t="shared" si="434"/>
        <v/>
      </c>
    </row>
    <row r="27782" spans="26:26" x14ac:dyDescent="0.2">
      <c r="Z27782" t="str">
        <f t="shared" si="434"/>
        <v/>
      </c>
    </row>
    <row r="27783" spans="26:26" x14ac:dyDescent="0.2">
      <c r="Z27783" t="str">
        <f t="shared" si="434"/>
        <v/>
      </c>
    </row>
    <row r="27784" spans="26:26" x14ac:dyDescent="0.2">
      <c r="Z27784" t="str">
        <f t="shared" si="434"/>
        <v/>
      </c>
    </row>
    <row r="27785" spans="26:26" x14ac:dyDescent="0.2">
      <c r="Z27785" t="str">
        <f t="shared" si="434"/>
        <v/>
      </c>
    </row>
    <row r="27786" spans="26:26" x14ac:dyDescent="0.2">
      <c r="Z27786" t="str">
        <f t="shared" si="434"/>
        <v/>
      </c>
    </row>
    <row r="27787" spans="26:26" x14ac:dyDescent="0.2">
      <c r="Z27787" t="str">
        <f t="shared" si="434"/>
        <v/>
      </c>
    </row>
    <row r="27788" spans="26:26" x14ac:dyDescent="0.2">
      <c r="Z27788" t="str">
        <f t="shared" si="434"/>
        <v/>
      </c>
    </row>
    <row r="27789" spans="26:26" x14ac:dyDescent="0.2">
      <c r="Z27789" t="str">
        <f t="shared" si="434"/>
        <v/>
      </c>
    </row>
    <row r="27790" spans="26:26" x14ac:dyDescent="0.2">
      <c r="Z27790" t="str">
        <f t="shared" si="434"/>
        <v/>
      </c>
    </row>
    <row r="27791" spans="26:26" x14ac:dyDescent="0.2">
      <c r="Z27791" t="str">
        <f t="shared" si="434"/>
        <v/>
      </c>
    </row>
    <row r="27792" spans="26:26" x14ac:dyDescent="0.2">
      <c r="Z27792" t="str">
        <f t="shared" si="434"/>
        <v/>
      </c>
    </row>
    <row r="27793" spans="26:26" x14ac:dyDescent="0.2">
      <c r="Z27793" t="str">
        <f t="shared" si="434"/>
        <v/>
      </c>
    </row>
    <row r="27794" spans="26:26" x14ac:dyDescent="0.2">
      <c r="Z27794" t="str">
        <f t="shared" si="434"/>
        <v/>
      </c>
    </row>
    <row r="27795" spans="26:26" x14ac:dyDescent="0.2">
      <c r="Z27795" t="str">
        <f t="shared" si="434"/>
        <v/>
      </c>
    </row>
    <row r="27796" spans="26:26" x14ac:dyDescent="0.2">
      <c r="Z27796" t="str">
        <f t="shared" si="434"/>
        <v/>
      </c>
    </row>
    <row r="27797" spans="26:26" x14ac:dyDescent="0.2">
      <c r="Z27797" t="str">
        <f t="shared" si="434"/>
        <v/>
      </c>
    </row>
    <row r="27798" spans="26:26" x14ac:dyDescent="0.2">
      <c r="Z27798" t="str">
        <f t="shared" si="434"/>
        <v/>
      </c>
    </row>
    <row r="27799" spans="26:26" x14ac:dyDescent="0.2">
      <c r="Z27799" t="str">
        <f t="shared" si="434"/>
        <v/>
      </c>
    </row>
    <row r="27800" spans="26:26" x14ac:dyDescent="0.2">
      <c r="Z27800" t="str">
        <f t="shared" si="434"/>
        <v/>
      </c>
    </row>
    <row r="27801" spans="26:26" x14ac:dyDescent="0.2">
      <c r="Z27801" t="str">
        <f t="shared" si="434"/>
        <v/>
      </c>
    </row>
    <row r="27802" spans="26:26" x14ac:dyDescent="0.2">
      <c r="Z27802" t="str">
        <f t="shared" si="434"/>
        <v/>
      </c>
    </row>
    <row r="27803" spans="26:26" x14ac:dyDescent="0.2">
      <c r="Z27803" t="str">
        <f t="shared" si="434"/>
        <v/>
      </c>
    </row>
    <row r="27804" spans="26:26" x14ac:dyDescent="0.2">
      <c r="Z27804" t="str">
        <f t="shared" si="434"/>
        <v/>
      </c>
    </row>
    <row r="27805" spans="26:26" x14ac:dyDescent="0.2">
      <c r="Z27805" t="str">
        <f t="shared" si="434"/>
        <v/>
      </c>
    </row>
    <row r="27806" spans="26:26" x14ac:dyDescent="0.2">
      <c r="Z27806" t="str">
        <f t="shared" si="434"/>
        <v/>
      </c>
    </row>
    <row r="27807" spans="26:26" x14ac:dyDescent="0.2">
      <c r="Z27807" t="str">
        <f t="shared" si="434"/>
        <v/>
      </c>
    </row>
    <row r="27808" spans="26:26" x14ac:dyDescent="0.2">
      <c r="Z27808" t="str">
        <f t="shared" si="434"/>
        <v/>
      </c>
    </row>
    <row r="27809" spans="26:26" x14ac:dyDescent="0.2">
      <c r="Z27809" t="str">
        <f t="shared" si="434"/>
        <v/>
      </c>
    </row>
    <row r="27810" spans="26:26" x14ac:dyDescent="0.2">
      <c r="Z27810" t="str">
        <f t="shared" si="434"/>
        <v/>
      </c>
    </row>
    <row r="27811" spans="26:26" x14ac:dyDescent="0.2">
      <c r="Z27811" t="str">
        <f t="shared" si="434"/>
        <v/>
      </c>
    </row>
    <row r="27812" spans="26:26" x14ac:dyDescent="0.2">
      <c r="Z27812" t="str">
        <f t="shared" si="434"/>
        <v/>
      </c>
    </row>
    <row r="27813" spans="26:26" x14ac:dyDescent="0.2">
      <c r="Z27813" t="str">
        <f t="shared" si="434"/>
        <v/>
      </c>
    </row>
    <row r="27814" spans="26:26" x14ac:dyDescent="0.2">
      <c r="Z27814" t="str">
        <f t="shared" si="434"/>
        <v/>
      </c>
    </row>
    <row r="27815" spans="26:26" x14ac:dyDescent="0.2">
      <c r="Z27815" t="str">
        <f t="shared" si="434"/>
        <v/>
      </c>
    </row>
    <row r="27816" spans="26:26" x14ac:dyDescent="0.2">
      <c r="Z27816" t="str">
        <f t="shared" si="434"/>
        <v/>
      </c>
    </row>
    <row r="27817" spans="26:26" x14ac:dyDescent="0.2">
      <c r="Z27817" t="str">
        <f t="shared" si="434"/>
        <v/>
      </c>
    </row>
    <row r="27818" spans="26:26" x14ac:dyDescent="0.2">
      <c r="Z27818" t="str">
        <f t="shared" si="434"/>
        <v/>
      </c>
    </row>
    <row r="27819" spans="26:26" x14ac:dyDescent="0.2">
      <c r="Z27819" t="str">
        <f t="shared" si="434"/>
        <v/>
      </c>
    </row>
    <row r="27820" spans="26:26" x14ac:dyDescent="0.2">
      <c r="Z27820" t="str">
        <f t="shared" si="434"/>
        <v/>
      </c>
    </row>
    <row r="27821" spans="26:26" x14ac:dyDescent="0.2">
      <c r="Z27821" t="str">
        <f t="shared" si="434"/>
        <v/>
      </c>
    </row>
    <row r="27822" spans="26:26" x14ac:dyDescent="0.2">
      <c r="Z27822" t="str">
        <f t="shared" si="434"/>
        <v/>
      </c>
    </row>
    <row r="27823" spans="26:26" x14ac:dyDescent="0.2">
      <c r="Z27823" t="str">
        <f t="shared" si="434"/>
        <v/>
      </c>
    </row>
    <row r="27824" spans="26:26" x14ac:dyDescent="0.2">
      <c r="Z27824" t="str">
        <f t="shared" si="434"/>
        <v/>
      </c>
    </row>
    <row r="27825" spans="26:26" x14ac:dyDescent="0.2">
      <c r="Z27825" t="str">
        <f t="shared" si="434"/>
        <v/>
      </c>
    </row>
    <row r="27826" spans="26:26" x14ac:dyDescent="0.2">
      <c r="Z27826" t="str">
        <f t="shared" si="434"/>
        <v/>
      </c>
    </row>
    <row r="27827" spans="26:26" x14ac:dyDescent="0.2">
      <c r="Z27827" t="str">
        <f t="shared" si="434"/>
        <v/>
      </c>
    </row>
    <row r="27828" spans="26:26" x14ac:dyDescent="0.2">
      <c r="Z27828" t="str">
        <f t="shared" si="434"/>
        <v/>
      </c>
    </row>
    <row r="27829" spans="26:26" x14ac:dyDescent="0.2">
      <c r="Z27829" t="str">
        <f t="shared" si="434"/>
        <v/>
      </c>
    </row>
    <row r="27830" spans="26:26" x14ac:dyDescent="0.2">
      <c r="Z27830" t="str">
        <f t="shared" si="434"/>
        <v/>
      </c>
    </row>
    <row r="27831" spans="26:26" x14ac:dyDescent="0.2">
      <c r="Z27831" t="str">
        <f t="shared" si="434"/>
        <v/>
      </c>
    </row>
    <row r="27832" spans="26:26" x14ac:dyDescent="0.2">
      <c r="Z27832" t="str">
        <f t="shared" si="434"/>
        <v/>
      </c>
    </row>
    <row r="27833" spans="26:26" x14ac:dyDescent="0.2">
      <c r="Z27833" t="str">
        <f t="shared" si="434"/>
        <v/>
      </c>
    </row>
    <row r="27834" spans="26:26" x14ac:dyDescent="0.2">
      <c r="Z27834" t="str">
        <f t="shared" si="434"/>
        <v/>
      </c>
    </row>
    <row r="27835" spans="26:26" x14ac:dyDescent="0.2">
      <c r="Z27835" t="str">
        <f t="shared" si="434"/>
        <v/>
      </c>
    </row>
    <row r="27836" spans="26:26" x14ac:dyDescent="0.2">
      <c r="Z27836" t="str">
        <f t="shared" si="434"/>
        <v/>
      </c>
    </row>
    <row r="27837" spans="26:26" x14ac:dyDescent="0.2">
      <c r="Z27837" t="str">
        <f t="shared" si="434"/>
        <v/>
      </c>
    </row>
    <row r="27838" spans="26:26" x14ac:dyDescent="0.2">
      <c r="Z27838" t="str">
        <f t="shared" si="434"/>
        <v/>
      </c>
    </row>
    <row r="27839" spans="26:26" x14ac:dyDescent="0.2">
      <c r="Z27839" t="str">
        <f t="shared" si="434"/>
        <v/>
      </c>
    </row>
    <row r="27840" spans="26:26" x14ac:dyDescent="0.2">
      <c r="Z27840" t="str">
        <f t="shared" si="434"/>
        <v/>
      </c>
    </row>
    <row r="27841" spans="26:26" x14ac:dyDescent="0.2">
      <c r="Z27841" t="str">
        <f t="shared" si="434"/>
        <v/>
      </c>
    </row>
    <row r="27842" spans="26:26" x14ac:dyDescent="0.2">
      <c r="Z27842" t="str">
        <f t="shared" si="434"/>
        <v/>
      </c>
    </row>
    <row r="27843" spans="26:26" x14ac:dyDescent="0.2">
      <c r="Z27843" t="str">
        <f t="shared" ref="Z27843:Z27906" si="435">IF(K27843="","",IFERROR(VALUE(TRIM(MID(K27843,FIND(CHAR(167),SUBSTITUTE(K27843,"-",CHAR(167),LEN(K27843)-LEN(SUBSTITUTE(K27843,"-",""))))+1,100))),K27843))</f>
        <v/>
      </c>
    </row>
    <row r="27844" spans="26:26" x14ac:dyDescent="0.2">
      <c r="Z27844" t="str">
        <f t="shared" si="435"/>
        <v/>
      </c>
    </row>
    <row r="27845" spans="26:26" x14ac:dyDescent="0.2">
      <c r="Z27845" t="str">
        <f t="shared" si="435"/>
        <v/>
      </c>
    </row>
    <row r="27846" spans="26:26" x14ac:dyDescent="0.2">
      <c r="Z27846" t="str">
        <f t="shared" si="435"/>
        <v/>
      </c>
    </row>
    <row r="27847" spans="26:26" x14ac:dyDescent="0.2">
      <c r="Z27847" t="str">
        <f t="shared" si="435"/>
        <v/>
      </c>
    </row>
    <row r="27848" spans="26:26" x14ac:dyDescent="0.2">
      <c r="Z27848" t="str">
        <f t="shared" si="435"/>
        <v/>
      </c>
    </row>
    <row r="27849" spans="26:26" x14ac:dyDescent="0.2">
      <c r="Z27849" t="str">
        <f t="shared" si="435"/>
        <v/>
      </c>
    </row>
    <row r="27850" spans="26:26" x14ac:dyDescent="0.2">
      <c r="Z27850" t="str">
        <f t="shared" si="435"/>
        <v/>
      </c>
    </row>
    <row r="27851" spans="26:26" x14ac:dyDescent="0.2">
      <c r="Z27851" t="str">
        <f t="shared" si="435"/>
        <v/>
      </c>
    </row>
    <row r="27852" spans="26:26" x14ac:dyDescent="0.2">
      <c r="Z27852" t="str">
        <f t="shared" si="435"/>
        <v/>
      </c>
    </row>
    <row r="27853" spans="26:26" x14ac:dyDescent="0.2">
      <c r="Z27853" t="str">
        <f t="shared" si="435"/>
        <v/>
      </c>
    </row>
    <row r="27854" spans="26:26" x14ac:dyDescent="0.2">
      <c r="Z27854" t="str">
        <f t="shared" si="435"/>
        <v/>
      </c>
    </row>
    <row r="27855" spans="26:26" x14ac:dyDescent="0.2">
      <c r="Z27855" t="str">
        <f t="shared" si="435"/>
        <v/>
      </c>
    </row>
    <row r="27856" spans="26:26" x14ac:dyDescent="0.2">
      <c r="Z27856" t="str">
        <f t="shared" si="435"/>
        <v/>
      </c>
    </row>
    <row r="27857" spans="26:26" x14ac:dyDescent="0.2">
      <c r="Z27857" t="str">
        <f t="shared" si="435"/>
        <v/>
      </c>
    </row>
    <row r="27858" spans="26:26" x14ac:dyDescent="0.2">
      <c r="Z27858" t="str">
        <f t="shared" si="435"/>
        <v/>
      </c>
    </row>
    <row r="27859" spans="26:26" x14ac:dyDescent="0.2">
      <c r="Z27859" t="str">
        <f t="shared" si="435"/>
        <v/>
      </c>
    </row>
    <row r="27860" spans="26:26" x14ac:dyDescent="0.2">
      <c r="Z27860" t="str">
        <f t="shared" si="435"/>
        <v/>
      </c>
    </row>
    <row r="27861" spans="26:26" x14ac:dyDescent="0.2">
      <c r="Z27861" t="str">
        <f t="shared" si="435"/>
        <v/>
      </c>
    </row>
    <row r="27862" spans="26:26" x14ac:dyDescent="0.2">
      <c r="Z27862" t="str">
        <f t="shared" si="435"/>
        <v/>
      </c>
    </row>
    <row r="27863" spans="26:26" x14ac:dyDescent="0.2">
      <c r="Z27863" t="str">
        <f t="shared" si="435"/>
        <v/>
      </c>
    </row>
    <row r="27864" spans="26:26" x14ac:dyDescent="0.2">
      <c r="Z27864" t="str">
        <f t="shared" si="435"/>
        <v/>
      </c>
    </row>
    <row r="27865" spans="26:26" x14ac:dyDescent="0.2">
      <c r="Z27865" t="str">
        <f t="shared" si="435"/>
        <v/>
      </c>
    </row>
    <row r="27866" spans="26:26" x14ac:dyDescent="0.2">
      <c r="Z27866" t="str">
        <f t="shared" si="435"/>
        <v/>
      </c>
    </row>
    <row r="27867" spans="26:26" x14ac:dyDescent="0.2">
      <c r="Z27867" t="str">
        <f t="shared" si="435"/>
        <v/>
      </c>
    </row>
    <row r="27868" spans="26:26" x14ac:dyDescent="0.2">
      <c r="Z27868" t="str">
        <f t="shared" si="435"/>
        <v/>
      </c>
    </row>
    <row r="27869" spans="26:26" x14ac:dyDescent="0.2">
      <c r="Z27869" t="str">
        <f t="shared" si="435"/>
        <v/>
      </c>
    </row>
    <row r="27870" spans="26:26" x14ac:dyDescent="0.2">
      <c r="Z27870" t="str">
        <f t="shared" si="435"/>
        <v/>
      </c>
    </row>
    <row r="27871" spans="26:26" x14ac:dyDescent="0.2">
      <c r="Z27871" t="str">
        <f t="shared" si="435"/>
        <v/>
      </c>
    </row>
    <row r="27872" spans="26:26" x14ac:dyDescent="0.2">
      <c r="Z27872" t="str">
        <f t="shared" si="435"/>
        <v/>
      </c>
    </row>
    <row r="27873" spans="26:26" x14ac:dyDescent="0.2">
      <c r="Z27873" t="str">
        <f t="shared" si="435"/>
        <v/>
      </c>
    </row>
    <row r="27874" spans="26:26" x14ac:dyDescent="0.2">
      <c r="Z27874" t="str">
        <f t="shared" si="435"/>
        <v/>
      </c>
    </row>
    <row r="27875" spans="26:26" x14ac:dyDescent="0.2">
      <c r="Z27875" t="str">
        <f t="shared" si="435"/>
        <v/>
      </c>
    </row>
    <row r="27876" spans="26:26" x14ac:dyDescent="0.2">
      <c r="Z27876" t="str">
        <f t="shared" si="435"/>
        <v/>
      </c>
    </row>
    <row r="27877" spans="26:26" x14ac:dyDescent="0.2">
      <c r="Z27877" t="str">
        <f t="shared" si="435"/>
        <v/>
      </c>
    </row>
    <row r="27878" spans="26:26" x14ac:dyDescent="0.2">
      <c r="Z27878" t="str">
        <f t="shared" si="435"/>
        <v/>
      </c>
    </row>
    <row r="27879" spans="26:26" x14ac:dyDescent="0.2">
      <c r="Z27879" t="str">
        <f t="shared" si="435"/>
        <v/>
      </c>
    </row>
    <row r="27880" spans="26:26" x14ac:dyDescent="0.2">
      <c r="Z27880" t="str">
        <f t="shared" si="435"/>
        <v/>
      </c>
    </row>
    <row r="27881" spans="26:26" x14ac:dyDescent="0.2">
      <c r="Z27881" t="str">
        <f t="shared" si="435"/>
        <v/>
      </c>
    </row>
    <row r="27882" spans="26:26" x14ac:dyDescent="0.2">
      <c r="Z27882" t="str">
        <f t="shared" si="435"/>
        <v/>
      </c>
    </row>
    <row r="27883" spans="26:26" x14ac:dyDescent="0.2">
      <c r="Z27883" t="str">
        <f t="shared" si="435"/>
        <v/>
      </c>
    </row>
    <row r="27884" spans="26:26" x14ac:dyDescent="0.2">
      <c r="Z27884" t="str">
        <f t="shared" si="435"/>
        <v/>
      </c>
    </row>
    <row r="27885" spans="26:26" x14ac:dyDescent="0.2">
      <c r="Z27885" t="str">
        <f t="shared" si="435"/>
        <v/>
      </c>
    </row>
    <row r="27886" spans="26:26" x14ac:dyDescent="0.2">
      <c r="Z27886" t="str">
        <f t="shared" si="435"/>
        <v/>
      </c>
    </row>
    <row r="27887" spans="26:26" x14ac:dyDescent="0.2">
      <c r="Z27887" t="str">
        <f t="shared" si="435"/>
        <v/>
      </c>
    </row>
    <row r="27888" spans="26:26" x14ac:dyDescent="0.2">
      <c r="Z27888" t="str">
        <f t="shared" si="435"/>
        <v/>
      </c>
    </row>
    <row r="27889" spans="26:26" x14ac:dyDescent="0.2">
      <c r="Z27889" t="str">
        <f t="shared" si="435"/>
        <v/>
      </c>
    </row>
    <row r="27890" spans="26:26" x14ac:dyDescent="0.2">
      <c r="Z27890" t="str">
        <f t="shared" si="435"/>
        <v/>
      </c>
    </row>
    <row r="27891" spans="26:26" x14ac:dyDescent="0.2">
      <c r="Z27891" t="str">
        <f t="shared" si="435"/>
        <v/>
      </c>
    </row>
    <row r="27892" spans="26:26" x14ac:dyDescent="0.2">
      <c r="Z27892" t="str">
        <f t="shared" si="435"/>
        <v/>
      </c>
    </row>
    <row r="27893" spans="26:26" x14ac:dyDescent="0.2">
      <c r="Z27893" t="str">
        <f t="shared" si="435"/>
        <v/>
      </c>
    </row>
    <row r="27894" spans="26:26" x14ac:dyDescent="0.2">
      <c r="Z27894" t="str">
        <f t="shared" si="435"/>
        <v/>
      </c>
    </row>
    <row r="27895" spans="26:26" x14ac:dyDescent="0.2">
      <c r="Z27895" t="str">
        <f t="shared" si="435"/>
        <v/>
      </c>
    </row>
    <row r="27896" spans="26:26" x14ac:dyDescent="0.2">
      <c r="Z27896" t="str">
        <f t="shared" si="435"/>
        <v/>
      </c>
    </row>
    <row r="27897" spans="26:26" x14ac:dyDescent="0.2">
      <c r="Z27897" t="str">
        <f t="shared" si="435"/>
        <v/>
      </c>
    </row>
    <row r="27898" spans="26:26" x14ac:dyDescent="0.2">
      <c r="Z27898" t="str">
        <f t="shared" si="435"/>
        <v/>
      </c>
    </row>
    <row r="27899" spans="26:26" x14ac:dyDescent="0.2">
      <c r="Z27899" t="str">
        <f t="shared" si="435"/>
        <v/>
      </c>
    </row>
    <row r="27900" spans="26:26" x14ac:dyDescent="0.2">
      <c r="Z27900" t="str">
        <f t="shared" si="435"/>
        <v/>
      </c>
    </row>
    <row r="27901" spans="26:26" x14ac:dyDescent="0.2">
      <c r="Z27901" t="str">
        <f t="shared" si="435"/>
        <v/>
      </c>
    </row>
    <row r="27902" spans="26:26" x14ac:dyDescent="0.2">
      <c r="Z27902" t="str">
        <f t="shared" si="435"/>
        <v/>
      </c>
    </row>
    <row r="27903" spans="26:26" x14ac:dyDescent="0.2">
      <c r="Z27903" t="str">
        <f t="shared" si="435"/>
        <v/>
      </c>
    </row>
    <row r="27904" spans="26:26" x14ac:dyDescent="0.2">
      <c r="Z27904" t="str">
        <f t="shared" si="435"/>
        <v/>
      </c>
    </row>
    <row r="27905" spans="26:26" x14ac:dyDescent="0.2">
      <c r="Z27905" t="str">
        <f t="shared" si="435"/>
        <v/>
      </c>
    </row>
    <row r="27906" spans="26:26" x14ac:dyDescent="0.2">
      <c r="Z27906" t="str">
        <f t="shared" si="435"/>
        <v/>
      </c>
    </row>
    <row r="27907" spans="26:26" x14ac:dyDescent="0.2">
      <c r="Z27907" t="str">
        <f t="shared" ref="Z27907:Z27970" si="436">IF(K27907="","",IFERROR(VALUE(TRIM(MID(K27907,FIND(CHAR(167),SUBSTITUTE(K27907,"-",CHAR(167),LEN(K27907)-LEN(SUBSTITUTE(K27907,"-",""))))+1,100))),K27907))</f>
        <v/>
      </c>
    </row>
    <row r="27908" spans="26:26" x14ac:dyDescent="0.2">
      <c r="Z27908" t="str">
        <f t="shared" si="436"/>
        <v/>
      </c>
    </row>
    <row r="27909" spans="26:26" x14ac:dyDescent="0.2">
      <c r="Z27909" t="str">
        <f t="shared" si="436"/>
        <v/>
      </c>
    </row>
    <row r="27910" spans="26:26" x14ac:dyDescent="0.2">
      <c r="Z27910" t="str">
        <f t="shared" si="436"/>
        <v/>
      </c>
    </row>
    <row r="27911" spans="26:26" x14ac:dyDescent="0.2">
      <c r="Z27911" t="str">
        <f t="shared" si="436"/>
        <v/>
      </c>
    </row>
    <row r="27912" spans="26:26" x14ac:dyDescent="0.2">
      <c r="Z27912" t="str">
        <f t="shared" si="436"/>
        <v/>
      </c>
    </row>
    <row r="27913" spans="26:26" x14ac:dyDescent="0.2">
      <c r="Z27913" t="str">
        <f t="shared" si="436"/>
        <v/>
      </c>
    </row>
    <row r="27914" spans="26:26" x14ac:dyDescent="0.2">
      <c r="Z27914" t="str">
        <f t="shared" si="436"/>
        <v/>
      </c>
    </row>
    <row r="27915" spans="26:26" x14ac:dyDescent="0.2">
      <c r="Z27915" t="str">
        <f t="shared" si="436"/>
        <v/>
      </c>
    </row>
    <row r="27916" spans="26:26" x14ac:dyDescent="0.2">
      <c r="Z27916" t="str">
        <f t="shared" si="436"/>
        <v/>
      </c>
    </row>
    <row r="27917" spans="26:26" x14ac:dyDescent="0.2">
      <c r="Z27917" t="str">
        <f t="shared" si="436"/>
        <v/>
      </c>
    </row>
    <row r="27918" spans="26:26" x14ac:dyDescent="0.2">
      <c r="Z27918" t="str">
        <f t="shared" si="436"/>
        <v/>
      </c>
    </row>
    <row r="27919" spans="26:26" x14ac:dyDescent="0.2">
      <c r="Z27919" t="str">
        <f t="shared" si="436"/>
        <v/>
      </c>
    </row>
    <row r="27920" spans="26:26" x14ac:dyDescent="0.2">
      <c r="Z27920" t="str">
        <f t="shared" si="436"/>
        <v/>
      </c>
    </row>
    <row r="27921" spans="26:26" x14ac:dyDescent="0.2">
      <c r="Z27921" t="str">
        <f t="shared" si="436"/>
        <v/>
      </c>
    </row>
    <row r="27922" spans="26:26" x14ac:dyDescent="0.2">
      <c r="Z27922" t="str">
        <f t="shared" si="436"/>
        <v/>
      </c>
    </row>
    <row r="27923" spans="26:26" x14ac:dyDescent="0.2">
      <c r="Z27923" t="str">
        <f t="shared" si="436"/>
        <v/>
      </c>
    </row>
    <row r="27924" spans="26:26" x14ac:dyDescent="0.2">
      <c r="Z27924" t="str">
        <f t="shared" si="436"/>
        <v/>
      </c>
    </row>
    <row r="27925" spans="26:26" x14ac:dyDescent="0.2">
      <c r="Z27925" t="str">
        <f t="shared" si="436"/>
        <v/>
      </c>
    </row>
    <row r="27926" spans="26:26" x14ac:dyDescent="0.2">
      <c r="Z27926" t="str">
        <f t="shared" si="436"/>
        <v/>
      </c>
    </row>
    <row r="27927" spans="26:26" x14ac:dyDescent="0.2">
      <c r="Z27927" t="str">
        <f t="shared" si="436"/>
        <v/>
      </c>
    </row>
    <row r="27928" spans="26:26" x14ac:dyDescent="0.2">
      <c r="Z27928" t="str">
        <f t="shared" si="436"/>
        <v/>
      </c>
    </row>
    <row r="27929" spans="26:26" x14ac:dyDescent="0.2">
      <c r="Z27929" t="str">
        <f t="shared" si="436"/>
        <v/>
      </c>
    </row>
    <row r="27930" spans="26:26" x14ac:dyDescent="0.2">
      <c r="Z27930" t="str">
        <f t="shared" si="436"/>
        <v/>
      </c>
    </row>
    <row r="27931" spans="26:26" x14ac:dyDescent="0.2">
      <c r="Z27931" t="str">
        <f t="shared" si="436"/>
        <v/>
      </c>
    </row>
    <row r="27932" spans="26:26" x14ac:dyDescent="0.2">
      <c r="Z27932" t="str">
        <f t="shared" si="436"/>
        <v/>
      </c>
    </row>
    <row r="27933" spans="26:26" x14ac:dyDescent="0.2">
      <c r="Z27933" t="str">
        <f t="shared" si="436"/>
        <v/>
      </c>
    </row>
    <row r="27934" spans="26:26" x14ac:dyDescent="0.2">
      <c r="Z27934" t="str">
        <f t="shared" si="436"/>
        <v/>
      </c>
    </row>
    <row r="27935" spans="26:26" x14ac:dyDescent="0.2">
      <c r="Z27935" t="str">
        <f t="shared" si="436"/>
        <v/>
      </c>
    </row>
    <row r="27936" spans="26:26" x14ac:dyDescent="0.2">
      <c r="Z27936" t="str">
        <f t="shared" si="436"/>
        <v/>
      </c>
    </row>
    <row r="27937" spans="26:26" x14ac:dyDescent="0.2">
      <c r="Z27937" t="str">
        <f t="shared" si="436"/>
        <v/>
      </c>
    </row>
    <row r="27938" spans="26:26" x14ac:dyDescent="0.2">
      <c r="Z27938" t="str">
        <f t="shared" si="436"/>
        <v/>
      </c>
    </row>
    <row r="27939" spans="26:26" x14ac:dyDescent="0.2">
      <c r="Z27939" t="str">
        <f t="shared" si="436"/>
        <v/>
      </c>
    </row>
    <row r="27940" spans="26:26" x14ac:dyDescent="0.2">
      <c r="Z27940" t="str">
        <f t="shared" si="436"/>
        <v/>
      </c>
    </row>
    <row r="27941" spans="26:26" x14ac:dyDescent="0.2">
      <c r="Z27941" t="str">
        <f t="shared" si="436"/>
        <v/>
      </c>
    </row>
    <row r="27942" spans="26:26" x14ac:dyDescent="0.2">
      <c r="Z27942" t="str">
        <f t="shared" si="436"/>
        <v/>
      </c>
    </row>
    <row r="27943" spans="26:26" x14ac:dyDescent="0.2">
      <c r="Z27943" t="str">
        <f t="shared" si="436"/>
        <v/>
      </c>
    </row>
    <row r="27944" spans="26:26" x14ac:dyDescent="0.2">
      <c r="Z27944" t="str">
        <f t="shared" si="436"/>
        <v/>
      </c>
    </row>
    <row r="27945" spans="26:26" x14ac:dyDescent="0.2">
      <c r="Z27945" t="str">
        <f t="shared" si="436"/>
        <v/>
      </c>
    </row>
    <row r="27946" spans="26:26" x14ac:dyDescent="0.2">
      <c r="Z27946" t="str">
        <f t="shared" si="436"/>
        <v/>
      </c>
    </row>
    <row r="27947" spans="26:26" x14ac:dyDescent="0.2">
      <c r="Z27947" t="str">
        <f t="shared" si="436"/>
        <v/>
      </c>
    </row>
    <row r="27948" spans="26:26" x14ac:dyDescent="0.2">
      <c r="Z27948" t="str">
        <f t="shared" si="436"/>
        <v/>
      </c>
    </row>
    <row r="27949" spans="26:26" x14ac:dyDescent="0.2">
      <c r="Z27949" t="str">
        <f t="shared" si="436"/>
        <v/>
      </c>
    </row>
    <row r="27950" spans="26:26" x14ac:dyDescent="0.2">
      <c r="Z27950" t="str">
        <f t="shared" si="436"/>
        <v/>
      </c>
    </row>
    <row r="27951" spans="26:26" x14ac:dyDescent="0.2">
      <c r="Z27951" t="str">
        <f t="shared" si="436"/>
        <v/>
      </c>
    </row>
    <row r="27952" spans="26:26" x14ac:dyDescent="0.2">
      <c r="Z27952" t="str">
        <f t="shared" si="436"/>
        <v/>
      </c>
    </row>
    <row r="27953" spans="26:26" x14ac:dyDescent="0.2">
      <c r="Z27953" t="str">
        <f t="shared" si="436"/>
        <v/>
      </c>
    </row>
    <row r="27954" spans="26:26" x14ac:dyDescent="0.2">
      <c r="Z27954" t="str">
        <f t="shared" si="436"/>
        <v/>
      </c>
    </row>
    <row r="27955" spans="26:26" x14ac:dyDescent="0.2">
      <c r="Z27955" t="str">
        <f t="shared" si="436"/>
        <v/>
      </c>
    </row>
    <row r="27956" spans="26:26" x14ac:dyDescent="0.2">
      <c r="Z27956" t="str">
        <f t="shared" si="436"/>
        <v/>
      </c>
    </row>
    <row r="27957" spans="26:26" x14ac:dyDescent="0.2">
      <c r="Z27957" t="str">
        <f t="shared" si="436"/>
        <v/>
      </c>
    </row>
    <row r="27958" spans="26:26" x14ac:dyDescent="0.2">
      <c r="Z27958" t="str">
        <f t="shared" si="436"/>
        <v/>
      </c>
    </row>
    <row r="27959" spans="26:26" x14ac:dyDescent="0.2">
      <c r="Z27959" t="str">
        <f t="shared" si="436"/>
        <v/>
      </c>
    </row>
    <row r="27960" spans="26:26" x14ac:dyDescent="0.2">
      <c r="Z27960" t="str">
        <f t="shared" si="436"/>
        <v/>
      </c>
    </row>
    <row r="27961" spans="26:26" x14ac:dyDescent="0.2">
      <c r="Z27961" t="str">
        <f t="shared" si="436"/>
        <v/>
      </c>
    </row>
    <row r="27962" spans="26:26" x14ac:dyDescent="0.2">
      <c r="Z27962" t="str">
        <f t="shared" si="436"/>
        <v/>
      </c>
    </row>
    <row r="27963" spans="26:26" x14ac:dyDescent="0.2">
      <c r="Z27963" t="str">
        <f t="shared" si="436"/>
        <v/>
      </c>
    </row>
    <row r="27964" spans="26:26" x14ac:dyDescent="0.2">
      <c r="Z27964" t="str">
        <f t="shared" si="436"/>
        <v/>
      </c>
    </row>
    <row r="27965" spans="26:26" x14ac:dyDescent="0.2">
      <c r="Z27965" t="str">
        <f t="shared" si="436"/>
        <v/>
      </c>
    </row>
    <row r="27966" spans="26:26" x14ac:dyDescent="0.2">
      <c r="Z27966" t="str">
        <f t="shared" si="436"/>
        <v/>
      </c>
    </row>
    <row r="27967" spans="26:26" x14ac:dyDescent="0.2">
      <c r="Z27967" t="str">
        <f t="shared" si="436"/>
        <v/>
      </c>
    </row>
    <row r="27968" spans="26:26" x14ac:dyDescent="0.2">
      <c r="Z27968" t="str">
        <f t="shared" si="436"/>
        <v/>
      </c>
    </row>
    <row r="27969" spans="26:26" x14ac:dyDescent="0.2">
      <c r="Z27969" t="str">
        <f t="shared" si="436"/>
        <v/>
      </c>
    </row>
    <row r="27970" spans="26:26" x14ac:dyDescent="0.2">
      <c r="Z27970" t="str">
        <f t="shared" si="436"/>
        <v/>
      </c>
    </row>
    <row r="27971" spans="26:26" x14ac:dyDescent="0.2">
      <c r="Z27971" t="str">
        <f t="shared" ref="Z27971:Z28034" si="437">IF(K27971="","",IFERROR(VALUE(TRIM(MID(K27971,FIND(CHAR(167),SUBSTITUTE(K27971,"-",CHAR(167),LEN(K27971)-LEN(SUBSTITUTE(K27971,"-",""))))+1,100))),K27971))</f>
        <v/>
      </c>
    </row>
    <row r="27972" spans="26:26" x14ac:dyDescent="0.2">
      <c r="Z27972" t="str">
        <f t="shared" si="437"/>
        <v/>
      </c>
    </row>
    <row r="27973" spans="26:26" x14ac:dyDescent="0.2">
      <c r="Z27973" t="str">
        <f t="shared" si="437"/>
        <v/>
      </c>
    </row>
    <row r="27974" spans="26:26" x14ac:dyDescent="0.2">
      <c r="Z27974" t="str">
        <f t="shared" si="437"/>
        <v/>
      </c>
    </row>
    <row r="27975" spans="26:26" x14ac:dyDescent="0.2">
      <c r="Z27975" t="str">
        <f t="shared" si="437"/>
        <v/>
      </c>
    </row>
    <row r="27976" spans="26:26" x14ac:dyDescent="0.2">
      <c r="Z27976" t="str">
        <f t="shared" si="437"/>
        <v/>
      </c>
    </row>
    <row r="27977" spans="26:26" x14ac:dyDescent="0.2">
      <c r="Z27977" t="str">
        <f t="shared" si="437"/>
        <v/>
      </c>
    </row>
    <row r="27978" spans="26:26" x14ac:dyDescent="0.2">
      <c r="Z27978" t="str">
        <f t="shared" si="437"/>
        <v/>
      </c>
    </row>
    <row r="27979" spans="26:26" x14ac:dyDescent="0.2">
      <c r="Z27979" t="str">
        <f t="shared" si="437"/>
        <v/>
      </c>
    </row>
    <row r="27980" spans="26:26" x14ac:dyDescent="0.2">
      <c r="Z27980" t="str">
        <f t="shared" si="437"/>
        <v/>
      </c>
    </row>
    <row r="27981" spans="26:26" x14ac:dyDescent="0.2">
      <c r="Z27981" t="str">
        <f t="shared" si="437"/>
        <v/>
      </c>
    </row>
    <row r="27982" spans="26:26" x14ac:dyDescent="0.2">
      <c r="Z27982" t="str">
        <f t="shared" si="437"/>
        <v/>
      </c>
    </row>
    <row r="27983" spans="26:26" x14ac:dyDescent="0.2">
      <c r="Z27983" t="str">
        <f t="shared" si="437"/>
        <v/>
      </c>
    </row>
    <row r="27984" spans="26:26" x14ac:dyDescent="0.2">
      <c r="Z27984" t="str">
        <f t="shared" si="437"/>
        <v/>
      </c>
    </row>
    <row r="27985" spans="26:26" x14ac:dyDescent="0.2">
      <c r="Z27985" t="str">
        <f t="shared" si="437"/>
        <v/>
      </c>
    </row>
    <row r="27986" spans="26:26" x14ac:dyDescent="0.2">
      <c r="Z27986" t="str">
        <f t="shared" si="437"/>
        <v/>
      </c>
    </row>
    <row r="27987" spans="26:26" x14ac:dyDescent="0.2">
      <c r="Z27987" t="str">
        <f t="shared" si="437"/>
        <v/>
      </c>
    </row>
    <row r="27988" spans="26:26" x14ac:dyDescent="0.2">
      <c r="Z27988" t="str">
        <f t="shared" si="437"/>
        <v/>
      </c>
    </row>
    <row r="27989" spans="26:26" x14ac:dyDescent="0.2">
      <c r="Z27989" t="str">
        <f t="shared" si="437"/>
        <v/>
      </c>
    </row>
    <row r="27990" spans="26:26" x14ac:dyDescent="0.2">
      <c r="Z27990" t="str">
        <f t="shared" si="437"/>
        <v/>
      </c>
    </row>
    <row r="27991" spans="26:26" x14ac:dyDescent="0.2">
      <c r="Z27991" t="str">
        <f t="shared" si="437"/>
        <v/>
      </c>
    </row>
    <row r="27992" spans="26:26" x14ac:dyDescent="0.2">
      <c r="Z27992" t="str">
        <f t="shared" si="437"/>
        <v/>
      </c>
    </row>
    <row r="27993" spans="26:26" x14ac:dyDescent="0.2">
      <c r="Z27993" t="str">
        <f t="shared" si="437"/>
        <v/>
      </c>
    </row>
    <row r="27994" spans="26:26" x14ac:dyDescent="0.2">
      <c r="Z27994" t="str">
        <f t="shared" si="437"/>
        <v/>
      </c>
    </row>
    <row r="27995" spans="26:26" x14ac:dyDescent="0.2">
      <c r="Z27995" t="str">
        <f t="shared" si="437"/>
        <v/>
      </c>
    </row>
    <row r="27996" spans="26:26" x14ac:dyDescent="0.2">
      <c r="Z27996" t="str">
        <f t="shared" si="437"/>
        <v/>
      </c>
    </row>
    <row r="27997" spans="26:26" x14ac:dyDescent="0.2">
      <c r="Z27997" t="str">
        <f t="shared" si="437"/>
        <v/>
      </c>
    </row>
    <row r="27998" spans="26:26" x14ac:dyDescent="0.2">
      <c r="Z27998" t="str">
        <f t="shared" si="437"/>
        <v/>
      </c>
    </row>
    <row r="27999" spans="26:26" x14ac:dyDescent="0.2">
      <c r="Z27999" t="str">
        <f t="shared" si="437"/>
        <v/>
      </c>
    </row>
    <row r="28000" spans="26:26" x14ac:dyDescent="0.2">
      <c r="Z28000" t="str">
        <f t="shared" si="437"/>
        <v/>
      </c>
    </row>
    <row r="28001" spans="26:26" x14ac:dyDescent="0.2">
      <c r="Z28001" t="str">
        <f t="shared" si="437"/>
        <v/>
      </c>
    </row>
    <row r="28002" spans="26:26" x14ac:dyDescent="0.2">
      <c r="Z28002" t="str">
        <f t="shared" si="437"/>
        <v/>
      </c>
    </row>
    <row r="28003" spans="26:26" x14ac:dyDescent="0.2">
      <c r="Z28003" t="str">
        <f t="shared" si="437"/>
        <v/>
      </c>
    </row>
    <row r="28004" spans="26:26" x14ac:dyDescent="0.2">
      <c r="Z28004" t="str">
        <f t="shared" si="437"/>
        <v/>
      </c>
    </row>
    <row r="28005" spans="26:26" x14ac:dyDescent="0.2">
      <c r="Z28005" t="str">
        <f t="shared" si="437"/>
        <v/>
      </c>
    </row>
    <row r="28006" spans="26:26" x14ac:dyDescent="0.2">
      <c r="Z28006" t="str">
        <f t="shared" si="437"/>
        <v/>
      </c>
    </row>
    <row r="28007" spans="26:26" x14ac:dyDescent="0.2">
      <c r="Z28007" t="str">
        <f t="shared" si="437"/>
        <v/>
      </c>
    </row>
    <row r="28008" spans="26:26" x14ac:dyDescent="0.2">
      <c r="Z28008" t="str">
        <f t="shared" si="437"/>
        <v/>
      </c>
    </row>
    <row r="28009" spans="26:26" x14ac:dyDescent="0.2">
      <c r="Z28009" t="str">
        <f t="shared" si="437"/>
        <v/>
      </c>
    </row>
    <row r="28010" spans="26:26" x14ac:dyDescent="0.2">
      <c r="Z28010" t="str">
        <f t="shared" si="437"/>
        <v/>
      </c>
    </row>
    <row r="28011" spans="26:26" x14ac:dyDescent="0.2">
      <c r="Z28011" t="str">
        <f t="shared" si="437"/>
        <v/>
      </c>
    </row>
    <row r="28012" spans="26:26" x14ac:dyDescent="0.2">
      <c r="Z28012" t="str">
        <f t="shared" si="437"/>
        <v/>
      </c>
    </row>
    <row r="28013" spans="26:26" x14ac:dyDescent="0.2">
      <c r="Z28013" t="str">
        <f t="shared" si="437"/>
        <v/>
      </c>
    </row>
    <row r="28014" spans="26:26" x14ac:dyDescent="0.2">
      <c r="Z28014" t="str">
        <f t="shared" si="437"/>
        <v/>
      </c>
    </row>
    <row r="28015" spans="26:26" x14ac:dyDescent="0.2">
      <c r="Z28015" t="str">
        <f t="shared" si="437"/>
        <v/>
      </c>
    </row>
    <row r="28016" spans="26:26" x14ac:dyDescent="0.2">
      <c r="Z28016" t="str">
        <f t="shared" si="437"/>
        <v/>
      </c>
    </row>
    <row r="28017" spans="26:26" x14ac:dyDescent="0.2">
      <c r="Z28017" t="str">
        <f t="shared" si="437"/>
        <v/>
      </c>
    </row>
    <row r="28018" spans="26:26" x14ac:dyDescent="0.2">
      <c r="Z28018" t="str">
        <f t="shared" si="437"/>
        <v/>
      </c>
    </row>
    <row r="28019" spans="26:26" x14ac:dyDescent="0.2">
      <c r="Z28019" t="str">
        <f t="shared" si="437"/>
        <v/>
      </c>
    </row>
    <row r="28020" spans="26:26" x14ac:dyDescent="0.2">
      <c r="Z28020" t="str">
        <f t="shared" si="437"/>
        <v/>
      </c>
    </row>
    <row r="28021" spans="26:26" x14ac:dyDescent="0.2">
      <c r="Z28021" t="str">
        <f t="shared" si="437"/>
        <v/>
      </c>
    </row>
    <row r="28022" spans="26:26" x14ac:dyDescent="0.2">
      <c r="Z28022" t="str">
        <f t="shared" si="437"/>
        <v/>
      </c>
    </row>
    <row r="28023" spans="26:26" x14ac:dyDescent="0.2">
      <c r="Z28023" t="str">
        <f t="shared" si="437"/>
        <v/>
      </c>
    </row>
    <row r="28024" spans="26:26" x14ac:dyDescent="0.2">
      <c r="Z28024" t="str">
        <f t="shared" si="437"/>
        <v/>
      </c>
    </row>
    <row r="28025" spans="26:26" x14ac:dyDescent="0.2">
      <c r="Z28025" t="str">
        <f t="shared" si="437"/>
        <v/>
      </c>
    </row>
    <row r="28026" spans="26:26" x14ac:dyDescent="0.2">
      <c r="Z28026" t="str">
        <f t="shared" si="437"/>
        <v/>
      </c>
    </row>
    <row r="28027" spans="26:26" x14ac:dyDescent="0.2">
      <c r="Z28027" t="str">
        <f t="shared" si="437"/>
        <v/>
      </c>
    </row>
    <row r="28028" spans="26:26" x14ac:dyDescent="0.2">
      <c r="Z28028" t="str">
        <f t="shared" si="437"/>
        <v/>
      </c>
    </row>
    <row r="28029" spans="26:26" x14ac:dyDescent="0.2">
      <c r="Z28029" t="str">
        <f t="shared" si="437"/>
        <v/>
      </c>
    </row>
    <row r="28030" spans="26:26" x14ac:dyDescent="0.2">
      <c r="Z28030" t="str">
        <f t="shared" si="437"/>
        <v/>
      </c>
    </row>
    <row r="28031" spans="26:26" x14ac:dyDescent="0.2">
      <c r="Z28031" t="str">
        <f t="shared" si="437"/>
        <v/>
      </c>
    </row>
    <row r="28032" spans="26:26" x14ac:dyDescent="0.2">
      <c r="Z28032" t="str">
        <f t="shared" si="437"/>
        <v/>
      </c>
    </row>
    <row r="28033" spans="26:26" x14ac:dyDescent="0.2">
      <c r="Z28033" t="str">
        <f t="shared" si="437"/>
        <v/>
      </c>
    </row>
    <row r="28034" spans="26:26" x14ac:dyDescent="0.2">
      <c r="Z28034" t="str">
        <f t="shared" si="437"/>
        <v/>
      </c>
    </row>
    <row r="28035" spans="26:26" x14ac:dyDescent="0.2">
      <c r="Z28035" t="str">
        <f t="shared" ref="Z28035:Z28098" si="438">IF(K28035="","",IFERROR(VALUE(TRIM(MID(K28035,FIND(CHAR(167),SUBSTITUTE(K28035,"-",CHAR(167),LEN(K28035)-LEN(SUBSTITUTE(K28035,"-",""))))+1,100))),K28035))</f>
        <v/>
      </c>
    </row>
    <row r="28036" spans="26:26" x14ac:dyDescent="0.2">
      <c r="Z28036" t="str">
        <f t="shared" si="438"/>
        <v/>
      </c>
    </row>
    <row r="28037" spans="26:26" x14ac:dyDescent="0.2">
      <c r="Z28037" t="str">
        <f t="shared" si="438"/>
        <v/>
      </c>
    </row>
    <row r="28038" spans="26:26" x14ac:dyDescent="0.2">
      <c r="Z28038" t="str">
        <f t="shared" si="438"/>
        <v/>
      </c>
    </row>
    <row r="28039" spans="26:26" x14ac:dyDescent="0.2">
      <c r="Z28039" t="str">
        <f t="shared" si="438"/>
        <v/>
      </c>
    </row>
    <row r="28040" spans="26:26" x14ac:dyDescent="0.2">
      <c r="Z28040" t="str">
        <f t="shared" si="438"/>
        <v/>
      </c>
    </row>
    <row r="28041" spans="26:26" x14ac:dyDescent="0.2">
      <c r="Z28041" t="str">
        <f t="shared" si="438"/>
        <v/>
      </c>
    </row>
    <row r="28042" spans="26:26" x14ac:dyDescent="0.2">
      <c r="Z28042" t="str">
        <f t="shared" si="438"/>
        <v/>
      </c>
    </row>
    <row r="28043" spans="26:26" x14ac:dyDescent="0.2">
      <c r="Z28043" t="str">
        <f t="shared" si="438"/>
        <v/>
      </c>
    </row>
    <row r="28044" spans="26:26" x14ac:dyDescent="0.2">
      <c r="Z28044" t="str">
        <f t="shared" si="438"/>
        <v/>
      </c>
    </row>
    <row r="28045" spans="26:26" x14ac:dyDescent="0.2">
      <c r="Z28045" t="str">
        <f t="shared" si="438"/>
        <v/>
      </c>
    </row>
    <row r="28046" spans="26:26" x14ac:dyDescent="0.2">
      <c r="Z28046" t="str">
        <f t="shared" si="438"/>
        <v/>
      </c>
    </row>
    <row r="28047" spans="26:26" x14ac:dyDescent="0.2">
      <c r="Z28047" t="str">
        <f t="shared" si="438"/>
        <v/>
      </c>
    </row>
    <row r="28048" spans="26:26" x14ac:dyDescent="0.2">
      <c r="Z28048" t="str">
        <f t="shared" si="438"/>
        <v/>
      </c>
    </row>
    <row r="28049" spans="26:26" x14ac:dyDescent="0.2">
      <c r="Z28049" t="str">
        <f t="shared" si="438"/>
        <v/>
      </c>
    </row>
    <row r="28050" spans="26:26" x14ac:dyDescent="0.2">
      <c r="Z28050" t="str">
        <f t="shared" si="438"/>
        <v/>
      </c>
    </row>
    <row r="28051" spans="26:26" x14ac:dyDescent="0.2">
      <c r="Z28051" t="str">
        <f t="shared" si="438"/>
        <v/>
      </c>
    </row>
    <row r="28052" spans="26:26" x14ac:dyDescent="0.2">
      <c r="Z28052" t="str">
        <f t="shared" si="438"/>
        <v/>
      </c>
    </row>
    <row r="28053" spans="26:26" x14ac:dyDescent="0.2">
      <c r="Z28053" t="str">
        <f t="shared" si="438"/>
        <v/>
      </c>
    </row>
    <row r="28054" spans="26:26" x14ac:dyDescent="0.2">
      <c r="Z28054" t="str">
        <f t="shared" si="438"/>
        <v/>
      </c>
    </row>
    <row r="28055" spans="26:26" x14ac:dyDescent="0.2">
      <c r="Z28055" t="str">
        <f t="shared" si="438"/>
        <v/>
      </c>
    </row>
    <row r="28056" spans="26:26" x14ac:dyDescent="0.2">
      <c r="Z28056" t="str">
        <f t="shared" si="438"/>
        <v/>
      </c>
    </row>
    <row r="28057" spans="26:26" x14ac:dyDescent="0.2">
      <c r="Z28057" t="str">
        <f t="shared" si="438"/>
        <v/>
      </c>
    </row>
    <row r="28058" spans="26:26" x14ac:dyDescent="0.2">
      <c r="Z28058" t="str">
        <f t="shared" si="438"/>
        <v/>
      </c>
    </row>
    <row r="28059" spans="26:26" x14ac:dyDescent="0.2">
      <c r="Z28059" t="str">
        <f t="shared" si="438"/>
        <v/>
      </c>
    </row>
    <row r="28060" spans="26:26" x14ac:dyDescent="0.2">
      <c r="Z28060" t="str">
        <f t="shared" si="438"/>
        <v/>
      </c>
    </row>
    <row r="28061" spans="26:26" x14ac:dyDescent="0.2">
      <c r="Z28061" t="str">
        <f t="shared" si="438"/>
        <v/>
      </c>
    </row>
    <row r="28062" spans="26:26" x14ac:dyDescent="0.2">
      <c r="Z28062" t="str">
        <f t="shared" si="438"/>
        <v/>
      </c>
    </row>
    <row r="28063" spans="26:26" x14ac:dyDescent="0.2">
      <c r="Z28063" t="str">
        <f t="shared" si="438"/>
        <v/>
      </c>
    </row>
    <row r="28064" spans="26:26" x14ac:dyDescent="0.2">
      <c r="Z28064" t="str">
        <f t="shared" si="438"/>
        <v/>
      </c>
    </row>
    <row r="28065" spans="26:26" x14ac:dyDescent="0.2">
      <c r="Z28065" t="str">
        <f t="shared" si="438"/>
        <v/>
      </c>
    </row>
    <row r="28066" spans="26:26" x14ac:dyDescent="0.2">
      <c r="Z28066" t="str">
        <f t="shared" si="438"/>
        <v/>
      </c>
    </row>
    <row r="28067" spans="26:26" x14ac:dyDescent="0.2">
      <c r="Z28067" t="str">
        <f t="shared" si="438"/>
        <v/>
      </c>
    </row>
    <row r="28068" spans="26:26" x14ac:dyDescent="0.2">
      <c r="Z28068" t="str">
        <f t="shared" si="438"/>
        <v/>
      </c>
    </row>
    <row r="28069" spans="26:26" x14ac:dyDescent="0.2">
      <c r="Z28069" t="str">
        <f t="shared" si="438"/>
        <v/>
      </c>
    </row>
    <row r="28070" spans="26:26" x14ac:dyDescent="0.2">
      <c r="Z28070" t="str">
        <f t="shared" si="438"/>
        <v/>
      </c>
    </row>
    <row r="28071" spans="26:26" x14ac:dyDescent="0.2">
      <c r="Z28071" t="str">
        <f t="shared" si="438"/>
        <v/>
      </c>
    </row>
    <row r="28072" spans="26:26" x14ac:dyDescent="0.2">
      <c r="Z28072" t="str">
        <f t="shared" si="438"/>
        <v/>
      </c>
    </row>
    <row r="28073" spans="26:26" x14ac:dyDescent="0.2">
      <c r="Z28073" t="str">
        <f t="shared" si="438"/>
        <v/>
      </c>
    </row>
    <row r="28074" spans="26:26" x14ac:dyDescent="0.2">
      <c r="Z28074" t="str">
        <f t="shared" si="438"/>
        <v/>
      </c>
    </row>
    <row r="28075" spans="26:26" x14ac:dyDescent="0.2">
      <c r="Z28075" t="str">
        <f t="shared" si="438"/>
        <v/>
      </c>
    </row>
    <row r="28076" spans="26:26" x14ac:dyDescent="0.2">
      <c r="Z28076" t="str">
        <f t="shared" si="438"/>
        <v/>
      </c>
    </row>
    <row r="28077" spans="26:26" x14ac:dyDescent="0.2">
      <c r="Z28077" t="str">
        <f t="shared" si="438"/>
        <v/>
      </c>
    </row>
    <row r="28078" spans="26:26" x14ac:dyDescent="0.2">
      <c r="Z28078" t="str">
        <f t="shared" si="438"/>
        <v/>
      </c>
    </row>
    <row r="28079" spans="26:26" x14ac:dyDescent="0.2">
      <c r="Z28079" t="str">
        <f t="shared" si="438"/>
        <v/>
      </c>
    </row>
    <row r="28080" spans="26:26" x14ac:dyDescent="0.2">
      <c r="Z28080" t="str">
        <f t="shared" si="438"/>
        <v/>
      </c>
    </row>
    <row r="28081" spans="26:26" x14ac:dyDescent="0.2">
      <c r="Z28081" t="str">
        <f t="shared" si="438"/>
        <v/>
      </c>
    </row>
    <row r="28082" spans="26:26" x14ac:dyDescent="0.2">
      <c r="Z28082" t="str">
        <f t="shared" si="438"/>
        <v/>
      </c>
    </row>
    <row r="28083" spans="26:26" x14ac:dyDescent="0.2">
      <c r="Z28083" t="str">
        <f t="shared" si="438"/>
        <v/>
      </c>
    </row>
    <row r="28084" spans="26:26" x14ac:dyDescent="0.2">
      <c r="Z28084" t="str">
        <f t="shared" si="438"/>
        <v/>
      </c>
    </row>
    <row r="28085" spans="26:26" x14ac:dyDescent="0.2">
      <c r="Z28085" t="str">
        <f t="shared" si="438"/>
        <v/>
      </c>
    </row>
    <row r="28086" spans="26:26" x14ac:dyDescent="0.2">
      <c r="Z28086" t="str">
        <f t="shared" si="438"/>
        <v/>
      </c>
    </row>
    <row r="28087" spans="26:26" x14ac:dyDescent="0.2">
      <c r="Z28087" t="str">
        <f t="shared" si="438"/>
        <v/>
      </c>
    </row>
    <row r="28088" spans="26:26" x14ac:dyDescent="0.2">
      <c r="Z28088" t="str">
        <f t="shared" si="438"/>
        <v/>
      </c>
    </row>
    <row r="28089" spans="26:26" x14ac:dyDescent="0.2">
      <c r="Z28089" t="str">
        <f t="shared" si="438"/>
        <v/>
      </c>
    </row>
    <row r="28090" spans="26:26" x14ac:dyDescent="0.2">
      <c r="Z28090" t="str">
        <f t="shared" si="438"/>
        <v/>
      </c>
    </row>
    <row r="28091" spans="26:26" x14ac:dyDescent="0.2">
      <c r="Z28091" t="str">
        <f t="shared" si="438"/>
        <v/>
      </c>
    </row>
    <row r="28092" spans="26:26" x14ac:dyDescent="0.2">
      <c r="Z28092" t="str">
        <f t="shared" si="438"/>
        <v/>
      </c>
    </row>
    <row r="28093" spans="26:26" x14ac:dyDescent="0.2">
      <c r="Z28093" t="str">
        <f t="shared" si="438"/>
        <v/>
      </c>
    </row>
    <row r="28094" spans="26:26" x14ac:dyDescent="0.2">
      <c r="Z28094" t="str">
        <f t="shared" si="438"/>
        <v/>
      </c>
    </row>
    <row r="28095" spans="26:26" x14ac:dyDescent="0.2">
      <c r="Z28095" t="str">
        <f t="shared" si="438"/>
        <v/>
      </c>
    </row>
    <row r="28096" spans="26:26" x14ac:dyDescent="0.2">
      <c r="Z28096" t="str">
        <f t="shared" si="438"/>
        <v/>
      </c>
    </row>
    <row r="28097" spans="26:26" x14ac:dyDescent="0.2">
      <c r="Z28097" t="str">
        <f t="shared" si="438"/>
        <v/>
      </c>
    </row>
    <row r="28098" spans="26:26" x14ac:dyDescent="0.2">
      <c r="Z28098" t="str">
        <f t="shared" si="438"/>
        <v/>
      </c>
    </row>
    <row r="28099" spans="26:26" x14ac:dyDescent="0.2">
      <c r="Z28099" t="str">
        <f t="shared" ref="Z28099:Z28162" si="439">IF(K28099="","",IFERROR(VALUE(TRIM(MID(K28099,FIND(CHAR(167),SUBSTITUTE(K28099,"-",CHAR(167),LEN(K28099)-LEN(SUBSTITUTE(K28099,"-",""))))+1,100))),K28099))</f>
        <v/>
      </c>
    </row>
    <row r="28100" spans="26:26" x14ac:dyDescent="0.2">
      <c r="Z28100" t="str">
        <f t="shared" si="439"/>
        <v/>
      </c>
    </row>
    <row r="28101" spans="26:26" x14ac:dyDescent="0.2">
      <c r="Z28101" t="str">
        <f t="shared" si="439"/>
        <v/>
      </c>
    </row>
    <row r="28102" spans="26:26" x14ac:dyDescent="0.2">
      <c r="Z28102" t="str">
        <f t="shared" si="439"/>
        <v/>
      </c>
    </row>
    <row r="28103" spans="26:26" x14ac:dyDescent="0.2">
      <c r="Z28103" t="str">
        <f t="shared" si="439"/>
        <v/>
      </c>
    </row>
    <row r="28104" spans="26:26" x14ac:dyDescent="0.2">
      <c r="Z28104" t="str">
        <f t="shared" si="439"/>
        <v/>
      </c>
    </row>
    <row r="28105" spans="26:26" x14ac:dyDescent="0.2">
      <c r="Z28105" t="str">
        <f t="shared" si="439"/>
        <v/>
      </c>
    </row>
    <row r="28106" spans="26:26" x14ac:dyDescent="0.2">
      <c r="Z28106" t="str">
        <f t="shared" si="439"/>
        <v/>
      </c>
    </row>
    <row r="28107" spans="26:26" x14ac:dyDescent="0.2">
      <c r="Z28107" t="str">
        <f t="shared" si="439"/>
        <v/>
      </c>
    </row>
    <row r="28108" spans="26:26" x14ac:dyDescent="0.2">
      <c r="Z28108" t="str">
        <f t="shared" si="439"/>
        <v/>
      </c>
    </row>
    <row r="28109" spans="26:26" x14ac:dyDescent="0.2">
      <c r="Z28109" t="str">
        <f t="shared" si="439"/>
        <v/>
      </c>
    </row>
    <row r="28110" spans="26:26" x14ac:dyDescent="0.2">
      <c r="Z28110" t="str">
        <f t="shared" si="439"/>
        <v/>
      </c>
    </row>
    <row r="28111" spans="26:26" x14ac:dyDescent="0.2">
      <c r="Z28111" t="str">
        <f t="shared" si="439"/>
        <v/>
      </c>
    </row>
    <row r="28112" spans="26:26" x14ac:dyDescent="0.2">
      <c r="Z28112" t="str">
        <f t="shared" si="439"/>
        <v/>
      </c>
    </row>
    <row r="28113" spans="26:26" x14ac:dyDescent="0.2">
      <c r="Z28113" t="str">
        <f t="shared" si="439"/>
        <v/>
      </c>
    </row>
    <row r="28114" spans="26:26" x14ac:dyDescent="0.2">
      <c r="Z28114" t="str">
        <f t="shared" si="439"/>
        <v/>
      </c>
    </row>
    <row r="28115" spans="26:26" x14ac:dyDescent="0.2">
      <c r="Z28115" t="str">
        <f t="shared" si="439"/>
        <v/>
      </c>
    </row>
    <row r="28116" spans="26:26" x14ac:dyDescent="0.2">
      <c r="Z28116" t="str">
        <f t="shared" si="439"/>
        <v/>
      </c>
    </row>
    <row r="28117" spans="26:26" x14ac:dyDescent="0.2">
      <c r="Z28117" t="str">
        <f t="shared" si="439"/>
        <v/>
      </c>
    </row>
    <row r="28118" spans="26:26" x14ac:dyDescent="0.2">
      <c r="Z28118" t="str">
        <f t="shared" si="439"/>
        <v/>
      </c>
    </row>
    <row r="28119" spans="26:26" x14ac:dyDescent="0.2">
      <c r="Z28119" t="str">
        <f t="shared" si="439"/>
        <v/>
      </c>
    </row>
    <row r="28120" spans="26:26" x14ac:dyDescent="0.2">
      <c r="Z28120" t="str">
        <f t="shared" si="439"/>
        <v/>
      </c>
    </row>
    <row r="28121" spans="26:26" x14ac:dyDescent="0.2">
      <c r="Z28121" t="str">
        <f t="shared" si="439"/>
        <v/>
      </c>
    </row>
    <row r="28122" spans="26:26" x14ac:dyDescent="0.2">
      <c r="Z28122" t="str">
        <f t="shared" si="439"/>
        <v/>
      </c>
    </row>
    <row r="28123" spans="26:26" x14ac:dyDescent="0.2">
      <c r="Z28123" t="str">
        <f t="shared" si="439"/>
        <v/>
      </c>
    </row>
    <row r="28124" spans="26:26" x14ac:dyDescent="0.2">
      <c r="Z28124" t="str">
        <f t="shared" si="439"/>
        <v/>
      </c>
    </row>
    <row r="28125" spans="26:26" x14ac:dyDescent="0.2">
      <c r="Z28125" t="str">
        <f t="shared" si="439"/>
        <v/>
      </c>
    </row>
    <row r="28126" spans="26:26" x14ac:dyDescent="0.2">
      <c r="Z28126" t="str">
        <f t="shared" si="439"/>
        <v/>
      </c>
    </row>
    <row r="28127" spans="26:26" x14ac:dyDescent="0.2">
      <c r="Z28127" t="str">
        <f t="shared" si="439"/>
        <v/>
      </c>
    </row>
    <row r="28128" spans="26:26" x14ac:dyDescent="0.2">
      <c r="Z28128" t="str">
        <f t="shared" si="439"/>
        <v/>
      </c>
    </row>
    <row r="28129" spans="26:26" x14ac:dyDescent="0.2">
      <c r="Z28129" t="str">
        <f t="shared" si="439"/>
        <v/>
      </c>
    </row>
    <row r="28130" spans="26:26" x14ac:dyDescent="0.2">
      <c r="Z28130" t="str">
        <f t="shared" si="439"/>
        <v/>
      </c>
    </row>
    <row r="28131" spans="26:26" x14ac:dyDescent="0.2">
      <c r="Z28131" t="str">
        <f t="shared" si="439"/>
        <v/>
      </c>
    </row>
    <row r="28132" spans="26:26" x14ac:dyDescent="0.2">
      <c r="Z28132" t="str">
        <f t="shared" si="439"/>
        <v/>
      </c>
    </row>
    <row r="28133" spans="26:26" x14ac:dyDescent="0.2">
      <c r="Z28133" t="str">
        <f t="shared" si="439"/>
        <v/>
      </c>
    </row>
    <row r="28134" spans="26:26" x14ac:dyDescent="0.2">
      <c r="Z28134" t="str">
        <f t="shared" si="439"/>
        <v/>
      </c>
    </row>
    <row r="28135" spans="26:26" x14ac:dyDescent="0.2">
      <c r="Z28135" t="str">
        <f t="shared" si="439"/>
        <v/>
      </c>
    </row>
    <row r="28136" spans="26:26" x14ac:dyDescent="0.2">
      <c r="Z28136" t="str">
        <f t="shared" si="439"/>
        <v/>
      </c>
    </row>
    <row r="28137" spans="26:26" x14ac:dyDescent="0.2">
      <c r="Z28137" t="str">
        <f t="shared" si="439"/>
        <v/>
      </c>
    </row>
    <row r="28138" spans="26:26" x14ac:dyDescent="0.2">
      <c r="Z28138" t="str">
        <f t="shared" si="439"/>
        <v/>
      </c>
    </row>
    <row r="28139" spans="26:26" x14ac:dyDescent="0.2">
      <c r="Z28139" t="str">
        <f t="shared" si="439"/>
        <v/>
      </c>
    </row>
    <row r="28140" spans="26:26" x14ac:dyDescent="0.2">
      <c r="Z28140" t="str">
        <f t="shared" si="439"/>
        <v/>
      </c>
    </row>
    <row r="28141" spans="26:26" x14ac:dyDescent="0.2">
      <c r="Z28141" t="str">
        <f t="shared" si="439"/>
        <v/>
      </c>
    </row>
    <row r="28142" spans="26:26" x14ac:dyDescent="0.2">
      <c r="Z28142" t="str">
        <f t="shared" si="439"/>
        <v/>
      </c>
    </row>
    <row r="28143" spans="26:26" x14ac:dyDescent="0.2">
      <c r="Z28143" t="str">
        <f t="shared" si="439"/>
        <v/>
      </c>
    </row>
    <row r="28144" spans="26:26" x14ac:dyDescent="0.2">
      <c r="Z28144" t="str">
        <f t="shared" si="439"/>
        <v/>
      </c>
    </row>
    <row r="28145" spans="26:26" x14ac:dyDescent="0.2">
      <c r="Z28145" t="str">
        <f t="shared" si="439"/>
        <v/>
      </c>
    </row>
    <row r="28146" spans="26:26" x14ac:dyDescent="0.2">
      <c r="Z28146" t="str">
        <f t="shared" si="439"/>
        <v/>
      </c>
    </row>
    <row r="28147" spans="26:26" x14ac:dyDescent="0.2">
      <c r="Z28147" t="str">
        <f t="shared" si="439"/>
        <v/>
      </c>
    </row>
    <row r="28148" spans="26:26" x14ac:dyDescent="0.2">
      <c r="Z28148" t="str">
        <f t="shared" si="439"/>
        <v/>
      </c>
    </row>
    <row r="28149" spans="26:26" x14ac:dyDescent="0.2">
      <c r="Z28149" t="str">
        <f t="shared" si="439"/>
        <v/>
      </c>
    </row>
    <row r="28150" spans="26:26" x14ac:dyDescent="0.2">
      <c r="Z28150" t="str">
        <f t="shared" si="439"/>
        <v/>
      </c>
    </row>
    <row r="28151" spans="26:26" x14ac:dyDescent="0.2">
      <c r="Z28151" t="str">
        <f t="shared" si="439"/>
        <v/>
      </c>
    </row>
    <row r="28152" spans="26:26" x14ac:dyDescent="0.2">
      <c r="Z28152" t="str">
        <f t="shared" si="439"/>
        <v/>
      </c>
    </row>
    <row r="28153" spans="26:26" x14ac:dyDescent="0.2">
      <c r="Z28153" t="str">
        <f t="shared" si="439"/>
        <v/>
      </c>
    </row>
    <row r="28154" spans="26:26" x14ac:dyDescent="0.2">
      <c r="Z28154" t="str">
        <f t="shared" si="439"/>
        <v/>
      </c>
    </row>
    <row r="28155" spans="26:26" x14ac:dyDescent="0.2">
      <c r="Z28155" t="str">
        <f t="shared" si="439"/>
        <v/>
      </c>
    </row>
    <row r="28156" spans="26:26" x14ac:dyDescent="0.2">
      <c r="Z28156" t="str">
        <f t="shared" si="439"/>
        <v/>
      </c>
    </row>
    <row r="28157" spans="26:26" x14ac:dyDescent="0.2">
      <c r="Z28157" t="str">
        <f t="shared" si="439"/>
        <v/>
      </c>
    </row>
    <row r="28158" spans="26:26" x14ac:dyDescent="0.2">
      <c r="Z28158" t="str">
        <f t="shared" si="439"/>
        <v/>
      </c>
    </row>
    <row r="28159" spans="26:26" x14ac:dyDescent="0.2">
      <c r="Z28159" t="str">
        <f t="shared" si="439"/>
        <v/>
      </c>
    </row>
    <row r="28160" spans="26:26" x14ac:dyDescent="0.2">
      <c r="Z28160" t="str">
        <f t="shared" si="439"/>
        <v/>
      </c>
    </row>
    <row r="28161" spans="26:26" x14ac:dyDescent="0.2">
      <c r="Z28161" t="str">
        <f t="shared" si="439"/>
        <v/>
      </c>
    </row>
    <row r="28162" spans="26:26" x14ac:dyDescent="0.2">
      <c r="Z28162" t="str">
        <f t="shared" si="439"/>
        <v/>
      </c>
    </row>
    <row r="28163" spans="26:26" x14ac:dyDescent="0.2">
      <c r="Z28163" t="str">
        <f t="shared" ref="Z28163:Z28226" si="440">IF(K28163="","",IFERROR(VALUE(TRIM(MID(K28163,FIND(CHAR(167),SUBSTITUTE(K28163,"-",CHAR(167),LEN(K28163)-LEN(SUBSTITUTE(K28163,"-",""))))+1,100))),K28163))</f>
        <v/>
      </c>
    </row>
    <row r="28164" spans="26:26" x14ac:dyDescent="0.2">
      <c r="Z28164" t="str">
        <f t="shared" si="440"/>
        <v/>
      </c>
    </row>
    <row r="28165" spans="26:26" x14ac:dyDescent="0.2">
      <c r="Z28165" t="str">
        <f t="shared" si="440"/>
        <v/>
      </c>
    </row>
    <row r="28166" spans="26:26" x14ac:dyDescent="0.2">
      <c r="Z28166" t="str">
        <f t="shared" si="440"/>
        <v/>
      </c>
    </row>
    <row r="28167" spans="26:26" x14ac:dyDescent="0.2">
      <c r="Z28167" t="str">
        <f t="shared" si="440"/>
        <v/>
      </c>
    </row>
    <row r="28168" spans="26:26" x14ac:dyDescent="0.2">
      <c r="Z28168" t="str">
        <f t="shared" si="440"/>
        <v/>
      </c>
    </row>
    <row r="28169" spans="26:26" x14ac:dyDescent="0.2">
      <c r="Z28169" t="str">
        <f t="shared" si="440"/>
        <v/>
      </c>
    </row>
    <row r="28170" spans="26:26" x14ac:dyDescent="0.2">
      <c r="Z28170" t="str">
        <f t="shared" si="440"/>
        <v/>
      </c>
    </row>
    <row r="28171" spans="26:26" x14ac:dyDescent="0.2">
      <c r="Z28171" t="str">
        <f t="shared" si="440"/>
        <v/>
      </c>
    </row>
    <row r="28172" spans="26:26" x14ac:dyDescent="0.2">
      <c r="Z28172" t="str">
        <f t="shared" si="440"/>
        <v/>
      </c>
    </row>
    <row r="28173" spans="26:26" x14ac:dyDescent="0.2">
      <c r="Z28173" t="str">
        <f t="shared" si="440"/>
        <v/>
      </c>
    </row>
    <row r="28174" spans="26:26" x14ac:dyDescent="0.2">
      <c r="Z28174" t="str">
        <f t="shared" si="440"/>
        <v/>
      </c>
    </row>
    <row r="28175" spans="26:26" x14ac:dyDescent="0.2">
      <c r="Z28175" t="str">
        <f t="shared" si="440"/>
        <v/>
      </c>
    </row>
    <row r="28176" spans="26:26" x14ac:dyDescent="0.2">
      <c r="Z28176" t="str">
        <f t="shared" si="440"/>
        <v/>
      </c>
    </row>
    <row r="28177" spans="26:26" x14ac:dyDescent="0.2">
      <c r="Z28177" t="str">
        <f t="shared" si="440"/>
        <v/>
      </c>
    </row>
    <row r="28178" spans="26:26" x14ac:dyDescent="0.2">
      <c r="Z28178" t="str">
        <f t="shared" si="440"/>
        <v/>
      </c>
    </row>
    <row r="28179" spans="26:26" x14ac:dyDescent="0.2">
      <c r="Z28179" t="str">
        <f t="shared" si="440"/>
        <v/>
      </c>
    </row>
    <row r="28180" spans="26:26" x14ac:dyDescent="0.2">
      <c r="Z28180" t="str">
        <f t="shared" si="440"/>
        <v/>
      </c>
    </row>
    <row r="28181" spans="26:26" x14ac:dyDescent="0.2">
      <c r="Z28181" t="str">
        <f t="shared" si="440"/>
        <v/>
      </c>
    </row>
    <row r="28182" spans="26:26" x14ac:dyDescent="0.2">
      <c r="Z28182" t="str">
        <f t="shared" si="440"/>
        <v/>
      </c>
    </row>
    <row r="28183" spans="26:26" x14ac:dyDescent="0.2">
      <c r="Z28183" t="str">
        <f t="shared" si="440"/>
        <v/>
      </c>
    </row>
    <row r="28184" spans="26:26" x14ac:dyDescent="0.2">
      <c r="Z28184" t="str">
        <f t="shared" si="440"/>
        <v/>
      </c>
    </row>
    <row r="28185" spans="26:26" x14ac:dyDescent="0.2">
      <c r="Z28185" t="str">
        <f t="shared" si="440"/>
        <v/>
      </c>
    </row>
    <row r="28186" spans="26:26" x14ac:dyDescent="0.2">
      <c r="Z28186" t="str">
        <f t="shared" si="440"/>
        <v/>
      </c>
    </row>
    <row r="28187" spans="26:26" x14ac:dyDescent="0.2">
      <c r="Z28187" t="str">
        <f t="shared" si="440"/>
        <v/>
      </c>
    </row>
    <row r="28188" spans="26:26" x14ac:dyDescent="0.2">
      <c r="Z28188" t="str">
        <f t="shared" si="440"/>
        <v/>
      </c>
    </row>
    <row r="28189" spans="26:26" x14ac:dyDescent="0.2">
      <c r="Z28189" t="str">
        <f t="shared" si="440"/>
        <v/>
      </c>
    </row>
    <row r="28190" spans="26:26" x14ac:dyDescent="0.2">
      <c r="Z28190" t="str">
        <f t="shared" si="440"/>
        <v/>
      </c>
    </row>
    <row r="28191" spans="26:26" x14ac:dyDescent="0.2">
      <c r="Z28191" t="str">
        <f t="shared" si="440"/>
        <v/>
      </c>
    </row>
    <row r="28192" spans="26:26" x14ac:dyDescent="0.2">
      <c r="Z28192" t="str">
        <f t="shared" si="440"/>
        <v/>
      </c>
    </row>
    <row r="28193" spans="26:26" x14ac:dyDescent="0.2">
      <c r="Z28193" t="str">
        <f t="shared" si="440"/>
        <v/>
      </c>
    </row>
    <row r="28194" spans="26:26" x14ac:dyDescent="0.2">
      <c r="Z28194" t="str">
        <f t="shared" si="440"/>
        <v/>
      </c>
    </row>
    <row r="28195" spans="26:26" x14ac:dyDescent="0.2">
      <c r="Z28195" t="str">
        <f t="shared" si="440"/>
        <v/>
      </c>
    </row>
    <row r="28196" spans="26:26" x14ac:dyDescent="0.2">
      <c r="Z28196" t="str">
        <f t="shared" si="440"/>
        <v/>
      </c>
    </row>
    <row r="28197" spans="26:26" x14ac:dyDescent="0.2">
      <c r="Z28197" t="str">
        <f t="shared" si="440"/>
        <v/>
      </c>
    </row>
    <row r="28198" spans="26:26" x14ac:dyDescent="0.2">
      <c r="Z28198" t="str">
        <f t="shared" si="440"/>
        <v/>
      </c>
    </row>
    <row r="28199" spans="26:26" x14ac:dyDescent="0.2">
      <c r="Z28199" t="str">
        <f t="shared" si="440"/>
        <v/>
      </c>
    </row>
    <row r="28200" spans="26:26" x14ac:dyDescent="0.2">
      <c r="Z28200" t="str">
        <f t="shared" si="440"/>
        <v/>
      </c>
    </row>
    <row r="28201" spans="26:26" x14ac:dyDescent="0.2">
      <c r="Z28201" t="str">
        <f t="shared" si="440"/>
        <v/>
      </c>
    </row>
    <row r="28202" spans="26:26" x14ac:dyDescent="0.2">
      <c r="Z28202" t="str">
        <f t="shared" si="440"/>
        <v/>
      </c>
    </row>
    <row r="28203" spans="26:26" x14ac:dyDescent="0.2">
      <c r="Z28203" t="str">
        <f t="shared" si="440"/>
        <v/>
      </c>
    </row>
    <row r="28204" spans="26:26" x14ac:dyDescent="0.2">
      <c r="Z28204" t="str">
        <f t="shared" si="440"/>
        <v/>
      </c>
    </row>
    <row r="28205" spans="26:26" x14ac:dyDescent="0.2">
      <c r="Z28205" t="str">
        <f t="shared" si="440"/>
        <v/>
      </c>
    </row>
    <row r="28206" spans="26:26" x14ac:dyDescent="0.2">
      <c r="Z28206" t="str">
        <f t="shared" si="440"/>
        <v/>
      </c>
    </row>
    <row r="28207" spans="26:26" x14ac:dyDescent="0.2">
      <c r="Z28207" t="str">
        <f t="shared" si="440"/>
        <v/>
      </c>
    </row>
    <row r="28208" spans="26:26" x14ac:dyDescent="0.2">
      <c r="Z28208" t="str">
        <f t="shared" si="440"/>
        <v/>
      </c>
    </row>
    <row r="28209" spans="26:26" x14ac:dyDescent="0.2">
      <c r="Z28209" t="str">
        <f t="shared" si="440"/>
        <v/>
      </c>
    </row>
    <row r="28210" spans="26:26" x14ac:dyDescent="0.2">
      <c r="Z28210" t="str">
        <f t="shared" si="440"/>
        <v/>
      </c>
    </row>
    <row r="28211" spans="26:26" x14ac:dyDescent="0.2">
      <c r="Z28211" t="str">
        <f t="shared" si="440"/>
        <v/>
      </c>
    </row>
    <row r="28212" spans="26:26" x14ac:dyDescent="0.2">
      <c r="Z28212" t="str">
        <f t="shared" si="440"/>
        <v/>
      </c>
    </row>
    <row r="28213" spans="26:26" x14ac:dyDescent="0.2">
      <c r="Z28213" t="str">
        <f t="shared" si="440"/>
        <v/>
      </c>
    </row>
    <row r="28214" spans="26:26" x14ac:dyDescent="0.2">
      <c r="Z28214" t="str">
        <f t="shared" si="440"/>
        <v/>
      </c>
    </row>
    <row r="28215" spans="26:26" x14ac:dyDescent="0.2">
      <c r="Z28215" t="str">
        <f t="shared" si="440"/>
        <v/>
      </c>
    </row>
    <row r="28216" spans="26:26" x14ac:dyDescent="0.2">
      <c r="Z28216" t="str">
        <f t="shared" si="440"/>
        <v/>
      </c>
    </row>
    <row r="28217" spans="26:26" x14ac:dyDescent="0.2">
      <c r="Z28217" t="str">
        <f t="shared" si="440"/>
        <v/>
      </c>
    </row>
    <row r="28218" spans="26:26" x14ac:dyDescent="0.2">
      <c r="Z28218" t="str">
        <f t="shared" si="440"/>
        <v/>
      </c>
    </row>
    <row r="28219" spans="26:26" x14ac:dyDescent="0.2">
      <c r="Z28219" t="str">
        <f t="shared" si="440"/>
        <v/>
      </c>
    </row>
    <row r="28220" spans="26:26" x14ac:dyDescent="0.2">
      <c r="Z28220" t="str">
        <f t="shared" si="440"/>
        <v/>
      </c>
    </row>
    <row r="28221" spans="26:26" x14ac:dyDescent="0.2">
      <c r="Z28221" t="str">
        <f t="shared" si="440"/>
        <v/>
      </c>
    </row>
    <row r="28222" spans="26:26" x14ac:dyDescent="0.2">
      <c r="Z28222" t="str">
        <f t="shared" si="440"/>
        <v/>
      </c>
    </row>
    <row r="28223" spans="26:26" x14ac:dyDescent="0.2">
      <c r="Z28223" t="str">
        <f t="shared" si="440"/>
        <v/>
      </c>
    </row>
    <row r="28224" spans="26:26" x14ac:dyDescent="0.2">
      <c r="Z28224" t="str">
        <f t="shared" si="440"/>
        <v/>
      </c>
    </row>
    <row r="28225" spans="26:26" x14ac:dyDescent="0.2">
      <c r="Z28225" t="str">
        <f t="shared" si="440"/>
        <v/>
      </c>
    </row>
    <row r="28226" spans="26:26" x14ac:dyDescent="0.2">
      <c r="Z28226" t="str">
        <f t="shared" si="440"/>
        <v/>
      </c>
    </row>
    <row r="28227" spans="26:26" x14ac:dyDescent="0.2">
      <c r="Z28227" t="str">
        <f t="shared" ref="Z28227:Z28290" si="441">IF(K28227="","",IFERROR(VALUE(TRIM(MID(K28227,FIND(CHAR(167),SUBSTITUTE(K28227,"-",CHAR(167),LEN(K28227)-LEN(SUBSTITUTE(K28227,"-",""))))+1,100))),K28227))</f>
        <v/>
      </c>
    </row>
    <row r="28228" spans="26:26" x14ac:dyDescent="0.2">
      <c r="Z28228" t="str">
        <f t="shared" si="441"/>
        <v/>
      </c>
    </row>
    <row r="28229" spans="26:26" x14ac:dyDescent="0.2">
      <c r="Z28229" t="str">
        <f t="shared" si="441"/>
        <v/>
      </c>
    </row>
    <row r="28230" spans="26:26" x14ac:dyDescent="0.2">
      <c r="Z28230" t="str">
        <f t="shared" si="441"/>
        <v/>
      </c>
    </row>
    <row r="28231" spans="26:26" x14ac:dyDescent="0.2">
      <c r="Z28231" t="str">
        <f t="shared" si="441"/>
        <v/>
      </c>
    </row>
    <row r="28232" spans="26:26" x14ac:dyDescent="0.2">
      <c r="Z28232" t="str">
        <f t="shared" si="441"/>
        <v/>
      </c>
    </row>
    <row r="28233" spans="26:26" x14ac:dyDescent="0.2">
      <c r="Z28233" t="str">
        <f t="shared" si="441"/>
        <v/>
      </c>
    </row>
    <row r="28234" spans="26:26" x14ac:dyDescent="0.2">
      <c r="Z28234" t="str">
        <f t="shared" si="441"/>
        <v/>
      </c>
    </row>
    <row r="28235" spans="26:26" x14ac:dyDescent="0.2">
      <c r="Z28235" t="str">
        <f t="shared" si="441"/>
        <v/>
      </c>
    </row>
    <row r="28236" spans="26:26" x14ac:dyDescent="0.2">
      <c r="Z28236" t="str">
        <f t="shared" si="441"/>
        <v/>
      </c>
    </row>
    <row r="28237" spans="26:26" x14ac:dyDescent="0.2">
      <c r="Z28237" t="str">
        <f t="shared" si="441"/>
        <v/>
      </c>
    </row>
    <row r="28238" spans="26:26" x14ac:dyDescent="0.2">
      <c r="Z28238" t="str">
        <f t="shared" si="441"/>
        <v/>
      </c>
    </row>
    <row r="28239" spans="26:26" x14ac:dyDescent="0.2">
      <c r="Z28239" t="str">
        <f t="shared" si="441"/>
        <v/>
      </c>
    </row>
    <row r="28240" spans="26:26" x14ac:dyDescent="0.2">
      <c r="Z28240" t="str">
        <f t="shared" si="441"/>
        <v/>
      </c>
    </row>
    <row r="28241" spans="26:26" x14ac:dyDescent="0.2">
      <c r="Z28241" t="str">
        <f t="shared" si="441"/>
        <v/>
      </c>
    </row>
    <row r="28242" spans="26:26" x14ac:dyDescent="0.2">
      <c r="Z28242" t="str">
        <f t="shared" si="441"/>
        <v/>
      </c>
    </row>
    <row r="28243" spans="26:26" x14ac:dyDescent="0.2">
      <c r="Z28243" t="str">
        <f t="shared" si="441"/>
        <v/>
      </c>
    </row>
    <row r="28244" spans="26:26" x14ac:dyDescent="0.2">
      <c r="Z28244" t="str">
        <f t="shared" si="441"/>
        <v/>
      </c>
    </row>
    <row r="28245" spans="26:26" x14ac:dyDescent="0.2">
      <c r="Z28245" t="str">
        <f t="shared" si="441"/>
        <v/>
      </c>
    </row>
    <row r="28246" spans="26:26" x14ac:dyDescent="0.2">
      <c r="Z28246" t="str">
        <f t="shared" si="441"/>
        <v/>
      </c>
    </row>
    <row r="28247" spans="26:26" x14ac:dyDescent="0.2">
      <c r="Z28247" t="str">
        <f t="shared" si="441"/>
        <v/>
      </c>
    </row>
    <row r="28248" spans="26:26" x14ac:dyDescent="0.2">
      <c r="Z28248" t="str">
        <f t="shared" si="441"/>
        <v/>
      </c>
    </row>
    <row r="28249" spans="26:26" x14ac:dyDescent="0.2">
      <c r="Z28249" t="str">
        <f t="shared" si="441"/>
        <v/>
      </c>
    </row>
    <row r="28250" spans="26:26" x14ac:dyDescent="0.2">
      <c r="Z28250" t="str">
        <f t="shared" si="441"/>
        <v/>
      </c>
    </row>
    <row r="28251" spans="26:26" x14ac:dyDescent="0.2">
      <c r="Z28251" t="str">
        <f t="shared" si="441"/>
        <v/>
      </c>
    </row>
    <row r="28252" spans="26:26" x14ac:dyDescent="0.2">
      <c r="Z28252" t="str">
        <f t="shared" si="441"/>
        <v/>
      </c>
    </row>
    <row r="28253" spans="26:26" x14ac:dyDescent="0.2">
      <c r="Z28253" t="str">
        <f t="shared" si="441"/>
        <v/>
      </c>
    </row>
    <row r="28254" spans="26:26" x14ac:dyDescent="0.2">
      <c r="Z28254" t="str">
        <f t="shared" si="441"/>
        <v/>
      </c>
    </row>
    <row r="28255" spans="26:26" x14ac:dyDescent="0.2">
      <c r="Z28255" t="str">
        <f t="shared" si="441"/>
        <v/>
      </c>
    </row>
    <row r="28256" spans="26:26" x14ac:dyDescent="0.2">
      <c r="Z28256" t="str">
        <f t="shared" si="441"/>
        <v/>
      </c>
    </row>
    <row r="28257" spans="26:26" x14ac:dyDescent="0.2">
      <c r="Z28257" t="str">
        <f t="shared" si="441"/>
        <v/>
      </c>
    </row>
    <row r="28258" spans="26:26" x14ac:dyDescent="0.2">
      <c r="Z28258" t="str">
        <f t="shared" si="441"/>
        <v/>
      </c>
    </row>
    <row r="28259" spans="26:26" x14ac:dyDescent="0.2">
      <c r="Z28259" t="str">
        <f t="shared" si="441"/>
        <v/>
      </c>
    </row>
    <row r="28260" spans="26:26" x14ac:dyDescent="0.2">
      <c r="Z28260" t="str">
        <f t="shared" si="441"/>
        <v/>
      </c>
    </row>
    <row r="28261" spans="26:26" x14ac:dyDescent="0.2">
      <c r="Z28261" t="str">
        <f t="shared" si="441"/>
        <v/>
      </c>
    </row>
    <row r="28262" spans="26:26" x14ac:dyDescent="0.2">
      <c r="Z28262" t="str">
        <f t="shared" si="441"/>
        <v/>
      </c>
    </row>
    <row r="28263" spans="26:26" x14ac:dyDescent="0.2">
      <c r="Z28263" t="str">
        <f t="shared" si="441"/>
        <v/>
      </c>
    </row>
    <row r="28264" spans="26:26" x14ac:dyDescent="0.2">
      <c r="Z28264" t="str">
        <f t="shared" si="441"/>
        <v/>
      </c>
    </row>
    <row r="28265" spans="26:26" x14ac:dyDescent="0.2">
      <c r="Z28265" t="str">
        <f t="shared" si="441"/>
        <v/>
      </c>
    </row>
    <row r="28266" spans="26:26" x14ac:dyDescent="0.2">
      <c r="Z28266" t="str">
        <f t="shared" si="441"/>
        <v/>
      </c>
    </row>
    <row r="28267" spans="26:26" x14ac:dyDescent="0.2">
      <c r="Z28267" t="str">
        <f t="shared" si="441"/>
        <v/>
      </c>
    </row>
    <row r="28268" spans="26:26" x14ac:dyDescent="0.2">
      <c r="Z28268" t="str">
        <f t="shared" si="441"/>
        <v/>
      </c>
    </row>
    <row r="28269" spans="26:26" x14ac:dyDescent="0.2">
      <c r="Z28269" t="str">
        <f t="shared" si="441"/>
        <v/>
      </c>
    </row>
    <row r="28270" spans="26:26" x14ac:dyDescent="0.2">
      <c r="Z28270" t="str">
        <f t="shared" si="441"/>
        <v/>
      </c>
    </row>
    <row r="28271" spans="26:26" x14ac:dyDescent="0.2">
      <c r="Z28271" t="str">
        <f t="shared" si="441"/>
        <v/>
      </c>
    </row>
    <row r="28272" spans="26:26" x14ac:dyDescent="0.2">
      <c r="Z28272" t="str">
        <f t="shared" si="441"/>
        <v/>
      </c>
    </row>
    <row r="28273" spans="26:26" x14ac:dyDescent="0.2">
      <c r="Z28273" t="str">
        <f t="shared" si="441"/>
        <v/>
      </c>
    </row>
    <row r="28274" spans="26:26" x14ac:dyDescent="0.2">
      <c r="Z28274" t="str">
        <f t="shared" si="441"/>
        <v/>
      </c>
    </row>
    <row r="28275" spans="26:26" x14ac:dyDescent="0.2">
      <c r="Z28275" t="str">
        <f t="shared" si="441"/>
        <v/>
      </c>
    </row>
    <row r="28276" spans="26:26" x14ac:dyDescent="0.2">
      <c r="Z28276" t="str">
        <f t="shared" si="441"/>
        <v/>
      </c>
    </row>
    <row r="28277" spans="26:26" x14ac:dyDescent="0.2">
      <c r="Z28277" t="str">
        <f t="shared" si="441"/>
        <v/>
      </c>
    </row>
    <row r="28278" spans="26:26" x14ac:dyDescent="0.2">
      <c r="Z28278" t="str">
        <f t="shared" si="441"/>
        <v/>
      </c>
    </row>
    <row r="28279" spans="26:26" x14ac:dyDescent="0.2">
      <c r="Z28279" t="str">
        <f t="shared" si="441"/>
        <v/>
      </c>
    </row>
    <row r="28280" spans="26:26" x14ac:dyDescent="0.2">
      <c r="Z28280" t="str">
        <f t="shared" si="441"/>
        <v/>
      </c>
    </row>
    <row r="28281" spans="26:26" x14ac:dyDescent="0.2">
      <c r="Z28281" t="str">
        <f t="shared" si="441"/>
        <v/>
      </c>
    </row>
    <row r="28282" spans="26:26" x14ac:dyDescent="0.2">
      <c r="Z28282" t="str">
        <f t="shared" si="441"/>
        <v/>
      </c>
    </row>
    <row r="28283" spans="26:26" x14ac:dyDescent="0.2">
      <c r="Z28283" t="str">
        <f t="shared" si="441"/>
        <v/>
      </c>
    </row>
    <row r="28284" spans="26:26" x14ac:dyDescent="0.2">
      <c r="Z28284" t="str">
        <f t="shared" si="441"/>
        <v/>
      </c>
    </row>
    <row r="28285" spans="26:26" x14ac:dyDescent="0.2">
      <c r="Z28285" t="str">
        <f t="shared" si="441"/>
        <v/>
      </c>
    </row>
    <row r="28286" spans="26:26" x14ac:dyDescent="0.2">
      <c r="Z28286" t="str">
        <f t="shared" si="441"/>
        <v/>
      </c>
    </row>
    <row r="28287" spans="26:26" x14ac:dyDescent="0.2">
      <c r="Z28287" t="str">
        <f t="shared" si="441"/>
        <v/>
      </c>
    </row>
    <row r="28288" spans="26:26" x14ac:dyDescent="0.2">
      <c r="Z28288" t="str">
        <f t="shared" si="441"/>
        <v/>
      </c>
    </row>
    <row r="28289" spans="26:26" x14ac:dyDescent="0.2">
      <c r="Z28289" t="str">
        <f t="shared" si="441"/>
        <v/>
      </c>
    </row>
    <row r="28290" spans="26:26" x14ac:dyDescent="0.2">
      <c r="Z28290" t="str">
        <f t="shared" si="441"/>
        <v/>
      </c>
    </row>
    <row r="28291" spans="26:26" x14ac:dyDescent="0.2">
      <c r="Z28291" t="str">
        <f t="shared" ref="Z28291:Z28354" si="442">IF(K28291="","",IFERROR(VALUE(TRIM(MID(K28291,FIND(CHAR(167),SUBSTITUTE(K28291,"-",CHAR(167),LEN(K28291)-LEN(SUBSTITUTE(K28291,"-",""))))+1,100))),K28291))</f>
        <v/>
      </c>
    </row>
    <row r="28292" spans="26:26" x14ac:dyDescent="0.2">
      <c r="Z28292" t="str">
        <f t="shared" si="442"/>
        <v/>
      </c>
    </row>
    <row r="28293" spans="26:26" x14ac:dyDescent="0.2">
      <c r="Z28293" t="str">
        <f t="shared" si="442"/>
        <v/>
      </c>
    </row>
    <row r="28294" spans="26:26" x14ac:dyDescent="0.2">
      <c r="Z28294" t="str">
        <f t="shared" si="442"/>
        <v/>
      </c>
    </row>
    <row r="28295" spans="26:26" x14ac:dyDescent="0.2">
      <c r="Z28295" t="str">
        <f t="shared" si="442"/>
        <v/>
      </c>
    </row>
    <row r="28296" spans="26:26" x14ac:dyDescent="0.2">
      <c r="Z28296" t="str">
        <f t="shared" si="442"/>
        <v/>
      </c>
    </row>
    <row r="28297" spans="26:26" x14ac:dyDescent="0.2">
      <c r="Z28297" t="str">
        <f t="shared" si="442"/>
        <v/>
      </c>
    </row>
    <row r="28298" spans="26:26" x14ac:dyDescent="0.2">
      <c r="Z28298" t="str">
        <f t="shared" si="442"/>
        <v/>
      </c>
    </row>
    <row r="28299" spans="26:26" x14ac:dyDescent="0.2">
      <c r="Z28299" t="str">
        <f t="shared" si="442"/>
        <v/>
      </c>
    </row>
    <row r="28300" spans="26:26" x14ac:dyDescent="0.2">
      <c r="Z28300" t="str">
        <f t="shared" si="442"/>
        <v/>
      </c>
    </row>
    <row r="28301" spans="26:26" x14ac:dyDescent="0.2">
      <c r="Z28301" t="str">
        <f t="shared" si="442"/>
        <v/>
      </c>
    </row>
    <row r="28302" spans="26:26" x14ac:dyDescent="0.2">
      <c r="Z28302" t="str">
        <f t="shared" si="442"/>
        <v/>
      </c>
    </row>
    <row r="28303" spans="26:26" x14ac:dyDescent="0.2">
      <c r="Z28303" t="str">
        <f t="shared" si="442"/>
        <v/>
      </c>
    </row>
    <row r="28304" spans="26:26" x14ac:dyDescent="0.2">
      <c r="Z28304" t="str">
        <f t="shared" si="442"/>
        <v/>
      </c>
    </row>
    <row r="28305" spans="26:26" x14ac:dyDescent="0.2">
      <c r="Z28305" t="str">
        <f t="shared" si="442"/>
        <v/>
      </c>
    </row>
    <row r="28306" spans="26:26" x14ac:dyDescent="0.2">
      <c r="Z28306" t="str">
        <f t="shared" si="442"/>
        <v/>
      </c>
    </row>
    <row r="28307" spans="26:26" x14ac:dyDescent="0.2">
      <c r="Z28307" t="str">
        <f t="shared" si="442"/>
        <v/>
      </c>
    </row>
    <row r="28308" spans="26:26" x14ac:dyDescent="0.2">
      <c r="Z28308" t="str">
        <f t="shared" si="442"/>
        <v/>
      </c>
    </row>
    <row r="28309" spans="26:26" x14ac:dyDescent="0.2">
      <c r="Z28309" t="str">
        <f t="shared" si="442"/>
        <v/>
      </c>
    </row>
    <row r="28310" spans="26:26" x14ac:dyDescent="0.2">
      <c r="Z28310" t="str">
        <f t="shared" si="442"/>
        <v/>
      </c>
    </row>
    <row r="28311" spans="26:26" x14ac:dyDescent="0.2">
      <c r="Z28311" t="str">
        <f t="shared" si="442"/>
        <v/>
      </c>
    </row>
    <row r="28312" spans="26:26" x14ac:dyDescent="0.2">
      <c r="Z28312" t="str">
        <f t="shared" si="442"/>
        <v/>
      </c>
    </row>
    <row r="28313" spans="26:26" x14ac:dyDescent="0.2">
      <c r="Z28313" t="str">
        <f t="shared" si="442"/>
        <v/>
      </c>
    </row>
    <row r="28314" spans="26:26" x14ac:dyDescent="0.2">
      <c r="Z28314" t="str">
        <f t="shared" si="442"/>
        <v/>
      </c>
    </row>
    <row r="28315" spans="26:26" x14ac:dyDescent="0.2">
      <c r="Z28315" t="str">
        <f t="shared" si="442"/>
        <v/>
      </c>
    </row>
    <row r="28316" spans="26:26" x14ac:dyDescent="0.2">
      <c r="Z28316" t="str">
        <f t="shared" si="442"/>
        <v/>
      </c>
    </row>
    <row r="28317" spans="26:26" x14ac:dyDescent="0.2">
      <c r="Z28317" t="str">
        <f t="shared" si="442"/>
        <v/>
      </c>
    </row>
    <row r="28318" spans="26:26" x14ac:dyDescent="0.2">
      <c r="Z28318" t="str">
        <f t="shared" si="442"/>
        <v/>
      </c>
    </row>
    <row r="28319" spans="26:26" x14ac:dyDescent="0.2">
      <c r="Z28319" t="str">
        <f t="shared" si="442"/>
        <v/>
      </c>
    </row>
    <row r="28320" spans="26:26" x14ac:dyDescent="0.2">
      <c r="Z28320" t="str">
        <f t="shared" si="442"/>
        <v/>
      </c>
    </row>
    <row r="28321" spans="26:26" x14ac:dyDescent="0.2">
      <c r="Z28321" t="str">
        <f t="shared" si="442"/>
        <v/>
      </c>
    </row>
    <row r="28322" spans="26:26" x14ac:dyDescent="0.2">
      <c r="Z28322" t="str">
        <f t="shared" si="442"/>
        <v/>
      </c>
    </row>
    <row r="28323" spans="26:26" x14ac:dyDescent="0.2">
      <c r="Z28323" t="str">
        <f t="shared" si="442"/>
        <v/>
      </c>
    </row>
    <row r="28324" spans="26:26" x14ac:dyDescent="0.2">
      <c r="Z28324" t="str">
        <f t="shared" si="442"/>
        <v/>
      </c>
    </row>
    <row r="28325" spans="26:26" x14ac:dyDescent="0.2">
      <c r="Z28325" t="str">
        <f t="shared" si="442"/>
        <v/>
      </c>
    </row>
    <row r="28326" spans="26:26" x14ac:dyDescent="0.2">
      <c r="Z28326" t="str">
        <f t="shared" si="442"/>
        <v/>
      </c>
    </row>
    <row r="28327" spans="26:26" x14ac:dyDescent="0.2">
      <c r="Z28327" t="str">
        <f t="shared" si="442"/>
        <v/>
      </c>
    </row>
    <row r="28328" spans="26:26" x14ac:dyDescent="0.2">
      <c r="Z28328" t="str">
        <f t="shared" si="442"/>
        <v/>
      </c>
    </row>
    <row r="28329" spans="26:26" x14ac:dyDescent="0.2">
      <c r="Z28329" t="str">
        <f t="shared" si="442"/>
        <v/>
      </c>
    </row>
    <row r="28330" spans="26:26" x14ac:dyDescent="0.2">
      <c r="Z28330" t="str">
        <f t="shared" si="442"/>
        <v/>
      </c>
    </row>
    <row r="28331" spans="26:26" x14ac:dyDescent="0.2">
      <c r="Z28331" t="str">
        <f t="shared" si="442"/>
        <v/>
      </c>
    </row>
    <row r="28332" spans="26:26" x14ac:dyDescent="0.2">
      <c r="Z28332" t="str">
        <f t="shared" si="442"/>
        <v/>
      </c>
    </row>
    <row r="28333" spans="26:26" x14ac:dyDescent="0.2">
      <c r="Z28333" t="str">
        <f t="shared" si="442"/>
        <v/>
      </c>
    </row>
    <row r="28334" spans="26:26" x14ac:dyDescent="0.2">
      <c r="Z28334" t="str">
        <f t="shared" si="442"/>
        <v/>
      </c>
    </row>
    <row r="28335" spans="26:26" x14ac:dyDescent="0.2">
      <c r="Z28335" t="str">
        <f t="shared" si="442"/>
        <v/>
      </c>
    </row>
    <row r="28336" spans="26:26" x14ac:dyDescent="0.2">
      <c r="Z28336" t="str">
        <f t="shared" si="442"/>
        <v/>
      </c>
    </row>
    <row r="28337" spans="26:26" x14ac:dyDescent="0.2">
      <c r="Z28337" t="str">
        <f t="shared" si="442"/>
        <v/>
      </c>
    </row>
    <row r="28338" spans="26:26" x14ac:dyDescent="0.2">
      <c r="Z28338" t="str">
        <f t="shared" si="442"/>
        <v/>
      </c>
    </row>
    <row r="28339" spans="26:26" x14ac:dyDescent="0.2">
      <c r="Z28339" t="str">
        <f t="shared" si="442"/>
        <v/>
      </c>
    </row>
    <row r="28340" spans="26:26" x14ac:dyDescent="0.2">
      <c r="Z28340" t="str">
        <f t="shared" si="442"/>
        <v/>
      </c>
    </row>
    <row r="28341" spans="26:26" x14ac:dyDescent="0.2">
      <c r="Z28341" t="str">
        <f t="shared" si="442"/>
        <v/>
      </c>
    </row>
    <row r="28342" spans="26:26" x14ac:dyDescent="0.2">
      <c r="Z28342" t="str">
        <f t="shared" si="442"/>
        <v/>
      </c>
    </row>
    <row r="28343" spans="26:26" x14ac:dyDescent="0.2">
      <c r="Z28343" t="str">
        <f t="shared" si="442"/>
        <v/>
      </c>
    </row>
    <row r="28344" spans="26:26" x14ac:dyDescent="0.2">
      <c r="Z28344" t="str">
        <f t="shared" si="442"/>
        <v/>
      </c>
    </row>
    <row r="28345" spans="26:26" x14ac:dyDescent="0.2">
      <c r="Z28345" t="str">
        <f t="shared" si="442"/>
        <v/>
      </c>
    </row>
    <row r="28346" spans="26:26" x14ac:dyDescent="0.2">
      <c r="Z28346" t="str">
        <f t="shared" si="442"/>
        <v/>
      </c>
    </row>
    <row r="28347" spans="26:26" x14ac:dyDescent="0.2">
      <c r="Z28347" t="str">
        <f t="shared" si="442"/>
        <v/>
      </c>
    </row>
    <row r="28348" spans="26:26" x14ac:dyDescent="0.2">
      <c r="Z28348" t="str">
        <f t="shared" si="442"/>
        <v/>
      </c>
    </row>
    <row r="28349" spans="26:26" x14ac:dyDescent="0.2">
      <c r="Z28349" t="str">
        <f t="shared" si="442"/>
        <v/>
      </c>
    </row>
    <row r="28350" spans="26:26" x14ac:dyDescent="0.2">
      <c r="Z28350" t="str">
        <f t="shared" si="442"/>
        <v/>
      </c>
    </row>
    <row r="28351" spans="26:26" x14ac:dyDescent="0.2">
      <c r="Z28351" t="str">
        <f t="shared" si="442"/>
        <v/>
      </c>
    </row>
    <row r="28352" spans="26:26" x14ac:dyDescent="0.2">
      <c r="Z28352" t="str">
        <f t="shared" si="442"/>
        <v/>
      </c>
    </row>
    <row r="28353" spans="26:26" x14ac:dyDescent="0.2">
      <c r="Z28353" t="str">
        <f t="shared" si="442"/>
        <v/>
      </c>
    </row>
    <row r="28354" spans="26:26" x14ac:dyDescent="0.2">
      <c r="Z28354" t="str">
        <f t="shared" si="442"/>
        <v/>
      </c>
    </row>
    <row r="28355" spans="26:26" x14ac:dyDescent="0.2">
      <c r="Z28355" t="str">
        <f t="shared" ref="Z28355:Z28418" si="443">IF(K28355="","",IFERROR(VALUE(TRIM(MID(K28355,FIND(CHAR(167),SUBSTITUTE(K28355,"-",CHAR(167),LEN(K28355)-LEN(SUBSTITUTE(K28355,"-",""))))+1,100))),K28355))</f>
        <v/>
      </c>
    </row>
    <row r="28356" spans="26:26" x14ac:dyDescent="0.2">
      <c r="Z28356" t="str">
        <f t="shared" si="443"/>
        <v/>
      </c>
    </row>
    <row r="28357" spans="26:26" x14ac:dyDescent="0.2">
      <c r="Z28357" t="str">
        <f t="shared" si="443"/>
        <v/>
      </c>
    </row>
    <row r="28358" spans="26:26" x14ac:dyDescent="0.2">
      <c r="Z28358" t="str">
        <f t="shared" si="443"/>
        <v/>
      </c>
    </row>
    <row r="28359" spans="26:26" x14ac:dyDescent="0.2">
      <c r="Z28359" t="str">
        <f t="shared" si="443"/>
        <v/>
      </c>
    </row>
    <row r="28360" spans="26:26" x14ac:dyDescent="0.2">
      <c r="Z28360" t="str">
        <f t="shared" si="443"/>
        <v/>
      </c>
    </row>
    <row r="28361" spans="26:26" x14ac:dyDescent="0.2">
      <c r="Z28361" t="str">
        <f t="shared" si="443"/>
        <v/>
      </c>
    </row>
    <row r="28362" spans="26:26" x14ac:dyDescent="0.2">
      <c r="Z28362" t="str">
        <f t="shared" si="443"/>
        <v/>
      </c>
    </row>
    <row r="28363" spans="26:26" x14ac:dyDescent="0.2">
      <c r="Z28363" t="str">
        <f t="shared" si="443"/>
        <v/>
      </c>
    </row>
    <row r="28364" spans="26:26" x14ac:dyDescent="0.2">
      <c r="Z28364" t="str">
        <f t="shared" si="443"/>
        <v/>
      </c>
    </row>
    <row r="28365" spans="26:26" x14ac:dyDescent="0.2">
      <c r="Z28365" t="str">
        <f t="shared" si="443"/>
        <v/>
      </c>
    </row>
    <row r="28366" spans="26:26" x14ac:dyDescent="0.2">
      <c r="Z28366" t="str">
        <f t="shared" si="443"/>
        <v/>
      </c>
    </row>
    <row r="28367" spans="26:26" x14ac:dyDescent="0.2">
      <c r="Z28367" t="str">
        <f t="shared" si="443"/>
        <v/>
      </c>
    </row>
    <row r="28368" spans="26:26" x14ac:dyDescent="0.2">
      <c r="Z28368" t="str">
        <f t="shared" si="443"/>
        <v/>
      </c>
    </row>
    <row r="28369" spans="26:26" x14ac:dyDescent="0.2">
      <c r="Z28369" t="str">
        <f t="shared" si="443"/>
        <v/>
      </c>
    </row>
    <row r="28370" spans="26:26" x14ac:dyDescent="0.2">
      <c r="Z28370" t="str">
        <f t="shared" si="443"/>
        <v/>
      </c>
    </row>
    <row r="28371" spans="26:26" x14ac:dyDescent="0.2">
      <c r="Z28371" t="str">
        <f t="shared" si="443"/>
        <v/>
      </c>
    </row>
    <row r="28372" spans="26:26" x14ac:dyDescent="0.2">
      <c r="Z28372" t="str">
        <f t="shared" si="443"/>
        <v/>
      </c>
    </row>
    <row r="28373" spans="26:26" x14ac:dyDescent="0.2">
      <c r="Z28373" t="str">
        <f t="shared" si="443"/>
        <v/>
      </c>
    </row>
    <row r="28374" spans="26:26" x14ac:dyDescent="0.2">
      <c r="Z28374" t="str">
        <f t="shared" si="443"/>
        <v/>
      </c>
    </row>
    <row r="28375" spans="26:26" x14ac:dyDescent="0.2">
      <c r="Z28375" t="str">
        <f t="shared" si="443"/>
        <v/>
      </c>
    </row>
    <row r="28376" spans="26:26" x14ac:dyDescent="0.2">
      <c r="Z28376" t="str">
        <f t="shared" si="443"/>
        <v/>
      </c>
    </row>
    <row r="28377" spans="26:26" x14ac:dyDescent="0.2">
      <c r="Z28377" t="str">
        <f t="shared" si="443"/>
        <v/>
      </c>
    </row>
    <row r="28378" spans="26:26" x14ac:dyDescent="0.2">
      <c r="Z28378" t="str">
        <f t="shared" si="443"/>
        <v/>
      </c>
    </row>
    <row r="28379" spans="26:26" x14ac:dyDescent="0.2">
      <c r="Z28379" t="str">
        <f t="shared" si="443"/>
        <v/>
      </c>
    </row>
    <row r="28380" spans="26:26" x14ac:dyDescent="0.2">
      <c r="Z28380" t="str">
        <f t="shared" si="443"/>
        <v/>
      </c>
    </row>
    <row r="28381" spans="26:26" x14ac:dyDescent="0.2">
      <c r="Z28381" t="str">
        <f t="shared" si="443"/>
        <v/>
      </c>
    </row>
    <row r="28382" spans="26:26" x14ac:dyDescent="0.2">
      <c r="Z28382" t="str">
        <f t="shared" si="443"/>
        <v/>
      </c>
    </row>
    <row r="28383" spans="26:26" x14ac:dyDescent="0.2">
      <c r="Z28383" t="str">
        <f t="shared" si="443"/>
        <v/>
      </c>
    </row>
    <row r="28384" spans="26:26" x14ac:dyDescent="0.2">
      <c r="Z28384" t="str">
        <f t="shared" si="443"/>
        <v/>
      </c>
    </row>
    <row r="28385" spans="26:26" x14ac:dyDescent="0.2">
      <c r="Z28385" t="str">
        <f t="shared" si="443"/>
        <v/>
      </c>
    </row>
    <row r="28386" spans="26:26" x14ac:dyDescent="0.2">
      <c r="Z28386" t="str">
        <f t="shared" si="443"/>
        <v/>
      </c>
    </row>
    <row r="28387" spans="26:26" x14ac:dyDescent="0.2">
      <c r="Z28387" t="str">
        <f t="shared" si="443"/>
        <v/>
      </c>
    </row>
    <row r="28388" spans="26:26" x14ac:dyDescent="0.2">
      <c r="Z28388" t="str">
        <f t="shared" si="443"/>
        <v/>
      </c>
    </row>
    <row r="28389" spans="26:26" x14ac:dyDescent="0.2">
      <c r="Z28389" t="str">
        <f t="shared" si="443"/>
        <v/>
      </c>
    </row>
    <row r="28390" spans="26:26" x14ac:dyDescent="0.2">
      <c r="Z28390" t="str">
        <f t="shared" si="443"/>
        <v/>
      </c>
    </row>
    <row r="28391" spans="26:26" x14ac:dyDescent="0.2">
      <c r="Z28391" t="str">
        <f t="shared" si="443"/>
        <v/>
      </c>
    </row>
    <row r="28392" spans="26:26" x14ac:dyDescent="0.2">
      <c r="Z28392" t="str">
        <f t="shared" si="443"/>
        <v/>
      </c>
    </row>
    <row r="28393" spans="26:26" x14ac:dyDescent="0.2">
      <c r="Z28393" t="str">
        <f t="shared" si="443"/>
        <v/>
      </c>
    </row>
    <row r="28394" spans="26:26" x14ac:dyDescent="0.2">
      <c r="Z28394" t="str">
        <f t="shared" si="443"/>
        <v/>
      </c>
    </row>
    <row r="28395" spans="26:26" x14ac:dyDescent="0.2">
      <c r="Z28395" t="str">
        <f t="shared" si="443"/>
        <v/>
      </c>
    </row>
    <row r="28396" spans="26:26" x14ac:dyDescent="0.2">
      <c r="Z28396" t="str">
        <f t="shared" si="443"/>
        <v/>
      </c>
    </row>
    <row r="28397" spans="26:26" x14ac:dyDescent="0.2">
      <c r="Z28397" t="str">
        <f t="shared" si="443"/>
        <v/>
      </c>
    </row>
    <row r="28398" spans="26:26" x14ac:dyDescent="0.2">
      <c r="Z28398" t="str">
        <f t="shared" si="443"/>
        <v/>
      </c>
    </row>
    <row r="28399" spans="26:26" x14ac:dyDescent="0.2">
      <c r="Z28399" t="str">
        <f t="shared" si="443"/>
        <v/>
      </c>
    </row>
    <row r="28400" spans="26:26" x14ac:dyDescent="0.2">
      <c r="Z28400" t="str">
        <f t="shared" si="443"/>
        <v/>
      </c>
    </row>
    <row r="28401" spans="26:26" x14ac:dyDescent="0.2">
      <c r="Z28401" t="str">
        <f t="shared" si="443"/>
        <v/>
      </c>
    </row>
    <row r="28402" spans="26:26" x14ac:dyDescent="0.2">
      <c r="Z28402" t="str">
        <f t="shared" si="443"/>
        <v/>
      </c>
    </row>
    <row r="28403" spans="26:26" x14ac:dyDescent="0.2">
      <c r="Z28403" t="str">
        <f t="shared" si="443"/>
        <v/>
      </c>
    </row>
    <row r="28404" spans="26:26" x14ac:dyDescent="0.2">
      <c r="Z28404" t="str">
        <f t="shared" si="443"/>
        <v/>
      </c>
    </row>
    <row r="28405" spans="26:26" x14ac:dyDescent="0.2">
      <c r="Z28405" t="str">
        <f t="shared" si="443"/>
        <v/>
      </c>
    </row>
    <row r="28406" spans="26:26" x14ac:dyDescent="0.2">
      <c r="Z28406" t="str">
        <f t="shared" si="443"/>
        <v/>
      </c>
    </row>
    <row r="28407" spans="26:26" x14ac:dyDescent="0.2">
      <c r="Z28407" t="str">
        <f t="shared" si="443"/>
        <v/>
      </c>
    </row>
    <row r="28408" spans="26:26" x14ac:dyDescent="0.2">
      <c r="Z28408" t="str">
        <f t="shared" si="443"/>
        <v/>
      </c>
    </row>
    <row r="28409" spans="26:26" x14ac:dyDescent="0.2">
      <c r="Z28409" t="str">
        <f t="shared" si="443"/>
        <v/>
      </c>
    </row>
    <row r="28410" spans="26:26" x14ac:dyDescent="0.2">
      <c r="Z28410" t="str">
        <f t="shared" si="443"/>
        <v/>
      </c>
    </row>
    <row r="28411" spans="26:26" x14ac:dyDescent="0.2">
      <c r="Z28411" t="str">
        <f t="shared" si="443"/>
        <v/>
      </c>
    </row>
    <row r="28412" spans="26:26" x14ac:dyDescent="0.2">
      <c r="Z28412" t="str">
        <f t="shared" si="443"/>
        <v/>
      </c>
    </row>
    <row r="28413" spans="26:26" x14ac:dyDescent="0.2">
      <c r="Z28413" t="str">
        <f t="shared" si="443"/>
        <v/>
      </c>
    </row>
    <row r="28414" spans="26:26" x14ac:dyDescent="0.2">
      <c r="Z28414" t="str">
        <f t="shared" si="443"/>
        <v/>
      </c>
    </row>
    <row r="28415" spans="26:26" x14ac:dyDescent="0.2">
      <c r="Z28415" t="str">
        <f t="shared" si="443"/>
        <v/>
      </c>
    </row>
    <row r="28416" spans="26:26" x14ac:dyDescent="0.2">
      <c r="Z28416" t="str">
        <f t="shared" si="443"/>
        <v/>
      </c>
    </row>
    <row r="28417" spans="26:26" x14ac:dyDescent="0.2">
      <c r="Z28417" t="str">
        <f t="shared" si="443"/>
        <v/>
      </c>
    </row>
    <row r="28418" spans="26:26" x14ac:dyDescent="0.2">
      <c r="Z28418" t="str">
        <f t="shared" si="443"/>
        <v/>
      </c>
    </row>
    <row r="28419" spans="26:26" x14ac:dyDescent="0.2">
      <c r="Z28419" t="str">
        <f t="shared" ref="Z28419:Z28482" si="444">IF(K28419="","",IFERROR(VALUE(TRIM(MID(K28419,FIND(CHAR(167),SUBSTITUTE(K28419,"-",CHAR(167),LEN(K28419)-LEN(SUBSTITUTE(K28419,"-",""))))+1,100))),K28419))</f>
        <v/>
      </c>
    </row>
    <row r="28420" spans="26:26" x14ac:dyDescent="0.2">
      <c r="Z28420" t="str">
        <f t="shared" si="444"/>
        <v/>
      </c>
    </row>
    <row r="28421" spans="26:26" x14ac:dyDescent="0.2">
      <c r="Z28421" t="str">
        <f t="shared" si="444"/>
        <v/>
      </c>
    </row>
    <row r="28422" spans="26:26" x14ac:dyDescent="0.2">
      <c r="Z28422" t="str">
        <f t="shared" si="444"/>
        <v/>
      </c>
    </row>
    <row r="28423" spans="26:26" x14ac:dyDescent="0.2">
      <c r="Z28423" t="str">
        <f t="shared" si="444"/>
        <v/>
      </c>
    </row>
    <row r="28424" spans="26:26" x14ac:dyDescent="0.2">
      <c r="Z28424" t="str">
        <f t="shared" si="444"/>
        <v/>
      </c>
    </row>
    <row r="28425" spans="26:26" x14ac:dyDescent="0.2">
      <c r="Z28425" t="str">
        <f t="shared" si="444"/>
        <v/>
      </c>
    </row>
    <row r="28426" spans="26:26" x14ac:dyDescent="0.2">
      <c r="Z28426" t="str">
        <f t="shared" si="444"/>
        <v/>
      </c>
    </row>
    <row r="28427" spans="26:26" x14ac:dyDescent="0.2">
      <c r="Z28427" t="str">
        <f t="shared" si="444"/>
        <v/>
      </c>
    </row>
    <row r="28428" spans="26:26" x14ac:dyDescent="0.2">
      <c r="Z28428" t="str">
        <f t="shared" si="444"/>
        <v/>
      </c>
    </row>
    <row r="28429" spans="26:26" x14ac:dyDescent="0.2">
      <c r="Z28429" t="str">
        <f t="shared" si="444"/>
        <v/>
      </c>
    </row>
    <row r="28430" spans="26:26" x14ac:dyDescent="0.2">
      <c r="Z28430" t="str">
        <f t="shared" si="444"/>
        <v/>
      </c>
    </row>
    <row r="28431" spans="26:26" x14ac:dyDescent="0.2">
      <c r="Z28431" t="str">
        <f t="shared" si="444"/>
        <v/>
      </c>
    </row>
    <row r="28432" spans="26:26" x14ac:dyDescent="0.2">
      <c r="Z28432" t="str">
        <f t="shared" si="444"/>
        <v/>
      </c>
    </row>
    <row r="28433" spans="26:26" x14ac:dyDescent="0.2">
      <c r="Z28433" t="str">
        <f t="shared" si="444"/>
        <v/>
      </c>
    </row>
    <row r="28434" spans="26:26" x14ac:dyDescent="0.2">
      <c r="Z28434" t="str">
        <f t="shared" si="444"/>
        <v/>
      </c>
    </row>
    <row r="28435" spans="26:26" x14ac:dyDescent="0.2">
      <c r="Z28435" t="str">
        <f t="shared" si="444"/>
        <v/>
      </c>
    </row>
    <row r="28436" spans="26:26" x14ac:dyDescent="0.2">
      <c r="Z28436" t="str">
        <f t="shared" si="444"/>
        <v/>
      </c>
    </row>
    <row r="28437" spans="26:26" x14ac:dyDescent="0.2">
      <c r="Z28437" t="str">
        <f t="shared" si="444"/>
        <v/>
      </c>
    </row>
    <row r="28438" spans="26:26" x14ac:dyDescent="0.2">
      <c r="Z28438" t="str">
        <f t="shared" si="444"/>
        <v/>
      </c>
    </row>
    <row r="28439" spans="26:26" x14ac:dyDescent="0.2">
      <c r="Z28439" t="str">
        <f t="shared" si="444"/>
        <v/>
      </c>
    </row>
    <row r="28440" spans="26:26" x14ac:dyDescent="0.2">
      <c r="Z28440" t="str">
        <f t="shared" si="444"/>
        <v/>
      </c>
    </row>
    <row r="28441" spans="26:26" x14ac:dyDescent="0.2">
      <c r="Z28441" t="str">
        <f t="shared" si="444"/>
        <v/>
      </c>
    </row>
    <row r="28442" spans="26:26" x14ac:dyDescent="0.2">
      <c r="Z28442" t="str">
        <f t="shared" si="444"/>
        <v/>
      </c>
    </row>
    <row r="28443" spans="26:26" x14ac:dyDescent="0.2">
      <c r="Z28443" t="str">
        <f t="shared" si="444"/>
        <v/>
      </c>
    </row>
    <row r="28444" spans="26:26" x14ac:dyDescent="0.2">
      <c r="Z28444" t="str">
        <f t="shared" si="444"/>
        <v/>
      </c>
    </row>
    <row r="28445" spans="26:26" x14ac:dyDescent="0.2">
      <c r="Z28445" t="str">
        <f t="shared" si="444"/>
        <v/>
      </c>
    </row>
    <row r="28446" spans="26:26" x14ac:dyDescent="0.2">
      <c r="Z28446" t="str">
        <f t="shared" si="444"/>
        <v/>
      </c>
    </row>
    <row r="28447" spans="26:26" x14ac:dyDescent="0.2">
      <c r="Z28447" t="str">
        <f t="shared" si="444"/>
        <v/>
      </c>
    </row>
    <row r="28448" spans="26:26" x14ac:dyDescent="0.2">
      <c r="Z28448" t="str">
        <f t="shared" si="444"/>
        <v/>
      </c>
    </row>
    <row r="28449" spans="26:26" x14ac:dyDescent="0.2">
      <c r="Z28449" t="str">
        <f t="shared" si="444"/>
        <v/>
      </c>
    </row>
    <row r="28450" spans="26:26" x14ac:dyDescent="0.2">
      <c r="Z28450" t="str">
        <f t="shared" si="444"/>
        <v/>
      </c>
    </row>
    <row r="28451" spans="26:26" x14ac:dyDescent="0.2">
      <c r="Z28451" t="str">
        <f t="shared" si="444"/>
        <v/>
      </c>
    </row>
    <row r="28452" spans="26:26" x14ac:dyDescent="0.2">
      <c r="Z28452" t="str">
        <f t="shared" si="444"/>
        <v/>
      </c>
    </row>
    <row r="28453" spans="26:26" x14ac:dyDescent="0.2">
      <c r="Z28453" t="str">
        <f t="shared" si="444"/>
        <v/>
      </c>
    </row>
    <row r="28454" spans="26:26" x14ac:dyDescent="0.2">
      <c r="Z28454" t="str">
        <f t="shared" si="444"/>
        <v/>
      </c>
    </row>
    <row r="28455" spans="26:26" x14ac:dyDescent="0.2">
      <c r="Z28455" t="str">
        <f t="shared" si="444"/>
        <v/>
      </c>
    </row>
    <row r="28456" spans="26:26" x14ac:dyDescent="0.2">
      <c r="Z28456" t="str">
        <f t="shared" si="444"/>
        <v/>
      </c>
    </row>
    <row r="28457" spans="26:26" x14ac:dyDescent="0.2">
      <c r="Z28457" t="str">
        <f t="shared" si="444"/>
        <v/>
      </c>
    </row>
    <row r="28458" spans="26:26" x14ac:dyDescent="0.2">
      <c r="Z28458" t="str">
        <f t="shared" si="444"/>
        <v/>
      </c>
    </row>
    <row r="28459" spans="26:26" x14ac:dyDescent="0.2">
      <c r="Z28459" t="str">
        <f t="shared" si="444"/>
        <v/>
      </c>
    </row>
    <row r="28460" spans="26:26" x14ac:dyDescent="0.2">
      <c r="Z28460" t="str">
        <f t="shared" si="444"/>
        <v/>
      </c>
    </row>
    <row r="28461" spans="26:26" x14ac:dyDescent="0.2">
      <c r="Z28461" t="str">
        <f t="shared" si="444"/>
        <v/>
      </c>
    </row>
    <row r="28462" spans="26:26" x14ac:dyDescent="0.2">
      <c r="Z28462" t="str">
        <f t="shared" si="444"/>
        <v/>
      </c>
    </row>
    <row r="28463" spans="26:26" x14ac:dyDescent="0.2">
      <c r="Z28463" t="str">
        <f t="shared" si="444"/>
        <v/>
      </c>
    </row>
    <row r="28464" spans="26:26" x14ac:dyDescent="0.2">
      <c r="Z28464" t="str">
        <f t="shared" si="444"/>
        <v/>
      </c>
    </row>
    <row r="28465" spans="26:26" x14ac:dyDescent="0.2">
      <c r="Z28465" t="str">
        <f t="shared" si="444"/>
        <v/>
      </c>
    </row>
    <row r="28466" spans="26:26" x14ac:dyDescent="0.2">
      <c r="Z28466" t="str">
        <f t="shared" si="444"/>
        <v/>
      </c>
    </row>
    <row r="28467" spans="26:26" x14ac:dyDescent="0.2">
      <c r="Z28467" t="str">
        <f t="shared" si="444"/>
        <v/>
      </c>
    </row>
    <row r="28468" spans="26:26" x14ac:dyDescent="0.2">
      <c r="Z28468" t="str">
        <f t="shared" si="444"/>
        <v/>
      </c>
    </row>
    <row r="28469" spans="26:26" x14ac:dyDescent="0.2">
      <c r="Z28469" t="str">
        <f t="shared" si="444"/>
        <v/>
      </c>
    </row>
    <row r="28470" spans="26:26" x14ac:dyDescent="0.2">
      <c r="Z28470" t="str">
        <f t="shared" si="444"/>
        <v/>
      </c>
    </row>
    <row r="28471" spans="26:26" x14ac:dyDescent="0.2">
      <c r="Z28471" t="str">
        <f t="shared" si="444"/>
        <v/>
      </c>
    </row>
    <row r="28472" spans="26:26" x14ac:dyDescent="0.2">
      <c r="Z28472" t="str">
        <f t="shared" si="444"/>
        <v/>
      </c>
    </row>
    <row r="28473" spans="26:26" x14ac:dyDescent="0.2">
      <c r="Z28473" t="str">
        <f t="shared" si="444"/>
        <v/>
      </c>
    </row>
    <row r="28474" spans="26:26" x14ac:dyDescent="0.2">
      <c r="Z28474" t="str">
        <f t="shared" si="444"/>
        <v/>
      </c>
    </row>
    <row r="28475" spans="26:26" x14ac:dyDescent="0.2">
      <c r="Z28475" t="str">
        <f t="shared" si="444"/>
        <v/>
      </c>
    </row>
    <row r="28476" spans="26:26" x14ac:dyDescent="0.2">
      <c r="Z28476" t="str">
        <f t="shared" si="444"/>
        <v/>
      </c>
    </row>
    <row r="28477" spans="26:26" x14ac:dyDescent="0.2">
      <c r="Z28477" t="str">
        <f t="shared" si="444"/>
        <v/>
      </c>
    </row>
    <row r="28478" spans="26:26" x14ac:dyDescent="0.2">
      <c r="Z28478" t="str">
        <f t="shared" si="444"/>
        <v/>
      </c>
    </row>
    <row r="28479" spans="26:26" x14ac:dyDescent="0.2">
      <c r="Z28479" t="str">
        <f t="shared" si="444"/>
        <v/>
      </c>
    </row>
    <row r="28480" spans="26:26" x14ac:dyDescent="0.2">
      <c r="Z28480" t="str">
        <f t="shared" si="444"/>
        <v/>
      </c>
    </row>
    <row r="28481" spans="26:26" x14ac:dyDescent="0.2">
      <c r="Z28481" t="str">
        <f t="shared" si="444"/>
        <v/>
      </c>
    </row>
    <row r="28482" spans="26:26" x14ac:dyDescent="0.2">
      <c r="Z28482" t="str">
        <f t="shared" si="444"/>
        <v/>
      </c>
    </row>
    <row r="28483" spans="26:26" x14ac:dyDescent="0.2">
      <c r="Z28483" t="str">
        <f t="shared" ref="Z28483:Z28546" si="445">IF(K28483="","",IFERROR(VALUE(TRIM(MID(K28483,FIND(CHAR(167),SUBSTITUTE(K28483,"-",CHAR(167),LEN(K28483)-LEN(SUBSTITUTE(K28483,"-",""))))+1,100))),K28483))</f>
        <v/>
      </c>
    </row>
    <row r="28484" spans="26:26" x14ac:dyDescent="0.2">
      <c r="Z28484" t="str">
        <f t="shared" si="445"/>
        <v/>
      </c>
    </row>
    <row r="28485" spans="26:26" x14ac:dyDescent="0.2">
      <c r="Z28485" t="str">
        <f t="shared" si="445"/>
        <v/>
      </c>
    </row>
    <row r="28486" spans="26:26" x14ac:dyDescent="0.2">
      <c r="Z28486" t="str">
        <f t="shared" si="445"/>
        <v/>
      </c>
    </row>
    <row r="28487" spans="26:26" x14ac:dyDescent="0.2">
      <c r="Z28487" t="str">
        <f t="shared" si="445"/>
        <v/>
      </c>
    </row>
    <row r="28488" spans="26:26" x14ac:dyDescent="0.2">
      <c r="Z28488" t="str">
        <f t="shared" si="445"/>
        <v/>
      </c>
    </row>
    <row r="28489" spans="26:26" x14ac:dyDescent="0.2">
      <c r="Z28489" t="str">
        <f t="shared" si="445"/>
        <v/>
      </c>
    </row>
    <row r="28490" spans="26:26" x14ac:dyDescent="0.2">
      <c r="Z28490" t="str">
        <f t="shared" si="445"/>
        <v/>
      </c>
    </row>
    <row r="28491" spans="26:26" x14ac:dyDescent="0.2">
      <c r="Z28491" t="str">
        <f t="shared" si="445"/>
        <v/>
      </c>
    </row>
    <row r="28492" spans="26:26" x14ac:dyDescent="0.2">
      <c r="Z28492" t="str">
        <f t="shared" si="445"/>
        <v/>
      </c>
    </row>
    <row r="28493" spans="26:26" x14ac:dyDescent="0.2">
      <c r="Z28493" t="str">
        <f t="shared" si="445"/>
        <v/>
      </c>
    </row>
    <row r="28494" spans="26:26" x14ac:dyDescent="0.2">
      <c r="Z28494" t="str">
        <f t="shared" si="445"/>
        <v/>
      </c>
    </row>
    <row r="28495" spans="26:26" x14ac:dyDescent="0.2">
      <c r="Z28495" t="str">
        <f t="shared" si="445"/>
        <v/>
      </c>
    </row>
    <row r="28496" spans="26:26" x14ac:dyDescent="0.2">
      <c r="Z28496" t="str">
        <f t="shared" si="445"/>
        <v/>
      </c>
    </row>
    <row r="28497" spans="26:26" x14ac:dyDescent="0.2">
      <c r="Z28497" t="str">
        <f t="shared" si="445"/>
        <v/>
      </c>
    </row>
    <row r="28498" spans="26:26" x14ac:dyDescent="0.2">
      <c r="Z28498" t="str">
        <f t="shared" si="445"/>
        <v/>
      </c>
    </row>
    <row r="28499" spans="26:26" x14ac:dyDescent="0.2">
      <c r="Z28499" t="str">
        <f t="shared" si="445"/>
        <v/>
      </c>
    </row>
    <row r="28500" spans="26:26" x14ac:dyDescent="0.2">
      <c r="Z28500" t="str">
        <f t="shared" si="445"/>
        <v/>
      </c>
    </row>
    <row r="28501" spans="26:26" x14ac:dyDescent="0.2">
      <c r="Z28501" t="str">
        <f t="shared" si="445"/>
        <v/>
      </c>
    </row>
    <row r="28502" spans="26:26" x14ac:dyDescent="0.2">
      <c r="Z28502" t="str">
        <f t="shared" si="445"/>
        <v/>
      </c>
    </row>
    <row r="28503" spans="26:26" x14ac:dyDescent="0.2">
      <c r="Z28503" t="str">
        <f t="shared" si="445"/>
        <v/>
      </c>
    </row>
    <row r="28504" spans="26:26" x14ac:dyDescent="0.2">
      <c r="Z28504" t="str">
        <f t="shared" si="445"/>
        <v/>
      </c>
    </row>
    <row r="28505" spans="26:26" x14ac:dyDescent="0.2">
      <c r="Z28505" t="str">
        <f t="shared" si="445"/>
        <v/>
      </c>
    </row>
    <row r="28506" spans="26:26" x14ac:dyDescent="0.2">
      <c r="Z28506" t="str">
        <f t="shared" si="445"/>
        <v/>
      </c>
    </row>
    <row r="28507" spans="26:26" x14ac:dyDescent="0.2">
      <c r="Z28507" t="str">
        <f t="shared" si="445"/>
        <v/>
      </c>
    </row>
    <row r="28508" spans="26:26" x14ac:dyDescent="0.2">
      <c r="Z28508" t="str">
        <f t="shared" si="445"/>
        <v/>
      </c>
    </row>
    <row r="28509" spans="26:26" x14ac:dyDescent="0.2">
      <c r="Z28509" t="str">
        <f t="shared" si="445"/>
        <v/>
      </c>
    </row>
    <row r="28510" spans="26:26" x14ac:dyDescent="0.2">
      <c r="Z28510" t="str">
        <f t="shared" si="445"/>
        <v/>
      </c>
    </row>
    <row r="28511" spans="26:26" x14ac:dyDescent="0.2">
      <c r="Z28511" t="str">
        <f t="shared" si="445"/>
        <v/>
      </c>
    </row>
    <row r="28512" spans="26:26" x14ac:dyDescent="0.2">
      <c r="Z28512" t="str">
        <f t="shared" si="445"/>
        <v/>
      </c>
    </row>
    <row r="28513" spans="26:26" x14ac:dyDescent="0.2">
      <c r="Z28513" t="str">
        <f t="shared" si="445"/>
        <v/>
      </c>
    </row>
    <row r="28514" spans="26:26" x14ac:dyDescent="0.2">
      <c r="Z28514" t="str">
        <f t="shared" si="445"/>
        <v/>
      </c>
    </row>
    <row r="28515" spans="26:26" x14ac:dyDescent="0.2">
      <c r="Z28515" t="str">
        <f t="shared" si="445"/>
        <v/>
      </c>
    </row>
    <row r="28516" spans="26:26" x14ac:dyDescent="0.2">
      <c r="Z28516" t="str">
        <f t="shared" si="445"/>
        <v/>
      </c>
    </row>
    <row r="28517" spans="26:26" x14ac:dyDescent="0.2">
      <c r="Z28517" t="str">
        <f t="shared" si="445"/>
        <v/>
      </c>
    </row>
    <row r="28518" spans="26:26" x14ac:dyDescent="0.2">
      <c r="Z28518" t="str">
        <f t="shared" si="445"/>
        <v/>
      </c>
    </row>
    <row r="28519" spans="26:26" x14ac:dyDescent="0.2">
      <c r="Z28519" t="str">
        <f t="shared" si="445"/>
        <v/>
      </c>
    </row>
    <row r="28520" spans="26:26" x14ac:dyDescent="0.2">
      <c r="Z28520" t="str">
        <f t="shared" si="445"/>
        <v/>
      </c>
    </row>
    <row r="28521" spans="26:26" x14ac:dyDescent="0.2">
      <c r="Z28521" t="str">
        <f t="shared" si="445"/>
        <v/>
      </c>
    </row>
    <row r="28522" spans="26:26" x14ac:dyDescent="0.2">
      <c r="Z28522" t="str">
        <f t="shared" si="445"/>
        <v/>
      </c>
    </row>
    <row r="28523" spans="26:26" x14ac:dyDescent="0.2">
      <c r="Z28523" t="str">
        <f t="shared" si="445"/>
        <v/>
      </c>
    </row>
    <row r="28524" spans="26:26" x14ac:dyDescent="0.2">
      <c r="Z28524" t="str">
        <f t="shared" si="445"/>
        <v/>
      </c>
    </row>
    <row r="28525" spans="26:26" x14ac:dyDescent="0.2">
      <c r="Z28525" t="str">
        <f t="shared" si="445"/>
        <v/>
      </c>
    </row>
    <row r="28526" spans="26:26" x14ac:dyDescent="0.2">
      <c r="Z28526" t="str">
        <f t="shared" si="445"/>
        <v/>
      </c>
    </row>
    <row r="28527" spans="26:26" x14ac:dyDescent="0.2">
      <c r="Z28527" t="str">
        <f t="shared" si="445"/>
        <v/>
      </c>
    </row>
    <row r="28528" spans="26:26" x14ac:dyDescent="0.2">
      <c r="Z28528" t="str">
        <f t="shared" si="445"/>
        <v/>
      </c>
    </row>
    <row r="28529" spans="26:26" x14ac:dyDescent="0.2">
      <c r="Z28529" t="str">
        <f t="shared" si="445"/>
        <v/>
      </c>
    </row>
    <row r="28530" spans="26:26" x14ac:dyDescent="0.2">
      <c r="Z28530" t="str">
        <f t="shared" si="445"/>
        <v/>
      </c>
    </row>
    <row r="28531" spans="26:26" x14ac:dyDescent="0.2">
      <c r="Z28531" t="str">
        <f t="shared" si="445"/>
        <v/>
      </c>
    </row>
    <row r="28532" spans="26:26" x14ac:dyDescent="0.2">
      <c r="Z28532" t="str">
        <f t="shared" si="445"/>
        <v/>
      </c>
    </row>
    <row r="28533" spans="26:26" x14ac:dyDescent="0.2">
      <c r="Z28533" t="str">
        <f t="shared" si="445"/>
        <v/>
      </c>
    </row>
    <row r="28534" spans="26:26" x14ac:dyDescent="0.2">
      <c r="Z28534" t="str">
        <f t="shared" si="445"/>
        <v/>
      </c>
    </row>
    <row r="28535" spans="26:26" x14ac:dyDescent="0.2">
      <c r="Z28535" t="str">
        <f t="shared" si="445"/>
        <v/>
      </c>
    </row>
    <row r="28536" spans="26:26" x14ac:dyDescent="0.2">
      <c r="Z28536" t="str">
        <f t="shared" si="445"/>
        <v/>
      </c>
    </row>
    <row r="28537" spans="26:26" x14ac:dyDescent="0.2">
      <c r="Z28537" t="str">
        <f t="shared" si="445"/>
        <v/>
      </c>
    </row>
    <row r="28538" spans="26:26" x14ac:dyDescent="0.2">
      <c r="Z28538" t="str">
        <f t="shared" si="445"/>
        <v/>
      </c>
    </row>
    <row r="28539" spans="26:26" x14ac:dyDescent="0.2">
      <c r="Z28539" t="str">
        <f t="shared" si="445"/>
        <v/>
      </c>
    </row>
    <row r="28540" spans="26:26" x14ac:dyDescent="0.2">
      <c r="Z28540" t="str">
        <f t="shared" si="445"/>
        <v/>
      </c>
    </row>
    <row r="28541" spans="26:26" x14ac:dyDescent="0.2">
      <c r="Z28541" t="str">
        <f t="shared" si="445"/>
        <v/>
      </c>
    </row>
    <row r="28542" spans="26:26" x14ac:dyDescent="0.2">
      <c r="Z28542" t="str">
        <f t="shared" si="445"/>
        <v/>
      </c>
    </row>
    <row r="28543" spans="26:26" x14ac:dyDescent="0.2">
      <c r="Z28543" t="str">
        <f t="shared" si="445"/>
        <v/>
      </c>
    </row>
    <row r="28544" spans="26:26" x14ac:dyDescent="0.2">
      <c r="Z28544" t="str">
        <f t="shared" si="445"/>
        <v/>
      </c>
    </row>
    <row r="28545" spans="26:26" x14ac:dyDescent="0.2">
      <c r="Z28545" t="str">
        <f t="shared" si="445"/>
        <v/>
      </c>
    </row>
    <row r="28546" spans="26:26" x14ac:dyDescent="0.2">
      <c r="Z28546" t="str">
        <f t="shared" si="445"/>
        <v/>
      </c>
    </row>
    <row r="28547" spans="26:26" x14ac:dyDescent="0.2">
      <c r="Z28547" t="str">
        <f t="shared" ref="Z28547:Z28610" si="446">IF(K28547="","",IFERROR(VALUE(TRIM(MID(K28547,FIND(CHAR(167),SUBSTITUTE(K28547,"-",CHAR(167),LEN(K28547)-LEN(SUBSTITUTE(K28547,"-",""))))+1,100))),K28547))</f>
        <v/>
      </c>
    </row>
    <row r="28548" spans="26:26" x14ac:dyDescent="0.2">
      <c r="Z28548" t="str">
        <f t="shared" si="446"/>
        <v/>
      </c>
    </row>
    <row r="28549" spans="26:26" x14ac:dyDescent="0.2">
      <c r="Z28549" t="str">
        <f t="shared" si="446"/>
        <v/>
      </c>
    </row>
    <row r="28550" spans="26:26" x14ac:dyDescent="0.2">
      <c r="Z28550" t="str">
        <f t="shared" si="446"/>
        <v/>
      </c>
    </row>
    <row r="28551" spans="26:26" x14ac:dyDescent="0.2">
      <c r="Z28551" t="str">
        <f t="shared" si="446"/>
        <v/>
      </c>
    </row>
    <row r="28552" spans="26:26" x14ac:dyDescent="0.2">
      <c r="Z28552" t="str">
        <f t="shared" si="446"/>
        <v/>
      </c>
    </row>
    <row r="28553" spans="26:26" x14ac:dyDescent="0.2">
      <c r="Z28553" t="str">
        <f t="shared" si="446"/>
        <v/>
      </c>
    </row>
    <row r="28554" spans="26:26" x14ac:dyDescent="0.2">
      <c r="Z28554" t="str">
        <f t="shared" si="446"/>
        <v/>
      </c>
    </row>
    <row r="28555" spans="26:26" x14ac:dyDescent="0.2">
      <c r="Z28555" t="str">
        <f t="shared" si="446"/>
        <v/>
      </c>
    </row>
    <row r="28556" spans="26:26" x14ac:dyDescent="0.2">
      <c r="Z28556" t="str">
        <f t="shared" si="446"/>
        <v/>
      </c>
    </row>
    <row r="28557" spans="26:26" x14ac:dyDescent="0.2">
      <c r="Z28557" t="str">
        <f t="shared" si="446"/>
        <v/>
      </c>
    </row>
    <row r="28558" spans="26:26" x14ac:dyDescent="0.2">
      <c r="Z28558" t="str">
        <f t="shared" si="446"/>
        <v/>
      </c>
    </row>
    <row r="28559" spans="26:26" x14ac:dyDescent="0.2">
      <c r="Z28559" t="str">
        <f t="shared" si="446"/>
        <v/>
      </c>
    </row>
    <row r="28560" spans="26:26" x14ac:dyDescent="0.2">
      <c r="Z28560" t="str">
        <f t="shared" si="446"/>
        <v/>
      </c>
    </row>
    <row r="28561" spans="26:26" x14ac:dyDescent="0.2">
      <c r="Z28561" t="str">
        <f t="shared" si="446"/>
        <v/>
      </c>
    </row>
    <row r="28562" spans="26:26" x14ac:dyDescent="0.2">
      <c r="Z28562" t="str">
        <f t="shared" si="446"/>
        <v/>
      </c>
    </row>
    <row r="28563" spans="26:26" x14ac:dyDescent="0.2">
      <c r="Z28563" t="str">
        <f t="shared" si="446"/>
        <v/>
      </c>
    </row>
    <row r="28564" spans="26:26" x14ac:dyDescent="0.2">
      <c r="Z28564" t="str">
        <f t="shared" si="446"/>
        <v/>
      </c>
    </row>
    <row r="28565" spans="26:26" x14ac:dyDescent="0.2">
      <c r="Z28565" t="str">
        <f t="shared" si="446"/>
        <v/>
      </c>
    </row>
    <row r="28566" spans="26:26" x14ac:dyDescent="0.2">
      <c r="Z28566" t="str">
        <f t="shared" si="446"/>
        <v/>
      </c>
    </row>
    <row r="28567" spans="26:26" x14ac:dyDescent="0.2">
      <c r="Z28567" t="str">
        <f t="shared" si="446"/>
        <v/>
      </c>
    </row>
    <row r="28568" spans="26:26" x14ac:dyDescent="0.2">
      <c r="Z28568" t="str">
        <f t="shared" si="446"/>
        <v/>
      </c>
    </row>
    <row r="28569" spans="26:26" x14ac:dyDescent="0.2">
      <c r="Z28569" t="str">
        <f t="shared" si="446"/>
        <v/>
      </c>
    </row>
    <row r="28570" spans="26:26" x14ac:dyDescent="0.2">
      <c r="Z28570" t="str">
        <f t="shared" si="446"/>
        <v/>
      </c>
    </row>
    <row r="28571" spans="26:26" x14ac:dyDescent="0.2">
      <c r="Z28571" t="str">
        <f t="shared" si="446"/>
        <v/>
      </c>
    </row>
    <row r="28572" spans="26:26" x14ac:dyDescent="0.2">
      <c r="Z28572" t="str">
        <f t="shared" si="446"/>
        <v/>
      </c>
    </row>
    <row r="28573" spans="26:26" x14ac:dyDescent="0.2">
      <c r="Z28573" t="str">
        <f t="shared" si="446"/>
        <v/>
      </c>
    </row>
    <row r="28574" spans="26:26" x14ac:dyDescent="0.2">
      <c r="Z28574" t="str">
        <f t="shared" si="446"/>
        <v/>
      </c>
    </row>
    <row r="28575" spans="26:26" x14ac:dyDescent="0.2">
      <c r="Z28575" t="str">
        <f t="shared" si="446"/>
        <v/>
      </c>
    </row>
    <row r="28576" spans="26:26" x14ac:dyDescent="0.2">
      <c r="Z28576" t="str">
        <f t="shared" si="446"/>
        <v/>
      </c>
    </row>
    <row r="28577" spans="26:26" x14ac:dyDescent="0.2">
      <c r="Z28577" t="str">
        <f t="shared" si="446"/>
        <v/>
      </c>
    </row>
    <row r="28578" spans="26:26" x14ac:dyDescent="0.2">
      <c r="Z28578" t="str">
        <f t="shared" si="446"/>
        <v/>
      </c>
    </row>
    <row r="28579" spans="26:26" x14ac:dyDescent="0.2">
      <c r="Z28579" t="str">
        <f t="shared" si="446"/>
        <v/>
      </c>
    </row>
    <row r="28580" spans="26:26" x14ac:dyDescent="0.2">
      <c r="Z28580" t="str">
        <f t="shared" si="446"/>
        <v/>
      </c>
    </row>
    <row r="28581" spans="26:26" x14ac:dyDescent="0.2">
      <c r="Z28581" t="str">
        <f t="shared" si="446"/>
        <v/>
      </c>
    </row>
    <row r="28582" spans="26:26" x14ac:dyDescent="0.2">
      <c r="Z28582" t="str">
        <f t="shared" si="446"/>
        <v/>
      </c>
    </row>
    <row r="28583" spans="26:26" x14ac:dyDescent="0.2">
      <c r="Z28583" t="str">
        <f t="shared" si="446"/>
        <v/>
      </c>
    </row>
    <row r="28584" spans="26:26" x14ac:dyDescent="0.2">
      <c r="Z28584" t="str">
        <f t="shared" si="446"/>
        <v/>
      </c>
    </row>
    <row r="28585" spans="26:26" x14ac:dyDescent="0.2">
      <c r="Z28585" t="str">
        <f t="shared" si="446"/>
        <v/>
      </c>
    </row>
    <row r="28586" spans="26:26" x14ac:dyDescent="0.2">
      <c r="Z28586" t="str">
        <f t="shared" si="446"/>
        <v/>
      </c>
    </row>
    <row r="28587" spans="26:26" x14ac:dyDescent="0.2">
      <c r="Z28587" t="str">
        <f t="shared" si="446"/>
        <v/>
      </c>
    </row>
    <row r="28588" spans="26:26" x14ac:dyDescent="0.2">
      <c r="Z28588" t="str">
        <f t="shared" si="446"/>
        <v/>
      </c>
    </row>
    <row r="28589" spans="26:26" x14ac:dyDescent="0.2">
      <c r="Z28589" t="str">
        <f t="shared" si="446"/>
        <v/>
      </c>
    </row>
    <row r="28590" spans="26:26" x14ac:dyDescent="0.2">
      <c r="Z28590" t="str">
        <f t="shared" si="446"/>
        <v/>
      </c>
    </row>
    <row r="28591" spans="26:26" x14ac:dyDescent="0.2">
      <c r="Z28591" t="str">
        <f t="shared" si="446"/>
        <v/>
      </c>
    </row>
    <row r="28592" spans="26:26" x14ac:dyDescent="0.2">
      <c r="Z28592" t="str">
        <f t="shared" si="446"/>
        <v/>
      </c>
    </row>
    <row r="28593" spans="26:26" x14ac:dyDescent="0.2">
      <c r="Z28593" t="str">
        <f t="shared" si="446"/>
        <v/>
      </c>
    </row>
    <row r="28594" spans="26:26" x14ac:dyDescent="0.2">
      <c r="Z28594" t="str">
        <f t="shared" si="446"/>
        <v/>
      </c>
    </row>
    <row r="28595" spans="26:26" x14ac:dyDescent="0.2">
      <c r="Z28595" t="str">
        <f t="shared" si="446"/>
        <v/>
      </c>
    </row>
    <row r="28596" spans="26:26" x14ac:dyDescent="0.2">
      <c r="Z28596" t="str">
        <f t="shared" si="446"/>
        <v/>
      </c>
    </row>
    <row r="28597" spans="26:26" x14ac:dyDescent="0.2">
      <c r="Z28597" t="str">
        <f t="shared" si="446"/>
        <v/>
      </c>
    </row>
    <row r="28598" spans="26:26" x14ac:dyDescent="0.2">
      <c r="Z28598" t="str">
        <f t="shared" si="446"/>
        <v/>
      </c>
    </row>
    <row r="28599" spans="26:26" x14ac:dyDescent="0.2">
      <c r="Z28599" t="str">
        <f t="shared" si="446"/>
        <v/>
      </c>
    </row>
    <row r="28600" spans="26:26" x14ac:dyDescent="0.2">
      <c r="Z28600" t="str">
        <f t="shared" si="446"/>
        <v/>
      </c>
    </row>
    <row r="28601" spans="26:26" x14ac:dyDescent="0.2">
      <c r="Z28601" t="str">
        <f t="shared" si="446"/>
        <v/>
      </c>
    </row>
    <row r="28602" spans="26:26" x14ac:dyDescent="0.2">
      <c r="Z28602" t="str">
        <f t="shared" si="446"/>
        <v/>
      </c>
    </row>
    <row r="28603" spans="26:26" x14ac:dyDescent="0.2">
      <c r="Z28603" t="str">
        <f t="shared" si="446"/>
        <v/>
      </c>
    </row>
    <row r="28604" spans="26:26" x14ac:dyDescent="0.2">
      <c r="Z28604" t="str">
        <f t="shared" si="446"/>
        <v/>
      </c>
    </row>
    <row r="28605" spans="26:26" x14ac:dyDescent="0.2">
      <c r="Z28605" t="str">
        <f t="shared" si="446"/>
        <v/>
      </c>
    </row>
    <row r="28606" spans="26:26" x14ac:dyDescent="0.2">
      <c r="Z28606" t="str">
        <f t="shared" si="446"/>
        <v/>
      </c>
    </row>
    <row r="28607" spans="26:26" x14ac:dyDescent="0.2">
      <c r="Z28607" t="str">
        <f t="shared" si="446"/>
        <v/>
      </c>
    </row>
    <row r="28608" spans="26:26" x14ac:dyDescent="0.2">
      <c r="Z28608" t="str">
        <f t="shared" si="446"/>
        <v/>
      </c>
    </row>
    <row r="28609" spans="26:26" x14ac:dyDescent="0.2">
      <c r="Z28609" t="str">
        <f t="shared" si="446"/>
        <v/>
      </c>
    </row>
    <row r="28610" spans="26:26" x14ac:dyDescent="0.2">
      <c r="Z28610" t="str">
        <f t="shared" si="446"/>
        <v/>
      </c>
    </row>
    <row r="28611" spans="26:26" x14ac:dyDescent="0.2">
      <c r="Z28611" t="str">
        <f t="shared" ref="Z28611:Z28674" si="447">IF(K28611="","",IFERROR(VALUE(TRIM(MID(K28611,FIND(CHAR(167),SUBSTITUTE(K28611,"-",CHAR(167),LEN(K28611)-LEN(SUBSTITUTE(K28611,"-",""))))+1,100))),K28611))</f>
        <v/>
      </c>
    </row>
    <row r="28612" spans="26:26" x14ac:dyDescent="0.2">
      <c r="Z28612" t="str">
        <f t="shared" si="447"/>
        <v/>
      </c>
    </row>
    <row r="28613" spans="26:26" x14ac:dyDescent="0.2">
      <c r="Z28613" t="str">
        <f t="shared" si="447"/>
        <v/>
      </c>
    </row>
    <row r="28614" spans="26:26" x14ac:dyDescent="0.2">
      <c r="Z28614" t="str">
        <f t="shared" si="447"/>
        <v/>
      </c>
    </row>
    <row r="28615" spans="26:26" x14ac:dyDescent="0.2">
      <c r="Z28615" t="str">
        <f t="shared" si="447"/>
        <v/>
      </c>
    </row>
    <row r="28616" spans="26:26" x14ac:dyDescent="0.2">
      <c r="Z28616" t="str">
        <f t="shared" si="447"/>
        <v/>
      </c>
    </row>
    <row r="28617" spans="26:26" x14ac:dyDescent="0.2">
      <c r="Z28617" t="str">
        <f t="shared" si="447"/>
        <v/>
      </c>
    </row>
    <row r="28618" spans="26:26" x14ac:dyDescent="0.2">
      <c r="Z28618" t="str">
        <f t="shared" si="447"/>
        <v/>
      </c>
    </row>
    <row r="28619" spans="26:26" x14ac:dyDescent="0.2">
      <c r="Z28619" t="str">
        <f t="shared" si="447"/>
        <v/>
      </c>
    </row>
    <row r="28620" spans="26:26" x14ac:dyDescent="0.2">
      <c r="Z28620" t="str">
        <f t="shared" si="447"/>
        <v/>
      </c>
    </row>
    <row r="28621" spans="26:26" x14ac:dyDescent="0.2">
      <c r="Z28621" t="str">
        <f t="shared" si="447"/>
        <v/>
      </c>
    </row>
    <row r="28622" spans="26:26" x14ac:dyDescent="0.2">
      <c r="Z28622" t="str">
        <f t="shared" si="447"/>
        <v/>
      </c>
    </row>
    <row r="28623" spans="26:26" x14ac:dyDescent="0.2">
      <c r="Z28623" t="str">
        <f t="shared" si="447"/>
        <v/>
      </c>
    </row>
    <row r="28624" spans="26:26" x14ac:dyDescent="0.2">
      <c r="Z28624" t="str">
        <f t="shared" si="447"/>
        <v/>
      </c>
    </row>
    <row r="28625" spans="26:26" x14ac:dyDescent="0.2">
      <c r="Z28625" t="str">
        <f t="shared" si="447"/>
        <v/>
      </c>
    </row>
    <row r="28626" spans="26:26" x14ac:dyDescent="0.2">
      <c r="Z28626" t="str">
        <f t="shared" si="447"/>
        <v/>
      </c>
    </row>
    <row r="28627" spans="26:26" x14ac:dyDescent="0.2">
      <c r="Z28627" t="str">
        <f t="shared" si="447"/>
        <v/>
      </c>
    </row>
    <row r="28628" spans="26:26" x14ac:dyDescent="0.2">
      <c r="Z28628" t="str">
        <f t="shared" si="447"/>
        <v/>
      </c>
    </row>
    <row r="28629" spans="26:26" x14ac:dyDescent="0.2">
      <c r="Z28629" t="str">
        <f t="shared" si="447"/>
        <v/>
      </c>
    </row>
    <row r="28630" spans="26:26" x14ac:dyDescent="0.2">
      <c r="Z28630" t="str">
        <f t="shared" si="447"/>
        <v/>
      </c>
    </row>
    <row r="28631" spans="26:26" x14ac:dyDescent="0.2">
      <c r="Z28631" t="str">
        <f t="shared" si="447"/>
        <v/>
      </c>
    </row>
    <row r="28632" spans="26:26" x14ac:dyDescent="0.2">
      <c r="Z28632" t="str">
        <f t="shared" si="447"/>
        <v/>
      </c>
    </row>
    <row r="28633" spans="26:26" x14ac:dyDescent="0.2">
      <c r="Z28633" t="str">
        <f t="shared" si="447"/>
        <v/>
      </c>
    </row>
    <row r="28634" spans="26:26" x14ac:dyDescent="0.2">
      <c r="Z28634" t="str">
        <f t="shared" si="447"/>
        <v/>
      </c>
    </row>
    <row r="28635" spans="26:26" x14ac:dyDescent="0.2">
      <c r="Z28635" t="str">
        <f t="shared" si="447"/>
        <v/>
      </c>
    </row>
    <row r="28636" spans="26:26" x14ac:dyDescent="0.2">
      <c r="Z28636" t="str">
        <f t="shared" si="447"/>
        <v/>
      </c>
    </row>
    <row r="28637" spans="26:26" x14ac:dyDescent="0.2">
      <c r="Z28637" t="str">
        <f t="shared" si="447"/>
        <v/>
      </c>
    </row>
    <row r="28638" spans="26:26" x14ac:dyDescent="0.2">
      <c r="Z28638" t="str">
        <f t="shared" si="447"/>
        <v/>
      </c>
    </row>
    <row r="28639" spans="26:26" x14ac:dyDescent="0.2">
      <c r="Z28639" t="str">
        <f t="shared" si="447"/>
        <v/>
      </c>
    </row>
    <row r="28640" spans="26:26" x14ac:dyDescent="0.2">
      <c r="Z28640" t="str">
        <f t="shared" si="447"/>
        <v/>
      </c>
    </row>
    <row r="28641" spans="26:26" x14ac:dyDescent="0.2">
      <c r="Z28641" t="str">
        <f t="shared" si="447"/>
        <v/>
      </c>
    </row>
    <row r="28642" spans="26:26" x14ac:dyDescent="0.2">
      <c r="Z28642" t="str">
        <f t="shared" si="447"/>
        <v/>
      </c>
    </row>
    <row r="28643" spans="26:26" x14ac:dyDescent="0.2">
      <c r="Z28643" t="str">
        <f t="shared" si="447"/>
        <v/>
      </c>
    </row>
    <row r="28644" spans="26:26" x14ac:dyDescent="0.2">
      <c r="Z28644" t="str">
        <f t="shared" si="447"/>
        <v/>
      </c>
    </row>
    <row r="28645" spans="26:26" x14ac:dyDescent="0.2">
      <c r="Z28645" t="str">
        <f t="shared" si="447"/>
        <v/>
      </c>
    </row>
    <row r="28646" spans="26:26" x14ac:dyDescent="0.2">
      <c r="Z28646" t="str">
        <f t="shared" si="447"/>
        <v/>
      </c>
    </row>
    <row r="28647" spans="26:26" x14ac:dyDescent="0.2">
      <c r="Z28647" t="str">
        <f t="shared" si="447"/>
        <v/>
      </c>
    </row>
    <row r="28648" spans="26:26" x14ac:dyDescent="0.2">
      <c r="Z28648" t="str">
        <f t="shared" si="447"/>
        <v/>
      </c>
    </row>
    <row r="28649" spans="26:26" x14ac:dyDescent="0.2">
      <c r="Z28649" t="str">
        <f t="shared" si="447"/>
        <v/>
      </c>
    </row>
    <row r="28650" spans="26:26" x14ac:dyDescent="0.2">
      <c r="Z28650" t="str">
        <f t="shared" si="447"/>
        <v/>
      </c>
    </row>
    <row r="28651" spans="26:26" x14ac:dyDescent="0.2">
      <c r="Z28651" t="str">
        <f t="shared" si="447"/>
        <v/>
      </c>
    </row>
    <row r="28652" spans="26:26" x14ac:dyDescent="0.2">
      <c r="Z28652" t="str">
        <f t="shared" si="447"/>
        <v/>
      </c>
    </row>
    <row r="28653" spans="26:26" x14ac:dyDescent="0.2">
      <c r="Z28653" t="str">
        <f t="shared" si="447"/>
        <v/>
      </c>
    </row>
    <row r="28654" spans="26:26" x14ac:dyDescent="0.2">
      <c r="Z28654" t="str">
        <f t="shared" si="447"/>
        <v/>
      </c>
    </row>
    <row r="28655" spans="26:26" x14ac:dyDescent="0.2">
      <c r="Z28655" t="str">
        <f t="shared" si="447"/>
        <v/>
      </c>
    </row>
    <row r="28656" spans="26:26" x14ac:dyDescent="0.2">
      <c r="Z28656" t="str">
        <f t="shared" si="447"/>
        <v/>
      </c>
    </row>
    <row r="28657" spans="26:26" x14ac:dyDescent="0.2">
      <c r="Z28657" t="str">
        <f t="shared" si="447"/>
        <v/>
      </c>
    </row>
    <row r="28658" spans="26:26" x14ac:dyDescent="0.2">
      <c r="Z28658" t="str">
        <f t="shared" si="447"/>
        <v/>
      </c>
    </row>
    <row r="28659" spans="26:26" x14ac:dyDescent="0.2">
      <c r="Z28659" t="str">
        <f t="shared" si="447"/>
        <v/>
      </c>
    </row>
    <row r="28660" spans="26:26" x14ac:dyDescent="0.2">
      <c r="Z28660" t="str">
        <f t="shared" si="447"/>
        <v/>
      </c>
    </row>
    <row r="28661" spans="26:26" x14ac:dyDescent="0.2">
      <c r="Z28661" t="str">
        <f t="shared" si="447"/>
        <v/>
      </c>
    </row>
    <row r="28662" spans="26:26" x14ac:dyDescent="0.2">
      <c r="Z28662" t="str">
        <f t="shared" si="447"/>
        <v/>
      </c>
    </row>
    <row r="28663" spans="26:26" x14ac:dyDescent="0.2">
      <c r="Z28663" t="str">
        <f t="shared" si="447"/>
        <v/>
      </c>
    </row>
    <row r="28664" spans="26:26" x14ac:dyDescent="0.2">
      <c r="Z28664" t="str">
        <f t="shared" si="447"/>
        <v/>
      </c>
    </row>
    <row r="28665" spans="26:26" x14ac:dyDescent="0.2">
      <c r="Z28665" t="str">
        <f t="shared" si="447"/>
        <v/>
      </c>
    </row>
    <row r="28666" spans="26:26" x14ac:dyDescent="0.2">
      <c r="Z28666" t="str">
        <f t="shared" si="447"/>
        <v/>
      </c>
    </row>
    <row r="28667" spans="26:26" x14ac:dyDescent="0.2">
      <c r="Z28667" t="str">
        <f t="shared" si="447"/>
        <v/>
      </c>
    </row>
    <row r="28668" spans="26:26" x14ac:dyDescent="0.2">
      <c r="Z28668" t="str">
        <f t="shared" si="447"/>
        <v/>
      </c>
    </row>
    <row r="28669" spans="26:26" x14ac:dyDescent="0.2">
      <c r="Z28669" t="str">
        <f t="shared" si="447"/>
        <v/>
      </c>
    </row>
    <row r="28670" spans="26:26" x14ac:dyDescent="0.2">
      <c r="Z28670" t="str">
        <f t="shared" si="447"/>
        <v/>
      </c>
    </row>
    <row r="28671" spans="26:26" x14ac:dyDescent="0.2">
      <c r="Z28671" t="str">
        <f t="shared" si="447"/>
        <v/>
      </c>
    </row>
    <row r="28672" spans="26:26" x14ac:dyDescent="0.2">
      <c r="Z28672" t="str">
        <f t="shared" si="447"/>
        <v/>
      </c>
    </row>
    <row r="28673" spans="26:26" x14ac:dyDescent="0.2">
      <c r="Z28673" t="str">
        <f t="shared" si="447"/>
        <v/>
      </c>
    </row>
    <row r="28674" spans="26:26" x14ac:dyDescent="0.2">
      <c r="Z28674" t="str">
        <f t="shared" si="447"/>
        <v/>
      </c>
    </row>
    <row r="28675" spans="26:26" x14ac:dyDescent="0.2">
      <c r="Z28675" t="str">
        <f t="shared" ref="Z28675:Z28738" si="448">IF(K28675="","",IFERROR(VALUE(TRIM(MID(K28675,FIND(CHAR(167),SUBSTITUTE(K28675,"-",CHAR(167),LEN(K28675)-LEN(SUBSTITUTE(K28675,"-",""))))+1,100))),K28675))</f>
        <v/>
      </c>
    </row>
    <row r="28676" spans="26:26" x14ac:dyDescent="0.2">
      <c r="Z28676" t="str">
        <f t="shared" si="448"/>
        <v/>
      </c>
    </row>
    <row r="28677" spans="26:26" x14ac:dyDescent="0.2">
      <c r="Z28677" t="str">
        <f t="shared" si="448"/>
        <v/>
      </c>
    </row>
    <row r="28678" spans="26:26" x14ac:dyDescent="0.2">
      <c r="Z28678" t="str">
        <f t="shared" si="448"/>
        <v/>
      </c>
    </row>
    <row r="28679" spans="26:26" x14ac:dyDescent="0.2">
      <c r="Z28679" t="str">
        <f t="shared" si="448"/>
        <v/>
      </c>
    </row>
    <row r="28680" spans="26:26" x14ac:dyDescent="0.2">
      <c r="Z28680" t="str">
        <f t="shared" si="448"/>
        <v/>
      </c>
    </row>
    <row r="28681" spans="26:26" x14ac:dyDescent="0.2">
      <c r="Z28681" t="str">
        <f t="shared" si="448"/>
        <v/>
      </c>
    </row>
    <row r="28682" spans="26:26" x14ac:dyDescent="0.2">
      <c r="Z28682" t="str">
        <f t="shared" si="448"/>
        <v/>
      </c>
    </row>
    <row r="28683" spans="26:26" x14ac:dyDescent="0.2">
      <c r="Z28683" t="str">
        <f t="shared" si="448"/>
        <v/>
      </c>
    </row>
    <row r="28684" spans="26:26" x14ac:dyDescent="0.2">
      <c r="Z28684" t="str">
        <f t="shared" si="448"/>
        <v/>
      </c>
    </row>
    <row r="28685" spans="26:26" x14ac:dyDescent="0.2">
      <c r="Z28685" t="str">
        <f t="shared" si="448"/>
        <v/>
      </c>
    </row>
    <row r="28686" spans="26:26" x14ac:dyDescent="0.2">
      <c r="Z28686" t="str">
        <f t="shared" si="448"/>
        <v/>
      </c>
    </row>
    <row r="28687" spans="26:26" x14ac:dyDescent="0.2">
      <c r="Z28687" t="str">
        <f t="shared" si="448"/>
        <v/>
      </c>
    </row>
    <row r="28688" spans="26:26" x14ac:dyDescent="0.2">
      <c r="Z28688" t="str">
        <f t="shared" si="448"/>
        <v/>
      </c>
    </row>
    <row r="28689" spans="26:26" x14ac:dyDescent="0.2">
      <c r="Z28689" t="str">
        <f t="shared" si="448"/>
        <v/>
      </c>
    </row>
    <row r="28690" spans="26:26" x14ac:dyDescent="0.2">
      <c r="Z28690" t="str">
        <f t="shared" si="448"/>
        <v/>
      </c>
    </row>
    <row r="28691" spans="26:26" x14ac:dyDescent="0.2">
      <c r="Z28691" t="str">
        <f t="shared" si="448"/>
        <v/>
      </c>
    </row>
    <row r="28692" spans="26:26" x14ac:dyDescent="0.2">
      <c r="Z28692" t="str">
        <f t="shared" si="448"/>
        <v/>
      </c>
    </row>
    <row r="28693" spans="26:26" x14ac:dyDescent="0.2">
      <c r="Z28693" t="str">
        <f t="shared" si="448"/>
        <v/>
      </c>
    </row>
    <row r="28694" spans="26:26" x14ac:dyDescent="0.2">
      <c r="Z28694" t="str">
        <f t="shared" si="448"/>
        <v/>
      </c>
    </row>
    <row r="28695" spans="26:26" x14ac:dyDescent="0.2">
      <c r="Z28695" t="str">
        <f t="shared" si="448"/>
        <v/>
      </c>
    </row>
    <row r="28696" spans="26:26" x14ac:dyDescent="0.2">
      <c r="Z28696" t="str">
        <f t="shared" si="448"/>
        <v/>
      </c>
    </row>
    <row r="28697" spans="26:26" x14ac:dyDescent="0.2">
      <c r="Z28697" t="str">
        <f t="shared" si="448"/>
        <v/>
      </c>
    </row>
    <row r="28698" spans="26:26" x14ac:dyDescent="0.2">
      <c r="Z28698" t="str">
        <f t="shared" si="448"/>
        <v/>
      </c>
    </row>
    <row r="28699" spans="26:26" x14ac:dyDescent="0.2">
      <c r="Z28699" t="str">
        <f t="shared" si="448"/>
        <v/>
      </c>
    </row>
    <row r="28700" spans="26:26" x14ac:dyDescent="0.2">
      <c r="Z28700" t="str">
        <f t="shared" si="448"/>
        <v/>
      </c>
    </row>
    <row r="28701" spans="26:26" x14ac:dyDescent="0.2">
      <c r="Z28701" t="str">
        <f t="shared" si="448"/>
        <v/>
      </c>
    </row>
    <row r="28702" spans="26:26" x14ac:dyDescent="0.2">
      <c r="Z28702" t="str">
        <f t="shared" si="448"/>
        <v/>
      </c>
    </row>
    <row r="28703" spans="26:26" x14ac:dyDescent="0.2">
      <c r="Z28703" t="str">
        <f t="shared" si="448"/>
        <v/>
      </c>
    </row>
    <row r="28704" spans="26:26" x14ac:dyDescent="0.2">
      <c r="Z28704" t="str">
        <f t="shared" si="448"/>
        <v/>
      </c>
    </row>
    <row r="28705" spans="26:26" x14ac:dyDescent="0.2">
      <c r="Z28705" t="str">
        <f t="shared" si="448"/>
        <v/>
      </c>
    </row>
    <row r="28706" spans="26:26" x14ac:dyDescent="0.2">
      <c r="Z28706" t="str">
        <f t="shared" si="448"/>
        <v/>
      </c>
    </row>
    <row r="28707" spans="26:26" x14ac:dyDescent="0.2">
      <c r="Z28707" t="str">
        <f t="shared" si="448"/>
        <v/>
      </c>
    </row>
    <row r="28708" spans="26:26" x14ac:dyDescent="0.2">
      <c r="Z28708" t="str">
        <f t="shared" si="448"/>
        <v/>
      </c>
    </row>
    <row r="28709" spans="26:26" x14ac:dyDescent="0.2">
      <c r="Z28709" t="str">
        <f t="shared" si="448"/>
        <v/>
      </c>
    </row>
    <row r="28710" spans="26:26" x14ac:dyDescent="0.2">
      <c r="Z28710" t="str">
        <f t="shared" si="448"/>
        <v/>
      </c>
    </row>
    <row r="28711" spans="26:26" x14ac:dyDescent="0.2">
      <c r="Z28711" t="str">
        <f t="shared" si="448"/>
        <v/>
      </c>
    </row>
    <row r="28712" spans="26:26" x14ac:dyDescent="0.2">
      <c r="Z28712" t="str">
        <f t="shared" si="448"/>
        <v/>
      </c>
    </row>
    <row r="28713" spans="26:26" x14ac:dyDescent="0.2">
      <c r="Z28713" t="str">
        <f t="shared" si="448"/>
        <v/>
      </c>
    </row>
    <row r="28714" spans="26:26" x14ac:dyDescent="0.2">
      <c r="Z28714" t="str">
        <f t="shared" si="448"/>
        <v/>
      </c>
    </row>
    <row r="28715" spans="26:26" x14ac:dyDescent="0.2">
      <c r="Z28715" t="str">
        <f t="shared" si="448"/>
        <v/>
      </c>
    </row>
    <row r="28716" spans="26:26" x14ac:dyDescent="0.2">
      <c r="Z28716" t="str">
        <f t="shared" si="448"/>
        <v/>
      </c>
    </row>
    <row r="28717" spans="26:26" x14ac:dyDescent="0.2">
      <c r="Z28717" t="str">
        <f t="shared" si="448"/>
        <v/>
      </c>
    </row>
    <row r="28718" spans="26:26" x14ac:dyDescent="0.2">
      <c r="Z28718" t="str">
        <f t="shared" si="448"/>
        <v/>
      </c>
    </row>
    <row r="28719" spans="26:26" x14ac:dyDescent="0.2">
      <c r="Z28719" t="str">
        <f t="shared" si="448"/>
        <v/>
      </c>
    </row>
    <row r="28720" spans="26:26" x14ac:dyDescent="0.2">
      <c r="Z28720" t="str">
        <f t="shared" si="448"/>
        <v/>
      </c>
    </row>
    <row r="28721" spans="26:26" x14ac:dyDescent="0.2">
      <c r="Z28721" t="str">
        <f t="shared" si="448"/>
        <v/>
      </c>
    </row>
    <row r="28722" spans="26:26" x14ac:dyDescent="0.2">
      <c r="Z28722" t="str">
        <f t="shared" si="448"/>
        <v/>
      </c>
    </row>
    <row r="28723" spans="26:26" x14ac:dyDescent="0.2">
      <c r="Z28723" t="str">
        <f t="shared" si="448"/>
        <v/>
      </c>
    </row>
    <row r="28724" spans="26:26" x14ac:dyDescent="0.2">
      <c r="Z28724" t="str">
        <f t="shared" si="448"/>
        <v/>
      </c>
    </row>
    <row r="28725" spans="26:26" x14ac:dyDescent="0.2">
      <c r="Z28725" t="str">
        <f t="shared" si="448"/>
        <v/>
      </c>
    </row>
    <row r="28726" spans="26:26" x14ac:dyDescent="0.2">
      <c r="Z28726" t="str">
        <f t="shared" si="448"/>
        <v/>
      </c>
    </row>
    <row r="28727" spans="26:26" x14ac:dyDescent="0.2">
      <c r="Z28727" t="str">
        <f t="shared" si="448"/>
        <v/>
      </c>
    </row>
    <row r="28728" spans="26:26" x14ac:dyDescent="0.2">
      <c r="Z28728" t="str">
        <f t="shared" si="448"/>
        <v/>
      </c>
    </row>
    <row r="28729" spans="26:26" x14ac:dyDescent="0.2">
      <c r="Z28729" t="str">
        <f t="shared" si="448"/>
        <v/>
      </c>
    </row>
    <row r="28730" spans="26:26" x14ac:dyDescent="0.2">
      <c r="Z28730" t="str">
        <f t="shared" si="448"/>
        <v/>
      </c>
    </row>
    <row r="28731" spans="26:26" x14ac:dyDescent="0.2">
      <c r="Z28731" t="str">
        <f t="shared" si="448"/>
        <v/>
      </c>
    </row>
    <row r="28732" spans="26:26" x14ac:dyDescent="0.2">
      <c r="Z28732" t="str">
        <f t="shared" si="448"/>
        <v/>
      </c>
    </row>
    <row r="28733" spans="26:26" x14ac:dyDescent="0.2">
      <c r="Z28733" t="str">
        <f t="shared" si="448"/>
        <v/>
      </c>
    </row>
    <row r="28734" spans="26:26" x14ac:dyDescent="0.2">
      <c r="Z28734" t="str">
        <f t="shared" si="448"/>
        <v/>
      </c>
    </row>
    <row r="28735" spans="26:26" x14ac:dyDescent="0.2">
      <c r="Z28735" t="str">
        <f t="shared" si="448"/>
        <v/>
      </c>
    </row>
    <row r="28736" spans="26:26" x14ac:dyDescent="0.2">
      <c r="Z28736" t="str">
        <f t="shared" si="448"/>
        <v/>
      </c>
    </row>
    <row r="28737" spans="26:26" x14ac:dyDescent="0.2">
      <c r="Z28737" t="str">
        <f t="shared" si="448"/>
        <v/>
      </c>
    </row>
    <row r="28738" spans="26:26" x14ac:dyDescent="0.2">
      <c r="Z28738" t="str">
        <f t="shared" si="448"/>
        <v/>
      </c>
    </row>
    <row r="28739" spans="26:26" x14ac:dyDescent="0.2">
      <c r="Z28739" t="str">
        <f t="shared" ref="Z28739:Z28802" si="449">IF(K28739="","",IFERROR(VALUE(TRIM(MID(K28739,FIND(CHAR(167),SUBSTITUTE(K28739,"-",CHAR(167),LEN(K28739)-LEN(SUBSTITUTE(K28739,"-",""))))+1,100))),K28739))</f>
        <v/>
      </c>
    </row>
    <row r="28740" spans="26:26" x14ac:dyDescent="0.2">
      <c r="Z28740" t="str">
        <f t="shared" si="449"/>
        <v/>
      </c>
    </row>
    <row r="28741" spans="26:26" x14ac:dyDescent="0.2">
      <c r="Z28741" t="str">
        <f t="shared" si="449"/>
        <v/>
      </c>
    </row>
    <row r="28742" spans="26:26" x14ac:dyDescent="0.2">
      <c r="Z28742" t="str">
        <f t="shared" si="449"/>
        <v/>
      </c>
    </row>
    <row r="28743" spans="26:26" x14ac:dyDescent="0.2">
      <c r="Z28743" t="str">
        <f t="shared" si="449"/>
        <v/>
      </c>
    </row>
    <row r="28744" spans="26:26" x14ac:dyDescent="0.2">
      <c r="Z28744" t="str">
        <f t="shared" si="449"/>
        <v/>
      </c>
    </row>
    <row r="28745" spans="26:26" x14ac:dyDescent="0.2">
      <c r="Z28745" t="str">
        <f t="shared" si="449"/>
        <v/>
      </c>
    </row>
    <row r="28746" spans="26:26" x14ac:dyDescent="0.2">
      <c r="Z28746" t="str">
        <f t="shared" si="449"/>
        <v/>
      </c>
    </row>
    <row r="28747" spans="26:26" x14ac:dyDescent="0.2">
      <c r="Z28747" t="str">
        <f t="shared" si="449"/>
        <v/>
      </c>
    </row>
    <row r="28748" spans="26:26" x14ac:dyDescent="0.2">
      <c r="Z28748" t="str">
        <f t="shared" si="449"/>
        <v/>
      </c>
    </row>
    <row r="28749" spans="26:26" x14ac:dyDescent="0.2">
      <c r="Z28749" t="str">
        <f t="shared" si="449"/>
        <v/>
      </c>
    </row>
    <row r="28750" spans="26:26" x14ac:dyDescent="0.2">
      <c r="Z28750" t="str">
        <f t="shared" si="449"/>
        <v/>
      </c>
    </row>
    <row r="28751" spans="26:26" x14ac:dyDescent="0.2">
      <c r="Z28751" t="str">
        <f t="shared" si="449"/>
        <v/>
      </c>
    </row>
    <row r="28752" spans="26:26" x14ac:dyDescent="0.2">
      <c r="Z28752" t="str">
        <f t="shared" si="449"/>
        <v/>
      </c>
    </row>
    <row r="28753" spans="26:26" x14ac:dyDescent="0.2">
      <c r="Z28753" t="str">
        <f t="shared" si="449"/>
        <v/>
      </c>
    </row>
    <row r="28754" spans="26:26" x14ac:dyDescent="0.2">
      <c r="Z28754" t="str">
        <f t="shared" si="449"/>
        <v/>
      </c>
    </row>
    <row r="28755" spans="26:26" x14ac:dyDescent="0.2">
      <c r="Z28755" t="str">
        <f t="shared" si="449"/>
        <v/>
      </c>
    </row>
    <row r="28756" spans="26:26" x14ac:dyDescent="0.2">
      <c r="Z28756" t="str">
        <f t="shared" si="449"/>
        <v/>
      </c>
    </row>
    <row r="28757" spans="26:26" x14ac:dyDescent="0.2">
      <c r="Z28757" t="str">
        <f t="shared" si="449"/>
        <v/>
      </c>
    </row>
    <row r="28758" spans="26:26" x14ac:dyDescent="0.2">
      <c r="Z28758" t="str">
        <f t="shared" si="449"/>
        <v/>
      </c>
    </row>
    <row r="28759" spans="26:26" x14ac:dyDescent="0.2">
      <c r="Z28759" t="str">
        <f t="shared" si="449"/>
        <v/>
      </c>
    </row>
    <row r="28760" spans="26:26" x14ac:dyDescent="0.2">
      <c r="Z28760" t="str">
        <f t="shared" si="449"/>
        <v/>
      </c>
    </row>
    <row r="28761" spans="26:26" x14ac:dyDescent="0.2">
      <c r="Z28761" t="str">
        <f t="shared" si="449"/>
        <v/>
      </c>
    </row>
    <row r="28762" spans="26:26" x14ac:dyDescent="0.2">
      <c r="Z28762" t="str">
        <f t="shared" si="449"/>
        <v/>
      </c>
    </row>
    <row r="28763" spans="26:26" x14ac:dyDescent="0.2">
      <c r="Z28763" t="str">
        <f t="shared" si="449"/>
        <v/>
      </c>
    </row>
    <row r="28764" spans="26:26" x14ac:dyDescent="0.2">
      <c r="Z28764" t="str">
        <f t="shared" si="449"/>
        <v/>
      </c>
    </row>
    <row r="28765" spans="26:26" x14ac:dyDescent="0.2">
      <c r="Z28765" t="str">
        <f t="shared" si="449"/>
        <v/>
      </c>
    </row>
    <row r="28766" spans="26:26" x14ac:dyDescent="0.2">
      <c r="Z28766" t="str">
        <f t="shared" si="449"/>
        <v/>
      </c>
    </row>
    <row r="28767" spans="26:26" x14ac:dyDescent="0.2">
      <c r="Z28767" t="str">
        <f t="shared" si="449"/>
        <v/>
      </c>
    </row>
    <row r="28768" spans="26:26" x14ac:dyDescent="0.2">
      <c r="Z28768" t="str">
        <f t="shared" si="449"/>
        <v/>
      </c>
    </row>
    <row r="28769" spans="26:26" x14ac:dyDescent="0.2">
      <c r="Z28769" t="str">
        <f t="shared" si="449"/>
        <v/>
      </c>
    </row>
    <row r="28770" spans="26:26" x14ac:dyDescent="0.2">
      <c r="Z28770" t="str">
        <f t="shared" si="449"/>
        <v/>
      </c>
    </row>
    <row r="28771" spans="26:26" x14ac:dyDescent="0.2">
      <c r="Z28771" t="str">
        <f t="shared" si="449"/>
        <v/>
      </c>
    </row>
    <row r="28772" spans="26:26" x14ac:dyDescent="0.2">
      <c r="Z28772" t="str">
        <f t="shared" si="449"/>
        <v/>
      </c>
    </row>
    <row r="28773" spans="26:26" x14ac:dyDescent="0.2">
      <c r="Z28773" t="str">
        <f t="shared" si="449"/>
        <v/>
      </c>
    </row>
    <row r="28774" spans="26:26" x14ac:dyDescent="0.2">
      <c r="Z28774" t="str">
        <f t="shared" si="449"/>
        <v/>
      </c>
    </row>
    <row r="28775" spans="26:26" x14ac:dyDescent="0.2">
      <c r="Z28775" t="str">
        <f t="shared" si="449"/>
        <v/>
      </c>
    </row>
    <row r="28776" spans="26:26" x14ac:dyDescent="0.2">
      <c r="Z28776" t="str">
        <f t="shared" si="449"/>
        <v/>
      </c>
    </row>
    <row r="28777" spans="26:26" x14ac:dyDescent="0.2">
      <c r="Z28777" t="str">
        <f t="shared" si="449"/>
        <v/>
      </c>
    </row>
    <row r="28778" spans="26:26" x14ac:dyDescent="0.2">
      <c r="Z28778" t="str">
        <f t="shared" si="449"/>
        <v/>
      </c>
    </row>
    <row r="28779" spans="26:26" x14ac:dyDescent="0.2">
      <c r="Z28779" t="str">
        <f t="shared" si="449"/>
        <v/>
      </c>
    </row>
    <row r="28780" spans="26:26" x14ac:dyDescent="0.2">
      <c r="Z28780" t="str">
        <f t="shared" si="449"/>
        <v/>
      </c>
    </row>
    <row r="28781" spans="26:26" x14ac:dyDescent="0.2">
      <c r="Z28781" t="str">
        <f t="shared" si="449"/>
        <v/>
      </c>
    </row>
    <row r="28782" spans="26:26" x14ac:dyDescent="0.2">
      <c r="Z28782" t="str">
        <f t="shared" si="449"/>
        <v/>
      </c>
    </row>
    <row r="28783" spans="26:26" x14ac:dyDescent="0.2">
      <c r="Z28783" t="str">
        <f t="shared" si="449"/>
        <v/>
      </c>
    </row>
    <row r="28784" spans="26:26" x14ac:dyDescent="0.2">
      <c r="Z28784" t="str">
        <f t="shared" si="449"/>
        <v/>
      </c>
    </row>
    <row r="28785" spans="26:26" x14ac:dyDescent="0.2">
      <c r="Z28785" t="str">
        <f t="shared" si="449"/>
        <v/>
      </c>
    </row>
    <row r="28786" spans="26:26" x14ac:dyDescent="0.2">
      <c r="Z28786" t="str">
        <f t="shared" si="449"/>
        <v/>
      </c>
    </row>
    <row r="28787" spans="26:26" x14ac:dyDescent="0.2">
      <c r="Z28787" t="str">
        <f t="shared" si="449"/>
        <v/>
      </c>
    </row>
    <row r="28788" spans="26:26" x14ac:dyDescent="0.2">
      <c r="Z28788" t="str">
        <f t="shared" si="449"/>
        <v/>
      </c>
    </row>
    <row r="28789" spans="26:26" x14ac:dyDescent="0.2">
      <c r="Z28789" t="str">
        <f t="shared" si="449"/>
        <v/>
      </c>
    </row>
    <row r="28790" spans="26:26" x14ac:dyDescent="0.2">
      <c r="Z28790" t="str">
        <f t="shared" si="449"/>
        <v/>
      </c>
    </row>
    <row r="28791" spans="26:26" x14ac:dyDescent="0.2">
      <c r="Z28791" t="str">
        <f t="shared" si="449"/>
        <v/>
      </c>
    </row>
    <row r="28792" spans="26:26" x14ac:dyDescent="0.2">
      <c r="Z28792" t="str">
        <f t="shared" si="449"/>
        <v/>
      </c>
    </row>
    <row r="28793" spans="26:26" x14ac:dyDescent="0.2">
      <c r="Z28793" t="str">
        <f t="shared" si="449"/>
        <v/>
      </c>
    </row>
    <row r="28794" spans="26:26" x14ac:dyDescent="0.2">
      <c r="Z28794" t="str">
        <f t="shared" si="449"/>
        <v/>
      </c>
    </row>
    <row r="28795" spans="26:26" x14ac:dyDescent="0.2">
      <c r="Z28795" t="str">
        <f t="shared" si="449"/>
        <v/>
      </c>
    </row>
    <row r="28796" spans="26:26" x14ac:dyDescent="0.2">
      <c r="Z28796" t="str">
        <f t="shared" si="449"/>
        <v/>
      </c>
    </row>
    <row r="28797" spans="26:26" x14ac:dyDescent="0.2">
      <c r="Z28797" t="str">
        <f t="shared" si="449"/>
        <v/>
      </c>
    </row>
    <row r="28798" spans="26:26" x14ac:dyDescent="0.2">
      <c r="Z28798" t="str">
        <f t="shared" si="449"/>
        <v/>
      </c>
    </row>
    <row r="28799" spans="26:26" x14ac:dyDescent="0.2">
      <c r="Z28799" t="str">
        <f t="shared" si="449"/>
        <v/>
      </c>
    </row>
    <row r="28800" spans="26:26" x14ac:dyDescent="0.2">
      <c r="Z28800" t="str">
        <f t="shared" si="449"/>
        <v/>
      </c>
    </row>
    <row r="28801" spans="26:26" x14ac:dyDescent="0.2">
      <c r="Z28801" t="str">
        <f t="shared" si="449"/>
        <v/>
      </c>
    </row>
    <row r="28802" spans="26:26" x14ac:dyDescent="0.2">
      <c r="Z28802" t="str">
        <f t="shared" si="449"/>
        <v/>
      </c>
    </row>
    <row r="28803" spans="26:26" x14ac:dyDescent="0.2">
      <c r="Z28803" t="str">
        <f t="shared" ref="Z28803:Z28866" si="450">IF(K28803="","",IFERROR(VALUE(TRIM(MID(K28803,FIND(CHAR(167),SUBSTITUTE(K28803,"-",CHAR(167),LEN(K28803)-LEN(SUBSTITUTE(K28803,"-",""))))+1,100))),K28803))</f>
        <v/>
      </c>
    </row>
    <row r="28804" spans="26:26" x14ac:dyDescent="0.2">
      <c r="Z28804" t="str">
        <f t="shared" si="450"/>
        <v/>
      </c>
    </row>
    <row r="28805" spans="26:26" x14ac:dyDescent="0.2">
      <c r="Z28805" t="str">
        <f t="shared" si="450"/>
        <v/>
      </c>
    </row>
    <row r="28806" spans="26:26" x14ac:dyDescent="0.2">
      <c r="Z28806" t="str">
        <f t="shared" si="450"/>
        <v/>
      </c>
    </row>
    <row r="28807" spans="26:26" x14ac:dyDescent="0.2">
      <c r="Z28807" t="str">
        <f t="shared" si="450"/>
        <v/>
      </c>
    </row>
    <row r="28808" spans="26:26" x14ac:dyDescent="0.2">
      <c r="Z28808" t="str">
        <f t="shared" si="450"/>
        <v/>
      </c>
    </row>
    <row r="28809" spans="26:26" x14ac:dyDescent="0.2">
      <c r="Z28809" t="str">
        <f t="shared" si="450"/>
        <v/>
      </c>
    </row>
    <row r="28810" spans="26:26" x14ac:dyDescent="0.2">
      <c r="Z28810" t="str">
        <f t="shared" si="450"/>
        <v/>
      </c>
    </row>
    <row r="28811" spans="26:26" x14ac:dyDescent="0.2">
      <c r="Z28811" t="str">
        <f t="shared" si="450"/>
        <v/>
      </c>
    </row>
    <row r="28812" spans="26:26" x14ac:dyDescent="0.2">
      <c r="Z28812" t="str">
        <f t="shared" si="450"/>
        <v/>
      </c>
    </row>
    <row r="28813" spans="26:26" x14ac:dyDescent="0.2">
      <c r="Z28813" t="str">
        <f t="shared" si="450"/>
        <v/>
      </c>
    </row>
    <row r="28814" spans="26:26" x14ac:dyDescent="0.2">
      <c r="Z28814" t="str">
        <f t="shared" si="450"/>
        <v/>
      </c>
    </row>
    <row r="28815" spans="26:26" x14ac:dyDescent="0.2">
      <c r="Z28815" t="str">
        <f t="shared" si="450"/>
        <v/>
      </c>
    </row>
    <row r="28816" spans="26:26" x14ac:dyDescent="0.2">
      <c r="Z28816" t="str">
        <f t="shared" si="450"/>
        <v/>
      </c>
    </row>
    <row r="28817" spans="26:26" x14ac:dyDescent="0.2">
      <c r="Z28817" t="str">
        <f t="shared" si="450"/>
        <v/>
      </c>
    </row>
    <row r="28818" spans="26:26" x14ac:dyDescent="0.2">
      <c r="Z28818" t="str">
        <f t="shared" si="450"/>
        <v/>
      </c>
    </row>
    <row r="28819" spans="26:26" x14ac:dyDescent="0.2">
      <c r="Z28819" t="str">
        <f t="shared" si="450"/>
        <v/>
      </c>
    </row>
    <row r="28820" spans="26:26" x14ac:dyDescent="0.2">
      <c r="Z28820" t="str">
        <f t="shared" si="450"/>
        <v/>
      </c>
    </row>
    <row r="28821" spans="26:26" x14ac:dyDescent="0.2">
      <c r="Z28821" t="str">
        <f t="shared" si="450"/>
        <v/>
      </c>
    </row>
    <row r="28822" spans="26:26" x14ac:dyDescent="0.2">
      <c r="Z28822" t="str">
        <f t="shared" si="450"/>
        <v/>
      </c>
    </row>
    <row r="28823" spans="26:26" x14ac:dyDescent="0.2">
      <c r="Z28823" t="str">
        <f t="shared" si="450"/>
        <v/>
      </c>
    </row>
    <row r="28824" spans="26:26" x14ac:dyDescent="0.2">
      <c r="Z28824" t="str">
        <f t="shared" si="450"/>
        <v/>
      </c>
    </row>
    <row r="28825" spans="26:26" x14ac:dyDescent="0.2">
      <c r="Z28825" t="str">
        <f t="shared" si="450"/>
        <v/>
      </c>
    </row>
    <row r="28826" spans="26:26" x14ac:dyDescent="0.2">
      <c r="Z28826" t="str">
        <f t="shared" si="450"/>
        <v/>
      </c>
    </row>
    <row r="28827" spans="26:26" x14ac:dyDescent="0.2">
      <c r="Z28827" t="str">
        <f t="shared" si="450"/>
        <v/>
      </c>
    </row>
    <row r="28828" spans="26:26" x14ac:dyDescent="0.2">
      <c r="Z28828" t="str">
        <f t="shared" si="450"/>
        <v/>
      </c>
    </row>
    <row r="28829" spans="26:26" x14ac:dyDescent="0.2">
      <c r="Z28829" t="str">
        <f t="shared" si="450"/>
        <v/>
      </c>
    </row>
    <row r="28830" spans="26:26" x14ac:dyDescent="0.2">
      <c r="Z28830" t="str">
        <f t="shared" si="450"/>
        <v/>
      </c>
    </row>
    <row r="28831" spans="26:26" x14ac:dyDescent="0.2">
      <c r="Z28831" t="str">
        <f t="shared" si="450"/>
        <v/>
      </c>
    </row>
    <row r="28832" spans="26:26" x14ac:dyDescent="0.2">
      <c r="Z28832" t="str">
        <f t="shared" si="450"/>
        <v/>
      </c>
    </row>
    <row r="28833" spans="26:26" x14ac:dyDescent="0.2">
      <c r="Z28833" t="str">
        <f t="shared" si="450"/>
        <v/>
      </c>
    </row>
    <row r="28834" spans="26:26" x14ac:dyDescent="0.2">
      <c r="Z28834" t="str">
        <f t="shared" si="450"/>
        <v/>
      </c>
    </row>
    <row r="28835" spans="26:26" x14ac:dyDescent="0.2">
      <c r="Z28835" t="str">
        <f t="shared" si="450"/>
        <v/>
      </c>
    </row>
    <row r="28836" spans="26:26" x14ac:dyDescent="0.2">
      <c r="Z28836" t="str">
        <f t="shared" si="450"/>
        <v/>
      </c>
    </row>
    <row r="28837" spans="26:26" x14ac:dyDescent="0.2">
      <c r="Z28837" t="str">
        <f t="shared" si="450"/>
        <v/>
      </c>
    </row>
    <row r="28838" spans="26:26" x14ac:dyDescent="0.2">
      <c r="Z28838" t="str">
        <f t="shared" si="450"/>
        <v/>
      </c>
    </row>
    <row r="28839" spans="26:26" x14ac:dyDescent="0.2">
      <c r="Z28839" t="str">
        <f t="shared" si="450"/>
        <v/>
      </c>
    </row>
    <row r="28840" spans="26:26" x14ac:dyDescent="0.2">
      <c r="Z28840" t="str">
        <f t="shared" si="450"/>
        <v/>
      </c>
    </row>
    <row r="28841" spans="26:26" x14ac:dyDescent="0.2">
      <c r="Z28841" t="str">
        <f t="shared" si="450"/>
        <v/>
      </c>
    </row>
    <row r="28842" spans="26:26" x14ac:dyDescent="0.2">
      <c r="Z28842" t="str">
        <f t="shared" si="450"/>
        <v/>
      </c>
    </row>
    <row r="28843" spans="26:26" x14ac:dyDescent="0.2">
      <c r="Z28843" t="str">
        <f t="shared" si="450"/>
        <v/>
      </c>
    </row>
    <row r="28844" spans="26:26" x14ac:dyDescent="0.2">
      <c r="Z28844" t="str">
        <f t="shared" si="450"/>
        <v/>
      </c>
    </row>
    <row r="28845" spans="26:26" x14ac:dyDescent="0.2">
      <c r="Z28845" t="str">
        <f t="shared" si="450"/>
        <v/>
      </c>
    </row>
    <row r="28846" spans="26:26" x14ac:dyDescent="0.2">
      <c r="Z28846" t="str">
        <f t="shared" si="450"/>
        <v/>
      </c>
    </row>
    <row r="28847" spans="26:26" x14ac:dyDescent="0.2">
      <c r="Z28847" t="str">
        <f t="shared" si="450"/>
        <v/>
      </c>
    </row>
    <row r="28848" spans="26:26" x14ac:dyDescent="0.2">
      <c r="Z28848" t="str">
        <f t="shared" si="450"/>
        <v/>
      </c>
    </row>
    <row r="28849" spans="26:26" x14ac:dyDescent="0.2">
      <c r="Z28849" t="str">
        <f t="shared" si="450"/>
        <v/>
      </c>
    </row>
    <row r="28850" spans="26:26" x14ac:dyDescent="0.2">
      <c r="Z28850" t="str">
        <f t="shared" si="450"/>
        <v/>
      </c>
    </row>
    <row r="28851" spans="26:26" x14ac:dyDescent="0.2">
      <c r="Z28851" t="str">
        <f t="shared" si="450"/>
        <v/>
      </c>
    </row>
    <row r="28852" spans="26:26" x14ac:dyDescent="0.2">
      <c r="Z28852" t="str">
        <f t="shared" si="450"/>
        <v/>
      </c>
    </row>
    <row r="28853" spans="26:26" x14ac:dyDescent="0.2">
      <c r="Z28853" t="str">
        <f t="shared" si="450"/>
        <v/>
      </c>
    </row>
    <row r="28854" spans="26:26" x14ac:dyDescent="0.2">
      <c r="Z28854" t="str">
        <f t="shared" si="450"/>
        <v/>
      </c>
    </row>
    <row r="28855" spans="26:26" x14ac:dyDescent="0.2">
      <c r="Z28855" t="str">
        <f t="shared" si="450"/>
        <v/>
      </c>
    </row>
    <row r="28856" spans="26:26" x14ac:dyDescent="0.2">
      <c r="Z28856" t="str">
        <f t="shared" si="450"/>
        <v/>
      </c>
    </row>
    <row r="28857" spans="26:26" x14ac:dyDescent="0.2">
      <c r="Z28857" t="str">
        <f t="shared" si="450"/>
        <v/>
      </c>
    </row>
    <row r="28858" spans="26:26" x14ac:dyDescent="0.2">
      <c r="Z28858" t="str">
        <f t="shared" si="450"/>
        <v/>
      </c>
    </row>
    <row r="28859" spans="26:26" x14ac:dyDescent="0.2">
      <c r="Z28859" t="str">
        <f t="shared" si="450"/>
        <v/>
      </c>
    </row>
    <row r="28860" spans="26:26" x14ac:dyDescent="0.2">
      <c r="Z28860" t="str">
        <f t="shared" si="450"/>
        <v/>
      </c>
    </row>
    <row r="28861" spans="26:26" x14ac:dyDescent="0.2">
      <c r="Z28861" t="str">
        <f t="shared" si="450"/>
        <v/>
      </c>
    </row>
    <row r="28862" spans="26:26" x14ac:dyDescent="0.2">
      <c r="Z28862" t="str">
        <f t="shared" si="450"/>
        <v/>
      </c>
    </row>
    <row r="28863" spans="26:26" x14ac:dyDescent="0.2">
      <c r="Z28863" t="str">
        <f t="shared" si="450"/>
        <v/>
      </c>
    </row>
    <row r="28864" spans="26:26" x14ac:dyDescent="0.2">
      <c r="Z28864" t="str">
        <f t="shared" si="450"/>
        <v/>
      </c>
    </row>
    <row r="28865" spans="26:26" x14ac:dyDescent="0.2">
      <c r="Z28865" t="str">
        <f t="shared" si="450"/>
        <v/>
      </c>
    </row>
    <row r="28866" spans="26:26" x14ac:dyDescent="0.2">
      <c r="Z28866" t="str">
        <f t="shared" si="450"/>
        <v/>
      </c>
    </row>
    <row r="28867" spans="26:26" x14ac:dyDescent="0.2">
      <c r="Z28867" t="str">
        <f t="shared" ref="Z28867:Z28930" si="451">IF(K28867="","",IFERROR(VALUE(TRIM(MID(K28867,FIND(CHAR(167),SUBSTITUTE(K28867,"-",CHAR(167),LEN(K28867)-LEN(SUBSTITUTE(K28867,"-",""))))+1,100))),K28867))</f>
        <v/>
      </c>
    </row>
    <row r="28868" spans="26:26" x14ac:dyDescent="0.2">
      <c r="Z28868" t="str">
        <f t="shared" si="451"/>
        <v/>
      </c>
    </row>
    <row r="28869" spans="26:26" x14ac:dyDescent="0.2">
      <c r="Z28869" t="str">
        <f t="shared" si="451"/>
        <v/>
      </c>
    </row>
    <row r="28870" spans="26:26" x14ac:dyDescent="0.2">
      <c r="Z28870" t="str">
        <f t="shared" si="451"/>
        <v/>
      </c>
    </row>
    <row r="28871" spans="26:26" x14ac:dyDescent="0.2">
      <c r="Z28871" t="str">
        <f t="shared" si="451"/>
        <v/>
      </c>
    </row>
    <row r="28872" spans="26:26" x14ac:dyDescent="0.2">
      <c r="Z28872" t="str">
        <f t="shared" si="451"/>
        <v/>
      </c>
    </row>
    <row r="28873" spans="26:26" x14ac:dyDescent="0.2">
      <c r="Z28873" t="str">
        <f t="shared" si="451"/>
        <v/>
      </c>
    </row>
    <row r="28874" spans="26:26" x14ac:dyDescent="0.2">
      <c r="Z28874" t="str">
        <f t="shared" si="451"/>
        <v/>
      </c>
    </row>
    <row r="28875" spans="26:26" x14ac:dyDescent="0.2">
      <c r="Z28875" t="str">
        <f t="shared" si="451"/>
        <v/>
      </c>
    </row>
    <row r="28876" spans="26:26" x14ac:dyDescent="0.2">
      <c r="Z28876" t="str">
        <f t="shared" si="451"/>
        <v/>
      </c>
    </row>
    <row r="28877" spans="26:26" x14ac:dyDescent="0.2">
      <c r="Z28877" t="str">
        <f t="shared" si="451"/>
        <v/>
      </c>
    </row>
    <row r="28878" spans="26:26" x14ac:dyDescent="0.2">
      <c r="Z28878" t="str">
        <f t="shared" si="451"/>
        <v/>
      </c>
    </row>
    <row r="28879" spans="26:26" x14ac:dyDescent="0.2">
      <c r="Z28879" t="str">
        <f t="shared" si="451"/>
        <v/>
      </c>
    </row>
    <row r="28880" spans="26:26" x14ac:dyDescent="0.2">
      <c r="Z28880" t="str">
        <f t="shared" si="451"/>
        <v/>
      </c>
    </row>
    <row r="28881" spans="26:26" x14ac:dyDescent="0.2">
      <c r="Z28881" t="str">
        <f t="shared" si="451"/>
        <v/>
      </c>
    </row>
    <row r="28882" spans="26:26" x14ac:dyDescent="0.2">
      <c r="Z28882" t="str">
        <f t="shared" si="451"/>
        <v/>
      </c>
    </row>
    <row r="28883" spans="26:26" x14ac:dyDescent="0.2">
      <c r="Z28883" t="str">
        <f t="shared" si="451"/>
        <v/>
      </c>
    </row>
    <row r="28884" spans="26:26" x14ac:dyDescent="0.2">
      <c r="Z28884" t="str">
        <f t="shared" si="451"/>
        <v/>
      </c>
    </row>
    <row r="28885" spans="26:26" x14ac:dyDescent="0.2">
      <c r="Z28885" t="str">
        <f t="shared" si="451"/>
        <v/>
      </c>
    </row>
    <row r="28886" spans="26:26" x14ac:dyDescent="0.2">
      <c r="Z28886" t="str">
        <f t="shared" si="451"/>
        <v/>
      </c>
    </row>
    <row r="28887" spans="26:26" x14ac:dyDescent="0.2">
      <c r="Z28887" t="str">
        <f t="shared" si="451"/>
        <v/>
      </c>
    </row>
    <row r="28888" spans="26:26" x14ac:dyDescent="0.2">
      <c r="Z28888" t="str">
        <f t="shared" si="451"/>
        <v/>
      </c>
    </row>
    <row r="28889" spans="26:26" x14ac:dyDescent="0.2">
      <c r="Z28889" t="str">
        <f t="shared" si="451"/>
        <v/>
      </c>
    </row>
    <row r="28890" spans="26:26" x14ac:dyDescent="0.2">
      <c r="Z28890" t="str">
        <f t="shared" si="451"/>
        <v/>
      </c>
    </row>
    <row r="28891" spans="26:26" x14ac:dyDescent="0.2">
      <c r="Z28891" t="str">
        <f t="shared" si="451"/>
        <v/>
      </c>
    </row>
    <row r="28892" spans="26:26" x14ac:dyDescent="0.2">
      <c r="Z28892" t="str">
        <f t="shared" si="451"/>
        <v/>
      </c>
    </row>
    <row r="28893" spans="26:26" x14ac:dyDescent="0.2">
      <c r="Z28893" t="str">
        <f t="shared" si="451"/>
        <v/>
      </c>
    </row>
    <row r="28894" spans="26:26" x14ac:dyDescent="0.2">
      <c r="Z28894" t="str">
        <f t="shared" si="451"/>
        <v/>
      </c>
    </row>
    <row r="28895" spans="26:26" x14ac:dyDescent="0.2">
      <c r="Z28895" t="str">
        <f t="shared" si="451"/>
        <v/>
      </c>
    </row>
    <row r="28896" spans="26:26" x14ac:dyDescent="0.2">
      <c r="Z28896" t="str">
        <f t="shared" si="451"/>
        <v/>
      </c>
    </row>
    <row r="28897" spans="26:26" x14ac:dyDescent="0.2">
      <c r="Z28897" t="str">
        <f t="shared" si="451"/>
        <v/>
      </c>
    </row>
    <row r="28898" spans="26:26" x14ac:dyDescent="0.2">
      <c r="Z28898" t="str">
        <f t="shared" si="451"/>
        <v/>
      </c>
    </row>
    <row r="28899" spans="26:26" x14ac:dyDescent="0.2">
      <c r="Z28899" t="str">
        <f t="shared" si="451"/>
        <v/>
      </c>
    </row>
    <row r="28900" spans="26:26" x14ac:dyDescent="0.2">
      <c r="Z28900" t="str">
        <f t="shared" si="451"/>
        <v/>
      </c>
    </row>
    <row r="28901" spans="26:26" x14ac:dyDescent="0.2">
      <c r="Z28901" t="str">
        <f t="shared" si="451"/>
        <v/>
      </c>
    </row>
    <row r="28902" spans="26:26" x14ac:dyDescent="0.2">
      <c r="Z28902" t="str">
        <f t="shared" si="451"/>
        <v/>
      </c>
    </row>
    <row r="28903" spans="26:26" x14ac:dyDescent="0.2">
      <c r="Z28903" t="str">
        <f t="shared" si="451"/>
        <v/>
      </c>
    </row>
    <row r="28904" spans="26:26" x14ac:dyDescent="0.2">
      <c r="Z28904" t="str">
        <f t="shared" si="451"/>
        <v/>
      </c>
    </row>
    <row r="28905" spans="26:26" x14ac:dyDescent="0.2">
      <c r="Z28905" t="str">
        <f t="shared" si="451"/>
        <v/>
      </c>
    </row>
    <row r="28906" spans="26:26" x14ac:dyDescent="0.2">
      <c r="Z28906" t="str">
        <f t="shared" si="451"/>
        <v/>
      </c>
    </row>
    <row r="28907" spans="26:26" x14ac:dyDescent="0.2">
      <c r="Z28907" t="str">
        <f t="shared" si="451"/>
        <v/>
      </c>
    </row>
    <row r="28908" spans="26:26" x14ac:dyDescent="0.2">
      <c r="Z28908" t="str">
        <f t="shared" si="451"/>
        <v/>
      </c>
    </row>
    <row r="28909" spans="26:26" x14ac:dyDescent="0.2">
      <c r="Z28909" t="str">
        <f t="shared" si="451"/>
        <v/>
      </c>
    </row>
    <row r="28910" spans="26:26" x14ac:dyDescent="0.2">
      <c r="Z28910" t="str">
        <f t="shared" si="451"/>
        <v/>
      </c>
    </row>
    <row r="28911" spans="26:26" x14ac:dyDescent="0.2">
      <c r="Z28911" t="str">
        <f t="shared" si="451"/>
        <v/>
      </c>
    </row>
    <row r="28912" spans="26:26" x14ac:dyDescent="0.2">
      <c r="Z28912" t="str">
        <f t="shared" si="451"/>
        <v/>
      </c>
    </row>
    <row r="28913" spans="26:26" x14ac:dyDescent="0.2">
      <c r="Z28913" t="str">
        <f t="shared" si="451"/>
        <v/>
      </c>
    </row>
    <row r="28914" spans="26:26" x14ac:dyDescent="0.2">
      <c r="Z28914" t="str">
        <f t="shared" si="451"/>
        <v/>
      </c>
    </row>
    <row r="28915" spans="26:26" x14ac:dyDescent="0.2">
      <c r="Z28915" t="str">
        <f t="shared" si="451"/>
        <v/>
      </c>
    </row>
    <row r="28916" spans="26:26" x14ac:dyDescent="0.2">
      <c r="Z28916" t="str">
        <f t="shared" si="451"/>
        <v/>
      </c>
    </row>
    <row r="28917" spans="26:26" x14ac:dyDescent="0.2">
      <c r="Z28917" t="str">
        <f t="shared" si="451"/>
        <v/>
      </c>
    </row>
    <row r="28918" spans="26:26" x14ac:dyDescent="0.2">
      <c r="Z28918" t="str">
        <f t="shared" si="451"/>
        <v/>
      </c>
    </row>
    <row r="28919" spans="26:26" x14ac:dyDescent="0.2">
      <c r="Z28919" t="str">
        <f t="shared" si="451"/>
        <v/>
      </c>
    </row>
    <row r="28920" spans="26:26" x14ac:dyDescent="0.2">
      <c r="Z28920" t="str">
        <f t="shared" si="451"/>
        <v/>
      </c>
    </row>
    <row r="28921" spans="26:26" x14ac:dyDescent="0.2">
      <c r="Z28921" t="str">
        <f t="shared" si="451"/>
        <v/>
      </c>
    </row>
    <row r="28922" spans="26:26" x14ac:dyDescent="0.2">
      <c r="Z28922" t="str">
        <f t="shared" si="451"/>
        <v/>
      </c>
    </row>
    <row r="28923" spans="26:26" x14ac:dyDescent="0.2">
      <c r="Z28923" t="str">
        <f t="shared" si="451"/>
        <v/>
      </c>
    </row>
    <row r="28924" spans="26:26" x14ac:dyDescent="0.2">
      <c r="Z28924" t="str">
        <f t="shared" si="451"/>
        <v/>
      </c>
    </row>
    <row r="28925" spans="26:26" x14ac:dyDescent="0.2">
      <c r="Z28925" t="str">
        <f t="shared" si="451"/>
        <v/>
      </c>
    </row>
    <row r="28926" spans="26:26" x14ac:dyDescent="0.2">
      <c r="Z28926" t="str">
        <f t="shared" si="451"/>
        <v/>
      </c>
    </row>
    <row r="28927" spans="26:26" x14ac:dyDescent="0.2">
      <c r="Z28927" t="str">
        <f t="shared" si="451"/>
        <v/>
      </c>
    </row>
    <row r="28928" spans="26:26" x14ac:dyDescent="0.2">
      <c r="Z28928" t="str">
        <f t="shared" si="451"/>
        <v/>
      </c>
    </row>
    <row r="28929" spans="26:26" x14ac:dyDescent="0.2">
      <c r="Z28929" t="str">
        <f t="shared" si="451"/>
        <v/>
      </c>
    </row>
    <row r="28930" spans="26:26" x14ac:dyDescent="0.2">
      <c r="Z28930" t="str">
        <f t="shared" si="451"/>
        <v/>
      </c>
    </row>
    <row r="28931" spans="26:26" x14ac:dyDescent="0.2">
      <c r="Z28931" t="str">
        <f t="shared" ref="Z28931:Z28994" si="452">IF(K28931="","",IFERROR(VALUE(TRIM(MID(K28931,FIND(CHAR(167),SUBSTITUTE(K28931,"-",CHAR(167),LEN(K28931)-LEN(SUBSTITUTE(K28931,"-",""))))+1,100))),K28931))</f>
        <v/>
      </c>
    </row>
    <row r="28932" spans="26:26" x14ac:dyDescent="0.2">
      <c r="Z28932" t="str">
        <f t="shared" si="452"/>
        <v/>
      </c>
    </row>
    <row r="28933" spans="26:26" x14ac:dyDescent="0.2">
      <c r="Z28933" t="str">
        <f t="shared" si="452"/>
        <v/>
      </c>
    </row>
    <row r="28934" spans="26:26" x14ac:dyDescent="0.2">
      <c r="Z28934" t="str">
        <f t="shared" si="452"/>
        <v/>
      </c>
    </row>
    <row r="28935" spans="26:26" x14ac:dyDescent="0.2">
      <c r="Z28935" t="str">
        <f t="shared" si="452"/>
        <v/>
      </c>
    </row>
    <row r="28936" spans="26:26" x14ac:dyDescent="0.2">
      <c r="Z28936" t="str">
        <f t="shared" si="452"/>
        <v/>
      </c>
    </row>
    <row r="28937" spans="26:26" x14ac:dyDescent="0.2">
      <c r="Z28937" t="str">
        <f t="shared" si="452"/>
        <v/>
      </c>
    </row>
    <row r="28938" spans="26:26" x14ac:dyDescent="0.2">
      <c r="Z28938" t="str">
        <f t="shared" si="452"/>
        <v/>
      </c>
    </row>
    <row r="28939" spans="26:26" x14ac:dyDescent="0.2">
      <c r="Z28939" t="str">
        <f t="shared" si="452"/>
        <v/>
      </c>
    </row>
    <row r="28940" spans="26:26" x14ac:dyDescent="0.2">
      <c r="Z28940" t="str">
        <f t="shared" si="452"/>
        <v/>
      </c>
    </row>
    <row r="28941" spans="26:26" x14ac:dyDescent="0.2">
      <c r="Z28941" t="str">
        <f t="shared" si="452"/>
        <v/>
      </c>
    </row>
    <row r="28942" spans="26:26" x14ac:dyDescent="0.2">
      <c r="Z28942" t="str">
        <f t="shared" si="452"/>
        <v/>
      </c>
    </row>
    <row r="28943" spans="26:26" x14ac:dyDescent="0.2">
      <c r="Z28943" t="str">
        <f t="shared" si="452"/>
        <v/>
      </c>
    </row>
    <row r="28944" spans="26:26" x14ac:dyDescent="0.2">
      <c r="Z28944" t="str">
        <f t="shared" si="452"/>
        <v/>
      </c>
    </row>
    <row r="28945" spans="26:26" x14ac:dyDescent="0.2">
      <c r="Z28945" t="str">
        <f t="shared" si="452"/>
        <v/>
      </c>
    </row>
    <row r="28946" spans="26:26" x14ac:dyDescent="0.2">
      <c r="Z28946" t="str">
        <f t="shared" si="452"/>
        <v/>
      </c>
    </row>
    <row r="28947" spans="26:26" x14ac:dyDescent="0.2">
      <c r="Z28947" t="str">
        <f t="shared" si="452"/>
        <v/>
      </c>
    </row>
    <row r="28948" spans="26:26" x14ac:dyDescent="0.2">
      <c r="Z28948" t="str">
        <f t="shared" si="452"/>
        <v/>
      </c>
    </row>
    <row r="28949" spans="26:26" x14ac:dyDescent="0.2">
      <c r="Z28949" t="str">
        <f t="shared" si="452"/>
        <v/>
      </c>
    </row>
    <row r="28950" spans="26:26" x14ac:dyDescent="0.2">
      <c r="Z28950" t="str">
        <f t="shared" si="452"/>
        <v/>
      </c>
    </row>
    <row r="28951" spans="26:26" x14ac:dyDescent="0.2">
      <c r="Z28951" t="str">
        <f t="shared" si="452"/>
        <v/>
      </c>
    </row>
    <row r="28952" spans="26:26" x14ac:dyDescent="0.2">
      <c r="Z28952" t="str">
        <f t="shared" si="452"/>
        <v/>
      </c>
    </row>
    <row r="28953" spans="26:26" x14ac:dyDescent="0.2">
      <c r="Z28953" t="str">
        <f t="shared" si="452"/>
        <v/>
      </c>
    </row>
    <row r="28954" spans="26:26" x14ac:dyDescent="0.2">
      <c r="Z28954" t="str">
        <f t="shared" si="452"/>
        <v/>
      </c>
    </row>
    <row r="28955" spans="26:26" x14ac:dyDescent="0.2">
      <c r="Z28955" t="str">
        <f t="shared" si="452"/>
        <v/>
      </c>
    </row>
    <row r="28956" spans="26:26" x14ac:dyDescent="0.2">
      <c r="Z28956" t="str">
        <f t="shared" si="452"/>
        <v/>
      </c>
    </row>
    <row r="28957" spans="26:26" x14ac:dyDescent="0.2">
      <c r="Z28957" t="str">
        <f t="shared" si="452"/>
        <v/>
      </c>
    </row>
    <row r="28958" spans="26:26" x14ac:dyDescent="0.2">
      <c r="Z28958" t="str">
        <f t="shared" si="452"/>
        <v/>
      </c>
    </row>
    <row r="28959" spans="26:26" x14ac:dyDescent="0.2">
      <c r="Z28959" t="str">
        <f t="shared" si="452"/>
        <v/>
      </c>
    </row>
    <row r="28960" spans="26:26" x14ac:dyDescent="0.2">
      <c r="Z28960" t="str">
        <f t="shared" si="452"/>
        <v/>
      </c>
    </row>
    <row r="28961" spans="26:26" x14ac:dyDescent="0.2">
      <c r="Z28961" t="str">
        <f t="shared" si="452"/>
        <v/>
      </c>
    </row>
    <row r="28962" spans="26:26" x14ac:dyDescent="0.2">
      <c r="Z28962" t="str">
        <f t="shared" si="452"/>
        <v/>
      </c>
    </row>
    <row r="28963" spans="26:26" x14ac:dyDescent="0.2">
      <c r="Z28963" t="str">
        <f t="shared" si="452"/>
        <v/>
      </c>
    </row>
    <row r="28964" spans="26:26" x14ac:dyDescent="0.2">
      <c r="Z28964" t="str">
        <f t="shared" si="452"/>
        <v/>
      </c>
    </row>
    <row r="28965" spans="26:26" x14ac:dyDescent="0.2">
      <c r="Z28965" t="str">
        <f t="shared" si="452"/>
        <v/>
      </c>
    </row>
    <row r="28966" spans="26:26" x14ac:dyDescent="0.2">
      <c r="Z28966" t="str">
        <f t="shared" si="452"/>
        <v/>
      </c>
    </row>
    <row r="28967" spans="26:26" x14ac:dyDescent="0.2">
      <c r="Z28967" t="str">
        <f t="shared" si="452"/>
        <v/>
      </c>
    </row>
    <row r="28968" spans="26:26" x14ac:dyDescent="0.2">
      <c r="Z28968" t="str">
        <f t="shared" si="452"/>
        <v/>
      </c>
    </row>
    <row r="28969" spans="26:26" x14ac:dyDescent="0.2">
      <c r="Z28969" t="str">
        <f t="shared" si="452"/>
        <v/>
      </c>
    </row>
    <row r="28970" spans="26:26" x14ac:dyDescent="0.2">
      <c r="Z28970" t="str">
        <f t="shared" si="452"/>
        <v/>
      </c>
    </row>
    <row r="28971" spans="26:26" x14ac:dyDescent="0.2">
      <c r="Z28971" t="str">
        <f t="shared" si="452"/>
        <v/>
      </c>
    </row>
    <row r="28972" spans="26:26" x14ac:dyDescent="0.2">
      <c r="Z28972" t="str">
        <f t="shared" si="452"/>
        <v/>
      </c>
    </row>
    <row r="28973" spans="26:26" x14ac:dyDescent="0.2">
      <c r="Z28973" t="str">
        <f t="shared" si="452"/>
        <v/>
      </c>
    </row>
    <row r="28974" spans="26:26" x14ac:dyDescent="0.2">
      <c r="Z28974" t="str">
        <f t="shared" si="452"/>
        <v/>
      </c>
    </row>
    <row r="28975" spans="26:26" x14ac:dyDescent="0.2">
      <c r="Z28975" t="str">
        <f t="shared" si="452"/>
        <v/>
      </c>
    </row>
    <row r="28976" spans="26:26" x14ac:dyDescent="0.2">
      <c r="Z28976" t="str">
        <f t="shared" si="452"/>
        <v/>
      </c>
    </row>
    <row r="28977" spans="26:26" x14ac:dyDescent="0.2">
      <c r="Z28977" t="str">
        <f t="shared" si="452"/>
        <v/>
      </c>
    </row>
    <row r="28978" spans="26:26" x14ac:dyDescent="0.2">
      <c r="Z28978" t="str">
        <f t="shared" si="452"/>
        <v/>
      </c>
    </row>
    <row r="28979" spans="26:26" x14ac:dyDescent="0.2">
      <c r="Z28979" t="str">
        <f t="shared" si="452"/>
        <v/>
      </c>
    </row>
    <row r="28980" spans="26:26" x14ac:dyDescent="0.2">
      <c r="Z28980" t="str">
        <f t="shared" si="452"/>
        <v/>
      </c>
    </row>
    <row r="28981" spans="26:26" x14ac:dyDescent="0.2">
      <c r="Z28981" t="str">
        <f t="shared" si="452"/>
        <v/>
      </c>
    </row>
    <row r="28982" spans="26:26" x14ac:dyDescent="0.2">
      <c r="Z28982" t="str">
        <f t="shared" si="452"/>
        <v/>
      </c>
    </row>
    <row r="28983" spans="26:26" x14ac:dyDescent="0.2">
      <c r="Z28983" t="str">
        <f t="shared" si="452"/>
        <v/>
      </c>
    </row>
    <row r="28984" spans="26:26" x14ac:dyDescent="0.2">
      <c r="Z28984" t="str">
        <f t="shared" si="452"/>
        <v/>
      </c>
    </row>
    <row r="28985" spans="26:26" x14ac:dyDescent="0.2">
      <c r="Z28985" t="str">
        <f t="shared" si="452"/>
        <v/>
      </c>
    </row>
    <row r="28986" spans="26:26" x14ac:dyDescent="0.2">
      <c r="Z28986" t="str">
        <f t="shared" si="452"/>
        <v/>
      </c>
    </row>
    <row r="28987" spans="26:26" x14ac:dyDescent="0.2">
      <c r="Z28987" t="str">
        <f t="shared" si="452"/>
        <v/>
      </c>
    </row>
    <row r="28988" spans="26:26" x14ac:dyDescent="0.2">
      <c r="Z28988" t="str">
        <f t="shared" si="452"/>
        <v/>
      </c>
    </row>
    <row r="28989" spans="26:26" x14ac:dyDescent="0.2">
      <c r="Z28989" t="str">
        <f t="shared" si="452"/>
        <v/>
      </c>
    </row>
    <row r="28990" spans="26:26" x14ac:dyDescent="0.2">
      <c r="Z28990" t="str">
        <f t="shared" si="452"/>
        <v/>
      </c>
    </row>
    <row r="28991" spans="26:26" x14ac:dyDescent="0.2">
      <c r="Z28991" t="str">
        <f t="shared" si="452"/>
        <v/>
      </c>
    </row>
    <row r="28992" spans="26:26" x14ac:dyDescent="0.2">
      <c r="Z28992" t="str">
        <f t="shared" si="452"/>
        <v/>
      </c>
    </row>
    <row r="28993" spans="26:26" x14ac:dyDescent="0.2">
      <c r="Z28993" t="str">
        <f t="shared" si="452"/>
        <v/>
      </c>
    </row>
    <row r="28994" spans="26:26" x14ac:dyDescent="0.2">
      <c r="Z28994" t="str">
        <f t="shared" si="452"/>
        <v/>
      </c>
    </row>
    <row r="28995" spans="26:26" x14ac:dyDescent="0.2">
      <c r="Z28995" t="str">
        <f t="shared" ref="Z28995:Z29058" si="453">IF(K28995="","",IFERROR(VALUE(TRIM(MID(K28995,FIND(CHAR(167),SUBSTITUTE(K28995,"-",CHAR(167),LEN(K28995)-LEN(SUBSTITUTE(K28995,"-",""))))+1,100))),K28995))</f>
        <v/>
      </c>
    </row>
    <row r="28996" spans="26:26" x14ac:dyDescent="0.2">
      <c r="Z28996" t="str">
        <f t="shared" si="453"/>
        <v/>
      </c>
    </row>
    <row r="28997" spans="26:26" x14ac:dyDescent="0.2">
      <c r="Z28997" t="str">
        <f t="shared" si="453"/>
        <v/>
      </c>
    </row>
    <row r="28998" spans="26:26" x14ac:dyDescent="0.2">
      <c r="Z28998" t="str">
        <f t="shared" si="453"/>
        <v/>
      </c>
    </row>
    <row r="28999" spans="26:26" x14ac:dyDescent="0.2">
      <c r="Z28999" t="str">
        <f t="shared" si="453"/>
        <v/>
      </c>
    </row>
    <row r="29000" spans="26:26" x14ac:dyDescent="0.2">
      <c r="Z29000" t="str">
        <f t="shared" si="453"/>
        <v/>
      </c>
    </row>
    <row r="29001" spans="26:26" x14ac:dyDescent="0.2">
      <c r="Z29001" t="str">
        <f t="shared" si="453"/>
        <v/>
      </c>
    </row>
    <row r="29002" spans="26:26" x14ac:dyDescent="0.2">
      <c r="Z29002" t="str">
        <f t="shared" si="453"/>
        <v/>
      </c>
    </row>
    <row r="29003" spans="26:26" x14ac:dyDescent="0.2">
      <c r="Z29003" t="str">
        <f t="shared" si="453"/>
        <v/>
      </c>
    </row>
    <row r="29004" spans="26:26" x14ac:dyDescent="0.2">
      <c r="Z29004" t="str">
        <f t="shared" si="453"/>
        <v/>
      </c>
    </row>
    <row r="29005" spans="26:26" x14ac:dyDescent="0.2">
      <c r="Z29005" t="str">
        <f t="shared" si="453"/>
        <v/>
      </c>
    </row>
    <row r="29006" spans="26:26" x14ac:dyDescent="0.2">
      <c r="Z29006" t="str">
        <f t="shared" si="453"/>
        <v/>
      </c>
    </row>
    <row r="29007" spans="26:26" x14ac:dyDescent="0.2">
      <c r="Z29007" t="str">
        <f t="shared" si="453"/>
        <v/>
      </c>
    </row>
    <row r="29008" spans="26:26" x14ac:dyDescent="0.2">
      <c r="Z29008" t="str">
        <f t="shared" si="453"/>
        <v/>
      </c>
    </row>
    <row r="29009" spans="26:26" x14ac:dyDescent="0.2">
      <c r="Z29009" t="str">
        <f t="shared" si="453"/>
        <v/>
      </c>
    </row>
    <row r="29010" spans="26:26" x14ac:dyDescent="0.2">
      <c r="Z29010" t="str">
        <f t="shared" si="453"/>
        <v/>
      </c>
    </row>
    <row r="29011" spans="26:26" x14ac:dyDescent="0.2">
      <c r="Z29011" t="str">
        <f t="shared" si="453"/>
        <v/>
      </c>
    </row>
    <row r="29012" spans="26:26" x14ac:dyDescent="0.2">
      <c r="Z29012" t="str">
        <f t="shared" si="453"/>
        <v/>
      </c>
    </row>
    <row r="29013" spans="26:26" x14ac:dyDescent="0.2">
      <c r="Z29013" t="str">
        <f t="shared" si="453"/>
        <v/>
      </c>
    </row>
    <row r="29014" spans="26:26" x14ac:dyDescent="0.2">
      <c r="Z29014" t="str">
        <f t="shared" si="453"/>
        <v/>
      </c>
    </row>
    <row r="29015" spans="26:26" x14ac:dyDescent="0.2">
      <c r="Z29015" t="str">
        <f t="shared" si="453"/>
        <v/>
      </c>
    </row>
    <row r="29016" spans="26:26" x14ac:dyDescent="0.2">
      <c r="Z29016" t="str">
        <f t="shared" si="453"/>
        <v/>
      </c>
    </row>
    <row r="29017" spans="26:26" x14ac:dyDescent="0.2">
      <c r="Z29017" t="str">
        <f t="shared" si="453"/>
        <v/>
      </c>
    </row>
    <row r="29018" spans="26:26" x14ac:dyDescent="0.2">
      <c r="Z29018" t="str">
        <f t="shared" si="453"/>
        <v/>
      </c>
    </row>
    <row r="29019" spans="26:26" x14ac:dyDescent="0.2">
      <c r="Z29019" t="str">
        <f t="shared" si="453"/>
        <v/>
      </c>
    </row>
    <row r="29020" spans="26:26" x14ac:dyDescent="0.2">
      <c r="Z29020" t="str">
        <f t="shared" si="453"/>
        <v/>
      </c>
    </row>
    <row r="29021" spans="26:26" x14ac:dyDescent="0.2">
      <c r="Z29021" t="str">
        <f t="shared" si="453"/>
        <v/>
      </c>
    </row>
    <row r="29022" spans="26:26" x14ac:dyDescent="0.2">
      <c r="Z29022" t="str">
        <f t="shared" si="453"/>
        <v/>
      </c>
    </row>
    <row r="29023" spans="26:26" x14ac:dyDescent="0.2">
      <c r="Z29023" t="str">
        <f t="shared" si="453"/>
        <v/>
      </c>
    </row>
    <row r="29024" spans="26:26" x14ac:dyDescent="0.2">
      <c r="Z29024" t="str">
        <f t="shared" si="453"/>
        <v/>
      </c>
    </row>
    <row r="29025" spans="26:26" x14ac:dyDescent="0.2">
      <c r="Z29025" t="str">
        <f t="shared" si="453"/>
        <v/>
      </c>
    </row>
    <row r="29026" spans="26:26" x14ac:dyDescent="0.2">
      <c r="Z29026" t="str">
        <f t="shared" si="453"/>
        <v/>
      </c>
    </row>
    <row r="29027" spans="26:26" x14ac:dyDescent="0.2">
      <c r="Z29027" t="str">
        <f t="shared" si="453"/>
        <v/>
      </c>
    </row>
    <row r="29028" spans="26:26" x14ac:dyDescent="0.2">
      <c r="Z29028" t="str">
        <f t="shared" si="453"/>
        <v/>
      </c>
    </row>
    <row r="29029" spans="26:26" x14ac:dyDescent="0.2">
      <c r="Z29029" t="str">
        <f t="shared" si="453"/>
        <v/>
      </c>
    </row>
    <row r="29030" spans="26:26" x14ac:dyDescent="0.2">
      <c r="Z29030" t="str">
        <f t="shared" si="453"/>
        <v/>
      </c>
    </row>
    <row r="29031" spans="26:26" x14ac:dyDescent="0.2">
      <c r="Z29031" t="str">
        <f t="shared" si="453"/>
        <v/>
      </c>
    </row>
    <row r="29032" spans="26:26" x14ac:dyDescent="0.2">
      <c r="Z29032" t="str">
        <f t="shared" si="453"/>
        <v/>
      </c>
    </row>
    <row r="29033" spans="26:26" x14ac:dyDescent="0.2">
      <c r="Z29033" t="str">
        <f t="shared" si="453"/>
        <v/>
      </c>
    </row>
    <row r="29034" spans="26:26" x14ac:dyDescent="0.2">
      <c r="Z29034" t="str">
        <f t="shared" si="453"/>
        <v/>
      </c>
    </row>
    <row r="29035" spans="26:26" x14ac:dyDescent="0.2">
      <c r="Z29035" t="str">
        <f t="shared" si="453"/>
        <v/>
      </c>
    </row>
    <row r="29036" spans="26:26" x14ac:dyDescent="0.2">
      <c r="Z29036" t="str">
        <f t="shared" si="453"/>
        <v/>
      </c>
    </row>
    <row r="29037" spans="26:26" x14ac:dyDescent="0.2">
      <c r="Z29037" t="str">
        <f t="shared" si="453"/>
        <v/>
      </c>
    </row>
    <row r="29038" spans="26:26" x14ac:dyDescent="0.2">
      <c r="Z29038" t="str">
        <f t="shared" si="453"/>
        <v/>
      </c>
    </row>
    <row r="29039" spans="26:26" x14ac:dyDescent="0.2">
      <c r="Z29039" t="str">
        <f t="shared" si="453"/>
        <v/>
      </c>
    </row>
    <row r="29040" spans="26:26" x14ac:dyDescent="0.2">
      <c r="Z29040" t="str">
        <f t="shared" si="453"/>
        <v/>
      </c>
    </row>
    <row r="29041" spans="26:26" x14ac:dyDescent="0.2">
      <c r="Z29041" t="str">
        <f t="shared" si="453"/>
        <v/>
      </c>
    </row>
    <row r="29042" spans="26:26" x14ac:dyDescent="0.2">
      <c r="Z29042" t="str">
        <f t="shared" si="453"/>
        <v/>
      </c>
    </row>
    <row r="29043" spans="26:26" x14ac:dyDescent="0.2">
      <c r="Z29043" t="str">
        <f t="shared" si="453"/>
        <v/>
      </c>
    </row>
    <row r="29044" spans="26:26" x14ac:dyDescent="0.2">
      <c r="Z29044" t="str">
        <f t="shared" si="453"/>
        <v/>
      </c>
    </row>
    <row r="29045" spans="26:26" x14ac:dyDescent="0.2">
      <c r="Z29045" t="str">
        <f t="shared" si="453"/>
        <v/>
      </c>
    </row>
    <row r="29046" spans="26:26" x14ac:dyDescent="0.2">
      <c r="Z29046" t="str">
        <f t="shared" si="453"/>
        <v/>
      </c>
    </row>
    <row r="29047" spans="26:26" x14ac:dyDescent="0.2">
      <c r="Z29047" t="str">
        <f t="shared" si="453"/>
        <v/>
      </c>
    </row>
    <row r="29048" spans="26:26" x14ac:dyDescent="0.2">
      <c r="Z29048" t="str">
        <f t="shared" si="453"/>
        <v/>
      </c>
    </row>
    <row r="29049" spans="26:26" x14ac:dyDescent="0.2">
      <c r="Z29049" t="str">
        <f t="shared" si="453"/>
        <v/>
      </c>
    </row>
    <row r="29050" spans="26:26" x14ac:dyDescent="0.2">
      <c r="Z29050" t="str">
        <f t="shared" si="453"/>
        <v/>
      </c>
    </row>
    <row r="29051" spans="26:26" x14ac:dyDescent="0.2">
      <c r="Z29051" t="str">
        <f t="shared" si="453"/>
        <v/>
      </c>
    </row>
    <row r="29052" spans="26:26" x14ac:dyDescent="0.2">
      <c r="Z29052" t="str">
        <f t="shared" si="453"/>
        <v/>
      </c>
    </row>
    <row r="29053" spans="26:26" x14ac:dyDescent="0.2">
      <c r="Z29053" t="str">
        <f t="shared" si="453"/>
        <v/>
      </c>
    </row>
    <row r="29054" spans="26:26" x14ac:dyDescent="0.2">
      <c r="Z29054" t="str">
        <f t="shared" si="453"/>
        <v/>
      </c>
    </row>
    <row r="29055" spans="26:26" x14ac:dyDescent="0.2">
      <c r="Z29055" t="str">
        <f t="shared" si="453"/>
        <v/>
      </c>
    </row>
    <row r="29056" spans="26:26" x14ac:dyDescent="0.2">
      <c r="Z29056" t="str">
        <f t="shared" si="453"/>
        <v/>
      </c>
    </row>
    <row r="29057" spans="26:26" x14ac:dyDescent="0.2">
      <c r="Z29057" t="str">
        <f t="shared" si="453"/>
        <v/>
      </c>
    </row>
    <row r="29058" spans="26:26" x14ac:dyDescent="0.2">
      <c r="Z29058" t="str">
        <f t="shared" si="453"/>
        <v/>
      </c>
    </row>
    <row r="29059" spans="26:26" x14ac:dyDescent="0.2">
      <c r="Z29059" t="str">
        <f t="shared" ref="Z29059:Z29122" si="454">IF(K29059="","",IFERROR(VALUE(TRIM(MID(K29059,FIND(CHAR(167),SUBSTITUTE(K29059,"-",CHAR(167),LEN(K29059)-LEN(SUBSTITUTE(K29059,"-",""))))+1,100))),K29059))</f>
        <v/>
      </c>
    </row>
    <row r="29060" spans="26:26" x14ac:dyDescent="0.2">
      <c r="Z29060" t="str">
        <f t="shared" si="454"/>
        <v/>
      </c>
    </row>
    <row r="29061" spans="26:26" x14ac:dyDescent="0.2">
      <c r="Z29061" t="str">
        <f t="shared" si="454"/>
        <v/>
      </c>
    </row>
    <row r="29062" spans="26:26" x14ac:dyDescent="0.2">
      <c r="Z29062" t="str">
        <f t="shared" si="454"/>
        <v/>
      </c>
    </row>
    <row r="29063" spans="26:26" x14ac:dyDescent="0.2">
      <c r="Z29063" t="str">
        <f t="shared" si="454"/>
        <v/>
      </c>
    </row>
    <row r="29064" spans="26:26" x14ac:dyDescent="0.2">
      <c r="Z29064" t="str">
        <f t="shared" si="454"/>
        <v/>
      </c>
    </row>
    <row r="29065" spans="26:26" x14ac:dyDescent="0.2">
      <c r="Z29065" t="str">
        <f t="shared" si="454"/>
        <v/>
      </c>
    </row>
    <row r="29066" spans="26:26" x14ac:dyDescent="0.2">
      <c r="Z29066" t="str">
        <f t="shared" si="454"/>
        <v/>
      </c>
    </row>
    <row r="29067" spans="26:26" x14ac:dyDescent="0.2">
      <c r="Z29067" t="str">
        <f t="shared" si="454"/>
        <v/>
      </c>
    </row>
    <row r="29068" spans="26:26" x14ac:dyDescent="0.2">
      <c r="Z29068" t="str">
        <f t="shared" si="454"/>
        <v/>
      </c>
    </row>
    <row r="29069" spans="26:26" x14ac:dyDescent="0.2">
      <c r="Z29069" t="str">
        <f t="shared" si="454"/>
        <v/>
      </c>
    </row>
    <row r="29070" spans="26:26" x14ac:dyDescent="0.2">
      <c r="Z29070" t="str">
        <f t="shared" si="454"/>
        <v/>
      </c>
    </row>
    <row r="29071" spans="26:26" x14ac:dyDescent="0.2">
      <c r="Z29071" t="str">
        <f t="shared" si="454"/>
        <v/>
      </c>
    </row>
    <row r="29072" spans="26:26" x14ac:dyDescent="0.2">
      <c r="Z29072" t="str">
        <f t="shared" si="454"/>
        <v/>
      </c>
    </row>
    <row r="29073" spans="26:26" x14ac:dyDescent="0.2">
      <c r="Z29073" t="str">
        <f t="shared" si="454"/>
        <v/>
      </c>
    </row>
    <row r="29074" spans="26:26" x14ac:dyDescent="0.2">
      <c r="Z29074" t="str">
        <f t="shared" si="454"/>
        <v/>
      </c>
    </row>
    <row r="29075" spans="26:26" x14ac:dyDescent="0.2">
      <c r="Z29075" t="str">
        <f t="shared" si="454"/>
        <v/>
      </c>
    </row>
    <row r="29076" spans="26:26" x14ac:dyDescent="0.2">
      <c r="Z29076" t="str">
        <f t="shared" si="454"/>
        <v/>
      </c>
    </row>
    <row r="29077" spans="26:26" x14ac:dyDescent="0.2">
      <c r="Z29077" t="str">
        <f t="shared" si="454"/>
        <v/>
      </c>
    </row>
    <row r="29078" spans="26:26" x14ac:dyDescent="0.2">
      <c r="Z29078" t="str">
        <f t="shared" si="454"/>
        <v/>
      </c>
    </row>
    <row r="29079" spans="26:26" x14ac:dyDescent="0.2">
      <c r="Z29079" t="str">
        <f t="shared" si="454"/>
        <v/>
      </c>
    </row>
    <row r="29080" spans="26:26" x14ac:dyDescent="0.2">
      <c r="Z29080" t="str">
        <f t="shared" si="454"/>
        <v/>
      </c>
    </row>
    <row r="29081" spans="26:26" x14ac:dyDescent="0.2">
      <c r="Z29081" t="str">
        <f t="shared" si="454"/>
        <v/>
      </c>
    </row>
    <row r="29082" spans="26:26" x14ac:dyDescent="0.2">
      <c r="Z29082" t="str">
        <f t="shared" si="454"/>
        <v/>
      </c>
    </row>
    <row r="29083" spans="26:26" x14ac:dyDescent="0.2">
      <c r="Z29083" t="str">
        <f t="shared" si="454"/>
        <v/>
      </c>
    </row>
    <row r="29084" spans="26:26" x14ac:dyDescent="0.2">
      <c r="Z29084" t="str">
        <f t="shared" si="454"/>
        <v/>
      </c>
    </row>
    <row r="29085" spans="26:26" x14ac:dyDescent="0.2">
      <c r="Z29085" t="str">
        <f t="shared" si="454"/>
        <v/>
      </c>
    </row>
    <row r="29086" spans="26:26" x14ac:dyDescent="0.2">
      <c r="Z29086" t="str">
        <f t="shared" si="454"/>
        <v/>
      </c>
    </row>
    <row r="29087" spans="26:26" x14ac:dyDescent="0.2">
      <c r="Z29087" t="str">
        <f t="shared" si="454"/>
        <v/>
      </c>
    </row>
    <row r="29088" spans="26:26" x14ac:dyDescent="0.2">
      <c r="Z29088" t="str">
        <f t="shared" si="454"/>
        <v/>
      </c>
    </row>
    <row r="29089" spans="26:26" x14ac:dyDescent="0.2">
      <c r="Z29089" t="str">
        <f t="shared" si="454"/>
        <v/>
      </c>
    </row>
    <row r="29090" spans="26:26" x14ac:dyDescent="0.2">
      <c r="Z29090" t="str">
        <f t="shared" si="454"/>
        <v/>
      </c>
    </row>
    <row r="29091" spans="26:26" x14ac:dyDescent="0.2">
      <c r="Z29091" t="str">
        <f t="shared" si="454"/>
        <v/>
      </c>
    </row>
    <row r="29092" spans="26:26" x14ac:dyDescent="0.2">
      <c r="Z29092" t="str">
        <f t="shared" si="454"/>
        <v/>
      </c>
    </row>
    <row r="29093" spans="26:26" x14ac:dyDescent="0.2">
      <c r="Z29093" t="str">
        <f t="shared" si="454"/>
        <v/>
      </c>
    </row>
    <row r="29094" spans="26:26" x14ac:dyDescent="0.2">
      <c r="Z29094" t="str">
        <f t="shared" si="454"/>
        <v/>
      </c>
    </row>
    <row r="29095" spans="26:26" x14ac:dyDescent="0.2">
      <c r="Z29095" t="str">
        <f t="shared" si="454"/>
        <v/>
      </c>
    </row>
    <row r="29096" spans="26:26" x14ac:dyDescent="0.2">
      <c r="Z29096" t="str">
        <f t="shared" si="454"/>
        <v/>
      </c>
    </row>
    <row r="29097" spans="26:26" x14ac:dyDescent="0.2">
      <c r="Z29097" t="str">
        <f t="shared" si="454"/>
        <v/>
      </c>
    </row>
    <row r="29098" spans="26:26" x14ac:dyDescent="0.2">
      <c r="Z29098" t="str">
        <f t="shared" si="454"/>
        <v/>
      </c>
    </row>
    <row r="29099" spans="26:26" x14ac:dyDescent="0.2">
      <c r="Z29099" t="str">
        <f t="shared" si="454"/>
        <v/>
      </c>
    </row>
    <row r="29100" spans="26:26" x14ac:dyDescent="0.2">
      <c r="Z29100" t="str">
        <f t="shared" si="454"/>
        <v/>
      </c>
    </row>
    <row r="29101" spans="26:26" x14ac:dyDescent="0.2">
      <c r="Z29101" t="str">
        <f t="shared" si="454"/>
        <v/>
      </c>
    </row>
    <row r="29102" spans="26:26" x14ac:dyDescent="0.2">
      <c r="Z29102" t="str">
        <f t="shared" si="454"/>
        <v/>
      </c>
    </row>
    <row r="29103" spans="26:26" x14ac:dyDescent="0.2">
      <c r="Z29103" t="str">
        <f t="shared" si="454"/>
        <v/>
      </c>
    </row>
    <row r="29104" spans="26:26" x14ac:dyDescent="0.2">
      <c r="Z29104" t="str">
        <f t="shared" si="454"/>
        <v/>
      </c>
    </row>
    <row r="29105" spans="26:26" x14ac:dyDescent="0.2">
      <c r="Z29105" t="str">
        <f t="shared" si="454"/>
        <v/>
      </c>
    </row>
    <row r="29106" spans="26:26" x14ac:dyDescent="0.2">
      <c r="Z29106" t="str">
        <f t="shared" si="454"/>
        <v/>
      </c>
    </row>
    <row r="29107" spans="26:26" x14ac:dyDescent="0.2">
      <c r="Z29107" t="str">
        <f t="shared" si="454"/>
        <v/>
      </c>
    </row>
    <row r="29108" spans="26:26" x14ac:dyDescent="0.2">
      <c r="Z29108" t="str">
        <f t="shared" si="454"/>
        <v/>
      </c>
    </row>
    <row r="29109" spans="26:26" x14ac:dyDescent="0.2">
      <c r="Z29109" t="str">
        <f t="shared" si="454"/>
        <v/>
      </c>
    </row>
    <row r="29110" spans="26:26" x14ac:dyDescent="0.2">
      <c r="Z29110" t="str">
        <f t="shared" si="454"/>
        <v/>
      </c>
    </row>
    <row r="29111" spans="26:26" x14ac:dyDescent="0.2">
      <c r="Z29111" t="str">
        <f t="shared" si="454"/>
        <v/>
      </c>
    </row>
    <row r="29112" spans="26:26" x14ac:dyDescent="0.2">
      <c r="Z29112" t="str">
        <f t="shared" si="454"/>
        <v/>
      </c>
    </row>
    <row r="29113" spans="26:26" x14ac:dyDescent="0.2">
      <c r="Z29113" t="str">
        <f t="shared" si="454"/>
        <v/>
      </c>
    </row>
    <row r="29114" spans="26:26" x14ac:dyDescent="0.2">
      <c r="Z29114" t="str">
        <f t="shared" si="454"/>
        <v/>
      </c>
    </row>
    <row r="29115" spans="26:26" x14ac:dyDescent="0.2">
      <c r="Z29115" t="str">
        <f t="shared" si="454"/>
        <v/>
      </c>
    </row>
    <row r="29116" spans="26:26" x14ac:dyDescent="0.2">
      <c r="Z29116" t="str">
        <f t="shared" si="454"/>
        <v/>
      </c>
    </row>
    <row r="29117" spans="26:26" x14ac:dyDescent="0.2">
      <c r="Z29117" t="str">
        <f t="shared" si="454"/>
        <v/>
      </c>
    </row>
    <row r="29118" spans="26:26" x14ac:dyDescent="0.2">
      <c r="Z29118" t="str">
        <f t="shared" si="454"/>
        <v/>
      </c>
    </row>
    <row r="29119" spans="26:26" x14ac:dyDescent="0.2">
      <c r="Z29119" t="str">
        <f t="shared" si="454"/>
        <v/>
      </c>
    </row>
    <row r="29120" spans="26:26" x14ac:dyDescent="0.2">
      <c r="Z29120" t="str">
        <f t="shared" si="454"/>
        <v/>
      </c>
    </row>
    <row r="29121" spans="26:26" x14ac:dyDescent="0.2">
      <c r="Z29121" t="str">
        <f t="shared" si="454"/>
        <v/>
      </c>
    </row>
    <row r="29122" spans="26:26" x14ac:dyDescent="0.2">
      <c r="Z29122" t="str">
        <f t="shared" si="454"/>
        <v/>
      </c>
    </row>
    <row r="29123" spans="26:26" x14ac:dyDescent="0.2">
      <c r="Z29123" t="str">
        <f t="shared" ref="Z29123:Z29186" si="455">IF(K29123="","",IFERROR(VALUE(TRIM(MID(K29123,FIND(CHAR(167),SUBSTITUTE(K29123,"-",CHAR(167),LEN(K29123)-LEN(SUBSTITUTE(K29123,"-",""))))+1,100))),K29123))</f>
        <v/>
      </c>
    </row>
    <row r="29124" spans="26:26" x14ac:dyDescent="0.2">
      <c r="Z29124" t="str">
        <f t="shared" si="455"/>
        <v/>
      </c>
    </row>
    <row r="29125" spans="26:26" x14ac:dyDescent="0.2">
      <c r="Z29125" t="str">
        <f t="shared" si="455"/>
        <v/>
      </c>
    </row>
    <row r="29126" spans="26:26" x14ac:dyDescent="0.2">
      <c r="Z29126" t="str">
        <f t="shared" si="455"/>
        <v/>
      </c>
    </row>
    <row r="29127" spans="26:26" x14ac:dyDescent="0.2">
      <c r="Z29127" t="str">
        <f t="shared" si="455"/>
        <v/>
      </c>
    </row>
    <row r="29128" spans="26:26" x14ac:dyDescent="0.2">
      <c r="Z29128" t="str">
        <f t="shared" si="455"/>
        <v/>
      </c>
    </row>
    <row r="29129" spans="26:26" x14ac:dyDescent="0.2">
      <c r="Z29129" t="str">
        <f t="shared" si="455"/>
        <v/>
      </c>
    </row>
    <row r="29130" spans="26:26" x14ac:dyDescent="0.2">
      <c r="Z29130" t="str">
        <f t="shared" si="455"/>
        <v/>
      </c>
    </row>
    <row r="29131" spans="26:26" x14ac:dyDescent="0.2">
      <c r="Z29131" t="str">
        <f t="shared" si="455"/>
        <v/>
      </c>
    </row>
    <row r="29132" spans="26:26" x14ac:dyDescent="0.2">
      <c r="Z29132" t="str">
        <f t="shared" si="455"/>
        <v/>
      </c>
    </row>
    <row r="29133" spans="26:26" x14ac:dyDescent="0.2">
      <c r="Z29133" t="str">
        <f t="shared" si="455"/>
        <v/>
      </c>
    </row>
    <row r="29134" spans="26:26" x14ac:dyDescent="0.2">
      <c r="Z29134" t="str">
        <f t="shared" si="455"/>
        <v/>
      </c>
    </row>
    <row r="29135" spans="26:26" x14ac:dyDescent="0.2">
      <c r="Z29135" t="str">
        <f t="shared" si="455"/>
        <v/>
      </c>
    </row>
    <row r="29136" spans="26:26" x14ac:dyDescent="0.2">
      <c r="Z29136" t="str">
        <f t="shared" si="455"/>
        <v/>
      </c>
    </row>
    <row r="29137" spans="26:26" x14ac:dyDescent="0.2">
      <c r="Z29137" t="str">
        <f t="shared" si="455"/>
        <v/>
      </c>
    </row>
    <row r="29138" spans="26:26" x14ac:dyDescent="0.2">
      <c r="Z29138" t="str">
        <f t="shared" si="455"/>
        <v/>
      </c>
    </row>
    <row r="29139" spans="26:26" x14ac:dyDescent="0.2">
      <c r="Z29139" t="str">
        <f t="shared" si="455"/>
        <v/>
      </c>
    </row>
    <row r="29140" spans="26:26" x14ac:dyDescent="0.2">
      <c r="Z29140" t="str">
        <f t="shared" si="455"/>
        <v/>
      </c>
    </row>
    <row r="29141" spans="26:26" x14ac:dyDescent="0.2">
      <c r="Z29141" t="str">
        <f t="shared" si="455"/>
        <v/>
      </c>
    </row>
    <row r="29142" spans="26:26" x14ac:dyDescent="0.2">
      <c r="Z29142" t="str">
        <f t="shared" si="455"/>
        <v/>
      </c>
    </row>
    <row r="29143" spans="26:26" x14ac:dyDescent="0.2">
      <c r="Z29143" t="str">
        <f t="shared" si="455"/>
        <v/>
      </c>
    </row>
    <row r="29144" spans="26:26" x14ac:dyDescent="0.2">
      <c r="Z29144" t="str">
        <f t="shared" si="455"/>
        <v/>
      </c>
    </row>
    <row r="29145" spans="26:26" x14ac:dyDescent="0.2">
      <c r="Z29145" t="str">
        <f t="shared" si="455"/>
        <v/>
      </c>
    </row>
    <row r="29146" spans="26:26" x14ac:dyDescent="0.2">
      <c r="Z29146" t="str">
        <f t="shared" si="455"/>
        <v/>
      </c>
    </row>
    <row r="29147" spans="26:26" x14ac:dyDescent="0.2">
      <c r="Z29147" t="str">
        <f t="shared" si="455"/>
        <v/>
      </c>
    </row>
    <row r="29148" spans="26:26" x14ac:dyDescent="0.2">
      <c r="Z29148" t="str">
        <f t="shared" si="455"/>
        <v/>
      </c>
    </row>
    <row r="29149" spans="26:26" x14ac:dyDescent="0.2">
      <c r="Z29149" t="str">
        <f t="shared" si="455"/>
        <v/>
      </c>
    </row>
    <row r="29150" spans="26:26" x14ac:dyDescent="0.2">
      <c r="Z29150" t="str">
        <f t="shared" si="455"/>
        <v/>
      </c>
    </row>
    <row r="29151" spans="26:26" x14ac:dyDescent="0.2">
      <c r="Z29151" t="str">
        <f t="shared" si="455"/>
        <v/>
      </c>
    </row>
    <row r="29152" spans="26:26" x14ac:dyDescent="0.2">
      <c r="Z29152" t="str">
        <f t="shared" si="455"/>
        <v/>
      </c>
    </row>
    <row r="29153" spans="26:26" x14ac:dyDescent="0.2">
      <c r="Z29153" t="str">
        <f t="shared" si="455"/>
        <v/>
      </c>
    </row>
    <row r="29154" spans="26:26" x14ac:dyDescent="0.2">
      <c r="Z29154" t="str">
        <f t="shared" si="455"/>
        <v/>
      </c>
    </row>
    <row r="29155" spans="26:26" x14ac:dyDescent="0.2">
      <c r="Z29155" t="str">
        <f t="shared" si="455"/>
        <v/>
      </c>
    </row>
    <row r="29156" spans="26:26" x14ac:dyDescent="0.2">
      <c r="Z29156" t="str">
        <f t="shared" si="455"/>
        <v/>
      </c>
    </row>
    <row r="29157" spans="26:26" x14ac:dyDescent="0.2">
      <c r="Z29157" t="str">
        <f t="shared" si="455"/>
        <v/>
      </c>
    </row>
    <row r="29158" spans="26:26" x14ac:dyDescent="0.2">
      <c r="Z29158" t="str">
        <f t="shared" si="455"/>
        <v/>
      </c>
    </row>
    <row r="29159" spans="26:26" x14ac:dyDescent="0.2">
      <c r="Z29159" t="str">
        <f t="shared" si="455"/>
        <v/>
      </c>
    </row>
    <row r="29160" spans="26:26" x14ac:dyDescent="0.2">
      <c r="Z29160" t="str">
        <f t="shared" si="455"/>
        <v/>
      </c>
    </row>
    <row r="29161" spans="26:26" x14ac:dyDescent="0.2">
      <c r="Z29161" t="str">
        <f t="shared" si="455"/>
        <v/>
      </c>
    </row>
    <row r="29162" spans="26:26" x14ac:dyDescent="0.2">
      <c r="Z29162" t="str">
        <f t="shared" si="455"/>
        <v/>
      </c>
    </row>
    <row r="29163" spans="26:26" x14ac:dyDescent="0.2">
      <c r="Z29163" t="str">
        <f t="shared" si="455"/>
        <v/>
      </c>
    </row>
    <row r="29164" spans="26:26" x14ac:dyDescent="0.2">
      <c r="Z29164" t="str">
        <f t="shared" si="455"/>
        <v/>
      </c>
    </row>
    <row r="29165" spans="26:26" x14ac:dyDescent="0.2">
      <c r="Z29165" t="str">
        <f t="shared" si="455"/>
        <v/>
      </c>
    </row>
    <row r="29166" spans="26:26" x14ac:dyDescent="0.2">
      <c r="Z29166" t="str">
        <f t="shared" si="455"/>
        <v/>
      </c>
    </row>
    <row r="29167" spans="26:26" x14ac:dyDescent="0.2">
      <c r="Z29167" t="str">
        <f t="shared" si="455"/>
        <v/>
      </c>
    </row>
    <row r="29168" spans="26:26" x14ac:dyDescent="0.2">
      <c r="Z29168" t="str">
        <f t="shared" si="455"/>
        <v/>
      </c>
    </row>
    <row r="29169" spans="26:26" x14ac:dyDescent="0.2">
      <c r="Z29169" t="str">
        <f t="shared" si="455"/>
        <v/>
      </c>
    </row>
    <row r="29170" spans="26:26" x14ac:dyDescent="0.2">
      <c r="Z29170" t="str">
        <f t="shared" si="455"/>
        <v/>
      </c>
    </row>
    <row r="29171" spans="26:26" x14ac:dyDescent="0.2">
      <c r="Z29171" t="str">
        <f t="shared" si="455"/>
        <v/>
      </c>
    </row>
    <row r="29172" spans="26:26" x14ac:dyDescent="0.2">
      <c r="Z29172" t="str">
        <f t="shared" si="455"/>
        <v/>
      </c>
    </row>
    <row r="29173" spans="26:26" x14ac:dyDescent="0.2">
      <c r="Z29173" t="str">
        <f t="shared" si="455"/>
        <v/>
      </c>
    </row>
    <row r="29174" spans="26:26" x14ac:dyDescent="0.2">
      <c r="Z29174" t="str">
        <f t="shared" si="455"/>
        <v/>
      </c>
    </row>
    <row r="29175" spans="26:26" x14ac:dyDescent="0.2">
      <c r="Z29175" t="str">
        <f t="shared" si="455"/>
        <v/>
      </c>
    </row>
    <row r="29176" spans="26:26" x14ac:dyDescent="0.2">
      <c r="Z29176" t="str">
        <f t="shared" si="455"/>
        <v/>
      </c>
    </row>
    <row r="29177" spans="26:26" x14ac:dyDescent="0.2">
      <c r="Z29177" t="str">
        <f t="shared" si="455"/>
        <v/>
      </c>
    </row>
    <row r="29178" spans="26:26" x14ac:dyDescent="0.2">
      <c r="Z29178" t="str">
        <f t="shared" si="455"/>
        <v/>
      </c>
    </row>
    <row r="29179" spans="26:26" x14ac:dyDescent="0.2">
      <c r="Z29179" t="str">
        <f t="shared" si="455"/>
        <v/>
      </c>
    </row>
    <row r="29180" spans="26:26" x14ac:dyDescent="0.2">
      <c r="Z29180" t="str">
        <f t="shared" si="455"/>
        <v/>
      </c>
    </row>
    <row r="29181" spans="26:26" x14ac:dyDescent="0.2">
      <c r="Z29181" t="str">
        <f t="shared" si="455"/>
        <v/>
      </c>
    </row>
    <row r="29182" spans="26:26" x14ac:dyDescent="0.2">
      <c r="Z29182" t="str">
        <f t="shared" si="455"/>
        <v/>
      </c>
    </row>
    <row r="29183" spans="26:26" x14ac:dyDescent="0.2">
      <c r="Z29183" t="str">
        <f t="shared" si="455"/>
        <v/>
      </c>
    </row>
    <row r="29184" spans="26:26" x14ac:dyDescent="0.2">
      <c r="Z29184" t="str">
        <f t="shared" si="455"/>
        <v/>
      </c>
    </row>
    <row r="29185" spans="26:26" x14ac:dyDescent="0.2">
      <c r="Z29185" t="str">
        <f t="shared" si="455"/>
        <v/>
      </c>
    </row>
    <row r="29186" spans="26:26" x14ac:dyDescent="0.2">
      <c r="Z29186" t="str">
        <f t="shared" si="455"/>
        <v/>
      </c>
    </row>
    <row r="29187" spans="26:26" x14ac:dyDescent="0.2">
      <c r="Z29187" t="str">
        <f t="shared" ref="Z29187:Z29250" si="456">IF(K29187="","",IFERROR(VALUE(TRIM(MID(K29187,FIND(CHAR(167),SUBSTITUTE(K29187,"-",CHAR(167),LEN(K29187)-LEN(SUBSTITUTE(K29187,"-",""))))+1,100))),K29187))</f>
        <v/>
      </c>
    </row>
    <row r="29188" spans="26:26" x14ac:dyDescent="0.2">
      <c r="Z29188" t="str">
        <f t="shared" si="456"/>
        <v/>
      </c>
    </row>
    <row r="29189" spans="26:26" x14ac:dyDescent="0.2">
      <c r="Z29189" t="str">
        <f t="shared" si="456"/>
        <v/>
      </c>
    </row>
    <row r="29190" spans="26:26" x14ac:dyDescent="0.2">
      <c r="Z29190" t="str">
        <f t="shared" si="456"/>
        <v/>
      </c>
    </row>
    <row r="29191" spans="26:26" x14ac:dyDescent="0.2">
      <c r="Z29191" t="str">
        <f t="shared" si="456"/>
        <v/>
      </c>
    </row>
    <row r="29192" spans="26:26" x14ac:dyDescent="0.2">
      <c r="Z29192" t="str">
        <f t="shared" si="456"/>
        <v/>
      </c>
    </row>
    <row r="29193" spans="26:26" x14ac:dyDescent="0.2">
      <c r="Z29193" t="str">
        <f t="shared" si="456"/>
        <v/>
      </c>
    </row>
    <row r="29194" spans="26:26" x14ac:dyDescent="0.2">
      <c r="Z29194" t="str">
        <f t="shared" si="456"/>
        <v/>
      </c>
    </row>
    <row r="29195" spans="26:26" x14ac:dyDescent="0.2">
      <c r="Z29195" t="str">
        <f t="shared" si="456"/>
        <v/>
      </c>
    </row>
    <row r="29196" spans="26:26" x14ac:dyDescent="0.2">
      <c r="Z29196" t="str">
        <f t="shared" si="456"/>
        <v/>
      </c>
    </row>
    <row r="29197" spans="26:26" x14ac:dyDescent="0.2">
      <c r="Z29197" t="str">
        <f t="shared" si="456"/>
        <v/>
      </c>
    </row>
    <row r="29198" spans="26:26" x14ac:dyDescent="0.2">
      <c r="Z29198" t="str">
        <f t="shared" si="456"/>
        <v/>
      </c>
    </row>
    <row r="29199" spans="26:26" x14ac:dyDescent="0.2">
      <c r="Z29199" t="str">
        <f t="shared" si="456"/>
        <v/>
      </c>
    </row>
    <row r="29200" spans="26:26" x14ac:dyDescent="0.2">
      <c r="Z29200" t="str">
        <f t="shared" si="456"/>
        <v/>
      </c>
    </row>
    <row r="29201" spans="26:26" x14ac:dyDescent="0.2">
      <c r="Z29201" t="str">
        <f t="shared" si="456"/>
        <v/>
      </c>
    </row>
    <row r="29202" spans="26:26" x14ac:dyDescent="0.2">
      <c r="Z29202" t="str">
        <f t="shared" si="456"/>
        <v/>
      </c>
    </row>
    <row r="29203" spans="26:26" x14ac:dyDescent="0.2">
      <c r="Z29203" t="str">
        <f t="shared" si="456"/>
        <v/>
      </c>
    </row>
    <row r="29204" spans="26:26" x14ac:dyDescent="0.2">
      <c r="Z29204" t="str">
        <f t="shared" si="456"/>
        <v/>
      </c>
    </row>
    <row r="29205" spans="26:26" x14ac:dyDescent="0.2">
      <c r="Z29205" t="str">
        <f t="shared" si="456"/>
        <v/>
      </c>
    </row>
    <row r="29206" spans="26:26" x14ac:dyDescent="0.2">
      <c r="Z29206" t="str">
        <f t="shared" si="456"/>
        <v/>
      </c>
    </row>
    <row r="29207" spans="26:26" x14ac:dyDescent="0.2">
      <c r="Z29207" t="str">
        <f t="shared" si="456"/>
        <v/>
      </c>
    </row>
    <row r="29208" spans="26:26" x14ac:dyDescent="0.2">
      <c r="Z29208" t="str">
        <f t="shared" si="456"/>
        <v/>
      </c>
    </row>
    <row r="29209" spans="26:26" x14ac:dyDescent="0.2">
      <c r="Z29209" t="str">
        <f t="shared" si="456"/>
        <v/>
      </c>
    </row>
    <row r="29210" spans="26:26" x14ac:dyDescent="0.2">
      <c r="Z29210" t="str">
        <f t="shared" si="456"/>
        <v/>
      </c>
    </row>
    <row r="29211" spans="26:26" x14ac:dyDescent="0.2">
      <c r="Z29211" t="str">
        <f t="shared" si="456"/>
        <v/>
      </c>
    </row>
    <row r="29212" spans="26:26" x14ac:dyDescent="0.2">
      <c r="Z29212" t="str">
        <f t="shared" si="456"/>
        <v/>
      </c>
    </row>
    <row r="29213" spans="26:26" x14ac:dyDescent="0.2">
      <c r="Z29213" t="str">
        <f t="shared" si="456"/>
        <v/>
      </c>
    </row>
    <row r="29214" spans="26:26" x14ac:dyDescent="0.2">
      <c r="Z29214" t="str">
        <f t="shared" si="456"/>
        <v/>
      </c>
    </row>
    <row r="29215" spans="26:26" x14ac:dyDescent="0.2">
      <c r="Z29215" t="str">
        <f t="shared" si="456"/>
        <v/>
      </c>
    </row>
    <row r="29216" spans="26:26" x14ac:dyDescent="0.2">
      <c r="Z29216" t="str">
        <f t="shared" si="456"/>
        <v/>
      </c>
    </row>
    <row r="29217" spans="26:26" x14ac:dyDescent="0.2">
      <c r="Z29217" t="str">
        <f t="shared" si="456"/>
        <v/>
      </c>
    </row>
    <row r="29218" spans="26:26" x14ac:dyDescent="0.2">
      <c r="Z29218" t="str">
        <f t="shared" si="456"/>
        <v/>
      </c>
    </row>
    <row r="29219" spans="26:26" x14ac:dyDescent="0.2">
      <c r="Z29219" t="str">
        <f t="shared" si="456"/>
        <v/>
      </c>
    </row>
    <row r="29220" spans="26:26" x14ac:dyDescent="0.2">
      <c r="Z29220" t="str">
        <f t="shared" si="456"/>
        <v/>
      </c>
    </row>
    <row r="29221" spans="26:26" x14ac:dyDescent="0.2">
      <c r="Z29221" t="str">
        <f t="shared" si="456"/>
        <v/>
      </c>
    </row>
    <row r="29222" spans="26:26" x14ac:dyDescent="0.2">
      <c r="Z29222" t="str">
        <f t="shared" si="456"/>
        <v/>
      </c>
    </row>
    <row r="29223" spans="26:26" x14ac:dyDescent="0.2">
      <c r="Z29223" t="str">
        <f t="shared" si="456"/>
        <v/>
      </c>
    </row>
    <row r="29224" spans="26:26" x14ac:dyDescent="0.2">
      <c r="Z29224" t="str">
        <f t="shared" si="456"/>
        <v/>
      </c>
    </row>
    <row r="29225" spans="26:26" x14ac:dyDescent="0.2">
      <c r="Z29225" t="str">
        <f t="shared" si="456"/>
        <v/>
      </c>
    </row>
    <row r="29226" spans="26:26" x14ac:dyDescent="0.2">
      <c r="Z29226" t="str">
        <f t="shared" si="456"/>
        <v/>
      </c>
    </row>
    <row r="29227" spans="26:26" x14ac:dyDescent="0.2">
      <c r="Z29227" t="str">
        <f t="shared" si="456"/>
        <v/>
      </c>
    </row>
    <row r="29228" spans="26:26" x14ac:dyDescent="0.2">
      <c r="Z29228" t="str">
        <f t="shared" si="456"/>
        <v/>
      </c>
    </row>
    <row r="29229" spans="26:26" x14ac:dyDescent="0.2">
      <c r="Z29229" t="str">
        <f t="shared" si="456"/>
        <v/>
      </c>
    </row>
    <row r="29230" spans="26:26" x14ac:dyDescent="0.2">
      <c r="Z29230" t="str">
        <f t="shared" si="456"/>
        <v/>
      </c>
    </row>
    <row r="29231" spans="26:26" x14ac:dyDescent="0.2">
      <c r="Z29231" t="str">
        <f t="shared" si="456"/>
        <v/>
      </c>
    </row>
    <row r="29232" spans="26:26" x14ac:dyDescent="0.2">
      <c r="Z29232" t="str">
        <f t="shared" si="456"/>
        <v/>
      </c>
    </row>
    <row r="29233" spans="26:26" x14ac:dyDescent="0.2">
      <c r="Z29233" t="str">
        <f t="shared" si="456"/>
        <v/>
      </c>
    </row>
    <row r="29234" spans="26:26" x14ac:dyDescent="0.2">
      <c r="Z29234" t="str">
        <f t="shared" si="456"/>
        <v/>
      </c>
    </row>
    <row r="29235" spans="26:26" x14ac:dyDescent="0.2">
      <c r="Z29235" t="str">
        <f t="shared" si="456"/>
        <v/>
      </c>
    </row>
    <row r="29236" spans="26:26" x14ac:dyDescent="0.2">
      <c r="Z29236" t="str">
        <f t="shared" si="456"/>
        <v/>
      </c>
    </row>
    <row r="29237" spans="26:26" x14ac:dyDescent="0.2">
      <c r="Z29237" t="str">
        <f t="shared" si="456"/>
        <v/>
      </c>
    </row>
    <row r="29238" spans="26:26" x14ac:dyDescent="0.2">
      <c r="Z29238" t="str">
        <f t="shared" si="456"/>
        <v/>
      </c>
    </row>
    <row r="29239" spans="26:26" x14ac:dyDescent="0.2">
      <c r="Z29239" t="str">
        <f t="shared" si="456"/>
        <v/>
      </c>
    </row>
    <row r="29240" spans="26:26" x14ac:dyDescent="0.2">
      <c r="Z29240" t="str">
        <f t="shared" si="456"/>
        <v/>
      </c>
    </row>
    <row r="29241" spans="26:26" x14ac:dyDescent="0.2">
      <c r="Z29241" t="str">
        <f t="shared" si="456"/>
        <v/>
      </c>
    </row>
    <row r="29242" spans="26:26" x14ac:dyDescent="0.2">
      <c r="Z29242" t="str">
        <f t="shared" si="456"/>
        <v/>
      </c>
    </row>
    <row r="29243" spans="26:26" x14ac:dyDescent="0.2">
      <c r="Z29243" t="str">
        <f t="shared" si="456"/>
        <v/>
      </c>
    </row>
    <row r="29244" spans="26:26" x14ac:dyDescent="0.2">
      <c r="Z29244" t="str">
        <f t="shared" si="456"/>
        <v/>
      </c>
    </row>
    <row r="29245" spans="26:26" x14ac:dyDescent="0.2">
      <c r="Z29245" t="str">
        <f t="shared" si="456"/>
        <v/>
      </c>
    </row>
    <row r="29246" spans="26:26" x14ac:dyDescent="0.2">
      <c r="Z29246" t="str">
        <f t="shared" si="456"/>
        <v/>
      </c>
    </row>
    <row r="29247" spans="26:26" x14ac:dyDescent="0.2">
      <c r="Z29247" t="str">
        <f t="shared" si="456"/>
        <v/>
      </c>
    </row>
    <row r="29248" spans="26:26" x14ac:dyDescent="0.2">
      <c r="Z29248" t="str">
        <f t="shared" si="456"/>
        <v/>
      </c>
    </row>
    <row r="29249" spans="26:26" x14ac:dyDescent="0.2">
      <c r="Z29249" t="str">
        <f t="shared" si="456"/>
        <v/>
      </c>
    </row>
    <row r="29250" spans="26:26" x14ac:dyDescent="0.2">
      <c r="Z29250" t="str">
        <f t="shared" si="456"/>
        <v/>
      </c>
    </row>
    <row r="29251" spans="26:26" x14ac:dyDescent="0.2">
      <c r="Z29251" t="str">
        <f t="shared" ref="Z29251:Z29314" si="457">IF(K29251="","",IFERROR(VALUE(TRIM(MID(K29251,FIND(CHAR(167),SUBSTITUTE(K29251,"-",CHAR(167),LEN(K29251)-LEN(SUBSTITUTE(K29251,"-",""))))+1,100))),K29251))</f>
        <v/>
      </c>
    </row>
    <row r="29252" spans="26:26" x14ac:dyDescent="0.2">
      <c r="Z29252" t="str">
        <f t="shared" si="457"/>
        <v/>
      </c>
    </row>
    <row r="29253" spans="26:26" x14ac:dyDescent="0.2">
      <c r="Z29253" t="str">
        <f t="shared" si="457"/>
        <v/>
      </c>
    </row>
    <row r="29254" spans="26:26" x14ac:dyDescent="0.2">
      <c r="Z29254" t="str">
        <f t="shared" si="457"/>
        <v/>
      </c>
    </row>
    <row r="29255" spans="26:26" x14ac:dyDescent="0.2">
      <c r="Z29255" t="str">
        <f t="shared" si="457"/>
        <v/>
      </c>
    </row>
    <row r="29256" spans="26:26" x14ac:dyDescent="0.2">
      <c r="Z29256" t="str">
        <f t="shared" si="457"/>
        <v/>
      </c>
    </row>
    <row r="29257" spans="26:26" x14ac:dyDescent="0.2">
      <c r="Z29257" t="str">
        <f t="shared" si="457"/>
        <v/>
      </c>
    </row>
    <row r="29258" spans="26:26" x14ac:dyDescent="0.2">
      <c r="Z29258" t="str">
        <f t="shared" si="457"/>
        <v/>
      </c>
    </row>
    <row r="29259" spans="26:26" x14ac:dyDescent="0.2">
      <c r="Z29259" t="str">
        <f t="shared" si="457"/>
        <v/>
      </c>
    </row>
    <row r="29260" spans="26:26" x14ac:dyDescent="0.2">
      <c r="Z29260" t="str">
        <f t="shared" si="457"/>
        <v/>
      </c>
    </row>
    <row r="29261" spans="26:26" x14ac:dyDescent="0.2">
      <c r="Z29261" t="str">
        <f t="shared" si="457"/>
        <v/>
      </c>
    </row>
    <row r="29262" spans="26:26" x14ac:dyDescent="0.2">
      <c r="Z29262" t="str">
        <f t="shared" si="457"/>
        <v/>
      </c>
    </row>
    <row r="29263" spans="26:26" x14ac:dyDescent="0.2">
      <c r="Z29263" t="str">
        <f t="shared" si="457"/>
        <v/>
      </c>
    </row>
    <row r="29264" spans="26:26" x14ac:dyDescent="0.2">
      <c r="Z29264" t="str">
        <f t="shared" si="457"/>
        <v/>
      </c>
    </row>
    <row r="29265" spans="26:26" x14ac:dyDescent="0.2">
      <c r="Z29265" t="str">
        <f t="shared" si="457"/>
        <v/>
      </c>
    </row>
    <row r="29266" spans="26:26" x14ac:dyDescent="0.2">
      <c r="Z29266" t="str">
        <f t="shared" si="457"/>
        <v/>
      </c>
    </row>
    <row r="29267" spans="26:26" x14ac:dyDescent="0.2">
      <c r="Z29267" t="str">
        <f t="shared" si="457"/>
        <v/>
      </c>
    </row>
    <row r="29268" spans="26:26" x14ac:dyDescent="0.2">
      <c r="Z29268" t="str">
        <f t="shared" si="457"/>
        <v/>
      </c>
    </row>
    <row r="29269" spans="26:26" x14ac:dyDescent="0.2">
      <c r="Z29269" t="str">
        <f t="shared" si="457"/>
        <v/>
      </c>
    </row>
    <row r="29270" spans="26:26" x14ac:dyDescent="0.2">
      <c r="Z29270" t="str">
        <f t="shared" si="457"/>
        <v/>
      </c>
    </row>
    <row r="29271" spans="26:26" x14ac:dyDescent="0.2">
      <c r="Z29271" t="str">
        <f t="shared" si="457"/>
        <v/>
      </c>
    </row>
    <row r="29272" spans="26:26" x14ac:dyDescent="0.2">
      <c r="Z29272" t="str">
        <f t="shared" si="457"/>
        <v/>
      </c>
    </row>
    <row r="29273" spans="26:26" x14ac:dyDescent="0.2">
      <c r="Z29273" t="str">
        <f t="shared" si="457"/>
        <v/>
      </c>
    </row>
    <row r="29274" spans="26:26" x14ac:dyDescent="0.2">
      <c r="Z29274" t="str">
        <f t="shared" si="457"/>
        <v/>
      </c>
    </row>
    <row r="29275" spans="26:26" x14ac:dyDescent="0.2">
      <c r="Z29275" t="str">
        <f t="shared" si="457"/>
        <v/>
      </c>
    </row>
    <row r="29276" spans="26:26" x14ac:dyDescent="0.2">
      <c r="Z29276" t="str">
        <f t="shared" si="457"/>
        <v/>
      </c>
    </row>
    <row r="29277" spans="26:26" x14ac:dyDescent="0.2">
      <c r="Z29277" t="str">
        <f t="shared" si="457"/>
        <v/>
      </c>
    </row>
    <row r="29278" spans="26:26" x14ac:dyDescent="0.2">
      <c r="Z29278" t="str">
        <f t="shared" si="457"/>
        <v/>
      </c>
    </row>
    <row r="29279" spans="26:26" x14ac:dyDescent="0.2">
      <c r="Z29279" t="str">
        <f t="shared" si="457"/>
        <v/>
      </c>
    </row>
    <row r="29280" spans="26:26" x14ac:dyDescent="0.2">
      <c r="Z29280" t="str">
        <f t="shared" si="457"/>
        <v/>
      </c>
    </row>
    <row r="29281" spans="26:26" x14ac:dyDescent="0.2">
      <c r="Z29281" t="str">
        <f t="shared" si="457"/>
        <v/>
      </c>
    </row>
    <row r="29282" spans="26:26" x14ac:dyDescent="0.2">
      <c r="Z29282" t="str">
        <f t="shared" si="457"/>
        <v/>
      </c>
    </row>
    <row r="29283" spans="26:26" x14ac:dyDescent="0.2">
      <c r="Z29283" t="str">
        <f t="shared" si="457"/>
        <v/>
      </c>
    </row>
    <row r="29284" spans="26:26" x14ac:dyDescent="0.2">
      <c r="Z29284" t="str">
        <f t="shared" si="457"/>
        <v/>
      </c>
    </row>
    <row r="29285" spans="26:26" x14ac:dyDescent="0.2">
      <c r="Z29285" t="str">
        <f t="shared" si="457"/>
        <v/>
      </c>
    </row>
    <row r="29286" spans="26:26" x14ac:dyDescent="0.2">
      <c r="Z29286" t="str">
        <f t="shared" si="457"/>
        <v/>
      </c>
    </row>
    <row r="29287" spans="26:26" x14ac:dyDescent="0.2">
      <c r="Z29287" t="str">
        <f t="shared" si="457"/>
        <v/>
      </c>
    </row>
    <row r="29288" spans="26:26" x14ac:dyDescent="0.2">
      <c r="Z29288" t="str">
        <f t="shared" si="457"/>
        <v/>
      </c>
    </row>
    <row r="29289" spans="26:26" x14ac:dyDescent="0.2">
      <c r="Z29289" t="str">
        <f t="shared" si="457"/>
        <v/>
      </c>
    </row>
    <row r="29290" spans="26:26" x14ac:dyDescent="0.2">
      <c r="Z29290" t="str">
        <f t="shared" si="457"/>
        <v/>
      </c>
    </row>
    <row r="29291" spans="26:26" x14ac:dyDescent="0.2">
      <c r="Z29291" t="str">
        <f t="shared" si="457"/>
        <v/>
      </c>
    </row>
    <row r="29292" spans="26:26" x14ac:dyDescent="0.2">
      <c r="Z29292" t="str">
        <f t="shared" si="457"/>
        <v/>
      </c>
    </row>
    <row r="29293" spans="26:26" x14ac:dyDescent="0.2">
      <c r="Z29293" t="str">
        <f t="shared" si="457"/>
        <v/>
      </c>
    </row>
    <row r="29294" spans="26:26" x14ac:dyDescent="0.2">
      <c r="Z29294" t="str">
        <f t="shared" si="457"/>
        <v/>
      </c>
    </row>
    <row r="29295" spans="26:26" x14ac:dyDescent="0.2">
      <c r="Z29295" t="str">
        <f t="shared" si="457"/>
        <v/>
      </c>
    </row>
    <row r="29296" spans="26:26" x14ac:dyDescent="0.2">
      <c r="Z29296" t="str">
        <f t="shared" si="457"/>
        <v/>
      </c>
    </row>
    <row r="29297" spans="26:26" x14ac:dyDescent="0.2">
      <c r="Z29297" t="str">
        <f t="shared" si="457"/>
        <v/>
      </c>
    </row>
    <row r="29298" spans="26:26" x14ac:dyDescent="0.2">
      <c r="Z29298" t="str">
        <f t="shared" si="457"/>
        <v/>
      </c>
    </row>
    <row r="29299" spans="26:26" x14ac:dyDescent="0.2">
      <c r="Z29299" t="str">
        <f t="shared" si="457"/>
        <v/>
      </c>
    </row>
    <row r="29300" spans="26:26" x14ac:dyDescent="0.2">
      <c r="Z29300" t="str">
        <f t="shared" si="457"/>
        <v/>
      </c>
    </row>
    <row r="29301" spans="26:26" x14ac:dyDescent="0.2">
      <c r="Z29301" t="str">
        <f t="shared" si="457"/>
        <v/>
      </c>
    </row>
    <row r="29302" spans="26:26" x14ac:dyDescent="0.2">
      <c r="Z29302" t="str">
        <f t="shared" si="457"/>
        <v/>
      </c>
    </row>
    <row r="29303" spans="26:26" x14ac:dyDescent="0.2">
      <c r="Z29303" t="str">
        <f t="shared" si="457"/>
        <v/>
      </c>
    </row>
    <row r="29304" spans="26:26" x14ac:dyDescent="0.2">
      <c r="Z29304" t="str">
        <f t="shared" si="457"/>
        <v/>
      </c>
    </row>
    <row r="29305" spans="26:26" x14ac:dyDescent="0.2">
      <c r="Z29305" t="str">
        <f t="shared" si="457"/>
        <v/>
      </c>
    </row>
    <row r="29306" spans="26:26" x14ac:dyDescent="0.2">
      <c r="Z29306" t="str">
        <f t="shared" si="457"/>
        <v/>
      </c>
    </row>
    <row r="29307" spans="26:26" x14ac:dyDescent="0.2">
      <c r="Z29307" t="str">
        <f t="shared" si="457"/>
        <v/>
      </c>
    </row>
    <row r="29308" spans="26:26" x14ac:dyDescent="0.2">
      <c r="Z29308" t="str">
        <f t="shared" si="457"/>
        <v/>
      </c>
    </row>
    <row r="29309" spans="26:26" x14ac:dyDescent="0.2">
      <c r="Z29309" t="str">
        <f t="shared" si="457"/>
        <v/>
      </c>
    </row>
    <row r="29310" spans="26:26" x14ac:dyDescent="0.2">
      <c r="Z29310" t="str">
        <f t="shared" si="457"/>
        <v/>
      </c>
    </row>
    <row r="29311" spans="26:26" x14ac:dyDescent="0.2">
      <c r="Z29311" t="str">
        <f t="shared" si="457"/>
        <v/>
      </c>
    </row>
    <row r="29312" spans="26:26" x14ac:dyDescent="0.2">
      <c r="Z29312" t="str">
        <f t="shared" si="457"/>
        <v/>
      </c>
    </row>
    <row r="29313" spans="26:26" x14ac:dyDescent="0.2">
      <c r="Z29313" t="str">
        <f t="shared" si="457"/>
        <v/>
      </c>
    </row>
    <row r="29314" spans="26:26" x14ac:dyDescent="0.2">
      <c r="Z29314" t="str">
        <f t="shared" si="457"/>
        <v/>
      </c>
    </row>
    <row r="29315" spans="26:26" x14ac:dyDescent="0.2">
      <c r="Z29315" t="str">
        <f t="shared" ref="Z29315:Z29378" si="458">IF(K29315="","",IFERROR(VALUE(TRIM(MID(K29315,FIND(CHAR(167),SUBSTITUTE(K29315,"-",CHAR(167),LEN(K29315)-LEN(SUBSTITUTE(K29315,"-",""))))+1,100))),K29315))</f>
        <v/>
      </c>
    </row>
    <row r="29316" spans="26:26" x14ac:dyDescent="0.2">
      <c r="Z29316" t="str">
        <f t="shared" si="458"/>
        <v/>
      </c>
    </row>
    <row r="29317" spans="26:26" x14ac:dyDescent="0.2">
      <c r="Z29317" t="str">
        <f t="shared" si="458"/>
        <v/>
      </c>
    </row>
    <row r="29318" spans="26:26" x14ac:dyDescent="0.2">
      <c r="Z29318" t="str">
        <f t="shared" si="458"/>
        <v/>
      </c>
    </row>
    <row r="29319" spans="26:26" x14ac:dyDescent="0.2">
      <c r="Z29319" t="str">
        <f t="shared" si="458"/>
        <v/>
      </c>
    </row>
    <row r="29320" spans="26:26" x14ac:dyDescent="0.2">
      <c r="Z29320" t="str">
        <f t="shared" si="458"/>
        <v/>
      </c>
    </row>
    <row r="29321" spans="26:26" x14ac:dyDescent="0.2">
      <c r="Z29321" t="str">
        <f t="shared" si="458"/>
        <v/>
      </c>
    </row>
    <row r="29322" spans="26:26" x14ac:dyDescent="0.2">
      <c r="Z29322" t="str">
        <f t="shared" si="458"/>
        <v/>
      </c>
    </row>
    <row r="29323" spans="26:26" x14ac:dyDescent="0.2">
      <c r="Z29323" t="str">
        <f t="shared" si="458"/>
        <v/>
      </c>
    </row>
    <row r="29324" spans="26:26" x14ac:dyDescent="0.2">
      <c r="Z29324" t="str">
        <f t="shared" si="458"/>
        <v/>
      </c>
    </row>
    <row r="29325" spans="26:26" x14ac:dyDescent="0.2">
      <c r="Z29325" t="str">
        <f t="shared" si="458"/>
        <v/>
      </c>
    </row>
    <row r="29326" spans="26:26" x14ac:dyDescent="0.2">
      <c r="Z29326" t="str">
        <f t="shared" si="458"/>
        <v/>
      </c>
    </row>
    <row r="29327" spans="26:26" x14ac:dyDescent="0.2">
      <c r="Z29327" t="str">
        <f t="shared" si="458"/>
        <v/>
      </c>
    </row>
    <row r="29328" spans="26:26" x14ac:dyDescent="0.2">
      <c r="Z29328" t="str">
        <f t="shared" si="458"/>
        <v/>
      </c>
    </row>
    <row r="29329" spans="26:26" x14ac:dyDescent="0.2">
      <c r="Z29329" t="str">
        <f t="shared" si="458"/>
        <v/>
      </c>
    </row>
    <row r="29330" spans="26:26" x14ac:dyDescent="0.2">
      <c r="Z29330" t="str">
        <f t="shared" si="458"/>
        <v/>
      </c>
    </row>
    <row r="29331" spans="26:26" x14ac:dyDescent="0.2">
      <c r="Z29331" t="str">
        <f t="shared" si="458"/>
        <v/>
      </c>
    </row>
    <row r="29332" spans="26:26" x14ac:dyDescent="0.2">
      <c r="Z29332" t="str">
        <f t="shared" si="458"/>
        <v/>
      </c>
    </row>
    <row r="29333" spans="26:26" x14ac:dyDescent="0.2">
      <c r="Z29333" t="str">
        <f t="shared" si="458"/>
        <v/>
      </c>
    </row>
    <row r="29334" spans="26:26" x14ac:dyDescent="0.2">
      <c r="Z29334" t="str">
        <f t="shared" si="458"/>
        <v/>
      </c>
    </row>
    <row r="29335" spans="26:26" x14ac:dyDescent="0.2">
      <c r="Z29335" t="str">
        <f t="shared" si="458"/>
        <v/>
      </c>
    </row>
    <row r="29336" spans="26:26" x14ac:dyDescent="0.2">
      <c r="Z29336" t="str">
        <f t="shared" si="458"/>
        <v/>
      </c>
    </row>
    <row r="29337" spans="26:26" x14ac:dyDescent="0.2">
      <c r="Z29337" t="str">
        <f t="shared" si="458"/>
        <v/>
      </c>
    </row>
    <row r="29338" spans="26:26" x14ac:dyDescent="0.2">
      <c r="Z29338" t="str">
        <f t="shared" si="458"/>
        <v/>
      </c>
    </row>
    <row r="29339" spans="26:26" x14ac:dyDescent="0.2">
      <c r="Z29339" t="str">
        <f t="shared" si="458"/>
        <v/>
      </c>
    </row>
    <row r="29340" spans="26:26" x14ac:dyDescent="0.2">
      <c r="Z29340" t="str">
        <f t="shared" si="458"/>
        <v/>
      </c>
    </row>
    <row r="29341" spans="26:26" x14ac:dyDescent="0.2">
      <c r="Z29341" t="str">
        <f t="shared" si="458"/>
        <v/>
      </c>
    </row>
    <row r="29342" spans="26:26" x14ac:dyDescent="0.2">
      <c r="Z29342" t="str">
        <f t="shared" si="458"/>
        <v/>
      </c>
    </row>
    <row r="29343" spans="26:26" x14ac:dyDescent="0.2">
      <c r="Z29343" t="str">
        <f t="shared" si="458"/>
        <v/>
      </c>
    </row>
    <row r="29344" spans="26:26" x14ac:dyDescent="0.2">
      <c r="Z29344" t="str">
        <f t="shared" si="458"/>
        <v/>
      </c>
    </row>
    <row r="29345" spans="26:26" x14ac:dyDescent="0.2">
      <c r="Z29345" t="str">
        <f t="shared" si="458"/>
        <v/>
      </c>
    </row>
    <row r="29346" spans="26:26" x14ac:dyDescent="0.2">
      <c r="Z29346" t="str">
        <f t="shared" si="458"/>
        <v/>
      </c>
    </row>
    <row r="29347" spans="26:26" x14ac:dyDescent="0.2">
      <c r="Z29347" t="str">
        <f t="shared" si="458"/>
        <v/>
      </c>
    </row>
    <row r="29348" spans="26:26" x14ac:dyDescent="0.2">
      <c r="Z29348" t="str">
        <f t="shared" si="458"/>
        <v/>
      </c>
    </row>
    <row r="29349" spans="26:26" x14ac:dyDescent="0.2">
      <c r="Z29349" t="str">
        <f t="shared" si="458"/>
        <v/>
      </c>
    </row>
    <row r="29350" spans="26:26" x14ac:dyDescent="0.2">
      <c r="Z29350" t="str">
        <f t="shared" si="458"/>
        <v/>
      </c>
    </row>
    <row r="29351" spans="26:26" x14ac:dyDescent="0.2">
      <c r="Z29351" t="str">
        <f t="shared" si="458"/>
        <v/>
      </c>
    </row>
    <row r="29352" spans="26:26" x14ac:dyDescent="0.2">
      <c r="Z29352" t="str">
        <f t="shared" si="458"/>
        <v/>
      </c>
    </row>
    <row r="29353" spans="26:26" x14ac:dyDescent="0.2">
      <c r="Z29353" t="str">
        <f t="shared" si="458"/>
        <v/>
      </c>
    </row>
    <row r="29354" spans="26:26" x14ac:dyDescent="0.2">
      <c r="Z29354" t="str">
        <f t="shared" si="458"/>
        <v/>
      </c>
    </row>
    <row r="29355" spans="26:26" x14ac:dyDescent="0.2">
      <c r="Z29355" t="str">
        <f t="shared" si="458"/>
        <v/>
      </c>
    </row>
    <row r="29356" spans="26:26" x14ac:dyDescent="0.2">
      <c r="Z29356" t="str">
        <f t="shared" si="458"/>
        <v/>
      </c>
    </row>
    <row r="29357" spans="26:26" x14ac:dyDescent="0.2">
      <c r="Z29357" t="str">
        <f t="shared" si="458"/>
        <v/>
      </c>
    </row>
    <row r="29358" spans="26:26" x14ac:dyDescent="0.2">
      <c r="Z29358" t="str">
        <f t="shared" si="458"/>
        <v/>
      </c>
    </row>
    <row r="29359" spans="26:26" x14ac:dyDescent="0.2">
      <c r="Z29359" t="str">
        <f t="shared" si="458"/>
        <v/>
      </c>
    </row>
    <row r="29360" spans="26:26" x14ac:dyDescent="0.2">
      <c r="Z29360" t="str">
        <f t="shared" si="458"/>
        <v/>
      </c>
    </row>
    <row r="29361" spans="26:26" x14ac:dyDescent="0.2">
      <c r="Z29361" t="str">
        <f t="shared" si="458"/>
        <v/>
      </c>
    </row>
    <row r="29362" spans="26:26" x14ac:dyDescent="0.2">
      <c r="Z29362" t="str">
        <f t="shared" si="458"/>
        <v/>
      </c>
    </row>
    <row r="29363" spans="26:26" x14ac:dyDescent="0.2">
      <c r="Z29363" t="str">
        <f t="shared" si="458"/>
        <v/>
      </c>
    </row>
    <row r="29364" spans="26:26" x14ac:dyDescent="0.2">
      <c r="Z29364" t="str">
        <f t="shared" si="458"/>
        <v/>
      </c>
    </row>
    <row r="29365" spans="26:26" x14ac:dyDescent="0.2">
      <c r="Z29365" t="str">
        <f t="shared" si="458"/>
        <v/>
      </c>
    </row>
    <row r="29366" spans="26:26" x14ac:dyDescent="0.2">
      <c r="Z29366" t="str">
        <f t="shared" si="458"/>
        <v/>
      </c>
    </row>
    <row r="29367" spans="26:26" x14ac:dyDescent="0.2">
      <c r="Z29367" t="str">
        <f t="shared" si="458"/>
        <v/>
      </c>
    </row>
    <row r="29368" spans="26:26" x14ac:dyDescent="0.2">
      <c r="Z29368" t="str">
        <f t="shared" si="458"/>
        <v/>
      </c>
    </row>
    <row r="29369" spans="26:26" x14ac:dyDescent="0.2">
      <c r="Z29369" t="str">
        <f t="shared" si="458"/>
        <v/>
      </c>
    </row>
    <row r="29370" spans="26:26" x14ac:dyDescent="0.2">
      <c r="Z29370" t="str">
        <f t="shared" si="458"/>
        <v/>
      </c>
    </row>
    <row r="29371" spans="26:26" x14ac:dyDescent="0.2">
      <c r="Z29371" t="str">
        <f t="shared" si="458"/>
        <v/>
      </c>
    </row>
    <row r="29372" spans="26:26" x14ac:dyDescent="0.2">
      <c r="Z29372" t="str">
        <f t="shared" si="458"/>
        <v/>
      </c>
    </row>
    <row r="29373" spans="26:26" x14ac:dyDescent="0.2">
      <c r="Z29373" t="str">
        <f t="shared" si="458"/>
        <v/>
      </c>
    </row>
    <row r="29374" spans="26:26" x14ac:dyDescent="0.2">
      <c r="Z29374" t="str">
        <f t="shared" si="458"/>
        <v/>
      </c>
    </row>
    <row r="29375" spans="26:26" x14ac:dyDescent="0.2">
      <c r="Z29375" t="str">
        <f t="shared" si="458"/>
        <v/>
      </c>
    </row>
    <row r="29376" spans="26:26" x14ac:dyDescent="0.2">
      <c r="Z29376" t="str">
        <f t="shared" si="458"/>
        <v/>
      </c>
    </row>
    <row r="29377" spans="26:26" x14ac:dyDescent="0.2">
      <c r="Z29377" t="str">
        <f t="shared" si="458"/>
        <v/>
      </c>
    </row>
    <row r="29378" spans="26:26" x14ac:dyDescent="0.2">
      <c r="Z29378" t="str">
        <f t="shared" si="458"/>
        <v/>
      </c>
    </row>
    <row r="29379" spans="26:26" x14ac:dyDescent="0.2">
      <c r="Z29379" t="str">
        <f t="shared" ref="Z29379:Z29442" si="459">IF(K29379="","",IFERROR(VALUE(TRIM(MID(K29379,FIND(CHAR(167),SUBSTITUTE(K29379,"-",CHAR(167),LEN(K29379)-LEN(SUBSTITUTE(K29379,"-",""))))+1,100))),K29379))</f>
        <v/>
      </c>
    </row>
    <row r="29380" spans="26:26" x14ac:dyDescent="0.2">
      <c r="Z29380" t="str">
        <f t="shared" si="459"/>
        <v/>
      </c>
    </row>
    <row r="29381" spans="26:26" x14ac:dyDescent="0.2">
      <c r="Z29381" t="str">
        <f t="shared" si="459"/>
        <v/>
      </c>
    </row>
    <row r="29382" spans="26:26" x14ac:dyDescent="0.2">
      <c r="Z29382" t="str">
        <f t="shared" si="459"/>
        <v/>
      </c>
    </row>
    <row r="29383" spans="26:26" x14ac:dyDescent="0.2">
      <c r="Z29383" t="str">
        <f t="shared" si="459"/>
        <v/>
      </c>
    </row>
    <row r="29384" spans="26:26" x14ac:dyDescent="0.2">
      <c r="Z29384" t="str">
        <f t="shared" si="459"/>
        <v/>
      </c>
    </row>
    <row r="29385" spans="26:26" x14ac:dyDescent="0.2">
      <c r="Z29385" t="str">
        <f t="shared" si="459"/>
        <v/>
      </c>
    </row>
    <row r="29386" spans="26:26" x14ac:dyDescent="0.2">
      <c r="Z29386" t="str">
        <f t="shared" si="459"/>
        <v/>
      </c>
    </row>
    <row r="29387" spans="26:26" x14ac:dyDescent="0.2">
      <c r="Z29387" t="str">
        <f t="shared" si="459"/>
        <v/>
      </c>
    </row>
    <row r="29388" spans="26:26" x14ac:dyDescent="0.2">
      <c r="Z29388" t="str">
        <f t="shared" si="459"/>
        <v/>
      </c>
    </row>
    <row r="29389" spans="26:26" x14ac:dyDescent="0.2">
      <c r="Z29389" t="str">
        <f t="shared" si="459"/>
        <v/>
      </c>
    </row>
    <row r="29390" spans="26:26" x14ac:dyDescent="0.2">
      <c r="Z29390" t="str">
        <f t="shared" si="459"/>
        <v/>
      </c>
    </row>
    <row r="29391" spans="26:26" x14ac:dyDescent="0.2">
      <c r="Z29391" t="str">
        <f t="shared" si="459"/>
        <v/>
      </c>
    </row>
    <row r="29392" spans="26:26" x14ac:dyDescent="0.2">
      <c r="Z29392" t="str">
        <f t="shared" si="459"/>
        <v/>
      </c>
    </row>
    <row r="29393" spans="26:26" x14ac:dyDescent="0.2">
      <c r="Z29393" t="str">
        <f t="shared" si="459"/>
        <v/>
      </c>
    </row>
    <row r="29394" spans="26:26" x14ac:dyDescent="0.2">
      <c r="Z29394" t="str">
        <f t="shared" si="459"/>
        <v/>
      </c>
    </row>
    <row r="29395" spans="26:26" x14ac:dyDescent="0.2">
      <c r="Z29395" t="str">
        <f t="shared" si="459"/>
        <v/>
      </c>
    </row>
    <row r="29396" spans="26:26" x14ac:dyDescent="0.2">
      <c r="Z29396" t="str">
        <f t="shared" si="459"/>
        <v/>
      </c>
    </row>
    <row r="29397" spans="26:26" x14ac:dyDescent="0.2">
      <c r="Z29397" t="str">
        <f t="shared" si="459"/>
        <v/>
      </c>
    </row>
    <row r="29398" spans="26:26" x14ac:dyDescent="0.2">
      <c r="Z29398" t="str">
        <f t="shared" si="459"/>
        <v/>
      </c>
    </row>
    <row r="29399" spans="26:26" x14ac:dyDescent="0.2">
      <c r="Z29399" t="str">
        <f t="shared" si="459"/>
        <v/>
      </c>
    </row>
    <row r="29400" spans="26:26" x14ac:dyDescent="0.2">
      <c r="Z29400" t="str">
        <f t="shared" si="459"/>
        <v/>
      </c>
    </row>
    <row r="29401" spans="26:26" x14ac:dyDescent="0.2">
      <c r="Z29401" t="str">
        <f t="shared" si="459"/>
        <v/>
      </c>
    </row>
    <row r="29402" spans="26:26" x14ac:dyDescent="0.2">
      <c r="Z29402" t="str">
        <f t="shared" si="459"/>
        <v/>
      </c>
    </row>
    <row r="29403" spans="26:26" x14ac:dyDescent="0.2">
      <c r="Z29403" t="str">
        <f t="shared" si="459"/>
        <v/>
      </c>
    </row>
    <row r="29404" spans="26:26" x14ac:dyDescent="0.2">
      <c r="Z29404" t="str">
        <f t="shared" si="459"/>
        <v/>
      </c>
    </row>
    <row r="29405" spans="26:26" x14ac:dyDescent="0.2">
      <c r="Z29405" t="str">
        <f t="shared" si="459"/>
        <v/>
      </c>
    </row>
    <row r="29406" spans="26:26" x14ac:dyDescent="0.2">
      <c r="Z29406" t="str">
        <f t="shared" si="459"/>
        <v/>
      </c>
    </row>
    <row r="29407" spans="26:26" x14ac:dyDescent="0.2">
      <c r="Z29407" t="str">
        <f t="shared" si="459"/>
        <v/>
      </c>
    </row>
    <row r="29408" spans="26:26" x14ac:dyDescent="0.2">
      <c r="Z29408" t="str">
        <f t="shared" si="459"/>
        <v/>
      </c>
    </row>
    <row r="29409" spans="26:26" x14ac:dyDescent="0.2">
      <c r="Z29409" t="str">
        <f t="shared" si="459"/>
        <v/>
      </c>
    </row>
    <row r="29410" spans="26:26" x14ac:dyDescent="0.2">
      <c r="Z29410" t="str">
        <f t="shared" si="459"/>
        <v/>
      </c>
    </row>
    <row r="29411" spans="26:26" x14ac:dyDescent="0.2">
      <c r="Z29411" t="str">
        <f t="shared" si="459"/>
        <v/>
      </c>
    </row>
    <row r="29412" spans="26:26" x14ac:dyDescent="0.2">
      <c r="Z29412" t="str">
        <f t="shared" si="459"/>
        <v/>
      </c>
    </row>
    <row r="29413" spans="26:26" x14ac:dyDescent="0.2">
      <c r="Z29413" t="str">
        <f t="shared" si="459"/>
        <v/>
      </c>
    </row>
    <row r="29414" spans="26:26" x14ac:dyDescent="0.2">
      <c r="Z29414" t="str">
        <f t="shared" si="459"/>
        <v/>
      </c>
    </row>
    <row r="29415" spans="26:26" x14ac:dyDescent="0.2">
      <c r="Z29415" t="str">
        <f t="shared" si="459"/>
        <v/>
      </c>
    </row>
    <row r="29416" spans="26:26" x14ac:dyDescent="0.2">
      <c r="Z29416" t="str">
        <f t="shared" si="459"/>
        <v/>
      </c>
    </row>
    <row r="29417" spans="26:26" x14ac:dyDescent="0.2">
      <c r="Z29417" t="str">
        <f t="shared" si="459"/>
        <v/>
      </c>
    </row>
    <row r="29418" spans="26:26" x14ac:dyDescent="0.2">
      <c r="Z29418" t="str">
        <f t="shared" si="459"/>
        <v/>
      </c>
    </row>
    <row r="29419" spans="26:26" x14ac:dyDescent="0.2">
      <c r="Z29419" t="str">
        <f t="shared" si="459"/>
        <v/>
      </c>
    </row>
    <row r="29420" spans="26:26" x14ac:dyDescent="0.2">
      <c r="Z29420" t="str">
        <f t="shared" si="459"/>
        <v/>
      </c>
    </row>
    <row r="29421" spans="26:26" x14ac:dyDescent="0.2">
      <c r="Z29421" t="str">
        <f t="shared" si="459"/>
        <v/>
      </c>
    </row>
    <row r="29422" spans="26:26" x14ac:dyDescent="0.2">
      <c r="Z29422" t="str">
        <f t="shared" si="459"/>
        <v/>
      </c>
    </row>
    <row r="29423" spans="26:26" x14ac:dyDescent="0.2">
      <c r="Z29423" t="str">
        <f t="shared" si="459"/>
        <v/>
      </c>
    </row>
    <row r="29424" spans="26:26" x14ac:dyDescent="0.2">
      <c r="Z29424" t="str">
        <f t="shared" si="459"/>
        <v/>
      </c>
    </row>
    <row r="29425" spans="26:26" x14ac:dyDescent="0.2">
      <c r="Z29425" t="str">
        <f t="shared" si="459"/>
        <v/>
      </c>
    </row>
    <row r="29426" spans="26:26" x14ac:dyDescent="0.2">
      <c r="Z29426" t="str">
        <f t="shared" si="459"/>
        <v/>
      </c>
    </row>
    <row r="29427" spans="26:26" x14ac:dyDescent="0.2">
      <c r="Z29427" t="str">
        <f t="shared" si="459"/>
        <v/>
      </c>
    </row>
    <row r="29428" spans="26:26" x14ac:dyDescent="0.2">
      <c r="Z29428" t="str">
        <f t="shared" si="459"/>
        <v/>
      </c>
    </row>
    <row r="29429" spans="26:26" x14ac:dyDescent="0.2">
      <c r="Z29429" t="str">
        <f t="shared" si="459"/>
        <v/>
      </c>
    </row>
    <row r="29430" spans="26:26" x14ac:dyDescent="0.2">
      <c r="Z29430" t="str">
        <f t="shared" si="459"/>
        <v/>
      </c>
    </row>
    <row r="29431" spans="26:26" x14ac:dyDescent="0.2">
      <c r="Z29431" t="str">
        <f t="shared" si="459"/>
        <v/>
      </c>
    </row>
    <row r="29432" spans="26:26" x14ac:dyDescent="0.2">
      <c r="Z29432" t="str">
        <f t="shared" si="459"/>
        <v/>
      </c>
    </row>
    <row r="29433" spans="26:26" x14ac:dyDescent="0.2">
      <c r="Z29433" t="str">
        <f t="shared" si="459"/>
        <v/>
      </c>
    </row>
    <row r="29434" spans="26:26" x14ac:dyDescent="0.2">
      <c r="Z29434" t="str">
        <f t="shared" si="459"/>
        <v/>
      </c>
    </row>
    <row r="29435" spans="26:26" x14ac:dyDescent="0.2">
      <c r="Z29435" t="str">
        <f t="shared" si="459"/>
        <v/>
      </c>
    </row>
    <row r="29436" spans="26:26" x14ac:dyDescent="0.2">
      <c r="Z29436" t="str">
        <f t="shared" si="459"/>
        <v/>
      </c>
    </row>
    <row r="29437" spans="26:26" x14ac:dyDescent="0.2">
      <c r="Z29437" t="str">
        <f t="shared" si="459"/>
        <v/>
      </c>
    </row>
    <row r="29438" spans="26:26" x14ac:dyDescent="0.2">
      <c r="Z29438" t="str">
        <f t="shared" si="459"/>
        <v/>
      </c>
    </row>
    <row r="29439" spans="26:26" x14ac:dyDescent="0.2">
      <c r="Z29439" t="str">
        <f t="shared" si="459"/>
        <v/>
      </c>
    </row>
    <row r="29440" spans="26:26" x14ac:dyDescent="0.2">
      <c r="Z29440" t="str">
        <f t="shared" si="459"/>
        <v/>
      </c>
    </row>
    <row r="29441" spans="26:26" x14ac:dyDescent="0.2">
      <c r="Z29441" t="str">
        <f t="shared" si="459"/>
        <v/>
      </c>
    </row>
    <row r="29442" spans="26:26" x14ac:dyDescent="0.2">
      <c r="Z29442" t="str">
        <f t="shared" si="459"/>
        <v/>
      </c>
    </row>
    <row r="29443" spans="26:26" x14ac:dyDescent="0.2">
      <c r="Z29443" t="str">
        <f t="shared" ref="Z29443:Z29506" si="460">IF(K29443="","",IFERROR(VALUE(TRIM(MID(K29443,FIND(CHAR(167),SUBSTITUTE(K29443,"-",CHAR(167),LEN(K29443)-LEN(SUBSTITUTE(K29443,"-",""))))+1,100))),K29443))</f>
        <v/>
      </c>
    </row>
    <row r="29444" spans="26:26" x14ac:dyDescent="0.2">
      <c r="Z29444" t="str">
        <f t="shared" si="460"/>
        <v/>
      </c>
    </row>
    <row r="29445" spans="26:26" x14ac:dyDescent="0.2">
      <c r="Z29445" t="str">
        <f t="shared" si="460"/>
        <v/>
      </c>
    </row>
    <row r="29446" spans="26:26" x14ac:dyDescent="0.2">
      <c r="Z29446" t="str">
        <f t="shared" si="460"/>
        <v/>
      </c>
    </row>
    <row r="29447" spans="26:26" x14ac:dyDescent="0.2">
      <c r="Z29447" t="str">
        <f t="shared" si="460"/>
        <v/>
      </c>
    </row>
    <row r="29448" spans="26:26" x14ac:dyDescent="0.2">
      <c r="Z29448" t="str">
        <f t="shared" si="460"/>
        <v/>
      </c>
    </row>
    <row r="29449" spans="26:26" x14ac:dyDescent="0.2">
      <c r="Z29449" t="str">
        <f t="shared" si="460"/>
        <v/>
      </c>
    </row>
    <row r="29450" spans="26:26" x14ac:dyDescent="0.2">
      <c r="Z29450" t="str">
        <f t="shared" si="460"/>
        <v/>
      </c>
    </row>
    <row r="29451" spans="26:26" x14ac:dyDescent="0.2">
      <c r="Z29451" t="str">
        <f t="shared" si="460"/>
        <v/>
      </c>
    </row>
    <row r="29452" spans="26:26" x14ac:dyDescent="0.2">
      <c r="Z29452" t="str">
        <f t="shared" si="460"/>
        <v/>
      </c>
    </row>
    <row r="29453" spans="26:26" x14ac:dyDescent="0.2">
      <c r="Z29453" t="str">
        <f t="shared" si="460"/>
        <v/>
      </c>
    </row>
    <row r="29454" spans="26:26" x14ac:dyDescent="0.2">
      <c r="Z29454" t="str">
        <f t="shared" si="460"/>
        <v/>
      </c>
    </row>
    <row r="29455" spans="26:26" x14ac:dyDescent="0.2">
      <c r="Z29455" t="str">
        <f t="shared" si="460"/>
        <v/>
      </c>
    </row>
    <row r="29456" spans="26:26" x14ac:dyDescent="0.2">
      <c r="Z29456" t="str">
        <f t="shared" si="460"/>
        <v/>
      </c>
    </row>
    <row r="29457" spans="26:26" x14ac:dyDescent="0.2">
      <c r="Z29457" t="str">
        <f t="shared" si="460"/>
        <v/>
      </c>
    </row>
    <row r="29458" spans="26:26" x14ac:dyDescent="0.2">
      <c r="Z29458" t="str">
        <f t="shared" si="460"/>
        <v/>
      </c>
    </row>
    <row r="29459" spans="26:26" x14ac:dyDescent="0.2">
      <c r="Z29459" t="str">
        <f t="shared" si="460"/>
        <v/>
      </c>
    </row>
    <row r="29460" spans="26:26" x14ac:dyDescent="0.2">
      <c r="Z29460" t="str">
        <f t="shared" si="460"/>
        <v/>
      </c>
    </row>
    <row r="29461" spans="26:26" x14ac:dyDescent="0.2">
      <c r="Z29461" t="str">
        <f t="shared" si="460"/>
        <v/>
      </c>
    </row>
    <row r="29462" spans="26:26" x14ac:dyDescent="0.2">
      <c r="Z29462" t="str">
        <f t="shared" si="460"/>
        <v/>
      </c>
    </row>
    <row r="29463" spans="26:26" x14ac:dyDescent="0.2">
      <c r="Z29463" t="str">
        <f t="shared" si="460"/>
        <v/>
      </c>
    </row>
    <row r="29464" spans="26:26" x14ac:dyDescent="0.2">
      <c r="Z29464" t="str">
        <f t="shared" si="460"/>
        <v/>
      </c>
    </row>
    <row r="29465" spans="26:26" x14ac:dyDescent="0.2">
      <c r="Z29465" t="str">
        <f t="shared" si="460"/>
        <v/>
      </c>
    </row>
    <row r="29466" spans="26:26" x14ac:dyDescent="0.2">
      <c r="Z29466" t="str">
        <f t="shared" si="460"/>
        <v/>
      </c>
    </row>
    <row r="29467" spans="26:26" x14ac:dyDescent="0.2">
      <c r="Z29467" t="str">
        <f t="shared" si="460"/>
        <v/>
      </c>
    </row>
    <row r="29468" spans="26:26" x14ac:dyDescent="0.2">
      <c r="Z29468" t="str">
        <f t="shared" si="460"/>
        <v/>
      </c>
    </row>
    <row r="29469" spans="26:26" x14ac:dyDescent="0.2">
      <c r="Z29469" t="str">
        <f t="shared" si="460"/>
        <v/>
      </c>
    </row>
    <row r="29470" spans="26:26" x14ac:dyDescent="0.2">
      <c r="Z29470" t="str">
        <f t="shared" si="460"/>
        <v/>
      </c>
    </row>
    <row r="29471" spans="26:26" x14ac:dyDescent="0.2">
      <c r="Z29471" t="str">
        <f t="shared" si="460"/>
        <v/>
      </c>
    </row>
    <row r="29472" spans="26:26" x14ac:dyDescent="0.2">
      <c r="Z29472" t="str">
        <f t="shared" si="460"/>
        <v/>
      </c>
    </row>
    <row r="29473" spans="26:26" x14ac:dyDescent="0.2">
      <c r="Z29473" t="str">
        <f t="shared" si="460"/>
        <v/>
      </c>
    </row>
    <row r="29474" spans="26:26" x14ac:dyDescent="0.2">
      <c r="Z29474" t="str">
        <f t="shared" si="460"/>
        <v/>
      </c>
    </row>
    <row r="29475" spans="26:26" x14ac:dyDescent="0.2">
      <c r="Z29475" t="str">
        <f t="shared" si="460"/>
        <v/>
      </c>
    </row>
    <row r="29476" spans="26:26" x14ac:dyDescent="0.2">
      <c r="Z29476" t="str">
        <f t="shared" si="460"/>
        <v/>
      </c>
    </row>
    <row r="29477" spans="26:26" x14ac:dyDescent="0.2">
      <c r="Z29477" t="str">
        <f t="shared" si="460"/>
        <v/>
      </c>
    </row>
    <row r="29478" spans="26:26" x14ac:dyDescent="0.2">
      <c r="Z29478" t="str">
        <f t="shared" si="460"/>
        <v/>
      </c>
    </row>
    <row r="29479" spans="26:26" x14ac:dyDescent="0.2">
      <c r="Z29479" t="str">
        <f t="shared" si="460"/>
        <v/>
      </c>
    </row>
    <row r="29480" spans="26:26" x14ac:dyDescent="0.2">
      <c r="Z29480" t="str">
        <f t="shared" si="460"/>
        <v/>
      </c>
    </row>
    <row r="29481" spans="26:26" x14ac:dyDescent="0.2">
      <c r="Z29481" t="str">
        <f t="shared" si="460"/>
        <v/>
      </c>
    </row>
    <row r="29482" spans="26:26" x14ac:dyDescent="0.2">
      <c r="Z29482" t="str">
        <f t="shared" si="460"/>
        <v/>
      </c>
    </row>
    <row r="29483" spans="26:26" x14ac:dyDescent="0.2">
      <c r="Z29483" t="str">
        <f t="shared" si="460"/>
        <v/>
      </c>
    </row>
    <row r="29484" spans="26:26" x14ac:dyDescent="0.2">
      <c r="Z29484" t="str">
        <f t="shared" si="460"/>
        <v/>
      </c>
    </row>
    <row r="29485" spans="26:26" x14ac:dyDescent="0.2">
      <c r="Z29485" t="str">
        <f t="shared" si="460"/>
        <v/>
      </c>
    </row>
    <row r="29486" spans="26:26" x14ac:dyDescent="0.2">
      <c r="Z29486" t="str">
        <f t="shared" si="460"/>
        <v/>
      </c>
    </row>
    <row r="29487" spans="26:26" x14ac:dyDescent="0.2">
      <c r="Z29487" t="str">
        <f t="shared" si="460"/>
        <v/>
      </c>
    </row>
    <row r="29488" spans="26:26" x14ac:dyDescent="0.2">
      <c r="Z29488" t="str">
        <f t="shared" si="460"/>
        <v/>
      </c>
    </row>
    <row r="29489" spans="26:26" x14ac:dyDescent="0.2">
      <c r="Z29489" t="str">
        <f t="shared" si="460"/>
        <v/>
      </c>
    </row>
    <row r="29490" spans="26:26" x14ac:dyDescent="0.2">
      <c r="Z29490" t="str">
        <f t="shared" si="460"/>
        <v/>
      </c>
    </row>
    <row r="29491" spans="26:26" x14ac:dyDescent="0.2">
      <c r="Z29491" t="str">
        <f t="shared" si="460"/>
        <v/>
      </c>
    </row>
    <row r="29492" spans="26:26" x14ac:dyDescent="0.2">
      <c r="Z29492" t="str">
        <f t="shared" si="460"/>
        <v/>
      </c>
    </row>
    <row r="29493" spans="26:26" x14ac:dyDescent="0.2">
      <c r="Z29493" t="str">
        <f t="shared" si="460"/>
        <v/>
      </c>
    </row>
    <row r="29494" spans="26:26" x14ac:dyDescent="0.2">
      <c r="Z29494" t="str">
        <f t="shared" si="460"/>
        <v/>
      </c>
    </row>
    <row r="29495" spans="26:26" x14ac:dyDescent="0.2">
      <c r="Z29495" t="str">
        <f t="shared" si="460"/>
        <v/>
      </c>
    </row>
    <row r="29496" spans="26:26" x14ac:dyDescent="0.2">
      <c r="Z29496" t="str">
        <f t="shared" si="460"/>
        <v/>
      </c>
    </row>
    <row r="29497" spans="26:26" x14ac:dyDescent="0.2">
      <c r="Z29497" t="str">
        <f t="shared" si="460"/>
        <v/>
      </c>
    </row>
    <row r="29498" spans="26:26" x14ac:dyDescent="0.2">
      <c r="Z29498" t="str">
        <f t="shared" si="460"/>
        <v/>
      </c>
    </row>
    <row r="29499" spans="26:26" x14ac:dyDescent="0.2">
      <c r="Z29499" t="str">
        <f t="shared" si="460"/>
        <v/>
      </c>
    </row>
    <row r="29500" spans="26:26" x14ac:dyDescent="0.2">
      <c r="Z29500" t="str">
        <f t="shared" si="460"/>
        <v/>
      </c>
    </row>
    <row r="29501" spans="26:26" x14ac:dyDescent="0.2">
      <c r="Z29501" t="str">
        <f t="shared" si="460"/>
        <v/>
      </c>
    </row>
    <row r="29502" spans="26:26" x14ac:dyDescent="0.2">
      <c r="Z29502" t="str">
        <f t="shared" si="460"/>
        <v/>
      </c>
    </row>
    <row r="29503" spans="26:26" x14ac:dyDescent="0.2">
      <c r="Z29503" t="str">
        <f t="shared" si="460"/>
        <v/>
      </c>
    </row>
    <row r="29504" spans="26:26" x14ac:dyDescent="0.2">
      <c r="Z29504" t="str">
        <f t="shared" si="460"/>
        <v/>
      </c>
    </row>
    <row r="29505" spans="26:26" x14ac:dyDescent="0.2">
      <c r="Z29505" t="str">
        <f t="shared" si="460"/>
        <v/>
      </c>
    </row>
    <row r="29506" spans="26:26" x14ac:dyDescent="0.2">
      <c r="Z29506" t="str">
        <f t="shared" si="460"/>
        <v/>
      </c>
    </row>
    <row r="29507" spans="26:26" x14ac:dyDescent="0.2">
      <c r="Z29507" t="str">
        <f t="shared" ref="Z29507:Z29570" si="461">IF(K29507="","",IFERROR(VALUE(TRIM(MID(K29507,FIND(CHAR(167),SUBSTITUTE(K29507,"-",CHAR(167),LEN(K29507)-LEN(SUBSTITUTE(K29507,"-",""))))+1,100))),K29507))</f>
        <v/>
      </c>
    </row>
    <row r="29508" spans="26:26" x14ac:dyDescent="0.2">
      <c r="Z29508" t="str">
        <f t="shared" si="461"/>
        <v/>
      </c>
    </row>
    <row r="29509" spans="26:26" x14ac:dyDescent="0.2">
      <c r="Z29509" t="str">
        <f t="shared" si="461"/>
        <v/>
      </c>
    </row>
    <row r="29510" spans="26:26" x14ac:dyDescent="0.2">
      <c r="Z29510" t="str">
        <f t="shared" si="461"/>
        <v/>
      </c>
    </row>
    <row r="29511" spans="26:26" x14ac:dyDescent="0.2">
      <c r="Z29511" t="str">
        <f t="shared" si="461"/>
        <v/>
      </c>
    </row>
    <row r="29512" spans="26:26" x14ac:dyDescent="0.2">
      <c r="Z29512" t="str">
        <f t="shared" si="461"/>
        <v/>
      </c>
    </row>
    <row r="29513" spans="26:26" x14ac:dyDescent="0.2">
      <c r="Z29513" t="str">
        <f t="shared" si="461"/>
        <v/>
      </c>
    </row>
    <row r="29514" spans="26:26" x14ac:dyDescent="0.2">
      <c r="Z29514" t="str">
        <f t="shared" si="461"/>
        <v/>
      </c>
    </row>
    <row r="29515" spans="26:26" x14ac:dyDescent="0.2">
      <c r="Z29515" t="str">
        <f t="shared" si="461"/>
        <v/>
      </c>
    </row>
    <row r="29516" spans="26:26" x14ac:dyDescent="0.2">
      <c r="Z29516" t="str">
        <f t="shared" si="461"/>
        <v/>
      </c>
    </row>
    <row r="29517" spans="26:26" x14ac:dyDescent="0.2">
      <c r="Z29517" t="str">
        <f t="shared" si="461"/>
        <v/>
      </c>
    </row>
    <row r="29518" spans="26:26" x14ac:dyDescent="0.2">
      <c r="Z29518" t="str">
        <f t="shared" si="461"/>
        <v/>
      </c>
    </row>
    <row r="29519" spans="26:26" x14ac:dyDescent="0.2">
      <c r="Z29519" t="str">
        <f t="shared" si="461"/>
        <v/>
      </c>
    </row>
    <row r="29520" spans="26:26" x14ac:dyDescent="0.2">
      <c r="Z29520" t="str">
        <f t="shared" si="461"/>
        <v/>
      </c>
    </row>
    <row r="29521" spans="26:26" x14ac:dyDescent="0.2">
      <c r="Z29521" t="str">
        <f t="shared" si="461"/>
        <v/>
      </c>
    </row>
    <row r="29522" spans="26:26" x14ac:dyDescent="0.2">
      <c r="Z29522" t="str">
        <f t="shared" si="461"/>
        <v/>
      </c>
    </row>
    <row r="29523" spans="26:26" x14ac:dyDescent="0.2">
      <c r="Z29523" t="str">
        <f t="shared" si="461"/>
        <v/>
      </c>
    </row>
    <row r="29524" spans="26:26" x14ac:dyDescent="0.2">
      <c r="Z29524" t="str">
        <f t="shared" si="461"/>
        <v/>
      </c>
    </row>
    <row r="29525" spans="26:26" x14ac:dyDescent="0.2">
      <c r="Z29525" t="str">
        <f t="shared" si="461"/>
        <v/>
      </c>
    </row>
    <row r="29526" spans="26:26" x14ac:dyDescent="0.2">
      <c r="Z29526" t="str">
        <f t="shared" si="461"/>
        <v/>
      </c>
    </row>
    <row r="29527" spans="26:26" x14ac:dyDescent="0.2">
      <c r="Z29527" t="str">
        <f t="shared" si="461"/>
        <v/>
      </c>
    </row>
    <row r="29528" spans="26:26" x14ac:dyDescent="0.2">
      <c r="Z29528" t="str">
        <f t="shared" si="461"/>
        <v/>
      </c>
    </row>
    <row r="29529" spans="26:26" x14ac:dyDescent="0.2">
      <c r="Z29529" t="str">
        <f t="shared" si="461"/>
        <v/>
      </c>
    </row>
    <row r="29530" spans="26:26" x14ac:dyDescent="0.2">
      <c r="Z29530" t="str">
        <f t="shared" si="461"/>
        <v/>
      </c>
    </row>
    <row r="29531" spans="26:26" x14ac:dyDescent="0.2">
      <c r="Z29531" t="str">
        <f t="shared" si="461"/>
        <v/>
      </c>
    </row>
    <row r="29532" spans="26:26" x14ac:dyDescent="0.2">
      <c r="Z29532" t="str">
        <f t="shared" si="461"/>
        <v/>
      </c>
    </row>
    <row r="29533" spans="26:26" x14ac:dyDescent="0.2">
      <c r="Z29533" t="str">
        <f t="shared" si="461"/>
        <v/>
      </c>
    </row>
    <row r="29534" spans="26:26" x14ac:dyDescent="0.2">
      <c r="Z29534" t="str">
        <f t="shared" si="461"/>
        <v/>
      </c>
    </row>
    <row r="29535" spans="26:26" x14ac:dyDescent="0.2">
      <c r="Z29535" t="str">
        <f t="shared" si="461"/>
        <v/>
      </c>
    </row>
    <row r="29536" spans="26:26" x14ac:dyDescent="0.2">
      <c r="Z29536" t="str">
        <f t="shared" si="461"/>
        <v/>
      </c>
    </row>
    <row r="29537" spans="26:26" x14ac:dyDescent="0.2">
      <c r="Z29537" t="str">
        <f t="shared" si="461"/>
        <v/>
      </c>
    </row>
    <row r="29538" spans="26:26" x14ac:dyDescent="0.2">
      <c r="Z29538" t="str">
        <f t="shared" si="461"/>
        <v/>
      </c>
    </row>
    <row r="29539" spans="26:26" x14ac:dyDescent="0.2">
      <c r="Z29539" t="str">
        <f t="shared" si="461"/>
        <v/>
      </c>
    </row>
    <row r="29540" spans="26:26" x14ac:dyDescent="0.2">
      <c r="Z29540" t="str">
        <f t="shared" si="461"/>
        <v/>
      </c>
    </row>
    <row r="29541" spans="26:26" x14ac:dyDescent="0.2">
      <c r="Z29541" t="str">
        <f t="shared" si="461"/>
        <v/>
      </c>
    </row>
    <row r="29542" spans="26:26" x14ac:dyDescent="0.2">
      <c r="Z29542" t="str">
        <f t="shared" si="461"/>
        <v/>
      </c>
    </row>
    <row r="29543" spans="26:26" x14ac:dyDescent="0.2">
      <c r="Z29543" t="str">
        <f t="shared" si="461"/>
        <v/>
      </c>
    </row>
    <row r="29544" spans="26:26" x14ac:dyDescent="0.2">
      <c r="Z29544" t="str">
        <f t="shared" si="461"/>
        <v/>
      </c>
    </row>
    <row r="29545" spans="26:26" x14ac:dyDescent="0.2">
      <c r="Z29545" t="str">
        <f t="shared" si="461"/>
        <v/>
      </c>
    </row>
    <row r="29546" spans="26:26" x14ac:dyDescent="0.2">
      <c r="Z29546" t="str">
        <f t="shared" si="461"/>
        <v/>
      </c>
    </row>
    <row r="29547" spans="26:26" x14ac:dyDescent="0.2">
      <c r="Z29547" t="str">
        <f t="shared" si="461"/>
        <v/>
      </c>
    </row>
    <row r="29548" spans="26:26" x14ac:dyDescent="0.2">
      <c r="Z29548" t="str">
        <f t="shared" si="461"/>
        <v/>
      </c>
    </row>
    <row r="29549" spans="26:26" x14ac:dyDescent="0.2">
      <c r="Z29549" t="str">
        <f t="shared" si="461"/>
        <v/>
      </c>
    </row>
    <row r="29550" spans="26:26" x14ac:dyDescent="0.2">
      <c r="Z29550" t="str">
        <f t="shared" si="461"/>
        <v/>
      </c>
    </row>
    <row r="29551" spans="26:26" x14ac:dyDescent="0.2">
      <c r="Z29551" t="str">
        <f t="shared" si="461"/>
        <v/>
      </c>
    </row>
    <row r="29552" spans="26:26" x14ac:dyDescent="0.2">
      <c r="Z29552" t="str">
        <f t="shared" si="461"/>
        <v/>
      </c>
    </row>
    <row r="29553" spans="26:26" x14ac:dyDescent="0.2">
      <c r="Z29553" t="str">
        <f t="shared" si="461"/>
        <v/>
      </c>
    </row>
    <row r="29554" spans="26:26" x14ac:dyDescent="0.2">
      <c r="Z29554" t="str">
        <f t="shared" si="461"/>
        <v/>
      </c>
    </row>
    <row r="29555" spans="26:26" x14ac:dyDescent="0.2">
      <c r="Z29555" t="str">
        <f t="shared" si="461"/>
        <v/>
      </c>
    </row>
    <row r="29556" spans="26:26" x14ac:dyDescent="0.2">
      <c r="Z29556" t="str">
        <f t="shared" si="461"/>
        <v/>
      </c>
    </row>
    <row r="29557" spans="26:26" x14ac:dyDescent="0.2">
      <c r="Z29557" t="str">
        <f t="shared" si="461"/>
        <v/>
      </c>
    </row>
    <row r="29558" spans="26:26" x14ac:dyDescent="0.2">
      <c r="Z29558" t="str">
        <f t="shared" si="461"/>
        <v/>
      </c>
    </row>
    <row r="29559" spans="26:26" x14ac:dyDescent="0.2">
      <c r="Z29559" t="str">
        <f t="shared" si="461"/>
        <v/>
      </c>
    </row>
    <row r="29560" spans="26:26" x14ac:dyDescent="0.2">
      <c r="Z29560" t="str">
        <f t="shared" si="461"/>
        <v/>
      </c>
    </row>
    <row r="29561" spans="26:26" x14ac:dyDescent="0.2">
      <c r="Z29561" t="str">
        <f t="shared" si="461"/>
        <v/>
      </c>
    </row>
    <row r="29562" spans="26:26" x14ac:dyDescent="0.2">
      <c r="Z29562" t="str">
        <f t="shared" si="461"/>
        <v/>
      </c>
    </row>
    <row r="29563" spans="26:26" x14ac:dyDescent="0.2">
      <c r="Z29563" t="str">
        <f t="shared" si="461"/>
        <v/>
      </c>
    </row>
    <row r="29564" spans="26:26" x14ac:dyDescent="0.2">
      <c r="Z29564" t="str">
        <f t="shared" si="461"/>
        <v/>
      </c>
    </row>
    <row r="29565" spans="26:26" x14ac:dyDescent="0.2">
      <c r="Z29565" t="str">
        <f t="shared" si="461"/>
        <v/>
      </c>
    </row>
    <row r="29566" spans="26:26" x14ac:dyDescent="0.2">
      <c r="Z29566" t="str">
        <f t="shared" si="461"/>
        <v/>
      </c>
    </row>
    <row r="29567" spans="26:26" x14ac:dyDescent="0.2">
      <c r="Z29567" t="str">
        <f t="shared" si="461"/>
        <v/>
      </c>
    </row>
    <row r="29568" spans="26:26" x14ac:dyDescent="0.2">
      <c r="Z29568" t="str">
        <f t="shared" si="461"/>
        <v/>
      </c>
    </row>
    <row r="29569" spans="26:26" x14ac:dyDescent="0.2">
      <c r="Z29569" t="str">
        <f t="shared" si="461"/>
        <v/>
      </c>
    </row>
    <row r="29570" spans="26:26" x14ac:dyDescent="0.2">
      <c r="Z29570" t="str">
        <f t="shared" si="461"/>
        <v/>
      </c>
    </row>
    <row r="29571" spans="26:26" x14ac:dyDescent="0.2">
      <c r="Z29571" t="str">
        <f t="shared" ref="Z29571:Z29634" si="462">IF(K29571="","",IFERROR(VALUE(TRIM(MID(K29571,FIND(CHAR(167),SUBSTITUTE(K29571,"-",CHAR(167),LEN(K29571)-LEN(SUBSTITUTE(K29571,"-",""))))+1,100))),K29571))</f>
        <v/>
      </c>
    </row>
    <row r="29572" spans="26:26" x14ac:dyDescent="0.2">
      <c r="Z29572" t="str">
        <f t="shared" si="462"/>
        <v/>
      </c>
    </row>
    <row r="29573" spans="26:26" x14ac:dyDescent="0.2">
      <c r="Z29573" t="str">
        <f t="shared" si="462"/>
        <v/>
      </c>
    </row>
    <row r="29574" spans="26:26" x14ac:dyDescent="0.2">
      <c r="Z29574" t="str">
        <f t="shared" si="462"/>
        <v/>
      </c>
    </row>
    <row r="29575" spans="26:26" x14ac:dyDescent="0.2">
      <c r="Z29575" t="str">
        <f t="shared" si="462"/>
        <v/>
      </c>
    </row>
    <row r="29576" spans="26:26" x14ac:dyDescent="0.2">
      <c r="Z29576" t="str">
        <f t="shared" si="462"/>
        <v/>
      </c>
    </row>
    <row r="29577" spans="26:26" x14ac:dyDescent="0.2">
      <c r="Z29577" t="str">
        <f t="shared" si="462"/>
        <v/>
      </c>
    </row>
    <row r="29578" spans="26:26" x14ac:dyDescent="0.2">
      <c r="Z29578" t="str">
        <f t="shared" si="462"/>
        <v/>
      </c>
    </row>
    <row r="29579" spans="26:26" x14ac:dyDescent="0.2">
      <c r="Z29579" t="str">
        <f t="shared" si="462"/>
        <v/>
      </c>
    </row>
    <row r="29580" spans="26:26" x14ac:dyDescent="0.2">
      <c r="Z29580" t="str">
        <f t="shared" si="462"/>
        <v/>
      </c>
    </row>
    <row r="29581" spans="26:26" x14ac:dyDescent="0.2">
      <c r="Z29581" t="str">
        <f t="shared" si="462"/>
        <v/>
      </c>
    </row>
    <row r="29582" spans="26:26" x14ac:dyDescent="0.2">
      <c r="Z29582" t="str">
        <f t="shared" si="462"/>
        <v/>
      </c>
    </row>
    <row r="29583" spans="26:26" x14ac:dyDescent="0.2">
      <c r="Z29583" t="str">
        <f t="shared" si="462"/>
        <v/>
      </c>
    </row>
    <row r="29584" spans="26:26" x14ac:dyDescent="0.2">
      <c r="Z29584" t="str">
        <f t="shared" si="462"/>
        <v/>
      </c>
    </row>
    <row r="29585" spans="26:26" x14ac:dyDescent="0.2">
      <c r="Z29585" t="str">
        <f t="shared" si="462"/>
        <v/>
      </c>
    </row>
    <row r="29586" spans="26:26" x14ac:dyDescent="0.2">
      <c r="Z29586" t="str">
        <f t="shared" si="462"/>
        <v/>
      </c>
    </row>
    <row r="29587" spans="26:26" x14ac:dyDescent="0.2">
      <c r="Z29587" t="str">
        <f t="shared" si="462"/>
        <v/>
      </c>
    </row>
    <row r="29588" spans="26:26" x14ac:dyDescent="0.2">
      <c r="Z29588" t="str">
        <f t="shared" si="462"/>
        <v/>
      </c>
    </row>
    <row r="29589" spans="26:26" x14ac:dyDescent="0.2">
      <c r="Z29589" t="str">
        <f t="shared" si="462"/>
        <v/>
      </c>
    </row>
    <row r="29590" spans="26:26" x14ac:dyDescent="0.2">
      <c r="Z29590" t="str">
        <f t="shared" si="462"/>
        <v/>
      </c>
    </row>
    <row r="29591" spans="26:26" x14ac:dyDescent="0.2">
      <c r="Z29591" t="str">
        <f t="shared" si="462"/>
        <v/>
      </c>
    </row>
    <row r="29592" spans="26:26" x14ac:dyDescent="0.2">
      <c r="Z29592" t="str">
        <f t="shared" si="462"/>
        <v/>
      </c>
    </row>
    <row r="29593" spans="26:26" x14ac:dyDescent="0.2">
      <c r="Z29593" t="str">
        <f t="shared" si="462"/>
        <v/>
      </c>
    </row>
    <row r="29594" spans="26:26" x14ac:dyDescent="0.2">
      <c r="Z29594" t="str">
        <f t="shared" si="462"/>
        <v/>
      </c>
    </row>
    <row r="29595" spans="26:26" x14ac:dyDescent="0.2">
      <c r="Z29595" t="str">
        <f t="shared" si="462"/>
        <v/>
      </c>
    </row>
    <row r="29596" spans="26:26" x14ac:dyDescent="0.2">
      <c r="Z29596" t="str">
        <f t="shared" si="462"/>
        <v/>
      </c>
    </row>
    <row r="29597" spans="26:26" x14ac:dyDescent="0.2">
      <c r="Z29597" t="str">
        <f t="shared" si="462"/>
        <v/>
      </c>
    </row>
    <row r="29598" spans="26:26" x14ac:dyDescent="0.2">
      <c r="Z29598" t="str">
        <f t="shared" si="462"/>
        <v/>
      </c>
    </row>
    <row r="29599" spans="26:26" x14ac:dyDescent="0.2">
      <c r="Z29599" t="str">
        <f t="shared" si="462"/>
        <v/>
      </c>
    </row>
    <row r="29600" spans="26:26" x14ac:dyDescent="0.2">
      <c r="Z29600" t="str">
        <f t="shared" si="462"/>
        <v/>
      </c>
    </row>
    <row r="29601" spans="26:26" x14ac:dyDescent="0.2">
      <c r="Z29601" t="str">
        <f t="shared" si="462"/>
        <v/>
      </c>
    </row>
    <row r="29602" spans="26:26" x14ac:dyDescent="0.2">
      <c r="Z29602" t="str">
        <f t="shared" si="462"/>
        <v/>
      </c>
    </row>
    <row r="29603" spans="26:26" x14ac:dyDescent="0.2">
      <c r="Z29603" t="str">
        <f t="shared" si="462"/>
        <v/>
      </c>
    </row>
    <row r="29604" spans="26:26" x14ac:dyDescent="0.2">
      <c r="Z29604" t="str">
        <f t="shared" si="462"/>
        <v/>
      </c>
    </row>
    <row r="29605" spans="26:26" x14ac:dyDescent="0.2">
      <c r="Z29605" t="str">
        <f t="shared" si="462"/>
        <v/>
      </c>
    </row>
    <row r="29606" spans="26:26" x14ac:dyDescent="0.2">
      <c r="Z29606" t="str">
        <f t="shared" si="462"/>
        <v/>
      </c>
    </row>
    <row r="29607" spans="26:26" x14ac:dyDescent="0.2">
      <c r="Z29607" t="str">
        <f t="shared" si="462"/>
        <v/>
      </c>
    </row>
    <row r="29608" spans="26:26" x14ac:dyDescent="0.2">
      <c r="Z29608" t="str">
        <f t="shared" si="462"/>
        <v/>
      </c>
    </row>
    <row r="29609" spans="26:26" x14ac:dyDescent="0.2">
      <c r="Z29609" t="str">
        <f t="shared" si="462"/>
        <v/>
      </c>
    </row>
    <row r="29610" spans="26:26" x14ac:dyDescent="0.2">
      <c r="Z29610" t="str">
        <f t="shared" si="462"/>
        <v/>
      </c>
    </row>
    <row r="29611" spans="26:26" x14ac:dyDescent="0.2">
      <c r="Z29611" t="str">
        <f t="shared" si="462"/>
        <v/>
      </c>
    </row>
    <row r="29612" spans="26:26" x14ac:dyDescent="0.2">
      <c r="Z29612" t="str">
        <f t="shared" si="462"/>
        <v/>
      </c>
    </row>
    <row r="29613" spans="26:26" x14ac:dyDescent="0.2">
      <c r="Z29613" t="str">
        <f t="shared" si="462"/>
        <v/>
      </c>
    </row>
    <row r="29614" spans="26:26" x14ac:dyDescent="0.2">
      <c r="Z29614" t="str">
        <f t="shared" si="462"/>
        <v/>
      </c>
    </row>
    <row r="29615" spans="26:26" x14ac:dyDescent="0.2">
      <c r="Z29615" t="str">
        <f t="shared" si="462"/>
        <v/>
      </c>
    </row>
    <row r="29616" spans="26:26" x14ac:dyDescent="0.2">
      <c r="Z29616" t="str">
        <f t="shared" si="462"/>
        <v/>
      </c>
    </row>
    <row r="29617" spans="26:26" x14ac:dyDescent="0.2">
      <c r="Z29617" t="str">
        <f t="shared" si="462"/>
        <v/>
      </c>
    </row>
    <row r="29618" spans="26:26" x14ac:dyDescent="0.2">
      <c r="Z29618" t="str">
        <f t="shared" si="462"/>
        <v/>
      </c>
    </row>
    <row r="29619" spans="26:26" x14ac:dyDescent="0.2">
      <c r="Z29619" t="str">
        <f t="shared" si="462"/>
        <v/>
      </c>
    </row>
    <row r="29620" spans="26:26" x14ac:dyDescent="0.2">
      <c r="Z29620" t="str">
        <f t="shared" si="462"/>
        <v/>
      </c>
    </row>
    <row r="29621" spans="26:26" x14ac:dyDescent="0.2">
      <c r="Z29621" t="str">
        <f t="shared" si="462"/>
        <v/>
      </c>
    </row>
    <row r="29622" spans="26:26" x14ac:dyDescent="0.2">
      <c r="Z29622" t="str">
        <f t="shared" si="462"/>
        <v/>
      </c>
    </row>
    <row r="29623" spans="26:26" x14ac:dyDescent="0.2">
      <c r="Z29623" t="str">
        <f t="shared" si="462"/>
        <v/>
      </c>
    </row>
    <row r="29624" spans="26:26" x14ac:dyDescent="0.2">
      <c r="Z29624" t="str">
        <f t="shared" si="462"/>
        <v/>
      </c>
    </row>
    <row r="29625" spans="26:26" x14ac:dyDescent="0.2">
      <c r="Z29625" t="str">
        <f t="shared" si="462"/>
        <v/>
      </c>
    </row>
    <row r="29626" spans="26:26" x14ac:dyDescent="0.2">
      <c r="Z29626" t="str">
        <f t="shared" si="462"/>
        <v/>
      </c>
    </row>
    <row r="29627" spans="26:26" x14ac:dyDescent="0.2">
      <c r="Z29627" t="str">
        <f t="shared" si="462"/>
        <v/>
      </c>
    </row>
    <row r="29628" spans="26:26" x14ac:dyDescent="0.2">
      <c r="Z29628" t="str">
        <f t="shared" si="462"/>
        <v/>
      </c>
    </row>
    <row r="29629" spans="26:26" x14ac:dyDescent="0.2">
      <c r="Z29629" t="str">
        <f t="shared" si="462"/>
        <v/>
      </c>
    </row>
    <row r="29630" spans="26:26" x14ac:dyDescent="0.2">
      <c r="Z29630" t="str">
        <f t="shared" si="462"/>
        <v/>
      </c>
    </row>
    <row r="29631" spans="26:26" x14ac:dyDescent="0.2">
      <c r="Z29631" t="str">
        <f t="shared" si="462"/>
        <v/>
      </c>
    </row>
    <row r="29632" spans="26:26" x14ac:dyDescent="0.2">
      <c r="Z29632" t="str">
        <f t="shared" si="462"/>
        <v/>
      </c>
    </row>
    <row r="29633" spans="26:26" x14ac:dyDescent="0.2">
      <c r="Z29633" t="str">
        <f t="shared" si="462"/>
        <v/>
      </c>
    </row>
    <row r="29634" spans="26:26" x14ac:dyDescent="0.2">
      <c r="Z29634" t="str">
        <f t="shared" si="462"/>
        <v/>
      </c>
    </row>
    <row r="29635" spans="26:26" x14ac:dyDescent="0.2">
      <c r="Z29635" t="str">
        <f t="shared" ref="Z29635:Z29698" si="463">IF(K29635="","",IFERROR(VALUE(TRIM(MID(K29635,FIND(CHAR(167),SUBSTITUTE(K29635,"-",CHAR(167),LEN(K29635)-LEN(SUBSTITUTE(K29635,"-",""))))+1,100))),K29635))</f>
        <v/>
      </c>
    </row>
    <row r="29636" spans="26:26" x14ac:dyDescent="0.2">
      <c r="Z29636" t="str">
        <f t="shared" si="463"/>
        <v/>
      </c>
    </row>
    <row r="29637" spans="26:26" x14ac:dyDescent="0.2">
      <c r="Z29637" t="str">
        <f t="shared" si="463"/>
        <v/>
      </c>
    </row>
    <row r="29638" spans="26:26" x14ac:dyDescent="0.2">
      <c r="Z29638" t="str">
        <f t="shared" si="463"/>
        <v/>
      </c>
    </row>
    <row r="29639" spans="26:26" x14ac:dyDescent="0.2">
      <c r="Z29639" t="str">
        <f t="shared" si="463"/>
        <v/>
      </c>
    </row>
    <row r="29640" spans="26:26" x14ac:dyDescent="0.2">
      <c r="Z29640" t="str">
        <f t="shared" si="463"/>
        <v/>
      </c>
    </row>
    <row r="29641" spans="26:26" x14ac:dyDescent="0.2">
      <c r="Z29641" t="str">
        <f t="shared" si="463"/>
        <v/>
      </c>
    </row>
    <row r="29642" spans="26:26" x14ac:dyDescent="0.2">
      <c r="Z29642" t="str">
        <f t="shared" si="463"/>
        <v/>
      </c>
    </row>
    <row r="29643" spans="26:26" x14ac:dyDescent="0.2">
      <c r="Z29643" t="str">
        <f t="shared" si="463"/>
        <v/>
      </c>
    </row>
    <row r="29644" spans="26:26" x14ac:dyDescent="0.2">
      <c r="Z29644" t="str">
        <f t="shared" si="463"/>
        <v/>
      </c>
    </row>
    <row r="29645" spans="26:26" x14ac:dyDescent="0.2">
      <c r="Z29645" t="str">
        <f t="shared" si="463"/>
        <v/>
      </c>
    </row>
    <row r="29646" spans="26:26" x14ac:dyDescent="0.2">
      <c r="Z29646" t="str">
        <f t="shared" si="463"/>
        <v/>
      </c>
    </row>
    <row r="29647" spans="26:26" x14ac:dyDescent="0.2">
      <c r="Z29647" t="str">
        <f t="shared" si="463"/>
        <v/>
      </c>
    </row>
    <row r="29648" spans="26:26" x14ac:dyDescent="0.2">
      <c r="Z29648" t="str">
        <f t="shared" si="463"/>
        <v/>
      </c>
    </row>
    <row r="29649" spans="26:26" x14ac:dyDescent="0.2">
      <c r="Z29649" t="str">
        <f t="shared" si="463"/>
        <v/>
      </c>
    </row>
    <row r="29650" spans="26:26" x14ac:dyDescent="0.2">
      <c r="Z29650" t="str">
        <f t="shared" si="463"/>
        <v/>
      </c>
    </row>
    <row r="29651" spans="26:26" x14ac:dyDescent="0.2">
      <c r="Z29651" t="str">
        <f t="shared" si="463"/>
        <v/>
      </c>
    </row>
    <row r="29652" spans="26:26" x14ac:dyDescent="0.2">
      <c r="Z29652" t="str">
        <f t="shared" si="463"/>
        <v/>
      </c>
    </row>
    <row r="29653" spans="26:26" x14ac:dyDescent="0.2">
      <c r="Z29653" t="str">
        <f t="shared" si="463"/>
        <v/>
      </c>
    </row>
    <row r="29654" spans="26:26" x14ac:dyDescent="0.2">
      <c r="Z29654" t="str">
        <f t="shared" si="463"/>
        <v/>
      </c>
    </row>
    <row r="29655" spans="26:26" x14ac:dyDescent="0.2">
      <c r="Z29655" t="str">
        <f t="shared" si="463"/>
        <v/>
      </c>
    </row>
    <row r="29656" spans="26:26" x14ac:dyDescent="0.2">
      <c r="Z29656" t="str">
        <f t="shared" si="463"/>
        <v/>
      </c>
    </row>
    <row r="29657" spans="26:26" x14ac:dyDescent="0.2">
      <c r="Z29657" t="str">
        <f t="shared" si="463"/>
        <v/>
      </c>
    </row>
    <row r="29658" spans="26:26" x14ac:dyDescent="0.2">
      <c r="Z29658" t="str">
        <f t="shared" si="463"/>
        <v/>
      </c>
    </row>
    <row r="29659" spans="26:26" x14ac:dyDescent="0.2">
      <c r="Z29659" t="str">
        <f t="shared" si="463"/>
        <v/>
      </c>
    </row>
    <row r="29660" spans="26:26" x14ac:dyDescent="0.2">
      <c r="Z29660" t="str">
        <f t="shared" si="463"/>
        <v/>
      </c>
    </row>
    <row r="29661" spans="26:26" x14ac:dyDescent="0.2">
      <c r="Z29661" t="str">
        <f t="shared" si="463"/>
        <v/>
      </c>
    </row>
    <row r="29662" spans="26:26" x14ac:dyDescent="0.2">
      <c r="Z29662" t="str">
        <f t="shared" si="463"/>
        <v/>
      </c>
    </row>
    <row r="29663" spans="26:26" x14ac:dyDescent="0.2">
      <c r="Z29663" t="str">
        <f t="shared" si="463"/>
        <v/>
      </c>
    </row>
    <row r="29664" spans="26:26" x14ac:dyDescent="0.2">
      <c r="Z29664" t="str">
        <f t="shared" si="463"/>
        <v/>
      </c>
    </row>
    <row r="29665" spans="26:26" x14ac:dyDescent="0.2">
      <c r="Z29665" t="str">
        <f t="shared" si="463"/>
        <v/>
      </c>
    </row>
    <row r="29666" spans="26:26" x14ac:dyDescent="0.2">
      <c r="Z29666" t="str">
        <f t="shared" si="463"/>
        <v/>
      </c>
    </row>
    <row r="29667" spans="26:26" x14ac:dyDescent="0.2">
      <c r="Z29667" t="str">
        <f t="shared" si="463"/>
        <v/>
      </c>
    </row>
    <row r="29668" spans="26:26" x14ac:dyDescent="0.2">
      <c r="Z29668" t="str">
        <f t="shared" si="463"/>
        <v/>
      </c>
    </row>
    <row r="29669" spans="26:26" x14ac:dyDescent="0.2">
      <c r="Z29669" t="str">
        <f t="shared" si="463"/>
        <v/>
      </c>
    </row>
    <row r="29670" spans="26:26" x14ac:dyDescent="0.2">
      <c r="Z29670" t="str">
        <f t="shared" si="463"/>
        <v/>
      </c>
    </row>
    <row r="29671" spans="26:26" x14ac:dyDescent="0.2">
      <c r="Z29671" t="str">
        <f t="shared" si="463"/>
        <v/>
      </c>
    </row>
    <row r="29672" spans="26:26" x14ac:dyDescent="0.2">
      <c r="Z29672" t="str">
        <f t="shared" si="463"/>
        <v/>
      </c>
    </row>
    <row r="29673" spans="26:26" x14ac:dyDescent="0.2">
      <c r="Z29673" t="str">
        <f t="shared" si="463"/>
        <v/>
      </c>
    </row>
    <row r="29674" spans="26:26" x14ac:dyDescent="0.2">
      <c r="Z29674" t="str">
        <f t="shared" si="463"/>
        <v/>
      </c>
    </row>
    <row r="29675" spans="26:26" x14ac:dyDescent="0.2">
      <c r="Z29675" t="str">
        <f t="shared" si="463"/>
        <v/>
      </c>
    </row>
    <row r="29676" spans="26:26" x14ac:dyDescent="0.2">
      <c r="Z29676" t="str">
        <f t="shared" si="463"/>
        <v/>
      </c>
    </row>
    <row r="29677" spans="26:26" x14ac:dyDescent="0.2">
      <c r="Z29677" t="str">
        <f t="shared" si="463"/>
        <v/>
      </c>
    </row>
    <row r="29678" spans="26:26" x14ac:dyDescent="0.2">
      <c r="Z29678" t="str">
        <f t="shared" si="463"/>
        <v/>
      </c>
    </row>
    <row r="29679" spans="26:26" x14ac:dyDescent="0.2">
      <c r="Z29679" t="str">
        <f t="shared" si="463"/>
        <v/>
      </c>
    </row>
    <row r="29680" spans="26:26" x14ac:dyDescent="0.2">
      <c r="Z29680" t="str">
        <f t="shared" si="463"/>
        <v/>
      </c>
    </row>
    <row r="29681" spans="26:26" x14ac:dyDescent="0.2">
      <c r="Z29681" t="str">
        <f t="shared" si="463"/>
        <v/>
      </c>
    </row>
    <row r="29682" spans="26:26" x14ac:dyDescent="0.2">
      <c r="Z29682" t="str">
        <f t="shared" si="463"/>
        <v/>
      </c>
    </row>
    <row r="29683" spans="26:26" x14ac:dyDescent="0.2">
      <c r="Z29683" t="str">
        <f t="shared" si="463"/>
        <v/>
      </c>
    </row>
    <row r="29684" spans="26:26" x14ac:dyDescent="0.2">
      <c r="Z29684" t="str">
        <f t="shared" si="463"/>
        <v/>
      </c>
    </row>
    <row r="29685" spans="26:26" x14ac:dyDescent="0.2">
      <c r="Z29685" t="str">
        <f t="shared" si="463"/>
        <v/>
      </c>
    </row>
    <row r="29686" spans="26:26" x14ac:dyDescent="0.2">
      <c r="Z29686" t="str">
        <f t="shared" si="463"/>
        <v/>
      </c>
    </row>
    <row r="29687" spans="26:26" x14ac:dyDescent="0.2">
      <c r="Z29687" t="str">
        <f t="shared" si="463"/>
        <v/>
      </c>
    </row>
    <row r="29688" spans="26:26" x14ac:dyDescent="0.2">
      <c r="Z29688" t="str">
        <f t="shared" si="463"/>
        <v/>
      </c>
    </row>
    <row r="29689" spans="26:26" x14ac:dyDescent="0.2">
      <c r="Z29689" t="str">
        <f t="shared" si="463"/>
        <v/>
      </c>
    </row>
    <row r="29690" spans="26:26" x14ac:dyDescent="0.2">
      <c r="Z29690" t="str">
        <f t="shared" si="463"/>
        <v/>
      </c>
    </row>
    <row r="29691" spans="26:26" x14ac:dyDescent="0.2">
      <c r="Z29691" t="str">
        <f t="shared" si="463"/>
        <v/>
      </c>
    </row>
    <row r="29692" spans="26:26" x14ac:dyDescent="0.2">
      <c r="Z29692" t="str">
        <f t="shared" si="463"/>
        <v/>
      </c>
    </row>
    <row r="29693" spans="26:26" x14ac:dyDescent="0.2">
      <c r="Z29693" t="str">
        <f t="shared" si="463"/>
        <v/>
      </c>
    </row>
    <row r="29694" spans="26:26" x14ac:dyDescent="0.2">
      <c r="Z29694" t="str">
        <f t="shared" si="463"/>
        <v/>
      </c>
    </row>
    <row r="29695" spans="26:26" x14ac:dyDescent="0.2">
      <c r="Z29695" t="str">
        <f t="shared" si="463"/>
        <v/>
      </c>
    </row>
    <row r="29696" spans="26:26" x14ac:dyDescent="0.2">
      <c r="Z29696" t="str">
        <f t="shared" si="463"/>
        <v/>
      </c>
    </row>
    <row r="29697" spans="26:26" x14ac:dyDescent="0.2">
      <c r="Z29697" t="str">
        <f t="shared" si="463"/>
        <v/>
      </c>
    </row>
    <row r="29698" spans="26:26" x14ac:dyDescent="0.2">
      <c r="Z29698" t="str">
        <f t="shared" si="463"/>
        <v/>
      </c>
    </row>
    <row r="29699" spans="26:26" x14ac:dyDescent="0.2">
      <c r="Z29699" t="str">
        <f t="shared" ref="Z29699:Z29762" si="464">IF(K29699="","",IFERROR(VALUE(TRIM(MID(K29699,FIND(CHAR(167),SUBSTITUTE(K29699,"-",CHAR(167),LEN(K29699)-LEN(SUBSTITUTE(K29699,"-",""))))+1,100))),K29699))</f>
        <v/>
      </c>
    </row>
    <row r="29700" spans="26:26" x14ac:dyDescent="0.2">
      <c r="Z29700" t="str">
        <f t="shared" si="464"/>
        <v/>
      </c>
    </row>
    <row r="29701" spans="26:26" x14ac:dyDescent="0.2">
      <c r="Z29701" t="str">
        <f t="shared" si="464"/>
        <v/>
      </c>
    </row>
    <row r="29702" spans="26:26" x14ac:dyDescent="0.2">
      <c r="Z29702" t="str">
        <f t="shared" si="464"/>
        <v/>
      </c>
    </row>
    <row r="29703" spans="26:26" x14ac:dyDescent="0.2">
      <c r="Z29703" t="str">
        <f t="shared" si="464"/>
        <v/>
      </c>
    </row>
    <row r="29704" spans="26:26" x14ac:dyDescent="0.2">
      <c r="Z29704" t="str">
        <f t="shared" si="464"/>
        <v/>
      </c>
    </row>
    <row r="29705" spans="26:26" x14ac:dyDescent="0.2">
      <c r="Z29705" t="str">
        <f t="shared" si="464"/>
        <v/>
      </c>
    </row>
    <row r="29706" spans="26:26" x14ac:dyDescent="0.2">
      <c r="Z29706" t="str">
        <f t="shared" si="464"/>
        <v/>
      </c>
    </row>
    <row r="29707" spans="26:26" x14ac:dyDescent="0.2">
      <c r="Z29707" t="str">
        <f t="shared" si="464"/>
        <v/>
      </c>
    </row>
    <row r="29708" spans="26:26" x14ac:dyDescent="0.2">
      <c r="Z29708" t="str">
        <f t="shared" si="464"/>
        <v/>
      </c>
    </row>
    <row r="29709" spans="26:26" x14ac:dyDescent="0.2">
      <c r="Z29709" t="str">
        <f t="shared" si="464"/>
        <v/>
      </c>
    </row>
    <row r="29710" spans="26:26" x14ac:dyDescent="0.2">
      <c r="Z29710" t="str">
        <f t="shared" si="464"/>
        <v/>
      </c>
    </row>
    <row r="29711" spans="26:26" x14ac:dyDescent="0.2">
      <c r="Z29711" t="str">
        <f t="shared" si="464"/>
        <v/>
      </c>
    </row>
    <row r="29712" spans="26:26" x14ac:dyDescent="0.2">
      <c r="Z29712" t="str">
        <f t="shared" si="464"/>
        <v/>
      </c>
    </row>
    <row r="29713" spans="26:26" x14ac:dyDescent="0.2">
      <c r="Z29713" t="str">
        <f t="shared" si="464"/>
        <v/>
      </c>
    </row>
    <row r="29714" spans="26:26" x14ac:dyDescent="0.2">
      <c r="Z29714" t="str">
        <f t="shared" si="464"/>
        <v/>
      </c>
    </row>
    <row r="29715" spans="26:26" x14ac:dyDescent="0.2">
      <c r="Z29715" t="str">
        <f t="shared" si="464"/>
        <v/>
      </c>
    </row>
    <row r="29716" spans="26:26" x14ac:dyDescent="0.2">
      <c r="Z29716" t="str">
        <f t="shared" si="464"/>
        <v/>
      </c>
    </row>
    <row r="29717" spans="26:26" x14ac:dyDescent="0.2">
      <c r="Z29717" t="str">
        <f t="shared" si="464"/>
        <v/>
      </c>
    </row>
    <row r="29718" spans="26:26" x14ac:dyDescent="0.2">
      <c r="Z29718" t="str">
        <f t="shared" si="464"/>
        <v/>
      </c>
    </row>
    <row r="29719" spans="26:26" x14ac:dyDescent="0.2">
      <c r="Z29719" t="str">
        <f t="shared" si="464"/>
        <v/>
      </c>
    </row>
    <row r="29720" spans="26:26" x14ac:dyDescent="0.2">
      <c r="Z29720" t="str">
        <f t="shared" si="464"/>
        <v/>
      </c>
    </row>
    <row r="29721" spans="26:26" x14ac:dyDescent="0.2">
      <c r="Z29721" t="str">
        <f t="shared" si="464"/>
        <v/>
      </c>
    </row>
    <row r="29722" spans="26:26" x14ac:dyDescent="0.2">
      <c r="Z29722" t="str">
        <f t="shared" si="464"/>
        <v/>
      </c>
    </row>
    <row r="29723" spans="26:26" x14ac:dyDescent="0.2">
      <c r="Z29723" t="str">
        <f t="shared" si="464"/>
        <v/>
      </c>
    </row>
    <row r="29724" spans="26:26" x14ac:dyDescent="0.2">
      <c r="Z29724" t="str">
        <f t="shared" si="464"/>
        <v/>
      </c>
    </row>
    <row r="29725" spans="26:26" x14ac:dyDescent="0.2">
      <c r="Z29725" t="str">
        <f t="shared" si="464"/>
        <v/>
      </c>
    </row>
    <row r="29726" spans="26:26" x14ac:dyDescent="0.2">
      <c r="Z29726" t="str">
        <f t="shared" si="464"/>
        <v/>
      </c>
    </row>
    <row r="29727" spans="26:26" x14ac:dyDescent="0.2">
      <c r="Z29727" t="str">
        <f t="shared" si="464"/>
        <v/>
      </c>
    </row>
    <row r="29728" spans="26:26" x14ac:dyDescent="0.2">
      <c r="Z29728" t="str">
        <f t="shared" si="464"/>
        <v/>
      </c>
    </row>
    <row r="29729" spans="26:26" x14ac:dyDescent="0.2">
      <c r="Z29729" t="str">
        <f t="shared" si="464"/>
        <v/>
      </c>
    </row>
    <row r="29730" spans="26:26" x14ac:dyDescent="0.2">
      <c r="Z29730" t="str">
        <f t="shared" si="464"/>
        <v/>
      </c>
    </row>
    <row r="29731" spans="26:26" x14ac:dyDescent="0.2">
      <c r="Z29731" t="str">
        <f t="shared" si="464"/>
        <v/>
      </c>
    </row>
    <row r="29732" spans="26:26" x14ac:dyDescent="0.2">
      <c r="Z29732" t="str">
        <f t="shared" si="464"/>
        <v/>
      </c>
    </row>
    <row r="29733" spans="26:26" x14ac:dyDescent="0.2">
      <c r="Z29733" t="str">
        <f t="shared" si="464"/>
        <v/>
      </c>
    </row>
    <row r="29734" spans="26:26" x14ac:dyDescent="0.2">
      <c r="Z29734" t="str">
        <f t="shared" si="464"/>
        <v/>
      </c>
    </row>
    <row r="29735" spans="26:26" x14ac:dyDescent="0.2">
      <c r="Z29735" t="str">
        <f t="shared" si="464"/>
        <v/>
      </c>
    </row>
    <row r="29736" spans="26:26" x14ac:dyDescent="0.2">
      <c r="Z29736" t="str">
        <f t="shared" si="464"/>
        <v/>
      </c>
    </row>
    <row r="29737" spans="26:26" x14ac:dyDescent="0.2">
      <c r="Z29737" t="str">
        <f t="shared" si="464"/>
        <v/>
      </c>
    </row>
    <row r="29738" spans="26:26" x14ac:dyDescent="0.2">
      <c r="Z29738" t="str">
        <f t="shared" si="464"/>
        <v/>
      </c>
    </row>
    <row r="29739" spans="26:26" x14ac:dyDescent="0.2">
      <c r="Z29739" t="str">
        <f t="shared" si="464"/>
        <v/>
      </c>
    </row>
    <row r="29740" spans="26:26" x14ac:dyDescent="0.2">
      <c r="Z29740" t="str">
        <f t="shared" si="464"/>
        <v/>
      </c>
    </row>
    <row r="29741" spans="26:26" x14ac:dyDescent="0.2">
      <c r="Z29741" t="str">
        <f t="shared" si="464"/>
        <v/>
      </c>
    </row>
    <row r="29742" spans="26:26" x14ac:dyDescent="0.2">
      <c r="Z29742" t="str">
        <f t="shared" si="464"/>
        <v/>
      </c>
    </row>
    <row r="29743" spans="26:26" x14ac:dyDescent="0.2">
      <c r="Z29743" t="str">
        <f t="shared" si="464"/>
        <v/>
      </c>
    </row>
    <row r="29744" spans="26:26" x14ac:dyDescent="0.2">
      <c r="Z29744" t="str">
        <f t="shared" si="464"/>
        <v/>
      </c>
    </row>
    <row r="29745" spans="26:26" x14ac:dyDescent="0.2">
      <c r="Z29745" t="str">
        <f t="shared" si="464"/>
        <v/>
      </c>
    </row>
    <row r="29746" spans="26:26" x14ac:dyDescent="0.2">
      <c r="Z29746" t="str">
        <f t="shared" si="464"/>
        <v/>
      </c>
    </row>
    <row r="29747" spans="26:26" x14ac:dyDescent="0.2">
      <c r="Z29747" t="str">
        <f t="shared" si="464"/>
        <v/>
      </c>
    </row>
    <row r="29748" spans="26:26" x14ac:dyDescent="0.2">
      <c r="Z29748" t="str">
        <f t="shared" si="464"/>
        <v/>
      </c>
    </row>
    <row r="29749" spans="26:26" x14ac:dyDescent="0.2">
      <c r="Z29749" t="str">
        <f t="shared" si="464"/>
        <v/>
      </c>
    </row>
    <row r="29750" spans="26:26" x14ac:dyDescent="0.2">
      <c r="Z29750" t="str">
        <f t="shared" si="464"/>
        <v/>
      </c>
    </row>
    <row r="29751" spans="26:26" x14ac:dyDescent="0.2">
      <c r="Z29751" t="str">
        <f t="shared" si="464"/>
        <v/>
      </c>
    </row>
    <row r="29752" spans="26:26" x14ac:dyDescent="0.2">
      <c r="Z29752" t="str">
        <f t="shared" si="464"/>
        <v/>
      </c>
    </row>
    <row r="29753" spans="26:26" x14ac:dyDescent="0.2">
      <c r="Z29753" t="str">
        <f t="shared" si="464"/>
        <v/>
      </c>
    </row>
    <row r="29754" spans="26:26" x14ac:dyDescent="0.2">
      <c r="Z29754" t="str">
        <f t="shared" si="464"/>
        <v/>
      </c>
    </row>
    <row r="29755" spans="26:26" x14ac:dyDescent="0.2">
      <c r="Z29755" t="str">
        <f t="shared" si="464"/>
        <v/>
      </c>
    </row>
    <row r="29756" spans="26:26" x14ac:dyDescent="0.2">
      <c r="Z29756" t="str">
        <f t="shared" si="464"/>
        <v/>
      </c>
    </row>
    <row r="29757" spans="26:26" x14ac:dyDescent="0.2">
      <c r="Z29757" t="str">
        <f t="shared" si="464"/>
        <v/>
      </c>
    </row>
    <row r="29758" spans="26:26" x14ac:dyDescent="0.2">
      <c r="Z29758" t="str">
        <f t="shared" si="464"/>
        <v/>
      </c>
    </row>
    <row r="29759" spans="26:26" x14ac:dyDescent="0.2">
      <c r="Z29759" t="str">
        <f t="shared" si="464"/>
        <v/>
      </c>
    </row>
    <row r="29760" spans="26:26" x14ac:dyDescent="0.2">
      <c r="Z29760" t="str">
        <f t="shared" si="464"/>
        <v/>
      </c>
    </row>
    <row r="29761" spans="26:26" x14ac:dyDescent="0.2">
      <c r="Z29761" t="str">
        <f t="shared" si="464"/>
        <v/>
      </c>
    </row>
    <row r="29762" spans="26:26" x14ac:dyDescent="0.2">
      <c r="Z29762" t="str">
        <f t="shared" si="464"/>
        <v/>
      </c>
    </row>
    <row r="29763" spans="26:26" x14ac:dyDescent="0.2">
      <c r="Z29763" t="str">
        <f t="shared" ref="Z29763:Z29826" si="465">IF(K29763="","",IFERROR(VALUE(TRIM(MID(K29763,FIND(CHAR(167),SUBSTITUTE(K29763,"-",CHAR(167),LEN(K29763)-LEN(SUBSTITUTE(K29763,"-",""))))+1,100))),K29763))</f>
        <v/>
      </c>
    </row>
    <row r="29764" spans="26:26" x14ac:dyDescent="0.2">
      <c r="Z29764" t="str">
        <f t="shared" si="465"/>
        <v/>
      </c>
    </row>
    <row r="29765" spans="26:26" x14ac:dyDescent="0.2">
      <c r="Z29765" t="str">
        <f t="shared" si="465"/>
        <v/>
      </c>
    </row>
    <row r="29766" spans="26:26" x14ac:dyDescent="0.2">
      <c r="Z29766" t="str">
        <f t="shared" si="465"/>
        <v/>
      </c>
    </row>
    <row r="29767" spans="26:26" x14ac:dyDescent="0.2">
      <c r="Z29767" t="str">
        <f t="shared" si="465"/>
        <v/>
      </c>
    </row>
    <row r="29768" spans="26:26" x14ac:dyDescent="0.2">
      <c r="Z29768" t="str">
        <f t="shared" si="465"/>
        <v/>
      </c>
    </row>
    <row r="29769" spans="26:26" x14ac:dyDescent="0.2">
      <c r="Z29769" t="str">
        <f t="shared" si="465"/>
        <v/>
      </c>
    </row>
    <row r="29770" spans="26:26" x14ac:dyDescent="0.2">
      <c r="Z29770" t="str">
        <f t="shared" si="465"/>
        <v/>
      </c>
    </row>
    <row r="29771" spans="26:26" x14ac:dyDescent="0.2">
      <c r="Z29771" t="str">
        <f t="shared" si="465"/>
        <v/>
      </c>
    </row>
    <row r="29772" spans="26:26" x14ac:dyDescent="0.2">
      <c r="Z29772" t="str">
        <f t="shared" si="465"/>
        <v/>
      </c>
    </row>
    <row r="29773" spans="26:26" x14ac:dyDescent="0.2">
      <c r="Z29773" t="str">
        <f t="shared" si="465"/>
        <v/>
      </c>
    </row>
    <row r="29774" spans="26:26" x14ac:dyDescent="0.2">
      <c r="Z29774" t="str">
        <f t="shared" si="465"/>
        <v/>
      </c>
    </row>
    <row r="29775" spans="26:26" x14ac:dyDescent="0.2">
      <c r="Z29775" t="str">
        <f t="shared" si="465"/>
        <v/>
      </c>
    </row>
    <row r="29776" spans="26:26" x14ac:dyDescent="0.2">
      <c r="Z29776" t="str">
        <f t="shared" si="465"/>
        <v/>
      </c>
    </row>
    <row r="29777" spans="26:26" x14ac:dyDescent="0.2">
      <c r="Z29777" t="str">
        <f t="shared" si="465"/>
        <v/>
      </c>
    </row>
    <row r="29778" spans="26:26" x14ac:dyDescent="0.2">
      <c r="Z29778" t="str">
        <f t="shared" si="465"/>
        <v/>
      </c>
    </row>
    <row r="29779" spans="26:26" x14ac:dyDescent="0.2">
      <c r="Z29779" t="str">
        <f t="shared" si="465"/>
        <v/>
      </c>
    </row>
    <row r="29780" spans="26:26" x14ac:dyDescent="0.2">
      <c r="Z29780" t="str">
        <f t="shared" si="465"/>
        <v/>
      </c>
    </row>
    <row r="29781" spans="26:26" x14ac:dyDescent="0.2">
      <c r="Z29781" t="str">
        <f t="shared" si="465"/>
        <v/>
      </c>
    </row>
    <row r="29782" spans="26:26" x14ac:dyDescent="0.2">
      <c r="Z29782" t="str">
        <f t="shared" si="465"/>
        <v/>
      </c>
    </row>
    <row r="29783" spans="26:26" x14ac:dyDescent="0.2">
      <c r="Z29783" t="str">
        <f t="shared" si="465"/>
        <v/>
      </c>
    </row>
    <row r="29784" spans="26:26" x14ac:dyDescent="0.2">
      <c r="Z29784" t="str">
        <f t="shared" si="465"/>
        <v/>
      </c>
    </row>
    <row r="29785" spans="26:26" x14ac:dyDescent="0.2">
      <c r="Z29785" t="str">
        <f t="shared" si="465"/>
        <v/>
      </c>
    </row>
    <row r="29786" spans="26:26" x14ac:dyDescent="0.2">
      <c r="Z29786" t="str">
        <f t="shared" si="465"/>
        <v/>
      </c>
    </row>
    <row r="29787" spans="26:26" x14ac:dyDescent="0.2">
      <c r="Z29787" t="str">
        <f t="shared" si="465"/>
        <v/>
      </c>
    </row>
    <row r="29788" spans="26:26" x14ac:dyDescent="0.2">
      <c r="Z29788" t="str">
        <f t="shared" si="465"/>
        <v/>
      </c>
    </row>
    <row r="29789" spans="26:26" x14ac:dyDescent="0.2">
      <c r="Z29789" t="str">
        <f t="shared" si="465"/>
        <v/>
      </c>
    </row>
    <row r="29790" spans="26:26" x14ac:dyDescent="0.2">
      <c r="Z29790" t="str">
        <f t="shared" si="465"/>
        <v/>
      </c>
    </row>
    <row r="29791" spans="26:26" x14ac:dyDescent="0.2">
      <c r="Z29791" t="str">
        <f t="shared" si="465"/>
        <v/>
      </c>
    </row>
    <row r="29792" spans="26:26" x14ac:dyDescent="0.2">
      <c r="Z29792" t="str">
        <f t="shared" si="465"/>
        <v/>
      </c>
    </row>
    <row r="29793" spans="26:26" x14ac:dyDescent="0.2">
      <c r="Z29793" t="str">
        <f t="shared" si="465"/>
        <v/>
      </c>
    </row>
    <row r="29794" spans="26:26" x14ac:dyDescent="0.2">
      <c r="Z29794" t="str">
        <f t="shared" si="465"/>
        <v/>
      </c>
    </row>
    <row r="29795" spans="26:26" x14ac:dyDescent="0.2">
      <c r="Z29795" t="str">
        <f t="shared" si="465"/>
        <v/>
      </c>
    </row>
    <row r="29796" spans="26:26" x14ac:dyDescent="0.2">
      <c r="Z29796" t="str">
        <f t="shared" si="465"/>
        <v/>
      </c>
    </row>
    <row r="29797" spans="26:26" x14ac:dyDescent="0.2">
      <c r="Z29797" t="str">
        <f t="shared" si="465"/>
        <v/>
      </c>
    </row>
    <row r="29798" spans="26:26" x14ac:dyDescent="0.2">
      <c r="Z29798" t="str">
        <f t="shared" si="465"/>
        <v/>
      </c>
    </row>
    <row r="29799" spans="26:26" x14ac:dyDescent="0.2">
      <c r="Z29799" t="str">
        <f t="shared" si="465"/>
        <v/>
      </c>
    </row>
    <row r="29800" spans="26:26" x14ac:dyDescent="0.2">
      <c r="Z29800" t="str">
        <f t="shared" si="465"/>
        <v/>
      </c>
    </row>
    <row r="29801" spans="26:26" x14ac:dyDescent="0.2">
      <c r="Z29801" t="str">
        <f t="shared" si="465"/>
        <v/>
      </c>
    </row>
    <row r="29802" spans="26:26" x14ac:dyDescent="0.2">
      <c r="Z29802" t="str">
        <f t="shared" si="465"/>
        <v/>
      </c>
    </row>
    <row r="29803" spans="26:26" x14ac:dyDescent="0.2">
      <c r="Z29803" t="str">
        <f t="shared" si="465"/>
        <v/>
      </c>
    </row>
    <row r="29804" spans="26:26" x14ac:dyDescent="0.2">
      <c r="Z29804" t="str">
        <f t="shared" si="465"/>
        <v/>
      </c>
    </row>
    <row r="29805" spans="26:26" x14ac:dyDescent="0.2">
      <c r="Z29805" t="str">
        <f t="shared" si="465"/>
        <v/>
      </c>
    </row>
    <row r="29806" spans="26:26" x14ac:dyDescent="0.2">
      <c r="Z29806" t="str">
        <f t="shared" si="465"/>
        <v/>
      </c>
    </row>
    <row r="29807" spans="26:26" x14ac:dyDescent="0.2">
      <c r="Z29807" t="str">
        <f t="shared" si="465"/>
        <v/>
      </c>
    </row>
    <row r="29808" spans="26:26" x14ac:dyDescent="0.2">
      <c r="Z29808" t="str">
        <f t="shared" si="465"/>
        <v/>
      </c>
    </row>
    <row r="29809" spans="26:26" x14ac:dyDescent="0.2">
      <c r="Z29809" t="str">
        <f t="shared" si="465"/>
        <v/>
      </c>
    </row>
    <row r="29810" spans="26:26" x14ac:dyDescent="0.2">
      <c r="Z29810" t="str">
        <f t="shared" si="465"/>
        <v/>
      </c>
    </row>
    <row r="29811" spans="26:26" x14ac:dyDescent="0.2">
      <c r="Z29811" t="str">
        <f t="shared" si="465"/>
        <v/>
      </c>
    </row>
    <row r="29812" spans="26:26" x14ac:dyDescent="0.2">
      <c r="Z29812" t="str">
        <f t="shared" si="465"/>
        <v/>
      </c>
    </row>
    <row r="29813" spans="26:26" x14ac:dyDescent="0.2">
      <c r="Z29813" t="str">
        <f t="shared" si="465"/>
        <v/>
      </c>
    </row>
    <row r="29814" spans="26:26" x14ac:dyDescent="0.2">
      <c r="Z29814" t="str">
        <f t="shared" si="465"/>
        <v/>
      </c>
    </row>
    <row r="29815" spans="26:26" x14ac:dyDescent="0.2">
      <c r="Z29815" t="str">
        <f t="shared" si="465"/>
        <v/>
      </c>
    </row>
    <row r="29816" spans="26:26" x14ac:dyDescent="0.2">
      <c r="Z29816" t="str">
        <f t="shared" si="465"/>
        <v/>
      </c>
    </row>
    <row r="29817" spans="26:26" x14ac:dyDescent="0.2">
      <c r="Z29817" t="str">
        <f t="shared" si="465"/>
        <v/>
      </c>
    </row>
    <row r="29818" spans="26:26" x14ac:dyDescent="0.2">
      <c r="Z29818" t="str">
        <f t="shared" si="465"/>
        <v/>
      </c>
    </row>
    <row r="29819" spans="26:26" x14ac:dyDescent="0.2">
      <c r="Z29819" t="str">
        <f t="shared" si="465"/>
        <v/>
      </c>
    </row>
    <row r="29820" spans="26:26" x14ac:dyDescent="0.2">
      <c r="Z29820" t="str">
        <f t="shared" si="465"/>
        <v/>
      </c>
    </row>
    <row r="29821" spans="26:26" x14ac:dyDescent="0.2">
      <c r="Z29821" t="str">
        <f t="shared" si="465"/>
        <v/>
      </c>
    </row>
    <row r="29822" spans="26:26" x14ac:dyDescent="0.2">
      <c r="Z29822" t="str">
        <f t="shared" si="465"/>
        <v/>
      </c>
    </row>
    <row r="29823" spans="26:26" x14ac:dyDescent="0.2">
      <c r="Z29823" t="str">
        <f t="shared" si="465"/>
        <v/>
      </c>
    </row>
    <row r="29824" spans="26:26" x14ac:dyDescent="0.2">
      <c r="Z29824" t="str">
        <f t="shared" si="465"/>
        <v/>
      </c>
    </row>
    <row r="29825" spans="26:26" x14ac:dyDescent="0.2">
      <c r="Z29825" t="str">
        <f t="shared" si="465"/>
        <v/>
      </c>
    </row>
    <row r="29826" spans="26:26" x14ac:dyDescent="0.2">
      <c r="Z29826" t="str">
        <f t="shared" si="465"/>
        <v/>
      </c>
    </row>
    <row r="29827" spans="26:26" x14ac:dyDescent="0.2">
      <c r="Z29827" t="str">
        <f t="shared" ref="Z29827:Z29890" si="466">IF(K29827="","",IFERROR(VALUE(TRIM(MID(K29827,FIND(CHAR(167),SUBSTITUTE(K29827,"-",CHAR(167),LEN(K29827)-LEN(SUBSTITUTE(K29827,"-",""))))+1,100))),K29827))</f>
        <v/>
      </c>
    </row>
    <row r="29828" spans="26:26" x14ac:dyDescent="0.2">
      <c r="Z29828" t="str">
        <f t="shared" si="466"/>
        <v/>
      </c>
    </row>
    <row r="29829" spans="26:26" x14ac:dyDescent="0.2">
      <c r="Z29829" t="str">
        <f t="shared" si="466"/>
        <v/>
      </c>
    </row>
    <row r="29830" spans="26:26" x14ac:dyDescent="0.2">
      <c r="Z29830" t="str">
        <f t="shared" si="466"/>
        <v/>
      </c>
    </row>
    <row r="29831" spans="26:26" x14ac:dyDescent="0.2">
      <c r="Z29831" t="str">
        <f t="shared" si="466"/>
        <v/>
      </c>
    </row>
    <row r="29832" spans="26:26" x14ac:dyDescent="0.2">
      <c r="Z29832" t="str">
        <f t="shared" si="466"/>
        <v/>
      </c>
    </row>
    <row r="29833" spans="26:26" x14ac:dyDescent="0.2">
      <c r="Z29833" t="str">
        <f t="shared" si="466"/>
        <v/>
      </c>
    </row>
    <row r="29834" spans="26:26" x14ac:dyDescent="0.2">
      <c r="Z29834" t="str">
        <f t="shared" si="466"/>
        <v/>
      </c>
    </row>
    <row r="29835" spans="26:26" x14ac:dyDescent="0.2">
      <c r="Z29835" t="str">
        <f t="shared" si="466"/>
        <v/>
      </c>
    </row>
    <row r="29836" spans="26:26" x14ac:dyDescent="0.2">
      <c r="Z29836" t="str">
        <f t="shared" si="466"/>
        <v/>
      </c>
    </row>
    <row r="29837" spans="26:26" x14ac:dyDescent="0.2">
      <c r="Z29837" t="str">
        <f t="shared" si="466"/>
        <v/>
      </c>
    </row>
    <row r="29838" spans="26:26" x14ac:dyDescent="0.2">
      <c r="Z29838" t="str">
        <f t="shared" si="466"/>
        <v/>
      </c>
    </row>
    <row r="29839" spans="26:26" x14ac:dyDescent="0.2">
      <c r="Z29839" t="str">
        <f t="shared" si="466"/>
        <v/>
      </c>
    </row>
    <row r="29840" spans="26:26" x14ac:dyDescent="0.2">
      <c r="Z29840" t="str">
        <f t="shared" si="466"/>
        <v/>
      </c>
    </row>
    <row r="29841" spans="26:26" x14ac:dyDescent="0.2">
      <c r="Z29841" t="str">
        <f t="shared" si="466"/>
        <v/>
      </c>
    </row>
    <row r="29842" spans="26:26" x14ac:dyDescent="0.2">
      <c r="Z29842" t="str">
        <f t="shared" si="466"/>
        <v/>
      </c>
    </row>
    <row r="29843" spans="26:26" x14ac:dyDescent="0.2">
      <c r="Z29843" t="str">
        <f t="shared" si="466"/>
        <v/>
      </c>
    </row>
    <row r="29844" spans="26:26" x14ac:dyDescent="0.2">
      <c r="Z29844" t="str">
        <f t="shared" si="466"/>
        <v/>
      </c>
    </row>
    <row r="29845" spans="26:26" x14ac:dyDescent="0.2">
      <c r="Z29845" t="str">
        <f t="shared" si="466"/>
        <v/>
      </c>
    </row>
    <row r="29846" spans="26:26" x14ac:dyDescent="0.2">
      <c r="Z29846" t="str">
        <f t="shared" si="466"/>
        <v/>
      </c>
    </row>
    <row r="29847" spans="26:26" x14ac:dyDescent="0.2">
      <c r="Z29847" t="str">
        <f t="shared" si="466"/>
        <v/>
      </c>
    </row>
    <row r="29848" spans="26:26" x14ac:dyDescent="0.2">
      <c r="Z29848" t="str">
        <f t="shared" si="466"/>
        <v/>
      </c>
    </row>
    <row r="29849" spans="26:26" x14ac:dyDescent="0.2">
      <c r="Z29849" t="str">
        <f t="shared" si="466"/>
        <v/>
      </c>
    </row>
    <row r="29850" spans="26:26" x14ac:dyDescent="0.2">
      <c r="Z29850" t="str">
        <f t="shared" si="466"/>
        <v/>
      </c>
    </row>
    <row r="29851" spans="26:26" x14ac:dyDescent="0.2">
      <c r="Z29851" t="str">
        <f t="shared" si="466"/>
        <v/>
      </c>
    </row>
    <row r="29852" spans="26:26" x14ac:dyDescent="0.2">
      <c r="Z29852" t="str">
        <f t="shared" si="466"/>
        <v/>
      </c>
    </row>
    <row r="29853" spans="26:26" x14ac:dyDescent="0.2">
      <c r="Z29853" t="str">
        <f t="shared" si="466"/>
        <v/>
      </c>
    </row>
    <row r="29854" spans="26:26" x14ac:dyDescent="0.2">
      <c r="Z29854" t="str">
        <f t="shared" si="466"/>
        <v/>
      </c>
    </row>
    <row r="29855" spans="26:26" x14ac:dyDescent="0.2">
      <c r="Z29855" t="str">
        <f t="shared" si="466"/>
        <v/>
      </c>
    </row>
    <row r="29856" spans="26:26" x14ac:dyDescent="0.2">
      <c r="Z29856" t="str">
        <f t="shared" si="466"/>
        <v/>
      </c>
    </row>
    <row r="29857" spans="26:26" x14ac:dyDescent="0.2">
      <c r="Z29857" t="str">
        <f t="shared" si="466"/>
        <v/>
      </c>
    </row>
    <row r="29858" spans="26:26" x14ac:dyDescent="0.2">
      <c r="Z29858" t="str">
        <f t="shared" si="466"/>
        <v/>
      </c>
    </row>
    <row r="29859" spans="26:26" x14ac:dyDescent="0.2">
      <c r="Z29859" t="str">
        <f t="shared" si="466"/>
        <v/>
      </c>
    </row>
    <row r="29860" spans="26:26" x14ac:dyDescent="0.2">
      <c r="Z29860" t="str">
        <f t="shared" si="466"/>
        <v/>
      </c>
    </row>
    <row r="29861" spans="26:26" x14ac:dyDescent="0.2">
      <c r="Z29861" t="str">
        <f t="shared" si="466"/>
        <v/>
      </c>
    </row>
    <row r="29862" spans="26:26" x14ac:dyDescent="0.2">
      <c r="Z29862" t="str">
        <f t="shared" si="466"/>
        <v/>
      </c>
    </row>
    <row r="29863" spans="26:26" x14ac:dyDescent="0.2">
      <c r="Z29863" t="str">
        <f t="shared" si="466"/>
        <v/>
      </c>
    </row>
    <row r="29864" spans="26:26" x14ac:dyDescent="0.2">
      <c r="Z29864" t="str">
        <f t="shared" si="466"/>
        <v/>
      </c>
    </row>
    <row r="29865" spans="26:26" x14ac:dyDescent="0.2">
      <c r="Z29865" t="str">
        <f t="shared" si="466"/>
        <v/>
      </c>
    </row>
    <row r="29866" spans="26:26" x14ac:dyDescent="0.2">
      <c r="Z29866" t="str">
        <f t="shared" si="466"/>
        <v/>
      </c>
    </row>
    <row r="29867" spans="26:26" x14ac:dyDescent="0.2">
      <c r="Z29867" t="str">
        <f t="shared" si="466"/>
        <v/>
      </c>
    </row>
    <row r="29868" spans="26:26" x14ac:dyDescent="0.2">
      <c r="Z29868" t="str">
        <f t="shared" si="466"/>
        <v/>
      </c>
    </row>
    <row r="29869" spans="26:26" x14ac:dyDescent="0.2">
      <c r="Z29869" t="str">
        <f t="shared" si="466"/>
        <v/>
      </c>
    </row>
    <row r="29870" spans="26:26" x14ac:dyDescent="0.2">
      <c r="Z29870" t="str">
        <f t="shared" si="466"/>
        <v/>
      </c>
    </row>
    <row r="29871" spans="26:26" x14ac:dyDescent="0.2">
      <c r="Z29871" t="str">
        <f t="shared" si="466"/>
        <v/>
      </c>
    </row>
    <row r="29872" spans="26:26" x14ac:dyDescent="0.2">
      <c r="Z29872" t="str">
        <f t="shared" si="466"/>
        <v/>
      </c>
    </row>
    <row r="29873" spans="26:26" x14ac:dyDescent="0.2">
      <c r="Z29873" t="str">
        <f t="shared" si="466"/>
        <v/>
      </c>
    </row>
    <row r="29874" spans="26:26" x14ac:dyDescent="0.2">
      <c r="Z29874" t="str">
        <f t="shared" si="466"/>
        <v/>
      </c>
    </row>
    <row r="29875" spans="26:26" x14ac:dyDescent="0.2">
      <c r="Z29875" t="str">
        <f t="shared" si="466"/>
        <v/>
      </c>
    </row>
    <row r="29876" spans="26:26" x14ac:dyDescent="0.2">
      <c r="Z29876" t="str">
        <f t="shared" si="466"/>
        <v/>
      </c>
    </row>
    <row r="29877" spans="26:26" x14ac:dyDescent="0.2">
      <c r="Z29877" t="str">
        <f t="shared" si="466"/>
        <v/>
      </c>
    </row>
    <row r="29878" spans="26:26" x14ac:dyDescent="0.2">
      <c r="Z29878" t="str">
        <f t="shared" si="466"/>
        <v/>
      </c>
    </row>
    <row r="29879" spans="26:26" x14ac:dyDescent="0.2">
      <c r="Z29879" t="str">
        <f t="shared" si="466"/>
        <v/>
      </c>
    </row>
    <row r="29880" spans="26:26" x14ac:dyDescent="0.2">
      <c r="Z29880" t="str">
        <f t="shared" si="466"/>
        <v/>
      </c>
    </row>
    <row r="29881" spans="26:26" x14ac:dyDescent="0.2">
      <c r="Z29881" t="str">
        <f t="shared" si="466"/>
        <v/>
      </c>
    </row>
    <row r="29882" spans="26:26" x14ac:dyDescent="0.2">
      <c r="Z29882" t="str">
        <f t="shared" si="466"/>
        <v/>
      </c>
    </row>
    <row r="29883" spans="26:26" x14ac:dyDescent="0.2">
      <c r="Z29883" t="str">
        <f t="shared" si="466"/>
        <v/>
      </c>
    </row>
    <row r="29884" spans="26:26" x14ac:dyDescent="0.2">
      <c r="Z29884" t="str">
        <f t="shared" si="466"/>
        <v/>
      </c>
    </row>
    <row r="29885" spans="26:26" x14ac:dyDescent="0.2">
      <c r="Z29885" t="str">
        <f t="shared" si="466"/>
        <v/>
      </c>
    </row>
    <row r="29886" spans="26:26" x14ac:dyDescent="0.2">
      <c r="Z29886" t="str">
        <f t="shared" si="466"/>
        <v/>
      </c>
    </row>
    <row r="29887" spans="26:26" x14ac:dyDescent="0.2">
      <c r="Z29887" t="str">
        <f t="shared" si="466"/>
        <v/>
      </c>
    </row>
    <row r="29888" spans="26:26" x14ac:dyDescent="0.2">
      <c r="Z29888" t="str">
        <f t="shared" si="466"/>
        <v/>
      </c>
    </row>
    <row r="29889" spans="26:26" x14ac:dyDescent="0.2">
      <c r="Z29889" t="str">
        <f t="shared" si="466"/>
        <v/>
      </c>
    </row>
    <row r="29890" spans="26:26" x14ac:dyDescent="0.2">
      <c r="Z29890" t="str">
        <f t="shared" si="466"/>
        <v/>
      </c>
    </row>
    <row r="29891" spans="26:26" x14ac:dyDescent="0.2">
      <c r="Z29891" t="str">
        <f t="shared" ref="Z29891:Z29954" si="467">IF(K29891="","",IFERROR(VALUE(TRIM(MID(K29891,FIND(CHAR(167),SUBSTITUTE(K29891,"-",CHAR(167),LEN(K29891)-LEN(SUBSTITUTE(K29891,"-",""))))+1,100))),K29891))</f>
        <v/>
      </c>
    </row>
    <row r="29892" spans="26:26" x14ac:dyDescent="0.2">
      <c r="Z29892" t="str">
        <f t="shared" si="467"/>
        <v/>
      </c>
    </row>
    <row r="29893" spans="26:26" x14ac:dyDescent="0.2">
      <c r="Z29893" t="str">
        <f t="shared" si="467"/>
        <v/>
      </c>
    </row>
    <row r="29894" spans="26:26" x14ac:dyDescent="0.2">
      <c r="Z29894" t="str">
        <f t="shared" si="467"/>
        <v/>
      </c>
    </row>
    <row r="29895" spans="26:26" x14ac:dyDescent="0.2">
      <c r="Z29895" t="str">
        <f t="shared" si="467"/>
        <v/>
      </c>
    </row>
    <row r="29896" spans="26:26" x14ac:dyDescent="0.2">
      <c r="Z29896" t="str">
        <f t="shared" si="467"/>
        <v/>
      </c>
    </row>
    <row r="29897" spans="26:26" x14ac:dyDescent="0.2">
      <c r="Z29897" t="str">
        <f t="shared" si="467"/>
        <v/>
      </c>
    </row>
    <row r="29898" spans="26:26" x14ac:dyDescent="0.2">
      <c r="Z29898" t="str">
        <f t="shared" si="467"/>
        <v/>
      </c>
    </row>
    <row r="29899" spans="26:26" x14ac:dyDescent="0.2">
      <c r="Z29899" t="str">
        <f t="shared" si="467"/>
        <v/>
      </c>
    </row>
    <row r="29900" spans="26:26" x14ac:dyDescent="0.2">
      <c r="Z29900" t="str">
        <f t="shared" si="467"/>
        <v/>
      </c>
    </row>
    <row r="29901" spans="26:26" x14ac:dyDescent="0.2">
      <c r="Z29901" t="str">
        <f t="shared" si="467"/>
        <v/>
      </c>
    </row>
    <row r="29902" spans="26:26" x14ac:dyDescent="0.2">
      <c r="Z29902" t="str">
        <f t="shared" si="467"/>
        <v/>
      </c>
    </row>
    <row r="29903" spans="26:26" x14ac:dyDescent="0.2">
      <c r="Z29903" t="str">
        <f t="shared" si="467"/>
        <v/>
      </c>
    </row>
    <row r="29904" spans="26:26" x14ac:dyDescent="0.2">
      <c r="Z29904" t="str">
        <f t="shared" si="467"/>
        <v/>
      </c>
    </row>
    <row r="29905" spans="26:26" x14ac:dyDescent="0.2">
      <c r="Z29905" t="str">
        <f t="shared" si="467"/>
        <v/>
      </c>
    </row>
    <row r="29906" spans="26:26" x14ac:dyDescent="0.2">
      <c r="Z29906" t="str">
        <f t="shared" si="467"/>
        <v/>
      </c>
    </row>
    <row r="29907" spans="26:26" x14ac:dyDescent="0.2">
      <c r="Z29907" t="str">
        <f t="shared" si="467"/>
        <v/>
      </c>
    </row>
    <row r="29908" spans="26:26" x14ac:dyDescent="0.2">
      <c r="Z29908" t="str">
        <f t="shared" si="467"/>
        <v/>
      </c>
    </row>
    <row r="29909" spans="26:26" x14ac:dyDescent="0.2">
      <c r="Z29909" t="str">
        <f t="shared" si="467"/>
        <v/>
      </c>
    </row>
    <row r="29910" spans="26:26" x14ac:dyDescent="0.2">
      <c r="Z29910" t="str">
        <f t="shared" si="467"/>
        <v/>
      </c>
    </row>
    <row r="29911" spans="26:26" x14ac:dyDescent="0.2">
      <c r="Z29911" t="str">
        <f t="shared" si="467"/>
        <v/>
      </c>
    </row>
    <row r="29912" spans="26:26" x14ac:dyDescent="0.2">
      <c r="Z29912" t="str">
        <f t="shared" si="467"/>
        <v/>
      </c>
    </row>
    <row r="29913" spans="26:26" x14ac:dyDescent="0.2">
      <c r="Z29913" t="str">
        <f t="shared" si="467"/>
        <v/>
      </c>
    </row>
    <row r="29914" spans="26:26" x14ac:dyDescent="0.2">
      <c r="Z29914" t="str">
        <f t="shared" si="467"/>
        <v/>
      </c>
    </row>
    <row r="29915" spans="26:26" x14ac:dyDescent="0.2">
      <c r="Z29915" t="str">
        <f t="shared" si="467"/>
        <v/>
      </c>
    </row>
    <row r="29916" spans="26:26" x14ac:dyDescent="0.2">
      <c r="Z29916" t="str">
        <f t="shared" si="467"/>
        <v/>
      </c>
    </row>
    <row r="29917" spans="26:26" x14ac:dyDescent="0.2">
      <c r="Z29917" t="str">
        <f t="shared" si="467"/>
        <v/>
      </c>
    </row>
    <row r="29918" spans="26:26" x14ac:dyDescent="0.2">
      <c r="Z29918" t="str">
        <f t="shared" si="467"/>
        <v/>
      </c>
    </row>
    <row r="29919" spans="26:26" x14ac:dyDescent="0.2">
      <c r="Z29919" t="str">
        <f t="shared" si="467"/>
        <v/>
      </c>
    </row>
    <row r="29920" spans="26:26" x14ac:dyDescent="0.2">
      <c r="Z29920" t="str">
        <f t="shared" si="467"/>
        <v/>
      </c>
    </row>
    <row r="29921" spans="26:26" x14ac:dyDescent="0.2">
      <c r="Z29921" t="str">
        <f t="shared" si="467"/>
        <v/>
      </c>
    </row>
    <row r="29922" spans="26:26" x14ac:dyDescent="0.2">
      <c r="Z29922" t="str">
        <f t="shared" si="467"/>
        <v/>
      </c>
    </row>
    <row r="29923" spans="26:26" x14ac:dyDescent="0.2">
      <c r="Z29923" t="str">
        <f t="shared" si="467"/>
        <v/>
      </c>
    </row>
    <row r="29924" spans="26:26" x14ac:dyDescent="0.2">
      <c r="Z29924" t="str">
        <f t="shared" si="467"/>
        <v/>
      </c>
    </row>
    <row r="29925" spans="26:26" x14ac:dyDescent="0.2">
      <c r="Z29925" t="str">
        <f t="shared" si="467"/>
        <v/>
      </c>
    </row>
    <row r="29926" spans="26:26" x14ac:dyDescent="0.2">
      <c r="Z29926" t="str">
        <f t="shared" si="467"/>
        <v/>
      </c>
    </row>
    <row r="29927" spans="26:26" x14ac:dyDescent="0.2">
      <c r="Z29927" t="str">
        <f t="shared" si="467"/>
        <v/>
      </c>
    </row>
    <row r="29928" spans="26:26" x14ac:dyDescent="0.2">
      <c r="Z29928" t="str">
        <f t="shared" si="467"/>
        <v/>
      </c>
    </row>
    <row r="29929" spans="26:26" x14ac:dyDescent="0.2">
      <c r="Z29929" t="str">
        <f t="shared" si="467"/>
        <v/>
      </c>
    </row>
    <row r="29930" spans="26:26" x14ac:dyDescent="0.2">
      <c r="Z29930" t="str">
        <f t="shared" si="467"/>
        <v/>
      </c>
    </row>
    <row r="29931" spans="26:26" x14ac:dyDescent="0.2">
      <c r="Z29931" t="str">
        <f t="shared" si="467"/>
        <v/>
      </c>
    </row>
    <row r="29932" spans="26:26" x14ac:dyDescent="0.2">
      <c r="Z29932" t="str">
        <f t="shared" si="467"/>
        <v/>
      </c>
    </row>
    <row r="29933" spans="26:26" x14ac:dyDescent="0.2">
      <c r="Z29933" t="str">
        <f t="shared" si="467"/>
        <v/>
      </c>
    </row>
    <row r="29934" spans="26:26" x14ac:dyDescent="0.2">
      <c r="Z29934" t="str">
        <f t="shared" si="467"/>
        <v/>
      </c>
    </row>
    <row r="29935" spans="26:26" x14ac:dyDescent="0.2">
      <c r="Z29935" t="str">
        <f t="shared" si="467"/>
        <v/>
      </c>
    </row>
    <row r="29936" spans="26:26" x14ac:dyDescent="0.2">
      <c r="Z29936" t="str">
        <f t="shared" si="467"/>
        <v/>
      </c>
    </row>
    <row r="29937" spans="26:26" x14ac:dyDescent="0.2">
      <c r="Z29937" t="str">
        <f t="shared" si="467"/>
        <v/>
      </c>
    </row>
    <row r="29938" spans="26:26" x14ac:dyDescent="0.2">
      <c r="Z29938" t="str">
        <f t="shared" si="467"/>
        <v/>
      </c>
    </row>
    <row r="29939" spans="26:26" x14ac:dyDescent="0.2">
      <c r="Z29939" t="str">
        <f t="shared" si="467"/>
        <v/>
      </c>
    </row>
    <row r="29940" spans="26:26" x14ac:dyDescent="0.2">
      <c r="Z29940" t="str">
        <f t="shared" si="467"/>
        <v/>
      </c>
    </row>
    <row r="29941" spans="26:26" x14ac:dyDescent="0.2">
      <c r="Z29941" t="str">
        <f t="shared" si="467"/>
        <v/>
      </c>
    </row>
    <row r="29942" spans="26:26" x14ac:dyDescent="0.2">
      <c r="Z29942" t="str">
        <f t="shared" si="467"/>
        <v/>
      </c>
    </row>
    <row r="29943" spans="26:26" x14ac:dyDescent="0.2">
      <c r="Z29943" t="str">
        <f t="shared" si="467"/>
        <v/>
      </c>
    </row>
    <row r="29944" spans="26:26" x14ac:dyDescent="0.2">
      <c r="Z29944" t="str">
        <f t="shared" si="467"/>
        <v/>
      </c>
    </row>
    <row r="29945" spans="26:26" x14ac:dyDescent="0.2">
      <c r="Z29945" t="str">
        <f t="shared" si="467"/>
        <v/>
      </c>
    </row>
    <row r="29946" spans="26:26" x14ac:dyDescent="0.2">
      <c r="Z29946" t="str">
        <f t="shared" si="467"/>
        <v/>
      </c>
    </row>
    <row r="29947" spans="26:26" x14ac:dyDescent="0.2">
      <c r="Z29947" t="str">
        <f t="shared" si="467"/>
        <v/>
      </c>
    </row>
    <row r="29948" spans="26:26" x14ac:dyDescent="0.2">
      <c r="Z29948" t="str">
        <f t="shared" si="467"/>
        <v/>
      </c>
    </row>
    <row r="29949" spans="26:26" x14ac:dyDescent="0.2">
      <c r="Z29949" t="str">
        <f t="shared" si="467"/>
        <v/>
      </c>
    </row>
    <row r="29950" spans="26:26" x14ac:dyDescent="0.2">
      <c r="Z29950" t="str">
        <f t="shared" si="467"/>
        <v/>
      </c>
    </row>
    <row r="29951" spans="26:26" x14ac:dyDescent="0.2">
      <c r="Z29951" t="str">
        <f t="shared" si="467"/>
        <v/>
      </c>
    </row>
    <row r="29952" spans="26:26" x14ac:dyDescent="0.2">
      <c r="Z29952" t="str">
        <f t="shared" si="467"/>
        <v/>
      </c>
    </row>
    <row r="29953" spans="26:26" x14ac:dyDescent="0.2">
      <c r="Z29953" t="str">
        <f t="shared" si="467"/>
        <v/>
      </c>
    </row>
    <row r="29954" spans="26:26" x14ac:dyDescent="0.2">
      <c r="Z29954" t="str">
        <f t="shared" si="467"/>
        <v/>
      </c>
    </row>
    <row r="29955" spans="26:26" x14ac:dyDescent="0.2">
      <c r="Z29955" t="str">
        <f t="shared" ref="Z29955:Z30018" si="468">IF(K29955="","",IFERROR(VALUE(TRIM(MID(K29955,FIND(CHAR(167),SUBSTITUTE(K29955,"-",CHAR(167),LEN(K29955)-LEN(SUBSTITUTE(K29955,"-",""))))+1,100))),K29955))</f>
        <v/>
      </c>
    </row>
    <row r="29956" spans="26:26" x14ac:dyDescent="0.2">
      <c r="Z29956" t="str">
        <f t="shared" si="468"/>
        <v/>
      </c>
    </row>
    <row r="29957" spans="26:26" x14ac:dyDescent="0.2">
      <c r="Z29957" t="str">
        <f t="shared" si="468"/>
        <v/>
      </c>
    </row>
    <row r="29958" spans="26:26" x14ac:dyDescent="0.2">
      <c r="Z29958" t="str">
        <f t="shared" si="468"/>
        <v/>
      </c>
    </row>
    <row r="29959" spans="26:26" x14ac:dyDescent="0.2">
      <c r="Z29959" t="str">
        <f t="shared" si="468"/>
        <v/>
      </c>
    </row>
    <row r="29960" spans="26:26" x14ac:dyDescent="0.2">
      <c r="Z29960" t="str">
        <f t="shared" si="468"/>
        <v/>
      </c>
    </row>
    <row r="29961" spans="26:26" x14ac:dyDescent="0.2">
      <c r="Z29961" t="str">
        <f t="shared" si="468"/>
        <v/>
      </c>
    </row>
    <row r="29962" spans="26:26" x14ac:dyDescent="0.2">
      <c r="Z29962" t="str">
        <f t="shared" si="468"/>
        <v/>
      </c>
    </row>
    <row r="29963" spans="26:26" x14ac:dyDescent="0.2">
      <c r="Z29963" t="str">
        <f t="shared" si="468"/>
        <v/>
      </c>
    </row>
    <row r="29964" spans="26:26" x14ac:dyDescent="0.2">
      <c r="Z29964" t="str">
        <f t="shared" si="468"/>
        <v/>
      </c>
    </row>
    <row r="29965" spans="26:26" x14ac:dyDescent="0.2">
      <c r="Z29965" t="str">
        <f t="shared" si="468"/>
        <v/>
      </c>
    </row>
    <row r="29966" spans="26:26" x14ac:dyDescent="0.2">
      <c r="Z29966" t="str">
        <f t="shared" si="468"/>
        <v/>
      </c>
    </row>
    <row r="29967" spans="26:26" x14ac:dyDescent="0.2">
      <c r="Z29967" t="str">
        <f t="shared" si="468"/>
        <v/>
      </c>
    </row>
    <row r="29968" spans="26:26" x14ac:dyDescent="0.2">
      <c r="Z29968" t="str">
        <f t="shared" si="468"/>
        <v/>
      </c>
    </row>
    <row r="29969" spans="26:26" x14ac:dyDescent="0.2">
      <c r="Z29969" t="str">
        <f t="shared" si="468"/>
        <v/>
      </c>
    </row>
    <row r="29970" spans="26:26" x14ac:dyDescent="0.2">
      <c r="Z29970" t="str">
        <f t="shared" si="468"/>
        <v/>
      </c>
    </row>
    <row r="29971" spans="26:26" x14ac:dyDescent="0.2">
      <c r="Z29971" t="str">
        <f t="shared" si="468"/>
        <v/>
      </c>
    </row>
    <row r="29972" spans="26:26" x14ac:dyDescent="0.2">
      <c r="Z29972" t="str">
        <f t="shared" si="468"/>
        <v/>
      </c>
    </row>
    <row r="29973" spans="26:26" x14ac:dyDescent="0.2">
      <c r="Z29973" t="str">
        <f t="shared" si="468"/>
        <v/>
      </c>
    </row>
    <row r="29974" spans="26:26" x14ac:dyDescent="0.2">
      <c r="Z29974" t="str">
        <f t="shared" si="468"/>
        <v/>
      </c>
    </row>
    <row r="29975" spans="26:26" x14ac:dyDescent="0.2">
      <c r="Z29975" t="str">
        <f t="shared" si="468"/>
        <v/>
      </c>
    </row>
    <row r="29976" spans="26:26" x14ac:dyDescent="0.2">
      <c r="Z29976" t="str">
        <f t="shared" si="468"/>
        <v/>
      </c>
    </row>
    <row r="29977" spans="26:26" x14ac:dyDescent="0.2">
      <c r="Z29977" t="str">
        <f t="shared" si="468"/>
        <v/>
      </c>
    </row>
    <row r="29978" spans="26:26" x14ac:dyDescent="0.2">
      <c r="Z29978" t="str">
        <f t="shared" si="468"/>
        <v/>
      </c>
    </row>
    <row r="29979" spans="26:26" x14ac:dyDescent="0.2">
      <c r="Z29979" t="str">
        <f t="shared" si="468"/>
        <v/>
      </c>
    </row>
    <row r="29980" spans="26:26" x14ac:dyDescent="0.2">
      <c r="Z29980" t="str">
        <f t="shared" si="468"/>
        <v/>
      </c>
    </row>
    <row r="29981" spans="26:26" x14ac:dyDescent="0.2">
      <c r="Z29981" t="str">
        <f t="shared" si="468"/>
        <v/>
      </c>
    </row>
    <row r="29982" spans="26:26" x14ac:dyDescent="0.2">
      <c r="Z29982" t="str">
        <f t="shared" si="468"/>
        <v/>
      </c>
    </row>
    <row r="29983" spans="26:26" x14ac:dyDescent="0.2">
      <c r="Z29983" t="str">
        <f t="shared" si="468"/>
        <v/>
      </c>
    </row>
    <row r="29984" spans="26:26" x14ac:dyDescent="0.2">
      <c r="Z29984" t="str">
        <f t="shared" si="468"/>
        <v/>
      </c>
    </row>
    <row r="29985" spans="26:26" x14ac:dyDescent="0.2">
      <c r="Z29985" t="str">
        <f t="shared" si="468"/>
        <v/>
      </c>
    </row>
    <row r="29986" spans="26:26" x14ac:dyDescent="0.2">
      <c r="Z29986" t="str">
        <f t="shared" si="468"/>
        <v/>
      </c>
    </row>
    <row r="29987" spans="26:26" x14ac:dyDescent="0.2">
      <c r="Z29987" t="str">
        <f t="shared" si="468"/>
        <v/>
      </c>
    </row>
    <row r="29988" spans="26:26" x14ac:dyDescent="0.2">
      <c r="Z29988" t="str">
        <f t="shared" si="468"/>
        <v/>
      </c>
    </row>
    <row r="29989" spans="26:26" x14ac:dyDescent="0.2">
      <c r="Z29989" t="str">
        <f t="shared" si="468"/>
        <v/>
      </c>
    </row>
    <row r="29990" spans="26:26" x14ac:dyDescent="0.2">
      <c r="Z29990" t="str">
        <f t="shared" si="468"/>
        <v/>
      </c>
    </row>
    <row r="29991" spans="26:26" x14ac:dyDescent="0.2">
      <c r="Z29991" t="str">
        <f t="shared" si="468"/>
        <v/>
      </c>
    </row>
    <row r="29992" spans="26:26" x14ac:dyDescent="0.2">
      <c r="Z29992" t="str">
        <f t="shared" si="468"/>
        <v/>
      </c>
    </row>
    <row r="29993" spans="26:26" x14ac:dyDescent="0.2">
      <c r="Z29993" t="str">
        <f t="shared" si="468"/>
        <v/>
      </c>
    </row>
    <row r="29994" spans="26:26" x14ac:dyDescent="0.2">
      <c r="Z29994" t="str">
        <f t="shared" si="468"/>
        <v/>
      </c>
    </row>
    <row r="29995" spans="26:26" x14ac:dyDescent="0.2">
      <c r="Z29995" t="str">
        <f t="shared" si="468"/>
        <v/>
      </c>
    </row>
    <row r="29996" spans="26:26" x14ac:dyDescent="0.2">
      <c r="Z29996" t="str">
        <f t="shared" si="468"/>
        <v/>
      </c>
    </row>
    <row r="29997" spans="26:26" x14ac:dyDescent="0.2">
      <c r="Z29997" t="str">
        <f t="shared" si="468"/>
        <v/>
      </c>
    </row>
    <row r="29998" spans="26:26" x14ac:dyDescent="0.2">
      <c r="Z29998" t="str">
        <f t="shared" si="468"/>
        <v/>
      </c>
    </row>
    <row r="29999" spans="26:26" x14ac:dyDescent="0.2">
      <c r="Z29999" t="str">
        <f t="shared" si="468"/>
        <v/>
      </c>
    </row>
    <row r="30000" spans="26:26" x14ac:dyDescent="0.2">
      <c r="Z30000" t="str">
        <f t="shared" si="468"/>
        <v/>
      </c>
    </row>
    <row r="30001" spans="26:26" x14ac:dyDescent="0.2">
      <c r="Z30001" t="str">
        <f t="shared" si="468"/>
        <v/>
      </c>
    </row>
    <row r="30002" spans="26:26" x14ac:dyDescent="0.2">
      <c r="Z30002" t="str">
        <f t="shared" si="468"/>
        <v/>
      </c>
    </row>
    <row r="30003" spans="26:26" x14ac:dyDescent="0.2">
      <c r="Z30003" t="str">
        <f t="shared" si="468"/>
        <v/>
      </c>
    </row>
    <row r="30004" spans="26:26" x14ac:dyDescent="0.2">
      <c r="Z30004" t="str">
        <f t="shared" si="468"/>
        <v/>
      </c>
    </row>
    <row r="30005" spans="26:26" x14ac:dyDescent="0.2">
      <c r="Z30005" t="str">
        <f t="shared" si="468"/>
        <v/>
      </c>
    </row>
    <row r="30006" spans="26:26" x14ac:dyDescent="0.2">
      <c r="Z30006" t="str">
        <f t="shared" si="468"/>
        <v/>
      </c>
    </row>
    <row r="30007" spans="26:26" x14ac:dyDescent="0.2">
      <c r="Z30007" t="str">
        <f t="shared" si="468"/>
        <v/>
      </c>
    </row>
    <row r="30008" spans="26:26" x14ac:dyDescent="0.2">
      <c r="Z30008" t="str">
        <f t="shared" si="468"/>
        <v/>
      </c>
    </row>
    <row r="30009" spans="26:26" x14ac:dyDescent="0.2">
      <c r="Z30009" t="str">
        <f t="shared" si="468"/>
        <v/>
      </c>
    </row>
    <row r="30010" spans="26:26" x14ac:dyDescent="0.2">
      <c r="Z30010" t="str">
        <f t="shared" si="468"/>
        <v/>
      </c>
    </row>
    <row r="30011" spans="26:26" x14ac:dyDescent="0.2">
      <c r="Z30011" t="str">
        <f t="shared" si="468"/>
        <v/>
      </c>
    </row>
    <row r="30012" spans="26:26" x14ac:dyDescent="0.2">
      <c r="Z30012" t="str">
        <f t="shared" si="468"/>
        <v/>
      </c>
    </row>
    <row r="30013" spans="26:26" x14ac:dyDescent="0.2">
      <c r="Z30013" t="str">
        <f t="shared" si="468"/>
        <v/>
      </c>
    </row>
    <row r="30014" spans="26:26" x14ac:dyDescent="0.2">
      <c r="Z30014" t="str">
        <f t="shared" si="468"/>
        <v/>
      </c>
    </row>
    <row r="30015" spans="26:26" x14ac:dyDescent="0.2">
      <c r="Z30015" t="str">
        <f t="shared" si="468"/>
        <v/>
      </c>
    </row>
    <row r="30016" spans="26:26" x14ac:dyDescent="0.2">
      <c r="Z30016" t="str">
        <f t="shared" si="468"/>
        <v/>
      </c>
    </row>
    <row r="30017" spans="26:26" x14ac:dyDescent="0.2">
      <c r="Z30017" t="str">
        <f t="shared" si="468"/>
        <v/>
      </c>
    </row>
    <row r="30018" spans="26:26" x14ac:dyDescent="0.2">
      <c r="Z30018" t="str">
        <f t="shared" si="468"/>
        <v/>
      </c>
    </row>
    <row r="30019" spans="26:26" x14ac:dyDescent="0.2">
      <c r="Z30019" t="str">
        <f t="shared" ref="Z30019:Z30082" si="469">IF(K30019="","",IFERROR(VALUE(TRIM(MID(K30019,FIND(CHAR(167),SUBSTITUTE(K30019,"-",CHAR(167),LEN(K30019)-LEN(SUBSTITUTE(K30019,"-",""))))+1,100))),K30019))</f>
        <v/>
      </c>
    </row>
    <row r="30020" spans="26:26" x14ac:dyDescent="0.2">
      <c r="Z30020" t="str">
        <f t="shared" si="469"/>
        <v/>
      </c>
    </row>
    <row r="30021" spans="26:26" x14ac:dyDescent="0.2">
      <c r="Z30021" t="str">
        <f t="shared" si="469"/>
        <v/>
      </c>
    </row>
    <row r="30022" spans="26:26" x14ac:dyDescent="0.2">
      <c r="Z30022" t="str">
        <f t="shared" si="469"/>
        <v/>
      </c>
    </row>
    <row r="30023" spans="26:26" x14ac:dyDescent="0.2">
      <c r="Z30023" t="str">
        <f t="shared" si="469"/>
        <v/>
      </c>
    </row>
    <row r="30024" spans="26:26" x14ac:dyDescent="0.2">
      <c r="Z30024" t="str">
        <f t="shared" si="469"/>
        <v/>
      </c>
    </row>
    <row r="30025" spans="26:26" x14ac:dyDescent="0.2">
      <c r="Z30025" t="str">
        <f t="shared" si="469"/>
        <v/>
      </c>
    </row>
    <row r="30026" spans="26:26" x14ac:dyDescent="0.2">
      <c r="Z30026" t="str">
        <f t="shared" si="469"/>
        <v/>
      </c>
    </row>
    <row r="30027" spans="26:26" x14ac:dyDescent="0.2">
      <c r="Z30027" t="str">
        <f t="shared" si="469"/>
        <v/>
      </c>
    </row>
    <row r="30028" spans="26:26" x14ac:dyDescent="0.2">
      <c r="Z30028" t="str">
        <f t="shared" si="469"/>
        <v/>
      </c>
    </row>
    <row r="30029" spans="26:26" x14ac:dyDescent="0.2">
      <c r="Z30029" t="str">
        <f t="shared" si="469"/>
        <v/>
      </c>
    </row>
    <row r="30030" spans="26:26" x14ac:dyDescent="0.2">
      <c r="Z30030" t="str">
        <f t="shared" si="469"/>
        <v/>
      </c>
    </row>
    <row r="30031" spans="26:26" x14ac:dyDescent="0.2">
      <c r="Z30031" t="str">
        <f t="shared" si="469"/>
        <v/>
      </c>
    </row>
    <row r="30032" spans="26:26" x14ac:dyDescent="0.2">
      <c r="Z30032" t="str">
        <f t="shared" si="469"/>
        <v/>
      </c>
    </row>
    <row r="30033" spans="26:26" x14ac:dyDescent="0.2">
      <c r="Z30033" t="str">
        <f t="shared" si="469"/>
        <v/>
      </c>
    </row>
    <row r="30034" spans="26:26" x14ac:dyDescent="0.2">
      <c r="Z30034" t="str">
        <f t="shared" si="469"/>
        <v/>
      </c>
    </row>
    <row r="30035" spans="26:26" x14ac:dyDescent="0.2">
      <c r="Z30035" t="str">
        <f t="shared" si="469"/>
        <v/>
      </c>
    </row>
    <row r="30036" spans="26:26" x14ac:dyDescent="0.2">
      <c r="Z30036" t="str">
        <f t="shared" si="469"/>
        <v/>
      </c>
    </row>
    <row r="30037" spans="26:26" x14ac:dyDescent="0.2">
      <c r="Z30037" t="str">
        <f t="shared" si="469"/>
        <v/>
      </c>
    </row>
    <row r="30038" spans="26:26" x14ac:dyDescent="0.2">
      <c r="Z30038" t="str">
        <f t="shared" si="469"/>
        <v/>
      </c>
    </row>
    <row r="30039" spans="26:26" x14ac:dyDescent="0.2">
      <c r="Z30039" t="str">
        <f t="shared" si="469"/>
        <v/>
      </c>
    </row>
    <row r="30040" spans="26:26" x14ac:dyDescent="0.2">
      <c r="Z30040" t="str">
        <f t="shared" si="469"/>
        <v/>
      </c>
    </row>
    <row r="30041" spans="26:26" x14ac:dyDescent="0.2">
      <c r="Z30041" t="str">
        <f t="shared" si="469"/>
        <v/>
      </c>
    </row>
    <row r="30042" spans="26:26" x14ac:dyDescent="0.2">
      <c r="Z30042" t="str">
        <f t="shared" si="469"/>
        <v/>
      </c>
    </row>
    <row r="30043" spans="26:26" x14ac:dyDescent="0.2">
      <c r="Z30043" t="str">
        <f t="shared" si="469"/>
        <v/>
      </c>
    </row>
    <row r="30044" spans="26:26" x14ac:dyDescent="0.2">
      <c r="Z30044" t="str">
        <f t="shared" si="469"/>
        <v/>
      </c>
    </row>
    <row r="30045" spans="26:26" x14ac:dyDescent="0.2">
      <c r="Z30045" t="str">
        <f t="shared" si="469"/>
        <v/>
      </c>
    </row>
    <row r="30046" spans="26:26" x14ac:dyDescent="0.2">
      <c r="Z30046" t="str">
        <f t="shared" si="469"/>
        <v/>
      </c>
    </row>
    <row r="30047" spans="26:26" x14ac:dyDescent="0.2">
      <c r="Z30047" t="str">
        <f t="shared" si="469"/>
        <v/>
      </c>
    </row>
    <row r="30048" spans="26:26" x14ac:dyDescent="0.2">
      <c r="Z30048" t="str">
        <f t="shared" si="469"/>
        <v/>
      </c>
    </row>
    <row r="30049" spans="26:26" x14ac:dyDescent="0.2">
      <c r="Z30049" t="str">
        <f t="shared" si="469"/>
        <v/>
      </c>
    </row>
    <row r="30050" spans="26:26" x14ac:dyDescent="0.2">
      <c r="Z30050" t="str">
        <f t="shared" si="469"/>
        <v/>
      </c>
    </row>
    <row r="30051" spans="26:26" x14ac:dyDescent="0.2">
      <c r="Z30051" t="str">
        <f t="shared" si="469"/>
        <v/>
      </c>
    </row>
    <row r="30052" spans="26:26" x14ac:dyDescent="0.2">
      <c r="Z30052" t="str">
        <f t="shared" si="469"/>
        <v/>
      </c>
    </row>
    <row r="30053" spans="26:26" x14ac:dyDescent="0.2">
      <c r="Z30053" t="str">
        <f t="shared" si="469"/>
        <v/>
      </c>
    </row>
    <row r="30054" spans="26:26" x14ac:dyDescent="0.2">
      <c r="Z30054" t="str">
        <f t="shared" si="469"/>
        <v/>
      </c>
    </row>
    <row r="30055" spans="26:26" x14ac:dyDescent="0.2">
      <c r="Z30055" t="str">
        <f t="shared" si="469"/>
        <v/>
      </c>
    </row>
    <row r="30056" spans="26:26" x14ac:dyDescent="0.2">
      <c r="Z30056" t="str">
        <f t="shared" si="469"/>
        <v/>
      </c>
    </row>
    <row r="30057" spans="26:26" x14ac:dyDescent="0.2">
      <c r="Z30057" t="str">
        <f t="shared" si="469"/>
        <v/>
      </c>
    </row>
    <row r="30058" spans="26:26" x14ac:dyDescent="0.2">
      <c r="Z30058" t="str">
        <f t="shared" si="469"/>
        <v/>
      </c>
    </row>
    <row r="30059" spans="26:26" x14ac:dyDescent="0.2">
      <c r="Z30059" t="str">
        <f t="shared" si="469"/>
        <v/>
      </c>
    </row>
    <row r="30060" spans="26:26" x14ac:dyDescent="0.2">
      <c r="Z30060" t="str">
        <f t="shared" si="469"/>
        <v/>
      </c>
    </row>
    <row r="30061" spans="26:26" x14ac:dyDescent="0.2">
      <c r="Z30061" t="str">
        <f t="shared" si="469"/>
        <v/>
      </c>
    </row>
    <row r="30062" spans="26:26" x14ac:dyDescent="0.2">
      <c r="Z30062" t="str">
        <f t="shared" si="469"/>
        <v/>
      </c>
    </row>
    <row r="30063" spans="26:26" x14ac:dyDescent="0.2">
      <c r="Z30063" t="str">
        <f t="shared" si="469"/>
        <v/>
      </c>
    </row>
    <row r="30064" spans="26:26" x14ac:dyDescent="0.2">
      <c r="Z30064" t="str">
        <f t="shared" si="469"/>
        <v/>
      </c>
    </row>
    <row r="30065" spans="26:26" x14ac:dyDescent="0.2">
      <c r="Z30065" t="str">
        <f t="shared" si="469"/>
        <v/>
      </c>
    </row>
    <row r="30066" spans="26:26" x14ac:dyDescent="0.2">
      <c r="Z30066" t="str">
        <f t="shared" si="469"/>
        <v/>
      </c>
    </row>
    <row r="30067" spans="26:26" x14ac:dyDescent="0.2">
      <c r="Z30067" t="str">
        <f t="shared" si="469"/>
        <v/>
      </c>
    </row>
    <row r="30068" spans="26:26" x14ac:dyDescent="0.2">
      <c r="Z30068" t="str">
        <f t="shared" si="469"/>
        <v/>
      </c>
    </row>
    <row r="30069" spans="26:26" x14ac:dyDescent="0.2">
      <c r="Z30069" t="str">
        <f t="shared" si="469"/>
        <v/>
      </c>
    </row>
    <row r="30070" spans="26:26" x14ac:dyDescent="0.2">
      <c r="Z30070" t="str">
        <f t="shared" si="469"/>
        <v/>
      </c>
    </row>
    <row r="30071" spans="26:26" x14ac:dyDescent="0.2">
      <c r="Z30071" t="str">
        <f t="shared" si="469"/>
        <v/>
      </c>
    </row>
    <row r="30072" spans="26:26" x14ac:dyDescent="0.2">
      <c r="Z30072" t="str">
        <f t="shared" si="469"/>
        <v/>
      </c>
    </row>
    <row r="30073" spans="26:26" x14ac:dyDescent="0.2">
      <c r="Z30073" t="str">
        <f t="shared" si="469"/>
        <v/>
      </c>
    </row>
    <row r="30074" spans="26:26" x14ac:dyDescent="0.2">
      <c r="Z30074" t="str">
        <f t="shared" si="469"/>
        <v/>
      </c>
    </row>
    <row r="30075" spans="26:26" x14ac:dyDescent="0.2">
      <c r="Z30075" t="str">
        <f t="shared" si="469"/>
        <v/>
      </c>
    </row>
    <row r="30076" spans="26:26" x14ac:dyDescent="0.2">
      <c r="Z30076" t="str">
        <f t="shared" si="469"/>
        <v/>
      </c>
    </row>
    <row r="30077" spans="26:26" x14ac:dyDescent="0.2">
      <c r="Z30077" t="str">
        <f t="shared" si="469"/>
        <v/>
      </c>
    </row>
    <row r="30078" spans="26:26" x14ac:dyDescent="0.2">
      <c r="Z30078" t="str">
        <f t="shared" si="469"/>
        <v/>
      </c>
    </row>
    <row r="30079" spans="26:26" x14ac:dyDescent="0.2">
      <c r="Z30079" t="str">
        <f t="shared" si="469"/>
        <v/>
      </c>
    </row>
    <row r="30080" spans="26:26" x14ac:dyDescent="0.2">
      <c r="Z30080" t="str">
        <f t="shared" si="469"/>
        <v/>
      </c>
    </row>
    <row r="30081" spans="26:26" x14ac:dyDescent="0.2">
      <c r="Z30081" t="str">
        <f t="shared" si="469"/>
        <v/>
      </c>
    </row>
    <row r="30082" spans="26:26" x14ac:dyDescent="0.2">
      <c r="Z30082" t="str">
        <f t="shared" si="469"/>
        <v/>
      </c>
    </row>
    <row r="30083" spans="26:26" x14ac:dyDescent="0.2">
      <c r="Z30083" t="str">
        <f t="shared" ref="Z30083:Z30146" si="470">IF(K30083="","",IFERROR(VALUE(TRIM(MID(K30083,FIND(CHAR(167),SUBSTITUTE(K30083,"-",CHAR(167),LEN(K30083)-LEN(SUBSTITUTE(K30083,"-",""))))+1,100))),K30083))</f>
        <v/>
      </c>
    </row>
    <row r="30084" spans="26:26" x14ac:dyDescent="0.2">
      <c r="Z30084" t="str">
        <f t="shared" si="470"/>
        <v/>
      </c>
    </row>
    <row r="30085" spans="26:26" x14ac:dyDescent="0.2">
      <c r="Z30085" t="str">
        <f t="shared" si="470"/>
        <v/>
      </c>
    </row>
    <row r="30086" spans="26:26" x14ac:dyDescent="0.2">
      <c r="Z30086" t="str">
        <f t="shared" si="470"/>
        <v/>
      </c>
    </row>
    <row r="30087" spans="26:26" x14ac:dyDescent="0.2">
      <c r="Z30087" t="str">
        <f t="shared" si="470"/>
        <v/>
      </c>
    </row>
    <row r="30088" spans="26:26" x14ac:dyDescent="0.2">
      <c r="Z30088" t="str">
        <f t="shared" si="470"/>
        <v/>
      </c>
    </row>
    <row r="30089" spans="26:26" x14ac:dyDescent="0.2">
      <c r="Z30089" t="str">
        <f t="shared" si="470"/>
        <v/>
      </c>
    </row>
    <row r="30090" spans="26:26" x14ac:dyDescent="0.2">
      <c r="Z30090" t="str">
        <f t="shared" si="470"/>
        <v/>
      </c>
    </row>
    <row r="30091" spans="26:26" x14ac:dyDescent="0.2">
      <c r="Z30091" t="str">
        <f t="shared" si="470"/>
        <v/>
      </c>
    </row>
    <row r="30092" spans="26:26" x14ac:dyDescent="0.2">
      <c r="Z30092" t="str">
        <f t="shared" si="470"/>
        <v/>
      </c>
    </row>
    <row r="30093" spans="26:26" x14ac:dyDescent="0.2">
      <c r="Z30093" t="str">
        <f t="shared" si="470"/>
        <v/>
      </c>
    </row>
    <row r="30094" spans="26:26" x14ac:dyDescent="0.2">
      <c r="Z30094" t="str">
        <f t="shared" si="470"/>
        <v/>
      </c>
    </row>
    <row r="30095" spans="26:26" x14ac:dyDescent="0.2">
      <c r="Z30095" t="str">
        <f t="shared" si="470"/>
        <v/>
      </c>
    </row>
    <row r="30096" spans="26:26" x14ac:dyDescent="0.2">
      <c r="Z30096" t="str">
        <f t="shared" si="470"/>
        <v/>
      </c>
    </row>
    <row r="30097" spans="26:26" x14ac:dyDescent="0.2">
      <c r="Z30097" t="str">
        <f t="shared" si="470"/>
        <v/>
      </c>
    </row>
    <row r="30098" spans="26:26" x14ac:dyDescent="0.2">
      <c r="Z30098" t="str">
        <f t="shared" si="470"/>
        <v/>
      </c>
    </row>
    <row r="30099" spans="26:26" x14ac:dyDescent="0.2">
      <c r="Z30099" t="str">
        <f t="shared" si="470"/>
        <v/>
      </c>
    </row>
    <row r="30100" spans="26:26" x14ac:dyDescent="0.2">
      <c r="Z30100" t="str">
        <f t="shared" si="470"/>
        <v/>
      </c>
    </row>
    <row r="30101" spans="26:26" x14ac:dyDescent="0.2">
      <c r="Z30101" t="str">
        <f t="shared" si="470"/>
        <v/>
      </c>
    </row>
    <row r="30102" spans="26:26" x14ac:dyDescent="0.2">
      <c r="Z30102" t="str">
        <f t="shared" si="470"/>
        <v/>
      </c>
    </row>
    <row r="30103" spans="26:26" x14ac:dyDescent="0.2">
      <c r="Z30103" t="str">
        <f t="shared" si="470"/>
        <v/>
      </c>
    </row>
    <row r="30104" spans="26:26" x14ac:dyDescent="0.2">
      <c r="Z30104" t="str">
        <f t="shared" si="470"/>
        <v/>
      </c>
    </row>
    <row r="30105" spans="26:26" x14ac:dyDescent="0.2">
      <c r="Z30105" t="str">
        <f t="shared" si="470"/>
        <v/>
      </c>
    </row>
    <row r="30106" spans="26:26" x14ac:dyDescent="0.2">
      <c r="Z30106" t="str">
        <f t="shared" si="470"/>
        <v/>
      </c>
    </row>
    <row r="30107" spans="26:26" x14ac:dyDescent="0.2">
      <c r="Z30107" t="str">
        <f t="shared" si="470"/>
        <v/>
      </c>
    </row>
    <row r="30108" spans="26:26" x14ac:dyDescent="0.2">
      <c r="Z30108" t="str">
        <f t="shared" si="470"/>
        <v/>
      </c>
    </row>
    <row r="30109" spans="26:26" x14ac:dyDescent="0.2">
      <c r="Z30109" t="str">
        <f t="shared" si="470"/>
        <v/>
      </c>
    </row>
    <row r="30110" spans="26:26" x14ac:dyDescent="0.2">
      <c r="Z30110" t="str">
        <f t="shared" si="470"/>
        <v/>
      </c>
    </row>
    <row r="30111" spans="26:26" x14ac:dyDescent="0.2">
      <c r="Z30111" t="str">
        <f t="shared" si="470"/>
        <v/>
      </c>
    </row>
    <row r="30112" spans="26:26" x14ac:dyDescent="0.2">
      <c r="Z30112" t="str">
        <f t="shared" si="470"/>
        <v/>
      </c>
    </row>
    <row r="30113" spans="26:26" x14ac:dyDescent="0.2">
      <c r="Z30113" t="str">
        <f t="shared" si="470"/>
        <v/>
      </c>
    </row>
    <row r="30114" spans="26:26" x14ac:dyDescent="0.2">
      <c r="Z30114" t="str">
        <f t="shared" si="470"/>
        <v/>
      </c>
    </row>
    <row r="30115" spans="26:26" x14ac:dyDescent="0.2">
      <c r="Z30115" t="str">
        <f t="shared" si="470"/>
        <v/>
      </c>
    </row>
    <row r="30116" spans="26:26" x14ac:dyDescent="0.2">
      <c r="Z30116" t="str">
        <f t="shared" si="470"/>
        <v/>
      </c>
    </row>
    <row r="30117" spans="26:26" x14ac:dyDescent="0.2">
      <c r="Z30117" t="str">
        <f t="shared" si="470"/>
        <v/>
      </c>
    </row>
    <row r="30118" spans="26:26" x14ac:dyDescent="0.2">
      <c r="Z30118" t="str">
        <f t="shared" si="470"/>
        <v/>
      </c>
    </row>
    <row r="30119" spans="26:26" x14ac:dyDescent="0.2">
      <c r="Z30119" t="str">
        <f t="shared" si="470"/>
        <v/>
      </c>
    </row>
    <row r="30120" spans="26:26" x14ac:dyDescent="0.2">
      <c r="Z30120" t="str">
        <f t="shared" si="470"/>
        <v/>
      </c>
    </row>
    <row r="30121" spans="26:26" x14ac:dyDescent="0.2">
      <c r="Z30121" t="str">
        <f t="shared" si="470"/>
        <v/>
      </c>
    </row>
    <row r="30122" spans="26:26" x14ac:dyDescent="0.2">
      <c r="Z30122" t="str">
        <f t="shared" si="470"/>
        <v/>
      </c>
    </row>
    <row r="30123" spans="26:26" x14ac:dyDescent="0.2">
      <c r="Z30123" t="str">
        <f t="shared" si="470"/>
        <v/>
      </c>
    </row>
    <row r="30124" spans="26:26" x14ac:dyDescent="0.2">
      <c r="Z30124" t="str">
        <f t="shared" si="470"/>
        <v/>
      </c>
    </row>
    <row r="30125" spans="26:26" x14ac:dyDescent="0.2">
      <c r="Z30125" t="str">
        <f t="shared" si="470"/>
        <v/>
      </c>
    </row>
    <row r="30126" spans="26:26" x14ac:dyDescent="0.2">
      <c r="Z30126" t="str">
        <f t="shared" si="470"/>
        <v/>
      </c>
    </row>
    <row r="30127" spans="26:26" x14ac:dyDescent="0.2">
      <c r="Z30127" t="str">
        <f t="shared" si="470"/>
        <v/>
      </c>
    </row>
    <row r="30128" spans="26:26" x14ac:dyDescent="0.2">
      <c r="Z30128" t="str">
        <f t="shared" si="470"/>
        <v/>
      </c>
    </row>
    <row r="30129" spans="26:26" x14ac:dyDescent="0.2">
      <c r="Z30129" t="str">
        <f t="shared" si="470"/>
        <v/>
      </c>
    </row>
    <row r="30130" spans="26:26" x14ac:dyDescent="0.2">
      <c r="Z30130" t="str">
        <f t="shared" si="470"/>
        <v/>
      </c>
    </row>
    <row r="30131" spans="26:26" x14ac:dyDescent="0.2">
      <c r="Z30131" t="str">
        <f t="shared" si="470"/>
        <v/>
      </c>
    </row>
    <row r="30132" spans="26:26" x14ac:dyDescent="0.2">
      <c r="Z30132" t="str">
        <f t="shared" si="470"/>
        <v/>
      </c>
    </row>
    <row r="30133" spans="26:26" x14ac:dyDescent="0.2">
      <c r="Z30133" t="str">
        <f t="shared" si="470"/>
        <v/>
      </c>
    </row>
    <row r="30134" spans="26:26" x14ac:dyDescent="0.2">
      <c r="Z30134" t="str">
        <f t="shared" si="470"/>
        <v/>
      </c>
    </row>
    <row r="30135" spans="26:26" x14ac:dyDescent="0.2">
      <c r="Z30135" t="str">
        <f t="shared" si="470"/>
        <v/>
      </c>
    </row>
    <row r="30136" spans="26:26" x14ac:dyDescent="0.2">
      <c r="Z30136" t="str">
        <f t="shared" si="470"/>
        <v/>
      </c>
    </row>
    <row r="30137" spans="26:26" x14ac:dyDescent="0.2">
      <c r="Z30137" t="str">
        <f t="shared" si="470"/>
        <v/>
      </c>
    </row>
    <row r="30138" spans="26:26" x14ac:dyDescent="0.2">
      <c r="Z30138" t="str">
        <f t="shared" si="470"/>
        <v/>
      </c>
    </row>
    <row r="30139" spans="26:26" x14ac:dyDescent="0.2">
      <c r="Z30139" t="str">
        <f t="shared" si="470"/>
        <v/>
      </c>
    </row>
    <row r="30140" spans="26:26" x14ac:dyDescent="0.2">
      <c r="Z30140" t="str">
        <f t="shared" si="470"/>
        <v/>
      </c>
    </row>
    <row r="30141" spans="26:26" x14ac:dyDescent="0.2">
      <c r="Z30141" t="str">
        <f t="shared" si="470"/>
        <v/>
      </c>
    </row>
    <row r="30142" spans="26:26" x14ac:dyDescent="0.2">
      <c r="Z30142" t="str">
        <f t="shared" si="470"/>
        <v/>
      </c>
    </row>
    <row r="30143" spans="26:26" x14ac:dyDescent="0.2">
      <c r="Z30143" t="str">
        <f t="shared" si="470"/>
        <v/>
      </c>
    </row>
    <row r="30144" spans="26:26" x14ac:dyDescent="0.2">
      <c r="Z30144" t="str">
        <f t="shared" si="470"/>
        <v/>
      </c>
    </row>
    <row r="30145" spans="26:26" x14ac:dyDescent="0.2">
      <c r="Z30145" t="str">
        <f t="shared" si="470"/>
        <v/>
      </c>
    </row>
    <row r="30146" spans="26:26" x14ac:dyDescent="0.2">
      <c r="Z30146" t="str">
        <f t="shared" si="470"/>
        <v/>
      </c>
    </row>
    <row r="30147" spans="26:26" x14ac:dyDescent="0.2">
      <c r="Z30147" t="str">
        <f t="shared" ref="Z30147:Z30210" si="471">IF(K30147="","",IFERROR(VALUE(TRIM(MID(K30147,FIND(CHAR(167),SUBSTITUTE(K30147,"-",CHAR(167),LEN(K30147)-LEN(SUBSTITUTE(K30147,"-",""))))+1,100))),K30147))</f>
        <v/>
      </c>
    </row>
    <row r="30148" spans="26:26" x14ac:dyDescent="0.2">
      <c r="Z30148" t="str">
        <f t="shared" si="471"/>
        <v/>
      </c>
    </row>
    <row r="30149" spans="26:26" x14ac:dyDescent="0.2">
      <c r="Z30149" t="str">
        <f t="shared" si="471"/>
        <v/>
      </c>
    </row>
    <row r="30150" spans="26:26" x14ac:dyDescent="0.2">
      <c r="Z30150" t="str">
        <f t="shared" si="471"/>
        <v/>
      </c>
    </row>
    <row r="30151" spans="26:26" x14ac:dyDescent="0.2">
      <c r="Z30151" t="str">
        <f t="shared" si="471"/>
        <v/>
      </c>
    </row>
    <row r="30152" spans="26:26" x14ac:dyDescent="0.2">
      <c r="Z30152" t="str">
        <f t="shared" si="471"/>
        <v/>
      </c>
    </row>
    <row r="30153" spans="26:26" x14ac:dyDescent="0.2">
      <c r="Z30153" t="str">
        <f t="shared" si="471"/>
        <v/>
      </c>
    </row>
    <row r="30154" spans="26:26" x14ac:dyDescent="0.2">
      <c r="Z30154" t="str">
        <f t="shared" si="471"/>
        <v/>
      </c>
    </row>
    <row r="30155" spans="26:26" x14ac:dyDescent="0.2">
      <c r="Z30155" t="str">
        <f t="shared" si="471"/>
        <v/>
      </c>
    </row>
    <row r="30156" spans="26:26" x14ac:dyDescent="0.2">
      <c r="Z30156" t="str">
        <f t="shared" si="471"/>
        <v/>
      </c>
    </row>
    <row r="30157" spans="26:26" x14ac:dyDescent="0.2">
      <c r="Z30157" t="str">
        <f t="shared" si="471"/>
        <v/>
      </c>
    </row>
    <row r="30158" spans="26:26" x14ac:dyDescent="0.2">
      <c r="Z30158" t="str">
        <f t="shared" si="471"/>
        <v/>
      </c>
    </row>
    <row r="30159" spans="26:26" x14ac:dyDescent="0.2">
      <c r="Z30159" t="str">
        <f t="shared" si="471"/>
        <v/>
      </c>
    </row>
    <row r="30160" spans="26:26" x14ac:dyDescent="0.2">
      <c r="Z30160" t="str">
        <f t="shared" si="471"/>
        <v/>
      </c>
    </row>
    <row r="30161" spans="26:26" x14ac:dyDescent="0.2">
      <c r="Z30161" t="str">
        <f t="shared" si="471"/>
        <v/>
      </c>
    </row>
    <row r="30162" spans="26:26" x14ac:dyDescent="0.2">
      <c r="Z30162" t="str">
        <f t="shared" si="471"/>
        <v/>
      </c>
    </row>
    <row r="30163" spans="26:26" x14ac:dyDescent="0.2">
      <c r="Z30163" t="str">
        <f t="shared" si="471"/>
        <v/>
      </c>
    </row>
    <row r="30164" spans="26:26" x14ac:dyDescent="0.2">
      <c r="Z30164" t="str">
        <f t="shared" si="471"/>
        <v/>
      </c>
    </row>
    <row r="30165" spans="26:26" x14ac:dyDescent="0.2">
      <c r="Z30165" t="str">
        <f t="shared" si="471"/>
        <v/>
      </c>
    </row>
    <row r="30166" spans="26:26" x14ac:dyDescent="0.2">
      <c r="Z30166" t="str">
        <f t="shared" si="471"/>
        <v/>
      </c>
    </row>
    <row r="30167" spans="26:26" x14ac:dyDescent="0.2">
      <c r="Z30167" t="str">
        <f t="shared" si="471"/>
        <v/>
      </c>
    </row>
    <row r="30168" spans="26:26" x14ac:dyDescent="0.2">
      <c r="Z30168" t="str">
        <f t="shared" si="471"/>
        <v/>
      </c>
    </row>
    <row r="30169" spans="26:26" x14ac:dyDescent="0.2">
      <c r="Z30169" t="str">
        <f t="shared" si="471"/>
        <v/>
      </c>
    </row>
    <row r="30170" spans="26:26" x14ac:dyDescent="0.2">
      <c r="Z30170" t="str">
        <f t="shared" si="471"/>
        <v/>
      </c>
    </row>
    <row r="30171" spans="26:26" x14ac:dyDescent="0.2">
      <c r="Z30171" t="str">
        <f t="shared" si="471"/>
        <v/>
      </c>
    </row>
    <row r="30172" spans="26:26" x14ac:dyDescent="0.2">
      <c r="Z30172" t="str">
        <f t="shared" si="471"/>
        <v/>
      </c>
    </row>
    <row r="30173" spans="26:26" x14ac:dyDescent="0.2">
      <c r="Z30173" t="str">
        <f t="shared" si="471"/>
        <v/>
      </c>
    </row>
    <row r="30174" spans="26:26" x14ac:dyDescent="0.2">
      <c r="Z30174" t="str">
        <f t="shared" si="471"/>
        <v/>
      </c>
    </row>
    <row r="30175" spans="26:26" x14ac:dyDescent="0.2">
      <c r="Z30175" t="str">
        <f t="shared" si="471"/>
        <v/>
      </c>
    </row>
    <row r="30176" spans="26:26" x14ac:dyDescent="0.2">
      <c r="Z30176" t="str">
        <f t="shared" si="471"/>
        <v/>
      </c>
    </row>
    <row r="30177" spans="26:26" x14ac:dyDescent="0.2">
      <c r="Z30177" t="str">
        <f t="shared" si="471"/>
        <v/>
      </c>
    </row>
    <row r="30178" spans="26:26" x14ac:dyDescent="0.2">
      <c r="Z30178" t="str">
        <f t="shared" si="471"/>
        <v/>
      </c>
    </row>
    <row r="30179" spans="26:26" x14ac:dyDescent="0.2">
      <c r="Z30179" t="str">
        <f t="shared" si="471"/>
        <v/>
      </c>
    </row>
    <row r="30180" spans="26:26" x14ac:dyDescent="0.2">
      <c r="Z30180" t="str">
        <f t="shared" si="471"/>
        <v/>
      </c>
    </row>
    <row r="30181" spans="26:26" x14ac:dyDescent="0.2">
      <c r="Z30181" t="str">
        <f t="shared" si="471"/>
        <v/>
      </c>
    </row>
    <row r="30182" spans="26:26" x14ac:dyDescent="0.2">
      <c r="Z30182" t="str">
        <f t="shared" si="471"/>
        <v/>
      </c>
    </row>
    <row r="30183" spans="26:26" x14ac:dyDescent="0.2">
      <c r="Z30183" t="str">
        <f t="shared" si="471"/>
        <v/>
      </c>
    </row>
    <row r="30184" spans="26:26" x14ac:dyDescent="0.2">
      <c r="Z30184" t="str">
        <f t="shared" si="471"/>
        <v/>
      </c>
    </row>
    <row r="30185" spans="26:26" x14ac:dyDescent="0.2">
      <c r="Z30185" t="str">
        <f t="shared" si="471"/>
        <v/>
      </c>
    </row>
    <row r="30186" spans="26:26" x14ac:dyDescent="0.2">
      <c r="Z30186" t="str">
        <f t="shared" si="471"/>
        <v/>
      </c>
    </row>
    <row r="30187" spans="26:26" x14ac:dyDescent="0.2">
      <c r="Z30187" t="str">
        <f t="shared" si="471"/>
        <v/>
      </c>
    </row>
    <row r="30188" spans="26:26" x14ac:dyDescent="0.2">
      <c r="Z30188" t="str">
        <f t="shared" si="471"/>
        <v/>
      </c>
    </row>
    <row r="30189" spans="26:26" x14ac:dyDescent="0.2">
      <c r="Z30189" t="str">
        <f t="shared" si="471"/>
        <v/>
      </c>
    </row>
    <row r="30190" spans="26:26" x14ac:dyDescent="0.2">
      <c r="Z30190" t="str">
        <f t="shared" si="471"/>
        <v/>
      </c>
    </row>
    <row r="30191" spans="26:26" x14ac:dyDescent="0.2">
      <c r="Z30191" t="str">
        <f t="shared" si="471"/>
        <v/>
      </c>
    </row>
    <row r="30192" spans="26:26" x14ac:dyDescent="0.2">
      <c r="Z30192" t="str">
        <f t="shared" si="471"/>
        <v/>
      </c>
    </row>
    <row r="30193" spans="26:26" x14ac:dyDescent="0.2">
      <c r="Z30193" t="str">
        <f t="shared" si="471"/>
        <v/>
      </c>
    </row>
    <row r="30194" spans="26:26" x14ac:dyDescent="0.2">
      <c r="Z30194" t="str">
        <f t="shared" si="471"/>
        <v/>
      </c>
    </row>
    <row r="30195" spans="26:26" x14ac:dyDescent="0.2">
      <c r="Z30195" t="str">
        <f t="shared" si="471"/>
        <v/>
      </c>
    </row>
    <row r="30196" spans="26:26" x14ac:dyDescent="0.2">
      <c r="Z30196" t="str">
        <f t="shared" si="471"/>
        <v/>
      </c>
    </row>
    <row r="30197" spans="26:26" x14ac:dyDescent="0.2">
      <c r="Z30197" t="str">
        <f t="shared" si="471"/>
        <v/>
      </c>
    </row>
    <row r="30198" spans="26:26" x14ac:dyDescent="0.2">
      <c r="Z30198" t="str">
        <f t="shared" si="471"/>
        <v/>
      </c>
    </row>
    <row r="30199" spans="26:26" x14ac:dyDescent="0.2">
      <c r="Z30199" t="str">
        <f t="shared" si="471"/>
        <v/>
      </c>
    </row>
    <row r="30200" spans="26:26" x14ac:dyDescent="0.2">
      <c r="Z30200" t="str">
        <f t="shared" si="471"/>
        <v/>
      </c>
    </row>
    <row r="30201" spans="26:26" x14ac:dyDescent="0.2">
      <c r="Z30201" t="str">
        <f t="shared" si="471"/>
        <v/>
      </c>
    </row>
    <row r="30202" spans="26:26" x14ac:dyDescent="0.2">
      <c r="Z30202" t="str">
        <f t="shared" si="471"/>
        <v/>
      </c>
    </row>
    <row r="30203" spans="26:26" x14ac:dyDescent="0.2">
      <c r="Z30203" t="str">
        <f t="shared" si="471"/>
        <v/>
      </c>
    </row>
    <row r="30204" spans="26:26" x14ac:dyDescent="0.2">
      <c r="Z30204" t="str">
        <f t="shared" si="471"/>
        <v/>
      </c>
    </row>
    <row r="30205" spans="26:26" x14ac:dyDescent="0.2">
      <c r="Z30205" t="str">
        <f t="shared" si="471"/>
        <v/>
      </c>
    </row>
    <row r="30206" spans="26:26" x14ac:dyDescent="0.2">
      <c r="Z30206" t="str">
        <f t="shared" si="471"/>
        <v/>
      </c>
    </row>
    <row r="30207" spans="26:26" x14ac:dyDescent="0.2">
      <c r="Z30207" t="str">
        <f t="shared" si="471"/>
        <v/>
      </c>
    </row>
    <row r="30208" spans="26:26" x14ac:dyDescent="0.2">
      <c r="Z30208" t="str">
        <f t="shared" si="471"/>
        <v/>
      </c>
    </row>
    <row r="30209" spans="26:26" x14ac:dyDescent="0.2">
      <c r="Z30209" t="str">
        <f t="shared" si="471"/>
        <v/>
      </c>
    </row>
    <row r="30210" spans="26:26" x14ac:dyDescent="0.2">
      <c r="Z30210" t="str">
        <f t="shared" si="471"/>
        <v/>
      </c>
    </row>
    <row r="30211" spans="26:26" x14ac:dyDescent="0.2">
      <c r="Z30211" t="str">
        <f t="shared" ref="Z30211:Z30274" si="472">IF(K30211="","",IFERROR(VALUE(TRIM(MID(K30211,FIND(CHAR(167),SUBSTITUTE(K30211,"-",CHAR(167),LEN(K30211)-LEN(SUBSTITUTE(K30211,"-",""))))+1,100))),K30211))</f>
        <v/>
      </c>
    </row>
    <row r="30212" spans="26:26" x14ac:dyDescent="0.2">
      <c r="Z30212" t="str">
        <f t="shared" si="472"/>
        <v/>
      </c>
    </row>
    <row r="30213" spans="26:26" x14ac:dyDescent="0.2">
      <c r="Z30213" t="str">
        <f t="shared" si="472"/>
        <v/>
      </c>
    </row>
    <row r="30214" spans="26:26" x14ac:dyDescent="0.2">
      <c r="Z30214" t="str">
        <f t="shared" si="472"/>
        <v/>
      </c>
    </row>
    <row r="30215" spans="26:26" x14ac:dyDescent="0.2">
      <c r="Z30215" t="str">
        <f t="shared" si="472"/>
        <v/>
      </c>
    </row>
    <row r="30216" spans="26:26" x14ac:dyDescent="0.2">
      <c r="Z30216" t="str">
        <f t="shared" si="472"/>
        <v/>
      </c>
    </row>
    <row r="30217" spans="26:26" x14ac:dyDescent="0.2">
      <c r="Z30217" t="str">
        <f t="shared" si="472"/>
        <v/>
      </c>
    </row>
    <row r="30218" spans="26:26" x14ac:dyDescent="0.2">
      <c r="Z30218" t="str">
        <f t="shared" si="472"/>
        <v/>
      </c>
    </row>
    <row r="30219" spans="26:26" x14ac:dyDescent="0.2">
      <c r="Z30219" t="str">
        <f t="shared" si="472"/>
        <v/>
      </c>
    </row>
    <row r="30220" spans="26:26" x14ac:dyDescent="0.2">
      <c r="Z30220" t="str">
        <f t="shared" si="472"/>
        <v/>
      </c>
    </row>
    <row r="30221" spans="26:26" x14ac:dyDescent="0.2">
      <c r="Z30221" t="str">
        <f t="shared" si="472"/>
        <v/>
      </c>
    </row>
    <row r="30222" spans="26:26" x14ac:dyDescent="0.2">
      <c r="Z30222" t="str">
        <f t="shared" si="472"/>
        <v/>
      </c>
    </row>
    <row r="30223" spans="26:26" x14ac:dyDescent="0.2">
      <c r="Z30223" t="str">
        <f t="shared" si="472"/>
        <v/>
      </c>
    </row>
    <row r="30224" spans="26:26" x14ac:dyDescent="0.2">
      <c r="Z30224" t="str">
        <f t="shared" si="472"/>
        <v/>
      </c>
    </row>
    <row r="30225" spans="26:26" x14ac:dyDescent="0.2">
      <c r="Z30225" t="str">
        <f t="shared" si="472"/>
        <v/>
      </c>
    </row>
    <row r="30226" spans="26:26" x14ac:dyDescent="0.2">
      <c r="Z30226" t="str">
        <f t="shared" si="472"/>
        <v/>
      </c>
    </row>
    <row r="30227" spans="26:26" x14ac:dyDescent="0.2">
      <c r="Z30227" t="str">
        <f t="shared" si="472"/>
        <v/>
      </c>
    </row>
    <row r="30228" spans="26:26" x14ac:dyDescent="0.2">
      <c r="Z30228" t="str">
        <f t="shared" si="472"/>
        <v/>
      </c>
    </row>
    <row r="30229" spans="26:26" x14ac:dyDescent="0.2">
      <c r="Z30229" t="str">
        <f t="shared" si="472"/>
        <v/>
      </c>
    </row>
    <row r="30230" spans="26:26" x14ac:dyDescent="0.2">
      <c r="Z30230" t="str">
        <f t="shared" si="472"/>
        <v/>
      </c>
    </row>
    <row r="30231" spans="26:26" x14ac:dyDescent="0.2">
      <c r="Z30231" t="str">
        <f t="shared" si="472"/>
        <v/>
      </c>
    </row>
    <row r="30232" spans="26:26" x14ac:dyDescent="0.2">
      <c r="Z30232" t="str">
        <f t="shared" si="472"/>
        <v/>
      </c>
    </row>
    <row r="30233" spans="26:26" x14ac:dyDescent="0.2">
      <c r="Z30233" t="str">
        <f t="shared" si="472"/>
        <v/>
      </c>
    </row>
    <row r="30234" spans="26:26" x14ac:dyDescent="0.2">
      <c r="Z30234" t="str">
        <f t="shared" si="472"/>
        <v/>
      </c>
    </row>
    <row r="30235" spans="26:26" x14ac:dyDescent="0.2">
      <c r="Z30235" t="str">
        <f t="shared" si="472"/>
        <v/>
      </c>
    </row>
    <row r="30236" spans="26:26" x14ac:dyDescent="0.2">
      <c r="Z30236" t="str">
        <f t="shared" si="472"/>
        <v/>
      </c>
    </row>
    <row r="30237" spans="26:26" x14ac:dyDescent="0.2">
      <c r="Z30237" t="str">
        <f t="shared" si="472"/>
        <v/>
      </c>
    </row>
    <row r="30238" spans="26:26" x14ac:dyDescent="0.2">
      <c r="Z30238" t="str">
        <f t="shared" si="472"/>
        <v/>
      </c>
    </row>
    <row r="30239" spans="26:26" x14ac:dyDescent="0.2">
      <c r="Z30239" t="str">
        <f t="shared" si="472"/>
        <v/>
      </c>
    </row>
    <row r="30240" spans="26:26" x14ac:dyDescent="0.2">
      <c r="Z30240" t="str">
        <f t="shared" si="472"/>
        <v/>
      </c>
    </row>
    <row r="30241" spans="26:26" x14ac:dyDescent="0.2">
      <c r="Z30241" t="str">
        <f t="shared" si="472"/>
        <v/>
      </c>
    </row>
    <row r="30242" spans="26:26" x14ac:dyDescent="0.2">
      <c r="Z30242" t="str">
        <f t="shared" si="472"/>
        <v/>
      </c>
    </row>
    <row r="30243" spans="26:26" x14ac:dyDescent="0.2">
      <c r="Z30243" t="str">
        <f t="shared" si="472"/>
        <v/>
      </c>
    </row>
    <row r="30244" spans="26:26" x14ac:dyDescent="0.2">
      <c r="Z30244" t="str">
        <f t="shared" si="472"/>
        <v/>
      </c>
    </row>
    <row r="30245" spans="26:26" x14ac:dyDescent="0.2">
      <c r="Z30245" t="str">
        <f t="shared" si="472"/>
        <v/>
      </c>
    </row>
    <row r="30246" spans="26:26" x14ac:dyDescent="0.2">
      <c r="Z30246" t="str">
        <f t="shared" si="472"/>
        <v/>
      </c>
    </row>
    <row r="30247" spans="26:26" x14ac:dyDescent="0.2">
      <c r="Z30247" t="str">
        <f t="shared" si="472"/>
        <v/>
      </c>
    </row>
    <row r="30248" spans="26:26" x14ac:dyDescent="0.2">
      <c r="Z30248" t="str">
        <f t="shared" si="472"/>
        <v/>
      </c>
    </row>
    <row r="30249" spans="26:26" x14ac:dyDescent="0.2">
      <c r="Z30249" t="str">
        <f t="shared" si="472"/>
        <v/>
      </c>
    </row>
    <row r="30250" spans="26:26" x14ac:dyDescent="0.2">
      <c r="Z30250" t="str">
        <f t="shared" si="472"/>
        <v/>
      </c>
    </row>
    <row r="30251" spans="26:26" x14ac:dyDescent="0.2">
      <c r="Z30251" t="str">
        <f t="shared" si="472"/>
        <v/>
      </c>
    </row>
    <row r="30252" spans="26:26" x14ac:dyDescent="0.2">
      <c r="Z30252" t="str">
        <f t="shared" si="472"/>
        <v/>
      </c>
    </row>
    <row r="30253" spans="26:26" x14ac:dyDescent="0.2">
      <c r="Z30253" t="str">
        <f t="shared" si="472"/>
        <v/>
      </c>
    </row>
    <row r="30254" spans="26:26" x14ac:dyDescent="0.2">
      <c r="Z30254" t="str">
        <f t="shared" si="472"/>
        <v/>
      </c>
    </row>
    <row r="30255" spans="26:26" x14ac:dyDescent="0.2">
      <c r="Z30255" t="str">
        <f t="shared" si="472"/>
        <v/>
      </c>
    </row>
    <row r="30256" spans="26:26" x14ac:dyDescent="0.2">
      <c r="Z30256" t="str">
        <f t="shared" si="472"/>
        <v/>
      </c>
    </row>
    <row r="30257" spans="26:26" x14ac:dyDescent="0.2">
      <c r="Z30257" t="str">
        <f t="shared" si="472"/>
        <v/>
      </c>
    </row>
    <row r="30258" spans="26:26" x14ac:dyDescent="0.2">
      <c r="Z30258" t="str">
        <f t="shared" si="472"/>
        <v/>
      </c>
    </row>
    <row r="30259" spans="26:26" x14ac:dyDescent="0.2">
      <c r="Z30259" t="str">
        <f t="shared" si="472"/>
        <v/>
      </c>
    </row>
    <row r="30260" spans="26:26" x14ac:dyDescent="0.2">
      <c r="Z30260" t="str">
        <f t="shared" si="472"/>
        <v/>
      </c>
    </row>
    <row r="30261" spans="26:26" x14ac:dyDescent="0.2">
      <c r="Z30261" t="str">
        <f t="shared" si="472"/>
        <v/>
      </c>
    </row>
    <row r="30262" spans="26:26" x14ac:dyDescent="0.2">
      <c r="Z30262" t="str">
        <f t="shared" si="472"/>
        <v/>
      </c>
    </row>
    <row r="30263" spans="26:26" x14ac:dyDescent="0.2">
      <c r="Z30263" t="str">
        <f t="shared" si="472"/>
        <v/>
      </c>
    </row>
    <row r="30264" spans="26:26" x14ac:dyDescent="0.2">
      <c r="Z30264" t="str">
        <f t="shared" si="472"/>
        <v/>
      </c>
    </row>
    <row r="30265" spans="26:26" x14ac:dyDescent="0.2">
      <c r="Z30265" t="str">
        <f t="shared" si="472"/>
        <v/>
      </c>
    </row>
    <row r="30266" spans="26:26" x14ac:dyDescent="0.2">
      <c r="Z30266" t="str">
        <f t="shared" si="472"/>
        <v/>
      </c>
    </row>
    <row r="30267" spans="26:26" x14ac:dyDescent="0.2">
      <c r="Z30267" t="str">
        <f t="shared" si="472"/>
        <v/>
      </c>
    </row>
    <row r="30268" spans="26:26" x14ac:dyDescent="0.2">
      <c r="Z30268" t="str">
        <f t="shared" si="472"/>
        <v/>
      </c>
    </row>
    <row r="30269" spans="26:26" x14ac:dyDescent="0.2">
      <c r="Z30269" t="str">
        <f t="shared" si="472"/>
        <v/>
      </c>
    </row>
    <row r="30270" spans="26:26" x14ac:dyDescent="0.2">
      <c r="Z30270" t="str">
        <f t="shared" si="472"/>
        <v/>
      </c>
    </row>
    <row r="30271" spans="26:26" x14ac:dyDescent="0.2">
      <c r="Z30271" t="str">
        <f t="shared" si="472"/>
        <v/>
      </c>
    </row>
    <row r="30272" spans="26:26" x14ac:dyDescent="0.2">
      <c r="Z30272" t="str">
        <f t="shared" si="472"/>
        <v/>
      </c>
    </row>
    <row r="30273" spans="26:26" x14ac:dyDescent="0.2">
      <c r="Z30273" t="str">
        <f t="shared" si="472"/>
        <v/>
      </c>
    </row>
    <row r="30274" spans="26:26" x14ac:dyDescent="0.2">
      <c r="Z30274" t="str">
        <f t="shared" si="472"/>
        <v/>
      </c>
    </row>
    <row r="30275" spans="26:26" x14ac:dyDescent="0.2">
      <c r="Z30275" t="str">
        <f t="shared" ref="Z30275:Z30338" si="473">IF(K30275="","",IFERROR(VALUE(TRIM(MID(K30275,FIND(CHAR(167),SUBSTITUTE(K30275,"-",CHAR(167),LEN(K30275)-LEN(SUBSTITUTE(K30275,"-",""))))+1,100))),K30275))</f>
        <v/>
      </c>
    </row>
    <row r="30276" spans="26:26" x14ac:dyDescent="0.2">
      <c r="Z30276" t="str">
        <f t="shared" si="473"/>
        <v/>
      </c>
    </row>
    <row r="30277" spans="26:26" x14ac:dyDescent="0.2">
      <c r="Z30277" t="str">
        <f t="shared" si="473"/>
        <v/>
      </c>
    </row>
    <row r="30278" spans="26:26" x14ac:dyDescent="0.2">
      <c r="Z30278" t="str">
        <f t="shared" si="473"/>
        <v/>
      </c>
    </row>
    <row r="30279" spans="26:26" x14ac:dyDescent="0.2">
      <c r="Z30279" t="str">
        <f t="shared" si="473"/>
        <v/>
      </c>
    </row>
    <row r="30280" spans="26:26" x14ac:dyDescent="0.2">
      <c r="Z30280" t="str">
        <f t="shared" si="473"/>
        <v/>
      </c>
    </row>
    <row r="30281" spans="26:26" x14ac:dyDescent="0.2">
      <c r="Z30281" t="str">
        <f t="shared" si="473"/>
        <v/>
      </c>
    </row>
    <row r="30282" spans="26:26" x14ac:dyDescent="0.2">
      <c r="Z30282" t="str">
        <f t="shared" si="473"/>
        <v/>
      </c>
    </row>
    <row r="30283" spans="26:26" x14ac:dyDescent="0.2">
      <c r="Z30283" t="str">
        <f t="shared" si="473"/>
        <v/>
      </c>
    </row>
    <row r="30284" spans="26:26" x14ac:dyDescent="0.2">
      <c r="Z30284" t="str">
        <f t="shared" si="473"/>
        <v/>
      </c>
    </row>
    <row r="30285" spans="26:26" x14ac:dyDescent="0.2">
      <c r="Z30285" t="str">
        <f t="shared" si="473"/>
        <v/>
      </c>
    </row>
    <row r="30286" spans="26:26" x14ac:dyDescent="0.2">
      <c r="Z30286" t="str">
        <f t="shared" si="473"/>
        <v/>
      </c>
    </row>
    <row r="30287" spans="26:26" x14ac:dyDescent="0.2">
      <c r="Z30287" t="str">
        <f t="shared" si="473"/>
        <v/>
      </c>
    </row>
    <row r="30288" spans="26:26" x14ac:dyDescent="0.2">
      <c r="Z30288" t="str">
        <f t="shared" si="473"/>
        <v/>
      </c>
    </row>
    <row r="30289" spans="26:26" x14ac:dyDescent="0.2">
      <c r="Z30289" t="str">
        <f t="shared" si="473"/>
        <v/>
      </c>
    </row>
    <row r="30290" spans="26:26" x14ac:dyDescent="0.2">
      <c r="Z30290" t="str">
        <f t="shared" si="473"/>
        <v/>
      </c>
    </row>
    <row r="30291" spans="26:26" x14ac:dyDescent="0.2">
      <c r="Z30291" t="str">
        <f t="shared" si="473"/>
        <v/>
      </c>
    </row>
    <row r="30292" spans="26:26" x14ac:dyDescent="0.2">
      <c r="Z30292" t="str">
        <f t="shared" si="473"/>
        <v/>
      </c>
    </row>
    <row r="30293" spans="26:26" x14ac:dyDescent="0.2">
      <c r="Z30293" t="str">
        <f t="shared" si="473"/>
        <v/>
      </c>
    </row>
    <row r="30294" spans="26:26" x14ac:dyDescent="0.2">
      <c r="Z30294" t="str">
        <f t="shared" si="473"/>
        <v/>
      </c>
    </row>
    <row r="30295" spans="26:26" x14ac:dyDescent="0.2">
      <c r="Z30295" t="str">
        <f t="shared" si="473"/>
        <v/>
      </c>
    </row>
    <row r="30296" spans="26:26" x14ac:dyDescent="0.2">
      <c r="Z30296" t="str">
        <f t="shared" si="473"/>
        <v/>
      </c>
    </row>
    <row r="30297" spans="26:26" x14ac:dyDescent="0.2">
      <c r="Z30297" t="str">
        <f t="shared" si="473"/>
        <v/>
      </c>
    </row>
    <row r="30298" spans="26:26" x14ac:dyDescent="0.2">
      <c r="Z30298" t="str">
        <f t="shared" si="473"/>
        <v/>
      </c>
    </row>
    <row r="30299" spans="26:26" x14ac:dyDescent="0.2">
      <c r="Z30299" t="str">
        <f t="shared" si="473"/>
        <v/>
      </c>
    </row>
    <row r="30300" spans="26:26" x14ac:dyDescent="0.2">
      <c r="Z30300" t="str">
        <f t="shared" si="473"/>
        <v/>
      </c>
    </row>
    <row r="30301" spans="26:26" x14ac:dyDescent="0.2">
      <c r="Z30301" t="str">
        <f t="shared" si="473"/>
        <v/>
      </c>
    </row>
    <row r="30302" spans="26:26" x14ac:dyDescent="0.2">
      <c r="Z30302" t="str">
        <f t="shared" si="473"/>
        <v/>
      </c>
    </row>
    <row r="30303" spans="26:26" x14ac:dyDescent="0.2">
      <c r="Z30303" t="str">
        <f t="shared" si="473"/>
        <v/>
      </c>
    </row>
    <row r="30304" spans="26:26" x14ac:dyDescent="0.2">
      <c r="Z30304" t="str">
        <f t="shared" si="473"/>
        <v/>
      </c>
    </row>
    <row r="30305" spans="26:26" x14ac:dyDescent="0.2">
      <c r="Z30305" t="str">
        <f t="shared" si="473"/>
        <v/>
      </c>
    </row>
    <row r="30306" spans="26:26" x14ac:dyDescent="0.2">
      <c r="Z30306" t="str">
        <f t="shared" si="473"/>
        <v/>
      </c>
    </row>
    <row r="30307" spans="26:26" x14ac:dyDescent="0.2">
      <c r="Z30307" t="str">
        <f t="shared" si="473"/>
        <v/>
      </c>
    </row>
    <row r="30308" spans="26:26" x14ac:dyDescent="0.2">
      <c r="Z30308" t="str">
        <f t="shared" si="473"/>
        <v/>
      </c>
    </row>
    <row r="30309" spans="26:26" x14ac:dyDescent="0.2">
      <c r="Z30309" t="str">
        <f t="shared" si="473"/>
        <v/>
      </c>
    </row>
    <row r="30310" spans="26:26" x14ac:dyDescent="0.2">
      <c r="Z30310" t="str">
        <f t="shared" si="473"/>
        <v/>
      </c>
    </row>
    <row r="30311" spans="26:26" x14ac:dyDescent="0.2">
      <c r="Z30311" t="str">
        <f t="shared" si="473"/>
        <v/>
      </c>
    </row>
    <row r="30312" spans="26:26" x14ac:dyDescent="0.2">
      <c r="Z30312" t="str">
        <f t="shared" si="473"/>
        <v/>
      </c>
    </row>
    <row r="30313" spans="26:26" x14ac:dyDescent="0.2">
      <c r="Z30313" t="str">
        <f t="shared" si="473"/>
        <v/>
      </c>
    </row>
    <row r="30314" spans="26:26" x14ac:dyDescent="0.2">
      <c r="Z30314" t="str">
        <f t="shared" si="473"/>
        <v/>
      </c>
    </row>
    <row r="30315" spans="26:26" x14ac:dyDescent="0.2">
      <c r="Z30315" t="str">
        <f t="shared" si="473"/>
        <v/>
      </c>
    </row>
    <row r="30316" spans="26:26" x14ac:dyDescent="0.2">
      <c r="Z30316" t="str">
        <f t="shared" si="473"/>
        <v/>
      </c>
    </row>
    <row r="30317" spans="26:26" x14ac:dyDescent="0.2">
      <c r="Z30317" t="str">
        <f t="shared" si="473"/>
        <v/>
      </c>
    </row>
    <row r="30318" spans="26:26" x14ac:dyDescent="0.2">
      <c r="Z30318" t="str">
        <f t="shared" si="473"/>
        <v/>
      </c>
    </row>
    <row r="30319" spans="26:26" x14ac:dyDescent="0.2">
      <c r="Z30319" t="str">
        <f t="shared" si="473"/>
        <v/>
      </c>
    </row>
    <row r="30320" spans="26:26" x14ac:dyDescent="0.2">
      <c r="Z30320" t="str">
        <f t="shared" si="473"/>
        <v/>
      </c>
    </row>
    <row r="30321" spans="26:26" x14ac:dyDescent="0.2">
      <c r="Z30321" t="str">
        <f t="shared" si="473"/>
        <v/>
      </c>
    </row>
    <row r="30322" spans="26:26" x14ac:dyDescent="0.2">
      <c r="Z30322" t="str">
        <f t="shared" si="473"/>
        <v/>
      </c>
    </row>
    <row r="30323" spans="26:26" x14ac:dyDescent="0.2">
      <c r="Z30323" t="str">
        <f t="shared" si="473"/>
        <v/>
      </c>
    </row>
    <row r="30324" spans="26:26" x14ac:dyDescent="0.2">
      <c r="Z30324" t="str">
        <f t="shared" si="473"/>
        <v/>
      </c>
    </row>
    <row r="30325" spans="26:26" x14ac:dyDescent="0.2">
      <c r="Z30325" t="str">
        <f t="shared" si="473"/>
        <v/>
      </c>
    </row>
    <row r="30326" spans="26:26" x14ac:dyDescent="0.2">
      <c r="Z30326" t="str">
        <f t="shared" si="473"/>
        <v/>
      </c>
    </row>
    <row r="30327" spans="26:26" x14ac:dyDescent="0.2">
      <c r="Z30327" t="str">
        <f t="shared" si="473"/>
        <v/>
      </c>
    </row>
    <row r="30328" spans="26:26" x14ac:dyDescent="0.2">
      <c r="Z30328" t="str">
        <f t="shared" si="473"/>
        <v/>
      </c>
    </row>
    <row r="30329" spans="26:26" x14ac:dyDescent="0.2">
      <c r="Z30329" t="str">
        <f t="shared" si="473"/>
        <v/>
      </c>
    </row>
    <row r="30330" spans="26:26" x14ac:dyDescent="0.2">
      <c r="Z30330" t="str">
        <f t="shared" si="473"/>
        <v/>
      </c>
    </row>
    <row r="30331" spans="26:26" x14ac:dyDescent="0.2">
      <c r="Z30331" t="str">
        <f t="shared" si="473"/>
        <v/>
      </c>
    </row>
    <row r="30332" spans="26:26" x14ac:dyDescent="0.2">
      <c r="Z30332" t="str">
        <f t="shared" si="473"/>
        <v/>
      </c>
    </row>
    <row r="30333" spans="26:26" x14ac:dyDescent="0.2">
      <c r="Z30333" t="str">
        <f t="shared" si="473"/>
        <v/>
      </c>
    </row>
    <row r="30334" spans="26:26" x14ac:dyDescent="0.2">
      <c r="Z30334" t="str">
        <f t="shared" si="473"/>
        <v/>
      </c>
    </row>
    <row r="30335" spans="26:26" x14ac:dyDescent="0.2">
      <c r="Z30335" t="str">
        <f t="shared" si="473"/>
        <v/>
      </c>
    </row>
    <row r="30336" spans="26:26" x14ac:dyDescent="0.2">
      <c r="Z30336" t="str">
        <f t="shared" si="473"/>
        <v/>
      </c>
    </row>
    <row r="30337" spans="26:26" x14ac:dyDescent="0.2">
      <c r="Z30337" t="str">
        <f t="shared" si="473"/>
        <v/>
      </c>
    </row>
    <row r="30338" spans="26:26" x14ac:dyDescent="0.2">
      <c r="Z30338" t="str">
        <f t="shared" si="473"/>
        <v/>
      </c>
    </row>
    <row r="30339" spans="26:26" x14ac:dyDescent="0.2">
      <c r="Z30339" t="str">
        <f t="shared" ref="Z30339:Z30402" si="474">IF(K30339="","",IFERROR(VALUE(TRIM(MID(K30339,FIND(CHAR(167),SUBSTITUTE(K30339,"-",CHAR(167),LEN(K30339)-LEN(SUBSTITUTE(K30339,"-",""))))+1,100))),K30339))</f>
        <v/>
      </c>
    </row>
    <row r="30340" spans="26:26" x14ac:dyDescent="0.2">
      <c r="Z30340" t="str">
        <f t="shared" si="474"/>
        <v/>
      </c>
    </row>
    <row r="30341" spans="26:26" x14ac:dyDescent="0.2">
      <c r="Z30341" t="str">
        <f t="shared" si="474"/>
        <v/>
      </c>
    </row>
    <row r="30342" spans="26:26" x14ac:dyDescent="0.2">
      <c r="Z30342" t="str">
        <f t="shared" si="474"/>
        <v/>
      </c>
    </row>
    <row r="30343" spans="26:26" x14ac:dyDescent="0.2">
      <c r="Z30343" t="str">
        <f t="shared" si="474"/>
        <v/>
      </c>
    </row>
    <row r="30344" spans="26:26" x14ac:dyDescent="0.2">
      <c r="Z30344" t="str">
        <f t="shared" si="474"/>
        <v/>
      </c>
    </row>
    <row r="30345" spans="26:26" x14ac:dyDescent="0.2">
      <c r="Z30345" t="str">
        <f t="shared" si="474"/>
        <v/>
      </c>
    </row>
    <row r="30346" spans="26:26" x14ac:dyDescent="0.2">
      <c r="Z30346" t="str">
        <f t="shared" si="474"/>
        <v/>
      </c>
    </row>
    <row r="30347" spans="26:26" x14ac:dyDescent="0.2">
      <c r="Z30347" t="str">
        <f t="shared" si="474"/>
        <v/>
      </c>
    </row>
    <row r="30348" spans="26:26" x14ac:dyDescent="0.2">
      <c r="Z30348" t="str">
        <f t="shared" si="474"/>
        <v/>
      </c>
    </row>
    <row r="30349" spans="26:26" x14ac:dyDescent="0.2">
      <c r="Z30349" t="str">
        <f t="shared" si="474"/>
        <v/>
      </c>
    </row>
    <row r="30350" spans="26:26" x14ac:dyDescent="0.2">
      <c r="Z30350" t="str">
        <f t="shared" si="474"/>
        <v/>
      </c>
    </row>
    <row r="30351" spans="26:26" x14ac:dyDescent="0.2">
      <c r="Z30351" t="str">
        <f t="shared" si="474"/>
        <v/>
      </c>
    </row>
    <row r="30352" spans="26:26" x14ac:dyDescent="0.2">
      <c r="Z30352" t="str">
        <f t="shared" si="474"/>
        <v/>
      </c>
    </row>
    <row r="30353" spans="26:26" x14ac:dyDescent="0.2">
      <c r="Z30353" t="str">
        <f t="shared" si="474"/>
        <v/>
      </c>
    </row>
    <row r="30354" spans="26:26" x14ac:dyDescent="0.2">
      <c r="Z30354" t="str">
        <f t="shared" si="474"/>
        <v/>
      </c>
    </row>
    <row r="30355" spans="26:26" x14ac:dyDescent="0.2">
      <c r="Z30355" t="str">
        <f t="shared" si="474"/>
        <v/>
      </c>
    </row>
    <row r="30356" spans="26:26" x14ac:dyDescent="0.2">
      <c r="Z30356" t="str">
        <f t="shared" si="474"/>
        <v/>
      </c>
    </row>
    <row r="30357" spans="26:26" x14ac:dyDescent="0.2">
      <c r="Z30357" t="str">
        <f t="shared" si="474"/>
        <v/>
      </c>
    </row>
    <row r="30358" spans="26:26" x14ac:dyDescent="0.2">
      <c r="Z30358" t="str">
        <f t="shared" si="474"/>
        <v/>
      </c>
    </row>
    <row r="30359" spans="26:26" x14ac:dyDescent="0.2">
      <c r="Z30359" t="str">
        <f t="shared" si="474"/>
        <v/>
      </c>
    </row>
    <row r="30360" spans="26:26" x14ac:dyDescent="0.2">
      <c r="Z30360" t="str">
        <f t="shared" si="474"/>
        <v/>
      </c>
    </row>
    <row r="30361" spans="26:26" x14ac:dyDescent="0.2">
      <c r="Z30361" t="str">
        <f t="shared" si="474"/>
        <v/>
      </c>
    </row>
    <row r="30362" spans="26:26" x14ac:dyDescent="0.2">
      <c r="Z30362" t="str">
        <f t="shared" si="474"/>
        <v/>
      </c>
    </row>
    <row r="30363" spans="26:26" x14ac:dyDescent="0.2">
      <c r="Z30363" t="str">
        <f t="shared" si="474"/>
        <v/>
      </c>
    </row>
    <row r="30364" spans="26:26" x14ac:dyDescent="0.2">
      <c r="Z30364" t="str">
        <f t="shared" si="474"/>
        <v/>
      </c>
    </row>
    <row r="30365" spans="26:26" x14ac:dyDescent="0.2">
      <c r="Z30365" t="str">
        <f t="shared" si="474"/>
        <v/>
      </c>
    </row>
    <row r="30366" spans="26:26" x14ac:dyDescent="0.2">
      <c r="Z30366" t="str">
        <f t="shared" si="474"/>
        <v/>
      </c>
    </row>
    <row r="30367" spans="26:26" x14ac:dyDescent="0.2">
      <c r="Z30367" t="str">
        <f t="shared" si="474"/>
        <v/>
      </c>
    </row>
    <row r="30368" spans="26:26" x14ac:dyDescent="0.2">
      <c r="Z30368" t="str">
        <f t="shared" si="474"/>
        <v/>
      </c>
    </row>
    <row r="30369" spans="26:26" x14ac:dyDescent="0.2">
      <c r="Z30369" t="str">
        <f t="shared" si="474"/>
        <v/>
      </c>
    </row>
    <row r="30370" spans="26:26" x14ac:dyDescent="0.2">
      <c r="Z30370" t="str">
        <f t="shared" si="474"/>
        <v/>
      </c>
    </row>
    <row r="30371" spans="26:26" x14ac:dyDescent="0.2">
      <c r="Z30371" t="str">
        <f t="shared" si="474"/>
        <v/>
      </c>
    </row>
    <row r="30372" spans="26:26" x14ac:dyDescent="0.2">
      <c r="Z30372" t="str">
        <f t="shared" si="474"/>
        <v/>
      </c>
    </row>
    <row r="30373" spans="26:26" x14ac:dyDescent="0.2">
      <c r="Z30373" t="str">
        <f t="shared" si="474"/>
        <v/>
      </c>
    </row>
    <row r="30374" spans="26:26" x14ac:dyDescent="0.2">
      <c r="Z30374" t="str">
        <f t="shared" si="474"/>
        <v/>
      </c>
    </row>
    <row r="30375" spans="26:26" x14ac:dyDescent="0.2">
      <c r="Z30375" t="str">
        <f t="shared" si="474"/>
        <v/>
      </c>
    </row>
    <row r="30376" spans="26:26" x14ac:dyDescent="0.2">
      <c r="Z30376" t="str">
        <f t="shared" si="474"/>
        <v/>
      </c>
    </row>
    <row r="30377" spans="26:26" x14ac:dyDescent="0.2">
      <c r="Z30377" t="str">
        <f t="shared" si="474"/>
        <v/>
      </c>
    </row>
    <row r="30378" spans="26:26" x14ac:dyDescent="0.2">
      <c r="Z30378" t="str">
        <f t="shared" si="474"/>
        <v/>
      </c>
    </row>
    <row r="30379" spans="26:26" x14ac:dyDescent="0.2">
      <c r="Z30379" t="str">
        <f t="shared" si="474"/>
        <v/>
      </c>
    </row>
    <row r="30380" spans="26:26" x14ac:dyDescent="0.2">
      <c r="Z30380" t="str">
        <f t="shared" si="474"/>
        <v/>
      </c>
    </row>
    <row r="30381" spans="26:26" x14ac:dyDescent="0.2">
      <c r="Z30381" t="str">
        <f t="shared" si="474"/>
        <v/>
      </c>
    </row>
    <row r="30382" spans="26:26" x14ac:dyDescent="0.2">
      <c r="Z30382" t="str">
        <f t="shared" si="474"/>
        <v/>
      </c>
    </row>
    <row r="30383" spans="26:26" x14ac:dyDescent="0.2">
      <c r="Z30383" t="str">
        <f t="shared" si="474"/>
        <v/>
      </c>
    </row>
    <row r="30384" spans="26:26" x14ac:dyDescent="0.2">
      <c r="Z30384" t="str">
        <f t="shared" si="474"/>
        <v/>
      </c>
    </row>
    <row r="30385" spans="26:26" x14ac:dyDescent="0.2">
      <c r="Z30385" t="str">
        <f t="shared" si="474"/>
        <v/>
      </c>
    </row>
    <row r="30386" spans="26:26" x14ac:dyDescent="0.2">
      <c r="Z30386" t="str">
        <f t="shared" si="474"/>
        <v/>
      </c>
    </row>
    <row r="30387" spans="26:26" x14ac:dyDescent="0.2">
      <c r="Z30387" t="str">
        <f t="shared" si="474"/>
        <v/>
      </c>
    </row>
    <row r="30388" spans="26:26" x14ac:dyDescent="0.2">
      <c r="Z30388" t="str">
        <f t="shared" si="474"/>
        <v/>
      </c>
    </row>
    <row r="30389" spans="26:26" x14ac:dyDescent="0.2">
      <c r="Z30389" t="str">
        <f t="shared" si="474"/>
        <v/>
      </c>
    </row>
    <row r="30390" spans="26:26" x14ac:dyDescent="0.2">
      <c r="Z30390" t="str">
        <f t="shared" si="474"/>
        <v/>
      </c>
    </row>
    <row r="30391" spans="26:26" x14ac:dyDescent="0.2">
      <c r="Z30391" t="str">
        <f t="shared" si="474"/>
        <v/>
      </c>
    </row>
    <row r="30392" spans="26:26" x14ac:dyDescent="0.2">
      <c r="Z30392" t="str">
        <f t="shared" si="474"/>
        <v/>
      </c>
    </row>
    <row r="30393" spans="26:26" x14ac:dyDescent="0.2">
      <c r="Z30393" t="str">
        <f t="shared" si="474"/>
        <v/>
      </c>
    </row>
    <row r="30394" spans="26:26" x14ac:dyDescent="0.2">
      <c r="Z30394" t="str">
        <f t="shared" si="474"/>
        <v/>
      </c>
    </row>
    <row r="30395" spans="26:26" x14ac:dyDescent="0.2">
      <c r="Z30395" t="str">
        <f t="shared" si="474"/>
        <v/>
      </c>
    </row>
    <row r="30396" spans="26:26" x14ac:dyDescent="0.2">
      <c r="Z30396" t="str">
        <f t="shared" si="474"/>
        <v/>
      </c>
    </row>
    <row r="30397" spans="26:26" x14ac:dyDescent="0.2">
      <c r="Z30397" t="str">
        <f t="shared" si="474"/>
        <v/>
      </c>
    </row>
    <row r="30398" spans="26:26" x14ac:dyDescent="0.2">
      <c r="Z30398" t="str">
        <f t="shared" si="474"/>
        <v/>
      </c>
    </row>
    <row r="30399" spans="26:26" x14ac:dyDescent="0.2">
      <c r="Z30399" t="str">
        <f t="shared" si="474"/>
        <v/>
      </c>
    </row>
    <row r="30400" spans="26:26" x14ac:dyDescent="0.2">
      <c r="Z30400" t="str">
        <f t="shared" si="474"/>
        <v/>
      </c>
    </row>
    <row r="30401" spans="26:26" x14ac:dyDescent="0.2">
      <c r="Z30401" t="str">
        <f t="shared" si="474"/>
        <v/>
      </c>
    </row>
    <row r="30402" spans="26:26" x14ac:dyDescent="0.2">
      <c r="Z30402" t="str">
        <f t="shared" si="474"/>
        <v/>
      </c>
    </row>
    <row r="30403" spans="26:26" x14ac:dyDescent="0.2">
      <c r="Z30403" t="str">
        <f t="shared" ref="Z30403:Z30466" si="475">IF(K30403="","",IFERROR(VALUE(TRIM(MID(K30403,FIND(CHAR(167),SUBSTITUTE(K30403,"-",CHAR(167),LEN(K30403)-LEN(SUBSTITUTE(K30403,"-",""))))+1,100))),K30403))</f>
        <v/>
      </c>
    </row>
    <row r="30404" spans="26:26" x14ac:dyDescent="0.2">
      <c r="Z30404" t="str">
        <f t="shared" si="475"/>
        <v/>
      </c>
    </row>
    <row r="30405" spans="26:26" x14ac:dyDescent="0.2">
      <c r="Z30405" t="str">
        <f t="shared" si="475"/>
        <v/>
      </c>
    </row>
    <row r="30406" spans="26:26" x14ac:dyDescent="0.2">
      <c r="Z30406" t="str">
        <f t="shared" si="475"/>
        <v/>
      </c>
    </row>
    <row r="30407" spans="26:26" x14ac:dyDescent="0.2">
      <c r="Z30407" t="str">
        <f t="shared" si="475"/>
        <v/>
      </c>
    </row>
    <row r="30408" spans="26:26" x14ac:dyDescent="0.2">
      <c r="Z30408" t="str">
        <f t="shared" si="475"/>
        <v/>
      </c>
    </row>
    <row r="30409" spans="26:26" x14ac:dyDescent="0.2">
      <c r="Z30409" t="str">
        <f t="shared" si="475"/>
        <v/>
      </c>
    </row>
    <row r="30410" spans="26:26" x14ac:dyDescent="0.2">
      <c r="Z30410" t="str">
        <f t="shared" si="475"/>
        <v/>
      </c>
    </row>
    <row r="30411" spans="26:26" x14ac:dyDescent="0.2">
      <c r="Z30411" t="str">
        <f t="shared" si="475"/>
        <v/>
      </c>
    </row>
    <row r="30412" spans="26:26" x14ac:dyDescent="0.2">
      <c r="Z30412" t="str">
        <f t="shared" si="475"/>
        <v/>
      </c>
    </row>
    <row r="30413" spans="26:26" x14ac:dyDescent="0.2">
      <c r="Z30413" t="str">
        <f t="shared" si="475"/>
        <v/>
      </c>
    </row>
    <row r="30414" spans="26:26" x14ac:dyDescent="0.2">
      <c r="Z30414" t="str">
        <f t="shared" si="475"/>
        <v/>
      </c>
    </row>
    <row r="30415" spans="26:26" x14ac:dyDescent="0.2">
      <c r="Z30415" t="str">
        <f t="shared" si="475"/>
        <v/>
      </c>
    </row>
    <row r="30416" spans="26:26" x14ac:dyDescent="0.2">
      <c r="Z30416" t="str">
        <f t="shared" si="475"/>
        <v/>
      </c>
    </row>
    <row r="30417" spans="26:26" x14ac:dyDescent="0.2">
      <c r="Z30417" t="str">
        <f t="shared" si="475"/>
        <v/>
      </c>
    </row>
    <row r="30418" spans="26:26" x14ac:dyDescent="0.2">
      <c r="Z30418" t="str">
        <f t="shared" si="475"/>
        <v/>
      </c>
    </row>
    <row r="30419" spans="26:26" x14ac:dyDescent="0.2">
      <c r="Z30419" t="str">
        <f t="shared" si="475"/>
        <v/>
      </c>
    </row>
    <row r="30420" spans="26:26" x14ac:dyDescent="0.2">
      <c r="Z30420" t="str">
        <f t="shared" si="475"/>
        <v/>
      </c>
    </row>
    <row r="30421" spans="26:26" x14ac:dyDescent="0.2">
      <c r="Z30421" t="str">
        <f t="shared" si="475"/>
        <v/>
      </c>
    </row>
    <row r="30422" spans="26:26" x14ac:dyDescent="0.2">
      <c r="Z30422" t="str">
        <f t="shared" si="475"/>
        <v/>
      </c>
    </row>
    <row r="30423" spans="26:26" x14ac:dyDescent="0.2">
      <c r="Z30423" t="str">
        <f t="shared" si="475"/>
        <v/>
      </c>
    </row>
    <row r="30424" spans="26:26" x14ac:dyDescent="0.2">
      <c r="Z30424" t="str">
        <f t="shared" si="475"/>
        <v/>
      </c>
    </row>
    <row r="30425" spans="26:26" x14ac:dyDescent="0.2">
      <c r="Z30425" t="str">
        <f t="shared" si="475"/>
        <v/>
      </c>
    </row>
    <row r="30426" spans="26:26" x14ac:dyDescent="0.2">
      <c r="Z30426" t="str">
        <f t="shared" si="475"/>
        <v/>
      </c>
    </row>
    <row r="30427" spans="26:26" x14ac:dyDescent="0.2">
      <c r="Z30427" t="str">
        <f t="shared" si="475"/>
        <v/>
      </c>
    </row>
    <row r="30428" spans="26:26" x14ac:dyDescent="0.2">
      <c r="Z30428" t="str">
        <f t="shared" si="475"/>
        <v/>
      </c>
    </row>
    <row r="30429" spans="26:26" x14ac:dyDescent="0.2">
      <c r="Z30429" t="str">
        <f t="shared" si="475"/>
        <v/>
      </c>
    </row>
    <row r="30430" spans="26:26" x14ac:dyDescent="0.2">
      <c r="Z30430" t="str">
        <f t="shared" si="475"/>
        <v/>
      </c>
    </row>
    <row r="30431" spans="26:26" x14ac:dyDescent="0.2">
      <c r="Z30431" t="str">
        <f t="shared" si="475"/>
        <v/>
      </c>
    </row>
    <row r="30432" spans="26:26" x14ac:dyDescent="0.2">
      <c r="Z30432" t="str">
        <f t="shared" si="475"/>
        <v/>
      </c>
    </row>
    <row r="30433" spans="26:26" x14ac:dyDescent="0.2">
      <c r="Z30433" t="str">
        <f t="shared" si="475"/>
        <v/>
      </c>
    </row>
    <row r="30434" spans="26:26" x14ac:dyDescent="0.2">
      <c r="Z30434" t="str">
        <f t="shared" si="475"/>
        <v/>
      </c>
    </row>
    <row r="30435" spans="26:26" x14ac:dyDescent="0.2">
      <c r="Z30435" t="str">
        <f t="shared" si="475"/>
        <v/>
      </c>
    </row>
    <row r="30436" spans="26:26" x14ac:dyDescent="0.2">
      <c r="Z30436" t="str">
        <f t="shared" si="475"/>
        <v/>
      </c>
    </row>
    <row r="30437" spans="26:26" x14ac:dyDescent="0.2">
      <c r="Z30437" t="str">
        <f t="shared" si="475"/>
        <v/>
      </c>
    </row>
    <row r="30438" spans="26:26" x14ac:dyDescent="0.2">
      <c r="Z30438" t="str">
        <f t="shared" si="475"/>
        <v/>
      </c>
    </row>
    <row r="30439" spans="26:26" x14ac:dyDescent="0.2">
      <c r="Z30439" t="str">
        <f t="shared" si="475"/>
        <v/>
      </c>
    </row>
    <row r="30440" spans="26:26" x14ac:dyDescent="0.2">
      <c r="Z30440" t="str">
        <f t="shared" si="475"/>
        <v/>
      </c>
    </row>
    <row r="30441" spans="26:26" x14ac:dyDescent="0.2">
      <c r="Z30441" t="str">
        <f t="shared" si="475"/>
        <v/>
      </c>
    </row>
    <row r="30442" spans="26:26" x14ac:dyDescent="0.2">
      <c r="Z30442" t="str">
        <f t="shared" si="475"/>
        <v/>
      </c>
    </row>
    <row r="30443" spans="26:26" x14ac:dyDescent="0.2">
      <c r="Z30443" t="str">
        <f t="shared" si="475"/>
        <v/>
      </c>
    </row>
    <row r="30444" spans="26:26" x14ac:dyDescent="0.2">
      <c r="Z30444" t="str">
        <f t="shared" si="475"/>
        <v/>
      </c>
    </row>
    <row r="30445" spans="26:26" x14ac:dyDescent="0.2">
      <c r="Z30445" t="str">
        <f t="shared" si="475"/>
        <v/>
      </c>
    </row>
    <row r="30446" spans="26:26" x14ac:dyDescent="0.2">
      <c r="Z30446" t="str">
        <f t="shared" si="475"/>
        <v/>
      </c>
    </row>
    <row r="30447" spans="26:26" x14ac:dyDescent="0.2">
      <c r="Z30447" t="str">
        <f t="shared" si="475"/>
        <v/>
      </c>
    </row>
    <row r="30448" spans="26:26" x14ac:dyDescent="0.2">
      <c r="Z30448" t="str">
        <f t="shared" si="475"/>
        <v/>
      </c>
    </row>
    <row r="30449" spans="26:26" x14ac:dyDescent="0.2">
      <c r="Z30449" t="str">
        <f t="shared" si="475"/>
        <v/>
      </c>
    </row>
    <row r="30450" spans="26:26" x14ac:dyDescent="0.2">
      <c r="Z30450" t="str">
        <f t="shared" si="475"/>
        <v/>
      </c>
    </row>
    <row r="30451" spans="26:26" x14ac:dyDescent="0.2">
      <c r="Z30451" t="str">
        <f t="shared" si="475"/>
        <v/>
      </c>
    </row>
    <row r="30452" spans="26:26" x14ac:dyDescent="0.2">
      <c r="Z30452" t="str">
        <f t="shared" si="475"/>
        <v/>
      </c>
    </row>
    <row r="30453" spans="26:26" x14ac:dyDescent="0.2">
      <c r="Z30453" t="str">
        <f t="shared" si="475"/>
        <v/>
      </c>
    </row>
    <row r="30454" spans="26:26" x14ac:dyDescent="0.2">
      <c r="Z30454" t="str">
        <f t="shared" si="475"/>
        <v/>
      </c>
    </row>
    <row r="30455" spans="26:26" x14ac:dyDescent="0.2">
      <c r="Z30455" t="str">
        <f t="shared" si="475"/>
        <v/>
      </c>
    </row>
    <row r="30456" spans="26:26" x14ac:dyDescent="0.2">
      <c r="Z30456" t="str">
        <f t="shared" si="475"/>
        <v/>
      </c>
    </row>
    <row r="30457" spans="26:26" x14ac:dyDescent="0.2">
      <c r="Z30457" t="str">
        <f t="shared" si="475"/>
        <v/>
      </c>
    </row>
    <row r="30458" spans="26:26" x14ac:dyDescent="0.2">
      <c r="Z30458" t="str">
        <f t="shared" si="475"/>
        <v/>
      </c>
    </row>
    <row r="30459" spans="26:26" x14ac:dyDescent="0.2">
      <c r="Z30459" t="str">
        <f t="shared" si="475"/>
        <v/>
      </c>
    </row>
    <row r="30460" spans="26:26" x14ac:dyDescent="0.2">
      <c r="Z30460" t="str">
        <f t="shared" si="475"/>
        <v/>
      </c>
    </row>
    <row r="30461" spans="26:26" x14ac:dyDescent="0.2">
      <c r="Z30461" t="str">
        <f t="shared" si="475"/>
        <v/>
      </c>
    </row>
    <row r="30462" spans="26:26" x14ac:dyDescent="0.2">
      <c r="Z30462" t="str">
        <f t="shared" si="475"/>
        <v/>
      </c>
    </row>
    <row r="30463" spans="26:26" x14ac:dyDescent="0.2">
      <c r="Z30463" t="str">
        <f t="shared" si="475"/>
        <v/>
      </c>
    </row>
    <row r="30464" spans="26:26" x14ac:dyDescent="0.2">
      <c r="Z30464" t="str">
        <f t="shared" si="475"/>
        <v/>
      </c>
    </row>
    <row r="30465" spans="26:26" x14ac:dyDescent="0.2">
      <c r="Z30465" t="str">
        <f t="shared" si="475"/>
        <v/>
      </c>
    </row>
    <row r="30466" spans="26:26" x14ac:dyDescent="0.2">
      <c r="Z30466" t="str">
        <f t="shared" si="475"/>
        <v/>
      </c>
    </row>
    <row r="30467" spans="26:26" x14ac:dyDescent="0.2">
      <c r="Z30467" t="str">
        <f t="shared" ref="Z30467:Z30530" si="476">IF(K30467="","",IFERROR(VALUE(TRIM(MID(K30467,FIND(CHAR(167),SUBSTITUTE(K30467,"-",CHAR(167),LEN(K30467)-LEN(SUBSTITUTE(K30467,"-",""))))+1,100))),K30467))</f>
        <v/>
      </c>
    </row>
    <row r="30468" spans="26:26" x14ac:dyDescent="0.2">
      <c r="Z30468" t="str">
        <f t="shared" si="476"/>
        <v/>
      </c>
    </row>
    <row r="30469" spans="26:26" x14ac:dyDescent="0.2">
      <c r="Z30469" t="str">
        <f t="shared" si="476"/>
        <v/>
      </c>
    </row>
    <row r="30470" spans="26:26" x14ac:dyDescent="0.2">
      <c r="Z30470" t="str">
        <f t="shared" si="476"/>
        <v/>
      </c>
    </row>
    <row r="30471" spans="26:26" x14ac:dyDescent="0.2">
      <c r="Z30471" t="str">
        <f t="shared" si="476"/>
        <v/>
      </c>
    </row>
    <row r="30472" spans="26:26" x14ac:dyDescent="0.2">
      <c r="Z30472" t="str">
        <f t="shared" si="476"/>
        <v/>
      </c>
    </row>
    <row r="30473" spans="26:26" x14ac:dyDescent="0.2">
      <c r="Z30473" t="str">
        <f t="shared" si="476"/>
        <v/>
      </c>
    </row>
    <row r="30474" spans="26:26" x14ac:dyDescent="0.2">
      <c r="Z30474" t="str">
        <f t="shared" si="476"/>
        <v/>
      </c>
    </row>
    <row r="30475" spans="26:26" x14ac:dyDescent="0.2">
      <c r="Z30475" t="str">
        <f t="shared" si="476"/>
        <v/>
      </c>
    </row>
    <row r="30476" spans="26:26" x14ac:dyDescent="0.2">
      <c r="Z30476" t="str">
        <f t="shared" si="476"/>
        <v/>
      </c>
    </row>
    <row r="30477" spans="26:26" x14ac:dyDescent="0.2">
      <c r="Z30477" t="str">
        <f t="shared" si="476"/>
        <v/>
      </c>
    </row>
    <row r="30478" spans="26:26" x14ac:dyDescent="0.2">
      <c r="Z30478" t="str">
        <f t="shared" si="476"/>
        <v/>
      </c>
    </row>
    <row r="30479" spans="26:26" x14ac:dyDescent="0.2">
      <c r="Z30479" t="str">
        <f t="shared" si="476"/>
        <v/>
      </c>
    </row>
    <row r="30480" spans="26:26" x14ac:dyDescent="0.2">
      <c r="Z30480" t="str">
        <f t="shared" si="476"/>
        <v/>
      </c>
    </row>
    <row r="30481" spans="26:26" x14ac:dyDescent="0.2">
      <c r="Z30481" t="str">
        <f t="shared" si="476"/>
        <v/>
      </c>
    </row>
    <row r="30482" spans="26:26" x14ac:dyDescent="0.2">
      <c r="Z30482" t="str">
        <f t="shared" si="476"/>
        <v/>
      </c>
    </row>
    <row r="30483" spans="26:26" x14ac:dyDescent="0.2">
      <c r="Z30483" t="str">
        <f t="shared" si="476"/>
        <v/>
      </c>
    </row>
    <row r="30484" spans="26:26" x14ac:dyDescent="0.2">
      <c r="Z30484" t="str">
        <f t="shared" si="476"/>
        <v/>
      </c>
    </row>
    <row r="30485" spans="26:26" x14ac:dyDescent="0.2">
      <c r="Z30485" t="str">
        <f t="shared" si="476"/>
        <v/>
      </c>
    </row>
    <row r="30486" spans="26:26" x14ac:dyDescent="0.2">
      <c r="Z30486" t="str">
        <f t="shared" si="476"/>
        <v/>
      </c>
    </row>
    <row r="30487" spans="26:26" x14ac:dyDescent="0.2">
      <c r="Z30487" t="str">
        <f t="shared" si="476"/>
        <v/>
      </c>
    </row>
    <row r="30488" spans="26:26" x14ac:dyDescent="0.2">
      <c r="Z30488" t="str">
        <f t="shared" si="476"/>
        <v/>
      </c>
    </row>
    <row r="30489" spans="26:26" x14ac:dyDescent="0.2">
      <c r="Z30489" t="str">
        <f t="shared" si="476"/>
        <v/>
      </c>
    </row>
    <row r="30490" spans="26:26" x14ac:dyDescent="0.2">
      <c r="Z30490" t="str">
        <f t="shared" si="476"/>
        <v/>
      </c>
    </row>
    <row r="30491" spans="26:26" x14ac:dyDescent="0.2">
      <c r="Z30491" t="str">
        <f t="shared" si="476"/>
        <v/>
      </c>
    </row>
    <row r="30492" spans="26:26" x14ac:dyDescent="0.2">
      <c r="Z30492" t="str">
        <f t="shared" si="476"/>
        <v/>
      </c>
    </row>
    <row r="30493" spans="26:26" x14ac:dyDescent="0.2">
      <c r="Z30493" t="str">
        <f t="shared" si="476"/>
        <v/>
      </c>
    </row>
    <row r="30494" spans="26:26" x14ac:dyDescent="0.2">
      <c r="Z30494" t="str">
        <f t="shared" si="476"/>
        <v/>
      </c>
    </row>
    <row r="30495" spans="26:26" x14ac:dyDescent="0.2">
      <c r="Z30495" t="str">
        <f t="shared" si="476"/>
        <v/>
      </c>
    </row>
    <row r="30496" spans="26:26" x14ac:dyDescent="0.2">
      <c r="Z30496" t="str">
        <f t="shared" si="476"/>
        <v/>
      </c>
    </row>
    <row r="30497" spans="26:26" x14ac:dyDescent="0.2">
      <c r="Z30497" t="str">
        <f t="shared" si="476"/>
        <v/>
      </c>
    </row>
    <row r="30498" spans="26:26" x14ac:dyDescent="0.2">
      <c r="Z30498" t="str">
        <f t="shared" si="476"/>
        <v/>
      </c>
    </row>
    <row r="30499" spans="26:26" x14ac:dyDescent="0.2">
      <c r="Z30499" t="str">
        <f t="shared" si="476"/>
        <v/>
      </c>
    </row>
    <row r="30500" spans="26:26" x14ac:dyDescent="0.2">
      <c r="Z30500" t="str">
        <f t="shared" si="476"/>
        <v/>
      </c>
    </row>
    <row r="30501" spans="26:26" x14ac:dyDescent="0.2">
      <c r="Z30501" t="str">
        <f t="shared" si="476"/>
        <v/>
      </c>
    </row>
    <row r="30502" spans="26:26" x14ac:dyDescent="0.2">
      <c r="Z30502" t="str">
        <f t="shared" si="476"/>
        <v/>
      </c>
    </row>
    <row r="30503" spans="26:26" x14ac:dyDescent="0.2">
      <c r="Z30503" t="str">
        <f t="shared" si="476"/>
        <v/>
      </c>
    </row>
    <row r="30504" spans="26:26" x14ac:dyDescent="0.2">
      <c r="Z30504" t="str">
        <f t="shared" si="476"/>
        <v/>
      </c>
    </row>
    <row r="30505" spans="26:26" x14ac:dyDescent="0.2">
      <c r="Z30505" t="str">
        <f t="shared" si="476"/>
        <v/>
      </c>
    </row>
    <row r="30506" spans="26:26" x14ac:dyDescent="0.2">
      <c r="Z30506" t="str">
        <f t="shared" si="476"/>
        <v/>
      </c>
    </row>
    <row r="30507" spans="26:26" x14ac:dyDescent="0.2">
      <c r="Z30507" t="str">
        <f t="shared" si="476"/>
        <v/>
      </c>
    </row>
    <row r="30508" spans="26:26" x14ac:dyDescent="0.2">
      <c r="Z30508" t="str">
        <f t="shared" si="476"/>
        <v/>
      </c>
    </row>
    <row r="30509" spans="26:26" x14ac:dyDescent="0.2">
      <c r="Z30509" t="str">
        <f t="shared" si="476"/>
        <v/>
      </c>
    </row>
    <row r="30510" spans="26:26" x14ac:dyDescent="0.2">
      <c r="Z30510" t="str">
        <f t="shared" si="476"/>
        <v/>
      </c>
    </row>
    <row r="30511" spans="26:26" x14ac:dyDescent="0.2">
      <c r="Z30511" t="str">
        <f t="shared" si="476"/>
        <v/>
      </c>
    </row>
    <row r="30512" spans="26:26" x14ac:dyDescent="0.2">
      <c r="Z30512" t="str">
        <f t="shared" si="476"/>
        <v/>
      </c>
    </row>
    <row r="30513" spans="26:26" x14ac:dyDescent="0.2">
      <c r="Z30513" t="str">
        <f t="shared" si="476"/>
        <v/>
      </c>
    </row>
    <row r="30514" spans="26:26" x14ac:dyDescent="0.2">
      <c r="Z30514" t="str">
        <f t="shared" si="476"/>
        <v/>
      </c>
    </row>
    <row r="30515" spans="26:26" x14ac:dyDescent="0.2">
      <c r="Z30515" t="str">
        <f t="shared" si="476"/>
        <v/>
      </c>
    </row>
    <row r="30516" spans="26:26" x14ac:dyDescent="0.2">
      <c r="Z30516" t="str">
        <f t="shared" si="476"/>
        <v/>
      </c>
    </row>
    <row r="30517" spans="26:26" x14ac:dyDescent="0.2">
      <c r="Z30517" t="str">
        <f t="shared" si="476"/>
        <v/>
      </c>
    </row>
    <row r="30518" spans="26:26" x14ac:dyDescent="0.2">
      <c r="Z30518" t="str">
        <f t="shared" si="476"/>
        <v/>
      </c>
    </row>
    <row r="30519" spans="26:26" x14ac:dyDescent="0.2">
      <c r="Z30519" t="str">
        <f t="shared" si="476"/>
        <v/>
      </c>
    </row>
    <row r="30520" spans="26:26" x14ac:dyDescent="0.2">
      <c r="Z30520" t="str">
        <f t="shared" si="476"/>
        <v/>
      </c>
    </row>
    <row r="30521" spans="26:26" x14ac:dyDescent="0.2">
      <c r="Z30521" t="str">
        <f t="shared" si="476"/>
        <v/>
      </c>
    </row>
    <row r="30522" spans="26:26" x14ac:dyDescent="0.2">
      <c r="Z30522" t="str">
        <f t="shared" si="476"/>
        <v/>
      </c>
    </row>
    <row r="30523" spans="26:26" x14ac:dyDescent="0.2">
      <c r="Z30523" t="str">
        <f t="shared" si="476"/>
        <v/>
      </c>
    </row>
    <row r="30524" spans="26:26" x14ac:dyDescent="0.2">
      <c r="Z30524" t="str">
        <f t="shared" si="476"/>
        <v/>
      </c>
    </row>
    <row r="30525" spans="26:26" x14ac:dyDescent="0.2">
      <c r="Z30525" t="str">
        <f t="shared" si="476"/>
        <v/>
      </c>
    </row>
    <row r="30526" spans="26:26" x14ac:dyDescent="0.2">
      <c r="Z30526" t="str">
        <f t="shared" si="476"/>
        <v/>
      </c>
    </row>
    <row r="30527" spans="26:26" x14ac:dyDescent="0.2">
      <c r="Z30527" t="str">
        <f t="shared" si="476"/>
        <v/>
      </c>
    </row>
    <row r="30528" spans="26:26" x14ac:dyDescent="0.2">
      <c r="Z30528" t="str">
        <f t="shared" si="476"/>
        <v/>
      </c>
    </row>
    <row r="30529" spans="26:26" x14ac:dyDescent="0.2">
      <c r="Z30529" t="str">
        <f t="shared" si="476"/>
        <v/>
      </c>
    </row>
    <row r="30530" spans="26:26" x14ac:dyDescent="0.2">
      <c r="Z30530" t="str">
        <f t="shared" si="476"/>
        <v/>
      </c>
    </row>
    <row r="30531" spans="26:26" x14ac:dyDescent="0.2">
      <c r="Z30531" t="str">
        <f t="shared" ref="Z30531:Z30594" si="477">IF(K30531="","",IFERROR(VALUE(TRIM(MID(K30531,FIND(CHAR(167),SUBSTITUTE(K30531,"-",CHAR(167),LEN(K30531)-LEN(SUBSTITUTE(K30531,"-",""))))+1,100))),K30531))</f>
        <v/>
      </c>
    </row>
    <row r="30532" spans="26:26" x14ac:dyDescent="0.2">
      <c r="Z30532" t="str">
        <f t="shared" si="477"/>
        <v/>
      </c>
    </row>
    <row r="30533" spans="26:26" x14ac:dyDescent="0.2">
      <c r="Z30533" t="str">
        <f t="shared" si="477"/>
        <v/>
      </c>
    </row>
    <row r="30534" spans="26:26" x14ac:dyDescent="0.2">
      <c r="Z30534" t="str">
        <f t="shared" si="477"/>
        <v/>
      </c>
    </row>
    <row r="30535" spans="26:26" x14ac:dyDescent="0.2">
      <c r="Z30535" t="str">
        <f t="shared" si="477"/>
        <v/>
      </c>
    </row>
    <row r="30536" spans="26:26" x14ac:dyDescent="0.2">
      <c r="Z30536" t="str">
        <f t="shared" si="477"/>
        <v/>
      </c>
    </row>
    <row r="30537" spans="26:26" x14ac:dyDescent="0.2">
      <c r="Z30537" t="str">
        <f t="shared" si="477"/>
        <v/>
      </c>
    </row>
    <row r="30538" spans="26:26" x14ac:dyDescent="0.2">
      <c r="Z30538" t="str">
        <f t="shared" si="477"/>
        <v/>
      </c>
    </row>
    <row r="30539" spans="26:26" x14ac:dyDescent="0.2">
      <c r="Z30539" t="str">
        <f t="shared" si="477"/>
        <v/>
      </c>
    </row>
    <row r="30540" spans="26:26" x14ac:dyDescent="0.2">
      <c r="Z30540" t="str">
        <f t="shared" si="477"/>
        <v/>
      </c>
    </row>
    <row r="30541" spans="26:26" x14ac:dyDescent="0.2">
      <c r="Z30541" t="str">
        <f t="shared" si="477"/>
        <v/>
      </c>
    </row>
    <row r="30542" spans="26:26" x14ac:dyDescent="0.2">
      <c r="Z30542" t="str">
        <f t="shared" si="477"/>
        <v/>
      </c>
    </row>
    <row r="30543" spans="26:26" x14ac:dyDescent="0.2">
      <c r="Z30543" t="str">
        <f t="shared" si="477"/>
        <v/>
      </c>
    </row>
    <row r="30544" spans="26:26" x14ac:dyDescent="0.2">
      <c r="Z30544" t="str">
        <f t="shared" si="477"/>
        <v/>
      </c>
    </row>
    <row r="30545" spans="26:26" x14ac:dyDescent="0.2">
      <c r="Z30545" t="str">
        <f t="shared" si="477"/>
        <v/>
      </c>
    </row>
    <row r="30546" spans="26:26" x14ac:dyDescent="0.2">
      <c r="Z30546" t="str">
        <f t="shared" si="477"/>
        <v/>
      </c>
    </row>
    <row r="30547" spans="26:26" x14ac:dyDescent="0.2">
      <c r="Z30547" t="str">
        <f t="shared" si="477"/>
        <v/>
      </c>
    </row>
    <row r="30548" spans="26:26" x14ac:dyDescent="0.2">
      <c r="Z30548" t="str">
        <f t="shared" si="477"/>
        <v/>
      </c>
    </row>
    <row r="30549" spans="26:26" x14ac:dyDescent="0.2">
      <c r="Z30549" t="str">
        <f t="shared" si="477"/>
        <v/>
      </c>
    </row>
    <row r="30550" spans="26:26" x14ac:dyDescent="0.2">
      <c r="Z30550" t="str">
        <f t="shared" si="477"/>
        <v/>
      </c>
    </row>
    <row r="30551" spans="26:26" x14ac:dyDescent="0.2">
      <c r="Z30551" t="str">
        <f t="shared" si="477"/>
        <v/>
      </c>
    </row>
    <row r="30552" spans="26:26" x14ac:dyDescent="0.2">
      <c r="Z30552" t="str">
        <f t="shared" si="477"/>
        <v/>
      </c>
    </row>
    <row r="30553" spans="26:26" x14ac:dyDescent="0.2">
      <c r="Z30553" t="str">
        <f t="shared" si="477"/>
        <v/>
      </c>
    </row>
    <row r="30554" spans="26:26" x14ac:dyDescent="0.2">
      <c r="Z30554" t="str">
        <f t="shared" si="477"/>
        <v/>
      </c>
    </row>
    <row r="30555" spans="26:26" x14ac:dyDescent="0.2">
      <c r="Z30555" t="str">
        <f t="shared" si="477"/>
        <v/>
      </c>
    </row>
    <row r="30556" spans="26:26" x14ac:dyDescent="0.2">
      <c r="Z30556" t="str">
        <f t="shared" si="477"/>
        <v/>
      </c>
    </row>
    <row r="30557" spans="26:26" x14ac:dyDescent="0.2">
      <c r="Z30557" t="str">
        <f t="shared" si="477"/>
        <v/>
      </c>
    </row>
    <row r="30558" spans="26:26" x14ac:dyDescent="0.2">
      <c r="Z30558" t="str">
        <f t="shared" si="477"/>
        <v/>
      </c>
    </row>
    <row r="30559" spans="26:26" x14ac:dyDescent="0.2">
      <c r="Z30559" t="str">
        <f t="shared" si="477"/>
        <v/>
      </c>
    </row>
    <row r="30560" spans="26:26" x14ac:dyDescent="0.2">
      <c r="Z30560" t="str">
        <f t="shared" si="477"/>
        <v/>
      </c>
    </row>
    <row r="30561" spans="26:26" x14ac:dyDescent="0.2">
      <c r="Z30561" t="str">
        <f t="shared" si="477"/>
        <v/>
      </c>
    </row>
    <row r="30562" spans="26:26" x14ac:dyDescent="0.2">
      <c r="Z30562" t="str">
        <f t="shared" si="477"/>
        <v/>
      </c>
    </row>
    <row r="30563" spans="26:26" x14ac:dyDescent="0.2">
      <c r="Z30563" t="str">
        <f t="shared" si="477"/>
        <v/>
      </c>
    </row>
    <row r="30564" spans="26:26" x14ac:dyDescent="0.2">
      <c r="Z30564" t="str">
        <f t="shared" si="477"/>
        <v/>
      </c>
    </row>
    <row r="30565" spans="26:26" x14ac:dyDescent="0.2">
      <c r="Z30565" t="str">
        <f t="shared" si="477"/>
        <v/>
      </c>
    </row>
    <row r="30566" spans="26:26" x14ac:dyDescent="0.2">
      <c r="Z30566" t="str">
        <f t="shared" si="477"/>
        <v/>
      </c>
    </row>
    <row r="30567" spans="26:26" x14ac:dyDescent="0.2">
      <c r="Z30567" t="str">
        <f t="shared" si="477"/>
        <v/>
      </c>
    </row>
    <row r="30568" spans="26:26" x14ac:dyDescent="0.2">
      <c r="Z30568" t="str">
        <f t="shared" si="477"/>
        <v/>
      </c>
    </row>
    <row r="30569" spans="26:26" x14ac:dyDescent="0.2">
      <c r="Z30569" t="str">
        <f t="shared" si="477"/>
        <v/>
      </c>
    </row>
    <row r="30570" spans="26:26" x14ac:dyDescent="0.2">
      <c r="Z30570" t="str">
        <f t="shared" si="477"/>
        <v/>
      </c>
    </row>
    <row r="30571" spans="26:26" x14ac:dyDescent="0.2">
      <c r="Z30571" t="str">
        <f t="shared" si="477"/>
        <v/>
      </c>
    </row>
    <row r="30572" spans="26:26" x14ac:dyDescent="0.2">
      <c r="Z30572" t="str">
        <f t="shared" si="477"/>
        <v/>
      </c>
    </row>
    <row r="30573" spans="26:26" x14ac:dyDescent="0.2">
      <c r="Z30573" t="str">
        <f t="shared" si="477"/>
        <v/>
      </c>
    </row>
    <row r="30574" spans="26:26" x14ac:dyDescent="0.2">
      <c r="Z30574" t="str">
        <f t="shared" si="477"/>
        <v/>
      </c>
    </row>
    <row r="30575" spans="26:26" x14ac:dyDescent="0.2">
      <c r="Z30575" t="str">
        <f t="shared" si="477"/>
        <v/>
      </c>
    </row>
    <row r="30576" spans="26:26" x14ac:dyDescent="0.2">
      <c r="Z30576" t="str">
        <f t="shared" si="477"/>
        <v/>
      </c>
    </row>
    <row r="30577" spans="26:26" x14ac:dyDescent="0.2">
      <c r="Z30577" t="str">
        <f t="shared" si="477"/>
        <v/>
      </c>
    </row>
    <row r="30578" spans="26:26" x14ac:dyDescent="0.2">
      <c r="Z30578" t="str">
        <f t="shared" si="477"/>
        <v/>
      </c>
    </row>
    <row r="30579" spans="26:26" x14ac:dyDescent="0.2">
      <c r="Z30579" t="str">
        <f t="shared" si="477"/>
        <v/>
      </c>
    </row>
    <row r="30580" spans="26:26" x14ac:dyDescent="0.2">
      <c r="Z30580" t="str">
        <f t="shared" si="477"/>
        <v/>
      </c>
    </row>
    <row r="30581" spans="26:26" x14ac:dyDescent="0.2">
      <c r="Z30581" t="str">
        <f t="shared" si="477"/>
        <v/>
      </c>
    </row>
    <row r="30582" spans="26:26" x14ac:dyDescent="0.2">
      <c r="Z30582" t="str">
        <f t="shared" si="477"/>
        <v/>
      </c>
    </row>
    <row r="30583" spans="26:26" x14ac:dyDescent="0.2">
      <c r="Z30583" t="str">
        <f t="shared" si="477"/>
        <v/>
      </c>
    </row>
    <row r="30584" spans="26:26" x14ac:dyDescent="0.2">
      <c r="Z30584" t="str">
        <f t="shared" si="477"/>
        <v/>
      </c>
    </row>
    <row r="30585" spans="26:26" x14ac:dyDescent="0.2">
      <c r="Z30585" t="str">
        <f t="shared" si="477"/>
        <v/>
      </c>
    </row>
    <row r="30586" spans="26:26" x14ac:dyDescent="0.2">
      <c r="Z30586" t="str">
        <f t="shared" si="477"/>
        <v/>
      </c>
    </row>
    <row r="30587" spans="26:26" x14ac:dyDescent="0.2">
      <c r="Z30587" t="str">
        <f t="shared" si="477"/>
        <v/>
      </c>
    </row>
    <row r="30588" spans="26:26" x14ac:dyDescent="0.2">
      <c r="Z30588" t="str">
        <f t="shared" si="477"/>
        <v/>
      </c>
    </row>
    <row r="30589" spans="26:26" x14ac:dyDescent="0.2">
      <c r="Z30589" t="str">
        <f t="shared" si="477"/>
        <v/>
      </c>
    </row>
    <row r="30590" spans="26:26" x14ac:dyDescent="0.2">
      <c r="Z30590" t="str">
        <f t="shared" si="477"/>
        <v/>
      </c>
    </row>
    <row r="30591" spans="26:26" x14ac:dyDescent="0.2">
      <c r="Z30591" t="str">
        <f t="shared" si="477"/>
        <v/>
      </c>
    </row>
    <row r="30592" spans="26:26" x14ac:dyDescent="0.2">
      <c r="Z30592" t="str">
        <f t="shared" si="477"/>
        <v/>
      </c>
    </row>
    <row r="30593" spans="26:26" x14ac:dyDescent="0.2">
      <c r="Z30593" t="str">
        <f t="shared" si="477"/>
        <v/>
      </c>
    </row>
    <row r="30594" spans="26:26" x14ac:dyDescent="0.2">
      <c r="Z30594" t="str">
        <f t="shared" si="477"/>
        <v/>
      </c>
    </row>
    <row r="30595" spans="26:26" x14ac:dyDescent="0.2">
      <c r="Z30595" t="str">
        <f t="shared" ref="Z30595:Z30658" si="478">IF(K30595="","",IFERROR(VALUE(TRIM(MID(K30595,FIND(CHAR(167),SUBSTITUTE(K30595,"-",CHAR(167),LEN(K30595)-LEN(SUBSTITUTE(K30595,"-",""))))+1,100))),K30595))</f>
        <v/>
      </c>
    </row>
    <row r="30596" spans="26:26" x14ac:dyDescent="0.2">
      <c r="Z30596" t="str">
        <f t="shared" si="478"/>
        <v/>
      </c>
    </row>
    <row r="30597" spans="26:26" x14ac:dyDescent="0.2">
      <c r="Z30597" t="str">
        <f t="shared" si="478"/>
        <v/>
      </c>
    </row>
    <row r="30598" spans="26:26" x14ac:dyDescent="0.2">
      <c r="Z30598" t="str">
        <f t="shared" si="478"/>
        <v/>
      </c>
    </row>
    <row r="30599" spans="26:26" x14ac:dyDescent="0.2">
      <c r="Z30599" t="str">
        <f t="shared" si="478"/>
        <v/>
      </c>
    </row>
    <row r="30600" spans="26:26" x14ac:dyDescent="0.2">
      <c r="Z30600" t="str">
        <f t="shared" si="478"/>
        <v/>
      </c>
    </row>
    <row r="30601" spans="26:26" x14ac:dyDescent="0.2">
      <c r="Z30601" t="str">
        <f t="shared" si="478"/>
        <v/>
      </c>
    </row>
    <row r="30602" spans="26:26" x14ac:dyDescent="0.2">
      <c r="Z30602" t="str">
        <f t="shared" si="478"/>
        <v/>
      </c>
    </row>
    <row r="30603" spans="26:26" x14ac:dyDescent="0.2">
      <c r="Z30603" t="str">
        <f t="shared" si="478"/>
        <v/>
      </c>
    </row>
    <row r="30604" spans="26:26" x14ac:dyDescent="0.2">
      <c r="Z30604" t="str">
        <f t="shared" si="478"/>
        <v/>
      </c>
    </row>
    <row r="30605" spans="26:26" x14ac:dyDescent="0.2">
      <c r="Z30605" t="str">
        <f t="shared" si="478"/>
        <v/>
      </c>
    </row>
    <row r="30606" spans="26:26" x14ac:dyDescent="0.2">
      <c r="Z30606" t="str">
        <f t="shared" si="478"/>
        <v/>
      </c>
    </row>
    <row r="30607" spans="26:26" x14ac:dyDescent="0.2">
      <c r="Z30607" t="str">
        <f t="shared" si="478"/>
        <v/>
      </c>
    </row>
    <row r="30608" spans="26:26" x14ac:dyDescent="0.2">
      <c r="Z30608" t="str">
        <f t="shared" si="478"/>
        <v/>
      </c>
    </row>
    <row r="30609" spans="26:26" x14ac:dyDescent="0.2">
      <c r="Z30609" t="str">
        <f t="shared" si="478"/>
        <v/>
      </c>
    </row>
    <row r="30610" spans="26:26" x14ac:dyDescent="0.2">
      <c r="Z30610" t="str">
        <f t="shared" si="478"/>
        <v/>
      </c>
    </row>
    <row r="30611" spans="26:26" x14ac:dyDescent="0.2">
      <c r="Z30611" t="str">
        <f t="shared" si="478"/>
        <v/>
      </c>
    </row>
    <row r="30612" spans="26:26" x14ac:dyDescent="0.2">
      <c r="Z30612" t="str">
        <f t="shared" si="478"/>
        <v/>
      </c>
    </row>
    <row r="30613" spans="26:26" x14ac:dyDescent="0.2">
      <c r="Z30613" t="str">
        <f t="shared" si="478"/>
        <v/>
      </c>
    </row>
    <row r="30614" spans="26:26" x14ac:dyDescent="0.2">
      <c r="Z30614" t="str">
        <f t="shared" si="478"/>
        <v/>
      </c>
    </row>
    <row r="30615" spans="26:26" x14ac:dyDescent="0.2">
      <c r="Z30615" t="str">
        <f t="shared" si="478"/>
        <v/>
      </c>
    </row>
    <row r="30616" spans="26:26" x14ac:dyDescent="0.2">
      <c r="Z30616" t="str">
        <f t="shared" si="478"/>
        <v/>
      </c>
    </row>
    <row r="30617" spans="26:26" x14ac:dyDescent="0.2">
      <c r="Z30617" t="str">
        <f t="shared" si="478"/>
        <v/>
      </c>
    </row>
    <row r="30618" spans="26:26" x14ac:dyDescent="0.2">
      <c r="Z30618" t="str">
        <f t="shared" si="478"/>
        <v/>
      </c>
    </row>
    <row r="30619" spans="26:26" x14ac:dyDescent="0.2">
      <c r="Z30619" t="str">
        <f t="shared" si="478"/>
        <v/>
      </c>
    </row>
    <row r="30620" spans="26:26" x14ac:dyDescent="0.2">
      <c r="Z30620" t="str">
        <f t="shared" si="478"/>
        <v/>
      </c>
    </row>
    <row r="30621" spans="26:26" x14ac:dyDescent="0.2">
      <c r="Z30621" t="str">
        <f t="shared" si="478"/>
        <v/>
      </c>
    </row>
    <row r="30622" spans="26:26" x14ac:dyDescent="0.2">
      <c r="Z30622" t="str">
        <f t="shared" si="478"/>
        <v/>
      </c>
    </row>
    <row r="30623" spans="26:26" x14ac:dyDescent="0.2">
      <c r="Z30623" t="str">
        <f t="shared" si="478"/>
        <v/>
      </c>
    </row>
    <row r="30624" spans="26:26" x14ac:dyDescent="0.2">
      <c r="Z30624" t="str">
        <f t="shared" si="478"/>
        <v/>
      </c>
    </row>
    <row r="30625" spans="26:26" x14ac:dyDescent="0.2">
      <c r="Z30625" t="str">
        <f t="shared" si="478"/>
        <v/>
      </c>
    </row>
    <row r="30626" spans="26:26" x14ac:dyDescent="0.2">
      <c r="Z30626" t="str">
        <f t="shared" si="478"/>
        <v/>
      </c>
    </row>
    <row r="30627" spans="26:26" x14ac:dyDescent="0.2">
      <c r="Z30627" t="str">
        <f t="shared" si="478"/>
        <v/>
      </c>
    </row>
    <row r="30628" spans="26:26" x14ac:dyDescent="0.2">
      <c r="Z30628" t="str">
        <f t="shared" si="478"/>
        <v/>
      </c>
    </row>
    <row r="30629" spans="26:26" x14ac:dyDescent="0.2">
      <c r="Z30629" t="str">
        <f t="shared" si="478"/>
        <v/>
      </c>
    </row>
    <row r="30630" spans="26:26" x14ac:dyDescent="0.2">
      <c r="Z30630" t="str">
        <f t="shared" si="478"/>
        <v/>
      </c>
    </row>
    <row r="30631" spans="26:26" x14ac:dyDescent="0.2">
      <c r="Z30631" t="str">
        <f t="shared" si="478"/>
        <v/>
      </c>
    </row>
    <row r="30632" spans="26:26" x14ac:dyDescent="0.2">
      <c r="Z30632" t="str">
        <f t="shared" si="478"/>
        <v/>
      </c>
    </row>
    <row r="30633" spans="26:26" x14ac:dyDescent="0.2">
      <c r="Z30633" t="str">
        <f t="shared" si="478"/>
        <v/>
      </c>
    </row>
    <row r="30634" spans="26:26" x14ac:dyDescent="0.2">
      <c r="Z30634" t="str">
        <f t="shared" si="478"/>
        <v/>
      </c>
    </row>
    <row r="30635" spans="26:26" x14ac:dyDescent="0.2">
      <c r="Z30635" t="str">
        <f t="shared" si="478"/>
        <v/>
      </c>
    </row>
    <row r="30636" spans="26:26" x14ac:dyDescent="0.2">
      <c r="Z30636" t="str">
        <f t="shared" si="478"/>
        <v/>
      </c>
    </row>
    <row r="30637" spans="26:26" x14ac:dyDescent="0.2">
      <c r="Z30637" t="str">
        <f t="shared" si="478"/>
        <v/>
      </c>
    </row>
    <row r="30638" spans="26:26" x14ac:dyDescent="0.2">
      <c r="Z30638" t="str">
        <f t="shared" si="478"/>
        <v/>
      </c>
    </row>
    <row r="30639" spans="26:26" x14ac:dyDescent="0.2">
      <c r="Z30639" t="str">
        <f t="shared" si="478"/>
        <v/>
      </c>
    </row>
    <row r="30640" spans="26:26" x14ac:dyDescent="0.2">
      <c r="Z30640" t="str">
        <f t="shared" si="478"/>
        <v/>
      </c>
    </row>
    <row r="30641" spans="26:26" x14ac:dyDescent="0.2">
      <c r="Z30641" t="str">
        <f t="shared" si="478"/>
        <v/>
      </c>
    </row>
    <row r="30642" spans="26:26" x14ac:dyDescent="0.2">
      <c r="Z30642" t="str">
        <f t="shared" si="478"/>
        <v/>
      </c>
    </row>
    <row r="30643" spans="26:26" x14ac:dyDescent="0.2">
      <c r="Z30643" t="str">
        <f t="shared" si="478"/>
        <v/>
      </c>
    </row>
    <row r="30644" spans="26:26" x14ac:dyDescent="0.2">
      <c r="Z30644" t="str">
        <f t="shared" si="478"/>
        <v/>
      </c>
    </row>
    <row r="30645" spans="26:26" x14ac:dyDescent="0.2">
      <c r="Z30645" t="str">
        <f t="shared" si="478"/>
        <v/>
      </c>
    </row>
    <row r="30646" spans="26:26" x14ac:dyDescent="0.2">
      <c r="Z30646" t="str">
        <f t="shared" si="478"/>
        <v/>
      </c>
    </row>
    <row r="30647" spans="26:26" x14ac:dyDescent="0.2">
      <c r="Z30647" t="str">
        <f t="shared" si="478"/>
        <v/>
      </c>
    </row>
    <row r="30648" spans="26:26" x14ac:dyDescent="0.2">
      <c r="Z30648" t="str">
        <f t="shared" si="478"/>
        <v/>
      </c>
    </row>
    <row r="30649" spans="26:26" x14ac:dyDescent="0.2">
      <c r="Z30649" t="str">
        <f t="shared" si="478"/>
        <v/>
      </c>
    </row>
    <row r="30650" spans="26:26" x14ac:dyDescent="0.2">
      <c r="Z30650" t="str">
        <f t="shared" si="478"/>
        <v/>
      </c>
    </row>
    <row r="30651" spans="26:26" x14ac:dyDescent="0.2">
      <c r="Z30651" t="str">
        <f t="shared" si="478"/>
        <v/>
      </c>
    </row>
    <row r="30652" spans="26:26" x14ac:dyDescent="0.2">
      <c r="Z30652" t="str">
        <f t="shared" si="478"/>
        <v/>
      </c>
    </row>
    <row r="30653" spans="26:26" x14ac:dyDescent="0.2">
      <c r="Z30653" t="str">
        <f t="shared" si="478"/>
        <v/>
      </c>
    </row>
    <row r="30654" spans="26:26" x14ac:dyDescent="0.2">
      <c r="Z30654" t="str">
        <f t="shared" si="478"/>
        <v/>
      </c>
    </row>
    <row r="30655" spans="26:26" x14ac:dyDescent="0.2">
      <c r="Z30655" t="str">
        <f t="shared" si="478"/>
        <v/>
      </c>
    </row>
    <row r="30656" spans="26:26" x14ac:dyDescent="0.2">
      <c r="Z30656" t="str">
        <f t="shared" si="478"/>
        <v/>
      </c>
    </row>
    <row r="30657" spans="26:26" x14ac:dyDescent="0.2">
      <c r="Z30657" t="str">
        <f t="shared" si="478"/>
        <v/>
      </c>
    </row>
    <row r="30658" spans="26:26" x14ac:dyDescent="0.2">
      <c r="Z30658" t="str">
        <f t="shared" si="478"/>
        <v/>
      </c>
    </row>
    <row r="30659" spans="26:26" x14ac:dyDescent="0.2">
      <c r="Z30659" t="str">
        <f t="shared" ref="Z30659:Z30722" si="479">IF(K30659="","",IFERROR(VALUE(TRIM(MID(K30659,FIND(CHAR(167),SUBSTITUTE(K30659,"-",CHAR(167),LEN(K30659)-LEN(SUBSTITUTE(K30659,"-",""))))+1,100))),K30659))</f>
        <v/>
      </c>
    </row>
    <row r="30660" spans="26:26" x14ac:dyDescent="0.2">
      <c r="Z30660" t="str">
        <f t="shared" si="479"/>
        <v/>
      </c>
    </row>
    <row r="30661" spans="26:26" x14ac:dyDescent="0.2">
      <c r="Z30661" t="str">
        <f t="shared" si="479"/>
        <v/>
      </c>
    </row>
    <row r="30662" spans="26:26" x14ac:dyDescent="0.2">
      <c r="Z30662" t="str">
        <f t="shared" si="479"/>
        <v/>
      </c>
    </row>
    <row r="30663" spans="26:26" x14ac:dyDescent="0.2">
      <c r="Z30663" t="str">
        <f t="shared" si="479"/>
        <v/>
      </c>
    </row>
    <row r="30664" spans="26:26" x14ac:dyDescent="0.2">
      <c r="Z30664" t="str">
        <f t="shared" si="479"/>
        <v/>
      </c>
    </row>
    <row r="30665" spans="26:26" x14ac:dyDescent="0.2">
      <c r="Z30665" t="str">
        <f t="shared" si="479"/>
        <v/>
      </c>
    </row>
    <row r="30666" spans="26:26" x14ac:dyDescent="0.2">
      <c r="Z30666" t="str">
        <f t="shared" si="479"/>
        <v/>
      </c>
    </row>
    <row r="30667" spans="26:26" x14ac:dyDescent="0.2">
      <c r="Z30667" t="str">
        <f t="shared" si="479"/>
        <v/>
      </c>
    </row>
    <row r="30668" spans="26:26" x14ac:dyDescent="0.2">
      <c r="Z30668" t="str">
        <f t="shared" si="479"/>
        <v/>
      </c>
    </row>
    <row r="30669" spans="26:26" x14ac:dyDescent="0.2">
      <c r="Z30669" t="str">
        <f t="shared" si="479"/>
        <v/>
      </c>
    </row>
    <row r="30670" spans="26:26" x14ac:dyDescent="0.2">
      <c r="Z30670" t="str">
        <f t="shared" si="479"/>
        <v/>
      </c>
    </row>
    <row r="30671" spans="26:26" x14ac:dyDescent="0.2">
      <c r="Z30671" t="str">
        <f t="shared" si="479"/>
        <v/>
      </c>
    </row>
    <row r="30672" spans="26:26" x14ac:dyDescent="0.2">
      <c r="Z30672" t="str">
        <f t="shared" si="479"/>
        <v/>
      </c>
    </row>
    <row r="30673" spans="26:26" x14ac:dyDescent="0.2">
      <c r="Z30673" t="str">
        <f t="shared" si="479"/>
        <v/>
      </c>
    </row>
    <row r="30674" spans="26:26" x14ac:dyDescent="0.2">
      <c r="Z30674" t="str">
        <f t="shared" si="479"/>
        <v/>
      </c>
    </row>
    <row r="30675" spans="26:26" x14ac:dyDescent="0.2">
      <c r="Z30675" t="str">
        <f t="shared" si="479"/>
        <v/>
      </c>
    </row>
    <row r="30676" spans="26:26" x14ac:dyDescent="0.2">
      <c r="Z30676" t="str">
        <f t="shared" si="479"/>
        <v/>
      </c>
    </row>
    <row r="30677" spans="26:26" x14ac:dyDescent="0.2">
      <c r="Z30677" t="str">
        <f t="shared" si="479"/>
        <v/>
      </c>
    </row>
    <row r="30678" spans="26:26" x14ac:dyDescent="0.2">
      <c r="Z30678" t="str">
        <f t="shared" si="479"/>
        <v/>
      </c>
    </row>
    <row r="30679" spans="26:26" x14ac:dyDescent="0.2">
      <c r="Z30679" t="str">
        <f t="shared" si="479"/>
        <v/>
      </c>
    </row>
    <row r="30680" spans="26:26" x14ac:dyDescent="0.2">
      <c r="Z30680" t="str">
        <f t="shared" si="479"/>
        <v/>
      </c>
    </row>
    <row r="30681" spans="26:26" x14ac:dyDescent="0.2">
      <c r="Z30681" t="str">
        <f t="shared" si="479"/>
        <v/>
      </c>
    </row>
    <row r="30682" spans="26:26" x14ac:dyDescent="0.2">
      <c r="Z30682" t="str">
        <f t="shared" si="479"/>
        <v/>
      </c>
    </row>
    <row r="30683" spans="26:26" x14ac:dyDescent="0.2">
      <c r="Z30683" t="str">
        <f t="shared" si="479"/>
        <v/>
      </c>
    </row>
    <row r="30684" spans="26:26" x14ac:dyDescent="0.2">
      <c r="Z30684" t="str">
        <f t="shared" si="479"/>
        <v/>
      </c>
    </row>
    <row r="30685" spans="26:26" x14ac:dyDescent="0.2">
      <c r="Z30685" t="str">
        <f t="shared" si="479"/>
        <v/>
      </c>
    </row>
    <row r="30686" spans="26:26" x14ac:dyDescent="0.2">
      <c r="Z30686" t="str">
        <f t="shared" si="479"/>
        <v/>
      </c>
    </row>
    <row r="30687" spans="26:26" x14ac:dyDescent="0.2">
      <c r="Z30687" t="str">
        <f t="shared" si="479"/>
        <v/>
      </c>
    </row>
    <row r="30688" spans="26:26" x14ac:dyDescent="0.2">
      <c r="Z30688" t="str">
        <f t="shared" si="479"/>
        <v/>
      </c>
    </row>
    <row r="30689" spans="26:26" x14ac:dyDescent="0.2">
      <c r="Z30689" t="str">
        <f t="shared" si="479"/>
        <v/>
      </c>
    </row>
    <row r="30690" spans="26:26" x14ac:dyDescent="0.2">
      <c r="Z30690" t="str">
        <f t="shared" si="479"/>
        <v/>
      </c>
    </row>
    <row r="30691" spans="26:26" x14ac:dyDescent="0.2">
      <c r="Z30691" t="str">
        <f t="shared" si="479"/>
        <v/>
      </c>
    </row>
    <row r="30692" spans="26:26" x14ac:dyDescent="0.2">
      <c r="Z30692" t="str">
        <f t="shared" si="479"/>
        <v/>
      </c>
    </row>
    <row r="30693" spans="26:26" x14ac:dyDescent="0.2">
      <c r="Z30693" t="str">
        <f t="shared" si="479"/>
        <v/>
      </c>
    </row>
    <row r="30694" spans="26:26" x14ac:dyDescent="0.2">
      <c r="Z30694" t="str">
        <f t="shared" si="479"/>
        <v/>
      </c>
    </row>
    <row r="30695" spans="26:26" x14ac:dyDescent="0.2">
      <c r="Z30695" t="str">
        <f t="shared" si="479"/>
        <v/>
      </c>
    </row>
    <row r="30696" spans="26:26" x14ac:dyDescent="0.2">
      <c r="Z30696" t="str">
        <f t="shared" si="479"/>
        <v/>
      </c>
    </row>
    <row r="30697" spans="26:26" x14ac:dyDescent="0.2">
      <c r="Z30697" t="str">
        <f t="shared" si="479"/>
        <v/>
      </c>
    </row>
    <row r="30698" spans="26:26" x14ac:dyDescent="0.2">
      <c r="Z30698" t="str">
        <f t="shared" si="479"/>
        <v/>
      </c>
    </row>
    <row r="30699" spans="26:26" x14ac:dyDescent="0.2">
      <c r="Z30699" t="str">
        <f t="shared" si="479"/>
        <v/>
      </c>
    </row>
    <row r="30700" spans="26:26" x14ac:dyDescent="0.2">
      <c r="Z30700" t="str">
        <f t="shared" si="479"/>
        <v/>
      </c>
    </row>
    <row r="30701" spans="26:26" x14ac:dyDescent="0.2">
      <c r="Z30701" t="str">
        <f t="shared" si="479"/>
        <v/>
      </c>
    </row>
    <row r="30702" spans="26:26" x14ac:dyDescent="0.2">
      <c r="Z30702" t="str">
        <f t="shared" si="479"/>
        <v/>
      </c>
    </row>
    <row r="30703" spans="26:26" x14ac:dyDescent="0.2">
      <c r="Z30703" t="str">
        <f t="shared" si="479"/>
        <v/>
      </c>
    </row>
    <row r="30704" spans="26:26" x14ac:dyDescent="0.2">
      <c r="Z30704" t="str">
        <f t="shared" si="479"/>
        <v/>
      </c>
    </row>
    <row r="30705" spans="26:26" x14ac:dyDescent="0.2">
      <c r="Z30705" t="str">
        <f t="shared" si="479"/>
        <v/>
      </c>
    </row>
    <row r="30706" spans="26:26" x14ac:dyDescent="0.2">
      <c r="Z30706" t="str">
        <f t="shared" si="479"/>
        <v/>
      </c>
    </row>
    <row r="30707" spans="26:26" x14ac:dyDescent="0.2">
      <c r="Z30707" t="str">
        <f t="shared" si="479"/>
        <v/>
      </c>
    </row>
    <row r="30708" spans="26:26" x14ac:dyDescent="0.2">
      <c r="Z30708" t="str">
        <f t="shared" si="479"/>
        <v/>
      </c>
    </row>
    <row r="30709" spans="26:26" x14ac:dyDescent="0.2">
      <c r="Z30709" t="str">
        <f t="shared" si="479"/>
        <v/>
      </c>
    </row>
    <row r="30710" spans="26:26" x14ac:dyDescent="0.2">
      <c r="Z30710" t="str">
        <f t="shared" si="479"/>
        <v/>
      </c>
    </row>
    <row r="30711" spans="26:26" x14ac:dyDescent="0.2">
      <c r="Z30711" t="str">
        <f t="shared" si="479"/>
        <v/>
      </c>
    </row>
    <row r="30712" spans="26:26" x14ac:dyDescent="0.2">
      <c r="Z30712" t="str">
        <f t="shared" si="479"/>
        <v/>
      </c>
    </row>
    <row r="30713" spans="26:26" x14ac:dyDescent="0.2">
      <c r="Z30713" t="str">
        <f t="shared" si="479"/>
        <v/>
      </c>
    </row>
    <row r="30714" spans="26:26" x14ac:dyDescent="0.2">
      <c r="Z30714" t="str">
        <f t="shared" si="479"/>
        <v/>
      </c>
    </row>
    <row r="30715" spans="26:26" x14ac:dyDescent="0.2">
      <c r="Z30715" t="str">
        <f t="shared" si="479"/>
        <v/>
      </c>
    </row>
    <row r="30716" spans="26:26" x14ac:dyDescent="0.2">
      <c r="Z30716" t="str">
        <f t="shared" si="479"/>
        <v/>
      </c>
    </row>
    <row r="30717" spans="26:26" x14ac:dyDescent="0.2">
      <c r="Z30717" t="str">
        <f t="shared" si="479"/>
        <v/>
      </c>
    </row>
    <row r="30718" spans="26:26" x14ac:dyDescent="0.2">
      <c r="Z30718" t="str">
        <f t="shared" si="479"/>
        <v/>
      </c>
    </row>
    <row r="30719" spans="26:26" x14ac:dyDescent="0.2">
      <c r="Z30719" t="str">
        <f t="shared" si="479"/>
        <v/>
      </c>
    </row>
    <row r="30720" spans="26:26" x14ac:dyDescent="0.2">
      <c r="Z30720" t="str">
        <f t="shared" si="479"/>
        <v/>
      </c>
    </row>
    <row r="30721" spans="26:26" x14ac:dyDescent="0.2">
      <c r="Z30721" t="str">
        <f t="shared" si="479"/>
        <v/>
      </c>
    </row>
    <row r="30722" spans="26:26" x14ac:dyDescent="0.2">
      <c r="Z30722" t="str">
        <f t="shared" si="479"/>
        <v/>
      </c>
    </row>
    <row r="30723" spans="26:26" x14ac:dyDescent="0.2">
      <c r="Z30723" t="str">
        <f t="shared" ref="Z30723:Z30786" si="480">IF(K30723="","",IFERROR(VALUE(TRIM(MID(K30723,FIND(CHAR(167),SUBSTITUTE(K30723,"-",CHAR(167),LEN(K30723)-LEN(SUBSTITUTE(K30723,"-",""))))+1,100))),K30723))</f>
        <v/>
      </c>
    </row>
    <row r="30724" spans="26:26" x14ac:dyDescent="0.2">
      <c r="Z30724" t="str">
        <f t="shared" si="480"/>
        <v/>
      </c>
    </row>
    <row r="30725" spans="26:26" x14ac:dyDescent="0.2">
      <c r="Z30725" t="str">
        <f t="shared" si="480"/>
        <v/>
      </c>
    </row>
    <row r="30726" spans="26:26" x14ac:dyDescent="0.2">
      <c r="Z30726" t="str">
        <f t="shared" si="480"/>
        <v/>
      </c>
    </row>
    <row r="30727" spans="26:26" x14ac:dyDescent="0.2">
      <c r="Z30727" t="str">
        <f t="shared" si="480"/>
        <v/>
      </c>
    </row>
    <row r="30728" spans="26:26" x14ac:dyDescent="0.2">
      <c r="Z30728" t="str">
        <f t="shared" si="480"/>
        <v/>
      </c>
    </row>
    <row r="30729" spans="26:26" x14ac:dyDescent="0.2">
      <c r="Z30729" t="str">
        <f t="shared" si="480"/>
        <v/>
      </c>
    </row>
    <row r="30730" spans="26:26" x14ac:dyDescent="0.2">
      <c r="Z30730" t="str">
        <f t="shared" si="480"/>
        <v/>
      </c>
    </row>
    <row r="30731" spans="26:26" x14ac:dyDescent="0.2">
      <c r="Z30731" t="str">
        <f t="shared" si="480"/>
        <v/>
      </c>
    </row>
    <row r="30732" spans="26:26" x14ac:dyDescent="0.2">
      <c r="Z30732" t="str">
        <f t="shared" si="480"/>
        <v/>
      </c>
    </row>
    <row r="30733" spans="26:26" x14ac:dyDescent="0.2">
      <c r="Z30733" t="str">
        <f t="shared" si="480"/>
        <v/>
      </c>
    </row>
    <row r="30734" spans="26:26" x14ac:dyDescent="0.2">
      <c r="Z30734" t="str">
        <f t="shared" si="480"/>
        <v/>
      </c>
    </row>
    <row r="30735" spans="26:26" x14ac:dyDescent="0.2">
      <c r="Z30735" t="str">
        <f t="shared" si="480"/>
        <v/>
      </c>
    </row>
    <row r="30736" spans="26:26" x14ac:dyDescent="0.2">
      <c r="Z30736" t="str">
        <f t="shared" si="480"/>
        <v/>
      </c>
    </row>
    <row r="30737" spans="26:26" x14ac:dyDescent="0.2">
      <c r="Z30737" t="str">
        <f t="shared" si="480"/>
        <v/>
      </c>
    </row>
    <row r="30738" spans="26:26" x14ac:dyDescent="0.2">
      <c r="Z30738" t="str">
        <f t="shared" si="480"/>
        <v/>
      </c>
    </row>
    <row r="30739" spans="26:26" x14ac:dyDescent="0.2">
      <c r="Z30739" t="str">
        <f t="shared" si="480"/>
        <v/>
      </c>
    </row>
    <row r="30740" spans="26:26" x14ac:dyDescent="0.2">
      <c r="Z30740" t="str">
        <f t="shared" si="480"/>
        <v/>
      </c>
    </row>
    <row r="30741" spans="26:26" x14ac:dyDescent="0.2">
      <c r="Z30741" t="str">
        <f t="shared" si="480"/>
        <v/>
      </c>
    </row>
    <row r="30742" spans="26:26" x14ac:dyDescent="0.2">
      <c r="Z30742" t="str">
        <f t="shared" si="480"/>
        <v/>
      </c>
    </row>
    <row r="30743" spans="26:26" x14ac:dyDescent="0.2">
      <c r="Z30743" t="str">
        <f t="shared" si="480"/>
        <v/>
      </c>
    </row>
    <row r="30744" spans="26:26" x14ac:dyDescent="0.2">
      <c r="Z30744" t="str">
        <f t="shared" si="480"/>
        <v/>
      </c>
    </row>
    <row r="30745" spans="26:26" x14ac:dyDescent="0.2">
      <c r="Z30745" t="str">
        <f t="shared" si="480"/>
        <v/>
      </c>
    </row>
    <row r="30746" spans="26:26" x14ac:dyDescent="0.2">
      <c r="Z30746" t="str">
        <f t="shared" si="480"/>
        <v/>
      </c>
    </row>
    <row r="30747" spans="26:26" x14ac:dyDescent="0.2">
      <c r="Z30747" t="str">
        <f t="shared" si="480"/>
        <v/>
      </c>
    </row>
    <row r="30748" spans="26:26" x14ac:dyDescent="0.2">
      <c r="Z30748" t="str">
        <f t="shared" si="480"/>
        <v/>
      </c>
    </row>
    <row r="30749" spans="26:26" x14ac:dyDescent="0.2">
      <c r="Z30749" t="str">
        <f t="shared" si="480"/>
        <v/>
      </c>
    </row>
    <row r="30750" spans="26:26" x14ac:dyDescent="0.2">
      <c r="Z30750" t="str">
        <f t="shared" si="480"/>
        <v/>
      </c>
    </row>
    <row r="30751" spans="26:26" x14ac:dyDescent="0.2">
      <c r="Z30751" t="str">
        <f t="shared" si="480"/>
        <v/>
      </c>
    </row>
    <row r="30752" spans="26:26" x14ac:dyDescent="0.2">
      <c r="Z30752" t="str">
        <f t="shared" si="480"/>
        <v/>
      </c>
    </row>
    <row r="30753" spans="26:26" x14ac:dyDescent="0.2">
      <c r="Z30753" t="str">
        <f t="shared" si="480"/>
        <v/>
      </c>
    </row>
    <row r="30754" spans="26:26" x14ac:dyDescent="0.2">
      <c r="Z30754" t="str">
        <f t="shared" si="480"/>
        <v/>
      </c>
    </row>
    <row r="30755" spans="26:26" x14ac:dyDescent="0.2">
      <c r="Z30755" t="str">
        <f t="shared" si="480"/>
        <v/>
      </c>
    </row>
    <row r="30756" spans="26:26" x14ac:dyDescent="0.2">
      <c r="Z30756" t="str">
        <f t="shared" si="480"/>
        <v/>
      </c>
    </row>
    <row r="30757" spans="26:26" x14ac:dyDescent="0.2">
      <c r="Z30757" t="str">
        <f t="shared" si="480"/>
        <v/>
      </c>
    </row>
    <row r="30758" spans="26:26" x14ac:dyDescent="0.2">
      <c r="Z30758" t="str">
        <f t="shared" si="480"/>
        <v/>
      </c>
    </row>
    <row r="30759" spans="26:26" x14ac:dyDescent="0.2">
      <c r="Z30759" t="str">
        <f t="shared" si="480"/>
        <v/>
      </c>
    </row>
    <row r="30760" spans="26:26" x14ac:dyDescent="0.2">
      <c r="Z30760" t="str">
        <f t="shared" si="480"/>
        <v/>
      </c>
    </row>
    <row r="30761" spans="26:26" x14ac:dyDescent="0.2">
      <c r="Z30761" t="str">
        <f t="shared" si="480"/>
        <v/>
      </c>
    </row>
    <row r="30762" spans="26:26" x14ac:dyDescent="0.2">
      <c r="Z30762" t="str">
        <f t="shared" si="480"/>
        <v/>
      </c>
    </row>
    <row r="30763" spans="26:26" x14ac:dyDescent="0.2">
      <c r="Z30763" t="str">
        <f t="shared" si="480"/>
        <v/>
      </c>
    </row>
    <row r="30764" spans="26:26" x14ac:dyDescent="0.2">
      <c r="Z30764" t="str">
        <f t="shared" si="480"/>
        <v/>
      </c>
    </row>
    <row r="30765" spans="26:26" x14ac:dyDescent="0.2">
      <c r="Z30765" t="str">
        <f t="shared" si="480"/>
        <v/>
      </c>
    </row>
    <row r="30766" spans="26:26" x14ac:dyDescent="0.2">
      <c r="Z30766" t="str">
        <f t="shared" si="480"/>
        <v/>
      </c>
    </row>
    <row r="30767" spans="26:26" x14ac:dyDescent="0.2">
      <c r="Z30767" t="str">
        <f t="shared" si="480"/>
        <v/>
      </c>
    </row>
    <row r="30768" spans="26:26" x14ac:dyDescent="0.2">
      <c r="Z30768" t="str">
        <f t="shared" si="480"/>
        <v/>
      </c>
    </row>
    <row r="30769" spans="26:26" x14ac:dyDescent="0.2">
      <c r="Z30769" t="str">
        <f t="shared" si="480"/>
        <v/>
      </c>
    </row>
    <row r="30770" spans="26:26" x14ac:dyDescent="0.2">
      <c r="Z30770" t="str">
        <f t="shared" si="480"/>
        <v/>
      </c>
    </row>
    <row r="30771" spans="26:26" x14ac:dyDescent="0.2">
      <c r="Z30771" t="str">
        <f t="shared" si="480"/>
        <v/>
      </c>
    </row>
    <row r="30772" spans="26:26" x14ac:dyDescent="0.2">
      <c r="Z30772" t="str">
        <f t="shared" si="480"/>
        <v/>
      </c>
    </row>
    <row r="30773" spans="26:26" x14ac:dyDescent="0.2">
      <c r="Z30773" t="str">
        <f t="shared" si="480"/>
        <v/>
      </c>
    </row>
    <row r="30774" spans="26:26" x14ac:dyDescent="0.2">
      <c r="Z30774" t="str">
        <f t="shared" si="480"/>
        <v/>
      </c>
    </row>
    <row r="30775" spans="26:26" x14ac:dyDescent="0.2">
      <c r="Z30775" t="str">
        <f t="shared" si="480"/>
        <v/>
      </c>
    </row>
    <row r="30776" spans="26:26" x14ac:dyDescent="0.2">
      <c r="Z30776" t="str">
        <f t="shared" si="480"/>
        <v/>
      </c>
    </row>
    <row r="30777" spans="26:26" x14ac:dyDescent="0.2">
      <c r="Z30777" t="str">
        <f t="shared" si="480"/>
        <v/>
      </c>
    </row>
    <row r="30778" spans="26:26" x14ac:dyDescent="0.2">
      <c r="Z30778" t="str">
        <f t="shared" si="480"/>
        <v/>
      </c>
    </row>
    <row r="30779" spans="26:26" x14ac:dyDescent="0.2">
      <c r="Z30779" t="str">
        <f t="shared" si="480"/>
        <v/>
      </c>
    </row>
    <row r="30780" spans="26:26" x14ac:dyDescent="0.2">
      <c r="Z30780" t="str">
        <f t="shared" si="480"/>
        <v/>
      </c>
    </row>
    <row r="30781" spans="26:26" x14ac:dyDescent="0.2">
      <c r="Z30781" t="str">
        <f t="shared" si="480"/>
        <v/>
      </c>
    </row>
    <row r="30782" spans="26:26" x14ac:dyDescent="0.2">
      <c r="Z30782" t="str">
        <f t="shared" si="480"/>
        <v/>
      </c>
    </row>
    <row r="30783" spans="26:26" x14ac:dyDescent="0.2">
      <c r="Z30783" t="str">
        <f t="shared" si="480"/>
        <v/>
      </c>
    </row>
    <row r="30784" spans="26:26" x14ac:dyDescent="0.2">
      <c r="Z30784" t="str">
        <f t="shared" si="480"/>
        <v/>
      </c>
    </row>
    <row r="30785" spans="26:26" x14ac:dyDescent="0.2">
      <c r="Z30785" t="str">
        <f t="shared" si="480"/>
        <v/>
      </c>
    </row>
    <row r="30786" spans="26:26" x14ac:dyDescent="0.2">
      <c r="Z30786" t="str">
        <f t="shared" si="480"/>
        <v/>
      </c>
    </row>
    <row r="30787" spans="26:26" x14ac:dyDescent="0.2">
      <c r="Z30787" t="str">
        <f t="shared" ref="Z30787:Z30850" si="481">IF(K30787="","",IFERROR(VALUE(TRIM(MID(K30787,FIND(CHAR(167),SUBSTITUTE(K30787,"-",CHAR(167),LEN(K30787)-LEN(SUBSTITUTE(K30787,"-",""))))+1,100))),K30787))</f>
        <v/>
      </c>
    </row>
    <row r="30788" spans="26:26" x14ac:dyDescent="0.2">
      <c r="Z30788" t="str">
        <f t="shared" si="481"/>
        <v/>
      </c>
    </row>
    <row r="30789" spans="26:26" x14ac:dyDescent="0.2">
      <c r="Z30789" t="str">
        <f t="shared" si="481"/>
        <v/>
      </c>
    </row>
    <row r="30790" spans="26:26" x14ac:dyDescent="0.2">
      <c r="Z30790" t="str">
        <f t="shared" si="481"/>
        <v/>
      </c>
    </row>
    <row r="30791" spans="26:26" x14ac:dyDescent="0.2">
      <c r="Z30791" t="str">
        <f t="shared" si="481"/>
        <v/>
      </c>
    </row>
    <row r="30792" spans="26:26" x14ac:dyDescent="0.2">
      <c r="Z30792" t="str">
        <f t="shared" si="481"/>
        <v/>
      </c>
    </row>
    <row r="30793" spans="26:26" x14ac:dyDescent="0.2">
      <c r="Z30793" t="str">
        <f t="shared" si="481"/>
        <v/>
      </c>
    </row>
    <row r="30794" spans="26:26" x14ac:dyDescent="0.2">
      <c r="Z30794" t="str">
        <f t="shared" si="481"/>
        <v/>
      </c>
    </row>
    <row r="30795" spans="26:26" x14ac:dyDescent="0.2">
      <c r="Z30795" t="str">
        <f t="shared" si="481"/>
        <v/>
      </c>
    </row>
    <row r="30796" spans="26:26" x14ac:dyDescent="0.2">
      <c r="Z30796" t="str">
        <f t="shared" si="481"/>
        <v/>
      </c>
    </row>
    <row r="30797" spans="26:26" x14ac:dyDescent="0.2">
      <c r="Z30797" t="str">
        <f t="shared" si="481"/>
        <v/>
      </c>
    </row>
    <row r="30798" spans="26:26" x14ac:dyDescent="0.2">
      <c r="Z30798" t="str">
        <f t="shared" si="481"/>
        <v/>
      </c>
    </row>
    <row r="30799" spans="26:26" x14ac:dyDescent="0.2">
      <c r="Z30799" t="str">
        <f t="shared" si="481"/>
        <v/>
      </c>
    </row>
    <row r="30800" spans="26:26" x14ac:dyDescent="0.2">
      <c r="Z30800" t="str">
        <f t="shared" si="481"/>
        <v/>
      </c>
    </row>
    <row r="30801" spans="26:26" x14ac:dyDescent="0.2">
      <c r="Z30801" t="str">
        <f t="shared" si="481"/>
        <v/>
      </c>
    </row>
    <row r="30802" spans="26:26" x14ac:dyDescent="0.2">
      <c r="Z30802" t="str">
        <f t="shared" si="481"/>
        <v/>
      </c>
    </row>
    <row r="30803" spans="26:26" x14ac:dyDescent="0.2">
      <c r="Z30803" t="str">
        <f t="shared" si="481"/>
        <v/>
      </c>
    </row>
    <row r="30804" spans="26:26" x14ac:dyDescent="0.2">
      <c r="Z30804" t="str">
        <f t="shared" si="481"/>
        <v/>
      </c>
    </row>
    <row r="30805" spans="26:26" x14ac:dyDescent="0.2">
      <c r="Z30805" t="str">
        <f t="shared" si="481"/>
        <v/>
      </c>
    </row>
    <row r="30806" spans="26:26" x14ac:dyDescent="0.2">
      <c r="Z30806" t="str">
        <f t="shared" si="481"/>
        <v/>
      </c>
    </row>
    <row r="30807" spans="26:26" x14ac:dyDescent="0.2">
      <c r="Z30807" t="str">
        <f t="shared" si="481"/>
        <v/>
      </c>
    </row>
    <row r="30808" spans="26:26" x14ac:dyDescent="0.2">
      <c r="Z30808" t="str">
        <f t="shared" si="481"/>
        <v/>
      </c>
    </row>
    <row r="30809" spans="26:26" x14ac:dyDescent="0.2">
      <c r="Z30809" t="str">
        <f t="shared" si="481"/>
        <v/>
      </c>
    </row>
    <row r="30810" spans="26:26" x14ac:dyDescent="0.2">
      <c r="Z30810" t="str">
        <f t="shared" si="481"/>
        <v/>
      </c>
    </row>
    <row r="30811" spans="26:26" x14ac:dyDescent="0.2">
      <c r="Z30811" t="str">
        <f t="shared" si="481"/>
        <v/>
      </c>
    </row>
    <row r="30812" spans="26:26" x14ac:dyDescent="0.2">
      <c r="Z30812" t="str">
        <f t="shared" si="481"/>
        <v/>
      </c>
    </row>
    <row r="30813" spans="26:26" x14ac:dyDescent="0.2">
      <c r="Z30813" t="str">
        <f t="shared" si="481"/>
        <v/>
      </c>
    </row>
    <row r="30814" spans="26:26" x14ac:dyDescent="0.2">
      <c r="Z30814" t="str">
        <f t="shared" si="481"/>
        <v/>
      </c>
    </row>
    <row r="30815" spans="26:26" x14ac:dyDescent="0.2">
      <c r="Z30815" t="str">
        <f t="shared" si="481"/>
        <v/>
      </c>
    </row>
    <row r="30816" spans="26:26" x14ac:dyDescent="0.2">
      <c r="Z30816" t="str">
        <f t="shared" si="481"/>
        <v/>
      </c>
    </row>
    <row r="30817" spans="26:26" x14ac:dyDescent="0.2">
      <c r="Z30817" t="str">
        <f t="shared" si="481"/>
        <v/>
      </c>
    </row>
    <row r="30818" spans="26:26" x14ac:dyDescent="0.2">
      <c r="Z30818" t="str">
        <f t="shared" si="481"/>
        <v/>
      </c>
    </row>
    <row r="30819" spans="26:26" x14ac:dyDescent="0.2">
      <c r="Z30819" t="str">
        <f t="shared" si="481"/>
        <v/>
      </c>
    </row>
    <row r="30820" spans="26:26" x14ac:dyDescent="0.2">
      <c r="Z30820" t="str">
        <f t="shared" si="481"/>
        <v/>
      </c>
    </row>
    <row r="30821" spans="26:26" x14ac:dyDescent="0.2">
      <c r="Z30821" t="str">
        <f t="shared" si="481"/>
        <v/>
      </c>
    </row>
    <row r="30822" spans="26:26" x14ac:dyDescent="0.2">
      <c r="Z30822" t="str">
        <f t="shared" si="481"/>
        <v/>
      </c>
    </row>
    <row r="30823" spans="26:26" x14ac:dyDescent="0.2">
      <c r="Z30823" t="str">
        <f t="shared" si="481"/>
        <v/>
      </c>
    </row>
    <row r="30824" spans="26:26" x14ac:dyDescent="0.2">
      <c r="Z30824" t="str">
        <f t="shared" si="481"/>
        <v/>
      </c>
    </row>
    <row r="30825" spans="26:26" x14ac:dyDescent="0.2">
      <c r="Z30825" t="str">
        <f t="shared" si="481"/>
        <v/>
      </c>
    </row>
    <row r="30826" spans="26:26" x14ac:dyDescent="0.2">
      <c r="Z30826" t="str">
        <f t="shared" si="481"/>
        <v/>
      </c>
    </row>
    <row r="30827" spans="26:26" x14ac:dyDescent="0.2">
      <c r="Z30827" t="str">
        <f t="shared" si="481"/>
        <v/>
      </c>
    </row>
    <row r="30828" spans="26:26" x14ac:dyDescent="0.2">
      <c r="Z30828" t="str">
        <f t="shared" si="481"/>
        <v/>
      </c>
    </row>
    <row r="30829" spans="26:26" x14ac:dyDescent="0.2">
      <c r="Z30829" t="str">
        <f t="shared" si="481"/>
        <v/>
      </c>
    </row>
    <row r="30830" spans="26:26" x14ac:dyDescent="0.2">
      <c r="Z30830" t="str">
        <f t="shared" si="481"/>
        <v/>
      </c>
    </row>
    <row r="30831" spans="26:26" x14ac:dyDescent="0.2">
      <c r="Z30831" t="str">
        <f t="shared" si="481"/>
        <v/>
      </c>
    </row>
    <row r="30832" spans="26:26" x14ac:dyDescent="0.2">
      <c r="Z30832" t="str">
        <f t="shared" si="481"/>
        <v/>
      </c>
    </row>
    <row r="30833" spans="26:26" x14ac:dyDescent="0.2">
      <c r="Z30833" t="str">
        <f t="shared" si="481"/>
        <v/>
      </c>
    </row>
    <row r="30834" spans="26:26" x14ac:dyDescent="0.2">
      <c r="Z30834" t="str">
        <f t="shared" si="481"/>
        <v/>
      </c>
    </row>
    <row r="30835" spans="26:26" x14ac:dyDescent="0.2">
      <c r="Z30835" t="str">
        <f t="shared" si="481"/>
        <v/>
      </c>
    </row>
    <row r="30836" spans="26:26" x14ac:dyDescent="0.2">
      <c r="Z30836" t="str">
        <f t="shared" si="481"/>
        <v/>
      </c>
    </row>
    <row r="30837" spans="26:26" x14ac:dyDescent="0.2">
      <c r="Z30837" t="str">
        <f t="shared" si="481"/>
        <v/>
      </c>
    </row>
    <row r="30838" spans="26:26" x14ac:dyDescent="0.2">
      <c r="Z30838" t="str">
        <f t="shared" si="481"/>
        <v/>
      </c>
    </row>
    <row r="30839" spans="26:26" x14ac:dyDescent="0.2">
      <c r="Z30839" t="str">
        <f t="shared" si="481"/>
        <v/>
      </c>
    </row>
    <row r="30840" spans="26:26" x14ac:dyDescent="0.2">
      <c r="Z30840" t="str">
        <f t="shared" si="481"/>
        <v/>
      </c>
    </row>
    <row r="30841" spans="26:26" x14ac:dyDescent="0.2">
      <c r="Z30841" t="str">
        <f t="shared" si="481"/>
        <v/>
      </c>
    </row>
    <row r="30842" spans="26:26" x14ac:dyDescent="0.2">
      <c r="Z30842" t="str">
        <f t="shared" si="481"/>
        <v/>
      </c>
    </row>
    <row r="30843" spans="26:26" x14ac:dyDescent="0.2">
      <c r="Z30843" t="str">
        <f t="shared" si="481"/>
        <v/>
      </c>
    </row>
    <row r="30844" spans="26:26" x14ac:dyDescent="0.2">
      <c r="Z30844" t="str">
        <f t="shared" si="481"/>
        <v/>
      </c>
    </row>
    <row r="30845" spans="26:26" x14ac:dyDescent="0.2">
      <c r="Z30845" t="str">
        <f t="shared" si="481"/>
        <v/>
      </c>
    </row>
    <row r="30846" spans="26:26" x14ac:dyDescent="0.2">
      <c r="Z30846" t="str">
        <f t="shared" si="481"/>
        <v/>
      </c>
    </row>
    <row r="30847" spans="26:26" x14ac:dyDescent="0.2">
      <c r="Z30847" t="str">
        <f t="shared" si="481"/>
        <v/>
      </c>
    </row>
    <row r="30848" spans="26:26" x14ac:dyDescent="0.2">
      <c r="Z30848" t="str">
        <f t="shared" si="481"/>
        <v/>
      </c>
    </row>
    <row r="30849" spans="26:26" x14ac:dyDescent="0.2">
      <c r="Z30849" t="str">
        <f t="shared" si="481"/>
        <v/>
      </c>
    </row>
    <row r="30850" spans="26:26" x14ac:dyDescent="0.2">
      <c r="Z30850" t="str">
        <f t="shared" si="481"/>
        <v/>
      </c>
    </row>
    <row r="30851" spans="26:26" x14ac:dyDescent="0.2">
      <c r="Z30851" t="str">
        <f t="shared" ref="Z30851:Z30914" si="482">IF(K30851="","",IFERROR(VALUE(TRIM(MID(K30851,FIND(CHAR(167),SUBSTITUTE(K30851,"-",CHAR(167),LEN(K30851)-LEN(SUBSTITUTE(K30851,"-",""))))+1,100))),K30851))</f>
        <v/>
      </c>
    </row>
    <row r="30852" spans="26:26" x14ac:dyDescent="0.2">
      <c r="Z30852" t="str">
        <f t="shared" si="482"/>
        <v/>
      </c>
    </row>
    <row r="30853" spans="26:26" x14ac:dyDescent="0.2">
      <c r="Z30853" t="str">
        <f t="shared" si="482"/>
        <v/>
      </c>
    </row>
    <row r="30854" spans="26:26" x14ac:dyDescent="0.2">
      <c r="Z30854" t="str">
        <f t="shared" si="482"/>
        <v/>
      </c>
    </row>
    <row r="30855" spans="26:26" x14ac:dyDescent="0.2">
      <c r="Z30855" t="str">
        <f t="shared" si="482"/>
        <v/>
      </c>
    </row>
    <row r="30856" spans="26:26" x14ac:dyDescent="0.2">
      <c r="Z30856" t="str">
        <f t="shared" si="482"/>
        <v/>
      </c>
    </row>
    <row r="30857" spans="26:26" x14ac:dyDescent="0.2">
      <c r="Z30857" t="str">
        <f t="shared" si="482"/>
        <v/>
      </c>
    </row>
    <row r="30858" spans="26:26" x14ac:dyDescent="0.2">
      <c r="Z30858" t="str">
        <f t="shared" si="482"/>
        <v/>
      </c>
    </row>
    <row r="30859" spans="26:26" x14ac:dyDescent="0.2">
      <c r="Z30859" t="str">
        <f t="shared" si="482"/>
        <v/>
      </c>
    </row>
    <row r="30860" spans="26:26" x14ac:dyDescent="0.2">
      <c r="Z30860" t="str">
        <f t="shared" si="482"/>
        <v/>
      </c>
    </row>
    <row r="30861" spans="26:26" x14ac:dyDescent="0.2">
      <c r="Z30861" t="str">
        <f t="shared" si="482"/>
        <v/>
      </c>
    </row>
    <row r="30862" spans="26:26" x14ac:dyDescent="0.2">
      <c r="Z30862" t="str">
        <f t="shared" si="482"/>
        <v/>
      </c>
    </row>
    <row r="30863" spans="26:26" x14ac:dyDescent="0.2">
      <c r="Z30863" t="str">
        <f t="shared" si="482"/>
        <v/>
      </c>
    </row>
    <row r="30864" spans="26:26" x14ac:dyDescent="0.2">
      <c r="Z30864" t="str">
        <f t="shared" si="482"/>
        <v/>
      </c>
    </row>
    <row r="30865" spans="26:26" x14ac:dyDescent="0.2">
      <c r="Z30865" t="str">
        <f t="shared" si="482"/>
        <v/>
      </c>
    </row>
    <row r="30866" spans="26:26" x14ac:dyDescent="0.2">
      <c r="Z30866" t="str">
        <f t="shared" si="482"/>
        <v/>
      </c>
    </row>
    <row r="30867" spans="26:26" x14ac:dyDescent="0.2">
      <c r="Z30867" t="str">
        <f t="shared" si="482"/>
        <v/>
      </c>
    </row>
    <row r="30868" spans="26:26" x14ac:dyDescent="0.2">
      <c r="Z30868" t="str">
        <f t="shared" si="482"/>
        <v/>
      </c>
    </row>
    <row r="30869" spans="26:26" x14ac:dyDescent="0.2">
      <c r="Z30869" t="str">
        <f t="shared" si="482"/>
        <v/>
      </c>
    </row>
    <row r="30870" spans="26:26" x14ac:dyDescent="0.2">
      <c r="Z30870" t="str">
        <f t="shared" si="482"/>
        <v/>
      </c>
    </row>
    <row r="30871" spans="26:26" x14ac:dyDescent="0.2">
      <c r="Z30871" t="str">
        <f t="shared" si="482"/>
        <v/>
      </c>
    </row>
    <row r="30872" spans="26:26" x14ac:dyDescent="0.2">
      <c r="Z30872" t="str">
        <f t="shared" si="482"/>
        <v/>
      </c>
    </row>
    <row r="30873" spans="26:26" x14ac:dyDescent="0.2">
      <c r="Z30873" t="str">
        <f t="shared" si="482"/>
        <v/>
      </c>
    </row>
    <row r="30874" spans="26:26" x14ac:dyDescent="0.2">
      <c r="Z30874" t="str">
        <f t="shared" si="482"/>
        <v/>
      </c>
    </row>
    <row r="30875" spans="26:26" x14ac:dyDescent="0.2">
      <c r="Z30875" t="str">
        <f t="shared" si="482"/>
        <v/>
      </c>
    </row>
    <row r="30876" spans="26:26" x14ac:dyDescent="0.2">
      <c r="Z30876" t="str">
        <f t="shared" si="482"/>
        <v/>
      </c>
    </row>
    <row r="30877" spans="26:26" x14ac:dyDescent="0.2">
      <c r="Z30877" t="str">
        <f t="shared" si="482"/>
        <v/>
      </c>
    </row>
    <row r="30878" spans="26:26" x14ac:dyDescent="0.2">
      <c r="Z30878" t="str">
        <f t="shared" si="482"/>
        <v/>
      </c>
    </row>
    <row r="30879" spans="26:26" x14ac:dyDescent="0.2">
      <c r="Z30879" t="str">
        <f t="shared" si="482"/>
        <v/>
      </c>
    </row>
    <row r="30880" spans="26:26" x14ac:dyDescent="0.2">
      <c r="Z30880" t="str">
        <f t="shared" si="482"/>
        <v/>
      </c>
    </row>
    <row r="30881" spans="26:26" x14ac:dyDescent="0.2">
      <c r="Z30881" t="str">
        <f t="shared" si="482"/>
        <v/>
      </c>
    </row>
    <row r="30882" spans="26:26" x14ac:dyDescent="0.2">
      <c r="Z30882" t="str">
        <f t="shared" si="482"/>
        <v/>
      </c>
    </row>
    <row r="30883" spans="26:26" x14ac:dyDescent="0.2">
      <c r="Z30883" t="str">
        <f t="shared" si="482"/>
        <v/>
      </c>
    </row>
    <row r="30884" spans="26:26" x14ac:dyDescent="0.2">
      <c r="Z30884" t="str">
        <f t="shared" si="482"/>
        <v/>
      </c>
    </row>
    <row r="30885" spans="26:26" x14ac:dyDescent="0.2">
      <c r="Z30885" t="str">
        <f t="shared" si="482"/>
        <v/>
      </c>
    </row>
    <row r="30886" spans="26:26" x14ac:dyDescent="0.2">
      <c r="Z30886" t="str">
        <f t="shared" si="482"/>
        <v/>
      </c>
    </row>
    <row r="30887" spans="26:26" x14ac:dyDescent="0.2">
      <c r="Z30887" t="str">
        <f t="shared" si="482"/>
        <v/>
      </c>
    </row>
    <row r="30888" spans="26:26" x14ac:dyDescent="0.2">
      <c r="Z30888" t="str">
        <f t="shared" si="482"/>
        <v/>
      </c>
    </row>
    <row r="30889" spans="26:26" x14ac:dyDescent="0.2">
      <c r="Z30889" t="str">
        <f t="shared" si="482"/>
        <v/>
      </c>
    </row>
    <row r="30890" spans="26:26" x14ac:dyDescent="0.2">
      <c r="Z30890" t="str">
        <f t="shared" si="482"/>
        <v/>
      </c>
    </row>
    <row r="30891" spans="26:26" x14ac:dyDescent="0.2">
      <c r="Z30891" t="str">
        <f t="shared" si="482"/>
        <v/>
      </c>
    </row>
    <row r="30892" spans="26:26" x14ac:dyDescent="0.2">
      <c r="Z30892" t="str">
        <f t="shared" si="482"/>
        <v/>
      </c>
    </row>
    <row r="30893" spans="26:26" x14ac:dyDescent="0.2">
      <c r="Z30893" t="str">
        <f t="shared" si="482"/>
        <v/>
      </c>
    </row>
    <row r="30894" spans="26:26" x14ac:dyDescent="0.2">
      <c r="Z30894" t="str">
        <f t="shared" si="482"/>
        <v/>
      </c>
    </row>
    <row r="30895" spans="26:26" x14ac:dyDescent="0.2">
      <c r="Z30895" t="str">
        <f t="shared" si="482"/>
        <v/>
      </c>
    </row>
    <row r="30896" spans="26:26" x14ac:dyDescent="0.2">
      <c r="Z30896" t="str">
        <f t="shared" si="482"/>
        <v/>
      </c>
    </row>
    <row r="30897" spans="26:26" x14ac:dyDescent="0.2">
      <c r="Z30897" t="str">
        <f t="shared" si="482"/>
        <v/>
      </c>
    </row>
    <row r="30898" spans="26:26" x14ac:dyDescent="0.2">
      <c r="Z30898" t="str">
        <f t="shared" si="482"/>
        <v/>
      </c>
    </row>
    <row r="30899" spans="26:26" x14ac:dyDescent="0.2">
      <c r="Z30899" t="str">
        <f t="shared" si="482"/>
        <v/>
      </c>
    </row>
    <row r="30900" spans="26:26" x14ac:dyDescent="0.2">
      <c r="Z30900" t="str">
        <f t="shared" si="482"/>
        <v/>
      </c>
    </row>
    <row r="30901" spans="26:26" x14ac:dyDescent="0.2">
      <c r="Z30901" t="str">
        <f t="shared" si="482"/>
        <v/>
      </c>
    </row>
    <row r="30902" spans="26:26" x14ac:dyDescent="0.2">
      <c r="Z30902" t="str">
        <f t="shared" si="482"/>
        <v/>
      </c>
    </row>
    <row r="30903" spans="26:26" x14ac:dyDescent="0.2">
      <c r="Z30903" t="str">
        <f t="shared" si="482"/>
        <v/>
      </c>
    </row>
    <row r="30904" spans="26:26" x14ac:dyDescent="0.2">
      <c r="Z30904" t="str">
        <f t="shared" si="482"/>
        <v/>
      </c>
    </row>
    <row r="30905" spans="26:26" x14ac:dyDescent="0.2">
      <c r="Z30905" t="str">
        <f t="shared" si="482"/>
        <v/>
      </c>
    </row>
    <row r="30906" spans="26:26" x14ac:dyDescent="0.2">
      <c r="Z30906" t="str">
        <f t="shared" si="482"/>
        <v/>
      </c>
    </row>
    <row r="30907" spans="26:26" x14ac:dyDescent="0.2">
      <c r="Z30907" t="str">
        <f t="shared" si="482"/>
        <v/>
      </c>
    </row>
    <row r="30908" spans="26:26" x14ac:dyDescent="0.2">
      <c r="Z30908" t="str">
        <f t="shared" si="482"/>
        <v/>
      </c>
    </row>
    <row r="30909" spans="26:26" x14ac:dyDescent="0.2">
      <c r="Z30909" t="str">
        <f t="shared" si="482"/>
        <v/>
      </c>
    </row>
    <row r="30910" spans="26:26" x14ac:dyDescent="0.2">
      <c r="Z30910" t="str">
        <f t="shared" si="482"/>
        <v/>
      </c>
    </row>
    <row r="30911" spans="26:26" x14ac:dyDescent="0.2">
      <c r="Z30911" t="str">
        <f t="shared" si="482"/>
        <v/>
      </c>
    </row>
    <row r="30912" spans="26:26" x14ac:dyDescent="0.2">
      <c r="Z30912" t="str">
        <f t="shared" si="482"/>
        <v/>
      </c>
    </row>
    <row r="30913" spans="26:26" x14ac:dyDescent="0.2">
      <c r="Z30913" t="str">
        <f t="shared" si="482"/>
        <v/>
      </c>
    </row>
    <row r="30914" spans="26:26" x14ac:dyDescent="0.2">
      <c r="Z30914" t="str">
        <f t="shared" si="482"/>
        <v/>
      </c>
    </row>
    <row r="30915" spans="26:26" x14ac:dyDescent="0.2">
      <c r="Z30915" t="str">
        <f t="shared" ref="Z30915:Z30978" si="483">IF(K30915="","",IFERROR(VALUE(TRIM(MID(K30915,FIND(CHAR(167),SUBSTITUTE(K30915,"-",CHAR(167),LEN(K30915)-LEN(SUBSTITUTE(K30915,"-",""))))+1,100))),K30915))</f>
        <v/>
      </c>
    </row>
    <row r="30916" spans="26:26" x14ac:dyDescent="0.2">
      <c r="Z30916" t="str">
        <f t="shared" si="483"/>
        <v/>
      </c>
    </row>
    <row r="30917" spans="26:26" x14ac:dyDescent="0.2">
      <c r="Z30917" t="str">
        <f t="shared" si="483"/>
        <v/>
      </c>
    </row>
    <row r="30918" spans="26:26" x14ac:dyDescent="0.2">
      <c r="Z30918" t="str">
        <f t="shared" si="483"/>
        <v/>
      </c>
    </row>
    <row r="30919" spans="26:26" x14ac:dyDescent="0.2">
      <c r="Z30919" t="str">
        <f t="shared" si="483"/>
        <v/>
      </c>
    </row>
    <row r="30920" spans="26:26" x14ac:dyDescent="0.2">
      <c r="Z30920" t="str">
        <f t="shared" si="483"/>
        <v/>
      </c>
    </row>
    <row r="30921" spans="26:26" x14ac:dyDescent="0.2">
      <c r="Z30921" t="str">
        <f t="shared" si="483"/>
        <v/>
      </c>
    </row>
    <row r="30922" spans="26:26" x14ac:dyDescent="0.2">
      <c r="Z30922" t="str">
        <f t="shared" si="483"/>
        <v/>
      </c>
    </row>
    <row r="30923" spans="26:26" x14ac:dyDescent="0.2">
      <c r="Z30923" t="str">
        <f t="shared" si="483"/>
        <v/>
      </c>
    </row>
    <row r="30924" spans="26:26" x14ac:dyDescent="0.2">
      <c r="Z30924" t="str">
        <f t="shared" si="483"/>
        <v/>
      </c>
    </row>
    <row r="30925" spans="26:26" x14ac:dyDescent="0.2">
      <c r="Z30925" t="str">
        <f t="shared" si="483"/>
        <v/>
      </c>
    </row>
    <row r="30926" spans="26:26" x14ac:dyDescent="0.2">
      <c r="Z30926" t="str">
        <f t="shared" si="483"/>
        <v/>
      </c>
    </row>
    <row r="30927" spans="26:26" x14ac:dyDescent="0.2">
      <c r="Z30927" t="str">
        <f t="shared" si="483"/>
        <v/>
      </c>
    </row>
    <row r="30928" spans="26:26" x14ac:dyDescent="0.2">
      <c r="Z30928" t="str">
        <f t="shared" si="483"/>
        <v/>
      </c>
    </row>
    <row r="30929" spans="26:26" x14ac:dyDescent="0.2">
      <c r="Z30929" t="str">
        <f t="shared" si="483"/>
        <v/>
      </c>
    </row>
    <row r="30930" spans="26:26" x14ac:dyDescent="0.2">
      <c r="Z30930" t="str">
        <f t="shared" si="483"/>
        <v/>
      </c>
    </row>
    <row r="30931" spans="26:26" x14ac:dyDescent="0.2">
      <c r="Z30931" t="str">
        <f t="shared" si="483"/>
        <v/>
      </c>
    </row>
    <row r="30932" spans="26:26" x14ac:dyDescent="0.2">
      <c r="Z30932" t="str">
        <f t="shared" si="483"/>
        <v/>
      </c>
    </row>
    <row r="30933" spans="26:26" x14ac:dyDescent="0.2">
      <c r="Z30933" t="str">
        <f t="shared" si="483"/>
        <v/>
      </c>
    </row>
    <row r="30934" spans="26:26" x14ac:dyDescent="0.2">
      <c r="Z30934" t="str">
        <f t="shared" si="483"/>
        <v/>
      </c>
    </row>
    <row r="30935" spans="26:26" x14ac:dyDescent="0.2">
      <c r="Z30935" t="str">
        <f t="shared" si="483"/>
        <v/>
      </c>
    </row>
    <row r="30936" spans="26:26" x14ac:dyDescent="0.2">
      <c r="Z30936" t="str">
        <f t="shared" si="483"/>
        <v/>
      </c>
    </row>
    <row r="30937" spans="26:26" x14ac:dyDescent="0.2">
      <c r="Z30937" t="str">
        <f t="shared" si="483"/>
        <v/>
      </c>
    </row>
    <row r="30938" spans="26:26" x14ac:dyDescent="0.2">
      <c r="Z30938" t="str">
        <f t="shared" si="483"/>
        <v/>
      </c>
    </row>
    <row r="30939" spans="26:26" x14ac:dyDescent="0.2">
      <c r="Z30939" t="str">
        <f t="shared" si="483"/>
        <v/>
      </c>
    </row>
    <row r="30940" spans="26:26" x14ac:dyDescent="0.2">
      <c r="Z30940" t="str">
        <f t="shared" si="483"/>
        <v/>
      </c>
    </row>
    <row r="30941" spans="26:26" x14ac:dyDescent="0.2">
      <c r="Z30941" t="str">
        <f t="shared" si="483"/>
        <v/>
      </c>
    </row>
    <row r="30942" spans="26:26" x14ac:dyDescent="0.2">
      <c r="Z30942" t="str">
        <f t="shared" si="483"/>
        <v/>
      </c>
    </row>
    <row r="30943" spans="26:26" x14ac:dyDescent="0.2">
      <c r="Z30943" t="str">
        <f t="shared" si="483"/>
        <v/>
      </c>
    </row>
    <row r="30944" spans="26:26" x14ac:dyDescent="0.2">
      <c r="Z30944" t="str">
        <f t="shared" si="483"/>
        <v/>
      </c>
    </row>
    <row r="30945" spans="26:26" x14ac:dyDescent="0.2">
      <c r="Z30945" t="str">
        <f t="shared" si="483"/>
        <v/>
      </c>
    </row>
    <row r="30946" spans="26:26" x14ac:dyDescent="0.2">
      <c r="Z30946" t="str">
        <f t="shared" si="483"/>
        <v/>
      </c>
    </row>
    <row r="30947" spans="26:26" x14ac:dyDescent="0.2">
      <c r="Z30947" t="str">
        <f t="shared" si="483"/>
        <v/>
      </c>
    </row>
    <row r="30948" spans="26:26" x14ac:dyDescent="0.2">
      <c r="Z30948" t="str">
        <f t="shared" si="483"/>
        <v/>
      </c>
    </row>
    <row r="30949" spans="26:26" x14ac:dyDescent="0.2">
      <c r="Z30949" t="str">
        <f t="shared" si="483"/>
        <v/>
      </c>
    </row>
    <row r="30950" spans="26:26" x14ac:dyDescent="0.2">
      <c r="Z30950" t="str">
        <f t="shared" si="483"/>
        <v/>
      </c>
    </row>
    <row r="30951" spans="26:26" x14ac:dyDescent="0.2">
      <c r="Z30951" t="str">
        <f t="shared" si="483"/>
        <v/>
      </c>
    </row>
    <row r="30952" spans="26:26" x14ac:dyDescent="0.2">
      <c r="Z30952" t="str">
        <f t="shared" si="483"/>
        <v/>
      </c>
    </row>
    <row r="30953" spans="26:26" x14ac:dyDescent="0.2">
      <c r="Z30953" t="str">
        <f t="shared" si="483"/>
        <v/>
      </c>
    </row>
    <row r="30954" spans="26:26" x14ac:dyDescent="0.2">
      <c r="Z30954" t="str">
        <f t="shared" si="483"/>
        <v/>
      </c>
    </row>
    <row r="30955" spans="26:26" x14ac:dyDescent="0.2">
      <c r="Z30955" t="str">
        <f t="shared" si="483"/>
        <v/>
      </c>
    </row>
    <row r="30956" spans="26:26" x14ac:dyDescent="0.2">
      <c r="Z30956" t="str">
        <f t="shared" si="483"/>
        <v/>
      </c>
    </row>
    <row r="30957" spans="26:26" x14ac:dyDescent="0.2">
      <c r="Z30957" t="str">
        <f t="shared" si="483"/>
        <v/>
      </c>
    </row>
    <row r="30958" spans="26:26" x14ac:dyDescent="0.2">
      <c r="Z30958" t="str">
        <f t="shared" si="483"/>
        <v/>
      </c>
    </row>
    <row r="30959" spans="26:26" x14ac:dyDescent="0.2">
      <c r="Z30959" t="str">
        <f t="shared" si="483"/>
        <v/>
      </c>
    </row>
    <row r="30960" spans="26:26" x14ac:dyDescent="0.2">
      <c r="Z30960" t="str">
        <f t="shared" si="483"/>
        <v/>
      </c>
    </row>
    <row r="30961" spans="26:26" x14ac:dyDescent="0.2">
      <c r="Z30961" t="str">
        <f t="shared" si="483"/>
        <v/>
      </c>
    </row>
    <row r="30962" spans="26:26" x14ac:dyDescent="0.2">
      <c r="Z30962" t="str">
        <f t="shared" si="483"/>
        <v/>
      </c>
    </row>
    <row r="30963" spans="26:26" x14ac:dyDescent="0.2">
      <c r="Z30963" t="str">
        <f t="shared" si="483"/>
        <v/>
      </c>
    </row>
    <row r="30964" spans="26:26" x14ac:dyDescent="0.2">
      <c r="Z30964" t="str">
        <f t="shared" si="483"/>
        <v/>
      </c>
    </row>
    <row r="30965" spans="26:26" x14ac:dyDescent="0.2">
      <c r="Z30965" t="str">
        <f t="shared" si="483"/>
        <v/>
      </c>
    </row>
    <row r="30966" spans="26:26" x14ac:dyDescent="0.2">
      <c r="Z30966" t="str">
        <f t="shared" si="483"/>
        <v/>
      </c>
    </row>
    <row r="30967" spans="26:26" x14ac:dyDescent="0.2">
      <c r="Z30967" t="str">
        <f t="shared" si="483"/>
        <v/>
      </c>
    </row>
    <row r="30968" spans="26:26" x14ac:dyDescent="0.2">
      <c r="Z30968" t="str">
        <f t="shared" si="483"/>
        <v/>
      </c>
    </row>
    <row r="30969" spans="26:26" x14ac:dyDescent="0.2">
      <c r="Z30969" t="str">
        <f t="shared" si="483"/>
        <v/>
      </c>
    </row>
    <row r="30970" spans="26:26" x14ac:dyDescent="0.2">
      <c r="Z30970" t="str">
        <f t="shared" si="483"/>
        <v/>
      </c>
    </row>
    <row r="30971" spans="26:26" x14ac:dyDescent="0.2">
      <c r="Z30971" t="str">
        <f t="shared" si="483"/>
        <v/>
      </c>
    </row>
    <row r="30972" spans="26:26" x14ac:dyDescent="0.2">
      <c r="Z30972" t="str">
        <f t="shared" si="483"/>
        <v/>
      </c>
    </row>
    <row r="30973" spans="26:26" x14ac:dyDescent="0.2">
      <c r="Z30973" t="str">
        <f t="shared" si="483"/>
        <v/>
      </c>
    </row>
    <row r="30974" spans="26:26" x14ac:dyDescent="0.2">
      <c r="Z30974" t="str">
        <f t="shared" si="483"/>
        <v/>
      </c>
    </row>
    <row r="30975" spans="26:26" x14ac:dyDescent="0.2">
      <c r="Z30975" t="str">
        <f t="shared" si="483"/>
        <v/>
      </c>
    </row>
    <row r="30976" spans="26:26" x14ac:dyDescent="0.2">
      <c r="Z30976" t="str">
        <f t="shared" si="483"/>
        <v/>
      </c>
    </row>
    <row r="30977" spans="26:26" x14ac:dyDescent="0.2">
      <c r="Z30977" t="str">
        <f t="shared" si="483"/>
        <v/>
      </c>
    </row>
    <row r="30978" spans="26:26" x14ac:dyDescent="0.2">
      <c r="Z30978" t="str">
        <f t="shared" si="483"/>
        <v/>
      </c>
    </row>
    <row r="30979" spans="26:26" x14ac:dyDescent="0.2">
      <c r="Z30979" t="str">
        <f t="shared" ref="Z30979:Z31042" si="484">IF(K30979="","",IFERROR(VALUE(TRIM(MID(K30979,FIND(CHAR(167),SUBSTITUTE(K30979,"-",CHAR(167),LEN(K30979)-LEN(SUBSTITUTE(K30979,"-",""))))+1,100))),K30979))</f>
        <v/>
      </c>
    </row>
    <row r="30980" spans="26:26" x14ac:dyDescent="0.2">
      <c r="Z30980" t="str">
        <f t="shared" si="484"/>
        <v/>
      </c>
    </row>
    <row r="30981" spans="26:26" x14ac:dyDescent="0.2">
      <c r="Z30981" t="str">
        <f t="shared" si="484"/>
        <v/>
      </c>
    </row>
    <row r="30982" spans="26:26" x14ac:dyDescent="0.2">
      <c r="Z30982" t="str">
        <f t="shared" si="484"/>
        <v/>
      </c>
    </row>
    <row r="30983" spans="26:26" x14ac:dyDescent="0.2">
      <c r="Z30983" t="str">
        <f t="shared" si="484"/>
        <v/>
      </c>
    </row>
    <row r="30984" spans="26:26" x14ac:dyDescent="0.2">
      <c r="Z30984" t="str">
        <f t="shared" si="484"/>
        <v/>
      </c>
    </row>
    <row r="30985" spans="26:26" x14ac:dyDescent="0.2">
      <c r="Z30985" t="str">
        <f t="shared" si="484"/>
        <v/>
      </c>
    </row>
    <row r="30986" spans="26:26" x14ac:dyDescent="0.2">
      <c r="Z30986" t="str">
        <f t="shared" si="484"/>
        <v/>
      </c>
    </row>
    <row r="30987" spans="26:26" x14ac:dyDescent="0.2">
      <c r="Z30987" t="str">
        <f t="shared" si="484"/>
        <v/>
      </c>
    </row>
    <row r="30988" spans="26:26" x14ac:dyDescent="0.2">
      <c r="Z30988" t="str">
        <f t="shared" si="484"/>
        <v/>
      </c>
    </row>
    <row r="30989" spans="26:26" x14ac:dyDescent="0.2">
      <c r="Z30989" t="str">
        <f t="shared" si="484"/>
        <v/>
      </c>
    </row>
    <row r="30990" spans="26:26" x14ac:dyDescent="0.2">
      <c r="Z30990" t="str">
        <f t="shared" si="484"/>
        <v/>
      </c>
    </row>
    <row r="30991" spans="26:26" x14ac:dyDescent="0.2">
      <c r="Z30991" t="str">
        <f t="shared" si="484"/>
        <v/>
      </c>
    </row>
    <row r="30992" spans="26:26" x14ac:dyDescent="0.2">
      <c r="Z30992" t="str">
        <f t="shared" si="484"/>
        <v/>
      </c>
    </row>
    <row r="30993" spans="26:26" x14ac:dyDescent="0.2">
      <c r="Z30993" t="str">
        <f t="shared" si="484"/>
        <v/>
      </c>
    </row>
    <row r="30994" spans="26:26" x14ac:dyDescent="0.2">
      <c r="Z30994" t="str">
        <f t="shared" si="484"/>
        <v/>
      </c>
    </row>
    <row r="30995" spans="26:26" x14ac:dyDescent="0.2">
      <c r="Z30995" t="str">
        <f t="shared" si="484"/>
        <v/>
      </c>
    </row>
    <row r="30996" spans="26:26" x14ac:dyDescent="0.2">
      <c r="Z30996" t="str">
        <f t="shared" si="484"/>
        <v/>
      </c>
    </row>
    <row r="30997" spans="26:26" x14ac:dyDescent="0.2">
      <c r="Z30997" t="str">
        <f t="shared" si="484"/>
        <v/>
      </c>
    </row>
    <row r="30998" spans="26:26" x14ac:dyDescent="0.2">
      <c r="Z30998" t="str">
        <f t="shared" si="484"/>
        <v/>
      </c>
    </row>
    <row r="30999" spans="26:26" x14ac:dyDescent="0.2">
      <c r="Z30999" t="str">
        <f t="shared" si="484"/>
        <v/>
      </c>
    </row>
    <row r="31000" spans="26:26" x14ac:dyDescent="0.2">
      <c r="Z31000" t="str">
        <f t="shared" si="484"/>
        <v/>
      </c>
    </row>
    <row r="31001" spans="26:26" x14ac:dyDescent="0.2">
      <c r="Z31001" t="str">
        <f t="shared" si="484"/>
        <v/>
      </c>
    </row>
    <row r="31002" spans="26:26" x14ac:dyDescent="0.2">
      <c r="Z31002" t="str">
        <f t="shared" si="484"/>
        <v/>
      </c>
    </row>
    <row r="31003" spans="26:26" x14ac:dyDescent="0.2">
      <c r="Z31003" t="str">
        <f t="shared" si="484"/>
        <v/>
      </c>
    </row>
    <row r="31004" spans="26:26" x14ac:dyDescent="0.2">
      <c r="Z31004" t="str">
        <f t="shared" si="484"/>
        <v/>
      </c>
    </row>
    <row r="31005" spans="26:26" x14ac:dyDescent="0.2">
      <c r="Z31005" t="str">
        <f t="shared" si="484"/>
        <v/>
      </c>
    </row>
    <row r="31006" spans="26:26" x14ac:dyDescent="0.2">
      <c r="Z31006" t="str">
        <f t="shared" si="484"/>
        <v/>
      </c>
    </row>
    <row r="31007" spans="26:26" x14ac:dyDescent="0.2">
      <c r="Z31007" t="str">
        <f t="shared" si="484"/>
        <v/>
      </c>
    </row>
    <row r="31008" spans="26:26" x14ac:dyDescent="0.2">
      <c r="Z31008" t="str">
        <f t="shared" si="484"/>
        <v/>
      </c>
    </row>
    <row r="31009" spans="26:26" x14ac:dyDescent="0.2">
      <c r="Z31009" t="str">
        <f t="shared" si="484"/>
        <v/>
      </c>
    </row>
    <row r="31010" spans="26:26" x14ac:dyDescent="0.2">
      <c r="Z31010" t="str">
        <f t="shared" si="484"/>
        <v/>
      </c>
    </row>
    <row r="31011" spans="26:26" x14ac:dyDescent="0.2">
      <c r="Z31011" t="str">
        <f t="shared" si="484"/>
        <v/>
      </c>
    </row>
    <row r="31012" spans="26:26" x14ac:dyDescent="0.2">
      <c r="Z31012" t="str">
        <f t="shared" si="484"/>
        <v/>
      </c>
    </row>
    <row r="31013" spans="26:26" x14ac:dyDescent="0.2">
      <c r="Z31013" t="str">
        <f t="shared" si="484"/>
        <v/>
      </c>
    </row>
    <row r="31014" spans="26:26" x14ac:dyDescent="0.2">
      <c r="Z31014" t="str">
        <f t="shared" si="484"/>
        <v/>
      </c>
    </row>
    <row r="31015" spans="26:26" x14ac:dyDescent="0.2">
      <c r="Z31015" t="str">
        <f t="shared" si="484"/>
        <v/>
      </c>
    </row>
    <row r="31016" spans="26:26" x14ac:dyDescent="0.2">
      <c r="Z31016" t="str">
        <f t="shared" si="484"/>
        <v/>
      </c>
    </row>
    <row r="31017" spans="26:26" x14ac:dyDescent="0.2">
      <c r="Z31017" t="str">
        <f t="shared" si="484"/>
        <v/>
      </c>
    </row>
    <row r="31018" spans="26:26" x14ac:dyDescent="0.2">
      <c r="Z31018" t="str">
        <f t="shared" si="484"/>
        <v/>
      </c>
    </row>
    <row r="31019" spans="26:26" x14ac:dyDescent="0.2">
      <c r="Z31019" t="str">
        <f t="shared" si="484"/>
        <v/>
      </c>
    </row>
    <row r="31020" spans="26:26" x14ac:dyDescent="0.2">
      <c r="Z31020" t="str">
        <f t="shared" si="484"/>
        <v/>
      </c>
    </row>
    <row r="31021" spans="26:26" x14ac:dyDescent="0.2">
      <c r="Z31021" t="str">
        <f t="shared" si="484"/>
        <v/>
      </c>
    </row>
    <row r="31022" spans="26:26" x14ac:dyDescent="0.2">
      <c r="Z31022" t="str">
        <f t="shared" si="484"/>
        <v/>
      </c>
    </row>
    <row r="31023" spans="26:26" x14ac:dyDescent="0.2">
      <c r="Z31023" t="str">
        <f t="shared" si="484"/>
        <v/>
      </c>
    </row>
    <row r="31024" spans="26:26" x14ac:dyDescent="0.2">
      <c r="Z31024" t="str">
        <f t="shared" si="484"/>
        <v/>
      </c>
    </row>
    <row r="31025" spans="26:26" x14ac:dyDescent="0.2">
      <c r="Z31025" t="str">
        <f t="shared" si="484"/>
        <v/>
      </c>
    </row>
    <row r="31026" spans="26:26" x14ac:dyDescent="0.2">
      <c r="Z31026" t="str">
        <f t="shared" si="484"/>
        <v/>
      </c>
    </row>
    <row r="31027" spans="26:26" x14ac:dyDescent="0.2">
      <c r="Z31027" t="str">
        <f t="shared" si="484"/>
        <v/>
      </c>
    </row>
    <row r="31028" spans="26:26" x14ac:dyDescent="0.2">
      <c r="Z31028" t="str">
        <f t="shared" si="484"/>
        <v/>
      </c>
    </row>
    <row r="31029" spans="26:26" x14ac:dyDescent="0.2">
      <c r="Z31029" t="str">
        <f t="shared" si="484"/>
        <v/>
      </c>
    </row>
    <row r="31030" spans="26:26" x14ac:dyDescent="0.2">
      <c r="Z31030" t="str">
        <f t="shared" si="484"/>
        <v/>
      </c>
    </row>
    <row r="31031" spans="26:26" x14ac:dyDescent="0.2">
      <c r="Z31031" t="str">
        <f t="shared" si="484"/>
        <v/>
      </c>
    </row>
    <row r="31032" spans="26:26" x14ac:dyDescent="0.2">
      <c r="Z31032" t="str">
        <f t="shared" si="484"/>
        <v/>
      </c>
    </row>
    <row r="31033" spans="26:26" x14ac:dyDescent="0.2">
      <c r="Z31033" t="str">
        <f t="shared" si="484"/>
        <v/>
      </c>
    </row>
    <row r="31034" spans="26:26" x14ac:dyDescent="0.2">
      <c r="Z31034" t="str">
        <f t="shared" si="484"/>
        <v/>
      </c>
    </row>
    <row r="31035" spans="26:26" x14ac:dyDescent="0.2">
      <c r="Z31035" t="str">
        <f t="shared" si="484"/>
        <v/>
      </c>
    </row>
    <row r="31036" spans="26:26" x14ac:dyDescent="0.2">
      <c r="Z31036" t="str">
        <f t="shared" si="484"/>
        <v/>
      </c>
    </row>
    <row r="31037" spans="26:26" x14ac:dyDescent="0.2">
      <c r="Z31037" t="str">
        <f t="shared" si="484"/>
        <v/>
      </c>
    </row>
    <row r="31038" spans="26:26" x14ac:dyDescent="0.2">
      <c r="Z31038" t="str">
        <f t="shared" si="484"/>
        <v/>
      </c>
    </row>
    <row r="31039" spans="26:26" x14ac:dyDescent="0.2">
      <c r="Z31039" t="str">
        <f t="shared" si="484"/>
        <v/>
      </c>
    </row>
    <row r="31040" spans="26:26" x14ac:dyDescent="0.2">
      <c r="Z31040" t="str">
        <f t="shared" si="484"/>
        <v/>
      </c>
    </row>
    <row r="31041" spans="26:26" x14ac:dyDescent="0.2">
      <c r="Z31041" t="str">
        <f t="shared" si="484"/>
        <v/>
      </c>
    </row>
    <row r="31042" spans="26:26" x14ac:dyDescent="0.2">
      <c r="Z31042" t="str">
        <f t="shared" si="484"/>
        <v/>
      </c>
    </row>
    <row r="31043" spans="26:26" x14ac:dyDescent="0.2">
      <c r="Z31043" t="str">
        <f t="shared" ref="Z31043:Z31106" si="485">IF(K31043="","",IFERROR(VALUE(TRIM(MID(K31043,FIND(CHAR(167),SUBSTITUTE(K31043,"-",CHAR(167),LEN(K31043)-LEN(SUBSTITUTE(K31043,"-",""))))+1,100))),K31043))</f>
        <v/>
      </c>
    </row>
    <row r="31044" spans="26:26" x14ac:dyDescent="0.2">
      <c r="Z31044" t="str">
        <f t="shared" si="485"/>
        <v/>
      </c>
    </row>
    <row r="31045" spans="26:26" x14ac:dyDescent="0.2">
      <c r="Z31045" t="str">
        <f t="shared" si="485"/>
        <v/>
      </c>
    </row>
    <row r="31046" spans="26:26" x14ac:dyDescent="0.2">
      <c r="Z31046" t="str">
        <f t="shared" si="485"/>
        <v/>
      </c>
    </row>
    <row r="31047" spans="26:26" x14ac:dyDescent="0.2">
      <c r="Z31047" t="str">
        <f t="shared" si="485"/>
        <v/>
      </c>
    </row>
    <row r="31048" spans="26:26" x14ac:dyDescent="0.2">
      <c r="Z31048" t="str">
        <f t="shared" si="485"/>
        <v/>
      </c>
    </row>
    <row r="31049" spans="26:26" x14ac:dyDescent="0.2">
      <c r="Z31049" t="str">
        <f t="shared" si="485"/>
        <v/>
      </c>
    </row>
    <row r="31050" spans="26:26" x14ac:dyDescent="0.2">
      <c r="Z31050" t="str">
        <f t="shared" si="485"/>
        <v/>
      </c>
    </row>
    <row r="31051" spans="26:26" x14ac:dyDescent="0.2">
      <c r="Z31051" t="str">
        <f t="shared" si="485"/>
        <v/>
      </c>
    </row>
    <row r="31052" spans="26:26" x14ac:dyDescent="0.2">
      <c r="Z31052" t="str">
        <f t="shared" si="485"/>
        <v/>
      </c>
    </row>
    <row r="31053" spans="26:26" x14ac:dyDescent="0.2">
      <c r="Z31053" t="str">
        <f t="shared" si="485"/>
        <v/>
      </c>
    </row>
    <row r="31054" spans="26:26" x14ac:dyDescent="0.2">
      <c r="Z31054" t="str">
        <f t="shared" si="485"/>
        <v/>
      </c>
    </row>
    <row r="31055" spans="26:26" x14ac:dyDescent="0.2">
      <c r="Z31055" t="str">
        <f t="shared" si="485"/>
        <v/>
      </c>
    </row>
    <row r="31056" spans="26:26" x14ac:dyDescent="0.2">
      <c r="Z31056" t="str">
        <f t="shared" si="485"/>
        <v/>
      </c>
    </row>
    <row r="31057" spans="26:26" x14ac:dyDescent="0.2">
      <c r="Z31057" t="str">
        <f t="shared" si="485"/>
        <v/>
      </c>
    </row>
    <row r="31058" spans="26:26" x14ac:dyDescent="0.2">
      <c r="Z31058" t="str">
        <f t="shared" si="485"/>
        <v/>
      </c>
    </row>
    <row r="31059" spans="26:26" x14ac:dyDescent="0.2">
      <c r="Z31059" t="str">
        <f t="shared" si="485"/>
        <v/>
      </c>
    </row>
    <row r="31060" spans="26:26" x14ac:dyDescent="0.2">
      <c r="Z31060" t="str">
        <f t="shared" si="485"/>
        <v/>
      </c>
    </row>
    <row r="31061" spans="26:26" x14ac:dyDescent="0.2">
      <c r="Z31061" t="str">
        <f t="shared" si="485"/>
        <v/>
      </c>
    </row>
    <row r="31062" spans="26:26" x14ac:dyDescent="0.2">
      <c r="Z31062" t="str">
        <f t="shared" si="485"/>
        <v/>
      </c>
    </row>
    <row r="31063" spans="26:26" x14ac:dyDescent="0.2">
      <c r="Z31063" t="str">
        <f t="shared" si="485"/>
        <v/>
      </c>
    </row>
    <row r="31064" spans="26:26" x14ac:dyDescent="0.2">
      <c r="Z31064" t="str">
        <f t="shared" si="485"/>
        <v/>
      </c>
    </row>
    <row r="31065" spans="26:26" x14ac:dyDescent="0.2">
      <c r="Z31065" t="str">
        <f t="shared" si="485"/>
        <v/>
      </c>
    </row>
    <row r="31066" spans="26:26" x14ac:dyDescent="0.2">
      <c r="Z31066" t="str">
        <f t="shared" si="485"/>
        <v/>
      </c>
    </row>
    <row r="31067" spans="26:26" x14ac:dyDescent="0.2">
      <c r="Z31067" t="str">
        <f t="shared" si="485"/>
        <v/>
      </c>
    </row>
    <row r="31068" spans="26:26" x14ac:dyDescent="0.2">
      <c r="Z31068" t="str">
        <f t="shared" si="485"/>
        <v/>
      </c>
    </row>
    <row r="31069" spans="26:26" x14ac:dyDescent="0.2">
      <c r="Z31069" t="str">
        <f t="shared" si="485"/>
        <v/>
      </c>
    </row>
    <row r="31070" spans="26:26" x14ac:dyDescent="0.2">
      <c r="Z31070" t="str">
        <f t="shared" si="485"/>
        <v/>
      </c>
    </row>
    <row r="31071" spans="26:26" x14ac:dyDescent="0.2">
      <c r="Z31071" t="str">
        <f t="shared" si="485"/>
        <v/>
      </c>
    </row>
    <row r="31072" spans="26:26" x14ac:dyDescent="0.2">
      <c r="Z31072" t="str">
        <f t="shared" si="485"/>
        <v/>
      </c>
    </row>
    <row r="31073" spans="26:26" x14ac:dyDescent="0.2">
      <c r="Z31073" t="str">
        <f t="shared" si="485"/>
        <v/>
      </c>
    </row>
    <row r="31074" spans="26:26" x14ac:dyDescent="0.2">
      <c r="Z31074" t="str">
        <f t="shared" si="485"/>
        <v/>
      </c>
    </row>
    <row r="31075" spans="26:26" x14ac:dyDescent="0.2">
      <c r="Z31075" t="str">
        <f t="shared" si="485"/>
        <v/>
      </c>
    </row>
    <row r="31076" spans="26:26" x14ac:dyDescent="0.2">
      <c r="Z31076" t="str">
        <f t="shared" si="485"/>
        <v/>
      </c>
    </row>
    <row r="31077" spans="26:26" x14ac:dyDescent="0.2">
      <c r="Z31077" t="str">
        <f t="shared" si="485"/>
        <v/>
      </c>
    </row>
    <row r="31078" spans="26:26" x14ac:dyDescent="0.2">
      <c r="Z31078" t="str">
        <f t="shared" si="485"/>
        <v/>
      </c>
    </row>
    <row r="31079" spans="26:26" x14ac:dyDescent="0.2">
      <c r="Z31079" t="str">
        <f t="shared" si="485"/>
        <v/>
      </c>
    </row>
    <row r="31080" spans="26:26" x14ac:dyDescent="0.2">
      <c r="Z31080" t="str">
        <f t="shared" si="485"/>
        <v/>
      </c>
    </row>
    <row r="31081" spans="26:26" x14ac:dyDescent="0.2">
      <c r="Z31081" t="str">
        <f t="shared" si="485"/>
        <v/>
      </c>
    </row>
    <row r="31082" spans="26:26" x14ac:dyDescent="0.2">
      <c r="Z31082" t="str">
        <f t="shared" si="485"/>
        <v/>
      </c>
    </row>
    <row r="31083" spans="26:26" x14ac:dyDescent="0.2">
      <c r="Z31083" t="str">
        <f t="shared" si="485"/>
        <v/>
      </c>
    </row>
    <row r="31084" spans="26:26" x14ac:dyDescent="0.2">
      <c r="Z31084" t="str">
        <f t="shared" si="485"/>
        <v/>
      </c>
    </row>
    <row r="31085" spans="26:26" x14ac:dyDescent="0.2">
      <c r="Z31085" t="str">
        <f t="shared" si="485"/>
        <v/>
      </c>
    </row>
    <row r="31086" spans="26:26" x14ac:dyDescent="0.2">
      <c r="Z31086" t="str">
        <f t="shared" si="485"/>
        <v/>
      </c>
    </row>
    <row r="31087" spans="26:26" x14ac:dyDescent="0.2">
      <c r="Z31087" t="str">
        <f t="shared" si="485"/>
        <v/>
      </c>
    </row>
    <row r="31088" spans="26:26" x14ac:dyDescent="0.2">
      <c r="Z31088" t="str">
        <f t="shared" si="485"/>
        <v/>
      </c>
    </row>
    <row r="31089" spans="26:26" x14ac:dyDescent="0.2">
      <c r="Z31089" t="str">
        <f t="shared" si="485"/>
        <v/>
      </c>
    </row>
    <row r="31090" spans="26:26" x14ac:dyDescent="0.2">
      <c r="Z31090" t="str">
        <f t="shared" si="485"/>
        <v/>
      </c>
    </row>
    <row r="31091" spans="26:26" x14ac:dyDescent="0.2">
      <c r="Z31091" t="str">
        <f t="shared" si="485"/>
        <v/>
      </c>
    </row>
    <row r="31092" spans="26:26" x14ac:dyDescent="0.2">
      <c r="Z31092" t="str">
        <f t="shared" si="485"/>
        <v/>
      </c>
    </row>
    <row r="31093" spans="26:26" x14ac:dyDescent="0.2">
      <c r="Z31093" t="str">
        <f t="shared" si="485"/>
        <v/>
      </c>
    </row>
    <row r="31094" spans="26:26" x14ac:dyDescent="0.2">
      <c r="Z31094" t="str">
        <f t="shared" si="485"/>
        <v/>
      </c>
    </row>
    <row r="31095" spans="26:26" x14ac:dyDescent="0.2">
      <c r="Z31095" t="str">
        <f t="shared" si="485"/>
        <v/>
      </c>
    </row>
    <row r="31096" spans="26:26" x14ac:dyDescent="0.2">
      <c r="Z31096" t="str">
        <f t="shared" si="485"/>
        <v/>
      </c>
    </row>
    <row r="31097" spans="26:26" x14ac:dyDescent="0.2">
      <c r="Z31097" t="str">
        <f t="shared" si="485"/>
        <v/>
      </c>
    </row>
    <row r="31098" spans="26:26" x14ac:dyDescent="0.2">
      <c r="Z31098" t="str">
        <f t="shared" si="485"/>
        <v/>
      </c>
    </row>
    <row r="31099" spans="26:26" x14ac:dyDescent="0.2">
      <c r="Z31099" t="str">
        <f t="shared" si="485"/>
        <v/>
      </c>
    </row>
    <row r="31100" spans="26:26" x14ac:dyDescent="0.2">
      <c r="Z31100" t="str">
        <f t="shared" si="485"/>
        <v/>
      </c>
    </row>
    <row r="31101" spans="26:26" x14ac:dyDescent="0.2">
      <c r="Z31101" t="str">
        <f t="shared" si="485"/>
        <v/>
      </c>
    </row>
    <row r="31102" spans="26:26" x14ac:dyDescent="0.2">
      <c r="Z31102" t="str">
        <f t="shared" si="485"/>
        <v/>
      </c>
    </row>
    <row r="31103" spans="26:26" x14ac:dyDescent="0.2">
      <c r="Z31103" t="str">
        <f t="shared" si="485"/>
        <v/>
      </c>
    </row>
    <row r="31104" spans="26:26" x14ac:dyDescent="0.2">
      <c r="Z31104" t="str">
        <f t="shared" si="485"/>
        <v/>
      </c>
    </row>
    <row r="31105" spans="26:26" x14ac:dyDescent="0.2">
      <c r="Z31105" t="str">
        <f t="shared" si="485"/>
        <v/>
      </c>
    </row>
    <row r="31106" spans="26:26" x14ac:dyDescent="0.2">
      <c r="Z31106" t="str">
        <f t="shared" si="485"/>
        <v/>
      </c>
    </row>
    <row r="31107" spans="26:26" x14ac:dyDescent="0.2">
      <c r="Z31107" t="str">
        <f t="shared" ref="Z31107:Z31170" si="486">IF(K31107="","",IFERROR(VALUE(TRIM(MID(K31107,FIND(CHAR(167),SUBSTITUTE(K31107,"-",CHAR(167),LEN(K31107)-LEN(SUBSTITUTE(K31107,"-",""))))+1,100))),K31107))</f>
        <v/>
      </c>
    </row>
    <row r="31108" spans="26:26" x14ac:dyDescent="0.2">
      <c r="Z31108" t="str">
        <f t="shared" si="486"/>
        <v/>
      </c>
    </row>
    <row r="31109" spans="26:26" x14ac:dyDescent="0.2">
      <c r="Z31109" t="str">
        <f t="shared" si="486"/>
        <v/>
      </c>
    </row>
    <row r="31110" spans="26:26" x14ac:dyDescent="0.2">
      <c r="Z31110" t="str">
        <f t="shared" si="486"/>
        <v/>
      </c>
    </row>
    <row r="31111" spans="26:26" x14ac:dyDescent="0.2">
      <c r="Z31111" t="str">
        <f t="shared" si="486"/>
        <v/>
      </c>
    </row>
    <row r="31112" spans="26:26" x14ac:dyDescent="0.2">
      <c r="Z31112" t="str">
        <f t="shared" si="486"/>
        <v/>
      </c>
    </row>
    <row r="31113" spans="26:26" x14ac:dyDescent="0.2">
      <c r="Z31113" t="str">
        <f t="shared" si="486"/>
        <v/>
      </c>
    </row>
    <row r="31114" spans="26:26" x14ac:dyDescent="0.2">
      <c r="Z31114" t="str">
        <f t="shared" si="486"/>
        <v/>
      </c>
    </row>
    <row r="31115" spans="26:26" x14ac:dyDescent="0.2">
      <c r="Z31115" t="str">
        <f t="shared" si="486"/>
        <v/>
      </c>
    </row>
    <row r="31116" spans="26:26" x14ac:dyDescent="0.2">
      <c r="Z31116" t="str">
        <f t="shared" si="486"/>
        <v/>
      </c>
    </row>
    <row r="31117" spans="26:26" x14ac:dyDescent="0.2">
      <c r="Z31117" t="str">
        <f t="shared" si="486"/>
        <v/>
      </c>
    </row>
    <row r="31118" spans="26:26" x14ac:dyDescent="0.2">
      <c r="Z31118" t="str">
        <f t="shared" si="486"/>
        <v/>
      </c>
    </row>
    <row r="31119" spans="26:26" x14ac:dyDescent="0.2">
      <c r="Z31119" t="str">
        <f t="shared" si="486"/>
        <v/>
      </c>
    </row>
    <row r="31120" spans="26:26" x14ac:dyDescent="0.2">
      <c r="Z31120" t="str">
        <f t="shared" si="486"/>
        <v/>
      </c>
    </row>
    <row r="31121" spans="26:26" x14ac:dyDescent="0.2">
      <c r="Z31121" t="str">
        <f t="shared" si="486"/>
        <v/>
      </c>
    </row>
    <row r="31122" spans="26:26" x14ac:dyDescent="0.2">
      <c r="Z31122" t="str">
        <f t="shared" si="486"/>
        <v/>
      </c>
    </row>
    <row r="31123" spans="26:26" x14ac:dyDescent="0.2">
      <c r="Z31123" t="str">
        <f t="shared" si="486"/>
        <v/>
      </c>
    </row>
    <row r="31124" spans="26:26" x14ac:dyDescent="0.2">
      <c r="Z31124" t="str">
        <f t="shared" si="486"/>
        <v/>
      </c>
    </row>
    <row r="31125" spans="26:26" x14ac:dyDescent="0.2">
      <c r="Z31125" t="str">
        <f t="shared" si="486"/>
        <v/>
      </c>
    </row>
    <row r="31126" spans="26:26" x14ac:dyDescent="0.2">
      <c r="Z31126" t="str">
        <f t="shared" si="486"/>
        <v/>
      </c>
    </row>
    <row r="31127" spans="26:26" x14ac:dyDescent="0.2">
      <c r="Z31127" t="str">
        <f t="shared" si="486"/>
        <v/>
      </c>
    </row>
    <row r="31128" spans="26:26" x14ac:dyDescent="0.2">
      <c r="Z31128" t="str">
        <f t="shared" si="486"/>
        <v/>
      </c>
    </row>
    <row r="31129" spans="26:26" x14ac:dyDescent="0.2">
      <c r="Z31129" t="str">
        <f t="shared" si="486"/>
        <v/>
      </c>
    </row>
    <row r="31130" spans="26:26" x14ac:dyDescent="0.2">
      <c r="Z31130" t="str">
        <f t="shared" si="486"/>
        <v/>
      </c>
    </row>
    <row r="31131" spans="26:26" x14ac:dyDescent="0.2">
      <c r="Z31131" t="str">
        <f t="shared" si="486"/>
        <v/>
      </c>
    </row>
    <row r="31132" spans="26:26" x14ac:dyDescent="0.2">
      <c r="Z31132" t="str">
        <f t="shared" si="486"/>
        <v/>
      </c>
    </row>
    <row r="31133" spans="26:26" x14ac:dyDescent="0.2">
      <c r="Z31133" t="str">
        <f t="shared" si="486"/>
        <v/>
      </c>
    </row>
    <row r="31134" spans="26:26" x14ac:dyDescent="0.2">
      <c r="Z31134" t="str">
        <f t="shared" si="486"/>
        <v/>
      </c>
    </row>
    <row r="31135" spans="26:26" x14ac:dyDescent="0.2">
      <c r="Z31135" t="str">
        <f t="shared" si="486"/>
        <v/>
      </c>
    </row>
    <row r="31136" spans="26:26" x14ac:dyDescent="0.2">
      <c r="Z31136" t="str">
        <f t="shared" si="486"/>
        <v/>
      </c>
    </row>
    <row r="31137" spans="26:26" x14ac:dyDescent="0.2">
      <c r="Z31137" t="str">
        <f t="shared" si="486"/>
        <v/>
      </c>
    </row>
    <row r="31138" spans="26:26" x14ac:dyDescent="0.2">
      <c r="Z31138" t="str">
        <f t="shared" si="486"/>
        <v/>
      </c>
    </row>
    <row r="31139" spans="26:26" x14ac:dyDescent="0.2">
      <c r="Z31139" t="str">
        <f t="shared" si="486"/>
        <v/>
      </c>
    </row>
    <row r="31140" spans="26:26" x14ac:dyDescent="0.2">
      <c r="Z31140" t="str">
        <f t="shared" si="486"/>
        <v/>
      </c>
    </row>
    <row r="31141" spans="26:26" x14ac:dyDescent="0.2">
      <c r="Z31141" t="str">
        <f t="shared" si="486"/>
        <v/>
      </c>
    </row>
    <row r="31142" spans="26:26" x14ac:dyDescent="0.2">
      <c r="Z31142" t="str">
        <f t="shared" si="486"/>
        <v/>
      </c>
    </row>
    <row r="31143" spans="26:26" x14ac:dyDescent="0.2">
      <c r="Z31143" t="str">
        <f t="shared" si="486"/>
        <v/>
      </c>
    </row>
    <row r="31144" spans="26:26" x14ac:dyDescent="0.2">
      <c r="Z31144" t="str">
        <f t="shared" si="486"/>
        <v/>
      </c>
    </row>
    <row r="31145" spans="26:26" x14ac:dyDescent="0.2">
      <c r="Z31145" t="str">
        <f t="shared" si="486"/>
        <v/>
      </c>
    </row>
    <row r="31146" spans="26:26" x14ac:dyDescent="0.2">
      <c r="Z31146" t="str">
        <f t="shared" si="486"/>
        <v/>
      </c>
    </row>
    <row r="31147" spans="26:26" x14ac:dyDescent="0.2">
      <c r="Z31147" t="str">
        <f t="shared" si="486"/>
        <v/>
      </c>
    </row>
    <row r="31148" spans="26:26" x14ac:dyDescent="0.2">
      <c r="Z31148" t="str">
        <f t="shared" si="486"/>
        <v/>
      </c>
    </row>
    <row r="31149" spans="26:26" x14ac:dyDescent="0.2">
      <c r="Z31149" t="str">
        <f t="shared" si="486"/>
        <v/>
      </c>
    </row>
    <row r="31150" spans="26:26" x14ac:dyDescent="0.2">
      <c r="Z31150" t="str">
        <f t="shared" si="486"/>
        <v/>
      </c>
    </row>
    <row r="31151" spans="26:26" x14ac:dyDescent="0.2">
      <c r="Z31151" t="str">
        <f t="shared" si="486"/>
        <v/>
      </c>
    </row>
    <row r="31152" spans="26:26" x14ac:dyDescent="0.2">
      <c r="Z31152" t="str">
        <f t="shared" si="486"/>
        <v/>
      </c>
    </row>
    <row r="31153" spans="26:26" x14ac:dyDescent="0.2">
      <c r="Z31153" t="str">
        <f t="shared" si="486"/>
        <v/>
      </c>
    </row>
    <row r="31154" spans="26:26" x14ac:dyDescent="0.2">
      <c r="Z31154" t="str">
        <f t="shared" si="486"/>
        <v/>
      </c>
    </row>
    <row r="31155" spans="26:26" x14ac:dyDescent="0.2">
      <c r="Z31155" t="str">
        <f t="shared" si="486"/>
        <v/>
      </c>
    </row>
    <row r="31156" spans="26:26" x14ac:dyDescent="0.2">
      <c r="Z31156" t="str">
        <f t="shared" si="486"/>
        <v/>
      </c>
    </row>
    <row r="31157" spans="26:26" x14ac:dyDescent="0.2">
      <c r="Z31157" t="str">
        <f t="shared" si="486"/>
        <v/>
      </c>
    </row>
    <row r="31158" spans="26:26" x14ac:dyDescent="0.2">
      <c r="Z31158" t="str">
        <f t="shared" si="486"/>
        <v/>
      </c>
    </row>
    <row r="31159" spans="26:26" x14ac:dyDescent="0.2">
      <c r="Z31159" t="str">
        <f t="shared" si="486"/>
        <v/>
      </c>
    </row>
    <row r="31160" spans="26:26" x14ac:dyDescent="0.2">
      <c r="Z31160" t="str">
        <f t="shared" si="486"/>
        <v/>
      </c>
    </row>
    <row r="31161" spans="26:26" x14ac:dyDescent="0.2">
      <c r="Z31161" t="str">
        <f t="shared" si="486"/>
        <v/>
      </c>
    </row>
    <row r="31162" spans="26:26" x14ac:dyDescent="0.2">
      <c r="Z31162" t="str">
        <f t="shared" si="486"/>
        <v/>
      </c>
    </row>
    <row r="31163" spans="26:26" x14ac:dyDescent="0.2">
      <c r="Z31163" t="str">
        <f t="shared" si="486"/>
        <v/>
      </c>
    </row>
    <row r="31164" spans="26:26" x14ac:dyDescent="0.2">
      <c r="Z31164" t="str">
        <f t="shared" si="486"/>
        <v/>
      </c>
    </row>
    <row r="31165" spans="26:26" x14ac:dyDescent="0.2">
      <c r="Z31165" t="str">
        <f t="shared" si="486"/>
        <v/>
      </c>
    </row>
    <row r="31166" spans="26:26" x14ac:dyDescent="0.2">
      <c r="Z31166" t="str">
        <f t="shared" si="486"/>
        <v/>
      </c>
    </row>
    <row r="31167" spans="26:26" x14ac:dyDescent="0.2">
      <c r="Z31167" t="str">
        <f t="shared" si="486"/>
        <v/>
      </c>
    </row>
    <row r="31168" spans="26:26" x14ac:dyDescent="0.2">
      <c r="Z31168" t="str">
        <f t="shared" si="486"/>
        <v/>
      </c>
    </row>
    <row r="31169" spans="26:26" x14ac:dyDescent="0.2">
      <c r="Z31169" t="str">
        <f t="shared" si="486"/>
        <v/>
      </c>
    </row>
    <row r="31170" spans="26:26" x14ac:dyDescent="0.2">
      <c r="Z31170" t="str">
        <f t="shared" si="486"/>
        <v/>
      </c>
    </row>
    <row r="31171" spans="26:26" x14ac:dyDescent="0.2">
      <c r="Z31171" t="str">
        <f t="shared" ref="Z31171:Z31234" si="487">IF(K31171="","",IFERROR(VALUE(TRIM(MID(K31171,FIND(CHAR(167),SUBSTITUTE(K31171,"-",CHAR(167),LEN(K31171)-LEN(SUBSTITUTE(K31171,"-",""))))+1,100))),K31171))</f>
        <v/>
      </c>
    </row>
    <row r="31172" spans="26:26" x14ac:dyDescent="0.2">
      <c r="Z31172" t="str">
        <f t="shared" si="487"/>
        <v/>
      </c>
    </row>
    <row r="31173" spans="26:26" x14ac:dyDescent="0.2">
      <c r="Z31173" t="str">
        <f t="shared" si="487"/>
        <v/>
      </c>
    </row>
    <row r="31174" spans="26:26" x14ac:dyDescent="0.2">
      <c r="Z31174" t="str">
        <f t="shared" si="487"/>
        <v/>
      </c>
    </row>
    <row r="31175" spans="26:26" x14ac:dyDescent="0.2">
      <c r="Z31175" t="str">
        <f t="shared" si="487"/>
        <v/>
      </c>
    </row>
    <row r="31176" spans="26:26" x14ac:dyDescent="0.2">
      <c r="Z31176" t="str">
        <f t="shared" si="487"/>
        <v/>
      </c>
    </row>
    <row r="31177" spans="26:26" x14ac:dyDescent="0.2">
      <c r="Z31177" t="str">
        <f t="shared" si="487"/>
        <v/>
      </c>
    </row>
    <row r="31178" spans="26:26" x14ac:dyDescent="0.2">
      <c r="Z31178" t="str">
        <f t="shared" si="487"/>
        <v/>
      </c>
    </row>
    <row r="31179" spans="26:26" x14ac:dyDescent="0.2">
      <c r="Z31179" t="str">
        <f t="shared" si="487"/>
        <v/>
      </c>
    </row>
    <row r="31180" spans="26:26" x14ac:dyDescent="0.2">
      <c r="Z31180" t="str">
        <f t="shared" si="487"/>
        <v/>
      </c>
    </row>
    <row r="31181" spans="26:26" x14ac:dyDescent="0.2">
      <c r="Z31181" t="str">
        <f t="shared" si="487"/>
        <v/>
      </c>
    </row>
    <row r="31182" spans="26:26" x14ac:dyDescent="0.2">
      <c r="Z31182" t="str">
        <f t="shared" si="487"/>
        <v/>
      </c>
    </row>
    <row r="31183" spans="26:26" x14ac:dyDescent="0.2">
      <c r="Z31183" t="str">
        <f t="shared" si="487"/>
        <v/>
      </c>
    </row>
    <row r="31184" spans="26:26" x14ac:dyDescent="0.2">
      <c r="Z31184" t="str">
        <f t="shared" si="487"/>
        <v/>
      </c>
    </row>
    <row r="31185" spans="26:26" x14ac:dyDescent="0.2">
      <c r="Z31185" t="str">
        <f t="shared" si="487"/>
        <v/>
      </c>
    </row>
    <row r="31186" spans="26:26" x14ac:dyDescent="0.2">
      <c r="Z31186" t="str">
        <f t="shared" si="487"/>
        <v/>
      </c>
    </row>
    <row r="31187" spans="26:26" x14ac:dyDescent="0.2">
      <c r="Z31187" t="str">
        <f t="shared" si="487"/>
        <v/>
      </c>
    </row>
    <row r="31188" spans="26:26" x14ac:dyDescent="0.2">
      <c r="Z31188" t="str">
        <f t="shared" si="487"/>
        <v/>
      </c>
    </row>
    <row r="31189" spans="26:26" x14ac:dyDescent="0.2">
      <c r="Z31189" t="str">
        <f t="shared" si="487"/>
        <v/>
      </c>
    </row>
    <row r="31190" spans="26:26" x14ac:dyDescent="0.2">
      <c r="Z31190" t="str">
        <f t="shared" si="487"/>
        <v/>
      </c>
    </row>
    <row r="31191" spans="26:26" x14ac:dyDescent="0.2">
      <c r="Z31191" t="str">
        <f t="shared" si="487"/>
        <v/>
      </c>
    </row>
    <row r="31192" spans="26:26" x14ac:dyDescent="0.2">
      <c r="Z31192" t="str">
        <f t="shared" si="487"/>
        <v/>
      </c>
    </row>
    <row r="31193" spans="26:26" x14ac:dyDescent="0.2">
      <c r="Z31193" t="str">
        <f t="shared" si="487"/>
        <v/>
      </c>
    </row>
    <row r="31194" spans="26:26" x14ac:dyDescent="0.2">
      <c r="Z31194" t="str">
        <f t="shared" si="487"/>
        <v/>
      </c>
    </row>
    <row r="31195" spans="26:26" x14ac:dyDescent="0.2">
      <c r="Z31195" t="str">
        <f t="shared" si="487"/>
        <v/>
      </c>
    </row>
    <row r="31196" spans="26:26" x14ac:dyDescent="0.2">
      <c r="Z31196" t="str">
        <f t="shared" si="487"/>
        <v/>
      </c>
    </row>
    <row r="31197" spans="26:26" x14ac:dyDescent="0.2">
      <c r="Z31197" t="str">
        <f t="shared" si="487"/>
        <v/>
      </c>
    </row>
    <row r="31198" spans="26:26" x14ac:dyDescent="0.2">
      <c r="Z31198" t="str">
        <f t="shared" si="487"/>
        <v/>
      </c>
    </row>
    <row r="31199" spans="26:26" x14ac:dyDescent="0.2">
      <c r="Z31199" t="str">
        <f t="shared" si="487"/>
        <v/>
      </c>
    </row>
    <row r="31200" spans="26:26" x14ac:dyDescent="0.2">
      <c r="Z31200" t="str">
        <f t="shared" si="487"/>
        <v/>
      </c>
    </row>
    <row r="31201" spans="26:26" x14ac:dyDescent="0.2">
      <c r="Z31201" t="str">
        <f t="shared" si="487"/>
        <v/>
      </c>
    </row>
    <row r="31202" spans="26:26" x14ac:dyDescent="0.2">
      <c r="Z31202" t="str">
        <f t="shared" si="487"/>
        <v/>
      </c>
    </row>
    <row r="31203" spans="26:26" x14ac:dyDescent="0.2">
      <c r="Z31203" t="str">
        <f t="shared" si="487"/>
        <v/>
      </c>
    </row>
    <row r="31204" spans="26:26" x14ac:dyDescent="0.2">
      <c r="Z31204" t="str">
        <f t="shared" si="487"/>
        <v/>
      </c>
    </row>
    <row r="31205" spans="26:26" x14ac:dyDescent="0.2">
      <c r="Z31205" t="str">
        <f t="shared" si="487"/>
        <v/>
      </c>
    </row>
    <row r="31206" spans="26:26" x14ac:dyDescent="0.2">
      <c r="Z31206" t="str">
        <f t="shared" si="487"/>
        <v/>
      </c>
    </row>
    <row r="31207" spans="26:26" x14ac:dyDescent="0.2">
      <c r="Z31207" t="str">
        <f t="shared" si="487"/>
        <v/>
      </c>
    </row>
    <row r="31208" spans="26:26" x14ac:dyDescent="0.2">
      <c r="Z31208" t="str">
        <f t="shared" si="487"/>
        <v/>
      </c>
    </row>
    <row r="31209" spans="26:26" x14ac:dyDescent="0.2">
      <c r="Z31209" t="str">
        <f t="shared" si="487"/>
        <v/>
      </c>
    </row>
    <row r="31210" spans="26:26" x14ac:dyDescent="0.2">
      <c r="Z31210" t="str">
        <f t="shared" si="487"/>
        <v/>
      </c>
    </row>
    <row r="31211" spans="26:26" x14ac:dyDescent="0.2">
      <c r="Z31211" t="str">
        <f t="shared" si="487"/>
        <v/>
      </c>
    </row>
    <row r="31212" spans="26:26" x14ac:dyDescent="0.2">
      <c r="Z31212" t="str">
        <f t="shared" si="487"/>
        <v/>
      </c>
    </row>
    <row r="31213" spans="26:26" x14ac:dyDescent="0.2">
      <c r="Z31213" t="str">
        <f t="shared" si="487"/>
        <v/>
      </c>
    </row>
    <row r="31214" spans="26:26" x14ac:dyDescent="0.2">
      <c r="Z31214" t="str">
        <f t="shared" si="487"/>
        <v/>
      </c>
    </row>
    <row r="31215" spans="26:26" x14ac:dyDescent="0.2">
      <c r="Z31215" t="str">
        <f t="shared" si="487"/>
        <v/>
      </c>
    </row>
    <row r="31216" spans="26:26" x14ac:dyDescent="0.2">
      <c r="Z31216" t="str">
        <f t="shared" si="487"/>
        <v/>
      </c>
    </row>
    <row r="31217" spans="26:26" x14ac:dyDescent="0.2">
      <c r="Z31217" t="str">
        <f t="shared" si="487"/>
        <v/>
      </c>
    </row>
    <row r="31218" spans="26:26" x14ac:dyDescent="0.2">
      <c r="Z31218" t="str">
        <f t="shared" si="487"/>
        <v/>
      </c>
    </row>
    <row r="31219" spans="26:26" x14ac:dyDescent="0.2">
      <c r="Z31219" t="str">
        <f t="shared" si="487"/>
        <v/>
      </c>
    </row>
    <row r="31220" spans="26:26" x14ac:dyDescent="0.2">
      <c r="Z31220" t="str">
        <f t="shared" si="487"/>
        <v/>
      </c>
    </row>
    <row r="31221" spans="26:26" x14ac:dyDescent="0.2">
      <c r="Z31221" t="str">
        <f t="shared" si="487"/>
        <v/>
      </c>
    </row>
    <row r="31222" spans="26:26" x14ac:dyDescent="0.2">
      <c r="Z31222" t="str">
        <f t="shared" si="487"/>
        <v/>
      </c>
    </row>
    <row r="31223" spans="26:26" x14ac:dyDescent="0.2">
      <c r="Z31223" t="str">
        <f t="shared" si="487"/>
        <v/>
      </c>
    </row>
    <row r="31224" spans="26:26" x14ac:dyDescent="0.2">
      <c r="Z31224" t="str">
        <f t="shared" si="487"/>
        <v/>
      </c>
    </row>
    <row r="31225" spans="26:26" x14ac:dyDescent="0.2">
      <c r="Z31225" t="str">
        <f t="shared" si="487"/>
        <v/>
      </c>
    </row>
    <row r="31226" spans="26:26" x14ac:dyDescent="0.2">
      <c r="Z31226" t="str">
        <f t="shared" si="487"/>
        <v/>
      </c>
    </row>
    <row r="31227" spans="26:26" x14ac:dyDescent="0.2">
      <c r="Z31227" t="str">
        <f t="shared" si="487"/>
        <v/>
      </c>
    </row>
    <row r="31228" spans="26:26" x14ac:dyDescent="0.2">
      <c r="Z31228" t="str">
        <f t="shared" si="487"/>
        <v/>
      </c>
    </row>
    <row r="31229" spans="26:26" x14ac:dyDescent="0.2">
      <c r="Z31229" t="str">
        <f t="shared" si="487"/>
        <v/>
      </c>
    </row>
    <row r="31230" spans="26:26" x14ac:dyDescent="0.2">
      <c r="Z31230" t="str">
        <f t="shared" si="487"/>
        <v/>
      </c>
    </row>
    <row r="31231" spans="26:26" x14ac:dyDescent="0.2">
      <c r="Z31231" t="str">
        <f t="shared" si="487"/>
        <v/>
      </c>
    </row>
    <row r="31232" spans="26:26" x14ac:dyDescent="0.2">
      <c r="Z31232" t="str">
        <f t="shared" si="487"/>
        <v/>
      </c>
    </row>
    <row r="31233" spans="26:26" x14ac:dyDescent="0.2">
      <c r="Z31233" t="str">
        <f t="shared" si="487"/>
        <v/>
      </c>
    </row>
    <row r="31234" spans="26:26" x14ac:dyDescent="0.2">
      <c r="Z31234" t="str">
        <f t="shared" si="487"/>
        <v/>
      </c>
    </row>
    <row r="31235" spans="26:26" x14ac:dyDescent="0.2">
      <c r="Z31235" t="str">
        <f t="shared" ref="Z31235:Z31298" si="488">IF(K31235="","",IFERROR(VALUE(TRIM(MID(K31235,FIND(CHAR(167),SUBSTITUTE(K31235,"-",CHAR(167),LEN(K31235)-LEN(SUBSTITUTE(K31235,"-",""))))+1,100))),K31235))</f>
        <v/>
      </c>
    </row>
    <row r="31236" spans="26:26" x14ac:dyDescent="0.2">
      <c r="Z31236" t="str">
        <f t="shared" si="488"/>
        <v/>
      </c>
    </row>
    <row r="31237" spans="26:26" x14ac:dyDescent="0.2">
      <c r="Z31237" t="str">
        <f t="shared" si="488"/>
        <v/>
      </c>
    </row>
    <row r="31238" spans="26:26" x14ac:dyDescent="0.2">
      <c r="Z31238" t="str">
        <f t="shared" si="488"/>
        <v/>
      </c>
    </row>
    <row r="31239" spans="26:26" x14ac:dyDescent="0.2">
      <c r="Z31239" t="str">
        <f t="shared" si="488"/>
        <v/>
      </c>
    </row>
    <row r="31240" spans="26:26" x14ac:dyDescent="0.2">
      <c r="Z31240" t="str">
        <f t="shared" si="488"/>
        <v/>
      </c>
    </row>
    <row r="31241" spans="26:26" x14ac:dyDescent="0.2">
      <c r="Z31241" t="str">
        <f t="shared" si="488"/>
        <v/>
      </c>
    </row>
    <row r="31242" spans="26:26" x14ac:dyDescent="0.2">
      <c r="Z31242" t="str">
        <f t="shared" si="488"/>
        <v/>
      </c>
    </row>
    <row r="31243" spans="26:26" x14ac:dyDescent="0.2">
      <c r="Z31243" t="str">
        <f t="shared" si="488"/>
        <v/>
      </c>
    </row>
    <row r="31244" spans="26:26" x14ac:dyDescent="0.2">
      <c r="Z31244" t="str">
        <f t="shared" si="488"/>
        <v/>
      </c>
    </row>
    <row r="31245" spans="26:26" x14ac:dyDescent="0.2">
      <c r="Z31245" t="str">
        <f t="shared" si="488"/>
        <v/>
      </c>
    </row>
    <row r="31246" spans="26:26" x14ac:dyDescent="0.2">
      <c r="Z31246" t="str">
        <f t="shared" si="488"/>
        <v/>
      </c>
    </row>
    <row r="31247" spans="26:26" x14ac:dyDescent="0.2">
      <c r="Z31247" t="str">
        <f t="shared" si="488"/>
        <v/>
      </c>
    </row>
    <row r="31248" spans="26:26" x14ac:dyDescent="0.2">
      <c r="Z31248" t="str">
        <f t="shared" si="488"/>
        <v/>
      </c>
    </row>
    <row r="31249" spans="26:26" x14ac:dyDescent="0.2">
      <c r="Z31249" t="str">
        <f t="shared" si="488"/>
        <v/>
      </c>
    </row>
    <row r="31250" spans="26:26" x14ac:dyDescent="0.2">
      <c r="Z31250" t="str">
        <f t="shared" si="488"/>
        <v/>
      </c>
    </row>
    <row r="31251" spans="26:26" x14ac:dyDescent="0.2">
      <c r="Z31251" t="str">
        <f t="shared" si="488"/>
        <v/>
      </c>
    </row>
    <row r="31252" spans="26:26" x14ac:dyDescent="0.2">
      <c r="Z31252" t="str">
        <f t="shared" si="488"/>
        <v/>
      </c>
    </row>
    <row r="31253" spans="26:26" x14ac:dyDescent="0.2">
      <c r="Z31253" t="str">
        <f t="shared" si="488"/>
        <v/>
      </c>
    </row>
    <row r="31254" spans="26:26" x14ac:dyDescent="0.2">
      <c r="Z31254" t="str">
        <f t="shared" si="488"/>
        <v/>
      </c>
    </row>
    <row r="31255" spans="26:26" x14ac:dyDescent="0.2">
      <c r="Z31255" t="str">
        <f t="shared" si="488"/>
        <v/>
      </c>
    </row>
    <row r="31256" spans="26:26" x14ac:dyDescent="0.2">
      <c r="Z31256" t="str">
        <f t="shared" si="488"/>
        <v/>
      </c>
    </row>
    <row r="31257" spans="26:26" x14ac:dyDescent="0.2">
      <c r="Z31257" t="str">
        <f t="shared" si="488"/>
        <v/>
      </c>
    </row>
    <row r="31258" spans="26:26" x14ac:dyDescent="0.2">
      <c r="Z31258" t="str">
        <f t="shared" si="488"/>
        <v/>
      </c>
    </row>
    <row r="31259" spans="26:26" x14ac:dyDescent="0.2">
      <c r="Z31259" t="str">
        <f t="shared" si="488"/>
        <v/>
      </c>
    </row>
    <row r="31260" spans="26:26" x14ac:dyDescent="0.2">
      <c r="Z31260" t="str">
        <f t="shared" si="488"/>
        <v/>
      </c>
    </row>
    <row r="31261" spans="26:26" x14ac:dyDescent="0.2">
      <c r="Z31261" t="str">
        <f t="shared" si="488"/>
        <v/>
      </c>
    </row>
    <row r="31262" spans="26:26" x14ac:dyDescent="0.2">
      <c r="Z31262" t="str">
        <f t="shared" si="488"/>
        <v/>
      </c>
    </row>
    <row r="31263" spans="26:26" x14ac:dyDescent="0.2">
      <c r="Z31263" t="str">
        <f t="shared" si="488"/>
        <v/>
      </c>
    </row>
    <row r="31264" spans="26:26" x14ac:dyDescent="0.2">
      <c r="Z31264" t="str">
        <f t="shared" si="488"/>
        <v/>
      </c>
    </row>
    <row r="31265" spans="26:26" x14ac:dyDescent="0.2">
      <c r="Z31265" t="str">
        <f t="shared" si="488"/>
        <v/>
      </c>
    </row>
    <row r="31266" spans="26:26" x14ac:dyDescent="0.2">
      <c r="Z31266" t="str">
        <f t="shared" si="488"/>
        <v/>
      </c>
    </row>
    <row r="31267" spans="26:26" x14ac:dyDescent="0.2">
      <c r="Z31267" t="str">
        <f t="shared" si="488"/>
        <v/>
      </c>
    </row>
    <row r="31268" spans="26:26" x14ac:dyDescent="0.2">
      <c r="Z31268" t="str">
        <f t="shared" si="488"/>
        <v/>
      </c>
    </row>
    <row r="31269" spans="26:26" x14ac:dyDescent="0.2">
      <c r="Z31269" t="str">
        <f t="shared" si="488"/>
        <v/>
      </c>
    </row>
    <row r="31270" spans="26:26" x14ac:dyDescent="0.2">
      <c r="Z31270" t="str">
        <f t="shared" si="488"/>
        <v/>
      </c>
    </row>
    <row r="31271" spans="26:26" x14ac:dyDescent="0.2">
      <c r="Z31271" t="str">
        <f t="shared" si="488"/>
        <v/>
      </c>
    </row>
    <row r="31272" spans="26:26" x14ac:dyDescent="0.2">
      <c r="Z31272" t="str">
        <f t="shared" si="488"/>
        <v/>
      </c>
    </row>
    <row r="31273" spans="26:26" x14ac:dyDescent="0.2">
      <c r="Z31273" t="str">
        <f t="shared" si="488"/>
        <v/>
      </c>
    </row>
    <row r="31274" spans="26:26" x14ac:dyDescent="0.2">
      <c r="Z31274" t="str">
        <f t="shared" si="488"/>
        <v/>
      </c>
    </row>
    <row r="31275" spans="26:26" x14ac:dyDescent="0.2">
      <c r="Z31275" t="str">
        <f t="shared" si="488"/>
        <v/>
      </c>
    </row>
    <row r="31276" spans="26:26" x14ac:dyDescent="0.2">
      <c r="Z31276" t="str">
        <f t="shared" si="488"/>
        <v/>
      </c>
    </row>
    <row r="31277" spans="26:26" x14ac:dyDescent="0.2">
      <c r="Z31277" t="str">
        <f t="shared" si="488"/>
        <v/>
      </c>
    </row>
    <row r="31278" spans="26:26" x14ac:dyDescent="0.2">
      <c r="Z31278" t="str">
        <f t="shared" si="488"/>
        <v/>
      </c>
    </row>
    <row r="31279" spans="26:26" x14ac:dyDescent="0.2">
      <c r="Z31279" t="str">
        <f t="shared" si="488"/>
        <v/>
      </c>
    </row>
    <row r="31280" spans="26:26" x14ac:dyDescent="0.2">
      <c r="Z31280" t="str">
        <f t="shared" si="488"/>
        <v/>
      </c>
    </row>
    <row r="31281" spans="26:26" x14ac:dyDescent="0.2">
      <c r="Z31281" t="str">
        <f t="shared" si="488"/>
        <v/>
      </c>
    </row>
    <row r="31282" spans="26:26" x14ac:dyDescent="0.2">
      <c r="Z31282" t="str">
        <f t="shared" si="488"/>
        <v/>
      </c>
    </row>
    <row r="31283" spans="26:26" x14ac:dyDescent="0.2">
      <c r="Z31283" t="str">
        <f t="shared" si="488"/>
        <v/>
      </c>
    </row>
    <row r="31284" spans="26:26" x14ac:dyDescent="0.2">
      <c r="Z31284" t="str">
        <f t="shared" si="488"/>
        <v/>
      </c>
    </row>
    <row r="31285" spans="26:26" x14ac:dyDescent="0.2">
      <c r="Z31285" t="str">
        <f t="shared" si="488"/>
        <v/>
      </c>
    </row>
    <row r="31286" spans="26:26" x14ac:dyDescent="0.2">
      <c r="Z31286" t="str">
        <f t="shared" si="488"/>
        <v/>
      </c>
    </row>
    <row r="31287" spans="26:26" x14ac:dyDescent="0.2">
      <c r="Z31287" t="str">
        <f t="shared" si="488"/>
        <v/>
      </c>
    </row>
    <row r="31288" spans="26:26" x14ac:dyDescent="0.2">
      <c r="Z31288" t="str">
        <f t="shared" si="488"/>
        <v/>
      </c>
    </row>
    <row r="31289" spans="26:26" x14ac:dyDescent="0.2">
      <c r="Z31289" t="str">
        <f t="shared" si="488"/>
        <v/>
      </c>
    </row>
    <row r="31290" spans="26:26" x14ac:dyDescent="0.2">
      <c r="Z31290" t="str">
        <f t="shared" si="488"/>
        <v/>
      </c>
    </row>
    <row r="31291" spans="26:26" x14ac:dyDescent="0.2">
      <c r="Z31291" t="str">
        <f t="shared" si="488"/>
        <v/>
      </c>
    </row>
    <row r="31292" spans="26:26" x14ac:dyDescent="0.2">
      <c r="Z31292" t="str">
        <f t="shared" si="488"/>
        <v/>
      </c>
    </row>
    <row r="31293" spans="26:26" x14ac:dyDescent="0.2">
      <c r="Z31293" t="str">
        <f t="shared" si="488"/>
        <v/>
      </c>
    </row>
    <row r="31294" spans="26:26" x14ac:dyDescent="0.2">
      <c r="Z31294" t="str">
        <f t="shared" si="488"/>
        <v/>
      </c>
    </row>
    <row r="31295" spans="26:26" x14ac:dyDescent="0.2">
      <c r="Z31295" t="str">
        <f t="shared" si="488"/>
        <v/>
      </c>
    </row>
    <row r="31296" spans="26:26" x14ac:dyDescent="0.2">
      <c r="Z31296" t="str">
        <f t="shared" si="488"/>
        <v/>
      </c>
    </row>
    <row r="31297" spans="26:26" x14ac:dyDescent="0.2">
      <c r="Z31297" t="str">
        <f t="shared" si="488"/>
        <v/>
      </c>
    </row>
    <row r="31298" spans="26:26" x14ac:dyDescent="0.2">
      <c r="Z31298" t="str">
        <f t="shared" si="488"/>
        <v/>
      </c>
    </row>
    <row r="31299" spans="26:26" x14ac:dyDescent="0.2">
      <c r="Z31299" t="str">
        <f t="shared" ref="Z31299:Z31362" si="489">IF(K31299="","",IFERROR(VALUE(TRIM(MID(K31299,FIND(CHAR(167),SUBSTITUTE(K31299,"-",CHAR(167),LEN(K31299)-LEN(SUBSTITUTE(K31299,"-",""))))+1,100))),K31299))</f>
        <v/>
      </c>
    </row>
    <row r="31300" spans="26:26" x14ac:dyDescent="0.2">
      <c r="Z31300" t="str">
        <f t="shared" si="489"/>
        <v/>
      </c>
    </row>
    <row r="31301" spans="26:26" x14ac:dyDescent="0.2">
      <c r="Z31301" t="str">
        <f t="shared" si="489"/>
        <v/>
      </c>
    </row>
    <row r="31302" spans="26:26" x14ac:dyDescent="0.2">
      <c r="Z31302" t="str">
        <f t="shared" si="489"/>
        <v/>
      </c>
    </row>
    <row r="31303" spans="26:26" x14ac:dyDescent="0.2">
      <c r="Z31303" t="str">
        <f t="shared" si="489"/>
        <v/>
      </c>
    </row>
    <row r="31304" spans="26:26" x14ac:dyDescent="0.2">
      <c r="Z31304" t="str">
        <f t="shared" si="489"/>
        <v/>
      </c>
    </row>
    <row r="31305" spans="26:26" x14ac:dyDescent="0.2">
      <c r="Z31305" t="str">
        <f t="shared" si="489"/>
        <v/>
      </c>
    </row>
    <row r="31306" spans="26:26" x14ac:dyDescent="0.2">
      <c r="Z31306" t="str">
        <f t="shared" si="489"/>
        <v/>
      </c>
    </row>
    <row r="31307" spans="26:26" x14ac:dyDescent="0.2">
      <c r="Z31307" t="str">
        <f t="shared" si="489"/>
        <v/>
      </c>
    </row>
    <row r="31308" spans="26:26" x14ac:dyDescent="0.2">
      <c r="Z31308" t="str">
        <f t="shared" si="489"/>
        <v/>
      </c>
    </row>
    <row r="31309" spans="26:26" x14ac:dyDescent="0.2">
      <c r="Z31309" t="str">
        <f t="shared" si="489"/>
        <v/>
      </c>
    </row>
    <row r="31310" spans="26:26" x14ac:dyDescent="0.2">
      <c r="Z31310" t="str">
        <f t="shared" si="489"/>
        <v/>
      </c>
    </row>
    <row r="31311" spans="26:26" x14ac:dyDescent="0.2">
      <c r="Z31311" t="str">
        <f t="shared" si="489"/>
        <v/>
      </c>
    </row>
    <row r="31312" spans="26:26" x14ac:dyDescent="0.2">
      <c r="Z31312" t="str">
        <f t="shared" si="489"/>
        <v/>
      </c>
    </row>
    <row r="31313" spans="26:26" x14ac:dyDescent="0.2">
      <c r="Z31313" t="str">
        <f t="shared" si="489"/>
        <v/>
      </c>
    </row>
    <row r="31314" spans="26:26" x14ac:dyDescent="0.2">
      <c r="Z31314" t="str">
        <f t="shared" si="489"/>
        <v/>
      </c>
    </row>
    <row r="31315" spans="26:26" x14ac:dyDescent="0.2">
      <c r="Z31315" t="str">
        <f t="shared" si="489"/>
        <v/>
      </c>
    </row>
    <row r="31316" spans="26:26" x14ac:dyDescent="0.2">
      <c r="Z31316" t="str">
        <f t="shared" si="489"/>
        <v/>
      </c>
    </row>
    <row r="31317" spans="26:26" x14ac:dyDescent="0.2">
      <c r="Z31317" t="str">
        <f t="shared" si="489"/>
        <v/>
      </c>
    </row>
    <row r="31318" spans="26:26" x14ac:dyDescent="0.2">
      <c r="Z31318" t="str">
        <f t="shared" si="489"/>
        <v/>
      </c>
    </row>
    <row r="31319" spans="26:26" x14ac:dyDescent="0.2">
      <c r="Z31319" t="str">
        <f t="shared" si="489"/>
        <v/>
      </c>
    </row>
    <row r="31320" spans="26:26" x14ac:dyDescent="0.2">
      <c r="Z31320" t="str">
        <f t="shared" si="489"/>
        <v/>
      </c>
    </row>
    <row r="31321" spans="26:26" x14ac:dyDescent="0.2">
      <c r="Z31321" t="str">
        <f t="shared" si="489"/>
        <v/>
      </c>
    </row>
    <row r="31322" spans="26:26" x14ac:dyDescent="0.2">
      <c r="Z31322" t="str">
        <f t="shared" si="489"/>
        <v/>
      </c>
    </row>
    <row r="31323" spans="26:26" x14ac:dyDescent="0.2">
      <c r="Z31323" t="str">
        <f t="shared" si="489"/>
        <v/>
      </c>
    </row>
    <row r="31324" spans="26:26" x14ac:dyDescent="0.2">
      <c r="Z31324" t="str">
        <f t="shared" si="489"/>
        <v/>
      </c>
    </row>
    <row r="31325" spans="26:26" x14ac:dyDescent="0.2">
      <c r="Z31325" t="str">
        <f t="shared" si="489"/>
        <v/>
      </c>
    </row>
    <row r="31326" spans="26:26" x14ac:dyDescent="0.2">
      <c r="Z31326" t="str">
        <f t="shared" si="489"/>
        <v/>
      </c>
    </row>
    <row r="31327" spans="26:26" x14ac:dyDescent="0.2">
      <c r="Z31327" t="str">
        <f t="shared" si="489"/>
        <v/>
      </c>
    </row>
    <row r="31328" spans="26:26" x14ac:dyDescent="0.2">
      <c r="Z31328" t="str">
        <f t="shared" si="489"/>
        <v/>
      </c>
    </row>
    <row r="31329" spans="26:26" x14ac:dyDescent="0.2">
      <c r="Z31329" t="str">
        <f t="shared" si="489"/>
        <v/>
      </c>
    </row>
    <row r="31330" spans="26:26" x14ac:dyDescent="0.2">
      <c r="Z31330" t="str">
        <f t="shared" si="489"/>
        <v/>
      </c>
    </row>
    <row r="31331" spans="26:26" x14ac:dyDescent="0.2">
      <c r="Z31331" t="str">
        <f t="shared" si="489"/>
        <v/>
      </c>
    </row>
    <row r="31332" spans="26:26" x14ac:dyDescent="0.2">
      <c r="Z31332" t="str">
        <f t="shared" si="489"/>
        <v/>
      </c>
    </row>
    <row r="31333" spans="26:26" x14ac:dyDescent="0.2">
      <c r="Z31333" t="str">
        <f t="shared" si="489"/>
        <v/>
      </c>
    </row>
    <row r="31334" spans="26:26" x14ac:dyDescent="0.2">
      <c r="Z31334" t="str">
        <f t="shared" si="489"/>
        <v/>
      </c>
    </row>
    <row r="31335" spans="26:26" x14ac:dyDescent="0.2">
      <c r="Z31335" t="str">
        <f t="shared" si="489"/>
        <v/>
      </c>
    </row>
    <row r="31336" spans="26:26" x14ac:dyDescent="0.2">
      <c r="Z31336" t="str">
        <f t="shared" si="489"/>
        <v/>
      </c>
    </row>
    <row r="31337" spans="26:26" x14ac:dyDescent="0.2">
      <c r="Z31337" t="str">
        <f t="shared" si="489"/>
        <v/>
      </c>
    </row>
    <row r="31338" spans="26:26" x14ac:dyDescent="0.2">
      <c r="Z31338" t="str">
        <f t="shared" si="489"/>
        <v/>
      </c>
    </row>
    <row r="31339" spans="26:26" x14ac:dyDescent="0.2">
      <c r="Z31339" t="str">
        <f t="shared" si="489"/>
        <v/>
      </c>
    </row>
    <row r="31340" spans="26:26" x14ac:dyDescent="0.2">
      <c r="Z31340" t="str">
        <f t="shared" si="489"/>
        <v/>
      </c>
    </row>
    <row r="31341" spans="26:26" x14ac:dyDescent="0.2">
      <c r="Z31341" t="str">
        <f t="shared" si="489"/>
        <v/>
      </c>
    </row>
    <row r="31342" spans="26:26" x14ac:dyDescent="0.2">
      <c r="Z31342" t="str">
        <f t="shared" si="489"/>
        <v/>
      </c>
    </row>
    <row r="31343" spans="26:26" x14ac:dyDescent="0.2">
      <c r="Z31343" t="str">
        <f t="shared" si="489"/>
        <v/>
      </c>
    </row>
    <row r="31344" spans="26:26" x14ac:dyDescent="0.2">
      <c r="Z31344" t="str">
        <f t="shared" si="489"/>
        <v/>
      </c>
    </row>
    <row r="31345" spans="26:26" x14ac:dyDescent="0.2">
      <c r="Z31345" t="str">
        <f t="shared" si="489"/>
        <v/>
      </c>
    </row>
    <row r="31346" spans="26:26" x14ac:dyDescent="0.2">
      <c r="Z31346" t="str">
        <f t="shared" si="489"/>
        <v/>
      </c>
    </row>
    <row r="31347" spans="26:26" x14ac:dyDescent="0.2">
      <c r="Z31347" t="str">
        <f t="shared" si="489"/>
        <v/>
      </c>
    </row>
    <row r="31348" spans="26:26" x14ac:dyDescent="0.2">
      <c r="Z31348" t="str">
        <f t="shared" si="489"/>
        <v/>
      </c>
    </row>
    <row r="31349" spans="26:26" x14ac:dyDescent="0.2">
      <c r="Z31349" t="str">
        <f t="shared" si="489"/>
        <v/>
      </c>
    </row>
    <row r="31350" spans="26:26" x14ac:dyDescent="0.2">
      <c r="Z31350" t="str">
        <f t="shared" si="489"/>
        <v/>
      </c>
    </row>
    <row r="31351" spans="26:26" x14ac:dyDescent="0.2">
      <c r="Z31351" t="str">
        <f t="shared" si="489"/>
        <v/>
      </c>
    </row>
    <row r="31352" spans="26:26" x14ac:dyDescent="0.2">
      <c r="Z31352" t="str">
        <f t="shared" si="489"/>
        <v/>
      </c>
    </row>
    <row r="31353" spans="26:26" x14ac:dyDescent="0.2">
      <c r="Z31353" t="str">
        <f t="shared" si="489"/>
        <v/>
      </c>
    </row>
    <row r="31354" spans="26:26" x14ac:dyDescent="0.2">
      <c r="Z31354" t="str">
        <f t="shared" si="489"/>
        <v/>
      </c>
    </row>
    <row r="31355" spans="26:26" x14ac:dyDescent="0.2">
      <c r="Z31355" t="str">
        <f t="shared" si="489"/>
        <v/>
      </c>
    </row>
    <row r="31356" spans="26:26" x14ac:dyDescent="0.2">
      <c r="Z31356" t="str">
        <f t="shared" si="489"/>
        <v/>
      </c>
    </row>
    <row r="31357" spans="26:26" x14ac:dyDescent="0.2">
      <c r="Z31357" t="str">
        <f t="shared" si="489"/>
        <v/>
      </c>
    </row>
    <row r="31358" spans="26:26" x14ac:dyDescent="0.2">
      <c r="Z31358" t="str">
        <f t="shared" si="489"/>
        <v/>
      </c>
    </row>
    <row r="31359" spans="26:26" x14ac:dyDescent="0.2">
      <c r="Z31359" t="str">
        <f t="shared" si="489"/>
        <v/>
      </c>
    </row>
    <row r="31360" spans="26:26" x14ac:dyDescent="0.2">
      <c r="Z31360" t="str">
        <f t="shared" si="489"/>
        <v/>
      </c>
    </row>
    <row r="31361" spans="26:26" x14ac:dyDescent="0.2">
      <c r="Z31361" t="str">
        <f t="shared" si="489"/>
        <v/>
      </c>
    </row>
    <row r="31362" spans="26:26" x14ac:dyDescent="0.2">
      <c r="Z31362" t="str">
        <f t="shared" si="489"/>
        <v/>
      </c>
    </row>
    <row r="31363" spans="26:26" x14ac:dyDescent="0.2">
      <c r="Z31363" t="str">
        <f t="shared" ref="Z31363:Z31426" si="490">IF(K31363="","",IFERROR(VALUE(TRIM(MID(K31363,FIND(CHAR(167),SUBSTITUTE(K31363,"-",CHAR(167),LEN(K31363)-LEN(SUBSTITUTE(K31363,"-",""))))+1,100))),K31363))</f>
        <v/>
      </c>
    </row>
    <row r="31364" spans="26:26" x14ac:dyDescent="0.2">
      <c r="Z31364" t="str">
        <f t="shared" si="490"/>
        <v/>
      </c>
    </row>
    <row r="31365" spans="26:26" x14ac:dyDescent="0.2">
      <c r="Z31365" t="str">
        <f t="shared" si="490"/>
        <v/>
      </c>
    </row>
    <row r="31366" spans="26:26" x14ac:dyDescent="0.2">
      <c r="Z31366" t="str">
        <f t="shared" si="490"/>
        <v/>
      </c>
    </row>
    <row r="31367" spans="26:26" x14ac:dyDescent="0.2">
      <c r="Z31367" t="str">
        <f t="shared" si="490"/>
        <v/>
      </c>
    </row>
    <row r="31368" spans="26:26" x14ac:dyDescent="0.2">
      <c r="Z31368" t="str">
        <f t="shared" si="490"/>
        <v/>
      </c>
    </row>
    <row r="31369" spans="26:26" x14ac:dyDescent="0.2">
      <c r="Z31369" t="str">
        <f t="shared" si="490"/>
        <v/>
      </c>
    </row>
    <row r="31370" spans="26:26" x14ac:dyDescent="0.2">
      <c r="Z31370" t="str">
        <f t="shared" si="490"/>
        <v/>
      </c>
    </row>
    <row r="31371" spans="26:26" x14ac:dyDescent="0.2">
      <c r="Z31371" t="str">
        <f t="shared" si="490"/>
        <v/>
      </c>
    </row>
    <row r="31372" spans="26:26" x14ac:dyDescent="0.2">
      <c r="Z31372" t="str">
        <f t="shared" si="490"/>
        <v/>
      </c>
    </row>
    <row r="31373" spans="26:26" x14ac:dyDescent="0.2">
      <c r="Z31373" t="str">
        <f t="shared" si="490"/>
        <v/>
      </c>
    </row>
    <row r="31374" spans="26:26" x14ac:dyDescent="0.2">
      <c r="Z31374" t="str">
        <f t="shared" si="490"/>
        <v/>
      </c>
    </row>
    <row r="31375" spans="26:26" x14ac:dyDescent="0.2">
      <c r="Z31375" t="str">
        <f t="shared" si="490"/>
        <v/>
      </c>
    </row>
    <row r="31376" spans="26:26" x14ac:dyDescent="0.2">
      <c r="Z31376" t="str">
        <f t="shared" si="490"/>
        <v/>
      </c>
    </row>
    <row r="31377" spans="26:26" x14ac:dyDescent="0.2">
      <c r="Z31377" t="str">
        <f t="shared" si="490"/>
        <v/>
      </c>
    </row>
    <row r="31378" spans="26:26" x14ac:dyDescent="0.2">
      <c r="Z31378" t="str">
        <f t="shared" si="490"/>
        <v/>
      </c>
    </row>
    <row r="31379" spans="26:26" x14ac:dyDescent="0.2">
      <c r="Z31379" t="str">
        <f t="shared" si="490"/>
        <v/>
      </c>
    </row>
    <row r="31380" spans="26:26" x14ac:dyDescent="0.2">
      <c r="Z31380" t="str">
        <f t="shared" si="490"/>
        <v/>
      </c>
    </row>
    <row r="31381" spans="26:26" x14ac:dyDescent="0.2">
      <c r="Z31381" t="str">
        <f t="shared" si="490"/>
        <v/>
      </c>
    </row>
    <row r="31382" spans="26:26" x14ac:dyDescent="0.2">
      <c r="Z31382" t="str">
        <f t="shared" si="490"/>
        <v/>
      </c>
    </row>
    <row r="31383" spans="26:26" x14ac:dyDescent="0.2">
      <c r="Z31383" t="str">
        <f t="shared" si="490"/>
        <v/>
      </c>
    </row>
    <row r="31384" spans="26:26" x14ac:dyDescent="0.2">
      <c r="Z31384" t="str">
        <f t="shared" si="490"/>
        <v/>
      </c>
    </row>
    <row r="31385" spans="26:26" x14ac:dyDescent="0.2">
      <c r="Z31385" t="str">
        <f t="shared" si="490"/>
        <v/>
      </c>
    </row>
    <row r="31386" spans="26:26" x14ac:dyDescent="0.2">
      <c r="Z31386" t="str">
        <f t="shared" si="490"/>
        <v/>
      </c>
    </row>
    <row r="31387" spans="26:26" x14ac:dyDescent="0.2">
      <c r="Z31387" t="str">
        <f t="shared" si="490"/>
        <v/>
      </c>
    </row>
    <row r="31388" spans="26:26" x14ac:dyDescent="0.2">
      <c r="Z31388" t="str">
        <f t="shared" si="490"/>
        <v/>
      </c>
    </row>
    <row r="31389" spans="26:26" x14ac:dyDescent="0.2">
      <c r="Z31389" t="str">
        <f t="shared" si="490"/>
        <v/>
      </c>
    </row>
    <row r="31390" spans="26:26" x14ac:dyDescent="0.2">
      <c r="Z31390" t="str">
        <f t="shared" si="490"/>
        <v/>
      </c>
    </row>
    <row r="31391" spans="26:26" x14ac:dyDescent="0.2">
      <c r="Z31391" t="str">
        <f t="shared" si="490"/>
        <v/>
      </c>
    </row>
    <row r="31392" spans="26:26" x14ac:dyDescent="0.2">
      <c r="Z31392" t="str">
        <f t="shared" si="490"/>
        <v/>
      </c>
    </row>
    <row r="31393" spans="26:26" x14ac:dyDescent="0.2">
      <c r="Z31393" t="str">
        <f t="shared" si="490"/>
        <v/>
      </c>
    </row>
    <row r="31394" spans="26:26" x14ac:dyDescent="0.2">
      <c r="Z31394" t="str">
        <f t="shared" si="490"/>
        <v/>
      </c>
    </row>
    <row r="31395" spans="26:26" x14ac:dyDescent="0.2">
      <c r="Z31395" t="str">
        <f t="shared" si="490"/>
        <v/>
      </c>
    </row>
    <row r="31396" spans="26:26" x14ac:dyDescent="0.2">
      <c r="Z31396" t="str">
        <f t="shared" si="490"/>
        <v/>
      </c>
    </row>
    <row r="31397" spans="26:26" x14ac:dyDescent="0.2">
      <c r="Z31397" t="str">
        <f t="shared" si="490"/>
        <v/>
      </c>
    </row>
    <row r="31398" spans="26:26" x14ac:dyDescent="0.2">
      <c r="Z31398" t="str">
        <f t="shared" si="490"/>
        <v/>
      </c>
    </row>
    <row r="31399" spans="26:26" x14ac:dyDescent="0.2">
      <c r="Z31399" t="str">
        <f t="shared" si="490"/>
        <v/>
      </c>
    </row>
    <row r="31400" spans="26:26" x14ac:dyDescent="0.2">
      <c r="Z31400" t="str">
        <f t="shared" si="490"/>
        <v/>
      </c>
    </row>
    <row r="31401" spans="26:26" x14ac:dyDescent="0.2">
      <c r="Z31401" t="str">
        <f t="shared" si="490"/>
        <v/>
      </c>
    </row>
    <row r="31402" spans="26:26" x14ac:dyDescent="0.2">
      <c r="Z31402" t="str">
        <f t="shared" si="490"/>
        <v/>
      </c>
    </row>
    <row r="31403" spans="26:26" x14ac:dyDescent="0.2">
      <c r="Z31403" t="str">
        <f t="shared" si="490"/>
        <v/>
      </c>
    </row>
    <row r="31404" spans="26:26" x14ac:dyDescent="0.2">
      <c r="Z31404" t="str">
        <f t="shared" si="490"/>
        <v/>
      </c>
    </row>
    <row r="31405" spans="26:26" x14ac:dyDescent="0.2">
      <c r="Z31405" t="str">
        <f t="shared" si="490"/>
        <v/>
      </c>
    </row>
    <row r="31406" spans="26:26" x14ac:dyDescent="0.2">
      <c r="Z31406" t="str">
        <f t="shared" si="490"/>
        <v/>
      </c>
    </row>
    <row r="31407" spans="26:26" x14ac:dyDescent="0.2">
      <c r="Z31407" t="str">
        <f t="shared" si="490"/>
        <v/>
      </c>
    </row>
    <row r="31408" spans="26:26" x14ac:dyDescent="0.2">
      <c r="Z31408" t="str">
        <f t="shared" si="490"/>
        <v/>
      </c>
    </row>
    <row r="31409" spans="26:26" x14ac:dyDescent="0.2">
      <c r="Z31409" t="str">
        <f t="shared" si="490"/>
        <v/>
      </c>
    </row>
    <row r="31410" spans="26:26" x14ac:dyDescent="0.2">
      <c r="Z31410" t="str">
        <f t="shared" si="490"/>
        <v/>
      </c>
    </row>
    <row r="31411" spans="26:26" x14ac:dyDescent="0.2">
      <c r="Z31411" t="str">
        <f t="shared" si="490"/>
        <v/>
      </c>
    </row>
    <row r="31412" spans="26:26" x14ac:dyDescent="0.2">
      <c r="Z31412" t="str">
        <f t="shared" si="490"/>
        <v/>
      </c>
    </row>
    <row r="31413" spans="26:26" x14ac:dyDescent="0.2">
      <c r="Z31413" t="str">
        <f t="shared" si="490"/>
        <v/>
      </c>
    </row>
    <row r="31414" spans="26:26" x14ac:dyDescent="0.2">
      <c r="Z31414" t="str">
        <f t="shared" si="490"/>
        <v/>
      </c>
    </row>
    <row r="31415" spans="26:26" x14ac:dyDescent="0.2">
      <c r="Z31415" t="str">
        <f t="shared" si="490"/>
        <v/>
      </c>
    </row>
    <row r="31416" spans="26:26" x14ac:dyDescent="0.2">
      <c r="Z31416" t="str">
        <f t="shared" si="490"/>
        <v/>
      </c>
    </row>
    <row r="31417" spans="26:26" x14ac:dyDescent="0.2">
      <c r="Z31417" t="str">
        <f t="shared" si="490"/>
        <v/>
      </c>
    </row>
    <row r="31418" spans="26:26" x14ac:dyDescent="0.2">
      <c r="Z31418" t="str">
        <f t="shared" si="490"/>
        <v/>
      </c>
    </row>
    <row r="31419" spans="26:26" x14ac:dyDescent="0.2">
      <c r="Z31419" t="str">
        <f t="shared" si="490"/>
        <v/>
      </c>
    </row>
    <row r="31420" spans="26:26" x14ac:dyDescent="0.2">
      <c r="Z31420" t="str">
        <f t="shared" si="490"/>
        <v/>
      </c>
    </row>
    <row r="31421" spans="26:26" x14ac:dyDescent="0.2">
      <c r="Z31421" t="str">
        <f t="shared" si="490"/>
        <v/>
      </c>
    </row>
    <row r="31422" spans="26:26" x14ac:dyDescent="0.2">
      <c r="Z31422" t="str">
        <f t="shared" si="490"/>
        <v/>
      </c>
    </row>
    <row r="31423" spans="26:26" x14ac:dyDescent="0.2">
      <c r="Z31423" t="str">
        <f t="shared" si="490"/>
        <v/>
      </c>
    </row>
    <row r="31424" spans="26:26" x14ac:dyDescent="0.2">
      <c r="Z31424" t="str">
        <f t="shared" si="490"/>
        <v/>
      </c>
    </row>
    <row r="31425" spans="26:26" x14ac:dyDescent="0.2">
      <c r="Z31425" t="str">
        <f t="shared" si="490"/>
        <v/>
      </c>
    </row>
    <row r="31426" spans="26:26" x14ac:dyDescent="0.2">
      <c r="Z31426" t="str">
        <f t="shared" si="490"/>
        <v/>
      </c>
    </row>
    <row r="31427" spans="26:26" x14ac:dyDescent="0.2">
      <c r="Z31427" t="str">
        <f t="shared" ref="Z31427:Z31490" si="491">IF(K31427="","",IFERROR(VALUE(TRIM(MID(K31427,FIND(CHAR(167),SUBSTITUTE(K31427,"-",CHAR(167),LEN(K31427)-LEN(SUBSTITUTE(K31427,"-",""))))+1,100))),K31427))</f>
        <v/>
      </c>
    </row>
    <row r="31428" spans="26:26" x14ac:dyDescent="0.2">
      <c r="Z31428" t="str">
        <f t="shared" si="491"/>
        <v/>
      </c>
    </row>
    <row r="31429" spans="26:26" x14ac:dyDescent="0.2">
      <c r="Z31429" t="str">
        <f t="shared" si="491"/>
        <v/>
      </c>
    </row>
    <row r="31430" spans="26:26" x14ac:dyDescent="0.2">
      <c r="Z31430" t="str">
        <f t="shared" si="491"/>
        <v/>
      </c>
    </row>
    <row r="31431" spans="26:26" x14ac:dyDescent="0.2">
      <c r="Z31431" t="str">
        <f t="shared" si="491"/>
        <v/>
      </c>
    </row>
    <row r="31432" spans="26:26" x14ac:dyDescent="0.2">
      <c r="Z31432" t="str">
        <f t="shared" si="491"/>
        <v/>
      </c>
    </row>
    <row r="31433" spans="26:26" x14ac:dyDescent="0.2">
      <c r="Z31433" t="str">
        <f t="shared" si="491"/>
        <v/>
      </c>
    </row>
    <row r="31434" spans="26:26" x14ac:dyDescent="0.2">
      <c r="Z31434" t="str">
        <f t="shared" si="491"/>
        <v/>
      </c>
    </row>
    <row r="31435" spans="26:26" x14ac:dyDescent="0.2">
      <c r="Z31435" t="str">
        <f t="shared" si="491"/>
        <v/>
      </c>
    </row>
    <row r="31436" spans="26:26" x14ac:dyDescent="0.2">
      <c r="Z31436" t="str">
        <f t="shared" si="491"/>
        <v/>
      </c>
    </row>
    <row r="31437" spans="26:26" x14ac:dyDescent="0.2">
      <c r="Z31437" t="str">
        <f t="shared" si="491"/>
        <v/>
      </c>
    </row>
    <row r="31438" spans="26:26" x14ac:dyDescent="0.2">
      <c r="Z31438" t="str">
        <f t="shared" si="491"/>
        <v/>
      </c>
    </row>
    <row r="31439" spans="26:26" x14ac:dyDescent="0.2">
      <c r="Z31439" t="str">
        <f t="shared" si="491"/>
        <v/>
      </c>
    </row>
    <row r="31440" spans="26:26" x14ac:dyDescent="0.2">
      <c r="Z31440" t="str">
        <f t="shared" si="491"/>
        <v/>
      </c>
    </row>
    <row r="31441" spans="26:26" x14ac:dyDescent="0.2">
      <c r="Z31441" t="str">
        <f t="shared" si="491"/>
        <v/>
      </c>
    </row>
    <row r="31442" spans="26:26" x14ac:dyDescent="0.2">
      <c r="Z31442" t="str">
        <f t="shared" si="491"/>
        <v/>
      </c>
    </row>
    <row r="31443" spans="26:26" x14ac:dyDescent="0.2">
      <c r="Z31443" t="str">
        <f t="shared" si="491"/>
        <v/>
      </c>
    </row>
    <row r="31444" spans="26:26" x14ac:dyDescent="0.2">
      <c r="Z31444" t="str">
        <f t="shared" si="491"/>
        <v/>
      </c>
    </row>
    <row r="31445" spans="26:26" x14ac:dyDescent="0.2">
      <c r="Z31445" t="str">
        <f t="shared" si="491"/>
        <v/>
      </c>
    </row>
    <row r="31446" spans="26:26" x14ac:dyDescent="0.2">
      <c r="Z31446" t="str">
        <f t="shared" si="491"/>
        <v/>
      </c>
    </row>
    <row r="31447" spans="26:26" x14ac:dyDescent="0.2">
      <c r="Z31447" t="str">
        <f t="shared" si="491"/>
        <v/>
      </c>
    </row>
    <row r="31448" spans="26:26" x14ac:dyDescent="0.2">
      <c r="Z31448" t="str">
        <f t="shared" si="491"/>
        <v/>
      </c>
    </row>
    <row r="31449" spans="26:26" x14ac:dyDescent="0.2">
      <c r="Z31449" t="str">
        <f t="shared" si="491"/>
        <v/>
      </c>
    </row>
    <row r="31450" spans="26:26" x14ac:dyDescent="0.2">
      <c r="Z31450" t="str">
        <f t="shared" si="491"/>
        <v/>
      </c>
    </row>
    <row r="31451" spans="26:26" x14ac:dyDescent="0.2">
      <c r="Z31451" t="str">
        <f t="shared" si="491"/>
        <v/>
      </c>
    </row>
    <row r="31452" spans="26:26" x14ac:dyDescent="0.2">
      <c r="Z31452" t="str">
        <f t="shared" si="491"/>
        <v/>
      </c>
    </row>
    <row r="31453" spans="26:26" x14ac:dyDescent="0.2">
      <c r="Z31453" t="str">
        <f t="shared" si="491"/>
        <v/>
      </c>
    </row>
    <row r="31454" spans="26:26" x14ac:dyDescent="0.2">
      <c r="Z31454" t="str">
        <f t="shared" si="491"/>
        <v/>
      </c>
    </row>
    <row r="31455" spans="26:26" x14ac:dyDescent="0.2">
      <c r="Z31455" t="str">
        <f t="shared" si="491"/>
        <v/>
      </c>
    </row>
    <row r="31456" spans="26:26" x14ac:dyDescent="0.2">
      <c r="Z31456" t="str">
        <f t="shared" si="491"/>
        <v/>
      </c>
    </row>
    <row r="31457" spans="26:26" x14ac:dyDescent="0.2">
      <c r="Z31457" t="str">
        <f t="shared" si="491"/>
        <v/>
      </c>
    </row>
    <row r="31458" spans="26:26" x14ac:dyDescent="0.2">
      <c r="Z31458" t="str">
        <f t="shared" si="491"/>
        <v/>
      </c>
    </row>
    <row r="31459" spans="26:26" x14ac:dyDescent="0.2">
      <c r="Z31459" t="str">
        <f t="shared" si="491"/>
        <v/>
      </c>
    </row>
    <row r="31460" spans="26:26" x14ac:dyDescent="0.2">
      <c r="Z31460" t="str">
        <f t="shared" si="491"/>
        <v/>
      </c>
    </row>
    <row r="31461" spans="26:26" x14ac:dyDescent="0.2">
      <c r="Z31461" t="str">
        <f t="shared" si="491"/>
        <v/>
      </c>
    </row>
    <row r="31462" spans="26:26" x14ac:dyDescent="0.2">
      <c r="Z31462" t="str">
        <f t="shared" si="491"/>
        <v/>
      </c>
    </row>
    <row r="31463" spans="26:26" x14ac:dyDescent="0.2">
      <c r="Z31463" t="str">
        <f t="shared" si="491"/>
        <v/>
      </c>
    </row>
    <row r="31464" spans="26:26" x14ac:dyDescent="0.2">
      <c r="Z31464" t="str">
        <f t="shared" si="491"/>
        <v/>
      </c>
    </row>
    <row r="31465" spans="26:26" x14ac:dyDescent="0.2">
      <c r="Z31465" t="str">
        <f t="shared" si="491"/>
        <v/>
      </c>
    </row>
    <row r="31466" spans="26:26" x14ac:dyDescent="0.2">
      <c r="Z31466" t="str">
        <f t="shared" si="491"/>
        <v/>
      </c>
    </row>
    <row r="31467" spans="26:26" x14ac:dyDescent="0.2">
      <c r="Z31467" t="str">
        <f t="shared" si="491"/>
        <v/>
      </c>
    </row>
    <row r="31468" spans="26:26" x14ac:dyDescent="0.2">
      <c r="Z31468" t="str">
        <f t="shared" si="491"/>
        <v/>
      </c>
    </row>
    <row r="31469" spans="26:26" x14ac:dyDescent="0.2">
      <c r="Z31469" t="str">
        <f t="shared" si="491"/>
        <v/>
      </c>
    </row>
    <row r="31470" spans="26:26" x14ac:dyDescent="0.2">
      <c r="Z31470" t="str">
        <f t="shared" si="491"/>
        <v/>
      </c>
    </row>
    <row r="31471" spans="26:26" x14ac:dyDescent="0.2">
      <c r="Z31471" t="str">
        <f t="shared" si="491"/>
        <v/>
      </c>
    </row>
    <row r="31472" spans="26:26" x14ac:dyDescent="0.2">
      <c r="Z31472" t="str">
        <f t="shared" si="491"/>
        <v/>
      </c>
    </row>
    <row r="31473" spans="26:26" x14ac:dyDescent="0.2">
      <c r="Z31473" t="str">
        <f t="shared" si="491"/>
        <v/>
      </c>
    </row>
    <row r="31474" spans="26:26" x14ac:dyDescent="0.2">
      <c r="Z31474" t="str">
        <f t="shared" si="491"/>
        <v/>
      </c>
    </row>
    <row r="31475" spans="26:26" x14ac:dyDescent="0.2">
      <c r="Z31475" t="str">
        <f t="shared" si="491"/>
        <v/>
      </c>
    </row>
    <row r="31476" spans="26:26" x14ac:dyDescent="0.2">
      <c r="Z31476" t="str">
        <f t="shared" si="491"/>
        <v/>
      </c>
    </row>
    <row r="31477" spans="26:26" x14ac:dyDescent="0.2">
      <c r="Z31477" t="str">
        <f t="shared" si="491"/>
        <v/>
      </c>
    </row>
    <row r="31478" spans="26:26" x14ac:dyDescent="0.2">
      <c r="Z31478" t="str">
        <f t="shared" si="491"/>
        <v/>
      </c>
    </row>
    <row r="31479" spans="26:26" x14ac:dyDescent="0.2">
      <c r="Z31479" t="str">
        <f t="shared" si="491"/>
        <v/>
      </c>
    </row>
    <row r="31480" spans="26:26" x14ac:dyDescent="0.2">
      <c r="Z31480" t="str">
        <f t="shared" si="491"/>
        <v/>
      </c>
    </row>
    <row r="31481" spans="26:26" x14ac:dyDescent="0.2">
      <c r="Z31481" t="str">
        <f t="shared" si="491"/>
        <v/>
      </c>
    </row>
    <row r="31482" spans="26:26" x14ac:dyDescent="0.2">
      <c r="Z31482" t="str">
        <f t="shared" si="491"/>
        <v/>
      </c>
    </row>
    <row r="31483" spans="26:26" x14ac:dyDescent="0.2">
      <c r="Z31483" t="str">
        <f t="shared" si="491"/>
        <v/>
      </c>
    </row>
    <row r="31484" spans="26:26" x14ac:dyDescent="0.2">
      <c r="Z31484" t="str">
        <f t="shared" si="491"/>
        <v/>
      </c>
    </row>
    <row r="31485" spans="26:26" x14ac:dyDescent="0.2">
      <c r="Z31485" t="str">
        <f t="shared" si="491"/>
        <v/>
      </c>
    </row>
    <row r="31486" spans="26:26" x14ac:dyDescent="0.2">
      <c r="Z31486" t="str">
        <f t="shared" si="491"/>
        <v/>
      </c>
    </row>
    <row r="31487" spans="26:26" x14ac:dyDescent="0.2">
      <c r="Z31487" t="str">
        <f t="shared" si="491"/>
        <v/>
      </c>
    </row>
    <row r="31488" spans="26:26" x14ac:dyDescent="0.2">
      <c r="Z31488" t="str">
        <f t="shared" si="491"/>
        <v/>
      </c>
    </row>
    <row r="31489" spans="26:26" x14ac:dyDescent="0.2">
      <c r="Z31489" t="str">
        <f t="shared" si="491"/>
        <v/>
      </c>
    </row>
    <row r="31490" spans="26:26" x14ac:dyDescent="0.2">
      <c r="Z31490" t="str">
        <f t="shared" si="491"/>
        <v/>
      </c>
    </row>
    <row r="31491" spans="26:26" x14ac:dyDescent="0.2">
      <c r="Z31491" t="str">
        <f t="shared" ref="Z31491:Z31554" si="492">IF(K31491="","",IFERROR(VALUE(TRIM(MID(K31491,FIND(CHAR(167),SUBSTITUTE(K31491,"-",CHAR(167),LEN(K31491)-LEN(SUBSTITUTE(K31491,"-",""))))+1,100))),K31491))</f>
        <v/>
      </c>
    </row>
    <row r="31492" spans="26:26" x14ac:dyDescent="0.2">
      <c r="Z31492" t="str">
        <f t="shared" si="492"/>
        <v/>
      </c>
    </row>
    <row r="31493" spans="26:26" x14ac:dyDescent="0.2">
      <c r="Z31493" t="str">
        <f t="shared" si="492"/>
        <v/>
      </c>
    </row>
    <row r="31494" spans="26:26" x14ac:dyDescent="0.2">
      <c r="Z31494" t="str">
        <f t="shared" si="492"/>
        <v/>
      </c>
    </row>
    <row r="31495" spans="26:26" x14ac:dyDescent="0.2">
      <c r="Z31495" t="str">
        <f t="shared" si="492"/>
        <v/>
      </c>
    </row>
    <row r="31496" spans="26:26" x14ac:dyDescent="0.2">
      <c r="Z31496" t="str">
        <f t="shared" si="492"/>
        <v/>
      </c>
    </row>
    <row r="31497" spans="26:26" x14ac:dyDescent="0.2">
      <c r="Z31497" t="str">
        <f t="shared" si="492"/>
        <v/>
      </c>
    </row>
    <row r="31498" spans="26:26" x14ac:dyDescent="0.2">
      <c r="Z31498" t="str">
        <f t="shared" si="492"/>
        <v/>
      </c>
    </row>
    <row r="31499" spans="26:26" x14ac:dyDescent="0.2">
      <c r="Z31499" t="str">
        <f t="shared" si="492"/>
        <v/>
      </c>
    </row>
    <row r="31500" spans="26:26" x14ac:dyDescent="0.2">
      <c r="Z31500" t="str">
        <f t="shared" si="492"/>
        <v/>
      </c>
    </row>
    <row r="31501" spans="26:26" x14ac:dyDescent="0.2">
      <c r="Z31501" t="str">
        <f t="shared" si="492"/>
        <v/>
      </c>
    </row>
    <row r="31502" spans="26:26" x14ac:dyDescent="0.2">
      <c r="Z31502" t="str">
        <f t="shared" si="492"/>
        <v/>
      </c>
    </row>
    <row r="31503" spans="26:26" x14ac:dyDescent="0.2">
      <c r="Z31503" t="str">
        <f t="shared" si="492"/>
        <v/>
      </c>
    </row>
    <row r="31504" spans="26:26" x14ac:dyDescent="0.2">
      <c r="Z31504" t="str">
        <f t="shared" si="492"/>
        <v/>
      </c>
    </row>
    <row r="31505" spans="26:26" x14ac:dyDescent="0.2">
      <c r="Z31505" t="str">
        <f t="shared" si="492"/>
        <v/>
      </c>
    </row>
    <row r="31506" spans="26:26" x14ac:dyDescent="0.2">
      <c r="Z31506" t="str">
        <f t="shared" si="492"/>
        <v/>
      </c>
    </row>
    <row r="31507" spans="26:26" x14ac:dyDescent="0.2">
      <c r="Z31507" t="str">
        <f t="shared" si="492"/>
        <v/>
      </c>
    </row>
    <row r="31508" spans="26:26" x14ac:dyDescent="0.2">
      <c r="Z31508" t="str">
        <f t="shared" si="492"/>
        <v/>
      </c>
    </row>
    <row r="31509" spans="26:26" x14ac:dyDescent="0.2">
      <c r="Z31509" t="str">
        <f t="shared" si="492"/>
        <v/>
      </c>
    </row>
    <row r="31510" spans="26:26" x14ac:dyDescent="0.2">
      <c r="Z31510" t="str">
        <f t="shared" si="492"/>
        <v/>
      </c>
    </row>
    <row r="31511" spans="26:26" x14ac:dyDescent="0.2">
      <c r="Z31511" t="str">
        <f t="shared" si="492"/>
        <v/>
      </c>
    </row>
    <row r="31512" spans="26:26" x14ac:dyDescent="0.2">
      <c r="Z31512" t="str">
        <f t="shared" si="492"/>
        <v/>
      </c>
    </row>
    <row r="31513" spans="26:26" x14ac:dyDescent="0.2">
      <c r="Z31513" t="str">
        <f t="shared" si="492"/>
        <v/>
      </c>
    </row>
    <row r="31514" spans="26:26" x14ac:dyDescent="0.2">
      <c r="Z31514" t="str">
        <f t="shared" si="492"/>
        <v/>
      </c>
    </row>
    <row r="31515" spans="26:26" x14ac:dyDescent="0.2">
      <c r="Z31515" t="str">
        <f t="shared" si="492"/>
        <v/>
      </c>
    </row>
    <row r="31516" spans="26:26" x14ac:dyDescent="0.2">
      <c r="Z31516" t="str">
        <f t="shared" si="492"/>
        <v/>
      </c>
    </row>
    <row r="31517" spans="26:26" x14ac:dyDescent="0.2">
      <c r="Z31517" t="str">
        <f t="shared" si="492"/>
        <v/>
      </c>
    </row>
    <row r="31518" spans="26:26" x14ac:dyDescent="0.2">
      <c r="Z31518" t="str">
        <f t="shared" si="492"/>
        <v/>
      </c>
    </row>
    <row r="31519" spans="26:26" x14ac:dyDescent="0.2">
      <c r="Z31519" t="str">
        <f t="shared" si="492"/>
        <v/>
      </c>
    </row>
    <row r="31520" spans="26:26" x14ac:dyDescent="0.2">
      <c r="Z31520" t="str">
        <f t="shared" si="492"/>
        <v/>
      </c>
    </row>
    <row r="31521" spans="26:26" x14ac:dyDescent="0.2">
      <c r="Z31521" t="str">
        <f t="shared" si="492"/>
        <v/>
      </c>
    </row>
    <row r="31522" spans="26:26" x14ac:dyDescent="0.2">
      <c r="Z31522" t="str">
        <f t="shared" si="492"/>
        <v/>
      </c>
    </row>
    <row r="31523" spans="26:26" x14ac:dyDescent="0.2">
      <c r="Z31523" t="str">
        <f t="shared" si="492"/>
        <v/>
      </c>
    </row>
    <row r="31524" spans="26:26" x14ac:dyDescent="0.2">
      <c r="Z31524" t="str">
        <f t="shared" si="492"/>
        <v/>
      </c>
    </row>
    <row r="31525" spans="26:26" x14ac:dyDescent="0.2">
      <c r="Z31525" t="str">
        <f t="shared" si="492"/>
        <v/>
      </c>
    </row>
    <row r="31526" spans="26:26" x14ac:dyDescent="0.2">
      <c r="Z31526" t="str">
        <f t="shared" si="492"/>
        <v/>
      </c>
    </row>
    <row r="31527" spans="26:26" x14ac:dyDescent="0.2">
      <c r="Z31527" t="str">
        <f t="shared" si="492"/>
        <v/>
      </c>
    </row>
    <row r="31528" spans="26:26" x14ac:dyDescent="0.2">
      <c r="Z31528" t="str">
        <f t="shared" si="492"/>
        <v/>
      </c>
    </row>
    <row r="31529" spans="26:26" x14ac:dyDescent="0.2">
      <c r="Z31529" t="str">
        <f t="shared" si="492"/>
        <v/>
      </c>
    </row>
    <row r="31530" spans="26:26" x14ac:dyDescent="0.2">
      <c r="Z31530" t="str">
        <f t="shared" si="492"/>
        <v/>
      </c>
    </row>
    <row r="31531" spans="26:26" x14ac:dyDescent="0.2">
      <c r="Z31531" t="str">
        <f t="shared" si="492"/>
        <v/>
      </c>
    </row>
    <row r="31532" spans="26:26" x14ac:dyDescent="0.2">
      <c r="Z31532" t="str">
        <f t="shared" si="492"/>
        <v/>
      </c>
    </row>
    <row r="31533" spans="26:26" x14ac:dyDescent="0.2">
      <c r="Z31533" t="str">
        <f t="shared" si="492"/>
        <v/>
      </c>
    </row>
    <row r="31534" spans="26:26" x14ac:dyDescent="0.2">
      <c r="Z31534" t="str">
        <f t="shared" si="492"/>
        <v/>
      </c>
    </row>
    <row r="31535" spans="26:26" x14ac:dyDescent="0.2">
      <c r="Z31535" t="str">
        <f t="shared" si="492"/>
        <v/>
      </c>
    </row>
    <row r="31536" spans="26:26" x14ac:dyDescent="0.2">
      <c r="Z31536" t="str">
        <f t="shared" si="492"/>
        <v/>
      </c>
    </row>
    <row r="31537" spans="26:26" x14ac:dyDescent="0.2">
      <c r="Z31537" t="str">
        <f t="shared" si="492"/>
        <v/>
      </c>
    </row>
    <row r="31538" spans="26:26" x14ac:dyDescent="0.2">
      <c r="Z31538" t="str">
        <f t="shared" si="492"/>
        <v/>
      </c>
    </row>
    <row r="31539" spans="26:26" x14ac:dyDescent="0.2">
      <c r="Z31539" t="str">
        <f t="shared" si="492"/>
        <v/>
      </c>
    </row>
    <row r="31540" spans="26:26" x14ac:dyDescent="0.2">
      <c r="Z31540" t="str">
        <f t="shared" si="492"/>
        <v/>
      </c>
    </row>
    <row r="31541" spans="26:26" x14ac:dyDescent="0.2">
      <c r="Z31541" t="str">
        <f t="shared" si="492"/>
        <v/>
      </c>
    </row>
    <row r="31542" spans="26:26" x14ac:dyDescent="0.2">
      <c r="Z31542" t="str">
        <f t="shared" si="492"/>
        <v/>
      </c>
    </row>
    <row r="31543" spans="26:26" x14ac:dyDescent="0.2">
      <c r="Z31543" t="str">
        <f t="shared" si="492"/>
        <v/>
      </c>
    </row>
    <row r="31544" spans="26:26" x14ac:dyDescent="0.2">
      <c r="Z31544" t="str">
        <f t="shared" si="492"/>
        <v/>
      </c>
    </row>
    <row r="31545" spans="26:26" x14ac:dyDescent="0.2">
      <c r="Z31545" t="str">
        <f t="shared" si="492"/>
        <v/>
      </c>
    </row>
    <row r="31546" spans="26:26" x14ac:dyDescent="0.2">
      <c r="Z31546" t="str">
        <f t="shared" si="492"/>
        <v/>
      </c>
    </row>
    <row r="31547" spans="26:26" x14ac:dyDescent="0.2">
      <c r="Z31547" t="str">
        <f t="shared" si="492"/>
        <v/>
      </c>
    </row>
    <row r="31548" spans="26:26" x14ac:dyDescent="0.2">
      <c r="Z31548" t="str">
        <f t="shared" si="492"/>
        <v/>
      </c>
    </row>
    <row r="31549" spans="26:26" x14ac:dyDescent="0.2">
      <c r="Z31549" t="str">
        <f t="shared" si="492"/>
        <v/>
      </c>
    </row>
    <row r="31550" spans="26:26" x14ac:dyDescent="0.2">
      <c r="Z31550" t="str">
        <f t="shared" si="492"/>
        <v/>
      </c>
    </row>
    <row r="31551" spans="26:26" x14ac:dyDescent="0.2">
      <c r="Z31551" t="str">
        <f t="shared" si="492"/>
        <v/>
      </c>
    </row>
    <row r="31552" spans="26:26" x14ac:dyDescent="0.2">
      <c r="Z31552" t="str">
        <f t="shared" si="492"/>
        <v/>
      </c>
    </row>
    <row r="31553" spans="26:26" x14ac:dyDescent="0.2">
      <c r="Z31553" t="str">
        <f t="shared" si="492"/>
        <v/>
      </c>
    </row>
    <row r="31554" spans="26:26" x14ac:dyDescent="0.2">
      <c r="Z31554" t="str">
        <f t="shared" si="492"/>
        <v/>
      </c>
    </row>
    <row r="31555" spans="26:26" x14ac:dyDescent="0.2">
      <c r="Z31555" t="str">
        <f t="shared" ref="Z31555:Z31618" si="493">IF(K31555="","",IFERROR(VALUE(TRIM(MID(K31555,FIND(CHAR(167),SUBSTITUTE(K31555,"-",CHAR(167),LEN(K31555)-LEN(SUBSTITUTE(K31555,"-",""))))+1,100))),K31555))</f>
        <v/>
      </c>
    </row>
    <row r="31556" spans="26:26" x14ac:dyDescent="0.2">
      <c r="Z31556" t="str">
        <f t="shared" si="493"/>
        <v/>
      </c>
    </row>
    <row r="31557" spans="26:26" x14ac:dyDescent="0.2">
      <c r="Z31557" t="str">
        <f t="shared" si="493"/>
        <v/>
      </c>
    </row>
    <row r="31558" spans="26:26" x14ac:dyDescent="0.2">
      <c r="Z31558" t="str">
        <f t="shared" si="493"/>
        <v/>
      </c>
    </row>
    <row r="31559" spans="26:26" x14ac:dyDescent="0.2">
      <c r="Z31559" t="str">
        <f t="shared" si="493"/>
        <v/>
      </c>
    </row>
    <row r="31560" spans="26:26" x14ac:dyDescent="0.2">
      <c r="Z31560" t="str">
        <f t="shared" si="493"/>
        <v/>
      </c>
    </row>
    <row r="31561" spans="26:26" x14ac:dyDescent="0.2">
      <c r="Z31561" t="str">
        <f t="shared" si="493"/>
        <v/>
      </c>
    </row>
    <row r="31562" spans="26:26" x14ac:dyDescent="0.2">
      <c r="Z31562" t="str">
        <f t="shared" si="493"/>
        <v/>
      </c>
    </row>
    <row r="31563" spans="26:26" x14ac:dyDescent="0.2">
      <c r="Z31563" t="str">
        <f t="shared" si="493"/>
        <v/>
      </c>
    </row>
    <row r="31564" spans="26:26" x14ac:dyDescent="0.2">
      <c r="Z31564" t="str">
        <f t="shared" si="493"/>
        <v/>
      </c>
    </row>
    <row r="31565" spans="26:26" x14ac:dyDescent="0.2">
      <c r="Z31565" t="str">
        <f t="shared" si="493"/>
        <v/>
      </c>
    </row>
    <row r="31566" spans="26:26" x14ac:dyDescent="0.2">
      <c r="Z31566" t="str">
        <f t="shared" si="493"/>
        <v/>
      </c>
    </row>
    <row r="31567" spans="26:26" x14ac:dyDescent="0.2">
      <c r="Z31567" t="str">
        <f t="shared" si="493"/>
        <v/>
      </c>
    </row>
    <row r="31568" spans="26:26" x14ac:dyDescent="0.2">
      <c r="Z31568" t="str">
        <f t="shared" si="493"/>
        <v/>
      </c>
    </row>
    <row r="31569" spans="26:26" x14ac:dyDescent="0.2">
      <c r="Z31569" t="str">
        <f t="shared" si="493"/>
        <v/>
      </c>
    </row>
    <row r="31570" spans="26:26" x14ac:dyDescent="0.2">
      <c r="Z31570" t="str">
        <f t="shared" si="493"/>
        <v/>
      </c>
    </row>
    <row r="31571" spans="26:26" x14ac:dyDescent="0.2">
      <c r="Z31571" t="str">
        <f t="shared" si="493"/>
        <v/>
      </c>
    </row>
    <row r="31572" spans="26:26" x14ac:dyDescent="0.2">
      <c r="Z31572" t="str">
        <f t="shared" si="493"/>
        <v/>
      </c>
    </row>
    <row r="31573" spans="26:26" x14ac:dyDescent="0.2">
      <c r="Z31573" t="str">
        <f t="shared" si="493"/>
        <v/>
      </c>
    </row>
    <row r="31574" spans="26:26" x14ac:dyDescent="0.2">
      <c r="Z31574" t="str">
        <f t="shared" si="493"/>
        <v/>
      </c>
    </row>
    <row r="31575" spans="26:26" x14ac:dyDescent="0.2">
      <c r="Z31575" t="str">
        <f t="shared" si="493"/>
        <v/>
      </c>
    </row>
    <row r="31576" spans="26:26" x14ac:dyDescent="0.2">
      <c r="Z31576" t="str">
        <f t="shared" si="493"/>
        <v/>
      </c>
    </row>
    <row r="31577" spans="26:26" x14ac:dyDescent="0.2">
      <c r="Z31577" t="str">
        <f t="shared" si="493"/>
        <v/>
      </c>
    </row>
    <row r="31578" spans="26:26" x14ac:dyDescent="0.2">
      <c r="Z31578" t="str">
        <f t="shared" si="493"/>
        <v/>
      </c>
    </row>
    <row r="31579" spans="26:26" x14ac:dyDescent="0.2">
      <c r="Z31579" t="str">
        <f t="shared" si="493"/>
        <v/>
      </c>
    </row>
    <row r="31580" spans="26:26" x14ac:dyDescent="0.2">
      <c r="Z31580" t="str">
        <f t="shared" si="493"/>
        <v/>
      </c>
    </row>
    <row r="31581" spans="26:26" x14ac:dyDescent="0.2">
      <c r="Z31581" t="str">
        <f t="shared" si="493"/>
        <v/>
      </c>
    </row>
    <row r="31582" spans="26:26" x14ac:dyDescent="0.2">
      <c r="Z31582" t="str">
        <f t="shared" si="493"/>
        <v/>
      </c>
    </row>
    <row r="31583" spans="26:26" x14ac:dyDescent="0.2">
      <c r="Z31583" t="str">
        <f t="shared" si="493"/>
        <v/>
      </c>
    </row>
    <row r="31584" spans="26:26" x14ac:dyDescent="0.2">
      <c r="Z31584" t="str">
        <f t="shared" si="493"/>
        <v/>
      </c>
    </row>
    <row r="31585" spans="26:26" x14ac:dyDescent="0.2">
      <c r="Z31585" t="str">
        <f t="shared" si="493"/>
        <v/>
      </c>
    </row>
    <row r="31586" spans="26:26" x14ac:dyDescent="0.2">
      <c r="Z31586" t="str">
        <f t="shared" si="493"/>
        <v/>
      </c>
    </row>
    <row r="31587" spans="26:26" x14ac:dyDescent="0.2">
      <c r="Z31587" t="str">
        <f t="shared" si="493"/>
        <v/>
      </c>
    </row>
    <row r="31588" spans="26:26" x14ac:dyDescent="0.2">
      <c r="Z31588" t="str">
        <f t="shared" si="493"/>
        <v/>
      </c>
    </row>
    <row r="31589" spans="26:26" x14ac:dyDescent="0.2">
      <c r="Z31589" t="str">
        <f t="shared" si="493"/>
        <v/>
      </c>
    </row>
    <row r="31590" spans="26:26" x14ac:dyDescent="0.2">
      <c r="Z31590" t="str">
        <f t="shared" si="493"/>
        <v/>
      </c>
    </row>
    <row r="31591" spans="26:26" x14ac:dyDescent="0.2">
      <c r="Z31591" t="str">
        <f t="shared" si="493"/>
        <v/>
      </c>
    </row>
    <row r="31592" spans="26:26" x14ac:dyDescent="0.2">
      <c r="Z31592" t="str">
        <f t="shared" si="493"/>
        <v/>
      </c>
    </row>
    <row r="31593" spans="26:26" x14ac:dyDescent="0.2">
      <c r="Z31593" t="str">
        <f t="shared" si="493"/>
        <v/>
      </c>
    </row>
    <row r="31594" spans="26:26" x14ac:dyDescent="0.2">
      <c r="Z31594" t="str">
        <f t="shared" si="493"/>
        <v/>
      </c>
    </row>
    <row r="31595" spans="26:26" x14ac:dyDescent="0.2">
      <c r="Z31595" t="str">
        <f t="shared" si="493"/>
        <v/>
      </c>
    </row>
    <row r="31596" spans="26:26" x14ac:dyDescent="0.2">
      <c r="Z31596" t="str">
        <f t="shared" si="493"/>
        <v/>
      </c>
    </row>
    <row r="31597" spans="26:26" x14ac:dyDescent="0.2">
      <c r="Z31597" t="str">
        <f t="shared" si="493"/>
        <v/>
      </c>
    </row>
    <row r="31598" spans="26:26" x14ac:dyDescent="0.2">
      <c r="Z31598" t="str">
        <f t="shared" si="493"/>
        <v/>
      </c>
    </row>
    <row r="31599" spans="26:26" x14ac:dyDescent="0.2">
      <c r="Z31599" t="str">
        <f t="shared" si="493"/>
        <v/>
      </c>
    </row>
    <row r="31600" spans="26:26" x14ac:dyDescent="0.2">
      <c r="Z31600" t="str">
        <f t="shared" si="493"/>
        <v/>
      </c>
    </row>
    <row r="31601" spans="26:26" x14ac:dyDescent="0.2">
      <c r="Z31601" t="str">
        <f t="shared" si="493"/>
        <v/>
      </c>
    </row>
    <row r="31602" spans="26:26" x14ac:dyDescent="0.2">
      <c r="Z31602" t="str">
        <f t="shared" si="493"/>
        <v/>
      </c>
    </row>
    <row r="31603" spans="26:26" x14ac:dyDescent="0.2">
      <c r="Z31603" t="str">
        <f t="shared" si="493"/>
        <v/>
      </c>
    </row>
    <row r="31604" spans="26:26" x14ac:dyDescent="0.2">
      <c r="Z31604" t="str">
        <f t="shared" si="493"/>
        <v/>
      </c>
    </row>
    <row r="31605" spans="26:26" x14ac:dyDescent="0.2">
      <c r="Z31605" t="str">
        <f t="shared" si="493"/>
        <v/>
      </c>
    </row>
    <row r="31606" spans="26:26" x14ac:dyDescent="0.2">
      <c r="Z31606" t="str">
        <f t="shared" si="493"/>
        <v/>
      </c>
    </row>
    <row r="31607" spans="26:26" x14ac:dyDescent="0.2">
      <c r="Z31607" t="str">
        <f t="shared" si="493"/>
        <v/>
      </c>
    </row>
    <row r="31608" spans="26:26" x14ac:dyDescent="0.2">
      <c r="Z31608" t="str">
        <f t="shared" si="493"/>
        <v/>
      </c>
    </row>
    <row r="31609" spans="26:26" x14ac:dyDescent="0.2">
      <c r="Z31609" t="str">
        <f t="shared" si="493"/>
        <v/>
      </c>
    </row>
    <row r="31610" spans="26:26" x14ac:dyDescent="0.2">
      <c r="Z31610" t="str">
        <f t="shared" si="493"/>
        <v/>
      </c>
    </row>
    <row r="31611" spans="26:26" x14ac:dyDescent="0.2">
      <c r="Z31611" t="str">
        <f t="shared" si="493"/>
        <v/>
      </c>
    </row>
    <row r="31612" spans="26:26" x14ac:dyDescent="0.2">
      <c r="Z31612" t="str">
        <f t="shared" si="493"/>
        <v/>
      </c>
    </row>
    <row r="31613" spans="26:26" x14ac:dyDescent="0.2">
      <c r="Z31613" t="str">
        <f t="shared" si="493"/>
        <v/>
      </c>
    </row>
    <row r="31614" spans="26:26" x14ac:dyDescent="0.2">
      <c r="Z31614" t="str">
        <f t="shared" si="493"/>
        <v/>
      </c>
    </row>
    <row r="31615" spans="26:26" x14ac:dyDescent="0.2">
      <c r="Z31615" t="str">
        <f t="shared" si="493"/>
        <v/>
      </c>
    </row>
    <row r="31616" spans="26:26" x14ac:dyDescent="0.2">
      <c r="Z31616" t="str">
        <f t="shared" si="493"/>
        <v/>
      </c>
    </row>
    <row r="31617" spans="26:26" x14ac:dyDescent="0.2">
      <c r="Z31617" t="str">
        <f t="shared" si="493"/>
        <v/>
      </c>
    </row>
    <row r="31618" spans="26:26" x14ac:dyDescent="0.2">
      <c r="Z31618" t="str">
        <f t="shared" si="493"/>
        <v/>
      </c>
    </row>
    <row r="31619" spans="26:26" x14ac:dyDescent="0.2">
      <c r="Z31619" t="str">
        <f t="shared" ref="Z31619:Z31682" si="494">IF(K31619="","",IFERROR(VALUE(TRIM(MID(K31619,FIND(CHAR(167),SUBSTITUTE(K31619,"-",CHAR(167),LEN(K31619)-LEN(SUBSTITUTE(K31619,"-",""))))+1,100))),K31619))</f>
        <v/>
      </c>
    </row>
    <row r="31620" spans="26:26" x14ac:dyDescent="0.2">
      <c r="Z31620" t="str">
        <f t="shared" si="494"/>
        <v/>
      </c>
    </row>
    <row r="31621" spans="26:26" x14ac:dyDescent="0.2">
      <c r="Z31621" t="str">
        <f t="shared" si="494"/>
        <v/>
      </c>
    </row>
    <row r="31622" spans="26:26" x14ac:dyDescent="0.2">
      <c r="Z31622" t="str">
        <f t="shared" si="494"/>
        <v/>
      </c>
    </row>
    <row r="31623" spans="26:26" x14ac:dyDescent="0.2">
      <c r="Z31623" t="str">
        <f t="shared" si="494"/>
        <v/>
      </c>
    </row>
    <row r="31624" spans="26:26" x14ac:dyDescent="0.2">
      <c r="Z31624" t="str">
        <f t="shared" si="494"/>
        <v/>
      </c>
    </row>
    <row r="31625" spans="26:26" x14ac:dyDescent="0.2">
      <c r="Z31625" t="str">
        <f t="shared" si="494"/>
        <v/>
      </c>
    </row>
    <row r="31626" spans="26:26" x14ac:dyDescent="0.2">
      <c r="Z31626" t="str">
        <f t="shared" si="494"/>
        <v/>
      </c>
    </row>
    <row r="31627" spans="26:26" x14ac:dyDescent="0.2">
      <c r="Z31627" t="str">
        <f t="shared" si="494"/>
        <v/>
      </c>
    </row>
    <row r="31628" spans="26:26" x14ac:dyDescent="0.2">
      <c r="Z31628" t="str">
        <f t="shared" si="494"/>
        <v/>
      </c>
    </row>
    <row r="31629" spans="26:26" x14ac:dyDescent="0.2">
      <c r="Z31629" t="str">
        <f t="shared" si="494"/>
        <v/>
      </c>
    </row>
    <row r="31630" spans="26:26" x14ac:dyDescent="0.2">
      <c r="Z31630" t="str">
        <f t="shared" si="494"/>
        <v/>
      </c>
    </row>
    <row r="31631" spans="26:26" x14ac:dyDescent="0.2">
      <c r="Z31631" t="str">
        <f t="shared" si="494"/>
        <v/>
      </c>
    </row>
    <row r="31632" spans="26:26" x14ac:dyDescent="0.2">
      <c r="Z31632" t="str">
        <f t="shared" si="494"/>
        <v/>
      </c>
    </row>
    <row r="31633" spans="26:26" x14ac:dyDescent="0.2">
      <c r="Z31633" t="str">
        <f t="shared" si="494"/>
        <v/>
      </c>
    </row>
    <row r="31634" spans="26:26" x14ac:dyDescent="0.2">
      <c r="Z31634" t="str">
        <f t="shared" si="494"/>
        <v/>
      </c>
    </row>
    <row r="31635" spans="26:26" x14ac:dyDescent="0.2">
      <c r="Z31635" t="str">
        <f t="shared" si="494"/>
        <v/>
      </c>
    </row>
    <row r="31636" spans="26:26" x14ac:dyDescent="0.2">
      <c r="Z31636" t="str">
        <f t="shared" si="494"/>
        <v/>
      </c>
    </row>
    <row r="31637" spans="26:26" x14ac:dyDescent="0.2">
      <c r="Z31637" t="str">
        <f t="shared" si="494"/>
        <v/>
      </c>
    </row>
    <row r="31638" spans="26:26" x14ac:dyDescent="0.2">
      <c r="Z31638" t="str">
        <f t="shared" si="494"/>
        <v/>
      </c>
    </row>
    <row r="31639" spans="26:26" x14ac:dyDescent="0.2">
      <c r="Z31639" t="str">
        <f t="shared" si="494"/>
        <v/>
      </c>
    </row>
    <row r="31640" spans="26:26" x14ac:dyDescent="0.2">
      <c r="Z31640" t="str">
        <f t="shared" si="494"/>
        <v/>
      </c>
    </row>
    <row r="31641" spans="26:26" x14ac:dyDescent="0.2">
      <c r="Z31641" t="str">
        <f t="shared" si="494"/>
        <v/>
      </c>
    </row>
    <row r="31642" spans="26:26" x14ac:dyDescent="0.2">
      <c r="Z31642" t="str">
        <f t="shared" si="494"/>
        <v/>
      </c>
    </row>
    <row r="31643" spans="26:26" x14ac:dyDescent="0.2">
      <c r="Z31643" t="str">
        <f t="shared" si="494"/>
        <v/>
      </c>
    </row>
    <row r="31644" spans="26:26" x14ac:dyDescent="0.2">
      <c r="Z31644" t="str">
        <f t="shared" si="494"/>
        <v/>
      </c>
    </row>
    <row r="31645" spans="26:26" x14ac:dyDescent="0.2">
      <c r="Z31645" t="str">
        <f t="shared" si="494"/>
        <v/>
      </c>
    </row>
    <row r="31646" spans="26:26" x14ac:dyDescent="0.2">
      <c r="Z31646" t="str">
        <f t="shared" si="494"/>
        <v/>
      </c>
    </row>
    <row r="31647" spans="26:26" x14ac:dyDescent="0.2">
      <c r="Z31647" t="str">
        <f t="shared" si="494"/>
        <v/>
      </c>
    </row>
    <row r="31648" spans="26:26" x14ac:dyDescent="0.2">
      <c r="Z31648" t="str">
        <f t="shared" si="494"/>
        <v/>
      </c>
    </row>
    <row r="31649" spans="26:26" x14ac:dyDescent="0.2">
      <c r="Z31649" t="str">
        <f t="shared" si="494"/>
        <v/>
      </c>
    </row>
    <row r="31650" spans="26:26" x14ac:dyDescent="0.2">
      <c r="Z31650" t="str">
        <f t="shared" si="494"/>
        <v/>
      </c>
    </row>
    <row r="31651" spans="26:26" x14ac:dyDescent="0.2">
      <c r="Z31651" t="str">
        <f t="shared" si="494"/>
        <v/>
      </c>
    </row>
    <row r="31652" spans="26:26" x14ac:dyDescent="0.2">
      <c r="Z31652" t="str">
        <f t="shared" si="494"/>
        <v/>
      </c>
    </row>
    <row r="31653" spans="26:26" x14ac:dyDescent="0.2">
      <c r="Z31653" t="str">
        <f t="shared" si="494"/>
        <v/>
      </c>
    </row>
    <row r="31654" spans="26:26" x14ac:dyDescent="0.2">
      <c r="Z31654" t="str">
        <f t="shared" si="494"/>
        <v/>
      </c>
    </row>
    <row r="31655" spans="26:26" x14ac:dyDescent="0.2">
      <c r="Z31655" t="str">
        <f t="shared" si="494"/>
        <v/>
      </c>
    </row>
    <row r="31656" spans="26:26" x14ac:dyDescent="0.2">
      <c r="Z31656" t="str">
        <f t="shared" si="494"/>
        <v/>
      </c>
    </row>
    <row r="31657" spans="26:26" x14ac:dyDescent="0.2">
      <c r="Z31657" t="str">
        <f t="shared" si="494"/>
        <v/>
      </c>
    </row>
    <row r="31658" spans="26:26" x14ac:dyDescent="0.2">
      <c r="Z31658" t="str">
        <f t="shared" si="494"/>
        <v/>
      </c>
    </row>
    <row r="31659" spans="26:26" x14ac:dyDescent="0.2">
      <c r="Z31659" t="str">
        <f t="shared" si="494"/>
        <v/>
      </c>
    </row>
    <row r="31660" spans="26:26" x14ac:dyDescent="0.2">
      <c r="Z31660" t="str">
        <f t="shared" si="494"/>
        <v/>
      </c>
    </row>
    <row r="31661" spans="26:26" x14ac:dyDescent="0.2">
      <c r="Z31661" t="str">
        <f t="shared" si="494"/>
        <v/>
      </c>
    </row>
    <row r="31662" spans="26:26" x14ac:dyDescent="0.2">
      <c r="Z31662" t="str">
        <f t="shared" si="494"/>
        <v/>
      </c>
    </row>
    <row r="31663" spans="26:26" x14ac:dyDescent="0.2">
      <c r="Z31663" t="str">
        <f t="shared" si="494"/>
        <v/>
      </c>
    </row>
    <row r="31664" spans="26:26" x14ac:dyDescent="0.2">
      <c r="Z31664" t="str">
        <f t="shared" si="494"/>
        <v/>
      </c>
    </row>
    <row r="31665" spans="26:26" x14ac:dyDescent="0.2">
      <c r="Z31665" t="str">
        <f t="shared" si="494"/>
        <v/>
      </c>
    </row>
    <row r="31666" spans="26:26" x14ac:dyDescent="0.2">
      <c r="Z31666" t="str">
        <f t="shared" si="494"/>
        <v/>
      </c>
    </row>
    <row r="31667" spans="26:26" x14ac:dyDescent="0.2">
      <c r="Z31667" t="str">
        <f t="shared" si="494"/>
        <v/>
      </c>
    </row>
    <row r="31668" spans="26:26" x14ac:dyDescent="0.2">
      <c r="Z31668" t="str">
        <f t="shared" si="494"/>
        <v/>
      </c>
    </row>
    <row r="31669" spans="26:26" x14ac:dyDescent="0.2">
      <c r="Z31669" t="str">
        <f t="shared" si="494"/>
        <v/>
      </c>
    </row>
    <row r="31670" spans="26:26" x14ac:dyDescent="0.2">
      <c r="Z31670" t="str">
        <f t="shared" si="494"/>
        <v/>
      </c>
    </row>
    <row r="31671" spans="26:26" x14ac:dyDescent="0.2">
      <c r="Z31671" t="str">
        <f t="shared" si="494"/>
        <v/>
      </c>
    </row>
    <row r="31672" spans="26:26" x14ac:dyDescent="0.2">
      <c r="Z31672" t="str">
        <f t="shared" si="494"/>
        <v/>
      </c>
    </row>
    <row r="31673" spans="26:26" x14ac:dyDescent="0.2">
      <c r="Z31673" t="str">
        <f t="shared" si="494"/>
        <v/>
      </c>
    </row>
    <row r="31674" spans="26:26" x14ac:dyDescent="0.2">
      <c r="Z31674" t="str">
        <f t="shared" si="494"/>
        <v/>
      </c>
    </row>
    <row r="31675" spans="26:26" x14ac:dyDescent="0.2">
      <c r="Z31675" t="str">
        <f t="shared" si="494"/>
        <v/>
      </c>
    </row>
    <row r="31676" spans="26:26" x14ac:dyDescent="0.2">
      <c r="Z31676" t="str">
        <f t="shared" si="494"/>
        <v/>
      </c>
    </row>
    <row r="31677" spans="26:26" x14ac:dyDescent="0.2">
      <c r="Z31677" t="str">
        <f t="shared" si="494"/>
        <v/>
      </c>
    </row>
    <row r="31678" spans="26:26" x14ac:dyDescent="0.2">
      <c r="Z31678" t="str">
        <f t="shared" si="494"/>
        <v/>
      </c>
    </row>
    <row r="31679" spans="26:26" x14ac:dyDescent="0.2">
      <c r="Z31679" t="str">
        <f t="shared" si="494"/>
        <v/>
      </c>
    </row>
    <row r="31680" spans="26:26" x14ac:dyDescent="0.2">
      <c r="Z31680" t="str">
        <f t="shared" si="494"/>
        <v/>
      </c>
    </row>
    <row r="31681" spans="26:26" x14ac:dyDescent="0.2">
      <c r="Z31681" t="str">
        <f t="shared" si="494"/>
        <v/>
      </c>
    </row>
    <row r="31682" spans="26:26" x14ac:dyDescent="0.2">
      <c r="Z31682" t="str">
        <f t="shared" si="494"/>
        <v/>
      </c>
    </row>
    <row r="31683" spans="26:26" x14ac:dyDescent="0.2">
      <c r="Z31683" t="str">
        <f t="shared" ref="Z31683:Z31746" si="495">IF(K31683="","",IFERROR(VALUE(TRIM(MID(K31683,FIND(CHAR(167),SUBSTITUTE(K31683,"-",CHAR(167),LEN(K31683)-LEN(SUBSTITUTE(K31683,"-",""))))+1,100))),K31683))</f>
        <v/>
      </c>
    </row>
    <row r="31684" spans="26:26" x14ac:dyDescent="0.2">
      <c r="Z31684" t="str">
        <f t="shared" si="495"/>
        <v/>
      </c>
    </row>
    <row r="31685" spans="26:26" x14ac:dyDescent="0.2">
      <c r="Z31685" t="str">
        <f t="shared" si="495"/>
        <v/>
      </c>
    </row>
    <row r="31686" spans="26:26" x14ac:dyDescent="0.2">
      <c r="Z31686" t="str">
        <f t="shared" si="495"/>
        <v/>
      </c>
    </row>
    <row r="31687" spans="26:26" x14ac:dyDescent="0.2">
      <c r="Z31687" t="str">
        <f t="shared" si="495"/>
        <v/>
      </c>
    </row>
    <row r="31688" spans="26:26" x14ac:dyDescent="0.2">
      <c r="Z31688" t="str">
        <f t="shared" si="495"/>
        <v/>
      </c>
    </row>
    <row r="31689" spans="26:26" x14ac:dyDescent="0.2">
      <c r="Z31689" t="str">
        <f t="shared" si="495"/>
        <v/>
      </c>
    </row>
    <row r="31690" spans="26:26" x14ac:dyDescent="0.2">
      <c r="Z31690" t="str">
        <f t="shared" si="495"/>
        <v/>
      </c>
    </row>
    <row r="31691" spans="26:26" x14ac:dyDescent="0.2">
      <c r="Z31691" t="str">
        <f t="shared" si="495"/>
        <v/>
      </c>
    </row>
    <row r="31692" spans="26:26" x14ac:dyDescent="0.2">
      <c r="Z31692" t="str">
        <f t="shared" si="495"/>
        <v/>
      </c>
    </row>
    <row r="31693" spans="26:26" x14ac:dyDescent="0.2">
      <c r="Z31693" t="str">
        <f t="shared" si="495"/>
        <v/>
      </c>
    </row>
    <row r="31694" spans="26:26" x14ac:dyDescent="0.2">
      <c r="Z31694" t="str">
        <f t="shared" si="495"/>
        <v/>
      </c>
    </row>
    <row r="31695" spans="26:26" x14ac:dyDescent="0.2">
      <c r="Z31695" t="str">
        <f t="shared" si="495"/>
        <v/>
      </c>
    </row>
    <row r="31696" spans="26:26" x14ac:dyDescent="0.2">
      <c r="Z31696" t="str">
        <f t="shared" si="495"/>
        <v/>
      </c>
    </row>
    <row r="31697" spans="26:26" x14ac:dyDescent="0.2">
      <c r="Z31697" t="str">
        <f t="shared" si="495"/>
        <v/>
      </c>
    </row>
    <row r="31698" spans="26:26" x14ac:dyDescent="0.2">
      <c r="Z31698" t="str">
        <f t="shared" si="495"/>
        <v/>
      </c>
    </row>
    <row r="31699" spans="26:26" x14ac:dyDescent="0.2">
      <c r="Z31699" t="str">
        <f t="shared" si="495"/>
        <v/>
      </c>
    </row>
    <row r="31700" spans="26:26" x14ac:dyDescent="0.2">
      <c r="Z31700" t="str">
        <f t="shared" si="495"/>
        <v/>
      </c>
    </row>
    <row r="31701" spans="26:26" x14ac:dyDescent="0.2">
      <c r="Z31701" t="str">
        <f t="shared" si="495"/>
        <v/>
      </c>
    </row>
    <row r="31702" spans="26:26" x14ac:dyDescent="0.2">
      <c r="Z31702" t="str">
        <f t="shared" si="495"/>
        <v/>
      </c>
    </row>
    <row r="31703" spans="26:26" x14ac:dyDescent="0.2">
      <c r="Z31703" t="str">
        <f t="shared" si="495"/>
        <v/>
      </c>
    </row>
    <row r="31704" spans="26:26" x14ac:dyDescent="0.2">
      <c r="Z31704" t="str">
        <f t="shared" si="495"/>
        <v/>
      </c>
    </row>
    <row r="31705" spans="26:26" x14ac:dyDescent="0.2">
      <c r="Z31705" t="str">
        <f t="shared" si="495"/>
        <v/>
      </c>
    </row>
    <row r="31706" spans="26:26" x14ac:dyDescent="0.2">
      <c r="Z31706" t="str">
        <f t="shared" si="495"/>
        <v/>
      </c>
    </row>
    <row r="31707" spans="26:26" x14ac:dyDescent="0.2">
      <c r="Z31707" t="str">
        <f t="shared" si="495"/>
        <v/>
      </c>
    </row>
    <row r="31708" spans="26:26" x14ac:dyDescent="0.2">
      <c r="Z31708" t="str">
        <f t="shared" si="495"/>
        <v/>
      </c>
    </row>
    <row r="31709" spans="26:26" x14ac:dyDescent="0.2">
      <c r="Z31709" t="str">
        <f t="shared" si="495"/>
        <v/>
      </c>
    </row>
    <row r="31710" spans="26:26" x14ac:dyDescent="0.2">
      <c r="Z31710" t="str">
        <f t="shared" si="495"/>
        <v/>
      </c>
    </row>
    <row r="31711" spans="26:26" x14ac:dyDescent="0.2">
      <c r="Z31711" t="str">
        <f t="shared" si="495"/>
        <v/>
      </c>
    </row>
    <row r="31712" spans="26:26" x14ac:dyDescent="0.2">
      <c r="Z31712" t="str">
        <f t="shared" si="495"/>
        <v/>
      </c>
    </row>
    <row r="31713" spans="26:26" x14ac:dyDescent="0.2">
      <c r="Z31713" t="str">
        <f t="shared" si="495"/>
        <v/>
      </c>
    </row>
    <row r="31714" spans="26:26" x14ac:dyDescent="0.2">
      <c r="Z31714" t="str">
        <f t="shared" si="495"/>
        <v/>
      </c>
    </row>
    <row r="31715" spans="26:26" x14ac:dyDescent="0.2">
      <c r="Z31715" t="str">
        <f t="shared" si="495"/>
        <v/>
      </c>
    </row>
    <row r="31716" spans="26:26" x14ac:dyDescent="0.2">
      <c r="Z31716" t="str">
        <f t="shared" si="495"/>
        <v/>
      </c>
    </row>
    <row r="31717" spans="26:26" x14ac:dyDescent="0.2">
      <c r="Z31717" t="str">
        <f t="shared" si="495"/>
        <v/>
      </c>
    </row>
    <row r="31718" spans="26:26" x14ac:dyDescent="0.2">
      <c r="Z31718" t="str">
        <f t="shared" si="495"/>
        <v/>
      </c>
    </row>
    <row r="31719" spans="26:26" x14ac:dyDescent="0.2">
      <c r="Z31719" t="str">
        <f t="shared" si="495"/>
        <v/>
      </c>
    </row>
    <row r="31720" spans="26:26" x14ac:dyDescent="0.2">
      <c r="Z31720" t="str">
        <f t="shared" si="495"/>
        <v/>
      </c>
    </row>
    <row r="31721" spans="26:26" x14ac:dyDescent="0.2">
      <c r="Z31721" t="str">
        <f t="shared" si="495"/>
        <v/>
      </c>
    </row>
    <row r="31722" spans="26:26" x14ac:dyDescent="0.2">
      <c r="Z31722" t="str">
        <f t="shared" si="495"/>
        <v/>
      </c>
    </row>
    <row r="31723" spans="26:26" x14ac:dyDescent="0.2">
      <c r="Z31723" t="str">
        <f t="shared" si="495"/>
        <v/>
      </c>
    </row>
    <row r="31724" spans="26:26" x14ac:dyDescent="0.2">
      <c r="Z31724" t="str">
        <f t="shared" si="495"/>
        <v/>
      </c>
    </row>
    <row r="31725" spans="26:26" x14ac:dyDescent="0.2">
      <c r="Z31725" t="str">
        <f t="shared" si="495"/>
        <v/>
      </c>
    </row>
    <row r="31726" spans="26:26" x14ac:dyDescent="0.2">
      <c r="Z31726" t="str">
        <f t="shared" si="495"/>
        <v/>
      </c>
    </row>
    <row r="31727" spans="26:26" x14ac:dyDescent="0.2">
      <c r="Z31727" t="str">
        <f t="shared" si="495"/>
        <v/>
      </c>
    </row>
    <row r="31728" spans="26:26" x14ac:dyDescent="0.2">
      <c r="Z31728" t="str">
        <f t="shared" si="495"/>
        <v/>
      </c>
    </row>
    <row r="31729" spans="26:26" x14ac:dyDescent="0.2">
      <c r="Z31729" t="str">
        <f t="shared" si="495"/>
        <v/>
      </c>
    </row>
    <row r="31730" spans="26:26" x14ac:dyDescent="0.2">
      <c r="Z31730" t="str">
        <f t="shared" si="495"/>
        <v/>
      </c>
    </row>
    <row r="31731" spans="26:26" x14ac:dyDescent="0.2">
      <c r="Z31731" t="str">
        <f t="shared" si="495"/>
        <v/>
      </c>
    </row>
    <row r="31732" spans="26:26" x14ac:dyDescent="0.2">
      <c r="Z31732" t="str">
        <f t="shared" si="495"/>
        <v/>
      </c>
    </row>
    <row r="31733" spans="26:26" x14ac:dyDescent="0.2">
      <c r="Z31733" t="str">
        <f t="shared" si="495"/>
        <v/>
      </c>
    </row>
    <row r="31734" spans="26:26" x14ac:dyDescent="0.2">
      <c r="Z31734" t="str">
        <f t="shared" si="495"/>
        <v/>
      </c>
    </row>
    <row r="31735" spans="26:26" x14ac:dyDescent="0.2">
      <c r="Z31735" t="str">
        <f t="shared" si="495"/>
        <v/>
      </c>
    </row>
    <row r="31736" spans="26:26" x14ac:dyDescent="0.2">
      <c r="Z31736" t="str">
        <f t="shared" si="495"/>
        <v/>
      </c>
    </row>
    <row r="31737" spans="26:26" x14ac:dyDescent="0.2">
      <c r="Z31737" t="str">
        <f t="shared" si="495"/>
        <v/>
      </c>
    </row>
    <row r="31738" spans="26:26" x14ac:dyDescent="0.2">
      <c r="Z31738" t="str">
        <f t="shared" si="495"/>
        <v/>
      </c>
    </row>
    <row r="31739" spans="26:26" x14ac:dyDescent="0.2">
      <c r="Z31739" t="str">
        <f t="shared" si="495"/>
        <v/>
      </c>
    </row>
    <row r="31740" spans="26:26" x14ac:dyDescent="0.2">
      <c r="Z31740" t="str">
        <f t="shared" si="495"/>
        <v/>
      </c>
    </row>
    <row r="31741" spans="26:26" x14ac:dyDescent="0.2">
      <c r="Z31741" t="str">
        <f t="shared" si="495"/>
        <v/>
      </c>
    </row>
    <row r="31742" spans="26:26" x14ac:dyDescent="0.2">
      <c r="Z31742" t="str">
        <f t="shared" si="495"/>
        <v/>
      </c>
    </row>
    <row r="31743" spans="26:26" x14ac:dyDescent="0.2">
      <c r="Z31743" t="str">
        <f t="shared" si="495"/>
        <v/>
      </c>
    </row>
    <row r="31744" spans="26:26" x14ac:dyDescent="0.2">
      <c r="Z31744" t="str">
        <f t="shared" si="495"/>
        <v/>
      </c>
    </row>
    <row r="31745" spans="26:26" x14ac:dyDescent="0.2">
      <c r="Z31745" t="str">
        <f t="shared" si="495"/>
        <v/>
      </c>
    </row>
    <row r="31746" spans="26:26" x14ac:dyDescent="0.2">
      <c r="Z31746" t="str">
        <f t="shared" si="495"/>
        <v/>
      </c>
    </row>
    <row r="31747" spans="26:26" x14ac:dyDescent="0.2">
      <c r="Z31747" t="str">
        <f t="shared" ref="Z31747:Z31810" si="496">IF(K31747="","",IFERROR(VALUE(TRIM(MID(K31747,FIND(CHAR(167),SUBSTITUTE(K31747,"-",CHAR(167),LEN(K31747)-LEN(SUBSTITUTE(K31747,"-",""))))+1,100))),K31747))</f>
        <v/>
      </c>
    </row>
    <row r="31748" spans="26:26" x14ac:dyDescent="0.2">
      <c r="Z31748" t="str">
        <f t="shared" si="496"/>
        <v/>
      </c>
    </row>
    <row r="31749" spans="26:26" x14ac:dyDescent="0.2">
      <c r="Z31749" t="str">
        <f t="shared" si="496"/>
        <v/>
      </c>
    </row>
    <row r="31750" spans="26:26" x14ac:dyDescent="0.2">
      <c r="Z31750" t="str">
        <f t="shared" si="496"/>
        <v/>
      </c>
    </row>
    <row r="31751" spans="26:26" x14ac:dyDescent="0.2">
      <c r="Z31751" t="str">
        <f t="shared" si="496"/>
        <v/>
      </c>
    </row>
    <row r="31752" spans="26:26" x14ac:dyDescent="0.2">
      <c r="Z31752" t="str">
        <f t="shared" si="496"/>
        <v/>
      </c>
    </row>
    <row r="31753" spans="26:26" x14ac:dyDescent="0.2">
      <c r="Z31753" t="str">
        <f t="shared" si="496"/>
        <v/>
      </c>
    </row>
    <row r="31754" spans="26:26" x14ac:dyDescent="0.2">
      <c r="Z31754" t="str">
        <f t="shared" si="496"/>
        <v/>
      </c>
    </row>
    <row r="31755" spans="26:26" x14ac:dyDescent="0.2">
      <c r="Z31755" t="str">
        <f t="shared" si="496"/>
        <v/>
      </c>
    </row>
    <row r="31756" spans="26:26" x14ac:dyDescent="0.2">
      <c r="Z31756" t="str">
        <f t="shared" si="496"/>
        <v/>
      </c>
    </row>
    <row r="31757" spans="26:26" x14ac:dyDescent="0.2">
      <c r="Z31757" t="str">
        <f t="shared" si="496"/>
        <v/>
      </c>
    </row>
    <row r="31758" spans="26:26" x14ac:dyDescent="0.2">
      <c r="Z31758" t="str">
        <f t="shared" si="496"/>
        <v/>
      </c>
    </row>
    <row r="31759" spans="26:26" x14ac:dyDescent="0.2">
      <c r="Z31759" t="str">
        <f t="shared" si="496"/>
        <v/>
      </c>
    </row>
    <row r="31760" spans="26:26" x14ac:dyDescent="0.2">
      <c r="Z31760" t="str">
        <f t="shared" si="496"/>
        <v/>
      </c>
    </row>
    <row r="31761" spans="26:26" x14ac:dyDescent="0.2">
      <c r="Z31761" t="str">
        <f t="shared" si="496"/>
        <v/>
      </c>
    </row>
    <row r="31762" spans="26:26" x14ac:dyDescent="0.2">
      <c r="Z31762" t="str">
        <f t="shared" si="496"/>
        <v/>
      </c>
    </row>
    <row r="31763" spans="26:26" x14ac:dyDescent="0.2">
      <c r="Z31763" t="str">
        <f t="shared" si="496"/>
        <v/>
      </c>
    </row>
    <row r="31764" spans="26:26" x14ac:dyDescent="0.2">
      <c r="Z31764" t="str">
        <f t="shared" si="496"/>
        <v/>
      </c>
    </row>
    <row r="31765" spans="26:26" x14ac:dyDescent="0.2">
      <c r="Z31765" t="str">
        <f t="shared" si="496"/>
        <v/>
      </c>
    </row>
    <row r="31766" spans="26:26" x14ac:dyDescent="0.2">
      <c r="Z31766" t="str">
        <f t="shared" si="496"/>
        <v/>
      </c>
    </row>
    <row r="31767" spans="26:26" x14ac:dyDescent="0.2">
      <c r="Z31767" t="str">
        <f t="shared" si="496"/>
        <v/>
      </c>
    </row>
    <row r="31768" spans="26:26" x14ac:dyDescent="0.2">
      <c r="Z31768" t="str">
        <f t="shared" si="496"/>
        <v/>
      </c>
    </row>
    <row r="31769" spans="26:26" x14ac:dyDescent="0.2">
      <c r="Z31769" t="str">
        <f t="shared" si="496"/>
        <v/>
      </c>
    </row>
    <row r="31770" spans="26:26" x14ac:dyDescent="0.2">
      <c r="Z31770" t="str">
        <f t="shared" si="496"/>
        <v/>
      </c>
    </row>
    <row r="31771" spans="26:26" x14ac:dyDescent="0.2">
      <c r="Z31771" t="str">
        <f t="shared" si="496"/>
        <v/>
      </c>
    </row>
    <row r="31772" spans="26:26" x14ac:dyDescent="0.2">
      <c r="Z31772" t="str">
        <f t="shared" si="496"/>
        <v/>
      </c>
    </row>
    <row r="31773" spans="26:26" x14ac:dyDescent="0.2">
      <c r="Z31773" t="str">
        <f t="shared" si="496"/>
        <v/>
      </c>
    </row>
    <row r="31774" spans="26:26" x14ac:dyDescent="0.2">
      <c r="Z31774" t="str">
        <f t="shared" si="496"/>
        <v/>
      </c>
    </row>
    <row r="31775" spans="26:26" x14ac:dyDescent="0.2">
      <c r="Z31775" t="str">
        <f t="shared" si="496"/>
        <v/>
      </c>
    </row>
    <row r="31776" spans="26:26" x14ac:dyDescent="0.2">
      <c r="Z31776" t="str">
        <f t="shared" si="496"/>
        <v/>
      </c>
    </row>
    <row r="31777" spans="26:26" x14ac:dyDescent="0.2">
      <c r="Z31777" t="str">
        <f t="shared" si="496"/>
        <v/>
      </c>
    </row>
    <row r="31778" spans="26:26" x14ac:dyDescent="0.2">
      <c r="Z31778" t="str">
        <f t="shared" si="496"/>
        <v/>
      </c>
    </row>
    <row r="31779" spans="26:26" x14ac:dyDescent="0.2">
      <c r="Z31779" t="str">
        <f t="shared" si="496"/>
        <v/>
      </c>
    </row>
    <row r="31780" spans="26:26" x14ac:dyDescent="0.2">
      <c r="Z31780" t="str">
        <f t="shared" si="496"/>
        <v/>
      </c>
    </row>
    <row r="31781" spans="26:26" x14ac:dyDescent="0.2">
      <c r="Z31781" t="str">
        <f t="shared" si="496"/>
        <v/>
      </c>
    </row>
    <row r="31782" spans="26:26" x14ac:dyDescent="0.2">
      <c r="Z31782" t="str">
        <f t="shared" si="496"/>
        <v/>
      </c>
    </row>
    <row r="31783" spans="26:26" x14ac:dyDescent="0.2">
      <c r="Z31783" t="str">
        <f t="shared" si="496"/>
        <v/>
      </c>
    </row>
    <row r="31784" spans="26:26" x14ac:dyDescent="0.2">
      <c r="Z31784" t="str">
        <f t="shared" si="496"/>
        <v/>
      </c>
    </row>
    <row r="31785" spans="26:26" x14ac:dyDescent="0.2">
      <c r="Z31785" t="str">
        <f t="shared" si="496"/>
        <v/>
      </c>
    </row>
    <row r="31786" spans="26:26" x14ac:dyDescent="0.2">
      <c r="Z31786" t="str">
        <f t="shared" si="496"/>
        <v/>
      </c>
    </row>
    <row r="31787" spans="26:26" x14ac:dyDescent="0.2">
      <c r="Z31787" t="str">
        <f t="shared" si="496"/>
        <v/>
      </c>
    </row>
    <row r="31788" spans="26:26" x14ac:dyDescent="0.2">
      <c r="Z31788" t="str">
        <f t="shared" si="496"/>
        <v/>
      </c>
    </row>
    <row r="31789" spans="26:26" x14ac:dyDescent="0.2">
      <c r="Z31789" t="str">
        <f t="shared" si="496"/>
        <v/>
      </c>
    </row>
    <row r="31790" spans="26:26" x14ac:dyDescent="0.2">
      <c r="Z31790" t="str">
        <f t="shared" si="496"/>
        <v/>
      </c>
    </row>
    <row r="31791" spans="26:26" x14ac:dyDescent="0.2">
      <c r="Z31791" t="str">
        <f t="shared" si="496"/>
        <v/>
      </c>
    </row>
    <row r="31792" spans="26:26" x14ac:dyDescent="0.2">
      <c r="Z31792" t="str">
        <f t="shared" si="496"/>
        <v/>
      </c>
    </row>
    <row r="31793" spans="26:26" x14ac:dyDescent="0.2">
      <c r="Z31793" t="str">
        <f t="shared" si="496"/>
        <v/>
      </c>
    </row>
    <row r="31794" spans="26:26" x14ac:dyDescent="0.2">
      <c r="Z31794" t="str">
        <f t="shared" si="496"/>
        <v/>
      </c>
    </row>
    <row r="31795" spans="26:26" x14ac:dyDescent="0.2">
      <c r="Z31795" t="str">
        <f t="shared" si="496"/>
        <v/>
      </c>
    </row>
    <row r="31796" spans="26:26" x14ac:dyDescent="0.2">
      <c r="Z31796" t="str">
        <f t="shared" si="496"/>
        <v/>
      </c>
    </row>
    <row r="31797" spans="26:26" x14ac:dyDescent="0.2">
      <c r="Z31797" t="str">
        <f t="shared" si="496"/>
        <v/>
      </c>
    </row>
    <row r="31798" spans="26:26" x14ac:dyDescent="0.2">
      <c r="Z31798" t="str">
        <f t="shared" si="496"/>
        <v/>
      </c>
    </row>
    <row r="31799" spans="26:26" x14ac:dyDescent="0.2">
      <c r="Z31799" t="str">
        <f t="shared" si="496"/>
        <v/>
      </c>
    </row>
    <row r="31800" spans="26:26" x14ac:dyDescent="0.2">
      <c r="Z31800" t="str">
        <f t="shared" si="496"/>
        <v/>
      </c>
    </row>
    <row r="31801" spans="26:26" x14ac:dyDescent="0.2">
      <c r="Z31801" t="str">
        <f t="shared" si="496"/>
        <v/>
      </c>
    </row>
    <row r="31802" spans="26:26" x14ac:dyDescent="0.2">
      <c r="Z31802" t="str">
        <f t="shared" si="496"/>
        <v/>
      </c>
    </row>
    <row r="31803" spans="26:26" x14ac:dyDescent="0.2">
      <c r="Z31803" t="str">
        <f t="shared" si="496"/>
        <v/>
      </c>
    </row>
    <row r="31804" spans="26:26" x14ac:dyDescent="0.2">
      <c r="Z31804" t="str">
        <f t="shared" si="496"/>
        <v/>
      </c>
    </row>
    <row r="31805" spans="26:26" x14ac:dyDescent="0.2">
      <c r="Z31805" t="str">
        <f t="shared" si="496"/>
        <v/>
      </c>
    </row>
    <row r="31806" spans="26:26" x14ac:dyDescent="0.2">
      <c r="Z31806" t="str">
        <f t="shared" si="496"/>
        <v/>
      </c>
    </row>
    <row r="31807" spans="26:26" x14ac:dyDescent="0.2">
      <c r="Z31807" t="str">
        <f t="shared" si="496"/>
        <v/>
      </c>
    </row>
    <row r="31808" spans="26:26" x14ac:dyDescent="0.2">
      <c r="Z31808" t="str">
        <f t="shared" si="496"/>
        <v/>
      </c>
    </row>
    <row r="31809" spans="26:26" x14ac:dyDescent="0.2">
      <c r="Z31809" t="str">
        <f t="shared" si="496"/>
        <v/>
      </c>
    </row>
    <row r="31810" spans="26:26" x14ac:dyDescent="0.2">
      <c r="Z31810" t="str">
        <f t="shared" si="496"/>
        <v/>
      </c>
    </row>
    <row r="31811" spans="26:26" x14ac:dyDescent="0.2">
      <c r="Z31811" t="str">
        <f t="shared" ref="Z31811:Z31874" si="497">IF(K31811="","",IFERROR(VALUE(TRIM(MID(K31811,FIND(CHAR(167),SUBSTITUTE(K31811,"-",CHAR(167),LEN(K31811)-LEN(SUBSTITUTE(K31811,"-",""))))+1,100))),K31811))</f>
        <v/>
      </c>
    </row>
    <row r="31812" spans="26:26" x14ac:dyDescent="0.2">
      <c r="Z31812" t="str">
        <f t="shared" si="497"/>
        <v/>
      </c>
    </row>
    <row r="31813" spans="26:26" x14ac:dyDescent="0.2">
      <c r="Z31813" t="str">
        <f t="shared" si="497"/>
        <v/>
      </c>
    </row>
    <row r="31814" spans="26:26" x14ac:dyDescent="0.2">
      <c r="Z31814" t="str">
        <f t="shared" si="497"/>
        <v/>
      </c>
    </row>
    <row r="31815" spans="26:26" x14ac:dyDescent="0.2">
      <c r="Z31815" t="str">
        <f t="shared" si="497"/>
        <v/>
      </c>
    </row>
    <row r="31816" spans="26:26" x14ac:dyDescent="0.2">
      <c r="Z31816" t="str">
        <f t="shared" si="497"/>
        <v/>
      </c>
    </row>
    <row r="31817" spans="26:26" x14ac:dyDescent="0.2">
      <c r="Z31817" t="str">
        <f t="shared" si="497"/>
        <v/>
      </c>
    </row>
    <row r="31818" spans="26:26" x14ac:dyDescent="0.2">
      <c r="Z31818" t="str">
        <f t="shared" si="497"/>
        <v/>
      </c>
    </row>
    <row r="31819" spans="26:26" x14ac:dyDescent="0.2">
      <c r="Z31819" t="str">
        <f t="shared" si="497"/>
        <v/>
      </c>
    </row>
    <row r="31820" spans="26:26" x14ac:dyDescent="0.2">
      <c r="Z31820" t="str">
        <f t="shared" si="497"/>
        <v/>
      </c>
    </row>
    <row r="31821" spans="26:26" x14ac:dyDescent="0.2">
      <c r="Z31821" t="str">
        <f t="shared" si="497"/>
        <v/>
      </c>
    </row>
    <row r="31822" spans="26:26" x14ac:dyDescent="0.2">
      <c r="Z31822" t="str">
        <f t="shared" si="497"/>
        <v/>
      </c>
    </row>
    <row r="31823" spans="26:26" x14ac:dyDescent="0.2">
      <c r="Z31823" t="str">
        <f t="shared" si="497"/>
        <v/>
      </c>
    </row>
    <row r="31824" spans="26:26" x14ac:dyDescent="0.2">
      <c r="Z31824" t="str">
        <f t="shared" si="497"/>
        <v/>
      </c>
    </row>
    <row r="31825" spans="26:26" x14ac:dyDescent="0.2">
      <c r="Z31825" t="str">
        <f t="shared" si="497"/>
        <v/>
      </c>
    </row>
    <row r="31826" spans="26:26" x14ac:dyDescent="0.2">
      <c r="Z31826" t="str">
        <f t="shared" si="497"/>
        <v/>
      </c>
    </row>
    <row r="31827" spans="26:26" x14ac:dyDescent="0.2">
      <c r="Z31827" t="str">
        <f t="shared" si="497"/>
        <v/>
      </c>
    </row>
    <row r="31828" spans="26:26" x14ac:dyDescent="0.2">
      <c r="Z31828" t="str">
        <f t="shared" si="497"/>
        <v/>
      </c>
    </row>
    <row r="31829" spans="26:26" x14ac:dyDescent="0.2">
      <c r="Z31829" t="str">
        <f t="shared" si="497"/>
        <v/>
      </c>
    </row>
    <row r="31830" spans="26:26" x14ac:dyDescent="0.2">
      <c r="Z31830" t="str">
        <f t="shared" si="497"/>
        <v/>
      </c>
    </row>
    <row r="31831" spans="26:26" x14ac:dyDescent="0.2">
      <c r="Z31831" t="str">
        <f t="shared" si="497"/>
        <v/>
      </c>
    </row>
    <row r="31832" spans="26:26" x14ac:dyDescent="0.2">
      <c r="Z31832" t="str">
        <f t="shared" si="497"/>
        <v/>
      </c>
    </row>
    <row r="31833" spans="26:26" x14ac:dyDescent="0.2">
      <c r="Z31833" t="str">
        <f t="shared" si="497"/>
        <v/>
      </c>
    </row>
    <row r="31834" spans="26:26" x14ac:dyDescent="0.2">
      <c r="Z31834" t="str">
        <f t="shared" si="497"/>
        <v/>
      </c>
    </row>
    <row r="31835" spans="26:26" x14ac:dyDescent="0.2">
      <c r="Z31835" t="str">
        <f t="shared" si="497"/>
        <v/>
      </c>
    </row>
    <row r="31836" spans="26:26" x14ac:dyDescent="0.2">
      <c r="Z31836" t="str">
        <f t="shared" si="497"/>
        <v/>
      </c>
    </row>
    <row r="31837" spans="26:26" x14ac:dyDescent="0.2">
      <c r="Z31837" t="str">
        <f t="shared" si="497"/>
        <v/>
      </c>
    </row>
    <row r="31838" spans="26:26" x14ac:dyDescent="0.2">
      <c r="Z31838" t="str">
        <f t="shared" si="497"/>
        <v/>
      </c>
    </row>
    <row r="31839" spans="26:26" x14ac:dyDescent="0.2">
      <c r="Z31839" t="str">
        <f t="shared" si="497"/>
        <v/>
      </c>
    </row>
    <row r="31840" spans="26:26" x14ac:dyDescent="0.2">
      <c r="Z31840" t="str">
        <f t="shared" si="497"/>
        <v/>
      </c>
    </row>
    <row r="31841" spans="26:26" x14ac:dyDescent="0.2">
      <c r="Z31841" t="str">
        <f t="shared" si="497"/>
        <v/>
      </c>
    </row>
    <row r="31842" spans="26:26" x14ac:dyDescent="0.2">
      <c r="Z31842" t="str">
        <f t="shared" si="497"/>
        <v/>
      </c>
    </row>
    <row r="31843" spans="26:26" x14ac:dyDescent="0.2">
      <c r="Z31843" t="str">
        <f t="shared" si="497"/>
        <v/>
      </c>
    </row>
    <row r="31844" spans="26:26" x14ac:dyDescent="0.2">
      <c r="Z31844" t="str">
        <f t="shared" si="497"/>
        <v/>
      </c>
    </row>
    <row r="31845" spans="26:26" x14ac:dyDescent="0.2">
      <c r="Z31845" t="str">
        <f t="shared" si="497"/>
        <v/>
      </c>
    </row>
    <row r="31846" spans="26:26" x14ac:dyDescent="0.2">
      <c r="Z31846" t="str">
        <f t="shared" si="497"/>
        <v/>
      </c>
    </row>
    <row r="31847" spans="26:26" x14ac:dyDescent="0.2">
      <c r="Z31847" t="str">
        <f t="shared" si="497"/>
        <v/>
      </c>
    </row>
    <row r="31848" spans="26:26" x14ac:dyDescent="0.2">
      <c r="Z31848" t="str">
        <f t="shared" si="497"/>
        <v/>
      </c>
    </row>
    <row r="31849" spans="26:26" x14ac:dyDescent="0.2">
      <c r="Z31849" t="str">
        <f t="shared" si="497"/>
        <v/>
      </c>
    </row>
    <row r="31850" spans="26:26" x14ac:dyDescent="0.2">
      <c r="Z31850" t="str">
        <f t="shared" si="497"/>
        <v/>
      </c>
    </row>
    <row r="31851" spans="26:26" x14ac:dyDescent="0.2">
      <c r="Z31851" t="str">
        <f t="shared" si="497"/>
        <v/>
      </c>
    </row>
    <row r="31852" spans="26:26" x14ac:dyDescent="0.2">
      <c r="Z31852" t="str">
        <f t="shared" si="497"/>
        <v/>
      </c>
    </row>
    <row r="31853" spans="26:26" x14ac:dyDescent="0.2">
      <c r="Z31853" t="str">
        <f t="shared" si="497"/>
        <v/>
      </c>
    </row>
    <row r="31854" spans="26:26" x14ac:dyDescent="0.2">
      <c r="Z31854" t="str">
        <f t="shared" si="497"/>
        <v/>
      </c>
    </row>
    <row r="31855" spans="26:26" x14ac:dyDescent="0.2">
      <c r="Z31855" t="str">
        <f t="shared" si="497"/>
        <v/>
      </c>
    </row>
    <row r="31856" spans="26:26" x14ac:dyDescent="0.2">
      <c r="Z31856" t="str">
        <f t="shared" si="497"/>
        <v/>
      </c>
    </row>
    <row r="31857" spans="26:26" x14ac:dyDescent="0.2">
      <c r="Z31857" t="str">
        <f t="shared" si="497"/>
        <v/>
      </c>
    </row>
    <row r="31858" spans="26:26" x14ac:dyDescent="0.2">
      <c r="Z31858" t="str">
        <f t="shared" si="497"/>
        <v/>
      </c>
    </row>
    <row r="31859" spans="26:26" x14ac:dyDescent="0.2">
      <c r="Z31859" t="str">
        <f t="shared" si="497"/>
        <v/>
      </c>
    </row>
    <row r="31860" spans="26:26" x14ac:dyDescent="0.2">
      <c r="Z31860" t="str">
        <f t="shared" si="497"/>
        <v/>
      </c>
    </row>
    <row r="31861" spans="26:26" x14ac:dyDescent="0.2">
      <c r="Z31861" t="str">
        <f t="shared" si="497"/>
        <v/>
      </c>
    </row>
    <row r="31862" spans="26:26" x14ac:dyDescent="0.2">
      <c r="Z31862" t="str">
        <f t="shared" si="497"/>
        <v/>
      </c>
    </row>
    <row r="31863" spans="26:26" x14ac:dyDescent="0.2">
      <c r="Z31863" t="str">
        <f t="shared" si="497"/>
        <v/>
      </c>
    </row>
    <row r="31864" spans="26:26" x14ac:dyDescent="0.2">
      <c r="Z31864" t="str">
        <f t="shared" si="497"/>
        <v/>
      </c>
    </row>
    <row r="31865" spans="26:26" x14ac:dyDescent="0.2">
      <c r="Z31865" t="str">
        <f t="shared" si="497"/>
        <v/>
      </c>
    </row>
    <row r="31866" spans="26:26" x14ac:dyDescent="0.2">
      <c r="Z31866" t="str">
        <f t="shared" si="497"/>
        <v/>
      </c>
    </row>
    <row r="31867" spans="26:26" x14ac:dyDescent="0.2">
      <c r="Z31867" t="str">
        <f t="shared" si="497"/>
        <v/>
      </c>
    </row>
    <row r="31868" spans="26:26" x14ac:dyDescent="0.2">
      <c r="Z31868" t="str">
        <f t="shared" si="497"/>
        <v/>
      </c>
    </row>
    <row r="31869" spans="26:26" x14ac:dyDescent="0.2">
      <c r="Z31869" t="str">
        <f t="shared" si="497"/>
        <v/>
      </c>
    </row>
    <row r="31870" spans="26:26" x14ac:dyDescent="0.2">
      <c r="Z31870" t="str">
        <f t="shared" si="497"/>
        <v/>
      </c>
    </row>
    <row r="31871" spans="26:26" x14ac:dyDescent="0.2">
      <c r="Z31871" t="str">
        <f t="shared" si="497"/>
        <v/>
      </c>
    </row>
    <row r="31872" spans="26:26" x14ac:dyDescent="0.2">
      <c r="Z31872" t="str">
        <f t="shared" si="497"/>
        <v/>
      </c>
    </row>
    <row r="31873" spans="26:26" x14ac:dyDescent="0.2">
      <c r="Z31873" t="str">
        <f t="shared" si="497"/>
        <v/>
      </c>
    </row>
    <row r="31874" spans="26:26" x14ac:dyDescent="0.2">
      <c r="Z31874" t="str">
        <f t="shared" si="497"/>
        <v/>
      </c>
    </row>
    <row r="31875" spans="26:26" x14ac:dyDescent="0.2">
      <c r="Z31875" t="str">
        <f t="shared" ref="Z31875:Z31938" si="498">IF(K31875="","",IFERROR(VALUE(TRIM(MID(K31875,FIND(CHAR(167),SUBSTITUTE(K31875,"-",CHAR(167),LEN(K31875)-LEN(SUBSTITUTE(K31875,"-",""))))+1,100))),K31875))</f>
        <v/>
      </c>
    </row>
    <row r="31876" spans="26:26" x14ac:dyDescent="0.2">
      <c r="Z31876" t="str">
        <f t="shared" si="498"/>
        <v/>
      </c>
    </row>
    <row r="31877" spans="26:26" x14ac:dyDescent="0.2">
      <c r="Z31877" t="str">
        <f t="shared" si="498"/>
        <v/>
      </c>
    </row>
    <row r="31878" spans="26:26" x14ac:dyDescent="0.2">
      <c r="Z31878" t="str">
        <f t="shared" si="498"/>
        <v/>
      </c>
    </row>
    <row r="31879" spans="26:26" x14ac:dyDescent="0.2">
      <c r="Z31879" t="str">
        <f t="shared" si="498"/>
        <v/>
      </c>
    </row>
    <row r="31880" spans="26:26" x14ac:dyDescent="0.2">
      <c r="Z31880" t="str">
        <f t="shared" si="498"/>
        <v/>
      </c>
    </row>
    <row r="31881" spans="26:26" x14ac:dyDescent="0.2">
      <c r="Z31881" t="str">
        <f t="shared" si="498"/>
        <v/>
      </c>
    </row>
    <row r="31882" spans="26:26" x14ac:dyDescent="0.2">
      <c r="Z31882" t="str">
        <f t="shared" si="498"/>
        <v/>
      </c>
    </row>
    <row r="31883" spans="26:26" x14ac:dyDescent="0.2">
      <c r="Z31883" t="str">
        <f t="shared" si="498"/>
        <v/>
      </c>
    </row>
    <row r="31884" spans="26:26" x14ac:dyDescent="0.2">
      <c r="Z31884" t="str">
        <f t="shared" si="498"/>
        <v/>
      </c>
    </row>
    <row r="31885" spans="26:26" x14ac:dyDescent="0.2">
      <c r="Z31885" t="str">
        <f t="shared" si="498"/>
        <v/>
      </c>
    </row>
    <row r="31886" spans="26:26" x14ac:dyDescent="0.2">
      <c r="Z31886" t="str">
        <f t="shared" si="498"/>
        <v/>
      </c>
    </row>
    <row r="31887" spans="26:26" x14ac:dyDescent="0.2">
      <c r="Z31887" t="str">
        <f t="shared" si="498"/>
        <v/>
      </c>
    </row>
    <row r="31888" spans="26:26" x14ac:dyDescent="0.2">
      <c r="Z31888" t="str">
        <f t="shared" si="498"/>
        <v/>
      </c>
    </row>
    <row r="31889" spans="26:26" x14ac:dyDescent="0.2">
      <c r="Z31889" t="str">
        <f t="shared" si="498"/>
        <v/>
      </c>
    </row>
    <row r="31890" spans="26:26" x14ac:dyDescent="0.2">
      <c r="Z31890" t="str">
        <f t="shared" si="498"/>
        <v/>
      </c>
    </row>
    <row r="31891" spans="26:26" x14ac:dyDescent="0.2">
      <c r="Z31891" t="str">
        <f t="shared" si="498"/>
        <v/>
      </c>
    </row>
    <row r="31892" spans="26:26" x14ac:dyDescent="0.2">
      <c r="Z31892" t="str">
        <f t="shared" si="498"/>
        <v/>
      </c>
    </row>
    <row r="31893" spans="26:26" x14ac:dyDescent="0.2">
      <c r="Z31893" t="str">
        <f t="shared" si="498"/>
        <v/>
      </c>
    </row>
    <row r="31894" spans="26:26" x14ac:dyDescent="0.2">
      <c r="Z31894" t="str">
        <f t="shared" si="498"/>
        <v/>
      </c>
    </row>
    <row r="31895" spans="26:26" x14ac:dyDescent="0.2">
      <c r="Z31895" t="str">
        <f t="shared" si="498"/>
        <v/>
      </c>
    </row>
    <row r="31896" spans="26:26" x14ac:dyDescent="0.2">
      <c r="Z31896" t="str">
        <f t="shared" si="498"/>
        <v/>
      </c>
    </row>
    <row r="31897" spans="26:26" x14ac:dyDescent="0.2">
      <c r="Z31897" t="str">
        <f t="shared" si="498"/>
        <v/>
      </c>
    </row>
    <row r="31898" spans="26:26" x14ac:dyDescent="0.2">
      <c r="Z31898" t="str">
        <f t="shared" si="498"/>
        <v/>
      </c>
    </row>
    <row r="31899" spans="26:26" x14ac:dyDescent="0.2">
      <c r="Z31899" t="str">
        <f t="shared" si="498"/>
        <v/>
      </c>
    </row>
    <row r="31900" spans="26:26" x14ac:dyDescent="0.2">
      <c r="Z31900" t="str">
        <f t="shared" si="498"/>
        <v/>
      </c>
    </row>
    <row r="31901" spans="26:26" x14ac:dyDescent="0.2">
      <c r="Z31901" t="str">
        <f t="shared" si="498"/>
        <v/>
      </c>
    </row>
    <row r="31902" spans="26:26" x14ac:dyDescent="0.2">
      <c r="Z31902" t="str">
        <f t="shared" si="498"/>
        <v/>
      </c>
    </row>
    <row r="31903" spans="26:26" x14ac:dyDescent="0.2">
      <c r="Z31903" t="str">
        <f t="shared" si="498"/>
        <v/>
      </c>
    </row>
    <row r="31904" spans="26:26" x14ac:dyDescent="0.2">
      <c r="Z31904" t="str">
        <f t="shared" si="498"/>
        <v/>
      </c>
    </row>
    <row r="31905" spans="26:26" x14ac:dyDescent="0.2">
      <c r="Z31905" t="str">
        <f t="shared" si="498"/>
        <v/>
      </c>
    </row>
    <row r="31906" spans="26:26" x14ac:dyDescent="0.2">
      <c r="Z31906" t="str">
        <f t="shared" si="498"/>
        <v/>
      </c>
    </row>
    <row r="31907" spans="26:26" x14ac:dyDescent="0.2">
      <c r="Z31907" t="str">
        <f t="shared" si="498"/>
        <v/>
      </c>
    </row>
    <row r="31908" spans="26:26" x14ac:dyDescent="0.2">
      <c r="Z31908" t="str">
        <f t="shared" si="498"/>
        <v/>
      </c>
    </row>
    <row r="31909" spans="26:26" x14ac:dyDescent="0.2">
      <c r="Z31909" t="str">
        <f t="shared" si="498"/>
        <v/>
      </c>
    </row>
    <row r="31910" spans="26:26" x14ac:dyDescent="0.2">
      <c r="Z31910" t="str">
        <f t="shared" si="498"/>
        <v/>
      </c>
    </row>
    <row r="31911" spans="26:26" x14ac:dyDescent="0.2">
      <c r="Z31911" t="str">
        <f t="shared" si="498"/>
        <v/>
      </c>
    </row>
    <row r="31912" spans="26:26" x14ac:dyDescent="0.2">
      <c r="Z31912" t="str">
        <f t="shared" si="498"/>
        <v/>
      </c>
    </row>
    <row r="31913" spans="26:26" x14ac:dyDescent="0.2">
      <c r="Z31913" t="str">
        <f t="shared" si="498"/>
        <v/>
      </c>
    </row>
    <row r="31914" spans="26:26" x14ac:dyDescent="0.2">
      <c r="Z31914" t="str">
        <f t="shared" si="498"/>
        <v/>
      </c>
    </row>
    <row r="31915" spans="26:26" x14ac:dyDescent="0.2">
      <c r="Z31915" t="str">
        <f t="shared" si="498"/>
        <v/>
      </c>
    </row>
    <row r="31916" spans="26:26" x14ac:dyDescent="0.2">
      <c r="Z31916" t="str">
        <f t="shared" si="498"/>
        <v/>
      </c>
    </row>
    <row r="31917" spans="26:26" x14ac:dyDescent="0.2">
      <c r="Z31917" t="str">
        <f t="shared" si="498"/>
        <v/>
      </c>
    </row>
    <row r="31918" spans="26:26" x14ac:dyDescent="0.2">
      <c r="Z31918" t="str">
        <f t="shared" si="498"/>
        <v/>
      </c>
    </row>
    <row r="31919" spans="26:26" x14ac:dyDescent="0.2">
      <c r="Z31919" t="str">
        <f t="shared" si="498"/>
        <v/>
      </c>
    </row>
    <row r="31920" spans="26:26" x14ac:dyDescent="0.2">
      <c r="Z31920" t="str">
        <f t="shared" si="498"/>
        <v/>
      </c>
    </row>
    <row r="31921" spans="26:26" x14ac:dyDescent="0.2">
      <c r="Z31921" t="str">
        <f t="shared" si="498"/>
        <v/>
      </c>
    </row>
    <row r="31922" spans="26:26" x14ac:dyDescent="0.2">
      <c r="Z31922" t="str">
        <f t="shared" si="498"/>
        <v/>
      </c>
    </row>
    <row r="31923" spans="26:26" x14ac:dyDescent="0.2">
      <c r="Z31923" t="str">
        <f t="shared" si="498"/>
        <v/>
      </c>
    </row>
    <row r="31924" spans="26:26" x14ac:dyDescent="0.2">
      <c r="Z31924" t="str">
        <f t="shared" si="498"/>
        <v/>
      </c>
    </row>
    <row r="31925" spans="26:26" x14ac:dyDescent="0.2">
      <c r="Z31925" t="str">
        <f t="shared" si="498"/>
        <v/>
      </c>
    </row>
    <row r="31926" spans="26:26" x14ac:dyDescent="0.2">
      <c r="Z31926" t="str">
        <f t="shared" si="498"/>
        <v/>
      </c>
    </row>
    <row r="31927" spans="26:26" x14ac:dyDescent="0.2">
      <c r="Z31927" t="str">
        <f t="shared" si="498"/>
        <v/>
      </c>
    </row>
    <row r="31928" spans="26:26" x14ac:dyDescent="0.2">
      <c r="Z31928" t="str">
        <f t="shared" si="498"/>
        <v/>
      </c>
    </row>
    <row r="31929" spans="26:26" x14ac:dyDescent="0.2">
      <c r="Z31929" t="str">
        <f t="shared" si="498"/>
        <v/>
      </c>
    </row>
    <row r="31930" spans="26:26" x14ac:dyDescent="0.2">
      <c r="Z31930" t="str">
        <f t="shared" si="498"/>
        <v/>
      </c>
    </row>
    <row r="31931" spans="26:26" x14ac:dyDescent="0.2">
      <c r="Z31931" t="str">
        <f t="shared" si="498"/>
        <v/>
      </c>
    </row>
    <row r="31932" spans="26:26" x14ac:dyDescent="0.2">
      <c r="Z31932" t="str">
        <f t="shared" si="498"/>
        <v/>
      </c>
    </row>
    <row r="31933" spans="26:26" x14ac:dyDescent="0.2">
      <c r="Z31933" t="str">
        <f t="shared" si="498"/>
        <v/>
      </c>
    </row>
    <row r="31934" spans="26:26" x14ac:dyDescent="0.2">
      <c r="Z31934" t="str">
        <f t="shared" si="498"/>
        <v/>
      </c>
    </row>
    <row r="31935" spans="26:26" x14ac:dyDescent="0.2">
      <c r="Z31935" t="str">
        <f t="shared" si="498"/>
        <v/>
      </c>
    </row>
    <row r="31936" spans="26:26" x14ac:dyDescent="0.2">
      <c r="Z31936" t="str">
        <f t="shared" si="498"/>
        <v/>
      </c>
    </row>
    <row r="31937" spans="26:26" x14ac:dyDescent="0.2">
      <c r="Z31937" t="str">
        <f t="shared" si="498"/>
        <v/>
      </c>
    </row>
    <row r="31938" spans="26:26" x14ac:dyDescent="0.2">
      <c r="Z31938" t="str">
        <f t="shared" si="498"/>
        <v/>
      </c>
    </row>
    <row r="31939" spans="26:26" x14ac:dyDescent="0.2">
      <c r="Z31939" t="str">
        <f t="shared" ref="Z31939:Z32002" si="499">IF(K31939="","",IFERROR(VALUE(TRIM(MID(K31939,FIND(CHAR(167),SUBSTITUTE(K31939,"-",CHAR(167),LEN(K31939)-LEN(SUBSTITUTE(K31939,"-",""))))+1,100))),K31939))</f>
        <v/>
      </c>
    </row>
    <row r="31940" spans="26:26" x14ac:dyDescent="0.2">
      <c r="Z31940" t="str">
        <f t="shared" si="499"/>
        <v/>
      </c>
    </row>
    <row r="31941" spans="26:26" x14ac:dyDescent="0.2">
      <c r="Z31941" t="str">
        <f t="shared" si="499"/>
        <v/>
      </c>
    </row>
    <row r="31942" spans="26:26" x14ac:dyDescent="0.2">
      <c r="Z31942" t="str">
        <f t="shared" si="499"/>
        <v/>
      </c>
    </row>
    <row r="31943" spans="26:26" x14ac:dyDescent="0.2">
      <c r="Z31943" t="str">
        <f t="shared" si="499"/>
        <v/>
      </c>
    </row>
    <row r="31944" spans="26:26" x14ac:dyDescent="0.2">
      <c r="Z31944" t="str">
        <f t="shared" si="499"/>
        <v/>
      </c>
    </row>
    <row r="31945" spans="26:26" x14ac:dyDescent="0.2">
      <c r="Z31945" t="str">
        <f t="shared" si="499"/>
        <v/>
      </c>
    </row>
    <row r="31946" spans="26:26" x14ac:dyDescent="0.2">
      <c r="Z31946" t="str">
        <f t="shared" si="499"/>
        <v/>
      </c>
    </row>
    <row r="31947" spans="26:26" x14ac:dyDescent="0.2">
      <c r="Z31947" t="str">
        <f t="shared" si="499"/>
        <v/>
      </c>
    </row>
    <row r="31948" spans="26:26" x14ac:dyDescent="0.2">
      <c r="Z31948" t="str">
        <f t="shared" si="499"/>
        <v/>
      </c>
    </row>
    <row r="31949" spans="26:26" x14ac:dyDescent="0.2">
      <c r="Z31949" t="str">
        <f t="shared" si="499"/>
        <v/>
      </c>
    </row>
    <row r="31950" spans="26:26" x14ac:dyDescent="0.2">
      <c r="Z31950" t="str">
        <f t="shared" si="499"/>
        <v/>
      </c>
    </row>
    <row r="31951" spans="26:26" x14ac:dyDescent="0.2">
      <c r="Z31951" t="str">
        <f t="shared" si="499"/>
        <v/>
      </c>
    </row>
    <row r="31952" spans="26:26" x14ac:dyDescent="0.2">
      <c r="Z31952" t="str">
        <f t="shared" si="499"/>
        <v/>
      </c>
    </row>
    <row r="31953" spans="26:26" x14ac:dyDescent="0.2">
      <c r="Z31953" t="str">
        <f t="shared" si="499"/>
        <v/>
      </c>
    </row>
    <row r="31954" spans="26:26" x14ac:dyDescent="0.2">
      <c r="Z31954" t="str">
        <f t="shared" si="499"/>
        <v/>
      </c>
    </row>
    <row r="31955" spans="26:26" x14ac:dyDescent="0.2">
      <c r="Z31955" t="str">
        <f t="shared" si="499"/>
        <v/>
      </c>
    </row>
    <row r="31956" spans="26:26" x14ac:dyDescent="0.2">
      <c r="Z31956" t="str">
        <f t="shared" si="499"/>
        <v/>
      </c>
    </row>
    <row r="31957" spans="26:26" x14ac:dyDescent="0.2">
      <c r="Z31957" t="str">
        <f t="shared" si="499"/>
        <v/>
      </c>
    </row>
    <row r="31958" spans="26:26" x14ac:dyDescent="0.2">
      <c r="Z31958" t="str">
        <f t="shared" si="499"/>
        <v/>
      </c>
    </row>
    <row r="31959" spans="26:26" x14ac:dyDescent="0.2">
      <c r="Z31959" t="str">
        <f t="shared" si="499"/>
        <v/>
      </c>
    </row>
    <row r="31960" spans="26:26" x14ac:dyDescent="0.2">
      <c r="Z31960" t="str">
        <f t="shared" si="499"/>
        <v/>
      </c>
    </row>
    <row r="31961" spans="26:26" x14ac:dyDescent="0.2">
      <c r="Z31961" t="str">
        <f t="shared" si="499"/>
        <v/>
      </c>
    </row>
    <row r="31962" spans="26:26" x14ac:dyDescent="0.2">
      <c r="Z31962" t="str">
        <f t="shared" si="499"/>
        <v/>
      </c>
    </row>
    <row r="31963" spans="26:26" x14ac:dyDescent="0.2">
      <c r="Z31963" t="str">
        <f t="shared" si="499"/>
        <v/>
      </c>
    </row>
    <row r="31964" spans="26:26" x14ac:dyDescent="0.2">
      <c r="Z31964" t="str">
        <f t="shared" si="499"/>
        <v/>
      </c>
    </row>
    <row r="31965" spans="26:26" x14ac:dyDescent="0.2">
      <c r="Z31965" t="str">
        <f t="shared" si="499"/>
        <v/>
      </c>
    </row>
    <row r="31966" spans="26:26" x14ac:dyDescent="0.2">
      <c r="Z31966" t="str">
        <f t="shared" si="499"/>
        <v/>
      </c>
    </row>
    <row r="31967" spans="26:26" x14ac:dyDescent="0.2">
      <c r="Z31967" t="str">
        <f t="shared" si="499"/>
        <v/>
      </c>
    </row>
    <row r="31968" spans="26:26" x14ac:dyDescent="0.2">
      <c r="Z31968" t="str">
        <f t="shared" si="499"/>
        <v/>
      </c>
    </row>
    <row r="31969" spans="26:26" x14ac:dyDescent="0.2">
      <c r="Z31969" t="str">
        <f t="shared" si="499"/>
        <v/>
      </c>
    </row>
    <row r="31970" spans="26:26" x14ac:dyDescent="0.2">
      <c r="Z31970" t="str">
        <f t="shared" si="499"/>
        <v/>
      </c>
    </row>
    <row r="31971" spans="26:26" x14ac:dyDescent="0.2">
      <c r="Z31971" t="str">
        <f t="shared" si="499"/>
        <v/>
      </c>
    </row>
    <row r="31972" spans="26:26" x14ac:dyDescent="0.2">
      <c r="Z31972" t="str">
        <f t="shared" si="499"/>
        <v/>
      </c>
    </row>
    <row r="31973" spans="26:26" x14ac:dyDescent="0.2">
      <c r="Z31973" t="str">
        <f t="shared" si="499"/>
        <v/>
      </c>
    </row>
    <row r="31974" spans="26:26" x14ac:dyDescent="0.2">
      <c r="Z31974" t="str">
        <f t="shared" si="499"/>
        <v/>
      </c>
    </row>
    <row r="31975" spans="26:26" x14ac:dyDescent="0.2">
      <c r="Z31975" t="str">
        <f t="shared" si="499"/>
        <v/>
      </c>
    </row>
    <row r="31976" spans="26:26" x14ac:dyDescent="0.2">
      <c r="Z31976" t="str">
        <f t="shared" si="499"/>
        <v/>
      </c>
    </row>
    <row r="31977" spans="26:26" x14ac:dyDescent="0.2">
      <c r="Z31977" t="str">
        <f t="shared" si="499"/>
        <v/>
      </c>
    </row>
    <row r="31978" spans="26:26" x14ac:dyDescent="0.2">
      <c r="Z31978" t="str">
        <f t="shared" si="499"/>
        <v/>
      </c>
    </row>
    <row r="31979" spans="26:26" x14ac:dyDescent="0.2">
      <c r="Z31979" t="str">
        <f t="shared" si="499"/>
        <v/>
      </c>
    </row>
    <row r="31980" spans="26:26" x14ac:dyDescent="0.2">
      <c r="Z31980" t="str">
        <f t="shared" si="499"/>
        <v/>
      </c>
    </row>
    <row r="31981" spans="26:26" x14ac:dyDescent="0.2">
      <c r="Z31981" t="str">
        <f t="shared" si="499"/>
        <v/>
      </c>
    </row>
    <row r="31982" spans="26:26" x14ac:dyDescent="0.2">
      <c r="Z31982" t="str">
        <f t="shared" si="499"/>
        <v/>
      </c>
    </row>
    <row r="31983" spans="26:26" x14ac:dyDescent="0.2">
      <c r="Z31983" t="str">
        <f t="shared" si="499"/>
        <v/>
      </c>
    </row>
    <row r="31984" spans="26:26" x14ac:dyDescent="0.2">
      <c r="Z31984" t="str">
        <f t="shared" si="499"/>
        <v/>
      </c>
    </row>
    <row r="31985" spans="26:26" x14ac:dyDescent="0.2">
      <c r="Z31985" t="str">
        <f t="shared" si="499"/>
        <v/>
      </c>
    </row>
    <row r="31986" spans="26:26" x14ac:dyDescent="0.2">
      <c r="Z31986" t="str">
        <f t="shared" si="499"/>
        <v/>
      </c>
    </row>
    <row r="31987" spans="26:26" x14ac:dyDescent="0.2">
      <c r="Z31987" t="str">
        <f t="shared" si="499"/>
        <v/>
      </c>
    </row>
    <row r="31988" spans="26:26" x14ac:dyDescent="0.2">
      <c r="Z31988" t="str">
        <f t="shared" si="499"/>
        <v/>
      </c>
    </row>
    <row r="31989" spans="26:26" x14ac:dyDescent="0.2">
      <c r="Z31989" t="str">
        <f t="shared" si="499"/>
        <v/>
      </c>
    </row>
    <row r="31990" spans="26:26" x14ac:dyDescent="0.2">
      <c r="Z31990" t="str">
        <f t="shared" si="499"/>
        <v/>
      </c>
    </row>
    <row r="31991" spans="26:26" x14ac:dyDescent="0.2">
      <c r="Z31991" t="str">
        <f t="shared" si="499"/>
        <v/>
      </c>
    </row>
    <row r="31992" spans="26:26" x14ac:dyDescent="0.2">
      <c r="Z31992" t="str">
        <f t="shared" si="499"/>
        <v/>
      </c>
    </row>
    <row r="31993" spans="26:26" x14ac:dyDescent="0.2">
      <c r="Z31993" t="str">
        <f t="shared" si="499"/>
        <v/>
      </c>
    </row>
    <row r="31994" spans="26:26" x14ac:dyDescent="0.2">
      <c r="Z31994" t="str">
        <f t="shared" si="499"/>
        <v/>
      </c>
    </row>
    <row r="31995" spans="26:26" x14ac:dyDescent="0.2">
      <c r="Z31995" t="str">
        <f t="shared" si="499"/>
        <v/>
      </c>
    </row>
    <row r="31996" spans="26:26" x14ac:dyDescent="0.2">
      <c r="Z31996" t="str">
        <f t="shared" si="499"/>
        <v/>
      </c>
    </row>
    <row r="31997" spans="26:26" x14ac:dyDescent="0.2">
      <c r="Z31997" t="str">
        <f t="shared" si="499"/>
        <v/>
      </c>
    </row>
    <row r="31998" spans="26:26" x14ac:dyDescent="0.2">
      <c r="Z31998" t="str">
        <f t="shared" si="499"/>
        <v/>
      </c>
    </row>
    <row r="31999" spans="26:26" x14ac:dyDescent="0.2">
      <c r="Z31999" t="str">
        <f t="shared" si="499"/>
        <v/>
      </c>
    </row>
    <row r="32000" spans="26:26" x14ac:dyDescent="0.2">
      <c r="Z32000" t="str">
        <f t="shared" si="499"/>
        <v/>
      </c>
    </row>
    <row r="32001" spans="26:26" x14ac:dyDescent="0.2">
      <c r="Z32001" t="str">
        <f t="shared" si="499"/>
        <v/>
      </c>
    </row>
    <row r="32002" spans="26:26" x14ac:dyDescent="0.2">
      <c r="Z32002" t="str">
        <f t="shared" si="499"/>
        <v/>
      </c>
    </row>
    <row r="32003" spans="26:26" x14ac:dyDescent="0.2">
      <c r="Z32003" t="str">
        <f t="shared" ref="Z32003:Z32066" si="500">IF(K32003="","",IFERROR(VALUE(TRIM(MID(K32003,FIND(CHAR(167),SUBSTITUTE(K32003,"-",CHAR(167),LEN(K32003)-LEN(SUBSTITUTE(K32003,"-",""))))+1,100))),K32003))</f>
        <v/>
      </c>
    </row>
    <row r="32004" spans="26:26" x14ac:dyDescent="0.2">
      <c r="Z32004" t="str">
        <f t="shared" si="500"/>
        <v/>
      </c>
    </row>
    <row r="32005" spans="26:26" x14ac:dyDescent="0.2">
      <c r="Z32005" t="str">
        <f t="shared" si="500"/>
        <v/>
      </c>
    </row>
    <row r="32006" spans="26:26" x14ac:dyDescent="0.2">
      <c r="Z32006" t="str">
        <f t="shared" si="500"/>
        <v/>
      </c>
    </row>
    <row r="32007" spans="26:26" x14ac:dyDescent="0.2">
      <c r="Z32007" t="str">
        <f t="shared" si="500"/>
        <v/>
      </c>
    </row>
    <row r="32008" spans="26:26" x14ac:dyDescent="0.2">
      <c r="Z32008" t="str">
        <f t="shared" si="500"/>
        <v/>
      </c>
    </row>
    <row r="32009" spans="26:26" x14ac:dyDescent="0.2">
      <c r="Z32009" t="str">
        <f t="shared" si="500"/>
        <v/>
      </c>
    </row>
    <row r="32010" spans="26:26" x14ac:dyDescent="0.2">
      <c r="Z32010" t="str">
        <f t="shared" si="500"/>
        <v/>
      </c>
    </row>
    <row r="32011" spans="26:26" x14ac:dyDescent="0.2">
      <c r="Z32011" t="str">
        <f t="shared" si="500"/>
        <v/>
      </c>
    </row>
    <row r="32012" spans="26:26" x14ac:dyDescent="0.2">
      <c r="Z32012" t="str">
        <f t="shared" si="500"/>
        <v/>
      </c>
    </row>
    <row r="32013" spans="26:26" x14ac:dyDescent="0.2">
      <c r="Z32013" t="str">
        <f t="shared" si="500"/>
        <v/>
      </c>
    </row>
    <row r="32014" spans="26:26" x14ac:dyDescent="0.2">
      <c r="Z32014" t="str">
        <f t="shared" si="500"/>
        <v/>
      </c>
    </row>
    <row r="32015" spans="26:26" x14ac:dyDescent="0.2">
      <c r="Z32015" t="str">
        <f t="shared" si="500"/>
        <v/>
      </c>
    </row>
    <row r="32016" spans="26:26" x14ac:dyDescent="0.2">
      <c r="Z32016" t="str">
        <f t="shared" si="500"/>
        <v/>
      </c>
    </row>
    <row r="32017" spans="26:26" x14ac:dyDescent="0.2">
      <c r="Z32017" t="str">
        <f t="shared" si="500"/>
        <v/>
      </c>
    </row>
    <row r="32018" spans="26:26" x14ac:dyDescent="0.2">
      <c r="Z32018" t="str">
        <f t="shared" si="500"/>
        <v/>
      </c>
    </row>
    <row r="32019" spans="26:26" x14ac:dyDescent="0.2">
      <c r="Z32019" t="str">
        <f t="shared" si="500"/>
        <v/>
      </c>
    </row>
    <row r="32020" spans="26:26" x14ac:dyDescent="0.2">
      <c r="Z32020" t="str">
        <f t="shared" si="500"/>
        <v/>
      </c>
    </row>
    <row r="32021" spans="26:26" x14ac:dyDescent="0.2">
      <c r="Z32021" t="str">
        <f t="shared" si="500"/>
        <v/>
      </c>
    </row>
    <row r="32022" spans="26:26" x14ac:dyDescent="0.2">
      <c r="Z32022" t="str">
        <f t="shared" si="500"/>
        <v/>
      </c>
    </row>
    <row r="32023" spans="26:26" x14ac:dyDescent="0.2">
      <c r="Z32023" t="str">
        <f t="shared" si="500"/>
        <v/>
      </c>
    </row>
    <row r="32024" spans="26:26" x14ac:dyDescent="0.2">
      <c r="Z32024" t="str">
        <f t="shared" si="500"/>
        <v/>
      </c>
    </row>
    <row r="32025" spans="26:26" x14ac:dyDescent="0.2">
      <c r="Z32025" t="str">
        <f t="shared" si="500"/>
        <v/>
      </c>
    </row>
    <row r="32026" spans="26:26" x14ac:dyDescent="0.2">
      <c r="Z32026" t="str">
        <f t="shared" si="500"/>
        <v/>
      </c>
    </row>
    <row r="32027" spans="26:26" x14ac:dyDescent="0.2">
      <c r="Z32027" t="str">
        <f t="shared" si="500"/>
        <v/>
      </c>
    </row>
    <row r="32028" spans="26:26" x14ac:dyDescent="0.2">
      <c r="Z32028" t="str">
        <f t="shared" si="500"/>
        <v/>
      </c>
    </row>
    <row r="32029" spans="26:26" x14ac:dyDescent="0.2">
      <c r="Z32029" t="str">
        <f t="shared" si="500"/>
        <v/>
      </c>
    </row>
    <row r="32030" spans="26:26" x14ac:dyDescent="0.2">
      <c r="Z32030" t="str">
        <f t="shared" si="500"/>
        <v/>
      </c>
    </row>
    <row r="32031" spans="26:26" x14ac:dyDescent="0.2">
      <c r="Z32031" t="str">
        <f t="shared" si="500"/>
        <v/>
      </c>
    </row>
    <row r="32032" spans="26:26" x14ac:dyDescent="0.2">
      <c r="Z32032" t="str">
        <f t="shared" si="500"/>
        <v/>
      </c>
    </row>
    <row r="32033" spans="26:26" x14ac:dyDescent="0.2">
      <c r="Z32033" t="str">
        <f t="shared" si="500"/>
        <v/>
      </c>
    </row>
    <row r="32034" spans="26:26" x14ac:dyDescent="0.2">
      <c r="Z32034" t="str">
        <f t="shared" si="500"/>
        <v/>
      </c>
    </row>
    <row r="32035" spans="26:26" x14ac:dyDescent="0.2">
      <c r="Z32035" t="str">
        <f t="shared" si="500"/>
        <v/>
      </c>
    </row>
    <row r="32036" spans="26:26" x14ac:dyDescent="0.2">
      <c r="Z32036" t="str">
        <f t="shared" si="500"/>
        <v/>
      </c>
    </row>
    <row r="32037" spans="26:26" x14ac:dyDescent="0.2">
      <c r="Z32037" t="str">
        <f t="shared" si="500"/>
        <v/>
      </c>
    </row>
    <row r="32038" spans="26:26" x14ac:dyDescent="0.2">
      <c r="Z32038" t="str">
        <f t="shared" si="500"/>
        <v/>
      </c>
    </row>
    <row r="32039" spans="26:26" x14ac:dyDescent="0.2">
      <c r="Z32039" t="str">
        <f t="shared" si="500"/>
        <v/>
      </c>
    </row>
    <row r="32040" spans="26:26" x14ac:dyDescent="0.2">
      <c r="Z32040" t="str">
        <f t="shared" si="500"/>
        <v/>
      </c>
    </row>
    <row r="32041" spans="26:26" x14ac:dyDescent="0.2">
      <c r="Z32041" t="str">
        <f t="shared" si="500"/>
        <v/>
      </c>
    </row>
    <row r="32042" spans="26:26" x14ac:dyDescent="0.2">
      <c r="Z32042" t="str">
        <f t="shared" si="500"/>
        <v/>
      </c>
    </row>
    <row r="32043" spans="26:26" x14ac:dyDescent="0.2">
      <c r="Z32043" t="str">
        <f t="shared" si="500"/>
        <v/>
      </c>
    </row>
    <row r="32044" spans="26:26" x14ac:dyDescent="0.2">
      <c r="Z32044" t="str">
        <f t="shared" si="500"/>
        <v/>
      </c>
    </row>
    <row r="32045" spans="26:26" x14ac:dyDescent="0.2">
      <c r="Z32045" t="str">
        <f t="shared" si="500"/>
        <v/>
      </c>
    </row>
    <row r="32046" spans="26:26" x14ac:dyDescent="0.2">
      <c r="Z32046" t="str">
        <f t="shared" si="500"/>
        <v/>
      </c>
    </row>
    <row r="32047" spans="26:26" x14ac:dyDescent="0.2">
      <c r="Z32047" t="str">
        <f t="shared" si="500"/>
        <v/>
      </c>
    </row>
    <row r="32048" spans="26:26" x14ac:dyDescent="0.2">
      <c r="Z32048" t="str">
        <f t="shared" si="500"/>
        <v/>
      </c>
    </row>
    <row r="32049" spans="26:26" x14ac:dyDescent="0.2">
      <c r="Z32049" t="str">
        <f t="shared" si="500"/>
        <v/>
      </c>
    </row>
    <row r="32050" spans="26:26" x14ac:dyDescent="0.2">
      <c r="Z32050" t="str">
        <f t="shared" si="500"/>
        <v/>
      </c>
    </row>
    <row r="32051" spans="26:26" x14ac:dyDescent="0.2">
      <c r="Z32051" t="str">
        <f t="shared" si="500"/>
        <v/>
      </c>
    </row>
    <row r="32052" spans="26:26" x14ac:dyDescent="0.2">
      <c r="Z32052" t="str">
        <f t="shared" si="500"/>
        <v/>
      </c>
    </row>
    <row r="32053" spans="26:26" x14ac:dyDescent="0.2">
      <c r="Z32053" t="str">
        <f t="shared" si="500"/>
        <v/>
      </c>
    </row>
    <row r="32054" spans="26:26" x14ac:dyDescent="0.2">
      <c r="Z32054" t="str">
        <f t="shared" si="500"/>
        <v/>
      </c>
    </row>
    <row r="32055" spans="26:26" x14ac:dyDescent="0.2">
      <c r="Z32055" t="str">
        <f t="shared" si="500"/>
        <v/>
      </c>
    </row>
    <row r="32056" spans="26:26" x14ac:dyDescent="0.2">
      <c r="Z32056" t="str">
        <f t="shared" si="500"/>
        <v/>
      </c>
    </row>
    <row r="32057" spans="26:26" x14ac:dyDescent="0.2">
      <c r="Z32057" t="str">
        <f t="shared" si="500"/>
        <v/>
      </c>
    </row>
    <row r="32058" spans="26:26" x14ac:dyDescent="0.2">
      <c r="Z32058" t="str">
        <f t="shared" si="500"/>
        <v/>
      </c>
    </row>
    <row r="32059" spans="26:26" x14ac:dyDescent="0.2">
      <c r="Z32059" t="str">
        <f t="shared" si="500"/>
        <v/>
      </c>
    </row>
    <row r="32060" spans="26:26" x14ac:dyDescent="0.2">
      <c r="Z32060" t="str">
        <f t="shared" si="500"/>
        <v/>
      </c>
    </row>
    <row r="32061" spans="26:26" x14ac:dyDescent="0.2">
      <c r="Z32061" t="str">
        <f t="shared" si="500"/>
        <v/>
      </c>
    </row>
    <row r="32062" spans="26:26" x14ac:dyDescent="0.2">
      <c r="Z32062" t="str">
        <f t="shared" si="500"/>
        <v/>
      </c>
    </row>
    <row r="32063" spans="26:26" x14ac:dyDescent="0.2">
      <c r="Z32063" t="str">
        <f t="shared" si="500"/>
        <v/>
      </c>
    </row>
    <row r="32064" spans="26:26" x14ac:dyDescent="0.2">
      <c r="Z32064" t="str">
        <f t="shared" si="500"/>
        <v/>
      </c>
    </row>
    <row r="32065" spans="26:26" x14ac:dyDescent="0.2">
      <c r="Z32065" t="str">
        <f t="shared" si="500"/>
        <v/>
      </c>
    </row>
    <row r="32066" spans="26:26" x14ac:dyDescent="0.2">
      <c r="Z32066" t="str">
        <f t="shared" si="500"/>
        <v/>
      </c>
    </row>
    <row r="32067" spans="26:26" x14ac:dyDescent="0.2">
      <c r="Z32067" t="str">
        <f t="shared" ref="Z32067:Z32130" si="501">IF(K32067="","",IFERROR(VALUE(TRIM(MID(K32067,FIND(CHAR(167),SUBSTITUTE(K32067,"-",CHAR(167),LEN(K32067)-LEN(SUBSTITUTE(K32067,"-",""))))+1,100))),K32067))</f>
        <v/>
      </c>
    </row>
    <row r="32068" spans="26:26" x14ac:dyDescent="0.2">
      <c r="Z32068" t="str">
        <f t="shared" si="501"/>
        <v/>
      </c>
    </row>
    <row r="32069" spans="26:26" x14ac:dyDescent="0.2">
      <c r="Z32069" t="str">
        <f t="shared" si="501"/>
        <v/>
      </c>
    </row>
    <row r="32070" spans="26:26" x14ac:dyDescent="0.2">
      <c r="Z32070" t="str">
        <f t="shared" si="501"/>
        <v/>
      </c>
    </row>
    <row r="32071" spans="26:26" x14ac:dyDescent="0.2">
      <c r="Z32071" t="str">
        <f t="shared" si="501"/>
        <v/>
      </c>
    </row>
    <row r="32072" spans="26:26" x14ac:dyDescent="0.2">
      <c r="Z32072" t="str">
        <f t="shared" si="501"/>
        <v/>
      </c>
    </row>
    <row r="32073" spans="26:26" x14ac:dyDescent="0.2">
      <c r="Z32073" t="str">
        <f t="shared" si="501"/>
        <v/>
      </c>
    </row>
    <row r="32074" spans="26:26" x14ac:dyDescent="0.2">
      <c r="Z32074" t="str">
        <f t="shared" si="501"/>
        <v/>
      </c>
    </row>
    <row r="32075" spans="26:26" x14ac:dyDescent="0.2">
      <c r="Z32075" t="str">
        <f t="shared" si="501"/>
        <v/>
      </c>
    </row>
    <row r="32076" spans="26:26" x14ac:dyDescent="0.2">
      <c r="Z32076" t="str">
        <f t="shared" si="501"/>
        <v/>
      </c>
    </row>
    <row r="32077" spans="26:26" x14ac:dyDescent="0.2">
      <c r="Z32077" t="str">
        <f t="shared" si="501"/>
        <v/>
      </c>
    </row>
    <row r="32078" spans="26:26" x14ac:dyDescent="0.2">
      <c r="Z32078" t="str">
        <f t="shared" si="501"/>
        <v/>
      </c>
    </row>
    <row r="32079" spans="26:26" x14ac:dyDescent="0.2">
      <c r="Z32079" t="str">
        <f t="shared" si="501"/>
        <v/>
      </c>
    </row>
    <row r="32080" spans="26:26" x14ac:dyDescent="0.2">
      <c r="Z32080" t="str">
        <f t="shared" si="501"/>
        <v/>
      </c>
    </row>
    <row r="32081" spans="26:26" x14ac:dyDescent="0.2">
      <c r="Z32081" t="str">
        <f t="shared" si="501"/>
        <v/>
      </c>
    </row>
    <row r="32082" spans="26:26" x14ac:dyDescent="0.2">
      <c r="Z32082" t="str">
        <f t="shared" si="501"/>
        <v/>
      </c>
    </row>
    <row r="32083" spans="26:26" x14ac:dyDescent="0.2">
      <c r="Z32083" t="str">
        <f t="shared" si="501"/>
        <v/>
      </c>
    </row>
    <row r="32084" spans="26:26" x14ac:dyDescent="0.2">
      <c r="Z32084" t="str">
        <f t="shared" si="501"/>
        <v/>
      </c>
    </row>
    <row r="32085" spans="26:26" x14ac:dyDescent="0.2">
      <c r="Z32085" t="str">
        <f t="shared" si="501"/>
        <v/>
      </c>
    </row>
    <row r="32086" spans="26:26" x14ac:dyDescent="0.2">
      <c r="Z32086" t="str">
        <f t="shared" si="501"/>
        <v/>
      </c>
    </row>
    <row r="32087" spans="26:26" x14ac:dyDescent="0.2">
      <c r="Z32087" t="str">
        <f t="shared" si="501"/>
        <v/>
      </c>
    </row>
    <row r="32088" spans="26:26" x14ac:dyDescent="0.2">
      <c r="Z32088" t="str">
        <f t="shared" si="501"/>
        <v/>
      </c>
    </row>
    <row r="32089" spans="26:26" x14ac:dyDescent="0.2">
      <c r="Z32089" t="str">
        <f t="shared" si="501"/>
        <v/>
      </c>
    </row>
    <row r="32090" spans="26:26" x14ac:dyDescent="0.2">
      <c r="Z32090" t="str">
        <f t="shared" si="501"/>
        <v/>
      </c>
    </row>
    <row r="32091" spans="26:26" x14ac:dyDescent="0.2">
      <c r="Z32091" t="str">
        <f t="shared" si="501"/>
        <v/>
      </c>
    </row>
    <row r="32092" spans="26:26" x14ac:dyDescent="0.2">
      <c r="Z32092" t="str">
        <f t="shared" si="501"/>
        <v/>
      </c>
    </row>
    <row r="32093" spans="26:26" x14ac:dyDescent="0.2">
      <c r="Z32093" t="str">
        <f t="shared" si="501"/>
        <v/>
      </c>
    </row>
    <row r="32094" spans="26:26" x14ac:dyDescent="0.2">
      <c r="Z32094" t="str">
        <f t="shared" si="501"/>
        <v/>
      </c>
    </row>
    <row r="32095" spans="26:26" x14ac:dyDescent="0.2">
      <c r="Z32095" t="str">
        <f t="shared" si="501"/>
        <v/>
      </c>
    </row>
    <row r="32096" spans="26:26" x14ac:dyDescent="0.2">
      <c r="Z32096" t="str">
        <f t="shared" si="501"/>
        <v/>
      </c>
    </row>
    <row r="32097" spans="26:26" x14ac:dyDescent="0.2">
      <c r="Z32097" t="str">
        <f t="shared" si="501"/>
        <v/>
      </c>
    </row>
    <row r="32098" spans="26:26" x14ac:dyDescent="0.2">
      <c r="Z32098" t="str">
        <f t="shared" si="501"/>
        <v/>
      </c>
    </row>
    <row r="32099" spans="26:26" x14ac:dyDescent="0.2">
      <c r="Z32099" t="str">
        <f t="shared" si="501"/>
        <v/>
      </c>
    </row>
    <row r="32100" spans="26:26" x14ac:dyDescent="0.2">
      <c r="Z32100" t="str">
        <f t="shared" si="501"/>
        <v/>
      </c>
    </row>
    <row r="32101" spans="26:26" x14ac:dyDescent="0.2">
      <c r="Z32101" t="str">
        <f t="shared" si="501"/>
        <v/>
      </c>
    </row>
    <row r="32102" spans="26:26" x14ac:dyDescent="0.2">
      <c r="Z32102" t="str">
        <f t="shared" si="501"/>
        <v/>
      </c>
    </row>
    <row r="32103" spans="26:26" x14ac:dyDescent="0.2">
      <c r="Z32103" t="str">
        <f t="shared" si="501"/>
        <v/>
      </c>
    </row>
    <row r="32104" spans="26:26" x14ac:dyDescent="0.2">
      <c r="Z32104" t="str">
        <f t="shared" si="501"/>
        <v/>
      </c>
    </row>
    <row r="32105" spans="26:26" x14ac:dyDescent="0.2">
      <c r="Z32105" t="str">
        <f t="shared" si="501"/>
        <v/>
      </c>
    </row>
    <row r="32106" spans="26:26" x14ac:dyDescent="0.2">
      <c r="Z32106" t="str">
        <f t="shared" si="501"/>
        <v/>
      </c>
    </row>
    <row r="32107" spans="26:26" x14ac:dyDescent="0.2">
      <c r="Z32107" t="str">
        <f t="shared" si="501"/>
        <v/>
      </c>
    </row>
    <row r="32108" spans="26:26" x14ac:dyDescent="0.2">
      <c r="Z32108" t="str">
        <f t="shared" si="501"/>
        <v/>
      </c>
    </row>
    <row r="32109" spans="26:26" x14ac:dyDescent="0.2">
      <c r="Z32109" t="str">
        <f t="shared" si="501"/>
        <v/>
      </c>
    </row>
    <row r="32110" spans="26:26" x14ac:dyDescent="0.2">
      <c r="Z32110" t="str">
        <f t="shared" si="501"/>
        <v/>
      </c>
    </row>
    <row r="32111" spans="26:26" x14ac:dyDescent="0.2">
      <c r="Z32111" t="str">
        <f t="shared" si="501"/>
        <v/>
      </c>
    </row>
    <row r="32112" spans="26:26" x14ac:dyDescent="0.2">
      <c r="Z32112" t="str">
        <f t="shared" si="501"/>
        <v/>
      </c>
    </row>
    <row r="32113" spans="26:26" x14ac:dyDescent="0.2">
      <c r="Z32113" t="str">
        <f t="shared" si="501"/>
        <v/>
      </c>
    </row>
    <row r="32114" spans="26:26" x14ac:dyDescent="0.2">
      <c r="Z32114" t="str">
        <f t="shared" si="501"/>
        <v/>
      </c>
    </row>
    <row r="32115" spans="26:26" x14ac:dyDescent="0.2">
      <c r="Z32115" t="str">
        <f t="shared" si="501"/>
        <v/>
      </c>
    </row>
    <row r="32116" spans="26:26" x14ac:dyDescent="0.2">
      <c r="Z32116" t="str">
        <f t="shared" si="501"/>
        <v/>
      </c>
    </row>
    <row r="32117" spans="26:26" x14ac:dyDescent="0.2">
      <c r="Z32117" t="str">
        <f t="shared" si="501"/>
        <v/>
      </c>
    </row>
    <row r="32118" spans="26:26" x14ac:dyDescent="0.2">
      <c r="Z32118" t="str">
        <f t="shared" si="501"/>
        <v/>
      </c>
    </row>
    <row r="32119" spans="26:26" x14ac:dyDescent="0.2">
      <c r="Z32119" t="str">
        <f t="shared" si="501"/>
        <v/>
      </c>
    </row>
    <row r="32120" spans="26:26" x14ac:dyDescent="0.2">
      <c r="Z32120" t="str">
        <f t="shared" si="501"/>
        <v/>
      </c>
    </row>
    <row r="32121" spans="26:26" x14ac:dyDescent="0.2">
      <c r="Z32121" t="str">
        <f t="shared" si="501"/>
        <v/>
      </c>
    </row>
    <row r="32122" spans="26:26" x14ac:dyDescent="0.2">
      <c r="Z32122" t="str">
        <f t="shared" si="501"/>
        <v/>
      </c>
    </row>
    <row r="32123" spans="26:26" x14ac:dyDescent="0.2">
      <c r="Z32123" t="str">
        <f t="shared" si="501"/>
        <v/>
      </c>
    </row>
    <row r="32124" spans="26:26" x14ac:dyDescent="0.2">
      <c r="Z32124" t="str">
        <f t="shared" si="501"/>
        <v/>
      </c>
    </row>
    <row r="32125" spans="26:26" x14ac:dyDescent="0.2">
      <c r="Z32125" t="str">
        <f t="shared" si="501"/>
        <v/>
      </c>
    </row>
    <row r="32126" spans="26:26" x14ac:dyDescent="0.2">
      <c r="Z32126" t="str">
        <f t="shared" si="501"/>
        <v/>
      </c>
    </row>
    <row r="32127" spans="26:26" x14ac:dyDescent="0.2">
      <c r="Z32127" t="str">
        <f t="shared" si="501"/>
        <v/>
      </c>
    </row>
    <row r="32128" spans="26:26" x14ac:dyDescent="0.2">
      <c r="Z32128" t="str">
        <f t="shared" si="501"/>
        <v/>
      </c>
    </row>
    <row r="32129" spans="26:26" x14ac:dyDescent="0.2">
      <c r="Z32129" t="str">
        <f t="shared" si="501"/>
        <v/>
      </c>
    </row>
    <row r="32130" spans="26:26" x14ac:dyDescent="0.2">
      <c r="Z32130" t="str">
        <f t="shared" si="501"/>
        <v/>
      </c>
    </row>
    <row r="32131" spans="26:26" x14ac:dyDescent="0.2">
      <c r="Z32131" t="str">
        <f t="shared" ref="Z32131:Z32194" si="502">IF(K32131="","",IFERROR(VALUE(TRIM(MID(K32131,FIND(CHAR(167),SUBSTITUTE(K32131,"-",CHAR(167),LEN(K32131)-LEN(SUBSTITUTE(K32131,"-",""))))+1,100))),K32131))</f>
        <v/>
      </c>
    </row>
    <row r="32132" spans="26:26" x14ac:dyDescent="0.2">
      <c r="Z32132" t="str">
        <f t="shared" si="502"/>
        <v/>
      </c>
    </row>
    <row r="32133" spans="26:26" x14ac:dyDescent="0.2">
      <c r="Z32133" t="str">
        <f t="shared" si="502"/>
        <v/>
      </c>
    </row>
    <row r="32134" spans="26:26" x14ac:dyDescent="0.2">
      <c r="Z32134" t="str">
        <f t="shared" si="502"/>
        <v/>
      </c>
    </row>
    <row r="32135" spans="26:26" x14ac:dyDescent="0.2">
      <c r="Z32135" t="str">
        <f t="shared" si="502"/>
        <v/>
      </c>
    </row>
    <row r="32136" spans="26:26" x14ac:dyDescent="0.2">
      <c r="Z32136" t="str">
        <f t="shared" si="502"/>
        <v/>
      </c>
    </row>
    <row r="32137" spans="26:26" x14ac:dyDescent="0.2">
      <c r="Z32137" t="str">
        <f t="shared" si="502"/>
        <v/>
      </c>
    </row>
    <row r="32138" spans="26:26" x14ac:dyDescent="0.2">
      <c r="Z32138" t="str">
        <f t="shared" si="502"/>
        <v/>
      </c>
    </row>
    <row r="32139" spans="26:26" x14ac:dyDescent="0.2">
      <c r="Z32139" t="str">
        <f t="shared" si="502"/>
        <v/>
      </c>
    </row>
    <row r="32140" spans="26:26" x14ac:dyDescent="0.2">
      <c r="Z32140" t="str">
        <f t="shared" si="502"/>
        <v/>
      </c>
    </row>
    <row r="32141" spans="26:26" x14ac:dyDescent="0.2">
      <c r="Z32141" t="str">
        <f t="shared" si="502"/>
        <v/>
      </c>
    </row>
    <row r="32142" spans="26:26" x14ac:dyDescent="0.2">
      <c r="Z32142" t="str">
        <f t="shared" si="502"/>
        <v/>
      </c>
    </row>
    <row r="32143" spans="26:26" x14ac:dyDescent="0.2">
      <c r="Z32143" t="str">
        <f t="shared" si="502"/>
        <v/>
      </c>
    </row>
    <row r="32144" spans="26:26" x14ac:dyDescent="0.2">
      <c r="Z32144" t="str">
        <f t="shared" si="502"/>
        <v/>
      </c>
    </row>
    <row r="32145" spans="26:26" x14ac:dyDescent="0.2">
      <c r="Z32145" t="str">
        <f t="shared" si="502"/>
        <v/>
      </c>
    </row>
    <row r="32146" spans="26:26" x14ac:dyDescent="0.2">
      <c r="Z32146" t="str">
        <f t="shared" si="502"/>
        <v/>
      </c>
    </row>
    <row r="32147" spans="26:26" x14ac:dyDescent="0.2">
      <c r="Z32147" t="str">
        <f t="shared" si="502"/>
        <v/>
      </c>
    </row>
    <row r="32148" spans="26:26" x14ac:dyDescent="0.2">
      <c r="Z32148" t="str">
        <f t="shared" si="502"/>
        <v/>
      </c>
    </row>
    <row r="32149" spans="26:26" x14ac:dyDescent="0.2">
      <c r="Z32149" t="str">
        <f t="shared" si="502"/>
        <v/>
      </c>
    </row>
    <row r="32150" spans="26:26" x14ac:dyDescent="0.2">
      <c r="Z32150" t="str">
        <f t="shared" si="502"/>
        <v/>
      </c>
    </row>
    <row r="32151" spans="26:26" x14ac:dyDescent="0.2">
      <c r="Z32151" t="str">
        <f t="shared" si="502"/>
        <v/>
      </c>
    </row>
    <row r="32152" spans="26:26" x14ac:dyDescent="0.2">
      <c r="Z32152" t="str">
        <f t="shared" si="502"/>
        <v/>
      </c>
    </row>
    <row r="32153" spans="26:26" x14ac:dyDescent="0.2">
      <c r="Z32153" t="str">
        <f t="shared" si="502"/>
        <v/>
      </c>
    </row>
    <row r="32154" spans="26:26" x14ac:dyDescent="0.2">
      <c r="Z32154" t="str">
        <f t="shared" si="502"/>
        <v/>
      </c>
    </row>
    <row r="32155" spans="26:26" x14ac:dyDescent="0.2">
      <c r="Z32155" t="str">
        <f t="shared" si="502"/>
        <v/>
      </c>
    </row>
    <row r="32156" spans="26:26" x14ac:dyDescent="0.2">
      <c r="Z32156" t="str">
        <f t="shared" si="502"/>
        <v/>
      </c>
    </row>
    <row r="32157" spans="26:26" x14ac:dyDescent="0.2">
      <c r="Z32157" t="str">
        <f t="shared" si="502"/>
        <v/>
      </c>
    </row>
    <row r="32158" spans="26:26" x14ac:dyDescent="0.2">
      <c r="Z32158" t="str">
        <f t="shared" si="502"/>
        <v/>
      </c>
    </row>
    <row r="32159" spans="26:26" x14ac:dyDescent="0.2">
      <c r="Z32159" t="str">
        <f t="shared" si="502"/>
        <v/>
      </c>
    </row>
    <row r="32160" spans="26:26" x14ac:dyDescent="0.2">
      <c r="Z32160" t="str">
        <f t="shared" si="502"/>
        <v/>
      </c>
    </row>
    <row r="32161" spans="26:26" x14ac:dyDescent="0.2">
      <c r="Z32161" t="str">
        <f t="shared" si="502"/>
        <v/>
      </c>
    </row>
    <row r="32162" spans="26:26" x14ac:dyDescent="0.2">
      <c r="Z32162" t="str">
        <f t="shared" si="502"/>
        <v/>
      </c>
    </row>
    <row r="32163" spans="26:26" x14ac:dyDescent="0.2">
      <c r="Z32163" t="str">
        <f t="shared" si="502"/>
        <v/>
      </c>
    </row>
    <row r="32164" spans="26:26" x14ac:dyDescent="0.2">
      <c r="Z32164" t="str">
        <f t="shared" si="502"/>
        <v/>
      </c>
    </row>
    <row r="32165" spans="26:26" x14ac:dyDescent="0.2">
      <c r="Z32165" t="str">
        <f t="shared" si="502"/>
        <v/>
      </c>
    </row>
    <row r="32166" spans="26:26" x14ac:dyDescent="0.2">
      <c r="Z32166" t="str">
        <f t="shared" si="502"/>
        <v/>
      </c>
    </row>
    <row r="32167" spans="26:26" x14ac:dyDescent="0.2">
      <c r="Z32167" t="str">
        <f t="shared" si="502"/>
        <v/>
      </c>
    </row>
    <row r="32168" spans="26:26" x14ac:dyDescent="0.2">
      <c r="Z32168" t="str">
        <f t="shared" si="502"/>
        <v/>
      </c>
    </row>
    <row r="32169" spans="26:26" x14ac:dyDescent="0.2">
      <c r="Z32169" t="str">
        <f t="shared" si="502"/>
        <v/>
      </c>
    </row>
    <row r="32170" spans="26:26" x14ac:dyDescent="0.2">
      <c r="Z32170" t="str">
        <f t="shared" si="502"/>
        <v/>
      </c>
    </row>
    <row r="32171" spans="26:26" x14ac:dyDescent="0.2">
      <c r="Z32171" t="str">
        <f t="shared" si="502"/>
        <v/>
      </c>
    </row>
    <row r="32172" spans="26:26" x14ac:dyDescent="0.2">
      <c r="Z32172" t="str">
        <f t="shared" si="502"/>
        <v/>
      </c>
    </row>
    <row r="32173" spans="26:26" x14ac:dyDescent="0.2">
      <c r="Z32173" t="str">
        <f t="shared" si="502"/>
        <v/>
      </c>
    </row>
    <row r="32174" spans="26:26" x14ac:dyDescent="0.2">
      <c r="Z32174" t="str">
        <f t="shared" si="502"/>
        <v/>
      </c>
    </row>
    <row r="32175" spans="26:26" x14ac:dyDescent="0.2">
      <c r="Z32175" t="str">
        <f t="shared" si="502"/>
        <v/>
      </c>
    </row>
    <row r="32176" spans="26:26" x14ac:dyDescent="0.2">
      <c r="Z32176" t="str">
        <f t="shared" si="502"/>
        <v/>
      </c>
    </row>
    <row r="32177" spans="26:26" x14ac:dyDescent="0.2">
      <c r="Z32177" t="str">
        <f t="shared" si="502"/>
        <v/>
      </c>
    </row>
    <row r="32178" spans="26:26" x14ac:dyDescent="0.2">
      <c r="Z32178" t="str">
        <f t="shared" si="502"/>
        <v/>
      </c>
    </row>
    <row r="32179" spans="26:26" x14ac:dyDescent="0.2">
      <c r="Z32179" t="str">
        <f t="shared" si="502"/>
        <v/>
      </c>
    </row>
    <row r="32180" spans="26:26" x14ac:dyDescent="0.2">
      <c r="Z32180" t="str">
        <f t="shared" si="502"/>
        <v/>
      </c>
    </row>
    <row r="32181" spans="26:26" x14ac:dyDescent="0.2">
      <c r="Z32181" t="str">
        <f t="shared" si="502"/>
        <v/>
      </c>
    </row>
    <row r="32182" spans="26:26" x14ac:dyDescent="0.2">
      <c r="Z32182" t="str">
        <f t="shared" si="502"/>
        <v/>
      </c>
    </row>
    <row r="32183" spans="26:26" x14ac:dyDescent="0.2">
      <c r="Z32183" t="str">
        <f t="shared" si="502"/>
        <v/>
      </c>
    </row>
    <row r="32184" spans="26:26" x14ac:dyDescent="0.2">
      <c r="Z32184" t="str">
        <f t="shared" si="502"/>
        <v/>
      </c>
    </row>
    <row r="32185" spans="26:26" x14ac:dyDescent="0.2">
      <c r="Z32185" t="str">
        <f t="shared" si="502"/>
        <v/>
      </c>
    </row>
    <row r="32186" spans="26:26" x14ac:dyDescent="0.2">
      <c r="Z32186" t="str">
        <f t="shared" si="502"/>
        <v/>
      </c>
    </row>
    <row r="32187" spans="26:26" x14ac:dyDescent="0.2">
      <c r="Z32187" t="str">
        <f t="shared" si="502"/>
        <v/>
      </c>
    </row>
    <row r="32188" spans="26:26" x14ac:dyDescent="0.2">
      <c r="Z32188" t="str">
        <f t="shared" si="502"/>
        <v/>
      </c>
    </row>
    <row r="32189" spans="26:26" x14ac:dyDescent="0.2">
      <c r="Z32189" t="str">
        <f t="shared" si="502"/>
        <v/>
      </c>
    </row>
    <row r="32190" spans="26:26" x14ac:dyDescent="0.2">
      <c r="Z32190" t="str">
        <f t="shared" si="502"/>
        <v/>
      </c>
    </row>
    <row r="32191" spans="26:26" x14ac:dyDescent="0.2">
      <c r="Z32191" t="str">
        <f t="shared" si="502"/>
        <v/>
      </c>
    </row>
    <row r="32192" spans="26:26" x14ac:dyDescent="0.2">
      <c r="Z32192" t="str">
        <f t="shared" si="502"/>
        <v/>
      </c>
    </row>
    <row r="32193" spans="26:26" x14ac:dyDescent="0.2">
      <c r="Z32193" t="str">
        <f t="shared" si="502"/>
        <v/>
      </c>
    </row>
    <row r="32194" spans="26:26" x14ac:dyDescent="0.2">
      <c r="Z32194" t="str">
        <f t="shared" si="502"/>
        <v/>
      </c>
    </row>
    <row r="32195" spans="26:26" x14ac:dyDescent="0.2">
      <c r="Z32195" t="str">
        <f t="shared" ref="Z32195:Z32258" si="503">IF(K32195="","",IFERROR(VALUE(TRIM(MID(K32195,FIND(CHAR(167),SUBSTITUTE(K32195,"-",CHAR(167),LEN(K32195)-LEN(SUBSTITUTE(K32195,"-",""))))+1,100))),K32195))</f>
        <v/>
      </c>
    </row>
    <row r="32196" spans="26:26" x14ac:dyDescent="0.2">
      <c r="Z32196" t="str">
        <f t="shared" si="503"/>
        <v/>
      </c>
    </row>
    <row r="32197" spans="26:26" x14ac:dyDescent="0.2">
      <c r="Z32197" t="str">
        <f t="shared" si="503"/>
        <v/>
      </c>
    </row>
    <row r="32198" spans="26:26" x14ac:dyDescent="0.2">
      <c r="Z32198" t="str">
        <f t="shared" si="503"/>
        <v/>
      </c>
    </row>
    <row r="32199" spans="26:26" x14ac:dyDescent="0.2">
      <c r="Z32199" t="str">
        <f t="shared" si="503"/>
        <v/>
      </c>
    </row>
    <row r="32200" spans="26:26" x14ac:dyDescent="0.2">
      <c r="Z32200" t="str">
        <f t="shared" si="503"/>
        <v/>
      </c>
    </row>
    <row r="32201" spans="26:26" x14ac:dyDescent="0.2">
      <c r="Z32201" t="str">
        <f t="shared" si="503"/>
        <v/>
      </c>
    </row>
    <row r="32202" spans="26:26" x14ac:dyDescent="0.2">
      <c r="Z32202" t="str">
        <f t="shared" si="503"/>
        <v/>
      </c>
    </row>
    <row r="32203" spans="26:26" x14ac:dyDescent="0.2">
      <c r="Z32203" t="str">
        <f t="shared" si="503"/>
        <v/>
      </c>
    </row>
    <row r="32204" spans="26:26" x14ac:dyDescent="0.2">
      <c r="Z32204" t="str">
        <f t="shared" si="503"/>
        <v/>
      </c>
    </row>
    <row r="32205" spans="26:26" x14ac:dyDescent="0.2">
      <c r="Z32205" t="str">
        <f t="shared" si="503"/>
        <v/>
      </c>
    </row>
    <row r="32206" spans="26:26" x14ac:dyDescent="0.2">
      <c r="Z32206" t="str">
        <f t="shared" si="503"/>
        <v/>
      </c>
    </row>
    <row r="32207" spans="26:26" x14ac:dyDescent="0.2">
      <c r="Z32207" t="str">
        <f t="shared" si="503"/>
        <v/>
      </c>
    </row>
    <row r="32208" spans="26:26" x14ac:dyDescent="0.2">
      <c r="Z32208" t="str">
        <f t="shared" si="503"/>
        <v/>
      </c>
    </row>
    <row r="32209" spans="26:26" x14ac:dyDescent="0.2">
      <c r="Z32209" t="str">
        <f t="shared" si="503"/>
        <v/>
      </c>
    </row>
    <row r="32210" spans="26:26" x14ac:dyDescent="0.2">
      <c r="Z32210" t="str">
        <f t="shared" si="503"/>
        <v/>
      </c>
    </row>
    <row r="32211" spans="26:26" x14ac:dyDescent="0.2">
      <c r="Z32211" t="str">
        <f t="shared" si="503"/>
        <v/>
      </c>
    </row>
    <row r="32212" spans="26:26" x14ac:dyDescent="0.2">
      <c r="Z32212" t="str">
        <f t="shared" si="503"/>
        <v/>
      </c>
    </row>
    <row r="32213" spans="26:26" x14ac:dyDescent="0.2">
      <c r="Z32213" t="str">
        <f t="shared" si="503"/>
        <v/>
      </c>
    </row>
    <row r="32214" spans="26:26" x14ac:dyDescent="0.2">
      <c r="Z32214" t="str">
        <f t="shared" si="503"/>
        <v/>
      </c>
    </row>
    <row r="32215" spans="26:26" x14ac:dyDescent="0.2">
      <c r="Z32215" t="str">
        <f t="shared" si="503"/>
        <v/>
      </c>
    </row>
    <row r="32216" spans="26:26" x14ac:dyDescent="0.2">
      <c r="Z32216" t="str">
        <f t="shared" si="503"/>
        <v/>
      </c>
    </row>
    <row r="32217" spans="26:26" x14ac:dyDescent="0.2">
      <c r="Z32217" t="str">
        <f t="shared" si="503"/>
        <v/>
      </c>
    </row>
    <row r="32218" spans="26:26" x14ac:dyDescent="0.2">
      <c r="Z32218" t="str">
        <f t="shared" si="503"/>
        <v/>
      </c>
    </row>
    <row r="32219" spans="26:26" x14ac:dyDescent="0.2">
      <c r="Z32219" t="str">
        <f t="shared" si="503"/>
        <v/>
      </c>
    </row>
    <row r="32220" spans="26:26" x14ac:dyDescent="0.2">
      <c r="Z32220" t="str">
        <f t="shared" si="503"/>
        <v/>
      </c>
    </row>
    <row r="32221" spans="26:26" x14ac:dyDescent="0.2">
      <c r="Z32221" t="str">
        <f t="shared" si="503"/>
        <v/>
      </c>
    </row>
    <row r="32222" spans="26:26" x14ac:dyDescent="0.2">
      <c r="Z32222" t="str">
        <f t="shared" si="503"/>
        <v/>
      </c>
    </row>
    <row r="32223" spans="26:26" x14ac:dyDescent="0.2">
      <c r="Z32223" t="str">
        <f t="shared" si="503"/>
        <v/>
      </c>
    </row>
    <row r="32224" spans="26:26" x14ac:dyDescent="0.2">
      <c r="Z32224" t="str">
        <f t="shared" si="503"/>
        <v/>
      </c>
    </row>
    <row r="32225" spans="26:26" x14ac:dyDescent="0.2">
      <c r="Z32225" t="str">
        <f t="shared" si="503"/>
        <v/>
      </c>
    </row>
    <row r="32226" spans="26:26" x14ac:dyDescent="0.2">
      <c r="Z32226" t="str">
        <f t="shared" si="503"/>
        <v/>
      </c>
    </row>
    <row r="32227" spans="26:26" x14ac:dyDescent="0.2">
      <c r="Z32227" t="str">
        <f t="shared" si="503"/>
        <v/>
      </c>
    </row>
    <row r="32228" spans="26:26" x14ac:dyDescent="0.2">
      <c r="Z32228" t="str">
        <f t="shared" si="503"/>
        <v/>
      </c>
    </row>
    <row r="32229" spans="26:26" x14ac:dyDescent="0.2">
      <c r="Z32229" t="str">
        <f t="shared" si="503"/>
        <v/>
      </c>
    </row>
    <row r="32230" spans="26:26" x14ac:dyDescent="0.2">
      <c r="Z32230" t="str">
        <f t="shared" si="503"/>
        <v/>
      </c>
    </row>
    <row r="32231" spans="26:26" x14ac:dyDescent="0.2">
      <c r="Z32231" t="str">
        <f t="shared" si="503"/>
        <v/>
      </c>
    </row>
    <row r="32232" spans="26:26" x14ac:dyDescent="0.2">
      <c r="Z32232" t="str">
        <f t="shared" si="503"/>
        <v/>
      </c>
    </row>
    <row r="32233" spans="26:26" x14ac:dyDescent="0.2">
      <c r="Z32233" t="str">
        <f t="shared" si="503"/>
        <v/>
      </c>
    </row>
    <row r="32234" spans="26:26" x14ac:dyDescent="0.2">
      <c r="Z32234" t="str">
        <f t="shared" si="503"/>
        <v/>
      </c>
    </row>
    <row r="32235" spans="26:26" x14ac:dyDescent="0.2">
      <c r="Z32235" t="str">
        <f t="shared" si="503"/>
        <v/>
      </c>
    </row>
    <row r="32236" spans="26:26" x14ac:dyDescent="0.2">
      <c r="Z32236" t="str">
        <f t="shared" si="503"/>
        <v/>
      </c>
    </row>
    <row r="32237" spans="26:26" x14ac:dyDescent="0.2">
      <c r="Z32237" t="str">
        <f t="shared" si="503"/>
        <v/>
      </c>
    </row>
    <row r="32238" spans="26:26" x14ac:dyDescent="0.2">
      <c r="Z32238" t="str">
        <f t="shared" si="503"/>
        <v/>
      </c>
    </row>
    <row r="32239" spans="26:26" x14ac:dyDescent="0.2">
      <c r="Z32239" t="str">
        <f t="shared" si="503"/>
        <v/>
      </c>
    </row>
    <row r="32240" spans="26:26" x14ac:dyDescent="0.2">
      <c r="Z32240" t="str">
        <f t="shared" si="503"/>
        <v/>
      </c>
    </row>
    <row r="32241" spans="26:26" x14ac:dyDescent="0.2">
      <c r="Z32241" t="str">
        <f t="shared" si="503"/>
        <v/>
      </c>
    </row>
    <row r="32242" spans="26:26" x14ac:dyDescent="0.2">
      <c r="Z32242" t="str">
        <f t="shared" si="503"/>
        <v/>
      </c>
    </row>
    <row r="32243" spans="26:26" x14ac:dyDescent="0.2">
      <c r="Z32243" t="str">
        <f t="shared" si="503"/>
        <v/>
      </c>
    </row>
    <row r="32244" spans="26:26" x14ac:dyDescent="0.2">
      <c r="Z32244" t="str">
        <f t="shared" si="503"/>
        <v/>
      </c>
    </row>
    <row r="32245" spans="26:26" x14ac:dyDescent="0.2">
      <c r="Z32245" t="str">
        <f t="shared" si="503"/>
        <v/>
      </c>
    </row>
    <row r="32246" spans="26:26" x14ac:dyDescent="0.2">
      <c r="Z32246" t="str">
        <f t="shared" si="503"/>
        <v/>
      </c>
    </row>
    <row r="32247" spans="26:26" x14ac:dyDescent="0.2">
      <c r="Z32247" t="str">
        <f t="shared" si="503"/>
        <v/>
      </c>
    </row>
    <row r="32248" spans="26:26" x14ac:dyDescent="0.2">
      <c r="Z32248" t="str">
        <f t="shared" si="503"/>
        <v/>
      </c>
    </row>
    <row r="32249" spans="26:26" x14ac:dyDescent="0.2">
      <c r="Z32249" t="str">
        <f t="shared" si="503"/>
        <v/>
      </c>
    </row>
    <row r="32250" spans="26:26" x14ac:dyDescent="0.2">
      <c r="Z32250" t="str">
        <f t="shared" si="503"/>
        <v/>
      </c>
    </row>
    <row r="32251" spans="26:26" x14ac:dyDescent="0.2">
      <c r="Z32251" t="str">
        <f t="shared" si="503"/>
        <v/>
      </c>
    </row>
    <row r="32252" spans="26:26" x14ac:dyDescent="0.2">
      <c r="Z32252" t="str">
        <f t="shared" si="503"/>
        <v/>
      </c>
    </row>
    <row r="32253" spans="26:26" x14ac:dyDescent="0.2">
      <c r="Z32253" t="str">
        <f t="shared" si="503"/>
        <v/>
      </c>
    </row>
    <row r="32254" spans="26:26" x14ac:dyDescent="0.2">
      <c r="Z32254" t="str">
        <f t="shared" si="503"/>
        <v/>
      </c>
    </row>
    <row r="32255" spans="26:26" x14ac:dyDescent="0.2">
      <c r="Z32255" t="str">
        <f t="shared" si="503"/>
        <v/>
      </c>
    </row>
    <row r="32256" spans="26:26" x14ac:dyDescent="0.2">
      <c r="Z32256" t="str">
        <f t="shared" si="503"/>
        <v/>
      </c>
    </row>
    <row r="32257" spans="26:26" x14ac:dyDescent="0.2">
      <c r="Z32257" t="str">
        <f t="shared" si="503"/>
        <v/>
      </c>
    </row>
    <row r="32258" spans="26:26" x14ac:dyDescent="0.2">
      <c r="Z32258" t="str">
        <f t="shared" si="503"/>
        <v/>
      </c>
    </row>
    <row r="32259" spans="26:26" x14ac:dyDescent="0.2">
      <c r="Z32259" t="str">
        <f t="shared" ref="Z32259:Z32322" si="504">IF(K32259="","",IFERROR(VALUE(TRIM(MID(K32259,FIND(CHAR(167),SUBSTITUTE(K32259,"-",CHAR(167),LEN(K32259)-LEN(SUBSTITUTE(K32259,"-",""))))+1,100))),K32259))</f>
        <v/>
      </c>
    </row>
    <row r="32260" spans="26:26" x14ac:dyDescent="0.2">
      <c r="Z32260" t="str">
        <f t="shared" si="504"/>
        <v/>
      </c>
    </row>
    <row r="32261" spans="26:26" x14ac:dyDescent="0.2">
      <c r="Z32261" t="str">
        <f t="shared" si="504"/>
        <v/>
      </c>
    </row>
    <row r="32262" spans="26:26" x14ac:dyDescent="0.2">
      <c r="Z32262" t="str">
        <f t="shared" si="504"/>
        <v/>
      </c>
    </row>
    <row r="32263" spans="26:26" x14ac:dyDescent="0.2">
      <c r="Z32263" t="str">
        <f t="shared" si="504"/>
        <v/>
      </c>
    </row>
    <row r="32264" spans="26:26" x14ac:dyDescent="0.2">
      <c r="Z32264" t="str">
        <f t="shared" si="504"/>
        <v/>
      </c>
    </row>
    <row r="32265" spans="26:26" x14ac:dyDescent="0.2">
      <c r="Z32265" t="str">
        <f t="shared" si="504"/>
        <v/>
      </c>
    </row>
    <row r="32266" spans="26:26" x14ac:dyDescent="0.2">
      <c r="Z32266" t="str">
        <f t="shared" si="504"/>
        <v/>
      </c>
    </row>
    <row r="32267" spans="26:26" x14ac:dyDescent="0.2">
      <c r="Z32267" t="str">
        <f t="shared" si="504"/>
        <v/>
      </c>
    </row>
    <row r="32268" spans="26:26" x14ac:dyDescent="0.2">
      <c r="Z32268" t="str">
        <f t="shared" si="504"/>
        <v/>
      </c>
    </row>
    <row r="32269" spans="26:26" x14ac:dyDescent="0.2">
      <c r="Z32269" t="str">
        <f t="shared" si="504"/>
        <v/>
      </c>
    </row>
    <row r="32270" spans="26:26" x14ac:dyDescent="0.2">
      <c r="Z32270" t="str">
        <f t="shared" si="504"/>
        <v/>
      </c>
    </row>
    <row r="32271" spans="26:26" x14ac:dyDescent="0.2">
      <c r="Z32271" t="str">
        <f t="shared" si="504"/>
        <v/>
      </c>
    </row>
    <row r="32272" spans="26:26" x14ac:dyDescent="0.2">
      <c r="Z32272" t="str">
        <f t="shared" si="504"/>
        <v/>
      </c>
    </row>
    <row r="32273" spans="26:26" x14ac:dyDescent="0.2">
      <c r="Z32273" t="str">
        <f t="shared" si="504"/>
        <v/>
      </c>
    </row>
    <row r="32274" spans="26:26" x14ac:dyDescent="0.2">
      <c r="Z32274" t="str">
        <f t="shared" si="504"/>
        <v/>
      </c>
    </row>
    <row r="32275" spans="26:26" x14ac:dyDescent="0.2">
      <c r="Z32275" t="str">
        <f t="shared" si="504"/>
        <v/>
      </c>
    </row>
    <row r="32276" spans="26:26" x14ac:dyDescent="0.2">
      <c r="Z32276" t="str">
        <f t="shared" si="504"/>
        <v/>
      </c>
    </row>
    <row r="32277" spans="26:26" x14ac:dyDescent="0.2">
      <c r="Z32277" t="str">
        <f t="shared" si="504"/>
        <v/>
      </c>
    </row>
    <row r="32278" spans="26:26" x14ac:dyDescent="0.2">
      <c r="Z32278" t="str">
        <f t="shared" si="504"/>
        <v/>
      </c>
    </row>
    <row r="32279" spans="26:26" x14ac:dyDescent="0.2">
      <c r="Z32279" t="str">
        <f t="shared" si="504"/>
        <v/>
      </c>
    </row>
    <row r="32280" spans="26:26" x14ac:dyDescent="0.2">
      <c r="Z32280" t="str">
        <f t="shared" si="504"/>
        <v/>
      </c>
    </row>
    <row r="32281" spans="26:26" x14ac:dyDescent="0.2">
      <c r="Z32281" t="str">
        <f t="shared" si="504"/>
        <v/>
      </c>
    </row>
    <row r="32282" spans="26:26" x14ac:dyDescent="0.2">
      <c r="Z32282" t="str">
        <f t="shared" si="504"/>
        <v/>
      </c>
    </row>
    <row r="32283" spans="26:26" x14ac:dyDescent="0.2">
      <c r="Z32283" t="str">
        <f t="shared" si="504"/>
        <v/>
      </c>
    </row>
    <row r="32284" spans="26:26" x14ac:dyDescent="0.2">
      <c r="Z32284" t="str">
        <f t="shared" si="504"/>
        <v/>
      </c>
    </row>
    <row r="32285" spans="26:26" x14ac:dyDescent="0.2">
      <c r="Z32285" t="str">
        <f t="shared" si="504"/>
        <v/>
      </c>
    </row>
    <row r="32286" spans="26:26" x14ac:dyDescent="0.2">
      <c r="Z32286" t="str">
        <f t="shared" si="504"/>
        <v/>
      </c>
    </row>
    <row r="32287" spans="26:26" x14ac:dyDescent="0.2">
      <c r="Z32287" t="str">
        <f t="shared" si="504"/>
        <v/>
      </c>
    </row>
    <row r="32288" spans="26:26" x14ac:dyDescent="0.2">
      <c r="Z32288" t="str">
        <f t="shared" si="504"/>
        <v/>
      </c>
    </row>
    <row r="32289" spans="26:26" x14ac:dyDescent="0.2">
      <c r="Z32289" t="str">
        <f t="shared" si="504"/>
        <v/>
      </c>
    </row>
    <row r="32290" spans="26:26" x14ac:dyDescent="0.2">
      <c r="Z32290" t="str">
        <f t="shared" si="504"/>
        <v/>
      </c>
    </row>
    <row r="32291" spans="26:26" x14ac:dyDescent="0.2">
      <c r="Z32291" t="str">
        <f t="shared" si="504"/>
        <v/>
      </c>
    </row>
    <row r="32292" spans="26:26" x14ac:dyDescent="0.2">
      <c r="Z32292" t="str">
        <f t="shared" si="504"/>
        <v/>
      </c>
    </row>
    <row r="32293" spans="26:26" x14ac:dyDescent="0.2">
      <c r="Z32293" t="str">
        <f t="shared" si="504"/>
        <v/>
      </c>
    </row>
    <row r="32294" spans="26:26" x14ac:dyDescent="0.2">
      <c r="Z32294" t="str">
        <f t="shared" si="504"/>
        <v/>
      </c>
    </row>
    <row r="32295" spans="26:26" x14ac:dyDescent="0.2">
      <c r="Z32295" t="str">
        <f t="shared" si="504"/>
        <v/>
      </c>
    </row>
    <row r="32296" spans="26:26" x14ac:dyDescent="0.2">
      <c r="Z32296" t="str">
        <f t="shared" si="504"/>
        <v/>
      </c>
    </row>
    <row r="32297" spans="26:26" x14ac:dyDescent="0.2">
      <c r="Z32297" t="str">
        <f t="shared" si="504"/>
        <v/>
      </c>
    </row>
    <row r="32298" spans="26:26" x14ac:dyDescent="0.2">
      <c r="Z32298" t="str">
        <f t="shared" si="504"/>
        <v/>
      </c>
    </row>
    <row r="32299" spans="26:26" x14ac:dyDescent="0.2">
      <c r="Z32299" t="str">
        <f t="shared" si="504"/>
        <v/>
      </c>
    </row>
    <row r="32300" spans="26:26" x14ac:dyDescent="0.2">
      <c r="Z32300" t="str">
        <f t="shared" si="504"/>
        <v/>
      </c>
    </row>
    <row r="32301" spans="26:26" x14ac:dyDescent="0.2">
      <c r="Z32301" t="str">
        <f t="shared" si="504"/>
        <v/>
      </c>
    </row>
    <row r="32302" spans="26:26" x14ac:dyDescent="0.2">
      <c r="Z32302" t="str">
        <f t="shared" si="504"/>
        <v/>
      </c>
    </row>
    <row r="32303" spans="26:26" x14ac:dyDescent="0.2">
      <c r="Z32303" t="str">
        <f t="shared" si="504"/>
        <v/>
      </c>
    </row>
    <row r="32304" spans="26:26" x14ac:dyDescent="0.2">
      <c r="Z32304" t="str">
        <f t="shared" si="504"/>
        <v/>
      </c>
    </row>
    <row r="32305" spans="26:26" x14ac:dyDescent="0.2">
      <c r="Z32305" t="str">
        <f t="shared" si="504"/>
        <v/>
      </c>
    </row>
    <row r="32306" spans="26:26" x14ac:dyDescent="0.2">
      <c r="Z32306" t="str">
        <f t="shared" si="504"/>
        <v/>
      </c>
    </row>
    <row r="32307" spans="26:26" x14ac:dyDescent="0.2">
      <c r="Z32307" t="str">
        <f t="shared" si="504"/>
        <v/>
      </c>
    </row>
    <row r="32308" spans="26:26" x14ac:dyDescent="0.2">
      <c r="Z32308" t="str">
        <f t="shared" si="504"/>
        <v/>
      </c>
    </row>
    <row r="32309" spans="26:26" x14ac:dyDescent="0.2">
      <c r="Z32309" t="str">
        <f t="shared" si="504"/>
        <v/>
      </c>
    </row>
    <row r="32310" spans="26:26" x14ac:dyDescent="0.2">
      <c r="Z32310" t="str">
        <f t="shared" si="504"/>
        <v/>
      </c>
    </row>
    <row r="32311" spans="26:26" x14ac:dyDescent="0.2">
      <c r="Z32311" t="str">
        <f t="shared" si="504"/>
        <v/>
      </c>
    </row>
    <row r="32312" spans="26:26" x14ac:dyDescent="0.2">
      <c r="Z32312" t="str">
        <f t="shared" si="504"/>
        <v/>
      </c>
    </row>
    <row r="32313" spans="26:26" x14ac:dyDescent="0.2">
      <c r="Z32313" t="str">
        <f t="shared" si="504"/>
        <v/>
      </c>
    </row>
    <row r="32314" spans="26:26" x14ac:dyDescent="0.2">
      <c r="Z32314" t="str">
        <f t="shared" si="504"/>
        <v/>
      </c>
    </row>
    <row r="32315" spans="26:26" x14ac:dyDescent="0.2">
      <c r="Z32315" t="str">
        <f t="shared" si="504"/>
        <v/>
      </c>
    </row>
    <row r="32316" spans="26:26" x14ac:dyDescent="0.2">
      <c r="Z32316" t="str">
        <f t="shared" si="504"/>
        <v/>
      </c>
    </row>
    <row r="32317" spans="26:26" x14ac:dyDescent="0.2">
      <c r="Z32317" t="str">
        <f t="shared" si="504"/>
        <v/>
      </c>
    </row>
    <row r="32318" spans="26:26" x14ac:dyDescent="0.2">
      <c r="Z32318" t="str">
        <f t="shared" si="504"/>
        <v/>
      </c>
    </row>
    <row r="32319" spans="26:26" x14ac:dyDescent="0.2">
      <c r="Z32319" t="str">
        <f t="shared" si="504"/>
        <v/>
      </c>
    </row>
    <row r="32320" spans="26:26" x14ac:dyDescent="0.2">
      <c r="Z32320" t="str">
        <f t="shared" si="504"/>
        <v/>
      </c>
    </row>
    <row r="32321" spans="26:26" x14ac:dyDescent="0.2">
      <c r="Z32321" t="str">
        <f t="shared" si="504"/>
        <v/>
      </c>
    </row>
    <row r="32322" spans="26:26" x14ac:dyDescent="0.2">
      <c r="Z32322" t="str">
        <f t="shared" si="504"/>
        <v/>
      </c>
    </row>
    <row r="32323" spans="26:26" x14ac:dyDescent="0.2">
      <c r="Z32323" t="str">
        <f t="shared" ref="Z32323:Z32386" si="505">IF(K32323="","",IFERROR(VALUE(TRIM(MID(K32323,FIND(CHAR(167),SUBSTITUTE(K32323,"-",CHAR(167),LEN(K32323)-LEN(SUBSTITUTE(K32323,"-",""))))+1,100))),K32323))</f>
        <v/>
      </c>
    </row>
    <row r="32324" spans="26:26" x14ac:dyDescent="0.2">
      <c r="Z32324" t="str">
        <f t="shared" si="505"/>
        <v/>
      </c>
    </row>
    <row r="32325" spans="26:26" x14ac:dyDescent="0.2">
      <c r="Z32325" t="str">
        <f t="shared" si="505"/>
        <v/>
      </c>
    </row>
    <row r="32326" spans="26:26" x14ac:dyDescent="0.2">
      <c r="Z32326" t="str">
        <f t="shared" si="505"/>
        <v/>
      </c>
    </row>
    <row r="32327" spans="26:26" x14ac:dyDescent="0.2">
      <c r="Z32327" t="str">
        <f t="shared" si="505"/>
        <v/>
      </c>
    </row>
    <row r="32328" spans="26:26" x14ac:dyDescent="0.2">
      <c r="Z32328" t="str">
        <f t="shared" si="505"/>
        <v/>
      </c>
    </row>
    <row r="32329" spans="26:26" x14ac:dyDescent="0.2">
      <c r="Z32329" t="str">
        <f t="shared" si="505"/>
        <v/>
      </c>
    </row>
    <row r="32330" spans="26:26" x14ac:dyDescent="0.2">
      <c r="Z32330" t="str">
        <f t="shared" si="505"/>
        <v/>
      </c>
    </row>
    <row r="32331" spans="26:26" x14ac:dyDescent="0.2">
      <c r="Z32331" t="str">
        <f t="shared" si="505"/>
        <v/>
      </c>
    </row>
    <row r="32332" spans="26:26" x14ac:dyDescent="0.2">
      <c r="Z32332" t="str">
        <f t="shared" si="505"/>
        <v/>
      </c>
    </row>
    <row r="32333" spans="26:26" x14ac:dyDescent="0.2">
      <c r="Z32333" t="str">
        <f t="shared" si="505"/>
        <v/>
      </c>
    </row>
    <row r="32334" spans="26:26" x14ac:dyDescent="0.2">
      <c r="Z32334" t="str">
        <f t="shared" si="505"/>
        <v/>
      </c>
    </row>
    <row r="32335" spans="26:26" x14ac:dyDescent="0.2">
      <c r="Z32335" t="str">
        <f t="shared" si="505"/>
        <v/>
      </c>
    </row>
    <row r="32336" spans="26:26" x14ac:dyDescent="0.2">
      <c r="Z32336" t="str">
        <f t="shared" si="505"/>
        <v/>
      </c>
    </row>
    <row r="32337" spans="26:26" x14ac:dyDescent="0.2">
      <c r="Z32337" t="str">
        <f t="shared" si="505"/>
        <v/>
      </c>
    </row>
    <row r="32338" spans="26:26" x14ac:dyDescent="0.2">
      <c r="Z32338" t="str">
        <f t="shared" si="505"/>
        <v/>
      </c>
    </row>
    <row r="32339" spans="26:26" x14ac:dyDescent="0.2">
      <c r="Z32339" t="str">
        <f t="shared" si="505"/>
        <v/>
      </c>
    </row>
    <row r="32340" spans="26:26" x14ac:dyDescent="0.2">
      <c r="Z32340" t="str">
        <f t="shared" si="505"/>
        <v/>
      </c>
    </row>
    <row r="32341" spans="26:26" x14ac:dyDescent="0.2">
      <c r="Z32341" t="str">
        <f t="shared" si="505"/>
        <v/>
      </c>
    </row>
    <row r="32342" spans="26:26" x14ac:dyDescent="0.2">
      <c r="Z32342" t="str">
        <f t="shared" si="505"/>
        <v/>
      </c>
    </row>
    <row r="32343" spans="26:26" x14ac:dyDescent="0.2">
      <c r="Z32343" t="str">
        <f t="shared" si="505"/>
        <v/>
      </c>
    </row>
    <row r="32344" spans="26:26" x14ac:dyDescent="0.2">
      <c r="Z32344" t="str">
        <f t="shared" si="505"/>
        <v/>
      </c>
    </row>
    <row r="32345" spans="26:26" x14ac:dyDescent="0.2">
      <c r="Z32345" t="str">
        <f t="shared" si="505"/>
        <v/>
      </c>
    </row>
    <row r="32346" spans="26:26" x14ac:dyDescent="0.2">
      <c r="Z32346" t="str">
        <f t="shared" si="505"/>
        <v/>
      </c>
    </row>
    <row r="32347" spans="26:26" x14ac:dyDescent="0.2">
      <c r="Z32347" t="str">
        <f t="shared" si="505"/>
        <v/>
      </c>
    </row>
    <row r="32348" spans="26:26" x14ac:dyDescent="0.2">
      <c r="Z32348" t="str">
        <f t="shared" si="505"/>
        <v/>
      </c>
    </row>
    <row r="32349" spans="26:26" x14ac:dyDescent="0.2">
      <c r="Z32349" t="str">
        <f t="shared" si="505"/>
        <v/>
      </c>
    </row>
    <row r="32350" spans="26:26" x14ac:dyDescent="0.2">
      <c r="Z32350" t="str">
        <f t="shared" si="505"/>
        <v/>
      </c>
    </row>
    <row r="32351" spans="26:26" x14ac:dyDescent="0.2">
      <c r="Z32351" t="str">
        <f t="shared" si="505"/>
        <v/>
      </c>
    </row>
    <row r="32352" spans="26:26" x14ac:dyDescent="0.2">
      <c r="Z32352" t="str">
        <f t="shared" si="505"/>
        <v/>
      </c>
    </row>
    <row r="32353" spans="26:26" x14ac:dyDescent="0.2">
      <c r="Z32353" t="str">
        <f t="shared" si="505"/>
        <v/>
      </c>
    </row>
    <row r="32354" spans="26:26" x14ac:dyDescent="0.2">
      <c r="Z32354" t="str">
        <f t="shared" si="505"/>
        <v/>
      </c>
    </row>
    <row r="32355" spans="26:26" x14ac:dyDescent="0.2">
      <c r="Z32355" t="str">
        <f t="shared" si="505"/>
        <v/>
      </c>
    </row>
    <row r="32356" spans="26:26" x14ac:dyDescent="0.2">
      <c r="Z32356" t="str">
        <f t="shared" si="505"/>
        <v/>
      </c>
    </row>
    <row r="32357" spans="26:26" x14ac:dyDescent="0.2">
      <c r="Z32357" t="str">
        <f t="shared" si="505"/>
        <v/>
      </c>
    </row>
    <row r="32358" spans="26:26" x14ac:dyDescent="0.2">
      <c r="Z32358" t="str">
        <f t="shared" si="505"/>
        <v/>
      </c>
    </row>
    <row r="32359" spans="26:26" x14ac:dyDescent="0.2">
      <c r="Z32359" t="str">
        <f t="shared" si="505"/>
        <v/>
      </c>
    </row>
    <row r="32360" spans="26:26" x14ac:dyDescent="0.2">
      <c r="Z32360" t="str">
        <f t="shared" si="505"/>
        <v/>
      </c>
    </row>
    <row r="32361" spans="26:26" x14ac:dyDescent="0.2">
      <c r="Z32361" t="str">
        <f t="shared" si="505"/>
        <v/>
      </c>
    </row>
    <row r="32362" spans="26:26" x14ac:dyDescent="0.2">
      <c r="Z32362" t="str">
        <f t="shared" si="505"/>
        <v/>
      </c>
    </row>
    <row r="32363" spans="26:26" x14ac:dyDescent="0.2">
      <c r="Z32363" t="str">
        <f t="shared" si="505"/>
        <v/>
      </c>
    </row>
    <row r="32364" spans="26:26" x14ac:dyDescent="0.2">
      <c r="Z32364" t="str">
        <f t="shared" si="505"/>
        <v/>
      </c>
    </row>
    <row r="32365" spans="26:26" x14ac:dyDescent="0.2">
      <c r="Z32365" t="str">
        <f t="shared" si="505"/>
        <v/>
      </c>
    </row>
    <row r="32366" spans="26:26" x14ac:dyDescent="0.2">
      <c r="Z32366" t="str">
        <f t="shared" si="505"/>
        <v/>
      </c>
    </row>
    <row r="32367" spans="26:26" x14ac:dyDescent="0.2">
      <c r="Z32367" t="str">
        <f t="shared" si="505"/>
        <v/>
      </c>
    </row>
    <row r="32368" spans="26:26" x14ac:dyDescent="0.2">
      <c r="Z32368" t="str">
        <f t="shared" si="505"/>
        <v/>
      </c>
    </row>
    <row r="32369" spans="26:26" x14ac:dyDescent="0.2">
      <c r="Z32369" t="str">
        <f t="shared" si="505"/>
        <v/>
      </c>
    </row>
    <row r="32370" spans="26:26" x14ac:dyDescent="0.2">
      <c r="Z32370" t="str">
        <f t="shared" si="505"/>
        <v/>
      </c>
    </row>
    <row r="32371" spans="26:26" x14ac:dyDescent="0.2">
      <c r="Z32371" t="str">
        <f t="shared" si="505"/>
        <v/>
      </c>
    </row>
    <row r="32372" spans="26:26" x14ac:dyDescent="0.2">
      <c r="Z32372" t="str">
        <f t="shared" si="505"/>
        <v/>
      </c>
    </row>
    <row r="32373" spans="26:26" x14ac:dyDescent="0.2">
      <c r="Z32373" t="str">
        <f t="shared" si="505"/>
        <v/>
      </c>
    </row>
    <row r="32374" spans="26:26" x14ac:dyDescent="0.2">
      <c r="Z32374" t="str">
        <f t="shared" si="505"/>
        <v/>
      </c>
    </row>
    <row r="32375" spans="26:26" x14ac:dyDescent="0.2">
      <c r="Z32375" t="str">
        <f t="shared" si="505"/>
        <v/>
      </c>
    </row>
    <row r="32376" spans="26:26" x14ac:dyDescent="0.2">
      <c r="Z32376" t="str">
        <f t="shared" si="505"/>
        <v/>
      </c>
    </row>
    <row r="32377" spans="26:26" x14ac:dyDescent="0.2">
      <c r="Z32377" t="str">
        <f t="shared" si="505"/>
        <v/>
      </c>
    </row>
    <row r="32378" spans="26:26" x14ac:dyDescent="0.2">
      <c r="Z32378" t="str">
        <f t="shared" si="505"/>
        <v/>
      </c>
    </row>
    <row r="32379" spans="26:26" x14ac:dyDescent="0.2">
      <c r="Z32379" t="str">
        <f t="shared" si="505"/>
        <v/>
      </c>
    </row>
    <row r="32380" spans="26:26" x14ac:dyDescent="0.2">
      <c r="Z32380" t="str">
        <f t="shared" si="505"/>
        <v/>
      </c>
    </row>
    <row r="32381" spans="26:26" x14ac:dyDescent="0.2">
      <c r="Z32381" t="str">
        <f t="shared" si="505"/>
        <v/>
      </c>
    </row>
    <row r="32382" spans="26:26" x14ac:dyDescent="0.2">
      <c r="Z32382" t="str">
        <f t="shared" si="505"/>
        <v/>
      </c>
    </row>
    <row r="32383" spans="26:26" x14ac:dyDescent="0.2">
      <c r="Z32383" t="str">
        <f t="shared" si="505"/>
        <v/>
      </c>
    </row>
    <row r="32384" spans="26:26" x14ac:dyDescent="0.2">
      <c r="Z32384" t="str">
        <f t="shared" si="505"/>
        <v/>
      </c>
    </row>
    <row r="32385" spans="26:26" x14ac:dyDescent="0.2">
      <c r="Z32385" t="str">
        <f t="shared" si="505"/>
        <v/>
      </c>
    </row>
    <row r="32386" spans="26:26" x14ac:dyDescent="0.2">
      <c r="Z32386" t="str">
        <f t="shared" si="505"/>
        <v/>
      </c>
    </row>
    <row r="32387" spans="26:26" x14ac:dyDescent="0.2">
      <c r="Z32387" t="str">
        <f t="shared" ref="Z32387:Z32450" si="506">IF(K32387="","",IFERROR(VALUE(TRIM(MID(K32387,FIND(CHAR(167),SUBSTITUTE(K32387,"-",CHAR(167),LEN(K32387)-LEN(SUBSTITUTE(K32387,"-",""))))+1,100))),K32387))</f>
        <v/>
      </c>
    </row>
    <row r="32388" spans="26:26" x14ac:dyDescent="0.2">
      <c r="Z32388" t="str">
        <f t="shared" si="506"/>
        <v/>
      </c>
    </row>
    <row r="32389" spans="26:26" x14ac:dyDescent="0.2">
      <c r="Z32389" t="str">
        <f t="shared" si="506"/>
        <v/>
      </c>
    </row>
    <row r="32390" spans="26:26" x14ac:dyDescent="0.2">
      <c r="Z32390" t="str">
        <f t="shared" si="506"/>
        <v/>
      </c>
    </row>
    <row r="32391" spans="26:26" x14ac:dyDescent="0.2">
      <c r="Z32391" t="str">
        <f t="shared" si="506"/>
        <v/>
      </c>
    </row>
    <row r="32392" spans="26:26" x14ac:dyDescent="0.2">
      <c r="Z32392" t="str">
        <f t="shared" si="506"/>
        <v/>
      </c>
    </row>
    <row r="32393" spans="26:26" x14ac:dyDescent="0.2">
      <c r="Z32393" t="str">
        <f t="shared" si="506"/>
        <v/>
      </c>
    </row>
    <row r="32394" spans="26:26" x14ac:dyDescent="0.2">
      <c r="Z32394" t="str">
        <f t="shared" si="506"/>
        <v/>
      </c>
    </row>
    <row r="32395" spans="26:26" x14ac:dyDescent="0.2">
      <c r="Z32395" t="str">
        <f t="shared" si="506"/>
        <v/>
      </c>
    </row>
    <row r="32396" spans="26:26" x14ac:dyDescent="0.2">
      <c r="Z32396" t="str">
        <f t="shared" si="506"/>
        <v/>
      </c>
    </row>
    <row r="32397" spans="26:26" x14ac:dyDescent="0.2">
      <c r="Z32397" t="str">
        <f t="shared" si="506"/>
        <v/>
      </c>
    </row>
    <row r="32398" spans="26:26" x14ac:dyDescent="0.2">
      <c r="Z32398" t="str">
        <f t="shared" si="506"/>
        <v/>
      </c>
    </row>
    <row r="32399" spans="26:26" x14ac:dyDescent="0.2">
      <c r="Z32399" t="str">
        <f t="shared" si="506"/>
        <v/>
      </c>
    </row>
    <row r="32400" spans="26:26" x14ac:dyDescent="0.2">
      <c r="Z32400" t="str">
        <f t="shared" si="506"/>
        <v/>
      </c>
    </row>
    <row r="32401" spans="26:26" x14ac:dyDescent="0.2">
      <c r="Z32401" t="str">
        <f t="shared" si="506"/>
        <v/>
      </c>
    </row>
    <row r="32402" spans="26:26" x14ac:dyDescent="0.2">
      <c r="Z32402" t="str">
        <f t="shared" si="506"/>
        <v/>
      </c>
    </row>
    <row r="32403" spans="26:26" x14ac:dyDescent="0.2">
      <c r="Z32403" t="str">
        <f t="shared" si="506"/>
        <v/>
      </c>
    </row>
    <row r="32404" spans="26:26" x14ac:dyDescent="0.2">
      <c r="Z32404" t="str">
        <f t="shared" si="506"/>
        <v/>
      </c>
    </row>
    <row r="32405" spans="26:26" x14ac:dyDescent="0.2">
      <c r="Z32405" t="str">
        <f t="shared" si="506"/>
        <v/>
      </c>
    </row>
    <row r="32406" spans="26:26" x14ac:dyDescent="0.2">
      <c r="Z32406" t="str">
        <f t="shared" si="506"/>
        <v/>
      </c>
    </row>
    <row r="32407" spans="26:26" x14ac:dyDescent="0.2">
      <c r="Z32407" t="str">
        <f t="shared" si="506"/>
        <v/>
      </c>
    </row>
    <row r="32408" spans="26:26" x14ac:dyDescent="0.2">
      <c r="Z32408" t="str">
        <f t="shared" si="506"/>
        <v/>
      </c>
    </row>
    <row r="32409" spans="26:26" x14ac:dyDescent="0.2">
      <c r="Z32409" t="str">
        <f t="shared" si="506"/>
        <v/>
      </c>
    </row>
    <row r="32410" spans="26:26" x14ac:dyDescent="0.2">
      <c r="Z32410" t="str">
        <f t="shared" si="506"/>
        <v/>
      </c>
    </row>
    <row r="32411" spans="26:26" x14ac:dyDescent="0.2">
      <c r="Z32411" t="str">
        <f t="shared" si="506"/>
        <v/>
      </c>
    </row>
    <row r="32412" spans="26:26" x14ac:dyDescent="0.2">
      <c r="Z32412" t="str">
        <f t="shared" si="506"/>
        <v/>
      </c>
    </row>
    <row r="32413" spans="26:26" x14ac:dyDescent="0.2">
      <c r="Z32413" t="str">
        <f t="shared" si="506"/>
        <v/>
      </c>
    </row>
    <row r="32414" spans="26:26" x14ac:dyDescent="0.2">
      <c r="Z32414" t="str">
        <f t="shared" si="506"/>
        <v/>
      </c>
    </row>
    <row r="32415" spans="26:26" x14ac:dyDescent="0.2">
      <c r="Z32415" t="str">
        <f t="shared" si="506"/>
        <v/>
      </c>
    </row>
    <row r="32416" spans="26:26" x14ac:dyDescent="0.2">
      <c r="Z32416" t="str">
        <f t="shared" si="506"/>
        <v/>
      </c>
    </row>
    <row r="32417" spans="26:26" x14ac:dyDescent="0.2">
      <c r="Z32417" t="str">
        <f t="shared" si="506"/>
        <v/>
      </c>
    </row>
    <row r="32418" spans="26:26" x14ac:dyDescent="0.2">
      <c r="Z32418" t="str">
        <f t="shared" si="506"/>
        <v/>
      </c>
    </row>
    <row r="32419" spans="26:26" x14ac:dyDescent="0.2">
      <c r="Z32419" t="str">
        <f t="shared" si="506"/>
        <v/>
      </c>
    </row>
    <row r="32420" spans="26:26" x14ac:dyDescent="0.2">
      <c r="Z32420" t="str">
        <f t="shared" si="506"/>
        <v/>
      </c>
    </row>
    <row r="32421" spans="26:26" x14ac:dyDescent="0.2">
      <c r="Z32421" t="str">
        <f t="shared" si="506"/>
        <v/>
      </c>
    </row>
    <row r="32422" spans="26:26" x14ac:dyDescent="0.2">
      <c r="Z32422" t="str">
        <f t="shared" si="506"/>
        <v/>
      </c>
    </row>
    <row r="32423" spans="26:26" x14ac:dyDescent="0.2">
      <c r="Z32423" t="str">
        <f t="shared" si="506"/>
        <v/>
      </c>
    </row>
    <row r="32424" spans="26:26" x14ac:dyDescent="0.2">
      <c r="Z32424" t="str">
        <f t="shared" si="506"/>
        <v/>
      </c>
    </row>
    <row r="32425" spans="26:26" x14ac:dyDescent="0.2">
      <c r="Z32425" t="str">
        <f t="shared" si="506"/>
        <v/>
      </c>
    </row>
    <row r="32426" spans="26:26" x14ac:dyDescent="0.2">
      <c r="Z32426" t="str">
        <f t="shared" si="506"/>
        <v/>
      </c>
    </row>
    <row r="32427" spans="26:26" x14ac:dyDescent="0.2">
      <c r="Z32427" t="str">
        <f t="shared" si="506"/>
        <v/>
      </c>
    </row>
    <row r="32428" spans="26:26" x14ac:dyDescent="0.2">
      <c r="Z32428" t="str">
        <f t="shared" si="506"/>
        <v/>
      </c>
    </row>
    <row r="32429" spans="26:26" x14ac:dyDescent="0.2">
      <c r="Z32429" t="str">
        <f t="shared" si="506"/>
        <v/>
      </c>
    </row>
    <row r="32430" spans="26:26" x14ac:dyDescent="0.2">
      <c r="Z32430" t="str">
        <f t="shared" si="506"/>
        <v/>
      </c>
    </row>
    <row r="32431" spans="26:26" x14ac:dyDescent="0.2">
      <c r="Z32431" t="str">
        <f t="shared" si="506"/>
        <v/>
      </c>
    </row>
    <row r="32432" spans="26:26" x14ac:dyDescent="0.2">
      <c r="Z32432" t="str">
        <f t="shared" si="506"/>
        <v/>
      </c>
    </row>
    <row r="32433" spans="26:26" x14ac:dyDescent="0.2">
      <c r="Z32433" t="str">
        <f t="shared" si="506"/>
        <v/>
      </c>
    </row>
    <row r="32434" spans="26:26" x14ac:dyDescent="0.2">
      <c r="Z32434" t="str">
        <f t="shared" si="506"/>
        <v/>
      </c>
    </row>
    <row r="32435" spans="26:26" x14ac:dyDescent="0.2">
      <c r="Z32435" t="str">
        <f t="shared" si="506"/>
        <v/>
      </c>
    </row>
    <row r="32436" spans="26:26" x14ac:dyDescent="0.2">
      <c r="Z32436" t="str">
        <f t="shared" si="506"/>
        <v/>
      </c>
    </row>
    <row r="32437" spans="26:26" x14ac:dyDescent="0.2">
      <c r="Z32437" t="str">
        <f t="shared" si="506"/>
        <v/>
      </c>
    </row>
    <row r="32438" spans="26:26" x14ac:dyDescent="0.2">
      <c r="Z32438" t="str">
        <f t="shared" si="506"/>
        <v/>
      </c>
    </row>
    <row r="32439" spans="26:26" x14ac:dyDescent="0.2">
      <c r="Z32439" t="str">
        <f t="shared" si="506"/>
        <v/>
      </c>
    </row>
    <row r="32440" spans="26:26" x14ac:dyDescent="0.2">
      <c r="Z32440" t="str">
        <f t="shared" si="506"/>
        <v/>
      </c>
    </row>
    <row r="32441" spans="26:26" x14ac:dyDescent="0.2">
      <c r="Z32441" t="str">
        <f t="shared" si="506"/>
        <v/>
      </c>
    </row>
    <row r="32442" spans="26:26" x14ac:dyDescent="0.2">
      <c r="Z32442" t="str">
        <f t="shared" si="506"/>
        <v/>
      </c>
    </row>
    <row r="32443" spans="26:26" x14ac:dyDescent="0.2">
      <c r="Z32443" t="str">
        <f t="shared" si="506"/>
        <v/>
      </c>
    </row>
    <row r="32444" spans="26:26" x14ac:dyDescent="0.2">
      <c r="Z32444" t="str">
        <f t="shared" si="506"/>
        <v/>
      </c>
    </row>
    <row r="32445" spans="26:26" x14ac:dyDescent="0.2">
      <c r="Z32445" t="str">
        <f t="shared" si="506"/>
        <v/>
      </c>
    </row>
    <row r="32446" spans="26:26" x14ac:dyDescent="0.2">
      <c r="Z32446" t="str">
        <f t="shared" si="506"/>
        <v/>
      </c>
    </row>
    <row r="32447" spans="26:26" x14ac:dyDescent="0.2">
      <c r="Z32447" t="str">
        <f t="shared" si="506"/>
        <v/>
      </c>
    </row>
    <row r="32448" spans="26:26" x14ac:dyDescent="0.2">
      <c r="Z32448" t="str">
        <f t="shared" si="506"/>
        <v/>
      </c>
    </row>
    <row r="32449" spans="26:26" x14ac:dyDescent="0.2">
      <c r="Z32449" t="str">
        <f t="shared" si="506"/>
        <v/>
      </c>
    </row>
    <row r="32450" spans="26:26" x14ac:dyDescent="0.2">
      <c r="Z32450" t="str">
        <f t="shared" si="506"/>
        <v/>
      </c>
    </row>
    <row r="32451" spans="26:26" x14ac:dyDescent="0.2">
      <c r="Z32451" t="str">
        <f t="shared" ref="Z32451:Z32514" si="507">IF(K32451="","",IFERROR(VALUE(TRIM(MID(K32451,FIND(CHAR(167),SUBSTITUTE(K32451,"-",CHAR(167),LEN(K32451)-LEN(SUBSTITUTE(K32451,"-",""))))+1,100))),K32451))</f>
        <v/>
      </c>
    </row>
    <row r="32452" spans="26:26" x14ac:dyDescent="0.2">
      <c r="Z32452" t="str">
        <f t="shared" si="507"/>
        <v/>
      </c>
    </row>
    <row r="32453" spans="26:26" x14ac:dyDescent="0.2">
      <c r="Z32453" t="str">
        <f t="shared" si="507"/>
        <v/>
      </c>
    </row>
    <row r="32454" spans="26:26" x14ac:dyDescent="0.2">
      <c r="Z32454" t="str">
        <f t="shared" si="507"/>
        <v/>
      </c>
    </row>
    <row r="32455" spans="26:26" x14ac:dyDescent="0.2">
      <c r="Z32455" t="str">
        <f t="shared" si="507"/>
        <v/>
      </c>
    </row>
    <row r="32456" spans="26:26" x14ac:dyDescent="0.2">
      <c r="Z32456" t="str">
        <f t="shared" si="507"/>
        <v/>
      </c>
    </row>
    <row r="32457" spans="26:26" x14ac:dyDescent="0.2">
      <c r="Z32457" t="str">
        <f t="shared" si="507"/>
        <v/>
      </c>
    </row>
    <row r="32458" spans="26:26" x14ac:dyDescent="0.2">
      <c r="Z32458" t="str">
        <f t="shared" si="507"/>
        <v/>
      </c>
    </row>
    <row r="32459" spans="26:26" x14ac:dyDescent="0.2">
      <c r="Z32459" t="str">
        <f t="shared" si="507"/>
        <v/>
      </c>
    </row>
    <row r="32460" spans="26:26" x14ac:dyDescent="0.2">
      <c r="Z32460" t="str">
        <f t="shared" si="507"/>
        <v/>
      </c>
    </row>
    <row r="32461" spans="26:26" x14ac:dyDescent="0.2">
      <c r="Z32461" t="str">
        <f t="shared" si="507"/>
        <v/>
      </c>
    </row>
    <row r="32462" spans="26:26" x14ac:dyDescent="0.2">
      <c r="Z32462" t="str">
        <f t="shared" si="507"/>
        <v/>
      </c>
    </row>
    <row r="32463" spans="26:26" x14ac:dyDescent="0.2">
      <c r="Z32463" t="str">
        <f t="shared" si="507"/>
        <v/>
      </c>
    </row>
    <row r="32464" spans="26:26" x14ac:dyDescent="0.2">
      <c r="Z32464" t="str">
        <f t="shared" si="507"/>
        <v/>
      </c>
    </row>
    <row r="32465" spans="26:26" x14ac:dyDescent="0.2">
      <c r="Z32465" t="str">
        <f t="shared" si="507"/>
        <v/>
      </c>
    </row>
    <row r="32466" spans="26:26" x14ac:dyDescent="0.2">
      <c r="Z32466" t="str">
        <f t="shared" si="507"/>
        <v/>
      </c>
    </row>
    <row r="32467" spans="26:26" x14ac:dyDescent="0.2">
      <c r="Z32467" t="str">
        <f t="shared" si="507"/>
        <v/>
      </c>
    </row>
    <row r="32468" spans="26:26" x14ac:dyDescent="0.2">
      <c r="Z32468" t="str">
        <f t="shared" si="507"/>
        <v/>
      </c>
    </row>
    <row r="32469" spans="26:26" x14ac:dyDescent="0.2">
      <c r="Z32469" t="str">
        <f t="shared" si="507"/>
        <v/>
      </c>
    </row>
    <row r="32470" spans="26:26" x14ac:dyDescent="0.2">
      <c r="Z32470" t="str">
        <f t="shared" si="507"/>
        <v/>
      </c>
    </row>
    <row r="32471" spans="26:26" x14ac:dyDescent="0.2">
      <c r="Z32471" t="str">
        <f t="shared" si="507"/>
        <v/>
      </c>
    </row>
    <row r="32472" spans="26:26" x14ac:dyDescent="0.2">
      <c r="Z32472" t="str">
        <f t="shared" si="507"/>
        <v/>
      </c>
    </row>
    <row r="32473" spans="26:26" x14ac:dyDescent="0.2">
      <c r="Z32473" t="str">
        <f t="shared" si="507"/>
        <v/>
      </c>
    </row>
    <row r="32474" spans="26:26" x14ac:dyDescent="0.2">
      <c r="Z32474" t="str">
        <f t="shared" si="507"/>
        <v/>
      </c>
    </row>
    <row r="32475" spans="26:26" x14ac:dyDescent="0.2">
      <c r="Z32475" t="str">
        <f t="shared" si="507"/>
        <v/>
      </c>
    </row>
    <row r="32476" spans="26:26" x14ac:dyDescent="0.2">
      <c r="Z32476" t="str">
        <f t="shared" si="507"/>
        <v/>
      </c>
    </row>
    <row r="32477" spans="26:26" x14ac:dyDescent="0.2">
      <c r="Z32477" t="str">
        <f t="shared" si="507"/>
        <v/>
      </c>
    </row>
    <row r="32478" spans="26:26" x14ac:dyDescent="0.2">
      <c r="Z32478" t="str">
        <f t="shared" si="507"/>
        <v/>
      </c>
    </row>
    <row r="32479" spans="26:26" x14ac:dyDescent="0.2">
      <c r="Z32479" t="str">
        <f t="shared" si="507"/>
        <v/>
      </c>
    </row>
    <row r="32480" spans="26:26" x14ac:dyDescent="0.2">
      <c r="Z32480" t="str">
        <f t="shared" si="507"/>
        <v/>
      </c>
    </row>
    <row r="32481" spans="26:26" x14ac:dyDescent="0.2">
      <c r="Z32481" t="str">
        <f t="shared" si="507"/>
        <v/>
      </c>
    </row>
    <row r="32482" spans="26:26" x14ac:dyDescent="0.2">
      <c r="Z32482" t="str">
        <f t="shared" si="507"/>
        <v/>
      </c>
    </row>
    <row r="32483" spans="26:26" x14ac:dyDescent="0.2">
      <c r="Z32483" t="str">
        <f t="shared" si="507"/>
        <v/>
      </c>
    </row>
    <row r="32484" spans="26:26" x14ac:dyDescent="0.2">
      <c r="Z32484" t="str">
        <f t="shared" si="507"/>
        <v/>
      </c>
    </row>
    <row r="32485" spans="26:26" x14ac:dyDescent="0.2">
      <c r="Z32485" t="str">
        <f t="shared" si="507"/>
        <v/>
      </c>
    </row>
    <row r="32486" spans="26:26" x14ac:dyDescent="0.2">
      <c r="Z32486" t="str">
        <f t="shared" si="507"/>
        <v/>
      </c>
    </row>
    <row r="32487" spans="26:26" x14ac:dyDescent="0.2">
      <c r="Z32487" t="str">
        <f t="shared" si="507"/>
        <v/>
      </c>
    </row>
    <row r="32488" spans="26:26" x14ac:dyDescent="0.2">
      <c r="Z32488" t="str">
        <f t="shared" si="507"/>
        <v/>
      </c>
    </row>
    <row r="32489" spans="26:26" x14ac:dyDescent="0.2">
      <c r="Z32489" t="str">
        <f t="shared" si="507"/>
        <v/>
      </c>
    </row>
    <row r="32490" spans="26:26" x14ac:dyDescent="0.2">
      <c r="Z32490" t="str">
        <f t="shared" si="507"/>
        <v/>
      </c>
    </row>
    <row r="32491" spans="26:26" x14ac:dyDescent="0.2">
      <c r="Z32491" t="str">
        <f t="shared" si="507"/>
        <v/>
      </c>
    </row>
    <row r="32492" spans="26:26" x14ac:dyDescent="0.2">
      <c r="Z32492" t="str">
        <f t="shared" si="507"/>
        <v/>
      </c>
    </row>
    <row r="32493" spans="26:26" x14ac:dyDescent="0.2">
      <c r="Z32493" t="str">
        <f t="shared" si="507"/>
        <v/>
      </c>
    </row>
    <row r="32494" spans="26:26" x14ac:dyDescent="0.2">
      <c r="Z32494" t="str">
        <f t="shared" si="507"/>
        <v/>
      </c>
    </row>
    <row r="32495" spans="26:26" x14ac:dyDescent="0.2">
      <c r="Z32495" t="str">
        <f t="shared" si="507"/>
        <v/>
      </c>
    </row>
    <row r="32496" spans="26:26" x14ac:dyDescent="0.2">
      <c r="Z32496" t="str">
        <f t="shared" si="507"/>
        <v/>
      </c>
    </row>
    <row r="32497" spans="26:26" x14ac:dyDescent="0.2">
      <c r="Z32497" t="str">
        <f t="shared" si="507"/>
        <v/>
      </c>
    </row>
    <row r="32498" spans="26:26" x14ac:dyDescent="0.2">
      <c r="Z32498" t="str">
        <f t="shared" si="507"/>
        <v/>
      </c>
    </row>
    <row r="32499" spans="26:26" x14ac:dyDescent="0.2">
      <c r="Z32499" t="str">
        <f t="shared" si="507"/>
        <v/>
      </c>
    </row>
    <row r="32500" spans="26:26" x14ac:dyDescent="0.2">
      <c r="Z32500" t="str">
        <f t="shared" si="507"/>
        <v/>
      </c>
    </row>
    <row r="32501" spans="26:26" x14ac:dyDescent="0.2">
      <c r="Z32501" t="str">
        <f t="shared" si="507"/>
        <v/>
      </c>
    </row>
    <row r="32502" spans="26:26" x14ac:dyDescent="0.2">
      <c r="Z32502" t="str">
        <f t="shared" si="507"/>
        <v/>
      </c>
    </row>
    <row r="32503" spans="26:26" x14ac:dyDescent="0.2">
      <c r="Z32503" t="str">
        <f t="shared" si="507"/>
        <v/>
      </c>
    </row>
    <row r="32504" spans="26:26" x14ac:dyDescent="0.2">
      <c r="Z32504" t="str">
        <f t="shared" si="507"/>
        <v/>
      </c>
    </row>
    <row r="32505" spans="26:26" x14ac:dyDescent="0.2">
      <c r="Z32505" t="str">
        <f t="shared" si="507"/>
        <v/>
      </c>
    </row>
    <row r="32506" spans="26:26" x14ac:dyDescent="0.2">
      <c r="Z32506" t="str">
        <f t="shared" si="507"/>
        <v/>
      </c>
    </row>
    <row r="32507" spans="26:26" x14ac:dyDescent="0.2">
      <c r="Z32507" t="str">
        <f t="shared" si="507"/>
        <v/>
      </c>
    </row>
    <row r="32508" spans="26:26" x14ac:dyDescent="0.2">
      <c r="Z32508" t="str">
        <f t="shared" si="507"/>
        <v/>
      </c>
    </row>
    <row r="32509" spans="26:26" x14ac:dyDescent="0.2">
      <c r="Z32509" t="str">
        <f t="shared" si="507"/>
        <v/>
      </c>
    </row>
    <row r="32510" spans="26:26" x14ac:dyDescent="0.2">
      <c r="Z32510" t="str">
        <f t="shared" si="507"/>
        <v/>
      </c>
    </row>
    <row r="32511" spans="26:26" x14ac:dyDescent="0.2">
      <c r="Z32511" t="str">
        <f t="shared" si="507"/>
        <v/>
      </c>
    </row>
    <row r="32512" spans="26:26" x14ac:dyDescent="0.2">
      <c r="Z32512" t="str">
        <f t="shared" si="507"/>
        <v/>
      </c>
    </row>
    <row r="32513" spans="26:26" x14ac:dyDescent="0.2">
      <c r="Z32513" t="str">
        <f t="shared" si="507"/>
        <v/>
      </c>
    </row>
    <row r="32514" spans="26:26" x14ac:dyDescent="0.2">
      <c r="Z32514" t="str">
        <f t="shared" si="507"/>
        <v/>
      </c>
    </row>
    <row r="32515" spans="26:26" x14ac:dyDescent="0.2">
      <c r="Z32515" t="str">
        <f t="shared" ref="Z32515:Z32578" si="508">IF(K32515="","",IFERROR(VALUE(TRIM(MID(K32515,FIND(CHAR(167),SUBSTITUTE(K32515,"-",CHAR(167),LEN(K32515)-LEN(SUBSTITUTE(K32515,"-",""))))+1,100))),K32515))</f>
        <v/>
      </c>
    </row>
    <row r="32516" spans="26:26" x14ac:dyDescent="0.2">
      <c r="Z32516" t="str">
        <f t="shared" si="508"/>
        <v/>
      </c>
    </row>
    <row r="32517" spans="26:26" x14ac:dyDescent="0.2">
      <c r="Z32517" t="str">
        <f t="shared" si="508"/>
        <v/>
      </c>
    </row>
    <row r="32518" spans="26:26" x14ac:dyDescent="0.2">
      <c r="Z32518" t="str">
        <f t="shared" si="508"/>
        <v/>
      </c>
    </row>
    <row r="32519" spans="26:26" x14ac:dyDescent="0.2">
      <c r="Z32519" t="str">
        <f t="shared" si="508"/>
        <v/>
      </c>
    </row>
    <row r="32520" spans="26:26" x14ac:dyDescent="0.2">
      <c r="Z32520" t="str">
        <f t="shared" si="508"/>
        <v/>
      </c>
    </row>
    <row r="32521" spans="26:26" x14ac:dyDescent="0.2">
      <c r="Z32521" t="str">
        <f t="shared" si="508"/>
        <v/>
      </c>
    </row>
    <row r="32522" spans="26:26" x14ac:dyDescent="0.2">
      <c r="Z32522" t="str">
        <f t="shared" si="508"/>
        <v/>
      </c>
    </row>
    <row r="32523" spans="26:26" x14ac:dyDescent="0.2">
      <c r="Z32523" t="str">
        <f t="shared" si="508"/>
        <v/>
      </c>
    </row>
    <row r="32524" spans="26:26" x14ac:dyDescent="0.2">
      <c r="Z32524" t="str">
        <f t="shared" si="508"/>
        <v/>
      </c>
    </row>
    <row r="32525" spans="26:26" x14ac:dyDescent="0.2">
      <c r="Z32525" t="str">
        <f t="shared" si="508"/>
        <v/>
      </c>
    </row>
    <row r="32526" spans="26:26" x14ac:dyDescent="0.2">
      <c r="Z32526" t="str">
        <f t="shared" si="508"/>
        <v/>
      </c>
    </row>
    <row r="32527" spans="26:26" x14ac:dyDescent="0.2">
      <c r="Z32527" t="str">
        <f t="shared" si="508"/>
        <v/>
      </c>
    </row>
    <row r="32528" spans="26:26" x14ac:dyDescent="0.2">
      <c r="Z32528" t="str">
        <f t="shared" si="508"/>
        <v/>
      </c>
    </row>
    <row r="32529" spans="26:26" x14ac:dyDescent="0.2">
      <c r="Z32529" t="str">
        <f t="shared" si="508"/>
        <v/>
      </c>
    </row>
    <row r="32530" spans="26:26" x14ac:dyDescent="0.2">
      <c r="Z32530" t="str">
        <f t="shared" si="508"/>
        <v/>
      </c>
    </row>
    <row r="32531" spans="26:26" x14ac:dyDescent="0.2">
      <c r="Z32531" t="str">
        <f t="shared" si="508"/>
        <v/>
      </c>
    </row>
    <row r="32532" spans="26:26" x14ac:dyDescent="0.2">
      <c r="Z32532" t="str">
        <f t="shared" si="508"/>
        <v/>
      </c>
    </row>
    <row r="32533" spans="26:26" x14ac:dyDescent="0.2">
      <c r="Z32533" t="str">
        <f t="shared" si="508"/>
        <v/>
      </c>
    </row>
    <row r="32534" spans="26:26" x14ac:dyDescent="0.2">
      <c r="Z32534" t="str">
        <f t="shared" si="508"/>
        <v/>
      </c>
    </row>
    <row r="32535" spans="26:26" x14ac:dyDescent="0.2">
      <c r="Z32535" t="str">
        <f t="shared" si="508"/>
        <v/>
      </c>
    </row>
    <row r="32536" spans="26:26" x14ac:dyDescent="0.2">
      <c r="Z32536" t="str">
        <f t="shared" si="508"/>
        <v/>
      </c>
    </row>
    <row r="32537" spans="26:26" x14ac:dyDescent="0.2">
      <c r="Z32537" t="str">
        <f t="shared" si="508"/>
        <v/>
      </c>
    </row>
    <row r="32538" spans="26:26" x14ac:dyDescent="0.2">
      <c r="Z32538" t="str">
        <f t="shared" si="508"/>
        <v/>
      </c>
    </row>
    <row r="32539" spans="26:26" x14ac:dyDescent="0.2">
      <c r="Z32539" t="str">
        <f t="shared" si="508"/>
        <v/>
      </c>
    </row>
    <row r="32540" spans="26:26" x14ac:dyDescent="0.2">
      <c r="Z32540" t="str">
        <f t="shared" si="508"/>
        <v/>
      </c>
    </row>
    <row r="32541" spans="26:26" x14ac:dyDescent="0.2">
      <c r="Z32541" t="str">
        <f t="shared" si="508"/>
        <v/>
      </c>
    </row>
    <row r="32542" spans="26:26" x14ac:dyDescent="0.2">
      <c r="Z32542" t="str">
        <f t="shared" si="508"/>
        <v/>
      </c>
    </row>
    <row r="32543" spans="26:26" x14ac:dyDescent="0.2">
      <c r="Z32543" t="str">
        <f t="shared" si="508"/>
        <v/>
      </c>
    </row>
    <row r="32544" spans="26:26" x14ac:dyDescent="0.2">
      <c r="Z32544" t="str">
        <f t="shared" si="508"/>
        <v/>
      </c>
    </row>
    <row r="32545" spans="26:26" x14ac:dyDescent="0.2">
      <c r="Z32545" t="str">
        <f t="shared" si="508"/>
        <v/>
      </c>
    </row>
    <row r="32546" spans="26:26" x14ac:dyDescent="0.2">
      <c r="Z32546" t="str">
        <f t="shared" si="508"/>
        <v/>
      </c>
    </row>
    <row r="32547" spans="26:26" x14ac:dyDescent="0.2">
      <c r="Z32547" t="str">
        <f t="shared" si="508"/>
        <v/>
      </c>
    </row>
    <row r="32548" spans="26:26" x14ac:dyDescent="0.2">
      <c r="Z32548" t="str">
        <f t="shared" si="508"/>
        <v/>
      </c>
    </row>
    <row r="32549" spans="26:26" x14ac:dyDescent="0.2">
      <c r="Z32549" t="str">
        <f t="shared" si="508"/>
        <v/>
      </c>
    </row>
    <row r="32550" spans="26:26" x14ac:dyDescent="0.2">
      <c r="Z32550" t="str">
        <f t="shared" si="508"/>
        <v/>
      </c>
    </row>
    <row r="32551" spans="26:26" x14ac:dyDescent="0.2">
      <c r="Z32551" t="str">
        <f t="shared" si="508"/>
        <v/>
      </c>
    </row>
    <row r="32552" spans="26:26" x14ac:dyDescent="0.2">
      <c r="Z32552" t="str">
        <f t="shared" si="508"/>
        <v/>
      </c>
    </row>
    <row r="32553" spans="26:26" x14ac:dyDescent="0.2">
      <c r="Z32553" t="str">
        <f t="shared" si="508"/>
        <v/>
      </c>
    </row>
    <row r="32554" spans="26:26" x14ac:dyDescent="0.2">
      <c r="Z32554" t="str">
        <f t="shared" si="508"/>
        <v/>
      </c>
    </row>
    <row r="32555" spans="26:26" x14ac:dyDescent="0.2">
      <c r="Z32555" t="str">
        <f t="shared" si="508"/>
        <v/>
      </c>
    </row>
    <row r="32556" spans="26:26" x14ac:dyDescent="0.2">
      <c r="Z32556" t="str">
        <f t="shared" si="508"/>
        <v/>
      </c>
    </row>
    <row r="32557" spans="26:26" x14ac:dyDescent="0.2">
      <c r="Z32557" t="str">
        <f t="shared" si="508"/>
        <v/>
      </c>
    </row>
    <row r="32558" spans="26:26" x14ac:dyDescent="0.2">
      <c r="Z32558" t="str">
        <f t="shared" si="508"/>
        <v/>
      </c>
    </row>
    <row r="32559" spans="26:26" x14ac:dyDescent="0.2">
      <c r="Z32559" t="str">
        <f t="shared" si="508"/>
        <v/>
      </c>
    </row>
    <row r="32560" spans="26:26" x14ac:dyDescent="0.2">
      <c r="Z32560" t="str">
        <f t="shared" si="508"/>
        <v/>
      </c>
    </row>
    <row r="32561" spans="26:26" x14ac:dyDescent="0.2">
      <c r="Z32561" t="str">
        <f t="shared" si="508"/>
        <v/>
      </c>
    </row>
    <row r="32562" spans="26:26" x14ac:dyDescent="0.2">
      <c r="Z32562" t="str">
        <f t="shared" si="508"/>
        <v/>
      </c>
    </row>
    <row r="32563" spans="26:26" x14ac:dyDescent="0.2">
      <c r="Z32563" t="str">
        <f t="shared" si="508"/>
        <v/>
      </c>
    </row>
    <row r="32564" spans="26:26" x14ac:dyDescent="0.2">
      <c r="Z32564" t="str">
        <f t="shared" si="508"/>
        <v/>
      </c>
    </row>
    <row r="32565" spans="26:26" x14ac:dyDescent="0.2">
      <c r="Z32565" t="str">
        <f t="shared" si="508"/>
        <v/>
      </c>
    </row>
    <row r="32566" spans="26:26" x14ac:dyDescent="0.2">
      <c r="Z32566" t="str">
        <f t="shared" si="508"/>
        <v/>
      </c>
    </row>
    <row r="32567" spans="26:26" x14ac:dyDescent="0.2">
      <c r="Z32567" t="str">
        <f t="shared" si="508"/>
        <v/>
      </c>
    </row>
    <row r="32568" spans="26:26" x14ac:dyDescent="0.2">
      <c r="Z32568" t="str">
        <f t="shared" si="508"/>
        <v/>
      </c>
    </row>
    <row r="32569" spans="26:26" x14ac:dyDescent="0.2">
      <c r="Z32569" t="str">
        <f t="shared" si="508"/>
        <v/>
      </c>
    </row>
    <row r="32570" spans="26:26" x14ac:dyDescent="0.2">
      <c r="Z32570" t="str">
        <f t="shared" si="508"/>
        <v/>
      </c>
    </row>
    <row r="32571" spans="26:26" x14ac:dyDescent="0.2">
      <c r="Z32571" t="str">
        <f t="shared" si="508"/>
        <v/>
      </c>
    </row>
    <row r="32572" spans="26:26" x14ac:dyDescent="0.2">
      <c r="Z32572" t="str">
        <f t="shared" si="508"/>
        <v/>
      </c>
    </row>
    <row r="32573" spans="26:26" x14ac:dyDescent="0.2">
      <c r="Z32573" t="str">
        <f t="shared" si="508"/>
        <v/>
      </c>
    </row>
    <row r="32574" spans="26:26" x14ac:dyDescent="0.2">
      <c r="Z32574" t="str">
        <f t="shared" si="508"/>
        <v/>
      </c>
    </row>
    <row r="32575" spans="26:26" x14ac:dyDescent="0.2">
      <c r="Z32575" t="str">
        <f t="shared" si="508"/>
        <v/>
      </c>
    </row>
    <row r="32576" spans="26:26" x14ac:dyDescent="0.2">
      <c r="Z32576" t="str">
        <f t="shared" si="508"/>
        <v/>
      </c>
    </row>
    <row r="32577" spans="26:26" x14ac:dyDescent="0.2">
      <c r="Z32577" t="str">
        <f t="shared" si="508"/>
        <v/>
      </c>
    </row>
    <row r="32578" spans="26:26" x14ac:dyDescent="0.2">
      <c r="Z32578" t="str">
        <f t="shared" si="508"/>
        <v/>
      </c>
    </row>
    <row r="32579" spans="26:26" x14ac:dyDescent="0.2">
      <c r="Z32579" t="str">
        <f t="shared" ref="Z32579:Z32642" si="509">IF(K32579="","",IFERROR(VALUE(TRIM(MID(K32579,FIND(CHAR(167),SUBSTITUTE(K32579,"-",CHAR(167),LEN(K32579)-LEN(SUBSTITUTE(K32579,"-",""))))+1,100))),K32579))</f>
        <v/>
      </c>
    </row>
    <row r="32580" spans="26:26" x14ac:dyDescent="0.2">
      <c r="Z32580" t="str">
        <f t="shared" si="509"/>
        <v/>
      </c>
    </row>
    <row r="32581" spans="26:26" x14ac:dyDescent="0.2">
      <c r="Z32581" t="str">
        <f t="shared" si="509"/>
        <v/>
      </c>
    </row>
    <row r="32582" spans="26:26" x14ac:dyDescent="0.2">
      <c r="Z32582" t="str">
        <f t="shared" si="509"/>
        <v/>
      </c>
    </row>
    <row r="32583" spans="26:26" x14ac:dyDescent="0.2">
      <c r="Z32583" t="str">
        <f t="shared" si="509"/>
        <v/>
      </c>
    </row>
    <row r="32584" spans="26:26" x14ac:dyDescent="0.2">
      <c r="Z32584" t="str">
        <f t="shared" si="509"/>
        <v/>
      </c>
    </row>
    <row r="32585" spans="26:26" x14ac:dyDescent="0.2">
      <c r="Z32585" t="str">
        <f t="shared" si="509"/>
        <v/>
      </c>
    </row>
    <row r="32586" spans="26:26" x14ac:dyDescent="0.2">
      <c r="Z32586" t="str">
        <f t="shared" si="509"/>
        <v/>
      </c>
    </row>
    <row r="32587" spans="26:26" x14ac:dyDescent="0.2">
      <c r="Z32587" t="str">
        <f t="shared" si="509"/>
        <v/>
      </c>
    </row>
    <row r="32588" spans="26:26" x14ac:dyDescent="0.2">
      <c r="Z32588" t="str">
        <f t="shared" si="509"/>
        <v/>
      </c>
    </row>
    <row r="32589" spans="26:26" x14ac:dyDescent="0.2">
      <c r="Z32589" t="str">
        <f t="shared" si="509"/>
        <v/>
      </c>
    </row>
    <row r="32590" spans="26:26" x14ac:dyDescent="0.2">
      <c r="Z32590" t="str">
        <f t="shared" si="509"/>
        <v/>
      </c>
    </row>
    <row r="32591" spans="26:26" x14ac:dyDescent="0.2">
      <c r="Z32591" t="str">
        <f t="shared" si="509"/>
        <v/>
      </c>
    </row>
    <row r="32592" spans="26:26" x14ac:dyDescent="0.2">
      <c r="Z32592" t="str">
        <f t="shared" si="509"/>
        <v/>
      </c>
    </row>
    <row r="32593" spans="26:26" x14ac:dyDescent="0.2">
      <c r="Z32593" t="str">
        <f t="shared" si="509"/>
        <v/>
      </c>
    </row>
    <row r="32594" spans="26:26" x14ac:dyDescent="0.2">
      <c r="Z32594" t="str">
        <f t="shared" si="509"/>
        <v/>
      </c>
    </row>
    <row r="32595" spans="26:26" x14ac:dyDescent="0.2">
      <c r="Z32595" t="str">
        <f t="shared" si="509"/>
        <v/>
      </c>
    </row>
    <row r="32596" spans="26:26" x14ac:dyDescent="0.2">
      <c r="Z32596" t="str">
        <f t="shared" si="509"/>
        <v/>
      </c>
    </row>
    <row r="32597" spans="26:26" x14ac:dyDescent="0.2">
      <c r="Z32597" t="str">
        <f t="shared" si="509"/>
        <v/>
      </c>
    </row>
    <row r="32598" spans="26:26" x14ac:dyDescent="0.2">
      <c r="Z32598" t="str">
        <f t="shared" si="509"/>
        <v/>
      </c>
    </row>
    <row r="32599" spans="26:26" x14ac:dyDescent="0.2">
      <c r="Z32599" t="str">
        <f t="shared" si="509"/>
        <v/>
      </c>
    </row>
    <row r="32600" spans="26:26" x14ac:dyDescent="0.2">
      <c r="Z32600" t="str">
        <f t="shared" si="509"/>
        <v/>
      </c>
    </row>
    <row r="32601" spans="26:26" x14ac:dyDescent="0.2">
      <c r="Z32601" t="str">
        <f t="shared" si="509"/>
        <v/>
      </c>
    </row>
    <row r="32602" spans="26:26" x14ac:dyDescent="0.2">
      <c r="Z32602" t="str">
        <f t="shared" si="509"/>
        <v/>
      </c>
    </row>
    <row r="32603" spans="26:26" x14ac:dyDescent="0.2">
      <c r="Z32603" t="str">
        <f t="shared" si="509"/>
        <v/>
      </c>
    </row>
    <row r="32604" spans="26:26" x14ac:dyDescent="0.2">
      <c r="Z32604" t="str">
        <f t="shared" si="509"/>
        <v/>
      </c>
    </row>
    <row r="32605" spans="26:26" x14ac:dyDescent="0.2">
      <c r="Z32605" t="str">
        <f t="shared" si="509"/>
        <v/>
      </c>
    </row>
    <row r="32606" spans="26:26" x14ac:dyDescent="0.2">
      <c r="Z32606" t="str">
        <f t="shared" si="509"/>
        <v/>
      </c>
    </row>
    <row r="32607" spans="26:26" x14ac:dyDescent="0.2">
      <c r="Z32607" t="str">
        <f t="shared" si="509"/>
        <v/>
      </c>
    </row>
    <row r="32608" spans="26:26" x14ac:dyDescent="0.2">
      <c r="Z32608" t="str">
        <f t="shared" si="509"/>
        <v/>
      </c>
    </row>
    <row r="32609" spans="26:26" x14ac:dyDescent="0.2">
      <c r="Z32609" t="str">
        <f t="shared" si="509"/>
        <v/>
      </c>
    </row>
    <row r="32610" spans="26:26" x14ac:dyDescent="0.2">
      <c r="Z32610" t="str">
        <f t="shared" si="509"/>
        <v/>
      </c>
    </row>
    <row r="32611" spans="26:26" x14ac:dyDescent="0.2">
      <c r="Z32611" t="str">
        <f t="shared" si="509"/>
        <v/>
      </c>
    </row>
    <row r="32612" spans="26:26" x14ac:dyDescent="0.2">
      <c r="Z32612" t="str">
        <f t="shared" si="509"/>
        <v/>
      </c>
    </row>
    <row r="32613" spans="26:26" x14ac:dyDescent="0.2">
      <c r="Z32613" t="str">
        <f t="shared" si="509"/>
        <v/>
      </c>
    </row>
    <row r="32614" spans="26:26" x14ac:dyDescent="0.2">
      <c r="Z32614" t="str">
        <f t="shared" si="509"/>
        <v/>
      </c>
    </row>
    <row r="32615" spans="26:26" x14ac:dyDescent="0.2">
      <c r="Z32615" t="str">
        <f t="shared" si="509"/>
        <v/>
      </c>
    </row>
    <row r="32616" spans="26:26" x14ac:dyDescent="0.2">
      <c r="Z32616" t="str">
        <f t="shared" si="509"/>
        <v/>
      </c>
    </row>
    <row r="32617" spans="26:26" x14ac:dyDescent="0.2">
      <c r="Z32617" t="str">
        <f t="shared" si="509"/>
        <v/>
      </c>
    </row>
    <row r="32618" spans="26:26" x14ac:dyDescent="0.2">
      <c r="Z32618" t="str">
        <f t="shared" si="509"/>
        <v/>
      </c>
    </row>
    <row r="32619" spans="26:26" x14ac:dyDescent="0.2">
      <c r="Z32619" t="str">
        <f t="shared" si="509"/>
        <v/>
      </c>
    </row>
    <row r="32620" spans="26:26" x14ac:dyDescent="0.2">
      <c r="Z32620" t="str">
        <f t="shared" si="509"/>
        <v/>
      </c>
    </row>
    <row r="32621" spans="26:26" x14ac:dyDescent="0.2">
      <c r="Z32621" t="str">
        <f t="shared" si="509"/>
        <v/>
      </c>
    </row>
    <row r="32622" spans="26:26" x14ac:dyDescent="0.2">
      <c r="Z32622" t="str">
        <f t="shared" si="509"/>
        <v/>
      </c>
    </row>
    <row r="32623" spans="26:26" x14ac:dyDescent="0.2">
      <c r="Z32623" t="str">
        <f t="shared" si="509"/>
        <v/>
      </c>
    </row>
    <row r="32624" spans="26:26" x14ac:dyDescent="0.2">
      <c r="Z32624" t="str">
        <f t="shared" si="509"/>
        <v/>
      </c>
    </row>
    <row r="32625" spans="26:26" x14ac:dyDescent="0.2">
      <c r="Z32625" t="str">
        <f t="shared" si="509"/>
        <v/>
      </c>
    </row>
    <row r="32626" spans="26:26" x14ac:dyDescent="0.2">
      <c r="Z32626" t="str">
        <f t="shared" si="509"/>
        <v/>
      </c>
    </row>
    <row r="32627" spans="26:26" x14ac:dyDescent="0.2">
      <c r="Z32627" t="str">
        <f t="shared" si="509"/>
        <v/>
      </c>
    </row>
    <row r="32628" spans="26:26" x14ac:dyDescent="0.2">
      <c r="Z32628" t="str">
        <f t="shared" si="509"/>
        <v/>
      </c>
    </row>
    <row r="32629" spans="26:26" x14ac:dyDescent="0.2">
      <c r="Z32629" t="str">
        <f t="shared" si="509"/>
        <v/>
      </c>
    </row>
    <row r="32630" spans="26:26" x14ac:dyDescent="0.2">
      <c r="Z32630" t="str">
        <f t="shared" si="509"/>
        <v/>
      </c>
    </row>
    <row r="32631" spans="26:26" x14ac:dyDescent="0.2">
      <c r="Z32631" t="str">
        <f t="shared" si="509"/>
        <v/>
      </c>
    </row>
    <row r="32632" spans="26:26" x14ac:dyDescent="0.2">
      <c r="Z32632" t="str">
        <f t="shared" si="509"/>
        <v/>
      </c>
    </row>
    <row r="32633" spans="26:26" x14ac:dyDescent="0.2">
      <c r="Z32633" t="str">
        <f t="shared" si="509"/>
        <v/>
      </c>
    </row>
    <row r="32634" spans="26:26" x14ac:dyDescent="0.2">
      <c r="Z32634" t="str">
        <f t="shared" si="509"/>
        <v/>
      </c>
    </row>
    <row r="32635" spans="26:26" x14ac:dyDescent="0.2">
      <c r="Z32635" t="str">
        <f t="shared" si="509"/>
        <v/>
      </c>
    </row>
    <row r="32636" spans="26:26" x14ac:dyDescent="0.2">
      <c r="Z32636" t="str">
        <f t="shared" si="509"/>
        <v/>
      </c>
    </row>
    <row r="32637" spans="26:26" x14ac:dyDescent="0.2">
      <c r="Z32637" t="str">
        <f t="shared" si="509"/>
        <v/>
      </c>
    </row>
    <row r="32638" spans="26:26" x14ac:dyDescent="0.2">
      <c r="Z32638" t="str">
        <f t="shared" si="509"/>
        <v/>
      </c>
    </row>
    <row r="32639" spans="26:26" x14ac:dyDescent="0.2">
      <c r="Z32639" t="str">
        <f t="shared" si="509"/>
        <v/>
      </c>
    </row>
    <row r="32640" spans="26:26" x14ac:dyDescent="0.2">
      <c r="Z32640" t="str">
        <f t="shared" si="509"/>
        <v/>
      </c>
    </row>
    <row r="32641" spans="26:26" x14ac:dyDescent="0.2">
      <c r="Z32641" t="str">
        <f t="shared" si="509"/>
        <v/>
      </c>
    </row>
    <row r="32642" spans="26:26" x14ac:dyDescent="0.2">
      <c r="Z32642" t="str">
        <f t="shared" si="509"/>
        <v/>
      </c>
    </row>
    <row r="32643" spans="26:26" x14ac:dyDescent="0.2">
      <c r="Z32643" t="str">
        <f t="shared" ref="Z32643:Z32706" si="510">IF(K32643="","",IFERROR(VALUE(TRIM(MID(K32643,FIND(CHAR(167),SUBSTITUTE(K32643,"-",CHAR(167),LEN(K32643)-LEN(SUBSTITUTE(K32643,"-",""))))+1,100))),K32643))</f>
        <v/>
      </c>
    </row>
    <row r="32644" spans="26:26" x14ac:dyDescent="0.2">
      <c r="Z32644" t="str">
        <f t="shared" si="510"/>
        <v/>
      </c>
    </row>
    <row r="32645" spans="26:26" x14ac:dyDescent="0.2">
      <c r="Z32645" t="str">
        <f t="shared" si="510"/>
        <v/>
      </c>
    </row>
    <row r="32646" spans="26:26" x14ac:dyDescent="0.2">
      <c r="Z32646" t="str">
        <f t="shared" si="510"/>
        <v/>
      </c>
    </row>
    <row r="32647" spans="26:26" x14ac:dyDescent="0.2">
      <c r="Z32647" t="str">
        <f t="shared" si="510"/>
        <v/>
      </c>
    </row>
    <row r="32648" spans="26:26" x14ac:dyDescent="0.2">
      <c r="Z32648" t="str">
        <f t="shared" si="510"/>
        <v/>
      </c>
    </row>
    <row r="32649" spans="26:26" x14ac:dyDescent="0.2">
      <c r="Z32649" t="str">
        <f t="shared" si="510"/>
        <v/>
      </c>
    </row>
    <row r="32650" spans="26:26" x14ac:dyDescent="0.2">
      <c r="Z32650" t="str">
        <f t="shared" si="510"/>
        <v/>
      </c>
    </row>
    <row r="32651" spans="26:26" x14ac:dyDescent="0.2">
      <c r="Z32651" t="str">
        <f t="shared" si="510"/>
        <v/>
      </c>
    </row>
    <row r="32652" spans="26:26" x14ac:dyDescent="0.2">
      <c r="Z32652" t="str">
        <f t="shared" si="510"/>
        <v/>
      </c>
    </row>
    <row r="32653" spans="26:26" x14ac:dyDescent="0.2">
      <c r="Z32653" t="str">
        <f t="shared" si="510"/>
        <v/>
      </c>
    </row>
    <row r="32654" spans="26:26" x14ac:dyDescent="0.2">
      <c r="Z32654" t="str">
        <f t="shared" si="510"/>
        <v/>
      </c>
    </row>
    <row r="32655" spans="26:26" x14ac:dyDescent="0.2">
      <c r="Z32655" t="str">
        <f t="shared" si="510"/>
        <v/>
      </c>
    </row>
    <row r="32656" spans="26:26" x14ac:dyDescent="0.2">
      <c r="Z32656" t="str">
        <f t="shared" si="510"/>
        <v/>
      </c>
    </row>
    <row r="32657" spans="26:26" x14ac:dyDescent="0.2">
      <c r="Z32657" t="str">
        <f t="shared" si="510"/>
        <v/>
      </c>
    </row>
    <row r="32658" spans="26:26" x14ac:dyDescent="0.2">
      <c r="Z32658" t="str">
        <f t="shared" si="510"/>
        <v/>
      </c>
    </row>
    <row r="32659" spans="26:26" x14ac:dyDescent="0.2">
      <c r="Z32659" t="str">
        <f t="shared" si="510"/>
        <v/>
      </c>
    </row>
    <row r="32660" spans="26:26" x14ac:dyDescent="0.2">
      <c r="Z32660" t="str">
        <f t="shared" si="510"/>
        <v/>
      </c>
    </row>
    <row r="32661" spans="26:26" x14ac:dyDescent="0.2">
      <c r="Z32661" t="str">
        <f t="shared" si="510"/>
        <v/>
      </c>
    </row>
    <row r="32662" spans="26:26" x14ac:dyDescent="0.2">
      <c r="Z32662" t="str">
        <f t="shared" si="510"/>
        <v/>
      </c>
    </row>
    <row r="32663" spans="26:26" x14ac:dyDescent="0.2">
      <c r="Z32663" t="str">
        <f t="shared" si="510"/>
        <v/>
      </c>
    </row>
    <row r="32664" spans="26:26" x14ac:dyDescent="0.2">
      <c r="Z32664" t="str">
        <f t="shared" si="510"/>
        <v/>
      </c>
    </row>
    <row r="32665" spans="26:26" x14ac:dyDescent="0.2">
      <c r="Z32665" t="str">
        <f t="shared" si="510"/>
        <v/>
      </c>
    </row>
    <row r="32666" spans="26:26" x14ac:dyDescent="0.2">
      <c r="Z32666" t="str">
        <f t="shared" si="510"/>
        <v/>
      </c>
    </row>
    <row r="32667" spans="26:26" x14ac:dyDescent="0.2">
      <c r="Z32667" t="str">
        <f t="shared" si="510"/>
        <v/>
      </c>
    </row>
    <row r="32668" spans="26:26" x14ac:dyDescent="0.2">
      <c r="Z32668" t="str">
        <f t="shared" si="510"/>
        <v/>
      </c>
    </row>
    <row r="32669" spans="26:26" x14ac:dyDescent="0.2">
      <c r="Z32669" t="str">
        <f t="shared" si="510"/>
        <v/>
      </c>
    </row>
    <row r="32670" spans="26:26" x14ac:dyDescent="0.2">
      <c r="Z32670" t="str">
        <f t="shared" si="510"/>
        <v/>
      </c>
    </row>
    <row r="32671" spans="26:26" x14ac:dyDescent="0.2">
      <c r="Z32671" t="str">
        <f t="shared" si="510"/>
        <v/>
      </c>
    </row>
    <row r="32672" spans="26:26" x14ac:dyDescent="0.2">
      <c r="Z32672" t="str">
        <f t="shared" si="510"/>
        <v/>
      </c>
    </row>
    <row r="32673" spans="26:26" x14ac:dyDescent="0.2">
      <c r="Z32673" t="str">
        <f t="shared" si="510"/>
        <v/>
      </c>
    </row>
    <row r="32674" spans="26:26" x14ac:dyDescent="0.2">
      <c r="Z32674" t="str">
        <f t="shared" si="510"/>
        <v/>
      </c>
    </row>
    <row r="32675" spans="26:26" x14ac:dyDescent="0.2">
      <c r="Z32675" t="str">
        <f t="shared" si="510"/>
        <v/>
      </c>
    </row>
    <row r="32676" spans="26:26" x14ac:dyDescent="0.2">
      <c r="Z32676" t="str">
        <f t="shared" si="510"/>
        <v/>
      </c>
    </row>
    <row r="32677" spans="26:26" x14ac:dyDescent="0.2">
      <c r="Z32677" t="str">
        <f t="shared" si="510"/>
        <v/>
      </c>
    </row>
    <row r="32678" spans="26:26" x14ac:dyDescent="0.2">
      <c r="Z32678" t="str">
        <f t="shared" si="510"/>
        <v/>
      </c>
    </row>
    <row r="32679" spans="26:26" x14ac:dyDescent="0.2">
      <c r="Z32679" t="str">
        <f t="shared" si="510"/>
        <v/>
      </c>
    </row>
    <row r="32680" spans="26:26" x14ac:dyDescent="0.2">
      <c r="Z32680" t="str">
        <f t="shared" si="510"/>
        <v/>
      </c>
    </row>
    <row r="32681" spans="26:26" x14ac:dyDescent="0.2">
      <c r="Z32681" t="str">
        <f t="shared" si="510"/>
        <v/>
      </c>
    </row>
    <row r="32682" spans="26:26" x14ac:dyDescent="0.2">
      <c r="Z32682" t="str">
        <f t="shared" si="510"/>
        <v/>
      </c>
    </row>
    <row r="32683" spans="26:26" x14ac:dyDescent="0.2">
      <c r="Z32683" t="str">
        <f t="shared" si="510"/>
        <v/>
      </c>
    </row>
    <row r="32684" spans="26:26" x14ac:dyDescent="0.2">
      <c r="Z32684" t="str">
        <f t="shared" si="510"/>
        <v/>
      </c>
    </row>
    <row r="32685" spans="26:26" x14ac:dyDescent="0.2">
      <c r="Z32685" t="str">
        <f t="shared" si="510"/>
        <v/>
      </c>
    </row>
    <row r="32686" spans="26:26" x14ac:dyDescent="0.2">
      <c r="Z32686" t="str">
        <f t="shared" si="510"/>
        <v/>
      </c>
    </row>
    <row r="32687" spans="26:26" x14ac:dyDescent="0.2">
      <c r="Z32687" t="str">
        <f t="shared" si="510"/>
        <v/>
      </c>
    </row>
    <row r="32688" spans="26:26" x14ac:dyDescent="0.2">
      <c r="Z32688" t="str">
        <f t="shared" si="510"/>
        <v/>
      </c>
    </row>
    <row r="32689" spans="26:26" x14ac:dyDescent="0.2">
      <c r="Z32689" t="str">
        <f t="shared" si="510"/>
        <v/>
      </c>
    </row>
    <row r="32690" spans="26:26" x14ac:dyDescent="0.2">
      <c r="Z32690" t="str">
        <f t="shared" si="510"/>
        <v/>
      </c>
    </row>
    <row r="32691" spans="26:26" x14ac:dyDescent="0.2">
      <c r="Z32691" t="str">
        <f t="shared" si="510"/>
        <v/>
      </c>
    </row>
    <row r="32692" spans="26:26" x14ac:dyDescent="0.2">
      <c r="Z32692" t="str">
        <f t="shared" si="510"/>
        <v/>
      </c>
    </row>
    <row r="32693" spans="26:26" x14ac:dyDescent="0.2">
      <c r="Z32693" t="str">
        <f t="shared" si="510"/>
        <v/>
      </c>
    </row>
    <row r="32694" spans="26:26" x14ac:dyDescent="0.2">
      <c r="Z32694" t="str">
        <f t="shared" si="510"/>
        <v/>
      </c>
    </row>
    <row r="32695" spans="26:26" x14ac:dyDescent="0.2">
      <c r="Z32695" t="str">
        <f t="shared" si="510"/>
        <v/>
      </c>
    </row>
    <row r="32696" spans="26:26" x14ac:dyDescent="0.2">
      <c r="Z32696" t="str">
        <f t="shared" si="510"/>
        <v/>
      </c>
    </row>
    <row r="32697" spans="26:26" x14ac:dyDescent="0.2">
      <c r="Z32697" t="str">
        <f t="shared" si="510"/>
        <v/>
      </c>
    </row>
    <row r="32698" spans="26:26" x14ac:dyDescent="0.2">
      <c r="Z32698" t="str">
        <f t="shared" si="510"/>
        <v/>
      </c>
    </row>
    <row r="32699" spans="26:26" x14ac:dyDescent="0.2">
      <c r="Z32699" t="str">
        <f t="shared" si="510"/>
        <v/>
      </c>
    </row>
    <row r="32700" spans="26:26" x14ac:dyDescent="0.2">
      <c r="Z32700" t="str">
        <f t="shared" si="510"/>
        <v/>
      </c>
    </row>
    <row r="32701" spans="26:26" x14ac:dyDescent="0.2">
      <c r="Z32701" t="str">
        <f t="shared" si="510"/>
        <v/>
      </c>
    </row>
    <row r="32702" spans="26:26" x14ac:dyDescent="0.2">
      <c r="Z32702" t="str">
        <f t="shared" si="510"/>
        <v/>
      </c>
    </row>
    <row r="32703" spans="26:26" x14ac:dyDescent="0.2">
      <c r="Z32703" t="str">
        <f t="shared" si="510"/>
        <v/>
      </c>
    </row>
    <row r="32704" spans="26:26" x14ac:dyDescent="0.2">
      <c r="Z32704" t="str">
        <f t="shared" si="510"/>
        <v/>
      </c>
    </row>
    <row r="32705" spans="26:26" x14ac:dyDescent="0.2">
      <c r="Z32705" t="str">
        <f t="shared" si="510"/>
        <v/>
      </c>
    </row>
    <row r="32706" spans="26:26" x14ac:dyDescent="0.2">
      <c r="Z32706" t="str">
        <f t="shared" si="510"/>
        <v/>
      </c>
    </row>
    <row r="32707" spans="26:26" x14ac:dyDescent="0.2">
      <c r="Z32707" t="str">
        <f t="shared" ref="Z32707:Z32770" si="511">IF(K32707="","",IFERROR(VALUE(TRIM(MID(K32707,FIND(CHAR(167),SUBSTITUTE(K32707,"-",CHAR(167),LEN(K32707)-LEN(SUBSTITUTE(K32707,"-",""))))+1,100))),K32707))</f>
        <v/>
      </c>
    </row>
    <row r="32708" spans="26:26" x14ac:dyDescent="0.2">
      <c r="Z32708" t="str">
        <f t="shared" si="511"/>
        <v/>
      </c>
    </row>
    <row r="32709" spans="26:26" x14ac:dyDescent="0.2">
      <c r="Z32709" t="str">
        <f t="shared" si="511"/>
        <v/>
      </c>
    </row>
    <row r="32710" spans="26:26" x14ac:dyDescent="0.2">
      <c r="Z32710" t="str">
        <f t="shared" si="511"/>
        <v/>
      </c>
    </row>
    <row r="32711" spans="26:26" x14ac:dyDescent="0.2">
      <c r="Z32711" t="str">
        <f t="shared" si="511"/>
        <v/>
      </c>
    </row>
    <row r="32712" spans="26:26" x14ac:dyDescent="0.2">
      <c r="Z32712" t="str">
        <f t="shared" si="511"/>
        <v/>
      </c>
    </row>
    <row r="32713" spans="26:26" x14ac:dyDescent="0.2">
      <c r="Z32713" t="str">
        <f t="shared" si="511"/>
        <v/>
      </c>
    </row>
    <row r="32714" spans="26:26" x14ac:dyDescent="0.2">
      <c r="Z32714" t="str">
        <f t="shared" si="511"/>
        <v/>
      </c>
    </row>
    <row r="32715" spans="26:26" x14ac:dyDescent="0.2">
      <c r="Z32715" t="str">
        <f t="shared" si="511"/>
        <v/>
      </c>
    </row>
    <row r="32716" spans="26:26" x14ac:dyDescent="0.2">
      <c r="Z32716" t="str">
        <f t="shared" si="511"/>
        <v/>
      </c>
    </row>
    <row r="32717" spans="26:26" x14ac:dyDescent="0.2">
      <c r="Z32717" t="str">
        <f t="shared" si="511"/>
        <v/>
      </c>
    </row>
    <row r="32718" spans="26:26" x14ac:dyDescent="0.2">
      <c r="Z32718" t="str">
        <f t="shared" si="511"/>
        <v/>
      </c>
    </row>
    <row r="32719" spans="26:26" x14ac:dyDescent="0.2">
      <c r="Z32719" t="str">
        <f t="shared" si="511"/>
        <v/>
      </c>
    </row>
    <row r="32720" spans="26:26" x14ac:dyDescent="0.2">
      <c r="Z32720" t="str">
        <f t="shared" si="511"/>
        <v/>
      </c>
    </row>
    <row r="32721" spans="26:26" x14ac:dyDescent="0.2">
      <c r="Z32721" t="str">
        <f t="shared" si="511"/>
        <v/>
      </c>
    </row>
    <row r="32722" spans="26:26" x14ac:dyDescent="0.2">
      <c r="Z32722" t="str">
        <f t="shared" si="511"/>
        <v/>
      </c>
    </row>
    <row r="32723" spans="26:26" x14ac:dyDescent="0.2">
      <c r="Z32723" t="str">
        <f t="shared" si="511"/>
        <v/>
      </c>
    </row>
    <row r="32724" spans="26:26" x14ac:dyDescent="0.2">
      <c r="Z32724" t="str">
        <f t="shared" si="511"/>
        <v/>
      </c>
    </row>
    <row r="32725" spans="26:26" x14ac:dyDescent="0.2">
      <c r="Z32725" t="str">
        <f t="shared" si="511"/>
        <v/>
      </c>
    </row>
    <row r="32726" spans="26:26" x14ac:dyDescent="0.2">
      <c r="Z32726" t="str">
        <f t="shared" si="511"/>
        <v/>
      </c>
    </row>
    <row r="32727" spans="26:26" x14ac:dyDescent="0.2">
      <c r="Z32727" t="str">
        <f t="shared" si="511"/>
        <v/>
      </c>
    </row>
    <row r="32728" spans="26:26" x14ac:dyDescent="0.2">
      <c r="Z32728" t="str">
        <f t="shared" si="511"/>
        <v/>
      </c>
    </row>
    <row r="32729" spans="26:26" x14ac:dyDescent="0.2">
      <c r="Z32729" t="str">
        <f t="shared" si="511"/>
        <v/>
      </c>
    </row>
    <row r="32730" spans="26:26" x14ac:dyDescent="0.2">
      <c r="Z32730" t="str">
        <f t="shared" si="511"/>
        <v/>
      </c>
    </row>
    <row r="32731" spans="26:26" x14ac:dyDescent="0.2">
      <c r="Z32731" t="str">
        <f t="shared" si="511"/>
        <v/>
      </c>
    </row>
    <row r="32732" spans="26:26" x14ac:dyDescent="0.2">
      <c r="Z32732" t="str">
        <f t="shared" si="511"/>
        <v/>
      </c>
    </row>
    <row r="32733" spans="26:26" x14ac:dyDescent="0.2">
      <c r="Z32733" t="str">
        <f t="shared" si="511"/>
        <v/>
      </c>
    </row>
    <row r="32734" spans="26:26" x14ac:dyDescent="0.2">
      <c r="Z32734" t="str">
        <f t="shared" si="511"/>
        <v/>
      </c>
    </row>
    <row r="32735" spans="26:26" x14ac:dyDescent="0.2">
      <c r="Z32735" t="str">
        <f t="shared" si="511"/>
        <v/>
      </c>
    </row>
    <row r="32736" spans="26:26" x14ac:dyDescent="0.2">
      <c r="Z32736" t="str">
        <f t="shared" si="511"/>
        <v/>
      </c>
    </row>
    <row r="32737" spans="26:26" x14ac:dyDescent="0.2">
      <c r="Z32737" t="str">
        <f t="shared" si="511"/>
        <v/>
      </c>
    </row>
    <row r="32738" spans="26:26" x14ac:dyDescent="0.2">
      <c r="Z32738" t="str">
        <f t="shared" si="511"/>
        <v/>
      </c>
    </row>
    <row r="32739" spans="26:26" x14ac:dyDescent="0.2">
      <c r="Z32739" t="str">
        <f t="shared" si="511"/>
        <v/>
      </c>
    </row>
    <row r="32740" spans="26:26" x14ac:dyDescent="0.2">
      <c r="Z32740" t="str">
        <f t="shared" si="511"/>
        <v/>
      </c>
    </row>
    <row r="32741" spans="26:26" x14ac:dyDescent="0.2">
      <c r="Z32741" t="str">
        <f t="shared" si="511"/>
        <v/>
      </c>
    </row>
    <row r="32742" spans="26:26" x14ac:dyDescent="0.2">
      <c r="Z32742" t="str">
        <f t="shared" si="511"/>
        <v/>
      </c>
    </row>
    <row r="32743" spans="26:26" x14ac:dyDescent="0.2">
      <c r="Z32743" t="str">
        <f t="shared" si="511"/>
        <v/>
      </c>
    </row>
    <row r="32744" spans="26:26" x14ac:dyDescent="0.2">
      <c r="Z32744" t="str">
        <f t="shared" si="511"/>
        <v/>
      </c>
    </row>
    <row r="32745" spans="26:26" x14ac:dyDescent="0.2">
      <c r="Z32745" t="str">
        <f t="shared" si="511"/>
        <v/>
      </c>
    </row>
    <row r="32746" spans="26:26" x14ac:dyDescent="0.2">
      <c r="Z32746" t="str">
        <f t="shared" si="511"/>
        <v/>
      </c>
    </row>
    <row r="32747" spans="26:26" x14ac:dyDescent="0.2">
      <c r="Z32747" t="str">
        <f t="shared" si="511"/>
        <v/>
      </c>
    </row>
    <row r="32748" spans="26:26" x14ac:dyDescent="0.2">
      <c r="Z32748" t="str">
        <f t="shared" si="511"/>
        <v/>
      </c>
    </row>
    <row r="32749" spans="26:26" x14ac:dyDescent="0.2">
      <c r="Z32749" t="str">
        <f t="shared" si="511"/>
        <v/>
      </c>
    </row>
    <row r="32750" spans="26:26" x14ac:dyDescent="0.2">
      <c r="Z32750" t="str">
        <f t="shared" si="511"/>
        <v/>
      </c>
    </row>
    <row r="32751" spans="26:26" x14ac:dyDescent="0.2">
      <c r="Z32751" t="str">
        <f t="shared" si="511"/>
        <v/>
      </c>
    </row>
    <row r="32752" spans="26:26" x14ac:dyDescent="0.2">
      <c r="Z32752" t="str">
        <f t="shared" si="511"/>
        <v/>
      </c>
    </row>
    <row r="32753" spans="26:26" x14ac:dyDescent="0.2">
      <c r="Z32753" t="str">
        <f t="shared" si="511"/>
        <v/>
      </c>
    </row>
    <row r="32754" spans="26:26" x14ac:dyDescent="0.2">
      <c r="Z32754" t="str">
        <f t="shared" si="511"/>
        <v/>
      </c>
    </row>
    <row r="32755" spans="26:26" x14ac:dyDescent="0.2">
      <c r="Z32755" t="str">
        <f t="shared" si="511"/>
        <v/>
      </c>
    </row>
    <row r="32756" spans="26:26" x14ac:dyDescent="0.2">
      <c r="Z32756" t="str">
        <f t="shared" si="511"/>
        <v/>
      </c>
    </row>
    <row r="32757" spans="26:26" x14ac:dyDescent="0.2">
      <c r="Z32757" t="str">
        <f t="shared" si="511"/>
        <v/>
      </c>
    </row>
    <row r="32758" spans="26:26" x14ac:dyDescent="0.2">
      <c r="Z32758" t="str">
        <f t="shared" si="511"/>
        <v/>
      </c>
    </row>
    <row r="32759" spans="26:26" x14ac:dyDescent="0.2">
      <c r="Z32759" t="str">
        <f t="shared" si="511"/>
        <v/>
      </c>
    </row>
    <row r="32760" spans="26:26" x14ac:dyDescent="0.2">
      <c r="Z32760" t="str">
        <f t="shared" si="511"/>
        <v/>
      </c>
    </row>
    <row r="32761" spans="26:26" x14ac:dyDescent="0.2">
      <c r="Z32761" t="str">
        <f t="shared" si="511"/>
        <v/>
      </c>
    </row>
    <row r="32762" spans="26:26" x14ac:dyDescent="0.2">
      <c r="Z32762" t="str">
        <f t="shared" si="511"/>
        <v/>
      </c>
    </row>
    <row r="32763" spans="26:26" x14ac:dyDescent="0.2">
      <c r="Z32763" t="str">
        <f t="shared" si="511"/>
        <v/>
      </c>
    </row>
    <row r="32764" spans="26:26" x14ac:dyDescent="0.2">
      <c r="Z32764" t="str">
        <f t="shared" si="511"/>
        <v/>
      </c>
    </row>
    <row r="32765" spans="26:26" x14ac:dyDescent="0.2">
      <c r="Z32765" t="str">
        <f t="shared" si="511"/>
        <v/>
      </c>
    </row>
    <row r="32766" spans="26:26" x14ac:dyDescent="0.2">
      <c r="Z32766" t="str">
        <f t="shared" si="511"/>
        <v/>
      </c>
    </row>
    <row r="32767" spans="26:26" x14ac:dyDescent="0.2">
      <c r="Z32767" t="str">
        <f t="shared" si="511"/>
        <v/>
      </c>
    </row>
    <row r="32768" spans="26:26" x14ac:dyDescent="0.2">
      <c r="Z32768" t="str">
        <f t="shared" si="511"/>
        <v/>
      </c>
    </row>
    <row r="32769" spans="26:26" x14ac:dyDescent="0.2">
      <c r="Z32769" t="str">
        <f t="shared" si="511"/>
        <v/>
      </c>
    </row>
    <row r="32770" spans="26:26" x14ac:dyDescent="0.2">
      <c r="Z32770" t="str">
        <f t="shared" si="511"/>
        <v/>
      </c>
    </row>
    <row r="32771" spans="26:26" x14ac:dyDescent="0.2">
      <c r="Z32771" t="str">
        <f t="shared" ref="Z32771:Z32834" si="512">IF(K32771="","",IFERROR(VALUE(TRIM(MID(K32771,FIND(CHAR(167),SUBSTITUTE(K32771,"-",CHAR(167),LEN(K32771)-LEN(SUBSTITUTE(K32771,"-",""))))+1,100))),K32771))</f>
        <v/>
      </c>
    </row>
    <row r="32772" spans="26:26" x14ac:dyDescent="0.2">
      <c r="Z32772" t="str">
        <f t="shared" si="512"/>
        <v/>
      </c>
    </row>
    <row r="32773" spans="26:26" x14ac:dyDescent="0.2">
      <c r="Z32773" t="str">
        <f t="shared" si="512"/>
        <v/>
      </c>
    </row>
    <row r="32774" spans="26:26" x14ac:dyDescent="0.2">
      <c r="Z32774" t="str">
        <f t="shared" si="512"/>
        <v/>
      </c>
    </row>
    <row r="32775" spans="26:26" x14ac:dyDescent="0.2">
      <c r="Z32775" t="str">
        <f t="shared" si="512"/>
        <v/>
      </c>
    </row>
    <row r="32776" spans="26:26" x14ac:dyDescent="0.2">
      <c r="Z32776" t="str">
        <f t="shared" si="512"/>
        <v/>
      </c>
    </row>
    <row r="32777" spans="26:26" x14ac:dyDescent="0.2">
      <c r="Z32777" t="str">
        <f t="shared" si="512"/>
        <v/>
      </c>
    </row>
    <row r="32778" spans="26:26" x14ac:dyDescent="0.2">
      <c r="Z32778" t="str">
        <f t="shared" si="512"/>
        <v/>
      </c>
    </row>
    <row r="32779" spans="26:26" x14ac:dyDescent="0.2">
      <c r="Z32779" t="str">
        <f t="shared" si="512"/>
        <v/>
      </c>
    </row>
    <row r="32780" spans="26:26" x14ac:dyDescent="0.2">
      <c r="Z32780" t="str">
        <f t="shared" si="512"/>
        <v/>
      </c>
    </row>
    <row r="32781" spans="26:26" x14ac:dyDescent="0.2">
      <c r="Z32781" t="str">
        <f t="shared" si="512"/>
        <v/>
      </c>
    </row>
    <row r="32782" spans="26:26" x14ac:dyDescent="0.2">
      <c r="Z32782" t="str">
        <f t="shared" si="512"/>
        <v/>
      </c>
    </row>
    <row r="32783" spans="26:26" x14ac:dyDescent="0.2">
      <c r="Z32783" t="str">
        <f t="shared" si="512"/>
        <v/>
      </c>
    </row>
    <row r="32784" spans="26:26" x14ac:dyDescent="0.2">
      <c r="Z32784" t="str">
        <f t="shared" si="512"/>
        <v/>
      </c>
    </row>
    <row r="32785" spans="26:26" x14ac:dyDescent="0.2">
      <c r="Z32785" t="str">
        <f t="shared" si="512"/>
        <v/>
      </c>
    </row>
    <row r="32786" spans="26:26" x14ac:dyDescent="0.2">
      <c r="Z32786" t="str">
        <f t="shared" si="512"/>
        <v/>
      </c>
    </row>
    <row r="32787" spans="26:26" x14ac:dyDescent="0.2">
      <c r="Z32787" t="str">
        <f t="shared" si="512"/>
        <v/>
      </c>
    </row>
    <row r="32788" spans="26:26" x14ac:dyDescent="0.2">
      <c r="Z32788" t="str">
        <f t="shared" si="512"/>
        <v/>
      </c>
    </row>
    <row r="32789" spans="26:26" x14ac:dyDescent="0.2">
      <c r="Z32789" t="str">
        <f t="shared" si="512"/>
        <v/>
      </c>
    </row>
    <row r="32790" spans="26:26" x14ac:dyDescent="0.2">
      <c r="Z32790" t="str">
        <f t="shared" si="512"/>
        <v/>
      </c>
    </row>
    <row r="32791" spans="26:26" x14ac:dyDescent="0.2">
      <c r="Z32791" t="str">
        <f t="shared" si="512"/>
        <v/>
      </c>
    </row>
    <row r="32792" spans="26:26" x14ac:dyDescent="0.2">
      <c r="Z32792" t="str">
        <f t="shared" si="512"/>
        <v/>
      </c>
    </row>
    <row r="32793" spans="26:26" x14ac:dyDescent="0.2">
      <c r="Z32793" t="str">
        <f t="shared" si="512"/>
        <v/>
      </c>
    </row>
    <row r="32794" spans="26:26" x14ac:dyDescent="0.2">
      <c r="Z32794" t="str">
        <f t="shared" si="512"/>
        <v/>
      </c>
    </row>
    <row r="32795" spans="26:26" x14ac:dyDescent="0.2">
      <c r="Z32795" t="str">
        <f t="shared" si="512"/>
        <v/>
      </c>
    </row>
    <row r="32796" spans="26:26" x14ac:dyDescent="0.2">
      <c r="Z32796" t="str">
        <f t="shared" si="512"/>
        <v/>
      </c>
    </row>
    <row r="32797" spans="26:26" x14ac:dyDescent="0.2">
      <c r="Z32797" t="str">
        <f t="shared" si="512"/>
        <v/>
      </c>
    </row>
    <row r="32798" spans="26:26" x14ac:dyDescent="0.2">
      <c r="Z32798" t="str">
        <f t="shared" si="512"/>
        <v/>
      </c>
    </row>
    <row r="32799" spans="26:26" x14ac:dyDescent="0.2">
      <c r="Z32799" t="str">
        <f t="shared" si="512"/>
        <v/>
      </c>
    </row>
    <row r="32800" spans="26:26" x14ac:dyDescent="0.2">
      <c r="Z32800" t="str">
        <f t="shared" si="512"/>
        <v/>
      </c>
    </row>
    <row r="32801" spans="26:26" x14ac:dyDescent="0.2">
      <c r="Z32801" t="str">
        <f t="shared" si="512"/>
        <v/>
      </c>
    </row>
    <row r="32802" spans="26:26" x14ac:dyDescent="0.2">
      <c r="Z32802" t="str">
        <f t="shared" si="512"/>
        <v/>
      </c>
    </row>
    <row r="32803" spans="26:26" x14ac:dyDescent="0.2">
      <c r="Z32803" t="str">
        <f t="shared" si="512"/>
        <v/>
      </c>
    </row>
    <row r="32804" spans="26:26" x14ac:dyDescent="0.2">
      <c r="Z32804" t="str">
        <f t="shared" si="512"/>
        <v/>
      </c>
    </row>
    <row r="32805" spans="26:26" x14ac:dyDescent="0.2">
      <c r="Z32805" t="str">
        <f t="shared" si="512"/>
        <v/>
      </c>
    </row>
    <row r="32806" spans="26:26" x14ac:dyDescent="0.2">
      <c r="Z32806" t="str">
        <f t="shared" si="512"/>
        <v/>
      </c>
    </row>
    <row r="32807" spans="26:26" x14ac:dyDescent="0.2">
      <c r="Z32807" t="str">
        <f t="shared" si="512"/>
        <v/>
      </c>
    </row>
    <row r="32808" spans="26:26" x14ac:dyDescent="0.2">
      <c r="Z32808" t="str">
        <f t="shared" si="512"/>
        <v/>
      </c>
    </row>
    <row r="32809" spans="26:26" x14ac:dyDescent="0.2">
      <c r="Z32809" t="str">
        <f t="shared" si="512"/>
        <v/>
      </c>
    </row>
    <row r="32810" spans="26:26" x14ac:dyDescent="0.2">
      <c r="Z32810" t="str">
        <f t="shared" si="512"/>
        <v/>
      </c>
    </row>
    <row r="32811" spans="26:26" x14ac:dyDescent="0.2">
      <c r="Z32811" t="str">
        <f t="shared" si="512"/>
        <v/>
      </c>
    </row>
    <row r="32812" spans="26:26" x14ac:dyDescent="0.2">
      <c r="Z32812" t="str">
        <f t="shared" si="512"/>
        <v/>
      </c>
    </row>
    <row r="32813" spans="26:26" x14ac:dyDescent="0.2">
      <c r="Z32813" t="str">
        <f t="shared" si="512"/>
        <v/>
      </c>
    </row>
    <row r="32814" spans="26:26" x14ac:dyDescent="0.2">
      <c r="Z32814" t="str">
        <f t="shared" si="512"/>
        <v/>
      </c>
    </row>
    <row r="32815" spans="26:26" x14ac:dyDescent="0.2">
      <c r="Z32815" t="str">
        <f t="shared" si="512"/>
        <v/>
      </c>
    </row>
    <row r="32816" spans="26:26" x14ac:dyDescent="0.2">
      <c r="Z32816" t="str">
        <f t="shared" si="512"/>
        <v/>
      </c>
    </row>
    <row r="32817" spans="26:26" x14ac:dyDescent="0.2">
      <c r="Z32817" t="str">
        <f t="shared" si="512"/>
        <v/>
      </c>
    </row>
    <row r="32818" spans="26:26" x14ac:dyDescent="0.2">
      <c r="Z32818" t="str">
        <f t="shared" si="512"/>
        <v/>
      </c>
    </row>
    <row r="32819" spans="26:26" x14ac:dyDescent="0.2">
      <c r="Z32819" t="str">
        <f t="shared" si="512"/>
        <v/>
      </c>
    </row>
    <row r="32820" spans="26:26" x14ac:dyDescent="0.2">
      <c r="Z32820" t="str">
        <f t="shared" si="512"/>
        <v/>
      </c>
    </row>
    <row r="32821" spans="26:26" x14ac:dyDescent="0.2">
      <c r="Z32821" t="str">
        <f t="shared" si="512"/>
        <v/>
      </c>
    </row>
    <row r="32822" spans="26:26" x14ac:dyDescent="0.2">
      <c r="Z32822" t="str">
        <f t="shared" si="512"/>
        <v/>
      </c>
    </row>
    <row r="32823" spans="26:26" x14ac:dyDescent="0.2">
      <c r="Z32823" t="str">
        <f t="shared" si="512"/>
        <v/>
      </c>
    </row>
    <row r="32824" spans="26:26" x14ac:dyDescent="0.2">
      <c r="Z32824" t="str">
        <f t="shared" si="512"/>
        <v/>
      </c>
    </row>
    <row r="32825" spans="26:26" x14ac:dyDescent="0.2">
      <c r="Z32825" t="str">
        <f t="shared" si="512"/>
        <v/>
      </c>
    </row>
    <row r="32826" spans="26:26" x14ac:dyDescent="0.2">
      <c r="Z32826" t="str">
        <f t="shared" si="512"/>
        <v/>
      </c>
    </row>
    <row r="32827" spans="26:26" x14ac:dyDescent="0.2">
      <c r="Z32827" t="str">
        <f t="shared" si="512"/>
        <v/>
      </c>
    </row>
    <row r="32828" spans="26:26" x14ac:dyDescent="0.2">
      <c r="Z32828" t="str">
        <f t="shared" si="512"/>
        <v/>
      </c>
    </row>
    <row r="32829" spans="26:26" x14ac:dyDescent="0.2">
      <c r="Z32829" t="str">
        <f t="shared" si="512"/>
        <v/>
      </c>
    </row>
    <row r="32830" spans="26:26" x14ac:dyDescent="0.2">
      <c r="Z32830" t="str">
        <f t="shared" si="512"/>
        <v/>
      </c>
    </row>
    <row r="32831" spans="26:26" x14ac:dyDescent="0.2">
      <c r="Z32831" t="str">
        <f t="shared" si="512"/>
        <v/>
      </c>
    </row>
    <row r="32832" spans="26:26" x14ac:dyDescent="0.2">
      <c r="Z32832" t="str">
        <f t="shared" si="512"/>
        <v/>
      </c>
    </row>
    <row r="32833" spans="26:26" x14ac:dyDescent="0.2">
      <c r="Z32833" t="str">
        <f t="shared" si="512"/>
        <v/>
      </c>
    </row>
    <row r="32834" spans="26:26" x14ac:dyDescent="0.2">
      <c r="Z32834" t="str">
        <f t="shared" si="512"/>
        <v/>
      </c>
    </row>
    <row r="32835" spans="26:26" x14ac:dyDescent="0.2">
      <c r="Z32835" t="str">
        <f t="shared" ref="Z32835:Z32898" si="513">IF(K32835="","",IFERROR(VALUE(TRIM(MID(K32835,FIND(CHAR(167),SUBSTITUTE(K32835,"-",CHAR(167),LEN(K32835)-LEN(SUBSTITUTE(K32835,"-",""))))+1,100))),K32835))</f>
        <v/>
      </c>
    </row>
    <row r="32836" spans="26:26" x14ac:dyDescent="0.2">
      <c r="Z32836" t="str">
        <f t="shared" si="513"/>
        <v/>
      </c>
    </row>
    <row r="32837" spans="26:26" x14ac:dyDescent="0.2">
      <c r="Z32837" t="str">
        <f t="shared" si="513"/>
        <v/>
      </c>
    </row>
    <row r="32838" spans="26:26" x14ac:dyDescent="0.2">
      <c r="Z32838" t="str">
        <f t="shared" si="513"/>
        <v/>
      </c>
    </row>
    <row r="32839" spans="26:26" x14ac:dyDescent="0.2">
      <c r="Z32839" t="str">
        <f t="shared" si="513"/>
        <v/>
      </c>
    </row>
    <row r="32840" spans="26:26" x14ac:dyDescent="0.2">
      <c r="Z32840" t="str">
        <f t="shared" si="513"/>
        <v/>
      </c>
    </row>
    <row r="32841" spans="26:26" x14ac:dyDescent="0.2">
      <c r="Z32841" t="str">
        <f t="shared" si="513"/>
        <v/>
      </c>
    </row>
    <row r="32842" spans="26:26" x14ac:dyDescent="0.2">
      <c r="Z32842" t="str">
        <f t="shared" si="513"/>
        <v/>
      </c>
    </row>
    <row r="32843" spans="26:26" x14ac:dyDescent="0.2">
      <c r="Z32843" t="str">
        <f t="shared" si="513"/>
        <v/>
      </c>
    </row>
    <row r="32844" spans="26:26" x14ac:dyDescent="0.2">
      <c r="Z32844" t="str">
        <f t="shared" si="513"/>
        <v/>
      </c>
    </row>
    <row r="32845" spans="26:26" x14ac:dyDescent="0.2">
      <c r="Z32845" t="str">
        <f t="shared" si="513"/>
        <v/>
      </c>
    </row>
    <row r="32846" spans="26:26" x14ac:dyDescent="0.2">
      <c r="Z32846" t="str">
        <f t="shared" si="513"/>
        <v/>
      </c>
    </row>
    <row r="32847" spans="26:26" x14ac:dyDescent="0.2">
      <c r="Z32847" t="str">
        <f t="shared" si="513"/>
        <v/>
      </c>
    </row>
    <row r="32848" spans="26:26" x14ac:dyDescent="0.2">
      <c r="Z32848" t="str">
        <f t="shared" si="513"/>
        <v/>
      </c>
    </row>
    <row r="32849" spans="26:26" x14ac:dyDescent="0.2">
      <c r="Z32849" t="str">
        <f t="shared" si="513"/>
        <v/>
      </c>
    </row>
    <row r="32850" spans="26:26" x14ac:dyDescent="0.2">
      <c r="Z32850" t="str">
        <f t="shared" si="513"/>
        <v/>
      </c>
    </row>
    <row r="32851" spans="26:26" x14ac:dyDescent="0.2">
      <c r="Z32851" t="str">
        <f t="shared" si="513"/>
        <v/>
      </c>
    </row>
    <row r="32852" spans="26:26" x14ac:dyDescent="0.2">
      <c r="Z32852" t="str">
        <f t="shared" si="513"/>
        <v/>
      </c>
    </row>
    <row r="32853" spans="26:26" x14ac:dyDescent="0.2">
      <c r="Z32853" t="str">
        <f t="shared" si="513"/>
        <v/>
      </c>
    </row>
    <row r="32854" spans="26:26" x14ac:dyDescent="0.2">
      <c r="Z32854" t="str">
        <f t="shared" si="513"/>
        <v/>
      </c>
    </row>
    <row r="32855" spans="26:26" x14ac:dyDescent="0.2">
      <c r="Z32855" t="str">
        <f t="shared" si="513"/>
        <v/>
      </c>
    </row>
    <row r="32856" spans="26:26" x14ac:dyDescent="0.2">
      <c r="Z32856" t="str">
        <f t="shared" si="513"/>
        <v/>
      </c>
    </row>
    <row r="32857" spans="26:26" x14ac:dyDescent="0.2">
      <c r="Z32857" t="str">
        <f t="shared" si="513"/>
        <v/>
      </c>
    </row>
    <row r="32858" spans="26:26" x14ac:dyDescent="0.2">
      <c r="Z32858" t="str">
        <f t="shared" si="513"/>
        <v/>
      </c>
    </row>
    <row r="32859" spans="26:26" x14ac:dyDescent="0.2">
      <c r="Z32859" t="str">
        <f t="shared" si="513"/>
        <v/>
      </c>
    </row>
    <row r="32860" spans="26:26" x14ac:dyDescent="0.2">
      <c r="Z32860" t="str">
        <f t="shared" si="513"/>
        <v/>
      </c>
    </row>
    <row r="32861" spans="26:26" x14ac:dyDescent="0.2">
      <c r="Z32861" t="str">
        <f t="shared" si="513"/>
        <v/>
      </c>
    </row>
    <row r="32862" spans="26:26" x14ac:dyDescent="0.2">
      <c r="Z32862" t="str">
        <f t="shared" si="513"/>
        <v/>
      </c>
    </row>
    <row r="32863" spans="26:26" x14ac:dyDescent="0.2">
      <c r="Z32863" t="str">
        <f t="shared" si="513"/>
        <v/>
      </c>
    </row>
    <row r="32864" spans="26:26" x14ac:dyDescent="0.2">
      <c r="Z32864" t="str">
        <f t="shared" si="513"/>
        <v/>
      </c>
    </row>
    <row r="32865" spans="26:26" x14ac:dyDescent="0.2">
      <c r="Z32865" t="str">
        <f t="shared" si="513"/>
        <v/>
      </c>
    </row>
    <row r="32866" spans="26:26" x14ac:dyDescent="0.2">
      <c r="Z32866" t="str">
        <f t="shared" si="513"/>
        <v/>
      </c>
    </row>
    <row r="32867" spans="26:26" x14ac:dyDescent="0.2">
      <c r="Z32867" t="str">
        <f t="shared" si="513"/>
        <v/>
      </c>
    </row>
    <row r="32868" spans="26:26" x14ac:dyDescent="0.2">
      <c r="Z32868" t="str">
        <f t="shared" si="513"/>
        <v/>
      </c>
    </row>
    <row r="32869" spans="26:26" x14ac:dyDescent="0.2">
      <c r="Z32869" t="str">
        <f t="shared" si="513"/>
        <v/>
      </c>
    </row>
    <row r="32870" spans="26:26" x14ac:dyDescent="0.2">
      <c r="Z32870" t="str">
        <f t="shared" si="513"/>
        <v/>
      </c>
    </row>
    <row r="32871" spans="26:26" x14ac:dyDescent="0.2">
      <c r="Z32871" t="str">
        <f t="shared" si="513"/>
        <v/>
      </c>
    </row>
    <row r="32872" spans="26:26" x14ac:dyDescent="0.2">
      <c r="Z32872" t="str">
        <f t="shared" si="513"/>
        <v/>
      </c>
    </row>
    <row r="32873" spans="26:26" x14ac:dyDescent="0.2">
      <c r="Z32873" t="str">
        <f t="shared" si="513"/>
        <v/>
      </c>
    </row>
    <row r="32874" spans="26:26" x14ac:dyDescent="0.2">
      <c r="Z32874" t="str">
        <f t="shared" si="513"/>
        <v/>
      </c>
    </row>
    <row r="32875" spans="26:26" x14ac:dyDescent="0.2">
      <c r="Z32875" t="str">
        <f t="shared" si="513"/>
        <v/>
      </c>
    </row>
    <row r="32876" spans="26:26" x14ac:dyDescent="0.2">
      <c r="Z32876" t="str">
        <f t="shared" si="513"/>
        <v/>
      </c>
    </row>
    <row r="32877" spans="26:26" x14ac:dyDescent="0.2">
      <c r="Z32877" t="str">
        <f t="shared" si="513"/>
        <v/>
      </c>
    </row>
    <row r="32878" spans="26:26" x14ac:dyDescent="0.2">
      <c r="Z32878" t="str">
        <f t="shared" si="513"/>
        <v/>
      </c>
    </row>
    <row r="32879" spans="26:26" x14ac:dyDescent="0.2">
      <c r="Z32879" t="str">
        <f t="shared" si="513"/>
        <v/>
      </c>
    </row>
    <row r="32880" spans="26:26" x14ac:dyDescent="0.2">
      <c r="Z32880" t="str">
        <f t="shared" si="513"/>
        <v/>
      </c>
    </row>
    <row r="32881" spans="26:26" x14ac:dyDescent="0.2">
      <c r="Z32881" t="str">
        <f t="shared" si="513"/>
        <v/>
      </c>
    </row>
    <row r="32882" spans="26:26" x14ac:dyDescent="0.2">
      <c r="Z32882" t="str">
        <f t="shared" si="513"/>
        <v/>
      </c>
    </row>
    <row r="32883" spans="26:26" x14ac:dyDescent="0.2">
      <c r="Z32883" t="str">
        <f t="shared" si="513"/>
        <v/>
      </c>
    </row>
    <row r="32884" spans="26:26" x14ac:dyDescent="0.2">
      <c r="Z32884" t="str">
        <f t="shared" si="513"/>
        <v/>
      </c>
    </row>
    <row r="32885" spans="26:26" x14ac:dyDescent="0.2">
      <c r="Z32885" t="str">
        <f t="shared" si="513"/>
        <v/>
      </c>
    </row>
    <row r="32886" spans="26:26" x14ac:dyDescent="0.2">
      <c r="Z32886" t="str">
        <f t="shared" si="513"/>
        <v/>
      </c>
    </row>
    <row r="32887" spans="26:26" x14ac:dyDescent="0.2">
      <c r="Z32887" t="str">
        <f t="shared" si="513"/>
        <v/>
      </c>
    </row>
    <row r="32888" spans="26:26" x14ac:dyDescent="0.2">
      <c r="Z32888" t="str">
        <f t="shared" si="513"/>
        <v/>
      </c>
    </row>
    <row r="32889" spans="26:26" x14ac:dyDescent="0.2">
      <c r="Z32889" t="str">
        <f t="shared" si="513"/>
        <v/>
      </c>
    </row>
    <row r="32890" spans="26:26" x14ac:dyDescent="0.2">
      <c r="Z32890" t="str">
        <f t="shared" si="513"/>
        <v/>
      </c>
    </row>
    <row r="32891" spans="26:26" x14ac:dyDescent="0.2">
      <c r="Z32891" t="str">
        <f t="shared" si="513"/>
        <v/>
      </c>
    </row>
    <row r="32892" spans="26:26" x14ac:dyDescent="0.2">
      <c r="Z32892" t="str">
        <f t="shared" si="513"/>
        <v/>
      </c>
    </row>
    <row r="32893" spans="26:26" x14ac:dyDescent="0.2">
      <c r="Z32893" t="str">
        <f t="shared" si="513"/>
        <v/>
      </c>
    </row>
    <row r="32894" spans="26:26" x14ac:dyDescent="0.2">
      <c r="Z32894" t="str">
        <f t="shared" si="513"/>
        <v/>
      </c>
    </row>
    <row r="32895" spans="26:26" x14ac:dyDescent="0.2">
      <c r="Z32895" t="str">
        <f t="shared" si="513"/>
        <v/>
      </c>
    </row>
    <row r="32896" spans="26:26" x14ac:dyDescent="0.2">
      <c r="Z32896" t="str">
        <f t="shared" si="513"/>
        <v/>
      </c>
    </row>
    <row r="32897" spans="26:26" x14ac:dyDescent="0.2">
      <c r="Z32897" t="str">
        <f t="shared" si="513"/>
        <v/>
      </c>
    </row>
    <row r="32898" spans="26:26" x14ac:dyDescent="0.2">
      <c r="Z32898" t="str">
        <f t="shared" si="513"/>
        <v/>
      </c>
    </row>
    <row r="32899" spans="26:26" x14ac:dyDescent="0.2">
      <c r="Z32899" t="str">
        <f t="shared" ref="Z32899:Z32962" si="514">IF(K32899="","",IFERROR(VALUE(TRIM(MID(K32899,FIND(CHAR(167),SUBSTITUTE(K32899,"-",CHAR(167),LEN(K32899)-LEN(SUBSTITUTE(K32899,"-",""))))+1,100))),K32899))</f>
        <v/>
      </c>
    </row>
    <row r="32900" spans="26:26" x14ac:dyDescent="0.2">
      <c r="Z32900" t="str">
        <f t="shared" si="514"/>
        <v/>
      </c>
    </row>
    <row r="32901" spans="26:26" x14ac:dyDescent="0.2">
      <c r="Z32901" t="str">
        <f t="shared" si="514"/>
        <v/>
      </c>
    </row>
    <row r="32902" spans="26:26" x14ac:dyDescent="0.2">
      <c r="Z32902" t="str">
        <f t="shared" si="514"/>
        <v/>
      </c>
    </row>
    <row r="32903" spans="26:26" x14ac:dyDescent="0.2">
      <c r="Z32903" t="str">
        <f t="shared" si="514"/>
        <v/>
      </c>
    </row>
    <row r="32904" spans="26:26" x14ac:dyDescent="0.2">
      <c r="Z32904" t="str">
        <f t="shared" si="514"/>
        <v/>
      </c>
    </row>
    <row r="32905" spans="26:26" x14ac:dyDescent="0.2">
      <c r="Z32905" t="str">
        <f t="shared" si="514"/>
        <v/>
      </c>
    </row>
    <row r="32906" spans="26:26" x14ac:dyDescent="0.2">
      <c r="Z32906" t="str">
        <f t="shared" si="514"/>
        <v/>
      </c>
    </row>
    <row r="32907" spans="26:26" x14ac:dyDescent="0.2">
      <c r="Z32907" t="str">
        <f t="shared" si="514"/>
        <v/>
      </c>
    </row>
    <row r="32908" spans="26:26" x14ac:dyDescent="0.2">
      <c r="Z32908" t="str">
        <f t="shared" si="514"/>
        <v/>
      </c>
    </row>
    <row r="32909" spans="26:26" x14ac:dyDescent="0.2">
      <c r="Z32909" t="str">
        <f t="shared" si="514"/>
        <v/>
      </c>
    </row>
    <row r="32910" spans="26:26" x14ac:dyDescent="0.2">
      <c r="Z32910" t="str">
        <f t="shared" si="514"/>
        <v/>
      </c>
    </row>
    <row r="32911" spans="26:26" x14ac:dyDescent="0.2">
      <c r="Z32911" t="str">
        <f t="shared" si="514"/>
        <v/>
      </c>
    </row>
    <row r="32912" spans="26:26" x14ac:dyDescent="0.2">
      <c r="Z32912" t="str">
        <f t="shared" si="514"/>
        <v/>
      </c>
    </row>
    <row r="32913" spans="26:26" x14ac:dyDescent="0.2">
      <c r="Z32913" t="str">
        <f t="shared" si="514"/>
        <v/>
      </c>
    </row>
    <row r="32914" spans="26:26" x14ac:dyDescent="0.2">
      <c r="Z32914" t="str">
        <f t="shared" si="514"/>
        <v/>
      </c>
    </row>
    <row r="32915" spans="26:26" x14ac:dyDescent="0.2">
      <c r="Z32915" t="str">
        <f t="shared" si="514"/>
        <v/>
      </c>
    </row>
    <row r="32916" spans="26:26" x14ac:dyDescent="0.2">
      <c r="Z32916" t="str">
        <f t="shared" si="514"/>
        <v/>
      </c>
    </row>
    <row r="32917" spans="26:26" x14ac:dyDescent="0.2">
      <c r="Z32917" t="str">
        <f t="shared" si="514"/>
        <v/>
      </c>
    </row>
    <row r="32918" spans="26:26" x14ac:dyDescent="0.2">
      <c r="Z32918" t="str">
        <f t="shared" si="514"/>
        <v/>
      </c>
    </row>
    <row r="32919" spans="26:26" x14ac:dyDescent="0.2">
      <c r="Z32919" t="str">
        <f t="shared" si="514"/>
        <v/>
      </c>
    </row>
    <row r="32920" spans="26:26" x14ac:dyDescent="0.2">
      <c r="Z32920" t="str">
        <f t="shared" si="514"/>
        <v/>
      </c>
    </row>
    <row r="32921" spans="26:26" x14ac:dyDescent="0.2">
      <c r="Z32921" t="str">
        <f t="shared" si="514"/>
        <v/>
      </c>
    </row>
    <row r="32922" spans="26:26" x14ac:dyDescent="0.2">
      <c r="Z32922" t="str">
        <f t="shared" si="514"/>
        <v/>
      </c>
    </row>
    <row r="32923" spans="26:26" x14ac:dyDescent="0.2">
      <c r="Z32923" t="str">
        <f t="shared" si="514"/>
        <v/>
      </c>
    </row>
    <row r="32924" spans="26:26" x14ac:dyDescent="0.2">
      <c r="Z32924" t="str">
        <f t="shared" si="514"/>
        <v/>
      </c>
    </row>
    <row r="32925" spans="26:26" x14ac:dyDescent="0.2">
      <c r="Z32925" t="str">
        <f t="shared" si="514"/>
        <v/>
      </c>
    </row>
    <row r="32926" spans="26:26" x14ac:dyDescent="0.2">
      <c r="Z32926" t="str">
        <f t="shared" si="514"/>
        <v/>
      </c>
    </row>
    <row r="32927" spans="26:26" x14ac:dyDescent="0.2">
      <c r="Z32927" t="str">
        <f t="shared" si="514"/>
        <v/>
      </c>
    </row>
    <row r="32928" spans="26:26" x14ac:dyDescent="0.2">
      <c r="Z32928" t="str">
        <f t="shared" si="514"/>
        <v/>
      </c>
    </row>
    <row r="32929" spans="26:26" x14ac:dyDescent="0.2">
      <c r="Z32929" t="str">
        <f t="shared" si="514"/>
        <v/>
      </c>
    </row>
    <row r="32930" spans="26:26" x14ac:dyDescent="0.2">
      <c r="Z32930" t="str">
        <f t="shared" si="514"/>
        <v/>
      </c>
    </row>
    <row r="32931" spans="26:26" x14ac:dyDescent="0.2">
      <c r="Z32931" t="str">
        <f t="shared" si="514"/>
        <v/>
      </c>
    </row>
    <row r="32932" spans="26:26" x14ac:dyDescent="0.2">
      <c r="Z32932" t="str">
        <f t="shared" si="514"/>
        <v/>
      </c>
    </row>
    <row r="32933" spans="26:26" x14ac:dyDescent="0.2">
      <c r="Z32933" t="str">
        <f t="shared" si="514"/>
        <v/>
      </c>
    </row>
    <row r="32934" spans="26:26" x14ac:dyDescent="0.2">
      <c r="Z32934" t="str">
        <f t="shared" si="514"/>
        <v/>
      </c>
    </row>
    <row r="32935" spans="26:26" x14ac:dyDescent="0.2">
      <c r="Z32935" t="str">
        <f t="shared" si="514"/>
        <v/>
      </c>
    </row>
    <row r="32936" spans="26:26" x14ac:dyDescent="0.2">
      <c r="Z32936" t="str">
        <f t="shared" si="514"/>
        <v/>
      </c>
    </row>
    <row r="32937" spans="26:26" x14ac:dyDescent="0.2">
      <c r="Z32937" t="str">
        <f t="shared" si="514"/>
        <v/>
      </c>
    </row>
    <row r="32938" spans="26:26" x14ac:dyDescent="0.2">
      <c r="Z32938" t="str">
        <f t="shared" si="514"/>
        <v/>
      </c>
    </row>
    <row r="32939" spans="26:26" x14ac:dyDescent="0.2">
      <c r="Z32939" t="str">
        <f t="shared" si="514"/>
        <v/>
      </c>
    </row>
    <row r="32940" spans="26:26" x14ac:dyDescent="0.2">
      <c r="Z32940" t="str">
        <f t="shared" si="514"/>
        <v/>
      </c>
    </row>
    <row r="32941" spans="26:26" x14ac:dyDescent="0.2">
      <c r="Z32941" t="str">
        <f t="shared" si="514"/>
        <v/>
      </c>
    </row>
    <row r="32942" spans="26:26" x14ac:dyDescent="0.2">
      <c r="Z32942" t="str">
        <f t="shared" si="514"/>
        <v/>
      </c>
    </row>
    <row r="32943" spans="26:26" x14ac:dyDescent="0.2">
      <c r="Z32943" t="str">
        <f t="shared" si="514"/>
        <v/>
      </c>
    </row>
    <row r="32944" spans="26:26" x14ac:dyDescent="0.2">
      <c r="Z32944" t="str">
        <f t="shared" si="514"/>
        <v/>
      </c>
    </row>
    <row r="32945" spans="26:26" x14ac:dyDescent="0.2">
      <c r="Z32945" t="str">
        <f t="shared" si="514"/>
        <v/>
      </c>
    </row>
    <row r="32946" spans="26:26" x14ac:dyDescent="0.2">
      <c r="Z32946" t="str">
        <f t="shared" si="514"/>
        <v/>
      </c>
    </row>
    <row r="32947" spans="26:26" x14ac:dyDescent="0.2">
      <c r="Z32947" t="str">
        <f t="shared" si="514"/>
        <v/>
      </c>
    </row>
    <row r="32948" spans="26:26" x14ac:dyDescent="0.2">
      <c r="Z32948" t="str">
        <f t="shared" si="514"/>
        <v/>
      </c>
    </row>
    <row r="32949" spans="26:26" x14ac:dyDescent="0.2">
      <c r="Z32949" t="str">
        <f t="shared" si="514"/>
        <v/>
      </c>
    </row>
    <row r="32950" spans="26:26" x14ac:dyDescent="0.2">
      <c r="Z32950" t="str">
        <f t="shared" si="514"/>
        <v/>
      </c>
    </row>
    <row r="32951" spans="26:26" x14ac:dyDescent="0.2">
      <c r="Z32951" t="str">
        <f t="shared" si="514"/>
        <v/>
      </c>
    </row>
    <row r="32952" spans="26:26" x14ac:dyDescent="0.2">
      <c r="Z32952" t="str">
        <f t="shared" si="514"/>
        <v/>
      </c>
    </row>
    <row r="32953" spans="26:26" x14ac:dyDescent="0.2">
      <c r="Z32953" t="str">
        <f t="shared" si="514"/>
        <v/>
      </c>
    </row>
    <row r="32954" spans="26:26" x14ac:dyDescent="0.2">
      <c r="Z32954" t="str">
        <f t="shared" si="514"/>
        <v/>
      </c>
    </row>
    <row r="32955" spans="26:26" x14ac:dyDescent="0.2">
      <c r="Z32955" t="str">
        <f t="shared" si="514"/>
        <v/>
      </c>
    </row>
    <row r="32956" spans="26:26" x14ac:dyDescent="0.2">
      <c r="Z32956" t="str">
        <f t="shared" si="514"/>
        <v/>
      </c>
    </row>
    <row r="32957" spans="26:26" x14ac:dyDescent="0.2">
      <c r="Z32957" t="str">
        <f t="shared" si="514"/>
        <v/>
      </c>
    </row>
    <row r="32958" spans="26:26" x14ac:dyDescent="0.2">
      <c r="Z32958" t="str">
        <f t="shared" si="514"/>
        <v/>
      </c>
    </row>
    <row r="32959" spans="26:26" x14ac:dyDescent="0.2">
      <c r="Z32959" t="str">
        <f t="shared" si="514"/>
        <v/>
      </c>
    </row>
    <row r="32960" spans="26:26" x14ac:dyDescent="0.2">
      <c r="Z32960" t="str">
        <f t="shared" si="514"/>
        <v/>
      </c>
    </row>
    <row r="32961" spans="26:26" x14ac:dyDescent="0.2">
      <c r="Z32961" t="str">
        <f t="shared" si="514"/>
        <v/>
      </c>
    </row>
    <row r="32962" spans="26:26" x14ac:dyDescent="0.2">
      <c r="Z32962" t="str">
        <f t="shared" si="514"/>
        <v/>
      </c>
    </row>
    <row r="32963" spans="26:26" x14ac:dyDescent="0.2">
      <c r="Z32963" t="str">
        <f t="shared" ref="Z32963:Z33026" si="515">IF(K32963="","",IFERROR(VALUE(TRIM(MID(K32963,FIND(CHAR(167),SUBSTITUTE(K32963,"-",CHAR(167),LEN(K32963)-LEN(SUBSTITUTE(K32963,"-",""))))+1,100))),K32963))</f>
        <v/>
      </c>
    </row>
    <row r="32964" spans="26:26" x14ac:dyDescent="0.2">
      <c r="Z32964" t="str">
        <f t="shared" si="515"/>
        <v/>
      </c>
    </row>
    <row r="32965" spans="26:26" x14ac:dyDescent="0.2">
      <c r="Z32965" t="str">
        <f t="shared" si="515"/>
        <v/>
      </c>
    </row>
    <row r="32966" spans="26:26" x14ac:dyDescent="0.2">
      <c r="Z32966" t="str">
        <f t="shared" si="515"/>
        <v/>
      </c>
    </row>
    <row r="32967" spans="26:26" x14ac:dyDescent="0.2">
      <c r="Z32967" t="str">
        <f t="shared" si="515"/>
        <v/>
      </c>
    </row>
    <row r="32968" spans="26:26" x14ac:dyDescent="0.2">
      <c r="Z32968" t="str">
        <f t="shared" si="515"/>
        <v/>
      </c>
    </row>
    <row r="32969" spans="26:26" x14ac:dyDescent="0.2">
      <c r="Z32969" t="str">
        <f t="shared" si="515"/>
        <v/>
      </c>
    </row>
    <row r="32970" spans="26:26" x14ac:dyDescent="0.2">
      <c r="Z32970" t="str">
        <f t="shared" si="515"/>
        <v/>
      </c>
    </row>
    <row r="32971" spans="26:26" x14ac:dyDescent="0.2">
      <c r="Z32971" t="str">
        <f t="shared" si="515"/>
        <v/>
      </c>
    </row>
    <row r="32972" spans="26:26" x14ac:dyDescent="0.2">
      <c r="Z32972" t="str">
        <f t="shared" si="515"/>
        <v/>
      </c>
    </row>
    <row r="32973" spans="26:26" x14ac:dyDescent="0.2">
      <c r="Z32973" t="str">
        <f t="shared" si="515"/>
        <v/>
      </c>
    </row>
    <row r="32974" spans="26:26" x14ac:dyDescent="0.2">
      <c r="Z32974" t="str">
        <f t="shared" si="515"/>
        <v/>
      </c>
    </row>
    <row r="32975" spans="26:26" x14ac:dyDescent="0.2">
      <c r="Z32975" t="str">
        <f t="shared" si="515"/>
        <v/>
      </c>
    </row>
    <row r="32976" spans="26:26" x14ac:dyDescent="0.2">
      <c r="Z32976" t="str">
        <f t="shared" si="515"/>
        <v/>
      </c>
    </row>
    <row r="32977" spans="26:26" x14ac:dyDescent="0.2">
      <c r="Z32977" t="str">
        <f t="shared" si="515"/>
        <v/>
      </c>
    </row>
    <row r="32978" spans="26:26" x14ac:dyDescent="0.2">
      <c r="Z32978" t="str">
        <f t="shared" si="515"/>
        <v/>
      </c>
    </row>
    <row r="32979" spans="26:26" x14ac:dyDescent="0.2">
      <c r="Z32979" t="str">
        <f t="shared" si="515"/>
        <v/>
      </c>
    </row>
    <row r="32980" spans="26:26" x14ac:dyDescent="0.2">
      <c r="Z32980" t="str">
        <f t="shared" si="515"/>
        <v/>
      </c>
    </row>
    <row r="32981" spans="26:26" x14ac:dyDescent="0.2">
      <c r="Z32981" t="str">
        <f t="shared" si="515"/>
        <v/>
      </c>
    </row>
    <row r="32982" spans="26:26" x14ac:dyDescent="0.2">
      <c r="Z32982" t="str">
        <f t="shared" si="515"/>
        <v/>
      </c>
    </row>
    <row r="32983" spans="26:26" x14ac:dyDescent="0.2">
      <c r="Z32983" t="str">
        <f t="shared" si="515"/>
        <v/>
      </c>
    </row>
    <row r="32984" spans="26:26" x14ac:dyDescent="0.2">
      <c r="Z32984" t="str">
        <f t="shared" si="515"/>
        <v/>
      </c>
    </row>
    <row r="32985" spans="26:26" x14ac:dyDescent="0.2">
      <c r="Z32985" t="str">
        <f t="shared" si="515"/>
        <v/>
      </c>
    </row>
    <row r="32986" spans="26:26" x14ac:dyDescent="0.2">
      <c r="Z32986" t="str">
        <f t="shared" si="515"/>
        <v/>
      </c>
    </row>
    <row r="32987" spans="26:26" x14ac:dyDescent="0.2">
      <c r="Z32987" t="str">
        <f t="shared" si="515"/>
        <v/>
      </c>
    </row>
    <row r="32988" spans="26:26" x14ac:dyDescent="0.2">
      <c r="Z32988" t="str">
        <f t="shared" si="515"/>
        <v/>
      </c>
    </row>
    <row r="32989" spans="26:26" x14ac:dyDescent="0.2">
      <c r="Z32989" t="str">
        <f t="shared" si="515"/>
        <v/>
      </c>
    </row>
    <row r="32990" spans="26:26" x14ac:dyDescent="0.2">
      <c r="Z32990" t="str">
        <f t="shared" si="515"/>
        <v/>
      </c>
    </row>
    <row r="32991" spans="26:26" x14ac:dyDescent="0.2">
      <c r="Z32991" t="str">
        <f t="shared" si="515"/>
        <v/>
      </c>
    </row>
    <row r="32992" spans="26:26" x14ac:dyDescent="0.2">
      <c r="Z32992" t="str">
        <f t="shared" si="515"/>
        <v/>
      </c>
    </row>
    <row r="32993" spans="26:26" x14ac:dyDescent="0.2">
      <c r="Z32993" t="str">
        <f t="shared" si="515"/>
        <v/>
      </c>
    </row>
    <row r="32994" spans="26:26" x14ac:dyDescent="0.2">
      <c r="Z32994" t="str">
        <f t="shared" si="515"/>
        <v/>
      </c>
    </row>
    <row r="32995" spans="26:26" x14ac:dyDescent="0.2">
      <c r="Z32995" t="str">
        <f t="shared" si="515"/>
        <v/>
      </c>
    </row>
    <row r="32996" spans="26:26" x14ac:dyDescent="0.2">
      <c r="Z32996" t="str">
        <f t="shared" si="515"/>
        <v/>
      </c>
    </row>
    <row r="32997" spans="26:26" x14ac:dyDescent="0.2">
      <c r="Z32997" t="str">
        <f t="shared" si="515"/>
        <v/>
      </c>
    </row>
    <row r="32998" spans="26:26" x14ac:dyDescent="0.2">
      <c r="Z32998" t="str">
        <f t="shared" si="515"/>
        <v/>
      </c>
    </row>
    <row r="32999" spans="26:26" x14ac:dyDescent="0.2">
      <c r="Z32999" t="str">
        <f t="shared" si="515"/>
        <v/>
      </c>
    </row>
    <row r="33000" spans="26:26" x14ac:dyDescent="0.2">
      <c r="Z33000" t="str">
        <f t="shared" si="515"/>
        <v/>
      </c>
    </row>
    <row r="33001" spans="26:26" x14ac:dyDescent="0.2">
      <c r="Z33001" t="str">
        <f t="shared" si="515"/>
        <v/>
      </c>
    </row>
    <row r="33002" spans="26:26" x14ac:dyDescent="0.2">
      <c r="Z33002" t="str">
        <f t="shared" si="515"/>
        <v/>
      </c>
    </row>
    <row r="33003" spans="26:26" x14ac:dyDescent="0.2">
      <c r="Z33003" t="str">
        <f t="shared" si="515"/>
        <v/>
      </c>
    </row>
    <row r="33004" spans="26:26" x14ac:dyDescent="0.2">
      <c r="Z33004" t="str">
        <f t="shared" si="515"/>
        <v/>
      </c>
    </row>
    <row r="33005" spans="26:26" x14ac:dyDescent="0.2">
      <c r="Z33005" t="str">
        <f t="shared" si="515"/>
        <v/>
      </c>
    </row>
    <row r="33006" spans="26:26" x14ac:dyDescent="0.2">
      <c r="Z33006" t="str">
        <f t="shared" si="515"/>
        <v/>
      </c>
    </row>
    <row r="33007" spans="26:26" x14ac:dyDescent="0.2">
      <c r="Z33007" t="str">
        <f t="shared" si="515"/>
        <v/>
      </c>
    </row>
    <row r="33008" spans="26:26" x14ac:dyDescent="0.2">
      <c r="Z33008" t="str">
        <f t="shared" si="515"/>
        <v/>
      </c>
    </row>
    <row r="33009" spans="26:26" x14ac:dyDescent="0.2">
      <c r="Z33009" t="str">
        <f t="shared" si="515"/>
        <v/>
      </c>
    </row>
    <row r="33010" spans="26:26" x14ac:dyDescent="0.2">
      <c r="Z33010" t="str">
        <f t="shared" si="515"/>
        <v/>
      </c>
    </row>
    <row r="33011" spans="26:26" x14ac:dyDescent="0.2">
      <c r="Z33011" t="str">
        <f t="shared" si="515"/>
        <v/>
      </c>
    </row>
    <row r="33012" spans="26:26" x14ac:dyDescent="0.2">
      <c r="Z33012" t="str">
        <f t="shared" si="515"/>
        <v/>
      </c>
    </row>
    <row r="33013" spans="26:26" x14ac:dyDescent="0.2">
      <c r="Z33013" t="str">
        <f t="shared" si="515"/>
        <v/>
      </c>
    </row>
    <row r="33014" spans="26:26" x14ac:dyDescent="0.2">
      <c r="Z33014" t="str">
        <f t="shared" si="515"/>
        <v/>
      </c>
    </row>
    <row r="33015" spans="26:26" x14ac:dyDescent="0.2">
      <c r="Z33015" t="str">
        <f t="shared" si="515"/>
        <v/>
      </c>
    </row>
    <row r="33016" spans="26:26" x14ac:dyDescent="0.2">
      <c r="Z33016" t="str">
        <f t="shared" si="515"/>
        <v/>
      </c>
    </row>
    <row r="33017" spans="26:26" x14ac:dyDescent="0.2">
      <c r="Z33017" t="str">
        <f t="shared" si="515"/>
        <v/>
      </c>
    </row>
    <row r="33018" spans="26:26" x14ac:dyDescent="0.2">
      <c r="Z33018" t="str">
        <f t="shared" si="515"/>
        <v/>
      </c>
    </row>
    <row r="33019" spans="26:26" x14ac:dyDescent="0.2">
      <c r="Z33019" t="str">
        <f t="shared" si="515"/>
        <v/>
      </c>
    </row>
    <row r="33020" spans="26:26" x14ac:dyDescent="0.2">
      <c r="Z33020" t="str">
        <f t="shared" si="515"/>
        <v/>
      </c>
    </row>
    <row r="33021" spans="26:26" x14ac:dyDescent="0.2">
      <c r="Z33021" t="str">
        <f t="shared" si="515"/>
        <v/>
      </c>
    </row>
    <row r="33022" spans="26:26" x14ac:dyDescent="0.2">
      <c r="Z33022" t="str">
        <f t="shared" si="515"/>
        <v/>
      </c>
    </row>
    <row r="33023" spans="26:26" x14ac:dyDescent="0.2">
      <c r="Z33023" t="str">
        <f t="shared" si="515"/>
        <v/>
      </c>
    </row>
    <row r="33024" spans="26:26" x14ac:dyDescent="0.2">
      <c r="Z33024" t="str">
        <f t="shared" si="515"/>
        <v/>
      </c>
    </row>
    <row r="33025" spans="26:26" x14ac:dyDescent="0.2">
      <c r="Z33025" t="str">
        <f t="shared" si="515"/>
        <v/>
      </c>
    </row>
    <row r="33026" spans="26:26" x14ac:dyDescent="0.2">
      <c r="Z33026" t="str">
        <f t="shared" si="515"/>
        <v/>
      </c>
    </row>
    <row r="33027" spans="26:26" x14ac:dyDescent="0.2">
      <c r="Z33027" t="str">
        <f t="shared" ref="Z33027:Z33090" si="516">IF(K33027="","",IFERROR(VALUE(TRIM(MID(K33027,FIND(CHAR(167),SUBSTITUTE(K33027,"-",CHAR(167),LEN(K33027)-LEN(SUBSTITUTE(K33027,"-",""))))+1,100))),K33027))</f>
        <v/>
      </c>
    </row>
    <row r="33028" spans="26:26" x14ac:dyDescent="0.2">
      <c r="Z33028" t="str">
        <f t="shared" si="516"/>
        <v/>
      </c>
    </row>
    <row r="33029" spans="26:26" x14ac:dyDescent="0.2">
      <c r="Z33029" t="str">
        <f t="shared" si="516"/>
        <v/>
      </c>
    </row>
    <row r="33030" spans="26:26" x14ac:dyDescent="0.2">
      <c r="Z33030" t="str">
        <f t="shared" si="516"/>
        <v/>
      </c>
    </row>
    <row r="33031" spans="26:26" x14ac:dyDescent="0.2">
      <c r="Z33031" t="str">
        <f t="shared" si="516"/>
        <v/>
      </c>
    </row>
    <row r="33032" spans="26:26" x14ac:dyDescent="0.2">
      <c r="Z33032" t="str">
        <f t="shared" si="516"/>
        <v/>
      </c>
    </row>
    <row r="33033" spans="26:26" x14ac:dyDescent="0.2">
      <c r="Z33033" t="str">
        <f t="shared" si="516"/>
        <v/>
      </c>
    </row>
    <row r="33034" spans="26:26" x14ac:dyDescent="0.2">
      <c r="Z33034" t="str">
        <f t="shared" si="516"/>
        <v/>
      </c>
    </row>
    <row r="33035" spans="26:26" x14ac:dyDescent="0.2">
      <c r="Z33035" t="str">
        <f t="shared" si="516"/>
        <v/>
      </c>
    </row>
    <row r="33036" spans="26:26" x14ac:dyDescent="0.2">
      <c r="Z33036" t="str">
        <f t="shared" si="516"/>
        <v/>
      </c>
    </row>
    <row r="33037" spans="26:26" x14ac:dyDescent="0.2">
      <c r="Z33037" t="str">
        <f t="shared" si="516"/>
        <v/>
      </c>
    </row>
    <row r="33038" spans="26:26" x14ac:dyDescent="0.2">
      <c r="Z33038" t="str">
        <f t="shared" si="516"/>
        <v/>
      </c>
    </row>
    <row r="33039" spans="26:26" x14ac:dyDescent="0.2">
      <c r="Z33039" t="str">
        <f t="shared" si="516"/>
        <v/>
      </c>
    </row>
    <row r="33040" spans="26:26" x14ac:dyDescent="0.2">
      <c r="Z33040" t="str">
        <f t="shared" si="516"/>
        <v/>
      </c>
    </row>
    <row r="33041" spans="26:26" x14ac:dyDescent="0.2">
      <c r="Z33041" t="str">
        <f t="shared" si="516"/>
        <v/>
      </c>
    </row>
    <row r="33042" spans="26:26" x14ac:dyDescent="0.2">
      <c r="Z33042" t="str">
        <f t="shared" si="516"/>
        <v/>
      </c>
    </row>
    <row r="33043" spans="26:26" x14ac:dyDescent="0.2">
      <c r="Z33043" t="str">
        <f t="shared" si="516"/>
        <v/>
      </c>
    </row>
    <row r="33044" spans="26:26" x14ac:dyDescent="0.2">
      <c r="Z33044" t="str">
        <f t="shared" si="516"/>
        <v/>
      </c>
    </row>
    <row r="33045" spans="26:26" x14ac:dyDescent="0.2">
      <c r="Z33045" t="str">
        <f t="shared" si="516"/>
        <v/>
      </c>
    </row>
    <row r="33046" spans="26:26" x14ac:dyDescent="0.2">
      <c r="Z33046" t="str">
        <f t="shared" si="516"/>
        <v/>
      </c>
    </row>
    <row r="33047" spans="26:26" x14ac:dyDescent="0.2">
      <c r="Z33047" t="str">
        <f t="shared" si="516"/>
        <v/>
      </c>
    </row>
    <row r="33048" spans="26:26" x14ac:dyDescent="0.2">
      <c r="Z33048" t="str">
        <f t="shared" si="516"/>
        <v/>
      </c>
    </row>
    <row r="33049" spans="26:26" x14ac:dyDescent="0.2">
      <c r="Z33049" t="str">
        <f t="shared" si="516"/>
        <v/>
      </c>
    </row>
    <row r="33050" spans="26:26" x14ac:dyDescent="0.2">
      <c r="Z33050" t="str">
        <f t="shared" si="516"/>
        <v/>
      </c>
    </row>
    <row r="33051" spans="26:26" x14ac:dyDescent="0.2">
      <c r="Z33051" t="str">
        <f t="shared" si="516"/>
        <v/>
      </c>
    </row>
    <row r="33052" spans="26:26" x14ac:dyDescent="0.2">
      <c r="Z33052" t="str">
        <f t="shared" si="516"/>
        <v/>
      </c>
    </row>
    <row r="33053" spans="26:26" x14ac:dyDescent="0.2">
      <c r="Z33053" t="str">
        <f t="shared" si="516"/>
        <v/>
      </c>
    </row>
    <row r="33054" spans="26:26" x14ac:dyDescent="0.2">
      <c r="Z33054" t="str">
        <f t="shared" si="516"/>
        <v/>
      </c>
    </row>
    <row r="33055" spans="26:26" x14ac:dyDescent="0.2">
      <c r="Z33055" t="str">
        <f t="shared" si="516"/>
        <v/>
      </c>
    </row>
    <row r="33056" spans="26:26" x14ac:dyDescent="0.2">
      <c r="Z33056" t="str">
        <f t="shared" si="516"/>
        <v/>
      </c>
    </row>
    <row r="33057" spans="26:26" x14ac:dyDescent="0.2">
      <c r="Z33057" t="str">
        <f t="shared" si="516"/>
        <v/>
      </c>
    </row>
    <row r="33058" spans="26:26" x14ac:dyDescent="0.2">
      <c r="Z33058" t="str">
        <f t="shared" si="516"/>
        <v/>
      </c>
    </row>
    <row r="33059" spans="26:26" x14ac:dyDescent="0.2">
      <c r="Z33059" t="str">
        <f t="shared" si="516"/>
        <v/>
      </c>
    </row>
    <row r="33060" spans="26:26" x14ac:dyDescent="0.2">
      <c r="Z33060" t="str">
        <f t="shared" si="516"/>
        <v/>
      </c>
    </row>
    <row r="33061" spans="26:26" x14ac:dyDescent="0.2">
      <c r="Z33061" t="str">
        <f t="shared" si="516"/>
        <v/>
      </c>
    </row>
    <row r="33062" spans="26:26" x14ac:dyDescent="0.2">
      <c r="Z33062" t="str">
        <f t="shared" si="516"/>
        <v/>
      </c>
    </row>
    <row r="33063" spans="26:26" x14ac:dyDescent="0.2">
      <c r="Z33063" t="str">
        <f t="shared" si="516"/>
        <v/>
      </c>
    </row>
    <row r="33064" spans="26:26" x14ac:dyDescent="0.2">
      <c r="Z33064" t="str">
        <f t="shared" si="516"/>
        <v/>
      </c>
    </row>
    <row r="33065" spans="26:26" x14ac:dyDescent="0.2">
      <c r="Z33065" t="str">
        <f t="shared" si="516"/>
        <v/>
      </c>
    </row>
    <row r="33066" spans="26:26" x14ac:dyDescent="0.2">
      <c r="Z33066" t="str">
        <f t="shared" si="516"/>
        <v/>
      </c>
    </row>
    <row r="33067" spans="26:26" x14ac:dyDescent="0.2">
      <c r="Z33067" t="str">
        <f t="shared" si="516"/>
        <v/>
      </c>
    </row>
    <row r="33068" spans="26:26" x14ac:dyDescent="0.2">
      <c r="Z33068" t="str">
        <f t="shared" si="516"/>
        <v/>
      </c>
    </row>
    <row r="33069" spans="26:26" x14ac:dyDescent="0.2">
      <c r="Z33069" t="str">
        <f t="shared" si="516"/>
        <v/>
      </c>
    </row>
    <row r="33070" spans="26:26" x14ac:dyDescent="0.2">
      <c r="Z33070" t="str">
        <f t="shared" si="516"/>
        <v/>
      </c>
    </row>
    <row r="33071" spans="26:26" x14ac:dyDescent="0.2">
      <c r="Z33071" t="str">
        <f t="shared" si="516"/>
        <v/>
      </c>
    </row>
    <row r="33072" spans="26:26" x14ac:dyDescent="0.2">
      <c r="Z33072" t="str">
        <f t="shared" si="516"/>
        <v/>
      </c>
    </row>
    <row r="33073" spans="26:26" x14ac:dyDescent="0.2">
      <c r="Z33073" t="str">
        <f t="shared" si="516"/>
        <v/>
      </c>
    </row>
    <row r="33074" spans="26:26" x14ac:dyDescent="0.2">
      <c r="Z33074" t="str">
        <f t="shared" si="516"/>
        <v/>
      </c>
    </row>
    <row r="33075" spans="26:26" x14ac:dyDescent="0.2">
      <c r="Z33075" t="str">
        <f t="shared" si="516"/>
        <v/>
      </c>
    </row>
    <row r="33076" spans="26:26" x14ac:dyDescent="0.2">
      <c r="Z33076" t="str">
        <f t="shared" si="516"/>
        <v/>
      </c>
    </row>
    <row r="33077" spans="26:26" x14ac:dyDescent="0.2">
      <c r="Z33077" t="str">
        <f t="shared" si="516"/>
        <v/>
      </c>
    </row>
    <row r="33078" spans="26:26" x14ac:dyDescent="0.2">
      <c r="Z33078" t="str">
        <f t="shared" si="516"/>
        <v/>
      </c>
    </row>
    <row r="33079" spans="26:26" x14ac:dyDescent="0.2">
      <c r="Z33079" t="str">
        <f t="shared" si="516"/>
        <v/>
      </c>
    </row>
    <row r="33080" spans="26:26" x14ac:dyDescent="0.2">
      <c r="Z33080" t="str">
        <f t="shared" si="516"/>
        <v/>
      </c>
    </row>
    <row r="33081" spans="26:26" x14ac:dyDescent="0.2">
      <c r="Z33081" t="str">
        <f t="shared" si="516"/>
        <v/>
      </c>
    </row>
    <row r="33082" spans="26:26" x14ac:dyDescent="0.2">
      <c r="Z33082" t="str">
        <f t="shared" si="516"/>
        <v/>
      </c>
    </row>
    <row r="33083" spans="26:26" x14ac:dyDescent="0.2">
      <c r="Z33083" t="str">
        <f t="shared" si="516"/>
        <v/>
      </c>
    </row>
    <row r="33084" spans="26:26" x14ac:dyDescent="0.2">
      <c r="Z33084" t="str">
        <f t="shared" si="516"/>
        <v/>
      </c>
    </row>
    <row r="33085" spans="26:26" x14ac:dyDescent="0.2">
      <c r="Z33085" t="str">
        <f t="shared" si="516"/>
        <v/>
      </c>
    </row>
    <row r="33086" spans="26:26" x14ac:dyDescent="0.2">
      <c r="Z33086" t="str">
        <f t="shared" si="516"/>
        <v/>
      </c>
    </row>
    <row r="33087" spans="26:26" x14ac:dyDescent="0.2">
      <c r="Z33087" t="str">
        <f t="shared" si="516"/>
        <v/>
      </c>
    </row>
    <row r="33088" spans="26:26" x14ac:dyDescent="0.2">
      <c r="Z33088" t="str">
        <f t="shared" si="516"/>
        <v/>
      </c>
    </row>
    <row r="33089" spans="26:26" x14ac:dyDescent="0.2">
      <c r="Z33089" t="str">
        <f t="shared" si="516"/>
        <v/>
      </c>
    </row>
    <row r="33090" spans="26:26" x14ac:dyDescent="0.2">
      <c r="Z33090" t="str">
        <f t="shared" si="516"/>
        <v/>
      </c>
    </row>
    <row r="33091" spans="26:26" x14ac:dyDescent="0.2">
      <c r="Z33091" t="str">
        <f t="shared" ref="Z33091:Z33154" si="517">IF(K33091="","",IFERROR(VALUE(TRIM(MID(K33091,FIND(CHAR(167),SUBSTITUTE(K33091,"-",CHAR(167),LEN(K33091)-LEN(SUBSTITUTE(K33091,"-",""))))+1,100))),K33091))</f>
        <v/>
      </c>
    </row>
    <row r="33092" spans="26:26" x14ac:dyDescent="0.2">
      <c r="Z33092" t="str">
        <f t="shared" si="517"/>
        <v/>
      </c>
    </row>
    <row r="33093" spans="26:26" x14ac:dyDescent="0.2">
      <c r="Z33093" t="str">
        <f t="shared" si="517"/>
        <v/>
      </c>
    </row>
    <row r="33094" spans="26:26" x14ac:dyDescent="0.2">
      <c r="Z33094" t="str">
        <f t="shared" si="517"/>
        <v/>
      </c>
    </row>
    <row r="33095" spans="26:26" x14ac:dyDescent="0.2">
      <c r="Z33095" t="str">
        <f t="shared" si="517"/>
        <v/>
      </c>
    </row>
    <row r="33096" spans="26:26" x14ac:dyDescent="0.2">
      <c r="Z33096" t="str">
        <f t="shared" si="517"/>
        <v/>
      </c>
    </row>
    <row r="33097" spans="26:26" x14ac:dyDescent="0.2">
      <c r="Z33097" t="str">
        <f t="shared" si="517"/>
        <v/>
      </c>
    </row>
    <row r="33098" spans="26:26" x14ac:dyDescent="0.2">
      <c r="Z33098" t="str">
        <f t="shared" si="517"/>
        <v/>
      </c>
    </row>
    <row r="33099" spans="26:26" x14ac:dyDescent="0.2">
      <c r="Z33099" t="str">
        <f t="shared" si="517"/>
        <v/>
      </c>
    </row>
    <row r="33100" spans="26:26" x14ac:dyDescent="0.2">
      <c r="Z33100" t="str">
        <f t="shared" si="517"/>
        <v/>
      </c>
    </row>
    <row r="33101" spans="26:26" x14ac:dyDescent="0.2">
      <c r="Z33101" t="str">
        <f t="shared" si="517"/>
        <v/>
      </c>
    </row>
    <row r="33102" spans="26:26" x14ac:dyDescent="0.2">
      <c r="Z33102" t="str">
        <f t="shared" si="517"/>
        <v/>
      </c>
    </row>
    <row r="33103" spans="26:26" x14ac:dyDescent="0.2">
      <c r="Z33103" t="str">
        <f t="shared" si="517"/>
        <v/>
      </c>
    </row>
    <row r="33104" spans="26:26" x14ac:dyDescent="0.2">
      <c r="Z33104" t="str">
        <f t="shared" si="517"/>
        <v/>
      </c>
    </row>
    <row r="33105" spans="26:26" x14ac:dyDescent="0.2">
      <c r="Z33105" t="str">
        <f t="shared" si="517"/>
        <v/>
      </c>
    </row>
    <row r="33106" spans="26:26" x14ac:dyDescent="0.2">
      <c r="Z33106" t="str">
        <f t="shared" si="517"/>
        <v/>
      </c>
    </row>
    <row r="33107" spans="26:26" x14ac:dyDescent="0.2">
      <c r="Z33107" t="str">
        <f t="shared" si="517"/>
        <v/>
      </c>
    </row>
    <row r="33108" spans="26:26" x14ac:dyDescent="0.2">
      <c r="Z33108" t="str">
        <f t="shared" si="517"/>
        <v/>
      </c>
    </row>
    <row r="33109" spans="26:26" x14ac:dyDescent="0.2">
      <c r="Z33109" t="str">
        <f t="shared" si="517"/>
        <v/>
      </c>
    </row>
    <row r="33110" spans="26:26" x14ac:dyDescent="0.2">
      <c r="Z33110" t="str">
        <f t="shared" si="517"/>
        <v/>
      </c>
    </row>
    <row r="33111" spans="26:26" x14ac:dyDescent="0.2">
      <c r="Z33111" t="str">
        <f t="shared" si="517"/>
        <v/>
      </c>
    </row>
    <row r="33112" spans="26:26" x14ac:dyDescent="0.2">
      <c r="Z33112" t="str">
        <f t="shared" si="517"/>
        <v/>
      </c>
    </row>
    <row r="33113" spans="26:26" x14ac:dyDescent="0.2">
      <c r="Z33113" t="str">
        <f t="shared" si="517"/>
        <v/>
      </c>
    </row>
    <row r="33114" spans="26:26" x14ac:dyDescent="0.2">
      <c r="Z33114" t="str">
        <f t="shared" si="517"/>
        <v/>
      </c>
    </row>
    <row r="33115" spans="26:26" x14ac:dyDescent="0.2">
      <c r="Z33115" t="str">
        <f t="shared" si="517"/>
        <v/>
      </c>
    </row>
    <row r="33116" spans="26:26" x14ac:dyDescent="0.2">
      <c r="Z33116" t="str">
        <f t="shared" si="517"/>
        <v/>
      </c>
    </row>
    <row r="33117" spans="26:26" x14ac:dyDescent="0.2">
      <c r="Z33117" t="str">
        <f t="shared" si="517"/>
        <v/>
      </c>
    </row>
    <row r="33118" spans="26:26" x14ac:dyDescent="0.2">
      <c r="Z33118" t="str">
        <f t="shared" si="517"/>
        <v/>
      </c>
    </row>
    <row r="33119" spans="26:26" x14ac:dyDescent="0.2">
      <c r="Z33119" t="str">
        <f t="shared" si="517"/>
        <v/>
      </c>
    </row>
    <row r="33120" spans="26:26" x14ac:dyDescent="0.2">
      <c r="Z33120" t="str">
        <f t="shared" si="517"/>
        <v/>
      </c>
    </row>
    <row r="33121" spans="26:26" x14ac:dyDescent="0.2">
      <c r="Z33121" t="str">
        <f t="shared" si="517"/>
        <v/>
      </c>
    </row>
    <row r="33122" spans="26:26" x14ac:dyDescent="0.2">
      <c r="Z33122" t="str">
        <f t="shared" si="517"/>
        <v/>
      </c>
    </row>
    <row r="33123" spans="26:26" x14ac:dyDescent="0.2">
      <c r="Z33123" t="str">
        <f t="shared" si="517"/>
        <v/>
      </c>
    </row>
    <row r="33124" spans="26:26" x14ac:dyDescent="0.2">
      <c r="Z33124" t="str">
        <f t="shared" si="517"/>
        <v/>
      </c>
    </row>
    <row r="33125" spans="26:26" x14ac:dyDescent="0.2">
      <c r="Z33125" t="str">
        <f t="shared" si="517"/>
        <v/>
      </c>
    </row>
    <row r="33126" spans="26:26" x14ac:dyDescent="0.2">
      <c r="Z33126" t="str">
        <f t="shared" si="517"/>
        <v/>
      </c>
    </row>
    <row r="33127" spans="26:26" x14ac:dyDescent="0.2">
      <c r="Z33127" t="str">
        <f t="shared" si="517"/>
        <v/>
      </c>
    </row>
    <row r="33128" spans="26:26" x14ac:dyDescent="0.2">
      <c r="Z33128" t="str">
        <f t="shared" si="517"/>
        <v/>
      </c>
    </row>
    <row r="33129" spans="26:26" x14ac:dyDescent="0.2">
      <c r="Z33129" t="str">
        <f t="shared" si="517"/>
        <v/>
      </c>
    </row>
    <row r="33130" spans="26:26" x14ac:dyDescent="0.2">
      <c r="Z33130" t="str">
        <f t="shared" si="517"/>
        <v/>
      </c>
    </row>
    <row r="33131" spans="26:26" x14ac:dyDescent="0.2">
      <c r="Z33131" t="str">
        <f t="shared" si="517"/>
        <v/>
      </c>
    </row>
    <row r="33132" spans="26:26" x14ac:dyDescent="0.2">
      <c r="Z33132" t="str">
        <f t="shared" si="517"/>
        <v/>
      </c>
    </row>
    <row r="33133" spans="26:26" x14ac:dyDescent="0.2">
      <c r="Z33133" t="str">
        <f t="shared" si="517"/>
        <v/>
      </c>
    </row>
    <row r="33134" spans="26:26" x14ac:dyDescent="0.2">
      <c r="Z33134" t="str">
        <f t="shared" si="517"/>
        <v/>
      </c>
    </row>
    <row r="33135" spans="26:26" x14ac:dyDescent="0.2">
      <c r="Z33135" t="str">
        <f t="shared" si="517"/>
        <v/>
      </c>
    </row>
    <row r="33136" spans="26:26" x14ac:dyDescent="0.2">
      <c r="Z33136" t="str">
        <f t="shared" si="517"/>
        <v/>
      </c>
    </row>
    <row r="33137" spans="26:26" x14ac:dyDescent="0.2">
      <c r="Z33137" t="str">
        <f t="shared" si="517"/>
        <v/>
      </c>
    </row>
    <row r="33138" spans="26:26" x14ac:dyDescent="0.2">
      <c r="Z33138" t="str">
        <f t="shared" si="517"/>
        <v/>
      </c>
    </row>
    <row r="33139" spans="26:26" x14ac:dyDescent="0.2">
      <c r="Z33139" t="str">
        <f t="shared" si="517"/>
        <v/>
      </c>
    </row>
    <row r="33140" spans="26:26" x14ac:dyDescent="0.2">
      <c r="Z33140" t="str">
        <f t="shared" si="517"/>
        <v/>
      </c>
    </row>
    <row r="33141" spans="26:26" x14ac:dyDescent="0.2">
      <c r="Z33141" t="str">
        <f t="shared" si="517"/>
        <v/>
      </c>
    </row>
    <row r="33142" spans="26:26" x14ac:dyDescent="0.2">
      <c r="Z33142" t="str">
        <f t="shared" si="517"/>
        <v/>
      </c>
    </row>
    <row r="33143" spans="26:26" x14ac:dyDescent="0.2">
      <c r="Z33143" t="str">
        <f t="shared" si="517"/>
        <v/>
      </c>
    </row>
    <row r="33144" spans="26:26" x14ac:dyDescent="0.2">
      <c r="Z33144" t="str">
        <f t="shared" si="517"/>
        <v/>
      </c>
    </row>
    <row r="33145" spans="26:26" x14ac:dyDescent="0.2">
      <c r="Z33145" t="str">
        <f t="shared" si="517"/>
        <v/>
      </c>
    </row>
    <row r="33146" spans="26:26" x14ac:dyDescent="0.2">
      <c r="Z33146" t="str">
        <f t="shared" si="517"/>
        <v/>
      </c>
    </row>
    <row r="33147" spans="26:26" x14ac:dyDescent="0.2">
      <c r="Z33147" t="str">
        <f t="shared" si="517"/>
        <v/>
      </c>
    </row>
    <row r="33148" spans="26:26" x14ac:dyDescent="0.2">
      <c r="Z33148" t="str">
        <f t="shared" si="517"/>
        <v/>
      </c>
    </row>
    <row r="33149" spans="26:26" x14ac:dyDescent="0.2">
      <c r="Z33149" t="str">
        <f t="shared" si="517"/>
        <v/>
      </c>
    </row>
    <row r="33150" spans="26:26" x14ac:dyDescent="0.2">
      <c r="Z33150" t="str">
        <f t="shared" si="517"/>
        <v/>
      </c>
    </row>
    <row r="33151" spans="26:26" x14ac:dyDescent="0.2">
      <c r="Z33151" t="str">
        <f t="shared" si="517"/>
        <v/>
      </c>
    </row>
    <row r="33152" spans="26:26" x14ac:dyDescent="0.2">
      <c r="Z33152" t="str">
        <f t="shared" si="517"/>
        <v/>
      </c>
    </row>
    <row r="33153" spans="26:26" x14ac:dyDescent="0.2">
      <c r="Z33153" t="str">
        <f t="shared" si="517"/>
        <v/>
      </c>
    </row>
    <row r="33154" spans="26:26" x14ac:dyDescent="0.2">
      <c r="Z33154" t="str">
        <f t="shared" si="517"/>
        <v/>
      </c>
    </row>
    <row r="33155" spans="26:26" x14ac:dyDescent="0.2">
      <c r="Z33155" t="str">
        <f t="shared" ref="Z33155:Z33218" si="518">IF(K33155="","",IFERROR(VALUE(TRIM(MID(K33155,FIND(CHAR(167),SUBSTITUTE(K33155,"-",CHAR(167),LEN(K33155)-LEN(SUBSTITUTE(K33155,"-",""))))+1,100))),K33155))</f>
        <v/>
      </c>
    </row>
    <row r="33156" spans="26:26" x14ac:dyDescent="0.2">
      <c r="Z33156" t="str">
        <f t="shared" si="518"/>
        <v/>
      </c>
    </row>
    <row r="33157" spans="26:26" x14ac:dyDescent="0.2">
      <c r="Z33157" t="str">
        <f t="shared" si="518"/>
        <v/>
      </c>
    </row>
    <row r="33158" spans="26:26" x14ac:dyDescent="0.2">
      <c r="Z33158" t="str">
        <f t="shared" si="518"/>
        <v/>
      </c>
    </row>
    <row r="33159" spans="26:26" x14ac:dyDescent="0.2">
      <c r="Z33159" t="str">
        <f t="shared" si="518"/>
        <v/>
      </c>
    </row>
    <row r="33160" spans="26:26" x14ac:dyDescent="0.2">
      <c r="Z33160" t="str">
        <f t="shared" si="518"/>
        <v/>
      </c>
    </row>
    <row r="33161" spans="26:26" x14ac:dyDescent="0.2">
      <c r="Z33161" t="str">
        <f t="shared" si="518"/>
        <v/>
      </c>
    </row>
    <row r="33162" spans="26:26" x14ac:dyDescent="0.2">
      <c r="Z33162" t="str">
        <f t="shared" si="518"/>
        <v/>
      </c>
    </row>
    <row r="33163" spans="26:26" x14ac:dyDescent="0.2">
      <c r="Z33163" t="str">
        <f t="shared" si="518"/>
        <v/>
      </c>
    </row>
    <row r="33164" spans="26:26" x14ac:dyDescent="0.2">
      <c r="Z33164" t="str">
        <f t="shared" si="518"/>
        <v/>
      </c>
    </row>
    <row r="33165" spans="26:26" x14ac:dyDescent="0.2">
      <c r="Z33165" t="str">
        <f t="shared" si="518"/>
        <v/>
      </c>
    </row>
    <row r="33166" spans="26:26" x14ac:dyDescent="0.2">
      <c r="Z33166" t="str">
        <f t="shared" si="518"/>
        <v/>
      </c>
    </row>
    <row r="33167" spans="26:26" x14ac:dyDescent="0.2">
      <c r="Z33167" t="str">
        <f t="shared" si="518"/>
        <v/>
      </c>
    </row>
    <row r="33168" spans="26:26" x14ac:dyDescent="0.2">
      <c r="Z33168" t="str">
        <f t="shared" si="518"/>
        <v/>
      </c>
    </row>
    <row r="33169" spans="26:26" x14ac:dyDescent="0.2">
      <c r="Z33169" t="str">
        <f t="shared" si="518"/>
        <v/>
      </c>
    </row>
    <row r="33170" spans="26:26" x14ac:dyDescent="0.2">
      <c r="Z33170" t="str">
        <f t="shared" si="518"/>
        <v/>
      </c>
    </row>
    <row r="33171" spans="26:26" x14ac:dyDescent="0.2">
      <c r="Z33171" t="str">
        <f t="shared" si="518"/>
        <v/>
      </c>
    </row>
    <row r="33172" spans="26:26" x14ac:dyDescent="0.2">
      <c r="Z33172" t="str">
        <f t="shared" si="518"/>
        <v/>
      </c>
    </row>
    <row r="33173" spans="26:26" x14ac:dyDescent="0.2">
      <c r="Z33173" t="str">
        <f t="shared" si="518"/>
        <v/>
      </c>
    </row>
    <row r="33174" spans="26:26" x14ac:dyDescent="0.2">
      <c r="Z33174" t="str">
        <f t="shared" si="518"/>
        <v/>
      </c>
    </row>
    <row r="33175" spans="26:26" x14ac:dyDescent="0.2">
      <c r="Z33175" t="str">
        <f t="shared" si="518"/>
        <v/>
      </c>
    </row>
    <row r="33176" spans="26:26" x14ac:dyDescent="0.2">
      <c r="Z33176" t="str">
        <f t="shared" si="518"/>
        <v/>
      </c>
    </row>
    <row r="33177" spans="26:26" x14ac:dyDescent="0.2">
      <c r="Z33177" t="str">
        <f t="shared" si="518"/>
        <v/>
      </c>
    </row>
    <row r="33178" spans="26:26" x14ac:dyDescent="0.2">
      <c r="Z33178" t="str">
        <f t="shared" si="518"/>
        <v/>
      </c>
    </row>
    <row r="33179" spans="26:26" x14ac:dyDescent="0.2">
      <c r="Z33179" t="str">
        <f t="shared" si="518"/>
        <v/>
      </c>
    </row>
    <row r="33180" spans="26:26" x14ac:dyDescent="0.2">
      <c r="Z33180" t="str">
        <f t="shared" si="518"/>
        <v/>
      </c>
    </row>
    <row r="33181" spans="26:26" x14ac:dyDescent="0.2">
      <c r="Z33181" t="str">
        <f t="shared" si="518"/>
        <v/>
      </c>
    </row>
    <row r="33182" spans="26:26" x14ac:dyDescent="0.2">
      <c r="Z33182" t="str">
        <f t="shared" si="518"/>
        <v/>
      </c>
    </row>
    <row r="33183" spans="26:26" x14ac:dyDescent="0.2">
      <c r="Z33183" t="str">
        <f t="shared" si="518"/>
        <v/>
      </c>
    </row>
    <row r="33184" spans="26:26" x14ac:dyDescent="0.2">
      <c r="Z33184" t="str">
        <f t="shared" si="518"/>
        <v/>
      </c>
    </row>
    <row r="33185" spans="26:26" x14ac:dyDescent="0.2">
      <c r="Z33185" t="str">
        <f t="shared" si="518"/>
        <v/>
      </c>
    </row>
    <row r="33186" spans="26:26" x14ac:dyDescent="0.2">
      <c r="Z33186" t="str">
        <f t="shared" si="518"/>
        <v/>
      </c>
    </row>
    <row r="33187" spans="26:26" x14ac:dyDescent="0.2">
      <c r="Z33187" t="str">
        <f t="shared" si="518"/>
        <v/>
      </c>
    </row>
    <row r="33188" spans="26:26" x14ac:dyDescent="0.2">
      <c r="Z33188" t="str">
        <f t="shared" si="518"/>
        <v/>
      </c>
    </row>
    <row r="33189" spans="26:26" x14ac:dyDescent="0.2">
      <c r="Z33189" t="str">
        <f t="shared" si="518"/>
        <v/>
      </c>
    </row>
    <row r="33190" spans="26:26" x14ac:dyDescent="0.2">
      <c r="Z33190" t="str">
        <f t="shared" si="518"/>
        <v/>
      </c>
    </row>
    <row r="33191" spans="26:26" x14ac:dyDescent="0.2">
      <c r="Z33191" t="str">
        <f t="shared" si="518"/>
        <v/>
      </c>
    </row>
    <row r="33192" spans="26:26" x14ac:dyDescent="0.2">
      <c r="Z33192" t="str">
        <f t="shared" si="518"/>
        <v/>
      </c>
    </row>
    <row r="33193" spans="26:26" x14ac:dyDescent="0.2">
      <c r="Z33193" t="str">
        <f t="shared" si="518"/>
        <v/>
      </c>
    </row>
    <row r="33194" spans="26:26" x14ac:dyDescent="0.2">
      <c r="Z33194" t="str">
        <f t="shared" si="518"/>
        <v/>
      </c>
    </row>
    <row r="33195" spans="26:26" x14ac:dyDescent="0.2">
      <c r="Z33195" t="str">
        <f t="shared" si="518"/>
        <v/>
      </c>
    </row>
    <row r="33196" spans="26:26" x14ac:dyDescent="0.2">
      <c r="Z33196" t="str">
        <f t="shared" si="518"/>
        <v/>
      </c>
    </row>
    <row r="33197" spans="26:26" x14ac:dyDescent="0.2">
      <c r="Z33197" t="str">
        <f t="shared" si="518"/>
        <v/>
      </c>
    </row>
    <row r="33198" spans="26:26" x14ac:dyDescent="0.2">
      <c r="Z33198" t="str">
        <f t="shared" si="518"/>
        <v/>
      </c>
    </row>
    <row r="33199" spans="26:26" x14ac:dyDescent="0.2">
      <c r="Z33199" t="str">
        <f t="shared" si="518"/>
        <v/>
      </c>
    </row>
    <row r="33200" spans="26:26" x14ac:dyDescent="0.2">
      <c r="Z33200" t="str">
        <f t="shared" si="518"/>
        <v/>
      </c>
    </row>
    <row r="33201" spans="26:26" x14ac:dyDescent="0.2">
      <c r="Z33201" t="str">
        <f t="shared" si="518"/>
        <v/>
      </c>
    </row>
    <row r="33202" spans="26:26" x14ac:dyDescent="0.2">
      <c r="Z33202" t="str">
        <f t="shared" si="518"/>
        <v/>
      </c>
    </row>
    <row r="33203" spans="26:26" x14ac:dyDescent="0.2">
      <c r="Z33203" t="str">
        <f t="shared" si="518"/>
        <v/>
      </c>
    </row>
    <row r="33204" spans="26:26" x14ac:dyDescent="0.2">
      <c r="Z33204" t="str">
        <f t="shared" si="518"/>
        <v/>
      </c>
    </row>
    <row r="33205" spans="26:26" x14ac:dyDescent="0.2">
      <c r="Z33205" t="str">
        <f t="shared" si="518"/>
        <v/>
      </c>
    </row>
    <row r="33206" spans="26:26" x14ac:dyDescent="0.2">
      <c r="Z33206" t="str">
        <f t="shared" si="518"/>
        <v/>
      </c>
    </row>
    <row r="33207" spans="26:26" x14ac:dyDescent="0.2">
      <c r="Z33207" t="str">
        <f t="shared" si="518"/>
        <v/>
      </c>
    </row>
    <row r="33208" spans="26:26" x14ac:dyDescent="0.2">
      <c r="Z33208" t="str">
        <f t="shared" si="518"/>
        <v/>
      </c>
    </row>
    <row r="33209" spans="26:26" x14ac:dyDescent="0.2">
      <c r="Z33209" t="str">
        <f t="shared" si="518"/>
        <v/>
      </c>
    </row>
    <row r="33210" spans="26:26" x14ac:dyDescent="0.2">
      <c r="Z33210" t="str">
        <f t="shared" si="518"/>
        <v/>
      </c>
    </row>
    <row r="33211" spans="26:26" x14ac:dyDescent="0.2">
      <c r="Z33211" t="str">
        <f t="shared" si="518"/>
        <v/>
      </c>
    </row>
    <row r="33212" spans="26:26" x14ac:dyDescent="0.2">
      <c r="Z33212" t="str">
        <f t="shared" si="518"/>
        <v/>
      </c>
    </row>
    <row r="33213" spans="26:26" x14ac:dyDescent="0.2">
      <c r="Z33213" t="str">
        <f t="shared" si="518"/>
        <v/>
      </c>
    </row>
    <row r="33214" spans="26:26" x14ac:dyDescent="0.2">
      <c r="Z33214" t="str">
        <f t="shared" si="518"/>
        <v/>
      </c>
    </row>
    <row r="33215" spans="26:26" x14ac:dyDescent="0.2">
      <c r="Z33215" t="str">
        <f t="shared" si="518"/>
        <v/>
      </c>
    </row>
    <row r="33216" spans="26:26" x14ac:dyDescent="0.2">
      <c r="Z33216" t="str">
        <f t="shared" si="518"/>
        <v/>
      </c>
    </row>
    <row r="33217" spans="26:26" x14ac:dyDescent="0.2">
      <c r="Z33217" t="str">
        <f t="shared" si="518"/>
        <v/>
      </c>
    </row>
    <row r="33218" spans="26:26" x14ac:dyDescent="0.2">
      <c r="Z33218" t="str">
        <f t="shared" si="518"/>
        <v/>
      </c>
    </row>
    <row r="33219" spans="26:26" x14ac:dyDescent="0.2">
      <c r="Z33219" t="str">
        <f t="shared" ref="Z33219:Z33282" si="519">IF(K33219="","",IFERROR(VALUE(TRIM(MID(K33219,FIND(CHAR(167),SUBSTITUTE(K33219,"-",CHAR(167),LEN(K33219)-LEN(SUBSTITUTE(K33219,"-",""))))+1,100))),K33219))</f>
        <v/>
      </c>
    </row>
    <row r="33220" spans="26:26" x14ac:dyDescent="0.2">
      <c r="Z33220" t="str">
        <f t="shared" si="519"/>
        <v/>
      </c>
    </row>
    <row r="33221" spans="26:26" x14ac:dyDescent="0.2">
      <c r="Z33221" t="str">
        <f t="shared" si="519"/>
        <v/>
      </c>
    </row>
    <row r="33222" spans="26:26" x14ac:dyDescent="0.2">
      <c r="Z33222" t="str">
        <f t="shared" si="519"/>
        <v/>
      </c>
    </row>
    <row r="33223" spans="26:26" x14ac:dyDescent="0.2">
      <c r="Z33223" t="str">
        <f t="shared" si="519"/>
        <v/>
      </c>
    </row>
    <row r="33224" spans="26:26" x14ac:dyDescent="0.2">
      <c r="Z33224" t="str">
        <f t="shared" si="519"/>
        <v/>
      </c>
    </row>
    <row r="33225" spans="26:26" x14ac:dyDescent="0.2">
      <c r="Z33225" t="str">
        <f t="shared" si="519"/>
        <v/>
      </c>
    </row>
    <row r="33226" spans="26:26" x14ac:dyDescent="0.2">
      <c r="Z33226" t="str">
        <f t="shared" si="519"/>
        <v/>
      </c>
    </row>
    <row r="33227" spans="26:26" x14ac:dyDescent="0.2">
      <c r="Z33227" t="str">
        <f t="shared" si="519"/>
        <v/>
      </c>
    </row>
    <row r="33228" spans="26:26" x14ac:dyDescent="0.2">
      <c r="Z33228" t="str">
        <f t="shared" si="519"/>
        <v/>
      </c>
    </row>
    <row r="33229" spans="26:26" x14ac:dyDescent="0.2">
      <c r="Z33229" t="str">
        <f t="shared" si="519"/>
        <v/>
      </c>
    </row>
    <row r="33230" spans="26:26" x14ac:dyDescent="0.2">
      <c r="Z33230" t="str">
        <f t="shared" si="519"/>
        <v/>
      </c>
    </row>
    <row r="33231" spans="26:26" x14ac:dyDescent="0.2">
      <c r="Z33231" t="str">
        <f t="shared" si="519"/>
        <v/>
      </c>
    </row>
    <row r="33232" spans="26:26" x14ac:dyDescent="0.2">
      <c r="Z33232" t="str">
        <f t="shared" si="519"/>
        <v/>
      </c>
    </row>
    <row r="33233" spans="26:26" x14ac:dyDescent="0.2">
      <c r="Z33233" t="str">
        <f t="shared" si="519"/>
        <v/>
      </c>
    </row>
    <row r="33234" spans="26:26" x14ac:dyDescent="0.2">
      <c r="Z33234" t="str">
        <f t="shared" si="519"/>
        <v/>
      </c>
    </row>
    <row r="33235" spans="26:26" x14ac:dyDescent="0.2">
      <c r="Z33235" t="str">
        <f t="shared" si="519"/>
        <v/>
      </c>
    </row>
    <row r="33236" spans="26:26" x14ac:dyDescent="0.2">
      <c r="Z33236" t="str">
        <f t="shared" si="519"/>
        <v/>
      </c>
    </row>
    <row r="33237" spans="26:26" x14ac:dyDescent="0.2">
      <c r="Z33237" t="str">
        <f t="shared" si="519"/>
        <v/>
      </c>
    </row>
    <row r="33238" spans="26:26" x14ac:dyDescent="0.2">
      <c r="Z33238" t="str">
        <f t="shared" si="519"/>
        <v/>
      </c>
    </row>
    <row r="33239" spans="26:26" x14ac:dyDescent="0.2">
      <c r="Z33239" t="str">
        <f t="shared" si="519"/>
        <v/>
      </c>
    </row>
    <row r="33240" spans="26:26" x14ac:dyDescent="0.2">
      <c r="Z33240" t="str">
        <f t="shared" si="519"/>
        <v/>
      </c>
    </row>
    <row r="33241" spans="26:26" x14ac:dyDescent="0.2">
      <c r="Z33241" t="str">
        <f t="shared" si="519"/>
        <v/>
      </c>
    </row>
    <row r="33242" spans="26:26" x14ac:dyDescent="0.2">
      <c r="Z33242" t="str">
        <f t="shared" si="519"/>
        <v/>
      </c>
    </row>
    <row r="33243" spans="26:26" x14ac:dyDescent="0.2">
      <c r="Z33243" t="str">
        <f t="shared" si="519"/>
        <v/>
      </c>
    </row>
    <row r="33244" spans="26:26" x14ac:dyDescent="0.2">
      <c r="Z33244" t="str">
        <f t="shared" si="519"/>
        <v/>
      </c>
    </row>
    <row r="33245" spans="26:26" x14ac:dyDescent="0.2">
      <c r="Z33245" t="str">
        <f t="shared" si="519"/>
        <v/>
      </c>
    </row>
    <row r="33246" spans="26:26" x14ac:dyDescent="0.2">
      <c r="Z33246" t="str">
        <f t="shared" si="519"/>
        <v/>
      </c>
    </row>
    <row r="33247" spans="26:26" x14ac:dyDescent="0.2">
      <c r="Z33247" t="str">
        <f t="shared" si="519"/>
        <v/>
      </c>
    </row>
    <row r="33248" spans="26:26" x14ac:dyDescent="0.2">
      <c r="Z33248" t="str">
        <f t="shared" si="519"/>
        <v/>
      </c>
    </row>
    <row r="33249" spans="26:26" x14ac:dyDescent="0.2">
      <c r="Z33249" t="str">
        <f t="shared" si="519"/>
        <v/>
      </c>
    </row>
    <row r="33250" spans="26:26" x14ac:dyDescent="0.2">
      <c r="Z33250" t="str">
        <f t="shared" si="519"/>
        <v/>
      </c>
    </row>
    <row r="33251" spans="26:26" x14ac:dyDescent="0.2">
      <c r="Z33251" t="str">
        <f t="shared" si="519"/>
        <v/>
      </c>
    </row>
    <row r="33252" spans="26:26" x14ac:dyDescent="0.2">
      <c r="Z33252" t="str">
        <f t="shared" si="519"/>
        <v/>
      </c>
    </row>
    <row r="33253" spans="26:26" x14ac:dyDescent="0.2">
      <c r="Z33253" t="str">
        <f t="shared" si="519"/>
        <v/>
      </c>
    </row>
    <row r="33254" spans="26:26" x14ac:dyDescent="0.2">
      <c r="Z33254" t="str">
        <f t="shared" si="519"/>
        <v/>
      </c>
    </row>
    <row r="33255" spans="26:26" x14ac:dyDescent="0.2">
      <c r="Z33255" t="str">
        <f t="shared" si="519"/>
        <v/>
      </c>
    </row>
    <row r="33256" spans="26:26" x14ac:dyDescent="0.2">
      <c r="Z33256" t="str">
        <f t="shared" si="519"/>
        <v/>
      </c>
    </row>
    <row r="33257" spans="26:26" x14ac:dyDescent="0.2">
      <c r="Z33257" t="str">
        <f t="shared" si="519"/>
        <v/>
      </c>
    </row>
    <row r="33258" spans="26:26" x14ac:dyDescent="0.2">
      <c r="Z33258" t="str">
        <f t="shared" si="519"/>
        <v/>
      </c>
    </row>
    <row r="33259" spans="26:26" x14ac:dyDescent="0.2">
      <c r="Z33259" t="str">
        <f t="shared" si="519"/>
        <v/>
      </c>
    </row>
    <row r="33260" spans="26:26" x14ac:dyDescent="0.2">
      <c r="Z33260" t="str">
        <f t="shared" si="519"/>
        <v/>
      </c>
    </row>
    <row r="33261" spans="26:26" x14ac:dyDescent="0.2">
      <c r="Z33261" t="str">
        <f t="shared" si="519"/>
        <v/>
      </c>
    </row>
    <row r="33262" spans="26:26" x14ac:dyDescent="0.2">
      <c r="Z33262" t="str">
        <f t="shared" si="519"/>
        <v/>
      </c>
    </row>
    <row r="33263" spans="26:26" x14ac:dyDescent="0.2">
      <c r="Z33263" t="str">
        <f t="shared" si="519"/>
        <v/>
      </c>
    </row>
    <row r="33264" spans="26:26" x14ac:dyDescent="0.2">
      <c r="Z33264" t="str">
        <f t="shared" si="519"/>
        <v/>
      </c>
    </row>
    <row r="33265" spans="26:26" x14ac:dyDescent="0.2">
      <c r="Z33265" t="str">
        <f t="shared" si="519"/>
        <v/>
      </c>
    </row>
    <row r="33266" spans="26:26" x14ac:dyDescent="0.2">
      <c r="Z33266" t="str">
        <f t="shared" si="519"/>
        <v/>
      </c>
    </row>
    <row r="33267" spans="26:26" x14ac:dyDescent="0.2">
      <c r="Z33267" t="str">
        <f t="shared" si="519"/>
        <v/>
      </c>
    </row>
    <row r="33268" spans="26:26" x14ac:dyDescent="0.2">
      <c r="Z33268" t="str">
        <f t="shared" si="519"/>
        <v/>
      </c>
    </row>
    <row r="33269" spans="26:26" x14ac:dyDescent="0.2">
      <c r="Z33269" t="str">
        <f t="shared" si="519"/>
        <v/>
      </c>
    </row>
    <row r="33270" spans="26:26" x14ac:dyDescent="0.2">
      <c r="Z33270" t="str">
        <f t="shared" si="519"/>
        <v/>
      </c>
    </row>
    <row r="33271" spans="26:26" x14ac:dyDescent="0.2">
      <c r="Z33271" t="str">
        <f t="shared" si="519"/>
        <v/>
      </c>
    </row>
    <row r="33272" spans="26:26" x14ac:dyDescent="0.2">
      <c r="Z33272" t="str">
        <f t="shared" si="519"/>
        <v/>
      </c>
    </row>
    <row r="33273" spans="26:26" x14ac:dyDescent="0.2">
      <c r="Z33273" t="str">
        <f t="shared" si="519"/>
        <v/>
      </c>
    </row>
    <row r="33274" spans="26:26" x14ac:dyDescent="0.2">
      <c r="Z33274" t="str">
        <f t="shared" si="519"/>
        <v/>
      </c>
    </row>
    <row r="33275" spans="26:26" x14ac:dyDescent="0.2">
      <c r="Z33275" t="str">
        <f t="shared" si="519"/>
        <v/>
      </c>
    </row>
    <row r="33276" spans="26:26" x14ac:dyDescent="0.2">
      <c r="Z33276" t="str">
        <f t="shared" si="519"/>
        <v/>
      </c>
    </row>
    <row r="33277" spans="26:26" x14ac:dyDescent="0.2">
      <c r="Z33277" t="str">
        <f t="shared" si="519"/>
        <v/>
      </c>
    </row>
    <row r="33278" spans="26:26" x14ac:dyDescent="0.2">
      <c r="Z33278" t="str">
        <f t="shared" si="519"/>
        <v/>
      </c>
    </row>
    <row r="33279" spans="26:26" x14ac:dyDescent="0.2">
      <c r="Z33279" t="str">
        <f t="shared" si="519"/>
        <v/>
      </c>
    </row>
    <row r="33280" spans="26:26" x14ac:dyDescent="0.2">
      <c r="Z33280" t="str">
        <f t="shared" si="519"/>
        <v/>
      </c>
    </row>
    <row r="33281" spans="26:26" x14ac:dyDescent="0.2">
      <c r="Z33281" t="str">
        <f t="shared" si="519"/>
        <v/>
      </c>
    </row>
    <row r="33282" spans="26:26" x14ac:dyDescent="0.2">
      <c r="Z33282" t="str">
        <f t="shared" si="519"/>
        <v/>
      </c>
    </row>
    <row r="33283" spans="26:26" x14ac:dyDescent="0.2">
      <c r="Z33283" t="str">
        <f t="shared" ref="Z33283:Z33346" si="520">IF(K33283="","",IFERROR(VALUE(TRIM(MID(K33283,FIND(CHAR(167),SUBSTITUTE(K33283,"-",CHAR(167),LEN(K33283)-LEN(SUBSTITUTE(K33283,"-",""))))+1,100))),K33283))</f>
        <v/>
      </c>
    </row>
    <row r="33284" spans="26:26" x14ac:dyDescent="0.2">
      <c r="Z33284" t="str">
        <f t="shared" si="520"/>
        <v/>
      </c>
    </row>
    <row r="33285" spans="26:26" x14ac:dyDescent="0.2">
      <c r="Z33285" t="str">
        <f t="shared" si="520"/>
        <v/>
      </c>
    </row>
    <row r="33286" spans="26:26" x14ac:dyDescent="0.2">
      <c r="Z33286" t="str">
        <f t="shared" si="520"/>
        <v/>
      </c>
    </row>
    <row r="33287" spans="26:26" x14ac:dyDescent="0.2">
      <c r="Z33287" t="str">
        <f t="shared" si="520"/>
        <v/>
      </c>
    </row>
    <row r="33288" spans="26:26" x14ac:dyDescent="0.2">
      <c r="Z33288" t="str">
        <f t="shared" si="520"/>
        <v/>
      </c>
    </row>
    <row r="33289" spans="26:26" x14ac:dyDescent="0.2">
      <c r="Z33289" t="str">
        <f t="shared" si="520"/>
        <v/>
      </c>
    </row>
    <row r="33290" spans="26:26" x14ac:dyDescent="0.2">
      <c r="Z33290" t="str">
        <f t="shared" si="520"/>
        <v/>
      </c>
    </row>
    <row r="33291" spans="26:26" x14ac:dyDescent="0.2">
      <c r="Z33291" t="str">
        <f t="shared" si="520"/>
        <v/>
      </c>
    </row>
    <row r="33292" spans="26:26" x14ac:dyDescent="0.2">
      <c r="Z33292" t="str">
        <f t="shared" si="520"/>
        <v/>
      </c>
    </row>
    <row r="33293" spans="26:26" x14ac:dyDescent="0.2">
      <c r="Z33293" t="str">
        <f t="shared" si="520"/>
        <v/>
      </c>
    </row>
    <row r="33294" spans="26:26" x14ac:dyDescent="0.2">
      <c r="Z33294" t="str">
        <f t="shared" si="520"/>
        <v/>
      </c>
    </row>
    <row r="33295" spans="26:26" x14ac:dyDescent="0.2">
      <c r="Z33295" t="str">
        <f t="shared" si="520"/>
        <v/>
      </c>
    </row>
    <row r="33296" spans="26:26" x14ac:dyDescent="0.2">
      <c r="Z33296" t="str">
        <f t="shared" si="520"/>
        <v/>
      </c>
    </row>
    <row r="33297" spans="26:26" x14ac:dyDescent="0.2">
      <c r="Z33297" t="str">
        <f t="shared" si="520"/>
        <v/>
      </c>
    </row>
    <row r="33298" spans="26:26" x14ac:dyDescent="0.2">
      <c r="Z33298" t="str">
        <f t="shared" si="520"/>
        <v/>
      </c>
    </row>
    <row r="33299" spans="26:26" x14ac:dyDescent="0.2">
      <c r="Z33299" t="str">
        <f t="shared" si="520"/>
        <v/>
      </c>
    </row>
    <row r="33300" spans="26:26" x14ac:dyDescent="0.2">
      <c r="Z33300" t="str">
        <f t="shared" si="520"/>
        <v/>
      </c>
    </row>
    <row r="33301" spans="26:26" x14ac:dyDescent="0.2">
      <c r="Z33301" t="str">
        <f t="shared" si="520"/>
        <v/>
      </c>
    </row>
    <row r="33302" spans="26:26" x14ac:dyDescent="0.2">
      <c r="Z33302" t="str">
        <f t="shared" si="520"/>
        <v/>
      </c>
    </row>
    <row r="33303" spans="26:26" x14ac:dyDescent="0.2">
      <c r="Z33303" t="str">
        <f t="shared" si="520"/>
        <v/>
      </c>
    </row>
    <row r="33304" spans="26:26" x14ac:dyDescent="0.2">
      <c r="Z33304" t="str">
        <f t="shared" si="520"/>
        <v/>
      </c>
    </row>
    <row r="33305" spans="26:26" x14ac:dyDescent="0.2">
      <c r="Z33305" t="str">
        <f t="shared" si="520"/>
        <v/>
      </c>
    </row>
    <row r="33306" spans="26:26" x14ac:dyDescent="0.2">
      <c r="Z33306" t="str">
        <f t="shared" si="520"/>
        <v/>
      </c>
    </row>
    <row r="33307" spans="26:26" x14ac:dyDescent="0.2">
      <c r="Z33307" t="str">
        <f t="shared" si="520"/>
        <v/>
      </c>
    </row>
    <row r="33308" spans="26:26" x14ac:dyDescent="0.2">
      <c r="Z33308" t="str">
        <f t="shared" si="520"/>
        <v/>
      </c>
    </row>
    <row r="33309" spans="26:26" x14ac:dyDescent="0.2">
      <c r="Z33309" t="str">
        <f t="shared" si="520"/>
        <v/>
      </c>
    </row>
    <row r="33310" spans="26:26" x14ac:dyDescent="0.2">
      <c r="Z33310" t="str">
        <f t="shared" si="520"/>
        <v/>
      </c>
    </row>
    <row r="33311" spans="26:26" x14ac:dyDescent="0.2">
      <c r="Z33311" t="str">
        <f t="shared" si="520"/>
        <v/>
      </c>
    </row>
    <row r="33312" spans="26:26" x14ac:dyDescent="0.2">
      <c r="Z33312" t="str">
        <f t="shared" si="520"/>
        <v/>
      </c>
    </row>
    <row r="33313" spans="26:26" x14ac:dyDescent="0.2">
      <c r="Z33313" t="str">
        <f t="shared" si="520"/>
        <v/>
      </c>
    </row>
    <row r="33314" spans="26:26" x14ac:dyDescent="0.2">
      <c r="Z33314" t="str">
        <f t="shared" si="520"/>
        <v/>
      </c>
    </row>
    <row r="33315" spans="26:26" x14ac:dyDescent="0.2">
      <c r="Z33315" t="str">
        <f t="shared" si="520"/>
        <v/>
      </c>
    </row>
    <row r="33316" spans="26:26" x14ac:dyDescent="0.2">
      <c r="Z33316" t="str">
        <f t="shared" si="520"/>
        <v/>
      </c>
    </row>
    <row r="33317" spans="26:26" x14ac:dyDescent="0.2">
      <c r="Z33317" t="str">
        <f t="shared" si="520"/>
        <v/>
      </c>
    </row>
    <row r="33318" spans="26:26" x14ac:dyDescent="0.2">
      <c r="Z33318" t="str">
        <f t="shared" si="520"/>
        <v/>
      </c>
    </row>
    <row r="33319" spans="26:26" x14ac:dyDescent="0.2">
      <c r="Z33319" t="str">
        <f t="shared" si="520"/>
        <v/>
      </c>
    </row>
    <row r="33320" spans="26:26" x14ac:dyDescent="0.2">
      <c r="Z33320" t="str">
        <f t="shared" si="520"/>
        <v/>
      </c>
    </row>
    <row r="33321" spans="26:26" x14ac:dyDescent="0.2">
      <c r="Z33321" t="str">
        <f t="shared" si="520"/>
        <v/>
      </c>
    </row>
    <row r="33322" spans="26:26" x14ac:dyDescent="0.2">
      <c r="Z33322" t="str">
        <f t="shared" si="520"/>
        <v/>
      </c>
    </row>
    <row r="33323" spans="26:26" x14ac:dyDescent="0.2">
      <c r="Z33323" t="str">
        <f t="shared" si="520"/>
        <v/>
      </c>
    </row>
    <row r="33324" spans="26:26" x14ac:dyDescent="0.2">
      <c r="Z33324" t="str">
        <f t="shared" si="520"/>
        <v/>
      </c>
    </row>
    <row r="33325" spans="26:26" x14ac:dyDescent="0.2">
      <c r="Z33325" t="str">
        <f t="shared" si="520"/>
        <v/>
      </c>
    </row>
    <row r="33326" spans="26:26" x14ac:dyDescent="0.2">
      <c r="Z33326" t="str">
        <f t="shared" si="520"/>
        <v/>
      </c>
    </row>
    <row r="33327" spans="26:26" x14ac:dyDescent="0.2">
      <c r="Z33327" t="str">
        <f t="shared" si="520"/>
        <v/>
      </c>
    </row>
    <row r="33328" spans="26:26" x14ac:dyDescent="0.2">
      <c r="Z33328" t="str">
        <f t="shared" si="520"/>
        <v/>
      </c>
    </row>
    <row r="33329" spans="26:26" x14ac:dyDescent="0.2">
      <c r="Z33329" t="str">
        <f t="shared" si="520"/>
        <v/>
      </c>
    </row>
    <row r="33330" spans="26:26" x14ac:dyDescent="0.2">
      <c r="Z33330" t="str">
        <f t="shared" si="520"/>
        <v/>
      </c>
    </row>
    <row r="33331" spans="26:26" x14ac:dyDescent="0.2">
      <c r="Z33331" t="str">
        <f t="shared" si="520"/>
        <v/>
      </c>
    </row>
    <row r="33332" spans="26:26" x14ac:dyDescent="0.2">
      <c r="Z33332" t="str">
        <f t="shared" si="520"/>
        <v/>
      </c>
    </row>
    <row r="33333" spans="26:26" x14ac:dyDescent="0.2">
      <c r="Z33333" t="str">
        <f t="shared" si="520"/>
        <v/>
      </c>
    </row>
    <row r="33334" spans="26:26" x14ac:dyDescent="0.2">
      <c r="Z33334" t="str">
        <f t="shared" si="520"/>
        <v/>
      </c>
    </row>
    <row r="33335" spans="26:26" x14ac:dyDescent="0.2">
      <c r="Z33335" t="str">
        <f t="shared" si="520"/>
        <v/>
      </c>
    </row>
    <row r="33336" spans="26:26" x14ac:dyDescent="0.2">
      <c r="Z33336" t="str">
        <f t="shared" si="520"/>
        <v/>
      </c>
    </row>
    <row r="33337" spans="26:26" x14ac:dyDescent="0.2">
      <c r="Z33337" t="str">
        <f t="shared" si="520"/>
        <v/>
      </c>
    </row>
    <row r="33338" spans="26:26" x14ac:dyDescent="0.2">
      <c r="Z33338" t="str">
        <f t="shared" si="520"/>
        <v/>
      </c>
    </row>
    <row r="33339" spans="26:26" x14ac:dyDescent="0.2">
      <c r="Z33339" t="str">
        <f t="shared" si="520"/>
        <v/>
      </c>
    </row>
    <row r="33340" spans="26:26" x14ac:dyDescent="0.2">
      <c r="Z33340" t="str">
        <f t="shared" si="520"/>
        <v/>
      </c>
    </row>
    <row r="33341" spans="26:26" x14ac:dyDescent="0.2">
      <c r="Z33341" t="str">
        <f t="shared" si="520"/>
        <v/>
      </c>
    </row>
    <row r="33342" spans="26:26" x14ac:dyDescent="0.2">
      <c r="Z33342" t="str">
        <f t="shared" si="520"/>
        <v/>
      </c>
    </row>
    <row r="33343" spans="26:26" x14ac:dyDescent="0.2">
      <c r="Z33343" t="str">
        <f t="shared" si="520"/>
        <v/>
      </c>
    </row>
    <row r="33344" spans="26:26" x14ac:dyDescent="0.2">
      <c r="Z33344" t="str">
        <f t="shared" si="520"/>
        <v/>
      </c>
    </row>
    <row r="33345" spans="26:26" x14ac:dyDescent="0.2">
      <c r="Z33345" t="str">
        <f t="shared" si="520"/>
        <v/>
      </c>
    </row>
    <row r="33346" spans="26:26" x14ac:dyDescent="0.2">
      <c r="Z33346" t="str">
        <f t="shared" si="520"/>
        <v/>
      </c>
    </row>
    <row r="33347" spans="26:26" x14ac:dyDescent="0.2">
      <c r="Z33347" t="str">
        <f t="shared" ref="Z33347:Z33410" si="521">IF(K33347="","",IFERROR(VALUE(TRIM(MID(K33347,FIND(CHAR(167),SUBSTITUTE(K33347,"-",CHAR(167),LEN(K33347)-LEN(SUBSTITUTE(K33347,"-",""))))+1,100))),K33347))</f>
        <v/>
      </c>
    </row>
    <row r="33348" spans="26:26" x14ac:dyDescent="0.2">
      <c r="Z33348" t="str">
        <f t="shared" si="521"/>
        <v/>
      </c>
    </row>
    <row r="33349" spans="26:26" x14ac:dyDescent="0.2">
      <c r="Z33349" t="str">
        <f t="shared" si="521"/>
        <v/>
      </c>
    </row>
    <row r="33350" spans="26:26" x14ac:dyDescent="0.2">
      <c r="Z33350" t="str">
        <f t="shared" si="521"/>
        <v/>
      </c>
    </row>
    <row r="33351" spans="26:26" x14ac:dyDescent="0.2">
      <c r="Z33351" t="str">
        <f t="shared" si="521"/>
        <v/>
      </c>
    </row>
    <row r="33352" spans="26:26" x14ac:dyDescent="0.2">
      <c r="Z33352" t="str">
        <f t="shared" si="521"/>
        <v/>
      </c>
    </row>
    <row r="33353" spans="26:26" x14ac:dyDescent="0.2">
      <c r="Z33353" t="str">
        <f t="shared" si="521"/>
        <v/>
      </c>
    </row>
    <row r="33354" spans="26:26" x14ac:dyDescent="0.2">
      <c r="Z33354" t="str">
        <f t="shared" si="521"/>
        <v/>
      </c>
    </row>
    <row r="33355" spans="26:26" x14ac:dyDescent="0.2">
      <c r="Z33355" t="str">
        <f t="shared" si="521"/>
        <v/>
      </c>
    </row>
    <row r="33356" spans="26:26" x14ac:dyDescent="0.2">
      <c r="Z33356" t="str">
        <f t="shared" si="521"/>
        <v/>
      </c>
    </row>
    <row r="33357" spans="26:26" x14ac:dyDescent="0.2">
      <c r="Z33357" t="str">
        <f t="shared" si="521"/>
        <v/>
      </c>
    </row>
    <row r="33358" spans="26:26" x14ac:dyDescent="0.2">
      <c r="Z33358" t="str">
        <f t="shared" si="521"/>
        <v/>
      </c>
    </row>
    <row r="33359" spans="26:26" x14ac:dyDescent="0.2">
      <c r="Z33359" t="str">
        <f t="shared" si="521"/>
        <v/>
      </c>
    </row>
    <row r="33360" spans="26:26" x14ac:dyDescent="0.2">
      <c r="Z33360" t="str">
        <f t="shared" si="521"/>
        <v/>
      </c>
    </row>
    <row r="33361" spans="26:26" x14ac:dyDescent="0.2">
      <c r="Z33361" t="str">
        <f t="shared" si="521"/>
        <v/>
      </c>
    </row>
    <row r="33362" spans="26:26" x14ac:dyDescent="0.2">
      <c r="Z33362" t="str">
        <f t="shared" si="521"/>
        <v/>
      </c>
    </row>
    <row r="33363" spans="26:26" x14ac:dyDescent="0.2">
      <c r="Z33363" t="str">
        <f t="shared" si="521"/>
        <v/>
      </c>
    </row>
    <row r="33364" spans="26:26" x14ac:dyDescent="0.2">
      <c r="Z33364" t="str">
        <f t="shared" si="521"/>
        <v/>
      </c>
    </row>
    <row r="33365" spans="26:26" x14ac:dyDescent="0.2">
      <c r="Z33365" t="str">
        <f t="shared" si="521"/>
        <v/>
      </c>
    </row>
    <row r="33366" spans="26:26" x14ac:dyDescent="0.2">
      <c r="Z33366" t="str">
        <f t="shared" si="521"/>
        <v/>
      </c>
    </row>
    <row r="33367" spans="26:26" x14ac:dyDescent="0.2">
      <c r="Z33367" t="str">
        <f t="shared" si="521"/>
        <v/>
      </c>
    </row>
    <row r="33368" spans="26:26" x14ac:dyDescent="0.2">
      <c r="Z33368" t="str">
        <f t="shared" si="521"/>
        <v/>
      </c>
    </row>
    <row r="33369" spans="26:26" x14ac:dyDescent="0.2">
      <c r="Z33369" t="str">
        <f t="shared" si="521"/>
        <v/>
      </c>
    </row>
    <row r="33370" spans="26:26" x14ac:dyDescent="0.2">
      <c r="Z33370" t="str">
        <f t="shared" si="521"/>
        <v/>
      </c>
    </row>
    <row r="33371" spans="26:26" x14ac:dyDescent="0.2">
      <c r="Z33371" t="str">
        <f t="shared" si="521"/>
        <v/>
      </c>
    </row>
    <row r="33372" spans="26:26" x14ac:dyDescent="0.2">
      <c r="Z33372" t="str">
        <f t="shared" si="521"/>
        <v/>
      </c>
    </row>
    <row r="33373" spans="26:26" x14ac:dyDescent="0.2">
      <c r="Z33373" t="str">
        <f t="shared" si="521"/>
        <v/>
      </c>
    </row>
    <row r="33374" spans="26:26" x14ac:dyDescent="0.2">
      <c r="Z33374" t="str">
        <f t="shared" si="521"/>
        <v/>
      </c>
    </row>
    <row r="33375" spans="26:26" x14ac:dyDescent="0.2">
      <c r="Z33375" t="str">
        <f t="shared" si="521"/>
        <v/>
      </c>
    </row>
    <row r="33376" spans="26:26" x14ac:dyDescent="0.2">
      <c r="Z33376" t="str">
        <f t="shared" si="521"/>
        <v/>
      </c>
    </row>
    <row r="33377" spans="26:26" x14ac:dyDescent="0.2">
      <c r="Z33377" t="str">
        <f t="shared" si="521"/>
        <v/>
      </c>
    </row>
    <row r="33378" spans="26:26" x14ac:dyDescent="0.2">
      <c r="Z33378" t="str">
        <f t="shared" si="521"/>
        <v/>
      </c>
    </row>
    <row r="33379" spans="26:26" x14ac:dyDescent="0.2">
      <c r="Z33379" t="str">
        <f t="shared" si="521"/>
        <v/>
      </c>
    </row>
    <row r="33380" spans="26:26" x14ac:dyDescent="0.2">
      <c r="Z33380" t="str">
        <f t="shared" si="521"/>
        <v/>
      </c>
    </row>
    <row r="33381" spans="26:26" x14ac:dyDescent="0.2">
      <c r="Z33381" t="str">
        <f t="shared" si="521"/>
        <v/>
      </c>
    </row>
    <row r="33382" spans="26:26" x14ac:dyDescent="0.2">
      <c r="Z33382" t="str">
        <f t="shared" si="521"/>
        <v/>
      </c>
    </row>
    <row r="33383" spans="26:26" x14ac:dyDescent="0.2">
      <c r="Z33383" t="str">
        <f t="shared" si="521"/>
        <v/>
      </c>
    </row>
    <row r="33384" spans="26:26" x14ac:dyDescent="0.2">
      <c r="Z33384" t="str">
        <f t="shared" si="521"/>
        <v/>
      </c>
    </row>
    <row r="33385" spans="26:26" x14ac:dyDescent="0.2">
      <c r="Z33385" t="str">
        <f t="shared" si="521"/>
        <v/>
      </c>
    </row>
    <row r="33386" spans="26:26" x14ac:dyDescent="0.2">
      <c r="Z33386" t="str">
        <f t="shared" si="521"/>
        <v/>
      </c>
    </row>
    <row r="33387" spans="26:26" x14ac:dyDescent="0.2">
      <c r="Z33387" t="str">
        <f t="shared" si="521"/>
        <v/>
      </c>
    </row>
    <row r="33388" spans="26:26" x14ac:dyDescent="0.2">
      <c r="Z33388" t="str">
        <f t="shared" si="521"/>
        <v/>
      </c>
    </row>
    <row r="33389" spans="26:26" x14ac:dyDescent="0.2">
      <c r="Z33389" t="str">
        <f t="shared" si="521"/>
        <v/>
      </c>
    </row>
    <row r="33390" spans="26:26" x14ac:dyDescent="0.2">
      <c r="Z33390" t="str">
        <f t="shared" si="521"/>
        <v/>
      </c>
    </row>
    <row r="33391" spans="26:26" x14ac:dyDescent="0.2">
      <c r="Z33391" t="str">
        <f t="shared" si="521"/>
        <v/>
      </c>
    </row>
    <row r="33392" spans="26:26" x14ac:dyDescent="0.2">
      <c r="Z33392" t="str">
        <f t="shared" si="521"/>
        <v/>
      </c>
    </row>
    <row r="33393" spans="26:26" x14ac:dyDescent="0.2">
      <c r="Z33393" t="str">
        <f t="shared" si="521"/>
        <v/>
      </c>
    </row>
    <row r="33394" spans="26:26" x14ac:dyDescent="0.2">
      <c r="Z33394" t="str">
        <f t="shared" si="521"/>
        <v/>
      </c>
    </row>
    <row r="33395" spans="26:26" x14ac:dyDescent="0.2">
      <c r="Z33395" t="str">
        <f t="shared" si="521"/>
        <v/>
      </c>
    </row>
    <row r="33396" spans="26:26" x14ac:dyDescent="0.2">
      <c r="Z33396" t="str">
        <f t="shared" si="521"/>
        <v/>
      </c>
    </row>
    <row r="33397" spans="26:26" x14ac:dyDescent="0.2">
      <c r="Z33397" t="str">
        <f t="shared" si="521"/>
        <v/>
      </c>
    </row>
    <row r="33398" spans="26:26" x14ac:dyDescent="0.2">
      <c r="Z33398" t="str">
        <f t="shared" si="521"/>
        <v/>
      </c>
    </row>
    <row r="33399" spans="26:26" x14ac:dyDescent="0.2">
      <c r="Z33399" t="str">
        <f t="shared" si="521"/>
        <v/>
      </c>
    </row>
    <row r="33400" spans="26:26" x14ac:dyDescent="0.2">
      <c r="Z33400" t="str">
        <f t="shared" si="521"/>
        <v/>
      </c>
    </row>
    <row r="33401" spans="26:26" x14ac:dyDescent="0.2">
      <c r="Z33401" t="str">
        <f t="shared" si="521"/>
        <v/>
      </c>
    </row>
    <row r="33402" spans="26:26" x14ac:dyDescent="0.2">
      <c r="Z33402" t="str">
        <f t="shared" si="521"/>
        <v/>
      </c>
    </row>
    <row r="33403" spans="26:26" x14ac:dyDescent="0.2">
      <c r="Z33403" t="str">
        <f t="shared" si="521"/>
        <v/>
      </c>
    </row>
    <row r="33404" spans="26:26" x14ac:dyDescent="0.2">
      <c r="Z33404" t="str">
        <f t="shared" si="521"/>
        <v/>
      </c>
    </row>
    <row r="33405" spans="26:26" x14ac:dyDescent="0.2">
      <c r="Z33405" t="str">
        <f t="shared" si="521"/>
        <v/>
      </c>
    </row>
    <row r="33406" spans="26:26" x14ac:dyDescent="0.2">
      <c r="Z33406" t="str">
        <f t="shared" si="521"/>
        <v/>
      </c>
    </row>
    <row r="33407" spans="26:26" x14ac:dyDescent="0.2">
      <c r="Z33407" t="str">
        <f t="shared" si="521"/>
        <v/>
      </c>
    </row>
    <row r="33408" spans="26:26" x14ac:dyDescent="0.2">
      <c r="Z33408" t="str">
        <f t="shared" si="521"/>
        <v/>
      </c>
    </row>
    <row r="33409" spans="26:26" x14ac:dyDescent="0.2">
      <c r="Z33409" t="str">
        <f t="shared" si="521"/>
        <v/>
      </c>
    </row>
    <row r="33410" spans="26:26" x14ac:dyDescent="0.2">
      <c r="Z33410" t="str">
        <f t="shared" si="521"/>
        <v/>
      </c>
    </row>
    <row r="33411" spans="26:26" x14ac:dyDescent="0.2">
      <c r="Z33411" t="str">
        <f t="shared" ref="Z33411:Z33474" si="522">IF(K33411="","",IFERROR(VALUE(TRIM(MID(K33411,FIND(CHAR(167),SUBSTITUTE(K33411,"-",CHAR(167),LEN(K33411)-LEN(SUBSTITUTE(K33411,"-",""))))+1,100))),K33411))</f>
        <v/>
      </c>
    </row>
    <row r="33412" spans="26:26" x14ac:dyDescent="0.2">
      <c r="Z33412" t="str">
        <f t="shared" si="522"/>
        <v/>
      </c>
    </row>
    <row r="33413" spans="26:26" x14ac:dyDescent="0.2">
      <c r="Z33413" t="str">
        <f t="shared" si="522"/>
        <v/>
      </c>
    </row>
    <row r="33414" spans="26:26" x14ac:dyDescent="0.2">
      <c r="Z33414" t="str">
        <f t="shared" si="522"/>
        <v/>
      </c>
    </row>
    <row r="33415" spans="26:26" x14ac:dyDescent="0.2">
      <c r="Z33415" t="str">
        <f t="shared" si="522"/>
        <v/>
      </c>
    </row>
    <row r="33416" spans="26:26" x14ac:dyDescent="0.2">
      <c r="Z33416" t="str">
        <f t="shared" si="522"/>
        <v/>
      </c>
    </row>
    <row r="33417" spans="26:26" x14ac:dyDescent="0.2">
      <c r="Z33417" t="str">
        <f t="shared" si="522"/>
        <v/>
      </c>
    </row>
    <row r="33418" spans="26:26" x14ac:dyDescent="0.2">
      <c r="Z33418" t="str">
        <f t="shared" si="522"/>
        <v/>
      </c>
    </row>
    <row r="33419" spans="26:26" x14ac:dyDescent="0.2">
      <c r="Z33419" t="str">
        <f t="shared" si="522"/>
        <v/>
      </c>
    </row>
    <row r="33420" spans="26:26" x14ac:dyDescent="0.2">
      <c r="Z33420" t="str">
        <f t="shared" si="522"/>
        <v/>
      </c>
    </row>
    <row r="33421" spans="26:26" x14ac:dyDescent="0.2">
      <c r="Z33421" t="str">
        <f t="shared" si="522"/>
        <v/>
      </c>
    </row>
    <row r="33422" spans="26:26" x14ac:dyDescent="0.2">
      <c r="Z33422" t="str">
        <f t="shared" si="522"/>
        <v/>
      </c>
    </row>
    <row r="33423" spans="26:26" x14ac:dyDescent="0.2">
      <c r="Z33423" t="str">
        <f t="shared" si="522"/>
        <v/>
      </c>
    </row>
    <row r="33424" spans="26:26" x14ac:dyDescent="0.2">
      <c r="Z33424" t="str">
        <f t="shared" si="522"/>
        <v/>
      </c>
    </row>
    <row r="33425" spans="26:26" x14ac:dyDescent="0.2">
      <c r="Z33425" t="str">
        <f t="shared" si="522"/>
        <v/>
      </c>
    </row>
    <row r="33426" spans="26:26" x14ac:dyDescent="0.2">
      <c r="Z33426" t="str">
        <f t="shared" si="522"/>
        <v/>
      </c>
    </row>
    <row r="33427" spans="26:26" x14ac:dyDescent="0.2">
      <c r="Z33427" t="str">
        <f t="shared" si="522"/>
        <v/>
      </c>
    </row>
    <row r="33428" spans="26:26" x14ac:dyDescent="0.2">
      <c r="Z33428" t="str">
        <f t="shared" si="522"/>
        <v/>
      </c>
    </row>
    <row r="33429" spans="26:26" x14ac:dyDescent="0.2">
      <c r="Z33429" t="str">
        <f t="shared" si="522"/>
        <v/>
      </c>
    </row>
    <row r="33430" spans="26:26" x14ac:dyDescent="0.2">
      <c r="Z33430" t="str">
        <f t="shared" si="522"/>
        <v/>
      </c>
    </row>
    <row r="33431" spans="26:26" x14ac:dyDescent="0.2">
      <c r="Z33431" t="str">
        <f t="shared" si="522"/>
        <v/>
      </c>
    </row>
    <row r="33432" spans="26:26" x14ac:dyDescent="0.2">
      <c r="Z33432" t="str">
        <f t="shared" si="522"/>
        <v/>
      </c>
    </row>
    <row r="33433" spans="26:26" x14ac:dyDescent="0.2">
      <c r="Z33433" t="str">
        <f t="shared" si="522"/>
        <v/>
      </c>
    </row>
    <row r="33434" spans="26:26" x14ac:dyDescent="0.2">
      <c r="Z33434" t="str">
        <f t="shared" si="522"/>
        <v/>
      </c>
    </row>
    <row r="33435" spans="26:26" x14ac:dyDescent="0.2">
      <c r="Z33435" t="str">
        <f t="shared" si="522"/>
        <v/>
      </c>
    </row>
    <row r="33436" spans="26:26" x14ac:dyDescent="0.2">
      <c r="Z33436" t="str">
        <f t="shared" si="522"/>
        <v/>
      </c>
    </row>
    <row r="33437" spans="26:26" x14ac:dyDescent="0.2">
      <c r="Z33437" t="str">
        <f t="shared" si="522"/>
        <v/>
      </c>
    </row>
    <row r="33438" spans="26:26" x14ac:dyDescent="0.2">
      <c r="Z33438" t="str">
        <f t="shared" si="522"/>
        <v/>
      </c>
    </row>
    <row r="33439" spans="26:26" x14ac:dyDescent="0.2">
      <c r="Z33439" t="str">
        <f t="shared" si="522"/>
        <v/>
      </c>
    </row>
    <row r="33440" spans="26:26" x14ac:dyDescent="0.2">
      <c r="Z33440" t="str">
        <f t="shared" si="522"/>
        <v/>
      </c>
    </row>
    <row r="33441" spans="26:26" x14ac:dyDescent="0.2">
      <c r="Z33441" t="str">
        <f t="shared" si="522"/>
        <v/>
      </c>
    </row>
    <row r="33442" spans="26:26" x14ac:dyDescent="0.2">
      <c r="Z33442" t="str">
        <f t="shared" si="522"/>
        <v/>
      </c>
    </row>
    <row r="33443" spans="26:26" x14ac:dyDescent="0.2">
      <c r="Z33443" t="str">
        <f t="shared" si="522"/>
        <v/>
      </c>
    </row>
    <row r="33444" spans="26:26" x14ac:dyDescent="0.2">
      <c r="Z33444" t="str">
        <f t="shared" si="522"/>
        <v/>
      </c>
    </row>
    <row r="33445" spans="26:26" x14ac:dyDescent="0.2">
      <c r="Z33445" t="str">
        <f t="shared" si="522"/>
        <v/>
      </c>
    </row>
    <row r="33446" spans="26:26" x14ac:dyDescent="0.2">
      <c r="Z33446" t="str">
        <f t="shared" si="522"/>
        <v/>
      </c>
    </row>
    <row r="33447" spans="26:26" x14ac:dyDescent="0.2">
      <c r="Z33447" t="str">
        <f t="shared" si="522"/>
        <v/>
      </c>
    </row>
    <row r="33448" spans="26:26" x14ac:dyDescent="0.2">
      <c r="Z33448" t="str">
        <f t="shared" si="522"/>
        <v/>
      </c>
    </row>
    <row r="33449" spans="26:26" x14ac:dyDescent="0.2">
      <c r="Z33449" t="str">
        <f t="shared" si="522"/>
        <v/>
      </c>
    </row>
    <row r="33450" spans="26:26" x14ac:dyDescent="0.2">
      <c r="Z33450" t="str">
        <f t="shared" si="522"/>
        <v/>
      </c>
    </row>
    <row r="33451" spans="26:26" x14ac:dyDescent="0.2">
      <c r="Z33451" t="str">
        <f t="shared" si="522"/>
        <v/>
      </c>
    </row>
    <row r="33452" spans="26:26" x14ac:dyDescent="0.2">
      <c r="Z33452" t="str">
        <f t="shared" si="522"/>
        <v/>
      </c>
    </row>
    <row r="33453" spans="26:26" x14ac:dyDescent="0.2">
      <c r="Z33453" t="str">
        <f t="shared" si="522"/>
        <v/>
      </c>
    </row>
    <row r="33454" spans="26:26" x14ac:dyDescent="0.2">
      <c r="Z33454" t="str">
        <f t="shared" si="522"/>
        <v/>
      </c>
    </row>
    <row r="33455" spans="26:26" x14ac:dyDescent="0.2">
      <c r="Z33455" t="str">
        <f t="shared" si="522"/>
        <v/>
      </c>
    </row>
    <row r="33456" spans="26:26" x14ac:dyDescent="0.2">
      <c r="Z33456" t="str">
        <f t="shared" si="522"/>
        <v/>
      </c>
    </row>
    <row r="33457" spans="26:26" x14ac:dyDescent="0.2">
      <c r="Z33457" t="str">
        <f t="shared" si="522"/>
        <v/>
      </c>
    </row>
    <row r="33458" spans="26:26" x14ac:dyDescent="0.2">
      <c r="Z33458" t="str">
        <f t="shared" si="522"/>
        <v/>
      </c>
    </row>
    <row r="33459" spans="26:26" x14ac:dyDescent="0.2">
      <c r="Z33459" t="str">
        <f t="shared" si="522"/>
        <v/>
      </c>
    </row>
    <row r="33460" spans="26:26" x14ac:dyDescent="0.2">
      <c r="Z33460" t="str">
        <f t="shared" si="522"/>
        <v/>
      </c>
    </row>
    <row r="33461" spans="26:26" x14ac:dyDescent="0.2">
      <c r="Z33461" t="str">
        <f t="shared" si="522"/>
        <v/>
      </c>
    </row>
    <row r="33462" spans="26:26" x14ac:dyDescent="0.2">
      <c r="Z33462" t="str">
        <f t="shared" si="522"/>
        <v/>
      </c>
    </row>
    <row r="33463" spans="26:26" x14ac:dyDescent="0.2">
      <c r="Z33463" t="str">
        <f t="shared" si="522"/>
        <v/>
      </c>
    </row>
    <row r="33464" spans="26:26" x14ac:dyDescent="0.2">
      <c r="Z33464" t="str">
        <f t="shared" si="522"/>
        <v/>
      </c>
    </row>
    <row r="33465" spans="26:26" x14ac:dyDescent="0.2">
      <c r="Z33465" t="str">
        <f t="shared" si="522"/>
        <v/>
      </c>
    </row>
    <row r="33466" spans="26:26" x14ac:dyDescent="0.2">
      <c r="Z33466" t="str">
        <f t="shared" si="522"/>
        <v/>
      </c>
    </row>
    <row r="33467" spans="26:26" x14ac:dyDescent="0.2">
      <c r="Z33467" t="str">
        <f t="shared" si="522"/>
        <v/>
      </c>
    </row>
    <row r="33468" spans="26:26" x14ac:dyDescent="0.2">
      <c r="Z33468" t="str">
        <f t="shared" si="522"/>
        <v/>
      </c>
    </row>
    <row r="33469" spans="26:26" x14ac:dyDescent="0.2">
      <c r="Z33469" t="str">
        <f t="shared" si="522"/>
        <v/>
      </c>
    </row>
    <row r="33470" spans="26:26" x14ac:dyDescent="0.2">
      <c r="Z33470" t="str">
        <f t="shared" si="522"/>
        <v/>
      </c>
    </row>
    <row r="33471" spans="26:26" x14ac:dyDescent="0.2">
      <c r="Z33471" t="str">
        <f t="shared" si="522"/>
        <v/>
      </c>
    </row>
    <row r="33472" spans="26:26" x14ac:dyDescent="0.2">
      <c r="Z33472" t="str">
        <f t="shared" si="522"/>
        <v/>
      </c>
    </row>
    <row r="33473" spans="26:26" x14ac:dyDescent="0.2">
      <c r="Z33473" t="str">
        <f t="shared" si="522"/>
        <v/>
      </c>
    </row>
    <row r="33474" spans="26:26" x14ac:dyDescent="0.2">
      <c r="Z33474" t="str">
        <f t="shared" si="522"/>
        <v/>
      </c>
    </row>
    <row r="33475" spans="26:26" x14ac:dyDescent="0.2">
      <c r="Z33475" t="str">
        <f t="shared" ref="Z33475:Z33538" si="523">IF(K33475="","",IFERROR(VALUE(TRIM(MID(K33475,FIND(CHAR(167),SUBSTITUTE(K33475,"-",CHAR(167),LEN(K33475)-LEN(SUBSTITUTE(K33475,"-",""))))+1,100))),K33475))</f>
        <v/>
      </c>
    </row>
    <row r="33476" spans="26:26" x14ac:dyDescent="0.2">
      <c r="Z33476" t="str">
        <f t="shared" si="523"/>
        <v/>
      </c>
    </row>
    <row r="33477" spans="26:26" x14ac:dyDescent="0.2">
      <c r="Z33477" t="str">
        <f t="shared" si="523"/>
        <v/>
      </c>
    </row>
    <row r="33478" spans="26:26" x14ac:dyDescent="0.2">
      <c r="Z33478" t="str">
        <f t="shared" si="523"/>
        <v/>
      </c>
    </row>
    <row r="33479" spans="26:26" x14ac:dyDescent="0.2">
      <c r="Z33479" t="str">
        <f t="shared" si="523"/>
        <v/>
      </c>
    </row>
    <row r="33480" spans="26:26" x14ac:dyDescent="0.2">
      <c r="Z33480" t="str">
        <f t="shared" si="523"/>
        <v/>
      </c>
    </row>
    <row r="33481" spans="26:26" x14ac:dyDescent="0.2">
      <c r="Z33481" t="str">
        <f t="shared" si="523"/>
        <v/>
      </c>
    </row>
    <row r="33482" spans="26:26" x14ac:dyDescent="0.2">
      <c r="Z33482" t="str">
        <f t="shared" si="523"/>
        <v/>
      </c>
    </row>
    <row r="33483" spans="26:26" x14ac:dyDescent="0.2">
      <c r="Z33483" t="str">
        <f t="shared" si="523"/>
        <v/>
      </c>
    </row>
    <row r="33484" spans="26:26" x14ac:dyDescent="0.2">
      <c r="Z33484" t="str">
        <f t="shared" si="523"/>
        <v/>
      </c>
    </row>
    <row r="33485" spans="26:26" x14ac:dyDescent="0.2">
      <c r="Z33485" t="str">
        <f t="shared" si="523"/>
        <v/>
      </c>
    </row>
    <row r="33486" spans="26:26" x14ac:dyDescent="0.2">
      <c r="Z33486" t="str">
        <f t="shared" si="523"/>
        <v/>
      </c>
    </row>
    <row r="33487" spans="26:26" x14ac:dyDescent="0.2">
      <c r="Z33487" t="str">
        <f t="shared" si="523"/>
        <v/>
      </c>
    </row>
    <row r="33488" spans="26:26" x14ac:dyDescent="0.2">
      <c r="Z33488" t="str">
        <f t="shared" si="523"/>
        <v/>
      </c>
    </row>
    <row r="33489" spans="26:26" x14ac:dyDescent="0.2">
      <c r="Z33489" t="str">
        <f t="shared" si="523"/>
        <v/>
      </c>
    </row>
    <row r="33490" spans="26:26" x14ac:dyDescent="0.2">
      <c r="Z33490" t="str">
        <f t="shared" si="523"/>
        <v/>
      </c>
    </row>
    <row r="33491" spans="26:26" x14ac:dyDescent="0.2">
      <c r="Z33491" t="str">
        <f t="shared" si="523"/>
        <v/>
      </c>
    </row>
    <row r="33492" spans="26:26" x14ac:dyDescent="0.2">
      <c r="Z33492" t="str">
        <f t="shared" si="523"/>
        <v/>
      </c>
    </row>
    <row r="33493" spans="26:26" x14ac:dyDescent="0.2">
      <c r="Z33493" t="str">
        <f t="shared" si="523"/>
        <v/>
      </c>
    </row>
    <row r="33494" spans="26:26" x14ac:dyDescent="0.2">
      <c r="Z33494" t="str">
        <f t="shared" si="523"/>
        <v/>
      </c>
    </row>
    <row r="33495" spans="26:26" x14ac:dyDescent="0.2">
      <c r="Z33495" t="str">
        <f t="shared" si="523"/>
        <v/>
      </c>
    </row>
    <row r="33496" spans="26:26" x14ac:dyDescent="0.2">
      <c r="Z33496" t="str">
        <f t="shared" si="523"/>
        <v/>
      </c>
    </row>
    <row r="33497" spans="26:26" x14ac:dyDescent="0.2">
      <c r="Z33497" t="str">
        <f t="shared" si="523"/>
        <v/>
      </c>
    </row>
    <row r="33498" spans="26:26" x14ac:dyDescent="0.2">
      <c r="Z33498" t="str">
        <f t="shared" si="523"/>
        <v/>
      </c>
    </row>
    <row r="33499" spans="26:26" x14ac:dyDescent="0.2">
      <c r="Z33499" t="str">
        <f t="shared" si="523"/>
        <v/>
      </c>
    </row>
    <row r="33500" spans="26:26" x14ac:dyDescent="0.2">
      <c r="Z33500" t="str">
        <f t="shared" si="523"/>
        <v/>
      </c>
    </row>
    <row r="33501" spans="26:26" x14ac:dyDescent="0.2">
      <c r="Z33501" t="str">
        <f t="shared" si="523"/>
        <v/>
      </c>
    </row>
    <row r="33502" spans="26:26" x14ac:dyDescent="0.2">
      <c r="Z33502" t="str">
        <f t="shared" si="523"/>
        <v/>
      </c>
    </row>
    <row r="33503" spans="26:26" x14ac:dyDescent="0.2">
      <c r="Z33503" t="str">
        <f t="shared" si="523"/>
        <v/>
      </c>
    </row>
    <row r="33504" spans="26:26" x14ac:dyDescent="0.2">
      <c r="Z33504" t="str">
        <f t="shared" si="523"/>
        <v/>
      </c>
    </row>
    <row r="33505" spans="26:26" x14ac:dyDescent="0.2">
      <c r="Z33505" t="str">
        <f t="shared" si="523"/>
        <v/>
      </c>
    </row>
    <row r="33506" spans="26:26" x14ac:dyDescent="0.2">
      <c r="Z33506" t="str">
        <f t="shared" si="523"/>
        <v/>
      </c>
    </row>
    <row r="33507" spans="26:26" x14ac:dyDescent="0.2">
      <c r="Z33507" t="str">
        <f t="shared" si="523"/>
        <v/>
      </c>
    </row>
    <row r="33508" spans="26:26" x14ac:dyDescent="0.2">
      <c r="Z33508" t="str">
        <f t="shared" si="523"/>
        <v/>
      </c>
    </row>
    <row r="33509" spans="26:26" x14ac:dyDescent="0.2">
      <c r="Z33509" t="str">
        <f t="shared" si="523"/>
        <v/>
      </c>
    </row>
    <row r="33510" spans="26:26" x14ac:dyDescent="0.2">
      <c r="Z33510" t="str">
        <f t="shared" si="523"/>
        <v/>
      </c>
    </row>
    <row r="33511" spans="26:26" x14ac:dyDescent="0.2">
      <c r="Z33511" t="str">
        <f t="shared" si="523"/>
        <v/>
      </c>
    </row>
    <row r="33512" spans="26:26" x14ac:dyDescent="0.2">
      <c r="Z33512" t="str">
        <f t="shared" si="523"/>
        <v/>
      </c>
    </row>
    <row r="33513" spans="26:26" x14ac:dyDescent="0.2">
      <c r="Z33513" t="str">
        <f t="shared" si="523"/>
        <v/>
      </c>
    </row>
    <row r="33514" spans="26:26" x14ac:dyDescent="0.2">
      <c r="Z33514" t="str">
        <f t="shared" si="523"/>
        <v/>
      </c>
    </row>
    <row r="33515" spans="26:26" x14ac:dyDescent="0.2">
      <c r="Z33515" t="str">
        <f t="shared" si="523"/>
        <v/>
      </c>
    </row>
    <row r="33516" spans="26:26" x14ac:dyDescent="0.2">
      <c r="Z33516" t="str">
        <f t="shared" si="523"/>
        <v/>
      </c>
    </row>
    <row r="33517" spans="26:26" x14ac:dyDescent="0.2">
      <c r="Z33517" t="str">
        <f t="shared" si="523"/>
        <v/>
      </c>
    </row>
    <row r="33518" spans="26:26" x14ac:dyDescent="0.2">
      <c r="Z33518" t="str">
        <f t="shared" si="523"/>
        <v/>
      </c>
    </row>
    <row r="33519" spans="26:26" x14ac:dyDescent="0.2">
      <c r="Z33519" t="str">
        <f t="shared" si="523"/>
        <v/>
      </c>
    </row>
    <row r="33520" spans="26:26" x14ac:dyDescent="0.2">
      <c r="Z33520" t="str">
        <f t="shared" si="523"/>
        <v/>
      </c>
    </row>
    <row r="33521" spans="26:26" x14ac:dyDescent="0.2">
      <c r="Z33521" t="str">
        <f t="shared" si="523"/>
        <v/>
      </c>
    </row>
    <row r="33522" spans="26:26" x14ac:dyDescent="0.2">
      <c r="Z33522" t="str">
        <f t="shared" si="523"/>
        <v/>
      </c>
    </row>
    <row r="33523" spans="26:26" x14ac:dyDescent="0.2">
      <c r="Z33523" t="str">
        <f t="shared" si="523"/>
        <v/>
      </c>
    </row>
    <row r="33524" spans="26:26" x14ac:dyDescent="0.2">
      <c r="Z33524" t="str">
        <f t="shared" si="523"/>
        <v/>
      </c>
    </row>
    <row r="33525" spans="26:26" x14ac:dyDescent="0.2">
      <c r="Z33525" t="str">
        <f t="shared" si="523"/>
        <v/>
      </c>
    </row>
    <row r="33526" spans="26:26" x14ac:dyDescent="0.2">
      <c r="Z33526" t="str">
        <f t="shared" si="523"/>
        <v/>
      </c>
    </row>
    <row r="33527" spans="26:26" x14ac:dyDescent="0.2">
      <c r="Z33527" t="str">
        <f t="shared" si="523"/>
        <v/>
      </c>
    </row>
    <row r="33528" spans="26:26" x14ac:dyDescent="0.2">
      <c r="Z33528" t="str">
        <f t="shared" si="523"/>
        <v/>
      </c>
    </row>
    <row r="33529" spans="26:26" x14ac:dyDescent="0.2">
      <c r="Z33529" t="str">
        <f t="shared" si="523"/>
        <v/>
      </c>
    </row>
    <row r="33530" spans="26:26" x14ac:dyDescent="0.2">
      <c r="Z33530" t="str">
        <f t="shared" si="523"/>
        <v/>
      </c>
    </row>
    <row r="33531" spans="26:26" x14ac:dyDescent="0.2">
      <c r="Z33531" t="str">
        <f t="shared" si="523"/>
        <v/>
      </c>
    </row>
    <row r="33532" spans="26:26" x14ac:dyDescent="0.2">
      <c r="Z33532" t="str">
        <f t="shared" si="523"/>
        <v/>
      </c>
    </row>
    <row r="33533" spans="26:26" x14ac:dyDescent="0.2">
      <c r="Z33533" t="str">
        <f t="shared" si="523"/>
        <v/>
      </c>
    </row>
    <row r="33534" spans="26:26" x14ac:dyDescent="0.2">
      <c r="Z33534" t="str">
        <f t="shared" si="523"/>
        <v/>
      </c>
    </row>
    <row r="33535" spans="26:26" x14ac:dyDescent="0.2">
      <c r="Z33535" t="str">
        <f t="shared" si="523"/>
        <v/>
      </c>
    </row>
    <row r="33536" spans="26:26" x14ac:dyDescent="0.2">
      <c r="Z33536" t="str">
        <f t="shared" si="523"/>
        <v/>
      </c>
    </row>
    <row r="33537" spans="26:26" x14ac:dyDescent="0.2">
      <c r="Z33537" t="str">
        <f t="shared" si="523"/>
        <v/>
      </c>
    </row>
    <row r="33538" spans="26:26" x14ac:dyDescent="0.2">
      <c r="Z33538" t="str">
        <f t="shared" si="523"/>
        <v/>
      </c>
    </row>
    <row r="33539" spans="26:26" x14ac:dyDescent="0.2">
      <c r="Z33539" t="str">
        <f t="shared" ref="Z33539:Z33602" si="524">IF(K33539="","",IFERROR(VALUE(TRIM(MID(K33539,FIND(CHAR(167),SUBSTITUTE(K33539,"-",CHAR(167),LEN(K33539)-LEN(SUBSTITUTE(K33539,"-",""))))+1,100))),K33539))</f>
        <v/>
      </c>
    </row>
    <row r="33540" spans="26:26" x14ac:dyDescent="0.2">
      <c r="Z33540" t="str">
        <f t="shared" si="524"/>
        <v/>
      </c>
    </row>
    <row r="33541" spans="26:26" x14ac:dyDescent="0.2">
      <c r="Z33541" t="str">
        <f t="shared" si="524"/>
        <v/>
      </c>
    </row>
    <row r="33542" spans="26:26" x14ac:dyDescent="0.2">
      <c r="Z33542" t="str">
        <f t="shared" si="524"/>
        <v/>
      </c>
    </row>
    <row r="33543" spans="26:26" x14ac:dyDescent="0.2">
      <c r="Z33543" t="str">
        <f t="shared" si="524"/>
        <v/>
      </c>
    </row>
    <row r="33544" spans="26:26" x14ac:dyDescent="0.2">
      <c r="Z33544" t="str">
        <f t="shared" si="524"/>
        <v/>
      </c>
    </row>
    <row r="33545" spans="26:26" x14ac:dyDescent="0.2">
      <c r="Z33545" t="str">
        <f t="shared" si="524"/>
        <v/>
      </c>
    </row>
    <row r="33546" spans="26:26" x14ac:dyDescent="0.2">
      <c r="Z33546" t="str">
        <f t="shared" si="524"/>
        <v/>
      </c>
    </row>
    <row r="33547" spans="26:26" x14ac:dyDescent="0.2">
      <c r="Z33547" t="str">
        <f t="shared" si="524"/>
        <v/>
      </c>
    </row>
    <row r="33548" spans="26:26" x14ac:dyDescent="0.2">
      <c r="Z33548" t="str">
        <f t="shared" si="524"/>
        <v/>
      </c>
    </row>
    <row r="33549" spans="26:26" x14ac:dyDescent="0.2">
      <c r="Z33549" t="str">
        <f t="shared" si="524"/>
        <v/>
      </c>
    </row>
    <row r="33550" spans="26:26" x14ac:dyDescent="0.2">
      <c r="Z33550" t="str">
        <f t="shared" si="524"/>
        <v/>
      </c>
    </row>
    <row r="33551" spans="26:26" x14ac:dyDescent="0.2">
      <c r="Z33551" t="str">
        <f t="shared" si="524"/>
        <v/>
      </c>
    </row>
    <row r="33552" spans="26:26" x14ac:dyDescent="0.2">
      <c r="Z33552" t="str">
        <f t="shared" si="524"/>
        <v/>
      </c>
    </row>
    <row r="33553" spans="26:26" x14ac:dyDescent="0.2">
      <c r="Z33553" t="str">
        <f t="shared" si="524"/>
        <v/>
      </c>
    </row>
    <row r="33554" spans="26:26" x14ac:dyDescent="0.2">
      <c r="Z33554" t="str">
        <f t="shared" si="524"/>
        <v/>
      </c>
    </row>
    <row r="33555" spans="26:26" x14ac:dyDescent="0.2">
      <c r="Z33555" t="str">
        <f t="shared" si="524"/>
        <v/>
      </c>
    </row>
    <row r="33556" spans="26:26" x14ac:dyDescent="0.2">
      <c r="Z33556" t="str">
        <f t="shared" si="524"/>
        <v/>
      </c>
    </row>
    <row r="33557" spans="26:26" x14ac:dyDescent="0.2">
      <c r="Z33557" t="str">
        <f t="shared" si="524"/>
        <v/>
      </c>
    </row>
    <row r="33558" spans="26:26" x14ac:dyDescent="0.2">
      <c r="Z33558" t="str">
        <f t="shared" si="524"/>
        <v/>
      </c>
    </row>
    <row r="33559" spans="26:26" x14ac:dyDescent="0.2">
      <c r="Z33559" t="str">
        <f t="shared" si="524"/>
        <v/>
      </c>
    </row>
    <row r="33560" spans="26:26" x14ac:dyDescent="0.2">
      <c r="Z33560" t="str">
        <f t="shared" si="524"/>
        <v/>
      </c>
    </row>
    <row r="33561" spans="26:26" x14ac:dyDescent="0.2">
      <c r="Z33561" t="str">
        <f t="shared" si="524"/>
        <v/>
      </c>
    </row>
    <row r="33562" spans="26:26" x14ac:dyDescent="0.2">
      <c r="Z33562" t="str">
        <f t="shared" si="524"/>
        <v/>
      </c>
    </row>
    <row r="33563" spans="26:26" x14ac:dyDescent="0.2">
      <c r="Z33563" t="str">
        <f t="shared" si="524"/>
        <v/>
      </c>
    </row>
    <row r="33564" spans="26:26" x14ac:dyDescent="0.2">
      <c r="Z33564" t="str">
        <f t="shared" si="524"/>
        <v/>
      </c>
    </row>
    <row r="33565" spans="26:26" x14ac:dyDescent="0.2">
      <c r="Z33565" t="str">
        <f t="shared" si="524"/>
        <v/>
      </c>
    </row>
    <row r="33566" spans="26:26" x14ac:dyDescent="0.2">
      <c r="Z33566" t="str">
        <f t="shared" si="524"/>
        <v/>
      </c>
    </row>
    <row r="33567" spans="26:26" x14ac:dyDescent="0.2">
      <c r="Z33567" t="str">
        <f t="shared" si="524"/>
        <v/>
      </c>
    </row>
    <row r="33568" spans="26:26" x14ac:dyDescent="0.2">
      <c r="Z33568" t="str">
        <f t="shared" si="524"/>
        <v/>
      </c>
    </row>
    <row r="33569" spans="26:26" x14ac:dyDescent="0.2">
      <c r="Z33569" t="str">
        <f t="shared" si="524"/>
        <v/>
      </c>
    </row>
    <row r="33570" spans="26:26" x14ac:dyDescent="0.2">
      <c r="Z33570" t="str">
        <f t="shared" si="524"/>
        <v/>
      </c>
    </row>
    <row r="33571" spans="26:26" x14ac:dyDescent="0.2">
      <c r="Z33571" t="str">
        <f t="shared" si="524"/>
        <v/>
      </c>
    </row>
    <row r="33572" spans="26:26" x14ac:dyDescent="0.2">
      <c r="Z33572" t="str">
        <f t="shared" si="524"/>
        <v/>
      </c>
    </row>
    <row r="33573" spans="26:26" x14ac:dyDescent="0.2">
      <c r="Z33573" t="str">
        <f t="shared" si="524"/>
        <v/>
      </c>
    </row>
    <row r="33574" spans="26:26" x14ac:dyDescent="0.2">
      <c r="Z33574" t="str">
        <f t="shared" si="524"/>
        <v/>
      </c>
    </row>
    <row r="33575" spans="26:26" x14ac:dyDescent="0.2">
      <c r="Z33575" t="str">
        <f t="shared" si="524"/>
        <v/>
      </c>
    </row>
    <row r="33576" spans="26:26" x14ac:dyDescent="0.2">
      <c r="Z33576" t="str">
        <f t="shared" si="524"/>
        <v/>
      </c>
    </row>
    <row r="33577" spans="26:26" x14ac:dyDescent="0.2">
      <c r="Z33577" t="str">
        <f t="shared" si="524"/>
        <v/>
      </c>
    </row>
    <row r="33578" spans="26:26" x14ac:dyDescent="0.2">
      <c r="Z33578" t="str">
        <f t="shared" si="524"/>
        <v/>
      </c>
    </row>
    <row r="33579" spans="26:26" x14ac:dyDescent="0.2">
      <c r="Z33579" t="str">
        <f t="shared" si="524"/>
        <v/>
      </c>
    </row>
    <row r="33580" spans="26:26" x14ac:dyDescent="0.2">
      <c r="Z33580" t="str">
        <f t="shared" si="524"/>
        <v/>
      </c>
    </row>
    <row r="33581" spans="26:26" x14ac:dyDescent="0.2">
      <c r="Z33581" t="str">
        <f t="shared" si="524"/>
        <v/>
      </c>
    </row>
    <row r="33582" spans="26:26" x14ac:dyDescent="0.2">
      <c r="Z33582" t="str">
        <f t="shared" si="524"/>
        <v/>
      </c>
    </row>
    <row r="33583" spans="26:26" x14ac:dyDescent="0.2">
      <c r="Z33583" t="str">
        <f t="shared" si="524"/>
        <v/>
      </c>
    </row>
    <row r="33584" spans="26:26" x14ac:dyDescent="0.2">
      <c r="Z33584" t="str">
        <f t="shared" si="524"/>
        <v/>
      </c>
    </row>
    <row r="33585" spans="26:26" x14ac:dyDescent="0.2">
      <c r="Z33585" t="str">
        <f t="shared" si="524"/>
        <v/>
      </c>
    </row>
    <row r="33586" spans="26:26" x14ac:dyDescent="0.2">
      <c r="Z33586" t="str">
        <f t="shared" si="524"/>
        <v/>
      </c>
    </row>
    <row r="33587" spans="26:26" x14ac:dyDescent="0.2">
      <c r="Z33587" t="str">
        <f t="shared" si="524"/>
        <v/>
      </c>
    </row>
    <row r="33588" spans="26:26" x14ac:dyDescent="0.2">
      <c r="Z33588" t="str">
        <f t="shared" si="524"/>
        <v/>
      </c>
    </row>
    <row r="33589" spans="26:26" x14ac:dyDescent="0.2">
      <c r="Z33589" t="str">
        <f t="shared" si="524"/>
        <v/>
      </c>
    </row>
    <row r="33590" spans="26:26" x14ac:dyDescent="0.2">
      <c r="Z33590" t="str">
        <f t="shared" si="524"/>
        <v/>
      </c>
    </row>
    <row r="33591" spans="26:26" x14ac:dyDescent="0.2">
      <c r="Z33591" t="str">
        <f t="shared" si="524"/>
        <v/>
      </c>
    </row>
    <row r="33592" spans="26:26" x14ac:dyDescent="0.2">
      <c r="Z33592" t="str">
        <f t="shared" si="524"/>
        <v/>
      </c>
    </row>
    <row r="33593" spans="26:26" x14ac:dyDescent="0.2">
      <c r="Z33593" t="str">
        <f t="shared" si="524"/>
        <v/>
      </c>
    </row>
    <row r="33594" spans="26:26" x14ac:dyDescent="0.2">
      <c r="Z33594" t="str">
        <f t="shared" si="524"/>
        <v/>
      </c>
    </row>
    <row r="33595" spans="26:26" x14ac:dyDescent="0.2">
      <c r="Z33595" t="str">
        <f t="shared" si="524"/>
        <v/>
      </c>
    </row>
    <row r="33596" spans="26:26" x14ac:dyDescent="0.2">
      <c r="Z33596" t="str">
        <f t="shared" si="524"/>
        <v/>
      </c>
    </row>
    <row r="33597" spans="26:26" x14ac:dyDescent="0.2">
      <c r="Z33597" t="str">
        <f t="shared" si="524"/>
        <v/>
      </c>
    </row>
    <row r="33598" spans="26:26" x14ac:dyDescent="0.2">
      <c r="Z33598" t="str">
        <f t="shared" si="524"/>
        <v/>
      </c>
    </row>
    <row r="33599" spans="26:26" x14ac:dyDescent="0.2">
      <c r="Z33599" t="str">
        <f t="shared" si="524"/>
        <v/>
      </c>
    </row>
    <row r="33600" spans="26:26" x14ac:dyDescent="0.2">
      <c r="Z33600" t="str">
        <f t="shared" si="524"/>
        <v/>
      </c>
    </row>
    <row r="33601" spans="26:26" x14ac:dyDescent="0.2">
      <c r="Z33601" t="str">
        <f t="shared" si="524"/>
        <v/>
      </c>
    </row>
    <row r="33602" spans="26:26" x14ac:dyDescent="0.2">
      <c r="Z33602" t="str">
        <f t="shared" si="524"/>
        <v/>
      </c>
    </row>
    <row r="33603" spans="26:26" x14ac:dyDescent="0.2">
      <c r="Z33603" t="str">
        <f t="shared" ref="Z33603:Z33666" si="525">IF(K33603="","",IFERROR(VALUE(TRIM(MID(K33603,FIND(CHAR(167),SUBSTITUTE(K33603,"-",CHAR(167),LEN(K33603)-LEN(SUBSTITUTE(K33603,"-",""))))+1,100))),K33603))</f>
        <v/>
      </c>
    </row>
    <row r="33604" spans="26:26" x14ac:dyDescent="0.2">
      <c r="Z33604" t="str">
        <f t="shared" si="525"/>
        <v/>
      </c>
    </row>
    <row r="33605" spans="26:26" x14ac:dyDescent="0.2">
      <c r="Z33605" t="str">
        <f t="shared" si="525"/>
        <v/>
      </c>
    </row>
    <row r="33606" spans="26:26" x14ac:dyDescent="0.2">
      <c r="Z33606" t="str">
        <f t="shared" si="525"/>
        <v/>
      </c>
    </row>
    <row r="33607" spans="26:26" x14ac:dyDescent="0.2">
      <c r="Z33607" t="str">
        <f t="shared" si="525"/>
        <v/>
      </c>
    </row>
    <row r="33608" spans="26:26" x14ac:dyDescent="0.2">
      <c r="Z33608" t="str">
        <f t="shared" si="525"/>
        <v/>
      </c>
    </row>
    <row r="33609" spans="26:26" x14ac:dyDescent="0.2">
      <c r="Z33609" t="str">
        <f t="shared" si="525"/>
        <v/>
      </c>
    </row>
    <row r="33610" spans="26:26" x14ac:dyDescent="0.2">
      <c r="Z33610" t="str">
        <f t="shared" si="525"/>
        <v/>
      </c>
    </row>
    <row r="33611" spans="26:26" x14ac:dyDescent="0.2">
      <c r="Z33611" t="str">
        <f t="shared" si="525"/>
        <v/>
      </c>
    </row>
    <row r="33612" spans="26:26" x14ac:dyDescent="0.2">
      <c r="Z33612" t="str">
        <f t="shared" si="525"/>
        <v/>
      </c>
    </row>
    <row r="33613" spans="26:26" x14ac:dyDescent="0.2">
      <c r="Z33613" t="str">
        <f t="shared" si="525"/>
        <v/>
      </c>
    </row>
    <row r="33614" spans="26:26" x14ac:dyDescent="0.2">
      <c r="Z33614" t="str">
        <f t="shared" si="525"/>
        <v/>
      </c>
    </row>
    <row r="33615" spans="26:26" x14ac:dyDescent="0.2">
      <c r="Z33615" t="str">
        <f t="shared" si="525"/>
        <v/>
      </c>
    </row>
    <row r="33616" spans="26:26" x14ac:dyDescent="0.2">
      <c r="Z33616" t="str">
        <f t="shared" si="525"/>
        <v/>
      </c>
    </row>
    <row r="33617" spans="26:26" x14ac:dyDescent="0.2">
      <c r="Z33617" t="str">
        <f t="shared" si="525"/>
        <v/>
      </c>
    </row>
    <row r="33618" spans="26:26" x14ac:dyDescent="0.2">
      <c r="Z33618" t="str">
        <f t="shared" si="525"/>
        <v/>
      </c>
    </row>
    <row r="33619" spans="26:26" x14ac:dyDescent="0.2">
      <c r="Z33619" t="str">
        <f t="shared" si="525"/>
        <v/>
      </c>
    </row>
    <row r="33620" spans="26:26" x14ac:dyDescent="0.2">
      <c r="Z33620" t="str">
        <f t="shared" si="525"/>
        <v/>
      </c>
    </row>
    <row r="33621" spans="26:26" x14ac:dyDescent="0.2">
      <c r="Z33621" t="str">
        <f t="shared" si="525"/>
        <v/>
      </c>
    </row>
    <row r="33622" spans="26:26" x14ac:dyDescent="0.2">
      <c r="Z33622" t="str">
        <f t="shared" si="525"/>
        <v/>
      </c>
    </row>
    <row r="33623" spans="26:26" x14ac:dyDescent="0.2">
      <c r="Z33623" t="str">
        <f t="shared" si="525"/>
        <v/>
      </c>
    </row>
    <row r="33624" spans="26:26" x14ac:dyDescent="0.2">
      <c r="Z33624" t="str">
        <f t="shared" si="525"/>
        <v/>
      </c>
    </row>
    <row r="33625" spans="26:26" x14ac:dyDescent="0.2">
      <c r="Z33625" t="str">
        <f t="shared" si="525"/>
        <v/>
      </c>
    </row>
    <row r="33626" spans="26:26" x14ac:dyDescent="0.2">
      <c r="Z33626" t="str">
        <f t="shared" si="525"/>
        <v/>
      </c>
    </row>
    <row r="33627" spans="26:26" x14ac:dyDescent="0.2">
      <c r="Z33627" t="str">
        <f t="shared" si="525"/>
        <v/>
      </c>
    </row>
    <row r="33628" spans="26:26" x14ac:dyDescent="0.2">
      <c r="Z33628" t="str">
        <f t="shared" si="525"/>
        <v/>
      </c>
    </row>
    <row r="33629" spans="26:26" x14ac:dyDescent="0.2">
      <c r="Z33629" t="str">
        <f t="shared" si="525"/>
        <v/>
      </c>
    </row>
    <row r="33630" spans="26:26" x14ac:dyDescent="0.2">
      <c r="Z33630" t="str">
        <f t="shared" si="525"/>
        <v/>
      </c>
    </row>
    <row r="33631" spans="26:26" x14ac:dyDescent="0.2">
      <c r="Z33631" t="str">
        <f t="shared" si="525"/>
        <v/>
      </c>
    </row>
    <row r="33632" spans="26:26" x14ac:dyDescent="0.2">
      <c r="Z33632" t="str">
        <f t="shared" si="525"/>
        <v/>
      </c>
    </row>
    <row r="33633" spans="26:26" x14ac:dyDescent="0.2">
      <c r="Z33633" t="str">
        <f t="shared" si="525"/>
        <v/>
      </c>
    </row>
    <row r="33634" spans="26:26" x14ac:dyDescent="0.2">
      <c r="Z33634" t="str">
        <f t="shared" si="525"/>
        <v/>
      </c>
    </row>
    <row r="33635" spans="26:26" x14ac:dyDescent="0.2">
      <c r="Z33635" t="str">
        <f t="shared" si="525"/>
        <v/>
      </c>
    </row>
    <row r="33636" spans="26:26" x14ac:dyDescent="0.2">
      <c r="Z33636" t="str">
        <f t="shared" si="525"/>
        <v/>
      </c>
    </row>
    <row r="33637" spans="26:26" x14ac:dyDescent="0.2">
      <c r="Z33637" t="str">
        <f t="shared" si="525"/>
        <v/>
      </c>
    </row>
    <row r="33638" spans="26:26" x14ac:dyDescent="0.2">
      <c r="Z33638" t="str">
        <f t="shared" si="525"/>
        <v/>
      </c>
    </row>
    <row r="33639" spans="26:26" x14ac:dyDescent="0.2">
      <c r="Z33639" t="str">
        <f t="shared" si="525"/>
        <v/>
      </c>
    </row>
    <row r="33640" spans="26:26" x14ac:dyDescent="0.2">
      <c r="Z33640" t="str">
        <f t="shared" si="525"/>
        <v/>
      </c>
    </row>
    <row r="33641" spans="26:26" x14ac:dyDescent="0.2">
      <c r="Z33641" t="str">
        <f t="shared" si="525"/>
        <v/>
      </c>
    </row>
    <row r="33642" spans="26:26" x14ac:dyDescent="0.2">
      <c r="Z33642" t="str">
        <f t="shared" si="525"/>
        <v/>
      </c>
    </row>
    <row r="33643" spans="26:26" x14ac:dyDescent="0.2">
      <c r="Z33643" t="str">
        <f t="shared" si="525"/>
        <v/>
      </c>
    </row>
    <row r="33644" spans="26:26" x14ac:dyDescent="0.2">
      <c r="Z33644" t="str">
        <f t="shared" si="525"/>
        <v/>
      </c>
    </row>
    <row r="33645" spans="26:26" x14ac:dyDescent="0.2">
      <c r="Z33645" t="str">
        <f t="shared" si="525"/>
        <v/>
      </c>
    </row>
    <row r="33646" spans="26:26" x14ac:dyDescent="0.2">
      <c r="Z33646" t="str">
        <f t="shared" si="525"/>
        <v/>
      </c>
    </row>
    <row r="33647" spans="26:26" x14ac:dyDescent="0.2">
      <c r="Z33647" t="str">
        <f t="shared" si="525"/>
        <v/>
      </c>
    </row>
    <row r="33648" spans="26:26" x14ac:dyDescent="0.2">
      <c r="Z33648" t="str">
        <f t="shared" si="525"/>
        <v/>
      </c>
    </row>
    <row r="33649" spans="26:26" x14ac:dyDescent="0.2">
      <c r="Z33649" t="str">
        <f t="shared" si="525"/>
        <v/>
      </c>
    </row>
    <row r="33650" spans="26:26" x14ac:dyDescent="0.2">
      <c r="Z33650" t="str">
        <f t="shared" si="525"/>
        <v/>
      </c>
    </row>
    <row r="33651" spans="26:26" x14ac:dyDescent="0.2">
      <c r="Z33651" t="str">
        <f t="shared" si="525"/>
        <v/>
      </c>
    </row>
    <row r="33652" spans="26:26" x14ac:dyDescent="0.2">
      <c r="Z33652" t="str">
        <f t="shared" si="525"/>
        <v/>
      </c>
    </row>
    <row r="33653" spans="26:26" x14ac:dyDescent="0.2">
      <c r="Z33653" t="str">
        <f t="shared" si="525"/>
        <v/>
      </c>
    </row>
    <row r="33654" spans="26:26" x14ac:dyDescent="0.2">
      <c r="Z33654" t="str">
        <f t="shared" si="525"/>
        <v/>
      </c>
    </row>
    <row r="33655" spans="26:26" x14ac:dyDescent="0.2">
      <c r="Z33655" t="str">
        <f t="shared" si="525"/>
        <v/>
      </c>
    </row>
    <row r="33656" spans="26:26" x14ac:dyDescent="0.2">
      <c r="Z33656" t="str">
        <f t="shared" si="525"/>
        <v/>
      </c>
    </row>
    <row r="33657" spans="26:26" x14ac:dyDescent="0.2">
      <c r="Z33657" t="str">
        <f t="shared" si="525"/>
        <v/>
      </c>
    </row>
    <row r="33658" spans="26:26" x14ac:dyDescent="0.2">
      <c r="Z33658" t="str">
        <f t="shared" si="525"/>
        <v/>
      </c>
    </row>
    <row r="33659" spans="26:26" x14ac:dyDescent="0.2">
      <c r="Z33659" t="str">
        <f t="shared" si="525"/>
        <v/>
      </c>
    </row>
    <row r="33660" spans="26:26" x14ac:dyDescent="0.2">
      <c r="Z33660" t="str">
        <f t="shared" si="525"/>
        <v/>
      </c>
    </row>
    <row r="33661" spans="26:26" x14ac:dyDescent="0.2">
      <c r="Z33661" t="str">
        <f t="shared" si="525"/>
        <v/>
      </c>
    </row>
    <row r="33662" spans="26:26" x14ac:dyDescent="0.2">
      <c r="Z33662" t="str">
        <f t="shared" si="525"/>
        <v/>
      </c>
    </row>
    <row r="33663" spans="26:26" x14ac:dyDescent="0.2">
      <c r="Z33663" t="str">
        <f t="shared" si="525"/>
        <v/>
      </c>
    </row>
    <row r="33664" spans="26:26" x14ac:dyDescent="0.2">
      <c r="Z33664" t="str">
        <f t="shared" si="525"/>
        <v/>
      </c>
    </row>
    <row r="33665" spans="26:26" x14ac:dyDescent="0.2">
      <c r="Z33665" t="str">
        <f t="shared" si="525"/>
        <v/>
      </c>
    </row>
    <row r="33666" spans="26:26" x14ac:dyDescent="0.2">
      <c r="Z33666" t="str">
        <f t="shared" si="525"/>
        <v/>
      </c>
    </row>
    <row r="33667" spans="26:26" x14ac:dyDescent="0.2">
      <c r="Z33667" t="str">
        <f t="shared" ref="Z33667:Z33730" si="526">IF(K33667="","",IFERROR(VALUE(TRIM(MID(K33667,FIND(CHAR(167),SUBSTITUTE(K33667,"-",CHAR(167),LEN(K33667)-LEN(SUBSTITUTE(K33667,"-",""))))+1,100))),K33667))</f>
        <v/>
      </c>
    </row>
    <row r="33668" spans="26:26" x14ac:dyDescent="0.2">
      <c r="Z33668" t="str">
        <f t="shared" si="526"/>
        <v/>
      </c>
    </row>
    <row r="33669" spans="26:26" x14ac:dyDescent="0.2">
      <c r="Z33669" t="str">
        <f t="shared" si="526"/>
        <v/>
      </c>
    </row>
    <row r="33670" spans="26:26" x14ac:dyDescent="0.2">
      <c r="Z33670" t="str">
        <f t="shared" si="526"/>
        <v/>
      </c>
    </row>
    <row r="33671" spans="26:26" x14ac:dyDescent="0.2">
      <c r="Z33671" t="str">
        <f t="shared" si="526"/>
        <v/>
      </c>
    </row>
    <row r="33672" spans="26:26" x14ac:dyDescent="0.2">
      <c r="Z33672" t="str">
        <f t="shared" si="526"/>
        <v/>
      </c>
    </row>
    <row r="33673" spans="26:26" x14ac:dyDescent="0.2">
      <c r="Z33673" t="str">
        <f t="shared" si="526"/>
        <v/>
      </c>
    </row>
    <row r="33674" spans="26:26" x14ac:dyDescent="0.2">
      <c r="Z33674" t="str">
        <f t="shared" si="526"/>
        <v/>
      </c>
    </row>
    <row r="33675" spans="26:26" x14ac:dyDescent="0.2">
      <c r="Z33675" t="str">
        <f t="shared" si="526"/>
        <v/>
      </c>
    </row>
    <row r="33676" spans="26:26" x14ac:dyDescent="0.2">
      <c r="Z33676" t="str">
        <f t="shared" si="526"/>
        <v/>
      </c>
    </row>
    <row r="33677" spans="26:26" x14ac:dyDescent="0.2">
      <c r="Z33677" t="str">
        <f t="shared" si="526"/>
        <v/>
      </c>
    </row>
    <row r="33678" spans="26:26" x14ac:dyDescent="0.2">
      <c r="Z33678" t="str">
        <f t="shared" si="526"/>
        <v/>
      </c>
    </row>
    <row r="33679" spans="26:26" x14ac:dyDescent="0.2">
      <c r="Z33679" t="str">
        <f t="shared" si="526"/>
        <v/>
      </c>
    </row>
    <row r="33680" spans="26:26" x14ac:dyDescent="0.2">
      <c r="Z33680" t="str">
        <f t="shared" si="526"/>
        <v/>
      </c>
    </row>
    <row r="33681" spans="26:26" x14ac:dyDescent="0.2">
      <c r="Z33681" t="str">
        <f t="shared" si="526"/>
        <v/>
      </c>
    </row>
    <row r="33682" spans="26:26" x14ac:dyDescent="0.2">
      <c r="Z33682" t="str">
        <f t="shared" si="526"/>
        <v/>
      </c>
    </row>
    <row r="33683" spans="26:26" x14ac:dyDescent="0.2">
      <c r="Z33683" t="str">
        <f t="shared" si="526"/>
        <v/>
      </c>
    </row>
    <row r="33684" spans="26:26" x14ac:dyDescent="0.2">
      <c r="Z33684" t="str">
        <f t="shared" si="526"/>
        <v/>
      </c>
    </row>
    <row r="33685" spans="26:26" x14ac:dyDescent="0.2">
      <c r="Z33685" t="str">
        <f t="shared" si="526"/>
        <v/>
      </c>
    </row>
    <row r="33686" spans="26:26" x14ac:dyDescent="0.2">
      <c r="Z33686" t="str">
        <f t="shared" si="526"/>
        <v/>
      </c>
    </row>
    <row r="33687" spans="26:26" x14ac:dyDescent="0.2">
      <c r="Z33687" t="str">
        <f t="shared" si="526"/>
        <v/>
      </c>
    </row>
    <row r="33688" spans="26:26" x14ac:dyDescent="0.2">
      <c r="Z33688" t="str">
        <f t="shared" si="526"/>
        <v/>
      </c>
    </row>
    <row r="33689" spans="26:26" x14ac:dyDescent="0.2">
      <c r="Z33689" t="str">
        <f t="shared" si="526"/>
        <v/>
      </c>
    </row>
    <row r="33690" spans="26:26" x14ac:dyDescent="0.2">
      <c r="Z33690" t="str">
        <f t="shared" si="526"/>
        <v/>
      </c>
    </row>
    <row r="33691" spans="26:26" x14ac:dyDescent="0.2">
      <c r="Z33691" t="str">
        <f t="shared" si="526"/>
        <v/>
      </c>
    </row>
    <row r="33692" spans="26:26" x14ac:dyDescent="0.2">
      <c r="Z33692" t="str">
        <f t="shared" si="526"/>
        <v/>
      </c>
    </row>
    <row r="33693" spans="26:26" x14ac:dyDescent="0.2">
      <c r="Z33693" t="str">
        <f t="shared" si="526"/>
        <v/>
      </c>
    </row>
    <row r="33694" spans="26:26" x14ac:dyDescent="0.2">
      <c r="Z33694" t="str">
        <f t="shared" si="526"/>
        <v/>
      </c>
    </row>
    <row r="33695" spans="26:26" x14ac:dyDescent="0.2">
      <c r="Z33695" t="str">
        <f t="shared" si="526"/>
        <v/>
      </c>
    </row>
    <row r="33696" spans="26:26" x14ac:dyDescent="0.2">
      <c r="Z33696" t="str">
        <f t="shared" si="526"/>
        <v/>
      </c>
    </row>
    <row r="33697" spans="26:26" x14ac:dyDescent="0.2">
      <c r="Z33697" t="str">
        <f t="shared" si="526"/>
        <v/>
      </c>
    </row>
    <row r="33698" spans="26:26" x14ac:dyDescent="0.2">
      <c r="Z33698" t="str">
        <f t="shared" si="526"/>
        <v/>
      </c>
    </row>
    <row r="33699" spans="26:26" x14ac:dyDescent="0.2">
      <c r="Z33699" t="str">
        <f t="shared" si="526"/>
        <v/>
      </c>
    </row>
    <row r="33700" spans="26:26" x14ac:dyDescent="0.2">
      <c r="Z33700" t="str">
        <f t="shared" si="526"/>
        <v/>
      </c>
    </row>
    <row r="33701" spans="26:26" x14ac:dyDescent="0.2">
      <c r="Z33701" t="str">
        <f t="shared" si="526"/>
        <v/>
      </c>
    </row>
    <row r="33702" spans="26:26" x14ac:dyDescent="0.2">
      <c r="Z33702" t="str">
        <f t="shared" si="526"/>
        <v/>
      </c>
    </row>
    <row r="33703" spans="26:26" x14ac:dyDescent="0.2">
      <c r="Z33703" t="str">
        <f t="shared" si="526"/>
        <v/>
      </c>
    </row>
    <row r="33704" spans="26:26" x14ac:dyDescent="0.2">
      <c r="Z33704" t="str">
        <f t="shared" si="526"/>
        <v/>
      </c>
    </row>
    <row r="33705" spans="26:26" x14ac:dyDescent="0.2">
      <c r="Z33705" t="str">
        <f t="shared" si="526"/>
        <v/>
      </c>
    </row>
    <row r="33706" spans="26:26" x14ac:dyDescent="0.2">
      <c r="Z33706" t="str">
        <f t="shared" si="526"/>
        <v/>
      </c>
    </row>
    <row r="33707" spans="26:26" x14ac:dyDescent="0.2">
      <c r="Z33707" t="str">
        <f t="shared" si="526"/>
        <v/>
      </c>
    </row>
    <row r="33708" spans="26:26" x14ac:dyDescent="0.2">
      <c r="Z33708" t="str">
        <f t="shared" si="526"/>
        <v/>
      </c>
    </row>
    <row r="33709" spans="26:26" x14ac:dyDescent="0.2">
      <c r="Z33709" t="str">
        <f t="shared" si="526"/>
        <v/>
      </c>
    </row>
    <row r="33710" spans="26:26" x14ac:dyDescent="0.2">
      <c r="Z33710" t="str">
        <f t="shared" si="526"/>
        <v/>
      </c>
    </row>
    <row r="33711" spans="26:26" x14ac:dyDescent="0.2">
      <c r="Z33711" t="str">
        <f t="shared" si="526"/>
        <v/>
      </c>
    </row>
    <row r="33712" spans="26:26" x14ac:dyDescent="0.2">
      <c r="Z33712" t="str">
        <f t="shared" si="526"/>
        <v/>
      </c>
    </row>
    <row r="33713" spans="26:26" x14ac:dyDescent="0.2">
      <c r="Z33713" t="str">
        <f t="shared" si="526"/>
        <v/>
      </c>
    </row>
    <row r="33714" spans="26:26" x14ac:dyDescent="0.2">
      <c r="Z33714" t="str">
        <f t="shared" si="526"/>
        <v/>
      </c>
    </row>
    <row r="33715" spans="26:26" x14ac:dyDescent="0.2">
      <c r="Z33715" t="str">
        <f t="shared" si="526"/>
        <v/>
      </c>
    </row>
    <row r="33716" spans="26:26" x14ac:dyDescent="0.2">
      <c r="Z33716" t="str">
        <f t="shared" si="526"/>
        <v/>
      </c>
    </row>
    <row r="33717" spans="26:26" x14ac:dyDescent="0.2">
      <c r="Z33717" t="str">
        <f t="shared" si="526"/>
        <v/>
      </c>
    </row>
    <row r="33718" spans="26:26" x14ac:dyDescent="0.2">
      <c r="Z33718" t="str">
        <f t="shared" si="526"/>
        <v/>
      </c>
    </row>
    <row r="33719" spans="26:26" x14ac:dyDescent="0.2">
      <c r="Z33719" t="str">
        <f t="shared" si="526"/>
        <v/>
      </c>
    </row>
    <row r="33720" spans="26:26" x14ac:dyDescent="0.2">
      <c r="Z33720" t="str">
        <f t="shared" si="526"/>
        <v/>
      </c>
    </row>
    <row r="33721" spans="26:26" x14ac:dyDescent="0.2">
      <c r="Z33721" t="str">
        <f t="shared" si="526"/>
        <v/>
      </c>
    </row>
    <row r="33722" spans="26:26" x14ac:dyDescent="0.2">
      <c r="Z33722" t="str">
        <f t="shared" si="526"/>
        <v/>
      </c>
    </row>
    <row r="33723" spans="26:26" x14ac:dyDescent="0.2">
      <c r="Z33723" t="str">
        <f t="shared" si="526"/>
        <v/>
      </c>
    </row>
    <row r="33724" spans="26:26" x14ac:dyDescent="0.2">
      <c r="Z33724" t="str">
        <f t="shared" si="526"/>
        <v/>
      </c>
    </row>
    <row r="33725" spans="26:26" x14ac:dyDescent="0.2">
      <c r="Z33725" t="str">
        <f t="shared" si="526"/>
        <v/>
      </c>
    </row>
    <row r="33726" spans="26:26" x14ac:dyDescent="0.2">
      <c r="Z33726" t="str">
        <f t="shared" si="526"/>
        <v/>
      </c>
    </row>
    <row r="33727" spans="26:26" x14ac:dyDescent="0.2">
      <c r="Z33727" t="str">
        <f t="shared" si="526"/>
        <v/>
      </c>
    </row>
    <row r="33728" spans="26:26" x14ac:dyDescent="0.2">
      <c r="Z33728" t="str">
        <f t="shared" si="526"/>
        <v/>
      </c>
    </row>
    <row r="33729" spans="26:26" x14ac:dyDescent="0.2">
      <c r="Z33729" t="str">
        <f t="shared" si="526"/>
        <v/>
      </c>
    </row>
    <row r="33730" spans="26:26" x14ac:dyDescent="0.2">
      <c r="Z33730" t="str">
        <f t="shared" si="526"/>
        <v/>
      </c>
    </row>
    <row r="33731" spans="26:26" x14ac:dyDescent="0.2">
      <c r="Z33731" t="str">
        <f t="shared" ref="Z33731:Z33794" si="527">IF(K33731="","",IFERROR(VALUE(TRIM(MID(K33731,FIND(CHAR(167),SUBSTITUTE(K33731,"-",CHAR(167),LEN(K33731)-LEN(SUBSTITUTE(K33731,"-",""))))+1,100))),K33731))</f>
        <v/>
      </c>
    </row>
    <row r="33732" spans="26:26" x14ac:dyDescent="0.2">
      <c r="Z33732" t="str">
        <f t="shared" si="527"/>
        <v/>
      </c>
    </row>
    <row r="33733" spans="26:26" x14ac:dyDescent="0.2">
      <c r="Z33733" t="str">
        <f t="shared" si="527"/>
        <v/>
      </c>
    </row>
    <row r="33734" spans="26:26" x14ac:dyDescent="0.2">
      <c r="Z33734" t="str">
        <f t="shared" si="527"/>
        <v/>
      </c>
    </row>
    <row r="33735" spans="26:26" x14ac:dyDescent="0.2">
      <c r="Z33735" t="str">
        <f t="shared" si="527"/>
        <v/>
      </c>
    </row>
    <row r="33736" spans="26:26" x14ac:dyDescent="0.2">
      <c r="Z33736" t="str">
        <f t="shared" si="527"/>
        <v/>
      </c>
    </row>
    <row r="33737" spans="26:26" x14ac:dyDescent="0.2">
      <c r="Z33737" t="str">
        <f t="shared" si="527"/>
        <v/>
      </c>
    </row>
    <row r="33738" spans="26:26" x14ac:dyDescent="0.2">
      <c r="Z33738" t="str">
        <f t="shared" si="527"/>
        <v/>
      </c>
    </row>
    <row r="33739" spans="26:26" x14ac:dyDescent="0.2">
      <c r="Z33739" t="str">
        <f t="shared" si="527"/>
        <v/>
      </c>
    </row>
    <row r="33740" spans="26:26" x14ac:dyDescent="0.2">
      <c r="Z33740" t="str">
        <f t="shared" si="527"/>
        <v/>
      </c>
    </row>
    <row r="33741" spans="26:26" x14ac:dyDescent="0.2">
      <c r="Z33741" t="str">
        <f t="shared" si="527"/>
        <v/>
      </c>
    </row>
    <row r="33742" spans="26:26" x14ac:dyDescent="0.2">
      <c r="Z33742" t="str">
        <f t="shared" si="527"/>
        <v/>
      </c>
    </row>
    <row r="33743" spans="26:26" x14ac:dyDescent="0.2">
      <c r="Z33743" t="str">
        <f t="shared" si="527"/>
        <v/>
      </c>
    </row>
    <row r="33744" spans="26:26" x14ac:dyDescent="0.2">
      <c r="Z33744" t="str">
        <f t="shared" si="527"/>
        <v/>
      </c>
    </row>
    <row r="33745" spans="26:26" x14ac:dyDescent="0.2">
      <c r="Z33745" t="str">
        <f t="shared" si="527"/>
        <v/>
      </c>
    </row>
    <row r="33746" spans="26:26" x14ac:dyDescent="0.2">
      <c r="Z33746" t="str">
        <f t="shared" si="527"/>
        <v/>
      </c>
    </row>
    <row r="33747" spans="26:26" x14ac:dyDescent="0.2">
      <c r="Z33747" t="str">
        <f t="shared" si="527"/>
        <v/>
      </c>
    </row>
    <row r="33748" spans="26:26" x14ac:dyDescent="0.2">
      <c r="Z33748" t="str">
        <f t="shared" si="527"/>
        <v/>
      </c>
    </row>
    <row r="33749" spans="26:26" x14ac:dyDescent="0.2">
      <c r="Z33749" t="str">
        <f t="shared" si="527"/>
        <v/>
      </c>
    </row>
    <row r="33750" spans="26:26" x14ac:dyDescent="0.2">
      <c r="Z33750" t="str">
        <f t="shared" si="527"/>
        <v/>
      </c>
    </row>
    <row r="33751" spans="26:26" x14ac:dyDescent="0.2">
      <c r="Z33751" t="str">
        <f t="shared" si="527"/>
        <v/>
      </c>
    </row>
    <row r="33752" spans="26:26" x14ac:dyDescent="0.2">
      <c r="Z33752" t="str">
        <f t="shared" si="527"/>
        <v/>
      </c>
    </row>
    <row r="33753" spans="26:26" x14ac:dyDescent="0.2">
      <c r="Z33753" t="str">
        <f t="shared" si="527"/>
        <v/>
      </c>
    </row>
    <row r="33754" spans="26:26" x14ac:dyDescent="0.2">
      <c r="Z33754" t="str">
        <f t="shared" si="527"/>
        <v/>
      </c>
    </row>
    <row r="33755" spans="26:26" x14ac:dyDescent="0.2">
      <c r="Z33755" t="str">
        <f t="shared" si="527"/>
        <v/>
      </c>
    </row>
    <row r="33756" spans="26:26" x14ac:dyDescent="0.2">
      <c r="Z33756" t="str">
        <f t="shared" si="527"/>
        <v/>
      </c>
    </row>
    <row r="33757" spans="26:26" x14ac:dyDescent="0.2">
      <c r="Z33757" t="str">
        <f t="shared" si="527"/>
        <v/>
      </c>
    </row>
    <row r="33758" spans="26:26" x14ac:dyDescent="0.2">
      <c r="Z33758" t="str">
        <f t="shared" si="527"/>
        <v/>
      </c>
    </row>
    <row r="33759" spans="26:26" x14ac:dyDescent="0.2">
      <c r="Z33759" t="str">
        <f t="shared" si="527"/>
        <v/>
      </c>
    </row>
    <row r="33760" spans="26:26" x14ac:dyDescent="0.2">
      <c r="Z33760" t="str">
        <f t="shared" si="527"/>
        <v/>
      </c>
    </row>
    <row r="33761" spans="26:26" x14ac:dyDescent="0.2">
      <c r="Z33761" t="str">
        <f t="shared" si="527"/>
        <v/>
      </c>
    </row>
    <row r="33762" spans="26:26" x14ac:dyDescent="0.2">
      <c r="Z33762" t="str">
        <f t="shared" si="527"/>
        <v/>
      </c>
    </row>
    <row r="33763" spans="26:26" x14ac:dyDescent="0.2">
      <c r="Z33763" t="str">
        <f t="shared" si="527"/>
        <v/>
      </c>
    </row>
    <row r="33764" spans="26:26" x14ac:dyDescent="0.2">
      <c r="Z33764" t="str">
        <f t="shared" si="527"/>
        <v/>
      </c>
    </row>
    <row r="33765" spans="26:26" x14ac:dyDescent="0.2">
      <c r="Z33765" t="str">
        <f t="shared" si="527"/>
        <v/>
      </c>
    </row>
    <row r="33766" spans="26:26" x14ac:dyDescent="0.2">
      <c r="Z33766" t="str">
        <f t="shared" si="527"/>
        <v/>
      </c>
    </row>
    <row r="33767" spans="26:26" x14ac:dyDescent="0.2">
      <c r="Z33767" t="str">
        <f t="shared" si="527"/>
        <v/>
      </c>
    </row>
    <row r="33768" spans="26:26" x14ac:dyDescent="0.2">
      <c r="Z33768" t="str">
        <f t="shared" si="527"/>
        <v/>
      </c>
    </row>
    <row r="33769" spans="26:26" x14ac:dyDescent="0.2">
      <c r="Z33769" t="str">
        <f t="shared" si="527"/>
        <v/>
      </c>
    </row>
    <row r="33770" spans="26:26" x14ac:dyDescent="0.2">
      <c r="Z33770" t="str">
        <f t="shared" si="527"/>
        <v/>
      </c>
    </row>
    <row r="33771" spans="26:26" x14ac:dyDescent="0.2">
      <c r="Z33771" t="str">
        <f t="shared" si="527"/>
        <v/>
      </c>
    </row>
    <row r="33772" spans="26:26" x14ac:dyDescent="0.2">
      <c r="Z33772" t="str">
        <f t="shared" si="527"/>
        <v/>
      </c>
    </row>
    <row r="33773" spans="26:26" x14ac:dyDescent="0.2">
      <c r="Z33773" t="str">
        <f t="shared" si="527"/>
        <v/>
      </c>
    </row>
    <row r="33774" spans="26:26" x14ac:dyDescent="0.2">
      <c r="Z33774" t="str">
        <f t="shared" si="527"/>
        <v/>
      </c>
    </row>
    <row r="33775" spans="26:26" x14ac:dyDescent="0.2">
      <c r="Z33775" t="str">
        <f t="shared" si="527"/>
        <v/>
      </c>
    </row>
    <row r="33776" spans="26:26" x14ac:dyDescent="0.2">
      <c r="Z33776" t="str">
        <f t="shared" si="527"/>
        <v/>
      </c>
    </row>
    <row r="33777" spans="26:26" x14ac:dyDescent="0.2">
      <c r="Z33777" t="str">
        <f t="shared" si="527"/>
        <v/>
      </c>
    </row>
    <row r="33778" spans="26:26" x14ac:dyDescent="0.2">
      <c r="Z33778" t="str">
        <f t="shared" si="527"/>
        <v/>
      </c>
    </row>
    <row r="33779" spans="26:26" x14ac:dyDescent="0.2">
      <c r="Z33779" t="str">
        <f t="shared" si="527"/>
        <v/>
      </c>
    </row>
    <row r="33780" spans="26:26" x14ac:dyDescent="0.2">
      <c r="Z33780" t="str">
        <f t="shared" si="527"/>
        <v/>
      </c>
    </row>
    <row r="33781" spans="26:26" x14ac:dyDescent="0.2">
      <c r="Z33781" t="str">
        <f t="shared" si="527"/>
        <v/>
      </c>
    </row>
    <row r="33782" spans="26:26" x14ac:dyDescent="0.2">
      <c r="Z33782" t="str">
        <f t="shared" si="527"/>
        <v/>
      </c>
    </row>
    <row r="33783" spans="26:26" x14ac:dyDescent="0.2">
      <c r="Z33783" t="str">
        <f t="shared" si="527"/>
        <v/>
      </c>
    </row>
    <row r="33784" spans="26:26" x14ac:dyDescent="0.2">
      <c r="Z33784" t="str">
        <f t="shared" si="527"/>
        <v/>
      </c>
    </row>
    <row r="33785" spans="26:26" x14ac:dyDescent="0.2">
      <c r="Z33785" t="str">
        <f t="shared" si="527"/>
        <v/>
      </c>
    </row>
    <row r="33786" spans="26:26" x14ac:dyDescent="0.2">
      <c r="Z33786" t="str">
        <f t="shared" si="527"/>
        <v/>
      </c>
    </row>
    <row r="33787" spans="26:26" x14ac:dyDescent="0.2">
      <c r="Z33787" t="str">
        <f t="shared" si="527"/>
        <v/>
      </c>
    </row>
    <row r="33788" spans="26:26" x14ac:dyDescent="0.2">
      <c r="Z33788" t="str">
        <f t="shared" si="527"/>
        <v/>
      </c>
    </row>
    <row r="33789" spans="26:26" x14ac:dyDescent="0.2">
      <c r="Z33789" t="str">
        <f t="shared" si="527"/>
        <v/>
      </c>
    </row>
    <row r="33790" spans="26:26" x14ac:dyDescent="0.2">
      <c r="Z33790" t="str">
        <f t="shared" si="527"/>
        <v/>
      </c>
    </row>
    <row r="33791" spans="26:26" x14ac:dyDescent="0.2">
      <c r="Z33791" t="str">
        <f t="shared" si="527"/>
        <v/>
      </c>
    </row>
    <row r="33792" spans="26:26" x14ac:dyDescent="0.2">
      <c r="Z33792" t="str">
        <f t="shared" si="527"/>
        <v/>
      </c>
    </row>
    <row r="33793" spans="26:26" x14ac:dyDescent="0.2">
      <c r="Z33793" t="str">
        <f t="shared" si="527"/>
        <v/>
      </c>
    </row>
    <row r="33794" spans="26:26" x14ac:dyDescent="0.2">
      <c r="Z33794" t="str">
        <f t="shared" si="527"/>
        <v/>
      </c>
    </row>
    <row r="33795" spans="26:26" x14ac:dyDescent="0.2">
      <c r="Z33795" t="str">
        <f t="shared" ref="Z33795:Z33858" si="528">IF(K33795="","",IFERROR(VALUE(TRIM(MID(K33795,FIND(CHAR(167),SUBSTITUTE(K33795,"-",CHAR(167),LEN(K33795)-LEN(SUBSTITUTE(K33795,"-",""))))+1,100))),K33795))</f>
        <v/>
      </c>
    </row>
    <row r="33796" spans="26:26" x14ac:dyDescent="0.2">
      <c r="Z33796" t="str">
        <f t="shared" si="528"/>
        <v/>
      </c>
    </row>
    <row r="33797" spans="26:26" x14ac:dyDescent="0.2">
      <c r="Z33797" t="str">
        <f t="shared" si="528"/>
        <v/>
      </c>
    </row>
    <row r="33798" spans="26:26" x14ac:dyDescent="0.2">
      <c r="Z33798" t="str">
        <f t="shared" si="528"/>
        <v/>
      </c>
    </row>
    <row r="33799" spans="26:26" x14ac:dyDescent="0.2">
      <c r="Z33799" t="str">
        <f t="shared" si="528"/>
        <v/>
      </c>
    </row>
    <row r="33800" spans="26:26" x14ac:dyDescent="0.2">
      <c r="Z33800" t="str">
        <f t="shared" si="528"/>
        <v/>
      </c>
    </row>
    <row r="33801" spans="26:26" x14ac:dyDescent="0.2">
      <c r="Z33801" t="str">
        <f t="shared" si="528"/>
        <v/>
      </c>
    </row>
    <row r="33802" spans="26:26" x14ac:dyDescent="0.2">
      <c r="Z33802" t="str">
        <f t="shared" si="528"/>
        <v/>
      </c>
    </row>
    <row r="33803" spans="26:26" x14ac:dyDescent="0.2">
      <c r="Z33803" t="str">
        <f t="shared" si="528"/>
        <v/>
      </c>
    </row>
    <row r="33804" spans="26:26" x14ac:dyDescent="0.2">
      <c r="Z33804" t="str">
        <f t="shared" si="528"/>
        <v/>
      </c>
    </row>
    <row r="33805" spans="26:26" x14ac:dyDescent="0.2">
      <c r="Z33805" t="str">
        <f t="shared" si="528"/>
        <v/>
      </c>
    </row>
    <row r="33806" spans="26:26" x14ac:dyDescent="0.2">
      <c r="Z33806" t="str">
        <f t="shared" si="528"/>
        <v/>
      </c>
    </row>
    <row r="33807" spans="26:26" x14ac:dyDescent="0.2">
      <c r="Z33807" t="str">
        <f t="shared" si="528"/>
        <v/>
      </c>
    </row>
    <row r="33808" spans="26:26" x14ac:dyDescent="0.2">
      <c r="Z33808" t="str">
        <f t="shared" si="528"/>
        <v/>
      </c>
    </row>
    <row r="33809" spans="26:26" x14ac:dyDescent="0.2">
      <c r="Z33809" t="str">
        <f t="shared" si="528"/>
        <v/>
      </c>
    </row>
    <row r="33810" spans="26:26" x14ac:dyDescent="0.2">
      <c r="Z33810" t="str">
        <f t="shared" si="528"/>
        <v/>
      </c>
    </row>
    <row r="33811" spans="26:26" x14ac:dyDescent="0.2">
      <c r="Z33811" t="str">
        <f t="shared" si="528"/>
        <v/>
      </c>
    </row>
    <row r="33812" spans="26:26" x14ac:dyDescent="0.2">
      <c r="Z33812" t="str">
        <f t="shared" si="528"/>
        <v/>
      </c>
    </row>
    <row r="33813" spans="26:26" x14ac:dyDescent="0.2">
      <c r="Z33813" t="str">
        <f t="shared" si="528"/>
        <v/>
      </c>
    </row>
    <row r="33814" spans="26:26" x14ac:dyDescent="0.2">
      <c r="Z33814" t="str">
        <f t="shared" si="528"/>
        <v/>
      </c>
    </row>
    <row r="33815" spans="26:26" x14ac:dyDescent="0.2">
      <c r="Z33815" t="str">
        <f t="shared" si="528"/>
        <v/>
      </c>
    </row>
    <row r="33816" spans="26:26" x14ac:dyDescent="0.2">
      <c r="Z33816" t="str">
        <f t="shared" si="528"/>
        <v/>
      </c>
    </row>
    <row r="33817" spans="26:26" x14ac:dyDescent="0.2">
      <c r="Z33817" t="str">
        <f t="shared" si="528"/>
        <v/>
      </c>
    </row>
    <row r="33818" spans="26:26" x14ac:dyDescent="0.2">
      <c r="Z33818" t="str">
        <f t="shared" si="528"/>
        <v/>
      </c>
    </row>
    <row r="33819" spans="26:26" x14ac:dyDescent="0.2">
      <c r="Z33819" t="str">
        <f t="shared" si="528"/>
        <v/>
      </c>
    </row>
    <row r="33820" spans="26:26" x14ac:dyDescent="0.2">
      <c r="Z33820" t="str">
        <f t="shared" si="528"/>
        <v/>
      </c>
    </row>
    <row r="33821" spans="26:26" x14ac:dyDescent="0.2">
      <c r="Z33821" t="str">
        <f t="shared" si="528"/>
        <v/>
      </c>
    </row>
    <row r="33822" spans="26:26" x14ac:dyDescent="0.2">
      <c r="Z33822" t="str">
        <f t="shared" si="528"/>
        <v/>
      </c>
    </row>
    <row r="33823" spans="26:26" x14ac:dyDescent="0.2">
      <c r="Z33823" t="str">
        <f t="shared" si="528"/>
        <v/>
      </c>
    </row>
    <row r="33824" spans="26:26" x14ac:dyDescent="0.2">
      <c r="Z33824" t="str">
        <f t="shared" si="528"/>
        <v/>
      </c>
    </row>
    <row r="33825" spans="26:26" x14ac:dyDescent="0.2">
      <c r="Z33825" t="str">
        <f t="shared" si="528"/>
        <v/>
      </c>
    </row>
    <row r="33826" spans="26:26" x14ac:dyDescent="0.2">
      <c r="Z33826" t="str">
        <f t="shared" si="528"/>
        <v/>
      </c>
    </row>
    <row r="33827" spans="26:26" x14ac:dyDescent="0.2">
      <c r="Z33827" t="str">
        <f t="shared" si="528"/>
        <v/>
      </c>
    </row>
    <row r="33828" spans="26:26" x14ac:dyDescent="0.2">
      <c r="Z33828" t="str">
        <f t="shared" si="528"/>
        <v/>
      </c>
    </row>
    <row r="33829" spans="26:26" x14ac:dyDescent="0.2">
      <c r="Z33829" t="str">
        <f t="shared" si="528"/>
        <v/>
      </c>
    </row>
    <row r="33830" spans="26:26" x14ac:dyDescent="0.2">
      <c r="Z33830" t="str">
        <f t="shared" si="528"/>
        <v/>
      </c>
    </row>
    <row r="33831" spans="26:26" x14ac:dyDescent="0.2">
      <c r="Z33831" t="str">
        <f t="shared" si="528"/>
        <v/>
      </c>
    </row>
    <row r="33832" spans="26:26" x14ac:dyDescent="0.2">
      <c r="Z33832" t="str">
        <f t="shared" si="528"/>
        <v/>
      </c>
    </row>
    <row r="33833" spans="26:26" x14ac:dyDescent="0.2">
      <c r="Z33833" t="str">
        <f t="shared" si="528"/>
        <v/>
      </c>
    </row>
    <row r="33834" spans="26:26" x14ac:dyDescent="0.2">
      <c r="Z33834" t="str">
        <f t="shared" si="528"/>
        <v/>
      </c>
    </row>
    <row r="33835" spans="26:26" x14ac:dyDescent="0.2">
      <c r="Z33835" t="str">
        <f t="shared" si="528"/>
        <v/>
      </c>
    </row>
    <row r="33836" spans="26:26" x14ac:dyDescent="0.2">
      <c r="Z33836" t="str">
        <f t="shared" si="528"/>
        <v/>
      </c>
    </row>
    <row r="33837" spans="26:26" x14ac:dyDescent="0.2">
      <c r="Z33837" t="str">
        <f t="shared" si="528"/>
        <v/>
      </c>
    </row>
    <row r="33838" spans="26:26" x14ac:dyDescent="0.2">
      <c r="Z33838" t="str">
        <f t="shared" si="528"/>
        <v/>
      </c>
    </row>
    <row r="33839" spans="26:26" x14ac:dyDescent="0.2">
      <c r="Z33839" t="str">
        <f t="shared" si="528"/>
        <v/>
      </c>
    </row>
    <row r="33840" spans="26:26" x14ac:dyDescent="0.2">
      <c r="Z33840" t="str">
        <f t="shared" si="528"/>
        <v/>
      </c>
    </row>
    <row r="33841" spans="26:26" x14ac:dyDescent="0.2">
      <c r="Z33841" t="str">
        <f t="shared" si="528"/>
        <v/>
      </c>
    </row>
    <row r="33842" spans="26:26" x14ac:dyDescent="0.2">
      <c r="Z33842" t="str">
        <f t="shared" si="528"/>
        <v/>
      </c>
    </row>
    <row r="33843" spans="26:26" x14ac:dyDescent="0.2">
      <c r="Z33843" t="str">
        <f t="shared" si="528"/>
        <v/>
      </c>
    </row>
    <row r="33844" spans="26:26" x14ac:dyDescent="0.2">
      <c r="Z33844" t="str">
        <f t="shared" si="528"/>
        <v/>
      </c>
    </row>
    <row r="33845" spans="26:26" x14ac:dyDescent="0.2">
      <c r="Z33845" t="str">
        <f t="shared" si="528"/>
        <v/>
      </c>
    </row>
    <row r="33846" spans="26:26" x14ac:dyDescent="0.2">
      <c r="Z33846" t="str">
        <f t="shared" si="528"/>
        <v/>
      </c>
    </row>
    <row r="33847" spans="26:26" x14ac:dyDescent="0.2">
      <c r="Z33847" t="str">
        <f t="shared" si="528"/>
        <v/>
      </c>
    </row>
    <row r="33848" spans="26:26" x14ac:dyDescent="0.2">
      <c r="Z33848" t="str">
        <f t="shared" si="528"/>
        <v/>
      </c>
    </row>
    <row r="33849" spans="26:26" x14ac:dyDescent="0.2">
      <c r="Z33849" t="str">
        <f t="shared" si="528"/>
        <v/>
      </c>
    </row>
    <row r="33850" spans="26:26" x14ac:dyDescent="0.2">
      <c r="Z33850" t="str">
        <f t="shared" si="528"/>
        <v/>
      </c>
    </row>
    <row r="33851" spans="26:26" x14ac:dyDescent="0.2">
      <c r="Z33851" t="str">
        <f t="shared" si="528"/>
        <v/>
      </c>
    </row>
    <row r="33852" spans="26:26" x14ac:dyDescent="0.2">
      <c r="Z33852" t="str">
        <f t="shared" si="528"/>
        <v/>
      </c>
    </row>
    <row r="33853" spans="26:26" x14ac:dyDescent="0.2">
      <c r="Z33853" t="str">
        <f t="shared" si="528"/>
        <v/>
      </c>
    </row>
    <row r="33854" spans="26:26" x14ac:dyDescent="0.2">
      <c r="Z33854" t="str">
        <f t="shared" si="528"/>
        <v/>
      </c>
    </row>
    <row r="33855" spans="26:26" x14ac:dyDescent="0.2">
      <c r="Z33855" t="str">
        <f t="shared" si="528"/>
        <v/>
      </c>
    </row>
    <row r="33856" spans="26:26" x14ac:dyDescent="0.2">
      <c r="Z33856" t="str">
        <f t="shared" si="528"/>
        <v/>
      </c>
    </row>
    <row r="33857" spans="26:26" x14ac:dyDescent="0.2">
      <c r="Z33857" t="str">
        <f t="shared" si="528"/>
        <v/>
      </c>
    </row>
    <row r="33858" spans="26:26" x14ac:dyDescent="0.2">
      <c r="Z33858" t="str">
        <f t="shared" si="528"/>
        <v/>
      </c>
    </row>
    <row r="33859" spans="26:26" x14ac:dyDescent="0.2">
      <c r="Z33859" t="str">
        <f t="shared" ref="Z33859:Z33922" si="529">IF(K33859="","",IFERROR(VALUE(TRIM(MID(K33859,FIND(CHAR(167),SUBSTITUTE(K33859,"-",CHAR(167),LEN(K33859)-LEN(SUBSTITUTE(K33859,"-",""))))+1,100))),K33859))</f>
        <v/>
      </c>
    </row>
    <row r="33860" spans="26:26" x14ac:dyDescent="0.2">
      <c r="Z33860" t="str">
        <f t="shared" si="529"/>
        <v/>
      </c>
    </row>
    <row r="33861" spans="26:26" x14ac:dyDescent="0.2">
      <c r="Z33861" t="str">
        <f t="shared" si="529"/>
        <v/>
      </c>
    </row>
    <row r="33862" spans="26:26" x14ac:dyDescent="0.2">
      <c r="Z33862" t="str">
        <f t="shared" si="529"/>
        <v/>
      </c>
    </row>
    <row r="33863" spans="26:26" x14ac:dyDescent="0.2">
      <c r="Z33863" t="str">
        <f t="shared" si="529"/>
        <v/>
      </c>
    </row>
    <row r="33864" spans="26:26" x14ac:dyDescent="0.2">
      <c r="Z33864" t="str">
        <f t="shared" si="529"/>
        <v/>
      </c>
    </row>
    <row r="33865" spans="26:26" x14ac:dyDescent="0.2">
      <c r="Z33865" t="str">
        <f t="shared" si="529"/>
        <v/>
      </c>
    </row>
    <row r="33866" spans="26:26" x14ac:dyDescent="0.2">
      <c r="Z33866" t="str">
        <f t="shared" si="529"/>
        <v/>
      </c>
    </row>
    <row r="33867" spans="26:26" x14ac:dyDescent="0.2">
      <c r="Z33867" t="str">
        <f t="shared" si="529"/>
        <v/>
      </c>
    </row>
    <row r="33868" spans="26:26" x14ac:dyDescent="0.2">
      <c r="Z33868" t="str">
        <f t="shared" si="529"/>
        <v/>
      </c>
    </row>
    <row r="33869" spans="26:26" x14ac:dyDescent="0.2">
      <c r="Z33869" t="str">
        <f t="shared" si="529"/>
        <v/>
      </c>
    </row>
    <row r="33870" spans="26:26" x14ac:dyDescent="0.2">
      <c r="Z33870" t="str">
        <f t="shared" si="529"/>
        <v/>
      </c>
    </row>
    <row r="33871" spans="26:26" x14ac:dyDescent="0.2">
      <c r="Z33871" t="str">
        <f t="shared" si="529"/>
        <v/>
      </c>
    </row>
    <row r="33872" spans="26:26" x14ac:dyDescent="0.2">
      <c r="Z33872" t="str">
        <f t="shared" si="529"/>
        <v/>
      </c>
    </row>
    <row r="33873" spans="26:26" x14ac:dyDescent="0.2">
      <c r="Z33873" t="str">
        <f t="shared" si="529"/>
        <v/>
      </c>
    </row>
    <row r="33874" spans="26:26" x14ac:dyDescent="0.2">
      <c r="Z33874" t="str">
        <f t="shared" si="529"/>
        <v/>
      </c>
    </row>
    <row r="33875" spans="26:26" x14ac:dyDescent="0.2">
      <c r="Z33875" t="str">
        <f t="shared" si="529"/>
        <v/>
      </c>
    </row>
    <row r="33876" spans="26:26" x14ac:dyDescent="0.2">
      <c r="Z33876" t="str">
        <f t="shared" si="529"/>
        <v/>
      </c>
    </row>
    <row r="33877" spans="26:26" x14ac:dyDescent="0.2">
      <c r="Z33877" t="str">
        <f t="shared" si="529"/>
        <v/>
      </c>
    </row>
    <row r="33878" spans="26:26" x14ac:dyDescent="0.2">
      <c r="Z33878" t="str">
        <f t="shared" si="529"/>
        <v/>
      </c>
    </row>
    <row r="33879" spans="26:26" x14ac:dyDescent="0.2">
      <c r="Z33879" t="str">
        <f t="shared" si="529"/>
        <v/>
      </c>
    </row>
    <row r="33880" spans="26:26" x14ac:dyDescent="0.2">
      <c r="Z33880" t="str">
        <f t="shared" si="529"/>
        <v/>
      </c>
    </row>
    <row r="33881" spans="26:26" x14ac:dyDescent="0.2">
      <c r="Z33881" t="str">
        <f t="shared" si="529"/>
        <v/>
      </c>
    </row>
    <row r="33882" spans="26:26" x14ac:dyDescent="0.2">
      <c r="Z33882" t="str">
        <f t="shared" si="529"/>
        <v/>
      </c>
    </row>
    <row r="33883" spans="26:26" x14ac:dyDescent="0.2">
      <c r="Z33883" t="str">
        <f t="shared" si="529"/>
        <v/>
      </c>
    </row>
    <row r="33884" spans="26:26" x14ac:dyDescent="0.2">
      <c r="Z33884" t="str">
        <f t="shared" si="529"/>
        <v/>
      </c>
    </row>
    <row r="33885" spans="26:26" x14ac:dyDescent="0.2">
      <c r="Z33885" t="str">
        <f t="shared" si="529"/>
        <v/>
      </c>
    </row>
    <row r="33886" spans="26:26" x14ac:dyDescent="0.2">
      <c r="Z33886" t="str">
        <f t="shared" si="529"/>
        <v/>
      </c>
    </row>
    <row r="33887" spans="26:26" x14ac:dyDescent="0.2">
      <c r="Z33887" t="str">
        <f t="shared" si="529"/>
        <v/>
      </c>
    </row>
    <row r="33888" spans="26:26" x14ac:dyDescent="0.2">
      <c r="Z33888" t="str">
        <f t="shared" si="529"/>
        <v/>
      </c>
    </row>
    <row r="33889" spans="26:26" x14ac:dyDescent="0.2">
      <c r="Z33889" t="str">
        <f t="shared" si="529"/>
        <v/>
      </c>
    </row>
    <row r="33890" spans="26:26" x14ac:dyDescent="0.2">
      <c r="Z33890" t="str">
        <f t="shared" si="529"/>
        <v/>
      </c>
    </row>
    <row r="33891" spans="26:26" x14ac:dyDescent="0.2">
      <c r="Z33891" t="str">
        <f t="shared" si="529"/>
        <v/>
      </c>
    </row>
    <row r="33892" spans="26:26" x14ac:dyDescent="0.2">
      <c r="Z33892" t="str">
        <f t="shared" si="529"/>
        <v/>
      </c>
    </row>
    <row r="33893" spans="26:26" x14ac:dyDescent="0.2">
      <c r="Z33893" t="str">
        <f t="shared" si="529"/>
        <v/>
      </c>
    </row>
    <row r="33894" spans="26:26" x14ac:dyDescent="0.2">
      <c r="Z33894" t="str">
        <f t="shared" si="529"/>
        <v/>
      </c>
    </row>
    <row r="33895" spans="26:26" x14ac:dyDescent="0.2">
      <c r="Z33895" t="str">
        <f t="shared" si="529"/>
        <v/>
      </c>
    </row>
    <row r="33896" spans="26:26" x14ac:dyDescent="0.2">
      <c r="Z33896" t="str">
        <f t="shared" si="529"/>
        <v/>
      </c>
    </row>
    <row r="33897" spans="26:26" x14ac:dyDescent="0.2">
      <c r="Z33897" t="str">
        <f t="shared" si="529"/>
        <v/>
      </c>
    </row>
    <row r="33898" spans="26:26" x14ac:dyDescent="0.2">
      <c r="Z33898" t="str">
        <f t="shared" si="529"/>
        <v/>
      </c>
    </row>
    <row r="33899" spans="26:26" x14ac:dyDescent="0.2">
      <c r="Z33899" t="str">
        <f t="shared" si="529"/>
        <v/>
      </c>
    </row>
    <row r="33900" spans="26:26" x14ac:dyDescent="0.2">
      <c r="Z33900" t="str">
        <f t="shared" si="529"/>
        <v/>
      </c>
    </row>
    <row r="33901" spans="26:26" x14ac:dyDescent="0.2">
      <c r="Z33901" t="str">
        <f t="shared" si="529"/>
        <v/>
      </c>
    </row>
    <row r="33902" spans="26:26" x14ac:dyDescent="0.2">
      <c r="Z33902" t="str">
        <f t="shared" si="529"/>
        <v/>
      </c>
    </row>
    <row r="33903" spans="26:26" x14ac:dyDescent="0.2">
      <c r="Z33903" t="str">
        <f t="shared" si="529"/>
        <v/>
      </c>
    </row>
    <row r="33904" spans="26:26" x14ac:dyDescent="0.2">
      <c r="Z33904" t="str">
        <f t="shared" si="529"/>
        <v/>
      </c>
    </row>
    <row r="33905" spans="26:26" x14ac:dyDescent="0.2">
      <c r="Z33905" t="str">
        <f t="shared" si="529"/>
        <v/>
      </c>
    </row>
    <row r="33906" spans="26:26" x14ac:dyDescent="0.2">
      <c r="Z33906" t="str">
        <f t="shared" si="529"/>
        <v/>
      </c>
    </row>
    <row r="33907" spans="26:26" x14ac:dyDescent="0.2">
      <c r="Z33907" t="str">
        <f t="shared" si="529"/>
        <v/>
      </c>
    </row>
    <row r="33908" spans="26:26" x14ac:dyDescent="0.2">
      <c r="Z33908" t="str">
        <f t="shared" si="529"/>
        <v/>
      </c>
    </row>
    <row r="33909" spans="26:26" x14ac:dyDescent="0.2">
      <c r="Z33909" t="str">
        <f t="shared" si="529"/>
        <v/>
      </c>
    </row>
    <row r="33910" spans="26:26" x14ac:dyDescent="0.2">
      <c r="Z33910" t="str">
        <f t="shared" si="529"/>
        <v/>
      </c>
    </row>
    <row r="33911" spans="26:26" x14ac:dyDescent="0.2">
      <c r="Z33911" t="str">
        <f t="shared" si="529"/>
        <v/>
      </c>
    </row>
    <row r="33912" spans="26:26" x14ac:dyDescent="0.2">
      <c r="Z33912" t="str">
        <f t="shared" si="529"/>
        <v/>
      </c>
    </row>
    <row r="33913" spans="26:26" x14ac:dyDescent="0.2">
      <c r="Z33913" t="str">
        <f t="shared" si="529"/>
        <v/>
      </c>
    </row>
    <row r="33914" spans="26:26" x14ac:dyDescent="0.2">
      <c r="Z33914" t="str">
        <f t="shared" si="529"/>
        <v/>
      </c>
    </row>
    <row r="33915" spans="26:26" x14ac:dyDescent="0.2">
      <c r="Z33915" t="str">
        <f t="shared" si="529"/>
        <v/>
      </c>
    </row>
    <row r="33916" spans="26:26" x14ac:dyDescent="0.2">
      <c r="Z33916" t="str">
        <f t="shared" si="529"/>
        <v/>
      </c>
    </row>
    <row r="33917" spans="26:26" x14ac:dyDescent="0.2">
      <c r="Z33917" t="str">
        <f t="shared" si="529"/>
        <v/>
      </c>
    </row>
    <row r="33918" spans="26:26" x14ac:dyDescent="0.2">
      <c r="Z33918" t="str">
        <f t="shared" si="529"/>
        <v/>
      </c>
    </row>
    <row r="33919" spans="26:26" x14ac:dyDescent="0.2">
      <c r="Z33919" t="str">
        <f t="shared" si="529"/>
        <v/>
      </c>
    </row>
    <row r="33920" spans="26:26" x14ac:dyDescent="0.2">
      <c r="Z33920" t="str">
        <f t="shared" si="529"/>
        <v/>
      </c>
    </row>
    <row r="33921" spans="26:26" x14ac:dyDescent="0.2">
      <c r="Z33921" t="str">
        <f t="shared" si="529"/>
        <v/>
      </c>
    </row>
    <row r="33922" spans="26:26" x14ac:dyDescent="0.2">
      <c r="Z33922" t="str">
        <f t="shared" si="529"/>
        <v/>
      </c>
    </row>
    <row r="33923" spans="26:26" x14ac:dyDescent="0.2">
      <c r="Z33923" t="str">
        <f t="shared" ref="Z33923:Z33986" si="530">IF(K33923="","",IFERROR(VALUE(TRIM(MID(K33923,FIND(CHAR(167),SUBSTITUTE(K33923,"-",CHAR(167),LEN(K33923)-LEN(SUBSTITUTE(K33923,"-",""))))+1,100))),K33923))</f>
        <v/>
      </c>
    </row>
    <row r="33924" spans="26:26" x14ac:dyDescent="0.2">
      <c r="Z33924" t="str">
        <f t="shared" si="530"/>
        <v/>
      </c>
    </row>
    <row r="33925" spans="26:26" x14ac:dyDescent="0.2">
      <c r="Z33925" t="str">
        <f t="shared" si="530"/>
        <v/>
      </c>
    </row>
    <row r="33926" spans="26:26" x14ac:dyDescent="0.2">
      <c r="Z33926" t="str">
        <f t="shared" si="530"/>
        <v/>
      </c>
    </row>
    <row r="33927" spans="26:26" x14ac:dyDescent="0.2">
      <c r="Z33927" t="str">
        <f t="shared" si="530"/>
        <v/>
      </c>
    </row>
    <row r="33928" spans="26:26" x14ac:dyDescent="0.2">
      <c r="Z33928" t="str">
        <f t="shared" si="530"/>
        <v/>
      </c>
    </row>
    <row r="33929" spans="26:26" x14ac:dyDescent="0.2">
      <c r="Z33929" t="str">
        <f t="shared" si="530"/>
        <v/>
      </c>
    </row>
    <row r="33930" spans="26:26" x14ac:dyDescent="0.2">
      <c r="Z33930" t="str">
        <f t="shared" si="530"/>
        <v/>
      </c>
    </row>
    <row r="33931" spans="26:26" x14ac:dyDescent="0.2">
      <c r="Z33931" t="str">
        <f t="shared" si="530"/>
        <v/>
      </c>
    </row>
    <row r="33932" spans="26:26" x14ac:dyDescent="0.2">
      <c r="Z33932" t="str">
        <f t="shared" si="530"/>
        <v/>
      </c>
    </row>
    <row r="33933" spans="26:26" x14ac:dyDescent="0.2">
      <c r="Z33933" t="str">
        <f t="shared" si="530"/>
        <v/>
      </c>
    </row>
    <row r="33934" spans="26:26" x14ac:dyDescent="0.2">
      <c r="Z33934" t="str">
        <f t="shared" si="530"/>
        <v/>
      </c>
    </row>
    <row r="33935" spans="26:26" x14ac:dyDescent="0.2">
      <c r="Z33935" t="str">
        <f t="shared" si="530"/>
        <v/>
      </c>
    </row>
    <row r="33936" spans="26:26" x14ac:dyDescent="0.2">
      <c r="Z33936" t="str">
        <f t="shared" si="530"/>
        <v/>
      </c>
    </row>
    <row r="33937" spans="26:26" x14ac:dyDescent="0.2">
      <c r="Z33937" t="str">
        <f t="shared" si="530"/>
        <v/>
      </c>
    </row>
    <row r="33938" spans="26:26" x14ac:dyDescent="0.2">
      <c r="Z33938" t="str">
        <f t="shared" si="530"/>
        <v/>
      </c>
    </row>
    <row r="33939" spans="26:26" x14ac:dyDescent="0.2">
      <c r="Z33939" t="str">
        <f t="shared" si="530"/>
        <v/>
      </c>
    </row>
    <row r="33940" spans="26:26" x14ac:dyDescent="0.2">
      <c r="Z33940" t="str">
        <f t="shared" si="530"/>
        <v/>
      </c>
    </row>
    <row r="33941" spans="26:26" x14ac:dyDescent="0.2">
      <c r="Z33941" t="str">
        <f t="shared" si="530"/>
        <v/>
      </c>
    </row>
    <row r="33942" spans="26:26" x14ac:dyDescent="0.2">
      <c r="Z33942" t="str">
        <f t="shared" si="530"/>
        <v/>
      </c>
    </row>
    <row r="33943" spans="26:26" x14ac:dyDescent="0.2">
      <c r="Z33943" t="str">
        <f t="shared" si="530"/>
        <v/>
      </c>
    </row>
    <row r="33944" spans="26:26" x14ac:dyDescent="0.2">
      <c r="Z33944" t="str">
        <f t="shared" si="530"/>
        <v/>
      </c>
    </row>
    <row r="33945" spans="26:26" x14ac:dyDescent="0.2">
      <c r="Z33945" t="str">
        <f t="shared" si="530"/>
        <v/>
      </c>
    </row>
    <row r="33946" spans="26:26" x14ac:dyDescent="0.2">
      <c r="Z33946" t="str">
        <f t="shared" si="530"/>
        <v/>
      </c>
    </row>
    <row r="33947" spans="26:26" x14ac:dyDescent="0.2">
      <c r="Z33947" t="str">
        <f t="shared" si="530"/>
        <v/>
      </c>
    </row>
    <row r="33948" spans="26:26" x14ac:dyDescent="0.2">
      <c r="Z33948" t="str">
        <f t="shared" si="530"/>
        <v/>
      </c>
    </row>
    <row r="33949" spans="26:26" x14ac:dyDescent="0.2">
      <c r="Z33949" t="str">
        <f t="shared" si="530"/>
        <v/>
      </c>
    </row>
    <row r="33950" spans="26:26" x14ac:dyDescent="0.2">
      <c r="Z33950" t="str">
        <f t="shared" si="530"/>
        <v/>
      </c>
    </row>
    <row r="33951" spans="26:26" x14ac:dyDescent="0.2">
      <c r="Z33951" t="str">
        <f t="shared" si="530"/>
        <v/>
      </c>
    </row>
    <row r="33952" spans="26:26" x14ac:dyDescent="0.2">
      <c r="Z33952" t="str">
        <f t="shared" si="530"/>
        <v/>
      </c>
    </row>
    <row r="33953" spans="26:26" x14ac:dyDescent="0.2">
      <c r="Z33953" t="str">
        <f t="shared" si="530"/>
        <v/>
      </c>
    </row>
    <row r="33954" spans="26:26" x14ac:dyDescent="0.2">
      <c r="Z33954" t="str">
        <f t="shared" si="530"/>
        <v/>
      </c>
    </row>
    <row r="33955" spans="26:26" x14ac:dyDescent="0.2">
      <c r="Z33955" t="str">
        <f t="shared" si="530"/>
        <v/>
      </c>
    </row>
    <row r="33956" spans="26:26" x14ac:dyDescent="0.2">
      <c r="Z33956" t="str">
        <f t="shared" si="530"/>
        <v/>
      </c>
    </row>
    <row r="33957" spans="26:26" x14ac:dyDescent="0.2">
      <c r="Z33957" t="str">
        <f t="shared" si="530"/>
        <v/>
      </c>
    </row>
    <row r="33958" spans="26:26" x14ac:dyDescent="0.2">
      <c r="Z33958" t="str">
        <f t="shared" si="530"/>
        <v/>
      </c>
    </row>
    <row r="33959" spans="26:26" x14ac:dyDescent="0.2">
      <c r="Z33959" t="str">
        <f t="shared" si="530"/>
        <v/>
      </c>
    </row>
    <row r="33960" spans="26:26" x14ac:dyDescent="0.2">
      <c r="Z33960" t="str">
        <f t="shared" si="530"/>
        <v/>
      </c>
    </row>
    <row r="33961" spans="26:26" x14ac:dyDescent="0.2">
      <c r="Z33961" t="str">
        <f t="shared" si="530"/>
        <v/>
      </c>
    </row>
    <row r="33962" spans="26:26" x14ac:dyDescent="0.2">
      <c r="Z33962" t="str">
        <f t="shared" si="530"/>
        <v/>
      </c>
    </row>
    <row r="33963" spans="26:26" x14ac:dyDescent="0.2">
      <c r="Z33963" t="str">
        <f t="shared" si="530"/>
        <v/>
      </c>
    </row>
    <row r="33964" spans="26:26" x14ac:dyDescent="0.2">
      <c r="Z33964" t="str">
        <f t="shared" si="530"/>
        <v/>
      </c>
    </row>
    <row r="33965" spans="26:26" x14ac:dyDescent="0.2">
      <c r="Z33965" t="str">
        <f t="shared" si="530"/>
        <v/>
      </c>
    </row>
    <row r="33966" spans="26:26" x14ac:dyDescent="0.2">
      <c r="Z33966" t="str">
        <f t="shared" si="530"/>
        <v/>
      </c>
    </row>
    <row r="33967" spans="26:26" x14ac:dyDescent="0.2">
      <c r="Z33967" t="str">
        <f t="shared" si="530"/>
        <v/>
      </c>
    </row>
    <row r="33968" spans="26:26" x14ac:dyDescent="0.2">
      <c r="Z33968" t="str">
        <f t="shared" si="530"/>
        <v/>
      </c>
    </row>
    <row r="33969" spans="26:26" x14ac:dyDescent="0.2">
      <c r="Z33969" t="str">
        <f t="shared" si="530"/>
        <v/>
      </c>
    </row>
    <row r="33970" spans="26:26" x14ac:dyDescent="0.2">
      <c r="Z33970" t="str">
        <f t="shared" si="530"/>
        <v/>
      </c>
    </row>
    <row r="33971" spans="26:26" x14ac:dyDescent="0.2">
      <c r="Z33971" t="str">
        <f t="shared" si="530"/>
        <v/>
      </c>
    </row>
    <row r="33972" spans="26:26" x14ac:dyDescent="0.2">
      <c r="Z33972" t="str">
        <f t="shared" si="530"/>
        <v/>
      </c>
    </row>
    <row r="33973" spans="26:26" x14ac:dyDescent="0.2">
      <c r="Z33973" t="str">
        <f t="shared" si="530"/>
        <v/>
      </c>
    </row>
    <row r="33974" spans="26:26" x14ac:dyDescent="0.2">
      <c r="Z33974" t="str">
        <f t="shared" si="530"/>
        <v/>
      </c>
    </row>
    <row r="33975" spans="26:26" x14ac:dyDescent="0.2">
      <c r="Z33975" t="str">
        <f t="shared" si="530"/>
        <v/>
      </c>
    </row>
    <row r="33976" spans="26:26" x14ac:dyDescent="0.2">
      <c r="Z33976" t="str">
        <f t="shared" si="530"/>
        <v/>
      </c>
    </row>
    <row r="33977" spans="26:26" x14ac:dyDescent="0.2">
      <c r="Z33977" t="str">
        <f t="shared" si="530"/>
        <v/>
      </c>
    </row>
    <row r="33978" spans="26:26" x14ac:dyDescent="0.2">
      <c r="Z33978" t="str">
        <f t="shared" si="530"/>
        <v/>
      </c>
    </row>
    <row r="33979" spans="26:26" x14ac:dyDescent="0.2">
      <c r="Z33979" t="str">
        <f t="shared" si="530"/>
        <v/>
      </c>
    </row>
    <row r="33980" spans="26:26" x14ac:dyDescent="0.2">
      <c r="Z33980" t="str">
        <f t="shared" si="530"/>
        <v/>
      </c>
    </row>
    <row r="33981" spans="26:26" x14ac:dyDescent="0.2">
      <c r="Z33981" t="str">
        <f t="shared" si="530"/>
        <v/>
      </c>
    </row>
    <row r="33982" spans="26:26" x14ac:dyDescent="0.2">
      <c r="Z33982" t="str">
        <f t="shared" si="530"/>
        <v/>
      </c>
    </row>
    <row r="33983" spans="26:26" x14ac:dyDescent="0.2">
      <c r="Z33983" t="str">
        <f t="shared" si="530"/>
        <v/>
      </c>
    </row>
    <row r="33984" spans="26:26" x14ac:dyDescent="0.2">
      <c r="Z33984" t="str">
        <f t="shared" si="530"/>
        <v/>
      </c>
    </row>
    <row r="33985" spans="26:26" x14ac:dyDescent="0.2">
      <c r="Z33985" t="str">
        <f t="shared" si="530"/>
        <v/>
      </c>
    </row>
    <row r="33986" spans="26:26" x14ac:dyDescent="0.2">
      <c r="Z33986" t="str">
        <f t="shared" si="530"/>
        <v/>
      </c>
    </row>
    <row r="33987" spans="26:26" x14ac:dyDescent="0.2">
      <c r="Z33987" t="str">
        <f t="shared" ref="Z33987:Z34050" si="531">IF(K33987="","",IFERROR(VALUE(TRIM(MID(K33987,FIND(CHAR(167),SUBSTITUTE(K33987,"-",CHAR(167),LEN(K33987)-LEN(SUBSTITUTE(K33987,"-",""))))+1,100))),K33987))</f>
        <v/>
      </c>
    </row>
    <row r="33988" spans="26:26" x14ac:dyDescent="0.2">
      <c r="Z33988" t="str">
        <f t="shared" si="531"/>
        <v/>
      </c>
    </row>
    <row r="33989" spans="26:26" x14ac:dyDescent="0.2">
      <c r="Z33989" t="str">
        <f t="shared" si="531"/>
        <v/>
      </c>
    </row>
    <row r="33990" spans="26:26" x14ac:dyDescent="0.2">
      <c r="Z33990" t="str">
        <f t="shared" si="531"/>
        <v/>
      </c>
    </row>
    <row r="33991" spans="26:26" x14ac:dyDescent="0.2">
      <c r="Z33991" t="str">
        <f t="shared" si="531"/>
        <v/>
      </c>
    </row>
    <row r="33992" spans="26:26" x14ac:dyDescent="0.2">
      <c r="Z33992" t="str">
        <f t="shared" si="531"/>
        <v/>
      </c>
    </row>
    <row r="33993" spans="26:26" x14ac:dyDescent="0.2">
      <c r="Z33993" t="str">
        <f t="shared" si="531"/>
        <v/>
      </c>
    </row>
    <row r="33994" spans="26:26" x14ac:dyDescent="0.2">
      <c r="Z33994" t="str">
        <f t="shared" si="531"/>
        <v/>
      </c>
    </row>
    <row r="33995" spans="26:26" x14ac:dyDescent="0.2">
      <c r="Z33995" t="str">
        <f t="shared" si="531"/>
        <v/>
      </c>
    </row>
    <row r="33996" spans="26:26" x14ac:dyDescent="0.2">
      <c r="Z33996" t="str">
        <f t="shared" si="531"/>
        <v/>
      </c>
    </row>
    <row r="33997" spans="26:26" x14ac:dyDescent="0.2">
      <c r="Z33997" t="str">
        <f t="shared" si="531"/>
        <v/>
      </c>
    </row>
    <row r="33998" spans="26:26" x14ac:dyDescent="0.2">
      <c r="Z33998" t="str">
        <f t="shared" si="531"/>
        <v/>
      </c>
    </row>
    <row r="33999" spans="26:26" x14ac:dyDescent="0.2">
      <c r="Z33999" t="str">
        <f t="shared" si="531"/>
        <v/>
      </c>
    </row>
    <row r="34000" spans="26:26" x14ac:dyDescent="0.2">
      <c r="Z34000" t="str">
        <f t="shared" si="531"/>
        <v/>
      </c>
    </row>
    <row r="34001" spans="26:26" x14ac:dyDescent="0.2">
      <c r="Z34001" t="str">
        <f t="shared" si="531"/>
        <v/>
      </c>
    </row>
    <row r="34002" spans="26:26" x14ac:dyDescent="0.2">
      <c r="Z34002" t="str">
        <f t="shared" si="531"/>
        <v/>
      </c>
    </row>
    <row r="34003" spans="26:26" x14ac:dyDescent="0.2">
      <c r="Z34003" t="str">
        <f t="shared" si="531"/>
        <v/>
      </c>
    </row>
    <row r="34004" spans="26:26" x14ac:dyDescent="0.2">
      <c r="Z34004" t="str">
        <f t="shared" si="531"/>
        <v/>
      </c>
    </row>
    <row r="34005" spans="26:26" x14ac:dyDescent="0.2">
      <c r="Z34005" t="str">
        <f t="shared" si="531"/>
        <v/>
      </c>
    </row>
    <row r="34006" spans="26:26" x14ac:dyDescent="0.2">
      <c r="Z34006" t="str">
        <f t="shared" si="531"/>
        <v/>
      </c>
    </row>
    <row r="34007" spans="26:26" x14ac:dyDescent="0.2">
      <c r="Z34007" t="str">
        <f t="shared" si="531"/>
        <v/>
      </c>
    </row>
    <row r="34008" spans="26:26" x14ac:dyDescent="0.2">
      <c r="Z34008" t="str">
        <f t="shared" si="531"/>
        <v/>
      </c>
    </row>
    <row r="34009" spans="26:26" x14ac:dyDescent="0.2">
      <c r="Z34009" t="str">
        <f t="shared" si="531"/>
        <v/>
      </c>
    </row>
    <row r="34010" spans="26:26" x14ac:dyDescent="0.2">
      <c r="Z34010" t="str">
        <f t="shared" si="531"/>
        <v/>
      </c>
    </row>
    <row r="34011" spans="26:26" x14ac:dyDescent="0.2">
      <c r="Z34011" t="str">
        <f t="shared" si="531"/>
        <v/>
      </c>
    </row>
    <row r="34012" spans="26:26" x14ac:dyDescent="0.2">
      <c r="Z34012" t="str">
        <f t="shared" si="531"/>
        <v/>
      </c>
    </row>
    <row r="34013" spans="26:26" x14ac:dyDescent="0.2">
      <c r="Z34013" t="str">
        <f t="shared" si="531"/>
        <v/>
      </c>
    </row>
    <row r="34014" spans="26:26" x14ac:dyDescent="0.2">
      <c r="Z34014" t="str">
        <f t="shared" si="531"/>
        <v/>
      </c>
    </row>
    <row r="34015" spans="26:26" x14ac:dyDescent="0.2">
      <c r="Z34015" t="str">
        <f t="shared" si="531"/>
        <v/>
      </c>
    </row>
    <row r="34016" spans="26:26" x14ac:dyDescent="0.2">
      <c r="Z34016" t="str">
        <f t="shared" si="531"/>
        <v/>
      </c>
    </row>
    <row r="34017" spans="26:26" x14ac:dyDescent="0.2">
      <c r="Z34017" t="str">
        <f t="shared" si="531"/>
        <v/>
      </c>
    </row>
    <row r="34018" spans="26:26" x14ac:dyDescent="0.2">
      <c r="Z34018" t="str">
        <f t="shared" si="531"/>
        <v/>
      </c>
    </row>
    <row r="34019" spans="26:26" x14ac:dyDescent="0.2">
      <c r="Z34019" t="str">
        <f t="shared" si="531"/>
        <v/>
      </c>
    </row>
    <row r="34020" spans="26:26" x14ac:dyDescent="0.2">
      <c r="Z34020" t="str">
        <f t="shared" si="531"/>
        <v/>
      </c>
    </row>
    <row r="34021" spans="26:26" x14ac:dyDescent="0.2">
      <c r="Z34021" t="str">
        <f t="shared" si="531"/>
        <v/>
      </c>
    </row>
    <row r="34022" spans="26:26" x14ac:dyDescent="0.2">
      <c r="Z34022" t="str">
        <f t="shared" si="531"/>
        <v/>
      </c>
    </row>
    <row r="34023" spans="26:26" x14ac:dyDescent="0.2">
      <c r="Z34023" t="str">
        <f t="shared" si="531"/>
        <v/>
      </c>
    </row>
    <row r="34024" spans="26:26" x14ac:dyDescent="0.2">
      <c r="Z34024" t="str">
        <f t="shared" si="531"/>
        <v/>
      </c>
    </row>
    <row r="34025" spans="26:26" x14ac:dyDescent="0.2">
      <c r="Z34025" t="str">
        <f t="shared" si="531"/>
        <v/>
      </c>
    </row>
    <row r="34026" spans="26:26" x14ac:dyDescent="0.2">
      <c r="Z34026" t="str">
        <f t="shared" si="531"/>
        <v/>
      </c>
    </row>
    <row r="34027" spans="26:26" x14ac:dyDescent="0.2">
      <c r="Z34027" t="str">
        <f t="shared" si="531"/>
        <v/>
      </c>
    </row>
    <row r="34028" spans="26:26" x14ac:dyDescent="0.2">
      <c r="Z34028" t="str">
        <f t="shared" si="531"/>
        <v/>
      </c>
    </row>
    <row r="34029" spans="26:26" x14ac:dyDescent="0.2">
      <c r="Z34029" t="str">
        <f t="shared" si="531"/>
        <v/>
      </c>
    </row>
    <row r="34030" spans="26:26" x14ac:dyDescent="0.2">
      <c r="Z34030" t="str">
        <f t="shared" si="531"/>
        <v/>
      </c>
    </row>
    <row r="34031" spans="26:26" x14ac:dyDescent="0.2">
      <c r="Z34031" t="str">
        <f t="shared" si="531"/>
        <v/>
      </c>
    </row>
    <row r="34032" spans="26:26" x14ac:dyDescent="0.2">
      <c r="Z34032" t="str">
        <f t="shared" si="531"/>
        <v/>
      </c>
    </row>
    <row r="34033" spans="26:26" x14ac:dyDescent="0.2">
      <c r="Z34033" t="str">
        <f t="shared" si="531"/>
        <v/>
      </c>
    </row>
    <row r="34034" spans="26:26" x14ac:dyDescent="0.2">
      <c r="Z34034" t="str">
        <f t="shared" si="531"/>
        <v/>
      </c>
    </row>
    <row r="34035" spans="26:26" x14ac:dyDescent="0.2">
      <c r="Z34035" t="str">
        <f t="shared" si="531"/>
        <v/>
      </c>
    </row>
    <row r="34036" spans="26:26" x14ac:dyDescent="0.2">
      <c r="Z34036" t="str">
        <f t="shared" si="531"/>
        <v/>
      </c>
    </row>
    <row r="34037" spans="26:26" x14ac:dyDescent="0.2">
      <c r="Z34037" t="str">
        <f t="shared" si="531"/>
        <v/>
      </c>
    </row>
    <row r="34038" spans="26:26" x14ac:dyDescent="0.2">
      <c r="Z34038" t="str">
        <f t="shared" si="531"/>
        <v/>
      </c>
    </row>
    <row r="34039" spans="26:26" x14ac:dyDescent="0.2">
      <c r="Z34039" t="str">
        <f t="shared" si="531"/>
        <v/>
      </c>
    </row>
    <row r="34040" spans="26:26" x14ac:dyDescent="0.2">
      <c r="Z34040" t="str">
        <f t="shared" si="531"/>
        <v/>
      </c>
    </row>
    <row r="34041" spans="26:26" x14ac:dyDescent="0.2">
      <c r="Z34041" t="str">
        <f t="shared" si="531"/>
        <v/>
      </c>
    </row>
    <row r="34042" spans="26:26" x14ac:dyDescent="0.2">
      <c r="Z34042" t="str">
        <f t="shared" si="531"/>
        <v/>
      </c>
    </row>
    <row r="34043" spans="26:26" x14ac:dyDescent="0.2">
      <c r="Z34043" t="str">
        <f t="shared" si="531"/>
        <v/>
      </c>
    </row>
    <row r="34044" spans="26:26" x14ac:dyDescent="0.2">
      <c r="Z34044" t="str">
        <f t="shared" si="531"/>
        <v/>
      </c>
    </row>
    <row r="34045" spans="26:26" x14ac:dyDescent="0.2">
      <c r="Z34045" t="str">
        <f t="shared" si="531"/>
        <v/>
      </c>
    </row>
    <row r="34046" spans="26:26" x14ac:dyDescent="0.2">
      <c r="Z34046" t="str">
        <f t="shared" si="531"/>
        <v/>
      </c>
    </row>
    <row r="34047" spans="26:26" x14ac:dyDescent="0.2">
      <c r="Z34047" t="str">
        <f t="shared" si="531"/>
        <v/>
      </c>
    </row>
    <row r="34048" spans="26:26" x14ac:dyDescent="0.2">
      <c r="Z34048" t="str">
        <f t="shared" si="531"/>
        <v/>
      </c>
    </row>
    <row r="34049" spans="26:26" x14ac:dyDescent="0.2">
      <c r="Z34049" t="str">
        <f t="shared" si="531"/>
        <v/>
      </c>
    </row>
    <row r="34050" spans="26:26" x14ac:dyDescent="0.2">
      <c r="Z34050" t="str">
        <f t="shared" si="531"/>
        <v/>
      </c>
    </row>
    <row r="34051" spans="26:26" x14ac:dyDescent="0.2">
      <c r="Z34051" t="str">
        <f t="shared" ref="Z34051:Z34114" si="532">IF(K34051="","",IFERROR(VALUE(TRIM(MID(K34051,FIND(CHAR(167),SUBSTITUTE(K34051,"-",CHAR(167),LEN(K34051)-LEN(SUBSTITUTE(K34051,"-",""))))+1,100))),K34051))</f>
        <v/>
      </c>
    </row>
    <row r="34052" spans="26:26" x14ac:dyDescent="0.2">
      <c r="Z34052" t="str">
        <f t="shared" si="532"/>
        <v/>
      </c>
    </row>
    <row r="34053" spans="26:26" x14ac:dyDescent="0.2">
      <c r="Z34053" t="str">
        <f t="shared" si="532"/>
        <v/>
      </c>
    </row>
    <row r="34054" spans="26:26" x14ac:dyDescent="0.2">
      <c r="Z34054" t="str">
        <f t="shared" si="532"/>
        <v/>
      </c>
    </row>
    <row r="34055" spans="26:26" x14ac:dyDescent="0.2">
      <c r="Z34055" t="str">
        <f t="shared" si="532"/>
        <v/>
      </c>
    </row>
    <row r="34056" spans="26:26" x14ac:dyDescent="0.2">
      <c r="Z34056" t="str">
        <f t="shared" si="532"/>
        <v/>
      </c>
    </row>
    <row r="34057" spans="26:26" x14ac:dyDescent="0.2">
      <c r="Z34057" t="str">
        <f t="shared" si="532"/>
        <v/>
      </c>
    </row>
    <row r="34058" spans="26:26" x14ac:dyDescent="0.2">
      <c r="Z34058" t="str">
        <f t="shared" si="532"/>
        <v/>
      </c>
    </row>
    <row r="34059" spans="26:26" x14ac:dyDescent="0.2">
      <c r="Z34059" t="str">
        <f t="shared" si="532"/>
        <v/>
      </c>
    </row>
    <row r="34060" spans="26:26" x14ac:dyDescent="0.2">
      <c r="Z34060" t="str">
        <f t="shared" si="532"/>
        <v/>
      </c>
    </row>
    <row r="34061" spans="26:26" x14ac:dyDescent="0.2">
      <c r="Z34061" t="str">
        <f t="shared" si="532"/>
        <v/>
      </c>
    </row>
    <row r="34062" spans="26:26" x14ac:dyDescent="0.2">
      <c r="Z34062" t="str">
        <f t="shared" si="532"/>
        <v/>
      </c>
    </row>
    <row r="34063" spans="26:26" x14ac:dyDescent="0.2">
      <c r="Z34063" t="str">
        <f t="shared" si="532"/>
        <v/>
      </c>
    </row>
    <row r="34064" spans="26:26" x14ac:dyDescent="0.2">
      <c r="Z34064" t="str">
        <f t="shared" si="532"/>
        <v/>
      </c>
    </row>
    <row r="34065" spans="26:26" x14ac:dyDescent="0.2">
      <c r="Z34065" t="str">
        <f t="shared" si="532"/>
        <v/>
      </c>
    </row>
    <row r="34066" spans="26:26" x14ac:dyDescent="0.2">
      <c r="Z34066" t="str">
        <f t="shared" si="532"/>
        <v/>
      </c>
    </row>
    <row r="34067" spans="26:26" x14ac:dyDescent="0.2">
      <c r="Z34067" t="str">
        <f t="shared" si="532"/>
        <v/>
      </c>
    </row>
    <row r="34068" spans="26:26" x14ac:dyDescent="0.2">
      <c r="Z34068" t="str">
        <f t="shared" si="532"/>
        <v/>
      </c>
    </row>
    <row r="34069" spans="26:26" x14ac:dyDescent="0.2">
      <c r="Z34069" t="str">
        <f t="shared" si="532"/>
        <v/>
      </c>
    </row>
    <row r="34070" spans="26:26" x14ac:dyDescent="0.2">
      <c r="Z34070" t="str">
        <f t="shared" si="532"/>
        <v/>
      </c>
    </row>
    <row r="34071" spans="26:26" x14ac:dyDescent="0.2">
      <c r="Z34071" t="str">
        <f t="shared" si="532"/>
        <v/>
      </c>
    </row>
    <row r="34072" spans="26:26" x14ac:dyDescent="0.2">
      <c r="Z34072" t="str">
        <f t="shared" si="532"/>
        <v/>
      </c>
    </row>
    <row r="34073" spans="26:26" x14ac:dyDescent="0.2">
      <c r="Z34073" t="str">
        <f t="shared" si="532"/>
        <v/>
      </c>
    </row>
    <row r="34074" spans="26:26" x14ac:dyDescent="0.2">
      <c r="Z34074" t="str">
        <f t="shared" si="532"/>
        <v/>
      </c>
    </row>
    <row r="34075" spans="26:26" x14ac:dyDescent="0.2">
      <c r="Z34075" t="str">
        <f t="shared" si="532"/>
        <v/>
      </c>
    </row>
    <row r="34076" spans="26:26" x14ac:dyDescent="0.2">
      <c r="Z34076" t="str">
        <f t="shared" si="532"/>
        <v/>
      </c>
    </row>
    <row r="34077" spans="26:26" x14ac:dyDescent="0.2">
      <c r="Z34077" t="str">
        <f t="shared" si="532"/>
        <v/>
      </c>
    </row>
    <row r="34078" spans="26:26" x14ac:dyDescent="0.2">
      <c r="Z34078" t="str">
        <f t="shared" si="532"/>
        <v/>
      </c>
    </row>
    <row r="34079" spans="26:26" x14ac:dyDescent="0.2">
      <c r="Z34079" t="str">
        <f t="shared" si="532"/>
        <v/>
      </c>
    </row>
    <row r="34080" spans="26:26" x14ac:dyDescent="0.2">
      <c r="Z34080" t="str">
        <f t="shared" si="532"/>
        <v/>
      </c>
    </row>
    <row r="34081" spans="26:26" x14ac:dyDescent="0.2">
      <c r="Z34081" t="str">
        <f t="shared" si="532"/>
        <v/>
      </c>
    </row>
    <row r="34082" spans="26:26" x14ac:dyDescent="0.2">
      <c r="Z34082" t="str">
        <f t="shared" si="532"/>
        <v/>
      </c>
    </row>
    <row r="34083" spans="26:26" x14ac:dyDescent="0.2">
      <c r="Z34083" t="str">
        <f t="shared" si="532"/>
        <v/>
      </c>
    </row>
    <row r="34084" spans="26:26" x14ac:dyDescent="0.2">
      <c r="Z34084" t="str">
        <f t="shared" si="532"/>
        <v/>
      </c>
    </row>
    <row r="34085" spans="26:26" x14ac:dyDescent="0.2">
      <c r="Z34085" t="str">
        <f t="shared" si="532"/>
        <v/>
      </c>
    </row>
    <row r="34086" spans="26:26" x14ac:dyDescent="0.2">
      <c r="Z34086" t="str">
        <f t="shared" si="532"/>
        <v/>
      </c>
    </row>
    <row r="34087" spans="26:26" x14ac:dyDescent="0.2">
      <c r="Z34087" t="str">
        <f t="shared" si="532"/>
        <v/>
      </c>
    </row>
    <row r="34088" spans="26:26" x14ac:dyDescent="0.2">
      <c r="Z34088" t="str">
        <f t="shared" si="532"/>
        <v/>
      </c>
    </row>
    <row r="34089" spans="26:26" x14ac:dyDescent="0.2">
      <c r="Z34089" t="str">
        <f t="shared" si="532"/>
        <v/>
      </c>
    </row>
    <row r="34090" spans="26:26" x14ac:dyDescent="0.2">
      <c r="Z34090" t="str">
        <f t="shared" si="532"/>
        <v/>
      </c>
    </row>
    <row r="34091" spans="26:26" x14ac:dyDescent="0.2">
      <c r="Z34091" t="str">
        <f t="shared" si="532"/>
        <v/>
      </c>
    </row>
    <row r="34092" spans="26:26" x14ac:dyDescent="0.2">
      <c r="Z34092" t="str">
        <f t="shared" si="532"/>
        <v/>
      </c>
    </row>
    <row r="34093" spans="26:26" x14ac:dyDescent="0.2">
      <c r="Z34093" t="str">
        <f t="shared" si="532"/>
        <v/>
      </c>
    </row>
    <row r="34094" spans="26:26" x14ac:dyDescent="0.2">
      <c r="Z34094" t="str">
        <f t="shared" si="532"/>
        <v/>
      </c>
    </row>
    <row r="34095" spans="26:26" x14ac:dyDescent="0.2">
      <c r="Z34095" t="str">
        <f t="shared" si="532"/>
        <v/>
      </c>
    </row>
    <row r="34096" spans="26:26" x14ac:dyDescent="0.2">
      <c r="Z34096" t="str">
        <f t="shared" si="532"/>
        <v/>
      </c>
    </row>
    <row r="34097" spans="26:26" x14ac:dyDescent="0.2">
      <c r="Z34097" t="str">
        <f t="shared" si="532"/>
        <v/>
      </c>
    </row>
    <row r="34098" spans="26:26" x14ac:dyDescent="0.2">
      <c r="Z34098" t="str">
        <f t="shared" si="532"/>
        <v/>
      </c>
    </row>
    <row r="34099" spans="26:26" x14ac:dyDescent="0.2">
      <c r="Z34099" t="str">
        <f t="shared" si="532"/>
        <v/>
      </c>
    </row>
    <row r="34100" spans="26:26" x14ac:dyDescent="0.2">
      <c r="Z34100" t="str">
        <f t="shared" si="532"/>
        <v/>
      </c>
    </row>
    <row r="34101" spans="26:26" x14ac:dyDescent="0.2">
      <c r="Z34101" t="str">
        <f t="shared" si="532"/>
        <v/>
      </c>
    </row>
    <row r="34102" spans="26:26" x14ac:dyDescent="0.2">
      <c r="Z34102" t="str">
        <f t="shared" si="532"/>
        <v/>
      </c>
    </row>
    <row r="34103" spans="26:26" x14ac:dyDescent="0.2">
      <c r="Z34103" t="str">
        <f t="shared" si="532"/>
        <v/>
      </c>
    </row>
    <row r="34104" spans="26:26" x14ac:dyDescent="0.2">
      <c r="Z34104" t="str">
        <f t="shared" si="532"/>
        <v/>
      </c>
    </row>
    <row r="34105" spans="26:26" x14ac:dyDescent="0.2">
      <c r="Z34105" t="str">
        <f t="shared" si="532"/>
        <v/>
      </c>
    </row>
    <row r="34106" spans="26:26" x14ac:dyDescent="0.2">
      <c r="Z34106" t="str">
        <f t="shared" si="532"/>
        <v/>
      </c>
    </row>
    <row r="34107" spans="26:26" x14ac:dyDescent="0.2">
      <c r="Z34107" t="str">
        <f t="shared" si="532"/>
        <v/>
      </c>
    </row>
    <row r="34108" spans="26:26" x14ac:dyDescent="0.2">
      <c r="Z34108" t="str">
        <f t="shared" si="532"/>
        <v/>
      </c>
    </row>
    <row r="34109" spans="26:26" x14ac:dyDescent="0.2">
      <c r="Z34109" t="str">
        <f t="shared" si="532"/>
        <v/>
      </c>
    </row>
    <row r="34110" spans="26:26" x14ac:dyDescent="0.2">
      <c r="Z34110" t="str">
        <f t="shared" si="532"/>
        <v/>
      </c>
    </row>
    <row r="34111" spans="26:26" x14ac:dyDescent="0.2">
      <c r="Z34111" t="str">
        <f t="shared" si="532"/>
        <v/>
      </c>
    </row>
    <row r="34112" spans="26:26" x14ac:dyDescent="0.2">
      <c r="Z34112" t="str">
        <f t="shared" si="532"/>
        <v/>
      </c>
    </row>
    <row r="34113" spans="26:26" x14ac:dyDescent="0.2">
      <c r="Z34113" t="str">
        <f t="shared" si="532"/>
        <v/>
      </c>
    </row>
    <row r="34114" spans="26:26" x14ac:dyDescent="0.2">
      <c r="Z34114" t="str">
        <f t="shared" si="532"/>
        <v/>
      </c>
    </row>
    <row r="34115" spans="26:26" x14ac:dyDescent="0.2">
      <c r="Z34115" t="str">
        <f t="shared" ref="Z34115:Z34178" si="533">IF(K34115="","",IFERROR(VALUE(TRIM(MID(K34115,FIND(CHAR(167),SUBSTITUTE(K34115,"-",CHAR(167),LEN(K34115)-LEN(SUBSTITUTE(K34115,"-",""))))+1,100))),K34115))</f>
        <v/>
      </c>
    </row>
    <row r="34116" spans="26:26" x14ac:dyDescent="0.2">
      <c r="Z34116" t="str">
        <f t="shared" si="533"/>
        <v/>
      </c>
    </row>
    <row r="34117" spans="26:26" x14ac:dyDescent="0.2">
      <c r="Z34117" t="str">
        <f t="shared" si="533"/>
        <v/>
      </c>
    </row>
    <row r="34118" spans="26:26" x14ac:dyDescent="0.2">
      <c r="Z34118" t="str">
        <f t="shared" si="533"/>
        <v/>
      </c>
    </row>
    <row r="34119" spans="26:26" x14ac:dyDescent="0.2">
      <c r="Z34119" t="str">
        <f t="shared" si="533"/>
        <v/>
      </c>
    </row>
    <row r="34120" spans="26:26" x14ac:dyDescent="0.2">
      <c r="Z34120" t="str">
        <f t="shared" si="533"/>
        <v/>
      </c>
    </row>
    <row r="34121" spans="26:26" x14ac:dyDescent="0.2">
      <c r="Z34121" t="str">
        <f t="shared" si="533"/>
        <v/>
      </c>
    </row>
    <row r="34122" spans="26:26" x14ac:dyDescent="0.2">
      <c r="Z34122" t="str">
        <f t="shared" si="533"/>
        <v/>
      </c>
    </row>
    <row r="34123" spans="26:26" x14ac:dyDescent="0.2">
      <c r="Z34123" t="str">
        <f t="shared" si="533"/>
        <v/>
      </c>
    </row>
    <row r="34124" spans="26:26" x14ac:dyDescent="0.2">
      <c r="Z34124" t="str">
        <f t="shared" si="533"/>
        <v/>
      </c>
    </row>
    <row r="34125" spans="26:26" x14ac:dyDescent="0.2">
      <c r="Z34125" t="str">
        <f t="shared" si="533"/>
        <v/>
      </c>
    </row>
    <row r="34126" spans="26:26" x14ac:dyDescent="0.2">
      <c r="Z34126" t="str">
        <f t="shared" si="533"/>
        <v/>
      </c>
    </row>
    <row r="34127" spans="26:26" x14ac:dyDescent="0.2">
      <c r="Z34127" t="str">
        <f t="shared" si="533"/>
        <v/>
      </c>
    </row>
    <row r="34128" spans="26:26" x14ac:dyDescent="0.2">
      <c r="Z34128" t="str">
        <f t="shared" si="533"/>
        <v/>
      </c>
    </row>
    <row r="34129" spans="26:26" x14ac:dyDescent="0.2">
      <c r="Z34129" t="str">
        <f t="shared" si="533"/>
        <v/>
      </c>
    </row>
    <row r="34130" spans="26:26" x14ac:dyDescent="0.2">
      <c r="Z34130" t="str">
        <f t="shared" si="533"/>
        <v/>
      </c>
    </row>
    <row r="34131" spans="26:26" x14ac:dyDescent="0.2">
      <c r="Z34131" t="str">
        <f t="shared" si="533"/>
        <v/>
      </c>
    </row>
    <row r="34132" spans="26:26" x14ac:dyDescent="0.2">
      <c r="Z34132" t="str">
        <f t="shared" si="533"/>
        <v/>
      </c>
    </row>
    <row r="34133" spans="26:26" x14ac:dyDescent="0.2">
      <c r="Z34133" t="str">
        <f t="shared" si="533"/>
        <v/>
      </c>
    </row>
    <row r="34134" spans="26:26" x14ac:dyDescent="0.2">
      <c r="Z34134" t="str">
        <f t="shared" si="533"/>
        <v/>
      </c>
    </row>
    <row r="34135" spans="26:26" x14ac:dyDescent="0.2">
      <c r="Z34135" t="str">
        <f t="shared" si="533"/>
        <v/>
      </c>
    </row>
    <row r="34136" spans="26:26" x14ac:dyDescent="0.2">
      <c r="Z34136" t="str">
        <f t="shared" si="533"/>
        <v/>
      </c>
    </row>
    <row r="34137" spans="26:26" x14ac:dyDescent="0.2">
      <c r="Z34137" t="str">
        <f t="shared" si="533"/>
        <v/>
      </c>
    </row>
    <row r="34138" spans="26:26" x14ac:dyDescent="0.2">
      <c r="Z34138" t="str">
        <f t="shared" si="533"/>
        <v/>
      </c>
    </row>
    <row r="34139" spans="26:26" x14ac:dyDescent="0.2">
      <c r="Z34139" t="str">
        <f t="shared" si="533"/>
        <v/>
      </c>
    </row>
    <row r="34140" spans="26:26" x14ac:dyDescent="0.2">
      <c r="Z34140" t="str">
        <f t="shared" si="533"/>
        <v/>
      </c>
    </row>
    <row r="34141" spans="26:26" x14ac:dyDescent="0.2">
      <c r="Z34141" t="str">
        <f t="shared" si="533"/>
        <v/>
      </c>
    </row>
    <row r="34142" spans="26:26" x14ac:dyDescent="0.2">
      <c r="Z34142" t="str">
        <f t="shared" si="533"/>
        <v/>
      </c>
    </row>
    <row r="34143" spans="26:26" x14ac:dyDescent="0.2">
      <c r="Z34143" t="str">
        <f t="shared" si="533"/>
        <v/>
      </c>
    </row>
    <row r="34144" spans="26:26" x14ac:dyDescent="0.2">
      <c r="Z34144" t="str">
        <f t="shared" si="533"/>
        <v/>
      </c>
    </row>
    <row r="34145" spans="26:26" x14ac:dyDescent="0.2">
      <c r="Z34145" t="str">
        <f t="shared" si="533"/>
        <v/>
      </c>
    </row>
    <row r="34146" spans="26:26" x14ac:dyDescent="0.2">
      <c r="Z34146" t="str">
        <f t="shared" si="533"/>
        <v/>
      </c>
    </row>
    <row r="34147" spans="26:26" x14ac:dyDescent="0.2">
      <c r="Z34147" t="str">
        <f t="shared" si="533"/>
        <v/>
      </c>
    </row>
    <row r="34148" spans="26:26" x14ac:dyDescent="0.2">
      <c r="Z34148" t="str">
        <f t="shared" si="533"/>
        <v/>
      </c>
    </row>
    <row r="34149" spans="26:26" x14ac:dyDescent="0.2">
      <c r="Z34149" t="str">
        <f t="shared" si="533"/>
        <v/>
      </c>
    </row>
    <row r="34150" spans="26:26" x14ac:dyDescent="0.2">
      <c r="Z34150" t="str">
        <f t="shared" si="533"/>
        <v/>
      </c>
    </row>
    <row r="34151" spans="26:26" x14ac:dyDescent="0.2">
      <c r="Z34151" t="str">
        <f t="shared" si="533"/>
        <v/>
      </c>
    </row>
    <row r="34152" spans="26:26" x14ac:dyDescent="0.2">
      <c r="Z34152" t="str">
        <f t="shared" si="533"/>
        <v/>
      </c>
    </row>
    <row r="34153" spans="26:26" x14ac:dyDescent="0.2">
      <c r="Z34153" t="str">
        <f t="shared" si="533"/>
        <v/>
      </c>
    </row>
    <row r="34154" spans="26:26" x14ac:dyDescent="0.2">
      <c r="Z34154" t="str">
        <f t="shared" si="533"/>
        <v/>
      </c>
    </row>
    <row r="34155" spans="26:26" x14ac:dyDescent="0.2">
      <c r="Z34155" t="str">
        <f t="shared" si="533"/>
        <v/>
      </c>
    </row>
    <row r="34156" spans="26:26" x14ac:dyDescent="0.2">
      <c r="Z34156" t="str">
        <f t="shared" si="533"/>
        <v/>
      </c>
    </row>
    <row r="34157" spans="26:26" x14ac:dyDescent="0.2">
      <c r="Z34157" t="str">
        <f t="shared" si="533"/>
        <v/>
      </c>
    </row>
    <row r="34158" spans="26:26" x14ac:dyDescent="0.2">
      <c r="Z34158" t="str">
        <f t="shared" si="533"/>
        <v/>
      </c>
    </row>
    <row r="34159" spans="26:26" x14ac:dyDescent="0.2">
      <c r="Z34159" t="str">
        <f t="shared" si="533"/>
        <v/>
      </c>
    </row>
    <row r="34160" spans="26:26" x14ac:dyDescent="0.2">
      <c r="Z34160" t="str">
        <f t="shared" si="533"/>
        <v/>
      </c>
    </row>
    <row r="34161" spans="26:26" x14ac:dyDescent="0.2">
      <c r="Z34161" t="str">
        <f t="shared" si="533"/>
        <v/>
      </c>
    </row>
    <row r="34162" spans="26:26" x14ac:dyDescent="0.2">
      <c r="Z34162" t="str">
        <f t="shared" si="533"/>
        <v/>
      </c>
    </row>
    <row r="34163" spans="26:26" x14ac:dyDescent="0.2">
      <c r="Z34163" t="str">
        <f t="shared" si="533"/>
        <v/>
      </c>
    </row>
    <row r="34164" spans="26:26" x14ac:dyDescent="0.2">
      <c r="Z34164" t="str">
        <f t="shared" si="533"/>
        <v/>
      </c>
    </row>
    <row r="34165" spans="26:26" x14ac:dyDescent="0.2">
      <c r="Z34165" t="str">
        <f t="shared" si="533"/>
        <v/>
      </c>
    </row>
    <row r="34166" spans="26:26" x14ac:dyDescent="0.2">
      <c r="Z34166" t="str">
        <f t="shared" si="533"/>
        <v/>
      </c>
    </row>
    <row r="34167" spans="26:26" x14ac:dyDescent="0.2">
      <c r="Z34167" t="str">
        <f t="shared" si="533"/>
        <v/>
      </c>
    </row>
    <row r="34168" spans="26:26" x14ac:dyDescent="0.2">
      <c r="Z34168" t="str">
        <f t="shared" si="533"/>
        <v/>
      </c>
    </row>
    <row r="34169" spans="26:26" x14ac:dyDescent="0.2">
      <c r="Z34169" t="str">
        <f t="shared" si="533"/>
        <v/>
      </c>
    </row>
    <row r="34170" spans="26:26" x14ac:dyDescent="0.2">
      <c r="Z34170" t="str">
        <f t="shared" si="533"/>
        <v/>
      </c>
    </row>
    <row r="34171" spans="26:26" x14ac:dyDescent="0.2">
      <c r="Z34171" t="str">
        <f t="shared" si="533"/>
        <v/>
      </c>
    </row>
    <row r="34172" spans="26:26" x14ac:dyDescent="0.2">
      <c r="Z34172" t="str">
        <f t="shared" si="533"/>
        <v/>
      </c>
    </row>
    <row r="34173" spans="26:26" x14ac:dyDescent="0.2">
      <c r="Z34173" t="str">
        <f t="shared" si="533"/>
        <v/>
      </c>
    </row>
    <row r="34174" spans="26:26" x14ac:dyDescent="0.2">
      <c r="Z34174" t="str">
        <f t="shared" si="533"/>
        <v/>
      </c>
    </row>
    <row r="34175" spans="26:26" x14ac:dyDescent="0.2">
      <c r="Z34175" t="str">
        <f t="shared" si="533"/>
        <v/>
      </c>
    </row>
    <row r="34176" spans="26:26" x14ac:dyDescent="0.2">
      <c r="Z34176" t="str">
        <f t="shared" si="533"/>
        <v/>
      </c>
    </row>
    <row r="34177" spans="26:26" x14ac:dyDescent="0.2">
      <c r="Z34177" t="str">
        <f t="shared" si="533"/>
        <v/>
      </c>
    </row>
    <row r="34178" spans="26:26" x14ac:dyDescent="0.2">
      <c r="Z34178" t="str">
        <f t="shared" si="533"/>
        <v/>
      </c>
    </row>
    <row r="34179" spans="26:26" x14ac:dyDescent="0.2">
      <c r="Z34179" t="str">
        <f t="shared" ref="Z34179:Z34242" si="534">IF(K34179="","",IFERROR(VALUE(TRIM(MID(K34179,FIND(CHAR(167),SUBSTITUTE(K34179,"-",CHAR(167),LEN(K34179)-LEN(SUBSTITUTE(K34179,"-",""))))+1,100))),K34179))</f>
        <v/>
      </c>
    </row>
    <row r="34180" spans="26:26" x14ac:dyDescent="0.2">
      <c r="Z34180" t="str">
        <f t="shared" si="534"/>
        <v/>
      </c>
    </row>
    <row r="34181" spans="26:26" x14ac:dyDescent="0.2">
      <c r="Z34181" t="str">
        <f t="shared" si="534"/>
        <v/>
      </c>
    </row>
    <row r="34182" spans="26:26" x14ac:dyDescent="0.2">
      <c r="Z34182" t="str">
        <f t="shared" si="534"/>
        <v/>
      </c>
    </row>
    <row r="34183" spans="26:26" x14ac:dyDescent="0.2">
      <c r="Z34183" t="str">
        <f t="shared" si="534"/>
        <v/>
      </c>
    </row>
    <row r="34184" spans="26:26" x14ac:dyDescent="0.2">
      <c r="Z34184" t="str">
        <f t="shared" si="534"/>
        <v/>
      </c>
    </row>
    <row r="34185" spans="26:26" x14ac:dyDescent="0.2">
      <c r="Z34185" t="str">
        <f t="shared" si="534"/>
        <v/>
      </c>
    </row>
    <row r="34186" spans="26:26" x14ac:dyDescent="0.2">
      <c r="Z34186" t="str">
        <f t="shared" si="534"/>
        <v/>
      </c>
    </row>
    <row r="34187" spans="26:26" x14ac:dyDescent="0.2">
      <c r="Z34187" t="str">
        <f t="shared" si="534"/>
        <v/>
      </c>
    </row>
    <row r="34188" spans="26:26" x14ac:dyDescent="0.2">
      <c r="Z34188" t="str">
        <f t="shared" si="534"/>
        <v/>
      </c>
    </row>
    <row r="34189" spans="26:26" x14ac:dyDescent="0.2">
      <c r="Z34189" t="str">
        <f t="shared" si="534"/>
        <v/>
      </c>
    </row>
    <row r="34190" spans="26:26" x14ac:dyDescent="0.2">
      <c r="Z34190" t="str">
        <f t="shared" si="534"/>
        <v/>
      </c>
    </row>
    <row r="34191" spans="26:26" x14ac:dyDescent="0.2">
      <c r="Z34191" t="str">
        <f t="shared" si="534"/>
        <v/>
      </c>
    </row>
    <row r="34192" spans="26:26" x14ac:dyDescent="0.2">
      <c r="Z34192" t="str">
        <f t="shared" si="534"/>
        <v/>
      </c>
    </row>
    <row r="34193" spans="26:26" x14ac:dyDescent="0.2">
      <c r="Z34193" t="str">
        <f t="shared" si="534"/>
        <v/>
      </c>
    </row>
    <row r="34194" spans="26:26" x14ac:dyDescent="0.2">
      <c r="Z34194" t="str">
        <f t="shared" si="534"/>
        <v/>
      </c>
    </row>
    <row r="34195" spans="26:26" x14ac:dyDescent="0.2">
      <c r="Z34195" t="str">
        <f t="shared" si="534"/>
        <v/>
      </c>
    </row>
    <row r="34196" spans="26:26" x14ac:dyDescent="0.2">
      <c r="Z34196" t="str">
        <f t="shared" si="534"/>
        <v/>
      </c>
    </row>
    <row r="34197" spans="26:26" x14ac:dyDescent="0.2">
      <c r="Z34197" t="str">
        <f t="shared" si="534"/>
        <v/>
      </c>
    </row>
    <row r="34198" spans="26:26" x14ac:dyDescent="0.2">
      <c r="Z34198" t="str">
        <f t="shared" si="534"/>
        <v/>
      </c>
    </row>
    <row r="34199" spans="26:26" x14ac:dyDescent="0.2">
      <c r="Z34199" t="str">
        <f t="shared" si="534"/>
        <v/>
      </c>
    </row>
    <row r="34200" spans="26:26" x14ac:dyDescent="0.2">
      <c r="Z34200" t="str">
        <f t="shared" si="534"/>
        <v/>
      </c>
    </row>
    <row r="34201" spans="26:26" x14ac:dyDescent="0.2">
      <c r="Z34201" t="str">
        <f t="shared" si="534"/>
        <v/>
      </c>
    </row>
    <row r="34202" spans="26:26" x14ac:dyDescent="0.2">
      <c r="Z34202" t="str">
        <f t="shared" si="534"/>
        <v/>
      </c>
    </row>
    <row r="34203" spans="26:26" x14ac:dyDescent="0.2">
      <c r="Z34203" t="str">
        <f t="shared" si="534"/>
        <v/>
      </c>
    </row>
    <row r="34204" spans="26:26" x14ac:dyDescent="0.2">
      <c r="Z34204" t="str">
        <f t="shared" si="534"/>
        <v/>
      </c>
    </row>
    <row r="34205" spans="26:26" x14ac:dyDescent="0.2">
      <c r="Z34205" t="str">
        <f t="shared" si="534"/>
        <v/>
      </c>
    </row>
    <row r="34206" spans="26:26" x14ac:dyDescent="0.2">
      <c r="Z34206" t="str">
        <f t="shared" si="534"/>
        <v/>
      </c>
    </row>
    <row r="34207" spans="26:26" x14ac:dyDescent="0.2">
      <c r="Z34207" t="str">
        <f t="shared" si="534"/>
        <v/>
      </c>
    </row>
    <row r="34208" spans="26:26" x14ac:dyDescent="0.2">
      <c r="Z34208" t="str">
        <f t="shared" si="534"/>
        <v/>
      </c>
    </row>
    <row r="34209" spans="26:26" x14ac:dyDescent="0.2">
      <c r="Z34209" t="str">
        <f t="shared" si="534"/>
        <v/>
      </c>
    </row>
    <row r="34210" spans="26:26" x14ac:dyDescent="0.2">
      <c r="Z34210" t="str">
        <f t="shared" si="534"/>
        <v/>
      </c>
    </row>
    <row r="34211" spans="26:26" x14ac:dyDescent="0.2">
      <c r="Z34211" t="str">
        <f t="shared" si="534"/>
        <v/>
      </c>
    </row>
    <row r="34212" spans="26:26" x14ac:dyDescent="0.2">
      <c r="Z34212" t="str">
        <f t="shared" si="534"/>
        <v/>
      </c>
    </row>
    <row r="34213" spans="26:26" x14ac:dyDescent="0.2">
      <c r="Z34213" t="str">
        <f t="shared" si="534"/>
        <v/>
      </c>
    </row>
    <row r="34214" spans="26:26" x14ac:dyDescent="0.2">
      <c r="Z34214" t="str">
        <f t="shared" si="534"/>
        <v/>
      </c>
    </row>
    <row r="34215" spans="26:26" x14ac:dyDescent="0.2">
      <c r="Z34215" t="str">
        <f t="shared" si="534"/>
        <v/>
      </c>
    </row>
    <row r="34216" spans="26:26" x14ac:dyDescent="0.2">
      <c r="Z34216" t="str">
        <f t="shared" si="534"/>
        <v/>
      </c>
    </row>
    <row r="34217" spans="26:26" x14ac:dyDescent="0.2">
      <c r="Z34217" t="str">
        <f t="shared" si="534"/>
        <v/>
      </c>
    </row>
    <row r="34218" spans="26:26" x14ac:dyDescent="0.2">
      <c r="Z34218" t="str">
        <f t="shared" si="534"/>
        <v/>
      </c>
    </row>
    <row r="34219" spans="26:26" x14ac:dyDescent="0.2">
      <c r="Z34219" t="str">
        <f t="shared" si="534"/>
        <v/>
      </c>
    </row>
    <row r="34220" spans="26:26" x14ac:dyDescent="0.2">
      <c r="Z34220" t="str">
        <f t="shared" si="534"/>
        <v/>
      </c>
    </row>
    <row r="34221" spans="26:26" x14ac:dyDescent="0.2">
      <c r="Z34221" t="str">
        <f t="shared" si="534"/>
        <v/>
      </c>
    </row>
    <row r="34222" spans="26:26" x14ac:dyDescent="0.2">
      <c r="Z34222" t="str">
        <f t="shared" si="534"/>
        <v/>
      </c>
    </row>
    <row r="34223" spans="26:26" x14ac:dyDescent="0.2">
      <c r="Z34223" t="str">
        <f t="shared" si="534"/>
        <v/>
      </c>
    </row>
    <row r="34224" spans="26:26" x14ac:dyDescent="0.2">
      <c r="Z34224" t="str">
        <f t="shared" si="534"/>
        <v/>
      </c>
    </row>
    <row r="34225" spans="26:26" x14ac:dyDescent="0.2">
      <c r="Z34225" t="str">
        <f t="shared" si="534"/>
        <v/>
      </c>
    </row>
    <row r="34226" spans="26:26" x14ac:dyDescent="0.2">
      <c r="Z34226" t="str">
        <f t="shared" si="534"/>
        <v/>
      </c>
    </row>
    <row r="34227" spans="26:26" x14ac:dyDescent="0.2">
      <c r="Z34227" t="str">
        <f t="shared" si="534"/>
        <v/>
      </c>
    </row>
    <row r="34228" spans="26:26" x14ac:dyDescent="0.2">
      <c r="Z34228" t="str">
        <f t="shared" si="534"/>
        <v/>
      </c>
    </row>
    <row r="34229" spans="26:26" x14ac:dyDescent="0.2">
      <c r="Z34229" t="str">
        <f t="shared" si="534"/>
        <v/>
      </c>
    </row>
    <row r="34230" spans="26:26" x14ac:dyDescent="0.2">
      <c r="Z34230" t="str">
        <f t="shared" si="534"/>
        <v/>
      </c>
    </row>
    <row r="34231" spans="26:26" x14ac:dyDescent="0.2">
      <c r="Z34231" t="str">
        <f t="shared" si="534"/>
        <v/>
      </c>
    </row>
    <row r="34232" spans="26:26" x14ac:dyDescent="0.2">
      <c r="Z34232" t="str">
        <f t="shared" si="534"/>
        <v/>
      </c>
    </row>
    <row r="34233" spans="26:26" x14ac:dyDescent="0.2">
      <c r="Z34233" t="str">
        <f t="shared" si="534"/>
        <v/>
      </c>
    </row>
    <row r="34234" spans="26:26" x14ac:dyDescent="0.2">
      <c r="Z34234" t="str">
        <f t="shared" si="534"/>
        <v/>
      </c>
    </row>
    <row r="34235" spans="26:26" x14ac:dyDescent="0.2">
      <c r="Z34235" t="str">
        <f t="shared" si="534"/>
        <v/>
      </c>
    </row>
    <row r="34236" spans="26:26" x14ac:dyDescent="0.2">
      <c r="Z34236" t="str">
        <f t="shared" si="534"/>
        <v/>
      </c>
    </row>
    <row r="34237" spans="26:26" x14ac:dyDescent="0.2">
      <c r="Z34237" t="str">
        <f t="shared" si="534"/>
        <v/>
      </c>
    </row>
    <row r="34238" spans="26:26" x14ac:dyDescent="0.2">
      <c r="Z34238" t="str">
        <f t="shared" si="534"/>
        <v/>
      </c>
    </row>
    <row r="34239" spans="26:26" x14ac:dyDescent="0.2">
      <c r="Z34239" t="str">
        <f t="shared" si="534"/>
        <v/>
      </c>
    </row>
    <row r="34240" spans="26:26" x14ac:dyDescent="0.2">
      <c r="Z34240" t="str">
        <f t="shared" si="534"/>
        <v/>
      </c>
    </row>
    <row r="34241" spans="26:26" x14ac:dyDescent="0.2">
      <c r="Z34241" t="str">
        <f t="shared" si="534"/>
        <v/>
      </c>
    </row>
    <row r="34242" spans="26:26" x14ac:dyDescent="0.2">
      <c r="Z34242" t="str">
        <f t="shared" si="534"/>
        <v/>
      </c>
    </row>
    <row r="34243" spans="26:26" x14ac:dyDescent="0.2">
      <c r="Z34243" t="str">
        <f t="shared" ref="Z34243:Z34306" si="535">IF(K34243="","",IFERROR(VALUE(TRIM(MID(K34243,FIND(CHAR(167),SUBSTITUTE(K34243,"-",CHAR(167),LEN(K34243)-LEN(SUBSTITUTE(K34243,"-",""))))+1,100))),K34243))</f>
        <v/>
      </c>
    </row>
    <row r="34244" spans="26:26" x14ac:dyDescent="0.2">
      <c r="Z34244" t="str">
        <f t="shared" si="535"/>
        <v/>
      </c>
    </row>
    <row r="34245" spans="26:26" x14ac:dyDescent="0.2">
      <c r="Z34245" t="str">
        <f t="shared" si="535"/>
        <v/>
      </c>
    </row>
    <row r="34246" spans="26:26" x14ac:dyDescent="0.2">
      <c r="Z34246" t="str">
        <f t="shared" si="535"/>
        <v/>
      </c>
    </row>
    <row r="34247" spans="26:26" x14ac:dyDescent="0.2">
      <c r="Z34247" t="str">
        <f t="shared" si="535"/>
        <v/>
      </c>
    </row>
    <row r="34248" spans="26:26" x14ac:dyDescent="0.2">
      <c r="Z34248" t="str">
        <f t="shared" si="535"/>
        <v/>
      </c>
    </row>
    <row r="34249" spans="26:26" x14ac:dyDescent="0.2">
      <c r="Z34249" t="str">
        <f t="shared" si="535"/>
        <v/>
      </c>
    </row>
    <row r="34250" spans="26:26" x14ac:dyDescent="0.2">
      <c r="Z34250" t="str">
        <f t="shared" si="535"/>
        <v/>
      </c>
    </row>
    <row r="34251" spans="26:26" x14ac:dyDescent="0.2">
      <c r="Z34251" t="str">
        <f t="shared" si="535"/>
        <v/>
      </c>
    </row>
    <row r="34252" spans="26:26" x14ac:dyDescent="0.2">
      <c r="Z34252" t="str">
        <f t="shared" si="535"/>
        <v/>
      </c>
    </row>
    <row r="34253" spans="26:26" x14ac:dyDescent="0.2">
      <c r="Z34253" t="str">
        <f t="shared" si="535"/>
        <v/>
      </c>
    </row>
    <row r="34254" spans="26:26" x14ac:dyDescent="0.2">
      <c r="Z34254" t="str">
        <f t="shared" si="535"/>
        <v/>
      </c>
    </row>
    <row r="34255" spans="26:26" x14ac:dyDescent="0.2">
      <c r="Z34255" t="str">
        <f t="shared" si="535"/>
        <v/>
      </c>
    </row>
    <row r="34256" spans="26:26" x14ac:dyDescent="0.2">
      <c r="Z34256" t="str">
        <f t="shared" si="535"/>
        <v/>
      </c>
    </row>
    <row r="34257" spans="26:26" x14ac:dyDescent="0.2">
      <c r="Z34257" t="str">
        <f t="shared" si="535"/>
        <v/>
      </c>
    </row>
    <row r="34258" spans="26:26" x14ac:dyDescent="0.2">
      <c r="Z34258" t="str">
        <f t="shared" si="535"/>
        <v/>
      </c>
    </row>
    <row r="34259" spans="26:26" x14ac:dyDescent="0.2">
      <c r="Z34259" t="str">
        <f t="shared" si="535"/>
        <v/>
      </c>
    </row>
    <row r="34260" spans="26:26" x14ac:dyDescent="0.2">
      <c r="Z34260" t="str">
        <f t="shared" si="535"/>
        <v/>
      </c>
    </row>
    <row r="34261" spans="26:26" x14ac:dyDescent="0.2">
      <c r="Z34261" t="str">
        <f t="shared" si="535"/>
        <v/>
      </c>
    </row>
    <row r="34262" spans="26:26" x14ac:dyDescent="0.2">
      <c r="Z34262" t="str">
        <f t="shared" si="535"/>
        <v/>
      </c>
    </row>
    <row r="34263" spans="26:26" x14ac:dyDescent="0.2">
      <c r="Z34263" t="str">
        <f t="shared" si="535"/>
        <v/>
      </c>
    </row>
    <row r="34264" spans="26:26" x14ac:dyDescent="0.2">
      <c r="Z34264" t="str">
        <f t="shared" si="535"/>
        <v/>
      </c>
    </row>
    <row r="34265" spans="26:26" x14ac:dyDescent="0.2">
      <c r="Z34265" t="str">
        <f t="shared" si="535"/>
        <v/>
      </c>
    </row>
    <row r="34266" spans="26:26" x14ac:dyDescent="0.2">
      <c r="Z34266" t="str">
        <f t="shared" si="535"/>
        <v/>
      </c>
    </row>
    <row r="34267" spans="26:26" x14ac:dyDescent="0.2">
      <c r="Z34267" t="str">
        <f t="shared" si="535"/>
        <v/>
      </c>
    </row>
    <row r="34268" spans="26:26" x14ac:dyDescent="0.2">
      <c r="Z34268" t="str">
        <f t="shared" si="535"/>
        <v/>
      </c>
    </row>
    <row r="34269" spans="26:26" x14ac:dyDescent="0.2">
      <c r="Z34269" t="str">
        <f t="shared" si="535"/>
        <v/>
      </c>
    </row>
    <row r="34270" spans="26:26" x14ac:dyDescent="0.2">
      <c r="Z34270" t="str">
        <f t="shared" si="535"/>
        <v/>
      </c>
    </row>
    <row r="34271" spans="26:26" x14ac:dyDescent="0.2">
      <c r="Z34271" t="str">
        <f t="shared" si="535"/>
        <v/>
      </c>
    </row>
    <row r="34272" spans="26:26" x14ac:dyDescent="0.2">
      <c r="Z34272" t="str">
        <f t="shared" si="535"/>
        <v/>
      </c>
    </row>
    <row r="34273" spans="26:26" x14ac:dyDescent="0.2">
      <c r="Z34273" t="str">
        <f t="shared" si="535"/>
        <v/>
      </c>
    </row>
    <row r="34274" spans="26:26" x14ac:dyDescent="0.2">
      <c r="Z34274" t="str">
        <f t="shared" si="535"/>
        <v/>
      </c>
    </row>
    <row r="34275" spans="26:26" x14ac:dyDescent="0.2">
      <c r="Z34275" t="str">
        <f t="shared" si="535"/>
        <v/>
      </c>
    </row>
    <row r="34276" spans="26:26" x14ac:dyDescent="0.2">
      <c r="Z34276" t="str">
        <f t="shared" si="535"/>
        <v/>
      </c>
    </row>
    <row r="34277" spans="26:26" x14ac:dyDescent="0.2">
      <c r="Z34277" t="str">
        <f t="shared" si="535"/>
        <v/>
      </c>
    </row>
    <row r="34278" spans="26:26" x14ac:dyDescent="0.2">
      <c r="Z34278" t="str">
        <f t="shared" si="535"/>
        <v/>
      </c>
    </row>
    <row r="34279" spans="26:26" x14ac:dyDescent="0.2">
      <c r="Z34279" t="str">
        <f t="shared" si="535"/>
        <v/>
      </c>
    </row>
    <row r="34280" spans="26:26" x14ac:dyDescent="0.2">
      <c r="Z34280" t="str">
        <f t="shared" si="535"/>
        <v/>
      </c>
    </row>
    <row r="34281" spans="26:26" x14ac:dyDescent="0.2">
      <c r="Z34281" t="str">
        <f t="shared" si="535"/>
        <v/>
      </c>
    </row>
    <row r="34282" spans="26:26" x14ac:dyDescent="0.2">
      <c r="Z34282" t="str">
        <f t="shared" si="535"/>
        <v/>
      </c>
    </row>
    <row r="34283" spans="26:26" x14ac:dyDescent="0.2">
      <c r="Z34283" t="str">
        <f t="shared" si="535"/>
        <v/>
      </c>
    </row>
    <row r="34284" spans="26:26" x14ac:dyDescent="0.2">
      <c r="Z34284" t="str">
        <f t="shared" si="535"/>
        <v/>
      </c>
    </row>
    <row r="34285" spans="26:26" x14ac:dyDescent="0.2">
      <c r="Z34285" t="str">
        <f t="shared" si="535"/>
        <v/>
      </c>
    </row>
    <row r="34286" spans="26:26" x14ac:dyDescent="0.2">
      <c r="Z34286" t="str">
        <f t="shared" si="535"/>
        <v/>
      </c>
    </row>
    <row r="34287" spans="26:26" x14ac:dyDescent="0.2">
      <c r="Z34287" t="str">
        <f t="shared" si="535"/>
        <v/>
      </c>
    </row>
    <row r="34288" spans="26:26" x14ac:dyDescent="0.2">
      <c r="Z34288" t="str">
        <f t="shared" si="535"/>
        <v/>
      </c>
    </row>
    <row r="34289" spans="26:26" x14ac:dyDescent="0.2">
      <c r="Z34289" t="str">
        <f t="shared" si="535"/>
        <v/>
      </c>
    </row>
    <row r="34290" spans="26:26" x14ac:dyDescent="0.2">
      <c r="Z34290" t="str">
        <f t="shared" si="535"/>
        <v/>
      </c>
    </row>
    <row r="34291" spans="26:26" x14ac:dyDescent="0.2">
      <c r="Z34291" t="str">
        <f t="shared" si="535"/>
        <v/>
      </c>
    </row>
    <row r="34292" spans="26:26" x14ac:dyDescent="0.2">
      <c r="Z34292" t="str">
        <f t="shared" si="535"/>
        <v/>
      </c>
    </row>
    <row r="34293" spans="26:26" x14ac:dyDescent="0.2">
      <c r="Z34293" t="str">
        <f t="shared" si="535"/>
        <v/>
      </c>
    </row>
    <row r="34294" spans="26:26" x14ac:dyDescent="0.2">
      <c r="Z34294" t="str">
        <f t="shared" si="535"/>
        <v/>
      </c>
    </row>
    <row r="34295" spans="26:26" x14ac:dyDescent="0.2">
      <c r="Z34295" t="str">
        <f t="shared" si="535"/>
        <v/>
      </c>
    </row>
    <row r="34296" spans="26:26" x14ac:dyDescent="0.2">
      <c r="Z34296" t="str">
        <f t="shared" si="535"/>
        <v/>
      </c>
    </row>
    <row r="34297" spans="26:26" x14ac:dyDescent="0.2">
      <c r="Z34297" t="str">
        <f t="shared" si="535"/>
        <v/>
      </c>
    </row>
    <row r="34298" spans="26:26" x14ac:dyDescent="0.2">
      <c r="Z34298" t="str">
        <f t="shared" si="535"/>
        <v/>
      </c>
    </row>
    <row r="34299" spans="26:26" x14ac:dyDescent="0.2">
      <c r="Z34299" t="str">
        <f t="shared" si="535"/>
        <v/>
      </c>
    </row>
    <row r="34300" spans="26:26" x14ac:dyDescent="0.2">
      <c r="Z34300" t="str">
        <f t="shared" si="535"/>
        <v/>
      </c>
    </row>
    <row r="34301" spans="26:26" x14ac:dyDescent="0.2">
      <c r="Z34301" t="str">
        <f t="shared" si="535"/>
        <v/>
      </c>
    </row>
    <row r="34302" spans="26:26" x14ac:dyDescent="0.2">
      <c r="Z34302" t="str">
        <f t="shared" si="535"/>
        <v/>
      </c>
    </row>
    <row r="34303" spans="26:26" x14ac:dyDescent="0.2">
      <c r="Z34303" t="str">
        <f t="shared" si="535"/>
        <v/>
      </c>
    </row>
    <row r="34304" spans="26:26" x14ac:dyDescent="0.2">
      <c r="Z34304" t="str">
        <f t="shared" si="535"/>
        <v/>
      </c>
    </row>
    <row r="34305" spans="26:26" x14ac:dyDescent="0.2">
      <c r="Z34305" t="str">
        <f t="shared" si="535"/>
        <v/>
      </c>
    </row>
    <row r="34306" spans="26:26" x14ac:dyDescent="0.2">
      <c r="Z34306" t="str">
        <f t="shared" si="535"/>
        <v/>
      </c>
    </row>
    <row r="34307" spans="26:26" x14ac:dyDescent="0.2">
      <c r="Z34307" t="str">
        <f t="shared" ref="Z34307:Z34370" si="536">IF(K34307="","",IFERROR(VALUE(TRIM(MID(K34307,FIND(CHAR(167),SUBSTITUTE(K34307,"-",CHAR(167),LEN(K34307)-LEN(SUBSTITUTE(K34307,"-",""))))+1,100))),K34307))</f>
        <v/>
      </c>
    </row>
    <row r="34308" spans="26:26" x14ac:dyDescent="0.2">
      <c r="Z34308" t="str">
        <f t="shared" si="536"/>
        <v/>
      </c>
    </row>
    <row r="34309" spans="26:26" x14ac:dyDescent="0.2">
      <c r="Z34309" t="str">
        <f t="shared" si="536"/>
        <v/>
      </c>
    </row>
    <row r="34310" spans="26:26" x14ac:dyDescent="0.2">
      <c r="Z34310" t="str">
        <f t="shared" si="536"/>
        <v/>
      </c>
    </row>
    <row r="34311" spans="26:26" x14ac:dyDescent="0.2">
      <c r="Z34311" t="str">
        <f t="shared" si="536"/>
        <v/>
      </c>
    </row>
    <row r="34312" spans="26:26" x14ac:dyDescent="0.2">
      <c r="Z34312" t="str">
        <f t="shared" si="536"/>
        <v/>
      </c>
    </row>
    <row r="34313" spans="26:26" x14ac:dyDescent="0.2">
      <c r="Z34313" t="str">
        <f t="shared" si="536"/>
        <v/>
      </c>
    </row>
    <row r="34314" spans="26:26" x14ac:dyDescent="0.2">
      <c r="Z34314" t="str">
        <f t="shared" si="536"/>
        <v/>
      </c>
    </row>
    <row r="34315" spans="26:26" x14ac:dyDescent="0.2">
      <c r="Z34315" t="str">
        <f t="shared" si="536"/>
        <v/>
      </c>
    </row>
    <row r="34316" spans="26:26" x14ac:dyDescent="0.2">
      <c r="Z34316" t="str">
        <f t="shared" si="536"/>
        <v/>
      </c>
    </row>
    <row r="34317" spans="26:26" x14ac:dyDescent="0.2">
      <c r="Z34317" t="str">
        <f t="shared" si="536"/>
        <v/>
      </c>
    </row>
    <row r="34318" spans="26:26" x14ac:dyDescent="0.2">
      <c r="Z34318" t="str">
        <f t="shared" si="536"/>
        <v/>
      </c>
    </row>
    <row r="34319" spans="26:26" x14ac:dyDescent="0.2">
      <c r="Z34319" t="str">
        <f t="shared" si="536"/>
        <v/>
      </c>
    </row>
    <row r="34320" spans="26:26" x14ac:dyDescent="0.2">
      <c r="Z34320" t="str">
        <f t="shared" si="536"/>
        <v/>
      </c>
    </row>
    <row r="34321" spans="26:26" x14ac:dyDescent="0.2">
      <c r="Z34321" t="str">
        <f t="shared" si="536"/>
        <v/>
      </c>
    </row>
    <row r="34322" spans="26:26" x14ac:dyDescent="0.2">
      <c r="Z34322" t="str">
        <f t="shared" si="536"/>
        <v/>
      </c>
    </row>
    <row r="34323" spans="26:26" x14ac:dyDescent="0.2">
      <c r="Z34323" t="str">
        <f t="shared" si="536"/>
        <v/>
      </c>
    </row>
    <row r="34324" spans="26:26" x14ac:dyDescent="0.2">
      <c r="Z34324" t="str">
        <f t="shared" si="536"/>
        <v/>
      </c>
    </row>
    <row r="34325" spans="26:26" x14ac:dyDescent="0.2">
      <c r="Z34325" t="str">
        <f t="shared" si="536"/>
        <v/>
      </c>
    </row>
    <row r="34326" spans="26:26" x14ac:dyDescent="0.2">
      <c r="Z34326" t="str">
        <f t="shared" si="536"/>
        <v/>
      </c>
    </row>
    <row r="34327" spans="26:26" x14ac:dyDescent="0.2">
      <c r="Z34327" t="str">
        <f t="shared" si="536"/>
        <v/>
      </c>
    </row>
    <row r="34328" spans="26:26" x14ac:dyDescent="0.2">
      <c r="Z34328" t="str">
        <f t="shared" si="536"/>
        <v/>
      </c>
    </row>
    <row r="34329" spans="26:26" x14ac:dyDescent="0.2">
      <c r="Z34329" t="str">
        <f t="shared" si="536"/>
        <v/>
      </c>
    </row>
    <row r="34330" spans="26:26" x14ac:dyDescent="0.2">
      <c r="Z34330" t="str">
        <f t="shared" si="536"/>
        <v/>
      </c>
    </row>
    <row r="34331" spans="26:26" x14ac:dyDescent="0.2">
      <c r="Z34331" t="str">
        <f t="shared" si="536"/>
        <v/>
      </c>
    </row>
    <row r="34332" spans="26:26" x14ac:dyDescent="0.2">
      <c r="Z34332" t="str">
        <f t="shared" si="536"/>
        <v/>
      </c>
    </row>
    <row r="34333" spans="26:26" x14ac:dyDescent="0.2">
      <c r="Z34333" t="str">
        <f t="shared" si="536"/>
        <v/>
      </c>
    </row>
    <row r="34334" spans="26:26" x14ac:dyDescent="0.2">
      <c r="Z34334" t="str">
        <f t="shared" si="536"/>
        <v/>
      </c>
    </row>
    <row r="34335" spans="26:26" x14ac:dyDescent="0.2">
      <c r="Z34335" t="str">
        <f t="shared" si="536"/>
        <v/>
      </c>
    </row>
    <row r="34336" spans="26:26" x14ac:dyDescent="0.2">
      <c r="Z34336" t="str">
        <f t="shared" si="536"/>
        <v/>
      </c>
    </row>
    <row r="34337" spans="26:26" x14ac:dyDescent="0.2">
      <c r="Z34337" t="str">
        <f t="shared" si="536"/>
        <v/>
      </c>
    </row>
    <row r="34338" spans="26:26" x14ac:dyDescent="0.2">
      <c r="Z34338" t="str">
        <f t="shared" si="536"/>
        <v/>
      </c>
    </row>
    <row r="34339" spans="26:26" x14ac:dyDescent="0.2">
      <c r="Z34339" t="str">
        <f t="shared" si="536"/>
        <v/>
      </c>
    </row>
    <row r="34340" spans="26:26" x14ac:dyDescent="0.2">
      <c r="Z34340" t="str">
        <f t="shared" si="536"/>
        <v/>
      </c>
    </row>
    <row r="34341" spans="26:26" x14ac:dyDescent="0.2">
      <c r="Z34341" t="str">
        <f t="shared" si="536"/>
        <v/>
      </c>
    </row>
    <row r="34342" spans="26:26" x14ac:dyDescent="0.2">
      <c r="Z34342" t="str">
        <f t="shared" si="536"/>
        <v/>
      </c>
    </row>
    <row r="34343" spans="26:26" x14ac:dyDescent="0.2">
      <c r="Z34343" t="str">
        <f t="shared" si="536"/>
        <v/>
      </c>
    </row>
    <row r="34344" spans="26:26" x14ac:dyDescent="0.2">
      <c r="Z34344" t="str">
        <f t="shared" si="536"/>
        <v/>
      </c>
    </row>
    <row r="34345" spans="26:26" x14ac:dyDescent="0.2">
      <c r="Z34345" t="str">
        <f t="shared" si="536"/>
        <v/>
      </c>
    </row>
    <row r="34346" spans="26:26" x14ac:dyDescent="0.2">
      <c r="Z34346" t="str">
        <f t="shared" si="536"/>
        <v/>
      </c>
    </row>
    <row r="34347" spans="26:26" x14ac:dyDescent="0.2">
      <c r="Z34347" t="str">
        <f t="shared" si="536"/>
        <v/>
      </c>
    </row>
    <row r="34348" spans="26:26" x14ac:dyDescent="0.2">
      <c r="Z34348" t="str">
        <f t="shared" si="536"/>
        <v/>
      </c>
    </row>
    <row r="34349" spans="26:26" x14ac:dyDescent="0.2">
      <c r="Z34349" t="str">
        <f t="shared" si="536"/>
        <v/>
      </c>
    </row>
    <row r="34350" spans="26:26" x14ac:dyDescent="0.2">
      <c r="Z34350" t="str">
        <f t="shared" si="536"/>
        <v/>
      </c>
    </row>
    <row r="34351" spans="26:26" x14ac:dyDescent="0.2">
      <c r="Z34351" t="str">
        <f t="shared" si="536"/>
        <v/>
      </c>
    </row>
    <row r="34352" spans="26:26" x14ac:dyDescent="0.2">
      <c r="Z34352" t="str">
        <f t="shared" si="536"/>
        <v/>
      </c>
    </row>
    <row r="34353" spans="26:26" x14ac:dyDescent="0.2">
      <c r="Z34353" t="str">
        <f t="shared" si="536"/>
        <v/>
      </c>
    </row>
    <row r="34354" spans="26:26" x14ac:dyDescent="0.2">
      <c r="Z34354" t="str">
        <f t="shared" si="536"/>
        <v/>
      </c>
    </row>
    <row r="34355" spans="26:26" x14ac:dyDescent="0.2">
      <c r="Z34355" t="str">
        <f t="shared" si="536"/>
        <v/>
      </c>
    </row>
    <row r="34356" spans="26:26" x14ac:dyDescent="0.2">
      <c r="Z34356" t="str">
        <f t="shared" si="536"/>
        <v/>
      </c>
    </row>
    <row r="34357" spans="26:26" x14ac:dyDescent="0.2">
      <c r="Z34357" t="str">
        <f t="shared" si="536"/>
        <v/>
      </c>
    </row>
    <row r="34358" spans="26:26" x14ac:dyDescent="0.2">
      <c r="Z34358" t="str">
        <f t="shared" si="536"/>
        <v/>
      </c>
    </row>
    <row r="34359" spans="26:26" x14ac:dyDescent="0.2">
      <c r="Z34359" t="str">
        <f t="shared" si="536"/>
        <v/>
      </c>
    </row>
    <row r="34360" spans="26:26" x14ac:dyDescent="0.2">
      <c r="Z34360" t="str">
        <f t="shared" si="536"/>
        <v/>
      </c>
    </row>
    <row r="34361" spans="26:26" x14ac:dyDescent="0.2">
      <c r="Z34361" t="str">
        <f t="shared" si="536"/>
        <v/>
      </c>
    </row>
    <row r="34362" spans="26:26" x14ac:dyDescent="0.2">
      <c r="Z34362" t="str">
        <f t="shared" si="536"/>
        <v/>
      </c>
    </row>
    <row r="34363" spans="26:26" x14ac:dyDescent="0.2">
      <c r="Z34363" t="str">
        <f t="shared" si="536"/>
        <v/>
      </c>
    </row>
    <row r="34364" spans="26:26" x14ac:dyDescent="0.2">
      <c r="Z34364" t="str">
        <f t="shared" si="536"/>
        <v/>
      </c>
    </row>
    <row r="34365" spans="26:26" x14ac:dyDescent="0.2">
      <c r="Z34365" t="str">
        <f t="shared" si="536"/>
        <v/>
      </c>
    </row>
    <row r="34366" spans="26:26" x14ac:dyDescent="0.2">
      <c r="Z34366" t="str">
        <f t="shared" si="536"/>
        <v/>
      </c>
    </row>
    <row r="34367" spans="26:26" x14ac:dyDescent="0.2">
      <c r="Z34367" t="str">
        <f t="shared" si="536"/>
        <v/>
      </c>
    </row>
    <row r="34368" spans="26:26" x14ac:dyDescent="0.2">
      <c r="Z34368" t="str">
        <f t="shared" si="536"/>
        <v/>
      </c>
    </row>
    <row r="34369" spans="26:26" x14ac:dyDescent="0.2">
      <c r="Z34369" t="str">
        <f t="shared" si="536"/>
        <v/>
      </c>
    </row>
    <row r="34370" spans="26:26" x14ac:dyDescent="0.2">
      <c r="Z34370" t="str">
        <f t="shared" si="536"/>
        <v/>
      </c>
    </row>
    <row r="34371" spans="26:26" x14ac:dyDescent="0.2">
      <c r="Z34371" t="str">
        <f t="shared" ref="Z34371:Z34434" si="537">IF(K34371="","",IFERROR(VALUE(TRIM(MID(K34371,FIND(CHAR(167),SUBSTITUTE(K34371,"-",CHAR(167),LEN(K34371)-LEN(SUBSTITUTE(K34371,"-",""))))+1,100))),K34371))</f>
        <v/>
      </c>
    </row>
    <row r="34372" spans="26:26" x14ac:dyDescent="0.2">
      <c r="Z34372" t="str">
        <f t="shared" si="537"/>
        <v/>
      </c>
    </row>
    <row r="34373" spans="26:26" x14ac:dyDescent="0.2">
      <c r="Z34373" t="str">
        <f t="shared" si="537"/>
        <v/>
      </c>
    </row>
    <row r="34374" spans="26:26" x14ac:dyDescent="0.2">
      <c r="Z34374" t="str">
        <f t="shared" si="537"/>
        <v/>
      </c>
    </row>
    <row r="34375" spans="26:26" x14ac:dyDescent="0.2">
      <c r="Z34375" t="str">
        <f t="shared" si="537"/>
        <v/>
      </c>
    </row>
    <row r="34376" spans="26:26" x14ac:dyDescent="0.2">
      <c r="Z34376" t="str">
        <f t="shared" si="537"/>
        <v/>
      </c>
    </row>
    <row r="34377" spans="26:26" x14ac:dyDescent="0.2">
      <c r="Z34377" t="str">
        <f t="shared" si="537"/>
        <v/>
      </c>
    </row>
    <row r="34378" spans="26:26" x14ac:dyDescent="0.2">
      <c r="Z34378" t="str">
        <f t="shared" si="537"/>
        <v/>
      </c>
    </row>
    <row r="34379" spans="26:26" x14ac:dyDescent="0.2">
      <c r="Z34379" t="str">
        <f t="shared" si="537"/>
        <v/>
      </c>
    </row>
    <row r="34380" spans="26:26" x14ac:dyDescent="0.2">
      <c r="Z34380" t="str">
        <f t="shared" si="537"/>
        <v/>
      </c>
    </row>
    <row r="34381" spans="26:26" x14ac:dyDescent="0.2">
      <c r="Z34381" t="str">
        <f t="shared" si="537"/>
        <v/>
      </c>
    </row>
    <row r="34382" spans="26:26" x14ac:dyDescent="0.2">
      <c r="Z34382" t="str">
        <f t="shared" si="537"/>
        <v/>
      </c>
    </row>
    <row r="34383" spans="26:26" x14ac:dyDescent="0.2">
      <c r="Z34383" t="str">
        <f t="shared" si="537"/>
        <v/>
      </c>
    </row>
    <row r="34384" spans="26:26" x14ac:dyDescent="0.2">
      <c r="Z34384" t="str">
        <f t="shared" si="537"/>
        <v/>
      </c>
    </row>
    <row r="34385" spans="26:26" x14ac:dyDescent="0.2">
      <c r="Z34385" t="str">
        <f t="shared" si="537"/>
        <v/>
      </c>
    </row>
    <row r="34386" spans="26:26" x14ac:dyDescent="0.2">
      <c r="Z34386" t="str">
        <f t="shared" si="537"/>
        <v/>
      </c>
    </row>
    <row r="34387" spans="26:26" x14ac:dyDescent="0.2">
      <c r="Z34387" t="str">
        <f t="shared" si="537"/>
        <v/>
      </c>
    </row>
    <row r="34388" spans="26:26" x14ac:dyDescent="0.2">
      <c r="Z34388" t="str">
        <f t="shared" si="537"/>
        <v/>
      </c>
    </row>
    <row r="34389" spans="26:26" x14ac:dyDescent="0.2">
      <c r="Z34389" t="str">
        <f t="shared" si="537"/>
        <v/>
      </c>
    </row>
    <row r="34390" spans="26:26" x14ac:dyDescent="0.2">
      <c r="Z34390" t="str">
        <f t="shared" si="537"/>
        <v/>
      </c>
    </row>
    <row r="34391" spans="26:26" x14ac:dyDescent="0.2">
      <c r="Z34391" t="str">
        <f t="shared" si="537"/>
        <v/>
      </c>
    </row>
    <row r="34392" spans="26:26" x14ac:dyDescent="0.2">
      <c r="Z34392" t="str">
        <f t="shared" si="537"/>
        <v/>
      </c>
    </row>
    <row r="34393" spans="26:26" x14ac:dyDescent="0.2">
      <c r="Z34393" t="str">
        <f t="shared" si="537"/>
        <v/>
      </c>
    </row>
    <row r="34394" spans="26:26" x14ac:dyDescent="0.2">
      <c r="Z34394" t="str">
        <f t="shared" si="537"/>
        <v/>
      </c>
    </row>
    <row r="34395" spans="26:26" x14ac:dyDescent="0.2">
      <c r="Z34395" t="str">
        <f t="shared" si="537"/>
        <v/>
      </c>
    </row>
    <row r="34396" spans="26:26" x14ac:dyDescent="0.2">
      <c r="Z34396" t="str">
        <f t="shared" si="537"/>
        <v/>
      </c>
    </row>
    <row r="34397" spans="26:26" x14ac:dyDescent="0.2">
      <c r="Z34397" t="str">
        <f t="shared" si="537"/>
        <v/>
      </c>
    </row>
    <row r="34398" spans="26:26" x14ac:dyDescent="0.2">
      <c r="Z34398" t="str">
        <f t="shared" si="537"/>
        <v/>
      </c>
    </row>
    <row r="34399" spans="26:26" x14ac:dyDescent="0.2">
      <c r="Z34399" t="str">
        <f t="shared" si="537"/>
        <v/>
      </c>
    </row>
    <row r="34400" spans="26:26" x14ac:dyDescent="0.2">
      <c r="Z34400" t="str">
        <f t="shared" si="537"/>
        <v/>
      </c>
    </row>
    <row r="34401" spans="26:26" x14ac:dyDescent="0.2">
      <c r="Z34401" t="str">
        <f t="shared" si="537"/>
        <v/>
      </c>
    </row>
    <row r="34402" spans="26:26" x14ac:dyDescent="0.2">
      <c r="Z34402" t="str">
        <f t="shared" si="537"/>
        <v/>
      </c>
    </row>
    <row r="34403" spans="26:26" x14ac:dyDescent="0.2">
      <c r="Z34403" t="str">
        <f t="shared" si="537"/>
        <v/>
      </c>
    </row>
    <row r="34404" spans="26:26" x14ac:dyDescent="0.2">
      <c r="Z34404" t="str">
        <f t="shared" si="537"/>
        <v/>
      </c>
    </row>
    <row r="34405" spans="26:26" x14ac:dyDescent="0.2">
      <c r="Z34405" t="str">
        <f t="shared" si="537"/>
        <v/>
      </c>
    </row>
    <row r="34406" spans="26:26" x14ac:dyDescent="0.2">
      <c r="Z34406" t="str">
        <f t="shared" si="537"/>
        <v/>
      </c>
    </row>
    <row r="34407" spans="26:26" x14ac:dyDescent="0.2">
      <c r="Z34407" t="str">
        <f t="shared" si="537"/>
        <v/>
      </c>
    </row>
    <row r="34408" spans="26:26" x14ac:dyDescent="0.2">
      <c r="Z34408" t="str">
        <f t="shared" si="537"/>
        <v/>
      </c>
    </row>
    <row r="34409" spans="26:26" x14ac:dyDescent="0.2">
      <c r="Z34409" t="str">
        <f t="shared" si="537"/>
        <v/>
      </c>
    </row>
    <row r="34410" spans="26:26" x14ac:dyDescent="0.2">
      <c r="Z34410" t="str">
        <f t="shared" si="537"/>
        <v/>
      </c>
    </row>
    <row r="34411" spans="26:26" x14ac:dyDescent="0.2">
      <c r="Z34411" t="str">
        <f t="shared" si="537"/>
        <v/>
      </c>
    </row>
    <row r="34412" spans="26:26" x14ac:dyDescent="0.2">
      <c r="Z34412" t="str">
        <f t="shared" si="537"/>
        <v/>
      </c>
    </row>
    <row r="34413" spans="26:26" x14ac:dyDescent="0.2">
      <c r="Z34413" t="str">
        <f t="shared" si="537"/>
        <v/>
      </c>
    </row>
    <row r="34414" spans="26:26" x14ac:dyDescent="0.2">
      <c r="Z34414" t="str">
        <f t="shared" si="537"/>
        <v/>
      </c>
    </row>
    <row r="34415" spans="26:26" x14ac:dyDescent="0.2">
      <c r="Z34415" t="str">
        <f t="shared" si="537"/>
        <v/>
      </c>
    </row>
    <row r="34416" spans="26:26" x14ac:dyDescent="0.2">
      <c r="Z34416" t="str">
        <f t="shared" si="537"/>
        <v/>
      </c>
    </row>
    <row r="34417" spans="26:26" x14ac:dyDescent="0.2">
      <c r="Z34417" t="str">
        <f t="shared" si="537"/>
        <v/>
      </c>
    </row>
    <row r="34418" spans="26:26" x14ac:dyDescent="0.2">
      <c r="Z34418" t="str">
        <f t="shared" si="537"/>
        <v/>
      </c>
    </row>
    <row r="34419" spans="26:26" x14ac:dyDescent="0.2">
      <c r="Z34419" t="str">
        <f t="shared" si="537"/>
        <v/>
      </c>
    </row>
    <row r="34420" spans="26:26" x14ac:dyDescent="0.2">
      <c r="Z34420" t="str">
        <f t="shared" si="537"/>
        <v/>
      </c>
    </row>
    <row r="34421" spans="26:26" x14ac:dyDescent="0.2">
      <c r="Z34421" t="str">
        <f t="shared" si="537"/>
        <v/>
      </c>
    </row>
    <row r="34422" spans="26:26" x14ac:dyDescent="0.2">
      <c r="Z34422" t="str">
        <f t="shared" si="537"/>
        <v/>
      </c>
    </row>
    <row r="34423" spans="26:26" x14ac:dyDescent="0.2">
      <c r="Z34423" t="str">
        <f t="shared" si="537"/>
        <v/>
      </c>
    </row>
    <row r="34424" spans="26:26" x14ac:dyDescent="0.2">
      <c r="Z34424" t="str">
        <f t="shared" si="537"/>
        <v/>
      </c>
    </row>
    <row r="34425" spans="26:26" x14ac:dyDescent="0.2">
      <c r="Z34425" t="str">
        <f t="shared" si="537"/>
        <v/>
      </c>
    </row>
    <row r="34426" spans="26:26" x14ac:dyDescent="0.2">
      <c r="Z34426" t="str">
        <f t="shared" si="537"/>
        <v/>
      </c>
    </row>
    <row r="34427" spans="26:26" x14ac:dyDescent="0.2">
      <c r="Z34427" t="str">
        <f t="shared" si="537"/>
        <v/>
      </c>
    </row>
    <row r="34428" spans="26:26" x14ac:dyDescent="0.2">
      <c r="Z34428" t="str">
        <f t="shared" si="537"/>
        <v/>
      </c>
    </row>
    <row r="34429" spans="26:26" x14ac:dyDescent="0.2">
      <c r="Z34429" t="str">
        <f t="shared" si="537"/>
        <v/>
      </c>
    </row>
    <row r="34430" spans="26:26" x14ac:dyDescent="0.2">
      <c r="Z34430" t="str">
        <f t="shared" si="537"/>
        <v/>
      </c>
    </row>
    <row r="34431" spans="26:26" x14ac:dyDescent="0.2">
      <c r="Z34431" t="str">
        <f t="shared" si="537"/>
        <v/>
      </c>
    </row>
    <row r="34432" spans="26:26" x14ac:dyDescent="0.2">
      <c r="Z34432" t="str">
        <f t="shared" si="537"/>
        <v/>
      </c>
    </row>
    <row r="34433" spans="26:26" x14ac:dyDescent="0.2">
      <c r="Z34433" t="str">
        <f t="shared" si="537"/>
        <v/>
      </c>
    </row>
    <row r="34434" spans="26:26" x14ac:dyDescent="0.2">
      <c r="Z34434" t="str">
        <f t="shared" si="537"/>
        <v/>
      </c>
    </row>
    <row r="34435" spans="26:26" x14ac:dyDescent="0.2">
      <c r="Z34435" t="str">
        <f t="shared" ref="Z34435:Z34498" si="538">IF(K34435="","",IFERROR(VALUE(TRIM(MID(K34435,FIND(CHAR(167),SUBSTITUTE(K34435,"-",CHAR(167),LEN(K34435)-LEN(SUBSTITUTE(K34435,"-",""))))+1,100))),K34435))</f>
        <v/>
      </c>
    </row>
    <row r="34436" spans="26:26" x14ac:dyDescent="0.2">
      <c r="Z34436" t="str">
        <f t="shared" si="538"/>
        <v/>
      </c>
    </row>
    <row r="34437" spans="26:26" x14ac:dyDescent="0.2">
      <c r="Z34437" t="str">
        <f t="shared" si="538"/>
        <v/>
      </c>
    </row>
    <row r="34438" spans="26:26" x14ac:dyDescent="0.2">
      <c r="Z34438" t="str">
        <f t="shared" si="538"/>
        <v/>
      </c>
    </row>
    <row r="34439" spans="26:26" x14ac:dyDescent="0.2">
      <c r="Z34439" t="str">
        <f t="shared" si="538"/>
        <v/>
      </c>
    </row>
    <row r="34440" spans="26:26" x14ac:dyDescent="0.2">
      <c r="Z34440" t="str">
        <f t="shared" si="538"/>
        <v/>
      </c>
    </row>
    <row r="34441" spans="26:26" x14ac:dyDescent="0.2">
      <c r="Z34441" t="str">
        <f t="shared" si="538"/>
        <v/>
      </c>
    </row>
    <row r="34442" spans="26:26" x14ac:dyDescent="0.2">
      <c r="Z34442" t="str">
        <f t="shared" si="538"/>
        <v/>
      </c>
    </row>
    <row r="34443" spans="26:26" x14ac:dyDescent="0.2">
      <c r="Z34443" t="str">
        <f t="shared" si="538"/>
        <v/>
      </c>
    </row>
    <row r="34444" spans="26:26" x14ac:dyDescent="0.2">
      <c r="Z34444" t="str">
        <f t="shared" si="538"/>
        <v/>
      </c>
    </row>
    <row r="34445" spans="26:26" x14ac:dyDescent="0.2">
      <c r="Z34445" t="str">
        <f t="shared" si="538"/>
        <v/>
      </c>
    </row>
    <row r="34446" spans="26:26" x14ac:dyDescent="0.2">
      <c r="Z34446" t="str">
        <f t="shared" si="538"/>
        <v/>
      </c>
    </row>
    <row r="34447" spans="26:26" x14ac:dyDescent="0.2">
      <c r="Z34447" t="str">
        <f t="shared" si="538"/>
        <v/>
      </c>
    </row>
    <row r="34448" spans="26:26" x14ac:dyDescent="0.2">
      <c r="Z34448" t="str">
        <f t="shared" si="538"/>
        <v/>
      </c>
    </row>
    <row r="34449" spans="26:26" x14ac:dyDescent="0.2">
      <c r="Z34449" t="str">
        <f t="shared" si="538"/>
        <v/>
      </c>
    </row>
    <row r="34450" spans="26:26" x14ac:dyDescent="0.2">
      <c r="Z34450" t="str">
        <f t="shared" si="538"/>
        <v/>
      </c>
    </row>
    <row r="34451" spans="26:26" x14ac:dyDescent="0.2">
      <c r="Z34451" t="str">
        <f t="shared" si="538"/>
        <v/>
      </c>
    </row>
    <row r="34452" spans="26:26" x14ac:dyDescent="0.2">
      <c r="Z34452" t="str">
        <f t="shared" si="538"/>
        <v/>
      </c>
    </row>
    <row r="34453" spans="26:26" x14ac:dyDescent="0.2">
      <c r="Z34453" t="str">
        <f t="shared" si="538"/>
        <v/>
      </c>
    </row>
    <row r="34454" spans="26:26" x14ac:dyDescent="0.2">
      <c r="Z34454" t="str">
        <f t="shared" si="538"/>
        <v/>
      </c>
    </row>
    <row r="34455" spans="26:26" x14ac:dyDescent="0.2">
      <c r="Z34455" t="str">
        <f t="shared" si="538"/>
        <v/>
      </c>
    </row>
    <row r="34456" spans="26:26" x14ac:dyDescent="0.2">
      <c r="Z34456" t="str">
        <f t="shared" si="538"/>
        <v/>
      </c>
    </row>
    <row r="34457" spans="26:26" x14ac:dyDescent="0.2">
      <c r="Z34457" t="str">
        <f t="shared" si="538"/>
        <v/>
      </c>
    </row>
    <row r="34458" spans="26:26" x14ac:dyDescent="0.2">
      <c r="Z34458" t="str">
        <f t="shared" si="538"/>
        <v/>
      </c>
    </row>
    <row r="34459" spans="26:26" x14ac:dyDescent="0.2">
      <c r="Z34459" t="str">
        <f t="shared" si="538"/>
        <v/>
      </c>
    </row>
    <row r="34460" spans="26:26" x14ac:dyDescent="0.2">
      <c r="Z34460" t="str">
        <f t="shared" si="538"/>
        <v/>
      </c>
    </row>
    <row r="34461" spans="26:26" x14ac:dyDescent="0.2">
      <c r="Z34461" t="str">
        <f t="shared" si="538"/>
        <v/>
      </c>
    </row>
    <row r="34462" spans="26:26" x14ac:dyDescent="0.2">
      <c r="Z34462" t="str">
        <f t="shared" si="538"/>
        <v/>
      </c>
    </row>
    <row r="34463" spans="26:26" x14ac:dyDescent="0.2">
      <c r="Z34463" t="str">
        <f t="shared" si="538"/>
        <v/>
      </c>
    </row>
    <row r="34464" spans="26:26" x14ac:dyDescent="0.2">
      <c r="Z34464" t="str">
        <f t="shared" si="538"/>
        <v/>
      </c>
    </row>
    <row r="34465" spans="26:26" x14ac:dyDescent="0.2">
      <c r="Z34465" t="str">
        <f t="shared" si="538"/>
        <v/>
      </c>
    </row>
    <row r="34466" spans="26:26" x14ac:dyDescent="0.2">
      <c r="Z34466" t="str">
        <f t="shared" si="538"/>
        <v/>
      </c>
    </row>
    <row r="34467" spans="26:26" x14ac:dyDescent="0.2">
      <c r="Z34467" t="str">
        <f t="shared" si="538"/>
        <v/>
      </c>
    </row>
    <row r="34468" spans="26:26" x14ac:dyDescent="0.2">
      <c r="Z34468" t="str">
        <f t="shared" si="538"/>
        <v/>
      </c>
    </row>
    <row r="34469" spans="26:26" x14ac:dyDescent="0.2">
      <c r="Z34469" t="str">
        <f t="shared" si="538"/>
        <v/>
      </c>
    </row>
    <row r="34470" spans="26:26" x14ac:dyDescent="0.2">
      <c r="Z34470" t="str">
        <f t="shared" si="538"/>
        <v/>
      </c>
    </row>
    <row r="34471" spans="26:26" x14ac:dyDescent="0.2">
      <c r="Z34471" t="str">
        <f t="shared" si="538"/>
        <v/>
      </c>
    </row>
    <row r="34472" spans="26:26" x14ac:dyDescent="0.2">
      <c r="Z34472" t="str">
        <f t="shared" si="538"/>
        <v/>
      </c>
    </row>
    <row r="34473" spans="26:26" x14ac:dyDescent="0.2">
      <c r="Z34473" t="str">
        <f t="shared" si="538"/>
        <v/>
      </c>
    </row>
    <row r="34474" spans="26:26" x14ac:dyDescent="0.2">
      <c r="Z34474" t="str">
        <f t="shared" si="538"/>
        <v/>
      </c>
    </row>
    <row r="34475" spans="26:26" x14ac:dyDescent="0.2">
      <c r="Z34475" t="str">
        <f t="shared" si="538"/>
        <v/>
      </c>
    </row>
    <row r="34476" spans="26:26" x14ac:dyDescent="0.2">
      <c r="Z34476" t="str">
        <f t="shared" si="538"/>
        <v/>
      </c>
    </row>
    <row r="34477" spans="26:26" x14ac:dyDescent="0.2">
      <c r="Z34477" t="str">
        <f t="shared" si="538"/>
        <v/>
      </c>
    </row>
    <row r="34478" spans="26:26" x14ac:dyDescent="0.2">
      <c r="Z34478" t="str">
        <f t="shared" si="538"/>
        <v/>
      </c>
    </row>
    <row r="34479" spans="26:26" x14ac:dyDescent="0.2">
      <c r="Z34479" t="str">
        <f t="shared" si="538"/>
        <v/>
      </c>
    </row>
    <row r="34480" spans="26:26" x14ac:dyDescent="0.2">
      <c r="Z34480" t="str">
        <f t="shared" si="538"/>
        <v/>
      </c>
    </row>
    <row r="34481" spans="26:26" x14ac:dyDescent="0.2">
      <c r="Z34481" t="str">
        <f t="shared" si="538"/>
        <v/>
      </c>
    </row>
    <row r="34482" spans="26:26" x14ac:dyDescent="0.2">
      <c r="Z34482" t="str">
        <f t="shared" si="538"/>
        <v/>
      </c>
    </row>
    <row r="34483" spans="26:26" x14ac:dyDescent="0.2">
      <c r="Z34483" t="str">
        <f t="shared" si="538"/>
        <v/>
      </c>
    </row>
    <row r="34484" spans="26:26" x14ac:dyDescent="0.2">
      <c r="Z34484" t="str">
        <f t="shared" si="538"/>
        <v/>
      </c>
    </row>
    <row r="34485" spans="26:26" x14ac:dyDescent="0.2">
      <c r="Z34485" t="str">
        <f t="shared" si="538"/>
        <v/>
      </c>
    </row>
    <row r="34486" spans="26:26" x14ac:dyDescent="0.2">
      <c r="Z34486" t="str">
        <f t="shared" si="538"/>
        <v/>
      </c>
    </row>
    <row r="34487" spans="26:26" x14ac:dyDescent="0.2">
      <c r="Z34487" t="str">
        <f t="shared" si="538"/>
        <v/>
      </c>
    </row>
    <row r="34488" spans="26:26" x14ac:dyDescent="0.2">
      <c r="Z34488" t="str">
        <f t="shared" si="538"/>
        <v/>
      </c>
    </row>
    <row r="34489" spans="26:26" x14ac:dyDescent="0.2">
      <c r="Z34489" t="str">
        <f t="shared" si="538"/>
        <v/>
      </c>
    </row>
    <row r="34490" spans="26:26" x14ac:dyDescent="0.2">
      <c r="Z34490" t="str">
        <f t="shared" si="538"/>
        <v/>
      </c>
    </row>
    <row r="34491" spans="26:26" x14ac:dyDescent="0.2">
      <c r="Z34491" t="str">
        <f t="shared" si="538"/>
        <v/>
      </c>
    </row>
    <row r="34492" spans="26:26" x14ac:dyDescent="0.2">
      <c r="Z34492" t="str">
        <f t="shared" si="538"/>
        <v/>
      </c>
    </row>
    <row r="34493" spans="26:26" x14ac:dyDescent="0.2">
      <c r="Z34493" t="str">
        <f t="shared" si="538"/>
        <v/>
      </c>
    </row>
    <row r="34494" spans="26:26" x14ac:dyDescent="0.2">
      <c r="Z34494" t="str">
        <f t="shared" si="538"/>
        <v/>
      </c>
    </row>
    <row r="34495" spans="26:26" x14ac:dyDescent="0.2">
      <c r="Z34495" t="str">
        <f t="shared" si="538"/>
        <v/>
      </c>
    </row>
    <row r="34496" spans="26:26" x14ac:dyDescent="0.2">
      <c r="Z34496" t="str">
        <f t="shared" si="538"/>
        <v/>
      </c>
    </row>
    <row r="34497" spans="26:26" x14ac:dyDescent="0.2">
      <c r="Z34497" t="str">
        <f t="shared" si="538"/>
        <v/>
      </c>
    </row>
    <row r="34498" spans="26:26" x14ac:dyDescent="0.2">
      <c r="Z34498" t="str">
        <f t="shared" si="538"/>
        <v/>
      </c>
    </row>
    <row r="34499" spans="26:26" x14ac:dyDescent="0.2">
      <c r="Z34499" t="str">
        <f t="shared" ref="Z34499:Z34562" si="539">IF(K34499="","",IFERROR(VALUE(TRIM(MID(K34499,FIND(CHAR(167),SUBSTITUTE(K34499,"-",CHAR(167),LEN(K34499)-LEN(SUBSTITUTE(K34499,"-",""))))+1,100))),K34499))</f>
        <v/>
      </c>
    </row>
    <row r="34500" spans="26:26" x14ac:dyDescent="0.2">
      <c r="Z34500" t="str">
        <f t="shared" si="539"/>
        <v/>
      </c>
    </row>
    <row r="34501" spans="26:26" x14ac:dyDescent="0.2">
      <c r="Z34501" t="str">
        <f t="shared" si="539"/>
        <v/>
      </c>
    </row>
    <row r="34502" spans="26:26" x14ac:dyDescent="0.2">
      <c r="Z34502" t="str">
        <f t="shared" si="539"/>
        <v/>
      </c>
    </row>
    <row r="34503" spans="26:26" x14ac:dyDescent="0.2">
      <c r="Z34503" t="str">
        <f t="shared" si="539"/>
        <v/>
      </c>
    </row>
    <row r="34504" spans="26:26" x14ac:dyDescent="0.2">
      <c r="Z34504" t="str">
        <f t="shared" si="539"/>
        <v/>
      </c>
    </row>
    <row r="34505" spans="26:26" x14ac:dyDescent="0.2">
      <c r="Z34505" t="str">
        <f t="shared" si="539"/>
        <v/>
      </c>
    </row>
    <row r="34506" spans="26:26" x14ac:dyDescent="0.2">
      <c r="Z34506" t="str">
        <f t="shared" si="539"/>
        <v/>
      </c>
    </row>
    <row r="34507" spans="26:26" x14ac:dyDescent="0.2">
      <c r="Z34507" t="str">
        <f t="shared" si="539"/>
        <v/>
      </c>
    </row>
    <row r="34508" spans="26:26" x14ac:dyDescent="0.2">
      <c r="Z34508" t="str">
        <f t="shared" si="539"/>
        <v/>
      </c>
    </row>
    <row r="34509" spans="26:26" x14ac:dyDescent="0.2">
      <c r="Z34509" t="str">
        <f t="shared" si="539"/>
        <v/>
      </c>
    </row>
    <row r="34510" spans="26:26" x14ac:dyDescent="0.2">
      <c r="Z34510" t="str">
        <f t="shared" si="539"/>
        <v/>
      </c>
    </row>
    <row r="34511" spans="26:26" x14ac:dyDescent="0.2">
      <c r="Z34511" t="str">
        <f t="shared" si="539"/>
        <v/>
      </c>
    </row>
    <row r="34512" spans="26:26" x14ac:dyDescent="0.2">
      <c r="Z34512" t="str">
        <f t="shared" si="539"/>
        <v/>
      </c>
    </row>
    <row r="34513" spans="26:26" x14ac:dyDescent="0.2">
      <c r="Z34513" t="str">
        <f t="shared" si="539"/>
        <v/>
      </c>
    </row>
    <row r="34514" spans="26:26" x14ac:dyDescent="0.2">
      <c r="Z34514" t="str">
        <f t="shared" si="539"/>
        <v/>
      </c>
    </row>
    <row r="34515" spans="26:26" x14ac:dyDescent="0.2">
      <c r="Z34515" t="str">
        <f t="shared" si="539"/>
        <v/>
      </c>
    </row>
    <row r="34516" spans="26:26" x14ac:dyDescent="0.2">
      <c r="Z34516" t="str">
        <f t="shared" si="539"/>
        <v/>
      </c>
    </row>
    <row r="34517" spans="26:26" x14ac:dyDescent="0.2">
      <c r="Z34517" t="str">
        <f t="shared" si="539"/>
        <v/>
      </c>
    </row>
    <row r="34518" spans="26:26" x14ac:dyDescent="0.2">
      <c r="Z34518" t="str">
        <f t="shared" si="539"/>
        <v/>
      </c>
    </row>
    <row r="34519" spans="26:26" x14ac:dyDescent="0.2">
      <c r="Z34519" t="str">
        <f t="shared" si="539"/>
        <v/>
      </c>
    </row>
    <row r="34520" spans="26:26" x14ac:dyDescent="0.2">
      <c r="Z34520" t="str">
        <f t="shared" si="539"/>
        <v/>
      </c>
    </row>
    <row r="34521" spans="26:26" x14ac:dyDescent="0.2">
      <c r="Z34521" t="str">
        <f t="shared" si="539"/>
        <v/>
      </c>
    </row>
    <row r="34522" spans="26:26" x14ac:dyDescent="0.2">
      <c r="Z34522" t="str">
        <f t="shared" si="539"/>
        <v/>
      </c>
    </row>
    <row r="34523" spans="26:26" x14ac:dyDescent="0.2">
      <c r="Z34523" t="str">
        <f t="shared" si="539"/>
        <v/>
      </c>
    </row>
    <row r="34524" spans="26:26" x14ac:dyDescent="0.2">
      <c r="Z34524" t="str">
        <f t="shared" si="539"/>
        <v/>
      </c>
    </row>
    <row r="34525" spans="26:26" x14ac:dyDescent="0.2">
      <c r="Z34525" t="str">
        <f t="shared" si="539"/>
        <v/>
      </c>
    </row>
    <row r="34526" spans="26:26" x14ac:dyDescent="0.2">
      <c r="Z34526" t="str">
        <f t="shared" si="539"/>
        <v/>
      </c>
    </row>
    <row r="34527" spans="26:26" x14ac:dyDescent="0.2">
      <c r="Z34527" t="str">
        <f t="shared" si="539"/>
        <v/>
      </c>
    </row>
    <row r="34528" spans="26:26" x14ac:dyDescent="0.2">
      <c r="Z34528" t="str">
        <f t="shared" si="539"/>
        <v/>
      </c>
    </row>
    <row r="34529" spans="26:26" x14ac:dyDescent="0.2">
      <c r="Z34529" t="str">
        <f t="shared" si="539"/>
        <v/>
      </c>
    </row>
    <row r="34530" spans="26:26" x14ac:dyDescent="0.2">
      <c r="Z34530" t="str">
        <f t="shared" si="539"/>
        <v/>
      </c>
    </row>
    <row r="34531" spans="26:26" x14ac:dyDescent="0.2">
      <c r="Z34531" t="str">
        <f t="shared" si="539"/>
        <v/>
      </c>
    </row>
    <row r="34532" spans="26:26" x14ac:dyDescent="0.2">
      <c r="Z34532" t="str">
        <f t="shared" si="539"/>
        <v/>
      </c>
    </row>
    <row r="34533" spans="26:26" x14ac:dyDescent="0.2">
      <c r="Z34533" t="str">
        <f t="shared" si="539"/>
        <v/>
      </c>
    </row>
    <row r="34534" spans="26:26" x14ac:dyDescent="0.2">
      <c r="Z34534" t="str">
        <f t="shared" si="539"/>
        <v/>
      </c>
    </row>
    <row r="34535" spans="26:26" x14ac:dyDescent="0.2">
      <c r="Z34535" t="str">
        <f t="shared" si="539"/>
        <v/>
      </c>
    </row>
    <row r="34536" spans="26:26" x14ac:dyDescent="0.2">
      <c r="Z34536" t="str">
        <f t="shared" si="539"/>
        <v/>
      </c>
    </row>
    <row r="34537" spans="26:26" x14ac:dyDescent="0.2">
      <c r="Z34537" t="str">
        <f t="shared" si="539"/>
        <v/>
      </c>
    </row>
    <row r="34538" spans="26:26" x14ac:dyDescent="0.2">
      <c r="Z34538" t="str">
        <f t="shared" si="539"/>
        <v/>
      </c>
    </row>
    <row r="34539" spans="26:26" x14ac:dyDescent="0.2">
      <c r="Z34539" t="str">
        <f t="shared" si="539"/>
        <v/>
      </c>
    </row>
    <row r="34540" spans="26:26" x14ac:dyDescent="0.2">
      <c r="Z34540" t="str">
        <f t="shared" si="539"/>
        <v/>
      </c>
    </row>
    <row r="34541" spans="26:26" x14ac:dyDescent="0.2">
      <c r="Z34541" t="str">
        <f t="shared" si="539"/>
        <v/>
      </c>
    </row>
    <row r="34542" spans="26:26" x14ac:dyDescent="0.2">
      <c r="Z34542" t="str">
        <f t="shared" si="539"/>
        <v/>
      </c>
    </row>
    <row r="34543" spans="26:26" x14ac:dyDescent="0.2">
      <c r="Z34543" t="str">
        <f t="shared" si="539"/>
        <v/>
      </c>
    </row>
    <row r="34544" spans="26:26" x14ac:dyDescent="0.2">
      <c r="Z34544" t="str">
        <f t="shared" si="539"/>
        <v/>
      </c>
    </row>
    <row r="34545" spans="26:26" x14ac:dyDescent="0.2">
      <c r="Z34545" t="str">
        <f t="shared" si="539"/>
        <v/>
      </c>
    </row>
    <row r="34546" spans="26:26" x14ac:dyDescent="0.2">
      <c r="Z34546" t="str">
        <f t="shared" si="539"/>
        <v/>
      </c>
    </row>
    <row r="34547" spans="26:26" x14ac:dyDescent="0.2">
      <c r="Z34547" t="str">
        <f t="shared" si="539"/>
        <v/>
      </c>
    </row>
    <row r="34548" spans="26:26" x14ac:dyDescent="0.2">
      <c r="Z34548" t="str">
        <f t="shared" si="539"/>
        <v/>
      </c>
    </row>
    <row r="34549" spans="26:26" x14ac:dyDescent="0.2">
      <c r="Z34549" t="str">
        <f t="shared" si="539"/>
        <v/>
      </c>
    </row>
    <row r="34550" spans="26:26" x14ac:dyDescent="0.2">
      <c r="Z34550" t="str">
        <f t="shared" si="539"/>
        <v/>
      </c>
    </row>
    <row r="34551" spans="26:26" x14ac:dyDescent="0.2">
      <c r="Z34551" t="str">
        <f t="shared" si="539"/>
        <v/>
      </c>
    </row>
    <row r="34552" spans="26:26" x14ac:dyDescent="0.2">
      <c r="Z34552" t="str">
        <f t="shared" si="539"/>
        <v/>
      </c>
    </row>
    <row r="34553" spans="26:26" x14ac:dyDescent="0.2">
      <c r="Z34553" t="str">
        <f t="shared" si="539"/>
        <v/>
      </c>
    </row>
    <row r="34554" spans="26:26" x14ac:dyDescent="0.2">
      <c r="Z34554" t="str">
        <f t="shared" si="539"/>
        <v/>
      </c>
    </row>
    <row r="34555" spans="26:26" x14ac:dyDescent="0.2">
      <c r="Z34555" t="str">
        <f t="shared" si="539"/>
        <v/>
      </c>
    </row>
    <row r="34556" spans="26:26" x14ac:dyDescent="0.2">
      <c r="Z34556" t="str">
        <f t="shared" si="539"/>
        <v/>
      </c>
    </row>
    <row r="34557" spans="26:26" x14ac:dyDescent="0.2">
      <c r="Z34557" t="str">
        <f t="shared" si="539"/>
        <v/>
      </c>
    </row>
    <row r="34558" spans="26:26" x14ac:dyDescent="0.2">
      <c r="Z34558" t="str">
        <f t="shared" si="539"/>
        <v/>
      </c>
    </row>
    <row r="34559" spans="26:26" x14ac:dyDescent="0.2">
      <c r="Z34559" t="str">
        <f t="shared" si="539"/>
        <v/>
      </c>
    </row>
    <row r="34560" spans="26:26" x14ac:dyDescent="0.2">
      <c r="Z34560" t="str">
        <f t="shared" si="539"/>
        <v/>
      </c>
    </row>
    <row r="34561" spans="26:26" x14ac:dyDescent="0.2">
      <c r="Z34561" t="str">
        <f t="shared" si="539"/>
        <v/>
      </c>
    </row>
    <row r="34562" spans="26:26" x14ac:dyDescent="0.2">
      <c r="Z34562" t="str">
        <f t="shared" si="539"/>
        <v/>
      </c>
    </row>
    <row r="34563" spans="26:26" x14ac:dyDescent="0.2">
      <c r="Z34563" t="str">
        <f t="shared" ref="Z34563:Z34626" si="540">IF(K34563="","",IFERROR(VALUE(TRIM(MID(K34563,FIND(CHAR(167),SUBSTITUTE(K34563,"-",CHAR(167),LEN(K34563)-LEN(SUBSTITUTE(K34563,"-",""))))+1,100))),K34563))</f>
        <v/>
      </c>
    </row>
    <row r="34564" spans="26:26" x14ac:dyDescent="0.2">
      <c r="Z34564" t="str">
        <f t="shared" si="540"/>
        <v/>
      </c>
    </row>
    <row r="34565" spans="26:26" x14ac:dyDescent="0.2">
      <c r="Z34565" t="str">
        <f t="shared" si="540"/>
        <v/>
      </c>
    </row>
    <row r="34566" spans="26:26" x14ac:dyDescent="0.2">
      <c r="Z34566" t="str">
        <f t="shared" si="540"/>
        <v/>
      </c>
    </row>
    <row r="34567" spans="26:26" x14ac:dyDescent="0.2">
      <c r="Z34567" t="str">
        <f t="shared" si="540"/>
        <v/>
      </c>
    </row>
    <row r="34568" spans="26:26" x14ac:dyDescent="0.2">
      <c r="Z34568" t="str">
        <f t="shared" si="540"/>
        <v/>
      </c>
    </row>
    <row r="34569" spans="26:26" x14ac:dyDescent="0.2">
      <c r="Z34569" t="str">
        <f t="shared" si="540"/>
        <v/>
      </c>
    </row>
    <row r="34570" spans="26:26" x14ac:dyDescent="0.2">
      <c r="Z34570" t="str">
        <f t="shared" si="540"/>
        <v/>
      </c>
    </row>
    <row r="34571" spans="26:26" x14ac:dyDescent="0.2">
      <c r="Z34571" t="str">
        <f t="shared" si="540"/>
        <v/>
      </c>
    </row>
    <row r="34572" spans="26:26" x14ac:dyDescent="0.2">
      <c r="Z34572" t="str">
        <f t="shared" si="540"/>
        <v/>
      </c>
    </row>
    <row r="34573" spans="26:26" x14ac:dyDescent="0.2">
      <c r="Z34573" t="str">
        <f t="shared" si="540"/>
        <v/>
      </c>
    </row>
    <row r="34574" spans="26:26" x14ac:dyDescent="0.2">
      <c r="Z34574" t="str">
        <f t="shared" si="540"/>
        <v/>
      </c>
    </row>
    <row r="34575" spans="26:26" x14ac:dyDescent="0.2">
      <c r="Z34575" t="str">
        <f t="shared" si="540"/>
        <v/>
      </c>
    </row>
    <row r="34576" spans="26:26" x14ac:dyDescent="0.2">
      <c r="Z34576" t="str">
        <f t="shared" si="540"/>
        <v/>
      </c>
    </row>
    <row r="34577" spans="26:26" x14ac:dyDescent="0.2">
      <c r="Z34577" t="str">
        <f t="shared" si="540"/>
        <v/>
      </c>
    </row>
    <row r="34578" spans="26:26" x14ac:dyDescent="0.2">
      <c r="Z34578" t="str">
        <f t="shared" si="540"/>
        <v/>
      </c>
    </row>
    <row r="34579" spans="26:26" x14ac:dyDescent="0.2">
      <c r="Z34579" t="str">
        <f t="shared" si="540"/>
        <v/>
      </c>
    </row>
    <row r="34580" spans="26:26" x14ac:dyDescent="0.2">
      <c r="Z34580" t="str">
        <f t="shared" si="540"/>
        <v/>
      </c>
    </row>
    <row r="34581" spans="26:26" x14ac:dyDescent="0.2">
      <c r="Z34581" t="str">
        <f t="shared" si="540"/>
        <v/>
      </c>
    </row>
    <row r="34582" spans="26:26" x14ac:dyDescent="0.2">
      <c r="Z34582" t="str">
        <f t="shared" si="540"/>
        <v/>
      </c>
    </row>
    <row r="34583" spans="26:26" x14ac:dyDescent="0.2">
      <c r="Z34583" t="str">
        <f t="shared" si="540"/>
        <v/>
      </c>
    </row>
    <row r="34584" spans="26:26" x14ac:dyDescent="0.2">
      <c r="Z34584" t="str">
        <f t="shared" si="540"/>
        <v/>
      </c>
    </row>
    <row r="34585" spans="26:26" x14ac:dyDescent="0.2">
      <c r="Z34585" t="str">
        <f t="shared" si="540"/>
        <v/>
      </c>
    </row>
    <row r="34586" spans="26:26" x14ac:dyDescent="0.2">
      <c r="Z34586" t="str">
        <f t="shared" si="540"/>
        <v/>
      </c>
    </row>
    <row r="34587" spans="26:26" x14ac:dyDescent="0.2">
      <c r="Z34587" t="str">
        <f t="shared" si="540"/>
        <v/>
      </c>
    </row>
    <row r="34588" spans="26:26" x14ac:dyDescent="0.2">
      <c r="Z34588" t="str">
        <f t="shared" si="540"/>
        <v/>
      </c>
    </row>
    <row r="34589" spans="26:26" x14ac:dyDescent="0.2">
      <c r="Z34589" t="str">
        <f t="shared" si="540"/>
        <v/>
      </c>
    </row>
    <row r="34590" spans="26:26" x14ac:dyDescent="0.2">
      <c r="Z34590" t="str">
        <f t="shared" si="540"/>
        <v/>
      </c>
    </row>
    <row r="34591" spans="26:26" x14ac:dyDescent="0.2">
      <c r="Z34591" t="str">
        <f t="shared" si="540"/>
        <v/>
      </c>
    </row>
    <row r="34592" spans="26:26" x14ac:dyDescent="0.2">
      <c r="Z34592" t="str">
        <f t="shared" si="540"/>
        <v/>
      </c>
    </row>
    <row r="34593" spans="26:26" x14ac:dyDescent="0.2">
      <c r="Z34593" t="str">
        <f t="shared" si="540"/>
        <v/>
      </c>
    </row>
    <row r="34594" spans="26:26" x14ac:dyDescent="0.2">
      <c r="Z34594" t="str">
        <f t="shared" si="540"/>
        <v/>
      </c>
    </row>
    <row r="34595" spans="26:26" x14ac:dyDescent="0.2">
      <c r="Z34595" t="str">
        <f t="shared" si="540"/>
        <v/>
      </c>
    </row>
    <row r="34596" spans="26:26" x14ac:dyDescent="0.2">
      <c r="Z34596" t="str">
        <f t="shared" si="540"/>
        <v/>
      </c>
    </row>
    <row r="34597" spans="26:26" x14ac:dyDescent="0.2">
      <c r="Z34597" t="str">
        <f t="shared" si="540"/>
        <v/>
      </c>
    </row>
    <row r="34598" spans="26:26" x14ac:dyDescent="0.2">
      <c r="Z34598" t="str">
        <f t="shared" si="540"/>
        <v/>
      </c>
    </row>
    <row r="34599" spans="26:26" x14ac:dyDescent="0.2">
      <c r="Z34599" t="str">
        <f t="shared" si="540"/>
        <v/>
      </c>
    </row>
    <row r="34600" spans="26:26" x14ac:dyDescent="0.2">
      <c r="Z34600" t="str">
        <f t="shared" si="540"/>
        <v/>
      </c>
    </row>
    <row r="34601" spans="26:26" x14ac:dyDescent="0.2">
      <c r="Z34601" t="str">
        <f t="shared" si="540"/>
        <v/>
      </c>
    </row>
    <row r="34602" spans="26:26" x14ac:dyDescent="0.2">
      <c r="Z34602" t="str">
        <f t="shared" si="540"/>
        <v/>
      </c>
    </row>
    <row r="34603" spans="26:26" x14ac:dyDescent="0.2">
      <c r="Z34603" t="str">
        <f t="shared" si="540"/>
        <v/>
      </c>
    </row>
    <row r="34604" spans="26:26" x14ac:dyDescent="0.2">
      <c r="Z34604" t="str">
        <f t="shared" si="540"/>
        <v/>
      </c>
    </row>
    <row r="34605" spans="26:26" x14ac:dyDescent="0.2">
      <c r="Z34605" t="str">
        <f t="shared" si="540"/>
        <v/>
      </c>
    </row>
    <row r="34606" spans="26:26" x14ac:dyDescent="0.2">
      <c r="Z34606" t="str">
        <f t="shared" si="540"/>
        <v/>
      </c>
    </row>
    <row r="34607" spans="26:26" x14ac:dyDescent="0.2">
      <c r="Z34607" t="str">
        <f t="shared" si="540"/>
        <v/>
      </c>
    </row>
    <row r="34608" spans="26:26" x14ac:dyDescent="0.2">
      <c r="Z34608" t="str">
        <f t="shared" si="540"/>
        <v/>
      </c>
    </row>
    <row r="34609" spans="26:26" x14ac:dyDescent="0.2">
      <c r="Z34609" t="str">
        <f t="shared" si="540"/>
        <v/>
      </c>
    </row>
    <row r="34610" spans="26:26" x14ac:dyDescent="0.2">
      <c r="Z34610" t="str">
        <f t="shared" si="540"/>
        <v/>
      </c>
    </row>
    <row r="34611" spans="26:26" x14ac:dyDescent="0.2">
      <c r="Z34611" t="str">
        <f t="shared" si="540"/>
        <v/>
      </c>
    </row>
    <row r="34612" spans="26:26" x14ac:dyDescent="0.2">
      <c r="Z34612" t="str">
        <f t="shared" si="540"/>
        <v/>
      </c>
    </row>
    <row r="34613" spans="26:26" x14ac:dyDescent="0.2">
      <c r="Z34613" t="str">
        <f t="shared" si="540"/>
        <v/>
      </c>
    </row>
    <row r="34614" spans="26:26" x14ac:dyDescent="0.2">
      <c r="Z34614" t="str">
        <f t="shared" si="540"/>
        <v/>
      </c>
    </row>
    <row r="34615" spans="26:26" x14ac:dyDescent="0.2">
      <c r="Z34615" t="str">
        <f t="shared" si="540"/>
        <v/>
      </c>
    </row>
    <row r="34616" spans="26:26" x14ac:dyDescent="0.2">
      <c r="Z34616" t="str">
        <f t="shared" si="540"/>
        <v/>
      </c>
    </row>
    <row r="34617" spans="26:26" x14ac:dyDescent="0.2">
      <c r="Z34617" t="str">
        <f t="shared" si="540"/>
        <v/>
      </c>
    </row>
    <row r="34618" spans="26:26" x14ac:dyDescent="0.2">
      <c r="Z34618" t="str">
        <f t="shared" si="540"/>
        <v/>
      </c>
    </row>
    <row r="34619" spans="26:26" x14ac:dyDescent="0.2">
      <c r="Z34619" t="str">
        <f t="shared" si="540"/>
        <v/>
      </c>
    </row>
    <row r="34620" spans="26:26" x14ac:dyDescent="0.2">
      <c r="Z34620" t="str">
        <f t="shared" si="540"/>
        <v/>
      </c>
    </row>
    <row r="34621" spans="26:26" x14ac:dyDescent="0.2">
      <c r="Z34621" t="str">
        <f t="shared" si="540"/>
        <v/>
      </c>
    </row>
    <row r="34622" spans="26:26" x14ac:dyDescent="0.2">
      <c r="Z34622" t="str">
        <f t="shared" si="540"/>
        <v/>
      </c>
    </row>
    <row r="34623" spans="26:26" x14ac:dyDescent="0.2">
      <c r="Z34623" t="str">
        <f t="shared" si="540"/>
        <v/>
      </c>
    </row>
    <row r="34624" spans="26:26" x14ac:dyDescent="0.2">
      <c r="Z34624" t="str">
        <f t="shared" si="540"/>
        <v/>
      </c>
    </row>
    <row r="34625" spans="26:26" x14ac:dyDescent="0.2">
      <c r="Z34625" t="str">
        <f t="shared" si="540"/>
        <v/>
      </c>
    </row>
    <row r="34626" spans="26:26" x14ac:dyDescent="0.2">
      <c r="Z34626" t="str">
        <f t="shared" si="540"/>
        <v/>
      </c>
    </row>
    <row r="34627" spans="26:26" x14ac:dyDescent="0.2">
      <c r="Z34627" t="str">
        <f t="shared" ref="Z34627:Z34690" si="541">IF(K34627="","",IFERROR(VALUE(TRIM(MID(K34627,FIND(CHAR(167),SUBSTITUTE(K34627,"-",CHAR(167),LEN(K34627)-LEN(SUBSTITUTE(K34627,"-",""))))+1,100))),K34627))</f>
        <v/>
      </c>
    </row>
    <row r="34628" spans="26:26" x14ac:dyDescent="0.2">
      <c r="Z34628" t="str">
        <f t="shared" si="541"/>
        <v/>
      </c>
    </row>
    <row r="34629" spans="26:26" x14ac:dyDescent="0.2">
      <c r="Z34629" t="str">
        <f t="shared" si="541"/>
        <v/>
      </c>
    </row>
    <row r="34630" spans="26:26" x14ac:dyDescent="0.2">
      <c r="Z34630" t="str">
        <f t="shared" si="541"/>
        <v/>
      </c>
    </row>
    <row r="34631" spans="26:26" x14ac:dyDescent="0.2">
      <c r="Z34631" t="str">
        <f t="shared" si="541"/>
        <v/>
      </c>
    </row>
    <row r="34632" spans="26:26" x14ac:dyDescent="0.2">
      <c r="Z34632" t="str">
        <f t="shared" si="541"/>
        <v/>
      </c>
    </row>
    <row r="34633" spans="26:26" x14ac:dyDescent="0.2">
      <c r="Z34633" t="str">
        <f t="shared" si="541"/>
        <v/>
      </c>
    </row>
    <row r="34634" spans="26:26" x14ac:dyDescent="0.2">
      <c r="Z34634" t="str">
        <f t="shared" si="541"/>
        <v/>
      </c>
    </row>
    <row r="34635" spans="26:26" x14ac:dyDescent="0.2">
      <c r="Z34635" t="str">
        <f t="shared" si="541"/>
        <v/>
      </c>
    </row>
    <row r="34636" spans="26:26" x14ac:dyDescent="0.2">
      <c r="Z34636" t="str">
        <f t="shared" si="541"/>
        <v/>
      </c>
    </row>
    <row r="34637" spans="26:26" x14ac:dyDescent="0.2">
      <c r="Z34637" t="str">
        <f t="shared" si="541"/>
        <v/>
      </c>
    </row>
    <row r="34638" spans="26:26" x14ac:dyDescent="0.2">
      <c r="Z34638" t="str">
        <f t="shared" si="541"/>
        <v/>
      </c>
    </row>
    <row r="34639" spans="26:26" x14ac:dyDescent="0.2">
      <c r="Z34639" t="str">
        <f t="shared" si="541"/>
        <v/>
      </c>
    </row>
    <row r="34640" spans="26:26" x14ac:dyDescent="0.2">
      <c r="Z34640" t="str">
        <f t="shared" si="541"/>
        <v/>
      </c>
    </row>
    <row r="34641" spans="26:26" x14ac:dyDescent="0.2">
      <c r="Z34641" t="str">
        <f t="shared" si="541"/>
        <v/>
      </c>
    </row>
    <row r="34642" spans="26:26" x14ac:dyDescent="0.2">
      <c r="Z34642" t="str">
        <f t="shared" si="541"/>
        <v/>
      </c>
    </row>
    <row r="34643" spans="26:26" x14ac:dyDescent="0.2">
      <c r="Z34643" t="str">
        <f t="shared" si="541"/>
        <v/>
      </c>
    </row>
    <row r="34644" spans="26:26" x14ac:dyDescent="0.2">
      <c r="Z34644" t="str">
        <f t="shared" si="541"/>
        <v/>
      </c>
    </row>
    <row r="34645" spans="26:26" x14ac:dyDescent="0.2">
      <c r="Z34645" t="str">
        <f t="shared" si="541"/>
        <v/>
      </c>
    </row>
    <row r="34646" spans="26:26" x14ac:dyDescent="0.2">
      <c r="Z34646" t="str">
        <f t="shared" si="541"/>
        <v/>
      </c>
    </row>
    <row r="34647" spans="26:26" x14ac:dyDescent="0.2">
      <c r="Z34647" t="str">
        <f t="shared" si="541"/>
        <v/>
      </c>
    </row>
    <row r="34648" spans="26:26" x14ac:dyDescent="0.2">
      <c r="Z34648" t="str">
        <f t="shared" si="541"/>
        <v/>
      </c>
    </row>
    <row r="34649" spans="26:26" x14ac:dyDescent="0.2">
      <c r="Z34649" t="str">
        <f t="shared" si="541"/>
        <v/>
      </c>
    </row>
    <row r="34650" spans="26:26" x14ac:dyDescent="0.2">
      <c r="Z34650" t="str">
        <f t="shared" si="541"/>
        <v/>
      </c>
    </row>
    <row r="34651" spans="26:26" x14ac:dyDescent="0.2">
      <c r="Z34651" t="str">
        <f t="shared" si="541"/>
        <v/>
      </c>
    </row>
    <row r="34652" spans="26:26" x14ac:dyDescent="0.2">
      <c r="Z34652" t="str">
        <f t="shared" si="541"/>
        <v/>
      </c>
    </row>
    <row r="34653" spans="26:26" x14ac:dyDescent="0.2">
      <c r="Z34653" t="str">
        <f t="shared" si="541"/>
        <v/>
      </c>
    </row>
    <row r="34654" spans="26:26" x14ac:dyDescent="0.2">
      <c r="Z34654" t="str">
        <f t="shared" si="541"/>
        <v/>
      </c>
    </row>
    <row r="34655" spans="26:26" x14ac:dyDescent="0.2">
      <c r="Z34655" t="str">
        <f t="shared" si="541"/>
        <v/>
      </c>
    </row>
    <row r="34656" spans="26:26" x14ac:dyDescent="0.2">
      <c r="Z34656" t="str">
        <f t="shared" si="541"/>
        <v/>
      </c>
    </row>
    <row r="34657" spans="26:26" x14ac:dyDescent="0.2">
      <c r="Z34657" t="str">
        <f t="shared" si="541"/>
        <v/>
      </c>
    </row>
    <row r="34658" spans="26:26" x14ac:dyDescent="0.2">
      <c r="Z34658" t="str">
        <f t="shared" si="541"/>
        <v/>
      </c>
    </row>
    <row r="34659" spans="26:26" x14ac:dyDescent="0.2">
      <c r="Z34659" t="str">
        <f t="shared" si="541"/>
        <v/>
      </c>
    </row>
    <row r="34660" spans="26:26" x14ac:dyDescent="0.2">
      <c r="Z34660" t="str">
        <f t="shared" si="541"/>
        <v/>
      </c>
    </row>
    <row r="34661" spans="26:26" x14ac:dyDescent="0.2">
      <c r="Z34661" t="str">
        <f t="shared" si="541"/>
        <v/>
      </c>
    </row>
    <row r="34662" spans="26:26" x14ac:dyDescent="0.2">
      <c r="Z34662" t="str">
        <f t="shared" si="541"/>
        <v/>
      </c>
    </row>
    <row r="34663" spans="26:26" x14ac:dyDescent="0.2">
      <c r="Z34663" t="str">
        <f t="shared" si="541"/>
        <v/>
      </c>
    </row>
    <row r="34664" spans="26:26" x14ac:dyDescent="0.2">
      <c r="Z34664" t="str">
        <f t="shared" si="541"/>
        <v/>
      </c>
    </row>
    <row r="34665" spans="26:26" x14ac:dyDescent="0.2">
      <c r="Z34665" t="str">
        <f t="shared" si="541"/>
        <v/>
      </c>
    </row>
    <row r="34666" spans="26:26" x14ac:dyDescent="0.2">
      <c r="Z34666" t="str">
        <f t="shared" si="541"/>
        <v/>
      </c>
    </row>
    <row r="34667" spans="26:26" x14ac:dyDescent="0.2">
      <c r="Z34667" t="str">
        <f t="shared" si="541"/>
        <v/>
      </c>
    </row>
    <row r="34668" spans="26:26" x14ac:dyDescent="0.2">
      <c r="Z34668" t="str">
        <f t="shared" si="541"/>
        <v/>
      </c>
    </row>
    <row r="34669" spans="26:26" x14ac:dyDescent="0.2">
      <c r="Z34669" t="str">
        <f t="shared" si="541"/>
        <v/>
      </c>
    </row>
    <row r="34670" spans="26:26" x14ac:dyDescent="0.2">
      <c r="Z34670" t="str">
        <f t="shared" si="541"/>
        <v/>
      </c>
    </row>
    <row r="34671" spans="26:26" x14ac:dyDescent="0.2">
      <c r="Z34671" t="str">
        <f t="shared" si="541"/>
        <v/>
      </c>
    </row>
    <row r="34672" spans="26:26" x14ac:dyDescent="0.2">
      <c r="Z34672" t="str">
        <f t="shared" si="541"/>
        <v/>
      </c>
    </row>
    <row r="34673" spans="26:26" x14ac:dyDescent="0.2">
      <c r="Z34673" t="str">
        <f t="shared" si="541"/>
        <v/>
      </c>
    </row>
    <row r="34674" spans="26:26" x14ac:dyDescent="0.2">
      <c r="Z34674" t="str">
        <f t="shared" si="541"/>
        <v/>
      </c>
    </row>
    <row r="34675" spans="26:26" x14ac:dyDescent="0.2">
      <c r="Z34675" t="str">
        <f t="shared" si="541"/>
        <v/>
      </c>
    </row>
    <row r="34676" spans="26:26" x14ac:dyDescent="0.2">
      <c r="Z34676" t="str">
        <f t="shared" si="541"/>
        <v/>
      </c>
    </row>
    <row r="34677" spans="26:26" x14ac:dyDescent="0.2">
      <c r="Z34677" t="str">
        <f t="shared" si="541"/>
        <v/>
      </c>
    </row>
    <row r="34678" spans="26:26" x14ac:dyDescent="0.2">
      <c r="Z34678" t="str">
        <f t="shared" si="541"/>
        <v/>
      </c>
    </row>
    <row r="34679" spans="26:26" x14ac:dyDescent="0.2">
      <c r="Z34679" t="str">
        <f t="shared" si="541"/>
        <v/>
      </c>
    </row>
    <row r="34680" spans="26:26" x14ac:dyDescent="0.2">
      <c r="Z34680" t="str">
        <f t="shared" si="541"/>
        <v/>
      </c>
    </row>
    <row r="34681" spans="26:26" x14ac:dyDescent="0.2">
      <c r="Z34681" t="str">
        <f t="shared" si="541"/>
        <v/>
      </c>
    </row>
    <row r="34682" spans="26:26" x14ac:dyDescent="0.2">
      <c r="Z34682" t="str">
        <f t="shared" si="541"/>
        <v/>
      </c>
    </row>
    <row r="34683" spans="26:26" x14ac:dyDescent="0.2">
      <c r="Z34683" t="str">
        <f t="shared" si="541"/>
        <v/>
      </c>
    </row>
    <row r="34684" spans="26:26" x14ac:dyDescent="0.2">
      <c r="Z34684" t="str">
        <f t="shared" si="541"/>
        <v/>
      </c>
    </row>
    <row r="34685" spans="26:26" x14ac:dyDescent="0.2">
      <c r="Z34685" t="str">
        <f t="shared" si="541"/>
        <v/>
      </c>
    </row>
    <row r="34686" spans="26:26" x14ac:dyDescent="0.2">
      <c r="Z34686" t="str">
        <f t="shared" si="541"/>
        <v/>
      </c>
    </row>
    <row r="34687" spans="26:26" x14ac:dyDescent="0.2">
      <c r="Z34687" t="str">
        <f t="shared" si="541"/>
        <v/>
      </c>
    </row>
    <row r="34688" spans="26:26" x14ac:dyDescent="0.2">
      <c r="Z34688" t="str">
        <f t="shared" si="541"/>
        <v/>
      </c>
    </row>
    <row r="34689" spans="26:26" x14ac:dyDescent="0.2">
      <c r="Z34689" t="str">
        <f t="shared" si="541"/>
        <v/>
      </c>
    </row>
    <row r="34690" spans="26:26" x14ac:dyDescent="0.2">
      <c r="Z34690" t="str">
        <f t="shared" si="541"/>
        <v/>
      </c>
    </row>
    <row r="34691" spans="26:26" x14ac:dyDescent="0.2">
      <c r="Z34691" t="str">
        <f t="shared" ref="Z34691:Z34754" si="542">IF(K34691="","",IFERROR(VALUE(TRIM(MID(K34691,FIND(CHAR(167),SUBSTITUTE(K34691,"-",CHAR(167),LEN(K34691)-LEN(SUBSTITUTE(K34691,"-",""))))+1,100))),K34691))</f>
        <v/>
      </c>
    </row>
    <row r="34692" spans="26:26" x14ac:dyDescent="0.2">
      <c r="Z34692" t="str">
        <f t="shared" si="542"/>
        <v/>
      </c>
    </row>
    <row r="34693" spans="26:26" x14ac:dyDescent="0.2">
      <c r="Z34693" t="str">
        <f t="shared" si="542"/>
        <v/>
      </c>
    </row>
    <row r="34694" spans="26:26" x14ac:dyDescent="0.2">
      <c r="Z34694" t="str">
        <f t="shared" si="542"/>
        <v/>
      </c>
    </row>
    <row r="34695" spans="26:26" x14ac:dyDescent="0.2">
      <c r="Z34695" t="str">
        <f t="shared" si="542"/>
        <v/>
      </c>
    </row>
    <row r="34696" spans="26:26" x14ac:dyDescent="0.2">
      <c r="Z34696" t="str">
        <f t="shared" si="542"/>
        <v/>
      </c>
    </row>
    <row r="34697" spans="26:26" x14ac:dyDescent="0.2">
      <c r="Z34697" t="str">
        <f t="shared" si="542"/>
        <v/>
      </c>
    </row>
    <row r="34698" spans="26:26" x14ac:dyDescent="0.2">
      <c r="Z34698" t="str">
        <f t="shared" si="542"/>
        <v/>
      </c>
    </row>
    <row r="34699" spans="26:26" x14ac:dyDescent="0.2">
      <c r="Z34699" t="str">
        <f t="shared" si="542"/>
        <v/>
      </c>
    </row>
    <row r="34700" spans="26:26" x14ac:dyDescent="0.2">
      <c r="Z34700" t="str">
        <f t="shared" si="542"/>
        <v/>
      </c>
    </row>
    <row r="34701" spans="26:26" x14ac:dyDescent="0.2">
      <c r="Z34701" t="str">
        <f t="shared" si="542"/>
        <v/>
      </c>
    </row>
    <row r="34702" spans="26:26" x14ac:dyDescent="0.2">
      <c r="Z34702" t="str">
        <f t="shared" si="542"/>
        <v/>
      </c>
    </row>
    <row r="34703" spans="26:26" x14ac:dyDescent="0.2">
      <c r="Z34703" t="str">
        <f t="shared" si="542"/>
        <v/>
      </c>
    </row>
    <row r="34704" spans="26:26" x14ac:dyDescent="0.2">
      <c r="Z34704" t="str">
        <f t="shared" si="542"/>
        <v/>
      </c>
    </row>
    <row r="34705" spans="26:26" x14ac:dyDescent="0.2">
      <c r="Z34705" t="str">
        <f t="shared" si="542"/>
        <v/>
      </c>
    </row>
    <row r="34706" spans="26:26" x14ac:dyDescent="0.2">
      <c r="Z34706" t="str">
        <f t="shared" si="542"/>
        <v/>
      </c>
    </row>
    <row r="34707" spans="26:26" x14ac:dyDescent="0.2">
      <c r="Z34707" t="str">
        <f t="shared" si="542"/>
        <v/>
      </c>
    </row>
    <row r="34708" spans="26:26" x14ac:dyDescent="0.2">
      <c r="Z34708" t="str">
        <f t="shared" si="542"/>
        <v/>
      </c>
    </row>
    <row r="34709" spans="26:26" x14ac:dyDescent="0.2">
      <c r="Z34709" t="str">
        <f t="shared" si="542"/>
        <v/>
      </c>
    </row>
    <row r="34710" spans="26:26" x14ac:dyDescent="0.2">
      <c r="Z34710" t="str">
        <f t="shared" si="542"/>
        <v/>
      </c>
    </row>
    <row r="34711" spans="26:26" x14ac:dyDescent="0.2">
      <c r="Z34711" t="str">
        <f t="shared" si="542"/>
        <v/>
      </c>
    </row>
    <row r="34712" spans="26:26" x14ac:dyDescent="0.2">
      <c r="Z34712" t="str">
        <f t="shared" si="542"/>
        <v/>
      </c>
    </row>
    <row r="34713" spans="26:26" x14ac:dyDescent="0.2">
      <c r="Z34713" t="str">
        <f t="shared" si="542"/>
        <v/>
      </c>
    </row>
    <row r="34714" spans="26:26" x14ac:dyDescent="0.2">
      <c r="Z34714" t="str">
        <f t="shared" si="542"/>
        <v/>
      </c>
    </row>
    <row r="34715" spans="26:26" x14ac:dyDescent="0.2">
      <c r="Z34715" t="str">
        <f t="shared" si="542"/>
        <v/>
      </c>
    </row>
    <row r="34716" spans="26:26" x14ac:dyDescent="0.2">
      <c r="Z34716" t="str">
        <f t="shared" si="542"/>
        <v/>
      </c>
    </row>
    <row r="34717" spans="26:26" x14ac:dyDescent="0.2">
      <c r="Z34717" t="str">
        <f t="shared" si="542"/>
        <v/>
      </c>
    </row>
    <row r="34718" spans="26:26" x14ac:dyDescent="0.2">
      <c r="Z34718" t="str">
        <f t="shared" si="542"/>
        <v/>
      </c>
    </row>
    <row r="34719" spans="26:26" x14ac:dyDescent="0.2">
      <c r="Z34719" t="str">
        <f t="shared" si="542"/>
        <v/>
      </c>
    </row>
    <row r="34720" spans="26:26" x14ac:dyDescent="0.2">
      <c r="Z34720" t="str">
        <f t="shared" si="542"/>
        <v/>
      </c>
    </row>
    <row r="34721" spans="26:26" x14ac:dyDescent="0.2">
      <c r="Z34721" t="str">
        <f t="shared" si="542"/>
        <v/>
      </c>
    </row>
    <row r="34722" spans="26:26" x14ac:dyDescent="0.2">
      <c r="Z34722" t="str">
        <f t="shared" si="542"/>
        <v/>
      </c>
    </row>
    <row r="34723" spans="26:26" x14ac:dyDescent="0.2">
      <c r="Z34723" t="str">
        <f t="shared" si="542"/>
        <v/>
      </c>
    </row>
    <row r="34724" spans="26:26" x14ac:dyDescent="0.2">
      <c r="Z34724" t="str">
        <f t="shared" si="542"/>
        <v/>
      </c>
    </row>
    <row r="34725" spans="26:26" x14ac:dyDescent="0.2">
      <c r="Z34725" t="str">
        <f t="shared" si="542"/>
        <v/>
      </c>
    </row>
    <row r="34726" spans="26:26" x14ac:dyDescent="0.2">
      <c r="Z34726" t="str">
        <f t="shared" si="542"/>
        <v/>
      </c>
    </row>
    <row r="34727" spans="26:26" x14ac:dyDescent="0.2">
      <c r="Z34727" t="str">
        <f t="shared" si="542"/>
        <v/>
      </c>
    </row>
    <row r="34728" spans="26:26" x14ac:dyDescent="0.2">
      <c r="Z34728" t="str">
        <f t="shared" si="542"/>
        <v/>
      </c>
    </row>
    <row r="34729" spans="26:26" x14ac:dyDescent="0.2">
      <c r="Z34729" t="str">
        <f t="shared" si="542"/>
        <v/>
      </c>
    </row>
    <row r="34730" spans="26:26" x14ac:dyDescent="0.2">
      <c r="Z34730" t="str">
        <f t="shared" si="542"/>
        <v/>
      </c>
    </row>
    <row r="34731" spans="26:26" x14ac:dyDescent="0.2">
      <c r="Z34731" t="str">
        <f t="shared" si="542"/>
        <v/>
      </c>
    </row>
    <row r="34732" spans="26:26" x14ac:dyDescent="0.2">
      <c r="Z34732" t="str">
        <f t="shared" si="542"/>
        <v/>
      </c>
    </row>
    <row r="34733" spans="26:26" x14ac:dyDescent="0.2">
      <c r="Z34733" t="str">
        <f t="shared" si="542"/>
        <v/>
      </c>
    </row>
    <row r="34734" spans="26:26" x14ac:dyDescent="0.2">
      <c r="Z34734" t="str">
        <f t="shared" si="542"/>
        <v/>
      </c>
    </row>
    <row r="34735" spans="26:26" x14ac:dyDescent="0.2">
      <c r="Z34735" t="str">
        <f t="shared" si="542"/>
        <v/>
      </c>
    </row>
    <row r="34736" spans="26:26" x14ac:dyDescent="0.2">
      <c r="Z34736" t="str">
        <f t="shared" si="542"/>
        <v/>
      </c>
    </row>
    <row r="34737" spans="26:26" x14ac:dyDescent="0.2">
      <c r="Z34737" t="str">
        <f t="shared" si="542"/>
        <v/>
      </c>
    </row>
    <row r="34738" spans="26:26" x14ac:dyDescent="0.2">
      <c r="Z34738" t="str">
        <f t="shared" si="542"/>
        <v/>
      </c>
    </row>
    <row r="34739" spans="26:26" x14ac:dyDescent="0.2">
      <c r="Z34739" t="str">
        <f t="shared" si="542"/>
        <v/>
      </c>
    </row>
    <row r="34740" spans="26:26" x14ac:dyDescent="0.2">
      <c r="Z34740" t="str">
        <f t="shared" si="542"/>
        <v/>
      </c>
    </row>
    <row r="34741" spans="26:26" x14ac:dyDescent="0.2">
      <c r="Z34741" t="str">
        <f t="shared" si="542"/>
        <v/>
      </c>
    </row>
    <row r="34742" spans="26:26" x14ac:dyDescent="0.2">
      <c r="Z34742" t="str">
        <f t="shared" si="542"/>
        <v/>
      </c>
    </row>
    <row r="34743" spans="26:26" x14ac:dyDescent="0.2">
      <c r="Z34743" t="str">
        <f t="shared" si="542"/>
        <v/>
      </c>
    </row>
    <row r="34744" spans="26:26" x14ac:dyDescent="0.2">
      <c r="Z34744" t="str">
        <f t="shared" si="542"/>
        <v/>
      </c>
    </row>
    <row r="34745" spans="26:26" x14ac:dyDescent="0.2">
      <c r="Z34745" t="str">
        <f t="shared" si="542"/>
        <v/>
      </c>
    </row>
    <row r="34746" spans="26:26" x14ac:dyDescent="0.2">
      <c r="Z34746" t="str">
        <f t="shared" si="542"/>
        <v/>
      </c>
    </row>
    <row r="34747" spans="26:26" x14ac:dyDescent="0.2">
      <c r="Z34747" t="str">
        <f t="shared" si="542"/>
        <v/>
      </c>
    </row>
    <row r="34748" spans="26:26" x14ac:dyDescent="0.2">
      <c r="Z34748" t="str">
        <f t="shared" si="542"/>
        <v/>
      </c>
    </row>
    <row r="34749" spans="26:26" x14ac:dyDescent="0.2">
      <c r="Z34749" t="str">
        <f t="shared" si="542"/>
        <v/>
      </c>
    </row>
    <row r="34750" spans="26:26" x14ac:dyDescent="0.2">
      <c r="Z34750" t="str">
        <f t="shared" si="542"/>
        <v/>
      </c>
    </row>
    <row r="34751" spans="26:26" x14ac:dyDescent="0.2">
      <c r="Z34751" t="str">
        <f t="shared" si="542"/>
        <v/>
      </c>
    </row>
    <row r="34752" spans="26:26" x14ac:dyDescent="0.2">
      <c r="Z34752" t="str">
        <f t="shared" si="542"/>
        <v/>
      </c>
    </row>
    <row r="34753" spans="26:26" x14ac:dyDescent="0.2">
      <c r="Z34753" t="str">
        <f t="shared" si="542"/>
        <v/>
      </c>
    </row>
    <row r="34754" spans="26:26" x14ac:dyDescent="0.2">
      <c r="Z34754" t="str">
        <f t="shared" si="542"/>
        <v/>
      </c>
    </row>
    <row r="34755" spans="26:26" x14ac:dyDescent="0.2">
      <c r="Z34755" t="str">
        <f t="shared" ref="Z34755:Z34818" si="543">IF(K34755="","",IFERROR(VALUE(TRIM(MID(K34755,FIND(CHAR(167),SUBSTITUTE(K34755,"-",CHAR(167),LEN(K34755)-LEN(SUBSTITUTE(K34755,"-",""))))+1,100))),K34755))</f>
        <v/>
      </c>
    </row>
    <row r="34756" spans="26:26" x14ac:dyDescent="0.2">
      <c r="Z34756" t="str">
        <f t="shared" si="543"/>
        <v/>
      </c>
    </row>
    <row r="34757" spans="26:26" x14ac:dyDescent="0.2">
      <c r="Z34757" t="str">
        <f t="shared" si="543"/>
        <v/>
      </c>
    </row>
    <row r="34758" spans="26:26" x14ac:dyDescent="0.2">
      <c r="Z34758" t="str">
        <f t="shared" si="543"/>
        <v/>
      </c>
    </row>
    <row r="34759" spans="26:26" x14ac:dyDescent="0.2">
      <c r="Z34759" t="str">
        <f t="shared" si="543"/>
        <v/>
      </c>
    </row>
    <row r="34760" spans="26:26" x14ac:dyDescent="0.2">
      <c r="Z34760" t="str">
        <f t="shared" si="543"/>
        <v/>
      </c>
    </row>
    <row r="34761" spans="26:26" x14ac:dyDescent="0.2">
      <c r="Z34761" t="str">
        <f t="shared" si="543"/>
        <v/>
      </c>
    </row>
    <row r="34762" spans="26:26" x14ac:dyDescent="0.2">
      <c r="Z34762" t="str">
        <f t="shared" si="543"/>
        <v/>
      </c>
    </row>
    <row r="34763" spans="26:26" x14ac:dyDescent="0.2">
      <c r="Z34763" t="str">
        <f t="shared" si="543"/>
        <v/>
      </c>
    </row>
    <row r="34764" spans="26:26" x14ac:dyDescent="0.2">
      <c r="Z34764" t="str">
        <f t="shared" si="543"/>
        <v/>
      </c>
    </row>
    <row r="34765" spans="26:26" x14ac:dyDescent="0.2">
      <c r="Z34765" t="str">
        <f t="shared" si="543"/>
        <v/>
      </c>
    </row>
    <row r="34766" spans="26:26" x14ac:dyDescent="0.2">
      <c r="Z34766" t="str">
        <f t="shared" si="543"/>
        <v/>
      </c>
    </row>
    <row r="34767" spans="26:26" x14ac:dyDescent="0.2">
      <c r="Z34767" t="str">
        <f t="shared" si="543"/>
        <v/>
      </c>
    </row>
    <row r="34768" spans="26:26" x14ac:dyDescent="0.2">
      <c r="Z34768" t="str">
        <f t="shared" si="543"/>
        <v/>
      </c>
    </row>
    <row r="34769" spans="26:26" x14ac:dyDescent="0.2">
      <c r="Z34769" t="str">
        <f t="shared" si="543"/>
        <v/>
      </c>
    </row>
    <row r="34770" spans="26:26" x14ac:dyDescent="0.2">
      <c r="Z34770" t="str">
        <f t="shared" si="543"/>
        <v/>
      </c>
    </row>
    <row r="34771" spans="26:26" x14ac:dyDescent="0.2">
      <c r="Z34771" t="str">
        <f t="shared" si="543"/>
        <v/>
      </c>
    </row>
    <row r="34772" spans="26:26" x14ac:dyDescent="0.2">
      <c r="Z34772" t="str">
        <f t="shared" si="543"/>
        <v/>
      </c>
    </row>
    <row r="34773" spans="26:26" x14ac:dyDescent="0.2">
      <c r="Z34773" t="str">
        <f t="shared" si="543"/>
        <v/>
      </c>
    </row>
    <row r="34774" spans="26:26" x14ac:dyDescent="0.2">
      <c r="Z34774" t="str">
        <f t="shared" si="543"/>
        <v/>
      </c>
    </row>
    <row r="34775" spans="26:26" x14ac:dyDescent="0.2">
      <c r="Z34775" t="str">
        <f t="shared" si="543"/>
        <v/>
      </c>
    </row>
    <row r="34776" spans="26:26" x14ac:dyDescent="0.2">
      <c r="Z34776" t="str">
        <f t="shared" si="543"/>
        <v/>
      </c>
    </row>
    <row r="34777" spans="26:26" x14ac:dyDescent="0.2">
      <c r="Z34777" t="str">
        <f t="shared" si="543"/>
        <v/>
      </c>
    </row>
    <row r="34778" spans="26:26" x14ac:dyDescent="0.2">
      <c r="Z34778" t="str">
        <f t="shared" si="543"/>
        <v/>
      </c>
    </row>
    <row r="34779" spans="26:26" x14ac:dyDescent="0.2">
      <c r="Z34779" t="str">
        <f t="shared" si="543"/>
        <v/>
      </c>
    </row>
    <row r="34780" spans="26:26" x14ac:dyDescent="0.2">
      <c r="Z34780" t="str">
        <f t="shared" si="543"/>
        <v/>
      </c>
    </row>
    <row r="34781" spans="26:26" x14ac:dyDescent="0.2">
      <c r="Z34781" t="str">
        <f t="shared" si="543"/>
        <v/>
      </c>
    </row>
    <row r="34782" spans="26:26" x14ac:dyDescent="0.2">
      <c r="Z34782" t="str">
        <f t="shared" si="543"/>
        <v/>
      </c>
    </row>
    <row r="34783" spans="26:26" x14ac:dyDescent="0.2">
      <c r="Z34783" t="str">
        <f t="shared" si="543"/>
        <v/>
      </c>
    </row>
    <row r="34784" spans="26:26" x14ac:dyDescent="0.2">
      <c r="Z34784" t="str">
        <f t="shared" si="543"/>
        <v/>
      </c>
    </row>
    <row r="34785" spans="26:26" x14ac:dyDescent="0.2">
      <c r="Z34785" t="str">
        <f t="shared" si="543"/>
        <v/>
      </c>
    </row>
    <row r="34786" spans="26:26" x14ac:dyDescent="0.2">
      <c r="Z34786" t="str">
        <f t="shared" si="543"/>
        <v/>
      </c>
    </row>
    <row r="34787" spans="26:26" x14ac:dyDescent="0.2">
      <c r="Z34787" t="str">
        <f t="shared" si="543"/>
        <v/>
      </c>
    </row>
    <row r="34788" spans="26:26" x14ac:dyDescent="0.2">
      <c r="Z34788" t="str">
        <f t="shared" si="543"/>
        <v/>
      </c>
    </row>
    <row r="34789" spans="26:26" x14ac:dyDescent="0.2">
      <c r="Z34789" t="str">
        <f t="shared" si="543"/>
        <v/>
      </c>
    </row>
    <row r="34790" spans="26:26" x14ac:dyDescent="0.2">
      <c r="Z34790" t="str">
        <f t="shared" si="543"/>
        <v/>
      </c>
    </row>
    <row r="34791" spans="26:26" x14ac:dyDescent="0.2">
      <c r="Z34791" t="str">
        <f t="shared" si="543"/>
        <v/>
      </c>
    </row>
    <row r="34792" spans="26:26" x14ac:dyDescent="0.2">
      <c r="Z34792" t="str">
        <f t="shared" si="543"/>
        <v/>
      </c>
    </row>
    <row r="34793" spans="26:26" x14ac:dyDescent="0.2">
      <c r="Z34793" t="str">
        <f t="shared" si="543"/>
        <v/>
      </c>
    </row>
    <row r="34794" spans="26:26" x14ac:dyDescent="0.2">
      <c r="Z34794" t="str">
        <f t="shared" si="543"/>
        <v/>
      </c>
    </row>
    <row r="34795" spans="26:26" x14ac:dyDescent="0.2">
      <c r="Z34795" t="str">
        <f t="shared" si="543"/>
        <v/>
      </c>
    </row>
    <row r="34796" spans="26:26" x14ac:dyDescent="0.2">
      <c r="Z34796" t="str">
        <f t="shared" si="543"/>
        <v/>
      </c>
    </row>
    <row r="34797" spans="26:26" x14ac:dyDescent="0.2">
      <c r="Z34797" t="str">
        <f t="shared" si="543"/>
        <v/>
      </c>
    </row>
    <row r="34798" spans="26:26" x14ac:dyDescent="0.2">
      <c r="Z34798" t="str">
        <f t="shared" si="543"/>
        <v/>
      </c>
    </row>
    <row r="34799" spans="26:26" x14ac:dyDescent="0.2">
      <c r="Z34799" t="str">
        <f t="shared" si="543"/>
        <v/>
      </c>
    </row>
    <row r="34800" spans="26:26" x14ac:dyDescent="0.2">
      <c r="Z34800" t="str">
        <f t="shared" si="543"/>
        <v/>
      </c>
    </row>
    <row r="34801" spans="26:26" x14ac:dyDescent="0.2">
      <c r="Z34801" t="str">
        <f t="shared" si="543"/>
        <v/>
      </c>
    </row>
    <row r="34802" spans="26:26" x14ac:dyDescent="0.2">
      <c r="Z34802" t="str">
        <f t="shared" si="543"/>
        <v/>
      </c>
    </row>
    <row r="34803" spans="26:26" x14ac:dyDescent="0.2">
      <c r="Z34803" t="str">
        <f t="shared" si="543"/>
        <v/>
      </c>
    </row>
    <row r="34804" spans="26:26" x14ac:dyDescent="0.2">
      <c r="Z34804" t="str">
        <f t="shared" si="543"/>
        <v/>
      </c>
    </row>
    <row r="34805" spans="26:26" x14ac:dyDescent="0.2">
      <c r="Z34805" t="str">
        <f t="shared" si="543"/>
        <v/>
      </c>
    </row>
    <row r="34806" spans="26:26" x14ac:dyDescent="0.2">
      <c r="Z34806" t="str">
        <f t="shared" si="543"/>
        <v/>
      </c>
    </row>
    <row r="34807" spans="26:26" x14ac:dyDescent="0.2">
      <c r="Z34807" t="str">
        <f t="shared" si="543"/>
        <v/>
      </c>
    </row>
    <row r="34808" spans="26:26" x14ac:dyDescent="0.2">
      <c r="Z34808" t="str">
        <f t="shared" si="543"/>
        <v/>
      </c>
    </row>
    <row r="34809" spans="26:26" x14ac:dyDescent="0.2">
      <c r="Z34809" t="str">
        <f t="shared" si="543"/>
        <v/>
      </c>
    </row>
    <row r="34810" spans="26:26" x14ac:dyDescent="0.2">
      <c r="Z34810" t="str">
        <f t="shared" si="543"/>
        <v/>
      </c>
    </row>
    <row r="34811" spans="26:26" x14ac:dyDescent="0.2">
      <c r="Z34811" t="str">
        <f t="shared" si="543"/>
        <v/>
      </c>
    </row>
    <row r="34812" spans="26:26" x14ac:dyDescent="0.2">
      <c r="Z34812" t="str">
        <f t="shared" si="543"/>
        <v/>
      </c>
    </row>
    <row r="34813" spans="26:26" x14ac:dyDescent="0.2">
      <c r="Z34813" t="str">
        <f t="shared" si="543"/>
        <v/>
      </c>
    </row>
    <row r="34814" spans="26:26" x14ac:dyDescent="0.2">
      <c r="Z34814" t="str">
        <f t="shared" si="543"/>
        <v/>
      </c>
    </row>
    <row r="34815" spans="26:26" x14ac:dyDescent="0.2">
      <c r="Z34815" t="str">
        <f t="shared" si="543"/>
        <v/>
      </c>
    </row>
    <row r="34816" spans="26:26" x14ac:dyDescent="0.2">
      <c r="Z34816" t="str">
        <f t="shared" si="543"/>
        <v/>
      </c>
    </row>
    <row r="34817" spans="26:26" x14ac:dyDescent="0.2">
      <c r="Z34817" t="str">
        <f t="shared" si="543"/>
        <v/>
      </c>
    </row>
    <row r="34818" spans="26:26" x14ac:dyDescent="0.2">
      <c r="Z34818" t="str">
        <f t="shared" si="543"/>
        <v/>
      </c>
    </row>
    <row r="34819" spans="26:26" x14ac:dyDescent="0.2">
      <c r="Z34819" t="str">
        <f t="shared" ref="Z34819:Z34882" si="544">IF(K34819="","",IFERROR(VALUE(TRIM(MID(K34819,FIND(CHAR(167),SUBSTITUTE(K34819,"-",CHAR(167),LEN(K34819)-LEN(SUBSTITUTE(K34819,"-",""))))+1,100))),K34819))</f>
        <v/>
      </c>
    </row>
    <row r="34820" spans="26:26" x14ac:dyDescent="0.2">
      <c r="Z34820" t="str">
        <f t="shared" si="544"/>
        <v/>
      </c>
    </row>
    <row r="34821" spans="26:26" x14ac:dyDescent="0.2">
      <c r="Z34821" t="str">
        <f t="shared" si="544"/>
        <v/>
      </c>
    </row>
    <row r="34822" spans="26:26" x14ac:dyDescent="0.2">
      <c r="Z34822" t="str">
        <f t="shared" si="544"/>
        <v/>
      </c>
    </row>
    <row r="34823" spans="26:26" x14ac:dyDescent="0.2">
      <c r="Z34823" t="str">
        <f t="shared" si="544"/>
        <v/>
      </c>
    </row>
    <row r="34824" spans="26:26" x14ac:dyDescent="0.2">
      <c r="Z34824" t="str">
        <f t="shared" si="544"/>
        <v/>
      </c>
    </row>
    <row r="34825" spans="26:26" x14ac:dyDescent="0.2">
      <c r="Z34825" t="str">
        <f t="shared" si="544"/>
        <v/>
      </c>
    </row>
    <row r="34826" spans="26:26" x14ac:dyDescent="0.2">
      <c r="Z34826" t="str">
        <f t="shared" si="544"/>
        <v/>
      </c>
    </row>
    <row r="34827" spans="26:26" x14ac:dyDescent="0.2">
      <c r="Z34827" t="str">
        <f t="shared" si="544"/>
        <v/>
      </c>
    </row>
    <row r="34828" spans="26:26" x14ac:dyDescent="0.2">
      <c r="Z34828" t="str">
        <f t="shared" si="544"/>
        <v/>
      </c>
    </row>
    <row r="34829" spans="26:26" x14ac:dyDescent="0.2">
      <c r="Z34829" t="str">
        <f t="shared" si="544"/>
        <v/>
      </c>
    </row>
    <row r="34830" spans="26:26" x14ac:dyDescent="0.2">
      <c r="Z34830" t="str">
        <f t="shared" si="544"/>
        <v/>
      </c>
    </row>
    <row r="34831" spans="26:26" x14ac:dyDescent="0.2">
      <c r="Z34831" t="str">
        <f t="shared" si="544"/>
        <v/>
      </c>
    </row>
    <row r="34832" spans="26:26" x14ac:dyDescent="0.2">
      <c r="Z34832" t="str">
        <f t="shared" si="544"/>
        <v/>
      </c>
    </row>
    <row r="34833" spans="26:26" x14ac:dyDescent="0.2">
      <c r="Z34833" t="str">
        <f t="shared" si="544"/>
        <v/>
      </c>
    </row>
    <row r="34834" spans="26:26" x14ac:dyDescent="0.2">
      <c r="Z34834" t="str">
        <f t="shared" si="544"/>
        <v/>
      </c>
    </row>
    <row r="34835" spans="26:26" x14ac:dyDescent="0.2">
      <c r="Z34835" t="str">
        <f t="shared" si="544"/>
        <v/>
      </c>
    </row>
    <row r="34836" spans="26:26" x14ac:dyDescent="0.2">
      <c r="Z34836" t="str">
        <f t="shared" si="544"/>
        <v/>
      </c>
    </row>
    <row r="34837" spans="26:26" x14ac:dyDescent="0.2">
      <c r="Z34837" t="str">
        <f t="shared" si="544"/>
        <v/>
      </c>
    </row>
    <row r="34838" spans="26:26" x14ac:dyDescent="0.2">
      <c r="Z34838" t="str">
        <f t="shared" si="544"/>
        <v/>
      </c>
    </row>
    <row r="34839" spans="26:26" x14ac:dyDescent="0.2">
      <c r="Z34839" t="str">
        <f t="shared" si="544"/>
        <v/>
      </c>
    </row>
    <row r="34840" spans="26:26" x14ac:dyDescent="0.2">
      <c r="Z34840" t="str">
        <f t="shared" si="544"/>
        <v/>
      </c>
    </row>
    <row r="34841" spans="26:26" x14ac:dyDescent="0.2">
      <c r="Z34841" t="str">
        <f t="shared" si="544"/>
        <v/>
      </c>
    </row>
    <row r="34842" spans="26:26" x14ac:dyDescent="0.2">
      <c r="Z34842" t="str">
        <f t="shared" si="544"/>
        <v/>
      </c>
    </row>
    <row r="34843" spans="26:26" x14ac:dyDescent="0.2">
      <c r="Z34843" t="str">
        <f t="shared" si="544"/>
        <v/>
      </c>
    </row>
    <row r="34844" spans="26:26" x14ac:dyDescent="0.2">
      <c r="Z34844" t="str">
        <f t="shared" si="544"/>
        <v/>
      </c>
    </row>
    <row r="34845" spans="26:26" x14ac:dyDescent="0.2">
      <c r="Z34845" t="str">
        <f t="shared" si="544"/>
        <v/>
      </c>
    </row>
    <row r="34846" spans="26:26" x14ac:dyDescent="0.2">
      <c r="Z34846" t="str">
        <f t="shared" si="544"/>
        <v/>
      </c>
    </row>
    <row r="34847" spans="26:26" x14ac:dyDescent="0.2">
      <c r="Z34847" t="str">
        <f t="shared" si="544"/>
        <v/>
      </c>
    </row>
    <row r="34848" spans="26:26" x14ac:dyDescent="0.2">
      <c r="Z34848" t="str">
        <f t="shared" si="544"/>
        <v/>
      </c>
    </row>
    <row r="34849" spans="26:26" x14ac:dyDescent="0.2">
      <c r="Z34849" t="str">
        <f t="shared" si="544"/>
        <v/>
      </c>
    </row>
    <row r="34850" spans="26:26" x14ac:dyDescent="0.2">
      <c r="Z34850" t="str">
        <f t="shared" si="544"/>
        <v/>
      </c>
    </row>
    <row r="34851" spans="26:26" x14ac:dyDescent="0.2">
      <c r="Z34851" t="str">
        <f t="shared" si="544"/>
        <v/>
      </c>
    </row>
    <row r="34852" spans="26:26" x14ac:dyDescent="0.2">
      <c r="Z34852" t="str">
        <f t="shared" si="544"/>
        <v/>
      </c>
    </row>
    <row r="34853" spans="26:26" x14ac:dyDescent="0.2">
      <c r="Z34853" t="str">
        <f t="shared" si="544"/>
        <v/>
      </c>
    </row>
    <row r="34854" spans="26:26" x14ac:dyDescent="0.2">
      <c r="Z34854" t="str">
        <f t="shared" si="544"/>
        <v/>
      </c>
    </row>
    <row r="34855" spans="26:26" x14ac:dyDescent="0.2">
      <c r="Z34855" t="str">
        <f t="shared" si="544"/>
        <v/>
      </c>
    </row>
    <row r="34856" spans="26:26" x14ac:dyDescent="0.2">
      <c r="Z34856" t="str">
        <f t="shared" si="544"/>
        <v/>
      </c>
    </row>
    <row r="34857" spans="26:26" x14ac:dyDescent="0.2">
      <c r="Z34857" t="str">
        <f t="shared" si="544"/>
        <v/>
      </c>
    </row>
    <row r="34858" spans="26:26" x14ac:dyDescent="0.2">
      <c r="Z34858" t="str">
        <f t="shared" si="544"/>
        <v/>
      </c>
    </row>
    <row r="34859" spans="26:26" x14ac:dyDescent="0.2">
      <c r="Z34859" t="str">
        <f t="shared" si="544"/>
        <v/>
      </c>
    </row>
    <row r="34860" spans="26:26" x14ac:dyDescent="0.2">
      <c r="Z34860" t="str">
        <f t="shared" si="544"/>
        <v/>
      </c>
    </row>
    <row r="34861" spans="26:26" x14ac:dyDescent="0.2">
      <c r="Z34861" t="str">
        <f t="shared" si="544"/>
        <v/>
      </c>
    </row>
    <row r="34862" spans="26:26" x14ac:dyDescent="0.2">
      <c r="Z34862" t="str">
        <f t="shared" si="544"/>
        <v/>
      </c>
    </row>
    <row r="34863" spans="26:26" x14ac:dyDescent="0.2">
      <c r="Z34863" t="str">
        <f t="shared" si="544"/>
        <v/>
      </c>
    </row>
    <row r="34864" spans="26:26" x14ac:dyDescent="0.2">
      <c r="Z34864" t="str">
        <f t="shared" si="544"/>
        <v/>
      </c>
    </row>
    <row r="34865" spans="26:26" x14ac:dyDescent="0.2">
      <c r="Z34865" t="str">
        <f t="shared" si="544"/>
        <v/>
      </c>
    </row>
    <row r="34866" spans="26:26" x14ac:dyDescent="0.2">
      <c r="Z34866" t="str">
        <f t="shared" si="544"/>
        <v/>
      </c>
    </row>
    <row r="34867" spans="26:26" x14ac:dyDescent="0.2">
      <c r="Z34867" t="str">
        <f t="shared" si="544"/>
        <v/>
      </c>
    </row>
    <row r="34868" spans="26:26" x14ac:dyDescent="0.2">
      <c r="Z34868" t="str">
        <f t="shared" si="544"/>
        <v/>
      </c>
    </row>
    <row r="34869" spans="26:26" x14ac:dyDescent="0.2">
      <c r="Z34869" t="str">
        <f t="shared" si="544"/>
        <v/>
      </c>
    </row>
    <row r="34870" spans="26:26" x14ac:dyDescent="0.2">
      <c r="Z34870" t="str">
        <f t="shared" si="544"/>
        <v/>
      </c>
    </row>
    <row r="34871" spans="26:26" x14ac:dyDescent="0.2">
      <c r="Z34871" t="str">
        <f t="shared" si="544"/>
        <v/>
      </c>
    </row>
    <row r="34872" spans="26:26" x14ac:dyDescent="0.2">
      <c r="Z34872" t="str">
        <f t="shared" si="544"/>
        <v/>
      </c>
    </row>
    <row r="34873" spans="26:26" x14ac:dyDescent="0.2">
      <c r="Z34873" t="str">
        <f t="shared" si="544"/>
        <v/>
      </c>
    </row>
    <row r="34874" spans="26:26" x14ac:dyDescent="0.2">
      <c r="Z34874" t="str">
        <f t="shared" si="544"/>
        <v/>
      </c>
    </row>
    <row r="34875" spans="26:26" x14ac:dyDescent="0.2">
      <c r="Z34875" t="str">
        <f t="shared" si="544"/>
        <v/>
      </c>
    </row>
    <row r="34876" spans="26:26" x14ac:dyDescent="0.2">
      <c r="Z34876" t="str">
        <f t="shared" si="544"/>
        <v/>
      </c>
    </row>
    <row r="34877" spans="26:26" x14ac:dyDescent="0.2">
      <c r="Z34877" t="str">
        <f t="shared" si="544"/>
        <v/>
      </c>
    </row>
    <row r="34878" spans="26:26" x14ac:dyDescent="0.2">
      <c r="Z34878" t="str">
        <f t="shared" si="544"/>
        <v/>
      </c>
    </row>
    <row r="34879" spans="26:26" x14ac:dyDescent="0.2">
      <c r="Z34879" t="str">
        <f t="shared" si="544"/>
        <v/>
      </c>
    </row>
    <row r="34880" spans="26:26" x14ac:dyDescent="0.2">
      <c r="Z34880" t="str">
        <f t="shared" si="544"/>
        <v/>
      </c>
    </row>
    <row r="34881" spans="26:26" x14ac:dyDescent="0.2">
      <c r="Z34881" t="str">
        <f t="shared" si="544"/>
        <v/>
      </c>
    </row>
    <row r="34882" spans="26:26" x14ac:dyDescent="0.2">
      <c r="Z34882" t="str">
        <f t="shared" si="544"/>
        <v/>
      </c>
    </row>
    <row r="34883" spans="26:26" x14ac:dyDescent="0.2">
      <c r="Z34883" t="str">
        <f t="shared" ref="Z34883:Z34946" si="545">IF(K34883="","",IFERROR(VALUE(TRIM(MID(K34883,FIND(CHAR(167),SUBSTITUTE(K34883,"-",CHAR(167),LEN(K34883)-LEN(SUBSTITUTE(K34883,"-",""))))+1,100))),K34883))</f>
        <v/>
      </c>
    </row>
    <row r="34884" spans="26:26" x14ac:dyDescent="0.2">
      <c r="Z34884" t="str">
        <f t="shared" si="545"/>
        <v/>
      </c>
    </row>
    <row r="34885" spans="26:26" x14ac:dyDescent="0.2">
      <c r="Z34885" t="str">
        <f t="shared" si="545"/>
        <v/>
      </c>
    </row>
    <row r="34886" spans="26:26" x14ac:dyDescent="0.2">
      <c r="Z34886" t="str">
        <f t="shared" si="545"/>
        <v/>
      </c>
    </row>
    <row r="34887" spans="26:26" x14ac:dyDescent="0.2">
      <c r="Z34887" t="str">
        <f t="shared" si="545"/>
        <v/>
      </c>
    </row>
    <row r="34888" spans="26:26" x14ac:dyDescent="0.2">
      <c r="Z34888" t="str">
        <f t="shared" si="545"/>
        <v/>
      </c>
    </row>
    <row r="34889" spans="26:26" x14ac:dyDescent="0.2">
      <c r="Z34889" t="str">
        <f t="shared" si="545"/>
        <v/>
      </c>
    </row>
    <row r="34890" spans="26:26" x14ac:dyDescent="0.2">
      <c r="Z34890" t="str">
        <f t="shared" si="545"/>
        <v/>
      </c>
    </row>
    <row r="34891" spans="26:26" x14ac:dyDescent="0.2">
      <c r="Z34891" t="str">
        <f t="shared" si="545"/>
        <v/>
      </c>
    </row>
    <row r="34892" spans="26:26" x14ac:dyDescent="0.2">
      <c r="Z34892" t="str">
        <f t="shared" si="545"/>
        <v/>
      </c>
    </row>
    <row r="34893" spans="26:26" x14ac:dyDescent="0.2">
      <c r="Z34893" t="str">
        <f t="shared" si="545"/>
        <v/>
      </c>
    </row>
    <row r="34894" spans="26:26" x14ac:dyDescent="0.2">
      <c r="Z34894" t="str">
        <f t="shared" si="545"/>
        <v/>
      </c>
    </row>
    <row r="34895" spans="26:26" x14ac:dyDescent="0.2">
      <c r="Z34895" t="str">
        <f t="shared" si="545"/>
        <v/>
      </c>
    </row>
    <row r="34896" spans="26:26" x14ac:dyDescent="0.2">
      <c r="Z34896" t="str">
        <f t="shared" si="545"/>
        <v/>
      </c>
    </row>
    <row r="34897" spans="26:26" x14ac:dyDescent="0.2">
      <c r="Z34897" t="str">
        <f t="shared" si="545"/>
        <v/>
      </c>
    </row>
    <row r="34898" spans="26:26" x14ac:dyDescent="0.2">
      <c r="Z34898" t="str">
        <f t="shared" si="545"/>
        <v/>
      </c>
    </row>
    <row r="34899" spans="26:26" x14ac:dyDescent="0.2">
      <c r="Z34899" t="str">
        <f t="shared" si="545"/>
        <v/>
      </c>
    </row>
    <row r="34900" spans="26:26" x14ac:dyDescent="0.2">
      <c r="Z34900" t="str">
        <f t="shared" si="545"/>
        <v/>
      </c>
    </row>
    <row r="34901" spans="26:26" x14ac:dyDescent="0.2">
      <c r="Z34901" t="str">
        <f t="shared" si="545"/>
        <v/>
      </c>
    </row>
    <row r="34902" spans="26:26" x14ac:dyDescent="0.2">
      <c r="Z34902" t="str">
        <f t="shared" si="545"/>
        <v/>
      </c>
    </row>
    <row r="34903" spans="26:26" x14ac:dyDescent="0.2">
      <c r="Z34903" t="str">
        <f t="shared" si="545"/>
        <v/>
      </c>
    </row>
    <row r="34904" spans="26:26" x14ac:dyDescent="0.2">
      <c r="Z34904" t="str">
        <f t="shared" si="545"/>
        <v/>
      </c>
    </row>
    <row r="34905" spans="26:26" x14ac:dyDescent="0.2">
      <c r="Z34905" t="str">
        <f t="shared" si="545"/>
        <v/>
      </c>
    </row>
    <row r="34906" spans="26:26" x14ac:dyDescent="0.2">
      <c r="Z34906" t="str">
        <f t="shared" si="545"/>
        <v/>
      </c>
    </row>
    <row r="34907" spans="26:26" x14ac:dyDescent="0.2">
      <c r="Z34907" t="str">
        <f t="shared" si="545"/>
        <v/>
      </c>
    </row>
    <row r="34908" spans="26:26" x14ac:dyDescent="0.2">
      <c r="Z34908" t="str">
        <f t="shared" si="545"/>
        <v/>
      </c>
    </row>
    <row r="34909" spans="26:26" x14ac:dyDescent="0.2">
      <c r="Z34909" t="str">
        <f t="shared" si="545"/>
        <v/>
      </c>
    </row>
    <row r="34910" spans="26:26" x14ac:dyDescent="0.2">
      <c r="Z34910" t="str">
        <f t="shared" si="545"/>
        <v/>
      </c>
    </row>
    <row r="34911" spans="26:26" x14ac:dyDescent="0.2">
      <c r="Z34911" t="str">
        <f t="shared" si="545"/>
        <v/>
      </c>
    </row>
    <row r="34912" spans="26:26" x14ac:dyDescent="0.2">
      <c r="Z34912" t="str">
        <f t="shared" si="545"/>
        <v/>
      </c>
    </row>
    <row r="34913" spans="26:26" x14ac:dyDescent="0.2">
      <c r="Z34913" t="str">
        <f t="shared" si="545"/>
        <v/>
      </c>
    </row>
    <row r="34914" spans="26:26" x14ac:dyDescent="0.2">
      <c r="Z34914" t="str">
        <f t="shared" si="545"/>
        <v/>
      </c>
    </row>
    <row r="34915" spans="26:26" x14ac:dyDescent="0.2">
      <c r="Z34915" t="str">
        <f t="shared" si="545"/>
        <v/>
      </c>
    </row>
    <row r="34916" spans="26:26" x14ac:dyDescent="0.2">
      <c r="Z34916" t="str">
        <f t="shared" si="545"/>
        <v/>
      </c>
    </row>
    <row r="34917" spans="26:26" x14ac:dyDescent="0.2">
      <c r="Z34917" t="str">
        <f t="shared" si="545"/>
        <v/>
      </c>
    </row>
    <row r="34918" spans="26:26" x14ac:dyDescent="0.2">
      <c r="Z34918" t="str">
        <f t="shared" si="545"/>
        <v/>
      </c>
    </row>
    <row r="34919" spans="26:26" x14ac:dyDescent="0.2">
      <c r="Z34919" t="str">
        <f t="shared" si="545"/>
        <v/>
      </c>
    </row>
    <row r="34920" spans="26:26" x14ac:dyDescent="0.2">
      <c r="Z34920" t="str">
        <f t="shared" si="545"/>
        <v/>
      </c>
    </row>
    <row r="34921" spans="26:26" x14ac:dyDescent="0.2">
      <c r="Z34921" t="str">
        <f t="shared" si="545"/>
        <v/>
      </c>
    </row>
    <row r="34922" spans="26:26" x14ac:dyDescent="0.2">
      <c r="Z34922" t="str">
        <f t="shared" si="545"/>
        <v/>
      </c>
    </row>
    <row r="34923" spans="26:26" x14ac:dyDescent="0.2">
      <c r="Z34923" t="str">
        <f t="shared" si="545"/>
        <v/>
      </c>
    </row>
    <row r="34924" spans="26:26" x14ac:dyDescent="0.2">
      <c r="Z34924" t="str">
        <f t="shared" si="545"/>
        <v/>
      </c>
    </row>
    <row r="34925" spans="26:26" x14ac:dyDescent="0.2">
      <c r="Z34925" t="str">
        <f t="shared" si="545"/>
        <v/>
      </c>
    </row>
    <row r="34926" spans="26:26" x14ac:dyDescent="0.2">
      <c r="Z34926" t="str">
        <f t="shared" si="545"/>
        <v/>
      </c>
    </row>
    <row r="34927" spans="26:26" x14ac:dyDescent="0.2">
      <c r="Z34927" t="str">
        <f t="shared" si="545"/>
        <v/>
      </c>
    </row>
    <row r="34928" spans="26:26" x14ac:dyDescent="0.2">
      <c r="Z34928" t="str">
        <f t="shared" si="545"/>
        <v/>
      </c>
    </row>
    <row r="34929" spans="26:26" x14ac:dyDescent="0.2">
      <c r="Z34929" t="str">
        <f t="shared" si="545"/>
        <v/>
      </c>
    </row>
    <row r="34930" spans="26:26" x14ac:dyDescent="0.2">
      <c r="Z34930" t="str">
        <f t="shared" si="545"/>
        <v/>
      </c>
    </row>
    <row r="34931" spans="26:26" x14ac:dyDescent="0.2">
      <c r="Z34931" t="str">
        <f t="shared" si="545"/>
        <v/>
      </c>
    </row>
    <row r="34932" spans="26:26" x14ac:dyDescent="0.2">
      <c r="Z34932" t="str">
        <f t="shared" si="545"/>
        <v/>
      </c>
    </row>
    <row r="34933" spans="26:26" x14ac:dyDescent="0.2">
      <c r="Z34933" t="str">
        <f t="shared" si="545"/>
        <v/>
      </c>
    </row>
    <row r="34934" spans="26:26" x14ac:dyDescent="0.2">
      <c r="Z34934" t="str">
        <f t="shared" si="545"/>
        <v/>
      </c>
    </row>
    <row r="34935" spans="26:26" x14ac:dyDescent="0.2">
      <c r="Z34935" t="str">
        <f t="shared" si="545"/>
        <v/>
      </c>
    </row>
    <row r="34936" spans="26:26" x14ac:dyDescent="0.2">
      <c r="Z34936" t="str">
        <f t="shared" si="545"/>
        <v/>
      </c>
    </row>
    <row r="34937" spans="26:26" x14ac:dyDescent="0.2">
      <c r="Z34937" t="str">
        <f t="shared" si="545"/>
        <v/>
      </c>
    </row>
    <row r="34938" spans="26:26" x14ac:dyDescent="0.2">
      <c r="Z34938" t="str">
        <f t="shared" si="545"/>
        <v/>
      </c>
    </row>
    <row r="34939" spans="26:26" x14ac:dyDescent="0.2">
      <c r="Z34939" t="str">
        <f t="shared" si="545"/>
        <v/>
      </c>
    </row>
    <row r="34940" spans="26:26" x14ac:dyDescent="0.2">
      <c r="Z34940" t="str">
        <f t="shared" si="545"/>
        <v/>
      </c>
    </row>
    <row r="34941" spans="26:26" x14ac:dyDescent="0.2">
      <c r="Z34941" t="str">
        <f t="shared" si="545"/>
        <v/>
      </c>
    </row>
    <row r="34942" spans="26:26" x14ac:dyDescent="0.2">
      <c r="Z34942" t="str">
        <f t="shared" si="545"/>
        <v/>
      </c>
    </row>
    <row r="34943" spans="26:26" x14ac:dyDescent="0.2">
      <c r="Z34943" t="str">
        <f t="shared" si="545"/>
        <v/>
      </c>
    </row>
    <row r="34944" spans="26:26" x14ac:dyDescent="0.2">
      <c r="Z34944" t="str">
        <f t="shared" si="545"/>
        <v/>
      </c>
    </row>
    <row r="34945" spans="26:26" x14ac:dyDescent="0.2">
      <c r="Z34945" t="str">
        <f t="shared" si="545"/>
        <v/>
      </c>
    </row>
    <row r="34946" spans="26:26" x14ac:dyDescent="0.2">
      <c r="Z34946" t="str">
        <f t="shared" si="545"/>
        <v/>
      </c>
    </row>
    <row r="34947" spans="26:26" x14ac:dyDescent="0.2">
      <c r="Z34947" t="str">
        <f t="shared" ref="Z34947:Z35010" si="546">IF(K34947="","",IFERROR(VALUE(TRIM(MID(K34947,FIND(CHAR(167),SUBSTITUTE(K34947,"-",CHAR(167),LEN(K34947)-LEN(SUBSTITUTE(K34947,"-",""))))+1,100))),K34947))</f>
        <v/>
      </c>
    </row>
    <row r="34948" spans="26:26" x14ac:dyDescent="0.2">
      <c r="Z34948" t="str">
        <f t="shared" si="546"/>
        <v/>
      </c>
    </row>
    <row r="34949" spans="26:26" x14ac:dyDescent="0.2">
      <c r="Z34949" t="str">
        <f t="shared" si="546"/>
        <v/>
      </c>
    </row>
    <row r="34950" spans="26:26" x14ac:dyDescent="0.2">
      <c r="Z34950" t="str">
        <f t="shared" si="546"/>
        <v/>
      </c>
    </row>
    <row r="34951" spans="26:26" x14ac:dyDescent="0.2">
      <c r="Z34951" t="str">
        <f t="shared" si="546"/>
        <v/>
      </c>
    </row>
    <row r="34952" spans="26:26" x14ac:dyDescent="0.2">
      <c r="Z34952" t="str">
        <f t="shared" si="546"/>
        <v/>
      </c>
    </row>
    <row r="34953" spans="26:26" x14ac:dyDescent="0.2">
      <c r="Z34953" t="str">
        <f t="shared" si="546"/>
        <v/>
      </c>
    </row>
    <row r="34954" spans="26:26" x14ac:dyDescent="0.2">
      <c r="Z34954" t="str">
        <f t="shared" si="546"/>
        <v/>
      </c>
    </row>
    <row r="34955" spans="26:26" x14ac:dyDescent="0.2">
      <c r="Z34955" t="str">
        <f t="shared" si="546"/>
        <v/>
      </c>
    </row>
    <row r="34956" spans="26:26" x14ac:dyDescent="0.2">
      <c r="Z34956" t="str">
        <f t="shared" si="546"/>
        <v/>
      </c>
    </row>
    <row r="34957" spans="26:26" x14ac:dyDescent="0.2">
      <c r="Z34957" t="str">
        <f t="shared" si="546"/>
        <v/>
      </c>
    </row>
    <row r="34958" spans="26:26" x14ac:dyDescent="0.2">
      <c r="Z34958" t="str">
        <f t="shared" si="546"/>
        <v/>
      </c>
    </row>
    <row r="34959" spans="26:26" x14ac:dyDescent="0.2">
      <c r="Z34959" t="str">
        <f t="shared" si="546"/>
        <v/>
      </c>
    </row>
    <row r="34960" spans="26:26" x14ac:dyDescent="0.2">
      <c r="Z34960" t="str">
        <f t="shared" si="546"/>
        <v/>
      </c>
    </row>
    <row r="34961" spans="26:26" x14ac:dyDescent="0.2">
      <c r="Z34961" t="str">
        <f t="shared" si="546"/>
        <v/>
      </c>
    </row>
    <row r="34962" spans="26:26" x14ac:dyDescent="0.2">
      <c r="Z34962" t="str">
        <f t="shared" si="546"/>
        <v/>
      </c>
    </row>
    <row r="34963" spans="26:26" x14ac:dyDescent="0.2">
      <c r="Z34963" t="str">
        <f t="shared" si="546"/>
        <v/>
      </c>
    </row>
    <row r="34964" spans="26:26" x14ac:dyDescent="0.2">
      <c r="Z34964" t="str">
        <f t="shared" si="546"/>
        <v/>
      </c>
    </row>
    <row r="34965" spans="26:26" x14ac:dyDescent="0.2">
      <c r="Z34965" t="str">
        <f t="shared" si="546"/>
        <v/>
      </c>
    </row>
    <row r="34966" spans="26:26" x14ac:dyDescent="0.2">
      <c r="Z34966" t="str">
        <f t="shared" si="546"/>
        <v/>
      </c>
    </row>
    <row r="34967" spans="26:26" x14ac:dyDescent="0.2">
      <c r="Z34967" t="str">
        <f t="shared" si="546"/>
        <v/>
      </c>
    </row>
    <row r="34968" spans="26:26" x14ac:dyDescent="0.2">
      <c r="Z34968" t="str">
        <f t="shared" si="546"/>
        <v/>
      </c>
    </row>
    <row r="34969" spans="26:26" x14ac:dyDescent="0.2">
      <c r="Z34969" t="str">
        <f t="shared" si="546"/>
        <v/>
      </c>
    </row>
    <row r="34970" spans="26:26" x14ac:dyDescent="0.2">
      <c r="Z34970" t="str">
        <f t="shared" si="546"/>
        <v/>
      </c>
    </row>
    <row r="34971" spans="26:26" x14ac:dyDescent="0.2">
      <c r="Z34971" t="str">
        <f t="shared" si="546"/>
        <v/>
      </c>
    </row>
    <row r="34972" spans="26:26" x14ac:dyDescent="0.2">
      <c r="Z34972" t="str">
        <f t="shared" si="546"/>
        <v/>
      </c>
    </row>
    <row r="34973" spans="26:26" x14ac:dyDescent="0.2">
      <c r="Z34973" t="str">
        <f t="shared" si="546"/>
        <v/>
      </c>
    </row>
    <row r="34974" spans="26:26" x14ac:dyDescent="0.2">
      <c r="Z34974" t="str">
        <f t="shared" si="546"/>
        <v/>
      </c>
    </row>
    <row r="34975" spans="26:26" x14ac:dyDescent="0.2">
      <c r="Z34975" t="str">
        <f t="shared" si="546"/>
        <v/>
      </c>
    </row>
    <row r="34976" spans="26:26" x14ac:dyDescent="0.2">
      <c r="Z34976" t="str">
        <f t="shared" si="546"/>
        <v/>
      </c>
    </row>
    <row r="34977" spans="26:26" x14ac:dyDescent="0.2">
      <c r="Z34977" t="str">
        <f t="shared" si="546"/>
        <v/>
      </c>
    </row>
    <row r="34978" spans="26:26" x14ac:dyDescent="0.2">
      <c r="Z34978" t="str">
        <f t="shared" si="546"/>
        <v/>
      </c>
    </row>
    <row r="34979" spans="26:26" x14ac:dyDescent="0.2">
      <c r="Z34979" t="str">
        <f t="shared" si="546"/>
        <v/>
      </c>
    </row>
    <row r="34980" spans="26:26" x14ac:dyDescent="0.2">
      <c r="Z34980" t="str">
        <f t="shared" si="546"/>
        <v/>
      </c>
    </row>
    <row r="34981" spans="26:26" x14ac:dyDescent="0.2">
      <c r="Z34981" t="str">
        <f t="shared" si="546"/>
        <v/>
      </c>
    </row>
    <row r="34982" spans="26:26" x14ac:dyDescent="0.2">
      <c r="Z34982" t="str">
        <f t="shared" si="546"/>
        <v/>
      </c>
    </row>
    <row r="34983" spans="26:26" x14ac:dyDescent="0.2">
      <c r="Z34983" t="str">
        <f t="shared" si="546"/>
        <v/>
      </c>
    </row>
    <row r="34984" spans="26:26" x14ac:dyDescent="0.2">
      <c r="Z34984" t="str">
        <f t="shared" si="546"/>
        <v/>
      </c>
    </row>
    <row r="34985" spans="26:26" x14ac:dyDescent="0.2">
      <c r="Z34985" t="str">
        <f t="shared" si="546"/>
        <v/>
      </c>
    </row>
    <row r="34986" spans="26:26" x14ac:dyDescent="0.2">
      <c r="Z34986" t="str">
        <f t="shared" si="546"/>
        <v/>
      </c>
    </row>
    <row r="34987" spans="26:26" x14ac:dyDescent="0.2">
      <c r="Z34987" t="str">
        <f t="shared" si="546"/>
        <v/>
      </c>
    </row>
    <row r="34988" spans="26:26" x14ac:dyDescent="0.2">
      <c r="Z34988" t="str">
        <f t="shared" si="546"/>
        <v/>
      </c>
    </row>
    <row r="34989" spans="26:26" x14ac:dyDescent="0.2">
      <c r="Z34989" t="str">
        <f t="shared" si="546"/>
        <v/>
      </c>
    </row>
    <row r="34990" spans="26:26" x14ac:dyDescent="0.2">
      <c r="Z34990" t="str">
        <f t="shared" si="546"/>
        <v/>
      </c>
    </row>
    <row r="34991" spans="26:26" x14ac:dyDescent="0.2">
      <c r="Z34991" t="str">
        <f t="shared" si="546"/>
        <v/>
      </c>
    </row>
    <row r="34992" spans="26:26" x14ac:dyDescent="0.2">
      <c r="Z34992" t="str">
        <f t="shared" si="546"/>
        <v/>
      </c>
    </row>
    <row r="34993" spans="26:26" x14ac:dyDescent="0.2">
      <c r="Z34993" t="str">
        <f t="shared" si="546"/>
        <v/>
      </c>
    </row>
    <row r="34994" spans="26:26" x14ac:dyDescent="0.2">
      <c r="Z34994" t="str">
        <f t="shared" si="546"/>
        <v/>
      </c>
    </row>
    <row r="34995" spans="26:26" x14ac:dyDescent="0.2">
      <c r="Z34995" t="str">
        <f t="shared" si="546"/>
        <v/>
      </c>
    </row>
    <row r="34996" spans="26:26" x14ac:dyDescent="0.2">
      <c r="Z34996" t="str">
        <f t="shared" si="546"/>
        <v/>
      </c>
    </row>
    <row r="34997" spans="26:26" x14ac:dyDescent="0.2">
      <c r="Z34997" t="str">
        <f t="shared" si="546"/>
        <v/>
      </c>
    </row>
    <row r="34998" spans="26:26" x14ac:dyDescent="0.2">
      <c r="Z34998" t="str">
        <f t="shared" si="546"/>
        <v/>
      </c>
    </row>
    <row r="34999" spans="26:26" x14ac:dyDescent="0.2">
      <c r="Z34999" t="str">
        <f t="shared" si="546"/>
        <v/>
      </c>
    </row>
    <row r="35000" spans="26:26" x14ac:dyDescent="0.2">
      <c r="Z35000" t="str">
        <f t="shared" si="546"/>
        <v/>
      </c>
    </row>
    <row r="35001" spans="26:26" x14ac:dyDescent="0.2">
      <c r="Z35001" t="str">
        <f t="shared" si="546"/>
        <v/>
      </c>
    </row>
    <row r="35002" spans="26:26" x14ac:dyDescent="0.2">
      <c r="Z35002" t="str">
        <f t="shared" si="546"/>
        <v/>
      </c>
    </row>
    <row r="35003" spans="26:26" x14ac:dyDescent="0.2">
      <c r="Z35003" t="str">
        <f t="shared" si="546"/>
        <v/>
      </c>
    </row>
    <row r="35004" spans="26:26" x14ac:dyDescent="0.2">
      <c r="Z35004" t="str">
        <f t="shared" si="546"/>
        <v/>
      </c>
    </row>
    <row r="35005" spans="26:26" x14ac:dyDescent="0.2">
      <c r="Z35005" t="str">
        <f t="shared" si="546"/>
        <v/>
      </c>
    </row>
    <row r="35006" spans="26:26" x14ac:dyDescent="0.2">
      <c r="Z35006" t="str">
        <f t="shared" si="546"/>
        <v/>
      </c>
    </row>
    <row r="35007" spans="26:26" x14ac:dyDescent="0.2">
      <c r="Z35007" t="str">
        <f t="shared" si="546"/>
        <v/>
      </c>
    </row>
    <row r="35008" spans="26:26" x14ac:dyDescent="0.2">
      <c r="Z35008" t="str">
        <f t="shared" si="546"/>
        <v/>
      </c>
    </row>
    <row r="35009" spans="26:26" x14ac:dyDescent="0.2">
      <c r="Z35009" t="str">
        <f t="shared" si="546"/>
        <v/>
      </c>
    </row>
    <row r="35010" spans="26:26" x14ac:dyDescent="0.2">
      <c r="Z35010" t="str">
        <f t="shared" si="546"/>
        <v/>
      </c>
    </row>
    <row r="35011" spans="26:26" x14ac:dyDescent="0.2">
      <c r="Z35011" t="str">
        <f t="shared" ref="Z35011:Z35074" si="547">IF(K35011="","",IFERROR(VALUE(TRIM(MID(K35011,FIND(CHAR(167),SUBSTITUTE(K35011,"-",CHAR(167),LEN(K35011)-LEN(SUBSTITUTE(K35011,"-",""))))+1,100))),K35011))</f>
        <v/>
      </c>
    </row>
    <row r="35012" spans="26:26" x14ac:dyDescent="0.2">
      <c r="Z35012" t="str">
        <f t="shared" si="547"/>
        <v/>
      </c>
    </row>
    <row r="35013" spans="26:26" x14ac:dyDescent="0.2">
      <c r="Z35013" t="str">
        <f t="shared" si="547"/>
        <v/>
      </c>
    </row>
    <row r="35014" spans="26:26" x14ac:dyDescent="0.2">
      <c r="Z35014" t="str">
        <f t="shared" si="547"/>
        <v/>
      </c>
    </row>
    <row r="35015" spans="26:26" x14ac:dyDescent="0.2">
      <c r="Z35015" t="str">
        <f t="shared" si="547"/>
        <v/>
      </c>
    </row>
    <row r="35016" spans="26:26" x14ac:dyDescent="0.2">
      <c r="Z35016" t="str">
        <f t="shared" si="547"/>
        <v/>
      </c>
    </row>
    <row r="35017" spans="26:26" x14ac:dyDescent="0.2">
      <c r="Z35017" t="str">
        <f t="shared" si="547"/>
        <v/>
      </c>
    </row>
    <row r="35018" spans="26:26" x14ac:dyDescent="0.2">
      <c r="Z35018" t="str">
        <f t="shared" si="547"/>
        <v/>
      </c>
    </row>
    <row r="35019" spans="26:26" x14ac:dyDescent="0.2">
      <c r="Z35019" t="str">
        <f t="shared" si="547"/>
        <v/>
      </c>
    </row>
    <row r="35020" spans="26:26" x14ac:dyDescent="0.2">
      <c r="Z35020" t="str">
        <f t="shared" si="547"/>
        <v/>
      </c>
    </row>
    <row r="35021" spans="26:26" x14ac:dyDescent="0.2">
      <c r="Z35021" t="str">
        <f t="shared" si="547"/>
        <v/>
      </c>
    </row>
    <row r="35022" spans="26:26" x14ac:dyDescent="0.2">
      <c r="Z35022" t="str">
        <f t="shared" si="547"/>
        <v/>
      </c>
    </row>
    <row r="35023" spans="26:26" x14ac:dyDescent="0.2">
      <c r="Z35023" t="str">
        <f t="shared" si="547"/>
        <v/>
      </c>
    </row>
    <row r="35024" spans="26:26" x14ac:dyDescent="0.2">
      <c r="Z35024" t="str">
        <f t="shared" si="547"/>
        <v/>
      </c>
    </row>
    <row r="35025" spans="26:26" x14ac:dyDescent="0.2">
      <c r="Z35025" t="str">
        <f t="shared" si="547"/>
        <v/>
      </c>
    </row>
    <row r="35026" spans="26:26" x14ac:dyDescent="0.2">
      <c r="Z35026" t="str">
        <f t="shared" si="547"/>
        <v/>
      </c>
    </row>
    <row r="35027" spans="26:26" x14ac:dyDescent="0.2">
      <c r="Z35027" t="str">
        <f t="shared" si="547"/>
        <v/>
      </c>
    </row>
    <row r="35028" spans="26:26" x14ac:dyDescent="0.2">
      <c r="Z35028" t="str">
        <f t="shared" si="547"/>
        <v/>
      </c>
    </row>
    <row r="35029" spans="26:26" x14ac:dyDescent="0.2">
      <c r="Z35029" t="str">
        <f t="shared" si="547"/>
        <v/>
      </c>
    </row>
    <row r="35030" spans="26:26" x14ac:dyDescent="0.2">
      <c r="Z35030" t="str">
        <f t="shared" si="547"/>
        <v/>
      </c>
    </row>
    <row r="35031" spans="26:26" x14ac:dyDescent="0.2">
      <c r="Z35031" t="str">
        <f t="shared" si="547"/>
        <v/>
      </c>
    </row>
    <row r="35032" spans="26:26" x14ac:dyDescent="0.2">
      <c r="Z35032" t="str">
        <f t="shared" si="547"/>
        <v/>
      </c>
    </row>
    <row r="35033" spans="26:26" x14ac:dyDescent="0.2">
      <c r="Z35033" t="str">
        <f t="shared" si="547"/>
        <v/>
      </c>
    </row>
    <row r="35034" spans="26:26" x14ac:dyDescent="0.2">
      <c r="Z35034" t="str">
        <f t="shared" si="547"/>
        <v/>
      </c>
    </row>
    <row r="35035" spans="26:26" x14ac:dyDescent="0.2">
      <c r="Z35035" t="str">
        <f t="shared" si="547"/>
        <v/>
      </c>
    </row>
    <row r="35036" spans="26:26" x14ac:dyDescent="0.2">
      <c r="Z35036" t="str">
        <f t="shared" si="547"/>
        <v/>
      </c>
    </row>
    <row r="35037" spans="26:26" x14ac:dyDescent="0.2">
      <c r="Z35037" t="str">
        <f t="shared" si="547"/>
        <v/>
      </c>
    </row>
    <row r="35038" spans="26:26" x14ac:dyDescent="0.2">
      <c r="Z35038" t="str">
        <f t="shared" si="547"/>
        <v/>
      </c>
    </row>
    <row r="35039" spans="26:26" x14ac:dyDescent="0.2">
      <c r="Z35039" t="str">
        <f t="shared" si="547"/>
        <v/>
      </c>
    </row>
    <row r="35040" spans="26:26" x14ac:dyDescent="0.2">
      <c r="Z35040" t="str">
        <f t="shared" si="547"/>
        <v/>
      </c>
    </row>
    <row r="35041" spans="26:26" x14ac:dyDescent="0.2">
      <c r="Z35041" t="str">
        <f t="shared" si="547"/>
        <v/>
      </c>
    </row>
    <row r="35042" spans="26:26" x14ac:dyDescent="0.2">
      <c r="Z35042" t="str">
        <f t="shared" si="547"/>
        <v/>
      </c>
    </row>
    <row r="35043" spans="26:26" x14ac:dyDescent="0.2">
      <c r="Z35043" t="str">
        <f t="shared" si="547"/>
        <v/>
      </c>
    </row>
    <row r="35044" spans="26:26" x14ac:dyDescent="0.2">
      <c r="Z35044" t="str">
        <f t="shared" si="547"/>
        <v/>
      </c>
    </row>
    <row r="35045" spans="26:26" x14ac:dyDescent="0.2">
      <c r="Z35045" t="str">
        <f t="shared" si="547"/>
        <v/>
      </c>
    </row>
    <row r="35046" spans="26:26" x14ac:dyDescent="0.2">
      <c r="Z35046" t="str">
        <f t="shared" si="547"/>
        <v/>
      </c>
    </row>
    <row r="35047" spans="26:26" x14ac:dyDescent="0.2">
      <c r="Z35047" t="str">
        <f t="shared" si="547"/>
        <v/>
      </c>
    </row>
    <row r="35048" spans="26:26" x14ac:dyDescent="0.2">
      <c r="Z35048" t="str">
        <f t="shared" si="547"/>
        <v/>
      </c>
    </row>
    <row r="35049" spans="26:26" x14ac:dyDescent="0.2">
      <c r="Z35049" t="str">
        <f t="shared" si="547"/>
        <v/>
      </c>
    </row>
    <row r="35050" spans="26:26" x14ac:dyDescent="0.2">
      <c r="Z35050" t="str">
        <f t="shared" si="547"/>
        <v/>
      </c>
    </row>
    <row r="35051" spans="26:26" x14ac:dyDescent="0.2">
      <c r="Z35051" t="str">
        <f t="shared" si="547"/>
        <v/>
      </c>
    </row>
    <row r="35052" spans="26:26" x14ac:dyDescent="0.2">
      <c r="Z35052" t="str">
        <f t="shared" si="547"/>
        <v/>
      </c>
    </row>
    <row r="35053" spans="26:26" x14ac:dyDescent="0.2">
      <c r="Z35053" t="str">
        <f t="shared" si="547"/>
        <v/>
      </c>
    </row>
    <row r="35054" spans="26:26" x14ac:dyDescent="0.2">
      <c r="Z35054" t="str">
        <f t="shared" si="547"/>
        <v/>
      </c>
    </row>
    <row r="35055" spans="26:26" x14ac:dyDescent="0.2">
      <c r="Z35055" t="str">
        <f t="shared" si="547"/>
        <v/>
      </c>
    </row>
    <row r="35056" spans="26:26" x14ac:dyDescent="0.2">
      <c r="Z35056" t="str">
        <f t="shared" si="547"/>
        <v/>
      </c>
    </row>
    <row r="35057" spans="26:26" x14ac:dyDescent="0.2">
      <c r="Z35057" t="str">
        <f t="shared" si="547"/>
        <v/>
      </c>
    </row>
    <row r="35058" spans="26:26" x14ac:dyDescent="0.2">
      <c r="Z35058" t="str">
        <f t="shared" si="547"/>
        <v/>
      </c>
    </row>
    <row r="35059" spans="26:26" x14ac:dyDescent="0.2">
      <c r="Z35059" t="str">
        <f t="shared" si="547"/>
        <v/>
      </c>
    </row>
    <row r="35060" spans="26:26" x14ac:dyDescent="0.2">
      <c r="Z35060" t="str">
        <f t="shared" si="547"/>
        <v/>
      </c>
    </row>
    <row r="35061" spans="26:26" x14ac:dyDescent="0.2">
      <c r="Z35061" t="str">
        <f t="shared" si="547"/>
        <v/>
      </c>
    </row>
    <row r="35062" spans="26:26" x14ac:dyDescent="0.2">
      <c r="Z35062" t="str">
        <f t="shared" si="547"/>
        <v/>
      </c>
    </row>
    <row r="35063" spans="26:26" x14ac:dyDescent="0.2">
      <c r="Z35063" t="str">
        <f t="shared" si="547"/>
        <v/>
      </c>
    </row>
    <row r="35064" spans="26:26" x14ac:dyDescent="0.2">
      <c r="Z35064" t="str">
        <f t="shared" si="547"/>
        <v/>
      </c>
    </row>
    <row r="35065" spans="26:26" x14ac:dyDescent="0.2">
      <c r="Z35065" t="str">
        <f t="shared" si="547"/>
        <v/>
      </c>
    </row>
    <row r="35066" spans="26:26" x14ac:dyDescent="0.2">
      <c r="Z35066" t="str">
        <f t="shared" si="547"/>
        <v/>
      </c>
    </row>
    <row r="35067" spans="26:26" x14ac:dyDescent="0.2">
      <c r="Z35067" t="str">
        <f t="shared" si="547"/>
        <v/>
      </c>
    </row>
    <row r="35068" spans="26:26" x14ac:dyDescent="0.2">
      <c r="Z35068" t="str">
        <f t="shared" si="547"/>
        <v/>
      </c>
    </row>
    <row r="35069" spans="26:26" x14ac:dyDescent="0.2">
      <c r="Z35069" t="str">
        <f t="shared" si="547"/>
        <v/>
      </c>
    </row>
    <row r="35070" spans="26:26" x14ac:dyDescent="0.2">
      <c r="Z35070" t="str">
        <f t="shared" si="547"/>
        <v/>
      </c>
    </row>
    <row r="35071" spans="26:26" x14ac:dyDescent="0.2">
      <c r="Z35071" t="str">
        <f t="shared" si="547"/>
        <v/>
      </c>
    </row>
    <row r="35072" spans="26:26" x14ac:dyDescent="0.2">
      <c r="Z35072" t="str">
        <f t="shared" si="547"/>
        <v/>
      </c>
    </row>
    <row r="35073" spans="26:26" x14ac:dyDescent="0.2">
      <c r="Z35073" t="str">
        <f t="shared" si="547"/>
        <v/>
      </c>
    </row>
    <row r="35074" spans="26:26" x14ac:dyDescent="0.2">
      <c r="Z35074" t="str">
        <f t="shared" si="547"/>
        <v/>
      </c>
    </row>
    <row r="35075" spans="26:26" x14ac:dyDescent="0.2">
      <c r="Z35075" t="str">
        <f t="shared" ref="Z35075:Z35138" si="548">IF(K35075="","",IFERROR(VALUE(TRIM(MID(K35075,FIND(CHAR(167),SUBSTITUTE(K35075,"-",CHAR(167),LEN(K35075)-LEN(SUBSTITUTE(K35075,"-",""))))+1,100))),K35075))</f>
        <v/>
      </c>
    </row>
    <row r="35076" spans="26:26" x14ac:dyDescent="0.2">
      <c r="Z35076" t="str">
        <f t="shared" si="548"/>
        <v/>
      </c>
    </row>
    <row r="35077" spans="26:26" x14ac:dyDescent="0.2">
      <c r="Z35077" t="str">
        <f t="shared" si="548"/>
        <v/>
      </c>
    </row>
    <row r="35078" spans="26:26" x14ac:dyDescent="0.2">
      <c r="Z35078" t="str">
        <f t="shared" si="548"/>
        <v/>
      </c>
    </row>
    <row r="35079" spans="26:26" x14ac:dyDescent="0.2">
      <c r="Z35079" t="str">
        <f t="shared" si="548"/>
        <v/>
      </c>
    </row>
    <row r="35080" spans="26:26" x14ac:dyDescent="0.2">
      <c r="Z35080" t="str">
        <f t="shared" si="548"/>
        <v/>
      </c>
    </row>
    <row r="35081" spans="26:26" x14ac:dyDescent="0.2">
      <c r="Z35081" t="str">
        <f t="shared" si="548"/>
        <v/>
      </c>
    </row>
    <row r="35082" spans="26:26" x14ac:dyDescent="0.2">
      <c r="Z35082" t="str">
        <f t="shared" si="548"/>
        <v/>
      </c>
    </row>
    <row r="35083" spans="26:26" x14ac:dyDescent="0.2">
      <c r="Z35083" t="str">
        <f t="shared" si="548"/>
        <v/>
      </c>
    </row>
    <row r="35084" spans="26:26" x14ac:dyDescent="0.2">
      <c r="Z35084" t="str">
        <f t="shared" si="548"/>
        <v/>
      </c>
    </row>
    <row r="35085" spans="26:26" x14ac:dyDescent="0.2">
      <c r="Z35085" t="str">
        <f t="shared" si="548"/>
        <v/>
      </c>
    </row>
    <row r="35086" spans="26:26" x14ac:dyDescent="0.2">
      <c r="Z35086" t="str">
        <f t="shared" si="548"/>
        <v/>
      </c>
    </row>
    <row r="35087" spans="26:26" x14ac:dyDescent="0.2">
      <c r="Z35087" t="str">
        <f t="shared" si="548"/>
        <v/>
      </c>
    </row>
    <row r="35088" spans="26:26" x14ac:dyDescent="0.2">
      <c r="Z35088" t="str">
        <f t="shared" si="548"/>
        <v/>
      </c>
    </row>
    <row r="35089" spans="26:26" x14ac:dyDescent="0.2">
      <c r="Z35089" t="str">
        <f t="shared" si="548"/>
        <v/>
      </c>
    </row>
    <row r="35090" spans="26:26" x14ac:dyDescent="0.2">
      <c r="Z35090" t="str">
        <f t="shared" si="548"/>
        <v/>
      </c>
    </row>
    <row r="35091" spans="26:26" x14ac:dyDescent="0.2">
      <c r="Z35091" t="str">
        <f t="shared" si="548"/>
        <v/>
      </c>
    </row>
    <row r="35092" spans="26:26" x14ac:dyDescent="0.2">
      <c r="Z35092" t="str">
        <f t="shared" si="548"/>
        <v/>
      </c>
    </row>
    <row r="35093" spans="26:26" x14ac:dyDescent="0.2">
      <c r="Z35093" t="str">
        <f t="shared" si="548"/>
        <v/>
      </c>
    </row>
    <row r="35094" spans="26:26" x14ac:dyDescent="0.2">
      <c r="Z35094" t="str">
        <f t="shared" si="548"/>
        <v/>
      </c>
    </row>
    <row r="35095" spans="26:26" x14ac:dyDescent="0.2">
      <c r="Z35095" t="str">
        <f t="shared" si="548"/>
        <v/>
      </c>
    </row>
    <row r="35096" spans="26:26" x14ac:dyDescent="0.2">
      <c r="Z35096" t="str">
        <f t="shared" si="548"/>
        <v/>
      </c>
    </row>
    <row r="35097" spans="26:26" x14ac:dyDescent="0.2">
      <c r="Z35097" t="str">
        <f t="shared" si="548"/>
        <v/>
      </c>
    </row>
    <row r="35098" spans="26:26" x14ac:dyDescent="0.2">
      <c r="Z35098" t="str">
        <f t="shared" si="548"/>
        <v/>
      </c>
    </row>
    <row r="35099" spans="26:26" x14ac:dyDescent="0.2">
      <c r="Z35099" t="str">
        <f t="shared" si="548"/>
        <v/>
      </c>
    </row>
    <row r="35100" spans="26:26" x14ac:dyDescent="0.2">
      <c r="Z35100" t="str">
        <f t="shared" si="548"/>
        <v/>
      </c>
    </row>
    <row r="35101" spans="26:26" x14ac:dyDescent="0.2">
      <c r="Z35101" t="str">
        <f t="shared" si="548"/>
        <v/>
      </c>
    </row>
    <row r="35102" spans="26:26" x14ac:dyDescent="0.2">
      <c r="Z35102" t="str">
        <f t="shared" si="548"/>
        <v/>
      </c>
    </row>
    <row r="35103" spans="26:26" x14ac:dyDescent="0.2">
      <c r="Z35103" t="str">
        <f t="shared" si="548"/>
        <v/>
      </c>
    </row>
    <row r="35104" spans="26:26" x14ac:dyDescent="0.2">
      <c r="Z35104" t="str">
        <f t="shared" si="548"/>
        <v/>
      </c>
    </row>
    <row r="35105" spans="26:26" x14ac:dyDescent="0.2">
      <c r="Z35105" t="str">
        <f t="shared" si="548"/>
        <v/>
      </c>
    </row>
    <row r="35106" spans="26:26" x14ac:dyDescent="0.2">
      <c r="Z35106" t="str">
        <f t="shared" si="548"/>
        <v/>
      </c>
    </row>
    <row r="35107" spans="26:26" x14ac:dyDescent="0.2">
      <c r="Z35107" t="str">
        <f t="shared" si="548"/>
        <v/>
      </c>
    </row>
    <row r="35108" spans="26:26" x14ac:dyDescent="0.2">
      <c r="Z35108" t="str">
        <f t="shared" si="548"/>
        <v/>
      </c>
    </row>
    <row r="35109" spans="26:26" x14ac:dyDescent="0.2">
      <c r="Z35109" t="str">
        <f t="shared" si="548"/>
        <v/>
      </c>
    </row>
    <row r="35110" spans="26:26" x14ac:dyDescent="0.2">
      <c r="Z35110" t="str">
        <f t="shared" si="548"/>
        <v/>
      </c>
    </row>
    <row r="35111" spans="26:26" x14ac:dyDescent="0.2">
      <c r="Z35111" t="str">
        <f t="shared" si="548"/>
        <v/>
      </c>
    </row>
    <row r="35112" spans="26:26" x14ac:dyDescent="0.2">
      <c r="Z35112" t="str">
        <f t="shared" si="548"/>
        <v/>
      </c>
    </row>
    <row r="35113" spans="26:26" x14ac:dyDescent="0.2">
      <c r="Z35113" t="str">
        <f t="shared" si="548"/>
        <v/>
      </c>
    </row>
    <row r="35114" spans="26:26" x14ac:dyDescent="0.2">
      <c r="Z35114" t="str">
        <f t="shared" si="548"/>
        <v/>
      </c>
    </row>
    <row r="35115" spans="26:26" x14ac:dyDescent="0.2">
      <c r="Z35115" t="str">
        <f t="shared" si="548"/>
        <v/>
      </c>
    </row>
    <row r="35116" spans="26:26" x14ac:dyDescent="0.2">
      <c r="Z35116" t="str">
        <f t="shared" si="548"/>
        <v/>
      </c>
    </row>
    <row r="35117" spans="26:26" x14ac:dyDescent="0.2">
      <c r="Z35117" t="str">
        <f t="shared" si="548"/>
        <v/>
      </c>
    </row>
    <row r="35118" spans="26:26" x14ac:dyDescent="0.2">
      <c r="Z35118" t="str">
        <f t="shared" si="548"/>
        <v/>
      </c>
    </row>
    <row r="35119" spans="26:26" x14ac:dyDescent="0.2">
      <c r="Z35119" t="str">
        <f t="shared" si="548"/>
        <v/>
      </c>
    </row>
    <row r="35120" spans="26:26" x14ac:dyDescent="0.2">
      <c r="Z35120" t="str">
        <f t="shared" si="548"/>
        <v/>
      </c>
    </row>
    <row r="35121" spans="26:26" x14ac:dyDescent="0.2">
      <c r="Z35121" t="str">
        <f t="shared" si="548"/>
        <v/>
      </c>
    </row>
    <row r="35122" spans="26:26" x14ac:dyDescent="0.2">
      <c r="Z35122" t="str">
        <f t="shared" si="548"/>
        <v/>
      </c>
    </row>
    <row r="35123" spans="26:26" x14ac:dyDescent="0.2">
      <c r="Z35123" t="str">
        <f t="shared" si="548"/>
        <v/>
      </c>
    </row>
    <row r="35124" spans="26:26" x14ac:dyDescent="0.2">
      <c r="Z35124" t="str">
        <f t="shared" si="548"/>
        <v/>
      </c>
    </row>
    <row r="35125" spans="26:26" x14ac:dyDescent="0.2">
      <c r="Z35125" t="str">
        <f t="shared" si="548"/>
        <v/>
      </c>
    </row>
    <row r="35126" spans="26:26" x14ac:dyDescent="0.2">
      <c r="Z35126" t="str">
        <f t="shared" si="548"/>
        <v/>
      </c>
    </row>
    <row r="35127" spans="26:26" x14ac:dyDescent="0.2">
      <c r="Z35127" t="str">
        <f t="shared" si="548"/>
        <v/>
      </c>
    </row>
    <row r="35128" spans="26:26" x14ac:dyDescent="0.2">
      <c r="Z35128" t="str">
        <f t="shared" si="548"/>
        <v/>
      </c>
    </row>
    <row r="35129" spans="26:26" x14ac:dyDescent="0.2">
      <c r="Z35129" t="str">
        <f t="shared" si="548"/>
        <v/>
      </c>
    </row>
    <row r="35130" spans="26:26" x14ac:dyDescent="0.2">
      <c r="Z35130" t="str">
        <f t="shared" si="548"/>
        <v/>
      </c>
    </row>
    <row r="35131" spans="26:26" x14ac:dyDescent="0.2">
      <c r="Z35131" t="str">
        <f t="shared" si="548"/>
        <v/>
      </c>
    </row>
    <row r="35132" spans="26:26" x14ac:dyDescent="0.2">
      <c r="Z35132" t="str">
        <f t="shared" si="548"/>
        <v/>
      </c>
    </row>
    <row r="35133" spans="26:26" x14ac:dyDescent="0.2">
      <c r="Z35133" t="str">
        <f t="shared" si="548"/>
        <v/>
      </c>
    </row>
    <row r="35134" spans="26:26" x14ac:dyDescent="0.2">
      <c r="Z35134" t="str">
        <f t="shared" si="548"/>
        <v/>
      </c>
    </row>
    <row r="35135" spans="26:26" x14ac:dyDescent="0.2">
      <c r="Z35135" t="str">
        <f t="shared" si="548"/>
        <v/>
      </c>
    </row>
    <row r="35136" spans="26:26" x14ac:dyDescent="0.2">
      <c r="Z35136" t="str">
        <f t="shared" si="548"/>
        <v/>
      </c>
    </row>
    <row r="35137" spans="26:26" x14ac:dyDescent="0.2">
      <c r="Z35137" t="str">
        <f t="shared" si="548"/>
        <v/>
      </c>
    </row>
    <row r="35138" spans="26:26" x14ac:dyDescent="0.2">
      <c r="Z35138" t="str">
        <f t="shared" si="548"/>
        <v/>
      </c>
    </row>
    <row r="35139" spans="26:26" x14ac:dyDescent="0.2">
      <c r="Z35139" t="str">
        <f t="shared" ref="Z35139:Z35202" si="549">IF(K35139="","",IFERROR(VALUE(TRIM(MID(K35139,FIND(CHAR(167),SUBSTITUTE(K35139,"-",CHAR(167),LEN(K35139)-LEN(SUBSTITUTE(K35139,"-",""))))+1,100))),K35139))</f>
        <v/>
      </c>
    </row>
    <row r="35140" spans="26:26" x14ac:dyDescent="0.2">
      <c r="Z35140" t="str">
        <f t="shared" si="549"/>
        <v/>
      </c>
    </row>
    <row r="35141" spans="26:26" x14ac:dyDescent="0.2">
      <c r="Z35141" t="str">
        <f t="shared" si="549"/>
        <v/>
      </c>
    </row>
    <row r="35142" spans="26:26" x14ac:dyDescent="0.2">
      <c r="Z35142" t="str">
        <f t="shared" si="549"/>
        <v/>
      </c>
    </row>
    <row r="35143" spans="26:26" x14ac:dyDescent="0.2">
      <c r="Z35143" t="str">
        <f t="shared" si="549"/>
        <v/>
      </c>
    </row>
    <row r="35144" spans="26:26" x14ac:dyDescent="0.2">
      <c r="Z35144" t="str">
        <f t="shared" si="549"/>
        <v/>
      </c>
    </row>
    <row r="35145" spans="26:26" x14ac:dyDescent="0.2">
      <c r="Z35145" t="str">
        <f t="shared" si="549"/>
        <v/>
      </c>
    </row>
    <row r="35146" spans="26:26" x14ac:dyDescent="0.2">
      <c r="Z35146" t="str">
        <f t="shared" si="549"/>
        <v/>
      </c>
    </row>
    <row r="35147" spans="26:26" x14ac:dyDescent="0.2">
      <c r="Z35147" t="str">
        <f t="shared" si="549"/>
        <v/>
      </c>
    </row>
    <row r="35148" spans="26:26" x14ac:dyDescent="0.2">
      <c r="Z35148" t="str">
        <f t="shared" si="549"/>
        <v/>
      </c>
    </row>
    <row r="35149" spans="26:26" x14ac:dyDescent="0.2">
      <c r="Z35149" t="str">
        <f t="shared" si="549"/>
        <v/>
      </c>
    </row>
    <row r="35150" spans="26:26" x14ac:dyDescent="0.2">
      <c r="Z35150" t="str">
        <f t="shared" si="549"/>
        <v/>
      </c>
    </row>
    <row r="35151" spans="26:26" x14ac:dyDescent="0.2">
      <c r="Z35151" t="str">
        <f t="shared" si="549"/>
        <v/>
      </c>
    </row>
    <row r="35152" spans="26:26" x14ac:dyDescent="0.2">
      <c r="Z35152" t="str">
        <f t="shared" si="549"/>
        <v/>
      </c>
    </row>
    <row r="35153" spans="26:26" x14ac:dyDescent="0.2">
      <c r="Z35153" t="str">
        <f t="shared" si="549"/>
        <v/>
      </c>
    </row>
    <row r="35154" spans="26:26" x14ac:dyDescent="0.2">
      <c r="Z35154" t="str">
        <f t="shared" si="549"/>
        <v/>
      </c>
    </row>
    <row r="35155" spans="26:26" x14ac:dyDescent="0.2">
      <c r="Z35155" t="str">
        <f t="shared" si="549"/>
        <v/>
      </c>
    </row>
    <row r="35156" spans="26:26" x14ac:dyDescent="0.2">
      <c r="Z35156" t="str">
        <f t="shared" si="549"/>
        <v/>
      </c>
    </row>
    <row r="35157" spans="26:26" x14ac:dyDescent="0.2">
      <c r="Z35157" t="str">
        <f t="shared" si="549"/>
        <v/>
      </c>
    </row>
    <row r="35158" spans="26:26" x14ac:dyDescent="0.2">
      <c r="Z35158" t="str">
        <f t="shared" si="549"/>
        <v/>
      </c>
    </row>
    <row r="35159" spans="26:26" x14ac:dyDescent="0.2">
      <c r="Z35159" t="str">
        <f t="shared" si="549"/>
        <v/>
      </c>
    </row>
    <row r="35160" spans="26:26" x14ac:dyDescent="0.2">
      <c r="Z35160" t="str">
        <f t="shared" si="549"/>
        <v/>
      </c>
    </row>
    <row r="35161" spans="26:26" x14ac:dyDescent="0.2">
      <c r="Z35161" t="str">
        <f t="shared" si="549"/>
        <v/>
      </c>
    </row>
    <row r="35162" spans="26:26" x14ac:dyDescent="0.2">
      <c r="Z35162" t="str">
        <f t="shared" si="549"/>
        <v/>
      </c>
    </row>
    <row r="35163" spans="26:26" x14ac:dyDescent="0.2">
      <c r="Z35163" t="str">
        <f t="shared" si="549"/>
        <v/>
      </c>
    </row>
    <row r="35164" spans="26:26" x14ac:dyDescent="0.2">
      <c r="Z35164" t="str">
        <f t="shared" si="549"/>
        <v/>
      </c>
    </row>
    <row r="35165" spans="26:26" x14ac:dyDescent="0.2">
      <c r="Z35165" t="str">
        <f t="shared" si="549"/>
        <v/>
      </c>
    </row>
    <row r="35166" spans="26:26" x14ac:dyDescent="0.2">
      <c r="Z35166" t="str">
        <f t="shared" si="549"/>
        <v/>
      </c>
    </row>
    <row r="35167" spans="26:26" x14ac:dyDescent="0.2">
      <c r="Z35167" t="str">
        <f t="shared" si="549"/>
        <v/>
      </c>
    </row>
    <row r="35168" spans="26:26" x14ac:dyDescent="0.2">
      <c r="Z35168" t="str">
        <f t="shared" si="549"/>
        <v/>
      </c>
    </row>
    <row r="35169" spans="26:26" x14ac:dyDescent="0.2">
      <c r="Z35169" t="str">
        <f t="shared" si="549"/>
        <v/>
      </c>
    </row>
    <row r="35170" spans="26:26" x14ac:dyDescent="0.2">
      <c r="Z35170" t="str">
        <f t="shared" si="549"/>
        <v/>
      </c>
    </row>
    <row r="35171" spans="26:26" x14ac:dyDescent="0.2">
      <c r="Z35171" t="str">
        <f t="shared" si="549"/>
        <v/>
      </c>
    </row>
    <row r="35172" spans="26:26" x14ac:dyDescent="0.2">
      <c r="Z35172" t="str">
        <f t="shared" si="549"/>
        <v/>
      </c>
    </row>
    <row r="35173" spans="26:26" x14ac:dyDescent="0.2">
      <c r="Z35173" t="str">
        <f t="shared" si="549"/>
        <v/>
      </c>
    </row>
    <row r="35174" spans="26:26" x14ac:dyDescent="0.2">
      <c r="Z35174" t="str">
        <f t="shared" si="549"/>
        <v/>
      </c>
    </row>
    <row r="35175" spans="26:26" x14ac:dyDescent="0.2">
      <c r="Z35175" t="str">
        <f t="shared" si="549"/>
        <v/>
      </c>
    </row>
    <row r="35176" spans="26:26" x14ac:dyDescent="0.2">
      <c r="Z35176" t="str">
        <f t="shared" si="549"/>
        <v/>
      </c>
    </row>
    <row r="35177" spans="26:26" x14ac:dyDescent="0.2">
      <c r="Z35177" t="str">
        <f t="shared" si="549"/>
        <v/>
      </c>
    </row>
    <row r="35178" spans="26:26" x14ac:dyDescent="0.2">
      <c r="Z35178" t="str">
        <f t="shared" si="549"/>
        <v/>
      </c>
    </row>
    <row r="35179" spans="26:26" x14ac:dyDescent="0.2">
      <c r="Z35179" t="str">
        <f t="shared" si="549"/>
        <v/>
      </c>
    </row>
    <row r="35180" spans="26:26" x14ac:dyDescent="0.2">
      <c r="Z35180" t="str">
        <f t="shared" si="549"/>
        <v/>
      </c>
    </row>
    <row r="35181" spans="26:26" x14ac:dyDescent="0.2">
      <c r="Z35181" t="str">
        <f t="shared" si="549"/>
        <v/>
      </c>
    </row>
    <row r="35182" spans="26:26" x14ac:dyDescent="0.2">
      <c r="Z35182" t="str">
        <f t="shared" si="549"/>
        <v/>
      </c>
    </row>
    <row r="35183" spans="26:26" x14ac:dyDescent="0.2">
      <c r="Z35183" t="str">
        <f t="shared" si="549"/>
        <v/>
      </c>
    </row>
    <row r="35184" spans="26:26" x14ac:dyDescent="0.2">
      <c r="Z35184" t="str">
        <f t="shared" si="549"/>
        <v/>
      </c>
    </row>
    <row r="35185" spans="26:26" x14ac:dyDescent="0.2">
      <c r="Z35185" t="str">
        <f t="shared" si="549"/>
        <v/>
      </c>
    </row>
    <row r="35186" spans="26:26" x14ac:dyDescent="0.2">
      <c r="Z35186" t="str">
        <f t="shared" si="549"/>
        <v/>
      </c>
    </row>
    <row r="35187" spans="26:26" x14ac:dyDescent="0.2">
      <c r="Z35187" t="str">
        <f t="shared" si="549"/>
        <v/>
      </c>
    </row>
    <row r="35188" spans="26:26" x14ac:dyDescent="0.2">
      <c r="Z35188" t="str">
        <f t="shared" si="549"/>
        <v/>
      </c>
    </row>
    <row r="35189" spans="26:26" x14ac:dyDescent="0.2">
      <c r="Z35189" t="str">
        <f t="shared" si="549"/>
        <v/>
      </c>
    </row>
    <row r="35190" spans="26:26" x14ac:dyDescent="0.2">
      <c r="Z35190" t="str">
        <f t="shared" si="549"/>
        <v/>
      </c>
    </row>
    <row r="35191" spans="26:26" x14ac:dyDescent="0.2">
      <c r="Z35191" t="str">
        <f t="shared" si="549"/>
        <v/>
      </c>
    </row>
    <row r="35192" spans="26:26" x14ac:dyDescent="0.2">
      <c r="Z35192" t="str">
        <f t="shared" si="549"/>
        <v/>
      </c>
    </row>
    <row r="35193" spans="26:26" x14ac:dyDescent="0.2">
      <c r="Z35193" t="str">
        <f t="shared" si="549"/>
        <v/>
      </c>
    </row>
    <row r="35194" spans="26:26" x14ac:dyDescent="0.2">
      <c r="Z35194" t="str">
        <f t="shared" si="549"/>
        <v/>
      </c>
    </row>
    <row r="35195" spans="26:26" x14ac:dyDescent="0.2">
      <c r="Z35195" t="str">
        <f t="shared" si="549"/>
        <v/>
      </c>
    </row>
    <row r="35196" spans="26:26" x14ac:dyDescent="0.2">
      <c r="Z35196" t="str">
        <f t="shared" si="549"/>
        <v/>
      </c>
    </row>
    <row r="35197" spans="26:26" x14ac:dyDescent="0.2">
      <c r="Z35197" t="str">
        <f t="shared" si="549"/>
        <v/>
      </c>
    </row>
    <row r="35198" spans="26:26" x14ac:dyDescent="0.2">
      <c r="Z35198" t="str">
        <f t="shared" si="549"/>
        <v/>
      </c>
    </row>
    <row r="35199" spans="26:26" x14ac:dyDescent="0.2">
      <c r="Z35199" t="str">
        <f t="shared" si="549"/>
        <v/>
      </c>
    </row>
    <row r="35200" spans="26:26" x14ac:dyDescent="0.2">
      <c r="Z35200" t="str">
        <f t="shared" si="549"/>
        <v/>
      </c>
    </row>
    <row r="35201" spans="26:26" x14ac:dyDescent="0.2">
      <c r="Z35201" t="str">
        <f t="shared" si="549"/>
        <v/>
      </c>
    </row>
    <row r="35202" spans="26:26" x14ac:dyDescent="0.2">
      <c r="Z35202" t="str">
        <f t="shared" si="549"/>
        <v/>
      </c>
    </row>
    <row r="35203" spans="26:26" x14ac:dyDescent="0.2">
      <c r="Z35203" t="str">
        <f t="shared" ref="Z35203:Z35266" si="550">IF(K35203="","",IFERROR(VALUE(TRIM(MID(K35203,FIND(CHAR(167),SUBSTITUTE(K35203,"-",CHAR(167),LEN(K35203)-LEN(SUBSTITUTE(K35203,"-",""))))+1,100))),K35203))</f>
        <v/>
      </c>
    </row>
    <row r="35204" spans="26:26" x14ac:dyDescent="0.2">
      <c r="Z35204" t="str">
        <f t="shared" si="550"/>
        <v/>
      </c>
    </row>
    <row r="35205" spans="26:26" x14ac:dyDescent="0.2">
      <c r="Z35205" t="str">
        <f t="shared" si="550"/>
        <v/>
      </c>
    </row>
    <row r="35206" spans="26:26" x14ac:dyDescent="0.2">
      <c r="Z35206" t="str">
        <f t="shared" si="550"/>
        <v/>
      </c>
    </row>
    <row r="35207" spans="26:26" x14ac:dyDescent="0.2">
      <c r="Z35207" t="str">
        <f t="shared" si="550"/>
        <v/>
      </c>
    </row>
    <row r="35208" spans="26:26" x14ac:dyDescent="0.2">
      <c r="Z35208" t="str">
        <f t="shared" si="550"/>
        <v/>
      </c>
    </row>
    <row r="35209" spans="26:26" x14ac:dyDescent="0.2">
      <c r="Z35209" t="str">
        <f t="shared" si="550"/>
        <v/>
      </c>
    </row>
    <row r="35210" spans="26:26" x14ac:dyDescent="0.2">
      <c r="Z35210" t="str">
        <f t="shared" si="550"/>
        <v/>
      </c>
    </row>
    <row r="35211" spans="26:26" x14ac:dyDescent="0.2">
      <c r="Z35211" t="str">
        <f t="shared" si="550"/>
        <v/>
      </c>
    </row>
    <row r="35212" spans="26:26" x14ac:dyDescent="0.2">
      <c r="Z35212" t="str">
        <f t="shared" si="550"/>
        <v/>
      </c>
    </row>
    <row r="35213" spans="26:26" x14ac:dyDescent="0.2">
      <c r="Z35213" t="str">
        <f t="shared" si="550"/>
        <v/>
      </c>
    </row>
    <row r="35214" spans="26:26" x14ac:dyDescent="0.2">
      <c r="Z35214" t="str">
        <f t="shared" si="550"/>
        <v/>
      </c>
    </row>
    <row r="35215" spans="26:26" x14ac:dyDescent="0.2">
      <c r="Z35215" t="str">
        <f t="shared" si="550"/>
        <v/>
      </c>
    </row>
    <row r="35216" spans="26:26" x14ac:dyDescent="0.2">
      <c r="Z35216" t="str">
        <f t="shared" si="550"/>
        <v/>
      </c>
    </row>
    <row r="35217" spans="26:26" x14ac:dyDescent="0.2">
      <c r="Z35217" t="str">
        <f t="shared" si="550"/>
        <v/>
      </c>
    </row>
    <row r="35218" spans="26:26" x14ac:dyDescent="0.2">
      <c r="Z35218" t="str">
        <f t="shared" si="550"/>
        <v/>
      </c>
    </row>
    <row r="35219" spans="26:26" x14ac:dyDescent="0.2">
      <c r="Z35219" t="str">
        <f t="shared" si="550"/>
        <v/>
      </c>
    </row>
    <row r="35220" spans="26:26" x14ac:dyDescent="0.2">
      <c r="Z35220" t="str">
        <f t="shared" si="550"/>
        <v/>
      </c>
    </row>
    <row r="35221" spans="26:26" x14ac:dyDescent="0.2">
      <c r="Z35221" t="str">
        <f t="shared" si="550"/>
        <v/>
      </c>
    </row>
    <row r="35222" spans="26:26" x14ac:dyDescent="0.2">
      <c r="Z35222" t="str">
        <f t="shared" si="550"/>
        <v/>
      </c>
    </row>
    <row r="35223" spans="26:26" x14ac:dyDescent="0.2">
      <c r="Z35223" t="str">
        <f t="shared" si="550"/>
        <v/>
      </c>
    </row>
    <row r="35224" spans="26:26" x14ac:dyDescent="0.2">
      <c r="Z35224" t="str">
        <f t="shared" si="550"/>
        <v/>
      </c>
    </row>
    <row r="35225" spans="26:26" x14ac:dyDescent="0.2">
      <c r="Z35225" t="str">
        <f t="shared" si="550"/>
        <v/>
      </c>
    </row>
    <row r="35226" spans="26:26" x14ac:dyDescent="0.2">
      <c r="Z35226" t="str">
        <f t="shared" si="550"/>
        <v/>
      </c>
    </row>
    <row r="35227" spans="26:26" x14ac:dyDescent="0.2">
      <c r="Z35227" t="str">
        <f t="shared" si="550"/>
        <v/>
      </c>
    </row>
    <row r="35228" spans="26:26" x14ac:dyDescent="0.2">
      <c r="Z35228" t="str">
        <f t="shared" si="550"/>
        <v/>
      </c>
    </row>
    <row r="35229" spans="26:26" x14ac:dyDescent="0.2">
      <c r="Z35229" t="str">
        <f t="shared" si="550"/>
        <v/>
      </c>
    </row>
    <row r="35230" spans="26:26" x14ac:dyDescent="0.2">
      <c r="Z35230" t="str">
        <f t="shared" si="550"/>
        <v/>
      </c>
    </row>
    <row r="35231" spans="26:26" x14ac:dyDescent="0.2">
      <c r="Z35231" t="str">
        <f t="shared" si="550"/>
        <v/>
      </c>
    </row>
    <row r="35232" spans="26:26" x14ac:dyDescent="0.2">
      <c r="Z35232" t="str">
        <f t="shared" si="550"/>
        <v/>
      </c>
    </row>
    <row r="35233" spans="26:26" x14ac:dyDescent="0.2">
      <c r="Z35233" t="str">
        <f t="shared" si="550"/>
        <v/>
      </c>
    </row>
    <row r="35234" spans="26:26" x14ac:dyDescent="0.2">
      <c r="Z35234" t="str">
        <f t="shared" si="550"/>
        <v/>
      </c>
    </row>
    <row r="35235" spans="26:26" x14ac:dyDescent="0.2">
      <c r="Z35235" t="str">
        <f t="shared" si="550"/>
        <v/>
      </c>
    </row>
    <row r="35236" spans="26:26" x14ac:dyDescent="0.2">
      <c r="Z35236" t="str">
        <f t="shared" si="550"/>
        <v/>
      </c>
    </row>
    <row r="35237" spans="26:26" x14ac:dyDescent="0.2">
      <c r="Z35237" t="str">
        <f t="shared" si="550"/>
        <v/>
      </c>
    </row>
    <row r="35238" spans="26:26" x14ac:dyDescent="0.2">
      <c r="Z35238" t="str">
        <f t="shared" si="550"/>
        <v/>
      </c>
    </row>
    <row r="35239" spans="26:26" x14ac:dyDescent="0.2">
      <c r="Z35239" t="str">
        <f t="shared" si="550"/>
        <v/>
      </c>
    </row>
    <row r="35240" spans="26:26" x14ac:dyDescent="0.2">
      <c r="Z35240" t="str">
        <f t="shared" si="550"/>
        <v/>
      </c>
    </row>
    <row r="35241" spans="26:26" x14ac:dyDescent="0.2">
      <c r="Z35241" t="str">
        <f t="shared" si="550"/>
        <v/>
      </c>
    </row>
    <row r="35242" spans="26:26" x14ac:dyDescent="0.2">
      <c r="Z35242" t="str">
        <f t="shared" si="550"/>
        <v/>
      </c>
    </row>
    <row r="35243" spans="26:26" x14ac:dyDescent="0.2">
      <c r="Z35243" t="str">
        <f t="shared" si="550"/>
        <v/>
      </c>
    </row>
    <row r="35244" spans="26:26" x14ac:dyDescent="0.2">
      <c r="Z35244" t="str">
        <f t="shared" si="550"/>
        <v/>
      </c>
    </row>
    <row r="35245" spans="26:26" x14ac:dyDescent="0.2">
      <c r="Z35245" t="str">
        <f t="shared" si="550"/>
        <v/>
      </c>
    </row>
    <row r="35246" spans="26:26" x14ac:dyDescent="0.2">
      <c r="Z35246" t="str">
        <f t="shared" si="550"/>
        <v/>
      </c>
    </row>
    <row r="35247" spans="26:26" x14ac:dyDescent="0.2">
      <c r="Z35247" t="str">
        <f t="shared" si="550"/>
        <v/>
      </c>
    </row>
    <row r="35248" spans="26:26" x14ac:dyDescent="0.2">
      <c r="Z35248" t="str">
        <f t="shared" si="550"/>
        <v/>
      </c>
    </row>
    <row r="35249" spans="26:26" x14ac:dyDescent="0.2">
      <c r="Z35249" t="str">
        <f t="shared" si="550"/>
        <v/>
      </c>
    </row>
    <row r="35250" spans="26:26" x14ac:dyDescent="0.2">
      <c r="Z35250" t="str">
        <f t="shared" si="550"/>
        <v/>
      </c>
    </row>
    <row r="35251" spans="26:26" x14ac:dyDescent="0.2">
      <c r="Z35251" t="str">
        <f t="shared" si="550"/>
        <v/>
      </c>
    </row>
    <row r="35252" spans="26:26" x14ac:dyDescent="0.2">
      <c r="Z35252" t="str">
        <f t="shared" si="550"/>
        <v/>
      </c>
    </row>
    <row r="35253" spans="26:26" x14ac:dyDescent="0.2">
      <c r="Z35253" t="str">
        <f t="shared" si="550"/>
        <v/>
      </c>
    </row>
    <row r="35254" spans="26:26" x14ac:dyDescent="0.2">
      <c r="Z35254" t="str">
        <f t="shared" si="550"/>
        <v/>
      </c>
    </row>
    <row r="35255" spans="26:26" x14ac:dyDescent="0.2">
      <c r="Z35255" t="str">
        <f t="shared" si="550"/>
        <v/>
      </c>
    </row>
    <row r="35256" spans="26:26" x14ac:dyDescent="0.2">
      <c r="Z35256" t="str">
        <f t="shared" si="550"/>
        <v/>
      </c>
    </row>
    <row r="35257" spans="26:26" x14ac:dyDescent="0.2">
      <c r="Z35257" t="str">
        <f t="shared" si="550"/>
        <v/>
      </c>
    </row>
    <row r="35258" spans="26:26" x14ac:dyDescent="0.2">
      <c r="Z35258" t="str">
        <f t="shared" si="550"/>
        <v/>
      </c>
    </row>
    <row r="35259" spans="26:26" x14ac:dyDescent="0.2">
      <c r="Z35259" t="str">
        <f t="shared" si="550"/>
        <v/>
      </c>
    </row>
    <row r="35260" spans="26:26" x14ac:dyDescent="0.2">
      <c r="Z35260" t="str">
        <f t="shared" si="550"/>
        <v/>
      </c>
    </row>
    <row r="35261" spans="26:26" x14ac:dyDescent="0.2">
      <c r="Z35261" t="str">
        <f t="shared" si="550"/>
        <v/>
      </c>
    </row>
    <row r="35262" spans="26:26" x14ac:dyDescent="0.2">
      <c r="Z35262" t="str">
        <f t="shared" si="550"/>
        <v/>
      </c>
    </row>
    <row r="35263" spans="26:26" x14ac:dyDescent="0.2">
      <c r="Z35263" t="str">
        <f t="shared" si="550"/>
        <v/>
      </c>
    </row>
    <row r="35264" spans="26:26" x14ac:dyDescent="0.2">
      <c r="Z35264" t="str">
        <f t="shared" si="550"/>
        <v/>
      </c>
    </row>
    <row r="35265" spans="26:26" x14ac:dyDescent="0.2">
      <c r="Z35265" t="str">
        <f t="shared" si="550"/>
        <v/>
      </c>
    </row>
    <row r="35266" spans="26:26" x14ac:dyDescent="0.2">
      <c r="Z35266" t="str">
        <f t="shared" si="550"/>
        <v/>
      </c>
    </row>
    <row r="35267" spans="26:26" x14ac:dyDescent="0.2">
      <c r="Z35267" t="str">
        <f t="shared" ref="Z35267:Z35330" si="551">IF(K35267="","",IFERROR(VALUE(TRIM(MID(K35267,FIND(CHAR(167),SUBSTITUTE(K35267,"-",CHAR(167),LEN(K35267)-LEN(SUBSTITUTE(K35267,"-",""))))+1,100))),K35267))</f>
        <v/>
      </c>
    </row>
    <row r="35268" spans="26:26" x14ac:dyDescent="0.2">
      <c r="Z35268" t="str">
        <f t="shared" si="551"/>
        <v/>
      </c>
    </row>
    <row r="35269" spans="26:26" x14ac:dyDescent="0.2">
      <c r="Z35269" t="str">
        <f t="shared" si="551"/>
        <v/>
      </c>
    </row>
    <row r="35270" spans="26:26" x14ac:dyDescent="0.2">
      <c r="Z35270" t="str">
        <f t="shared" si="551"/>
        <v/>
      </c>
    </row>
    <row r="35271" spans="26:26" x14ac:dyDescent="0.2">
      <c r="Z35271" t="str">
        <f t="shared" si="551"/>
        <v/>
      </c>
    </row>
    <row r="35272" spans="26:26" x14ac:dyDescent="0.2">
      <c r="Z35272" t="str">
        <f t="shared" si="551"/>
        <v/>
      </c>
    </row>
    <row r="35273" spans="26:26" x14ac:dyDescent="0.2">
      <c r="Z35273" t="str">
        <f t="shared" si="551"/>
        <v/>
      </c>
    </row>
    <row r="35274" spans="26:26" x14ac:dyDescent="0.2">
      <c r="Z35274" t="str">
        <f t="shared" si="551"/>
        <v/>
      </c>
    </row>
    <row r="35275" spans="26:26" x14ac:dyDescent="0.2">
      <c r="Z35275" t="str">
        <f t="shared" si="551"/>
        <v/>
      </c>
    </row>
    <row r="35276" spans="26:26" x14ac:dyDescent="0.2">
      <c r="Z35276" t="str">
        <f t="shared" si="551"/>
        <v/>
      </c>
    </row>
    <row r="35277" spans="26:26" x14ac:dyDescent="0.2">
      <c r="Z35277" t="str">
        <f t="shared" si="551"/>
        <v/>
      </c>
    </row>
    <row r="35278" spans="26:26" x14ac:dyDescent="0.2">
      <c r="Z35278" t="str">
        <f t="shared" si="551"/>
        <v/>
      </c>
    </row>
    <row r="35279" spans="26:26" x14ac:dyDescent="0.2">
      <c r="Z35279" t="str">
        <f t="shared" si="551"/>
        <v/>
      </c>
    </row>
    <row r="35280" spans="26:26" x14ac:dyDescent="0.2">
      <c r="Z35280" t="str">
        <f t="shared" si="551"/>
        <v/>
      </c>
    </row>
    <row r="35281" spans="26:26" x14ac:dyDescent="0.2">
      <c r="Z35281" t="str">
        <f t="shared" si="551"/>
        <v/>
      </c>
    </row>
    <row r="35282" spans="26:26" x14ac:dyDescent="0.2">
      <c r="Z35282" t="str">
        <f t="shared" si="551"/>
        <v/>
      </c>
    </row>
    <row r="35283" spans="26:26" x14ac:dyDescent="0.2">
      <c r="Z35283" t="str">
        <f t="shared" si="551"/>
        <v/>
      </c>
    </row>
    <row r="35284" spans="26:26" x14ac:dyDescent="0.2">
      <c r="Z35284" t="str">
        <f t="shared" si="551"/>
        <v/>
      </c>
    </row>
    <row r="35285" spans="26:26" x14ac:dyDescent="0.2">
      <c r="Z35285" t="str">
        <f t="shared" si="551"/>
        <v/>
      </c>
    </row>
    <row r="35286" spans="26:26" x14ac:dyDescent="0.2">
      <c r="Z35286" t="str">
        <f t="shared" si="551"/>
        <v/>
      </c>
    </row>
    <row r="35287" spans="26:26" x14ac:dyDescent="0.2">
      <c r="Z35287" t="str">
        <f t="shared" si="551"/>
        <v/>
      </c>
    </row>
    <row r="35288" spans="26:26" x14ac:dyDescent="0.2">
      <c r="Z35288" t="str">
        <f t="shared" si="551"/>
        <v/>
      </c>
    </row>
    <row r="35289" spans="26:26" x14ac:dyDescent="0.2">
      <c r="Z35289" t="str">
        <f t="shared" si="551"/>
        <v/>
      </c>
    </row>
    <row r="35290" spans="26:26" x14ac:dyDescent="0.2">
      <c r="Z35290" t="str">
        <f t="shared" si="551"/>
        <v/>
      </c>
    </row>
    <row r="35291" spans="26:26" x14ac:dyDescent="0.2">
      <c r="Z35291" t="str">
        <f t="shared" si="551"/>
        <v/>
      </c>
    </row>
    <row r="35292" spans="26:26" x14ac:dyDescent="0.2">
      <c r="Z35292" t="str">
        <f t="shared" si="551"/>
        <v/>
      </c>
    </row>
    <row r="35293" spans="26:26" x14ac:dyDescent="0.2">
      <c r="Z35293" t="str">
        <f t="shared" si="551"/>
        <v/>
      </c>
    </row>
    <row r="35294" spans="26:26" x14ac:dyDescent="0.2">
      <c r="Z35294" t="str">
        <f t="shared" si="551"/>
        <v/>
      </c>
    </row>
    <row r="35295" spans="26:26" x14ac:dyDescent="0.2">
      <c r="Z35295" t="str">
        <f t="shared" si="551"/>
        <v/>
      </c>
    </row>
    <row r="35296" spans="26:26" x14ac:dyDescent="0.2">
      <c r="Z35296" t="str">
        <f t="shared" si="551"/>
        <v/>
      </c>
    </row>
    <row r="35297" spans="26:26" x14ac:dyDescent="0.2">
      <c r="Z35297" t="str">
        <f t="shared" si="551"/>
        <v/>
      </c>
    </row>
    <row r="35298" spans="26:26" x14ac:dyDescent="0.2">
      <c r="Z35298" t="str">
        <f t="shared" si="551"/>
        <v/>
      </c>
    </row>
    <row r="35299" spans="26:26" x14ac:dyDescent="0.2">
      <c r="Z35299" t="str">
        <f t="shared" si="551"/>
        <v/>
      </c>
    </row>
    <row r="35300" spans="26:26" x14ac:dyDescent="0.2">
      <c r="Z35300" t="str">
        <f t="shared" si="551"/>
        <v/>
      </c>
    </row>
    <row r="35301" spans="26:26" x14ac:dyDescent="0.2">
      <c r="Z35301" t="str">
        <f t="shared" si="551"/>
        <v/>
      </c>
    </row>
    <row r="35302" spans="26:26" x14ac:dyDescent="0.2">
      <c r="Z35302" t="str">
        <f t="shared" si="551"/>
        <v/>
      </c>
    </row>
    <row r="35303" spans="26:26" x14ac:dyDescent="0.2">
      <c r="Z35303" t="str">
        <f t="shared" si="551"/>
        <v/>
      </c>
    </row>
    <row r="35304" spans="26:26" x14ac:dyDescent="0.2">
      <c r="Z35304" t="str">
        <f t="shared" si="551"/>
        <v/>
      </c>
    </row>
    <row r="35305" spans="26:26" x14ac:dyDescent="0.2">
      <c r="Z35305" t="str">
        <f t="shared" si="551"/>
        <v/>
      </c>
    </row>
    <row r="35306" spans="26:26" x14ac:dyDescent="0.2">
      <c r="Z35306" t="str">
        <f t="shared" si="551"/>
        <v/>
      </c>
    </row>
    <row r="35307" spans="26:26" x14ac:dyDescent="0.2">
      <c r="Z35307" t="str">
        <f t="shared" si="551"/>
        <v/>
      </c>
    </row>
    <row r="35308" spans="26:26" x14ac:dyDescent="0.2">
      <c r="Z35308" t="str">
        <f t="shared" si="551"/>
        <v/>
      </c>
    </row>
    <row r="35309" spans="26:26" x14ac:dyDescent="0.2">
      <c r="Z35309" t="str">
        <f t="shared" si="551"/>
        <v/>
      </c>
    </row>
    <row r="35310" spans="26:26" x14ac:dyDescent="0.2">
      <c r="Z35310" t="str">
        <f t="shared" si="551"/>
        <v/>
      </c>
    </row>
    <row r="35311" spans="26:26" x14ac:dyDescent="0.2">
      <c r="Z35311" t="str">
        <f t="shared" si="551"/>
        <v/>
      </c>
    </row>
    <row r="35312" spans="26:26" x14ac:dyDescent="0.2">
      <c r="Z35312" t="str">
        <f t="shared" si="551"/>
        <v/>
      </c>
    </row>
    <row r="35313" spans="26:26" x14ac:dyDescent="0.2">
      <c r="Z35313" t="str">
        <f t="shared" si="551"/>
        <v/>
      </c>
    </row>
    <row r="35314" spans="26:26" x14ac:dyDescent="0.2">
      <c r="Z35314" t="str">
        <f t="shared" si="551"/>
        <v/>
      </c>
    </row>
    <row r="35315" spans="26:26" x14ac:dyDescent="0.2">
      <c r="Z35315" t="str">
        <f t="shared" si="551"/>
        <v/>
      </c>
    </row>
    <row r="35316" spans="26:26" x14ac:dyDescent="0.2">
      <c r="Z35316" t="str">
        <f t="shared" si="551"/>
        <v/>
      </c>
    </row>
    <row r="35317" spans="26:26" x14ac:dyDescent="0.2">
      <c r="Z35317" t="str">
        <f t="shared" si="551"/>
        <v/>
      </c>
    </row>
    <row r="35318" spans="26:26" x14ac:dyDescent="0.2">
      <c r="Z35318" t="str">
        <f t="shared" si="551"/>
        <v/>
      </c>
    </row>
    <row r="35319" spans="26:26" x14ac:dyDescent="0.2">
      <c r="Z35319" t="str">
        <f t="shared" si="551"/>
        <v/>
      </c>
    </row>
    <row r="35320" spans="26:26" x14ac:dyDescent="0.2">
      <c r="Z35320" t="str">
        <f t="shared" si="551"/>
        <v/>
      </c>
    </row>
    <row r="35321" spans="26:26" x14ac:dyDescent="0.2">
      <c r="Z35321" t="str">
        <f t="shared" si="551"/>
        <v/>
      </c>
    </row>
    <row r="35322" spans="26:26" x14ac:dyDescent="0.2">
      <c r="Z35322" t="str">
        <f t="shared" si="551"/>
        <v/>
      </c>
    </row>
    <row r="35323" spans="26:26" x14ac:dyDescent="0.2">
      <c r="Z35323" t="str">
        <f t="shared" si="551"/>
        <v/>
      </c>
    </row>
    <row r="35324" spans="26:26" x14ac:dyDescent="0.2">
      <c r="Z35324" t="str">
        <f t="shared" si="551"/>
        <v/>
      </c>
    </row>
    <row r="35325" spans="26:26" x14ac:dyDescent="0.2">
      <c r="Z35325" t="str">
        <f t="shared" si="551"/>
        <v/>
      </c>
    </row>
    <row r="35326" spans="26:26" x14ac:dyDescent="0.2">
      <c r="Z35326" t="str">
        <f t="shared" si="551"/>
        <v/>
      </c>
    </row>
    <row r="35327" spans="26:26" x14ac:dyDescent="0.2">
      <c r="Z35327" t="str">
        <f t="shared" si="551"/>
        <v/>
      </c>
    </row>
    <row r="35328" spans="26:26" x14ac:dyDescent="0.2">
      <c r="Z35328" t="str">
        <f t="shared" si="551"/>
        <v/>
      </c>
    </row>
    <row r="35329" spans="26:26" x14ac:dyDescent="0.2">
      <c r="Z35329" t="str">
        <f t="shared" si="551"/>
        <v/>
      </c>
    </row>
    <row r="35330" spans="26:26" x14ac:dyDescent="0.2">
      <c r="Z35330" t="str">
        <f t="shared" si="551"/>
        <v/>
      </c>
    </row>
    <row r="35331" spans="26:26" x14ac:dyDescent="0.2">
      <c r="Z35331" t="str">
        <f t="shared" ref="Z35331:Z35394" si="552">IF(K35331="","",IFERROR(VALUE(TRIM(MID(K35331,FIND(CHAR(167),SUBSTITUTE(K35331,"-",CHAR(167),LEN(K35331)-LEN(SUBSTITUTE(K35331,"-",""))))+1,100))),K35331))</f>
        <v/>
      </c>
    </row>
    <row r="35332" spans="26:26" x14ac:dyDescent="0.2">
      <c r="Z35332" t="str">
        <f t="shared" si="552"/>
        <v/>
      </c>
    </row>
    <row r="35333" spans="26:26" x14ac:dyDescent="0.2">
      <c r="Z35333" t="str">
        <f t="shared" si="552"/>
        <v/>
      </c>
    </row>
    <row r="35334" spans="26:26" x14ac:dyDescent="0.2">
      <c r="Z35334" t="str">
        <f t="shared" si="552"/>
        <v/>
      </c>
    </row>
    <row r="35335" spans="26:26" x14ac:dyDescent="0.2">
      <c r="Z35335" t="str">
        <f t="shared" si="552"/>
        <v/>
      </c>
    </row>
    <row r="35336" spans="26:26" x14ac:dyDescent="0.2">
      <c r="Z35336" t="str">
        <f t="shared" si="552"/>
        <v/>
      </c>
    </row>
    <row r="35337" spans="26:26" x14ac:dyDescent="0.2">
      <c r="Z35337" t="str">
        <f t="shared" si="552"/>
        <v/>
      </c>
    </row>
    <row r="35338" spans="26:26" x14ac:dyDescent="0.2">
      <c r="Z35338" t="str">
        <f t="shared" si="552"/>
        <v/>
      </c>
    </row>
    <row r="35339" spans="26:26" x14ac:dyDescent="0.2">
      <c r="Z35339" t="str">
        <f t="shared" si="552"/>
        <v/>
      </c>
    </row>
    <row r="35340" spans="26:26" x14ac:dyDescent="0.2">
      <c r="Z35340" t="str">
        <f t="shared" si="552"/>
        <v/>
      </c>
    </row>
    <row r="35341" spans="26:26" x14ac:dyDescent="0.2">
      <c r="Z35341" t="str">
        <f t="shared" si="552"/>
        <v/>
      </c>
    </row>
    <row r="35342" spans="26:26" x14ac:dyDescent="0.2">
      <c r="Z35342" t="str">
        <f t="shared" si="552"/>
        <v/>
      </c>
    </row>
    <row r="35343" spans="26:26" x14ac:dyDescent="0.2">
      <c r="Z35343" t="str">
        <f t="shared" si="552"/>
        <v/>
      </c>
    </row>
    <row r="35344" spans="26:26" x14ac:dyDescent="0.2">
      <c r="Z35344" t="str">
        <f t="shared" si="552"/>
        <v/>
      </c>
    </row>
    <row r="35345" spans="26:26" x14ac:dyDescent="0.2">
      <c r="Z35345" t="str">
        <f t="shared" si="552"/>
        <v/>
      </c>
    </row>
    <row r="35346" spans="26:26" x14ac:dyDescent="0.2">
      <c r="Z35346" t="str">
        <f t="shared" si="552"/>
        <v/>
      </c>
    </row>
    <row r="35347" spans="26:26" x14ac:dyDescent="0.2">
      <c r="Z35347" t="str">
        <f t="shared" si="552"/>
        <v/>
      </c>
    </row>
    <row r="35348" spans="26:26" x14ac:dyDescent="0.2">
      <c r="Z35348" t="str">
        <f t="shared" si="552"/>
        <v/>
      </c>
    </row>
    <row r="35349" spans="26:26" x14ac:dyDescent="0.2">
      <c r="Z35349" t="str">
        <f t="shared" si="552"/>
        <v/>
      </c>
    </row>
    <row r="35350" spans="26:26" x14ac:dyDescent="0.2">
      <c r="Z35350" t="str">
        <f t="shared" si="552"/>
        <v/>
      </c>
    </row>
    <row r="35351" spans="26:26" x14ac:dyDescent="0.2">
      <c r="Z35351" t="str">
        <f t="shared" si="552"/>
        <v/>
      </c>
    </row>
    <row r="35352" spans="26:26" x14ac:dyDescent="0.2">
      <c r="Z35352" t="str">
        <f t="shared" si="552"/>
        <v/>
      </c>
    </row>
    <row r="35353" spans="26:26" x14ac:dyDescent="0.2">
      <c r="Z35353" t="str">
        <f t="shared" si="552"/>
        <v/>
      </c>
    </row>
    <row r="35354" spans="26:26" x14ac:dyDescent="0.2">
      <c r="Z35354" t="str">
        <f t="shared" si="552"/>
        <v/>
      </c>
    </row>
    <row r="35355" spans="26:26" x14ac:dyDescent="0.2">
      <c r="Z35355" t="str">
        <f t="shared" si="552"/>
        <v/>
      </c>
    </row>
    <row r="35356" spans="26:26" x14ac:dyDescent="0.2">
      <c r="Z35356" t="str">
        <f t="shared" si="552"/>
        <v/>
      </c>
    </row>
    <row r="35357" spans="26:26" x14ac:dyDescent="0.2">
      <c r="Z35357" t="str">
        <f t="shared" si="552"/>
        <v/>
      </c>
    </row>
    <row r="35358" spans="26:26" x14ac:dyDescent="0.2">
      <c r="Z35358" t="str">
        <f t="shared" si="552"/>
        <v/>
      </c>
    </row>
    <row r="35359" spans="26:26" x14ac:dyDescent="0.2">
      <c r="Z35359" t="str">
        <f t="shared" si="552"/>
        <v/>
      </c>
    </row>
    <row r="35360" spans="26:26" x14ac:dyDescent="0.2">
      <c r="Z35360" t="str">
        <f t="shared" si="552"/>
        <v/>
      </c>
    </row>
    <row r="35361" spans="26:26" x14ac:dyDescent="0.2">
      <c r="Z35361" t="str">
        <f t="shared" si="552"/>
        <v/>
      </c>
    </row>
    <row r="35362" spans="26:26" x14ac:dyDescent="0.2">
      <c r="Z35362" t="str">
        <f t="shared" si="552"/>
        <v/>
      </c>
    </row>
    <row r="35363" spans="26:26" x14ac:dyDescent="0.2">
      <c r="Z35363" t="str">
        <f t="shared" si="552"/>
        <v/>
      </c>
    </row>
    <row r="35364" spans="26:26" x14ac:dyDescent="0.2">
      <c r="Z35364" t="str">
        <f t="shared" si="552"/>
        <v/>
      </c>
    </row>
    <row r="35365" spans="26:26" x14ac:dyDescent="0.2">
      <c r="Z35365" t="str">
        <f t="shared" si="552"/>
        <v/>
      </c>
    </row>
    <row r="35366" spans="26:26" x14ac:dyDescent="0.2">
      <c r="Z35366" t="str">
        <f t="shared" si="552"/>
        <v/>
      </c>
    </row>
    <row r="35367" spans="26:26" x14ac:dyDescent="0.2">
      <c r="Z35367" t="str">
        <f t="shared" si="552"/>
        <v/>
      </c>
    </row>
    <row r="35368" spans="26:26" x14ac:dyDescent="0.2">
      <c r="Z35368" t="str">
        <f t="shared" si="552"/>
        <v/>
      </c>
    </row>
    <row r="35369" spans="26:26" x14ac:dyDescent="0.2">
      <c r="Z35369" t="str">
        <f t="shared" si="552"/>
        <v/>
      </c>
    </row>
    <row r="35370" spans="26:26" x14ac:dyDescent="0.2">
      <c r="Z35370" t="str">
        <f t="shared" si="552"/>
        <v/>
      </c>
    </row>
    <row r="35371" spans="26:26" x14ac:dyDescent="0.2">
      <c r="Z35371" t="str">
        <f t="shared" si="552"/>
        <v/>
      </c>
    </row>
    <row r="35372" spans="26:26" x14ac:dyDescent="0.2">
      <c r="Z35372" t="str">
        <f t="shared" si="552"/>
        <v/>
      </c>
    </row>
    <row r="35373" spans="26:26" x14ac:dyDescent="0.2">
      <c r="Z35373" t="str">
        <f t="shared" si="552"/>
        <v/>
      </c>
    </row>
    <row r="35374" spans="26:26" x14ac:dyDescent="0.2">
      <c r="Z35374" t="str">
        <f t="shared" si="552"/>
        <v/>
      </c>
    </row>
    <row r="35375" spans="26:26" x14ac:dyDescent="0.2">
      <c r="Z35375" t="str">
        <f t="shared" si="552"/>
        <v/>
      </c>
    </row>
    <row r="35376" spans="26:26" x14ac:dyDescent="0.2">
      <c r="Z35376" t="str">
        <f t="shared" si="552"/>
        <v/>
      </c>
    </row>
    <row r="35377" spans="26:26" x14ac:dyDescent="0.2">
      <c r="Z35377" t="str">
        <f t="shared" si="552"/>
        <v/>
      </c>
    </row>
    <row r="35378" spans="26:26" x14ac:dyDescent="0.2">
      <c r="Z35378" t="str">
        <f t="shared" si="552"/>
        <v/>
      </c>
    </row>
    <row r="35379" spans="26:26" x14ac:dyDescent="0.2">
      <c r="Z35379" t="str">
        <f t="shared" si="552"/>
        <v/>
      </c>
    </row>
    <row r="35380" spans="26:26" x14ac:dyDescent="0.2">
      <c r="Z35380" t="str">
        <f t="shared" si="552"/>
        <v/>
      </c>
    </row>
    <row r="35381" spans="26:26" x14ac:dyDescent="0.2">
      <c r="Z35381" t="str">
        <f t="shared" si="552"/>
        <v/>
      </c>
    </row>
    <row r="35382" spans="26:26" x14ac:dyDescent="0.2">
      <c r="Z35382" t="str">
        <f t="shared" si="552"/>
        <v/>
      </c>
    </row>
    <row r="35383" spans="26:26" x14ac:dyDescent="0.2">
      <c r="Z35383" t="str">
        <f t="shared" si="552"/>
        <v/>
      </c>
    </row>
    <row r="35384" spans="26:26" x14ac:dyDescent="0.2">
      <c r="Z35384" t="str">
        <f t="shared" si="552"/>
        <v/>
      </c>
    </row>
    <row r="35385" spans="26:26" x14ac:dyDescent="0.2">
      <c r="Z35385" t="str">
        <f t="shared" si="552"/>
        <v/>
      </c>
    </row>
    <row r="35386" spans="26:26" x14ac:dyDescent="0.2">
      <c r="Z35386" t="str">
        <f t="shared" si="552"/>
        <v/>
      </c>
    </row>
    <row r="35387" spans="26:26" x14ac:dyDescent="0.2">
      <c r="Z35387" t="str">
        <f t="shared" si="552"/>
        <v/>
      </c>
    </row>
    <row r="35388" spans="26:26" x14ac:dyDescent="0.2">
      <c r="Z35388" t="str">
        <f t="shared" si="552"/>
        <v/>
      </c>
    </row>
    <row r="35389" spans="26:26" x14ac:dyDescent="0.2">
      <c r="Z35389" t="str">
        <f t="shared" si="552"/>
        <v/>
      </c>
    </row>
    <row r="35390" spans="26:26" x14ac:dyDescent="0.2">
      <c r="Z35390" t="str">
        <f t="shared" si="552"/>
        <v/>
      </c>
    </row>
    <row r="35391" spans="26:26" x14ac:dyDescent="0.2">
      <c r="Z35391" t="str">
        <f t="shared" si="552"/>
        <v/>
      </c>
    </row>
    <row r="35392" spans="26:26" x14ac:dyDescent="0.2">
      <c r="Z35392" t="str">
        <f t="shared" si="552"/>
        <v/>
      </c>
    </row>
    <row r="35393" spans="26:26" x14ac:dyDescent="0.2">
      <c r="Z35393" t="str">
        <f t="shared" si="552"/>
        <v/>
      </c>
    </row>
    <row r="35394" spans="26:26" x14ac:dyDescent="0.2">
      <c r="Z35394" t="str">
        <f t="shared" si="552"/>
        <v/>
      </c>
    </row>
    <row r="35395" spans="26:26" x14ac:dyDescent="0.2">
      <c r="Z35395" t="str">
        <f t="shared" ref="Z35395:Z35458" si="553">IF(K35395="","",IFERROR(VALUE(TRIM(MID(K35395,FIND(CHAR(167),SUBSTITUTE(K35395,"-",CHAR(167),LEN(K35395)-LEN(SUBSTITUTE(K35395,"-",""))))+1,100))),K35395))</f>
        <v/>
      </c>
    </row>
    <row r="35396" spans="26:26" x14ac:dyDescent="0.2">
      <c r="Z35396" t="str">
        <f t="shared" si="553"/>
        <v/>
      </c>
    </row>
    <row r="35397" spans="26:26" x14ac:dyDescent="0.2">
      <c r="Z35397" t="str">
        <f t="shared" si="553"/>
        <v/>
      </c>
    </row>
    <row r="35398" spans="26:26" x14ac:dyDescent="0.2">
      <c r="Z35398" t="str">
        <f t="shared" si="553"/>
        <v/>
      </c>
    </row>
    <row r="35399" spans="26:26" x14ac:dyDescent="0.2">
      <c r="Z35399" t="str">
        <f t="shared" si="553"/>
        <v/>
      </c>
    </row>
    <row r="35400" spans="26:26" x14ac:dyDescent="0.2">
      <c r="Z35400" t="str">
        <f t="shared" si="553"/>
        <v/>
      </c>
    </row>
    <row r="35401" spans="26:26" x14ac:dyDescent="0.2">
      <c r="Z35401" t="str">
        <f t="shared" si="553"/>
        <v/>
      </c>
    </row>
    <row r="35402" spans="26:26" x14ac:dyDescent="0.2">
      <c r="Z35402" t="str">
        <f t="shared" si="553"/>
        <v/>
      </c>
    </row>
    <row r="35403" spans="26:26" x14ac:dyDescent="0.2">
      <c r="Z35403" t="str">
        <f t="shared" si="553"/>
        <v/>
      </c>
    </row>
    <row r="35404" spans="26:26" x14ac:dyDescent="0.2">
      <c r="Z35404" t="str">
        <f t="shared" si="553"/>
        <v/>
      </c>
    </row>
    <row r="35405" spans="26:26" x14ac:dyDescent="0.2">
      <c r="Z35405" t="str">
        <f t="shared" si="553"/>
        <v/>
      </c>
    </row>
    <row r="35406" spans="26:26" x14ac:dyDescent="0.2">
      <c r="Z35406" t="str">
        <f t="shared" si="553"/>
        <v/>
      </c>
    </row>
    <row r="35407" spans="26:26" x14ac:dyDescent="0.2">
      <c r="Z35407" t="str">
        <f t="shared" si="553"/>
        <v/>
      </c>
    </row>
    <row r="35408" spans="26:26" x14ac:dyDescent="0.2">
      <c r="Z35408" t="str">
        <f t="shared" si="553"/>
        <v/>
      </c>
    </row>
    <row r="35409" spans="26:26" x14ac:dyDescent="0.2">
      <c r="Z35409" t="str">
        <f t="shared" si="553"/>
        <v/>
      </c>
    </row>
    <row r="35410" spans="26:26" x14ac:dyDescent="0.2">
      <c r="Z35410" t="str">
        <f t="shared" si="553"/>
        <v/>
      </c>
    </row>
    <row r="35411" spans="26:26" x14ac:dyDescent="0.2">
      <c r="Z35411" t="str">
        <f t="shared" si="553"/>
        <v/>
      </c>
    </row>
    <row r="35412" spans="26:26" x14ac:dyDescent="0.2">
      <c r="Z35412" t="str">
        <f t="shared" si="553"/>
        <v/>
      </c>
    </row>
    <row r="35413" spans="26:26" x14ac:dyDescent="0.2">
      <c r="Z35413" t="str">
        <f t="shared" si="553"/>
        <v/>
      </c>
    </row>
    <row r="35414" spans="26:26" x14ac:dyDescent="0.2">
      <c r="Z35414" t="str">
        <f t="shared" si="553"/>
        <v/>
      </c>
    </row>
    <row r="35415" spans="26:26" x14ac:dyDescent="0.2">
      <c r="Z35415" t="str">
        <f t="shared" si="553"/>
        <v/>
      </c>
    </row>
    <row r="35416" spans="26:26" x14ac:dyDescent="0.2">
      <c r="Z35416" t="str">
        <f t="shared" si="553"/>
        <v/>
      </c>
    </row>
    <row r="35417" spans="26:26" x14ac:dyDescent="0.2">
      <c r="Z35417" t="str">
        <f t="shared" si="553"/>
        <v/>
      </c>
    </row>
    <row r="35418" spans="26:26" x14ac:dyDescent="0.2">
      <c r="Z35418" t="str">
        <f t="shared" si="553"/>
        <v/>
      </c>
    </row>
    <row r="35419" spans="26:26" x14ac:dyDescent="0.2">
      <c r="Z35419" t="str">
        <f t="shared" si="553"/>
        <v/>
      </c>
    </row>
    <row r="35420" spans="26:26" x14ac:dyDescent="0.2">
      <c r="Z35420" t="str">
        <f t="shared" si="553"/>
        <v/>
      </c>
    </row>
    <row r="35421" spans="26:26" x14ac:dyDescent="0.2">
      <c r="Z35421" t="str">
        <f t="shared" si="553"/>
        <v/>
      </c>
    </row>
    <row r="35422" spans="26:26" x14ac:dyDescent="0.2">
      <c r="Z35422" t="str">
        <f t="shared" si="553"/>
        <v/>
      </c>
    </row>
    <row r="35423" spans="26:26" x14ac:dyDescent="0.2">
      <c r="Z35423" t="str">
        <f t="shared" si="553"/>
        <v/>
      </c>
    </row>
    <row r="35424" spans="26:26" x14ac:dyDescent="0.2">
      <c r="Z35424" t="str">
        <f t="shared" si="553"/>
        <v/>
      </c>
    </row>
    <row r="35425" spans="26:26" x14ac:dyDescent="0.2">
      <c r="Z35425" t="str">
        <f t="shared" si="553"/>
        <v/>
      </c>
    </row>
    <row r="35426" spans="26:26" x14ac:dyDescent="0.2">
      <c r="Z35426" t="str">
        <f t="shared" si="553"/>
        <v/>
      </c>
    </row>
    <row r="35427" spans="26:26" x14ac:dyDescent="0.2">
      <c r="Z35427" t="str">
        <f t="shared" si="553"/>
        <v/>
      </c>
    </row>
    <row r="35428" spans="26:26" x14ac:dyDescent="0.2">
      <c r="Z35428" t="str">
        <f t="shared" si="553"/>
        <v/>
      </c>
    </row>
    <row r="35429" spans="26:26" x14ac:dyDescent="0.2">
      <c r="Z35429" t="str">
        <f t="shared" si="553"/>
        <v/>
      </c>
    </row>
    <row r="35430" spans="26:26" x14ac:dyDescent="0.2">
      <c r="Z35430" t="str">
        <f t="shared" si="553"/>
        <v/>
      </c>
    </row>
    <row r="35431" spans="26:26" x14ac:dyDescent="0.2">
      <c r="Z35431" t="str">
        <f t="shared" si="553"/>
        <v/>
      </c>
    </row>
    <row r="35432" spans="26:26" x14ac:dyDescent="0.2">
      <c r="Z35432" t="str">
        <f t="shared" si="553"/>
        <v/>
      </c>
    </row>
    <row r="35433" spans="26:26" x14ac:dyDescent="0.2">
      <c r="Z35433" t="str">
        <f t="shared" si="553"/>
        <v/>
      </c>
    </row>
    <row r="35434" spans="26:26" x14ac:dyDescent="0.2">
      <c r="Z35434" t="str">
        <f t="shared" si="553"/>
        <v/>
      </c>
    </row>
    <row r="35435" spans="26:26" x14ac:dyDescent="0.2">
      <c r="Z35435" t="str">
        <f t="shared" si="553"/>
        <v/>
      </c>
    </row>
    <row r="35436" spans="26:26" x14ac:dyDescent="0.2">
      <c r="Z35436" t="str">
        <f t="shared" si="553"/>
        <v/>
      </c>
    </row>
    <row r="35437" spans="26:26" x14ac:dyDescent="0.2">
      <c r="Z35437" t="str">
        <f t="shared" si="553"/>
        <v/>
      </c>
    </row>
    <row r="35438" spans="26:26" x14ac:dyDescent="0.2">
      <c r="Z35438" t="str">
        <f t="shared" si="553"/>
        <v/>
      </c>
    </row>
    <row r="35439" spans="26:26" x14ac:dyDescent="0.2">
      <c r="Z35439" t="str">
        <f t="shared" si="553"/>
        <v/>
      </c>
    </row>
    <row r="35440" spans="26:26" x14ac:dyDescent="0.2">
      <c r="Z35440" t="str">
        <f t="shared" si="553"/>
        <v/>
      </c>
    </row>
    <row r="35441" spans="26:26" x14ac:dyDescent="0.2">
      <c r="Z35441" t="str">
        <f t="shared" si="553"/>
        <v/>
      </c>
    </row>
    <row r="35442" spans="26:26" x14ac:dyDescent="0.2">
      <c r="Z35442" t="str">
        <f t="shared" si="553"/>
        <v/>
      </c>
    </row>
    <row r="35443" spans="26:26" x14ac:dyDescent="0.2">
      <c r="Z35443" t="str">
        <f t="shared" si="553"/>
        <v/>
      </c>
    </row>
    <row r="35444" spans="26:26" x14ac:dyDescent="0.2">
      <c r="Z35444" t="str">
        <f t="shared" si="553"/>
        <v/>
      </c>
    </row>
    <row r="35445" spans="26:26" x14ac:dyDescent="0.2">
      <c r="Z35445" t="str">
        <f t="shared" si="553"/>
        <v/>
      </c>
    </row>
    <row r="35446" spans="26:26" x14ac:dyDescent="0.2">
      <c r="Z35446" t="str">
        <f t="shared" si="553"/>
        <v/>
      </c>
    </row>
    <row r="35447" spans="26:26" x14ac:dyDescent="0.2">
      <c r="Z35447" t="str">
        <f t="shared" si="553"/>
        <v/>
      </c>
    </row>
    <row r="35448" spans="26:26" x14ac:dyDescent="0.2">
      <c r="Z35448" t="str">
        <f t="shared" si="553"/>
        <v/>
      </c>
    </row>
    <row r="35449" spans="26:26" x14ac:dyDescent="0.2">
      <c r="Z35449" t="str">
        <f t="shared" si="553"/>
        <v/>
      </c>
    </row>
    <row r="35450" spans="26:26" x14ac:dyDescent="0.2">
      <c r="Z35450" t="str">
        <f t="shared" si="553"/>
        <v/>
      </c>
    </row>
    <row r="35451" spans="26:26" x14ac:dyDescent="0.2">
      <c r="Z35451" t="str">
        <f t="shared" si="553"/>
        <v/>
      </c>
    </row>
    <row r="35452" spans="26:26" x14ac:dyDescent="0.2">
      <c r="Z35452" t="str">
        <f t="shared" si="553"/>
        <v/>
      </c>
    </row>
    <row r="35453" spans="26:26" x14ac:dyDescent="0.2">
      <c r="Z35453" t="str">
        <f t="shared" si="553"/>
        <v/>
      </c>
    </row>
    <row r="35454" spans="26:26" x14ac:dyDescent="0.2">
      <c r="Z35454" t="str">
        <f t="shared" si="553"/>
        <v/>
      </c>
    </row>
    <row r="35455" spans="26:26" x14ac:dyDescent="0.2">
      <c r="Z35455" t="str">
        <f t="shared" si="553"/>
        <v/>
      </c>
    </row>
    <row r="35456" spans="26:26" x14ac:dyDescent="0.2">
      <c r="Z35456" t="str">
        <f t="shared" si="553"/>
        <v/>
      </c>
    </row>
    <row r="35457" spans="26:26" x14ac:dyDescent="0.2">
      <c r="Z35457" t="str">
        <f t="shared" si="553"/>
        <v/>
      </c>
    </row>
    <row r="35458" spans="26:26" x14ac:dyDescent="0.2">
      <c r="Z35458" t="str">
        <f t="shared" si="553"/>
        <v/>
      </c>
    </row>
    <row r="35459" spans="26:26" x14ac:dyDescent="0.2">
      <c r="Z35459" t="str">
        <f t="shared" ref="Z35459:Z35522" si="554">IF(K35459="","",IFERROR(VALUE(TRIM(MID(K35459,FIND(CHAR(167),SUBSTITUTE(K35459,"-",CHAR(167),LEN(K35459)-LEN(SUBSTITUTE(K35459,"-",""))))+1,100))),K35459))</f>
        <v/>
      </c>
    </row>
    <row r="35460" spans="26:26" x14ac:dyDescent="0.2">
      <c r="Z35460" t="str">
        <f t="shared" si="554"/>
        <v/>
      </c>
    </row>
    <row r="35461" spans="26:26" x14ac:dyDescent="0.2">
      <c r="Z35461" t="str">
        <f t="shared" si="554"/>
        <v/>
      </c>
    </row>
    <row r="35462" spans="26:26" x14ac:dyDescent="0.2">
      <c r="Z35462" t="str">
        <f t="shared" si="554"/>
        <v/>
      </c>
    </row>
    <row r="35463" spans="26:26" x14ac:dyDescent="0.2">
      <c r="Z35463" t="str">
        <f t="shared" si="554"/>
        <v/>
      </c>
    </row>
    <row r="35464" spans="26:26" x14ac:dyDescent="0.2">
      <c r="Z35464" t="str">
        <f t="shared" si="554"/>
        <v/>
      </c>
    </row>
    <row r="35465" spans="26:26" x14ac:dyDescent="0.2">
      <c r="Z35465" t="str">
        <f t="shared" si="554"/>
        <v/>
      </c>
    </row>
    <row r="35466" spans="26:26" x14ac:dyDescent="0.2">
      <c r="Z35466" t="str">
        <f t="shared" si="554"/>
        <v/>
      </c>
    </row>
    <row r="35467" spans="26:26" x14ac:dyDescent="0.2">
      <c r="Z35467" t="str">
        <f t="shared" si="554"/>
        <v/>
      </c>
    </row>
    <row r="35468" spans="26:26" x14ac:dyDescent="0.2">
      <c r="Z35468" t="str">
        <f t="shared" si="554"/>
        <v/>
      </c>
    </row>
    <row r="35469" spans="26:26" x14ac:dyDescent="0.2">
      <c r="Z35469" t="str">
        <f t="shared" si="554"/>
        <v/>
      </c>
    </row>
    <row r="35470" spans="26:26" x14ac:dyDescent="0.2">
      <c r="Z35470" t="str">
        <f t="shared" si="554"/>
        <v/>
      </c>
    </row>
    <row r="35471" spans="26:26" x14ac:dyDescent="0.2">
      <c r="Z35471" t="str">
        <f t="shared" si="554"/>
        <v/>
      </c>
    </row>
    <row r="35472" spans="26:26" x14ac:dyDescent="0.2">
      <c r="Z35472" t="str">
        <f t="shared" si="554"/>
        <v/>
      </c>
    </row>
    <row r="35473" spans="26:26" x14ac:dyDescent="0.2">
      <c r="Z35473" t="str">
        <f t="shared" si="554"/>
        <v/>
      </c>
    </row>
    <row r="35474" spans="26:26" x14ac:dyDescent="0.2">
      <c r="Z35474" t="str">
        <f t="shared" si="554"/>
        <v/>
      </c>
    </row>
    <row r="35475" spans="26:26" x14ac:dyDescent="0.2">
      <c r="Z35475" t="str">
        <f t="shared" si="554"/>
        <v/>
      </c>
    </row>
    <row r="35476" spans="26:26" x14ac:dyDescent="0.2">
      <c r="Z35476" t="str">
        <f t="shared" si="554"/>
        <v/>
      </c>
    </row>
    <row r="35477" spans="26:26" x14ac:dyDescent="0.2">
      <c r="Z35477" t="str">
        <f t="shared" si="554"/>
        <v/>
      </c>
    </row>
    <row r="35478" spans="26:26" x14ac:dyDescent="0.2">
      <c r="Z35478" t="str">
        <f t="shared" si="554"/>
        <v/>
      </c>
    </row>
    <row r="35479" spans="26:26" x14ac:dyDescent="0.2">
      <c r="Z35479" t="str">
        <f t="shared" si="554"/>
        <v/>
      </c>
    </row>
    <row r="35480" spans="26:26" x14ac:dyDescent="0.2">
      <c r="Z35480" t="str">
        <f t="shared" si="554"/>
        <v/>
      </c>
    </row>
    <row r="35481" spans="26:26" x14ac:dyDescent="0.2">
      <c r="Z35481" t="str">
        <f t="shared" si="554"/>
        <v/>
      </c>
    </row>
    <row r="35482" spans="26:26" x14ac:dyDescent="0.2">
      <c r="Z35482" t="str">
        <f t="shared" si="554"/>
        <v/>
      </c>
    </row>
    <row r="35483" spans="26:26" x14ac:dyDescent="0.2">
      <c r="Z35483" t="str">
        <f t="shared" si="554"/>
        <v/>
      </c>
    </row>
    <row r="35484" spans="26:26" x14ac:dyDescent="0.2">
      <c r="Z35484" t="str">
        <f t="shared" si="554"/>
        <v/>
      </c>
    </row>
    <row r="35485" spans="26:26" x14ac:dyDescent="0.2">
      <c r="Z35485" t="str">
        <f t="shared" si="554"/>
        <v/>
      </c>
    </row>
    <row r="35486" spans="26:26" x14ac:dyDescent="0.2">
      <c r="Z35486" t="str">
        <f t="shared" si="554"/>
        <v/>
      </c>
    </row>
    <row r="35487" spans="26:26" x14ac:dyDescent="0.2">
      <c r="Z35487" t="str">
        <f t="shared" si="554"/>
        <v/>
      </c>
    </row>
    <row r="35488" spans="26:26" x14ac:dyDescent="0.2">
      <c r="Z35488" t="str">
        <f t="shared" si="554"/>
        <v/>
      </c>
    </row>
    <row r="35489" spans="26:26" x14ac:dyDescent="0.2">
      <c r="Z35489" t="str">
        <f t="shared" si="554"/>
        <v/>
      </c>
    </row>
    <row r="35490" spans="26:26" x14ac:dyDescent="0.2">
      <c r="Z35490" t="str">
        <f t="shared" si="554"/>
        <v/>
      </c>
    </row>
    <row r="35491" spans="26:26" x14ac:dyDescent="0.2">
      <c r="Z35491" t="str">
        <f t="shared" si="554"/>
        <v/>
      </c>
    </row>
    <row r="35492" spans="26:26" x14ac:dyDescent="0.2">
      <c r="Z35492" t="str">
        <f t="shared" si="554"/>
        <v/>
      </c>
    </row>
    <row r="35493" spans="26:26" x14ac:dyDescent="0.2">
      <c r="Z35493" t="str">
        <f t="shared" si="554"/>
        <v/>
      </c>
    </row>
    <row r="35494" spans="26:26" x14ac:dyDescent="0.2">
      <c r="Z35494" t="str">
        <f t="shared" si="554"/>
        <v/>
      </c>
    </row>
    <row r="35495" spans="26:26" x14ac:dyDescent="0.2">
      <c r="Z35495" t="str">
        <f t="shared" si="554"/>
        <v/>
      </c>
    </row>
    <row r="35496" spans="26:26" x14ac:dyDescent="0.2">
      <c r="Z35496" t="str">
        <f t="shared" si="554"/>
        <v/>
      </c>
    </row>
    <row r="35497" spans="26:26" x14ac:dyDescent="0.2">
      <c r="Z35497" t="str">
        <f t="shared" si="554"/>
        <v/>
      </c>
    </row>
    <row r="35498" spans="26:26" x14ac:dyDescent="0.2">
      <c r="Z35498" t="str">
        <f t="shared" si="554"/>
        <v/>
      </c>
    </row>
    <row r="35499" spans="26:26" x14ac:dyDescent="0.2">
      <c r="Z35499" t="str">
        <f t="shared" si="554"/>
        <v/>
      </c>
    </row>
    <row r="35500" spans="26:26" x14ac:dyDescent="0.2">
      <c r="Z35500" t="str">
        <f t="shared" si="554"/>
        <v/>
      </c>
    </row>
    <row r="35501" spans="26:26" x14ac:dyDescent="0.2">
      <c r="Z35501" t="str">
        <f t="shared" si="554"/>
        <v/>
      </c>
    </row>
    <row r="35502" spans="26:26" x14ac:dyDescent="0.2">
      <c r="Z35502" t="str">
        <f t="shared" si="554"/>
        <v/>
      </c>
    </row>
    <row r="35503" spans="26:26" x14ac:dyDescent="0.2">
      <c r="Z35503" t="str">
        <f t="shared" si="554"/>
        <v/>
      </c>
    </row>
    <row r="35504" spans="26:26" x14ac:dyDescent="0.2">
      <c r="Z35504" t="str">
        <f t="shared" si="554"/>
        <v/>
      </c>
    </row>
    <row r="35505" spans="26:26" x14ac:dyDescent="0.2">
      <c r="Z35505" t="str">
        <f t="shared" si="554"/>
        <v/>
      </c>
    </row>
    <row r="35506" spans="26:26" x14ac:dyDescent="0.2">
      <c r="Z35506" t="str">
        <f t="shared" si="554"/>
        <v/>
      </c>
    </row>
    <row r="35507" spans="26:26" x14ac:dyDescent="0.2">
      <c r="Z35507" t="str">
        <f t="shared" si="554"/>
        <v/>
      </c>
    </row>
    <row r="35508" spans="26:26" x14ac:dyDescent="0.2">
      <c r="Z35508" t="str">
        <f t="shared" si="554"/>
        <v/>
      </c>
    </row>
    <row r="35509" spans="26:26" x14ac:dyDescent="0.2">
      <c r="Z35509" t="str">
        <f t="shared" si="554"/>
        <v/>
      </c>
    </row>
    <row r="35510" spans="26:26" x14ac:dyDescent="0.2">
      <c r="Z35510" t="str">
        <f t="shared" si="554"/>
        <v/>
      </c>
    </row>
    <row r="35511" spans="26:26" x14ac:dyDescent="0.2">
      <c r="Z35511" t="str">
        <f t="shared" si="554"/>
        <v/>
      </c>
    </row>
    <row r="35512" spans="26:26" x14ac:dyDescent="0.2">
      <c r="Z35512" t="str">
        <f t="shared" si="554"/>
        <v/>
      </c>
    </row>
    <row r="35513" spans="26:26" x14ac:dyDescent="0.2">
      <c r="Z35513" t="str">
        <f t="shared" si="554"/>
        <v/>
      </c>
    </row>
    <row r="35514" spans="26:26" x14ac:dyDescent="0.2">
      <c r="Z35514" t="str">
        <f t="shared" si="554"/>
        <v/>
      </c>
    </row>
    <row r="35515" spans="26:26" x14ac:dyDescent="0.2">
      <c r="Z35515" t="str">
        <f t="shared" si="554"/>
        <v/>
      </c>
    </row>
    <row r="35516" spans="26:26" x14ac:dyDescent="0.2">
      <c r="Z35516" t="str">
        <f t="shared" si="554"/>
        <v/>
      </c>
    </row>
    <row r="35517" spans="26:26" x14ac:dyDescent="0.2">
      <c r="Z35517" t="str">
        <f t="shared" si="554"/>
        <v/>
      </c>
    </row>
    <row r="35518" spans="26:26" x14ac:dyDescent="0.2">
      <c r="Z35518" t="str">
        <f t="shared" si="554"/>
        <v/>
      </c>
    </row>
    <row r="35519" spans="26:26" x14ac:dyDescent="0.2">
      <c r="Z35519" t="str">
        <f t="shared" si="554"/>
        <v/>
      </c>
    </row>
    <row r="35520" spans="26:26" x14ac:dyDescent="0.2">
      <c r="Z35520" t="str">
        <f t="shared" si="554"/>
        <v/>
      </c>
    </row>
    <row r="35521" spans="26:26" x14ac:dyDescent="0.2">
      <c r="Z35521" t="str">
        <f t="shared" si="554"/>
        <v/>
      </c>
    </row>
    <row r="35522" spans="26:26" x14ac:dyDescent="0.2">
      <c r="Z35522" t="str">
        <f t="shared" si="554"/>
        <v/>
      </c>
    </row>
    <row r="35523" spans="26:26" x14ac:dyDescent="0.2">
      <c r="Z35523" t="str">
        <f t="shared" ref="Z35523:Z35586" si="555">IF(K35523="","",IFERROR(VALUE(TRIM(MID(K35523,FIND(CHAR(167),SUBSTITUTE(K35523,"-",CHAR(167),LEN(K35523)-LEN(SUBSTITUTE(K35523,"-",""))))+1,100))),K35523))</f>
        <v/>
      </c>
    </row>
    <row r="35524" spans="26:26" x14ac:dyDescent="0.2">
      <c r="Z35524" t="str">
        <f t="shared" si="555"/>
        <v/>
      </c>
    </row>
    <row r="35525" spans="26:26" x14ac:dyDescent="0.2">
      <c r="Z35525" t="str">
        <f t="shared" si="555"/>
        <v/>
      </c>
    </row>
    <row r="35526" spans="26:26" x14ac:dyDescent="0.2">
      <c r="Z35526" t="str">
        <f t="shared" si="555"/>
        <v/>
      </c>
    </row>
    <row r="35527" spans="26:26" x14ac:dyDescent="0.2">
      <c r="Z35527" t="str">
        <f t="shared" si="555"/>
        <v/>
      </c>
    </row>
    <row r="35528" spans="26:26" x14ac:dyDescent="0.2">
      <c r="Z35528" t="str">
        <f t="shared" si="555"/>
        <v/>
      </c>
    </row>
    <row r="35529" spans="26:26" x14ac:dyDescent="0.2">
      <c r="Z35529" t="str">
        <f t="shared" si="555"/>
        <v/>
      </c>
    </row>
    <row r="35530" spans="26:26" x14ac:dyDescent="0.2">
      <c r="Z35530" t="str">
        <f t="shared" si="555"/>
        <v/>
      </c>
    </row>
    <row r="35531" spans="26:26" x14ac:dyDescent="0.2">
      <c r="Z35531" t="str">
        <f t="shared" si="555"/>
        <v/>
      </c>
    </row>
    <row r="35532" spans="26:26" x14ac:dyDescent="0.2">
      <c r="Z35532" t="str">
        <f t="shared" si="555"/>
        <v/>
      </c>
    </row>
    <row r="35533" spans="26:26" x14ac:dyDescent="0.2">
      <c r="Z35533" t="str">
        <f t="shared" si="555"/>
        <v/>
      </c>
    </row>
    <row r="35534" spans="26:26" x14ac:dyDescent="0.2">
      <c r="Z35534" t="str">
        <f t="shared" si="555"/>
        <v/>
      </c>
    </row>
    <row r="35535" spans="26:26" x14ac:dyDescent="0.2">
      <c r="Z35535" t="str">
        <f t="shared" si="555"/>
        <v/>
      </c>
    </row>
    <row r="35536" spans="26:26" x14ac:dyDescent="0.2">
      <c r="Z35536" t="str">
        <f t="shared" si="555"/>
        <v/>
      </c>
    </row>
    <row r="35537" spans="26:26" x14ac:dyDescent="0.2">
      <c r="Z35537" t="str">
        <f t="shared" si="555"/>
        <v/>
      </c>
    </row>
    <row r="35538" spans="26:26" x14ac:dyDescent="0.2">
      <c r="Z35538" t="str">
        <f t="shared" si="555"/>
        <v/>
      </c>
    </row>
    <row r="35539" spans="26:26" x14ac:dyDescent="0.2">
      <c r="Z35539" t="str">
        <f t="shared" si="555"/>
        <v/>
      </c>
    </row>
    <row r="35540" spans="26:26" x14ac:dyDescent="0.2">
      <c r="Z35540" t="str">
        <f t="shared" si="555"/>
        <v/>
      </c>
    </row>
    <row r="35541" spans="26:26" x14ac:dyDescent="0.2">
      <c r="Z35541" t="str">
        <f t="shared" si="555"/>
        <v/>
      </c>
    </row>
    <row r="35542" spans="26:26" x14ac:dyDescent="0.2">
      <c r="Z35542" t="str">
        <f t="shared" si="555"/>
        <v/>
      </c>
    </row>
    <row r="35543" spans="26:26" x14ac:dyDescent="0.2">
      <c r="Z35543" t="str">
        <f t="shared" si="555"/>
        <v/>
      </c>
    </row>
    <row r="35544" spans="26:26" x14ac:dyDescent="0.2">
      <c r="Z35544" t="str">
        <f t="shared" si="555"/>
        <v/>
      </c>
    </row>
    <row r="35545" spans="26:26" x14ac:dyDescent="0.2">
      <c r="Z35545" t="str">
        <f t="shared" si="555"/>
        <v/>
      </c>
    </row>
    <row r="35546" spans="26:26" x14ac:dyDescent="0.2">
      <c r="Z35546" t="str">
        <f t="shared" si="555"/>
        <v/>
      </c>
    </row>
    <row r="35547" spans="26:26" x14ac:dyDescent="0.2">
      <c r="Z35547" t="str">
        <f t="shared" si="555"/>
        <v/>
      </c>
    </row>
    <row r="35548" spans="26:26" x14ac:dyDescent="0.2">
      <c r="Z35548" t="str">
        <f t="shared" si="555"/>
        <v/>
      </c>
    </row>
    <row r="35549" spans="26:26" x14ac:dyDescent="0.2">
      <c r="Z35549" t="str">
        <f t="shared" si="555"/>
        <v/>
      </c>
    </row>
    <row r="35550" spans="26:26" x14ac:dyDescent="0.2">
      <c r="Z35550" t="str">
        <f t="shared" si="555"/>
        <v/>
      </c>
    </row>
    <row r="35551" spans="26:26" x14ac:dyDescent="0.2">
      <c r="Z35551" t="str">
        <f t="shared" si="555"/>
        <v/>
      </c>
    </row>
    <row r="35552" spans="26:26" x14ac:dyDescent="0.2">
      <c r="Z35552" t="str">
        <f t="shared" si="555"/>
        <v/>
      </c>
    </row>
    <row r="35553" spans="26:26" x14ac:dyDescent="0.2">
      <c r="Z35553" t="str">
        <f t="shared" si="555"/>
        <v/>
      </c>
    </row>
    <row r="35554" spans="26:26" x14ac:dyDescent="0.2">
      <c r="Z35554" t="str">
        <f t="shared" si="555"/>
        <v/>
      </c>
    </row>
    <row r="35555" spans="26:26" x14ac:dyDescent="0.2">
      <c r="Z35555" t="str">
        <f t="shared" si="555"/>
        <v/>
      </c>
    </row>
    <row r="35556" spans="26:26" x14ac:dyDescent="0.2">
      <c r="Z35556" t="str">
        <f t="shared" si="555"/>
        <v/>
      </c>
    </row>
    <row r="35557" spans="26:26" x14ac:dyDescent="0.2">
      <c r="Z35557" t="str">
        <f t="shared" si="555"/>
        <v/>
      </c>
    </row>
    <row r="35558" spans="26:26" x14ac:dyDescent="0.2">
      <c r="Z35558" t="str">
        <f t="shared" si="555"/>
        <v/>
      </c>
    </row>
    <row r="35559" spans="26:26" x14ac:dyDescent="0.2">
      <c r="Z35559" t="str">
        <f t="shared" si="555"/>
        <v/>
      </c>
    </row>
    <row r="35560" spans="26:26" x14ac:dyDescent="0.2">
      <c r="Z35560" t="str">
        <f t="shared" si="555"/>
        <v/>
      </c>
    </row>
    <row r="35561" spans="26:26" x14ac:dyDescent="0.2">
      <c r="Z35561" t="str">
        <f t="shared" si="555"/>
        <v/>
      </c>
    </row>
    <row r="35562" spans="26:26" x14ac:dyDescent="0.2">
      <c r="Z35562" t="str">
        <f t="shared" si="555"/>
        <v/>
      </c>
    </row>
    <row r="35563" spans="26:26" x14ac:dyDescent="0.2">
      <c r="Z35563" t="str">
        <f t="shared" si="555"/>
        <v/>
      </c>
    </row>
    <row r="35564" spans="26:26" x14ac:dyDescent="0.2">
      <c r="Z35564" t="str">
        <f t="shared" si="555"/>
        <v/>
      </c>
    </row>
    <row r="35565" spans="26:26" x14ac:dyDescent="0.2">
      <c r="Z35565" t="str">
        <f t="shared" si="555"/>
        <v/>
      </c>
    </row>
    <row r="35566" spans="26:26" x14ac:dyDescent="0.2">
      <c r="Z35566" t="str">
        <f t="shared" si="555"/>
        <v/>
      </c>
    </row>
    <row r="35567" spans="26:26" x14ac:dyDescent="0.2">
      <c r="Z35567" t="str">
        <f t="shared" si="555"/>
        <v/>
      </c>
    </row>
    <row r="35568" spans="26:26" x14ac:dyDescent="0.2">
      <c r="Z35568" t="str">
        <f t="shared" si="555"/>
        <v/>
      </c>
    </row>
    <row r="35569" spans="26:26" x14ac:dyDescent="0.2">
      <c r="Z35569" t="str">
        <f t="shared" si="555"/>
        <v/>
      </c>
    </row>
    <row r="35570" spans="26:26" x14ac:dyDescent="0.2">
      <c r="Z35570" t="str">
        <f t="shared" si="555"/>
        <v/>
      </c>
    </row>
    <row r="35571" spans="26:26" x14ac:dyDescent="0.2">
      <c r="Z35571" t="str">
        <f t="shared" si="555"/>
        <v/>
      </c>
    </row>
    <row r="35572" spans="26:26" x14ac:dyDescent="0.2">
      <c r="Z35572" t="str">
        <f t="shared" si="555"/>
        <v/>
      </c>
    </row>
    <row r="35573" spans="26:26" x14ac:dyDescent="0.2">
      <c r="Z35573" t="str">
        <f t="shared" si="555"/>
        <v/>
      </c>
    </row>
    <row r="35574" spans="26:26" x14ac:dyDescent="0.2">
      <c r="Z35574" t="str">
        <f t="shared" si="555"/>
        <v/>
      </c>
    </row>
    <row r="35575" spans="26:26" x14ac:dyDescent="0.2">
      <c r="Z35575" t="str">
        <f t="shared" si="555"/>
        <v/>
      </c>
    </row>
    <row r="35576" spans="26:26" x14ac:dyDescent="0.2">
      <c r="Z35576" t="str">
        <f t="shared" si="555"/>
        <v/>
      </c>
    </row>
    <row r="35577" spans="26:26" x14ac:dyDescent="0.2">
      <c r="Z35577" t="str">
        <f t="shared" si="555"/>
        <v/>
      </c>
    </row>
    <row r="35578" spans="26:26" x14ac:dyDescent="0.2">
      <c r="Z35578" t="str">
        <f t="shared" si="555"/>
        <v/>
      </c>
    </row>
    <row r="35579" spans="26:26" x14ac:dyDescent="0.2">
      <c r="Z35579" t="str">
        <f t="shared" si="555"/>
        <v/>
      </c>
    </row>
    <row r="35580" spans="26:26" x14ac:dyDescent="0.2">
      <c r="Z35580" t="str">
        <f t="shared" si="555"/>
        <v/>
      </c>
    </row>
    <row r="35581" spans="26:26" x14ac:dyDescent="0.2">
      <c r="Z35581" t="str">
        <f t="shared" si="555"/>
        <v/>
      </c>
    </row>
    <row r="35582" spans="26:26" x14ac:dyDescent="0.2">
      <c r="Z35582" t="str">
        <f t="shared" si="555"/>
        <v/>
      </c>
    </row>
    <row r="35583" spans="26:26" x14ac:dyDescent="0.2">
      <c r="Z35583" t="str">
        <f t="shared" si="555"/>
        <v/>
      </c>
    </row>
    <row r="35584" spans="26:26" x14ac:dyDescent="0.2">
      <c r="Z35584" t="str">
        <f t="shared" si="555"/>
        <v/>
      </c>
    </row>
    <row r="35585" spans="26:26" x14ac:dyDescent="0.2">
      <c r="Z35585" t="str">
        <f t="shared" si="555"/>
        <v/>
      </c>
    </row>
    <row r="35586" spans="26:26" x14ac:dyDescent="0.2">
      <c r="Z35586" t="str">
        <f t="shared" si="555"/>
        <v/>
      </c>
    </row>
    <row r="35587" spans="26:26" x14ac:dyDescent="0.2">
      <c r="Z35587" t="str">
        <f t="shared" ref="Z35587:Z35650" si="556">IF(K35587="","",IFERROR(VALUE(TRIM(MID(K35587,FIND(CHAR(167),SUBSTITUTE(K35587,"-",CHAR(167),LEN(K35587)-LEN(SUBSTITUTE(K35587,"-",""))))+1,100))),K35587))</f>
        <v/>
      </c>
    </row>
    <row r="35588" spans="26:26" x14ac:dyDescent="0.2">
      <c r="Z35588" t="str">
        <f t="shared" si="556"/>
        <v/>
      </c>
    </row>
    <row r="35589" spans="26:26" x14ac:dyDescent="0.2">
      <c r="Z35589" t="str">
        <f t="shared" si="556"/>
        <v/>
      </c>
    </row>
    <row r="35590" spans="26:26" x14ac:dyDescent="0.2">
      <c r="Z35590" t="str">
        <f t="shared" si="556"/>
        <v/>
      </c>
    </row>
    <row r="35591" spans="26:26" x14ac:dyDescent="0.2">
      <c r="Z35591" t="str">
        <f t="shared" si="556"/>
        <v/>
      </c>
    </row>
    <row r="35592" spans="26:26" x14ac:dyDescent="0.2">
      <c r="Z35592" t="str">
        <f t="shared" si="556"/>
        <v/>
      </c>
    </row>
    <row r="35593" spans="26:26" x14ac:dyDescent="0.2">
      <c r="Z35593" t="str">
        <f t="shared" si="556"/>
        <v/>
      </c>
    </row>
    <row r="35594" spans="26:26" x14ac:dyDescent="0.2">
      <c r="Z35594" t="str">
        <f t="shared" si="556"/>
        <v/>
      </c>
    </row>
    <row r="35595" spans="26:26" x14ac:dyDescent="0.2">
      <c r="Z35595" t="str">
        <f t="shared" si="556"/>
        <v/>
      </c>
    </row>
    <row r="35596" spans="26:26" x14ac:dyDescent="0.2">
      <c r="Z35596" t="str">
        <f t="shared" si="556"/>
        <v/>
      </c>
    </row>
    <row r="35597" spans="26:26" x14ac:dyDescent="0.2">
      <c r="Z35597" t="str">
        <f t="shared" si="556"/>
        <v/>
      </c>
    </row>
    <row r="35598" spans="26:26" x14ac:dyDescent="0.2">
      <c r="Z35598" t="str">
        <f t="shared" si="556"/>
        <v/>
      </c>
    </row>
    <row r="35599" spans="26:26" x14ac:dyDescent="0.2">
      <c r="Z35599" t="str">
        <f t="shared" si="556"/>
        <v/>
      </c>
    </row>
    <row r="35600" spans="26:26" x14ac:dyDescent="0.2">
      <c r="Z35600" t="str">
        <f t="shared" si="556"/>
        <v/>
      </c>
    </row>
    <row r="35601" spans="26:26" x14ac:dyDescent="0.2">
      <c r="Z35601" t="str">
        <f t="shared" si="556"/>
        <v/>
      </c>
    </row>
    <row r="35602" spans="26:26" x14ac:dyDescent="0.2">
      <c r="Z35602" t="str">
        <f t="shared" si="556"/>
        <v/>
      </c>
    </row>
    <row r="35603" spans="26:26" x14ac:dyDescent="0.2">
      <c r="Z35603" t="str">
        <f t="shared" si="556"/>
        <v/>
      </c>
    </row>
    <row r="35604" spans="26:26" x14ac:dyDescent="0.2">
      <c r="Z35604" t="str">
        <f t="shared" si="556"/>
        <v/>
      </c>
    </row>
    <row r="35605" spans="26:26" x14ac:dyDescent="0.2">
      <c r="Z35605" t="str">
        <f t="shared" si="556"/>
        <v/>
      </c>
    </row>
    <row r="35606" spans="26:26" x14ac:dyDescent="0.2">
      <c r="Z35606" t="str">
        <f t="shared" si="556"/>
        <v/>
      </c>
    </row>
    <row r="35607" spans="26:26" x14ac:dyDescent="0.2">
      <c r="Z35607" t="str">
        <f t="shared" si="556"/>
        <v/>
      </c>
    </row>
    <row r="35608" spans="26:26" x14ac:dyDescent="0.2">
      <c r="Z35608" t="str">
        <f t="shared" si="556"/>
        <v/>
      </c>
    </row>
    <row r="35609" spans="26:26" x14ac:dyDescent="0.2">
      <c r="Z35609" t="str">
        <f t="shared" si="556"/>
        <v/>
      </c>
    </row>
    <row r="35610" spans="26:26" x14ac:dyDescent="0.2">
      <c r="Z35610" t="str">
        <f t="shared" si="556"/>
        <v/>
      </c>
    </row>
    <row r="35611" spans="26:26" x14ac:dyDescent="0.2">
      <c r="Z35611" t="str">
        <f t="shared" si="556"/>
        <v/>
      </c>
    </row>
    <row r="35612" spans="26:26" x14ac:dyDescent="0.2">
      <c r="Z35612" t="str">
        <f t="shared" si="556"/>
        <v/>
      </c>
    </row>
    <row r="35613" spans="26:26" x14ac:dyDescent="0.2">
      <c r="Z35613" t="str">
        <f t="shared" si="556"/>
        <v/>
      </c>
    </row>
    <row r="35614" spans="26:26" x14ac:dyDescent="0.2">
      <c r="Z35614" t="str">
        <f t="shared" si="556"/>
        <v/>
      </c>
    </row>
    <row r="35615" spans="26:26" x14ac:dyDescent="0.2">
      <c r="Z35615" t="str">
        <f t="shared" si="556"/>
        <v/>
      </c>
    </row>
    <row r="35616" spans="26:26" x14ac:dyDescent="0.2">
      <c r="Z35616" t="str">
        <f t="shared" si="556"/>
        <v/>
      </c>
    </row>
    <row r="35617" spans="26:26" x14ac:dyDescent="0.2">
      <c r="Z35617" t="str">
        <f t="shared" si="556"/>
        <v/>
      </c>
    </row>
    <row r="35618" spans="26:26" x14ac:dyDescent="0.2">
      <c r="Z35618" t="str">
        <f t="shared" si="556"/>
        <v/>
      </c>
    </row>
    <row r="35619" spans="26:26" x14ac:dyDescent="0.2">
      <c r="Z35619" t="str">
        <f t="shared" si="556"/>
        <v/>
      </c>
    </row>
    <row r="35620" spans="26:26" x14ac:dyDescent="0.2">
      <c r="Z35620" t="str">
        <f t="shared" si="556"/>
        <v/>
      </c>
    </row>
    <row r="35621" spans="26:26" x14ac:dyDescent="0.2">
      <c r="Z35621" t="str">
        <f t="shared" si="556"/>
        <v/>
      </c>
    </row>
    <row r="35622" spans="26:26" x14ac:dyDescent="0.2">
      <c r="Z35622" t="str">
        <f t="shared" si="556"/>
        <v/>
      </c>
    </row>
    <row r="35623" spans="26:26" x14ac:dyDescent="0.2">
      <c r="Z35623" t="str">
        <f t="shared" si="556"/>
        <v/>
      </c>
    </row>
    <row r="35624" spans="26:26" x14ac:dyDescent="0.2">
      <c r="Z35624" t="str">
        <f t="shared" si="556"/>
        <v/>
      </c>
    </row>
    <row r="35625" spans="26:26" x14ac:dyDescent="0.2">
      <c r="Z35625" t="str">
        <f t="shared" si="556"/>
        <v/>
      </c>
    </row>
    <row r="35626" spans="26:26" x14ac:dyDescent="0.2">
      <c r="Z35626" t="str">
        <f t="shared" si="556"/>
        <v/>
      </c>
    </row>
    <row r="35627" spans="26:26" x14ac:dyDescent="0.2">
      <c r="Z35627" t="str">
        <f t="shared" si="556"/>
        <v/>
      </c>
    </row>
    <row r="35628" spans="26:26" x14ac:dyDescent="0.2">
      <c r="Z35628" t="str">
        <f t="shared" si="556"/>
        <v/>
      </c>
    </row>
    <row r="35629" spans="26:26" x14ac:dyDescent="0.2">
      <c r="Z35629" t="str">
        <f t="shared" si="556"/>
        <v/>
      </c>
    </row>
    <row r="35630" spans="26:26" x14ac:dyDescent="0.2">
      <c r="Z35630" t="str">
        <f t="shared" si="556"/>
        <v/>
      </c>
    </row>
    <row r="35631" spans="26:26" x14ac:dyDescent="0.2">
      <c r="Z35631" t="str">
        <f t="shared" si="556"/>
        <v/>
      </c>
    </row>
    <row r="35632" spans="26:26" x14ac:dyDescent="0.2">
      <c r="Z35632" t="str">
        <f t="shared" si="556"/>
        <v/>
      </c>
    </row>
    <row r="35633" spans="26:26" x14ac:dyDescent="0.2">
      <c r="Z35633" t="str">
        <f t="shared" si="556"/>
        <v/>
      </c>
    </row>
    <row r="35634" spans="26:26" x14ac:dyDescent="0.2">
      <c r="Z35634" t="str">
        <f t="shared" si="556"/>
        <v/>
      </c>
    </row>
    <row r="35635" spans="26:26" x14ac:dyDescent="0.2">
      <c r="Z35635" t="str">
        <f t="shared" si="556"/>
        <v/>
      </c>
    </row>
    <row r="35636" spans="26:26" x14ac:dyDescent="0.2">
      <c r="Z35636" t="str">
        <f t="shared" si="556"/>
        <v/>
      </c>
    </row>
    <row r="35637" spans="26:26" x14ac:dyDescent="0.2">
      <c r="Z35637" t="str">
        <f t="shared" si="556"/>
        <v/>
      </c>
    </row>
    <row r="35638" spans="26:26" x14ac:dyDescent="0.2">
      <c r="Z35638" t="str">
        <f t="shared" si="556"/>
        <v/>
      </c>
    </row>
    <row r="35639" spans="26:26" x14ac:dyDescent="0.2">
      <c r="Z35639" t="str">
        <f t="shared" si="556"/>
        <v/>
      </c>
    </row>
    <row r="35640" spans="26:26" x14ac:dyDescent="0.2">
      <c r="Z35640" t="str">
        <f t="shared" si="556"/>
        <v/>
      </c>
    </row>
    <row r="35641" spans="26:26" x14ac:dyDescent="0.2">
      <c r="Z35641" t="str">
        <f t="shared" si="556"/>
        <v/>
      </c>
    </row>
    <row r="35642" spans="26:26" x14ac:dyDescent="0.2">
      <c r="Z35642" t="str">
        <f t="shared" si="556"/>
        <v/>
      </c>
    </row>
    <row r="35643" spans="26:26" x14ac:dyDescent="0.2">
      <c r="Z35643" t="str">
        <f t="shared" si="556"/>
        <v/>
      </c>
    </row>
    <row r="35644" spans="26:26" x14ac:dyDescent="0.2">
      <c r="Z35644" t="str">
        <f t="shared" si="556"/>
        <v/>
      </c>
    </row>
    <row r="35645" spans="26:26" x14ac:dyDescent="0.2">
      <c r="Z35645" t="str">
        <f t="shared" si="556"/>
        <v/>
      </c>
    </row>
    <row r="35646" spans="26:26" x14ac:dyDescent="0.2">
      <c r="Z35646" t="str">
        <f t="shared" si="556"/>
        <v/>
      </c>
    </row>
    <row r="35647" spans="26:26" x14ac:dyDescent="0.2">
      <c r="Z35647" t="str">
        <f t="shared" si="556"/>
        <v/>
      </c>
    </row>
    <row r="35648" spans="26:26" x14ac:dyDescent="0.2">
      <c r="Z35648" t="str">
        <f t="shared" si="556"/>
        <v/>
      </c>
    </row>
    <row r="35649" spans="26:26" x14ac:dyDescent="0.2">
      <c r="Z35649" t="str">
        <f t="shared" si="556"/>
        <v/>
      </c>
    </row>
    <row r="35650" spans="26:26" x14ac:dyDescent="0.2">
      <c r="Z35650" t="str">
        <f t="shared" si="556"/>
        <v/>
      </c>
    </row>
    <row r="35651" spans="26:26" x14ac:dyDescent="0.2">
      <c r="Z35651" t="str">
        <f t="shared" ref="Z35651:Z35714" si="557">IF(K35651="","",IFERROR(VALUE(TRIM(MID(K35651,FIND(CHAR(167),SUBSTITUTE(K35651,"-",CHAR(167),LEN(K35651)-LEN(SUBSTITUTE(K35651,"-",""))))+1,100))),K35651))</f>
        <v/>
      </c>
    </row>
    <row r="35652" spans="26:26" x14ac:dyDescent="0.2">
      <c r="Z35652" t="str">
        <f t="shared" si="557"/>
        <v/>
      </c>
    </row>
    <row r="35653" spans="26:26" x14ac:dyDescent="0.2">
      <c r="Z35653" t="str">
        <f t="shared" si="557"/>
        <v/>
      </c>
    </row>
    <row r="35654" spans="26:26" x14ac:dyDescent="0.2">
      <c r="Z35654" t="str">
        <f t="shared" si="557"/>
        <v/>
      </c>
    </row>
    <row r="35655" spans="26:26" x14ac:dyDescent="0.2">
      <c r="Z35655" t="str">
        <f t="shared" si="557"/>
        <v/>
      </c>
    </row>
    <row r="35656" spans="26:26" x14ac:dyDescent="0.2">
      <c r="Z35656" t="str">
        <f t="shared" si="557"/>
        <v/>
      </c>
    </row>
    <row r="35657" spans="26:26" x14ac:dyDescent="0.2">
      <c r="Z35657" t="str">
        <f t="shared" si="557"/>
        <v/>
      </c>
    </row>
    <row r="35658" spans="26:26" x14ac:dyDescent="0.2">
      <c r="Z35658" t="str">
        <f t="shared" si="557"/>
        <v/>
      </c>
    </row>
    <row r="35659" spans="26:26" x14ac:dyDescent="0.2">
      <c r="Z35659" t="str">
        <f t="shared" si="557"/>
        <v/>
      </c>
    </row>
    <row r="35660" spans="26:26" x14ac:dyDescent="0.2">
      <c r="Z35660" t="str">
        <f t="shared" si="557"/>
        <v/>
      </c>
    </row>
    <row r="35661" spans="26:26" x14ac:dyDescent="0.2">
      <c r="Z35661" t="str">
        <f t="shared" si="557"/>
        <v/>
      </c>
    </row>
    <row r="35662" spans="26:26" x14ac:dyDescent="0.2">
      <c r="Z35662" t="str">
        <f t="shared" si="557"/>
        <v/>
      </c>
    </row>
    <row r="35663" spans="26:26" x14ac:dyDescent="0.2">
      <c r="Z35663" t="str">
        <f t="shared" si="557"/>
        <v/>
      </c>
    </row>
    <row r="35664" spans="26:26" x14ac:dyDescent="0.2">
      <c r="Z35664" t="str">
        <f t="shared" si="557"/>
        <v/>
      </c>
    </row>
    <row r="35665" spans="26:26" x14ac:dyDescent="0.2">
      <c r="Z35665" t="str">
        <f t="shared" si="557"/>
        <v/>
      </c>
    </row>
    <row r="35666" spans="26:26" x14ac:dyDescent="0.2">
      <c r="Z35666" t="str">
        <f t="shared" si="557"/>
        <v/>
      </c>
    </row>
    <row r="35667" spans="26:26" x14ac:dyDescent="0.2">
      <c r="Z35667" t="str">
        <f t="shared" si="557"/>
        <v/>
      </c>
    </row>
    <row r="35668" spans="26:26" x14ac:dyDescent="0.2">
      <c r="Z35668" t="str">
        <f t="shared" si="557"/>
        <v/>
      </c>
    </row>
    <row r="35669" spans="26:26" x14ac:dyDescent="0.2">
      <c r="Z35669" t="str">
        <f t="shared" si="557"/>
        <v/>
      </c>
    </row>
    <row r="35670" spans="26:26" x14ac:dyDescent="0.2">
      <c r="Z35670" t="str">
        <f t="shared" si="557"/>
        <v/>
      </c>
    </row>
    <row r="35671" spans="26:26" x14ac:dyDescent="0.2">
      <c r="Z35671" t="str">
        <f t="shared" si="557"/>
        <v/>
      </c>
    </row>
    <row r="35672" spans="26:26" x14ac:dyDescent="0.2">
      <c r="Z35672" t="str">
        <f t="shared" si="557"/>
        <v/>
      </c>
    </row>
    <row r="35673" spans="26:26" x14ac:dyDescent="0.2">
      <c r="Z35673" t="str">
        <f t="shared" si="557"/>
        <v/>
      </c>
    </row>
    <row r="35674" spans="26:26" x14ac:dyDescent="0.2">
      <c r="Z35674" t="str">
        <f t="shared" si="557"/>
        <v/>
      </c>
    </row>
    <row r="35675" spans="26:26" x14ac:dyDescent="0.2">
      <c r="Z35675" t="str">
        <f t="shared" si="557"/>
        <v/>
      </c>
    </row>
    <row r="35676" spans="26:26" x14ac:dyDescent="0.2">
      <c r="Z35676" t="str">
        <f t="shared" si="557"/>
        <v/>
      </c>
    </row>
    <row r="35677" spans="26:26" x14ac:dyDescent="0.2">
      <c r="Z35677" t="str">
        <f t="shared" si="557"/>
        <v/>
      </c>
    </row>
    <row r="35678" spans="26:26" x14ac:dyDescent="0.2">
      <c r="Z35678" t="str">
        <f t="shared" si="557"/>
        <v/>
      </c>
    </row>
    <row r="35679" spans="26:26" x14ac:dyDescent="0.2">
      <c r="Z35679" t="str">
        <f t="shared" si="557"/>
        <v/>
      </c>
    </row>
    <row r="35680" spans="26:26" x14ac:dyDescent="0.2">
      <c r="Z35680" t="str">
        <f t="shared" si="557"/>
        <v/>
      </c>
    </row>
    <row r="35681" spans="26:26" x14ac:dyDescent="0.2">
      <c r="Z35681" t="str">
        <f t="shared" si="557"/>
        <v/>
      </c>
    </row>
    <row r="35682" spans="26:26" x14ac:dyDescent="0.2">
      <c r="Z35682" t="str">
        <f t="shared" si="557"/>
        <v/>
      </c>
    </row>
    <row r="35683" spans="26:26" x14ac:dyDescent="0.2">
      <c r="Z35683" t="str">
        <f t="shared" si="557"/>
        <v/>
      </c>
    </row>
    <row r="35684" spans="26:26" x14ac:dyDescent="0.2">
      <c r="Z35684" t="str">
        <f t="shared" si="557"/>
        <v/>
      </c>
    </row>
    <row r="35685" spans="26:26" x14ac:dyDescent="0.2">
      <c r="Z35685" t="str">
        <f t="shared" si="557"/>
        <v/>
      </c>
    </row>
    <row r="35686" spans="26:26" x14ac:dyDescent="0.2">
      <c r="Z35686" t="str">
        <f t="shared" si="557"/>
        <v/>
      </c>
    </row>
    <row r="35687" spans="26:26" x14ac:dyDescent="0.2">
      <c r="Z35687" t="str">
        <f t="shared" si="557"/>
        <v/>
      </c>
    </row>
    <row r="35688" spans="26:26" x14ac:dyDescent="0.2">
      <c r="Z35688" t="str">
        <f t="shared" si="557"/>
        <v/>
      </c>
    </row>
    <row r="35689" spans="26:26" x14ac:dyDescent="0.2">
      <c r="Z35689" t="str">
        <f t="shared" si="557"/>
        <v/>
      </c>
    </row>
    <row r="35690" spans="26:26" x14ac:dyDescent="0.2">
      <c r="Z35690" t="str">
        <f t="shared" si="557"/>
        <v/>
      </c>
    </row>
    <row r="35691" spans="26:26" x14ac:dyDescent="0.2">
      <c r="Z35691" t="str">
        <f t="shared" si="557"/>
        <v/>
      </c>
    </row>
    <row r="35692" spans="26:26" x14ac:dyDescent="0.2">
      <c r="Z35692" t="str">
        <f t="shared" si="557"/>
        <v/>
      </c>
    </row>
    <row r="35693" spans="26:26" x14ac:dyDescent="0.2">
      <c r="Z35693" t="str">
        <f t="shared" si="557"/>
        <v/>
      </c>
    </row>
    <row r="35694" spans="26:26" x14ac:dyDescent="0.2">
      <c r="Z35694" t="str">
        <f t="shared" si="557"/>
        <v/>
      </c>
    </row>
    <row r="35695" spans="26:26" x14ac:dyDescent="0.2">
      <c r="Z35695" t="str">
        <f t="shared" si="557"/>
        <v/>
      </c>
    </row>
    <row r="35696" spans="26:26" x14ac:dyDescent="0.2">
      <c r="Z35696" t="str">
        <f t="shared" si="557"/>
        <v/>
      </c>
    </row>
    <row r="35697" spans="26:26" x14ac:dyDescent="0.2">
      <c r="Z35697" t="str">
        <f t="shared" si="557"/>
        <v/>
      </c>
    </row>
    <row r="35698" spans="26:26" x14ac:dyDescent="0.2">
      <c r="Z35698" t="str">
        <f t="shared" si="557"/>
        <v/>
      </c>
    </row>
    <row r="35699" spans="26:26" x14ac:dyDescent="0.2">
      <c r="Z35699" t="str">
        <f t="shared" si="557"/>
        <v/>
      </c>
    </row>
    <row r="35700" spans="26:26" x14ac:dyDescent="0.2">
      <c r="Z35700" t="str">
        <f t="shared" si="557"/>
        <v/>
      </c>
    </row>
    <row r="35701" spans="26:26" x14ac:dyDescent="0.2">
      <c r="Z35701" t="str">
        <f t="shared" si="557"/>
        <v/>
      </c>
    </row>
    <row r="35702" spans="26:26" x14ac:dyDescent="0.2">
      <c r="Z35702" t="str">
        <f t="shared" si="557"/>
        <v/>
      </c>
    </row>
    <row r="35703" spans="26:26" x14ac:dyDescent="0.2">
      <c r="Z35703" t="str">
        <f t="shared" si="557"/>
        <v/>
      </c>
    </row>
    <row r="35704" spans="26:26" x14ac:dyDescent="0.2">
      <c r="Z35704" t="str">
        <f t="shared" si="557"/>
        <v/>
      </c>
    </row>
    <row r="35705" spans="26:26" x14ac:dyDescent="0.2">
      <c r="Z35705" t="str">
        <f t="shared" si="557"/>
        <v/>
      </c>
    </row>
    <row r="35706" spans="26:26" x14ac:dyDescent="0.2">
      <c r="Z35706" t="str">
        <f t="shared" si="557"/>
        <v/>
      </c>
    </row>
    <row r="35707" spans="26:26" x14ac:dyDescent="0.2">
      <c r="Z35707" t="str">
        <f t="shared" si="557"/>
        <v/>
      </c>
    </row>
    <row r="35708" spans="26:26" x14ac:dyDescent="0.2">
      <c r="Z35708" t="str">
        <f t="shared" si="557"/>
        <v/>
      </c>
    </row>
    <row r="35709" spans="26:26" x14ac:dyDescent="0.2">
      <c r="Z35709" t="str">
        <f t="shared" si="557"/>
        <v/>
      </c>
    </row>
    <row r="35710" spans="26:26" x14ac:dyDescent="0.2">
      <c r="Z35710" t="str">
        <f t="shared" si="557"/>
        <v/>
      </c>
    </row>
    <row r="35711" spans="26:26" x14ac:dyDescent="0.2">
      <c r="Z35711" t="str">
        <f t="shared" si="557"/>
        <v/>
      </c>
    </row>
    <row r="35712" spans="26:26" x14ac:dyDescent="0.2">
      <c r="Z35712" t="str">
        <f t="shared" si="557"/>
        <v/>
      </c>
    </row>
    <row r="35713" spans="26:26" x14ac:dyDescent="0.2">
      <c r="Z35713" t="str">
        <f t="shared" si="557"/>
        <v/>
      </c>
    </row>
    <row r="35714" spans="26:26" x14ac:dyDescent="0.2">
      <c r="Z35714" t="str">
        <f t="shared" si="557"/>
        <v/>
      </c>
    </row>
    <row r="35715" spans="26:26" x14ac:dyDescent="0.2">
      <c r="Z35715" t="str">
        <f t="shared" ref="Z35715:Z35778" si="558">IF(K35715="","",IFERROR(VALUE(TRIM(MID(K35715,FIND(CHAR(167),SUBSTITUTE(K35715,"-",CHAR(167),LEN(K35715)-LEN(SUBSTITUTE(K35715,"-",""))))+1,100))),K35715))</f>
        <v/>
      </c>
    </row>
    <row r="35716" spans="26:26" x14ac:dyDescent="0.2">
      <c r="Z35716" t="str">
        <f t="shared" si="558"/>
        <v/>
      </c>
    </row>
    <row r="35717" spans="26:26" x14ac:dyDescent="0.2">
      <c r="Z35717" t="str">
        <f t="shared" si="558"/>
        <v/>
      </c>
    </row>
    <row r="35718" spans="26:26" x14ac:dyDescent="0.2">
      <c r="Z35718" t="str">
        <f t="shared" si="558"/>
        <v/>
      </c>
    </row>
    <row r="35719" spans="26:26" x14ac:dyDescent="0.2">
      <c r="Z35719" t="str">
        <f t="shared" si="558"/>
        <v/>
      </c>
    </row>
    <row r="35720" spans="26:26" x14ac:dyDescent="0.2">
      <c r="Z35720" t="str">
        <f t="shared" si="558"/>
        <v/>
      </c>
    </row>
    <row r="35721" spans="26:26" x14ac:dyDescent="0.2">
      <c r="Z35721" t="str">
        <f t="shared" si="558"/>
        <v/>
      </c>
    </row>
    <row r="35722" spans="26:26" x14ac:dyDescent="0.2">
      <c r="Z35722" t="str">
        <f t="shared" si="558"/>
        <v/>
      </c>
    </row>
    <row r="35723" spans="26:26" x14ac:dyDescent="0.2">
      <c r="Z35723" t="str">
        <f t="shared" si="558"/>
        <v/>
      </c>
    </row>
    <row r="35724" spans="26:26" x14ac:dyDescent="0.2">
      <c r="Z35724" t="str">
        <f t="shared" si="558"/>
        <v/>
      </c>
    </row>
    <row r="35725" spans="26:26" x14ac:dyDescent="0.2">
      <c r="Z35725" t="str">
        <f t="shared" si="558"/>
        <v/>
      </c>
    </row>
    <row r="35726" spans="26:26" x14ac:dyDescent="0.2">
      <c r="Z35726" t="str">
        <f t="shared" si="558"/>
        <v/>
      </c>
    </row>
    <row r="35727" spans="26:26" x14ac:dyDescent="0.2">
      <c r="Z35727" t="str">
        <f t="shared" si="558"/>
        <v/>
      </c>
    </row>
    <row r="35728" spans="26:26" x14ac:dyDescent="0.2">
      <c r="Z35728" t="str">
        <f t="shared" si="558"/>
        <v/>
      </c>
    </row>
    <row r="35729" spans="26:26" x14ac:dyDescent="0.2">
      <c r="Z35729" t="str">
        <f t="shared" si="558"/>
        <v/>
      </c>
    </row>
    <row r="35730" spans="26:26" x14ac:dyDescent="0.2">
      <c r="Z35730" t="str">
        <f t="shared" si="558"/>
        <v/>
      </c>
    </row>
    <row r="35731" spans="26:26" x14ac:dyDescent="0.2">
      <c r="Z35731" t="str">
        <f t="shared" si="558"/>
        <v/>
      </c>
    </row>
    <row r="35732" spans="26:26" x14ac:dyDescent="0.2">
      <c r="Z35732" t="str">
        <f t="shared" si="558"/>
        <v/>
      </c>
    </row>
    <row r="35733" spans="26:26" x14ac:dyDescent="0.2">
      <c r="Z35733" t="str">
        <f t="shared" si="558"/>
        <v/>
      </c>
    </row>
    <row r="35734" spans="26:26" x14ac:dyDescent="0.2">
      <c r="Z35734" t="str">
        <f t="shared" si="558"/>
        <v/>
      </c>
    </row>
    <row r="35735" spans="26:26" x14ac:dyDescent="0.2">
      <c r="Z35735" t="str">
        <f t="shared" si="558"/>
        <v/>
      </c>
    </row>
    <row r="35736" spans="26:26" x14ac:dyDescent="0.2">
      <c r="Z35736" t="str">
        <f t="shared" si="558"/>
        <v/>
      </c>
    </row>
    <row r="35737" spans="26:26" x14ac:dyDescent="0.2">
      <c r="Z35737" t="str">
        <f t="shared" si="558"/>
        <v/>
      </c>
    </row>
    <row r="35738" spans="26:26" x14ac:dyDescent="0.2">
      <c r="Z35738" t="str">
        <f t="shared" si="558"/>
        <v/>
      </c>
    </row>
    <row r="35739" spans="26:26" x14ac:dyDescent="0.2">
      <c r="Z35739" t="str">
        <f t="shared" si="558"/>
        <v/>
      </c>
    </row>
    <row r="35740" spans="26:26" x14ac:dyDescent="0.2">
      <c r="Z35740" t="str">
        <f t="shared" si="558"/>
        <v/>
      </c>
    </row>
    <row r="35741" spans="26:26" x14ac:dyDescent="0.2">
      <c r="Z35741" t="str">
        <f t="shared" si="558"/>
        <v/>
      </c>
    </row>
    <row r="35742" spans="26:26" x14ac:dyDescent="0.2">
      <c r="Z35742" t="str">
        <f t="shared" si="558"/>
        <v/>
      </c>
    </row>
    <row r="35743" spans="26:26" x14ac:dyDescent="0.2">
      <c r="Z35743" t="str">
        <f t="shared" si="558"/>
        <v/>
      </c>
    </row>
    <row r="35744" spans="26:26" x14ac:dyDescent="0.2">
      <c r="Z35744" t="str">
        <f t="shared" si="558"/>
        <v/>
      </c>
    </row>
    <row r="35745" spans="26:26" x14ac:dyDescent="0.2">
      <c r="Z35745" t="str">
        <f t="shared" si="558"/>
        <v/>
      </c>
    </row>
    <row r="35746" spans="26:26" x14ac:dyDescent="0.2">
      <c r="Z35746" t="str">
        <f t="shared" si="558"/>
        <v/>
      </c>
    </row>
    <row r="35747" spans="26:26" x14ac:dyDescent="0.2">
      <c r="Z35747" t="str">
        <f t="shared" si="558"/>
        <v/>
      </c>
    </row>
    <row r="35748" spans="26:26" x14ac:dyDescent="0.2">
      <c r="Z35748" t="str">
        <f t="shared" si="558"/>
        <v/>
      </c>
    </row>
    <row r="35749" spans="26:26" x14ac:dyDescent="0.2">
      <c r="Z35749" t="str">
        <f t="shared" si="558"/>
        <v/>
      </c>
    </row>
    <row r="35750" spans="26:26" x14ac:dyDescent="0.2">
      <c r="Z35750" t="str">
        <f t="shared" si="558"/>
        <v/>
      </c>
    </row>
    <row r="35751" spans="26:26" x14ac:dyDescent="0.2">
      <c r="Z35751" t="str">
        <f t="shared" si="558"/>
        <v/>
      </c>
    </row>
    <row r="35752" spans="26:26" x14ac:dyDescent="0.2">
      <c r="Z35752" t="str">
        <f t="shared" si="558"/>
        <v/>
      </c>
    </row>
    <row r="35753" spans="26:26" x14ac:dyDescent="0.2">
      <c r="Z35753" t="str">
        <f t="shared" si="558"/>
        <v/>
      </c>
    </row>
    <row r="35754" spans="26:26" x14ac:dyDescent="0.2">
      <c r="Z35754" t="str">
        <f t="shared" si="558"/>
        <v/>
      </c>
    </row>
    <row r="35755" spans="26:26" x14ac:dyDescent="0.2">
      <c r="Z35755" t="str">
        <f t="shared" si="558"/>
        <v/>
      </c>
    </row>
    <row r="35756" spans="26:26" x14ac:dyDescent="0.2">
      <c r="Z35756" t="str">
        <f t="shared" si="558"/>
        <v/>
      </c>
    </row>
    <row r="35757" spans="26:26" x14ac:dyDescent="0.2">
      <c r="Z35757" t="str">
        <f t="shared" si="558"/>
        <v/>
      </c>
    </row>
    <row r="35758" spans="26:26" x14ac:dyDescent="0.2">
      <c r="Z35758" t="str">
        <f t="shared" si="558"/>
        <v/>
      </c>
    </row>
    <row r="35759" spans="26:26" x14ac:dyDescent="0.2">
      <c r="Z35759" t="str">
        <f t="shared" si="558"/>
        <v/>
      </c>
    </row>
    <row r="35760" spans="26:26" x14ac:dyDescent="0.2">
      <c r="Z35760" t="str">
        <f t="shared" si="558"/>
        <v/>
      </c>
    </row>
    <row r="35761" spans="26:26" x14ac:dyDescent="0.2">
      <c r="Z35761" t="str">
        <f t="shared" si="558"/>
        <v/>
      </c>
    </row>
    <row r="35762" spans="26:26" x14ac:dyDescent="0.2">
      <c r="Z35762" t="str">
        <f t="shared" si="558"/>
        <v/>
      </c>
    </row>
    <row r="35763" spans="26:26" x14ac:dyDescent="0.2">
      <c r="Z35763" t="str">
        <f t="shared" si="558"/>
        <v/>
      </c>
    </row>
    <row r="35764" spans="26:26" x14ac:dyDescent="0.2">
      <c r="Z35764" t="str">
        <f t="shared" si="558"/>
        <v/>
      </c>
    </row>
    <row r="35765" spans="26:26" x14ac:dyDescent="0.2">
      <c r="Z35765" t="str">
        <f t="shared" si="558"/>
        <v/>
      </c>
    </row>
    <row r="35766" spans="26:26" x14ac:dyDescent="0.2">
      <c r="Z35766" t="str">
        <f t="shared" si="558"/>
        <v/>
      </c>
    </row>
    <row r="35767" spans="26:26" x14ac:dyDescent="0.2">
      <c r="Z35767" t="str">
        <f t="shared" si="558"/>
        <v/>
      </c>
    </row>
    <row r="35768" spans="26:26" x14ac:dyDescent="0.2">
      <c r="Z35768" t="str">
        <f t="shared" si="558"/>
        <v/>
      </c>
    </row>
    <row r="35769" spans="26:26" x14ac:dyDescent="0.2">
      <c r="Z35769" t="str">
        <f t="shared" si="558"/>
        <v/>
      </c>
    </row>
    <row r="35770" spans="26:26" x14ac:dyDescent="0.2">
      <c r="Z35770" t="str">
        <f t="shared" si="558"/>
        <v/>
      </c>
    </row>
    <row r="35771" spans="26:26" x14ac:dyDescent="0.2">
      <c r="Z35771" t="str">
        <f t="shared" si="558"/>
        <v/>
      </c>
    </row>
    <row r="35772" spans="26:26" x14ac:dyDescent="0.2">
      <c r="Z35772" t="str">
        <f t="shared" si="558"/>
        <v/>
      </c>
    </row>
    <row r="35773" spans="26:26" x14ac:dyDescent="0.2">
      <c r="Z35773" t="str">
        <f t="shared" si="558"/>
        <v/>
      </c>
    </row>
    <row r="35774" spans="26:26" x14ac:dyDescent="0.2">
      <c r="Z35774" t="str">
        <f t="shared" si="558"/>
        <v/>
      </c>
    </row>
    <row r="35775" spans="26:26" x14ac:dyDescent="0.2">
      <c r="Z35775" t="str">
        <f t="shared" si="558"/>
        <v/>
      </c>
    </row>
    <row r="35776" spans="26:26" x14ac:dyDescent="0.2">
      <c r="Z35776" t="str">
        <f t="shared" si="558"/>
        <v/>
      </c>
    </row>
    <row r="35777" spans="26:26" x14ac:dyDescent="0.2">
      <c r="Z35777" t="str">
        <f t="shared" si="558"/>
        <v/>
      </c>
    </row>
    <row r="35778" spans="26:26" x14ac:dyDescent="0.2">
      <c r="Z35778" t="str">
        <f t="shared" si="558"/>
        <v/>
      </c>
    </row>
    <row r="35779" spans="26:26" x14ac:dyDescent="0.2">
      <c r="Z35779" t="str">
        <f t="shared" ref="Z35779:Z35842" si="559">IF(K35779="","",IFERROR(VALUE(TRIM(MID(K35779,FIND(CHAR(167),SUBSTITUTE(K35779,"-",CHAR(167),LEN(K35779)-LEN(SUBSTITUTE(K35779,"-",""))))+1,100))),K35779))</f>
        <v/>
      </c>
    </row>
    <row r="35780" spans="26:26" x14ac:dyDescent="0.2">
      <c r="Z35780" t="str">
        <f t="shared" si="559"/>
        <v/>
      </c>
    </row>
    <row r="35781" spans="26:26" x14ac:dyDescent="0.2">
      <c r="Z35781" t="str">
        <f t="shared" si="559"/>
        <v/>
      </c>
    </row>
    <row r="35782" spans="26:26" x14ac:dyDescent="0.2">
      <c r="Z35782" t="str">
        <f t="shared" si="559"/>
        <v/>
      </c>
    </row>
    <row r="35783" spans="26:26" x14ac:dyDescent="0.2">
      <c r="Z35783" t="str">
        <f t="shared" si="559"/>
        <v/>
      </c>
    </row>
    <row r="35784" spans="26:26" x14ac:dyDescent="0.2">
      <c r="Z35784" t="str">
        <f t="shared" si="559"/>
        <v/>
      </c>
    </row>
    <row r="35785" spans="26:26" x14ac:dyDescent="0.2">
      <c r="Z35785" t="str">
        <f t="shared" si="559"/>
        <v/>
      </c>
    </row>
    <row r="35786" spans="26:26" x14ac:dyDescent="0.2">
      <c r="Z35786" t="str">
        <f t="shared" si="559"/>
        <v/>
      </c>
    </row>
    <row r="35787" spans="26:26" x14ac:dyDescent="0.2">
      <c r="Z35787" t="str">
        <f t="shared" si="559"/>
        <v/>
      </c>
    </row>
    <row r="35788" spans="26:26" x14ac:dyDescent="0.2">
      <c r="Z35788" t="str">
        <f t="shared" si="559"/>
        <v/>
      </c>
    </row>
    <row r="35789" spans="26:26" x14ac:dyDescent="0.2">
      <c r="Z35789" t="str">
        <f t="shared" si="559"/>
        <v/>
      </c>
    </row>
    <row r="35790" spans="26:26" x14ac:dyDescent="0.2">
      <c r="Z35790" t="str">
        <f t="shared" si="559"/>
        <v/>
      </c>
    </row>
    <row r="35791" spans="26:26" x14ac:dyDescent="0.2">
      <c r="Z35791" t="str">
        <f t="shared" si="559"/>
        <v/>
      </c>
    </row>
    <row r="35792" spans="26:26" x14ac:dyDescent="0.2">
      <c r="Z35792" t="str">
        <f t="shared" si="559"/>
        <v/>
      </c>
    </row>
    <row r="35793" spans="26:26" x14ac:dyDescent="0.2">
      <c r="Z35793" t="str">
        <f t="shared" si="559"/>
        <v/>
      </c>
    </row>
    <row r="35794" spans="26:26" x14ac:dyDescent="0.2">
      <c r="Z35794" t="str">
        <f t="shared" si="559"/>
        <v/>
      </c>
    </row>
    <row r="35795" spans="26:26" x14ac:dyDescent="0.2">
      <c r="Z35795" t="str">
        <f t="shared" si="559"/>
        <v/>
      </c>
    </row>
    <row r="35796" spans="26:26" x14ac:dyDescent="0.2">
      <c r="Z35796" t="str">
        <f t="shared" si="559"/>
        <v/>
      </c>
    </row>
    <row r="35797" spans="26:26" x14ac:dyDescent="0.2">
      <c r="Z35797" t="str">
        <f t="shared" si="559"/>
        <v/>
      </c>
    </row>
    <row r="35798" spans="26:26" x14ac:dyDescent="0.2">
      <c r="Z35798" t="str">
        <f t="shared" si="559"/>
        <v/>
      </c>
    </row>
    <row r="35799" spans="26:26" x14ac:dyDescent="0.2">
      <c r="Z35799" t="str">
        <f t="shared" si="559"/>
        <v/>
      </c>
    </row>
    <row r="35800" spans="26:26" x14ac:dyDescent="0.2">
      <c r="Z35800" t="str">
        <f t="shared" si="559"/>
        <v/>
      </c>
    </row>
    <row r="35801" spans="26:26" x14ac:dyDescent="0.2">
      <c r="Z35801" t="str">
        <f t="shared" si="559"/>
        <v/>
      </c>
    </row>
    <row r="35802" spans="26:26" x14ac:dyDescent="0.2">
      <c r="Z35802" t="str">
        <f t="shared" si="559"/>
        <v/>
      </c>
    </row>
    <row r="35803" spans="26:26" x14ac:dyDescent="0.2">
      <c r="Z35803" t="str">
        <f t="shared" si="559"/>
        <v/>
      </c>
    </row>
    <row r="35804" spans="26:26" x14ac:dyDescent="0.2">
      <c r="Z35804" t="str">
        <f t="shared" si="559"/>
        <v/>
      </c>
    </row>
    <row r="35805" spans="26:26" x14ac:dyDescent="0.2">
      <c r="Z35805" t="str">
        <f t="shared" si="559"/>
        <v/>
      </c>
    </row>
    <row r="35806" spans="26:26" x14ac:dyDescent="0.2">
      <c r="Z35806" t="str">
        <f t="shared" si="559"/>
        <v/>
      </c>
    </row>
    <row r="35807" spans="26:26" x14ac:dyDescent="0.2">
      <c r="Z35807" t="str">
        <f t="shared" si="559"/>
        <v/>
      </c>
    </row>
    <row r="35808" spans="26:26" x14ac:dyDescent="0.2">
      <c r="Z35808" t="str">
        <f t="shared" si="559"/>
        <v/>
      </c>
    </row>
    <row r="35809" spans="26:26" x14ac:dyDescent="0.2">
      <c r="Z35809" t="str">
        <f t="shared" si="559"/>
        <v/>
      </c>
    </row>
    <row r="35810" spans="26:26" x14ac:dyDescent="0.2">
      <c r="Z35810" t="str">
        <f t="shared" si="559"/>
        <v/>
      </c>
    </row>
    <row r="35811" spans="26:26" x14ac:dyDescent="0.2">
      <c r="Z35811" t="str">
        <f t="shared" si="559"/>
        <v/>
      </c>
    </row>
    <row r="35812" spans="26:26" x14ac:dyDescent="0.2">
      <c r="Z35812" t="str">
        <f t="shared" si="559"/>
        <v/>
      </c>
    </row>
    <row r="35813" spans="26:26" x14ac:dyDescent="0.2">
      <c r="Z35813" t="str">
        <f t="shared" si="559"/>
        <v/>
      </c>
    </row>
    <row r="35814" spans="26:26" x14ac:dyDescent="0.2">
      <c r="Z35814" t="str">
        <f t="shared" si="559"/>
        <v/>
      </c>
    </row>
    <row r="35815" spans="26:26" x14ac:dyDescent="0.2">
      <c r="Z35815" t="str">
        <f t="shared" si="559"/>
        <v/>
      </c>
    </row>
    <row r="35816" spans="26:26" x14ac:dyDescent="0.2">
      <c r="Z35816" t="str">
        <f t="shared" si="559"/>
        <v/>
      </c>
    </row>
    <row r="35817" spans="26:26" x14ac:dyDescent="0.2">
      <c r="Z35817" t="str">
        <f t="shared" si="559"/>
        <v/>
      </c>
    </row>
    <row r="35818" spans="26:26" x14ac:dyDescent="0.2">
      <c r="Z35818" t="str">
        <f t="shared" si="559"/>
        <v/>
      </c>
    </row>
    <row r="35819" spans="26:26" x14ac:dyDescent="0.2">
      <c r="Z35819" t="str">
        <f t="shared" si="559"/>
        <v/>
      </c>
    </row>
    <row r="35820" spans="26:26" x14ac:dyDescent="0.2">
      <c r="Z35820" t="str">
        <f t="shared" si="559"/>
        <v/>
      </c>
    </row>
    <row r="35821" spans="26:26" x14ac:dyDescent="0.2">
      <c r="Z35821" t="str">
        <f t="shared" si="559"/>
        <v/>
      </c>
    </row>
    <row r="35822" spans="26:26" x14ac:dyDescent="0.2">
      <c r="Z35822" t="str">
        <f t="shared" si="559"/>
        <v/>
      </c>
    </row>
    <row r="35823" spans="26:26" x14ac:dyDescent="0.2">
      <c r="Z35823" t="str">
        <f t="shared" si="559"/>
        <v/>
      </c>
    </row>
    <row r="35824" spans="26:26" x14ac:dyDescent="0.2">
      <c r="Z35824" t="str">
        <f t="shared" si="559"/>
        <v/>
      </c>
    </row>
    <row r="35825" spans="26:26" x14ac:dyDescent="0.2">
      <c r="Z35825" t="str">
        <f t="shared" si="559"/>
        <v/>
      </c>
    </row>
    <row r="35826" spans="26:26" x14ac:dyDescent="0.2">
      <c r="Z35826" t="str">
        <f t="shared" si="559"/>
        <v/>
      </c>
    </row>
    <row r="35827" spans="26:26" x14ac:dyDescent="0.2">
      <c r="Z35827" t="str">
        <f t="shared" si="559"/>
        <v/>
      </c>
    </row>
    <row r="35828" spans="26:26" x14ac:dyDescent="0.2">
      <c r="Z35828" t="str">
        <f t="shared" si="559"/>
        <v/>
      </c>
    </row>
    <row r="35829" spans="26:26" x14ac:dyDescent="0.2">
      <c r="Z35829" t="str">
        <f t="shared" si="559"/>
        <v/>
      </c>
    </row>
    <row r="35830" spans="26:26" x14ac:dyDescent="0.2">
      <c r="Z35830" t="str">
        <f t="shared" si="559"/>
        <v/>
      </c>
    </row>
    <row r="35831" spans="26:26" x14ac:dyDescent="0.2">
      <c r="Z35831" t="str">
        <f t="shared" si="559"/>
        <v/>
      </c>
    </row>
    <row r="35832" spans="26:26" x14ac:dyDescent="0.2">
      <c r="Z35832" t="str">
        <f t="shared" si="559"/>
        <v/>
      </c>
    </row>
    <row r="35833" spans="26:26" x14ac:dyDescent="0.2">
      <c r="Z35833" t="str">
        <f t="shared" si="559"/>
        <v/>
      </c>
    </row>
    <row r="35834" spans="26:26" x14ac:dyDescent="0.2">
      <c r="Z35834" t="str">
        <f t="shared" si="559"/>
        <v/>
      </c>
    </row>
    <row r="35835" spans="26:26" x14ac:dyDescent="0.2">
      <c r="Z35835" t="str">
        <f t="shared" si="559"/>
        <v/>
      </c>
    </row>
    <row r="35836" spans="26:26" x14ac:dyDescent="0.2">
      <c r="Z35836" t="str">
        <f t="shared" si="559"/>
        <v/>
      </c>
    </row>
    <row r="35837" spans="26:26" x14ac:dyDescent="0.2">
      <c r="Z35837" t="str">
        <f t="shared" si="559"/>
        <v/>
      </c>
    </row>
    <row r="35838" spans="26:26" x14ac:dyDescent="0.2">
      <c r="Z35838" t="str">
        <f t="shared" si="559"/>
        <v/>
      </c>
    </row>
    <row r="35839" spans="26:26" x14ac:dyDescent="0.2">
      <c r="Z35839" t="str">
        <f t="shared" si="559"/>
        <v/>
      </c>
    </row>
    <row r="35840" spans="26:26" x14ac:dyDescent="0.2">
      <c r="Z35840" t="str">
        <f t="shared" si="559"/>
        <v/>
      </c>
    </row>
    <row r="35841" spans="26:26" x14ac:dyDescent="0.2">
      <c r="Z35841" t="str">
        <f t="shared" si="559"/>
        <v/>
      </c>
    </row>
    <row r="35842" spans="26:26" x14ac:dyDescent="0.2">
      <c r="Z35842" t="str">
        <f t="shared" si="559"/>
        <v/>
      </c>
    </row>
    <row r="35843" spans="26:26" x14ac:dyDescent="0.2">
      <c r="Z35843" t="str">
        <f t="shared" ref="Z35843:Z35906" si="560">IF(K35843="","",IFERROR(VALUE(TRIM(MID(K35843,FIND(CHAR(167),SUBSTITUTE(K35843,"-",CHAR(167),LEN(K35843)-LEN(SUBSTITUTE(K35843,"-",""))))+1,100))),K35843))</f>
        <v/>
      </c>
    </row>
    <row r="35844" spans="26:26" x14ac:dyDescent="0.2">
      <c r="Z35844" t="str">
        <f t="shared" si="560"/>
        <v/>
      </c>
    </row>
    <row r="35845" spans="26:26" x14ac:dyDescent="0.2">
      <c r="Z35845" t="str">
        <f t="shared" si="560"/>
        <v/>
      </c>
    </row>
    <row r="35846" spans="26:26" x14ac:dyDescent="0.2">
      <c r="Z35846" t="str">
        <f t="shared" si="560"/>
        <v/>
      </c>
    </row>
    <row r="35847" spans="26:26" x14ac:dyDescent="0.2">
      <c r="Z35847" t="str">
        <f t="shared" si="560"/>
        <v/>
      </c>
    </row>
    <row r="35848" spans="26:26" x14ac:dyDescent="0.2">
      <c r="Z35848" t="str">
        <f t="shared" si="560"/>
        <v/>
      </c>
    </row>
    <row r="35849" spans="26:26" x14ac:dyDescent="0.2">
      <c r="Z35849" t="str">
        <f t="shared" si="560"/>
        <v/>
      </c>
    </row>
    <row r="35850" spans="26:26" x14ac:dyDescent="0.2">
      <c r="Z35850" t="str">
        <f t="shared" si="560"/>
        <v/>
      </c>
    </row>
    <row r="35851" spans="26:26" x14ac:dyDescent="0.2">
      <c r="Z35851" t="str">
        <f t="shared" si="560"/>
        <v/>
      </c>
    </row>
    <row r="35852" spans="26:26" x14ac:dyDescent="0.2">
      <c r="Z35852" t="str">
        <f t="shared" si="560"/>
        <v/>
      </c>
    </row>
    <row r="35853" spans="26:26" x14ac:dyDescent="0.2">
      <c r="Z35853" t="str">
        <f t="shared" si="560"/>
        <v/>
      </c>
    </row>
    <row r="35854" spans="26:26" x14ac:dyDescent="0.2">
      <c r="Z35854" t="str">
        <f t="shared" si="560"/>
        <v/>
      </c>
    </row>
    <row r="35855" spans="26:26" x14ac:dyDescent="0.2">
      <c r="Z35855" t="str">
        <f t="shared" si="560"/>
        <v/>
      </c>
    </row>
    <row r="35856" spans="26:26" x14ac:dyDescent="0.2">
      <c r="Z35856" t="str">
        <f t="shared" si="560"/>
        <v/>
      </c>
    </row>
    <row r="35857" spans="26:26" x14ac:dyDescent="0.2">
      <c r="Z35857" t="str">
        <f t="shared" si="560"/>
        <v/>
      </c>
    </row>
    <row r="35858" spans="26:26" x14ac:dyDescent="0.2">
      <c r="Z35858" t="str">
        <f t="shared" si="560"/>
        <v/>
      </c>
    </row>
    <row r="35859" spans="26:26" x14ac:dyDescent="0.2">
      <c r="Z35859" t="str">
        <f t="shared" si="560"/>
        <v/>
      </c>
    </row>
    <row r="35860" spans="26:26" x14ac:dyDescent="0.2">
      <c r="Z35860" t="str">
        <f t="shared" si="560"/>
        <v/>
      </c>
    </row>
    <row r="35861" spans="26:26" x14ac:dyDescent="0.2">
      <c r="Z35861" t="str">
        <f t="shared" si="560"/>
        <v/>
      </c>
    </row>
    <row r="35862" spans="26:26" x14ac:dyDescent="0.2">
      <c r="Z35862" t="str">
        <f t="shared" si="560"/>
        <v/>
      </c>
    </row>
    <row r="35863" spans="26:26" x14ac:dyDescent="0.2">
      <c r="Z35863" t="str">
        <f t="shared" si="560"/>
        <v/>
      </c>
    </row>
    <row r="35864" spans="26:26" x14ac:dyDescent="0.2">
      <c r="Z35864" t="str">
        <f t="shared" si="560"/>
        <v/>
      </c>
    </row>
    <row r="35865" spans="26:26" x14ac:dyDescent="0.2">
      <c r="Z35865" t="str">
        <f t="shared" si="560"/>
        <v/>
      </c>
    </row>
    <row r="35866" spans="26:26" x14ac:dyDescent="0.2">
      <c r="Z35866" t="str">
        <f t="shared" si="560"/>
        <v/>
      </c>
    </row>
    <row r="35867" spans="26:26" x14ac:dyDescent="0.2">
      <c r="Z35867" t="str">
        <f t="shared" si="560"/>
        <v/>
      </c>
    </row>
    <row r="35868" spans="26:26" x14ac:dyDescent="0.2">
      <c r="Z35868" t="str">
        <f t="shared" si="560"/>
        <v/>
      </c>
    </row>
    <row r="35869" spans="26:26" x14ac:dyDescent="0.2">
      <c r="Z35869" t="str">
        <f t="shared" si="560"/>
        <v/>
      </c>
    </row>
    <row r="35870" spans="26:26" x14ac:dyDescent="0.2">
      <c r="Z35870" t="str">
        <f t="shared" si="560"/>
        <v/>
      </c>
    </row>
    <row r="35871" spans="26:26" x14ac:dyDescent="0.2">
      <c r="Z35871" t="str">
        <f t="shared" si="560"/>
        <v/>
      </c>
    </row>
    <row r="35872" spans="26:26" x14ac:dyDescent="0.2">
      <c r="Z35872" t="str">
        <f t="shared" si="560"/>
        <v/>
      </c>
    </row>
    <row r="35873" spans="26:26" x14ac:dyDescent="0.2">
      <c r="Z35873" t="str">
        <f t="shared" si="560"/>
        <v/>
      </c>
    </row>
    <row r="35874" spans="26:26" x14ac:dyDescent="0.2">
      <c r="Z35874" t="str">
        <f t="shared" si="560"/>
        <v/>
      </c>
    </row>
    <row r="35875" spans="26:26" x14ac:dyDescent="0.2">
      <c r="Z35875" t="str">
        <f t="shared" si="560"/>
        <v/>
      </c>
    </row>
    <row r="35876" spans="26:26" x14ac:dyDescent="0.2">
      <c r="Z35876" t="str">
        <f t="shared" si="560"/>
        <v/>
      </c>
    </row>
    <row r="35877" spans="26:26" x14ac:dyDescent="0.2">
      <c r="Z35877" t="str">
        <f t="shared" si="560"/>
        <v/>
      </c>
    </row>
    <row r="35878" spans="26:26" x14ac:dyDescent="0.2">
      <c r="Z35878" t="str">
        <f t="shared" si="560"/>
        <v/>
      </c>
    </row>
    <row r="35879" spans="26:26" x14ac:dyDescent="0.2">
      <c r="Z35879" t="str">
        <f t="shared" si="560"/>
        <v/>
      </c>
    </row>
    <row r="35880" spans="26:26" x14ac:dyDescent="0.2">
      <c r="Z35880" t="str">
        <f t="shared" si="560"/>
        <v/>
      </c>
    </row>
    <row r="35881" spans="26:26" x14ac:dyDescent="0.2">
      <c r="Z35881" t="str">
        <f t="shared" si="560"/>
        <v/>
      </c>
    </row>
    <row r="35882" spans="26:26" x14ac:dyDescent="0.2">
      <c r="Z35882" t="str">
        <f t="shared" si="560"/>
        <v/>
      </c>
    </row>
    <row r="35883" spans="26:26" x14ac:dyDescent="0.2">
      <c r="Z35883" t="str">
        <f t="shared" si="560"/>
        <v/>
      </c>
    </row>
    <row r="35884" spans="26:26" x14ac:dyDescent="0.2">
      <c r="Z35884" t="str">
        <f t="shared" si="560"/>
        <v/>
      </c>
    </row>
    <row r="35885" spans="26:26" x14ac:dyDescent="0.2">
      <c r="Z35885" t="str">
        <f t="shared" si="560"/>
        <v/>
      </c>
    </row>
    <row r="35886" spans="26:26" x14ac:dyDescent="0.2">
      <c r="Z35886" t="str">
        <f t="shared" si="560"/>
        <v/>
      </c>
    </row>
    <row r="35887" spans="26:26" x14ac:dyDescent="0.2">
      <c r="Z35887" t="str">
        <f t="shared" si="560"/>
        <v/>
      </c>
    </row>
    <row r="35888" spans="26:26" x14ac:dyDescent="0.2">
      <c r="Z35888" t="str">
        <f t="shared" si="560"/>
        <v/>
      </c>
    </row>
    <row r="35889" spans="26:26" x14ac:dyDescent="0.2">
      <c r="Z35889" t="str">
        <f t="shared" si="560"/>
        <v/>
      </c>
    </row>
    <row r="35890" spans="26:26" x14ac:dyDescent="0.2">
      <c r="Z35890" t="str">
        <f t="shared" si="560"/>
        <v/>
      </c>
    </row>
    <row r="35891" spans="26:26" x14ac:dyDescent="0.2">
      <c r="Z35891" t="str">
        <f t="shared" si="560"/>
        <v/>
      </c>
    </row>
    <row r="35892" spans="26:26" x14ac:dyDescent="0.2">
      <c r="Z35892" t="str">
        <f t="shared" si="560"/>
        <v/>
      </c>
    </row>
    <row r="35893" spans="26:26" x14ac:dyDescent="0.2">
      <c r="Z35893" t="str">
        <f t="shared" si="560"/>
        <v/>
      </c>
    </row>
    <row r="35894" spans="26:26" x14ac:dyDescent="0.2">
      <c r="Z35894" t="str">
        <f t="shared" si="560"/>
        <v/>
      </c>
    </row>
    <row r="35895" spans="26:26" x14ac:dyDescent="0.2">
      <c r="Z35895" t="str">
        <f t="shared" si="560"/>
        <v/>
      </c>
    </row>
    <row r="35896" spans="26:26" x14ac:dyDescent="0.2">
      <c r="Z35896" t="str">
        <f t="shared" si="560"/>
        <v/>
      </c>
    </row>
    <row r="35897" spans="26:26" x14ac:dyDescent="0.2">
      <c r="Z35897" t="str">
        <f t="shared" si="560"/>
        <v/>
      </c>
    </row>
    <row r="35898" spans="26:26" x14ac:dyDescent="0.2">
      <c r="Z35898" t="str">
        <f t="shared" si="560"/>
        <v/>
      </c>
    </row>
    <row r="35899" spans="26:26" x14ac:dyDescent="0.2">
      <c r="Z35899" t="str">
        <f t="shared" si="560"/>
        <v/>
      </c>
    </row>
    <row r="35900" spans="26:26" x14ac:dyDescent="0.2">
      <c r="Z35900" t="str">
        <f t="shared" si="560"/>
        <v/>
      </c>
    </row>
    <row r="35901" spans="26:26" x14ac:dyDescent="0.2">
      <c r="Z35901" t="str">
        <f t="shared" si="560"/>
        <v/>
      </c>
    </row>
    <row r="35902" spans="26:26" x14ac:dyDescent="0.2">
      <c r="Z35902" t="str">
        <f t="shared" si="560"/>
        <v/>
      </c>
    </row>
    <row r="35903" spans="26:26" x14ac:dyDescent="0.2">
      <c r="Z35903" t="str">
        <f t="shared" si="560"/>
        <v/>
      </c>
    </row>
    <row r="35904" spans="26:26" x14ac:dyDescent="0.2">
      <c r="Z35904" t="str">
        <f t="shared" si="560"/>
        <v/>
      </c>
    </row>
    <row r="35905" spans="26:26" x14ac:dyDescent="0.2">
      <c r="Z35905" t="str">
        <f t="shared" si="560"/>
        <v/>
      </c>
    </row>
    <row r="35906" spans="26:26" x14ac:dyDescent="0.2">
      <c r="Z35906" t="str">
        <f t="shared" si="560"/>
        <v/>
      </c>
    </row>
    <row r="35907" spans="26:26" x14ac:dyDescent="0.2">
      <c r="Z35907" t="str">
        <f t="shared" ref="Z35907:Z35970" si="561">IF(K35907="","",IFERROR(VALUE(TRIM(MID(K35907,FIND(CHAR(167),SUBSTITUTE(K35907,"-",CHAR(167),LEN(K35907)-LEN(SUBSTITUTE(K35907,"-",""))))+1,100))),K35907))</f>
        <v/>
      </c>
    </row>
    <row r="35908" spans="26:26" x14ac:dyDescent="0.2">
      <c r="Z35908" t="str">
        <f t="shared" si="561"/>
        <v/>
      </c>
    </row>
    <row r="35909" spans="26:26" x14ac:dyDescent="0.2">
      <c r="Z35909" t="str">
        <f t="shared" si="561"/>
        <v/>
      </c>
    </row>
    <row r="35910" spans="26:26" x14ac:dyDescent="0.2">
      <c r="Z35910" t="str">
        <f t="shared" si="561"/>
        <v/>
      </c>
    </row>
    <row r="35911" spans="26:26" x14ac:dyDescent="0.2">
      <c r="Z35911" t="str">
        <f t="shared" si="561"/>
        <v/>
      </c>
    </row>
    <row r="35912" spans="26:26" x14ac:dyDescent="0.2">
      <c r="Z35912" t="str">
        <f t="shared" si="561"/>
        <v/>
      </c>
    </row>
    <row r="35913" spans="26:26" x14ac:dyDescent="0.2">
      <c r="Z35913" t="str">
        <f t="shared" si="561"/>
        <v/>
      </c>
    </row>
    <row r="35914" spans="26:26" x14ac:dyDescent="0.2">
      <c r="Z35914" t="str">
        <f t="shared" si="561"/>
        <v/>
      </c>
    </row>
    <row r="35915" spans="26:26" x14ac:dyDescent="0.2">
      <c r="Z35915" t="str">
        <f t="shared" si="561"/>
        <v/>
      </c>
    </row>
    <row r="35916" spans="26:26" x14ac:dyDescent="0.2">
      <c r="Z35916" t="str">
        <f t="shared" si="561"/>
        <v/>
      </c>
    </row>
    <row r="35917" spans="26:26" x14ac:dyDescent="0.2">
      <c r="Z35917" t="str">
        <f t="shared" si="561"/>
        <v/>
      </c>
    </row>
    <row r="35918" spans="26:26" x14ac:dyDescent="0.2">
      <c r="Z35918" t="str">
        <f t="shared" si="561"/>
        <v/>
      </c>
    </row>
    <row r="35919" spans="26:26" x14ac:dyDescent="0.2">
      <c r="Z35919" t="str">
        <f t="shared" si="561"/>
        <v/>
      </c>
    </row>
    <row r="35920" spans="26:26" x14ac:dyDescent="0.2">
      <c r="Z35920" t="str">
        <f t="shared" si="561"/>
        <v/>
      </c>
    </row>
    <row r="35921" spans="26:26" x14ac:dyDescent="0.2">
      <c r="Z35921" t="str">
        <f t="shared" si="561"/>
        <v/>
      </c>
    </row>
    <row r="35922" spans="26:26" x14ac:dyDescent="0.2">
      <c r="Z35922" t="str">
        <f t="shared" si="561"/>
        <v/>
      </c>
    </row>
    <row r="35923" spans="26:26" x14ac:dyDescent="0.2">
      <c r="Z35923" t="str">
        <f t="shared" si="561"/>
        <v/>
      </c>
    </row>
    <row r="35924" spans="26:26" x14ac:dyDescent="0.2">
      <c r="Z35924" t="str">
        <f t="shared" si="561"/>
        <v/>
      </c>
    </row>
    <row r="35925" spans="26:26" x14ac:dyDescent="0.2">
      <c r="Z35925" t="str">
        <f t="shared" si="561"/>
        <v/>
      </c>
    </row>
    <row r="35926" spans="26:26" x14ac:dyDescent="0.2">
      <c r="Z35926" t="str">
        <f t="shared" si="561"/>
        <v/>
      </c>
    </row>
    <row r="35927" spans="26:26" x14ac:dyDescent="0.2">
      <c r="Z35927" t="str">
        <f t="shared" si="561"/>
        <v/>
      </c>
    </row>
    <row r="35928" spans="26:26" x14ac:dyDescent="0.2">
      <c r="Z35928" t="str">
        <f t="shared" si="561"/>
        <v/>
      </c>
    </row>
    <row r="35929" spans="26:26" x14ac:dyDescent="0.2">
      <c r="Z35929" t="str">
        <f t="shared" si="561"/>
        <v/>
      </c>
    </row>
    <row r="35930" spans="26:26" x14ac:dyDescent="0.2">
      <c r="Z35930" t="str">
        <f t="shared" si="561"/>
        <v/>
      </c>
    </row>
    <row r="35931" spans="26:26" x14ac:dyDescent="0.2">
      <c r="Z35931" t="str">
        <f t="shared" si="561"/>
        <v/>
      </c>
    </row>
    <row r="35932" spans="26:26" x14ac:dyDescent="0.2">
      <c r="Z35932" t="str">
        <f t="shared" si="561"/>
        <v/>
      </c>
    </row>
    <row r="35933" spans="26:26" x14ac:dyDescent="0.2">
      <c r="Z35933" t="str">
        <f t="shared" si="561"/>
        <v/>
      </c>
    </row>
    <row r="35934" spans="26:26" x14ac:dyDescent="0.2">
      <c r="Z35934" t="str">
        <f t="shared" si="561"/>
        <v/>
      </c>
    </row>
    <row r="35935" spans="26:26" x14ac:dyDescent="0.2">
      <c r="Z35935" t="str">
        <f t="shared" si="561"/>
        <v/>
      </c>
    </row>
    <row r="35936" spans="26:26" x14ac:dyDescent="0.2">
      <c r="Z35936" t="str">
        <f t="shared" si="561"/>
        <v/>
      </c>
    </row>
    <row r="35937" spans="26:26" x14ac:dyDescent="0.2">
      <c r="Z35937" t="str">
        <f t="shared" si="561"/>
        <v/>
      </c>
    </row>
    <row r="35938" spans="26:26" x14ac:dyDescent="0.2">
      <c r="Z35938" t="str">
        <f t="shared" si="561"/>
        <v/>
      </c>
    </row>
    <row r="35939" spans="26:26" x14ac:dyDescent="0.2">
      <c r="Z35939" t="str">
        <f t="shared" si="561"/>
        <v/>
      </c>
    </row>
    <row r="35940" spans="26:26" x14ac:dyDescent="0.2">
      <c r="Z35940" t="str">
        <f t="shared" si="561"/>
        <v/>
      </c>
    </row>
    <row r="35941" spans="26:26" x14ac:dyDescent="0.2">
      <c r="Z35941" t="str">
        <f t="shared" si="561"/>
        <v/>
      </c>
    </row>
    <row r="35942" spans="26:26" x14ac:dyDescent="0.2">
      <c r="Z35942" t="str">
        <f t="shared" si="561"/>
        <v/>
      </c>
    </row>
    <row r="35943" spans="26:26" x14ac:dyDescent="0.2">
      <c r="Z35943" t="str">
        <f t="shared" si="561"/>
        <v/>
      </c>
    </row>
    <row r="35944" spans="26:26" x14ac:dyDescent="0.2">
      <c r="Z35944" t="str">
        <f t="shared" si="561"/>
        <v/>
      </c>
    </row>
    <row r="35945" spans="26:26" x14ac:dyDescent="0.2">
      <c r="Z35945" t="str">
        <f t="shared" si="561"/>
        <v/>
      </c>
    </row>
    <row r="35946" spans="26:26" x14ac:dyDescent="0.2">
      <c r="Z35946" t="str">
        <f t="shared" si="561"/>
        <v/>
      </c>
    </row>
    <row r="35947" spans="26:26" x14ac:dyDescent="0.2">
      <c r="Z35947" t="str">
        <f t="shared" si="561"/>
        <v/>
      </c>
    </row>
    <row r="35948" spans="26:26" x14ac:dyDescent="0.2">
      <c r="Z35948" t="str">
        <f t="shared" si="561"/>
        <v/>
      </c>
    </row>
    <row r="35949" spans="26:26" x14ac:dyDescent="0.2">
      <c r="Z35949" t="str">
        <f t="shared" si="561"/>
        <v/>
      </c>
    </row>
    <row r="35950" spans="26:26" x14ac:dyDescent="0.2">
      <c r="Z35950" t="str">
        <f t="shared" si="561"/>
        <v/>
      </c>
    </row>
    <row r="35951" spans="26:26" x14ac:dyDescent="0.2">
      <c r="Z35951" t="str">
        <f t="shared" si="561"/>
        <v/>
      </c>
    </row>
    <row r="35952" spans="26:26" x14ac:dyDescent="0.2">
      <c r="Z35952" t="str">
        <f t="shared" si="561"/>
        <v/>
      </c>
    </row>
    <row r="35953" spans="26:26" x14ac:dyDescent="0.2">
      <c r="Z35953" t="str">
        <f t="shared" si="561"/>
        <v/>
      </c>
    </row>
    <row r="35954" spans="26:26" x14ac:dyDescent="0.2">
      <c r="Z35954" t="str">
        <f t="shared" si="561"/>
        <v/>
      </c>
    </row>
    <row r="35955" spans="26:26" x14ac:dyDescent="0.2">
      <c r="Z35955" t="str">
        <f t="shared" si="561"/>
        <v/>
      </c>
    </row>
    <row r="35956" spans="26:26" x14ac:dyDescent="0.2">
      <c r="Z35956" t="str">
        <f t="shared" si="561"/>
        <v/>
      </c>
    </row>
    <row r="35957" spans="26:26" x14ac:dyDescent="0.2">
      <c r="Z35957" t="str">
        <f t="shared" si="561"/>
        <v/>
      </c>
    </row>
    <row r="35958" spans="26:26" x14ac:dyDescent="0.2">
      <c r="Z35958" t="str">
        <f t="shared" si="561"/>
        <v/>
      </c>
    </row>
    <row r="35959" spans="26:26" x14ac:dyDescent="0.2">
      <c r="Z35959" t="str">
        <f t="shared" si="561"/>
        <v/>
      </c>
    </row>
    <row r="35960" spans="26:26" x14ac:dyDescent="0.2">
      <c r="Z35960" t="str">
        <f t="shared" si="561"/>
        <v/>
      </c>
    </row>
    <row r="35961" spans="26:26" x14ac:dyDescent="0.2">
      <c r="Z35961" t="str">
        <f t="shared" si="561"/>
        <v/>
      </c>
    </row>
    <row r="35962" spans="26:26" x14ac:dyDescent="0.2">
      <c r="Z35962" t="str">
        <f t="shared" si="561"/>
        <v/>
      </c>
    </row>
    <row r="35963" spans="26:26" x14ac:dyDescent="0.2">
      <c r="Z35963" t="str">
        <f t="shared" si="561"/>
        <v/>
      </c>
    </row>
    <row r="35964" spans="26:26" x14ac:dyDescent="0.2">
      <c r="Z35964" t="str">
        <f t="shared" si="561"/>
        <v/>
      </c>
    </row>
    <row r="35965" spans="26:26" x14ac:dyDescent="0.2">
      <c r="Z35965" t="str">
        <f t="shared" si="561"/>
        <v/>
      </c>
    </row>
    <row r="35966" spans="26:26" x14ac:dyDescent="0.2">
      <c r="Z35966" t="str">
        <f t="shared" si="561"/>
        <v/>
      </c>
    </row>
    <row r="35967" spans="26:26" x14ac:dyDescent="0.2">
      <c r="Z35967" t="str">
        <f t="shared" si="561"/>
        <v/>
      </c>
    </row>
    <row r="35968" spans="26:26" x14ac:dyDescent="0.2">
      <c r="Z35968" t="str">
        <f t="shared" si="561"/>
        <v/>
      </c>
    </row>
    <row r="35969" spans="26:26" x14ac:dyDescent="0.2">
      <c r="Z35969" t="str">
        <f t="shared" si="561"/>
        <v/>
      </c>
    </row>
    <row r="35970" spans="26:26" x14ac:dyDescent="0.2">
      <c r="Z35970" t="str">
        <f t="shared" si="561"/>
        <v/>
      </c>
    </row>
    <row r="35971" spans="26:26" x14ac:dyDescent="0.2">
      <c r="Z35971" t="str">
        <f t="shared" ref="Z35971:Z36034" si="562">IF(K35971="","",IFERROR(VALUE(TRIM(MID(K35971,FIND(CHAR(167),SUBSTITUTE(K35971,"-",CHAR(167),LEN(K35971)-LEN(SUBSTITUTE(K35971,"-",""))))+1,100))),K35971))</f>
        <v/>
      </c>
    </row>
    <row r="35972" spans="26:26" x14ac:dyDescent="0.2">
      <c r="Z35972" t="str">
        <f t="shared" si="562"/>
        <v/>
      </c>
    </row>
    <row r="35973" spans="26:26" x14ac:dyDescent="0.2">
      <c r="Z35973" t="str">
        <f t="shared" si="562"/>
        <v/>
      </c>
    </row>
    <row r="35974" spans="26:26" x14ac:dyDescent="0.2">
      <c r="Z35974" t="str">
        <f t="shared" si="562"/>
        <v/>
      </c>
    </row>
    <row r="35975" spans="26:26" x14ac:dyDescent="0.2">
      <c r="Z35975" t="str">
        <f t="shared" si="562"/>
        <v/>
      </c>
    </row>
    <row r="35976" spans="26:26" x14ac:dyDescent="0.2">
      <c r="Z35976" t="str">
        <f t="shared" si="562"/>
        <v/>
      </c>
    </row>
    <row r="35977" spans="26:26" x14ac:dyDescent="0.2">
      <c r="Z35977" t="str">
        <f t="shared" si="562"/>
        <v/>
      </c>
    </row>
    <row r="35978" spans="26:26" x14ac:dyDescent="0.2">
      <c r="Z35978" t="str">
        <f t="shared" si="562"/>
        <v/>
      </c>
    </row>
    <row r="35979" spans="26:26" x14ac:dyDescent="0.2">
      <c r="Z35979" t="str">
        <f t="shared" si="562"/>
        <v/>
      </c>
    </row>
    <row r="35980" spans="26:26" x14ac:dyDescent="0.2">
      <c r="Z35980" t="str">
        <f t="shared" si="562"/>
        <v/>
      </c>
    </row>
    <row r="35981" spans="26:26" x14ac:dyDescent="0.2">
      <c r="Z35981" t="str">
        <f t="shared" si="562"/>
        <v/>
      </c>
    </row>
    <row r="35982" spans="26:26" x14ac:dyDescent="0.2">
      <c r="Z35982" t="str">
        <f t="shared" si="562"/>
        <v/>
      </c>
    </row>
    <row r="35983" spans="26:26" x14ac:dyDescent="0.2">
      <c r="Z35983" t="str">
        <f t="shared" si="562"/>
        <v/>
      </c>
    </row>
    <row r="35984" spans="26:26" x14ac:dyDescent="0.2">
      <c r="Z35984" t="str">
        <f t="shared" si="562"/>
        <v/>
      </c>
    </row>
    <row r="35985" spans="26:26" x14ac:dyDescent="0.2">
      <c r="Z35985" t="str">
        <f t="shared" si="562"/>
        <v/>
      </c>
    </row>
    <row r="35986" spans="26:26" x14ac:dyDescent="0.2">
      <c r="Z35986" t="str">
        <f t="shared" si="562"/>
        <v/>
      </c>
    </row>
    <row r="35987" spans="26:26" x14ac:dyDescent="0.2">
      <c r="Z35987" t="str">
        <f t="shared" si="562"/>
        <v/>
      </c>
    </row>
    <row r="35988" spans="26:26" x14ac:dyDescent="0.2">
      <c r="Z35988" t="str">
        <f t="shared" si="562"/>
        <v/>
      </c>
    </row>
    <row r="35989" spans="26:26" x14ac:dyDescent="0.2">
      <c r="Z35989" t="str">
        <f t="shared" si="562"/>
        <v/>
      </c>
    </row>
    <row r="35990" spans="26:26" x14ac:dyDescent="0.2">
      <c r="Z35990" t="str">
        <f t="shared" si="562"/>
        <v/>
      </c>
    </row>
    <row r="35991" spans="26:26" x14ac:dyDescent="0.2">
      <c r="Z35991" t="str">
        <f t="shared" si="562"/>
        <v/>
      </c>
    </row>
    <row r="35992" spans="26:26" x14ac:dyDescent="0.2">
      <c r="Z35992" t="str">
        <f t="shared" si="562"/>
        <v/>
      </c>
    </row>
    <row r="35993" spans="26:26" x14ac:dyDescent="0.2">
      <c r="Z35993" t="str">
        <f t="shared" si="562"/>
        <v/>
      </c>
    </row>
    <row r="35994" spans="26:26" x14ac:dyDescent="0.2">
      <c r="Z35994" t="str">
        <f t="shared" si="562"/>
        <v/>
      </c>
    </row>
    <row r="35995" spans="26:26" x14ac:dyDescent="0.2">
      <c r="Z35995" t="str">
        <f t="shared" si="562"/>
        <v/>
      </c>
    </row>
    <row r="35996" spans="26:26" x14ac:dyDescent="0.2">
      <c r="Z35996" t="str">
        <f t="shared" si="562"/>
        <v/>
      </c>
    </row>
    <row r="35997" spans="26:26" x14ac:dyDescent="0.2">
      <c r="Z35997" t="str">
        <f t="shared" si="562"/>
        <v/>
      </c>
    </row>
    <row r="35998" spans="26:26" x14ac:dyDescent="0.2">
      <c r="Z35998" t="str">
        <f t="shared" si="562"/>
        <v/>
      </c>
    </row>
    <row r="35999" spans="26:26" x14ac:dyDescent="0.2">
      <c r="Z35999" t="str">
        <f t="shared" si="562"/>
        <v/>
      </c>
    </row>
    <row r="36000" spans="26:26" x14ac:dyDescent="0.2">
      <c r="Z36000" t="str">
        <f t="shared" si="562"/>
        <v/>
      </c>
    </row>
    <row r="36001" spans="26:26" x14ac:dyDescent="0.2">
      <c r="Z36001" t="str">
        <f t="shared" si="562"/>
        <v/>
      </c>
    </row>
    <row r="36002" spans="26:26" x14ac:dyDescent="0.2">
      <c r="Z36002" t="str">
        <f t="shared" si="562"/>
        <v/>
      </c>
    </row>
    <row r="36003" spans="26:26" x14ac:dyDescent="0.2">
      <c r="Z36003" t="str">
        <f t="shared" si="562"/>
        <v/>
      </c>
    </row>
    <row r="36004" spans="26:26" x14ac:dyDescent="0.2">
      <c r="Z36004" t="str">
        <f t="shared" si="562"/>
        <v/>
      </c>
    </row>
    <row r="36005" spans="26:26" x14ac:dyDescent="0.2">
      <c r="Z36005" t="str">
        <f t="shared" si="562"/>
        <v/>
      </c>
    </row>
    <row r="36006" spans="26:26" x14ac:dyDescent="0.2">
      <c r="Z36006" t="str">
        <f t="shared" si="562"/>
        <v/>
      </c>
    </row>
    <row r="36007" spans="26:26" x14ac:dyDescent="0.2">
      <c r="Z36007" t="str">
        <f t="shared" si="562"/>
        <v/>
      </c>
    </row>
    <row r="36008" spans="26:26" x14ac:dyDescent="0.2">
      <c r="Z36008" t="str">
        <f t="shared" si="562"/>
        <v/>
      </c>
    </row>
    <row r="36009" spans="26:26" x14ac:dyDescent="0.2">
      <c r="Z36009" t="str">
        <f t="shared" si="562"/>
        <v/>
      </c>
    </row>
    <row r="36010" spans="26:26" x14ac:dyDescent="0.2">
      <c r="Z36010" t="str">
        <f t="shared" si="562"/>
        <v/>
      </c>
    </row>
    <row r="36011" spans="26:26" x14ac:dyDescent="0.2">
      <c r="Z36011" t="str">
        <f t="shared" si="562"/>
        <v/>
      </c>
    </row>
    <row r="36012" spans="26:26" x14ac:dyDescent="0.2">
      <c r="Z36012" t="str">
        <f t="shared" si="562"/>
        <v/>
      </c>
    </row>
    <row r="36013" spans="26:26" x14ac:dyDescent="0.2">
      <c r="Z36013" t="str">
        <f t="shared" si="562"/>
        <v/>
      </c>
    </row>
    <row r="36014" spans="26:26" x14ac:dyDescent="0.2">
      <c r="Z36014" t="str">
        <f t="shared" si="562"/>
        <v/>
      </c>
    </row>
    <row r="36015" spans="26:26" x14ac:dyDescent="0.2">
      <c r="Z36015" t="str">
        <f t="shared" si="562"/>
        <v/>
      </c>
    </row>
    <row r="36016" spans="26:26" x14ac:dyDescent="0.2">
      <c r="Z36016" t="str">
        <f t="shared" si="562"/>
        <v/>
      </c>
    </row>
    <row r="36017" spans="26:26" x14ac:dyDescent="0.2">
      <c r="Z36017" t="str">
        <f t="shared" si="562"/>
        <v/>
      </c>
    </row>
    <row r="36018" spans="26:26" x14ac:dyDescent="0.2">
      <c r="Z36018" t="str">
        <f t="shared" si="562"/>
        <v/>
      </c>
    </row>
    <row r="36019" spans="26:26" x14ac:dyDescent="0.2">
      <c r="Z36019" t="str">
        <f t="shared" si="562"/>
        <v/>
      </c>
    </row>
    <row r="36020" spans="26:26" x14ac:dyDescent="0.2">
      <c r="Z36020" t="str">
        <f t="shared" si="562"/>
        <v/>
      </c>
    </row>
    <row r="36021" spans="26:26" x14ac:dyDescent="0.2">
      <c r="Z36021" t="str">
        <f t="shared" si="562"/>
        <v/>
      </c>
    </row>
    <row r="36022" spans="26:26" x14ac:dyDescent="0.2">
      <c r="Z36022" t="str">
        <f t="shared" si="562"/>
        <v/>
      </c>
    </row>
    <row r="36023" spans="26:26" x14ac:dyDescent="0.2">
      <c r="Z36023" t="str">
        <f t="shared" si="562"/>
        <v/>
      </c>
    </row>
    <row r="36024" spans="26:26" x14ac:dyDescent="0.2">
      <c r="Z36024" t="str">
        <f t="shared" si="562"/>
        <v/>
      </c>
    </row>
    <row r="36025" spans="26:26" x14ac:dyDescent="0.2">
      <c r="Z36025" t="str">
        <f t="shared" si="562"/>
        <v/>
      </c>
    </row>
    <row r="36026" spans="26:26" x14ac:dyDescent="0.2">
      <c r="Z36026" t="str">
        <f t="shared" si="562"/>
        <v/>
      </c>
    </row>
    <row r="36027" spans="26:26" x14ac:dyDescent="0.2">
      <c r="Z36027" t="str">
        <f t="shared" si="562"/>
        <v/>
      </c>
    </row>
    <row r="36028" spans="26:26" x14ac:dyDescent="0.2">
      <c r="Z36028" t="str">
        <f t="shared" si="562"/>
        <v/>
      </c>
    </row>
    <row r="36029" spans="26:26" x14ac:dyDescent="0.2">
      <c r="Z36029" t="str">
        <f t="shared" si="562"/>
        <v/>
      </c>
    </row>
    <row r="36030" spans="26:26" x14ac:dyDescent="0.2">
      <c r="Z36030" t="str">
        <f t="shared" si="562"/>
        <v/>
      </c>
    </row>
    <row r="36031" spans="26:26" x14ac:dyDescent="0.2">
      <c r="Z36031" t="str">
        <f t="shared" si="562"/>
        <v/>
      </c>
    </row>
    <row r="36032" spans="26:26" x14ac:dyDescent="0.2">
      <c r="Z36032" t="str">
        <f t="shared" si="562"/>
        <v/>
      </c>
    </row>
    <row r="36033" spans="26:26" x14ac:dyDescent="0.2">
      <c r="Z36033" t="str">
        <f t="shared" si="562"/>
        <v/>
      </c>
    </row>
    <row r="36034" spans="26:26" x14ac:dyDescent="0.2">
      <c r="Z36034" t="str">
        <f t="shared" si="562"/>
        <v/>
      </c>
    </row>
    <row r="36035" spans="26:26" x14ac:dyDescent="0.2">
      <c r="Z36035" t="str">
        <f t="shared" ref="Z36035:Z36098" si="563">IF(K36035="","",IFERROR(VALUE(TRIM(MID(K36035,FIND(CHAR(167),SUBSTITUTE(K36035,"-",CHAR(167),LEN(K36035)-LEN(SUBSTITUTE(K36035,"-",""))))+1,100))),K36035))</f>
        <v/>
      </c>
    </row>
    <row r="36036" spans="26:26" x14ac:dyDescent="0.2">
      <c r="Z36036" t="str">
        <f t="shared" si="563"/>
        <v/>
      </c>
    </row>
    <row r="36037" spans="26:26" x14ac:dyDescent="0.2">
      <c r="Z36037" t="str">
        <f t="shared" si="563"/>
        <v/>
      </c>
    </row>
    <row r="36038" spans="26:26" x14ac:dyDescent="0.2">
      <c r="Z36038" t="str">
        <f t="shared" si="563"/>
        <v/>
      </c>
    </row>
    <row r="36039" spans="26:26" x14ac:dyDescent="0.2">
      <c r="Z36039" t="str">
        <f t="shared" si="563"/>
        <v/>
      </c>
    </row>
    <row r="36040" spans="26:26" x14ac:dyDescent="0.2">
      <c r="Z36040" t="str">
        <f t="shared" si="563"/>
        <v/>
      </c>
    </row>
    <row r="36041" spans="26:26" x14ac:dyDescent="0.2">
      <c r="Z36041" t="str">
        <f t="shared" si="563"/>
        <v/>
      </c>
    </row>
    <row r="36042" spans="26:26" x14ac:dyDescent="0.2">
      <c r="Z36042" t="str">
        <f t="shared" si="563"/>
        <v/>
      </c>
    </row>
    <row r="36043" spans="26:26" x14ac:dyDescent="0.2">
      <c r="Z36043" t="str">
        <f t="shared" si="563"/>
        <v/>
      </c>
    </row>
    <row r="36044" spans="26:26" x14ac:dyDescent="0.2">
      <c r="Z36044" t="str">
        <f t="shared" si="563"/>
        <v/>
      </c>
    </row>
    <row r="36045" spans="26:26" x14ac:dyDescent="0.2">
      <c r="Z36045" t="str">
        <f t="shared" si="563"/>
        <v/>
      </c>
    </row>
    <row r="36046" spans="26:26" x14ac:dyDescent="0.2">
      <c r="Z36046" t="str">
        <f t="shared" si="563"/>
        <v/>
      </c>
    </row>
    <row r="36047" spans="26:26" x14ac:dyDescent="0.2">
      <c r="Z36047" t="str">
        <f t="shared" si="563"/>
        <v/>
      </c>
    </row>
    <row r="36048" spans="26:26" x14ac:dyDescent="0.2">
      <c r="Z36048" t="str">
        <f t="shared" si="563"/>
        <v/>
      </c>
    </row>
    <row r="36049" spans="26:26" x14ac:dyDescent="0.2">
      <c r="Z36049" t="str">
        <f t="shared" si="563"/>
        <v/>
      </c>
    </row>
    <row r="36050" spans="26:26" x14ac:dyDescent="0.2">
      <c r="Z36050" t="str">
        <f t="shared" si="563"/>
        <v/>
      </c>
    </row>
    <row r="36051" spans="26:26" x14ac:dyDescent="0.2">
      <c r="Z36051" t="str">
        <f t="shared" si="563"/>
        <v/>
      </c>
    </row>
    <row r="36052" spans="26:26" x14ac:dyDescent="0.2">
      <c r="Z36052" t="str">
        <f t="shared" si="563"/>
        <v/>
      </c>
    </row>
    <row r="36053" spans="26:26" x14ac:dyDescent="0.2">
      <c r="Z36053" t="str">
        <f t="shared" si="563"/>
        <v/>
      </c>
    </row>
    <row r="36054" spans="26:26" x14ac:dyDescent="0.2">
      <c r="Z36054" t="str">
        <f t="shared" si="563"/>
        <v/>
      </c>
    </row>
    <row r="36055" spans="26:26" x14ac:dyDescent="0.2">
      <c r="Z36055" t="str">
        <f t="shared" si="563"/>
        <v/>
      </c>
    </row>
    <row r="36056" spans="26:26" x14ac:dyDescent="0.2">
      <c r="Z36056" t="str">
        <f t="shared" si="563"/>
        <v/>
      </c>
    </row>
    <row r="36057" spans="26:26" x14ac:dyDescent="0.2">
      <c r="Z36057" t="str">
        <f t="shared" si="563"/>
        <v/>
      </c>
    </row>
    <row r="36058" spans="26:26" x14ac:dyDescent="0.2">
      <c r="Z36058" t="str">
        <f t="shared" si="563"/>
        <v/>
      </c>
    </row>
    <row r="36059" spans="26:26" x14ac:dyDescent="0.2">
      <c r="Z36059" t="str">
        <f t="shared" si="563"/>
        <v/>
      </c>
    </row>
    <row r="36060" spans="26:26" x14ac:dyDescent="0.2">
      <c r="Z36060" t="str">
        <f t="shared" si="563"/>
        <v/>
      </c>
    </row>
    <row r="36061" spans="26:26" x14ac:dyDescent="0.2">
      <c r="Z36061" t="str">
        <f t="shared" si="563"/>
        <v/>
      </c>
    </row>
    <row r="36062" spans="26:26" x14ac:dyDescent="0.2">
      <c r="Z36062" t="str">
        <f t="shared" si="563"/>
        <v/>
      </c>
    </row>
    <row r="36063" spans="26:26" x14ac:dyDescent="0.2">
      <c r="Z36063" t="str">
        <f t="shared" si="563"/>
        <v/>
      </c>
    </row>
    <row r="36064" spans="26:26" x14ac:dyDescent="0.2">
      <c r="Z36064" t="str">
        <f t="shared" si="563"/>
        <v/>
      </c>
    </row>
    <row r="36065" spans="26:26" x14ac:dyDescent="0.2">
      <c r="Z36065" t="str">
        <f t="shared" si="563"/>
        <v/>
      </c>
    </row>
    <row r="36066" spans="26:26" x14ac:dyDescent="0.2">
      <c r="Z36066" t="str">
        <f t="shared" si="563"/>
        <v/>
      </c>
    </row>
    <row r="36067" spans="26:26" x14ac:dyDescent="0.2">
      <c r="Z36067" t="str">
        <f t="shared" si="563"/>
        <v/>
      </c>
    </row>
    <row r="36068" spans="26:26" x14ac:dyDescent="0.2">
      <c r="Z36068" t="str">
        <f t="shared" si="563"/>
        <v/>
      </c>
    </row>
    <row r="36069" spans="26:26" x14ac:dyDescent="0.2">
      <c r="Z36069" t="str">
        <f t="shared" si="563"/>
        <v/>
      </c>
    </row>
    <row r="36070" spans="26:26" x14ac:dyDescent="0.2">
      <c r="Z36070" t="str">
        <f t="shared" si="563"/>
        <v/>
      </c>
    </row>
    <row r="36071" spans="26:26" x14ac:dyDescent="0.2">
      <c r="Z36071" t="str">
        <f t="shared" si="563"/>
        <v/>
      </c>
    </row>
    <row r="36072" spans="26:26" x14ac:dyDescent="0.2">
      <c r="Z36072" t="str">
        <f t="shared" si="563"/>
        <v/>
      </c>
    </row>
    <row r="36073" spans="26:26" x14ac:dyDescent="0.2">
      <c r="Z36073" t="str">
        <f t="shared" si="563"/>
        <v/>
      </c>
    </row>
    <row r="36074" spans="26:26" x14ac:dyDescent="0.2">
      <c r="Z36074" t="str">
        <f t="shared" si="563"/>
        <v/>
      </c>
    </row>
    <row r="36075" spans="26:26" x14ac:dyDescent="0.2">
      <c r="Z36075" t="str">
        <f t="shared" si="563"/>
        <v/>
      </c>
    </row>
    <row r="36076" spans="26:26" x14ac:dyDescent="0.2">
      <c r="Z36076" t="str">
        <f t="shared" si="563"/>
        <v/>
      </c>
    </row>
    <row r="36077" spans="26:26" x14ac:dyDescent="0.2">
      <c r="Z36077" t="str">
        <f t="shared" si="563"/>
        <v/>
      </c>
    </row>
    <row r="36078" spans="26:26" x14ac:dyDescent="0.2">
      <c r="Z36078" t="str">
        <f t="shared" si="563"/>
        <v/>
      </c>
    </row>
    <row r="36079" spans="26:26" x14ac:dyDescent="0.2">
      <c r="Z36079" t="str">
        <f t="shared" si="563"/>
        <v/>
      </c>
    </row>
    <row r="36080" spans="26:26" x14ac:dyDescent="0.2">
      <c r="Z36080" t="str">
        <f t="shared" si="563"/>
        <v/>
      </c>
    </row>
    <row r="36081" spans="26:26" x14ac:dyDescent="0.2">
      <c r="Z36081" t="str">
        <f t="shared" si="563"/>
        <v/>
      </c>
    </row>
    <row r="36082" spans="26:26" x14ac:dyDescent="0.2">
      <c r="Z36082" t="str">
        <f t="shared" si="563"/>
        <v/>
      </c>
    </row>
    <row r="36083" spans="26:26" x14ac:dyDescent="0.2">
      <c r="Z36083" t="str">
        <f t="shared" si="563"/>
        <v/>
      </c>
    </row>
    <row r="36084" spans="26:26" x14ac:dyDescent="0.2">
      <c r="Z36084" t="str">
        <f t="shared" si="563"/>
        <v/>
      </c>
    </row>
    <row r="36085" spans="26:26" x14ac:dyDescent="0.2">
      <c r="Z36085" t="str">
        <f t="shared" si="563"/>
        <v/>
      </c>
    </row>
    <row r="36086" spans="26:26" x14ac:dyDescent="0.2">
      <c r="Z36086" t="str">
        <f t="shared" si="563"/>
        <v/>
      </c>
    </row>
    <row r="36087" spans="26:26" x14ac:dyDescent="0.2">
      <c r="Z36087" t="str">
        <f t="shared" si="563"/>
        <v/>
      </c>
    </row>
    <row r="36088" spans="26:26" x14ac:dyDescent="0.2">
      <c r="Z36088" t="str">
        <f t="shared" si="563"/>
        <v/>
      </c>
    </row>
    <row r="36089" spans="26:26" x14ac:dyDescent="0.2">
      <c r="Z36089" t="str">
        <f t="shared" si="563"/>
        <v/>
      </c>
    </row>
    <row r="36090" spans="26:26" x14ac:dyDescent="0.2">
      <c r="Z36090" t="str">
        <f t="shared" si="563"/>
        <v/>
      </c>
    </row>
    <row r="36091" spans="26:26" x14ac:dyDescent="0.2">
      <c r="Z36091" t="str">
        <f t="shared" si="563"/>
        <v/>
      </c>
    </row>
    <row r="36092" spans="26:26" x14ac:dyDescent="0.2">
      <c r="Z36092" t="str">
        <f t="shared" si="563"/>
        <v/>
      </c>
    </row>
    <row r="36093" spans="26:26" x14ac:dyDescent="0.2">
      <c r="Z36093" t="str">
        <f t="shared" si="563"/>
        <v/>
      </c>
    </row>
    <row r="36094" spans="26:26" x14ac:dyDescent="0.2">
      <c r="Z36094" t="str">
        <f t="shared" si="563"/>
        <v/>
      </c>
    </row>
    <row r="36095" spans="26:26" x14ac:dyDescent="0.2">
      <c r="Z36095" t="str">
        <f t="shared" si="563"/>
        <v/>
      </c>
    </row>
    <row r="36096" spans="26:26" x14ac:dyDescent="0.2">
      <c r="Z36096" t="str">
        <f t="shared" si="563"/>
        <v/>
      </c>
    </row>
    <row r="36097" spans="26:26" x14ac:dyDescent="0.2">
      <c r="Z36097" t="str">
        <f t="shared" si="563"/>
        <v/>
      </c>
    </row>
    <row r="36098" spans="26:26" x14ac:dyDescent="0.2">
      <c r="Z36098" t="str">
        <f t="shared" si="563"/>
        <v/>
      </c>
    </row>
    <row r="36099" spans="26:26" x14ac:dyDescent="0.2">
      <c r="Z36099" t="str">
        <f t="shared" ref="Z36099:Z36162" si="564">IF(K36099="","",IFERROR(VALUE(TRIM(MID(K36099,FIND(CHAR(167),SUBSTITUTE(K36099,"-",CHAR(167),LEN(K36099)-LEN(SUBSTITUTE(K36099,"-",""))))+1,100))),K36099))</f>
        <v/>
      </c>
    </row>
    <row r="36100" spans="26:26" x14ac:dyDescent="0.2">
      <c r="Z36100" t="str">
        <f t="shared" si="564"/>
        <v/>
      </c>
    </row>
    <row r="36101" spans="26:26" x14ac:dyDescent="0.2">
      <c r="Z36101" t="str">
        <f t="shared" si="564"/>
        <v/>
      </c>
    </row>
    <row r="36102" spans="26:26" x14ac:dyDescent="0.2">
      <c r="Z36102" t="str">
        <f t="shared" si="564"/>
        <v/>
      </c>
    </row>
    <row r="36103" spans="26:26" x14ac:dyDescent="0.2">
      <c r="Z36103" t="str">
        <f t="shared" si="564"/>
        <v/>
      </c>
    </row>
    <row r="36104" spans="26:26" x14ac:dyDescent="0.2">
      <c r="Z36104" t="str">
        <f t="shared" si="564"/>
        <v/>
      </c>
    </row>
    <row r="36105" spans="26:26" x14ac:dyDescent="0.2">
      <c r="Z36105" t="str">
        <f t="shared" si="564"/>
        <v/>
      </c>
    </row>
    <row r="36106" spans="26:26" x14ac:dyDescent="0.2">
      <c r="Z36106" t="str">
        <f t="shared" si="564"/>
        <v/>
      </c>
    </row>
    <row r="36107" spans="26:26" x14ac:dyDescent="0.2">
      <c r="Z36107" t="str">
        <f t="shared" si="564"/>
        <v/>
      </c>
    </row>
    <row r="36108" spans="26:26" x14ac:dyDescent="0.2">
      <c r="Z36108" t="str">
        <f t="shared" si="564"/>
        <v/>
      </c>
    </row>
    <row r="36109" spans="26:26" x14ac:dyDescent="0.2">
      <c r="Z36109" t="str">
        <f t="shared" si="564"/>
        <v/>
      </c>
    </row>
    <row r="36110" spans="26:26" x14ac:dyDescent="0.2">
      <c r="Z36110" t="str">
        <f t="shared" si="564"/>
        <v/>
      </c>
    </row>
    <row r="36111" spans="26:26" x14ac:dyDescent="0.2">
      <c r="Z36111" t="str">
        <f t="shared" si="564"/>
        <v/>
      </c>
    </row>
    <row r="36112" spans="26:26" x14ac:dyDescent="0.2">
      <c r="Z36112" t="str">
        <f t="shared" si="564"/>
        <v/>
      </c>
    </row>
    <row r="36113" spans="26:26" x14ac:dyDescent="0.2">
      <c r="Z36113" t="str">
        <f t="shared" si="564"/>
        <v/>
      </c>
    </row>
    <row r="36114" spans="26:26" x14ac:dyDescent="0.2">
      <c r="Z36114" t="str">
        <f t="shared" si="564"/>
        <v/>
      </c>
    </row>
    <row r="36115" spans="26:26" x14ac:dyDescent="0.2">
      <c r="Z36115" t="str">
        <f t="shared" si="564"/>
        <v/>
      </c>
    </row>
    <row r="36116" spans="26:26" x14ac:dyDescent="0.2">
      <c r="Z36116" t="str">
        <f t="shared" si="564"/>
        <v/>
      </c>
    </row>
    <row r="36117" spans="26:26" x14ac:dyDescent="0.2">
      <c r="Z36117" t="str">
        <f t="shared" si="564"/>
        <v/>
      </c>
    </row>
    <row r="36118" spans="26:26" x14ac:dyDescent="0.2">
      <c r="Z36118" t="str">
        <f t="shared" si="564"/>
        <v/>
      </c>
    </row>
    <row r="36119" spans="26:26" x14ac:dyDescent="0.2">
      <c r="Z36119" t="str">
        <f t="shared" si="564"/>
        <v/>
      </c>
    </row>
    <row r="36120" spans="26:26" x14ac:dyDescent="0.2">
      <c r="Z36120" t="str">
        <f t="shared" si="564"/>
        <v/>
      </c>
    </row>
    <row r="36121" spans="26:26" x14ac:dyDescent="0.2">
      <c r="Z36121" t="str">
        <f t="shared" si="564"/>
        <v/>
      </c>
    </row>
    <row r="36122" spans="26:26" x14ac:dyDescent="0.2">
      <c r="Z36122" t="str">
        <f t="shared" si="564"/>
        <v/>
      </c>
    </row>
    <row r="36123" spans="26:26" x14ac:dyDescent="0.2">
      <c r="Z36123" t="str">
        <f t="shared" si="564"/>
        <v/>
      </c>
    </row>
    <row r="36124" spans="26:26" x14ac:dyDescent="0.2">
      <c r="Z36124" t="str">
        <f t="shared" si="564"/>
        <v/>
      </c>
    </row>
    <row r="36125" spans="26:26" x14ac:dyDescent="0.2">
      <c r="Z36125" t="str">
        <f t="shared" si="564"/>
        <v/>
      </c>
    </row>
    <row r="36126" spans="26:26" x14ac:dyDescent="0.2">
      <c r="Z36126" t="str">
        <f t="shared" si="564"/>
        <v/>
      </c>
    </row>
    <row r="36127" spans="26:26" x14ac:dyDescent="0.2">
      <c r="Z36127" t="str">
        <f t="shared" si="564"/>
        <v/>
      </c>
    </row>
    <row r="36128" spans="26:26" x14ac:dyDescent="0.2">
      <c r="Z36128" t="str">
        <f t="shared" si="564"/>
        <v/>
      </c>
    </row>
    <row r="36129" spans="26:26" x14ac:dyDescent="0.2">
      <c r="Z36129" t="str">
        <f t="shared" si="564"/>
        <v/>
      </c>
    </row>
    <row r="36130" spans="26:26" x14ac:dyDescent="0.2">
      <c r="Z36130" t="str">
        <f t="shared" si="564"/>
        <v/>
      </c>
    </row>
    <row r="36131" spans="26:26" x14ac:dyDescent="0.2">
      <c r="Z36131" t="str">
        <f t="shared" si="564"/>
        <v/>
      </c>
    </row>
    <row r="36132" spans="26:26" x14ac:dyDescent="0.2">
      <c r="Z36132" t="str">
        <f t="shared" si="564"/>
        <v/>
      </c>
    </row>
    <row r="36133" spans="26:26" x14ac:dyDescent="0.2">
      <c r="Z36133" t="str">
        <f t="shared" si="564"/>
        <v/>
      </c>
    </row>
    <row r="36134" spans="26:26" x14ac:dyDescent="0.2">
      <c r="Z36134" t="str">
        <f t="shared" si="564"/>
        <v/>
      </c>
    </row>
    <row r="36135" spans="26:26" x14ac:dyDescent="0.2">
      <c r="Z36135" t="str">
        <f t="shared" si="564"/>
        <v/>
      </c>
    </row>
    <row r="36136" spans="26:26" x14ac:dyDescent="0.2">
      <c r="Z36136" t="str">
        <f t="shared" si="564"/>
        <v/>
      </c>
    </row>
    <row r="36137" spans="26:26" x14ac:dyDescent="0.2">
      <c r="Z36137" t="str">
        <f t="shared" si="564"/>
        <v/>
      </c>
    </row>
    <row r="36138" spans="26:26" x14ac:dyDescent="0.2">
      <c r="Z36138" t="str">
        <f t="shared" si="564"/>
        <v/>
      </c>
    </row>
    <row r="36139" spans="26:26" x14ac:dyDescent="0.2">
      <c r="Z36139" t="str">
        <f t="shared" si="564"/>
        <v/>
      </c>
    </row>
    <row r="36140" spans="26:26" x14ac:dyDescent="0.2">
      <c r="Z36140" t="str">
        <f t="shared" si="564"/>
        <v/>
      </c>
    </row>
    <row r="36141" spans="26:26" x14ac:dyDescent="0.2">
      <c r="Z36141" t="str">
        <f t="shared" si="564"/>
        <v/>
      </c>
    </row>
    <row r="36142" spans="26:26" x14ac:dyDescent="0.2">
      <c r="Z36142" t="str">
        <f t="shared" si="564"/>
        <v/>
      </c>
    </row>
    <row r="36143" spans="26:26" x14ac:dyDescent="0.2">
      <c r="Z36143" t="str">
        <f t="shared" si="564"/>
        <v/>
      </c>
    </row>
    <row r="36144" spans="26:26" x14ac:dyDescent="0.2">
      <c r="Z36144" t="str">
        <f t="shared" si="564"/>
        <v/>
      </c>
    </row>
    <row r="36145" spans="26:26" x14ac:dyDescent="0.2">
      <c r="Z36145" t="str">
        <f t="shared" si="564"/>
        <v/>
      </c>
    </row>
    <row r="36146" spans="26:26" x14ac:dyDescent="0.2">
      <c r="Z36146" t="str">
        <f t="shared" si="564"/>
        <v/>
      </c>
    </row>
    <row r="36147" spans="26:26" x14ac:dyDescent="0.2">
      <c r="Z36147" t="str">
        <f t="shared" si="564"/>
        <v/>
      </c>
    </row>
    <row r="36148" spans="26:26" x14ac:dyDescent="0.2">
      <c r="Z36148" t="str">
        <f t="shared" si="564"/>
        <v/>
      </c>
    </row>
    <row r="36149" spans="26:26" x14ac:dyDescent="0.2">
      <c r="Z36149" t="str">
        <f t="shared" si="564"/>
        <v/>
      </c>
    </row>
    <row r="36150" spans="26:26" x14ac:dyDescent="0.2">
      <c r="Z36150" t="str">
        <f t="shared" si="564"/>
        <v/>
      </c>
    </row>
    <row r="36151" spans="26:26" x14ac:dyDescent="0.2">
      <c r="Z36151" t="str">
        <f t="shared" si="564"/>
        <v/>
      </c>
    </row>
    <row r="36152" spans="26:26" x14ac:dyDescent="0.2">
      <c r="Z36152" t="str">
        <f t="shared" si="564"/>
        <v/>
      </c>
    </row>
    <row r="36153" spans="26:26" x14ac:dyDescent="0.2">
      <c r="Z36153" t="str">
        <f t="shared" si="564"/>
        <v/>
      </c>
    </row>
    <row r="36154" spans="26:26" x14ac:dyDescent="0.2">
      <c r="Z36154" t="str">
        <f t="shared" si="564"/>
        <v/>
      </c>
    </row>
    <row r="36155" spans="26:26" x14ac:dyDescent="0.2">
      <c r="Z36155" t="str">
        <f t="shared" si="564"/>
        <v/>
      </c>
    </row>
    <row r="36156" spans="26:26" x14ac:dyDescent="0.2">
      <c r="Z36156" t="str">
        <f t="shared" si="564"/>
        <v/>
      </c>
    </row>
    <row r="36157" spans="26:26" x14ac:dyDescent="0.2">
      <c r="Z36157" t="str">
        <f t="shared" si="564"/>
        <v/>
      </c>
    </row>
    <row r="36158" spans="26:26" x14ac:dyDescent="0.2">
      <c r="Z36158" t="str">
        <f t="shared" si="564"/>
        <v/>
      </c>
    </row>
    <row r="36159" spans="26:26" x14ac:dyDescent="0.2">
      <c r="Z36159" t="str">
        <f t="shared" si="564"/>
        <v/>
      </c>
    </row>
    <row r="36160" spans="26:26" x14ac:dyDescent="0.2">
      <c r="Z36160" t="str">
        <f t="shared" si="564"/>
        <v/>
      </c>
    </row>
    <row r="36161" spans="26:26" x14ac:dyDescent="0.2">
      <c r="Z36161" t="str">
        <f t="shared" si="564"/>
        <v/>
      </c>
    </row>
    <row r="36162" spans="26:26" x14ac:dyDescent="0.2">
      <c r="Z36162" t="str">
        <f t="shared" si="564"/>
        <v/>
      </c>
    </row>
    <row r="36163" spans="26:26" x14ac:dyDescent="0.2">
      <c r="Z36163" t="str">
        <f t="shared" ref="Z36163:Z36226" si="565">IF(K36163="","",IFERROR(VALUE(TRIM(MID(K36163,FIND(CHAR(167),SUBSTITUTE(K36163,"-",CHAR(167),LEN(K36163)-LEN(SUBSTITUTE(K36163,"-",""))))+1,100))),K36163))</f>
        <v/>
      </c>
    </row>
    <row r="36164" spans="26:26" x14ac:dyDescent="0.2">
      <c r="Z36164" t="str">
        <f t="shared" si="565"/>
        <v/>
      </c>
    </row>
    <row r="36165" spans="26:26" x14ac:dyDescent="0.2">
      <c r="Z36165" t="str">
        <f t="shared" si="565"/>
        <v/>
      </c>
    </row>
    <row r="36166" spans="26:26" x14ac:dyDescent="0.2">
      <c r="Z36166" t="str">
        <f t="shared" si="565"/>
        <v/>
      </c>
    </row>
    <row r="36167" spans="26:26" x14ac:dyDescent="0.2">
      <c r="Z36167" t="str">
        <f t="shared" si="565"/>
        <v/>
      </c>
    </row>
    <row r="36168" spans="26:26" x14ac:dyDescent="0.2">
      <c r="Z36168" t="str">
        <f t="shared" si="565"/>
        <v/>
      </c>
    </row>
    <row r="36169" spans="26:26" x14ac:dyDescent="0.2">
      <c r="Z36169" t="str">
        <f t="shared" si="565"/>
        <v/>
      </c>
    </row>
    <row r="36170" spans="26:26" x14ac:dyDescent="0.2">
      <c r="Z36170" t="str">
        <f t="shared" si="565"/>
        <v/>
      </c>
    </row>
    <row r="36171" spans="26:26" x14ac:dyDescent="0.2">
      <c r="Z36171" t="str">
        <f t="shared" si="565"/>
        <v/>
      </c>
    </row>
    <row r="36172" spans="26:26" x14ac:dyDescent="0.2">
      <c r="Z36172" t="str">
        <f t="shared" si="565"/>
        <v/>
      </c>
    </row>
    <row r="36173" spans="26:26" x14ac:dyDescent="0.2">
      <c r="Z36173" t="str">
        <f t="shared" si="565"/>
        <v/>
      </c>
    </row>
    <row r="36174" spans="26:26" x14ac:dyDescent="0.2">
      <c r="Z36174" t="str">
        <f t="shared" si="565"/>
        <v/>
      </c>
    </row>
    <row r="36175" spans="26:26" x14ac:dyDescent="0.2">
      <c r="Z36175" t="str">
        <f t="shared" si="565"/>
        <v/>
      </c>
    </row>
    <row r="36176" spans="26:26" x14ac:dyDescent="0.2">
      <c r="Z36176" t="str">
        <f t="shared" si="565"/>
        <v/>
      </c>
    </row>
    <row r="36177" spans="26:26" x14ac:dyDescent="0.2">
      <c r="Z36177" t="str">
        <f t="shared" si="565"/>
        <v/>
      </c>
    </row>
    <row r="36178" spans="26:26" x14ac:dyDescent="0.2">
      <c r="Z36178" t="str">
        <f t="shared" si="565"/>
        <v/>
      </c>
    </row>
    <row r="36179" spans="26:26" x14ac:dyDescent="0.2">
      <c r="Z36179" t="str">
        <f t="shared" si="565"/>
        <v/>
      </c>
    </row>
    <row r="36180" spans="26:26" x14ac:dyDescent="0.2">
      <c r="Z36180" t="str">
        <f t="shared" si="565"/>
        <v/>
      </c>
    </row>
    <row r="36181" spans="26:26" x14ac:dyDescent="0.2">
      <c r="Z36181" t="str">
        <f t="shared" si="565"/>
        <v/>
      </c>
    </row>
    <row r="36182" spans="26:26" x14ac:dyDescent="0.2">
      <c r="Z36182" t="str">
        <f t="shared" si="565"/>
        <v/>
      </c>
    </row>
    <row r="36183" spans="26:26" x14ac:dyDescent="0.2">
      <c r="Z36183" t="str">
        <f t="shared" si="565"/>
        <v/>
      </c>
    </row>
    <row r="36184" spans="26:26" x14ac:dyDescent="0.2">
      <c r="Z36184" t="str">
        <f t="shared" si="565"/>
        <v/>
      </c>
    </row>
    <row r="36185" spans="26:26" x14ac:dyDescent="0.2">
      <c r="Z36185" t="str">
        <f t="shared" si="565"/>
        <v/>
      </c>
    </row>
    <row r="36186" spans="26:26" x14ac:dyDescent="0.2">
      <c r="Z36186" t="str">
        <f t="shared" si="565"/>
        <v/>
      </c>
    </row>
    <row r="36187" spans="26:26" x14ac:dyDescent="0.2">
      <c r="Z36187" t="str">
        <f t="shared" si="565"/>
        <v/>
      </c>
    </row>
    <row r="36188" spans="26:26" x14ac:dyDescent="0.2">
      <c r="Z36188" t="str">
        <f t="shared" si="565"/>
        <v/>
      </c>
    </row>
    <row r="36189" spans="26:26" x14ac:dyDescent="0.2">
      <c r="Z36189" t="str">
        <f t="shared" si="565"/>
        <v/>
      </c>
    </row>
    <row r="36190" spans="26:26" x14ac:dyDescent="0.2">
      <c r="Z36190" t="str">
        <f t="shared" si="565"/>
        <v/>
      </c>
    </row>
    <row r="36191" spans="26:26" x14ac:dyDescent="0.2">
      <c r="Z36191" t="str">
        <f t="shared" si="565"/>
        <v/>
      </c>
    </row>
    <row r="36192" spans="26:26" x14ac:dyDescent="0.2">
      <c r="Z36192" t="str">
        <f t="shared" si="565"/>
        <v/>
      </c>
    </row>
    <row r="36193" spans="26:26" x14ac:dyDescent="0.2">
      <c r="Z36193" t="str">
        <f t="shared" si="565"/>
        <v/>
      </c>
    </row>
    <row r="36194" spans="26:26" x14ac:dyDescent="0.2">
      <c r="Z36194" t="str">
        <f t="shared" si="565"/>
        <v/>
      </c>
    </row>
    <row r="36195" spans="26:26" x14ac:dyDescent="0.2">
      <c r="Z36195" t="str">
        <f t="shared" si="565"/>
        <v/>
      </c>
    </row>
    <row r="36196" spans="26:26" x14ac:dyDescent="0.2">
      <c r="Z36196" t="str">
        <f t="shared" si="565"/>
        <v/>
      </c>
    </row>
    <row r="36197" spans="26:26" x14ac:dyDescent="0.2">
      <c r="Z36197" t="str">
        <f t="shared" si="565"/>
        <v/>
      </c>
    </row>
    <row r="36198" spans="26:26" x14ac:dyDescent="0.2">
      <c r="Z36198" t="str">
        <f t="shared" si="565"/>
        <v/>
      </c>
    </row>
    <row r="36199" spans="26:26" x14ac:dyDescent="0.2">
      <c r="Z36199" t="str">
        <f t="shared" si="565"/>
        <v/>
      </c>
    </row>
    <row r="36200" spans="26:26" x14ac:dyDescent="0.2">
      <c r="Z36200" t="str">
        <f t="shared" si="565"/>
        <v/>
      </c>
    </row>
    <row r="36201" spans="26:26" x14ac:dyDescent="0.2">
      <c r="Z36201" t="str">
        <f t="shared" si="565"/>
        <v/>
      </c>
    </row>
    <row r="36202" spans="26:26" x14ac:dyDescent="0.2">
      <c r="Z36202" t="str">
        <f t="shared" si="565"/>
        <v/>
      </c>
    </row>
    <row r="36203" spans="26:26" x14ac:dyDescent="0.2">
      <c r="Z36203" t="str">
        <f t="shared" si="565"/>
        <v/>
      </c>
    </row>
    <row r="36204" spans="26:26" x14ac:dyDescent="0.2">
      <c r="Z36204" t="str">
        <f t="shared" si="565"/>
        <v/>
      </c>
    </row>
    <row r="36205" spans="26:26" x14ac:dyDescent="0.2">
      <c r="Z36205" t="str">
        <f t="shared" si="565"/>
        <v/>
      </c>
    </row>
    <row r="36206" spans="26:26" x14ac:dyDescent="0.2">
      <c r="Z36206" t="str">
        <f t="shared" si="565"/>
        <v/>
      </c>
    </row>
    <row r="36207" spans="26:26" x14ac:dyDescent="0.2">
      <c r="Z36207" t="str">
        <f t="shared" si="565"/>
        <v/>
      </c>
    </row>
    <row r="36208" spans="26:26" x14ac:dyDescent="0.2">
      <c r="Z36208" t="str">
        <f t="shared" si="565"/>
        <v/>
      </c>
    </row>
    <row r="36209" spans="26:26" x14ac:dyDescent="0.2">
      <c r="Z36209" t="str">
        <f t="shared" si="565"/>
        <v/>
      </c>
    </row>
    <row r="36210" spans="26:26" x14ac:dyDescent="0.2">
      <c r="Z36210" t="str">
        <f t="shared" si="565"/>
        <v/>
      </c>
    </row>
    <row r="36211" spans="26:26" x14ac:dyDescent="0.2">
      <c r="Z36211" t="str">
        <f t="shared" si="565"/>
        <v/>
      </c>
    </row>
    <row r="36212" spans="26:26" x14ac:dyDescent="0.2">
      <c r="Z36212" t="str">
        <f t="shared" si="565"/>
        <v/>
      </c>
    </row>
    <row r="36213" spans="26:26" x14ac:dyDescent="0.2">
      <c r="Z36213" t="str">
        <f t="shared" si="565"/>
        <v/>
      </c>
    </row>
    <row r="36214" spans="26:26" x14ac:dyDescent="0.2">
      <c r="Z36214" t="str">
        <f t="shared" si="565"/>
        <v/>
      </c>
    </row>
    <row r="36215" spans="26:26" x14ac:dyDescent="0.2">
      <c r="Z36215" t="str">
        <f t="shared" si="565"/>
        <v/>
      </c>
    </row>
    <row r="36216" spans="26:26" x14ac:dyDescent="0.2">
      <c r="Z36216" t="str">
        <f t="shared" si="565"/>
        <v/>
      </c>
    </row>
    <row r="36217" spans="26:26" x14ac:dyDescent="0.2">
      <c r="Z36217" t="str">
        <f t="shared" si="565"/>
        <v/>
      </c>
    </row>
    <row r="36218" spans="26:26" x14ac:dyDescent="0.2">
      <c r="Z36218" t="str">
        <f t="shared" si="565"/>
        <v/>
      </c>
    </row>
    <row r="36219" spans="26:26" x14ac:dyDescent="0.2">
      <c r="Z36219" t="str">
        <f t="shared" si="565"/>
        <v/>
      </c>
    </row>
    <row r="36220" spans="26:26" x14ac:dyDescent="0.2">
      <c r="Z36220" t="str">
        <f t="shared" si="565"/>
        <v/>
      </c>
    </row>
    <row r="36221" spans="26:26" x14ac:dyDescent="0.2">
      <c r="Z36221" t="str">
        <f t="shared" si="565"/>
        <v/>
      </c>
    </row>
    <row r="36222" spans="26:26" x14ac:dyDescent="0.2">
      <c r="Z36222" t="str">
        <f t="shared" si="565"/>
        <v/>
      </c>
    </row>
    <row r="36223" spans="26:26" x14ac:dyDescent="0.2">
      <c r="Z36223" t="str">
        <f t="shared" si="565"/>
        <v/>
      </c>
    </row>
    <row r="36224" spans="26:26" x14ac:dyDescent="0.2">
      <c r="Z36224" t="str">
        <f t="shared" si="565"/>
        <v/>
      </c>
    </row>
    <row r="36225" spans="26:26" x14ac:dyDescent="0.2">
      <c r="Z36225" t="str">
        <f t="shared" si="565"/>
        <v/>
      </c>
    </row>
    <row r="36226" spans="26:26" x14ac:dyDescent="0.2">
      <c r="Z36226" t="str">
        <f t="shared" si="565"/>
        <v/>
      </c>
    </row>
    <row r="36227" spans="26:26" x14ac:dyDescent="0.2">
      <c r="Z36227" t="str">
        <f t="shared" ref="Z36227:Z36290" si="566">IF(K36227="","",IFERROR(VALUE(TRIM(MID(K36227,FIND(CHAR(167),SUBSTITUTE(K36227,"-",CHAR(167),LEN(K36227)-LEN(SUBSTITUTE(K36227,"-",""))))+1,100))),K36227))</f>
        <v/>
      </c>
    </row>
    <row r="36228" spans="26:26" x14ac:dyDescent="0.2">
      <c r="Z36228" t="str">
        <f t="shared" si="566"/>
        <v/>
      </c>
    </row>
    <row r="36229" spans="26:26" x14ac:dyDescent="0.2">
      <c r="Z36229" t="str">
        <f t="shared" si="566"/>
        <v/>
      </c>
    </row>
    <row r="36230" spans="26:26" x14ac:dyDescent="0.2">
      <c r="Z36230" t="str">
        <f t="shared" si="566"/>
        <v/>
      </c>
    </row>
    <row r="36231" spans="26:26" x14ac:dyDescent="0.2">
      <c r="Z36231" t="str">
        <f t="shared" si="566"/>
        <v/>
      </c>
    </row>
    <row r="36232" spans="26:26" x14ac:dyDescent="0.2">
      <c r="Z36232" t="str">
        <f t="shared" si="566"/>
        <v/>
      </c>
    </row>
    <row r="36233" spans="26:26" x14ac:dyDescent="0.2">
      <c r="Z36233" t="str">
        <f t="shared" si="566"/>
        <v/>
      </c>
    </row>
    <row r="36234" spans="26:26" x14ac:dyDescent="0.2">
      <c r="Z36234" t="str">
        <f t="shared" si="566"/>
        <v/>
      </c>
    </row>
    <row r="36235" spans="26:26" x14ac:dyDescent="0.2">
      <c r="Z36235" t="str">
        <f t="shared" si="566"/>
        <v/>
      </c>
    </row>
    <row r="36236" spans="26:26" x14ac:dyDescent="0.2">
      <c r="Z36236" t="str">
        <f t="shared" si="566"/>
        <v/>
      </c>
    </row>
    <row r="36237" spans="26:26" x14ac:dyDescent="0.2">
      <c r="Z36237" t="str">
        <f t="shared" si="566"/>
        <v/>
      </c>
    </row>
    <row r="36238" spans="26:26" x14ac:dyDescent="0.2">
      <c r="Z36238" t="str">
        <f t="shared" si="566"/>
        <v/>
      </c>
    </row>
    <row r="36239" spans="26:26" x14ac:dyDescent="0.2">
      <c r="Z36239" t="str">
        <f t="shared" si="566"/>
        <v/>
      </c>
    </row>
    <row r="36240" spans="26:26" x14ac:dyDescent="0.2">
      <c r="Z36240" t="str">
        <f t="shared" si="566"/>
        <v/>
      </c>
    </row>
    <row r="36241" spans="26:26" x14ac:dyDescent="0.2">
      <c r="Z36241" t="str">
        <f t="shared" si="566"/>
        <v/>
      </c>
    </row>
    <row r="36242" spans="26:26" x14ac:dyDescent="0.2">
      <c r="Z36242" t="str">
        <f t="shared" si="566"/>
        <v/>
      </c>
    </row>
    <row r="36243" spans="26:26" x14ac:dyDescent="0.2">
      <c r="Z36243" t="str">
        <f t="shared" si="566"/>
        <v/>
      </c>
    </row>
    <row r="36244" spans="26:26" x14ac:dyDescent="0.2">
      <c r="Z36244" t="str">
        <f t="shared" si="566"/>
        <v/>
      </c>
    </row>
    <row r="36245" spans="26:26" x14ac:dyDescent="0.2">
      <c r="Z36245" t="str">
        <f t="shared" si="566"/>
        <v/>
      </c>
    </row>
    <row r="36246" spans="26:26" x14ac:dyDescent="0.2">
      <c r="Z36246" t="str">
        <f t="shared" si="566"/>
        <v/>
      </c>
    </row>
    <row r="36247" spans="26:26" x14ac:dyDescent="0.2">
      <c r="Z36247" t="str">
        <f t="shared" si="566"/>
        <v/>
      </c>
    </row>
    <row r="36248" spans="26:26" x14ac:dyDescent="0.2">
      <c r="Z36248" t="str">
        <f t="shared" si="566"/>
        <v/>
      </c>
    </row>
    <row r="36249" spans="26:26" x14ac:dyDescent="0.2">
      <c r="Z36249" t="str">
        <f t="shared" si="566"/>
        <v/>
      </c>
    </row>
    <row r="36250" spans="26:26" x14ac:dyDescent="0.2">
      <c r="Z36250" t="str">
        <f t="shared" si="566"/>
        <v/>
      </c>
    </row>
    <row r="36251" spans="26:26" x14ac:dyDescent="0.2">
      <c r="Z36251" t="str">
        <f t="shared" si="566"/>
        <v/>
      </c>
    </row>
    <row r="36252" spans="26:26" x14ac:dyDescent="0.2">
      <c r="Z36252" t="str">
        <f t="shared" si="566"/>
        <v/>
      </c>
    </row>
    <row r="36253" spans="26:26" x14ac:dyDescent="0.2">
      <c r="Z36253" t="str">
        <f t="shared" si="566"/>
        <v/>
      </c>
    </row>
    <row r="36254" spans="26:26" x14ac:dyDescent="0.2">
      <c r="Z36254" t="str">
        <f t="shared" si="566"/>
        <v/>
      </c>
    </row>
    <row r="36255" spans="26:26" x14ac:dyDescent="0.2">
      <c r="Z36255" t="str">
        <f t="shared" si="566"/>
        <v/>
      </c>
    </row>
    <row r="36256" spans="26:26" x14ac:dyDescent="0.2">
      <c r="Z36256" t="str">
        <f t="shared" si="566"/>
        <v/>
      </c>
    </row>
    <row r="36257" spans="26:26" x14ac:dyDescent="0.2">
      <c r="Z36257" t="str">
        <f t="shared" si="566"/>
        <v/>
      </c>
    </row>
    <row r="36258" spans="26:26" x14ac:dyDescent="0.2">
      <c r="Z36258" t="str">
        <f t="shared" si="566"/>
        <v/>
      </c>
    </row>
    <row r="36259" spans="26:26" x14ac:dyDescent="0.2">
      <c r="Z36259" t="str">
        <f t="shared" si="566"/>
        <v/>
      </c>
    </row>
    <row r="36260" spans="26:26" x14ac:dyDescent="0.2">
      <c r="Z36260" t="str">
        <f t="shared" si="566"/>
        <v/>
      </c>
    </row>
    <row r="36261" spans="26:26" x14ac:dyDescent="0.2">
      <c r="Z36261" t="str">
        <f t="shared" si="566"/>
        <v/>
      </c>
    </row>
    <row r="36262" spans="26:26" x14ac:dyDescent="0.2">
      <c r="Z36262" t="str">
        <f t="shared" si="566"/>
        <v/>
      </c>
    </row>
    <row r="36263" spans="26:26" x14ac:dyDescent="0.2">
      <c r="Z36263" t="str">
        <f t="shared" si="566"/>
        <v/>
      </c>
    </row>
    <row r="36264" spans="26:26" x14ac:dyDescent="0.2">
      <c r="Z36264" t="str">
        <f t="shared" si="566"/>
        <v/>
      </c>
    </row>
    <row r="36265" spans="26:26" x14ac:dyDescent="0.2">
      <c r="Z36265" t="str">
        <f t="shared" si="566"/>
        <v/>
      </c>
    </row>
    <row r="36266" spans="26:26" x14ac:dyDescent="0.2">
      <c r="Z36266" t="str">
        <f t="shared" si="566"/>
        <v/>
      </c>
    </row>
    <row r="36267" spans="26:26" x14ac:dyDescent="0.2">
      <c r="Z36267" t="str">
        <f t="shared" si="566"/>
        <v/>
      </c>
    </row>
    <row r="36268" spans="26:26" x14ac:dyDescent="0.2">
      <c r="Z36268" t="str">
        <f t="shared" si="566"/>
        <v/>
      </c>
    </row>
    <row r="36269" spans="26:26" x14ac:dyDescent="0.2">
      <c r="Z36269" t="str">
        <f t="shared" si="566"/>
        <v/>
      </c>
    </row>
    <row r="36270" spans="26:26" x14ac:dyDescent="0.2">
      <c r="Z36270" t="str">
        <f t="shared" si="566"/>
        <v/>
      </c>
    </row>
    <row r="36271" spans="26:26" x14ac:dyDescent="0.2">
      <c r="Z36271" t="str">
        <f t="shared" si="566"/>
        <v/>
      </c>
    </row>
    <row r="36272" spans="26:26" x14ac:dyDescent="0.2">
      <c r="Z36272" t="str">
        <f t="shared" si="566"/>
        <v/>
      </c>
    </row>
    <row r="36273" spans="26:26" x14ac:dyDescent="0.2">
      <c r="Z36273" t="str">
        <f t="shared" si="566"/>
        <v/>
      </c>
    </row>
    <row r="36274" spans="26:26" x14ac:dyDescent="0.2">
      <c r="Z36274" t="str">
        <f t="shared" si="566"/>
        <v/>
      </c>
    </row>
    <row r="36275" spans="26:26" x14ac:dyDescent="0.2">
      <c r="Z36275" t="str">
        <f t="shared" si="566"/>
        <v/>
      </c>
    </row>
    <row r="36276" spans="26:26" x14ac:dyDescent="0.2">
      <c r="Z36276" t="str">
        <f t="shared" si="566"/>
        <v/>
      </c>
    </row>
    <row r="36277" spans="26:26" x14ac:dyDescent="0.2">
      <c r="Z36277" t="str">
        <f t="shared" si="566"/>
        <v/>
      </c>
    </row>
    <row r="36278" spans="26:26" x14ac:dyDescent="0.2">
      <c r="Z36278" t="str">
        <f t="shared" si="566"/>
        <v/>
      </c>
    </row>
    <row r="36279" spans="26:26" x14ac:dyDescent="0.2">
      <c r="Z36279" t="str">
        <f t="shared" si="566"/>
        <v/>
      </c>
    </row>
    <row r="36280" spans="26:26" x14ac:dyDescent="0.2">
      <c r="Z36280" t="str">
        <f t="shared" si="566"/>
        <v/>
      </c>
    </row>
    <row r="36281" spans="26:26" x14ac:dyDescent="0.2">
      <c r="Z36281" t="str">
        <f t="shared" si="566"/>
        <v/>
      </c>
    </row>
    <row r="36282" spans="26:26" x14ac:dyDescent="0.2">
      <c r="Z36282" t="str">
        <f t="shared" si="566"/>
        <v/>
      </c>
    </row>
    <row r="36283" spans="26:26" x14ac:dyDescent="0.2">
      <c r="Z36283" t="str">
        <f t="shared" si="566"/>
        <v/>
      </c>
    </row>
    <row r="36284" spans="26:26" x14ac:dyDescent="0.2">
      <c r="Z36284" t="str">
        <f t="shared" si="566"/>
        <v/>
      </c>
    </row>
    <row r="36285" spans="26:26" x14ac:dyDescent="0.2">
      <c r="Z36285" t="str">
        <f t="shared" si="566"/>
        <v/>
      </c>
    </row>
    <row r="36286" spans="26:26" x14ac:dyDescent="0.2">
      <c r="Z36286" t="str">
        <f t="shared" si="566"/>
        <v/>
      </c>
    </row>
    <row r="36287" spans="26:26" x14ac:dyDescent="0.2">
      <c r="Z36287" t="str">
        <f t="shared" si="566"/>
        <v/>
      </c>
    </row>
    <row r="36288" spans="26:26" x14ac:dyDescent="0.2">
      <c r="Z36288" t="str">
        <f t="shared" si="566"/>
        <v/>
      </c>
    </row>
    <row r="36289" spans="26:26" x14ac:dyDescent="0.2">
      <c r="Z36289" t="str">
        <f t="shared" si="566"/>
        <v/>
      </c>
    </row>
    <row r="36290" spans="26:26" x14ac:dyDescent="0.2">
      <c r="Z36290" t="str">
        <f t="shared" si="566"/>
        <v/>
      </c>
    </row>
    <row r="36291" spans="26:26" x14ac:dyDescent="0.2">
      <c r="Z36291" t="str">
        <f t="shared" ref="Z36291:Z36354" si="567">IF(K36291="","",IFERROR(VALUE(TRIM(MID(K36291,FIND(CHAR(167),SUBSTITUTE(K36291,"-",CHAR(167),LEN(K36291)-LEN(SUBSTITUTE(K36291,"-",""))))+1,100))),K36291))</f>
        <v/>
      </c>
    </row>
    <row r="36292" spans="26:26" x14ac:dyDescent="0.2">
      <c r="Z36292" t="str">
        <f t="shared" si="567"/>
        <v/>
      </c>
    </row>
    <row r="36293" spans="26:26" x14ac:dyDescent="0.2">
      <c r="Z36293" t="str">
        <f t="shared" si="567"/>
        <v/>
      </c>
    </row>
    <row r="36294" spans="26:26" x14ac:dyDescent="0.2">
      <c r="Z36294" t="str">
        <f t="shared" si="567"/>
        <v/>
      </c>
    </row>
    <row r="36295" spans="26:26" x14ac:dyDescent="0.2">
      <c r="Z36295" t="str">
        <f t="shared" si="567"/>
        <v/>
      </c>
    </row>
    <row r="36296" spans="26:26" x14ac:dyDescent="0.2">
      <c r="Z36296" t="str">
        <f t="shared" si="567"/>
        <v/>
      </c>
    </row>
    <row r="36297" spans="26:26" x14ac:dyDescent="0.2">
      <c r="Z36297" t="str">
        <f t="shared" si="567"/>
        <v/>
      </c>
    </row>
    <row r="36298" spans="26:26" x14ac:dyDescent="0.2">
      <c r="Z36298" t="str">
        <f t="shared" si="567"/>
        <v/>
      </c>
    </row>
    <row r="36299" spans="26:26" x14ac:dyDescent="0.2">
      <c r="Z36299" t="str">
        <f t="shared" si="567"/>
        <v/>
      </c>
    </row>
    <row r="36300" spans="26:26" x14ac:dyDescent="0.2">
      <c r="Z36300" t="str">
        <f t="shared" si="567"/>
        <v/>
      </c>
    </row>
    <row r="36301" spans="26:26" x14ac:dyDescent="0.2">
      <c r="Z36301" t="str">
        <f t="shared" si="567"/>
        <v/>
      </c>
    </row>
    <row r="36302" spans="26:26" x14ac:dyDescent="0.2">
      <c r="Z36302" t="str">
        <f t="shared" si="567"/>
        <v/>
      </c>
    </row>
    <row r="36303" spans="26:26" x14ac:dyDescent="0.2">
      <c r="Z36303" t="str">
        <f t="shared" si="567"/>
        <v/>
      </c>
    </row>
    <row r="36304" spans="26:26" x14ac:dyDescent="0.2">
      <c r="Z36304" t="str">
        <f t="shared" si="567"/>
        <v/>
      </c>
    </row>
    <row r="36305" spans="26:26" x14ac:dyDescent="0.2">
      <c r="Z36305" t="str">
        <f t="shared" si="567"/>
        <v/>
      </c>
    </row>
    <row r="36306" spans="26:26" x14ac:dyDescent="0.2">
      <c r="Z36306" t="str">
        <f t="shared" si="567"/>
        <v/>
      </c>
    </row>
    <row r="36307" spans="26:26" x14ac:dyDescent="0.2">
      <c r="Z36307" t="str">
        <f t="shared" si="567"/>
        <v/>
      </c>
    </row>
    <row r="36308" spans="26:26" x14ac:dyDescent="0.2">
      <c r="Z36308" t="str">
        <f t="shared" si="567"/>
        <v/>
      </c>
    </row>
    <row r="36309" spans="26:26" x14ac:dyDescent="0.2">
      <c r="Z36309" t="str">
        <f t="shared" si="567"/>
        <v/>
      </c>
    </row>
    <row r="36310" spans="26:26" x14ac:dyDescent="0.2">
      <c r="Z36310" t="str">
        <f t="shared" si="567"/>
        <v/>
      </c>
    </row>
    <row r="36311" spans="26:26" x14ac:dyDescent="0.2">
      <c r="Z36311" t="str">
        <f t="shared" si="567"/>
        <v/>
      </c>
    </row>
    <row r="36312" spans="26:26" x14ac:dyDescent="0.2">
      <c r="Z36312" t="str">
        <f t="shared" si="567"/>
        <v/>
      </c>
    </row>
    <row r="36313" spans="26:26" x14ac:dyDescent="0.2">
      <c r="Z36313" t="str">
        <f t="shared" si="567"/>
        <v/>
      </c>
    </row>
    <row r="36314" spans="26:26" x14ac:dyDescent="0.2">
      <c r="Z36314" t="str">
        <f t="shared" si="567"/>
        <v/>
      </c>
    </row>
    <row r="36315" spans="26:26" x14ac:dyDescent="0.2">
      <c r="Z36315" t="str">
        <f t="shared" si="567"/>
        <v/>
      </c>
    </row>
    <row r="36316" spans="26:26" x14ac:dyDescent="0.2">
      <c r="Z36316" t="str">
        <f t="shared" si="567"/>
        <v/>
      </c>
    </row>
    <row r="36317" spans="26:26" x14ac:dyDescent="0.2">
      <c r="Z36317" t="str">
        <f t="shared" si="567"/>
        <v/>
      </c>
    </row>
    <row r="36318" spans="26:26" x14ac:dyDescent="0.2">
      <c r="Z36318" t="str">
        <f t="shared" si="567"/>
        <v/>
      </c>
    </row>
    <row r="36319" spans="26:26" x14ac:dyDescent="0.2">
      <c r="Z36319" t="str">
        <f t="shared" si="567"/>
        <v/>
      </c>
    </row>
    <row r="36320" spans="26:26" x14ac:dyDescent="0.2">
      <c r="Z36320" t="str">
        <f t="shared" si="567"/>
        <v/>
      </c>
    </row>
    <row r="36321" spans="26:26" x14ac:dyDescent="0.2">
      <c r="Z36321" t="str">
        <f t="shared" si="567"/>
        <v/>
      </c>
    </row>
    <row r="36322" spans="26:26" x14ac:dyDescent="0.2">
      <c r="Z36322" t="str">
        <f t="shared" si="567"/>
        <v/>
      </c>
    </row>
    <row r="36323" spans="26:26" x14ac:dyDescent="0.2">
      <c r="Z36323" t="str">
        <f t="shared" si="567"/>
        <v/>
      </c>
    </row>
    <row r="36324" spans="26:26" x14ac:dyDescent="0.2">
      <c r="Z36324" t="str">
        <f t="shared" si="567"/>
        <v/>
      </c>
    </row>
    <row r="36325" spans="26:26" x14ac:dyDescent="0.2">
      <c r="Z36325" t="str">
        <f t="shared" si="567"/>
        <v/>
      </c>
    </row>
    <row r="36326" spans="26:26" x14ac:dyDescent="0.2">
      <c r="Z36326" t="str">
        <f t="shared" si="567"/>
        <v/>
      </c>
    </row>
    <row r="36327" spans="26:26" x14ac:dyDescent="0.2">
      <c r="Z36327" t="str">
        <f t="shared" si="567"/>
        <v/>
      </c>
    </row>
    <row r="36328" spans="26:26" x14ac:dyDescent="0.2">
      <c r="Z36328" t="str">
        <f t="shared" si="567"/>
        <v/>
      </c>
    </row>
    <row r="36329" spans="26:26" x14ac:dyDescent="0.2">
      <c r="Z36329" t="str">
        <f t="shared" si="567"/>
        <v/>
      </c>
    </row>
    <row r="36330" spans="26:26" x14ac:dyDescent="0.2">
      <c r="Z36330" t="str">
        <f t="shared" si="567"/>
        <v/>
      </c>
    </row>
    <row r="36331" spans="26:26" x14ac:dyDescent="0.2">
      <c r="Z36331" t="str">
        <f t="shared" si="567"/>
        <v/>
      </c>
    </row>
    <row r="36332" spans="26:26" x14ac:dyDescent="0.2">
      <c r="Z36332" t="str">
        <f t="shared" si="567"/>
        <v/>
      </c>
    </row>
    <row r="36333" spans="26:26" x14ac:dyDescent="0.2">
      <c r="Z36333" t="str">
        <f t="shared" si="567"/>
        <v/>
      </c>
    </row>
    <row r="36334" spans="26:26" x14ac:dyDescent="0.2">
      <c r="Z36334" t="str">
        <f t="shared" si="567"/>
        <v/>
      </c>
    </row>
    <row r="36335" spans="26:26" x14ac:dyDescent="0.2">
      <c r="Z36335" t="str">
        <f t="shared" si="567"/>
        <v/>
      </c>
    </row>
    <row r="36336" spans="26:26" x14ac:dyDescent="0.2">
      <c r="Z36336" t="str">
        <f t="shared" si="567"/>
        <v/>
      </c>
    </row>
    <row r="36337" spans="26:26" x14ac:dyDescent="0.2">
      <c r="Z36337" t="str">
        <f t="shared" si="567"/>
        <v/>
      </c>
    </row>
    <row r="36338" spans="26:26" x14ac:dyDescent="0.2">
      <c r="Z36338" t="str">
        <f t="shared" si="567"/>
        <v/>
      </c>
    </row>
    <row r="36339" spans="26:26" x14ac:dyDescent="0.2">
      <c r="Z36339" t="str">
        <f t="shared" si="567"/>
        <v/>
      </c>
    </row>
    <row r="36340" spans="26:26" x14ac:dyDescent="0.2">
      <c r="Z36340" t="str">
        <f t="shared" si="567"/>
        <v/>
      </c>
    </row>
    <row r="36341" spans="26:26" x14ac:dyDescent="0.2">
      <c r="Z36341" t="str">
        <f t="shared" si="567"/>
        <v/>
      </c>
    </row>
    <row r="36342" spans="26:26" x14ac:dyDescent="0.2">
      <c r="Z36342" t="str">
        <f t="shared" si="567"/>
        <v/>
      </c>
    </row>
    <row r="36343" spans="26:26" x14ac:dyDescent="0.2">
      <c r="Z36343" t="str">
        <f t="shared" si="567"/>
        <v/>
      </c>
    </row>
    <row r="36344" spans="26:26" x14ac:dyDescent="0.2">
      <c r="Z36344" t="str">
        <f t="shared" si="567"/>
        <v/>
      </c>
    </row>
    <row r="36345" spans="26:26" x14ac:dyDescent="0.2">
      <c r="Z36345" t="str">
        <f t="shared" si="567"/>
        <v/>
      </c>
    </row>
    <row r="36346" spans="26:26" x14ac:dyDescent="0.2">
      <c r="Z36346" t="str">
        <f t="shared" si="567"/>
        <v/>
      </c>
    </row>
    <row r="36347" spans="26:26" x14ac:dyDescent="0.2">
      <c r="Z36347" t="str">
        <f t="shared" si="567"/>
        <v/>
      </c>
    </row>
    <row r="36348" spans="26:26" x14ac:dyDescent="0.2">
      <c r="Z36348" t="str">
        <f t="shared" si="567"/>
        <v/>
      </c>
    </row>
    <row r="36349" spans="26:26" x14ac:dyDescent="0.2">
      <c r="Z36349" t="str">
        <f t="shared" si="567"/>
        <v/>
      </c>
    </row>
    <row r="36350" spans="26:26" x14ac:dyDescent="0.2">
      <c r="Z36350" t="str">
        <f t="shared" si="567"/>
        <v/>
      </c>
    </row>
    <row r="36351" spans="26:26" x14ac:dyDescent="0.2">
      <c r="Z36351" t="str">
        <f t="shared" si="567"/>
        <v/>
      </c>
    </row>
    <row r="36352" spans="26:26" x14ac:dyDescent="0.2">
      <c r="Z36352" t="str">
        <f t="shared" si="567"/>
        <v/>
      </c>
    </row>
    <row r="36353" spans="26:26" x14ac:dyDescent="0.2">
      <c r="Z36353" t="str">
        <f t="shared" si="567"/>
        <v/>
      </c>
    </row>
    <row r="36354" spans="26:26" x14ac:dyDescent="0.2">
      <c r="Z36354" t="str">
        <f t="shared" si="567"/>
        <v/>
      </c>
    </row>
    <row r="36355" spans="26:26" x14ac:dyDescent="0.2">
      <c r="Z36355" t="str">
        <f t="shared" ref="Z36355:Z36418" si="568">IF(K36355="","",IFERROR(VALUE(TRIM(MID(K36355,FIND(CHAR(167),SUBSTITUTE(K36355,"-",CHAR(167),LEN(K36355)-LEN(SUBSTITUTE(K36355,"-",""))))+1,100))),K36355))</f>
        <v/>
      </c>
    </row>
    <row r="36356" spans="26:26" x14ac:dyDescent="0.2">
      <c r="Z36356" t="str">
        <f t="shared" si="568"/>
        <v/>
      </c>
    </row>
    <row r="36357" spans="26:26" x14ac:dyDescent="0.2">
      <c r="Z36357" t="str">
        <f t="shared" si="568"/>
        <v/>
      </c>
    </row>
    <row r="36358" spans="26:26" x14ac:dyDescent="0.2">
      <c r="Z36358" t="str">
        <f t="shared" si="568"/>
        <v/>
      </c>
    </row>
    <row r="36359" spans="26:26" x14ac:dyDescent="0.2">
      <c r="Z36359" t="str">
        <f t="shared" si="568"/>
        <v/>
      </c>
    </row>
    <row r="36360" spans="26:26" x14ac:dyDescent="0.2">
      <c r="Z36360" t="str">
        <f t="shared" si="568"/>
        <v/>
      </c>
    </row>
    <row r="36361" spans="26:26" x14ac:dyDescent="0.2">
      <c r="Z36361" t="str">
        <f t="shared" si="568"/>
        <v/>
      </c>
    </row>
    <row r="36362" spans="26:26" x14ac:dyDescent="0.2">
      <c r="Z36362" t="str">
        <f t="shared" si="568"/>
        <v/>
      </c>
    </row>
    <row r="36363" spans="26:26" x14ac:dyDescent="0.2">
      <c r="Z36363" t="str">
        <f t="shared" si="568"/>
        <v/>
      </c>
    </row>
    <row r="36364" spans="26:26" x14ac:dyDescent="0.2">
      <c r="Z36364" t="str">
        <f t="shared" si="568"/>
        <v/>
      </c>
    </row>
    <row r="36365" spans="26:26" x14ac:dyDescent="0.2">
      <c r="Z36365" t="str">
        <f t="shared" si="568"/>
        <v/>
      </c>
    </row>
    <row r="36366" spans="26:26" x14ac:dyDescent="0.2">
      <c r="Z36366" t="str">
        <f t="shared" si="568"/>
        <v/>
      </c>
    </row>
    <row r="36367" spans="26:26" x14ac:dyDescent="0.2">
      <c r="Z36367" t="str">
        <f t="shared" si="568"/>
        <v/>
      </c>
    </row>
    <row r="36368" spans="26:26" x14ac:dyDescent="0.2">
      <c r="Z36368" t="str">
        <f t="shared" si="568"/>
        <v/>
      </c>
    </row>
    <row r="36369" spans="26:26" x14ac:dyDescent="0.2">
      <c r="Z36369" t="str">
        <f t="shared" si="568"/>
        <v/>
      </c>
    </row>
    <row r="36370" spans="26:26" x14ac:dyDescent="0.2">
      <c r="Z36370" t="str">
        <f t="shared" si="568"/>
        <v/>
      </c>
    </row>
    <row r="36371" spans="26:26" x14ac:dyDescent="0.2">
      <c r="Z36371" t="str">
        <f t="shared" si="568"/>
        <v/>
      </c>
    </row>
    <row r="36372" spans="26:26" x14ac:dyDescent="0.2">
      <c r="Z36372" t="str">
        <f t="shared" si="568"/>
        <v/>
      </c>
    </row>
    <row r="36373" spans="26:26" x14ac:dyDescent="0.2">
      <c r="Z36373" t="str">
        <f t="shared" si="568"/>
        <v/>
      </c>
    </row>
    <row r="36374" spans="26:26" x14ac:dyDescent="0.2">
      <c r="Z36374" t="str">
        <f t="shared" si="568"/>
        <v/>
      </c>
    </row>
    <row r="36375" spans="26:26" x14ac:dyDescent="0.2">
      <c r="Z36375" t="str">
        <f t="shared" si="568"/>
        <v/>
      </c>
    </row>
    <row r="36376" spans="26:26" x14ac:dyDescent="0.2">
      <c r="Z36376" t="str">
        <f t="shared" si="568"/>
        <v/>
      </c>
    </row>
    <row r="36377" spans="26:26" x14ac:dyDescent="0.2">
      <c r="Z36377" t="str">
        <f t="shared" si="568"/>
        <v/>
      </c>
    </row>
    <row r="36378" spans="26:26" x14ac:dyDescent="0.2">
      <c r="Z36378" t="str">
        <f t="shared" si="568"/>
        <v/>
      </c>
    </row>
    <row r="36379" spans="26:26" x14ac:dyDescent="0.2">
      <c r="Z36379" t="str">
        <f t="shared" si="568"/>
        <v/>
      </c>
    </row>
    <row r="36380" spans="26:26" x14ac:dyDescent="0.2">
      <c r="Z36380" t="str">
        <f t="shared" si="568"/>
        <v/>
      </c>
    </row>
    <row r="36381" spans="26:26" x14ac:dyDescent="0.2">
      <c r="Z36381" t="str">
        <f t="shared" si="568"/>
        <v/>
      </c>
    </row>
    <row r="36382" spans="26:26" x14ac:dyDescent="0.2">
      <c r="Z36382" t="str">
        <f t="shared" si="568"/>
        <v/>
      </c>
    </row>
    <row r="36383" spans="26:26" x14ac:dyDescent="0.2">
      <c r="Z36383" t="str">
        <f t="shared" si="568"/>
        <v/>
      </c>
    </row>
    <row r="36384" spans="26:26" x14ac:dyDescent="0.2">
      <c r="Z36384" t="str">
        <f t="shared" si="568"/>
        <v/>
      </c>
    </row>
    <row r="36385" spans="26:26" x14ac:dyDescent="0.2">
      <c r="Z36385" t="str">
        <f t="shared" si="568"/>
        <v/>
      </c>
    </row>
    <row r="36386" spans="26:26" x14ac:dyDescent="0.2">
      <c r="Z36386" t="str">
        <f t="shared" si="568"/>
        <v/>
      </c>
    </row>
    <row r="36387" spans="26:26" x14ac:dyDescent="0.2">
      <c r="Z36387" t="str">
        <f t="shared" si="568"/>
        <v/>
      </c>
    </row>
    <row r="36388" spans="26:26" x14ac:dyDescent="0.2">
      <c r="Z36388" t="str">
        <f t="shared" si="568"/>
        <v/>
      </c>
    </row>
    <row r="36389" spans="26:26" x14ac:dyDescent="0.2">
      <c r="Z36389" t="str">
        <f t="shared" si="568"/>
        <v/>
      </c>
    </row>
    <row r="36390" spans="26:26" x14ac:dyDescent="0.2">
      <c r="Z36390" t="str">
        <f t="shared" si="568"/>
        <v/>
      </c>
    </row>
    <row r="36391" spans="26:26" x14ac:dyDescent="0.2">
      <c r="Z36391" t="str">
        <f t="shared" si="568"/>
        <v/>
      </c>
    </row>
    <row r="36392" spans="26:26" x14ac:dyDescent="0.2">
      <c r="Z36392" t="str">
        <f t="shared" si="568"/>
        <v/>
      </c>
    </row>
    <row r="36393" spans="26:26" x14ac:dyDescent="0.2">
      <c r="Z36393" t="str">
        <f t="shared" si="568"/>
        <v/>
      </c>
    </row>
    <row r="36394" spans="26:26" x14ac:dyDescent="0.2">
      <c r="Z36394" t="str">
        <f t="shared" si="568"/>
        <v/>
      </c>
    </row>
    <row r="36395" spans="26:26" x14ac:dyDescent="0.2">
      <c r="Z36395" t="str">
        <f t="shared" si="568"/>
        <v/>
      </c>
    </row>
    <row r="36396" spans="26:26" x14ac:dyDescent="0.2">
      <c r="Z36396" t="str">
        <f t="shared" si="568"/>
        <v/>
      </c>
    </row>
    <row r="36397" spans="26:26" x14ac:dyDescent="0.2">
      <c r="Z36397" t="str">
        <f t="shared" si="568"/>
        <v/>
      </c>
    </row>
    <row r="36398" spans="26:26" x14ac:dyDescent="0.2">
      <c r="Z36398" t="str">
        <f t="shared" si="568"/>
        <v/>
      </c>
    </row>
    <row r="36399" spans="26:26" x14ac:dyDescent="0.2">
      <c r="Z36399" t="str">
        <f t="shared" si="568"/>
        <v/>
      </c>
    </row>
    <row r="36400" spans="26:26" x14ac:dyDescent="0.2">
      <c r="Z36400" t="str">
        <f t="shared" si="568"/>
        <v/>
      </c>
    </row>
    <row r="36401" spans="26:26" x14ac:dyDescent="0.2">
      <c r="Z36401" t="str">
        <f t="shared" si="568"/>
        <v/>
      </c>
    </row>
    <row r="36402" spans="26:26" x14ac:dyDescent="0.2">
      <c r="Z36402" t="str">
        <f t="shared" si="568"/>
        <v/>
      </c>
    </row>
    <row r="36403" spans="26:26" x14ac:dyDescent="0.2">
      <c r="Z36403" t="str">
        <f t="shared" si="568"/>
        <v/>
      </c>
    </row>
    <row r="36404" spans="26:26" x14ac:dyDescent="0.2">
      <c r="Z36404" t="str">
        <f t="shared" si="568"/>
        <v/>
      </c>
    </row>
    <row r="36405" spans="26:26" x14ac:dyDescent="0.2">
      <c r="Z36405" t="str">
        <f t="shared" si="568"/>
        <v/>
      </c>
    </row>
    <row r="36406" spans="26:26" x14ac:dyDescent="0.2">
      <c r="Z36406" t="str">
        <f t="shared" si="568"/>
        <v/>
      </c>
    </row>
    <row r="36407" spans="26:26" x14ac:dyDescent="0.2">
      <c r="Z36407" t="str">
        <f t="shared" si="568"/>
        <v/>
      </c>
    </row>
    <row r="36408" spans="26:26" x14ac:dyDescent="0.2">
      <c r="Z36408" t="str">
        <f t="shared" si="568"/>
        <v/>
      </c>
    </row>
    <row r="36409" spans="26:26" x14ac:dyDescent="0.2">
      <c r="Z36409" t="str">
        <f t="shared" si="568"/>
        <v/>
      </c>
    </row>
    <row r="36410" spans="26:26" x14ac:dyDescent="0.2">
      <c r="Z36410" t="str">
        <f t="shared" si="568"/>
        <v/>
      </c>
    </row>
    <row r="36411" spans="26:26" x14ac:dyDescent="0.2">
      <c r="Z36411" t="str">
        <f t="shared" si="568"/>
        <v/>
      </c>
    </row>
    <row r="36412" spans="26:26" x14ac:dyDescent="0.2">
      <c r="Z36412" t="str">
        <f t="shared" si="568"/>
        <v/>
      </c>
    </row>
    <row r="36413" spans="26:26" x14ac:dyDescent="0.2">
      <c r="Z36413" t="str">
        <f t="shared" si="568"/>
        <v/>
      </c>
    </row>
    <row r="36414" spans="26:26" x14ac:dyDescent="0.2">
      <c r="Z36414" t="str">
        <f t="shared" si="568"/>
        <v/>
      </c>
    </row>
    <row r="36415" spans="26:26" x14ac:dyDescent="0.2">
      <c r="Z36415" t="str">
        <f t="shared" si="568"/>
        <v/>
      </c>
    </row>
    <row r="36416" spans="26:26" x14ac:dyDescent="0.2">
      <c r="Z36416" t="str">
        <f t="shared" si="568"/>
        <v/>
      </c>
    </row>
    <row r="36417" spans="26:26" x14ac:dyDescent="0.2">
      <c r="Z36417" t="str">
        <f t="shared" si="568"/>
        <v/>
      </c>
    </row>
    <row r="36418" spans="26:26" x14ac:dyDescent="0.2">
      <c r="Z36418" t="str">
        <f t="shared" si="568"/>
        <v/>
      </c>
    </row>
    <row r="36419" spans="26:26" x14ac:dyDescent="0.2">
      <c r="Z36419" t="str">
        <f t="shared" ref="Z36419:Z36482" si="569">IF(K36419="","",IFERROR(VALUE(TRIM(MID(K36419,FIND(CHAR(167),SUBSTITUTE(K36419,"-",CHAR(167),LEN(K36419)-LEN(SUBSTITUTE(K36419,"-",""))))+1,100))),K36419))</f>
        <v/>
      </c>
    </row>
    <row r="36420" spans="26:26" x14ac:dyDescent="0.2">
      <c r="Z36420" t="str">
        <f t="shared" si="569"/>
        <v/>
      </c>
    </row>
    <row r="36421" spans="26:26" x14ac:dyDescent="0.2">
      <c r="Z36421" t="str">
        <f t="shared" si="569"/>
        <v/>
      </c>
    </row>
    <row r="36422" spans="26:26" x14ac:dyDescent="0.2">
      <c r="Z36422" t="str">
        <f t="shared" si="569"/>
        <v/>
      </c>
    </row>
    <row r="36423" spans="26:26" x14ac:dyDescent="0.2">
      <c r="Z36423" t="str">
        <f t="shared" si="569"/>
        <v/>
      </c>
    </row>
    <row r="36424" spans="26:26" x14ac:dyDescent="0.2">
      <c r="Z36424" t="str">
        <f t="shared" si="569"/>
        <v/>
      </c>
    </row>
    <row r="36425" spans="26:26" x14ac:dyDescent="0.2">
      <c r="Z36425" t="str">
        <f t="shared" si="569"/>
        <v/>
      </c>
    </row>
    <row r="36426" spans="26:26" x14ac:dyDescent="0.2">
      <c r="Z36426" t="str">
        <f t="shared" si="569"/>
        <v/>
      </c>
    </row>
    <row r="36427" spans="26:26" x14ac:dyDescent="0.2">
      <c r="Z36427" t="str">
        <f t="shared" si="569"/>
        <v/>
      </c>
    </row>
    <row r="36428" spans="26:26" x14ac:dyDescent="0.2">
      <c r="Z36428" t="str">
        <f t="shared" si="569"/>
        <v/>
      </c>
    </row>
    <row r="36429" spans="26:26" x14ac:dyDescent="0.2">
      <c r="Z36429" t="str">
        <f t="shared" si="569"/>
        <v/>
      </c>
    </row>
    <row r="36430" spans="26:26" x14ac:dyDescent="0.2">
      <c r="Z36430" t="str">
        <f t="shared" si="569"/>
        <v/>
      </c>
    </row>
    <row r="36431" spans="26:26" x14ac:dyDescent="0.2">
      <c r="Z36431" t="str">
        <f t="shared" si="569"/>
        <v/>
      </c>
    </row>
    <row r="36432" spans="26:26" x14ac:dyDescent="0.2">
      <c r="Z36432" t="str">
        <f t="shared" si="569"/>
        <v/>
      </c>
    </row>
    <row r="36433" spans="26:26" x14ac:dyDescent="0.2">
      <c r="Z36433" t="str">
        <f t="shared" si="569"/>
        <v/>
      </c>
    </row>
    <row r="36434" spans="26:26" x14ac:dyDescent="0.2">
      <c r="Z36434" t="str">
        <f t="shared" si="569"/>
        <v/>
      </c>
    </row>
    <row r="36435" spans="26:26" x14ac:dyDescent="0.2">
      <c r="Z36435" t="str">
        <f t="shared" si="569"/>
        <v/>
      </c>
    </row>
    <row r="36436" spans="26:26" x14ac:dyDescent="0.2">
      <c r="Z36436" t="str">
        <f t="shared" si="569"/>
        <v/>
      </c>
    </row>
    <row r="36437" spans="26:26" x14ac:dyDescent="0.2">
      <c r="Z36437" t="str">
        <f t="shared" si="569"/>
        <v/>
      </c>
    </row>
    <row r="36438" spans="26:26" x14ac:dyDescent="0.2">
      <c r="Z36438" t="str">
        <f t="shared" si="569"/>
        <v/>
      </c>
    </row>
    <row r="36439" spans="26:26" x14ac:dyDescent="0.2">
      <c r="Z36439" t="str">
        <f t="shared" si="569"/>
        <v/>
      </c>
    </row>
    <row r="36440" spans="26:26" x14ac:dyDescent="0.2">
      <c r="Z36440" t="str">
        <f t="shared" si="569"/>
        <v/>
      </c>
    </row>
    <row r="36441" spans="26:26" x14ac:dyDescent="0.2">
      <c r="Z36441" t="str">
        <f t="shared" si="569"/>
        <v/>
      </c>
    </row>
    <row r="36442" spans="26:26" x14ac:dyDescent="0.2">
      <c r="Z36442" t="str">
        <f t="shared" si="569"/>
        <v/>
      </c>
    </row>
    <row r="36443" spans="26:26" x14ac:dyDescent="0.2">
      <c r="Z36443" t="str">
        <f t="shared" si="569"/>
        <v/>
      </c>
    </row>
    <row r="36444" spans="26:26" x14ac:dyDescent="0.2">
      <c r="Z36444" t="str">
        <f t="shared" si="569"/>
        <v/>
      </c>
    </row>
    <row r="36445" spans="26:26" x14ac:dyDescent="0.2">
      <c r="Z36445" t="str">
        <f t="shared" si="569"/>
        <v/>
      </c>
    </row>
    <row r="36446" spans="26:26" x14ac:dyDescent="0.2">
      <c r="Z36446" t="str">
        <f t="shared" si="569"/>
        <v/>
      </c>
    </row>
    <row r="36447" spans="26:26" x14ac:dyDescent="0.2">
      <c r="Z36447" t="str">
        <f t="shared" si="569"/>
        <v/>
      </c>
    </row>
    <row r="36448" spans="26:26" x14ac:dyDescent="0.2">
      <c r="Z36448" t="str">
        <f t="shared" si="569"/>
        <v/>
      </c>
    </row>
    <row r="36449" spans="26:26" x14ac:dyDescent="0.2">
      <c r="Z36449" t="str">
        <f t="shared" si="569"/>
        <v/>
      </c>
    </row>
    <row r="36450" spans="26:26" x14ac:dyDescent="0.2">
      <c r="Z36450" t="str">
        <f t="shared" si="569"/>
        <v/>
      </c>
    </row>
    <row r="36451" spans="26:26" x14ac:dyDescent="0.2">
      <c r="Z36451" t="str">
        <f t="shared" si="569"/>
        <v/>
      </c>
    </row>
    <row r="36452" spans="26:26" x14ac:dyDescent="0.2">
      <c r="Z36452" t="str">
        <f t="shared" si="569"/>
        <v/>
      </c>
    </row>
    <row r="36453" spans="26:26" x14ac:dyDescent="0.2">
      <c r="Z36453" t="str">
        <f t="shared" si="569"/>
        <v/>
      </c>
    </row>
    <row r="36454" spans="26:26" x14ac:dyDescent="0.2">
      <c r="Z36454" t="str">
        <f t="shared" si="569"/>
        <v/>
      </c>
    </row>
    <row r="36455" spans="26:26" x14ac:dyDescent="0.2">
      <c r="Z36455" t="str">
        <f t="shared" si="569"/>
        <v/>
      </c>
    </row>
    <row r="36456" spans="26:26" x14ac:dyDescent="0.2">
      <c r="Z36456" t="str">
        <f t="shared" si="569"/>
        <v/>
      </c>
    </row>
    <row r="36457" spans="26:26" x14ac:dyDescent="0.2">
      <c r="Z36457" t="str">
        <f t="shared" si="569"/>
        <v/>
      </c>
    </row>
    <row r="36458" spans="26:26" x14ac:dyDescent="0.2">
      <c r="Z36458" t="str">
        <f t="shared" si="569"/>
        <v/>
      </c>
    </row>
    <row r="36459" spans="26:26" x14ac:dyDescent="0.2">
      <c r="Z36459" t="str">
        <f t="shared" si="569"/>
        <v/>
      </c>
    </row>
    <row r="36460" spans="26:26" x14ac:dyDescent="0.2">
      <c r="Z36460" t="str">
        <f t="shared" si="569"/>
        <v/>
      </c>
    </row>
    <row r="36461" spans="26:26" x14ac:dyDescent="0.2">
      <c r="Z36461" t="str">
        <f t="shared" si="569"/>
        <v/>
      </c>
    </row>
    <row r="36462" spans="26:26" x14ac:dyDescent="0.2">
      <c r="Z36462" t="str">
        <f t="shared" si="569"/>
        <v/>
      </c>
    </row>
    <row r="36463" spans="26:26" x14ac:dyDescent="0.2">
      <c r="Z36463" t="str">
        <f t="shared" si="569"/>
        <v/>
      </c>
    </row>
    <row r="36464" spans="26:26" x14ac:dyDescent="0.2">
      <c r="Z36464" t="str">
        <f t="shared" si="569"/>
        <v/>
      </c>
    </row>
    <row r="36465" spans="26:26" x14ac:dyDescent="0.2">
      <c r="Z36465" t="str">
        <f t="shared" si="569"/>
        <v/>
      </c>
    </row>
    <row r="36466" spans="26:26" x14ac:dyDescent="0.2">
      <c r="Z36466" t="str">
        <f t="shared" si="569"/>
        <v/>
      </c>
    </row>
    <row r="36467" spans="26:26" x14ac:dyDescent="0.2">
      <c r="Z36467" t="str">
        <f t="shared" si="569"/>
        <v/>
      </c>
    </row>
    <row r="36468" spans="26:26" x14ac:dyDescent="0.2">
      <c r="Z36468" t="str">
        <f t="shared" si="569"/>
        <v/>
      </c>
    </row>
    <row r="36469" spans="26:26" x14ac:dyDescent="0.2">
      <c r="Z36469" t="str">
        <f t="shared" si="569"/>
        <v/>
      </c>
    </row>
    <row r="36470" spans="26:26" x14ac:dyDescent="0.2">
      <c r="Z36470" t="str">
        <f t="shared" si="569"/>
        <v/>
      </c>
    </row>
    <row r="36471" spans="26:26" x14ac:dyDescent="0.2">
      <c r="Z36471" t="str">
        <f t="shared" si="569"/>
        <v/>
      </c>
    </row>
    <row r="36472" spans="26:26" x14ac:dyDescent="0.2">
      <c r="Z36472" t="str">
        <f t="shared" si="569"/>
        <v/>
      </c>
    </row>
    <row r="36473" spans="26:26" x14ac:dyDescent="0.2">
      <c r="Z36473" t="str">
        <f t="shared" si="569"/>
        <v/>
      </c>
    </row>
    <row r="36474" spans="26:26" x14ac:dyDescent="0.2">
      <c r="Z36474" t="str">
        <f t="shared" si="569"/>
        <v/>
      </c>
    </row>
    <row r="36475" spans="26:26" x14ac:dyDescent="0.2">
      <c r="Z36475" t="str">
        <f t="shared" si="569"/>
        <v/>
      </c>
    </row>
    <row r="36476" spans="26:26" x14ac:dyDescent="0.2">
      <c r="Z36476" t="str">
        <f t="shared" si="569"/>
        <v/>
      </c>
    </row>
    <row r="36477" spans="26:26" x14ac:dyDescent="0.2">
      <c r="Z36477" t="str">
        <f t="shared" si="569"/>
        <v/>
      </c>
    </row>
    <row r="36478" spans="26:26" x14ac:dyDescent="0.2">
      <c r="Z36478" t="str">
        <f t="shared" si="569"/>
        <v/>
      </c>
    </row>
    <row r="36479" spans="26:26" x14ac:dyDescent="0.2">
      <c r="Z36479" t="str">
        <f t="shared" si="569"/>
        <v/>
      </c>
    </row>
    <row r="36480" spans="26:26" x14ac:dyDescent="0.2">
      <c r="Z36480" t="str">
        <f t="shared" si="569"/>
        <v/>
      </c>
    </row>
    <row r="36481" spans="26:26" x14ac:dyDescent="0.2">
      <c r="Z36481" t="str">
        <f t="shared" si="569"/>
        <v/>
      </c>
    </row>
    <row r="36482" spans="26:26" x14ac:dyDescent="0.2">
      <c r="Z36482" t="str">
        <f t="shared" si="569"/>
        <v/>
      </c>
    </row>
    <row r="36483" spans="26:26" x14ac:dyDescent="0.2">
      <c r="Z36483" t="str">
        <f t="shared" ref="Z36483:Z36546" si="570">IF(K36483="","",IFERROR(VALUE(TRIM(MID(K36483,FIND(CHAR(167),SUBSTITUTE(K36483,"-",CHAR(167),LEN(K36483)-LEN(SUBSTITUTE(K36483,"-",""))))+1,100))),K36483))</f>
        <v/>
      </c>
    </row>
    <row r="36484" spans="26:26" x14ac:dyDescent="0.2">
      <c r="Z36484" t="str">
        <f t="shared" si="570"/>
        <v/>
      </c>
    </row>
    <row r="36485" spans="26:26" x14ac:dyDescent="0.2">
      <c r="Z36485" t="str">
        <f t="shared" si="570"/>
        <v/>
      </c>
    </row>
    <row r="36486" spans="26:26" x14ac:dyDescent="0.2">
      <c r="Z36486" t="str">
        <f t="shared" si="570"/>
        <v/>
      </c>
    </row>
    <row r="36487" spans="26:26" x14ac:dyDescent="0.2">
      <c r="Z36487" t="str">
        <f t="shared" si="570"/>
        <v/>
      </c>
    </row>
    <row r="36488" spans="26:26" x14ac:dyDescent="0.2">
      <c r="Z36488" t="str">
        <f t="shared" si="570"/>
        <v/>
      </c>
    </row>
    <row r="36489" spans="26:26" x14ac:dyDescent="0.2">
      <c r="Z36489" t="str">
        <f t="shared" si="570"/>
        <v/>
      </c>
    </row>
    <row r="36490" spans="26:26" x14ac:dyDescent="0.2">
      <c r="Z36490" t="str">
        <f t="shared" si="570"/>
        <v/>
      </c>
    </row>
    <row r="36491" spans="26:26" x14ac:dyDescent="0.2">
      <c r="Z36491" t="str">
        <f t="shared" si="570"/>
        <v/>
      </c>
    </row>
    <row r="36492" spans="26:26" x14ac:dyDescent="0.2">
      <c r="Z36492" t="str">
        <f t="shared" si="570"/>
        <v/>
      </c>
    </row>
    <row r="36493" spans="26:26" x14ac:dyDescent="0.2">
      <c r="Z36493" t="str">
        <f t="shared" si="570"/>
        <v/>
      </c>
    </row>
    <row r="36494" spans="26:26" x14ac:dyDescent="0.2">
      <c r="Z36494" t="str">
        <f t="shared" si="570"/>
        <v/>
      </c>
    </row>
    <row r="36495" spans="26:26" x14ac:dyDescent="0.2">
      <c r="Z36495" t="str">
        <f t="shared" si="570"/>
        <v/>
      </c>
    </row>
    <row r="36496" spans="26:26" x14ac:dyDescent="0.2">
      <c r="Z36496" t="str">
        <f t="shared" si="570"/>
        <v/>
      </c>
    </row>
    <row r="36497" spans="26:26" x14ac:dyDescent="0.2">
      <c r="Z36497" t="str">
        <f t="shared" si="570"/>
        <v/>
      </c>
    </row>
    <row r="36498" spans="26:26" x14ac:dyDescent="0.2">
      <c r="Z36498" t="str">
        <f t="shared" si="570"/>
        <v/>
      </c>
    </row>
    <row r="36499" spans="26:26" x14ac:dyDescent="0.2">
      <c r="Z36499" t="str">
        <f t="shared" si="570"/>
        <v/>
      </c>
    </row>
    <row r="36500" spans="26:26" x14ac:dyDescent="0.2">
      <c r="Z36500" t="str">
        <f t="shared" si="570"/>
        <v/>
      </c>
    </row>
    <row r="36501" spans="26:26" x14ac:dyDescent="0.2">
      <c r="Z36501" t="str">
        <f t="shared" si="570"/>
        <v/>
      </c>
    </row>
    <row r="36502" spans="26:26" x14ac:dyDescent="0.2">
      <c r="Z36502" t="str">
        <f t="shared" si="570"/>
        <v/>
      </c>
    </row>
    <row r="36503" spans="26:26" x14ac:dyDescent="0.2">
      <c r="Z36503" t="str">
        <f t="shared" si="570"/>
        <v/>
      </c>
    </row>
    <row r="36504" spans="26:26" x14ac:dyDescent="0.2">
      <c r="Z36504" t="str">
        <f t="shared" si="570"/>
        <v/>
      </c>
    </row>
    <row r="36505" spans="26:26" x14ac:dyDescent="0.2">
      <c r="Z36505" t="str">
        <f t="shared" si="570"/>
        <v/>
      </c>
    </row>
    <row r="36506" spans="26:26" x14ac:dyDescent="0.2">
      <c r="Z36506" t="str">
        <f t="shared" si="570"/>
        <v/>
      </c>
    </row>
    <row r="36507" spans="26:26" x14ac:dyDescent="0.2">
      <c r="Z36507" t="str">
        <f t="shared" si="570"/>
        <v/>
      </c>
    </row>
    <row r="36508" spans="26:26" x14ac:dyDescent="0.2">
      <c r="Z36508" t="str">
        <f t="shared" si="570"/>
        <v/>
      </c>
    </row>
    <row r="36509" spans="26:26" x14ac:dyDescent="0.2">
      <c r="Z36509" t="str">
        <f t="shared" si="570"/>
        <v/>
      </c>
    </row>
    <row r="36510" spans="26:26" x14ac:dyDescent="0.2">
      <c r="Z36510" t="str">
        <f t="shared" si="570"/>
        <v/>
      </c>
    </row>
    <row r="36511" spans="26:26" x14ac:dyDescent="0.2">
      <c r="Z36511" t="str">
        <f t="shared" si="570"/>
        <v/>
      </c>
    </row>
    <row r="36512" spans="26:26" x14ac:dyDescent="0.2">
      <c r="Z36512" t="str">
        <f t="shared" si="570"/>
        <v/>
      </c>
    </row>
    <row r="36513" spans="26:26" x14ac:dyDescent="0.2">
      <c r="Z36513" t="str">
        <f t="shared" si="570"/>
        <v/>
      </c>
    </row>
    <row r="36514" spans="26:26" x14ac:dyDescent="0.2">
      <c r="Z36514" t="str">
        <f t="shared" si="570"/>
        <v/>
      </c>
    </row>
    <row r="36515" spans="26:26" x14ac:dyDescent="0.2">
      <c r="Z36515" t="str">
        <f t="shared" si="570"/>
        <v/>
      </c>
    </row>
    <row r="36516" spans="26:26" x14ac:dyDescent="0.2">
      <c r="Z36516" t="str">
        <f t="shared" si="570"/>
        <v/>
      </c>
    </row>
    <row r="36517" spans="26:26" x14ac:dyDescent="0.2">
      <c r="Z36517" t="str">
        <f t="shared" si="570"/>
        <v/>
      </c>
    </row>
    <row r="36518" spans="26:26" x14ac:dyDescent="0.2">
      <c r="Z36518" t="str">
        <f t="shared" si="570"/>
        <v/>
      </c>
    </row>
    <row r="36519" spans="26:26" x14ac:dyDescent="0.2">
      <c r="Z36519" t="str">
        <f t="shared" si="570"/>
        <v/>
      </c>
    </row>
    <row r="36520" spans="26:26" x14ac:dyDescent="0.2">
      <c r="Z36520" t="str">
        <f t="shared" si="570"/>
        <v/>
      </c>
    </row>
    <row r="36521" spans="26:26" x14ac:dyDescent="0.2">
      <c r="Z36521" t="str">
        <f t="shared" si="570"/>
        <v/>
      </c>
    </row>
    <row r="36522" spans="26:26" x14ac:dyDescent="0.2">
      <c r="Z36522" t="str">
        <f t="shared" si="570"/>
        <v/>
      </c>
    </row>
    <row r="36523" spans="26:26" x14ac:dyDescent="0.2">
      <c r="Z36523" t="str">
        <f t="shared" si="570"/>
        <v/>
      </c>
    </row>
    <row r="36524" spans="26:26" x14ac:dyDescent="0.2">
      <c r="Z36524" t="str">
        <f t="shared" si="570"/>
        <v/>
      </c>
    </row>
    <row r="36525" spans="26:26" x14ac:dyDescent="0.2">
      <c r="Z36525" t="str">
        <f t="shared" si="570"/>
        <v/>
      </c>
    </row>
    <row r="36526" spans="26:26" x14ac:dyDescent="0.2">
      <c r="Z36526" t="str">
        <f t="shared" si="570"/>
        <v/>
      </c>
    </row>
    <row r="36527" spans="26:26" x14ac:dyDescent="0.2">
      <c r="Z36527" t="str">
        <f t="shared" si="570"/>
        <v/>
      </c>
    </row>
    <row r="36528" spans="26:26" x14ac:dyDescent="0.2">
      <c r="Z36528" t="str">
        <f t="shared" si="570"/>
        <v/>
      </c>
    </row>
    <row r="36529" spans="26:26" x14ac:dyDescent="0.2">
      <c r="Z36529" t="str">
        <f t="shared" si="570"/>
        <v/>
      </c>
    </row>
    <row r="36530" spans="26:26" x14ac:dyDescent="0.2">
      <c r="Z36530" t="str">
        <f t="shared" si="570"/>
        <v/>
      </c>
    </row>
    <row r="36531" spans="26:26" x14ac:dyDescent="0.2">
      <c r="Z36531" t="str">
        <f t="shared" si="570"/>
        <v/>
      </c>
    </row>
    <row r="36532" spans="26:26" x14ac:dyDescent="0.2">
      <c r="Z36532" t="str">
        <f t="shared" si="570"/>
        <v/>
      </c>
    </row>
    <row r="36533" spans="26:26" x14ac:dyDescent="0.2">
      <c r="Z36533" t="str">
        <f t="shared" si="570"/>
        <v/>
      </c>
    </row>
    <row r="36534" spans="26:26" x14ac:dyDescent="0.2">
      <c r="Z36534" t="str">
        <f t="shared" si="570"/>
        <v/>
      </c>
    </row>
    <row r="36535" spans="26:26" x14ac:dyDescent="0.2">
      <c r="Z36535" t="str">
        <f t="shared" si="570"/>
        <v/>
      </c>
    </row>
    <row r="36536" spans="26:26" x14ac:dyDescent="0.2">
      <c r="Z36536" t="str">
        <f t="shared" si="570"/>
        <v/>
      </c>
    </row>
    <row r="36537" spans="26:26" x14ac:dyDescent="0.2">
      <c r="Z36537" t="str">
        <f t="shared" si="570"/>
        <v/>
      </c>
    </row>
    <row r="36538" spans="26:26" x14ac:dyDescent="0.2">
      <c r="Z36538" t="str">
        <f t="shared" si="570"/>
        <v/>
      </c>
    </row>
    <row r="36539" spans="26:26" x14ac:dyDescent="0.2">
      <c r="Z36539" t="str">
        <f t="shared" si="570"/>
        <v/>
      </c>
    </row>
    <row r="36540" spans="26:26" x14ac:dyDescent="0.2">
      <c r="Z36540" t="str">
        <f t="shared" si="570"/>
        <v/>
      </c>
    </row>
    <row r="36541" spans="26:26" x14ac:dyDescent="0.2">
      <c r="Z36541" t="str">
        <f t="shared" si="570"/>
        <v/>
      </c>
    </row>
    <row r="36542" spans="26:26" x14ac:dyDescent="0.2">
      <c r="Z36542" t="str">
        <f t="shared" si="570"/>
        <v/>
      </c>
    </row>
    <row r="36543" spans="26:26" x14ac:dyDescent="0.2">
      <c r="Z36543" t="str">
        <f t="shared" si="570"/>
        <v/>
      </c>
    </row>
    <row r="36544" spans="26:26" x14ac:dyDescent="0.2">
      <c r="Z36544" t="str">
        <f t="shared" si="570"/>
        <v/>
      </c>
    </row>
    <row r="36545" spans="26:26" x14ac:dyDescent="0.2">
      <c r="Z36545" t="str">
        <f t="shared" si="570"/>
        <v/>
      </c>
    </row>
    <row r="36546" spans="26:26" x14ac:dyDescent="0.2">
      <c r="Z36546" t="str">
        <f t="shared" si="570"/>
        <v/>
      </c>
    </row>
    <row r="36547" spans="26:26" x14ac:dyDescent="0.2">
      <c r="Z36547" t="str">
        <f t="shared" ref="Z36547:Z36610" si="571">IF(K36547="","",IFERROR(VALUE(TRIM(MID(K36547,FIND(CHAR(167),SUBSTITUTE(K36547,"-",CHAR(167),LEN(K36547)-LEN(SUBSTITUTE(K36547,"-",""))))+1,100))),K36547))</f>
        <v/>
      </c>
    </row>
    <row r="36548" spans="26:26" x14ac:dyDescent="0.2">
      <c r="Z36548" t="str">
        <f t="shared" si="571"/>
        <v/>
      </c>
    </row>
    <row r="36549" spans="26:26" x14ac:dyDescent="0.2">
      <c r="Z36549" t="str">
        <f t="shared" si="571"/>
        <v/>
      </c>
    </row>
    <row r="36550" spans="26:26" x14ac:dyDescent="0.2">
      <c r="Z36550" t="str">
        <f t="shared" si="571"/>
        <v/>
      </c>
    </row>
    <row r="36551" spans="26:26" x14ac:dyDescent="0.2">
      <c r="Z36551" t="str">
        <f t="shared" si="571"/>
        <v/>
      </c>
    </row>
    <row r="36552" spans="26:26" x14ac:dyDescent="0.2">
      <c r="Z36552" t="str">
        <f t="shared" si="571"/>
        <v/>
      </c>
    </row>
    <row r="36553" spans="26:26" x14ac:dyDescent="0.2">
      <c r="Z36553" t="str">
        <f t="shared" si="571"/>
        <v/>
      </c>
    </row>
    <row r="36554" spans="26:26" x14ac:dyDescent="0.2">
      <c r="Z36554" t="str">
        <f t="shared" si="571"/>
        <v/>
      </c>
    </row>
    <row r="36555" spans="26:26" x14ac:dyDescent="0.2">
      <c r="Z36555" t="str">
        <f t="shared" si="571"/>
        <v/>
      </c>
    </row>
    <row r="36556" spans="26:26" x14ac:dyDescent="0.2">
      <c r="Z36556" t="str">
        <f t="shared" si="571"/>
        <v/>
      </c>
    </row>
    <row r="36557" spans="26:26" x14ac:dyDescent="0.2">
      <c r="Z36557" t="str">
        <f t="shared" si="571"/>
        <v/>
      </c>
    </row>
    <row r="36558" spans="26:26" x14ac:dyDescent="0.2">
      <c r="Z36558" t="str">
        <f t="shared" si="571"/>
        <v/>
      </c>
    </row>
    <row r="36559" spans="26:26" x14ac:dyDescent="0.2">
      <c r="Z36559" t="str">
        <f t="shared" si="571"/>
        <v/>
      </c>
    </row>
    <row r="36560" spans="26:26" x14ac:dyDescent="0.2">
      <c r="Z36560" t="str">
        <f t="shared" si="571"/>
        <v/>
      </c>
    </row>
    <row r="36561" spans="26:26" x14ac:dyDescent="0.2">
      <c r="Z36561" t="str">
        <f t="shared" si="571"/>
        <v/>
      </c>
    </row>
    <row r="36562" spans="26:26" x14ac:dyDescent="0.2">
      <c r="Z36562" t="str">
        <f t="shared" si="571"/>
        <v/>
      </c>
    </row>
    <row r="36563" spans="26:26" x14ac:dyDescent="0.2">
      <c r="Z36563" t="str">
        <f t="shared" si="571"/>
        <v/>
      </c>
    </row>
    <row r="36564" spans="26:26" x14ac:dyDescent="0.2">
      <c r="Z36564" t="str">
        <f t="shared" si="571"/>
        <v/>
      </c>
    </row>
    <row r="36565" spans="26:26" x14ac:dyDescent="0.2">
      <c r="Z36565" t="str">
        <f t="shared" si="571"/>
        <v/>
      </c>
    </row>
    <row r="36566" spans="26:26" x14ac:dyDescent="0.2">
      <c r="Z36566" t="str">
        <f t="shared" si="571"/>
        <v/>
      </c>
    </row>
    <row r="36567" spans="26:26" x14ac:dyDescent="0.2">
      <c r="Z36567" t="str">
        <f t="shared" si="571"/>
        <v/>
      </c>
    </row>
    <row r="36568" spans="26:26" x14ac:dyDescent="0.2">
      <c r="Z36568" t="str">
        <f t="shared" si="571"/>
        <v/>
      </c>
    </row>
    <row r="36569" spans="26:26" x14ac:dyDescent="0.2">
      <c r="Z36569" t="str">
        <f t="shared" si="571"/>
        <v/>
      </c>
    </row>
    <row r="36570" spans="26:26" x14ac:dyDescent="0.2">
      <c r="Z36570" t="str">
        <f t="shared" si="571"/>
        <v/>
      </c>
    </row>
    <row r="36571" spans="26:26" x14ac:dyDescent="0.2">
      <c r="Z36571" t="str">
        <f t="shared" si="571"/>
        <v/>
      </c>
    </row>
    <row r="36572" spans="26:26" x14ac:dyDescent="0.2">
      <c r="Z36572" t="str">
        <f t="shared" si="571"/>
        <v/>
      </c>
    </row>
    <row r="36573" spans="26:26" x14ac:dyDescent="0.2">
      <c r="Z36573" t="str">
        <f t="shared" si="571"/>
        <v/>
      </c>
    </row>
    <row r="36574" spans="26:26" x14ac:dyDescent="0.2">
      <c r="Z36574" t="str">
        <f t="shared" si="571"/>
        <v/>
      </c>
    </row>
    <row r="36575" spans="26:26" x14ac:dyDescent="0.2">
      <c r="Z36575" t="str">
        <f t="shared" si="571"/>
        <v/>
      </c>
    </row>
    <row r="36576" spans="26:26" x14ac:dyDescent="0.2">
      <c r="Z36576" t="str">
        <f t="shared" si="571"/>
        <v/>
      </c>
    </row>
    <row r="36577" spans="26:26" x14ac:dyDescent="0.2">
      <c r="Z36577" t="str">
        <f t="shared" si="571"/>
        <v/>
      </c>
    </row>
    <row r="36578" spans="26:26" x14ac:dyDescent="0.2">
      <c r="Z36578" t="str">
        <f t="shared" si="571"/>
        <v/>
      </c>
    </row>
    <row r="36579" spans="26:26" x14ac:dyDescent="0.2">
      <c r="Z36579" t="str">
        <f t="shared" si="571"/>
        <v/>
      </c>
    </row>
    <row r="36580" spans="26:26" x14ac:dyDescent="0.2">
      <c r="Z36580" t="str">
        <f t="shared" si="571"/>
        <v/>
      </c>
    </row>
    <row r="36581" spans="26:26" x14ac:dyDescent="0.2">
      <c r="Z36581" t="str">
        <f t="shared" si="571"/>
        <v/>
      </c>
    </row>
    <row r="36582" spans="26:26" x14ac:dyDescent="0.2">
      <c r="Z36582" t="str">
        <f t="shared" si="571"/>
        <v/>
      </c>
    </row>
    <row r="36583" spans="26:26" x14ac:dyDescent="0.2">
      <c r="Z36583" t="str">
        <f t="shared" si="571"/>
        <v/>
      </c>
    </row>
    <row r="36584" spans="26:26" x14ac:dyDescent="0.2">
      <c r="Z36584" t="str">
        <f t="shared" si="571"/>
        <v/>
      </c>
    </row>
    <row r="36585" spans="26:26" x14ac:dyDescent="0.2">
      <c r="Z36585" t="str">
        <f t="shared" si="571"/>
        <v/>
      </c>
    </row>
    <row r="36586" spans="26:26" x14ac:dyDescent="0.2">
      <c r="Z36586" t="str">
        <f t="shared" si="571"/>
        <v/>
      </c>
    </row>
    <row r="36587" spans="26:26" x14ac:dyDescent="0.2">
      <c r="Z36587" t="str">
        <f t="shared" si="571"/>
        <v/>
      </c>
    </row>
    <row r="36588" spans="26:26" x14ac:dyDescent="0.2">
      <c r="Z36588" t="str">
        <f t="shared" si="571"/>
        <v/>
      </c>
    </row>
    <row r="36589" spans="26:26" x14ac:dyDescent="0.2">
      <c r="Z36589" t="str">
        <f t="shared" si="571"/>
        <v/>
      </c>
    </row>
    <row r="36590" spans="26:26" x14ac:dyDescent="0.2">
      <c r="Z36590" t="str">
        <f t="shared" si="571"/>
        <v/>
      </c>
    </row>
    <row r="36591" spans="26:26" x14ac:dyDescent="0.2">
      <c r="Z36591" t="str">
        <f t="shared" si="571"/>
        <v/>
      </c>
    </row>
    <row r="36592" spans="26:26" x14ac:dyDescent="0.2">
      <c r="Z36592" t="str">
        <f t="shared" si="571"/>
        <v/>
      </c>
    </row>
    <row r="36593" spans="26:26" x14ac:dyDescent="0.2">
      <c r="Z36593" t="str">
        <f t="shared" si="571"/>
        <v/>
      </c>
    </row>
    <row r="36594" spans="26:26" x14ac:dyDescent="0.2">
      <c r="Z36594" t="str">
        <f t="shared" si="571"/>
        <v/>
      </c>
    </row>
    <row r="36595" spans="26:26" x14ac:dyDescent="0.2">
      <c r="Z36595" t="str">
        <f t="shared" si="571"/>
        <v/>
      </c>
    </row>
    <row r="36596" spans="26:26" x14ac:dyDescent="0.2">
      <c r="Z36596" t="str">
        <f t="shared" si="571"/>
        <v/>
      </c>
    </row>
    <row r="36597" spans="26:26" x14ac:dyDescent="0.2">
      <c r="Z36597" t="str">
        <f t="shared" si="571"/>
        <v/>
      </c>
    </row>
    <row r="36598" spans="26:26" x14ac:dyDescent="0.2">
      <c r="Z36598" t="str">
        <f t="shared" si="571"/>
        <v/>
      </c>
    </row>
    <row r="36599" spans="26:26" x14ac:dyDescent="0.2">
      <c r="Z36599" t="str">
        <f t="shared" si="571"/>
        <v/>
      </c>
    </row>
    <row r="36600" spans="26:26" x14ac:dyDescent="0.2">
      <c r="Z36600" t="str">
        <f t="shared" si="571"/>
        <v/>
      </c>
    </row>
    <row r="36601" spans="26:26" x14ac:dyDescent="0.2">
      <c r="Z36601" t="str">
        <f t="shared" si="571"/>
        <v/>
      </c>
    </row>
    <row r="36602" spans="26:26" x14ac:dyDescent="0.2">
      <c r="Z36602" t="str">
        <f t="shared" si="571"/>
        <v/>
      </c>
    </row>
    <row r="36603" spans="26:26" x14ac:dyDescent="0.2">
      <c r="Z36603" t="str">
        <f t="shared" si="571"/>
        <v/>
      </c>
    </row>
    <row r="36604" spans="26:26" x14ac:dyDescent="0.2">
      <c r="Z36604" t="str">
        <f t="shared" si="571"/>
        <v/>
      </c>
    </row>
    <row r="36605" spans="26:26" x14ac:dyDescent="0.2">
      <c r="Z36605" t="str">
        <f t="shared" si="571"/>
        <v/>
      </c>
    </row>
    <row r="36606" spans="26:26" x14ac:dyDescent="0.2">
      <c r="Z36606" t="str">
        <f t="shared" si="571"/>
        <v/>
      </c>
    </row>
    <row r="36607" spans="26:26" x14ac:dyDescent="0.2">
      <c r="Z36607" t="str">
        <f t="shared" si="571"/>
        <v/>
      </c>
    </row>
    <row r="36608" spans="26:26" x14ac:dyDescent="0.2">
      <c r="Z36608" t="str">
        <f t="shared" si="571"/>
        <v/>
      </c>
    </row>
    <row r="36609" spans="26:26" x14ac:dyDescent="0.2">
      <c r="Z36609" t="str">
        <f t="shared" si="571"/>
        <v/>
      </c>
    </row>
    <row r="36610" spans="26:26" x14ac:dyDescent="0.2">
      <c r="Z36610" t="str">
        <f t="shared" si="571"/>
        <v/>
      </c>
    </row>
    <row r="36611" spans="26:26" x14ac:dyDescent="0.2">
      <c r="Z36611" t="str">
        <f t="shared" ref="Z36611:Z36674" si="572">IF(K36611="","",IFERROR(VALUE(TRIM(MID(K36611,FIND(CHAR(167),SUBSTITUTE(K36611,"-",CHAR(167),LEN(K36611)-LEN(SUBSTITUTE(K36611,"-",""))))+1,100))),K36611))</f>
        <v/>
      </c>
    </row>
    <row r="36612" spans="26:26" x14ac:dyDescent="0.2">
      <c r="Z36612" t="str">
        <f t="shared" si="572"/>
        <v/>
      </c>
    </row>
    <row r="36613" spans="26:26" x14ac:dyDescent="0.2">
      <c r="Z36613" t="str">
        <f t="shared" si="572"/>
        <v/>
      </c>
    </row>
    <row r="36614" spans="26:26" x14ac:dyDescent="0.2">
      <c r="Z36614" t="str">
        <f t="shared" si="572"/>
        <v/>
      </c>
    </row>
    <row r="36615" spans="26:26" x14ac:dyDescent="0.2">
      <c r="Z36615" t="str">
        <f t="shared" si="572"/>
        <v/>
      </c>
    </row>
    <row r="36616" spans="26:26" x14ac:dyDescent="0.2">
      <c r="Z36616" t="str">
        <f t="shared" si="572"/>
        <v/>
      </c>
    </row>
    <row r="36617" spans="26:26" x14ac:dyDescent="0.2">
      <c r="Z36617" t="str">
        <f t="shared" si="572"/>
        <v/>
      </c>
    </row>
    <row r="36618" spans="26:26" x14ac:dyDescent="0.2">
      <c r="Z36618" t="str">
        <f t="shared" si="572"/>
        <v/>
      </c>
    </row>
    <row r="36619" spans="26:26" x14ac:dyDescent="0.2">
      <c r="Z36619" t="str">
        <f t="shared" si="572"/>
        <v/>
      </c>
    </row>
    <row r="36620" spans="26:26" x14ac:dyDescent="0.2">
      <c r="Z36620" t="str">
        <f t="shared" si="572"/>
        <v/>
      </c>
    </row>
    <row r="36621" spans="26:26" x14ac:dyDescent="0.2">
      <c r="Z36621" t="str">
        <f t="shared" si="572"/>
        <v/>
      </c>
    </row>
    <row r="36622" spans="26:26" x14ac:dyDescent="0.2">
      <c r="Z36622" t="str">
        <f t="shared" si="572"/>
        <v/>
      </c>
    </row>
    <row r="36623" spans="26:26" x14ac:dyDescent="0.2">
      <c r="Z36623" t="str">
        <f t="shared" si="572"/>
        <v/>
      </c>
    </row>
    <row r="36624" spans="26:26" x14ac:dyDescent="0.2">
      <c r="Z36624" t="str">
        <f t="shared" si="572"/>
        <v/>
      </c>
    </row>
    <row r="36625" spans="26:26" x14ac:dyDescent="0.2">
      <c r="Z36625" t="str">
        <f t="shared" si="572"/>
        <v/>
      </c>
    </row>
    <row r="36626" spans="26:26" x14ac:dyDescent="0.2">
      <c r="Z36626" t="str">
        <f t="shared" si="572"/>
        <v/>
      </c>
    </row>
    <row r="36627" spans="26:26" x14ac:dyDescent="0.2">
      <c r="Z36627" t="str">
        <f t="shared" si="572"/>
        <v/>
      </c>
    </row>
    <row r="36628" spans="26:26" x14ac:dyDescent="0.2">
      <c r="Z36628" t="str">
        <f t="shared" si="572"/>
        <v/>
      </c>
    </row>
    <row r="36629" spans="26:26" x14ac:dyDescent="0.2">
      <c r="Z36629" t="str">
        <f t="shared" si="572"/>
        <v/>
      </c>
    </row>
    <row r="36630" spans="26:26" x14ac:dyDescent="0.2">
      <c r="Z36630" t="str">
        <f t="shared" si="572"/>
        <v/>
      </c>
    </row>
    <row r="36631" spans="26:26" x14ac:dyDescent="0.2">
      <c r="Z36631" t="str">
        <f t="shared" si="572"/>
        <v/>
      </c>
    </row>
    <row r="36632" spans="26:26" x14ac:dyDescent="0.2">
      <c r="Z36632" t="str">
        <f t="shared" si="572"/>
        <v/>
      </c>
    </row>
    <row r="36633" spans="26:26" x14ac:dyDescent="0.2">
      <c r="Z36633" t="str">
        <f t="shared" si="572"/>
        <v/>
      </c>
    </row>
    <row r="36634" spans="26:26" x14ac:dyDescent="0.2">
      <c r="Z36634" t="str">
        <f t="shared" si="572"/>
        <v/>
      </c>
    </row>
    <row r="36635" spans="26:26" x14ac:dyDescent="0.2">
      <c r="Z36635" t="str">
        <f t="shared" si="572"/>
        <v/>
      </c>
    </row>
    <row r="36636" spans="26:26" x14ac:dyDescent="0.2">
      <c r="Z36636" t="str">
        <f t="shared" si="572"/>
        <v/>
      </c>
    </row>
    <row r="36637" spans="26:26" x14ac:dyDescent="0.2">
      <c r="Z36637" t="str">
        <f t="shared" si="572"/>
        <v/>
      </c>
    </row>
    <row r="36638" spans="26:26" x14ac:dyDescent="0.2">
      <c r="Z36638" t="str">
        <f t="shared" si="572"/>
        <v/>
      </c>
    </row>
    <row r="36639" spans="26:26" x14ac:dyDescent="0.2">
      <c r="Z36639" t="str">
        <f t="shared" si="572"/>
        <v/>
      </c>
    </row>
    <row r="36640" spans="26:26" x14ac:dyDescent="0.2">
      <c r="Z36640" t="str">
        <f t="shared" si="572"/>
        <v/>
      </c>
    </row>
    <row r="36641" spans="26:26" x14ac:dyDescent="0.2">
      <c r="Z36641" t="str">
        <f t="shared" si="572"/>
        <v/>
      </c>
    </row>
    <row r="36642" spans="26:26" x14ac:dyDescent="0.2">
      <c r="Z36642" t="str">
        <f t="shared" si="572"/>
        <v/>
      </c>
    </row>
    <row r="36643" spans="26:26" x14ac:dyDescent="0.2">
      <c r="Z36643" t="str">
        <f t="shared" si="572"/>
        <v/>
      </c>
    </row>
    <row r="36644" spans="26:26" x14ac:dyDescent="0.2">
      <c r="Z36644" t="str">
        <f t="shared" si="572"/>
        <v/>
      </c>
    </row>
    <row r="36645" spans="26:26" x14ac:dyDescent="0.2">
      <c r="Z36645" t="str">
        <f t="shared" si="572"/>
        <v/>
      </c>
    </row>
    <row r="36646" spans="26:26" x14ac:dyDescent="0.2">
      <c r="Z36646" t="str">
        <f t="shared" si="572"/>
        <v/>
      </c>
    </row>
    <row r="36647" spans="26:26" x14ac:dyDescent="0.2">
      <c r="Z36647" t="str">
        <f t="shared" si="572"/>
        <v/>
      </c>
    </row>
    <row r="36648" spans="26:26" x14ac:dyDescent="0.2">
      <c r="Z36648" t="str">
        <f t="shared" si="572"/>
        <v/>
      </c>
    </row>
    <row r="36649" spans="26:26" x14ac:dyDescent="0.2">
      <c r="Z36649" t="str">
        <f t="shared" si="572"/>
        <v/>
      </c>
    </row>
    <row r="36650" spans="26:26" x14ac:dyDescent="0.2">
      <c r="Z36650" t="str">
        <f t="shared" si="572"/>
        <v/>
      </c>
    </row>
    <row r="36651" spans="26:26" x14ac:dyDescent="0.2">
      <c r="Z36651" t="str">
        <f t="shared" si="572"/>
        <v/>
      </c>
    </row>
    <row r="36652" spans="26:26" x14ac:dyDescent="0.2">
      <c r="Z36652" t="str">
        <f t="shared" si="572"/>
        <v/>
      </c>
    </row>
    <row r="36653" spans="26:26" x14ac:dyDescent="0.2">
      <c r="Z36653" t="str">
        <f t="shared" si="572"/>
        <v/>
      </c>
    </row>
    <row r="36654" spans="26:26" x14ac:dyDescent="0.2">
      <c r="Z36654" t="str">
        <f t="shared" si="572"/>
        <v/>
      </c>
    </row>
    <row r="36655" spans="26:26" x14ac:dyDescent="0.2">
      <c r="Z36655" t="str">
        <f t="shared" si="572"/>
        <v/>
      </c>
    </row>
    <row r="36656" spans="26:26" x14ac:dyDescent="0.2">
      <c r="Z36656" t="str">
        <f t="shared" si="572"/>
        <v/>
      </c>
    </row>
    <row r="36657" spans="26:26" x14ac:dyDescent="0.2">
      <c r="Z36657" t="str">
        <f t="shared" si="572"/>
        <v/>
      </c>
    </row>
    <row r="36658" spans="26:26" x14ac:dyDescent="0.2">
      <c r="Z36658" t="str">
        <f t="shared" si="572"/>
        <v/>
      </c>
    </row>
    <row r="36659" spans="26:26" x14ac:dyDescent="0.2">
      <c r="Z36659" t="str">
        <f t="shared" si="572"/>
        <v/>
      </c>
    </row>
    <row r="36660" spans="26:26" x14ac:dyDescent="0.2">
      <c r="Z36660" t="str">
        <f t="shared" si="572"/>
        <v/>
      </c>
    </row>
    <row r="36661" spans="26:26" x14ac:dyDescent="0.2">
      <c r="Z36661" t="str">
        <f t="shared" si="572"/>
        <v/>
      </c>
    </row>
    <row r="36662" spans="26:26" x14ac:dyDescent="0.2">
      <c r="Z36662" t="str">
        <f t="shared" si="572"/>
        <v/>
      </c>
    </row>
    <row r="36663" spans="26:26" x14ac:dyDescent="0.2">
      <c r="Z36663" t="str">
        <f t="shared" si="572"/>
        <v/>
      </c>
    </row>
    <row r="36664" spans="26:26" x14ac:dyDescent="0.2">
      <c r="Z36664" t="str">
        <f t="shared" si="572"/>
        <v/>
      </c>
    </row>
    <row r="36665" spans="26:26" x14ac:dyDescent="0.2">
      <c r="Z36665" t="str">
        <f t="shared" si="572"/>
        <v/>
      </c>
    </row>
    <row r="36666" spans="26:26" x14ac:dyDescent="0.2">
      <c r="Z36666" t="str">
        <f t="shared" si="572"/>
        <v/>
      </c>
    </row>
    <row r="36667" spans="26:26" x14ac:dyDescent="0.2">
      <c r="Z36667" t="str">
        <f t="shared" si="572"/>
        <v/>
      </c>
    </row>
    <row r="36668" spans="26:26" x14ac:dyDescent="0.2">
      <c r="Z36668" t="str">
        <f t="shared" si="572"/>
        <v/>
      </c>
    </row>
    <row r="36669" spans="26:26" x14ac:dyDescent="0.2">
      <c r="Z36669" t="str">
        <f t="shared" si="572"/>
        <v/>
      </c>
    </row>
    <row r="36670" spans="26:26" x14ac:dyDescent="0.2">
      <c r="Z36670" t="str">
        <f t="shared" si="572"/>
        <v/>
      </c>
    </row>
    <row r="36671" spans="26:26" x14ac:dyDescent="0.2">
      <c r="Z36671" t="str">
        <f t="shared" si="572"/>
        <v/>
      </c>
    </row>
    <row r="36672" spans="26:26" x14ac:dyDescent="0.2">
      <c r="Z36672" t="str">
        <f t="shared" si="572"/>
        <v/>
      </c>
    </row>
    <row r="36673" spans="26:26" x14ac:dyDescent="0.2">
      <c r="Z36673" t="str">
        <f t="shared" si="572"/>
        <v/>
      </c>
    </row>
    <row r="36674" spans="26:26" x14ac:dyDescent="0.2">
      <c r="Z36674" t="str">
        <f t="shared" si="572"/>
        <v/>
      </c>
    </row>
    <row r="36675" spans="26:26" x14ac:dyDescent="0.2">
      <c r="Z36675" t="str">
        <f t="shared" ref="Z36675:Z36738" si="573">IF(K36675="","",IFERROR(VALUE(TRIM(MID(K36675,FIND(CHAR(167),SUBSTITUTE(K36675,"-",CHAR(167),LEN(K36675)-LEN(SUBSTITUTE(K36675,"-",""))))+1,100))),K36675))</f>
        <v/>
      </c>
    </row>
    <row r="36676" spans="26:26" x14ac:dyDescent="0.2">
      <c r="Z36676" t="str">
        <f t="shared" si="573"/>
        <v/>
      </c>
    </row>
    <row r="36677" spans="26:26" x14ac:dyDescent="0.2">
      <c r="Z36677" t="str">
        <f t="shared" si="573"/>
        <v/>
      </c>
    </row>
    <row r="36678" spans="26:26" x14ac:dyDescent="0.2">
      <c r="Z36678" t="str">
        <f t="shared" si="573"/>
        <v/>
      </c>
    </row>
    <row r="36679" spans="26:26" x14ac:dyDescent="0.2">
      <c r="Z36679" t="str">
        <f t="shared" si="573"/>
        <v/>
      </c>
    </row>
    <row r="36680" spans="26:26" x14ac:dyDescent="0.2">
      <c r="Z36680" t="str">
        <f t="shared" si="573"/>
        <v/>
      </c>
    </row>
    <row r="36681" spans="26:26" x14ac:dyDescent="0.2">
      <c r="Z36681" t="str">
        <f t="shared" si="573"/>
        <v/>
      </c>
    </row>
    <row r="36682" spans="26:26" x14ac:dyDescent="0.2">
      <c r="Z36682" t="str">
        <f t="shared" si="573"/>
        <v/>
      </c>
    </row>
    <row r="36683" spans="26:26" x14ac:dyDescent="0.2">
      <c r="Z36683" t="str">
        <f t="shared" si="573"/>
        <v/>
      </c>
    </row>
    <row r="36684" spans="26:26" x14ac:dyDescent="0.2">
      <c r="Z36684" t="str">
        <f t="shared" si="573"/>
        <v/>
      </c>
    </row>
    <row r="36685" spans="26:26" x14ac:dyDescent="0.2">
      <c r="Z36685" t="str">
        <f t="shared" si="573"/>
        <v/>
      </c>
    </row>
    <row r="36686" spans="26:26" x14ac:dyDescent="0.2">
      <c r="Z36686" t="str">
        <f t="shared" si="573"/>
        <v/>
      </c>
    </row>
    <row r="36687" spans="26:26" x14ac:dyDescent="0.2">
      <c r="Z36687" t="str">
        <f t="shared" si="573"/>
        <v/>
      </c>
    </row>
    <row r="36688" spans="26:26" x14ac:dyDescent="0.2">
      <c r="Z36688" t="str">
        <f t="shared" si="573"/>
        <v/>
      </c>
    </row>
    <row r="36689" spans="26:26" x14ac:dyDescent="0.2">
      <c r="Z36689" t="str">
        <f t="shared" si="573"/>
        <v/>
      </c>
    </row>
    <row r="36690" spans="26:26" x14ac:dyDescent="0.2">
      <c r="Z36690" t="str">
        <f t="shared" si="573"/>
        <v/>
      </c>
    </row>
    <row r="36691" spans="26:26" x14ac:dyDescent="0.2">
      <c r="Z36691" t="str">
        <f t="shared" si="573"/>
        <v/>
      </c>
    </row>
    <row r="36692" spans="26:26" x14ac:dyDescent="0.2">
      <c r="Z36692" t="str">
        <f t="shared" si="573"/>
        <v/>
      </c>
    </row>
    <row r="36693" spans="26:26" x14ac:dyDescent="0.2">
      <c r="Z36693" t="str">
        <f t="shared" si="573"/>
        <v/>
      </c>
    </row>
    <row r="36694" spans="26:26" x14ac:dyDescent="0.2">
      <c r="Z36694" t="str">
        <f t="shared" si="573"/>
        <v/>
      </c>
    </row>
    <row r="36695" spans="26:26" x14ac:dyDescent="0.2">
      <c r="Z36695" t="str">
        <f t="shared" si="573"/>
        <v/>
      </c>
    </row>
    <row r="36696" spans="26:26" x14ac:dyDescent="0.2">
      <c r="Z36696" t="str">
        <f t="shared" si="573"/>
        <v/>
      </c>
    </row>
    <row r="36697" spans="26:26" x14ac:dyDescent="0.2">
      <c r="Z36697" t="str">
        <f t="shared" si="573"/>
        <v/>
      </c>
    </row>
    <row r="36698" spans="26:26" x14ac:dyDescent="0.2">
      <c r="Z36698" t="str">
        <f t="shared" si="573"/>
        <v/>
      </c>
    </row>
    <row r="36699" spans="26:26" x14ac:dyDescent="0.2">
      <c r="Z36699" t="str">
        <f t="shared" si="573"/>
        <v/>
      </c>
    </row>
    <row r="36700" spans="26:26" x14ac:dyDescent="0.2">
      <c r="Z36700" t="str">
        <f t="shared" si="573"/>
        <v/>
      </c>
    </row>
    <row r="36701" spans="26:26" x14ac:dyDescent="0.2">
      <c r="Z36701" t="str">
        <f t="shared" si="573"/>
        <v/>
      </c>
    </row>
    <row r="36702" spans="26:26" x14ac:dyDescent="0.2">
      <c r="Z36702" t="str">
        <f t="shared" si="573"/>
        <v/>
      </c>
    </row>
    <row r="36703" spans="26:26" x14ac:dyDescent="0.2">
      <c r="Z36703" t="str">
        <f t="shared" si="573"/>
        <v/>
      </c>
    </row>
    <row r="36704" spans="26:26" x14ac:dyDescent="0.2">
      <c r="Z36704" t="str">
        <f t="shared" si="573"/>
        <v/>
      </c>
    </row>
    <row r="36705" spans="26:26" x14ac:dyDescent="0.2">
      <c r="Z36705" t="str">
        <f t="shared" si="573"/>
        <v/>
      </c>
    </row>
    <row r="36706" spans="26:26" x14ac:dyDescent="0.2">
      <c r="Z36706" t="str">
        <f t="shared" si="573"/>
        <v/>
      </c>
    </row>
    <row r="36707" spans="26:26" x14ac:dyDescent="0.2">
      <c r="Z36707" t="str">
        <f t="shared" si="573"/>
        <v/>
      </c>
    </row>
    <row r="36708" spans="26:26" x14ac:dyDescent="0.2">
      <c r="Z36708" t="str">
        <f t="shared" si="573"/>
        <v/>
      </c>
    </row>
    <row r="36709" spans="26:26" x14ac:dyDescent="0.2">
      <c r="Z36709" t="str">
        <f t="shared" si="573"/>
        <v/>
      </c>
    </row>
    <row r="36710" spans="26:26" x14ac:dyDescent="0.2">
      <c r="Z36710" t="str">
        <f t="shared" si="573"/>
        <v/>
      </c>
    </row>
    <row r="36711" spans="26:26" x14ac:dyDescent="0.2">
      <c r="Z36711" t="str">
        <f t="shared" si="573"/>
        <v/>
      </c>
    </row>
    <row r="36712" spans="26:26" x14ac:dyDescent="0.2">
      <c r="Z36712" t="str">
        <f t="shared" si="573"/>
        <v/>
      </c>
    </row>
    <row r="36713" spans="26:26" x14ac:dyDescent="0.2">
      <c r="Z36713" t="str">
        <f t="shared" si="573"/>
        <v/>
      </c>
    </row>
    <row r="36714" spans="26:26" x14ac:dyDescent="0.2">
      <c r="Z36714" t="str">
        <f t="shared" si="573"/>
        <v/>
      </c>
    </row>
    <row r="36715" spans="26:26" x14ac:dyDescent="0.2">
      <c r="Z36715" t="str">
        <f t="shared" si="573"/>
        <v/>
      </c>
    </row>
    <row r="36716" spans="26:26" x14ac:dyDescent="0.2">
      <c r="Z36716" t="str">
        <f t="shared" si="573"/>
        <v/>
      </c>
    </row>
    <row r="36717" spans="26:26" x14ac:dyDescent="0.2">
      <c r="Z36717" t="str">
        <f t="shared" si="573"/>
        <v/>
      </c>
    </row>
    <row r="36718" spans="26:26" x14ac:dyDescent="0.2">
      <c r="Z36718" t="str">
        <f t="shared" si="573"/>
        <v/>
      </c>
    </row>
    <row r="36719" spans="26:26" x14ac:dyDescent="0.2">
      <c r="Z36719" t="str">
        <f t="shared" si="573"/>
        <v/>
      </c>
    </row>
    <row r="36720" spans="26:26" x14ac:dyDescent="0.2">
      <c r="Z36720" t="str">
        <f t="shared" si="573"/>
        <v/>
      </c>
    </row>
    <row r="36721" spans="26:26" x14ac:dyDescent="0.2">
      <c r="Z36721" t="str">
        <f t="shared" si="573"/>
        <v/>
      </c>
    </row>
    <row r="36722" spans="26:26" x14ac:dyDescent="0.2">
      <c r="Z36722" t="str">
        <f t="shared" si="573"/>
        <v/>
      </c>
    </row>
    <row r="36723" spans="26:26" x14ac:dyDescent="0.2">
      <c r="Z36723" t="str">
        <f t="shared" si="573"/>
        <v/>
      </c>
    </row>
    <row r="36724" spans="26:26" x14ac:dyDescent="0.2">
      <c r="Z36724" t="str">
        <f t="shared" si="573"/>
        <v/>
      </c>
    </row>
    <row r="36725" spans="26:26" x14ac:dyDescent="0.2">
      <c r="Z36725" t="str">
        <f t="shared" si="573"/>
        <v/>
      </c>
    </row>
    <row r="36726" spans="26:26" x14ac:dyDescent="0.2">
      <c r="Z36726" t="str">
        <f t="shared" si="573"/>
        <v/>
      </c>
    </row>
    <row r="36727" spans="26:26" x14ac:dyDescent="0.2">
      <c r="Z36727" t="str">
        <f t="shared" si="573"/>
        <v/>
      </c>
    </row>
    <row r="36728" spans="26:26" x14ac:dyDescent="0.2">
      <c r="Z36728" t="str">
        <f t="shared" si="573"/>
        <v/>
      </c>
    </row>
    <row r="36729" spans="26:26" x14ac:dyDescent="0.2">
      <c r="Z36729" t="str">
        <f t="shared" si="573"/>
        <v/>
      </c>
    </row>
    <row r="36730" spans="26:26" x14ac:dyDescent="0.2">
      <c r="Z36730" t="str">
        <f t="shared" si="573"/>
        <v/>
      </c>
    </row>
    <row r="36731" spans="26:26" x14ac:dyDescent="0.2">
      <c r="Z36731" t="str">
        <f t="shared" si="573"/>
        <v/>
      </c>
    </row>
    <row r="36732" spans="26:26" x14ac:dyDescent="0.2">
      <c r="Z36732" t="str">
        <f t="shared" si="573"/>
        <v/>
      </c>
    </row>
    <row r="36733" spans="26:26" x14ac:dyDescent="0.2">
      <c r="Z36733" t="str">
        <f t="shared" si="573"/>
        <v/>
      </c>
    </row>
    <row r="36734" spans="26:26" x14ac:dyDescent="0.2">
      <c r="Z36734" t="str">
        <f t="shared" si="573"/>
        <v/>
      </c>
    </row>
    <row r="36735" spans="26:26" x14ac:dyDescent="0.2">
      <c r="Z36735" t="str">
        <f t="shared" si="573"/>
        <v/>
      </c>
    </row>
    <row r="36736" spans="26:26" x14ac:dyDescent="0.2">
      <c r="Z36736" t="str">
        <f t="shared" si="573"/>
        <v/>
      </c>
    </row>
    <row r="36737" spans="26:26" x14ac:dyDescent="0.2">
      <c r="Z36737" t="str">
        <f t="shared" si="573"/>
        <v/>
      </c>
    </row>
    <row r="36738" spans="26:26" x14ac:dyDescent="0.2">
      <c r="Z36738" t="str">
        <f t="shared" si="573"/>
        <v/>
      </c>
    </row>
    <row r="36739" spans="26:26" x14ac:dyDescent="0.2">
      <c r="Z36739" t="str">
        <f t="shared" ref="Z36739:Z36802" si="574">IF(K36739="","",IFERROR(VALUE(TRIM(MID(K36739,FIND(CHAR(167),SUBSTITUTE(K36739,"-",CHAR(167),LEN(K36739)-LEN(SUBSTITUTE(K36739,"-",""))))+1,100))),K36739))</f>
        <v/>
      </c>
    </row>
    <row r="36740" spans="26:26" x14ac:dyDescent="0.2">
      <c r="Z36740" t="str">
        <f t="shared" si="574"/>
        <v/>
      </c>
    </row>
    <row r="36741" spans="26:26" x14ac:dyDescent="0.2">
      <c r="Z36741" t="str">
        <f t="shared" si="574"/>
        <v/>
      </c>
    </row>
    <row r="36742" spans="26:26" x14ac:dyDescent="0.2">
      <c r="Z36742" t="str">
        <f t="shared" si="574"/>
        <v/>
      </c>
    </row>
    <row r="36743" spans="26:26" x14ac:dyDescent="0.2">
      <c r="Z36743" t="str">
        <f t="shared" si="574"/>
        <v/>
      </c>
    </row>
    <row r="36744" spans="26:26" x14ac:dyDescent="0.2">
      <c r="Z36744" t="str">
        <f t="shared" si="574"/>
        <v/>
      </c>
    </row>
    <row r="36745" spans="26:26" x14ac:dyDescent="0.2">
      <c r="Z36745" t="str">
        <f t="shared" si="574"/>
        <v/>
      </c>
    </row>
    <row r="36746" spans="26:26" x14ac:dyDescent="0.2">
      <c r="Z36746" t="str">
        <f t="shared" si="574"/>
        <v/>
      </c>
    </row>
    <row r="36747" spans="26:26" x14ac:dyDescent="0.2">
      <c r="Z36747" t="str">
        <f t="shared" si="574"/>
        <v/>
      </c>
    </row>
    <row r="36748" spans="26:26" x14ac:dyDescent="0.2">
      <c r="Z36748" t="str">
        <f t="shared" si="574"/>
        <v/>
      </c>
    </row>
    <row r="36749" spans="26:26" x14ac:dyDescent="0.2">
      <c r="Z36749" t="str">
        <f t="shared" si="574"/>
        <v/>
      </c>
    </row>
    <row r="36750" spans="26:26" x14ac:dyDescent="0.2">
      <c r="Z36750" t="str">
        <f t="shared" si="574"/>
        <v/>
      </c>
    </row>
    <row r="36751" spans="26:26" x14ac:dyDescent="0.2">
      <c r="Z36751" t="str">
        <f t="shared" si="574"/>
        <v/>
      </c>
    </row>
    <row r="36752" spans="26:26" x14ac:dyDescent="0.2">
      <c r="Z36752" t="str">
        <f t="shared" si="574"/>
        <v/>
      </c>
    </row>
    <row r="36753" spans="26:26" x14ac:dyDescent="0.2">
      <c r="Z36753" t="str">
        <f t="shared" si="574"/>
        <v/>
      </c>
    </row>
    <row r="36754" spans="26:26" x14ac:dyDescent="0.2">
      <c r="Z36754" t="str">
        <f t="shared" si="574"/>
        <v/>
      </c>
    </row>
    <row r="36755" spans="26:26" x14ac:dyDescent="0.2">
      <c r="Z36755" t="str">
        <f t="shared" si="574"/>
        <v/>
      </c>
    </row>
    <row r="36756" spans="26:26" x14ac:dyDescent="0.2">
      <c r="Z36756" t="str">
        <f t="shared" si="574"/>
        <v/>
      </c>
    </row>
    <row r="36757" spans="26:26" x14ac:dyDescent="0.2">
      <c r="Z36757" t="str">
        <f t="shared" si="574"/>
        <v/>
      </c>
    </row>
    <row r="36758" spans="26:26" x14ac:dyDescent="0.2">
      <c r="Z36758" t="str">
        <f t="shared" si="574"/>
        <v/>
      </c>
    </row>
    <row r="36759" spans="26:26" x14ac:dyDescent="0.2">
      <c r="Z36759" t="str">
        <f t="shared" si="574"/>
        <v/>
      </c>
    </row>
    <row r="36760" spans="26:26" x14ac:dyDescent="0.2">
      <c r="Z36760" t="str">
        <f t="shared" si="574"/>
        <v/>
      </c>
    </row>
    <row r="36761" spans="26:26" x14ac:dyDescent="0.2">
      <c r="Z36761" t="str">
        <f t="shared" si="574"/>
        <v/>
      </c>
    </row>
    <row r="36762" spans="26:26" x14ac:dyDescent="0.2">
      <c r="Z36762" t="str">
        <f t="shared" si="574"/>
        <v/>
      </c>
    </row>
    <row r="36763" spans="26:26" x14ac:dyDescent="0.2">
      <c r="Z36763" t="str">
        <f t="shared" si="574"/>
        <v/>
      </c>
    </row>
    <row r="36764" spans="26:26" x14ac:dyDescent="0.2">
      <c r="Z36764" t="str">
        <f t="shared" si="574"/>
        <v/>
      </c>
    </row>
    <row r="36765" spans="26:26" x14ac:dyDescent="0.2">
      <c r="Z36765" t="str">
        <f t="shared" si="574"/>
        <v/>
      </c>
    </row>
    <row r="36766" spans="26:26" x14ac:dyDescent="0.2">
      <c r="Z36766" t="str">
        <f t="shared" si="574"/>
        <v/>
      </c>
    </row>
    <row r="36767" spans="26:26" x14ac:dyDescent="0.2">
      <c r="Z36767" t="str">
        <f t="shared" si="574"/>
        <v/>
      </c>
    </row>
    <row r="36768" spans="26:26" x14ac:dyDescent="0.2">
      <c r="Z36768" t="str">
        <f t="shared" si="574"/>
        <v/>
      </c>
    </row>
    <row r="36769" spans="26:26" x14ac:dyDescent="0.2">
      <c r="Z36769" t="str">
        <f t="shared" si="574"/>
        <v/>
      </c>
    </row>
    <row r="36770" spans="26:26" x14ac:dyDescent="0.2">
      <c r="Z36770" t="str">
        <f t="shared" si="574"/>
        <v/>
      </c>
    </row>
    <row r="36771" spans="26:26" x14ac:dyDescent="0.2">
      <c r="Z36771" t="str">
        <f t="shared" si="574"/>
        <v/>
      </c>
    </row>
    <row r="36772" spans="26:26" x14ac:dyDescent="0.2">
      <c r="Z36772" t="str">
        <f t="shared" si="574"/>
        <v/>
      </c>
    </row>
    <row r="36773" spans="26:26" x14ac:dyDescent="0.2">
      <c r="Z36773" t="str">
        <f t="shared" si="574"/>
        <v/>
      </c>
    </row>
    <row r="36774" spans="26:26" x14ac:dyDescent="0.2">
      <c r="Z36774" t="str">
        <f t="shared" si="574"/>
        <v/>
      </c>
    </row>
    <row r="36775" spans="26:26" x14ac:dyDescent="0.2">
      <c r="Z36775" t="str">
        <f t="shared" si="574"/>
        <v/>
      </c>
    </row>
    <row r="36776" spans="26:26" x14ac:dyDescent="0.2">
      <c r="Z36776" t="str">
        <f t="shared" si="574"/>
        <v/>
      </c>
    </row>
    <row r="36777" spans="26:26" x14ac:dyDescent="0.2">
      <c r="Z36777" t="str">
        <f t="shared" si="574"/>
        <v/>
      </c>
    </row>
    <row r="36778" spans="26:26" x14ac:dyDescent="0.2">
      <c r="Z36778" t="str">
        <f t="shared" si="574"/>
        <v/>
      </c>
    </row>
    <row r="36779" spans="26:26" x14ac:dyDescent="0.2">
      <c r="Z36779" t="str">
        <f t="shared" si="574"/>
        <v/>
      </c>
    </row>
    <row r="36780" spans="26:26" x14ac:dyDescent="0.2">
      <c r="Z36780" t="str">
        <f t="shared" si="574"/>
        <v/>
      </c>
    </row>
    <row r="36781" spans="26:26" x14ac:dyDescent="0.2">
      <c r="Z36781" t="str">
        <f t="shared" si="574"/>
        <v/>
      </c>
    </row>
    <row r="36782" spans="26:26" x14ac:dyDescent="0.2">
      <c r="Z36782" t="str">
        <f t="shared" si="574"/>
        <v/>
      </c>
    </row>
    <row r="36783" spans="26:26" x14ac:dyDescent="0.2">
      <c r="Z36783" t="str">
        <f t="shared" si="574"/>
        <v/>
      </c>
    </row>
    <row r="36784" spans="26:26" x14ac:dyDescent="0.2">
      <c r="Z36784" t="str">
        <f t="shared" si="574"/>
        <v/>
      </c>
    </row>
    <row r="36785" spans="26:26" x14ac:dyDescent="0.2">
      <c r="Z36785" t="str">
        <f t="shared" si="574"/>
        <v/>
      </c>
    </row>
    <row r="36786" spans="26:26" x14ac:dyDescent="0.2">
      <c r="Z36786" t="str">
        <f t="shared" si="574"/>
        <v/>
      </c>
    </row>
    <row r="36787" spans="26:26" x14ac:dyDescent="0.2">
      <c r="Z36787" t="str">
        <f t="shared" si="574"/>
        <v/>
      </c>
    </row>
    <row r="36788" spans="26:26" x14ac:dyDescent="0.2">
      <c r="Z36788" t="str">
        <f t="shared" si="574"/>
        <v/>
      </c>
    </row>
    <row r="36789" spans="26:26" x14ac:dyDescent="0.2">
      <c r="Z36789" t="str">
        <f t="shared" si="574"/>
        <v/>
      </c>
    </row>
    <row r="36790" spans="26:26" x14ac:dyDescent="0.2">
      <c r="Z36790" t="str">
        <f t="shared" si="574"/>
        <v/>
      </c>
    </row>
    <row r="36791" spans="26:26" x14ac:dyDescent="0.2">
      <c r="Z36791" t="str">
        <f t="shared" si="574"/>
        <v/>
      </c>
    </row>
    <row r="36792" spans="26:26" x14ac:dyDescent="0.2">
      <c r="Z36792" t="str">
        <f t="shared" si="574"/>
        <v/>
      </c>
    </row>
    <row r="36793" spans="26:26" x14ac:dyDescent="0.2">
      <c r="Z36793" t="str">
        <f t="shared" si="574"/>
        <v/>
      </c>
    </row>
    <row r="36794" spans="26:26" x14ac:dyDescent="0.2">
      <c r="Z36794" t="str">
        <f t="shared" si="574"/>
        <v/>
      </c>
    </row>
    <row r="36795" spans="26:26" x14ac:dyDescent="0.2">
      <c r="Z36795" t="str">
        <f t="shared" si="574"/>
        <v/>
      </c>
    </row>
    <row r="36796" spans="26:26" x14ac:dyDescent="0.2">
      <c r="Z36796" t="str">
        <f t="shared" si="574"/>
        <v/>
      </c>
    </row>
    <row r="36797" spans="26:26" x14ac:dyDescent="0.2">
      <c r="Z36797" t="str">
        <f t="shared" si="574"/>
        <v/>
      </c>
    </row>
    <row r="36798" spans="26:26" x14ac:dyDescent="0.2">
      <c r="Z36798" t="str">
        <f t="shared" si="574"/>
        <v/>
      </c>
    </row>
    <row r="36799" spans="26:26" x14ac:dyDescent="0.2">
      <c r="Z36799" t="str">
        <f t="shared" si="574"/>
        <v/>
      </c>
    </row>
    <row r="36800" spans="26:26" x14ac:dyDescent="0.2">
      <c r="Z36800" t="str">
        <f t="shared" si="574"/>
        <v/>
      </c>
    </row>
    <row r="36801" spans="26:26" x14ac:dyDescent="0.2">
      <c r="Z36801" t="str">
        <f t="shared" si="574"/>
        <v/>
      </c>
    </row>
    <row r="36802" spans="26:26" x14ac:dyDescent="0.2">
      <c r="Z36802" t="str">
        <f t="shared" si="574"/>
        <v/>
      </c>
    </row>
    <row r="36803" spans="26:26" x14ac:dyDescent="0.2">
      <c r="Z36803" t="str">
        <f t="shared" ref="Z36803:Z36866" si="575">IF(K36803="","",IFERROR(VALUE(TRIM(MID(K36803,FIND(CHAR(167),SUBSTITUTE(K36803,"-",CHAR(167),LEN(K36803)-LEN(SUBSTITUTE(K36803,"-",""))))+1,100))),K36803))</f>
        <v/>
      </c>
    </row>
    <row r="36804" spans="26:26" x14ac:dyDescent="0.2">
      <c r="Z36804" t="str">
        <f t="shared" si="575"/>
        <v/>
      </c>
    </row>
    <row r="36805" spans="26:26" x14ac:dyDescent="0.2">
      <c r="Z36805" t="str">
        <f t="shared" si="575"/>
        <v/>
      </c>
    </row>
    <row r="36806" spans="26:26" x14ac:dyDescent="0.2">
      <c r="Z36806" t="str">
        <f t="shared" si="575"/>
        <v/>
      </c>
    </row>
    <row r="36807" spans="26:26" x14ac:dyDescent="0.2">
      <c r="Z36807" t="str">
        <f t="shared" si="575"/>
        <v/>
      </c>
    </row>
    <row r="36808" spans="26:26" x14ac:dyDescent="0.2">
      <c r="Z36808" t="str">
        <f t="shared" si="575"/>
        <v/>
      </c>
    </row>
    <row r="36809" spans="26:26" x14ac:dyDescent="0.2">
      <c r="Z36809" t="str">
        <f t="shared" si="575"/>
        <v/>
      </c>
    </row>
    <row r="36810" spans="26:26" x14ac:dyDescent="0.2">
      <c r="Z36810" t="str">
        <f t="shared" si="575"/>
        <v/>
      </c>
    </row>
    <row r="36811" spans="26:26" x14ac:dyDescent="0.2">
      <c r="Z36811" t="str">
        <f t="shared" si="575"/>
        <v/>
      </c>
    </row>
    <row r="36812" spans="26:26" x14ac:dyDescent="0.2">
      <c r="Z36812" t="str">
        <f t="shared" si="575"/>
        <v/>
      </c>
    </row>
    <row r="36813" spans="26:26" x14ac:dyDescent="0.2">
      <c r="Z36813" t="str">
        <f t="shared" si="575"/>
        <v/>
      </c>
    </row>
    <row r="36814" spans="26:26" x14ac:dyDescent="0.2">
      <c r="Z36814" t="str">
        <f t="shared" si="575"/>
        <v/>
      </c>
    </row>
    <row r="36815" spans="26:26" x14ac:dyDescent="0.2">
      <c r="Z36815" t="str">
        <f t="shared" si="575"/>
        <v/>
      </c>
    </row>
    <row r="36816" spans="26:26" x14ac:dyDescent="0.2">
      <c r="Z36816" t="str">
        <f t="shared" si="575"/>
        <v/>
      </c>
    </row>
    <row r="36817" spans="26:26" x14ac:dyDescent="0.2">
      <c r="Z36817" t="str">
        <f t="shared" si="575"/>
        <v/>
      </c>
    </row>
    <row r="36818" spans="26:26" x14ac:dyDescent="0.2">
      <c r="Z36818" t="str">
        <f t="shared" si="575"/>
        <v/>
      </c>
    </row>
    <row r="36819" spans="26:26" x14ac:dyDescent="0.2">
      <c r="Z36819" t="str">
        <f t="shared" si="575"/>
        <v/>
      </c>
    </row>
    <row r="36820" spans="26:26" x14ac:dyDescent="0.2">
      <c r="Z36820" t="str">
        <f t="shared" si="575"/>
        <v/>
      </c>
    </row>
    <row r="36821" spans="26:26" x14ac:dyDescent="0.2">
      <c r="Z36821" t="str">
        <f t="shared" si="575"/>
        <v/>
      </c>
    </row>
    <row r="36822" spans="26:26" x14ac:dyDescent="0.2">
      <c r="Z36822" t="str">
        <f t="shared" si="575"/>
        <v/>
      </c>
    </row>
    <row r="36823" spans="26:26" x14ac:dyDescent="0.2">
      <c r="Z36823" t="str">
        <f t="shared" si="575"/>
        <v/>
      </c>
    </row>
    <row r="36824" spans="26:26" x14ac:dyDescent="0.2">
      <c r="Z36824" t="str">
        <f t="shared" si="575"/>
        <v/>
      </c>
    </row>
    <row r="36825" spans="26:26" x14ac:dyDescent="0.2">
      <c r="Z36825" t="str">
        <f t="shared" si="575"/>
        <v/>
      </c>
    </row>
    <row r="36826" spans="26:26" x14ac:dyDescent="0.2">
      <c r="Z36826" t="str">
        <f t="shared" si="575"/>
        <v/>
      </c>
    </row>
    <row r="36827" spans="26:26" x14ac:dyDescent="0.2">
      <c r="Z36827" t="str">
        <f t="shared" si="575"/>
        <v/>
      </c>
    </row>
    <row r="36828" spans="26:26" x14ac:dyDescent="0.2">
      <c r="Z36828" t="str">
        <f t="shared" si="575"/>
        <v/>
      </c>
    </row>
    <row r="36829" spans="26:26" x14ac:dyDescent="0.2">
      <c r="Z36829" t="str">
        <f t="shared" si="575"/>
        <v/>
      </c>
    </row>
    <row r="36830" spans="26:26" x14ac:dyDescent="0.2">
      <c r="Z36830" t="str">
        <f t="shared" si="575"/>
        <v/>
      </c>
    </row>
    <row r="36831" spans="26:26" x14ac:dyDescent="0.2">
      <c r="Z36831" t="str">
        <f t="shared" si="575"/>
        <v/>
      </c>
    </row>
    <row r="36832" spans="26:26" x14ac:dyDescent="0.2">
      <c r="Z36832" t="str">
        <f t="shared" si="575"/>
        <v/>
      </c>
    </row>
    <row r="36833" spans="26:26" x14ac:dyDescent="0.2">
      <c r="Z36833" t="str">
        <f t="shared" si="575"/>
        <v/>
      </c>
    </row>
    <row r="36834" spans="26:26" x14ac:dyDescent="0.2">
      <c r="Z36834" t="str">
        <f t="shared" si="575"/>
        <v/>
      </c>
    </row>
    <row r="36835" spans="26:26" x14ac:dyDescent="0.2">
      <c r="Z36835" t="str">
        <f t="shared" si="575"/>
        <v/>
      </c>
    </row>
    <row r="36836" spans="26:26" x14ac:dyDescent="0.2">
      <c r="Z36836" t="str">
        <f t="shared" si="575"/>
        <v/>
      </c>
    </row>
    <row r="36837" spans="26:26" x14ac:dyDescent="0.2">
      <c r="Z36837" t="str">
        <f t="shared" si="575"/>
        <v/>
      </c>
    </row>
    <row r="36838" spans="26:26" x14ac:dyDescent="0.2">
      <c r="Z36838" t="str">
        <f t="shared" si="575"/>
        <v/>
      </c>
    </row>
    <row r="36839" spans="26:26" x14ac:dyDescent="0.2">
      <c r="Z36839" t="str">
        <f t="shared" si="575"/>
        <v/>
      </c>
    </row>
    <row r="36840" spans="26:26" x14ac:dyDescent="0.2">
      <c r="Z36840" t="str">
        <f t="shared" si="575"/>
        <v/>
      </c>
    </row>
    <row r="36841" spans="26:26" x14ac:dyDescent="0.2">
      <c r="Z36841" t="str">
        <f t="shared" si="575"/>
        <v/>
      </c>
    </row>
    <row r="36842" spans="26:26" x14ac:dyDescent="0.2">
      <c r="Z36842" t="str">
        <f t="shared" si="575"/>
        <v/>
      </c>
    </row>
    <row r="36843" spans="26:26" x14ac:dyDescent="0.2">
      <c r="Z36843" t="str">
        <f t="shared" si="575"/>
        <v/>
      </c>
    </row>
    <row r="36844" spans="26:26" x14ac:dyDescent="0.2">
      <c r="Z36844" t="str">
        <f t="shared" si="575"/>
        <v/>
      </c>
    </row>
    <row r="36845" spans="26:26" x14ac:dyDescent="0.2">
      <c r="Z36845" t="str">
        <f t="shared" si="575"/>
        <v/>
      </c>
    </row>
    <row r="36846" spans="26:26" x14ac:dyDescent="0.2">
      <c r="Z36846" t="str">
        <f t="shared" si="575"/>
        <v/>
      </c>
    </row>
    <row r="36847" spans="26:26" x14ac:dyDescent="0.2">
      <c r="Z36847" t="str">
        <f t="shared" si="575"/>
        <v/>
      </c>
    </row>
    <row r="36848" spans="26:26" x14ac:dyDescent="0.2">
      <c r="Z36848" t="str">
        <f t="shared" si="575"/>
        <v/>
      </c>
    </row>
    <row r="36849" spans="26:26" x14ac:dyDescent="0.2">
      <c r="Z36849" t="str">
        <f t="shared" si="575"/>
        <v/>
      </c>
    </row>
    <row r="36850" spans="26:26" x14ac:dyDescent="0.2">
      <c r="Z36850" t="str">
        <f t="shared" si="575"/>
        <v/>
      </c>
    </row>
    <row r="36851" spans="26:26" x14ac:dyDescent="0.2">
      <c r="Z36851" t="str">
        <f t="shared" si="575"/>
        <v/>
      </c>
    </row>
    <row r="36852" spans="26:26" x14ac:dyDescent="0.2">
      <c r="Z36852" t="str">
        <f t="shared" si="575"/>
        <v/>
      </c>
    </row>
    <row r="36853" spans="26:26" x14ac:dyDescent="0.2">
      <c r="Z36853" t="str">
        <f t="shared" si="575"/>
        <v/>
      </c>
    </row>
    <row r="36854" spans="26:26" x14ac:dyDescent="0.2">
      <c r="Z36854" t="str">
        <f t="shared" si="575"/>
        <v/>
      </c>
    </row>
    <row r="36855" spans="26:26" x14ac:dyDescent="0.2">
      <c r="Z36855" t="str">
        <f t="shared" si="575"/>
        <v/>
      </c>
    </row>
    <row r="36856" spans="26:26" x14ac:dyDescent="0.2">
      <c r="Z36856" t="str">
        <f t="shared" si="575"/>
        <v/>
      </c>
    </row>
    <row r="36857" spans="26:26" x14ac:dyDescent="0.2">
      <c r="Z36857" t="str">
        <f t="shared" si="575"/>
        <v/>
      </c>
    </row>
    <row r="36858" spans="26:26" x14ac:dyDescent="0.2">
      <c r="Z36858" t="str">
        <f t="shared" si="575"/>
        <v/>
      </c>
    </row>
    <row r="36859" spans="26:26" x14ac:dyDescent="0.2">
      <c r="Z36859" t="str">
        <f t="shared" si="575"/>
        <v/>
      </c>
    </row>
    <row r="36860" spans="26:26" x14ac:dyDescent="0.2">
      <c r="Z36860" t="str">
        <f t="shared" si="575"/>
        <v/>
      </c>
    </row>
    <row r="36861" spans="26:26" x14ac:dyDescent="0.2">
      <c r="Z36861" t="str">
        <f t="shared" si="575"/>
        <v/>
      </c>
    </row>
    <row r="36862" spans="26:26" x14ac:dyDescent="0.2">
      <c r="Z36862" t="str">
        <f t="shared" si="575"/>
        <v/>
      </c>
    </row>
    <row r="36863" spans="26:26" x14ac:dyDescent="0.2">
      <c r="Z36863" t="str">
        <f t="shared" si="575"/>
        <v/>
      </c>
    </row>
    <row r="36864" spans="26:26" x14ac:dyDescent="0.2">
      <c r="Z36864" t="str">
        <f t="shared" si="575"/>
        <v/>
      </c>
    </row>
    <row r="36865" spans="26:26" x14ac:dyDescent="0.2">
      <c r="Z36865" t="str">
        <f t="shared" si="575"/>
        <v/>
      </c>
    </row>
    <row r="36866" spans="26:26" x14ac:dyDescent="0.2">
      <c r="Z36866" t="str">
        <f t="shared" si="575"/>
        <v/>
      </c>
    </row>
    <row r="36867" spans="26:26" x14ac:dyDescent="0.2">
      <c r="Z36867" t="str">
        <f t="shared" ref="Z36867:Z36930" si="576">IF(K36867="","",IFERROR(VALUE(TRIM(MID(K36867,FIND(CHAR(167),SUBSTITUTE(K36867,"-",CHAR(167),LEN(K36867)-LEN(SUBSTITUTE(K36867,"-",""))))+1,100))),K36867))</f>
        <v/>
      </c>
    </row>
    <row r="36868" spans="26:26" x14ac:dyDescent="0.2">
      <c r="Z36868" t="str">
        <f t="shared" si="576"/>
        <v/>
      </c>
    </row>
    <row r="36869" spans="26:26" x14ac:dyDescent="0.2">
      <c r="Z36869" t="str">
        <f t="shared" si="576"/>
        <v/>
      </c>
    </row>
    <row r="36870" spans="26:26" x14ac:dyDescent="0.2">
      <c r="Z36870" t="str">
        <f t="shared" si="576"/>
        <v/>
      </c>
    </row>
    <row r="36871" spans="26:26" x14ac:dyDescent="0.2">
      <c r="Z36871" t="str">
        <f t="shared" si="576"/>
        <v/>
      </c>
    </row>
    <row r="36872" spans="26:26" x14ac:dyDescent="0.2">
      <c r="Z36872" t="str">
        <f t="shared" si="576"/>
        <v/>
      </c>
    </row>
    <row r="36873" spans="26:26" x14ac:dyDescent="0.2">
      <c r="Z36873" t="str">
        <f t="shared" si="576"/>
        <v/>
      </c>
    </row>
    <row r="36874" spans="26:26" x14ac:dyDescent="0.2">
      <c r="Z36874" t="str">
        <f t="shared" si="576"/>
        <v/>
      </c>
    </row>
    <row r="36875" spans="26:26" x14ac:dyDescent="0.2">
      <c r="Z36875" t="str">
        <f t="shared" si="576"/>
        <v/>
      </c>
    </row>
    <row r="36876" spans="26:26" x14ac:dyDescent="0.2">
      <c r="Z36876" t="str">
        <f t="shared" si="576"/>
        <v/>
      </c>
    </row>
    <row r="36877" spans="26:26" x14ac:dyDescent="0.2">
      <c r="Z36877" t="str">
        <f t="shared" si="576"/>
        <v/>
      </c>
    </row>
    <row r="36878" spans="26:26" x14ac:dyDescent="0.2">
      <c r="Z36878" t="str">
        <f t="shared" si="576"/>
        <v/>
      </c>
    </row>
    <row r="36879" spans="26:26" x14ac:dyDescent="0.2">
      <c r="Z36879" t="str">
        <f t="shared" si="576"/>
        <v/>
      </c>
    </row>
    <row r="36880" spans="26:26" x14ac:dyDescent="0.2">
      <c r="Z36880" t="str">
        <f t="shared" si="576"/>
        <v/>
      </c>
    </row>
    <row r="36881" spans="26:26" x14ac:dyDescent="0.2">
      <c r="Z36881" t="str">
        <f t="shared" si="576"/>
        <v/>
      </c>
    </row>
    <row r="36882" spans="26:26" x14ac:dyDescent="0.2">
      <c r="Z36882" t="str">
        <f t="shared" si="576"/>
        <v/>
      </c>
    </row>
    <row r="36883" spans="26:26" x14ac:dyDescent="0.2">
      <c r="Z36883" t="str">
        <f t="shared" si="576"/>
        <v/>
      </c>
    </row>
    <row r="36884" spans="26:26" x14ac:dyDescent="0.2">
      <c r="Z36884" t="str">
        <f t="shared" si="576"/>
        <v/>
      </c>
    </row>
    <row r="36885" spans="26:26" x14ac:dyDescent="0.2">
      <c r="Z36885" t="str">
        <f t="shared" si="576"/>
        <v/>
      </c>
    </row>
    <row r="36886" spans="26:26" x14ac:dyDescent="0.2">
      <c r="Z36886" t="str">
        <f t="shared" si="576"/>
        <v/>
      </c>
    </row>
    <row r="36887" spans="26:26" x14ac:dyDescent="0.2">
      <c r="Z36887" t="str">
        <f t="shared" si="576"/>
        <v/>
      </c>
    </row>
    <row r="36888" spans="26:26" x14ac:dyDescent="0.2">
      <c r="Z36888" t="str">
        <f t="shared" si="576"/>
        <v/>
      </c>
    </row>
    <row r="36889" spans="26:26" x14ac:dyDescent="0.2">
      <c r="Z36889" t="str">
        <f t="shared" si="576"/>
        <v/>
      </c>
    </row>
    <row r="36890" spans="26:26" x14ac:dyDescent="0.2">
      <c r="Z36890" t="str">
        <f t="shared" si="576"/>
        <v/>
      </c>
    </row>
    <row r="36891" spans="26:26" x14ac:dyDescent="0.2">
      <c r="Z36891" t="str">
        <f t="shared" si="576"/>
        <v/>
      </c>
    </row>
    <row r="36892" spans="26:26" x14ac:dyDescent="0.2">
      <c r="Z36892" t="str">
        <f t="shared" si="576"/>
        <v/>
      </c>
    </row>
    <row r="36893" spans="26:26" x14ac:dyDescent="0.2">
      <c r="Z36893" t="str">
        <f t="shared" si="576"/>
        <v/>
      </c>
    </row>
    <row r="36894" spans="26:26" x14ac:dyDescent="0.2">
      <c r="Z36894" t="str">
        <f t="shared" si="576"/>
        <v/>
      </c>
    </row>
    <row r="36895" spans="26:26" x14ac:dyDescent="0.2">
      <c r="Z36895" t="str">
        <f t="shared" si="576"/>
        <v/>
      </c>
    </row>
    <row r="36896" spans="26:26" x14ac:dyDescent="0.2">
      <c r="Z36896" t="str">
        <f t="shared" si="576"/>
        <v/>
      </c>
    </row>
    <row r="36897" spans="26:26" x14ac:dyDescent="0.2">
      <c r="Z36897" t="str">
        <f t="shared" si="576"/>
        <v/>
      </c>
    </row>
    <row r="36898" spans="26:26" x14ac:dyDescent="0.2">
      <c r="Z36898" t="str">
        <f t="shared" si="576"/>
        <v/>
      </c>
    </row>
    <row r="36899" spans="26:26" x14ac:dyDescent="0.2">
      <c r="Z36899" t="str">
        <f t="shared" si="576"/>
        <v/>
      </c>
    </row>
    <row r="36900" spans="26:26" x14ac:dyDescent="0.2">
      <c r="Z36900" t="str">
        <f t="shared" si="576"/>
        <v/>
      </c>
    </row>
    <row r="36901" spans="26:26" x14ac:dyDescent="0.2">
      <c r="Z36901" t="str">
        <f t="shared" si="576"/>
        <v/>
      </c>
    </row>
    <row r="36902" spans="26:26" x14ac:dyDescent="0.2">
      <c r="Z36902" t="str">
        <f t="shared" si="576"/>
        <v/>
      </c>
    </row>
    <row r="36903" spans="26:26" x14ac:dyDescent="0.2">
      <c r="Z36903" t="str">
        <f t="shared" si="576"/>
        <v/>
      </c>
    </row>
    <row r="36904" spans="26:26" x14ac:dyDescent="0.2">
      <c r="Z36904" t="str">
        <f t="shared" si="576"/>
        <v/>
      </c>
    </row>
    <row r="36905" spans="26:26" x14ac:dyDescent="0.2">
      <c r="Z36905" t="str">
        <f t="shared" si="576"/>
        <v/>
      </c>
    </row>
    <row r="36906" spans="26:26" x14ac:dyDescent="0.2">
      <c r="Z36906" t="str">
        <f t="shared" si="576"/>
        <v/>
      </c>
    </row>
    <row r="36907" spans="26:26" x14ac:dyDescent="0.2">
      <c r="Z36907" t="str">
        <f t="shared" si="576"/>
        <v/>
      </c>
    </row>
    <row r="36908" spans="26:26" x14ac:dyDescent="0.2">
      <c r="Z36908" t="str">
        <f t="shared" si="576"/>
        <v/>
      </c>
    </row>
    <row r="36909" spans="26:26" x14ac:dyDescent="0.2">
      <c r="Z36909" t="str">
        <f t="shared" si="576"/>
        <v/>
      </c>
    </row>
    <row r="36910" spans="26:26" x14ac:dyDescent="0.2">
      <c r="Z36910" t="str">
        <f t="shared" si="576"/>
        <v/>
      </c>
    </row>
    <row r="36911" spans="26:26" x14ac:dyDescent="0.2">
      <c r="Z36911" t="str">
        <f t="shared" si="576"/>
        <v/>
      </c>
    </row>
    <row r="36912" spans="26:26" x14ac:dyDescent="0.2">
      <c r="Z36912" t="str">
        <f t="shared" si="576"/>
        <v/>
      </c>
    </row>
    <row r="36913" spans="26:26" x14ac:dyDescent="0.2">
      <c r="Z36913" t="str">
        <f t="shared" si="576"/>
        <v/>
      </c>
    </row>
    <row r="36914" spans="26:26" x14ac:dyDescent="0.2">
      <c r="Z36914" t="str">
        <f t="shared" si="576"/>
        <v/>
      </c>
    </row>
    <row r="36915" spans="26:26" x14ac:dyDescent="0.2">
      <c r="Z36915" t="str">
        <f t="shared" si="576"/>
        <v/>
      </c>
    </row>
    <row r="36916" spans="26:26" x14ac:dyDescent="0.2">
      <c r="Z36916" t="str">
        <f t="shared" si="576"/>
        <v/>
      </c>
    </row>
    <row r="36917" spans="26:26" x14ac:dyDescent="0.2">
      <c r="Z36917" t="str">
        <f t="shared" si="576"/>
        <v/>
      </c>
    </row>
    <row r="36918" spans="26:26" x14ac:dyDescent="0.2">
      <c r="Z36918" t="str">
        <f t="shared" si="576"/>
        <v/>
      </c>
    </row>
    <row r="36919" spans="26:26" x14ac:dyDescent="0.2">
      <c r="Z36919" t="str">
        <f t="shared" si="576"/>
        <v/>
      </c>
    </row>
    <row r="36920" spans="26:26" x14ac:dyDescent="0.2">
      <c r="Z36920" t="str">
        <f t="shared" si="576"/>
        <v/>
      </c>
    </row>
    <row r="36921" spans="26:26" x14ac:dyDescent="0.2">
      <c r="Z36921" t="str">
        <f t="shared" si="576"/>
        <v/>
      </c>
    </row>
    <row r="36922" spans="26:26" x14ac:dyDescent="0.2">
      <c r="Z36922" t="str">
        <f t="shared" si="576"/>
        <v/>
      </c>
    </row>
    <row r="36923" spans="26:26" x14ac:dyDescent="0.2">
      <c r="Z36923" t="str">
        <f t="shared" si="576"/>
        <v/>
      </c>
    </row>
    <row r="36924" spans="26:26" x14ac:dyDescent="0.2">
      <c r="Z36924" t="str">
        <f t="shared" si="576"/>
        <v/>
      </c>
    </row>
    <row r="36925" spans="26:26" x14ac:dyDescent="0.2">
      <c r="Z36925" t="str">
        <f t="shared" si="576"/>
        <v/>
      </c>
    </row>
    <row r="36926" spans="26:26" x14ac:dyDescent="0.2">
      <c r="Z36926" t="str">
        <f t="shared" si="576"/>
        <v/>
      </c>
    </row>
    <row r="36927" spans="26:26" x14ac:dyDescent="0.2">
      <c r="Z36927" t="str">
        <f t="shared" si="576"/>
        <v/>
      </c>
    </row>
    <row r="36928" spans="26:26" x14ac:dyDescent="0.2">
      <c r="Z36928" t="str">
        <f t="shared" si="576"/>
        <v/>
      </c>
    </row>
    <row r="36929" spans="26:26" x14ac:dyDescent="0.2">
      <c r="Z36929" t="str">
        <f t="shared" si="576"/>
        <v/>
      </c>
    </row>
    <row r="36930" spans="26:26" x14ac:dyDescent="0.2">
      <c r="Z36930" t="str">
        <f t="shared" si="576"/>
        <v/>
      </c>
    </row>
    <row r="36931" spans="26:26" x14ac:dyDescent="0.2">
      <c r="Z36931" t="str">
        <f t="shared" ref="Z36931:Z36994" si="577">IF(K36931="","",IFERROR(VALUE(TRIM(MID(K36931,FIND(CHAR(167),SUBSTITUTE(K36931,"-",CHAR(167),LEN(K36931)-LEN(SUBSTITUTE(K36931,"-",""))))+1,100))),K36931))</f>
        <v/>
      </c>
    </row>
    <row r="36932" spans="26:26" x14ac:dyDescent="0.2">
      <c r="Z36932" t="str">
        <f t="shared" si="577"/>
        <v/>
      </c>
    </row>
    <row r="36933" spans="26:26" x14ac:dyDescent="0.2">
      <c r="Z36933" t="str">
        <f t="shared" si="577"/>
        <v/>
      </c>
    </row>
    <row r="36934" spans="26:26" x14ac:dyDescent="0.2">
      <c r="Z36934" t="str">
        <f t="shared" si="577"/>
        <v/>
      </c>
    </row>
    <row r="36935" spans="26:26" x14ac:dyDescent="0.2">
      <c r="Z36935" t="str">
        <f t="shared" si="577"/>
        <v/>
      </c>
    </row>
    <row r="36936" spans="26:26" x14ac:dyDescent="0.2">
      <c r="Z36936" t="str">
        <f t="shared" si="577"/>
        <v/>
      </c>
    </row>
    <row r="36937" spans="26:26" x14ac:dyDescent="0.2">
      <c r="Z36937" t="str">
        <f t="shared" si="577"/>
        <v/>
      </c>
    </row>
    <row r="36938" spans="26:26" x14ac:dyDescent="0.2">
      <c r="Z36938" t="str">
        <f t="shared" si="577"/>
        <v/>
      </c>
    </row>
    <row r="36939" spans="26:26" x14ac:dyDescent="0.2">
      <c r="Z36939" t="str">
        <f t="shared" si="577"/>
        <v/>
      </c>
    </row>
    <row r="36940" spans="26:26" x14ac:dyDescent="0.2">
      <c r="Z36940" t="str">
        <f t="shared" si="577"/>
        <v/>
      </c>
    </row>
    <row r="36941" spans="26:26" x14ac:dyDescent="0.2">
      <c r="Z36941" t="str">
        <f t="shared" si="577"/>
        <v/>
      </c>
    </row>
    <row r="36942" spans="26:26" x14ac:dyDescent="0.2">
      <c r="Z36942" t="str">
        <f t="shared" si="577"/>
        <v/>
      </c>
    </row>
    <row r="36943" spans="26:26" x14ac:dyDescent="0.2">
      <c r="Z36943" t="str">
        <f t="shared" si="577"/>
        <v/>
      </c>
    </row>
    <row r="36944" spans="26:26" x14ac:dyDescent="0.2">
      <c r="Z36944" t="str">
        <f t="shared" si="577"/>
        <v/>
      </c>
    </row>
    <row r="36945" spans="26:26" x14ac:dyDescent="0.2">
      <c r="Z36945" t="str">
        <f t="shared" si="577"/>
        <v/>
      </c>
    </row>
    <row r="36946" spans="26:26" x14ac:dyDescent="0.2">
      <c r="Z36946" t="str">
        <f t="shared" si="577"/>
        <v/>
      </c>
    </row>
    <row r="36947" spans="26:26" x14ac:dyDescent="0.2">
      <c r="Z36947" t="str">
        <f t="shared" si="577"/>
        <v/>
      </c>
    </row>
    <row r="36948" spans="26:26" x14ac:dyDescent="0.2">
      <c r="Z36948" t="str">
        <f t="shared" si="577"/>
        <v/>
      </c>
    </row>
    <row r="36949" spans="26:26" x14ac:dyDescent="0.2">
      <c r="Z36949" t="str">
        <f t="shared" si="577"/>
        <v/>
      </c>
    </row>
    <row r="36950" spans="26:26" x14ac:dyDescent="0.2">
      <c r="Z36950" t="str">
        <f t="shared" si="577"/>
        <v/>
      </c>
    </row>
    <row r="36951" spans="26:26" x14ac:dyDescent="0.2">
      <c r="Z36951" t="str">
        <f t="shared" si="577"/>
        <v/>
      </c>
    </row>
    <row r="36952" spans="26:26" x14ac:dyDescent="0.2">
      <c r="Z36952" t="str">
        <f t="shared" si="577"/>
        <v/>
      </c>
    </row>
    <row r="36953" spans="26:26" x14ac:dyDescent="0.2">
      <c r="Z36953" t="str">
        <f t="shared" si="577"/>
        <v/>
      </c>
    </row>
    <row r="36954" spans="26:26" x14ac:dyDescent="0.2">
      <c r="Z36954" t="str">
        <f t="shared" si="577"/>
        <v/>
      </c>
    </row>
    <row r="36955" spans="26:26" x14ac:dyDescent="0.2">
      <c r="Z36955" t="str">
        <f t="shared" si="577"/>
        <v/>
      </c>
    </row>
    <row r="36956" spans="26:26" x14ac:dyDescent="0.2">
      <c r="Z36956" t="str">
        <f t="shared" si="577"/>
        <v/>
      </c>
    </row>
    <row r="36957" spans="26:26" x14ac:dyDescent="0.2">
      <c r="Z36957" t="str">
        <f t="shared" si="577"/>
        <v/>
      </c>
    </row>
    <row r="36958" spans="26:26" x14ac:dyDescent="0.2">
      <c r="Z36958" t="str">
        <f t="shared" si="577"/>
        <v/>
      </c>
    </row>
    <row r="36959" spans="26:26" x14ac:dyDescent="0.2">
      <c r="Z36959" t="str">
        <f t="shared" si="577"/>
        <v/>
      </c>
    </row>
    <row r="36960" spans="26:26" x14ac:dyDescent="0.2">
      <c r="Z36960" t="str">
        <f t="shared" si="577"/>
        <v/>
      </c>
    </row>
    <row r="36961" spans="26:26" x14ac:dyDescent="0.2">
      <c r="Z36961" t="str">
        <f t="shared" si="577"/>
        <v/>
      </c>
    </row>
    <row r="36962" spans="26:26" x14ac:dyDescent="0.2">
      <c r="Z36962" t="str">
        <f t="shared" si="577"/>
        <v/>
      </c>
    </row>
    <row r="36963" spans="26:26" x14ac:dyDescent="0.2">
      <c r="Z36963" t="str">
        <f t="shared" si="577"/>
        <v/>
      </c>
    </row>
    <row r="36964" spans="26:26" x14ac:dyDescent="0.2">
      <c r="Z36964" t="str">
        <f t="shared" si="577"/>
        <v/>
      </c>
    </row>
    <row r="36965" spans="26:26" x14ac:dyDescent="0.2">
      <c r="Z36965" t="str">
        <f t="shared" si="577"/>
        <v/>
      </c>
    </row>
    <row r="36966" spans="26:26" x14ac:dyDescent="0.2">
      <c r="Z36966" t="str">
        <f t="shared" si="577"/>
        <v/>
      </c>
    </row>
    <row r="36967" spans="26:26" x14ac:dyDescent="0.2">
      <c r="Z36967" t="str">
        <f t="shared" si="577"/>
        <v/>
      </c>
    </row>
    <row r="36968" spans="26:26" x14ac:dyDescent="0.2">
      <c r="Z36968" t="str">
        <f t="shared" si="577"/>
        <v/>
      </c>
    </row>
    <row r="36969" spans="26:26" x14ac:dyDescent="0.2">
      <c r="Z36969" t="str">
        <f t="shared" si="577"/>
        <v/>
      </c>
    </row>
    <row r="36970" spans="26:26" x14ac:dyDescent="0.2">
      <c r="Z36970" t="str">
        <f t="shared" si="577"/>
        <v/>
      </c>
    </row>
    <row r="36971" spans="26:26" x14ac:dyDescent="0.2">
      <c r="Z36971" t="str">
        <f t="shared" si="577"/>
        <v/>
      </c>
    </row>
    <row r="36972" spans="26:26" x14ac:dyDescent="0.2">
      <c r="Z36972" t="str">
        <f t="shared" si="577"/>
        <v/>
      </c>
    </row>
    <row r="36973" spans="26:26" x14ac:dyDescent="0.2">
      <c r="Z36973" t="str">
        <f t="shared" si="577"/>
        <v/>
      </c>
    </row>
    <row r="36974" spans="26:26" x14ac:dyDescent="0.2">
      <c r="Z36974" t="str">
        <f t="shared" si="577"/>
        <v/>
      </c>
    </row>
    <row r="36975" spans="26:26" x14ac:dyDescent="0.2">
      <c r="Z36975" t="str">
        <f t="shared" si="577"/>
        <v/>
      </c>
    </row>
    <row r="36976" spans="26:26" x14ac:dyDescent="0.2">
      <c r="Z36976" t="str">
        <f t="shared" si="577"/>
        <v/>
      </c>
    </row>
    <row r="36977" spans="26:26" x14ac:dyDescent="0.2">
      <c r="Z36977" t="str">
        <f t="shared" si="577"/>
        <v/>
      </c>
    </row>
    <row r="36978" spans="26:26" x14ac:dyDescent="0.2">
      <c r="Z36978" t="str">
        <f t="shared" si="577"/>
        <v/>
      </c>
    </row>
    <row r="36979" spans="26:26" x14ac:dyDescent="0.2">
      <c r="Z36979" t="str">
        <f t="shared" si="577"/>
        <v/>
      </c>
    </row>
    <row r="36980" spans="26:26" x14ac:dyDescent="0.2">
      <c r="Z36980" t="str">
        <f t="shared" si="577"/>
        <v/>
      </c>
    </row>
    <row r="36981" spans="26:26" x14ac:dyDescent="0.2">
      <c r="Z36981" t="str">
        <f t="shared" si="577"/>
        <v/>
      </c>
    </row>
    <row r="36982" spans="26:26" x14ac:dyDescent="0.2">
      <c r="Z36982" t="str">
        <f t="shared" si="577"/>
        <v/>
      </c>
    </row>
    <row r="36983" spans="26:26" x14ac:dyDescent="0.2">
      <c r="Z36983" t="str">
        <f t="shared" si="577"/>
        <v/>
      </c>
    </row>
    <row r="36984" spans="26:26" x14ac:dyDescent="0.2">
      <c r="Z36984" t="str">
        <f t="shared" si="577"/>
        <v/>
      </c>
    </row>
    <row r="36985" spans="26:26" x14ac:dyDescent="0.2">
      <c r="Z36985" t="str">
        <f t="shared" si="577"/>
        <v/>
      </c>
    </row>
    <row r="36986" spans="26:26" x14ac:dyDescent="0.2">
      <c r="Z36986" t="str">
        <f t="shared" si="577"/>
        <v/>
      </c>
    </row>
    <row r="36987" spans="26:26" x14ac:dyDescent="0.2">
      <c r="Z36987" t="str">
        <f t="shared" si="577"/>
        <v/>
      </c>
    </row>
    <row r="36988" spans="26:26" x14ac:dyDescent="0.2">
      <c r="Z36988" t="str">
        <f t="shared" si="577"/>
        <v/>
      </c>
    </row>
    <row r="36989" spans="26:26" x14ac:dyDescent="0.2">
      <c r="Z36989" t="str">
        <f t="shared" si="577"/>
        <v/>
      </c>
    </row>
    <row r="36990" spans="26:26" x14ac:dyDescent="0.2">
      <c r="Z36990" t="str">
        <f t="shared" si="577"/>
        <v/>
      </c>
    </row>
    <row r="36991" spans="26:26" x14ac:dyDescent="0.2">
      <c r="Z36991" t="str">
        <f t="shared" si="577"/>
        <v/>
      </c>
    </row>
    <row r="36992" spans="26:26" x14ac:dyDescent="0.2">
      <c r="Z36992" t="str">
        <f t="shared" si="577"/>
        <v/>
      </c>
    </row>
    <row r="36993" spans="26:26" x14ac:dyDescent="0.2">
      <c r="Z36993" t="str">
        <f t="shared" si="577"/>
        <v/>
      </c>
    </row>
    <row r="36994" spans="26:26" x14ac:dyDescent="0.2">
      <c r="Z36994" t="str">
        <f t="shared" si="577"/>
        <v/>
      </c>
    </row>
    <row r="36995" spans="26:26" x14ac:dyDescent="0.2">
      <c r="Z36995" t="str">
        <f t="shared" ref="Z36995:Z37058" si="578">IF(K36995="","",IFERROR(VALUE(TRIM(MID(K36995,FIND(CHAR(167),SUBSTITUTE(K36995,"-",CHAR(167),LEN(K36995)-LEN(SUBSTITUTE(K36995,"-",""))))+1,100))),K36995))</f>
        <v/>
      </c>
    </row>
    <row r="36996" spans="26:26" x14ac:dyDescent="0.2">
      <c r="Z36996" t="str">
        <f t="shared" si="578"/>
        <v/>
      </c>
    </row>
    <row r="36997" spans="26:26" x14ac:dyDescent="0.2">
      <c r="Z36997" t="str">
        <f t="shared" si="578"/>
        <v/>
      </c>
    </row>
    <row r="36998" spans="26:26" x14ac:dyDescent="0.2">
      <c r="Z36998" t="str">
        <f t="shared" si="578"/>
        <v/>
      </c>
    </row>
    <row r="36999" spans="26:26" x14ac:dyDescent="0.2">
      <c r="Z36999" t="str">
        <f t="shared" si="578"/>
        <v/>
      </c>
    </row>
    <row r="37000" spans="26:26" x14ac:dyDescent="0.2">
      <c r="Z37000" t="str">
        <f t="shared" si="578"/>
        <v/>
      </c>
    </row>
    <row r="37001" spans="26:26" x14ac:dyDescent="0.2">
      <c r="Z37001" t="str">
        <f t="shared" si="578"/>
        <v/>
      </c>
    </row>
    <row r="37002" spans="26:26" x14ac:dyDescent="0.2">
      <c r="Z37002" t="str">
        <f t="shared" si="578"/>
        <v/>
      </c>
    </row>
    <row r="37003" spans="26:26" x14ac:dyDescent="0.2">
      <c r="Z37003" t="str">
        <f t="shared" si="578"/>
        <v/>
      </c>
    </row>
    <row r="37004" spans="26:26" x14ac:dyDescent="0.2">
      <c r="Z37004" t="str">
        <f t="shared" si="578"/>
        <v/>
      </c>
    </row>
    <row r="37005" spans="26:26" x14ac:dyDescent="0.2">
      <c r="Z37005" t="str">
        <f t="shared" si="578"/>
        <v/>
      </c>
    </row>
    <row r="37006" spans="26:26" x14ac:dyDescent="0.2">
      <c r="Z37006" t="str">
        <f t="shared" si="578"/>
        <v/>
      </c>
    </row>
    <row r="37007" spans="26:26" x14ac:dyDescent="0.2">
      <c r="Z37007" t="str">
        <f t="shared" si="578"/>
        <v/>
      </c>
    </row>
    <row r="37008" spans="26:26" x14ac:dyDescent="0.2">
      <c r="Z37008" t="str">
        <f t="shared" si="578"/>
        <v/>
      </c>
    </row>
    <row r="37009" spans="26:26" x14ac:dyDescent="0.2">
      <c r="Z37009" t="str">
        <f t="shared" si="578"/>
        <v/>
      </c>
    </row>
    <row r="37010" spans="26:26" x14ac:dyDescent="0.2">
      <c r="Z37010" t="str">
        <f t="shared" si="578"/>
        <v/>
      </c>
    </row>
    <row r="37011" spans="26:26" x14ac:dyDescent="0.2">
      <c r="Z37011" t="str">
        <f t="shared" si="578"/>
        <v/>
      </c>
    </row>
    <row r="37012" spans="26:26" x14ac:dyDescent="0.2">
      <c r="Z37012" t="str">
        <f t="shared" si="578"/>
        <v/>
      </c>
    </row>
    <row r="37013" spans="26:26" x14ac:dyDescent="0.2">
      <c r="Z37013" t="str">
        <f t="shared" si="578"/>
        <v/>
      </c>
    </row>
    <row r="37014" spans="26:26" x14ac:dyDescent="0.2">
      <c r="Z37014" t="str">
        <f t="shared" si="578"/>
        <v/>
      </c>
    </row>
    <row r="37015" spans="26:26" x14ac:dyDescent="0.2">
      <c r="Z37015" t="str">
        <f t="shared" si="578"/>
        <v/>
      </c>
    </row>
    <row r="37016" spans="26:26" x14ac:dyDescent="0.2">
      <c r="Z37016" t="str">
        <f t="shared" si="578"/>
        <v/>
      </c>
    </row>
    <row r="37017" spans="26:26" x14ac:dyDescent="0.2">
      <c r="Z37017" t="str">
        <f t="shared" si="578"/>
        <v/>
      </c>
    </row>
    <row r="37018" spans="26:26" x14ac:dyDescent="0.2">
      <c r="Z37018" t="str">
        <f t="shared" si="578"/>
        <v/>
      </c>
    </row>
    <row r="37019" spans="26:26" x14ac:dyDescent="0.2">
      <c r="Z37019" t="str">
        <f t="shared" si="578"/>
        <v/>
      </c>
    </row>
    <row r="37020" spans="26:26" x14ac:dyDescent="0.2">
      <c r="Z37020" t="str">
        <f t="shared" si="578"/>
        <v/>
      </c>
    </row>
    <row r="37021" spans="26:26" x14ac:dyDescent="0.2">
      <c r="Z37021" t="str">
        <f t="shared" si="578"/>
        <v/>
      </c>
    </row>
    <row r="37022" spans="26:26" x14ac:dyDescent="0.2">
      <c r="Z37022" t="str">
        <f t="shared" si="578"/>
        <v/>
      </c>
    </row>
    <row r="37023" spans="26:26" x14ac:dyDescent="0.2">
      <c r="Z37023" t="str">
        <f t="shared" si="578"/>
        <v/>
      </c>
    </row>
    <row r="37024" spans="26:26" x14ac:dyDescent="0.2">
      <c r="Z37024" t="str">
        <f t="shared" si="578"/>
        <v/>
      </c>
    </row>
    <row r="37025" spans="26:26" x14ac:dyDescent="0.2">
      <c r="Z37025" t="str">
        <f t="shared" si="578"/>
        <v/>
      </c>
    </row>
    <row r="37026" spans="26:26" x14ac:dyDescent="0.2">
      <c r="Z37026" t="str">
        <f t="shared" si="578"/>
        <v/>
      </c>
    </row>
    <row r="37027" spans="26:26" x14ac:dyDescent="0.2">
      <c r="Z37027" t="str">
        <f t="shared" si="578"/>
        <v/>
      </c>
    </row>
    <row r="37028" spans="26:26" x14ac:dyDescent="0.2">
      <c r="Z37028" t="str">
        <f t="shared" si="578"/>
        <v/>
      </c>
    </row>
    <row r="37029" spans="26:26" x14ac:dyDescent="0.2">
      <c r="Z37029" t="str">
        <f t="shared" si="578"/>
        <v/>
      </c>
    </row>
    <row r="37030" spans="26:26" x14ac:dyDescent="0.2">
      <c r="Z37030" t="str">
        <f t="shared" si="578"/>
        <v/>
      </c>
    </row>
    <row r="37031" spans="26:26" x14ac:dyDescent="0.2">
      <c r="Z37031" t="str">
        <f t="shared" si="578"/>
        <v/>
      </c>
    </row>
    <row r="37032" spans="26:26" x14ac:dyDescent="0.2">
      <c r="Z37032" t="str">
        <f t="shared" si="578"/>
        <v/>
      </c>
    </row>
    <row r="37033" spans="26:26" x14ac:dyDescent="0.2">
      <c r="Z37033" t="str">
        <f t="shared" si="578"/>
        <v/>
      </c>
    </row>
    <row r="37034" spans="26:26" x14ac:dyDescent="0.2">
      <c r="Z37034" t="str">
        <f t="shared" si="578"/>
        <v/>
      </c>
    </row>
    <row r="37035" spans="26:26" x14ac:dyDescent="0.2">
      <c r="Z37035" t="str">
        <f t="shared" si="578"/>
        <v/>
      </c>
    </row>
    <row r="37036" spans="26:26" x14ac:dyDescent="0.2">
      <c r="Z37036" t="str">
        <f t="shared" si="578"/>
        <v/>
      </c>
    </row>
    <row r="37037" spans="26:26" x14ac:dyDescent="0.2">
      <c r="Z37037" t="str">
        <f t="shared" si="578"/>
        <v/>
      </c>
    </row>
    <row r="37038" spans="26:26" x14ac:dyDescent="0.2">
      <c r="Z37038" t="str">
        <f t="shared" si="578"/>
        <v/>
      </c>
    </row>
    <row r="37039" spans="26:26" x14ac:dyDescent="0.2">
      <c r="Z37039" t="str">
        <f t="shared" si="578"/>
        <v/>
      </c>
    </row>
    <row r="37040" spans="26:26" x14ac:dyDescent="0.2">
      <c r="Z37040" t="str">
        <f t="shared" si="578"/>
        <v/>
      </c>
    </row>
    <row r="37041" spans="26:26" x14ac:dyDescent="0.2">
      <c r="Z37041" t="str">
        <f t="shared" si="578"/>
        <v/>
      </c>
    </row>
    <row r="37042" spans="26:26" x14ac:dyDescent="0.2">
      <c r="Z37042" t="str">
        <f t="shared" si="578"/>
        <v/>
      </c>
    </row>
    <row r="37043" spans="26:26" x14ac:dyDescent="0.2">
      <c r="Z37043" t="str">
        <f t="shared" si="578"/>
        <v/>
      </c>
    </row>
    <row r="37044" spans="26:26" x14ac:dyDescent="0.2">
      <c r="Z37044" t="str">
        <f t="shared" si="578"/>
        <v/>
      </c>
    </row>
    <row r="37045" spans="26:26" x14ac:dyDescent="0.2">
      <c r="Z37045" t="str">
        <f t="shared" si="578"/>
        <v/>
      </c>
    </row>
    <row r="37046" spans="26:26" x14ac:dyDescent="0.2">
      <c r="Z37046" t="str">
        <f t="shared" si="578"/>
        <v/>
      </c>
    </row>
    <row r="37047" spans="26:26" x14ac:dyDescent="0.2">
      <c r="Z37047" t="str">
        <f t="shared" si="578"/>
        <v/>
      </c>
    </row>
    <row r="37048" spans="26:26" x14ac:dyDescent="0.2">
      <c r="Z37048" t="str">
        <f t="shared" si="578"/>
        <v/>
      </c>
    </row>
    <row r="37049" spans="26:26" x14ac:dyDescent="0.2">
      <c r="Z37049" t="str">
        <f t="shared" si="578"/>
        <v/>
      </c>
    </row>
    <row r="37050" spans="26:26" x14ac:dyDescent="0.2">
      <c r="Z37050" t="str">
        <f t="shared" si="578"/>
        <v/>
      </c>
    </row>
    <row r="37051" spans="26:26" x14ac:dyDescent="0.2">
      <c r="Z37051" t="str">
        <f t="shared" si="578"/>
        <v/>
      </c>
    </row>
    <row r="37052" spans="26:26" x14ac:dyDescent="0.2">
      <c r="Z37052" t="str">
        <f t="shared" si="578"/>
        <v/>
      </c>
    </row>
    <row r="37053" spans="26:26" x14ac:dyDescent="0.2">
      <c r="Z37053" t="str">
        <f t="shared" si="578"/>
        <v/>
      </c>
    </row>
    <row r="37054" spans="26:26" x14ac:dyDescent="0.2">
      <c r="Z37054" t="str">
        <f t="shared" si="578"/>
        <v/>
      </c>
    </row>
    <row r="37055" spans="26:26" x14ac:dyDescent="0.2">
      <c r="Z37055" t="str">
        <f t="shared" si="578"/>
        <v/>
      </c>
    </row>
    <row r="37056" spans="26:26" x14ac:dyDescent="0.2">
      <c r="Z37056" t="str">
        <f t="shared" si="578"/>
        <v/>
      </c>
    </row>
    <row r="37057" spans="26:26" x14ac:dyDescent="0.2">
      <c r="Z37057" t="str">
        <f t="shared" si="578"/>
        <v/>
      </c>
    </row>
    <row r="37058" spans="26:26" x14ac:dyDescent="0.2">
      <c r="Z37058" t="str">
        <f t="shared" si="578"/>
        <v/>
      </c>
    </row>
    <row r="37059" spans="26:26" x14ac:dyDescent="0.2">
      <c r="Z37059" t="str">
        <f t="shared" ref="Z37059:Z37122" si="579">IF(K37059="","",IFERROR(VALUE(TRIM(MID(K37059,FIND(CHAR(167),SUBSTITUTE(K37059,"-",CHAR(167),LEN(K37059)-LEN(SUBSTITUTE(K37059,"-",""))))+1,100))),K37059))</f>
        <v/>
      </c>
    </row>
    <row r="37060" spans="26:26" x14ac:dyDescent="0.2">
      <c r="Z37060" t="str">
        <f t="shared" si="579"/>
        <v/>
      </c>
    </row>
    <row r="37061" spans="26:26" x14ac:dyDescent="0.2">
      <c r="Z37061" t="str">
        <f t="shared" si="579"/>
        <v/>
      </c>
    </row>
    <row r="37062" spans="26:26" x14ac:dyDescent="0.2">
      <c r="Z37062" t="str">
        <f t="shared" si="579"/>
        <v/>
      </c>
    </row>
    <row r="37063" spans="26:26" x14ac:dyDescent="0.2">
      <c r="Z37063" t="str">
        <f t="shared" si="579"/>
        <v/>
      </c>
    </row>
    <row r="37064" spans="26:26" x14ac:dyDescent="0.2">
      <c r="Z37064" t="str">
        <f t="shared" si="579"/>
        <v/>
      </c>
    </row>
    <row r="37065" spans="26:26" x14ac:dyDescent="0.2">
      <c r="Z37065" t="str">
        <f t="shared" si="579"/>
        <v/>
      </c>
    </row>
    <row r="37066" spans="26:26" x14ac:dyDescent="0.2">
      <c r="Z37066" t="str">
        <f t="shared" si="579"/>
        <v/>
      </c>
    </row>
    <row r="37067" spans="26:26" x14ac:dyDescent="0.2">
      <c r="Z37067" t="str">
        <f t="shared" si="579"/>
        <v/>
      </c>
    </row>
    <row r="37068" spans="26:26" x14ac:dyDescent="0.2">
      <c r="Z37068" t="str">
        <f t="shared" si="579"/>
        <v/>
      </c>
    </row>
    <row r="37069" spans="26:26" x14ac:dyDescent="0.2">
      <c r="Z37069" t="str">
        <f t="shared" si="579"/>
        <v/>
      </c>
    </row>
    <row r="37070" spans="26:26" x14ac:dyDescent="0.2">
      <c r="Z37070" t="str">
        <f t="shared" si="579"/>
        <v/>
      </c>
    </row>
    <row r="37071" spans="26:26" x14ac:dyDescent="0.2">
      <c r="Z37071" t="str">
        <f t="shared" si="579"/>
        <v/>
      </c>
    </row>
    <row r="37072" spans="26:26" x14ac:dyDescent="0.2">
      <c r="Z37072" t="str">
        <f t="shared" si="579"/>
        <v/>
      </c>
    </row>
    <row r="37073" spans="26:26" x14ac:dyDescent="0.2">
      <c r="Z37073" t="str">
        <f t="shared" si="579"/>
        <v/>
      </c>
    </row>
    <row r="37074" spans="26:26" x14ac:dyDescent="0.2">
      <c r="Z37074" t="str">
        <f t="shared" si="579"/>
        <v/>
      </c>
    </row>
    <row r="37075" spans="26:26" x14ac:dyDescent="0.2">
      <c r="Z37075" t="str">
        <f t="shared" si="579"/>
        <v/>
      </c>
    </row>
    <row r="37076" spans="26:26" x14ac:dyDescent="0.2">
      <c r="Z37076" t="str">
        <f t="shared" si="579"/>
        <v/>
      </c>
    </row>
    <row r="37077" spans="26:26" x14ac:dyDescent="0.2">
      <c r="Z37077" t="str">
        <f t="shared" si="579"/>
        <v/>
      </c>
    </row>
    <row r="37078" spans="26:26" x14ac:dyDescent="0.2">
      <c r="Z37078" t="str">
        <f t="shared" si="579"/>
        <v/>
      </c>
    </row>
    <row r="37079" spans="26:26" x14ac:dyDescent="0.2">
      <c r="Z37079" t="str">
        <f t="shared" si="579"/>
        <v/>
      </c>
    </row>
    <row r="37080" spans="26:26" x14ac:dyDescent="0.2">
      <c r="Z37080" t="str">
        <f t="shared" si="579"/>
        <v/>
      </c>
    </row>
    <row r="37081" spans="26:26" x14ac:dyDescent="0.2">
      <c r="Z37081" t="str">
        <f t="shared" si="579"/>
        <v/>
      </c>
    </row>
    <row r="37082" spans="26:26" x14ac:dyDescent="0.2">
      <c r="Z37082" t="str">
        <f t="shared" si="579"/>
        <v/>
      </c>
    </row>
    <row r="37083" spans="26:26" x14ac:dyDescent="0.2">
      <c r="Z37083" t="str">
        <f t="shared" si="579"/>
        <v/>
      </c>
    </row>
    <row r="37084" spans="26:26" x14ac:dyDescent="0.2">
      <c r="Z37084" t="str">
        <f t="shared" si="579"/>
        <v/>
      </c>
    </row>
    <row r="37085" spans="26:26" x14ac:dyDescent="0.2">
      <c r="Z37085" t="str">
        <f t="shared" si="579"/>
        <v/>
      </c>
    </row>
    <row r="37086" spans="26:26" x14ac:dyDescent="0.2">
      <c r="Z37086" t="str">
        <f t="shared" si="579"/>
        <v/>
      </c>
    </row>
    <row r="37087" spans="26:26" x14ac:dyDescent="0.2">
      <c r="Z37087" t="str">
        <f t="shared" si="579"/>
        <v/>
      </c>
    </row>
    <row r="37088" spans="26:26" x14ac:dyDescent="0.2">
      <c r="Z37088" t="str">
        <f t="shared" si="579"/>
        <v/>
      </c>
    </row>
    <row r="37089" spans="26:26" x14ac:dyDescent="0.2">
      <c r="Z37089" t="str">
        <f t="shared" si="579"/>
        <v/>
      </c>
    </row>
    <row r="37090" spans="26:26" x14ac:dyDescent="0.2">
      <c r="Z37090" t="str">
        <f t="shared" si="579"/>
        <v/>
      </c>
    </row>
    <row r="37091" spans="26:26" x14ac:dyDescent="0.2">
      <c r="Z37091" t="str">
        <f t="shared" si="579"/>
        <v/>
      </c>
    </row>
    <row r="37092" spans="26:26" x14ac:dyDescent="0.2">
      <c r="Z37092" t="str">
        <f t="shared" si="579"/>
        <v/>
      </c>
    </row>
    <row r="37093" spans="26:26" x14ac:dyDescent="0.2">
      <c r="Z37093" t="str">
        <f t="shared" si="579"/>
        <v/>
      </c>
    </row>
    <row r="37094" spans="26:26" x14ac:dyDescent="0.2">
      <c r="Z37094" t="str">
        <f t="shared" si="579"/>
        <v/>
      </c>
    </row>
    <row r="37095" spans="26:26" x14ac:dyDescent="0.2">
      <c r="Z37095" t="str">
        <f t="shared" si="579"/>
        <v/>
      </c>
    </row>
    <row r="37096" spans="26:26" x14ac:dyDescent="0.2">
      <c r="Z37096" t="str">
        <f t="shared" si="579"/>
        <v/>
      </c>
    </row>
    <row r="37097" spans="26:26" x14ac:dyDescent="0.2">
      <c r="Z37097" t="str">
        <f t="shared" si="579"/>
        <v/>
      </c>
    </row>
    <row r="37098" spans="26:26" x14ac:dyDescent="0.2">
      <c r="Z37098" t="str">
        <f t="shared" si="579"/>
        <v/>
      </c>
    </row>
    <row r="37099" spans="26:26" x14ac:dyDescent="0.2">
      <c r="Z37099" t="str">
        <f t="shared" si="579"/>
        <v/>
      </c>
    </row>
    <row r="37100" spans="26:26" x14ac:dyDescent="0.2">
      <c r="Z37100" t="str">
        <f t="shared" si="579"/>
        <v/>
      </c>
    </row>
    <row r="37101" spans="26:26" x14ac:dyDescent="0.2">
      <c r="Z37101" t="str">
        <f t="shared" si="579"/>
        <v/>
      </c>
    </row>
    <row r="37102" spans="26:26" x14ac:dyDescent="0.2">
      <c r="Z37102" t="str">
        <f t="shared" si="579"/>
        <v/>
      </c>
    </row>
    <row r="37103" spans="26:26" x14ac:dyDescent="0.2">
      <c r="Z37103" t="str">
        <f t="shared" si="579"/>
        <v/>
      </c>
    </row>
    <row r="37104" spans="26:26" x14ac:dyDescent="0.2">
      <c r="Z37104" t="str">
        <f t="shared" si="579"/>
        <v/>
      </c>
    </row>
    <row r="37105" spans="26:26" x14ac:dyDescent="0.2">
      <c r="Z37105" t="str">
        <f t="shared" si="579"/>
        <v/>
      </c>
    </row>
    <row r="37106" spans="26:26" x14ac:dyDescent="0.2">
      <c r="Z37106" t="str">
        <f t="shared" si="579"/>
        <v/>
      </c>
    </row>
    <row r="37107" spans="26:26" x14ac:dyDescent="0.2">
      <c r="Z37107" t="str">
        <f t="shared" si="579"/>
        <v/>
      </c>
    </row>
    <row r="37108" spans="26:26" x14ac:dyDescent="0.2">
      <c r="Z37108" t="str">
        <f t="shared" si="579"/>
        <v/>
      </c>
    </row>
    <row r="37109" spans="26:26" x14ac:dyDescent="0.2">
      <c r="Z37109" t="str">
        <f t="shared" si="579"/>
        <v/>
      </c>
    </row>
    <row r="37110" spans="26:26" x14ac:dyDescent="0.2">
      <c r="Z37110" t="str">
        <f t="shared" si="579"/>
        <v/>
      </c>
    </row>
    <row r="37111" spans="26:26" x14ac:dyDescent="0.2">
      <c r="Z37111" t="str">
        <f t="shared" si="579"/>
        <v/>
      </c>
    </row>
    <row r="37112" spans="26:26" x14ac:dyDescent="0.2">
      <c r="Z37112" t="str">
        <f t="shared" si="579"/>
        <v/>
      </c>
    </row>
    <row r="37113" spans="26:26" x14ac:dyDescent="0.2">
      <c r="Z37113" t="str">
        <f t="shared" si="579"/>
        <v/>
      </c>
    </row>
    <row r="37114" spans="26:26" x14ac:dyDescent="0.2">
      <c r="Z37114" t="str">
        <f t="shared" si="579"/>
        <v/>
      </c>
    </row>
    <row r="37115" spans="26:26" x14ac:dyDescent="0.2">
      <c r="Z37115" t="str">
        <f t="shared" si="579"/>
        <v/>
      </c>
    </row>
    <row r="37116" spans="26:26" x14ac:dyDescent="0.2">
      <c r="Z37116" t="str">
        <f t="shared" si="579"/>
        <v/>
      </c>
    </row>
    <row r="37117" spans="26:26" x14ac:dyDescent="0.2">
      <c r="Z37117" t="str">
        <f t="shared" si="579"/>
        <v/>
      </c>
    </row>
    <row r="37118" spans="26:26" x14ac:dyDescent="0.2">
      <c r="Z37118" t="str">
        <f t="shared" si="579"/>
        <v/>
      </c>
    </row>
    <row r="37119" spans="26:26" x14ac:dyDescent="0.2">
      <c r="Z37119" t="str">
        <f t="shared" si="579"/>
        <v/>
      </c>
    </row>
    <row r="37120" spans="26:26" x14ac:dyDescent="0.2">
      <c r="Z37120" t="str">
        <f t="shared" si="579"/>
        <v/>
      </c>
    </row>
    <row r="37121" spans="26:26" x14ac:dyDescent="0.2">
      <c r="Z37121" t="str">
        <f t="shared" si="579"/>
        <v/>
      </c>
    </row>
    <row r="37122" spans="26:26" x14ac:dyDescent="0.2">
      <c r="Z37122" t="str">
        <f t="shared" si="579"/>
        <v/>
      </c>
    </row>
    <row r="37123" spans="26:26" x14ac:dyDescent="0.2">
      <c r="Z37123" t="str">
        <f t="shared" ref="Z37123:Z37186" si="580">IF(K37123="","",IFERROR(VALUE(TRIM(MID(K37123,FIND(CHAR(167),SUBSTITUTE(K37123,"-",CHAR(167),LEN(K37123)-LEN(SUBSTITUTE(K37123,"-",""))))+1,100))),K37123))</f>
        <v/>
      </c>
    </row>
    <row r="37124" spans="26:26" x14ac:dyDescent="0.2">
      <c r="Z37124" t="str">
        <f t="shared" si="580"/>
        <v/>
      </c>
    </row>
    <row r="37125" spans="26:26" x14ac:dyDescent="0.2">
      <c r="Z37125" t="str">
        <f t="shared" si="580"/>
        <v/>
      </c>
    </row>
    <row r="37126" spans="26:26" x14ac:dyDescent="0.2">
      <c r="Z37126" t="str">
        <f t="shared" si="580"/>
        <v/>
      </c>
    </row>
    <row r="37127" spans="26:26" x14ac:dyDescent="0.2">
      <c r="Z37127" t="str">
        <f t="shared" si="580"/>
        <v/>
      </c>
    </row>
    <row r="37128" spans="26:26" x14ac:dyDescent="0.2">
      <c r="Z37128" t="str">
        <f t="shared" si="580"/>
        <v/>
      </c>
    </row>
    <row r="37129" spans="26:26" x14ac:dyDescent="0.2">
      <c r="Z37129" t="str">
        <f t="shared" si="580"/>
        <v/>
      </c>
    </row>
    <row r="37130" spans="26:26" x14ac:dyDescent="0.2">
      <c r="Z37130" t="str">
        <f t="shared" si="580"/>
        <v/>
      </c>
    </row>
    <row r="37131" spans="26:26" x14ac:dyDescent="0.2">
      <c r="Z37131" t="str">
        <f t="shared" si="580"/>
        <v/>
      </c>
    </row>
    <row r="37132" spans="26:26" x14ac:dyDescent="0.2">
      <c r="Z37132" t="str">
        <f t="shared" si="580"/>
        <v/>
      </c>
    </row>
    <row r="37133" spans="26:26" x14ac:dyDescent="0.2">
      <c r="Z37133" t="str">
        <f t="shared" si="580"/>
        <v/>
      </c>
    </row>
    <row r="37134" spans="26:26" x14ac:dyDescent="0.2">
      <c r="Z37134" t="str">
        <f t="shared" si="580"/>
        <v/>
      </c>
    </row>
    <row r="37135" spans="26:26" x14ac:dyDescent="0.2">
      <c r="Z37135" t="str">
        <f t="shared" si="580"/>
        <v/>
      </c>
    </row>
    <row r="37136" spans="26:26" x14ac:dyDescent="0.2">
      <c r="Z37136" t="str">
        <f t="shared" si="580"/>
        <v/>
      </c>
    </row>
    <row r="37137" spans="26:26" x14ac:dyDescent="0.2">
      <c r="Z37137" t="str">
        <f t="shared" si="580"/>
        <v/>
      </c>
    </row>
    <row r="37138" spans="26:26" x14ac:dyDescent="0.2">
      <c r="Z37138" t="str">
        <f t="shared" si="580"/>
        <v/>
      </c>
    </row>
    <row r="37139" spans="26:26" x14ac:dyDescent="0.2">
      <c r="Z37139" t="str">
        <f t="shared" si="580"/>
        <v/>
      </c>
    </row>
    <row r="37140" spans="26:26" x14ac:dyDescent="0.2">
      <c r="Z37140" t="str">
        <f t="shared" si="580"/>
        <v/>
      </c>
    </row>
    <row r="37141" spans="26:26" x14ac:dyDescent="0.2">
      <c r="Z37141" t="str">
        <f t="shared" si="580"/>
        <v/>
      </c>
    </row>
    <row r="37142" spans="26:26" x14ac:dyDescent="0.2">
      <c r="Z37142" t="str">
        <f t="shared" si="580"/>
        <v/>
      </c>
    </row>
    <row r="37143" spans="26:26" x14ac:dyDescent="0.2">
      <c r="Z37143" t="str">
        <f t="shared" si="580"/>
        <v/>
      </c>
    </row>
    <row r="37144" spans="26:26" x14ac:dyDescent="0.2">
      <c r="Z37144" t="str">
        <f t="shared" si="580"/>
        <v/>
      </c>
    </row>
    <row r="37145" spans="26:26" x14ac:dyDescent="0.2">
      <c r="Z37145" t="str">
        <f t="shared" si="580"/>
        <v/>
      </c>
    </row>
    <row r="37146" spans="26:26" x14ac:dyDescent="0.2">
      <c r="Z37146" t="str">
        <f t="shared" si="580"/>
        <v/>
      </c>
    </row>
    <row r="37147" spans="26:26" x14ac:dyDescent="0.2">
      <c r="Z37147" t="str">
        <f t="shared" si="580"/>
        <v/>
      </c>
    </row>
    <row r="37148" spans="26:26" x14ac:dyDescent="0.2">
      <c r="Z37148" t="str">
        <f t="shared" si="580"/>
        <v/>
      </c>
    </row>
    <row r="37149" spans="26:26" x14ac:dyDescent="0.2">
      <c r="Z37149" t="str">
        <f t="shared" si="580"/>
        <v/>
      </c>
    </row>
    <row r="37150" spans="26:26" x14ac:dyDescent="0.2">
      <c r="Z37150" t="str">
        <f t="shared" si="580"/>
        <v/>
      </c>
    </row>
    <row r="37151" spans="26:26" x14ac:dyDescent="0.2">
      <c r="Z37151" t="str">
        <f t="shared" si="580"/>
        <v/>
      </c>
    </row>
    <row r="37152" spans="26:26" x14ac:dyDescent="0.2">
      <c r="Z37152" t="str">
        <f t="shared" si="580"/>
        <v/>
      </c>
    </row>
    <row r="37153" spans="26:26" x14ac:dyDescent="0.2">
      <c r="Z37153" t="str">
        <f t="shared" si="580"/>
        <v/>
      </c>
    </row>
    <row r="37154" spans="26:26" x14ac:dyDescent="0.2">
      <c r="Z37154" t="str">
        <f t="shared" si="580"/>
        <v/>
      </c>
    </row>
    <row r="37155" spans="26:26" x14ac:dyDescent="0.2">
      <c r="Z37155" t="str">
        <f t="shared" si="580"/>
        <v/>
      </c>
    </row>
    <row r="37156" spans="26:26" x14ac:dyDescent="0.2">
      <c r="Z37156" t="str">
        <f t="shared" si="580"/>
        <v/>
      </c>
    </row>
    <row r="37157" spans="26:26" x14ac:dyDescent="0.2">
      <c r="Z37157" t="str">
        <f t="shared" si="580"/>
        <v/>
      </c>
    </row>
    <row r="37158" spans="26:26" x14ac:dyDescent="0.2">
      <c r="Z37158" t="str">
        <f t="shared" si="580"/>
        <v/>
      </c>
    </row>
    <row r="37159" spans="26:26" x14ac:dyDescent="0.2">
      <c r="Z37159" t="str">
        <f t="shared" si="580"/>
        <v/>
      </c>
    </row>
    <row r="37160" spans="26:26" x14ac:dyDescent="0.2">
      <c r="Z37160" t="str">
        <f t="shared" si="580"/>
        <v/>
      </c>
    </row>
    <row r="37161" spans="26:26" x14ac:dyDescent="0.2">
      <c r="Z37161" t="str">
        <f t="shared" si="580"/>
        <v/>
      </c>
    </row>
    <row r="37162" spans="26:26" x14ac:dyDescent="0.2">
      <c r="Z37162" t="str">
        <f t="shared" si="580"/>
        <v/>
      </c>
    </row>
    <row r="37163" spans="26:26" x14ac:dyDescent="0.2">
      <c r="Z37163" t="str">
        <f t="shared" si="580"/>
        <v/>
      </c>
    </row>
    <row r="37164" spans="26:26" x14ac:dyDescent="0.2">
      <c r="Z37164" t="str">
        <f t="shared" si="580"/>
        <v/>
      </c>
    </row>
    <row r="37165" spans="26:26" x14ac:dyDescent="0.2">
      <c r="Z37165" t="str">
        <f t="shared" si="580"/>
        <v/>
      </c>
    </row>
    <row r="37166" spans="26:26" x14ac:dyDescent="0.2">
      <c r="Z37166" t="str">
        <f t="shared" si="580"/>
        <v/>
      </c>
    </row>
    <row r="37167" spans="26:26" x14ac:dyDescent="0.2">
      <c r="Z37167" t="str">
        <f t="shared" si="580"/>
        <v/>
      </c>
    </row>
    <row r="37168" spans="26:26" x14ac:dyDescent="0.2">
      <c r="Z37168" t="str">
        <f t="shared" si="580"/>
        <v/>
      </c>
    </row>
    <row r="37169" spans="26:26" x14ac:dyDescent="0.2">
      <c r="Z37169" t="str">
        <f t="shared" si="580"/>
        <v/>
      </c>
    </row>
    <row r="37170" spans="26:26" x14ac:dyDescent="0.2">
      <c r="Z37170" t="str">
        <f t="shared" si="580"/>
        <v/>
      </c>
    </row>
    <row r="37171" spans="26:26" x14ac:dyDescent="0.2">
      <c r="Z37171" t="str">
        <f t="shared" si="580"/>
        <v/>
      </c>
    </row>
    <row r="37172" spans="26:26" x14ac:dyDescent="0.2">
      <c r="Z37172" t="str">
        <f t="shared" si="580"/>
        <v/>
      </c>
    </row>
    <row r="37173" spans="26:26" x14ac:dyDescent="0.2">
      <c r="Z37173" t="str">
        <f t="shared" si="580"/>
        <v/>
      </c>
    </row>
    <row r="37174" spans="26:26" x14ac:dyDescent="0.2">
      <c r="Z37174" t="str">
        <f t="shared" si="580"/>
        <v/>
      </c>
    </row>
    <row r="37175" spans="26:26" x14ac:dyDescent="0.2">
      <c r="Z37175" t="str">
        <f t="shared" si="580"/>
        <v/>
      </c>
    </row>
    <row r="37176" spans="26:26" x14ac:dyDescent="0.2">
      <c r="Z37176" t="str">
        <f t="shared" si="580"/>
        <v/>
      </c>
    </row>
    <row r="37177" spans="26:26" x14ac:dyDescent="0.2">
      <c r="Z37177" t="str">
        <f t="shared" si="580"/>
        <v/>
      </c>
    </row>
    <row r="37178" spans="26:26" x14ac:dyDescent="0.2">
      <c r="Z37178" t="str">
        <f t="shared" si="580"/>
        <v/>
      </c>
    </row>
    <row r="37179" spans="26:26" x14ac:dyDescent="0.2">
      <c r="Z37179" t="str">
        <f t="shared" si="580"/>
        <v/>
      </c>
    </row>
    <row r="37180" spans="26:26" x14ac:dyDescent="0.2">
      <c r="Z37180" t="str">
        <f t="shared" si="580"/>
        <v/>
      </c>
    </row>
    <row r="37181" spans="26:26" x14ac:dyDescent="0.2">
      <c r="Z37181" t="str">
        <f t="shared" si="580"/>
        <v/>
      </c>
    </row>
    <row r="37182" spans="26:26" x14ac:dyDescent="0.2">
      <c r="Z37182" t="str">
        <f t="shared" si="580"/>
        <v/>
      </c>
    </row>
    <row r="37183" spans="26:26" x14ac:dyDescent="0.2">
      <c r="Z37183" t="str">
        <f t="shared" si="580"/>
        <v/>
      </c>
    </row>
    <row r="37184" spans="26:26" x14ac:dyDescent="0.2">
      <c r="Z37184" t="str">
        <f t="shared" si="580"/>
        <v/>
      </c>
    </row>
    <row r="37185" spans="26:26" x14ac:dyDescent="0.2">
      <c r="Z37185" t="str">
        <f t="shared" si="580"/>
        <v/>
      </c>
    </row>
    <row r="37186" spans="26:26" x14ac:dyDescent="0.2">
      <c r="Z37186" t="str">
        <f t="shared" si="580"/>
        <v/>
      </c>
    </row>
    <row r="37187" spans="26:26" x14ac:dyDescent="0.2">
      <c r="Z37187" t="str">
        <f t="shared" ref="Z37187:Z37250" si="581">IF(K37187="","",IFERROR(VALUE(TRIM(MID(K37187,FIND(CHAR(167),SUBSTITUTE(K37187,"-",CHAR(167),LEN(K37187)-LEN(SUBSTITUTE(K37187,"-",""))))+1,100))),K37187))</f>
        <v/>
      </c>
    </row>
    <row r="37188" spans="26:26" x14ac:dyDescent="0.2">
      <c r="Z37188" t="str">
        <f t="shared" si="581"/>
        <v/>
      </c>
    </row>
    <row r="37189" spans="26:26" x14ac:dyDescent="0.2">
      <c r="Z37189" t="str">
        <f t="shared" si="581"/>
        <v/>
      </c>
    </row>
    <row r="37190" spans="26:26" x14ac:dyDescent="0.2">
      <c r="Z37190" t="str">
        <f t="shared" si="581"/>
        <v/>
      </c>
    </row>
    <row r="37191" spans="26:26" x14ac:dyDescent="0.2">
      <c r="Z37191" t="str">
        <f t="shared" si="581"/>
        <v/>
      </c>
    </row>
    <row r="37192" spans="26:26" x14ac:dyDescent="0.2">
      <c r="Z37192" t="str">
        <f t="shared" si="581"/>
        <v/>
      </c>
    </row>
    <row r="37193" spans="26:26" x14ac:dyDescent="0.2">
      <c r="Z37193" t="str">
        <f t="shared" si="581"/>
        <v/>
      </c>
    </row>
    <row r="37194" spans="26:26" x14ac:dyDescent="0.2">
      <c r="Z37194" t="str">
        <f t="shared" si="581"/>
        <v/>
      </c>
    </row>
    <row r="37195" spans="26:26" x14ac:dyDescent="0.2">
      <c r="Z37195" t="str">
        <f t="shared" si="581"/>
        <v/>
      </c>
    </row>
    <row r="37196" spans="26:26" x14ac:dyDescent="0.2">
      <c r="Z37196" t="str">
        <f t="shared" si="581"/>
        <v/>
      </c>
    </row>
    <row r="37197" spans="26:26" x14ac:dyDescent="0.2">
      <c r="Z37197" t="str">
        <f t="shared" si="581"/>
        <v/>
      </c>
    </row>
    <row r="37198" spans="26:26" x14ac:dyDescent="0.2">
      <c r="Z37198" t="str">
        <f t="shared" si="581"/>
        <v/>
      </c>
    </row>
    <row r="37199" spans="26:26" x14ac:dyDescent="0.2">
      <c r="Z37199" t="str">
        <f t="shared" si="581"/>
        <v/>
      </c>
    </row>
    <row r="37200" spans="26:26" x14ac:dyDescent="0.2">
      <c r="Z37200" t="str">
        <f t="shared" si="581"/>
        <v/>
      </c>
    </row>
    <row r="37201" spans="26:26" x14ac:dyDescent="0.2">
      <c r="Z37201" t="str">
        <f t="shared" si="581"/>
        <v/>
      </c>
    </row>
    <row r="37202" spans="26:26" x14ac:dyDescent="0.2">
      <c r="Z37202" t="str">
        <f t="shared" si="581"/>
        <v/>
      </c>
    </row>
    <row r="37203" spans="26:26" x14ac:dyDescent="0.2">
      <c r="Z37203" t="str">
        <f t="shared" si="581"/>
        <v/>
      </c>
    </row>
    <row r="37204" spans="26:26" x14ac:dyDescent="0.2">
      <c r="Z37204" t="str">
        <f t="shared" si="581"/>
        <v/>
      </c>
    </row>
    <row r="37205" spans="26:26" x14ac:dyDescent="0.2">
      <c r="Z37205" t="str">
        <f t="shared" si="581"/>
        <v/>
      </c>
    </row>
    <row r="37206" spans="26:26" x14ac:dyDescent="0.2">
      <c r="Z37206" t="str">
        <f t="shared" si="581"/>
        <v/>
      </c>
    </row>
    <row r="37207" spans="26:26" x14ac:dyDescent="0.2">
      <c r="Z37207" t="str">
        <f t="shared" si="581"/>
        <v/>
      </c>
    </row>
    <row r="37208" spans="26:26" x14ac:dyDescent="0.2">
      <c r="Z37208" t="str">
        <f t="shared" si="581"/>
        <v/>
      </c>
    </row>
    <row r="37209" spans="26:26" x14ac:dyDescent="0.2">
      <c r="Z37209" t="str">
        <f t="shared" si="581"/>
        <v/>
      </c>
    </row>
    <row r="37210" spans="26:26" x14ac:dyDescent="0.2">
      <c r="Z37210" t="str">
        <f t="shared" si="581"/>
        <v/>
      </c>
    </row>
    <row r="37211" spans="26:26" x14ac:dyDescent="0.2">
      <c r="Z37211" t="str">
        <f t="shared" si="581"/>
        <v/>
      </c>
    </row>
    <row r="37212" spans="26:26" x14ac:dyDescent="0.2">
      <c r="Z37212" t="str">
        <f t="shared" si="581"/>
        <v/>
      </c>
    </row>
    <row r="37213" spans="26:26" x14ac:dyDescent="0.2">
      <c r="Z37213" t="str">
        <f t="shared" si="581"/>
        <v/>
      </c>
    </row>
    <row r="37214" spans="26:26" x14ac:dyDescent="0.2">
      <c r="Z37214" t="str">
        <f t="shared" si="581"/>
        <v/>
      </c>
    </row>
    <row r="37215" spans="26:26" x14ac:dyDescent="0.2">
      <c r="Z37215" t="str">
        <f t="shared" si="581"/>
        <v/>
      </c>
    </row>
    <row r="37216" spans="26:26" x14ac:dyDescent="0.2">
      <c r="Z37216" t="str">
        <f t="shared" si="581"/>
        <v/>
      </c>
    </row>
    <row r="37217" spans="26:26" x14ac:dyDescent="0.2">
      <c r="Z37217" t="str">
        <f t="shared" si="581"/>
        <v/>
      </c>
    </row>
    <row r="37218" spans="26:26" x14ac:dyDescent="0.2">
      <c r="Z37218" t="str">
        <f t="shared" si="581"/>
        <v/>
      </c>
    </row>
    <row r="37219" spans="26:26" x14ac:dyDescent="0.2">
      <c r="Z37219" t="str">
        <f t="shared" si="581"/>
        <v/>
      </c>
    </row>
    <row r="37220" spans="26:26" x14ac:dyDescent="0.2">
      <c r="Z37220" t="str">
        <f t="shared" si="581"/>
        <v/>
      </c>
    </row>
    <row r="37221" spans="26:26" x14ac:dyDescent="0.2">
      <c r="Z37221" t="str">
        <f t="shared" si="581"/>
        <v/>
      </c>
    </row>
    <row r="37222" spans="26:26" x14ac:dyDescent="0.2">
      <c r="Z37222" t="str">
        <f t="shared" si="581"/>
        <v/>
      </c>
    </row>
    <row r="37223" spans="26:26" x14ac:dyDescent="0.2">
      <c r="Z37223" t="str">
        <f t="shared" si="581"/>
        <v/>
      </c>
    </row>
    <row r="37224" spans="26:26" x14ac:dyDescent="0.2">
      <c r="Z37224" t="str">
        <f t="shared" si="581"/>
        <v/>
      </c>
    </row>
    <row r="37225" spans="26:26" x14ac:dyDescent="0.2">
      <c r="Z37225" t="str">
        <f t="shared" si="581"/>
        <v/>
      </c>
    </row>
    <row r="37226" spans="26:26" x14ac:dyDescent="0.2">
      <c r="Z37226" t="str">
        <f t="shared" si="581"/>
        <v/>
      </c>
    </row>
    <row r="37227" spans="26:26" x14ac:dyDescent="0.2">
      <c r="Z37227" t="str">
        <f t="shared" si="581"/>
        <v/>
      </c>
    </row>
    <row r="37228" spans="26:26" x14ac:dyDescent="0.2">
      <c r="Z37228" t="str">
        <f t="shared" si="581"/>
        <v/>
      </c>
    </row>
    <row r="37229" spans="26:26" x14ac:dyDescent="0.2">
      <c r="Z37229" t="str">
        <f t="shared" si="581"/>
        <v/>
      </c>
    </row>
    <row r="37230" spans="26:26" x14ac:dyDescent="0.2">
      <c r="Z37230" t="str">
        <f t="shared" si="581"/>
        <v/>
      </c>
    </row>
    <row r="37231" spans="26:26" x14ac:dyDescent="0.2">
      <c r="Z37231" t="str">
        <f t="shared" si="581"/>
        <v/>
      </c>
    </row>
    <row r="37232" spans="26:26" x14ac:dyDescent="0.2">
      <c r="Z37232" t="str">
        <f t="shared" si="581"/>
        <v/>
      </c>
    </row>
    <row r="37233" spans="26:26" x14ac:dyDescent="0.2">
      <c r="Z37233" t="str">
        <f t="shared" si="581"/>
        <v/>
      </c>
    </row>
    <row r="37234" spans="26:26" x14ac:dyDescent="0.2">
      <c r="Z37234" t="str">
        <f t="shared" si="581"/>
        <v/>
      </c>
    </row>
    <row r="37235" spans="26:26" x14ac:dyDescent="0.2">
      <c r="Z37235" t="str">
        <f t="shared" si="581"/>
        <v/>
      </c>
    </row>
    <row r="37236" spans="26:26" x14ac:dyDescent="0.2">
      <c r="Z37236" t="str">
        <f t="shared" si="581"/>
        <v/>
      </c>
    </row>
    <row r="37237" spans="26:26" x14ac:dyDescent="0.2">
      <c r="Z37237" t="str">
        <f t="shared" si="581"/>
        <v/>
      </c>
    </row>
    <row r="37238" spans="26:26" x14ac:dyDescent="0.2">
      <c r="Z37238" t="str">
        <f t="shared" si="581"/>
        <v/>
      </c>
    </row>
    <row r="37239" spans="26:26" x14ac:dyDescent="0.2">
      <c r="Z37239" t="str">
        <f t="shared" si="581"/>
        <v/>
      </c>
    </row>
    <row r="37240" spans="26:26" x14ac:dyDescent="0.2">
      <c r="Z37240" t="str">
        <f t="shared" si="581"/>
        <v/>
      </c>
    </row>
    <row r="37241" spans="26:26" x14ac:dyDescent="0.2">
      <c r="Z37241" t="str">
        <f t="shared" si="581"/>
        <v/>
      </c>
    </row>
    <row r="37242" spans="26:26" x14ac:dyDescent="0.2">
      <c r="Z37242" t="str">
        <f t="shared" si="581"/>
        <v/>
      </c>
    </row>
    <row r="37243" spans="26:26" x14ac:dyDescent="0.2">
      <c r="Z37243" t="str">
        <f t="shared" si="581"/>
        <v/>
      </c>
    </row>
    <row r="37244" spans="26:26" x14ac:dyDescent="0.2">
      <c r="Z37244" t="str">
        <f t="shared" si="581"/>
        <v/>
      </c>
    </row>
    <row r="37245" spans="26:26" x14ac:dyDescent="0.2">
      <c r="Z37245" t="str">
        <f t="shared" si="581"/>
        <v/>
      </c>
    </row>
    <row r="37246" spans="26:26" x14ac:dyDescent="0.2">
      <c r="Z37246" t="str">
        <f t="shared" si="581"/>
        <v/>
      </c>
    </row>
    <row r="37247" spans="26:26" x14ac:dyDescent="0.2">
      <c r="Z37247" t="str">
        <f t="shared" si="581"/>
        <v/>
      </c>
    </row>
    <row r="37248" spans="26:26" x14ac:dyDescent="0.2">
      <c r="Z37248" t="str">
        <f t="shared" si="581"/>
        <v/>
      </c>
    </row>
    <row r="37249" spans="26:26" x14ac:dyDescent="0.2">
      <c r="Z37249" t="str">
        <f t="shared" si="581"/>
        <v/>
      </c>
    </row>
    <row r="37250" spans="26:26" x14ac:dyDescent="0.2">
      <c r="Z37250" t="str">
        <f t="shared" si="581"/>
        <v/>
      </c>
    </row>
    <row r="37251" spans="26:26" x14ac:dyDescent="0.2">
      <c r="Z37251" t="str">
        <f t="shared" ref="Z37251:Z37314" si="582">IF(K37251="","",IFERROR(VALUE(TRIM(MID(K37251,FIND(CHAR(167),SUBSTITUTE(K37251,"-",CHAR(167),LEN(K37251)-LEN(SUBSTITUTE(K37251,"-",""))))+1,100))),K37251))</f>
        <v/>
      </c>
    </row>
    <row r="37252" spans="26:26" x14ac:dyDescent="0.2">
      <c r="Z37252" t="str">
        <f t="shared" si="582"/>
        <v/>
      </c>
    </row>
    <row r="37253" spans="26:26" x14ac:dyDescent="0.2">
      <c r="Z37253" t="str">
        <f t="shared" si="582"/>
        <v/>
      </c>
    </row>
    <row r="37254" spans="26:26" x14ac:dyDescent="0.2">
      <c r="Z37254" t="str">
        <f t="shared" si="582"/>
        <v/>
      </c>
    </row>
    <row r="37255" spans="26:26" x14ac:dyDescent="0.2">
      <c r="Z37255" t="str">
        <f t="shared" si="582"/>
        <v/>
      </c>
    </row>
    <row r="37256" spans="26:26" x14ac:dyDescent="0.2">
      <c r="Z37256" t="str">
        <f t="shared" si="582"/>
        <v/>
      </c>
    </row>
    <row r="37257" spans="26:26" x14ac:dyDescent="0.2">
      <c r="Z37257" t="str">
        <f t="shared" si="582"/>
        <v/>
      </c>
    </row>
    <row r="37258" spans="26:26" x14ac:dyDescent="0.2">
      <c r="Z37258" t="str">
        <f t="shared" si="582"/>
        <v/>
      </c>
    </row>
    <row r="37259" spans="26:26" x14ac:dyDescent="0.2">
      <c r="Z37259" t="str">
        <f t="shared" si="582"/>
        <v/>
      </c>
    </row>
    <row r="37260" spans="26:26" x14ac:dyDescent="0.2">
      <c r="Z37260" t="str">
        <f t="shared" si="582"/>
        <v/>
      </c>
    </row>
    <row r="37261" spans="26:26" x14ac:dyDescent="0.2">
      <c r="Z37261" t="str">
        <f t="shared" si="582"/>
        <v/>
      </c>
    </row>
    <row r="37262" spans="26:26" x14ac:dyDescent="0.2">
      <c r="Z37262" t="str">
        <f t="shared" si="582"/>
        <v/>
      </c>
    </row>
    <row r="37263" spans="26:26" x14ac:dyDescent="0.2">
      <c r="Z37263" t="str">
        <f t="shared" si="582"/>
        <v/>
      </c>
    </row>
    <row r="37264" spans="26:26" x14ac:dyDescent="0.2">
      <c r="Z37264" t="str">
        <f t="shared" si="582"/>
        <v/>
      </c>
    </row>
    <row r="37265" spans="26:26" x14ac:dyDescent="0.2">
      <c r="Z37265" t="str">
        <f t="shared" si="582"/>
        <v/>
      </c>
    </row>
    <row r="37266" spans="26:26" x14ac:dyDescent="0.2">
      <c r="Z37266" t="str">
        <f t="shared" si="582"/>
        <v/>
      </c>
    </row>
    <row r="37267" spans="26:26" x14ac:dyDescent="0.2">
      <c r="Z37267" t="str">
        <f t="shared" si="582"/>
        <v/>
      </c>
    </row>
    <row r="37268" spans="26:26" x14ac:dyDescent="0.2">
      <c r="Z37268" t="str">
        <f t="shared" si="582"/>
        <v/>
      </c>
    </row>
    <row r="37269" spans="26:26" x14ac:dyDescent="0.2">
      <c r="Z37269" t="str">
        <f t="shared" si="582"/>
        <v/>
      </c>
    </row>
    <row r="37270" spans="26:26" x14ac:dyDescent="0.2">
      <c r="Z37270" t="str">
        <f t="shared" si="582"/>
        <v/>
      </c>
    </row>
    <row r="37271" spans="26:26" x14ac:dyDescent="0.2">
      <c r="Z37271" t="str">
        <f t="shared" si="582"/>
        <v/>
      </c>
    </row>
    <row r="37272" spans="26:26" x14ac:dyDescent="0.2">
      <c r="Z37272" t="str">
        <f t="shared" si="582"/>
        <v/>
      </c>
    </row>
    <row r="37273" spans="26:26" x14ac:dyDescent="0.2">
      <c r="Z37273" t="str">
        <f t="shared" si="582"/>
        <v/>
      </c>
    </row>
    <row r="37274" spans="26:26" x14ac:dyDescent="0.2">
      <c r="Z37274" t="str">
        <f t="shared" si="582"/>
        <v/>
      </c>
    </row>
    <row r="37275" spans="26:26" x14ac:dyDescent="0.2">
      <c r="Z37275" t="str">
        <f t="shared" si="582"/>
        <v/>
      </c>
    </row>
    <row r="37276" spans="26:26" x14ac:dyDescent="0.2">
      <c r="Z37276" t="str">
        <f t="shared" si="582"/>
        <v/>
      </c>
    </row>
    <row r="37277" spans="26:26" x14ac:dyDescent="0.2">
      <c r="Z37277" t="str">
        <f t="shared" si="582"/>
        <v/>
      </c>
    </row>
    <row r="37278" spans="26:26" x14ac:dyDescent="0.2">
      <c r="Z37278" t="str">
        <f t="shared" si="582"/>
        <v/>
      </c>
    </row>
    <row r="37279" spans="26:26" x14ac:dyDescent="0.2">
      <c r="Z37279" t="str">
        <f t="shared" si="582"/>
        <v/>
      </c>
    </row>
    <row r="37280" spans="26:26" x14ac:dyDescent="0.2">
      <c r="Z37280" t="str">
        <f t="shared" si="582"/>
        <v/>
      </c>
    </row>
    <row r="37281" spans="26:26" x14ac:dyDescent="0.2">
      <c r="Z37281" t="str">
        <f t="shared" si="582"/>
        <v/>
      </c>
    </row>
    <row r="37282" spans="26:26" x14ac:dyDescent="0.2">
      <c r="Z37282" t="str">
        <f t="shared" si="582"/>
        <v/>
      </c>
    </row>
    <row r="37283" spans="26:26" x14ac:dyDescent="0.2">
      <c r="Z37283" t="str">
        <f t="shared" si="582"/>
        <v/>
      </c>
    </row>
    <row r="37284" spans="26:26" x14ac:dyDescent="0.2">
      <c r="Z37284" t="str">
        <f t="shared" si="582"/>
        <v/>
      </c>
    </row>
    <row r="37285" spans="26:26" x14ac:dyDescent="0.2">
      <c r="Z37285" t="str">
        <f t="shared" si="582"/>
        <v/>
      </c>
    </row>
    <row r="37286" spans="26:26" x14ac:dyDescent="0.2">
      <c r="Z37286" t="str">
        <f t="shared" si="582"/>
        <v/>
      </c>
    </row>
    <row r="37287" spans="26:26" x14ac:dyDescent="0.2">
      <c r="Z37287" t="str">
        <f t="shared" si="582"/>
        <v/>
      </c>
    </row>
    <row r="37288" spans="26:26" x14ac:dyDescent="0.2">
      <c r="Z37288" t="str">
        <f t="shared" si="582"/>
        <v/>
      </c>
    </row>
    <row r="37289" spans="26:26" x14ac:dyDescent="0.2">
      <c r="Z37289" t="str">
        <f t="shared" si="582"/>
        <v/>
      </c>
    </row>
    <row r="37290" spans="26:26" x14ac:dyDescent="0.2">
      <c r="Z37290" t="str">
        <f t="shared" si="582"/>
        <v/>
      </c>
    </row>
    <row r="37291" spans="26:26" x14ac:dyDescent="0.2">
      <c r="Z37291" t="str">
        <f t="shared" si="582"/>
        <v/>
      </c>
    </row>
    <row r="37292" spans="26:26" x14ac:dyDescent="0.2">
      <c r="Z37292" t="str">
        <f t="shared" si="582"/>
        <v/>
      </c>
    </row>
    <row r="37293" spans="26:26" x14ac:dyDescent="0.2">
      <c r="Z37293" t="str">
        <f t="shared" si="582"/>
        <v/>
      </c>
    </row>
    <row r="37294" spans="26:26" x14ac:dyDescent="0.2">
      <c r="Z37294" t="str">
        <f t="shared" si="582"/>
        <v/>
      </c>
    </row>
    <row r="37295" spans="26:26" x14ac:dyDescent="0.2">
      <c r="Z37295" t="str">
        <f t="shared" si="582"/>
        <v/>
      </c>
    </row>
    <row r="37296" spans="26:26" x14ac:dyDescent="0.2">
      <c r="Z37296" t="str">
        <f t="shared" si="582"/>
        <v/>
      </c>
    </row>
    <row r="37297" spans="26:26" x14ac:dyDescent="0.2">
      <c r="Z37297" t="str">
        <f t="shared" si="582"/>
        <v/>
      </c>
    </row>
    <row r="37298" spans="26:26" x14ac:dyDescent="0.2">
      <c r="Z37298" t="str">
        <f t="shared" si="582"/>
        <v/>
      </c>
    </row>
    <row r="37299" spans="26:26" x14ac:dyDescent="0.2">
      <c r="Z37299" t="str">
        <f t="shared" si="582"/>
        <v/>
      </c>
    </row>
    <row r="37300" spans="26:26" x14ac:dyDescent="0.2">
      <c r="Z37300" t="str">
        <f t="shared" si="582"/>
        <v/>
      </c>
    </row>
    <row r="37301" spans="26:26" x14ac:dyDescent="0.2">
      <c r="Z37301" t="str">
        <f t="shared" si="582"/>
        <v/>
      </c>
    </row>
    <row r="37302" spans="26:26" x14ac:dyDescent="0.2">
      <c r="Z37302" t="str">
        <f t="shared" si="582"/>
        <v/>
      </c>
    </row>
    <row r="37303" spans="26:26" x14ac:dyDescent="0.2">
      <c r="Z37303" t="str">
        <f t="shared" si="582"/>
        <v/>
      </c>
    </row>
    <row r="37304" spans="26:26" x14ac:dyDescent="0.2">
      <c r="Z37304" t="str">
        <f t="shared" si="582"/>
        <v/>
      </c>
    </row>
    <row r="37305" spans="26:26" x14ac:dyDescent="0.2">
      <c r="Z37305" t="str">
        <f t="shared" si="582"/>
        <v/>
      </c>
    </row>
    <row r="37306" spans="26:26" x14ac:dyDescent="0.2">
      <c r="Z37306" t="str">
        <f t="shared" si="582"/>
        <v/>
      </c>
    </row>
    <row r="37307" spans="26:26" x14ac:dyDescent="0.2">
      <c r="Z37307" t="str">
        <f t="shared" si="582"/>
        <v/>
      </c>
    </row>
    <row r="37308" spans="26:26" x14ac:dyDescent="0.2">
      <c r="Z37308" t="str">
        <f t="shared" si="582"/>
        <v/>
      </c>
    </row>
    <row r="37309" spans="26:26" x14ac:dyDescent="0.2">
      <c r="Z37309" t="str">
        <f t="shared" si="582"/>
        <v/>
      </c>
    </row>
    <row r="37310" spans="26:26" x14ac:dyDescent="0.2">
      <c r="Z37310" t="str">
        <f t="shared" si="582"/>
        <v/>
      </c>
    </row>
    <row r="37311" spans="26:26" x14ac:dyDescent="0.2">
      <c r="Z37311" t="str">
        <f t="shared" si="582"/>
        <v/>
      </c>
    </row>
    <row r="37312" spans="26:26" x14ac:dyDescent="0.2">
      <c r="Z37312" t="str">
        <f t="shared" si="582"/>
        <v/>
      </c>
    </row>
    <row r="37313" spans="26:26" x14ac:dyDescent="0.2">
      <c r="Z37313" t="str">
        <f t="shared" si="582"/>
        <v/>
      </c>
    </row>
    <row r="37314" spans="26:26" x14ac:dyDescent="0.2">
      <c r="Z37314" t="str">
        <f t="shared" si="582"/>
        <v/>
      </c>
    </row>
    <row r="37315" spans="26:26" x14ac:dyDescent="0.2">
      <c r="Z37315" t="str">
        <f t="shared" ref="Z37315:Z37378" si="583">IF(K37315="","",IFERROR(VALUE(TRIM(MID(K37315,FIND(CHAR(167),SUBSTITUTE(K37315,"-",CHAR(167),LEN(K37315)-LEN(SUBSTITUTE(K37315,"-",""))))+1,100))),K37315))</f>
        <v/>
      </c>
    </row>
    <row r="37316" spans="26:26" x14ac:dyDescent="0.2">
      <c r="Z37316" t="str">
        <f t="shared" si="583"/>
        <v/>
      </c>
    </row>
    <row r="37317" spans="26:26" x14ac:dyDescent="0.2">
      <c r="Z37317" t="str">
        <f t="shared" si="583"/>
        <v/>
      </c>
    </row>
    <row r="37318" spans="26:26" x14ac:dyDescent="0.2">
      <c r="Z37318" t="str">
        <f t="shared" si="583"/>
        <v/>
      </c>
    </row>
    <row r="37319" spans="26:26" x14ac:dyDescent="0.2">
      <c r="Z37319" t="str">
        <f t="shared" si="583"/>
        <v/>
      </c>
    </row>
    <row r="37320" spans="26:26" x14ac:dyDescent="0.2">
      <c r="Z37320" t="str">
        <f t="shared" si="583"/>
        <v/>
      </c>
    </row>
    <row r="37321" spans="26:26" x14ac:dyDescent="0.2">
      <c r="Z37321" t="str">
        <f t="shared" si="583"/>
        <v/>
      </c>
    </row>
    <row r="37322" spans="26:26" x14ac:dyDescent="0.2">
      <c r="Z37322" t="str">
        <f t="shared" si="583"/>
        <v/>
      </c>
    </row>
    <row r="37323" spans="26:26" x14ac:dyDescent="0.2">
      <c r="Z37323" t="str">
        <f t="shared" si="583"/>
        <v/>
      </c>
    </row>
    <row r="37324" spans="26:26" x14ac:dyDescent="0.2">
      <c r="Z37324" t="str">
        <f t="shared" si="583"/>
        <v/>
      </c>
    </row>
    <row r="37325" spans="26:26" x14ac:dyDescent="0.2">
      <c r="Z37325" t="str">
        <f t="shared" si="583"/>
        <v/>
      </c>
    </row>
    <row r="37326" spans="26:26" x14ac:dyDescent="0.2">
      <c r="Z37326" t="str">
        <f t="shared" si="583"/>
        <v/>
      </c>
    </row>
    <row r="37327" spans="26:26" x14ac:dyDescent="0.2">
      <c r="Z37327" t="str">
        <f t="shared" si="583"/>
        <v/>
      </c>
    </row>
    <row r="37328" spans="26:26" x14ac:dyDescent="0.2">
      <c r="Z37328" t="str">
        <f t="shared" si="583"/>
        <v/>
      </c>
    </row>
    <row r="37329" spans="26:26" x14ac:dyDescent="0.2">
      <c r="Z37329" t="str">
        <f t="shared" si="583"/>
        <v/>
      </c>
    </row>
    <row r="37330" spans="26:26" x14ac:dyDescent="0.2">
      <c r="Z37330" t="str">
        <f t="shared" si="583"/>
        <v/>
      </c>
    </row>
    <row r="37331" spans="26:26" x14ac:dyDescent="0.2">
      <c r="Z37331" t="str">
        <f t="shared" si="583"/>
        <v/>
      </c>
    </row>
    <row r="37332" spans="26:26" x14ac:dyDescent="0.2">
      <c r="Z37332" t="str">
        <f t="shared" si="583"/>
        <v/>
      </c>
    </row>
    <row r="37333" spans="26:26" x14ac:dyDescent="0.2">
      <c r="Z37333" t="str">
        <f t="shared" si="583"/>
        <v/>
      </c>
    </row>
    <row r="37334" spans="26:26" x14ac:dyDescent="0.2">
      <c r="Z37334" t="str">
        <f t="shared" si="583"/>
        <v/>
      </c>
    </row>
    <row r="37335" spans="26:26" x14ac:dyDescent="0.2">
      <c r="Z37335" t="str">
        <f t="shared" si="583"/>
        <v/>
      </c>
    </row>
    <row r="37336" spans="26:26" x14ac:dyDescent="0.2">
      <c r="Z37336" t="str">
        <f t="shared" si="583"/>
        <v/>
      </c>
    </row>
    <row r="37337" spans="26:26" x14ac:dyDescent="0.2">
      <c r="Z37337" t="str">
        <f t="shared" si="583"/>
        <v/>
      </c>
    </row>
    <row r="37338" spans="26:26" x14ac:dyDescent="0.2">
      <c r="Z37338" t="str">
        <f t="shared" si="583"/>
        <v/>
      </c>
    </row>
    <row r="37339" spans="26:26" x14ac:dyDescent="0.2">
      <c r="Z37339" t="str">
        <f t="shared" si="583"/>
        <v/>
      </c>
    </row>
    <row r="37340" spans="26:26" x14ac:dyDescent="0.2">
      <c r="Z37340" t="str">
        <f t="shared" si="583"/>
        <v/>
      </c>
    </row>
    <row r="37341" spans="26:26" x14ac:dyDescent="0.2">
      <c r="Z37341" t="str">
        <f t="shared" si="583"/>
        <v/>
      </c>
    </row>
    <row r="37342" spans="26:26" x14ac:dyDescent="0.2">
      <c r="Z37342" t="str">
        <f t="shared" si="583"/>
        <v/>
      </c>
    </row>
    <row r="37343" spans="26:26" x14ac:dyDescent="0.2">
      <c r="Z37343" t="str">
        <f t="shared" si="583"/>
        <v/>
      </c>
    </row>
    <row r="37344" spans="26:26" x14ac:dyDescent="0.2">
      <c r="Z37344" t="str">
        <f t="shared" si="583"/>
        <v/>
      </c>
    </row>
    <row r="37345" spans="26:26" x14ac:dyDescent="0.2">
      <c r="Z37345" t="str">
        <f t="shared" si="583"/>
        <v/>
      </c>
    </row>
    <row r="37346" spans="26:26" x14ac:dyDescent="0.2">
      <c r="Z37346" t="str">
        <f t="shared" si="583"/>
        <v/>
      </c>
    </row>
    <row r="37347" spans="26:26" x14ac:dyDescent="0.2">
      <c r="Z37347" t="str">
        <f t="shared" si="583"/>
        <v/>
      </c>
    </row>
    <row r="37348" spans="26:26" x14ac:dyDescent="0.2">
      <c r="Z37348" t="str">
        <f t="shared" si="583"/>
        <v/>
      </c>
    </row>
    <row r="37349" spans="26:26" x14ac:dyDescent="0.2">
      <c r="Z37349" t="str">
        <f t="shared" si="583"/>
        <v/>
      </c>
    </row>
    <row r="37350" spans="26:26" x14ac:dyDescent="0.2">
      <c r="Z37350" t="str">
        <f t="shared" si="583"/>
        <v/>
      </c>
    </row>
    <row r="37351" spans="26:26" x14ac:dyDescent="0.2">
      <c r="Z37351" t="str">
        <f t="shared" si="583"/>
        <v/>
      </c>
    </row>
    <row r="37352" spans="26:26" x14ac:dyDescent="0.2">
      <c r="Z37352" t="str">
        <f t="shared" si="583"/>
        <v/>
      </c>
    </row>
    <row r="37353" spans="26:26" x14ac:dyDescent="0.2">
      <c r="Z37353" t="str">
        <f t="shared" si="583"/>
        <v/>
      </c>
    </row>
    <row r="37354" spans="26:26" x14ac:dyDescent="0.2">
      <c r="Z37354" t="str">
        <f t="shared" si="583"/>
        <v/>
      </c>
    </row>
    <row r="37355" spans="26:26" x14ac:dyDescent="0.2">
      <c r="Z37355" t="str">
        <f t="shared" si="583"/>
        <v/>
      </c>
    </row>
    <row r="37356" spans="26:26" x14ac:dyDescent="0.2">
      <c r="Z37356" t="str">
        <f t="shared" si="583"/>
        <v/>
      </c>
    </row>
    <row r="37357" spans="26:26" x14ac:dyDescent="0.2">
      <c r="Z37357" t="str">
        <f t="shared" si="583"/>
        <v/>
      </c>
    </row>
    <row r="37358" spans="26:26" x14ac:dyDescent="0.2">
      <c r="Z37358" t="str">
        <f t="shared" si="583"/>
        <v/>
      </c>
    </row>
    <row r="37359" spans="26:26" x14ac:dyDescent="0.2">
      <c r="Z37359" t="str">
        <f t="shared" si="583"/>
        <v/>
      </c>
    </row>
    <row r="37360" spans="26:26" x14ac:dyDescent="0.2">
      <c r="Z37360" t="str">
        <f t="shared" si="583"/>
        <v/>
      </c>
    </row>
    <row r="37361" spans="26:26" x14ac:dyDescent="0.2">
      <c r="Z37361" t="str">
        <f t="shared" si="583"/>
        <v/>
      </c>
    </row>
    <row r="37362" spans="26:26" x14ac:dyDescent="0.2">
      <c r="Z37362" t="str">
        <f t="shared" si="583"/>
        <v/>
      </c>
    </row>
    <row r="37363" spans="26:26" x14ac:dyDescent="0.2">
      <c r="Z37363" t="str">
        <f t="shared" si="583"/>
        <v/>
      </c>
    </row>
    <row r="37364" spans="26:26" x14ac:dyDescent="0.2">
      <c r="Z37364" t="str">
        <f t="shared" si="583"/>
        <v/>
      </c>
    </row>
    <row r="37365" spans="26:26" x14ac:dyDescent="0.2">
      <c r="Z37365" t="str">
        <f t="shared" si="583"/>
        <v/>
      </c>
    </row>
    <row r="37366" spans="26:26" x14ac:dyDescent="0.2">
      <c r="Z37366" t="str">
        <f t="shared" si="583"/>
        <v/>
      </c>
    </row>
    <row r="37367" spans="26:26" x14ac:dyDescent="0.2">
      <c r="Z37367" t="str">
        <f t="shared" si="583"/>
        <v/>
      </c>
    </row>
    <row r="37368" spans="26:26" x14ac:dyDescent="0.2">
      <c r="Z37368" t="str">
        <f t="shared" si="583"/>
        <v/>
      </c>
    </row>
    <row r="37369" spans="26:26" x14ac:dyDescent="0.2">
      <c r="Z37369" t="str">
        <f t="shared" si="583"/>
        <v/>
      </c>
    </row>
    <row r="37370" spans="26:26" x14ac:dyDescent="0.2">
      <c r="Z37370" t="str">
        <f t="shared" si="583"/>
        <v/>
      </c>
    </row>
    <row r="37371" spans="26:26" x14ac:dyDescent="0.2">
      <c r="Z37371" t="str">
        <f t="shared" si="583"/>
        <v/>
      </c>
    </row>
    <row r="37372" spans="26:26" x14ac:dyDescent="0.2">
      <c r="Z37372" t="str">
        <f t="shared" si="583"/>
        <v/>
      </c>
    </row>
    <row r="37373" spans="26:26" x14ac:dyDescent="0.2">
      <c r="Z37373" t="str">
        <f t="shared" si="583"/>
        <v/>
      </c>
    </row>
    <row r="37374" spans="26:26" x14ac:dyDescent="0.2">
      <c r="Z37374" t="str">
        <f t="shared" si="583"/>
        <v/>
      </c>
    </row>
    <row r="37375" spans="26:26" x14ac:dyDescent="0.2">
      <c r="Z37375" t="str">
        <f t="shared" si="583"/>
        <v/>
      </c>
    </row>
    <row r="37376" spans="26:26" x14ac:dyDescent="0.2">
      <c r="Z37376" t="str">
        <f t="shared" si="583"/>
        <v/>
      </c>
    </row>
    <row r="37377" spans="26:26" x14ac:dyDescent="0.2">
      <c r="Z37377" t="str">
        <f t="shared" si="583"/>
        <v/>
      </c>
    </row>
    <row r="37378" spans="26:26" x14ac:dyDescent="0.2">
      <c r="Z37378" t="str">
        <f t="shared" si="583"/>
        <v/>
      </c>
    </row>
    <row r="37379" spans="26:26" x14ac:dyDescent="0.2">
      <c r="Z37379" t="str">
        <f t="shared" ref="Z37379:Z37442" si="584">IF(K37379="","",IFERROR(VALUE(TRIM(MID(K37379,FIND(CHAR(167),SUBSTITUTE(K37379,"-",CHAR(167),LEN(K37379)-LEN(SUBSTITUTE(K37379,"-",""))))+1,100))),K37379))</f>
        <v/>
      </c>
    </row>
    <row r="37380" spans="26:26" x14ac:dyDescent="0.2">
      <c r="Z37380" t="str">
        <f t="shared" si="584"/>
        <v/>
      </c>
    </row>
    <row r="37381" spans="26:26" x14ac:dyDescent="0.2">
      <c r="Z37381" t="str">
        <f t="shared" si="584"/>
        <v/>
      </c>
    </row>
    <row r="37382" spans="26:26" x14ac:dyDescent="0.2">
      <c r="Z37382" t="str">
        <f t="shared" si="584"/>
        <v/>
      </c>
    </row>
    <row r="37383" spans="26:26" x14ac:dyDescent="0.2">
      <c r="Z37383" t="str">
        <f t="shared" si="584"/>
        <v/>
      </c>
    </row>
    <row r="37384" spans="26:26" x14ac:dyDescent="0.2">
      <c r="Z37384" t="str">
        <f t="shared" si="584"/>
        <v/>
      </c>
    </row>
    <row r="37385" spans="26:26" x14ac:dyDescent="0.2">
      <c r="Z37385" t="str">
        <f t="shared" si="584"/>
        <v/>
      </c>
    </row>
    <row r="37386" spans="26:26" x14ac:dyDescent="0.2">
      <c r="Z37386" t="str">
        <f t="shared" si="584"/>
        <v/>
      </c>
    </row>
    <row r="37387" spans="26:26" x14ac:dyDescent="0.2">
      <c r="Z37387" t="str">
        <f t="shared" si="584"/>
        <v/>
      </c>
    </row>
    <row r="37388" spans="26:26" x14ac:dyDescent="0.2">
      <c r="Z37388" t="str">
        <f t="shared" si="584"/>
        <v/>
      </c>
    </row>
    <row r="37389" spans="26:26" x14ac:dyDescent="0.2">
      <c r="Z37389" t="str">
        <f t="shared" si="584"/>
        <v/>
      </c>
    </row>
    <row r="37390" spans="26:26" x14ac:dyDescent="0.2">
      <c r="Z37390" t="str">
        <f t="shared" si="584"/>
        <v/>
      </c>
    </row>
    <row r="37391" spans="26:26" x14ac:dyDescent="0.2">
      <c r="Z37391" t="str">
        <f t="shared" si="584"/>
        <v/>
      </c>
    </row>
    <row r="37392" spans="26:26" x14ac:dyDescent="0.2">
      <c r="Z37392" t="str">
        <f t="shared" si="584"/>
        <v/>
      </c>
    </row>
    <row r="37393" spans="26:26" x14ac:dyDescent="0.2">
      <c r="Z37393" t="str">
        <f t="shared" si="584"/>
        <v/>
      </c>
    </row>
    <row r="37394" spans="26:26" x14ac:dyDescent="0.2">
      <c r="Z37394" t="str">
        <f t="shared" si="584"/>
        <v/>
      </c>
    </row>
    <row r="37395" spans="26:26" x14ac:dyDescent="0.2">
      <c r="Z37395" t="str">
        <f t="shared" si="584"/>
        <v/>
      </c>
    </row>
    <row r="37396" spans="26:26" x14ac:dyDescent="0.2">
      <c r="Z37396" t="str">
        <f t="shared" si="584"/>
        <v/>
      </c>
    </row>
    <row r="37397" spans="26:26" x14ac:dyDescent="0.2">
      <c r="Z37397" t="str">
        <f t="shared" si="584"/>
        <v/>
      </c>
    </row>
    <row r="37398" spans="26:26" x14ac:dyDescent="0.2">
      <c r="Z37398" t="str">
        <f t="shared" si="584"/>
        <v/>
      </c>
    </row>
    <row r="37399" spans="26:26" x14ac:dyDescent="0.2">
      <c r="Z37399" t="str">
        <f t="shared" si="584"/>
        <v/>
      </c>
    </row>
    <row r="37400" spans="26:26" x14ac:dyDescent="0.2">
      <c r="Z37400" t="str">
        <f t="shared" si="584"/>
        <v/>
      </c>
    </row>
    <row r="37401" spans="26:26" x14ac:dyDescent="0.2">
      <c r="Z37401" t="str">
        <f t="shared" si="584"/>
        <v/>
      </c>
    </row>
    <row r="37402" spans="26:26" x14ac:dyDescent="0.2">
      <c r="Z37402" t="str">
        <f t="shared" si="584"/>
        <v/>
      </c>
    </row>
    <row r="37403" spans="26:26" x14ac:dyDescent="0.2">
      <c r="Z37403" t="str">
        <f t="shared" si="584"/>
        <v/>
      </c>
    </row>
    <row r="37404" spans="26:26" x14ac:dyDescent="0.2">
      <c r="Z37404" t="str">
        <f t="shared" si="584"/>
        <v/>
      </c>
    </row>
    <row r="37405" spans="26:26" x14ac:dyDescent="0.2">
      <c r="Z37405" t="str">
        <f t="shared" si="584"/>
        <v/>
      </c>
    </row>
    <row r="37406" spans="26:26" x14ac:dyDescent="0.2">
      <c r="Z37406" t="str">
        <f t="shared" si="584"/>
        <v/>
      </c>
    </row>
    <row r="37407" spans="26:26" x14ac:dyDescent="0.2">
      <c r="Z37407" t="str">
        <f t="shared" si="584"/>
        <v/>
      </c>
    </row>
    <row r="37408" spans="26:26" x14ac:dyDescent="0.2">
      <c r="Z37408" t="str">
        <f t="shared" si="584"/>
        <v/>
      </c>
    </row>
    <row r="37409" spans="26:26" x14ac:dyDescent="0.2">
      <c r="Z37409" t="str">
        <f t="shared" si="584"/>
        <v/>
      </c>
    </row>
    <row r="37410" spans="26:26" x14ac:dyDescent="0.2">
      <c r="Z37410" t="str">
        <f t="shared" si="584"/>
        <v/>
      </c>
    </row>
    <row r="37411" spans="26:26" x14ac:dyDescent="0.2">
      <c r="Z37411" t="str">
        <f t="shared" si="584"/>
        <v/>
      </c>
    </row>
    <row r="37412" spans="26:26" x14ac:dyDescent="0.2">
      <c r="Z37412" t="str">
        <f t="shared" si="584"/>
        <v/>
      </c>
    </row>
    <row r="37413" spans="26:26" x14ac:dyDescent="0.2">
      <c r="Z37413" t="str">
        <f t="shared" si="584"/>
        <v/>
      </c>
    </row>
    <row r="37414" spans="26:26" x14ac:dyDescent="0.2">
      <c r="Z37414" t="str">
        <f t="shared" si="584"/>
        <v/>
      </c>
    </row>
    <row r="37415" spans="26:26" x14ac:dyDescent="0.2">
      <c r="Z37415" t="str">
        <f t="shared" si="584"/>
        <v/>
      </c>
    </row>
    <row r="37416" spans="26:26" x14ac:dyDescent="0.2">
      <c r="Z37416" t="str">
        <f t="shared" si="584"/>
        <v/>
      </c>
    </row>
    <row r="37417" spans="26:26" x14ac:dyDescent="0.2">
      <c r="Z37417" t="str">
        <f t="shared" si="584"/>
        <v/>
      </c>
    </row>
    <row r="37418" spans="26:26" x14ac:dyDescent="0.2">
      <c r="Z37418" t="str">
        <f t="shared" si="584"/>
        <v/>
      </c>
    </row>
    <row r="37419" spans="26:26" x14ac:dyDescent="0.2">
      <c r="Z37419" t="str">
        <f t="shared" si="584"/>
        <v/>
      </c>
    </row>
    <row r="37420" spans="26:26" x14ac:dyDescent="0.2">
      <c r="Z37420" t="str">
        <f t="shared" si="584"/>
        <v/>
      </c>
    </row>
    <row r="37421" spans="26:26" x14ac:dyDescent="0.2">
      <c r="Z37421" t="str">
        <f t="shared" si="584"/>
        <v/>
      </c>
    </row>
    <row r="37422" spans="26:26" x14ac:dyDescent="0.2">
      <c r="Z37422" t="str">
        <f t="shared" si="584"/>
        <v/>
      </c>
    </row>
    <row r="37423" spans="26:26" x14ac:dyDescent="0.2">
      <c r="Z37423" t="str">
        <f t="shared" si="584"/>
        <v/>
      </c>
    </row>
    <row r="37424" spans="26:26" x14ac:dyDescent="0.2">
      <c r="Z37424" t="str">
        <f t="shared" si="584"/>
        <v/>
      </c>
    </row>
    <row r="37425" spans="26:26" x14ac:dyDescent="0.2">
      <c r="Z37425" t="str">
        <f t="shared" si="584"/>
        <v/>
      </c>
    </row>
    <row r="37426" spans="26:26" x14ac:dyDescent="0.2">
      <c r="Z37426" t="str">
        <f t="shared" si="584"/>
        <v/>
      </c>
    </row>
    <row r="37427" spans="26:26" x14ac:dyDescent="0.2">
      <c r="Z37427" t="str">
        <f t="shared" si="584"/>
        <v/>
      </c>
    </row>
    <row r="37428" spans="26:26" x14ac:dyDescent="0.2">
      <c r="Z37428" t="str">
        <f t="shared" si="584"/>
        <v/>
      </c>
    </row>
    <row r="37429" spans="26:26" x14ac:dyDescent="0.2">
      <c r="Z37429" t="str">
        <f t="shared" si="584"/>
        <v/>
      </c>
    </row>
    <row r="37430" spans="26:26" x14ac:dyDescent="0.2">
      <c r="Z37430" t="str">
        <f t="shared" si="584"/>
        <v/>
      </c>
    </row>
    <row r="37431" spans="26:26" x14ac:dyDescent="0.2">
      <c r="Z37431" t="str">
        <f t="shared" si="584"/>
        <v/>
      </c>
    </row>
    <row r="37432" spans="26:26" x14ac:dyDescent="0.2">
      <c r="Z37432" t="str">
        <f t="shared" si="584"/>
        <v/>
      </c>
    </row>
    <row r="37433" spans="26:26" x14ac:dyDescent="0.2">
      <c r="Z37433" t="str">
        <f t="shared" si="584"/>
        <v/>
      </c>
    </row>
    <row r="37434" spans="26:26" x14ac:dyDescent="0.2">
      <c r="Z37434" t="str">
        <f t="shared" si="584"/>
        <v/>
      </c>
    </row>
    <row r="37435" spans="26:26" x14ac:dyDescent="0.2">
      <c r="Z37435" t="str">
        <f t="shared" si="584"/>
        <v/>
      </c>
    </row>
    <row r="37436" spans="26:26" x14ac:dyDescent="0.2">
      <c r="Z37436" t="str">
        <f t="shared" si="584"/>
        <v/>
      </c>
    </row>
    <row r="37437" spans="26:26" x14ac:dyDescent="0.2">
      <c r="Z37437" t="str">
        <f t="shared" si="584"/>
        <v/>
      </c>
    </row>
    <row r="37438" spans="26:26" x14ac:dyDescent="0.2">
      <c r="Z37438" t="str">
        <f t="shared" si="584"/>
        <v/>
      </c>
    </row>
    <row r="37439" spans="26:26" x14ac:dyDescent="0.2">
      <c r="Z37439" t="str">
        <f t="shared" si="584"/>
        <v/>
      </c>
    </row>
    <row r="37440" spans="26:26" x14ac:dyDescent="0.2">
      <c r="Z37440" t="str">
        <f t="shared" si="584"/>
        <v/>
      </c>
    </row>
    <row r="37441" spans="26:26" x14ac:dyDescent="0.2">
      <c r="Z37441" t="str">
        <f t="shared" si="584"/>
        <v/>
      </c>
    </row>
    <row r="37442" spans="26:26" x14ac:dyDescent="0.2">
      <c r="Z37442" t="str">
        <f t="shared" si="584"/>
        <v/>
      </c>
    </row>
    <row r="37443" spans="26:26" x14ac:dyDescent="0.2">
      <c r="Z37443" t="str">
        <f t="shared" ref="Z37443:Z37506" si="585">IF(K37443="","",IFERROR(VALUE(TRIM(MID(K37443,FIND(CHAR(167),SUBSTITUTE(K37443,"-",CHAR(167),LEN(K37443)-LEN(SUBSTITUTE(K37443,"-",""))))+1,100))),K37443))</f>
        <v/>
      </c>
    </row>
    <row r="37444" spans="26:26" x14ac:dyDescent="0.2">
      <c r="Z37444" t="str">
        <f t="shared" si="585"/>
        <v/>
      </c>
    </row>
    <row r="37445" spans="26:26" x14ac:dyDescent="0.2">
      <c r="Z37445" t="str">
        <f t="shared" si="585"/>
        <v/>
      </c>
    </row>
    <row r="37446" spans="26:26" x14ac:dyDescent="0.2">
      <c r="Z37446" t="str">
        <f t="shared" si="585"/>
        <v/>
      </c>
    </row>
    <row r="37447" spans="26:26" x14ac:dyDescent="0.2">
      <c r="Z37447" t="str">
        <f t="shared" si="585"/>
        <v/>
      </c>
    </row>
    <row r="37448" spans="26:26" x14ac:dyDescent="0.2">
      <c r="Z37448" t="str">
        <f t="shared" si="585"/>
        <v/>
      </c>
    </row>
    <row r="37449" spans="26:26" x14ac:dyDescent="0.2">
      <c r="Z37449" t="str">
        <f t="shared" si="585"/>
        <v/>
      </c>
    </row>
    <row r="37450" spans="26:26" x14ac:dyDescent="0.2">
      <c r="Z37450" t="str">
        <f t="shared" si="585"/>
        <v/>
      </c>
    </row>
    <row r="37451" spans="26:26" x14ac:dyDescent="0.2">
      <c r="Z37451" t="str">
        <f t="shared" si="585"/>
        <v/>
      </c>
    </row>
    <row r="37452" spans="26:26" x14ac:dyDescent="0.2">
      <c r="Z37452" t="str">
        <f t="shared" si="585"/>
        <v/>
      </c>
    </row>
    <row r="37453" spans="26:26" x14ac:dyDescent="0.2">
      <c r="Z37453" t="str">
        <f t="shared" si="585"/>
        <v/>
      </c>
    </row>
    <row r="37454" spans="26:26" x14ac:dyDescent="0.2">
      <c r="Z37454" t="str">
        <f t="shared" si="585"/>
        <v/>
      </c>
    </row>
    <row r="37455" spans="26:26" x14ac:dyDescent="0.2">
      <c r="Z37455" t="str">
        <f t="shared" si="585"/>
        <v/>
      </c>
    </row>
    <row r="37456" spans="26:26" x14ac:dyDescent="0.2">
      <c r="Z37456" t="str">
        <f t="shared" si="585"/>
        <v/>
      </c>
    </row>
    <row r="37457" spans="26:26" x14ac:dyDescent="0.2">
      <c r="Z37457" t="str">
        <f t="shared" si="585"/>
        <v/>
      </c>
    </row>
    <row r="37458" spans="26:26" x14ac:dyDescent="0.2">
      <c r="Z37458" t="str">
        <f t="shared" si="585"/>
        <v/>
      </c>
    </row>
    <row r="37459" spans="26:26" x14ac:dyDescent="0.2">
      <c r="Z37459" t="str">
        <f t="shared" si="585"/>
        <v/>
      </c>
    </row>
    <row r="37460" spans="26:26" x14ac:dyDescent="0.2">
      <c r="Z37460" t="str">
        <f t="shared" si="585"/>
        <v/>
      </c>
    </row>
    <row r="37461" spans="26:26" x14ac:dyDescent="0.2">
      <c r="Z37461" t="str">
        <f t="shared" si="585"/>
        <v/>
      </c>
    </row>
    <row r="37462" spans="26:26" x14ac:dyDescent="0.2">
      <c r="Z37462" t="str">
        <f t="shared" si="585"/>
        <v/>
      </c>
    </row>
    <row r="37463" spans="26:26" x14ac:dyDescent="0.2">
      <c r="Z37463" t="str">
        <f t="shared" si="585"/>
        <v/>
      </c>
    </row>
    <row r="37464" spans="26:26" x14ac:dyDescent="0.2">
      <c r="Z37464" t="str">
        <f t="shared" si="585"/>
        <v/>
      </c>
    </row>
    <row r="37465" spans="26:26" x14ac:dyDescent="0.2">
      <c r="Z37465" t="str">
        <f t="shared" si="585"/>
        <v/>
      </c>
    </row>
    <row r="37466" spans="26:26" x14ac:dyDescent="0.2">
      <c r="Z37466" t="str">
        <f t="shared" si="585"/>
        <v/>
      </c>
    </row>
    <row r="37467" spans="26:26" x14ac:dyDescent="0.2">
      <c r="Z37467" t="str">
        <f t="shared" si="585"/>
        <v/>
      </c>
    </row>
    <row r="37468" spans="26:26" x14ac:dyDescent="0.2">
      <c r="Z37468" t="str">
        <f t="shared" si="585"/>
        <v/>
      </c>
    </row>
    <row r="37469" spans="26:26" x14ac:dyDescent="0.2">
      <c r="Z37469" t="str">
        <f t="shared" si="585"/>
        <v/>
      </c>
    </row>
    <row r="37470" spans="26:26" x14ac:dyDescent="0.2">
      <c r="Z37470" t="str">
        <f t="shared" si="585"/>
        <v/>
      </c>
    </row>
    <row r="37471" spans="26:26" x14ac:dyDescent="0.2">
      <c r="Z37471" t="str">
        <f t="shared" si="585"/>
        <v/>
      </c>
    </row>
    <row r="37472" spans="26:26" x14ac:dyDescent="0.2">
      <c r="Z37472" t="str">
        <f t="shared" si="585"/>
        <v/>
      </c>
    </row>
    <row r="37473" spans="26:26" x14ac:dyDescent="0.2">
      <c r="Z37473" t="str">
        <f t="shared" si="585"/>
        <v/>
      </c>
    </row>
    <row r="37474" spans="26:26" x14ac:dyDescent="0.2">
      <c r="Z37474" t="str">
        <f t="shared" si="585"/>
        <v/>
      </c>
    </row>
    <row r="37475" spans="26:26" x14ac:dyDescent="0.2">
      <c r="Z37475" t="str">
        <f t="shared" si="585"/>
        <v/>
      </c>
    </row>
    <row r="37476" spans="26:26" x14ac:dyDescent="0.2">
      <c r="Z37476" t="str">
        <f t="shared" si="585"/>
        <v/>
      </c>
    </row>
    <row r="37477" spans="26:26" x14ac:dyDescent="0.2">
      <c r="Z37477" t="str">
        <f t="shared" si="585"/>
        <v/>
      </c>
    </row>
    <row r="37478" spans="26:26" x14ac:dyDescent="0.2">
      <c r="Z37478" t="str">
        <f t="shared" si="585"/>
        <v/>
      </c>
    </row>
    <row r="37479" spans="26:26" x14ac:dyDescent="0.2">
      <c r="Z37479" t="str">
        <f t="shared" si="585"/>
        <v/>
      </c>
    </row>
    <row r="37480" spans="26:26" x14ac:dyDescent="0.2">
      <c r="Z37480" t="str">
        <f t="shared" si="585"/>
        <v/>
      </c>
    </row>
    <row r="37481" spans="26:26" x14ac:dyDescent="0.2">
      <c r="Z37481" t="str">
        <f t="shared" si="585"/>
        <v/>
      </c>
    </row>
    <row r="37482" spans="26:26" x14ac:dyDescent="0.2">
      <c r="Z37482" t="str">
        <f t="shared" si="585"/>
        <v/>
      </c>
    </row>
    <row r="37483" spans="26:26" x14ac:dyDescent="0.2">
      <c r="Z37483" t="str">
        <f t="shared" si="585"/>
        <v/>
      </c>
    </row>
    <row r="37484" spans="26:26" x14ac:dyDescent="0.2">
      <c r="Z37484" t="str">
        <f t="shared" si="585"/>
        <v/>
      </c>
    </row>
    <row r="37485" spans="26:26" x14ac:dyDescent="0.2">
      <c r="Z37485" t="str">
        <f t="shared" si="585"/>
        <v/>
      </c>
    </row>
    <row r="37486" spans="26:26" x14ac:dyDescent="0.2">
      <c r="Z37486" t="str">
        <f t="shared" si="585"/>
        <v/>
      </c>
    </row>
    <row r="37487" spans="26:26" x14ac:dyDescent="0.2">
      <c r="Z37487" t="str">
        <f t="shared" si="585"/>
        <v/>
      </c>
    </row>
    <row r="37488" spans="26:26" x14ac:dyDescent="0.2">
      <c r="Z37488" t="str">
        <f t="shared" si="585"/>
        <v/>
      </c>
    </row>
    <row r="37489" spans="26:26" x14ac:dyDescent="0.2">
      <c r="Z37489" t="str">
        <f t="shared" si="585"/>
        <v/>
      </c>
    </row>
    <row r="37490" spans="26:26" x14ac:dyDescent="0.2">
      <c r="Z37490" t="str">
        <f t="shared" si="585"/>
        <v/>
      </c>
    </row>
    <row r="37491" spans="26:26" x14ac:dyDescent="0.2">
      <c r="Z37491" t="str">
        <f t="shared" si="585"/>
        <v/>
      </c>
    </row>
    <row r="37492" spans="26:26" x14ac:dyDescent="0.2">
      <c r="Z37492" t="str">
        <f t="shared" si="585"/>
        <v/>
      </c>
    </row>
    <row r="37493" spans="26:26" x14ac:dyDescent="0.2">
      <c r="Z37493" t="str">
        <f t="shared" si="585"/>
        <v/>
      </c>
    </row>
    <row r="37494" spans="26:26" x14ac:dyDescent="0.2">
      <c r="Z37494" t="str">
        <f t="shared" si="585"/>
        <v/>
      </c>
    </row>
    <row r="37495" spans="26:26" x14ac:dyDescent="0.2">
      <c r="Z37495" t="str">
        <f t="shared" si="585"/>
        <v/>
      </c>
    </row>
    <row r="37496" spans="26:26" x14ac:dyDescent="0.2">
      <c r="Z37496" t="str">
        <f t="shared" si="585"/>
        <v/>
      </c>
    </row>
    <row r="37497" spans="26:26" x14ac:dyDescent="0.2">
      <c r="Z37497" t="str">
        <f t="shared" si="585"/>
        <v/>
      </c>
    </row>
    <row r="37498" spans="26:26" x14ac:dyDescent="0.2">
      <c r="Z37498" t="str">
        <f t="shared" si="585"/>
        <v/>
      </c>
    </row>
    <row r="37499" spans="26:26" x14ac:dyDescent="0.2">
      <c r="Z37499" t="str">
        <f t="shared" si="585"/>
        <v/>
      </c>
    </row>
    <row r="37500" spans="26:26" x14ac:dyDescent="0.2">
      <c r="Z37500" t="str">
        <f t="shared" si="585"/>
        <v/>
      </c>
    </row>
    <row r="37501" spans="26:26" x14ac:dyDescent="0.2">
      <c r="Z37501" t="str">
        <f t="shared" si="585"/>
        <v/>
      </c>
    </row>
    <row r="37502" spans="26:26" x14ac:dyDescent="0.2">
      <c r="Z37502" t="str">
        <f t="shared" si="585"/>
        <v/>
      </c>
    </row>
    <row r="37503" spans="26:26" x14ac:dyDescent="0.2">
      <c r="Z37503" t="str">
        <f t="shared" si="585"/>
        <v/>
      </c>
    </row>
    <row r="37504" spans="26:26" x14ac:dyDescent="0.2">
      <c r="Z37504" t="str">
        <f t="shared" si="585"/>
        <v/>
      </c>
    </row>
    <row r="37505" spans="26:26" x14ac:dyDescent="0.2">
      <c r="Z37505" t="str">
        <f t="shared" si="585"/>
        <v/>
      </c>
    </row>
    <row r="37506" spans="26:26" x14ac:dyDescent="0.2">
      <c r="Z37506" t="str">
        <f t="shared" si="585"/>
        <v/>
      </c>
    </row>
    <row r="37507" spans="26:26" x14ac:dyDescent="0.2">
      <c r="Z37507" t="str">
        <f t="shared" ref="Z37507:Z37570" si="586">IF(K37507="","",IFERROR(VALUE(TRIM(MID(K37507,FIND(CHAR(167),SUBSTITUTE(K37507,"-",CHAR(167),LEN(K37507)-LEN(SUBSTITUTE(K37507,"-",""))))+1,100))),K37507))</f>
        <v/>
      </c>
    </row>
    <row r="37508" spans="26:26" x14ac:dyDescent="0.2">
      <c r="Z37508" t="str">
        <f t="shared" si="586"/>
        <v/>
      </c>
    </row>
    <row r="37509" spans="26:26" x14ac:dyDescent="0.2">
      <c r="Z37509" t="str">
        <f t="shared" si="586"/>
        <v/>
      </c>
    </row>
    <row r="37510" spans="26:26" x14ac:dyDescent="0.2">
      <c r="Z37510" t="str">
        <f t="shared" si="586"/>
        <v/>
      </c>
    </row>
    <row r="37511" spans="26:26" x14ac:dyDescent="0.2">
      <c r="Z37511" t="str">
        <f t="shared" si="586"/>
        <v/>
      </c>
    </row>
    <row r="37512" spans="26:26" x14ac:dyDescent="0.2">
      <c r="Z37512" t="str">
        <f t="shared" si="586"/>
        <v/>
      </c>
    </row>
    <row r="37513" spans="26:26" x14ac:dyDescent="0.2">
      <c r="Z37513" t="str">
        <f t="shared" si="586"/>
        <v/>
      </c>
    </row>
    <row r="37514" spans="26:26" x14ac:dyDescent="0.2">
      <c r="Z37514" t="str">
        <f t="shared" si="586"/>
        <v/>
      </c>
    </row>
    <row r="37515" spans="26:26" x14ac:dyDescent="0.2">
      <c r="Z37515" t="str">
        <f t="shared" si="586"/>
        <v/>
      </c>
    </row>
    <row r="37516" spans="26:26" x14ac:dyDescent="0.2">
      <c r="Z37516" t="str">
        <f t="shared" si="586"/>
        <v/>
      </c>
    </row>
    <row r="37517" spans="26:26" x14ac:dyDescent="0.2">
      <c r="Z37517" t="str">
        <f t="shared" si="586"/>
        <v/>
      </c>
    </row>
    <row r="37518" spans="26:26" x14ac:dyDescent="0.2">
      <c r="Z37518" t="str">
        <f t="shared" si="586"/>
        <v/>
      </c>
    </row>
    <row r="37519" spans="26:26" x14ac:dyDescent="0.2">
      <c r="Z37519" t="str">
        <f t="shared" si="586"/>
        <v/>
      </c>
    </row>
    <row r="37520" spans="26:26" x14ac:dyDescent="0.2">
      <c r="Z37520" t="str">
        <f t="shared" si="586"/>
        <v/>
      </c>
    </row>
    <row r="37521" spans="26:26" x14ac:dyDescent="0.2">
      <c r="Z37521" t="str">
        <f t="shared" si="586"/>
        <v/>
      </c>
    </row>
    <row r="37522" spans="26:26" x14ac:dyDescent="0.2">
      <c r="Z37522" t="str">
        <f t="shared" si="586"/>
        <v/>
      </c>
    </row>
    <row r="37523" spans="26:26" x14ac:dyDescent="0.2">
      <c r="Z37523" t="str">
        <f t="shared" si="586"/>
        <v/>
      </c>
    </row>
    <row r="37524" spans="26:26" x14ac:dyDescent="0.2">
      <c r="Z37524" t="str">
        <f t="shared" si="586"/>
        <v/>
      </c>
    </row>
    <row r="37525" spans="26:26" x14ac:dyDescent="0.2">
      <c r="Z37525" t="str">
        <f t="shared" si="586"/>
        <v/>
      </c>
    </row>
    <row r="37526" spans="26:26" x14ac:dyDescent="0.2">
      <c r="Z37526" t="str">
        <f t="shared" si="586"/>
        <v/>
      </c>
    </row>
    <row r="37527" spans="26:26" x14ac:dyDescent="0.2">
      <c r="Z37527" t="str">
        <f t="shared" si="586"/>
        <v/>
      </c>
    </row>
    <row r="37528" spans="26:26" x14ac:dyDescent="0.2">
      <c r="Z37528" t="str">
        <f t="shared" si="586"/>
        <v/>
      </c>
    </row>
    <row r="37529" spans="26:26" x14ac:dyDescent="0.2">
      <c r="Z37529" t="str">
        <f t="shared" si="586"/>
        <v/>
      </c>
    </row>
    <row r="37530" spans="26:26" x14ac:dyDescent="0.2">
      <c r="Z37530" t="str">
        <f t="shared" si="586"/>
        <v/>
      </c>
    </row>
    <row r="37531" spans="26:26" x14ac:dyDescent="0.2">
      <c r="Z37531" t="str">
        <f t="shared" si="586"/>
        <v/>
      </c>
    </row>
    <row r="37532" spans="26:26" x14ac:dyDescent="0.2">
      <c r="Z37532" t="str">
        <f t="shared" si="586"/>
        <v/>
      </c>
    </row>
    <row r="37533" spans="26:26" x14ac:dyDescent="0.2">
      <c r="Z37533" t="str">
        <f t="shared" si="586"/>
        <v/>
      </c>
    </row>
    <row r="37534" spans="26:26" x14ac:dyDescent="0.2">
      <c r="Z37534" t="str">
        <f t="shared" si="586"/>
        <v/>
      </c>
    </row>
    <row r="37535" spans="26:26" x14ac:dyDescent="0.2">
      <c r="Z37535" t="str">
        <f t="shared" si="586"/>
        <v/>
      </c>
    </row>
    <row r="37536" spans="26:26" x14ac:dyDescent="0.2">
      <c r="Z37536" t="str">
        <f t="shared" si="586"/>
        <v/>
      </c>
    </row>
    <row r="37537" spans="26:26" x14ac:dyDescent="0.2">
      <c r="Z37537" t="str">
        <f t="shared" si="586"/>
        <v/>
      </c>
    </row>
    <row r="37538" spans="26:26" x14ac:dyDescent="0.2">
      <c r="Z37538" t="str">
        <f t="shared" si="586"/>
        <v/>
      </c>
    </row>
    <row r="37539" spans="26:26" x14ac:dyDescent="0.2">
      <c r="Z37539" t="str">
        <f t="shared" si="586"/>
        <v/>
      </c>
    </row>
    <row r="37540" spans="26:26" x14ac:dyDescent="0.2">
      <c r="Z37540" t="str">
        <f t="shared" si="586"/>
        <v/>
      </c>
    </row>
    <row r="37541" spans="26:26" x14ac:dyDescent="0.2">
      <c r="Z37541" t="str">
        <f t="shared" si="586"/>
        <v/>
      </c>
    </row>
    <row r="37542" spans="26:26" x14ac:dyDescent="0.2">
      <c r="Z37542" t="str">
        <f t="shared" si="586"/>
        <v/>
      </c>
    </row>
    <row r="37543" spans="26:26" x14ac:dyDescent="0.2">
      <c r="Z37543" t="str">
        <f t="shared" si="586"/>
        <v/>
      </c>
    </row>
    <row r="37544" spans="26:26" x14ac:dyDescent="0.2">
      <c r="Z37544" t="str">
        <f t="shared" si="586"/>
        <v/>
      </c>
    </row>
    <row r="37545" spans="26:26" x14ac:dyDescent="0.2">
      <c r="Z37545" t="str">
        <f t="shared" si="586"/>
        <v/>
      </c>
    </row>
    <row r="37546" spans="26:26" x14ac:dyDescent="0.2">
      <c r="Z37546" t="str">
        <f t="shared" si="586"/>
        <v/>
      </c>
    </row>
    <row r="37547" spans="26:26" x14ac:dyDescent="0.2">
      <c r="Z37547" t="str">
        <f t="shared" si="586"/>
        <v/>
      </c>
    </row>
    <row r="37548" spans="26:26" x14ac:dyDescent="0.2">
      <c r="Z37548" t="str">
        <f t="shared" si="586"/>
        <v/>
      </c>
    </row>
    <row r="37549" spans="26:26" x14ac:dyDescent="0.2">
      <c r="Z37549" t="str">
        <f t="shared" si="586"/>
        <v/>
      </c>
    </row>
    <row r="37550" spans="26:26" x14ac:dyDescent="0.2">
      <c r="Z37550" t="str">
        <f t="shared" si="586"/>
        <v/>
      </c>
    </row>
    <row r="37551" spans="26:26" x14ac:dyDescent="0.2">
      <c r="Z37551" t="str">
        <f t="shared" si="586"/>
        <v/>
      </c>
    </row>
    <row r="37552" spans="26:26" x14ac:dyDescent="0.2">
      <c r="Z37552" t="str">
        <f t="shared" si="586"/>
        <v/>
      </c>
    </row>
    <row r="37553" spans="26:26" x14ac:dyDescent="0.2">
      <c r="Z37553" t="str">
        <f t="shared" si="586"/>
        <v/>
      </c>
    </row>
    <row r="37554" spans="26:26" x14ac:dyDescent="0.2">
      <c r="Z37554" t="str">
        <f t="shared" si="586"/>
        <v/>
      </c>
    </row>
    <row r="37555" spans="26:26" x14ac:dyDescent="0.2">
      <c r="Z37555" t="str">
        <f t="shared" si="586"/>
        <v/>
      </c>
    </row>
    <row r="37556" spans="26:26" x14ac:dyDescent="0.2">
      <c r="Z37556" t="str">
        <f t="shared" si="586"/>
        <v/>
      </c>
    </row>
    <row r="37557" spans="26:26" x14ac:dyDescent="0.2">
      <c r="Z37557" t="str">
        <f t="shared" si="586"/>
        <v/>
      </c>
    </row>
    <row r="37558" spans="26:26" x14ac:dyDescent="0.2">
      <c r="Z37558" t="str">
        <f t="shared" si="586"/>
        <v/>
      </c>
    </row>
    <row r="37559" spans="26:26" x14ac:dyDescent="0.2">
      <c r="Z37559" t="str">
        <f t="shared" si="586"/>
        <v/>
      </c>
    </row>
    <row r="37560" spans="26:26" x14ac:dyDescent="0.2">
      <c r="Z37560" t="str">
        <f t="shared" si="586"/>
        <v/>
      </c>
    </row>
    <row r="37561" spans="26:26" x14ac:dyDescent="0.2">
      <c r="Z37561" t="str">
        <f t="shared" si="586"/>
        <v/>
      </c>
    </row>
    <row r="37562" spans="26:26" x14ac:dyDescent="0.2">
      <c r="Z37562" t="str">
        <f t="shared" si="586"/>
        <v/>
      </c>
    </row>
    <row r="37563" spans="26:26" x14ac:dyDescent="0.2">
      <c r="Z37563" t="str">
        <f t="shared" si="586"/>
        <v/>
      </c>
    </row>
    <row r="37564" spans="26:26" x14ac:dyDescent="0.2">
      <c r="Z37564" t="str">
        <f t="shared" si="586"/>
        <v/>
      </c>
    </row>
    <row r="37565" spans="26:26" x14ac:dyDescent="0.2">
      <c r="Z37565" t="str">
        <f t="shared" si="586"/>
        <v/>
      </c>
    </row>
    <row r="37566" spans="26:26" x14ac:dyDescent="0.2">
      <c r="Z37566" t="str">
        <f t="shared" si="586"/>
        <v/>
      </c>
    </row>
    <row r="37567" spans="26:26" x14ac:dyDescent="0.2">
      <c r="Z37567" t="str">
        <f t="shared" si="586"/>
        <v/>
      </c>
    </row>
    <row r="37568" spans="26:26" x14ac:dyDescent="0.2">
      <c r="Z37568" t="str">
        <f t="shared" si="586"/>
        <v/>
      </c>
    </row>
    <row r="37569" spans="26:26" x14ac:dyDescent="0.2">
      <c r="Z37569" t="str">
        <f t="shared" si="586"/>
        <v/>
      </c>
    </row>
    <row r="37570" spans="26:26" x14ac:dyDescent="0.2">
      <c r="Z37570" t="str">
        <f t="shared" si="586"/>
        <v/>
      </c>
    </row>
    <row r="37571" spans="26:26" x14ac:dyDescent="0.2">
      <c r="Z37571" t="str">
        <f t="shared" ref="Z37571:Z37634" si="587">IF(K37571="","",IFERROR(VALUE(TRIM(MID(K37571,FIND(CHAR(167),SUBSTITUTE(K37571,"-",CHAR(167),LEN(K37571)-LEN(SUBSTITUTE(K37571,"-",""))))+1,100))),K37571))</f>
        <v/>
      </c>
    </row>
    <row r="37572" spans="26:26" x14ac:dyDescent="0.2">
      <c r="Z37572" t="str">
        <f t="shared" si="587"/>
        <v/>
      </c>
    </row>
    <row r="37573" spans="26:26" x14ac:dyDescent="0.2">
      <c r="Z37573" t="str">
        <f t="shared" si="587"/>
        <v/>
      </c>
    </row>
    <row r="37574" spans="26:26" x14ac:dyDescent="0.2">
      <c r="Z37574" t="str">
        <f t="shared" si="587"/>
        <v/>
      </c>
    </row>
    <row r="37575" spans="26:26" x14ac:dyDescent="0.2">
      <c r="Z37575" t="str">
        <f t="shared" si="587"/>
        <v/>
      </c>
    </row>
    <row r="37576" spans="26:26" x14ac:dyDescent="0.2">
      <c r="Z37576" t="str">
        <f t="shared" si="587"/>
        <v/>
      </c>
    </row>
    <row r="37577" spans="26:26" x14ac:dyDescent="0.2">
      <c r="Z37577" t="str">
        <f t="shared" si="587"/>
        <v/>
      </c>
    </row>
    <row r="37578" spans="26:26" x14ac:dyDescent="0.2">
      <c r="Z37578" t="str">
        <f t="shared" si="587"/>
        <v/>
      </c>
    </row>
    <row r="37579" spans="26:26" x14ac:dyDescent="0.2">
      <c r="Z37579" t="str">
        <f t="shared" si="587"/>
        <v/>
      </c>
    </row>
    <row r="37580" spans="26:26" x14ac:dyDescent="0.2">
      <c r="Z37580" t="str">
        <f t="shared" si="587"/>
        <v/>
      </c>
    </row>
    <row r="37581" spans="26:26" x14ac:dyDescent="0.2">
      <c r="Z37581" t="str">
        <f t="shared" si="587"/>
        <v/>
      </c>
    </row>
    <row r="37582" spans="26:26" x14ac:dyDescent="0.2">
      <c r="Z37582" t="str">
        <f t="shared" si="587"/>
        <v/>
      </c>
    </row>
    <row r="37583" spans="26:26" x14ac:dyDescent="0.2">
      <c r="Z37583" t="str">
        <f t="shared" si="587"/>
        <v/>
      </c>
    </row>
    <row r="37584" spans="26:26" x14ac:dyDescent="0.2">
      <c r="Z37584" t="str">
        <f t="shared" si="587"/>
        <v/>
      </c>
    </row>
    <row r="37585" spans="26:26" x14ac:dyDescent="0.2">
      <c r="Z37585" t="str">
        <f t="shared" si="587"/>
        <v/>
      </c>
    </row>
    <row r="37586" spans="26:26" x14ac:dyDescent="0.2">
      <c r="Z37586" t="str">
        <f t="shared" si="587"/>
        <v/>
      </c>
    </row>
    <row r="37587" spans="26:26" x14ac:dyDescent="0.2">
      <c r="Z37587" t="str">
        <f t="shared" si="587"/>
        <v/>
      </c>
    </row>
    <row r="37588" spans="26:26" x14ac:dyDescent="0.2">
      <c r="Z37588" t="str">
        <f t="shared" si="587"/>
        <v/>
      </c>
    </row>
    <row r="37589" spans="26:26" x14ac:dyDescent="0.2">
      <c r="Z37589" t="str">
        <f t="shared" si="587"/>
        <v/>
      </c>
    </row>
    <row r="37590" spans="26:26" x14ac:dyDescent="0.2">
      <c r="Z37590" t="str">
        <f t="shared" si="587"/>
        <v/>
      </c>
    </row>
    <row r="37591" spans="26:26" x14ac:dyDescent="0.2">
      <c r="Z37591" t="str">
        <f t="shared" si="587"/>
        <v/>
      </c>
    </row>
    <row r="37592" spans="26:26" x14ac:dyDescent="0.2">
      <c r="Z37592" t="str">
        <f t="shared" si="587"/>
        <v/>
      </c>
    </row>
    <row r="37593" spans="26:26" x14ac:dyDescent="0.2">
      <c r="Z37593" t="str">
        <f t="shared" si="587"/>
        <v/>
      </c>
    </row>
    <row r="37594" spans="26:26" x14ac:dyDescent="0.2">
      <c r="Z37594" t="str">
        <f t="shared" si="587"/>
        <v/>
      </c>
    </row>
    <row r="37595" spans="26:26" x14ac:dyDescent="0.2">
      <c r="Z37595" t="str">
        <f t="shared" si="587"/>
        <v/>
      </c>
    </row>
    <row r="37596" spans="26:26" x14ac:dyDescent="0.2">
      <c r="Z37596" t="str">
        <f t="shared" si="587"/>
        <v/>
      </c>
    </row>
    <row r="37597" spans="26:26" x14ac:dyDescent="0.2">
      <c r="Z37597" t="str">
        <f t="shared" si="587"/>
        <v/>
      </c>
    </row>
    <row r="37598" spans="26:26" x14ac:dyDescent="0.2">
      <c r="Z37598" t="str">
        <f t="shared" si="587"/>
        <v/>
      </c>
    </row>
    <row r="37599" spans="26:26" x14ac:dyDescent="0.2">
      <c r="Z37599" t="str">
        <f t="shared" si="587"/>
        <v/>
      </c>
    </row>
    <row r="37600" spans="26:26" x14ac:dyDescent="0.2">
      <c r="Z37600" t="str">
        <f t="shared" si="587"/>
        <v/>
      </c>
    </row>
    <row r="37601" spans="26:26" x14ac:dyDescent="0.2">
      <c r="Z37601" t="str">
        <f t="shared" si="587"/>
        <v/>
      </c>
    </row>
    <row r="37602" spans="26:26" x14ac:dyDescent="0.2">
      <c r="Z37602" t="str">
        <f t="shared" si="587"/>
        <v/>
      </c>
    </row>
    <row r="37603" spans="26:26" x14ac:dyDescent="0.2">
      <c r="Z37603" t="str">
        <f t="shared" si="587"/>
        <v/>
      </c>
    </row>
    <row r="37604" spans="26:26" x14ac:dyDescent="0.2">
      <c r="Z37604" t="str">
        <f t="shared" si="587"/>
        <v/>
      </c>
    </row>
    <row r="37605" spans="26:26" x14ac:dyDescent="0.2">
      <c r="Z37605" t="str">
        <f t="shared" si="587"/>
        <v/>
      </c>
    </row>
    <row r="37606" spans="26:26" x14ac:dyDescent="0.2">
      <c r="Z37606" t="str">
        <f t="shared" si="587"/>
        <v/>
      </c>
    </row>
    <row r="37607" spans="26:26" x14ac:dyDescent="0.2">
      <c r="Z37607" t="str">
        <f t="shared" si="587"/>
        <v/>
      </c>
    </row>
    <row r="37608" spans="26:26" x14ac:dyDescent="0.2">
      <c r="Z37608" t="str">
        <f t="shared" si="587"/>
        <v/>
      </c>
    </row>
    <row r="37609" spans="26:26" x14ac:dyDescent="0.2">
      <c r="Z37609" t="str">
        <f t="shared" si="587"/>
        <v/>
      </c>
    </row>
    <row r="37610" spans="26:26" x14ac:dyDescent="0.2">
      <c r="Z37610" t="str">
        <f t="shared" si="587"/>
        <v/>
      </c>
    </row>
    <row r="37611" spans="26:26" x14ac:dyDescent="0.2">
      <c r="Z37611" t="str">
        <f t="shared" si="587"/>
        <v/>
      </c>
    </row>
    <row r="37612" spans="26:26" x14ac:dyDescent="0.2">
      <c r="Z37612" t="str">
        <f t="shared" si="587"/>
        <v/>
      </c>
    </row>
    <row r="37613" spans="26:26" x14ac:dyDescent="0.2">
      <c r="Z37613" t="str">
        <f t="shared" si="587"/>
        <v/>
      </c>
    </row>
    <row r="37614" spans="26:26" x14ac:dyDescent="0.2">
      <c r="Z37614" t="str">
        <f t="shared" si="587"/>
        <v/>
      </c>
    </row>
    <row r="37615" spans="26:26" x14ac:dyDescent="0.2">
      <c r="Z37615" t="str">
        <f t="shared" si="587"/>
        <v/>
      </c>
    </row>
    <row r="37616" spans="26:26" x14ac:dyDescent="0.2">
      <c r="Z37616" t="str">
        <f t="shared" si="587"/>
        <v/>
      </c>
    </row>
    <row r="37617" spans="26:26" x14ac:dyDescent="0.2">
      <c r="Z37617" t="str">
        <f t="shared" si="587"/>
        <v/>
      </c>
    </row>
    <row r="37618" spans="26:26" x14ac:dyDescent="0.2">
      <c r="Z37618" t="str">
        <f t="shared" si="587"/>
        <v/>
      </c>
    </row>
    <row r="37619" spans="26:26" x14ac:dyDescent="0.2">
      <c r="Z37619" t="str">
        <f t="shared" si="587"/>
        <v/>
      </c>
    </row>
    <row r="37620" spans="26:26" x14ac:dyDescent="0.2">
      <c r="Z37620" t="str">
        <f t="shared" si="587"/>
        <v/>
      </c>
    </row>
    <row r="37621" spans="26:26" x14ac:dyDescent="0.2">
      <c r="Z37621" t="str">
        <f t="shared" si="587"/>
        <v/>
      </c>
    </row>
    <row r="37622" spans="26:26" x14ac:dyDescent="0.2">
      <c r="Z37622" t="str">
        <f t="shared" si="587"/>
        <v/>
      </c>
    </row>
    <row r="37623" spans="26:26" x14ac:dyDescent="0.2">
      <c r="Z37623" t="str">
        <f t="shared" si="587"/>
        <v/>
      </c>
    </row>
    <row r="37624" spans="26:26" x14ac:dyDescent="0.2">
      <c r="Z37624" t="str">
        <f t="shared" si="587"/>
        <v/>
      </c>
    </row>
    <row r="37625" spans="26:26" x14ac:dyDescent="0.2">
      <c r="Z37625" t="str">
        <f t="shared" si="587"/>
        <v/>
      </c>
    </row>
    <row r="37626" spans="26:26" x14ac:dyDescent="0.2">
      <c r="Z37626" t="str">
        <f t="shared" si="587"/>
        <v/>
      </c>
    </row>
    <row r="37627" spans="26:26" x14ac:dyDescent="0.2">
      <c r="Z37627" t="str">
        <f t="shared" si="587"/>
        <v/>
      </c>
    </row>
    <row r="37628" spans="26:26" x14ac:dyDescent="0.2">
      <c r="Z37628" t="str">
        <f t="shared" si="587"/>
        <v/>
      </c>
    </row>
    <row r="37629" spans="26:26" x14ac:dyDescent="0.2">
      <c r="Z37629" t="str">
        <f t="shared" si="587"/>
        <v/>
      </c>
    </row>
    <row r="37630" spans="26:26" x14ac:dyDescent="0.2">
      <c r="Z37630" t="str">
        <f t="shared" si="587"/>
        <v/>
      </c>
    </row>
    <row r="37631" spans="26:26" x14ac:dyDescent="0.2">
      <c r="Z37631" t="str">
        <f t="shared" si="587"/>
        <v/>
      </c>
    </row>
    <row r="37632" spans="26:26" x14ac:dyDescent="0.2">
      <c r="Z37632" t="str">
        <f t="shared" si="587"/>
        <v/>
      </c>
    </row>
    <row r="37633" spans="26:26" x14ac:dyDescent="0.2">
      <c r="Z37633" t="str">
        <f t="shared" si="587"/>
        <v/>
      </c>
    </row>
    <row r="37634" spans="26:26" x14ac:dyDescent="0.2">
      <c r="Z37634" t="str">
        <f t="shared" si="587"/>
        <v/>
      </c>
    </row>
    <row r="37635" spans="26:26" x14ac:dyDescent="0.2">
      <c r="Z37635" t="str">
        <f t="shared" ref="Z37635:Z37698" si="588">IF(K37635="","",IFERROR(VALUE(TRIM(MID(K37635,FIND(CHAR(167),SUBSTITUTE(K37635,"-",CHAR(167),LEN(K37635)-LEN(SUBSTITUTE(K37635,"-",""))))+1,100))),K37635))</f>
        <v/>
      </c>
    </row>
    <row r="37636" spans="26:26" x14ac:dyDescent="0.2">
      <c r="Z37636" t="str">
        <f t="shared" si="588"/>
        <v/>
      </c>
    </row>
    <row r="37637" spans="26:26" x14ac:dyDescent="0.2">
      <c r="Z37637" t="str">
        <f t="shared" si="588"/>
        <v/>
      </c>
    </row>
    <row r="37638" spans="26:26" x14ac:dyDescent="0.2">
      <c r="Z37638" t="str">
        <f t="shared" si="588"/>
        <v/>
      </c>
    </row>
    <row r="37639" spans="26:26" x14ac:dyDescent="0.2">
      <c r="Z37639" t="str">
        <f t="shared" si="588"/>
        <v/>
      </c>
    </row>
    <row r="37640" spans="26:26" x14ac:dyDescent="0.2">
      <c r="Z37640" t="str">
        <f t="shared" si="588"/>
        <v/>
      </c>
    </row>
    <row r="37641" spans="26:26" x14ac:dyDescent="0.2">
      <c r="Z37641" t="str">
        <f t="shared" si="588"/>
        <v/>
      </c>
    </row>
    <row r="37642" spans="26:26" x14ac:dyDescent="0.2">
      <c r="Z37642" t="str">
        <f t="shared" si="588"/>
        <v/>
      </c>
    </row>
    <row r="37643" spans="26:26" x14ac:dyDescent="0.2">
      <c r="Z37643" t="str">
        <f t="shared" si="588"/>
        <v/>
      </c>
    </row>
    <row r="37644" spans="26:26" x14ac:dyDescent="0.2">
      <c r="Z37644" t="str">
        <f t="shared" si="588"/>
        <v/>
      </c>
    </row>
    <row r="37645" spans="26:26" x14ac:dyDescent="0.2">
      <c r="Z37645" t="str">
        <f t="shared" si="588"/>
        <v/>
      </c>
    </row>
    <row r="37646" spans="26:26" x14ac:dyDescent="0.2">
      <c r="Z37646" t="str">
        <f t="shared" si="588"/>
        <v/>
      </c>
    </row>
    <row r="37647" spans="26:26" x14ac:dyDescent="0.2">
      <c r="Z37647" t="str">
        <f t="shared" si="588"/>
        <v/>
      </c>
    </row>
    <row r="37648" spans="26:26" x14ac:dyDescent="0.2">
      <c r="Z37648" t="str">
        <f t="shared" si="588"/>
        <v/>
      </c>
    </row>
    <row r="37649" spans="26:26" x14ac:dyDescent="0.2">
      <c r="Z37649" t="str">
        <f t="shared" si="588"/>
        <v/>
      </c>
    </row>
    <row r="37650" spans="26:26" x14ac:dyDescent="0.2">
      <c r="Z37650" t="str">
        <f t="shared" si="588"/>
        <v/>
      </c>
    </row>
    <row r="37651" spans="26:26" x14ac:dyDescent="0.2">
      <c r="Z37651" t="str">
        <f t="shared" si="588"/>
        <v/>
      </c>
    </row>
    <row r="37652" spans="26:26" x14ac:dyDescent="0.2">
      <c r="Z37652" t="str">
        <f t="shared" si="588"/>
        <v/>
      </c>
    </row>
    <row r="37653" spans="26:26" x14ac:dyDescent="0.2">
      <c r="Z37653" t="str">
        <f t="shared" si="588"/>
        <v/>
      </c>
    </row>
    <row r="37654" spans="26:26" x14ac:dyDescent="0.2">
      <c r="Z37654" t="str">
        <f t="shared" si="588"/>
        <v/>
      </c>
    </row>
    <row r="37655" spans="26:26" x14ac:dyDescent="0.2">
      <c r="Z37655" t="str">
        <f t="shared" si="588"/>
        <v/>
      </c>
    </row>
    <row r="37656" spans="26:26" x14ac:dyDescent="0.2">
      <c r="Z37656" t="str">
        <f t="shared" si="588"/>
        <v/>
      </c>
    </row>
    <row r="37657" spans="26:26" x14ac:dyDescent="0.2">
      <c r="Z37657" t="str">
        <f t="shared" si="588"/>
        <v/>
      </c>
    </row>
    <row r="37658" spans="26:26" x14ac:dyDescent="0.2">
      <c r="Z37658" t="str">
        <f t="shared" si="588"/>
        <v/>
      </c>
    </row>
    <row r="37659" spans="26:26" x14ac:dyDescent="0.2">
      <c r="Z37659" t="str">
        <f t="shared" si="588"/>
        <v/>
      </c>
    </row>
    <row r="37660" spans="26:26" x14ac:dyDescent="0.2">
      <c r="Z37660" t="str">
        <f t="shared" si="588"/>
        <v/>
      </c>
    </row>
    <row r="37661" spans="26:26" x14ac:dyDescent="0.2">
      <c r="Z37661" t="str">
        <f t="shared" si="588"/>
        <v/>
      </c>
    </row>
    <row r="37662" spans="26:26" x14ac:dyDescent="0.2">
      <c r="Z37662" t="str">
        <f t="shared" si="588"/>
        <v/>
      </c>
    </row>
    <row r="37663" spans="26:26" x14ac:dyDescent="0.2">
      <c r="Z37663" t="str">
        <f t="shared" si="588"/>
        <v/>
      </c>
    </row>
    <row r="37664" spans="26:26" x14ac:dyDescent="0.2">
      <c r="Z37664" t="str">
        <f t="shared" si="588"/>
        <v/>
      </c>
    </row>
    <row r="37665" spans="26:26" x14ac:dyDescent="0.2">
      <c r="Z37665" t="str">
        <f t="shared" si="588"/>
        <v/>
      </c>
    </row>
    <row r="37666" spans="26:26" x14ac:dyDescent="0.2">
      <c r="Z37666" t="str">
        <f t="shared" si="588"/>
        <v/>
      </c>
    </row>
    <row r="37667" spans="26:26" x14ac:dyDescent="0.2">
      <c r="Z37667" t="str">
        <f t="shared" si="588"/>
        <v/>
      </c>
    </row>
    <row r="37668" spans="26:26" x14ac:dyDescent="0.2">
      <c r="Z37668" t="str">
        <f t="shared" si="588"/>
        <v/>
      </c>
    </row>
    <row r="37669" spans="26:26" x14ac:dyDescent="0.2">
      <c r="Z37669" t="str">
        <f t="shared" si="588"/>
        <v/>
      </c>
    </row>
    <row r="37670" spans="26:26" x14ac:dyDescent="0.2">
      <c r="Z37670" t="str">
        <f t="shared" si="588"/>
        <v/>
      </c>
    </row>
    <row r="37671" spans="26:26" x14ac:dyDescent="0.2">
      <c r="Z37671" t="str">
        <f t="shared" si="588"/>
        <v/>
      </c>
    </row>
    <row r="37672" spans="26:26" x14ac:dyDescent="0.2">
      <c r="Z37672" t="str">
        <f t="shared" si="588"/>
        <v/>
      </c>
    </row>
    <row r="37673" spans="26:26" x14ac:dyDescent="0.2">
      <c r="Z37673" t="str">
        <f t="shared" si="588"/>
        <v/>
      </c>
    </row>
    <row r="37674" spans="26:26" x14ac:dyDescent="0.2">
      <c r="Z37674" t="str">
        <f t="shared" si="588"/>
        <v/>
      </c>
    </row>
    <row r="37675" spans="26:26" x14ac:dyDescent="0.2">
      <c r="Z37675" t="str">
        <f t="shared" si="588"/>
        <v/>
      </c>
    </row>
    <row r="37676" spans="26:26" x14ac:dyDescent="0.2">
      <c r="Z37676" t="str">
        <f t="shared" si="588"/>
        <v/>
      </c>
    </row>
    <row r="37677" spans="26:26" x14ac:dyDescent="0.2">
      <c r="Z37677" t="str">
        <f t="shared" si="588"/>
        <v/>
      </c>
    </row>
    <row r="37678" spans="26:26" x14ac:dyDescent="0.2">
      <c r="Z37678" t="str">
        <f t="shared" si="588"/>
        <v/>
      </c>
    </row>
    <row r="37679" spans="26:26" x14ac:dyDescent="0.2">
      <c r="Z37679" t="str">
        <f t="shared" si="588"/>
        <v/>
      </c>
    </row>
    <row r="37680" spans="26:26" x14ac:dyDescent="0.2">
      <c r="Z37680" t="str">
        <f t="shared" si="588"/>
        <v/>
      </c>
    </row>
    <row r="37681" spans="26:26" x14ac:dyDescent="0.2">
      <c r="Z37681" t="str">
        <f t="shared" si="588"/>
        <v/>
      </c>
    </row>
    <row r="37682" spans="26:26" x14ac:dyDescent="0.2">
      <c r="Z37682" t="str">
        <f t="shared" si="588"/>
        <v/>
      </c>
    </row>
    <row r="37683" spans="26:26" x14ac:dyDescent="0.2">
      <c r="Z37683" t="str">
        <f t="shared" si="588"/>
        <v/>
      </c>
    </row>
    <row r="37684" spans="26:26" x14ac:dyDescent="0.2">
      <c r="Z37684" t="str">
        <f t="shared" si="588"/>
        <v/>
      </c>
    </row>
    <row r="37685" spans="26:26" x14ac:dyDescent="0.2">
      <c r="Z37685" t="str">
        <f t="shared" si="588"/>
        <v/>
      </c>
    </row>
    <row r="37686" spans="26:26" x14ac:dyDescent="0.2">
      <c r="Z37686" t="str">
        <f t="shared" si="588"/>
        <v/>
      </c>
    </row>
    <row r="37687" spans="26:26" x14ac:dyDescent="0.2">
      <c r="Z37687" t="str">
        <f t="shared" si="588"/>
        <v/>
      </c>
    </row>
    <row r="37688" spans="26:26" x14ac:dyDescent="0.2">
      <c r="Z37688" t="str">
        <f t="shared" si="588"/>
        <v/>
      </c>
    </row>
    <row r="37689" spans="26:26" x14ac:dyDescent="0.2">
      <c r="Z37689" t="str">
        <f t="shared" si="588"/>
        <v/>
      </c>
    </row>
    <row r="37690" spans="26:26" x14ac:dyDescent="0.2">
      <c r="Z37690" t="str">
        <f t="shared" si="588"/>
        <v/>
      </c>
    </row>
    <row r="37691" spans="26:26" x14ac:dyDescent="0.2">
      <c r="Z37691" t="str">
        <f t="shared" si="588"/>
        <v/>
      </c>
    </row>
    <row r="37692" spans="26:26" x14ac:dyDescent="0.2">
      <c r="Z37692" t="str">
        <f t="shared" si="588"/>
        <v/>
      </c>
    </row>
    <row r="37693" spans="26:26" x14ac:dyDescent="0.2">
      <c r="Z37693" t="str">
        <f t="shared" si="588"/>
        <v/>
      </c>
    </row>
    <row r="37694" spans="26:26" x14ac:dyDescent="0.2">
      <c r="Z37694" t="str">
        <f t="shared" si="588"/>
        <v/>
      </c>
    </row>
    <row r="37695" spans="26:26" x14ac:dyDescent="0.2">
      <c r="Z37695" t="str">
        <f t="shared" si="588"/>
        <v/>
      </c>
    </row>
    <row r="37696" spans="26:26" x14ac:dyDescent="0.2">
      <c r="Z37696" t="str">
        <f t="shared" si="588"/>
        <v/>
      </c>
    </row>
    <row r="37697" spans="26:26" x14ac:dyDescent="0.2">
      <c r="Z37697" t="str">
        <f t="shared" si="588"/>
        <v/>
      </c>
    </row>
    <row r="37698" spans="26:26" x14ac:dyDescent="0.2">
      <c r="Z37698" t="str">
        <f t="shared" si="588"/>
        <v/>
      </c>
    </row>
    <row r="37699" spans="26:26" x14ac:dyDescent="0.2">
      <c r="Z37699" t="str">
        <f t="shared" ref="Z37699:Z37762" si="589">IF(K37699="","",IFERROR(VALUE(TRIM(MID(K37699,FIND(CHAR(167),SUBSTITUTE(K37699,"-",CHAR(167),LEN(K37699)-LEN(SUBSTITUTE(K37699,"-",""))))+1,100))),K37699))</f>
        <v/>
      </c>
    </row>
    <row r="37700" spans="26:26" x14ac:dyDescent="0.2">
      <c r="Z37700" t="str">
        <f t="shared" si="589"/>
        <v/>
      </c>
    </row>
    <row r="37701" spans="26:26" x14ac:dyDescent="0.2">
      <c r="Z37701" t="str">
        <f t="shared" si="589"/>
        <v/>
      </c>
    </row>
    <row r="37702" spans="26:26" x14ac:dyDescent="0.2">
      <c r="Z37702" t="str">
        <f t="shared" si="589"/>
        <v/>
      </c>
    </row>
    <row r="37703" spans="26:26" x14ac:dyDescent="0.2">
      <c r="Z37703" t="str">
        <f t="shared" si="589"/>
        <v/>
      </c>
    </row>
    <row r="37704" spans="26:26" x14ac:dyDescent="0.2">
      <c r="Z37704" t="str">
        <f t="shared" si="589"/>
        <v/>
      </c>
    </row>
    <row r="37705" spans="26:26" x14ac:dyDescent="0.2">
      <c r="Z37705" t="str">
        <f t="shared" si="589"/>
        <v/>
      </c>
    </row>
    <row r="37706" spans="26:26" x14ac:dyDescent="0.2">
      <c r="Z37706" t="str">
        <f t="shared" si="589"/>
        <v/>
      </c>
    </row>
    <row r="37707" spans="26:26" x14ac:dyDescent="0.2">
      <c r="Z37707" t="str">
        <f t="shared" si="589"/>
        <v/>
      </c>
    </row>
    <row r="37708" spans="26:26" x14ac:dyDescent="0.2">
      <c r="Z37708" t="str">
        <f t="shared" si="589"/>
        <v/>
      </c>
    </row>
    <row r="37709" spans="26:26" x14ac:dyDescent="0.2">
      <c r="Z37709" t="str">
        <f t="shared" si="589"/>
        <v/>
      </c>
    </row>
    <row r="37710" spans="26:26" x14ac:dyDescent="0.2">
      <c r="Z37710" t="str">
        <f t="shared" si="589"/>
        <v/>
      </c>
    </row>
    <row r="37711" spans="26:26" x14ac:dyDescent="0.2">
      <c r="Z37711" t="str">
        <f t="shared" si="589"/>
        <v/>
      </c>
    </row>
    <row r="37712" spans="26:26" x14ac:dyDescent="0.2">
      <c r="Z37712" t="str">
        <f t="shared" si="589"/>
        <v/>
      </c>
    </row>
    <row r="37713" spans="26:26" x14ac:dyDescent="0.2">
      <c r="Z37713" t="str">
        <f t="shared" si="589"/>
        <v/>
      </c>
    </row>
    <row r="37714" spans="26:26" x14ac:dyDescent="0.2">
      <c r="Z37714" t="str">
        <f t="shared" si="589"/>
        <v/>
      </c>
    </row>
    <row r="37715" spans="26:26" x14ac:dyDescent="0.2">
      <c r="Z37715" t="str">
        <f t="shared" si="589"/>
        <v/>
      </c>
    </row>
    <row r="37716" spans="26:26" x14ac:dyDescent="0.2">
      <c r="Z37716" t="str">
        <f t="shared" si="589"/>
        <v/>
      </c>
    </row>
    <row r="37717" spans="26:26" x14ac:dyDescent="0.2">
      <c r="Z37717" t="str">
        <f t="shared" si="589"/>
        <v/>
      </c>
    </row>
    <row r="37718" spans="26:26" x14ac:dyDescent="0.2">
      <c r="Z37718" t="str">
        <f t="shared" si="589"/>
        <v/>
      </c>
    </row>
    <row r="37719" spans="26:26" x14ac:dyDescent="0.2">
      <c r="Z37719" t="str">
        <f t="shared" si="589"/>
        <v/>
      </c>
    </row>
    <row r="37720" spans="26:26" x14ac:dyDescent="0.2">
      <c r="Z37720" t="str">
        <f t="shared" si="589"/>
        <v/>
      </c>
    </row>
    <row r="37721" spans="26:26" x14ac:dyDescent="0.2">
      <c r="Z37721" t="str">
        <f t="shared" si="589"/>
        <v/>
      </c>
    </row>
    <row r="37722" spans="26:26" x14ac:dyDescent="0.2">
      <c r="Z37722" t="str">
        <f t="shared" si="589"/>
        <v/>
      </c>
    </row>
    <row r="37723" spans="26:26" x14ac:dyDescent="0.2">
      <c r="Z37723" t="str">
        <f t="shared" si="589"/>
        <v/>
      </c>
    </row>
    <row r="37724" spans="26:26" x14ac:dyDescent="0.2">
      <c r="Z37724" t="str">
        <f t="shared" si="589"/>
        <v/>
      </c>
    </row>
    <row r="37725" spans="26:26" x14ac:dyDescent="0.2">
      <c r="Z37725" t="str">
        <f t="shared" si="589"/>
        <v/>
      </c>
    </row>
    <row r="37726" spans="26:26" x14ac:dyDescent="0.2">
      <c r="Z37726" t="str">
        <f t="shared" si="589"/>
        <v/>
      </c>
    </row>
    <row r="37727" spans="26:26" x14ac:dyDescent="0.2">
      <c r="Z37727" t="str">
        <f t="shared" si="589"/>
        <v/>
      </c>
    </row>
    <row r="37728" spans="26:26" x14ac:dyDescent="0.2">
      <c r="Z37728" t="str">
        <f t="shared" si="589"/>
        <v/>
      </c>
    </row>
    <row r="37729" spans="26:26" x14ac:dyDescent="0.2">
      <c r="Z37729" t="str">
        <f t="shared" si="589"/>
        <v/>
      </c>
    </row>
    <row r="37730" spans="26:26" x14ac:dyDescent="0.2">
      <c r="Z37730" t="str">
        <f t="shared" si="589"/>
        <v/>
      </c>
    </row>
    <row r="37731" spans="26:26" x14ac:dyDescent="0.2">
      <c r="Z37731" t="str">
        <f t="shared" si="589"/>
        <v/>
      </c>
    </row>
    <row r="37732" spans="26:26" x14ac:dyDescent="0.2">
      <c r="Z37732" t="str">
        <f t="shared" si="589"/>
        <v/>
      </c>
    </row>
    <row r="37733" spans="26:26" x14ac:dyDescent="0.2">
      <c r="Z37733" t="str">
        <f t="shared" si="589"/>
        <v/>
      </c>
    </row>
    <row r="37734" spans="26:26" x14ac:dyDescent="0.2">
      <c r="Z37734" t="str">
        <f t="shared" si="589"/>
        <v/>
      </c>
    </row>
    <row r="37735" spans="26:26" x14ac:dyDescent="0.2">
      <c r="Z37735" t="str">
        <f t="shared" si="589"/>
        <v/>
      </c>
    </row>
    <row r="37736" spans="26:26" x14ac:dyDescent="0.2">
      <c r="Z37736" t="str">
        <f t="shared" si="589"/>
        <v/>
      </c>
    </row>
    <row r="37737" spans="26:26" x14ac:dyDescent="0.2">
      <c r="Z37737" t="str">
        <f t="shared" si="589"/>
        <v/>
      </c>
    </row>
    <row r="37738" spans="26:26" x14ac:dyDescent="0.2">
      <c r="Z37738" t="str">
        <f t="shared" si="589"/>
        <v/>
      </c>
    </row>
    <row r="37739" spans="26:26" x14ac:dyDescent="0.2">
      <c r="Z37739" t="str">
        <f t="shared" si="589"/>
        <v/>
      </c>
    </row>
    <row r="37740" spans="26:26" x14ac:dyDescent="0.2">
      <c r="Z37740" t="str">
        <f t="shared" si="589"/>
        <v/>
      </c>
    </row>
    <row r="37741" spans="26:26" x14ac:dyDescent="0.2">
      <c r="Z37741" t="str">
        <f t="shared" si="589"/>
        <v/>
      </c>
    </row>
    <row r="37742" spans="26:26" x14ac:dyDescent="0.2">
      <c r="Z37742" t="str">
        <f t="shared" si="589"/>
        <v/>
      </c>
    </row>
    <row r="37743" spans="26:26" x14ac:dyDescent="0.2">
      <c r="Z37743" t="str">
        <f t="shared" si="589"/>
        <v/>
      </c>
    </row>
    <row r="37744" spans="26:26" x14ac:dyDescent="0.2">
      <c r="Z37744" t="str">
        <f t="shared" si="589"/>
        <v/>
      </c>
    </row>
    <row r="37745" spans="26:26" x14ac:dyDescent="0.2">
      <c r="Z37745" t="str">
        <f t="shared" si="589"/>
        <v/>
      </c>
    </row>
    <row r="37746" spans="26:26" x14ac:dyDescent="0.2">
      <c r="Z37746" t="str">
        <f t="shared" si="589"/>
        <v/>
      </c>
    </row>
    <row r="37747" spans="26:26" x14ac:dyDescent="0.2">
      <c r="Z37747" t="str">
        <f t="shared" si="589"/>
        <v/>
      </c>
    </row>
    <row r="37748" spans="26:26" x14ac:dyDescent="0.2">
      <c r="Z37748" t="str">
        <f t="shared" si="589"/>
        <v/>
      </c>
    </row>
    <row r="37749" spans="26:26" x14ac:dyDescent="0.2">
      <c r="Z37749" t="str">
        <f t="shared" si="589"/>
        <v/>
      </c>
    </row>
    <row r="37750" spans="26:26" x14ac:dyDescent="0.2">
      <c r="Z37750" t="str">
        <f t="shared" si="589"/>
        <v/>
      </c>
    </row>
    <row r="37751" spans="26:26" x14ac:dyDescent="0.2">
      <c r="Z37751" t="str">
        <f t="shared" si="589"/>
        <v/>
      </c>
    </row>
    <row r="37752" spans="26:26" x14ac:dyDescent="0.2">
      <c r="Z37752" t="str">
        <f t="shared" si="589"/>
        <v/>
      </c>
    </row>
    <row r="37753" spans="26:26" x14ac:dyDescent="0.2">
      <c r="Z37753" t="str">
        <f t="shared" si="589"/>
        <v/>
      </c>
    </row>
    <row r="37754" spans="26:26" x14ac:dyDescent="0.2">
      <c r="Z37754" t="str">
        <f t="shared" si="589"/>
        <v/>
      </c>
    </row>
    <row r="37755" spans="26:26" x14ac:dyDescent="0.2">
      <c r="Z37755" t="str">
        <f t="shared" si="589"/>
        <v/>
      </c>
    </row>
    <row r="37756" spans="26:26" x14ac:dyDescent="0.2">
      <c r="Z37756" t="str">
        <f t="shared" si="589"/>
        <v/>
      </c>
    </row>
    <row r="37757" spans="26:26" x14ac:dyDescent="0.2">
      <c r="Z37757" t="str">
        <f t="shared" si="589"/>
        <v/>
      </c>
    </row>
    <row r="37758" spans="26:26" x14ac:dyDescent="0.2">
      <c r="Z37758" t="str">
        <f t="shared" si="589"/>
        <v/>
      </c>
    </row>
    <row r="37759" spans="26:26" x14ac:dyDescent="0.2">
      <c r="Z37759" t="str">
        <f t="shared" si="589"/>
        <v/>
      </c>
    </row>
    <row r="37760" spans="26:26" x14ac:dyDescent="0.2">
      <c r="Z37760" t="str">
        <f t="shared" si="589"/>
        <v/>
      </c>
    </row>
    <row r="37761" spans="26:26" x14ac:dyDescent="0.2">
      <c r="Z37761" t="str">
        <f t="shared" si="589"/>
        <v/>
      </c>
    </row>
    <row r="37762" spans="26:26" x14ac:dyDescent="0.2">
      <c r="Z37762" t="str">
        <f t="shared" si="589"/>
        <v/>
      </c>
    </row>
    <row r="37763" spans="26:26" x14ac:dyDescent="0.2">
      <c r="Z37763" t="str">
        <f t="shared" ref="Z37763:Z37826" si="590">IF(K37763="","",IFERROR(VALUE(TRIM(MID(K37763,FIND(CHAR(167),SUBSTITUTE(K37763,"-",CHAR(167),LEN(K37763)-LEN(SUBSTITUTE(K37763,"-",""))))+1,100))),K37763))</f>
        <v/>
      </c>
    </row>
    <row r="37764" spans="26:26" x14ac:dyDescent="0.2">
      <c r="Z37764" t="str">
        <f t="shared" si="590"/>
        <v/>
      </c>
    </row>
    <row r="37765" spans="26:26" x14ac:dyDescent="0.2">
      <c r="Z37765" t="str">
        <f t="shared" si="590"/>
        <v/>
      </c>
    </row>
    <row r="37766" spans="26:26" x14ac:dyDescent="0.2">
      <c r="Z37766" t="str">
        <f t="shared" si="590"/>
        <v/>
      </c>
    </row>
    <row r="37767" spans="26:26" x14ac:dyDescent="0.2">
      <c r="Z37767" t="str">
        <f t="shared" si="590"/>
        <v/>
      </c>
    </row>
    <row r="37768" spans="26:26" x14ac:dyDescent="0.2">
      <c r="Z37768" t="str">
        <f t="shared" si="590"/>
        <v/>
      </c>
    </row>
    <row r="37769" spans="26:26" x14ac:dyDescent="0.2">
      <c r="Z37769" t="str">
        <f t="shared" si="590"/>
        <v/>
      </c>
    </row>
    <row r="37770" spans="26:26" x14ac:dyDescent="0.2">
      <c r="Z37770" t="str">
        <f t="shared" si="590"/>
        <v/>
      </c>
    </row>
    <row r="37771" spans="26:26" x14ac:dyDescent="0.2">
      <c r="Z37771" t="str">
        <f t="shared" si="590"/>
        <v/>
      </c>
    </row>
    <row r="37772" spans="26:26" x14ac:dyDescent="0.2">
      <c r="Z37772" t="str">
        <f t="shared" si="590"/>
        <v/>
      </c>
    </row>
    <row r="37773" spans="26:26" x14ac:dyDescent="0.2">
      <c r="Z37773" t="str">
        <f t="shared" si="590"/>
        <v/>
      </c>
    </row>
    <row r="37774" spans="26:26" x14ac:dyDescent="0.2">
      <c r="Z37774" t="str">
        <f t="shared" si="590"/>
        <v/>
      </c>
    </row>
    <row r="37775" spans="26:26" x14ac:dyDescent="0.2">
      <c r="Z37775" t="str">
        <f t="shared" si="590"/>
        <v/>
      </c>
    </row>
    <row r="37776" spans="26:26" x14ac:dyDescent="0.2">
      <c r="Z37776" t="str">
        <f t="shared" si="590"/>
        <v/>
      </c>
    </row>
    <row r="37777" spans="26:26" x14ac:dyDescent="0.2">
      <c r="Z37777" t="str">
        <f t="shared" si="590"/>
        <v/>
      </c>
    </row>
    <row r="37778" spans="26:26" x14ac:dyDescent="0.2">
      <c r="Z37778" t="str">
        <f t="shared" si="590"/>
        <v/>
      </c>
    </row>
    <row r="37779" spans="26:26" x14ac:dyDescent="0.2">
      <c r="Z37779" t="str">
        <f t="shared" si="590"/>
        <v/>
      </c>
    </row>
    <row r="37780" spans="26:26" x14ac:dyDescent="0.2">
      <c r="Z37780" t="str">
        <f t="shared" si="590"/>
        <v/>
      </c>
    </row>
    <row r="37781" spans="26:26" x14ac:dyDescent="0.2">
      <c r="Z37781" t="str">
        <f t="shared" si="590"/>
        <v/>
      </c>
    </row>
    <row r="37782" spans="26:26" x14ac:dyDescent="0.2">
      <c r="Z37782" t="str">
        <f t="shared" si="590"/>
        <v/>
      </c>
    </row>
    <row r="37783" spans="26:26" x14ac:dyDescent="0.2">
      <c r="Z37783" t="str">
        <f t="shared" si="590"/>
        <v/>
      </c>
    </row>
    <row r="37784" spans="26:26" x14ac:dyDescent="0.2">
      <c r="Z37784" t="str">
        <f t="shared" si="590"/>
        <v/>
      </c>
    </row>
    <row r="37785" spans="26:26" x14ac:dyDescent="0.2">
      <c r="Z37785" t="str">
        <f t="shared" si="590"/>
        <v/>
      </c>
    </row>
    <row r="37786" spans="26:26" x14ac:dyDescent="0.2">
      <c r="Z37786" t="str">
        <f t="shared" si="590"/>
        <v/>
      </c>
    </row>
    <row r="37787" spans="26:26" x14ac:dyDescent="0.2">
      <c r="Z37787" t="str">
        <f t="shared" si="590"/>
        <v/>
      </c>
    </row>
    <row r="37788" spans="26:26" x14ac:dyDescent="0.2">
      <c r="Z37788" t="str">
        <f t="shared" si="590"/>
        <v/>
      </c>
    </row>
    <row r="37789" spans="26:26" x14ac:dyDescent="0.2">
      <c r="Z37789" t="str">
        <f t="shared" si="590"/>
        <v/>
      </c>
    </row>
    <row r="37790" spans="26:26" x14ac:dyDescent="0.2">
      <c r="Z37790" t="str">
        <f t="shared" si="590"/>
        <v/>
      </c>
    </row>
    <row r="37791" spans="26:26" x14ac:dyDescent="0.2">
      <c r="Z37791" t="str">
        <f t="shared" si="590"/>
        <v/>
      </c>
    </row>
    <row r="37792" spans="26:26" x14ac:dyDescent="0.2">
      <c r="Z37792" t="str">
        <f t="shared" si="590"/>
        <v/>
      </c>
    </row>
    <row r="37793" spans="26:26" x14ac:dyDescent="0.2">
      <c r="Z37793" t="str">
        <f t="shared" si="590"/>
        <v/>
      </c>
    </row>
    <row r="37794" spans="26:26" x14ac:dyDescent="0.2">
      <c r="Z37794" t="str">
        <f t="shared" si="590"/>
        <v/>
      </c>
    </row>
    <row r="37795" spans="26:26" x14ac:dyDescent="0.2">
      <c r="Z37795" t="str">
        <f t="shared" si="590"/>
        <v/>
      </c>
    </row>
    <row r="37796" spans="26:26" x14ac:dyDescent="0.2">
      <c r="Z37796" t="str">
        <f t="shared" si="590"/>
        <v/>
      </c>
    </row>
    <row r="37797" spans="26:26" x14ac:dyDescent="0.2">
      <c r="Z37797" t="str">
        <f t="shared" si="590"/>
        <v/>
      </c>
    </row>
    <row r="37798" spans="26:26" x14ac:dyDescent="0.2">
      <c r="Z37798" t="str">
        <f t="shared" si="590"/>
        <v/>
      </c>
    </row>
    <row r="37799" spans="26:26" x14ac:dyDescent="0.2">
      <c r="Z37799" t="str">
        <f t="shared" si="590"/>
        <v/>
      </c>
    </row>
    <row r="37800" spans="26:26" x14ac:dyDescent="0.2">
      <c r="Z37800" t="str">
        <f t="shared" si="590"/>
        <v/>
      </c>
    </row>
    <row r="37801" spans="26:26" x14ac:dyDescent="0.2">
      <c r="Z37801" t="str">
        <f t="shared" si="590"/>
        <v/>
      </c>
    </row>
    <row r="37802" spans="26:26" x14ac:dyDescent="0.2">
      <c r="Z37802" t="str">
        <f t="shared" si="590"/>
        <v/>
      </c>
    </row>
    <row r="37803" spans="26:26" x14ac:dyDescent="0.2">
      <c r="Z37803" t="str">
        <f t="shared" si="590"/>
        <v/>
      </c>
    </row>
    <row r="37804" spans="26:26" x14ac:dyDescent="0.2">
      <c r="Z37804" t="str">
        <f t="shared" si="590"/>
        <v/>
      </c>
    </row>
    <row r="37805" spans="26:26" x14ac:dyDescent="0.2">
      <c r="Z37805" t="str">
        <f t="shared" si="590"/>
        <v/>
      </c>
    </row>
    <row r="37806" spans="26:26" x14ac:dyDescent="0.2">
      <c r="Z37806" t="str">
        <f t="shared" si="590"/>
        <v/>
      </c>
    </row>
    <row r="37807" spans="26:26" x14ac:dyDescent="0.2">
      <c r="Z37807" t="str">
        <f t="shared" si="590"/>
        <v/>
      </c>
    </row>
    <row r="37808" spans="26:26" x14ac:dyDescent="0.2">
      <c r="Z37808" t="str">
        <f t="shared" si="590"/>
        <v/>
      </c>
    </row>
    <row r="37809" spans="26:26" x14ac:dyDescent="0.2">
      <c r="Z37809" t="str">
        <f t="shared" si="590"/>
        <v/>
      </c>
    </row>
    <row r="37810" spans="26:26" x14ac:dyDescent="0.2">
      <c r="Z37810" t="str">
        <f t="shared" si="590"/>
        <v/>
      </c>
    </row>
    <row r="37811" spans="26:26" x14ac:dyDescent="0.2">
      <c r="Z37811" t="str">
        <f t="shared" si="590"/>
        <v/>
      </c>
    </row>
    <row r="37812" spans="26:26" x14ac:dyDescent="0.2">
      <c r="Z37812" t="str">
        <f t="shared" si="590"/>
        <v/>
      </c>
    </row>
    <row r="37813" spans="26:26" x14ac:dyDescent="0.2">
      <c r="Z37813" t="str">
        <f t="shared" si="590"/>
        <v/>
      </c>
    </row>
    <row r="37814" spans="26:26" x14ac:dyDescent="0.2">
      <c r="Z37814" t="str">
        <f t="shared" si="590"/>
        <v/>
      </c>
    </row>
    <row r="37815" spans="26:26" x14ac:dyDescent="0.2">
      <c r="Z37815" t="str">
        <f t="shared" si="590"/>
        <v/>
      </c>
    </row>
    <row r="37816" spans="26:26" x14ac:dyDescent="0.2">
      <c r="Z37816" t="str">
        <f t="shared" si="590"/>
        <v/>
      </c>
    </row>
    <row r="37817" spans="26:26" x14ac:dyDescent="0.2">
      <c r="Z37817" t="str">
        <f t="shared" si="590"/>
        <v/>
      </c>
    </row>
    <row r="37818" spans="26:26" x14ac:dyDescent="0.2">
      <c r="Z37818" t="str">
        <f t="shared" si="590"/>
        <v/>
      </c>
    </row>
    <row r="37819" spans="26:26" x14ac:dyDescent="0.2">
      <c r="Z37819" t="str">
        <f t="shared" si="590"/>
        <v/>
      </c>
    </row>
    <row r="37820" spans="26:26" x14ac:dyDescent="0.2">
      <c r="Z37820" t="str">
        <f t="shared" si="590"/>
        <v/>
      </c>
    </row>
    <row r="37821" spans="26:26" x14ac:dyDescent="0.2">
      <c r="Z37821" t="str">
        <f t="shared" si="590"/>
        <v/>
      </c>
    </row>
    <row r="37822" spans="26:26" x14ac:dyDescent="0.2">
      <c r="Z37822" t="str">
        <f t="shared" si="590"/>
        <v/>
      </c>
    </row>
    <row r="37823" spans="26:26" x14ac:dyDescent="0.2">
      <c r="Z37823" t="str">
        <f t="shared" si="590"/>
        <v/>
      </c>
    </row>
    <row r="37824" spans="26:26" x14ac:dyDescent="0.2">
      <c r="Z37824" t="str">
        <f t="shared" si="590"/>
        <v/>
      </c>
    </row>
    <row r="37825" spans="26:26" x14ac:dyDescent="0.2">
      <c r="Z37825" t="str">
        <f t="shared" si="590"/>
        <v/>
      </c>
    </row>
    <row r="37826" spans="26:26" x14ac:dyDescent="0.2">
      <c r="Z37826" t="str">
        <f t="shared" si="590"/>
        <v/>
      </c>
    </row>
    <row r="37827" spans="26:26" x14ac:dyDescent="0.2">
      <c r="Z37827" t="str">
        <f t="shared" ref="Z37827:Z37890" si="591">IF(K37827="","",IFERROR(VALUE(TRIM(MID(K37827,FIND(CHAR(167),SUBSTITUTE(K37827,"-",CHAR(167),LEN(K37827)-LEN(SUBSTITUTE(K37827,"-",""))))+1,100))),K37827))</f>
        <v/>
      </c>
    </row>
    <row r="37828" spans="26:26" x14ac:dyDescent="0.2">
      <c r="Z37828" t="str">
        <f t="shared" si="591"/>
        <v/>
      </c>
    </row>
    <row r="37829" spans="26:26" x14ac:dyDescent="0.2">
      <c r="Z37829" t="str">
        <f t="shared" si="591"/>
        <v/>
      </c>
    </row>
    <row r="37830" spans="26:26" x14ac:dyDescent="0.2">
      <c r="Z37830" t="str">
        <f t="shared" si="591"/>
        <v/>
      </c>
    </row>
    <row r="37831" spans="26:26" x14ac:dyDescent="0.2">
      <c r="Z37831" t="str">
        <f t="shared" si="591"/>
        <v/>
      </c>
    </row>
    <row r="37832" spans="26:26" x14ac:dyDescent="0.2">
      <c r="Z37832" t="str">
        <f t="shared" si="591"/>
        <v/>
      </c>
    </row>
    <row r="37833" spans="26:26" x14ac:dyDescent="0.2">
      <c r="Z37833" t="str">
        <f t="shared" si="591"/>
        <v/>
      </c>
    </row>
    <row r="37834" spans="26:26" x14ac:dyDescent="0.2">
      <c r="Z37834" t="str">
        <f t="shared" si="591"/>
        <v/>
      </c>
    </row>
    <row r="37835" spans="26:26" x14ac:dyDescent="0.2">
      <c r="Z37835" t="str">
        <f t="shared" si="591"/>
        <v/>
      </c>
    </row>
    <row r="37836" spans="26:26" x14ac:dyDescent="0.2">
      <c r="Z37836" t="str">
        <f t="shared" si="591"/>
        <v/>
      </c>
    </row>
    <row r="37837" spans="26:26" x14ac:dyDescent="0.2">
      <c r="Z37837" t="str">
        <f t="shared" si="591"/>
        <v/>
      </c>
    </row>
    <row r="37838" spans="26:26" x14ac:dyDescent="0.2">
      <c r="Z37838" t="str">
        <f t="shared" si="591"/>
        <v/>
      </c>
    </row>
    <row r="37839" spans="26:26" x14ac:dyDescent="0.2">
      <c r="Z37839" t="str">
        <f t="shared" si="591"/>
        <v/>
      </c>
    </row>
    <row r="37840" spans="26:26" x14ac:dyDescent="0.2">
      <c r="Z37840" t="str">
        <f t="shared" si="591"/>
        <v/>
      </c>
    </row>
    <row r="37841" spans="26:26" x14ac:dyDescent="0.2">
      <c r="Z37841" t="str">
        <f t="shared" si="591"/>
        <v/>
      </c>
    </row>
    <row r="37842" spans="26:26" x14ac:dyDescent="0.2">
      <c r="Z37842" t="str">
        <f t="shared" si="591"/>
        <v/>
      </c>
    </row>
    <row r="37843" spans="26:26" x14ac:dyDescent="0.2">
      <c r="Z37843" t="str">
        <f t="shared" si="591"/>
        <v/>
      </c>
    </row>
    <row r="37844" spans="26:26" x14ac:dyDescent="0.2">
      <c r="Z37844" t="str">
        <f t="shared" si="591"/>
        <v/>
      </c>
    </row>
    <row r="37845" spans="26:26" x14ac:dyDescent="0.2">
      <c r="Z37845" t="str">
        <f t="shared" si="591"/>
        <v/>
      </c>
    </row>
    <row r="37846" spans="26:26" x14ac:dyDescent="0.2">
      <c r="Z37846" t="str">
        <f t="shared" si="591"/>
        <v/>
      </c>
    </row>
    <row r="37847" spans="26:26" x14ac:dyDescent="0.2">
      <c r="Z37847" t="str">
        <f t="shared" si="591"/>
        <v/>
      </c>
    </row>
    <row r="37848" spans="26:26" x14ac:dyDescent="0.2">
      <c r="Z37848" t="str">
        <f t="shared" si="591"/>
        <v/>
      </c>
    </row>
    <row r="37849" spans="26:26" x14ac:dyDescent="0.2">
      <c r="Z37849" t="str">
        <f t="shared" si="591"/>
        <v/>
      </c>
    </row>
    <row r="37850" spans="26:26" x14ac:dyDescent="0.2">
      <c r="Z37850" t="str">
        <f t="shared" si="591"/>
        <v/>
      </c>
    </row>
    <row r="37851" spans="26:26" x14ac:dyDescent="0.2">
      <c r="Z37851" t="str">
        <f t="shared" si="591"/>
        <v/>
      </c>
    </row>
    <row r="37852" spans="26:26" x14ac:dyDescent="0.2">
      <c r="Z37852" t="str">
        <f t="shared" si="591"/>
        <v/>
      </c>
    </row>
    <row r="37853" spans="26:26" x14ac:dyDescent="0.2">
      <c r="Z37853" t="str">
        <f t="shared" si="591"/>
        <v/>
      </c>
    </row>
    <row r="37854" spans="26:26" x14ac:dyDescent="0.2">
      <c r="Z37854" t="str">
        <f t="shared" si="591"/>
        <v/>
      </c>
    </row>
    <row r="37855" spans="26:26" x14ac:dyDescent="0.2">
      <c r="Z37855" t="str">
        <f t="shared" si="591"/>
        <v/>
      </c>
    </row>
    <row r="37856" spans="26:26" x14ac:dyDescent="0.2">
      <c r="Z37856" t="str">
        <f t="shared" si="591"/>
        <v/>
      </c>
    </row>
    <row r="37857" spans="26:26" x14ac:dyDescent="0.2">
      <c r="Z37857" t="str">
        <f t="shared" si="591"/>
        <v/>
      </c>
    </row>
    <row r="37858" spans="26:26" x14ac:dyDescent="0.2">
      <c r="Z37858" t="str">
        <f t="shared" si="591"/>
        <v/>
      </c>
    </row>
    <row r="37859" spans="26:26" x14ac:dyDescent="0.2">
      <c r="Z37859" t="str">
        <f t="shared" si="591"/>
        <v/>
      </c>
    </row>
    <row r="37860" spans="26:26" x14ac:dyDescent="0.2">
      <c r="Z37860" t="str">
        <f t="shared" si="591"/>
        <v/>
      </c>
    </row>
    <row r="37861" spans="26:26" x14ac:dyDescent="0.2">
      <c r="Z37861" t="str">
        <f t="shared" si="591"/>
        <v/>
      </c>
    </row>
    <row r="37862" spans="26:26" x14ac:dyDescent="0.2">
      <c r="Z37862" t="str">
        <f t="shared" si="591"/>
        <v/>
      </c>
    </row>
    <row r="37863" spans="26:26" x14ac:dyDescent="0.2">
      <c r="Z37863" t="str">
        <f t="shared" si="591"/>
        <v/>
      </c>
    </row>
    <row r="37864" spans="26:26" x14ac:dyDescent="0.2">
      <c r="Z37864" t="str">
        <f t="shared" si="591"/>
        <v/>
      </c>
    </row>
    <row r="37865" spans="26:26" x14ac:dyDescent="0.2">
      <c r="Z37865" t="str">
        <f t="shared" si="591"/>
        <v/>
      </c>
    </row>
    <row r="37866" spans="26:26" x14ac:dyDescent="0.2">
      <c r="Z37866" t="str">
        <f t="shared" si="591"/>
        <v/>
      </c>
    </row>
    <row r="37867" spans="26:26" x14ac:dyDescent="0.2">
      <c r="Z37867" t="str">
        <f t="shared" si="591"/>
        <v/>
      </c>
    </row>
    <row r="37868" spans="26:26" x14ac:dyDescent="0.2">
      <c r="Z37868" t="str">
        <f t="shared" si="591"/>
        <v/>
      </c>
    </row>
    <row r="37869" spans="26:26" x14ac:dyDescent="0.2">
      <c r="Z37869" t="str">
        <f t="shared" si="591"/>
        <v/>
      </c>
    </row>
    <row r="37870" spans="26:26" x14ac:dyDescent="0.2">
      <c r="Z37870" t="str">
        <f t="shared" si="591"/>
        <v/>
      </c>
    </row>
    <row r="37871" spans="26:26" x14ac:dyDescent="0.2">
      <c r="Z37871" t="str">
        <f t="shared" si="591"/>
        <v/>
      </c>
    </row>
    <row r="37872" spans="26:26" x14ac:dyDescent="0.2">
      <c r="Z37872" t="str">
        <f t="shared" si="591"/>
        <v/>
      </c>
    </row>
    <row r="37873" spans="26:26" x14ac:dyDescent="0.2">
      <c r="Z37873" t="str">
        <f t="shared" si="591"/>
        <v/>
      </c>
    </row>
    <row r="37874" spans="26:26" x14ac:dyDescent="0.2">
      <c r="Z37874" t="str">
        <f t="shared" si="591"/>
        <v/>
      </c>
    </row>
    <row r="37875" spans="26:26" x14ac:dyDescent="0.2">
      <c r="Z37875" t="str">
        <f t="shared" si="591"/>
        <v/>
      </c>
    </row>
    <row r="37876" spans="26:26" x14ac:dyDescent="0.2">
      <c r="Z37876" t="str">
        <f t="shared" si="591"/>
        <v/>
      </c>
    </row>
    <row r="37877" spans="26:26" x14ac:dyDescent="0.2">
      <c r="Z37877" t="str">
        <f t="shared" si="591"/>
        <v/>
      </c>
    </row>
    <row r="37878" spans="26:26" x14ac:dyDescent="0.2">
      <c r="Z37878" t="str">
        <f t="shared" si="591"/>
        <v/>
      </c>
    </row>
    <row r="37879" spans="26:26" x14ac:dyDescent="0.2">
      <c r="Z37879" t="str">
        <f t="shared" si="591"/>
        <v/>
      </c>
    </row>
    <row r="37880" spans="26:26" x14ac:dyDescent="0.2">
      <c r="Z37880" t="str">
        <f t="shared" si="591"/>
        <v/>
      </c>
    </row>
    <row r="37881" spans="26:26" x14ac:dyDescent="0.2">
      <c r="Z37881" t="str">
        <f t="shared" si="591"/>
        <v/>
      </c>
    </row>
    <row r="37882" spans="26:26" x14ac:dyDescent="0.2">
      <c r="Z37882" t="str">
        <f t="shared" si="591"/>
        <v/>
      </c>
    </row>
    <row r="37883" spans="26:26" x14ac:dyDescent="0.2">
      <c r="Z37883" t="str">
        <f t="shared" si="591"/>
        <v/>
      </c>
    </row>
    <row r="37884" spans="26:26" x14ac:dyDescent="0.2">
      <c r="Z37884" t="str">
        <f t="shared" si="591"/>
        <v/>
      </c>
    </row>
    <row r="37885" spans="26:26" x14ac:dyDescent="0.2">
      <c r="Z37885" t="str">
        <f t="shared" si="591"/>
        <v/>
      </c>
    </row>
    <row r="37886" spans="26:26" x14ac:dyDescent="0.2">
      <c r="Z37886" t="str">
        <f t="shared" si="591"/>
        <v/>
      </c>
    </row>
    <row r="37887" spans="26:26" x14ac:dyDescent="0.2">
      <c r="Z37887" t="str">
        <f t="shared" si="591"/>
        <v/>
      </c>
    </row>
    <row r="37888" spans="26:26" x14ac:dyDescent="0.2">
      <c r="Z37888" t="str">
        <f t="shared" si="591"/>
        <v/>
      </c>
    </row>
    <row r="37889" spans="26:26" x14ac:dyDescent="0.2">
      <c r="Z37889" t="str">
        <f t="shared" si="591"/>
        <v/>
      </c>
    </row>
    <row r="37890" spans="26:26" x14ac:dyDescent="0.2">
      <c r="Z37890" t="str">
        <f t="shared" si="591"/>
        <v/>
      </c>
    </row>
    <row r="37891" spans="26:26" x14ac:dyDescent="0.2">
      <c r="Z37891" t="str">
        <f t="shared" ref="Z37891:Z37954" si="592">IF(K37891="","",IFERROR(VALUE(TRIM(MID(K37891,FIND(CHAR(167),SUBSTITUTE(K37891,"-",CHAR(167),LEN(K37891)-LEN(SUBSTITUTE(K37891,"-",""))))+1,100))),K37891))</f>
        <v/>
      </c>
    </row>
    <row r="37892" spans="26:26" x14ac:dyDescent="0.2">
      <c r="Z37892" t="str">
        <f t="shared" si="592"/>
        <v/>
      </c>
    </row>
    <row r="37893" spans="26:26" x14ac:dyDescent="0.2">
      <c r="Z37893" t="str">
        <f t="shared" si="592"/>
        <v/>
      </c>
    </row>
    <row r="37894" spans="26:26" x14ac:dyDescent="0.2">
      <c r="Z37894" t="str">
        <f t="shared" si="592"/>
        <v/>
      </c>
    </row>
    <row r="37895" spans="26:26" x14ac:dyDescent="0.2">
      <c r="Z37895" t="str">
        <f t="shared" si="592"/>
        <v/>
      </c>
    </row>
    <row r="37896" spans="26:26" x14ac:dyDescent="0.2">
      <c r="Z37896" t="str">
        <f t="shared" si="592"/>
        <v/>
      </c>
    </row>
    <row r="37897" spans="26:26" x14ac:dyDescent="0.2">
      <c r="Z37897" t="str">
        <f t="shared" si="592"/>
        <v/>
      </c>
    </row>
    <row r="37898" spans="26:26" x14ac:dyDescent="0.2">
      <c r="Z37898" t="str">
        <f t="shared" si="592"/>
        <v/>
      </c>
    </row>
    <row r="37899" spans="26:26" x14ac:dyDescent="0.2">
      <c r="Z37899" t="str">
        <f t="shared" si="592"/>
        <v/>
      </c>
    </row>
    <row r="37900" spans="26:26" x14ac:dyDescent="0.2">
      <c r="Z37900" t="str">
        <f t="shared" si="592"/>
        <v/>
      </c>
    </row>
    <row r="37901" spans="26:26" x14ac:dyDescent="0.2">
      <c r="Z37901" t="str">
        <f t="shared" si="592"/>
        <v/>
      </c>
    </row>
    <row r="37902" spans="26:26" x14ac:dyDescent="0.2">
      <c r="Z37902" t="str">
        <f t="shared" si="592"/>
        <v/>
      </c>
    </row>
    <row r="37903" spans="26:26" x14ac:dyDescent="0.2">
      <c r="Z37903" t="str">
        <f t="shared" si="592"/>
        <v/>
      </c>
    </row>
    <row r="37904" spans="26:26" x14ac:dyDescent="0.2">
      <c r="Z37904" t="str">
        <f t="shared" si="592"/>
        <v/>
      </c>
    </row>
    <row r="37905" spans="26:26" x14ac:dyDescent="0.2">
      <c r="Z37905" t="str">
        <f t="shared" si="592"/>
        <v/>
      </c>
    </row>
    <row r="37906" spans="26:26" x14ac:dyDescent="0.2">
      <c r="Z37906" t="str">
        <f t="shared" si="592"/>
        <v/>
      </c>
    </row>
    <row r="37907" spans="26:26" x14ac:dyDescent="0.2">
      <c r="Z37907" t="str">
        <f t="shared" si="592"/>
        <v/>
      </c>
    </row>
    <row r="37908" spans="26:26" x14ac:dyDescent="0.2">
      <c r="Z37908" t="str">
        <f t="shared" si="592"/>
        <v/>
      </c>
    </row>
    <row r="37909" spans="26:26" x14ac:dyDescent="0.2">
      <c r="Z37909" t="str">
        <f t="shared" si="592"/>
        <v/>
      </c>
    </row>
    <row r="37910" spans="26:26" x14ac:dyDescent="0.2">
      <c r="Z37910" t="str">
        <f t="shared" si="592"/>
        <v/>
      </c>
    </row>
    <row r="37911" spans="26:26" x14ac:dyDescent="0.2">
      <c r="Z37911" t="str">
        <f t="shared" si="592"/>
        <v/>
      </c>
    </row>
    <row r="37912" spans="26:26" x14ac:dyDescent="0.2">
      <c r="Z37912" t="str">
        <f t="shared" si="592"/>
        <v/>
      </c>
    </row>
    <row r="37913" spans="26:26" x14ac:dyDescent="0.2">
      <c r="Z37913" t="str">
        <f t="shared" si="592"/>
        <v/>
      </c>
    </row>
    <row r="37914" spans="26:26" x14ac:dyDescent="0.2">
      <c r="Z37914" t="str">
        <f t="shared" si="592"/>
        <v/>
      </c>
    </row>
    <row r="37915" spans="26:26" x14ac:dyDescent="0.2">
      <c r="Z37915" t="str">
        <f t="shared" si="592"/>
        <v/>
      </c>
    </row>
    <row r="37916" spans="26:26" x14ac:dyDescent="0.2">
      <c r="Z37916" t="str">
        <f t="shared" si="592"/>
        <v/>
      </c>
    </row>
    <row r="37917" spans="26:26" x14ac:dyDescent="0.2">
      <c r="Z37917" t="str">
        <f t="shared" si="592"/>
        <v/>
      </c>
    </row>
    <row r="37918" spans="26:26" x14ac:dyDescent="0.2">
      <c r="Z37918" t="str">
        <f t="shared" si="592"/>
        <v/>
      </c>
    </row>
    <row r="37919" spans="26:26" x14ac:dyDescent="0.2">
      <c r="Z37919" t="str">
        <f t="shared" si="592"/>
        <v/>
      </c>
    </row>
    <row r="37920" spans="26:26" x14ac:dyDescent="0.2">
      <c r="Z37920" t="str">
        <f t="shared" si="592"/>
        <v/>
      </c>
    </row>
    <row r="37921" spans="26:26" x14ac:dyDescent="0.2">
      <c r="Z37921" t="str">
        <f t="shared" si="592"/>
        <v/>
      </c>
    </row>
    <row r="37922" spans="26:26" x14ac:dyDescent="0.2">
      <c r="Z37922" t="str">
        <f t="shared" si="592"/>
        <v/>
      </c>
    </row>
    <row r="37923" spans="26:26" x14ac:dyDescent="0.2">
      <c r="Z37923" t="str">
        <f t="shared" si="592"/>
        <v/>
      </c>
    </row>
    <row r="37924" spans="26:26" x14ac:dyDescent="0.2">
      <c r="Z37924" t="str">
        <f t="shared" si="592"/>
        <v/>
      </c>
    </row>
    <row r="37925" spans="26:26" x14ac:dyDescent="0.2">
      <c r="Z37925" t="str">
        <f t="shared" si="592"/>
        <v/>
      </c>
    </row>
    <row r="37926" spans="26:26" x14ac:dyDescent="0.2">
      <c r="Z37926" t="str">
        <f t="shared" si="592"/>
        <v/>
      </c>
    </row>
    <row r="37927" spans="26:26" x14ac:dyDescent="0.2">
      <c r="Z37927" t="str">
        <f t="shared" si="592"/>
        <v/>
      </c>
    </row>
    <row r="37928" spans="26:26" x14ac:dyDescent="0.2">
      <c r="Z37928" t="str">
        <f t="shared" si="592"/>
        <v/>
      </c>
    </row>
    <row r="37929" spans="26:26" x14ac:dyDescent="0.2">
      <c r="Z37929" t="str">
        <f t="shared" si="592"/>
        <v/>
      </c>
    </row>
    <row r="37930" spans="26:26" x14ac:dyDescent="0.2">
      <c r="Z37930" t="str">
        <f t="shared" si="592"/>
        <v/>
      </c>
    </row>
    <row r="37931" spans="26:26" x14ac:dyDescent="0.2">
      <c r="Z37931" t="str">
        <f t="shared" si="592"/>
        <v/>
      </c>
    </row>
    <row r="37932" spans="26:26" x14ac:dyDescent="0.2">
      <c r="Z37932" t="str">
        <f t="shared" si="592"/>
        <v/>
      </c>
    </row>
    <row r="37933" spans="26:26" x14ac:dyDescent="0.2">
      <c r="Z37933" t="str">
        <f t="shared" si="592"/>
        <v/>
      </c>
    </row>
    <row r="37934" spans="26:26" x14ac:dyDescent="0.2">
      <c r="Z37934" t="str">
        <f t="shared" si="592"/>
        <v/>
      </c>
    </row>
    <row r="37935" spans="26:26" x14ac:dyDescent="0.2">
      <c r="Z37935" t="str">
        <f t="shared" si="592"/>
        <v/>
      </c>
    </row>
    <row r="37936" spans="26:26" x14ac:dyDescent="0.2">
      <c r="Z37936" t="str">
        <f t="shared" si="592"/>
        <v/>
      </c>
    </row>
    <row r="37937" spans="26:26" x14ac:dyDescent="0.2">
      <c r="Z37937" t="str">
        <f t="shared" si="592"/>
        <v/>
      </c>
    </row>
    <row r="37938" spans="26:26" x14ac:dyDescent="0.2">
      <c r="Z37938" t="str">
        <f t="shared" si="592"/>
        <v/>
      </c>
    </row>
    <row r="37939" spans="26:26" x14ac:dyDescent="0.2">
      <c r="Z37939" t="str">
        <f t="shared" si="592"/>
        <v/>
      </c>
    </row>
    <row r="37940" spans="26:26" x14ac:dyDescent="0.2">
      <c r="Z37940" t="str">
        <f t="shared" si="592"/>
        <v/>
      </c>
    </row>
    <row r="37941" spans="26:26" x14ac:dyDescent="0.2">
      <c r="Z37941" t="str">
        <f t="shared" si="592"/>
        <v/>
      </c>
    </row>
    <row r="37942" spans="26:26" x14ac:dyDescent="0.2">
      <c r="Z37942" t="str">
        <f t="shared" si="592"/>
        <v/>
      </c>
    </row>
    <row r="37943" spans="26:26" x14ac:dyDescent="0.2">
      <c r="Z37943" t="str">
        <f t="shared" si="592"/>
        <v/>
      </c>
    </row>
    <row r="37944" spans="26:26" x14ac:dyDescent="0.2">
      <c r="Z37944" t="str">
        <f t="shared" si="592"/>
        <v/>
      </c>
    </row>
    <row r="37945" spans="26:26" x14ac:dyDescent="0.2">
      <c r="Z37945" t="str">
        <f t="shared" si="592"/>
        <v/>
      </c>
    </row>
    <row r="37946" spans="26:26" x14ac:dyDescent="0.2">
      <c r="Z37946" t="str">
        <f t="shared" si="592"/>
        <v/>
      </c>
    </row>
    <row r="37947" spans="26:26" x14ac:dyDescent="0.2">
      <c r="Z37947" t="str">
        <f t="shared" si="592"/>
        <v/>
      </c>
    </row>
    <row r="37948" spans="26:26" x14ac:dyDescent="0.2">
      <c r="Z37948" t="str">
        <f t="shared" si="592"/>
        <v/>
      </c>
    </row>
    <row r="37949" spans="26:26" x14ac:dyDescent="0.2">
      <c r="Z37949" t="str">
        <f t="shared" si="592"/>
        <v/>
      </c>
    </row>
    <row r="37950" spans="26:26" x14ac:dyDescent="0.2">
      <c r="Z37950" t="str">
        <f t="shared" si="592"/>
        <v/>
      </c>
    </row>
    <row r="37951" spans="26:26" x14ac:dyDescent="0.2">
      <c r="Z37951" t="str">
        <f t="shared" si="592"/>
        <v/>
      </c>
    </row>
    <row r="37952" spans="26:26" x14ac:dyDescent="0.2">
      <c r="Z37952" t="str">
        <f t="shared" si="592"/>
        <v/>
      </c>
    </row>
    <row r="37953" spans="26:26" x14ac:dyDescent="0.2">
      <c r="Z37953" t="str">
        <f t="shared" si="592"/>
        <v/>
      </c>
    </row>
    <row r="37954" spans="26:26" x14ac:dyDescent="0.2">
      <c r="Z37954" t="str">
        <f t="shared" si="592"/>
        <v/>
      </c>
    </row>
    <row r="37955" spans="26:26" x14ac:dyDescent="0.2">
      <c r="Z37955" t="str">
        <f t="shared" ref="Z37955:Z38018" si="593">IF(K37955="","",IFERROR(VALUE(TRIM(MID(K37955,FIND(CHAR(167),SUBSTITUTE(K37955,"-",CHAR(167),LEN(K37955)-LEN(SUBSTITUTE(K37955,"-",""))))+1,100))),K37955))</f>
        <v/>
      </c>
    </row>
    <row r="37956" spans="26:26" x14ac:dyDescent="0.2">
      <c r="Z37956" t="str">
        <f t="shared" si="593"/>
        <v/>
      </c>
    </row>
    <row r="37957" spans="26:26" x14ac:dyDescent="0.2">
      <c r="Z37957" t="str">
        <f t="shared" si="593"/>
        <v/>
      </c>
    </row>
    <row r="37958" spans="26:26" x14ac:dyDescent="0.2">
      <c r="Z37958" t="str">
        <f t="shared" si="593"/>
        <v/>
      </c>
    </row>
    <row r="37959" spans="26:26" x14ac:dyDescent="0.2">
      <c r="Z37959" t="str">
        <f t="shared" si="593"/>
        <v/>
      </c>
    </row>
    <row r="37960" spans="26:26" x14ac:dyDescent="0.2">
      <c r="Z37960" t="str">
        <f t="shared" si="593"/>
        <v/>
      </c>
    </row>
    <row r="37961" spans="26:26" x14ac:dyDescent="0.2">
      <c r="Z37961" t="str">
        <f t="shared" si="593"/>
        <v/>
      </c>
    </row>
    <row r="37962" spans="26:26" x14ac:dyDescent="0.2">
      <c r="Z37962" t="str">
        <f t="shared" si="593"/>
        <v/>
      </c>
    </row>
    <row r="37963" spans="26:26" x14ac:dyDescent="0.2">
      <c r="Z37963" t="str">
        <f t="shared" si="593"/>
        <v/>
      </c>
    </row>
    <row r="37964" spans="26:26" x14ac:dyDescent="0.2">
      <c r="Z37964" t="str">
        <f t="shared" si="593"/>
        <v/>
      </c>
    </row>
    <row r="37965" spans="26:26" x14ac:dyDescent="0.2">
      <c r="Z37965" t="str">
        <f t="shared" si="593"/>
        <v/>
      </c>
    </row>
    <row r="37966" spans="26:26" x14ac:dyDescent="0.2">
      <c r="Z37966" t="str">
        <f t="shared" si="593"/>
        <v/>
      </c>
    </row>
    <row r="37967" spans="26:26" x14ac:dyDescent="0.2">
      <c r="Z37967" t="str">
        <f t="shared" si="593"/>
        <v/>
      </c>
    </row>
    <row r="37968" spans="26:26" x14ac:dyDescent="0.2">
      <c r="Z37968" t="str">
        <f t="shared" si="593"/>
        <v/>
      </c>
    </row>
    <row r="37969" spans="26:26" x14ac:dyDescent="0.2">
      <c r="Z37969" t="str">
        <f t="shared" si="593"/>
        <v/>
      </c>
    </row>
    <row r="37970" spans="26:26" x14ac:dyDescent="0.2">
      <c r="Z37970" t="str">
        <f t="shared" si="593"/>
        <v/>
      </c>
    </row>
    <row r="37971" spans="26:26" x14ac:dyDescent="0.2">
      <c r="Z37971" t="str">
        <f t="shared" si="593"/>
        <v/>
      </c>
    </row>
    <row r="37972" spans="26:26" x14ac:dyDescent="0.2">
      <c r="Z37972" t="str">
        <f t="shared" si="593"/>
        <v/>
      </c>
    </row>
    <row r="37973" spans="26:26" x14ac:dyDescent="0.2">
      <c r="Z37973" t="str">
        <f t="shared" si="593"/>
        <v/>
      </c>
    </row>
    <row r="37974" spans="26:26" x14ac:dyDescent="0.2">
      <c r="Z37974" t="str">
        <f t="shared" si="593"/>
        <v/>
      </c>
    </row>
    <row r="37975" spans="26:26" x14ac:dyDescent="0.2">
      <c r="Z37975" t="str">
        <f t="shared" si="593"/>
        <v/>
      </c>
    </row>
    <row r="37976" spans="26:26" x14ac:dyDescent="0.2">
      <c r="Z37976" t="str">
        <f t="shared" si="593"/>
        <v/>
      </c>
    </row>
    <row r="37977" spans="26:26" x14ac:dyDescent="0.2">
      <c r="Z37977" t="str">
        <f t="shared" si="593"/>
        <v/>
      </c>
    </row>
    <row r="37978" spans="26:26" x14ac:dyDescent="0.2">
      <c r="Z37978" t="str">
        <f t="shared" si="593"/>
        <v/>
      </c>
    </row>
    <row r="37979" spans="26:26" x14ac:dyDescent="0.2">
      <c r="Z37979" t="str">
        <f t="shared" si="593"/>
        <v/>
      </c>
    </row>
    <row r="37980" spans="26:26" x14ac:dyDescent="0.2">
      <c r="Z37980" t="str">
        <f t="shared" si="593"/>
        <v/>
      </c>
    </row>
    <row r="37981" spans="26:26" x14ac:dyDescent="0.2">
      <c r="Z37981" t="str">
        <f t="shared" si="593"/>
        <v/>
      </c>
    </row>
    <row r="37982" spans="26:26" x14ac:dyDescent="0.2">
      <c r="Z37982" t="str">
        <f t="shared" si="593"/>
        <v/>
      </c>
    </row>
    <row r="37983" spans="26:26" x14ac:dyDescent="0.2">
      <c r="Z37983" t="str">
        <f t="shared" si="593"/>
        <v/>
      </c>
    </row>
    <row r="37984" spans="26:26" x14ac:dyDescent="0.2">
      <c r="Z37984" t="str">
        <f t="shared" si="593"/>
        <v/>
      </c>
    </row>
    <row r="37985" spans="26:26" x14ac:dyDescent="0.2">
      <c r="Z37985" t="str">
        <f t="shared" si="593"/>
        <v/>
      </c>
    </row>
    <row r="37986" spans="26:26" x14ac:dyDescent="0.2">
      <c r="Z37986" t="str">
        <f t="shared" si="593"/>
        <v/>
      </c>
    </row>
    <row r="37987" spans="26:26" x14ac:dyDescent="0.2">
      <c r="Z37987" t="str">
        <f t="shared" si="593"/>
        <v/>
      </c>
    </row>
    <row r="37988" spans="26:26" x14ac:dyDescent="0.2">
      <c r="Z37988" t="str">
        <f t="shared" si="593"/>
        <v/>
      </c>
    </row>
    <row r="37989" spans="26:26" x14ac:dyDescent="0.2">
      <c r="Z37989" t="str">
        <f t="shared" si="593"/>
        <v/>
      </c>
    </row>
    <row r="37990" spans="26:26" x14ac:dyDescent="0.2">
      <c r="Z37990" t="str">
        <f t="shared" si="593"/>
        <v/>
      </c>
    </row>
    <row r="37991" spans="26:26" x14ac:dyDescent="0.2">
      <c r="Z37991" t="str">
        <f t="shared" si="593"/>
        <v/>
      </c>
    </row>
    <row r="37992" spans="26:26" x14ac:dyDescent="0.2">
      <c r="Z37992" t="str">
        <f t="shared" si="593"/>
        <v/>
      </c>
    </row>
    <row r="37993" spans="26:26" x14ac:dyDescent="0.2">
      <c r="Z37993" t="str">
        <f t="shared" si="593"/>
        <v/>
      </c>
    </row>
    <row r="37994" spans="26:26" x14ac:dyDescent="0.2">
      <c r="Z37994" t="str">
        <f t="shared" si="593"/>
        <v/>
      </c>
    </row>
    <row r="37995" spans="26:26" x14ac:dyDescent="0.2">
      <c r="Z37995" t="str">
        <f t="shared" si="593"/>
        <v/>
      </c>
    </row>
    <row r="37996" spans="26:26" x14ac:dyDescent="0.2">
      <c r="Z37996" t="str">
        <f t="shared" si="593"/>
        <v/>
      </c>
    </row>
    <row r="37997" spans="26:26" x14ac:dyDescent="0.2">
      <c r="Z37997" t="str">
        <f t="shared" si="593"/>
        <v/>
      </c>
    </row>
    <row r="37998" spans="26:26" x14ac:dyDescent="0.2">
      <c r="Z37998" t="str">
        <f t="shared" si="593"/>
        <v/>
      </c>
    </row>
    <row r="37999" spans="26:26" x14ac:dyDescent="0.2">
      <c r="Z37999" t="str">
        <f t="shared" si="593"/>
        <v/>
      </c>
    </row>
    <row r="38000" spans="26:26" x14ac:dyDescent="0.2">
      <c r="Z38000" t="str">
        <f t="shared" si="593"/>
        <v/>
      </c>
    </row>
    <row r="38001" spans="26:26" x14ac:dyDescent="0.2">
      <c r="Z38001" t="str">
        <f t="shared" si="593"/>
        <v/>
      </c>
    </row>
    <row r="38002" spans="26:26" x14ac:dyDescent="0.2">
      <c r="Z38002" t="str">
        <f t="shared" si="593"/>
        <v/>
      </c>
    </row>
    <row r="38003" spans="26:26" x14ac:dyDescent="0.2">
      <c r="Z38003" t="str">
        <f t="shared" si="593"/>
        <v/>
      </c>
    </row>
    <row r="38004" spans="26:26" x14ac:dyDescent="0.2">
      <c r="Z38004" t="str">
        <f t="shared" si="593"/>
        <v/>
      </c>
    </row>
    <row r="38005" spans="26:26" x14ac:dyDescent="0.2">
      <c r="Z38005" t="str">
        <f t="shared" si="593"/>
        <v/>
      </c>
    </row>
    <row r="38006" spans="26:26" x14ac:dyDescent="0.2">
      <c r="Z38006" t="str">
        <f t="shared" si="593"/>
        <v/>
      </c>
    </row>
    <row r="38007" spans="26:26" x14ac:dyDescent="0.2">
      <c r="Z38007" t="str">
        <f t="shared" si="593"/>
        <v/>
      </c>
    </row>
    <row r="38008" spans="26:26" x14ac:dyDescent="0.2">
      <c r="Z38008" t="str">
        <f t="shared" si="593"/>
        <v/>
      </c>
    </row>
    <row r="38009" spans="26:26" x14ac:dyDescent="0.2">
      <c r="Z38009" t="str">
        <f t="shared" si="593"/>
        <v/>
      </c>
    </row>
    <row r="38010" spans="26:26" x14ac:dyDescent="0.2">
      <c r="Z38010" t="str">
        <f t="shared" si="593"/>
        <v/>
      </c>
    </row>
    <row r="38011" spans="26:26" x14ac:dyDescent="0.2">
      <c r="Z38011" t="str">
        <f t="shared" si="593"/>
        <v/>
      </c>
    </row>
    <row r="38012" spans="26:26" x14ac:dyDescent="0.2">
      <c r="Z38012" t="str">
        <f t="shared" si="593"/>
        <v/>
      </c>
    </row>
    <row r="38013" spans="26:26" x14ac:dyDescent="0.2">
      <c r="Z38013" t="str">
        <f t="shared" si="593"/>
        <v/>
      </c>
    </row>
    <row r="38014" spans="26:26" x14ac:dyDescent="0.2">
      <c r="Z38014" t="str">
        <f t="shared" si="593"/>
        <v/>
      </c>
    </row>
    <row r="38015" spans="26:26" x14ac:dyDescent="0.2">
      <c r="Z38015" t="str">
        <f t="shared" si="593"/>
        <v/>
      </c>
    </row>
    <row r="38016" spans="26:26" x14ac:dyDescent="0.2">
      <c r="Z38016" t="str">
        <f t="shared" si="593"/>
        <v/>
      </c>
    </row>
    <row r="38017" spans="26:26" x14ac:dyDescent="0.2">
      <c r="Z38017" t="str">
        <f t="shared" si="593"/>
        <v/>
      </c>
    </row>
    <row r="38018" spans="26:26" x14ac:dyDescent="0.2">
      <c r="Z38018" t="str">
        <f t="shared" si="593"/>
        <v/>
      </c>
    </row>
    <row r="38019" spans="26:26" x14ac:dyDescent="0.2">
      <c r="Z38019" t="str">
        <f t="shared" ref="Z38019:Z38082" si="594">IF(K38019="","",IFERROR(VALUE(TRIM(MID(K38019,FIND(CHAR(167),SUBSTITUTE(K38019,"-",CHAR(167),LEN(K38019)-LEN(SUBSTITUTE(K38019,"-",""))))+1,100))),K38019))</f>
        <v/>
      </c>
    </row>
    <row r="38020" spans="26:26" x14ac:dyDescent="0.2">
      <c r="Z38020" t="str">
        <f t="shared" si="594"/>
        <v/>
      </c>
    </row>
    <row r="38021" spans="26:26" x14ac:dyDescent="0.2">
      <c r="Z38021" t="str">
        <f t="shared" si="594"/>
        <v/>
      </c>
    </row>
    <row r="38022" spans="26:26" x14ac:dyDescent="0.2">
      <c r="Z38022" t="str">
        <f t="shared" si="594"/>
        <v/>
      </c>
    </row>
    <row r="38023" spans="26:26" x14ac:dyDescent="0.2">
      <c r="Z38023" t="str">
        <f t="shared" si="594"/>
        <v/>
      </c>
    </row>
    <row r="38024" spans="26:26" x14ac:dyDescent="0.2">
      <c r="Z38024" t="str">
        <f t="shared" si="594"/>
        <v/>
      </c>
    </row>
    <row r="38025" spans="26:26" x14ac:dyDescent="0.2">
      <c r="Z38025" t="str">
        <f t="shared" si="594"/>
        <v/>
      </c>
    </row>
    <row r="38026" spans="26:26" x14ac:dyDescent="0.2">
      <c r="Z38026" t="str">
        <f t="shared" si="594"/>
        <v/>
      </c>
    </row>
    <row r="38027" spans="26:26" x14ac:dyDescent="0.2">
      <c r="Z38027" t="str">
        <f t="shared" si="594"/>
        <v/>
      </c>
    </row>
    <row r="38028" spans="26:26" x14ac:dyDescent="0.2">
      <c r="Z38028" t="str">
        <f t="shared" si="594"/>
        <v/>
      </c>
    </row>
    <row r="38029" spans="26:26" x14ac:dyDescent="0.2">
      <c r="Z38029" t="str">
        <f t="shared" si="594"/>
        <v/>
      </c>
    </row>
    <row r="38030" spans="26:26" x14ac:dyDescent="0.2">
      <c r="Z38030" t="str">
        <f t="shared" si="594"/>
        <v/>
      </c>
    </row>
    <row r="38031" spans="26:26" x14ac:dyDescent="0.2">
      <c r="Z38031" t="str">
        <f t="shared" si="594"/>
        <v/>
      </c>
    </row>
    <row r="38032" spans="26:26" x14ac:dyDescent="0.2">
      <c r="Z38032" t="str">
        <f t="shared" si="594"/>
        <v/>
      </c>
    </row>
    <row r="38033" spans="26:26" x14ac:dyDescent="0.2">
      <c r="Z38033" t="str">
        <f t="shared" si="594"/>
        <v/>
      </c>
    </row>
    <row r="38034" spans="26:26" x14ac:dyDescent="0.2">
      <c r="Z38034" t="str">
        <f t="shared" si="594"/>
        <v/>
      </c>
    </row>
    <row r="38035" spans="26:26" x14ac:dyDescent="0.2">
      <c r="Z38035" t="str">
        <f t="shared" si="594"/>
        <v/>
      </c>
    </row>
    <row r="38036" spans="26:26" x14ac:dyDescent="0.2">
      <c r="Z38036" t="str">
        <f t="shared" si="594"/>
        <v/>
      </c>
    </row>
    <row r="38037" spans="26:26" x14ac:dyDescent="0.2">
      <c r="Z38037" t="str">
        <f t="shared" si="594"/>
        <v/>
      </c>
    </row>
    <row r="38038" spans="26:26" x14ac:dyDescent="0.2">
      <c r="Z38038" t="str">
        <f t="shared" si="594"/>
        <v/>
      </c>
    </row>
    <row r="38039" spans="26:26" x14ac:dyDescent="0.2">
      <c r="Z38039" t="str">
        <f t="shared" si="594"/>
        <v/>
      </c>
    </row>
    <row r="38040" spans="26:26" x14ac:dyDescent="0.2">
      <c r="Z38040" t="str">
        <f t="shared" si="594"/>
        <v/>
      </c>
    </row>
    <row r="38041" spans="26:26" x14ac:dyDescent="0.2">
      <c r="Z38041" t="str">
        <f t="shared" si="594"/>
        <v/>
      </c>
    </row>
    <row r="38042" spans="26:26" x14ac:dyDescent="0.2">
      <c r="Z38042" t="str">
        <f t="shared" si="594"/>
        <v/>
      </c>
    </row>
    <row r="38043" spans="26:26" x14ac:dyDescent="0.2">
      <c r="Z38043" t="str">
        <f t="shared" si="594"/>
        <v/>
      </c>
    </row>
    <row r="38044" spans="26:26" x14ac:dyDescent="0.2">
      <c r="Z38044" t="str">
        <f t="shared" si="594"/>
        <v/>
      </c>
    </row>
    <row r="38045" spans="26:26" x14ac:dyDescent="0.2">
      <c r="Z38045" t="str">
        <f t="shared" si="594"/>
        <v/>
      </c>
    </row>
    <row r="38046" spans="26:26" x14ac:dyDescent="0.2">
      <c r="Z38046" t="str">
        <f t="shared" si="594"/>
        <v/>
      </c>
    </row>
    <row r="38047" spans="26:26" x14ac:dyDescent="0.2">
      <c r="Z38047" t="str">
        <f t="shared" si="594"/>
        <v/>
      </c>
    </row>
    <row r="38048" spans="26:26" x14ac:dyDescent="0.2">
      <c r="Z38048" t="str">
        <f t="shared" si="594"/>
        <v/>
      </c>
    </row>
    <row r="38049" spans="26:26" x14ac:dyDescent="0.2">
      <c r="Z38049" t="str">
        <f t="shared" si="594"/>
        <v/>
      </c>
    </row>
    <row r="38050" spans="26:26" x14ac:dyDescent="0.2">
      <c r="Z38050" t="str">
        <f t="shared" si="594"/>
        <v/>
      </c>
    </row>
    <row r="38051" spans="26:26" x14ac:dyDescent="0.2">
      <c r="Z38051" t="str">
        <f t="shared" si="594"/>
        <v/>
      </c>
    </row>
    <row r="38052" spans="26:26" x14ac:dyDescent="0.2">
      <c r="Z38052" t="str">
        <f t="shared" si="594"/>
        <v/>
      </c>
    </row>
    <row r="38053" spans="26:26" x14ac:dyDescent="0.2">
      <c r="Z38053" t="str">
        <f t="shared" si="594"/>
        <v/>
      </c>
    </row>
    <row r="38054" spans="26:26" x14ac:dyDescent="0.2">
      <c r="Z38054" t="str">
        <f t="shared" si="594"/>
        <v/>
      </c>
    </row>
    <row r="38055" spans="26:26" x14ac:dyDescent="0.2">
      <c r="Z38055" t="str">
        <f t="shared" si="594"/>
        <v/>
      </c>
    </row>
    <row r="38056" spans="26:26" x14ac:dyDescent="0.2">
      <c r="Z38056" t="str">
        <f t="shared" si="594"/>
        <v/>
      </c>
    </row>
    <row r="38057" spans="26:26" x14ac:dyDescent="0.2">
      <c r="Z38057" t="str">
        <f t="shared" si="594"/>
        <v/>
      </c>
    </row>
    <row r="38058" spans="26:26" x14ac:dyDescent="0.2">
      <c r="Z38058" t="str">
        <f t="shared" si="594"/>
        <v/>
      </c>
    </row>
    <row r="38059" spans="26:26" x14ac:dyDescent="0.2">
      <c r="Z38059" t="str">
        <f t="shared" si="594"/>
        <v/>
      </c>
    </row>
    <row r="38060" spans="26:26" x14ac:dyDescent="0.2">
      <c r="Z38060" t="str">
        <f t="shared" si="594"/>
        <v/>
      </c>
    </row>
    <row r="38061" spans="26:26" x14ac:dyDescent="0.2">
      <c r="Z38061" t="str">
        <f t="shared" si="594"/>
        <v/>
      </c>
    </row>
    <row r="38062" spans="26:26" x14ac:dyDescent="0.2">
      <c r="Z38062" t="str">
        <f t="shared" si="594"/>
        <v/>
      </c>
    </row>
    <row r="38063" spans="26:26" x14ac:dyDescent="0.2">
      <c r="Z38063" t="str">
        <f t="shared" si="594"/>
        <v/>
      </c>
    </row>
    <row r="38064" spans="26:26" x14ac:dyDescent="0.2">
      <c r="Z38064" t="str">
        <f t="shared" si="594"/>
        <v/>
      </c>
    </row>
    <row r="38065" spans="26:26" x14ac:dyDescent="0.2">
      <c r="Z38065" t="str">
        <f t="shared" si="594"/>
        <v/>
      </c>
    </row>
    <row r="38066" spans="26:26" x14ac:dyDescent="0.2">
      <c r="Z38066" t="str">
        <f t="shared" si="594"/>
        <v/>
      </c>
    </row>
    <row r="38067" spans="26:26" x14ac:dyDescent="0.2">
      <c r="Z38067" t="str">
        <f t="shared" si="594"/>
        <v/>
      </c>
    </row>
    <row r="38068" spans="26:26" x14ac:dyDescent="0.2">
      <c r="Z38068" t="str">
        <f t="shared" si="594"/>
        <v/>
      </c>
    </row>
    <row r="38069" spans="26:26" x14ac:dyDescent="0.2">
      <c r="Z38069" t="str">
        <f t="shared" si="594"/>
        <v/>
      </c>
    </row>
    <row r="38070" spans="26:26" x14ac:dyDescent="0.2">
      <c r="Z38070" t="str">
        <f t="shared" si="594"/>
        <v/>
      </c>
    </row>
    <row r="38071" spans="26:26" x14ac:dyDescent="0.2">
      <c r="Z38071" t="str">
        <f t="shared" si="594"/>
        <v/>
      </c>
    </row>
    <row r="38072" spans="26:26" x14ac:dyDescent="0.2">
      <c r="Z38072" t="str">
        <f t="shared" si="594"/>
        <v/>
      </c>
    </row>
    <row r="38073" spans="26:26" x14ac:dyDescent="0.2">
      <c r="Z38073" t="str">
        <f t="shared" si="594"/>
        <v/>
      </c>
    </row>
    <row r="38074" spans="26:26" x14ac:dyDescent="0.2">
      <c r="Z38074" t="str">
        <f t="shared" si="594"/>
        <v/>
      </c>
    </row>
    <row r="38075" spans="26:26" x14ac:dyDescent="0.2">
      <c r="Z38075" t="str">
        <f t="shared" si="594"/>
        <v/>
      </c>
    </row>
    <row r="38076" spans="26:26" x14ac:dyDescent="0.2">
      <c r="Z38076" t="str">
        <f t="shared" si="594"/>
        <v/>
      </c>
    </row>
    <row r="38077" spans="26:26" x14ac:dyDescent="0.2">
      <c r="Z38077" t="str">
        <f t="shared" si="594"/>
        <v/>
      </c>
    </row>
    <row r="38078" spans="26:26" x14ac:dyDescent="0.2">
      <c r="Z38078" t="str">
        <f t="shared" si="594"/>
        <v/>
      </c>
    </row>
    <row r="38079" spans="26:26" x14ac:dyDescent="0.2">
      <c r="Z38079" t="str">
        <f t="shared" si="594"/>
        <v/>
      </c>
    </row>
    <row r="38080" spans="26:26" x14ac:dyDescent="0.2">
      <c r="Z38080" t="str">
        <f t="shared" si="594"/>
        <v/>
      </c>
    </row>
    <row r="38081" spans="26:26" x14ac:dyDescent="0.2">
      <c r="Z38081" t="str">
        <f t="shared" si="594"/>
        <v/>
      </c>
    </row>
    <row r="38082" spans="26:26" x14ac:dyDescent="0.2">
      <c r="Z38082" t="str">
        <f t="shared" si="594"/>
        <v/>
      </c>
    </row>
    <row r="38083" spans="26:26" x14ac:dyDescent="0.2">
      <c r="Z38083" t="str">
        <f t="shared" ref="Z38083:Z38146" si="595">IF(K38083="","",IFERROR(VALUE(TRIM(MID(K38083,FIND(CHAR(167),SUBSTITUTE(K38083,"-",CHAR(167),LEN(K38083)-LEN(SUBSTITUTE(K38083,"-",""))))+1,100))),K38083))</f>
        <v/>
      </c>
    </row>
    <row r="38084" spans="26:26" x14ac:dyDescent="0.2">
      <c r="Z38084" t="str">
        <f t="shared" si="595"/>
        <v/>
      </c>
    </row>
    <row r="38085" spans="26:26" x14ac:dyDescent="0.2">
      <c r="Z38085" t="str">
        <f t="shared" si="595"/>
        <v/>
      </c>
    </row>
    <row r="38086" spans="26:26" x14ac:dyDescent="0.2">
      <c r="Z38086" t="str">
        <f t="shared" si="595"/>
        <v/>
      </c>
    </row>
    <row r="38087" spans="26:26" x14ac:dyDescent="0.2">
      <c r="Z38087" t="str">
        <f t="shared" si="595"/>
        <v/>
      </c>
    </row>
    <row r="38088" spans="26:26" x14ac:dyDescent="0.2">
      <c r="Z38088" t="str">
        <f t="shared" si="595"/>
        <v/>
      </c>
    </row>
    <row r="38089" spans="26:26" x14ac:dyDescent="0.2">
      <c r="Z38089" t="str">
        <f t="shared" si="595"/>
        <v/>
      </c>
    </row>
    <row r="38090" spans="26:26" x14ac:dyDescent="0.2">
      <c r="Z38090" t="str">
        <f t="shared" si="595"/>
        <v/>
      </c>
    </row>
    <row r="38091" spans="26:26" x14ac:dyDescent="0.2">
      <c r="Z38091" t="str">
        <f t="shared" si="595"/>
        <v/>
      </c>
    </row>
    <row r="38092" spans="26:26" x14ac:dyDescent="0.2">
      <c r="Z38092" t="str">
        <f t="shared" si="595"/>
        <v/>
      </c>
    </row>
    <row r="38093" spans="26:26" x14ac:dyDescent="0.2">
      <c r="Z38093" t="str">
        <f t="shared" si="595"/>
        <v/>
      </c>
    </row>
    <row r="38094" spans="26:26" x14ac:dyDescent="0.2">
      <c r="Z38094" t="str">
        <f t="shared" si="595"/>
        <v/>
      </c>
    </row>
    <row r="38095" spans="26:26" x14ac:dyDescent="0.2">
      <c r="Z38095" t="str">
        <f t="shared" si="595"/>
        <v/>
      </c>
    </row>
    <row r="38096" spans="26:26" x14ac:dyDescent="0.2">
      <c r="Z38096" t="str">
        <f t="shared" si="595"/>
        <v/>
      </c>
    </row>
    <row r="38097" spans="26:26" x14ac:dyDescent="0.2">
      <c r="Z38097" t="str">
        <f t="shared" si="595"/>
        <v/>
      </c>
    </row>
    <row r="38098" spans="26:26" x14ac:dyDescent="0.2">
      <c r="Z38098" t="str">
        <f t="shared" si="595"/>
        <v/>
      </c>
    </row>
    <row r="38099" spans="26:26" x14ac:dyDescent="0.2">
      <c r="Z38099" t="str">
        <f t="shared" si="595"/>
        <v/>
      </c>
    </row>
    <row r="38100" spans="26:26" x14ac:dyDescent="0.2">
      <c r="Z38100" t="str">
        <f t="shared" si="595"/>
        <v/>
      </c>
    </row>
    <row r="38101" spans="26:26" x14ac:dyDescent="0.2">
      <c r="Z38101" t="str">
        <f t="shared" si="595"/>
        <v/>
      </c>
    </row>
    <row r="38102" spans="26:26" x14ac:dyDescent="0.2">
      <c r="Z38102" t="str">
        <f t="shared" si="595"/>
        <v/>
      </c>
    </row>
    <row r="38103" spans="26:26" x14ac:dyDescent="0.2">
      <c r="Z38103" t="str">
        <f t="shared" si="595"/>
        <v/>
      </c>
    </row>
    <row r="38104" spans="26:26" x14ac:dyDescent="0.2">
      <c r="Z38104" t="str">
        <f t="shared" si="595"/>
        <v/>
      </c>
    </row>
    <row r="38105" spans="26:26" x14ac:dyDescent="0.2">
      <c r="Z38105" t="str">
        <f t="shared" si="595"/>
        <v/>
      </c>
    </row>
    <row r="38106" spans="26:26" x14ac:dyDescent="0.2">
      <c r="Z38106" t="str">
        <f t="shared" si="595"/>
        <v/>
      </c>
    </row>
    <row r="38107" spans="26:26" x14ac:dyDescent="0.2">
      <c r="Z38107" t="str">
        <f t="shared" si="595"/>
        <v/>
      </c>
    </row>
    <row r="38108" spans="26:26" x14ac:dyDescent="0.2">
      <c r="Z38108" t="str">
        <f t="shared" si="595"/>
        <v/>
      </c>
    </row>
    <row r="38109" spans="26:26" x14ac:dyDescent="0.2">
      <c r="Z38109" t="str">
        <f t="shared" si="595"/>
        <v/>
      </c>
    </row>
    <row r="38110" spans="26:26" x14ac:dyDescent="0.2">
      <c r="Z38110" t="str">
        <f t="shared" si="595"/>
        <v/>
      </c>
    </row>
    <row r="38111" spans="26:26" x14ac:dyDescent="0.2">
      <c r="Z38111" t="str">
        <f t="shared" si="595"/>
        <v/>
      </c>
    </row>
    <row r="38112" spans="26:26" x14ac:dyDescent="0.2">
      <c r="Z38112" t="str">
        <f t="shared" si="595"/>
        <v/>
      </c>
    </row>
    <row r="38113" spans="26:26" x14ac:dyDescent="0.2">
      <c r="Z38113" t="str">
        <f t="shared" si="595"/>
        <v/>
      </c>
    </row>
    <row r="38114" spans="26:26" x14ac:dyDescent="0.2">
      <c r="Z38114" t="str">
        <f t="shared" si="595"/>
        <v/>
      </c>
    </row>
    <row r="38115" spans="26:26" x14ac:dyDescent="0.2">
      <c r="Z38115" t="str">
        <f t="shared" si="595"/>
        <v/>
      </c>
    </row>
    <row r="38116" spans="26:26" x14ac:dyDescent="0.2">
      <c r="Z38116" t="str">
        <f t="shared" si="595"/>
        <v/>
      </c>
    </row>
    <row r="38117" spans="26:26" x14ac:dyDescent="0.2">
      <c r="Z38117" t="str">
        <f t="shared" si="595"/>
        <v/>
      </c>
    </row>
    <row r="38118" spans="26:26" x14ac:dyDescent="0.2">
      <c r="Z38118" t="str">
        <f t="shared" si="595"/>
        <v/>
      </c>
    </row>
    <row r="38119" spans="26:26" x14ac:dyDescent="0.2">
      <c r="Z38119" t="str">
        <f t="shared" si="595"/>
        <v/>
      </c>
    </row>
    <row r="38120" spans="26:26" x14ac:dyDescent="0.2">
      <c r="Z38120" t="str">
        <f t="shared" si="595"/>
        <v/>
      </c>
    </row>
    <row r="38121" spans="26:26" x14ac:dyDescent="0.2">
      <c r="Z38121" t="str">
        <f t="shared" si="595"/>
        <v/>
      </c>
    </row>
    <row r="38122" spans="26:26" x14ac:dyDescent="0.2">
      <c r="Z38122" t="str">
        <f t="shared" si="595"/>
        <v/>
      </c>
    </row>
    <row r="38123" spans="26:26" x14ac:dyDescent="0.2">
      <c r="Z38123" t="str">
        <f t="shared" si="595"/>
        <v/>
      </c>
    </row>
    <row r="38124" spans="26:26" x14ac:dyDescent="0.2">
      <c r="Z38124" t="str">
        <f t="shared" si="595"/>
        <v/>
      </c>
    </row>
    <row r="38125" spans="26:26" x14ac:dyDescent="0.2">
      <c r="Z38125" t="str">
        <f t="shared" si="595"/>
        <v/>
      </c>
    </row>
    <row r="38126" spans="26:26" x14ac:dyDescent="0.2">
      <c r="Z38126" t="str">
        <f t="shared" si="595"/>
        <v/>
      </c>
    </row>
    <row r="38127" spans="26:26" x14ac:dyDescent="0.2">
      <c r="Z38127" t="str">
        <f t="shared" si="595"/>
        <v/>
      </c>
    </row>
    <row r="38128" spans="26:26" x14ac:dyDescent="0.2">
      <c r="Z38128" t="str">
        <f t="shared" si="595"/>
        <v/>
      </c>
    </row>
    <row r="38129" spans="26:26" x14ac:dyDescent="0.2">
      <c r="Z38129" t="str">
        <f t="shared" si="595"/>
        <v/>
      </c>
    </row>
    <row r="38130" spans="26:26" x14ac:dyDescent="0.2">
      <c r="Z38130" t="str">
        <f t="shared" si="595"/>
        <v/>
      </c>
    </row>
    <row r="38131" spans="26:26" x14ac:dyDescent="0.2">
      <c r="Z38131" t="str">
        <f t="shared" si="595"/>
        <v/>
      </c>
    </row>
    <row r="38132" spans="26:26" x14ac:dyDescent="0.2">
      <c r="Z38132" t="str">
        <f t="shared" si="595"/>
        <v/>
      </c>
    </row>
    <row r="38133" spans="26:26" x14ac:dyDescent="0.2">
      <c r="Z38133" t="str">
        <f t="shared" si="595"/>
        <v/>
      </c>
    </row>
    <row r="38134" spans="26:26" x14ac:dyDescent="0.2">
      <c r="Z38134" t="str">
        <f t="shared" si="595"/>
        <v/>
      </c>
    </row>
    <row r="38135" spans="26:26" x14ac:dyDescent="0.2">
      <c r="Z38135" t="str">
        <f t="shared" si="595"/>
        <v/>
      </c>
    </row>
    <row r="38136" spans="26:26" x14ac:dyDescent="0.2">
      <c r="Z38136" t="str">
        <f t="shared" si="595"/>
        <v/>
      </c>
    </row>
    <row r="38137" spans="26:26" x14ac:dyDescent="0.2">
      <c r="Z38137" t="str">
        <f t="shared" si="595"/>
        <v/>
      </c>
    </row>
    <row r="38138" spans="26:26" x14ac:dyDescent="0.2">
      <c r="Z38138" t="str">
        <f t="shared" si="595"/>
        <v/>
      </c>
    </row>
    <row r="38139" spans="26:26" x14ac:dyDescent="0.2">
      <c r="Z38139" t="str">
        <f t="shared" si="595"/>
        <v/>
      </c>
    </row>
    <row r="38140" spans="26:26" x14ac:dyDescent="0.2">
      <c r="Z38140" t="str">
        <f t="shared" si="595"/>
        <v/>
      </c>
    </row>
    <row r="38141" spans="26:26" x14ac:dyDescent="0.2">
      <c r="Z38141" t="str">
        <f t="shared" si="595"/>
        <v/>
      </c>
    </row>
    <row r="38142" spans="26:26" x14ac:dyDescent="0.2">
      <c r="Z38142" t="str">
        <f t="shared" si="595"/>
        <v/>
      </c>
    </row>
    <row r="38143" spans="26:26" x14ac:dyDescent="0.2">
      <c r="Z38143" t="str">
        <f t="shared" si="595"/>
        <v/>
      </c>
    </row>
    <row r="38144" spans="26:26" x14ac:dyDescent="0.2">
      <c r="Z38144" t="str">
        <f t="shared" si="595"/>
        <v/>
      </c>
    </row>
    <row r="38145" spans="26:26" x14ac:dyDescent="0.2">
      <c r="Z38145" t="str">
        <f t="shared" si="595"/>
        <v/>
      </c>
    </row>
    <row r="38146" spans="26:26" x14ac:dyDescent="0.2">
      <c r="Z38146" t="str">
        <f t="shared" si="595"/>
        <v/>
      </c>
    </row>
    <row r="38147" spans="26:26" x14ac:dyDescent="0.2">
      <c r="Z38147" t="str">
        <f t="shared" ref="Z38147:Z38210" si="596">IF(K38147="","",IFERROR(VALUE(TRIM(MID(K38147,FIND(CHAR(167),SUBSTITUTE(K38147,"-",CHAR(167),LEN(K38147)-LEN(SUBSTITUTE(K38147,"-",""))))+1,100))),K38147))</f>
        <v/>
      </c>
    </row>
    <row r="38148" spans="26:26" x14ac:dyDescent="0.2">
      <c r="Z38148" t="str">
        <f t="shared" si="596"/>
        <v/>
      </c>
    </row>
    <row r="38149" spans="26:26" x14ac:dyDescent="0.2">
      <c r="Z38149" t="str">
        <f t="shared" si="596"/>
        <v/>
      </c>
    </row>
    <row r="38150" spans="26:26" x14ac:dyDescent="0.2">
      <c r="Z38150" t="str">
        <f t="shared" si="596"/>
        <v/>
      </c>
    </row>
    <row r="38151" spans="26:26" x14ac:dyDescent="0.2">
      <c r="Z38151" t="str">
        <f t="shared" si="596"/>
        <v/>
      </c>
    </row>
    <row r="38152" spans="26:26" x14ac:dyDescent="0.2">
      <c r="Z38152" t="str">
        <f t="shared" si="596"/>
        <v/>
      </c>
    </row>
    <row r="38153" spans="26:26" x14ac:dyDescent="0.2">
      <c r="Z38153" t="str">
        <f t="shared" si="596"/>
        <v/>
      </c>
    </row>
    <row r="38154" spans="26:26" x14ac:dyDescent="0.2">
      <c r="Z38154" t="str">
        <f t="shared" si="596"/>
        <v/>
      </c>
    </row>
    <row r="38155" spans="26:26" x14ac:dyDescent="0.2">
      <c r="Z38155" t="str">
        <f t="shared" si="596"/>
        <v/>
      </c>
    </row>
    <row r="38156" spans="26:26" x14ac:dyDescent="0.2">
      <c r="Z38156" t="str">
        <f t="shared" si="596"/>
        <v/>
      </c>
    </row>
    <row r="38157" spans="26:26" x14ac:dyDescent="0.2">
      <c r="Z38157" t="str">
        <f t="shared" si="596"/>
        <v/>
      </c>
    </row>
    <row r="38158" spans="26:26" x14ac:dyDescent="0.2">
      <c r="Z38158" t="str">
        <f t="shared" si="596"/>
        <v/>
      </c>
    </row>
    <row r="38159" spans="26:26" x14ac:dyDescent="0.2">
      <c r="Z38159" t="str">
        <f t="shared" si="596"/>
        <v/>
      </c>
    </row>
    <row r="38160" spans="26:26" x14ac:dyDescent="0.2">
      <c r="Z38160" t="str">
        <f t="shared" si="596"/>
        <v/>
      </c>
    </row>
    <row r="38161" spans="26:26" x14ac:dyDescent="0.2">
      <c r="Z38161" t="str">
        <f t="shared" si="596"/>
        <v/>
      </c>
    </row>
    <row r="38162" spans="26:26" x14ac:dyDescent="0.2">
      <c r="Z38162" t="str">
        <f t="shared" si="596"/>
        <v/>
      </c>
    </row>
    <row r="38163" spans="26:26" x14ac:dyDescent="0.2">
      <c r="Z38163" t="str">
        <f t="shared" si="596"/>
        <v/>
      </c>
    </row>
    <row r="38164" spans="26:26" x14ac:dyDescent="0.2">
      <c r="Z38164" t="str">
        <f t="shared" si="596"/>
        <v/>
      </c>
    </row>
    <row r="38165" spans="26:26" x14ac:dyDescent="0.2">
      <c r="Z38165" t="str">
        <f t="shared" si="596"/>
        <v/>
      </c>
    </row>
    <row r="38166" spans="26:26" x14ac:dyDescent="0.2">
      <c r="Z38166" t="str">
        <f t="shared" si="596"/>
        <v/>
      </c>
    </row>
    <row r="38167" spans="26:26" x14ac:dyDescent="0.2">
      <c r="Z38167" t="str">
        <f t="shared" si="596"/>
        <v/>
      </c>
    </row>
    <row r="38168" spans="26:26" x14ac:dyDescent="0.2">
      <c r="Z38168" t="str">
        <f t="shared" si="596"/>
        <v/>
      </c>
    </row>
    <row r="38169" spans="26:26" x14ac:dyDescent="0.2">
      <c r="Z38169" t="str">
        <f t="shared" si="596"/>
        <v/>
      </c>
    </row>
    <row r="38170" spans="26:26" x14ac:dyDescent="0.2">
      <c r="Z38170" t="str">
        <f t="shared" si="596"/>
        <v/>
      </c>
    </row>
    <row r="38171" spans="26:26" x14ac:dyDescent="0.2">
      <c r="Z38171" t="str">
        <f t="shared" si="596"/>
        <v/>
      </c>
    </row>
    <row r="38172" spans="26:26" x14ac:dyDescent="0.2">
      <c r="Z38172" t="str">
        <f t="shared" si="596"/>
        <v/>
      </c>
    </row>
    <row r="38173" spans="26:26" x14ac:dyDescent="0.2">
      <c r="Z38173" t="str">
        <f t="shared" si="596"/>
        <v/>
      </c>
    </row>
    <row r="38174" spans="26:26" x14ac:dyDescent="0.2">
      <c r="Z38174" t="str">
        <f t="shared" si="596"/>
        <v/>
      </c>
    </row>
    <row r="38175" spans="26:26" x14ac:dyDescent="0.2">
      <c r="Z38175" t="str">
        <f t="shared" si="596"/>
        <v/>
      </c>
    </row>
    <row r="38176" spans="26:26" x14ac:dyDescent="0.2">
      <c r="Z38176" t="str">
        <f t="shared" si="596"/>
        <v/>
      </c>
    </row>
    <row r="38177" spans="26:26" x14ac:dyDescent="0.2">
      <c r="Z38177" t="str">
        <f t="shared" si="596"/>
        <v/>
      </c>
    </row>
    <row r="38178" spans="26:26" x14ac:dyDescent="0.2">
      <c r="Z38178" t="str">
        <f t="shared" si="596"/>
        <v/>
      </c>
    </row>
    <row r="38179" spans="26:26" x14ac:dyDescent="0.2">
      <c r="Z38179" t="str">
        <f t="shared" si="596"/>
        <v/>
      </c>
    </row>
    <row r="38180" spans="26:26" x14ac:dyDescent="0.2">
      <c r="Z38180" t="str">
        <f t="shared" si="596"/>
        <v/>
      </c>
    </row>
    <row r="38181" spans="26:26" x14ac:dyDescent="0.2">
      <c r="Z38181" t="str">
        <f t="shared" si="596"/>
        <v/>
      </c>
    </row>
    <row r="38182" spans="26:26" x14ac:dyDescent="0.2">
      <c r="Z38182" t="str">
        <f t="shared" si="596"/>
        <v/>
      </c>
    </row>
    <row r="38183" spans="26:26" x14ac:dyDescent="0.2">
      <c r="Z38183" t="str">
        <f t="shared" si="596"/>
        <v/>
      </c>
    </row>
    <row r="38184" spans="26:26" x14ac:dyDescent="0.2">
      <c r="Z38184" t="str">
        <f t="shared" si="596"/>
        <v/>
      </c>
    </row>
    <row r="38185" spans="26:26" x14ac:dyDescent="0.2">
      <c r="Z38185" t="str">
        <f t="shared" si="596"/>
        <v/>
      </c>
    </row>
    <row r="38186" spans="26:26" x14ac:dyDescent="0.2">
      <c r="Z38186" t="str">
        <f t="shared" si="596"/>
        <v/>
      </c>
    </row>
    <row r="38187" spans="26:26" x14ac:dyDescent="0.2">
      <c r="Z38187" t="str">
        <f t="shared" si="596"/>
        <v/>
      </c>
    </row>
    <row r="38188" spans="26:26" x14ac:dyDescent="0.2">
      <c r="Z38188" t="str">
        <f t="shared" si="596"/>
        <v/>
      </c>
    </row>
    <row r="38189" spans="26:26" x14ac:dyDescent="0.2">
      <c r="Z38189" t="str">
        <f t="shared" si="596"/>
        <v/>
      </c>
    </row>
    <row r="38190" spans="26:26" x14ac:dyDescent="0.2">
      <c r="Z38190" t="str">
        <f t="shared" si="596"/>
        <v/>
      </c>
    </row>
    <row r="38191" spans="26:26" x14ac:dyDescent="0.2">
      <c r="Z38191" t="str">
        <f t="shared" si="596"/>
        <v/>
      </c>
    </row>
    <row r="38192" spans="26:26" x14ac:dyDescent="0.2">
      <c r="Z38192" t="str">
        <f t="shared" si="596"/>
        <v/>
      </c>
    </row>
    <row r="38193" spans="26:26" x14ac:dyDescent="0.2">
      <c r="Z38193" t="str">
        <f t="shared" si="596"/>
        <v/>
      </c>
    </row>
    <row r="38194" spans="26:26" x14ac:dyDescent="0.2">
      <c r="Z38194" t="str">
        <f t="shared" si="596"/>
        <v/>
      </c>
    </row>
    <row r="38195" spans="26:26" x14ac:dyDescent="0.2">
      <c r="Z38195" t="str">
        <f t="shared" si="596"/>
        <v/>
      </c>
    </row>
    <row r="38196" spans="26:26" x14ac:dyDescent="0.2">
      <c r="Z38196" t="str">
        <f t="shared" si="596"/>
        <v/>
      </c>
    </row>
    <row r="38197" spans="26:26" x14ac:dyDescent="0.2">
      <c r="Z38197" t="str">
        <f t="shared" si="596"/>
        <v/>
      </c>
    </row>
    <row r="38198" spans="26:26" x14ac:dyDescent="0.2">
      <c r="Z38198" t="str">
        <f t="shared" si="596"/>
        <v/>
      </c>
    </row>
    <row r="38199" spans="26:26" x14ac:dyDescent="0.2">
      <c r="Z38199" t="str">
        <f t="shared" si="596"/>
        <v/>
      </c>
    </row>
    <row r="38200" spans="26:26" x14ac:dyDescent="0.2">
      <c r="Z38200" t="str">
        <f t="shared" si="596"/>
        <v/>
      </c>
    </row>
    <row r="38201" spans="26:26" x14ac:dyDescent="0.2">
      <c r="Z38201" t="str">
        <f t="shared" si="596"/>
        <v/>
      </c>
    </row>
    <row r="38202" spans="26:26" x14ac:dyDescent="0.2">
      <c r="Z38202" t="str">
        <f t="shared" si="596"/>
        <v/>
      </c>
    </row>
    <row r="38203" spans="26:26" x14ac:dyDescent="0.2">
      <c r="Z38203" t="str">
        <f t="shared" si="596"/>
        <v/>
      </c>
    </row>
    <row r="38204" spans="26:26" x14ac:dyDescent="0.2">
      <c r="Z38204" t="str">
        <f t="shared" si="596"/>
        <v/>
      </c>
    </row>
    <row r="38205" spans="26:26" x14ac:dyDescent="0.2">
      <c r="Z38205" t="str">
        <f t="shared" si="596"/>
        <v/>
      </c>
    </row>
    <row r="38206" spans="26:26" x14ac:dyDescent="0.2">
      <c r="Z38206" t="str">
        <f t="shared" si="596"/>
        <v/>
      </c>
    </row>
    <row r="38207" spans="26:26" x14ac:dyDescent="0.2">
      <c r="Z38207" t="str">
        <f t="shared" si="596"/>
        <v/>
      </c>
    </row>
    <row r="38208" spans="26:26" x14ac:dyDescent="0.2">
      <c r="Z38208" t="str">
        <f t="shared" si="596"/>
        <v/>
      </c>
    </row>
    <row r="38209" spans="26:26" x14ac:dyDescent="0.2">
      <c r="Z38209" t="str">
        <f t="shared" si="596"/>
        <v/>
      </c>
    </row>
    <row r="38210" spans="26:26" x14ac:dyDescent="0.2">
      <c r="Z38210" t="str">
        <f t="shared" si="596"/>
        <v/>
      </c>
    </row>
    <row r="38211" spans="26:26" x14ac:dyDescent="0.2">
      <c r="Z38211" t="str">
        <f t="shared" ref="Z38211:Z38274" si="597">IF(K38211="","",IFERROR(VALUE(TRIM(MID(K38211,FIND(CHAR(167),SUBSTITUTE(K38211,"-",CHAR(167),LEN(K38211)-LEN(SUBSTITUTE(K38211,"-",""))))+1,100))),K38211))</f>
        <v/>
      </c>
    </row>
    <row r="38212" spans="26:26" x14ac:dyDescent="0.2">
      <c r="Z38212" t="str">
        <f t="shared" si="597"/>
        <v/>
      </c>
    </row>
    <row r="38213" spans="26:26" x14ac:dyDescent="0.2">
      <c r="Z38213" t="str">
        <f t="shared" si="597"/>
        <v/>
      </c>
    </row>
    <row r="38214" spans="26:26" x14ac:dyDescent="0.2">
      <c r="Z38214" t="str">
        <f t="shared" si="597"/>
        <v/>
      </c>
    </row>
    <row r="38215" spans="26:26" x14ac:dyDescent="0.2">
      <c r="Z38215" t="str">
        <f t="shared" si="597"/>
        <v/>
      </c>
    </row>
    <row r="38216" spans="26:26" x14ac:dyDescent="0.2">
      <c r="Z38216" t="str">
        <f t="shared" si="597"/>
        <v/>
      </c>
    </row>
    <row r="38217" spans="26:26" x14ac:dyDescent="0.2">
      <c r="Z38217" t="str">
        <f t="shared" si="597"/>
        <v/>
      </c>
    </row>
    <row r="38218" spans="26:26" x14ac:dyDescent="0.2">
      <c r="Z38218" t="str">
        <f t="shared" si="597"/>
        <v/>
      </c>
    </row>
    <row r="38219" spans="26:26" x14ac:dyDescent="0.2">
      <c r="Z38219" t="str">
        <f t="shared" si="597"/>
        <v/>
      </c>
    </row>
    <row r="38220" spans="26:26" x14ac:dyDescent="0.2">
      <c r="Z38220" t="str">
        <f t="shared" si="597"/>
        <v/>
      </c>
    </row>
    <row r="38221" spans="26:26" x14ac:dyDescent="0.2">
      <c r="Z38221" t="str">
        <f t="shared" si="597"/>
        <v/>
      </c>
    </row>
    <row r="38222" spans="26:26" x14ac:dyDescent="0.2">
      <c r="Z38222" t="str">
        <f t="shared" si="597"/>
        <v/>
      </c>
    </row>
    <row r="38223" spans="26:26" x14ac:dyDescent="0.2">
      <c r="Z38223" t="str">
        <f t="shared" si="597"/>
        <v/>
      </c>
    </row>
    <row r="38224" spans="26:26" x14ac:dyDescent="0.2">
      <c r="Z38224" t="str">
        <f t="shared" si="597"/>
        <v/>
      </c>
    </row>
    <row r="38225" spans="26:26" x14ac:dyDescent="0.2">
      <c r="Z38225" t="str">
        <f t="shared" si="597"/>
        <v/>
      </c>
    </row>
    <row r="38226" spans="26:26" x14ac:dyDescent="0.2">
      <c r="Z38226" t="str">
        <f t="shared" si="597"/>
        <v/>
      </c>
    </row>
    <row r="38227" spans="26:26" x14ac:dyDescent="0.2">
      <c r="Z38227" t="str">
        <f t="shared" si="597"/>
        <v/>
      </c>
    </row>
    <row r="38228" spans="26:26" x14ac:dyDescent="0.2">
      <c r="Z38228" t="str">
        <f t="shared" si="597"/>
        <v/>
      </c>
    </row>
    <row r="38229" spans="26:26" x14ac:dyDescent="0.2">
      <c r="Z38229" t="str">
        <f t="shared" si="597"/>
        <v/>
      </c>
    </row>
    <row r="38230" spans="26:26" x14ac:dyDescent="0.2">
      <c r="Z38230" t="str">
        <f t="shared" si="597"/>
        <v/>
      </c>
    </row>
    <row r="38231" spans="26:26" x14ac:dyDescent="0.2">
      <c r="Z38231" t="str">
        <f t="shared" si="597"/>
        <v/>
      </c>
    </row>
    <row r="38232" spans="26:26" x14ac:dyDescent="0.2">
      <c r="Z38232" t="str">
        <f t="shared" si="597"/>
        <v/>
      </c>
    </row>
    <row r="38233" spans="26:26" x14ac:dyDescent="0.2">
      <c r="Z38233" t="str">
        <f t="shared" si="597"/>
        <v/>
      </c>
    </row>
    <row r="38234" spans="26:26" x14ac:dyDescent="0.2">
      <c r="Z38234" t="str">
        <f t="shared" si="597"/>
        <v/>
      </c>
    </row>
    <row r="38235" spans="26:26" x14ac:dyDescent="0.2">
      <c r="Z38235" t="str">
        <f t="shared" si="597"/>
        <v/>
      </c>
    </row>
    <row r="38236" spans="26:26" x14ac:dyDescent="0.2">
      <c r="Z38236" t="str">
        <f t="shared" si="597"/>
        <v/>
      </c>
    </row>
    <row r="38237" spans="26:26" x14ac:dyDescent="0.2">
      <c r="Z38237" t="str">
        <f t="shared" si="597"/>
        <v/>
      </c>
    </row>
    <row r="38238" spans="26:26" x14ac:dyDescent="0.2">
      <c r="Z38238" t="str">
        <f t="shared" si="597"/>
        <v/>
      </c>
    </row>
    <row r="38239" spans="26:26" x14ac:dyDescent="0.2">
      <c r="Z38239" t="str">
        <f t="shared" si="597"/>
        <v/>
      </c>
    </row>
    <row r="38240" spans="26:26" x14ac:dyDescent="0.2">
      <c r="Z38240" t="str">
        <f t="shared" si="597"/>
        <v/>
      </c>
    </row>
    <row r="38241" spans="26:26" x14ac:dyDescent="0.2">
      <c r="Z38241" t="str">
        <f t="shared" si="597"/>
        <v/>
      </c>
    </row>
    <row r="38242" spans="26:26" x14ac:dyDescent="0.2">
      <c r="Z38242" t="str">
        <f t="shared" si="597"/>
        <v/>
      </c>
    </row>
    <row r="38243" spans="26:26" x14ac:dyDescent="0.2">
      <c r="Z38243" t="str">
        <f t="shared" si="597"/>
        <v/>
      </c>
    </row>
    <row r="38244" spans="26:26" x14ac:dyDescent="0.2">
      <c r="Z38244" t="str">
        <f t="shared" si="597"/>
        <v/>
      </c>
    </row>
    <row r="38245" spans="26:26" x14ac:dyDescent="0.2">
      <c r="Z38245" t="str">
        <f t="shared" si="597"/>
        <v/>
      </c>
    </row>
    <row r="38246" spans="26:26" x14ac:dyDescent="0.2">
      <c r="Z38246" t="str">
        <f t="shared" si="597"/>
        <v/>
      </c>
    </row>
    <row r="38247" spans="26:26" x14ac:dyDescent="0.2">
      <c r="Z38247" t="str">
        <f t="shared" si="597"/>
        <v/>
      </c>
    </row>
    <row r="38248" spans="26:26" x14ac:dyDescent="0.2">
      <c r="Z38248" t="str">
        <f t="shared" si="597"/>
        <v/>
      </c>
    </row>
    <row r="38249" spans="26:26" x14ac:dyDescent="0.2">
      <c r="Z38249" t="str">
        <f t="shared" si="597"/>
        <v/>
      </c>
    </row>
    <row r="38250" spans="26:26" x14ac:dyDescent="0.2">
      <c r="Z38250" t="str">
        <f t="shared" si="597"/>
        <v/>
      </c>
    </row>
    <row r="38251" spans="26:26" x14ac:dyDescent="0.2">
      <c r="Z38251" t="str">
        <f t="shared" si="597"/>
        <v/>
      </c>
    </row>
    <row r="38252" spans="26:26" x14ac:dyDescent="0.2">
      <c r="Z38252" t="str">
        <f t="shared" si="597"/>
        <v/>
      </c>
    </row>
    <row r="38253" spans="26:26" x14ac:dyDescent="0.2">
      <c r="Z38253" t="str">
        <f t="shared" si="597"/>
        <v/>
      </c>
    </row>
    <row r="38254" spans="26:26" x14ac:dyDescent="0.2">
      <c r="Z38254" t="str">
        <f t="shared" si="597"/>
        <v/>
      </c>
    </row>
    <row r="38255" spans="26:26" x14ac:dyDescent="0.2">
      <c r="Z38255" t="str">
        <f t="shared" si="597"/>
        <v/>
      </c>
    </row>
    <row r="38256" spans="26:26" x14ac:dyDescent="0.2">
      <c r="Z38256" t="str">
        <f t="shared" si="597"/>
        <v/>
      </c>
    </row>
    <row r="38257" spans="26:26" x14ac:dyDescent="0.2">
      <c r="Z38257" t="str">
        <f t="shared" si="597"/>
        <v/>
      </c>
    </row>
    <row r="38258" spans="26:26" x14ac:dyDescent="0.2">
      <c r="Z38258" t="str">
        <f t="shared" si="597"/>
        <v/>
      </c>
    </row>
    <row r="38259" spans="26:26" x14ac:dyDescent="0.2">
      <c r="Z38259" t="str">
        <f t="shared" si="597"/>
        <v/>
      </c>
    </row>
    <row r="38260" spans="26:26" x14ac:dyDescent="0.2">
      <c r="Z38260" t="str">
        <f t="shared" si="597"/>
        <v/>
      </c>
    </row>
    <row r="38261" spans="26:26" x14ac:dyDescent="0.2">
      <c r="Z38261" t="str">
        <f t="shared" si="597"/>
        <v/>
      </c>
    </row>
    <row r="38262" spans="26:26" x14ac:dyDescent="0.2">
      <c r="Z38262" t="str">
        <f t="shared" si="597"/>
        <v/>
      </c>
    </row>
    <row r="38263" spans="26:26" x14ac:dyDescent="0.2">
      <c r="Z38263" t="str">
        <f t="shared" si="597"/>
        <v/>
      </c>
    </row>
    <row r="38264" spans="26:26" x14ac:dyDescent="0.2">
      <c r="Z38264" t="str">
        <f t="shared" si="597"/>
        <v/>
      </c>
    </row>
    <row r="38265" spans="26:26" x14ac:dyDescent="0.2">
      <c r="Z38265" t="str">
        <f t="shared" si="597"/>
        <v/>
      </c>
    </row>
    <row r="38266" spans="26:26" x14ac:dyDescent="0.2">
      <c r="Z38266" t="str">
        <f t="shared" si="597"/>
        <v/>
      </c>
    </row>
    <row r="38267" spans="26:26" x14ac:dyDescent="0.2">
      <c r="Z38267" t="str">
        <f t="shared" si="597"/>
        <v/>
      </c>
    </row>
    <row r="38268" spans="26:26" x14ac:dyDescent="0.2">
      <c r="Z38268" t="str">
        <f t="shared" si="597"/>
        <v/>
      </c>
    </row>
    <row r="38269" spans="26:26" x14ac:dyDescent="0.2">
      <c r="Z38269" t="str">
        <f t="shared" si="597"/>
        <v/>
      </c>
    </row>
    <row r="38270" spans="26:26" x14ac:dyDescent="0.2">
      <c r="Z38270" t="str">
        <f t="shared" si="597"/>
        <v/>
      </c>
    </row>
    <row r="38271" spans="26:26" x14ac:dyDescent="0.2">
      <c r="Z38271" t="str">
        <f t="shared" si="597"/>
        <v/>
      </c>
    </row>
    <row r="38272" spans="26:26" x14ac:dyDescent="0.2">
      <c r="Z38272" t="str">
        <f t="shared" si="597"/>
        <v/>
      </c>
    </row>
    <row r="38273" spans="26:26" x14ac:dyDescent="0.2">
      <c r="Z38273" t="str">
        <f t="shared" si="597"/>
        <v/>
      </c>
    </row>
    <row r="38274" spans="26:26" x14ac:dyDescent="0.2">
      <c r="Z38274" t="str">
        <f t="shared" si="597"/>
        <v/>
      </c>
    </row>
    <row r="38275" spans="26:26" x14ac:dyDescent="0.2">
      <c r="Z38275" t="str">
        <f t="shared" ref="Z38275:Z38338" si="598">IF(K38275="","",IFERROR(VALUE(TRIM(MID(K38275,FIND(CHAR(167),SUBSTITUTE(K38275,"-",CHAR(167),LEN(K38275)-LEN(SUBSTITUTE(K38275,"-",""))))+1,100))),K38275))</f>
        <v/>
      </c>
    </row>
    <row r="38276" spans="26:26" x14ac:dyDescent="0.2">
      <c r="Z38276" t="str">
        <f t="shared" si="598"/>
        <v/>
      </c>
    </row>
    <row r="38277" spans="26:26" x14ac:dyDescent="0.2">
      <c r="Z38277" t="str">
        <f t="shared" si="598"/>
        <v/>
      </c>
    </row>
    <row r="38278" spans="26:26" x14ac:dyDescent="0.2">
      <c r="Z38278" t="str">
        <f t="shared" si="598"/>
        <v/>
      </c>
    </row>
    <row r="38279" spans="26:26" x14ac:dyDescent="0.2">
      <c r="Z38279" t="str">
        <f t="shared" si="598"/>
        <v/>
      </c>
    </row>
    <row r="38280" spans="26:26" x14ac:dyDescent="0.2">
      <c r="Z38280" t="str">
        <f t="shared" si="598"/>
        <v/>
      </c>
    </row>
    <row r="38281" spans="26:26" x14ac:dyDescent="0.2">
      <c r="Z38281" t="str">
        <f t="shared" si="598"/>
        <v/>
      </c>
    </row>
    <row r="38282" spans="26:26" x14ac:dyDescent="0.2">
      <c r="Z38282" t="str">
        <f t="shared" si="598"/>
        <v/>
      </c>
    </row>
    <row r="38283" spans="26:26" x14ac:dyDescent="0.2">
      <c r="Z38283" t="str">
        <f t="shared" si="598"/>
        <v/>
      </c>
    </row>
    <row r="38284" spans="26:26" x14ac:dyDescent="0.2">
      <c r="Z38284" t="str">
        <f t="shared" si="598"/>
        <v/>
      </c>
    </row>
    <row r="38285" spans="26:26" x14ac:dyDescent="0.2">
      <c r="Z38285" t="str">
        <f t="shared" si="598"/>
        <v/>
      </c>
    </row>
    <row r="38286" spans="26:26" x14ac:dyDescent="0.2">
      <c r="Z38286" t="str">
        <f t="shared" si="598"/>
        <v/>
      </c>
    </row>
    <row r="38287" spans="26:26" x14ac:dyDescent="0.2">
      <c r="Z38287" t="str">
        <f t="shared" si="598"/>
        <v/>
      </c>
    </row>
    <row r="38288" spans="26:26" x14ac:dyDescent="0.2">
      <c r="Z38288" t="str">
        <f t="shared" si="598"/>
        <v/>
      </c>
    </row>
    <row r="38289" spans="26:26" x14ac:dyDescent="0.2">
      <c r="Z38289" t="str">
        <f t="shared" si="598"/>
        <v/>
      </c>
    </row>
    <row r="38290" spans="26:26" x14ac:dyDescent="0.2">
      <c r="Z38290" t="str">
        <f t="shared" si="598"/>
        <v/>
      </c>
    </row>
    <row r="38291" spans="26:26" x14ac:dyDescent="0.2">
      <c r="Z38291" t="str">
        <f t="shared" si="598"/>
        <v/>
      </c>
    </row>
    <row r="38292" spans="26:26" x14ac:dyDescent="0.2">
      <c r="Z38292" t="str">
        <f t="shared" si="598"/>
        <v/>
      </c>
    </row>
    <row r="38293" spans="26:26" x14ac:dyDescent="0.2">
      <c r="Z38293" t="str">
        <f t="shared" si="598"/>
        <v/>
      </c>
    </row>
    <row r="38294" spans="26:26" x14ac:dyDescent="0.2">
      <c r="Z38294" t="str">
        <f t="shared" si="598"/>
        <v/>
      </c>
    </row>
    <row r="38295" spans="26:26" x14ac:dyDescent="0.2">
      <c r="Z38295" t="str">
        <f t="shared" si="598"/>
        <v/>
      </c>
    </row>
    <row r="38296" spans="26:26" x14ac:dyDescent="0.2">
      <c r="Z38296" t="str">
        <f t="shared" si="598"/>
        <v/>
      </c>
    </row>
    <row r="38297" spans="26:26" x14ac:dyDescent="0.2">
      <c r="Z38297" t="str">
        <f t="shared" si="598"/>
        <v/>
      </c>
    </row>
    <row r="38298" spans="26:26" x14ac:dyDescent="0.2">
      <c r="Z38298" t="str">
        <f t="shared" si="598"/>
        <v/>
      </c>
    </row>
    <row r="38299" spans="26:26" x14ac:dyDescent="0.2">
      <c r="Z38299" t="str">
        <f t="shared" si="598"/>
        <v/>
      </c>
    </row>
    <row r="38300" spans="26:26" x14ac:dyDescent="0.2">
      <c r="Z38300" t="str">
        <f t="shared" si="598"/>
        <v/>
      </c>
    </row>
    <row r="38301" spans="26:26" x14ac:dyDescent="0.2">
      <c r="Z38301" t="str">
        <f t="shared" si="598"/>
        <v/>
      </c>
    </row>
    <row r="38302" spans="26:26" x14ac:dyDescent="0.2">
      <c r="Z38302" t="str">
        <f t="shared" si="598"/>
        <v/>
      </c>
    </row>
    <row r="38303" spans="26:26" x14ac:dyDescent="0.2">
      <c r="Z38303" t="str">
        <f t="shared" si="598"/>
        <v/>
      </c>
    </row>
    <row r="38304" spans="26:26" x14ac:dyDescent="0.2">
      <c r="Z38304" t="str">
        <f t="shared" si="598"/>
        <v/>
      </c>
    </row>
    <row r="38305" spans="26:26" x14ac:dyDescent="0.2">
      <c r="Z38305" t="str">
        <f t="shared" si="598"/>
        <v/>
      </c>
    </row>
    <row r="38306" spans="26:26" x14ac:dyDescent="0.2">
      <c r="Z38306" t="str">
        <f t="shared" si="598"/>
        <v/>
      </c>
    </row>
    <row r="38307" spans="26:26" x14ac:dyDescent="0.2">
      <c r="Z38307" t="str">
        <f t="shared" si="598"/>
        <v/>
      </c>
    </row>
    <row r="38308" spans="26:26" x14ac:dyDescent="0.2">
      <c r="Z38308" t="str">
        <f t="shared" si="598"/>
        <v/>
      </c>
    </row>
    <row r="38309" spans="26:26" x14ac:dyDescent="0.2">
      <c r="Z38309" t="str">
        <f t="shared" si="598"/>
        <v/>
      </c>
    </row>
    <row r="38310" spans="26:26" x14ac:dyDescent="0.2">
      <c r="Z38310" t="str">
        <f t="shared" si="598"/>
        <v/>
      </c>
    </row>
    <row r="38311" spans="26:26" x14ac:dyDescent="0.2">
      <c r="Z38311" t="str">
        <f t="shared" si="598"/>
        <v/>
      </c>
    </row>
    <row r="38312" spans="26:26" x14ac:dyDescent="0.2">
      <c r="Z38312" t="str">
        <f t="shared" si="598"/>
        <v/>
      </c>
    </row>
    <row r="38313" spans="26:26" x14ac:dyDescent="0.2">
      <c r="Z38313" t="str">
        <f t="shared" si="598"/>
        <v/>
      </c>
    </row>
    <row r="38314" spans="26:26" x14ac:dyDescent="0.2">
      <c r="Z38314" t="str">
        <f t="shared" si="598"/>
        <v/>
      </c>
    </row>
    <row r="38315" spans="26:26" x14ac:dyDescent="0.2">
      <c r="Z38315" t="str">
        <f t="shared" si="598"/>
        <v/>
      </c>
    </row>
    <row r="38316" spans="26:26" x14ac:dyDescent="0.2">
      <c r="Z38316" t="str">
        <f t="shared" si="598"/>
        <v/>
      </c>
    </row>
    <row r="38317" spans="26:26" x14ac:dyDescent="0.2">
      <c r="Z38317" t="str">
        <f t="shared" si="598"/>
        <v/>
      </c>
    </row>
    <row r="38318" spans="26:26" x14ac:dyDescent="0.2">
      <c r="Z38318" t="str">
        <f t="shared" si="598"/>
        <v/>
      </c>
    </row>
    <row r="38319" spans="26:26" x14ac:dyDescent="0.2">
      <c r="Z38319" t="str">
        <f t="shared" si="598"/>
        <v/>
      </c>
    </row>
    <row r="38320" spans="26:26" x14ac:dyDescent="0.2">
      <c r="Z38320" t="str">
        <f t="shared" si="598"/>
        <v/>
      </c>
    </row>
    <row r="38321" spans="26:26" x14ac:dyDescent="0.2">
      <c r="Z38321" t="str">
        <f t="shared" si="598"/>
        <v/>
      </c>
    </row>
    <row r="38322" spans="26:26" x14ac:dyDescent="0.2">
      <c r="Z38322" t="str">
        <f t="shared" si="598"/>
        <v/>
      </c>
    </row>
    <row r="38323" spans="26:26" x14ac:dyDescent="0.2">
      <c r="Z38323" t="str">
        <f t="shared" si="598"/>
        <v/>
      </c>
    </row>
    <row r="38324" spans="26:26" x14ac:dyDescent="0.2">
      <c r="Z38324" t="str">
        <f t="shared" si="598"/>
        <v/>
      </c>
    </row>
    <row r="38325" spans="26:26" x14ac:dyDescent="0.2">
      <c r="Z38325" t="str">
        <f t="shared" si="598"/>
        <v/>
      </c>
    </row>
    <row r="38326" spans="26:26" x14ac:dyDescent="0.2">
      <c r="Z38326" t="str">
        <f t="shared" si="598"/>
        <v/>
      </c>
    </row>
    <row r="38327" spans="26:26" x14ac:dyDescent="0.2">
      <c r="Z38327" t="str">
        <f t="shared" si="598"/>
        <v/>
      </c>
    </row>
    <row r="38328" spans="26:26" x14ac:dyDescent="0.2">
      <c r="Z38328" t="str">
        <f t="shared" si="598"/>
        <v/>
      </c>
    </row>
    <row r="38329" spans="26:26" x14ac:dyDescent="0.2">
      <c r="Z38329" t="str">
        <f t="shared" si="598"/>
        <v/>
      </c>
    </row>
    <row r="38330" spans="26:26" x14ac:dyDescent="0.2">
      <c r="Z38330" t="str">
        <f t="shared" si="598"/>
        <v/>
      </c>
    </row>
    <row r="38331" spans="26:26" x14ac:dyDescent="0.2">
      <c r="Z38331" t="str">
        <f t="shared" si="598"/>
        <v/>
      </c>
    </row>
    <row r="38332" spans="26:26" x14ac:dyDescent="0.2">
      <c r="Z38332" t="str">
        <f t="shared" si="598"/>
        <v/>
      </c>
    </row>
    <row r="38333" spans="26:26" x14ac:dyDescent="0.2">
      <c r="Z38333" t="str">
        <f t="shared" si="598"/>
        <v/>
      </c>
    </row>
    <row r="38334" spans="26:26" x14ac:dyDescent="0.2">
      <c r="Z38334" t="str">
        <f t="shared" si="598"/>
        <v/>
      </c>
    </row>
    <row r="38335" spans="26:26" x14ac:dyDescent="0.2">
      <c r="Z38335" t="str">
        <f t="shared" si="598"/>
        <v/>
      </c>
    </row>
    <row r="38336" spans="26:26" x14ac:dyDescent="0.2">
      <c r="Z38336" t="str">
        <f t="shared" si="598"/>
        <v/>
      </c>
    </row>
    <row r="38337" spans="26:26" x14ac:dyDescent="0.2">
      <c r="Z38337" t="str">
        <f t="shared" si="598"/>
        <v/>
      </c>
    </row>
    <row r="38338" spans="26:26" x14ac:dyDescent="0.2">
      <c r="Z38338" t="str">
        <f t="shared" si="598"/>
        <v/>
      </c>
    </row>
    <row r="38339" spans="26:26" x14ac:dyDescent="0.2">
      <c r="Z38339" t="str">
        <f t="shared" ref="Z38339:Z38402" si="599">IF(K38339="","",IFERROR(VALUE(TRIM(MID(K38339,FIND(CHAR(167),SUBSTITUTE(K38339,"-",CHAR(167),LEN(K38339)-LEN(SUBSTITUTE(K38339,"-",""))))+1,100))),K38339))</f>
        <v/>
      </c>
    </row>
    <row r="38340" spans="26:26" x14ac:dyDescent="0.2">
      <c r="Z38340" t="str">
        <f t="shared" si="599"/>
        <v/>
      </c>
    </row>
    <row r="38341" spans="26:26" x14ac:dyDescent="0.2">
      <c r="Z38341" t="str">
        <f t="shared" si="599"/>
        <v/>
      </c>
    </row>
    <row r="38342" spans="26:26" x14ac:dyDescent="0.2">
      <c r="Z38342" t="str">
        <f t="shared" si="599"/>
        <v/>
      </c>
    </row>
    <row r="38343" spans="26:26" x14ac:dyDescent="0.2">
      <c r="Z38343" t="str">
        <f t="shared" si="599"/>
        <v/>
      </c>
    </row>
    <row r="38344" spans="26:26" x14ac:dyDescent="0.2">
      <c r="Z38344" t="str">
        <f t="shared" si="599"/>
        <v/>
      </c>
    </row>
    <row r="38345" spans="26:26" x14ac:dyDescent="0.2">
      <c r="Z38345" t="str">
        <f t="shared" si="599"/>
        <v/>
      </c>
    </row>
    <row r="38346" spans="26:26" x14ac:dyDescent="0.2">
      <c r="Z38346" t="str">
        <f t="shared" si="599"/>
        <v/>
      </c>
    </row>
    <row r="38347" spans="26:26" x14ac:dyDescent="0.2">
      <c r="Z38347" t="str">
        <f t="shared" si="599"/>
        <v/>
      </c>
    </row>
    <row r="38348" spans="26:26" x14ac:dyDescent="0.2">
      <c r="Z38348" t="str">
        <f t="shared" si="599"/>
        <v/>
      </c>
    </row>
    <row r="38349" spans="26:26" x14ac:dyDescent="0.2">
      <c r="Z38349" t="str">
        <f t="shared" si="599"/>
        <v/>
      </c>
    </row>
    <row r="38350" spans="26:26" x14ac:dyDescent="0.2">
      <c r="Z38350" t="str">
        <f t="shared" si="599"/>
        <v/>
      </c>
    </row>
    <row r="38351" spans="26:26" x14ac:dyDescent="0.2">
      <c r="Z38351" t="str">
        <f t="shared" si="599"/>
        <v/>
      </c>
    </row>
    <row r="38352" spans="26:26" x14ac:dyDescent="0.2">
      <c r="Z38352" t="str">
        <f t="shared" si="599"/>
        <v/>
      </c>
    </row>
    <row r="38353" spans="26:26" x14ac:dyDescent="0.2">
      <c r="Z38353" t="str">
        <f t="shared" si="599"/>
        <v/>
      </c>
    </row>
    <row r="38354" spans="26:26" x14ac:dyDescent="0.2">
      <c r="Z38354" t="str">
        <f t="shared" si="599"/>
        <v/>
      </c>
    </row>
    <row r="38355" spans="26:26" x14ac:dyDescent="0.2">
      <c r="Z38355" t="str">
        <f t="shared" si="599"/>
        <v/>
      </c>
    </row>
    <row r="38356" spans="26:26" x14ac:dyDescent="0.2">
      <c r="Z38356" t="str">
        <f t="shared" si="599"/>
        <v/>
      </c>
    </row>
    <row r="38357" spans="26:26" x14ac:dyDescent="0.2">
      <c r="Z38357" t="str">
        <f t="shared" si="599"/>
        <v/>
      </c>
    </row>
    <row r="38358" spans="26:26" x14ac:dyDescent="0.2">
      <c r="Z38358" t="str">
        <f t="shared" si="599"/>
        <v/>
      </c>
    </row>
    <row r="38359" spans="26:26" x14ac:dyDescent="0.2">
      <c r="Z38359" t="str">
        <f t="shared" si="599"/>
        <v/>
      </c>
    </row>
    <row r="38360" spans="26:26" x14ac:dyDescent="0.2">
      <c r="Z38360" t="str">
        <f t="shared" si="599"/>
        <v/>
      </c>
    </row>
    <row r="38361" spans="26:26" x14ac:dyDescent="0.2">
      <c r="Z38361" t="str">
        <f t="shared" si="599"/>
        <v/>
      </c>
    </row>
    <row r="38362" spans="26:26" x14ac:dyDescent="0.2">
      <c r="Z38362" t="str">
        <f t="shared" si="599"/>
        <v/>
      </c>
    </row>
    <row r="38363" spans="26:26" x14ac:dyDescent="0.2">
      <c r="Z38363" t="str">
        <f t="shared" si="599"/>
        <v/>
      </c>
    </row>
    <row r="38364" spans="26:26" x14ac:dyDescent="0.2">
      <c r="Z38364" t="str">
        <f t="shared" si="599"/>
        <v/>
      </c>
    </row>
    <row r="38365" spans="26:26" x14ac:dyDescent="0.2">
      <c r="Z38365" t="str">
        <f t="shared" si="599"/>
        <v/>
      </c>
    </row>
    <row r="38366" spans="26:26" x14ac:dyDescent="0.2">
      <c r="Z38366" t="str">
        <f t="shared" si="599"/>
        <v/>
      </c>
    </row>
    <row r="38367" spans="26:26" x14ac:dyDescent="0.2">
      <c r="Z38367" t="str">
        <f t="shared" si="599"/>
        <v/>
      </c>
    </row>
    <row r="38368" spans="26:26" x14ac:dyDescent="0.2">
      <c r="Z38368" t="str">
        <f t="shared" si="599"/>
        <v/>
      </c>
    </row>
    <row r="38369" spans="26:26" x14ac:dyDescent="0.2">
      <c r="Z38369" t="str">
        <f t="shared" si="599"/>
        <v/>
      </c>
    </row>
    <row r="38370" spans="26:26" x14ac:dyDescent="0.2">
      <c r="Z38370" t="str">
        <f t="shared" si="599"/>
        <v/>
      </c>
    </row>
    <row r="38371" spans="26:26" x14ac:dyDescent="0.2">
      <c r="Z38371" t="str">
        <f t="shared" si="599"/>
        <v/>
      </c>
    </row>
    <row r="38372" spans="26:26" x14ac:dyDescent="0.2">
      <c r="Z38372" t="str">
        <f t="shared" si="599"/>
        <v/>
      </c>
    </row>
    <row r="38373" spans="26:26" x14ac:dyDescent="0.2">
      <c r="Z38373" t="str">
        <f t="shared" si="599"/>
        <v/>
      </c>
    </row>
    <row r="38374" spans="26:26" x14ac:dyDescent="0.2">
      <c r="Z38374" t="str">
        <f t="shared" si="599"/>
        <v/>
      </c>
    </row>
    <row r="38375" spans="26:26" x14ac:dyDescent="0.2">
      <c r="Z38375" t="str">
        <f t="shared" si="599"/>
        <v/>
      </c>
    </row>
    <row r="38376" spans="26:26" x14ac:dyDescent="0.2">
      <c r="Z38376" t="str">
        <f t="shared" si="599"/>
        <v/>
      </c>
    </row>
    <row r="38377" spans="26:26" x14ac:dyDescent="0.2">
      <c r="Z38377" t="str">
        <f t="shared" si="599"/>
        <v/>
      </c>
    </row>
    <row r="38378" spans="26:26" x14ac:dyDescent="0.2">
      <c r="Z38378" t="str">
        <f t="shared" si="599"/>
        <v/>
      </c>
    </row>
    <row r="38379" spans="26:26" x14ac:dyDescent="0.2">
      <c r="Z38379" t="str">
        <f t="shared" si="599"/>
        <v/>
      </c>
    </row>
    <row r="38380" spans="26:26" x14ac:dyDescent="0.2">
      <c r="Z38380" t="str">
        <f t="shared" si="599"/>
        <v/>
      </c>
    </row>
    <row r="38381" spans="26:26" x14ac:dyDescent="0.2">
      <c r="Z38381" t="str">
        <f t="shared" si="599"/>
        <v/>
      </c>
    </row>
    <row r="38382" spans="26:26" x14ac:dyDescent="0.2">
      <c r="Z38382" t="str">
        <f t="shared" si="599"/>
        <v/>
      </c>
    </row>
    <row r="38383" spans="26:26" x14ac:dyDescent="0.2">
      <c r="Z38383" t="str">
        <f t="shared" si="599"/>
        <v/>
      </c>
    </row>
    <row r="38384" spans="26:26" x14ac:dyDescent="0.2">
      <c r="Z38384" t="str">
        <f t="shared" si="599"/>
        <v/>
      </c>
    </row>
    <row r="38385" spans="26:26" x14ac:dyDescent="0.2">
      <c r="Z38385" t="str">
        <f t="shared" si="599"/>
        <v/>
      </c>
    </row>
    <row r="38386" spans="26:26" x14ac:dyDescent="0.2">
      <c r="Z38386" t="str">
        <f t="shared" si="599"/>
        <v/>
      </c>
    </row>
    <row r="38387" spans="26:26" x14ac:dyDescent="0.2">
      <c r="Z38387" t="str">
        <f t="shared" si="599"/>
        <v/>
      </c>
    </row>
    <row r="38388" spans="26:26" x14ac:dyDescent="0.2">
      <c r="Z38388" t="str">
        <f t="shared" si="599"/>
        <v/>
      </c>
    </row>
    <row r="38389" spans="26:26" x14ac:dyDescent="0.2">
      <c r="Z38389" t="str">
        <f t="shared" si="599"/>
        <v/>
      </c>
    </row>
    <row r="38390" spans="26:26" x14ac:dyDescent="0.2">
      <c r="Z38390" t="str">
        <f t="shared" si="599"/>
        <v/>
      </c>
    </row>
    <row r="38391" spans="26:26" x14ac:dyDescent="0.2">
      <c r="Z38391" t="str">
        <f t="shared" si="599"/>
        <v/>
      </c>
    </row>
    <row r="38392" spans="26:26" x14ac:dyDescent="0.2">
      <c r="Z38392" t="str">
        <f t="shared" si="599"/>
        <v/>
      </c>
    </row>
    <row r="38393" spans="26:26" x14ac:dyDescent="0.2">
      <c r="Z38393" t="str">
        <f t="shared" si="599"/>
        <v/>
      </c>
    </row>
    <row r="38394" spans="26:26" x14ac:dyDescent="0.2">
      <c r="Z38394" t="str">
        <f t="shared" si="599"/>
        <v/>
      </c>
    </row>
    <row r="38395" spans="26:26" x14ac:dyDescent="0.2">
      <c r="Z38395" t="str">
        <f t="shared" si="599"/>
        <v/>
      </c>
    </row>
    <row r="38396" spans="26:26" x14ac:dyDescent="0.2">
      <c r="Z38396" t="str">
        <f t="shared" si="599"/>
        <v/>
      </c>
    </row>
    <row r="38397" spans="26:26" x14ac:dyDescent="0.2">
      <c r="Z38397" t="str">
        <f t="shared" si="599"/>
        <v/>
      </c>
    </row>
    <row r="38398" spans="26:26" x14ac:dyDescent="0.2">
      <c r="Z38398" t="str">
        <f t="shared" si="599"/>
        <v/>
      </c>
    </row>
    <row r="38399" spans="26:26" x14ac:dyDescent="0.2">
      <c r="Z38399" t="str">
        <f t="shared" si="599"/>
        <v/>
      </c>
    </row>
    <row r="38400" spans="26:26" x14ac:dyDescent="0.2">
      <c r="Z38400" t="str">
        <f t="shared" si="599"/>
        <v/>
      </c>
    </row>
    <row r="38401" spans="26:26" x14ac:dyDescent="0.2">
      <c r="Z38401" t="str">
        <f t="shared" si="599"/>
        <v/>
      </c>
    </row>
    <row r="38402" spans="26:26" x14ac:dyDescent="0.2">
      <c r="Z38402" t="str">
        <f t="shared" si="599"/>
        <v/>
      </c>
    </row>
    <row r="38403" spans="26:26" x14ac:dyDescent="0.2">
      <c r="Z38403" t="str">
        <f t="shared" ref="Z38403:Z38466" si="600">IF(K38403="","",IFERROR(VALUE(TRIM(MID(K38403,FIND(CHAR(167),SUBSTITUTE(K38403,"-",CHAR(167),LEN(K38403)-LEN(SUBSTITUTE(K38403,"-",""))))+1,100))),K38403))</f>
        <v/>
      </c>
    </row>
    <row r="38404" spans="26:26" x14ac:dyDescent="0.2">
      <c r="Z38404" t="str">
        <f t="shared" si="600"/>
        <v/>
      </c>
    </row>
    <row r="38405" spans="26:26" x14ac:dyDescent="0.2">
      <c r="Z38405" t="str">
        <f t="shared" si="600"/>
        <v/>
      </c>
    </row>
    <row r="38406" spans="26:26" x14ac:dyDescent="0.2">
      <c r="Z38406" t="str">
        <f t="shared" si="600"/>
        <v/>
      </c>
    </row>
    <row r="38407" spans="26:26" x14ac:dyDescent="0.2">
      <c r="Z38407" t="str">
        <f t="shared" si="600"/>
        <v/>
      </c>
    </row>
    <row r="38408" spans="26:26" x14ac:dyDescent="0.2">
      <c r="Z38408" t="str">
        <f t="shared" si="600"/>
        <v/>
      </c>
    </row>
    <row r="38409" spans="26:26" x14ac:dyDescent="0.2">
      <c r="Z38409" t="str">
        <f t="shared" si="600"/>
        <v/>
      </c>
    </row>
    <row r="38410" spans="26:26" x14ac:dyDescent="0.2">
      <c r="Z38410" t="str">
        <f t="shared" si="600"/>
        <v/>
      </c>
    </row>
    <row r="38411" spans="26:26" x14ac:dyDescent="0.2">
      <c r="Z38411" t="str">
        <f t="shared" si="600"/>
        <v/>
      </c>
    </row>
    <row r="38412" spans="26:26" x14ac:dyDescent="0.2">
      <c r="Z38412" t="str">
        <f t="shared" si="600"/>
        <v/>
      </c>
    </row>
    <row r="38413" spans="26:26" x14ac:dyDescent="0.2">
      <c r="Z38413" t="str">
        <f t="shared" si="600"/>
        <v/>
      </c>
    </row>
    <row r="38414" spans="26:26" x14ac:dyDescent="0.2">
      <c r="Z38414" t="str">
        <f t="shared" si="600"/>
        <v/>
      </c>
    </row>
    <row r="38415" spans="26:26" x14ac:dyDescent="0.2">
      <c r="Z38415" t="str">
        <f t="shared" si="600"/>
        <v/>
      </c>
    </row>
    <row r="38416" spans="26:26" x14ac:dyDescent="0.2">
      <c r="Z38416" t="str">
        <f t="shared" si="600"/>
        <v/>
      </c>
    </row>
    <row r="38417" spans="26:26" x14ac:dyDescent="0.2">
      <c r="Z38417" t="str">
        <f t="shared" si="600"/>
        <v/>
      </c>
    </row>
    <row r="38418" spans="26:26" x14ac:dyDescent="0.2">
      <c r="Z38418" t="str">
        <f t="shared" si="600"/>
        <v/>
      </c>
    </row>
    <row r="38419" spans="26:26" x14ac:dyDescent="0.2">
      <c r="Z38419" t="str">
        <f t="shared" si="600"/>
        <v/>
      </c>
    </row>
    <row r="38420" spans="26:26" x14ac:dyDescent="0.2">
      <c r="Z38420" t="str">
        <f t="shared" si="600"/>
        <v/>
      </c>
    </row>
    <row r="38421" spans="26:26" x14ac:dyDescent="0.2">
      <c r="Z38421" t="str">
        <f t="shared" si="600"/>
        <v/>
      </c>
    </row>
    <row r="38422" spans="26:26" x14ac:dyDescent="0.2">
      <c r="Z38422" t="str">
        <f t="shared" si="600"/>
        <v/>
      </c>
    </row>
    <row r="38423" spans="26:26" x14ac:dyDescent="0.2">
      <c r="Z38423" t="str">
        <f t="shared" si="600"/>
        <v/>
      </c>
    </row>
    <row r="38424" spans="26:26" x14ac:dyDescent="0.2">
      <c r="Z38424" t="str">
        <f t="shared" si="600"/>
        <v/>
      </c>
    </row>
    <row r="38425" spans="26:26" x14ac:dyDescent="0.2">
      <c r="Z38425" t="str">
        <f t="shared" si="600"/>
        <v/>
      </c>
    </row>
    <row r="38426" spans="26:26" x14ac:dyDescent="0.2">
      <c r="Z38426" t="str">
        <f t="shared" si="600"/>
        <v/>
      </c>
    </row>
    <row r="38427" spans="26:26" x14ac:dyDescent="0.2">
      <c r="Z38427" t="str">
        <f t="shared" si="600"/>
        <v/>
      </c>
    </row>
    <row r="38428" spans="26:26" x14ac:dyDescent="0.2">
      <c r="Z38428" t="str">
        <f t="shared" si="600"/>
        <v/>
      </c>
    </row>
    <row r="38429" spans="26:26" x14ac:dyDescent="0.2">
      <c r="Z38429" t="str">
        <f t="shared" si="600"/>
        <v/>
      </c>
    </row>
    <row r="38430" spans="26:26" x14ac:dyDescent="0.2">
      <c r="Z38430" t="str">
        <f t="shared" si="600"/>
        <v/>
      </c>
    </row>
    <row r="38431" spans="26:26" x14ac:dyDescent="0.2">
      <c r="Z38431" t="str">
        <f t="shared" si="600"/>
        <v/>
      </c>
    </row>
    <row r="38432" spans="26:26" x14ac:dyDescent="0.2">
      <c r="Z38432" t="str">
        <f t="shared" si="600"/>
        <v/>
      </c>
    </row>
    <row r="38433" spans="26:26" x14ac:dyDescent="0.2">
      <c r="Z38433" t="str">
        <f t="shared" si="600"/>
        <v/>
      </c>
    </row>
    <row r="38434" spans="26:26" x14ac:dyDescent="0.2">
      <c r="Z38434" t="str">
        <f t="shared" si="600"/>
        <v/>
      </c>
    </row>
    <row r="38435" spans="26:26" x14ac:dyDescent="0.2">
      <c r="Z38435" t="str">
        <f t="shared" si="600"/>
        <v/>
      </c>
    </row>
    <row r="38436" spans="26:26" x14ac:dyDescent="0.2">
      <c r="Z38436" t="str">
        <f t="shared" si="600"/>
        <v/>
      </c>
    </row>
    <row r="38437" spans="26:26" x14ac:dyDescent="0.2">
      <c r="Z38437" t="str">
        <f t="shared" si="600"/>
        <v/>
      </c>
    </row>
    <row r="38438" spans="26:26" x14ac:dyDescent="0.2">
      <c r="Z38438" t="str">
        <f t="shared" si="600"/>
        <v/>
      </c>
    </row>
    <row r="38439" spans="26:26" x14ac:dyDescent="0.2">
      <c r="Z38439" t="str">
        <f t="shared" si="600"/>
        <v/>
      </c>
    </row>
    <row r="38440" spans="26:26" x14ac:dyDescent="0.2">
      <c r="Z38440" t="str">
        <f t="shared" si="600"/>
        <v/>
      </c>
    </row>
    <row r="38441" spans="26:26" x14ac:dyDescent="0.2">
      <c r="Z38441" t="str">
        <f t="shared" si="600"/>
        <v/>
      </c>
    </row>
    <row r="38442" spans="26:26" x14ac:dyDescent="0.2">
      <c r="Z38442" t="str">
        <f t="shared" si="600"/>
        <v/>
      </c>
    </row>
    <row r="38443" spans="26:26" x14ac:dyDescent="0.2">
      <c r="Z38443" t="str">
        <f t="shared" si="600"/>
        <v/>
      </c>
    </row>
    <row r="38444" spans="26:26" x14ac:dyDescent="0.2">
      <c r="Z38444" t="str">
        <f t="shared" si="600"/>
        <v/>
      </c>
    </row>
    <row r="38445" spans="26:26" x14ac:dyDescent="0.2">
      <c r="Z38445" t="str">
        <f t="shared" si="600"/>
        <v/>
      </c>
    </row>
    <row r="38446" spans="26:26" x14ac:dyDescent="0.2">
      <c r="Z38446" t="str">
        <f t="shared" si="600"/>
        <v/>
      </c>
    </row>
    <row r="38447" spans="26:26" x14ac:dyDescent="0.2">
      <c r="Z38447" t="str">
        <f t="shared" si="600"/>
        <v/>
      </c>
    </row>
    <row r="38448" spans="26:26" x14ac:dyDescent="0.2">
      <c r="Z38448" t="str">
        <f t="shared" si="600"/>
        <v/>
      </c>
    </row>
    <row r="38449" spans="26:26" x14ac:dyDescent="0.2">
      <c r="Z38449" t="str">
        <f t="shared" si="600"/>
        <v/>
      </c>
    </row>
    <row r="38450" spans="26:26" x14ac:dyDescent="0.2">
      <c r="Z38450" t="str">
        <f t="shared" si="600"/>
        <v/>
      </c>
    </row>
    <row r="38451" spans="26:26" x14ac:dyDescent="0.2">
      <c r="Z38451" t="str">
        <f t="shared" si="600"/>
        <v/>
      </c>
    </row>
    <row r="38452" spans="26:26" x14ac:dyDescent="0.2">
      <c r="Z38452" t="str">
        <f t="shared" si="600"/>
        <v/>
      </c>
    </row>
    <row r="38453" spans="26:26" x14ac:dyDescent="0.2">
      <c r="Z38453" t="str">
        <f t="shared" si="600"/>
        <v/>
      </c>
    </row>
    <row r="38454" spans="26:26" x14ac:dyDescent="0.2">
      <c r="Z38454" t="str">
        <f t="shared" si="600"/>
        <v/>
      </c>
    </row>
    <row r="38455" spans="26:26" x14ac:dyDescent="0.2">
      <c r="Z38455" t="str">
        <f t="shared" si="600"/>
        <v/>
      </c>
    </row>
    <row r="38456" spans="26:26" x14ac:dyDescent="0.2">
      <c r="Z38456" t="str">
        <f t="shared" si="600"/>
        <v/>
      </c>
    </row>
    <row r="38457" spans="26:26" x14ac:dyDescent="0.2">
      <c r="Z38457" t="str">
        <f t="shared" si="600"/>
        <v/>
      </c>
    </row>
    <row r="38458" spans="26:26" x14ac:dyDescent="0.2">
      <c r="Z38458" t="str">
        <f t="shared" si="600"/>
        <v/>
      </c>
    </row>
    <row r="38459" spans="26:26" x14ac:dyDescent="0.2">
      <c r="Z38459" t="str">
        <f t="shared" si="600"/>
        <v/>
      </c>
    </row>
    <row r="38460" spans="26:26" x14ac:dyDescent="0.2">
      <c r="Z38460" t="str">
        <f t="shared" si="600"/>
        <v/>
      </c>
    </row>
    <row r="38461" spans="26:26" x14ac:dyDescent="0.2">
      <c r="Z38461" t="str">
        <f t="shared" si="600"/>
        <v/>
      </c>
    </row>
    <row r="38462" spans="26:26" x14ac:dyDescent="0.2">
      <c r="Z38462" t="str">
        <f t="shared" si="600"/>
        <v/>
      </c>
    </row>
    <row r="38463" spans="26:26" x14ac:dyDescent="0.2">
      <c r="Z38463" t="str">
        <f t="shared" si="600"/>
        <v/>
      </c>
    </row>
    <row r="38464" spans="26:26" x14ac:dyDescent="0.2">
      <c r="Z38464" t="str">
        <f t="shared" si="600"/>
        <v/>
      </c>
    </row>
    <row r="38465" spans="26:26" x14ac:dyDescent="0.2">
      <c r="Z38465" t="str">
        <f t="shared" si="600"/>
        <v/>
      </c>
    </row>
    <row r="38466" spans="26:26" x14ac:dyDescent="0.2">
      <c r="Z38466" t="str">
        <f t="shared" si="600"/>
        <v/>
      </c>
    </row>
    <row r="38467" spans="26:26" x14ac:dyDescent="0.2">
      <c r="Z38467" t="str">
        <f t="shared" ref="Z38467:Z38530" si="601">IF(K38467="","",IFERROR(VALUE(TRIM(MID(K38467,FIND(CHAR(167),SUBSTITUTE(K38467,"-",CHAR(167),LEN(K38467)-LEN(SUBSTITUTE(K38467,"-",""))))+1,100))),K38467))</f>
        <v/>
      </c>
    </row>
    <row r="38468" spans="26:26" x14ac:dyDescent="0.2">
      <c r="Z38468" t="str">
        <f t="shared" si="601"/>
        <v/>
      </c>
    </row>
    <row r="38469" spans="26:26" x14ac:dyDescent="0.2">
      <c r="Z38469" t="str">
        <f t="shared" si="601"/>
        <v/>
      </c>
    </row>
    <row r="38470" spans="26:26" x14ac:dyDescent="0.2">
      <c r="Z38470" t="str">
        <f t="shared" si="601"/>
        <v/>
      </c>
    </row>
    <row r="38471" spans="26:26" x14ac:dyDescent="0.2">
      <c r="Z38471" t="str">
        <f t="shared" si="601"/>
        <v/>
      </c>
    </row>
    <row r="38472" spans="26:26" x14ac:dyDescent="0.2">
      <c r="Z38472" t="str">
        <f t="shared" si="601"/>
        <v/>
      </c>
    </row>
    <row r="38473" spans="26:26" x14ac:dyDescent="0.2">
      <c r="Z38473" t="str">
        <f t="shared" si="601"/>
        <v/>
      </c>
    </row>
    <row r="38474" spans="26:26" x14ac:dyDescent="0.2">
      <c r="Z38474" t="str">
        <f t="shared" si="601"/>
        <v/>
      </c>
    </row>
    <row r="38475" spans="26:26" x14ac:dyDescent="0.2">
      <c r="Z38475" t="str">
        <f t="shared" si="601"/>
        <v/>
      </c>
    </row>
    <row r="38476" spans="26:26" x14ac:dyDescent="0.2">
      <c r="Z38476" t="str">
        <f t="shared" si="601"/>
        <v/>
      </c>
    </row>
    <row r="38477" spans="26:26" x14ac:dyDescent="0.2">
      <c r="Z38477" t="str">
        <f t="shared" si="601"/>
        <v/>
      </c>
    </row>
    <row r="38478" spans="26:26" x14ac:dyDescent="0.2">
      <c r="Z38478" t="str">
        <f t="shared" si="601"/>
        <v/>
      </c>
    </row>
    <row r="38479" spans="26:26" x14ac:dyDescent="0.2">
      <c r="Z38479" t="str">
        <f t="shared" si="601"/>
        <v/>
      </c>
    </row>
    <row r="38480" spans="26:26" x14ac:dyDescent="0.2">
      <c r="Z38480" t="str">
        <f t="shared" si="601"/>
        <v/>
      </c>
    </row>
    <row r="38481" spans="26:26" x14ac:dyDescent="0.2">
      <c r="Z38481" t="str">
        <f t="shared" si="601"/>
        <v/>
      </c>
    </row>
    <row r="38482" spans="26:26" x14ac:dyDescent="0.2">
      <c r="Z38482" t="str">
        <f t="shared" si="601"/>
        <v/>
      </c>
    </row>
    <row r="38483" spans="26:26" x14ac:dyDescent="0.2">
      <c r="Z38483" t="str">
        <f t="shared" si="601"/>
        <v/>
      </c>
    </row>
    <row r="38484" spans="26:26" x14ac:dyDescent="0.2">
      <c r="Z38484" t="str">
        <f t="shared" si="601"/>
        <v/>
      </c>
    </row>
    <row r="38485" spans="26:26" x14ac:dyDescent="0.2">
      <c r="Z38485" t="str">
        <f t="shared" si="601"/>
        <v/>
      </c>
    </row>
    <row r="38486" spans="26:26" x14ac:dyDescent="0.2">
      <c r="Z38486" t="str">
        <f t="shared" si="601"/>
        <v/>
      </c>
    </row>
    <row r="38487" spans="26:26" x14ac:dyDescent="0.2">
      <c r="Z38487" t="str">
        <f t="shared" si="601"/>
        <v/>
      </c>
    </row>
    <row r="38488" spans="26:26" x14ac:dyDescent="0.2">
      <c r="Z38488" t="str">
        <f t="shared" si="601"/>
        <v/>
      </c>
    </row>
    <row r="38489" spans="26:26" x14ac:dyDescent="0.2">
      <c r="Z38489" t="str">
        <f t="shared" si="601"/>
        <v/>
      </c>
    </row>
    <row r="38490" spans="26:26" x14ac:dyDescent="0.2">
      <c r="Z38490" t="str">
        <f t="shared" si="601"/>
        <v/>
      </c>
    </row>
    <row r="38491" spans="26:26" x14ac:dyDescent="0.2">
      <c r="Z38491" t="str">
        <f t="shared" si="601"/>
        <v/>
      </c>
    </row>
    <row r="38492" spans="26:26" x14ac:dyDescent="0.2">
      <c r="Z38492" t="str">
        <f t="shared" si="601"/>
        <v/>
      </c>
    </row>
    <row r="38493" spans="26:26" x14ac:dyDescent="0.2">
      <c r="Z38493" t="str">
        <f t="shared" si="601"/>
        <v/>
      </c>
    </row>
    <row r="38494" spans="26:26" x14ac:dyDescent="0.2">
      <c r="Z38494" t="str">
        <f t="shared" si="601"/>
        <v/>
      </c>
    </row>
    <row r="38495" spans="26:26" x14ac:dyDescent="0.2">
      <c r="Z38495" t="str">
        <f t="shared" si="601"/>
        <v/>
      </c>
    </row>
    <row r="38496" spans="26:26" x14ac:dyDescent="0.2">
      <c r="Z38496" t="str">
        <f t="shared" si="601"/>
        <v/>
      </c>
    </row>
    <row r="38497" spans="26:26" x14ac:dyDescent="0.2">
      <c r="Z38497" t="str">
        <f t="shared" si="601"/>
        <v/>
      </c>
    </row>
    <row r="38498" spans="26:26" x14ac:dyDescent="0.2">
      <c r="Z38498" t="str">
        <f t="shared" si="601"/>
        <v/>
      </c>
    </row>
    <row r="38499" spans="26:26" x14ac:dyDescent="0.2">
      <c r="Z38499" t="str">
        <f t="shared" si="601"/>
        <v/>
      </c>
    </row>
    <row r="38500" spans="26:26" x14ac:dyDescent="0.2">
      <c r="Z38500" t="str">
        <f t="shared" si="601"/>
        <v/>
      </c>
    </row>
    <row r="38501" spans="26:26" x14ac:dyDescent="0.2">
      <c r="Z38501" t="str">
        <f t="shared" si="601"/>
        <v/>
      </c>
    </row>
    <row r="38502" spans="26:26" x14ac:dyDescent="0.2">
      <c r="Z38502" t="str">
        <f t="shared" si="601"/>
        <v/>
      </c>
    </row>
    <row r="38503" spans="26:26" x14ac:dyDescent="0.2">
      <c r="Z38503" t="str">
        <f t="shared" si="601"/>
        <v/>
      </c>
    </row>
    <row r="38504" spans="26:26" x14ac:dyDescent="0.2">
      <c r="Z38504" t="str">
        <f t="shared" si="601"/>
        <v/>
      </c>
    </row>
    <row r="38505" spans="26:26" x14ac:dyDescent="0.2">
      <c r="Z38505" t="str">
        <f t="shared" si="601"/>
        <v/>
      </c>
    </row>
    <row r="38506" spans="26:26" x14ac:dyDescent="0.2">
      <c r="Z38506" t="str">
        <f t="shared" si="601"/>
        <v/>
      </c>
    </row>
    <row r="38507" spans="26:26" x14ac:dyDescent="0.2">
      <c r="Z38507" t="str">
        <f t="shared" si="601"/>
        <v/>
      </c>
    </row>
    <row r="38508" spans="26:26" x14ac:dyDescent="0.2">
      <c r="Z38508" t="str">
        <f t="shared" si="601"/>
        <v/>
      </c>
    </row>
    <row r="38509" spans="26:26" x14ac:dyDescent="0.2">
      <c r="Z38509" t="str">
        <f t="shared" si="601"/>
        <v/>
      </c>
    </row>
    <row r="38510" spans="26:26" x14ac:dyDescent="0.2">
      <c r="Z38510" t="str">
        <f t="shared" si="601"/>
        <v/>
      </c>
    </row>
    <row r="38511" spans="26:26" x14ac:dyDescent="0.2">
      <c r="Z38511" t="str">
        <f t="shared" si="601"/>
        <v/>
      </c>
    </row>
    <row r="38512" spans="26:26" x14ac:dyDescent="0.2">
      <c r="Z38512" t="str">
        <f t="shared" si="601"/>
        <v/>
      </c>
    </row>
    <row r="38513" spans="26:26" x14ac:dyDescent="0.2">
      <c r="Z38513" t="str">
        <f t="shared" si="601"/>
        <v/>
      </c>
    </row>
    <row r="38514" spans="26:26" x14ac:dyDescent="0.2">
      <c r="Z38514" t="str">
        <f t="shared" si="601"/>
        <v/>
      </c>
    </row>
    <row r="38515" spans="26:26" x14ac:dyDescent="0.2">
      <c r="Z38515" t="str">
        <f t="shared" si="601"/>
        <v/>
      </c>
    </row>
    <row r="38516" spans="26:26" x14ac:dyDescent="0.2">
      <c r="Z38516" t="str">
        <f t="shared" si="601"/>
        <v/>
      </c>
    </row>
    <row r="38517" spans="26:26" x14ac:dyDescent="0.2">
      <c r="Z38517" t="str">
        <f t="shared" si="601"/>
        <v/>
      </c>
    </row>
    <row r="38518" spans="26:26" x14ac:dyDescent="0.2">
      <c r="Z38518" t="str">
        <f t="shared" si="601"/>
        <v/>
      </c>
    </row>
    <row r="38519" spans="26:26" x14ac:dyDescent="0.2">
      <c r="Z38519" t="str">
        <f t="shared" si="601"/>
        <v/>
      </c>
    </row>
    <row r="38520" spans="26:26" x14ac:dyDescent="0.2">
      <c r="Z38520" t="str">
        <f t="shared" si="601"/>
        <v/>
      </c>
    </row>
    <row r="38521" spans="26:26" x14ac:dyDescent="0.2">
      <c r="Z38521" t="str">
        <f t="shared" si="601"/>
        <v/>
      </c>
    </row>
    <row r="38522" spans="26:26" x14ac:dyDescent="0.2">
      <c r="Z38522" t="str">
        <f t="shared" si="601"/>
        <v/>
      </c>
    </row>
    <row r="38523" spans="26:26" x14ac:dyDescent="0.2">
      <c r="Z38523" t="str">
        <f t="shared" si="601"/>
        <v/>
      </c>
    </row>
    <row r="38524" spans="26:26" x14ac:dyDescent="0.2">
      <c r="Z38524" t="str">
        <f t="shared" si="601"/>
        <v/>
      </c>
    </row>
    <row r="38525" spans="26:26" x14ac:dyDescent="0.2">
      <c r="Z38525" t="str">
        <f t="shared" si="601"/>
        <v/>
      </c>
    </row>
    <row r="38526" spans="26:26" x14ac:dyDescent="0.2">
      <c r="Z38526" t="str">
        <f t="shared" si="601"/>
        <v/>
      </c>
    </row>
    <row r="38527" spans="26:26" x14ac:dyDescent="0.2">
      <c r="Z38527" t="str">
        <f t="shared" si="601"/>
        <v/>
      </c>
    </row>
    <row r="38528" spans="26:26" x14ac:dyDescent="0.2">
      <c r="Z38528" t="str">
        <f t="shared" si="601"/>
        <v/>
      </c>
    </row>
    <row r="38529" spans="26:26" x14ac:dyDescent="0.2">
      <c r="Z38529" t="str">
        <f t="shared" si="601"/>
        <v/>
      </c>
    </row>
    <row r="38530" spans="26:26" x14ac:dyDescent="0.2">
      <c r="Z38530" t="str">
        <f t="shared" si="601"/>
        <v/>
      </c>
    </row>
    <row r="38531" spans="26:26" x14ac:dyDescent="0.2">
      <c r="Z38531" t="str">
        <f t="shared" ref="Z38531:Z38594" si="602">IF(K38531="","",IFERROR(VALUE(TRIM(MID(K38531,FIND(CHAR(167),SUBSTITUTE(K38531,"-",CHAR(167),LEN(K38531)-LEN(SUBSTITUTE(K38531,"-",""))))+1,100))),K38531))</f>
        <v/>
      </c>
    </row>
    <row r="38532" spans="26:26" x14ac:dyDescent="0.2">
      <c r="Z38532" t="str">
        <f t="shared" si="602"/>
        <v/>
      </c>
    </row>
    <row r="38533" spans="26:26" x14ac:dyDescent="0.2">
      <c r="Z38533" t="str">
        <f t="shared" si="602"/>
        <v/>
      </c>
    </row>
    <row r="38534" spans="26:26" x14ac:dyDescent="0.2">
      <c r="Z38534" t="str">
        <f t="shared" si="602"/>
        <v/>
      </c>
    </row>
    <row r="38535" spans="26:26" x14ac:dyDescent="0.2">
      <c r="Z38535" t="str">
        <f t="shared" si="602"/>
        <v/>
      </c>
    </row>
    <row r="38536" spans="26:26" x14ac:dyDescent="0.2">
      <c r="Z38536" t="str">
        <f t="shared" si="602"/>
        <v/>
      </c>
    </row>
    <row r="38537" spans="26:26" x14ac:dyDescent="0.2">
      <c r="Z38537" t="str">
        <f t="shared" si="602"/>
        <v/>
      </c>
    </row>
    <row r="38538" spans="26:26" x14ac:dyDescent="0.2">
      <c r="Z38538" t="str">
        <f t="shared" si="602"/>
        <v/>
      </c>
    </row>
    <row r="38539" spans="26:26" x14ac:dyDescent="0.2">
      <c r="Z38539" t="str">
        <f t="shared" si="602"/>
        <v/>
      </c>
    </row>
    <row r="38540" spans="26:26" x14ac:dyDescent="0.2">
      <c r="Z38540" t="str">
        <f t="shared" si="602"/>
        <v/>
      </c>
    </row>
    <row r="38541" spans="26:26" x14ac:dyDescent="0.2">
      <c r="Z38541" t="str">
        <f t="shared" si="602"/>
        <v/>
      </c>
    </row>
    <row r="38542" spans="26:26" x14ac:dyDescent="0.2">
      <c r="Z38542" t="str">
        <f t="shared" si="602"/>
        <v/>
      </c>
    </row>
    <row r="38543" spans="26:26" x14ac:dyDescent="0.2">
      <c r="Z38543" t="str">
        <f t="shared" si="602"/>
        <v/>
      </c>
    </row>
    <row r="38544" spans="26:26" x14ac:dyDescent="0.2">
      <c r="Z38544" t="str">
        <f t="shared" si="602"/>
        <v/>
      </c>
    </row>
    <row r="38545" spans="26:26" x14ac:dyDescent="0.2">
      <c r="Z38545" t="str">
        <f t="shared" si="602"/>
        <v/>
      </c>
    </row>
    <row r="38546" spans="26:26" x14ac:dyDescent="0.2">
      <c r="Z38546" t="str">
        <f t="shared" si="602"/>
        <v/>
      </c>
    </row>
    <row r="38547" spans="26:26" x14ac:dyDescent="0.2">
      <c r="Z38547" t="str">
        <f t="shared" si="602"/>
        <v/>
      </c>
    </row>
    <row r="38548" spans="26:26" x14ac:dyDescent="0.2">
      <c r="Z38548" t="str">
        <f t="shared" si="602"/>
        <v/>
      </c>
    </row>
    <row r="38549" spans="26:26" x14ac:dyDescent="0.2">
      <c r="Z38549" t="str">
        <f t="shared" si="602"/>
        <v/>
      </c>
    </row>
    <row r="38550" spans="26:26" x14ac:dyDescent="0.2">
      <c r="Z38550" t="str">
        <f t="shared" si="602"/>
        <v/>
      </c>
    </row>
    <row r="38551" spans="26:26" x14ac:dyDescent="0.2">
      <c r="Z38551" t="str">
        <f t="shared" si="602"/>
        <v/>
      </c>
    </row>
    <row r="38552" spans="26:26" x14ac:dyDescent="0.2">
      <c r="Z38552" t="str">
        <f t="shared" si="602"/>
        <v/>
      </c>
    </row>
    <row r="38553" spans="26:26" x14ac:dyDescent="0.2">
      <c r="Z38553" t="str">
        <f t="shared" si="602"/>
        <v/>
      </c>
    </row>
    <row r="38554" spans="26:26" x14ac:dyDescent="0.2">
      <c r="Z38554" t="str">
        <f t="shared" si="602"/>
        <v/>
      </c>
    </row>
    <row r="38555" spans="26:26" x14ac:dyDescent="0.2">
      <c r="Z38555" t="str">
        <f t="shared" si="602"/>
        <v/>
      </c>
    </row>
    <row r="38556" spans="26:26" x14ac:dyDescent="0.2">
      <c r="Z38556" t="str">
        <f t="shared" si="602"/>
        <v/>
      </c>
    </row>
    <row r="38557" spans="26:26" x14ac:dyDescent="0.2">
      <c r="Z38557" t="str">
        <f t="shared" si="602"/>
        <v/>
      </c>
    </row>
    <row r="38558" spans="26:26" x14ac:dyDescent="0.2">
      <c r="Z38558" t="str">
        <f t="shared" si="602"/>
        <v/>
      </c>
    </row>
    <row r="38559" spans="26:26" x14ac:dyDescent="0.2">
      <c r="Z38559" t="str">
        <f t="shared" si="602"/>
        <v/>
      </c>
    </row>
    <row r="38560" spans="26:26" x14ac:dyDescent="0.2">
      <c r="Z38560" t="str">
        <f t="shared" si="602"/>
        <v/>
      </c>
    </row>
    <row r="38561" spans="26:26" x14ac:dyDescent="0.2">
      <c r="Z38561" t="str">
        <f t="shared" si="602"/>
        <v/>
      </c>
    </row>
    <row r="38562" spans="26:26" x14ac:dyDescent="0.2">
      <c r="Z38562" t="str">
        <f t="shared" si="602"/>
        <v/>
      </c>
    </row>
    <row r="38563" spans="26:26" x14ac:dyDescent="0.2">
      <c r="Z38563" t="str">
        <f t="shared" si="602"/>
        <v/>
      </c>
    </row>
    <row r="38564" spans="26:26" x14ac:dyDescent="0.2">
      <c r="Z38564" t="str">
        <f t="shared" si="602"/>
        <v/>
      </c>
    </row>
    <row r="38565" spans="26:26" x14ac:dyDescent="0.2">
      <c r="Z38565" t="str">
        <f t="shared" si="602"/>
        <v/>
      </c>
    </row>
    <row r="38566" spans="26:26" x14ac:dyDescent="0.2">
      <c r="Z38566" t="str">
        <f t="shared" si="602"/>
        <v/>
      </c>
    </row>
    <row r="38567" spans="26:26" x14ac:dyDescent="0.2">
      <c r="Z38567" t="str">
        <f t="shared" si="602"/>
        <v/>
      </c>
    </row>
    <row r="38568" spans="26:26" x14ac:dyDescent="0.2">
      <c r="Z38568" t="str">
        <f t="shared" si="602"/>
        <v/>
      </c>
    </row>
    <row r="38569" spans="26:26" x14ac:dyDescent="0.2">
      <c r="Z38569" t="str">
        <f t="shared" si="602"/>
        <v/>
      </c>
    </row>
    <row r="38570" spans="26:26" x14ac:dyDescent="0.2">
      <c r="Z38570" t="str">
        <f t="shared" si="602"/>
        <v/>
      </c>
    </row>
    <row r="38571" spans="26:26" x14ac:dyDescent="0.2">
      <c r="Z38571" t="str">
        <f t="shared" si="602"/>
        <v/>
      </c>
    </row>
    <row r="38572" spans="26:26" x14ac:dyDescent="0.2">
      <c r="Z38572" t="str">
        <f t="shared" si="602"/>
        <v/>
      </c>
    </row>
    <row r="38573" spans="26:26" x14ac:dyDescent="0.2">
      <c r="Z38573" t="str">
        <f t="shared" si="602"/>
        <v/>
      </c>
    </row>
    <row r="38574" spans="26:26" x14ac:dyDescent="0.2">
      <c r="Z38574" t="str">
        <f t="shared" si="602"/>
        <v/>
      </c>
    </row>
    <row r="38575" spans="26:26" x14ac:dyDescent="0.2">
      <c r="Z38575" t="str">
        <f t="shared" si="602"/>
        <v/>
      </c>
    </row>
    <row r="38576" spans="26:26" x14ac:dyDescent="0.2">
      <c r="Z38576" t="str">
        <f t="shared" si="602"/>
        <v/>
      </c>
    </row>
    <row r="38577" spans="26:26" x14ac:dyDescent="0.2">
      <c r="Z38577" t="str">
        <f t="shared" si="602"/>
        <v/>
      </c>
    </row>
    <row r="38578" spans="26:26" x14ac:dyDescent="0.2">
      <c r="Z38578" t="str">
        <f t="shared" si="602"/>
        <v/>
      </c>
    </row>
    <row r="38579" spans="26:26" x14ac:dyDescent="0.2">
      <c r="Z38579" t="str">
        <f t="shared" si="602"/>
        <v/>
      </c>
    </row>
    <row r="38580" spans="26:26" x14ac:dyDescent="0.2">
      <c r="Z38580" t="str">
        <f t="shared" si="602"/>
        <v/>
      </c>
    </row>
    <row r="38581" spans="26:26" x14ac:dyDescent="0.2">
      <c r="Z38581" t="str">
        <f t="shared" si="602"/>
        <v/>
      </c>
    </row>
    <row r="38582" spans="26:26" x14ac:dyDescent="0.2">
      <c r="Z38582" t="str">
        <f t="shared" si="602"/>
        <v/>
      </c>
    </row>
    <row r="38583" spans="26:26" x14ac:dyDescent="0.2">
      <c r="Z38583" t="str">
        <f t="shared" si="602"/>
        <v/>
      </c>
    </row>
    <row r="38584" spans="26:26" x14ac:dyDescent="0.2">
      <c r="Z38584" t="str">
        <f t="shared" si="602"/>
        <v/>
      </c>
    </row>
    <row r="38585" spans="26:26" x14ac:dyDescent="0.2">
      <c r="Z38585" t="str">
        <f t="shared" si="602"/>
        <v/>
      </c>
    </row>
    <row r="38586" spans="26:26" x14ac:dyDescent="0.2">
      <c r="Z38586" t="str">
        <f t="shared" si="602"/>
        <v/>
      </c>
    </row>
    <row r="38587" spans="26:26" x14ac:dyDescent="0.2">
      <c r="Z38587" t="str">
        <f t="shared" si="602"/>
        <v/>
      </c>
    </row>
    <row r="38588" spans="26:26" x14ac:dyDescent="0.2">
      <c r="Z38588" t="str">
        <f t="shared" si="602"/>
        <v/>
      </c>
    </row>
    <row r="38589" spans="26:26" x14ac:dyDescent="0.2">
      <c r="Z38589" t="str">
        <f t="shared" si="602"/>
        <v/>
      </c>
    </row>
    <row r="38590" spans="26:26" x14ac:dyDescent="0.2">
      <c r="Z38590" t="str">
        <f t="shared" si="602"/>
        <v/>
      </c>
    </row>
    <row r="38591" spans="26:26" x14ac:dyDescent="0.2">
      <c r="Z38591" t="str">
        <f t="shared" si="602"/>
        <v/>
      </c>
    </row>
    <row r="38592" spans="26:26" x14ac:dyDescent="0.2">
      <c r="Z38592" t="str">
        <f t="shared" si="602"/>
        <v/>
      </c>
    </row>
    <row r="38593" spans="26:26" x14ac:dyDescent="0.2">
      <c r="Z38593" t="str">
        <f t="shared" si="602"/>
        <v/>
      </c>
    </row>
    <row r="38594" spans="26:26" x14ac:dyDescent="0.2">
      <c r="Z38594" t="str">
        <f t="shared" si="602"/>
        <v/>
      </c>
    </row>
    <row r="38595" spans="26:26" x14ac:dyDescent="0.2">
      <c r="Z38595" t="str">
        <f t="shared" ref="Z38595:Z38658" si="603">IF(K38595="","",IFERROR(VALUE(TRIM(MID(K38595,FIND(CHAR(167),SUBSTITUTE(K38595,"-",CHAR(167),LEN(K38595)-LEN(SUBSTITUTE(K38595,"-",""))))+1,100))),K38595))</f>
        <v/>
      </c>
    </row>
    <row r="38596" spans="26:26" x14ac:dyDescent="0.2">
      <c r="Z38596" t="str">
        <f t="shared" si="603"/>
        <v/>
      </c>
    </row>
    <row r="38597" spans="26:26" x14ac:dyDescent="0.2">
      <c r="Z38597" t="str">
        <f t="shared" si="603"/>
        <v/>
      </c>
    </row>
    <row r="38598" spans="26:26" x14ac:dyDescent="0.2">
      <c r="Z38598" t="str">
        <f t="shared" si="603"/>
        <v/>
      </c>
    </row>
    <row r="38599" spans="26:26" x14ac:dyDescent="0.2">
      <c r="Z38599" t="str">
        <f t="shared" si="603"/>
        <v/>
      </c>
    </row>
    <row r="38600" spans="26:26" x14ac:dyDescent="0.2">
      <c r="Z38600" t="str">
        <f t="shared" si="603"/>
        <v/>
      </c>
    </row>
    <row r="38601" spans="26:26" x14ac:dyDescent="0.2">
      <c r="Z38601" t="str">
        <f t="shared" si="603"/>
        <v/>
      </c>
    </row>
    <row r="38602" spans="26:26" x14ac:dyDescent="0.2">
      <c r="Z38602" t="str">
        <f t="shared" si="603"/>
        <v/>
      </c>
    </row>
    <row r="38603" spans="26:26" x14ac:dyDescent="0.2">
      <c r="Z38603" t="str">
        <f t="shared" si="603"/>
        <v/>
      </c>
    </row>
    <row r="38604" spans="26:26" x14ac:dyDescent="0.2">
      <c r="Z38604" t="str">
        <f t="shared" si="603"/>
        <v/>
      </c>
    </row>
    <row r="38605" spans="26:26" x14ac:dyDescent="0.2">
      <c r="Z38605" t="str">
        <f t="shared" si="603"/>
        <v/>
      </c>
    </row>
    <row r="38606" spans="26:26" x14ac:dyDescent="0.2">
      <c r="Z38606" t="str">
        <f t="shared" si="603"/>
        <v/>
      </c>
    </row>
    <row r="38607" spans="26:26" x14ac:dyDescent="0.2">
      <c r="Z38607" t="str">
        <f t="shared" si="603"/>
        <v/>
      </c>
    </row>
    <row r="38608" spans="26:26" x14ac:dyDescent="0.2">
      <c r="Z38608" t="str">
        <f t="shared" si="603"/>
        <v/>
      </c>
    </row>
    <row r="38609" spans="26:26" x14ac:dyDescent="0.2">
      <c r="Z38609" t="str">
        <f t="shared" si="603"/>
        <v/>
      </c>
    </row>
    <row r="38610" spans="26:26" x14ac:dyDescent="0.2">
      <c r="Z38610" t="str">
        <f t="shared" si="603"/>
        <v/>
      </c>
    </row>
    <row r="38611" spans="26:26" x14ac:dyDescent="0.2">
      <c r="Z38611" t="str">
        <f t="shared" si="603"/>
        <v/>
      </c>
    </row>
    <row r="38612" spans="26:26" x14ac:dyDescent="0.2">
      <c r="Z38612" t="str">
        <f t="shared" si="603"/>
        <v/>
      </c>
    </row>
    <row r="38613" spans="26:26" x14ac:dyDescent="0.2">
      <c r="Z38613" t="str">
        <f t="shared" si="603"/>
        <v/>
      </c>
    </row>
    <row r="38614" spans="26:26" x14ac:dyDescent="0.2">
      <c r="Z38614" t="str">
        <f t="shared" si="603"/>
        <v/>
      </c>
    </row>
    <row r="38615" spans="26:26" x14ac:dyDescent="0.2">
      <c r="Z38615" t="str">
        <f t="shared" si="603"/>
        <v/>
      </c>
    </row>
    <row r="38616" spans="26:26" x14ac:dyDescent="0.2">
      <c r="Z38616" t="str">
        <f t="shared" si="603"/>
        <v/>
      </c>
    </row>
    <row r="38617" spans="26:26" x14ac:dyDescent="0.2">
      <c r="Z38617" t="str">
        <f t="shared" si="603"/>
        <v/>
      </c>
    </row>
    <row r="38618" spans="26:26" x14ac:dyDescent="0.2">
      <c r="Z38618" t="str">
        <f t="shared" si="603"/>
        <v/>
      </c>
    </row>
    <row r="38619" spans="26:26" x14ac:dyDescent="0.2">
      <c r="Z38619" t="str">
        <f t="shared" si="603"/>
        <v/>
      </c>
    </row>
    <row r="38620" spans="26:26" x14ac:dyDescent="0.2">
      <c r="Z38620" t="str">
        <f t="shared" si="603"/>
        <v/>
      </c>
    </row>
    <row r="38621" spans="26:26" x14ac:dyDescent="0.2">
      <c r="Z38621" t="str">
        <f t="shared" si="603"/>
        <v/>
      </c>
    </row>
    <row r="38622" spans="26:26" x14ac:dyDescent="0.2">
      <c r="Z38622" t="str">
        <f t="shared" si="603"/>
        <v/>
      </c>
    </row>
    <row r="38623" spans="26:26" x14ac:dyDescent="0.2">
      <c r="Z38623" t="str">
        <f t="shared" si="603"/>
        <v/>
      </c>
    </row>
    <row r="38624" spans="26:26" x14ac:dyDescent="0.2">
      <c r="Z38624" t="str">
        <f t="shared" si="603"/>
        <v/>
      </c>
    </row>
    <row r="38625" spans="26:26" x14ac:dyDescent="0.2">
      <c r="Z38625" t="str">
        <f t="shared" si="603"/>
        <v/>
      </c>
    </row>
    <row r="38626" spans="26:26" x14ac:dyDescent="0.2">
      <c r="Z38626" t="str">
        <f t="shared" si="603"/>
        <v/>
      </c>
    </row>
    <row r="38627" spans="26:26" x14ac:dyDescent="0.2">
      <c r="Z38627" t="str">
        <f t="shared" si="603"/>
        <v/>
      </c>
    </row>
    <row r="38628" spans="26:26" x14ac:dyDescent="0.2">
      <c r="Z38628" t="str">
        <f t="shared" si="603"/>
        <v/>
      </c>
    </row>
    <row r="38629" spans="26:26" x14ac:dyDescent="0.2">
      <c r="Z38629" t="str">
        <f t="shared" si="603"/>
        <v/>
      </c>
    </row>
    <row r="38630" spans="26:26" x14ac:dyDescent="0.2">
      <c r="Z38630" t="str">
        <f t="shared" si="603"/>
        <v/>
      </c>
    </row>
    <row r="38631" spans="26:26" x14ac:dyDescent="0.2">
      <c r="Z38631" t="str">
        <f t="shared" si="603"/>
        <v/>
      </c>
    </row>
    <row r="38632" spans="26:26" x14ac:dyDescent="0.2">
      <c r="Z38632" t="str">
        <f t="shared" si="603"/>
        <v/>
      </c>
    </row>
    <row r="38633" spans="26:26" x14ac:dyDescent="0.2">
      <c r="Z38633" t="str">
        <f t="shared" si="603"/>
        <v/>
      </c>
    </row>
    <row r="38634" spans="26:26" x14ac:dyDescent="0.2">
      <c r="Z38634" t="str">
        <f t="shared" si="603"/>
        <v/>
      </c>
    </row>
    <row r="38635" spans="26:26" x14ac:dyDescent="0.2">
      <c r="Z38635" t="str">
        <f t="shared" si="603"/>
        <v/>
      </c>
    </row>
    <row r="38636" spans="26:26" x14ac:dyDescent="0.2">
      <c r="Z38636" t="str">
        <f t="shared" si="603"/>
        <v/>
      </c>
    </row>
    <row r="38637" spans="26:26" x14ac:dyDescent="0.2">
      <c r="Z38637" t="str">
        <f t="shared" si="603"/>
        <v/>
      </c>
    </row>
    <row r="38638" spans="26:26" x14ac:dyDescent="0.2">
      <c r="Z38638" t="str">
        <f t="shared" si="603"/>
        <v/>
      </c>
    </row>
    <row r="38639" spans="26:26" x14ac:dyDescent="0.2">
      <c r="Z38639" t="str">
        <f t="shared" si="603"/>
        <v/>
      </c>
    </row>
    <row r="38640" spans="26:26" x14ac:dyDescent="0.2">
      <c r="Z38640" t="str">
        <f t="shared" si="603"/>
        <v/>
      </c>
    </row>
    <row r="38641" spans="26:26" x14ac:dyDescent="0.2">
      <c r="Z38641" t="str">
        <f t="shared" si="603"/>
        <v/>
      </c>
    </row>
    <row r="38642" spans="26:26" x14ac:dyDescent="0.2">
      <c r="Z38642" t="str">
        <f t="shared" si="603"/>
        <v/>
      </c>
    </row>
    <row r="38643" spans="26:26" x14ac:dyDescent="0.2">
      <c r="Z38643" t="str">
        <f t="shared" si="603"/>
        <v/>
      </c>
    </row>
    <row r="38644" spans="26:26" x14ac:dyDescent="0.2">
      <c r="Z38644" t="str">
        <f t="shared" si="603"/>
        <v/>
      </c>
    </row>
    <row r="38645" spans="26:26" x14ac:dyDescent="0.2">
      <c r="Z38645" t="str">
        <f t="shared" si="603"/>
        <v/>
      </c>
    </row>
    <row r="38646" spans="26:26" x14ac:dyDescent="0.2">
      <c r="Z38646" t="str">
        <f t="shared" si="603"/>
        <v/>
      </c>
    </row>
    <row r="38647" spans="26:26" x14ac:dyDescent="0.2">
      <c r="Z38647" t="str">
        <f t="shared" si="603"/>
        <v/>
      </c>
    </row>
    <row r="38648" spans="26:26" x14ac:dyDescent="0.2">
      <c r="Z38648" t="str">
        <f t="shared" si="603"/>
        <v/>
      </c>
    </row>
    <row r="38649" spans="26:26" x14ac:dyDescent="0.2">
      <c r="Z38649" t="str">
        <f t="shared" si="603"/>
        <v/>
      </c>
    </row>
    <row r="38650" spans="26:26" x14ac:dyDescent="0.2">
      <c r="Z38650" t="str">
        <f t="shared" si="603"/>
        <v/>
      </c>
    </row>
    <row r="38651" spans="26:26" x14ac:dyDescent="0.2">
      <c r="Z38651" t="str">
        <f t="shared" si="603"/>
        <v/>
      </c>
    </row>
    <row r="38652" spans="26:26" x14ac:dyDescent="0.2">
      <c r="Z38652" t="str">
        <f t="shared" si="603"/>
        <v/>
      </c>
    </row>
    <row r="38653" spans="26:26" x14ac:dyDescent="0.2">
      <c r="Z38653" t="str">
        <f t="shared" si="603"/>
        <v/>
      </c>
    </row>
    <row r="38654" spans="26:26" x14ac:dyDescent="0.2">
      <c r="Z38654" t="str">
        <f t="shared" si="603"/>
        <v/>
      </c>
    </row>
    <row r="38655" spans="26:26" x14ac:dyDescent="0.2">
      <c r="Z38655" t="str">
        <f t="shared" si="603"/>
        <v/>
      </c>
    </row>
    <row r="38656" spans="26:26" x14ac:dyDescent="0.2">
      <c r="Z38656" t="str">
        <f t="shared" si="603"/>
        <v/>
      </c>
    </row>
    <row r="38657" spans="26:26" x14ac:dyDescent="0.2">
      <c r="Z38657" t="str">
        <f t="shared" si="603"/>
        <v/>
      </c>
    </row>
    <row r="38658" spans="26:26" x14ac:dyDescent="0.2">
      <c r="Z38658" t="str">
        <f t="shared" si="603"/>
        <v/>
      </c>
    </row>
    <row r="38659" spans="26:26" x14ac:dyDescent="0.2">
      <c r="Z38659" t="str">
        <f t="shared" ref="Z38659:Z38722" si="604">IF(K38659="","",IFERROR(VALUE(TRIM(MID(K38659,FIND(CHAR(167),SUBSTITUTE(K38659,"-",CHAR(167),LEN(K38659)-LEN(SUBSTITUTE(K38659,"-",""))))+1,100))),K38659))</f>
        <v/>
      </c>
    </row>
    <row r="38660" spans="26:26" x14ac:dyDescent="0.2">
      <c r="Z38660" t="str">
        <f t="shared" si="604"/>
        <v/>
      </c>
    </row>
    <row r="38661" spans="26:26" x14ac:dyDescent="0.2">
      <c r="Z38661" t="str">
        <f t="shared" si="604"/>
        <v/>
      </c>
    </row>
    <row r="38662" spans="26:26" x14ac:dyDescent="0.2">
      <c r="Z38662" t="str">
        <f t="shared" si="604"/>
        <v/>
      </c>
    </row>
    <row r="38663" spans="26:26" x14ac:dyDescent="0.2">
      <c r="Z38663" t="str">
        <f t="shared" si="604"/>
        <v/>
      </c>
    </row>
    <row r="38664" spans="26:26" x14ac:dyDescent="0.2">
      <c r="Z38664" t="str">
        <f t="shared" si="604"/>
        <v/>
      </c>
    </row>
    <row r="38665" spans="26:26" x14ac:dyDescent="0.2">
      <c r="Z38665" t="str">
        <f t="shared" si="604"/>
        <v/>
      </c>
    </row>
    <row r="38666" spans="26:26" x14ac:dyDescent="0.2">
      <c r="Z38666" t="str">
        <f t="shared" si="604"/>
        <v/>
      </c>
    </row>
    <row r="38667" spans="26:26" x14ac:dyDescent="0.2">
      <c r="Z38667" t="str">
        <f t="shared" si="604"/>
        <v/>
      </c>
    </row>
    <row r="38668" spans="26:26" x14ac:dyDescent="0.2">
      <c r="Z38668" t="str">
        <f t="shared" si="604"/>
        <v/>
      </c>
    </row>
    <row r="38669" spans="26:26" x14ac:dyDescent="0.2">
      <c r="Z38669" t="str">
        <f t="shared" si="604"/>
        <v/>
      </c>
    </row>
    <row r="38670" spans="26:26" x14ac:dyDescent="0.2">
      <c r="Z38670" t="str">
        <f t="shared" si="604"/>
        <v/>
      </c>
    </row>
    <row r="38671" spans="26:26" x14ac:dyDescent="0.2">
      <c r="Z38671" t="str">
        <f t="shared" si="604"/>
        <v/>
      </c>
    </row>
    <row r="38672" spans="26:26" x14ac:dyDescent="0.2">
      <c r="Z38672" t="str">
        <f t="shared" si="604"/>
        <v/>
      </c>
    </row>
    <row r="38673" spans="26:26" x14ac:dyDescent="0.2">
      <c r="Z38673" t="str">
        <f t="shared" si="604"/>
        <v/>
      </c>
    </row>
    <row r="38674" spans="26:26" x14ac:dyDescent="0.2">
      <c r="Z38674" t="str">
        <f t="shared" si="604"/>
        <v/>
      </c>
    </row>
    <row r="38675" spans="26:26" x14ac:dyDescent="0.2">
      <c r="Z38675" t="str">
        <f t="shared" si="604"/>
        <v/>
      </c>
    </row>
    <row r="38676" spans="26:26" x14ac:dyDescent="0.2">
      <c r="Z38676" t="str">
        <f t="shared" si="604"/>
        <v/>
      </c>
    </row>
    <row r="38677" spans="26:26" x14ac:dyDescent="0.2">
      <c r="Z38677" t="str">
        <f t="shared" si="604"/>
        <v/>
      </c>
    </row>
    <row r="38678" spans="26:26" x14ac:dyDescent="0.2">
      <c r="Z38678" t="str">
        <f t="shared" si="604"/>
        <v/>
      </c>
    </row>
    <row r="38679" spans="26:26" x14ac:dyDescent="0.2">
      <c r="Z38679" t="str">
        <f t="shared" si="604"/>
        <v/>
      </c>
    </row>
    <row r="38680" spans="26:26" x14ac:dyDescent="0.2">
      <c r="Z38680" t="str">
        <f t="shared" si="604"/>
        <v/>
      </c>
    </row>
    <row r="38681" spans="26:26" x14ac:dyDescent="0.2">
      <c r="Z38681" t="str">
        <f t="shared" si="604"/>
        <v/>
      </c>
    </row>
    <row r="38682" spans="26:26" x14ac:dyDescent="0.2">
      <c r="Z38682" t="str">
        <f t="shared" si="604"/>
        <v/>
      </c>
    </row>
    <row r="38683" spans="26:26" x14ac:dyDescent="0.2">
      <c r="Z38683" t="str">
        <f t="shared" si="604"/>
        <v/>
      </c>
    </row>
    <row r="38684" spans="26:26" x14ac:dyDescent="0.2">
      <c r="Z38684" t="str">
        <f t="shared" si="604"/>
        <v/>
      </c>
    </row>
    <row r="38685" spans="26:26" x14ac:dyDescent="0.2">
      <c r="Z38685" t="str">
        <f t="shared" si="604"/>
        <v/>
      </c>
    </row>
    <row r="38686" spans="26:26" x14ac:dyDescent="0.2">
      <c r="Z38686" t="str">
        <f t="shared" si="604"/>
        <v/>
      </c>
    </row>
    <row r="38687" spans="26:26" x14ac:dyDescent="0.2">
      <c r="Z38687" t="str">
        <f t="shared" si="604"/>
        <v/>
      </c>
    </row>
    <row r="38688" spans="26:26" x14ac:dyDescent="0.2">
      <c r="Z38688" t="str">
        <f t="shared" si="604"/>
        <v/>
      </c>
    </row>
    <row r="38689" spans="26:26" x14ac:dyDescent="0.2">
      <c r="Z38689" t="str">
        <f t="shared" si="604"/>
        <v/>
      </c>
    </row>
    <row r="38690" spans="26:26" x14ac:dyDescent="0.2">
      <c r="Z38690" t="str">
        <f t="shared" si="604"/>
        <v/>
      </c>
    </row>
    <row r="38691" spans="26:26" x14ac:dyDescent="0.2">
      <c r="Z38691" t="str">
        <f t="shared" si="604"/>
        <v/>
      </c>
    </row>
    <row r="38692" spans="26:26" x14ac:dyDescent="0.2">
      <c r="Z38692" t="str">
        <f t="shared" si="604"/>
        <v/>
      </c>
    </row>
    <row r="38693" spans="26:26" x14ac:dyDescent="0.2">
      <c r="Z38693" t="str">
        <f t="shared" si="604"/>
        <v/>
      </c>
    </row>
    <row r="38694" spans="26:26" x14ac:dyDescent="0.2">
      <c r="Z38694" t="str">
        <f t="shared" si="604"/>
        <v/>
      </c>
    </row>
    <row r="38695" spans="26:26" x14ac:dyDescent="0.2">
      <c r="Z38695" t="str">
        <f t="shared" si="604"/>
        <v/>
      </c>
    </row>
    <row r="38696" spans="26:26" x14ac:dyDescent="0.2">
      <c r="Z38696" t="str">
        <f t="shared" si="604"/>
        <v/>
      </c>
    </row>
    <row r="38697" spans="26:26" x14ac:dyDescent="0.2">
      <c r="Z38697" t="str">
        <f t="shared" si="604"/>
        <v/>
      </c>
    </row>
    <row r="38698" spans="26:26" x14ac:dyDescent="0.2">
      <c r="Z38698" t="str">
        <f t="shared" si="604"/>
        <v/>
      </c>
    </row>
    <row r="38699" spans="26:26" x14ac:dyDescent="0.2">
      <c r="Z38699" t="str">
        <f t="shared" si="604"/>
        <v/>
      </c>
    </row>
    <row r="38700" spans="26:26" x14ac:dyDescent="0.2">
      <c r="Z38700" t="str">
        <f t="shared" si="604"/>
        <v/>
      </c>
    </row>
    <row r="38701" spans="26:26" x14ac:dyDescent="0.2">
      <c r="Z38701" t="str">
        <f t="shared" si="604"/>
        <v/>
      </c>
    </row>
    <row r="38702" spans="26:26" x14ac:dyDescent="0.2">
      <c r="Z38702" t="str">
        <f t="shared" si="604"/>
        <v/>
      </c>
    </row>
    <row r="38703" spans="26:26" x14ac:dyDescent="0.2">
      <c r="Z38703" t="str">
        <f t="shared" si="604"/>
        <v/>
      </c>
    </row>
    <row r="38704" spans="26:26" x14ac:dyDescent="0.2">
      <c r="Z38704" t="str">
        <f t="shared" si="604"/>
        <v/>
      </c>
    </row>
    <row r="38705" spans="26:26" x14ac:dyDescent="0.2">
      <c r="Z38705" t="str">
        <f t="shared" si="604"/>
        <v/>
      </c>
    </row>
    <row r="38706" spans="26:26" x14ac:dyDescent="0.2">
      <c r="Z38706" t="str">
        <f t="shared" si="604"/>
        <v/>
      </c>
    </row>
    <row r="38707" spans="26:26" x14ac:dyDescent="0.2">
      <c r="Z38707" t="str">
        <f t="shared" si="604"/>
        <v/>
      </c>
    </row>
    <row r="38708" spans="26:26" x14ac:dyDescent="0.2">
      <c r="Z38708" t="str">
        <f t="shared" si="604"/>
        <v/>
      </c>
    </row>
    <row r="38709" spans="26:26" x14ac:dyDescent="0.2">
      <c r="Z38709" t="str">
        <f t="shared" si="604"/>
        <v/>
      </c>
    </row>
    <row r="38710" spans="26:26" x14ac:dyDescent="0.2">
      <c r="Z38710" t="str">
        <f t="shared" si="604"/>
        <v/>
      </c>
    </row>
    <row r="38711" spans="26:26" x14ac:dyDescent="0.2">
      <c r="Z38711" t="str">
        <f t="shared" si="604"/>
        <v/>
      </c>
    </row>
    <row r="38712" spans="26:26" x14ac:dyDescent="0.2">
      <c r="Z38712" t="str">
        <f t="shared" si="604"/>
        <v/>
      </c>
    </row>
    <row r="38713" spans="26:26" x14ac:dyDescent="0.2">
      <c r="Z38713" t="str">
        <f t="shared" si="604"/>
        <v/>
      </c>
    </row>
    <row r="38714" spans="26:26" x14ac:dyDescent="0.2">
      <c r="Z38714" t="str">
        <f t="shared" si="604"/>
        <v/>
      </c>
    </row>
    <row r="38715" spans="26:26" x14ac:dyDescent="0.2">
      <c r="Z38715" t="str">
        <f t="shared" si="604"/>
        <v/>
      </c>
    </row>
    <row r="38716" spans="26:26" x14ac:dyDescent="0.2">
      <c r="Z38716" t="str">
        <f t="shared" si="604"/>
        <v/>
      </c>
    </row>
    <row r="38717" spans="26:26" x14ac:dyDescent="0.2">
      <c r="Z38717" t="str">
        <f t="shared" si="604"/>
        <v/>
      </c>
    </row>
    <row r="38718" spans="26:26" x14ac:dyDescent="0.2">
      <c r="Z38718" t="str">
        <f t="shared" si="604"/>
        <v/>
      </c>
    </row>
    <row r="38719" spans="26:26" x14ac:dyDescent="0.2">
      <c r="Z38719" t="str">
        <f t="shared" si="604"/>
        <v/>
      </c>
    </row>
    <row r="38720" spans="26:26" x14ac:dyDescent="0.2">
      <c r="Z38720" t="str">
        <f t="shared" si="604"/>
        <v/>
      </c>
    </row>
    <row r="38721" spans="26:26" x14ac:dyDescent="0.2">
      <c r="Z38721" t="str">
        <f t="shared" si="604"/>
        <v/>
      </c>
    </row>
    <row r="38722" spans="26:26" x14ac:dyDescent="0.2">
      <c r="Z38722" t="str">
        <f t="shared" si="604"/>
        <v/>
      </c>
    </row>
    <row r="38723" spans="26:26" x14ac:dyDescent="0.2">
      <c r="Z38723" t="str">
        <f t="shared" ref="Z38723:Z38786" si="605">IF(K38723="","",IFERROR(VALUE(TRIM(MID(K38723,FIND(CHAR(167),SUBSTITUTE(K38723,"-",CHAR(167),LEN(K38723)-LEN(SUBSTITUTE(K38723,"-",""))))+1,100))),K38723))</f>
        <v/>
      </c>
    </row>
    <row r="38724" spans="26:26" x14ac:dyDescent="0.2">
      <c r="Z38724" t="str">
        <f t="shared" si="605"/>
        <v/>
      </c>
    </row>
    <row r="38725" spans="26:26" x14ac:dyDescent="0.2">
      <c r="Z38725" t="str">
        <f t="shared" si="605"/>
        <v/>
      </c>
    </row>
    <row r="38726" spans="26:26" x14ac:dyDescent="0.2">
      <c r="Z38726" t="str">
        <f t="shared" si="605"/>
        <v/>
      </c>
    </row>
    <row r="38727" spans="26:26" x14ac:dyDescent="0.2">
      <c r="Z38727" t="str">
        <f t="shared" si="605"/>
        <v/>
      </c>
    </row>
    <row r="38728" spans="26:26" x14ac:dyDescent="0.2">
      <c r="Z38728" t="str">
        <f t="shared" si="605"/>
        <v/>
      </c>
    </row>
    <row r="38729" spans="26:26" x14ac:dyDescent="0.2">
      <c r="Z38729" t="str">
        <f t="shared" si="605"/>
        <v/>
      </c>
    </row>
    <row r="38730" spans="26:26" x14ac:dyDescent="0.2">
      <c r="Z38730" t="str">
        <f t="shared" si="605"/>
        <v/>
      </c>
    </row>
    <row r="38731" spans="26:26" x14ac:dyDescent="0.2">
      <c r="Z38731" t="str">
        <f t="shared" si="605"/>
        <v/>
      </c>
    </row>
    <row r="38732" spans="26:26" x14ac:dyDescent="0.2">
      <c r="Z38732" t="str">
        <f t="shared" si="605"/>
        <v/>
      </c>
    </row>
    <row r="38733" spans="26:26" x14ac:dyDescent="0.2">
      <c r="Z38733" t="str">
        <f t="shared" si="605"/>
        <v/>
      </c>
    </row>
    <row r="38734" spans="26:26" x14ac:dyDescent="0.2">
      <c r="Z38734" t="str">
        <f t="shared" si="605"/>
        <v/>
      </c>
    </row>
    <row r="38735" spans="26:26" x14ac:dyDescent="0.2">
      <c r="Z38735" t="str">
        <f t="shared" si="605"/>
        <v/>
      </c>
    </row>
    <row r="38736" spans="26:26" x14ac:dyDescent="0.2">
      <c r="Z38736" t="str">
        <f t="shared" si="605"/>
        <v/>
      </c>
    </row>
    <row r="38737" spans="26:26" x14ac:dyDescent="0.2">
      <c r="Z38737" t="str">
        <f t="shared" si="605"/>
        <v/>
      </c>
    </row>
    <row r="38738" spans="26:26" x14ac:dyDescent="0.2">
      <c r="Z38738" t="str">
        <f t="shared" si="605"/>
        <v/>
      </c>
    </row>
    <row r="38739" spans="26:26" x14ac:dyDescent="0.2">
      <c r="Z38739" t="str">
        <f t="shared" si="605"/>
        <v/>
      </c>
    </row>
    <row r="38740" spans="26:26" x14ac:dyDescent="0.2">
      <c r="Z38740" t="str">
        <f t="shared" si="605"/>
        <v/>
      </c>
    </row>
    <row r="38741" spans="26:26" x14ac:dyDescent="0.2">
      <c r="Z38741" t="str">
        <f t="shared" si="605"/>
        <v/>
      </c>
    </row>
    <row r="38742" spans="26:26" x14ac:dyDescent="0.2">
      <c r="Z38742" t="str">
        <f t="shared" si="605"/>
        <v/>
      </c>
    </row>
    <row r="38743" spans="26:26" x14ac:dyDescent="0.2">
      <c r="Z38743" t="str">
        <f t="shared" si="605"/>
        <v/>
      </c>
    </row>
    <row r="38744" spans="26:26" x14ac:dyDescent="0.2">
      <c r="Z38744" t="str">
        <f t="shared" si="605"/>
        <v/>
      </c>
    </row>
    <row r="38745" spans="26:26" x14ac:dyDescent="0.2">
      <c r="Z38745" t="str">
        <f t="shared" si="605"/>
        <v/>
      </c>
    </row>
    <row r="38746" spans="26:26" x14ac:dyDescent="0.2">
      <c r="Z38746" t="str">
        <f t="shared" si="605"/>
        <v/>
      </c>
    </row>
    <row r="38747" spans="26:26" x14ac:dyDescent="0.2">
      <c r="Z38747" t="str">
        <f t="shared" si="605"/>
        <v/>
      </c>
    </row>
    <row r="38748" spans="26:26" x14ac:dyDescent="0.2">
      <c r="Z38748" t="str">
        <f t="shared" si="605"/>
        <v/>
      </c>
    </row>
    <row r="38749" spans="26:26" x14ac:dyDescent="0.2">
      <c r="Z38749" t="str">
        <f t="shared" si="605"/>
        <v/>
      </c>
    </row>
    <row r="38750" spans="26:26" x14ac:dyDescent="0.2">
      <c r="Z38750" t="str">
        <f t="shared" si="605"/>
        <v/>
      </c>
    </row>
    <row r="38751" spans="26:26" x14ac:dyDescent="0.2">
      <c r="Z38751" t="str">
        <f t="shared" si="605"/>
        <v/>
      </c>
    </row>
    <row r="38752" spans="26:26" x14ac:dyDescent="0.2">
      <c r="Z38752" t="str">
        <f t="shared" si="605"/>
        <v/>
      </c>
    </row>
    <row r="38753" spans="26:26" x14ac:dyDescent="0.2">
      <c r="Z38753" t="str">
        <f t="shared" si="605"/>
        <v/>
      </c>
    </row>
    <row r="38754" spans="26:26" x14ac:dyDescent="0.2">
      <c r="Z38754" t="str">
        <f t="shared" si="605"/>
        <v/>
      </c>
    </row>
    <row r="38755" spans="26:26" x14ac:dyDescent="0.2">
      <c r="Z38755" t="str">
        <f t="shared" si="605"/>
        <v/>
      </c>
    </row>
    <row r="38756" spans="26:26" x14ac:dyDescent="0.2">
      <c r="Z38756" t="str">
        <f t="shared" si="605"/>
        <v/>
      </c>
    </row>
    <row r="38757" spans="26:26" x14ac:dyDescent="0.2">
      <c r="Z38757" t="str">
        <f t="shared" si="605"/>
        <v/>
      </c>
    </row>
    <row r="38758" spans="26:26" x14ac:dyDescent="0.2">
      <c r="Z38758" t="str">
        <f t="shared" si="605"/>
        <v/>
      </c>
    </row>
    <row r="38759" spans="26:26" x14ac:dyDescent="0.2">
      <c r="Z38759" t="str">
        <f t="shared" si="605"/>
        <v/>
      </c>
    </row>
    <row r="38760" spans="26:26" x14ac:dyDescent="0.2">
      <c r="Z38760" t="str">
        <f t="shared" si="605"/>
        <v/>
      </c>
    </row>
    <row r="38761" spans="26:26" x14ac:dyDescent="0.2">
      <c r="Z38761" t="str">
        <f t="shared" si="605"/>
        <v/>
      </c>
    </row>
    <row r="38762" spans="26:26" x14ac:dyDescent="0.2">
      <c r="Z38762" t="str">
        <f t="shared" si="605"/>
        <v/>
      </c>
    </row>
    <row r="38763" spans="26:26" x14ac:dyDescent="0.2">
      <c r="Z38763" t="str">
        <f t="shared" si="605"/>
        <v/>
      </c>
    </row>
    <row r="38764" spans="26:26" x14ac:dyDescent="0.2">
      <c r="Z38764" t="str">
        <f t="shared" si="605"/>
        <v/>
      </c>
    </row>
    <row r="38765" spans="26:26" x14ac:dyDescent="0.2">
      <c r="Z38765" t="str">
        <f t="shared" si="605"/>
        <v/>
      </c>
    </row>
    <row r="38766" spans="26:26" x14ac:dyDescent="0.2">
      <c r="Z38766" t="str">
        <f t="shared" si="605"/>
        <v/>
      </c>
    </row>
    <row r="38767" spans="26:26" x14ac:dyDescent="0.2">
      <c r="Z38767" t="str">
        <f t="shared" si="605"/>
        <v/>
      </c>
    </row>
    <row r="38768" spans="26:26" x14ac:dyDescent="0.2">
      <c r="Z38768" t="str">
        <f t="shared" si="605"/>
        <v/>
      </c>
    </row>
    <row r="38769" spans="26:26" x14ac:dyDescent="0.2">
      <c r="Z38769" t="str">
        <f t="shared" si="605"/>
        <v/>
      </c>
    </row>
    <row r="38770" spans="26:26" x14ac:dyDescent="0.2">
      <c r="Z38770" t="str">
        <f t="shared" si="605"/>
        <v/>
      </c>
    </row>
    <row r="38771" spans="26:26" x14ac:dyDescent="0.2">
      <c r="Z38771" t="str">
        <f t="shared" si="605"/>
        <v/>
      </c>
    </row>
    <row r="38772" spans="26:26" x14ac:dyDescent="0.2">
      <c r="Z38772" t="str">
        <f t="shared" si="605"/>
        <v/>
      </c>
    </row>
    <row r="38773" spans="26:26" x14ac:dyDescent="0.2">
      <c r="Z38773" t="str">
        <f t="shared" si="605"/>
        <v/>
      </c>
    </row>
    <row r="38774" spans="26:26" x14ac:dyDescent="0.2">
      <c r="Z38774" t="str">
        <f t="shared" si="605"/>
        <v/>
      </c>
    </row>
    <row r="38775" spans="26:26" x14ac:dyDescent="0.2">
      <c r="Z38775" t="str">
        <f t="shared" si="605"/>
        <v/>
      </c>
    </row>
    <row r="38776" spans="26:26" x14ac:dyDescent="0.2">
      <c r="Z38776" t="str">
        <f t="shared" si="605"/>
        <v/>
      </c>
    </row>
    <row r="38777" spans="26:26" x14ac:dyDescent="0.2">
      <c r="Z38777" t="str">
        <f t="shared" si="605"/>
        <v/>
      </c>
    </row>
    <row r="38778" spans="26:26" x14ac:dyDescent="0.2">
      <c r="Z38778" t="str">
        <f t="shared" si="605"/>
        <v/>
      </c>
    </row>
    <row r="38779" spans="26:26" x14ac:dyDescent="0.2">
      <c r="Z38779" t="str">
        <f t="shared" si="605"/>
        <v/>
      </c>
    </row>
    <row r="38780" spans="26:26" x14ac:dyDescent="0.2">
      <c r="Z38780" t="str">
        <f t="shared" si="605"/>
        <v/>
      </c>
    </row>
    <row r="38781" spans="26:26" x14ac:dyDescent="0.2">
      <c r="Z38781" t="str">
        <f t="shared" si="605"/>
        <v/>
      </c>
    </row>
    <row r="38782" spans="26:26" x14ac:dyDescent="0.2">
      <c r="Z38782" t="str">
        <f t="shared" si="605"/>
        <v/>
      </c>
    </row>
    <row r="38783" spans="26:26" x14ac:dyDescent="0.2">
      <c r="Z38783" t="str">
        <f t="shared" si="605"/>
        <v/>
      </c>
    </row>
    <row r="38784" spans="26:26" x14ac:dyDescent="0.2">
      <c r="Z38784" t="str">
        <f t="shared" si="605"/>
        <v/>
      </c>
    </row>
    <row r="38785" spans="26:26" x14ac:dyDescent="0.2">
      <c r="Z38785" t="str">
        <f t="shared" si="605"/>
        <v/>
      </c>
    </row>
    <row r="38786" spans="26:26" x14ac:dyDescent="0.2">
      <c r="Z38786" t="str">
        <f t="shared" si="605"/>
        <v/>
      </c>
    </row>
    <row r="38787" spans="26:26" x14ac:dyDescent="0.2">
      <c r="Z38787" t="str">
        <f t="shared" ref="Z38787:Z38850" si="606">IF(K38787="","",IFERROR(VALUE(TRIM(MID(K38787,FIND(CHAR(167),SUBSTITUTE(K38787,"-",CHAR(167),LEN(K38787)-LEN(SUBSTITUTE(K38787,"-",""))))+1,100))),K38787))</f>
        <v/>
      </c>
    </row>
    <row r="38788" spans="26:26" x14ac:dyDescent="0.2">
      <c r="Z38788" t="str">
        <f t="shared" si="606"/>
        <v/>
      </c>
    </row>
    <row r="38789" spans="26:26" x14ac:dyDescent="0.2">
      <c r="Z38789" t="str">
        <f t="shared" si="606"/>
        <v/>
      </c>
    </row>
    <row r="38790" spans="26:26" x14ac:dyDescent="0.2">
      <c r="Z38790" t="str">
        <f t="shared" si="606"/>
        <v/>
      </c>
    </row>
    <row r="38791" spans="26:26" x14ac:dyDescent="0.2">
      <c r="Z38791" t="str">
        <f t="shared" si="606"/>
        <v/>
      </c>
    </row>
    <row r="38792" spans="26:26" x14ac:dyDescent="0.2">
      <c r="Z38792" t="str">
        <f t="shared" si="606"/>
        <v/>
      </c>
    </row>
    <row r="38793" spans="26:26" x14ac:dyDescent="0.2">
      <c r="Z38793" t="str">
        <f t="shared" si="606"/>
        <v/>
      </c>
    </row>
    <row r="38794" spans="26:26" x14ac:dyDescent="0.2">
      <c r="Z38794" t="str">
        <f t="shared" si="606"/>
        <v/>
      </c>
    </row>
    <row r="38795" spans="26:26" x14ac:dyDescent="0.2">
      <c r="Z38795" t="str">
        <f t="shared" si="606"/>
        <v/>
      </c>
    </row>
    <row r="38796" spans="26:26" x14ac:dyDescent="0.2">
      <c r="Z38796" t="str">
        <f t="shared" si="606"/>
        <v/>
      </c>
    </row>
    <row r="38797" spans="26:26" x14ac:dyDescent="0.2">
      <c r="Z38797" t="str">
        <f t="shared" si="606"/>
        <v/>
      </c>
    </row>
    <row r="38798" spans="26:26" x14ac:dyDescent="0.2">
      <c r="Z38798" t="str">
        <f t="shared" si="606"/>
        <v/>
      </c>
    </row>
    <row r="38799" spans="26:26" x14ac:dyDescent="0.2">
      <c r="Z38799" t="str">
        <f t="shared" si="606"/>
        <v/>
      </c>
    </row>
    <row r="38800" spans="26:26" x14ac:dyDescent="0.2">
      <c r="Z38800" t="str">
        <f t="shared" si="606"/>
        <v/>
      </c>
    </row>
    <row r="38801" spans="26:26" x14ac:dyDescent="0.2">
      <c r="Z38801" t="str">
        <f t="shared" si="606"/>
        <v/>
      </c>
    </row>
    <row r="38802" spans="26:26" x14ac:dyDescent="0.2">
      <c r="Z38802" t="str">
        <f t="shared" si="606"/>
        <v/>
      </c>
    </row>
    <row r="38803" spans="26:26" x14ac:dyDescent="0.2">
      <c r="Z38803" t="str">
        <f t="shared" si="606"/>
        <v/>
      </c>
    </row>
    <row r="38804" spans="26:26" x14ac:dyDescent="0.2">
      <c r="Z38804" t="str">
        <f t="shared" si="606"/>
        <v/>
      </c>
    </row>
    <row r="38805" spans="26:26" x14ac:dyDescent="0.2">
      <c r="Z38805" t="str">
        <f t="shared" si="606"/>
        <v/>
      </c>
    </row>
    <row r="38806" spans="26:26" x14ac:dyDescent="0.2">
      <c r="Z38806" t="str">
        <f t="shared" si="606"/>
        <v/>
      </c>
    </row>
    <row r="38807" spans="26:26" x14ac:dyDescent="0.2">
      <c r="Z38807" t="str">
        <f t="shared" si="606"/>
        <v/>
      </c>
    </row>
    <row r="38808" spans="26:26" x14ac:dyDescent="0.2">
      <c r="Z38808" t="str">
        <f t="shared" si="606"/>
        <v/>
      </c>
    </row>
    <row r="38809" spans="26:26" x14ac:dyDescent="0.2">
      <c r="Z38809" t="str">
        <f t="shared" si="606"/>
        <v/>
      </c>
    </row>
    <row r="38810" spans="26:26" x14ac:dyDescent="0.2">
      <c r="Z38810" t="str">
        <f t="shared" si="606"/>
        <v/>
      </c>
    </row>
    <row r="38811" spans="26:26" x14ac:dyDescent="0.2">
      <c r="Z38811" t="str">
        <f t="shared" si="606"/>
        <v/>
      </c>
    </row>
    <row r="38812" spans="26:26" x14ac:dyDescent="0.2">
      <c r="Z38812" t="str">
        <f t="shared" si="606"/>
        <v/>
      </c>
    </row>
    <row r="38813" spans="26:26" x14ac:dyDescent="0.2">
      <c r="Z38813" t="str">
        <f t="shared" si="606"/>
        <v/>
      </c>
    </row>
    <row r="38814" spans="26:26" x14ac:dyDescent="0.2">
      <c r="Z38814" t="str">
        <f t="shared" si="606"/>
        <v/>
      </c>
    </row>
    <row r="38815" spans="26:26" x14ac:dyDescent="0.2">
      <c r="Z38815" t="str">
        <f t="shared" si="606"/>
        <v/>
      </c>
    </row>
    <row r="38816" spans="26:26" x14ac:dyDescent="0.2">
      <c r="Z38816" t="str">
        <f t="shared" si="606"/>
        <v/>
      </c>
    </row>
    <row r="38817" spans="26:26" x14ac:dyDescent="0.2">
      <c r="Z38817" t="str">
        <f t="shared" si="606"/>
        <v/>
      </c>
    </row>
    <row r="38818" spans="26:26" x14ac:dyDescent="0.2">
      <c r="Z38818" t="str">
        <f t="shared" si="606"/>
        <v/>
      </c>
    </row>
    <row r="38819" spans="26:26" x14ac:dyDescent="0.2">
      <c r="Z38819" t="str">
        <f t="shared" si="606"/>
        <v/>
      </c>
    </row>
    <row r="38820" spans="26:26" x14ac:dyDescent="0.2">
      <c r="Z38820" t="str">
        <f t="shared" si="606"/>
        <v/>
      </c>
    </row>
    <row r="38821" spans="26:26" x14ac:dyDescent="0.2">
      <c r="Z38821" t="str">
        <f t="shared" si="606"/>
        <v/>
      </c>
    </row>
    <row r="38822" spans="26:26" x14ac:dyDescent="0.2">
      <c r="Z38822" t="str">
        <f t="shared" si="606"/>
        <v/>
      </c>
    </row>
    <row r="38823" spans="26:26" x14ac:dyDescent="0.2">
      <c r="Z38823" t="str">
        <f t="shared" si="606"/>
        <v/>
      </c>
    </row>
    <row r="38824" spans="26:26" x14ac:dyDescent="0.2">
      <c r="Z38824" t="str">
        <f t="shared" si="606"/>
        <v/>
      </c>
    </row>
    <row r="38825" spans="26:26" x14ac:dyDescent="0.2">
      <c r="Z38825" t="str">
        <f t="shared" si="606"/>
        <v/>
      </c>
    </row>
    <row r="38826" spans="26:26" x14ac:dyDescent="0.2">
      <c r="Z38826" t="str">
        <f t="shared" si="606"/>
        <v/>
      </c>
    </row>
    <row r="38827" spans="26:26" x14ac:dyDescent="0.2">
      <c r="Z38827" t="str">
        <f t="shared" si="606"/>
        <v/>
      </c>
    </row>
    <row r="38828" spans="26:26" x14ac:dyDescent="0.2">
      <c r="Z38828" t="str">
        <f t="shared" si="606"/>
        <v/>
      </c>
    </row>
    <row r="38829" spans="26:26" x14ac:dyDescent="0.2">
      <c r="Z38829" t="str">
        <f t="shared" si="606"/>
        <v/>
      </c>
    </row>
    <row r="38830" spans="26:26" x14ac:dyDescent="0.2">
      <c r="Z38830" t="str">
        <f t="shared" si="606"/>
        <v/>
      </c>
    </row>
    <row r="38831" spans="26:26" x14ac:dyDescent="0.2">
      <c r="Z38831" t="str">
        <f t="shared" si="606"/>
        <v/>
      </c>
    </row>
    <row r="38832" spans="26:26" x14ac:dyDescent="0.2">
      <c r="Z38832" t="str">
        <f t="shared" si="606"/>
        <v/>
      </c>
    </row>
    <row r="38833" spans="26:26" x14ac:dyDescent="0.2">
      <c r="Z38833" t="str">
        <f t="shared" si="606"/>
        <v/>
      </c>
    </row>
    <row r="38834" spans="26:26" x14ac:dyDescent="0.2">
      <c r="Z38834" t="str">
        <f t="shared" si="606"/>
        <v/>
      </c>
    </row>
    <row r="38835" spans="26:26" x14ac:dyDescent="0.2">
      <c r="Z38835" t="str">
        <f t="shared" si="606"/>
        <v/>
      </c>
    </row>
    <row r="38836" spans="26:26" x14ac:dyDescent="0.2">
      <c r="Z38836" t="str">
        <f t="shared" si="606"/>
        <v/>
      </c>
    </row>
    <row r="38837" spans="26:26" x14ac:dyDescent="0.2">
      <c r="Z38837" t="str">
        <f t="shared" si="606"/>
        <v/>
      </c>
    </row>
    <row r="38838" spans="26:26" x14ac:dyDescent="0.2">
      <c r="Z38838" t="str">
        <f t="shared" si="606"/>
        <v/>
      </c>
    </row>
    <row r="38839" spans="26:26" x14ac:dyDescent="0.2">
      <c r="Z38839" t="str">
        <f t="shared" si="606"/>
        <v/>
      </c>
    </row>
    <row r="38840" spans="26:26" x14ac:dyDescent="0.2">
      <c r="Z38840" t="str">
        <f t="shared" si="606"/>
        <v/>
      </c>
    </row>
    <row r="38841" spans="26:26" x14ac:dyDescent="0.2">
      <c r="Z38841" t="str">
        <f t="shared" si="606"/>
        <v/>
      </c>
    </row>
    <row r="38842" spans="26:26" x14ac:dyDescent="0.2">
      <c r="Z38842" t="str">
        <f t="shared" si="606"/>
        <v/>
      </c>
    </row>
    <row r="38843" spans="26:26" x14ac:dyDescent="0.2">
      <c r="Z38843" t="str">
        <f t="shared" si="606"/>
        <v/>
      </c>
    </row>
    <row r="38844" spans="26:26" x14ac:dyDescent="0.2">
      <c r="Z38844" t="str">
        <f t="shared" si="606"/>
        <v/>
      </c>
    </row>
    <row r="38845" spans="26:26" x14ac:dyDescent="0.2">
      <c r="Z38845" t="str">
        <f t="shared" si="606"/>
        <v/>
      </c>
    </row>
    <row r="38846" spans="26:26" x14ac:dyDescent="0.2">
      <c r="Z38846" t="str">
        <f t="shared" si="606"/>
        <v/>
      </c>
    </row>
    <row r="38847" spans="26:26" x14ac:dyDescent="0.2">
      <c r="Z38847" t="str">
        <f t="shared" si="606"/>
        <v/>
      </c>
    </row>
    <row r="38848" spans="26:26" x14ac:dyDescent="0.2">
      <c r="Z38848" t="str">
        <f t="shared" si="606"/>
        <v/>
      </c>
    </row>
    <row r="38849" spans="26:26" x14ac:dyDescent="0.2">
      <c r="Z38849" t="str">
        <f t="shared" si="606"/>
        <v/>
      </c>
    </row>
    <row r="38850" spans="26:26" x14ac:dyDescent="0.2">
      <c r="Z38850" t="str">
        <f t="shared" si="606"/>
        <v/>
      </c>
    </row>
    <row r="38851" spans="26:26" x14ac:dyDescent="0.2">
      <c r="Z38851" t="str">
        <f t="shared" ref="Z38851:Z38914" si="607">IF(K38851="","",IFERROR(VALUE(TRIM(MID(K38851,FIND(CHAR(167),SUBSTITUTE(K38851,"-",CHAR(167),LEN(K38851)-LEN(SUBSTITUTE(K38851,"-",""))))+1,100))),K38851))</f>
        <v/>
      </c>
    </row>
    <row r="38852" spans="26:26" x14ac:dyDescent="0.2">
      <c r="Z38852" t="str">
        <f t="shared" si="607"/>
        <v/>
      </c>
    </row>
    <row r="38853" spans="26:26" x14ac:dyDescent="0.2">
      <c r="Z38853" t="str">
        <f t="shared" si="607"/>
        <v/>
      </c>
    </row>
    <row r="38854" spans="26:26" x14ac:dyDescent="0.2">
      <c r="Z38854" t="str">
        <f t="shared" si="607"/>
        <v/>
      </c>
    </row>
    <row r="38855" spans="26:26" x14ac:dyDescent="0.2">
      <c r="Z38855" t="str">
        <f t="shared" si="607"/>
        <v/>
      </c>
    </row>
    <row r="38856" spans="26:26" x14ac:dyDescent="0.2">
      <c r="Z38856" t="str">
        <f t="shared" si="607"/>
        <v/>
      </c>
    </row>
    <row r="38857" spans="26:26" x14ac:dyDescent="0.2">
      <c r="Z38857" t="str">
        <f t="shared" si="607"/>
        <v/>
      </c>
    </row>
    <row r="38858" spans="26:26" x14ac:dyDescent="0.2">
      <c r="Z38858" t="str">
        <f t="shared" si="607"/>
        <v/>
      </c>
    </row>
    <row r="38859" spans="26:26" x14ac:dyDescent="0.2">
      <c r="Z38859" t="str">
        <f t="shared" si="607"/>
        <v/>
      </c>
    </row>
    <row r="38860" spans="26:26" x14ac:dyDescent="0.2">
      <c r="Z38860" t="str">
        <f t="shared" si="607"/>
        <v/>
      </c>
    </row>
    <row r="38861" spans="26:26" x14ac:dyDescent="0.2">
      <c r="Z38861" t="str">
        <f t="shared" si="607"/>
        <v/>
      </c>
    </row>
    <row r="38862" spans="26:26" x14ac:dyDescent="0.2">
      <c r="Z38862" t="str">
        <f t="shared" si="607"/>
        <v/>
      </c>
    </row>
    <row r="38863" spans="26:26" x14ac:dyDescent="0.2">
      <c r="Z38863" t="str">
        <f t="shared" si="607"/>
        <v/>
      </c>
    </row>
    <row r="38864" spans="26:26" x14ac:dyDescent="0.2">
      <c r="Z38864" t="str">
        <f t="shared" si="607"/>
        <v/>
      </c>
    </row>
    <row r="38865" spans="26:26" x14ac:dyDescent="0.2">
      <c r="Z38865" t="str">
        <f t="shared" si="607"/>
        <v/>
      </c>
    </row>
    <row r="38866" spans="26:26" x14ac:dyDescent="0.2">
      <c r="Z38866" t="str">
        <f t="shared" si="607"/>
        <v/>
      </c>
    </row>
    <row r="38867" spans="26:26" x14ac:dyDescent="0.2">
      <c r="Z38867" t="str">
        <f t="shared" si="607"/>
        <v/>
      </c>
    </row>
    <row r="38868" spans="26:26" x14ac:dyDescent="0.2">
      <c r="Z38868" t="str">
        <f t="shared" si="607"/>
        <v/>
      </c>
    </row>
    <row r="38869" spans="26:26" x14ac:dyDescent="0.2">
      <c r="Z38869" t="str">
        <f t="shared" si="607"/>
        <v/>
      </c>
    </row>
    <row r="38870" spans="26:26" x14ac:dyDescent="0.2">
      <c r="Z38870" t="str">
        <f t="shared" si="607"/>
        <v/>
      </c>
    </row>
    <row r="38871" spans="26:26" x14ac:dyDescent="0.2">
      <c r="Z38871" t="str">
        <f t="shared" si="607"/>
        <v/>
      </c>
    </row>
    <row r="38872" spans="26:26" x14ac:dyDescent="0.2">
      <c r="Z38872" t="str">
        <f t="shared" si="607"/>
        <v/>
      </c>
    </row>
    <row r="38873" spans="26:26" x14ac:dyDescent="0.2">
      <c r="Z38873" t="str">
        <f t="shared" si="607"/>
        <v/>
      </c>
    </row>
    <row r="38874" spans="26:26" x14ac:dyDescent="0.2">
      <c r="Z38874" t="str">
        <f t="shared" si="607"/>
        <v/>
      </c>
    </row>
    <row r="38875" spans="26:26" x14ac:dyDescent="0.2">
      <c r="Z38875" t="str">
        <f t="shared" si="607"/>
        <v/>
      </c>
    </row>
    <row r="38876" spans="26:26" x14ac:dyDescent="0.2">
      <c r="Z38876" t="str">
        <f t="shared" si="607"/>
        <v/>
      </c>
    </row>
    <row r="38877" spans="26:26" x14ac:dyDescent="0.2">
      <c r="Z38877" t="str">
        <f t="shared" si="607"/>
        <v/>
      </c>
    </row>
    <row r="38878" spans="26:26" x14ac:dyDescent="0.2">
      <c r="Z38878" t="str">
        <f t="shared" si="607"/>
        <v/>
      </c>
    </row>
    <row r="38879" spans="26:26" x14ac:dyDescent="0.2">
      <c r="Z38879" t="str">
        <f t="shared" si="607"/>
        <v/>
      </c>
    </row>
    <row r="38880" spans="26:26" x14ac:dyDescent="0.2">
      <c r="Z38880" t="str">
        <f t="shared" si="607"/>
        <v/>
      </c>
    </row>
    <row r="38881" spans="26:26" x14ac:dyDescent="0.2">
      <c r="Z38881" t="str">
        <f t="shared" si="607"/>
        <v/>
      </c>
    </row>
    <row r="38882" spans="26:26" x14ac:dyDescent="0.2">
      <c r="Z38882" t="str">
        <f t="shared" si="607"/>
        <v/>
      </c>
    </row>
    <row r="38883" spans="26:26" x14ac:dyDescent="0.2">
      <c r="Z38883" t="str">
        <f t="shared" si="607"/>
        <v/>
      </c>
    </row>
    <row r="38884" spans="26:26" x14ac:dyDescent="0.2">
      <c r="Z38884" t="str">
        <f t="shared" si="607"/>
        <v/>
      </c>
    </row>
    <row r="38885" spans="26:26" x14ac:dyDescent="0.2">
      <c r="Z38885" t="str">
        <f t="shared" si="607"/>
        <v/>
      </c>
    </row>
    <row r="38886" spans="26:26" x14ac:dyDescent="0.2">
      <c r="Z38886" t="str">
        <f t="shared" si="607"/>
        <v/>
      </c>
    </row>
    <row r="38887" spans="26:26" x14ac:dyDescent="0.2">
      <c r="Z38887" t="str">
        <f t="shared" si="607"/>
        <v/>
      </c>
    </row>
    <row r="38888" spans="26:26" x14ac:dyDescent="0.2">
      <c r="Z38888" t="str">
        <f t="shared" si="607"/>
        <v/>
      </c>
    </row>
    <row r="38889" spans="26:26" x14ac:dyDescent="0.2">
      <c r="Z38889" t="str">
        <f t="shared" si="607"/>
        <v/>
      </c>
    </row>
    <row r="38890" spans="26:26" x14ac:dyDescent="0.2">
      <c r="Z38890" t="str">
        <f t="shared" si="607"/>
        <v/>
      </c>
    </row>
    <row r="38891" spans="26:26" x14ac:dyDescent="0.2">
      <c r="Z38891" t="str">
        <f t="shared" si="607"/>
        <v/>
      </c>
    </row>
    <row r="38892" spans="26:26" x14ac:dyDescent="0.2">
      <c r="Z38892" t="str">
        <f t="shared" si="607"/>
        <v/>
      </c>
    </row>
    <row r="38893" spans="26:26" x14ac:dyDescent="0.2">
      <c r="Z38893" t="str">
        <f t="shared" si="607"/>
        <v/>
      </c>
    </row>
    <row r="38894" spans="26:26" x14ac:dyDescent="0.2">
      <c r="Z38894" t="str">
        <f t="shared" si="607"/>
        <v/>
      </c>
    </row>
    <row r="38895" spans="26:26" x14ac:dyDescent="0.2">
      <c r="Z38895" t="str">
        <f t="shared" si="607"/>
        <v/>
      </c>
    </row>
    <row r="38896" spans="26:26" x14ac:dyDescent="0.2">
      <c r="Z38896" t="str">
        <f t="shared" si="607"/>
        <v/>
      </c>
    </row>
    <row r="38897" spans="26:26" x14ac:dyDescent="0.2">
      <c r="Z38897" t="str">
        <f t="shared" si="607"/>
        <v/>
      </c>
    </row>
    <row r="38898" spans="26:26" x14ac:dyDescent="0.2">
      <c r="Z38898" t="str">
        <f t="shared" si="607"/>
        <v/>
      </c>
    </row>
    <row r="38899" spans="26:26" x14ac:dyDescent="0.2">
      <c r="Z38899" t="str">
        <f t="shared" si="607"/>
        <v/>
      </c>
    </row>
    <row r="38900" spans="26:26" x14ac:dyDescent="0.2">
      <c r="Z38900" t="str">
        <f t="shared" si="607"/>
        <v/>
      </c>
    </row>
    <row r="38901" spans="26:26" x14ac:dyDescent="0.2">
      <c r="Z38901" t="str">
        <f t="shared" si="607"/>
        <v/>
      </c>
    </row>
    <row r="38902" spans="26:26" x14ac:dyDescent="0.2">
      <c r="Z38902" t="str">
        <f t="shared" si="607"/>
        <v/>
      </c>
    </row>
    <row r="38903" spans="26:26" x14ac:dyDescent="0.2">
      <c r="Z38903" t="str">
        <f t="shared" si="607"/>
        <v/>
      </c>
    </row>
    <row r="38904" spans="26:26" x14ac:dyDescent="0.2">
      <c r="Z38904" t="str">
        <f t="shared" si="607"/>
        <v/>
      </c>
    </row>
    <row r="38905" spans="26:26" x14ac:dyDescent="0.2">
      <c r="Z38905" t="str">
        <f t="shared" si="607"/>
        <v/>
      </c>
    </row>
    <row r="38906" spans="26:26" x14ac:dyDescent="0.2">
      <c r="Z38906" t="str">
        <f t="shared" si="607"/>
        <v/>
      </c>
    </row>
    <row r="38907" spans="26:26" x14ac:dyDescent="0.2">
      <c r="Z38907" t="str">
        <f t="shared" si="607"/>
        <v/>
      </c>
    </row>
    <row r="38908" spans="26:26" x14ac:dyDescent="0.2">
      <c r="Z38908" t="str">
        <f t="shared" si="607"/>
        <v/>
      </c>
    </row>
    <row r="38909" spans="26:26" x14ac:dyDescent="0.2">
      <c r="Z38909" t="str">
        <f t="shared" si="607"/>
        <v/>
      </c>
    </row>
    <row r="38910" spans="26:26" x14ac:dyDescent="0.2">
      <c r="Z38910" t="str">
        <f t="shared" si="607"/>
        <v/>
      </c>
    </row>
    <row r="38911" spans="26:26" x14ac:dyDescent="0.2">
      <c r="Z38911" t="str">
        <f t="shared" si="607"/>
        <v/>
      </c>
    </row>
    <row r="38912" spans="26:26" x14ac:dyDescent="0.2">
      <c r="Z38912" t="str">
        <f t="shared" si="607"/>
        <v/>
      </c>
    </row>
    <row r="38913" spans="26:26" x14ac:dyDescent="0.2">
      <c r="Z38913" t="str">
        <f t="shared" si="607"/>
        <v/>
      </c>
    </row>
    <row r="38914" spans="26:26" x14ac:dyDescent="0.2">
      <c r="Z38914" t="str">
        <f t="shared" si="607"/>
        <v/>
      </c>
    </row>
    <row r="38915" spans="26:26" x14ac:dyDescent="0.2">
      <c r="Z38915" t="str">
        <f t="shared" ref="Z38915:Z38978" si="608">IF(K38915="","",IFERROR(VALUE(TRIM(MID(K38915,FIND(CHAR(167),SUBSTITUTE(K38915,"-",CHAR(167),LEN(K38915)-LEN(SUBSTITUTE(K38915,"-",""))))+1,100))),K38915))</f>
        <v/>
      </c>
    </row>
    <row r="38916" spans="26:26" x14ac:dyDescent="0.2">
      <c r="Z38916" t="str">
        <f t="shared" si="608"/>
        <v/>
      </c>
    </row>
    <row r="38917" spans="26:26" x14ac:dyDescent="0.2">
      <c r="Z38917" t="str">
        <f t="shared" si="608"/>
        <v/>
      </c>
    </row>
    <row r="38918" spans="26:26" x14ac:dyDescent="0.2">
      <c r="Z38918" t="str">
        <f t="shared" si="608"/>
        <v/>
      </c>
    </row>
    <row r="38919" spans="26:26" x14ac:dyDescent="0.2">
      <c r="Z38919" t="str">
        <f t="shared" si="608"/>
        <v/>
      </c>
    </row>
    <row r="38920" spans="26:26" x14ac:dyDescent="0.2">
      <c r="Z38920" t="str">
        <f t="shared" si="608"/>
        <v/>
      </c>
    </row>
    <row r="38921" spans="26:26" x14ac:dyDescent="0.2">
      <c r="Z38921" t="str">
        <f t="shared" si="608"/>
        <v/>
      </c>
    </row>
    <row r="38922" spans="26:26" x14ac:dyDescent="0.2">
      <c r="Z38922" t="str">
        <f t="shared" si="608"/>
        <v/>
      </c>
    </row>
    <row r="38923" spans="26:26" x14ac:dyDescent="0.2">
      <c r="Z38923" t="str">
        <f t="shared" si="608"/>
        <v/>
      </c>
    </row>
    <row r="38924" spans="26:26" x14ac:dyDescent="0.2">
      <c r="Z38924" t="str">
        <f t="shared" si="608"/>
        <v/>
      </c>
    </row>
    <row r="38925" spans="26:26" x14ac:dyDescent="0.2">
      <c r="Z38925" t="str">
        <f t="shared" si="608"/>
        <v/>
      </c>
    </row>
    <row r="38926" spans="26:26" x14ac:dyDescent="0.2">
      <c r="Z38926" t="str">
        <f t="shared" si="608"/>
        <v/>
      </c>
    </row>
    <row r="38927" spans="26:26" x14ac:dyDescent="0.2">
      <c r="Z38927" t="str">
        <f t="shared" si="608"/>
        <v/>
      </c>
    </row>
    <row r="38928" spans="26:26" x14ac:dyDescent="0.2">
      <c r="Z38928" t="str">
        <f t="shared" si="608"/>
        <v/>
      </c>
    </row>
    <row r="38929" spans="26:26" x14ac:dyDescent="0.2">
      <c r="Z38929" t="str">
        <f t="shared" si="608"/>
        <v/>
      </c>
    </row>
    <row r="38930" spans="26:26" x14ac:dyDescent="0.2">
      <c r="Z38930" t="str">
        <f t="shared" si="608"/>
        <v/>
      </c>
    </row>
    <row r="38931" spans="26:26" x14ac:dyDescent="0.2">
      <c r="Z38931" t="str">
        <f t="shared" si="608"/>
        <v/>
      </c>
    </row>
    <row r="38932" spans="26:26" x14ac:dyDescent="0.2">
      <c r="Z38932" t="str">
        <f t="shared" si="608"/>
        <v/>
      </c>
    </row>
    <row r="38933" spans="26:26" x14ac:dyDescent="0.2">
      <c r="Z38933" t="str">
        <f t="shared" si="608"/>
        <v/>
      </c>
    </row>
    <row r="38934" spans="26:26" x14ac:dyDescent="0.2">
      <c r="Z38934" t="str">
        <f t="shared" si="608"/>
        <v/>
      </c>
    </row>
    <row r="38935" spans="26:26" x14ac:dyDescent="0.2">
      <c r="Z38935" t="str">
        <f t="shared" si="608"/>
        <v/>
      </c>
    </row>
    <row r="38936" spans="26:26" x14ac:dyDescent="0.2">
      <c r="Z38936" t="str">
        <f t="shared" si="608"/>
        <v/>
      </c>
    </row>
    <row r="38937" spans="26:26" x14ac:dyDescent="0.2">
      <c r="Z38937" t="str">
        <f t="shared" si="608"/>
        <v/>
      </c>
    </row>
    <row r="38938" spans="26:26" x14ac:dyDescent="0.2">
      <c r="Z38938" t="str">
        <f t="shared" si="608"/>
        <v/>
      </c>
    </row>
    <row r="38939" spans="26:26" x14ac:dyDescent="0.2">
      <c r="Z38939" t="str">
        <f t="shared" si="608"/>
        <v/>
      </c>
    </row>
    <row r="38940" spans="26:26" x14ac:dyDescent="0.2">
      <c r="Z38940" t="str">
        <f t="shared" si="608"/>
        <v/>
      </c>
    </row>
    <row r="38941" spans="26:26" x14ac:dyDescent="0.2">
      <c r="Z38941" t="str">
        <f t="shared" si="608"/>
        <v/>
      </c>
    </row>
    <row r="38942" spans="26:26" x14ac:dyDescent="0.2">
      <c r="Z38942" t="str">
        <f t="shared" si="608"/>
        <v/>
      </c>
    </row>
    <row r="38943" spans="26:26" x14ac:dyDescent="0.2">
      <c r="Z38943" t="str">
        <f t="shared" si="608"/>
        <v/>
      </c>
    </row>
    <row r="38944" spans="26:26" x14ac:dyDescent="0.2">
      <c r="Z38944" t="str">
        <f t="shared" si="608"/>
        <v/>
      </c>
    </row>
    <row r="38945" spans="26:26" x14ac:dyDescent="0.2">
      <c r="Z38945" t="str">
        <f t="shared" si="608"/>
        <v/>
      </c>
    </row>
    <row r="38946" spans="26:26" x14ac:dyDescent="0.2">
      <c r="Z38946" t="str">
        <f t="shared" si="608"/>
        <v/>
      </c>
    </row>
    <row r="38947" spans="26:26" x14ac:dyDescent="0.2">
      <c r="Z38947" t="str">
        <f t="shared" si="608"/>
        <v/>
      </c>
    </row>
    <row r="38948" spans="26:26" x14ac:dyDescent="0.2">
      <c r="Z38948" t="str">
        <f t="shared" si="608"/>
        <v/>
      </c>
    </row>
    <row r="38949" spans="26:26" x14ac:dyDescent="0.2">
      <c r="Z38949" t="str">
        <f t="shared" si="608"/>
        <v/>
      </c>
    </row>
    <row r="38950" spans="26:26" x14ac:dyDescent="0.2">
      <c r="Z38950" t="str">
        <f t="shared" si="608"/>
        <v/>
      </c>
    </row>
    <row r="38951" spans="26:26" x14ac:dyDescent="0.2">
      <c r="Z38951" t="str">
        <f t="shared" si="608"/>
        <v/>
      </c>
    </row>
    <row r="38952" spans="26:26" x14ac:dyDescent="0.2">
      <c r="Z38952" t="str">
        <f t="shared" si="608"/>
        <v/>
      </c>
    </row>
    <row r="38953" spans="26:26" x14ac:dyDescent="0.2">
      <c r="Z38953" t="str">
        <f t="shared" si="608"/>
        <v/>
      </c>
    </row>
    <row r="38954" spans="26:26" x14ac:dyDescent="0.2">
      <c r="Z38954" t="str">
        <f t="shared" si="608"/>
        <v/>
      </c>
    </row>
    <row r="38955" spans="26:26" x14ac:dyDescent="0.2">
      <c r="Z38955" t="str">
        <f t="shared" si="608"/>
        <v/>
      </c>
    </row>
    <row r="38956" spans="26:26" x14ac:dyDescent="0.2">
      <c r="Z38956" t="str">
        <f t="shared" si="608"/>
        <v/>
      </c>
    </row>
    <row r="38957" spans="26:26" x14ac:dyDescent="0.2">
      <c r="Z38957" t="str">
        <f t="shared" si="608"/>
        <v/>
      </c>
    </row>
    <row r="38958" spans="26:26" x14ac:dyDescent="0.2">
      <c r="Z38958" t="str">
        <f t="shared" si="608"/>
        <v/>
      </c>
    </row>
    <row r="38959" spans="26:26" x14ac:dyDescent="0.2">
      <c r="Z38959" t="str">
        <f t="shared" si="608"/>
        <v/>
      </c>
    </row>
    <row r="38960" spans="26:26" x14ac:dyDescent="0.2">
      <c r="Z38960" t="str">
        <f t="shared" si="608"/>
        <v/>
      </c>
    </row>
    <row r="38961" spans="26:26" x14ac:dyDescent="0.2">
      <c r="Z38961" t="str">
        <f t="shared" si="608"/>
        <v/>
      </c>
    </row>
    <row r="38962" spans="26:26" x14ac:dyDescent="0.2">
      <c r="Z38962" t="str">
        <f t="shared" si="608"/>
        <v/>
      </c>
    </row>
    <row r="38963" spans="26:26" x14ac:dyDescent="0.2">
      <c r="Z38963" t="str">
        <f t="shared" si="608"/>
        <v/>
      </c>
    </row>
    <row r="38964" spans="26:26" x14ac:dyDescent="0.2">
      <c r="Z38964" t="str">
        <f t="shared" si="608"/>
        <v/>
      </c>
    </row>
    <row r="38965" spans="26:26" x14ac:dyDescent="0.2">
      <c r="Z38965" t="str">
        <f t="shared" si="608"/>
        <v/>
      </c>
    </row>
    <row r="38966" spans="26:26" x14ac:dyDescent="0.2">
      <c r="Z38966" t="str">
        <f t="shared" si="608"/>
        <v/>
      </c>
    </row>
    <row r="38967" spans="26:26" x14ac:dyDescent="0.2">
      <c r="Z38967" t="str">
        <f t="shared" si="608"/>
        <v/>
      </c>
    </row>
    <row r="38968" spans="26:26" x14ac:dyDescent="0.2">
      <c r="Z38968" t="str">
        <f t="shared" si="608"/>
        <v/>
      </c>
    </row>
    <row r="38969" spans="26:26" x14ac:dyDescent="0.2">
      <c r="Z38969" t="str">
        <f t="shared" si="608"/>
        <v/>
      </c>
    </row>
    <row r="38970" spans="26:26" x14ac:dyDescent="0.2">
      <c r="Z38970" t="str">
        <f t="shared" si="608"/>
        <v/>
      </c>
    </row>
    <row r="38971" spans="26:26" x14ac:dyDescent="0.2">
      <c r="Z38971" t="str">
        <f t="shared" si="608"/>
        <v/>
      </c>
    </row>
    <row r="38972" spans="26:26" x14ac:dyDescent="0.2">
      <c r="Z38972" t="str">
        <f t="shared" si="608"/>
        <v/>
      </c>
    </row>
    <row r="38973" spans="26:26" x14ac:dyDescent="0.2">
      <c r="Z38973" t="str">
        <f t="shared" si="608"/>
        <v/>
      </c>
    </row>
    <row r="38974" spans="26:26" x14ac:dyDescent="0.2">
      <c r="Z38974" t="str">
        <f t="shared" si="608"/>
        <v/>
      </c>
    </row>
    <row r="38975" spans="26:26" x14ac:dyDescent="0.2">
      <c r="Z38975" t="str">
        <f t="shared" si="608"/>
        <v/>
      </c>
    </row>
    <row r="38976" spans="26:26" x14ac:dyDescent="0.2">
      <c r="Z38976" t="str">
        <f t="shared" si="608"/>
        <v/>
      </c>
    </row>
    <row r="38977" spans="26:26" x14ac:dyDescent="0.2">
      <c r="Z38977" t="str">
        <f t="shared" si="608"/>
        <v/>
      </c>
    </row>
    <row r="38978" spans="26:26" x14ac:dyDescent="0.2">
      <c r="Z38978" t="str">
        <f t="shared" si="608"/>
        <v/>
      </c>
    </row>
    <row r="38979" spans="26:26" x14ac:dyDescent="0.2">
      <c r="Z38979" t="str">
        <f t="shared" ref="Z38979:Z39042" si="609">IF(K38979="","",IFERROR(VALUE(TRIM(MID(K38979,FIND(CHAR(167),SUBSTITUTE(K38979,"-",CHAR(167),LEN(K38979)-LEN(SUBSTITUTE(K38979,"-",""))))+1,100))),K38979))</f>
        <v/>
      </c>
    </row>
    <row r="38980" spans="26:26" x14ac:dyDescent="0.2">
      <c r="Z38980" t="str">
        <f t="shared" si="609"/>
        <v/>
      </c>
    </row>
    <row r="38981" spans="26:26" x14ac:dyDescent="0.2">
      <c r="Z38981" t="str">
        <f t="shared" si="609"/>
        <v/>
      </c>
    </row>
    <row r="38982" spans="26:26" x14ac:dyDescent="0.2">
      <c r="Z38982" t="str">
        <f t="shared" si="609"/>
        <v/>
      </c>
    </row>
    <row r="38983" spans="26:26" x14ac:dyDescent="0.2">
      <c r="Z38983" t="str">
        <f t="shared" si="609"/>
        <v/>
      </c>
    </row>
    <row r="38984" spans="26:26" x14ac:dyDescent="0.2">
      <c r="Z38984" t="str">
        <f t="shared" si="609"/>
        <v/>
      </c>
    </row>
    <row r="38985" spans="26:26" x14ac:dyDescent="0.2">
      <c r="Z38985" t="str">
        <f t="shared" si="609"/>
        <v/>
      </c>
    </row>
    <row r="38986" spans="26:26" x14ac:dyDescent="0.2">
      <c r="Z38986" t="str">
        <f t="shared" si="609"/>
        <v/>
      </c>
    </row>
    <row r="38987" spans="26:26" x14ac:dyDescent="0.2">
      <c r="Z38987" t="str">
        <f t="shared" si="609"/>
        <v/>
      </c>
    </row>
    <row r="38988" spans="26:26" x14ac:dyDescent="0.2">
      <c r="Z38988" t="str">
        <f t="shared" si="609"/>
        <v/>
      </c>
    </row>
    <row r="38989" spans="26:26" x14ac:dyDescent="0.2">
      <c r="Z38989" t="str">
        <f t="shared" si="609"/>
        <v/>
      </c>
    </row>
    <row r="38990" spans="26:26" x14ac:dyDescent="0.2">
      <c r="Z38990" t="str">
        <f t="shared" si="609"/>
        <v/>
      </c>
    </row>
    <row r="38991" spans="26:26" x14ac:dyDescent="0.2">
      <c r="Z38991" t="str">
        <f t="shared" si="609"/>
        <v/>
      </c>
    </row>
    <row r="38992" spans="26:26" x14ac:dyDescent="0.2">
      <c r="Z38992" t="str">
        <f t="shared" si="609"/>
        <v/>
      </c>
    </row>
    <row r="38993" spans="26:26" x14ac:dyDescent="0.2">
      <c r="Z38993" t="str">
        <f t="shared" si="609"/>
        <v/>
      </c>
    </row>
    <row r="38994" spans="26:26" x14ac:dyDescent="0.2">
      <c r="Z38994" t="str">
        <f t="shared" si="609"/>
        <v/>
      </c>
    </row>
    <row r="38995" spans="26:26" x14ac:dyDescent="0.2">
      <c r="Z38995" t="str">
        <f t="shared" si="609"/>
        <v/>
      </c>
    </row>
    <row r="38996" spans="26:26" x14ac:dyDescent="0.2">
      <c r="Z38996" t="str">
        <f t="shared" si="609"/>
        <v/>
      </c>
    </row>
    <row r="38997" spans="26:26" x14ac:dyDescent="0.2">
      <c r="Z38997" t="str">
        <f t="shared" si="609"/>
        <v/>
      </c>
    </row>
    <row r="38998" spans="26:26" x14ac:dyDescent="0.2">
      <c r="Z38998" t="str">
        <f t="shared" si="609"/>
        <v/>
      </c>
    </row>
    <row r="38999" spans="26:26" x14ac:dyDescent="0.2">
      <c r="Z38999" t="str">
        <f t="shared" si="609"/>
        <v/>
      </c>
    </row>
    <row r="39000" spans="26:26" x14ac:dyDescent="0.2">
      <c r="Z39000" t="str">
        <f t="shared" si="609"/>
        <v/>
      </c>
    </row>
    <row r="39001" spans="26:26" x14ac:dyDescent="0.2">
      <c r="Z39001" t="str">
        <f t="shared" si="609"/>
        <v/>
      </c>
    </row>
    <row r="39002" spans="26:26" x14ac:dyDescent="0.2">
      <c r="Z39002" t="str">
        <f t="shared" si="609"/>
        <v/>
      </c>
    </row>
    <row r="39003" spans="26:26" x14ac:dyDescent="0.2">
      <c r="Z39003" t="str">
        <f t="shared" si="609"/>
        <v/>
      </c>
    </row>
    <row r="39004" spans="26:26" x14ac:dyDescent="0.2">
      <c r="Z39004" t="str">
        <f t="shared" si="609"/>
        <v/>
      </c>
    </row>
    <row r="39005" spans="26:26" x14ac:dyDescent="0.2">
      <c r="Z39005" t="str">
        <f t="shared" si="609"/>
        <v/>
      </c>
    </row>
    <row r="39006" spans="26:26" x14ac:dyDescent="0.2">
      <c r="Z39006" t="str">
        <f t="shared" si="609"/>
        <v/>
      </c>
    </row>
    <row r="39007" spans="26:26" x14ac:dyDescent="0.2">
      <c r="Z39007" t="str">
        <f t="shared" si="609"/>
        <v/>
      </c>
    </row>
    <row r="39008" spans="26:26" x14ac:dyDescent="0.2">
      <c r="Z39008" t="str">
        <f t="shared" si="609"/>
        <v/>
      </c>
    </row>
    <row r="39009" spans="26:26" x14ac:dyDescent="0.2">
      <c r="Z39009" t="str">
        <f t="shared" si="609"/>
        <v/>
      </c>
    </row>
    <row r="39010" spans="26:26" x14ac:dyDescent="0.2">
      <c r="Z39010" t="str">
        <f t="shared" si="609"/>
        <v/>
      </c>
    </row>
    <row r="39011" spans="26:26" x14ac:dyDescent="0.2">
      <c r="Z39011" t="str">
        <f t="shared" si="609"/>
        <v/>
      </c>
    </row>
    <row r="39012" spans="26:26" x14ac:dyDescent="0.2">
      <c r="Z39012" t="str">
        <f t="shared" si="609"/>
        <v/>
      </c>
    </row>
    <row r="39013" spans="26:26" x14ac:dyDescent="0.2">
      <c r="Z39013" t="str">
        <f t="shared" si="609"/>
        <v/>
      </c>
    </row>
    <row r="39014" spans="26:26" x14ac:dyDescent="0.2">
      <c r="Z39014" t="str">
        <f t="shared" si="609"/>
        <v/>
      </c>
    </row>
    <row r="39015" spans="26:26" x14ac:dyDescent="0.2">
      <c r="Z39015" t="str">
        <f t="shared" si="609"/>
        <v/>
      </c>
    </row>
    <row r="39016" spans="26:26" x14ac:dyDescent="0.2">
      <c r="Z39016" t="str">
        <f t="shared" si="609"/>
        <v/>
      </c>
    </row>
    <row r="39017" spans="26:26" x14ac:dyDescent="0.2">
      <c r="Z39017" t="str">
        <f t="shared" si="609"/>
        <v/>
      </c>
    </row>
    <row r="39018" spans="26:26" x14ac:dyDescent="0.2">
      <c r="Z39018" t="str">
        <f t="shared" si="609"/>
        <v/>
      </c>
    </row>
    <row r="39019" spans="26:26" x14ac:dyDescent="0.2">
      <c r="Z39019" t="str">
        <f t="shared" si="609"/>
        <v/>
      </c>
    </row>
    <row r="39020" spans="26:26" x14ac:dyDescent="0.2">
      <c r="Z39020" t="str">
        <f t="shared" si="609"/>
        <v/>
      </c>
    </row>
    <row r="39021" spans="26:26" x14ac:dyDescent="0.2">
      <c r="Z39021" t="str">
        <f t="shared" si="609"/>
        <v/>
      </c>
    </row>
    <row r="39022" spans="26:26" x14ac:dyDescent="0.2">
      <c r="Z39022" t="str">
        <f t="shared" si="609"/>
        <v/>
      </c>
    </row>
    <row r="39023" spans="26:26" x14ac:dyDescent="0.2">
      <c r="Z39023" t="str">
        <f t="shared" si="609"/>
        <v/>
      </c>
    </row>
    <row r="39024" spans="26:26" x14ac:dyDescent="0.2">
      <c r="Z39024" t="str">
        <f t="shared" si="609"/>
        <v/>
      </c>
    </row>
    <row r="39025" spans="26:26" x14ac:dyDescent="0.2">
      <c r="Z39025" t="str">
        <f t="shared" si="609"/>
        <v/>
      </c>
    </row>
    <row r="39026" spans="26:26" x14ac:dyDescent="0.2">
      <c r="Z39026" t="str">
        <f t="shared" si="609"/>
        <v/>
      </c>
    </row>
    <row r="39027" spans="26:26" x14ac:dyDescent="0.2">
      <c r="Z39027" t="str">
        <f t="shared" si="609"/>
        <v/>
      </c>
    </row>
    <row r="39028" spans="26:26" x14ac:dyDescent="0.2">
      <c r="Z39028" t="str">
        <f t="shared" si="609"/>
        <v/>
      </c>
    </row>
    <row r="39029" spans="26:26" x14ac:dyDescent="0.2">
      <c r="Z39029" t="str">
        <f t="shared" si="609"/>
        <v/>
      </c>
    </row>
    <row r="39030" spans="26:26" x14ac:dyDescent="0.2">
      <c r="Z39030" t="str">
        <f t="shared" si="609"/>
        <v/>
      </c>
    </row>
    <row r="39031" spans="26:26" x14ac:dyDescent="0.2">
      <c r="Z39031" t="str">
        <f t="shared" si="609"/>
        <v/>
      </c>
    </row>
    <row r="39032" spans="26:26" x14ac:dyDescent="0.2">
      <c r="Z39032" t="str">
        <f t="shared" si="609"/>
        <v/>
      </c>
    </row>
    <row r="39033" spans="26:26" x14ac:dyDescent="0.2">
      <c r="Z39033" t="str">
        <f t="shared" si="609"/>
        <v/>
      </c>
    </row>
    <row r="39034" spans="26:26" x14ac:dyDescent="0.2">
      <c r="Z39034" t="str">
        <f t="shared" si="609"/>
        <v/>
      </c>
    </row>
    <row r="39035" spans="26:26" x14ac:dyDescent="0.2">
      <c r="Z39035" t="str">
        <f t="shared" si="609"/>
        <v/>
      </c>
    </row>
    <row r="39036" spans="26:26" x14ac:dyDescent="0.2">
      <c r="Z39036" t="str">
        <f t="shared" si="609"/>
        <v/>
      </c>
    </row>
    <row r="39037" spans="26:26" x14ac:dyDescent="0.2">
      <c r="Z39037" t="str">
        <f t="shared" si="609"/>
        <v/>
      </c>
    </row>
    <row r="39038" spans="26:26" x14ac:dyDescent="0.2">
      <c r="Z39038" t="str">
        <f t="shared" si="609"/>
        <v/>
      </c>
    </row>
    <row r="39039" spans="26:26" x14ac:dyDescent="0.2">
      <c r="Z39039" t="str">
        <f t="shared" si="609"/>
        <v/>
      </c>
    </row>
    <row r="39040" spans="26:26" x14ac:dyDescent="0.2">
      <c r="Z39040" t="str">
        <f t="shared" si="609"/>
        <v/>
      </c>
    </row>
    <row r="39041" spans="26:26" x14ac:dyDescent="0.2">
      <c r="Z39041" t="str">
        <f t="shared" si="609"/>
        <v/>
      </c>
    </row>
    <row r="39042" spans="26:26" x14ac:dyDescent="0.2">
      <c r="Z39042" t="str">
        <f t="shared" si="609"/>
        <v/>
      </c>
    </row>
    <row r="39043" spans="26:26" x14ac:dyDescent="0.2">
      <c r="Z39043" t="str">
        <f t="shared" ref="Z39043:Z39106" si="610">IF(K39043="","",IFERROR(VALUE(TRIM(MID(K39043,FIND(CHAR(167),SUBSTITUTE(K39043,"-",CHAR(167),LEN(K39043)-LEN(SUBSTITUTE(K39043,"-",""))))+1,100))),K39043))</f>
        <v/>
      </c>
    </row>
    <row r="39044" spans="26:26" x14ac:dyDescent="0.2">
      <c r="Z39044" t="str">
        <f t="shared" si="610"/>
        <v/>
      </c>
    </row>
    <row r="39045" spans="26:26" x14ac:dyDescent="0.2">
      <c r="Z39045" t="str">
        <f t="shared" si="610"/>
        <v/>
      </c>
    </row>
    <row r="39046" spans="26:26" x14ac:dyDescent="0.2">
      <c r="Z39046" t="str">
        <f t="shared" si="610"/>
        <v/>
      </c>
    </row>
    <row r="39047" spans="26:26" x14ac:dyDescent="0.2">
      <c r="Z39047" t="str">
        <f t="shared" si="610"/>
        <v/>
      </c>
    </row>
    <row r="39048" spans="26:26" x14ac:dyDescent="0.2">
      <c r="Z39048" t="str">
        <f t="shared" si="610"/>
        <v/>
      </c>
    </row>
    <row r="39049" spans="26:26" x14ac:dyDescent="0.2">
      <c r="Z39049" t="str">
        <f t="shared" si="610"/>
        <v/>
      </c>
    </row>
    <row r="39050" spans="26:26" x14ac:dyDescent="0.2">
      <c r="Z39050" t="str">
        <f t="shared" si="610"/>
        <v/>
      </c>
    </row>
    <row r="39051" spans="26:26" x14ac:dyDescent="0.2">
      <c r="Z39051" t="str">
        <f t="shared" si="610"/>
        <v/>
      </c>
    </row>
    <row r="39052" spans="26:26" x14ac:dyDescent="0.2">
      <c r="Z39052" t="str">
        <f t="shared" si="610"/>
        <v/>
      </c>
    </row>
    <row r="39053" spans="26:26" x14ac:dyDescent="0.2">
      <c r="Z39053" t="str">
        <f t="shared" si="610"/>
        <v/>
      </c>
    </row>
    <row r="39054" spans="26:26" x14ac:dyDescent="0.2">
      <c r="Z39054" t="str">
        <f t="shared" si="610"/>
        <v/>
      </c>
    </row>
    <row r="39055" spans="26:26" x14ac:dyDescent="0.2">
      <c r="Z39055" t="str">
        <f t="shared" si="610"/>
        <v/>
      </c>
    </row>
    <row r="39056" spans="26:26" x14ac:dyDescent="0.2">
      <c r="Z39056" t="str">
        <f t="shared" si="610"/>
        <v/>
      </c>
    </row>
    <row r="39057" spans="26:26" x14ac:dyDescent="0.2">
      <c r="Z39057" t="str">
        <f t="shared" si="610"/>
        <v/>
      </c>
    </row>
    <row r="39058" spans="26:26" x14ac:dyDescent="0.2">
      <c r="Z39058" t="str">
        <f t="shared" si="610"/>
        <v/>
      </c>
    </row>
    <row r="39059" spans="26:26" x14ac:dyDescent="0.2">
      <c r="Z39059" t="str">
        <f t="shared" si="610"/>
        <v/>
      </c>
    </row>
    <row r="39060" spans="26:26" x14ac:dyDescent="0.2">
      <c r="Z39060" t="str">
        <f t="shared" si="610"/>
        <v/>
      </c>
    </row>
    <row r="39061" spans="26:26" x14ac:dyDescent="0.2">
      <c r="Z39061" t="str">
        <f t="shared" si="610"/>
        <v/>
      </c>
    </row>
    <row r="39062" spans="26:26" x14ac:dyDescent="0.2">
      <c r="Z39062" t="str">
        <f t="shared" si="610"/>
        <v/>
      </c>
    </row>
    <row r="39063" spans="26:26" x14ac:dyDescent="0.2">
      <c r="Z39063" t="str">
        <f t="shared" si="610"/>
        <v/>
      </c>
    </row>
    <row r="39064" spans="26:26" x14ac:dyDescent="0.2">
      <c r="Z39064" t="str">
        <f t="shared" si="610"/>
        <v/>
      </c>
    </row>
    <row r="39065" spans="26:26" x14ac:dyDescent="0.2">
      <c r="Z39065" t="str">
        <f t="shared" si="610"/>
        <v/>
      </c>
    </row>
    <row r="39066" spans="26:26" x14ac:dyDescent="0.2">
      <c r="Z39066" t="str">
        <f t="shared" si="610"/>
        <v/>
      </c>
    </row>
    <row r="39067" spans="26:26" x14ac:dyDescent="0.2">
      <c r="Z39067" t="str">
        <f t="shared" si="610"/>
        <v/>
      </c>
    </row>
    <row r="39068" spans="26:26" x14ac:dyDescent="0.2">
      <c r="Z39068" t="str">
        <f t="shared" si="610"/>
        <v/>
      </c>
    </row>
    <row r="39069" spans="26:26" x14ac:dyDescent="0.2">
      <c r="Z39069" t="str">
        <f t="shared" si="610"/>
        <v/>
      </c>
    </row>
    <row r="39070" spans="26:26" x14ac:dyDescent="0.2">
      <c r="Z39070" t="str">
        <f t="shared" si="610"/>
        <v/>
      </c>
    </row>
    <row r="39071" spans="26:26" x14ac:dyDescent="0.2">
      <c r="Z39071" t="str">
        <f t="shared" si="610"/>
        <v/>
      </c>
    </row>
    <row r="39072" spans="26:26" x14ac:dyDescent="0.2">
      <c r="Z39072" t="str">
        <f t="shared" si="610"/>
        <v/>
      </c>
    </row>
    <row r="39073" spans="26:26" x14ac:dyDescent="0.2">
      <c r="Z39073" t="str">
        <f t="shared" si="610"/>
        <v/>
      </c>
    </row>
    <row r="39074" spans="26:26" x14ac:dyDescent="0.2">
      <c r="Z39074" t="str">
        <f t="shared" si="610"/>
        <v/>
      </c>
    </row>
    <row r="39075" spans="26:26" x14ac:dyDescent="0.2">
      <c r="Z39075" t="str">
        <f t="shared" si="610"/>
        <v/>
      </c>
    </row>
    <row r="39076" spans="26:26" x14ac:dyDescent="0.2">
      <c r="Z39076" t="str">
        <f t="shared" si="610"/>
        <v/>
      </c>
    </row>
    <row r="39077" spans="26:26" x14ac:dyDescent="0.2">
      <c r="Z39077" t="str">
        <f t="shared" si="610"/>
        <v/>
      </c>
    </row>
    <row r="39078" spans="26:26" x14ac:dyDescent="0.2">
      <c r="Z39078" t="str">
        <f t="shared" si="610"/>
        <v/>
      </c>
    </row>
    <row r="39079" spans="26:26" x14ac:dyDescent="0.2">
      <c r="Z39079" t="str">
        <f t="shared" si="610"/>
        <v/>
      </c>
    </row>
    <row r="39080" spans="26:26" x14ac:dyDescent="0.2">
      <c r="Z39080" t="str">
        <f t="shared" si="610"/>
        <v/>
      </c>
    </row>
    <row r="39081" spans="26:26" x14ac:dyDescent="0.2">
      <c r="Z39081" t="str">
        <f t="shared" si="610"/>
        <v/>
      </c>
    </row>
    <row r="39082" spans="26:26" x14ac:dyDescent="0.2">
      <c r="Z39082" t="str">
        <f t="shared" si="610"/>
        <v/>
      </c>
    </row>
    <row r="39083" spans="26:26" x14ac:dyDescent="0.2">
      <c r="Z39083" t="str">
        <f t="shared" si="610"/>
        <v/>
      </c>
    </row>
    <row r="39084" spans="26:26" x14ac:dyDescent="0.2">
      <c r="Z39084" t="str">
        <f t="shared" si="610"/>
        <v/>
      </c>
    </row>
    <row r="39085" spans="26:26" x14ac:dyDescent="0.2">
      <c r="Z39085" t="str">
        <f t="shared" si="610"/>
        <v/>
      </c>
    </row>
    <row r="39086" spans="26:26" x14ac:dyDescent="0.2">
      <c r="Z39086" t="str">
        <f t="shared" si="610"/>
        <v/>
      </c>
    </row>
    <row r="39087" spans="26:26" x14ac:dyDescent="0.2">
      <c r="Z39087" t="str">
        <f t="shared" si="610"/>
        <v/>
      </c>
    </row>
    <row r="39088" spans="26:26" x14ac:dyDescent="0.2">
      <c r="Z39088" t="str">
        <f t="shared" si="610"/>
        <v/>
      </c>
    </row>
    <row r="39089" spans="26:26" x14ac:dyDescent="0.2">
      <c r="Z39089" t="str">
        <f t="shared" si="610"/>
        <v/>
      </c>
    </row>
    <row r="39090" spans="26:26" x14ac:dyDescent="0.2">
      <c r="Z39090" t="str">
        <f t="shared" si="610"/>
        <v/>
      </c>
    </row>
    <row r="39091" spans="26:26" x14ac:dyDescent="0.2">
      <c r="Z39091" t="str">
        <f t="shared" si="610"/>
        <v/>
      </c>
    </row>
    <row r="39092" spans="26:26" x14ac:dyDescent="0.2">
      <c r="Z39092" t="str">
        <f t="shared" si="610"/>
        <v/>
      </c>
    </row>
    <row r="39093" spans="26:26" x14ac:dyDescent="0.2">
      <c r="Z39093" t="str">
        <f t="shared" si="610"/>
        <v/>
      </c>
    </row>
    <row r="39094" spans="26:26" x14ac:dyDescent="0.2">
      <c r="Z39094" t="str">
        <f t="shared" si="610"/>
        <v/>
      </c>
    </row>
    <row r="39095" spans="26:26" x14ac:dyDescent="0.2">
      <c r="Z39095" t="str">
        <f t="shared" si="610"/>
        <v/>
      </c>
    </row>
    <row r="39096" spans="26:26" x14ac:dyDescent="0.2">
      <c r="Z39096" t="str">
        <f t="shared" si="610"/>
        <v/>
      </c>
    </row>
    <row r="39097" spans="26:26" x14ac:dyDescent="0.2">
      <c r="Z39097" t="str">
        <f t="shared" si="610"/>
        <v/>
      </c>
    </row>
    <row r="39098" spans="26:26" x14ac:dyDescent="0.2">
      <c r="Z39098" t="str">
        <f t="shared" si="610"/>
        <v/>
      </c>
    </row>
    <row r="39099" spans="26:26" x14ac:dyDescent="0.2">
      <c r="Z39099" t="str">
        <f t="shared" si="610"/>
        <v/>
      </c>
    </row>
    <row r="39100" spans="26:26" x14ac:dyDescent="0.2">
      <c r="Z39100" t="str">
        <f t="shared" si="610"/>
        <v/>
      </c>
    </row>
    <row r="39101" spans="26:26" x14ac:dyDescent="0.2">
      <c r="Z39101" t="str">
        <f t="shared" si="610"/>
        <v/>
      </c>
    </row>
    <row r="39102" spans="26:26" x14ac:dyDescent="0.2">
      <c r="Z39102" t="str">
        <f t="shared" si="610"/>
        <v/>
      </c>
    </row>
    <row r="39103" spans="26:26" x14ac:dyDescent="0.2">
      <c r="Z39103" t="str">
        <f t="shared" si="610"/>
        <v/>
      </c>
    </row>
    <row r="39104" spans="26:26" x14ac:dyDescent="0.2">
      <c r="Z39104" t="str">
        <f t="shared" si="610"/>
        <v/>
      </c>
    </row>
    <row r="39105" spans="26:26" x14ac:dyDescent="0.2">
      <c r="Z39105" t="str">
        <f t="shared" si="610"/>
        <v/>
      </c>
    </row>
    <row r="39106" spans="26:26" x14ac:dyDescent="0.2">
      <c r="Z39106" t="str">
        <f t="shared" si="610"/>
        <v/>
      </c>
    </row>
    <row r="39107" spans="26:26" x14ac:dyDescent="0.2">
      <c r="Z39107" t="str">
        <f t="shared" ref="Z39107:Z39170" si="611">IF(K39107="","",IFERROR(VALUE(TRIM(MID(K39107,FIND(CHAR(167),SUBSTITUTE(K39107,"-",CHAR(167),LEN(K39107)-LEN(SUBSTITUTE(K39107,"-",""))))+1,100))),K39107))</f>
        <v/>
      </c>
    </row>
    <row r="39108" spans="26:26" x14ac:dyDescent="0.2">
      <c r="Z39108" t="str">
        <f t="shared" si="611"/>
        <v/>
      </c>
    </row>
    <row r="39109" spans="26:26" x14ac:dyDescent="0.2">
      <c r="Z39109" t="str">
        <f t="shared" si="611"/>
        <v/>
      </c>
    </row>
    <row r="39110" spans="26:26" x14ac:dyDescent="0.2">
      <c r="Z39110" t="str">
        <f t="shared" si="611"/>
        <v/>
      </c>
    </row>
    <row r="39111" spans="26:26" x14ac:dyDescent="0.2">
      <c r="Z39111" t="str">
        <f t="shared" si="611"/>
        <v/>
      </c>
    </row>
    <row r="39112" spans="26:26" x14ac:dyDescent="0.2">
      <c r="Z39112" t="str">
        <f t="shared" si="611"/>
        <v/>
      </c>
    </row>
    <row r="39113" spans="26:26" x14ac:dyDescent="0.2">
      <c r="Z39113" t="str">
        <f t="shared" si="611"/>
        <v/>
      </c>
    </row>
    <row r="39114" spans="26:26" x14ac:dyDescent="0.2">
      <c r="Z39114" t="str">
        <f t="shared" si="611"/>
        <v/>
      </c>
    </row>
    <row r="39115" spans="26:26" x14ac:dyDescent="0.2">
      <c r="Z39115" t="str">
        <f t="shared" si="611"/>
        <v/>
      </c>
    </row>
    <row r="39116" spans="26:26" x14ac:dyDescent="0.2">
      <c r="Z39116" t="str">
        <f t="shared" si="611"/>
        <v/>
      </c>
    </row>
    <row r="39117" spans="26:26" x14ac:dyDescent="0.2">
      <c r="Z39117" t="str">
        <f t="shared" si="611"/>
        <v/>
      </c>
    </row>
    <row r="39118" spans="26:26" x14ac:dyDescent="0.2">
      <c r="Z39118" t="str">
        <f t="shared" si="611"/>
        <v/>
      </c>
    </row>
    <row r="39119" spans="26:26" x14ac:dyDescent="0.2">
      <c r="Z39119" t="str">
        <f t="shared" si="611"/>
        <v/>
      </c>
    </row>
    <row r="39120" spans="26:26" x14ac:dyDescent="0.2">
      <c r="Z39120" t="str">
        <f t="shared" si="611"/>
        <v/>
      </c>
    </row>
    <row r="39121" spans="26:26" x14ac:dyDescent="0.2">
      <c r="Z39121" t="str">
        <f t="shared" si="611"/>
        <v/>
      </c>
    </row>
    <row r="39122" spans="26:26" x14ac:dyDescent="0.2">
      <c r="Z39122" t="str">
        <f t="shared" si="611"/>
        <v/>
      </c>
    </row>
    <row r="39123" spans="26:26" x14ac:dyDescent="0.2">
      <c r="Z39123" t="str">
        <f t="shared" si="611"/>
        <v/>
      </c>
    </row>
    <row r="39124" spans="26:26" x14ac:dyDescent="0.2">
      <c r="Z39124" t="str">
        <f t="shared" si="611"/>
        <v/>
      </c>
    </row>
    <row r="39125" spans="26:26" x14ac:dyDescent="0.2">
      <c r="Z39125" t="str">
        <f t="shared" si="611"/>
        <v/>
      </c>
    </row>
    <row r="39126" spans="26:26" x14ac:dyDescent="0.2">
      <c r="Z39126" t="str">
        <f t="shared" si="611"/>
        <v/>
      </c>
    </row>
    <row r="39127" spans="26:26" x14ac:dyDescent="0.2">
      <c r="Z39127" t="str">
        <f t="shared" si="611"/>
        <v/>
      </c>
    </row>
    <row r="39128" spans="26:26" x14ac:dyDescent="0.2">
      <c r="Z39128" t="str">
        <f t="shared" si="611"/>
        <v/>
      </c>
    </row>
    <row r="39129" spans="26:26" x14ac:dyDescent="0.2">
      <c r="Z39129" t="str">
        <f t="shared" si="611"/>
        <v/>
      </c>
    </row>
    <row r="39130" spans="26:26" x14ac:dyDescent="0.2">
      <c r="Z39130" t="str">
        <f t="shared" si="611"/>
        <v/>
      </c>
    </row>
    <row r="39131" spans="26:26" x14ac:dyDescent="0.2">
      <c r="Z39131" t="str">
        <f t="shared" si="611"/>
        <v/>
      </c>
    </row>
    <row r="39132" spans="26:26" x14ac:dyDescent="0.2">
      <c r="Z39132" t="str">
        <f t="shared" si="611"/>
        <v/>
      </c>
    </row>
    <row r="39133" spans="26:26" x14ac:dyDescent="0.2">
      <c r="Z39133" t="str">
        <f t="shared" si="611"/>
        <v/>
      </c>
    </row>
    <row r="39134" spans="26:26" x14ac:dyDescent="0.2">
      <c r="Z39134" t="str">
        <f t="shared" si="611"/>
        <v/>
      </c>
    </row>
    <row r="39135" spans="26:26" x14ac:dyDescent="0.2">
      <c r="Z39135" t="str">
        <f t="shared" si="611"/>
        <v/>
      </c>
    </row>
    <row r="39136" spans="26:26" x14ac:dyDescent="0.2">
      <c r="Z39136" t="str">
        <f t="shared" si="611"/>
        <v/>
      </c>
    </row>
    <row r="39137" spans="26:26" x14ac:dyDescent="0.2">
      <c r="Z39137" t="str">
        <f t="shared" si="611"/>
        <v/>
      </c>
    </row>
    <row r="39138" spans="26:26" x14ac:dyDescent="0.2">
      <c r="Z39138" t="str">
        <f t="shared" si="611"/>
        <v/>
      </c>
    </row>
    <row r="39139" spans="26:26" x14ac:dyDescent="0.2">
      <c r="Z39139" t="str">
        <f t="shared" si="611"/>
        <v/>
      </c>
    </row>
    <row r="39140" spans="26:26" x14ac:dyDescent="0.2">
      <c r="Z39140" t="str">
        <f t="shared" si="611"/>
        <v/>
      </c>
    </row>
    <row r="39141" spans="26:26" x14ac:dyDescent="0.2">
      <c r="Z39141" t="str">
        <f t="shared" si="611"/>
        <v/>
      </c>
    </row>
    <row r="39142" spans="26:26" x14ac:dyDescent="0.2">
      <c r="Z39142" t="str">
        <f t="shared" si="611"/>
        <v/>
      </c>
    </row>
    <row r="39143" spans="26:26" x14ac:dyDescent="0.2">
      <c r="Z39143" t="str">
        <f t="shared" si="611"/>
        <v/>
      </c>
    </row>
    <row r="39144" spans="26:26" x14ac:dyDescent="0.2">
      <c r="Z39144" t="str">
        <f t="shared" si="611"/>
        <v/>
      </c>
    </row>
    <row r="39145" spans="26:26" x14ac:dyDescent="0.2">
      <c r="Z39145" t="str">
        <f t="shared" si="611"/>
        <v/>
      </c>
    </row>
    <row r="39146" spans="26:26" x14ac:dyDescent="0.2">
      <c r="Z39146" t="str">
        <f t="shared" si="611"/>
        <v/>
      </c>
    </row>
    <row r="39147" spans="26:26" x14ac:dyDescent="0.2">
      <c r="Z39147" t="str">
        <f t="shared" si="611"/>
        <v/>
      </c>
    </row>
    <row r="39148" spans="26:26" x14ac:dyDescent="0.2">
      <c r="Z39148" t="str">
        <f t="shared" si="611"/>
        <v/>
      </c>
    </row>
    <row r="39149" spans="26:26" x14ac:dyDescent="0.2">
      <c r="Z39149" t="str">
        <f t="shared" si="611"/>
        <v/>
      </c>
    </row>
    <row r="39150" spans="26:26" x14ac:dyDescent="0.2">
      <c r="Z39150" t="str">
        <f t="shared" si="611"/>
        <v/>
      </c>
    </row>
    <row r="39151" spans="26:26" x14ac:dyDescent="0.2">
      <c r="Z39151" t="str">
        <f t="shared" si="611"/>
        <v/>
      </c>
    </row>
    <row r="39152" spans="26:26" x14ac:dyDescent="0.2">
      <c r="Z39152" t="str">
        <f t="shared" si="611"/>
        <v/>
      </c>
    </row>
    <row r="39153" spans="26:26" x14ac:dyDescent="0.2">
      <c r="Z39153" t="str">
        <f t="shared" si="611"/>
        <v/>
      </c>
    </row>
    <row r="39154" spans="26:26" x14ac:dyDescent="0.2">
      <c r="Z39154" t="str">
        <f t="shared" si="611"/>
        <v/>
      </c>
    </row>
    <row r="39155" spans="26:26" x14ac:dyDescent="0.2">
      <c r="Z39155" t="str">
        <f t="shared" si="611"/>
        <v/>
      </c>
    </row>
    <row r="39156" spans="26:26" x14ac:dyDescent="0.2">
      <c r="Z39156" t="str">
        <f t="shared" si="611"/>
        <v/>
      </c>
    </row>
    <row r="39157" spans="26:26" x14ac:dyDescent="0.2">
      <c r="Z39157" t="str">
        <f t="shared" si="611"/>
        <v/>
      </c>
    </row>
    <row r="39158" spans="26:26" x14ac:dyDescent="0.2">
      <c r="Z39158" t="str">
        <f t="shared" si="611"/>
        <v/>
      </c>
    </row>
    <row r="39159" spans="26:26" x14ac:dyDescent="0.2">
      <c r="Z39159" t="str">
        <f t="shared" si="611"/>
        <v/>
      </c>
    </row>
    <row r="39160" spans="26:26" x14ac:dyDescent="0.2">
      <c r="Z39160" t="str">
        <f t="shared" si="611"/>
        <v/>
      </c>
    </row>
    <row r="39161" spans="26:26" x14ac:dyDescent="0.2">
      <c r="Z39161" t="str">
        <f t="shared" si="611"/>
        <v/>
      </c>
    </row>
    <row r="39162" spans="26:26" x14ac:dyDescent="0.2">
      <c r="Z39162" t="str">
        <f t="shared" si="611"/>
        <v/>
      </c>
    </row>
    <row r="39163" spans="26:26" x14ac:dyDescent="0.2">
      <c r="Z39163" t="str">
        <f t="shared" si="611"/>
        <v/>
      </c>
    </row>
    <row r="39164" spans="26:26" x14ac:dyDescent="0.2">
      <c r="Z39164" t="str">
        <f t="shared" si="611"/>
        <v/>
      </c>
    </row>
    <row r="39165" spans="26:26" x14ac:dyDescent="0.2">
      <c r="Z39165" t="str">
        <f t="shared" si="611"/>
        <v/>
      </c>
    </row>
    <row r="39166" spans="26:26" x14ac:dyDescent="0.2">
      <c r="Z39166" t="str">
        <f t="shared" si="611"/>
        <v/>
      </c>
    </row>
    <row r="39167" spans="26:26" x14ac:dyDescent="0.2">
      <c r="Z39167" t="str">
        <f t="shared" si="611"/>
        <v/>
      </c>
    </row>
    <row r="39168" spans="26:26" x14ac:dyDescent="0.2">
      <c r="Z39168" t="str">
        <f t="shared" si="611"/>
        <v/>
      </c>
    </row>
    <row r="39169" spans="26:26" x14ac:dyDescent="0.2">
      <c r="Z39169" t="str">
        <f t="shared" si="611"/>
        <v/>
      </c>
    </row>
    <row r="39170" spans="26:26" x14ac:dyDescent="0.2">
      <c r="Z39170" t="str">
        <f t="shared" si="611"/>
        <v/>
      </c>
    </row>
    <row r="39171" spans="26:26" x14ac:dyDescent="0.2">
      <c r="Z39171" t="str">
        <f t="shared" ref="Z39171:Z39234" si="612">IF(K39171="","",IFERROR(VALUE(TRIM(MID(K39171,FIND(CHAR(167),SUBSTITUTE(K39171,"-",CHAR(167),LEN(K39171)-LEN(SUBSTITUTE(K39171,"-",""))))+1,100))),K39171))</f>
        <v/>
      </c>
    </row>
    <row r="39172" spans="26:26" x14ac:dyDescent="0.2">
      <c r="Z39172" t="str">
        <f t="shared" si="612"/>
        <v/>
      </c>
    </row>
    <row r="39173" spans="26:26" x14ac:dyDescent="0.2">
      <c r="Z39173" t="str">
        <f t="shared" si="612"/>
        <v/>
      </c>
    </row>
    <row r="39174" spans="26:26" x14ac:dyDescent="0.2">
      <c r="Z39174" t="str">
        <f t="shared" si="612"/>
        <v/>
      </c>
    </row>
    <row r="39175" spans="26:26" x14ac:dyDescent="0.2">
      <c r="Z39175" t="str">
        <f t="shared" si="612"/>
        <v/>
      </c>
    </row>
    <row r="39176" spans="26:26" x14ac:dyDescent="0.2">
      <c r="Z39176" t="str">
        <f t="shared" si="612"/>
        <v/>
      </c>
    </row>
    <row r="39177" spans="26:26" x14ac:dyDescent="0.2">
      <c r="Z39177" t="str">
        <f t="shared" si="612"/>
        <v/>
      </c>
    </row>
    <row r="39178" spans="26:26" x14ac:dyDescent="0.2">
      <c r="Z39178" t="str">
        <f t="shared" si="612"/>
        <v/>
      </c>
    </row>
    <row r="39179" spans="26:26" x14ac:dyDescent="0.2">
      <c r="Z39179" t="str">
        <f t="shared" si="612"/>
        <v/>
      </c>
    </row>
    <row r="39180" spans="26:26" x14ac:dyDescent="0.2">
      <c r="Z39180" t="str">
        <f t="shared" si="612"/>
        <v/>
      </c>
    </row>
    <row r="39181" spans="26:26" x14ac:dyDescent="0.2">
      <c r="Z39181" t="str">
        <f t="shared" si="612"/>
        <v/>
      </c>
    </row>
    <row r="39182" spans="26:26" x14ac:dyDescent="0.2">
      <c r="Z39182" t="str">
        <f t="shared" si="612"/>
        <v/>
      </c>
    </row>
    <row r="39183" spans="26:26" x14ac:dyDescent="0.2">
      <c r="Z39183" t="str">
        <f t="shared" si="612"/>
        <v/>
      </c>
    </row>
    <row r="39184" spans="26:26" x14ac:dyDescent="0.2">
      <c r="Z39184" t="str">
        <f t="shared" si="612"/>
        <v/>
      </c>
    </row>
    <row r="39185" spans="26:26" x14ac:dyDescent="0.2">
      <c r="Z39185" t="str">
        <f t="shared" si="612"/>
        <v/>
      </c>
    </row>
    <row r="39186" spans="26:26" x14ac:dyDescent="0.2">
      <c r="Z39186" t="str">
        <f t="shared" si="612"/>
        <v/>
      </c>
    </row>
    <row r="39187" spans="26:26" x14ac:dyDescent="0.2">
      <c r="Z39187" t="str">
        <f t="shared" si="612"/>
        <v/>
      </c>
    </row>
    <row r="39188" spans="26:26" x14ac:dyDescent="0.2">
      <c r="Z39188" t="str">
        <f t="shared" si="612"/>
        <v/>
      </c>
    </row>
    <row r="39189" spans="26:26" x14ac:dyDescent="0.2">
      <c r="Z39189" t="str">
        <f t="shared" si="612"/>
        <v/>
      </c>
    </row>
    <row r="39190" spans="26:26" x14ac:dyDescent="0.2">
      <c r="Z39190" t="str">
        <f t="shared" si="612"/>
        <v/>
      </c>
    </row>
    <row r="39191" spans="26:26" x14ac:dyDescent="0.2">
      <c r="Z39191" t="str">
        <f t="shared" si="612"/>
        <v/>
      </c>
    </row>
    <row r="39192" spans="26:26" x14ac:dyDescent="0.2">
      <c r="Z39192" t="str">
        <f t="shared" si="612"/>
        <v/>
      </c>
    </row>
    <row r="39193" spans="26:26" x14ac:dyDescent="0.2">
      <c r="Z39193" t="str">
        <f t="shared" si="612"/>
        <v/>
      </c>
    </row>
    <row r="39194" spans="26:26" x14ac:dyDescent="0.2">
      <c r="Z39194" t="str">
        <f t="shared" si="612"/>
        <v/>
      </c>
    </row>
    <row r="39195" spans="26:26" x14ac:dyDescent="0.2">
      <c r="Z39195" t="str">
        <f t="shared" si="612"/>
        <v/>
      </c>
    </row>
    <row r="39196" spans="26:26" x14ac:dyDescent="0.2">
      <c r="Z39196" t="str">
        <f t="shared" si="612"/>
        <v/>
      </c>
    </row>
    <row r="39197" spans="26:26" x14ac:dyDescent="0.2">
      <c r="Z39197" t="str">
        <f t="shared" si="612"/>
        <v/>
      </c>
    </row>
    <row r="39198" spans="26:26" x14ac:dyDescent="0.2">
      <c r="Z39198" t="str">
        <f t="shared" si="612"/>
        <v/>
      </c>
    </row>
    <row r="39199" spans="26:26" x14ac:dyDescent="0.2">
      <c r="Z39199" t="str">
        <f t="shared" si="612"/>
        <v/>
      </c>
    </row>
    <row r="39200" spans="26:26" x14ac:dyDescent="0.2">
      <c r="Z39200" t="str">
        <f t="shared" si="612"/>
        <v/>
      </c>
    </row>
    <row r="39201" spans="26:26" x14ac:dyDescent="0.2">
      <c r="Z39201" t="str">
        <f t="shared" si="612"/>
        <v/>
      </c>
    </row>
    <row r="39202" spans="26:26" x14ac:dyDescent="0.2">
      <c r="Z39202" t="str">
        <f t="shared" si="612"/>
        <v/>
      </c>
    </row>
    <row r="39203" spans="26:26" x14ac:dyDescent="0.2">
      <c r="Z39203" t="str">
        <f t="shared" si="612"/>
        <v/>
      </c>
    </row>
    <row r="39204" spans="26:26" x14ac:dyDescent="0.2">
      <c r="Z39204" t="str">
        <f t="shared" si="612"/>
        <v/>
      </c>
    </row>
    <row r="39205" spans="26:26" x14ac:dyDescent="0.2">
      <c r="Z39205" t="str">
        <f t="shared" si="612"/>
        <v/>
      </c>
    </row>
    <row r="39206" spans="26:26" x14ac:dyDescent="0.2">
      <c r="Z39206" t="str">
        <f t="shared" si="612"/>
        <v/>
      </c>
    </row>
    <row r="39207" spans="26:26" x14ac:dyDescent="0.2">
      <c r="Z39207" t="str">
        <f t="shared" si="612"/>
        <v/>
      </c>
    </row>
    <row r="39208" spans="26:26" x14ac:dyDescent="0.2">
      <c r="Z39208" t="str">
        <f t="shared" si="612"/>
        <v/>
      </c>
    </row>
    <row r="39209" spans="26:26" x14ac:dyDescent="0.2">
      <c r="Z39209" t="str">
        <f t="shared" si="612"/>
        <v/>
      </c>
    </row>
    <row r="39210" spans="26:26" x14ac:dyDescent="0.2">
      <c r="Z39210" t="str">
        <f t="shared" si="612"/>
        <v/>
      </c>
    </row>
    <row r="39211" spans="26:26" x14ac:dyDescent="0.2">
      <c r="Z39211" t="str">
        <f t="shared" si="612"/>
        <v/>
      </c>
    </row>
    <row r="39212" spans="26:26" x14ac:dyDescent="0.2">
      <c r="Z39212" t="str">
        <f t="shared" si="612"/>
        <v/>
      </c>
    </row>
    <row r="39213" spans="26:26" x14ac:dyDescent="0.2">
      <c r="Z39213" t="str">
        <f t="shared" si="612"/>
        <v/>
      </c>
    </row>
    <row r="39214" spans="26:26" x14ac:dyDescent="0.2">
      <c r="Z39214" t="str">
        <f t="shared" si="612"/>
        <v/>
      </c>
    </row>
    <row r="39215" spans="26:26" x14ac:dyDescent="0.2">
      <c r="Z39215" t="str">
        <f t="shared" si="612"/>
        <v/>
      </c>
    </row>
    <row r="39216" spans="26:26" x14ac:dyDescent="0.2">
      <c r="Z39216" t="str">
        <f t="shared" si="612"/>
        <v/>
      </c>
    </row>
    <row r="39217" spans="26:26" x14ac:dyDescent="0.2">
      <c r="Z39217" t="str">
        <f t="shared" si="612"/>
        <v/>
      </c>
    </row>
    <row r="39218" spans="26:26" x14ac:dyDescent="0.2">
      <c r="Z39218" t="str">
        <f t="shared" si="612"/>
        <v/>
      </c>
    </row>
    <row r="39219" spans="26:26" x14ac:dyDescent="0.2">
      <c r="Z39219" t="str">
        <f t="shared" si="612"/>
        <v/>
      </c>
    </row>
    <row r="39220" spans="26:26" x14ac:dyDescent="0.2">
      <c r="Z39220" t="str">
        <f t="shared" si="612"/>
        <v/>
      </c>
    </row>
    <row r="39221" spans="26:26" x14ac:dyDescent="0.2">
      <c r="Z39221" t="str">
        <f t="shared" si="612"/>
        <v/>
      </c>
    </row>
    <row r="39222" spans="26:26" x14ac:dyDescent="0.2">
      <c r="Z39222" t="str">
        <f t="shared" si="612"/>
        <v/>
      </c>
    </row>
    <row r="39223" spans="26:26" x14ac:dyDescent="0.2">
      <c r="Z39223" t="str">
        <f t="shared" si="612"/>
        <v/>
      </c>
    </row>
    <row r="39224" spans="26:26" x14ac:dyDescent="0.2">
      <c r="Z39224" t="str">
        <f t="shared" si="612"/>
        <v/>
      </c>
    </row>
    <row r="39225" spans="26:26" x14ac:dyDescent="0.2">
      <c r="Z39225" t="str">
        <f t="shared" si="612"/>
        <v/>
      </c>
    </row>
    <row r="39226" spans="26:26" x14ac:dyDescent="0.2">
      <c r="Z39226" t="str">
        <f t="shared" si="612"/>
        <v/>
      </c>
    </row>
    <row r="39227" spans="26:26" x14ac:dyDescent="0.2">
      <c r="Z39227" t="str">
        <f t="shared" si="612"/>
        <v/>
      </c>
    </row>
    <row r="39228" spans="26:26" x14ac:dyDescent="0.2">
      <c r="Z39228" t="str">
        <f t="shared" si="612"/>
        <v/>
      </c>
    </row>
    <row r="39229" spans="26:26" x14ac:dyDescent="0.2">
      <c r="Z39229" t="str">
        <f t="shared" si="612"/>
        <v/>
      </c>
    </row>
    <row r="39230" spans="26:26" x14ac:dyDescent="0.2">
      <c r="Z39230" t="str">
        <f t="shared" si="612"/>
        <v/>
      </c>
    </row>
    <row r="39231" spans="26:26" x14ac:dyDescent="0.2">
      <c r="Z39231" t="str">
        <f t="shared" si="612"/>
        <v/>
      </c>
    </row>
    <row r="39232" spans="26:26" x14ac:dyDescent="0.2">
      <c r="Z39232" t="str">
        <f t="shared" si="612"/>
        <v/>
      </c>
    </row>
    <row r="39233" spans="26:26" x14ac:dyDescent="0.2">
      <c r="Z39233" t="str">
        <f t="shared" si="612"/>
        <v/>
      </c>
    </row>
    <row r="39234" spans="26:26" x14ac:dyDescent="0.2">
      <c r="Z39234" t="str">
        <f t="shared" si="612"/>
        <v/>
      </c>
    </row>
    <row r="39235" spans="26:26" x14ac:dyDescent="0.2">
      <c r="Z39235" t="str">
        <f t="shared" ref="Z39235:Z39298" si="613">IF(K39235="","",IFERROR(VALUE(TRIM(MID(K39235,FIND(CHAR(167),SUBSTITUTE(K39235,"-",CHAR(167),LEN(K39235)-LEN(SUBSTITUTE(K39235,"-",""))))+1,100))),K39235))</f>
        <v/>
      </c>
    </row>
    <row r="39236" spans="26:26" x14ac:dyDescent="0.2">
      <c r="Z39236" t="str">
        <f t="shared" si="613"/>
        <v/>
      </c>
    </row>
    <row r="39237" spans="26:26" x14ac:dyDescent="0.2">
      <c r="Z39237" t="str">
        <f t="shared" si="613"/>
        <v/>
      </c>
    </row>
    <row r="39238" spans="26:26" x14ac:dyDescent="0.2">
      <c r="Z39238" t="str">
        <f t="shared" si="613"/>
        <v/>
      </c>
    </row>
    <row r="39239" spans="26:26" x14ac:dyDescent="0.2">
      <c r="Z39239" t="str">
        <f t="shared" si="613"/>
        <v/>
      </c>
    </row>
    <row r="39240" spans="26:26" x14ac:dyDescent="0.2">
      <c r="Z39240" t="str">
        <f t="shared" si="613"/>
        <v/>
      </c>
    </row>
    <row r="39241" spans="26:26" x14ac:dyDescent="0.2">
      <c r="Z39241" t="str">
        <f t="shared" si="613"/>
        <v/>
      </c>
    </row>
    <row r="39242" spans="26:26" x14ac:dyDescent="0.2">
      <c r="Z39242" t="str">
        <f t="shared" si="613"/>
        <v/>
      </c>
    </row>
    <row r="39243" spans="26:26" x14ac:dyDescent="0.2">
      <c r="Z39243" t="str">
        <f t="shared" si="613"/>
        <v/>
      </c>
    </row>
    <row r="39244" spans="26:26" x14ac:dyDescent="0.2">
      <c r="Z39244" t="str">
        <f t="shared" si="613"/>
        <v/>
      </c>
    </row>
    <row r="39245" spans="26:26" x14ac:dyDescent="0.2">
      <c r="Z39245" t="str">
        <f t="shared" si="613"/>
        <v/>
      </c>
    </row>
    <row r="39246" spans="26:26" x14ac:dyDescent="0.2">
      <c r="Z39246" t="str">
        <f t="shared" si="613"/>
        <v/>
      </c>
    </row>
    <row r="39247" spans="26:26" x14ac:dyDescent="0.2">
      <c r="Z39247" t="str">
        <f t="shared" si="613"/>
        <v/>
      </c>
    </row>
    <row r="39248" spans="26:26" x14ac:dyDescent="0.2">
      <c r="Z39248" t="str">
        <f t="shared" si="613"/>
        <v/>
      </c>
    </row>
    <row r="39249" spans="26:26" x14ac:dyDescent="0.2">
      <c r="Z39249" t="str">
        <f t="shared" si="613"/>
        <v/>
      </c>
    </row>
    <row r="39250" spans="26:26" x14ac:dyDescent="0.2">
      <c r="Z39250" t="str">
        <f t="shared" si="613"/>
        <v/>
      </c>
    </row>
    <row r="39251" spans="26:26" x14ac:dyDescent="0.2">
      <c r="Z39251" t="str">
        <f t="shared" si="613"/>
        <v/>
      </c>
    </row>
    <row r="39252" spans="26:26" x14ac:dyDescent="0.2">
      <c r="Z39252" t="str">
        <f t="shared" si="613"/>
        <v/>
      </c>
    </row>
    <row r="39253" spans="26:26" x14ac:dyDescent="0.2">
      <c r="Z39253" t="str">
        <f t="shared" si="613"/>
        <v/>
      </c>
    </row>
    <row r="39254" spans="26:26" x14ac:dyDescent="0.2">
      <c r="Z39254" t="str">
        <f t="shared" si="613"/>
        <v/>
      </c>
    </row>
    <row r="39255" spans="26:26" x14ac:dyDescent="0.2">
      <c r="Z39255" t="str">
        <f t="shared" si="613"/>
        <v/>
      </c>
    </row>
    <row r="39256" spans="26:26" x14ac:dyDescent="0.2">
      <c r="Z39256" t="str">
        <f t="shared" si="613"/>
        <v/>
      </c>
    </row>
    <row r="39257" spans="26:26" x14ac:dyDescent="0.2">
      <c r="Z39257" t="str">
        <f t="shared" si="613"/>
        <v/>
      </c>
    </row>
    <row r="39258" spans="26:26" x14ac:dyDescent="0.2">
      <c r="Z39258" t="str">
        <f t="shared" si="613"/>
        <v/>
      </c>
    </row>
    <row r="39259" spans="26:26" x14ac:dyDescent="0.2">
      <c r="Z39259" t="str">
        <f t="shared" si="613"/>
        <v/>
      </c>
    </row>
    <row r="39260" spans="26:26" x14ac:dyDescent="0.2">
      <c r="Z39260" t="str">
        <f t="shared" si="613"/>
        <v/>
      </c>
    </row>
    <row r="39261" spans="26:26" x14ac:dyDescent="0.2">
      <c r="Z39261" t="str">
        <f t="shared" si="613"/>
        <v/>
      </c>
    </row>
    <row r="39262" spans="26:26" x14ac:dyDescent="0.2">
      <c r="Z39262" t="str">
        <f t="shared" si="613"/>
        <v/>
      </c>
    </row>
    <row r="39263" spans="26:26" x14ac:dyDescent="0.2">
      <c r="Z39263" t="str">
        <f t="shared" si="613"/>
        <v/>
      </c>
    </row>
    <row r="39264" spans="26:26" x14ac:dyDescent="0.2">
      <c r="Z39264" t="str">
        <f t="shared" si="613"/>
        <v/>
      </c>
    </row>
    <row r="39265" spans="26:26" x14ac:dyDescent="0.2">
      <c r="Z39265" t="str">
        <f t="shared" si="613"/>
        <v/>
      </c>
    </row>
    <row r="39266" spans="26:26" x14ac:dyDescent="0.2">
      <c r="Z39266" t="str">
        <f t="shared" si="613"/>
        <v/>
      </c>
    </row>
    <row r="39267" spans="26:26" x14ac:dyDescent="0.2">
      <c r="Z39267" t="str">
        <f t="shared" si="613"/>
        <v/>
      </c>
    </row>
    <row r="39268" spans="26:26" x14ac:dyDescent="0.2">
      <c r="Z39268" t="str">
        <f t="shared" si="613"/>
        <v/>
      </c>
    </row>
    <row r="39269" spans="26:26" x14ac:dyDescent="0.2">
      <c r="Z39269" t="str">
        <f t="shared" si="613"/>
        <v/>
      </c>
    </row>
    <row r="39270" spans="26:26" x14ac:dyDescent="0.2">
      <c r="Z39270" t="str">
        <f t="shared" si="613"/>
        <v/>
      </c>
    </row>
    <row r="39271" spans="26:26" x14ac:dyDescent="0.2">
      <c r="Z39271" t="str">
        <f t="shared" si="613"/>
        <v/>
      </c>
    </row>
    <row r="39272" spans="26:26" x14ac:dyDescent="0.2">
      <c r="Z39272" t="str">
        <f t="shared" si="613"/>
        <v/>
      </c>
    </row>
    <row r="39273" spans="26:26" x14ac:dyDescent="0.2">
      <c r="Z39273" t="str">
        <f t="shared" si="613"/>
        <v/>
      </c>
    </row>
    <row r="39274" spans="26:26" x14ac:dyDescent="0.2">
      <c r="Z39274" t="str">
        <f t="shared" si="613"/>
        <v/>
      </c>
    </row>
    <row r="39275" spans="26:26" x14ac:dyDescent="0.2">
      <c r="Z39275" t="str">
        <f t="shared" si="613"/>
        <v/>
      </c>
    </row>
    <row r="39276" spans="26:26" x14ac:dyDescent="0.2">
      <c r="Z39276" t="str">
        <f t="shared" si="613"/>
        <v/>
      </c>
    </row>
    <row r="39277" spans="26:26" x14ac:dyDescent="0.2">
      <c r="Z39277" t="str">
        <f t="shared" si="613"/>
        <v/>
      </c>
    </row>
    <row r="39278" spans="26:26" x14ac:dyDescent="0.2">
      <c r="Z39278" t="str">
        <f t="shared" si="613"/>
        <v/>
      </c>
    </row>
    <row r="39279" spans="26:26" x14ac:dyDescent="0.2">
      <c r="Z39279" t="str">
        <f t="shared" si="613"/>
        <v/>
      </c>
    </row>
    <row r="39280" spans="26:26" x14ac:dyDescent="0.2">
      <c r="Z39280" t="str">
        <f t="shared" si="613"/>
        <v/>
      </c>
    </row>
    <row r="39281" spans="26:26" x14ac:dyDescent="0.2">
      <c r="Z39281" t="str">
        <f t="shared" si="613"/>
        <v/>
      </c>
    </row>
    <row r="39282" spans="26:26" x14ac:dyDescent="0.2">
      <c r="Z39282" t="str">
        <f t="shared" si="613"/>
        <v/>
      </c>
    </row>
    <row r="39283" spans="26:26" x14ac:dyDescent="0.2">
      <c r="Z39283" t="str">
        <f t="shared" si="613"/>
        <v/>
      </c>
    </row>
    <row r="39284" spans="26:26" x14ac:dyDescent="0.2">
      <c r="Z39284" t="str">
        <f t="shared" si="613"/>
        <v/>
      </c>
    </row>
    <row r="39285" spans="26:26" x14ac:dyDescent="0.2">
      <c r="Z39285" t="str">
        <f t="shared" si="613"/>
        <v/>
      </c>
    </row>
    <row r="39286" spans="26:26" x14ac:dyDescent="0.2">
      <c r="Z39286" t="str">
        <f t="shared" si="613"/>
        <v/>
      </c>
    </row>
    <row r="39287" spans="26:26" x14ac:dyDescent="0.2">
      <c r="Z39287" t="str">
        <f t="shared" si="613"/>
        <v/>
      </c>
    </row>
    <row r="39288" spans="26:26" x14ac:dyDescent="0.2">
      <c r="Z39288" t="str">
        <f t="shared" si="613"/>
        <v/>
      </c>
    </row>
    <row r="39289" spans="26:26" x14ac:dyDescent="0.2">
      <c r="Z39289" t="str">
        <f t="shared" si="613"/>
        <v/>
      </c>
    </row>
    <row r="39290" spans="26:26" x14ac:dyDescent="0.2">
      <c r="Z39290" t="str">
        <f t="shared" si="613"/>
        <v/>
      </c>
    </row>
    <row r="39291" spans="26:26" x14ac:dyDescent="0.2">
      <c r="Z39291" t="str">
        <f t="shared" si="613"/>
        <v/>
      </c>
    </row>
    <row r="39292" spans="26:26" x14ac:dyDescent="0.2">
      <c r="Z39292" t="str">
        <f t="shared" si="613"/>
        <v/>
      </c>
    </row>
    <row r="39293" spans="26:26" x14ac:dyDescent="0.2">
      <c r="Z39293" t="str">
        <f t="shared" si="613"/>
        <v/>
      </c>
    </row>
    <row r="39294" spans="26:26" x14ac:dyDescent="0.2">
      <c r="Z39294" t="str">
        <f t="shared" si="613"/>
        <v/>
      </c>
    </row>
    <row r="39295" spans="26:26" x14ac:dyDescent="0.2">
      <c r="Z39295" t="str">
        <f t="shared" si="613"/>
        <v/>
      </c>
    </row>
    <row r="39296" spans="26:26" x14ac:dyDescent="0.2">
      <c r="Z39296" t="str">
        <f t="shared" si="613"/>
        <v/>
      </c>
    </row>
    <row r="39297" spans="26:26" x14ac:dyDescent="0.2">
      <c r="Z39297" t="str">
        <f t="shared" si="613"/>
        <v/>
      </c>
    </row>
    <row r="39298" spans="26:26" x14ac:dyDescent="0.2">
      <c r="Z39298" t="str">
        <f t="shared" si="613"/>
        <v/>
      </c>
    </row>
    <row r="39299" spans="26:26" x14ac:dyDescent="0.2">
      <c r="Z39299" t="str">
        <f t="shared" ref="Z39299:Z39362" si="614">IF(K39299="","",IFERROR(VALUE(TRIM(MID(K39299,FIND(CHAR(167),SUBSTITUTE(K39299,"-",CHAR(167),LEN(K39299)-LEN(SUBSTITUTE(K39299,"-",""))))+1,100))),K39299))</f>
        <v/>
      </c>
    </row>
    <row r="39300" spans="26:26" x14ac:dyDescent="0.2">
      <c r="Z39300" t="str">
        <f t="shared" si="614"/>
        <v/>
      </c>
    </row>
    <row r="39301" spans="26:26" x14ac:dyDescent="0.2">
      <c r="Z39301" t="str">
        <f t="shared" si="614"/>
        <v/>
      </c>
    </row>
    <row r="39302" spans="26:26" x14ac:dyDescent="0.2">
      <c r="Z39302" t="str">
        <f t="shared" si="614"/>
        <v/>
      </c>
    </row>
    <row r="39303" spans="26:26" x14ac:dyDescent="0.2">
      <c r="Z39303" t="str">
        <f t="shared" si="614"/>
        <v/>
      </c>
    </row>
    <row r="39304" spans="26:26" x14ac:dyDescent="0.2">
      <c r="Z39304" t="str">
        <f t="shared" si="614"/>
        <v/>
      </c>
    </row>
    <row r="39305" spans="26:26" x14ac:dyDescent="0.2">
      <c r="Z39305" t="str">
        <f t="shared" si="614"/>
        <v/>
      </c>
    </row>
    <row r="39306" spans="26:26" x14ac:dyDescent="0.2">
      <c r="Z39306" t="str">
        <f t="shared" si="614"/>
        <v/>
      </c>
    </row>
    <row r="39307" spans="26:26" x14ac:dyDescent="0.2">
      <c r="Z39307" t="str">
        <f t="shared" si="614"/>
        <v/>
      </c>
    </row>
    <row r="39308" spans="26:26" x14ac:dyDescent="0.2">
      <c r="Z39308" t="str">
        <f t="shared" si="614"/>
        <v/>
      </c>
    </row>
    <row r="39309" spans="26:26" x14ac:dyDescent="0.2">
      <c r="Z39309" t="str">
        <f t="shared" si="614"/>
        <v/>
      </c>
    </row>
    <row r="39310" spans="26:26" x14ac:dyDescent="0.2">
      <c r="Z39310" t="str">
        <f t="shared" si="614"/>
        <v/>
      </c>
    </row>
    <row r="39311" spans="26:26" x14ac:dyDescent="0.2">
      <c r="Z39311" t="str">
        <f t="shared" si="614"/>
        <v/>
      </c>
    </row>
    <row r="39312" spans="26:26" x14ac:dyDescent="0.2">
      <c r="Z39312" t="str">
        <f t="shared" si="614"/>
        <v/>
      </c>
    </row>
    <row r="39313" spans="26:26" x14ac:dyDescent="0.2">
      <c r="Z39313" t="str">
        <f t="shared" si="614"/>
        <v/>
      </c>
    </row>
    <row r="39314" spans="26:26" x14ac:dyDescent="0.2">
      <c r="Z39314" t="str">
        <f t="shared" si="614"/>
        <v/>
      </c>
    </row>
    <row r="39315" spans="26:26" x14ac:dyDescent="0.2">
      <c r="Z39315" t="str">
        <f t="shared" si="614"/>
        <v/>
      </c>
    </row>
    <row r="39316" spans="26:26" x14ac:dyDescent="0.2">
      <c r="Z39316" t="str">
        <f t="shared" si="614"/>
        <v/>
      </c>
    </row>
    <row r="39317" spans="26:26" x14ac:dyDescent="0.2">
      <c r="Z39317" t="str">
        <f t="shared" si="614"/>
        <v/>
      </c>
    </row>
    <row r="39318" spans="26:26" x14ac:dyDescent="0.2">
      <c r="Z39318" t="str">
        <f t="shared" si="614"/>
        <v/>
      </c>
    </row>
    <row r="39319" spans="26:26" x14ac:dyDescent="0.2">
      <c r="Z39319" t="str">
        <f t="shared" si="614"/>
        <v/>
      </c>
    </row>
    <row r="39320" spans="26:26" x14ac:dyDescent="0.2">
      <c r="Z39320" t="str">
        <f t="shared" si="614"/>
        <v/>
      </c>
    </row>
    <row r="39321" spans="26:26" x14ac:dyDescent="0.2">
      <c r="Z39321" t="str">
        <f t="shared" si="614"/>
        <v/>
      </c>
    </row>
    <row r="39322" spans="26:26" x14ac:dyDescent="0.2">
      <c r="Z39322" t="str">
        <f t="shared" si="614"/>
        <v/>
      </c>
    </row>
    <row r="39323" spans="26:26" x14ac:dyDescent="0.2">
      <c r="Z39323" t="str">
        <f t="shared" si="614"/>
        <v/>
      </c>
    </row>
    <row r="39324" spans="26:26" x14ac:dyDescent="0.2">
      <c r="Z39324" t="str">
        <f t="shared" si="614"/>
        <v/>
      </c>
    </row>
    <row r="39325" spans="26:26" x14ac:dyDescent="0.2">
      <c r="Z39325" t="str">
        <f t="shared" si="614"/>
        <v/>
      </c>
    </row>
    <row r="39326" spans="26:26" x14ac:dyDescent="0.2">
      <c r="Z39326" t="str">
        <f t="shared" si="614"/>
        <v/>
      </c>
    </row>
    <row r="39327" spans="26:26" x14ac:dyDescent="0.2">
      <c r="Z39327" t="str">
        <f t="shared" si="614"/>
        <v/>
      </c>
    </row>
    <row r="39328" spans="26:26" x14ac:dyDescent="0.2">
      <c r="Z39328" t="str">
        <f t="shared" si="614"/>
        <v/>
      </c>
    </row>
    <row r="39329" spans="26:26" x14ac:dyDescent="0.2">
      <c r="Z39329" t="str">
        <f t="shared" si="614"/>
        <v/>
      </c>
    </row>
    <row r="39330" spans="26:26" x14ac:dyDescent="0.2">
      <c r="Z39330" t="str">
        <f t="shared" si="614"/>
        <v/>
      </c>
    </row>
    <row r="39331" spans="26:26" x14ac:dyDescent="0.2">
      <c r="Z39331" t="str">
        <f t="shared" si="614"/>
        <v/>
      </c>
    </row>
    <row r="39332" spans="26:26" x14ac:dyDescent="0.2">
      <c r="Z39332" t="str">
        <f t="shared" si="614"/>
        <v/>
      </c>
    </row>
    <row r="39333" spans="26:26" x14ac:dyDescent="0.2">
      <c r="Z39333" t="str">
        <f t="shared" si="614"/>
        <v/>
      </c>
    </row>
    <row r="39334" spans="26:26" x14ac:dyDescent="0.2">
      <c r="Z39334" t="str">
        <f t="shared" si="614"/>
        <v/>
      </c>
    </row>
    <row r="39335" spans="26:26" x14ac:dyDescent="0.2">
      <c r="Z39335" t="str">
        <f t="shared" si="614"/>
        <v/>
      </c>
    </row>
    <row r="39336" spans="26:26" x14ac:dyDescent="0.2">
      <c r="Z39336" t="str">
        <f t="shared" si="614"/>
        <v/>
      </c>
    </row>
    <row r="39337" spans="26:26" x14ac:dyDescent="0.2">
      <c r="Z39337" t="str">
        <f t="shared" si="614"/>
        <v/>
      </c>
    </row>
    <row r="39338" spans="26:26" x14ac:dyDescent="0.2">
      <c r="Z39338" t="str">
        <f t="shared" si="614"/>
        <v/>
      </c>
    </row>
    <row r="39339" spans="26:26" x14ac:dyDescent="0.2">
      <c r="Z39339" t="str">
        <f t="shared" si="614"/>
        <v/>
      </c>
    </row>
    <row r="39340" spans="26:26" x14ac:dyDescent="0.2">
      <c r="Z39340" t="str">
        <f t="shared" si="614"/>
        <v/>
      </c>
    </row>
    <row r="39341" spans="26:26" x14ac:dyDescent="0.2">
      <c r="Z39341" t="str">
        <f t="shared" si="614"/>
        <v/>
      </c>
    </row>
    <row r="39342" spans="26:26" x14ac:dyDescent="0.2">
      <c r="Z39342" t="str">
        <f t="shared" si="614"/>
        <v/>
      </c>
    </row>
    <row r="39343" spans="26:26" x14ac:dyDescent="0.2">
      <c r="Z39343" t="str">
        <f t="shared" si="614"/>
        <v/>
      </c>
    </row>
    <row r="39344" spans="26:26" x14ac:dyDescent="0.2">
      <c r="Z39344" t="str">
        <f t="shared" si="614"/>
        <v/>
      </c>
    </row>
    <row r="39345" spans="26:26" x14ac:dyDescent="0.2">
      <c r="Z39345" t="str">
        <f t="shared" si="614"/>
        <v/>
      </c>
    </row>
    <row r="39346" spans="26:26" x14ac:dyDescent="0.2">
      <c r="Z39346" t="str">
        <f t="shared" si="614"/>
        <v/>
      </c>
    </row>
    <row r="39347" spans="26:26" x14ac:dyDescent="0.2">
      <c r="Z39347" t="str">
        <f t="shared" si="614"/>
        <v/>
      </c>
    </row>
    <row r="39348" spans="26:26" x14ac:dyDescent="0.2">
      <c r="Z39348" t="str">
        <f t="shared" si="614"/>
        <v/>
      </c>
    </row>
    <row r="39349" spans="26:26" x14ac:dyDescent="0.2">
      <c r="Z39349" t="str">
        <f t="shared" si="614"/>
        <v/>
      </c>
    </row>
    <row r="39350" spans="26:26" x14ac:dyDescent="0.2">
      <c r="Z39350" t="str">
        <f t="shared" si="614"/>
        <v/>
      </c>
    </row>
    <row r="39351" spans="26:26" x14ac:dyDescent="0.2">
      <c r="Z39351" t="str">
        <f t="shared" si="614"/>
        <v/>
      </c>
    </row>
    <row r="39352" spans="26:26" x14ac:dyDescent="0.2">
      <c r="Z39352" t="str">
        <f t="shared" si="614"/>
        <v/>
      </c>
    </row>
    <row r="39353" spans="26:26" x14ac:dyDescent="0.2">
      <c r="Z39353" t="str">
        <f t="shared" si="614"/>
        <v/>
      </c>
    </row>
    <row r="39354" spans="26:26" x14ac:dyDescent="0.2">
      <c r="Z39354" t="str">
        <f t="shared" si="614"/>
        <v/>
      </c>
    </row>
    <row r="39355" spans="26:26" x14ac:dyDescent="0.2">
      <c r="Z39355" t="str">
        <f t="shared" si="614"/>
        <v/>
      </c>
    </row>
    <row r="39356" spans="26:26" x14ac:dyDescent="0.2">
      <c r="Z39356" t="str">
        <f t="shared" si="614"/>
        <v/>
      </c>
    </row>
    <row r="39357" spans="26:26" x14ac:dyDescent="0.2">
      <c r="Z39357" t="str">
        <f t="shared" si="614"/>
        <v/>
      </c>
    </row>
    <row r="39358" spans="26:26" x14ac:dyDescent="0.2">
      <c r="Z39358" t="str">
        <f t="shared" si="614"/>
        <v/>
      </c>
    </row>
    <row r="39359" spans="26:26" x14ac:dyDescent="0.2">
      <c r="Z39359" t="str">
        <f t="shared" si="614"/>
        <v/>
      </c>
    </row>
    <row r="39360" spans="26:26" x14ac:dyDescent="0.2">
      <c r="Z39360" t="str">
        <f t="shared" si="614"/>
        <v/>
      </c>
    </row>
    <row r="39361" spans="26:26" x14ac:dyDescent="0.2">
      <c r="Z39361" t="str">
        <f t="shared" si="614"/>
        <v/>
      </c>
    </row>
    <row r="39362" spans="26:26" x14ac:dyDescent="0.2">
      <c r="Z39362" t="str">
        <f t="shared" si="614"/>
        <v/>
      </c>
    </row>
    <row r="39363" spans="26:26" x14ac:dyDescent="0.2">
      <c r="Z39363" t="str">
        <f t="shared" ref="Z39363:Z39426" si="615">IF(K39363="","",IFERROR(VALUE(TRIM(MID(K39363,FIND(CHAR(167),SUBSTITUTE(K39363,"-",CHAR(167),LEN(K39363)-LEN(SUBSTITUTE(K39363,"-",""))))+1,100))),K39363))</f>
        <v/>
      </c>
    </row>
    <row r="39364" spans="26:26" x14ac:dyDescent="0.2">
      <c r="Z39364" t="str">
        <f t="shared" si="615"/>
        <v/>
      </c>
    </row>
    <row r="39365" spans="26:26" x14ac:dyDescent="0.2">
      <c r="Z39365" t="str">
        <f t="shared" si="615"/>
        <v/>
      </c>
    </row>
    <row r="39366" spans="26:26" x14ac:dyDescent="0.2">
      <c r="Z39366" t="str">
        <f t="shared" si="615"/>
        <v/>
      </c>
    </row>
    <row r="39367" spans="26:26" x14ac:dyDescent="0.2">
      <c r="Z39367" t="str">
        <f t="shared" si="615"/>
        <v/>
      </c>
    </row>
    <row r="39368" spans="26:26" x14ac:dyDescent="0.2">
      <c r="Z39368" t="str">
        <f t="shared" si="615"/>
        <v/>
      </c>
    </row>
    <row r="39369" spans="26:26" x14ac:dyDescent="0.2">
      <c r="Z39369" t="str">
        <f t="shared" si="615"/>
        <v/>
      </c>
    </row>
    <row r="39370" spans="26:26" x14ac:dyDescent="0.2">
      <c r="Z39370" t="str">
        <f t="shared" si="615"/>
        <v/>
      </c>
    </row>
    <row r="39371" spans="26:26" x14ac:dyDescent="0.2">
      <c r="Z39371" t="str">
        <f t="shared" si="615"/>
        <v/>
      </c>
    </row>
    <row r="39372" spans="26:26" x14ac:dyDescent="0.2">
      <c r="Z39372" t="str">
        <f t="shared" si="615"/>
        <v/>
      </c>
    </row>
    <row r="39373" spans="26:26" x14ac:dyDescent="0.2">
      <c r="Z39373" t="str">
        <f t="shared" si="615"/>
        <v/>
      </c>
    </row>
    <row r="39374" spans="26:26" x14ac:dyDescent="0.2">
      <c r="Z39374" t="str">
        <f t="shared" si="615"/>
        <v/>
      </c>
    </row>
    <row r="39375" spans="26:26" x14ac:dyDescent="0.2">
      <c r="Z39375" t="str">
        <f t="shared" si="615"/>
        <v/>
      </c>
    </row>
    <row r="39376" spans="26:26" x14ac:dyDescent="0.2">
      <c r="Z39376" t="str">
        <f t="shared" si="615"/>
        <v/>
      </c>
    </row>
    <row r="39377" spans="26:26" x14ac:dyDescent="0.2">
      <c r="Z39377" t="str">
        <f t="shared" si="615"/>
        <v/>
      </c>
    </row>
    <row r="39378" spans="26:26" x14ac:dyDescent="0.2">
      <c r="Z39378" t="str">
        <f t="shared" si="615"/>
        <v/>
      </c>
    </row>
    <row r="39379" spans="26:26" x14ac:dyDescent="0.2">
      <c r="Z39379" t="str">
        <f t="shared" si="615"/>
        <v/>
      </c>
    </row>
    <row r="39380" spans="26:26" x14ac:dyDescent="0.2">
      <c r="Z39380" t="str">
        <f t="shared" si="615"/>
        <v/>
      </c>
    </row>
    <row r="39381" spans="26:26" x14ac:dyDescent="0.2">
      <c r="Z39381" t="str">
        <f t="shared" si="615"/>
        <v/>
      </c>
    </row>
    <row r="39382" spans="26:26" x14ac:dyDescent="0.2">
      <c r="Z39382" t="str">
        <f t="shared" si="615"/>
        <v/>
      </c>
    </row>
    <row r="39383" spans="26:26" x14ac:dyDescent="0.2">
      <c r="Z39383" t="str">
        <f t="shared" si="615"/>
        <v/>
      </c>
    </row>
    <row r="39384" spans="26:26" x14ac:dyDescent="0.2">
      <c r="Z39384" t="str">
        <f t="shared" si="615"/>
        <v/>
      </c>
    </row>
    <row r="39385" spans="26:26" x14ac:dyDescent="0.2">
      <c r="Z39385" t="str">
        <f t="shared" si="615"/>
        <v/>
      </c>
    </row>
    <row r="39386" spans="26:26" x14ac:dyDescent="0.2">
      <c r="Z39386" t="str">
        <f t="shared" si="615"/>
        <v/>
      </c>
    </row>
    <row r="39387" spans="26:26" x14ac:dyDescent="0.2">
      <c r="Z39387" t="str">
        <f t="shared" si="615"/>
        <v/>
      </c>
    </row>
    <row r="39388" spans="26:26" x14ac:dyDescent="0.2">
      <c r="Z39388" t="str">
        <f t="shared" si="615"/>
        <v/>
      </c>
    </row>
    <row r="39389" spans="26:26" x14ac:dyDescent="0.2">
      <c r="Z39389" t="str">
        <f t="shared" si="615"/>
        <v/>
      </c>
    </row>
    <row r="39390" spans="26:26" x14ac:dyDescent="0.2">
      <c r="Z39390" t="str">
        <f t="shared" si="615"/>
        <v/>
      </c>
    </row>
    <row r="39391" spans="26:26" x14ac:dyDescent="0.2">
      <c r="Z39391" t="str">
        <f t="shared" si="615"/>
        <v/>
      </c>
    </row>
    <row r="39392" spans="26:26" x14ac:dyDescent="0.2">
      <c r="Z39392" t="str">
        <f t="shared" si="615"/>
        <v/>
      </c>
    </row>
    <row r="39393" spans="26:26" x14ac:dyDescent="0.2">
      <c r="Z39393" t="str">
        <f t="shared" si="615"/>
        <v/>
      </c>
    </row>
    <row r="39394" spans="26:26" x14ac:dyDescent="0.2">
      <c r="Z39394" t="str">
        <f t="shared" si="615"/>
        <v/>
      </c>
    </row>
    <row r="39395" spans="26:26" x14ac:dyDescent="0.2">
      <c r="Z39395" t="str">
        <f t="shared" si="615"/>
        <v/>
      </c>
    </row>
    <row r="39396" spans="26:26" x14ac:dyDescent="0.2">
      <c r="Z39396" t="str">
        <f t="shared" si="615"/>
        <v/>
      </c>
    </row>
    <row r="39397" spans="26:26" x14ac:dyDescent="0.2">
      <c r="Z39397" t="str">
        <f t="shared" si="615"/>
        <v/>
      </c>
    </row>
    <row r="39398" spans="26:26" x14ac:dyDescent="0.2">
      <c r="Z39398" t="str">
        <f t="shared" si="615"/>
        <v/>
      </c>
    </row>
    <row r="39399" spans="26:26" x14ac:dyDescent="0.2">
      <c r="Z39399" t="str">
        <f t="shared" si="615"/>
        <v/>
      </c>
    </row>
    <row r="39400" spans="26:26" x14ac:dyDescent="0.2">
      <c r="Z39400" t="str">
        <f t="shared" si="615"/>
        <v/>
      </c>
    </row>
    <row r="39401" spans="26:26" x14ac:dyDescent="0.2">
      <c r="Z39401" t="str">
        <f t="shared" si="615"/>
        <v/>
      </c>
    </row>
    <row r="39402" spans="26:26" x14ac:dyDescent="0.2">
      <c r="Z39402" t="str">
        <f t="shared" si="615"/>
        <v/>
      </c>
    </row>
    <row r="39403" spans="26:26" x14ac:dyDescent="0.2">
      <c r="Z39403" t="str">
        <f t="shared" si="615"/>
        <v/>
      </c>
    </row>
    <row r="39404" spans="26:26" x14ac:dyDescent="0.2">
      <c r="Z39404" t="str">
        <f t="shared" si="615"/>
        <v/>
      </c>
    </row>
    <row r="39405" spans="26:26" x14ac:dyDescent="0.2">
      <c r="Z39405" t="str">
        <f t="shared" si="615"/>
        <v/>
      </c>
    </row>
    <row r="39406" spans="26:26" x14ac:dyDescent="0.2">
      <c r="Z39406" t="str">
        <f t="shared" si="615"/>
        <v/>
      </c>
    </row>
    <row r="39407" spans="26:26" x14ac:dyDescent="0.2">
      <c r="Z39407" t="str">
        <f t="shared" si="615"/>
        <v/>
      </c>
    </row>
    <row r="39408" spans="26:26" x14ac:dyDescent="0.2">
      <c r="Z39408" t="str">
        <f t="shared" si="615"/>
        <v/>
      </c>
    </row>
    <row r="39409" spans="26:26" x14ac:dyDescent="0.2">
      <c r="Z39409" t="str">
        <f t="shared" si="615"/>
        <v/>
      </c>
    </row>
    <row r="39410" spans="26:26" x14ac:dyDescent="0.2">
      <c r="Z39410" t="str">
        <f t="shared" si="615"/>
        <v/>
      </c>
    </row>
    <row r="39411" spans="26:26" x14ac:dyDescent="0.2">
      <c r="Z39411" t="str">
        <f t="shared" si="615"/>
        <v/>
      </c>
    </row>
    <row r="39412" spans="26:26" x14ac:dyDescent="0.2">
      <c r="Z39412" t="str">
        <f t="shared" si="615"/>
        <v/>
      </c>
    </row>
    <row r="39413" spans="26:26" x14ac:dyDescent="0.2">
      <c r="Z39413" t="str">
        <f t="shared" si="615"/>
        <v/>
      </c>
    </row>
    <row r="39414" spans="26:26" x14ac:dyDescent="0.2">
      <c r="Z39414" t="str">
        <f t="shared" si="615"/>
        <v/>
      </c>
    </row>
    <row r="39415" spans="26:26" x14ac:dyDescent="0.2">
      <c r="Z39415" t="str">
        <f t="shared" si="615"/>
        <v/>
      </c>
    </row>
    <row r="39416" spans="26:26" x14ac:dyDescent="0.2">
      <c r="Z39416" t="str">
        <f t="shared" si="615"/>
        <v/>
      </c>
    </row>
    <row r="39417" spans="26:26" x14ac:dyDescent="0.2">
      <c r="Z39417" t="str">
        <f t="shared" si="615"/>
        <v/>
      </c>
    </row>
    <row r="39418" spans="26:26" x14ac:dyDescent="0.2">
      <c r="Z39418" t="str">
        <f t="shared" si="615"/>
        <v/>
      </c>
    </row>
    <row r="39419" spans="26:26" x14ac:dyDescent="0.2">
      <c r="Z39419" t="str">
        <f t="shared" si="615"/>
        <v/>
      </c>
    </row>
    <row r="39420" spans="26:26" x14ac:dyDescent="0.2">
      <c r="Z39420" t="str">
        <f t="shared" si="615"/>
        <v/>
      </c>
    </row>
    <row r="39421" spans="26:26" x14ac:dyDescent="0.2">
      <c r="Z39421" t="str">
        <f t="shared" si="615"/>
        <v/>
      </c>
    </row>
    <row r="39422" spans="26:26" x14ac:dyDescent="0.2">
      <c r="Z39422" t="str">
        <f t="shared" si="615"/>
        <v/>
      </c>
    </row>
    <row r="39423" spans="26:26" x14ac:dyDescent="0.2">
      <c r="Z39423" t="str">
        <f t="shared" si="615"/>
        <v/>
      </c>
    </row>
    <row r="39424" spans="26:26" x14ac:dyDescent="0.2">
      <c r="Z39424" t="str">
        <f t="shared" si="615"/>
        <v/>
      </c>
    </row>
    <row r="39425" spans="26:26" x14ac:dyDescent="0.2">
      <c r="Z39425" t="str">
        <f t="shared" si="615"/>
        <v/>
      </c>
    </row>
    <row r="39426" spans="26:26" x14ac:dyDescent="0.2">
      <c r="Z39426" t="str">
        <f t="shared" si="615"/>
        <v/>
      </c>
    </row>
    <row r="39427" spans="26:26" x14ac:dyDescent="0.2">
      <c r="Z39427" t="str">
        <f t="shared" ref="Z39427:Z39490" si="616">IF(K39427="","",IFERROR(VALUE(TRIM(MID(K39427,FIND(CHAR(167),SUBSTITUTE(K39427,"-",CHAR(167),LEN(K39427)-LEN(SUBSTITUTE(K39427,"-",""))))+1,100))),K39427))</f>
        <v/>
      </c>
    </row>
    <row r="39428" spans="26:26" x14ac:dyDescent="0.2">
      <c r="Z39428" t="str">
        <f t="shared" si="616"/>
        <v/>
      </c>
    </row>
    <row r="39429" spans="26:26" x14ac:dyDescent="0.2">
      <c r="Z39429" t="str">
        <f t="shared" si="616"/>
        <v/>
      </c>
    </row>
    <row r="39430" spans="26:26" x14ac:dyDescent="0.2">
      <c r="Z39430" t="str">
        <f t="shared" si="616"/>
        <v/>
      </c>
    </row>
    <row r="39431" spans="26:26" x14ac:dyDescent="0.2">
      <c r="Z39431" t="str">
        <f t="shared" si="616"/>
        <v/>
      </c>
    </row>
    <row r="39432" spans="26:26" x14ac:dyDescent="0.2">
      <c r="Z39432" t="str">
        <f t="shared" si="616"/>
        <v/>
      </c>
    </row>
    <row r="39433" spans="26:26" x14ac:dyDescent="0.2">
      <c r="Z39433" t="str">
        <f t="shared" si="616"/>
        <v/>
      </c>
    </row>
    <row r="39434" spans="26:26" x14ac:dyDescent="0.2">
      <c r="Z39434" t="str">
        <f t="shared" si="616"/>
        <v/>
      </c>
    </row>
    <row r="39435" spans="26:26" x14ac:dyDescent="0.2">
      <c r="Z39435" t="str">
        <f t="shared" si="616"/>
        <v/>
      </c>
    </row>
    <row r="39436" spans="26:26" x14ac:dyDescent="0.2">
      <c r="Z39436" t="str">
        <f t="shared" si="616"/>
        <v/>
      </c>
    </row>
    <row r="39437" spans="26:26" x14ac:dyDescent="0.2">
      <c r="Z39437" t="str">
        <f t="shared" si="616"/>
        <v/>
      </c>
    </row>
    <row r="39438" spans="26:26" x14ac:dyDescent="0.2">
      <c r="Z39438" t="str">
        <f t="shared" si="616"/>
        <v/>
      </c>
    </row>
    <row r="39439" spans="26:26" x14ac:dyDescent="0.2">
      <c r="Z39439" t="str">
        <f t="shared" si="616"/>
        <v/>
      </c>
    </row>
    <row r="39440" spans="26:26" x14ac:dyDescent="0.2">
      <c r="Z39440" t="str">
        <f t="shared" si="616"/>
        <v/>
      </c>
    </row>
    <row r="39441" spans="26:26" x14ac:dyDescent="0.2">
      <c r="Z39441" t="str">
        <f t="shared" si="616"/>
        <v/>
      </c>
    </row>
    <row r="39442" spans="26:26" x14ac:dyDescent="0.2">
      <c r="Z39442" t="str">
        <f t="shared" si="616"/>
        <v/>
      </c>
    </row>
    <row r="39443" spans="26:26" x14ac:dyDescent="0.2">
      <c r="Z39443" t="str">
        <f t="shared" si="616"/>
        <v/>
      </c>
    </row>
    <row r="39444" spans="26:26" x14ac:dyDescent="0.2">
      <c r="Z39444" t="str">
        <f t="shared" si="616"/>
        <v/>
      </c>
    </row>
    <row r="39445" spans="26:26" x14ac:dyDescent="0.2">
      <c r="Z39445" t="str">
        <f t="shared" si="616"/>
        <v/>
      </c>
    </row>
    <row r="39446" spans="26:26" x14ac:dyDescent="0.2">
      <c r="Z39446" t="str">
        <f t="shared" si="616"/>
        <v/>
      </c>
    </row>
    <row r="39447" spans="26:26" x14ac:dyDescent="0.2">
      <c r="Z39447" t="str">
        <f t="shared" si="616"/>
        <v/>
      </c>
    </row>
    <row r="39448" spans="26:26" x14ac:dyDescent="0.2">
      <c r="Z39448" t="str">
        <f t="shared" si="616"/>
        <v/>
      </c>
    </row>
    <row r="39449" spans="26:26" x14ac:dyDescent="0.2">
      <c r="Z39449" t="str">
        <f t="shared" si="616"/>
        <v/>
      </c>
    </row>
    <row r="39450" spans="26:26" x14ac:dyDescent="0.2">
      <c r="Z39450" t="str">
        <f t="shared" si="616"/>
        <v/>
      </c>
    </row>
    <row r="39451" spans="26:26" x14ac:dyDescent="0.2">
      <c r="Z39451" t="str">
        <f t="shared" si="616"/>
        <v/>
      </c>
    </row>
    <row r="39452" spans="26:26" x14ac:dyDescent="0.2">
      <c r="Z39452" t="str">
        <f t="shared" si="616"/>
        <v/>
      </c>
    </row>
    <row r="39453" spans="26:26" x14ac:dyDescent="0.2">
      <c r="Z39453" t="str">
        <f t="shared" si="616"/>
        <v/>
      </c>
    </row>
    <row r="39454" spans="26:26" x14ac:dyDescent="0.2">
      <c r="Z39454" t="str">
        <f t="shared" si="616"/>
        <v/>
      </c>
    </row>
    <row r="39455" spans="26:26" x14ac:dyDescent="0.2">
      <c r="Z39455" t="str">
        <f t="shared" si="616"/>
        <v/>
      </c>
    </row>
    <row r="39456" spans="26:26" x14ac:dyDescent="0.2">
      <c r="Z39456" t="str">
        <f t="shared" si="616"/>
        <v/>
      </c>
    </row>
    <row r="39457" spans="26:26" x14ac:dyDescent="0.2">
      <c r="Z39457" t="str">
        <f t="shared" si="616"/>
        <v/>
      </c>
    </row>
    <row r="39458" spans="26:26" x14ac:dyDescent="0.2">
      <c r="Z39458" t="str">
        <f t="shared" si="616"/>
        <v/>
      </c>
    </row>
    <row r="39459" spans="26:26" x14ac:dyDescent="0.2">
      <c r="Z39459" t="str">
        <f t="shared" si="616"/>
        <v/>
      </c>
    </row>
    <row r="39460" spans="26:26" x14ac:dyDescent="0.2">
      <c r="Z39460" t="str">
        <f t="shared" si="616"/>
        <v/>
      </c>
    </row>
    <row r="39461" spans="26:26" x14ac:dyDescent="0.2">
      <c r="Z39461" t="str">
        <f t="shared" si="616"/>
        <v/>
      </c>
    </row>
    <row r="39462" spans="26:26" x14ac:dyDescent="0.2">
      <c r="Z39462" t="str">
        <f t="shared" si="616"/>
        <v/>
      </c>
    </row>
    <row r="39463" spans="26:26" x14ac:dyDescent="0.2">
      <c r="Z39463" t="str">
        <f t="shared" si="616"/>
        <v/>
      </c>
    </row>
    <row r="39464" spans="26:26" x14ac:dyDescent="0.2">
      <c r="Z39464" t="str">
        <f t="shared" si="616"/>
        <v/>
      </c>
    </row>
    <row r="39465" spans="26:26" x14ac:dyDescent="0.2">
      <c r="Z39465" t="str">
        <f t="shared" si="616"/>
        <v/>
      </c>
    </row>
    <row r="39466" spans="26:26" x14ac:dyDescent="0.2">
      <c r="Z39466" t="str">
        <f t="shared" si="616"/>
        <v/>
      </c>
    </row>
    <row r="39467" spans="26:26" x14ac:dyDescent="0.2">
      <c r="Z39467" t="str">
        <f t="shared" si="616"/>
        <v/>
      </c>
    </row>
    <row r="39468" spans="26:26" x14ac:dyDescent="0.2">
      <c r="Z39468" t="str">
        <f t="shared" si="616"/>
        <v/>
      </c>
    </row>
    <row r="39469" spans="26:26" x14ac:dyDescent="0.2">
      <c r="Z39469" t="str">
        <f t="shared" si="616"/>
        <v/>
      </c>
    </row>
    <row r="39470" spans="26:26" x14ac:dyDescent="0.2">
      <c r="Z39470" t="str">
        <f t="shared" si="616"/>
        <v/>
      </c>
    </row>
    <row r="39471" spans="26:26" x14ac:dyDescent="0.2">
      <c r="Z39471" t="str">
        <f t="shared" si="616"/>
        <v/>
      </c>
    </row>
    <row r="39472" spans="26:26" x14ac:dyDescent="0.2">
      <c r="Z39472" t="str">
        <f t="shared" si="616"/>
        <v/>
      </c>
    </row>
    <row r="39473" spans="26:26" x14ac:dyDescent="0.2">
      <c r="Z39473" t="str">
        <f t="shared" si="616"/>
        <v/>
      </c>
    </row>
    <row r="39474" spans="26:26" x14ac:dyDescent="0.2">
      <c r="Z39474" t="str">
        <f t="shared" si="616"/>
        <v/>
      </c>
    </row>
    <row r="39475" spans="26:26" x14ac:dyDescent="0.2">
      <c r="Z39475" t="str">
        <f t="shared" si="616"/>
        <v/>
      </c>
    </row>
    <row r="39476" spans="26:26" x14ac:dyDescent="0.2">
      <c r="Z39476" t="str">
        <f t="shared" si="616"/>
        <v/>
      </c>
    </row>
    <row r="39477" spans="26:26" x14ac:dyDescent="0.2">
      <c r="Z39477" t="str">
        <f t="shared" si="616"/>
        <v/>
      </c>
    </row>
    <row r="39478" spans="26:26" x14ac:dyDescent="0.2">
      <c r="Z39478" t="str">
        <f t="shared" si="616"/>
        <v/>
      </c>
    </row>
    <row r="39479" spans="26:26" x14ac:dyDescent="0.2">
      <c r="Z39479" t="str">
        <f t="shared" si="616"/>
        <v/>
      </c>
    </row>
    <row r="39480" spans="26:26" x14ac:dyDescent="0.2">
      <c r="Z39480" t="str">
        <f t="shared" si="616"/>
        <v/>
      </c>
    </row>
    <row r="39481" spans="26:26" x14ac:dyDescent="0.2">
      <c r="Z39481" t="str">
        <f t="shared" si="616"/>
        <v/>
      </c>
    </row>
    <row r="39482" spans="26:26" x14ac:dyDescent="0.2">
      <c r="Z39482" t="str">
        <f t="shared" si="616"/>
        <v/>
      </c>
    </row>
    <row r="39483" spans="26:26" x14ac:dyDescent="0.2">
      <c r="Z39483" t="str">
        <f t="shared" si="616"/>
        <v/>
      </c>
    </row>
    <row r="39484" spans="26:26" x14ac:dyDescent="0.2">
      <c r="Z39484" t="str">
        <f t="shared" si="616"/>
        <v/>
      </c>
    </row>
    <row r="39485" spans="26:26" x14ac:dyDescent="0.2">
      <c r="Z39485" t="str">
        <f t="shared" si="616"/>
        <v/>
      </c>
    </row>
    <row r="39486" spans="26:26" x14ac:dyDescent="0.2">
      <c r="Z39486" t="str">
        <f t="shared" si="616"/>
        <v/>
      </c>
    </row>
    <row r="39487" spans="26:26" x14ac:dyDescent="0.2">
      <c r="Z39487" t="str">
        <f t="shared" si="616"/>
        <v/>
      </c>
    </row>
    <row r="39488" spans="26:26" x14ac:dyDescent="0.2">
      <c r="Z39488" t="str">
        <f t="shared" si="616"/>
        <v/>
      </c>
    </row>
    <row r="39489" spans="26:26" x14ac:dyDescent="0.2">
      <c r="Z39489" t="str">
        <f t="shared" si="616"/>
        <v/>
      </c>
    </row>
    <row r="39490" spans="26:26" x14ac:dyDescent="0.2">
      <c r="Z39490" t="str">
        <f t="shared" si="616"/>
        <v/>
      </c>
    </row>
    <row r="39491" spans="26:26" x14ac:dyDescent="0.2">
      <c r="Z39491" t="str">
        <f t="shared" ref="Z39491:Z39554" si="617">IF(K39491="","",IFERROR(VALUE(TRIM(MID(K39491,FIND(CHAR(167),SUBSTITUTE(K39491,"-",CHAR(167),LEN(K39491)-LEN(SUBSTITUTE(K39491,"-",""))))+1,100))),K39491))</f>
        <v/>
      </c>
    </row>
    <row r="39492" spans="26:26" x14ac:dyDescent="0.2">
      <c r="Z39492" t="str">
        <f t="shared" si="617"/>
        <v/>
      </c>
    </row>
    <row r="39493" spans="26:26" x14ac:dyDescent="0.2">
      <c r="Z39493" t="str">
        <f t="shared" si="617"/>
        <v/>
      </c>
    </row>
    <row r="39494" spans="26:26" x14ac:dyDescent="0.2">
      <c r="Z39494" t="str">
        <f t="shared" si="617"/>
        <v/>
      </c>
    </row>
    <row r="39495" spans="26:26" x14ac:dyDescent="0.2">
      <c r="Z39495" t="str">
        <f t="shared" si="617"/>
        <v/>
      </c>
    </row>
    <row r="39496" spans="26:26" x14ac:dyDescent="0.2">
      <c r="Z39496" t="str">
        <f t="shared" si="617"/>
        <v/>
      </c>
    </row>
    <row r="39497" spans="26:26" x14ac:dyDescent="0.2">
      <c r="Z39497" t="str">
        <f t="shared" si="617"/>
        <v/>
      </c>
    </row>
    <row r="39498" spans="26:26" x14ac:dyDescent="0.2">
      <c r="Z39498" t="str">
        <f t="shared" si="617"/>
        <v/>
      </c>
    </row>
    <row r="39499" spans="26:26" x14ac:dyDescent="0.2">
      <c r="Z39499" t="str">
        <f t="shared" si="617"/>
        <v/>
      </c>
    </row>
    <row r="39500" spans="26:26" x14ac:dyDescent="0.2">
      <c r="Z39500" t="str">
        <f t="shared" si="617"/>
        <v/>
      </c>
    </row>
    <row r="39501" spans="26:26" x14ac:dyDescent="0.2">
      <c r="Z39501" t="str">
        <f t="shared" si="617"/>
        <v/>
      </c>
    </row>
    <row r="39502" spans="26:26" x14ac:dyDescent="0.2">
      <c r="Z39502" t="str">
        <f t="shared" si="617"/>
        <v/>
      </c>
    </row>
    <row r="39503" spans="26:26" x14ac:dyDescent="0.2">
      <c r="Z39503" t="str">
        <f t="shared" si="617"/>
        <v/>
      </c>
    </row>
    <row r="39504" spans="26:26" x14ac:dyDescent="0.2">
      <c r="Z39504" t="str">
        <f t="shared" si="617"/>
        <v/>
      </c>
    </row>
    <row r="39505" spans="26:26" x14ac:dyDescent="0.2">
      <c r="Z39505" t="str">
        <f t="shared" si="617"/>
        <v/>
      </c>
    </row>
    <row r="39506" spans="26:26" x14ac:dyDescent="0.2">
      <c r="Z39506" t="str">
        <f t="shared" si="617"/>
        <v/>
      </c>
    </row>
    <row r="39507" spans="26:26" x14ac:dyDescent="0.2">
      <c r="Z39507" t="str">
        <f t="shared" si="617"/>
        <v/>
      </c>
    </row>
    <row r="39508" spans="26:26" x14ac:dyDescent="0.2">
      <c r="Z39508" t="str">
        <f t="shared" si="617"/>
        <v/>
      </c>
    </row>
    <row r="39509" spans="26:26" x14ac:dyDescent="0.2">
      <c r="Z39509" t="str">
        <f t="shared" si="617"/>
        <v/>
      </c>
    </row>
    <row r="39510" spans="26:26" x14ac:dyDescent="0.2">
      <c r="Z39510" t="str">
        <f t="shared" si="617"/>
        <v/>
      </c>
    </row>
    <row r="39511" spans="26:26" x14ac:dyDescent="0.2">
      <c r="Z39511" t="str">
        <f t="shared" si="617"/>
        <v/>
      </c>
    </row>
    <row r="39512" spans="26:26" x14ac:dyDescent="0.2">
      <c r="Z39512" t="str">
        <f t="shared" si="617"/>
        <v/>
      </c>
    </row>
    <row r="39513" spans="26:26" x14ac:dyDescent="0.2">
      <c r="Z39513" t="str">
        <f t="shared" si="617"/>
        <v/>
      </c>
    </row>
    <row r="39514" spans="26:26" x14ac:dyDescent="0.2">
      <c r="Z39514" t="str">
        <f t="shared" si="617"/>
        <v/>
      </c>
    </row>
    <row r="39515" spans="26:26" x14ac:dyDescent="0.2">
      <c r="Z39515" t="str">
        <f t="shared" si="617"/>
        <v/>
      </c>
    </row>
    <row r="39516" spans="26:26" x14ac:dyDescent="0.2">
      <c r="Z39516" t="str">
        <f t="shared" si="617"/>
        <v/>
      </c>
    </row>
    <row r="39517" spans="26:26" x14ac:dyDescent="0.2">
      <c r="Z39517" t="str">
        <f t="shared" si="617"/>
        <v/>
      </c>
    </row>
    <row r="39518" spans="26:26" x14ac:dyDescent="0.2">
      <c r="Z39518" t="str">
        <f t="shared" si="617"/>
        <v/>
      </c>
    </row>
    <row r="39519" spans="26:26" x14ac:dyDescent="0.2">
      <c r="Z39519" t="str">
        <f t="shared" si="617"/>
        <v/>
      </c>
    </row>
    <row r="39520" spans="26:26" x14ac:dyDescent="0.2">
      <c r="Z39520" t="str">
        <f t="shared" si="617"/>
        <v/>
      </c>
    </row>
    <row r="39521" spans="26:26" x14ac:dyDescent="0.2">
      <c r="Z39521" t="str">
        <f t="shared" si="617"/>
        <v/>
      </c>
    </row>
    <row r="39522" spans="26:26" x14ac:dyDescent="0.2">
      <c r="Z39522" t="str">
        <f t="shared" si="617"/>
        <v/>
      </c>
    </row>
    <row r="39523" spans="26:26" x14ac:dyDescent="0.2">
      <c r="Z39523" t="str">
        <f t="shared" si="617"/>
        <v/>
      </c>
    </row>
    <row r="39524" spans="26:26" x14ac:dyDescent="0.2">
      <c r="Z39524" t="str">
        <f t="shared" si="617"/>
        <v/>
      </c>
    </row>
    <row r="39525" spans="26:26" x14ac:dyDescent="0.2">
      <c r="Z39525" t="str">
        <f t="shared" si="617"/>
        <v/>
      </c>
    </row>
    <row r="39526" spans="26:26" x14ac:dyDescent="0.2">
      <c r="Z39526" t="str">
        <f t="shared" si="617"/>
        <v/>
      </c>
    </row>
    <row r="39527" spans="26:26" x14ac:dyDescent="0.2">
      <c r="Z39527" t="str">
        <f t="shared" si="617"/>
        <v/>
      </c>
    </row>
    <row r="39528" spans="26:26" x14ac:dyDescent="0.2">
      <c r="Z39528" t="str">
        <f t="shared" si="617"/>
        <v/>
      </c>
    </row>
    <row r="39529" spans="26:26" x14ac:dyDescent="0.2">
      <c r="Z39529" t="str">
        <f t="shared" si="617"/>
        <v/>
      </c>
    </row>
    <row r="39530" spans="26:26" x14ac:dyDescent="0.2">
      <c r="Z39530" t="str">
        <f t="shared" si="617"/>
        <v/>
      </c>
    </row>
    <row r="39531" spans="26:26" x14ac:dyDescent="0.2">
      <c r="Z39531" t="str">
        <f t="shared" si="617"/>
        <v/>
      </c>
    </row>
    <row r="39532" spans="26:26" x14ac:dyDescent="0.2">
      <c r="Z39532" t="str">
        <f t="shared" si="617"/>
        <v/>
      </c>
    </row>
    <row r="39533" spans="26:26" x14ac:dyDescent="0.2">
      <c r="Z39533" t="str">
        <f t="shared" si="617"/>
        <v/>
      </c>
    </row>
    <row r="39534" spans="26:26" x14ac:dyDescent="0.2">
      <c r="Z39534" t="str">
        <f t="shared" si="617"/>
        <v/>
      </c>
    </row>
    <row r="39535" spans="26:26" x14ac:dyDescent="0.2">
      <c r="Z39535" t="str">
        <f t="shared" si="617"/>
        <v/>
      </c>
    </row>
    <row r="39536" spans="26:26" x14ac:dyDescent="0.2">
      <c r="Z39536" t="str">
        <f t="shared" si="617"/>
        <v/>
      </c>
    </row>
    <row r="39537" spans="26:26" x14ac:dyDescent="0.2">
      <c r="Z39537" t="str">
        <f t="shared" si="617"/>
        <v/>
      </c>
    </row>
    <row r="39538" spans="26:26" x14ac:dyDescent="0.2">
      <c r="Z39538" t="str">
        <f t="shared" si="617"/>
        <v/>
      </c>
    </row>
    <row r="39539" spans="26:26" x14ac:dyDescent="0.2">
      <c r="Z39539" t="str">
        <f t="shared" si="617"/>
        <v/>
      </c>
    </row>
    <row r="39540" spans="26:26" x14ac:dyDescent="0.2">
      <c r="Z39540" t="str">
        <f t="shared" si="617"/>
        <v/>
      </c>
    </row>
    <row r="39541" spans="26:26" x14ac:dyDescent="0.2">
      <c r="Z39541" t="str">
        <f t="shared" si="617"/>
        <v/>
      </c>
    </row>
    <row r="39542" spans="26:26" x14ac:dyDescent="0.2">
      <c r="Z39542" t="str">
        <f t="shared" si="617"/>
        <v/>
      </c>
    </row>
    <row r="39543" spans="26:26" x14ac:dyDescent="0.2">
      <c r="Z39543" t="str">
        <f t="shared" si="617"/>
        <v/>
      </c>
    </row>
    <row r="39544" spans="26:26" x14ac:dyDescent="0.2">
      <c r="Z39544" t="str">
        <f t="shared" si="617"/>
        <v/>
      </c>
    </row>
    <row r="39545" spans="26:26" x14ac:dyDescent="0.2">
      <c r="Z39545" t="str">
        <f t="shared" si="617"/>
        <v/>
      </c>
    </row>
    <row r="39546" spans="26:26" x14ac:dyDescent="0.2">
      <c r="Z39546" t="str">
        <f t="shared" si="617"/>
        <v/>
      </c>
    </row>
    <row r="39547" spans="26:26" x14ac:dyDescent="0.2">
      <c r="Z39547" t="str">
        <f t="shared" si="617"/>
        <v/>
      </c>
    </row>
    <row r="39548" spans="26:26" x14ac:dyDescent="0.2">
      <c r="Z39548" t="str">
        <f t="shared" si="617"/>
        <v/>
      </c>
    </row>
    <row r="39549" spans="26:26" x14ac:dyDescent="0.2">
      <c r="Z39549" t="str">
        <f t="shared" si="617"/>
        <v/>
      </c>
    </row>
    <row r="39550" spans="26:26" x14ac:dyDescent="0.2">
      <c r="Z39550" t="str">
        <f t="shared" si="617"/>
        <v/>
      </c>
    </row>
    <row r="39551" spans="26:26" x14ac:dyDescent="0.2">
      <c r="Z39551" t="str">
        <f t="shared" si="617"/>
        <v/>
      </c>
    </row>
    <row r="39552" spans="26:26" x14ac:dyDescent="0.2">
      <c r="Z39552" t="str">
        <f t="shared" si="617"/>
        <v/>
      </c>
    </row>
    <row r="39553" spans="26:26" x14ac:dyDescent="0.2">
      <c r="Z39553" t="str">
        <f t="shared" si="617"/>
        <v/>
      </c>
    </row>
    <row r="39554" spans="26:26" x14ac:dyDescent="0.2">
      <c r="Z39554" t="str">
        <f t="shared" si="617"/>
        <v/>
      </c>
    </row>
    <row r="39555" spans="26:26" x14ac:dyDescent="0.2">
      <c r="Z39555" t="str">
        <f t="shared" ref="Z39555:Z39618" si="618">IF(K39555="","",IFERROR(VALUE(TRIM(MID(K39555,FIND(CHAR(167),SUBSTITUTE(K39555,"-",CHAR(167),LEN(K39555)-LEN(SUBSTITUTE(K39555,"-",""))))+1,100))),K39555))</f>
        <v/>
      </c>
    </row>
    <row r="39556" spans="26:26" x14ac:dyDescent="0.2">
      <c r="Z39556" t="str">
        <f t="shared" si="618"/>
        <v/>
      </c>
    </row>
    <row r="39557" spans="26:26" x14ac:dyDescent="0.2">
      <c r="Z39557" t="str">
        <f t="shared" si="618"/>
        <v/>
      </c>
    </row>
    <row r="39558" spans="26:26" x14ac:dyDescent="0.2">
      <c r="Z39558" t="str">
        <f t="shared" si="618"/>
        <v/>
      </c>
    </row>
    <row r="39559" spans="26:26" x14ac:dyDescent="0.2">
      <c r="Z39559" t="str">
        <f t="shared" si="618"/>
        <v/>
      </c>
    </row>
    <row r="39560" spans="26:26" x14ac:dyDescent="0.2">
      <c r="Z39560" t="str">
        <f t="shared" si="618"/>
        <v/>
      </c>
    </row>
    <row r="39561" spans="26:26" x14ac:dyDescent="0.2">
      <c r="Z39561" t="str">
        <f t="shared" si="618"/>
        <v/>
      </c>
    </row>
    <row r="39562" spans="26:26" x14ac:dyDescent="0.2">
      <c r="Z39562" t="str">
        <f t="shared" si="618"/>
        <v/>
      </c>
    </row>
    <row r="39563" spans="26:26" x14ac:dyDescent="0.2">
      <c r="Z39563" t="str">
        <f t="shared" si="618"/>
        <v/>
      </c>
    </row>
    <row r="39564" spans="26:26" x14ac:dyDescent="0.2">
      <c r="Z39564" t="str">
        <f t="shared" si="618"/>
        <v/>
      </c>
    </row>
    <row r="39565" spans="26:26" x14ac:dyDescent="0.2">
      <c r="Z39565" t="str">
        <f t="shared" si="618"/>
        <v/>
      </c>
    </row>
    <row r="39566" spans="26:26" x14ac:dyDescent="0.2">
      <c r="Z39566" t="str">
        <f t="shared" si="618"/>
        <v/>
      </c>
    </row>
    <row r="39567" spans="26:26" x14ac:dyDescent="0.2">
      <c r="Z39567" t="str">
        <f t="shared" si="618"/>
        <v/>
      </c>
    </row>
    <row r="39568" spans="26:26" x14ac:dyDescent="0.2">
      <c r="Z39568" t="str">
        <f t="shared" si="618"/>
        <v/>
      </c>
    </row>
    <row r="39569" spans="26:26" x14ac:dyDescent="0.2">
      <c r="Z39569" t="str">
        <f t="shared" si="618"/>
        <v/>
      </c>
    </row>
    <row r="39570" spans="26:26" x14ac:dyDescent="0.2">
      <c r="Z39570" t="str">
        <f t="shared" si="618"/>
        <v/>
      </c>
    </row>
    <row r="39571" spans="26:26" x14ac:dyDescent="0.2">
      <c r="Z39571" t="str">
        <f t="shared" si="618"/>
        <v/>
      </c>
    </row>
    <row r="39572" spans="26:26" x14ac:dyDescent="0.2">
      <c r="Z39572" t="str">
        <f t="shared" si="618"/>
        <v/>
      </c>
    </row>
    <row r="39573" spans="26:26" x14ac:dyDescent="0.2">
      <c r="Z39573" t="str">
        <f t="shared" si="618"/>
        <v/>
      </c>
    </row>
    <row r="39574" spans="26:26" x14ac:dyDescent="0.2">
      <c r="Z39574" t="str">
        <f t="shared" si="618"/>
        <v/>
      </c>
    </row>
    <row r="39575" spans="26:26" x14ac:dyDescent="0.2">
      <c r="Z39575" t="str">
        <f t="shared" si="618"/>
        <v/>
      </c>
    </row>
    <row r="39576" spans="26:26" x14ac:dyDescent="0.2">
      <c r="Z39576" t="str">
        <f t="shared" si="618"/>
        <v/>
      </c>
    </row>
    <row r="39577" spans="26:26" x14ac:dyDescent="0.2">
      <c r="Z39577" t="str">
        <f t="shared" si="618"/>
        <v/>
      </c>
    </row>
    <row r="39578" spans="26:26" x14ac:dyDescent="0.2">
      <c r="Z39578" t="str">
        <f t="shared" si="618"/>
        <v/>
      </c>
    </row>
    <row r="39579" spans="26:26" x14ac:dyDescent="0.2">
      <c r="Z39579" t="str">
        <f t="shared" si="618"/>
        <v/>
      </c>
    </row>
    <row r="39580" spans="26:26" x14ac:dyDescent="0.2">
      <c r="Z39580" t="str">
        <f t="shared" si="618"/>
        <v/>
      </c>
    </row>
    <row r="39581" spans="26:26" x14ac:dyDescent="0.2">
      <c r="Z39581" t="str">
        <f t="shared" si="618"/>
        <v/>
      </c>
    </row>
    <row r="39582" spans="26:26" x14ac:dyDescent="0.2">
      <c r="Z39582" t="str">
        <f t="shared" si="618"/>
        <v/>
      </c>
    </row>
    <row r="39583" spans="26:26" x14ac:dyDescent="0.2">
      <c r="Z39583" t="str">
        <f t="shared" si="618"/>
        <v/>
      </c>
    </row>
    <row r="39584" spans="26:26" x14ac:dyDescent="0.2">
      <c r="Z39584" t="str">
        <f t="shared" si="618"/>
        <v/>
      </c>
    </row>
    <row r="39585" spans="26:26" x14ac:dyDescent="0.2">
      <c r="Z39585" t="str">
        <f t="shared" si="618"/>
        <v/>
      </c>
    </row>
    <row r="39586" spans="26:26" x14ac:dyDescent="0.2">
      <c r="Z39586" t="str">
        <f t="shared" si="618"/>
        <v/>
      </c>
    </row>
    <row r="39587" spans="26:26" x14ac:dyDescent="0.2">
      <c r="Z39587" t="str">
        <f t="shared" si="618"/>
        <v/>
      </c>
    </row>
    <row r="39588" spans="26:26" x14ac:dyDescent="0.2">
      <c r="Z39588" t="str">
        <f t="shared" si="618"/>
        <v/>
      </c>
    </row>
    <row r="39589" spans="26:26" x14ac:dyDescent="0.2">
      <c r="Z39589" t="str">
        <f t="shared" si="618"/>
        <v/>
      </c>
    </row>
    <row r="39590" spans="26:26" x14ac:dyDescent="0.2">
      <c r="Z39590" t="str">
        <f t="shared" si="618"/>
        <v/>
      </c>
    </row>
    <row r="39591" spans="26:26" x14ac:dyDescent="0.2">
      <c r="Z39591" t="str">
        <f t="shared" si="618"/>
        <v/>
      </c>
    </row>
    <row r="39592" spans="26:26" x14ac:dyDescent="0.2">
      <c r="Z39592" t="str">
        <f t="shared" si="618"/>
        <v/>
      </c>
    </row>
    <row r="39593" spans="26:26" x14ac:dyDescent="0.2">
      <c r="Z39593" t="str">
        <f t="shared" si="618"/>
        <v/>
      </c>
    </row>
    <row r="39594" spans="26:26" x14ac:dyDescent="0.2">
      <c r="Z39594" t="str">
        <f t="shared" si="618"/>
        <v/>
      </c>
    </row>
    <row r="39595" spans="26:26" x14ac:dyDescent="0.2">
      <c r="Z39595" t="str">
        <f t="shared" si="618"/>
        <v/>
      </c>
    </row>
    <row r="39596" spans="26:26" x14ac:dyDescent="0.2">
      <c r="Z39596" t="str">
        <f t="shared" si="618"/>
        <v/>
      </c>
    </row>
    <row r="39597" spans="26:26" x14ac:dyDescent="0.2">
      <c r="Z39597" t="str">
        <f t="shared" si="618"/>
        <v/>
      </c>
    </row>
    <row r="39598" spans="26:26" x14ac:dyDescent="0.2">
      <c r="Z39598" t="str">
        <f t="shared" si="618"/>
        <v/>
      </c>
    </row>
    <row r="39599" spans="26:26" x14ac:dyDescent="0.2">
      <c r="Z39599" t="str">
        <f t="shared" si="618"/>
        <v/>
      </c>
    </row>
    <row r="39600" spans="26:26" x14ac:dyDescent="0.2">
      <c r="Z39600" t="str">
        <f t="shared" si="618"/>
        <v/>
      </c>
    </row>
    <row r="39601" spans="26:26" x14ac:dyDescent="0.2">
      <c r="Z39601" t="str">
        <f t="shared" si="618"/>
        <v/>
      </c>
    </row>
    <row r="39602" spans="26:26" x14ac:dyDescent="0.2">
      <c r="Z39602" t="str">
        <f t="shared" si="618"/>
        <v/>
      </c>
    </row>
    <row r="39603" spans="26:26" x14ac:dyDescent="0.2">
      <c r="Z39603" t="str">
        <f t="shared" si="618"/>
        <v/>
      </c>
    </row>
    <row r="39604" spans="26:26" x14ac:dyDescent="0.2">
      <c r="Z39604" t="str">
        <f t="shared" si="618"/>
        <v/>
      </c>
    </row>
    <row r="39605" spans="26:26" x14ac:dyDescent="0.2">
      <c r="Z39605" t="str">
        <f t="shared" si="618"/>
        <v/>
      </c>
    </row>
    <row r="39606" spans="26:26" x14ac:dyDescent="0.2">
      <c r="Z39606" t="str">
        <f t="shared" si="618"/>
        <v/>
      </c>
    </row>
    <row r="39607" spans="26:26" x14ac:dyDescent="0.2">
      <c r="Z39607" t="str">
        <f t="shared" si="618"/>
        <v/>
      </c>
    </row>
    <row r="39608" spans="26:26" x14ac:dyDescent="0.2">
      <c r="Z39608" t="str">
        <f t="shared" si="618"/>
        <v/>
      </c>
    </row>
    <row r="39609" spans="26:26" x14ac:dyDescent="0.2">
      <c r="Z39609" t="str">
        <f t="shared" si="618"/>
        <v/>
      </c>
    </row>
    <row r="39610" spans="26:26" x14ac:dyDescent="0.2">
      <c r="Z39610" t="str">
        <f t="shared" si="618"/>
        <v/>
      </c>
    </row>
    <row r="39611" spans="26:26" x14ac:dyDescent="0.2">
      <c r="Z39611" t="str">
        <f t="shared" si="618"/>
        <v/>
      </c>
    </row>
    <row r="39612" spans="26:26" x14ac:dyDescent="0.2">
      <c r="Z39612" t="str">
        <f t="shared" si="618"/>
        <v/>
      </c>
    </row>
    <row r="39613" spans="26:26" x14ac:dyDescent="0.2">
      <c r="Z39613" t="str">
        <f t="shared" si="618"/>
        <v/>
      </c>
    </row>
    <row r="39614" spans="26:26" x14ac:dyDescent="0.2">
      <c r="Z39614" t="str">
        <f t="shared" si="618"/>
        <v/>
      </c>
    </row>
    <row r="39615" spans="26:26" x14ac:dyDescent="0.2">
      <c r="Z39615" t="str">
        <f t="shared" si="618"/>
        <v/>
      </c>
    </row>
    <row r="39616" spans="26:26" x14ac:dyDescent="0.2">
      <c r="Z39616" t="str">
        <f t="shared" si="618"/>
        <v/>
      </c>
    </row>
    <row r="39617" spans="26:26" x14ac:dyDescent="0.2">
      <c r="Z39617" t="str">
        <f t="shared" si="618"/>
        <v/>
      </c>
    </row>
    <row r="39618" spans="26:26" x14ac:dyDescent="0.2">
      <c r="Z39618" t="str">
        <f t="shared" si="618"/>
        <v/>
      </c>
    </row>
    <row r="39619" spans="26:26" x14ac:dyDescent="0.2">
      <c r="Z39619" t="str">
        <f t="shared" ref="Z39619:Z39682" si="619">IF(K39619="","",IFERROR(VALUE(TRIM(MID(K39619,FIND(CHAR(167),SUBSTITUTE(K39619,"-",CHAR(167),LEN(K39619)-LEN(SUBSTITUTE(K39619,"-",""))))+1,100))),K39619))</f>
        <v/>
      </c>
    </row>
    <row r="39620" spans="26:26" x14ac:dyDescent="0.2">
      <c r="Z39620" t="str">
        <f t="shared" si="619"/>
        <v/>
      </c>
    </row>
    <row r="39621" spans="26:26" x14ac:dyDescent="0.2">
      <c r="Z39621" t="str">
        <f t="shared" si="619"/>
        <v/>
      </c>
    </row>
    <row r="39622" spans="26:26" x14ac:dyDescent="0.2">
      <c r="Z39622" t="str">
        <f t="shared" si="619"/>
        <v/>
      </c>
    </row>
    <row r="39623" spans="26:26" x14ac:dyDescent="0.2">
      <c r="Z39623" t="str">
        <f t="shared" si="619"/>
        <v/>
      </c>
    </row>
    <row r="39624" spans="26:26" x14ac:dyDescent="0.2">
      <c r="Z39624" t="str">
        <f t="shared" si="619"/>
        <v/>
      </c>
    </row>
    <row r="39625" spans="26:26" x14ac:dyDescent="0.2">
      <c r="Z39625" t="str">
        <f t="shared" si="619"/>
        <v/>
      </c>
    </row>
    <row r="39626" spans="26:26" x14ac:dyDescent="0.2">
      <c r="Z39626" t="str">
        <f t="shared" si="619"/>
        <v/>
      </c>
    </row>
    <row r="39627" spans="26:26" x14ac:dyDescent="0.2">
      <c r="Z39627" t="str">
        <f t="shared" si="619"/>
        <v/>
      </c>
    </row>
    <row r="39628" spans="26:26" x14ac:dyDescent="0.2">
      <c r="Z39628" t="str">
        <f t="shared" si="619"/>
        <v/>
      </c>
    </row>
    <row r="39629" spans="26:26" x14ac:dyDescent="0.2">
      <c r="Z39629" t="str">
        <f t="shared" si="619"/>
        <v/>
      </c>
    </row>
    <row r="39630" spans="26:26" x14ac:dyDescent="0.2">
      <c r="Z39630" t="str">
        <f t="shared" si="619"/>
        <v/>
      </c>
    </row>
    <row r="39631" spans="26:26" x14ac:dyDescent="0.2">
      <c r="Z39631" t="str">
        <f t="shared" si="619"/>
        <v/>
      </c>
    </row>
    <row r="39632" spans="26:26" x14ac:dyDescent="0.2">
      <c r="Z39632" t="str">
        <f t="shared" si="619"/>
        <v/>
      </c>
    </row>
    <row r="39633" spans="26:26" x14ac:dyDescent="0.2">
      <c r="Z39633" t="str">
        <f t="shared" si="619"/>
        <v/>
      </c>
    </row>
    <row r="39634" spans="26:26" x14ac:dyDescent="0.2">
      <c r="Z39634" t="str">
        <f t="shared" si="619"/>
        <v/>
      </c>
    </row>
    <row r="39635" spans="26:26" x14ac:dyDescent="0.2">
      <c r="Z39635" t="str">
        <f t="shared" si="619"/>
        <v/>
      </c>
    </row>
    <row r="39636" spans="26:26" x14ac:dyDescent="0.2">
      <c r="Z39636" t="str">
        <f t="shared" si="619"/>
        <v/>
      </c>
    </row>
    <row r="39637" spans="26:26" x14ac:dyDescent="0.2">
      <c r="Z39637" t="str">
        <f t="shared" si="619"/>
        <v/>
      </c>
    </row>
    <row r="39638" spans="26:26" x14ac:dyDescent="0.2">
      <c r="Z39638" t="str">
        <f t="shared" si="619"/>
        <v/>
      </c>
    </row>
    <row r="39639" spans="26:26" x14ac:dyDescent="0.2">
      <c r="Z39639" t="str">
        <f t="shared" si="619"/>
        <v/>
      </c>
    </row>
    <row r="39640" spans="26:26" x14ac:dyDescent="0.2">
      <c r="Z39640" t="str">
        <f t="shared" si="619"/>
        <v/>
      </c>
    </row>
    <row r="39641" spans="26:26" x14ac:dyDescent="0.2">
      <c r="Z39641" t="str">
        <f t="shared" si="619"/>
        <v/>
      </c>
    </row>
    <row r="39642" spans="26:26" x14ac:dyDescent="0.2">
      <c r="Z39642" t="str">
        <f t="shared" si="619"/>
        <v/>
      </c>
    </row>
    <row r="39643" spans="26:26" x14ac:dyDescent="0.2">
      <c r="Z39643" t="str">
        <f t="shared" si="619"/>
        <v/>
      </c>
    </row>
    <row r="39644" spans="26:26" x14ac:dyDescent="0.2">
      <c r="Z39644" t="str">
        <f t="shared" si="619"/>
        <v/>
      </c>
    </row>
    <row r="39645" spans="26:26" x14ac:dyDescent="0.2">
      <c r="Z39645" t="str">
        <f t="shared" si="619"/>
        <v/>
      </c>
    </row>
    <row r="39646" spans="26:26" x14ac:dyDescent="0.2">
      <c r="Z39646" t="str">
        <f t="shared" si="619"/>
        <v/>
      </c>
    </row>
    <row r="39647" spans="26:26" x14ac:dyDescent="0.2">
      <c r="Z39647" t="str">
        <f t="shared" si="619"/>
        <v/>
      </c>
    </row>
    <row r="39648" spans="26:26" x14ac:dyDescent="0.2">
      <c r="Z39648" t="str">
        <f t="shared" si="619"/>
        <v/>
      </c>
    </row>
    <row r="39649" spans="26:26" x14ac:dyDescent="0.2">
      <c r="Z39649" t="str">
        <f t="shared" si="619"/>
        <v/>
      </c>
    </row>
    <row r="39650" spans="26:26" x14ac:dyDescent="0.2">
      <c r="Z39650" t="str">
        <f t="shared" si="619"/>
        <v/>
      </c>
    </row>
    <row r="39651" spans="26:26" x14ac:dyDescent="0.2">
      <c r="Z39651" t="str">
        <f t="shared" si="619"/>
        <v/>
      </c>
    </row>
    <row r="39652" spans="26:26" x14ac:dyDescent="0.2">
      <c r="Z39652" t="str">
        <f t="shared" si="619"/>
        <v/>
      </c>
    </row>
    <row r="39653" spans="26:26" x14ac:dyDescent="0.2">
      <c r="Z39653" t="str">
        <f t="shared" si="619"/>
        <v/>
      </c>
    </row>
    <row r="39654" spans="26:26" x14ac:dyDescent="0.2">
      <c r="Z39654" t="str">
        <f t="shared" si="619"/>
        <v/>
      </c>
    </row>
    <row r="39655" spans="26:26" x14ac:dyDescent="0.2">
      <c r="Z39655" t="str">
        <f t="shared" si="619"/>
        <v/>
      </c>
    </row>
    <row r="39656" spans="26:26" x14ac:dyDescent="0.2">
      <c r="Z39656" t="str">
        <f t="shared" si="619"/>
        <v/>
      </c>
    </row>
    <row r="39657" spans="26:26" x14ac:dyDescent="0.2">
      <c r="Z39657" t="str">
        <f t="shared" si="619"/>
        <v/>
      </c>
    </row>
    <row r="39658" spans="26:26" x14ac:dyDescent="0.2">
      <c r="Z39658" t="str">
        <f t="shared" si="619"/>
        <v/>
      </c>
    </row>
    <row r="39659" spans="26:26" x14ac:dyDescent="0.2">
      <c r="Z39659" t="str">
        <f t="shared" si="619"/>
        <v/>
      </c>
    </row>
    <row r="39660" spans="26:26" x14ac:dyDescent="0.2">
      <c r="Z39660" t="str">
        <f t="shared" si="619"/>
        <v/>
      </c>
    </row>
    <row r="39661" spans="26:26" x14ac:dyDescent="0.2">
      <c r="Z39661" t="str">
        <f t="shared" si="619"/>
        <v/>
      </c>
    </row>
    <row r="39662" spans="26:26" x14ac:dyDescent="0.2">
      <c r="Z39662" t="str">
        <f t="shared" si="619"/>
        <v/>
      </c>
    </row>
    <row r="39663" spans="26:26" x14ac:dyDescent="0.2">
      <c r="Z39663" t="str">
        <f t="shared" si="619"/>
        <v/>
      </c>
    </row>
    <row r="39664" spans="26:26" x14ac:dyDescent="0.2">
      <c r="Z39664" t="str">
        <f t="shared" si="619"/>
        <v/>
      </c>
    </row>
    <row r="39665" spans="26:26" x14ac:dyDescent="0.2">
      <c r="Z39665" t="str">
        <f t="shared" si="619"/>
        <v/>
      </c>
    </row>
    <row r="39666" spans="26:26" x14ac:dyDescent="0.2">
      <c r="Z39666" t="str">
        <f t="shared" si="619"/>
        <v/>
      </c>
    </row>
    <row r="39667" spans="26:26" x14ac:dyDescent="0.2">
      <c r="Z39667" t="str">
        <f t="shared" si="619"/>
        <v/>
      </c>
    </row>
    <row r="39668" spans="26:26" x14ac:dyDescent="0.2">
      <c r="Z39668" t="str">
        <f t="shared" si="619"/>
        <v/>
      </c>
    </row>
    <row r="39669" spans="26:26" x14ac:dyDescent="0.2">
      <c r="Z39669" t="str">
        <f t="shared" si="619"/>
        <v/>
      </c>
    </row>
    <row r="39670" spans="26:26" x14ac:dyDescent="0.2">
      <c r="Z39670" t="str">
        <f t="shared" si="619"/>
        <v/>
      </c>
    </row>
    <row r="39671" spans="26:26" x14ac:dyDescent="0.2">
      <c r="Z39671" t="str">
        <f t="shared" si="619"/>
        <v/>
      </c>
    </row>
    <row r="39672" spans="26:26" x14ac:dyDescent="0.2">
      <c r="Z39672" t="str">
        <f t="shared" si="619"/>
        <v/>
      </c>
    </row>
    <row r="39673" spans="26:26" x14ac:dyDescent="0.2">
      <c r="Z39673" t="str">
        <f t="shared" si="619"/>
        <v/>
      </c>
    </row>
    <row r="39674" spans="26:26" x14ac:dyDescent="0.2">
      <c r="Z39674" t="str">
        <f t="shared" si="619"/>
        <v/>
      </c>
    </row>
    <row r="39675" spans="26:26" x14ac:dyDescent="0.2">
      <c r="Z39675" t="str">
        <f t="shared" si="619"/>
        <v/>
      </c>
    </row>
    <row r="39676" spans="26:26" x14ac:dyDescent="0.2">
      <c r="Z39676" t="str">
        <f t="shared" si="619"/>
        <v/>
      </c>
    </row>
    <row r="39677" spans="26:26" x14ac:dyDescent="0.2">
      <c r="Z39677" t="str">
        <f t="shared" si="619"/>
        <v/>
      </c>
    </row>
    <row r="39678" spans="26:26" x14ac:dyDescent="0.2">
      <c r="Z39678" t="str">
        <f t="shared" si="619"/>
        <v/>
      </c>
    </row>
    <row r="39679" spans="26:26" x14ac:dyDescent="0.2">
      <c r="Z39679" t="str">
        <f t="shared" si="619"/>
        <v/>
      </c>
    </row>
    <row r="39680" spans="26:26" x14ac:dyDescent="0.2">
      <c r="Z39680" t="str">
        <f t="shared" si="619"/>
        <v/>
      </c>
    </row>
    <row r="39681" spans="26:26" x14ac:dyDescent="0.2">
      <c r="Z39681" t="str">
        <f t="shared" si="619"/>
        <v/>
      </c>
    </row>
    <row r="39682" spans="26:26" x14ac:dyDescent="0.2">
      <c r="Z39682" t="str">
        <f t="shared" si="619"/>
        <v/>
      </c>
    </row>
    <row r="39683" spans="26:26" x14ac:dyDescent="0.2">
      <c r="Z39683" t="str">
        <f t="shared" ref="Z39683:Z39746" si="620">IF(K39683="","",IFERROR(VALUE(TRIM(MID(K39683,FIND(CHAR(167),SUBSTITUTE(K39683,"-",CHAR(167),LEN(K39683)-LEN(SUBSTITUTE(K39683,"-",""))))+1,100))),K39683))</f>
        <v/>
      </c>
    </row>
    <row r="39684" spans="26:26" x14ac:dyDescent="0.2">
      <c r="Z39684" t="str">
        <f t="shared" si="620"/>
        <v/>
      </c>
    </row>
    <row r="39685" spans="26:26" x14ac:dyDescent="0.2">
      <c r="Z39685" t="str">
        <f t="shared" si="620"/>
        <v/>
      </c>
    </row>
    <row r="39686" spans="26:26" x14ac:dyDescent="0.2">
      <c r="Z39686" t="str">
        <f t="shared" si="620"/>
        <v/>
      </c>
    </row>
    <row r="39687" spans="26:26" x14ac:dyDescent="0.2">
      <c r="Z39687" t="str">
        <f t="shared" si="620"/>
        <v/>
      </c>
    </row>
    <row r="39688" spans="26:26" x14ac:dyDescent="0.2">
      <c r="Z39688" t="str">
        <f t="shared" si="620"/>
        <v/>
      </c>
    </row>
    <row r="39689" spans="26:26" x14ac:dyDescent="0.2">
      <c r="Z39689" t="str">
        <f t="shared" si="620"/>
        <v/>
      </c>
    </row>
    <row r="39690" spans="26:26" x14ac:dyDescent="0.2">
      <c r="Z39690" t="str">
        <f t="shared" si="620"/>
        <v/>
      </c>
    </row>
    <row r="39691" spans="26:26" x14ac:dyDescent="0.2">
      <c r="Z39691" t="str">
        <f t="shared" si="620"/>
        <v/>
      </c>
    </row>
    <row r="39692" spans="26:26" x14ac:dyDescent="0.2">
      <c r="Z39692" t="str">
        <f t="shared" si="620"/>
        <v/>
      </c>
    </row>
    <row r="39693" spans="26:26" x14ac:dyDescent="0.2">
      <c r="Z39693" t="str">
        <f t="shared" si="620"/>
        <v/>
      </c>
    </row>
    <row r="39694" spans="26:26" x14ac:dyDescent="0.2">
      <c r="Z39694" t="str">
        <f t="shared" si="620"/>
        <v/>
      </c>
    </row>
    <row r="39695" spans="26:26" x14ac:dyDescent="0.2">
      <c r="Z39695" t="str">
        <f t="shared" si="620"/>
        <v/>
      </c>
    </row>
    <row r="39696" spans="26:26" x14ac:dyDescent="0.2">
      <c r="Z39696" t="str">
        <f t="shared" si="620"/>
        <v/>
      </c>
    </row>
    <row r="39697" spans="26:26" x14ac:dyDescent="0.2">
      <c r="Z39697" t="str">
        <f t="shared" si="620"/>
        <v/>
      </c>
    </row>
    <row r="39698" spans="26:26" x14ac:dyDescent="0.2">
      <c r="Z39698" t="str">
        <f t="shared" si="620"/>
        <v/>
      </c>
    </row>
    <row r="39699" spans="26:26" x14ac:dyDescent="0.2">
      <c r="Z39699" t="str">
        <f t="shared" si="620"/>
        <v/>
      </c>
    </row>
    <row r="39700" spans="26:26" x14ac:dyDescent="0.2">
      <c r="Z39700" t="str">
        <f t="shared" si="620"/>
        <v/>
      </c>
    </row>
    <row r="39701" spans="26:26" x14ac:dyDescent="0.2">
      <c r="Z39701" t="str">
        <f t="shared" si="620"/>
        <v/>
      </c>
    </row>
    <row r="39702" spans="26:26" x14ac:dyDescent="0.2">
      <c r="Z39702" t="str">
        <f t="shared" si="620"/>
        <v/>
      </c>
    </row>
    <row r="39703" spans="26:26" x14ac:dyDescent="0.2">
      <c r="Z39703" t="str">
        <f t="shared" si="620"/>
        <v/>
      </c>
    </row>
    <row r="39704" spans="26:26" x14ac:dyDescent="0.2">
      <c r="Z39704" t="str">
        <f t="shared" si="620"/>
        <v/>
      </c>
    </row>
    <row r="39705" spans="26:26" x14ac:dyDescent="0.2">
      <c r="Z39705" t="str">
        <f t="shared" si="620"/>
        <v/>
      </c>
    </row>
    <row r="39706" spans="26:26" x14ac:dyDescent="0.2">
      <c r="Z39706" t="str">
        <f t="shared" si="620"/>
        <v/>
      </c>
    </row>
    <row r="39707" spans="26:26" x14ac:dyDescent="0.2">
      <c r="Z39707" t="str">
        <f t="shared" si="620"/>
        <v/>
      </c>
    </row>
    <row r="39708" spans="26:26" x14ac:dyDescent="0.2">
      <c r="Z39708" t="str">
        <f t="shared" si="620"/>
        <v/>
      </c>
    </row>
    <row r="39709" spans="26:26" x14ac:dyDescent="0.2">
      <c r="Z39709" t="str">
        <f t="shared" si="620"/>
        <v/>
      </c>
    </row>
    <row r="39710" spans="26:26" x14ac:dyDescent="0.2">
      <c r="Z39710" t="str">
        <f t="shared" si="620"/>
        <v/>
      </c>
    </row>
    <row r="39711" spans="26:26" x14ac:dyDescent="0.2">
      <c r="Z39711" t="str">
        <f t="shared" si="620"/>
        <v/>
      </c>
    </row>
    <row r="39712" spans="26:26" x14ac:dyDescent="0.2">
      <c r="Z39712" t="str">
        <f t="shared" si="620"/>
        <v/>
      </c>
    </row>
    <row r="39713" spans="26:26" x14ac:dyDescent="0.2">
      <c r="Z39713" t="str">
        <f t="shared" si="620"/>
        <v/>
      </c>
    </row>
    <row r="39714" spans="26:26" x14ac:dyDescent="0.2">
      <c r="Z39714" t="str">
        <f t="shared" si="620"/>
        <v/>
      </c>
    </row>
    <row r="39715" spans="26:26" x14ac:dyDescent="0.2">
      <c r="Z39715" t="str">
        <f t="shared" si="620"/>
        <v/>
      </c>
    </row>
    <row r="39716" spans="26:26" x14ac:dyDescent="0.2">
      <c r="Z39716" t="str">
        <f t="shared" si="620"/>
        <v/>
      </c>
    </row>
    <row r="39717" spans="26:26" x14ac:dyDescent="0.2">
      <c r="Z39717" t="str">
        <f t="shared" si="620"/>
        <v/>
      </c>
    </row>
    <row r="39718" spans="26:26" x14ac:dyDescent="0.2">
      <c r="Z39718" t="str">
        <f t="shared" si="620"/>
        <v/>
      </c>
    </row>
    <row r="39719" spans="26:26" x14ac:dyDescent="0.2">
      <c r="Z39719" t="str">
        <f t="shared" si="620"/>
        <v/>
      </c>
    </row>
    <row r="39720" spans="26:26" x14ac:dyDescent="0.2">
      <c r="Z39720" t="str">
        <f t="shared" si="620"/>
        <v/>
      </c>
    </row>
    <row r="39721" spans="26:26" x14ac:dyDescent="0.2">
      <c r="Z39721" t="str">
        <f t="shared" si="620"/>
        <v/>
      </c>
    </row>
    <row r="39722" spans="26:26" x14ac:dyDescent="0.2">
      <c r="Z39722" t="str">
        <f t="shared" si="620"/>
        <v/>
      </c>
    </row>
    <row r="39723" spans="26:26" x14ac:dyDescent="0.2">
      <c r="Z39723" t="str">
        <f t="shared" si="620"/>
        <v/>
      </c>
    </row>
    <row r="39724" spans="26:26" x14ac:dyDescent="0.2">
      <c r="Z39724" t="str">
        <f t="shared" si="620"/>
        <v/>
      </c>
    </row>
    <row r="39725" spans="26:26" x14ac:dyDescent="0.2">
      <c r="Z39725" t="str">
        <f t="shared" si="620"/>
        <v/>
      </c>
    </row>
    <row r="39726" spans="26:26" x14ac:dyDescent="0.2">
      <c r="Z39726" t="str">
        <f t="shared" si="620"/>
        <v/>
      </c>
    </row>
    <row r="39727" spans="26:26" x14ac:dyDescent="0.2">
      <c r="Z39727" t="str">
        <f t="shared" si="620"/>
        <v/>
      </c>
    </row>
    <row r="39728" spans="26:26" x14ac:dyDescent="0.2">
      <c r="Z39728" t="str">
        <f t="shared" si="620"/>
        <v/>
      </c>
    </row>
    <row r="39729" spans="26:26" x14ac:dyDescent="0.2">
      <c r="Z39729" t="str">
        <f t="shared" si="620"/>
        <v/>
      </c>
    </row>
    <row r="39730" spans="26:26" x14ac:dyDescent="0.2">
      <c r="Z39730" t="str">
        <f t="shared" si="620"/>
        <v/>
      </c>
    </row>
    <row r="39731" spans="26:26" x14ac:dyDescent="0.2">
      <c r="Z39731" t="str">
        <f t="shared" si="620"/>
        <v/>
      </c>
    </row>
    <row r="39732" spans="26:26" x14ac:dyDescent="0.2">
      <c r="Z39732" t="str">
        <f t="shared" si="620"/>
        <v/>
      </c>
    </row>
    <row r="39733" spans="26:26" x14ac:dyDescent="0.2">
      <c r="Z39733" t="str">
        <f t="shared" si="620"/>
        <v/>
      </c>
    </row>
    <row r="39734" spans="26:26" x14ac:dyDescent="0.2">
      <c r="Z39734" t="str">
        <f t="shared" si="620"/>
        <v/>
      </c>
    </row>
    <row r="39735" spans="26:26" x14ac:dyDescent="0.2">
      <c r="Z39735" t="str">
        <f t="shared" si="620"/>
        <v/>
      </c>
    </row>
    <row r="39736" spans="26:26" x14ac:dyDescent="0.2">
      <c r="Z39736" t="str">
        <f t="shared" si="620"/>
        <v/>
      </c>
    </row>
    <row r="39737" spans="26:26" x14ac:dyDescent="0.2">
      <c r="Z39737" t="str">
        <f t="shared" si="620"/>
        <v/>
      </c>
    </row>
    <row r="39738" spans="26:26" x14ac:dyDescent="0.2">
      <c r="Z39738" t="str">
        <f t="shared" si="620"/>
        <v/>
      </c>
    </row>
    <row r="39739" spans="26:26" x14ac:dyDescent="0.2">
      <c r="Z39739" t="str">
        <f t="shared" si="620"/>
        <v/>
      </c>
    </row>
    <row r="39740" spans="26:26" x14ac:dyDescent="0.2">
      <c r="Z39740" t="str">
        <f t="shared" si="620"/>
        <v/>
      </c>
    </row>
    <row r="39741" spans="26:26" x14ac:dyDescent="0.2">
      <c r="Z39741" t="str">
        <f t="shared" si="620"/>
        <v/>
      </c>
    </row>
    <row r="39742" spans="26:26" x14ac:dyDescent="0.2">
      <c r="Z39742" t="str">
        <f t="shared" si="620"/>
        <v/>
      </c>
    </row>
    <row r="39743" spans="26:26" x14ac:dyDescent="0.2">
      <c r="Z39743" t="str">
        <f t="shared" si="620"/>
        <v/>
      </c>
    </row>
    <row r="39744" spans="26:26" x14ac:dyDescent="0.2">
      <c r="Z39744" t="str">
        <f t="shared" si="620"/>
        <v/>
      </c>
    </row>
    <row r="39745" spans="26:26" x14ac:dyDescent="0.2">
      <c r="Z39745" t="str">
        <f t="shared" si="620"/>
        <v/>
      </c>
    </row>
    <row r="39746" spans="26:26" x14ac:dyDescent="0.2">
      <c r="Z39746" t="str">
        <f t="shared" si="620"/>
        <v/>
      </c>
    </row>
    <row r="39747" spans="26:26" x14ac:dyDescent="0.2">
      <c r="Z39747" t="str">
        <f t="shared" ref="Z39747:Z39810" si="621">IF(K39747="","",IFERROR(VALUE(TRIM(MID(K39747,FIND(CHAR(167),SUBSTITUTE(K39747,"-",CHAR(167),LEN(K39747)-LEN(SUBSTITUTE(K39747,"-",""))))+1,100))),K39747))</f>
        <v/>
      </c>
    </row>
    <row r="39748" spans="26:26" x14ac:dyDescent="0.2">
      <c r="Z39748" t="str">
        <f t="shared" si="621"/>
        <v/>
      </c>
    </row>
    <row r="39749" spans="26:26" x14ac:dyDescent="0.2">
      <c r="Z39749" t="str">
        <f t="shared" si="621"/>
        <v/>
      </c>
    </row>
    <row r="39750" spans="26:26" x14ac:dyDescent="0.2">
      <c r="Z39750" t="str">
        <f t="shared" si="621"/>
        <v/>
      </c>
    </row>
    <row r="39751" spans="26:26" x14ac:dyDescent="0.2">
      <c r="Z39751" t="str">
        <f t="shared" si="621"/>
        <v/>
      </c>
    </row>
    <row r="39752" spans="26:26" x14ac:dyDescent="0.2">
      <c r="Z39752" t="str">
        <f t="shared" si="621"/>
        <v/>
      </c>
    </row>
    <row r="39753" spans="26:26" x14ac:dyDescent="0.2">
      <c r="Z39753" t="str">
        <f t="shared" si="621"/>
        <v/>
      </c>
    </row>
    <row r="39754" spans="26:26" x14ac:dyDescent="0.2">
      <c r="Z39754" t="str">
        <f t="shared" si="621"/>
        <v/>
      </c>
    </row>
    <row r="39755" spans="26:26" x14ac:dyDescent="0.2">
      <c r="Z39755" t="str">
        <f t="shared" si="621"/>
        <v/>
      </c>
    </row>
    <row r="39756" spans="26:26" x14ac:dyDescent="0.2">
      <c r="Z39756" t="str">
        <f t="shared" si="621"/>
        <v/>
      </c>
    </row>
    <row r="39757" spans="26:26" x14ac:dyDescent="0.2">
      <c r="Z39757" t="str">
        <f t="shared" si="621"/>
        <v/>
      </c>
    </row>
    <row r="39758" spans="26:26" x14ac:dyDescent="0.2">
      <c r="Z39758" t="str">
        <f t="shared" si="621"/>
        <v/>
      </c>
    </row>
    <row r="39759" spans="26:26" x14ac:dyDescent="0.2">
      <c r="Z39759" t="str">
        <f t="shared" si="621"/>
        <v/>
      </c>
    </row>
    <row r="39760" spans="26:26" x14ac:dyDescent="0.2">
      <c r="Z39760" t="str">
        <f t="shared" si="621"/>
        <v/>
      </c>
    </row>
    <row r="39761" spans="26:26" x14ac:dyDescent="0.2">
      <c r="Z39761" t="str">
        <f t="shared" si="621"/>
        <v/>
      </c>
    </row>
    <row r="39762" spans="26:26" x14ac:dyDescent="0.2">
      <c r="Z39762" t="str">
        <f t="shared" si="621"/>
        <v/>
      </c>
    </row>
    <row r="39763" spans="26:26" x14ac:dyDescent="0.2">
      <c r="Z39763" t="str">
        <f t="shared" si="621"/>
        <v/>
      </c>
    </row>
    <row r="39764" spans="26:26" x14ac:dyDescent="0.2">
      <c r="Z39764" t="str">
        <f t="shared" si="621"/>
        <v/>
      </c>
    </row>
    <row r="39765" spans="26:26" x14ac:dyDescent="0.2">
      <c r="Z39765" t="str">
        <f t="shared" si="621"/>
        <v/>
      </c>
    </row>
    <row r="39766" spans="26:26" x14ac:dyDescent="0.2">
      <c r="Z39766" t="str">
        <f t="shared" si="621"/>
        <v/>
      </c>
    </row>
    <row r="39767" spans="26:26" x14ac:dyDescent="0.2">
      <c r="Z39767" t="str">
        <f t="shared" si="621"/>
        <v/>
      </c>
    </row>
    <row r="39768" spans="26:26" x14ac:dyDescent="0.2">
      <c r="Z39768" t="str">
        <f t="shared" si="621"/>
        <v/>
      </c>
    </row>
    <row r="39769" spans="26:26" x14ac:dyDescent="0.2">
      <c r="Z39769" t="str">
        <f t="shared" si="621"/>
        <v/>
      </c>
    </row>
    <row r="39770" spans="26:26" x14ac:dyDescent="0.2">
      <c r="Z39770" t="str">
        <f t="shared" si="621"/>
        <v/>
      </c>
    </row>
    <row r="39771" spans="26:26" x14ac:dyDescent="0.2">
      <c r="Z39771" t="str">
        <f t="shared" si="621"/>
        <v/>
      </c>
    </row>
    <row r="39772" spans="26:26" x14ac:dyDescent="0.2">
      <c r="Z39772" t="str">
        <f t="shared" si="621"/>
        <v/>
      </c>
    </row>
    <row r="39773" spans="26:26" x14ac:dyDescent="0.2">
      <c r="Z39773" t="str">
        <f t="shared" si="621"/>
        <v/>
      </c>
    </row>
    <row r="39774" spans="26:26" x14ac:dyDescent="0.2">
      <c r="Z39774" t="str">
        <f t="shared" si="621"/>
        <v/>
      </c>
    </row>
    <row r="39775" spans="26:26" x14ac:dyDescent="0.2">
      <c r="Z39775" t="str">
        <f t="shared" si="621"/>
        <v/>
      </c>
    </row>
    <row r="39776" spans="26:26" x14ac:dyDescent="0.2">
      <c r="Z39776" t="str">
        <f t="shared" si="621"/>
        <v/>
      </c>
    </row>
    <row r="39777" spans="26:26" x14ac:dyDescent="0.2">
      <c r="Z39777" t="str">
        <f t="shared" si="621"/>
        <v/>
      </c>
    </row>
    <row r="39778" spans="26:26" x14ac:dyDescent="0.2">
      <c r="Z39778" t="str">
        <f t="shared" si="621"/>
        <v/>
      </c>
    </row>
    <row r="39779" spans="26:26" x14ac:dyDescent="0.2">
      <c r="Z39779" t="str">
        <f t="shared" si="621"/>
        <v/>
      </c>
    </row>
    <row r="39780" spans="26:26" x14ac:dyDescent="0.2">
      <c r="Z39780" t="str">
        <f t="shared" si="621"/>
        <v/>
      </c>
    </row>
    <row r="39781" spans="26:26" x14ac:dyDescent="0.2">
      <c r="Z39781" t="str">
        <f t="shared" si="621"/>
        <v/>
      </c>
    </row>
    <row r="39782" spans="26:26" x14ac:dyDescent="0.2">
      <c r="Z39782" t="str">
        <f t="shared" si="621"/>
        <v/>
      </c>
    </row>
    <row r="39783" spans="26:26" x14ac:dyDescent="0.2">
      <c r="Z39783" t="str">
        <f t="shared" si="621"/>
        <v/>
      </c>
    </row>
    <row r="39784" spans="26:26" x14ac:dyDescent="0.2">
      <c r="Z39784" t="str">
        <f t="shared" si="621"/>
        <v/>
      </c>
    </row>
    <row r="39785" spans="26:26" x14ac:dyDescent="0.2">
      <c r="Z39785" t="str">
        <f t="shared" si="621"/>
        <v/>
      </c>
    </row>
    <row r="39786" spans="26:26" x14ac:dyDescent="0.2">
      <c r="Z39786" t="str">
        <f t="shared" si="621"/>
        <v/>
      </c>
    </row>
    <row r="39787" spans="26:26" x14ac:dyDescent="0.2">
      <c r="Z39787" t="str">
        <f t="shared" si="621"/>
        <v/>
      </c>
    </row>
    <row r="39788" spans="26:26" x14ac:dyDescent="0.2">
      <c r="Z39788" t="str">
        <f t="shared" si="621"/>
        <v/>
      </c>
    </row>
    <row r="39789" spans="26:26" x14ac:dyDescent="0.2">
      <c r="Z39789" t="str">
        <f t="shared" si="621"/>
        <v/>
      </c>
    </row>
    <row r="39790" spans="26:26" x14ac:dyDescent="0.2">
      <c r="Z39790" t="str">
        <f t="shared" si="621"/>
        <v/>
      </c>
    </row>
    <row r="39791" spans="26:26" x14ac:dyDescent="0.2">
      <c r="Z39791" t="str">
        <f t="shared" si="621"/>
        <v/>
      </c>
    </row>
    <row r="39792" spans="26:26" x14ac:dyDescent="0.2">
      <c r="Z39792" t="str">
        <f t="shared" si="621"/>
        <v/>
      </c>
    </row>
    <row r="39793" spans="26:26" x14ac:dyDescent="0.2">
      <c r="Z39793" t="str">
        <f t="shared" si="621"/>
        <v/>
      </c>
    </row>
    <row r="39794" spans="26:26" x14ac:dyDescent="0.2">
      <c r="Z39794" t="str">
        <f t="shared" si="621"/>
        <v/>
      </c>
    </row>
    <row r="39795" spans="26:26" x14ac:dyDescent="0.2">
      <c r="Z39795" t="str">
        <f t="shared" si="621"/>
        <v/>
      </c>
    </row>
    <row r="39796" spans="26:26" x14ac:dyDescent="0.2">
      <c r="Z39796" t="str">
        <f t="shared" si="621"/>
        <v/>
      </c>
    </row>
    <row r="39797" spans="26:26" x14ac:dyDescent="0.2">
      <c r="Z39797" t="str">
        <f t="shared" si="621"/>
        <v/>
      </c>
    </row>
    <row r="39798" spans="26:26" x14ac:dyDescent="0.2">
      <c r="Z39798" t="str">
        <f t="shared" si="621"/>
        <v/>
      </c>
    </row>
    <row r="39799" spans="26:26" x14ac:dyDescent="0.2">
      <c r="Z39799" t="str">
        <f t="shared" si="621"/>
        <v/>
      </c>
    </row>
    <row r="39800" spans="26:26" x14ac:dyDescent="0.2">
      <c r="Z39800" t="str">
        <f t="shared" si="621"/>
        <v/>
      </c>
    </row>
    <row r="39801" spans="26:26" x14ac:dyDescent="0.2">
      <c r="Z39801" t="str">
        <f t="shared" si="621"/>
        <v/>
      </c>
    </row>
    <row r="39802" spans="26:26" x14ac:dyDescent="0.2">
      <c r="Z39802" t="str">
        <f t="shared" si="621"/>
        <v/>
      </c>
    </row>
    <row r="39803" spans="26:26" x14ac:dyDescent="0.2">
      <c r="Z39803" t="str">
        <f t="shared" si="621"/>
        <v/>
      </c>
    </row>
    <row r="39804" spans="26:26" x14ac:dyDescent="0.2">
      <c r="Z39804" t="str">
        <f t="shared" si="621"/>
        <v/>
      </c>
    </row>
    <row r="39805" spans="26:26" x14ac:dyDescent="0.2">
      <c r="Z39805" t="str">
        <f t="shared" si="621"/>
        <v/>
      </c>
    </row>
    <row r="39806" spans="26:26" x14ac:dyDescent="0.2">
      <c r="Z39806" t="str">
        <f t="shared" si="621"/>
        <v/>
      </c>
    </row>
    <row r="39807" spans="26:26" x14ac:dyDescent="0.2">
      <c r="Z39807" t="str">
        <f t="shared" si="621"/>
        <v/>
      </c>
    </row>
    <row r="39808" spans="26:26" x14ac:dyDescent="0.2">
      <c r="Z39808" t="str">
        <f t="shared" si="621"/>
        <v/>
      </c>
    </row>
    <row r="39809" spans="26:26" x14ac:dyDescent="0.2">
      <c r="Z39809" t="str">
        <f t="shared" si="621"/>
        <v/>
      </c>
    </row>
    <row r="39810" spans="26:26" x14ac:dyDescent="0.2">
      <c r="Z39810" t="str">
        <f t="shared" si="621"/>
        <v/>
      </c>
    </row>
    <row r="39811" spans="26:26" x14ac:dyDescent="0.2">
      <c r="Z39811" t="str">
        <f t="shared" ref="Z39811:Z39874" si="622">IF(K39811="","",IFERROR(VALUE(TRIM(MID(K39811,FIND(CHAR(167),SUBSTITUTE(K39811,"-",CHAR(167),LEN(K39811)-LEN(SUBSTITUTE(K39811,"-",""))))+1,100))),K39811))</f>
        <v/>
      </c>
    </row>
    <row r="39812" spans="26:26" x14ac:dyDescent="0.2">
      <c r="Z39812" t="str">
        <f t="shared" si="622"/>
        <v/>
      </c>
    </row>
    <row r="39813" spans="26:26" x14ac:dyDescent="0.2">
      <c r="Z39813" t="str">
        <f t="shared" si="622"/>
        <v/>
      </c>
    </row>
    <row r="39814" spans="26:26" x14ac:dyDescent="0.2">
      <c r="Z39814" t="str">
        <f t="shared" si="622"/>
        <v/>
      </c>
    </row>
    <row r="39815" spans="26:26" x14ac:dyDescent="0.2">
      <c r="Z39815" t="str">
        <f t="shared" si="622"/>
        <v/>
      </c>
    </row>
    <row r="39816" spans="26:26" x14ac:dyDescent="0.2">
      <c r="Z39816" t="str">
        <f t="shared" si="622"/>
        <v/>
      </c>
    </row>
    <row r="39817" spans="26:26" x14ac:dyDescent="0.2">
      <c r="Z39817" t="str">
        <f t="shared" si="622"/>
        <v/>
      </c>
    </row>
    <row r="39818" spans="26:26" x14ac:dyDescent="0.2">
      <c r="Z39818" t="str">
        <f t="shared" si="622"/>
        <v/>
      </c>
    </row>
    <row r="39819" spans="26:26" x14ac:dyDescent="0.2">
      <c r="Z39819" t="str">
        <f t="shared" si="622"/>
        <v/>
      </c>
    </row>
    <row r="39820" spans="26:26" x14ac:dyDescent="0.2">
      <c r="Z39820" t="str">
        <f t="shared" si="622"/>
        <v/>
      </c>
    </row>
    <row r="39821" spans="26:26" x14ac:dyDescent="0.2">
      <c r="Z39821" t="str">
        <f t="shared" si="622"/>
        <v/>
      </c>
    </row>
    <row r="39822" spans="26:26" x14ac:dyDescent="0.2">
      <c r="Z39822" t="str">
        <f t="shared" si="622"/>
        <v/>
      </c>
    </row>
    <row r="39823" spans="26:26" x14ac:dyDescent="0.2">
      <c r="Z39823" t="str">
        <f t="shared" si="622"/>
        <v/>
      </c>
    </row>
    <row r="39824" spans="26:26" x14ac:dyDescent="0.2">
      <c r="Z39824" t="str">
        <f t="shared" si="622"/>
        <v/>
      </c>
    </row>
    <row r="39825" spans="26:26" x14ac:dyDescent="0.2">
      <c r="Z39825" t="str">
        <f t="shared" si="622"/>
        <v/>
      </c>
    </row>
    <row r="39826" spans="26:26" x14ac:dyDescent="0.2">
      <c r="Z39826" t="str">
        <f t="shared" si="622"/>
        <v/>
      </c>
    </row>
    <row r="39827" spans="26:26" x14ac:dyDescent="0.2">
      <c r="Z39827" t="str">
        <f t="shared" si="622"/>
        <v/>
      </c>
    </row>
    <row r="39828" spans="26:26" x14ac:dyDescent="0.2">
      <c r="Z39828" t="str">
        <f t="shared" si="622"/>
        <v/>
      </c>
    </row>
    <row r="39829" spans="26:26" x14ac:dyDescent="0.2">
      <c r="Z39829" t="str">
        <f t="shared" si="622"/>
        <v/>
      </c>
    </row>
    <row r="39830" spans="26:26" x14ac:dyDescent="0.2">
      <c r="Z39830" t="str">
        <f t="shared" si="622"/>
        <v/>
      </c>
    </row>
    <row r="39831" spans="26:26" x14ac:dyDescent="0.2">
      <c r="Z39831" t="str">
        <f t="shared" si="622"/>
        <v/>
      </c>
    </row>
    <row r="39832" spans="26:26" x14ac:dyDescent="0.2">
      <c r="Z39832" t="str">
        <f t="shared" si="622"/>
        <v/>
      </c>
    </row>
    <row r="39833" spans="26:26" x14ac:dyDescent="0.2">
      <c r="Z39833" t="str">
        <f t="shared" si="622"/>
        <v/>
      </c>
    </row>
    <row r="39834" spans="26:26" x14ac:dyDescent="0.2">
      <c r="Z39834" t="str">
        <f t="shared" si="622"/>
        <v/>
      </c>
    </row>
    <row r="39835" spans="26:26" x14ac:dyDescent="0.2">
      <c r="Z39835" t="str">
        <f t="shared" si="622"/>
        <v/>
      </c>
    </row>
    <row r="39836" spans="26:26" x14ac:dyDescent="0.2">
      <c r="Z39836" t="str">
        <f t="shared" si="622"/>
        <v/>
      </c>
    </row>
    <row r="39837" spans="26:26" x14ac:dyDescent="0.2">
      <c r="Z39837" t="str">
        <f t="shared" si="622"/>
        <v/>
      </c>
    </row>
    <row r="39838" spans="26:26" x14ac:dyDescent="0.2">
      <c r="Z39838" t="str">
        <f t="shared" si="622"/>
        <v/>
      </c>
    </row>
    <row r="39839" spans="26:26" x14ac:dyDescent="0.2">
      <c r="Z39839" t="str">
        <f t="shared" si="622"/>
        <v/>
      </c>
    </row>
    <row r="39840" spans="26:26" x14ac:dyDescent="0.2">
      <c r="Z39840" t="str">
        <f t="shared" si="622"/>
        <v/>
      </c>
    </row>
    <row r="39841" spans="26:26" x14ac:dyDescent="0.2">
      <c r="Z39841" t="str">
        <f t="shared" si="622"/>
        <v/>
      </c>
    </row>
    <row r="39842" spans="26:26" x14ac:dyDescent="0.2">
      <c r="Z39842" t="str">
        <f t="shared" si="622"/>
        <v/>
      </c>
    </row>
    <row r="39843" spans="26:26" x14ac:dyDescent="0.2">
      <c r="Z39843" t="str">
        <f t="shared" si="622"/>
        <v/>
      </c>
    </row>
    <row r="39844" spans="26:26" x14ac:dyDescent="0.2">
      <c r="Z39844" t="str">
        <f t="shared" si="622"/>
        <v/>
      </c>
    </row>
    <row r="39845" spans="26:26" x14ac:dyDescent="0.2">
      <c r="Z39845" t="str">
        <f t="shared" si="622"/>
        <v/>
      </c>
    </row>
    <row r="39846" spans="26:26" x14ac:dyDescent="0.2">
      <c r="Z39846" t="str">
        <f t="shared" si="622"/>
        <v/>
      </c>
    </row>
    <row r="39847" spans="26:26" x14ac:dyDescent="0.2">
      <c r="Z39847" t="str">
        <f t="shared" si="622"/>
        <v/>
      </c>
    </row>
    <row r="39848" spans="26:26" x14ac:dyDescent="0.2">
      <c r="Z39848" t="str">
        <f t="shared" si="622"/>
        <v/>
      </c>
    </row>
    <row r="39849" spans="26:26" x14ac:dyDescent="0.2">
      <c r="Z39849" t="str">
        <f t="shared" si="622"/>
        <v/>
      </c>
    </row>
    <row r="39850" spans="26:26" x14ac:dyDescent="0.2">
      <c r="Z39850" t="str">
        <f t="shared" si="622"/>
        <v/>
      </c>
    </row>
    <row r="39851" spans="26:26" x14ac:dyDescent="0.2">
      <c r="Z39851" t="str">
        <f t="shared" si="622"/>
        <v/>
      </c>
    </row>
    <row r="39852" spans="26:26" x14ac:dyDescent="0.2">
      <c r="Z39852" t="str">
        <f t="shared" si="622"/>
        <v/>
      </c>
    </row>
    <row r="39853" spans="26:26" x14ac:dyDescent="0.2">
      <c r="Z39853" t="str">
        <f t="shared" si="622"/>
        <v/>
      </c>
    </row>
    <row r="39854" spans="26:26" x14ac:dyDescent="0.2">
      <c r="Z39854" t="str">
        <f t="shared" si="622"/>
        <v/>
      </c>
    </row>
    <row r="39855" spans="26:26" x14ac:dyDescent="0.2">
      <c r="Z39855" t="str">
        <f t="shared" si="622"/>
        <v/>
      </c>
    </row>
    <row r="39856" spans="26:26" x14ac:dyDescent="0.2">
      <c r="Z39856" t="str">
        <f t="shared" si="622"/>
        <v/>
      </c>
    </row>
    <row r="39857" spans="26:26" x14ac:dyDescent="0.2">
      <c r="Z39857" t="str">
        <f t="shared" si="622"/>
        <v/>
      </c>
    </row>
    <row r="39858" spans="26:26" x14ac:dyDescent="0.2">
      <c r="Z39858" t="str">
        <f t="shared" si="622"/>
        <v/>
      </c>
    </row>
    <row r="39859" spans="26:26" x14ac:dyDescent="0.2">
      <c r="Z39859" t="str">
        <f t="shared" si="622"/>
        <v/>
      </c>
    </row>
    <row r="39860" spans="26:26" x14ac:dyDescent="0.2">
      <c r="Z39860" t="str">
        <f t="shared" si="622"/>
        <v/>
      </c>
    </row>
    <row r="39861" spans="26:26" x14ac:dyDescent="0.2">
      <c r="Z39861" t="str">
        <f t="shared" si="622"/>
        <v/>
      </c>
    </row>
    <row r="39862" spans="26:26" x14ac:dyDescent="0.2">
      <c r="Z39862" t="str">
        <f t="shared" si="622"/>
        <v/>
      </c>
    </row>
    <row r="39863" spans="26:26" x14ac:dyDescent="0.2">
      <c r="Z39863" t="str">
        <f t="shared" si="622"/>
        <v/>
      </c>
    </row>
    <row r="39864" spans="26:26" x14ac:dyDescent="0.2">
      <c r="Z39864" t="str">
        <f t="shared" si="622"/>
        <v/>
      </c>
    </row>
    <row r="39865" spans="26:26" x14ac:dyDescent="0.2">
      <c r="Z39865" t="str">
        <f t="shared" si="622"/>
        <v/>
      </c>
    </row>
    <row r="39866" spans="26:26" x14ac:dyDescent="0.2">
      <c r="Z39866" t="str">
        <f t="shared" si="622"/>
        <v/>
      </c>
    </row>
    <row r="39867" spans="26:26" x14ac:dyDescent="0.2">
      <c r="Z39867" t="str">
        <f t="shared" si="622"/>
        <v/>
      </c>
    </row>
    <row r="39868" spans="26:26" x14ac:dyDescent="0.2">
      <c r="Z39868" t="str">
        <f t="shared" si="622"/>
        <v/>
      </c>
    </row>
    <row r="39869" spans="26:26" x14ac:dyDescent="0.2">
      <c r="Z39869" t="str">
        <f t="shared" si="622"/>
        <v/>
      </c>
    </row>
    <row r="39870" spans="26:26" x14ac:dyDescent="0.2">
      <c r="Z39870" t="str">
        <f t="shared" si="622"/>
        <v/>
      </c>
    </row>
    <row r="39871" spans="26:26" x14ac:dyDescent="0.2">
      <c r="Z39871" t="str">
        <f t="shared" si="622"/>
        <v/>
      </c>
    </row>
    <row r="39872" spans="26:26" x14ac:dyDescent="0.2">
      <c r="Z39872" t="str">
        <f t="shared" si="622"/>
        <v/>
      </c>
    </row>
    <row r="39873" spans="26:26" x14ac:dyDescent="0.2">
      <c r="Z39873" t="str">
        <f t="shared" si="622"/>
        <v/>
      </c>
    </row>
    <row r="39874" spans="26:26" x14ac:dyDescent="0.2">
      <c r="Z39874" t="str">
        <f t="shared" si="622"/>
        <v/>
      </c>
    </row>
    <row r="39875" spans="26:26" x14ac:dyDescent="0.2">
      <c r="Z39875" t="str">
        <f t="shared" ref="Z39875:Z39938" si="623">IF(K39875="","",IFERROR(VALUE(TRIM(MID(K39875,FIND(CHAR(167),SUBSTITUTE(K39875,"-",CHAR(167),LEN(K39875)-LEN(SUBSTITUTE(K39875,"-",""))))+1,100))),K39875))</f>
        <v/>
      </c>
    </row>
    <row r="39876" spans="26:26" x14ac:dyDescent="0.2">
      <c r="Z39876" t="str">
        <f t="shared" si="623"/>
        <v/>
      </c>
    </row>
    <row r="39877" spans="26:26" x14ac:dyDescent="0.2">
      <c r="Z39877" t="str">
        <f t="shared" si="623"/>
        <v/>
      </c>
    </row>
    <row r="39878" spans="26:26" x14ac:dyDescent="0.2">
      <c r="Z39878" t="str">
        <f t="shared" si="623"/>
        <v/>
      </c>
    </row>
    <row r="39879" spans="26:26" x14ac:dyDescent="0.2">
      <c r="Z39879" t="str">
        <f t="shared" si="623"/>
        <v/>
      </c>
    </row>
    <row r="39880" spans="26:26" x14ac:dyDescent="0.2">
      <c r="Z39880" t="str">
        <f t="shared" si="623"/>
        <v/>
      </c>
    </row>
    <row r="39881" spans="26:26" x14ac:dyDescent="0.2">
      <c r="Z39881" t="str">
        <f t="shared" si="623"/>
        <v/>
      </c>
    </row>
    <row r="39882" spans="26:26" x14ac:dyDescent="0.2">
      <c r="Z39882" t="str">
        <f t="shared" si="623"/>
        <v/>
      </c>
    </row>
    <row r="39883" spans="26:26" x14ac:dyDescent="0.2">
      <c r="Z39883" t="str">
        <f t="shared" si="623"/>
        <v/>
      </c>
    </row>
    <row r="39884" spans="26:26" x14ac:dyDescent="0.2">
      <c r="Z39884" t="str">
        <f t="shared" si="623"/>
        <v/>
      </c>
    </row>
    <row r="39885" spans="26:26" x14ac:dyDescent="0.2">
      <c r="Z39885" t="str">
        <f t="shared" si="623"/>
        <v/>
      </c>
    </row>
    <row r="39886" spans="26:26" x14ac:dyDescent="0.2">
      <c r="Z39886" t="str">
        <f t="shared" si="623"/>
        <v/>
      </c>
    </row>
    <row r="39887" spans="26:26" x14ac:dyDescent="0.2">
      <c r="Z39887" t="str">
        <f t="shared" si="623"/>
        <v/>
      </c>
    </row>
    <row r="39888" spans="26:26" x14ac:dyDescent="0.2">
      <c r="Z39888" t="str">
        <f t="shared" si="623"/>
        <v/>
      </c>
    </row>
    <row r="39889" spans="26:26" x14ac:dyDescent="0.2">
      <c r="Z39889" t="str">
        <f t="shared" si="623"/>
        <v/>
      </c>
    </row>
    <row r="39890" spans="26:26" x14ac:dyDescent="0.2">
      <c r="Z39890" t="str">
        <f t="shared" si="623"/>
        <v/>
      </c>
    </row>
    <row r="39891" spans="26:26" x14ac:dyDescent="0.2">
      <c r="Z39891" t="str">
        <f t="shared" si="623"/>
        <v/>
      </c>
    </row>
    <row r="39892" spans="26:26" x14ac:dyDescent="0.2">
      <c r="Z39892" t="str">
        <f t="shared" si="623"/>
        <v/>
      </c>
    </row>
    <row r="39893" spans="26:26" x14ac:dyDescent="0.2">
      <c r="Z39893" t="str">
        <f t="shared" si="623"/>
        <v/>
      </c>
    </row>
    <row r="39894" spans="26:26" x14ac:dyDescent="0.2">
      <c r="Z39894" t="str">
        <f t="shared" si="623"/>
        <v/>
      </c>
    </row>
    <row r="39895" spans="26:26" x14ac:dyDescent="0.2">
      <c r="Z39895" t="str">
        <f t="shared" si="623"/>
        <v/>
      </c>
    </row>
    <row r="39896" spans="26:26" x14ac:dyDescent="0.2">
      <c r="Z39896" t="str">
        <f t="shared" si="623"/>
        <v/>
      </c>
    </row>
    <row r="39897" spans="26:26" x14ac:dyDescent="0.2">
      <c r="Z39897" t="str">
        <f t="shared" si="623"/>
        <v/>
      </c>
    </row>
    <row r="39898" spans="26:26" x14ac:dyDescent="0.2">
      <c r="Z39898" t="str">
        <f t="shared" si="623"/>
        <v/>
      </c>
    </row>
    <row r="39899" spans="26:26" x14ac:dyDescent="0.2">
      <c r="Z39899" t="str">
        <f t="shared" si="623"/>
        <v/>
      </c>
    </row>
    <row r="39900" spans="26:26" x14ac:dyDescent="0.2">
      <c r="Z39900" t="str">
        <f t="shared" si="623"/>
        <v/>
      </c>
    </row>
    <row r="39901" spans="26:26" x14ac:dyDescent="0.2">
      <c r="Z39901" t="str">
        <f t="shared" si="623"/>
        <v/>
      </c>
    </row>
    <row r="39902" spans="26:26" x14ac:dyDescent="0.2">
      <c r="Z39902" t="str">
        <f t="shared" si="623"/>
        <v/>
      </c>
    </row>
    <row r="39903" spans="26:26" x14ac:dyDescent="0.2">
      <c r="Z39903" t="str">
        <f t="shared" si="623"/>
        <v/>
      </c>
    </row>
    <row r="39904" spans="26:26" x14ac:dyDescent="0.2">
      <c r="Z39904" t="str">
        <f t="shared" si="623"/>
        <v/>
      </c>
    </row>
    <row r="39905" spans="26:26" x14ac:dyDescent="0.2">
      <c r="Z39905" t="str">
        <f t="shared" si="623"/>
        <v/>
      </c>
    </row>
    <row r="39906" spans="26:26" x14ac:dyDescent="0.2">
      <c r="Z39906" t="str">
        <f t="shared" si="623"/>
        <v/>
      </c>
    </row>
    <row r="39907" spans="26:26" x14ac:dyDescent="0.2">
      <c r="Z39907" t="str">
        <f t="shared" si="623"/>
        <v/>
      </c>
    </row>
    <row r="39908" spans="26:26" x14ac:dyDescent="0.2">
      <c r="Z39908" t="str">
        <f t="shared" si="623"/>
        <v/>
      </c>
    </row>
    <row r="39909" spans="26:26" x14ac:dyDescent="0.2">
      <c r="Z39909" t="str">
        <f t="shared" si="623"/>
        <v/>
      </c>
    </row>
    <row r="39910" spans="26:26" x14ac:dyDescent="0.2">
      <c r="Z39910" t="str">
        <f t="shared" si="623"/>
        <v/>
      </c>
    </row>
    <row r="39911" spans="26:26" x14ac:dyDescent="0.2">
      <c r="Z39911" t="str">
        <f t="shared" si="623"/>
        <v/>
      </c>
    </row>
    <row r="39912" spans="26:26" x14ac:dyDescent="0.2">
      <c r="Z39912" t="str">
        <f t="shared" si="623"/>
        <v/>
      </c>
    </row>
    <row r="39913" spans="26:26" x14ac:dyDescent="0.2">
      <c r="Z39913" t="str">
        <f t="shared" si="623"/>
        <v/>
      </c>
    </row>
    <row r="39914" spans="26:26" x14ac:dyDescent="0.2">
      <c r="Z39914" t="str">
        <f t="shared" si="623"/>
        <v/>
      </c>
    </row>
    <row r="39915" spans="26:26" x14ac:dyDescent="0.2">
      <c r="Z39915" t="str">
        <f t="shared" si="623"/>
        <v/>
      </c>
    </row>
    <row r="39916" spans="26:26" x14ac:dyDescent="0.2">
      <c r="Z39916" t="str">
        <f t="shared" si="623"/>
        <v/>
      </c>
    </row>
    <row r="39917" spans="26:26" x14ac:dyDescent="0.2">
      <c r="Z39917" t="str">
        <f t="shared" si="623"/>
        <v/>
      </c>
    </row>
    <row r="39918" spans="26:26" x14ac:dyDescent="0.2">
      <c r="Z39918" t="str">
        <f t="shared" si="623"/>
        <v/>
      </c>
    </row>
    <row r="39919" spans="26:26" x14ac:dyDescent="0.2">
      <c r="Z39919" t="str">
        <f t="shared" si="623"/>
        <v/>
      </c>
    </row>
    <row r="39920" spans="26:26" x14ac:dyDescent="0.2">
      <c r="Z39920" t="str">
        <f t="shared" si="623"/>
        <v/>
      </c>
    </row>
    <row r="39921" spans="26:26" x14ac:dyDescent="0.2">
      <c r="Z39921" t="str">
        <f t="shared" si="623"/>
        <v/>
      </c>
    </row>
    <row r="39922" spans="26:26" x14ac:dyDescent="0.2">
      <c r="Z39922" t="str">
        <f t="shared" si="623"/>
        <v/>
      </c>
    </row>
    <row r="39923" spans="26:26" x14ac:dyDescent="0.2">
      <c r="Z39923" t="str">
        <f t="shared" si="623"/>
        <v/>
      </c>
    </row>
    <row r="39924" spans="26:26" x14ac:dyDescent="0.2">
      <c r="Z39924" t="str">
        <f t="shared" si="623"/>
        <v/>
      </c>
    </row>
    <row r="39925" spans="26:26" x14ac:dyDescent="0.2">
      <c r="Z39925" t="str">
        <f t="shared" si="623"/>
        <v/>
      </c>
    </row>
    <row r="39926" spans="26:26" x14ac:dyDescent="0.2">
      <c r="Z39926" t="str">
        <f t="shared" si="623"/>
        <v/>
      </c>
    </row>
    <row r="39927" spans="26:26" x14ac:dyDescent="0.2">
      <c r="Z39927" t="str">
        <f t="shared" si="623"/>
        <v/>
      </c>
    </row>
    <row r="39928" spans="26:26" x14ac:dyDescent="0.2">
      <c r="Z39928" t="str">
        <f t="shared" si="623"/>
        <v/>
      </c>
    </row>
    <row r="39929" spans="26:26" x14ac:dyDescent="0.2">
      <c r="Z39929" t="str">
        <f t="shared" si="623"/>
        <v/>
      </c>
    </row>
    <row r="39930" spans="26:26" x14ac:dyDescent="0.2">
      <c r="Z39930" t="str">
        <f t="shared" si="623"/>
        <v/>
      </c>
    </row>
    <row r="39931" spans="26:26" x14ac:dyDescent="0.2">
      <c r="Z39931" t="str">
        <f t="shared" si="623"/>
        <v/>
      </c>
    </row>
    <row r="39932" spans="26:26" x14ac:dyDescent="0.2">
      <c r="Z39932" t="str">
        <f t="shared" si="623"/>
        <v/>
      </c>
    </row>
    <row r="39933" spans="26:26" x14ac:dyDescent="0.2">
      <c r="Z39933" t="str">
        <f t="shared" si="623"/>
        <v/>
      </c>
    </row>
    <row r="39934" spans="26:26" x14ac:dyDescent="0.2">
      <c r="Z39934" t="str">
        <f t="shared" si="623"/>
        <v/>
      </c>
    </row>
    <row r="39935" spans="26:26" x14ac:dyDescent="0.2">
      <c r="Z39935" t="str">
        <f t="shared" si="623"/>
        <v/>
      </c>
    </row>
    <row r="39936" spans="26:26" x14ac:dyDescent="0.2">
      <c r="Z39936" t="str">
        <f t="shared" si="623"/>
        <v/>
      </c>
    </row>
    <row r="39937" spans="26:26" x14ac:dyDescent="0.2">
      <c r="Z39937" t="str">
        <f t="shared" si="623"/>
        <v/>
      </c>
    </row>
    <row r="39938" spans="26:26" x14ac:dyDescent="0.2">
      <c r="Z39938" t="str">
        <f t="shared" si="623"/>
        <v/>
      </c>
    </row>
    <row r="39939" spans="26:26" x14ac:dyDescent="0.2">
      <c r="Z39939" t="str">
        <f t="shared" ref="Z39939:Z40002" si="624">IF(K39939="","",IFERROR(VALUE(TRIM(MID(K39939,FIND(CHAR(167),SUBSTITUTE(K39939,"-",CHAR(167),LEN(K39939)-LEN(SUBSTITUTE(K39939,"-",""))))+1,100))),K39939))</f>
        <v/>
      </c>
    </row>
    <row r="39940" spans="26:26" x14ac:dyDescent="0.2">
      <c r="Z39940" t="str">
        <f t="shared" si="624"/>
        <v/>
      </c>
    </row>
    <row r="39941" spans="26:26" x14ac:dyDescent="0.2">
      <c r="Z39941" t="str">
        <f t="shared" si="624"/>
        <v/>
      </c>
    </row>
    <row r="39942" spans="26:26" x14ac:dyDescent="0.2">
      <c r="Z39942" t="str">
        <f t="shared" si="624"/>
        <v/>
      </c>
    </row>
    <row r="39943" spans="26:26" x14ac:dyDescent="0.2">
      <c r="Z39943" t="str">
        <f t="shared" si="624"/>
        <v/>
      </c>
    </row>
    <row r="39944" spans="26:26" x14ac:dyDescent="0.2">
      <c r="Z39944" t="str">
        <f t="shared" si="624"/>
        <v/>
      </c>
    </row>
    <row r="39945" spans="26:26" x14ac:dyDescent="0.2">
      <c r="Z39945" t="str">
        <f t="shared" si="624"/>
        <v/>
      </c>
    </row>
    <row r="39946" spans="26:26" x14ac:dyDescent="0.2">
      <c r="Z39946" t="str">
        <f t="shared" si="624"/>
        <v/>
      </c>
    </row>
    <row r="39947" spans="26:26" x14ac:dyDescent="0.2">
      <c r="Z39947" t="str">
        <f t="shared" si="624"/>
        <v/>
      </c>
    </row>
    <row r="39948" spans="26:26" x14ac:dyDescent="0.2">
      <c r="Z39948" t="str">
        <f t="shared" si="624"/>
        <v/>
      </c>
    </row>
    <row r="39949" spans="26:26" x14ac:dyDescent="0.2">
      <c r="Z39949" t="str">
        <f t="shared" si="624"/>
        <v/>
      </c>
    </row>
    <row r="39950" spans="26:26" x14ac:dyDescent="0.2">
      <c r="Z39950" t="str">
        <f t="shared" si="624"/>
        <v/>
      </c>
    </row>
    <row r="39951" spans="26:26" x14ac:dyDescent="0.2">
      <c r="Z39951" t="str">
        <f t="shared" si="624"/>
        <v/>
      </c>
    </row>
    <row r="39952" spans="26:26" x14ac:dyDescent="0.2">
      <c r="Z39952" t="str">
        <f t="shared" si="624"/>
        <v/>
      </c>
    </row>
    <row r="39953" spans="26:26" x14ac:dyDescent="0.2">
      <c r="Z39953" t="str">
        <f t="shared" si="624"/>
        <v/>
      </c>
    </row>
    <row r="39954" spans="26:26" x14ac:dyDescent="0.2">
      <c r="Z39954" t="str">
        <f t="shared" si="624"/>
        <v/>
      </c>
    </row>
    <row r="39955" spans="26:26" x14ac:dyDescent="0.2">
      <c r="Z39955" t="str">
        <f t="shared" si="624"/>
        <v/>
      </c>
    </row>
    <row r="39956" spans="26:26" x14ac:dyDescent="0.2">
      <c r="Z39956" t="str">
        <f t="shared" si="624"/>
        <v/>
      </c>
    </row>
    <row r="39957" spans="26:26" x14ac:dyDescent="0.2">
      <c r="Z39957" t="str">
        <f t="shared" si="624"/>
        <v/>
      </c>
    </row>
    <row r="39958" spans="26:26" x14ac:dyDescent="0.2">
      <c r="Z39958" t="str">
        <f t="shared" si="624"/>
        <v/>
      </c>
    </row>
    <row r="39959" spans="26:26" x14ac:dyDescent="0.2">
      <c r="Z39959" t="str">
        <f t="shared" si="624"/>
        <v/>
      </c>
    </row>
    <row r="39960" spans="26:26" x14ac:dyDescent="0.2">
      <c r="Z39960" t="str">
        <f t="shared" si="624"/>
        <v/>
      </c>
    </row>
    <row r="39961" spans="26:26" x14ac:dyDescent="0.2">
      <c r="Z39961" t="str">
        <f t="shared" si="624"/>
        <v/>
      </c>
    </row>
    <row r="39962" spans="26:26" x14ac:dyDescent="0.2">
      <c r="Z39962" t="str">
        <f t="shared" si="624"/>
        <v/>
      </c>
    </row>
    <row r="39963" spans="26:26" x14ac:dyDescent="0.2">
      <c r="Z39963" t="str">
        <f t="shared" si="624"/>
        <v/>
      </c>
    </row>
    <row r="39964" spans="26:26" x14ac:dyDescent="0.2">
      <c r="Z39964" t="str">
        <f t="shared" si="624"/>
        <v/>
      </c>
    </row>
    <row r="39965" spans="26:26" x14ac:dyDescent="0.2">
      <c r="Z39965" t="str">
        <f t="shared" si="624"/>
        <v/>
      </c>
    </row>
    <row r="39966" spans="26:26" x14ac:dyDescent="0.2">
      <c r="Z39966" t="str">
        <f t="shared" si="624"/>
        <v/>
      </c>
    </row>
    <row r="39967" spans="26:26" x14ac:dyDescent="0.2">
      <c r="Z39967" t="str">
        <f t="shared" si="624"/>
        <v/>
      </c>
    </row>
    <row r="39968" spans="26:26" x14ac:dyDescent="0.2">
      <c r="Z39968" t="str">
        <f t="shared" si="624"/>
        <v/>
      </c>
    </row>
    <row r="39969" spans="26:26" x14ac:dyDescent="0.2">
      <c r="Z39969" t="str">
        <f t="shared" si="624"/>
        <v/>
      </c>
    </row>
    <row r="39970" spans="26:26" x14ac:dyDescent="0.2">
      <c r="Z39970" t="str">
        <f t="shared" si="624"/>
        <v/>
      </c>
    </row>
    <row r="39971" spans="26:26" x14ac:dyDescent="0.2">
      <c r="Z39971" t="str">
        <f t="shared" si="624"/>
        <v/>
      </c>
    </row>
    <row r="39972" spans="26:26" x14ac:dyDescent="0.2">
      <c r="Z39972" t="str">
        <f t="shared" si="624"/>
        <v/>
      </c>
    </row>
    <row r="39973" spans="26:26" x14ac:dyDescent="0.2">
      <c r="Z39973" t="str">
        <f t="shared" si="624"/>
        <v/>
      </c>
    </row>
    <row r="39974" spans="26:26" x14ac:dyDescent="0.2">
      <c r="Z39974" t="str">
        <f t="shared" si="624"/>
        <v/>
      </c>
    </row>
    <row r="39975" spans="26:26" x14ac:dyDescent="0.2">
      <c r="Z39975" t="str">
        <f t="shared" si="624"/>
        <v/>
      </c>
    </row>
    <row r="39976" spans="26:26" x14ac:dyDescent="0.2">
      <c r="Z39976" t="str">
        <f t="shared" si="624"/>
        <v/>
      </c>
    </row>
    <row r="39977" spans="26:26" x14ac:dyDescent="0.2">
      <c r="Z39977" t="str">
        <f t="shared" si="624"/>
        <v/>
      </c>
    </row>
    <row r="39978" spans="26:26" x14ac:dyDescent="0.2">
      <c r="Z39978" t="str">
        <f t="shared" si="624"/>
        <v/>
      </c>
    </row>
    <row r="39979" spans="26:26" x14ac:dyDescent="0.2">
      <c r="Z39979" t="str">
        <f t="shared" si="624"/>
        <v/>
      </c>
    </row>
    <row r="39980" spans="26:26" x14ac:dyDescent="0.2">
      <c r="Z39980" t="str">
        <f t="shared" si="624"/>
        <v/>
      </c>
    </row>
    <row r="39981" spans="26:26" x14ac:dyDescent="0.2">
      <c r="Z39981" t="str">
        <f t="shared" si="624"/>
        <v/>
      </c>
    </row>
    <row r="39982" spans="26:26" x14ac:dyDescent="0.2">
      <c r="Z39982" t="str">
        <f t="shared" si="624"/>
        <v/>
      </c>
    </row>
    <row r="39983" spans="26:26" x14ac:dyDescent="0.2">
      <c r="Z39983" t="str">
        <f t="shared" si="624"/>
        <v/>
      </c>
    </row>
    <row r="39984" spans="26:26" x14ac:dyDescent="0.2">
      <c r="Z39984" t="str">
        <f t="shared" si="624"/>
        <v/>
      </c>
    </row>
    <row r="39985" spans="26:26" x14ac:dyDescent="0.2">
      <c r="Z39985" t="str">
        <f t="shared" si="624"/>
        <v/>
      </c>
    </row>
    <row r="39986" spans="26:26" x14ac:dyDescent="0.2">
      <c r="Z39986" t="str">
        <f t="shared" si="624"/>
        <v/>
      </c>
    </row>
    <row r="39987" spans="26:26" x14ac:dyDescent="0.2">
      <c r="Z39987" t="str">
        <f t="shared" si="624"/>
        <v/>
      </c>
    </row>
    <row r="39988" spans="26:26" x14ac:dyDescent="0.2">
      <c r="Z39988" t="str">
        <f t="shared" si="624"/>
        <v/>
      </c>
    </row>
    <row r="39989" spans="26:26" x14ac:dyDescent="0.2">
      <c r="Z39989" t="str">
        <f t="shared" si="624"/>
        <v/>
      </c>
    </row>
    <row r="39990" spans="26:26" x14ac:dyDescent="0.2">
      <c r="Z39990" t="str">
        <f t="shared" si="624"/>
        <v/>
      </c>
    </row>
    <row r="39991" spans="26:26" x14ac:dyDescent="0.2">
      <c r="Z39991" t="str">
        <f t="shared" si="624"/>
        <v/>
      </c>
    </row>
    <row r="39992" spans="26:26" x14ac:dyDescent="0.2">
      <c r="Z39992" t="str">
        <f t="shared" si="624"/>
        <v/>
      </c>
    </row>
    <row r="39993" spans="26:26" x14ac:dyDescent="0.2">
      <c r="Z39993" t="str">
        <f t="shared" si="624"/>
        <v/>
      </c>
    </row>
    <row r="39994" spans="26:26" x14ac:dyDescent="0.2">
      <c r="Z39994" t="str">
        <f t="shared" si="624"/>
        <v/>
      </c>
    </row>
    <row r="39995" spans="26:26" x14ac:dyDescent="0.2">
      <c r="Z39995" t="str">
        <f t="shared" si="624"/>
        <v/>
      </c>
    </row>
    <row r="39996" spans="26:26" x14ac:dyDescent="0.2">
      <c r="Z39996" t="str">
        <f t="shared" si="624"/>
        <v/>
      </c>
    </row>
    <row r="39997" spans="26:26" x14ac:dyDescent="0.2">
      <c r="Z39997" t="str">
        <f t="shared" si="624"/>
        <v/>
      </c>
    </row>
    <row r="39998" spans="26:26" x14ac:dyDescent="0.2">
      <c r="Z39998" t="str">
        <f t="shared" si="624"/>
        <v/>
      </c>
    </row>
    <row r="39999" spans="26:26" x14ac:dyDescent="0.2">
      <c r="Z39999" t="str">
        <f t="shared" si="624"/>
        <v/>
      </c>
    </row>
    <row r="40000" spans="26:26" x14ac:dyDescent="0.2">
      <c r="Z40000" t="str">
        <f t="shared" si="624"/>
        <v/>
      </c>
    </row>
    <row r="40001" spans="26:26" x14ac:dyDescent="0.2">
      <c r="Z40001" t="str">
        <f t="shared" si="624"/>
        <v/>
      </c>
    </row>
    <row r="40002" spans="26:26" x14ac:dyDescent="0.2">
      <c r="Z40002" t="str">
        <f t="shared" si="624"/>
        <v/>
      </c>
    </row>
    <row r="40003" spans="26:26" x14ac:dyDescent="0.2">
      <c r="Z40003" t="str">
        <f t="shared" ref="Z40003:Z40066" si="625">IF(K40003="","",IFERROR(VALUE(TRIM(MID(K40003,FIND(CHAR(167),SUBSTITUTE(K40003,"-",CHAR(167),LEN(K40003)-LEN(SUBSTITUTE(K40003,"-",""))))+1,100))),K40003))</f>
        <v/>
      </c>
    </row>
    <row r="40004" spans="26:26" x14ac:dyDescent="0.2">
      <c r="Z40004" t="str">
        <f t="shared" si="625"/>
        <v/>
      </c>
    </row>
    <row r="40005" spans="26:26" x14ac:dyDescent="0.2">
      <c r="Z40005" t="str">
        <f t="shared" si="625"/>
        <v/>
      </c>
    </row>
    <row r="40006" spans="26:26" x14ac:dyDescent="0.2">
      <c r="Z40006" t="str">
        <f t="shared" si="625"/>
        <v/>
      </c>
    </row>
    <row r="40007" spans="26:26" x14ac:dyDescent="0.2">
      <c r="Z40007" t="str">
        <f t="shared" si="625"/>
        <v/>
      </c>
    </row>
    <row r="40008" spans="26:26" x14ac:dyDescent="0.2">
      <c r="Z40008" t="str">
        <f t="shared" si="625"/>
        <v/>
      </c>
    </row>
    <row r="40009" spans="26:26" x14ac:dyDescent="0.2">
      <c r="Z40009" t="str">
        <f t="shared" si="625"/>
        <v/>
      </c>
    </row>
    <row r="40010" spans="26:26" x14ac:dyDescent="0.2">
      <c r="Z40010" t="str">
        <f t="shared" si="625"/>
        <v/>
      </c>
    </row>
    <row r="40011" spans="26:26" x14ac:dyDescent="0.2">
      <c r="Z40011" t="str">
        <f t="shared" si="625"/>
        <v/>
      </c>
    </row>
    <row r="40012" spans="26:26" x14ac:dyDescent="0.2">
      <c r="Z40012" t="str">
        <f t="shared" si="625"/>
        <v/>
      </c>
    </row>
    <row r="40013" spans="26:26" x14ac:dyDescent="0.2">
      <c r="Z40013" t="str">
        <f t="shared" si="625"/>
        <v/>
      </c>
    </row>
    <row r="40014" spans="26:26" x14ac:dyDescent="0.2">
      <c r="Z40014" t="str">
        <f t="shared" si="625"/>
        <v/>
      </c>
    </row>
    <row r="40015" spans="26:26" x14ac:dyDescent="0.2">
      <c r="Z40015" t="str">
        <f t="shared" si="625"/>
        <v/>
      </c>
    </row>
    <row r="40016" spans="26:26" x14ac:dyDescent="0.2">
      <c r="Z40016" t="str">
        <f t="shared" si="625"/>
        <v/>
      </c>
    </row>
    <row r="40017" spans="26:26" x14ac:dyDescent="0.2">
      <c r="Z40017" t="str">
        <f t="shared" si="625"/>
        <v/>
      </c>
    </row>
    <row r="40018" spans="26:26" x14ac:dyDescent="0.2">
      <c r="Z40018" t="str">
        <f t="shared" si="625"/>
        <v/>
      </c>
    </row>
    <row r="40019" spans="26:26" x14ac:dyDescent="0.2">
      <c r="Z40019" t="str">
        <f t="shared" si="625"/>
        <v/>
      </c>
    </row>
    <row r="40020" spans="26:26" x14ac:dyDescent="0.2">
      <c r="Z40020" t="str">
        <f t="shared" si="625"/>
        <v/>
      </c>
    </row>
    <row r="40021" spans="26:26" x14ac:dyDescent="0.2">
      <c r="Z40021" t="str">
        <f t="shared" si="625"/>
        <v/>
      </c>
    </row>
    <row r="40022" spans="26:26" x14ac:dyDescent="0.2">
      <c r="Z40022" t="str">
        <f t="shared" si="625"/>
        <v/>
      </c>
    </row>
    <row r="40023" spans="26:26" x14ac:dyDescent="0.2">
      <c r="Z40023" t="str">
        <f t="shared" si="625"/>
        <v/>
      </c>
    </row>
    <row r="40024" spans="26:26" x14ac:dyDescent="0.2">
      <c r="Z40024" t="str">
        <f t="shared" si="625"/>
        <v/>
      </c>
    </row>
    <row r="40025" spans="26:26" x14ac:dyDescent="0.2">
      <c r="Z40025" t="str">
        <f t="shared" si="625"/>
        <v/>
      </c>
    </row>
    <row r="40026" spans="26:26" x14ac:dyDescent="0.2">
      <c r="Z40026" t="str">
        <f t="shared" si="625"/>
        <v/>
      </c>
    </row>
    <row r="40027" spans="26:26" x14ac:dyDescent="0.2">
      <c r="Z40027" t="str">
        <f t="shared" si="625"/>
        <v/>
      </c>
    </row>
    <row r="40028" spans="26:26" x14ac:dyDescent="0.2">
      <c r="Z40028" t="str">
        <f t="shared" si="625"/>
        <v/>
      </c>
    </row>
    <row r="40029" spans="26:26" x14ac:dyDescent="0.2">
      <c r="Z40029" t="str">
        <f t="shared" si="625"/>
        <v/>
      </c>
    </row>
    <row r="40030" spans="26:26" x14ac:dyDescent="0.2">
      <c r="Z40030" t="str">
        <f t="shared" si="625"/>
        <v/>
      </c>
    </row>
    <row r="40031" spans="26:26" x14ac:dyDescent="0.2">
      <c r="Z40031" t="str">
        <f t="shared" si="625"/>
        <v/>
      </c>
    </row>
    <row r="40032" spans="26:26" x14ac:dyDescent="0.2">
      <c r="Z40032" t="str">
        <f t="shared" si="625"/>
        <v/>
      </c>
    </row>
    <row r="40033" spans="26:26" x14ac:dyDescent="0.2">
      <c r="Z40033" t="str">
        <f t="shared" si="625"/>
        <v/>
      </c>
    </row>
    <row r="40034" spans="26:26" x14ac:dyDescent="0.2">
      <c r="Z40034" t="str">
        <f t="shared" si="625"/>
        <v/>
      </c>
    </row>
    <row r="40035" spans="26:26" x14ac:dyDescent="0.2">
      <c r="Z40035" t="str">
        <f t="shared" si="625"/>
        <v/>
      </c>
    </row>
    <row r="40036" spans="26:26" x14ac:dyDescent="0.2">
      <c r="Z40036" t="str">
        <f t="shared" si="625"/>
        <v/>
      </c>
    </row>
    <row r="40037" spans="26:26" x14ac:dyDescent="0.2">
      <c r="Z40037" t="str">
        <f t="shared" si="625"/>
        <v/>
      </c>
    </row>
    <row r="40038" spans="26:26" x14ac:dyDescent="0.2">
      <c r="Z40038" t="str">
        <f t="shared" si="625"/>
        <v/>
      </c>
    </row>
    <row r="40039" spans="26:26" x14ac:dyDescent="0.2">
      <c r="Z40039" t="str">
        <f t="shared" si="625"/>
        <v/>
      </c>
    </row>
    <row r="40040" spans="26:26" x14ac:dyDescent="0.2">
      <c r="Z40040" t="str">
        <f t="shared" si="625"/>
        <v/>
      </c>
    </row>
    <row r="40041" spans="26:26" x14ac:dyDescent="0.2">
      <c r="Z40041" t="str">
        <f t="shared" si="625"/>
        <v/>
      </c>
    </row>
    <row r="40042" spans="26:26" x14ac:dyDescent="0.2">
      <c r="Z40042" t="str">
        <f t="shared" si="625"/>
        <v/>
      </c>
    </row>
    <row r="40043" spans="26:26" x14ac:dyDescent="0.2">
      <c r="Z40043" t="str">
        <f t="shared" si="625"/>
        <v/>
      </c>
    </row>
    <row r="40044" spans="26:26" x14ac:dyDescent="0.2">
      <c r="Z40044" t="str">
        <f t="shared" si="625"/>
        <v/>
      </c>
    </row>
    <row r="40045" spans="26:26" x14ac:dyDescent="0.2">
      <c r="Z40045" t="str">
        <f t="shared" si="625"/>
        <v/>
      </c>
    </row>
    <row r="40046" spans="26:26" x14ac:dyDescent="0.2">
      <c r="Z40046" t="str">
        <f t="shared" si="625"/>
        <v/>
      </c>
    </row>
    <row r="40047" spans="26:26" x14ac:dyDescent="0.2">
      <c r="Z40047" t="str">
        <f t="shared" si="625"/>
        <v/>
      </c>
    </row>
    <row r="40048" spans="26:26" x14ac:dyDescent="0.2">
      <c r="Z40048" t="str">
        <f t="shared" si="625"/>
        <v/>
      </c>
    </row>
    <row r="40049" spans="26:26" x14ac:dyDescent="0.2">
      <c r="Z40049" t="str">
        <f t="shared" si="625"/>
        <v/>
      </c>
    </row>
    <row r="40050" spans="26:26" x14ac:dyDescent="0.2">
      <c r="Z40050" t="str">
        <f t="shared" si="625"/>
        <v/>
      </c>
    </row>
    <row r="40051" spans="26:26" x14ac:dyDescent="0.2">
      <c r="Z40051" t="str">
        <f t="shared" si="625"/>
        <v/>
      </c>
    </row>
    <row r="40052" spans="26:26" x14ac:dyDescent="0.2">
      <c r="Z40052" t="str">
        <f t="shared" si="625"/>
        <v/>
      </c>
    </row>
    <row r="40053" spans="26:26" x14ac:dyDescent="0.2">
      <c r="Z40053" t="str">
        <f t="shared" si="625"/>
        <v/>
      </c>
    </row>
    <row r="40054" spans="26:26" x14ac:dyDescent="0.2">
      <c r="Z40054" t="str">
        <f t="shared" si="625"/>
        <v/>
      </c>
    </row>
    <row r="40055" spans="26:26" x14ac:dyDescent="0.2">
      <c r="Z40055" t="str">
        <f t="shared" si="625"/>
        <v/>
      </c>
    </row>
    <row r="40056" spans="26:26" x14ac:dyDescent="0.2">
      <c r="Z40056" t="str">
        <f t="shared" si="625"/>
        <v/>
      </c>
    </row>
    <row r="40057" spans="26:26" x14ac:dyDescent="0.2">
      <c r="Z40057" t="str">
        <f t="shared" si="625"/>
        <v/>
      </c>
    </row>
    <row r="40058" spans="26:26" x14ac:dyDescent="0.2">
      <c r="Z40058" t="str">
        <f t="shared" si="625"/>
        <v/>
      </c>
    </row>
    <row r="40059" spans="26:26" x14ac:dyDescent="0.2">
      <c r="Z40059" t="str">
        <f t="shared" si="625"/>
        <v/>
      </c>
    </row>
    <row r="40060" spans="26:26" x14ac:dyDescent="0.2">
      <c r="Z40060" t="str">
        <f t="shared" si="625"/>
        <v/>
      </c>
    </row>
    <row r="40061" spans="26:26" x14ac:dyDescent="0.2">
      <c r="Z40061" t="str">
        <f t="shared" si="625"/>
        <v/>
      </c>
    </row>
    <row r="40062" spans="26:26" x14ac:dyDescent="0.2">
      <c r="Z40062" t="str">
        <f t="shared" si="625"/>
        <v/>
      </c>
    </row>
    <row r="40063" spans="26:26" x14ac:dyDescent="0.2">
      <c r="Z40063" t="str">
        <f t="shared" si="625"/>
        <v/>
      </c>
    </row>
    <row r="40064" spans="26:26" x14ac:dyDescent="0.2">
      <c r="Z40064" t="str">
        <f t="shared" si="625"/>
        <v/>
      </c>
    </row>
    <row r="40065" spans="26:26" x14ac:dyDescent="0.2">
      <c r="Z40065" t="str">
        <f t="shared" si="625"/>
        <v/>
      </c>
    </row>
    <row r="40066" spans="26:26" x14ac:dyDescent="0.2">
      <c r="Z40066" t="str">
        <f t="shared" si="625"/>
        <v/>
      </c>
    </row>
    <row r="40067" spans="26:26" x14ac:dyDescent="0.2">
      <c r="Z40067" t="str">
        <f t="shared" ref="Z40067:Z40130" si="626">IF(K40067="","",IFERROR(VALUE(TRIM(MID(K40067,FIND(CHAR(167),SUBSTITUTE(K40067,"-",CHAR(167),LEN(K40067)-LEN(SUBSTITUTE(K40067,"-",""))))+1,100))),K40067))</f>
        <v/>
      </c>
    </row>
    <row r="40068" spans="26:26" x14ac:dyDescent="0.2">
      <c r="Z40068" t="str">
        <f t="shared" si="626"/>
        <v/>
      </c>
    </row>
    <row r="40069" spans="26:26" x14ac:dyDescent="0.2">
      <c r="Z40069" t="str">
        <f t="shared" si="626"/>
        <v/>
      </c>
    </row>
    <row r="40070" spans="26:26" x14ac:dyDescent="0.2">
      <c r="Z40070" t="str">
        <f t="shared" si="626"/>
        <v/>
      </c>
    </row>
    <row r="40071" spans="26:26" x14ac:dyDescent="0.2">
      <c r="Z40071" t="str">
        <f t="shared" si="626"/>
        <v/>
      </c>
    </row>
    <row r="40072" spans="26:26" x14ac:dyDescent="0.2">
      <c r="Z40072" t="str">
        <f t="shared" si="626"/>
        <v/>
      </c>
    </row>
    <row r="40073" spans="26:26" x14ac:dyDescent="0.2">
      <c r="Z40073" t="str">
        <f t="shared" si="626"/>
        <v/>
      </c>
    </row>
    <row r="40074" spans="26:26" x14ac:dyDescent="0.2">
      <c r="Z40074" t="str">
        <f t="shared" si="626"/>
        <v/>
      </c>
    </row>
    <row r="40075" spans="26:26" x14ac:dyDescent="0.2">
      <c r="Z40075" t="str">
        <f t="shared" si="626"/>
        <v/>
      </c>
    </row>
    <row r="40076" spans="26:26" x14ac:dyDescent="0.2">
      <c r="Z40076" t="str">
        <f t="shared" si="626"/>
        <v/>
      </c>
    </row>
    <row r="40077" spans="26:26" x14ac:dyDescent="0.2">
      <c r="Z40077" t="str">
        <f t="shared" si="626"/>
        <v/>
      </c>
    </row>
    <row r="40078" spans="26:26" x14ac:dyDescent="0.2">
      <c r="Z40078" t="str">
        <f t="shared" si="626"/>
        <v/>
      </c>
    </row>
    <row r="40079" spans="26:26" x14ac:dyDescent="0.2">
      <c r="Z40079" t="str">
        <f t="shared" si="626"/>
        <v/>
      </c>
    </row>
    <row r="40080" spans="26:26" x14ac:dyDescent="0.2">
      <c r="Z40080" t="str">
        <f t="shared" si="626"/>
        <v/>
      </c>
    </row>
    <row r="40081" spans="26:26" x14ac:dyDescent="0.2">
      <c r="Z40081" t="str">
        <f t="shared" si="626"/>
        <v/>
      </c>
    </row>
    <row r="40082" spans="26:26" x14ac:dyDescent="0.2">
      <c r="Z40082" t="str">
        <f t="shared" si="626"/>
        <v/>
      </c>
    </row>
    <row r="40083" spans="26:26" x14ac:dyDescent="0.2">
      <c r="Z40083" t="str">
        <f t="shared" si="626"/>
        <v/>
      </c>
    </row>
    <row r="40084" spans="26:26" x14ac:dyDescent="0.2">
      <c r="Z40084" t="str">
        <f t="shared" si="626"/>
        <v/>
      </c>
    </row>
    <row r="40085" spans="26:26" x14ac:dyDescent="0.2">
      <c r="Z40085" t="str">
        <f t="shared" si="626"/>
        <v/>
      </c>
    </row>
    <row r="40086" spans="26:26" x14ac:dyDescent="0.2">
      <c r="Z40086" t="str">
        <f t="shared" si="626"/>
        <v/>
      </c>
    </row>
    <row r="40087" spans="26:26" x14ac:dyDescent="0.2">
      <c r="Z40087" t="str">
        <f t="shared" si="626"/>
        <v/>
      </c>
    </row>
    <row r="40088" spans="26:26" x14ac:dyDescent="0.2">
      <c r="Z40088" t="str">
        <f t="shared" si="626"/>
        <v/>
      </c>
    </row>
    <row r="40089" spans="26:26" x14ac:dyDescent="0.2">
      <c r="Z40089" t="str">
        <f t="shared" si="626"/>
        <v/>
      </c>
    </row>
    <row r="40090" spans="26:26" x14ac:dyDescent="0.2">
      <c r="Z40090" t="str">
        <f t="shared" si="626"/>
        <v/>
      </c>
    </row>
    <row r="40091" spans="26:26" x14ac:dyDescent="0.2">
      <c r="Z40091" t="str">
        <f t="shared" si="626"/>
        <v/>
      </c>
    </row>
    <row r="40092" spans="26:26" x14ac:dyDescent="0.2">
      <c r="Z40092" t="str">
        <f t="shared" si="626"/>
        <v/>
      </c>
    </row>
    <row r="40093" spans="26:26" x14ac:dyDescent="0.2">
      <c r="Z40093" t="str">
        <f t="shared" si="626"/>
        <v/>
      </c>
    </row>
    <row r="40094" spans="26:26" x14ac:dyDescent="0.2">
      <c r="Z40094" t="str">
        <f t="shared" si="626"/>
        <v/>
      </c>
    </row>
    <row r="40095" spans="26:26" x14ac:dyDescent="0.2">
      <c r="Z40095" t="str">
        <f t="shared" si="626"/>
        <v/>
      </c>
    </row>
    <row r="40096" spans="26:26" x14ac:dyDescent="0.2">
      <c r="Z40096" t="str">
        <f t="shared" si="626"/>
        <v/>
      </c>
    </row>
    <row r="40097" spans="26:26" x14ac:dyDescent="0.2">
      <c r="Z40097" t="str">
        <f t="shared" si="626"/>
        <v/>
      </c>
    </row>
    <row r="40098" spans="26:26" x14ac:dyDescent="0.2">
      <c r="Z40098" t="str">
        <f t="shared" si="626"/>
        <v/>
      </c>
    </row>
    <row r="40099" spans="26:26" x14ac:dyDescent="0.2">
      <c r="Z40099" t="str">
        <f t="shared" si="626"/>
        <v/>
      </c>
    </row>
    <row r="40100" spans="26:26" x14ac:dyDescent="0.2">
      <c r="Z40100" t="str">
        <f t="shared" si="626"/>
        <v/>
      </c>
    </row>
    <row r="40101" spans="26:26" x14ac:dyDescent="0.2">
      <c r="Z40101" t="str">
        <f t="shared" si="626"/>
        <v/>
      </c>
    </row>
    <row r="40102" spans="26:26" x14ac:dyDescent="0.2">
      <c r="Z40102" t="str">
        <f t="shared" si="626"/>
        <v/>
      </c>
    </row>
    <row r="40103" spans="26:26" x14ac:dyDescent="0.2">
      <c r="Z40103" t="str">
        <f t="shared" si="626"/>
        <v/>
      </c>
    </row>
    <row r="40104" spans="26:26" x14ac:dyDescent="0.2">
      <c r="Z40104" t="str">
        <f t="shared" si="626"/>
        <v/>
      </c>
    </row>
    <row r="40105" spans="26:26" x14ac:dyDescent="0.2">
      <c r="Z40105" t="str">
        <f t="shared" si="626"/>
        <v/>
      </c>
    </row>
    <row r="40106" spans="26:26" x14ac:dyDescent="0.2">
      <c r="Z40106" t="str">
        <f t="shared" si="626"/>
        <v/>
      </c>
    </row>
    <row r="40107" spans="26:26" x14ac:dyDescent="0.2">
      <c r="Z40107" t="str">
        <f t="shared" si="626"/>
        <v/>
      </c>
    </row>
    <row r="40108" spans="26:26" x14ac:dyDescent="0.2">
      <c r="Z40108" t="str">
        <f t="shared" si="626"/>
        <v/>
      </c>
    </row>
    <row r="40109" spans="26:26" x14ac:dyDescent="0.2">
      <c r="Z40109" t="str">
        <f t="shared" si="626"/>
        <v/>
      </c>
    </row>
    <row r="40110" spans="26:26" x14ac:dyDescent="0.2">
      <c r="Z40110" t="str">
        <f t="shared" si="626"/>
        <v/>
      </c>
    </row>
    <row r="40111" spans="26:26" x14ac:dyDescent="0.2">
      <c r="Z40111" t="str">
        <f t="shared" si="626"/>
        <v/>
      </c>
    </row>
    <row r="40112" spans="26:26" x14ac:dyDescent="0.2">
      <c r="Z40112" t="str">
        <f t="shared" si="626"/>
        <v/>
      </c>
    </row>
    <row r="40113" spans="26:26" x14ac:dyDescent="0.2">
      <c r="Z40113" t="str">
        <f t="shared" si="626"/>
        <v/>
      </c>
    </row>
    <row r="40114" spans="26:26" x14ac:dyDescent="0.2">
      <c r="Z40114" t="str">
        <f t="shared" si="626"/>
        <v/>
      </c>
    </row>
    <row r="40115" spans="26:26" x14ac:dyDescent="0.2">
      <c r="Z40115" t="str">
        <f t="shared" si="626"/>
        <v/>
      </c>
    </row>
    <row r="40116" spans="26:26" x14ac:dyDescent="0.2">
      <c r="Z40116" t="str">
        <f t="shared" si="626"/>
        <v/>
      </c>
    </row>
    <row r="40117" spans="26:26" x14ac:dyDescent="0.2">
      <c r="Z40117" t="str">
        <f t="shared" si="626"/>
        <v/>
      </c>
    </row>
    <row r="40118" spans="26:26" x14ac:dyDescent="0.2">
      <c r="Z40118" t="str">
        <f t="shared" si="626"/>
        <v/>
      </c>
    </row>
    <row r="40119" spans="26:26" x14ac:dyDescent="0.2">
      <c r="Z40119" t="str">
        <f t="shared" si="626"/>
        <v/>
      </c>
    </row>
    <row r="40120" spans="26:26" x14ac:dyDescent="0.2">
      <c r="Z40120" t="str">
        <f t="shared" si="626"/>
        <v/>
      </c>
    </row>
    <row r="40121" spans="26:26" x14ac:dyDescent="0.2">
      <c r="Z40121" t="str">
        <f t="shared" si="626"/>
        <v/>
      </c>
    </row>
    <row r="40122" spans="26:26" x14ac:dyDescent="0.2">
      <c r="Z40122" t="str">
        <f t="shared" si="626"/>
        <v/>
      </c>
    </row>
    <row r="40123" spans="26:26" x14ac:dyDescent="0.2">
      <c r="Z40123" t="str">
        <f t="shared" si="626"/>
        <v/>
      </c>
    </row>
    <row r="40124" spans="26:26" x14ac:dyDescent="0.2">
      <c r="Z40124" t="str">
        <f t="shared" si="626"/>
        <v/>
      </c>
    </row>
    <row r="40125" spans="26:26" x14ac:dyDescent="0.2">
      <c r="Z40125" t="str">
        <f t="shared" si="626"/>
        <v/>
      </c>
    </row>
    <row r="40126" spans="26:26" x14ac:dyDescent="0.2">
      <c r="Z40126" t="str">
        <f t="shared" si="626"/>
        <v/>
      </c>
    </row>
    <row r="40127" spans="26:26" x14ac:dyDescent="0.2">
      <c r="Z40127" t="str">
        <f t="shared" si="626"/>
        <v/>
      </c>
    </row>
    <row r="40128" spans="26:26" x14ac:dyDescent="0.2">
      <c r="Z40128" t="str">
        <f t="shared" si="626"/>
        <v/>
      </c>
    </row>
    <row r="40129" spans="26:26" x14ac:dyDescent="0.2">
      <c r="Z40129" t="str">
        <f t="shared" si="626"/>
        <v/>
      </c>
    </row>
    <row r="40130" spans="26:26" x14ac:dyDescent="0.2">
      <c r="Z40130" t="str">
        <f t="shared" si="626"/>
        <v/>
      </c>
    </row>
    <row r="40131" spans="26:26" x14ac:dyDescent="0.2">
      <c r="Z40131" t="str">
        <f t="shared" ref="Z40131:Z40194" si="627">IF(K40131="","",IFERROR(VALUE(TRIM(MID(K40131,FIND(CHAR(167),SUBSTITUTE(K40131,"-",CHAR(167),LEN(K40131)-LEN(SUBSTITUTE(K40131,"-",""))))+1,100))),K40131))</f>
        <v/>
      </c>
    </row>
    <row r="40132" spans="26:26" x14ac:dyDescent="0.2">
      <c r="Z40132" t="str">
        <f t="shared" si="627"/>
        <v/>
      </c>
    </row>
    <row r="40133" spans="26:26" x14ac:dyDescent="0.2">
      <c r="Z40133" t="str">
        <f t="shared" si="627"/>
        <v/>
      </c>
    </row>
    <row r="40134" spans="26:26" x14ac:dyDescent="0.2">
      <c r="Z40134" t="str">
        <f t="shared" si="627"/>
        <v/>
      </c>
    </row>
    <row r="40135" spans="26:26" x14ac:dyDescent="0.2">
      <c r="Z40135" t="str">
        <f t="shared" si="627"/>
        <v/>
      </c>
    </row>
    <row r="40136" spans="26:26" x14ac:dyDescent="0.2">
      <c r="Z40136" t="str">
        <f t="shared" si="627"/>
        <v/>
      </c>
    </row>
    <row r="40137" spans="26:26" x14ac:dyDescent="0.2">
      <c r="Z40137" t="str">
        <f t="shared" si="627"/>
        <v/>
      </c>
    </row>
    <row r="40138" spans="26:26" x14ac:dyDescent="0.2">
      <c r="Z40138" t="str">
        <f t="shared" si="627"/>
        <v/>
      </c>
    </row>
    <row r="40139" spans="26:26" x14ac:dyDescent="0.2">
      <c r="Z40139" t="str">
        <f t="shared" si="627"/>
        <v/>
      </c>
    </row>
    <row r="40140" spans="26:26" x14ac:dyDescent="0.2">
      <c r="Z40140" t="str">
        <f t="shared" si="627"/>
        <v/>
      </c>
    </row>
    <row r="40141" spans="26:26" x14ac:dyDescent="0.2">
      <c r="Z40141" t="str">
        <f t="shared" si="627"/>
        <v/>
      </c>
    </row>
    <row r="40142" spans="26:26" x14ac:dyDescent="0.2">
      <c r="Z40142" t="str">
        <f t="shared" si="627"/>
        <v/>
      </c>
    </row>
    <row r="40143" spans="26:26" x14ac:dyDescent="0.2">
      <c r="Z40143" t="str">
        <f t="shared" si="627"/>
        <v/>
      </c>
    </row>
    <row r="40144" spans="26:26" x14ac:dyDescent="0.2">
      <c r="Z40144" t="str">
        <f t="shared" si="627"/>
        <v/>
      </c>
    </row>
    <row r="40145" spans="26:26" x14ac:dyDescent="0.2">
      <c r="Z40145" t="str">
        <f t="shared" si="627"/>
        <v/>
      </c>
    </row>
    <row r="40146" spans="26:26" x14ac:dyDescent="0.2">
      <c r="Z40146" t="str">
        <f t="shared" si="627"/>
        <v/>
      </c>
    </row>
    <row r="40147" spans="26:26" x14ac:dyDescent="0.2">
      <c r="Z40147" t="str">
        <f t="shared" si="627"/>
        <v/>
      </c>
    </row>
    <row r="40148" spans="26:26" x14ac:dyDescent="0.2">
      <c r="Z40148" t="str">
        <f t="shared" si="627"/>
        <v/>
      </c>
    </row>
    <row r="40149" spans="26:26" x14ac:dyDescent="0.2">
      <c r="Z40149" t="str">
        <f t="shared" si="627"/>
        <v/>
      </c>
    </row>
    <row r="40150" spans="26:26" x14ac:dyDescent="0.2">
      <c r="Z40150" t="str">
        <f t="shared" si="627"/>
        <v/>
      </c>
    </row>
    <row r="40151" spans="26:26" x14ac:dyDescent="0.2">
      <c r="Z40151" t="str">
        <f t="shared" si="627"/>
        <v/>
      </c>
    </row>
    <row r="40152" spans="26:26" x14ac:dyDescent="0.2">
      <c r="Z40152" t="str">
        <f t="shared" si="627"/>
        <v/>
      </c>
    </row>
    <row r="40153" spans="26:26" x14ac:dyDescent="0.2">
      <c r="Z40153" t="str">
        <f t="shared" si="627"/>
        <v/>
      </c>
    </row>
    <row r="40154" spans="26:26" x14ac:dyDescent="0.2">
      <c r="Z40154" t="str">
        <f t="shared" si="627"/>
        <v/>
      </c>
    </row>
    <row r="40155" spans="26:26" x14ac:dyDescent="0.2">
      <c r="Z40155" t="str">
        <f t="shared" si="627"/>
        <v/>
      </c>
    </row>
    <row r="40156" spans="26:26" x14ac:dyDescent="0.2">
      <c r="Z40156" t="str">
        <f t="shared" si="627"/>
        <v/>
      </c>
    </row>
    <row r="40157" spans="26:26" x14ac:dyDescent="0.2">
      <c r="Z40157" t="str">
        <f t="shared" si="627"/>
        <v/>
      </c>
    </row>
    <row r="40158" spans="26:26" x14ac:dyDescent="0.2">
      <c r="Z40158" t="str">
        <f t="shared" si="627"/>
        <v/>
      </c>
    </row>
    <row r="40159" spans="26:26" x14ac:dyDescent="0.2">
      <c r="Z40159" t="str">
        <f t="shared" si="627"/>
        <v/>
      </c>
    </row>
    <row r="40160" spans="26:26" x14ac:dyDescent="0.2">
      <c r="Z40160" t="str">
        <f t="shared" si="627"/>
        <v/>
      </c>
    </row>
    <row r="40161" spans="26:26" x14ac:dyDescent="0.2">
      <c r="Z40161" t="str">
        <f t="shared" si="627"/>
        <v/>
      </c>
    </row>
    <row r="40162" spans="26:26" x14ac:dyDescent="0.2">
      <c r="Z40162" t="str">
        <f t="shared" si="627"/>
        <v/>
      </c>
    </row>
    <row r="40163" spans="26:26" x14ac:dyDescent="0.2">
      <c r="Z40163" t="str">
        <f t="shared" si="627"/>
        <v/>
      </c>
    </row>
    <row r="40164" spans="26:26" x14ac:dyDescent="0.2">
      <c r="Z40164" t="str">
        <f t="shared" si="627"/>
        <v/>
      </c>
    </row>
    <row r="40165" spans="26:26" x14ac:dyDescent="0.2">
      <c r="Z40165" t="str">
        <f t="shared" si="627"/>
        <v/>
      </c>
    </row>
    <row r="40166" spans="26:26" x14ac:dyDescent="0.2">
      <c r="Z40166" t="str">
        <f t="shared" si="627"/>
        <v/>
      </c>
    </row>
    <row r="40167" spans="26:26" x14ac:dyDescent="0.2">
      <c r="Z40167" t="str">
        <f t="shared" si="627"/>
        <v/>
      </c>
    </row>
    <row r="40168" spans="26:26" x14ac:dyDescent="0.2">
      <c r="Z40168" t="str">
        <f t="shared" si="627"/>
        <v/>
      </c>
    </row>
    <row r="40169" spans="26:26" x14ac:dyDescent="0.2">
      <c r="Z40169" t="str">
        <f t="shared" si="627"/>
        <v/>
      </c>
    </row>
    <row r="40170" spans="26:26" x14ac:dyDescent="0.2">
      <c r="Z40170" t="str">
        <f t="shared" si="627"/>
        <v/>
      </c>
    </row>
    <row r="40171" spans="26:26" x14ac:dyDescent="0.2">
      <c r="Z40171" t="str">
        <f t="shared" si="627"/>
        <v/>
      </c>
    </row>
    <row r="40172" spans="26:26" x14ac:dyDescent="0.2">
      <c r="Z40172" t="str">
        <f t="shared" si="627"/>
        <v/>
      </c>
    </row>
    <row r="40173" spans="26:26" x14ac:dyDescent="0.2">
      <c r="Z40173" t="str">
        <f t="shared" si="627"/>
        <v/>
      </c>
    </row>
    <row r="40174" spans="26:26" x14ac:dyDescent="0.2">
      <c r="Z40174" t="str">
        <f t="shared" si="627"/>
        <v/>
      </c>
    </row>
    <row r="40175" spans="26:26" x14ac:dyDescent="0.2">
      <c r="Z40175" t="str">
        <f t="shared" si="627"/>
        <v/>
      </c>
    </row>
    <row r="40176" spans="26:26" x14ac:dyDescent="0.2">
      <c r="Z40176" t="str">
        <f t="shared" si="627"/>
        <v/>
      </c>
    </row>
    <row r="40177" spans="26:26" x14ac:dyDescent="0.2">
      <c r="Z40177" t="str">
        <f t="shared" si="627"/>
        <v/>
      </c>
    </row>
    <row r="40178" spans="26:26" x14ac:dyDescent="0.2">
      <c r="Z40178" t="str">
        <f t="shared" si="627"/>
        <v/>
      </c>
    </row>
    <row r="40179" spans="26:26" x14ac:dyDescent="0.2">
      <c r="Z40179" t="str">
        <f t="shared" si="627"/>
        <v/>
      </c>
    </row>
    <row r="40180" spans="26:26" x14ac:dyDescent="0.2">
      <c r="Z40180" t="str">
        <f t="shared" si="627"/>
        <v/>
      </c>
    </row>
    <row r="40181" spans="26:26" x14ac:dyDescent="0.2">
      <c r="Z40181" t="str">
        <f t="shared" si="627"/>
        <v/>
      </c>
    </row>
    <row r="40182" spans="26:26" x14ac:dyDescent="0.2">
      <c r="Z40182" t="str">
        <f t="shared" si="627"/>
        <v/>
      </c>
    </row>
    <row r="40183" spans="26:26" x14ac:dyDescent="0.2">
      <c r="Z40183" t="str">
        <f t="shared" si="627"/>
        <v/>
      </c>
    </row>
    <row r="40184" spans="26:26" x14ac:dyDescent="0.2">
      <c r="Z40184" t="str">
        <f t="shared" si="627"/>
        <v/>
      </c>
    </row>
    <row r="40185" spans="26:26" x14ac:dyDescent="0.2">
      <c r="Z40185" t="str">
        <f t="shared" si="627"/>
        <v/>
      </c>
    </row>
    <row r="40186" spans="26:26" x14ac:dyDescent="0.2">
      <c r="Z40186" t="str">
        <f t="shared" si="627"/>
        <v/>
      </c>
    </row>
    <row r="40187" spans="26:26" x14ac:dyDescent="0.2">
      <c r="Z40187" t="str">
        <f t="shared" si="627"/>
        <v/>
      </c>
    </row>
    <row r="40188" spans="26:26" x14ac:dyDescent="0.2">
      <c r="Z40188" t="str">
        <f t="shared" si="627"/>
        <v/>
      </c>
    </row>
    <row r="40189" spans="26:26" x14ac:dyDescent="0.2">
      <c r="Z40189" t="str">
        <f t="shared" si="627"/>
        <v/>
      </c>
    </row>
    <row r="40190" spans="26:26" x14ac:dyDescent="0.2">
      <c r="Z40190" t="str">
        <f t="shared" si="627"/>
        <v/>
      </c>
    </row>
    <row r="40191" spans="26:26" x14ac:dyDescent="0.2">
      <c r="Z40191" t="str">
        <f t="shared" si="627"/>
        <v/>
      </c>
    </row>
    <row r="40192" spans="26:26" x14ac:dyDescent="0.2">
      <c r="Z40192" t="str">
        <f t="shared" si="627"/>
        <v/>
      </c>
    </row>
    <row r="40193" spans="26:26" x14ac:dyDescent="0.2">
      <c r="Z40193" t="str">
        <f t="shared" si="627"/>
        <v/>
      </c>
    </row>
    <row r="40194" spans="26:26" x14ac:dyDescent="0.2">
      <c r="Z40194" t="str">
        <f t="shared" si="627"/>
        <v/>
      </c>
    </row>
    <row r="40195" spans="26:26" x14ac:dyDescent="0.2">
      <c r="Z40195" t="str">
        <f t="shared" ref="Z40195:Z40258" si="628">IF(K40195="","",IFERROR(VALUE(TRIM(MID(K40195,FIND(CHAR(167),SUBSTITUTE(K40195,"-",CHAR(167),LEN(K40195)-LEN(SUBSTITUTE(K40195,"-",""))))+1,100))),K40195))</f>
        <v/>
      </c>
    </row>
    <row r="40196" spans="26:26" x14ac:dyDescent="0.2">
      <c r="Z40196" t="str">
        <f t="shared" si="628"/>
        <v/>
      </c>
    </row>
    <row r="40197" spans="26:26" x14ac:dyDescent="0.2">
      <c r="Z40197" t="str">
        <f t="shared" si="628"/>
        <v/>
      </c>
    </row>
    <row r="40198" spans="26:26" x14ac:dyDescent="0.2">
      <c r="Z40198" t="str">
        <f t="shared" si="628"/>
        <v/>
      </c>
    </row>
    <row r="40199" spans="26:26" x14ac:dyDescent="0.2">
      <c r="Z40199" t="str">
        <f t="shared" si="628"/>
        <v/>
      </c>
    </row>
    <row r="40200" spans="26:26" x14ac:dyDescent="0.2">
      <c r="Z40200" t="str">
        <f t="shared" si="628"/>
        <v/>
      </c>
    </row>
    <row r="40201" spans="26:26" x14ac:dyDescent="0.2">
      <c r="Z40201" t="str">
        <f t="shared" si="628"/>
        <v/>
      </c>
    </row>
    <row r="40202" spans="26:26" x14ac:dyDescent="0.2">
      <c r="Z40202" t="str">
        <f t="shared" si="628"/>
        <v/>
      </c>
    </row>
    <row r="40203" spans="26:26" x14ac:dyDescent="0.2">
      <c r="Z40203" t="str">
        <f t="shared" si="628"/>
        <v/>
      </c>
    </row>
    <row r="40204" spans="26:26" x14ac:dyDescent="0.2">
      <c r="Z40204" t="str">
        <f t="shared" si="628"/>
        <v/>
      </c>
    </row>
    <row r="40205" spans="26:26" x14ac:dyDescent="0.2">
      <c r="Z40205" t="str">
        <f t="shared" si="628"/>
        <v/>
      </c>
    </row>
    <row r="40206" spans="26:26" x14ac:dyDescent="0.2">
      <c r="Z40206" t="str">
        <f t="shared" si="628"/>
        <v/>
      </c>
    </row>
    <row r="40207" spans="26:26" x14ac:dyDescent="0.2">
      <c r="Z40207" t="str">
        <f t="shared" si="628"/>
        <v/>
      </c>
    </row>
    <row r="40208" spans="26:26" x14ac:dyDescent="0.2">
      <c r="Z40208" t="str">
        <f t="shared" si="628"/>
        <v/>
      </c>
    </row>
    <row r="40209" spans="26:26" x14ac:dyDescent="0.2">
      <c r="Z40209" t="str">
        <f t="shared" si="628"/>
        <v/>
      </c>
    </row>
    <row r="40210" spans="26:26" x14ac:dyDescent="0.2">
      <c r="Z40210" t="str">
        <f t="shared" si="628"/>
        <v/>
      </c>
    </row>
    <row r="40211" spans="26:26" x14ac:dyDescent="0.2">
      <c r="Z40211" t="str">
        <f t="shared" si="628"/>
        <v/>
      </c>
    </row>
    <row r="40212" spans="26:26" x14ac:dyDescent="0.2">
      <c r="Z40212" t="str">
        <f t="shared" si="628"/>
        <v/>
      </c>
    </row>
    <row r="40213" spans="26:26" x14ac:dyDescent="0.2">
      <c r="Z40213" t="str">
        <f t="shared" si="628"/>
        <v/>
      </c>
    </row>
    <row r="40214" spans="26:26" x14ac:dyDescent="0.2">
      <c r="Z40214" t="str">
        <f t="shared" si="628"/>
        <v/>
      </c>
    </row>
    <row r="40215" spans="26:26" x14ac:dyDescent="0.2">
      <c r="Z40215" t="str">
        <f t="shared" si="628"/>
        <v/>
      </c>
    </row>
    <row r="40216" spans="26:26" x14ac:dyDescent="0.2">
      <c r="Z40216" t="str">
        <f t="shared" si="628"/>
        <v/>
      </c>
    </row>
    <row r="40217" spans="26:26" x14ac:dyDescent="0.2">
      <c r="Z40217" t="str">
        <f t="shared" si="628"/>
        <v/>
      </c>
    </row>
    <row r="40218" spans="26:26" x14ac:dyDescent="0.2">
      <c r="Z40218" t="str">
        <f t="shared" si="628"/>
        <v/>
      </c>
    </row>
    <row r="40219" spans="26:26" x14ac:dyDescent="0.2">
      <c r="Z40219" t="str">
        <f t="shared" si="628"/>
        <v/>
      </c>
    </row>
    <row r="40220" spans="26:26" x14ac:dyDescent="0.2">
      <c r="Z40220" t="str">
        <f t="shared" si="628"/>
        <v/>
      </c>
    </row>
    <row r="40221" spans="26:26" x14ac:dyDescent="0.2">
      <c r="Z40221" t="str">
        <f t="shared" si="628"/>
        <v/>
      </c>
    </row>
    <row r="40222" spans="26:26" x14ac:dyDescent="0.2">
      <c r="Z40222" t="str">
        <f t="shared" si="628"/>
        <v/>
      </c>
    </row>
    <row r="40223" spans="26:26" x14ac:dyDescent="0.2">
      <c r="Z40223" t="str">
        <f t="shared" si="628"/>
        <v/>
      </c>
    </row>
    <row r="40224" spans="26:26" x14ac:dyDescent="0.2">
      <c r="Z40224" t="str">
        <f t="shared" si="628"/>
        <v/>
      </c>
    </row>
    <row r="40225" spans="26:26" x14ac:dyDescent="0.2">
      <c r="Z40225" t="str">
        <f t="shared" si="628"/>
        <v/>
      </c>
    </row>
    <row r="40226" spans="26:26" x14ac:dyDescent="0.2">
      <c r="Z40226" t="str">
        <f t="shared" si="628"/>
        <v/>
      </c>
    </row>
    <row r="40227" spans="26:26" x14ac:dyDescent="0.2">
      <c r="Z40227" t="str">
        <f t="shared" si="628"/>
        <v/>
      </c>
    </row>
    <row r="40228" spans="26:26" x14ac:dyDescent="0.2">
      <c r="Z40228" t="str">
        <f t="shared" si="628"/>
        <v/>
      </c>
    </row>
    <row r="40229" spans="26:26" x14ac:dyDescent="0.2">
      <c r="Z40229" t="str">
        <f t="shared" si="628"/>
        <v/>
      </c>
    </row>
    <row r="40230" spans="26:26" x14ac:dyDescent="0.2">
      <c r="Z40230" t="str">
        <f t="shared" si="628"/>
        <v/>
      </c>
    </row>
    <row r="40231" spans="26:26" x14ac:dyDescent="0.2">
      <c r="Z40231" t="str">
        <f t="shared" si="628"/>
        <v/>
      </c>
    </row>
    <row r="40232" spans="26:26" x14ac:dyDescent="0.2">
      <c r="Z40232" t="str">
        <f t="shared" si="628"/>
        <v/>
      </c>
    </row>
    <row r="40233" spans="26:26" x14ac:dyDescent="0.2">
      <c r="Z40233" t="str">
        <f t="shared" si="628"/>
        <v/>
      </c>
    </row>
    <row r="40234" spans="26:26" x14ac:dyDescent="0.2">
      <c r="Z40234" t="str">
        <f t="shared" si="628"/>
        <v/>
      </c>
    </row>
    <row r="40235" spans="26:26" x14ac:dyDescent="0.2">
      <c r="Z40235" t="str">
        <f t="shared" si="628"/>
        <v/>
      </c>
    </row>
    <row r="40236" spans="26:26" x14ac:dyDescent="0.2">
      <c r="Z40236" t="str">
        <f t="shared" si="628"/>
        <v/>
      </c>
    </row>
    <row r="40237" spans="26:26" x14ac:dyDescent="0.2">
      <c r="Z40237" t="str">
        <f t="shared" si="628"/>
        <v/>
      </c>
    </row>
    <row r="40238" spans="26:26" x14ac:dyDescent="0.2">
      <c r="Z40238" t="str">
        <f t="shared" si="628"/>
        <v/>
      </c>
    </row>
    <row r="40239" spans="26:26" x14ac:dyDescent="0.2">
      <c r="Z40239" t="str">
        <f t="shared" si="628"/>
        <v/>
      </c>
    </row>
    <row r="40240" spans="26:26" x14ac:dyDescent="0.2">
      <c r="Z40240" t="str">
        <f t="shared" si="628"/>
        <v/>
      </c>
    </row>
    <row r="40241" spans="26:26" x14ac:dyDescent="0.2">
      <c r="Z40241" t="str">
        <f t="shared" si="628"/>
        <v/>
      </c>
    </row>
    <row r="40242" spans="26:26" x14ac:dyDescent="0.2">
      <c r="Z40242" t="str">
        <f t="shared" si="628"/>
        <v/>
      </c>
    </row>
    <row r="40243" spans="26:26" x14ac:dyDescent="0.2">
      <c r="Z40243" t="str">
        <f t="shared" si="628"/>
        <v/>
      </c>
    </row>
    <row r="40244" spans="26:26" x14ac:dyDescent="0.2">
      <c r="Z40244" t="str">
        <f t="shared" si="628"/>
        <v/>
      </c>
    </row>
    <row r="40245" spans="26:26" x14ac:dyDescent="0.2">
      <c r="Z40245" t="str">
        <f t="shared" si="628"/>
        <v/>
      </c>
    </row>
    <row r="40246" spans="26:26" x14ac:dyDescent="0.2">
      <c r="Z40246" t="str">
        <f t="shared" si="628"/>
        <v/>
      </c>
    </row>
    <row r="40247" spans="26:26" x14ac:dyDescent="0.2">
      <c r="Z40247" t="str">
        <f t="shared" si="628"/>
        <v/>
      </c>
    </row>
    <row r="40248" spans="26:26" x14ac:dyDescent="0.2">
      <c r="Z40248" t="str">
        <f t="shared" si="628"/>
        <v/>
      </c>
    </row>
    <row r="40249" spans="26:26" x14ac:dyDescent="0.2">
      <c r="Z40249" t="str">
        <f t="shared" si="628"/>
        <v/>
      </c>
    </row>
    <row r="40250" spans="26:26" x14ac:dyDescent="0.2">
      <c r="Z40250" t="str">
        <f t="shared" si="628"/>
        <v/>
      </c>
    </row>
    <row r="40251" spans="26:26" x14ac:dyDescent="0.2">
      <c r="Z40251" t="str">
        <f t="shared" si="628"/>
        <v/>
      </c>
    </row>
    <row r="40252" spans="26:26" x14ac:dyDescent="0.2">
      <c r="Z40252" t="str">
        <f t="shared" si="628"/>
        <v/>
      </c>
    </row>
    <row r="40253" spans="26:26" x14ac:dyDescent="0.2">
      <c r="Z40253" t="str">
        <f t="shared" si="628"/>
        <v/>
      </c>
    </row>
    <row r="40254" spans="26:26" x14ac:dyDescent="0.2">
      <c r="Z40254" t="str">
        <f t="shared" si="628"/>
        <v/>
      </c>
    </row>
    <row r="40255" spans="26:26" x14ac:dyDescent="0.2">
      <c r="Z40255" t="str">
        <f t="shared" si="628"/>
        <v/>
      </c>
    </row>
    <row r="40256" spans="26:26" x14ac:dyDescent="0.2">
      <c r="Z40256" t="str">
        <f t="shared" si="628"/>
        <v/>
      </c>
    </row>
    <row r="40257" spans="26:26" x14ac:dyDescent="0.2">
      <c r="Z40257" t="str">
        <f t="shared" si="628"/>
        <v/>
      </c>
    </row>
    <row r="40258" spans="26:26" x14ac:dyDescent="0.2">
      <c r="Z40258" t="str">
        <f t="shared" si="628"/>
        <v/>
      </c>
    </row>
    <row r="40259" spans="26:26" x14ac:dyDescent="0.2">
      <c r="Z40259" t="str">
        <f t="shared" ref="Z40259:Z40322" si="629">IF(K40259="","",IFERROR(VALUE(TRIM(MID(K40259,FIND(CHAR(167),SUBSTITUTE(K40259,"-",CHAR(167),LEN(K40259)-LEN(SUBSTITUTE(K40259,"-",""))))+1,100))),K40259))</f>
        <v/>
      </c>
    </row>
    <row r="40260" spans="26:26" x14ac:dyDescent="0.2">
      <c r="Z40260" t="str">
        <f t="shared" si="629"/>
        <v/>
      </c>
    </row>
    <row r="40261" spans="26:26" x14ac:dyDescent="0.2">
      <c r="Z40261" t="str">
        <f t="shared" si="629"/>
        <v/>
      </c>
    </row>
    <row r="40262" spans="26:26" x14ac:dyDescent="0.2">
      <c r="Z40262" t="str">
        <f t="shared" si="629"/>
        <v/>
      </c>
    </row>
    <row r="40263" spans="26:26" x14ac:dyDescent="0.2">
      <c r="Z40263" t="str">
        <f t="shared" si="629"/>
        <v/>
      </c>
    </row>
    <row r="40264" spans="26:26" x14ac:dyDescent="0.2">
      <c r="Z40264" t="str">
        <f t="shared" si="629"/>
        <v/>
      </c>
    </row>
    <row r="40265" spans="26:26" x14ac:dyDescent="0.2">
      <c r="Z40265" t="str">
        <f t="shared" si="629"/>
        <v/>
      </c>
    </row>
    <row r="40266" spans="26:26" x14ac:dyDescent="0.2">
      <c r="Z40266" t="str">
        <f t="shared" si="629"/>
        <v/>
      </c>
    </row>
    <row r="40267" spans="26:26" x14ac:dyDescent="0.2">
      <c r="Z40267" t="str">
        <f t="shared" si="629"/>
        <v/>
      </c>
    </row>
    <row r="40268" spans="26:26" x14ac:dyDescent="0.2">
      <c r="Z40268" t="str">
        <f t="shared" si="629"/>
        <v/>
      </c>
    </row>
    <row r="40269" spans="26:26" x14ac:dyDescent="0.2">
      <c r="Z40269" t="str">
        <f t="shared" si="629"/>
        <v/>
      </c>
    </row>
    <row r="40270" spans="26:26" x14ac:dyDescent="0.2">
      <c r="Z40270" t="str">
        <f t="shared" si="629"/>
        <v/>
      </c>
    </row>
    <row r="40271" spans="26:26" x14ac:dyDescent="0.2">
      <c r="Z40271" t="str">
        <f t="shared" si="629"/>
        <v/>
      </c>
    </row>
    <row r="40272" spans="26:26" x14ac:dyDescent="0.2">
      <c r="Z40272" t="str">
        <f t="shared" si="629"/>
        <v/>
      </c>
    </row>
    <row r="40273" spans="26:26" x14ac:dyDescent="0.2">
      <c r="Z40273" t="str">
        <f t="shared" si="629"/>
        <v/>
      </c>
    </row>
    <row r="40274" spans="26:26" x14ac:dyDescent="0.2">
      <c r="Z40274" t="str">
        <f t="shared" si="629"/>
        <v/>
      </c>
    </row>
    <row r="40275" spans="26:26" x14ac:dyDescent="0.2">
      <c r="Z40275" t="str">
        <f t="shared" si="629"/>
        <v/>
      </c>
    </row>
    <row r="40276" spans="26:26" x14ac:dyDescent="0.2">
      <c r="Z40276" t="str">
        <f t="shared" si="629"/>
        <v/>
      </c>
    </row>
    <row r="40277" spans="26:26" x14ac:dyDescent="0.2">
      <c r="Z40277" t="str">
        <f t="shared" si="629"/>
        <v/>
      </c>
    </row>
    <row r="40278" spans="26:26" x14ac:dyDescent="0.2">
      <c r="Z40278" t="str">
        <f t="shared" si="629"/>
        <v/>
      </c>
    </row>
    <row r="40279" spans="26:26" x14ac:dyDescent="0.2">
      <c r="Z40279" t="str">
        <f t="shared" si="629"/>
        <v/>
      </c>
    </row>
    <row r="40280" spans="26:26" x14ac:dyDescent="0.2">
      <c r="Z40280" t="str">
        <f t="shared" si="629"/>
        <v/>
      </c>
    </row>
    <row r="40281" spans="26:26" x14ac:dyDescent="0.2">
      <c r="Z40281" t="str">
        <f t="shared" si="629"/>
        <v/>
      </c>
    </row>
    <row r="40282" spans="26:26" x14ac:dyDescent="0.2">
      <c r="Z40282" t="str">
        <f t="shared" si="629"/>
        <v/>
      </c>
    </row>
    <row r="40283" spans="26:26" x14ac:dyDescent="0.2">
      <c r="Z40283" t="str">
        <f t="shared" si="629"/>
        <v/>
      </c>
    </row>
    <row r="40284" spans="26:26" x14ac:dyDescent="0.2">
      <c r="Z40284" t="str">
        <f t="shared" si="629"/>
        <v/>
      </c>
    </row>
    <row r="40285" spans="26:26" x14ac:dyDescent="0.2">
      <c r="Z40285" t="str">
        <f t="shared" si="629"/>
        <v/>
      </c>
    </row>
    <row r="40286" spans="26:26" x14ac:dyDescent="0.2">
      <c r="Z40286" t="str">
        <f t="shared" si="629"/>
        <v/>
      </c>
    </row>
    <row r="40287" spans="26:26" x14ac:dyDescent="0.2">
      <c r="Z40287" t="str">
        <f t="shared" si="629"/>
        <v/>
      </c>
    </row>
    <row r="40288" spans="26:26" x14ac:dyDescent="0.2">
      <c r="Z40288" t="str">
        <f t="shared" si="629"/>
        <v/>
      </c>
    </row>
    <row r="40289" spans="26:26" x14ac:dyDescent="0.2">
      <c r="Z40289" t="str">
        <f t="shared" si="629"/>
        <v/>
      </c>
    </row>
    <row r="40290" spans="26:26" x14ac:dyDescent="0.2">
      <c r="Z40290" t="str">
        <f t="shared" si="629"/>
        <v/>
      </c>
    </row>
    <row r="40291" spans="26:26" x14ac:dyDescent="0.2">
      <c r="Z40291" t="str">
        <f t="shared" si="629"/>
        <v/>
      </c>
    </row>
    <row r="40292" spans="26:26" x14ac:dyDescent="0.2">
      <c r="Z40292" t="str">
        <f t="shared" si="629"/>
        <v/>
      </c>
    </row>
    <row r="40293" spans="26:26" x14ac:dyDescent="0.2">
      <c r="Z40293" t="str">
        <f t="shared" si="629"/>
        <v/>
      </c>
    </row>
    <row r="40294" spans="26:26" x14ac:dyDescent="0.2">
      <c r="Z40294" t="str">
        <f t="shared" si="629"/>
        <v/>
      </c>
    </row>
    <row r="40295" spans="26:26" x14ac:dyDescent="0.2">
      <c r="Z40295" t="str">
        <f t="shared" si="629"/>
        <v/>
      </c>
    </row>
    <row r="40296" spans="26:26" x14ac:dyDescent="0.2">
      <c r="Z40296" t="str">
        <f t="shared" si="629"/>
        <v/>
      </c>
    </row>
    <row r="40297" spans="26:26" x14ac:dyDescent="0.2">
      <c r="Z40297" t="str">
        <f t="shared" si="629"/>
        <v/>
      </c>
    </row>
    <row r="40298" spans="26:26" x14ac:dyDescent="0.2">
      <c r="Z40298" t="str">
        <f t="shared" si="629"/>
        <v/>
      </c>
    </row>
    <row r="40299" spans="26:26" x14ac:dyDescent="0.2">
      <c r="Z40299" t="str">
        <f t="shared" si="629"/>
        <v/>
      </c>
    </row>
    <row r="40300" spans="26:26" x14ac:dyDescent="0.2">
      <c r="Z40300" t="str">
        <f t="shared" si="629"/>
        <v/>
      </c>
    </row>
    <row r="40301" spans="26:26" x14ac:dyDescent="0.2">
      <c r="Z40301" t="str">
        <f t="shared" si="629"/>
        <v/>
      </c>
    </row>
    <row r="40302" spans="26:26" x14ac:dyDescent="0.2">
      <c r="Z40302" t="str">
        <f t="shared" si="629"/>
        <v/>
      </c>
    </row>
    <row r="40303" spans="26:26" x14ac:dyDescent="0.2">
      <c r="Z40303" t="str">
        <f t="shared" si="629"/>
        <v/>
      </c>
    </row>
    <row r="40304" spans="26:26" x14ac:dyDescent="0.2">
      <c r="Z40304" t="str">
        <f t="shared" si="629"/>
        <v/>
      </c>
    </row>
    <row r="40305" spans="26:26" x14ac:dyDescent="0.2">
      <c r="Z40305" t="str">
        <f t="shared" si="629"/>
        <v/>
      </c>
    </row>
    <row r="40306" spans="26:26" x14ac:dyDescent="0.2">
      <c r="Z40306" t="str">
        <f t="shared" si="629"/>
        <v/>
      </c>
    </row>
    <row r="40307" spans="26:26" x14ac:dyDescent="0.2">
      <c r="Z40307" t="str">
        <f t="shared" si="629"/>
        <v/>
      </c>
    </row>
    <row r="40308" spans="26:26" x14ac:dyDescent="0.2">
      <c r="Z40308" t="str">
        <f t="shared" si="629"/>
        <v/>
      </c>
    </row>
    <row r="40309" spans="26:26" x14ac:dyDescent="0.2">
      <c r="Z40309" t="str">
        <f t="shared" si="629"/>
        <v/>
      </c>
    </row>
    <row r="40310" spans="26:26" x14ac:dyDescent="0.2">
      <c r="Z40310" t="str">
        <f t="shared" si="629"/>
        <v/>
      </c>
    </row>
    <row r="40311" spans="26:26" x14ac:dyDescent="0.2">
      <c r="Z40311" t="str">
        <f t="shared" si="629"/>
        <v/>
      </c>
    </row>
    <row r="40312" spans="26:26" x14ac:dyDescent="0.2">
      <c r="Z40312" t="str">
        <f t="shared" si="629"/>
        <v/>
      </c>
    </row>
    <row r="40313" spans="26:26" x14ac:dyDescent="0.2">
      <c r="Z40313" t="str">
        <f t="shared" si="629"/>
        <v/>
      </c>
    </row>
    <row r="40314" spans="26:26" x14ac:dyDescent="0.2">
      <c r="Z40314" t="str">
        <f t="shared" si="629"/>
        <v/>
      </c>
    </row>
    <row r="40315" spans="26:26" x14ac:dyDescent="0.2">
      <c r="Z40315" t="str">
        <f t="shared" si="629"/>
        <v/>
      </c>
    </row>
    <row r="40316" spans="26:26" x14ac:dyDescent="0.2">
      <c r="Z40316" t="str">
        <f t="shared" si="629"/>
        <v/>
      </c>
    </row>
    <row r="40317" spans="26:26" x14ac:dyDescent="0.2">
      <c r="Z40317" t="str">
        <f t="shared" si="629"/>
        <v/>
      </c>
    </row>
    <row r="40318" spans="26:26" x14ac:dyDescent="0.2">
      <c r="Z40318" t="str">
        <f t="shared" si="629"/>
        <v/>
      </c>
    </row>
    <row r="40319" spans="26:26" x14ac:dyDescent="0.2">
      <c r="Z40319" t="str">
        <f t="shared" si="629"/>
        <v/>
      </c>
    </row>
    <row r="40320" spans="26:26" x14ac:dyDescent="0.2">
      <c r="Z40320" t="str">
        <f t="shared" si="629"/>
        <v/>
      </c>
    </row>
    <row r="40321" spans="26:26" x14ac:dyDescent="0.2">
      <c r="Z40321" t="str">
        <f t="shared" si="629"/>
        <v/>
      </c>
    </row>
    <row r="40322" spans="26:26" x14ac:dyDescent="0.2">
      <c r="Z40322" t="str">
        <f t="shared" si="629"/>
        <v/>
      </c>
    </row>
    <row r="40323" spans="26:26" x14ac:dyDescent="0.2">
      <c r="Z40323" t="str">
        <f t="shared" ref="Z40323:Z40386" si="630">IF(K40323="","",IFERROR(VALUE(TRIM(MID(K40323,FIND(CHAR(167),SUBSTITUTE(K40323,"-",CHAR(167),LEN(K40323)-LEN(SUBSTITUTE(K40323,"-",""))))+1,100))),K40323))</f>
        <v/>
      </c>
    </row>
    <row r="40324" spans="26:26" x14ac:dyDescent="0.2">
      <c r="Z40324" t="str">
        <f t="shared" si="630"/>
        <v/>
      </c>
    </row>
    <row r="40325" spans="26:26" x14ac:dyDescent="0.2">
      <c r="Z40325" t="str">
        <f t="shared" si="630"/>
        <v/>
      </c>
    </row>
    <row r="40326" spans="26:26" x14ac:dyDescent="0.2">
      <c r="Z40326" t="str">
        <f t="shared" si="630"/>
        <v/>
      </c>
    </row>
    <row r="40327" spans="26:26" x14ac:dyDescent="0.2">
      <c r="Z40327" t="str">
        <f t="shared" si="630"/>
        <v/>
      </c>
    </row>
    <row r="40328" spans="26:26" x14ac:dyDescent="0.2">
      <c r="Z40328" t="str">
        <f t="shared" si="630"/>
        <v/>
      </c>
    </row>
    <row r="40329" spans="26:26" x14ac:dyDescent="0.2">
      <c r="Z40329" t="str">
        <f t="shared" si="630"/>
        <v/>
      </c>
    </row>
    <row r="40330" spans="26:26" x14ac:dyDescent="0.2">
      <c r="Z40330" t="str">
        <f t="shared" si="630"/>
        <v/>
      </c>
    </row>
    <row r="40331" spans="26:26" x14ac:dyDescent="0.2">
      <c r="Z40331" t="str">
        <f t="shared" si="630"/>
        <v/>
      </c>
    </row>
    <row r="40332" spans="26:26" x14ac:dyDescent="0.2">
      <c r="Z40332" t="str">
        <f t="shared" si="630"/>
        <v/>
      </c>
    </row>
    <row r="40333" spans="26:26" x14ac:dyDescent="0.2">
      <c r="Z40333" t="str">
        <f t="shared" si="630"/>
        <v/>
      </c>
    </row>
    <row r="40334" spans="26:26" x14ac:dyDescent="0.2">
      <c r="Z40334" t="str">
        <f t="shared" si="630"/>
        <v/>
      </c>
    </row>
    <row r="40335" spans="26:26" x14ac:dyDescent="0.2">
      <c r="Z40335" t="str">
        <f t="shared" si="630"/>
        <v/>
      </c>
    </row>
    <row r="40336" spans="26:26" x14ac:dyDescent="0.2">
      <c r="Z40336" t="str">
        <f t="shared" si="630"/>
        <v/>
      </c>
    </row>
    <row r="40337" spans="26:26" x14ac:dyDescent="0.2">
      <c r="Z40337" t="str">
        <f t="shared" si="630"/>
        <v/>
      </c>
    </row>
    <row r="40338" spans="26:26" x14ac:dyDescent="0.2">
      <c r="Z40338" t="str">
        <f t="shared" si="630"/>
        <v/>
      </c>
    </row>
    <row r="40339" spans="26:26" x14ac:dyDescent="0.2">
      <c r="Z40339" t="str">
        <f t="shared" si="630"/>
        <v/>
      </c>
    </row>
    <row r="40340" spans="26:26" x14ac:dyDescent="0.2">
      <c r="Z40340" t="str">
        <f t="shared" si="630"/>
        <v/>
      </c>
    </row>
    <row r="40341" spans="26:26" x14ac:dyDescent="0.2">
      <c r="Z40341" t="str">
        <f t="shared" si="630"/>
        <v/>
      </c>
    </row>
    <row r="40342" spans="26:26" x14ac:dyDescent="0.2">
      <c r="Z40342" t="str">
        <f t="shared" si="630"/>
        <v/>
      </c>
    </row>
    <row r="40343" spans="26:26" x14ac:dyDescent="0.2">
      <c r="Z40343" t="str">
        <f t="shared" si="630"/>
        <v/>
      </c>
    </row>
    <row r="40344" spans="26:26" x14ac:dyDescent="0.2">
      <c r="Z40344" t="str">
        <f t="shared" si="630"/>
        <v/>
      </c>
    </row>
    <row r="40345" spans="26:26" x14ac:dyDescent="0.2">
      <c r="Z40345" t="str">
        <f t="shared" si="630"/>
        <v/>
      </c>
    </row>
    <row r="40346" spans="26:26" x14ac:dyDescent="0.2">
      <c r="Z40346" t="str">
        <f t="shared" si="630"/>
        <v/>
      </c>
    </row>
    <row r="40347" spans="26:26" x14ac:dyDescent="0.2">
      <c r="Z40347" t="str">
        <f t="shared" si="630"/>
        <v/>
      </c>
    </row>
    <row r="40348" spans="26:26" x14ac:dyDescent="0.2">
      <c r="Z40348" t="str">
        <f t="shared" si="630"/>
        <v/>
      </c>
    </row>
    <row r="40349" spans="26:26" x14ac:dyDescent="0.2">
      <c r="Z40349" t="str">
        <f t="shared" si="630"/>
        <v/>
      </c>
    </row>
    <row r="40350" spans="26:26" x14ac:dyDescent="0.2">
      <c r="Z40350" t="str">
        <f t="shared" si="630"/>
        <v/>
      </c>
    </row>
    <row r="40351" spans="26:26" x14ac:dyDescent="0.2">
      <c r="Z40351" t="str">
        <f t="shared" si="630"/>
        <v/>
      </c>
    </row>
    <row r="40352" spans="26:26" x14ac:dyDescent="0.2">
      <c r="Z40352" t="str">
        <f t="shared" si="630"/>
        <v/>
      </c>
    </row>
    <row r="40353" spans="26:26" x14ac:dyDescent="0.2">
      <c r="Z40353" t="str">
        <f t="shared" si="630"/>
        <v/>
      </c>
    </row>
    <row r="40354" spans="26:26" x14ac:dyDescent="0.2">
      <c r="Z40354" t="str">
        <f t="shared" si="630"/>
        <v/>
      </c>
    </row>
    <row r="40355" spans="26:26" x14ac:dyDescent="0.2">
      <c r="Z40355" t="str">
        <f t="shared" si="630"/>
        <v/>
      </c>
    </row>
    <row r="40356" spans="26:26" x14ac:dyDescent="0.2">
      <c r="Z40356" t="str">
        <f t="shared" si="630"/>
        <v/>
      </c>
    </row>
    <row r="40357" spans="26:26" x14ac:dyDescent="0.2">
      <c r="Z40357" t="str">
        <f t="shared" si="630"/>
        <v/>
      </c>
    </row>
    <row r="40358" spans="26:26" x14ac:dyDescent="0.2">
      <c r="Z40358" t="str">
        <f t="shared" si="630"/>
        <v/>
      </c>
    </row>
    <row r="40359" spans="26:26" x14ac:dyDescent="0.2">
      <c r="Z40359" t="str">
        <f t="shared" si="630"/>
        <v/>
      </c>
    </row>
    <row r="40360" spans="26:26" x14ac:dyDescent="0.2">
      <c r="Z40360" t="str">
        <f t="shared" si="630"/>
        <v/>
      </c>
    </row>
    <row r="40361" spans="26:26" x14ac:dyDescent="0.2">
      <c r="Z40361" t="str">
        <f t="shared" si="630"/>
        <v/>
      </c>
    </row>
    <row r="40362" spans="26:26" x14ac:dyDescent="0.2">
      <c r="Z40362" t="str">
        <f t="shared" si="630"/>
        <v/>
      </c>
    </row>
    <row r="40363" spans="26:26" x14ac:dyDescent="0.2">
      <c r="Z40363" t="str">
        <f t="shared" si="630"/>
        <v/>
      </c>
    </row>
    <row r="40364" spans="26:26" x14ac:dyDescent="0.2">
      <c r="Z40364" t="str">
        <f t="shared" si="630"/>
        <v/>
      </c>
    </row>
    <row r="40365" spans="26:26" x14ac:dyDescent="0.2">
      <c r="Z40365" t="str">
        <f t="shared" si="630"/>
        <v/>
      </c>
    </row>
    <row r="40366" spans="26:26" x14ac:dyDescent="0.2">
      <c r="Z40366" t="str">
        <f t="shared" si="630"/>
        <v/>
      </c>
    </row>
    <row r="40367" spans="26:26" x14ac:dyDescent="0.2">
      <c r="Z40367" t="str">
        <f t="shared" si="630"/>
        <v/>
      </c>
    </row>
    <row r="40368" spans="26:26" x14ac:dyDescent="0.2">
      <c r="Z40368" t="str">
        <f t="shared" si="630"/>
        <v/>
      </c>
    </row>
    <row r="40369" spans="26:26" x14ac:dyDescent="0.2">
      <c r="Z40369" t="str">
        <f t="shared" si="630"/>
        <v/>
      </c>
    </row>
    <row r="40370" spans="26:26" x14ac:dyDescent="0.2">
      <c r="Z40370" t="str">
        <f t="shared" si="630"/>
        <v/>
      </c>
    </row>
    <row r="40371" spans="26:26" x14ac:dyDescent="0.2">
      <c r="Z40371" t="str">
        <f t="shared" si="630"/>
        <v/>
      </c>
    </row>
    <row r="40372" spans="26:26" x14ac:dyDescent="0.2">
      <c r="Z40372" t="str">
        <f t="shared" si="630"/>
        <v/>
      </c>
    </row>
    <row r="40373" spans="26:26" x14ac:dyDescent="0.2">
      <c r="Z40373" t="str">
        <f t="shared" si="630"/>
        <v/>
      </c>
    </row>
    <row r="40374" spans="26:26" x14ac:dyDescent="0.2">
      <c r="Z40374" t="str">
        <f t="shared" si="630"/>
        <v/>
      </c>
    </row>
    <row r="40375" spans="26:26" x14ac:dyDescent="0.2">
      <c r="Z40375" t="str">
        <f t="shared" si="630"/>
        <v/>
      </c>
    </row>
    <row r="40376" spans="26:26" x14ac:dyDescent="0.2">
      <c r="Z40376" t="str">
        <f t="shared" si="630"/>
        <v/>
      </c>
    </row>
    <row r="40377" spans="26:26" x14ac:dyDescent="0.2">
      <c r="Z40377" t="str">
        <f t="shared" si="630"/>
        <v/>
      </c>
    </row>
    <row r="40378" spans="26:26" x14ac:dyDescent="0.2">
      <c r="Z40378" t="str">
        <f t="shared" si="630"/>
        <v/>
      </c>
    </row>
    <row r="40379" spans="26:26" x14ac:dyDescent="0.2">
      <c r="Z40379" t="str">
        <f t="shared" si="630"/>
        <v/>
      </c>
    </row>
    <row r="40380" spans="26:26" x14ac:dyDescent="0.2">
      <c r="Z40380" t="str">
        <f t="shared" si="630"/>
        <v/>
      </c>
    </row>
    <row r="40381" spans="26:26" x14ac:dyDescent="0.2">
      <c r="Z40381" t="str">
        <f t="shared" si="630"/>
        <v/>
      </c>
    </row>
    <row r="40382" spans="26:26" x14ac:dyDescent="0.2">
      <c r="Z40382" t="str">
        <f t="shared" si="630"/>
        <v/>
      </c>
    </row>
    <row r="40383" spans="26:26" x14ac:dyDescent="0.2">
      <c r="Z40383" t="str">
        <f t="shared" si="630"/>
        <v/>
      </c>
    </row>
    <row r="40384" spans="26:26" x14ac:dyDescent="0.2">
      <c r="Z40384" t="str">
        <f t="shared" si="630"/>
        <v/>
      </c>
    </row>
    <row r="40385" spans="26:26" x14ac:dyDescent="0.2">
      <c r="Z40385" t="str">
        <f t="shared" si="630"/>
        <v/>
      </c>
    </row>
    <row r="40386" spans="26:26" x14ac:dyDescent="0.2">
      <c r="Z40386" t="str">
        <f t="shared" si="630"/>
        <v/>
      </c>
    </row>
    <row r="40387" spans="26:26" x14ac:dyDescent="0.2">
      <c r="Z40387" t="str">
        <f t="shared" ref="Z40387:Z40450" si="631">IF(K40387="","",IFERROR(VALUE(TRIM(MID(K40387,FIND(CHAR(167),SUBSTITUTE(K40387,"-",CHAR(167),LEN(K40387)-LEN(SUBSTITUTE(K40387,"-",""))))+1,100))),K40387))</f>
        <v/>
      </c>
    </row>
    <row r="40388" spans="26:26" x14ac:dyDescent="0.2">
      <c r="Z40388" t="str">
        <f t="shared" si="631"/>
        <v/>
      </c>
    </row>
    <row r="40389" spans="26:26" x14ac:dyDescent="0.2">
      <c r="Z40389" t="str">
        <f t="shared" si="631"/>
        <v/>
      </c>
    </row>
    <row r="40390" spans="26:26" x14ac:dyDescent="0.2">
      <c r="Z40390" t="str">
        <f t="shared" si="631"/>
        <v/>
      </c>
    </row>
    <row r="40391" spans="26:26" x14ac:dyDescent="0.2">
      <c r="Z40391" t="str">
        <f t="shared" si="631"/>
        <v/>
      </c>
    </row>
    <row r="40392" spans="26:26" x14ac:dyDescent="0.2">
      <c r="Z40392" t="str">
        <f t="shared" si="631"/>
        <v/>
      </c>
    </row>
    <row r="40393" spans="26:26" x14ac:dyDescent="0.2">
      <c r="Z40393" t="str">
        <f t="shared" si="631"/>
        <v/>
      </c>
    </row>
    <row r="40394" spans="26:26" x14ac:dyDescent="0.2">
      <c r="Z40394" t="str">
        <f t="shared" si="631"/>
        <v/>
      </c>
    </row>
    <row r="40395" spans="26:26" x14ac:dyDescent="0.2">
      <c r="Z40395" t="str">
        <f t="shared" si="631"/>
        <v/>
      </c>
    </row>
    <row r="40396" spans="26:26" x14ac:dyDescent="0.2">
      <c r="Z40396" t="str">
        <f t="shared" si="631"/>
        <v/>
      </c>
    </row>
    <row r="40397" spans="26:26" x14ac:dyDescent="0.2">
      <c r="Z40397" t="str">
        <f t="shared" si="631"/>
        <v/>
      </c>
    </row>
    <row r="40398" spans="26:26" x14ac:dyDescent="0.2">
      <c r="Z40398" t="str">
        <f t="shared" si="631"/>
        <v/>
      </c>
    </row>
    <row r="40399" spans="26:26" x14ac:dyDescent="0.2">
      <c r="Z40399" t="str">
        <f t="shared" si="631"/>
        <v/>
      </c>
    </row>
    <row r="40400" spans="26:26" x14ac:dyDescent="0.2">
      <c r="Z40400" t="str">
        <f t="shared" si="631"/>
        <v/>
      </c>
    </row>
    <row r="40401" spans="26:26" x14ac:dyDescent="0.2">
      <c r="Z40401" t="str">
        <f t="shared" si="631"/>
        <v/>
      </c>
    </row>
    <row r="40402" spans="26:26" x14ac:dyDescent="0.2">
      <c r="Z40402" t="str">
        <f t="shared" si="631"/>
        <v/>
      </c>
    </row>
    <row r="40403" spans="26:26" x14ac:dyDescent="0.2">
      <c r="Z40403" t="str">
        <f t="shared" si="631"/>
        <v/>
      </c>
    </row>
    <row r="40404" spans="26:26" x14ac:dyDescent="0.2">
      <c r="Z40404" t="str">
        <f t="shared" si="631"/>
        <v/>
      </c>
    </row>
    <row r="40405" spans="26:26" x14ac:dyDescent="0.2">
      <c r="Z40405" t="str">
        <f t="shared" si="631"/>
        <v/>
      </c>
    </row>
    <row r="40406" spans="26:26" x14ac:dyDescent="0.2">
      <c r="Z40406" t="str">
        <f t="shared" si="631"/>
        <v/>
      </c>
    </row>
    <row r="40407" spans="26:26" x14ac:dyDescent="0.2">
      <c r="Z40407" t="str">
        <f t="shared" si="631"/>
        <v/>
      </c>
    </row>
    <row r="40408" spans="26:26" x14ac:dyDescent="0.2">
      <c r="Z40408" t="str">
        <f t="shared" si="631"/>
        <v/>
      </c>
    </row>
    <row r="40409" spans="26:26" x14ac:dyDescent="0.2">
      <c r="Z40409" t="str">
        <f t="shared" si="631"/>
        <v/>
      </c>
    </row>
    <row r="40410" spans="26:26" x14ac:dyDescent="0.2">
      <c r="Z40410" t="str">
        <f t="shared" si="631"/>
        <v/>
      </c>
    </row>
    <row r="40411" spans="26:26" x14ac:dyDescent="0.2">
      <c r="Z40411" t="str">
        <f t="shared" si="631"/>
        <v/>
      </c>
    </row>
    <row r="40412" spans="26:26" x14ac:dyDescent="0.2">
      <c r="Z40412" t="str">
        <f t="shared" si="631"/>
        <v/>
      </c>
    </row>
    <row r="40413" spans="26:26" x14ac:dyDescent="0.2">
      <c r="Z40413" t="str">
        <f t="shared" si="631"/>
        <v/>
      </c>
    </row>
    <row r="40414" spans="26:26" x14ac:dyDescent="0.2">
      <c r="Z40414" t="str">
        <f t="shared" si="631"/>
        <v/>
      </c>
    </row>
    <row r="40415" spans="26:26" x14ac:dyDescent="0.2">
      <c r="Z40415" t="str">
        <f t="shared" si="631"/>
        <v/>
      </c>
    </row>
    <row r="40416" spans="26:26" x14ac:dyDescent="0.2">
      <c r="Z40416" t="str">
        <f t="shared" si="631"/>
        <v/>
      </c>
    </row>
    <row r="40417" spans="26:26" x14ac:dyDescent="0.2">
      <c r="Z40417" t="str">
        <f t="shared" si="631"/>
        <v/>
      </c>
    </row>
    <row r="40418" spans="26:26" x14ac:dyDescent="0.2">
      <c r="Z40418" t="str">
        <f t="shared" si="631"/>
        <v/>
      </c>
    </row>
    <row r="40419" spans="26:26" x14ac:dyDescent="0.2">
      <c r="Z40419" t="str">
        <f t="shared" si="631"/>
        <v/>
      </c>
    </row>
    <row r="40420" spans="26:26" x14ac:dyDescent="0.2">
      <c r="Z40420" t="str">
        <f t="shared" si="631"/>
        <v/>
      </c>
    </row>
    <row r="40421" spans="26:26" x14ac:dyDescent="0.2">
      <c r="Z40421" t="str">
        <f t="shared" si="631"/>
        <v/>
      </c>
    </row>
    <row r="40422" spans="26:26" x14ac:dyDescent="0.2">
      <c r="Z40422" t="str">
        <f t="shared" si="631"/>
        <v/>
      </c>
    </row>
    <row r="40423" spans="26:26" x14ac:dyDescent="0.2">
      <c r="Z40423" t="str">
        <f t="shared" si="631"/>
        <v/>
      </c>
    </row>
    <row r="40424" spans="26:26" x14ac:dyDescent="0.2">
      <c r="Z40424" t="str">
        <f t="shared" si="631"/>
        <v/>
      </c>
    </row>
    <row r="40425" spans="26:26" x14ac:dyDescent="0.2">
      <c r="Z40425" t="str">
        <f t="shared" si="631"/>
        <v/>
      </c>
    </row>
    <row r="40426" spans="26:26" x14ac:dyDescent="0.2">
      <c r="Z40426" t="str">
        <f t="shared" si="631"/>
        <v/>
      </c>
    </row>
    <row r="40427" spans="26:26" x14ac:dyDescent="0.2">
      <c r="Z40427" t="str">
        <f t="shared" si="631"/>
        <v/>
      </c>
    </row>
    <row r="40428" spans="26:26" x14ac:dyDescent="0.2">
      <c r="Z40428" t="str">
        <f t="shared" si="631"/>
        <v/>
      </c>
    </row>
    <row r="40429" spans="26:26" x14ac:dyDescent="0.2">
      <c r="Z40429" t="str">
        <f t="shared" si="631"/>
        <v/>
      </c>
    </row>
    <row r="40430" spans="26:26" x14ac:dyDescent="0.2">
      <c r="Z40430" t="str">
        <f t="shared" si="631"/>
        <v/>
      </c>
    </row>
    <row r="40431" spans="26:26" x14ac:dyDescent="0.2">
      <c r="Z40431" t="str">
        <f t="shared" si="631"/>
        <v/>
      </c>
    </row>
    <row r="40432" spans="26:26" x14ac:dyDescent="0.2">
      <c r="Z40432" t="str">
        <f t="shared" si="631"/>
        <v/>
      </c>
    </row>
    <row r="40433" spans="26:26" x14ac:dyDescent="0.2">
      <c r="Z40433" t="str">
        <f t="shared" si="631"/>
        <v/>
      </c>
    </row>
    <row r="40434" spans="26:26" x14ac:dyDescent="0.2">
      <c r="Z40434" t="str">
        <f t="shared" si="631"/>
        <v/>
      </c>
    </row>
    <row r="40435" spans="26:26" x14ac:dyDescent="0.2">
      <c r="Z40435" t="str">
        <f t="shared" si="631"/>
        <v/>
      </c>
    </row>
    <row r="40436" spans="26:26" x14ac:dyDescent="0.2">
      <c r="Z40436" t="str">
        <f t="shared" si="631"/>
        <v/>
      </c>
    </row>
    <row r="40437" spans="26:26" x14ac:dyDescent="0.2">
      <c r="Z40437" t="str">
        <f t="shared" si="631"/>
        <v/>
      </c>
    </row>
    <row r="40438" spans="26:26" x14ac:dyDescent="0.2">
      <c r="Z40438" t="str">
        <f t="shared" si="631"/>
        <v/>
      </c>
    </row>
    <row r="40439" spans="26:26" x14ac:dyDescent="0.2">
      <c r="Z40439" t="str">
        <f t="shared" si="631"/>
        <v/>
      </c>
    </row>
    <row r="40440" spans="26:26" x14ac:dyDescent="0.2">
      <c r="Z40440" t="str">
        <f t="shared" si="631"/>
        <v/>
      </c>
    </row>
    <row r="40441" spans="26:26" x14ac:dyDescent="0.2">
      <c r="Z40441" t="str">
        <f t="shared" si="631"/>
        <v/>
      </c>
    </row>
    <row r="40442" spans="26:26" x14ac:dyDescent="0.2">
      <c r="Z40442" t="str">
        <f t="shared" si="631"/>
        <v/>
      </c>
    </row>
    <row r="40443" spans="26:26" x14ac:dyDescent="0.2">
      <c r="Z40443" t="str">
        <f t="shared" si="631"/>
        <v/>
      </c>
    </row>
    <row r="40444" spans="26:26" x14ac:dyDescent="0.2">
      <c r="Z40444" t="str">
        <f t="shared" si="631"/>
        <v/>
      </c>
    </row>
    <row r="40445" spans="26:26" x14ac:dyDescent="0.2">
      <c r="Z40445" t="str">
        <f t="shared" si="631"/>
        <v/>
      </c>
    </row>
    <row r="40446" spans="26:26" x14ac:dyDescent="0.2">
      <c r="Z40446" t="str">
        <f t="shared" si="631"/>
        <v/>
      </c>
    </row>
    <row r="40447" spans="26:26" x14ac:dyDescent="0.2">
      <c r="Z40447" t="str">
        <f t="shared" si="631"/>
        <v/>
      </c>
    </row>
    <row r="40448" spans="26:26" x14ac:dyDescent="0.2">
      <c r="Z40448" t="str">
        <f t="shared" si="631"/>
        <v/>
      </c>
    </row>
    <row r="40449" spans="26:26" x14ac:dyDescent="0.2">
      <c r="Z40449" t="str">
        <f t="shared" si="631"/>
        <v/>
      </c>
    </row>
    <row r="40450" spans="26:26" x14ac:dyDescent="0.2">
      <c r="Z40450" t="str">
        <f t="shared" si="631"/>
        <v/>
      </c>
    </row>
    <row r="40451" spans="26:26" x14ac:dyDescent="0.2">
      <c r="Z40451" t="str">
        <f t="shared" ref="Z40451:Z40514" si="632">IF(K40451="","",IFERROR(VALUE(TRIM(MID(K40451,FIND(CHAR(167),SUBSTITUTE(K40451,"-",CHAR(167),LEN(K40451)-LEN(SUBSTITUTE(K40451,"-",""))))+1,100))),K40451))</f>
        <v/>
      </c>
    </row>
    <row r="40452" spans="26:26" x14ac:dyDescent="0.2">
      <c r="Z40452" t="str">
        <f t="shared" si="632"/>
        <v/>
      </c>
    </row>
    <row r="40453" spans="26:26" x14ac:dyDescent="0.2">
      <c r="Z40453" t="str">
        <f t="shared" si="632"/>
        <v/>
      </c>
    </row>
    <row r="40454" spans="26:26" x14ac:dyDescent="0.2">
      <c r="Z40454" t="str">
        <f t="shared" si="632"/>
        <v/>
      </c>
    </row>
    <row r="40455" spans="26:26" x14ac:dyDescent="0.2">
      <c r="Z40455" t="str">
        <f t="shared" si="632"/>
        <v/>
      </c>
    </row>
    <row r="40456" spans="26:26" x14ac:dyDescent="0.2">
      <c r="Z40456" t="str">
        <f t="shared" si="632"/>
        <v/>
      </c>
    </row>
    <row r="40457" spans="26:26" x14ac:dyDescent="0.2">
      <c r="Z40457" t="str">
        <f t="shared" si="632"/>
        <v/>
      </c>
    </row>
    <row r="40458" spans="26:26" x14ac:dyDescent="0.2">
      <c r="Z40458" t="str">
        <f t="shared" si="632"/>
        <v/>
      </c>
    </row>
    <row r="40459" spans="26:26" x14ac:dyDescent="0.2">
      <c r="Z40459" t="str">
        <f t="shared" si="632"/>
        <v/>
      </c>
    </row>
    <row r="40460" spans="26:26" x14ac:dyDescent="0.2">
      <c r="Z40460" t="str">
        <f t="shared" si="632"/>
        <v/>
      </c>
    </row>
    <row r="40461" spans="26:26" x14ac:dyDescent="0.2">
      <c r="Z40461" t="str">
        <f t="shared" si="632"/>
        <v/>
      </c>
    </row>
    <row r="40462" spans="26:26" x14ac:dyDescent="0.2">
      <c r="Z40462" t="str">
        <f t="shared" si="632"/>
        <v/>
      </c>
    </row>
    <row r="40463" spans="26:26" x14ac:dyDescent="0.2">
      <c r="Z40463" t="str">
        <f t="shared" si="632"/>
        <v/>
      </c>
    </row>
    <row r="40464" spans="26:26" x14ac:dyDescent="0.2">
      <c r="Z40464" t="str">
        <f t="shared" si="632"/>
        <v/>
      </c>
    </row>
    <row r="40465" spans="26:26" x14ac:dyDescent="0.2">
      <c r="Z40465" t="str">
        <f t="shared" si="632"/>
        <v/>
      </c>
    </row>
    <row r="40466" spans="26:26" x14ac:dyDescent="0.2">
      <c r="Z40466" t="str">
        <f t="shared" si="632"/>
        <v/>
      </c>
    </row>
    <row r="40467" spans="26:26" x14ac:dyDescent="0.2">
      <c r="Z40467" t="str">
        <f t="shared" si="632"/>
        <v/>
      </c>
    </row>
    <row r="40468" spans="26:26" x14ac:dyDescent="0.2">
      <c r="Z40468" t="str">
        <f t="shared" si="632"/>
        <v/>
      </c>
    </row>
    <row r="40469" spans="26:26" x14ac:dyDescent="0.2">
      <c r="Z40469" t="str">
        <f t="shared" si="632"/>
        <v/>
      </c>
    </row>
    <row r="40470" spans="26:26" x14ac:dyDescent="0.2">
      <c r="Z40470" t="str">
        <f t="shared" si="632"/>
        <v/>
      </c>
    </row>
    <row r="40471" spans="26:26" x14ac:dyDescent="0.2">
      <c r="Z40471" t="str">
        <f t="shared" si="632"/>
        <v/>
      </c>
    </row>
    <row r="40472" spans="26:26" x14ac:dyDescent="0.2">
      <c r="Z40472" t="str">
        <f t="shared" si="632"/>
        <v/>
      </c>
    </row>
    <row r="40473" spans="26:26" x14ac:dyDescent="0.2">
      <c r="Z40473" t="str">
        <f t="shared" si="632"/>
        <v/>
      </c>
    </row>
    <row r="40474" spans="26:26" x14ac:dyDescent="0.2">
      <c r="Z40474" t="str">
        <f t="shared" si="632"/>
        <v/>
      </c>
    </row>
    <row r="40475" spans="26:26" x14ac:dyDescent="0.2">
      <c r="Z40475" t="str">
        <f t="shared" si="632"/>
        <v/>
      </c>
    </row>
    <row r="40476" spans="26:26" x14ac:dyDescent="0.2">
      <c r="Z40476" t="str">
        <f t="shared" si="632"/>
        <v/>
      </c>
    </row>
    <row r="40477" spans="26:26" x14ac:dyDescent="0.2">
      <c r="Z40477" t="str">
        <f t="shared" si="632"/>
        <v/>
      </c>
    </row>
    <row r="40478" spans="26:26" x14ac:dyDescent="0.2">
      <c r="Z40478" t="str">
        <f t="shared" si="632"/>
        <v/>
      </c>
    </row>
    <row r="40479" spans="26:26" x14ac:dyDescent="0.2">
      <c r="Z40479" t="str">
        <f t="shared" si="632"/>
        <v/>
      </c>
    </row>
    <row r="40480" spans="26:26" x14ac:dyDescent="0.2">
      <c r="Z40480" t="str">
        <f t="shared" si="632"/>
        <v/>
      </c>
    </row>
    <row r="40481" spans="26:26" x14ac:dyDescent="0.2">
      <c r="Z40481" t="str">
        <f t="shared" si="632"/>
        <v/>
      </c>
    </row>
    <row r="40482" spans="26:26" x14ac:dyDescent="0.2">
      <c r="Z40482" t="str">
        <f t="shared" si="632"/>
        <v/>
      </c>
    </row>
    <row r="40483" spans="26:26" x14ac:dyDescent="0.2">
      <c r="Z40483" t="str">
        <f t="shared" si="632"/>
        <v/>
      </c>
    </row>
    <row r="40484" spans="26:26" x14ac:dyDescent="0.2">
      <c r="Z40484" t="str">
        <f t="shared" si="632"/>
        <v/>
      </c>
    </row>
    <row r="40485" spans="26:26" x14ac:dyDescent="0.2">
      <c r="Z40485" t="str">
        <f t="shared" si="632"/>
        <v/>
      </c>
    </row>
    <row r="40486" spans="26:26" x14ac:dyDescent="0.2">
      <c r="Z40486" t="str">
        <f t="shared" si="632"/>
        <v/>
      </c>
    </row>
    <row r="40487" spans="26:26" x14ac:dyDescent="0.2">
      <c r="Z40487" t="str">
        <f t="shared" si="632"/>
        <v/>
      </c>
    </row>
    <row r="40488" spans="26:26" x14ac:dyDescent="0.2">
      <c r="Z40488" t="str">
        <f t="shared" si="632"/>
        <v/>
      </c>
    </row>
    <row r="40489" spans="26:26" x14ac:dyDescent="0.2">
      <c r="Z40489" t="str">
        <f t="shared" si="632"/>
        <v/>
      </c>
    </row>
    <row r="40490" spans="26:26" x14ac:dyDescent="0.2">
      <c r="Z40490" t="str">
        <f t="shared" si="632"/>
        <v/>
      </c>
    </row>
    <row r="40491" spans="26:26" x14ac:dyDescent="0.2">
      <c r="Z40491" t="str">
        <f t="shared" si="632"/>
        <v/>
      </c>
    </row>
    <row r="40492" spans="26:26" x14ac:dyDescent="0.2">
      <c r="Z40492" t="str">
        <f t="shared" si="632"/>
        <v/>
      </c>
    </row>
    <row r="40493" spans="26:26" x14ac:dyDescent="0.2">
      <c r="Z40493" t="str">
        <f t="shared" si="632"/>
        <v/>
      </c>
    </row>
    <row r="40494" spans="26:26" x14ac:dyDescent="0.2">
      <c r="Z40494" t="str">
        <f t="shared" si="632"/>
        <v/>
      </c>
    </row>
    <row r="40495" spans="26:26" x14ac:dyDescent="0.2">
      <c r="Z40495" t="str">
        <f t="shared" si="632"/>
        <v/>
      </c>
    </row>
    <row r="40496" spans="26:26" x14ac:dyDescent="0.2">
      <c r="Z40496" t="str">
        <f t="shared" si="632"/>
        <v/>
      </c>
    </row>
    <row r="40497" spans="26:26" x14ac:dyDescent="0.2">
      <c r="Z40497" t="str">
        <f t="shared" si="632"/>
        <v/>
      </c>
    </row>
    <row r="40498" spans="26:26" x14ac:dyDescent="0.2">
      <c r="Z40498" t="str">
        <f t="shared" si="632"/>
        <v/>
      </c>
    </row>
    <row r="40499" spans="26:26" x14ac:dyDescent="0.2">
      <c r="Z40499" t="str">
        <f t="shared" si="632"/>
        <v/>
      </c>
    </row>
    <row r="40500" spans="26:26" x14ac:dyDescent="0.2">
      <c r="Z40500" t="str">
        <f t="shared" si="632"/>
        <v/>
      </c>
    </row>
    <row r="40501" spans="26:26" x14ac:dyDescent="0.2">
      <c r="Z40501" t="str">
        <f t="shared" si="632"/>
        <v/>
      </c>
    </row>
    <row r="40502" spans="26:26" x14ac:dyDescent="0.2">
      <c r="Z40502" t="str">
        <f t="shared" si="632"/>
        <v/>
      </c>
    </row>
    <row r="40503" spans="26:26" x14ac:dyDescent="0.2">
      <c r="Z40503" t="str">
        <f t="shared" si="632"/>
        <v/>
      </c>
    </row>
    <row r="40504" spans="26:26" x14ac:dyDescent="0.2">
      <c r="Z40504" t="str">
        <f t="shared" si="632"/>
        <v/>
      </c>
    </row>
    <row r="40505" spans="26:26" x14ac:dyDescent="0.2">
      <c r="Z40505" t="str">
        <f t="shared" si="632"/>
        <v/>
      </c>
    </row>
    <row r="40506" spans="26:26" x14ac:dyDescent="0.2">
      <c r="Z40506" t="str">
        <f t="shared" si="632"/>
        <v/>
      </c>
    </row>
    <row r="40507" spans="26:26" x14ac:dyDescent="0.2">
      <c r="Z40507" t="str">
        <f t="shared" si="632"/>
        <v/>
      </c>
    </row>
    <row r="40508" spans="26:26" x14ac:dyDescent="0.2">
      <c r="Z40508" t="str">
        <f t="shared" si="632"/>
        <v/>
      </c>
    </row>
    <row r="40509" spans="26:26" x14ac:dyDescent="0.2">
      <c r="Z40509" t="str">
        <f t="shared" si="632"/>
        <v/>
      </c>
    </row>
    <row r="40510" spans="26:26" x14ac:dyDescent="0.2">
      <c r="Z40510" t="str">
        <f t="shared" si="632"/>
        <v/>
      </c>
    </row>
    <row r="40511" spans="26:26" x14ac:dyDescent="0.2">
      <c r="Z40511" t="str">
        <f t="shared" si="632"/>
        <v/>
      </c>
    </row>
    <row r="40512" spans="26:26" x14ac:dyDescent="0.2">
      <c r="Z40512" t="str">
        <f t="shared" si="632"/>
        <v/>
      </c>
    </row>
    <row r="40513" spans="26:26" x14ac:dyDescent="0.2">
      <c r="Z40513" t="str">
        <f t="shared" si="632"/>
        <v/>
      </c>
    </row>
    <row r="40514" spans="26:26" x14ac:dyDescent="0.2">
      <c r="Z40514" t="str">
        <f t="shared" si="632"/>
        <v/>
      </c>
    </row>
    <row r="40515" spans="26:26" x14ac:dyDescent="0.2">
      <c r="Z40515" t="str">
        <f t="shared" ref="Z40515:Z40578" si="633">IF(K40515="","",IFERROR(VALUE(TRIM(MID(K40515,FIND(CHAR(167),SUBSTITUTE(K40515,"-",CHAR(167),LEN(K40515)-LEN(SUBSTITUTE(K40515,"-",""))))+1,100))),K40515))</f>
        <v/>
      </c>
    </row>
    <row r="40516" spans="26:26" x14ac:dyDescent="0.2">
      <c r="Z40516" t="str">
        <f t="shared" si="633"/>
        <v/>
      </c>
    </row>
    <row r="40517" spans="26:26" x14ac:dyDescent="0.2">
      <c r="Z40517" t="str">
        <f t="shared" si="633"/>
        <v/>
      </c>
    </row>
    <row r="40518" spans="26:26" x14ac:dyDescent="0.2">
      <c r="Z40518" t="str">
        <f t="shared" si="633"/>
        <v/>
      </c>
    </row>
    <row r="40519" spans="26:26" x14ac:dyDescent="0.2">
      <c r="Z40519" t="str">
        <f t="shared" si="633"/>
        <v/>
      </c>
    </row>
    <row r="40520" spans="26:26" x14ac:dyDescent="0.2">
      <c r="Z40520" t="str">
        <f t="shared" si="633"/>
        <v/>
      </c>
    </row>
    <row r="40521" spans="26:26" x14ac:dyDescent="0.2">
      <c r="Z40521" t="str">
        <f t="shared" si="633"/>
        <v/>
      </c>
    </row>
    <row r="40522" spans="26:26" x14ac:dyDescent="0.2">
      <c r="Z40522" t="str">
        <f t="shared" si="633"/>
        <v/>
      </c>
    </row>
    <row r="40523" spans="26:26" x14ac:dyDescent="0.2">
      <c r="Z40523" t="str">
        <f t="shared" si="633"/>
        <v/>
      </c>
    </row>
    <row r="40524" spans="26:26" x14ac:dyDescent="0.2">
      <c r="Z40524" t="str">
        <f t="shared" si="633"/>
        <v/>
      </c>
    </row>
    <row r="40525" spans="26:26" x14ac:dyDescent="0.2">
      <c r="Z40525" t="str">
        <f t="shared" si="633"/>
        <v/>
      </c>
    </row>
    <row r="40526" spans="26:26" x14ac:dyDescent="0.2">
      <c r="Z40526" t="str">
        <f t="shared" si="633"/>
        <v/>
      </c>
    </row>
    <row r="40527" spans="26:26" x14ac:dyDescent="0.2">
      <c r="Z40527" t="str">
        <f t="shared" si="633"/>
        <v/>
      </c>
    </row>
    <row r="40528" spans="26:26" x14ac:dyDescent="0.2">
      <c r="Z40528" t="str">
        <f t="shared" si="633"/>
        <v/>
      </c>
    </row>
    <row r="40529" spans="26:26" x14ac:dyDescent="0.2">
      <c r="Z40529" t="str">
        <f t="shared" si="633"/>
        <v/>
      </c>
    </row>
    <row r="40530" spans="26:26" x14ac:dyDescent="0.2">
      <c r="Z40530" t="str">
        <f t="shared" si="633"/>
        <v/>
      </c>
    </row>
    <row r="40531" spans="26:26" x14ac:dyDescent="0.2">
      <c r="Z40531" t="str">
        <f t="shared" si="633"/>
        <v/>
      </c>
    </row>
    <row r="40532" spans="26:26" x14ac:dyDescent="0.2">
      <c r="Z40532" t="str">
        <f t="shared" si="633"/>
        <v/>
      </c>
    </row>
    <row r="40533" spans="26:26" x14ac:dyDescent="0.2">
      <c r="Z40533" t="str">
        <f t="shared" si="633"/>
        <v/>
      </c>
    </row>
    <row r="40534" spans="26:26" x14ac:dyDescent="0.2">
      <c r="Z40534" t="str">
        <f t="shared" si="633"/>
        <v/>
      </c>
    </row>
    <row r="40535" spans="26:26" x14ac:dyDescent="0.2">
      <c r="Z40535" t="str">
        <f t="shared" si="633"/>
        <v/>
      </c>
    </row>
    <row r="40536" spans="26:26" x14ac:dyDescent="0.2">
      <c r="Z40536" t="str">
        <f t="shared" si="633"/>
        <v/>
      </c>
    </row>
    <row r="40537" spans="26:26" x14ac:dyDescent="0.2">
      <c r="Z40537" t="str">
        <f t="shared" si="633"/>
        <v/>
      </c>
    </row>
    <row r="40538" spans="26:26" x14ac:dyDescent="0.2">
      <c r="Z40538" t="str">
        <f t="shared" si="633"/>
        <v/>
      </c>
    </row>
    <row r="40539" spans="26:26" x14ac:dyDescent="0.2">
      <c r="Z40539" t="str">
        <f t="shared" si="633"/>
        <v/>
      </c>
    </row>
    <row r="40540" spans="26:26" x14ac:dyDescent="0.2">
      <c r="Z40540" t="str">
        <f t="shared" si="633"/>
        <v/>
      </c>
    </row>
    <row r="40541" spans="26:26" x14ac:dyDescent="0.2">
      <c r="Z40541" t="str">
        <f t="shared" si="633"/>
        <v/>
      </c>
    </row>
    <row r="40542" spans="26:26" x14ac:dyDescent="0.2">
      <c r="Z40542" t="str">
        <f t="shared" si="633"/>
        <v/>
      </c>
    </row>
    <row r="40543" spans="26:26" x14ac:dyDescent="0.2">
      <c r="Z40543" t="str">
        <f t="shared" si="633"/>
        <v/>
      </c>
    </row>
    <row r="40544" spans="26:26" x14ac:dyDescent="0.2">
      <c r="Z40544" t="str">
        <f t="shared" si="633"/>
        <v/>
      </c>
    </row>
    <row r="40545" spans="26:26" x14ac:dyDescent="0.2">
      <c r="Z40545" t="str">
        <f t="shared" si="633"/>
        <v/>
      </c>
    </row>
    <row r="40546" spans="26:26" x14ac:dyDescent="0.2">
      <c r="Z40546" t="str">
        <f t="shared" si="633"/>
        <v/>
      </c>
    </row>
    <row r="40547" spans="26:26" x14ac:dyDescent="0.2">
      <c r="Z40547" t="str">
        <f t="shared" si="633"/>
        <v/>
      </c>
    </row>
    <row r="40548" spans="26:26" x14ac:dyDescent="0.2">
      <c r="Z40548" t="str">
        <f t="shared" si="633"/>
        <v/>
      </c>
    </row>
    <row r="40549" spans="26:26" x14ac:dyDescent="0.2">
      <c r="Z40549" t="str">
        <f t="shared" si="633"/>
        <v/>
      </c>
    </row>
    <row r="40550" spans="26:26" x14ac:dyDescent="0.2">
      <c r="Z40550" t="str">
        <f t="shared" si="633"/>
        <v/>
      </c>
    </row>
    <row r="40551" spans="26:26" x14ac:dyDescent="0.2">
      <c r="Z40551" t="str">
        <f t="shared" si="633"/>
        <v/>
      </c>
    </row>
    <row r="40552" spans="26:26" x14ac:dyDescent="0.2">
      <c r="Z40552" t="str">
        <f t="shared" si="633"/>
        <v/>
      </c>
    </row>
    <row r="40553" spans="26:26" x14ac:dyDescent="0.2">
      <c r="Z40553" t="str">
        <f t="shared" si="633"/>
        <v/>
      </c>
    </row>
    <row r="40554" spans="26:26" x14ac:dyDescent="0.2">
      <c r="Z40554" t="str">
        <f t="shared" si="633"/>
        <v/>
      </c>
    </row>
    <row r="40555" spans="26:26" x14ac:dyDescent="0.2">
      <c r="Z40555" t="str">
        <f t="shared" si="633"/>
        <v/>
      </c>
    </row>
    <row r="40556" spans="26:26" x14ac:dyDescent="0.2">
      <c r="Z40556" t="str">
        <f t="shared" si="633"/>
        <v/>
      </c>
    </row>
    <row r="40557" spans="26:26" x14ac:dyDescent="0.2">
      <c r="Z40557" t="str">
        <f t="shared" si="633"/>
        <v/>
      </c>
    </row>
    <row r="40558" spans="26:26" x14ac:dyDescent="0.2">
      <c r="Z40558" t="str">
        <f t="shared" si="633"/>
        <v/>
      </c>
    </row>
    <row r="40559" spans="26:26" x14ac:dyDescent="0.2">
      <c r="Z40559" t="str">
        <f t="shared" si="633"/>
        <v/>
      </c>
    </row>
    <row r="40560" spans="26:26" x14ac:dyDescent="0.2">
      <c r="Z40560" t="str">
        <f t="shared" si="633"/>
        <v/>
      </c>
    </row>
    <row r="40561" spans="26:26" x14ac:dyDescent="0.2">
      <c r="Z40561" t="str">
        <f t="shared" si="633"/>
        <v/>
      </c>
    </row>
    <row r="40562" spans="26:26" x14ac:dyDescent="0.2">
      <c r="Z40562" t="str">
        <f t="shared" si="633"/>
        <v/>
      </c>
    </row>
    <row r="40563" spans="26:26" x14ac:dyDescent="0.2">
      <c r="Z40563" t="str">
        <f t="shared" si="633"/>
        <v/>
      </c>
    </row>
    <row r="40564" spans="26:26" x14ac:dyDescent="0.2">
      <c r="Z40564" t="str">
        <f t="shared" si="633"/>
        <v/>
      </c>
    </row>
    <row r="40565" spans="26:26" x14ac:dyDescent="0.2">
      <c r="Z40565" t="str">
        <f t="shared" si="633"/>
        <v/>
      </c>
    </row>
    <row r="40566" spans="26:26" x14ac:dyDescent="0.2">
      <c r="Z40566" t="str">
        <f t="shared" si="633"/>
        <v/>
      </c>
    </row>
    <row r="40567" spans="26:26" x14ac:dyDescent="0.2">
      <c r="Z40567" t="str">
        <f t="shared" si="633"/>
        <v/>
      </c>
    </row>
    <row r="40568" spans="26:26" x14ac:dyDescent="0.2">
      <c r="Z40568" t="str">
        <f t="shared" si="633"/>
        <v/>
      </c>
    </row>
    <row r="40569" spans="26:26" x14ac:dyDescent="0.2">
      <c r="Z40569" t="str">
        <f t="shared" si="633"/>
        <v/>
      </c>
    </row>
    <row r="40570" spans="26:26" x14ac:dyDescent="0.2">
      <c r="Z40570" t="str">
        <f t="shared" si="633"/>
        <v/>
      </c>
    </row>
    <row r="40571" spans="26:26" x14ac:dyDescent="0.2">
      <c r="Z40571" t="str">
        <f t="shared" si="633"/>
        <v/>
      </c>
    </row>
    <row r="40572" spans="26:26" x14ac:dyDescent="0.2">
      <c r="Z40572" t="str">
        <f t="shared" si="633"/>
        <v/>
      </c>
    </row>
    <row r="40573" spans="26:26" x14ac:dyDescent="0.2">
      <c r="Z40573" t="str">
        <f t="shared" si="633"/>
        <v/>
      </c>
    </row>
    <row r="40574" spans="26:26" x14ac:dyDescent="0.2">
      <c r="Z40574" t="str">
        <f t="shared" si="633"/>
        <v/>
      </c>
    </row>
    <row r="40575" spans="26:26" x14ac:dyDescent="0.2">
      <c r="Z40575" t="str">
        <f t="shared" si="633"/>
        <v/>
      </c>
    </row>
    <row r="40576" spans="26:26" x14ac:dyDescent="0.2">
      <c r="Z40576" t="str">
        <f t="shared" si="633"/>
        <v/>
      </c>
    </row>
    <row r="40577" spans="26:26" x14ac:dyDescent="0.2">
      <c r="Z40577" t="str">
        <f t="shared" si="633"/>
        <v/>
      </c>
    </row>
    <row r="40578" spans="26:26" x14ac:dyDescent="0.2">
      <c r="Z40578" t="str">
        <f t="shared" si="633"/>
        <v/>
      </c>
    </row>
    <row r="40579" spans="26:26" x14ac:dyDescent="0.2">
      <c r="Z40579" t="str">
        <f t="shared" ref="Z40579:Z40642" si="634">IF(K40579="","",IFERROR(VALUE(TRIM(MID(K40579,FIND(CHAR(167),SUBSTITUTE(K40579,"-",CHAR(167),LEN(K40579)-LEN(SUBSTITUTE(K40579,"-",""))))+1,100))),K40579))</f>
        <v/>
      </c>
    </row>
    <row r="40580" spans="26:26" x14ac:dyDescent="0.2">
      <c r="Z40580" t="str">
        <f t="shared" si="634"/>
        <v/>
      </c>
    </row>
    <row r="40581" spans="26:26" x14ac:dyDescent="0.2">
      <c r="Z40581" t="str">
        <f t="shared" si="634"/>
        <v/>
      </c>
    </row>
    <row r="40582" spans="26:26" x14ac:dyDescent="0.2">
      <c r="Z40582" t="str">
        <f t="shared" si="634"/>
        <v/>
      </c>
    </row>
    <row r="40583" spans="26:26" x14ac:dyDescent="0.2">
      <c r="Z40583" t="str">
        <f t="shared" si="634"/>
        <v/>
      </c>
    </row>
    <row r="40584" spans="26:26" x14ac:dyDescent="0.2">
      <c r="Z40584" t="str">
        <f t="shared" si="634"/>
        <v/>
      </c>
    </row>
    <row r="40585" spans="26:26" x14ac:dyDescent="0.2">
      <c r="Z40585" t="str">
        <f t="shared" si="634"/>
        <v/>
      </c>
    </row>
    <row r="40586" spans="26:26" x14ac:dyDescent="0.2">
      <c r="Z40586" t="str">
        <f t="shared" si="634"/>
        <v/>
      </c>
    </row>
    <row r="40587" spans="26:26" x14ac:dyDescent="0.2">
      <c r="Z40587" t="str">
        <f t="shared" si="634"/>
        <v/>
      </c>
    </row>
    <row r="40588" spans="26:26" x14ac:dyDescent="0.2">
      <c r="Z40588" t="str">
        <f t="shared" si="634"/>
        <v/>
      </c>
    </row>
    <row r="40589" spans="26:26" x14ac:dyDescent="0.2">
      <c r="Z40589" t="str">
        <f t="shared" si="634"/>
        <v/>
      </c>
    </row>
    <row r="40590" spans="26:26" x14ac:dyDescent="0.2">
      <c r="Z40590" t="str">
        <f t="shared" si="634"/>
        <v/>
      </c>
    </row>
    <row r="40591" spans="26:26" x14ac:dyDescent="0.2">
      <c r="Z40591" t="str">
        <f t="shared" si="634"/>
        <v/>
      </c>
    </row>
    <row r="40592" spans="26:26" x14ac:dyDescent="0.2">
      <c r="Z40592" t="str">
        <f t="shared" si="634"/>
        <v/>
      </c>
    </row>
    <row r="40593" spans="26:26" x14ac:dyDescent="0.2">
      <c r="Z40593" t="str">
        <f t="shared" si="634"/>
        <v/>
      </c>
    </row>
    <row r="40594" spans="26:26" x14ac:dyDescent="0.2">
      <c r="Z40594" t="str">
        <f t="shared" si="634"/>
        <v/>
      </c>
    </row>
    <row r="40595" spans="26:26" x14ac:dyDescent="0.2">
      <c r="Z40595" t="str">
        <f t="shared" si="634"/>
        <v/>
      </c>
    </row>
    <row r="40596" spans="26:26" x14ac:dyDescent="0.2">
      <c r="Z40596" t="str">
        <f t="shared" si="634"/>
        <v/>
      </c>
    </row>
    <row r="40597" spans="26:26" x14ac:dyDescent="0.2">
      <c r="Z40597" t="str">
        <f t="shared" si="634"/>
        <v/>
      </c>
    </row>
    <row r="40598" spans="26:26" x14ac:dyDescent="0.2">
      <c r="Z40598" t="str">
        <f t="shared" si="634"/>
        <v/>
      </c>
    </row>
    <row r="40599" spans="26:26" x14ac:dyDescent="0.2">
      <c r="Z40599" t="str">
        <f t="shared" si="634"/>
        <v/>
      </c>
    </row>
    <row r="40600" spans="26:26" x14ac:dyDescent="0.2">
      <c r="Z40600" t="str">
        <f t="shared" si="634"/>
        <v/>
      </c>
    </row>
    <row r="40601" spans="26:26" x14ac:dyDescent="0.2">
      <c r="Z40601" t="str">
        <f t="shared" si="634"/>
        <v/>
      </c>
    </row>
    <row r="40602" spans="26:26" x14ac:dyDescent="0.2">
      <c r="Z40602" t="str">
        <f t="shared" si="634"/>
        <v/>
      </c>
    </row>
    <row r="40603" spans="26:26" x14ac:dyDescent="0.2">
      <c r="Z40603" t="str">
        <f t="shared" si="634"/>
        <v/>
      </c>
    </row>
    <row r="40604" spans="26:26" x14ac:dyDescent="0.2">
      <c r="Z40604" t="str">
        <f t="shared" si="634"/>
        <v/>
      </c>
    </row>
    <row r="40605" spans="26:26" x14ac:dyDescent="0.2">
      <c r="Z40605" t="str">
        <f t="shared" si="634"/>
        <v/>
      </c>
    </row>
    <row r="40606" spans="26:26" x14ac:dyDescent="0.2">
      <c r="Z40606" t="str">
        <f t="shared" si="634"/>
        <v/>
      </c>
    </row>
    <row r="40607" spans="26:26" x14ac:dyDescent="0.2">
      <c r="Z40607" t="str">
        <f t="shared" si="634"/>
        <v/>
      </c>
    </row>
    <row r="40608" spans="26:26" x14ac:dyDescent="0.2">
      <c r="Z40608" t="str">
        <f t="shared" si="634"/>
        <v/>
      </c>
    </row>
    <row r="40609" spans="26:26" x14ac:dyDescent="0.2">
      <c r="Z40609" t="str">
        <f t="shared" si="634"/>
        <v/>
      </c>
    </row>
    <row r="40610" spans="26:26" x14ac:dyDescent="0.2">
      <c r="Z40610" t="str">
        <f t="shared" si="634"/>
        <v/>
      </c>
    </row>
    <row r="40611" spans="26:26" x14ac:dyDescent="0.2">
      <c r="Z40611" t="str">
        <f t="shared" si="634"/>
        <v/>
      </c>
    </row>
    <row r="40612" spans="26:26" x14ac:dyDescent="0.2">
      <c r="Z40612" t="str">
        <f t="shared" si="634"/>
        <v/>
      </c>
    </row>
    <row r="40613" spans="26:26" x14ac:dyDescent="0.2">
      <c r="Z40613" t="str">
        <f t="shared" si="634"/>
        <v/>
      </c>
    </row>
    <row r="40614" spans="26:26" x14ac:dyDescent="0.2">
      <c r="Z40614" t="str">
        <f t="shared" si="634"/>
        <v/>
      </c>
    </row>
    <row r="40615" spans="26:26" x14ac:dyDescent="0.2">
      <c r="Z40615" t="str">
        <f t="shared" si="634"/>
        <v/>
      </c>
    </row>
    <row r="40616" spans="26:26" x14ac:dyDescent="0.2">
      <c r="Z40616" t="str">
        <f t="shared" si="634"/>
        <v/>
      </c>
    </row>
    <row r="40617" spans="26:26" x14ac:dyDescent="0.2">
      <c r="Z40617" t="str">
        <f t="shared" si="634"/>
        <v/>
      </c>
    </row>
    <row r="40618" spans="26:26" x14ac:dyDescent="0.2">
      <c r="Z40618" t="str">
        <f t="shared" si="634"/>
        <v/>
      </c>
    </row>
    <row r="40619" spans="26:26" x14ac:dyDescent="0.2">
      <c r="Z40619" t="str">
        <f t="shared" si="634"/>
        <v/>
      </c>
    </row>
    <row r="40620" spans="26:26" x14ac:dyDescent="0.2">
      <c r="Z40620" t="str">
        <f t="shared" si="634"/>
        <v/>
      </c>
    </row>
    <row r="40621" spans="26:26" x14ac:dyDescent="0.2">
      <c r="Z40621" t="str">
        <f t="shared" si="634"/>
        <v/>
      </c>
    </row>
    <row r="40622" spans="26:26" x14ac:dyDescent="0.2">
      <c r="Z40622" t="str">
        <f t="shared" si="634"/>
        <v/>
      </c>
    </row>
    <row r="40623" spans="26:26" x14ac:dyDescent="0.2">
      <c r="Z40623" t="str">
        <f t="shared" si="634"/>
        <v/>
      </c>
    </row>
    <row r="40624" spans="26:26" x14ac:dyDescent="0.2">
      <c r="Z40624" t="str">
        <f t="shared" si="634"/>
        <v/>
      </c>
    </row>
    <row r="40625" spans="26:26" x14ac:dyDescent="0.2">
      <c r="Z40625" t="str">
        <f t="shared" si="634"/>
        <v/>
      </c>
    </row>
    <row r="40626" spans="26:26" x14ac:dyDescent="0.2">
      <c r="Z40626" t="str">
        <f t="shared" si="634"/>
        <v/>
      </c>
    </row>
    <row r="40627" spans="26:26" x14ac:dyDescent="0.2">
      <c r="Z40627" t="str">
        <f t="shared" si="634"/>
        <v/>
      </c>
    </row>
    <row r="40628" spans="26:26" x14ac:dyDescent="0.2">
      <c r="Z40628" t="str">
        <f t="shared" si="634"/>
        <v/>
      </c>
    </row>
    <row r="40629" spans="26:26" x14ac:dyDescent="0.2">
      <c r="Z40629" t="str">
        <f t="shared" si="634"/>
        <v/>
      </c>
    </row>
    <row r="40630" spans="26:26" x14ac:dyDescent="0.2">
      <c r="Z40630" t="str">
        <f t="shared" si="634"/>
        <v/>
      </c>
    </row>
    <row r="40631" spans="26:26" x14ac:dyDescent="0.2">
      <c r="Z40631" t="str">
        <f t="shared" si="634"/>
        <v/>
      </c>
    </row>
    <row r="40632" spans="26:26" x14ac:dyDescent="0.2">
      <c r="Z40632" t="str">
        <f t="shared" si="634"/>
        <v/>
      </c>
    </row>
    <row r="40633" spans="26:26" x14ac:dyDescent="0.2">
      <c r="Z40633" t="str">
        <f t="shared" si="634"/>
        <v/>
      </c>
    </row>
    <row r="40634" spans="26:26" x14ac:dyDescent="0.2">
      <c r="Z40634" t="str">
        <f t="shared" si="634"/>
        <v/>
      </c>
    </row>
    <row r="40635" spans="26:26" x14ac:dyDescent="0.2">
      <c r="Z40635" t="str">
        <f t="shared" si="634"/>
        <v/>
      </c>
    </row>
    <row r="40636" spans="26:26" x14ac:dyDescent="0.2">
      <c r="Z40636" t="str">
        <f t="shared" si="634"/>
        <v/>
      </c>
    </row>
    <row r="40637" spans="26:26" x14ac:dyDescent="0.2">
      <c r="Z40637" t="str">
        <f t="shared" si="634"/>
        <v/>
      </c>
    </row>
    <row r="40638" spans="26:26" x14ac:dyDescent="0.2">
      <c r="Z40638" t="str">
        <f t="shared" si="634"/>
        <v/>
      </c>
    </row>
    <row r="40639" spans="26:26" x14ac:dyDescent="0.2">
      <c r="Z40639" t="str">
        <f t="shared" si="634"/>
        <v/>
      </c>
    </row>
    <row r="40640" spans="26:26" x14ac:dyDescent="0.2">
      <c r="Z40640" t="str">
        <f t="shared" si="634"/>
        <v/>
      </c>
    </row>
    <row r="40641" spans="26:26" x14ac:dyDescent="0.2">
      <c r="Z40641" t="str">
        <f t="shared" si="634"/>
        <v/>
      </c>
    </row>
    <row r="40642" spans="26:26" x14ac:dyDescent="0.2">
      <c r="Z40642" t="str">
        <f t="shared" si="634"/>
        <v/>
      </c>
    </row>
    <row r="40643" spans="26:26" x14ac:dyDescent="0.2">
      <c r="Z40643" t="str">
        <f t="shared" ref="Z40643:Z40706" si="635">IF(K40643="","",IFERROR(VALUE(TRIM(MID(K40643,FIND(CHAR(167),SUBSTITUTE(K40643,"-",CHAR(167),LEN(K40643)-LEN(SUBSTITUTE(K40643,"-",""))))+1,100))),K40643))</f>
        <v/>
      </c>
    </row>
    <row r="40644" spans="26:26" x14ac:dyDescent="0.2">
      <c r="Z40644" t="str">
        <f t="shared" si="635"/>
        <v/>
      </c>
    </row>
    <row r="40645" spans="26:26" x14ac:dyDescent="0.2">
      <c r="Z40645" t="str">
        <f t="shared" si="635"/>
        <v/>
      </c>
    </row>
    <row r="40646" spans="26:26" x14ac:dyDescent="0.2">
      <c r="Z40646" t="str">
        <f t="shared" si="635"/>
        <v/>
      </c>
    </row>
    <row r="40647" spans="26:26" x14ac:dyDescent="0.2">
      <c r="Z40647" t="str">
        <f t="shared" si="635"/>
        <v/>
      </c>
    </row>
    <row r="40648" spans="26:26" x14ac:dyDescent="0.2">
      <c r="Z40648" t="str">
        <f t="shared" si="635"/>
        <v/>
      </c>
    </row>
    <row r="40649" spans="26:26" x14ac:dyDescent="0.2">
      <c r="Z40649" t="str">
        <f t="shared" si="635"/>
        <v/>
      </c>
    </row>
    <row r="40650" spans="26:26" x14ac:dyDescent="0.2">
      <c r="Z40650" t="str">
        <f t="shared" si="635"/>
        <v/>
      </c>
    </row>
    <row r="40651" spans="26:26" x14ac:dyDescent="0.2">
      <c r="Z40651" t="str">
        <f t="shared" si="635"/>
        <v/>
      </c>
    </row>
    <row r="40652" spans="26:26" x14ac:dyDescent="0.2">
      <c r="Z40652" t="str">
        <f t="shared" si="635"/>
        <v/>
      </c>
    </row>
    <row r="40653" spans="26:26" x14ac:dyDescent="0.2">
      <c r="Z40653" t="str">
        <f t="shared" si="635"/>
        <v/>
      </c>
    </row>
    <row r="40654" spans="26:26" x14ac:dyDescent="0.2">
      <c r="Z40654" t="str">
        <f t="shared" si="635"/>
        <v/>
      </c>
    </row>
    <row r="40655" spans="26:26" x14ac:dyDescent="0.2">
      <c r="Z40655" t="str">
        <f t="shared" si="635"/>
        <v/>
      </c>
    </row>
    <row r="40656" spans="26:26" x14ac:dyDescent="0.2">
      <c r="Z40656" t="str">
        <f t="shared" si="635"/>
        <v/>
      </c>
    </row>
    <row r="40657" spans="26:26" x14ac:dyDescent="0.2">
      <c r="Z40657" t="str">
        <f t="shared" si="635"/>
        <v/>
      </c>
    </row>
    <row r="40658" spans="26:26" x14ac:dyDescent="0.2">
      <c r="Z40658" t="str">
        <f t="shared" si="635"/>
        <v/>
      </c>
    </row>
    <row r="40659" spans="26:26" x14ac:dyDescent="0.2">
      <c r="Z40659" t="str">
        <f t="shared" si="635"/>
        <v/>
      </c>
    </row>
    <row r="40660" spans="26:26" x14ac:dyDescent="0.2">
      <c r="Z40660" t="str">
        <f t="shared" si="635"/>
        <v/>
      </c>
    </row>
    <row r="40661" spans="26:26" x14ac:dyDescent="0.2">
      <c r="Z40661" t="str">
        <f t="shared" si="635"/>
        <v/>
      </c>
    </row>
    <row r="40662" spans="26:26" x14ac:dyDescent="0.2">
      <c r="Z40662" t="str">
        <f t="shared" si="635"/>
        <v/>
      </c>
    </row>
    <row r="40663" spans="26:26" x14ac:dyDescent="0.2">
      <c r="Z40663" t="str">
        <f t="shared" si="635"/>
        <v/>
      </c>
    </row>
    <row r="40664" spans="26:26" x14ac:dyDescent="0.2">
      <c r="Z40664" t="str">
        <f t="shared" si="635"/>
        <v/>
      </c>
    </row>
    <row r="40665" spans="26:26" x14ac:dyDescent="0.2">
      <c r="Z40665" t="str">
        <f t="shared" si="635"/>
        <v/>
      </c>
    </row>
    <row r="40666" spans="26:26" x14ac:dyDescent="0.2">
      <c r="Z40666" t="str">
        <f t="shared" si="635"/>
        <v/>
      </c>
    </row>
    <row r="40667" spans="26:26" x14ac:dyDescent="0.2">
      <c r="Z40667" t="str">
        <f t="shared" si="635"/>
        <v/>
      </c>
    </row>
    <row r="40668" spans="26:26" x14ac:dyDescent="0.2">
      <c r="Z40668" t="str">
        <f t="shared" si="635"/>
        <v/>
      </c>
    </row>
    <row r="40669" spans="26:26" x14ac:dyDescent="0.2">
      <c r="Z40669" t="str">
        <f t="shared" si="635"/>
        <v/>
      </c>
    </row>
    <row r="40670" spans="26:26" x14ac:dyDescent="0.2">
      <c r="Z40670" t="str">
        <f t="shared" si="635"/>
        <v/>
      </c>
    </row>
    <row r="40671" spans="26:26" x14ac:dyDescent="0.2">
      <c r="Z40671" t="str">
        <f t="shared" si="635"/>
        <v/>
      </c>
    </row>
    <row r="40672" spans="26:26" x14ac:dyDescent="0.2">
      <c r="Z40672" t="str">
        <f t="shared" si="635"/>
        <v/>
      </c>
    </row>
    <row r="40673" spans="26:26" x14ac:dyDescent="0.2">
      <c r="Z40673" t="str">
        <f t="shared" si="635"/>
        <v/>
      </c>
    </row>
    <row r="40674" spans="26:26" x14ac:dyDescent="0.2">
      <c r="Z40674" t="str">
        <f t="shared" si="635"/>
        <v/>
      </c>
    </row>
    <row r="40675" spans="26:26" x14ac:dyDescent="0.2">
      <c r="Z40675" t="str">
        <f t="shared" si="635"/>
        <v/>
      </c>
    </row>
    <row r="40676" spans="26:26" x14ac:dyDescent="0.2">
      <c r="Z40676" t="str">
        <f t="shared" si="635"/>
        <v/>
      </c>
    </row>
    <row r="40677" spans="26:26" x14ac:dyDescent="0.2">
      <c r="Z40677" t="str">
        <f t="shared" si="635"/>
        <v/>
      </c>
    </row>
    <row r="40678" spans="26:26" x14ac:dyDescent="0.2">
      <c r="Z40678" t="str">
        <f t="shared" si="635"/>
        <v/>
      </c>
    </row>
    <row r="40679" spans="26:26" x14ac:dyDescent="0.2">
      <c r="Z40679" t="str">
        <f t="shared" si="635"/>
        <v/>
      </c>
    </row>
    <row r="40680" spans="26:26" x14ac:dyDescent="0.2">
      <c r="Z40680" t="str">
        <f t="shared" si="635"/>
        <v/>
      </c>
    </row>
    <row r="40681" spans="26:26" x14ac:dyDescent="0.2">
      <c r="Z40681" t="str">
        <f t="shared" si="635"/>
        <v/>
      </c>
    </row>
    <row r="40682" spans="26:26" x14ac:dyDescent="0.2">
      <c r="Z40682" t="str">
        <f t="shared" si="635"/>
        <v/>
      </c>
    </row>
    <row r="40683" spans="26:26" x14ac:dyDescent="0.2">
      <c r="Z40683" t="str">
        <f t="shared" si="635"/>
        <v/>
      </c>
    </row>
    <row r="40684" spans="26:26" x14ac:dyDescent="0.2">
      <c r="Z40684" t="str">
        <f t="shared" si="635"/>
        <v/>
      </c>
    </row>
    <row r="40685" spans="26:26" x14ac:dyDescent="0.2">
      <c r="Z40685" t="str">
        <f t="shared" si="635"/>
        <v/>
      </c>
    </row>
    <row r="40686" spans="26:26" x14ac:dyDescent="0.2">
      <c r="Z40686" t="str">
        <f t="shared" si="635"/>
        <v/>
      </c>
    </row>
    <row r="40687" spans="26:26" x14ac:dyDescent="0.2">
      <c r="Z40687" t="str">
        <f t="shared" si="635"/>
        <v/>
      </c>
    </row>
    <row r="40688" spans="26:26" x14ac:dyDescent="0.2">
      <c r="Z40688" t="str">
        <f t="shared" si="635"/>
        <v/>
      </c>
    </row>
    <row r="40689" spans="26:26" x14ac:dyDescent="0.2">
      <c r="Z40689" t="str">
        <f t="shared" si="635"/>
        <v/>
      </c>
    </row>
    <row r="40690" spans="26:26" x14ac:dyDescent="0.2">
      <c r="Z40690" t="str">
        <f t="shared" si="635"/>
        <v/>
      </c>
    </row>
    <row r="40691" spans="26:26" x14ac:dyDescent="0.2">
      <c r="Z40691" t="str">
        <f t="shared" si="635"/>
        <v/>
      </c>
    </row>
    <row r="40692" spans="26:26" x14ac:dyDescent="0.2">
      <c r="Z40692" t="str">
        <f t="shared" si="635"/>
        <v/>
      </c>
    </row>
    <row r="40693" spans="26:26" x14ac:dyDescent="0.2">
      <c r="Z40693" t="str">
        <f t="shared" si="635"/>
        <v/>
      </c>
    </row>
    <row r="40694" spans="26:26" x14ac:dyDescent="0.2">
      <c r="Z40694" t="str">
        <f t="shared" si="635"/>
        <v/>
      </c>
    </row>
    <row r="40695" spans="26:26" x14ac:dyDescent="0.2">
      <c r="Z40695" t="str">
        <f t="shared" si="635"/>
        <v/>
      </c>
    </row>
    <row r="40696" spans="26:26" x14ac:dyDescent="0.2">
      <c r="Z40696" t="str">
        <f t="shared" si="635"/>
        <v/>
      </c>
    </row>
    <row r="40697" spans="26:26" x14ac:dyDescent="0.2">
      <c r="Z40697" t="str">
        <f t="shared" si="635"/>
        <v/>
      </c>
    </row>
    <row r="40698" spans="26:26" x14ac:dyDescent="0.2">
      <c r="Z40698" t="str">
        <f t="shared" si="635"/>
        <v/>
      </c>
    </row>
    <row r="40699" spans="26:26" x14ac:dyDescent="0.2">
      <c r="Z40699" t="str">
        <f t="shared" si="635"/>
        <v/>
      </c>
    </row>
    <row r="40700" spans="26:26" x14ac:dyDescent="0.2">
      <c r="Z40700" t="str">
        <f t="shared" si="635"/>
        <v/>
      </c>
    </row>
    <row r="40701" spans="26:26" x14ac:dyDescent="0.2">
      <c r="Z40701" t="str">
        <f t="shared" si="635"/>
        <v/>
      </c>
    </row>
    <row r="40702" spans="26:26" x14ac:dyDescent="0.2">
      <c r="Z40702" t="str">
        <f t="shared" si="635"/>
        <v/>
      </c>
    </row>
    <row r="40703" spans="26:26" x14ac:dyDescent="0.2">
      <c r="Z40703" t="str">
        <f t="shared" si="635"/>
        <v/>
      </c>
    </row>
    <row r="40704" spans="26:26" x14ac:dyDescent="0.2">
      <c r="Z40704" t="str">
        <f t="shared" si="635"/>
        <v/>
      </c>
    </row>
    <row r="40705" spans="26:26" x14ac:dyDescent="0.2">
      <c r="Z40705" t="str">
        <f t="shared" si="635"/>
        <v/>
      </c>
    </row>
    <row r="40706" spans="26:26" x14ac:dyDescent="0.2">
      <c r="Z40706" t="str">
        <f t="shared" si="635"/>
        <v/>
      </c>
    </row>
    <row r="40707" spans="26:26" x14ac:dyDescent="0.2">
      <c r="Z40707" t="str">
        <f t="shared" ref="Z40707:Z40770" si="636">IF(K40707="","",IFERROR(VALUE(TRIM(MID(K40707,FIND(CHAR(167),SUBSTITUTE(K40707,"-",CHAR(167),LEN(K40707)-LEN(SUBSTITUTE(K40707,"-",""))))+1,100))),K40707))</f>
        <v/>
      </c>
    </row>
    <row r="40708" spans="26:26" x14ac:dyDescent="0.2">
      <c r="Z40708" t="str">
        <f t="shared" si="636"/>
        <v/>
      </c>
    </row>
    <row r="40709" spans="26:26" x14ac:dyDescent="0.2">
      <c r="Z40709" t="str">
        <f t="shared" si="636"/>
        <v/>
      </c>
    </row>
    <row r="40710" spans="26:26" x14ac:dyDescent="0.2">
      <c r="Z40710" t="str">
        <f t="shared" si="636"/>
        <v/>
      </c>
    </row>
    <row r="40711" spans="26:26" x14ac:dyDescent="0.2">
      <c r="Z40711" t="str">
        <f t="shared" si="636"/>
        <v/>
      </c>
    </row>
    <row r="40712" spans="26:26" x14ac:dyDescent="0.2">
      <c r="Z40712" t="str">
        <f t="shared" si="636"/>
        <v/>
      </c>
    </row>
    <row r="40713" spans="26:26" x14ac:dyDescent="0.2">
      <c r="Z40713" t="str">
        <f t="shared" si="636"/>
        <v/>
      </c>
    </row>
    <row r="40714" spans="26:26" x14ac:dyDescent="0.2">
      <c r="Z40714" t="str">
        <f t="shared" si="636"/>
        <v/>
      </c>
    </row>
    <row r="40715" spans="26:26" x14ac:dyDescent="0.2">
      <c r="Z40715" t="str">
        <f t="shared" si="636"/>
        <v/>
      </c>
    </row>
    <row r="40716" spans="26:26" x14ac:dyDescent="0.2">
      <c r="Z40716" t="str">
        <f t="shared" si="636"/>
        <v/>
      </c>
    </row>
    <row r="40717" spans="26:26" x14ac:dyDescent="0.2">
      <c r="Z40717" t="str">
        <f t="shared" si="636"/>
        <v/>
      </c>
    </row>
    <row r="40718" spans="26:26" x14ac:dyDescent="0.2">
      <c r="Z40718" t="str">
        <f t="shared" si="636"/>
        <v/>
      </c>
    </row>
    <row r="40719" spans="26:26" x14ac:dyDescent="0.2">
      <c r="Z40719" t="str">
        <f t="shared" si="636"/>
        <v/>
      </c>
    </row>
    <row r="40720" spans="26:26" x14ac:dyDescent="0.2">
      <c r="Z40720" t="str">
        <f t="shared" si="636"/>
        <v/>
      </c>
    </row>
    <row r="40721" spans="26:26" x14ac:dyDescent="0.2">
      <c r="Z40721" t="str">
        <f t="shared" si="636"/>
        <v/>
      </c>
    </row>
    <row r="40722" spans="26:26" x14ac:dyDescent="0.2">
      <c r="Z40722" t="str">
        <f t="shared" si="636"/>
        <v/>
      </c>
    </row>
    <row r="40723" spans="26:26" x14ac:dyDescent="0.2">
      <c r="Z40723" t="str">
        <f t="shared" si="636"/>
        <v/>
      </c>
    </row>
    <row r="40724" spans="26:26" x14ac:dyDescent="0.2">
      <c r="Z40724" t="str">
        <f t="shared" si="636"/>
        <v/>
      </c>
    </row>
    <row r="40725" spans="26:26" x14ac:dyDescent="0.2">
      <c r="Z40725" t="str">
        <f t="shared" si="636"/>
        <v/>
      </c>
    </row>
    <row r="40726" spans="26:26" x14ac:dyDescent="0.2">
      <c r="Z40726" t="str">
        <f t="shared" si="636"/>
        <v/>
      </c>
    </row>
    <row r="40727" spans="26:26" x14ac:dyDescent="0.2">
      <c r="Z40727" t="str">
        <f t="shared" si="636"/>
        <v/>
      </c>
    </row>
    <row r="40728" spans="26:26" x14ac:dyDescent="0.2">
      <c r="Z40728" t="str">
        <f t="shared" si="636"/>
        <v/>
      </c>
    </row>
    <row r="40729" spans="26:26" x14ac:dyDescent="0.2">
      <c r="Z40729" t="str">
        <f t="shared" si="636"/>
        <v/>
      </c>
    </row>
    <row r="40730" spans="26:26" x14ac:dyDescent="0.2">
      <c r="Z40730" t="str">
        <f t="shared" si="636"/>
        <v/>
      </c>
    </row>
    <row r="40731" spans="26:26" x14ac:dyDescent="0.2">
      <c r="Z40731" t="str">
        <f t="shared" si="636"/>
        <v/>
      </c>
    </row>
    <row r="40732" spans="26:26" x14ac:dyDescent="0.2">
      <c r="Z40732" t="str">
        <f t="shared" si="636"/>
        <v/>
      </c>
    </row>
    <row r="40733" spans="26:26" x14ac:dyDescent="0.2">
      <c r="Z40733" t="str">
        <f t="shared" si="636"/>
        <v/>
      </c>
    </row>
    <row r="40734" spans="26:26" x14ac:dyDescent="0.2">
      <c r="Z40734" t="str">
        <f t="shared" si="636"/>
        <v/>
      </c>
    </row>
    <row r="40735" spans="26:26" x14ac:dyDescent="0.2">
      <c r="Z40735" t="str">
        <f t="shared" si="636"/>
        <v/>
      </c>
    </row>
    <row r="40736" spans="26:26" x14ac:dyDescent="0.2">
      <c r="Z40736" t="str">
        <f t="shared" si="636"/>
        <v/>
      </c>
    </row>
    <row r="40737" spans="26:26" x14ac:dyDescent="0.2">
      <c r="Z40737" t="str">
        <f t="shared" si="636"/>
        <v/>
      </c>
    </row>
    <row r="40738" spans="26:26" x14ac:dyDescent="0.2">
      <c r="Z40738" t="str">
        <f t="shared" si="636"/>
        <v/>
      </c>
    </row>
    <row r="40739" spans="26:26" x14ac:dyDescent="0.2">
      <c r="Z40739" t="str">
        <f t="shared" si="636"/>
        <v/>
      </c>
    </row>
    <row r="40740" spans="26:26" x14ac:dyDescent="0.2">
      <c r="Z40740" t="str">
        <f t="shared" si="636"/>
        <v/>
      </c>
    </row>
    <row r="40741" spans="26:26" x14ac:dyDescent="0.2">
      <c r="Z40741" t="str">
        <f t="shared" si="636"/>
        <v/>
      </c>
    </row>
    <row r="40742" spans="26:26" x14ac:dyDescent="0.2">
      <c r="Z40742" t="str">
        <f t="shared" si="636"/>
        <v/>
      </c>
    </row>
    <row r="40743" spans="26:26" x14ac:dyDescent="0.2">
      <c r="Z40743" t="str">
        <f t="shared" si="636"/>
        <v/>
      </c>
    </row>
    <row r="40744" spans="26:26" x14ac:dyDescent="0.2">
      <c r="Z40744" t="str">
        <f t="shared" si="636"/>
        <v/>
      </c>
    </row>
    <row r="40745" spans="26:26" x14ac:dyDescent="0.2">
      <c r="Z40745" t="str">
        <f t="shared" si="636"/>
        <v/>
      </c>
    </row>
    <row r="40746" spans="26:26" x14ac:dyDescent="0.2">
      <c r="Z40746" t="str">
        <f t="shared" si="636"/>
        <v/>
      </c>
    </row>
    <row r="40747" spans="26:26" x14ac:dyDescent="0.2">
      <c r="Z40747" t="str">
        <f t="shared" si="636"/>
        <v/>
      </c>
    </row>
    <row r="40748" spans="26:26" x14ac:dyDescent="0.2">
      <c r="Z40748" t="str">
        <f t="shared" si="636"/>
        <v/>
      </c>
    </row>
    <row r="40749" spans="26:26" x14ac:dyDescent="0.2">
      <c r="Z40749" t="str">
        <f t="shared" si="636"/>
        <v/>
      </c>
    </row>
    <row r="40750" spans="26:26" x14ac:dyDescent="0.2">
      <c r="Z40750" t="str">
        <f t="shared" si="636"/>
        <v/>
      </c>
    </row>
    <row r="40751" spans="26:26" x14ac:dyDescent="0.2">
      <c r="Z40751" t="str">
        <f t="shared" si="636"/>
        <v/>
      </c>
    </row>
    <row r="40752" spans="26:26" x14ac:dyDescent="0.2">
      <c r="Z40752" t="str">
        <f t="shared" si="636"/>
        <v/>
      </c>
    </row>
    <row r="40753" spans="26:26" x14ac:dyDescent="0.2">
      <c r="Z40753" t="str">
        <f t="shared" si="636"/>
        <v/>
      </c>
    </row>
    <row r="40754" spans="26:26" x14ac:dyDescent="0.2">
      <c r="Z40754" t="str">
        <f t="shared" si="636"/>
        <v/>
      </c>
    </row>
    <row r="40755" spans="26:26" x14ac:dyDescent="0.2">
      <c r="Z40755" t="str">
        <f t="shared" si="636"/>
        <v/>
      </c>
    </row>
    <row r="40756" spans="26:26" x14ac:dyDescent="0.2">
      <c r="Z40756" t="str">
        <f t="shared" si="636"/>
        <v/>
      </c>
    </row>
    <row r="40757" spans="26:26" x14ac:dyDescent="0.2">
      <c r="Z40757" t="str">
        <f t="shared" si="636"/>
        <v/>
      </c>
    </row>
    <row r="40758" spans="26:26" x14ac:dyDescent="0.2">
      <c r="Z40758" t="str">
        <f t="shared" si="636"/>
        <v/>
      </c>
    </row>
    <row r="40759" spans="26:26" x14ac:dyDescent="0.2">
      <c r="Z40759" t="str">
        <f t="shared" si="636"/>
        <v/>
      </c>
    </row>
    <row r="40760" spans="26:26" x14ac:dyDescent="0.2">
      <c r="Z40760" t="str">
        <f t="shared" si="636"/>
        <v/>
      </c>
    </row>
    <row r="40761" spans="26:26" x14ac:dyDescent="0.2">
      <c r="Z40761" t="str">
        <f t="shared" si="636"/>
        <v/>
      </c>
    </row>
    <row r="40762" spans="26:26" x14ac:dyDescent="0.2">
      <c r="Z40762" t="str">
        <f t="shared" si="636"/>
        <v/>
      </c>
    </row>
    <row r="40763" spans="26:26" x14ac:dyDescent="0.2">
      <c r="Z40763" t="str">
        <f t="shared" si="636"/>
        <v/>
      </c>
    </row>
    <row r="40764" spans="26:26" x14ac:dyDescent="0.2">
      <c r="Z40764" t="str">
        <f t="shared" si="636"/>
        <v/>
      </c>
    </row>
    <row r="40765" spans="26:26" x14ac:dyDescent="0.2">
      <c r="Z40765" t="str">
        <f t="shared" si="636"/>
        <v/>
      </c>
    </row>
    <row r="40766" spans="26:26" x14ac:dyDescent="0.2">
      <c r="Z40766" t="str">
        <f t="shared" si="636"/>
        <v/>
      </c>
    </row>
    <row r="40767" spans="26:26" x14ac:dyDescent="0.2">
      <c r="Z40767" t="str">
        <f t="shared" si="636"/>
        <v/>
      </c>
    </row>
    <row r="40768" spans="26:26" x14ac:dyDescent="0.2">
      <c r="Z40768" t="str">
        <f t="shared" si="636"/>
        <v/>
      </c>
    </row>
    <row r="40769" spans="26:26" x14ac:dyDescent="0.2">
      <c r="Z40769" t="str">
        <f t="shared" si="636"/>
        <v/>
      </c>
    </row>
    <row r="40770" spans="26:26" x14ac:dyDescent="0.2">
      <c r="Z40770" t="str">
        <f t="shared" si="636"/>
        <v/>
      </c>
    </row>
    <row r="40771" spans="26:26" x14ac:dyDescent="0.2">
      <c r="Z40771" t="str">
        <f t="shared" ref="Z40771:Z40834" si="637">IF(K40771="","",IFERROR(VALUE(TRIM(MID(K40771,FIND(CHAR(167),SUBSTITUTE(K40771,"-",CHAR(167),LEN(K40771)-LEN(SUBSTITUTE(K40771,"-",""))))+1,100))),K40771))</f>
        <v/>
      </c>
    </row>
    <row r="40772" spans="26:26" x14ac:dyDescent="0.2">
      <c r="Z40772" t="str">
        <f t="shared" si="637"/>
        <v/>
      </c>
    </row>
    <row r="40773" spans="26:26" x14ac:dyDescent="0.2">
      <c r="Z40773" t="str">
        <f t="shared" si="637"/>
        <v/>
      </c>
    </row>
    <row r="40774" spans="26:26" x14ac:dyDescent="0.2">
      <c r="Z40774" t="str">
        <f t="shared" si="637"/>
        <v/>
      </c>
    </row>
    <row r="40775" spans="26:26" x14ac:dyDescent="0.2">
      <c r="Z40775" t="str">
        <f t="shared" si="637"/>
        <v/>
      </c>
    </row>
    <row r="40776" spans="26:26" x14ac:dyDescent="0.2">
      <c r="Z40776" t="str">
        <f t="shared" si="637"/>
        <v/>
      </c>
    </row>
    <row r="40777" spans="26:26" x14ac:dyDescent="0.2">
      <c r="Z40777" t="str">
        <f t="shared" si="637"/>
        <v/>
      </c>
    </row>
    <row r="40778" spans="26:26" x14ac:dyDescent="0.2">
      <c r="Z40778" t="str">
        <f t="shared" si="637"/>
        <v/>
      </c>
    </row>
    <row r="40779" spans="26:26" x14ac:dyDescent="0.2">
      <c r="Z40779" t="str">
        <f t="shared" si="637"/>
        <v/>
      </c>
    </row>
    <row r="40780" spans="26:26" x14ac:dyDescent="0.2">
      <c r="Z40780" t="str">
        <f t="shared" si="637"/>
        <v/>
      </c>
    </row>
    <row r="40781" spans="26:26" x14ac:dyDescent="0.2">
      <c r="Z40781" t="str">
        <f t="shared" si="637"/>
        <v/>
      </c>
    </row>
    <row r="40782" spans="26:26" x14ac:dyDescent="0.2">
      <c r="Z40782" t="str">
        <f t="shared" si="637"/>
        <v/>
      </c>
    </row>
    <row r="40783" spans="26:26" x14ac:dyDescent="0.2">
      <c r="Z40783" t="str">
        <f t="shared" si="637"/>
        <v/>
      </c>
    </row>
    <row r="40784" spans="26:26" x14ac:dyDescent="0.2">
      <c r="Z40784" t="str">
        <f t="shared" si="637"/>
        <v/>
      </c>
    </row>
    <row r="40785" spans="26:26" x14ac:dyDescent="0.2">
      <c r="Z40785" t="str">
        <f t="shared" si="637"/>
        <v/>
      </c>
    </row>
    <row r="40786" spans="26:26" x14ac:dyDescent="0.2">
      <c r="Z40786" t="str">
        <f t="shared" si="637"/>
        <v/>
      </c>
    </row>
    <row r="40787" spans="26:26" x14ac:dyDescent="0.2">
      <c r="Z40787" t="str">
        <f t="shared" si="637"/>
        <v/>
      </c>
    </row>
    <row r="40788" spans="26:26" x14ac:dyDescent="0.2">
      <c r="Z40788" t="str">
        <f t="shared" si="637"/>
        <v/>
      </c>
    </row>
    <row r="40789" spans="26:26" x14ac:dyDescent="0.2">
      <c r="Z40789" t="str">
        <f t="shared" si="637"/>
        <v/>
      </c>
    </row>
    <row r="40790" spans="26:26" x14ac:dyDescent="0.2">
      <c r="Z40790" t="str">
        <f t="shared" si="637"/>
        <v/>
      </c>
    </row>
    <row r="40791" spans="26:26" x14ac:dyDescent="0.2">
      <c r="Z40791" t="str">
        <f t="shared" si="637"/>
        <v/>
      </c>
    </row>
    <row r="40792" spans="26:26" x14ac:dyDescent="0.2">
      <c r="Z40792" t="str">
        <f t="shared" si="637"/>
        <v/>
      </c>
    </row>
    <row r="40793" spans="26:26" x14ac:dyDescent="0.2">
      <c r="Z40793" t="str">
        <f t="shared" si="637"/>
        <v/>
      </c>
    </row>
    <row r="40794" spans="26:26" x14ac:dyDescent="0.2">
      <c r="Z40794" t="str">
        <f t="shared" si="637"/>
        <v/>
      </c>
    </row>
    <row r="40795" spans="26:26" x14ac:dyDescent="0.2">
      <c r="Z40795" t="str">
        <f t="shared" si="637"/>
        <v/>
      </c>
    </row>
    <row r="40796" spans="26:26" x14ac:dyDescent="0.2">
      <c r="Z40796" t="str">
        <f t="shared" si="637"/>
        <v/>
      </c>
    </row>
    <row r="40797" spans="26:26" x14ac:dyDescent="0.2">
      <c r="Z40797" t="str">
        <f t="shared" si="637"/>
        <v/>
      </c>
    </row>
    <row r="40798" spans="26:26" x14ac:dyDescent="0.2">
      <c r="Z40798" t="str">
        <f t="shared" si="637"/>
        <v/>
      </c>
    </row>
    <row r="40799" spans="26:26" x14ac:dyDescent="0.2">
      <c r="Z40799" t="str">
        <f t="shared" si="637"/>
        <v/>
      </c>
    </row>
    <row r="40800" spans="26:26" x14ac:dyDescent="0.2">
      <c r="Z40800" t="str">
        <f t="shared" si="637"/>
        <v/>
      </c>
    </row>
    <row r="40801" spans="26:26" x14ac:dyDescent="0.2">
      <c r="Z40801" t="str">
        <f t="shared" si="637"/>
        <v/>
      </c>
    </row>
    <row r="40802" spans="26:26" x14ac:dyDescent="0.2">
      <c r="Z40802" t="str">
        <f t="shared" si="637"/>
        <v/>
      </c>
    </row>
    <row r="40803" spans="26:26" x14ac:dyDescent="0.2">
      <c r="Z40803" t="str">
        <f t="shared" si="637"/>
        <v/>
      </c>
    </row>
    <row r="40804" spans="26:26" x14ac:dyDescent="0.2">
      <c r="Z40804" t="str">
        <f t="shared" si="637"/>
        <v/>
      </c>
    </row>
    <row r="40805" spans="26:26" x14ac:dyDescent="0.2">
      <c r="Z40805" t="str">
        <f t="shared" si="637"/>
        <v/>
      </c>
    </row>
    <row r="40806" spans="26:26" x14ac:dyDescent="0.2">
      <c r="Z40806" t="str">
        <f t="shared" si="637"/>
        <v/>
      </c>
    </row>
    <row r="40807" spans="26:26" x14ac:dyDescent="0.2">
      <c r="Z40807" t="str">
        <f t="shared" si="637"/>
        <v/>
      </c>
    </row>
    <row r="40808" spans="26:26" x14ac:dyDescent="0.2">
      <c r="Z40808" t="str">
        <f t="shared" si="637"/>
        <v/>
      </c>
    </row>
    <row r="40809" spans="26:26" x14ac:dyDescent="0.2">
      <c r="Z40809" t="str">
        <f t="shared" si="637"/>
        <v/>
      </c>
    </row>
    <row r="40810" spans="26:26" x14ac:dyDescent="0.2">
      <c r="Z40810" t="str">
        <f t="shared" si="637"/>
        <v/>
      </c>
    </row>
    <row r="40811" spans="26:26" x14ac:dyDescent="0.2">
      <c r="Z40811" t="str">
        <f t="shared" si="637"/>
        <v/>
      </c>
    </row>
    <row r="40812" spans="26:26" x14ac:dyDescent="0.2">
      <c r="Z40812" t="str">
        <f t="shared" si="637"/>
        <v/>
      </c>
    </row>
    <row r="40813" spans="26:26" x14ac:dyDescent="0.2">
      <c r="Z40813" t="str">
        <f t="shared" si="637"/>
        <v/>
      </c>
    </row>
    <row r="40814" spans="26:26" x14ac:dyDescent="0.2">
      <c r="Z40814" t="str">
        <f t="shared" si="637"/>
        <v/>
      </c>
    </row>
    <row r="40815" spans="26:26" x14ac:dyDescent="0.2">
      <c r="Z40815" t="str">
        <f t="shared" si="637"/>
        <v/>
      </c>
    </row>
    <row r="40816" spans="26:26" x14ac:dyDescent="0.2">
      <c r="Z40816" t="str">
        <f t="shared" si="637"/>
        <v/>
      </c>
    </row>
    <row r="40817" spans="26:26" x14ac:dyDescent="0.2">
      <c r="Z40817" t="str">
        <f t="shared" si="637"/>
        <v/>
      </c>
    </row>
    <row r="40818" spans="26:26" x14ac:dyDescent="0.2">
      <c r="Z40818" t="str">
        <f t="shared" si="637"/>
        <v/>
      </c>
    </row>
    <row r="40819" spans="26:26" x14ac:dyDescent="0.2">
      <c r="Z40819" t="str">
        <f t="shared" si="637"/>
        <v/>
      </c>
    </row>
    <row r="40820" spans="26:26" x14ac:dyDescent="0.2">
      <c r="Z40820" t="str">
        <f t="shared" si="637"/>
        <v/>
      </c>
    </row>
    <row r="40821" spans="26:26" x14ac:dyDescent="0.2">
      <c r="Z40821" t="str">
        <f t="shared" si="637"/>
        <v/>
      </c>
    </row>
    <row r="40822" spans="26:26" x14ac:dyDescent="0.2">
      <c r="Z40822" t="str">
        <f t="shared" si="637"/>
        <v/>
      </c>
    </row>
    <row r="40823" spans="26:26" x14ac:dyDescent="0.2">
      <c r="Z40823" t="str">
        <f t="shared" si="637"/>
        <v/>
      </c>
    </row>
    <row r="40824" spans="26:26" x14ac:dyDescent="0.2">
      <c r="Z40824" t="str">
        <f t="shared" si="637"/>
        <v/>
      </c>
    </row>
    <row r="40825" spans="26:26" x14ac:dyDescent="0.2">
      <c r="Z40825" t="str">
        <f t="shared" si="637"/>
        <v/>
      </c>
    </row>
    <row r="40826" spans="26:26" x14ac:dyDescent="0.2">
      <c r="Z40826" t="str">
        <f t="shared" si="637"/>
        <v/>
      </c>
    </row>
    <row r="40827" spans="26:26" x14ac:dyDescent="0.2">
      <c r="Z40827" t="str">
        <f t="shared" si="637"/>
        <v/>
      </c>
    </row>
    <row r="40828" spans="26:26" x14ac:dyDescent="0.2">
      <c r="Z40828" t="str">
        <f t="shared" si="637"/>
        <v/>
      </c>
    </row>
    <row r="40829" spans="26:26" x14ac:dyDescent="0.2">
      <c r="Z40829" t="str">
        <f t="shared" si="637"/>
        <v/>
      </c>
    </row>
    <row r="40830" spans="26:26" x14ac:dyDescent="0.2">
      <c r="Z40830" t="str">
        <f t="shared" si="637"/>
        <v/>
      </c>
    </row>
    <row r="40831" spans="26:26" x14ac:dyDescent="0.2">
      <c r="Z40831" t="str">
        <f t="shared" si="637"/>
        <v/>
      </c>
    </row>
    <row r="40832" spans="26:26" x14ac:dyDescent="0.2">
      <c r="Z40832" t="str">
        <f t="shared" si="637"/>
        <v/>
      </c>
    </row>
    <row r="40833" spans="26:26" x14ac:dyDescent="0.2">
      <c r="Z40833" t="str">
        <f t="shared" si="637"/>
        <v/>
      </c>
    </row>
    <row r="40834" spans="26:26" x14ac:dyDescent="0.2">
      <c r="Z40834" t="str">
        <f t="shared" si="637"/>
        <v/>
      </c>
    </row>
    <row r="40835" spans="26:26" x14ac:dyDescent="0.2">
      <c r="Z40835" t="str">
        <f t="shared" ref="Z40835:Z40898" si="638">IF(K40835="","",IFERROR(VALUE(TRIM(MID(K40835,FIND(CHAR(167),SUBSTITUTE(K40835,"-",CHAR(167),LEN(K40835)-LEN(SUBSTITUTE(K40835,"-",""))))+1,100))),K40835))</f>
        <v/>
      </c>
    </row>
    <row r="40836" spans="26:26" x14ac:dyDescent="0.2">
      <c r="Z40836" t="str">
        <f t="shared" si="638"/>
        <v/>
      </c>
    </row>
    <row r="40837" spans="26:26" x14ac:dyDescent="0.2">
      <c r="Z40837" t="str">
        <f t="shared" si="638"/>
        <v/>
      </c>
    </row>
    <row r="40838" spans="26:26" x14ac:dyDescent="0.2">
      <c r="Z40838" t="str">
        <f t="shared" si="638"/>
        <v/>
      </c>
    </row>
    <row r="40839" spans="26:26" x14ac:dyDescent="0.2">
      <c r="Z40839" t="str">
        <f t="shared" si="638"/>
        <v/>
      </c>
    </row>
    <row r="40840" spans="26:26" x14ac:dyDescent="0.2">
      <c r="Z40840" t="str">
        <f t="shared" si="638"/>
        <v/>
      </c>
    </row>
    <row r="40841" spans="26:26" x14ac:dyDescent="0.2">
      <c r="Z40841" t="str">
        <f t="shared" si="638"/>
        <v/>
      </c>
    </row>
    <row r="40842" spans="26:26" x14ac:dyDescent="0.2">
      <c r="Z40842" t="str">
        <f t="shared" si="638"/>
        <v/>
      </c>
    </row>
    <row r="40843" spans="26:26" x14ac:dyDescent="0.2">
      <c r="Z40843" t="str">
        <f t="shared" si="638"/>
        <v/>
      </c>
    </row>
    <row r="40844" spans="26:26" x14ac:dyDescent="0.2">
      <c r="Z40844" t="str">
        <f t="shared" si="638"/>
        <v/>
      </c>
    </row>
    <row r="40845" spans="26:26" x14ac:dyDescent="0.2">
      <c r="Z40845" t="str">
        <f t="shared" si="638"/>
        <v/>
      </c>
    </row>
    <row r="40846" spans="26:26" x14ac:dyDescent="0.2">
      <c r="Z40846" t="str">
        <f t="shared" si="638"/>
        <v/>
      </c>
    </row>
    <row r="40847" spans="26:26" x14ac:dyDescent="0.2">
      <c r="Z40847" t="str">
        <f t="shared" si="638"/>
        <v/>
      </c>
    </row>
    <row r="40848" spans="26:26" x14ac:dyDescent="0.2">
      <c r="Z40848" t="str">
        <f t="shared" si="638"/>
        <v/>
      </c>
    </row>
    <row r="40849" spans="26:26" x14ac:dyDescent="0.2">
      <c r="Z40849" t="str">
        <f t="shared" si="638"/>
        <v/>
      </c>
    </row>
    <row r="40850" spans="26:26" x14ac:dyDescent="0.2">
      <c r="Z40850" t="str">
        <f t="shared" si="638"/>
        <v/>
      </c>
    </row>
    <row r="40851" spans="26:26" x14ac:dyDescent="0.2">
      <c r="Z40851" t="str">
        <f t="shared" si="638"/>
        <v/>
      </c>
    </row>
    <row r="40852" spans="26:26" x14ac:dyDescent="0.2">
      <c r="Z40852" t="str">
        <f t="shared" si="638"/>
        <v/>
      </c>
    </row>
    <row r="40853" spans="26:26" x14ac:dyDescent="0.2">
      <c r="Z40853" t="str">
        <f t="shared" si="638"/>
        <v/>
      </c>
    </row>
    <row r="40854" spans="26:26" x14ac:dyDescent="0.2">
      <c r="Z40854" t="str">
        <f t="shared" si="638"/>
        <v/>
      </c>
    </row>
    <row r="40855" spans="26:26" x14ac:dyDescent="0.2">
      <c r="Z40855" t="str">
        <f t="shared" si="638"/>
        <v/>
      </c>
    </row>
    <row r="40856" spans="26:26" x14ac:dyDescent="0.2">
      <c r="Z40856" t="str">
        <f t="shared" si="638"/>
        <v/>
      </c>
    </row>
    <row r="40857" spans="26:26" x14ac:dyDescent="0.2">
      <c r="Z40857" t="str">
        <f t="shared" si="638"/>
        <v/>
      </c>
    </row>
    <row r="40858" spans="26:26" x14ac:dyDescent="0.2">
      <c r="Z40858" t="str">
        <f t="shared" si="638"/>
        <v/>
      </c>
    </row>
    <row r="40859" spans="26:26" x14ac:dyDescent="0.2">
      <c r="Z40859" t="str">
        <f t="shared" si="638"/>
        <v/>
      </c>
    </row>
    <row r="40860" spans="26:26" x14ac:dyDescent="0.2">
      <c r="Z40860" t="str">
        <f t="shared" si="638"/>
        <v/>
      </c>
    </row>
    <row r="40861" spans="26:26" x14ac:dyDescent="0.2">
      <c r="Z40861" t="str">
        <f t="shared" si="638"/>
        <v/>
      </c>
    </row>
    <row r="40862" spans="26:26" x14ac:dyDescent="0.2">
      <c r="Z40862" t="str">
        <f t="shared" si="638"/>
        <v/>
      </c>
    </row>
    <row r="40863" spans="26:26" x14ac:dyDescent="0.2">
      <c r="Z40863" t="str">
        <f t="shared" si="638"/>
        <v/>
      </c>
    </row>
    <row r="40864" spans="26:26" x14ac:dyDescent="0.2">
      <c r="Z40864" t="str">
        <f t="shared" si="638"/>
        <v/>
      </c>
    </row>
    <row r="40865" spans="26:26" x14ac:dyDescent="0.2">
      <c r="Z40865" t="str">
        <f t="shared" si="638"/>
        <v/>
      </c>
    </row>
    <row r="40866" spans="26:26" x14ac:dyDescent="0.2">
      <c r="Z40866" t="str">
        <f t="shared" si="638"/>
        <v/>
      </c>
    </row>
    <row r="40867" spans="26:26" x14ac:dyDescent="0.2">
      <c r="Z40867" t="str">
        <f t="shared" si="638"/>
        <v/>
      </c>
    </row>
    <row r="40868" spans="26:26" x14ac:dyDescent="0.2">
      <c r="Z40868" t="str">
        <f t="shared" si="638"/>
        <v/>
      </c>
    </row>
    <row r="40869" spans="26:26" x14ac:dyDescent="0.2">
      <c r="Z40869" t="str">
        <f t="shared" si="638"/>
        <v/>
      </c>
    </row>
    <row r="40870" spans="26:26" x14ac:dyDescent="0.2">
      <c r="Z40870" t="str">
        <f t="shared" si="638"/>
        <v/>
      </c>
    </row>
    <row r="40871" spans="26:26" x14ac:dyDescent="0.2">
      <c r="Z40871" t="str">
        <f t="shared" si="638"/>
        <v/>
      </c>
    </row>
    <row r="40872" spans="26:26" x14ac:dyDescent="0.2">
      <c r="Z40872" t="str">
        <f t="shared" si="638"/>
        <v/>
      </c>
    </row>
    <row r="40873" spans="26:26" x14ac:dyDescent="0.2">
      <c r="Z40873" t="str">
        <f t="shared" si="638"/>
        <v/>
      </c>
    </row>
    <row r="40874" spans="26:26" x14ac:dyDescent="0.2">
      <c r="Z40874" t="str">
        <f t="shared" si="638"/>
        <v/>
      </c>
    </row>
    <row r="40875" spans="26:26" x14ac:dyDescent="0.2">
      <c r="Z40875" t="str">
        <f t="shared" si="638"/>
        <v/>
      </c>
    </row>
    <row r="40876" spans="26:26" x14ac:dyDescent="0.2">
      <c r="Z40876" t="str">
        <f t="shared" si="638"/>
        <v/>
      </c>
    </row>
    <row r="40877" spans="26:26" x14ac:dyDescent="0.2">
      <c r="Z40877" t="str">
        <f t="shared" si="638"/>
        <v/>
      </c>
    </row>
    <row r="40878" spans="26:26" x14ac:dyDescent="0.2">
      <c r="Z40878" t="str">
        <f t="shared" si="638"/>
        <v/>
      </c>
    </row>
    <row r="40879" spans="26:26" x14ac:dyDescent="0.2">
      <c r="Z40879" t="str">
        <f t="shared" si="638"/>
        <v/>
      </c>
    </row>
    <row r="40880" spans="26:26" x14ac:dyDescent="0.2">
      <c r="Z40880" t="str">
        <f t="shared" si="638"/>
        <v/>
      </c>
    </row>
    <row r="40881" spans="26:26" x14ac:dyDescent="0.2">
      <c r="Z40881" t="str">
        <f t="shared" si="638"/>
        <v/>
      </c>
    </row>
    <row r="40882" spans="26:26" x14ac:dyDescent="0.2">
      <c r="Z40882" t="str">
        <f t="shared" si="638"/>
        <v/>
      </c>
    </row>
    <row r="40883" spans="26:26" x14ac:dyDescent="0.2">
      <c r="Z40883" t="str">
        <f t="shared" si="638"/>
        <v/>
      </c>
    </row>
    <row r="40884" spans="26:26" x14ac:dyDescent="0.2">
      <c r="Z40884" t="str">
        <f t="shared" si="638"/>
        <v/>
      </c>
    </row>
    <row r="40885" spans="26:26" x14ac:dyDescent="0.2">
      <c r="Z40885" t="str">
        <f t="shared" si="638"/>
        <v/>
      </c>
    </row>
    <row r="40886" spans="26:26" x14ac:dyDescent="0.2">
      <c r="Z40886" t="str">
        <f t="shared" si="638"/>
        <v/>
      </c>
    </row>
    <row r="40887" spans="26:26" x14ac:dyDescent="0.2">
      <c r="Z40887" t="str">
        <f t="shared" si="638"/>
        <v/>
      </c>
    </row>
    <row r="40888" spans="26:26" x14ac:dyDescent="0.2">
      <c r="Z40888" t="str">
        <f t="shared" si="638"/>
        <v/>
      </c>
    </row>
    <row r="40889" spans="26:26" x14ac:dyDescent="0.2">
      <c r="Z40889" t="str">
        <f t="shared" si="638"/>
        <v/>
      </c>
    </row>
    <row r="40890" spans="26:26" x14ac:dyDescent="0.2">
      <c r="Z40890" t="str">
        <f t="shared" si="638"/>
        <v/>
      </c>
    </row>
    <row r="40891" spans="26:26" x14ac:dyDescent="0.2">
      <c r="Z40891" t="str">
        <f t="shared" si="638"/>
        <v/>
      </c>
    </row>
    <row r="40892" spans="26:26" x14ac:dyDescent="0.2">
      <c r="Z40892" t="str">
        <f t="shared" si="638"/>
        <v/>
      </c>
    </row>
    <row r="40893" spans="26:26" x14ac:dyDescent="0.2">
      <c r="Z40893" t="str">
        <f t="shared" si="638"/>
        <v/>
      </c>
    </row>
    <row r="40894" spans="26:26" x14ac:dyDescent="0.2">
      <c r="Z40894" t="str">
        <f t="shared" si="638"/>
        <v/>
      </c>
    </row>
    <row r="40895" spans="26:26" x14ac:dyDescent="0.2">
      <c r="Z40895" t="str">
        <f t="shared" si="638"/>
        <v/>
      </c>
    </row>
    <row r="40896" spans="26:26" x14ac:dyDescent="0.2">
      <c r="Z40896" t="str">
        <f t="shared" si="638"/>
        <v/>
      </c>
    </row>
    <row r="40897" spans="26:26" x14ac:dyDescent="0.2">
      <c r="Z40897" t="str">
        <f t="shared" si="638"/>
        <v/>
      </c>
    </row>
    <row r="40898" spans="26:26" x14ac:dyDescent="0.2">
      <c r="Z40898" t="str">
        <f t="shared" si="638"/>
        <v/>
      </c>
    </row>
    <row r="40899" spans="26:26" x14ac:dyDescent="0.2">
      <c r="Z40899" t="str">
        <f t="shared" ref="Z40899:Z40962" si="639">IF(K40899="","",IFERROR(VALUE(TRIM(MID(K40899,FIND(CHAR(167),SUBSTITUTE(K40899,"-",CHAR(167),LEN(K40899)-LEN(SUBSTITUTE(K40899,"-",""))))+1,100))),K40899))</f>
        <v/>
      </c>
    </row>
    <row r="40900" spans="26:26" x14ac:dyDescent="0.2">
      <c r="Z40900" t="str">
        <f t="shared" si="639"/>
        <v/>
      </c>
    </row>
    <row r="40901" spans="26:26" x14ac:dyDescent="0.2">
      <c r="Z40901" t="str">
        <f t="shared" si="639"/>
        <v/>
      </c>
    </row>
    <row r="40902" spans="26:26" x14ac:dyDescent="0.2">
      <c r="Z40902" t="str">
        <f t="shared" si="639"/>
        <v/>
      </c>
    </row>
    <row r="40903" spans="26:26" x14ac:dyDescent="0.2">
      <c r="Z40903" t="str">
        <f t="shared" si="639"/>
        <v/>
      </c>
    </row>
    <row r="40904" spans="26:26" x14ac:dyDescent="0.2">
      <c r="Z40904" t="str">
        <f t="shared" si="639"/>
        <v/>
      </c>
    </row>
    <row r="40905" spans="26:26" x14ac:dyDescent="0.2">
      <c r="Z40905" t="str">
        <f t="shared" si="639"/>
        <v/>
      </c>
    </row>
    <row r="40906" spans="26:26" x14ac:dyDescent="0.2">
      <c r="Z40906" t="str">
        <f t="shared" si="639"/>
        <v/>
      </c>
    </row>
    <row r="40907" spans="26:26" x14ac:dyDescent="0.2">
      <c r="Z40907" t="str">
        <f t="shared" si="639"/>
        <v/>
      </c>
    </row>
    <row r="40908" spans="26:26" x14ac:dyDescent="0.2">
      <c r="Z40908" t="str">
        <f t="shared" si="639"/>
        <v/>
      </c>
    </row>
    <row r="40909" spans="26:26" x14ac:dyDescent="0.2">
      <c r="Z40909" t="str">
        <f t="shared" si="639"/>
        <v/>
      </c>
    </row>
    <row r="40910" spans="26:26" x14ac:dyDescent="0.2">
      <c r="Z40910" t="str">
        <f t="shared" si="639"/>
        <v/>
      </c>
    </row>
    <row r="40911" spans="26:26" x14ac:dyDescent="0.2">
      <c r="Z40911" t="str">
        <f t="shared" si="639"/>
        <v/>
      </c>
    </row>
    <row r="40912" spans="26:26" x14ac:dyDescent="0.2">
      <c r="Z40912" t="str">
        <f t="shared" si="639"/>
        <v/>
      </c>
    </row>
    <row r="40913" spans="26:26" x14ac:dyDescent="0.2">
      <c r="Z40913" t="str">
        <f t="shared" si="639"/>
        <v/>
      </c>
    </row>
    <row r="40914" spans="26:26" x14ac:dyDescent="0.2">
      <c r="Z40914" t="str">
        <f t="shared" si="639"/>
        <v/>
      </c>
    </row>
    <row r="40915" spans="26:26" x14ac:dyDescent="0.2">
      <c r="Z40915" t="str">
        <f t="shared" si="639"/>
        <v/>
      </c>
    </row>
    <row r="40916" spans="26:26" x14ac:dyDescent="0.2">
      <c r="Z40916" t="str">
        <f t="shared" si="639"/>
        <v/>
      </c>
    </row>
    <row r="40917" spans="26:26" x14ac:dyDescent="0.2">
      <c r="Z40917" t="str">
        <f t="shared" si="639"/>
        <v/>
      </c>
    </row>
    <row r="40918" spans="26:26" x14ac:dyDescent="0.2">
      <c r="Z40918" t="str">
        <f t="shared" si="639"/>
        <v/>
      </c>
    </row>
    <row r="40919" spans="26:26" x14ac:dyDescent="0.2">
      <c r="Z40919" t="str">
        <f t="shared" si="639"/>
        <v/>
      </c>
    </row>
    <row r="40920" spans="26:26" x14ac:dyDescent="0.2">
      <c r="Z40920" t="str">
        <f t="shared" si="639"/>
        <v/>
      </c>
    </row>
    <row r="40921" spans="26:26" x14ac:dyDescent="0.2">
      <c r="Z40921" t="str">
        <f t="shared" si="639"/>
        <v/>
      </c>
    </row>
    <row r="40922" spans="26:26" x14ac:dyDescent="0.2">
      <c r="Z40922" t="str">
        <f t="shared" si="639"/>
        <v/>
      </c>
    </row>
    <row r="40923" spans="26:26" x14ac:dyDescent="0.2">
      <c r="Z40923" t="str">
        <f t="shared" si="639"/>
        <v/>
      </c>
    </row>
    <row r="40924" spans="26:26" x14ac:dyDescent="0.2">
      <c r="Z40924" t="str">
        <f t="shared" si="639"/>
        <v/>
      </c>
    </row>
    <row r="40925" spans="26:26" x14ac:dyDescent="0.2">
      <c r="Z40925" t="str">
        <f t="shared" si="639"/>
        <v/>
      </c>
    </row>
    <row r="40926" spans="26:26" x14ac:dyDescent="0.2">
      <c r="Z40926" t="str">
        <f t="shared" si="639"/>
        <v/>
      </c>
    </row>
    <row r="40927" spans="26:26" x14ac:dyDescent="0.2">
      <c r="Z40927" t="str">
        <f t="shared" si="639"/>
        <v/>
      </c>
    </row>
    <row r="40928" spans="26:26" x14ac:dyDescent="0.2">
      <c r="Z40928" t="str">
        <f t="shared" si="639"/>
        <v/>
      </c>
    </row>
    <row r="40929" spans="26:26" x14ac:dyDescent="0.2">
      <c r="Z40929" t="str">
        <f t="shared" si="639"/>
        <v/>
      </c>
    </row>
    <row r="40930" spans="26:26" x14ac:dyDescent="0.2">
      <c r="Z40930" t="str">
        <f t="shared" si="639"/>
        <v/>
      </c>
    </row>
    <row r="40931" spans="26:26" x14ac:dyDescent="0.2">
      <c r="Z40931" t="str">
        <f t="shared" si="639"/>
        <v/>
      </c>
    </row>
    <row r="40932" spans="26:26" x14ac:dyDescent="0.2">
      <c r="Z40932" t="str">
        <f t="shared" si="639"/>
        <v/>
      </c>
    </row>
    <row r="40933" spans="26:26" x14ac:dyDescent="0.2">
      <c r="Z40933" t="str">
        <f t="shared" si="639"/>
        <v/>
      </c>
    </row>
    <row r="40934" spans="26:26" x14ac:dyDescent="0.2">
      <c r="Z40934" t="str">
        <f t="shared" si="639"/>
        <v/>
      </c>
    </row>
    <row r="40935" spans="26:26" x14ac:dyDescent="0.2">
      <c r="Z40935" t="str">
        <f t="shared" si="639"/>
        <v/>
      </c>
    </row>
    <row r="40936" spans="26:26" x14ac:dyDescent="0.2">
      <c r="Z40936" t="str">
        <f t="shared" si="639"/>
        <v/>
      </c>
    </row>
    <row r="40937" spans="26:26" x14ac:dyDescent="0.2">
      <c r="Z40937" t="str">
        <f t="shared" si="639"/>
        <v/>
      </c>
    </row>
    <row r="40938" spans="26:26" x14ac:dyDescent="0.2">
      <c r="Z40938" t="str">
        <f t="shared" si="639"/>
        <v/>
      </c>
    </row>
    <row r="40939" spans="26:26" x14ac:dyDescent="0.2">
      <c r="Z40939" t="str">
        <f t="shared" si="639"/>
        <v/>
      </c>
    </row>
    <row r="40940" spans="26:26" x14ac:dyDescent="0.2">
      <c r="Z40940" t="str">
        <f t="shared" si="639"/>
        <v/>
      </c>
    </row>
    <row r="40941" spans="26:26" x14ac:dyDescent="0.2">
      <c r="Z40941" t="str">
        <f t="shared" si="639"/>
        <v/>
      </c>
    </row>
    <row r="40942" spans="26:26" x14ac:dyDescent="0.2">
      <c r="Z40942" t="str">
        <f t="shared" si="639"/>
        <v/>
      </c>
    </row>
    <row r="40943" spans="26:26" x14ac:dyDescent="0.2">
      <c r="Z40943" t="str">
        <f t="shared" si="639"/>
        <v/>
      </c>
    </row>
    <row r="40944" spans="26:26" x14ac:dyDescent="0.2">
      <c r="Z40944" t="str">
        <f t="shared" si="639"/>
        <v/>
      </c>
    </row>
    <row r="40945" spans="26:26" x14ac:dyDescent="0.2">
      <c r="Z40945" t="str">
        <f t="shared" si="639"/>
        <v/>
      </c>
    </row>
    <row r="40946" spans="26:26" x14ac:dyDescent="0.2">
      <c r="Z40946" t="str">
        <f t="shared" si="639"/>
        <v/>
      </c>
    </row>
    <row r="40947" spans="26:26" x14ac:dyDescent="0.2">
      <c r="Z40947" t="str">
        <f t="shared" si="639"/>
        <v/>
      </c>
    </row>
    <row r="40948" spans="26:26" x14ac:dyDescent="0.2">
      <c r="Z40948" t="str">
        <f t="shared" si="639"/>
        <v/>
      </c>
    </row>
    <row r="40949" spans="26:26" x14ac:dyDescent="0.2">
      <c r="Z40949" t="str">
        <f t="shared" si="639"/>
        <v/>
      </c>
    </row>
    <row r="40950" spans="26:26" x14ac:dyDescent="0.2">
      <c r="Z40950" t="str">
        <f t="shared" si="639"/>
        <v/>
      </c>
    </row>
    <row r="40951" spans="26:26" x14ac:dyDescent="0.2">
      <c r="Z40951" t="str">
        <f t="shared" si="639"/>
        <v/>
      </c>
    </row>
    <row r="40952" spans="26:26" x14ac:dyDescent="0.2">
      <c r="Z40952" t="str">
        <f t="shared" si="639"/>
        <v/>
      </c>
    </row>
    <row r="40953" spans="26:26" x14ac:dyDescent="0.2">
      <c r="Z40953" t="str">
        <f t="shared" si="639"/>
        <v/>
      </c>
    </row>
    <row r="40954" spans="26:26" x14ac:dyDescent="0.2">
      <c r="Z40954" t="str">
        <f t="shared" si="639"/>
        <v/>
      </c>
    </row>
    <row r="40955" spans="26:26" x14ac:dyDescent="0.2">
      <c r="Z40955" t="str">
        <f t="shared" si="639"/>
        <v/>
      </c>
    </row>
    <row r="40956" spans="26:26" x14ac:dyDescent="0.2">
      <c r="Z40956" t="str">
        <f t="shared" si="639"/>
        <v/>
      </c>
    </row>
    <row r="40957" spans="26:26" x14ac:dyDescent="0.2">
      <c r="Z40957" t="str">
        <f t="shared" si="639"/>
        <v/>
      </c>
    </row>
    <row r="40958" spans="26:26" x14ac:dyDescent="0.2">
      <c r="Z40958" t="str">
        <f t="shared" si="639"/>
        <v/>
      </c>
    </row>
    <row r="40959" spans="26:26" x14ac:dyDescent="0.2">
      <c r="Z40959" t="str">
        <f t="shared" si="639"/>
        <v/>
      </c>
    </row>
    <row r="40960" spans="26:26" x14ac:dyDescent="0.2">
      <c r="Z40960" t="str">
        <f t="shared" si="639"/>
        <v/>
      </c>
    </row>
    <row r="40961" spans="26:26" x14ac:dyDescent="0.2">
      <c r="Z40961" t="str">
        <f t="shared" si="639"/>
        <v/>
      </c>
    </row>
    <row r="40962" spans="26:26" x14ac:dyDescent="0.2">
      <c r="Z40962" t="str">
        <f t="shared" si="639"/>
        <v/>
      </c>
    </row>
    <row r="40963" spans="26:26" x14ac:dyDescent="0.2">
      <c r="Z40963" t="str">
        <f t="shared" ref="Z40963:Z41026" si="640">IF(K40963="","",IFERROR(VALUE(TRIM(MID(K40963,FIND(CHAR(167),SUBSTITUTE(K40963,"-",CHAR(167),LEN(K40963)-LEN(SUBSTITUTE(K40963,"-",""))))+1,100))),K40963))</f>
        <v/>
      </c>
    </row>
    <row r="40964" spans="26:26" x14ac:dyDescent="0.2">
      <c r="Z40964" t="str">
        <f t="shared" si="640"/>
        <v/>
      </c>
    </row>
    <row r="40965" spans="26:26" x14ac:dyDescent="0.2">
      <c r="Z40965" t="str">
        <f t="shared" si="640"/>
        <v/>
      </c>
    </row>
    <row r="40966" spans="26:26" x14ac:dyDescent="0.2">
      <c r="Z40966" t="str">
        <f t="shared" si="640"/>
        <v/>
      </c>
    </row>
    <row r="40967" spans="26:26" x14ac:dyDescent="0.2">
      <c r="Z40967" t="str">
        <f t="shared" si="640"/>
        <v/>
      </c>
    </row>
    <row r="40968" spans="26:26" x14ac:dyDescent="0.2">
      <c r="Z40968" t="str">
        <f t="shared" si="640"/>
        <v/>
      </c>
    </row>
    <row r="40969" spans="26:26" x14ac:dyDescent="0.2">
      <c r="Z40969" t="str">
        <f t="shared" si="640"/>
        <v/>
      </c>
    </row>
    <row r="40970" spans="26:26" x14ac:dyDescent="0.2">
      <c r="Z40970" t="str">
        <f t="shared" si="640"/>
        <v/>
      </c>
    </row>
    <row r="40971" spans="26:26" x14ac:dyDescent="0.2">
      <c r="Z40971" t="str">
        <f t="shared" si="640"/>
        <v/>
      </c>
    </row>
    <row r="40972" spans="26:26" x14ac:dyDescent="0.2">
      <c r="Z40972" t="str">
        <f t="shared" si="640"/>
        <v/>
      </c>
    </row>
    <row r="40973" spans="26:26" x14ac:dyDescent="0.2">
      <c r="Z40973" t="str">
        <f t="shared" si="640"/>
        <v/>
      </c>
    </row>
    <row r="40974" spans="26:26" x14ac:dyDescent="0.2">
      <c r="Z40974" t="str">
        <f t="shared" si="640"/>
        <v/>
      </c>
    </row>
    <row r="40975" spans="26:26" x14ac:dyDescent="0.2">
      <c r="Z40975" t="str">
        <f t="shared" si="640"/>
        <v/>
      </c>
    </row>
    <row r="40976" spans="26:26" x14ac:dyDescent="0.2">
      <c r="Z40976" t="str">
        <f t="shared" si="640"/>
        <v/>
      </c>
    </row>
    <row r="40977" spans="26:26" x14ac:dyDescent="0.2">
      <c r="Z40977" t="str">
        <f t="shared" si="640"/>
        <v/>
      </c>
    </row>
    <row r="40978" spans="26:26" x14ac:dyDescent="0.2">
      <c r="Z40978" t="str">
        <f t="shared" si="640"/>
        <v/>
      </c>
    </row>
    <row r="40979" spans="26:26" x14ac:dyDescent="0.2">
      <c r="Z40979" t="str">
        <f t="shared" si="640"/>
        <v/>
      </c>
    </row>
    <row r="40980" spans="26:26" x14ac:dyDescent="0.2">
      <c r="Z40980" t="str">
        <f t="shared" si="640"/>
        <v/>
      </c>
    </row>
    <row r="40981" spans="26:26" x14ac:dyDescent="0.2">
      <c r="Z40981" t="str">
        <f t="shared" si="640"/>
        <v/>
      </c>
    </row>
    <row r="40982" spans="26:26" x14ac:dyDescent="0.2">
      <c r="Z40982" t="str">
        <f t="shared" si="640"/>
        <v/>
      </c>
    </row>
    <row r="40983" spans="26:26" x14ac:dyDescent="0.2">
      <c r="Z40983" t="str">
        <f t="shared" si="640"/>
        <v/>
      </c>
    </row>
    <row r="40984" spans="26:26" x14ac:dyDescent="0.2">
      <c r="Z40984" t="str">
        <f t="shared" si="640"/>
        <v/>
      </c>
    </row>
    <row r="40985" spans="26:26" x14ac:dyDescent="0.2">
      <c r="Z40985" t="str">
        <f t="shared" si="640"/>
        <v/>
      </c>
    </row>
    <row r="40986" spans="26:26" x14ac:dyDescent="0.2">
      <c r="Z40986" t="str">
        <f t="shared" si="640"/>
        <v/>
      </c>
    </row>
    <row r="40987" spans="26:26" x14ac:dyDescent="0.2">
      <c r="Z40987" t="str">
        <f t="shared" si="640"/>
        <v/>
      </c>
    </row>
    <row r="40988" spans="26:26" x14ac:dyDescent="0.2">
      <c r="Z40988" t="str">
        <f t="shared" si="640"/>
        <v/>
      </c>
    </row>
    <row r="40989" spans="26:26" x14ac:dyDescent="0.2">
      <c r="Z40989" t="str">
        <f t="shared" si="640"/>
        <v/>
      </c>
    </row>
    <row r="40990" spans="26:26" x14ac:dyDescent="0.2">
      <c r="Z40990" t="str">
        <f t="shared" si="640"/>
        <v/>
      </c>
    </row>
    <row r="40991" spans="26:26" x14ac:dyDescent="0.2">
      <c r="Z40991" t="str">
        <f t="shared" si="640"/>
        <v/>
      </c>
    </row>
    <row r="40992" spans="26:26" x14ac:dyDescent="0.2">
      <c r="Z40992" t="str">
        <f t="shared" si="640"/>
        <v/>
      </c>
    </row>
    <row r="40993" spans="26:26" x14ac:dyDescent="0.2">
      <c r="Z40993" t="str">
        <f t="shared" si="640"/>
        <v/>
      </c>
    </row>
    <row r="40994" spans="26:26" x14ac:dyDescent="0.2">
      <c r="Z40994" t="str">
        <f t="shared" si="640"/>
        <v/>
      </c>
    </row>
    <row r="40995" spans="26:26" x14ac:dyDescent="0.2">
      <c r="Z40995" t="str">
        <f t="shared" si="640"/>
        <v/>
      </c>
    </row>
    <row r="40996" spans="26:26" x14ac:dyDescent="0.2">
      <c r="Z40996" t="str">
        <f t="shared" si="640"/>
        <v/>
      </c>
    </row>
    <row r="40997" spans="26:26" x14ac:dyDescent="0.2">
      <c r="Z40997" t="str">
        <f t="shared" si="640"/>
        <v/>
      </c>
    </row>
    <row r="40998" spans="26:26" x14ac:dyDescent="0.2">
      <c r="Z40998" t="str">
        <f t="shared" si="640"/>
        <v/>
      </c>
    </row>
    <row r="40999" spans="26:26" x14ac:dyDescent="0.2">
      <c r="Z40999" t="str">
        <f t="shared" si="640"/>
        <v/>
      </c>
    </row>
    <row r="41000" spans="26:26" x14ac:dyDescent="0.2">
      <c r="Z41000" t="str">
        <f t="shared" si="640"/>
        <v/>
      </c>
    </row>
    <row r="41001" spans="26:26" x14ac:dyDescent="0.2">
      <c r="Z41001" t="str">
        <f t="shared" si="640"/>
        <v/>
      </c>
    </row>
    <row r="41002" spans="26:26" x14ac:dyDescent="0.2">
      <c r="Z41002" t="str">
        <f t="shared" si="640"/>
        <v/>
      </c>
    </row>
    <row r="41003" spans="26:26" x14ac:dyDescent="0.2">
      <c r="Z41003" t="str">
        <f t="shared" si="640"/>
        <v/>
      </c>
    </row>
    <row r="41004" spans="26:26" x14ac:dyDescent="0.2">
      <c r="Z41004" t="str">
        <f t="shared" si="640"/>
        <v/>
      </c>
    </row>
    <row r="41005" spans="26:26" x14ac:dyDescent="0.2">
      <c r="Z41005" t="str">
        <f t="shared" si="640"/>
        <v/>
      </c>
    </row>
    <row r="41006" spans="26:26" x14ac:dyDescent="0.2">
      <c r="Z41006" t="str">
        <f t="shared" si="640"/>
        <v/>
      </c>
    </row>
    <row r="41007" spans="26:26" x14ac:dyDescent="0.2">
      <c r="Z41007" t="str">
        <f t="shared" si="640"/>
        <v/>
      </c>
    </row>
    <row r="41008" spans="26:26" x14ac:dyDescent="0.2">
      <c r="Z41008" t="str">
        <f t="shared" si="640"/>
        <v/>
      </c>
    </row>
    <row r="41009" spans="26:26" x14ac:dyDescent="0.2">
      <c r="Z41009" t="str">
        <f t="shared" si="640"/>
        <v/>
      </c>
    </row>
    <row r="41010" spans="26:26" x14ac:dyDescent="0.2">
      <c r="Z41010" t="str">
        <f t="shared" si="640"/>
        <v/>
      </c>
    </row>
    <row r="41011" spans="26:26" x14ac:dyDescent="0.2">
      <c r="Z41011" t="str">
        <f t="shared" si="640"/>
        <v/>
      </c>
    </row>
    <row r="41012" spans="26:26" x14ac:dyDescent="0.2">
      <c r="Z41012" t="str">
        <f t="shared" si="640"/>
        <v/>
      </c>
    </row>
    <row r="41013" spans="26:26" x14ac:dyDescent="0.2">
      <c r="Z41013" t="str">
        <f t="shared" si="640"/>
        <v/>
      </c>
    </row>
    <row r="41014" spans="26:26" x14ac:dyDescent="0.2">
      <c r="Z41014" t="str">
        <f t="shared" si="640"/>
        <v/>
      </c>
    </row>
    <row r="41015" spans="26:26" x14ac:dyDescent="0.2">
      <c r="Z41015" t="str">
        <f t="shared" si="640"/>
        <v/>
      </c>
    </row>
    <row r="41016" spans="26:26" x14ac:dyDescent="0.2">
      <c r="Z41016" t="str">
        <f t="shared" si="640"/>
        <v/>
      </c>
    </row>
    <row r="41017" spans="26:26" x14ac:dyDescent="0.2">
      <c r="Z41017" t="str">
        <f t="shared" si="640"/>
        <v/>
      </c>
    </row>
    <row r="41018" spans="26:26" x14ac:dyDescent="0.2">
      <c r="Z41018" t="str">
        <f t="shared" si="640"/>
        <v/>
      </c>
    </row>
    <row r="41019" spans="26:26" x14ac:dyDescent="0.2">
      <c r="Z41019" t="str">
        <f t="shared" si="640"/>
        <v/>
      </c>
    </row>
    <row r="41020" spans="26:26" x14ac:dyDescent="0.2">
      <c r="Z41020" t="str">
        <f t="shared" si="640"/>
        <v/>
      </c>
    </row>
    <row r="41021" spans="26:26" x14ac:dyDescent="0.2">
      <c r="Z41021" t="str">
        <f t="shared" si="640"/>
        <v/>
      </c>
    </row>
    <row r="41022" spans="26:26" x14ac:dyDescent="0.2">
      <c r="Z41022" t="str">
        <f t="shared" si="640"/>
        <v/>
      </c>
    </row>
    <row r="41023" spans="26:26" x14ac:dyDescent="0.2">
      <c r="Z41023" t="str">
        <f t="shared" si="640"/>
        <v/>
      </c>
    </row>
    <row r="41024" spans="26:26" x14ac:dyDescent="0.2">
      <c r="Z41024" t="str">
        <f t="shared" si="640"/>
        <v/>
      </c>
    </row>
    <row r="41025" spans="26:26" x14ac:dyDescent="0.2">
      <c r="Z41025" t="str">
        <f t="shared" si="640"/>
        <v/>
      </c>
    </row>
    <row r="41026" spans="26:26" x14ac:dyDescent="0.2">
      <c r="Z41026" t="str">
        <f t="shared" si="640"/>
        <v/>
      </c>
    </row>
    <row r="41027" spans="26:26" x14ac:dyDescent="0.2">
      <c r="Z41027" t="str">
        <f t="shared" ref="Z41027:Z41090" si="641">IF(K41027="","",IFERROR(VALUE(TRIM(MID(K41027,FIND(CHAR(167),SUBSTITUTE(K41027,"-",CHAR(167),LEN(K41027)-LEN(SUBSTITUTE(K41027,"-",""))))+1,100))),K41027))</f>
        <v/>
      </c>
    </row>
    <row r="41028" spans="26:26" x14ac:dyDescent="0.2">
      <c r="Z41028" t="str">
        <f t="shared" si="641"/>
        <v/>
      </c>
    </row>
    <row r="41029" spans="26:26" x14ac:dyDescent="0.2">
      <c r="Z41029" t="str">
        <f t="shared" si="641"/>
        <v/>
      </c>
    </row>
    <row r="41030" spans="26:26" x14ac:dyDescent="0.2">
      <c r="Z41030" t="str">
        <f t="shared" si="641"/>
        <v/>
      </c>
    </row>
    <row r="41031" spans="26:26" x14ac:dyDescent="0.2">
      <c r="Z41031" t="str">
        <f t="shared" si="641"/>
        <v/>
      </c>
    </row>
    <row r="41032" spans="26:26" x14ac:dyDescent="0.2">
      <c r="Z41032" t="str">
        <f t="shared" si="641"/>
        <v/>
      </c>
    </row>
    <row r="41033" spans="26:26" x14ac:dyDescent="0.2">
      <c r="Z41033" t="str">
        <f t="shared" si="641"/>
        <v/>
      </c>
    </row>
    <row r="41034" spans="26:26" x14ac:dyDescent="0.2">
      <c r="Z41034" t="str">
        <f t="shared" si="641"/>
        <v/>
      </c>
    </row>
    <row r="41035" spans="26:26" x14ac:dyDescent="0.2">
      <c r="Z41035" t="str">
        <f t="shared" si="641"/>
        <v/>
      </c>
    </row>
    <row r="41036" spans="26:26" x14ac:dyDescent="0.2">
      <c r="Z41036" t="str">
        <f t="shared" si="641"/>
        <v/>
      </c>
    </row>
    <row r="41037" spans="26:26" x14ac:dyDescent="0.2">
      <c r="Z41037" t="str">
        <f t="shared" si="641"/>
        <v/>
      </c>
    </row>
    <row r="41038" spans="26:26" x14ac:dyDescent="0.2">
      <c r="Z41038" t="str">
        <f t="shared" si="641"/>
        <v/>
      </c>
    </row>
    <row r="41039" spans="26:26" x14ac:dyDescent="0.2">
      <c r="Z41039" t="str">
        <f t="shared" si="641"/>
        <v/>
      </c>
    </row>
    <row r="41040" spans="26:26" x14ac:dyDescent="0.2">
      <c r="Z41040" t="str">
        <f t="shared" si="641"/>
        <v/>
      </c>
    </row>
    <row r="41041" spans="26:26" x14ac:dyDescent="0.2">
      <c r="Z41041" t="str">
        <f t="shared" si="641"/>
        <v/>
      </c>
    </row>
    <row r="41042" spans="26:26" x14ac:dyDescent="0.2">
      <c r="Z41042" t="str">
        <f t="shared" si="641"/>
        <v/>
      </c>
    </row>
    <row r="41043" spans="26:26" x14ac:dyDescent="0.2">
      <c r="Z41043" t="str">
        <f t="shared" si="641"/>
        <v/>
      </c>
    </row>
    <row r="41044" spans="26:26" x14ac:dyDescent="0.2">
      <c r="Z41044" t="str">
        <f t="shared" si="641"/>
        <v/>
      </c>
    </row>
    <row r="41045" spans="26:26" x14ac:dyDescent="0.2">
      <c r="Z41045" t="str">
        <f t="shared" si="641"/>
        <v/>
      </c>
    </row>
    <row r="41046" spans="26:26" x14ac:dyDescent="0.2">
      <c r="Z41046" t="str">
        <f t="shared" si="641"/>
        <v/>
      </c>
    </row>
    <row r="41047" spans="26:26" x14ac:dyDescent="0.2">
      <c r="Z41047" t="str">
        <f t="shared" si="641"/>
        <v/>
      </c>
    </row>
    <row r="41048" spans="26:26" x14ac:dyDescent="0.2">
      <c r="Z41048" t="str">
        <f t="shared" si="641"/>
        <v/>
      </c>
    </row>
    <row r="41049" spans="26:26" x14ac:dyDescent="0.2">
      <c r="Z41049" t="str">
        <f t="shared" si="641"/>
        <v/>
      </c>
    </row>
    <row r="41050" spans="26:26" x14ac:dyDescent="0.2">
      <c r="Z41050" t="str">
        <f t="shared" si="641"/>
        <v/>
      </c>
    </row>
    <row r="41051" spans="26:26" x14ac:dyDescent="0.2">
      <c r="Z41051" t="str">
        <f t="shared" si="641"/>
        <v/>
      </c>
    </row>
    <row r="41052" spans="26:26" x14ac:dyDescent="0.2">
      <c r="Z41052" t="str">
        <f t="shared" si="641"/>
        <v/>
      </c>
    </row>
    <row r="41053" spans="26:26" x14ac:dyDescent="0.2">
      <c r="Z41053" t="str">
        <f t="shared" si="641"/>
        <v/>
      </c>
    </row>
    <row r="41054" spans="26:26" x14ac:dyDescent="0.2">
      <c r="Z41054" t="str">
        <f t="shared" si="641"/>
        <v/>
      </c>
    </row>
    <row r="41055" spans="26:26" x14ac:dyDescent="0.2">
      <c r="Z41055" t="str">
        <f t="shared" si="641"/>
        <v/>
      </c>
    </row>
    <row r="41056" spans="26:26" x14ac:dyDescent="0.2">
      <c r="Z41056" t="str">
        <f t="shared" si="641"/>
        <v/>
      </c>
    </row>
    <row r="41057" spans="26:26" x14ac:dyDescent="0.2">
      <c r="Z41057" t="str">
        <f t="shared" si="641"/>
        <v/>
      </c>
    </row>
    <row r="41058" spans="26:26" x14ac:dyDescent="0.2">
      <c r="Z41058" t="str">
        <f t="shared" si="641"/>
        <v/>
      </c>
    </row>
    <row r="41059" spans="26:26" x14ac:dyDescent="0.2">
      <c r="Z41059" t="str">
        <f t="shared" si="641"/>
        <v/>
      </c>
    </row>
    <row r="41060" spans="26:26" x14ac:dyDescent="0.2">
      <c r="Z41060" t="str">
        <f t="shared" si="641"/>
        <v/>
      </c>
    </row>
    <row r="41061" spans="26:26" x14ac:dyDescent="0.2">
      <c r="Z41061" t="str">
        <f t="shared" si="641"/>
        <v/>
      </c>
    </row>
    <row r="41062" spans="26:26" x14ac:dyDescent="0.2">
      <c r="Z41062" t="str">
        <f t="shared" si="641"/>
        <v/>
      </c>
    </row>
    <row r="41063" spans="26:26" x14ac:dyDescent="0.2">
      <c r="Z41063" t="str">
        <f t="shared" si="641"/>
        <v/>
      </c>
    </row>
    <row r="41064" spans="26:26" x14ac:dyDescent="0.2">
      <c r="Z41064" t="str">
        <f t="shared" si="641"/>
        <v/>
      </c>
    </row>
    <row r="41065" spans="26:26" x14ac:dyDescent="0.2">
      <c r="Z41065" t="str">
        <f t="shared" si="641"/>
        <v/>
      </c>
    </row>
    <row r="41066" spans="26:26" x14ac:dyDescent="0.2">
      <c r="Z41066" t="str">
        <f t="shared" si="641"/>
        <v/>
      </c>
    </row>
    <row r="41067" spans="26:26" x14ac:dyDescent="0.2">
      <c r="Z41067" t="str">
        <f t="shared" si="641"/>
        <v/>
      </c>
    </row>
    <row r="41068" spans="26:26" x14ac:dyDescent="0.2">
      <c r="Z41068" t="str">
        <f t="shared" si="641"/>
        <v/>
      </c>
    </row>
    <row r="41069" spans="26:26" x14ac:dyDescent="0.2">
      <c r="Z41069" t="str">
        <f t="shared" si="641"/>
        <v/>
      </c>
    </row>
    <row r="41070" spans="26:26" x14ac:dyDescent="0.2">
      <c r="Z41070" t="str">
        <f t="shared" si="641"/>
        <v/>
      </c>
    </row>
    <row r="41071" spans="26:26" x14ac:dyDescent="0.2">
      <c r="Z41071" t="str">
        <f t="shared" si="641"/>
        <v/>
      </c>
    </row>
    <row r="41072" spans="26:26" x14ac:dyDescent="0.2">
      <c r="Z41072" t="str">
        <f t="shared" si="641"/>
        <v/>
      </c>
    </row>
    <row r="41073" spans="26:26" x14ac:dyDescent="0.2">
      <c r="Z41073" t="str">
        <f t="shared" si="641"/>
        <v/>
      </c>
    </row>
    <row r="41074" spans="26:26" x14ac:dyDescent="0.2">
      <c r="Z41074" t="str">
        <f t="shared" si="641"/>
        <v/>
      </c>
    </row>
    <row r="41075" spans="26:26" x14ac:dyDescent="0.2">
      <c r="Z41075" t="str">
        <f t="shared" si="641"/>
        <v/>
      </c>
    </row>
    <row r="41076" spans="26:26" x14ac:dyDescent="0.2">
      <c r="Z41076" t="str">
        <f t="shared" si="641"/>
        <v/>
      </c>
    </row>
    <row r="41077" spans="26:26" x14ac:dyDescent="0.2">
      <c r="Z41077" t="str">
        <f t="shared" si="641"/>
        <v/>
      </c>
    </row>
    <row r="41078" spans="26:26" x14ac:dyDescent="0.2">
      <c r="Z41078" t="str">
        <f t="shared" si="641"/>
        <v/>
      </c>
    </row>
    <row r="41079" spans="26:26" x14ac:dyDescent="0.2">
      <c r="Z41079" t="str">
        <f t="shared" si="641"/>
        <v/>
      </c>
    </row>
    <row r="41080" spans="26:26" x14ac:dyDescent="0.2">
      <c r="Z41080" t="str">
        <f t="shared" si="641"/>
        <v/>
      </c>
    </row>
    <row r="41081" spans="26:26" x14ac:dyDescent="0.2">
      <c r="Z41081" t="str">
        <f t="shared" si="641"/>
        <v/>
      </c>
    </row>
    <row r="41082" spans="26:26" x14ac:dyDescent="0.2">
      <c r="Z41082" t="str">
        <f t="shared" si="641"/>
        <v/>
      </c>
    </row>
    <row r="41083" spans="26:26" x14ac:dyDescent="0.2">
      <c r="Z41083" t="str">
        <f t="shared" si="641"/>
        <v/>
      </c>
    </row>
    <row r="41084" spans="26:26" x14ac:dyDescent="0.2">
      <c r="Z41084" t="str">
        <f t="shared" si="641"/>
        <v/>
      </c>
    </row>
    <row r="41085" spans="26:26" x14ac:dyDescent="0.2">
      <c r="Z41085" t="str">
        <f t="shared" si="641"/>
        <v/>
      </c>
    </row>
    <row r="41086" spans="26:26" x14ac:dyDescent="0.2">
      <c r="Z41086" t="str">
        <f t="shared" si="641"/>
        <v/>
      </c>
    </row>
    <row r="41087" spans="26:26" x14ac:dyDescent="0.2">
      <c r="Z41087" t="str">
        <f t="shared" si="641"/>
        <v/>
      </c>
    </row>
    <row r="41088" spans="26:26" x14ac:dyDescent="0.2">
      <c r="Z41088" t="str">
        <f t="shared" si="641"/>
        <v/>
      </c>
    </row>
    <row r="41089" spans="26:26" x14ac:dyDescent="0.2">
      <c r="Z41089" t="str">
        <f t="shared" si="641"/>
        <v/>
      </c>
    </row>
    <row r="41090" spans="26:26" x14ac:dyDescent="0.2">
      <c r="Z41090" t="str">
        <f t="shared" si="641"/>
        <v/>
      </c>
    </row>
    <row r="41091" spans="26:26" x14ac:dyDescent="0.2">
      <c r="Z41091" t="str">
        <f t="shared" ref="Z41091:Z41154" si="642">IF(K41091="","",IFERROR(VALUE(TRIM(MID(K41091,FIND(CHAR(167),SUBSTITUTE(K41091,"-",CHAR(167),LEN(K41091)-LEN(SUBSTITUTE(K41091,"-",""))))+1,100))),K41091))</f>
        <v/>
      </c>
    </row>
    <row r="41092" spans="26:26" x14ac:dyDescent="0.2">
      <c r="Z41092" t="str">
        <f t="shared" si="642"/>
        <v/>
      </c>
    </row>
    <row r="41093" spans="26:26" x14ac:dyDescent="0.2">
      <c r="Z41093" t="str">
        <f t="shared" si="642"/>
        <v/>
      </c>
    </row>
    <row r="41094" spans="26:26" x14ac:dyDescent="0.2">
      <c r="Z41094" t="str">
        <f t="shared" si="642"/>
        <v/>
      </c>
    </row>
    <row r="41095" spans="26:26" x14ac:dyDescent="0.2">
      <c r="Z41095" t="str">
        <f t="shared" si="642"/>
        <v/>
      </c>
    </row>
    <row r="41096" spans="26:26" x14ac:dyDescent="0.2">
      <c r="Z41096" t="str">
        <f t="shared" si="642"/>
        <v/>
      </c>
    </row>
    <row r="41097" spans="26:26" x14ac:dyDescent="0.2">
      <c r="Z41097" t="str">
        <f t="shared" si="642"/>
        <v/>
      </c>
    </row>
    <row r="41098" spans="26:26" x14ac:dyDescent="0.2">
      <c r="Z41098" t="str">
        <f t="shared" si="642"/>
        <v/>
      </c>
    </row>
    <row r="41099" spans="26:26" x14ac:dyDescent="0.2">
      <c r="Z41099" t="str">
        <f t="shared" si="642"/>
        <v/>
      </c>
    </row>
    <row r="41100" spans="26:26" x14ac:dyDescent="0.2">
      <c r="Z41100" t="str">
        <f t="shared" si="642"/>
        <v/>
      </c>
    </row>
    <row r="41101" spans="26:26" x14ac:dyDescent="0.2">
      <c r="Z41101" t="str">
        <f t="shared" si="642"/>
        <v/>
      </c>
    </row>
    <row r="41102" spans="26:26" x14ac:dyDescent="0.2">
      <c r="Z41102" t="str">
        <f t="shared" si="642"/>
        <v/>
      </c>
    </row>
    <row r="41103" spans="26:26" x14ac:dyDescent="0.2">
      <c r="Z41103" t="str">
        <f t="shared" si="642"/>
        <v/>
      </c>
    </row>
    <row r="41104" spans="26:26" x14ac:dyDescent="0.2">
      <c r="Z41104" t="str">
        <f t="shared" si="642"/>
        <v/>
      </c>
    </row>
    <row r="41105" spans="26:26" x14ac:dyDescent="0.2">
      <c r="Z41105" t="str">
        <f t="shared" si="642"/>
        <v/>
      </c>
    </row>
    <row r="41106" spans="26:26" x14ac:dyDescent="0.2">
      <c r="Z41106" t="str">
        <f t="shared" si="642"/>
        <v/>
      </c>
    </row>
    <row r="41107" spans="26:26" x14ac:dyDescent="0.2">
      <c r="Z41107" t="str">
        <f t="shared" si="642"/>
        <v/>
      </c>
    </row>
    <row r="41108" spans="26:26" x14ac:dyDescent="0.2">
      <c r="Z41108" t="str">
        <f t="shared" si="642"/>
        <v/>
      </c>
    </row>
    <row r="41109" spans="26:26" x14ac:dyDescent="0.2">
      <c r="Z41109" t="str">
        <f t="shared" si="642"/>
        <v/>
      </c>
    </row>
    <row r="41110" spans="26:26" x14ac:dyDescent="0.2">
      <c r="Z41110" t="str">
        <f t="shared" si="642"/>
        <v/>
      </c>
    </row>
    <row r="41111" spans="26:26" x14ac:dyDescent="0.2">
      <c r="Z41111" t="str">
        <f t="shared" si="642"/>
        <v/>
      </c>
    </row>
    <row r="41112" spans="26:26" x14ac:dyDescent="0.2">
      <c r="Z41112" t="str">
        <f t="shared" si="642"/>
        <v/>
      </c>
    </row>
    <row r="41113" spans="26:26" x14ac:dyDescent="0.2">
      <c r="Z41113" t="str">
        <f t="shared" si="642"/>
        <v/>
      </c>
    </row>
    <row r="41114" spans="26:26" x14ac:dyDescent="0.2">
      <c r="Z41114" t="str">
        <f t="shared" si="642"/>
        <v/>
      </c>
    </row>
    <row r="41115" spans="26:26" x14ac:dyDescent="0.2">
      <c r="Z41115" t="str">
        <f t="shared" si="642"/>
        <v/>
      </c>
    </row>
    <row r="41116" spans="26:26" x14ac:dyDescent="0.2">
      <c r="Z41116" t="str">
        <f t="shared" si="642"/>
        <v/>
      </c>
    </row>
    <row r="41117" spans="26:26" x14ac:dyDescent="0.2">
      <c r="Z41117" t="str">
        <f t="shared" si="642"/>
        <v/>
      </c>
    </row>
    <row r="41118" spans="26:26" x14ac:dyDescent="0.2">
      <c r="Z41118" t="str">
        <f t="shared" si="642"/>
        <v/>
      </c>
    </row>
    <row r="41119" spans="26:26" x14ac:dyDescent="0.2">
      <c r="Z41119" t="str">
        <f t="shared" si="642"/>
        <v/>
      </c>
    </row>
    <row r="41120" spans="26:26" x14ac:dyDescent="0.2">
      <c r="Z41120" t="str">
        <f t="shared" si="642"/>
        <v/>
      </c>
    </row>
    <row r="41121" spans="26:26" x14ac:dyDescent="0.2">
      <c r="Z41121" t="str">
        <f t="shared" si="642"/>
        <v/>
      </c>
    </row>
    <row r="41122" spans="26:26" x14ac:dyDescent="0.2">
      <c r="Z41122" t="str">
        <f t="shared" si="642"/>
        <v/>
      </c>
    </row>
    <row r="41123" spans="26:26" x14ac:dyDescent="0.2">
      <c r="Z41123" t="str">
        <f t="shared" si="642"/>
        <v/>
      </c>
    </row>
    <row r="41124" spans="26:26" x14ac:dyDescent="0.2">
      <c r="Z41124" t="str">
        <f t="shared" si="642"/>
        <v/>
      </c>
    </row>
    <row r="41125" spans="26:26" x14ac:dyDescent="0.2">
      <c r="Z41125" t="str">
        <f t="shared" si="642"/>
        <v/>
      </c>
    </row>
    <row r="41126" spans="26:26" x14ac:dyDescent="0.2">
      <c r="Z41126" t="str">
        <f t="shared" si="642"/>
        <v/>
      </c>
    </row>
    <row r="41127" spans="26:26" x14ac:dyDescent="0.2">
      <c r="Z41127" t="str">
        <f t="shared" si="642"/>
        <v/>
      </c>
    </row>
    <row r="41128" spans="26:26" x14ac:dyDescent="0.2">
      <c r="Z41128" t="str">
        <f t="shared" si="642"/>
        <v/>
      </c>
    </row>
    <row r="41129" spans="26:26" x14ac:dyDescent="0.2">
      <c r="Z41129" t="str">
        <f t="shared" si="642"/>
        <v/>
      </c>
    </row>
    <row r="41130" spans="26:26" x14ac:dyDescent="0.2">
      <c r="Z41130" t="str">
        <f t="shared" si="642"/>
        <v/>
      </c>
    </row>
    <row r="41131" spans="26:26" x14ac:dyDescent="0.2">
      <c r="Z41131" t="str">
        <f t="shared" si="642"/>
        <v/>
      </c>
    </row>
    <row r="41132" spans="26:26" x14ac:dyDescent="0.2">
      <c r="Z41132" t="str">
        <f t="shared" si="642"/>
        <v/>
      </c>
    </row>
    <row r="41133" spans="26:26" x14ac:dyDescent="0.2">
      <c r="Z41133" t="str">
        <f t="shared" si="642"/>
        <v/>
      </c>
    </row>
    <row r="41134" spans="26:26" x14ac:dyDescent="0.2">
      <c r="Z41134" t="str">
        <f t="shared" si="642"/>
        <v/>
      </c>
    </row>
    <row r="41135" spans="26:26" x14ac:dyDescent="0.2">
      <c r="Z41135" t="str">
        <f t="shared" si="642"/>
        <v/>
      </c>
    </row>
    <row r="41136" spans="26:26" x14ac:dyDescent="0.2">
      <c r="Z41136" t="str">
        <f t="shared" si="642"/>
        <v/>
      </c>
    </row>
    <row r="41137" spans="26:26" x14ac:dyDescent="0.2">
      <c r="Z41137" t="str">
        <f t="shared" si="642"/>
        <v/>
      </c>
    </row>
    <row r="41138" spans="26:26" x14ac:dyDescent="0.2">
      <c r="Z41138" t="str">
        <f t="shared" si="642"/>
        <v/>
      </c>
    </row>
    <row r="41139" spans="26:26" x14ac:dyDescent="0.2">
      <c r="Z41139" t="str">
        <f t="shared" si="642"/>
        <v/>
      </c>
    </row>
    <row r="41140" spans="26:26" x14ac:dyDescent="0.2">
      <c r="Z41140" t="str">
        <f t="shared" si="642"/>
        <v/>
      </c>
    </row>
    <row r="41141" spans="26:26" x14ac:dyDescent="0.2">
      <c r="Z41141" t="str">
        <f t="shared" si="642"/>
        <v/>
      </c>
    </row>
    <row r="41142" spans="26:26" x14ac:dyDescent="0.2">
      <c r="Z41142" t="str">
        <f t="shared" si="642"/>
        <v/>
      </c>
    </row>
    <row r="41143" spans="26:26" x14ac:dyDescent="0.2">
      <c r="Z41143" t="str">
        <f t="shared" si="642"/>
        <v/>
      </c>
    </row>
    <row r="41144" spans="26:26" x14ac:dyDescent="0.2">
      <c r="Z41144" t="str">
        <f t="shared" si="642"/>
        <v/>
      </c>
    </row>
    <row r="41145" spans="26:26" x14ac:dyDescent="0.2">
      <c r="Z41145" t="str">
        <f t="shared" si="642"/>
        <v/>
      </c>
    </row>
    <row r="41146" spans="26:26" x14ac:dyDescent="0.2">
      <c r="Z41146" t="str">
        <f t="shared" si="642"/>
        <v/>
      </c>
    </row>
    <row r="41147" spans="26:26" x14ac:dyDescent="0.2">
      <c r="Z41147" t="str">
        <f t="shared" si="642"/>
        <v/>
      </c>
    </row>
    <row r="41148" spans="26:26" x14ac:dyDescent="0.2">
      <c r="Z41148" t="str">
        <f t="shared" si="642"/>
        <v/>
      </c>
    </row>
    <row r="41149" spans="26:26" x14ac:dyDescent="0.2">
      <c r="Z41149" t="str">
        <f t="shared" si="642"/>
        <v/>
      </c>
    </row>
    <row r="41150" spans="26:26" x14ac:dyDescent="0.2">
      <c r="Z41150" t="str">
        <f t="shared" si="642"/>
        <v/>
      </c>
    </row>
    <row r="41151" spans="26:26" x14ac:dyDescent="0.2">
      <c r="Z41151" t="str">
        <f t="shared" si="642"/>
        <v/>
      </c>
    </row>
    <row r="41152" spans="26:26" x14ac:dyDescent="0.2">
      <c r="Z41152" t="str">
        <f t="shared" si="642"/>
        <v/>
      </c>
    </row>
    <row r="41153" spans="26:26" x14ac:dyDescent="0.2">
      <c r="Z41153" t="str">
        <f t="shared" si="642"/>
        <v/>
      </c>
    </row>
    <row r="41154" spans="26:26" x14ac:dyDescent="0.2">
      <c r="Z41154" t="str">
        <f t="shared" si="642"/>
        <v/>
      </c>
    </row>
    <row r="41155" spans="26:26" x14ac:dyDescent="0.2">
      <c r="Z41155" t="str">
        <f t="shared" ref="Z41155:Z41218" si="643">IF(K41155="","",IFERROR(VALUE(TRIM(MID(K41155,FIND(CHAR(167),SUBSTITUTE(K41155,"-",CHAR(167),LEN(K41155)-LEN(SUBSTITUTE(K41155,"-",""))))+1,100))),K41155))</f>
        <v/>
      </c>
    </row>
    <row r="41156" spans="26:26" x14ac:dyDescent="0.2">
      <c r="Z41156" t="str">
        <f t="shared" si="643"/>
        <v/>
      </c>
    </row>
    <row r="41157" spans="26:26" x14ac:dyDescent="0.2">
      <c r="Z41157" t="str">
        <f t="shared" si="643"/>
        <v/>
      </c>
    </row>
    <row r="41158" spans="26:26" x14ac:dyDescent="0.2">
      <c r="Z41158" t="str">
        <f t="shared" si="643"/>
        <v/>
      </c>
    </row>
    <row r="41159" spans="26:26" x14ac:dyDescent="0.2">
      <c r="Z41159" t="str">
        <f t="shared" si="643"/>
        <v/>
      </c>
    </row>
    <row r="41160" spans="26:26" x14ac:dyDescent="0.2">
      <c r="Z41160" t="str">
        <f t="shared" si="643"/>
        <v/>
      </c>
    </row>
    <row r="41161" spans="26:26" x14ac:dyDescent="0.2">
      <c r="Z41161" t="str">
        <f t="shared" si="643"/>
        <v/>
      </c>
    </row>
    <row r="41162" spans="26:26" x14ac:dyDescent="0.2">
      <c r="Z41162" t="str">
        <f t="shared" si="643"/>
        <v/>
      </c>
    </row>
    <row r="41163" spans="26:26" x14ac:dyDescent="0.2">
      <c r="Z41163" t="str">
        <f t="shared" si="643"/>
        <v/>
      </c>
    </row>
    <row r="41164" spans="26:26" x14ac:dyDescent="0.2">
      <c r="Z41164" t="str">
        <f t="shared" si="643"/>
        <v/>
      </c>
    </row>
    <row r="41165" spans="26:26" x14ac:dyDescent="0.2">
      <c r="Z41165" t="str">
        <f t="shared" si="643"/>
        <v/>
      </c>
    </row>
    <row r="41166" spans="26:26" x14ac:dyDescent="0.2">
      <c r="Z41166" t="str">
        <f t="shared" si="643"/>
        <v/>
      </c>
    </row>
    <row r="41167" spans="26:26" x14ac:dyDescent="0.2">
      <c r="Z41167" t="str">
        <f t="shared" si="643"/>
        <v/>
      </c>
    </row>
    <row r="41168" spans="26:26" x14ac:dyDescent="0.2">
      <c r="Z41168" t="str">
        <f t="shared" si="643"/>
        <v/>
      </c>
    </row>
    <row r="41169" spans="26:26" x14ac:dyDescent="0.2">
      <c r="Z41169" t="str">
        <f t="shared" si="643"/>
        <v/>
      </c>
    </row>
    <row r="41170" spans="26:26" x14ac:dyDescent="0.2">
      <c r="Z41170" t="str">
        <f t="shared" si="643"/>
        <v/>
      </c>
    </row>
    <row r="41171" spans="26:26" x14ac:dyDescent="0.2">
      <c r="Z41171" t="str">
        <f t="shared" si="643"/>
        <v/>
      </c>
    </row>
    <row r="41172" spans="26:26" x14ac:dyDescent="0.2">
      <c r="Z41172" t="str">
        <f t="shared" si="643"/>
        <v/>
      </c>
    </row>
    <row r="41173" spans="26:26" x14ac:dyDescent="0.2">
      <c r="Z41173" t="str">
        <f t="shared" si="643"/>
        <v/>
      </c>
    </row>
    <row r="41174" spans="26:26" x14ac:dyDescent="0.2">
      <c r="Z41174" t="str">
        <f t="shared" si="643"/>
        <v/>
      </c>
    </row>
    <row r="41175" spans="26:26" x14ac:dyDescent="0.2">
      <c r="Z41175" t="str">
        <f t="shared" si="643"/>
        <v/>
      </c>
    </row>
    <row r="41176" spans="26:26" x14ac:dyDescent="0.2">
      <c r="Z41176" t="str">
        <f t="shared" si="643"/>
        <v/>
      </c>
    </row>
    <row r="41177" spans="26:26" x14ac:dyDescent="0.2">
      <c r="Z41177" t="str">
        <f t="shared" si="643"/>
        <v/>
      </c>
    </row>
    <row r="41178" spans="26:26" x14ac:dyDescent="0.2">
      <c r="Z41178" t="str">
        <f t="shared" si="643"/>
        <v/>
      </c>
    </row>
    <row r="41179" spans="26:26" x14ac:dyDescent="0.2">
      <c r="Z41179" t="str">
        <f t="shared" si="643"/>
        <v/>
      </c>
    </row>
    <row r="41180" spans="26:26" x14ac:dyDescent="0.2">
      <c r="Z41180" t="str">
        <f t="shared" si="643"/>
        <v/>
      </c>
    </row>
    <row r="41181" spans="26:26" x14ac:dyDescent="0.2">
      <c r="Z41181" t="str">
        <f t="shared" si="643"/>
        <v/>
      </c>
    </row>
    <row r="41182" spans="26:26" x14ac:dyDescent="0.2">
      <c r="Z41182" t="str">
        <f t="shared" si="643"/>
        <v/>
      </c>
    </row>
    <row r="41183" spans="26:26" x14ac:dyDescent="0.2">
      <c r="Z41183" t="str">
        <f t="shared" si="643"/>
        <v/>
      </c>
    </row>
    <row r="41184" spans="26:26" x14ac:dyDescent="0.2">
      <c r="Z41184" t="str">
        <f t="shared" si="643"/>
        <v/>
      </c>
    </row>
    <row r="41185" spans="26:26" x14ac:dyDescent="0.2">
      <c r="Z41185" t="str">
        <f t="shared" si="643"/>
        <v/>
      </c>
    </row>
    <row r="41186" spans="26:26" x14ac:dyDescent="0.2">
      <c r="Z41186" t="str">
        <f t="shared" si="643"/>
        <v/>
      </c>
    </row>
    <row r="41187" spans="26:26" x14ac:dyDescent="0.2">
      <c r="Z41187" t="str">
        <f t="shared" si="643"/>
        <v/>
      </c>
    </row>
    <row r="41188" spans="26:26" x14ac:dyDescent="0.2">
      <c r="Z41188" t="str">
        <f t="shared" si="643"/>
        <v/>
      </c>
    </row>
    <row r="41189" spans="26:26" x14ac:dyDescent="0.2">
      <c r="Z41189" t="str">
        <f t="shared" si="643"/>
        <v/>
      </c>
    </row>
    <row r="41190" spans="26:26" x14ac:dyDescent="0.2">
      <c r="Z41190" t="str">
        <f t="shared" si="643"/>
        <v/>
      </c>
    </row>
    <row r="41191" spans="26:26" x14ac:dyDescent="0.2">
      <c r="Z41191" t="str">
        <f t="shared" si="643"/>
        <v/>
      </c>
    </row>
    <row r="41192" spans="26:26" x14ac:dyDescent="0.2">
      <c r="Z41192" t="str">
        <f t="shared" si="643"/>
        <v/>
      </c>
    </row>
    <row r="41193" spans="26:26" x14ac:dyDescent="0.2">
      <c r="Z41193" t="str">
        <f t="shared" si="643"/>
        <v/>
      </c>
    </row>
    <row r="41194" spans="26:26" x14ac:dyDescent="0.2">
      <c r="Z41194" t="str">
        <f t="shared" si="643"/>
        <v/>
      </c>
    </row>
    <row r="41195" spans="26:26" x14ac:dyDescent="0.2">
      <c r="Z41195" t="str">
        <f t="shared" si="643"/>
        <v/>
      </c>
    </row>
    <row r="41196" spans="26:26" x14ac:dyDescent="0.2">
      <c r="Z41196" t="str">
        <f t="shared" si="643"/>
        <v/>
      </c>
    </row>
    <row r="41197" spans="26:26" x14ac:dyDescent="0.2">
      <c r="Z41197" t="str">
        <f t="shared" si="643"/>
        <v/>
      </c>
    </row>
    <row r="41198" spans="26:26" x14ac:dyDescent="0.2">
      <c r="Z41198" t="str">
        <f t="shared" si="643"/>
        <v/>
      </c>
    </row>
    <row r="41199" spans="26:26" x14ac:dyDescent="0.2">
      <c r="Z41199" t="str">
        <f t="shared" si="643"/>
        <v/>
      </c>
    </row>
    <row r="41200" spans="26:26" x14ac:dyDescent="0.2">
      <c r="Z41200" t="str">
        <f t="shared" si="643"/>
        <v/>
      </c>
    </row>
    <row r="41201" spans="26:26" x14ac:dyDescent="0.2">
      <c r="Z41201" t="str">
        <f t="shared" si="643"/>
        <v/>
      </c>
    </row>
    <row r="41202" spans="26:26" x14ac:dyDescent="0.2">
      <c r="Z41202" t="str">
        <f t="shared" si="643"/>
        <v/>
      </c>
    </row>
    <row r="41203" spans="26:26" x14ac:dyDescent="0.2">
      <c r="Z41203" t="str">
        <f t="shared" si="643"/>
        <v/>
      </c>
    </row>
    <row r="41204" spans="26:26" x14ac:dyDescent="0.2">
      <c r="Z41204" t="str">
        <f t="shared" si="643"/>
        <v/>
      </c>
    </row>
    <row r="41205" spans="26:26" x14ac:dyDescent="0.2">
      <c r="Z41205" t="str">
        <f t="shared" si="643"/>
        <v/>
      </c>
    </row>
    <row r="41206" spans="26:26" x14ac:dyDescent="0.2">
      <c r="Z41206" t="str">
        <f t="shared" si="643"/>
        <v/>
      </c>
    </row>
    <row r="41207" spans="26:26" x14ac:dyDescent="0.2">
      <c r="Z41207" t="str">
        <f t="shared" si="643"/>
        <v/>
      </c>
    </row>
    <row r="41208" spans="26:26" x14ac:dyDescent="0.2">
      <c r="Z41208" t="str">
        <f t="shared" si="643"/>
        <v/>
      </c>
    </row>
    <row r="41209" spans="26:26" x14ac:dyDescent="0.2">
      <c r="Z41209" t="str">
        <f t="shared" si="643"/>
        <v/>
      </c>
    </row>
    <row r="41210" spans="26:26" x14ac:dyDescent="0.2">
      <c r="Z41210" t="str">
        <f t="shared" si="643"/>
        <v/>
      </c>
    </row>
    <row r="41211" spans="26:26" x14ac:dyDescent="0.2">
      <c r="Z41211" t="str">
        <f t="shared" si="643"/>
        <v/>
      </c>
    </row>
    <row r="41212" spans="26:26" x14ac:dyDescent="0.2">
      <c r="Z41212" t="str">
        <f t="shared" si="643"/>
        <v/>
      </c>
    </row>
    <row r="41213" spans="26:26" x14ac:dyDescent="0.2">
      <c r="Z41213" t="str">
        <f t="shared" si="643"/>
        <v/>
      </c>
    </row>
    <row r="41214" spans="26:26" x14ac:dyDescent="0.2">
      <c r="Z41214" t="str">
        <f t="shared" si="643"/>
        <v/>
      </c>
    </row>
    <row r="41215" spans="26:26" x14ac:dyDescent="0.2">
      <c r="Z41215" t="str">
        <f t="shared" si="643"/>
        <v/>
      </c>
    </row>
    <row r="41216" spans="26:26" x14ac:dyDescent="0.2">
      <c r="Z41216" t="str">
        <f t="shared" si="643"/>
        <v/>
      </c>
    </row>
    <row r="41217" spans="26:26" x14ac:dyDescent="0.2">
      <c r="Z41217" t="str">
        <f t="shared" si="643"/>
        <v/>
      </c>
    </row>
    <row r="41218" spans="26:26" x14ac:dyDescent="0.2">
      <c r="Z41218" t="str">
        <f t="shared" si="643"/>
        <v/>
      </c>
    </row>
    <row r="41219" spans="26:26" x14ac:dyDescent="0.2">
      <c r="Z41219" t="str">
        <f t="shared" ref="Z41219:Z41282" si="644">IF(K41219="","",IFERROR(VALUE(TRIM(MID(K41219,FIND(CHAR(167),SUBSTITUTE(K41219,"-",CHAR(167),LEN(K41219)-LEN(SUBSTITUTE(K41219,"-",""))))+1,100))),K41219))</f>
        <v/>
      </c>
    </row>
    <row r="41220" spans="26:26" x14ac:dyDescent="0.2">
      <c r="Z41220" t="str">
        <f t="shared" si="644"/>
        <v/>
      </c>
    </row>
    <row r="41221" spans="26:26" x14ac:dyDescent="0.2">
      <c r="Z41221" t="str">
        <f t="shared" si="644"/>
        <v/>
      </c>
    </row>
    <row r="41222" spans="26:26" x14ac:dyDescent="0.2">
      <c r="Z41222" t="str">
        <f t="shared" si="644"/>
        <v/>
      </c>
    </row>
    <row r="41223" spans="26:26" x14ac:dyDescent="0.2">
      <c r="Z41223" t="str">
        <f t="shared" si="644"/>
        <v/>
      </c>
    </row>
    <row r="41224" spans="26:26" x14ac:dyDescent="0.2">
      <c r="Z41224" t="str">
        <f t="shared" si="644"/>
        <v/>
      </c>
    </row>
    <row r="41225" spans="26:26" x14ac:dyDescent="0.2">
      <c r="Z41225" t="str">
        <f t="shared" si="644"/>
        <v/>
      </c>
    </row>
    <row r="41226" spans="26:26" x14ac:dyDescent="0.2">
      <c r="Z41226" t="str">
        <f t="shared" si="644"/>
        <v/>
      </c>
    </row>
    <row r="41227" spans="26:26" x14ac:dyDescent="0.2">
      <c r="Z41227" t="str">
        <f t="shared" si="644"/>
        <v/>
      </c>
    </row>
    <row r="41228" spans="26:26" x14ac:dyDescent="0.2">
      <c r="Z41228" t="str">
        <f t="shared" si="644"/>
        <v/>
      </c>
    </row>
    <row r="41229" spans="26:26" x14ac:dyDescent="0.2">
      <c r="Z41229" t="str">
        <f t="shared" si="644"/>
        <v/>
      </c>
    </row>
    <row r="41230" spans="26:26" x14ac:dyDescent="0.2">
      <c r="Z41230" t="str">
        <f t="shared" si="644"/>
        <v/>
      </c>
    </row>
    <row r="41231" spans="26:26" x14ac:dyDescent="0.2">
      <c r="Z41231" t="str">
        <f t="shared" si="644"/>
        <v/>
      </c>
    </row>
    <row r="41232" spans="26:26" x14ac:dyDescent="0.2">
      <c r="Z41232" t="str">
        <f t="shared" si="644"/>
        <v/>
      </c>
    </row>
    <row r="41233" spans="26:26" x14ac:dyDescent="0.2">
      <c r="Z41233" t="str">
        <f t="shared" si="644"/>
        <v/>
      </c>
    </row>
    <row r="41234" spans="26:26" x14ac:dyDescent="0.2">
      <c r="Z41234" t="str">
        <f t="shared" si="644"/>
        <v/>
      </c>
    </row>
    <row r="41235" spans="26:26" x14ac:dyDescent="0.2">
      <c r="Z41235" t="str">
        <f t="shared" si="644"/>
        <v/>
      </c>
    </row>
    <row r="41236" spans="26:26" x14ac:dyDescent="0.2">
      <c r="Z41236" t="str">
        <f t="shared" si="644"/>
        <v/>
      </c>
    </row>
    <row r="41237" spans="26:26" x14ac:dyDescent="0.2">
      <c r="Z41237" t="str">
        <f t="shared" si="644"/>
        <v/>
      </c>
    </row>
    <row r="41238" spans="26:26" x14ac:dyDescent="0.2">
      <c r="Z41238" t="str">
        <f t="shared" si="644"/>
        <v/>
      </c>
    </row>
    <row r="41239" spans="26:26" x14ac:dyDescent="0.2">
      <c r="Z41239" t="str">
        <f t="shared" si="644"/>
        <v/>
      </c>
    </row>
    <row r="41240" spans="26:26" x14ac:dyDescent="0.2">
      <c r="Z41240" t="str">
        <f t="shared" si="644"/>
        <v/>
      </c>
    </row>
    <row r="41241" spans="26:26" x14ac:dyDescent="0.2">
      <c r="Z41241" t="str">
        <f t="shared" si="644"/>
        <v/>
      </c>
    </row>
    <row r="41242" spans="26:26" x14ac:dyDescent="0.2">
      <c r="Z41242" t="str">
        <f t="shared" si="644"/>
        <v/>
      </c>
    </row>
    <row r="41243" spans="26:26" x14ac:dyDescent="0.2">
      <c r="Z41243" t="str">
        <f t="shared" si="644"/>
        <v/>
      </c>
    </row>
    <row r="41244" spans="26:26" x14ac:dyDescent="0.2">
      <c r="Z41244" t="str">
        <f t="shared" si="644"/>
        <v/>
      </c>
    </row>
    <row r="41245" spans="26:26" x14ac:dyDescent="0.2">
      <c r="Z41245" t="str">
        <f t="shared" si="644"/>
        <v/>
      </c>
    </row>
    <row r="41246" spans="26:26" x14ac:dyDescent="0.2">
      <c r="Z41246" t="str">
        <f t="shared" si="644"/>
        <v/>
      </c>
    </row>
    <row r="41247" spans="26:26" x14ac:dyDescent="0.2">
      <c r="Z41247" t="str">
        <f t="shared" si="644"/>
        <v/>
      </c>
    </row>
    <row r="41248" spans="26:26" x14ac:dyDescent="0.2">
      <c r="Z41248" t="str">
        <f t="shared" si="644"/>
        <v/>
      </c>
    </row>
    <row r="41249" spans="26:26" x14ac:dyDescent="0.2">
      <c r="Z41249" t="str">
        <f t="shared" si="644"/>
        <v/>
      </c>
    </row>
    <row r="41250" spans="26:26" x14ac:dyDescent="0.2">
      <c r="Z41250" t="str">
        <f t="shared" si="644"/>
        <v/>
      </c>
    </row>
    <row r="41251" spans="26:26" x14ac:dyDescent="0.2">
      <c r="Z41251" t="str">
        <f t="shared" si="644"/>
        <v/>
      </c>
    </row>
    <row r="41252" spans="26:26" x14ac:dyDescent="0.2">
      <c r="Z41252" t="str">
        <f t="shared" si="644"/>
        <v/>
      </c>
    </row>
    <row r="41253" spans="26:26" x14ac:dyDescent="0.2">
      <c r="Z41253" t="str">
        <f t="shared" si="644"/>
        <v/>
      </c>
    </row>
    <row r="41254" spans="26:26" x14ac:dyDescent="0.2">
      <c r="Z41254" t="str">
        <f t="shared" si="644"/>
        <v/>
      </c>
    </row>
    <row r="41255" spans="26:26" x14ac:dyDescent="0.2">
      <c r="Z41255" t="str">
        <f t="shared" si="644"/>
        <v/>
      </c>
    </row>
    <row r="41256" spans="26:26" x14ac:dyDescent="0.2">
      <c r="Z41256" t="str">
        <f t="shared" si="644"/>
        <v/>
      </c>
    </row>
    <row r="41257" spans="26:26" x14ac:dyDescent="0.2">
      <c r="Z41257" t="str">
        <f t="shared" si="644"/>
        <v/>
      </c>
    </row>
    <row r="41258" spans="26:26" x14ac:dyDescent="0.2">
      <c r="Z41258" t="str">
        <f t="shared" si="644"/>
        <v/>
      </c>
    </row>
    <row r="41259" spans="26:26" x14ac:dyDescent="0.2">
      <c r="Z41259" t="str">
        <f t="shared" si="644"/>
        <v/>
      </c>
    </row>
    <row r="41260" spans="26:26" x14ac:dyDescent="0.2">
      <c r="Z41260" t="str">
        <f t="shared" si="644"/>
        <v/>
      </c>
    </row>
    <row r="41261" spans="26:26" x14ac:dyDescent="0.2">
      <c r="Z41261" t="str">
        <f t="shared" si="644"/>
        <v/>
      </c>
    </row>
    <row r="41262" spans="26:26" x14ac:dyDescent="0.2">
      <c r="Z41262" t="str">
        <f t="shared" si="644"/>
        <v/>
      </c>
    </row>
    <row r="41263" spans="26:26" x14ac:dyDescent="0.2">
      <c r="Z41263" t="str">
        <f t="shared" si="644"/>
        <v/>
      </c>
    </row>
    <row r="41264" spans="26:26" x14ac:dyDescent="0.2">
      <c r="Z41264" t="str">
        <f t="shared" si="644"/>
        <v/>
      </c>
    </row>
    <row r="41265" spans="26:26" x14ac:dyDescent="0.2">
      <c r="Z41265" t="str">
        <f t="shared" si="644"/>
        <v/>
      </c>
    </row>
    <row r="41266" spans="26:26" x14ac:dyDescent="0.2">
      <c r="Z41266" t="str">
        <f t="shared" si="644"/>
        <v/>
      </c>
    </row>
    <row r="41267" spans="26:26" x14ac:dyDescent="0.2">
      <c r="Z41267" t="str">
        <f t="shared" si="644"/>
        <v/>
      </c>
    </row>
    <row r="41268" spans="26:26" x14ac:dyDescent="0.2">
      <c r="Z41268" t="str">
        <f t="shared" si="644"/>
        <v/>
      </c>
    </row>
    <row r="41269" spans="26:26" x14ac:dyDescent="0.2">
      <c r="Z41269" t="str">
        <f t="shared" si="644"/>
        <v/>
      </c>
    </row>
    <row r="41270" spans="26:26" x14ac:dyDescent="0.2">
      <c r="Z41270" t="str">
        <f t="shared" si="644"/>
        <v/>
      </c>
    </row>
    <row r="41271" spans="26:26" x14ac:dyDescent="0.2">
      <c r="Z41271" t="str">
        <f t="shared" si="644"/>
        <v/>
      </c>
    </row>
    <row r="41272" spans="26:26" x14ac:dyDescent="0.2">
      <c r="Z41272" t="str">
        <f t="shared" si="644"/>
        <v/>
      </c>
    </row>
    <row r="41273" spans="26:26" x14ac:dyDescent="0.2">
      <c r="Z41273" t="str">
        <f t="shared" si="644"/>
        <v/>
      </c>
    </row>
    <row r="41274" spans="26:26" x14ac:dyDescent="0.2">
      <c r="Z41274" t="str">
        <f t="shared" si="644"/>
        <v/>
      </c>
    </row>
    <row r="41275" spans="26:26" x14ac:dyDescent="0.2">
      <c r="Z41275" t="str">
        <f t="shared" si="644"/>
        <v/>
      </c>
    </row>
    <row r="41276" spans="26:26" x14ac:dyDescent="0.2">
      <c r="Z41276" t="str">
        <f t="shared" si="644"/>
        <v/>
      </c>
    </row>
    <row r="41277" spans="26:26" x14ac:dyDescent="0.2">
      <c r="Z41277" t="str">
        <f t="shared" si="644"/>
        <v/>
      </c>
    </row>
    <row r="41278" spans="26:26" x14ac:dyDescent="0.2">
      <c r="Z41278" t="str">
        <f t="shared" si="644"/>
        <v/>
      </c>
    </row>
    <row r="41279" spans="26:26" x14ac:dyDescent="0.2">
      <c r="Z41279" t="str">
        <f t="shared" si="644"/>
        <v/>
      </c>
    </row>
    <row r="41280" spans="26:26" x14ac:dyDescent="0.2">
      <c r="Z41280" t="str">
        <f t="shared" si="644"/>
        <v/>
      </c>
    </row>
    <row r="41281" spans="26:26" x14ac:dyDescent="0.2">
      <c r="Z41281" t="str">
        <f t="shared" si="644"/>
        <v/>
      </c>
    </row>
    <row r="41282" spans="26:26" x14ac:dyDescent="0.2">
      <c r="Z41282" t="str">
        <f t="shared" si="644"/>
        <v/>
      </c>
    </row>
    <row r="41283" spans="26:26" x14ac:dyDescent="0.2">
      <c r="Z41283" t="str">
        <f t="shared" ref="Z41283:Z41346" si="645">IF(K41283="","",IFERROR(VALUE(TRIM(MID(K41283,FIND(CHAR(167),SUBSTITUTE(K41283,"-",CHAR(167),LEN(K41283)-LEN(SUBSTITUTE(K41283,"-",""))))+1,100))),K41283))</f>
        <v/>
      </c>
    </row>
    <row r="41284" spans="26:26" x14ac:dyDescent="0.2">
      <c r="Z41284" t="str">
        <f t="shared" si="645"/>
        <v/>
      </c>
    </row>
    <row r="41285" spans="26:26" x14ac:dyDescent="0.2">
      <c r="Z41285" t="str">
        <f t="shared" si="645"/>
        <v/>
      </c>
    </row>
    <row r="41286" spans="26:26" x14ac:dyDescent="0.2">
      <c r="Z41286" t="str">
        <f t="shared" si="645"/>
        <v/>
      </c>
    </row>
    <row r="41287" spans="26:26" x14ac:dyDescent="0.2">
      <c r="Z41287" t="str">
        <f t="shared" si="645"/>
        <v/>
      </c>
    </row>
    <row r="41288" spans="26:26" x14ac:dyDescent="0.2">
      <c r="Z41288" t="str">
        <f t="shared" si="645"/>
        <v/>
      </c>
    </row>
    <row r="41289" spans="26:26" x14ac:dyDescent="0.2">
      <c r="Z41289" t="str">
        <f t="shared" si="645"/>
        <v/>
      </c>
    </row>
    <row r="41290" spans="26:26" x14ac:dyDescent="0.2">
      <c r="Z41290" t="str">
        <f t="shared" si="645"/>
        <v/>
      </c>
    </row>
    <row r="41291" spans="26:26" x14ac:dyDescent="0.2">
      <c r="Z41291" t="str">
        <f t="shared" si="645"/>
        <v/>
      </c>
    </row>
    <row r="41292" spans="26:26" x14ac:dyDescent="0.2">
      <c r="Z41292" t="str">
        <f t="shared" si="645"/>
        <v/>
      </c>
    </row>
    <row r="41293" spans="26:26" x14ac:dyDescent="0.2">
      <c r="Z41293" t="str">
        <f t="shared" si="645"/>
        <v/>
      </c>
    </row>
    <row r="41294" spans="26:26" x14ac:dyDescent="0.2">
      <c r="Z41294" t="str">
        <f t="shared" si="645"/>
        <v/>
      </c>
    </row>
    <row r="41295" spans="26:26" x14ac:dyDescent="0.2">
      <c r="Z41295" t="str">
        <f t="shared" si="645"/>
        <v/>
      </c>
    </row>
    <row r="41296" spans="26:26" x14ac:dyDescent="0.2">
      <c r="Z41296" t="str">
        <f t="shared" si="645"/>
        <v/>
      </c>
    </row>
    <row r="41297" spans="26:26" x14ac:dyDescent="0.2">
      <c r="Z41297" t="str">
        <f t="shared" si="645"/>
        <v/>
      </c>
    </row>
    <row r="41298" spans="26:26" x14ac:dyDescent="0.2">
      <c r="Z41298" t="str">
        <f t="shared" si="645"/>
        <v/>
      </c>
    </row>
    <row r="41299" spans="26:26" x14ac:dyDescent="0.2">
      <c r="Z41299" t="str">
        <f t="shared" si="645"/>
        <v/>
      </c>
    </row>
    <row r="41300" spans="26:26" x14ac:dyDescent="0.2">
      <c r="Z41300" t="str">
        <f t="shared" si="645"/>
        <v/>
      </c>
    </row>
    <row r="41301" spans="26:26" x14ac:dyDescent="0.2">
      <c r="Z41301" t="str">
        <f t="shared" si="645"/>
        <v/>
      </c>
    </row>
    <row r="41302" spans="26:26" x14ac:dyDescent="0.2">
      <c r="Z41302" t="str">
        <f t="shared" si="645"/>
        <v/>
      </c>
    </row>
    <row r="41303" spans="26:26" x14ac:dyDescent="0.2">
      <c r="Z41303" t="str">
        <f t="shared" si="645"/>
        <v/>
      </c>
    </row>
    <row r="41304" spans="26:26" x14ac:dyDescent="0.2">
      <c r="Z41304" t="str">
        <f t="shared" si="645"/>
        <v/>
      </c>
    </row>
    <row r="41305" spans="26:26" x14ac:dyDescent="0.2">
      <c r="Z41305" t="str">
        <f t="shared" si="645"/>
        <v/>
      </c>
    </row>
    <row r="41306" spans="26:26" x14ac:dyDescent="0.2">
      <c r="Z41306" t="str">
        <f t="shared" si="645"/>
        <v/>
      </c>
    </row>
    <row r="41307" spans="26:26" x14ac:dyDescent="0.2">
      <c r="Z41307" t="str">
        <f t="shared" si="645"/>
        <v/>
      </c>
    </row>
    <row r="41308" spans="26:26" x14ac:dyDescent="0.2">
      <c r="Z41308" t="str">
        <f t="shared" si="645"/>
        <v/>
      </c>
    </row>
    <row r="41309" spans="26:26" x14ac:dyDescent="0.2">
      <c r="Z41309" t="str">
        <f t="shared" si="645"/>
        <v/>
      </c>
    </row>
    <row r="41310" spans="26:26" x14ac:dyDescent="0.2">
      <c r="Z41310" t="str">
        <f t="shared" si="645"/>
        <v/>
      </c>
    </row>
    <row r="41311" spans="26:26" x14ac:dyDescent="0.2">
      <c r="Z41311" t="str">
        <f t="shared" si="645"/>
        <v/>
      </c>
    </row>
    <row r="41312" spans="26:26" x14ac:dyDescent="0.2">
      <c r="Z41312" t="str">
        <f t="shared" si="645"/>
        <v/>
      </c>
    </row>
    <row r="41313" spans="26:26" x14ac:dyDescent="0.2">
      <c r="Z41313" t="str">
        <f t="shared" si="645"/>
        <v/>
      </c>
    </row>
    <row r="41314" spans="26:26" x14ac:dyDescent="0.2">
      <c r="Z41314" t="str">
        <f t="shared" si="645"/>
        <v/>
      </c>
    </row>
    <row r="41315" spans="26:26" x14ac:dyDescent="0.2">
      <c r="Z41315" t="str">
        <f t="shared" si="645"/>
        <v/>
      </c>
    </row>
    <row r="41316" spans="26:26" x14ac:dyDescent="0.2">
      <c r="Z41316" t="str">
        <f t="shared" si="645"/>
        <v/>
      </c>
    </row>
    <row r="41317" spans="26:26" x14ac:dyDescent="0.2">
      <c r="Z41317" t="str">
        <f t="shared" si="645"/>
        <v/>
      </c>
    </row>
    <row r="41318" spans="26:26" x14ac:dyDescent="0.2">
      <c r="Z41318" t="str">
        <f t="shared" si="645"/>
        <v/>
      </c>
    </row>
    <row r="41319" spans="26:26" x14ac:dyDescent="0.2">
      <c r="Z41319" t="str">
        <f t="shared" si="645"/>
        <v/>
      </c>
    </row>
    <row r="41320" spans="26:26" x14ac:dyDescent="0.2">
      <c r="Z41320" t="str">
        <f t="shared" si="645"/>
        <v/>
      </c>
    </row>
    <row r="41321" spans="26:26" x14ac:dyDescent="0.2">
      <c r="Z41321" t="str">
        <f t="shared" si="645"/>
        <v/>
      </c>
    </row>
    <row r="41322" spans="26:26" x14ac:dyDescent="0.2">
      <c r="Z41322" t="str">
        <f t="shared" si="645"/>
        <v/>
      </c>
    </row>
    <row r="41323" spans="26:26" x14ac:dyDescent="0.2">
      <c r="Z41323" t="str">
        <f t="shared" si="645"/>
        <v/>
      </c>
    </row>
    <row r="41324" spans="26:26" x14ac:dyDescent="0.2">
      <c r="Z41324" t="str">
        <f t="shared" si="645"/>
        <v/>
      </c>
    </row>
    <row r="41325" spans="26:26" x14ac:dyDescent="0.2">
      <c r="Z41325" t="str">
        <f t="shared" si="645"/>
        <v/>
      </c>
    </row>
    <row r="41326" spans="26:26" x14ac:dyDescent="0.2">
      <c r="Z41326" t="str">
        <f t="shared" si="645"/>
        <v/>
      </c>
    </row>
    <row r="41327" spans="26:26" x14ac:dyDescent="0.2">
      <c r="Z41327" t="str">
        <f t="shared" si="645"/>
        <v/>
      </c>
    </row>
    <row r="41328" spans="26:26" x14ac:dyDescent="0.2">
      <c r="Z41328" t="str">
        <f t="shared" si="645"/>
        <v/>
      </c>
    </row>
    <row r="41329" spans="26:26" x14ac:dyDescent="0.2">
      <c r="Z41329" t="str">
        <f t="shared" si="645"/>
        <v/>
      </c>
    </row>
    <row r="41330" spans="26:26" x14ac:dyDescent="0.2">
      <c r="Z41330" t="str">
        <f t="shared" si="645"/>
        <v/>
      </c>
    </row>
    <row r="41331" spans="26:26" x14ac:dyDescent="0.2">
      <c r="Z41331" t="str">
        <f t="shared" si="645"/>
        <v/>
      </c>
    </row>
    <row r="41332" spans="26:26" x14ac:dyDescent="0.2">
      <c r="Z41332" t="str">
        <f t="shared" si="645"/>
        <v/>
      </c>
    </row>
    <row r="41333" spans="26:26" x14ac:dyDescent="0.2">
      <c r="Z41333" t="str">
        <f t="shared" si="645"/>
        <v/>
      </c>
    </row>
    <row r="41334" spans="26:26" x14ac:dyDescent="0.2">
      <c r="Z41334" t="str">
        <f t="shared" si="645"/>
        <v/>
      </c>
    </row>
    <row r="41335" spans="26:26" x14ac:dyDescent="0.2">
      <c r="Z41335" t="str">
        <f t="shared" si="645"/>
        <v/>
      </c>
    </row>
    <row r="41336" spans="26:26" x14ac:dyDescent="0.2">
      <c r="Z41336" t="str">
        <f t="shared" si="645"/>
        <v/>
      </c>
    </row>
    <row r="41337" spans="26:26" x14ac:dyDescent="0.2">
      <c r="Z41337" t="str">
        <f t="shared" si="645"/>
        <v/>
      </c>
    </row>
    <row r="41338" spans="26:26" x14ac:dyDescent="0.2">
      <c r="Z41338" t="str">
        <f t="shared" si="645"/>
        <v/>
      </c>
    </row>
    <row r="41339" spans="26:26" x14ac:dyDescent="0.2">
      <c r="Z41339" t="str">
        <f t="shared" si="645"/>
        <v/>
      </c>
    </row>
    <row r="41340" spans="26:26" x14ac:dyDescent="0.2">
      <c r="Z41340" t="str">
        <f t="shared" si="645"/>
        <v/>
      </c>
    </row>
    <row r="41341" spans="26:26" x14ac:dyDescent="0.2">
      <c r="Z41341" t="str">
        <f t="shared" si="645"/>
        <v/>
      </c>
    </row>
    <row r="41342" spans="26:26" x14ac:dyDescent="0.2">
      <c r="Z41342" t="str">
        <f t="shared" si="645"/>
        <v/>
      </c>
    </row>
    <row r="41343" spans="26:26" x14ac:dyDescent="0.2">
      <c r="Z41343" t="str">
        <f t="shared" si="645"/>
        <v/>
      </c>
    </row>
    <row r="41344" spans="26:26" x14ac:dyDescent="0.2">
      <c r="Z41344" t="str">
        <f t="shared" si="645"/>
        <v/>
      </c>
    </row>
    <row r="41345" spans="26:26" x14ac:dyDescent="0.2">
      <c r="Z41345" t="str">
        <f t="shared" si="645"/>
        <v/>
      </c>
    </row>
    <row r="41346" spans="26:26" x14ac:dyDescent="0.2">
      <c r="Z41346" t="str">
        <f t="shared" si="645"/>
        <v/>
      </c>
    </row>
    <row r="41347" spans="26:26" x14ac:dyDescent="0.2">
      <c r="Z41347" t="str">
        <f t="shared" ref="Z41347:Z41410" si="646">IF(K41347="","",IFERROR(VALUE(TRIM(MID(K41347,FIND(CHAR(167),SUBSTITUTE(K41347,"-",CHAR(167),LEN(K41347)-LEN(SUBSTITUTE(K41347,"-",""))))+1,100))),K41347))</f>
        <v/>
      </c>
    </row>
    <row r="41348" spans="26:26" x14ac:dyDescent="0.2">
      <c r="Z41348" t="str">
        <f t="shared" si="646"/>
        <v/>
      </c>
    </row>
    <row r="41349" spans="26:26" x14ac:dyDescent="0.2">
      <c r="Z41349" t="str">
        <f t="shared" si="646"/>
        <v/>
      </c>
    </row>
    <row r="41350" spans="26:26" x14ac:dyDescent="0.2">
      <c r="Z41350" t="str">
        <f t="shared" si="646"/>
        <v/>
      </c>
    </row>
    <row r="41351" spans="26:26" x14ac:dyDescent="0.2">
      <c r="Z41351" t="str">
        <f t="shared" si="646"/>
        <v/>
      </c>
    </row>
    <row r="41352" spans="26:26" x14ac:dyDescent="0.2">
      <c r="Z41352" t="str">
        <f t="shared" si="646"/>
        <v/>
      </c>
    </row>
    <row r="41353" spans="26:26" x14ac:dyDescent="0.2">
      <c r="Z41353" t="str">
        <f t="shared" si="646"/>
        <v/>
      </c>
    </row>
    <row r="41354" spans="26:26" x14ac:dyDescent="0.2">
      <c r="Z41354" t="str">
        <f t="shared" si="646"/>
        <v/>
      </c>
    </row>
    <row r="41355" spans="26:26" x14ac:dyDescent="0.2">
      <c r="Z41355" t="str">
        <f t="shared" si="646"/>
        <v/>
      </c>
    </row>
    <row r="41356" spans="26:26" x14ac:dyDescent="0.2">
      <c r="Z41356" t="str">
        <f t="shared" si="646"/>
        <v/>
      </c>
    </row>
    <row r="41357" spans="26:26" x14ac:dyDescent="0.2">
      <c r="Z41357" t="str">
        <f t="shared" si="646"/>
        <v/>
      </c>
    </row>
    <row r="41358" spans="26:26" x14ac:dyDescent="0.2">
      <c r="Z41358" t="str">
        <f t="shared" si="646"/>
        <v/>
      </c>
    </row>
    <row r="41359" spans="26:26" x14ac:dyDescent="0.2">
      <c r="Z41359" t="str">
        <f t="shared" si="646"/>
        <v/>
      </c>
    </row>
    <row r="41360" spans="26:26" x14ac:dyDescent="0.2">
      <c r="Z41360" t="str">
        <f t="shared" si="646"/>
        <v/>
      </c>
    </row>
    <row r="41361" spans="26:26" x14ac:dyDescent="0.2">
      <c r="Z41361" t="str">
        <f t="shared" si="646"/>
        <v/>
      </c>
    </row>
    <row r="41362" spans="26:26" x14ac:dyDescent="0.2">
      <c r="Z41362" t="str">
        <f t="shared" si="646"/>
        <v/>
      </c>
    </row>
    <row r="41363" spans="26:26" x14ac:dyDescent="0.2">
      <c r="Z41363" t="str">
        <f t="shared" si="646"/>
        <v/>
      </c>
    </row>
    <row r="41364" spans="26:26" x14ac:dyDescent="0.2">
      <c r="Z41364" t="str">
        <f t="shared" si="646"/>
        <v/>
      </c>
    </row>
    <row r="41365" spans="26:26" x14ac:dyDescent="0.2">
      <c r="Z41365" t="str">
        <f t="shared" si="646"/>
        <v/>
      </c>
    </row>
    <row r="41366" spans="26:26" x14ac:dyDescent="0.2">
      <c r="Z41366" t="str">
        <f t="shared" si="646"/>
        <v/>
      </c>
    </row>
    <row r="41367" spans="26:26" x14ac:dyDescent="0.2">
      <c r="Z41367" t="str">
        <f t="shared" si="646"/>
        <v/>
      </c>
    </row>
    <row r="41368" spans="26:26" x14ac:dyDescent="0.2">
      <c r="Z41368" t="str">
        <f t="shared" si="646"/>
        <v/>
      </c>
    </row>
    <row r="41369" spans="26:26" x14ac:dyDescent="0.2">
      <c r="Z41369" t="str">
        <f t="shared" si="646"/>
        <v/>
      </c>
    </row>
    <row r="41370" spans="26:26" x14ac:dyDescent="0.2">
      <c r="Z41370" t="str">
        <f t="shared" si="646"/>
        <v/>
      </c>
    </row>
    <row r="41371" spans="26:26" x14ac:dyDescent="0.2">
      <c r="Z41371" t="str">
        <f t="shared" si="646"/>
        <v/>
      </c>
    </row>
    <row r="41372" spans="26:26" x14ac:dyDescent="0.2">
      <c r="Z41372" t="str">
        <f t="shared" si="646"/>
        <v/>
      </c>
    </row>
    <row r="41373" spans="26:26" x14ac:dyDescent="0.2">
      <c r="Z41373" t="str">
        <f t="shared" si="646"/>
        <v/>
      </c>
    </row>
    <row r="41374" spans="26:26" x14ac:dyDescent="0.2">
      <c r="Z41374" t="str">
        <f t="shared" si="646"/>
        <v/>
      </c>
    </row>
    <row r="41375" spans="26:26" x14ac:dyDescent="0.2">
      <c r="Z41375" t="str">
        <f t="shared" si="646"/>
        <v/>
      </c>
    </row>
    <row r="41376" spans="26:26" x14ac:dyDescent="0.2">
      <c r="Z41376" t="str">
        <f t="shared" si="646"/>
        <v/>
      </c>
    </row>
    <row r="41377" spans="26:26" x14ac:dyDescent="0.2">
      <c r="Z41377" t="str">
        <f t="shared" si="646"/>
        <v/>
      </c>
    </row>
    <row r="41378" spans="26:26" x14ac:dyDescent="0.2">
      <c r="Z41378" t="str">
        <f t="shared" si="646"/>
        <v/>
      </c>
    </row>
    <row r="41379" spans="26:26" x14ac:dyDescent="0.2">
      <c r="Z41379" t="str">
        <f t="shared" si="646"/>
        <v/>
      </c>
    </row>
    <row r="41380" spans="26:26" x14ac:dyDescent="0.2">
      <c r="Z41380" t="str">
        <f t="shared" si="646"/>
        <v/>
      </c>
    </row>
    <row r="41381" spans="26:26" x14ac:dyDescent="0.2">
      <c r="Z41381" t="str">
        <f t="shared" si="646"/>
        <v/>
      </c>
    </row>
    <row r="41382" spans="26:26" x14ac:dyDescent="0.2">
      <c r="Z41382" t="str">
        <f t="shared" si="646"/>
        <v/>
      </c>
    </row>
    <row r="41383" spans="26:26" x14ac:dyDescent="0.2">
      <c r="Z41383" t="str">
        <f t="shared" si="646"/>
        <v/>
      </c>
    </row>
    <row r="41384" spans="26:26" x14ac:dyDescent="0.2">
      <c r="Z41384" t="str">
        <f t="shared" si="646"/>
        <v/>
      </c>
    </row>
    <row r="41385" spans="26:26" x14ac:dyDescent="0.2">
      <c r="Z41385" t="str">
        <f t="shared" si="646"/>
        <v/>
      </c>
    </row>
    <row r="41386" spans="26:26" x14ac:dyDescent="0.2">
      <c r="Z41386" t="str">
        <f t="shared" si="646"/>
        <v/>
      </c>
    </row>
    <row r="41387" spans="26:26" x14ac:dyDescent="0.2">
      <c r="Z41387" t="str">
        <f t="shared" si="646"/>
        <v/>
      </c>
    </row>
    <row r="41388" spans="26:26" x14ac:dyDescent="0.2">
      <c r="Z41388" t="str">
        <f t="shared" si="646"/>
        <v/>
      </c>
    </row>
    <row r="41389" spans="26:26" x14ac:dyDescent="0.2">
      <c r="Z41389" t="str">
        <f t="shared" si="646"/>
        <v/>
      </c>
    </row>
    <row r="41390" spans="26:26" x14ac:dyDescent="0.2">
      <c r="Z41390" t="str">
        <f t="shared" si="646"/>
        <v/>
      </c>
    </row>
    <row r="41391" spans="26:26" x14ac:dyDescent="0.2">
      <c r="Z41391" t="str">
        <f t="shared" si="646"/>
        <v/>
      </c>
    </row>
    <row r="41392" spans="26:26" x14ac:dyDescent="0.2">
      <c r="Z41392" t="str">
        <f t="shared" si="646"/>
        <v/>
      </c>
    </row>
    <row r="41393" spans="26:26" x14ac:dyDescent="0.2">
      <c r="Z41393" t="str">
        <f t="shared" si="646"/>
        <v/>
      </c>
    </row>
    <row r="41394" spans="26:26" x14ac:dyDescent="0.2">
      <c r="Z41394" t="str">
        <f t="shared" si="646"/>
        <v/>
      </c>
    </row>
    <row r="41395" spans="26:26" x14ac:dyDescent="0.2">
      <c r="Z41395" t="str">
        <f t="shared" si="646"/>
        <v/>
      </c>
    </row>
    <row r="41396" spans="26:26" x14ac:dyDescent="0.2">
      <c r="Z41396" t="str">
        <f t="shared" si="646"/>
        <v/>
      </c>
    </row>
    <row r="41397" spans="26:26" x14ac:dyDescent="0.2">
      <c r="Z41397" t="str">
        <f t="shared" si="646"/>
        <v/>
      </c>
    </row>
    <row r="41398" spans="26:26" x14ac:dyDescent="0.2">
      <c r="Z41398" t="str">
        <f t="shared" si="646"/>
        <v/>
      </c>
    </row>
    <row r="41399" spans="26:26" x14ac:dyDescent="0.2">
      <c r="Z41399" t="str">
        <f t="shared" si="646"/>
        <v/>
      </c>
    </row>
    <row r="41400" spans="26:26" x14ac:dyDescent="0.2">
      <c r="Z41400" t="str">
        <f t="shared" si="646"/>
        <v/>
      </c>
    </row>
    <row r="41401" spans="26:26" x14ac:dyDescent="0.2">
      <c r="Z41401" t="str">
        <f t="shared" si="646"/>
        <v/>
      </c>
    </row>
    <row r="41402" spans="26:26" x14ac:dyDescent="0.2">
      <c r="Z41402" t="str">
        <f t="shared" si="646"/>
        <v/>
      </c>
    </row>
    <row r="41403" spans="26:26" x14ac:dyDescent="0.2">
      <c r="Z41403" t="str">
        <f t="shared" si="646"/>
        <v/>
      </c>
    </row>
    <row r="41404" spans="26:26" x14ac:dyDescent="0.2">
      <c r="Z41404" t="str">
        <f t="shared" si="646"/>
        <v/>
      </c>
    </row>
    <row r="41405" spans="26:26" x14ac:dyDescent="0.2">
      <c r="Z41405" t="str">
        <f t="shared" si="646"/>
        <v/>
      </c>
    </row>
    <row r="41406" spans="26:26" x14ac:dyDescent="0.2">
      <c r="Z41406" t="str">
        <f t="shared" si="646"/>
        <v/>
      </c>
    </row>
    <row r="41407" spans="26:26" x14ac:dyDescent="0.2">
      <c r="Z41407" t="str">
        <f t="shared" si="646"/>
        <v/>
      </c>
    </row>
    <row r="41408" spans="26:26" x14ac:dyDescent="0.2">
      <c r="Z41408" t="str">
        <f t="shared" si="646"/>
        <v/>
      </c>
    </row>
    <row r="41409" spans="26:26" x14ac:dyDescent="0.2">
      <c r="Z41409" t="str">
        <f t="shared" si="646"/>
        <v/>
      </c>
    </row>
    <row r="41410" spans="26:26" x14ac:dyDescent="0.2">
      <c r="Z41410" t="str">
        <f t="shared" si="646"/>
        <v/>
      </c>
    </row>
    <row r="41411" spans="26:26" x14ac:dyDescent="0.2">
      <c r="Z41411" t="str">
        <f t="shared" ref="Z41411:Z41474" si="647">IF(K41411="","",IFERROR(VALUE(TRIM(MID(K41411,FIND(CHAR(167),SUBSTITUTE(K41411,"-",CHAR(167),LEN(K41411)-LEN(SUBSTITUTE(K41411,"-",""))))+1,100))),K41411))</f>
        <v/>
      </c>
    </row>
    <row r="41412" spans="26:26" x14ac:dyDescent="0.2">
      <c r="Z41412" t="str">
        <f t="shared" si="647"/>
        <v/>
      </c>
    </row>
    <row r="41413" spans="26:26" x14ac:dyDescent="0.2">
      <c r="Z41413" t="str">
        <f t="shared" si="647"/>
        <v/>
      </c>
    </row>
    <row r="41414" spans="26:26" x14ac:dyDescent="0.2">
      <c r="Z41414" t="str">
        <f t="shared" si="647"/>
        <v/>
      </c>
    </row>
    <row r="41415" spans="26:26" x14ac:dyDescent="0.2">
      <c r="Z41415" t="str">
        <f t="shared" si="647"/>
        <v/>
      </c>
    </row>
    <row r="41416" spans="26:26" x14ac:dyDescent="0.2">
      <c r="Z41416" t="str">
        <f t="shared" si="647"/>
        <v/>
      </c>
    </row>
    <row r="41417" spans="26:26" x14ac:dyDescent="0.2">
      <c r="Z41417" t="str">
        <f t="shared" si="647"/>
        <v/>
      </c>
    </row>
    <row r="41418" spans="26:26" x14ac:dyDescent="0.2">
      <c r="Z41418" t="str">
        <f t="shared" si="647"/>
        <v/>
      </c>
    </row>
    <row r="41419" spans="26:26" x14ac:dyDescent="0.2">
      <c r="Z41419" t="str">
        <f t="shared" si="647"/>
        <v/>
      </c>
    </row>
    <row r="41420" spans="26:26" x14ac:dyDescent="0.2">
      <c r="Z41420" t="str">
        <f t="shared" si="647"/>
        <v/>
      </c>
    </row>
    <row r="41421" spans="26:26" x14ac:dyDescent="0.2">
      <c r="Z41421" t="str">
        <f t="shared" si="647"/>
        <v/>
      </c>
    </row>
    <row r="41422" spans="26:26" x14ac:dyDescent="0.2">
      <c r="Z41422" t="str">
        <f t="shared" si="647"/>
        <v/>
      </c>
    </row>
    <row r="41423" spans="26:26" x14ac:dyDescent="0.2">
      <c r="Z41423" t="str">
        <f t="shared" si="647"/>
        <v/>
      </c>
    </row>
    <row r="41424" spans="26:26" x14ac:dyDescent="0.2">
      <c r="Z41424" t="str">
        <f t="shared" si="647"/>
        <v/>
      </c>
    </row>
    <row r="41425" spans="26:26" x14ac:dyDescent="0.2">
      <c r="Z41425" t="str">
        <f t="shared" si="647"/>
        <v/>
      </c>
    </row>
    <row r="41426" spans="26:26" x14ac:dyDescent="0.2">
      <c r="Z41426" t="str">
        <f t="shared" si="647"/>
        <v/>
      </c>
    </row>
    <row r="41427" spans="26:26" x14ac:dyDescent="0.2">
      <c r="Z41427" t="str">
        <f t="shared" si="647"/>
        <v/>
      </c>
    </row>
    <row r="41428" spans="26:26" x14ac:dyDescent="0.2">
      <c r="Z41428" t="str">
        <f t="shared" si="647"/>
        <v/>
      </c>
    </row>
    <row r="41429" spans="26:26" x14ac:dyDescent="0.2">
      <c r="Z41429" t="str">
        <f t="shared" si="647"/>
        <v/>
      </c>
    </row>
    <row r="41430" spans="26:26" x14ac:dyDescent="0.2">
      <c r="Z41430" t="str">
        <f t="shared" si="647"/>
        <v/>
      </c>
    </row>
    <row r="41431" spans="26:26" x14ac:dyDescent="0.2">
      <c r="Z41431" t="str">
        <f t="shared" si="647"/>
        <v/>
      </c>
    </row>
    <row r="41432" spans="26:26" x14ac:dyDescent="0.2">
      <c r="Z41432" t="str">
        <f t="shared" si="647"/>
        <v/>
      </c>
    </row>
    <row r="41433" spans="26:26" x14ac:dyDescent="0.2">
      <c r="Z41433" t="str">
        <f t="shared" si="647"/>
        <v/>
      </c>
    </row>
    <row r="41434" spans="26:26" x14ac:dyDescent="0.2">
      <c r="Z41434" t="str">
        <f t="shared" si="647"/>
        <v/>
      </c>
    </row>
    <row r="41435" spans="26:26" x14ac:dyDescent="0.2">
      <c r="Z41435" t="str">
        <f t="shared" si="647"/>
        <v/>
      </c>
    </row>
    <row r="41436" spans="26:26" x14ac:dyDescent="0.2">
      <c r="Z41436" t="str">
        <f t="shared" si="647"/>
        <v/>
      </c>
    </row>
    <row r="41437" spans="26:26" x14ac:dyDescent="0.2">
      <c r="Z41437" t="str">
        <f t="shared" si="647"/>
        <v/>
      </c>
    </row>
    <row r="41438" spans="26:26" x14ac:dyDescent="0.2">
      <c r="Z41438" t="str">
        <f t="shared" si="647"/>
        <v/>
      </c>
    </row>
    <row r="41439" spans="26:26" x14ac:dyDescent="0.2">
      <c r="Z41439" t="str">
        <f t="shared" si="647"/>
        <v/>
      </c>
    </row>
    <row r="41440" spans="26:26" x14ac:dyDescent="0.2">
      <c r="Z41440" t="str">
        <f t="shared" si="647"/>
        <v/>
      </c>
    </row>
    <row r="41441" spans="26:26" x14ac:dyDescent="0.2">
      <c r="Z41441" t="str">
        <f t="shared" si="647"/>
        <v/>
      </c>
    </row>
    <row r="41442" spans="26:26" x14ac:dyDescent="0.2">
      <c r="Z41442" t="str">
        <f t="shared" si="647"/>
        <v/>
      </c>
    </row>
    <row r="41443" spans="26:26" x14ac:dyDescent="0.2">
      <c r="Z41443" t="str">
        <f t="shared" si="647"/>
        <v/>
      </c>
    </row>
    <row r="41444" spans="26:26" x14ac:dyDescent="0.2">
      <c r="Z41444" t="str">
        <f t="shared" si="647"/>
        <v/>
      </c>
    </row>
    <row r="41445" spans="26:26" x14ac:dyDescent="0.2">
      <c r="Z41445" t="str">
        <f t="shared" si="647"/>
        <v/>
      </c>
    </row>
    <row r="41446" spans="26:26" x14ac:dyDescent="0.2">
      <c r="Z41446" t="str">
        <f t="shared" si="647"/>
        <v/>
      </c>
    </row>
    <row r="41447" spans="26:26" x14ac:dyDescent="0.2">
      <c r="Z41447" t="str">
        <f t="shared" si="647"/>
        <v/>
      </c>
    </row>
    <row r="41448" spans="26:26" x14ac:dyDescent="0.2">
      <c r="Z41448" t="str">
        <f t="shared" si="647"/>
        <v/>
      </c>
    </row>
    <row r="41449" spans="26:26" x14ac:dyDescent="0.2">
      <c r="Z41449" t="str">
        <f t="shared" si="647"/>
        <v/>
      </c>
    </row>
    <row r="41450" spans="26:26" x14ac:dyDescent="0.2">
      <c r="Z41450" t="str">
        <f t="shared" si="647"/>
        <v/>
      </c>
    </row>
    <row r="41451" spans="26:26" x14ac:dyDescent="0.2">
      <c r="Z41451" t="str">
        <f t="shared" si="647"/>
        <v/>
      </c>
    </row>
    <row r="41452" spans="26:26" x14ac:dyDescent="0.2">
      <c r="Z41452" t="str">
        <f t="shared" si="647"/>
        <v/>
      </c>
    </row>
    <row r="41453" spans="26:26" x14ac:dyDescent="0.2">
      <c r="Z41453" t="str">
        <f t="shared" si="647"/>
        <v/>
      </c>
    </row>
    <row r="41454" spans="26:26" x14ac:dyDescent="0.2">
      <c r="Z41454" t="str">
        <f t="shared" si="647"/>
        <v/>
      </c>
    </row>
    <row r="41455" spans="26:26" x14ac:dyDescent="0.2">
      <c r="Z41455" t="str">
        <f t="shared" si="647"/>
        <v/>
      </c>
    </row>
    <row r="41456" spans="26:26" x14ac:dyDescent="0.2">
      <c r="Z41456" t="str">
        <f t="shared" si="647"/>
        <v/>
      </c>
    </row>
    <row r="41457" spans="26:26" x14ac:dyDescent="0.2">
      <c r="Z41457" t="str">
        <f t="shared" si="647"/>
        <v/>
      </c>
    </row>
    <row r="41458" spans="26:26" x14ac:dyDescent="0.2">
      <c r="Z41458" t="str">
        <f t="shared" si="647"/>
        <v/>
      </c>
    </row>
    <row r="41459" spans="26:26" x14ac:dyDescent="0.2">
      <c r="Z41459" t="str">
        <f t="shared" si="647"/>
        <v/>
      </c>
    </row>
    <row r="41460" spans="26:26" x14ac:dyDescent="0.2">
      <c r="Z41460" t="str">
        <f t="shared" si="647"/>
        <v/>
      </c>
    </row>
    <row r="41461" spans="26:26" x14ac:dyDescent="0.2">
      <c r="Z41461" t="str">
        <f t="shared" si="647"/>
        <v/>
      </c>
    </row>
    <row r="41462" spans="26:26" x14ac:dyDescent="0.2">
      <c r="Z41462" t="str">
        <f t="shared" si="647"/>
        <v/>
      </c>
    </row>
    <row r="41463" spans="26:26" x14ac:dyDescent="0.2">
      <c r="Z41463" t="str">
        <f t="shared" si="647"/>
        <v/>
      </c>
    </row>
    <row r="41464" spans="26:26" x14ac:dyDescent="0.2">
      <c r="Z41464" t="str">
        <f t="shared" si="647"/>
        <v/>
      </c>
    </row>
    <row r="41465" spans="26:26" x14ac:dyDescent="0.2">
      <c r="Z41465" t="str">
        <f t="shared" si="647"/>
        <v/>
      </c>
    </row>
    <row r="41466" spans="26:26" x14ac:dyDescent="0.2">
      <c r="Z41466" t="str">
        <f t="shared" si="647"/>
        <v/>
      </c>
    </row>
    <row r="41467" spans="26:26" x14ac:dyDescent="0.2">
      <c r="Z41467" t="str">
        <f t="shared" si="647"/>
        <v/>
      </c>
    </row>
    <row r="41468" spans="26:26" x14ac:dyDescent="0.2">
      <c r="Z41468" t="str">
        <f t="shared" si="647"/>
        <v/>
      </c>
    </row>
    <row r="41469" spans="26:26" x14ac:dyDescent="0.2">
      <c r="Z41469" t="str">
        <f t="shared" si="647"/>
        <v/>
      </c>
    </row>
    <row r="41470" spans="26:26" x14ac:dyDescent="0.2">
      <c r="Z41470" t="str">
        <f t="shared" si="647"/>
        <v/>
      </c>
    </row>
    <row r="41471" spans="26:26" x14ac:dyDescent="0.2">
      <c r="Z41471" t="str">
        <f t="shared" si="647"/>
        <v/>
      </c>
    </row>
    <row r="41472" spans="26:26" x14ac:dyDescent="0.2">
      <c r="Z41472" t="str">
        <f t="shared" si="647"/>
        <v/>
      </c>
    </row>
    <row r="41473" spans="26:26" x14ac:dyDescent="0.2">
      <c r="Z41473" t="str">
        <f t="shared" si="647"/>
        <v/>
      </c>
    </row>
    <row r="41474" spans="26:26" x14ac:dyDescent="0.2">
      <c r="Z41474" t="str">
        <f t="shared" si="647"/>
        <v/>
      </c>
    </row>
    <row r="41475" spans="26:26" x14ac:dyDescent="0.2">
      <c r="Z41475" t="str">
        <f t="shared" ref="Z41475:Z41538" si="648">IF(K41475="","",IFERROR(VALUE(TRIM(MID(K41475,FIND(CHAR(167),SUBSTITUTE(K41475,"-",CHAR(167),LEN(K41475)-LEN(SUBSTITUTE(K41475,"-",""))))+1,100))),K41475))</f>
        <v/>
      </c>
    </row>
    <row r="41476" spans="26:26" x14ac:dyDescent="0.2">
      <c r="Z41476" t="str">
        <f t="shared" si="648"/>
        <v/>
      </c>
    </row>
    <row r="41477" spans="26:26" x14ac:dyDescent="0.2">
      <c r="Z41477" t="str">
        <f t="shared" si="648"/>
        <v/>
      </c>
    </row>
    <row r="41478" spans="26:26" x14ac:dyDescent="0.2">
      <c r="Z41478" t="str">
        <f t="shared" si="648"/>
        <v/>
      </c>
    </row>
    <row r="41479" spans="26:26" x14ac:dyDescent="0.2">
      <c r="Z41479" t="str">
        <f t="shared" si="648"/>
        <v/>
      </c>
    </row>
    <row r="41480" spans="26:26" x14ac:dyDescent="0.2">
      <c r="Z41480" t="str">
        <f t="shared" si="648"/>
        <v/>
      </c>
    </row>
    <row r="41481" spans="26:26" x14ac:dyDescent="0.2">
      <c r="Z41481" t="str">
        <f t="shared" si="648"/>
        <v/>
      </c>
    </row>
    <row r="41482" spans="26:26" x14ac:dyDescent="0.2">
      <c r="Z41482" t="str">
        <f t="shared" si="648"/>
        <v/>
      </c>
    </row>
    <row r="41483" spans="26:26" x14ac:dyDescent="0.2">
      <c r="Z41483" t="str">
        <f t="shared" si="648"/>
        <v/>
      </c>
    </row>
    <row r="41484" spans="26:26" x14ac:dyDescent="0.2">
      <c r="Z41484" t="str">
        <f t="shared" si="648"/>
        <v/>
      </c>
    </row>
    <row r="41485" spans="26:26" x14ac:dyDescent="0.2">
      <c r="Z41485" t="str">
        <f t="shared" si="648"/>
        <v/>
      </c>
    </row>
    <row r="41486" spans="26:26" x14ac:dyDescent="0.2">
      <c r="Z41486" t="str">
        <f t="shared" si="648"/>
        <v/>
      </c>
    </row>
    <row r="41487" spans="26:26" x14ac:dyDescent="0.2">
      <c r="Z41487" t="str">
        <f t="shared" si="648"/>
        <v/>
      </c>
    </row>
    <row r="41488" spans="26:26" x14ac:dyDescent="0.2">
      <c r="Z41488" t="str">
        <f t="shared" si="648"/>
        <v/>
      </c>
    </row>
    <row r="41489" spans="26:26" x14ac:dyDescent="0.2">
      <c r="Z41489" t="str">
        <f t="shared" si="648"/>
        <v/>
      </c>
    </row>
    <row r="41490" spans="26:26" x14ac:dyDescent="0.2">
      <c r="Z41490" t="str">
        <f t="shared" si="648"/>
        <v/>
      </c>
    </row>
    <row r="41491" spans="26:26" x14ac:dyDescent="0.2">
      <c r="Z41491" t="str">
        <f t="shared" si="648"/>
        <v/>
      </c>
    </row>
    <row r="41492" spans="26:26" x14ac:dyDescent="0.2">
      <c r="Z41492" t="str">
        <f t="shared" si="648"/>
        <v/>
      </c>
    </row>
    <row r="41493" spans="26:26" x14ac:dyDescent="0.2">
      <c r="Z41493" t="str">
        <f t="shared" si="648"/>
        <v/>
      </c>
    </row>
    <row r="41494" spans="26:26" x14ac:dyDescent="0.2">
      <c r="Z41494" t="str">
        <f t="shared" si="648"/>
        <v/>
      </c>
    </row>
    <row r="41495" spans="26:26" x14ac:dyDescent="0.2">
      <c r="Z41495" t="str">
        <f t="shared" si="648"/>
        <v/>
      </c>
    </row>
    <row r="41496" spans="26:26" x14ac:dyDescent="0.2">
      <c r="Z41496" t="str">
        <f t="shared" si="648"/>
        <v/>
      </c>
    </row>
    <row r="41497" spans="26:26" x14ac:dyDescent="0.2">
      <c r="Z41497" t="str">
        <f t="shared" si="648"/>
        <v/>
      </c>
    </row>
    <row r="41498" spans="26:26" x14ac:dyDescent="0.2">
      <c r="Z41498" t="str">
        <f t="shared" si="648"/>
        <v/>
      </c>
    </row>
    <row r="41499" spans="26:26" x14ac:dyDescent="0.2">
      <c r="Z41499" t="str">
        <f t="shared" si="648"/>
        <v/>
      </c>
    </row>
    <row r="41500" spans="26:26" x14ac:dyDescent="0.2">
      <c r="Z41500" t="str">
        <f t="shared" si="648"/>
        <v/>
      </c>
    </row>
    <row r="41501" spans="26:26" x14ac:dyDescent="0.2">
      <c r="Z41501" t="str">
        <f t="shared" si="648"/>
        <v/>
      </c>
    </row>
    <row r="41502" spans="26:26" x14ac:dyDescent="0.2">
      <c r="Z41502" t="str">
        <f t="shared" si="648"/>
        <v/>
      </c>
    </row>
    <row r="41503" spans="26:26" x14ac:dyDescent="0.2">
      <c r="Z41503" t="str">
        <f t="shared" si="648"/>
        <v/>
      </c>
    </row>
    <row r="41504" spans="26:26" x14ac:dyDescent="0.2">
      <c r="Z41504" t="str">
        <f t="shared" si="648"/>
        <v/>
      </c>
    </row>
    <row r="41505" spans="26:26" x14ac:dyDescent="0.2">
      <c r="Z41505" t="str">
        <f t="shared" si="648"/>
        <v/>
      </c>
    </row>
    <row r="41506" spans="26:26" x14ac:dyDescent="0.2">
      <c r="Z41506" t="str">
        <f t="shared" si="648"/>
        <v/>
      </c>
    </row>
    <row r="41507" spans="26:26" x14ac:dyDescent="0.2">
      <c r="Z41507" t="str">
        <f t="shared" si="648"/>
        <v/>
      </c>
    </row>
    <row r="41508" spans="26:26" x14ac:dyDescent="0.2">
      <c r="Z41508" t="str">
        <f t="shared" si="648"/>
        <v/>
      </c>
    </row>
    <row r="41509" spans="26:26" x14ac:dyDescent="0.2">
      <c r="Z41509" t="str">
        <f t="shared" si="648"/>
        <v/>
      </c>
    </row>
    <row r="41510" spans="26:26" x14ac:dyDescent="0.2">
      <c r="Z41510" t="str">
        <f t="shared" si="648"/>
        <v/>
      </c>
    </row>
    <row r="41511" spans="26:26" x14ac:dyDescent="0.2">
      <c r="Z41511" t="str">
        <f t="shared" si="648"/>
        <v/>
      </c>
    </row>
    <row r="41512" spans="26:26" x14ac:dyDescent="0.2">
      <c r="Z41512" t="str">
        <f t="shared" si="648"/>
        <v/>
      </c>
    </row>
    <row r="41513" spans="26:26" x14ac:dyDescent="0.2">
      <c r="Z41513" t="str">
        <f t="shared" si="648"/>
        <v/>
      </c>
    </row>
    <row r="41514" spans="26:26" x14ac:dyDescent="0.2">
      <c r="Z41514" t="str">
        <f t="shared" si="648"/>
        <v/>
      </c>
    </row>
    <row r="41515" spans="26:26" x14ac:dyDescent="0.2">
      <c r="Z41515" t="str">
        <f t="shared" si="648"/>
        <v/>
      </c>
    </row>
    <row r="41516" spans="26:26" x14ac:dyDescent="0.2">
      <c r="Z41516" t="str">
        <f t="shared" si="648"/>
        <v/>
      </c>
    </row>
    <row r="41517" spans="26:26" x14ac:dyDescent="0.2">
      <c r="Z41517" t="str">
        <f t="shared" si="648"/>
        <v/>
      </c>
    </row>
    <row r="41518" spans="26:26" x14ac:dyDescent="0.2">
      <c r="Z41518" t="str">
        <f t="shared" si="648"/>
        <v/>
      </c>
    </row>
    <row r="41519" spans="26:26" x14ac:dyDescent="0.2">
      <c r="Z41519" t="str">
        <f t="shared" si="648"/>
        <v/>
      </c>
    </row>
    <row r="41520" spans="26:26" x14ac:dyDescent="0.2">
      <c r="Z41520" t="str">
        <f t="shared" si="648"/>
        <v/>
      </c>
    </row>
    <row r="41521" spans="26:26" x14ac:dyDescent="0.2">
      <c r="Z41521" t="str">
        <f t="shared" si="648"/>
        <v/>
      </c>
    </row>
    <row r="41522" spans="26:26" x14ac:dyDescent="0.2">
      <c r="Z41522" t="str">
        <f t="shared" si="648"/>
        <v/>
      </c>
    </row>
    <row r="41523" spans="26:26" x14ac:dyDescent="0.2">
      <c r="Z41523" t="str">
        <f t="shared" si="648"/>
        <v/>
      </c>
    </row>
    <row r="41524" spans="26:26" x14ac:dyDescent="0.2">
      <c r="Z41524" t="str">
        <f t="shared" si="648"/>
        <v/>
      </c>
    </row>
    <row r="41525" spans="26:26" x14ac:dyDescent="0.2">
      <c r="Z41525" t="str">
        <f t="shared" si="648"/>
        <v/>
      </c>
    </row>
    <row r="41526" spans="26:26" x14ac:dyDescent="0.2">
      <c r="Z41526" t="str">
        <f t="shared" si="648"/>
        <v/>
      </c>
    </row>
    <row r="41527" spans="26:26" x14ac:dyDescent="0.2">
      <c r="Z41527" t="str">
        <f t="shared" si="648"/>
        <v/>
      </c>
    </row>
    <row r="41528" spans="26:26" x14ac:dyDescent="0.2">
      <c r="Z41528" t="str">
        <f t="shared" si="648"/>
        <v/>
      </c>
    </row>
    <row r="41529" spans="26:26" x14ac:dyDescent="0.2">
      <c r="Z41529" t="str">
        <f t="shared" si="648"/>
        <v/>
      </c>
    </row>
    <row r="41530" spans="26:26" x14ac:dyDescent="0.2">
      <c r="Z41530" t="str">
        <f t="shared" si="648"/>
        <v/>
      </c>
    </row>
    <row r="41531" spans="26:26" x14ac:dyDescent="0.2">
      <c r="Z41531" t="str">
        <f t="shared" si="648"/>
        <v/>
      </c>
    </row>
    <row r="41532" spans="26:26" x14ac:dyDescent="0.2">
      <c r="Z41532" t="str">
        <f t="shared" si="648"/>
        <v/>
      </c>
    </row>
    <row r="41533" spans="26:26" x14ac:dyDescent="0.2">
      <c r="Z41533" t="str">
        <f t="shared" si="648"/>
        <v/>
      </c>
    </row>
    <row r="41534" spans="26:26" x14ac:dyDescent="0.2">
      <c r="Z41534" t="str">
        <f t="shared" si="648"/>
        <v/>
      </c>
    </row>
    <row r="41535" spans="26:26" x14ac:dyDescent="0.2">
      <c r="Z41535" t="str">
        <f t="shared" si="648"/>
        <v/>
      </c>
    </row>
    <row r="41536" spans="26:26" x14ac:dyDescent="0.2">
      <c r="Z41536" t="str">
        <f t="shared" si="648"/>
        <v/>
      </c>
    </row>
    <row r="41537" spans="26:26" x14ac:dyDescent="0.2">
      <c r="Z41537" t="str">
        <f t="shared" si="648"/>
        <v/>
      </c>
    </row>
    <row r="41538" spans="26:26" x14ac:dyDescent="0.2">
      <c r="Z41538" t="str">
        <f t="shared" si="648"/>
        <v/>
      </c>
    </row>
    <row r="41539" spans="26:26" x14ac:dyDescent="0.2">
      <c r="Z41539" t="str">
        <f t="shared" ref="Z41539:Z41602" si="649">IF(K41539="","",IFERROR(VALUE(TRIM(MID(K41539,FIND(CHAR(167),SUBSTITUTE(K41539,"-",CHAR(167),LEN(K41539)-LEN(SUBSTITUTE(K41539,"-",""))))+1,100))),K41539))</f>
        <v/>
      </c>
    </row>
    <row r="41540" spans="26:26" x14ac:dyDescent="0.2">
      <c r="Z41540" t="str">
        <f t="shared" si="649"/>
        <v/>
      </c>
    </row>
    <row r="41541" spans="26:26" x14ac:dyDescent="0.2">
      <c r="Z41541" t="str">
        <f t="shared" si="649"/>
        <v/>
      </c>
    </row>
    <row r="41542" spans="26:26" x14ac:dyDescent="0.2">
      <c r="Z41542" t="str">
        <f t="shared" si="649"/>
        <v/>
      </c>
    </row>
    <row r="41543" spans="26:26" x14ac:dyDescent="0.2">
      <c r="Z41543" t="str">
        <f t="shared" si="649"/>
        <v/>
      </c>
    </row>
    <row r="41544" spans="26:26" x14ac:dyDescent="0.2">
      <c r="Z41544" t="str">
        <f t="shared" si="649"/>
        <v/>
      </c>
    </row>
    <row r="41545" spans="26:26" x14ac:dyDescent="0.2">
      <c r="Z41545" t="str">
        <f t="shared" si="649"/>
        <v/>
      </c>
    </row>
    <row r="41546" spans="26:26" x14ac:dyDescent="0.2">
      <c r="Z41546" t="str">
        <f t="shared" si="649"/>
        <v/>
      </c>
    </row>
    <row r="41547" spans="26:26" x14ac:dyDescent="0.2">
      <c r="Z41547" t="str">
        <f t="shared" si="649"/>
        <v/>
      </c>
    </row>
    <row r="41548" spans="26:26" x14ac:dyDescent="0.2">
      <c r="Z41548" t="str">
        <f t="shared" si="649"/>
        <v/>
      </c>
    </row>
    <row r="41549" spans="26:26" x14ac:dyDescent="0.2">
      <c r="Z41549" t="str">
        <f t="shared" si="649"/>
        <v/>
      </c>
    </row>
    <row r="41550" spans="26:26" x14ac:dyDescent="0.2">
      <c r="Z41550" t="str">
        <f t="shared" si="649"/>
        <v/>
      </c>
    </row>
    <row r="41551" spans="26:26" x14ac:dyDescent="0.2">
      <c r="Z41551" t="str">
        <f t="shared" si="649"/>
        <v/>
      </c>
    </row>
    <row r="41552" spans="26:26" x14ac:dyDescent="0.2">
      <c r="Z41552" t="str">
        <f t="shared" si="649"/>
        <v/>
      </c>
    </row>
    <row r="41553" spans="26:26" x14ac:dyDescent="0.2">
      <c r="Z41553" t="str">
        <f t="shared" si="649"/>
        <v/>
      </c>
    </row>
    <row r="41554" spans="26:26" x14ac:dyDescent="0.2">
      <c r="Z41554" t="str">
        <f t="shared" si="649"/>
        <v/>
      </c>
    </row>
    <row r="41555" spans="26:26" x14ac:dyDescent="0.2">
      <c r="Z41555" t="str">
        <f t="shared" si="649"/>
        <v/>
      </c>
    </row>
    <row r="41556" spans="26:26" x14ac:dyDescent="0.2">
      <c r="Z41556" t="str">
        <f t="shared" si="649"/>
        <v/>
      </c>
    </row>
    <row r="41557" spans="26:26" x14ac:dyDescent="0.2">
      <c r="Z41557" t="str">
        <f t="shared" si="649"/>
        <v/>
      </c>
    </row>
    <row r="41558" spans="26:26" x14ac:dyDescent="0.2">
      <c r="Z41558" t="str">
        <f t="shared" si="649"/>
        <v/>
      </c>
    </row>
    <row r="41559" spans="26:26" x14ac:dyDescent="0.2">
      <c r="Z41559" t="str">
        <f t="shared" si="649"/>
        <v/>
      </c>
    </row>
    <row r="41560" spans="26:26" x14ac:dyDescent="0.2">
      <c r="Z41560" t="str">
        <f t="shared" si="649"/>
        <v/>
      </c>
    </row>
    <row r="41561" spans="26:26" x14ac:dyDescent="0.2">
      <c r="Z41561" t="str">
        <f t="shared" si="649"/>
        <v/>
      </c>
    </row>
    <row r="41562" spans="26:26" x14ac:dyDescent="0.2">
      <c r="Z41562" t="str">
        <f t="shared" si="649"/>
        <v/>
      </c>
    </row>
    <row r="41563" spans="26:26" x14ac:dyDescent="0.2">
      <c r="Z41563" t="str">
        <f t="shared" si="649"/>
        <v/>
      </c>
    </row>
    <row r="41564" spans="26:26" x14ac:dyDescent="0.2">
      <c r="Z41564" t="str">
        <f t="shared" si="649"/>
        <v/>
      </c>
    </row>
    <row r="41565" spans="26:26" x14ac:dyDescent="0.2">
      <c r="Z41565" t="str">
        <f t="shared" si="649"/>
        <v/>
      </c>
    </row>
    <row r="41566" spans="26:26" x14ac:dyDescent="0.2">
      <c r="Z41566" t="str">
        <f t="shared" si="649"/>
        <v/>
      </c>
    </row>
    <row r="41567" spans="26:26" x14ac:dyDescent="0.2">
      <c r="Z41567" t="str">
        <f t="shared" si="649"/>
        <v/>
      </c>
    </row>
    <row r="41568" spans="26:26" x14ac:dyDescent="0.2">
      <c r="Z41568" t="str">
        <f t="shared" si="649"/>
        <v/>
      </c>
    </row>
    <row r="41569" spans="26:26" x14ac:dyDescent="0.2">
      <c r="Z41569" t="str">
        <f t="shared" si="649"/>
        <v/>
      </c>
    </row>
    <row r="41570" spans="26:26" x14ac:dyDescent="0.2">
      <c r="Z41570" t="str">
        <f t="shared" si="649"/>
        <v/>
      </c>
    </row>
    <row r="41571" spans="26:26" x14ac:dyDescent="0.2">
      <c r="Z41571" t="str">
        <f t="shared" si="649"/>
        <v/>
      </c>
    </row>
    <row r="41572" spans="26:26" x14ac:dyDescent="0.2">
      <c r="Z41572" t="str">
        <f t="shared" si="649"/>
        <v/>
      </c>
    </row>
    <row r="41573" spans="26:26" x14ac:dyDescent="0.2">
      <c r="Z41573" t="str">
        <f t="shared" si="649"/>
        <v/>
      </c>
    </row>
    <row r="41574" spans="26:26" x14ac:dyDescent="0.2">
      <c r="Z41574" t="str">
        <f t="shared" si="649"/>
        <v/>
      </c>
    </row>
    <row r="41575" spans="26:26" x14ac:dyDescent="0.2">
      <c r="Z41575" t="str">
        <f t="shared" si="649"/>
        <v/>
      </c>
    </row>
    <row r="41576" spans="26:26" x14ac:dyDescent="0.2">
      <c r="Z41576" t="str">
        <f t="shared" si="649"/>
        <v/>
      </c>
    </row>
    <row r="41577" spans="26:26" x14ac:dyDescent="0.2">
      <c r="Z41577" t="str">
        <f t="shared" si="649"/>
        <v/>
      </c>
    </row>
    <row r="41578" spans="26:26" x14ac:dyDescent="0.2">
      <c r="Z41578" t="str">
        <f t="shared" si="649"/>
        <v/>
      </c>
    </row>
    <row r="41579" spans="26:26" x14ac:dyDescent="0.2">
      <c r="Z41579" t="str">
        <f t="shared" si="649"/>
        <v/>
      </c>
    </row>
    <row r="41580" spans="26:26" x14ac:dyDescent="0.2">
      <c r="Z41580" t="str">
        <f t="shared" si="649"/>
        <v/>
      </c>
    </row>
    <row r="41581" spans="26:26" x14ac:dyDescent="0.2">
      <c r="Z41581" t="str">
        <f t="shared" si="649"/>
        <v/>
      </c>
    </row>
    <row r="41582" spans="26:26" x14ac:dyDescent="0.2">
      <c r="Z41582" t="str">
        <f t="shared" si="649"/>
        <v/>
      </c>
    </row>
    <row r="41583" spans="26:26" x14ac:dyDescent="0.2">
      <c r="Z41583" t="str">
        <f t="shared" si="649"/>
        <v/>
      </c>
    </row>
    <row r="41584" spans="26:26" x14ac:dyDescent="0.2">
      <c r="Z41584" t="str">
        <f t="shared" si="649"/>
        <v/>
      </c>
    </row>
    <row r="41585" spans="26:26" x14ac:dyDescent="0.2">
      <c r="Z41585" t="str">
        <f t="shared" si="649"/>
        <v/>
      </c>
    </row>
    <row r="41586" spans="26:26" x14ac:dyDescent="0.2">
      <c r="Z41586" t="str">
        <f t="shared" si="649"/>
        <v/>
      </c>
    </row>
    <row r="41587" spans="26:26" x14ac:dyDescent="0.2">
      <c r="Z41587" t="str">
        <f t="shared" si="649"/>
        <v/>
      </c>
    </row>
    <row r="41588" spans="26:26" x14ac:dyDescent="0.2">
      <c r="Z41588" t="str">
        <f t="shared" si="649"/>
        <v/>
      </c>
    </row>
    <row r="41589" spans="26:26" x14ac:dyDescent="0.2">
      <c r="Z41589" t="str">
        <f t="shared" si="649"/>
        <v/>
      </c>
    </row>
    <row r="41590" spans="26:26" x14ac:dyDescent="0.2">
      <c r="Z41590" t="str">
        <f t="shared" si="649"/>
        <v/>
      </c>
    </row>
    <row r="41591" spans="26:26" x14ac:dyDescent="0.2">
      <c r="Z41591" t="str">
        <f t="shared" si="649"/>
        <v/>
      </c>
    </row>
    <row r="41592" spans="26:26" x14ac:dyDescent="0.2">
      <c r="Z41592" t="str">
        <f t="shared" si="649"/>
        <v/>
      </c>
    </row>
    <row r="41593" spans="26:26" x14ac:dyDescent="0.2">
      <c r="Z41593" t="str">
        <f t="shared" si="649"/>
        <v/>
      </c>
    </row>
    <row r="41594" spans="26:26" x14ac:dyDescent="0.2">
      <c r="Z41594" t="str">
        <f t="shared" si="649"/>
        <v/>
      </c>
    </row>
    <row r="41595" spans="26:26" x14ac:dyDescent="0.2">
      <c r="Z41595" t="str">
        <f t="shared" si="649"/>
        <v/>
      </c>
    </row>
    <row r="41596" spans="26:26" x14ac:dyDescent="0.2">
      <c r="Z41596" t="str">
        <f t="shared" si="649"/>
        <v/>
      </c>
    </row>
    <row r="41597" spans="26:26" x14ac:dyDescent="0.2">
      <c r="Z41597" t="str">
        <f t="shared" si="649"/>
        <v/>
      </c>
    </row>
    <row r="41598" spans="26:26" x14ac:dyDescent="0.2">
      <c r="Z41598" t="str">
        <f t="shared" si="649"/>
        <v/>
      </c>
    </row>
    <row r="41599" spans="26:26" x14ac:dyDescent="0.2">
      <c r="Z41599" t="str">
        <f t="shared" si="649"/>
        <v/>
      </c>
    </row>
    <row r="41600" spans="26:26" x14ac:dyDescent="0.2">
      <c r="Z41600" t="str">
        <f t="shared" si="649"/>
        <v/>
      </c>
    </row>
    <row r="41601" spans="26:26" x14ac:dyDescent="0.2">
      <c r="Z41601" t="str">
        <f t="shared" si="649"/>
        <v/>
      </c>
    </row>
    <row r="41602" spans="26:26" x14ac:dyDescent="0.2">
      <c r="Z41602" t="str">
        <f t="shared" si="649"/>
        <v/>
      </c>
    </row>
    <row r="41603" spans="26:26" x14ac:dyDescent="0.2">
      <c r="Z41603" t="str">
        <f t="shared" ref="Z41603:Z41666" si="650">IF(K41603="","",IFERROR(VALUE(TRIM(MID(K41603,FIND(CHAR(167),SUBSTITUTE(K41603,"-",CHAR(167),LEN(K41603)-LEN(SUBSTITUTE(K41603,"-",""))))+1,100))),K41603))</f>
        <v/>
      </c>
    </row>
    <row r="41604" spans="26:26" x14ac:dyDescent="0.2">
      <c r="Z41604" t="str">
        <f t="shared" si="650"/>
        <v/>
      </c>
    </row>
    <row r="41605" spans="26:26" x14ac:dyDescent="0.2">
      <c r="Z41605" t="str">
        <f t="shared" si="650"/>
        <v/>
      </c>
    </row>
    <row r="41606" spans="26:26" x14ac:dyDescent="0.2">
      <c r="Z41606" t="str">
        <f t="shared" si="650"/>
        <v/>
      </c>
    </row>
    <row r="41607" spans="26:26" x14ac:dyDescent="0.2">
      <c r="Z41607" t="str">
        <f t="shared" si="650"/>
        <v/>
      </c>
    </row>
    <row r="41608" spans="26:26" x14ac:dyDescent="0.2">
      <c r="Z41608" t="str">
        <f t="shared" si="650"/>
        <v/>
      </c>
    </row>
    <row r="41609" spans="26:26" x14ac:dyDescent="0.2">
      <c r="Z41609" t="str">
        <f t="shared" si="650"/>
        <v/>
      </c>
    </row>
    <row r="41610" spans="26:26" x14ac:dyDescent="0.2">
      <c r="Z41610" t="str">
        <f t="shared" si="650"/>
        <v/>
      </c>
    </row>
    <row r="41611" spans="26:26" x14ac:dyDescent="0.2">
      <c r="Z41611" t="str">
        <f t="shared" si="650"/>
        <v/>
      </c>
    </row>
    <row r="41612" spans="26:26" x14ac:dyDescent="0.2">
      <c r="Z41612" t="str">
        <f t="shared" si="650"/>
        <v/>
      </c>
    </row>
    <row r="41613" spans="26:26" x14ac:dyDescent="0.2">
      <c r="Z41613" t="str">
        <f t="shared" si="650"/>
        <v/>
      </c>
    </row>
    <row r="41614" spans="26:26" x14ac:dyDescent="0.2">
      <c r="Z41614" t="str">
        <f t="shared" si="650"/>
        <v/>
      </c>
    </row>
    <row r="41615" spans="26:26" x14ac:dyDescent="0.2">
      <c r="Z41615" t="str">
        <f t="shared" si="650"/>
        <v/>
      </c>
    </row>
    <row r="41616" spans="26:26" x14ac:dyDescent="0.2">
      <c r="Z41616" t="str">
        <f t="shared" si="650"/>
        <v/>
      </c>
    </row>
    <row r="41617" spans="26:26" x14ac:dyDescent="0.2">
      <c r="Z41617" t="str">
        <f t="shared" si="650"/>
        <v/>
      </c>
    </row>
    <row r="41618" spans="26:26" x14ac:dyDescent="0.2">
      <c r="Z41618" t="str">
        <f t="shared" si="650"/>
        <v/>
      </c>
    </row>
    <row r="41619" spans="26:26" x14ac:dyDescent="0.2">
      <c r="Z41619" t="str">
        <f t="shared" si="650"/>
        <v/>
      </c>
    </row>
    <row r="41620" spans="26:26" x14ac:dyDescent="0.2">
      <c r="Z41620" t="str">
        <f t="shared" si="650"/>
        <v/>
      </c>
    </row>
    <row r="41621" spans="26:26" x14ac:dyDescent="0.2">
      <c r="Z41621" t="str">
        <f t="shared" si="650"/>
        <v/>
      </c>
    </row>
    <row r="41622" spans="26:26" x14ac:dyDescent="0.2">
      <c r="Z41622" t="str">
        <f t="shared" si="650"/>
        <v/>
      </c>
    </row>
    <row r="41623" spans="26:26" x14ac:dyDescent="0.2">
      <c r="Z41623" t="str">
        <f t="shared" si="650"/>
        <v/>
      </c>
    </row>
    <row r="41624" spans="26:26" x14ac:dyDescent="0.2">
      <c r="Z41624" t="str">
        <f t="shared" si="650"/>
        <v/>
      </c>
    </row>
    <row r="41625" spans="26:26" x14ac:dyDescent="0.2">
      <c r="Z41625" t="str">
        <f t="shared" si="650"/>
        <v/>
      </c>
    </row>
    <row r="41626" spans="26:26" x14ac:dyDescent="0.2">
      <c r="Z41626" t="str">
        <f t="shared" si="650"/>
        <v/>
      </c>
    </row>
    <row r="41627" spans="26:26" x14ac:dyDescent="0.2">
      <c r="Z41627" t="str">
        <f t="shared" si="650"/>
        <v/>
      </c>
    </row>
    <row r="41628" spans="26:26" x14ac:dyDescent="0.2">
      <c r="Z41628" t="str">
        <f t="shared" si="650"/>
        <v/>
      </c>
    </row>
    <row r="41629" spans="26:26" x14ac:dyDescent="0.2">
      <c r="Z41629" t="str">
        <f t="shared" si="650"/>
        <v/>
      </c>
    </row>
    <row r="41630" spans="26:26" x14ac:dyDescent="0.2">
      <c r="Z41630" t="str">
        <f t="shared" si="650"/>
        <v/>
      </c>
    </row>
    <row r="41631" spans="26:26" x14ac:dyDescent="0.2">
      <c r="Z41631" t="str">
        <f t="shared" si="650"/>
        <v/>
      </c>
    </row>
    <row r="41632" spans="26:26" x14ac:dyDescent="0.2">
      <c r="Z41632" t="str">
        <f t="shared" si="650"/>
        <v/>
      </c>
    </row>
    <row r="41633" spans="26:26" x14ac:dyDescent="0.2">
      <c r="Z41633" t="str">
        <f t="shared" si="650"/>
        <v/>
      </c>
    </row>
    <row r="41634" spans="26:26" x14ac:dyDescent="0.2">
      <c r="Z41634" t="str">
        <f t="shared" si="650"/>
        <v/>
      </c>
    </row>
    <row r="41635" spans="26:26" x14ac:dyDescent="0.2">
      <c r="Z41635" t="str">
        <f t="shared" si="650"/>
        <v/>
      </c>
    </row>
    <row r="41636" spans="26:26" x14ac:dyDescent="0.2">
      <c r="Z41636" t="str">
        <f t="shared" si="650"/>
        <v/>
      </c>
    </row>
    <row r="41637" spans="26:26" x14ac:dyDescent="0.2">
      <c r="Z41637" t="str">
        <f t="shared" si="650"/>
        <v/>
      </c>
    </row>
    <row r="41638" spans="26:26" x14ac:dyDescent="0.2">
      <c r="Z41638" t="str">
        <f t="shared" si="650"/>
        <v/>
      </c>
    </row>
    <row r="41639" spans="26:26" x14ac:dyDescent="0.2">
      <c r="Z41639" t="str">
        <f t="shared" si="650"/>
        <v/>
      </c>
    </row>
    <row r="41640" spans="26:26" x14ac:dyDescent="0.2">
      <c r="Z41640" t="str">
        <f t="shared" si="650"/>
        <v/>
      </c>
    </row>
    <row r="41641" spans="26:26" x14ac:dyDescent="0.2">
      <c r="Z41641" t="str">
        <f t="shared" si="650"/>
        <v/>
      </c>
    </row>
    <row r="41642" spans="26:26" x14ac:dyDescent="0.2">
      <c r="Z41642" t="str">
        <f t="shared" si="650"/>
        <v/>
      </c>
    </row>
    <row r="41643" spans="26:26" x14ac:dyDescent="0.2">
      <c r="Z41643" t="str">
        <f t="shared" si="650"/>
        <v/>
      </c>
    </row>
    <row r="41644" spans="26:26" x14ac:dyDescent="0.2">
      <c r="Z41644" t="str">
        <f t="shared" si="650"/>
        <v/>
      </c>
    </row>
    <row r="41645" spans="26:26" x14ac:dyDescent="0.2">
      <c r="Z41645" t="str">
        <f t="shared" si="650"/>
        <v/>
      </c>
    </row>
    <row r="41646" spans="26:26" x14ac:dyDescent="0.2">
      <c r="Z41646" t="str">
        <f t="shared" si="650"/>
        <v/>
      </c>
    </row>
    <row r="41647" spans="26:26" x14ac:dyDescent="0.2">
      <c r="Z41647" t="str">
        <f t="shared" si="650"/>
        <v/>
      </c>
    </row>
    <row r="41648" spans="26:26" x14ac:dyDescent="0.2">
      <c r="Z41648" t="str">
        <f t="shared" si="650"/>
        <v/>
      </c>
    </row>
    <row r="41649" spans="26:26" x14ac:dyDescent="0.2">
      <c r="Z41649" t="str">
        <f t="shared" si="650"/>
        <v/>
      </c>
    </row>
    <row r="41650" spans="26:26" x14ac:dyDescent="0.2">
      <c r="Z41650" t="str">
        <f t="shared" si="650"/>
        <v/>
      </c>
    </row>
    <row r="41651" spans="26:26" x14ac:dyDescent="0.2">
      <c r="Z41651" t="str">
        <f t="shared" si="650"/>
        <v/>
      </c>
    </row>
    <row r="41652" spans="26:26" x14ac:dyDescent="0.2">
      <c r="Z41652" t="str">
        <f t="shared" si="650"/>
        <v/>
      </c>
    </row>
    <row r="41653" spans="26:26" x14ac:dyDescent="0.2">
      <c r="Z41653" t="str">
        <f t="shared" si="650"/>
        <v/>
      </c>
    </row>
    <row r="41654" spans="26:26" x14ac:dyDescent="0.2">
      <c r="Z41654" t="str">
        <f t="shared" si="650"/>
        <v/>
      </c>
    </row>
    <row r="41655" spans="26:26" x14ac:dyDescent="0.2">
      <c r="Z41655" t="str">
        <f t="shared" si="650"/>
        <v/>
      </c>
    </row>
    <row r="41656" spans="26:26" x14ac:dyDescent="0.2">
      <c r="Z41656" t="str">
        <f t="shared" si="650"/>
        <v/>
      </c>
    </row>
    <row r="41657" spans="26:26" x14ac:dyDescent="0.2">
      <c r="Z41657" t="str">
        <f t="shared" si="650"/>
        <v/>
      </c>
    </row>
    <row r="41658" spans="26:26" x14ac:dyDescent="0.2">
      <c r="Z41658" t="str">
        <f t="shared" si="650"/>
        <v/>
      </c>
    </row>
    <row r="41659" spans="26:26" x14ac:dyDescent="0.2">
      <c r="Z41659" t="str">
        <f t="shared" si="650"/>
        <v/>
      </c>
    </row>
    <row r="41660" spans="26:26" x14ac:dyDescent="0.2">
      <c r="Z41660" t="str">
        <f t="shared" si="650"/>
        <v/>
      </c>
    </row>
    <row r="41661" spans="26:26" x14ac:dyDescent="0.2">
      <c r="Z41661" t="str">
        <f t="shared" si="650"/>
        <v/>
      </c>
    </row>
    <row r="41662" spans="26:26" x14ac:dyDescent="0.2">
      <c r="Z41662" t="str">
        <f t="shared" si="650"/>
        <v/>
      </c>
    </row>
    <row r="41663" spans="26:26" x14ac:dyDescent="0.2">
      <c r="Z41663" t="str">
        <f t="shared" si="650"/>
        <v/>
      </c>
    </row>
    <row r="41664" spans="26:26" x14ac:dyDescent="0.2">
      <c r="Z41664" t="str">
        <f t="shared" si="650"/>
        <v/>
      </c>
    </row>
    <row r="41665" spans="26:26" x14ac:dyDescent="0.2">
      <c r="Z41665" t="str">
        <f t="shared" si="650"/>
        <v/>
      </c>
    </row>
    <row r="41666" spans="26:26" x14ac:dyDescent="0.2">
      <c r="Z41666" t="str">
        <f t="shared" si="650"/>
        <v/>
      </c>
    </row>
    <row r="41667" spans="26:26" x14ac:dyDescent="0.2">
      <c r="Z41667" t="str">
        <f t="shared" ref="Z41667:Z41730" si="651">IF(K41667="","",IFERROR(VALUE(TRIM(MID(K41667,FIND(CHAR(167),SUBSTITUTE(K41667,"-",CHAR(167),LEN(K41667)-LEN(SUBSTITUTE(K41667,"-",""))))+1,100))),K41667))</f>
        <v/>
      </c>
    </row>
    <row r="41668" spans="26:26" x14ac:dyDescent="0.2">
      <c r="Z41668" t="str">
        <f t="shared" si="651"/>
        <v/>
      </c>
    </row>
    <row r="41669" spans="26:26" x14ac:dyDescent="0.2">
      <c r="Z41669" t="str">
        <f t="shared" si="651"/>
        <v/>
      </c>
    </row>
    <row r="41670" spans="26:26" x14ac:dyDescent="0.2">
      <c r="Z41670" t="str">
        <f t="shared" si="651"/>
        <v/>
      </c>
    </row>
    <row r="41671" spans="26:26" x14ac:dyDescent="0.2">
      <c r="Z41671" t="str">
        <f t="shared" si="651"/>
        <v/>
      </c>
    </row>
    <row r="41672" spans="26:26" x14ac:dyDescent="0.2">
      <c r="Z41672" t="str">
        <f t="shared" si="651"/>
        <v/>
      </c>
    </row>
    <row r="41673" spans="26:26" x14ac:dyDescent="0.2">
      <c r="Z41673" t="str">
        <f t="shared" si="651"/>
        <v/>
      </c>
    </row>
    <row r="41674" spans="26:26" x14ac:dyDescent="0.2">
      <c r="Z41674" t="str">
        <f t="shared" si="651"/>
        <v/>
      </c>
    </row>
    <row r="41675" spans="26:26" x14ac:dyDescent="0.2">
      <c r="Z41675" t="str">
        <f t="shared" si="651"/>
        <v/>
      </c>
    </row>
    <row r="41676" spans="26:26" x14ac:dyDescent="0.2">
      <c r="Z41676" t="str">
        <f t="shared" si="651"/>
        <v/>
      </c>
    </row>
    <row r="41677" spans="26:26" x14ac:dyDescent="0.2">
      <c r="Z41677" t="str">
        <f t="shared" si="651"/>
        <v/>
      </c>
    </row>
    <row r="41678" spans="26:26" x14ac:dyDescent="0.2">
      <c r="Z41678" t="str">
        <f t="shared" si="651"/>
        <v/>
      </c>
    </row>
    <row r="41679" spans="26:26" x14ac:dyDescent="0.2">
      <c r="Z41679" t="str">
        <f t="shared" si="651"/>
        <v/>
      </c>
    </row>
    <row r="41680" spans="26:26" x14ac:dyDescent="0.2">
      <c r="Z41680" t="str">
        <f t="shared" si="651"/>
        <v/>
      </c>
    </row>
    <row r="41681" spans="26:26" x14ac:dyDescent="0.2">
      <c r="Z41681" t="str">
        <f t="shared" si="651"/>
        <v/>
      </c>
    </row>
    <row r="41682" spans="26:26" x14ac:dyDescent="0.2">
      <c r="Z41682" t="str">
        <f t="shared" si="651"/>
        <v/>
      </c>
    </row>
    <row r="41683" spans="26:26" x14ac:dyDescent="0.2">
      <c r="Z41683" t="str">
        <f t="shared" si="651"/>
        <v/>
      </c>
    </row>
    <row r="41684" spans="26:26" x14ac:dyDescent="0.2">
      <c r="Z41684" t="str">
        <f t="shared" si="651"/>
        <v/>
      </c>
    </row>
    <row r="41685" spans="26:26" x14ac:dyDescent="0.2">
      <c r="Z41685" t="str">
        <f t="shared" si="651"/>
        <v/>
      </c>
    </row>
    <row r="41686" spans="26:26" x14ac:dyDescent="0.2">
      <c r="Z41686" t="str">
        <f t="shared" si="651"/>
        <v/>
      </c>
    </row>
    <row r="41687" spans="26:26" x14ac:dyDescent="0.2">
      <c r="Z41687" t="str">
        <f t="shared" si="651"/>
        <v/>
      </c>
    </row>
    <row r="41688" spans="26:26" x14ac:dyDescent="0.2">
      <c r="Z41688" t="str">
        <f t="shared" si="651"/>
        <v/>
      </c>
    </row>
    <row r="41689" spans="26:26" x14ac:dyDescent="0.2">
      <c r="Z41689" t="str">
        <f t="shared" si="651"/>
        <v/>
      </c>
    </row>
    <row r="41690" spans="26:26" x14ac:dyDescent="0.2">
      <c r="Z41690" t="str">
        <f t="shared" si="651"/>
        <v/>
      </c>
    </row>
    <row r="41691" spans="26:26" x14ac:dyDescent="0.2">
      <c r="Z41691" t="str">
        <f t="shared" si="651"/>
        <v/>
      </c>
    </row>
    <row r="41692" spans="26:26" x14ac:dyDescent="0.2">
      <c r="Z41692" t="str">
        <f t="shared" si="651"/>
        <v/>
      </c>
    </row>
    <row r="41693" spans="26:26" x14ac:dyDescent="0.2">
      <c r="Z41693" t="str">
        <f t="shared" si="651"/>
        <v/>
      </c>
    </row>
    <row r="41694" spans="26:26" x14ac:dyDescent="0.2">
      <c r="Z41694" t="str">
        <f t="shared" si="651"/>
        <v/>
      </c>
    </row>
    <row r="41695" spans="26:26" x14ac:dyDescent="0.2">
      <c r="Z41695" t="str">
        <f t="shared" si="651"/>
        <v/>
      </c>
    </row>
    <row r="41696" spans="26:26" x14ac:dyDescent="0.2">
      <c r="Z41696" t="str">
        <f t="shared" si="651"/>
        <v/>
      </c>
    </row>
    <row r="41697" spans="26:26" x14ac:dyDescent="0.2">
      <c r="Z41697" t="str">
        <f t="shared" si="651"/>
        <v/>
      </c>
    </row>
    <row r="41698" spans="26:26" x14ac:dyDescent="0.2">
      <c r="Z41698" t="str">
        <f t="shared" si="651"/>
        <v/>
      </c>
    </row>
    <row r="41699" spans="26:26" x14ac:dyDescent="0.2">
      <c r="Z41699" t="str">
        <f t="shared" si="651"/>
        <v/>
      </c>
    </row>
    <row r="41700" spans="26:26" x14ac:dyDescent="0.2">
      <c r="Z41700" t="str">
        <f t="shared" si="651"/>
        <v/>
      </c>
    </row>
    <row r="41701" spans="26:26" x14ac:dyDescent="0.2">
      <c r="Z41701" t="str">
        <f t="shared" si="651"/>
        <v/>
      </c>
    </row>
    <row r="41702" spans="26:26" x14ac:dyDescent="0.2">
      <c r="Z41702" t="str">
        <f t="shared" si="651"/>
        <v/>
      </c>
    </row>
    <row r="41703" spans="26:26" x14ac:dyDescent="0.2">
      <c r="Z41703" t="str">
        <f t="shared" si="651"/>
        <v/>
      </c>
    </row>
    <row r="41704" spans="26:26" x14ac:dyDescent="0.2">
      <c r="Z41704" t="str">
        <f t="shared" si="651"/>
        <v/>
      </c>
    </row>
    <row r="41705" spans="26:26" x14ac:dyDescent="0.2">
      <c r="Z41705" t="str">
        <f t="shared" si="651"/>
        <v/>
      </c>
    </row>
    <row r="41706" spans="26:26" x14ac:dyDescent="0.2">
      <c r="Z41706" t="str">
        <f t="shared" si="651"/>
        <v/>
      </c>
    </row>
    <row r="41707" spans="26:26" x14ac:dyDescent="0.2">
      <c r="Z41707" t="str">
        <f t="shared" si="651"/>
        <v/>
      </c>
    </row>
    <row r="41708" spans="26:26" x14ac:dyDescent="0.2">
      <c r="Z41708" t="str">
        <f t="shared" si="651"/>
        <v/>
      </c>
    </row>
    <row r="41709" spans="26:26" x14ac:dyDescent="0.2">
      <c r="Z41709" t="str">
        <f t="shared" si="651"/>
        <v/>
      </c>
    </row>
    <row r="41710" spans="26:26" x14ac:dyDescent="0.2">
      <c r="Z41710" t="str">
        <f t="shared" si="651"/>
        <v/>
      </c>
    </row>
    <row r="41711" spans="26:26" x14ac:dyDescent="0.2">
      <c r="Z41711" t="str">
        <f t="shared" si="651"/>
        <v/>
      </c>
    </row>
    <row r="41712" spans="26:26" x14ac:dyDescent="0.2">
      <c r="Z41712" t="str">
        <f t="shared" si="651"/>
        <v/>
      </c>
    </row>
    <row r="41713" spans="26:26" x14ac:dyDescent="0.2">
      <c r="Z41713" t="str">
        <f t="shared" si="651"/>
        <v/>
      </c>
    </row>
    <row r="41714" spans="26:26" x14ac:dyDescent="0.2">
      <c r="Z41714" t="str">
        <f t="shared" si="651"/>
        <v/>
      </c>
    </row>
    <row r="41715" spans="26:26" x14ac:dyDescent="0.2">
      <c r="Z41715" t="str">
        <f t="shared" si="651"/>
        <v/>
      </c>
    </row>
    <row r="41716" spans="26:26" x14ac:dyDescent="0.2">
      <c r="Z41716" t="str">
        <f t="shared" si="651"/>
        <v/>
      </c>
    </row>
    <row r="41717" spans="26:26" x14ac:dyDescent="0.2">
      <c r="Z41717" t="str">
        <f t="shared" si="651"/>
        <v/>
      </c>
    </row>
    <row r="41718" spans="26:26" x14ac:dyDescent="0.2">
      <c r="Z41718" t="str">
        <f t="shared" si="651"/>
        <v/>
      </c>
    </row>
    <row r="41719" spans="26:26" x14ac:dyDescent="0.2">
      <c r="Z41719" t="str">
        <f t="shared" si="651"/>
        <v/>
      </c>
    </row>
    <row r="41720" spans="26:26" x14ac:dyDescent="0.2">
      <c r="Z41720" t="str">
        <f t="shared" si="651"/>
        <v/>
      </c>
    </row>
    <row r="41721" spans="26:26" x14ac:dyDescent="0.2">
      <c r="Z41721" t="str">
        <f t="shared" si="651"/>
        <v/>
      </c>
    </row>
    <row r="41722" spans="26:26" x14ac:dyDescent="0.2">
      <c r="Z41722" t="str">
        <f t="shared" si="651"/>
        <v/>
      </c>
    </row>
    <row r="41723" spans="26:26" x14ac:dyDescent="0.2">
      <c r="Z41723" t="str">
        <f t="shared" si="651"/>
        <v/>
      </c>
    </row>
    <row r="41724" spans="26:26" x14ac:dyDescent="0.2">
      <c r="Z41724" t="str">
        <f t="shared" si="651"/>
        <v/>
      </c>
    </row>
    <row r="41725" spans="26:26" x14ac:dyDescent="0.2">
      <c r="Z41725" t="str">
        <f t="shared" si="651"/>
        <v/>
      </c>
    </row>
    <row r="41726" spans="26:26" x14ac:dyDescent="0.2">
      <c r="Z41726" t="str">
        <f t="shared" si="651"/>
        <v/>
      </c>
    </row>
    <row r="41727" spans="26:26" x14ac:dyDescent="0.2">
      <c r="Z41727" t="str">
        <f t="shared" si="651"/>
        <v/>
      </c>
    </row>
    <row r="41728" spans="26:26" x14ac:dyDescent="0.2">
      <c r="Z41728" t="str">
        <f t="shared" si="651"/>
        <v/>
      </c>
    </row>
    <row r="41729" spans="26:26" x14ac:dyDescent="0.2">
      <c r="Z41729" t="str">
        <f t="shared" si="651"/>
        <v/>
      </c>
    </row>
    <row r="41730" spans="26:26" x14ac:dyDescent="0.2">
      <c r="Z41730" t="str">
        <f t="shared" si="651"/>
        <v/>
      </c>
    </row>
    <row r="41731" spans="26:26" x14ac:dyDescent="0.2">
      <c r="Z41731" t="str">
        <f t="shared" ref="Z41731:Z41794" si="652">IF(K41731="","",IFERROR(VALUE(TRIM(MID(K41731,FIND(CHAR(167),SUBSTITUTE(K41731,"-",CHAR(167),LEN(K41731)-LEN(SUBSTITUTE(K41731,"-",""))))+1,100))),K41731))</f>
        <v/>
      </c>
    </row>
    <row r="41732" spans="26:26" x14ac:dyDescent="0.2">
      <c r="Z41732" t="str">
        <f t="shared" si="652"/>
        <v/>
      </c>
    </row>
    <row r="41733" spans="26:26" x14ac:dyDescent="0.2">
      <c r="Z41733" t="str">
        <f t="shared" si="652"/>
        <v/>
      </c>
    </row>
    <row r="41734" spans="26:26" x14ac:dyDescent="0.2">
      <c r="Z41734" t="str">
        <f t="shared" si="652"/>
        <v/>
      </c>
    </row>
    <row r="41735" spans="26:26" x14ac:dyDescent="0.2">
      <c r="Z41735" t="str">
        <f t="shared" si="652"/>
        <v/>
      </c>
    </row>
    <row r="41736" spans="26:26" x14ac:dyDescent="0.2">
      <c r="Z41736" t="str">
        <f t="shared" si="652"/>
        <v/>
      </c>
    </row>
    <row r="41737" spans="26:26" x14ac:dyDescent="0.2">
      <c r="Z41737" t="str">
        <f t="shared" si="652"/>
        <v/>
      </c>
    </row>
    <row r="41738" spans="26:26" x14ac:dyDescent="0.2">
      <c r="Z41738" t="str">
        <f t="shared" si="652"/>
        <v/>
      </c>
    </row>
    <row r="41739" spans="26:26" x14ac:dyDescent="0.2">
      <c r="Z41739" t="str">
        <f t="shared" si="652"/>
        <v/>
      </c>
    </row>
    <row r="41740" spans="26:26" x14ac:dyDescent="0.2">
      <c r="Z41740" t="str">
        <f t="shared" si="652"/>
        <v/>
      </c>
    </row>
    <row r="41741" spans="26:26" x14ac:dyDescent="0.2">
      <c r="Z41741" t="str">
        <f t="shared" si="652"/>
        <v/>
      </c>
    </row>
    <row r="41742" spans="26:26" x14ac:dyDescent="0.2">
      <c r="Z41742" t="str">
        <f t="shared" si="652"/>
        <v/>
      </c>
    </row>
    <row r="41743" spans="26:26" x14ac:dyDescent="0.2">
      <c r="Z41743" t="str">
        <f t="shared" si="652"/>
        <v/>
      </c>
    </row>
    <row r="41744" spans="26:26" x14ac:dyDescent="0.2">
      <c r="Z41744" t="str">
        <f t="shared" si="652"/>
        <v/>
      </c>
    </row>
    <row r="41745" spans="26:26" x14ac:dyDescent="0.2">
      <c r="Z41745" t="str">
        <f t="shared" si="652"/>
        <v/>
      </c>
    </row>
    <row r="41746" spans="26:26" x14ac:dyDescent="0.2">
      <c r="Z41746" t="str">
        <f t="shared" si="652"/>
        <v/>
      </c>
    </row>
    <row r="41747" spans="26:26" x14ac:dyDescent="0.2">
      <c r="Z41747" t="str">
        <f t="shared" si="652"/>
        <v/>
      </c>
    </row>
    <row r="41748" spans="26:26" x14ac:dyDescent="0.2">
      <c r="Z41748" t="str">
        <f t="shared" si="652"/>
        <v/>
      </c>
    </row>
    <row r="41749" spans="26:26" x14ac:dyDescent="0.2">
      <c r="Z41749" t="str">
        <f t="shared" si="652"/>
        <v/>
      </c>
    </row>
    <row r="41750" spans="26:26" x14ac:dyDescent="0.2">
      <c r="Z41750" t="str">
        <f t="shared" si="652"/>
        <v/>
      </c>
    </row>
    <row r="41751" spans="26:26" x14ac:dyDescent="0.2">
      <c r="Z41751" t="str">
        <f t="shared" si="652"/>
        <v/>
      </c>
    </row>
    <row r="41752" spans="26:26" x14ac:dyDescent="0.2">
      <c r="Z41752" t="str">
        <f t="shared" si="652"/>
        <v/>
      </c>
    </row>
    <row r="41753" spans="26:26" x14ac:dyDescent="0.2">
      <c r="Z41753" t="str">
        <f t="shared" si="652"/>
        <v/>
      </c>
    </row>
    <row r="41754" spans="26:26" x14ac:dyDescent="0.2">
      <c r="Z41754" t="str">
        <f t="shared" si="652"/>
        <v/>
      </c>
    </row>
    <row r="41755" spans="26:26" x14ac:dyDescent="0.2">
      <c r="Z41755" t="str">
        <f t="shared" si="652"/>
        <v/>
      </c>
    </row>
    <row r="41756" spans="26:26" x14ac:dyDescent="0.2">
      <c r="Z41756" t="str">
        <f t="shared" si="652"/>
        <v/>
      </c>
    </row>
    <row r="41757" spans="26:26" x14ac:dyDescent="0.2">
      <c r="Z41757" t="str">
        <f t="shared" si="652"/>
        <v/>
      </c>
    </row>
    <row r="41758" spans="26:26" x14ac:dyDescent="0.2">
      <c r="Z41758" t="str">
        <f t="shared" si="652"/>
        <v/>
      </c>
    </row>
    <row r="41759" spans="26:26" x14ac:dyDescent="0.2">
      <c r="Z41759" t="str">
        <f t="shared" si="652"/>
        <v/>
      </c>
    </row>
    <row r="41760" spans="26:26" x14ac:dyDescent="0.2">
      <c r="Z41760" t="str">
        <f t="shared" si="652"/>
        <v/>
      </c>
    </row>
    <row r="41761" spans="26:26" x14ac:dyDescent="0.2">
      <c r="Z41761" t="str">
        <f t="shared" si="652"/>
        <v/>
      </c>
    </row>
    <row r="41762" spans="26:26" x14ac:dyDescent="0.2">
      <c r="Z41762" t="str">
        <f t="shared" si="652"/>
        <v/>
      </c>
    </row>
    <row r="41763" spans="26:26" x14ac:dyDescent="0.2">
      <c r="Z41763" t="str">
        <f t="shared" si="652"/>
        <v/>
      </c>
    </row>
    <row r="41764" spans="26:26" x14ac:dyDescent="0.2">
      <c r="Z41764" t="str">
        <f t="shared" si="652"/>
        <v/>
      </c>
    </row>
    <row r="41765" spans="26:26" x14ac:dyDescent="0.2">
      <c r="Z41765" t="str">
        <f t="shared" si="652"/>
        <v/>
      </c>
    </row>
    <row r="41766" spans="26:26" x14ac:dyDescent="0.2">
      <c r="Z41766" t="str">
        <f t="shared" si="652"/>
        <v/>
      </c>
    </row>
    <row r="41767" spans="26:26" x14ac:dyDescent="0.2">
      <c r="Z41767" t="str">
        <f t="shared" si="652"/>
        <v/>
      </c>
    </row>
    <row r="41768" spans="26:26" x14ac:dyDescent="0.2">
      <c r="Z41768" t="str">
        <f t="shared" si="652"/>
        <v/>
      </c>
    </row>
    <row r="41769" spans="26:26" x14ac:dyDescent="0.2">
      <c r="Z41769" t="str">
        <f t="shared" si="652"/>
        <v/>
      </c>
    </row>
    <row r="41770" spans="26:26" x14ac:dyDescent="0.2">
      <c r="Z41770" t="str">
        <f t="shared" si="652"/>
        <v/>
      </c>
    </row>
    <row r="41771" spans="26:26" x14ac:dyDescent="0.2">
      <c r="Z41771" t="str">
        <f t="shared" si="652"/>
        <v/>
      </c>
    </row>
    <row r="41772" spans="26:26" x14ac:dyDescent="0.2">
      <c r="Z41772" t="str">
        <f t="shared" si="652"/>
        <v/>
      </c>
    </row>
    <row r="41773" spans="26:26" x14ac:dyDescent="0.2">
      <c r="Z41773" t="str">
        <f t="shared" si="652"/>
        <v/>
      </c>
    </row>
    <row r="41774" spans="26:26" x14ac:dyDescent="0.2">
      <c r="Z41774" t="str">
        <f t="shared" si="652"/>
        <v/>
      </c>
    </row>
    <row r="41775" spans="26:26" x14ac:dyDescent="0.2">
      <c r="Z41775" t="str">
        <f t="shared" si="652"/>
        <v/>
      </c>
    </row>
    <row r="41776" spans="26:26" x14ac:dyDescent="0.2">
      <c r="Z41776" t="str">
        <f t="shared" si="652"/>
        <v/>
      </c>
    </row>
    <row r="41777" spans="26:26" x14ac:dyDescent="0.2">
      <c r="Z41777" t="str">
        <f t="shared" si="652"/>
        <v/>
      </c>
    </row>
    <row r="41778" spans="26:26" x14ac:dyDescent="0.2">
      <c r="Z41778" t="str">
        <f t="shared" si="652"/>
        <v/>
      </c>
    </row>
    <row r="41779" spans="26:26" x14ac:dyDescent="0.2">
      <c r="Z41779" t="str">
        <f t="shared" si="652"/>
        <v/>
      </c>
    </row>
    <row r="41780" spans="26:26" x14ac:dyDescent="0.2">
      <c r="Z41780" t="str">
        <f t="shared" si="652"/>
        <v/>
      </c>
    </row>
    <row r="41781" spans="26:26" x14ac:dyDescent="0.2">
      <c r="Z41781" t="str">
        <f t="shared" si="652"/>
        <v/>
      </c>
    </row>
    <row r="41782" spans="26:26" x14ac:dyDescent="0.2">
      <c r="Z41782" t="str">
        <f t="shared" si="652"/>
        <v/>
      </c>
    </row>
    <row r="41783" spans="26:26" x14ac:dyDescent="0.2">
      <c r="Z41783" t="str">
        <f t="shared" si="652"/>
        <v/>
      </c>
    </row>
    <row r="41784" spans="26:26" x14ac:dyDescent="0.2">
      <c r="Z41784" t="str">
        <f t="shared" si="652"/>
        <v/>
      </c>
    </row>
    <row r="41785" spans="26:26" x14ac:dyDescent="0.2">
      <c r="Z41785" t="str">
        <f t="shared" si="652"/>
        <v/>
      </c>
    </row>
    <row r="41786" spans="26:26" x14ac:dyDescent="0.2">
      <c r="Z41786" t="str">
        <f t="shared" si="652"/>
        <v/>
      </c>
    </row>
    <row r="41787" spans="26:26" x14ac:dyDescent="0.2">
      <c r="Z41787" t="str">
        <f t="shared" si="652"/>
        <v/>
      </c>
    </row>
    <row r="41788" spans="26:26" x14ac:dyDescent="0.2">
      <c r="Z41788" t="str">
        <f t="shared" si="652"/>
        <v/>
      </c>
    </row>
    <row r="41789" spans="26:26" x14ac:dyDescent="0.2">
      <c r="Z41789" t="str">
        <f t="shared" si="652"/>
        <v/>
      </c>
    </row>
    <row r="41790" spans="26:26" x14ac:dyDescent="0.2">
      <c r="Z41790" t="str">
        <f t="shared" si="652"/>
        <v/>
      </c>
    </row>
    <row r="41791" spans="26:26" x14ac:dyDescent="0.2">
      <c r="Z41791" t="str">
        <f t="shared" si="652"/>
        <v/>
      </c>
    </row>
    <row r="41792" spans="26:26" x14ac:dyDescent="0.2">
      <c r="Z41792" t="str">
        <f t="shared" si="652"/>
        <v/>
      </c>
    </row>
    <row r="41793" spans="26:26" x14ac:dyDescent="0.2">
      <c r="Z41793" t="str">
        <f t="shared" si="652"/>
        <v/>
      </c>
    </row>
    <row r="41794" spans="26:26" x14ac:dyDescent="0.2">
      <c r="Z41794" t="str">
        <f t="shared" si="652"/>
        <v/>
      </c>
    </row>
    <row r="41795" spans="26:26" x14ac:dyDescent="0.2">
      <c r="Z41795" t="str">
        <f t="shared" ref="Z41795:Z41858" si="653">IF(K41795="","",IFERROR(VALUE(TRIM(MID(K41795,FIND(CHAR(167),SUBSTITUTE(K41795,"-",CHAR(167),LEN(K41795)-LEN(SUBSTITUTE(K41795,"-",""))))+1,100))),K41795))</f>
        <v/>
      </c>
    </row>
    <row r="41796" spans="26:26" x14ac:dyDescent="0.2">
      <c r="Z41796" t="str">
        <f t="shared" si="653"/>
        <v/>
      </c>
    </row>
    <row r="41797" spans="26:26" x14ac:dyDescent="0.2">
      <c r="Z41797" t="str">
        <f t="shared" si="653"/>
        <v/>
      </c>
    </row>
    <row r="41798" spans="26:26" x14ac:dyDescent="0.2">
      <c r="Z41798" t="str">
        <f t="shared" si="653"/>
        <v/>
      </c>
    </row>
    <row r="41799" spans="26:26" x14ac:dyDescent="0.2">
      <c r="Z41799" t="str">
        <f t="shared" si="653"/>
        <v/>
      </c>
    </row>
    <row r="41800" spans="26:26" x14ac:dyDescent="0.2">
      <c r="Z41800" t="str">
        <f t="shared" si="653"/>
        <v/>
      </c>
    </row>
    <row r="41801" spans="26:26" x14ac:dyDescent="0.2">
      <c r="Z41801" t="str">
        <f t="shared" si="653"/>
        <v/>
      </c>
    </row>
    <row r="41802" spans="26:26" x14ac:dyDescent="0.2">
      <c r="Z41802" t="str">
        <f t="shared" si="653"/>
        <v/>
      </c>
    </row>
    <row r="41803" spans="26:26" x14ac:dyDescent="0.2">
      <c r="Z41803" t="str">
        <f t="shared" si="653"/>
        <v/>
      </c>
    </row>
    <row r="41804" spans="26:26" x14ac:dyDescent="0.2">
      <c r="Z41804" t="str">
        <f t="shared" si="653"/>
        <v/>
      </c>
    </row>
    <row r="41805" spans="26:26" x14ac:dyDescent="0.2">
      <c r="Z41805" t="str">
        <f t="shared" si="653"/>
        <v/>
      </c>
    </row>
    <row r="41806" spans="26:26" x14ac:dyDescent="0.2">
      <c r="Z41806" t="str">
        <f t="shared" si="653"/>
        <v/>
      </c>
    </row>
    <row r="41807" spans="26:26" x14ac:dyDescent="0.2">
      <c r="Z41807" t="str">
        <f t="shared" si="653"/>
        <v/>
      </c>
    </row>
    <row r="41808" spans="26:26" x14ac:dyDescent="0.2">
      <c r="Z41808" t="str">
        <f t="shared" si="653"/>
        <v/>
      </c>
    </row>
    <row r="41809" spans="26:26" x14ac:dyDescent="0.2">
      <c r="Z41809" t="str">
        <f t="shared" si="653"/>
        <v/>
      </c>
    </row>
    <row r="41810" spans="26:26" x14ac:dyDescent="0.2">
      <c r="Z41810" t="str">
        <f t="shared" si="653"/>
        <v/>
      </c>
    </row>
    <row r="41811" spans="26:26" x14ac:dyDescent="0.2">
      <c r="Z41811" t="str">
        <f t="shared" si="653"/>
        <v/>
      </c>
    </row>
    <row r="41812" spans="26:26" x14ac:dyDescent="0.2">
      <c r="Z41812" t="str">
        <f t="shared" si="653"/>
        <v/>
      </c>
    </row>
    <row r="41813" spans="26:26" x14ac:dyDescent="0.2">
      <c r="Z41813" t="str">
        <f t="shared" si="653"/>
        <v/>
      </c>
    </row>
    <row r="41814" spans="26:26" x14ac:dyDescent="0.2">
      <c r="Z41814" t="str">
        <f t="shared" si="653"/>
        <v/>
      </c>
    </row>
    <row r="41815" spans="26:26" x14ac:dyDescent="0.2">
      <c r="Z41815" t="str">
        <f t="shared" si="653"/>
        <v/>
      </c>
    </row>
    <row r="41816" spans="26:26" x14ac:dyDescent="0.2">
      <c r="Z41816" t="str">
        <f t="shared" si="653"/>
        <v/>
      </c>
    </row>
    <row r="41817" spans="26:26" x14ac:dyDescent="0.2">
      <c r="Z41817" t="str">
        <f t="shared" si="653"/>
        <v/>
      </c>
    </row>
    <row r="41818" spans="26:26" x14ac:dyDescent="0.2">
      <c r="Z41818" t="str">
        <f t="shared" si="653"/>
        <v/>
      </c>
    </row>
    <row r="41819" spans="26:26" x14ac:dyDescent="0.2">
      <c r="Z41819" t="str">
        <f t="shared" si="653"/>
        <v/>
      </c>
    </row>
    <row r="41820" spans="26:26" x14ac:dyDescent="0.2">
      <c r="Z41820" t="str">
        <f t="shared" si="653"/>
        <v/>
      </c>
    </row>
    <row r="41821" spans="26:26" x14ac:dyDescent="0.2">
      <c r="Z41821" t="str">
        <f t="shared" si="653"/>
        <v/>
      </c>
    </row>
    <row r="41822" spans="26:26" x14ac:dyDescent="0.2">
      <c r="Z41822" t="str">
        <f t="shared" si="653"/>
        <v/>
      </c>
    </row>
    <row r="41823" spans="26:26" x14ac:dyDescent="0.2">
      <c r="Z41823" t="str">
        <f t="shared" si="653"/>
        <v/>
      </c>
    </row>
    <row r="41824" spans="26:26" x14ac:dyDescent="0.2">
      <c r="Z41824" t="str">
        <f t="shared" si="653"/>
        <v/>
      </c>
    </row>
    <row r="41825" spans="26:26" x14ac:dyDescent="0.2">
      <c r="Z41825" t="str">
        <f t="shared" si="653"/>
        <v/>
      </c>
    </row>
    <row r="41826" spans="26:26" x14ac:dyDescent="0.2">
      <c r="Z41826" t="str">
        <f t="shared" si="653"/>
        <v/>
      </c>
    </row>
    <row r="41827" spans="26:26" x14ac:dyDescent="0.2">
      <c r="Z41827" t="str">
        <f t="shared" si="653"/>
        <v/>
      </c>
    </row>
    <row r="41828" spans="26:26" x14ac:dyDescent="0.2">
      <c r="Z41828" t="str">
        <f t="shared" si="653"/>
        <v/>
      </c>
    </row>
    <row r="41829" spans="26:26" x14ac:dyDescent="0.2">
      <c r="Z41829" t="str">
        <f t="shared" si="653"/>
        <v/>
      </c>
    </row>
    <row r="41830" spans="26:26" x14ac:dyDescent="0.2">
      <c r="Z41830" t="str">
        <f t="shared" si="653"/>
        <v/>
      </c>
    </row>
    <row r="41831" spans="26:26" x14ac:dyDescent="0.2">
      <c r="Z41831" t="str">
        <f t="shared" si="653"/>
        <v/>
      </c>
    </row>
    <row r="41832" spans="26:26" x14ac:dyDescent="0.2">
      <c r="Z41832" t="str">
        <f t="shared" si="653"/>
        <v/>
      </c>
    </row>
    <row r="41833" spans="26:26" x14ac:dyDescent="0.2">
      <c r="Z41833" t="str">
        <f t="shared" si="653"/>
        <v/>
      </c>
    </row>
    <row r="41834" spans="26:26" x14ac:dyDescent="0.2">
      <c r="Z41834" t="str">
        <f t="shared" si="653"/>
        <v/>
      </c>
    </row>
    <row r="41835" spans="26:26" x14ac:dyDescent="0.2">
      <c r="Z41835" t="str">
        <f t="shared" si="653"/>
        <v/>
      </c>
    </row>
    <row r="41836" spans="26:26" x14ac:dyDescent="0.2">
      <c r="Z41836" t="str">
        <f t="shared" si="653"/>
        <v/>
      </c>
    </row>
    <row r="41837" spans="26:26" x14ac:dyDescent="0.2">
      <c r="Z41837" t="str">
        <f t="shared" si="653"/>
        <v/>
      </c>
    </row>
    <row r="41838" spans="26:26" x14ac:dyDescent="0.2">
      <c r="Z41838" t="str">
        <f t="shared" si="653"/>
        <v/>
      </c>
    </row>
    <row r="41839" spans="26:26" x14ac:dyDescent="0.2">
      <c r="Z41839" t="str">
        <f t="shared" si="653"/>
        <v/>
      </c>
    </row>
    <row r="41840" spans="26:26" x14ac:dyDescent="0.2">
      <c r="Z41840" t="str">
        <f t="shared" si="653"/>
        <v/>
      </c>
    </row>
    <row r="41841" spans="26:26" x14ac:dyDescent="0.2">
      <c r="Z41841" t="str">
        <f t="shared" si="653"/>
        <v/>
      </c>
    </row>
    <row r="41842" spans="26:26" x14ac:dyDescent="0.2">
      <c r="Z41842" t="str">
        <f t="shared" si="653"/>
        <v/>
      </c>
    </row>
    <row r="41843" spans="26:26" x14ac:dyDescent="0.2">
      <c r="Z41843" t="str">
        <f t="shared" si="653"/>
        <v/>
      </c>
    </row>
    <row r="41844" spans="26:26" x14ac:dyDescent="0.2">
      <c r="Z41844" t="str">
        <f t="shared" si="653"/>
        <v/>
      </c>
    </row>
    <row r="41845" spans="26:26" x14ac:dyDescent="0.2">
      <c r="Z41845" t="str">
        <f t="shared" si="653"/>
        <v/>
      </c>
    </row>
    <row r="41846" spans="26:26" x14ac:dyDescent="0.2">
      <c r="Z41846" t="str">
        <f t="shared" si="653"/>
        <v/>
      </c>
    </row>
    <row r="41847" spans="26:26" x14ac:dyDescent="0.2">
      <c r="Z41847" t="str">
        <f t="shared" si="653"/>
        <v/>
      </c>
    </row>
    <row r="41848" spans="26:26" x14ac:dyDescent="0.2">
      <c r="Z41848" t="str">
        <f t="shared" si="653"/>
        <v/>
      </c>
    </row>
    <row r="41849" spans="26:26" x14ac:dyDescent="0.2">
      <c r="Z41849" t="str">
        <f t="shared" si="653"/>
        <v/>
      </c>
    </row>
    <row r="41850" spans="26:26" x14ac:dyDescent="0.2">
      <c r="Z41850" t="str">
        <f t="shared" si="653"/>
        <v/>
      </c>
    </row>
    <row r="41851" spans="26:26" x14ac:dyDescent="0.2">
      <c r="Z41851" t="str">
        <f t="shared" si="653"/>
        <v/>
      </c>
    </row>
    <row r="41852" spans="26:26" x14ac:dyDescent="0.2">
      <c r="Z41852" t="str">
        <f t="shared" si="653"/>
        <v/>
      </c>
    </row>
    <row r="41853" spans="26:26" x14ac:dyDescent="0.2">
      <c r="Z41853" t="str">
        <f t="shared" si="653"/>
        <v/>
      </c>
    </row>
    <row r="41854" spans="26:26" x14ac:dyDescent="0.2">
      <c r="Z41854" t="str">
        <f t="shared" si="653"/>
        <v/>
      </c>
    </row>
    <row r="41855" spans="26:26" x14ac:dyDescent="0.2">
      <c r="Z41855" t="str">
        <f t="shared" si="653"/>
        <v/>
      </c>
    </row>
    <row r="41856" spans="26:26" x14ac:dyDescent="0.2">
      <c r="Z41856" t="str">
        <f t="shared" si="653"/>
        <v/>
      </c>
    </row>
    <row r="41857" spans="26:26" x14ac:dyDescent="0.2">
      <c r="Z41857" t="str">
        <f t="shared" si="653"/>
        <v/>
      </c>
    </row>
    <row r="41858" spans="26:26" x14ac:dyDescent="0.2">
      <c r="Z41858" t="str">
        <f t="shared" si="653"/>
        <v/>
      </c>
    </row>
    <row r="41859" spans="26:26" x14ac:dyDescent="0.2">
      <c r="Z41859" t="str">
        <f t="shared" ref="Z41859:Z41922" si="654">IF(K41859="","",IFERROR(VALUE(TRIM(MID(K41859,FIND(CHAR(167),SUBSTITUTE(K41859,"-",CHAR(167),LEN(K41859)-LEN(SUBSTITUTE(K41859,"-",""))))+1,100))),K41859))</f>
        <v/>
      </c>
    </row>
    <row r="41860" spans="26:26" x14ac:dyDescent="0.2">
      <c r="Z41860" t="str">
        <f t="shared" si="654"/>
        <v/>
      </c>
    </row>
    <row r="41861" spans="26:26" x14ac:dyDescent="0.2">
      <c r="Z41861" t="str">
        <f t="shared" si="654"/>
        <v/>
      </c>
    </row>
    <row r="41862" spans="26:26" x14ac:dyDescent="0.2">
      <c r="Z41862" t="str">
        <f t="shared" si="654"/>
        <v/>
      </c>
    </row>
    <row r="41863" spans="26:26" x14ac:dyDescent="0.2">
      <c r="Z41863" t="str">
        <f t="shared" si="654"/>
        <v/>
      </c>
    </row>
    <row r="41864" spans="26:26" x14ac:dyDescent="0.2">
      <c r="Z41864" t="str">
        <f t="shared" si="654"/>
        <v/>
      </c>
    </row>
    <row r="41865" spans="26:26" x14ac:dyDescent="0.2">
      <c r="Z41865" t="str">
        <f t="shared" si="654"/>
        <v/>
      </c>
    </row>
    <row r="41866" spans="26:26" x14ac:dyDescent="0.2">
      <c r="Z41866" t="str">
        <f t="shared" si="654"/>
        <v/>
      </c>
    </row>
    <row r="41867" spans="26:26" x14ac:dyDescent="0.2">
      <c r="Z41867" t="str">
        <f t="shared" si="654"/>
        <v/>
      </c>
    </row>
    <row r="41868" spans="26:26" x14ac:dyDescent="0.2">
      <c r="Z41868" t="str">
        <f t="shared" si="654"/>
        <v/>
      </c>
    </row>
    <row r="41869" spans="26:26" x14ac:dyDescent="0.2">
      <c r="Z41869" t="str">
        <f t="shared" si="654"/>
        <v/>
      </c>
    </row>
    <row r="41870" spans="26:26" x14ac:dyDescent="0.2">
      <c r="Z41870" t="str">
        <f t="shared" si="654"/>
        <v/>
      </c>
    </row>
    <row r="41871" spans="26:26" x14ac:dyDescent="0.2">
      <c r="Z41871" t="str">
        <f t="shared" si="654"/>
        <v/>
      </c>
    </row>
    <row r="41872" spans="26:26" x14ac:dyDescent="0.2">
      <c r="Z41872" t="str">
        <f t="shared" si="654"/>
        <v/>
      </c>
    </row>
    <row r="41873" spans="26:26" x14ac:dyDescent="0.2">
      <c r="Z41873" t="str">
        <f t="shared" si="654"/>
        <v/>
      </c>
    </row>
    <row r="41874" spans="26:26" x14ac:dyDescent="0.2">
      <c r="Z41874" t="str">
        <f t="shared" si="654"/>
        <v/>
      </c>
    </row>
    <row r="41875" spans="26:26" x14ac:dyDescent="0.2">
      <c r="Z41875" t="str">
        <f t="shared" si="654"/>
        <v/>
      </c>
    </row>
    <row r="41876" spans="26:26" x14ac:dyDescent="0.2">
      <c r="Z41876" t="str">
        <f t="shared" si="654"/>
        <v/>
      </c>
    </row>
    <row r="41877" spans="26:26" x14ac:dyDescent="0.2">
      <c r="Z41877" t="str">
        <f t="shared" si="654"/>
        <v/>
      </c>
    </row>
    <row r="41878" spans="26:26" x14ac:dyDescent="0.2">
      <c r="Z41878" t="str">
        <f t="shared" si="654"/>
        <v/>
      </c>
    </row>
    <row r="41879" spans="26:26" x14ac:dyDescent="0.2">
      <c r="Z41879" t="str">
        <f t="shared" si="654"/>
        <v/>
      </c>
    </row>
    <row r="41880" spans="26:26" x14ac:dyDescent="0.2">
      <c r="Z41880" t="str">
        <f t="shared" si="654"/>
        <v/>
      </c>
    </row>
    <row r="41881" spans="26:26" x14ac:dyDescent="0.2">
      <c r="Z41881" t="str">
        <f t="shared" si="654"/>
        <v/>
      </c>
    </row>
    <row r="41882" spans="26:26" x14ac:dyDescent="0.2">
      <c r="Z41882" t="str">
        <f t="shared" si="654"/>
        <v/>
      </c>
    </row>
    <row r="41883" spans="26:26" x14ac:dyDescent="0.2">
      <c r="Z41883" t="str">
        <f t="shared" si="654"/>
        <v/>
      </c>
    </row>
    <row r="41884" spans="26:26" x14ac:dyDescent="0.2">
      <c r="Z41884" t="str">
        <f t="shared" si="654"/>
        <v/>
      </c>
    </row>
    <row r="41885" spans="26:26" x14ac:dyDescent="0.2">
      <c r="Z41885" t="str">
        <f t="shared" si="654"/>
        <v/>
      </c>
    </row>
    <row r="41886" spans="26:26" x14ac:dyDescent="0.2">
      <c r="Z41886" t="str">
        <f t="shared" si="654"/>
        <v/>
      </c>
    </row>
    <row r="41887" spans="26:26" x14ac:dyDescent="0.2">
      <c r="Z41887" t="str">
        <f t="shared" si="654"/>
        <v/>
      </c>
    </row>
    <row r="41888" spans="26:26" x14ac:dyDescent="0.2">
      <c r="Z41888" t="str">
        <f t="shared" si="654"/>
        <v/>
      </c>
    </row>
    <row r="41889" spans="26:26" x14ac:dyDescent="0.2">
      <c r="Z41889" t="str">
        <f t="shared" si="654"/>
        <v/>
      </c>
    </row>
    <row r="41890" spans="26:26" x14ac:dyDescent="0.2">
      <c r="Z41890" t="str">
        <f t="shared" si="654"/>
        <v/>
      </c>
    </row>
    <row r="41891" spans="26:26" x14ac:dyDescent="0.2">
      <c r="Z41891" t="str">
        <f t="shared" si="654"/>
        <v/>
      </c>
    </row>
    <row r="41892" spans="26:26" x14ac:dyDescent="0.2">
      <c r="Z41892" t="str">
        <f t="shared" si="654"/>
        <v/>
      </c>
    </row>
    <row r="41893" spans="26:26" x14ac:dyDescent="0.2">
      <c r="Z41893" t="str">
        <f t="shared" si="654"/>
        <v/>
      </c>
    </row>
    <row r="41894" spans="26:26" x14ac:dyDescent="0.2">
      <c r="Z41894" t="str">
        <f t="shared" si="654"/>
        <v/>
      </c>
    </row>
    <row r="41895" spans="26:26" x14ac:dyDescent="0.2">
      <c r="Z41895" t="str">
        <f t="shared" si="654"/>
        <v/>
      </c>
    </row>
    <row r="41896" spans="26:26" x14ac:dyDescent="0.2">
      <c r="Z41896" t="str">
        <f t="shared" si="654"/>
        <v/>
      </c>
    </row>
    <row r="41897" spans="26:26" x14ac:dyDescent="0.2">
      <c r="Z41897" t="str">
        <f t="shared" si="654"/>
        <v/>
      </c>
    </row>
    <row r="41898" spans="26:26" x14ac:dyDescent="0.2">
      <c r="Z41898" t="str">
        <f t="shared" si="654"/>
        <v/>
      </c>
    </row>
    <row r="41899" spans="26:26" x14ac:dyDescent="0.2">
      <c r="Z41899" t="str">
        <f t="shared" si="654"/>
        <v/>
      </c>
    </row>
    <row r="41900" spans="26:26" x14ac:dyDescent="0.2">
      <c r="Z41900" t="str">
        <f t="shared" si="654"/>
        <v/>
      </c>
    </row>
    <row r="41901" spans="26:26" x14ac:dyDescent="0.2">
      <c r="Z41901" t="str">
        <f t="shared" si="654"/>
        <v/>
      </c>
    </row>
    <row r="41902" spans="26:26" x14ac:dyDescent="0.2">
      <c r="Z41902" t="str">
        <f t="shared" si="654"/>
        <v/>
      </c>
    </row>
    <row r="41903" spans="26:26" x14ac:dyDescent="0.2">
      <c r="Z41903" t="str">
        <f t="shared" si="654"/>
        <v/>
      </c>
    </row>
    <row r="41904" spans="26:26" x14ac:dyDescent="0.2">
      <c r="Z41904" t="str">
        <f t="shared" si="654"/>
        <v/>
      </c>
    </row>
    <row r="41905" spans="26:26" x14ac:dyDescent="0.2">
      <c r="Z41905" t="str">
        <f t="shared" si="654"/>
        <v/>
      </c>
    </row>
    <row r="41906" spans="26:26" x14ac:dyDescent="0.2">
      <c r="Z41906" t="str">
        <f t="shared" si="654"/>
        <v/>
      </c>
    </row>
    <row r="41907" spans="26:26" x14ac:dyDescent="0.2">
      <c r="Z41907" t="str">
        <f t="shared" si="654"/>
        <v/>
      </c>
    </row>
    <row r="41908" spans="26:26" x14ac:dyDescent="0.2">
      <c r="Z41908" t="str">
        <f t="shared" si="654"/>
        <v/>
      </c>
    </row>
    <row r="41909" spans="26:26" x14ac:dyDescent="0.2">
      <c r="Z41909" t="str">
        <f t="shared" si="654"/>
        <v/>
      </c>
    </row>
    <row r="41910" spans="26:26" x14ac:dyDescent="0.2">
      <c r="Z41910" t="str">
        <f t="shared" si="654"/>
        <v/>
      </c>
    </row>
    <row r="41911" spans="26:26" x14ac:dyDescent="0.2">
      <c r="Z41911" t="str">
        <f t="shared" si="654"/>
        <v/>
      </c>
    </row>
    <row r="41912" spans="26:26" x14ac:dyDescent="0.2">
      <c r="Z41912" t="str">
        <f t="shared" si="654"/>
        <v/>
      </c>
    </row>
    <row r="41913" spans="26:26" x14ac:dyDescent="0.2">
      <c r="Z41913" t="str">
        <f t="shared" si="654"/>
        <v/>
      </c>
    </row>
    <row r="41914" spans="26:26" x14ac:dyDescent="0.2">
      <c r="Z41914" t="str">
        <f t="shared" si="654"/>
        <v/>
      </c>
    </row>
    <row r="41915" spans="26:26" x14ac:dyDescent="0.2">
      <c r="Z41915" t="str">
        <f t="shared" si="654"/>
        <v/>
      </c>
    </row>
    <row r="41916" spans="26:26" x14ac:dyDescent="0.2">
      <c r="Z41916" t="str">
        <f t="shared" si="654"/>
        <v/>
      </c>
    </row>
    <row r="41917" spans="26:26" x14ac:dyDescent="0.2">
      <c r="Z41917" t="str">
        <f t="shared" si="654"/>
        <v/>
      </c>
    </row>
    <row r="41918" spans="26:26" x14ac:dyDescent="0.2">
      <c r="Z41918" t="str">
        <f t="shared" si="654"/>
        <v/>
      </c>
    </row>
    <row r="41919" spans="26:26" x14ac:dyDescent="0.2">
      <c r="Z41919" t="str">
        <f t="shared" si="654"/>
        <v/>
      </c>
    </row>
    <row r="41920" spans="26:26" x14ac:dyDescent="0.2">
      <c r="Z41920" t="str">
        <f t="shared" si="654"/>
        <v/>
      </c>
    </row>
    <row r="41921" spans="26:26" x14ac:dyDescent="0.2">
      <c r="Z41921" t="str">
        <f t="shared" si="654"/>
        <v/>
      </c>
    </row>
    <row r="41922" spans="26:26" x14ac:dyDescent="0.2">
      <c r="Z41922" t="str">
        <f t="shared" si="654"/>
        <v/>
      </c>
    </row>
    <row r="41923" spans="26:26" x14ac:dyDescent="0.2">
      <c r="Z41923" t="str">
        <f t="shared" ref="Z41923:Z41986" si="655">IF(K41923="","",IFERROR(VALUE(TRIM(MID(K41923,FIND(CHAR(167),SUBSTITUTE(K41923,"-",CHAR(167),LEN(K41923)-LEN(SUBSTITUTE(K41923,"-",""))))+1,100))),K41923))</f>
        <v/>
      </c>
    </row>
    <row r="41924" spans="26:26" x14ac:dyDescent="0.2">
      <c r="Z41924" t="str">
        <f t="shared" si="655"/>
        <v/>
      </c>
    </row>
    <row r="41925" spans="26:26" x14ac:dyDescent="0.2">
      <c r="Z41925" t="str">
        <f t="shared" si="655"/>
        <v/>
      </c>
    </row>
    <row r="41926" spans="26:26" x14ac:dyDescent="0.2">
      <c r="Z41926" t="str">
        <f t="shared" si="655"/>
        <v/>
      </c>
    </row>
    <row r="41927" spans="26:26" x14ac:dyDescent="0.2">
      <c r="Z41927" t="str">
        <f t="shared" si="655"/>
        <v/>
      </c>
    </row>
    <row r="41928" spans="26:26" x14ac:dyDescent="0.2">
      <c r="Z41928" t="str">
        <f t="shared" si="655"/>
        <v/>
      </c>
    </row>
    <row r="41929" spans="26:26" x14ac:dyDescent="0.2">
      <c r="Z41929" t="str">
        <f t="shared" si="655"/>
        <v/>
      </c>
    </row>
    <row r="41930" spans="26:26" x14ac:dyDescent="0.2">
      <c r="Z41930" t="str">
        <f t="shared" si="655"/>
        <v/>
      </c>
    </row>
    <row r="41931" spans="26:26" x14ac:dyDescent="0.2">
      <c r="Z41931" t="str">
        <f t="shared" si="655"/>
        <v/>
      </c>
    </row>
    <row r="41932" spans="26:26" x14ac:dyDescent="0.2">
      <c r="Z41932" t="str">
        <f t="shared" si="655"/>
        <v/>
      </c>
    </row>
    <row r="41933" spans="26:26" x14ac:dyDescent="0.2">
      <c r="Z41933" t="str">
        <f t="shared" si="655"/>
        <v/>
      </c>
    </row>
    <row r="41934" spans="26:26" x14ac:dyDescent="0.2">
      <c r="Z41934" t="str">
        <f t="shared" si="655"/>
        <v/>
      </c>
    </row>
    <row r="41935" spans="26:26" x14ac:dyDescent="0.2">
      <c r="Z41935" t="str">
        <f t="shared" si="655"/>
        <v/>
      </c>
    </row>
    <row r="41936" spans="26:26" x14ac:dyDescent="0.2">
      <c r="Z41936" t="str">
        <f t="shared" si="655"/>
        <v/>
      </c>
    </row>
    <row r="41937" spans="26:26" x14ac:dyDescent="0.2">
      <c r="Z41937" t="str">
        <f t="shared" si="655"/>
        <v/>
      </c>
    </row>
    <row r="41938" spans="26:26" x14ac:dyDescent="0.2">
      <c r="Z41938" t="str">
        <f t="shared" si="655"/>
        <v/>
      </c>
    </row>
    <row r="41939" spans="26:26" x14ac:dyDescent="0.2">
      <c r="Z41939" t="str">
        <f t="shared" si="655"/>
        <v/>
      </c>
    </row>
    <row r="41940" spans="26:26" x14ac:dyDescent="0.2">
      <c r="Z41940" t="str">
        <f t="shared" si="655"/>
        <v/>
      </c>
    </row>
    <row r="41941" spans="26:26" x14ac:dyDescent="0.2">
      <c r="Z41941" t="str">
        <f t="shared" si="655"/>
        <v/>
      </c>
    </row>
    <row r="41942" spans="26:26" x14ac:dyDescent="0.2">
      <c r="Z41942" t="str">
        <f t="shared" si="655"/>
        <v/>
      </c>
    </row>
    <row r="41943" spans="26:26" x14ac:dyDescent="0.2">
      <c r="Z41943" t="str">
        <f t="shared" si="655"/>
        <v/>
      </c>
    </row>
    <row r="41944" spans="26:26" x14ac:dyDescent="0.2">
      <c r="Z41944" t="str">
        <f t="shared" si="655"/>
        <v/>
      </c>
    </row>
    <row r="41945" spans="26:26" x14ac:dyDescent="0.2">
      <c r="Z41945" t="str">
        <f t="shared" si="655"/>
        <v/>
      </c>
    </row>
    <row r="41946" spans="26:26" x14ac:dyDescent="0.2">
      <c r="Z41946" t="str">
        <f t="shared" si="655"/>
        <v/>
      </c>
    </row>
    <row r="41947" spans="26:26" x14ac:dyDescent="0.2">
      <c r="Z41947" t="str">
        <f t="shared" si="655"/>
        <v/>
      </c>
    </row>
    <row r="41948" spans="26:26" x14ac:dyDescent="0.2">
      <c r="Z41948" t="str">
        <f t="shared" si="655"/>
        <v/>
      </c>
    </row>
    <row r="41949" spans="26:26" x14ac:dyDescent="0.2">
      <c r="Z41949" t="str">
        <f t="shared" si="655"/>
        <v/>
      </c>
    </row>
    <row r="41950" spans="26:26" x14ac:dyDescent="0.2">
      <c r="Z41950" t="str">
        <f t="shared" si="655"/>
        <v/>
      </c>
    </row>
    <row r="41951" spans="26:26" x14ac:dyDescent="0.2">
      <c r="Z41951" t="str">
        <f t="shared" si="655"/>
        <v/>
      </c>
    </row>
    <row r="41952" spans="26:26" x14ac:dyDescent="0.2">
      <c r="Z41952" t="str">
        <f t="shared" si="655"/>
        <v/>
      </c>
    </row>
    <row r="41953" spans="26:26" x14ac:dyDescent="0.2">
      <c r="Z41953" t="str">
        <f t="shared" si="655"/>
        <v/>
      </c>
    </row>
    <row r="41954" spans="26:26" x14ac:dyDescent="0.2">
      <c r="Z41954" t="str">
        <f t="shared" si="655"/>
        <v/>
      </c>
    </row>
    <row r="41955" spans="26:26" x14ac:dyDescent="0.2">
      <c r="Z41955" t="str">
        <f t="shared" si="655"/>
        <v/>
      </c>
    </row>
    <row r="41956" spans="26:26" x14ac:dyDescent="0.2">
      <c r="Z41956" t="str">
        <f t="shared" si="655"/>
        <v/>
      </c>
    </row>
    <row r="41957" spans="26:26" x14ac:dyDescent="0.2">
      <c r="Z41957" t="str">
        <f t="shared" si="655"/>
        <v/>
      </c>
    </row>
    <row r="41958" spans="26:26" x14ac:dyDescent="0.2">
      <c r="Z41958" t="str">
        <f t="shared" si="655"/>
        <v/>
      </c>
    </row>
    <row r="41959" spans="26:26" x14ac:dyDescent="0.2">
      <c r="Z41959" t="str">
        <f t="shared" si="655"/>
        <v/>
      </c>
    </row>
    <row r="41960" spans="26:26" x14ac:dyDescent="0.2">
      <c r="Z41960" t="str">
        <f t="shared" si="655"/>
        <v/>
      </c>
    </row>
    <row r="41961" spans="26:26" x14ac:dyDescent="0.2">
      <c r="Z41961" t="str">
        <f t="shared" si="655"/>
        <v/>
      </c>
    </row>
    <row r="41962" spans="26:26" x14ac:dyDescent="0.2">
      <c r="Z41962" t="str">
        <f t="shared" si="655"/>
        <v/>
      </c>
    </row>
    <row r="41963" spans="26:26" x14ac:dyDescent="0.2">
      <c r="Z41963" t="str">
        <f t="shared" si="655"/>
        <v/>
      </c>
    </row>
    <row r="41964" spans="26:26" x14ac:dyDescent="0.2">
      <c r="Z41964" t="str">
        <f t="shared" si="655"/>
        <v/>
      </c>
    </row>
    <row r="41965" spans="26:26" x14ac:dyDescent="0.2">
      <c r="Z41965" t="str">
        <f t="shared" si="655"/>
        <v/>
      </c>
    </row>
    <row r="41966" spans="26:26" x14ac:dyDescent="0.2">
      <c r="Z41966" t="str">
        <f t="shared" si="655"/>
        <v/>
      </c>
    </row>
    <row r="41967" spans="26:26" x14ac:dyDescent="0.2">
      <c r="Z41967" t="str">
        <f t="shared" si="655"/>
        <v/>
      </c>
    </row>
    <row r="41968" spans="26:26" x14ac:dyDescent="0.2">
      <c r="Z41968" t="str">
        <f t="shared" si="655"/>
        <v/>
      </c>
    </row>
    <row r="41969" spans="26:26" x14ac:dyDescent="0.2">
      <c r="Z41969" t="str">
        <f t="shared" si="655"/>
        <v/>
      </c>
    </row>
    <row r="41970" spans="26:26" x14ac:dyDescent="0.2">
      <c r="Z41970" t="str">
        <f t="shared" si="655"/>
        <v/>
      </c>
    </row>
    <row r="41971" spans="26:26" x14ac:dyDescent="0.2">
      <c r="Z41971" t="str">
        <f t="shared" si="655"/>
        <v/>
      </c>
    </row>
    <row r="41972" spans="26:26" x14ac:dyDescent="0.2">
      <c r="Z41972" t="str">
        <f t="shared" si="655"/>
        <v/>
      </c>
    </row>
    <row r="41973" spans="26:26" x14ac:dyDescent="0.2">
      <c r="Z41973" t="str">
        <f t="shared" si="655"/>
        <v/>
      </c>
    </row>
    <row r="41974" spans="26:26" x14ac:dyDescent="0.2">
      <c r="Z41974" t="str">
        <f t="shared" si="655"/>
        <v/>
      </c>
    </row>
    <row r="41975" spans="26:26" x14ac:dyDescent="0.2">
      <c r="Z41975" t="str">
        <f t="shared" si="655"/>
        <v/>
      </c>
    </row>
    <row r="41976" spans="26:26" x14ac:dyDescent="0.2">
      <c r="Z41976" t="str">
        <f t="shared" si="655"/>
        <v/>
      </c>
    </row>
    <row r="41977" spans="26:26" x14ac:dyDescent="0.2">
      <c r="Z41977" t="str">
        <f t="shared" si="655"/>
        <v/>
      </c>
    </row>
    <row r="41978" spans="26:26" x14ac:dyDescent="0.2">
      <c r="Z41978" t="str">
        <f t="shared" si="655"/>
        <v/>
      </c>
    </row>
    <row r="41979" spans="26:26" x14ac:dyDescent="0.2">
      <c r="Z41979" t="str">
        <f t="shared" si="655"/>
        <v/>
      </c>
    </row>
    <row r="41980" spans="26:26" x14ac:dyDescent="0.2">
      <c r="Z41980" t="str">
        <f t="shared" si="655"/>
        <v/>
      </c>
    </row>
    <row r="41981" spans="26:26" x14ac:dyDescent="0.2">
      <c r="Z41981" t="str">
        <f t="shared" si="655"/>
        <v/>
      </c>
    </row>
    <row r="41982" spans="26:26" x14ac:dyDescent="0.2">
      <c r="Z41982" t="str">
        <f t="shared" si="655"/>
        <v/>
      </c>
    </row>
    <row r="41983" spans="26:26" x14ac:dyDescent="0.2">
      <c r="Z41983" t="str">
        <f t="shared" si="655"/>
        <v/>
      </c>
    </row>
    <row r="41984" spans="26:26" x14ac:dyDescent="0.2">
      <c r="Z41984" t="str">
        <f t="shared" si="655"/>
        <v/>
      </c>
    </row>
    <row r="41985" spans="26:26" x14ac:dyDescent="0.2">
      <c r="Z41985" t="str">
        <f t="shared" si="655"/>
        <v/>
      </c>
    </row>
    <row r="41986" spans="26:26" x14ac:dyDescent="0.2">
      <c r="Z41986" t="str">
        <f t="shared" si="655"/>
        <v/>
      </c>
    </row>
    <row r="41987" spans="26:26" x14ac:dyDescent="0.2">
      <c r="Z41987" t="str">
        <f t="shared" ref="Z41987:Z42050" si="656">IF(K41987="","",IFERROR(VALUE(TRIM(MID(K41987,FIND(CHAR(167),SUBSTITUTE(K41987,"-",CHAR(167),LEN(K41987)-LEN(SUBSTITUTE(K41987,"-",""))))+1,100))),K41987))</f>
        <v/>
      </c>
    </row>
    <row r="41988" spans="26:26" x14ac:dyDescent="0.2">
      <c r="Z41988" t="str">
        <f t="shared" si="656"/>
        <v/>
      </c>
    </row>
    <row r="41989" spans="26:26" x14ac:dyDescent="0.2">
      <c r="Z41989" t="str">
        <f t="shared" si="656"/>
        <v/>
      </c>
    </row>
    <row r="41990" spans="26:26" x14ac:dyDescent="0.2">
      <c r="Z41990" t="str">
        <f t="shared" si="656"/>
        <v/>
      </c>
    </row>
    <row r="41991" spans="26:26" x14ac:dyDescent="0.2">
      <c r="Z41991" t="str">
        <f t="shared" si="656"/>
        <v/>
      </c>
    </row>
    <row r="41992" spans="26:26" x14ac:dyDescent="0.2">
      <c r="Z41992" t="str">
        <f t="shared" si="656"/>
        <v/>
      </c>
    </row>
    <row r="41993" spans="26:26" x14ac:dyDescent="0.2">
      <c r="Z41993" t="str">
        <f t="shared" si="656"/>
        <v/>
      </c>
    </row>
    <row r="41994" spans="26:26" x14ac:dyDescent="0.2">
      <c r="Z41994" t="str">
        <f t="shared" si="656"/>
        <v/>
      </c>
    </row>
    <row r="41995" spans="26:26" x14ac:dyDescent="0.2">
      <c r="Z41995" t="str">
        <f t="shared" si="656"/>
        <v/>
      </c>
    </row>
    <row r="41996" spans="26:26" x14ac:dyDescent="0.2">
      <c r="Z41996" t="str">
        <f t="shared" si="656"/>
        <v/>
      </c>
    </row>
    <row r="41997" spans="26:26" x14ac:dyDescent="0.2">
      <c r="Z41997" t="str">
        <f t="shared" si="656"/>
        <v/>
      </c>
    </row>
    <row r="41998" spans="26:26" x14ac:dyDescent="0.2">
      <c r="Z41998" t="str">
        <f t="shared" si="656"/>
        <v/>
      </c>
    </row>
    <row r="41999" spans="26:26" x14ac:dyDescent="0.2">
      <c r="Z41999" t="str">
        <f t="shared" si="656"/>
        <v/>
      </c>
    </row>
    <row r="42000" spans="26:26" x14ac:dyDescent="0.2">
      <c r="Z42000" t="str">
        <f t="shared" si="656"/>
        <v/>
      </c>
    </row>
    <row r="42001" spans="26:26" x14ac:dyDescent="0.2">
      <c r="Z42001" t="str">
        <f t="shared" si="656"/>
        <v/>
      </c>
    </row>
    <row r="42002" spans="26:26" x14ac:dyDescent="0.2">
      <c r="Z42002" t="str">
        <f t="shared" si="656"/>
        <v/>
      </c>
    </row>
    <row r="42003" spans="26:26" x14ac:dyDescent="0.2">
      <c r="Z42003" t="str">
        <f t="shared" si="656"/>
        <v/>
      </c>
    </row>
    <row r="42004" spans="26:26" x14ac:dyDescent="0.2">
      <c r="Z42004" t="str">
        <f t="shared" si="656"/>
        <v/>
      </c>
    </row>
    <row r="42005" spans="26:26" x14ac:dyDescent="0.2">
      <c r="Z42005" t="str">
        <f t="shared" si="656"/>
        <v/>
      </c>
    </row>
    <row r="42006" spans="26:26" x14ac:dyDescent="0.2">
      <c r="Z42006" t="str">
        <f t="shared" si="656"/>
        <v/>
      </c>
    </row>
    <row r="42007" spans="26:26" x14ac:dyDescent="0.2">
      <c r="Z42007" t="str">
        <f t="shared" si="656"/>
        <v/>
      </c>
    </row>
    <row r="42008" spans="26:26" x14ac:dyDescent="0.2">
      <c r="Z42008" t="str">
        <f t="shared" si="656"/>
        <v/>
      </c>
    </row>
    <row r="42009" spans="26:26" x14ac:dyDescent="0.2">
      <c r="Z42009" t="str">
        <f t="shared" si="656"/>
        <v/>
      </c>
    </row>
    <row r="42010" spans="26:26" x14ac:dyDescent="0.2">
      <c r="Z42010" t="str">
        <f t="shared" si="656"/>
        <v/>
      </c>
    </row>
    <row r="42011" spans="26:26" x14ac:dyDescent="0.2">
      <c r="Z42011" t="str">
        <f t="shared" si="656"/>
        <v/>
      </c>
    </row>
    <row r="42012" spans="26:26" x14ac:dyDescent="0.2">
      <c r="Z42012" t="str">
        <f t="shared" si="656"/>
        <v/>
      </c>
    </row>
    <row r="42013" spans="26:26" x14ac:dyDescent="0.2">
      <c r="Z42013" t="str">
        <f t="shared" si="656"/>
        <v/>
      </c>
    </row>
    <row r="42014" spans="26:26" x14ac:dyDescent="0.2">
      <c r="Z42014" t="str">
        <f t="shared" si="656"/>
        <v/>
      </c>
    </row>
    <row r="42015" spans="26:26" x14ac:dyDescent="0.2">
      <c r="Z42015" t="str">
        <f t="shared" si="656"/>
        <v/>
      </c>
    </row>
    <row r="42016" spans="26:26" x14ac:dyDescent="0.2">
      <c r="Z42016" t="str">
        <f t="shared" si="656"/>
        <v/>
      </c>
    </row>
    <row r="42017" spans="26:26" x14ac:dyDescent="0.2">
      <c r="Z42017" t="str">
        <f t="shared" si="656"/>
        <v/>
      </c>
    </row>
    <row r="42018" spans="26:26" x14ac:dyDescent="0.2">
      <c r="Z42018" t="str">
        <f t="shared" si="656"/>
        <v/>
      </c>
    </row>
    <row r="42019" spans="26:26" x14ac:dyDescent="0.2">
      <c r="Z42019" t="str">
        <f t="shared" si="656"/>
        <v/>
      </c>
    </row>
    <row r="42020" spans="26:26" x14ac:dyDescent="0.2">
      <c r="Z42020" t="str">
        <f t="shared" si="656"/>
        <v/>
      </c>
    </row>
    <row r="42021" spans="26:26" x14ac:dyDescent="0.2">
      <c r="Z42021" t="str">
        <f t="shared" si="656"/>
        <v/>
      </c>
    </row>
    <row r="42022" spans="26:26" x14ac:dyDescent="0.2">
      <c r="Z42022" t="str">
        <f t="shared" si="656"/>
        <v/>
      </c>
    </row>
    <row r="42023" spans="26:26" x14ac:dyDescent="0.2">
      <c r="Z42023" t="str">
        <f t="shared" si="656"/>
        <v/>
      </c>
    </row>
    <row r="42024" spans="26:26" x14ac:dyDescent="0.2">
      <c r="Z42024" t="str">
        <f t="shared" si="656"/>
        <v/>
      </c>
    </row>
    <row r="42025" spans="26:26" x14ac:dyDescent="0.2">
      <c r="Z42025" t="str">
        <f t="shared" si="656"/>
        <v/>
      </c>
    </row>
    <row r="42026" spans="26:26" x14ac:dyDescent="0.2">
      <c r="Z42026" t="str">
        <f t="shared" si="656"/>
        <v/>
      </c>
    </row>
    <row r="42027" spans="26:26" x14ac:dyDescent="0.2">
      <c r="Z42027" t="str">
        <f t="shared" si="656"/>
        <v/>
      </c>
    </row>
    <row r="42028" spans="26:26" x14ac:dyDescent="0.2">
      <c r="Z42028" t="str">
        <f t="shared" si="656"/>
        <v/>
      </c>
    </row>
    <row r="42029" spans="26:26" x14ac:dyDescent="0.2">
      <c r="Z42029" t="str">
        <f t="shared" si="656"/>
        <v/>
      </c>
    </row>
    <row r="42030" spans="26:26" x14ac:dyDescent="0.2">
      <c r="Z42030" t="str">
        <f t="shared" si="656"/>
        <v/>
      </c>
    </row>
    <row r="42031" spans="26:26" x14ac:dyDescent="0.2">
      <c r="Z42031" t="str">
        <f t="shared" si="656"/>
        <v/>
      </c>
    </row>
    <row r="42032" spans="26:26" x14ac:dyDescent="0.2">
      <c r="Z42032" t="str">
        <f t="shared" si="656"/>
        <v/>
      </c>
    </row>
    <row r="42033" spans="26:26" x14ac:dyDescent="0.2">
      <c r="Z42033" t="str">
        <f t="shared" si="656"/>
        <v/>
      </c>
    </row>
    <row r="42034" spans="26:26" x14ac:dyDescent="0.2">
      <c r="Z42034" t="str">
        <f t="shared" si="656"/>
        <v/>
      </c>
    </row>
    <row r="42035" spans="26:26" x14ac:dyDescent="0.2">
      <c r="Z42035" t="str">
        <f t="shared" si="656"/>
        <v/>
      </c>
    </row>
    <row r="42036" spans="26:26" x14ac:dyDescent="0.2">
      <c r="Z42036" t="str">
        <f t="shared" si="656"/>
        <v/>
      </c>
    </row>
    <row r="42037" spans="26:26" x14ac:dyDescent="0.2">
      <c r="Z42037" t="str">
        <f t="shared" si="656"/>
        <v/>
      </c>
    </row>
    <row r="42038" spans="26:26" x14ac:dyDescent="0.2">
      <c r="Z42038" t="str">
        <f t="shared" si="656"/>
        <v/>
      </c>
    </row>
    <row r="42039" spans="26:26" x14ac:dyDescent="0.2">
      <c r="Z42039" t="str">
        <f t="shared" si="656"/>
        <v/>
      </c>
    </row>
    <row r="42040" spans="26:26" x14ac:dyDescent="0.2">
      <c r="Z42040" t="str">
        <f t="shared" si="656"/>
        <v/>
      </c>
    </row>
    <row r="42041" spans="26:26" x14ac:dyDescent="0.2">
      <c r="Z42041" t="str">
        <f t="shared" si="656"/>
        <v/>
      </c>
    </row>
    <row r="42042" spans="26:26" x14ac:dyDescent="0.2">
      <c r="Z42042" t="str">
        <f t="shared" si="656"/>
        <v/>
      </c>
    </row>
    <row r="42043" spans="26:26" x14ac:dyDescent="0.2">
      <c r="Z42043" t="str">
        <f t="shared" si="656"/>
        <v/>
      </c>
    </row>
    <row r="42044" spans="26:26" x14ac:dyDescent="0.2">
      <c r="Z42044" t="str">
        <f t="shared" si="656"/>
        <v/>
      </c>
    </row>
    <row r="42045" spans="26:26" x14ac:dyDescent="0.2">
      <c r="Z42045" t="str">
        <f t="shared" si="656"/>
        <v/>
      </c>
    </row>
    <row r="42046" spans="26:26" x14ac:dyDescent="0.2">
      <c r="Z42046" t="str">
        <f t="shared" si="656"/>
        <v/>
      </c>
    </row>
    <row r="42047" spans="26:26" x14ac:dyDescent="0.2">
      <c r="Z42047" t="str">
        <f t="shared" si="656"/>
        <v/>
      </c>
    </row>
    <row r="42048" spans="26:26" x14ac:dyDescent="0.2">
      <c r="Z42048" t="str">
        <f t="shared" si="656"/>
        <v/>
      </c>
    </row>
    <row r="42049" spans="26:26" x14ac:dyDescent="0.2">
      <c r="Z42049" t="str">
        <f t="shared" si="656"/>
        <v/>
      </c>
    </row>
    <row r="42050" spans="26:26" x14ac:dyDescent="0.2">
      <c r="Z42050" t="str">
        <f t="shared" si="656"/>
        <v/>
      </c>
    </row>
    <row r="42051" spans="26:26" x14ac:dyDescent="0.2">
      <c r="Z42051" t="str">
        <f t="shared" ref="Z42051:Z42114" si="657">IF(K42051="","",IFERROR(VALUE(TRIM(MID(K42051,FIND(CHAR(167),SUBSTITUTE(K42051,"-",CHAR(167),LEN(K42051)-LEN(SUBSTITUTE(K42051,"-",""))))+1,100))),K42051))</f>
        <v/>
      </c>
    </row>
    <row r="42052" spans="26:26" x14ac:dyDescent="0.2">
      <c r="Z42052" t="str">
        <f t="shared" si="657"/>
        <v/>
      </c>
    </row>
    <row r="42053" spans="26:26" x14ac:dyDescent="0.2">
      <c r="Z42053" t="str">
        <f t="shared" si="657"/>
        <v/>
      </c>
    </row>
    <row r="42054" spans="26:26" x14ac:dyDescent="0.2">
      <c r="Z42054" t="str">
        <f t="shared" si="657"/>
        <v/>
      </c>
    </row>
    <row r="42055" spans="26:26" x14ac:dyDescent="0.2">
      <c r="Z42055" t="str">
        <f t="shared" si="657"/>
        <v/>
      </c>
    </row>
    <row r="42056" spans="26:26" x14ac:dyDescent="0.2">
      <c r="Z42056" t="str">
        <f t="shared" si="657"/>
        <v/>
      </c>
    </row>
    <row r="42057" spans="26:26" x14ac:dyDescent="0.2">
      <c r="Z42057" t="str">
        <f t="shared" si="657"/>
        <v/>
      </c>
    </row>
    <row r="42058" spans="26:26" x14ac:dyDescent="0.2">
      <c r="Z42058" t="str">
        <f t="shared" si="657"/>
        <v/>
      </c>
    </row>
    <row r="42059" spans="26:26" x14ac:dyDescent="0.2">
      <c r="Z42059" t="str">
        <f t="shared" si="657"/>
        <v/>
      </c>
    </row>
    <row r="42060" spans="26:26" x14ac:dyDescent="0.2">
      <c r="Z42060" t="str">
        <f t="shared" si="657"/>
        <v/>
      </c>
    </row>
    <row r="42061" spans="26:26" x14ac:dyDescent="0.2">
      <c r="Z42061" t="str">
        <f t="shared" si="657"/>
        <v/>
      </c>
    </row>
    <row r="42062" spans="26:26" x14ac:dyDescent="0.2">
      <c r="Z42062" t="str">
        <f t="shared" si="657"/>
        <v/>
      </c>
    </row>
    <row r="42063" spans="26:26" x14ac:dyDescent="0.2">
      <c r="Z42063" t="str">
        <f t="shared" si="657"/>
        <v/>
      </c>
    </row>
    <row r="42064" spans="26:26" x14ac:dyDescent="0.2">
      <c r="Z42064" t="str">
        <f t="shared" si="657"/>
        <v/>
      </c>
    </row>
    <row r="42065" spans="26:26" x14ac:dyDescent="0.2">
      <c r="Z42065" t="str">
        <f t="shared" si="657"/>
        <v/>
      </c>
    </row>
    <row r="42066" spans="26:26" x14ac:dyDescent="0.2">
      <c r="Z42066" t="str">
        <f t="shared" si="657"/>
        <v/>
      </c>
    </row>
    <row r="42067" spans="26:26" x14ac:dyDescent="0.2">
      <c r="Z42067" t="str">
        <f t="shared" si="657"/>
        <v/>
      </c>
    </row>
    <row r="42068" spans="26:26" x14ac:dyDescent="0.2">
      <c r="Z42068" t="str">
        <f t="shared" si="657"/>
        <v/>
      </c>
    </row>
    <row r="42069" spans="26:26" x14ac:dyDescent="0.2">
      <c r="Z42069" t="str">
        <f t="shared" si="657"/>
        <v/>
      </c>
    </row>
    <row r="42070" spans="26:26" x14ac:dyDescent="0.2">
      <c r="Z42070" t="str">
        <f t="shared" si="657"/>
        <v/>
      </c>
    </row>
    <row r="42071" spans="26:26" x14ac:dyDescent="0.2">
      <c r="Z42071" t="str">
        <f t="shared" si="657"/>
        <v/>
      </c>
    </row>
    <row r="42072" spans="26:26" x14ac:dyDescent="0.2">
      <c r="Z42072" t="str">
        <f t="shared" si="657"/>
        <v/>
      </c>
    </row>
    <row r="42073" spans="26:26" x14ac:dyDescent="0.2">
      <c r="Z42073" t="str">
        <f t="shared" si="657"/>
        <v/>
      </c>
    </row>
    <row r="42074" spans="26:26" x14ac:dyDescent="0.2">
      <c r="Z42074" t="str">
        <f t="shared" si="657"/>
        <v/>
      </c>
    </row>
    <row r="42075" spans="26:26" x14ac:dyDescent="0.2">
      <c r="Z42075" t="str">
        <f t="shared" si="657"/>
        <v/>
      </c>
    </row>
    <row r="42076" spans="26:26" x14ac:dyDescent="0.2">
      <c r="Z42076" t="str">
        <f t="shared" si="657"/>
        <v/>
      </c>
    </row>
    <row r="42077" spans="26:26" x14ac:dyDescent="0.2">
      <c r="Z42077" t="str">
        <f t="shared" si="657"/>
        <v/>
      </c>
    </row>
    <row r="42078" spans="26:26" x14ac:dyDescent="0.2">
      <c r="Z42078" t="str">
        <f t="shared" si="657"/>
        <v/>
      </c>
    </row>
    <row r="42079" spans="26:26" x14ac:dyDescent="0.2">
      <c r="Z42079" t="str">
        <f t="shared" si="657"/>
        <v/>
      </c>
    </row>
    <row r="42080" spans="26:26" x14ac:dyDescent="0.2">
      <c r="Z42080" t="str">
        <f t="shared" si="657"/>
        <v/>
      </c>
    </row>
    <row r="42081" spans="26:26" x14ac:dyDescent="0.2">
      <c r="Z42081" t="str">
        <f t="shared" si="657"/>
        <v/>
      </c>
    </row>
    <row r="42082" spans="26:26" x14ac:dyDescent="0.2">
      <c r="Z42082" t="str">
        <f t="shared" si="657"/>
        <v/>
      </c>
    </row>
    <row r="42083" spans="26:26" x14ac:dyDescent="0.2">
      <c r="Z42083" t="str">
        <f t="shared" si="657"/>
        <v/>
      </c>
    </row>
    <row r="42084" spans="26:26" x14ac:dyDescent="0.2">
      <c r="Z42084" t="str">
        <f t="shared" si="657"/>
        <v/>
      </c>
    </row>
    <row r="42085" spans="26:26" x14ac:dyDescent="0.2">
      <c r="Z42085" t="str">
        <f t="shared" si="657"/>
        <v/>
      </c>
    </row>
    <row r="42086" spans="26:26" x14ac:dyDescent="0.2">
      <c r="Z42086" t="str">
        <f t="shared" si="657"/>
        <v/>
      </c>
    </row>
    <row r="42087" spans="26:26" x14ac:dyDescent="0.2">
      <c r="Z42087" t="str">
        <f t="shared" si="657"/>
        <v/>
      </c>
    </row>
    <row r="42088" spans="26:26" x14ac:dyDescent="0.2">
      <c r="Z42088" t="str">
        <f t="shared" si="657"/>
        <v/>
      </c>
    </row>
    <row r="42089" spans="26:26" x14ac:dyDescent="0.2">
      <c r="Z42089" t="str">
        <f t="shared" si="657"/>
        <v/>
      </c>
    </row>
    <row r="42090" spans="26:26" x14ac:dyDescent="0.2">
      <c r="Z42090" t="str">
        <f t="shared" si="657"/>
        <v/>
      </c>
    </row>
    <row r="42091" spans="26:26" x14ac:dyDescent="0.2">
      <c r="Z42091" t="str">
        <f t="shared" si="657"/>
        <v/>
      </c>
    </row>
    <row r="42092" spans="26:26" x14ac:dyDescent="0.2">
      <c r="Z42092" t="str">
        <f t="shared" si="657"/>
        <v/>
      </c>
    </row>
    <row r="42093" spans="26:26" x14ac:dyDescent="0.2">
      <c r="Z42093" t="str">
        <f t="shared" si="657"/>
        <v/>
      </c>
    </row>
    <row r="42094" spans="26:26" x14ac:dyDescent="0.2">
      <c r="Z42094" t="str">
        <f t="shared" si="657"/>
        <v/>
      </c>
    </row>
    <row r="42095" spans="26:26" x14ac:dyDescent="0.2">
      <c r="Z42095" t="str">
        <f t="shared" si="657"/>
        <v/>
      </c>
    </row>
    <row r="42096" spans="26:26" x14ac:dyDescent="0.2">
      <c r="Z42096" t="str">
        <f t="shared" si="657"/>
        <v/>
      </c>
    </row>
    <row r="42097" spans="26:26" x14ac:dyDescent="0.2">
      <c r="Z42097" t="str">
        <f t="shared" si="657"/>
        <v/>
      </c>
    </row>
    <row r="42098" spans="26:26" x14ac:dyDescent="0.2">
      <c r="Z42098" t="str">
        <f t="shared" si="657"/>
        <v/>
      </c>
    </row>
    <row r="42099" spans="26:26" x14ac:dyDescent="0.2">
      <c r="Z42099" t="str">
        <f t="shared" si="657"/>
        <v/>
      </c>
    </row>
    <row r="42100" spans="26:26" x14ac:dyDescent="0.2">
      <c r="Z42100" t="str">
        <f t="shared" si="657"/>
        <v/>
      </c>
    </row>
    <row r="42101" spans="26:26" x14ac:dyDescent="0.2">
      <c r="Z42101" t="str">
        <f t="shared" si="657"/>
        <v/>
      </c>
    </row>
    <row r="42102" spans="26:26" x14ac:dyDescent="0.2">
      <c r="Z42102" t="str">
        <f t="shared" si="657"/>
        <v/>
      </c>
    </row>
    <row r="42103" spans="26:26" x14ac:dyDescent="0.2">
      <c r="Z42103" t="str">
        <f t="shared" si="657"/>
        <v/>
      </c>
    </row>
    <row r="42104" spans="26:26" x14ac:dyDescent="0.2">
      <c r="Z42104" t="str">
        <f t="shared" si="657"/>
        <v/>
      </c>
    </row>
    <row r="42105" spans="26:26" x14ac:dyDescent="0.2">
      <c r="Z42105" t="str">
        <f t="shared" si="657"/>
        <v/>
      </c>
    </row>
    <row r="42106" spans="26:26" x14ac:dyDescent="0.2">
      <c r="Z42106" t="str">
        <f t="shared" si="657"/>
        <v/>
      </c>
    </row>
    <row r="42107" spans="26:26" x14ac:dyDescent="0.2">
      <c r="Z42107" t="str">
        <f t="shared" si="657"/>
        <v/>
      </c>
    </row>
    <row r="42108" spans="26:26" x14ac:dyDescent="0.2">
      <c r="Z42108" t="str">
        <f t="shared" si="657"/>
        <v/>
      </c>
    </row>
    <row r="42109" spans="26:26" x14ac:dyDescent="0.2">
      <c r="Z42109" t="str">
        <f t="shared" si="657"/>
        <v/>
      </c>
    </row>
    <row r="42110" spans="26:26" x14ac:dyDescent="0.2">
      <c r="Z42110" t="str">
        <f t="shared" si="657"/>
        <v/>
      </c>
    </row>
    <row r="42111" spans="26:26" x14ac:dyDescent="0.2">
      <c r="Z42111" t="str">
        <f t="shared" si="657"/>
        <v/>
      </c>
    </row>
    <row r="42112" spans="26:26" x14ac:dyDescent="0.2">
      <c r="Z42112" t="str">
        <f t="shared" si="657"/>
        <v/>
      </c>
    </row>
    <row r="42113" spans="26:26" x14ac:dyDescent="0.2">
      <c r="Z42113" t="str">
        <f t="shared" si="657"/>
        <v/>
      </c>
    </row>
    <row r="42114" spans="26:26" x14ac:dyDescent="0.2">
      <c r="Z42114" t="str">
        <f t="shared" si="657"/>
        <v/>
      </c>
    </row>
    <row r="42115" spans="26:26" x14ac:dyDescent="0.2">
      <c r="Z42115" t="str">
        <f t="shared" ref="Z42115:Z42178" si="658">IF(K42115="","",IFERROR(VALUE(TRIM(MID(K42115,FIND(CHAR(167),SUBSTITUTE(K42115,"-",CHAR(167),LEN(K42115)-LEN(SUBSTITUTE(K42115,"-",""))))+1,100))),K42115))</f>
        <v/>
      </c>
    </row>
    <row r="42116" spans="26:26" x14ac:dyDescent="0.2">
      <c r="Z42116" t="str">
        <f t="shared" si="658"/>
        <v/>
      </c>
    </row>
    <row r="42117" spans="26:26" x14ac:dyDescent="0.2">
      <c r="Z42117" t="str">
        <f t="shared" si="658"/>
        <v/>
      </c>
    </row>
    <row r="42118" spans="26:26" x14ac:dyDescent="0.2">
      <c r="Z42118" t="str">
        <f t="shared" si="658"/>
        <v/>
      </c>
    </row>
    <row r="42119" spans="26:26" x14ac:dyDescent="0.2">
      <c r="Z42119" t="str">
        <f t="shared" si="658"/>
        <v/>
      </c>
    </row>
    <row r="42120" spans="26:26" x14ac:dyDescent="0.2">
      <c r="Z42120" t="str">
        <f t="shared" si="658"/>
        <v/>
      </c>
    </row>
    <row r="42121" spans="26:26" x14ac:dyDescent="0.2">
      <c r="Z42121" t="str">
        <f t="shared" si="658"/>
        <v/>
      </c>
    </row>
    <row r="42122" spans="26:26" x14ac:dyDescent="0.2">
      <c r="Z42122" t="str">
        <f t="shared" si="658"/>
        <v/>
      </c>
    </row>
    <row r="42123" spans="26:26" x14ac:dyDescent="0.2">
      <c r="Z42123" t="str">
        <f t="shared" si="658"/>
        <v/>
      </c>
    </row>
    <row r="42124" spans="26:26" x14ac:dyDescent="0.2">
      <c r="Z42124" t="str">
        <f t="shared" si="658"/>
        <v/>
      </c>
    </row>
    <row r="42125" spans="26:26" x14ac:dyDescent="0.2">
      <c r="Z42125" t="str">
        <f t="shared" si="658"/>
        <v/>
      </c>
    </row>
    <row r="42126" spans="26:26" x14ac:dyDescent="0.2">
      <c r="Z42126" t="str">
        <f t="shared" si="658"/>
        <v/>
      </c>
    </row>
    <row r="42127" spans="26:26" x14ac:dyDescent="0.2">
      <c r="Z42127" t="str">
        <f t="shared" si="658"/>
        <v/>
      </c>
    </row>
    <row r="42128" spans="26:26" x14ac:dyDescent="0.2">
      <c r="Z42128" t="str">
        <f t="shared" si="658"/>
        <v/>
      </c>
    </row>
    <row r="42129" spans="26:26" x14ac:dyDescent="0.2">
      <c r="Z42129" t="str">
        <f t="shared" si="658"/>
        <v/>
      </c>
    </row>
    <row r="42130" spans="26:26" x14ac:dyDescent="0.2">
      <c r="Z42130" t="str">
        <f t="shared" si="658"/>
        <v/>
      </c>
    </row>
    <row r="42131" spans="26:26" x14ac:dyDescent="0.2">
      <c r="Z42131" t="str">
        <f t="shared" si="658"/>
        <v/>
      </c>
    </row>
    <row r="42132" spans="26:26" x14ac:dyDescent="0.2">
      <c r="Z42132" t="str">
        <f t="shared" si="658"/>
        <v/>
      </c>
    </row>
    <row r="42133" spans="26:26" x14ac:dyDescent="0.2">
      <c r="Z42133" t="str">
        <f t="shared" si="658"/>
        <v/>
      </c>
    </row>
    <row r="42134" spans="26:26" x14ac:dyDescent="0.2">
      <c r="Z42134" t="str">
        <f t="shared" si="658"/>
        <v/>
      </c>
    </row>
    <row r="42135" spans="26:26" x14ac:dyDescent="0.2">
      <c r="Z42135" t="str">
        <f t="shared" si="658"/>
        <v/>
      </c>
    </row>
    <row r="42136" spans="26:26" x14ac:dyDescent="0.2">
      <c r="Z42136" t="str">
        <f t="shared" si="658"/>
        <v/>
      </c>
    </row>
    <row r="42137" spans="26:26" x14ac:dyDescent="0.2">
      <c r="Z42137" t="str">
        <f t="shared" si="658"/>
        <v/>
      </c>
    </row>
    <row r="42138" spans="26:26" x14ac:dyDescent="0.2">
      <c r="Z42138" t="str">
        <f t="shared" si="658"/>
        <v/>
      </c>
    </row>
    <row r="42139" spans="26:26" x14ac:dyDescent="0.2">
      <c r="Z42139" t="str">
        <f t="shared" si="658"/>
        <v/>
      </c>
    </row>
    <row r="42140" spans="26:26" x14ac:dyDescent="0.2">
      <c r="Z42140" t="str">
        <f t="shared" si="658"/>
        <v/>
      </c>
    </row>
    <row r="42141" spans="26:26" x14ac:dyDescent="0.2">
      <c r="Z42141" t="str">
        <f t="shared" si="658"/>
        <v/>
      </c>
    </row>
    <row r="42142" spans="26:26" x14ac:dyDescent="0.2">
      <c r="Z42142" t="str">
        <f t="shared" si="658"/>
        <v/>
      </c>
    </row>
    <row r="42143" spans="26:26" x14ac:dyDescent="0.2">
      <c r="Z42143" t="str">
        <f t="shared" si="658"/>
        <v/>
      </c>
    </row>
    <row r="42144" spans="26:26" x14ac:dyDescent="0.2">
      <c r="Z42144" t="str">
        <f t="shared" si="658"/>
        <v/>
      </c>
    </row>
    <row r="42145" spans="26:26" x14ac:dyDescent="0.2">
      <c r="Z42145" t="str">
        <f t="shared" si="658"/>
        <v/>
      </c>
    </row>
    <row r="42146" spans="26:26" x14ac:dyDescent="0.2">
      <c r="Z42146" t="str">
        <f t="shared" si="658"/>
        <v/>
      </c>
    </row>
    <row r="42147" spans="26:26" x14ac:dyDescent="0.2">
      <c r="Z42147" t="str">
        <f t="shared" si="658"/>
        <v/>
      </c>
    </row>
    <row r="42148" spans="26:26" x14ac:dyDescent="0.2">
      <c r="Z42148" t="str">
        <f t="shared" si="658"/>
        <v/>
      </c>
    </row>
    <row r="42149" spans="26:26" x14ac:dyDescent="0.2">
      <c r="Z42149" t="str">
        <f t="shared" si="658"/>
        <v/>
      </c>
    </row>
    <row r="42150" spans="26:26" x14ac:dyDescent="0.2">
      <c r="Z42150" t="str">
        <f t="shared" si="658"/>
        <v/>
      </c>
    </row>
    <row r="42151" spans="26:26" x14ac:dyDescent="0.2">
      <c r="Z42151" t="str">
        <f t="shared" si="658"/>
        <v/>
      </c>
    </row>
    <row r="42152" spans="26:26" x14ac:dyDescent="0.2">
      <c r="Z42152" t="str">
        <f t="shared" si="658"/>
        <v/>
      </c>
    </row>
    <row r="42153" spans="26:26" x14ac:dyDescent="0.2">
      <c r="Z42153" t="str">
        <f t="shared" si="658"/>
        <v/>
      </c>
    </row>
    <row r="42154" spans="26:26" x14ac:dyDescent="0.2">
      <c r="Z42154" t="str">
        <f t="shared" si="658"/>
        <v/>
      </c>
    </row>
    <row r="42155" spans="26:26" x14ac:dyDescent="0.2">
      <c r="Z42155" t="str">
        <f t="shared" si="658"/>
        <v/>
      </c>
    </row>
    <row r="42156" spans="26:26" x14ac:dyDescent="0.2">
      <c r="Z42156" t="str">
        <f t="shared" si="658"/>
        <v/>
      </c>
    </row>
    <row r="42157" spans="26:26" x14ac:dyDescent="0.2">
      <c r="Z42157" t="str">
        <f t="shared" si="658"/>
        <v/>
      </c>
    </row>
    <row r="42158" spans="26:26" x14ac:dyDescent="0.2">
      <c r="Z42158" t="str">
        <f t="shared" si="658"/>
        <v/>
      </c>
    </row>
    <row r="42159" spans="26:26" x14ac:dyDescent="0.2">
      <c r="Z42159" t="str">
        <f t="shared" si="658"/>
        <v/>
      </c>
    </row>
    <row r="42160" spans="26:26" x14ac:dyDescent="0.2">
      <c r="Z42160" t="str">
        <f t="shared" si="658"/>
        <v/>
      </c>
    </row>
    <row r="42161" spans="26:26" x14ac:dyDescent="0.2">
      <c r="Z42161" t="str">
        <f t="shared" si="658"/>
        <v/>
      </c>
    </row>
    <row r="42162" spans="26:26" x14ac:dyDescent="0.2">
      <c r="Z42162" t="str">
        <f t="shared" si="658"/>
        <v/>
      </c>
    </row>
    <row r="42163" spans="26:26" x14ac:dyDescent="0.2">
      <c r="Z42163" t="str">
        <f t="shared" si="658"/>
        <v/>
      </c>
    </row>
    <row r="42164" spans="26:26" x14ac:dyDescent="0.2">
      <c r="Z42164" t="str">
        <f t="shared" si="658"/>
        <v/>
      </c>
    </row>
    <row r="42165" spans="26:26" x14ac:dyDescent="0.2">
      <c r="Z42165" t="str">
        <f t="shared" si="658"/>
        <v/>
      </c>
    </row>
    <row r="42166" spans="26:26" x14ac:dyDescent="0.2">
      <c r="Z42166" t="str">
        <f t="shared" si="658"/>
        <v/>
      </c>
    </row>
    <row r="42167" spans="26:26" x14ac:dyDescent="0.2">
      <c r="Z42167" t="str">
        <f t="shared" si="658"/>
        <v/>
      </c>
    </row>
    <row r="42168" spans="26:26" x14ac:dyDescent="0.2">
      <c r="Z42168" t="str">
        <f t="shared" si="658"/>
        <v/>
      </c>
    </row>
    <row r="42169" spans="26:26" x14ac:dyDescent="0.2">
      <c r="Z42169" t="str">
        <f t="shared" si="658"/>
        <v/>
      </c>
    </row>
    <row r="42170" spans="26:26" x14ac:dyDescent="0.2">
      <c r="Z42170" t="str">
        <f t="shared" si="658"/>
        <v/>
      </c>
    </row>
    <row r="42171" spans="26:26" x14ac:dyDescent="0.2">
      <c r="Z42171" t="str">
        <f t="shared" si="658"/>
        <v/>
      </c>
    </row>
    <row r="42172" spans="26:26" x14ac:dyDescent="0.2">
      <c r="Z42172" t="str">
        <f t="shared" si="658"/>
        <v/>
      </c>
    </row>
    <row r="42173" spans="26:26" x14ac:dyDescent="0.2">
      <c r="Z42173" t="str">
        <f t="shared" si="658"/>
        <v/>
      </c>
    </row>
    <row r="42174" spans="26:26" x14ac:dyDescent="0.2">
      <c r="Z42174" t="str">
        <f t="shared" si="658"/>
        <v/>
      </c>
    </row>
    <row r="42175" spans="26:26" x14ac:dyDescent="0.2">
      <c r="Z42175" t="str">
        <f t="shared" si="658"/>
        <v/>
      </c>
    </row>
    <row r="42176" spans="26:26" x14ac:dyDescent="0.2">
      <c r="Z42176" t="str">
        <f t="shared" si="658"/>
        <v/>
      </c>
    </row>
    <row r="42177" spans="26:26" x14ac:dyDescent="0.2">
      <c r="Z42177" t="str">
        <f t="shared" si="658"/>
        <v/>
      </c>
    </row>
    <row r="42178" spans="26:26" x14ac:dyDescent="0.2">
      <c r="Z42178" t="str">
        <f t="shared" si="658"/>
        <v/>
      </c>
    </row>
    <row r="42179" spans="26:26" x14ac:dyDescent="0.2">
      <c r="Z42179" t="str">
        <f t="shared" ref="Z42179:Z42242" si="659">IF(K42179="","",IFERROR(VALUE(TRIM(MID(K42179,FIND(CHAR(167),SUBSTITUTE(K42179,"-",CHAR(167),LEN(K42179)-LEN(SUBSTITUTE(K42179,"-",""))))+1,100))),K42179))</f>
        <v/>
      </c>
    </row>
    <row r="42180" spans="26:26" x14ac:dyDescent="0.2">
      <c r="Z42180" t="str">
        <f t="shared" si="659"/>
        <v/>
      </c>
    </row>
    <row r="42181" spans="26:26" x14ac:dyDescent="0.2">
      <c r="Z42181" t="str">
        <f t="shared" si="659"/>
        <v/>
      </c>
    </row>
    <row r="42182" spans="26:26" x14ac:dyDescent="0.2">
      <c r="Z42182" t="str">
        <f t="shared" si="659"/>
        <v/>
      </c>
    </row>
    <row r="42183" spans="26:26" x14ac:dyDescent="0.2">
      <c r="Z42183" t="str">
        <f t="shared" si="659"/>
        <v/>
      </c>
    </row>
    <row r="42184" spans="26:26" x14ac:dyDescent="0.2">
      <c r="Z42184" t="str">
        <f t="shared" si="659"/>
        <v/>
      </c>
    </row>
    <row r="42185" spans="26:26" x14ac:dyDescent="0.2">
      <c r="Z42185" t="str">
        <f t="shared" si="659"/>
        <v/>
      </c>
    </row>
    <row r="42186" spans="26:26" x14ac:dyDescent="0.2">
      <c r="Z42186" t="str">
        <f t="shared" si="659"/>
        <v/>
      </c>
    </row>
    <row r="42187" spans="26:26" x14ac:dyDescent="0.2">
      <c r="Z42187" t="str">
        <f t="shared" si="659"/>
        <v/>
      </c>
    </row>
    <row r="42188" spans="26:26" x14ac:dyDescent="0.2">
      <c r="Z42188" t="str">
        <f t="shared" si="659"/>
        <v/>
      </c>
    </row>
    <row r="42189" spans="26:26" x14ac:dyDescent="0.2">
      <c r="Z42189" t="str">
        <f t="shared" si="659"/>
        <v/>
      </c>
    </row>
    <row r="42190" spans="26:26" x14ac:dyDescent="0.2">
      <c r="Z42190" t="str">
        <f t="shared" si="659"/>
        <v/>
      </c>
    </row>
    <row r="42191" spans="26:26" x14ac:dyDescent="0.2">
      <c r="Z42191" t="str">
        <f t="shared" si="659"/>
        <v/>
      </c>
    </row>
    <row r="42192" spans="26:26" x14ac:dyDescent="0.2">
      <c r="Z42192" t="str">
        <f t="shared" si="659"/>
        <v/>
      </c>
    </row>
    <row r="42193" spans="26:26" x14ac:dyDescent="0.2">
      <c r="Z42193" t="str">
        <f t="shared" si="659"/>
        <v/>
      </c>
    </row>
    <row r="42194" spans="26:26" x14ac:dyDescent="0.2">
      <c r="Z42194" t="str">
        <f t="shared" si="659"/>
        <v/>
      </c>
    </row>
    <row r="42195" spans="26:26" x14ac:dyDescent="0.2">
      <c r="Z42195" t="str">
        <f t="shared" si="659"/>
        <v/>
      </c>
    </row>
    <row r="42196" spans="26:26" x14ac:dyDescent="0.2">
      <c r="Z42196" t="str">
        <f t="shared" si="659"/>
        <v/>
      </c>
    </row>
    <row r="42197" spans="26:26" x14ac:dyDescent="0.2">
      <c r="Z42197" t="str">
        <f t="shared" si="659"/>
        <v/>
      </c>
    </row>
    <row r="42198" spans="26:26" x14ac:dyDescent="0.2">
      <c r="Z42198" t="str">
        <f t="shared" si="659"/>
        <v/>
      </c>
    </row>
    <row r="42199" spans="26:26" x14ac:dyDescent="0.2">
      <c r="Z42199" t="str">
        <f t="shared" si="659"/>
        <v/>
      </c>
    </row>
    <row r="42200" spans="26:26" x14ac:dyDescent="0.2">
      <c r="Z42200" t="str">
        <f t="shared" si="659"/>
        <v/>
      </c>
    </row>
    <row r="42201" spans="26:26" x14ac:dyDescent="0.2">
      <c r="Z42201" t="str">
        <f t="shared" si="659"/>
        <v/>
      </c>
    </row>
    <row r="42202" spans="26:26" x14ac:dyDescent="0.2">
      <c r="Z42202" t="str">
        <f t="shared" si="659"/>
        <v/>
      </c>
    </row>
    <row r="42203" spans="26:26" x14ac:dyDescent="0.2">
      <c r="Z42203" t="str">
        <f t="shared" si="659"/>
        <v/>
      </c>
    </row>
    <row r="42204" spans="26:26" x14ac:dyDescent="0.2">
      <c r="Z42204" t="str">
        <f t="shared" si="659"/>
        <v/>
      </c>
    </row>
    <row r="42205" spans="26:26" x14ac:dyDescent="0.2">
      <c r="Z42205" t="str">
        <f t="shared" si="659"/>
        <v/>
      </c>
    </row>
    <row r="42206" spans="26:26" x14ac:dyDescent="0.2">
      <c r="Z42206" t="str">
        <f t="shared" si="659"/>
        <v/>
      </c>
    </row>
    <row r="42207" spans="26:26" x14ac:dyDescent="0.2">
      <c r="Z42207" t="str">
        <f t="shared" si="659"/>
        <v/>
      </c>
    </row>
    <row r="42208" spans="26:26" x14ac:dyDescent="0.2">
      <c r="Z42208" t="str">
        <f t="shared" si="659"/>
        <v/>
      </c>
    </row>
    <row r="42209" spans="26:26" x14ac:dyDescent="0.2">
      <c r="Z42209" t="str">
        <f t="shared" si="659"/>
        <v/>
      </c>
    </row>
    <row r="42210" spans="26:26" x14ac:dyDescent="0.2">
      <c r="Z42210" t="str">
        <f t="shared" si="659"/>
        <v/>
      </c>
    </row>
    <row r="42211" spans="26:26" x14ac:dyDescent="0.2">
      <c r="Z42211" t="str">
        <f t="shared" si="659"/>
        <v/>
      </c>
    </row>
    <row r="42212" spans="26:26" x14ac:dyDescent="0.2">
      <c r="Z42212" t="str">
        <f t="shared" si="659"/>
        <v/>
      </c>
    </row>
    <row r="42213" spans="26:26" x14ac:dyDescent="0.2">
      <c r="Z42213" t="str">
        <f t="shared" si="659"/>
        <v/>
      </c>
    </row>
    <row r="42214" spans="26:26" x14ac:dyDescent="0.2">
      <c r="Z42214" t="str">
        <f t="shared" si="659"/>
        <v/>
      </c>
    </row>
    <row r="42215" spans="26:26" x14ac:dyDescent="0.2">
      <c r="Z42215" t="str">
        <f t="shared" si="659"/>
        <v/>
      </c>
    </row>
    <row r="42216" spans="26:26" x14ac:dyDescent="0.2">
      <c r="Z42216" t="str">
        <f t="shared" si="659"/>
        <v/>
      </c>
    </row>
    <row r="42217" spans="26:26" x14ac:dyDescent="0.2">
      <c r="Z42217" t="str">
        <f t="shared" si="659"/>
        <v/>
      </c>
    </row>
    <row r="42218" spans="26:26" x14ac:dyDescent="0.2">
      <c r="Z42218" t="str">
        <f t="shared" si="659"/>
        <v/>
      </c>
    </row>
    <row r="42219" spans="26:26" x14ac:dyDescent="0.2">
      <c r="Z42219" t="str">
        <f t="shared" si="659"/>
        <v/>
      </c>
    </row>
    <row r="42220" spans="26:26" x14ac:dyDescent="0.2">
      <c r="Z42220" t="str">
        <f t="shared" si="659"/>
        <v/>
      </c>
    </row>
    <row r="42221" spans="26:26" x14ac:dyDescent="0.2">
      <c r="Z42221" t="str">
        <f t="shared" si="659"/>
        <v/>
      </c>
    </row>
    <row r="42222" spans="26:26" x14ac:dyDescent="0.2">
      <c r="Z42222" t="str">
        <f t="shared" si="659"/>
        <v/>
      </c>
    </row>
    <row r="42223" spans="26:26" x14ac:dyDescent="0.2">
      <c r="Z42223" t="str">
        <f t="shared" si="659"/>
        <v/>
      </c>
    </row>
    <row r="42224" spans="26:26" x14ac:dyDescent="0.2">
      <c r="Z42224" t="str">
        <f t="shared" si="659"/>
        <v/>
      </c>
    </row>
    <row r="42225" spans="26:26" x14ac:dyDescent="0.2">
      <c r="Z42225" t="str">
        <f t="shared" si="659"/>
        <v/>
      </c>
    </row>
    <row r="42226" spans="26:26" x14ac:dyDescent="0.2">
      <c r="Z42226" t="str">
        <f t="shared" si="659"/>
        <v/>
      </c>
    </row>
    <row r="42227" spans="26:26" x14ac:dyDescent="0.2">
      <c r="Z42227" t="str">
        <f t="shared" si="659"/>
        <v/>
      </c>
    </row>
    <row r="42228" spans="26:26" x14ac:dyDescent="0.2">
      <c r="Z42228" t="str">
        <f t="shared" si="659"/>
        <v/>
      </c>
    </row>
    <row r="42229" spans="26:26" x14ac:dyDescent="0.2">
      <c r="Z42229" t="str">
        <f t="shared" si="659"/>
        <v/>
      </c>
    </row>
    <row r="42230" spans="26:26" x14ac:dyDescent="0.2">
      <c r="Z42230" t="str">
        <f t="shared" si="659"/>
        <v/>
      </c>
    </row>
    <row r="42231" spans="26:26" x14ac:dyDescent="0.2">
      <c r="Z42231" t="str">
        <f t="shared" si="659"/>
        <v/>
      </c>
    </row>
    <row r="42232" spans="26:26" x14ac:dyDescent="0.2">
      <c r="Z42232" t="str">
        <f t="shared" si="659"/>
        <v/>
      </c>
    </row>
    <row r="42233" spans="26:26" x14ac:dyDescent="0.2">
      <c r="Z42233" t="str">
        <f t="shared" si="659"/>
        <v/>
      </c>
    </row>
    <row r="42234" spans="26:26" x14ac:dyDescent="0.2">
      <c r="Z42234" t="str">
        <f t="shared" si="659"/>
        <v/>
      </c>
    </row>
    <row r="42235" spans="26:26" x14ac:dyDescent="0.2">
      <c r="Z42235" t="str">
        <f t="shared" si="659"/>
        <v/>
      </c>
    </row>
    <row r="42236" spans="26:26" x14ac:dyDescent="0.2">
      <c r="Z42236" t="str">
        <f t="shared" si="659"/>
        <v/>
      </c>
    </row>
    <row r="42237" spans="26:26" x14ac:dyDescent="0.2">
      <c r="Z42237" t="str">
        <f t="shared" si="659"/>
        <v/>
      </c>
    </row>
    <row r="42238" spans="26:26" x14ac:dyDescent="0.2">
      <c r="Z42238" t="str">
        <f t="shared" si="659"/>
        <v/>
      </c>
    </row>
    <row r="42239" spans="26:26" x14ac:dyDescent="0.2">
      <c r="Z42239" t="str">
        <f t="shared" si="659"/>
        <v/>
      </c>
    </row>
    <row r="42240" spans="26:26" x14ac:dyDescent="0.2">
      <c r="Z42240" t="str">
        <f t="shared" si="659"/>
        <v/>
      </c>
    </row>
    <row r="42241" spans="26:26" x14ac:dyDescent="0.2">
      <c r="Z42241" t="str">
        <f t="shared" si="659"/>
        <v/>
      </c>
    </row>
    <row r="42242" spans="26:26" x14ac:dyDescent="0.2">
      <c r="Z42242" t="str">
        <f t="shared" si="659"/>
        <v/>
      </c>
    </row>
    <row r="42243" spans="26:26" x14ac:dyDescent="0.2">
      <c r="Z42243" t="str">
        <f t="shared" ref="Z42243:Z42306" si="660">IF(K42243="","",IFERROR(VALUE(TRIM(MID(K42243,FIND(CHAR(167),SUBSTITUTE(K42243,"-",CHAR(167),LEN(K42243)-LEN(SUBSTITUTE(K42243,"-",""))))+1,100))),K42243))</f>
        <v/>
      </c>
    </row>
    <row r="42244" spans="26:26" x14ac:dyDescent="0.2">
      <c r="Z42244" t="str">
        <f t="shared" si="660"/>
        <v/>
      </c>
    </row>
    <row r="42245" spans="26:26" x14ac:dyDescent="0.2">
      <c r="Z42245" t="str">
        <f t="shared" si="660"/>
        <v/>
      </c>
    </row>
    <row r="42246" spans="26:26" x14ac:dyDescent="0.2">
      <c r="Z42246" t="str">
        <f t="shared" si="660"/>
        <v/>
      </c>
    </row>
    <row r="42247" spans="26:26" x14ac:dyDescent="0.2">
      <c r="Z42247" t="str">
        <f t="shared" si="660"/>
        <v/>
      </c>
    </row>
    <row r="42248" spans="26:26" x14ac:dyDescent="0.2">
      <c r="Z42248" t="str">
        <f t="shared" si="660"/>
        <v/>
      </c>
    </row>
    <row r="42249" spans="26:26" x14ac:dyDescent="0.2">
      <c r="Z42249" t="str">
        <f t="shared" si="660"/>
        <v/>
      </c>
    </row>
    <row r="42250" spans="26:26" x14ac:dyDescent="0.2">
      <c r="Z42250" t="str">
        <f t="shared" si="660"/>
        <v/>
      </c>
    </row>
    <row r="42251" spans="26:26" x14ac:dyDescent="0.2">
      <c r="Z42251" t="str">
        <f t="shared" si="660"/>
        <v/>
      </c>
    </row>
    <row r="42252" spans="26:26" x14ac:dyDescent="0.2">
      <c r="Z42252" t="str">
        <f t="shared" si="660"/>
        <v/>
      </c>
    </row>
    <row r="42253" spans="26:26" x14ac:dyDescent="0.2">
      <c r="Z42253" t="str">
        <f t="shared" si="660"/>
        <v/>
      </c>
    </row>
    <row r="42254" spans="26:26" x14ac:dyDescent="0.2">
      <c r="Z42254" t="str">
        <f t="shared" si="660"/>
        <v/>
      </c>
    </row>
    <row r="42255" spans="26:26" x14ac:dyDescent="0.2">
      <c r="Z42255" t="str">
        <f t="shared" si="660"/>
        <v/>
      </c>
    </row>
    <row r="42256" spans="26:26" x14ac:dyDescent="0.2">
      <c r="Z42256" t="str">
        <f t="shared" si="660"/>
        <v/>
      </c>
    </row>
    <row r="42257" spans="26:26" x14ac:dyDescent="0.2">
      <c r="Z42257" t="str">
        <f t="shared" si="660"/>
        <v/>
      </c>
    </row>
    <row r="42258" spans="26:26" x14ac:dyDescent="0.2">
      <c r="Z42258" t="str">
        <f t="shared" si="660"/>
        <v/>
      </c>
    </row>
    <row r="42259" spans="26:26" x14ac:dyDescent="0.2">
      <c r="Z42259" t="str">
        <f t="shared" si="660"/>
        <v/>
      </c>
    </row>
    <row r="42260" spans="26:26" x14ac:dyDescent="0.2">
      <c r="Z42260" t="str">
        <f t="shared" si="660"/>
        <v/>
      </c>
    </row>
    <row r="42261" spans="26:26" x14ac:dyDescent="0.2">
      <c r="Z42261" t="str">
        <f t="shared" si="660"/>
        <v/>
      </c>
    </row>
    <row r="42262" spans="26:26" x14ac:dyDescent="0.2">
      <c r="Z42262" t="str">
        <f t="shared" si="660"/>
        <v/>
      </c>
    </row>
    <row r="42263" spans="26:26" x14ac:dyDescent="0.2">
      <c r="Z42263" t="str">
        <f t="shared" si="660"/>
        <v/>
      </c>
    </row>
    <row r="42264" spans="26:26" x14ac:dyDescent="0.2">
      <c r="Z42264" t="str">
        <f t="shared" si="660"/>
        <v/>
      </c>
    </row>
    <row r="42265" spans="26:26" x14ac:dyDescent="0.2">
      <c r="Z42265" t="str">
        <f t="shared" si="660"/>
        <v/>
      </c>
    </row>
    <row r="42266" spans="26:26" x14ac:dyDescent="0.2">
      <c r="Z42266" t="str">
        <f t="shared" si="660"/>
        <v/>
      </c>
    </row>
    <row r="42267" spans="26:26" x14ac:dyDescent="0.2">
      <c r="Z42267" t="str">
        <f t="shared" si="660"/>
        <v/>
      </c>
    </row>
    <row r="42268" spans="26:26" x14ac:dyDescent="0.2">
      <c r="Z42268" t="str">
        <f t="shared" si="660"/>
        <v/>
      </c>
    </row>
    <row r="42269" spans="26:26" x14ac:dyDescent="0.2">
      <c r="Z42269" t="str">
        <f t="shared" si="660"/>
        <v/>
      </c>
    </row>
    <row r="42270" spans="26:26" x14ac:dyDescent="0.2">
      <c r="Z42270" t="str">
        <f t="shared" si="660"/>
        <v/>
      </c>
    </row>
    <row r="42271" spans="26:26" x14ac:dyDescent="0.2">
      <c r="Z42271" t="str">
        <f t="shared" si="660"/>
        <v/>
      </c>
    </row>
    <row r="42272" spans="26:26" x14ac:dyDescent="0.2">
      <c r="Z42272" t="str">
        <f t="shared" si="660"/>
        <v/>
      </c>
    </row>
    <row r="42273" spans="26:26" x14ac:dyDescent="0.2">
      <c r="Z42273" t="str">
        <f t="shared" si="660"/>
        <v/>
      </c>
    </row>
    <row r="42274" spans="26:26" x14ac:dyDescent="0.2">
      <c r="Z42274" t="str">
        <f t="shared" si="660"/>
        <v/>
      </c>
    </row>
    <row r="42275" spans="26:26" x14ac:dyDescent="0.2">
      <c r="Z42275" t="str">
        <f t="shared" si="660"/>
        <v/>
      </c>
    </row>
    <row r="42276" spans="26:26" x14ac:dyDescent="0.2">
      <c r="Z42276" t="str">
        <f t="shared" si="660"/>
        <v/>
      </c>
    </row>
    <row r="42277" spans="26:26" x14ac:dyDescent="0.2">
      <c r="Z42277" t="str">
        <f t="shared" si="660"/>
        <v/>
      </c>
    </row>
    <row r="42278" spans="26:26" x14ac:dyDescent="0.2">
      <c r="Z42278" t="str">
        <f t="shared" si="660"/>
        <v/>
      </c>
    </row>
    <row r="42279" spans="26:26" x14ac:dyDescent="0.2">
      <c r="Z42279" t="str">
        <f t="shared" si="660"/>
        <v/>
      </c>
    </row>
    <row r="42280" spans="26:26" x14ac:dyDescent="0.2">
      <c r="Z42280" t="str">
        <f t="shared" si="660"/>
        <v/>
      </c>
    </row>
    <row r="42281" spans="26:26" x14ac:dyDescent="0.2">
      <c r="Z42281" t="str">
        <f t="shared" si="660"/>
        <v/>
      </c>
    </row>
    <row r="42282" spans="26:26" x14ac:dyDescent="0.2">
      <c r="Z42282" t="str">
        <f t="shared" si="660"/>
        <v/>
      </c>
    </row>
    <row r="42283" spans="26:26" x14ac:dyDescent="0.2">
      <c r="Z42283" t="str">
        <f t="shared" si="660"/>
        <v/>
      </c>
    </row>
    <row r="42284" spans="26:26" x14ac:dyDescent="0.2">
      <c r="Z42284" t="str">
        <f t="shared" si="660"/>
        <v/>
      </c>
    </row>
    <row r="42285" spans="26:26" x14ac:dyDescent="0.2">
      <c r="Z42285" t="str">
        <f t="shared" si="660"/>
        <v/>
      </c>
    </row>
    <row r="42286" spans="26:26" x14ac:dyDescent="0.2">
      <c r="Z42286" t="str">
        <f t="shared" si="660"/>
        <v/>
      </c>
    </row>
    <row r="42287" spans="26:26" x14ac:dyDescent="0.2">
      <c r="Z42287" t="str">
        <f t="shared" si="660"/>
        <v/>
      </c>
    </row>
    <row r="42288" spans="26:26" x14ac:dyDescent="0.2">
      <c r="Z42288" t="str">
        <f t="shared" si="660"/>
        <v/>
      </c>
    </row>
    <row r="42289" spans="26:26" x14ac:dyDescent="0.2">
      <c r="Z42289" t="str">
        <f t="shared" si="660"/>
        <v/>
      </c>
    </row>
    <row r="42290" spans="26:26" x14ac:dyDescent="0.2">
      <c r="Z42290" t="str">
        <f t="shared" si="660"/>
        <v/>
      </c>
    </row>
    <row r="42291" spans="26:26" x14ac:dyDescent="0.2">
      <c r="Z42291" t="str">
        <f t="shared" si="660"/>
        <v/>
      </c>
    </row>
    <row r="42292" spans="26:26" x14ac:dyDescent="0.2">
      <c r="Z42292" t="str">
        <f t="shared" si="660"/>
        <v/>
      </c>
    </row>
    <row r="42293" spans="26:26" x14ac:dyDescent="0.2">
      <c r="Z42293" t="str">
        <f t="shared" si="660"/>
        <v/>
      </c>
    </row>
    <row r="42294" spans="26:26" x14ac:dyDescent="0.2">
      <c r="Z42294" t="str">
        <f t="shared" si="660"/>
        <v/>
      </c>
    </row>
    <row r="42295" spans="26:26" x14ac:dyDescent="0.2">
      <c r="Z42295" t="str">
        <f t="shared" si="660"/>
        <v/>
      </c>
    </row>
    <row r="42296" spans="26:26" x14ac:dyDescent="0.2">
      <c r="Z42296" t="str">
        <f t="shared" si="660"/>
        <v/>
      </c>
    </row>
    <row r="42297" spans="26:26" x14ac:dyDescent="0.2">
      <c r="Z42297" t="str">
        <f t="shared" si="660"/>
        <v/>
      </c>
    </row>
    <row r="42298" spans="26:26" x14ac:dyDescent="0.2">
      <c r="Z42298" t="str">
        <f t="shared" si="660"/>
        <v/>
      </c>
    </row>
    <row r="42299" spans="26:26" x14ac:dyDescent="0.2">
      <c r="Z42299" t="str">
        <f t="shared" si="660"/>
        <v/>
      </c>
    </row>
    <row r="42300" spans="26:26" x14ac:dyDescent="0.2">
      <c r="Z42300" t="str">
        <f t="shared" si="660"/>
        <v/>
      </c>
    </row>
    <row r="42301" spans="26:26" x14ac:dyDescent="0.2">
      <c r="Z42301" t="str">
        <f t="shared" si="660"/>
        <v/>
      </c>
    </row>
    <row r="42302" spans="26:26" x14ac:dyDescent="0.2">
      <c r="Z42302" t="str">
        <f t="shared" si="660"/>
        <v/>
      </c>
    </row>
    <row r="42303" spans="26:26" x14ac:dyDescent="0.2">
      <c r="Z42303" t="str">
        <f t="shared" si="660"/>
        <v/>
      </c>
    </row>
    <row r="42304" spans="26:26" x14ac:dyDescent="0.2">
      <c r="Z42304" t="str">
        <f t="shared" si="660"/>
        <v/>
      </c>
    </row>
    <row r="42305" spans="26:26" x14ac:dyDescent="0.2">
      <c r="Z42305" t="str">
        <f t="shared" si="660"/>
        <v/>
      </c>
    </row>
    <row r="42306" spans="26:26" x14ac:dyDescent="0.2">
      <c r="Z42306" t="str">
        <f t="shared" si="660"/>
        <v/>
      </c>
    </row>
    <row r="42307" spans="26:26" x14ac:dyDescent="0.2">
      <c r="Z42307" t="str">
        <f t="shared" ref="Z42307:Z42370" si="661">IF(K42307="","",IFERROR(VALUE(TRIM(MID(K42307,FIND(CHAR(167),SUBSTITUTE(K42307,"-",CHAR(167),LEN(K42307)-LEN(SUBSTITUTE(K42307,"-",""))))+1,100))),K42307))</f>
        <v/>
      </c>
    </row>
    <row r="42308" spans="26:26" x14ac:dyDescent="0.2">
      <c r="Z42308" t="str">
        <f t="shared" si="661"/>
        <v/>
      </c>
    </row>
    <row r="42309" spans="26:26" x14ac:dyDescent="0.2">
      <c r="Z42309" t="str">
        <f t="shared" si="661"/>
        <v/>
      </c>
    </row>
    <row r="42310" spans="26:26" x14ac:dyDescent="0.2">
      <c r="Z42310" t="str">
        <f t="shared" si="661"/>
        <v/>
      </c>
    </row>
    <row r="42311" spans="26:26" x14ac:dyDescent="0.2">
      <c r="Z42311" t="str">
        <f t="shared" si="661"/>
        <v/>
      </c>
    </row>
    <row r="42312" spans="26:26" x14ac:dyDescent="0.2">
      <c r="Z42312" t="str">
        <f t="shared" si="661"/>
        <v/>
      </c>
    </row>
    <row r="42313" spans="26:26" x14ac:dyDescent="0.2">
      <c r="Z42313" t="str">
        <f t="shared" si="661"/>
        <v/>
      </c>
    </row>
    <row r="42314" spans="26:26" x14ac:dyDescent="0.2">
      <c r="Z42314" t="str">
        <f t="shared" si="661"/>
        <v/>
      </c>
    </row>
    <row r="42315" spans="26:26" x14ac:dyDescent="0.2">
      <c r="Z42315" t="str">
        <f t="shared" si="661"/>
        <v/>
      </c>
    </row>
    <row r="42316" spans="26:26" x14ac:dyDescent="0.2">
      <c r="Z42316" t="str">
        <f t="shared" si="661"/>
        <v/>
      </c>
    </row>
    <row r="42317" spans="26:26" x14ac:dyDescent="0.2">
      <c r="Z42317" t="str">
        <f t="shared" si="661"/>
        <v/>
      </c>
    </row>
    <row r="42318" spans="26:26" x14ac:dyDescent="0.2">
      <c r="Z42318" t="str">
        <f t="shared" si="661"/>
        <v/>
      </c>
    </row>
    <row r="42319" spans="26:26" x14ac:dyDescent="0.2">
      <c r="Z42319" t="str">
        <f t="shared" si="661"/>
        <v/>
      </c>
    </row>
    <row r="42320" spans="26:26" x14ac:dyDescent="0.2">
      <c r="Z42320" t="str">
        <f t="shared" si="661"/>
        <v/>
      </c>
    </row>
    <row r="42321" spans="26:26" x14ac:dyDescent="0.2">
      <c r="Z42321" t="str">
        <f t="shared" si="661"/>
        <v/>
      </c>
    </row>
    <row r="42322" spans="26:26" x14ac:dyDescent="0.2">
      <c r="Z42322" t="str">
        <f t="shared" si="661"/>
        <v/>
      </c>
    </row>
    <row r="42323" spans="26:26" x14ac:dyDescent="0.2">
      <c r="Z42323" t="str">
        <f t="shared" si="661"/>
        <v/>
      </c>
    </row>
    <row r="42324" spans="26:26" x14ac:dyDescent="0.2">
      <c r="Z42324" t="str">
        <f t="shared" si="661"/>
        <v/>
      </c>
    </row>
    <row r="42325" spans="26:26" x14ac:dyDescent="0.2">
      <c r="Z42325" t="str">
        <f t="shared" si="661"/>
        <v/>
      </c>
    </row>
    <row r="42326" spans="26:26" x14ac:dyDescent="0.2">
      <c r="Z42326" t="str">
        <f t="shared" si="661"/>
        <v/>
      </c>
    </row>
    <row r="42327" spans="26:26" x14ac:dyDescent="0.2">
      <c r="Z42327" t="str">
        <f t="shared" si="661"/>
        <v/>
      </c>
    </row>
    <row r="42328" spans="26:26" x14ac:dyDescent="0.2">
      <c r="Z42328" t="str">
        <f t="shared" si="661"/>
        <v/>
      </c>
    </row>
    <row r="42329" spans="26:26" x14ac:dyDescent="0.2">
      <c r="Z42329" t="str">
        <f t="shared" si="661"/>
        <v/>
      </c>
    </row>
    <row r="42330" spans="26:26" x14ac:dyDescent="0.2">
      <c r="Z42330" t="str">
        <f t="shared" si="661"/>
        <v/>
      </c>
    </row>
    <row r="42331" spans="26:26" x14ac:dyDescent="0.2">
      <c r="Z42331" t="str">
        <f t="shared" si="661"/>
        <v/>
      </c>
    </row>
    <row r="42332" spans="26:26" x14ac:dyDescent="0.2">
      <c r="Z42332" t="str">
        <f t="shared" si="661"/>
        <v/>
      </c>
    </row>
    <row r="42333" spans="26:26" x14ac:dyDescent="0.2">
      <c r="Z42333" t="str">
        <f t="shared" si="661"/>
        <v/>
      </c>
    </row>
    <row r="42334" spans="26:26" x14ac:dyDescent="0.2">
      <c r="Z42334" t="str">
        <f t="shared" si="661"/>
        <v/>
      </c>
    </row>
    <row r="42335" spans="26:26" x14ac:dyDescent="0.2">
      <c r="Z42335" t="str">
        <f t="shared" si="661"/>
        <v/>
      </c>
    </row>
    <row r="42336" spans="26:26" x14ac:dyDescent="0.2">
      <c r="Z42336" t="str">
        <f t="shared" si="661"/>
        <v/>
      </c>
    </row>
    <row r="42337" spans="26:26" x14ac:dyDescent="0.2">
      <c r="Z42337" t="str">
        <f t="shared" si="661"/>
        <v/>
      </c>
    </row>
    <row r="42338" spans="26:26" x14ac:dyDescent="0.2">
      <c r="Z42338" t="str">
        <f t="shared" si="661"/>
        <v/>
      </c>
    </row>
    <row r="42339" spans="26:26" x14ac:dyDescent="0.2">
      <c r="Z42339" t="str">
        <f t="shared" si="661"/>
        <v/>
      </c>
    </row>
    <row r="42340" spans="26:26" x14ac:dyDescent="0.2">
      <c r="Z42340" t="str">
        <f t="shared" si="661"/>
        <v/>
      </c>
    </row>
    <row r="42341" spans="26:26" x14ac:dyDescent="0.2">
      <c r="Z42341" t="str">
        <f t="shared" si="661"/>
        <v/>
      </c>
    </row>
    <row r="42342" spans="26:26" x14ac:dyDescent="0.2">
      <c r="Z42342" t="str">
        <f t="shared" si="661"/>
        <v/>
      </c>
    </row>
    <row r="42343" spans="26:26" x14ac:dyDescent="0.2">
      <c r="Z42343" t="str">
        <f t="shared" si="661"/>
        <v/>
      </c>
    </row>
    <row r="42344" spans="26:26" x14ac:dyDescent="0.2">
      <c r="Z42344" t="str">
        <f t="shared" si="661"/>
        <v/>
      </c>
    </row>
    <row r="42345" spans="26:26" x14ac:dyDescent="0.2">
      <c r="Z42345" t="str">
        <f t="shared" si="661"/>
        <v/>
      </c>
    </row>
    <row r="42346" spans="26:26" x14ac:dyDescent="0.2">
      <c r="Z42346" t="str">
        <f t="shared" si="661"/>
        <v/>
      </c>
    </row>
    <row r="42347" spans="26:26" x14ac:dyDescent="0.2">
      <c r="Z42347" t="str">
        <f t="shared" si="661"/>
        <v/>
      </c>
    </row>
    <row r="42348" spans="26:26" x14ac:dyDescent="0.2">
      <c r="Z42348" t="str">
        <f t="shared" si="661"/>
        <v/>
      </c>
    </row>
    <row r="42349" spans="26:26" x14ac:dyDescent="0.2">
      <c r="Z42349" t="str">
        <f t="shared" si="661"/>
        <v/>
      </c>
    </row>
    <row r="42350" spans="26:26" x14ac:dyDescent="0.2">
      <c r="Z42350" t="str">
        <f t="shared" si="661"/>
        <v/>
      </c>
    </row>
    <row r="42351" spans="26:26" x14ac:dyDescent="0.2">
      <c r="Z42351" t="str">
        <f t="shared" si="661"/>
        <v/>
      </c>
    </row>
    <row r="42352" spans="26:26" x14ac:dyDescent="0.2">
      <c r="Z42352" t="str">
        <f t="shared" si="661"/>
        <v/>
      </c>
    </row>
    <row r="42353" spans="26:26" x14ac:dyDescent="0.2">
      <c r="Z42353" t="str">
        <f t="shared" si="661"/>
        <v/>
      </c>
    </row>
    <row r="42354" spans="26:26" x14ac:dyDescent="0.2">
      <c r="Z42354" t="str">
        <f t="shared" si="661"/>
        <v/>
      </c>
    </row>
    <row r="42355" spans="26:26" x14ac:dyDescent="0.2">
      <c r="Z42355" t="str">
        <f t="shared" si="661"/>
        <v/>
      </c>
    </row>
    <row r="42356" spans="26:26" x14ac:dyDescent="0.2">
      <c r="Z42356" t="str">
        <f t="shared" si="661"/>
        <v/>
      </c>
    </row>
    <row r="42357" spans="26:26" x14ac:dyDescent="0.2">
      <c r="Z42357" t="str">
        <f t="shared" si="661"/>
        <v/>
      </c>
    </row>
    <row r="42358" spans="26:26" x14ac:dyDescent="0.2">
      <c r="Z42358" t="str">
        <f t="shared" si="661"/>
        <v/>
      </c>
    </row>
    <row r="42359" spans="26:26" x14ac:dyDescent="0.2">
      <c r="Z42359" t="str">
        <f t="shared" si="661"/>
        <v/>
      </c>
    </row>
    <row r="42360" spans="26:26" x14ac:dyDescent="0.2">
      <c r="Z42360" t="str">
        <f t="shared" si="661"/>
        <v/>
      </c>
    </row>
    <row r="42361" spans="26:26" x14ac:dyDescent="0.2">
      <c r="Z42361" t="str">
        <f t="shared" si="661"/>
        <v/>
      </c>
    </row>
    <row r="42362" spans="26:26" x14ac:dyDescent="0.2">
      <c r="Z42362" t="str">
        <f t="shared" si="661"/>
        <v/>
      </c>
    </row>
    <row r="42363" spans="26:26" x14ac:dyDescent="0.2">
      <c r="Z42363" t="str">
        <f t="shared" si="661"/>
        <v/>
      </c>
    </row>
    <row r="42364" spans="26:26" x14ac:dyDescent="0.2">
      <c r="Z42364" t="str">
        <f t="shared" si="661"/>
        <v/>
      </c>
    </row>
    <row r="42365" spans="26:26" x14ac:dyDescent="0.2">
      <c r="Z42365" t="str">
        <f t="shared" si="661"/>
        <v/>
      </c>
    </row>
    <row r="42366" spans="26:26" x14ac:dyDescent="0.2">
      <c r="Z42366" t="str">
        <f t="shared" si="661"/>
        <v/>
      </c>
    </row>
    <row r="42367" spans="26:26" x14ac:dyDescent="0.2">
      <c r="Z42367" t="str">
        <f t="shared" si="661"/>
        <v/>
      </c>
    </row>
    <row r="42368" spans="26:26" x14ac:dyDescent="0.2">
      <c r="Z42368" t="str">
        <f t="shared" si="661"/>
        <v/>
      </c>
    </row>
    <row r="42369" spans="26:26" x14ac:dyDescent="0.2">
      <c r="Z42369" t="str">
        <f t="shared" si="661"/>
        <v/>
      </c>
    </row>
    <row r="42370" spans="26:26" x14ac:dyDescent="0.2">
      <c r="Z42370" t="str">
        <f t="shared" si="661"/>
        <v/>
      </c>
    </row>
    <row r="42371" spans="26:26" x14ac:dyDescent="0.2">
      <c r="Z42371" t="str">
        <f t="shared" ref="Z42371:Z42434" si="662">IF(K42371="","",IFERROR(VALUE(TRIM(MID(K42371,FIND(CHAR(167),SUBSTITUTE(K42371,"-",CHAR(167),LEN(K42371)-LEN(SUBSTITUTE(K42371,"-",""))))+1,100))),K42371))</f>
        <v/>
      </c>
    </row>
    <row r="42372" spans="26:26" x14ac:dyDescent="0.2">
      <c r="Z42372" t="str">
        <f t="shared" si="662"/>
        <v/>
      </c>
    </row>
    <row r="42373" spans="26:26" x14ac:dyDescent="0.2">
      <c r="Z42373" t="str">
        <f t="shared" si="662"/>
        <v/>
      </c>
    </row>
    <row r="42374" spans="26:26" x14ac:dyDescent="0.2">
      <c r="Z42374" t="str">
        <f t="shared" si="662"/>
        <v/>
      </c>
    </row>
    <row r="42375" spans="26:26" x14ac:dyDescent="0.2">
      <c r="Z42375" t="str">
        <f t="shared" si="662"/>
        <v/>
      </c>
    </row>
    <row r="42376" spans="26:26" x14ac:dyDescent="0.2">
      <c r="Z42376" t="str">
        <f t="shared" si="662"/>
        <v/>
      </c>
    </row>
    <row r="42377" spans="26:26" x14ac:dyDescent="0.2">
      <c r="Z42377" t="str">
        <f t="shared" si="662"/>
        <v/>
      </c>
    </row>
    <row r="42378" spans="26:26" x14ac:dyDescent="0.2">
      <c r="Z42378" t="str">
        <f t="shared" si="662"/>
        <v/>
      </c>
    </row>
    <row r="42379" spans="26:26" x14ac:dyDescent="0.2">
      <c r="Z42379" t="str">
        <f t="shared" si="662"/>
        <v/>
      </c>
    </row>
    <row r="42380" spans="26:26" x14ac:dyDescent="0.2">
      <c r="Z42380" t="str">
        <f t="shared" si="662"/>
        <v/>
      </c>
    </row>
    <row r="42381" spans="26:26" x14ac:dyDescent="0.2">
      <c r="Z42381" t="str">
        <f t="shared" si="662"/>
        <v/>
      </c>
    </row>
    <row r="42382" spans="26:26" x14ac:dyDescent="0.2">
      <c r="Z42382" t="str">
        <f t="shared" si="662"/>
        <v/>
      </c>
    </row>
    <row r="42383" spans="26:26" x14ac:dyDescent="0.2">
      <c r="Z42383" t="str">
        <f t="shared" si="662"/>
        <v/>
      </c>
    </row>
    <row r="42384" spans="26:26" x14ac:dyDescent="0.2">
      <c r="Z42384" t="str">
        <f t="shared" si="662"/>
        <v/>
      </c>
    </row>
    <row r="42385" spans="26:26" x14ac:dyDescent="0.2">
      <c r="Z42385" t="str">
        <f t="shared" si="662"/>
        <v/>
      </c>
    </row>
    <row r="42386" spans="26:26" x14ac:dyDescent="0.2">
      <c r="Z42386" t="str">
        <f t="shared" si="662"/>
        <v/>
      </c>
    </row>
    <row r="42387" spans="26:26" x14ac:dyDescent="0.2">
      <c r="Z42387" t="str">
        <f t="shared" si="662"/>
        <v/>
      </c>
    </row>
    <row r="42388" spans="26:26" x14ac:dyDescent="0.2">
      <c r="Z42388" t="str">
        <f t="shared" si="662"/>
        <v/>
      </c>
    </row>
    <row r="42389" spans="26:26" x14ac:dyDescent="0.2">
      <c r="Z42389" t="str">
        <f t="shared" si="662"/>
        <v/>
      </c>
    </row>
    <row r="42390" spans="26:26" x14ac:dyDescent="0.2">
      <c r="Z42390" t="str">
        <f t="shared" si="662"/>
        <v/>
      </c>
    </row>
    <row r="42391" spans="26:26" x14ac:dyDescent="0.2">
      <c r="Z42391" t="str">
        <f t="shared" si="662"/>
        <v/>
      </c>
    </row>
    <row r="42392" spans="26:26" x14ac:dyDescent="0.2">
      <c r="Z42392" t="str">
        <f t="shared" si="662"/>
        <v/>
      </c>
    </row>
    <row r="42393" spans="26:26" x14ac:dyDescent="0.2">
      <c r="Z42393" t="str">
        <f t="shared" si="662"/>
        <v/>
      </c>
    </row>
    <row r="42394" spans="26:26" x14ac:dyDescent="0.2">
      <c r="Z42394" t="str">
        <f t="shared" si="662"/>
        <v/>
      </c>
    </row>
    <row r="42395" spans="26:26" x14ac:dyDescent="0.2">
      <c r="Z42395" t="str">
        <f t="shared" si="662"/>
        <v/>
      </c>
    </row>
    <row r="42396" spans="26:26" x14ac:dyDescent="0.2">
      <c r="Z42396" t="str">
        <f t="shared" si="662"/>
        <v/>
      </c>
    </row>
    <row r="42397" spans="26:26" x14ac:dyDescent="0.2">
      <c r="Z42397" t="str">
        <f t="shared" si="662"/>
        <v/>
      </c>
    </row>
    <row r="42398" spans="26:26" x14ac:dyDescent="0.2">
      <c r="Z42398" t="str">
        <f t="shared" si="662"/>
        <v/>
      </c>
    </row>
    <row r="42399" spans="26:26" x14ac:dyDescent="0.2">
      <c r="Z42399" t="str">
        <f t="shared" si="662"/>
        <v/>
      </c>
    </row>
    <row r="42400" spans="26:26" x14ac:dyDescent="0.2">
      <c r="Z42400" t="str">
        <f t="shared" si="662"/>
        <v/>
      </c>
    </row>
    <row r="42401" spans="26:26" x14ac:dyDescent="0.2">
      <c r="Z42401" t="str">
        <f t="shared" si="662"/>
        <v/>
      </c>
    </row>
    <row r="42402" spans="26:26" x14ac:dyDescent="0.2">
      <c r="Z42402" t="str">
        <f t="shared" si="662"/>
        <v/>
      </c>
    </row>
    <row r="42403" spans="26:26" x14ac:dyDescent="0.2">
      <c r="Z42403" t="str">
        <f t="shared" si="662"/>
        <v/>
      </c>
    </row>
    <row r="42404" spans="26:26" x14ac:dyDescent="0.2">
      <c r="Z42404" t="str">
        <f t="shared" si="662"/>
        <v/>
      </c>
    </row>
    <row r="42405" spans="26:26" x14ac:dyDescent="0.2">
      <c r="Z42405" t="str">
        <f t="shared" si="662"/>
        <v/>
      </c>
    </row>
    <row r="42406" spans="26:26" x14ac:dyDescent="0.2">
      <c r="Z42406" t="str">
        <f t="shared" si="662"/>
        <v/>
      </c>
    </row>
    <row r="42407" spans="26:26" x14ac:dyDescent="0.2">
      <c r="Z42407" t="str">
        <f t="shared" si="662"/>
        <v/>
      </c>
    </row>
    <row r="42408" spans="26:26" x14ac:dyDescent="0.2">
      <c r="Z42408" t="str">
        <f t="shared" si="662"/>
        <v/>
      </c>
    </row>
    <row r="42409" spans="26:26" x14ac:dyDescent="0.2">
      <c r="Z42409" t="str">
        <f t="shared" si="662"/>
        <v/>
      </c>
    </row>
    <row r="42410" spans="26:26" x14ac:dyDescent="0.2">
      <c r="Z42410" t="str">
        <f t="shared" si="662"/>
        <v/>
      </c>
    </row>
    <row r="42411" spans="26:26" x14ac:dyDescent="0.2">
      <c r="Z42411" t="str">
        <f t="shared" si="662"/>
        <v/>
      </c>
    </row>
    <row r="42412" spans="26:26" x14ac:dyDescent="0.2">
      <c r="Z42412" t="str">
        <f t="shared" si="662"/>
        <v/>
      </c>
    </row>
    <row r="42413" spans="26:26" x14ac:dyDescent="0.2">
      <c r="Z42413" t="str">
        <f t="shared" si="662"/>
        <v/>
      </c>
    </row>
    <row r="42414" spans="26:26" x14ac:dyDescent="0.2">
      <c r="Z42414" t="str">
        <f t="shared" si="662"/>
        <v/>
      </c>
    </row>
    <row r="42415" spans="26:26" x14ac:dyDescent="0.2">
      <c r="Z42415" t="str">
        <f t="shared" si="662"/>
        <v/>
      </c>
    </row>
    <row r="42416" spans="26:26" x14ac:dyDescent="0.2">
      <c r="Z42416" t="str">
        <f t="shared" si="662"/>
        <v/>
      </c>
    </row>
    <row r="42417" spans="26:26" x14ac:dyDescent="0.2">
      <c r="Z42417" t="str">
        <f t="shared" si="662"/>
        <v/>
      </c>
    </row>
    <row r="42418" spans="26:26" x14ac:dyDescent="0.2">
      <c r="Z42418" t="str">
        <f t="shared" si="662"/>
        <v/>
      </c>
    </row>
    <row r="42419" spans="26:26" x14ac:dyDescent="0.2">
      <c r="Z42419" t="str">
        <f t="shared" si="662"/>
        <v/>
      </c>
    </row>
    <row r="42420" spans="26:26" x14ac:dyDescent="0.2">
      <c r="Z42420" t="str">
        <f t="shared" si="662"/>
        <v/>
      </c>
    </row>
    <row r="42421" spans="26:26" x14ac:dyDescent="0.2">
      <c r="Z42421" t="str">
        <f t="shared" si="662"/>
        <v/>
      </c>
    </row>
    <row r="42422" spans="26:26" x14ac:dyDescent="0.2">
      <c r="Z42422" t="str">
        <f t="shared" si="662"/>
        <v/>
      </c>
    </row>
    <row r="42423" spans="26:26" x14ac:dyDescent="0.2">
      <c r="Z42423" t="str">
        <f t="shared" si="662"/>
        <v/>
      </c>
    </row>
    <row r="42424" spans="26:26" x14ac:dyDescent="0.2">
      <c r="Z42424" t="str">
        <f t="shared" si="662"/>
        <v/>
      </c>
    </row>
    <row r="42425" spans="26:26" x14ac:dyDescent="0.2">
      <c r="Z42425" t="str">
        <f t="shared" si="662"/>
        <v/>
      </c>
    </row>
    <row r="42426" spans="26:26" x14ac:dyDescent="0.2">
      <c r="Z42426" t="str">
        <f t="shared" si="662"/>
        <v/>
      </c>
    </row>
    <row r="42427" spans="26:26" x14ac:dyDescent="0.2">
      <c r="Z42427" t="str">
        <f t="shared" si="662"/>
        <v/>
      </c>
    </row>
    <row r="42428" spans="26:26" x14ac:dyDescent="0.2">
      <c r="Z42428" t="str">
        <f t="shared" si="662"/>
        <v/>
      </c>
    </row>
    <row r="42429" spans="26:26" x14ac:dyDescent="0.2">
      <c r="Z42429" t="str">
        <f t="shared" si="662"/>
        <v/>
      </c>
    </row>
    <row r="42430" spans="26:26" x14ac:dyDescent="0.2">
      <c r="Z42430" t="str">
        <f t="shared" si="662"/>
        <v/>
      </c>
    </row>
    <row r="42431" spans="26:26" x14ac:dyDescent="0.2">
      <c r="Z42431" t="str">
        <f t="shared" si="662"/>
        <v/>
      </c>
    </row>
    <row r="42432" spans="26:26" x14ac:dyDescent="0.2">
      <c r="Z42432" t="str">
        <f t="shared" si="662"/>
        <v/>
      </c>
    </row>
    <row r="42433" spans="26:26" x14ac:dyDescent="0.2">
      <c r="Z42433" t="str">
        <f t="shared" si="662"/>
        <v/>
      </c>
    </row>
    <row r="42434" spans="26:26" x14ac:dyDescent="0.2">
      <c r="Z42434" t="str">
        <f t="shared" si="662"/>
        <v/>
      </c>
    </row>
    <row r="42435" spans="26:26" x14ac:dyDescent="0.2">
      <c r="Z42435" t="str">
        <f t="shared" ref="Z42435:Z42498" si="663">IF(K42435="","",IFERROR(VALUE(TRIM(MID(K42435,FIND(CHAR(167),SUBSTITUTE(K42435,"-",CHAR(167),LEN(K42435)-LEN(SUBSTITUTE(K42435,"-",""))))+1,100))),K42435))</f>
        <v/>
      </c>
    </row>
    <row r="42436" spans="26:26" x14ac:dyDescent="0.2">
      <c r="Z42436" t="str">
        <f t="shared" si="663"/>
        <v/>
      </c>
    </row>
    <row r="42437" spans="26:26" x14ac:dyDescent="0.2">
      <c r="Z42437" t="str">
        <f t="shared" si="663"/>
        <v/>
      </c>
    </row>
    <row r="42438" spans="26:26" x14ac:dyDescent="0.2">
      <c r="Z42438" t="str">
        <f t="shared" si="663"/>
        <v/>
      </c>
    </row>
    <row r="42439" spans="26:26" x14ac:dyDescent="0.2">
      <c r="Z42439" t="str">
        <f t="shared" si="663"/>
        <v/>
      </c>
    </row>
    <row r="42440" spans="26:26" x14ac:dyDescent="0.2">
      <c r="Z42440" t="str">
        <f t="shared" si="663"/>
        <v/>
      </c>
    </row>
    <row r="42441" spans="26:26" x14ac:dyDescent="0.2">
      <c r="Z42441" t="str">
        <f t="shared" si="663"/>
        <v/>
      </c>
    </row>
    <row r="42442" spans="26:26" x14ac:dyDescent="0.2">
      <c r="Z42442" t="str">
        <f t="shared" si="663"/>
        <v/>
      </c>
    </row>
    <row r="42443" spans="26:26" x14ac:dyDescent="0.2">
      <c r="Z42443" t="str">
        <f t="shared" si="663"/>
        <v/>
      </c>
    </row>
    <row r="42444" spans="26:26" x14ac:dyDescent="0.2">
      <c r="Z42444" t="str">
        <f t="shared" si="663"/>
        <v/>
      </c>
    </row>
    <row r="42445" spans="26:26" x14ac:dyDescent="0.2">
      <c r="Z42445" t="str">
        <f t="shared" si="663"/>
        <v/>
      </c>
    </row>
    <row r="42446" spans="26:26" x14ac:dyDescent="0.2">
      <c r="Z42446" t="str">
        <f t="shared" si="663"/>
        <v/>
      </c>
    </row>
    <row r="42447" spans="26:26" x14ac:dyDescent="0.2">
      <c r="Z42447" t="str">
        <f t="shared" si="663"/>
        <v/>
      </c>
    </row>
    <row r="42448" spans="26:26" x14ac:dyDescent="0.2">
      <c r="Z42448" t="str">
        <f t="shared" si="663"/>
        <v/>
      </c>
    </row>
    <row r="42449" spans="26:26" x14ac:dyDescent="0.2">
      <c r="Z42449" t="str">
        <f t="shared" si="663"/>
        <v/>
      </c>
    </row>
    <row r="42450" spans="26:26" x14ac:dyDescent="0.2">
      <c r="Z42450" t="str">
        <f t="shared" si="663"/>
        <v/>
      </c>
    </row>
    <row r="42451" spans="26:26" x14ac:dyDescent="0.2">
      <c r="Z42451" t="str">
        <f t="shared" si="663"/>
        <v/>
      </c>
    </row>
    <row r="42452" spans="26:26" x14ac:dyDescent="0.2">
      <c r="Z42452" t="str">
        <f t="shared" si="663"/>
        <v/>
      </c>
    </row>
    <row r="42453" spans="26:26" x14ac:dyDescent="0.2">
      <c r="Z42453" t="str">
        <f t="shared" si="663"/>
        <v/>
      </c>
    </row>
    <row r="42454" spans="26:26" x14ac:dyDescent="0.2">
      <c r="Z42454" t="str">
        <f t="shared" si="663"/>
        <v/>
      </c>
    </row>
    <row r="42455" spans="26:26" x14ac:dyDescent="0.2">
      <c r="Z42455" t="str">
        <f t="shared" si="663"/>
        <v/>
      </c>
    </row>
    <row r="42456" spans="26:26" x14ac:dyDescent="0.2">
      <c r="Z42456" t="str">
        <f t="shared" si="663"/>
        <v/>
      </c>
    </row>
    <row r="42457" spans="26:26" x14ac:dyDescent="0.2">
      <c r="Z42457" t="str">
        <f t="shared" si="663"/>
        <v/>
      </c>
    </row>
    <row r="42458" spans="26:26" x14ac:dyDescent="0.2">
      <c r="Z42458" t="str">
        <f t="shared" si="663"/>
        <v/>
      </c>
    </row>
    <row r="42459" spans="26:26" x14ac:dyDescent="0.2">
      <c r="Z42459" t="str">
        <f t="shared" si="663"/>
        <v/>
      </c>
    </row>
    <row r="42460" spans="26:26" x14ac:dyDescent="0.2">
      <c r="Z42460" t="str">
        <f t="shared" si="663"/>
        <v/>
      </c>
    </row>
    <row r="42461" spans="26:26" x14ac:dyDescent="0.2">
      <c r="Z42461" t="str">
        <f t="shared" si="663"/>
        <v/>
      </c>
    </row>
    <row r="42462" spans="26:26" x14ac:dyDescent="0.2">
      <c r="Z42462" t="str">
        <f t="shared" si="663"/>
        <v/>
      </c>
    </row>
    <row r="42463" spans="26:26" x14ac:dyDescent="0.2">
      <c r="Z42463" t="str">
        <f t="shared" si="663"/>
        <v/>
      </c>
    </row>
    <row r="42464" spans="26:26" x14ac:dyDescent="0.2">
      <c r="Z42464" t="str">
        <f t="shared" si="663"/>
        <v/>
      </c>
    </row>
    <row r="42465" spans="26:26" x14ac:dyDescent="0.2">
      <c r="Z42465" t="str">
        <f t="shared" si="663"/>
        <v/>
      </c>
    </row>
    <row r="42466" spans="26:26" x14ac:dyDescent="0.2">
      <c r="Z42466" t="str">
        <f t="shared" si="663"/>
        <v/>
      </c>
    </row>
    <row r="42467" spans="26:26" x14ac:dyDescent="0.2">
      <c r="Z42467" t="str">
        <f t="shared" si="663"/>
        <v/>
      </c>
    </row>
    <row r="42468" spans="26:26" x14ac:dyDescent="0.2">
      <c r="Z42468" t="str">
        <f t="shared" si="663"/>
        <v/>
      </c>
    </row>
    <row r="42469" spans="26:26" x14ac:dyDescent="0.2">
      <c r="Z42469" t="str">
        <f t="shared" si="663"/>
        <v/>
      </c>
    </row>
    <row r="42470" spans="26:26" x14ac:dyDescent="0.2">
      <c r="Z42470" t="str">
        <f t="shared" si="663"/>
        <v/>
      </c>
    </row>
    <row r="42471" spans="26:26" x14ac:dyDescent="0.2">
      <c r="Z42471" t="str">
        <f t="shared" si="663"/>
        <v/>
      </c>
    </row>
    <row r="42472" spans="26:26" x14ac:dyDescent="0.2">
      <c r="Z42472" t="str">
        <f t="shared" si="663"/>
        <v/>
      </c>
    </row>
    <row r="42473" spans="26:26" x14ac:dyDescent="0.2">
      <c r="Z42473" t="str">
        <f t="shared" si="663"/>
        <v/>
      </c>
    </row>
    <row r="42474" spans="26:26" x14ac:dyDescent="0.2">
      <c r="Z42474" t="str">
        <f t="shared" si="663"/>
        <v/>
      </c>
    </row>
    <row r="42475" spans="26:26" x14ac:dyDescent="0.2">
      <c r="Z42475" t="str">
        <f t="shared" si="663"/>
        <v/>
      </c>
    </row>
    <row r="42476" spans="26:26" x14ac:dyDescent="0.2">
      <c r="Z42476" t="str">
        <f t="shared" si="663"/>
        <v/>
      </c>
    </row>
    <row r="42477" spans="26:26" x14ac:dyDescent="0.2">
      <c r="Z42477" t="str">
        <f t="shared" si="663"/>
        <v/>
      </c>
    </row>
    <row r="42478" spans="26:26" x14ac:dyDescent="0.2">
      <c r="Z42478" t="str">
        <f t="shared" si="663"/>
        <v/>
      </c>
    </row>
    <row r="42479" spans="26:26" x14ac:dyDescent="0.2">
      <c r="Z42479" t="str">
        <f t="shared" si="663"/>
        <v/>
      </c>
    </row>
    <row r="42480" spans="26:26" x14ac:dyDescent="0.2">
      <c r="Z42480" t="str">
        <f t="shared" si="663"/>
        <v/>
      </c>
    </row>
    <row r="42481" spans="26:26" x14ac:dyDescent="0.2">
      <c r="Z42481" t="str">
        <f t="shared" si="663"/>
        <v/>
      </c>
    </row>
    <row r="42482" spans="26:26" x14ac:dyDescent="0.2">
      <c r="Z42482" t="str">
        <f t="shared" si="663"/>
        <v/>
      </c>
    </row>
    <row r="42483" spans="26:26" x14ac:dyDescent="0.2">
      <c r="Z42483" t="str">
        <f t="shared" si="663"/>
        <v/>
      </c>
    </row>
    <row r="42484" spans="26:26" x14ac:dyDescent="0.2">
      <c r="Z42484" t="str">
        <f t="shared" si="663"/>
        <v/>
      </c>
    </row>
    <row r="42485" spans="26:26" x14ac:dyDescent="0.2">
      <c r="Z42485" t="str">
        <f t="shared" si="663"/>
        <v/>
      </c>
    </row>
    <row r="42486" spans="26:26" x14ac:dyDescent="0.2">
      <c r="Z42486" t="str">
        <f t="shared" si="663"/>
        <v/>
      </c>
    </row>
    <row r="42487" spans="26:26" x14ac:dyDescent="0.2">
      <c r="Z42487" t="str">
        <f t="shared" si="663"/>
        <v/>
      </c>
    </row>
    <row r="42488" spans="26:26" x14ac:dyDescent="0.2">
      <c r="Z42488" t="str">
        <f t="shared" si="663"/>
        <v/>
      </c>
    </row>
    <row r="42489" spans="26:26" x14ac:dyDescent="0.2">
      <c r="Z42489" t="str">
        <f t="shared" si="663"/>
        <v/>
      </c>
    </row>
    <row r="42490" spans="26:26" x14ac:dyDescent="0.2">
      <c r="Z42490" t="str">
        <f t="shared" si="663"/>
        <v/>
      </c>
    </row>
    <row r="42491" spans="26:26" x14ac:dyDescent="0.2">
      <c r="Z42491" t="str">
        <f t="shared" si="663"/>
        <v/>
      </c>
    </row>
    <row r="42492" spans="26:26" x14ac:dyDescent="0.2">
      <c r="Z42492" t="str">
        <f t="shared" si="663"/>
        <v/>
      </c>
    </row>
    <row r="42493" spans="26:26" x14ac:dyDescent="0.2">
      <c r="Z42493" t="str">
        <f t="shared" si="663"/>
        <v/>
      </c>
    </row>
    <row r="42494" spans="26:26" x14ac:dyDescent="0.2">
      <c r="Z42494" t="str">
        <f t="shared" si="663"/>
        <v/>
      </c>
    </row>
    <row r="42495" spans="26:26" x14ac:dyDescent="0.2">
      <c r="Z42495" t="str">
        <f t="shared" si="663"/>
        <v/>
      </c>
    </row>
    <row r="42496" spans="26:26" x14ac:dyDescent="0.2">
      <c r="Z42496" t="str">
        <f t="shared" si="663"/>
        <v/>
      </c>
    </row>
    <row r="42497" spans="26:26" x14ac:dyDescent="0.2">
      <c r="Z42497" t="str">
        <f t="shared" si="663"/>
        <v/>
      </c>
    </row>
    <row r="42498" spans="26:26" x14ac:dyDescent="0.2">
      <c r="Z42498" t="str">
        <f t="shared" si="663"/>
        <v/>
      </c>
    </row>
    <row r="42499" spans="26:26" x14ac:dyDescent="0.2">
      <c r="Z42499" t="str">
        <f t="shared" ref="Z42499:Z42562" si="664">IF(K42499="","",IFERROR(VALUE(TRIM(MID(K42499,FIND(CHAR(167),SUBSTITUTE(K42499,"-",CHAR(167),LEN(K42499)-LEN(SUBSTITUTE(K42499,"-",""))))+1,100))),K42499))</f>
        <v/>
      </c>
    </row>
    <row r="42500" spans="26:26" x14ac:dyDescent="0.2">
      <c r="Z42500" t="str">
        <f t="shared" si="664"/>
        <v/>
      </c>
    </row>
    <row r="42501" spans="26:26" x14ac:dyDescent="0.2">
      <c r="Z42501" t="str">
        <f t="shared" si="664"/>
        <v/>
      </c>
    </row>
    <row r="42502" spans="26:26" x14ac:dyDescent="0.2">
      <c r="Z42502" t="str">
        <f t="shared" si="664"/>
        <v/>
      </c>
    </row>
    <row r="42503" spans="26:26" x14ac:dyDescent="0.2">
      <c r="Z42503" t="str">
        <f t="shared" si="664"/>
        <v/>
      </c>
    </row>
    <row r="42504" spans="26:26" x14ac:dyDescent="0.2">
      <c r="Z42504" t="str">
        <f t="shared" si="664"/>
        <v/>
      </c>
    </row>
    <row r="42505" spans="26:26" x14ac:dyDescent="0.2">
      <c r="Z42505" t="str">
        <f t="shared" si="664"/>
        <v/>
      </c>
    </row>
    <row r="42506" spans="26:26" x14ac:dyDescent="0.2">
      <c r="Z42506" t="str">
        <f t="shared" si="664"/>
        <v/>
      </c>
    </row>
    <row r="42507" spans="26:26" x14ac:dyDescent="0.2">
      <c r="Z42507" t="str">
        <f t="shared" si="664"/>
        <v/>
      </c>
    </row>
    <row r="42508" spans="26:26" x14ac:dyDescent="0.2">
      <c r="Z42508" t="str">
        <f t="shared" si="664"/>
        <v/>
      </c>
    </row>
    <row r="42509" spans="26:26" x14ac:dyDescent="0.2">
      <c r="Z42509" t="str">
        <f t="shared" si="664"/>
        <v/>
      </c>
    </row>
    <row r="42510" spans="26:26" x14ac:dyDescent="0.2">
      <c r="Z42510" t="str">
        <f t="shared" si="664"/>
        <v/>
      </c>
    </row>
    <row r="42511" spans="26:26" x14ac:dyDescent="0.2">
      <c r="Z42511" t="str">
        <f t="shared" si="664"/>
        <v/>
      </c>
    </row>
    <row r="42512" spans="26:26" x14ac:dyDescent="0.2">
      <c r="Z42512" t="str">
        <f t="shared" si="664"/>
        <v/>
      </c>
    </row>
    <row r="42513" spans="26:26" x14ac:dyDescent="0.2">
      <c r="Z42513" t="str">
        <f t="shared" si="664"/>
        <v/>
      </c>
    </row>
    <row r="42514" spans="26:26" x14ac:dyDescent="0.2">
      <c r="Z42514" t="str">
        <f t="shared" si="664"/>
        <v/>
      </c>
    </row>
    <row r="42515" spans="26:26" x14ac:dyDescent="0.2">
      <c r="Z42515" t="str">
        <f t="shared" si="664"/>
        <v/>
      </c>
    </row>
    <row r="42516" spans="26:26" x14ac:dyDescent="0.2">
      <c r="Z42516" t="str">
        <f t="shared" si="664"/>
        <v/>
      </c>
    </row>
    <row r="42517" spans="26:26" x14ac:dyDescent="0.2">
      <c r="Z42517" t="str">
        <f t="shared" si="664"/>
        <v/>
      </c>
    </row>
    <row r="42518" spans="26:26" x14ac:dyDescent="0.2">
      <c r="Z42518" t="str">
        <f t="shared" si="664"/>
        <v/>
      </c>
    </row>
    <row r="42519" spans="26:26" x14ac:dyDescent="0.2">
      <c r="Z42519" t="str">
        <f t="shared" si="664"/>
        <v/>
      </c>
    </row>
    <row r="42520" spans="26:26" x14ac:dyDescent="0.2">
      <c r="Z42520" t="str">
        <f t="shared" si="664"/>
        <v/>
      </c>
    </row>
    <row r="42521" spans="26:26" x14ac:dyDescent="0.2">
      <c r="Z42521" t="str">
        <f t="shared" si="664"/>
        <v/>
      </c>
    </row>
    <row r="42522" spans="26:26" x14ac:dyDescent="0.2">
      <c r="Z42522" t="str">
        <f t="shared" si="664"/>
        <v/>
      </c>
    </row>
    <row r="42523" spans="26:26" x14ac:dyDescent="0.2">
      <c r="Z42523" t="str">
        <f t="shared" si="664"/>
        <v/>
      </c>
    </row>
    <row r="42524" spans="26:26" x14ac:dyDescent="0.2">
      <c r="Z42524" t="str">
        <f t="shared" si="664"/>
        <v/>
      </c>
    </row>
    <row r="42525" spans="26:26" x14ac:dyDescent="0.2">
      <c r="Z42525" t="str">
        <f t="shared" si="664"/>
        <v/>
      </c>
    </row>
    <row r="42526" spans="26:26" x14ac:dyDescent="0.2">
      <c r="Z42526" t="str">
        <f t="shared" si="664"/>
        <v/>
      </c>
    </row>
    <row r="42527" spans="26:26" x14ac:dyDescent="0.2">
      <c r="Z42527" t="str">
        <f t="shared" si="664"/>
        <v/>
      </c>
    </row>
    <row r="42528" spans="26:26" x14ac:dyDescent="0.2">
      <c r="Z42528" t="str">
        <f t="shared" si="664"/>
        <v/>
      </c>
    </row>
    <row r="42529" spans="26:26" x14ac:dyDescent="0.2">
      <c r="Z42529" t="str">
        <f t="shared" si="664"/>
        <v/>
      </c>
    </row>
    <row r="42530" spans="26:26" x14ac:dyDescent="0.2">
      <c r="Z42530" t="str">
        <f t="shared" si="664"/>
        <v/>
      </c>
    </row>
    <row r="42531" spans="26:26" x14ac:dyDescent="0.2">
      <c r="Z42531" t="str">
        <f t="shared" si="664"/>
        <v/>
      </c>
    </row>
    <row r="42532" spans="26:26" x14ac:dyDescent="0.2">
      <c r="Z42532" t="str">
        <f t="shared" si="664"/>
        <v/>
      </c>
    </row>
    <row r="42533" spans="26:26" x14ac:dyDescent="0.2">
      <c r="Z42533" t="str">
        <f t="shared" si="664"/>
        <v/>
      </c>
    </row>
    <row r="42534" spans="26:26" x14ac:dyDescent="0.2">
      <c r="Z42534" t="str">
        <f t="shared" si="664"/>
        <v/>
      </c>
    </row>
    <row r="42535" spans="26:26" x14ac:dyDescent="0.2">
      <c r="Z42535" t="str">
        <f t="shared" si="664"/>
        <v/>
      </c>
    </row>
    <row r="42536" spans="26:26" x14ac:dyDescent="0.2">
      <c r="Z42536" t="str">
        <f t="shared" si="664"/>
        <v/>
      </c>
    </row>
    <row r="42537" spans="26:26" x14ac:dyDescent="0.2">
      <c r="Z42537" t="str">
        <f t="shared" si="664"/>
        <v/>
      </c>
    </row>
    <row r="42538" spans="26:26" x14ac:dyDescent="0.2">
      <c r="Z42538" t="str">
        <f t="shared" si="664"/>
        <v/>
      </c>
    </row>
    <row r="42539" spans="26:26" x14ac:dyDescent="0.2">
      <c r="Z42539" t="str">
        <f t="shared" si="664"/>
        <v/>
      </c>
    </row>
    <row r="42540" spans="26:26" x14ac:dyDescent="0.2">
      <c r="Z42540" t="str">
        <f t="shared" si="664"/>
        <v/>
      </c>
    </row>
    <row r="42541" spans="26:26" x14ac:dyDescent="0.2">
      <c r="Z42541" t="str">
        <f t="shared" si="664"/>
        <v/>
      </c>
    </row>
    <row r="42542" spans="26:26" x14ac:dyDescent="0.2">
      <c r="Z42542" t="str">
        <f t="shared" si="664"/>
        <v/>
      </c>
    </row>
    <row r="42543" spans="26:26" x14ac:dyDescent="0.2">
      <c r="Z42543" t="str">
        <f t="shared" si="664"/>
        <v/>
      </c>
    </row>
    <row r="42544" spans="26:26" x14ac:dyDescent="0.2">
      <c r="Z42544" t="str">
        <f t="shared" si="664"/>
        <v/>
      </c>
    </row>
    <row r="42545" spans="26:26" x14ac:dyDescent="0.2">
      <c r="Z42545" t="str">
        <f t="shared" si="664"/>
        <v/>
      </c>
    </row>
    <row r="42546" spans="26:26" x14ac:dyDescent="0.2">
      <c r="Z42546" t="str">
        <f t="shared" si="664"/>
        <v/>
      </c>
    </row>
    <row r="42547" spans="26:26" x14ac:dyDescent="0.2">
      <c r="Z42547" t="str">
        <f t="shared" si="664"/>
        <v/>
      </c>
    </row>
    <row r="42548" spans="26:26" x14ac:dyDescent="0.2">
      <c r="Z42548" t="str">
        <f t="shared" si="664"/>
        <v/>
      </c>
    </row>
    <row r="42549" spans="26:26" x14ac:dyDescent="0.2">
      <c r="Z42549" t="str">
        <f t="shared" si="664"/>
        <v/>
      </c>
    </row>
    <row r="42550" spans="26:26" x14ac:dyDescent="0.2">
      <c r="Z42550" t="str">
        <f t="shared" si="664"/>
        <v/>
      </c>
    </row>
    <row r="42551" spans="26:26" x14ac:dyDescent="0.2">
      <c r="Z42551" t="str">
        <f t="shared" si="664"/>
        <v/>
      </c>
    </row>
    <row r="42552" spans="26:26" x14ac:dyDescent="0.2">
      <c r="Z42552" t="str">
        <f t="shared" si="664"/>
        <v/>
      </c>
    </row>
    <row r="42553" spans="26:26" x14ac:dyDescent="0.2">
      <c r="Z42553" t="str">
        <f t="shared" si="664"/>
        <v/>
      </c>
    </row>
    <row r="42554" spans="26:26" x14ac:dyDescent="0.2">
      <c r="Z42554" t="str">
        <f t="shared" si="664"/>
        <v/>
      </c>
    </row>
    <row r="42555" spans="26:26" x14ac:dyDescent="0.2">
      <c r="Z42555" t="str">
        <f t="shared" si="664"/>
        <v/>
      </c>
    </row>
    <row r="42556" spans="26:26" x14ac:dyDescent="0.2">
      <c r="Z42556" t="str">
        <f t="shared" si="664"/>
        <v/>
      </c>
    </row>
    <row r="42557" spans="26:26" x14ac:dyDescent="0.2">
      <c r="Z42557" t="str">
        <f t="shared" si="664"/>
        <v/>
      </c>
    </row>
    <row r="42558" spans="26:26" x14ac:dyDescent="0.2">
      <c r="Z42558" t="str">
        <f t="shared" si="664"/>
        <v/>
      </c>
    </row>
    <row r="42559" spans="26:26" x14ac:dyDescent="0.2">
      <c r="Z42559" t="str">
        <f t="shared" si="664"/>
        <v/>
      </c>
    </row>
    <row r="42560" spans="26:26" x14ac:dyDescent="0.2">
      <c r="Z42560" t="str">
        <f t="shared" si="664"/>
        <v/>
      </c>
    </row>
    <row r="42561" spans="26:26" x14ac:dyDescent="0.2">
      <c r="Z42561" t="str">
        <f t="shared" si="664"/>
        <v/>
      </c>
    </row>
    <row r="42562" spans="26:26" x14ac:dyDescent="0.2">
      <c r="Z42562" t="str">
        <f t="shared" si="664"/>
        <v/>
      </c>
    </row>
    <row r="42563" spans="26:26" x14ac:dyDescent="0.2">
      <c r="Z42563" t="str">
        <f t="shared" ref="Z42563:Z42626" si="665">IF(K42563="","",IFERROR(VALUE(TRIM(MID(K42563,FIND(CHAR(167),SUBSTITUTE(K42563,"-",CHAR(167),LEN(K42563)-LEN(SUBSTITUTE(K42563,"-",""))))+1,100))),K42563))</f>
        <v/>
      </c>
    </row>
    <row r="42564" spans="26:26" x14ac:dyDescent="0.2">
      <c r="Z42564" t="str">
        <f t="shared" si="665"/>
        <v/>
      </c>
    </row>
    <row r="42565" spans="26:26" x14ac:dyDescent="0.2">
      <c r="Z42565" t="str">
        <f t="shared" si="665"/>
        <v/>
      </c>
    </row>
    <row r="42566" spans="26:26" x14ac:dyDescent="0.2">
      <c r="Z42566" t="str">
        <f t="shared" si="665"/>
        <v/>
      </c>
    </row>
    <row r="42567" spans="26:26" x14ac:dyDescent="0.2">
      <c r="Z42567" t="str">
        <f t="shared" si="665"/>
        <v/>
      </c>
    </row>
    <row r="42568" spans="26:26" x14ac:dyDescent="0.2">
      <c r="Z42568" t="str">
        <f t="shared" si="665"/>
        <v/>
      </c>
    </row>
    <row r="42569" spans="26:26" x14ac:dyDescent="0.2">
      <c r="Z42569" t="str">
        <f t="shared" si="665"/>
        <v/>
      </c>
    </row>
    <row r="42570" spans="26:26" x14ac:dyDescent="0.2">
      <c r="Z42570" t="str">
        <f t="shared" si="665"/>
        <v/>
      </c>
    </row>
    <row r="42571" spans="26:26" x14ac:dyDescent="0.2">
      <c r="Z42571" t="str">
        <f t="shared" si="665"/>
        <v/>
      </c>
    </row>
    <row r="42572" spans="26:26" x14ac:dyDescent="0.2">
      <c r="Z42572" t="str">
        <f t="shared" si="665"/>
        <v/>
      </c>
    </row>
    <row r="42573" spans="26:26" x14ac:dyDescent="0.2">
      <c r="Z42573" t="str">
        <f t="shared" si="665"/>
        <v/>
      </c>
    </row>
    <row r="42574" spans="26:26" x14ac:dyDescent="0.2">
      <c r="Z42574" t="str">
        <f t="shared" si="665"/>
        <v/>
      </c>
    </row>
    <row r="42575" spans="26:26" x14ac:dyDescent="0.2">
      <c r="Z42575" t="str">
        <f t="shared" si="665"/>
        <v/>
      </c>
    </row>
    <row r="42576" spans="26:26" x14ac:dyDescent="0.2">
      <c r="Z42576" t="str">
        <f t="shared" si="665"/>
        <v/>
      </c>
    </row>
    <row r="42577" spans="26:26" x14ac:dyDescent="0.2">
      <c r="Z42577" t="str">
        <f t="shared" si="665"/>
        <v/>
      </c>
    </row>
    <row r="42578" spans="26:26" x14ac:dyDescent="0.2">
      <c r="Z42578" t="str">
        <f t="shared" si="665"/>
        <v/>
      </c>
    </row>
    <row r="42579" spans="26:26" x14ac:dyDescent="0.2">
      <c r="Z42579" t="str">
        <f t="shared" si="665"/>
        <v/>
      </c>
    </row>
    <row r="42580" spans="26:26" x14ac:dyDescent="0.2">
      <c r="Z42580" t="str">
        <f t="shared" si="665"/>
        <v/>
      </c>
    </row>
    <row r="42581" spans="26:26" x14ac:dyDescent="0.2">
      <c r="Z42581" t="str">
        <f t="shared" si="665"/>
        <v/>
      </c>
    </row>
    <row r="42582" spans="26:26" x14ac:dyDescent="0.2">
      <c r="Z42582" t="str">
        <f t="shared" si="665"/>
        <v/>
      </c>
    </row>
    <row r="42583" spans="26:26" x14ac:dyDescent="0.2">
      <c r="Z42583" t="str">
        <f t="shared" si="665"/>
        <v/>
      </c>
    </row>
    <row r="42584" spans="26:26" x14ac:dyDescent="0.2">
      <c r="Z42584" t="str">
        <f t="shared" si="665"/>
        <v/>
      </c>
    </row>
    <row r="42585" spans="26:26" x14ac:dyDescent="0.2">
      <c r="Z42585" t="str">
        <f t="shared" si="665"/>
        <v/>
      </c>
    </row>
    <row r="42586" spans="26:26" x14ac:dyDescent="0.2">
      <c r="Z42586" t="str">
        <f t="shared" si="665"/>
        <v/>
      </c>
    </row>
    <row r="42587" spans="26:26" x14ac:dyDescent="0.2">
      <c r="Z42587" t="str">
        <f t="shared" si="665"/>
        <v/>
      </c>
    </row>
    <row r="42588" spans="26:26" x14ac:dyDescent="0.2">
      <c r="Z42588" t="str">
        <f t="shared" si="665"/>
        <v/>
      </c>
    </row>
    <row r="42589" spans="26:26" x14ac:dyDescent="0.2">
      <c r="Z42589" t="str">
        <f t="shared" si="665"/>
        <v/>
      </c>
    </row>
    <row r="42590" spans="26:26" x14ac:dyDescent="0.2">
      <c r="Z42590" t="str">
        <f t="shared" si="665"/>
        <v/>
      </c>
    </row>
    <row r="42591" spans="26:26" x14ac:dyDescent="0.2">
      <c r="Z42591" t="str">
        <f t="shared" si="665"/>
        <v/>
      </c>
    </row>
    <row r="42592" spans="26:26" x14ac:dyDescent="0.2">
      <c r="Z42592" t="str">
        <f t="shared" si="665"/>
        <v/>
      </c>
    </row>
    <row r="42593" spans="26:26" x14ac:dyDescent="0.2">
      <c r="Z42593" t="str">
        <f t="shared" si="665"/>
        <v/>
      </c>
    </row>
    <row r="42594" spans="26:26" x14ac:dyDescent="0.2">
      <c r="Z42594" t="str">
        <f t="shared" si="665"/>
        <v/>
      </c>
    </row>
    <row r="42595" spans="26:26" x14ac:dyDescent="0.2">
      <c r="Z42595" t="str">
        <f t="shared" si="665"/>
        <v/>
      </c>
    </row>
    <row r="42596" spans="26:26" x14ac:dyDescent="0.2">
      <c r="Z42596" t="str">
        <f t="shared" si="665"/>
        <v/>
      </c>
    </row>
    <row r="42597" spans="26:26" x14ac:dyDescent="0.2">
      <c r="Z42597" t="str">
        <f t="shared" si="665"/>
        <v/>
      </c>
    </row>
    <row r="42598" spans="26:26" x14ac:dyDescent="0.2">
      <c r="Z42598" t="str">
        <f t="shared" si="665"/>
        <v/>
      </c>
    </row>
    <row r="42599" spans="26:26" x14ac:dyDescent="0.2">
      <c r="Z42599" t="str">
        <f t="shared" si="665"/>
        <v/>
      </c>
    </row>
    <row r="42600" spans="26:26" x14ac:dyDescent="0.2">
      <c r="Z42600" t="str">
        <f t="shared" si="665"/>
        <v/>
      </c>
    </row>
    <row r="42601" spans="26:26" x14ac:dyDescent="0.2">
      <c r="Z42601" t="str">
        <f t="shared" si="665"/>
        <v/>
      </c>
    </row>
    <row r="42602" spans="26:26" x14ac:dyDescent="0.2">
      <c r="Z42602" t="str">
        <f t="shared" si="665"/>
        <v/>
      </c>
    </row>
    <row r="42603" spans="26:26" x14ac:dyDescent="0.2">
      <c r="Z42603" t="str">
        <f t="shared" si="665"/>
        <v/>
      </c>
    </row>
    <row r="42604" spans="26:26" x14ac:dyDescent="0.2">
      <c r="Z42604" t="str">
        <f t="shared" si="665"/>
        <v/>
      </c>
    </row>
    <row r="42605" spans="26:26" x14ac:dyDescent="0.2">
      <c r="Z42605" t="str">
        <f t="shared" si="665"/>
        <v/>
      </c>
    </row>
    <row r="42606" spans="26:26" x14ac:dyDescent="0.2">
      <c r="Z42606" t="str">
        <f t="shared" si="665"/>
        <v/>
      </c>
    </row>
    <row r="42607" spans="26:26" x14ac:dyDescent="0.2">
      <c r="Z42607" t="str">
        <f t="shared" si="665"/>
        <v/>
      </c>
    </row>
    <row r="42608" spans="26:26" x14ac:dyDescent="0.2">
      <c r="Z42608" t="str">
        <f t="shared" si="665"/>
        <v/>
      </c>
    </row>
    <row r="42609" spans="26:26" x14ac:dyDescent="0.2">
      <c r="Z42609" t="str">
        <f t="shared" si="665"/>
        <v/>
      </c>
    </row>
    <row r="42610" spans="26:26" x14ac:dyDescent="0.2">
      <c r="Z42610" t="str">
        <f t="shared" si="665"/>
        <v/>
      </c>
    </row>
    <row r="42611" spans="26:26" x14ac:dyDescent="0.2">
      <c r="Z42611" t="str">
        <f t="shared" si="665"/>
        <v/>
      </c>
    </row>
    <row r="42612" spans="26:26" x14ac:dyDescent="0.2">
      <c r="Z42612" t="str">
        <f t="shared" si="665"/>
        <v/>
      </c>
    </row>
    <row r="42613" spans="26:26" x14ac:dyDescent="0.2">
      <c r="Z42613" t="str">
        <f t="shared" si="665"/>
        <v/>
      </c>
    </row>
    <row r="42614" spans="26:26" x14ac:dyDescent="0.2">
      <c r="Z42614" t="str">
        <f t="shared" si="665"/>
        <v/>
      </c>
    </row>
    <row r="42615" spans="26:26" x14ac:dyDescent="0.2">
      <c r="Z42615" t="str">
        <f t="shared" si="665"/>
        <v/>
      </c>
    </row>
    <row r="42616" spans="26:26" x14ac:dyDescent="0.2">
      <c r="Z42616" t="str">
        <f t="shared" si="665"/>
        <v/>
      </c>
    </row>
    <row r="42617" spans="26:26" x14ac:dyDescent="0.2">
      <c r="Z42617" t="str">
        <f t="shared" si="665"/>
        <v/>
      </c>
    </row>
    <row r="42618" spans="26:26" x14ac:dyDescent="0.2">
      <c r="Z42618" t="str">
        <f t="shared" si="665"/>
        <v/>
      </c>
    </row>
    <row r="42619" spans="26:26" x14ac:dyDescent="0.2">
      <c r="Z42619" t="str">
        <f t="shared" si="665"/>
        <v/>
      </c>
    </row>
    <row r="42620" spans="26:26" x14ac:dyDescent="0.2">
      <c r="Z42620" t="str">
        <f t="shared" si="665"/>
        <v/>
      </c>
    </row>
    <row r="42621" spans="26:26" x14ac:dyDescent="0.2">
      <c r="Z42621" t="str">
        <f t="shared" si="665"/>
        <v/>
      </c>
    </row>
    <row r="42622" spans="26:26" x14ac:dyDescent="0.2">
      <c r="Z42622" t="str">
        <f t="shared" si="665"/>
        <v/>
      </c>
    </row>
    <row r="42623" spans="26:26" x14ac:dyDescent="0.2">
      <c r="Z42623" t="str">
        <f t="shared" si="665"/>
        <v/>
      </c>
    </row>
    <row r="42624" spans="26:26" x14ac:dyDescent="0.2">
      <c r="Z42624" t="str">
        <f t="shared" si="665"/>
        <v/>
      </c>
    </row>
    <row r="42625" spans="26:26" x14ac:dyDescent="0.2">
      <c r="Z42625" t="str">
        <f t="shared" si="665"/>
        <v/>
      </c>
    </row>
    <row r="42626" spans="26:26" x14ac:dyDescent="0.2">
      <c r="Z42626" t="str">
        <f t="shared" si="665"/>
        <v/>
      </c>
    </row>
    <row r="42627" spans="26:26" x14ac:dyDescent="0.2">
      <c r="Z42627" t="str">
        <f t="shared" ref="Z42627:Z42690" si="666">IF(K42627="","",IFERROR(VALUE(TRIM(MID(K42627,FIND(CHAR(167),SUBSTITUTE(K42627,"-",CHAR(167),LEN(K42627)-LEN(SUBSTITUTE(K42627,"-",""))))+1,100))),K42627))</f>
        <v/>
      </c>
    </row>
    <row r="42628" spans="26:26" x14ac:dyDescent="0.2">
      <c r="Z42628" t="str">
        <f t="shared" si="666"/>
        <v/>
      </c>
    </row>
    <row r="42629" spans="26:26" x14ac:dyDescent="0.2">
      <c r="Z42629" t="str">
        <f t="shared" si="666"/>
        <v/>
      </c>
    </row>
    <row r="42630" spans="26:26" x14ac:dyDescent="0.2">
      <c r="Z42630" t="str">
        <f t="shared" si="666"/>
        <v/>
      </c>
    </row>
    <row r="42631" spans="26:26" x14ac:dyDescent="0.2">
      <c r="Z42631" t="str">
        <f t="shared" si="666"/>
        <v/>
      </c>
    </row>
    <row r="42632" spans="26:26" x14ac:dyDescent="0.2">
      <c r="Z42632" t="str">
        <f t="shared" si="666"/>
        <v/>
      </c>
    </row>
    <row r="42633" spans="26:26" x14ac:dyDescent="0.2">
      <c r="Z42633" t="str">
        <f t="shared" si="666"/>
        <v/>
      </c>
    </row>
    <row r="42634" spans="26:26" x14ac:dyDescent="0.2">
      <c r="Z42634" t="str">
        <f t="shared" si="666"/>
        <v/>
      </c>
    </row>
    <row r="42635" spans="26:26" x14ac:dyDescent="0.2">
      <c r="Z42635" t="str">
        <f t="shared" si="666"/>
        <v/>
      </c>
    </row>
    <row r="42636" spans="26:26" x14ac:dyDescent="0.2">
      <c r="Z42636" t="str">
        <f t="shared" si="666"/>
        <v/>
      </c>
    </row>
    <row r="42637" spans="26:26" x14ac:dyDescent="0.2">
      <c r="Z42637" t="str">
        <f t="shared" si="666"/>
        <v/>
      </c>
    </row>
    <row r="42638" spans="26:26" x14ac:dyDescent="0.2">
      <c r="Z42638" t="str">
        <f t="shared" si="666"/>
        <v/>
      </c>
    </row>
    <row r="42639" spans="26:26" x14ac:dyDescent="0.2">
      <c r="Z42639" t="str">
        <f t="shared" si="666"/>
        <v/>
      </c>
    </row>
    <row r="42640" spans="26:26" x14ac:dyDescent="0.2">
      <c r="Z42640" t="str">
        <f t="shared" si="666"/>
        <v/>
      </c>
    </row>
    <row r="42641" spans="26:26" x14ac:dyDescent="0.2">
      <c r="Z42641" t="str">
        <f t="shared" si="666"/>
        <v/>
      </c>
    </row>
    <row r="42642" spans="26:26" x14ac:dyDescent="0.2">
      <c r="Z42642" t="str">
        <f t="shared" si="666"/>
        <v/>
      </c>
    </row>
    <row r="42643" spans="26:26" x14ac:dyDescent="0.2">
      <c r="Z42643" t="str">
        <f t="shared" si="666"/>
        <v/>
      </c>
    </row>
    <row r="42644" spans="26:26" x14ac:dyDescent="0.2">
      <c r="Z42644" t="str">
        <f t="shared" si="666"/>
        <v/>
      </c>
    </row>
    <row r="42645" spans="26:26" x14ac:dyDescent="0.2">
      <c r="Z42645" t="str">
        <f t="shared" si="666"/>
        <v/>
      </c>
    </row>
    <row r="42646" spans="26:26" x14ac:dyDescent="0.2">
      <c r="Z42646" t="str">
        <f t="shared" si="666"/>
        <v/>
      </c>
    </row>
    <row r="42647" spans="26:26" x14ac:dyDescent="0.2">
      <c r="Z42647" t="str">
        <f t="shared" si="666"/>
        <v/>
      </c>
    </row>
    <row r="42648" spans="26:26" x14ac:dyDescent="0.2">
      <c r="Z42648" t="str">
        <f t="shared" si="666"/>
        <v/>
      </c>
    </row>
    <row r="42649" spans="26:26" x14ac:dyDescent="0.2">
      <c r="Z42649" t="str">
        <f t="shared" si="666"/>
        <v/>
      </c>
    </row>
    <row r="42650" spans="26:26" x14ac:dyDescent="0.2">
      <c r="Z42650" t="str">
        <f t="shared" si="666"/>
        <v/>
      </c>
    </row>
    <row r="42651" spans="26:26" x14ac:dyDescent="0.2">
      <c r="Z42651" t="str">
        <f t="shared" si="666"/>
        <v/>
      </c>
    </row>
    <row r="42652" spans="26:26" x14ac:dyDescent="0.2">
      <c r="Z42652" t="str">
        <f t="shared" si="666"/>
        <v/>
      </c>
    </row>
    <row r="42653" spans="26:26" x14ac:dyDescent="0.2">
      <c r="Z42653" t="str">
        <f t="shared" si="666"/>
        <v/>
      </c>
    </row>
    <row r="42654" spans="26:26" x14ac:dyDescent="0.2">
      <c r="Z42654" t="str">
        <f t="shared" si="666"/>
        <v/>
      </c>
    </row>
    <row r="42655" spans="26:26" x14ac:dyDescent="0.2">
      <c r="Z42655" t="str">
        <f t="shared" si="666"/>
        <v/>
      </c>
    </row>
    <row r="42656" spans="26:26" x14ac:dyDescent="0.2">
      <c r="Z42656" t="str">
        <f t="shared" si="666"/>
        <v/>
      </c>
    </row>
    <row r="42657" spans="26:26" x14ac:dyDescent="0.2">
      <c r="Z42657" t="str">
        <f t="shared" si="666"/>
        <v/>
      </c>
    </row>
    <row r="42658" spans="26:26" x14ac:dyDescent="0.2">
      <c r="Z42658" t="str">
        <f t="shared" si="666"/>
        <v/>
      </c>
    </row>
    <row r="42659" spans="26:26" x14ac:dyDescent="0.2">
      <c r="Z42659" t="str">
        <f t="shared" si="666"/>
        <v/>
      </c>
    </row>
    <row r="42660" spans="26:26" x14ac:dyDescent="0.2">
      <c r="Z42660" t="str">
        <f t="shared" si="666"/>
        <v/>
      </c>
    </row>
    <row r="42661" spans="26:26" x14ac:dyDescent="0.2">
      <c r="Z42661" t="str">
        <f t="shared" si="666"/>
        <v/>
      </c>
    </row>
    <row r="42662" spans="26:26" x14ac:dyDescent="0.2">
      <c r="Z42662" t="str">
        <f t="shared" si="666"/>
        <v/>
      </c>
    </row>
    <row r="42663" spans="26:26" x14ac:dyDescent="0.2">
      <c r="Z42663" t="str">
        <f t="shared" si="666"/>
        <v/>
      </c>
    </row>
    <row r="42664" spans="26:26" x14ac:dyDescent="0.2">
      <c r="Z42664" t="str">
        <f t="shared" si="666"/>
        <v/>
      </c>
    </row>
    <row r="42665" spans="26:26" x14ac:dyDescent="0.2">
      <c r="Z42665" t="str">
        <f t="shared" si="666"/>
        <v/>
      </c>
    </row>
    <row r="42666" spans="26:26" x14ac:dyDescent="0.2">
      <c r="Z42666" t="str">
        <f t="shared" si="666"/>
        <v/>
      </c>
    </row>
    <row r="42667" spans="26:26" x14ac:dyDescent="0.2">
      <c r="Z42667" t="str">
        <f t="shared" si="666"/>
        <v/>
      </c>
    </row>
    <row r="42668" spans="26:26" x14ac:dyDescent="0.2">
      <c r="Z42668" t="str">
        <f t="shared" si="666"/>
        <v/>
      </c>
    </row>
    <row r="42669" spans="26:26" x14ac:dyDescent="0.2">
      <c r="Z42669" t="str">
        <f t="shared" si="666"/>
        <v/>
      </c>
    </row>
    <row r="42670" spans="26:26" x14ac:dyDescent="0.2">
      <c r="Z42670" t="str">
        <f t="shared" si="666"/>
        <v/>
      </c>
    </row>
    <row r="42671" spans="26:26" x14ac:dyDescent="0.2">
      <c r="Z42671" t="str">
        <f t="shared" si="666"/>
        <v/>
      </c>
    </row>
    <row r="42672" spans="26:26" x14ac:dyDescent="0.2">
      <c r="Z42672" t="str">
        <f t="shared" si="666"/>
        <v/>
      </c>
    </row>
    <row r="42673" spans="26:26" x14ac:dyDescent="0.2">
      <c r="Z42673" t="str">
        <f t="shared" si="666"/>
        <v/>
      </c>
    </row>
    <row r="42674" spans="26:26" x14ac:dyDescent="0.2">
      <c r="Z42674" t="str">
        <f t="shared" si="666"/>
        <v/>
      </c>
    </row>
    <row r="42675" spans="26:26" x14ac:dyDescent="0.2">
      <c r="Z42675" t="str">
        <f t="shared" si="666"/>
        <v/>
      </c>
    </row>
    <row r="42676" spans="26:26" x14ac:dyDescent="0.2">
      <c r="Z42676" t="str">
        <f t="shared" si="666"/>
        <v/>
      </c>
    </row>
    <row r="42677" spans="26:26" x14ac:dyDescent="0.2">
      <c r="Z42677" t="str">
        <f t="shared" si="666"/>
        <v/>
      </c>
    </row>
    <row r="42678" spans="26:26" x14ac:dyDescent="0.2">
      <c r="Z42678" t="str">
        <f t="shared" si="666"/>
        <v/>
      </c>
    </row>
    <row r="42679" spans="26:26" x14ac:dyDescent="0.2">
      <c r="Z42679" t="str">
        <f t="shared" si="666"/>
        <v/>
      </c>
    </row>
    <row r="42680" spans="26:26" x14ac:dyDescent="0.2">
      <c r="Z42680" t="str">
        <f t="shared" si="666"/>
        <v/>
      </c>
    </row>
    <row r="42681" spans="26:26" x14ac:dyDescent="0.2">
      <c r="Z42681" t="str">
        <f t="shared" si="666"/>
        <v/>
      </c>
    </row>
    <row r="42682" spans="26:26" x14ac:dyDescent="0.2">
      <c r="Z42682" t="str">
        <f t="shared" si="666"/>
        <v/>
      </c>
    </row>
    <row r="42683" spans="26:26" x14ac:dyDescent="0.2">
      <c r="Z42683" t="str">
        <f t="shared" si="666"/>
        <v/>
      </c>
    </row>
    <row r="42684" spans="26:26" x14ac:dyDescent="0.2">
      <c r="Z42684" t="str">
        <f t="shared" si="666"/>
        <v/>
      </c>
    </row>
    <row r="42685" spans="26:26" x14ac:dyDescent="0.2">
      <c r="Z42685" t="str">
        <f t="shared" si="666"/>
        <v/>
      </c>
    </row>
    <row r="42686" spans="26:26" x14ac:dyDescent="0.2">
      <c r="Z42686" t="str">
        <f t="shared" si="666"/>
        <v/>
      </c>
    </row>
    <row r="42687" spans="26:26" x14ac:dyDescent="0.2">
      <c r="Z42687" t="str">
        <f t="shared" si="666"/>
        <v/>
      </c>
    </row>
    <row r="42688" spans="26:26" x14ac:dyDescent="0.2">
      <c r="Z42688" t="str">
        <f t="shared" si="666"/>
        <v/>
      </c>
    </row>
    <row r="42689" spans="26:26" x14ac:dyDescent="0.2">
      <c r="Z42689" t="str">
        <f t="shared" si="666"/>
        <v/>
      </c>
    </row>
    <row r="42690" spans="26:26" x14ac:dyDescent="0.2">
      <c r="Z42690" t="str">
        <f t="shared" si="666"/>
        <v/>
      </c>
    </row>
    <row r="42691" spans="26:26" x14ac:dyDescent="0.2">
      <c r="Z42691" t="str">
        <f t="shared" ref="Z42691:Z42754" si="667">IF(K42691="","",IFERROR(VALUE(TRIM(MID(K42691,FIND(CHAR(167),SUBSTITUTE(K42691,"-",CHAR(167),LEN(K42691)-LEN(SUBSTITUTE(K42691,"-",""))))+1,100))),K42691))</f>
        <v/>
      </c>
    </row>
    <row r="42692" spans="26:26" x14ac:dyDescent="0.2">
      <c r="Z42692" t="str">
        <f t="shared" si="667"/>
        <v/>
      </c>
    </row>
    <row r="42693" spans="26:26" x14ac:dyDescent="0.2">
      <c r="Z42693" t="str">
        <f t="shared" si="667"/>
        <v/>
      </c>
    </row>
    <row r="42694" spans="26:26" x14ac:dyDescent="0.2">
      <c r="Z42694" t="str">
        <f t="shared" si="667"/>
        <v/>
      </c>
    </row>
    <row r="42695" spans="26:26" x14ac:dyDescent="0.2">
      <c r="Z42695" t="str">
        <f t="shared" si="667"/>
        <v/>
      </c>
    </row>
    <row r="42696" spans="26:26" x14ac:dyDescent="0.2">
      <c r="Z42696" t="str">
        <f t="shared" si="667"/>
        <v/>
      </c>
    </row>
    <row r="42697" spans="26:26" x14ac:dyDescent="0.2">
      <c r="Z42697" t="str">
        <f t="shared" si="667"/>
        <v/>
      </c>
    </row>
    <row r="42698" spans="26:26" x14ac:dyDescent="0.2">
      <c r="Z42698" t="str">
        <f t="shared" si="667"/>
        <v/>
      </c>
    </row>
    <row r="42699" spans="26:26" x14ac:dyDescent="0.2">
      <c r="Z42699" t="str">
        <f t="shared" si="667"/>
        <v/>
      </c>
    </row>
    <row r="42700" spans="26:26" x14ac:dyDescent="0.2">
      <c r="Z42700" t="str">
        <f t="shared" si="667"/>
        <v/>
      </c>
    </row>
    <row r="42701" spans="26:26" x14ac:dyDescent="0.2">
      <c r="Z42701" t="str">
        <f t="shared" si="667"/>
        <v/>
      </c>
    </row>
    <row r="42702" spans="26:26" x14ac:dyDescent="0.2">
      <c r="Z42702" t="str">
        <f t="shared" si="667"/>
        <v/>
      </c>
    </row>
    <row r="42703" spans="26:26" x14ac:dyDescent="0.2">
      <c r="Z42703" t="str">
        <f t="shared" si="667"/>
        <v/>
      </c>
    </row>
    <row r="42704" spans="26:26" x14ac:dyDescent="0.2">
      <c r="Z42704" t="str">
        <f t="shared" si="667"/>
        <v/>
      </c>
    </row>
    <row r="42705" spans="26:26" x14ac:dyDescent="0.2">
      <c r="Z42705" t="str">
        <f t="shared" si="667"/>
        <v/>
      </c>
    </row>
    <row r="42706" spans="26:26" x14ac:dyDescent="0.2">
      <c r="Z42706" t="str">
        <f t="shared" si="667"/>
        <v/>
      </c>
    </row>
    <row r="42707" spans="26:26" x14ac:dyDescent="0.2">
      <c r="Z42707" t="str">
        <f t="shared" si="667"/>
        <v/>
      </c>
    </row>
    <row r="42708" spans="26:26" x14ac:dyDescent="0.2">
      <c r="Z42708" t="str">
        <f t="shared" si="667"/>
        <v/>
      </c>
    </row>
    <row r="42709" spans="26:26" x14ac:dyDescent="0.2">
      <c r="Z42709" t="str">
        <f t="shared" si="667"/>
        <v/>
      </c>
    </row>
    <row r="42710" spans="26:26" x14ac:dyDescent="0.2">
      <c r="Z42710" t="str">
        <f t="shared" si="667"/>
        <v/>
      </c>
    </row>
    <row r="42711" spans="26:26" x14ac:dyDescent="0.2">
      <c r="Z42711" t="str">
        <f t="shared" si="667"/>
        <v/>
      </c>
    </row>
    <row r="42712" spans="26:26" x14ac:dyDescent="0.2">
      <c r="Z42712" t="str">
        <f t="shared" si="667"/>
        <v/>
      </c>
    </row>
    <row r="42713" spans="26:26" x14ac:dyDescent="0.2">
      <c r="Z42713" t="str">
        <f t="shared" si="667"/>
        <v/>
      </c>
    </row>
    <row r="42714" spans="26:26" x14ac:dyDescent="0.2">
      <c r="Z42714" t="str">
        <f t="shared" si="667"/>
        <v/>
      </c>
    </row>
    <row r="42715" spans="26:26" x14ac:dyDescent="0.2">
      <c r="Z42715" t="str">
        <f t="shared" si="667"/>
        <v/>
      </c>
    </row>
    <row r="42716" spans="26:26" x14ac:dyDescent="0.2">
      <c r="Z42716" t="str">
        <f t="shared" si="667"/>
        <v/>
      </c>
    </row>
    <row r="42717" spans="26:26" x14ac:dyDescent="0.2">
      <c r="Z42717" t="str">
        <f t="shared" si="667"/>
        <v/>
      </c>
    </row>
    <row r="42718" spans="26:26" x14ac:dyDescent="0.2">
      <c r="Z42718" t="str">
        <f t="shared" si="667"/>
        <v/>
      </c>
    </row>
    <row r="42719" spans="26:26" x14ac:dyDescent="0.2">
      <c r="Z42719" t="str">
        <f t="shared" si="667"/>
        <v/>
      </c>
    </row>
    <row r="42720" spans="26:26" x14ac:dyDescent="0.2">
      <c r="Z42720" t="str">
        <f t="shared" si="667"/>
        <v/>
      </c>
    </row>
    <row r="42721" spans="26:26" x14ac:dyDescent="0.2">
      <c r="Z42721" t="str">
        <f t="shared" si="667"/>
        <v/>
      </c>
    </row>
    <row r="42722" spans="26:26" x14ac:dyDescent="0.2">
      <c r="Z42722" t="str">
        <f t="shared" si="667"/>
        <v/>
      </c>
    </row>
    <row r="42723" spans="26:26" x14ac:dyDescent="0.2">
      <c r="Z42723" t="str">
        <f t="shared" si="667"/>
        <v/>
      </c>
    </row>
    <row r="42724" spans="26:26" x14ac:dyDescent="0.2">
      <c r="Z42724" t="str">
        <f t="shared" si="667"/>
        <v/>
      </c>
    </row>
    <row r="42725" spans="26:26" x14ac:dyDescent="0.2">
      <c r="Z42725" t="str">
        <f t="shared" si="667"/>
        <v/>
      </c>
    </row>
    <row r="42726" spans="26:26" x14ac:dyDescent="0.2">
      <c r="Z42726" t="str">
        <f t="shared" si="667"/>
        <v/>
      </c>
    </row>
    <row r="42727" spans="26:26" x14ac:dyDescent="0.2">
      <c r="Z42727" t="str">
        <f t="shared" si="667"/>
        <v/>
      </c>
    </row>
    <row r="42728" spans="26:26" x14ac:dyDescent="0.2">
      <c r="Z42728" t="str">
        <f t="shared" si="667"/>
        <v/>
      </c>
    </row>
    <row r="42729" spans="26:26" x14ac:dyDescent="0.2">
      <c r="Z42729" t="str">
        <f t="shared" si="667"/>
        <v/>
      </c>
    </row>
    <row r="42730" spans="26:26" x14ac:dyDescent="0.2">
      <c r="Z42730" t="str">
        <f t="shared" si="667"/>
        <v/>
      </c>
    </row>
    <row r="42731" spans="26:26" x14ac:dyDescent="0.2">
      <c r="Z42731" t="str">
        <f t="shared" si="667"/>
        <v/>
      </c>
    </row>
    <row r="42732" spans="26:26" x14ac:dyDescent="0.2">
      <c r="Z42732" t="str">
        <f t="shared" si="667"/>
        <v/>
      </c>
    </row>
    <row r="42733" spans="26:26" x14ac:dyDescent="0.2">
      <c r="Z42733" t="str">
        <f t="shared" si="667"/>
        <v/>
      </c>
    </row>
    <row r="42734" spans="26:26" x14ac:dyDescent="0.2">
      <c r="Z42734" t="str">
        <f t="shared" si="667"/>
        <v/>
      </c>
    </row>
    <row r="42735" spans="26:26" x14ac:dyDescent="0.2">
      <c r="Z42735" t="str">
        <f t="shared" si="667"/>
        <v/>
      </c>
    </row>
    <row r="42736" spans="26:26" x14ac:dyDescent="0.2">
      <c r="Z42736" t="str">
        <f t="shared" si="667"/>
        <v/>
      </c>
    </row>
    <row r="42737" spans="26:26" x14ac:dyDescent="0.2">
      <c r="Z42737" t="str">
        <f t="shared" si="667"/>
        <v/>
      </c>
    </row>
    <row r="42738" spans="26:26" x14ac:dyDescent="0.2">
      <c r="Z42738" t="str">
        <f t="shared" si="667"/>
        <v/>
      </c>
    </row>
    <row r="42739" spans="26:26" x14ac:dyDescent="0.2">
      <c r="Z42739" t="str">
        <f t="shared" si="667"/>
        <v/>
      </c>
    </row>
    <row r="42740" spans="26:26" x14ac:dyDescent="0.2">
      <c r="Z42740" t="str">
        <f t="shared" si="667"/>
        <v/>
      </c>
    </row>
    <row r="42741" spans="26:26" x14ac:dyDescent="0.2">
      <c r="Z42741" t="str">
        <f t="shared" si="667"/>
        <v/>
      </c>
    </row>
    <row r="42742" spans="26:26" x14ac:dyDescent="0.2">
      <c r="Z42742" t="str">
        <f t="shared" si="667"/>
        <v/>
      </c>
    </row>
    <row r="42743" spans="26:26" x14ac:dyDescent="0.2">
      <c r="Z42743" t="str">
        <f t="shared" si="667"/>
        <v/>
      </c>
    </row>
    <row r="42744" spans="26:26" x14ac:dyDescent="0.2">
      <c r="Z42744" t="str">
        <f t="shared" si="667"/>
        <v/>
      </c>
    </row>
    <row r="42745" spans="26:26" x14ac:dyDescent="0.2">
      <c r="Z42745" t="str">
        <f t="shared" si="667"/>
        <v/>
      </c>
    </row>
    <row r="42746" spans="26:26" x14ac:dyDescent="0.2">
      <c r="Z42746" t="str">
        <f t="shared" si="667"/>
        <v/>
      </c>
    </row>
    <row r="42747" spans="26:26" x14ac:dyDescent="0.2">
      <c r="Z42747" t="str">
        <f t="shared" si="667"/>
        <v/>
      </c>
    </row>
    <row r="42748" spans="26:26" x14ac:dyDescent="0.2">
      <c r="Z42748" t="str">
        <f t="shared" si="667"/>
        <v/>
      </c>
    </row>
    <row r="42749" spans="26:26" x14ac:dyDescent="0.2">
      <c r="Z42749" t="str">
        <f t="shared" si="667"/>
        <v/>
      </c>
    </row>
    <row r="42750" spans="26:26" x14ac:dyDescent="0.2">
      <c r="Z42750" t="str">
        <f t="shared" si="667"/>
        <v/>
      </c>
    </row>
    <row r="42751" spans="26:26" x14ac:dyDescent="0.2">
      <c r="Z42751" t="str">
        <f t="shared" si="667"/>
        <v/>
      </c>
    </row>
    <row r="42752" spans="26:26" x14ac:dyDescent="0.2">
      <c r="Z42752" t="str">
        <f t="shared" si="667"/>
        <v/>
      </c>
    </row>
    <row r="42753" spans="26:26" x14ac:dyDescent="0.2">
      <c r="Z42753" t="str">
        <f t="shared" si="667"/>
        <v/>
      </c>
    </row>
    <row r="42754" spans="26:26" x14ac:dyDescent="0.2">
      <c r="Z42754" t="str">
        <f t="shared" si="667"/>
        <v/>
      </c>
    </row>
    <row r="42755" spans="26:26" x14ac:dyDescent="0.2">
      <c r="Z42755" t="str">
        <f t="shared" ref="Z42755:Z42818" si="668">IF(K42755="","",IFERROR(VALUE(TRIM(MID(K42755,FIND(CHAR(167),SUBSTITUTE(K42755,"-",CHAR(167),LEN(K42755)-LEN(SUBSTITUTE(K42755,"-",""))))+1,100))),K42755))</f>
        <v/>
      </c>
    </row>
    <row r="42756" spans="26:26" x14ac:dyDescent="0.2">
      <c r="Z42756" t="str">
        <f t="shared" si="668"/>
        <v/>
      </c>
    </row>
    <row r="42757" spans="26:26" x14ac:dyDescent="0.2">
      <c r="Z42757" t="str">
        <f t="shared" si="668"/>
        <v/>
      </c>
    </row>
    <row r="42758" spans="26:26" x14ac:dyDescent="0.2">
      <c r="Z42758" t="str">
        <f t="shared" si="668"/>
        <v/>
      </c>
    </row>
    <row r="42759" spans="26:26" x14ac:dyDescent="0.2">
      <c r="Z42759" t="str">
        <f t="shared" si="668"/>
        <v/>
      </c>
    </row>
    <row r="42760" spans="26:26" x14ac:dyDescent="0.2">
      <c r="Z42760" t="str">
        <f t="shared" si="668"/>
        <v/>
      </c>
    </row>
    <row r="42761" spans="26:26" x14ac:dyDescent="0.2">
      <c r="Z42761" t="str">
        <f t="shared" si="668"/>
        <v/>
      </c>
    </row>
    <row r="42762" spans="26:26" x14ac:dyDescent="0.2">
      <c r="Z42762" t="str">
        <f t="shared" si="668"/>
        <v/>
      </c>
    </row>
    <row r="42763" spans="26:26" x14ac:dyDescent="0.2">
      <c r="Z42763" t="str">
        <f t="shared" si="668"/>
        <v/>
      </c>
    </row>
    <row r="42764" spans="26:26" x14ac:dyDescent="0.2">
      <c r="Z42764" t="str">
        <f t="shared" si="668"/>
        <v/>
      </c>
    </row>
    <row r="42765" spans="26:26" x14ac:dyDescent="0.2">
      <c r="Z42765" t="str">
        <f t="shared" si="668"/>
        <v/>
      </c>
    </row>
    <row r="42766" spans="26:26" x14ac:dyDescent="0.2">
      <c r="Z42766" t="str">
        <f t="shared" si="668"/>
        <v/>
      </c>
    </row>
    <row r="42767" spans="26:26" x14ac:dyDescent="0.2">
      <c r="Z42767" t="str">
        <f t="shared" si="668"/>
        <v/>
      </c>
    </row>
    <row r="42768" spans="26:26" x14ac:dyDescent="0.2">
      <c r="Z42768" t="str">
        <f t="shared" si="668"/>
        <v/>
      </c>
    </row>
    <row r="42769" spans="26:26" x14ac:dyDescent="0.2">
      <c r="Z42769" t="str">
        <f t="shared" si="668"/>
        <v/>
      </c>
    </row>
    <row r="42770" spans="26:26" x14ac:dyDescent="0.2">
      <c r="Z42770" t="str">
        <f t="shared" si="668"/>
        <v/>
      </c>
    </row>
    <row r="42771" spans="26:26" x14ac:dyDescent="0.2">
      <c r="Z42771" t="str">
        <f t="shared" si="668"/>
        <v/>
      </c>
    </row>
    <row r="42772" spans="26:26" x14ac:dyDescent="0.2">
      <c r="Z42772" t="str">
        <f t="shared" si="668"/>
        <v/>
      </c>
    </row>
    <row r="42773" spans="26:26" x14ac:dyDescent="0.2">
      <c r="Z42773" t="str">
        <f t="shared" si="668"/>
        <v/>
      </c>
    </row>
    <row r="42774" spans="26:26" x14ac:dyDescent="0.2">
      <c r="Z42774" t="str">
        <f t="shared" si="668"/>
        <v/>
      </c>
    </row>
    <row r="42775" spans="26:26" x14ac:dyDescent="0.2">
      <c r="Z42775" t="str">
        <f t="shared" si="668"/>
        <v/>
      </c>
    </row>
    <row r="42776" spans="26:26" x14ac:dyDescent="0.2">
      <c r="Z42776" t="str">
        <f t="shared" si="668"/>
        <v/>
      </c>
    </row>
    <row r="42777" spans="26:26" x14ac:dyDescent="0.2">
      <c r="Z42777" t="str">
        <f t="shared" si="668"/>
        <v/>
      </c>
    </row>
    <row r="42778" spans="26:26" x14ac:dyDescent="0.2">
      <c r="Z42778" t="str">
        <f t="shared" si="668"/>
        <v/>
      </c>
    </row>
    <row r="42779" spans="26:26" x14ac:dyDescent="0.2">
      <c r="Z42779" t="str">
        <f t="shared" si="668"/>
        <v/>
      </c>
    </row>
    <row r="42780" spans="26:26" x14ac:dyDescent="0.2">
      <c r="Z42780" t="str">
        <f t="shared" si="668"/>
        <v/>
      </c>
    </row>
    <row r="42781" spans="26:26" x14ac:dyDescent="0.2">
      <c r="Z42781" t="str">
        <f t="shared" si="668"/>
        <v/>
      </c>
    </row>
    <row r="42782" spans="26:26" x14ac:dyDescent="0.2">
      <c r="Z42782" t="str">
        <f t="shared" si="668"/>
        <v/>
      </c>
    </row>
    <row r="42783" spans="26:26" x14ac:dyDescent="0.2">
      <c r="Z42783" t="str">
        <f t="shared" si="668"/>
        <v/>
      </c>
    </row>
    <row r="42784" spans="26:26" x14ac:dyDescent="0.2">
      <c r="Z42784" t="str">
        <f t="shared" si="668"/>
        <v/>
      </c>
    </row>
    <row r="42785" spans="26:26" x14ac:dyDescent="0.2">
      <c r="Z42785" t="str">
        <f t="shared" si="668"/>
        <v/>
      </c>
    </row>
    <row r="42786" spans="26:26" x14ac:dyDescent="0.2">
      <c r="Z42786" t="str">
        <f t="shared" si="668"/>
        <v/>
      </c>
    </row>
    <row r="42787" spans="26:26" x14ac:dyDescent="0.2">
      <c r="Z42787" t="str">
        <f t="shared" si="668"/>
        <v/>
      </c>
    </row>
    <row r="42788" spans="26:26" x14ac:dyDescent="0.2">
      <c r="Z42788" t="str">
        <f t="shared" si="668"/>
        <v/>
      </c>
    </row>
    <row r="42789" spans="26:26" x14ac:dyDescent="0.2">
      <c r="Z42789" t="str">
        <f t="shared" si="668"/>
        <v/>
      </c>
    </row>
    <row r="42790" spans="26:26" x14ac:dyDescent="0.2">
      <c r="Z42790" t="str">
        <f t="shared" si="668"/>
        <v/>
      </c>
    </row>
    <row r="42791" spans="26:26" x14ac:dyDescent="0.2">
      <c r="Z42791" t="str">
        <f t="shared" si="668"/>
        <v/>
      </c>
    </row>
    <row r="42792" spans="26:26" x14ac:dyDescent="0.2">
      <c r="Z42792" t="str">
        <f t="shared" si="668"/>
        <v/>
      </c>
    </row>
    <row r="42793" spans="26:26" x14ac:dyDescent="0.2">
      <c r="Z42793" t="str">
        <f t="shared" si="668"/>
        <v/>
      </c>
    </row>
    <row r="42794" spans="26:26" x14ac:dyDescent="0.2">
      <c r="Z42794" t="str">
        <f t="shared" si="668"/>
        <v/>
      </c>
    </row>
    <row r="42795" spans="26:26" x14ac:dyDescent="0.2">
      <c r="Z42795" t="str">
        <f t="shared" si="668"/>
        <v/>
      </c>
    </row>
    <row r="42796" spans="26:26" x14ac:dyDescent="0.2">
      <c r="Z42796" t="str">
        <f t="shared" si="668"/>
        <v/>
      </c>
    </row>
    <row r="42797" spans="26:26" x14ac:dyDescent="0.2">
      <c r="Z42797" t="str">
        <f t="shared" si="668"/>
        <v/>
      </c>
    </row>
    <row r="42798" spans="26:26" x14ac:dyDescent="0.2">
      <c r="Z42798" t="str">
        <f t="shared" si="668"/>
        <v/>
      </c>
    </row>
    <row r="42799" spans="26:26" x14ac:dyDescent="0.2">
      <c r="Z42799" t="str">
        <f t="shared" si="668"/>
        <v/>
      </c>
    </row>
    <row r="42800" spans="26:26" x14ac:dyDescent="0.2">
      <c r="Z42800" t="str">
        <f t="shared" si="668"/>
        <v/>
      </c>
    </row>
    <row r="42801" spans="26:26" x14ac:dyDescent="0.2">
      <c r="Z42801" t="str">
        <f t="shared" si="668"/>
        <v/>
      </c>
    </row>
    <row r="42802" spans="26:26" x14ac:dyDescent="0.2">
      <c r="Z42802" t="str">
        <f t="shared" si="668"/>
        <v/>
      </c>
    </row>
    <row r="42803" spans="26:26" x14ac:dyDescent="0.2">
      <c r="Z42803" t="str">
        <f t="shared" si="668"/>
        <v/>
      </c>
    </row>
    <row r="42804" spans="26:26" x14ac:dyDescent="0.2">
      <c r="Z42804" t="str">
        <f t="shared" si="668"/>
        <v/>
      </c>
    </row>
    <row r="42805" spans="26:26" x14ac:dyDescent="0.2">
      <c r="Z42805" t="str">
        <f t="shared" si="668"/>
        <v/>
      </c>
    </row>
    <row r="42806" spans="26:26" x14ac:dyDescent="0.2">
      <c r="Z42806" t="str">
        <f t="shared" si="668"/>
        <v/>
      </c>
    </row>
    <row r="42807" spans="26:26" x14ac:dyDescent="0.2">
      <c r="Z42807" t="str">
        <f t="shared" si="668"/>
        <v/>
      </c>
    </row>
    <row r="42808" spans="26:26" x14ac:dyDescent="0.2">
      <c r="Z42808" t="str">
        <f t="shared" si="668"/>
        <v/>
      </c>
    </row>
    <row r="42809" spans="26:26" x14ac:dyDescent="0.2">
      <c r="Z42809" t="str">
        <f t="shared" si="668"/>
        <v/>
      </c>
    </row>
    <row r="42810" spans="26:26" x14ac:dyDescent="0.2">
      <c r="Z42810" t="str">
        <f t="shared" si="668"/>
        <v/>
      </c>
    </row>
    <row r="42811" spans="26:26" x14ac:dyDescent="0.2">
      <c r="Z42811" t="str">
        <f t="shared" si="668"/>
        <v/>
      </c>
    </row>
    <row r="42812" spans="26:26" x14ac:dyDescent="0.2">
      <c r="Z42812" t="str">
        <f t="shared" si="668"/>
        <v/>
      </c>
    </row>
    <row r="42813" spans="26:26" x14ac:dyDescent="0.2">
      <c r="Z42813" t="str">
        <f t="shared" si="668"/>
        <v/>
      </c>
    </row>
    <row r="42814" spans="26:26" x14ac:dyDescent="0.2">
      <c r="Z42814" t="str">
        <f t="shared" si="668"/>
        <v/>
      </c>
    </row>
    <row r="42815" spans="26:26" x14ac:dyDescent="0.2">
      <c r="Z42815" t="str">
        <f t="shared" si="668"/>
        <v/>
      </c>
    </row>
    <row r="42816" spans="26:26" x14ac:dyDescent="0.2">
      <c r="Z42816" t="str">
        <f t="shared" si="668"/>
        <v/>
      </c>
    </row>
    <row r="42817" spans="26:26" x14ac:dyDescent="0.2">
      <c r="Z42817" t="str">
        <f t="shared" si="668"/>
        <v/>
      </c>
    </row>
    <row r="42818" spans="26:26" x14ac:dyDescent="0.2">
      <c r="Z42818" t="str">
        <f t="shared" si="668"/>
        <v/>
      </c>
    </row>
    <row r="42819" spans="26:26" x14ac:dyDescent="0.2">
      <c r="Z42819" t="str">
        <f t="shared" ref="Z42819:Z42882" si="669">IF(K42819="","",IFERROR(VALUE(TRIM(MID(K42819,FIND(CHAR(167),SUBSTITUTE(K42819,"-",CHAR(167),LEN(K42819)-LEN(SUBSTITUTE(K42819,"-",""))))+1,100))),K42819))</f>
        <v/>
      </c>
    </row>
    <row r="42820" spans="26:26" x14ac:dyDescent="0.2">
      <c r="Z42820" t="str">
        <f t="shared" si="669"/>
        <v/>
      </c>
    </row>
    <row r="42821" spans="26:26" x14ac:dyDescent="0.2">
      <c r="Z42821" t="str">
        <f t="shared" si="669"/>
        <v/>
      </c>
    </row>
    <row r="42822" spans="26:26" x14ac:dyDescent="0.2">
      <c r="Z42822" t="str">
        <f t="shared" si="669"/>
        <v/>
      </c>
    </row>
    <row r="42823" spans="26:26" x14ac:dyDescent="0.2">
      <c r="Z42823" t="str">
        <f t="shared" si="669"/>
        <v/>
      </c>
    </row>
    <row r="42824" spans="26:26" x14ac:dyDescent="0.2">
      <c r="Z42824" t="str">
        <f t="shared" si="669"/>
        <v/>
      </c>
    </row>
    <row r="42825" spans="26:26" x14ac:dyDescent="0.2">
      <c r="Z42825" t="str">
        <f t="shared" si="669"/>
        <v/>
      </c>
    </row>
    <row r="42826" spans="26:26" x14ac:dyDescent="0.2">
      <c r="Z42826" t="str">
        <f t="shared" si="669"/>
        <v/>
      </c>
    </row>
    <row r="42827" spans="26:26" x14ac:dyDescent="0.2">
      <c r="Z42827" t="str">
        <f t="shared" si="669"/>
        <v/>
      </c>
    </row>
    <row r="42828" spans="26:26" x14ac:dyDescent="0.2">
      <c r="Z42828" t="str">
        <f t="shared" si="669"/>
        <v/>
      </c>
    </row>
    <row r="42829" spans="26:26" x14ac:dyDescent="0.2">
      <c r="Z42829" t="str">
        <f t="shared" si="669"/>
        <v/>
      </c>
    </row>
    <row r="42830" spans="26:26" x14ac:dyDescent="0.2">
      <c r="Z42830" t="str">
        <f t="shared" si="669"/>
        <v/>
      </c>
    </row>
    <row r="42831" spans="26:26" x14ac:dyDescent="0.2">
      <c r="Z42831" t="str">
        <f t="shared" si="669"/>
        <v/>
      </c>
    </row>
    <row r="42832" spans="26:26" x14ac:dyDescent="0.2">
      <c r="Z42832" t="str">
        <f t="shared" si="669"/>
        <v/>
      </c>
    </row>
    <row r="42833" spans="26:26" x14ac:dyDescent="0.2">
      <c r="Z42833" t="str">
        <f t="shared" si="669"/>
        <v/>
      </c>
    </row>
    <row r="42834" spans="26:26" x14ac:dyDescent="0.2">
      <c r="Z42834" t="str">
        <f t="shared" si="669"/>
        <v/>
      </c>
    </row>
    <row r="42835" spans="26:26" x14ac:dyDescent="0.2">
      <c r="Z42835" t="str">
        <f t="shared" si="669"/>
        <v/>
      </c>
    </row>
    <row r="42836" spans="26:26" x14ac:dyDescent="0.2">
      <c r="Z42836" t="str">
        <f t="shared" si="669"/>
        <v/>
      </c>
    </row>
    <row r="42837" spans="26:26" x14ac:dyDescent="0.2">
      <c r="Z42837" t="str">
        <f t="shared" si="669"/>
        <v/>
      </c>
    </row>
    <row r="42838" spans="26:26" x14ac:dyDescent="0.2">
      <c r="Z42838" t="str">
        <f t="shared" si="669"/>
        <v/>
      </c>
    </row>
    <row r="42839" spans="26:26" x14ac:dyDescent="0.2">
      <c r="Z42839" t="str">
        <f t="shared" si="669"/>
        <v/>
      </c>
    </row>
    <row r="42840" spans="26:26" x14ac:dyDescent="0.2">
      <c r="Z42840" t="str">
        <f t="shared" si="669"/>
        <v/>
      </c>
    </row>
    <row r="42841" spans="26:26" x14ac:dyDescent="0.2">
      <c r="Z42841" t="str">
        <f t="shared" si="669"/>
        <v/>
      </c>
    </row>
    <row r="42842" spans="26:26" x14ac:dyDescent="0.2">
      <c r="Z42842" t="str">
        <f t="shared" si="669"/>
        <v/>
      </c>
    </row>
    <row r="42843" spans="26:26" x14ac:dyDescent="0.2">
      <c r="Z42843" t="str">
        <f t="shared" si="669"/>
        <v/>
      </c>
    </row>
    <row r="42844" spans="26:26" x14ac:dyDescent="0.2">
      <c r="Z42844" t="str">
        <f t="shared" si="669"/>
        <v/>
      </c>
    </row>
    <row r="42845" spans="26:26" x14ac:dyDescent="0.2">
      <c r="Z42845" t="str">
        <f t="shared" si="669"/>
        <v/>
      </c>
    </row>
    <row r="42846" spans="26:26" x14ac:dyDescent="0.2">
      <c r="Z42846" t="str">
        <f t="shared" si="669"/>
        <v/>
      </c>
    </row>
    <row r="42847" spans="26:26" x14ac:dyDescent="0.2">
      <c r="Z42847" t="str">
        <f t="shared" si="669"/>
        <v/>
      </c>
    </row>
    <row r="42848" spans="26:26" x14ac:dyDescent="0.2">
      <c r="Z42848" t="str">
        <f t="shared" si="669"/>
        <v/>
      </c>
    </row>
    <row r="42849" spans="26:26" x14ac:dyDescent="0.2">
      <c r="Z42849" t="str">
        <f t="shared" si="669"/>
        <v/>
      </c>
    </row>
    <row r="42850" spans="26:26" x14ac:dyDescent="0.2">
      <c r="Z42850" t="str">
        <f t="shared" si="669"/>
        <v/>
      </c>
    </row>
    <row r="42851" spans="26:26" x14ac:dyDescent="0.2">
      <c r="Z42851" t="str">
        <f t="shared" si="669"/>
        <v/>
      </c>
    </row>
    <row r="42852" spans="26:26" x14ac:dyDescent="0.2">
      <c r="Z42852" t="str">
        <f t="shared" si="669"/>
        <v/>
      </c>
    </row>
    <row r="42853" spans="26:26" x14ac:dyDescent="0.2">
      <c r="Z42853" t="str">
        <f t="shared" si="669"/>
        <v/>
      </c>
    </row>
    <row r="42854" spans="26:26" x14ac:dyDescent="0.2">
      <c r="Z42854" t="str">
        <f t="shared" si="669"/>
        <v/>
      </c>
    </row>
    <row r="42855" spans="26:26" x14ac:dyDescent="0.2">
      <c r="Z42855" t="str">
        <f t="shared" si="669"/>
        <v/>
      </c>
    </row>
    <row r="42856" spans="26:26" x14ac:dyDescent="0.2">
      <c r="Z42856" t="str">
        <f t="shared" si="669"/>
        <v/>
      </c>
    </row>
    <row r="42857" spans="26:26" x14ac:dyDescent="0.2">
      <c r="Z42857" t="str">
        <f t="shared" si="669"/>
        <v/>
      </c>
    </row>
    <row r="42858" spans="26:26" x14ac:dyDescent="0.2">
      <c r="Z42858" t="str">
        <f t="shared" si="669"/>
        <v/>
      </c>
    </row>
    <row r="42859" spans="26:26" x14ac:dyDescent="0.2">
      <c r="Z42859" t="str">
        <f t="shared" si="669"/>
        <v/>
      </c>
    </row>
    <row r="42860" spans="26:26" x14ac:dyDescent="0.2">
      <c r="Z42860" t="str">
        <f t="shared" si="669"/>
        <v/>
      </c>
    </row>
    <row r="42861" spans="26:26" x14ac:dyDescent="0.2">
      <c r="Z42861" t="str">
        <f t="shared" si="669"/>
        <v/>
      </c>
    </row>
    <row r="42862" spans="26:26" x14ac:dyDescent="0.2">
      <c r="Z42862" t="str">
        <f t="shared" si="669"/>
        <v/>
      </c>
    </row>
    <row r="42863" spans="26:26" x14ac:dyDescent="0.2">
      <c r="Z42863" t="str">
        <f t="shared" si="669"/>
        <v/>
      </c>
    </row>
    <row r="42864" spans="26:26" x14ac:dyDescent="0.2">
      <c r="Z42864" t="str">
        <f t="shared" si="669"/>
        <v/>
      </c>
    </row>
    <row r="42865" spans="26:26" x14ac:dyDescent="0.2">
      <c r="Z42865" t="str">
        <f t="shared" si="669"/>
        <v/>
      </c>
    </row>
    <row r="42866" spans="26:26" x14ac:dyDescent="0.2">
      <c r="Z42866" t="str">
        <f t="shared" si="669"/>
        <v/>
      </c>
    </row>
    <row r="42867" spans="26:26" x14ac:dyDescent="0.2">
      <c r="Z42867" t="str">
        <f t="shared" si="669"/>
        <v/>
      </c>
    </row>
    <row r="42868" spans="26:26" x14ac:dyDescent="0.2">
      <c r="Z42868" t="str">
        <f t="shared" si="669"/>
        <v/>
      </c>
    </row>
    <row r="42869" spans="26:26" x14ac:dyDescent="0.2">
      <c r="Z42869" t="str">
        <f t="shared" si="669"/>
        <v/>
      </c>
    </row>
    <row r="42870" spans="26:26" x14ac:dyDescent="0.2">
      <c r="Z42870" t="str">
        <f t="shared" si="669"/>
        <v/>
      </c>
    </row>
    <row r="42871" spans="26:26" x14ac:dyDescent="0.2">
      <c r="Z42871" t="str">
        <f t="shared" si="669"/>
        <v/>
      </c>
    </row>
    <row r="42872" spans="26:26" x14ac:dyDescent="0.2">
      <c r="Z42872" t="str">
        <f t="shared" si="669"/>
        <v/>
      </c>
    </row>
    <row r="42873" spans="26:26" x14ac:dyDescent="0.2">
      <c r="Z42873" t="str">
        <f t="shared" si="669"/>
        <v/>
      </c>
    </row>
    <row r="42874" spans="26:26" x14ac:dyDescent="0.2">
      <c r="Z42874" t="str">
        <f t="shared" si="669"/>
        <v/>
      </c>
    </row>
    <row r="42875" spans="26:26" x14ac:dyDescent="0.2">
      <c r="Z42875" t="str">
        <f t="shared" si="669"/>
        <v/>
      </c>
    </row>
    <row r="42876" spans="26:26" x14ac:dyDescent="0.2">
      <c r="Z42876" t="str">
        <f t="shared" si="669"/>
        <v/>
      </c>
    </row>
    <row r="42877" spans="26:26" x14ac:dyDescent="0.2">
      <c r="Z42877" t="str">
        <f t="shared" si="669"/>
        <v/>
      </c>
    </row>
    <row r="42878" spans="26:26" x14ac:dyDescent="0.2">
      <c r="Z42878" t="str">
        <f t="shared" si="669"/>
        <v/>
      </c>
    </row>
    <row r="42879" spans="26:26" x14ac:dyDescent="0.2">
      <c r="Z42879" t="str">
        <f t="shared" si="669"/>
        <v/>
      </c>
    </row>
    <row r="42880" spans="26:26" x14ac:dyDescent="0.2">
      <c r="Z42880" t="str">
        <f t="shared" si="669"/>
        <v/>
      </c>
    </row>
    <row r="42881" spans="26:26" x14ac:dyDescent="0.2">
      <c r="Z42881" t="str">
        <f t="shared" si="669"/>
        <v/>
      </c>
    </row>
    <row r="42882" spans="26:26" x14ac:dyDescent="0.2">
      <c r="Z42882" t="str">
        <f t="shared" si="669"/>
        <v/>
      </c>
    </row>
    <row r="42883" spans="26:26" x14ac:dyDescent="0.2">
      <c r="Z42883" t="str">
        <f t="shared" ref="Z42883:Z42946" si="670">IF(K42883="","",IFERROR(VALUE(TRIM(MID(K42883,FIND(CHAR(167),SUBSTITUTE(K42883,"-",CHAR(167),LEN(K42883)-LEN(SUBSTITUTE(K42883,"-",""))))+1,100))),K42883))</f>
        <v/>
      </c>
    </row>
    <row r="42884" spans="26:26" x14ac:dyDescent="0.2">
      <c r="Z42884" t="str">
        <f t="shared" si="670"/>
        <v/>
      </c>
    </row>
    <row r="42885" spans="26:26" x14ac:dyDescent="0.2">
      <c r="Z42885" t="str">
        <f t="shared" si="670"/>
        <v/>
      </c>
    </row>
    <row r="42886" spans="26:26" x14ac:dyDescent="0.2">
      <c r="Z42886" t="str">
        <f t="shared" si="670"/>
        <v/>
      </c>
    </row>
    <row r="42887" spans="26:26" x14ac:dyDescent="0.2">
      <c r="Z42887" t="str">
        <f t="shared" si="670"/>
        <v/>
      </c>
    </row>
    <row r="42888" spans="26:26" x14ac:dyDescent="0.2">
      <c r="Z42888" t="str">
        <f t="shared" si="670"/>
        <v/>
      </c>
    </row>
    <row r="42889" spans="26:26" x14ac:dyDescent="0.2">
      <c r="Z42889" t="str">
        <f t="shared" si="670"/>
        <v/>
      </c>
    </row>
    <row r="42890" spans="26:26" x14ac:dyDescent="0.2">
      <c r="Z42890" t="str">
        <f t="shared" si="670"/>
        <v/>
      </c>
    </row>
    <row r="42891" spans="26:26" x14ac:dyDescent="0.2">
      <c r="Z42891" t="str">
        <f t="shared" si="670"/>
        <v/>
      </c>
    </row>
    <row r="42892" spans="26:26" x14ac:dyDescent="0.2">
      <c r="Z42892" t="str">
        <f t="shared" si="670"/>
        <v/>
      </c>
    </row>
    <row r="42893" spans="26:26" x14ac:dyDescent="0.2">
      <c r="Z42893" t="str">
        <f t="shared" si="670"/>
        <v/>
      </c>
    </row>
    <row r="42894" spans="26:26" x14ac:dyDescent="0.2">
      <c r="Z42894" t="str">
        <f t="shared" si="670"/>
        <v/>
      </c>
    </row>
    <row r="42895" spans="26:26" x14ac:dyDescent="0.2">
      <c r="Z42895" t="str">
        <f t="shared" si="670"/>
        <v/>
      </c>
    </row>
    <row r="42896" spans="26:26" x14ac:dyDescent="0.2">
      <c r="Z42896" t="str">
        <f t="shared" si="670"/>
        <v/>
      </c>
    </row>
    <row r="42897" spans="26:26" x14ac:dyDescent="0.2">
      <c r="Z42897" t="str">
        <f t="shared" si="670"/>
        <v/>
      </c>
    </row>
    <row r="42898" spans="26:26" x14ac:dyDescent="0.2">
      <c r="Z42898" t="str">
        <f t="shared" si="670"/>
        <v/>
      </c>
    </row>
    <row r="42899" spans="26:26" x14ac:dyDescent="0.2">
      <c r="Z42899" t="str">
        <f t="shared" si="670"/>
        <v/>
      </c>
    </row>
    <row r="42900" spans="26:26" x14ac:dyDescent="0.2">
      <c r="Z42900" t="str">
        <f t="shared" si="670"/>
        <v/>
      </c>
    </row>
    <row r="42901" spans="26:26" x14ac:dyDescent="0.2">
      <c r="Z42901" t="str">
        <f t="shared" si="670"/>
        <v/>
      </c>
    </row>
    <row r="42902" spans="26:26" x14ac:dyDescent="0.2">
      <c r="Z42902" t="str">
        <f t="shared" si="670"/>
        <v/>
      </c>
    </row>
    <row r="42903" spans="26:26" x14ac:dyDescent="0.2">
      <c r="Z42903" t="str">
        <f t="shared" si="670"/>
        <v/>
      </c>
    </row>
    <row r="42904" spans="26:26" x14ac:dyDescent="0.2">
      <c r="Z42904" t="str">
        <f t="shared" si="670"/>
        <v/>
      </c>
    </row>
    <row r="42905" spans="26:26" x14ac:dyDescent="0.2">
      <c r="Z42905" t="str">
        <f t="shared" si="670"/>
        <v/>
      </c>
    </row>
    <row r="42906" spans="26:26" x14ac:dyDescent="0.2">
      <c r="Z42906" t="str">
        <f t="shared" si="670"/>
        <v/>
      </c>
    </row>
    <row r="42907" spans="26:26" x14ac:dyDescent="0.2">
      <c r="Z42907" t="str">
        <f t="shared" si="670"/>
        <v/>
      </c>
    </row>
    <row r="42908" spans="26:26" x14ac:dyDescent="0.2">
      <c r="Z42908" t="str">
        <f t="shared" si="670"/>
        <v/>
      </c>
    </row>
    <row r="42909" spans="26:26" x14ac:dyDescent="0.2">
      <c r="Z42909" t="str">
        <f t="shared" si="670"/>
        <v/>
      </c>
    </row>
    <row r="42910" spans="26:26" x14ac:dyDescent="0.2">
      <c r="Z42910" t="str">
        <f t="shared" si="670"/>
        <v/>
      </c>
    </row>
    <row r="42911" spans="26:26" x14ac:dyDescent="0.2">
      <c r="Z42911" t="str">
        <f t="shared" si="670"/>
        <v/>
      </c>
    </row>
    <row r="42912" spans="26:26" x14ac:dyDescent="0.2">
      <c r="Z42912" t="str">
        <f t="shared" si="670"/>
        <v/>
      </c>
    </row>
    <row r="42913" spans="26:26" x14ac:dyDescent="0.2">
      <c r="Z42913" t="str">
        <f t="shared" si="670"/>
        <v/>
      </c>
    </row>
    <row r="42914" spans="26:26" x14ac:dyDescent="0.2">
      <c r="Z42914" t="str">
        <f t="shared" si="670"/>
        <v/>
      </c>
    </row>
    <row r="42915" spans="26:26" x14ac:dyDescent="0.2">
      <c r="Z42915" t="str">
        <f t="shared" si="670"/>
        <v/>
      </c>
    </row>
    <row r="42916" spans="26:26" x14ac:dyDescent="0.2">
      <c r="Z42916" t="str">
        <f t="shared" si="670"/>
        <v/>
      </c>
    </row>
    <row r="42917" spans="26:26" x14ac:dyDescent="0.2">
      <c r="Z42917" t="str">
        <f t="shared" si="670"/>
        <v/>
      </c>
    </row>
    <row r="42918" spans="26:26" x14ac:dyDescent="0.2">
      <c r="Z42918" t="str">
        <f t="shared" si="670"/>
        <v/>
      </c>
    </row>
    <row r="42919" spans="26:26" x14ac:dyDescent="0.2">
      <c r="Z42919" t="str">
        <f t="shared" si="670"/>
        <v/>
      </c>
    </row>
    <row r="42920" spans="26:26" x14ac:dyDescent="0.2">
      <c r="Z42920" t="str">
        <f t="shared" si="670"/>
        <v/>
      </c>
    </row>
    <row r="42921" spans="26:26" x14ac:dyDescent="0.2">
      <c r="Z42921" t="str">
        <f t="shared" si="670"/>
        <v/>
      </c>
    </row>
    <row r="42922" spans="26:26" x14ac:dyDescent="0.2">
      <c r="Z42922" t="str">
        <f t="shared" si="670"/>
        <v/>
      </c>
    </row>
    <row r="42923" spans="26:26" x14ac:dyDescent="0.2">
      <c r="Z42923" t="str">
        <f t="shared" si="670"/>
        <v/>
      </c>
    </row>
    <row r="42924" spans="26:26" x14ac:dyDescent="0.2">
      <c r="Z42924" t="str">
        <f t="shared" si="670"/>
        <v/>
      </c>
    </row>
    <row r="42925" spans="26:26" x14ac:dyDescent="0.2">
      <c r="Z42925" t="str">
        <f t="shared" si="670"/>
        <v/>
      </c>
    </row>
    <row r="42926" spans="26:26" x14ac:dyDescent="0.2">
      <c r="Z42926" t="str">
        <f t="shared" si="670"/>
        <v/>
      </c>
    </row>
    <row r="42927" spans="26:26" x14ac:dyDescent="0.2">
      <c r="Z42927" t="str">
        <f t="shared" si="670"/>
        <v/>
      </c>
    </row>
    <row r="42928" spans="26:26" x14ac:dyDescent="0.2">
      <c r="Z42928" t="str">
        <f t="shared" si="670"/>
        <v/>
      </c>
    </row>
    <row r="42929" spans="26:26" x14ac:dyDescent="0.2">
      <c r="Z42929" t="str">
        <f t="shared" si="670"/>
        <v/>
      </c>
    </row>
    <row r="42930" spans="26:26" x14ac:dyDescent="0.2">
      <c r="Z42930" t="str">
        <f t="shared" si="670"/>
        <v/>
      </c>
    </row>
    <row r="42931" spans="26:26" x14ac:dyDescent="0.2">
      <c r="Z42931" t="str">
        <f t="shared" si="670"/>
        <v/>
      </c>
    </row>
    <row r="42932" spans="26:26" x14ac:dyDescent="0.2">
      <c r="Z42932" t="str">
        <f t="shared" si="670"/>
        <v/>
      </c>
    </row>
    <row r="42933" spans="26:26" x14ac:dyDescent="0.2">
      <c r="Z42933" t="str">
        <f t="shared" si="670"/>
        <v/>
      </c>
    </row>
    <row r="42934" spans="26:26" x14ac:dyDescent="0.2">
      <c r="Z42934" t="str">
        <f t="shared" si="670"/>
        <v/>
      </c>
    </row>
    <row r="42935" spans="26:26" x14ac:dyDescent="0.2">
      <c r="Z42935" t="str">
        <f t="shared" si="670"/>
        <v/>
      </c>
    </row>
    <row r="42936" spans="26:26" x14ac:dyDescent="0.2">
      <c r="Z42936" t="str">
        <f t="shared" si="670"/>
        <v/>
      </c>
    </row>
    <row r="42937" spans="26:26" x14ac:dyDescent="0.2">
      <c r="Z42937" t="str">
        <f t="shared" si="670"/>
        <v/>
      </c>
    </row>
    <row r="42938" spans="26:26" x14ac:dyDescent="0.2">
      <c r="Z42938" t="str">
        <f t="shared" si="670"/>
        <v/>
      </c>
    </row>
    <row r="42939" spans="26:26" x14ac:dyDescent="0.2">
      <c r="Z42939" t="str">
        <f t="shared" si="670"/>
        <v/>
      </c>
    </row>
    <row r="42940" spans="26:26" x14ac:dyDescent="0.2">
      <c r="Z42940" t="str">
        <f t="shared" si="670"/>
        <v/>
      </c>
    </row>
    <row r="42941" spans="26:26" x14ac:dyDescent="0.2">
      <c r="Z42941" t="str">
        <f t="shared" si="670"/>
        <v/>
      </c>
    </row>
    <row r="42942" spans="26:26" x14ac:dyDescent="0.2">
      <c r="Z42942" t="str">
        <f t="shared" si="670"/>
        <v/>
      </c>
    </row>
    <row r="42943" spans="26:26" x14ac:dyDescent="0.2">
      <c r="Z42943" t="str">
        <f t="shared" si="670"/>
        <v/>
      </c>
    </row>
    <row r="42944" spans="26:26" x14ac:dyDescent="0.2">
      <c r="Z42944" t="str">
        <f t="shared" si="670"/>
        <v/>
      </c>
    </row>
    <row r="42945" spans="26:26" x14ac:dyDescent="0.2">
      <c r="Z42945" t="str">
        <f t="shared" si="670"/>
        <v/>
      </c>
    </row>
    <row r="42946" spans="26:26" x14ac:dyDescent="0.2">
      <c r="Z42946" t="str">
        <f t="shared" si="670"/>
        <v/>
      </c>
    </row>
    <row r="42947" spans="26:26" x14ac:dyDescent="0.2">
      <c r="Z42947" t="str">
        <f t="shared" ref="Z42947:Z43010" si="671">IF(K42947="","",IFERROR(VALUE(TRIM(MID(K42947,FIND(CHAR(167),SUBSTITUTE(K42947,"-",CHAR(167),LEN(K42947)-LEN(SUBSTITUTE(K42947,"-",""))))+1,100))),K42947))</f>
        <v/>
      </c>
    </row>
    <row r="42948" spans="26:26" x14ac:dyDescent="0.2">
      <c r="Z42948" t="str">
        <f t="shared" si="671"/>
        <v/>
      </c>
    </row>
    <row r="42949" spans="26:26" x14ac:dyDescent="0.2">
      <c r="Z42949" t="str">
        <f t="shared" si="671"/>
        <v/>
      </c>
    </row>
    <row r="42950" spans="26:26" x14ac:dyDescent="0.2">
      <c r="Z42950" t="str">
        <f t="shared" si="671"/>
        <v/>
      </c>
    </row>
    <row r="42951" spans="26:26" x14ac:dyDescent="0.2">
      <c r="Z42951" t="str">
        <f t="shared" si="671"/>
        <v/>
      </c>
    </row>
    <row r="42952" spans="26:26" x14ac:dyDescent="0.2">
      <c r="Z42952" t="str">
        <f t="shared" si="671"/>
        <v/>
      </c>
    </row>
    <row r="42953" spans="26:26" x14ac:dyDescent="0.2">
      <c r="Z42953" t="str">
        <f t="shared" si="671"/>
        <v/>
      </c>
    </row>
    <row r="42954" spans="26:26" x14ac:dyDescent="0.2">
      <c r="Z42954" t="str">
        <f t="shared" si="671"/>
        <v/>
      </c>
    </row>
    <row r="42955" spans="26:26" x14ac:dyDescent="0.2">
      <c r="Z42955" t="str">
        <f t="shared" si="671"/>
        <v/>
      </c>
    </row>
    <row r="42956" spans="26:26" x14ac:dyDescent="0.2">
      <c r="Z42956" t="str">
        <f t="shared" si="671"/>
        <v/>
      </c>
    </row>
    <row r="42957" spans="26:26" x14ac:dyDescent="0.2">
      <c r="Z42957" t="str">
        <f t="shared" si="671"/>
        <v/>
      </c>
    </row>
    <row r="42958" spans="26:26" x14ac:dyDescent="0.2">
      <c r="Z42958" t="str">
        <f t="shared" si="671"/>
        <v/>
      </c>
    </row>
    <row r="42959" spans="26:26" x14ac:dyDescent="0.2">
      <c r="Z42959" t="str">
        <f t="shared" si="671"/>
        <v/>
      </c>
    </row>
    <row r="42960" spans="26:26" x14ac:dyDescent="0.2">
      <c r="Z42960" t="str">
        <f t="shared" si="671"/>
        <v/>
      </c>
    </row>
    <row r="42961" spans="26:26" x14ac:dyDescent="0.2">
      <c r="Z42961" t="str">
        <f t="shared" si="671"/>
        <v/>
      </c>
    </row>
    <row r="42962" spans="26:26" x14ac:dyDescent="0.2">
      <c r="Z42962" t="str">
        <f t="shared" si="671"/>
        <v/>
      </c>
    </row>
    <row r="42963" spans="26:26" x14ac:dyDescent="0.2">
      <c r="Z42963" t="str">
        <f t="shared" si="671"/>
        <v/>
      </c>
    </row>
    <row r="42964" spans="26:26" x14ac:dyDescent="0.2">
      <c r="Z42964" t="str">
        <f t="shared" si="671"/>
        <v/>
      </c>
    </row>
    <row r="42965" spans="26:26" x14ac:dyDescent="0.2">
      <c r="Z42965" t="str">
        <f t="shared" si="671"/>
        <v/>
      </c>
    </row>
    <row r="42966" spans="26:26" x14ac:dyDescent="0.2">
      <c r="Z42966" t="str">
        <f t="shared" si="671"/>
        <v/>
      </c>
    </row>
    <row r="42967" spans="26:26" x14ac:dyDescent="0.2">
      <c r="Z42967" t="str">
        <f t="shared" si="671"/>
        <v/>
      </c>
    </row>
    <row r="42968" spans="26:26" x14ac:dyDescent="0.2">
      <c r="Z42968" t="str">
        <f t="shared" si="671"/>
        <v/>
      </c>
    </row>
    <row r="42969" spans="26:26" x14ac:dyDescent="0.2">
      <c r="Z42969" t="str">
        <f t="shared" si="671"/>
        <v/>
      </c>
    </row>
    <row r="42970" spans="26:26" x14ac:dyDescent="0.2">
      <c r="Z42970" t="str">
        <f t="shared" si="671"/>
        <v/>
      </c>
    </row>
    <row r="42971" spans="26:26" x14ac:dyDescent="0.2">
      <c r="Z42971" t="str">
        <f t="shared" si="671"/>
        <v/>
      </c>
    </row>
    <row r="42972" spans="26:26" x14ac:dyDescent="0.2">
      <c r="Z42972" t="str">
        <f t="shared" si="671"/>
        <v/>
      </c>
    </row>
    <row r="42973" spans="26:26" x14ac:dyDescent="0.2">
      <c r="Z42973" t="str">
        <f t="shared" si="671"/>
        <v/>
      </c>
    </row>
    <row r="42974" spans="26:26" x14ac:dyDescent="0.2">
      <c r="Z42974" t="str">
        <f t="shared" si="671"/>
        <v/>
      </c>
    </row>
    <row r="42975" spans="26:26" x14ac:dyDescent="0.2">
      <c r="Z42975" t="str">
        <f t="shared" si="671"/>
        <v/>
      </c>
    </row>
    <row r="42976" spans="26:26" x14ac:dyDescent="0.2">
      <c r="Z42976" t="str">
        <f t="shared" si="671"/>
        <v/>
      </c>
    </row>
    <row r="42977" spans="26:26" x14ac:dyDescent="0.2">
      <c r="Z42977" t="str">
        <f t="shared" si="671"/>
        <v/>
      </c>
    </row>
    <row r="42978" spans="26:26" x14ac:dyDescent="0.2">
      <c r="Z42978" t="str">
        <f t="shared" si="671"/>
        <v/>
      </c>
    </row>
    <row r="42979" spans="26:26" x14ac:dyDescent="0.2">
      <c r="Z42979" t="str">
        <f t="shared" si="671"/>
        <v/>
      </c>
    </row>
    <row r="42980" spans="26:26" x14ac:dyDescent="0.2">
      <c r="Z42980" t="str">
        <f t="shared" si="671"/>
        <v/>
      </c>
    </row>
    <row r="42981" spans="26:26" x14ac:dyDescent="0.2">
      <c r="Z42981" t="str">
        <f t="shared" si="671"/>
        <v/>
      </c>
    </row>
    <row r="42982" spans="26:26" x14ac:dyDescent="0.2">
      <c r="Z42982" t="str">
        <f t="shared" si="671"/>
        <v/>
      </c>
    </row>
    <row r="42983" spans="26:26" x14ac:dyDescent="0.2">
      <c r="Z42983" t="str">
        <f t="shared" si="671"/>
        <v/>
      </c>
    </row>
    <row r="42984" spans="26:26" x14ac:dyDescent="0.2">
      <c r="Z42984" t="str">
        <f t="shared" si="671"/>
        <v/>
      </c>
    </row>
    <row r="42985" spans="26:26" x14ac:dyDescent="0.2">
      <c r="Z42985" t="str">
        <f t="shared" si="671"/>
        <v/>
      </c>
    </row>
    <row r="42986" spans="26:26" x14ac:dyDescent="0.2">
      <c r="Z42986" t="str">
        <f t="shared" si="671"/>
        <v/>
      </c>
    </row>
    <row r="42987" spans="26:26" x14ac:dyDescent="0.2">
      <c r="Z42987" t="str">
        <f t="shared" si="671"/>
        <v/>
      </c>
    </row>
    <row r="42988" spans="26:26" x14ac:dyDescent="0.2">
      <c r="Z42988" t="str">
        <f t="shared" si="671"/>
        <v/>
      </c>
    </row>
    <row r="42989" spans="26:26" x14ac:dyDescent="0.2">
      <c r="Z42989" t="str">
        <f t="shared" si="671"/>
        <v/>
      </c>
    </row>
    <row r="42990" spans="26:26" x14ac:dyDescent="0.2">
      <c r="Z42990" t="str">
        <f t="shared" si="671"/>
        <v/>
      </c>
    </row>
    <row r="42991" spans="26:26" x14ac:dyDescent="0.2">
      <c r="Z42991" t="str">
        <f t="shared" si="671"/>
        <v/>
      </c>
    </row>
    <row r="42992" spans="26:26" x14ac:dyDescent="0.2">
      <c r="Z42992" t="str">
        <f t="shared" si="671"/>
        <v/>
      </c>
    </row>
    <row r="42993" spans="26:26" x14ac:dyDescent="0.2">
      <c r="Z42993" t="str">
        <f t="shared" si="671"/>
        <v/>
      </c>
    </row>
    <row r="42994" spans="26:26" x14ac:dyDescent="0.2">
      <c r="Z42994" t="str">
        <f t="shared" si="671"/>
        <v/>
      </c>
    </row>
    <row r="42995" spans="26:26" x14ac:dyDescent="0.2">
      <c r="Z42995" t="str">
        <f t="shared" si="671"/>
        <v/>
      </c>
    </row>
    <row r="42996" spans="26:26" x14ac:dyDescent="0.2">
      <c r="Z42996" t="str">
        <f t="shared" si="671"/>
        <v/>
      </c>
    </row>
    <row r="42997" spans="26:26" x14ac:dyDescent="0.2">
      <c r="Z42997" t="str">
        <f t="shared" si="671"/>
        <v/>
      </c>
    </row>
    <row r="42998" spans="26:26" x14ac:dyDescent="0.2">
      <c r="Z42998" t="str">
        <f t="shared" si="671"/>
        <v/>
      </c>
    </row>
    <row r="42999" spans="26:26" x14ac:dyDescent="0.2">
      <c r="Z42999" t="str">
        <f t="shared" si="671"/>
        <v/>
      </c>
    </row>
    <row r="43000" spans="26:26" x14ac:dyDescent="0.2">
      <c r="Z43000" t="str">
        <f t="shared" si="671"/>
        <v/>
      </c>
    </row>
    <row r="43001" spans="26:26" x14ac:dyDescent="0.2">
      <c r="Z43001" t="str">
        <f t="shared" si="671"/>
        <v/>
      </c>
    </row>
    <row r="43002" spans="26:26" x14ac:dyDescent="0.2">
      <c r="Z43002" t="str">
        <f t="shared" si="671"/>
        <v/>
      </c>
    </row>
    <row r="43003" spans="26:26" x14ac:dyDescent="0.2">
      <c r="Z43003" t="str">
        <f t="shared" si="671"/>
        <v/>
      </c>
    </row>
    <row r="43004" spans="26:26" x14ac:dyDescent="0.2">
      <c r="Z43004" t="str">
        <f t="shared" si="671"/>
        <v/>
      </c>
    </row>
    <row r="43005" spans="26:26" x14ac:dyDescent="0.2">
      <c r="Z43005" t="str">
        <f t="shared" si="671"/>
        <v/>
      </c>
    </row>
    <row r="43006" spans="26:26" x14ac:dyDescent="0.2">
      <c r="Z43006" t="str">
        <f t="shared" si="671"/>
        <v/>
      </c>
    </row>
    <row r="43007" spans="26:26" x14ac:dyDescent="0.2">
      <c r="Z43007" t="str">
        <f t="shared" si="671"/>
        <v/>
      </c>
    </row>
    <row r="43008" spans="26:26" x14ac:dyDescent="0.2">
      <c r="Z43008" t="str">
        <f t="shared" si="671"/>
        <v/>
      </c>
    </row>
    <row r="43009" spans="26:26" x14ac:dyDescent="0.2">
      <c r="Z43009" t="str">
        <f t="shared" si="671"/>
        <v/>
      </c>
    </row>
    <row r="43010" spans="26:26" x14ac:dyDescent="0.2">
      <c r="Z43010" t="str">
        <f t="shared" si="671"/>
        <v/>
      </c>
    </row>
    <row r="43011" spans="26:26" x14ac:dyDescent="0.2">
      <c r="Z43011" t="str">
        <f t="shared" ref="Z43011:Z43074" si="672">IF(K43011="","",IFERROR(VALUE(TRIM(MID(K43011,FIND(CHAR(167),SUBSTITUTE(K43011,"-",CHAR(167),LEN(K43011)-LEN(SUBSTITUTE(K43011,"-",""))))+1,100))),K43011))</f>
        <v/>
      </c>
    </row>
    <row r="43012" spans="26:26" x14ac:dyDescent="0.2">
      <c r="Z43012" t="str">
        <f t="shared" si="672"/>
        <v/>
      </c>
    </row>
    <row r="43013" spans="26:26" x14ac:dyDescent="0.2">
      <c r="Z43013" t="str">
        <f t="shared" si="672"/>
        <v/>
      </c>
    </row>
    <row r="43014" spans="26:26" x14ac:dyDescent="0.2">
      <c r="Z43014" t="str">
        <f t="shared" si="672"/>
        <v/>
      </c>
    </row>
    <row r="43015" spans="26:26" x14ac:dyDescent="0.2">
      <c r="Z43015" t="str">
        <f t="shared" si="672"/>
        <v/>
      </c>
    </row>
    <row r="43016" spans="26:26" x14ac:dyDescent="0.2">
      <c r="Z43016" t="str">
        <f t="shared" si="672"/>
        <v/>
      </c>
    </row>
    <row r="43017" spans="26:26" x14ac:dyDescent="0.2">
      <c r="Z43017" t="str">
        <f t="shared" si="672"/>
        <v/>
      </c>
    </row>
    <row r="43018" spans="26:26" x14ac:dyDescent="0.2">
      <c r="Z43018" t="str">
        <f t="shared" si="672"/>
        <v/>
      </c>
    </row>
    <row r="43019" spans="26:26" x14ac:dyDescent="0.2">
      <c r="Z43019" t="str">
        <f t="shared" si="672"/>
        <v/>
      </c>
    </row>
    <row r="43020" spans="26:26" x14ac:dyDescent="0.2">
      <c r="Z43020" t="str">
        <f t="shared" si="672"/>
        <v/>
      </c>
    </row>
    <row r="43021" spans="26:26" x14ac:dyDescent="0.2">
      <c r="Z43021" t="str">
        <f t="shared" si="672"/>
        <v/>
      </c>
    </row>
    <row r="43022" spans="26:26" x14ac:dyDescent="0.2">
      <c r="Z43022" t="str">
        <f t="shared" si="672"/>
        <v/>
      </c>
    </row>
    <row r="43023" spans="26:26" x14ac:dyDescent="0.2">
      <c r="Z43023" t="str">
        <f t="shared" si="672"/>
        <v/>
      </c>
    </row>
    <row r="43024" spans="26:26" x14ac:dyDescent="0.2">
      <c r="Z43024" t="str">
        <f t="shared" si="672"/>
        <v/>
      </c>
    </row>
    <row r="43025" spans="26:26" x14ac:dyDescent="0.2">
      <c r="Z43025" t="str">
        <f t="shared" si="672"/>
        <v/>
      </c>
    </row>
    <row r="43026" spans="26:26" x14ac:dyDescent="0.2">
      <c r="Z43026" t="str">
        <f t="shared" si="672"/>
        <v/>
      </c>
    </row>
    <row r="43027" spans="26:26" x14ac:dyDescent="0.2">
      <c r="Z43027" t="str">
        <f t="shared" si="672"/>
        <v/>
      </c>
    </row>
    <row r="43028" spans="26:26" x14ac:dyDescent="0.2">
      <c r="Z43028" t="str">
        <f t="shared" si="672"/>
        <v/>
      </c>
    </row>
    <row r="43029" spans="26:26" x14ac:dyDescent="0.2">
      <c r="Z43029" t="str">
        <f t="shared" si="672"/>
        <v/>
      </c>
    </row>
    <row r="43030" spans="26:26" x14ac:dyDescent="0.2">
      <c r="Z43030" t="str">
        <f t="shared" si="672"/>
        <v/>
      </c>
    </row>
    <row r="43031" spans="26:26" x14ac:dyDescent="0.2">
      <c r="Z43031" t="str">
        <f t="shared" si="672"/>
        <v/>
      </c>
    </row>
    <row r="43032" spans="26:26" x14ac:dyDescent="0.2">
      <c r="Z43032" t="str">
        <f t="shared" si="672"/>
        <v/>
      </c>
    </row>
    <row r="43033" spans="26:26" x14ac:dyDescent="0.2">
      <c r="Z43033" t="str">
        <f t="shared" si="672"/>
        <v/>
      </c>
    </row>
    <row r="43034" spans="26:26" x14ac:dyDescent="0.2">
      <c r="Z43034" t="str">
        <f t="shared" si="672"/>
        <v/>
      </c>
    </row>
    <row r="43035" spans="26:26" x14ac:dyDescent="0.2">
      <c r="Z43035" t="str">
        <f t="shared" si="672"/>
        <v/>
      </c>
    </row>
    <row r="43036" spans="26:26" x14ac:dyDescent="0.2">
      <c r="Z43036" t="str">
        <f t="shared" si="672"/>
        <v/>
      </c>
    </row>
    <row r="43037" spans="26:26" x14ac:dyDescent="0.2">
      <c r="Z43037" t="str">
        <f t="shared" si="672"/>
        <v/>
      </c>
    </row>
    <row r="43038" spans="26:26" x14ac:dyDescent="0.2">
      <c r="Z43038" t="str">
        <f t="shared" si="672"/>
        <v/>
      </c>
    </row>
    <row r="43039" spans="26:26" x14ac:dyDescent="0.2">
      <c r="Z43039" t="str">
        <f t="shared" si="672"/>
        <v/>
      </c>
    </row>
    <row r="43040" spans="26:26" x14ac:dyDescent="0.2">
      <c r="Z43040" t="str">
        <f t="shared" si="672"/>
        <v/>
      </c>
    </row>
    <row r="43041" spans="26:26" x14ac:dyDescent="0.2">
      <c r="Z43041" t="str">
        <f t="shared" si="672"/>
        <v/>
      </c>
    </row>
    <row r="43042" spans="26:26" x14ac:dyDescent="0.2">
      <c r="Z43042" t="str">
        <f t="shared" si="672"/>
        <v/>
      </c>
    </row>
    <row r="43043" spans="26:26" x14ac:dyDescent="0.2">
      <c r="Z43043" t="str">
        <f t="shared" si="672"/>
        <v/>
      </c>
    </row>
    <row r="43044" spans="26:26" x14ac:dyDescent="0.2">
      <c r="Z43044" t="str">
        <f t="shared" si="672"/>
        <v/>
      </c>
    </row>
    <row r="43045" spans="26:26" x14ac:dyDescent="0.2">
      <c r="Z43045" t="str">
        <f t="shared" si="672"/>
        <v/>
      </c>
    </row>
    <row r="43046" spans="26:26" x14ac:dyDescent="0.2">
      <c r="Z43046" t="str">
        <f t="shared" si="672"/>
        <v/>
      </c>
    </row>
    <row r="43047" spans="26:26" x14ac:dyDescent="0.2">
      <c r="Z43047" t="str">
        <f t="shared" si="672"/>
        <v/>
      </c>
    </row>
    <row r="43048" spans="26:26" x14ac:dyDescent="0.2">
      <c r="Z43048" t="str">
        <f t="shared" si="672"/>
        <v/>
      </c>
    </row>
    <row r="43049" spans="26:26" x14ac:dyDescent="0.2">
      <c r="Z43049" t="str">
        <f t="shared" si="672"/>
        <v/>
      </c>
    </row>
    <row r="43050" spans="26:26" x14ac:dyDescent="0.2">
      <c r="Z43050" t="str">
        <f t="shared" si="672"/>
        <v/>
      </c>
    </row>
    <row r="43051" spans="26:26" x14ac:dyDescent="0.2">
      <c r="Z43051" t="str">
        <f t="shared" si="672"/>
        <v/>
      </c>
    </row>
    <row r="43052" spans="26:26" x14ac:dyDescent="0.2">
      <c r="Z43052" t="str">
        <f t="shared" si="672"/>
        <v/>
      </c>
    </row>
    <row r="43053" spans="26:26" x14ac:dyDescent="0.2">
      <c r="Z43053" t="str">
        <f t="shared" si="672"/>
        <v/>
      </c>
    </row>
    <row r="43054" spans="26:26" x14ac:dyDescent="0.2">
      <c r="Z43054" t="str">
        <f t="shared" si="672"/>
        <v/>
      </c>
    </row>
    <row r="43055" spans="26:26" x14ac:dyDescent="0.2">
      <c r="Z43055" t="str">
        <f t="shared" si="672"/>
        <v/>
      </c>
    </row>
    <row r="43056" spans="26:26" x14ac:dyDescent="0.2">
      <c r="Z43056" t="str">
        <f t="shared" si="672"/>
        <v/>
      </c>
    </row>
    <row r="43057" spans="26:26" x14ac:dyDescent="0.2">
      <c r="Z43057" t="str">
        <f t="shared" si="672"/>
        <v/>
      </c>
    </row>
    <row r="43058" spans="26:26" x14ac:dyDescent="0.2">
      <c r="Z43058" t="str">
        <f t="shared" si="672"/>
        <v/>
      </c>
    </row>
    <row r="43059" spans="26:26" x14ac:dyDescent="0.2">
      <c r="Z43059" t="str">
        <f t="shared" si="672"/>
        <v/>
      </c>
    </row>
    <row r="43060" spans="26:26" x14ac:dyDescent="0.2">
      <c r="Z43060" t="str">
        <f t="shared" si="672"/>
        <v/>
      </c>
    </row>
    <row r="43061" spans="26:26" x14ac:dyDescent="0.2">
      <c r="Z43061" t="str">
        <f t="shared" si="672"/>
        <v/>
      </c>
    </row>
    <row r="43062" spans="26:26" x14ac:dyDescent="0.2">
      <c r="Z43062" t="str">
        <f t="shared" si="672"/>
        <v/>
      </c>
    </row>
    <row r="43063" spans="26:26" x14ac:dyDescent="0.2">
      <c r="Z43063" t="str">
        <f t="shared" si="672"/>
        <v/>
      </c>
    </row>
    <row r="43064" spans="26:26" x14ac:dyDescent="0.2">
      <c r="Z43064" t="str">
        <f t="shared" si="672"/>
        <v/>
      </c>
    </row>
    <row r="43065" spans="26:26" x14ac:dyDescent="0.2">
      <c r="Z43065" t="str">
        <f t="shared" si="672"/>
        <v/>
      </c>
    </row>
    <row r="43066" spans="26:26" x14ac:dyDescent="0.2">
      <c r="Z43066" t="str">
        <f t="shared" si="672"/>
        <v/>
      </c>
    </row>
    <row r="43067" spans="26:26" x14ac:dyDescent="0.2">
      <c r="Z43067" t="str">
        <f t="shared" si="672"/>
        <v/>
      </c>
    </row>
    <row r="43068" spans="26:26" x14ac:dyDescent="0.2">
      <c r="Z43068" t="str">
        <f t="shared" si="672"/>
        <v/>
      </c>
    </row>
    <row r="43069" spans="26:26" x14ac:dyDescent="0.2">
      <c r="Z43069" t="str">
        <f t="shared" si="672"/>
        <v/>
      </c>
    </row>
    <row r="43070" spans="26:26" x14ac:dyDescent="0.2">
      <c r="Z43070" t="str">
        <f t="shared" si="672"/>
        <v/>
      </c>
    </row>
    <row r="43071" spans="26:26" x14ac:dyDescent="0.2">
      <c r="Z43071" t="str">
        <f t="shared" si="672"/>
        <v/>
      </c>
    </row>
    <row r="43072" spans="26:26" x14ac:dyDescent="0.2">
      <c r="Z43072" t="str">
        <f t="shared" si="672"/>
        <v/>
      </c>
    </row>
    <row r="43073" spans="26:26" x14ac:dyDescent="0.2">
      <c r="Z43073" t="str">
        <f t="shared" si="672"/>
        <v/>
      </c>
    </row>
    <row r="43074" spans="26:26" x14ac:dyDescent="0.2">
      <c r="Z43074" t="str">
        <f t="shared" si="672"/>
        <v/>
      </c>
    </row>
    <row r="43075" spans="26:26" x14ac:dyDescent="0.2">
      <c r="Z43075" t="str">
        <f t="shared" ref="Z43075:Z43138" si="673">IF(K43075="","",IFERROR(VALUE(TRIM(MID(K43075,FIND(CHAR(167),SUBSTITUTE(K43075,"-",CHAR(167),LEN(K43075)-LEN(SUBSTITUTE(K43075,"-",""))))+1,100))),K43075))</f>
        <v/>
      </c>
    </row>
    <row r="43076" spans="26:26" x14ac:dyDescent="0.2">
      <c r="Z43076" t="str">
        <f t="shared" si="673"/>
        <v/>
      </c>
    </row>
    <row r="43077" spans="26:26" x14ac:dyDescent="0.2">
      <c r="Z43077" t="str">
        <f t="shared" si="673"/>
        <v/>
      </c>
    </row>
    <row r="43078" spans="26:26" x14ac:dyDescent="0.2">
      <c r="Z43078" t="str">
        <f t="shared" si="673"/>
        <v/>
      </c>
    </row>
    <row r="43079" spans="26:26" x14ac:dyDescent="0.2">
      <c r="Z43079" t="str">
        <f t="shared" si="673"/>
        <v/>
      </c>
    </row>
    <row r="43080" spans="26:26" x14ac:dyDescent="0.2">
      <c r="Z43080" t="str">
        <f t="shared" si="673"/>
        <v/>
      </c>
    </row>
    <row r="43081" spans="26:26" x14ac:dyDescent="0.2">
      <c r="Z43081" t="str">
        <f t="shared" si="673"/>
        <v/>
      </c>
    </row>
    <row r="43082" spans="26:26" x14ac:dyDescent="0.2">
      <c r="Z43082" t="str">
        <f t="shared" si="673"/>
        <v/>
      </c>
    </row>
    <row r="43083" spans="26:26" x14ac:dyDescent="0.2">
      <c r="Z43083" t="str">
        <f t="shared" si="673"/>
        <v/>
      </c>
    </row>
    <row r="43084" spans="26:26" x14ac:dyDescent="0.2">
      <c r="Z43084" t="str">
        <f t="shared" si="673"/>
        <v/>
      </c>
    </row>
    <row r="43085" spans="26:26" x14ac:dyDescent="0.2">
      <c r="Z43085" t="str">
        <f t="shared" si="673"/>
        <v/>
      </c>
    </row>
    <row r="43086" spans="26:26" x14ac:dyDescent="0.2">
      <c r="Z43086" t="str">
        <f t="shared" si="673"/>
        <v/>
      </c>
    </row>
    <row r="43087" spans="26:26" x14ac:dyDescent="0.2">
      <c r="Z43087" t="str">
        <f t="shared" si="673"/>
        <v/>
      </c>
    </row>
    <row r="43088" spans="26:26" x14ac:dyDescent="0.2">
      <c r="Z43088" t="str">
        <f t="shared" si="673"/>
        <v/>
      </c>
    </row>
    <row r="43089" spans="26:26" x14ac:dyDescent="0.2">
      <c r="Z43089" t="str">
        <f t="shared" si="673"/>
        <v/>
      </c>
    </row>
    <row r="43090" spans="26:26" x14ac:dyDescent="0.2">
      <c r="Z43090" t="str">
        <f t="shared" si="673"/>
        <v/>
      </c>
    </row>
    <row r="43091" spans="26:26" x14ac:dyDescent="0.2">
      <c r="Z43091" t="str">
        <f t="shared" si="673"/>
        <v/>
      </c>
    </row>
    <row r="43092" spans="26:26" x14ac:dyDescent="0.2">
      <c r="Z43092" t="str">
        <f t="shared" si="673"/>
        <v/>
      </c>
    </row>
    <row r="43093" spans="26:26" x14ac:dyDescent="0.2">
      <c r="Z43093" t="str">
        <f t="shared" si="673"/>
        <v/>
      </c>
    </row>
    <row r="43094" spans="26:26" x14ac:dyDescent="0.2">
      <c r="Z43094" t="str">
        <f t="shared" si="673"/>
        <v/>
      </c>
    </row>
    <row r="43095" spans="26:26" x14ac:dyDescent="0.2">
      <c r="Z43095" t="str">
        <f t="shared" si="673"/>
        <v/>
      </c>
    </row>
    <row r="43096" spans="26:26" x14ac:dyDescent="0.2">
      <c r="Z43096" t="str">
        <f t="shared" si="673"/>
        <v/>
      </c>
    </row>
    <row r="43097" spans="26:26" x14ac:dyDescent="0.2">
      <c r="Z43097" t="str">
        <f t="shared" si="673"/>
        <v/>
      </c>
    </row>
    <row r="43098" spans="26:26" x14ac:dyDescent="0.2">
      <c r="Z43098" t="str">
        <f t="shared" si="673"/>
        <v/>
      </c>
    </row>
    <row r="43099" spans="26:26" x14ac:dyDescent="0.2">
      <c r="Z43099" t="str">
        <f t="shared" si="673"/>
        <v/>
      </c>
    </row>
    <row r="43100" spans="26:26" x14ac:dyDescent="0.2">
      <c r="Z43100" t="str">
        <f t="shared" si="673"/>
        <v/>
      </c>
    </row>
    <row r="43101" spans="26:26" x14ac:dyDescent="0.2">
      <c r="Z43101" t="str">
        <f t="shared" si="673"/>
        <v/>
      </c>
    </row>
    <row r="43102" spans="26:26" x14ac:dyDescent="0.2">
      <c r="Z43102" t="str">
        <f t="shared" si="673"/>
        <v/>
      </c>
    </row>
    <row r="43103" spans="26:26" x14ac:dyDescent="0.2">
      <c r="Z43103" t="str">
        <f t="shared" si="673"/>
        <v/>
      </c>
    </row>
    <row r="43104" spans="26:26" x14ac:dyDescent="0.2">
      <c r="Z43104" t="str">
        <f t="shared" si="673"/>
        <v/>
      </c>
    </row>
    <row r="43105" spans="26:26" x14ac:dyDescent="0.2">
      <c r="Z43105" t="str">
        <f t="shared" si="673"/>
        <v/>
      </c>
    </row>
    <row r="43106" spans="26:26" x14ac:dyDescent="0.2">
      <c r="Z43106" t="str">
        <f t="shared" si="673"/>
        <v/>
      </c>
    </row>
    <row r="43107" spans="26:26" x14ac:dyDescent="0.2">
      <c r="Z43107" t="str">
        <f t="shared" si="673"/>
        <v/>
      </c>
    </row>
    <row r="43108" spans="26:26" x14ac:dyDescent="0.2">
      <c r="Z43108" t="str">
        <f t="shared" si="673"/>
        <v/>
      </c>
    </row>
    <row r="43109" spans="26:26" x14ac:dyDescent="0.2">
      <c r="Z43109" t="str">
        <f t="shared" si="673"/>
        <v/>
      </c>
    </row>
    <row r="43110" spans="26:26" x14ac:dyDescent="0.2">
      <c r="Z43110" t="str">
        <f t="shared" si="673"/>
        <v/>
      </c>
    </row>
    <row r="43111" spans="26:26" x14ac:dyDescent="0.2">
      <c r="Z43111" t="str">
        <f t="shared" si="673"/>
        <v/>
      </c>
    </row>
    <row r="43112" spans="26:26" x14ac:dyDescent="0.2">
      <c r="Z43112" t="str">
        <f t="shared" si="673"/>
        <v/>
      </c>
    </row>
    <row r="43113" spans="26:26" x14ac:dyDescent="0.2">
      <c r="Z43113" t="str">
        <f t="shared" si="673"/>
        <v/>
      </c>
    </row>
    <row r="43114" spans="26:26" x14ac:dyDescent="0.2">
      <c r="Z43114" t="str">
        <f t="shared" si="673"/>
        <v/>
      </c>
    </row>
    <row r="43115" spans="26:26" x14ac:dyDescent="0.2">
      <c r="Z43115" t="str">
        <f t="shared" si="673"/>
        <v/>
      </c>
    </row>
    <row r="43116" spans="26:26" x14ac:dyDescent="0.2">
      <c r="Z43116" t="str">
        <f t="shared" si="673"/>
        <v/>
      </c>
    </row>
    <row r="43117" spans="26:26" x14ac:dyDescent="0.2">
      <c r="Z43117" t="str">
        <f t="shared" si="673"/>
        <v/>
      </c>
    </row>
    <row r="43118" spans="26:26" x14ac:dyDescent="0.2">
      <c r="Z43118" t="str">
        <f t="shared" si="673"/>
        <v/>
      </c>
    </row>
    <row r="43119" spans="26:26" x14ac:dyDescent="0.2">
      <c r="Z43119" t="str">
        <f t="shared" si="673"/>
        <v/>
      </c>
    </row>
    <row r="43120" spans="26:26" x14ac:dyDescent="0.2">
      <c r="Z43120" t="str">
        <f t="shared" si="673"/>
        <v/>
      </c>
    </row>
    <row r="43121" spans="26:26" x14ac:dyDescent="0.2">
      <c r="Z43121" t="str">
        <f t="shared" si="673"/>
        <v/>
      </c>
    </row>
    <row r="43122" spans="26:26" x14ac:dyDescent="0.2">
      <c r="Z43122" t="str">
        <f t="shared" si="673"/>
        <v/>
      </c>
    </row>
    <row r="43123" spans="26:26" x14ac:dyDescent="0.2">
      <c r="Z43123" t="str">
        <f t="shared" si="673"/>
        <v/>
      </c>
    </row>
    <row r="43124" spans="26:26" x14ac:dyDescent="0.2">
      <c r="Z43124" t="str">
        <f t="shared" si="673"/>
        <v/>
      </c>
    </row>
    <row r="43125" spans="26:26" x14ac:dyDescent="0.2">
      <c r="Z43125" t="str">
        <f t="shared" si="673"/>
        <v/>
      </c>
    </row>
    <row r="43126" spans="26:26" x14ac:dyDescent="0.2">
      <c r="Z43126" t="str">
        <f t="shared" si="673"/>
        <v/>
      </c>
    </row>
    <row r="43127" spans="26:26" x14ac:dyDescent="0.2">
      <c r="Z43127" t="str">
        <f t="shared" si="673"/>
        <v/>
      </c>
    </row>
    <row r="43128" spans="26:26" x14ac:dyDescent="0.2">
      <c r="Z43128" t="str">
        <f t="shared" si="673"/>
        <v/>
      </c>
    </row>
    <row r="43129" spans="26:26" x14ac:dyDescent="0.2">
      <c r="Z43129" t="str">
        <f t="shared" si="673"/>
        <v/>
      </c>
    </row>
    <row r="43130" spans="26:26" x14ac:dyDescent="0.2">
      <c r="Z43130" t="str">
        <f t="shared" si="673"/>
        <v/>
      </c>
    </row>
    <row r="43131" spans="26:26" x14ac:dyDescent="0.2">
      <c r="Z43131" t="str">
        <f t="shared" si="673"/>
        <v/>
      </c>
    </row>
    <row r="43132" spans="26:26" x14ac:dyDescent="0.2">
      <c r="Z43132" t="str">
        <f t="shared" si="673"/>
        <v/>
      </c>
    </row>
    <row r="43133" spans="26:26" x14ac:dyDescent="0.2">
      <c r="Z43133" t="str">
        <f t="shared" si="673"/>
        <v/>
      </c>
    </row>
    <row r="43134" spans="26:26" x14ac:dyDescent="0.2">
      <c r="Z43134" t="str">
        <f t="shared" si="673"/>
        <v/>
      </c>
    </row>
    <row r="43135" spans="26:26" x14ac:dyDescent="0.2">
      <c r="Z43135" t="str">
        <f t="shared" si="673"/>
        <v/>
      </c>
    </row>
    <row r="43136" spans="26:26" x14ac:dyDescent="0.2">
      <c r="Z43136" t="str">
        <f t="shared" si="673"/>
        <v/>
      </c>
    </row>
    <row r="43137" spans="26:26" x14ac:dyDescent="0.2">
      <c r="Z43137" t="str">
        <f t="shared" si="673"/>
        <v/>
      </c>
    </row>
    <row r="43138" spans="26:26" x14ac:dyDescent="0.2">
      <c r="Z43138" t="str">
        <f t="shared" si="673"/>
        <v/>
      </c>
    </row>
    <row r="43139" spans="26:26" x14ac:dyDescent="0.2">
      <c r="Z43139" t="str">
        <f t="shared" ref="Z43139:Z43202" si="674">IF(K43139="","",IFERROR(VALUE(TRIM(MID(K43139,FIND(CHAR(167),SUBSTITUTE(K43139,"-",CHAR(167),LEN(K43139)-LEN(SUBSTITUTE(K43139,"-",""))))+1,100))),K43139))</f>
        <v/>
      </c>
    </row>
    <row r="43140" spans="26:26" x14ac:dyDescent="0.2">
      <c r="Z43140" t="str">
        <f t="shared" si="674"/>
        <v/>
      </c>
    </row>
    <row r="43141" spans="26:26" x14ac:dyDescent="0.2">
      <c r="Z43141" t="str">
        <f t="shared" si="674"/>
        <v/>
      </c>
    </row>
    <row r="43142" spans="26:26" x14ac:dyDescent="0.2">
      <c r="Z43142" t="str">
        <f t="shared" si="674"/>
        <v/>
      </c>
    </row>
    <row r="43143" spans="26:26" x14ac:dyDescent="0.2">
      <c r="Z43143" t="str">
        <f t="shared" si="674"/>
        <v/>
      </c>
    </row>
    <row r="43144" spans="26:26" x14ac:dyDescent="0.2">
      <c r="Z43144" t="str">
        <f t="shared" si="674"/>
        <v/>
      </c>
    </row>
    <row r="43145" spans="26:26" x14ac:dyDescent="0.2">
      <c r="Z43145" t="str">
        <f t="shared" si="674"/>
        <v/>
      </c>
    </row>
    <row r="43146" spans="26:26" x14ac:dyDescent="0.2">
      <c r="Z43146" t="str">
        <f t="shared" si="674"/>
        <v/>
      </c>
    </row>
    <row r="43147" spans="26:26" x14ac:dyDescent="0.2">
      <c r="Z43147" t="str">
        <f t="shared" si="674"/>
        <v/>
      </c>
    </row>
    <row r="43148" spans="26:26" x14ac:dyDescent="0.2">
      <c r="Z43148" t="str">
        <f t="shared" si="674"/>
        <v/>
      </c>
    </row>
    <row r="43149" spans="26:26" x14ac:dyDescent="0.2">
      <c r="Z43149" t="str">
        <f t="shared" si="674"/>
        <v/>
      </c>
    </row>
    <row r="43150" spans="26:26" x14ac:dyDescent="0.2">
      <c r="Z43150" t="str">
        <f t="shared" si="674"/>
        <v/>
      </c>
    </row>
    <row r="43151" spans="26:26" x14ac:dyDescent="0.2">
      <c r="Z43151" t="str">
        <f t="shared" si="674"/>
        <v/>
      </c>
    </row>
    <row r="43152" spans="26:26" x14ac:dyDescent="0.2">
      <c r="Z43152" t="str">
        <f t="shared" si="674"/>
        <v/>
      </c>
    </row>
    <row r="43153" spans="26:26" x14ac:dyDescent="0.2">
      <c r="Z43153" t="str">
        <f t="shared" si="674"/>
        <v/>
      </c>
    </row>
    <row r="43154" spans="26:26" x14ac:dyDescent="0.2">
      <c r="Z43154" t="str">
        <f t="shared" si="674"/>
        <v/>
      </c>
    </row>
    <row r="43155" spans="26:26" x14ac:dyDescent="0.2">
      <c r="Z43155" t="str">
        <f t="shared" si="674"/>
        <v/>
      </c>
    </row>
    <row r="43156" spans="26:26" x14ac:dyDescent="0.2">
      <c r="Z43156" t="str">
        <f t="shared" si="674"/>
        <v/>
      </c>
    </row>
    <row r="43157" spans="26:26" x14ac:dyDescent="0.2">
      <c r="Z43157" t="str">
        <f t="shared" si="674"/>
        <v/>
      </c>
    </row>
    <row r="43158" spans="26:26" x14ac:dyDescent="0.2">
      <c r="Z43158" t="str">
        <f t="shared" si="674"/>
        <v/>
      </c>
    </row>
    <row r="43159" spans="26:26" x14ac:dyDescent="0.2">
      <c r="Z43159" t="str">
        <f t="shared" si="674"/>
        <v/>
      </c>
    </row>
    <row r="43160" spans="26:26" x14ac:dyDescent="0.2">
      <c r="Z43160" t="str">
        <f t="shared" si="674"/>
        <v/>
      </c>
    </row>
    <row r="43161" spans="26:26" x14ac:dyDescent="0.2">
      <c r="Z43161" t="str">
        <f t="shared" si="674"/>
        <v/>
      </c>
    </row>
    <row r="43162" spans="26:26" x14ac:dyDescent="0.2">
      <c r="Z43162" t="str">
        <f t="shared" si="674"/>
        <v/>
      </c>
    </row>
    <row r="43163" spans="26:26" x14ac:dyDescent="0.2">
      <c r="Z43163" t="str">
        <f t="shared" si="674"/>
        <v/>
      </c>
    </row>
    <row r="43164" spans="26:26" x14ac:dyDescent="0.2">
      <c r="Z43164" t="str">
        <f t="shared" si="674"/>
        <v/>
      </c>
    </row>
    <row r="43165" spans="26:26" x14ac:dyDescent="0.2">
      <c r="Z43165" t="str">
        <f t="shared" si="674"/>
        <v/>
      </c>
    </row>
    <row r="43166" spans="26:26" x14ac:dyDescent="0.2">
      <c r="Z43166" t="str">
        <f t="shared" si="674"/>
        <v/>
      </c>
    </row>
    <row r="43167" spans="26:26" x14ac:dyDescent="0.2">
      <c r="Z43167" t="str">
        <f t="shared" si="674"/>
        <v/>
      </c>
    </row>
    <row r="43168" spans="26:26" x14ac:dyDescent="0.2">
      <c r="Z43168" t="str">
        <f t="shared" si="674"/>
        <v/>
      </c>
    </row>
    <row r="43169" spans="26:26" x14ac:dyDescent="0.2">
      <c r="Z43169" t="str">
        <f t="shared" si="674"/>
        <v/>
      </c>
    </row>
    <row r="43170" spans="26:26" x14ac:dyDescent="0.2">
      <c r="Z43170" t="str">
        <f t="shared" si="674"/>
        <v/>
      </c>
    </row>
    <row r="43171" spans="26:26" x14ac:dyDescent="0.2">
      <c r="Z43171" t="str">
        <f t="shared" si="674"/>
        <v/>
      </c>
    </row>
    <row r="43172" spans="26:26" x14ac:dyDescent="0.2">
      <c r="Z43172" t="str">
        <f t="shared" si="674"/>
        <v/>
      </c>
    </row>
    <row r="43173" spans="26:26" x14ac:dyDescent="0.2">
      <c r="Z43173" t="str">
        <f t="shared" si="674"/>
        <v/>
      </c>
    </row>
    <row r="43174" spans="26:26" x14ac:dyDescent="0.2">
      <c r="Z43174" t="str">
        <f t="shared" si="674"/>
        <v/>
      </c>
    </row>
    <row r="43175" spans="26:26" x14ac:dyDescent="0.2">
      <c r="Z43175" t="str">
        <f t="shared" si="674"/>
        <v/>
      </c>
    </row>
    <row r="43176" spans="26:26" x14ac:dyDescent="0.2">
      <c r="Z43176" t="str">
        <f t="shared" si="674"/>
        <v/>
      </c>
    </row>
    <row r="43177" spans="26:26" x14ac:dyDescent="0.2">
      <c r="Z43177" t="str">
        <f t="shared" si="674"/>
        <v/>
      </c>
    </row>
    <row r="43178" spans="26:26" x14ac:dyDescent="0.2">
      <c r="Z43178" t="str">
        <f t="shared" si="674"/>
        <v/>
      </c>
    </row>
    <row r="43179" spans="26:26" x14ac:dyDescent="0.2">
      <c r="Z43179" t="str">
        <f t="shared" si="674"/>
        <v/>
      </c>
    </row>
    <row r="43180" spans="26:26" x14ac:dyDescent="0.2">
      <c r="Z43180" t="str">
        <f t="shared" si="674"/>
        <v/>
      </c>
    </row>
    <row r="43181" spans="26:26" x14ac:dyDescent="0.2">
      <c r="Z43181" t="str">
        <f t="shared" si="674"/>
        <v/>
      </c>
    </row>
    <row r="43182" spans="26:26" x14ac:dyDescent="0.2">
      <c r="Z43182" t="str">
        <f t="shared" si="674"/>
        <v/>
      </c>
    </row>
    <row r="43183" spans="26:26" x14ac:dyDescent="0.2">
      <c r="Z43183" t="str">
        <f t="shared" si="674"/>
        <v/>
      </c>
    </row>
    <row r="43184" spans="26:26" x14ac:dyDescent="0.2">
      <c r="Z43184" t="str">
        <f t="shared" si="674"/>
        <v/>
      </c>
    </row>
    <row r="43185" spans="26:26" x14ac:dyDescent="0.2">
      <c r="Z43185" t="str">
        <f t="shared" si="674"/>
        <v/>
      </c>
    </row>
    <row r="43186" spans="26:26" x14ac:dyDescent="0.2">
      <c r="Z43186" t="str">
        <f t="shared" si="674"/>
        <v/>
      </c>
    </row>
    <row r="43187" spans="26:26" x14ac:dyDescent="0.2">
      <c r="Z43187" t="str">
        <f t="shared" si="674"/>
        <v/>
      </c>
    </row>
    <row r="43188" spans="26:26" x14ac:dyDescent="0.2">
      <c r="Z43188" t="str">
        <f t="shared" si="674"/>
        <v/>
      </c>
    </row>
    <row r="43189" spans="26:26" x14ac:dyDescent="0.2">
      <c r="Z43189" t="str">
        <f t="shared" si="674"/>
        <v/>
      </c>
    </row>
    <row r="43190" spans="26:26" x14ac:dyDescent="0.2">
      <c r="Z43190" t="str">
        <f t="shared" si="674"/>
        <v/>
      </c>
    </row>
    <row r="43191" spans="26:26" x14ac:dyDescent="0.2">
      <c r="Z43191" t="str">
        <f t="shared" si="674"/>
        <v/>
      </c>
    </row>
    <row r="43192" spans="26:26" x14ac:dyDescent="0.2">
      <c r="Z43192" t="str">
        <f t="shared" si="674"/>
        <v/>
      </c>
    </row>
    <row r="43193" spans="26:26" x14ac:dyDescent="0.2">
      <c r="Z43193" t="str">
        <f t="shared" si="674"/>
        <v/>
      </c>
    </row>
    <row r="43194" spans="26:26" x14ac:dyDescent="0.2">
      <c r="Z43194" t="str">
        <f t="shared" si="674"/>
        <v/>
      </c>
    </row>
    <row r="43195" spans="26:26" x14ac:dyDescent="0.2">
      <c r="Z43195" t="str">
        <f t="shared" si="674"/>
        <v/>
      </c>
    </row>
    <row r="43196" spans="26:26" x14ac:dyDescent="0.2">
      <c r="Z43196" t="str">
        <f t="shared" si="674"/>
        <v/>
      </c>
    </row>
    <row r="43197" spans="26:26" x14ac:dyDescent="0.2">
      <c r="Z43197" t="str">
        <f t="shared" si="674"/>
        <v/>
      </c>
    </row>
    <row r="43198" spans="26:26" x14ac:dyDescent="0.2">
      <c r="Z43198" t="str">
        <f t="shared" si="674"/>
        <v/>
      </c>
    </row>
    <row r="43199" spans="26:26" x14ac:dyDescent="0.2">
      <c r="Z43199" t="str">
        <f t="shared" si="674"/>
        <v/>
      </c>
    </row>
    <row r="43200" spans="26:26" x14ac:dyDescent="0.2">
      <c r="Z43200" t="str">
        <f t="shared" si="674"/>
        <v/>
      </c>
    </row>
    <row r="43201" spans="26:26" x14ac:dyDescent="0.2">
      <c r="Z43201" t="str">
        <f t="shared" si="674"/>
        <v/>
      </c>
    </row>
    <row r="43202" spans="26:26" x14ac:dyDescent="0.2">
      <c r="Z43202" t="str">
        <f t="shared" si="674"/>
        <v/>
      </c>
    </row>
    <row r="43203" spans="26:26" x14ac:dyDescent="0.2">
      <c r="Z43203" t="str">
        <f t="shared" ref="Z43203:Z43266" si="675">IF(K43203="","",IFERROR(VALUE(TRIM(MID(K43203,FIND(CHAR(167),SUBSTITUTE(K43203,"-",CHAR(167),LEN(K43203)-LEN(SUBSTITUTE(K43203,"-",""))))+1,100))),K43203))</f>
        <v/>
      </c>
    </row>
    <row r="43204" spans="26:26" x14ac:dyDescent="0.2">
      <c r="Z43204" t="str">
        <f t="shared" si="675"/>
        <v/>
      </c>
    </row>
    <row r="43205" spans="26:26" x14ac:dyDescent="0.2">
      <c r="Z43205" t="str">
        <f t="shared" si="675"/>
        <v/>
      </c>
    </row>
    <row r="43206" spans="26:26" x14ac:dyDescent="0.2">
      <c r="Z43206" t="str">
        <f t="shared" si="675"/>
        <v/>
      </c>
    </row>
    <row r="43207" spans="26:26" x14ac:dyDescent="0.2">
      <c r="Z43207" t="str">
        <f t="shared" si="675"/>
        <v/>
      </c>
    </row>
    <row r="43208" spans="26:26" x14ac:dyDescent="0.2">
      <c r="Z43208" t="str">
        <f t="shared" si="675"/>
        <v/>
      </c>
    </row>
    <row r="43209" spans="26:26" x14ac:dyDescent="0.2">
      <c r="Z43209" t="str">
        <f t="shared" si="675"/>
        <v/>
      </c>
    </row>
    <row r="43210" spans="26:26" x14ac:dyDescent="0.2">
      <c r="Z43210" t="str">
        <f t="shared" si="675"/>
        <v/>
      </c>
    </row>
    <row r="43211" spans="26:26" x14ac:dyDescent="0.2">
      <c r="Z43211" t="str">
        <f t="shared" si="675"/>
        <v/>
      </c>
    </row>
    <row r="43212" spans="26:26" x14ac:dyDescent="0.2">
      <c r="Z43212" t="str">
        <f t="shared" si="675"/>
        <v/>
      </c>
    </row>
    <row r="43213" spans="26:26" x14ac:dyDescent="0.2">
      <c r="Z43213" t="str">
        <f t="shared" si="675"/>
        <v/>
      </c>
    </row>
    <row r="43214" spans="26:26" x14ac:dyDescent="0.2">
      <c r="Z43214" t="str">
        <f t="shared" si="675"/>
        <v/>
      </c>
    </row>
    <row r="43215" spans="26:26" x14ac:dyDescent="0.2">
      <c r="Z43215" t="str">
        <f t="shared" si="675"/>
        <v/>
      </c>
    </row>
    <row r="43216" spans="26:26" x14ac:dyDescent="0.2">
      <c r="Z43216" t="str">
        <f t="shared" si="675"/>
        <v/>
      </c>
    </row>
    <row r="43217" spans="26:26" x14ac:dyDescent="0.2">
      <c r="Z43217" t="str">
        <f t="shared" si="675"/>
        <v/>
      </c>
    </row>
    <row r="43218" spans="26:26" x14ac:dyDescent="0.2">
      <c r="Z43218" t="str">
        <f t="shared" si="675"/>
        <v/>
      </c>
    </row>
    <row r="43219" spans="26:26" x14ac:dyDescent="0.2">
      <c r="Z43219" t="str">
        <f t="shared" si="675"/>
        <v/>
      </c>
    </row>
    <row r="43220" spans="26:26" x14ac:dyDescent="0.2">
      <c r="Z43220" t="str">
        <f t="shared" si="675"/>
        <v/>
      </c>
    </row>
    <row r="43221" spans="26:26" x14ac:dyDescent="0.2">
      <c r="Z43221" t="str">
        <f t="shared" si="675"/>
        <v/>
      </c>
    </row>
    <row r="43222" spans="26:26" x14ac:dyDescent="0.2">
      <c r="Z43222" t="str">
        <f t="shared" si="675"/>
        <v/>
      </c>
    </row>
    <row r="43223" spans="26:26" x14ac:dyDescent="0.2">
      <c r="Z43223" t="str">
        <f t="shared" si="675"/>
        <v/>
      </c>
    </row>
    <row r="43224" spans="26:26" x14ac:dyDescent="0.2">
      <c r="Z43224" t="str">
        <f t="shared" si="675"/>
        <v/>
      </c>
    </row>
    <row r="43225" spans="26:26" x14ac:dyDescent="0.2">
      <c r="Z43225" t="str">
        <f t="shared" si="675"/>
        <v/>
      </c>
    </row>
    <row r="43226" spans="26:26" x14ac:dyDescent="0.2">
      <c r="Z43226" t="str">
        <f t="shared" si="675"/>
        <v/>
      </c>
    </row>
    <row r="43227" spans="26:26" x14ac:dyDescent="0.2">
      <c r="Z43227" t="str">
        <f t="shared" si="675"/>
        <v/>
      </c>
    </row>
    <row r="43228" spans="26:26" x14ac:dyDescent="0.2">
      <c r="Z43228" t="str">
        <f t="shared" si="675"/>
        <v/>
      </c>
    </row>
    <row r="43229" spans="26:26" x14ac:dyDescent="0.2">
      <c r="Z43229" t="str">
        <f t="shared" si="675"/>
        <v/>
      </c>
    </row>
    <row r="43230" spans="26:26" x14ac:dyDescent="0.2">
      <c r="Z43230" t="str">
        <f t="shared" si="675"/>
        <v/>
      </c>
    </row>
    <row r="43231" spans="26:26" x14ac:dyDescent="0.2">
      <c r="Z43231" t="str">
        <f t="shared" si="675"/>
        <v/>
      </c>
    </row>
    <row r="43232" spans="26:26" x14ac:dyDescent="0.2">
      <c r="Z43232" t="str">
        <f t="shared" si="675"/>
        <v/>
      </c>
    </row>
    <row r="43233" spans="26:26" x14ac:dyDescent="0.2">
      <c r="Z43233" t="str">
        <f t="shared" si="675"/>
        <v/>
      </c>
    </row>
    <row r="43234" spans="26:26" x14ac:dyDescent="0.2">
      <c r="Z43234" t="str">
        <f t="shared" si="675"/>
        <v/>
      </c>
    </row>
    <row r="43235" spans="26:26" x14ac:dyDescent="0.2">
      <c r="Z43235" t="str">
        <f t="shared" si="675"/>
        <v/>
      </c>
    </row>
    <row r="43236" spans="26:26" x14ac:dyDescent="0.2">
      <c r="Z43236" t="str">
        <f t="shared" si="675"/>
        <v/>
      </c>
    </row>
    <row r="43237" spans="26:26" x14ac:dyDescent="0.2">
      <c r="Z43237" t="str">
        <f t="shared" si="675"/>
        <v/>
      </c>
    </row>
    <row r="43238" spans="26:26" x14ac:dyDescent="0.2">
      <c r="Z43238" t="str">
        <f t="shared" si="675"/>
        <v/>
      </c>
    </row>
    <row r="43239" spans="26:26" x14ac:dyDescent="0.2">
      <c r="Z43239" t="str">
        <f t="shared" si="675"/>
        <v/>
      </c>
    </row>
    <row r="43240" spans="26:26" x14ac:dyDescent="0.2">
      <c r="Z43240" t="str">
        <f t="shared" si="675"/>
        <v/>
      </c>
    </row>
    <row r="43241" spans="26:26" x14ac:dyDescent="0.2">
      <c r="Z43241" t="str">
        <f t="shared" si="675"/>
        <v/>
      </c>
    </row>
    <row r="43242" spans="26:26" x14ac:dyDescent="0.2">
      <c r="Z43242" t="str">
        <f t="shared" si="675"/>
        <v/>
      </c>
    </row>
    <row r="43243" spans="26:26" x14ac:dyDescent="0.2">
      <c r="Z43243" t="str">
        <f t="shared" si="675"/>
        <v/>
      </c>
    </row>
    <row r="43244" spans="26:26" x14ac:dyDescent="0.2">
      <c r="Z43244" t="str">
        <f t="shared" si="675"/>
        <v/>
      </c>
    </row>
    <row r="43245" spans="26:26" x14ac:dyDescent="0.2">
      <c r="Z43245" t="str">
        <f t="shared" si="675"/>
        <v/>
      </c>
    </row>
    <row r="43246" spans="26:26" x14ac:dyDescent="0.2">
      <c r="Z43246" t="str">
        <f t="shared" si="675"/>
        <v/>
      </c>
    </row>
    <row r="43247" spans="26:26" x14ac:dyDescent="0.2">
      <c r="Z43247" t="str">
        <f t="shared" si="675"/>
        <v/>
      </c>
    </row>
    <row r="43248" spans="26:26" x14ac:dyDescent="0.2">
      <c r="Z43248" t="str">
        <f t="shared" si="675"/>
        <v/>
      </c>
    </row>
    <row r="43249" spans="26:26" x14ac:dyDescent="0.2">
      <c r="Z43249" t="str">
        <f t="shared" si="675"/>
        <v/>
      </c>
    </row>
    <row r="43250" spans="26:26" x14ac:dyDescent="0.2">
      <c r="Z43250" t="str">
        <f t="shared" si="675"/>
        <v/>
      </c>
    </row>
    <row r="43251" spans="26:26" x14ac:dyDescent="0.2">
      <c r="Z43251" t="str">
        <f t="shared" si="675"/>
        <v/>
      </c>
    </row>
    <row r="43252" spans="26:26" x14ac:dyDescent="0.2">
      <c r="Z43252" t="str">
        <f t="shared" si="675"/>
        <v/>
      </c>
    </row>
    <row r="43253" spans="26:26" x14ac:dyDescent="0.2">
      <c r="Z43253" t="str">
        <f t="shared" si="675"/>
        <v/>
      </c>
    </row>
    <row r="43254" spans="26:26" x14ac:dyDescent="0.2">
      <c r="Z43254" t="str">
        <f t="shared" si="675"/>
        <v/>
      </c>
    </row>
    <row r="43255" spans="26:26" x14ac:dyDescent="0.2">
      <c r="Z43255" t="str">
        <f t="shared" si="675"/>
        <v/>
      </c>
    </row>
    <row r="43256" spans="26:26" x14ac:dyDescent="0.2">
      <c r="Z43256" t="str">
        <f t="shared" si="675"/>
        <v/>
      </c>
    </row>
    <row r="43257" spans="26:26" x14ac:dyDescent="0.2">
      <c r="Z43257" t="str">
        <f t="shared" si="675"/>
        <v/>
      </c>
    </row>
    <row r="43258" spans="26:26" x14ac:dyDescent="0.2">
      <c r="Z43258" t="str">
        <f t="shared" si="675"/>
        <v/>
      </c>
    </row>
    <row r="43259" spans="26:26" x14ac:dyDescent="0.2">
      <c r="Z43259" t="str">
        <f t="shared" si="675"/>
        <v/>
      </c>
    </row>
    <row r="43260" spans="26:26" x14ac:dyDescent="0.2">
      <c r="Z43260" t="str">
        <f t="shared" si="675"/>
        <v/>
      </c>
    </row>
    <row r="43261" spans="26:26" x14ac:dyDescent="0.2">
      <c r="Z43261" t="str">
        <f t="shared" si="675"/>
        <v/>
      </c>
    </row>
    <row r="43262" spans="26:26" x14ac:dyDescent="0.2">
      <c r="Z43262" t="str">
        <f t="shared" si="675"/>
        <v/>
      </c>
    </row>
    <row r="43263" spans="26:26" x14ac:dyDescent="0.2">
      <c r="Z43263" t="str">
        <f t="shared" si="675"/>
        <v/>
      </c>
    </row>
    <row r="43264" spans="26:26" x14ac:dyDescent="0.2">
      <c r="Z43264" t="str">
        <f t="shared" si="675"/>
        <v/>
      </c>
    </row>
    <row r="43265" spans="26:26" x14ac:dyDescent="0.2">
      <c r="Z43265" t="str">
        <f t="shared" si="675"/>
        <v/>
      </c>
    </row>
    <row r="43266" spans="26:26" x14ac:dyDescent="0.2">
      <c r="Z43266" t="str">
        <f t="shared" si="675"/>
        <v/>
      </c>
    </row>
    <row r="43267" spans="26:26" x14ac:dyDescent="0.2">
      <c r="Z43267" t="str">
        <f t="shared" ref="Z43267:Z43330" si="676">IF(K43267="","",IFERROR(VALUE(TRIM(MID(K43267,FIND(CHAR(167),SUBSTITUTE(K43267,"-",CHAR(167),LEN(K43267)-LEN(SUBSTITUTE(K43267,"-",""))))+1,100))),K43267))</f>
        <v/>
      </c>
    </row>
    <row r="43268" spans="26:26" x14ac:dyDescent="0.2">
      <c r="Z43268" t="str">
        <f t="shared" si="676"/>
        <v/>
      </c>
    </row>
    <row r="43269" spans="26:26" x14ac:dyDescent="0.2">
      <c r="Z43269" t="str">
        <f t="shared" si="676"/>
        <v/>
      </c>
    </row>
    <row r="43270" spans="26:26" x14ac:dyDescent="0.2">
      <c r="Z43270" t="str">
        <f t="shared" si="676"/>
        <v/>
      </c>
    </row>
    <row r="43271" spans="26:26" x14ac:dyDescent="0.2">
      <c r="Z43271" t="str">
        <f t="shared" si="676"/>
        <v/>
      </c>
    </row>
    <row r="43272" spans="26:26" x14ac:dyDescent="0.2">
      <c r="Z43272" t="str">
        <f t="shared" si="676"/>
        <v/>
      </c>
    </row>
    <row r="43273" spans="26:26" x14ac:dyDescent="0.2">
      <c r="Z43273" t="str">
        <f t="shared" si="676"/>
        <v/>
      </c>
    </row>
    <row r="43274" spans="26:26" x14ac:dyDescent="0.2">
      <c r="Z43274" t="str">
        <f t="shared" si="676"/>
        <v/>
      </c>
    </row>
    <row r="43275" spans="26:26" x14ac:dyDescent="0.2">
      <c r="Z43275" t="str">
        <f t="shared" si="676"/>
        <v/>
      </c>
    </row>
    <row r="43276" spans="26:26" x14ac:dyDescent="0.2">
      <c r="Z43276" t="str">
        <f t="shared" si="676"/>
        <v/>
      </c>
    </row>
    <row r="43277" spans="26:26" x14ac:dyDescent="0.2">
      <c r="Z43277" t="str">
        <f t="shared" si="676"/>
        <v/>
      </c>
    </row>
    <row r="43278" spans="26:26" x14ac:dyDescent="0.2">
      <c r="Z43278" t="str">
        <f t="shared" si="676"/>
        <v/>
      </c>
    </row>
    <row r="43279" spans="26:26" x14ac:dyDescent="0.2">
      <c r="Z43279" t="str">
        <f t="shared" si="676"/>
        <v/>
      </c>
    </row>
    <row r="43280" spans="26:26" x14ac:dyDescent="0.2">
      <c r="Z43280" t="str">
        <f t="shared" si="676"/>
        <v/>
      </c>
    </row>
    <row r="43281" spans="26:26" x14ac:dyDescent="0.2">
      <c r="Z43281" t="str">
        <f t="shared" si="676"/>
        <v/>
      </c>
    </row>
    <row r="43282" spans="26:26" x14ac:dyDescent="0.2">
      <c r="Z43282" t="str">
        <f t="shared" si="676"/>
        <v/>
      </c>
    </row>
    <row r="43283" spans="26:26" x14ac:dyDescent="0.2">
      <c r="Z43283" t="str">
        <f t="shared" si="676"/>
        <v/>
      </c>
    </row>
    <row r="43284" spans="26:26" x14ac:dyDescent="0.2">
      <c r="Z43284" t="str">
        <f t="shared" si="676"/>
        <v/>
      </c>
    </row>
    <row r="43285" spans="26:26" x14ac:dyDescent="0.2">
      <c r="Z43285" t="str">
        <f t="shared" si="676"/>
        <v/>
      </c>
    </row>
    <row r="43286" spans="26:26" x14ac:dyDescent="0.2">
      <c r="Z43286" t="str">
        <f t="shared" si="676"/>
        <v/>
      </c>
    </row>
    <row r="43287" spans="26:26" x14ac:dyDescent="0.2">
      <c r="Z43287" t="str">
        <f t="shared" si="676"/>
        <v/>
      </c>
    </row>
    <row r="43288" spans="26:26" x14ac:dyDescent="0.2">
      <c r="Z43288" t="str">
        <f t="shared" si="676"/>
        <v/>
      </c>
    </row>
    <row r="43289" spans="26:26" x14ac:dyDescent="0.2">
      <c r="Z43289" t="str">
        <f t="shared" si="676"/>
        <v/>
      </c>
    </row>
    <row r="43290" spans="26:26" x14ac:dyDescent="0.2">
      <c r="Z43290" t="str">
        <f t="shared" si="676"/>
        <v/>
      </c>
    </row>
    <row r="43291" spans="26:26" x14ac:dyDescent="0.2">
      <c r="Z43291" t="str">
        <f t="shared" si="676"/>
        <v/>
      </c>
    </row>
    <row r="43292" spans="26:26" x14ac:dyDescent="0.2">
      <c r="Z43292" t="str">
        <f t="shared" si="676"/>
        <v/>
      </c>
    </row>
    <row r="43293" spans="26:26" x14ac:dyDescent="0.2">
      <c r="Z43293" t="str">
        <f t="shared" si="676"/>
        <v/>
      </c>
    </row>
    <row r="43294" spans="26:26" x14ac:dyDescent="0.2">
      <c r="Z43294" t="str">
        <f t="shared" si="676"/>
        <v/>
      </c>
    </row>
    <row r="43295" spans="26:26" x14ac:dyDescent="0.2">
      <c r="Z43295" t="str">
        <f t="shared" si="676"/>
        <v/>
      </c>
    </row>
    <row r="43296" spans="26:26" x14ac:dyDescent="0.2">
      <c r="Z43296" t="str">
        <f t="shared" si="676"/>
        <v/>
      </c>
    </row>
    <row r="43297" spans="26:26" x14ac:dyDescent="0.2">
      <c r="Z43297" t="str">
        <f t="shared" si="676"/>
        <v/>
      </c>
    </row>
    <row r="43298" spans="26:26" x14ac:dyDescent="0.2">
      <c r="Z43298" t="str">
        <f t="shared" si="676"/>
        <v/>
      </c>
    </row>
    <row r="43299" spans="26:26" x14ac:dyDescent="0.2">
      <c r="Z43299" t="str">
        <f t="shared" si="676"/>
        <v/>
      </c>
    </row>
    <row r="43300" spans="26:26" x14ac:dyDescent="0.2">
      <c r="Z43300" t="str">
        <f t="shared" si="676"/>
        <v/>
      </c>
    </row>
    <row r="43301" spans="26:26" x14ac:dyDescent="0.2">
      <c r="Z43301" t="str">
        <f t="shared" si="676"/>
        <v/>
      </c>
    </row>
    <row r="43302" spans="26:26" x14ac:dyDescent="0.2">
      <c r="Z43302" t="str">
        <f t="shared" si="676"/>
        <v/>
      </c>
    </row>
    <row r="43303" spans="26:26" x14ac:dyDescent="0.2">
      <c r="Z43303" t="str">
        <f t="shared" si="676"/>
        <v/>
      </c>
    </row>
    <row r="43304" spans="26:26" x14ac:dyDescent="0.2">
      <c r="Z43304" t="str">
        <f t="shared" si="676"/>
        <v/>
      </c>
    </row>
    <row r="43305" spans="26:26" x14ac:dyDescent="0.2">
      <c r="Z43305" t="str">
        <f t="shared" si="676"/>
        <v/>
      </c>
    </row>
    <row r="43306" spans="26:26" x14ac:dyDescent="0.2">
      <c r="Z43306" t="str">
        <f t="shared" si="676"/>
        <v/>
      </c>
    </row>
    <row r="43307" spans="26:26" x14ac:dyDescent="0.2">
      <c r="Z43307" t="str">
        <f t="shared" si="676"/>
        <v/>
      </c>
    </row>
    <row r="43308" spans="26:26" x14ac:dyDescent="0.2">
      <c r="Z43308" t="str">
        <f t="shared" si="676"/>
        <v/>
      </c>
    </row>
    <row r="43309" spans="26:26" x14ac:dyDescent="0.2">
      <c r="Z43309" t="str">
        <f t="shared" si="676"/>
        <v/>
      </c>
    </row>
    <row r="43310" spans="26:26" x14ac:dyDescent="0.2">
      <c r="Z43310" t="str">
        <f t="shared" si="676"/>
        <v/>
      </c>
    </row>
    <row r="43311" spans="26:26" x14ac:dyDescent="0.2">
      <c r="Z43311" t="str">
        <f t="shared" si="676"/>
        <v/>
      </c>
    </row>
    <row r="43312" spans="26:26" x14ac:dyDescent="0.2">
      <c r="Z43312" t="str">
        <f t="shared" si="676"/>
        <v/>
      </c>
    </row>
    <row r="43313" spans="26:26" x14ac:dyDescent="0.2">
      <c r="Z43313" t="str">
        <f t="shared" si="676"/>
        <v/>
      </c>
    </row>
    <row r="43314" spans="26:26" x14ac:dyDescent="0.2">
      <c r="Z43314" t="str">
        <f t="shared" si="676"/>
        <v/>
      </c>
    </row>
    <row r="43315" spans="26:26" x14ac:dyDescent="0.2">
      <c r="Z43315" t="str">
        <f t="shared" si="676"/>
        <v/>
      </c>
    </row>
    <row r="43316" spans="26:26" x14ac:dyDescent="0.2">
      <c r="Z43316" t="str">
        <f t="shared" si="676"/>
        <v/>
      </c>
    </row>
    <row r="43317" spans="26:26" x14ac:dyDescent="0.2">
      <c r="Z43317" t="str">
        <f t="shared" si="676"/>
        <v/>
      </c>
    </row>
    <row r="43318" spans="26:26" x14ac:dyDescent="0.2">
      <c r="Z43318" t="str">
        <f t="shared" si="676"/>
        <v/>
      </c>
    </row>
    <row r="43319" spans="26:26" x14ac:dyDescent="0.2">
      <c r="Z43319" t="str">
        <f t="shared" si="676"/>
        <v/>
      </c>
    </row>
    <row r="43320" spans="26:26" x14ac:dyDescent="0.2">
      <c r="Z43320" t="str">
        <f t="shared" si="676"/>
        <v/>
      </c>
    </row>
    <row r="43321" spans="26:26" x14ac:dyDescent="0.2">
      <c r="Z43321" t="str">
        <f t="shared" si="676"/>
        <v/>
      </c>
    </row>
    <row r="43322" spans="26:26" x14ac:dyDescent="0.2">
      <c r="Z43322" t="str">
        <f t="shared" si="676"/>
        <v/>
      </c>
    </row>
    <row r="43323" spans="26:26" x14ac:dyDescent="0.2">
      <c r="Z43323" t="str">
        <f t="shared" si="676"/>
        <v/>
      </c>
    </row>
    <row r="43324" spans="26:26" x14ac:dyDescent="0.2">
      <c r="Z43324" t="str">
        <f t="shared" si="676"/>
        <v/>
      </c>
    </row>
    <row r="43325" spans="26:26" x14ac:dyDescent="0.2">
      <c r="Z43325" t="str">
        <f t="shared" si="676"/>
        <v/>
      </c>
    </row>
    <row r="43326" spans="26:26" x14ac:dyDescent="0.2">
      <c r="Z43326" t="str">
        <f t="shared" si="676"/>
        <v/>
      </c>
    </row>
    <row r="43327" spans="26:26" x14ac:dyDescent="0.2">
      <c r="Z43327" t="str">
        <f t="shared" si="676"/>
        <v/>
      </c>
    </row>
    <row r="43328" spans="26:26" x14ac:dyDescent="0.2">
      <c r="Z43328" t="str">
        <f t="shared" si="676"/>
        <v/>
      </c>
    </row>
    <row r="43329" spans="26:26" x14ac:dyDescent="0.2">
      <c r="Z43329" t="str">
        <f t="shared" si="676"/>
        <v/>
      </c>
    </row>
    <row r="43330" spans="26:26" x14ac:dyDescent="0.2">
      <c r="Z43330" t="str">
        <f t="shared" si="676"/>
        <v/>
      </c>
    </row>
    <row r="43331" spans="26:26" x14ac:dyDescent="0.2">
      <c r="Z43331" t="str">
        <f t="shared" ref="Z43331:Z43394" si="677">IF(K43331="","",IFERROR(VALUE(TRIM(MID(K43331,FIND(CHAR(167),SUBSTITUTE(K43331,"-",CHAR(167),LEN(K43331)-LEN(SUBSTITUTE(K43331,"-",""))))+1,100))),K43331))</f>
        <v/>
      </c>
    </row>
    <row r="43332" spans="26:26" x14ac:dyDescent="0.2">
      <c r="Z43332" t="str">
        <f t="shared" si="677"/>
        <v/>
      </c>
    </row>
    <row r="43333" spans="26:26" x14ac:dyDescent="0.2">
      <c r="Z43333" t="str">
        <f t="shared" si="677"/>
        <v/>
      </c>
    </row>
    <row r="43334" spans="26:26" x14ac:dyDescent="0.2">
      <c r="Z43334" t="str">
        <f t="shared" si="677"/>
        <v/>
      </c>
    </row>
    <row r="43335" spans="26:26" x14ac:dyDescent="0.2">
      <c r="Z43335" t="str">
        <f t="shared" si="677"/>
        <v/>
      </c>
    </row>
    <row r="43336" spans="26:26" x14ac:dyDescent="0.2">
      <c r="Z43336" t="str">
        <f t="shared" si="677"/>
        <v/>
      </c>
    </row>
    <row r="43337" spans="26:26" x14ac:dyDescent="0.2">
      <c r="Z43337" t="str">
        <f t="shared" si="677"/>
        <v/>
      </c>
    </row>
    <row r="43338" spans="26:26" x14ac:dyDescent="0.2">
      <c r="Z43338" t="str">
        <f t="shared" si="677"/>
        <v/>
      </c>
    </row>
    <row r="43339" spans="26:26" x14ac:dyDescent="0.2">
      <c r="Z43339" t="str">
        <f t="shared" si="677"/>
        <v/>
      </c>
    </row>
    <row r="43340" spans="26:26" x14ac:dyDescent="0.2">
      <c r="Z43340" t="str">
        <f t="shared" si="677"/>
        <v/>
      </c>
    </row>
    <row r="43341" spans="26:26" x14ac:dyDescent="0.2">
      <c r="Z43341" t="str">
        <f t="shared" si="677"/>
        <v/>
      </c>
    </row>
    <row r="43342" spans="26:26" x14ac:dyDescent="0.2">
      <c r="Z43342" t="str">
        <f t="shared" si="677"/>
        <v/>
      </c>
    </row>
    <row r="43343" spans="26:26" x14ac:dyDescent="0.2">
      <c r="Z43343" t="str">
        <f t="shared" si="677"/>
        <v/>
      </c>
    </row>
    <row r="43344" spans="26:26" x14ac:dyDescent="0.2">
      <c r="Z43344" t="str">
        <f t="shared" si="677"/>
        <v/>
      </c>
    </row>
    <row r="43345" spans="26:26" x14ac:dyDescent="0.2">
      <c r="Z43345" t="str">
        <f t="shared" si="677"/>
        <v/>
      </c>
    </row>
    <row r="43346" spans="26:26" x14ac:dyDescent="0.2">
      <c r="Z43346" t="str">
        <f t="shared" si="677"/>
        <v/>
      </c>
    </row>
    <row r="43347" spans="26:26" x14ac:dyDescent="0.2">
      <c r="Z43347" t="str">
        <f t="shared" si="677"/>
        <v/>
      </c>
    </row>
    <row r="43348" spans="26:26" x14ac:dyDescent="0.2">
      <c r="Z43348" t="str">
        <f t="shared" si="677"/>
        <v/>
      </c>
    </row>
    <row r="43349" spans="26:26" x14ac:dyDescent="0.2">
      <c r="Z43349" t="str">
        <f t="shared" si="677"/>
        <v/>
      </c>
    </row>
    <row r="43350" spans="26:26" x14ac:dyDescent="0.2">
      <c r="Z43350" t="str">
        <f t="shared" si="677"/>
        <v/>
      </c>
    </row>
    <row r="43351" spans="26:26" x14ac:dyDescent="0.2">
      <c r="Z43351" t="str">
        <f t="shared" si="677"/>
        <v/>
      </c>
    </row>
    <row r="43352" spans="26:26" x14ac:dyDescent="0.2">
      <c r="Z43352" t="str">
        <f t="shared" si="677"/>
        <v/>
      </c>
    </row>
    <row r="43353" spans="26:26" x14ac:dyDescent="0.2">
      <c r="Z43353" t="str">
        <f t="shared" si="677"/>
        <v/>
      </c>
    </row>
    <row r="43354" spans="26:26" x14ac:dyDescent="0.2">
      <c r="Z43354" t="str">
        <f t="shared" si="677"/>
        <v/>
      </c>
    </row>
    <row r="43355" spans="26:26" x14ac:dyDescent="0.2">
      <c r="Z43355" t="str">
        <f t="shared" si="677"/>
        <v/>
      </c>
    </row>
    <row r="43356" spans="26:26" x14ac:dyDescent="0.2">
      <c r="Z43356" t="str">
        <f t="shared" si="677"/>
        <v/>
      </c>
    </row>
    <row r="43357" spans="26:26" x14ac:dyDescent="0.2">
      <c r="Z43357" t="str">
        <f t="shared" si="677"/>
        <v/>
      </c>
    </row>
    <row r="43358" spans="26:26" x14ac:dyDescent="0.2">
      <c r="Z43358" t="str">
        <f t="shared" si="677"/>
        <v/>
      </c>
    </row>
    <row r="43359" spans="26:26" x14ac:dyDescent="0.2">
      <c r="Z43359" t="str">
        <f t="shared" si="677"/>
        <v/>
      </c>
    </row>
    <row r="43360" spans="26:26" x14ac:dyDescent="0.2">
      <c r="Z43360" t="str">
        <f t="shared" si="677"/>
        <v/>
      </c>
    </row>
    <row r="43361" spans="26:26" x14ac:dyDescent="0.2">
      <c r="Z43361" t="str">
        <f t="shared" si="677"/>
        <v/>
      </c>
    </row>
    <row r="43362" spans="26:26" x14ac:dyDescent="0.2">
      <c r="Z43362" t="str">
        <f t="shared" si="677"/>
        <v/>
      </c>
    </row>
    <row r="43363" spans="26:26" x14ac:dyDescent="0.2">
      <c r="Z43363" t="str">
        <f t="shared" si="677"/>
        <v/>
      </c>
    </row>
    <row r="43364" spans="26:26" x14ac:dyDescent="0.2">
      <c r="Z43364" t="str">
        <f t="shared" si="677"/>
        <v/>
      </c>
    </row>
    <row r="43365" spans="26:26" x14ac:dyDescent="0.2">
      <c r="Z43365" t="str">
        <f t="shared" si="677"/>
        <v/>
      </c>
    </row>
    <row r="43366" spans="26:26" x14ac:dyDescent="0.2">
      <c r="Z43366" t="str">
        <f t="shared" si="677"/>
        <v/>
      </c>
    </row>
    <row r="43367" spans="26:26" x14ac:dyDescent="0.2">
      <c r="Z43367" t="str">
        <f t="shared" si="677"/>
        <v/>
      </c>
    </row>
    <row r="43368" spans="26:26" x14ac:dyDescent="0.2">
      <c r="Z43368" t="str">
        <f t="shared" si="677"/>
        <v/>
      </c>
    </row>
    <row r="43369" spans="26:26" x14ac:dyDescent="0.2">
      <c r="Z43369" t="str">
        <f t="shared" si="677"/>
        <v/>
      </c>
    </row>
    <row r="43370" spans="26:26" x14ac:dyDescent="0.2">
      <c r="Z43370" t="str">
        <f t="shared" si="677"/>
        <v/>
      </c>
    </row>
    <row r="43371" spans="26:26" x14ac:dyDescent="0.2">
      <c r="Z43371" t="str">
        <f t="shared" si="677"/>
        <v/>
      </c>
    </row>
    <row r="43372" spans="26:26" x14ac:dyDescent="0.2">
      <c r="Z43372" t="str">
        <f t="shared" si="677"/>
        <v/>
      </c>
    </row>
    <row r="43373" spans="26:26" x14ac:dyDescent="0.2">
      <c r="Z43373" t="str">
        <f t="shared" si="677"/>
        <v/>
      </c>
    </row>
    <row r="43374" spans="26:26" x14ac:dyDescent="0.2">
      <c r="Z43374" t="str">
        <f t="shared" si="677"/>
        <v/>
      </c>
    </row>
    <row r="43375" spans="26:26" x14ac:dyDescent="0.2">
      <c r="Z43375" t="str">
        <f t="shared" si="677"/>
        <v/>
      </c>
    </row>
    <row r="43376" spans="26:26" x14ac:dyDescent="0.2">
      <c r="Z43376" t="str">
        <f t="shared" si="677"/>
        <v/>
      </c>
    </row>
    <row r="43377" spans="26:26" x14ac:dyDescent="0.2">
      <c r="Z43377" t="str">
        <f t="shared" si="677"/>
        <v/>
      </c>
    </row>
    <row r="43378" spans="26:26" x14ac:dyDescent="0.2">
      <c r="Z43378" t="str">
        <f t="shared" si="677"/>
        <v/>
      </c>
    </row>
    <row r="43379" spans="26:26" x14ac:dyDescent="0.2">
      <c r="Z43379" t="str">
        <f t="shared" si="677"/>
        <v/>
      </c>
    </row>
    <row r="43380" spans="26:26" x14ac:dyDescent="0.2">
      <c r="Z43380" t="str">
        <f t="shared" si="677"/>
        <v/>
      </c>
    </row>
    <row r="43381" spans="26:26" x14ac:dyDescent="0.2">
      <c r="Z43381" t="str">
        <f t="shared" si="677"/>
        <v/>
      </c>
    </row>
    <row r="43382" spans="26:26" x14ac:dyDescent="0.2">
      <c r="Z43382" t="str">
        <f t="shared" si="677"/>
        <v/>
      </c>
    </row>
    <row r="43383" spans="26:26" x14ac:dyDescent="0.2">
      <c r="Z43383" t="str">
        <f t="shared" si="677"/>
        <v/>
      </c>
    </row>
    <row r="43384" spans="26:26" x14ac:dyDescent="0.2">
      <c r="Z43384" t="str">
        <f t="shared" si="677"/>
        <v/>
      </c>
    </row>
    <row r="43385" spans="26:26" x14ac:dyDescent="0.2">
      <c r="Z43385" t="str">
        <f t="shared" si="677"/>
        <v/>
      </c>
    </row>
    <row r="43386" spans="26:26" x14ac:dyDescent="0.2">
      <c r="Z43386" t="str">
        <f t="shared" si="677"/>
        <v/>
      </c>
    </row>
    <row r="43387" spans="26:26" x14ac:dyDescent="0.2">
      <c r="Z43387" t="str">
        <f t="shared" si="677"/>
        <v/>
      </c>
    </row>
    <row r="43388" spans="26:26" x14ac:dyDescent="0.2">
      <c r="Z43388" t="str">
        <f t="shared" si="677"/>
        <v/>
      </c>
    </row>
    <row r="43389" spans="26:26" x14ac:dyDescent="0.2">
      <c r="Z43389" t="str">
        <f t="shared" si="677"/>
        <v/>
      </c>
    </row>
    <row r="43390" spans="26:26" x14ac:dyDescent="0.2">
      <c r="Z43390" t="str">
        <f t="shared" si="677"/>
        <v/>
      </c>
    </row>
    <row r="43391" spans="26:26" x14ac:dyDescent="0.2">
      <c r="Z43391" t="str">
        <f t="shared" si="677"/>
        <v/>
      </c>
    </row>
    <row r="43392" spans="26:26" x14ac:dyDescent="0.2">
      <c r="Z43392" t="str">
        <f t="shared" si="677"/>
        <v/>
      </c>
    </row>
    <row r="43393" spans="26:26" x14ac:dyDescent="0.2">
      <c r="Z43393" t="str">
        <f t="shared" si="677"/>
        <v/>
      </c>
    </row>
    <row r="43394" spans="26:26" x14ac:dyDescent="0.2">
      <c r="Z43394" t="str">
        <f t="shared" si="677"/>
        <v/>
      </c>
    </row>
    <row r="43395" spans="26:26" x14ac:dyDescent="0.2">
      <c r="Z43395" t="str">
        <f t="shared" ref="Z43395:Z43458" si="678">IF(K43395="","",IFERROR(VALUE(TRIM(MID(K43395,FIND(CHAR(167),SUBSTITUTE(K43395,"-",CHAR(167),LEN(K43395)-LEN(SUBSTITUTE(K43395,"-",""))))+1,100))),K43395))</f>
        <v/>
      </c>
    </row>
    <row r="43396" spans="26:26" x14ac:dyDescent="0.2">
      <c r="Z43396" t="str">
        <f t="shared" si="678"/>
        <v/>
      </c>
    </row>
    <row r="43397" spans="26:26" x14ac:dyDescent="0.2">
      <c r="Z43397" t="str">
        <f t="shared" si="678"/>
        <v/>
      </c>
    </row>
    <row r="43398" spans="26:26" x14ac:dyDescent="0.2">
      <c r="Z43398" t="str">
        <f t="shared" si="678"/>
        <v/>
      </c>
    </row>
    <row r="43399" spans="26:26" x14ac:dyDescent="0.2">
      <c r="Z43399" t="str">
        <f t="shared" si="678"/>
        <v/>
      </c>
    </row>
    <row r="43400" spans="26:26" x14ac:dyDescent="0.2">
      <c r="Z43400" t="str">
        <f t="shared" si="678"/>
        <v/>
      </c>
    </row>
    <row r="43401" spans="26:26" x14ac:dyDescent="0.2">
      <c r="Z43401" t="str">
        <f t="shared" si="678"/>
        <v/>
      </c>
    </row>
    <row r="43402" spans="26:26" x14ac:dyDescent="0.2">
      <c r="Z43402" t="str">
        <f t="shared" si="678"/>
        <v/>
      </c>
    </row>
    <row r="43403" spans="26:26" x14ac:dyDescent="0.2">
      <c r="Z43403" t="str">
        <f t="shared" si="678"/>
        <v/>
      </c>
    </row>
    <row r="43404" spans="26:26" x14ac:dyDescent="0.2">
      <c r="Z43404" t="str">
        <f t="shared" si="678"/>
        <v/>
      </c>
    </row>
    <row r="43405" spans="26:26" x14ac:dyDescent="0.2">
      <c r="Z43405" t="str">
        <f t="shared" si="678"/>
        <v/>
      </c>
    </row>
    <row r="43406" spans="26:26" x14ac:dyDescent="0.2">
      <c r="Z43406" t="str">
        <f t="shared" si="678"/>
        <v/>
      </c>
    </row>
    <row r="43407" spans="26:26" x14ac:dyDescent="0.2">
      <c r="Z43407" t="str">
        <f t="shared" si="678"/>
        <v/>
      </c>
    </row>
    <row r="43408" spans="26:26" x14ac:dyDescent="0.2">
      <c r="Z43408" t="str">
        <f t="shared" si="678"/>
        <v/>
      </c>
    </row>
    <row r="43409" spans="26:26" x14ac:dyDescent="0.2">
      <c r="Z43409" t="str">
        <f t="shared" si="678"/>
        <v/>
      </c>
    </row>
    <row r="43410" spans="26:26" x14ac:dyDescent="0.2">
      <c r="Z43410" t="str">
        <f t="shared" si="678"/>
        <v/>
      </c>
    </row>
    <row r="43411" spans="26:26" x14ac:dyDescent="0.2">
      <c r="Z43411" t="str">
        <f t="shared" si="678"/>
        <v/>
      </c>
    </row>
    <row r="43412" spans="26:26" x14ac:dyDescent="0.2">
      <c r="Z43412" t="str">
        <f t="shared" si="678"/>
        <v/>
      </c>
    </row>
    <row r="43413" spans="26:26" x14ac:dyDescent="0.2">
      <c r="Z43413" t="str">
        <f t="shared" si="678"/>
        <v/>
      </c>
    </row>
    <row r="43414" spans="26:26" x14ac:dyDescent="0.2">
      <c r="Z43414" t="str">
        <f t="shared" si="678"/>
        <v/>
      </c>
    </row>
    <row r="43415" spans="26:26" x14ac:dyDescent="0.2">
      <c r="Z43415" t="str">
        <f t="shared" si="678"/>
        <v/>
      </c>
    </row>
    <row r="43416" spans="26:26" x14ac:dyDescent="0.2">
      <c r="Z43416" t="str">
        <f t="shared" si="678"/>
        <v/>
      </c>
    </row>
    <row r="43417" spans="26:26" x14ac:dyDescent="0.2">
      <c r="Z43417" t="str">
        <f t="shared" si="678"/>
        <v/>
      </c>
    </row>
    <row r="43418" spans="26:26" x14ac:dyDescent="0.2">
      <c r="Z43418" t="str">
        <f t="shared" si="678"/>
        <v/>
      </c>
    </row>
    <row r="43419" spans="26:26" x14ac:dyDescent="0.2">
      <c r="Z43419" t="str">
        <f t="shared" si="678"/>
        <v/>
      </c>
    </row>
    <row r="43420" spans="26:26" x14ac:dyDescent="0.2">
      <c r="Z43420" t="str">
        <f t="shared" si="678"/>
        <v/>
      </c>
    </row>
    <row r="43421" spans="26:26" x14ac:dyDescent="0.2">
      <c r="Z43421" t="str">
        <f t="shared" si="678"/>
        <v/>
      </c>
    </row>
    <row r="43422" spans="26:26" x14ac:dyDescent="0.2">
      <c r="Z43422" t="str">
        <f t="shared" si="678"/>
        <v/>
      </c>
    </row>
    <row r="43423" spans="26:26" x14ac:dyDescent="0.2">
      <c r="Z43423" t="str">
        <f t="shared" si="678"/>
        <v/>
      </c>
    </row>
    <row r="43424" spans="26:26" x14ac:dyDescent="0.2">
      <c r="Z43424" t="str">
        <f t="shared" si="678"/>
        <v/>
      </c>
    </row>
    <row r="43425" spans="26:26" x14ac:dyDescent="0.2">
      <c r="Z43425" t="str">
        <f t="shared" si="678"/>
        <v/>
      </c>
    </row>
    <row r="43426" spans="26:26" x14ac:dyDescent="0.2">
      <c r="Z43426" t="str">
        <f t="shared" si="678"/>
        <v/>
      </c>
    </row>
    <row r="43427" spans="26:26" x14ac:dyDescent="0.2">
      <c r="Z43427" t="str">
        <f t="shared" si="678"/>
        <v/>
      </c>
    </row>
    <row r="43428" spans="26:26" x14ac:dyDescent="0.2">
      <c r="Z43428" t="str">
        <f t="shared" si="678"/>
        <v/>
      </c>
    </row>
    <row r="43429" spans="26:26" x14ac:dyDescent="0.2">
      <c r="Z43429" t="str">
        <f t="shared" si="678"/>
        <v/>
      </c>
    </row>
    <row r="43430" spans="26:26" x14ac:dyDescent="0.2">
      <c r="Z43430" t="str">
        <f t="shared" si="678"/>
        <v/>
      </c>
    </row>
    <row r="43431" spans="26:26" x14ac:dyDescent="0.2">
      <c r="Z43431" t="str">
        <f t="shared" si="678"/>
        <v/>
      </c>
    </row>
    <row r="43432" spans="26:26" x14ac:dyDescent="0.2">
      <c r="Z43432" t="str">
        <f t="shared" si="678"/>
        <v/>
      </c>
    </row>
    <row r="43433" spans="26:26" x14ac:dyDescent="0.2">
      <c r="Z43433" t="str">
        <f t="shared" si="678"/>
        <v/>
      </c>
    </row>
    <row r="43434" spans="26:26" x14ac:dyDescent="0.2">
      <c r="Z43434" t="str">
        <f t="shared" si="678"/>
        <v/>
      </c>
    </row>
    <row r="43435" spans="26:26" x14ac:dyDescent="0.2">
      <c r="Z43435" t="str">
        <f t="shared" si="678"/>
        <v/>
      </c>
    </row>
    <row r="43436" spans="26:26" x14ac:dyDescent="0.2">
      <c r="Z43436" t="str">
        <f t="shared" si="678"/>
        <v/>
      </c>
    </row>
    <row r="43437" spans="26:26" x14ac:dyDescent="0.2">
      <c r="Z43437" t="str">
        <f t="shared" si="678"/>
        <v/>
      </c>
    </row>
    <row r="43438" spans="26:26" x14ac:dyDescent="0.2">
      <c r="Z43438" t="str">
        <f t="shared" si="678"/>
        <v/>
      </c>
    </row>
    <row r="43439" spans="26:26" x14ac:dyDescent="0.2">
      <c r="Z43439" t="str">
        <f t="shared" si="678"/>
        <v/>
      </c>
    </row>
    <row r="43440" spans="26:26" x14ac:dyDescent="0.2">
      <c r="Z43440" t="str">
        <f t="shared" si="678"/>
        <v/>
      </c>
    </row>
    <row r="43441" spans="26:26" x14ac:dyDescent="0.2">
      <c r="Z43441" t="str">
        <f t="shared" si="678"/>
        <v/>
      </c>
    </row>
    <row r="43442" spans="26:26" x14ac:dyDescent="0.2">
      <c r="Z43442" t="str">
        <f t="shared" si="678"/>
        <v/>
      </c>
    </row>
    <row r="43443" spans="26:26" x14ac:dyDescent="0.2">
      <c r="Z43443" t="str">
        <f t="shared" si="678"/>
        <v/>
      </c>
    </row>
    <row r="43444" spans="26:26" x14ac:dyDescent="0.2">
      <c r="Z43444" t="str">
        <f t="shared" si="678"/>
        <v/>
      </c>
    </row>
    <row r="43445" spans="26:26" x14ac:dyDescent="0.2">
      <c r="Z43445" t="str">
        <f t="shared" si="678"/>
        <v/>
      </c>
    </row>
    <row r="43446" spans="26:26" x14ac:dyDescent="0.2">
      <c r="Z43446" t="str">
        <f t="shared" si="678"/>
        <v/>
      </c>
    </row>
    <row r="43447" spans="26:26" x14ac:dyDescent="0.2">
      <c r="Z43447" t="str">
        <f t="shared" si="678"/>
        <v/>
      </c>
    </row>
    <row r="43448" spans="26:26" x14ac:dyDescent="0.2">
      <c r="Z43448" t="str">
        <f t="shared" si="678"/>
        <v/>
      </c>
    </row>
    <row r="43449" spans="26:26" x14ac:dyDescent="0.2">
      <c r="Z43449" t="str">
        <f t="shared" si="678"/>
        <v/>
      </c>
    </row>
    <row r="43450" spans="26:26" x14ac:dyDescent="0.2">
      <c r="Z43450" t="str">
        <f t="shared" si="678"/>
        <v/>
      </c>
    </row>
    <row r="43451" spans="26:26" x14ac:dyDescent="0.2">
      <c r="Z43451" t="str">
        <f t="shared" si="678"/>
        <v/>
      </c>
    </row>
    <row r="43452" spans="26:26" x14ac:dyDescent="0.2">
      <c r="Z43452" t="str">
        <f t="shared" si="678"/>
        <v/>
      </c>
    </row>
    <row r="43453" spans="26:26" x14ac:dyDescent="0.2">
      <c r="Z43453" t="str">
        <f t="shared" si="678"/>
        <v/>
      </c>
    </row>
    <row r="43454" spans="26:26" x14ac:dyDescent="0.2">
      <c r="Z43454" t="str">
        <f t="shared" si="678"/>
        <v/>
      </c>
    </row>
    <row r="43455" spans="26:26" x14ac:dyDescent="0.2">
      <c r="Z43455" t="str">
        <f t="shared" si="678"/>
        <v/>
      </c>
    </row>
    <row r="43456" spans="26:26" x14ac:dyDescent="0.2">
      <c r="Z43456" t="str">
        <f t="shared" si="678"/>
        <v/>
      </c>
    </row>
    <row r="43457" spans="26:26" x14ac:dyDescent="0.2">
      <c r="Z43457" t="str">
        <f t="shared" si="678"/>
        <v/>
      </c>
    </row>
    <row r="43458" spans="26:26" x14ac:dyDescent="0.2">
      <c r="Z43458" t="str">
        <f t="shared" si="678"/>
        <v/>
      </c>
    </row>
    <row r="43459" spans="26:26" x14ac:dyDescent="0.2">
      <c r="Z43459" t="str">
        <f t="shared" ref="Z43459:Z43522" si="679">IF(K43459="","",IFERROR(VALUE(TRIM(MID(K43459,FIND(CHAR(167),SUBSTITUTE(K43459,"-",CHAR(167),LEN(K43459)-LEN(SUBSTITUTE(K43459,"-",""))))+1,100))),K43459))</f>
        <v/>
      </c>
    </row>
    <row r="43460" spans="26:26" x14ac:dyDescent="0.2">
      <c r="Z43460" t="str">
        <f t="shared" si="679"/>
        <v/>
      </c>
    </row>
    <row r="43461" spans="26:26" x14ac:dyDescent="0.2">
      <c r="Z43461" t="str">
        <f t="shared" si="679"/>
        <v/>
      </c>
    </row>
    <row r="43462" spans="26:26" x14ac:dyDescent="0.2">
      <c r="Z43462" t="str">
        <f t="shared" si="679"/>
        <v/>
      </c>
    </row>
    <row r="43463" spans="26:26" x14ac:dyDescent="0.2">
      <c r="Z43463" t="str">
        <f t="shared" si="679"/>
        <v/>
      </c>
    </row>
    <row r="43464" spans="26:26" x14ac:dyDescent="0.2">
      <c r="Z43464" t="str">
        <f t="shared" si="679"/>
        <v/>
      </c>
    </row>
    <row r="43465" spans="26:26" x14ac:dyDescent="0.2">
      <c r="Z43465" t="str">
        <f t="shared" si="679"/>
        <v/>
      </c>
    </row>
    <row r="43466" spans="26:26" x14ac:dyDescent="0.2">
      <c r="Z43466" t="str">
        <f t="shared" si="679"/>
        <v/>
      </c>
    </row>
    <row r="43467" spans="26:26" x14ac:dyDescent="0.2">
      <c r="Z43467" t="str">
        <f t="shared" si="679"/>
        <v/>
      </c>
    </row>
    <row r="43468" spans="26:26" x14ac:dyDescent="0.2">
      <c r="Z43468" t="str">
        <f t="shared" si="679"/>
        <v/>
      </c>
    </row>
    <row r="43469" spans="26:26" x14ac:dyDescent="0.2">
      <c r="Z43469" t="str">
        <f t="shared" si="679"/>
        <v/>
      </c>
    </row>
    <row r="43470" spans="26:26" x14ac:dyDescent="0.2">
      <c r="Z43470" t="str">
        <f t="shared" si="679"/>
        <v/>
      </c>
    </row>
    <row r="43471" spans="26:26" x14ac:dyDescent="0.2">
      <c r="Z43471" t="str">
        <f t="shared" si="679"/>
        <v/>
      </c>
    </row>
    <row r="43472" spans="26:26" x14ac:dyDescent="0.2">
      <c r="Z43472" t="str">
        <f t="shared" si="679"/>
        <v/>
      </c>
    </row>
    <row r="43473" spans="26:26" x14ac:dyDescent="0.2">
      <c r="Z43473" t="str">
        <f t="shared" si="679"/>
        <v/>
      </c>
    </row>
    <row r="43474" spans="26:26" x14ac:dyDescent="0.2">
      <c r="Z43474" t="str">
        <f t="shared" si="679"/>
        <v/>
      </c>
    </row>
    <row r="43475" spans="26:26" x14ac:dyDescent="0.2">
      <c r="Z43475" t="str">
        <f t="shared" si="679"/>
        <v/>
      </c>
    </row>
    <row r="43476" spans="26:26" x14ac:dyDescent="0.2">
      <c r="Z43476" t="str">
        <f t="shared" si="679"/>
        <v/>
      </c>
    </row>
    <row r="43477" spans="26:26" x14ac:dyDescent="0.2">
      <c r="Z43477" t="str">
        <f t="shared" si="679"/>
        <v/>
      </c>
    </row>
    <row r="43478" spans="26:26" x14ac:dyDescent="0.2">
      <c r="Z43478" t="str">
        <f t="shared" si="679"/>
        <v/>
      </c>
    </row>
    <row r="43479" spans="26:26" x14ac:dyDescent="0.2">
      <c r="Z43479" t="str">
        <f t="shared" si="679"/>
        <v/>
      </c>
    </row>
    <row r="43480" spans="26:26" x14ac:dyDescent="0.2">
      <c r="Z43480" t="str">
        <f t="shared" si="679"/>
        <v/>
      </c>
    </row>
    <row r="43481" spans="26:26" x14ac:dyDescent="0.2">
      <c r="Z43481" t="str">
        <f t="shared" si="679"/>
        <v/>
      </c>
    </row>
    <row r="43482" spans="26:26" x14ac:dyDescent="0.2">
      <c r="Z43482" t="str">
        <f t="shared" si="679"/>
        <v/>
      </c>
    </row>
    <row r="43483" spans="26:26" x14ac:dyDescent="0.2">
      <c r="Z43483" t="str">
        <f t="shared" si="679"/>
        <v/>
      </c>
    </row>
    <row r="43484" spans="26:26" x14ac:dyDescent="0.2">
      <c r="Z43484" t="str">
        <f t="shared" si="679"/>
        <v/>
      </c>
    </row>
    <row r="43485" spans="26:26" x14ac:dyDescent="0.2">
      <c r="Z43485" t="str">
        <f t="shared" si="679"/>
        <v/>
      </c>
    </row>
    <row r="43486" spans="26:26" x14ac:dyDescent="0.2">
      <c r="Z43486" t="str">
        <f t="shared" si="679"/>
        <v/>
      </c>
    </row>
    <row r="43487" spans="26:26" x14ac:dyDescent="0.2">
      <c r="Z43487" t="str">
        <f t="shared" si="679"/>
        <v/>
      </c>
    </row>
    <row r="43488" spans="26:26" x14ac:dyDescent="0.2">
      <c r="Z43488" t="str">
        <f t="shared" si="679"/>
        <v/>
      </c>
    </row>
    <row r="43489" spans="26:26" x14ac:dyDescent="0.2">
      <c r="Z43489" t="str">
        <f t="shared" si="679"/>
        <v/>
      </c>
    </row>
    <row r="43490" spans="26:26" x14ac:dyDescent="0.2">
      <c r="Z43490" t="str">
        <f t="shared" si="679"/>
        <v/>
      </c>
    </row>
    <row r="43491" spans="26:26" x14ac:dyDescent="0.2">
      <c r="Z43491" t="str">
        <f t="shared" si="679"/>
        <v/>
      </c>
    </row>
    <row r="43492" spans="26:26" x14ac:dyDescent="0.2">
      <c r="Z43492" t="str">
        <f t="shared" si="679"/>
        <v/>
      </c>
    </row>
    <row r="43493" spans="26:26" x14ac:dyDescent="0.2">
      <c r="Z43493" t="str">
        <f t="shared" si="679"/>
        <v/>
      </c>
    </row>
    <row r="43494" spans="26:26" x14ac:dyDescent="0.2">
      <c r="Z43494" t="str">
        <f t="shared" si="679"/>
        <v/>
      </c>
    </row>
    <row r="43495" spans="26:26" x14ac:dyDescent="0.2">
      <c r="Z43495" t="str">
        <f t="shared" si="679"/>
        <v/>
      </c>
    </row>
    <row r="43496" spans="26:26" x14ac:dyDescent="0.2">
      <c r="Z43496" t="str">
        <f t="shared" si="679"/>
        <v/>
      </c>
    </row>
    <row r="43497" spans="26:26" x14ac:dyDescent="0.2">
      <c r="Z43497" t="str">
        <f t="shared" si="679"/>
        <v/>
      </c>
    </row>
    <row r="43498" spans="26:26" x14ac:dyDescent="0.2">
      <c r="Z43498" t="str">
        <f t="shared" si="679"/>
        <v/>
      </c>
    </row>
    <row r="43499" spans="26:26" x14ac:dyDescent="0.2">
      <c r="Z43499" t="str">
        <f t="shared" si="679"/>
        <v/>
      </c>
    </row>
    <row r="43500" spans="26:26" x14ac:dyDescent="0.2">
      <c r="Z43500" t="str">
        <f t="shared" si="679"/>
        <v/>
      </c>
    </row>
    <row r="43501" spans="26:26" x14ac:dyDescent="0.2">
      <c r="Z43501" t="str">
        <f t="shared" si="679"/>
        <v/>
      </c>
    </row>
    <row r="43502" spans="26:26" x14ac:dyDescent="0.2">
      <c r="Z43502" t="str">
        <f t="shared" si="679"/>
        <v/>
      </c>
    </row>
    <row r="43503" spans="26:26" x14ac:dyDescent="0.2">
      <c r="Z43503" t="str">
        <f t="shared" si="679"/>
        <v/>
      </c>
    </row>
    <row r="43504" spans="26:26" x14ac:dyDescent="0.2">
      <c r="Z43504" t="str">
        <f t="shared" si="679"/>
        <v/>
      </c>
    </row>
    <row r="43505" spans="26:26" x14ac:dyDescent="0.2">
      <c r="Z43505" t="str">
        <f t="shared" si="679"/>
        <v/>
      </c>
    </row>
    <row r="43506" spans="26:26" x14ac:dyDescent="0.2">
      <c r="Z43506" t="str">
        <f t="shared" si="679"/>
        <v/>
      </c>
    </row>
    <row r="43507" spans="26:26" x14ac:dyDescent="0.2">
      <c r="Z43507" t="str">
        <f t="shared" si="679"/>
        <v/>
      </c>
    </row>
    <row r="43508" spans="26:26" x14ac:dyDescent="0.2">
      <c r="Z43508" t="str">
        <f t="shared" si="679"/>
        <v/>
      </c>
    </row>
    <row r="43509" spans="26:26" x14ac:dyDescent="0.2">
      <c r="Z43509" t="str">
        <f t="shared" si="679"/>
        <v/>
      </c>
    </row>
    <row r="43510" spans="26:26" x14ac:dyDescent="0.2">
      <c r="Z43510" t="str">
        <f t="shared" si="679"/>
        <v/>
      </c>
    </row>
    <row r="43511" spans="26:26" x14ac:dyDescent="0.2">
      <c r="Z43511" t="str">
        <f t="shared" si="679"/>
        <v/>
      </c>
    </row>
    <row r="43512" spans="26:26" x14ac:dyDescent="0.2">
      <c r="Z43512" t="str">
        <f t="shared" si="679"/>
        <v/>
      </c>
    </row>
    <row r="43513" spans="26:26" x14ac:dyDescent="0.2">
      <c r="Z43513" t="str">
        <f t="shared" si="679"/>
        <v/>
      </c>
    </row>
    <row r="43514" spans="26:26" x14ac:dyDescent="0.2">
      <c r="Z43514" t="str">
        <f t="shared" si="679"/>
        <v/>
      </c>
    </row>
    <row r="43515" spans="26:26" x14ac:dyDescent="0.2">
      <c r="Z43515" t="str">
        <f t="shared" si="679"/>
        <v/>
      </c>
    </row>
    <row r="43516" spans="26:26" x14ac:dyDescent="0.2">
      <c r="Z43516" t="str">
        <f t="shared" si="679"/>
        <v/>
      </c>
    </row>
    <row r="43517" spans="26:26" x14ac:dyDescent="0.2">
      <c r="Z43517" t="str">
        <f t="shared" si="679"/>
        <v/>
      </c>
    </row>
    <row r="43518" spans="26:26" x14ac:dyDescent="0.2">
      <c r="Z43518" t="str">
        <f t="shared" si="679"/>
        <v/>
      </c>
    </row>
    <row r="43519" spans="26:26" x14ac:dyDescent="0.2">
      <c r="Z43519" t="str">
        <f t="shared" si="679"/>
        <v/>
      </c>
    </row>
    <row r="43520" spans="26:26" x14ac:dyDescent="0.2">
      <c r="Z43520" t="str">
        <f t="shared" si="679"/>
        <v/>
      </c>
    </row>
    <row r="43521" spans="26:26" x14ac:dyDescent="0.2">
      <c r="Z43521" t="str">
        <f t="shared" si="679"/>
        <v/>
      </c>
    </row>
    <row r="43522" spans="26:26" x14ac:dyDescent="0.2">
      <c r="Z43522" t="str">
        <f t="shared" si="679"/>
        <v/>
      </c>
    </row>
    <row r="43523" spans="26:26" x14ac:dyDescent="0.2">
      <c r="Z43523" t="str">
        <f t="shared" ref="Z43523:Z43586" si="680">IF(K43523="","",IFERROR(VALUE(TRIM(MID(K43523,FIND(CHAR(167),SUBSTITUTE(K43523,"-",CHAR(167),LEN(K43523)-LEN(SUBSTITUTE(K43523,"-",""))))+1,100))),K43523))</f>
        <v/>
      </c>
    </row>
    <row r="43524" spans="26:26" x14ac:dyDescent="0.2">
      <c r="Z43524" t="str">
        <f t="shared" si="680"/>
        <v/>
      </c>
    </row>
    <row r="43525" spans="26:26" x14ac:dyDescent="0.2">
      <c r="Z43525" t="str">
        <f t="shared" si="680"/>
        <v/>
      </c>
    </row>
    <row r="43526" spans="26:26" x14ac:dyDescent="0.2">
      <c r="Z43526" t="str">
        <f t="shared" si="680"/>
        <v/>
      </c>
    </row>
    <row r="43527" spans="26:26" x14ac:dyDescent="0.2">
      <c r="Z43527" t="str">
        <f t="shared" si="680"/>
        <v/>
      </c>
    </row>
    <row r="43528" spans="26:26" x14ac:dyDescent="0.2">
      <c r="Z43528" t="str">
        <f t="shared" si="680"/>
        <v/>
      </c>
    </row>
    <row r="43529" spans="26:26" x14ac:dyDescent="0.2">
      <c r="Z43529" t="str">
        <f t="shared" si="680"/>
        <v/>
      </c>
    </row>
    <row r="43530" spans="26:26" x14ac:dyDescent="0.2">
      <c r="Z43530" t="str">
        <f t="shared" si="680"/>
        <v/>
      </c>
    </row>
    <row r="43531" spans="26:26" x14ac:dyDescent="0.2">
      <c r="Z43531" t="str">
        <f t="shared" si="680"/>
        <v/>
      </c>
    </row>
    <row r="43532" spans="26:26" x14ac:dyDescent="0.2">
      <c r="Z43532" t="str">
        <f t="shared" si="680"/>
        <v/>
      </c>
    </row>
    <row r="43533" spans="26:26" x14ac:dyDescent="0.2">
      <c r="Z43533" t="str">
        <f t="shared" si="680"/>
        <v/>
      </c>
    </row>
    <row r="43534" spans="26:26" x14ac:dyDescent="0.2">
      <c r="Z43534" t="str">
        <f t="shared" si="680"/>
        <v/>
      </c>
    </row>
    <row r="43535" spans="26:26" x14ac:dyDescent="0.2">
      <c r="Z43535" t="str">
        <f t="shared" si="680"/>
        <v/>
      </c>
    </row>
    <row r="43536" spans="26:26" x14ac:dyDescent="0.2">
      <c r="Z43536" t="str">
        <f t="shared" si="680"/>
        <v/>
      </c>
    </row>
    <row r="43537" spans="26:26" x14ac:dyDescent="0.2">
      <c r="Z43537" t="str">
        <f t="shared" si="680"/>
        <v/>
      </c>
    </row>
    <row r="43538" spans="26:26" x14ac:dyDescent="0.2">
      <c r="Z43538" t="str">
        <f t="shared" si="680"/>
        <v/>
      </c>
    </row>
    <row r="43539" spans="26:26" x14ac:dyDescent="0.2">
      <c r="Z43539" t="str">
        <f t="shared" si="680"/>
        <v/>
      </c>
    </row>
    <row r="43540" spans="26:26" x14ac:dyDescent="0.2">
      <c r="Z43540" t="str">
        <f t="shared" si="680"/>
        <v/>
      </c>
    </row>
    <row r="43541" spans="26:26" x14ac:dyDescent="0.2">
      <c r="Z43541" t="str">
        <f t="shared" si="680"/>
        <v/>
      </c>
    </row>
    <row r="43542" spans="26:26" x14ac:dyDescent="0.2">
      <c r="Z43542" t="str">
        <f t="shared" si="680"/>
        <v/>
      </c>
    </row>
    <row r="43543" spans="26:26" x14ac:dyDescent="0.2">
      <c r="Z43543" t="str">
        <f t="shared" si="680"/>
        <v/>
      </c>
    </row>
    <row r="43544" spans="26:26" x14ac:dyDescent="0.2">
      <c r="Z43544" t="str">
        <f t="shared" si="680"/>
        <v/>
      </c>
    </row>
    <row r="43545" spans="26:26" x14ac:dyDescent="0.2">
      <c r="Z43545" t="str">
        <f t="shared" si="680"/>
        <v/>
      </c>
    </row>
    <row r="43546" spans="26:26" x14ac:dyDescent="0.2">
      <c r="Z43546" t="str">
        <f t="shared" si="680"/>
        <v/>
      </c>
    </row>
    <row r="43547" spans="26:26" x14ac:dyDescent="0.2">
      <c r="Z43547" t="str">
        <f t="shared" si="680"/>
        <v/>
      </c>
    </row>
    <row r="43548" spans="26:26" x14ac:dyDescent="0.2">
      <c r="Z43548" t="str">
        <f t="shared" si="680"/>
        <v/>
      </c>
    </row>
    <row r="43549" spans="26:26" x14ac:dyDescent="0.2">
      <c r="Z43549" t="str">
        <f t="shared" si="680"/>
        <v/>
      </c>
    </row>
    <row r="43550" spans="26:26" x14ac:dyDescent="0.2">
      <c r="Z43550" t="str">
        <f t="shared" si="680"/>
        <v/>
      </c>
    </row>
    <row r="43551" spans="26:26" x14ac:dyDescent="0.2">
      <c r="Z43551" t="str">
        <f t="shared" si="680"/>
        <v/>
      </c>
    </row>
    <row r="43552" spans="26:26" x14ac:dyDescent="0.2">
      <c r="Z43552" t="str">
        <f t="shared" si="680"/>
        <v/>
      </c>
    </row>
    <row r="43553" spans="26:26" x14ac:dyDescent="0.2">
      <c r="Z43553" t="str">
        <f t="shared" si="680"/>
        <v/>
      </c>
    </row>
    <row r="43554" spans="26:26" x14ac:dyDescent="0.2">
      <c r="Z43554" t="str">
        <f t="shared" si="680"/>
        <v/>
      </c>
    </row>
    <row r="43555" spans="26:26" x14ac:dyDescent="0.2">
      <c r="Z43555" t="str">
        <f t="shared" si="680"/>
        <v/>
      </c>
    </row>
    <row r="43556" spans="26:26" x14ac:dyDescent="0.2">
      <c r="Z43556" t="str">
        <f t="shared" si="680"/>
        <v/>
      </c>
    </row>
    <row r="43557" spans="26:26" x14ac:dyDescent="0.2">
      <c r="Z43557" t="str">
        <f t="shared" si="680"/>
        <v/>
      </c>
    </row>
    <row r="43558" spans="26:26" x14ac:dyDescent="0.2">
      <c r="Z43558" t="str">
        <f t="shared" si="680"/>
        <v/>
      </c>
    </row>
    <row r="43559" spans="26:26" x14ac:dyDescent="0.2">
      <c r="Z43559" t="str">
        <f t="shared" si="680"/>
        <v/>
      </c>
    </row>
    <row r="43560" spans="26:26" x14ac:dyDescent="0.2">
      <c r="Z43560" t="str">
        <f t="shared" si="680"/>
        <v/>
      </c>
    </row>
    <row r="43561" spans="26:26" x14ac:dyDescent="0.2">
      <c r="Z43561" t="str">
        <f t="shared" si="680"/>
        <v/>
      </c>
    </row>
    <row r="43562" spans="26:26" x14ac:dyDescent="0.2">
      <c r="Z43562" t="str">
        <f t="shared" si="680"/>
        <v/>
      </c>
    </row>
    <row r="43563" spans="26:26" x14ac:dyDescent="0.2">
      <c r="Z43563" t="str">
        <f t="shared" si="680"/>
        <v/>
      </c>
    </row>
    <row r="43564" spans="26:26" x14ac:dyDescent="0.2">
      <c r="Z43564" t="str">
        <f t="shared" si="680"/>
        <v/>
      </c>
    </row>
    <row r="43565" spans="26:26" x14ac:dyDescent="0.2">
      <c r="Z43565" t="str">
        <f t="shared" si="680"/>
        <v/>
      </c>
    </row>
    <row r="43566" spans="26:26" x14ac:dyDescent="0.2">
      <c r="Z43566" t="str">
        <f t="shared" si="680"/>
        <v/>
      </c>
    </row>
    <row r="43567" spans="26:26" x14ac:dyDescent="0.2">
      <c r="Z43567" t="str">
        <f t="shared" si="680"/>
        <v/>
      </c>
    </row>
    <row r="43568" spans="26:26" x14ac:dyDescent="0.2">
      <c r="Z43568" t="str">
        <f t="shared" si="680"/>
        <v/>
      </c>
    </row>
    <row r="43569" spans="26:26" x14ac:dyDescent="0.2">
      <c r="Z43569" t="str">
        <f t="shared" si="680"/>
        <v/>
      </c>
    </row>
    <row r="43570" spans="26:26" x14ac:dyDescent="0.2">
      <c r="Z43570" t="str">
        <f t="shared" si="680"/>
        <v/>
      </c>
    </row>
    <row r="43571" spans="26:26" x14ac:dyDescent="0.2">
      <c r="Z43571" t="str">
        <f t="shared" si="680"/>
        <v/>
      </c>
    </row>
    <row r="43572" spans="26:26" x14ac:dyDescent="0.2">
      <c r="Z43572" t="str">
        <f t="shared" si="680"/>
        <v/>
      </c>
    </row>
    <row r="43573" spans="26:26" x14ac:dyDescent="0.2">
      <c r="Z43573" t="str">
        <f t="shared" si="680"/>
        <v/>
      </c>
    </row>
    <row r="43574" spans="26:26" x14ac:dyDescent="0.2">
      <c r="Z43574" t="str">
        <f t="shared" si="680"/>
        <v/>
      </c>
    </row>
    <row r="43575" spans="26:26" x14ac:dyDescent="0.2">
      <c r="Z43575" t="str">
        <f t="shared" si="680"/>
        <v/>
      </c>
    </row>
    <row r="43576" spans="26:26" x14ac:dyDescent="0.2">
      <c r="Z43576" t="str">
        <f t="shared" si="680"/>
        <v/>
      </c>
    </row>
    <row r="43577" spans="26:26" x14ac:dyDescent="0.2">
      <c r="Z43577" t="str">
        <f t="shared" si="680"/>
        <v/>
      </c>
    </row>
    <row r="43578" spans="26:26" x14ac:dyDescent="0.2">
      <c r="Z43578" t="str">
        <f t="shared" si="680"/>
        <v/>
      </c>
    </row>
    <row r="43579" spans="26:26" x14ac:dyDescent="0.2">
      <c r="Z43579" t="str">
        <f t="shared" si="680"/>
        <v/>
      </c>
    </row>
    <row r="43580" spans="26:26" x14ac:dyDescent="0.2">
      <c r="Z43580" t="str">
        <f t="shared" si="680"/>
        <v/>
      </c>
    </row>
    <row r="43581" spans="26:26" x14ac:dyDescent="0.2">
      <c r="Z43581" t="str">
        <f t="shared" si="680"/>
        <v/>
      </c>
    </row>
    <row r="43582" spans="26:26" x14ac:dyDescent="0.2">
      <c r="Z43582" t="str">
        <f t="shared" si="680"/>
        <v/>
      </c>
    </row>
    <row r="43583" spans="26:26" x14ac:dyDescent="0.2">
      <c r="Z43583" t="str">
        <f t="shared" si="680"/>
        <v/>
      </c>
    </row>
    <row r="43584" spans="26:26" x14ac:dyDescent="0.2">
      <c r="Z43584" t="str">
        <f t="shared" si="680"/>
        <v/>
      </c>
    </row>
    <row r="43585" spans="26:26" x14ac:dyDescent="0.2">
      <c r="Z43585" t="str">
        <f t="shared" si="680"/>
        <v/>
      </c>
    </row>
    <row r="43586" spans="26:26" x14ac:dyDescent="0.2">
      <c r="Z43586" t="str">
        <f t="shared" si="680"/>
        <v/>
      </c>
    </row>
    <row r="43587" spans="26:26" x14ac:dyDescent="0.2">
      <c r="Z43587" t="str">
        <f t="shared" ref="Z43587:Z43650" si="681">IF(K43587="","",IFERROR(VALUE(TRIM(MID(K43587,FIND(CHAR(167),SUBSTITUTE(K43587,"-",CHAR(167),LEN(K43587)-LEN(SUBSTITUTE(K43587,"-",""))))+1,100))),K43587))</f>
        <v/>
      </c>
    </row>
    <row r="43588" spans="26:26" x14ac:dyDescent="0.2">
      <c r="Z43588" t="str">
        <f t="shared" si="681"/>
        <v/>
      </c>
    </row>
    <row r="43589" spans="26:26" x14ac:dyDescent="0.2">
      <c r="Z43589" t="str">
        <f t="shared" si="681"/>
        <v/>
      </c>
    </row>
    <row r="43590" spans="26:26" x14ac:dyDescent="0.2">
      <c r="Z43590" t="str">
        <f t="shared" si="681"/>
        <v/>
      </c>
    </row>
    <row r="43591" spans="26:26" x14ac:dyDescent="0.2">
      <c r="Z43591" t="str">
        <f t="shared" si="681"/>
        <v/>
      </c>
    </row>
    <row r="43592" spans="26:26" x14ac:dyDescent="0.2">
      <c r="Z43592" t="str">
        <f t="shared" si="681"/>
        <v/>
      </c>
    </row>
    <row r="43593" spans="26:26" x14ac:dyDescent="0.2">
      <c r="Z43593" t="str">
        <f t="shared" si="681"/>
        <v/>
      </c>
    </row>
    <row r="43594" spans="26:26" x14ac:dyDescent="0.2">
      <c r="Z43594" t="str">
        <f t="shared" si="681"/>
        <v/>
      </c>
    </row>
    <row r="43595" spans="26:26" x14ac:dyDescent="0.2">
      <c r="Z43595" t="str">
        <f t="shared" si="681"/>
        <v/>
      </c>
    </row>
    <row r="43596" spans="26:26" x14ac:dyDescent="0.2">
      <c r="Z43596" t="str">
        <f t="shared" si="681"/>
        <v/>
      </c>
    </row>
    <row r="43597" spans="26:26" x14ac:dyDescent="0.2">
      <c r="Z43597" t="str">
        <f t="shared" si="681"/>
        <v/>
      </c>
    </row>
    <row r="43598" spans="26:26" x14ac:dyDescent="0.2">
      <c r="Z43598" t="str">
        <f t="shared" si="681"/>
        <v/>
      </c>
    </row>
    <row r="43599" spans="26:26" x14ac:dyDescent="0.2">
      <c r="Z43599" t="str">
        <f t="shared" si="681"/>
        <v/>
      </c>
    </row>
    <row r="43600" spans="26:26" x14ac:dyDescent="0.2">
      <c r="Z43600" t="str">
        <f t="shared" si="681"/>
        <v/>
      </c>
    </row>
    <row r="43601" spans="26:26" x14ac:dyDescent="0.2">
      <c r="Z43601" t="str">
        <f t="shared" si="681"/>
        <v/>
      </c>
    </row>
    <row r="43602" spans="26:26" x14ac:dyDescent="0.2">
      <c r="Z43602" t="str">
        <f t="shared" si="681"/>
        <v/>
      </c>
    </row>
    <row r="43603" spans="26:26" x14ac:dyDescent="0.2">
      <c r="Z43603" t="str">
        <f t="shared" si="681"/>
        <v/>
      </c>
    </row>
    <row r="43604" spans="26:26" x14ac:dyDescent="0.2">
      <c r="Z43604" t="str">
        <f t="shared" si="681"/>
        <v/>
      </c>
    </row>
    <row r="43605" spans="26:26" x14ac:dyDescent="0.2">
      <c r="Z43605" t="str">
        <f t="shared" si="681"/>
        <v/>
      </c>
    </row>
    <row r="43606" spans="26:26" x14ac:dyDescent="0.2">
      <c r="Z43606" t="str">
        <f t="shared" si="681"/>
        <v/>
      </c>
    </row>
    <row r="43607" spans="26:26" x14ac:dyDescent="0.2">
      <c r="Z43607" t="str">
        <f t="shared" si="681"/>
        <v/>
      </c>
    </row>
    <row r="43608" spans="26:26" x14ac:dyDescent="0.2">
      <c r="Z43608" t="str">
        <f t="shared" si="681"/>
        <v/>
      </c>
    </row>
    <row r="43609" spans="26:26" x14ac:dyDescent="0.2">
      <c r="Z43609" t="str">
        <f t="shared" si="681"/>
        <v/>
      </c>
    </row>
    <row r="43610" spans="26:26" x14ac:dyDescent="0.2">
      <c r="Z43610" t="str">
        <f t="shared" si="681"/>
        <v/>
      </c>
    </row>
    <row r="43611" spans="26:26" x14ac:dyDescent="0.2">
      <c r="Z43611" t="str">
        <f t="shared" si="681"/>
        <v/>
      </c>
    </row>
    <row r="43612" spans="26:26" x14ac:dyDescent="0.2">
      <c r="Z43612" t="str">
        <f t="shared" si="681"/>
        <v/>
      </c>
    </row>
    <row r="43613" spans="26:26" x14ac:dyDescent="0.2">
      <c r="Z43613" t="str">
        <f t="shared" si="681"/>
        <v/>
      </c>
    </row>
    <row r="43614" spans="26:26" x14ac:dyDescent="0.2">
      <c r="Z43614" t="str">
        <f t="shared" si="681"/>
        <v/>
      </c>
    </row>
    <row r="43615" spans="26:26" x14ac:dyDescent="0.2">
      <c r="Z43615" t="str">
        <f t="shared" si="681"/>
        <v/>
      </c>
    </row>
    <row r="43616" spans="26:26" x14ac:dyDescent="0.2">
      <c r="Z43616" t="str">
        <f t="shared" si="681"/>
        <v/>
      </c>
    </row>
    <row r="43617" spans="26:26" x14ac:dyDescent="0.2">
      <c r="Z43617" t="str">
        <f t="shared" si="681"/>
        <v/>
      </c>
    </row>
    <row r="43618" spans="26:26" x14ac:dyDescent="0.2">
      <c r="Z43618" t="str">
        <f t="shared" si="681"/>
        <v/>
      </c>
    </row>
    <row r="43619" spans="26:26" x14ac:dyDescent="0.2">
      <c r="Z43619" t="str">
        <f t="shared" si="681"/>
        <v/>
      </c>
    </row>
    <row r="43620" spans="26:26" x14ac:dyDescent="0.2">
      <c r="Z43620" t="str">
        <f t="shared" si="681"/>
        <v/>
      </c>
    </row>
    <row r="43621" spans="26:26" x14ac:dyDescent="0.2">
      <c r="Z43621" t="str">
        <f t="shared" si="681"/>
        <v/>
      </c>
    </row>
    <row r="43622" spans="26:26" x14ac:dyDescent="0.2">
      <c r="Z43622" t="str">
        <f t="shared" si="681"/>
        <v/>
      </c>
    </row>
    <row r="43623" spans="26:26" x14ac:dyDescent="0.2">
      <c r="Z43623" t="str">
        <f t="shared" si="681"/>
        <v/>
      </c>
    </row>
    <row r="43624" spans="26:26" x14ac:dyDescent="0.2">
      <c r="Z43624" t="str">
        <f t="shared" si="681"/>
        <v/>
      </c>
    </row>
    <row r="43625" spans="26:26" x14ac:dyDescent="0.2">
      <c r="Z43625" t="str">
        <f t="shared" si="681"/>
        <v/>
      </c>
    </row>
    <row r="43626" spans="26:26" x14ac:dyDescent="0.2">
      <c r="Z43626" t="str">
        <f t="shared" si="681"/>
        <v/>
      </c>
    </row>
    <row r="43627" spans="26:26" x14ac:dyDescent="0.2">
      <c r="Z43627" t="str">
        <f t="shared" si="681"/>
        <v/>
      </c>
    </row>
    <row r="43628" spans="26:26" x14ac:dyDescent="0.2">
      <c r="Z43628" t="str">
        <f t="shared" si="681"/>
        <v/>
      </c>
    </row>
    <row r="43629" spans="26:26" x14ac:dyDescent="0.2">
      <c r="Z43629" t="str">
        <f t="shared" si="681"/>
        <v/>
      </c>
    </row>
    <row r="43630" spans="26:26" x14ac:dyDescent="0.2">
      <c r="Z43630" t="str">
        <f t="shared" si="681"/>
        <v/>
      </c>
    </row>
    <row r="43631" spans="26:26" x14ac:dyDescent="0.2">
      <c r="Z43631" t="str">
        <f t="shared" si="681"/>
        <v/>
      </c>
    </row>
    <row r="43632" spans="26:26" x14ac:dyDescent="0.2">
      <c r="Z43632" t="str">
        <f t="shared" si="681"/>
        <v/>
      </c>
    </row>
    <row r="43633" spans="26:26" x14ac:dyDescent="0.2">
      <c r="Z43633" t="str">
        <f t="shared" si="681"/>
        <v/>
      </c>
    </row>
    <row r="43634" spans="26:26" x14ac:dyDescent="0.2">
      <c r="Z43634" t="str">
        <f t="shared" si="681"/>
        <v/>
      </c>
    </row>
    <row r="43635" spans="26:26" x14ac:dyDescent="0.2">
      <c r="Z43635" t="str">
        <f t="shared" si="681"/>
        <v/>
      </c>
    </row>
    <row r="43636" spans="26:26" x14ac:dyDescent="0.2">
      <c r="Z43636" t="str">
        <f t="shared" si="681"/>
        <v/>
      </c>
    </row>
    <row r="43637" spans="26:26" x14ac:dyDescent="0.2">
      <c r="Z43637" t="str">
        <f t="shared" si="681"/>
        <v/>
      </c>
    </row>
    <row r="43638" spans="26:26" x14ac:dyDescent="0.2">
      <c r="Z43638" t="str">
        <f t="shared" si="681"/>
        <v/>
      </c>
    </row>
    <row r="43639" spans="26:26" x14ac:dyDescent="0.2">
      <c r="Z43639" t="str">
        <f t="shared" si="681"/>
        <v/>
      </c>
    </row>
    <row r="43640" spans="26:26" x14ac:dyDescent="0.2">
      <c r="Z43640" t="str">
        <f t="shared" si="681"/>
        <v/>
      </c>
    </row>
    <row r="43641" spans="26:26" x14ac:dyDescent="0.2">
      <c r="Z43641" t="str">
        <f t="shared" si="681"/>
        <v/>
      </c>
    </row>
    <row r="43642" spans="26:26" x14ac:dyDescent="0.2">
      <c r="Z43642" t="str">
        <f t="shared" si="681"/>
        <v/>
      </c>
    </row>
    <row r="43643" spans="26:26" x14ac:dyDescent="0.2">
      <c r="Z43643" t="str">
        <f t="shared" si="681"/>
        <v/>
      </c>
    </row>
    <row r="43644" spans="26:26" x14ac:dyDescent="0.2">
      <c r="Z43644" t="str">
        <f t="shared" si="681"/>
        <v/>
      </c>
    </row>
    <row r="43645" spans="26:26" x14ac:dyDescent="0.2">
      <c r="Z43645" t="str">
        <f t="shared" si="681"/>
        <v/>
      </c>
    </row>
    <row r="43646" spans="26:26" x14ac:dyDescent="0.2">
      <c r="Z43646" t="str">
        <f t="shared" si="681"/>
        <v/>
      </c>
    </row>
    <row r="43647" spans="26:26" x14ac:dyDescent="0.2">
      <c r="Z43647" t="str">
        <f t="shared" si="681"/>
        <v/>
      </c>
    </row>
    <row r="43648" spans="26:26" x14ac:dyDescent="0.2">
      <c r="Z43648" t="str">
        <f t="shared" si="681"/>
        <v/>
      </c>
    </row>
    <row r="43649" spans="26:26" x14ac:dyDescent="0.2">
      <c r="Z43649" t="str">
        <f t="shared" si="681"/>
        <v/>
      </c>
    </row>
    <row r="43650" spans="26:26" x14ac:dyDescent="0.2">
      <c r="Z43650" t="str">
        <f t="shared" si="681"/>
        <v/>
      </c>
    </row>
    <row r="43651" spans="26:26" x14ac:dyDescent="0.2">
      <c r="Z43651" t="str">
        <f t="shared" ref="Z43651:Z43714" si="682">IF(K43651="","",IFERROR(VALUE(TRIM(MID(K43651,FIND(CHAR(167),SUBSTITUTE(K43651,"-",CHAR(167),LEN(K43651)-LEN(SUBSTITUTE(K43651,"-",""))))+1,100))),K43651))</f>
        <v/>
      </c>
    </row>
    <row r="43652" spans="26:26" x14ac:dyDescent="0.2">
      <c r="Z43652" t="str">
        <f t="shared" si="682"/>
        <v/>
      </c>
    </row>
    <row r="43653" spans="26:26" x14ac:dyDescent="0.2">
      <c r="Z43653" t="str">
        <f t="shared" si="682"/>
        <v/>
      </c>
    </row>
    <row r="43654" spans="26:26" x14ac:dyDescent="0.2">
      <c r="Z43654" t="str">
        <f t="shared" si="682"/>
        <v/>
      </c>
    </row>
    <row r="43655" spans="26:26" x14ac:dyDescent="0.2">
      <c r="Z43655" t="str">
        <f t="shared" si="682"/>
        <v/>
      </c>
    </row>
    <row r="43656" spans="26:26" x14ac:dyDescent="0.2">
      <c r="Z43656" t="str">
        <f t="shared" si="682"/>
        <v/>
      </c>
    </row>
    <row r="43657" spans="26:26" x14ac:dyDescent="0.2">
      <c r="Z43657" t="str">
        <f t="shared" si="682"/>
        <v/>
      </c>
    </row>
    <row r="43658" spans="26:26" x14ac:dyDescent="0.2">
      <c r="Z43658" t="str">
        <f t="shared" si="682"/>
        <v/>
      </c>
    </row>
    <row r="43659" spans="26:26" x14ac:dyDescent="0.2">
      <c r="Z43659" t="str">
        <f t="shared" si="682"/>
        <v/>
      </c>
    </row>
    <row r="43660" spans="26:26" x14ac:dyDescent="0.2">
      <c r="Z43660" t="str">
        <f t="shared" si="682"/>
        <v/>
      </c>
    </row>
    <row r="43661" spans="26:26" x14ac:dyDescent="0.2">
      <c r="Z43661" t="str">
        <f t="shared" si="682"/>
        <v/>
      </c>
    </row>
    <row r="43662" spans="26:26" x14ac:dyDescent="0.2">
      <c r="Z43662" t="str">
        <f t="shared" si="682"/>
        <v/>
      </c>
    </row>
    <row r="43663" spans="26:26" x14ac:dyDescent="0.2">
      <c r="Z43663" t="str">
        <f t="shared" si="682"/>
        <v/>
      </c>
    </row>
    <row r="43664" spans="26:26" x14ac:dyDescent="0.2">
      <c r="Z43664" t="str">
        <f t="shared" si="682"/>
        <v/>
      </c>
    </row>
    <row r="43665" spans="26:26" x14ac:dyDescent="0.2">
      <c r="Z43665" t="str">
        <f t="shared" si="682"/>
        <v/>
      </c>
    </row>
    <row r="43666" spans="26:26" x14ac:dyDescent="0.2">
      <c r="Z43666" t="str">
        <f t="shared" si="682"/>
        <v/>
      </c>
    </row>
    <row r="43667" spans="26:26" x14ac:dyDescent="0.2">
      <c r="Z43667" t="str">
        <f t="shared" si="682"/>
        <v/>
      </c>
    </row>
    <row r="43668" spans="26:26" x14ac:dyDescent="0.2">
      <c r="Z43668" t="str">
        <f t="shared" si="682"/>
        <v/>
      </c>
    </row>
    <row r="43669" spans="26:26" x14ac:dyDescent="0.2">
      <c r="Z43669" t="str">
        <f t="shared" si="682"/>
        <v/>
      </c>
    </row>
    <row r="43670" spans="26:26" x14ac:dyDescent="0.2">
      <c r="Z43670" t="str">
        <f t="shared" si="682"/>
        <v/>
      </c>
    </row>
    <row r="43671" spans="26:26" x14ac:dyDescent="0.2">
      <c r="Z43671" t="str">
        <f t="shared" si="682"/>
        <v/>
      </c>
    </row>
    <row r="43672" spans="26:26" x14ac:dyDescent="0.2">
      <c r="Z43672" t="str">
        <f t="shared" si="682"/>
        <v/>
      </c>
    </row>
    <row r="43673" spans="26:26" x14ac:dyDescent="0.2">
      <c r="Z43673" t="str">
        <f t="shared" si="682"/>
        <v/>
      </c>
    </row>
    <row r="43674" spans="26:26" x14ac:dyDescent="0.2">
      <c r="Z43674" t="str">
        <f t="shared" si="682"/>
        <v/>
      </c>
    </row>
    <row r="43675" spans="26:26" x14ac:dyDescent="0.2">
      <c r="Z43675" t="str">
        <f t="shared" si="682"/>
        <v/>
      </c>
    </row>
    <row r="43676" spans="26:26" x14ac:dyDescent="0.2">
      <c r="Z43676" t="str">
        <f t="shared" si="682"/>
        <v/>
      </c>
    </row>
    <row r="43677" spans="26:26" x14ac:dyDescent="0.2">
      <c r="Z43677" t="str">
        <f t="shared" si="682"/>
        <v/>
      </c>
    </row>
    <row r="43678" spans="26:26" x14ac:dyDescent="0.2">
      <c r="Z43678" t="str">
        <f t="shared" si="682"/>
        <v/>
      </c>
    </row>
    <row r="43679" spans="26:26" x14ac:dyDescent="0.2">
      <c r="Z43679" t="str">
        <f t="shared" si="682"/>
        <v/>
      </c>
    </row>
    <row r="43680" spans="26:26" x14ac:dyDescent="0.2">
      <c r="Z43680" t="str">
        <f t="shared" si="682"/>
        <v/>
      </c>
    </row>
    <row r="43681" spans="26:26" x14ac:dyDescent="0.2">
      <c r="Z43681" t="str">
        <f t="shared" si="682"/>
        <v/>
      </c>
    </row>
    <row r="43682" spans="26:26" x14ac:dyDescent="0.2">
      <c r="Z43682" t="str">
        <f t="shared" si="682"/>
        <v/>
      </c>
    </row>
    <row r="43683" spans="26:26" x14ac:dyDescent="0.2">
      <c r="Z43683" t="str">
        <f t="shared" si="682"/>
        <v/>
      </c>
    </row>
    <row r="43684" spans="26:26" x14ac:dyDescent="0.2">
      <c r="Z43684" t="str">
        <f t="shared" si="682"/>
        <v/>
      </c>
    </row>
    <row r="43685" spans="26:26" x14ac:dyDescent="0.2">
      <c r="Z43685" t="str">
        <f t="shared" si="682"/>
        <v/>
      </c>
    </row>
    <row r="43686" spans="26:26" x14ac:dyDescent="0.2">
      <c r="Z43686" t="str">
        <f t="shared" si="682"/>
        <v/>
      </c>
    </row>
    <row r="43687" spans="26:26" x14ac:dyDescent="0.2">
      <c r="Z43687" t="str">
        <f t="shared" si="682"/>
        <v/>
      </c>
    </row>
    <row r="43688" spans="26:26" x14ac:dyDescent="0.2">
      <c r="Z43688" t="str">
        <f t="shared" si="682"/>
        <v/>
      </c>
    </row>
    <row r="43689" spans="26:26" x14ac:dyDescent="0.2">
      <c r="Z43689" t="str">
        <f t="shared" si="682"/>
        <v/>
      </c>
    </row>
    <row r="43690" spans="26:26" x14ac:dyDescent="0.2">
      <c r="Z43690" t="str">
        <f t="shared" si="682"/>
        <v/>
      </c>
    </row>
    <row r="43691" spans="26:26" x14ac:dyDescent="0.2">
      <c r="Z43691" t="str">
        <f t="shared" si="682"/>
        <v/>
      </c>
    </row>
    <row r="43692" spans="26:26" x14ac:dyDescent="0.2">
      <c r="Z43692" t="str">
        <f t="shared" si="682"/>
        <v/>
      </c>
    </row>
    <row r="43693" spans="26:26" x14ac:dyDescent="0.2">
      <c r="Z43693" t="str">
        <f t="shared" si="682"/>
        <v/>
      </c>
    </row>
    <row r="43694" spans="26:26" x14ac:dyDescent="0.2">
      <c r="Z43694" t="str">
        <f t="shared" si="682"/>
        <v/>
      </c>
    </row>
    <row r="43695" spans="26:26" x14ac:dyDescent="0.2">
      <c r="Z43695" t="str">
        <f t="shared" si="682"/>
        <v/>
      </c>
    </row>
    <row r="43696" spans="26:26" x14ac:dyDescent="0.2">
      <c r="Z43696" t="str">
        <f t="shared" si="682"/>
        <v/>
      </c>
    </row>
    <row r="43697" spans="26:26" x14ac:dyDescent="0.2">
      <c r="Z43697" t="str">
        <f t="shared" si="682"/>
        <v/>
      </c>
    </row>
    <row r="43698" spans="26:26" x14ac:dyDescent="0.2">
      <c r="Z43698" t="str">
        <f t="shared" si="682"/>
        <v/>
      </c>
    </row>
    <row r="43699" spans="26:26" x14ac:dyDescent="0.2">
      <c r="Z43699" t="str">
        <f t="shared" si="682"/>
        <v/>
      </c>
    </row>
    <row r="43700" spans="26:26" x14ac:dyDescent="0.2">
      <c r="Z43700" t="str">
        <f t="shared" si="682"/>
        <v/>
      </c>
    </row>
    <row r="43701" spans="26:26" x14ac:dyDescent="0.2">
      <c r="Z43701" t="str">
        <f t="shared" si="682"/>
        <v/>
      </c>
    </row>
    <row r="43702" spans="26:26" x14ac:dyDescent="0.2">
      <c r="Z43702" t="str">
        <f t="shared" si="682"/>
        <v/>
      </c>
    </row>
    <row r="43703" spans="26:26" x14ac:dyDescent="0.2">
      <c r="Z43703" t="str">
        <f t="shared" si="682"/>
        <v/>
      </c>
    </row>
    <row r="43704" spans="26:26" x14ac:dyDescent="0.2">
      <c r="Z43704" t="str">
        <f t="shared" si="682"/>
        <v/>
      </c>
    </row>
    <row r="43705" spans="26:26" x14ac:dyDescent="0.2">
      <c r="Z43705" t="str">
        <f t="shared" si="682"/>
        <v/>
      </c>
    </row>
    <row r="43706" spans="26:26" x14ac:dyDescent="0.2">
      <c r="Z43706" t="str">
        <f t="shared" si="682"/>
        <v/>
      </c>
    </row>
    <row r="43707" spans="26:26" x14ac:dyDescent="0.2">
      <c r="Z43707" t="str">
        <f t="shared" si="682"/>
        <v/>
      </c>
    </row>
    <row r="43708" spans="26:26" x14ac:dyDescent="0.2">
      <c r="Z43708" t="str">
        <f t="shared" si="682"/>
        <v/>
      </c>
    </row>
    <row r="43709" spans="26:26" x14ac:dyDescent="0.2">
      <c r="Z43709" t="str">
        <f t="shared" si="682"/>
        <v/>
      </c>
    </row>
    <row r="43710" spans="26:26" x14ac:dyDescent="0.2">
      <c r="Z43710" t="str">
        <f t="shared" si="682"/>
        <v/>
      </c>
    </row>
    <row r="43711" spans="26:26" x14ac:dyDescent="0.2">
      <c r="Z43711" t="str">
        <f t="shared" si="682"/>
        <v/>
      </c>
    </row>
    <row r="43712" spans="26:26" x14ac:dyDescent="0.2">
      <c r="Z43712" t="str">
        <f t="shared" si="682"/>
        <v/>
      </c>
    </row>
    <row r="43713" spans="26:26" x14ac:dyDescent="0.2">
      <c r="Z43713" t="str">
        <f t="shared" si="682"/>
        <v/>
      </c>
    </row>
    <row r="43714" spans="26:26" x14ac:dyDescent="0.2">
      <c r="Z43714" t="str">
        <f t="shared" si="682"/>
        <v/>
      </c>
    </row>
    <row r="43715" spans="26:26" x14ac:dyDescent="0.2">
      <c r="Z43715" t="str">
        <f t="shared" ref="Z43715:Z43778" si="683">IF(K43715="","",IFERROR(VALUE(TRIM(MID(K43715,FIND(CHAR(167),SUBSTITUTE(K43715,"-",CHAR(167),LEN(K43715)-LEN(SUBSTITUTE(K43715,"-",""))))+1,100))),K43715))</f>
        <v/>
      </c>
    </row>
    <row r="43716" spans="26:26" x14ac:dyDescent="0.2">
      <c r="Z43716" t="str">
        <f t="shared" si="683"/>
        <v/>
      </c>
    </row>
    <row r="43717" spans="26:26" x14ac:dyDescent="0.2">
      <c r="Z43717" t="str">
        <f t="shared" si="683"/>
        <v/>
      </c>
    </row>
    <row r="43718" spans="26:26" x14ac:dyDescent="0.2">
      <c r="Z43718" t="str">
        <f t="shared" si="683"/>
        <v/>
      </c>
    </row>
    <row r="43719" spans="26:26" x14ac:dyDescent="0.2">
      <c r="Z43719" t="str">
        <f t="shared" si="683"/>
        <v/>
      </c>
    </row>
    <row r="43720" spans="26:26" x14ac:dyDescent="0.2">
      <c r="Z43720" t="str">
        <f t="shared" si="683"/>
        <v/>
      </c>
    </row>
    <row r="43721" spans="26:26" x14ac:dyDescent="0.2">
      <c r="Z43721" t="str">
        <f t="shared" si="683"/>
        <v/>
      </c>
    </row>
    <row r="43722" spans="26:26" x14ac:dyDescent="0.2">
      <c r="Z43722" t="str">
        <f t="shared" si="683"/>
        <v/>
      </c>
    </row>
    <row r="43723" spans="26:26" x14ac:dyDescent="0.2">
      <c r="Z43723" t="str">
        <f t="shared" si="683"/>
        <v/>
      </c>
    </row>
    <row r="43724" spans="26:26" x14ac:dyDescent="0.2">
      <c r="Z43724" t="str">
        <f t="shared" si="683"/>
        <v/>
      </c>
    </row>
    <row r="43725" spans="26:26" x14ac:dyDescent="0.2">
      <c r="Z43725" t="str">
        <f t="shared" si="683"/>
        <v/>
      </c>
    </row>
    <row r="43726" spans="26:26" x14ac:dyDescent="0.2">
      <c r="Z43726" t="str">
        <f t="shared" si="683"/>
        <v/>
      </c>
    </row>
    <row r="43727" spans="26:26" x14ac:dyDescent="0.2">
      <c r="Z43727" t="str">
        <f t="shared" si="683"/>
        <v/>
      </c>
    </row>
    <row r="43728" spans="26:26" x14ac:dyDescent="0.2">
      <c r="Z43728" t="str">
        <f t="shared" si="683"/>
        <v/>
      </c>
    </row>
    <row r="43729" spans="26:26" x14ac:dyDescent="0.2">
      <c r="Z43729" t="str">
        <f t="shared" si="683"/>
        <v/>
      </c>
    </row>
    <row r="43730" spans="26:26" x14ac:dyDescent="0.2">
      <c r="Z43730" t="str">
        <f t="shared" si="683"/>
        <v/>
      </c>
    </row>
    <row r="43731" spans="26:26" x14ac:dyDescent="0.2">
      <c r="Z43731" t="str">
        <f t="shared" si="683"/>
        <v/>
      </c>
    </row>
    <row r="43732" spans="26:26" x14ac:dyDescent="0.2">
      <c r="Z43732" t="str">
        <f t="shared" si="683"/>
        <v/>
      </c>
    </row>
    <row r="43733" spans="26:26" x14ac:dyDescent="0.2">
      <c r="Z43733" t="str">
        <f t="shared" si="683"/>
        <v/>
      </c>
    </row>
    <row r="43734" spans="26:26" x14ac:dyDescent="0.2">
      <c r="Z43734" t="str">
        <f t="shared" si="683"/>
        <v/>
      </c>
    </row>
    <row r="43735" spans="26:26" x14ac:dyDescent="0.2">
      <c r="Z43735" t="str">
        <f t="shared" si="683"/>
        <v/>
      </c>
    </row>
    <row r="43736" spans="26:26" x14ac:dyDescent="0.2">
      <c r="Z43736" t="str">
        <f t="shared" si="683"/>
        <v/>
      </c>
    </row>
    <row r="43737" spans="26:26" x14ac:dyDescent="0.2">
      <c r="Z43737" t="str">
        <f t="shared" si="683"/>
        <v/>
      </c>
    </row>
    <row r="43738" spans="26:26" x14ac:dyDescent="0.2">
      <c r="Z43738" t="str">
        <f t="shared" si="683"/>
        <v/>
      </c>
    </row>
    <row r="43739" spans="26:26" x14ac:dyDescent="0.2">
      <c r="Z43739" t="str">
        <f t="shared" si="683"/>
        <v/>
      </c>
    </row>
    <row r="43740" spans="26:26" x14ac:dyDescent="0.2">
      <c r="Z43740" t="str">
        <f t="shared" si="683"/>
        <v/>
      </c>
    </row>
    <row r="43741" spans="26:26" x14ac:dyDescent="0.2">
      <c r="Z43741" t="str">
        <f t="shared" si="683"/>
        <v/>
      </c>
    </row>
    <row r="43742" spans="26:26" x14ac:dyDescent="0.2">
      <c r="Z43742" t="str">
        <f t="shared" si="683"/>
        <v/>
      </c>
    </row>
    <row r="43743" spans="26:26" x14ac:dyDescent="0.2">
      <c r="Z43743" t="str">
        <f t="shared" si="683"/>
        <v/>
      </c>
    </row>
    <row r="43744" spans="26:26" x14ac:dyDescent="0.2">
      <c r="Z43744" t="str">
        <f t="shared" si="683"/>
        <v/>
      </c>
    </row>
    <row r="43745" spans="26:26" x14ac:dyDescent="0.2">
      <c r="Z43745" t="str">
        <f t="shared" si="683"/>
        <v/>
      </c>
    </row>
    <row r="43746" spans="26:26" x14ac:dyDescent="0.2">
      <c r="Z43746" t="str">
        <f t="shared" si="683"/>
        <v/>
      </c>
    </row>
    <row r="43747" spans="26:26" x14ac:dyDescent="0.2">
      <c r="Z43747" t="str">
        <f t="shared" si="683"/>
        <v/>
      </c>
    </row>
    <row r="43748" spans="26:26" x14ac:dyDescent="0.2">
      <c r="Z43748" t="str">
        <f t="shared" si="683"/>
        <v/>
      </c>
    </row>
    <row r="43749" spans="26:26" x14ac:dyDescent="0.2">
      <c r="Z43749" t="str">
        <f t="shared" si="683"/>
        <v/>
      </c>
    </row>
    <row r="43750" spans="26:26" x14ac:dyDescent="0.2">
      <c r="Z43750" t="str">
        <f t="shared" si="683"/>
        <v/>
      </c>
    </row>
    <row r="43751" spans="26:26" x14ac:dyDescent="0.2">
      <c r="Z43751" t="str">
        <f t="shared" si="683"/>
        <v/>
      </c>
    </row>
    <row r="43752" spans="26:26" x14ac:dyDescent="0.2">
      <c r="Z43752" t="str">
        <f t="shared" si="683"/>
        <v/>
      </c>
    </row>
    <row r="43753" spans="26:26" x14ac:dyDescent="0.2">
      <c r="Z43753" t="str">
        <f t="shared" si="683"/>
        <v/>
      </c>
    </row>
    <row r="43754" spans="26:26" x14ac:dyDescent="0.2">
      <c r="Z43754" t="str">
        <f t="shared" si="683"/>
        <v/>
      </c>
    </row>
    <row r="43755" spans="26:26" x14ac:dyDescent="0.2">
      <c r="Z43755" t="str">
        <f t="shared" si="683"/>
        <v/>
      </c>
    </row>
    <row r="43756" spans="26:26" x14ac:dyDescent="0.2">
      <c r="Z43756" t="str">
        <f t="shared" si="683"/>
        <v/>
      </c>
    </row>
    <row r="43757" spans="26:26" x14ac:dyDescent="0.2">
      <c r="Z43757" t="str">
        <f t="shared" si="683"/>
        <v/>
      </c>
    </row>
    <row r="43758" spans="26:26" x14ac:dyDescent="0.2">
      <c r="Z43758" t="str">
        <f t="shared" si="683"/>
        <v/>
      </c>
    </row>
    <row r="43759" spans="26:26" x14ac:dyDescent="0.2">
      <c r="Z43759" t="str">
        <f t="shared" si="683"/>
        <v/>
      </c>
    </row>
    <row r="43760" spans="26:26" x14ac:dyDescent="0.2">
      <c r="Z43760" t="str">
        <f t="shared" si="683"/>
        <v/>
      </c>
    </row>
    <row r="43761" spans="26:26" x14ac:dyDescent="0.2">
      <c r="Z43761" t="str">
        <f t="shared" si="683"/>
        <v/>
      </c>
    </row>
    <row r="43762" spans="26:26" x14ac:dyDescent="0.2">
      <c r="Z43762" t="str">
        <f t="shared" si="683"/>
        <v/>
      </c>
    </row>
    <row r="43763" spans="26:26" x14ac:dyDescent="0.2">
      <c r="Z43763" t="str">
        <f t="shared" si="683"/>
        <v/>
      </c>
    </row>
    <row r="43764" spans="26:26" x14ac:dyDescent="0.2">
      <c r="Z43764" t="str">
        <f t="shared" si="683"/>
        <v/>
      </c>
    </row>
    <row r="43765" spans="26:26" x14ac:dyDescent="0.2">
      <c r="Z43765" t="str">
        <f t="shared" si="683"/>
        <v/>
      </c>
    </row>
    <row r="43766" spans="26:26" x14ac:dyDescent="0.2">
      <c r="Z43766" t="str">
        <f t="shared" si="683"/>
        <v/>
      </c>
    </row>
    <row r="43767" spans="26:26" x14ac:dyDescent="0.2">
      <c r="Z43767" t="str">
        <f t="shared" si="683"/>
        <v/>
      </c>
    </row>
    <row r="43768" spans="26:26" x14ac:dyDescent="0.2">
      <c r="Z43768" t="str">
        <f t="shared" si="683"/>
        <v/>
      </c>
    </row>
    <row r="43769" spans="26:26" x14ac:dyDescent="0.2">
      <c r="Z43769" t="str">
        <f t="shared" si="683"/>
        <v/>
      </c>
    </row>
    <row r="43770" spans="26:26" x14ac:dyDescent="0.2">
      <c r="Z43770" t="str">
        <f t="shared" si="683"/>
        <v/>
      </c>
    </row>
    <row r="43771" spans="26:26" x14ac:dyDescent="0.2">
      <c r="Z43771" t="str">
        <f t="shared" si="683"/>
        <v/>
      </c>
    </row>
    <row r="43772" spans="26:26" x14ac:dyDescent="0.2">
      <c r="Z43772" t="str">
        <f t="shared" si="683"/>
        <v/>
      </c>
    </row>
    <row r="43773" spans="26:26" x14ac:dyDescent="0.2">
      <c r="Z43773" t="str">
        <f t="shared" si="683"/>
        <v/>
      </c>
    </row>
    <row r="43774" spans="26:26" x14ac:dyDescent="0.2">
      <c r="Z43774" t="str">
        <f t="shared" si="683"/>
        <v/>
      </c>
    </row>
    <row r="43775" spans="26:26" x14ac:dyDescent="0.2">
      <c r="Z43775" t="str">
        <f t="shared" si="683"/>
        <v/>
      </c>
    </row>
    <row r="43776" spans="26:26" x14ac:dyDescent="0.2">
      <c r="Z43776" t="str">
        <f t="shared" si="683"/>
        <v/>
      </c>
    </row>
    <row r="43777" spans="26:26" x14ac:dyDescent="0.2">
      <c r="Z43777" t="str">
        <f t="shared" si="683"/>
        <v/>
      </c>
    </row>
    <row r="43778" spans="26:26" x14ac:dyDescent="0.2">
      <c r="Z43778" t="str">
        <f t="shared" si="683"/>
        <v/>
      </c>
    </row>
    <row r="43779" spans="26:26" x14ac:dyDescent="0.2">
      <c r="Z43779" t="str">
        <f t="shared" ref="Z43779:Z43842" si="684">IF(K43779="","",IFERROR(VALUE(TRIM(MID(K43779,FIND(CHAR(167),SUBSTITUTE(K43779,"-",CHAR(167),LEN(K43779)-LEN(SUBSTITUTE(K43779,"-",""))))+1,100))),K43779))</f>
        <v/>
      </c>
    </row>
    <row r="43780" spans="26:26" x14ac:dyDescent="0.2">
      <c r="Z43780" t="str">
        <f t="shared" si="684"/>
        <v/>
      </c>
    </row>
    <row r="43781" spans="26:26" x14ac:dyDescent="0.2">
      <c r="Z43781" t="str">
        <f t="shared" si="684"/>
        <v/>
      </c>
    </row>
    <row r="43782" spans="26:26" x14ac:dyDescent="0.2">
      <c r="Z43782" t="str">
        <f t="shared" si="684"/>
        <v/>
      </c>
    </row>
    <row r="43783" spans="26:26" x14ac:dyDescent="0.2">
      <c r="Z43783" t="str">
        <f t="shared" si="684"/>
        <v/>
      </c>
    </row>
    <row r="43784" spans="26:26" x14ac:dyDescent="0.2">
      <c r="Z43784" t="str">
        <f t="shared" si="684"/>
        <v/>
      </c>
    </row>
    <row r="43785" spans="26:26" x14ac:dyDescent="0.2">
      <c r="Z43785" t="str">
        <f t="shared" si="684"/>
        <v/>
      </c>
    </row>
    <row r="43786" spans="26:26" x14ac:dyDescent="0.2">
      <c r="Z43786" t="str">
        <f t="shared" si="684"/>
        <v/>
      </c>
    </row>
    <row r="43787" spans="26:26" x14ac:dyDescent="0.2">
      <c r="Z43787" t="str">
        <f t="shared" si="684"/>
        <v/>
      </c>
    </row>
    <row r="43788" spans="26:26" x14ac:dyDescent="0.2">
      <c r="Z43788" t="str">
        <f t="shared" si="684"/>
        <v/>
      </c>
    </row>
    <row r="43789" spans="26:26" x14ac:dyDescent="0.2">
      <c r="Z43789" t="str">
        <f t="shared" si="684"/>
        <v/>
      </c>
    </row>
    <row r="43790" spans="26:26" x14ac:dyDescent="0.2">
      <c r="Z43790" t="str">
        <f t="shared" si="684"/>
        <v/>
      </c>
    </row>
    <row r="43791" spans="26:26" x14ac:dyDescent="0.2">
      <c r="Z43791" t="str">
        <f t="shared" si="684"/>
        <v/>
      </c>
    </row>
    <row r="43792" spans="26:26" x14ac:dyDescent="0.2">
      <c r="Z43792" t="str">
        <f t="shared" si="684"/>
        <v/>
      </c>
    </row>
    <row r="43793" spans="26:26" x14ac:dyDescent="0.2">
      <c r="Z43793" t="str">
        <f t="shared" si="684"/>
        <v/>
      </c>
    </row>
    <row r="43794" spans="26:26" x14ac:dyDescent="0.2">
      <c r="Z43794" t="str">
        <f t="shared" si="684"/>
        <v/>
      </c>
    </row>
    <row r="43795" spans="26:26" x14ac:dyDescent="0.2">
      <c r="Z43795" t="str">
        <f t="shared" si="684"/>
        <v/>
      </c>
    </row>
    <row r="43796" spans="26:26" x14ac:dyDescent="0.2">
      <c r="Z43796" t="str">
        <f t="shared" si="684"/>
        <v/>
      </c>
    </row>
    <row r="43797" spans="26:26" x14ac:dyDescent="0.2">
      <c r="Z43797" t="str">
        <f t="shared" si="684"/>
        <v/>
      </c>
    </row>
    <row r="43798" spans="26:26" x14ac:dyDescent="0.2">
      <c r="Z43798" t="str">
        <f t="shared" si="684"/>
        <v/>
      </c>
    </row>
    <row r="43799" spans="26:26" x14ac:dyDescent="0.2">
      <c r="Z43799" t="str">
        <f t="shared" si="684"/>
        <v/>
      </c>
    </row>
    <row r="43800" spans="26:26" x14ac:dyDescent="0.2">
      <c r="Z43800" t="str">
        <f t="shared" si="684"/>
        <v/>
      </c>
    </row>
    <row r="43801" spans="26:26" x14ac:dyDescent="0.2">
      <c r="Z43801" t="str">
        <f t="shared" si="684"/>
        <v/>
      </c>
    </row>
    <row r="43802" spans="26:26" x14ac:dyDescent="0.2">
      <c r="Z43802" t="str">
        <f t="shared" si="684"/>
        <v/>
      </c>
    </row>
    <row r="43803" spans="26:26" x14ac:dyDescent="0.2">
      <c r="Z43803" t="str">
        <f t="shared" si="684"/>
        <v/>
      </c>
    </row>
    <row r="43804" spans="26:26" x14ac:dyDescent="0.2">
      <c r="Z43804" t="str">
        <f t="shared" si="684"/>
        <v/>
      </c>
    </row>
    <row r="43805" spans="26:26" x14ac:dyDescent="0.2">
      <c r="Z43805" t="str">
        <f t="shared" si="684"/>
        <v/>
      </c>
    </row>
    <row r="43806" spans="26:26" x14ac:dyDescent="0.2">
      <c r="Z43806" t="str">
        <f t="shared" si="684"/>
        <v/>
      </c>
    </row>
    <row r="43807" spans="26:26" x14ac:dyDescent="0.2">
      <c r="Z43807" t="str">
        <f t="shared" si="684"/>
        <v/>
      </c>
    </row>
    <row r="43808" spans="26:26" x14ac:dyDescent="0.2">
      <c r="Z43808" t="str">
        <f t="shared" si="684"/>
        <v/>
      </c>
    </row>
    <row r="43809" spans="26:26" x14ac:dyDescent="0.2">
      <c r="Z43809" t="str">
        <f t="shared" si="684"/>
        <v/>
      </c>
    </row>
    <row r="43810" spans="26:26" x14ac:dyDescent="0.2">
      <c r="Z43810" t="str">
        <f t="shared" si="684"/>
        <v/>
      </c>
    </row>
    <row r="43811" spans="26:26" x14ac:dyDescent="0.2">
      <c r="Z43811" t="str">
        <f t="shared" si="684"/>
        <v/>
      </c>
    </row>
    <row r="43812" spans="26:26" x14ac:dyDescent="0.2">
      <c r="Z43812" t="str">
        <f t="shared" si="684"/>
        <v/>
      </c>
    </row>
    <row r="43813" spans="26:26" x14ac:dyDescent="0.2">
      <c r="Z43813" t="str">
        <f t="shared" si="684"/>
        <v/>
      </c>
    </row>
    <row r="43814" spans="26:26" x14ac:dyDescent="0.2">
      <c r="Z43814" t="str">
        <f t="shared" si="684"/>
        <v/>
      </c>
    </row>
    <row r="43815" spans="26:26" x14ac:dyDescent="0.2">
      <c r="Z43815" t="str">
        <f t="shared" si="684"/>
        <v/>
      </c>
    </row>
    <row r="43816" spans="26:26" x14ac:dyDescent="0.2">
      <c r="Z43816" t="str">
        <f t="shared" si="684"/>
        <v/>
      </c>
    </row>
    <row r="43817" spans="26:26" x14ac:dyDescent="0.2">
      <c r="Z43817" t="str">
        <f t="shared" si="684"/>
        <v/>
      </c>
    </row>
    <row r="43818" spans="26:26" x14ac:dyDescent="0.2">
      <c r="Z43818" t="str">
        <f t="shared" si="684"/>
        <v/>
      </c>
    </row>
    <row r="43819" spans="26:26" x14ac:dyDescent="0.2">
      <c r="Z43819" t="str">
        <f t="shared" si="684"/>
        <v/>
      </c>
    </row>
    <row r="43820" spans="26:26" x14ac:dyDescent="0.2">
      <c r="Z43820" t="str">
        <f t="shared" si="684"/>
        <v/>
      </c>
    </row>
    <row r="43821" spans="26:26" x14ac:dyDescent="0.2">
      <c r="Z43821" t="str">
        <f t="shared" si="684"/>
        <v/>
      </c>
    </row>
    <row r="43822" spans="26:26" x14ac:dyDescent="0.2">
      <c r="Z43822" t="str">
        <f t="shared" si="684"/>
        <v/>
      </c>
    </row>
    <row r="43823" spans="26:26" x14ac:dyDescent="0.2">
      <c r="Z43823" t="str">
        <f t="shared" si="684"/>
        <v/>
      </c>
    </row>
    <row r="43824" spans="26:26" x14ac:dyDescent="0.2">
      <c r="Z43824" t="str">
        <f t="shared" si="684"/>
        <v/>
      </c>
    </row>
    <row r="43825" spans="26:26" x14ac:dyDescent="0.2">
      <c r="Z43825" t="str">
        <f t="shared" si="684"/>
        <v/>
      </c>
    </row>
    <row r="43826" spans="26:26" x14ac:dyDescent="0.2">
      <c r="Z43826" t="str">
        <f t="shared" si="684"/>
        <v/>
      </c>
    </row>
    <row r="43827" spans="26:26" x14ac:dyDescent="0.2">
      <c r="Z43827" t="str">
        <f t="shared" si="684"/>
        <v/>
      </c>
    </row>
    <row r="43828" spans="26:26" x14ac:dyDescent="0.2">
      <c r="Z43828" t="str">
        <f t="shared" si="684"/>
        <v/>
      </c>
    </row>
    <row r="43829" spans="26:26" x14ac:dyDescent="0.2">
      <c r="Z43829" t="str">
        <f t="shared" si="684"/>
        <v/>
      </c>
    </row>
    <row r="43830" spans="26:26" x14ac:dyDescent="0.2">
      <c r="Z43830" t="str">
        <f t="shared" si="684"/>
        <v/>
      </c>
    </row>
    <row r="43831" spans="26:26" x14ac:dyDescent="0.2">
      <c r="Z43831" t="str">
        <f t="shared" si="684"/>
        <v/>
      </c>
    </row>
    <row r="43832" spans="26:26" x14ac:dyDescent="0.2">
      <c r="Z43832" t="str">
        <f t="shared" si="684"/>
        <v/>
      </c>
    </row>
    <row r="43833" spans="26:26" x14ac:dyDescent="0.2">
      <c r="Z43833" t="str">
        <f t="shared" si="684"/>
        <v/>
      </c>
    </row>
    <row r="43834" spans="26:26" x14ac:dyDescent="0.2">
      <c r="Z43834" t="str">
        <f t="shared" si="684"/>
        <v/>
      </c>
    </row>
    <row r="43835" spans="26:26" x14ac:dyDescent="0.2">
      <c r="Z43835" t="str">
        <f t="shared" si="684"/>
        <v/>
      </c>
    </row>
    <row r="43836" spans="26:26" x14ac:dyDescent="0.2">
      <c r="Z43836" t="str">
        <f t="shared" si="684"/>
        <v/>
      </c>
    </row>
    <row r="43837" spans="26:26" x14ac:dyDescent="0.2">
      <c r="Z43837" t="str">
        <f t="shared" si="684"/>
        <v/>
      </c>
    </row>
    <row r="43838" spans="26:26" x14ac:dyDescent="0.2">
      <c r="Z43838" t="str">
        <f t="shared" si="684"/>
        <v/>
      </c>
    </row>
    <row r="43839" spans="26:26" x14ac:dyDescent="0.2">
      <c r="Z43839" t="str">
        <f t="shared" si="684"/>
        <v/>
      </c>
    </row>
    <row r="43840" spans="26:26" x14ac:dyDescent="0.2">
      <c r="Z43840" t="str">
        <f t="shared" si="684"/>
        <v/>
      </c>
    </row>
    <row r="43841" spans="26:26" x14ac:dyDescent="0.2">
      <c r="Z43841" t="str">
        <f t="shared" si="684"/>
        <v/>
      </c>
    </row>
    <row r="43842" spans="26:26" x14ac:dyDescent="0.2">
      <c r="Z43842" t="str">
        <f t="shared" si="684"/>
        <v/>
      </c>
    </row>
    <row r="43843" spans="26:26" x14ac:dyDescent="0.2">
      <c r="Z43843" t="str">
        <f t="shared" ref="Z43843:Z43906" si="685">IF(K43843="","",IFERROR(VALUE(TRIM(MID(K43843,FIND(CHAR(167),SUBSTITUTE(K43843,"-",CHAR(167),LEN(K43843)-LEN(SUBSTITUTE(K43843,"-",""))))+1,100))),K43843))</f>
        <v/>
      </c>
    </row>
    <row r="43844" spans="26:26" x14ac:dyDescent="0.2">
      <c r="Z43844" t="str">
        <f t="shared" si="685"/>
        <v/>
      </c>
    </row>
    <row r="43845" spans="26:26" x14ac:dyDescent="0.2">
      <c r="Z43845" t="str">
        <f t="shared" si="685"/>
        <v/>
      </c>
    </row>
    <row r="43846" spans="26:26" x14ac:dyDescent="0.2">
      <c r="Z43846" t="str">
        <f t="shared" si="685"/>
        <v/>
      </c>
    </row>
    <row r="43847" spans="26:26" x14ac:dyDescent="0.2">
      <c r="Z43847" t="str">
        <f t="shared" si="685"/>
        <v/>
      </c>
    </row>
    <row r="43848" spans="26:26" x14ac:dyDescent="0.2">
      <c r="Z43848" t="str">
        <f t="shared" si="685"/>
        <v/>
      </c>
    </row>
    <row r="43849" spans="26:26" x14ac:dyDescent="0.2">
      <c r="Z43849" t="str">
        <f t="shared" si="685"/>
        <v/>
      </c>
    </row>
    <row r="43850" spans="26:26" x14ac:dyDescent="0.2">
      <c r="Z43850" t="str">
        <f t="shared" si="685"/>
        <v/>
      </c>
    </row>
    <row r="43851" spans="26:26" x14ac:dyDescent="0.2">
      <c r="Z43851" t="str">
        <f t="shared" si="685"/>
        <v/>
      </c>
    </row>
    <row r="43852" spans="26:26" x14ac:dyDescent="0.2">
      <c r="Z43852" t="str">
        <f t="shared" si="685"/>
        <v/>
      </c>
    </row>
    <row r="43853" spans="26:26" x14ac:dyDescent="0.2">
      <c r="Z43853" t="str">
        <f t="shared" si="685"/>
        <v/>
      </c>
    </row>
    <row r="43854" spans="26:26" x14ac:dyDescent="0.2">
      <c r="Z43854" t="str">
        <f t="shared" si="685"/>
        <v/>
      </c>
    </row>
    <row r="43855" spans="26:26" x14ac:dyDescent="0.2">
      <c r="Z43855" t="str">
        <f t="shared" si="685"/>
        <v/>
      </c>
    </row>
    <row r="43856" spans="26:26" x14ac:dyDescent="0.2">
      <c r="Z43856" t="str">
        <f t="shared" si="685"/>
        <v/>
      </c>
    </row>
    <row r="43857" spans="26:26" x14ac:dyDescent="0.2">
      <c r="Z43857" t="str">
        <f t="shared" si="685"/>
        <v/>
      </c>
    </row>
    <row r="43858" spans="26:26" x14ac:dyDescent="0.2">
      <c r="Z43858" t="str">
        <f t="shared" si="685"/>
        <v/>
      </c>
    </row>
    <row r="43859" spans="26:26" x14ac:dyDescent="0.2">
      <c r="Z43859" t="str">
        <f t="shared" si="685"/>
        <v/>
      </c>
    </row>
    <row r="43860" spans="26:26" x14ac:dyDescent="0.2">
      <c r="Z43860" t="str">
        <f t="shared" si="685"/>
        <v/>
      </c>
    </row>
    <row r="43861" spans="26:26" x14ac:dyDescent="0.2">
      <c r="Z43861" t="str">
        <f t="shared" si="685"/>
        <v/>
      </c>
    </row>
    <row r="43862" spans="26:26" x14ac:dyDescent="0.2">
      <c r="Z43862" t="str">
        <f t="shared" si="685"/>
        <v/>
      </c>
    </row>
    <row r="43863" spans="26:26" x14ac:dyDescent="0.2">
      <c r="Z43863" t="str">
        <f t="shared" si="685"/>
        <v/>
      </c>
    </row>
    <row r="43864" spans="26:26" x14ac:dyDescent="0.2">
      <c r="Z43864" t="str">
        <f t="shared" si="685"/>
        <v/>
      </c>
    </row>
    <row r="43865" spans="26:26" x14ac:dyDescent="0.2">
      <c r="Z43865" t="str">
        <f t="shared" si="685"/>
        <v/>
      </c>
    </row>
    <row r="43866" spans="26:26" x14ac:dyDescent="0.2">
      <c r="Z43866" t="str">
        <f t="shared" si="685"/>
        <v/>
      </c>
    </row>
    <row r="43867" spans="26:26" x14ac:dyDescent="0.2">
      <c r="Z43867" t="str">
        <f t="shared" si="685"/>
        <v/>
      </c>
    </row>
    <row r="43868" spans="26:26" x14ac:dyDescent="0.2">
      <c r="Z43868" t="str">
        <f t="shared" si="685"/>
        <v/>
      </c>
    </row>
    <row r="43869" spans="26:26" x14ac:dyDescent="0.2">
      <c r="Z43869" t="str">
        <f t="shared" si="685"/>
        <v/>
      </c>
    </row>
    <row r="43870" spans="26:26" x14ac:dyDescent="0.2">
      <c r="Z43870" t="str">
        <f t="shared" si="685"/>
        <v/>
      </c>
    </row>
    <row r="43871" spans="26:26" x14ac:dyDescent="0.2">
      <c r="Z43871" t="str">
        <f t="shared" si="685"/>
        <v/>
      </c>
    </row>
    <row r="43872" spans="26:26" x14ac:dyDescent="0.2">
      <c r="Z43872" t="str">
        <f t="shared" si="685"/>
        <v/>
      </c>
    </row>
    <row r="43873" spans="26:26" x14ac:dyDescent="0.2">
      <c r="Z43873" t="str">
        <f t="shared" si="685"/>
        <v/>
      </c>
    </row>
    <row r="43874" spans="26:26" x14ac:dyDescent="0.2">
      <c r="Z43874" t="str">
        <f t="shared" si="685"/>
        <v/>
      </c>
    </row>
    <row r="43875" spans="26:26" x14ac:dyDescent="0.2">
      <c r="Z43875" t="str">
        <f t="shared" si="685"/>
        <v/>
      </c>
    </row>
    <row r="43876" spans="26:26" x14ac:dyDescent="0.2">
      <c r="Z43876" t="str">
        <f t="shared" si="685"/>
        <v/>
      </c>
    </row>
    <row r="43877" spans="26:26" x14ac:dyDescent="0.2">
      <c r="Z43877" t="str">
        <f t="shared" si="685"/>
        <v/>
      </c>
    </row>
    <row r="43878" spans="26:26" x14ac:dyDescent="0.2">
      <c r="Z43878" t="str">
        <f t="shared" si="685"/>
        <v/>
      </c>
    </row>
    <row r="43879" spans="26:26" x14ac:dyDescent="0.2">
      <c r="Z43879" t="str">
        <f t="shared" si="685"/>
        <v/>
      </c>
    </row>
    <row r="43880" spans="26:26" x14ac:dyDescent="0.2">
      <c r="Z43880" t="str">
        <f t="shared" si="685"/>
        <v/>
      </c>
    </row>
    <row r="43881" spans="26:26" x14ac:dyDescent="0.2">
      <c r="Z43881" t="str">
        <f t="shared" si="685"/>
        <v/>
      </c>
    </row>
    <row r="43882" spans="26:26" x14ac:dyDescent="0.2">
      <c r="Z43882" t="str">
        <f t="shared" si="685"/>
        <v/>
      </c>
    </row>
    <row r="43883" spans="26:26" x14ac:dyDescent="0.2">
      <c r="Z43883" t="str">
        <f t="shared" si="685"/>
        <v/>
      </c>
    </row>
    <row r="43884" spans="26:26" x14ac:dyDescent="0.2">
      <c r="Z43884" t="str">
        <f t="shared" si="685"/>
        <v/>
      </c>
    </row>
    <row r="43885" spans="26:26" x14ac:dyDescent="0.2">
      <c r="Z43885" t="str">
        <f t="shared" si="685"/>
        <v/>
      </c>
    </row>
    <row r="43886" spans="26:26" x14ac:dyDescent="0.2">
      <c r="Z43886" t="str">
        <f t="shared" si="685"/>
        <v/>
      </c>
    </row>
    <row r="43887" spans="26:26" x14ac:dyDescent="0.2">
      <c r="Z43887" t="str">
        <f t="shared" si="685"/>
        <v/>
      </c>
    </row>
    <row r="43888" spans="26:26" x14ac:dyDescent="0.2">
      <c r="Z43888" t="str">
        <f t="shared" si="685"/>
        <v/>
      </c>
    </row>
    <row r="43889" spans="26:26" x14ac:dyDescent="0.2">
      <c r="Z43889" t="str">
        <f t="shared" si="685"/>
        <v/>
      </c>
    </row>
    <row r="43890" spans="26:26" x14ac:dyDescent="0.2">
      <c r="Z43890" t="str">
        <f t="shared" si="685"/>
        <v/>
      </c>
    </row>
    <row r="43891" spans="26:26" x14ac:dyDescent="0.2">
      <c r="Z43891" t="str">
        <f t="shared" si="685"/>
        <v/>
      </c>
    </row>
    <row r="43892" spans="26:26" x14ac:dyDescent="0.2">
      <c r="Z43892" t="str">
        <f t="shared" si="685"/>
        <v/>
      </c>
    </row>
    <row r="43893" spans="26:26" x14ac:dyDescent="0.2">
      <c r="Z43893" t="str">
        <f t="shared" si="685"/>
        <v/>
      </c>
    </row>
    <row r="43894" spans="26:26" x14ac:dyDescent="0.2">
      <c r="Z43894" t="str">
        <f t="shared" si="685"/>
        <v/>
      </c>
    </row>
    <row r="43895" spans="26:26" x14ac:dyDescent="0.2">
      <c r="Z43895" t="str">
        <f t="shared" si="685"/>
        <v/>
      </c>
    </row>
    <row r="43896" spans="26:26" x14ac:dyDescent="0.2">
      <c r="Z43896" t="str">
        <f t="shared" si="685"/>
        <v/>
      </c>
    </row>
    <row r="43897" spans="26:26" x14ac:dyDescent="0.2">
      <c r="Z43897" t="str">
        <f t="shared" si="685"/>
        <v/>
      </c>
    </row>
    <row r="43898" spans="26:26" x14ac:dyDescent="0.2">
      <c r="Z43898" t="str">
        <f t="shared" si="685"/>
        <v/>
      </c>
    </row>
    <row r="43899" spans="26:26" x14ac:dyDescent="0.2">
      <c r="Z43899" t="str">
        <f t="shared" si="685"/>
        <v/>
      </c>
    </row>
    <row r="43900" spans="26:26" x14ac:dyDescent="0.2">
      <c r="Z43900" t="str">
        <f t="shared" si="685"/>
        <v/>
      </c>
    </row>
    <row r="43901" spans="26:26" x14ac:dyDescent="0.2">
      <c r="Z43901" t="str">
        <f t="shared" si="685"/>
        <v/>
      </c>
    </row>
    <row r="43902" spans="26:26" x14ac:dyDescent="0.2">
      <c r="Z43902" t="str">
        <f t="shared" si="685"/>
        <v/>
      </c>
    </row>
    <row r="43903" spans="26:26" x14ac:dyDescent="0.2">
      <c r="Z43903" t="str">
        <f t="shared" si="685"/>
        <v/>
      </c>
    </row>
    <row r="43904" spans="26:26" x14ac:dyDescent="0.2">
      <c r="Z43904" t="str">
        <f t="shared" si="685"/>
        <v/>
      </c>
    </row>
    <row r="43905" spans="26:26" x14ac:dyDescent="0.2">
      <c r="Z43905" t="str">
        <f t="shared" si="685"/>
        <v/>
      </c>
    </row>
    <row r="43906" spans="26:26" x14ac:dyDescent="0.2">
      <c r="Z43906" t="str">
        <f t="shared" si="685"/>
        <v/>
      </c>
    </row>
    <row r="43907" spans="26:26" x14ac:dyDescent="0.2">
      <c r="Z43907" t="str">
        <f t="shared" ref="Z43907:Z43970" si="686">IF(K43907="","",IFERROR(VALUE(TRIM(MID(K43907,FIND(CHAR(167),SUBSTITUTE(K43907,"-",CHAR(167),LEN(K43907)-LEN(SUBSTITUTE(K43907,"-",""))))+1,100))),K43907))</f>
        <v/>
      </c>
    </row>
    <row r="43908" spans="26:26" x14ac:dyDescent="0.2">
      <c r="Z43908" t="str">
        <f t="shared" si="686"/>
        <v/>
      </c>
    </row>
    <row r="43909" spans="26:26" x14ac:dyDescent="0.2">
      <c r="Z43909" t="str">
        <f t="shared" si="686"/>
        <v/>
      </c>
    </row>
    <row r="43910" spans="26:26" x14ac:dyDescent="0.2">
      <c r="Z43910" t="str">
        <f t="shared" si="686"/>
        <v/>
      </c>
    </row>
    <row r="43911" spans="26:26" x14ac:dyDescent="0.2">
      <c r="Z43911" t="str">
        <f t="shared" si="686"/>
        <v/>
      </c>
    </row>
    <row r="43912" spans="26:26" x14ac:dyDescent="0.2">
      <c r="Z43912" t="str">
        <f t="shared" si="686"/>
        <v/>
      </c>
    </row>
    <row r="43913" spans="26:26" x14ac:dyDescent="0.2">
      <c r="Z43913" t="str">
        <f t="shared" si="686"/>
        <v/>
      </c>
    </row>
    <row r="43914" spans="26:26" x14ac:dyDescent="0.2">
      <c r="Z43914" t="str">
        <f t="shared" si="686"/>
        <v/>
      </c>
    </row>
    <row r="43915" spans="26:26" x14ac:dyDescent="0.2">
      <c r="Z43915" t="str">
        <f t="shared" si="686"/>
        <v/>
      </c>
    </row>
    <row r="43916" spans="26:26" x14ac:dyDescent="0.2">
      <c r="Z43916" t="str">
        <f t="shared" si="686"/>
        <v/>
      </c>
    </row>
    <row r="43917" spans="26:26" x14ac:dyDescent="0.2">
      <c r="Z43917" t="str">
        <f t="shared" si="686"/>
        <v/>
      </c>
    </row>
    <row r="43918" spans="26:26" x14ac:dyDescent="0.2">
      <c r="Z43918" t="str">
        <f t="shared" si="686"/>
        <v/>
      </c>
    </row>
    <row r="43919" spans="26:26" x14ac:dyDescent="0.2">
      <c r="Z43919" t="str">
        <f t="shared" si="686"/>
        <v/>
      </c>
    </row>
    <row r="43920" spans="26:26" x14ac:dyDescent="0.2">
      <c r="Z43920" t="str">
        <f t="shared" si="686"/>
        <v/>
      </c>
    </row>
    <row r="43921" spans="26:26" x14ac:dyDescent="0.2">
      <c r="Z43921" t="str">
        <f t="shared" si="686"/>
        <v/>
      </c>
    </row>
    <row r="43922" spans="26:26" x14ac:dyDescent="0.2">
      <c r="Z43922" t="str">
        <f t="shared" si="686"/>
        <v/>
      </c>
    </row>
    <row r="43923" spans="26:26" x14ac:dyDescent="0.2">
      <c r="Z43923" t="str">
        <f t="shared" si="686"/>
        <v/>
      </c>
    </row>
    <row r="43924" spans="26:26" x14ac:dyDescent="0.2">
      <c r="Z43924" t="str">
        <f t="shared" si="686"/>
        <v/>
      </c>
    </row>
    <row r="43925" spans="26:26" x14ac:dyDescent="0.2">
      <c r="Z43925" t="str">
        <f t="shared" si="686"/>
        <v/>
      </c>
    </row>
    <row r="43926" spans="26:26" x14ac:dyDescent="0.2">
      <c r="Z43926" t="str">
        <f t="shared" si="686"/>
        <v/>
      </c>
    </row>
    <row r="43927" spans="26:26" x14ac:dyDescent="0.2">
      <c r="Z43927" t="str">
        <f t="shared" si="686"/>
        <v/>
      </c>
    </row>
    <row r="43928" spans="26:26" x14ac:dyDescent="0.2">
      <c r="Z43928" t="str">
        <f t="shared" si="686"/>
        <v/>
      </c>
    </row>
    <row r="43929" spans="26:26" x14ac:dyDescent="0.2">
      <c r="Z43929" t="str">
        <f t="shared" si="686"/>
        <v/>
      </c>
    </row>
    <row r="43930" spans="26:26" x14ac:dyDescent="0.2">
      <c r="Z43930" t="str">
        <f t="shared" si="686"/>
        <v/>
      </c>
    </row>
    <row r="43931" spans="26:26" x14ac:dyDescent="0.2">
      <c r="Z43931" t="str">
        <f t="shared" si="686"/>
        <v/>
      </c>
    </row>
    <row r="43932" spans="26:26" x14ac:dyDescent="0.2">
      <c r="Z43932" t="str">
        <f t="shared" si="686"/>
        <v/>
      </c>
    </row>
    <row r="43933" spans="26:26" x14ac:dyDescent="0.2">
      <c r="Z43933" t="str">
        <f t="shared" si="686"/>
        <v/>
      </c>
    </row>
    <row r="43934" spans="26:26" x14ac:dyDescent="0.2">
      <c r="Z43934" t="str">
        <f t="shared" si="686"/>
        <v/>
      </c>
    </row>
    <row r="43935" spans="26:26" x14ac:dyDescent="0.2">
      <c r="Z43935" t="str">
        <f t="shared" si="686"/>
        <v/>
      </c>
    </row>
    <row r="43936" spans="26:26" x14ac:dyDescent="0.2">
      <c r="Z43936" t="str">
        <f t="shared" si="686"/>
        <v/>
      </c>
    </row>
    <row r="43937" spans="26:26" x14ac:dyDescent="0.2">
      <c r="Z43937" t="str">
        <f t="shared" si="686"/>
        <v/>
      </c>
    </row>
    <row r="43938" spans="26:26" x14ac:dyDescent="0.2">
      <c r="Z43938" t="str">
        <f t="shared" si="686"/>
        <v/>
      </c>
    </row>
    <row r="43939" spans="26:26" x14ac:dyDescent="0.2">
      <c r="Z43939" t="str">
        <f t="shared" si="686"/>
        <v/>
      </c>
    </row>
    <row r="43940" spans="26:26" x14ac:dyDescent="0.2">
      <c r="Z43940" t="str">
        <f t="shared" si="686"/>
        <v/>
      </c>
    </row>
    <row r="43941" spans="26:26" x14ac:dyDescent="0.2">
      <c r="Z43941" t="str">
        <f t="shared" si="686"/>
        <v/>
      </c>
    </row>
    <row r="43942" spans="26:26" x14ac:dyDescent="0.2">
      <c r="Z43942" t="str">
        <f t="shared" si="686"/>
        <v/>
      </c>
    </row>
    <row r="43943" spans="26:26" x14ac:dyDescent="0.2">
      <c r="Z43943" t="str">
        <f t="shared" si="686"/>
        <v/>
      </c>
    </row>
    <row r="43944" spans="26:26" x14ac:dyDescent="0.2">
      <c r="Z43944" t="str">
        <f t="shared" si="686"/>
        <v/>
      </c>
    </row>
    <row r="43945" spans="26:26" x14ac:dyDescent="0.2">
      <c r="Z43945" t="str">
        <f t="shared" si="686"/>
        <v/>
      </c>
    </row>
    <row r="43946" spans="26:26" x14ac:dyDescent="0.2">
      <c r="Z43946" t="str">
        <f t="shared" si="686"/>
        <v/>
      </c>
    </row>
    <row r="43947" spans="26:26" x14ac:dyDescent="0.2">
      <c r="Z43947" t="str">
        <f t="shared" si="686"/>
        <v/>
      </c>
    </row>
    <row r="43948" spans="26:26" x14ac:dyDescent="0.2">
      <c r="Z43948" t="str">
        <f t="shared" si="686"/>
        <v/>
      </c>
    </row>
    <row r="43949" spans="26:26" x14ac:dyDescent="0.2">
      <c r="Z43949" t="str">
        <f t="shared" si="686"/>
        <v/>
      </c>
    </row>
    <row r="43950" spans="26:26" x14ac:dyDescent="0.2">
      <c r="Z43950" t="str">
        <f t="shared" si="686"/>
        <v/>
      </c>
    </row>
    <row r="43951" spans="26:26" x14ac:dyDescent="0.2">
      <c r="Z43951" t="str">
        <f t="shared" si="686"/>
        <v/>
      </c>
    </row>
    <row r="43952" spans="26:26" x14ac:dyDescent="0.2">
      <c r="Z43952" t="str">
        <f t="shared" si="686"/>
        <v/>
      </c>
    </row>
    <row r="43953" spans="26:26" x14ac:dyDescent="0.2">
      <c r="Z43953" t="str">
        <f t="shared" si="686"/>
        <v/>
      </c>
    </row>
    <row r="43954" spans="26:26" x14ac:dyDescent="0.2">
      <c r="Z43954" t="str">
        <f t="shared" si="686"/>
        <v/>
      </c>
    </row>
    <row r="43955" spans="26:26" x14ac:dyDescent="0.2">
      <c r="Z43955" t="str">
        <f t="shared" si="686"/>
        <v/>
      </c>
    </row>
    <row r="43956" spans="26:26" x14ac:dyDescent="0.2">
      <c r="Z43956" t="str">
        <f t="shared" si="686"/>
        <v/>
      </c>
    </row>
    <row r="43957" spans="26:26" x14ac:dyDescent="0.2">
      <c r="Z43957" t="str">
        <f t="shared" si="686"/>
        <v/>
      </c>
    </row>
    <row r="43958" spans="26:26" x14ac:dyDescent="0.2">
      <c r="Z43958" t="str">
        <f t="shared" si="686"/>
        <v/>
      </c>
    </row>
    <row r="43959" spans="26:26" x14ac:dyDescent="0.2">
      <c r="Z43959" t="str">
        <f t="shared" si="686"/>
        <v/>
      </c>
    </row>
    <row r="43960" spans="26:26" x14ac:dyDescent="0.2">
      <c r="Z43960" t="str">
        <f t="shared" si="686"/>
        <v/>
      </c>
    </row>
    <row r="43961" spans="26:26" x14ac:dyDescent="0.2">
      <c r="Z43961" t="str">
        <f t="shared" si="686"/>
        <v/>
      </c>
    </row>
    <row r="43962" spans="26:26" x14ac:dyDescent="0.2">
      <c r="Z43962" t="str">
        <f t="shared" si="686"/>
        <v/>
      </c>
    </row>
    <row r="43963" spans="26:26" x14ac:dyDescent="0.2">
      <c r="Z43963" t="str">
        <f t="shared" si="686"/>
        <v/>
      </c>
    </row>
    <row r="43964" spans="26:26" x14ac:dyDescent="0.2">
      <c r="Z43964" t="str">
        <f t="shared" si="686"/>
        <v/>
      </c>
    </row>
    <row r="43965" spans="26:26" x14ac:dyDescent="0.2">
      <c r="Z43965" t="str">
        <f t="shared" si="686"/>
        <v/>
      </c>
    </row>
    <row r="43966" spans="26:26" x14ac:dyDescent="0.2">
      <c r="Z43966" t="str">
        <f t="shared" si="686"/>
        <v/>
      </c>
    </row>
    <row r="43967" spans="26:26" x14ac:dyDescent="0.2">
      <c r="Z43967" t="str">
        <f t="shared" si="686"/>
        <v/>
      </c>
    </row>
    <row r="43968" spans="26:26" x14ac:dyDescent="0.2">
      <c r="Z43968" t="str">
        <f t="shared" si="686"/>
        <v/>
      </c>
    </row>
    <row r="43969" spans="26:26" x14ac:dyDescent="0.2">
      <c r="Z43969" t="str">
        <f t="shared" si="686"/>
        <v/>
      </c>
    </row>
    <row r="43970" spans="26:26" x14ac:dyDescent="0.2">
      <c r="Z43970" t="str">
        <f t="shared" si="686"/>
        <v/>
      </c>
    </row>
    <row r="43971" spans="26:26" x14ac:dyDescent="0.2">
      <c r="Z43971" t="str">
        <f t="shared" ref="Z43971:Z44034" si="687">IF(K43971="","",IFERROR(VALUE(TRIM(MID(K43971,FIND(CHAR(167),SUBSTITUTE(K43971,"-",CHAR(167),LEN(K43971)-LEN(SUBSTITUTE(K43971,"-",""))))+1,100))),K43971))</f>
        <v/>
      </c>
    </row>
    <row r="43972" spans="26:26" x14ac:dyDescent="0.2">
      <c r="Z43972" t="str">
        <f t="shared" si="687"/>
        <v/>
      </c>
    </row>
    <row r="43973" spans="26:26" x14ac:dyDescent="0.2">
      <c r="Z43973" t="str">
        <f t="shared" si="687"/>
        <v/>
      </c>
    </row>
    <row r="43974" spans="26:26" x14ac:dyDescent="0.2">
      <c r="Z43974" t="str">
        <f t="shared" si="687"/>
        <v/>
      </c>
    </row>
    <row r="43975" spans="26:26" x14ac:dyDescent="0.2">
      <c r="Z43975" t="str">
        <f t="shared" si="687"/>
        <v/>
      </c>
    </row>
    <row r="43976" spans="26:26" x14ac:dyDescent="0.2">
      <c r="Z43976" t="str">
        <f t="shared" si="687"/>
        <v/>
      </c>
    </row>
    <row r="43977" spans="26:26" x14ac:dyDescent="0.2">
      <c r="Z43977" t="str">
        <f t="shared" si="687"/>
        <v/>
      </c>
    </row>
    <row r="43978" spans="26:26" x14ac:dyDescent="0.2">
      <c r="Z43978" t="str">
        <f t="shared" si="687"/>
        <v/>
      </c>
    </row>
    <row r="43979" spans="26:26" x14ac:dyDescent="0.2">
      <c r="Z43979" t="str">
        <f t="shared" si="687"/>
        <v/>
      </c>
    </row>
    <row r="43980" spans="26:26" x14ac:dyDescent="0.2">
      <c r="Z43980" t="str">
        <f t="shared" si="687"/>
        <v/>
      </c>
    </row>
    <row r="43981" spans="26:26" x14ac:dyDescent="0.2">
      <c r="Z43981" t="str">
        <f t="shared" si="687"/>
        <v/>
      </c>
    </row>
    <row r="43982" spans="26:26" x14ac:dyDescent="0.2">
      <c r="Z43982" t="str">
        <f t="shared" si="687"/>
        <v/>
      </c>
    </row>
    <row r="43983" spans="26:26" x14ac:dyDescent="0.2">
      <c r="Z43983" t="str">
        <f t="shared" si="687"/>
        <v/>
      </c>
    </row>
    <row r="43984" spans="26:26" x14ac:dyDescent="0.2">
      <c r="Z43984" t="str">
        <f t="shared" si="687"/>
        <v/>
      </c>
    </row>
    <row r="43985" spans="26:26" x14ac:dyDescent="0.2">
      <c r="Z43985" t="str">
        <f t="shared" si="687"/>
        <v/>
      </c>
    </row>
    <row r="43986" spans="26:26" x14ac:dyDescent="0.2">
      <c r="Z43986" t="str">
        <f t="shared" si="687"/>
        <v/>
      </c>
    </row>
    <row r="43987" spans="26:26" x14ac:dyDescent="0.2">
      <c r="Z43987" t="str">
        <f t="shared" si="687"/>
        <v/>
      </c>
    </row>
    <row r="43988" spans="26:26" x14ac:dyDescent="0.2">
      <c r="Z43988" t="str">
        <f t="shared" si="687"/>
        <v/>
      </c>
    </row>
    <row r="43989" spans="26:26" x14ac:dyDescent="0.2">
      <c r="Z43989" t="str">
        <f t="shared" si="687"/>
        <v/>
      </c>
    </row>
    <row r="43990" spans="26:26" x14ac:dyDescent="0.2">
      <c r="Z43990" t="str">
        <f t="shared" si="687"/>
        <v/>
      </c>
    </row>
    <row r="43991" spans="26:26" x14ac:dyDescent="0.2">
      <c r="Z43991" t="str">
        <f t="shared" si="687"/>
        <v/>
      </c>
    </row>
    <row r="43992" spans="26:26" x14ac:dyDescent="0.2">
      <c r="Z43992" t="str">
        <f t="shared" si="687"/>
        <v/>
      </c>
    </row>
    <row r="43993" spans="26:26" x14ac:dyDescent="0.2">
      <c r="Z43993" t="str">
        <f t="shared" si="687"/>
        <v/>
      </c>
    </row>
    <row r="43994" spans="26:26" x14ac:dyDescent="0.2">
      <c r="Z43994" t="str">
        <f t="shared" si="687"/>
        <v/>
      </c>
    </row>
    <row r="43995" spans="26:26" x14ac:dyDescent="0.2">
      <c r="Z43995" t="str">
        <f t="shared" si="687"/>
        <v/>
      </c>
    </row>
    <row r="43996" spans="26:26" x14ac:dyDescent="0.2">
      <c r="Z43996" t="str">
        <f t="shared" si="687"/>
        <v/>
      </c>
    </row>
    <row r="43997" spans="26:26" x14ac:dyDescent="0.2">
      <c r="Z43997" t="str">
        <f t="shared" si="687"/>
        <v/>
      </c>
    </row>
    <row r="43998" spans="26:26" x14ac:dyDescent="0.2">
      <c r="Z43998" t="str">
        <f t="shared" si="687"/>
        <v/>
      </c>
    </row>
    <row r="43999" spans="26:26" x14ac:dyDescent="0.2">
      <c r="Z43999" t="str">
        <f t="shared" si="687"/>
        <v/>
      </c>
    </row>
    <row r="44000" spans="26:26" x14ac:dyDescent="0.2">
      <c r="Z44000" t="str">
        <f t="shared" si="687"/>
        <v/>
      </c>
    </row>
    <row r="44001" spans="26:26" x14ac:dyDescent="0.2">
      <c r="Z44001" t="str">
        <f t="shared" si="687"/>
        <v/>
      </c>
    </row>
    <row r="44002" spans="26:26" x14ac:dyDescent="0.2">
      <c r="Z44002" t="str">
        <f t="shared" si="687"/>
        <v/>
      </c>
    </row>
    <row r="44003" spans="26:26" x14ac:dyDescent="0.2">
      <c r="Z44003" t="str">
        <f t="shared" si="687"/>
        <v/>
      </c>
    </row>
    <row r="44004" spans="26:26" x14ac:dyDescent="0.2">
      <c r="Z44004" t="str">
        <f t="shared" si="687"/>
        <v/>
      </c>
    </row>
    <row r="44005" spans="26:26" x14ac:dyDescent="0.2">
      <c r="Z44005" t="str">
        <f t="shared" si="687"/>
        <v/>
      </c>
    </row>
    <row r="44006" spans="26:26" x14ac:dyDescent="0.2">
      <c r="Z44006" t="str">
        <f t="shared" si="687"/>
        <v/>
      </c>
    </row>
    <row r="44007" spans="26:26" x14ac:dyDescent="0.2">
      <c r="Z44007" t="str">
        <f t="shared" si="687"/>
        <v/>
      </c>
    </row>
    <row r="44008" spans="26:26" x14ac:dyDescent="0.2">
      <c r="Z44008" t="str">
        <f t="shared" si="687"/>
        <v/>
      </c>
    </row>
    <row r="44009" spans="26:26" x14ac:dyDescent="0.2">
      <c r="Z44009" t="str">
        <f t="shared" si="687"/>
        <v/>
      </c>
    </row>
    <row r="44010" spans="26:26" x14ac:dyDescent="0.2">
      <c r="Z44010" t="str">
        <f t="shared" si="687"/>
        <v/>
      </c>
    </row>
    <row r="44011" spans="26:26" x14ac:dyDescent="0.2">
      <c r="Z44011" t="str">
        <f t="shared" si="687"/>
        <v/>
      </c>
    </row>
    <row r="44012" spans="26:26" x14ac:dyDescent="0.2">
      <c r="Z44012" t="str">
        <f t="shared" si="687"/>
        <v/>
      </c>
    </row>
    <row r="44013" spans="26:26" x14ac:dyDescent="0.2">
      <c r="Z44013" t="str">
        <f t="shared" si="687"/>
        <v/>
      </c>
    </row>
    <row r="44014" spans="26:26" x14ac:dyDescent="0.2">
      <c r="Z44014" t="str">
        <f t="shared" si="687"/>
        <v/>
      </c>
    </row>
    <row r="44015" spans="26:26" x14ac:dyDescent="0.2">
      <c r="Z44015" t="str">
        <f t="shared" si="687"/>
        <v/>
      </c>
    </row>
    <row r="44016" spans="26:26" x14ac:dyDescent="0.2">
      <c r="Z44016" t="str">
        <f t="shared" si="687"/>
        <v/>
      </c>
    </row>
    <row r="44017" spans="26:26" x14ac:dyDescent="0.2">
      <c r="Z44017" t="str">
        <f t="shared" si="687"/>
        <v/>
      </c>
    </row>
    <row r="44018" spans="26:26" x14ac:dyDescent="0.2">
      <c r="Z44018" t="str">
        <f t="shared" si="687"/>
        <v/>
      </c>
    </row>
    <row r="44019" spans="26:26" x14ac:dyDescent="0.2">
      <c r="Z44019" t="str">
        <f t="shared" si="687"/>
        <v/>
      </c>
    </row>
    <row r="44020" spans="26:26" x14ac:dyDescent="0.2">
      <c r="Z44020" t="str">
        <f t="shared" si="687"/>
        <v/>
      </c>
    </row>
    <row r="44021" spans="26:26" x14ac:dyDescent="0.2">
      <c r="Z44021" t="str">
        <f t="shared" si="687"/>
        <v/>
      </c>
    </row>
    <row r="44022" spans="26:26" x14ac:dyDescent="0.2">
      <c r="Z44022" t="str">
        <f t="shared" si="687"/>
        <v/>
      </c>
    </row>
    <row r="44023" spans="26:26" x14ac:dyDescent="0.2">
      <c r="Z44023" t="str">
        <f t="shared" si="687"/>
        <v/>
      </c>
    </row>
    <row r="44024" spans="26:26" x14ac:dyDescent="0.2">
      <c r="Z44024" t="str">
        <f t="shared" si="687"/>
        <v/>
      </c>
    </row>
    <row r="44025" spans="26:26" x14ac:dyDescent="0.2">
      <c r="Z44025" t="str">
        <f t="shared" si="687"/>
        <v/>
      </c>
    </row>
    <row r="44026" spans="26:26" x14ac:dyDescent="0.2">
      <c r="Z44026" t="str">
        <f t="shared" si="687"/>
        <v/>
      </c>
    </row>
    <row r="44027" spans="26:26" x14ac:dyDescent="0.2">
      <c r="Z44027" t="str">
        <f t="shared" si="687"/>
        <v/>
      </c>
    </row>
    <row r="44028" spans="26:26" x14ac:dyDescent="0.2">
      <c r="Z44028" t="str">
        <f t="shared" si="687"/>
        <v/>
      </c>
    </row>
    <row r="44029" spans="26:26" x14ac:dyDescent="0.2">
      <c r="Z44029" t="str">
        <f t="shared" si="687"/>
        <v/>
      </c>
    </row>
    <row r="44030" spans="26:26" x14ac:dyDescent="0.2">
      <c r="Z44030" t="str">
        <f t="shared" si="687"/>
        <v/>
      </c>
    </row>
    <row r="44031" spans="26:26" x14ac:dyDescent="0.2">
      <c r="Z44031" t="str">
        <f t="shared" si="687"/>
        <v/>
      </c>
    </row>
    <row r="44032" spans="26:26" x14ac:dyDescent="0.2">
      <c r="Z44032" t="str">
        <f t="shared" si="687"/>
        <v/>
      </c>
    </row>
    <row r="44033" spans="26:26" x14ac:dyDescent="0.2">
      <c r="Z44033" t="str">
        <f t="shared" si="687"/>
        <v/>
      </c>
    </row>
    <row r="44034" spans="26:26" x14ac:dyDescent="0.2">
      <c r="Z44034" t="str">
        <f t="shared" si="687"/>
        <v/>
      </c>
    </row>
    <row r="44035" spans="26:26" x14ac:dyDescent="0.2">
      <c r="Z44035" t="str">
        <f t="shared" ref="Z44035:Z44098" si="688">IF(K44035="","",IFERROR(VALUE(TRIM(MID(K44035,FIND(CHAR(167),SUBSTITUTE(K44035,"-",CHAR(167),LEN(K44035)-LEN(SUBSTITUTE(K44035,"-",""))))+1,100))),K44035))</f>
        <v/>
      </c>
    </row>
    <row r="44036" spans="26:26" x14ac:dyDescent="0.2">
      <c r="Z44036" t="str">
        <f t="shared" si="688"/>
        <v/>
      </c>
    </row>
    <row r="44037" spans="26:26" x14ac:dyDescent="0.2">
      <c r="Z44037" t="str">
        <f t="shared" si="688"/>
        <v/>
      </c>
    </row>
    <row r="44038" spans="26:26" x14ac:dyDescent="0.2">
      <c r="Z44038" t="str">
        <f t="shared" si="688"/>
        <v/>
      </c>
    </row>
    <row r="44039" spans="26:26" x14ac:dyDescent="0.2">
      <c r="Z44039" t="str">
        <f t="shared" si="688"/>
        <v/>
      </c>
    </row>
    <row r="44040" spans="26:26" x14ac:dyDescent="0.2">
      <c r="Z44040" t="str">
        <f t="shared" si="688"/>
        <v/>
      </c>
    </row>
    <row r="44041" spans="26:26" x14ac:dyDescent="0.2">
      <c r="Z44041" t="str">
        <f t="shared" si="688"/>
        <v/>
      </c>
    </row>
    <row r="44042" spans="26:26" x14ac:dyDescent="0.2">
      <c r="Z44042" t="str">
        <f t="shared" si="688"/>
        <v/>
      </c>
    </row>
    <row r="44043" spans="26:26" x14ac:dyDescent="0.2">
      <c r="Z44043" t="str">
        <f t="shared" si="688"/>
        <v/>
      </c>
    </row>
    <row r="44044" spans="26:26" x14ac:dyDescent="0.2">
      <c r="Z44044" t="str">
        <f t="shared" si="688"/>
        <v/>
      </c>
    </row>
    <row r="44045" spans="26:26" x14ac:dyDescent="0.2">
      <c r="Z44045" t="str">
        <f t="shared" si="688"/>
        <v/>
      </c>
    </row>
    <row r="44046" spans="26:26" x14ac:dyDescent="0.2">
      <c r="Z44046" t="str">
        <f t="shared" si="688"/>
        <v/>
      </c>
    </row>
    <row r="44047" spans="26:26" x14ac:dyDescent="0.2">
      <c r="Z44047" t="str">
        <f t="shared" si="688"/>
        <v/>
      </c>
    </row>
    <row r="44048" spans="26:26" x14ac:dyDescent="0.2">
      <c r="Z44048" t="str">
        <f t="shared" si="688"/>
        <v/>
      </c>
    </row>
    <row r="44049" spans="26:26" x14ac:dyDescent="0.2">
      <c r="Z44049" t="str">
        <f t="shared" si="688"/>
        <v/>
      </c>
    </row>
    <row r="44050" spans="26:26" x14ac:dyDescent="0.2">
      <c r="Z44050" t="str">
        <f t="shared" si="688"/>
        <v/>
      </c>
    </row>
    <row r="44051" spans="26:26" x14ac:dyDescent="0.2">
      <c r="Z44051" t="str">
        <f t="shared" si="688"/>
        <v/>
      </c>
    </row>
    <row r="44052" spans="26:26" x14ac:dyDescent="0.2">
      <c r="Z44052" t="str">
        <f t="shared" si="688"/>
        <v/>
      </c>
    </row>
    <row r="44053" spans="26:26" x14ac:dyDescent="0.2">
      <c r="Z44053" t="str">
        <f t="shared" si="688"/>
        <v/>
      </c>
    </row>
    <row r="44054" spans="26:26" x14ac:dyDescent="0.2">
      <c r="Z44054" t="str">
        <f t="shared" si="688"/>
        <v/>
      </c>
    </row>
    <row r="44055" spans="26:26" x14ac:dyDescent="0.2">
      <c r="Z44055" t="str">
        <f t="shared" si="688"/>
        <v/>
      </c>
    </row>
    <row r="44056" spans="26:26" x14ac:dyDescent="0.2">
      <c r="Z44056" t="str">
        <f t="shared" si="688"/>
        <v/>
      </c>
    </row>
    <row r="44057" spans="26:26" x14ac:dyDescent="0.2">
      <c r="Z44057" t="str">
        <f t="shared" si="688"/>
        <v/>
      </c>
    </row>
    <row r="44058" spans="26:26" x14ac:dyDescent="0.2">
      <c r="Z44058" t="str">
        <f t="shared" si="688"/>
        <v/>
      </c>
    </row>
    <row r="44059" spans="26:26" x14ac:dyDescent="0.2">
      <c r="Z44059" t="str">
        <f t="shared" si="688"/>
        <v/>
      </c>
    </row>
    <row r="44060" spans="26:26" x14ac:dyDescent="0.2">
      <c r="Z44060" t="str">
        <f t="shared" si="688"/>
        <v/>
      </c>
    </row>
    <row r="44061" spans="26:26" x14ac:dyDescent="0.2">
      <c r="Z44061" t="str">
        <f t="shared" si="688"/>
        <v/>
      </c>
    </row>
    <row r="44062" spans="26:26" x14ac:dyDescent="0.2">
      <c r="Z44062" t="str">
        <f t="shared" si="688"/>
        <v/>
      </c>
    </row>
    <row r="44063" spans="26:26" x14ac:dyDescent="0.2">
      <c r="Z44063" t="str">
        <f t="shared" si="688"/>
        <v/>
      </c>
    </row>
    <row r="44064" spans="26:26" x14ac:dyDescent="0.2">
      <c r="Z44064" t="str">
        <f t="shared" si="688"/>
        <v/>
      </c>
    </row>
    <row r="44065" spans="26:26" x14ac:dyDescent="0.2">
      <c r="Z44065" t="str">
        <f t="shared" si="688"/>
        <v/>
      </c>
    </row>
    <row r="44066" spans="26:26" x14ac:dyDescent="0.2">
      <c r="Z44066" t="str">
        <f t="shared" si="688"/>
        <v/>
      </c>
    </row>
    <row r="44067" spans="26:26" x14ac:dyDescent="0.2">
      <c r="Z44067" t="str">
        <f t="shared" si="688"/>
        <v/>
      </c>
    </row>
    <row r="44068" spans="26:26" x14ac:dyDescent="0.2">
      <c r="Z44068" t="str">
        <f t="shared" si="688"/>
        <v/>
      </c>
    </row>
    <row r="44069" spans="26:26" x14ac:dyDescent="0.2">
      <c r="Z44069" t="str">
        <f t="shared" si="688"/>
        <v/>
      </c>
    </row>
    <row r="44070" spans="26:26" x14ac:dyDescent="0.2">
      <c r="Z44070" t="str">
        <f t="shared" si="688"/>
        <v/>
      </c>
    </row>
    <row r="44071" spans="26:26" x14ac:dyDescent="0.2">
      <c r="Z44071" t="str">
        <f t="shared" si="688"/>
        <v/>
      </c>
    </row>
    <row r="44072" spans="26:26" x14ac:dyDescent="0.2">
      <c r="Z44072" t="str">
        <f t="shared" si="688"/>
        <v/>
      </c>
    </row>
    <row r="44073" spans="26:26" x14ac:dyDescent="0.2">
      <c r="Z44073" t="str">
        <f t="shared" si="688"/>
        <v/>
      </c>
    </row>
    <row r="44074" spans="26:26" x14ac:dyDescent="0.2">
      <c r="Z44074" t="str">
        <f t="shared" si="688"/>
        <v/>
      </c>
    </row>
    <row r="44075" spans="26:26" x14ac:dyDescent="0.2">
      <c r="Z44075" t="str">
        <f t="shared" si="688"/>
        <v/>
      </c>
    </row>
    <row r="44076" spans="26:26" x14ac:dyDescent="0.2">
      <c r="Z44076" t="str">
        <f t="shared" si="688"/>
        <v/>
      </c>
    </row>
    <row r="44077" spans="26:26" x14ac:dyDescent="0.2">
      <c r="Z44077" t="str">
        <f t="shared" si="688"/>
        <v/>
      </c>
    </row>
    <row r="44078" spans="26:26" x14ac:dyDescent="0.2">
      <c r="Z44078" t="str">
        <f t="shared" si="688"/>
        <v/>
      </c>
    </row>
    <row r="44079" spans="26:26" x14ac:dyDescent="0.2">
      <c r="Z44079" t="str">
        <f t="shared" si="688"/>
        <v/>
      </c>
    </row>
    <row r="44080" spans="26:26" x14ac:dyDescent="0.2">
      <c r="Z44080" t="str">
        <f t="shared" si="688"/>
        <v/>
      </c>
    </row>
    <row r="44081" spans="26:26" x14ac:dyDescent="0.2">
      <c r="Z44081" t="str">
        <f t="shared" si="688"/>
        <v/>
      </c>
    </row>
    <row r="44082" spans="26:26" x14ac:dyDescent="0.2">
      <c r="Z44082" t="str">
        <f t="shared" si="688"/>
        <v/>
      </c>
    </row>
    <row r="44083" spans="26:26" x14ac:dyDescent="0.2">
      <c r="Z44083" t="str">
        <f t="shared" si="688"/>
        <v/>
      </c>
    </row>
    <row r="44084" spans="26:26" x14ac:dyDescent="0.2">
      <c r="Z44084" t="str">
        <f t="shared" si="688"/>
        <v/>
      </c>
    </row>
    <row r="44085" spans="26:26" x14ac:dyDescent="0.2">
      <c r="Z44085" t="str">
        <f t="shared" si="688"/>
        <v/>
      </c>
    </row>
    <row r="44086" spans="26:26" x14ac:dyDescent="0.2">
      <c r="Z44086" t="str">
        <f t="shared" si="688"/>
        <v/>
      </c>
    </row>
    <row r="44087" spans="26:26" x14ac:dyDescent="0.2">
      <c r="Z44087" t="str">
        <f t="shared" si="688"/>
        <v/>
      </c>
    </row>
    <row r="44088" spans="26:26" x14ac:dyDescent="0.2">
      <c r="Z44088" t="str">
        <f t="shared" si="688"/>
        <v/>
      </c>
    </row>
    <row r="44089" spans="26:26" x14ac:dyDescent="0.2">
      <c r="Z44089" t="str">
        <f t="shared" si="688"/>
        <v/>
      </c>
    </row>
    <row r="44090" spans="26:26" x14ac:dyDescent="0.2">
      <c r="Z44090" t="str">
        <f t="shared" si="688"/>
        <v/>
      </c>
    </row>
    <row r="44091" spans="26:26" x14ac:dyDescent="0.2">
      <c r="Z44091" t="str">
        <f t="shared" si="688"/>
        <v/>
      </c>
    </row>
    <row r="44092" spans="26:26" x14ac:dyDescent="0.2">
      <c r="Z44092" t="str">
        <f t="shared" si="688"/>
        <v/>
      </c>
    </row>
    <row r="44093" spans="26:26" x14ac:dyDescent="0.2">
      <c r="Z44093" t="str">
        <f t="shared" si="688"/>
        <v/>
      </c>
    </row>
    <row r="44094" spans="26:26" x14ac:dyDescent="0.2">
      <c r="Z44094" t="str">
        <f t="shared" si="688"/>
        <v/>
      </c>
    </row>
    <row r="44095" spans="26:26" x14ac:dyDescent="0.2">
      <c r="Z44095" t="str">
        <f t="shared" si="688"/>
        <v/>
      </c>
    </row>
    <row r="44096" spans="26:26" x14ac:dyDescent="0.2">
      <c r="Z44096" t="str">
        <f t="shared" si="688"/>
        <v/>
      </c>
    </row>
    <row r="44097" spans="26:26" x14ac:dyDescent="0.2">
      <c r="Z44097" t="str">
        <f t="shared" si="688"/>
        <v/>
      </c>
    </row>
    <row r="44098" spans="26:26" x14ac:dyDescent="0.2">
      <c r="Z44098" t="str">
        <f t="shared" si="688"/>
        <v/>
      </c>
    </row>
    <row r="44099" spans="26:26" x14ac:dyDescent="0.2">
      <c r="Z44099" t="str">
        <f t="shared" ref="Z44099:Z44162" si="689">IF(K44099="","",IFERROR(VALUE(TRIM(MID(K44099,FIND(CHAR(167),SUBSTITUTE(K44099,"-",CHAR(167),LEN(K44099)-LEN(SUBSTITUTE(K44099,"-",""))))+1,100))),K44099))</f>
        <v/>
      </c>
    </row>
    <row r="44100" spans="26:26" x14ac:dyDescent="0.2">
      <c r="Z44100" t="str">
        <f t="shared" si="689"/>
        <v/>
      </c>
    </row>
    <row r="44101" spans="26:26" x14ac:dyDescent="0.2">
      <c r="Z44101" t="str">
        <f t="shared" si="689"/>
        <v/>
      </c>
    </row>
    <row r="44102" spans="26:26" x14ac:dyDescent="0.2">
      <c r="Z44102" t="str">
        <f t="shared" si="689"/>
        <v/>
      </c>
    </row>
    <row r="44103" spans="26:26" x14ac:dyDescent="0.2">
      <c r="Z44103" t="str">
        <f t="shared" si="689"/>
        <v/>
      </c>
    </row>
    <row r="44104" spans="26:26" x14ac:dyDescent="0.2">
      <c r="Z44104" t="str">
        <f t="shared" si="689"/>
        <v/>
      </c>
    </row>
    <row r="44105" spans="26:26" x14ac:dyDescent="0.2">
      <c r="Z44105" t="str">
        <f t="shared" si="689"/>
        <v/>
      </c>
    </row>
    <row r="44106" spans="26:26" x14ac:dyDescent="0.2">
      <c r="Z44106" t="str">
        <f t="shared" si="689"/>
        <v/>
      </c>
    </row>
    <row r="44107" spans="26:26" x14ac:dyDescent="0.2">
      <c r="Z44107" t="str">
        <f t="shared" si="689"/>
        <v/>
      </c>
    </row>
    <row r="44108" spans="26:26" x14ac:dyDescent="0.2">
      <c r="Z44108" t="str">
        <f t="shared" si="689"/>
        <v/>
      </c>
    </row>
    <row r="44109" spans="26:26" x14ac:dyDescent="0.2">
      <c r="Z44109" t="str">
        <f t="shared" si="689"/>
        <v/>
      </c>
    </row>
    <row r="44110" spans="26:26" x14ac:dyDescent="0.2">
      <c r="Z44110" t="str">
        <f t="shared" si="689"/>
        <v/>
      </c>
    </row>
    <row r="44111" spans="26:26" x14ac:dyDescent="0.2">
      <c r="Z44111" t="str">
        <f t="shared" si="689"/>
        <v/>
      </c>
    </row>
    <row r="44112" spans="26:26" x14ac:dyDescent="0.2">
      <c r="Z44112" t="str">
        <f t="shared" si="689"/>
        <v/>
      </c>
    </row>
    <row r="44113" spans="26:26" x14ac:dyDescent="0.2">
      <c r="Z44113" t="str">
        <f t="shared" si="689"/>
        <v/>
      </c>
    </row>
    <row r="44114" spans="26:26" x14ac:dyDescent="0.2">
      <c r="Z44114" t="str">
        <f t="shared" si="689"/>
        <v/>
      </c>
    </row>
    <row r="44115" spans="26:26" x14ac:dyDescent="0.2">
      <c r="Z44115" t="str">
        <f t="shared" si="689"/>
        <v/>
      </c>
    </row>
    <row r="44116" spans="26:26" x14ac:dyDescent="0.2">
      <c r="Z44116" t="str">
        <f t="shared" si="689"/>
        <v/>
      </c>
    </row>
    <row r="44117" spans="26:26" x14ac:dyDescent="0.2">
      <c r="Z44117" t="str">
        <f t="shared" si="689"/>
        <v/>
      </c>
    </row>
    <row r="44118" spans="26:26" x14ac:dyDescent="0.2">
      <c r="Z44118" t="str">
        <f t="shared" si="689"/>
        <v/>
      </c>
    </row>
    <row r="44119" spans="26:26" x14ac:dyDescent="0.2">
      <c r="Z44119" t="str">
        <f t="shared" si="689"/>
        <v/>
      </c>
    </row>
    <row r="44120" spans="26:26" x14ac:dyDescent="0.2">
      <c r="Z44120" t="str">
        <f t="shared" si="689"/>
        <v/>
      </c>
    </row>
    <row r="44121" spans="26:26" x14ac:dyDescent="0.2">
      <c r="Z44121" t="str">
        <f t="shared" si="689"/>
        <v/>
      </c>
    </row>
    <row r="44122" spans="26:26" x14ac:dyDescent="0.2">
      <c r="Z44122" t="str">
        <f t="shared" si="689"/>
        <v/>
      </c>
    </row>
    <row r="44123" spans="26:26" x14ac:dyDescent="0.2">
      <c r="Z44123" t="str">
        <f t="shared" si="689"/>
        <v/>
      </c>
    </row>
    <row r="44124" spans="26:26" x14ac:dyDescent="0.2">
      <c r="Z44124" t="str">
        <f t="shared" si="689"/>
        <v/>
      </c>
    </row>
    <row r="44125" spans="26:26" x14ac:dyDescent="0.2">
      <c r="Z44125" t="str">
        <f t="shared" si="689"/>
        <v/>
      </c>
    </row>
    <row r="44126" spans="26:26" x14ac:dyDescent="0.2">
      <c r="Z44126" t="str">
        <f t="shared" si="689"/>
        <v/>
      </c>
    </row>
    <row r="44127" spans="26:26" x14ac:dyDescent="0.2">
      <c r="Z44127" t="str">
        <f t="shared" si="689"/>
        <v/>
      </c>
    </row>
    <row r="44128" spans="26:26" x14ac:dyDescent="0.2">
      <c r="Z44128" t="str">
        <f t="shared" si="689"/>
        <v/>
      </c>
    </row>
    <row r="44129" spans="26:26" x14ac:dyDescent="0.2">
      <c r="Z44129" t="str">
        <f t="shared" si="689"/>
        <v/>
      </c>
    </row>
    <row r="44130" spans="26:26" x14ac:dyDescent="0.2">
      <c r="Z44130" t="str">
        <f t="shared" si="689"/>
        <v/>
      </c>
    </row>
    <row r="44131" spans="26:26" x14ac:dyDescent="0.2">
      <c r="Z44131" t="str">
        <f t="shared" si="689"/>
        <v/>
      </c>
    </row>
    <row r="44132" spans="26:26" x14ac:dyDescent="0.2">
      <c r="Z44132" t="str">
        <f t="shared" si="689"/>
        <v/>
      </c>
    </row>
    <row r="44133" spans="26:26" x14ac:dyDescent="0.2">
      <c r="Z44133" t="str">
        <f t="shared" si="689"/>
        <v/>
      </c>
    </row>
    <row r="44134" spans="26:26" x14ac:dyDescent="0.2">
      <c r="Z44134" t="str">
        <f t="shared" si="689"/>
        <v/>
      </c>
    </row>
    <row r="44135" spans="26:26" x14ac:dyDescent="0.2">
      <c r="Z44135" t="str">
        <f t="shared" si="689"/>
        <v/>
      </c>
    </row>
    <row r="44136" spans="26:26" x14ac:dyDescent="0.2">
      <c r="Z44136" t="str">
        <f t="shared" si="689"/>
        <v/>
      </c>
    </row>
    <row r="44137" spans="26:26" x14ac:dyDescent="0.2">
      <c r="Z44137" t="str">
        <f t="shared" si="689"/>
        <v/>
      </c>
    </row>
    <row r="44138" spans="26:26" x14ac:dyDescent="0.2">
      <c r="Z44138" t="str">
        <f t="shared" si="689"/>
        <v/>
      </c>
    </row>
    <row r="44139" spans="26:26" x14ac:dyDescent="0.2">
      <c r="Z44139" t="str">
        <f t="shared" si="689"/>
        <v/>
      </c>
    </row>
    <row r="44140" spans="26:26" x14ac:dyDescent="0.2">
      <c r="Z44140" t="str">
        <f t="shared" si="689"/>
        <v/>
      </c>
    </row>
    <row r="44141" spans="26:26" x14ac:dyDescent="0.2">
      <c r="Z44141" t="str">
        <f t="shared" si="689"/>
        <v/>
      </c>
    </row>
    <row r="44142" spans="26:26" x14ac:dyDescent="0.2">
      <c r="Z44142" t="str">
        <f t="shared" si="689"/>
        <v/>
      </c>
    </row>
    <row r="44143" spans="26:26" x14ac:dyDescent="0.2">
      <c r="Z44143" t="str">
        <f t="shared" si="689"/>
        <v/>
      </c>
    </row>
    <row r="44144" spans="26:26" x14ac:dyDescent="0.2">
      <c r="Z44144" t="str">
        <f t="shared" si="689"/>
        <v/>
      </c>
    </row>
    <row r="44145" spans="26:26" x14ac:dyDescent="0.2">
      <c r="Z44145" t="str">
        <f t="shared" si="689"/>
        <v/>
      </c>
    </row>
    <row r="44146" spans="26:26" x14ac:dyDescent="0.2">
      <c r="Z44146" t="str">
        <f t="shared" si="689"/>
        <v/>
      </c>
    </row>
    <row r="44147" spans="26:26" x14ac:dyDescent="0.2">
      <c r="Z44147" t="str">
        <f t="shared" si="689"/>
        <v/>
      </c>
    </row>
    <row r="44148" spans="26:26" x14ac:dyDescent="0.2">
      <c r="Z44148" t="str">
        <f t="shared" si="689"/>
        <v/>
      </c>
    </row>
    <row r="44149" spans="26:26" x14ac:dyDescent="0.2">
      <c r="Z44149" t="str">
        <f t="shared" si="689"/>
        <v/>
      </c>
    </row>
    <row r="44150" spans="26:26" x14ac:dyDescent="0.2">
      <c r="Z44150" t="str">
        <f t="shared" si="689"/>
        <v/>
      </c>
    </row>
    <row r="44151" spans="26:26" x14ac:dyDescent="0.2">
      <c r="Z44151" t="str">
        <f t="shared" si="689"/>
        <v/>
      </c>
    </row>
    <row r="44152" spans="26:26" x14ac:dyDescent="0.2">
      <c r="Z44152" t="str">
        <f t="shared" si="689"/>
        <v/>
      </c>
    </row>
    <row r="44153" spans="26:26" x14ac:dyDescent="0.2">
      <c r="Z44153" t="str">
        <f t="shared" si="689"/>
        <v/>
      </c>
    </row>
    <row r="44154" spans="26:26" x14ac:dyDescent="0.2">
      <c r="Z44154" t="str">
        <f t="shared" si="689"/>
        <v/>
      </c>
    </row>
    <row r="44155" spans="26:26" x14ac:dyDescent="0.2">
      <c r="Z44155" t="str">
        <f t="shared" si="689"/>
        <v/>
      </c>
    </row>
    <row r="44156" spans="26:26" x14ac:dyDescent="0.2">
      <c r="Z44156" t="str">
        <f t="shared" si="689"/>
        <v/>
      </c>
    </row>
    <row r="44157" spans="26:26" x14ac:dyDescent="0.2">
      <c r="Z44157" t="str">
        <f t="shared" si="689"/>
        <v/>
      </c>
    </row>
    <row r="44158" spans="26:26" x14ac:dyDescent="0.2">
      <c r="Z44158" t="str">
        <f t="shared" si="689"/>
        <v/>
      </c>
    </row>
    <row r="44159" spans="26:26" x14ac:dyDescent="0.2">
      <c r="Z44159" t="str">
        <f t="shared" si="689"/>
        <v/>
      </c>
    </row>
    <row r="44160" spans="26:26" x14ac:dyDescent="0.2">
      <c r="Z44160" t="str">
        <f t="shared" si="689"/>
        <v/>
      </c>
    </row>
    <row r="44161" spans="26:26" x14ac:dyDescent="0.2">
      <c r="Z44161" t="str">
        <f t="shared" si="689"/>
        <v/>
      </c>
    </row>
    <row r="44162" spans="26:26" x14ac:dyDescent="0.2">
      <c r="Z44162" t="str">
        <f t="shared" si="689"/>
        <v/>
      </c>
    </row>
    <row r="44163" spans="26:26" x14ac:dyDescent="0.2">
      <c r="Z44163" t="str">
        <f t="shared" ref="Z44163:Z44226" si="690">IF(K44163="","",IFERROR(VALUE(TRIM(MID(K44163,FIND(CHAR(167),SUBSTITUTE(K44163,"-",CHAR(167),LEN(K44163)-LEN(SUBSTITUTE(K44163,"-",""))))+1,100))),K44163))</f>
        <v/>
      </c>
    </row>
    <row r="44164" spans="26:26" x14ac:dyDescent="0.2">
      <c r="Z44164" t="str">
        <f t="shared" si="690"/>
        <v/>
      </c>
    </row>
    <row r="44165" spans="26:26" x14ac:dyDescent="0.2">
      <c r="Z44165" t="str">
        <f t="shared" si="690"/>
        <v/>
      </c>
    </row>
    <row r="44166" spans="26:26" x14ac:dyDescent="0.2">
      <c r="Z44166" t="str">
        <f t="shared" si="690"/>
        <v/>
      </c>
    </row>
    <row r="44167" spans="26:26" x14ac:dyDescent="0.2">
      <c r="Z44167" t="str">
        <f t="shared" si="690"/>
        <v/>
      </c>
    </row>
    <row r="44168" spans="26:26" x14ac:dyDescent="0.2">
      <c r="Z44168" t="str">
        <f t="shared" si="690"/>
        <v/>
      </c>
    </row>
    <row r="44169" spans="26:26" x14ac:dyDescent="0.2">
      <c r="Z44169" t="str">
        <f t="shared" si="690"/>
        <v/>
      </c>
    </row>
    <row r="44170" spans="26:26" x14ac:dyDescent="0.2">
      <c r="Z44170" t="str">
        <f t="shared" si="690"/>
        <v/>
      </c>
    </row>
    <row r="44171" spans="26:26" x14ac:dyDescent="0.2">
      <c r="Z44171" t="str">
        <f t="shared" si="690"/>
        <v/>
      </c>
    </row>
    <row r="44172" spans="26:26" x14ac:dyDescent="0.2">
      <c r="Z44172" t="str">
        <f t="shared" si="690"/>
        <v/>
      </c>
    </row>
    <row r="44173" spans="26:26" x14ac:dyDescent="0.2">
      <c r="Z44173" t="str">
        <f t="shared" si="690"/>
        <v/>
      </c>
    </row>
    <row r="44174" spans="26:26" x14ac:dyDescent="0.2">
      <c r="Z44174" t="str">
        <f t="shared" si="690"/>
        <v/>
      </c>
    </row>
    <row r="44175" spans="26:26" x14ac:dyDescent="0.2">
      <c r="Z44175" t="str">
        <f t="shared" si="690"/>
        <v/>
      </c>
    </row>
    <row r="44176" spans="26:26" x14ac:dyDescent="0.2">
      <c r="Z44176" t="str">
        <f t="shared" si="690"/>
        <v/>
      </c>
    </row>
    <row r="44177" spans="26:26" x14ac:dyDescent="0.2">
      <c r="Z44177" t="str">
        <f t="shared" si="690"/>
        <v/>
      </c>
    </row>
    <row r="44178" spans="26:26" x14ac:dyDescent="0.2">
      <c r="Z44178" t="str">
        <f t="shared" si="690"/>
        <v/>
      </c>
    </row>
    <row r="44179" spans="26:26" x14ac:dyDescent="0.2">
      <c r="Z44179" t="str">
        <f t="shared" si="690"/>
        <v/>
      </c>
    </row>
    <row r="44180" spans="26:26" x14ac:dyDescent="0.2">
      <c r="Z44180" t="str">
        <f t="shared" si="690"/>
        <v/>
      </c>
    </row>
    <row r="44181" spans="26:26" x14ac:dyDescent="0.2">
      <c r="Z44181" t="str">
        <f t="shared" si="690"/>
        <v/>
      </c>
    </row>
    <row r="44182" spans="26:26" x14ac:dyDescent="0.2">
      <c r="Z44182" t="str">
        <f t="shared" si="690"/>
        <v/>
      </c>
    </row>
    <row r="44183" spans="26:26" x14ac:dyDescent="0.2">
      <c r="Z44183" t="str">
        <f t="shared" si="690"/>
        <v/>
      </c>
    </row>
    <row r="44184" spans="26:26" x14ac:dyDescent="0.2">
      <c r="Z44184" t="str">
        <f t="shared" si="690"/>
        <v/>
      </c>
    </row>
    <row r="44185" spans="26:26" x14ac:dyDescent="0.2">
      <c r="Z44185" t="str">
        <f t="shared" si="690"/>
        <v/>
      </c>
    </row>
    <row r="44186" spans="26:26" x14ac:dyDescent="0.2">
      <c r="Z44186" t="str">
        <f t="shared" si="690"/>
        <v/>
      </c>
    </row>
    <row r="44187" spans="26:26" x14ac:dyDescent="0.2">
      <c r="Z44187" t="str">
        <f t="shared" si="690"/>
        <v/>
      </c>
    </row>
    <row r="44188" spans="26:26" x14ac:dyDescent="0.2">
      <c r="Z44188" t="str">
        <f t="shared" si="690"/>
        <v/>
      </c>
    </row>
    <row r="44189" spans="26:26" x14ac:dyDescent="0.2">
      <c r="Z44189" t="str">
        <f t="shared" si="690"/>
        <v/>
      </c>
    </row>
    <row r="44190" spans="26:26" x14ac:dyDescent="0.2">
      <c r="Z44190" t="str">
        <f t="shared" si="690"/>
        <v/>
      </c>
    </row>
    <row r="44191" spans="26:26" x14ac:dyDescent="0.2">
      <c r="Z44191" t="str">
        <f t="shared" si="690"/>
        <v/>
      </c>
    </row>
    <row r="44192" spans="26:26" x14ac:dyDescent="0.2">
      <c r="Z44192" t="str">
        <f t="shared" si="690"/>
        <v/>
      </c>
    </row>
    <row r="44193" spans="26:26" x14ac:dyDescent="0.2">
      <c r="Z44193" t="str">
        <f t="shared" si="690"/>
        <v/>
      </c>
    </row>
    <row r="44194" spans="26:26" x14ac:dyDescent="0.2">
      <c r="Z44194" t="str">
        <f t="shared" si="690"/>
        <v/>
      </c>
    </row>
    <row r="44195" spans="26:26" x14ac:dyDescent="0.2">
      <c r="Z44195" t="str">
        <f t="shared" si="690"/>
        <v/>
      </c>
    </row>
    <row r="44196" spans="26:26" x14ac:dyDescent="0.2">
      <c r="Z44196" t="str">
        <f t="shared" si="690"/>
        <v/>
      </c>
    </row>
    <row r="44197" spans="26:26" x14ac:dyDescent="0.2">
      <c r="Z44197" t="str">
        <f t="shared" si="690"/>
        <v/>
      </c>
    </row>
    <row r="44198" spans="26:26" x14ac:dyDescent="0.2">
      <c r="Z44198" t="str">
        <f t="shared" si="690"/>
        <v/>
      </c>
    </row>
    <row r="44199" spans="26:26" x14ac:dyDescent="0.2">
      <c r="Z44199" t="str">
        <f t="shared" si="690"/>
        <v/>
      </c>
    </row>
    <row r="44200" spans="26:26" x14ac:dyDescent="0.2">
      <c r="Z44200" t="str">
        <f t="shared" si="690"/>
        <v/>
      </c>
    </row>
    <row r="44201" spans="26:26" x14ac:dyDescent="0.2">
      <c r="Z44201" t="str">
        <f t="shared" si="690"/>
        <v/>
      </c>
    </row>
    <row r="44202" spans="26:26" x14ac:dyDescent="0.2">
      <c r="Z44202" t="str">
        <f t="shared" si="690"/>
        <v/>
      </c>
    </row>
    <row r="44203" spans="26:26" x14ac:dyDescent="0.2">
      <c r="Z44203" t="str">
        <f t="shared" si="690"/>
        <v/>
      </c>
    </row>
    <row r="44204" spans="26:26" x14ac:dyDescent="0.2">
      <c r="Z44204" t="str">
        <f t="shared" si="690"/>
        <v/>
      </c>
    </row>
    <row r="44205" spans="26:26" x14ac:dyDescent="0.2">
      <c r="Z44205" t="str">
        <f t="shared" si="690"/>
        <v/>
      </c>
    </row>
    <row r="44206" spans="26:26" x14ac:dyDescent="0.2">
      <c r="Z44206" t="str">
        <f t="shared" si="690"/>
        <v/>
      </c>
    </row>
    <row r="44207" spans="26:26" x14ac:dyDescent="0.2">
      <c r="Z44207" t="str">
        <f t="shared" si="690"/>
        <v/>
      </c>
    </row>
    <row r="44208" spans="26:26" x14ac:dyDescent="0.2">
      <c r="Z44208" t="str">
        <f t="shared" si="690"/>
        <v/>
      </c>
    </row>
    <row r="44209" spans="26:26" x14ac:dyDescent="0.2">
      <c r="Z44209" t="str">
        <f t="shared" si="690"/>
        <v/>
      </c>
    </row>
    <row r="44210" spans="26:26" x14ac:dyDescent="0.2">
      <c r="Z44210" t="str">
        <f t="shared" si="690"/>
        <v/>
      </c>
    </row>
    <row r="44211" spans="26:26" x14ac:dyDescent="0.2">
      <c r="Z44211" t="str">
        <f t="shared" si="690"/>
        <v/>
      </c>
    </row>
    <row r="44212" spans="26:26" x14ac:dyDescent="0.2">
      <c r="Z44212" t="str">
        <f t="shared" si="690"/>
        <v/>
      </c>
    </row>
    <row r="44213" spans="26:26" x14ac:dyDescent="0.2">
      <c r="Z44213" t="str">
        <f t="shared" si="690"/>
        <v/>
      </c>
    </row>
    <row r="44214" spans="26:26" x14ac:dyDescent="0.2">
      <c r="Z44214" t="str">
        <f t="shared" si="690"/>
        <v/>
      </c>
    </row>
    <row r="44215" spans="26:26" x14ac:dyDescent="0.2">
      <c r="Z44215" t="str">
        <f t="shared" si="690"/>
        <v/>
      </c>
    </row>
    <row r="44216" spans="26:26" x14ac:dyDescent="0.2">
      <c r="Z44216" t="str">
        <f t="shared" si="690"/>
        <v/>
      </c>
    </row>
    <row r="44217" spans="26:26" x14ac:dyDescent="0.2">
      <c r="Z44217" t="str">
        <f t="shared" si="690"/>
        <v/>
      </c>
    </row>
    <row r="44218" spans="26:26" x14ac:dyDescent="0.2">
      <c r="Z44218" t="str">
        <f t="shared" si="690"/>
        <v/>
      </c>
    </row>
    <row r="44219" spans="26:26" x14ac:dyDescent="0.2">
      <c r="Z44219" t="str">
        <f t="shared" si="690"/>
        <v/>
      </c>
    </row>
    <row r="44220" spans="26:26" x14ac:dyDescent="0.2">
      <c r="Z44220" t="str">
        <f t="shared" si="690"/>
        <v/>
      </c>
    </row>
    <row r="44221" spans="26:26" x14ac:dyDescent="0.2">
      <c r="Z44221" t="str">
        <f t="shared" si="690"/>
        <v/>
      </c>
    </row>
    <row r="44222" spans="26:26" x14ac:dyDescent="0.2">
      <c r="Z44222" t="str">
        <f t="shared" si="690"/>
        <v/>
      </c>
    </row>
    <row r="44223" spans="26:26" x14ac:dyDescent="0.2">
      <c r="Z44223" t="str">
        <f t="shared" si="690"/>
        <v/>
      </c>
    </row>
    <row r="44224" spans="26:26" x14ac:dyDescent="0.2">
      <c r="Z44224" t="str">
        <f t="shared" si="690"/>
        <v/>
      </c>
    </row>
    <row r="44225" spans="26:26" x14ac:dyDescent="0.2">
      <c r="Z44225" t="str">
        <f t="shared" si="690"/>
        <v/>
      </c>
    </row>
    <row r="44226" spans="26:26" x14ac:dyDescent="0.2">
      <c r="Z44226" t="str">
        <f t="shared" si="690"/>
        <v/>
      </c>
    </row>
    <row r="44227" spans="26:26" x14ac:dyDescent="0.2">
      <c r="Z44227" t="str">
        <f t="shared" ref="Z44227:Z44290" si="691">IF(K44227="","",IFERROR(VALUE(TRIM(MID(K44227,FIND(CHAR(167),SUBSTITUTE(K44227,"-",CHAR(167),LEN(K44227)-LEN(SUBSTITUTE(K44227,"-",""))))+1,100))),K44227))</f>
        <v/>
      </c>
    </row>
    <row r="44228" spans="26:26" x14ac:dyDescent="0.2">
      <c r="Z44228" t="str">
        <f t="shared" si="691"/>
        <v/>
      </c>
    </row>
    <row r="44229" spans="26:26" x14ac:dyDescent="0.2">
      <c r="Z44229" t="str">
        <f t="shared" si="691"/>
        <v/>
      </c>
    </row>
    <row r="44230" spans="26:26" x14ac:dyDescent="0.2">
      <c r="Z44230" t="str">
        <f t="shared" si="691"/>
        <v/>
      </c>
    </row>
    <row r="44231" spans="26:26" x14ac:dyDescent="0.2">
      <c r="Z44231" t="str">
        <f t="shared" si="691"/>
        <v/>
      </c>
    </row>
    <row r="44232" spans="26:26" x14ac:dyDescent="0.2">
      <c r="Z44232" t="str">
        <f t="shared" si="691"/>
        <v/>
      </c>
    </row>
    <row r="44233" spans="26:26" x14ac:dyDescent="0.2">
      <c r="Z44233" t="str">
        <f t="shared" si="691"/>
        <v/>
      </c>
    </row>
    <row r="44234" spans="26:26" x14ac:dyDescent="0.2">
      <c r="Z44234" t="str">
        <f t="shared" si="691"/>
        <v/>
      </c>
    </row>
    <row r="44235" spans="26:26" x14ac:dyDescent="0.2">
      <c r="Z44235" t="str">
        <f t="shared" si="691"/>
        <v/>
      </c>
    </row>
    <row r="44236" spans="26:26" x14ac:dyDescent="0.2">
      <c r="Z44236" t="str">
        <f t="shared" si="691"/>
        <v/>
      </c>
    </row>
    <row r="44237" spans="26:26" x14ac:dyDescent="0.2">
      <c r="Z44237" t="str">
        <f t="shared" si="691"/>
        <v/>
      </c>
    </row>
    <row r="44238" spans="26:26" x14ac:dyDescent="0.2">
      <c r="Z44238" t="str">
        <f t="shared" si="691"/>
        <v/>
      </c>
    </row>
    <row r="44239" spans="26:26" x14ac:dyDescent="0.2">
      <c r="Z44239" t="str">
        <f t="shared" si="691"/>
        <v/>
      </c>
    </row>
    <row r="44240" spans="26:26" x14ac:dyDescent="0.2">
      <c r="Z44240" t="str">
        <f t="shared" si="691"/>
        <v/>
      </c>
    </row>
    <row r="44241" spans="26:26" x14ac:dyDescent="0.2">
      <c r="Z44241" t="str">
        <f t="shared" si="691"/>
        <v/>
      </c>
    </row>
    <row r="44242" spans="26:26" x14ac:dyDescent="0.2">
      <c r="Z44242" t="str">
        <f t="shared" si="691"/>
        <v/>
      </c>
    </row>
    <row r="44243" spans="26:26" x14ac:dyDescent="0.2">
      <c r="Z44243" t="str">
        <f t="shared" si="691"/>
        <v/>
      </c>
    </row>
    <row r="44244" spans="26:26" x14ac:dyDescent="0.2">
      <c r="Z44244" t="str">
        <f t="shared" si="691"/>
        <v/>
      </c>
    </row>
    <row r="44245" spans="26:26" x14ac:dyDescent="0.2">
      <c r="Z44245" t="str">
        <f t="shared" si="691"/>
        <v/>
      </c>
    </row>
    <row r="44246" spans="26:26" x14ac:dyDescent="0.2">
      <c r="Z44246" t="str">
        <f t="shared" si="691"/>
        <v/>
      </c>
    </row>
    <row r="44247" spans="26:26" x14ac:dyDescent="0.2">
      <c r="Z44247" t="str">
        <f t="shared" si="691"/>
        <v/>
      </c>
    </row>
    <row r="44248" spans="26:26" x14ac:dyDescent="0.2">
      <c r="Z44248" t="str">
        <f t="shared" si="691"/>
        <v/>
      </c>
    </row>
    <row r="44249" spans="26:26" x14ac:dyDescent="0.2">
      <c r="Z44249" t="str">
        <f t="shared" si="691"/>
        <v/>
      </c>
    </row>
    <row r="44250" spans="26:26" x14ac:dyDescent="0.2">
      <c r="Z44250" t="str">
        <f t="shared" si="691"/>
        <v/>
      </c>
    </row>
    <row r="44251" spans="26:26" x14ac:dyDescent="0.2">
      <c r="Z44251" t="str">
        <f t="shared" si="691"/>
        <v/>
      </c>
    </row>
    <row r="44252" spans="26:26" x14ac:dyDescent="0.2">
      <c r="Z44252" t="str">
        <f t="shared" si="691"/>
        <v/>
      </c>
    </row>
    <row r="44253" spans="26:26" x14ac:dyDescent="0.2">
      <c r="Z44253" t="str">
        <f t="shared" si="691"/>
        <v/>
      </c>
    </row>
    <row r="44254" spans="26:26" x14ac:dyDescent="0.2">
      <c r="Z44254" t="str">
        <f t="shared" si="691"/>
        <v/>
      </c>
    </row>
    <row r="44255" spans="26:26" x14ac:dyDescent="0.2">
      <c r="Z44255" t="str">
        <f t="shared" si="691"/>
        <v/>
      </c>
    </row>
    <row r="44256" spans="26:26" x14ac:dyDescent="0.2">
      <c r="Z44256" t="str">
        <f t="shared" si="691"/>
        <v/>
      </c>
    </row>
    <row r="44257" spans="26:26" x14ac:dyDescent="0.2">
      <c r="Z44257" t="str">
        <f t="shared" si="691"/>
        <v/>
      </c>
    </row>
    <row r="44258" spans="26:26" x14ac:dyDescent="0.2">
      <c r="Z44258" t="str">
        <f t="shared" si="691"/>
        <v/>
      </c>
    </row>
    <row r="44259" spans="26:26" x14ac:dyDescent="0.2">
      <c r="Z44259" t="str">
        <f t="shared" si="691"/>
        <v/>
      </c>
    </row>
    <row r="44260" spans="26:26" x14ac:dyDescent="0.2">
      <c r="Z44260" t="str">
        <f t="shared" si="691"/>
        <v/>
      </c>
    </row>
    <row r="44261" spans="26:26" x14ac:dyDescent="0.2">
      <c r="Z44261" t="str">
        <f t="shared" si="691"/>
        <v/>
      </c>
    </row>
    <row r="44262" spans="26:26" x14ac:dyDescent="0.2">
      <c r="Z44262" t="str">
        <f t="shared" si="691"/>
        <v/>
      </c>
    </row>
    <row r="44263" spans="26:26" x14ac:dyDescent="0.2">
      <c r="Z44263" t="str">
        <f t="shared" si="691"/>
        <v/>
      </c>
    </row>
    <row r="44264" spans="26:26" x14ac:dyDescent="0.2">
      <c r="Z44264" t="str">
        <f t="shared" si="691"/>
        <v/>
      </c>
    </row>
    <row r="44265" spans="26:26" x14ac:dyDescent="0.2">
      <c r="Z44265" t="str">
        <f t="shared" si="691"/>
        <v/>
      </c>
    </row>
    <row r="44266" spans="26:26" x14ac:dyDescent="0.2">
      <c r="Z44266" t="str">
        <f t="shared" si="691"/>
        <v/>
      </c>
    </row>
    <row r="44267" spans="26:26" x14ac:dyDescent="0.2">
      <c r="Z44267" t="str">
        <f t="shared" si="691"/>
        <v/>
      </c>
    </row>
    <row r="44268" spans="26:26" x14ac:dyDescent="0.2">
      <c r="Z44268" t="str">
        <f t="shared" si="691"/>
        <v/>
      </c>
    </row>
    <row r="44269" spans="26:26" x14ac:dyDescent="0.2">
      <c r="Z44269" t="str">
        <f t="shared" si="691"/>
        <v/>
      </c>
    </row>
    <row r="44270" spans="26:26" x14ac:dyDescent="0.2">
      <c r="Z44270" t="str">
        <f t="shared" si="691"/>
        <v/>
      </c>
    </row>
    <row r="44271" spans="26:26" x14ac:dyDescent="0.2">
      <c r="Z44271" t="str">
        <f t="shared" si="691"/>
        <v/>
      </c>
    </row>
    <row r="44272" spans="26:26" x14ac:dyDescent="0.2">
      <c r="Z44272" t="str">
        <f t="shared" si="691"/>
        <v/>
      </c>
    </row>
    <row r="44273" spans="26:26" x14ac:dyDescent="0.2">
      <c r="Z44273" t="str">
        <f t="shared" si="691"/>
        <v/>
      </c>
    </row>
    <row r="44274" spans="26:26" x14ac:dyDescent="0.2">
      <c r="Z44274" t="str">
        <f t="shared" si="691"/>
        <v/>
      </c>
    </row>
    <row r="44275" spans="26:26" x14ac:dyDescent="0.2">
      <c r="Z44275" t="str">
        <f t="shared" si="691"/>
        <v/>
      </c>
    </row>
    <row r="44276" spans="26:26" x14ac:dyDescent="0.2">
      <c r="Z44276" t="str">
        <f t="shared" si="691"/>
        <v/>
      </c>
    </row>
    <row r="44277" spans="26:26" x14ac:dyDescent="0.2">
      <c r="Z44277" t="str">
        <f t="shared" si="691"/>
        <v/>
      </c>
    </row>
    <row r="44278" spans="26:26" x14ac:dyDescent="0.2">
      <c r="Z44278" t="str">
        <f t="shared" si="691"/>
        <v/>
      </c>
    </row>
    <row r="44279" spans="26:26" x14ac:dyDescent="0.2">
      <c r="Z44279" t="str">
        <f t="shared" si="691"/>
        <v/>
      </c>
    </row>
    <row r="44280" spans="26:26" x14ac:dyDescent="0.2">
      <c r="Z44280" t="str">
        <f t="shared" si="691"/>
        <v/>
      </c>
    </row>
    <row r="44281" spans="26:26" x14ac:dyDescent="0.2">
      <c r="Z44281" t="str">
        <f t="shared" si="691"/>
        <v/>
      </c>
    </row>
    <row r="44282" spans="26:26" x14ac:dyDescent="0.2">
      <c r="Z44282" t="str">
        <f t="shared" si="691"/>
        <v/>
      </c>
    </row>
    <row r="44283" spans="26:26" x14ac:dyDescent="0.2">
      <c r="Z44283" t="str">
        <f t="shared" si="691"/>
        <v/>
      </c>
    </row>
    <row r="44284" spans="26:26" x14ac:dyDescent="0.2">
      <c r="Z44284" t="str">
        <f t="shared" si="691"/>
        <v/>
      </c>
    </row>
    <row r="44285" spans="26:26" x14ac:dyDescent="0.2">
      <c r="Z44285" t="str">
        <f t="shared" si="691"/>
        <v/>
      </c>
    </row>
    <row r="44286" spans="26:26" x14ac:dyDescent="0.2">
      <c r="Z44286" t="str">
        <f t="shared" si="691"/>
        <v/>
      </c>
    </row>
    <row r="44287" spans="26:26" x14ac:dyDescent="0.2">
      <c r="Z44287" t="str">
        <f t="shared" si="691"/>
        <v/>
      </c>
    </row>
    <row r="44288" spans="26:26" x14ac:dyDescent="0.2">
      <c r="Z44288" t="str">
        <f t="shared" si="691"/>
        <v/>
      </c>
    </row>
    <row r="44289" spans="26:26" x14ac:dyDescent="0.2">
      <c r="Z44289" t="str">
        <f t="shared" si="691"/>
        <v/>
      </c>
    </row>
    <row r="44290" spans="26:26" x14ac:dyDescent="0.2">
      <c r="Z44290" t="str">
        <f t="shared" si="691"/>
        <v/>
      </c>
    </row>
    <row r="44291" spans="26:26" x14ac:dyDescent="0.2">
      <c r="Z44291" t="str">
        <f t="shared" ref="Z44291:Z44354" si="692">IF(K44291="","",IFERROR(VALUE(TRIM(MID(K44291,FIND(CHAR(167),SUBSTITUTE(K44291,"-",CHAR(167),LEN(K44291)-LEN(SUBSTITUTE(K44291,"-",""))))+1,100))),K44291))</f>
        <v/>
      </c>
    </row>
    <row r="44292" spans="26:26" x14ac:dyDescent="0.2">
      <c r="Z44292" t="str">
        <f t="shared" si="692"/>
        <v/>
      </c>
    </row>
    <row r="44293" spans="26:26" x14ac:dyDescent="0.2">
      <c r="Z44293" t="str">
        <f t="shared" si="692"/>
        <v/>
      </c>
    </row>
    <row r="44294" spans="26:26" x14ac:dyDescent="0.2">
      <c r="Z44294" t="str">
        <f t="shared" si="692"/>
        <v/>
      </c>
    </row>
    <row r="44295" spans="26:26" x14ac:dyDescent="0.2">
      <c r="Z44295" t="str">
        <f t="shared" si="692"/>
        <v/>
      </c>
    </row>
    <row r="44296" spans="26:26" x14ac:dyDescent="0.2">
      <c r="Z44296" t="str">
        <f t="shared" si="692"/>
        <v/>
      </c>
    </row>
    <row r="44297" spans="26:26" x14ac:dyDescent="0.2">
      <c r="Z44297" t="str">
        <f t="shared" si="692"/>
        <v/>
      </c>
    </row>
    <row r="44298" spans="26:26" x14ac:dyDescent="0.2">
      <c r="Z44298" t="str">
        <f t="shared" si="692"/>
        <v/>
      </c>
    </row>
    <row r="44299" spans="26:26" x14ac:dyDescent="0.2">
      <c r="Z44299" t="str">
        <f t="shared" si="692"/>
        <v/>
      </c>
    </row>
    <row r="44300" spans="26:26" x14ac:dyDescent="0.2">
      <c r="Z44300" t="str">
        <f t="shared" si="692"/>
        <v/>
      </c>
    </row>
    <row r="44301" spans="26:26" x14ac:dyDescent="0.2">
      <c r="Z44301" t="str">
        <f t="shared" si="692"/>
        <v/>
      </c>
    </row>
    <row r="44302" spans="26:26" x14ac:dyDescent="0.2">
      <c r="Z44302" t="str">
        <f t="shared" si="692"/>
        <v/>
      </c>
    </row>
    <row r="44303" spans="26:26" x14ac:dyDescent="0.2">
      <c r="Z44303" t="str">
        <f t="shared" si="692"/>
        <v/>
      </c>
    </row>
    <row r="44304" spans="26:26" x14ac:dyDescent="0.2">
      <c r="Z44304" t="str">
        <f t="shared" si="692"/>
        <v/>
      </c>
    </row>
    <row r="44305" spans="26:26" x14ac:dyDescent="0.2">
      <c r="Z44305" t="str">
        <f t="shared" si="692"/>
        <v/>
      </c>
    </row>
    <row r="44306" spans="26:26" x14ac:dyDescent="0.2">
      <c r="Z44306" t="str">
        <f t="shared" si="692"/>
        <v/>
      </c>
    </row>
    <row r="44307" spans="26:26" x14ac:dyDescent="0.2">
      <c r="Z44307" t="str">
        <f t="shared" si="692"/>
        <v/>
      </c>
    </row>
    <row r="44308" spans="26:26" x14ac:dyDescent="0.2">
      <c r="Z44308" t="str">
        <f t="shared" si="692"/>
        <v/>
      </c>
    </row>
    <row r="44309" spans="26:26" x14ac:dyDescent="0.2">
      <c r="Z44309" t="str">
        <f t="shared" si="692"/>
        <v/>
      </c>
    </row>
    <row r="44310" spans="26:26" x14ac:dyDescent="0.2">
      <c r="Z44310" t="str">
        <f t="shared" si="692"/>
        <v/>
      </c>
    </row>
    <row r="44311" spans="26:26" x14ac:dyDescent="0.2">
      <c r="Z44311" t="str">
        <f t="shared" si="692"/>
        <v/>
      </c>
    </row>
    <row r="44312" spans="26:26" x14ac:dyDescent="0.2">
      <c r="Z44312" t="str">
        <f t="shared" si="692"/>
        <v/>
      </c>
    </row>
    <row r="44313" spans="26:26" x14ac:dyDescent="0.2">
      <c r="Z44313" t="str">
        <f t="shared" si="692"/>
        <v/>
      </c>
    </row>
    <row r="44314" spans="26:26" x14ac:dyDescent="0.2">
      <c r="Z44314" t="str">
        <f t="shared" si="692"/>
        <v/>
      </c>
    </row>
    <row r="44315" spans="26:26" x14ac:dyDescent="0.2">
      <c r="Z44315" t="str">
        <f t="shared" si="692"/>
        <v/>
      </c>
    </row>
    <row r="44316" spans="26:26" x14ac:dyDescent="0.2">
      <c r="Z44316" t="str">
        <f t="shared" si="692"/>
        <v/>
      </c>
    </row>
    <row r="44317" spans="26:26" x14ac:dyDescent="0.2">
      <c r="Z44317" t="str">
        <f t="shared" si="692"/>
        <v/>
      </c>
    </row>
    <row r="44318" spans="26:26" x14ac:dyDescent="0.2">
      <c r="Z44318" t="str">
        <f t="shared" si="692"/>
        <v/>
      </c>
    </row>
    <row r="44319" spans="26:26" x14ac:dyDescent="0.2">
      <c r="Z44319" t="str">
        <f t="shared" si="692"/>
        <v/>
      </c>
    </row>
    <row r="44320" spans="26:26" x14ac:dyDescent="0.2">
      <c r="Z44320" t="str">
        <f t="shared" si="692"/>
        <v/>
      </c>
    </row>
    <row r="44321" spans="26:26" x14ac:dyDescent="0.2">
      <c r="Z44321" t="str">
        <f t="shared" si="692"/>
        <v/>
      </c>
    </row>
    <row r="44322" spans="26:26" x14ac:dyDescent="0.2">
      <c r="Z44322" t="str">
        <f t="shared" si="692"/>
        <v/>
      </c>
    </row>
    <row r="44323" spans="26:26" x14ac:dyDescent="0.2">
      <c r="Z44323" t="str">
        <f t="shared" si="692"/>
        <v/>
      </c>
    </row>
    <row r="44324" spans="26:26" x14ac:dyDescent="0.2">
      <c r="Z44324" t="str">
        <f t="shared" si="692"/>
        <v/>
      </c>
    </row>
    <row r="44325" spans="26:26" x14ac:dyDescent="0.2">
      <c r="Z44325" t="str">
        <f t="shared" si="692"/>
        <v/>
      </c>
    </row>
    <row r="44326" spans="26:26" x14ac:dyDescent="0.2">
      <c r="Z44326" t="str">
        <f t="shared" si="692"/>
        <v/>
      </c>
    </row>
    <row r="44327" spans="26:26" x14ac:dyDescent="0.2">
      <c r="Z44327" t="str">
        <f t="shared" si="692"/>
        <v/>
      </c>
    </row>
    <row r="44328" spans="26:26" x14ac:dyDescent="0.2">
      <c r="Z44328" t="str">
        <f t="shared" si="692"/>
        <v/>
      </c>
    </row>
    <row r="44329" spans="26:26" x14ac:dyDescent="0.2">
      <c r="Z44329" t="str">
        <f t="shared" si="692"/>
        <v/>
      </c>
    </row>
    <row r="44330" spans="26:26" x14ac:dyDescent="0.2">
      <c r="Z44330" t="str">
        <f t="shared" si="692"/>
        <v/>
      </c>
    </row>
    <row r="44331" spans="26:26" x14ac:dyDescent="0.2">
      <c r="Z44331" t="str">
        <f t="shared" si="692"/>
        <v/>
      </c>
    </row>
    <row r="44332" spans="26:26" x14ac:dyDescent="0.2">
      <c r="Z44332" t="str">
        <f t="shared" si="692"/>
        <v/>
      </c>
    </row>
    <row r="44333" spans="26:26" x14ac:dyDescent="0.2">
      <c r="Z44333" t="str">
        <f t="shared" si="692"/>
        <v/>
      </c>
    </row>
    <row r="44334" spans="26:26" x14ac:dyDescent="0.2">
      <c r="Z44334" t="str">
        <f t="shared" si="692"/>
        <v/>
      </c>
    </row>
    <row r="44335" spans="26:26" x14ac:dyDescent="0.2">
      <c r="Z44335" t="str">
        <f t="shared" si="692"/>
        <v/>
      </c>
    </row>
    <row r="44336" spans="26:26" x14ac:dyDescent="0.2">
      <c r="Z44336" t="str">
        <f t="shared" si="692"/>
        <v/>
      </c>
    </row>
    <row r="44337" spans="26:26" x14ac:dyDescent="0.2">
      <c r="Z44337" t="str">
        <f t="shared" si="692"/>
        <v/>
      </c>
    </row>
    <row r="44338" spans="26:26" x14ac:dyDescent="0.2">
      <c r="Z44338" t="str">
        <f t="shared" si="692"/>
        <v/>
      </c>
    </row>
    <row r="44339" spans="26:26" x14ac:dyDescent="0.2">
      <c r="Z44339" t="str">
        <f t="shared" si="692"/>
        <v/>
      </c>
    </row>
    <row r="44340" spans="26:26" x14ac:dyDescent="0.2">
      <c r="Z44340" t="str">
        <f t="shared" si="692"/>
        <v/>
      </c>
    </row>
    <row r="44341" spans="26:26" x14ac:dyDescent="0.2">
      <c r="Z44341" t="str">
        <f t="shared" si="692"/>
        <v/>
      </c>
    </row>
    <row r="44342" spans="26:26" x14ac:dyDescent="0.2">
      <c r="Z44342" t="str">
        <f t="shared" si="692"/>
        <v/>
      </c>
    </row>
    <row r="44343" spans="26:26" x14ac:dyDescent="0.2">
      <c r="Z44343" t="str">
        <f t="shared" si="692"/>
        <v/>
      </c>
    </row>
    <row r="44344" spans="26:26" x14ac:dyDescent="0.2">
      <c r="Z44344" t="str">
        <f t="shared" si="692"/>
        <v/>
      </c>
    </row>
    <row r="44345" spans="26:26" x14ac:dyDescent="0.2">
      <c r="Z44345" t="str">
        <f t="shared" si="692"/>
        <v/>
      </c>
    </row>
    <row r="44346" spans="26:26" x14ac:dyDescent="0.2">
      <c r="Z44346" t="str">
        <f t="shared" si="692"/>
        <v/>
      </c>
    </row>
    <row r="44347" spans="26:26" x14ac:dyDescent="0.2">
      <c r="Z44347" t="str">
        <f t="shared" si="692"/>
        <v/>
      </c>
    </row>
    <row r="44348" spans="26:26" x14ac:dyDescent="0.2">
      <c r="Z44348" t="str">
        <f t="shared" si="692"/>
        <v/>
      </c>
    </row>
    <row r="44349" spans="26:26" x14ac:dyDescent="0.2">
      <c r="Z44349" t="str">
        <f t="shared" si="692"/>
        <v/>
      </c>
    </row>
    <row r="44350" spans="26:26" x14ac:dyDescent="0.2">
      <c r="Z44350" t="str">
        <f t="shared" si="692"/>
        <v/>
      </c>
    </row>
    <row r="44351" spans="26:26" x14ac:dyDescent="0.2">
      <c r="Z44351" t="str">
        <f t="shared" si="692"/>
        <v/>
      </c>
    </row>
    <row r="44352" spans="26:26" x14ac:dyDescent="0.2">
      <c r="Z44352" t="str">
        <f t="shared" si="692"/>
        <v/>
      </c>
    </row>
    <row r="44353" spans="26:26" x14ac:dyDescent="0.2">
      <c r="Z44353" t="str">
        <f t="shared" si="692"/>
        <v/>
      </c>
    </row>
    <row r="44354" spans="26:26" x14ac:dyDescent="0.2">
      <c r="Z44354" t="str">
        <f t="shared" si="692"/>
        <v/>
      </c>
    </row>
    <row r="44355" spans="26:26" x14ac:dyDescent="0.2">
      <c r="Z44355" t="str">
        <f t="shared" ref="Z44355:Z44418" si="693">IF(K44355="","",IFERROR(VALUE(TRIM(MID(K44355,FIND(CHAR(167),SUBSTITUTE(K44355,"-",CHAR(167),LEN(K44355)-LEN(SUBSTITUTE(K44355,"-",""))))+1,100))),K44355))</f>
        <v/>
      </c>
    </row>
    <row r="44356" spans="26:26" x14ac:dyDescent="0.2">
      <c r="Z44356" t="str">
        <f t="shared" si="693"/>
        <v/>
      </c>
    </row>
    <row r="44357" spans="26:26" x14ac:dyDescent="0.2">
      <c r="Z44357" t="str">
        <f t="shared" si="693"/>
        <v/>
      </c>
    </row>
    <row r="44358" spans="26:26" x14ac:dyDescent="0.2">
      <c r="Z44358" t="str">
        <f t="shared" si="693"/>
        <v/>
      </c>
    </row>
    <row r="44359" spans="26:26" x14ac:dyDescent="0.2">
      <c r="Z44359" t="str">
        <f t="shared" si="693"/>
        <v/>
      </c>
    </row>
    <row r="44360" spans="26:26" x14ac:dyDescent="0.2">
      <c r="Z44360" t="str">
        <f t="shared" si="693"/>
        <v/>
      </c>
    </row>
    <row r="44361" spans="26:26" x14ac:dyDescent="0.2">
      <c r="Z44361" t="str">
        <f t="shared" si="693"/>
        <v/>
      </c>
    </row>
    <row r="44362" spans="26:26" x14ac:dyDescent="0.2">
      <c r="Z44362" t="str">
        <f t="shared" si="693"/>
        <v/>
      </c>
    </row>
    <row r="44363" spans="26:26" x14ac:dyDescent="0.2">
      <c r="Z44363" t="str">
        <f t="shared" si="693"/>
        <v/>
      </c>
    </row>
    <row r="44364" spans="26:26" x14ac:dyDescent="0.2">
      <c r="Z44364" t="str">
        <f t="shared" si="693"/>
        <v/>
      </c>
    </row>
    <row r="44365" spans="26:26" x14ac:dyDescent="0.2">
      <c r="Z44365" t="str">
        <f t="shared" si="693"/>
        <v/>
      </c>
    </row>
    <row r="44366" spans="26:26" x14ac:dyDescent="0.2">
      <c r="Z44366" t="str">
        <f t="shared" si="693"/>
        <v/>
      </c>
    </row>
    <row r="44367" spans="26:26" x14ac:dyDescent="0.2">
      <c r="Z44367" t="str">
        <f t="shared" si="693"/>
        <v/>
      </c>
    </row>
    <row r="44368" spans="26:26" x14ac:dyDescent="0.2">
      <c r="Z44368" t="str">
        <f t="shared" si="693"/>
        <v/>
      </c>
    </row>
    <row r="44369" spans="26:26" x14ac:dyDescent="0.2">
      <c r="Z44369" t="str">
        <f t="shared" si="693"/>
        <v/>
      </c>
    </row>
    <row r="44370" spans="26:26" x14ac:dyDescent="0.2">
      <c r="Z44370" t="str">
        <f t="shared" si="693"/>
        <v/>
      </c>
    </row>
    <row r="44371" spans="26:26" x14ac:dyDescent="0.2">
      <c r="Z44371" t="str">
        <f t="shared" si="693"/>
        <v/>
      </c>
    </row>
    <row r="44372" spans="26:26" x14ac:dyDescent="0.2">
      <c r="Z44372" t="str">
        <f t="shared" si="693"/>
        <v/>
      </c>
    </row>
    <row r="44373" spans="26:26" x14ac:dyDescent="0.2">
      <c r="Z44373" t="str">
        <f t="shared" si="693"/>
        <v/>
      </c>
    </row>
    <row r="44374" spans="26:26" x14ac:dyDescent="0.2">
      <c r="Z44374" t="str">
        <f t="shared" si="693"/>
        <v/>
      </c>
    </row>
    <row r="44375" spans="26:26" x14ac:dyDescent="0.2">
      <c r="Z44375" t="str">
        <f t="shared" si="693"/>
        <v/>
      </c>
    </row>
    <row r="44376" spans="26:26" x14ac:dyDescent="0.2">
      <c r="Z44376" t="str">
        <f t="shared" si="693"/>
        <v/>
      </c>
    </row>
    <row r="44377" spans="26:26" x14ac:dyDescent="0.2">
      <c r="Z44377" t="str">
        <f t="shared" si="693"/>
        <v/>
      </c>
    </row>
    <row r="44378" spans="26:26" x14ac:dyDescent="0.2">
      <c r="Z44378" t="str">
        <f t="shared" si="693"/>
        <v/>
      </c>
    </row>
    <row r="44379" spans="26:26" x14ac:dyDescent="0.2">
      <c r="Z44379" t="str">
        <f t="shared" si="693"/>
        <v/>
      </c>
    </row>
    <row r="44380" spans="26:26" x14ac:dyDescent="0.2">
      <c r="Z44380" t="str">
        <f t="shared" si="693"/>
        <v/>
      </c>
    </row>
    <row r="44381" spans="26:26" x14ac:dyDescent="0.2">
      <c r="Z44381" t="str">
        <f t="shared" si="693"/>
        <v/>
      </c>
    </row>
    <row r="44382" spans="26:26" x14ac:dyDescent="0.2">
      <c r="Z44382" t="str">
        <f t="shared" si="693"/>
        <v/>
      </c>
    </row>
    <row r="44383" spans="26:26" x14ac:dyDescent="0.2">
      <c r="Z44383" t="str">
        <f t="shared" si="693"/>
        <v/>
      </c>
    </row>
    <row r="44384" spans="26:26" x14ac:dyDescent="0.2">
      <c r="Z44384" t="str">
        <f t="shared" si="693"/>
        <v/>
      </c>
    </row>
    <row r="44385" spans="26:26" x14ac:dyDescent="0.2">
      <c r="Z44385" t="str">
        <f t="shared" si="693"/>
        <v/>
      </c>
    </row>
    <row r="44386" spans="26:26" x14ac:dyDescent="0.2">
      <c r="Z44386" t="str">
        <f t="shared" si="693"/>
        <v/>
      </c>
    </row>
    <row r="44387" spans="26:26" x14ac:dyDescent="0.2">
      <c r="Z44387" t="str">
        <f t="shared" si="693"/>
        <v/>
      </c>
    </row>
    <row r="44388" spans="26:26" x14ac:dyDescent="0.2">
      <c r="Z44388" t="str">
        <f t="shared" si="693"/>
        <v/>
      </c>
    </row>
    <row r="44389" spans="26:26" x14ac:dyDescent="0.2">
      <c r="Z44389" t="str">
        <f t="shared" si="693"/>
        <v/>
      </c>
    </row>
    <row r="44390" spans="26:26" x14ac:dyDescent="0.2">
      <c r="Z44390" t="str">
        <f t="shared" si="693"/>
        <v/>
      </c>
    </row>
    <row r="44391" spans="26:26" x14ac:dyDescent="0.2">
      <c r="Z44391" t="str">
        <f t="shared" si="693"/>
        <v/>
      </c>
    </row>
    <row r="44392" spans="26:26" x14ac:dyDescent="0.2">
      <c r="Z44392" t="str">
        <f t="shared" si="693"/>
        <v/>
      </c>
    </row>
    <row r="44393" spans="26:26" x14ac:dyDescent="0.2">
      <c r="Z44393" t="str">
        <f t="shared" si="693"/>
        <v/>
      </c>
    </row>
    <row r="44394" spans="26:26" x14ac:dyDescent="0.2">
      <c r="Z44394" t="str">
        <f t="shared" si="693"/>
        <v/>
      </c>
    </row>
    <row r="44395" spans="26:26" x14ac:dyDescent="0.2">
      <c r="Z44395" t="str">
        <f t="shared" si="693"/>
        <v/>
      </c>
    </row>
    <row r="44396" spans="26:26" x14ac:dyDescent="0.2">
      <c r="Z44396" t="str">
        <f t="shared" si="693"/>
        <v/>
      </c>
    </row>
    <row r="44397" spans="26:26" x14ac:dyDescent="0.2">
      <c r="Z44397" t="str">
        <f t="shared" si="693"/>
        <v/>
      </c>
    </row>
    <row r="44398" spans="26:26" x14ac:dyDescent="0.2">
      <c r="Z44398" t="str">
        <f t="shared" si="693"/>
        <v/>
      </c>
    </row>
    <row r="44399" spans="26:26" x14ac:dyDescent="0.2">
      <c r="Z44399" t="str">
        <f t="shared" si="693"/>
        <v/>
      </c>
    </row>
    <row r="44400" spans="26:26" x14ac:dyDescent="0.2">
      <c r="Z44400" t="str">
        <f t="shared" si="693"/>
        <v/>
      </c>
    </row>
    <row r="44401" spans="26:26" x14ac:dyDescent="0.2">
      <c r="Z44401" t="str">
        <f t="shared" si="693"/>
        <v/>
      </c>
    </row>
    <row r="44402" spans="26:26" x14ac:dyDescent="0.2">
      <c r="Z44402" t="str">
        <f t="shared" si="693"/>
        <v/>
      </c>
    </row>
    <row r="44403" spans="26:26" x14ac:dyDescent="0.2">
      <c r="Z44403" t="str">
        <f t="shared" si="693"/>
        <v/>
      </c>
    </row>
    <row r="44404" spans="26:26" x14ac:dyDescent="0.2">
      <c r="Z44404" t="str">
        <f t="shared" si="693"/>
        <v/>
      </c>
    </row>
    <row r="44405" spans="26:26" x14ac:dyDescent="0.2">
      <c r="Z44405" t="str">
        <f t="shared" si="693"/>
        <v/>
      </c>
    </row>
    <row r="44406" spans="26:26" x14ac:dyDescent="0.2">
      <c r="Z44406" t="str">
        <f t="shared" si="693"/>
        <v/>
      </c>
    </row>
    <row r="44407" spans="26:26" x14ac:dyDescent="0.2">
      <c r="Z44407" t="str">
        <f t="shared" si="693"/>
        <v/>
      </c>
    </row>
    <row r="44408" spans="26:26" x14ac:dyDescent="0.2">
      <c r="Z44408" t="str">
        <f t="shared" si="693"/>
        <v/>
      </c>
    </row>
    <row r="44409" spans="26:26" x14ac:dyDescent="0.2">
      <c r="Z44409" t="str">
        <f t="shared" si="693"/>
        <v/>
      </c>
    </row>
    <row r="44410" spans="26:26" x14ac:dyDescent="0.2">
      <c r="Z44410" t="str">
        <f t="shared" si="693"/>
        <v/>
      </c>
    </row>
    <row r="44411" spans="26:26" x14ac:dyDescent="0.2">
      <c r="Z44411" t="str">
        <f t="shared" si="693"/>
        <v/>
      </c>
    </row>
    <row r="44412" spans="26:26" x14ac:dyDescent="0.2">
      <c r="Z44412" t="str">
        <f t="shared" si="693"/>
        <v/>
      </c>
    </row>
    <row r="44413" spans="26:26" x14ac:dyDescent="0.2">
      <c r="Z44413" t="str">
        <f t="shared" si="693"/>
        <v/>
      </c>
    </row>
    <row r="44414" spans="26:26" x14ac:dyDescent="0.2">
      <c r="Z44414" t="str">
        <f t="shared" si="693"/>
        <v/>
      </c>
    </row>
    <row r="44415" spans="26:26" x14ac:dyDescent="0.2">
      <c r="Z44415" t="str">
        <f t="shared" si="693"/>
        <v/>
      </c>
    </row>
    <row r="44416" spans="26:26" x14ac:dyDescent="0.2">
      <c r="Z44416" t="str">
        <f t="shared" si="693"/>
        <v/>
      </c>
    </row>
    <row r="44417" spans="26:26" x14ac:dyDescent="0.2">
      <c r="Z44417" t="str">
        <f t="shared" si="693"/>
        <v/>
      </c>
    </row>
    <row r="44418" spans="26:26" x14ac:dyDescent="0.2">
      <c r="Z44418" t="str">
        <f t="shared" si="693"/>
        <v/>
      </c>
    </row>
    <row r="44419" spans="26:26" x14ac:dyDescent="0.2">
      <c r="Z44419" t="str">
        <f t="shared" ref="Z44419:Z44482" si="694">IF(K44419="","",IFERROR(VALUE(TRIM(MID(K44419,FIND(CHAR(167),SUBSTITUTE(K44419,"-",CHAR(167),LEN(K44419)-LEN(SUBSTITUTE(K44419,"-",""))))+1,100))),K44419))</f>
        <v/>
      </c>
    </row>
    <row r="44420" spans="26:26" x14ac:dyDescent="0.2">
      <c r="Z44420" t="str">
        <f t="shared" si="694"/>
        <v/>
      </c>
    </row>
    <row r="44421" spans="26:26" x14ac:dyDescent="0.2">
      <c r="Z44421" t="str">
        <f t="shared" si="694"/>
        <v/>
      </c>
    </row>
    <row r="44422" spans="26:26" x14ac:dyDescent="0.2">
      <c r="Z44422" t="str">
        <f t="shared" si="694"/>
        <v/>
      </c>
    </row>
    <row r="44423" spans="26:26" x14ac:dyDescent="0.2">
      <c r="Z44423" t="str">
        <f t="shared" si="694"/>
        <v/>
      </c>
    </row>
    <row r="44424" spans="26:26" x14ac:dyDescent="0.2">
      <c r="Z44424" t="str">
        <f t="shared" si="694"/>
        <v/>
      </c>
    </row>
    <row r="44425" spans="26:26" x14ac:dyDescent="0.2">
      <c r="Z44425" t="str">
        <f t="shared" si="694"/>
        <v/>
      </c>
    </row>
    <row r="44426" spans="26:26" x14ac:dyDescent="0.2">
      <c r="Z44426" t="str">
        <f t="shared" si="694"/>
        <v/>
      </c>
    </row>
    <row r="44427" spans="26:26" x14ac:dyDescent="0.2">
      <c r="Z44427" t="str">
        <f t="shared" si="694"/>
        <v/>
      </c>
    </row>
    <row r="44428" spans="26:26" x14ac:dyDescent="0.2">
      <c r="Z44428" t="str">
        <f t="shared" si="694"/>
        <v/>
      </c>
    </row>
    <row r="44429" spans="26:26" x14ac:dyDescent="0.2">
      <c r="Z44429" t="str">
        <f t="shared" si="694"/>
        <v/>
      </c>
    </row>
    <row r="44430" spans="26:26" x14ac:dyDescent="0.2">
      <c r="Z44430" t="str">
        <f t="shared" si="694"/>
        <v/>
      </c>
    </row>
    <row r="44431" spans="26:26" x14ac:dyDescent="0.2">
      <c r="Z44431" t="str">
        <f t="shared" si="694"/>
        <v/>
      </c>
    </row>
    <row r="44432" spans="26:26" x14ac:dyDescent="0.2">
      <c r="Z44432" t="str">
        <f t="shared" si="694"/>
        <v/>
      </c>
    </row>
    <row r="44433" spans="26:26" x14ac:dyDescent="0.2">
      <c r="Z44433" t="str">
        <f t="shared" si="694"/>
        <v/>
      </c>
    </row>
    <row r="44434" spans="26:26" x14ac:dyDescent="0.2">
      <c r="Z44434" t="str">
        <f t="shared" si="694"/>
        <v/>
      </c>
    </row>
    <row r="44435" spans="26:26" x14ac:dyDescent="0.2">
      <c r="Z44435" t="str">
        <f t="shared" si="694"/>
        <v/>
      </c>
    </row>
    <row r="44436" spans="26:26" x14ac:dyDescent="0.2">
      <c r="Z44436" t="str">
        <f t="shared" si="694"/>
        <v/>
      </c>
    </row>
    <row r="44437" spans="26:26" x14ac:dyDescent="0.2">
      <c r="Z44437" t="str">
        <f t="shared" si="694"/>
        <v/>
      </c>
    </row>
    <row r="44438" spans="26:26" x14ac:dyDescent="0.2">
      <c r="Z44438" t="str">
        <f t="shared" si="694"/>
        <v/>
      </c>
    </row>
    <row r="44439" spans="26:26" x14ac:dyDescent="0.2">
      <c r="Z44439" t="str">
        <f t="shared" si="694"/>
        <v/>
      </c>
    </row>
    <row r="44440" spans="26:26" x14ac:dyDescent="0.2">
      <c r="Z44440" t="str">
        <f t="shared" si="694"/>
        <v/>
      </c>
    </row>
    <row r="44441" spans="26:26" x14ac:dyDescent="0.2">
      <c r="Z44441" t="str">
        <f t="shared" si="694"/>
        <v/>
      </c>
    </row>
    <row r="44442" spans="26:26" x14ac:dyDescent="0.2">
      <c r="Z44442" t="str">
        <f t="shared" si="694"/>
        <v/>
      </c>
    </row>
    <row r="44443" spans="26:26" x14ac:dyDescent="0.2">
      <c r="Z44443" t="str">
        <f t="shared" si="694"/>
        <v/>
      </c>
    </row>
    <row r="44444" spans="26:26" x14ac:dyDescent="0.2">
      <c r="Z44444" t="str">
        <f t="shared" si="694"/>
        <v/>
      </c>
    </row>
    <row r="44445" spans="26:26" x14ac:dyDescent="0.2">
      <c r="Z44445" t="str">
        <f t="shared" si="694"/>
        <v/>
      </c>
    </row>
    <row r="44446" spans="26:26" x14ac:dyDescent="0.2">
      <c r="Z44446" t="str">
        <f t="shared" si="694"/>
        <v/>
      </c>
    </row>
    <row r="44447" spans="26:26" x14ac:dyDescent="0.2">
      <c r="Z44447" t="str">
        <f t="shared" si="694"/>
        <v/>
      </c>
    </row>
    <row r="44448" spans="26:26" x14ac:dyDescent="0.2">
      <c r="Z44448" t="str">
        <f t="shared" si="694"/>
        <v/>
      </c>
    </row>
    <row r="44449" spans="26:26" x14ac:dyDescent="0.2">
      <c r="Z44449" t="str">
        <f t="shared" si="694"/>
        <v/>
      </c>
    </row>
    <row r="44450" spans="26:26" x14ac:dyDescent="0.2">
      <c r="Z44450" t="str">
        <f t="shared" si="694"/>
        <v/>
      </c>
    </row>
    <row r="44451" spans="26:26" x14ac:dyDescent="0.2">
      <c r="Z44451" t="str">
        <f t="shared" si="694"/>
        <v/>
      </c>
    </row>
    <row r="44452" spans="26:26" x14ac:dyDescent="0.2">
      <c r="Z44452" t="str">
        <f t="shared" si="694"/>
        <v/>
      </c>
    </row>
    <row r="44453" spans="26:26" x14ac:dyDescent="0.2">
      <c r="Z44453" t="str">
        <f t="shared" si="694"/>
        <v/>
      </c>
    </row>
    <row r="44454" spans="26:26" x14ac:dyDescent="0.2">
      <c r="Z44454" t="str">
        <f t="shared" si="694"/>
        <v/>
      </c>
    </row>
    <row r="44455" spans="26:26" x14ac:dyDescent="0.2">
      <c r="Z44455" t="str">
        <f t="shared" si="694"/>
        <v/>
      </c>
    </row>
    <row r="44456" spans="26:26" x14ac:dyDescent="0.2">
      <c r="Z44456" t="str">
        <f t="shared" si="694"/>
        <v/>
      </c>
    </row>
    <row r="44457" spans="26:26" x14ac:dyDescent="0.2">
      <c r="Z44457" t="str">
        <f t="shared" si="694"/>
        <v/>
      </c>
    </row>
    <row r="44458" spans="26:26" x14ac:dyDescent="0.2">
      <c r="Z44458" t="str">
        <f t="shared" si="694"/>
        <v/>
      </c>
    </row>
    <row r="44459" spans="26:26" x14ac:dyDescent="0.2">
      <c r="Z44459" t="str">
        <f t="shared" si="694"/>
        <v/>
      </c>
    </row>
    <row r="44460" spans="26:26" x14ac:dyDescent="0.2">
      <c r="Z44460" t="str">
        <f t="shared" si="694"/>
        <v/>
      </c>
    </row>
    <row r="44461" spans="26:26" x14ac:dyDescent="0.2">
      <c r="Z44461" t="str">
        <f t="shared" si="694"/>
        <v/>
      </c>
    </row>
    <row r="44462" spans="26:26" x14ac:dyDescent="0.2">
      <c r="Z44462" t="str">
        <f t="shared" si="694"/>
        <v/>
      </c>
    </row>
    <row r="44463" spans="26:26" x14ac:dyDescent="0.2">
      <c r="Z44463" t="str">
        <f t="shared" si="694"/>
        <v/>
      </c>
    </row>
    <row r="44464" spans="26:26" x14ac:dyDescent="0.2">
      <c r="Z44464" t="str">
        <f t="shared" si="694"/>
        <v/>
      </c>
    </row>
    <row r="44465" spans="26:26" x14ac:dyDescent="0.2">
      <c r="Z44465" t="str">
        <f t="shared" si="694"/>
        <v/>
      </c>
    </row>
    <row r="44466" spans="26:26" x14ac:dyDescent="0.2">
      <c r="Z44466" t="str">
        <f t="shared" si="694"/>
        <v/>
      </c>
    </row>
    <row r="44467" spans="26:26" x14ac:dyDescent="0.2">
      <c r="Z44467" t="str">
        <f t="shared" si="694"/>
        <v/>
      </c>
    </row>
    <row r="44468" spans="26:26" x14ac:dyDescent="0.2">
      <c r="Z44468" t="str">
        <f t="shared" si="694"/>
        <v/>
      </c>
    </row>
    <row r="44469" spans="26:26" x14ac:dyDescent="0.2">
      <c r="Z44469" t="str">
        <f t="shared" si="694"/>
        <v/>
      </c>
    </row>
    <row r="44470" spans="26:26" x14ac:dyDescent="0.2">
      <c r="Z44470" t="str">
        <f t="shared" si="694"/>
        <v/>
      </c>
    </row>
    <row r="44471" spans="26:26" x14ac:dyDescent="0.2">
      <c r="Z44471" t="str">
        <f t="shared" si="694"/>
        <v/>
      </c>
    </row>
    <row r="44472" spans="26:26" x14ac:dyDescent="0.2">
      <c r="Z44472" t="str">
        <f t="shared" si="694"/>
        <v/>
      </c>
    </row>
    <row r="44473" spans="26:26" x14ac:dyDescent="0.2">
      <c r="Z44473" t="str">
        <f t="shared" si="694"/>
        <v/>
      </c>
    </row>
    <row r="44474" spans="26:26" x14ac:dyDescent="0.2">
      <c r="Z44474" t="str">
        <f t="shared" si="694"/>
        <v/>
      </c>
    </row>
    <row r="44475" spans="26:26" x14ac:dyDescent="0.2">
      <c r="Z44475" t="str">
        <f t="shared" si="694"/>
        <v/>
      </c>
    </row>
    <row r="44476" spans="26:26" x14ac:dyDescent="0.2">
      <c r="Z44476" t="str">
        <f t="shared" si="694"/>
        <v/>
      </c>
    </row>
    <row r="44477" spans="26:26" x14ac:dyDescent="0.2">
      <c r="Z44477" t="str">
        <f t="shared" si="694"/>
        <v/>
      </c>
    </row>
    <row r="44478" spans="26:26" x14ac:dyDescent="0.2">
      <c r="Z44478" t="str">
        <f t="shared" si="694"/>
        <v/>
      </c>
    </row>
    <row r="44479" spans="26:26" x14ac:dyDescent="0.2">
      <c r="Z44479" t="str">
        <f t="shared" si="694"/>
        <v/>
      </c>
    </row>
    <row r="44480" spans="26:26" x14ac:dyDescent="0.2">
      <c r="Z44480" t="str">
        <f t="shared" si="694"/>
        <v/>
      </c>
    </row>
    <row r="44481" spans="26:26" x14ac:dyDescent="0.2">
      <c r="Z44481" t="str">
        <f t="shared" si="694"/>
        <v/>
      </c>
    </row>
    <row r="44482" spans="26:26" x14ac:dyDescent="0.2">
      <c r="Z44482" t="str">
        <f t="shared" si="694"/>
        <v/>
      </c>
    </row>
    <row r="44483" spans="26:26" x14ac:dyDescent="0.2">
      <c r="Z44483" t="str">
        <f t="shared" ref="Z44483:Z44546" si="695">IF(K44483="","",IFERROR(VALUE(TRIM(MID(K44483,FIND(CHAR(167),SUBSTITUTE(K44483,"-",CHAR(167),LEN(K44483)-LEN(SUBSTITUTE(K44483,"-",""))))+1,100))),K44483))</f>
        <v/>
      </c>
    </row>
    <row r="44484" spans="26:26" x14ac:dyDescent="0.2">
      <c r="Z44484" t="str">
        <f t="shared" si="695"/>
        <v/>
      </c>
    </row>
    <row r="44485" spans="26:26" x14ac:dyDescent="0.2">
      <c r="Z44485" t="str">
        <f t="shared" si="695"/>
        <v/>
      </c>
    </row>
    <row r="44486" spans="26:26" x14ac:dyDescent="0.2">
      <c r="Z44486" t="str">
        <f t="shared" si="695"/>
        <v/>
      </c>
    </row>
    <row r="44487" spans="26:26" x14ac:dyDescent="0.2">
      <c r="Z44487" t="str">
        <f t="shared" si="695"/>
        <v/>
      </c>
    </row>
    <row r="44488" spans="26:26" x14ac:dyDescent="0.2">
      <c r="Z44488" t="str">
        <f t="shared" si="695"/>
        <v/>
      </c>
    </row>
    <row r="44489" spans="26:26" x14ac:dyDescent="0.2">
      <c r="Z44489" t="str">
        <f t="shared" si="695"/>
        <v/>
      </c>
    </row>
    <row r="44490" spans="26:26" x14ac:dyDescent="0.2">
      <c r="Z44490" t="str">
        <f t="shared" si="695"/>
        <v/>
      </c>
    </row>
    <row r="44491" spans="26:26" x14ac:dyDescent="0.2">
      <c r="Z44491" t="str">
        <f t="shared" si="695"/>
        <v/>
      </c>
    </row>
    <row r="44492" spans="26:26" x14ac:dyDescent="0.2">
      <c r="Z44492" t="str">
        <f t="shared" si="695"/>
        <v/>
      </c>
    </row>
    <row r="44493" spans="26:26" x14ac:dyDescent="0.2">
      <c r="Z44493" t="str">
        <f t="shared" si="695"/>
        <v/>
      </c>
    </row>
    <row r="44494" spans="26:26" x14ac:dyDescent="0.2">
      <c r="Z44494" t="str">
        <f t="shared" si="695"/>
        <v/>
      </c>
    </row>
    <row r="44495" spans="26:26" x14ac:dyDescent="0.2">
      <c r="Z44495" t="str">
        <f t="shared" si="695"/>
        <v/>
      </c>
    </row>
    <row r="44496" spans="26:26" x14ac:dyDescent="0.2">
      <c r="Z44496" t="str">
        <f t="shared" si="695"/>
        <v/>
      </c>
    </row>
    <row r="44497" spans="26:26" x14ac:dyDescent="0.2">
      <c r="Z44497" t="str">
        <f t="shared" si="695"/>
        <v/>
      </c>
    </row>
    <row r="44498" spans="26:26" x14ac:dyDescent="0.2">
      <c r="Z44498" t="str">
        <f t="shared" si="695"/>
        <v/>
      </c>
    </row>
    <row r="44499" spans="26:26" x14ac:dyDescent="0.2">
      <c r="Z44499" t="str">
        <f t="shared" si="695"/>
        <v/>
      </c>
    </row>
    <row r="44500" spans="26:26" x14ac:dyDescent="0.2">
      <c r="Z44500" t="str">
        <f t="shared" si="695"/>
        <v/>
      </c>
    </row>
    <row r="44501" spans="26:26" x14ac:dyDescent="0.2">
      <c r="Z44501" t="str">
        <f t="shared" si="695"/>
        <v/>
      </c>
    </row>
    <row r="44502" spans="26:26" x14ac:dyDescent="0.2">
      <c r="Z44502" t="str">
        <f t="shared" si="695"/>
        <v/>
      </c>
    </row>
    <row r="44503" spans="26:26" x14ac:dyDescent="0.2">
      <c r="Z44503" t="str">
        <f t="shared" si="695"/>
        <v/>
      </c>
    </row>
    <row r="44504" spans="26:26" x14ac:dyDescent="0.2">
      <c r="Z44504" t="str">
        <f t="shared" si="695"/>
        <v/>
      </c>
    </row>
    <row r="44505" spans="26:26" x14ac:dyDescent="0.2">
      <c r="Z44505" t="str">
        <f t="shared" si="695"/>
        <v/>
      </c>
    </row>
    <row r="44506" spans="26:26" x14ac:dyDescent="0.2">
      <c r="Z44506" t="str">
        <f t="shared" si="695"/>
        <v/>
      </c>
    </row>
    <row r="44507" spans="26:26" x14ac:dyDescent="0.2">
      <c r="Z44507" t="str">
        <f t="shared" si="695"/>
        <v/>
      </c>
    </row>
    <row r="44508" spans="26:26" x14ac:dyDescent="0.2">
      <c r="Z44508" t="str">
        <f t="shared" si="695"/>
        <v/>
      </c>
    </row>
    <row r="44509" spans="26:26" x14ac:dyDescent="0.2">
      <c r="Z44509" t="str">
        <f t="shared" si="695"/>
        <v/>
      </c>
    </row>
    <row r="44510" spans="26:26" x14ac:dyDescent="0.2">
      <c r="Z44510" t="str">
        <f t="shared" si="695"/>
        <v/>
      </c>
    </row>
    <row r="44511" spans="26:26" x14ac:dyDescent="0.2">
      <c r="Z44511" t="str">
        <f t="shared" si="695"/>
        <v/>
      </c>
    </row>
    <row r="44512" spans="26:26" x14ac:dyDescent="0.2">
      <c r="Z44512" t="str">
        <f t="shared" si="695"/>
        <v/>
      </c>
    </row>
    <row r="44513" spans="26:26" x14ac:dyDescent="0.2">
      <c r="Z44513" t="str">
        <f t="shared" si="695"/>
        <v/>
      </c>
    </row>
    <row r="44514" spans="26:26" x14ac:dyDescent="0.2">
      <c r="Z44514" t="str">
        <f t="shared" si="695"/>
        <v/>
      </c>
    </row>
    <row r="44515" spans="26:26" x14ac:dyDescent="0.2">
      <c r="Z44515" t="str">
        <f t="shared" si="695"/>
        <v/>
      </c>
    </row>
    <row r="44516" spans="26:26" x14ac:dyDescent="0.2">
      <c r="Z44516" t="str">
        <f t="shared" si="695"/>
        <v/>
      </c>
    </row>
    <row r="44517" spans="26:26" x14ac:dyDescent="0.2">
      <c r="Z44517" t="str">
        <f t="shared" si="695"/>
        <v/>
      </c>
    </row>
    <row r="44518" spans="26:26" x14ac:dyDescent="0.2">
      <c r="Z44518" t="str">
        <f t="shared" si="695"/>
        <v/>
      </c>
    </row>
    <row r="44519" spans="26:26" x14ac:dyDescent="0.2">
      <c r="Z44519" t="str">
        <f t="shared" si="695"/>
        <v/>
      </c>
    </row>
    <row r="44520" spans="26:26" x14ac:dyDescent="0.2">
      <c r="Z44520" t="str">
        <f t="shared" si="695"/>
        <v/>
      </c>
    </row>
    <row r="44521" spans="26:26" x14ac:dyDescent="0.2">
      <c r="Z44521" t="str">
        <f t="shared" si="695"/>
        <v/>
      </c>
    </row>
    <row r="44522" spans="26:26" x14ac:dyDescent="0.2">
      <c r="Z44522" t="str">
        <f t="shared" si="695"/>
        <v/>
      </c>
    </row>
    <row r="44523" spans="26:26" x14ac:dyDescent="0.2">
      <c r="Z44523" t="str">
        <f t="shared" si="695"/>
        <v/>
      </c>
    </row>
    <row r="44524" spans="26:26" x14ac:dyDescent="0.2">
      <c r="Z44524" t="str">
        <f t="shared" si="695"/>
        <v/>
      </c>
    </row>
    <row r="44525" spans="26:26" x14ac:dyDescent="0.2">
      <c r="Z44525" t="str">
        <f t="shared" si="695"/>
        <v/>
      </c>
    </row>
    <row r="44526" spans="26:26" x14ac:dyDescent="0.2">
      <c r="Z44526" t="str">
        <f t="shared" si="695"/>
        <v/>
      </c>
    </row>
    <row r="44527" spans="26:26" x14ac:dyDescent="0.2">
      <c r="Z44527" t="str">
        <f t="shared" si="695"/>
        <v/>
      </c>
    </row>
    <row r="44528" spans="26:26" x14ac:dyDescent="0.2">
      <c r="Z44528" t="str">
        <f t="shared" si="695"/>
        <v/>
      </c>
    </row>
    <row r="44529" spans="26:26" x14ac:dyDescent="0.2">
      <c r="Z44529" t="str">
        <f t="shared" si="695"/>
        <v/>
      </c>
    </row>
    <row r="44530" spans="26:26" x14ac:dyDescent="0.2">
      <c r="Z44530" t="str">
        <f t="shared" si="695"/>
        <v/>
      </c>
    </row>
    <row r="44531" spans="26:26" x14ac:dyDescent="0.2">
      <c r="Z44531" t="str">
        <f t="shared" si="695"/>
        <v/>
      </c>
    </row>
    <row r="44532" spans="26:26" x14ac:dyDescent="0.2">
      <c r="Z44532" t="str">
        <f t="shared" si="695"/>
        <v/>
      </c>
    </row>
    <row r="44533" spans="26:26" x14ac:dyDescent="0.2">
      <c r="Z44533" t="str">
        <f t="shared" si="695"/>
        <v/>
      </c>
    </row>
    <row r="44534" spans="26:26" x14ac:dyDescent="0.2">
      <c r="Z44534" t="str">
        <f t="shared" si="695"/>
        <v/>
      </c>
    </row>
    <row r="44535" spans="26:26" x14ac:dyDescent="0.2">
      <c r="Z44535" t="str">
        <f t="shared" si="695"/>
        <v/>
      </c>
    </row>
    <row r="44536" spans="26:26" x14ac:dyDescent="0.2">
      <c r="Z44536" t="str">
        <f t="shared" si="695"/>
        <v/>
      </c>
    </row>
    <row r="44537" spans="26:26" x14ac:dyDescent="0.2">
      <c r="Z44537" t="str">
        <f t="shared" si="695"/>
        <v/>
      </c>
    </row>
    <row r="44538" spans="26:26" x14ac:dyDescent="0.2">
      <c r="Z44538" t="str">
        <f t="shared" si="695"/>
        <v/>
      </c>
    </row>
    <row r="44539" spans="26:26" x14ac:dyDescent="0.2">
      <c r="Z44539" t="str">
        <f t="shared" si="695"/>
        <v/>
      </c>
    </row>
    <row r="44540" spans="26:26" x14ac:dyDescent="0.2">
      <c r="Z44540" t="str">
        <f t="shared" si="695"/>
        <v/>
      </c>
    </row>
    <row r="44541" spans="26:26" x14ac:dyDescent="0.2">
      <c r="Z44541" t="str">
        <f t="shared" si="695"/>
        <v/>
      </c>
    </row>
    <row r="44542" spans="26:26" x14ac:dyDescent="0.2">
      <c r="Z44542" t="str">
        <f t="shared" si="695"/>
        <v/>
      </c>
    </row>
    <row r="44543" spans="26:26" x14ac:dyDescent="0.2">
      <c r="Z44543" t="str">
        <f t="shared" si="695"/>
        <v/>
      </c>
    </row>
    <row r="44544" spans="26:26" x14ac:dyDescent="0.2">
      <c r="Z44544" t="str">
        <f t="shared" si="695"/>
        <v/>
      </c>
    </row>
    <row r="44545" spans="26:26" x14ac:dyDescent="0.2">
      <c r="Z44545" t="str">
        <f t="shared" si="695"/>
        <v/>
      </c>
    </row>
    <row r="44546" spans="26:26" x14ac:dyDescent="0.2">
      <c r="Z44546" t="str">
        <f t="shared" si="695"/>
        <v/>
      </c>
    </row>
    <row r="44547" spans="26:26" x14ac:dyDescent="0.2">
      <c r="Z44547" t="str">
        <f t="shared" ref="Z44547:Z44610" si="696">IF(K44547="","",IFERROR(VALUE(TRIM(MID(K44547,FIND(CHAR(167),SUBSTITUTE(K44547,"-",CHAR(167),LEN(K44547)-LEN(SUBSTITUTE(K44547,"-",""))))+1,100))),K44547))</f>
        <v/>
      </c>
    </row>
    <row r="44548" spans="26:26" x14ac:dyDescent="0.2">
      <c r="Z44548" t="str">
        <f t="shared" si="696"/>
        <v/>
      </c>
    </row>
    <row r="44549" spans="26:26" x14ac:dyDescent="0.2">
      <c r="Z44549" t="str">
        <f t="shared" si="696"/>
        <v/>
      </c>
    </row>
    <row r="44550" spans="26:26" x14ac:dyDescent="0.2">
      <c r="Z44550" t="str">
        <f t="shared" si="696"/>
        <v/>
      </c>
    </row>
    <row r="44551" spans="26:26" x14ac:dyDescent="0.2">
      <c r="Z44551" t="str">
        <f t="shared" si="696"/>
        <v/>
      </c>
    </row>
    <row r="44552" spans="26:26" x14ac:dyDescent="0.2">
      <c r="Z44552" t="str">
        <f t="shared" si="696"/>
        <v/>
      </c>
    </row>
    <row r="44553" spans="26:26" x14ac:dyDescent="0.2">
      <c r="Z44553" t="str">
        <f t="shared" si="696"/>
        <v/>
      </c>
    </row>
    <row r="44554" spans="26:26" x14ac:dyDescent="0.2">
      <c r="Z44554" t="str">
        <f t="shared" si="696"/>
        <v/>
      </c>
    </row>
    <row r="44555" spans="26:26" x14ac:dyDescent="0.2">
      <c r="Z44555" t="str">
        <f t="shared" si="696"/>
        <v/>
      </c>
    </row>
    <row r="44556" spans="26:26" x14ac:dyDescent="0.2">
      <c r="Z44556" t="str">
        <f t="shared" si="696"/>
        <v/>
      </c>
    </row>
    <row r="44557" spans="26:26" x14ac:dyDescent="0.2">
      <c r="Z44557" t="str">
        <f t="shared" si="696"/>
        <v/>
      </c>
    </row>
    <row r="44558" spans="26:26" x14ac:dyDescent="0.2">
      <c r="Z44558" t="str">
        <f t="shared" si="696"/>
        <v/>
      </c>
    </row>
    <row r="44559" spans="26:26" x14ac:dyDescent="0.2">
      <c r="Z44559" t="str">
        <f t="shared" si="696"/>
        <v/>
      </c>
    </row>
    <row r="44560" spans="26:26" x14ac:dyDescent="0.2">
      <c r="Z44560" t="str">
        <f t="shared" si="696"/>
        <v/>
      </c>
    </row>
    <row r="44561" spans="26:26" x14ac:dyDescent="0.2">
      <c r="Z44561" t="str">
        <f t="shared" si="696"/>
        <v/>
      </c>
    </row>
    <row r="44562" spans="26:26" x14ac:dyDescent="0.2">
      <c r="Z44562" t="str">
        <f t="shared" si="696"/>
        <v/>
      </c>
    </row>
    <row r="44563" spans="26:26" x14ac:dyDescent="0.2">
      <c r="Z44563" t="str">
        <f t="shared" si="696"/>
        <v/>
      </c>
    </row>
    <row r="44564" spans="26:26" x14ac:dyDescent="0.2">
      <c r="Z44564" t="str">
        <f t="shared" si="696"/>
        <v/>
      </c>
    </row>
    <row r="44565" spans="26:26" x14ac:dyDescent="0.2">
      <c r="Z44565" t="str">
        <f t="shared" si="696"/>
        <v/>
      </c>
    </row>
    <row r="44566" spans="26:26" x14ac:dyDescent="0.2">
      <c r="Z44566" t="str">
        <f t="shared" si="696"/>
        <v/>
      </c>
    </row>
    <row r="44567" spans="26:26" x14ac:dyDescent="0.2">
      <c r="Z44567" t="str">
        <f t="shared" si="696"/>
        <v/>
      </c>
    </row>
    <row r="44568" spans="26:26" x14ac:dyDescent="0.2">
      <c r="Z44568" t="str">
        <f t="shared" si="696"/>
        <v/>
      </c>
    </row>
    <row r="44569" spans="26:26" x14ac:dyDescent="0.2">
      <c r="Z44569" t="str">
        <f t="shared" si="696"/>
        <v/>
      </c>
    </row>
    <row r="44570" spans="26:26" x14ac:dyDescent="0.2">
      <c r="Z44570" t="str">
        <f t="shared" si="696"/>
        <v/>
      </c>
    </row>
    <row r="44571" spans="26:26" x14ac:dyDescent="0.2">
      <c r="Z44571" t="str">
        <f t="shared" si="696"/>
        <v/>
      </c>
    </row>
    <row r="44572" spans="26:26" x14ac:dyDescent="0.2">
      <c r="Z44572" t="str">
        <f t="shared" si="696"/>
        <v/>
      </c>
    </row>
    <row r="44573" spans="26:26" x14ac:dyDescent="0.2">
      <c r="Z44573" t="str">
        <f t="shared" si="696"/>
        <v/>
      </c>
    </row>
    <row r="44574" spans="26:26" x14ac:dyDescent="0.2">
      <c r="Z44574" t="str">
        <f t="shared" si="696"/>
        <v/>
      </c>
    </row>
    <row r="44575" spans="26:26" x14ac:dyDescent="0.2">
      <c r="Z44575" t="str">
        <f t="shared" si="696"/>
        <v/>
      </c>
    </row>
    <row r="44576" spans="26:26" x14ac:dyDescent="0.2">
      <c r="Z44576" t="str">
        <f t="shared" si="696"/>
        <v/>
      </c>
    </row>
    <row r="44577" spans="26:26" x14ac:dyDescent="0.2">
      <c r="Z44577" t="str">
        <f t="shared" si="696"/>
        <v/>
      </c>
    </row>
    <row r="44578" spans="26:26" x14ac:dyDescent="0.2">
      <c r="Z44578" t="str">
        <f t="shared" si="696"/>
        <v/>
      </c>
    </row>
    <row r="44579" spans="26:26" x14ac:dyDescent="0.2">
      <c r="Z44579" t="str">
        <f t="shared" si="696"/>
        <v/>
      </c>
    </row>
    <row r="44580" spans="26:26" x14ac:dyDescent="0.2">
      <c r="Z44580" t="str">
        <f t="shared" si="696"/>
        <v/>
      </c>
    </row>
    <row r="44581" spans="26:26" x14ac:dyDescent="0.2">
      <c r="Z44581" t="str">
        <f t="shared" si="696"/>
        <v/>
      </c>
    </row>
    <row r="44582" spans="26:26" x14ac:dyDescent="0.2">
      <c r="Z44582" t="str">
        <f t="shared" si="696"/>
        <v/>
      </c>
    </row>
    <row r="44583" spans="26:26" x14ac:dyDescent="0.2">
      <c r="Z44583" t="str">
        <f t="shared" si="696"/>
        <v/>
      </c>
    </row>
    <row r="44584" spans="26:26" x14ac:dyDescent="0.2">
      <c r="Z44584" t="str">
        <f t="shared" si="696"/>
        <v/>
      </c>
    </row>
    <row r="44585" spans="26:26" x14ac:dyDescent="0.2">
      <c r="Z44585" t="str">
        <f t="shared" si="696"/>
        <v/>
      </c>
    </row>
    <row r="44586" spans="26:26" x14ac:dyDescent="0.2">
      <c r="Z44586" t="str">
        <f t="shared" si="696"/>
        <v/>
      </c>
    </row>
    <row r="44587" spans="26:26" x14ac:dyDescent="0.2">
      <c r="Z44587" t="str">
        <f t="shared" si="696"/>
        <v/>
      </c>
    </row>
    <row r="44588" spans="26:26" x14ac:dyDescent="0.2">
      <c r="Z44588" t="str">
        <f t="shared" si="696"/>
        <v/>
      </c>
    </row>
    <row r="44589" spans="26:26" x14ac:dyDescent="0.2">
      <c r="Z44589" t="str">
        <f t="shared" si="696"/>
        <v/>
      </c>
    </row>
    <row r="44590" spans="26:26" x14ac:dyDescent="0.2">
      <c r="Z44590" t="str">
        <f t="shared" si="696"/>
        <v/>
      </c>
    </row>
    <row r="44591" spans="26:26" x14ac:dyDescent="0.2">
      <c r="Z44591" t="str">
        <f t="shared" si="696"/>
        <v/>
      </c>
    </row>
    <row r="44592" spans="26:26" x14ac:dyDescent="0.2">
      <c r="Z44592" t="str">
        <f t="shared" si="696"/>
        <v/>
      </c>
    </row>
    <row r="44593" spans="26:26" x14ac:dyDescent="0.2">
      <c r="Z44593" t="str">
        <f t="shared" si="696"/>
        <v/>
      </c>
    </row>
    <row r="44594" spans="26:26" x14ac:dyDescent="0.2">
      <c r="Z44594" t="str">
        <f t="shared" si="696"/>
        <v/>
      </c>
    </row>
    <row r="44595" spans="26:26" x14ac:dyDescent="0.2">
      <c r="Z44595" t="str">
        <f t="shared" si="696"/>
        <v/>
      </c>
    </row>
    <row r="44596" spans="26:26" x14ac:dyDescent="0.2">
      <c r="Z44596" t="str">
        <f t="shared" si="696"/>
        <v/>
      </c>
    </row>
    <row r="44597" spans="26:26" x14ac:dyDescent="0.2">
      <c r="Z44597" t="str">
        <f t="shared" si="696"/>
        <v/>
      </c>
    </row>
    <row r="44598" spans="26:26" x14ac:dyDescent="0.2">
      <c r="Z44598" t="str">
        <f t="shared" si="696"/>
        <v/>
      </c>
    </row>
    <row r="44599" spans="26:26" x14ac:dyDescent="0.2">
      <c r="Z44599" t="str">
        <f t="shared" si="696"/>
        <v/>
      </c>
    </row>
    <row r="44600" spans="26:26" x14ac:dyDescent="0.2">
      <c r="Z44600" t="str">
        <f t="shared" si="696"/>
        <v/>
      </c>
    </row>
    <row r="44601" spans="26:26" x14ac:dyDescent="0.2">
      <c r="Z44601" t="str">
        <f t="shared" si="696"/>
        <v/>
      </c>
    </row>
    <row r="44602" spans="26:26" x14ac:dyDescent="0.2">
      <c r="Z44602" t="str">
        <f t="shared" si="696"/>
        <v/>
      </c>
    </row>
    <row r="44603" spans="26:26" x14ac:dyDescent="0.2">
      <c r="Z44603" t="str">
        <f t="shared" si="696"/>
        <v/>
      </c>
    </row>
    <row r="44604" spans="26:26" x14ac:dyDescent="0.2">
      <c r="Z44604" t="str">
        <f t="shared" si="696"/>
        <v/>
      </c>
    </row>
    <row r="44605" spans="26:26" x14ac:dyDescent="0.2">
      <c r="Z44605" t="str">
        <f t="shared" si="696"/>
        <v/>
      </c>
    </row>
    <row r="44606" spans="26:26" x14ac:dyDescent="0.2">
      <c r="Z44606" t="str">
        <f t="shared" si="696"/>
        <v/>
      </c>
    </row>
    <row r="44607" spans="26:26" x14ac:dyDescent="0.2">
      <c r="Z44607" t="str">
        <f t="shared" si="696"/>
        <v/>
      </c>
    </row>
    <row r="44608" spans="26:26" x14ac:dyDescent="0.2">
      <c r="Z44608" t="str">
        <f t="shared" si="696"/>
        <v/>
      </c>
    </row>
    <row r="44609" spans="26:26" x14ac:dyDescent="0.2">
      <c r="Z44609" t="str">
        <f t="shared" si="696"/>
        <v/>
      </c>
    </row>
    <row r="44610" spans="26:26" x14ac:dyDescent="0.2">
      <c r="Z44610" t="str">
        <f t="shared" si="696"/>
        <v/>
      </c>
    </row>
    <row r="44611" spans="26:26" x14ac:dyDescent="0.2">
      <c r="Z44611" t="str">
        <f t="shared" ref="Z44611:Z44674" si="697">IF(K44611="","",IFERROR(VALUE(TRIM(MID(K44611,FIND(CHAR(167),SUBSTITUTE(K44611,"-",CHAR(167),LEN(K44611)-LEN(SUBSTITUTE(K44611,"-",""))))+1,100))),K44611))</f>
        <v/>
      </c>
    </row>
    <row r="44612" spans="26:26" x14ac:dyDescent="0.2">
      <c r="Z44612" t="str">
        <f t="shared" si="697"/>
        <v/>
      </c>
    </row>
    <row r="44613" spans="26:26" x14ac:dyDescent="0.2">
      <c r="Z44613" t="str">
        <f t="shared" si="697"/>
        <v/>
      </c>
    </row>
    <row r="44614" spans="26:26" x14ac:dyDescent="0.2">
      <c r="Z44614" t="str">
        <f t="shared" si="697"/>
        <v/>
      </c>
    </row>
    <row r="44615" spans="26:26" x14ac:dyDescent="0.2">
      <c r="Z44615" t="str">
        <f t="shared" si="697"/>
        <v/>
      </c>
    </row>
    <row r="44616" spans="26:26" x14ac:dyDescent="0.2">
      <c r="Z44616" t="str">
        <f t="shared" si="697"/>
        <v/>
      </c>
    </row>
    <row r="44617" spans="26:26" x14ac:dyDescent="0.2">
      <c r="Z44617" t="str">
        <f t="shared" si="697"/>
        <v/>
      </c>
    </row>
    <row r="44618" spans="26:26" x14ac:dyDescent="0.2">
      <c r="Z44618" t="str">
        <f t="shared" si="697"/>
        <v/>
      </c>
    </row>
    <row r="44619" spans="26:26" x14ac:dyDescent="0.2">
      <c r="Z44619" t="str">
        <f t="shared" si="697"/>
        <v/>
      </c>
    </row>
    <row r="44620" spans="26:26" x14ac:dyDescent="0.2">
      <c r="Z44620" t="str">
        <f t="shared" si="697"/>
        <v/>
      </c>
    </row>
    <row r="44621" spans="26:26" x14ac:dyDescent="0.2">
      <c r="Z44621" t="str">
        <f t="shared" si="697"/>
        <v/>
      </c>
    </row>
    <row r="44622" spans="26:26" x14ac:dyDescent="0.2">
      <c r="Z44622" t="str">
        <f t="shared" si="697"/>
        <v/>
      </c>
    </row>
    <row r="44623" spans="26:26" x14ac:dyDescent="0.2">
      <c r="Z44623" t="str">
        <f t="shared" si="697"/>
        <v/>
      </c>
    </row>
    <row r="44624" spans="26:26" x14ac:dyDescent="0.2">
      <c r="Z44624" t="str">
        <f t="shared" si="697"/>
        <v/>
      </c>
    </row>
    <row r="44625" spans="26:26" x14ac:dyDescent="0.2">
      <c r="Z44625" t="str">
        <f t="shared" si="697"/>
        <v/>
      </c>
    </row>
    <row r="44626" spans="26:26" x14ac:dyDescent="0.2">
      <c r="Z44626" t="str">
        <f t="shared" si="697"/>
        <v/>
      </c>
    </row>
    <row r="44627" spans="26:26" x14ac:dyDescent="0.2">
      <c r="Z44627" t="str">
        <f t="shared" si="697"/>
        <v/>
      </c>
    </row>
    <row r="44628" spans="26:26" x14ac:dyDescent="0.2">
      <c r="Z44628" t="str">
        <f t="shared" si="697"/>
        <v/>
      </c>
    </row>
    <row r="44629" spans="26:26" x14ac:dyDescent="0.2">
      <c r="Z44629" t="str">
        <f t="shared" si="697"/>
        <v/>
      </c>
    </row>
    <row r="44630" spans="26:26" x14ac:dyDescent="0.2">
      <c r="Z44630" t="str">
        <f t="shared" si="697"/>
        <v/>
      </c>
    </row>
    <row r="44631" spans="26:26" x14ac:dyDescent="0.2">
      <c r="Z44631" t="str">
        <f t="shared" si="697"/>
        <v/>
      </c>
    </row>
    <row r="44632" spans="26:26" x14ac:dyDescent="0.2">
      <c r="Z44632" t="str">
        <f t="shared" si="697"/>
        <v/>
      </c>
    </row>
    <row r="44633" spans="26:26" x14ac:dyDescent="0.2">
      <c r="Z44633" t="str">
        <f t="shared" si="697"/>
        <v/>
      </c>
    </row>
    <row r="44634" spans="26:26" x14ac:dyDescent="0.2">
      <c r="Z44634" t="str">
        <f t="shared" si="697"/>
        <v/>
      </c>
    </row>
    <row r="44635" spans="26:26" x14ac:dyDescent="0.2">
      <c r="Z44635" t="str">
        <f t="shared" si="697"/>
        <v/>
      </c>
    </row>
    <row r="44636" spans="26:26" x14ac:dyDescent="0.2">
      <c r="Z44636" t="str">
        <f t="shared" si="697"/>
        <v/>
      </c>
    </row>
    <row r="44637" spans="26:26" x14ac:dyDescent="0.2">
      <c r="Z44637" t="str">
        <f t="shared" si="697"/>
        <v/>
      </c>
    </row>
    <row r="44638" spans="26:26" x14ac:dyDescent="0.2">
      <c r="Z44638" t="str">
        <f t="shared" si="697"/>
        <v/>
      </c>
    </row>
    <row r="44639" spans="26:26" x14ac:dyDescent="0.2">
      <c r="Z44639" t="str">
        <f t="shared" si="697"/>
        <v/>
      </c>
    </row>
    <row r="44640" spans="26:26" x14ac:dyDescent="0.2">
      <c r="Z44640" t="str">
        <f t="shared" si="697"/>
        <v/>
      </c>
    </row>
    <row r="44641" spans="26:26" x14ac:dyDescent="0.2">
      <c r="Z44641" t="str">
        <f t="shared" si="697"/>
        <v/>
      </c>
    </row>
    <row r="44642" spans="26:26" x14ac:dyDescent="0.2">
      <c r="Z44642" t="str">
        <f t="shared" si="697"/>
        <v/>
      </c>
    </row>
    <row r="44643" spans="26:26" x14ac:dyDescent="0.2">
      <c r="Z44643" t="str">
        <f t="shared" si="697"/>
        <v/>
      </c>
    </row>
    <row r="44644" spans="26:26" x14ac:dyDescent="0.2">
      <c r="Z44644" t="str">
        <f t="shared" si="697"/>
        <v/>
      </c>
    </row>
    <row r="44645" spans="26:26" x14ac:dyDescent="0.2">
      <c r="Z44645" t="str">
        <f t="shared" si="697"/>
        <v/>
      </c>
    </row>
    <row r="44646" spans="26:26" x14ac:dyDescent="0.2">
      <c r="Z44646" t="str">
        <f t="shared" si="697"/>
        <v/>
      </c>
    </row>
    <row r="44647" spans="26:26" x14ac:dyDescent="0.2">
      <c r="Z44647" t="str">
        <f t="shared" si="697"/>
        <v/>
      </c>
    </row>
    <row r="44648" spans="26:26" x14ac:dyDescent="0.2">
      <c r="Z44648" t="str">
        <f t="shared" si="697"/>
        <v/>
      </c>
    </row>
    <row r="44649" spans="26:26" x14ac:dyDescent="0.2">
      <c r="Z44649" t="str">
        <f t="shared" si="697"/>
        <v/>
      </c>
    </row>
    <row r="44650" spans="26:26" x14ac:dyDescent="0.2">
      <c r="Z44650" t="str">
        <f t="shared" si="697"/>
        <v/>
      </c>
    </row>
    <row r="44651" spans="26:26" x14ac:dyDescent="0.2">
      <c r="Z44651" t="str">
        <f t="shared" si="697"/>
        <v/>
      </c>
    </row>
    <row r="44652" spans="26:26" x14ac:dyDescent="0.2">
      <c r="Z44652" t="str">
        <f t="shared" si="697"/>
        <v/>
      </c>
    </row>
    <row r="44653" spans="26:26" x14ac:dyDescent="0.2">
      <c r="Z44653" t="str">
        <f t="shared" si="697"/>
        <v/>
      </c>
    </row>
    <row r="44654" spans="26:26" x14ac:dyDescent="0.2">
      <c r="Z44654" t="str">
        <f t="shared" si="697"/>
        <v/>
      </c>
    </row>
    <row r="44655" spans="26:26" x14ac:dyDescent="0.2">
      <c r="Z44655" t="str">
        <f t="shared" si="697"/>
        <v/>
      </c>
    </row>
    <row r="44656" spans="26:26" x14ac:dyDescent="0.2">
      <c r="Z44656" t="str">
        <f t="shared" si="697"/>
        <v/>
      </c>
    </row>
    <row r="44657" spans="26:26" x14ac:dyDescent="0.2">
      <c r="Z44657" t="str">
        <f t="shared" si="697"/>
        <v/>
      </c>
    </row>
    <row r="44658" spans="26:26" x14ac:dyDescent="0.2">
      <c r="Z44658" t="str">
        <f t="shared" si="697"/>
        <v/>
      </c>
    </row>
    <row r="44659" spans="26:26" x14ac:dyDescent="0.2">
      <c r="Z44659" t="str">
        <f t="shared" si="697"/>
        <v/>
      </c>
    </row>
    <row r="44660" spans="26:26" x14ac:dyDescent="0.2">
      <c r="Z44660" t="str">
        <f t="shared" si="697"/>
        <v/>
      </c>
    </row>
    <row r="44661" spans="26:26" x14ac:dyDescent="0.2">
      <c r="Z44661" t="str">
        <f t="shared" si="697"/>
        <v/>
      </c>
    </row>
    <row r="44662" spans="26:26" x14ac:dyDescent="0.2">
      <c r="Z44662" t="str">
        <f t="shared" si="697"/>
        <v/>
      </c>
    </row>
    <row r="44663" spans="26:26" x14ac:dyDescent="0.2">
      <c r="Z44663" t="str">
        <f t="shared" si="697"/>
        <v/>
      </c>
    </row>
    <row r="44664" spans="26:26" x14ac:dyDescent="0.2">
      <c r="Z44664" t="str">
        <f t="shared" si="697"/>
        <v/>
      </c>
    </row>
    <row r="44665" spans="26:26" x14ac:dyDescent="0.2">
      <c r="Z44665" t="str">
        <f t="shared" si="697"/>
        <v/>
      </c>
    </row>
    <row r="44666" spans="26:26" x14ac:dyDescent="0.2">
      <c r="Z44666" t="str">
        <f t="shared" si="697"/>
        <v/>
      </c>
    </row>
    <row r="44667" spans="26:26" x14ac:dyDescent="0.2">
      <c r="Z44667" t="str">
        <f t="shared" si="697"/>
        <v/>
      </c>
    </row>
    <row r="44668" spans="26:26" x14ac:dyDescent="0.2">
      <c r="Z44668" t="str">
        <f t="shared" si="697"/>
        <v/>
      </c>
    </row>
    <row r="44669" spans="26:26" x14ac:dyDescent="0.2">
      <c r="Z44669" t="str">
        <f t="shared" si="697"/>
        <v/>
      </c>
    </row>
    <row r="44670" spans="26:26" x14ac:dyDescent="0.2">
      <c r="Z44670" t="str">
        <f t="shared" si="697"/>
        <v/>
      </c>
    </row>
    <row r="44671" spans="26:26" x14ac:dyDescent="0.2">
      <c r="Z44671" t="str">
        <f t="shared" si="697"/>
        <v/>
      </c>
    </row>
    <row r="44672" spans="26:26" x14ac:dyDescent="0.2">
      <c r="Z44672" t="str">
        <f t="shared" si="697"/>
        <v/>
      </c>
    </row>
    <row r="44673" spans="26:26" x14ac:dyDescent="0.2">
      <c r="Z44673" t="str">
        <f t="shared" si="697"/>
        <v/>
      </c>
    </row>
    <row r="44674" spans="26:26" x14ac:dyDescent="0.2">
      <c r="Z44674" t="str">
        <f t="shared" si="697"/>
        <v/>
      </c>
    </row>
    <row r="44675" spans="26:26" x14ac:dyDescent="0.2">
      <c r="Z44675" t="str">
        <f t="shared" ref="Z44675:Z44738" si="698">IF(K44675="","",IFERROR(VALUE(TRIM(MID(K44675,FIND(CHAR(167),SUBSTITUTE(K44675,"-",CHAR(167),LEN(K44675)-LEN(SUBSTITUTE(K44675,"-",""))))+1,100))),K44675))</f>
        <v/>
      </c>
    </row>
    <row r="44676" spans="26:26" x14ac:dyDescent="0.2">
      <c r="Z44676" t="str">
        <f t="shared" si="698"/>
        <v/>
      </c>
    </row>
    <row r="44677" spans="26:26" x14ac:dyDescent="0.2">
      <c r="Z44677" t="str">
        <f t="shared" si="698"/>
        <v/>
      </c>
    </row>
    <row r="44678" spans="26:26" x14ac:dyDescent="0.2">
      <c r="Z44678" t="str">
        <f t="shared" si="698"/>
        <v/>
      </c>
    </row>
    <row r="44679" spans="26:26" x14ac:dyDescent="0.2">
      <c r="Z44679" t="str">
        <f t="shared" si="698"/>
        <v/>
      </c>
    </row>
    <row r="44680" spans="26:26" x14ac:dyDescent="0.2">
      <c r="Z44680" t="str">
        <f t="shared" si="698"/>
        <v/>
      </c>
    </row>
    <row r="44681" spans="26:26" x14ac:dyDescent="0.2">
      <c r="Z44681" t="str">
        <f t="shared" si="698"/>
        <v/>
      </c>
    </row>
    <row r="44682" spans="26:26" x14ac:dyDescent="0.2">
      <c r="Z44682" t="str">
        <f t="shared" si="698"/>
        <v/>
      </c>
    </row>
    <row r="44683" spans="26:26" x14ac:dyDescent="0.2">
      <c r="Z44683" t="str">
        <f t="shared" si="698"/>
        <v/>
      </c>
    </row>
    <row r="44684" spans="26:26" x14ac:dyDescent="0.2">
      <c r="Z44684" t="str">
        <f t="shared" si="698"/>
        <v/>
      </c>
    </row>
    <row r="44685" spans="26:26" x14ac:dyDescent="0.2">
      <c r="Z44685" t="str">
        <f t="shared" si="698"/>
        <v/>
      </c>
    </row>
    <row r="44686" spans="26:26" x14ac:dyDescent="0.2">
      <c r="Z44686" t="str">
        <f t="shared" si="698"/>
        <v/>
      </c>
    </row>
    <row r="44687" spans="26:26" x14ac:dyDescent="0.2">
      <c r="Z44687" t="str">
        <f t="shared" si="698"/>
        <v/>
      </c>
    </row>
    <row r="44688" spans="26:26" x14ac:dyDescent="0.2">
      <c r="Z44688" t="str">
        <f t="shared" si="698"/>
        <v/>
      </c>
    </row>
    <row r="44689" spans="26:26" x14ac:dyDescent="0.2">
      <c r="Z44689" t="str">
        <f t="shared" si="698"/>
        <v/>
      </c>
    </row>
    <row r="44690" spans="26:26" x14ac:dyDescent="0.2">
      <c r="Z44690" t="str">
        <f t="shared" si="698"/>
        <v/>
      </c>
    </row>
    <row r="44691" spans="26:26" x14ac:dyDescent="0.2">
      <c r="Z44691" t="str">
        <f t="shared" si="698"/>
        <v/>
      </c>
    </row>
    <row r="44692" spans="26:26" x14ac:dyDescent="0.2">
      <c r="Z44692" t="str">
        <f t="shared" si="698"/>
        <v/>
      </c>
    </row>
    <row r="44693" spans="26:26" x14ac:dyDescent="0.2">
      <c r="Z44693" t="str">
        <f t="shared" si="698"/>
        <v/>
      </c>
    </row>
    <row r="44694" spans="26:26" x14ac:dyDescent="0.2">
      <c r="Z44694" t="str">
        <f t="shared" si="698"/>
        <v/>
      </c>
    </row>
    <row r="44695" spans="26:26" x14ac:dyDescent="0.2">
      <c r="Z44695" t="str">
        <f t="shared" si="698"/>
        <v/>
      </c>
    </row>
    <row r="44696" spans="26:26" x14ac:dyDescent="0.2">
      <c r="Z44696" t="str">
        <f t="shared" si="698"/>
        <v/>
      </c>
    </row>
    <row r="44697" spans="26:26" x14ac:dyDescent="0.2">
      <c r="Z44697" t="str">
        <f t="shared" si="698"/>
        <v/>
      </c>
    </row>
    <row r="44698" spans="26:26" x14ac:dyDescent="0.2">
      <c r="Z44698" t="str">
        <f t="shared" si="698"/>
        <v/>
      </c>
    </row>
    <row r="44699" spans="26:26" x14ac:dyDescent="0.2">
      <c r="Z44699" t="str">
        <f t="shared" si="698"/>
        <v/>
      </c>
    </row>
    <row r="44700" spans="26:26" x14ac:dyDescent="0.2">
      <c r="Z44700" t="str">
        <f t="shared" si="698"/>
        <v/>
      </c>
    </row>
    <row r="44701" spans="26:26" x14ac:dyDescent="0.2">
      <c r="Z44701" t="str">
        <f t="shared" si="698"/>
        <v/>
      </c>
    </row>
    <row r="44702" spans="26:26" x14ac:dyDescent="0.2">
      <c r="Z44702" t="str">
        <f t="shared" si="698"/>
        <v/>
      </c>
    </row>
    <row r="44703" spans="26:26" x14ac:dyDescent="0.2">
      <c r="Z44703" t="str">
        <f t="shared" si="698"/>
        <v/>
      </c>
    </row>
    <row r="44704" spans="26:26" x14ac:dyDescent="0.2">
      <c r="Z44704" t="str">
        <f t="shared" si="698"/>
        <v/>
      </c>
    </row>
    <row r="44705" spans="26:26" x14ac:dyDescent="0.2">
      <c r="Z44705" t="str">
        <f t="shared" si="698"/>
        <v/>
      </c>
    </row>
    <row r="44706" spans="26:26" x14ac:dyDescent="0.2">
      <c r="Z44706" t="str">
        <f t="shared" si="698"/>
        <v/>
      </c>
    </row>
    <row r="44707" spans="26:26" x14ac:dyDescent="0.2">
      <c r="Z44707" t="str">
        <f t="shared" si="698"/>
        <v/>
      </c>
    </row>
    <row r="44708" spans="26:26" x14ac:dyDescent="0.2">
      <c r="Z44708" t="str">
        <f t="shared" si="698"/>
        <v/>
      </c>
    </row>
    <row r="44709" spans="26:26" x14ac:dyDescent="0.2">
      <c r="Z44709" t="str">
        <f t="shared" si="698"/>
        <v/>
      </c>
    </row>
    <row r="44710" spans="26:26" x14ac:dyDescent="0.2">
      <c r="Z44710" t="str">
        <f t="shared" si="698"/>
        <v/>
      </c>
    </row>
    <row r="44711" spans="26:26" x14ac:dyDescent="0.2">
      <c r="Z44711" t="str">
        <f t="shared" si="698"/>
        <v/>
      </c>
    </row>
    <row r="44712" spans="26:26" x14ac:dyDescent="0.2">
      <c r="Z44712" t="str">
        <f t="shared" si="698"/>
        <v/>
      </c>
    </row>
    <row r="44713" spans="26:26" x14ac:dyDescent="0.2">
      <c r="Z44713" t="str">
        <f t="shared" si="698"/>
        <v/>
      </c>
    </row>
    <row r="44714" spans="26:26" x14ac:dyDescent="0.2">
      <c r="Z44714" t="str">
        <f t="shared" si="698"/>
        <v/>
      </c>
    </row>
    <row r="44715" spans="26:26" x14ac:dyDescent="0.2">
      <c r="Z44715" t="str">
        <f t="shared" si="698"/>
        <v/>
      </c>
    </row>
    <row r="44716" spans="26:26" x14ac:dyDescent="0.2">
      <c r="Z44716" t="str">
        <f t="shared" si="698"/>
        <v/>
      </c>
    </row>
    <row r="44717" spans="26:26" x14ac:dyDescent="0.2">
      <c r="Z44717" t="str">
        <f t="shared" si="698"/>
        <v/>
      </c>
    </row>
    <row r="44718" spans="26:26" x14ac:dyDescent="0.2">
      <c r="Z44718" t="str">
        <f t="shared" si="698"/>
        <v/>
      </c>
    </row>
    <row r="44719" spans="26:26" x14ac:dyDescent="0.2">
      <c r="Z44719" t="str">
        <f t="shared" si="698"/>
        <v/>
      </c>
    </row>
    <row r="44720" spans="26:26" x14ac:dyDescent="0.2">
      <c r="Z44720" t="str">
        <f t="shared" si="698"/>
        <v/>
      </c>
    </row>
    <row r="44721" spans="26:26" x14ac:dyDescent="0.2">
      <c r="Z44721" t="str">
        <f t="shared" si="698"/>
        <v/>
      </c>
    </row>
    <row r="44722" spans="26:26" x14ac:dyDescent="0.2">
      <c r="Z44722" t="str">
        <f t="shared" si="698"/>
        <v/>
      </c>
    </row>
    <row r="44723" spans="26:26" x14ac:dyDescent="0.2">
      <c r="Z44723" t="str">
        <f t="shared" si="698"/>
        <v/>
      </c>
    </row>
    <row r="44724" spans="26:26" x14ac:dyDescent="0.2">
      <c r="Z44724" t="str">
        <f t="shared" si="698"/>
        <v/>
      </c>
    </row>
    <row r="44725" spans="26:26" x14ac:dyDescent="0.2">
      <c r="Z44725" t="str">
        <f t="shared" si="698"/>
        <v/>
      </c>
    </row>
    <row r="44726" spans="26:26" x14ac:dyDescent="0.2">
      <c r="Z44726" t="str">
        <f t="shared" si="698"/>
        <v/>
      </c>
    </row>
    <row r="44727" spans="26:26" x14ac:dyDescent="0.2">
      <c r="Z44727" t="str">
        <f t="shared" si="698"/>
        <v/>
      </c>
    </row>
    <row r="44728" spans="26:26" x14ac:dyDescent="0.2">
      <c r="Z44728" t="str">
        <f t="shared" si="698"/>
        <v/>
      </c>
    </row>
    <row r="44729" spans="26:26" x14ac:dyDescent="0.2">
      <c r="Z44729" t="str">
        <f t="shared" si="698"/>
        <v/>
      </c>
    </row>
    <row r="44730" spans="26:26" x14ac:dyDescent="0.2">
      <c r="Z44730" t="str">
        <f t="shared" si="698"/>
        <v/>
      </c>
    </row>
    <row r="44731" spans="26:26" x14ac:dyDescent="0.2">
      <c r="Z44731" t="str">
        <f t="shared" si="698"/>
        <v/>
      </c>
    </row>
    <row r="44732" spans="26:26" x14ac:dyDescent="0.2">
      <c r="Z44732" t="str">
        <f t="shared" si="698"/>
        <v/>
      </c>
    </row>
    <row r="44733" spans="26:26" x14ac:dyDescent="0.2">
      <c r="Z44733" t="str">
        <f t="shared" si="698"/>
        <v/>
      </c>
    </row>
    <row r="44734" spans="26:26" x14ac:dyDescent="0.2">
      <c r="Z44734" t="str">
        <f t="shared" si="698"/>
        <v/>
      </c>
    </row>
    <row r="44735" spans="26:26" x14ac:dyDescent="0.2">
      <c r="Z44735" t="str">
        <f t="shared" si="698"/>
        <v/>
      </c>
    </row>
    <row r="44736" spans="26:26" x14ac:dyDescent="0.2">
      <c r="Z44736" t="str">
        <f t="shared" si="698"/>
        <v/>
      </c>
    </row>
    <row r="44737" spans="26:26" x14ac:dyDescent="0.2">
      <c r="Z44737" t="str">
        <f t="shared" si="698"/>
        <v/>
      </c>
    </row>
    <row r="44738" spans="26:26" x14ac:dyDescent="0.2">
      <c r="Z44738" t="str">
        <f t="shared" si="698"/>
        <v/>
      </c>
    </row>
    <row r="44739" spans="26:26" x14ac:dyDescent="0.2">
      <c r="Z44739" t="str">
        <f t="shared" ref="Z44739:Z44802" si="699">IF(K44739="","",IFERROR(VALUE(TRIM(MID(K44739,FIND(CHAR(167),SUBSTITUTE(K44739,"-",CHAR(167),LEN(K44739)-LEN(SUBSTITUTE(K44739,"-",""))))+1,100))),K44739))</f>
        <v/>
      </c>
    </row>
    <row r="44740" spans="26:26" x14ac:dyDescent="0.2">
      <c r="Z44740" t="str">
        <f t="shared" si="699"/>
        <v/>
      </c>
    </row>
    <row r="44741" spans="26:26" x14ac:dyDescent="0.2">
      <c r="Z44741" t="str">
        <f t="shared" si="699"/>
        <v/>
      </c>
    </row>
    <row r="44742" spans="26:26" x14ac:dyDescent="0.2">
      <c r="Z44742" t="str">
        <f t="shared" si="699"/>
        <v/>
      </c>
    </row>
    <row r="44743" spans="26:26" x14ac:dyDescent="0.2">
      <c r="Z44743" t="str">
        <f t="shared" si="699"/>
        <v/>
      </c>
    </row>
    <row r="44744" spans="26:26" x14ac:dyDescent="0.2">
      <c r="Z44744" t="str">
        <f t="shared" si="699"/>
        <v/>
      </c>
    </row>
    <row r="44745" spans="26:26" x14ac:dyDescent="0.2">
      <c r="Z44745" t="str">
        <f t="shared" si="699"/>
        <v/>
      </c>
    </row>
    <row r="44746" spans="26:26" x14ac:dyDescent="0.2">
      <c r="Z44746" t="str">
        <f t="shared" si="699"/>
        <v/>
      </c>
    </row>
    <row r="44747" spans="26:26" x14ac:dyDescent="0.2">
      <c r="Z44747" t="str">
        <f t="shared" si="699"/>
        <v/>
      </c>
    </row>
    <row r="44748" spans="26:26" x14ac:dyDescent="0.2">
      <c r="Z44748" t="str">
        <f t="shared" si="699"/>
        <v/>
      </c>
    </row>
    <row r="44749" spans="26:26" x14ac:dyDescent="0.2">
      <c r="Z44749" t="str">
        <f t="shared" si="699"/>
        <v/>
      </c>
    </row>
    <row r="44750" spans="26:26" x14ac:dyDescent="0.2">
      <c r="Z44750" t="str">
        <f t="shared" si="699"/>
        <v/>
      </c>
    </row>
    <row r="44751" spans="26:26" x14ac:dyDescent="0.2">
      <c r="Z44751" t="str">
        <f t="shared" si="699"/>
        <v/>
      </c>
    </row>
    <row r="44752" spans="26:26" x14ac:dyDescent="0.2">
      <c r="Z44752" t="str">
        <f t="shared" si="699"/>
        <v/>
      </c>
    </row>
    <row r="44753" spans="26:26" x14ac:dyDescent="0.2">
      <c r="Z44753" t="str">
        <f t="shared" si="699"/>
        <v/>
      </c>
    </row>
    <row r="44754" spans="26:26" x14ac:dyDescent="0.2">
      <c r="Z44754" t="str">
        <f t="shared" si="699"/>
        <v/>
      </c>
    </row>
    <row r="44755" spans="26:26" x14ac:dyDescent="0.2">
      <c r="Z44755" t="str">
        <f t="shared" si="699"/>
        <v/>
      </c>
    </row>
    <row r="44756" spans="26:26" x14ac:dyDescent="0.2">
      <c r="Z44756" t="str">
        <f t="shared" si="699"/>
        <v/>
      </c>
    </row>
    <row r="44757" spans="26:26" x14ac:dyDescent="0.2">
      <c r="Z44757" t="str">
        <f t="shared" si="699"/>
        <v/>
      </c>
    </row>
    <row r="44758" spans="26:26" x14ac:dyDescent="0.2">
      <c r="Z44758" t="str">
        <f t="shared" si="699"/>
        <v/>
      </c>
    </row>
    <row r="44759" spans="26:26" x14ac:dyDescent="0.2">
      <c r="Z44759" t="str">
        <f t="shared" si="699"/>
        <v/>
      </c>
    </row>
    <row r="44760" spans="26:26" x14ac:dyDescent="0.2">
      <c r="Z44760" t="str">
        <f t="shared" si="699"/>
        <v/>
      </c>
    </row>
    <row r="44761" spans="26:26" x14ac:dyDescent="0.2">
      <c r="Z44761" t="str">
        <f t="shared" si="699"/>
        <v/>
      </c>
    </row>
    <row r="44762" spans="26:26" x14ac:dyDescent="0.2">
      <c r="Z44762" t="str">
        <f t="shared" si="699"/>
        <v/>
      </c>
    </row>
    <row r="44763" spans="26:26" x14ac:dyDescent="0.2">
      <c r="Z44763" t="str">
        <f t="shared" si="699"/>
        <v/>
      </c>
    </row>
    <row r="44764" spans="26:26" x14ac:dyDescent="0.2">
      <c r="Z44764" t="str">
        <f t="shared" si="699"/>
        <v/>
      </c>
    </row>
    <row r="44765" spans="26:26" x14ac:dyDescent="0.2">
      <c r="Z44765" t="str">
        <f t="shared" si="699"/>
        <v/>
      </c>
    </row>
    <row r="44766" spans="26:26" x14ac:dyDescent="0.2">
      <c r="Z44766" t="str">
        <f t="shared" si="699"/>
        <v/>
      </c>
    </row>
    <row r="44767" spans="26:26" x14ac:dyDescent="0.2">
      <c r="Z44767" t="str">
        <f t="shared" si="699"/>
        <v/>
      </c>
    </row>
    <row r="44768" spans="26:26" x14ac:dyDescent="0.2">
      <c r="Z44768" t="str">
        <f t="shared" si="699"/>
        <v/>
      </c>
    </row>
    <row r="44769" spans="26:26" x14ac:dyDescent="0.2">
      <c r="Z44769" t="str">
        <f t="shared" si="699"/>
        <v/>
      </c>
    </row>
    <row r="44770" spans="26:26" x14ac:dyDescent="0.2">
      <c r="Z44770" t="str">
        <f t="shared" si="699"/>
        <v/>
      </c>
    </row>
    <row r="44771" spans="26:26" x14ac:dyDescent="0.2">
      <c r="Z44771" t="str">
        <f t="shared" si="699"/>
        <v/>
      </c>
    </row>
    <row r="44772" spans="26:26" x14ac:dyDescent="0.2">
      <c r="Z44772" t="str">
        <f t="shared" si="699"/>
        <v/>
      </c>
    </row>
    <row r="44773" spans="26:26" x14ac:dyDescent="0.2">
      <c r="Z44773" t="str">
        <f t="shared" si="699"/>
        <v/>
      </c>
    </row>
    <row r="44774" spans="26:26" x14ac:dyDescent="0.2">
      <c r="Z44774" t="str">
        <f t="shared" si="699"/>
        <v/>
      </c>
    </row>
    <row r="44775" spans="26:26" x14ac:dyDescent="0.2">
      <c r="Z44775" t="str">
        <f t="shared" si="699"/>
        <v/>
      </c>
    </row>
    <row r="44776" spans="26:26" x14ac:dyDescent="0.2">
      <c r="Z44776" t="str">
        <f t="shared" si="699"/>
        <v/>
      </c>
    </row>
    <row r="44777" spans="26:26" x14ac:dyDescent="0.2">
      <c r="Z44777" t="str">
        <f t="shared" si="699"/>
        <v/>
      </c>
    </row>
    <row r="44778" spans="26:26" x14ac:dyDescent="0.2">
      <c r="Z44778" t="str">
        <f t="shared" si="699"/>
        <v/>
      </c>
    </row>
    <row r="44779" spans="26:26" x14ac:dyDescent="0.2">
      <c r="Z44779" t="str">
        <f t="shared" si="699"/>
        <v/>
      </c>
    </row>
    <row r="44780" spans="26:26" x14ac:dyDescent="0.2">
      <c r="Z44780" t="str">
        <f t="shared" si="699"/>
        <v/>
      </c>
    </row>
    <row r="44781" spans="26:26" x14ac:dyDescent="0.2">
      <c r="Z44781" t="str">
        <f t="shared" si="699"/>
        <v/>
      </c>
    </row>
    <row r="44782" spans="26:26" x14ac:dyDescent="0.2">
      <c r="Z44782" t="str">
        <f t="shared" si="699"/>
        <v/>
      </c>
    </row>
    <row r="44783" spans="26:26" x14ac:dyDescent="0.2">
      <c r="Z44783" t="str">
        <f t="shared" si="699"/>
        <v/>
      </c>
    </row>
    <row r="44784" spans="26:26" x14ac:dyDescent="0.2">
      <c r="Z44784" t="str">
        <f t="shared" si="699"/>
        <v/>
      </c>
    </row>
    <row r="44785" spans="26:26" x14ac:dyDescent="0.2">
      <c r="Z44785" t="str">
        <f t="shared" si="699"/>
        <v/>
      </c>
    </row>
    <row r="44786" spans="26:26" x14ac:dyDescent="0.2">
      <c r="Z44786" t="str">
        <f t="shared" si="699"/>
        <v/>
      </c>
    </row>
    <row r="44787" spans="26:26" x14ac:dyDescent="0.2">
      <c r="Z44787" t="str">
        <f t="shared" si="699"/>
        <v/>
      </c>
    </row>
    <row r="44788" spans="26:26" x14ac:dyDescent="0.2">
      <c r="Z44788" t="str">
        <f t="shared" si="699"/>
        <v/>
      </c>
    </row>
    <row r="44789" spans="26:26" x14ac:dyDescent="0.2">
      <c r="Z44789" t="str">
        <f t="shared" si="699"/>
        <v/>
      </c>
    </row>
    <row r="44790" spans="26:26" x14ac:dyDescent="0.2">
      <c r="Z44790" t="str">
        <f t="shared" si="699"/>
        <v/>
      </c>
    </row>
    <row r="44791" spans="26:26" x14ac:dyDescent="0.2">
      <c r="Z44791" t="str">
        <f t="shared" si="699"/>
        <v/>
      </c>
    </row>
    <row r="44792" spans="26:26" x14ac:dyDescent="0.2">
      <c r="Z44792" t="str">
        <f t="shared" si="699"/>
        <v/>
      </c>
    </row>
    <row r="44793" spans="26:26" x14ac:dyDescent="0.2">
      <c r="Z44793" t="str">
        <f t="shared" si="699"/>
        <v/>
      </c>
    </row>
    <row r="44794" spans="26:26" x14ac:dyDescent="0.2">
      <c r="Z44794" t="str">
        <f t="shared" si="699"/>
        <v/>
      </c>
    </row>
    <row r="44795" spans="26:26" x14ac:dyDescent="0.2">
      <c r="Z44795" t="str">
        <f t="shared" si="699"/>
        <v/>
      </c>
    </row>
    <row r="44796" spans="26:26" x14ac:dyDescent="0.2">
      <c r="Z44796" t="str">
        <f t="shared" si="699"/>
        <v/>
      </c>
    </row>
    <row r="44797" spans="26:26" x14ac:dyDescent="0.2">
      <c r="Z44797" t="str">
        <f t="shared" si="699"/>
        <v/>
      </c>
    </row>
    <row r="44798" spans="26:26" x14ac:dyDescent="0.2">
      <c r="Z44798" t="str">
        <f t="shared" si="699"/>
        <v/>
      </c>
    </row>
    <row r="44799" spans="26:26" x14ac:dyDescent="0.2">
      <c r="Z44799" t="str">
        <f t="shared" si="699"/>
        <v/>
      </c>
    </row>
    <row r="44800" spans="26:26" x14ac:dyDescent="0.2">
      <c r="Z44800" t="str">
        <f t="shared" si="699"/>
        <v/>
      </c>
    </row>
    <row r="44801" spans="26:26" x14ac:dyDescent="0.2">
      <c r="Z44801" t="str">
        <f t="shared" si="699"/>
        <v/>
      </c>
    </row>
    <row r="44802" spans="26:26" x14ac:dyDescent="0.2">
      <c r="Z44802" t="str">
        <f t="shared" si="699"/>
        <v/>
      </c>
    </row>
    <row r="44803" spans="26:26" x14ac:dyDescent="0.2">
      <c r="Z44803" t="str">
        <f t="shared" ref="Z44803:Z44866" si="700">IF(K44803="","",IFERROR(VALUE(TRIM(MID(K44803,FIND(CHAR(167),SUBSTITUTE(K44803,"-",CHAR(167),LEN(K44803)-LEN(SUBSTITUTE(K44803,"-",""))))+1,100))),K44803))</f>
        <v/>
      </c>
    </row>
    <row r="44804" spans="26:26" x14ac:dyDescent="0.2">
      <c r="Z44804" t="str">
        <f t="shared" si="700"/>
        <v/>
      </c>
    </row>
    <row r="44805" spans="26:26" x14ac:dyDescent="0.2">
      <c r="Z44805" t="str">
        <f t="shared" si="700"/>
        <v/>
      </c>
    </row>
    <row r="44806" spans="26:26" x14ac:dyDescent="0.2">
      <c r="Z44806" t="str">
        <f t="shared" si="700"/>
        <v/>
      </c>
    </row>
    <row r="44807" spans="26:26" x14ac:dyDescent="0.2">
      <c r="Z44807" t="str">
        <f t="shared" si="700"/>
        <v/>
      </c>
    </row>
    <row r="44808" spans="26:26" x14ac:dyDescent="0.2">
      <c r="Z44808" t="str">
        <f t="shared" si="700"/>
        <v/>
      </c>
    </row>
    <row r="44809" spans="26:26" x14ac:dyDescent="0.2">
      <c r="Z44809" t="str">
        <f t="shared" si="700"/>
        <v/>
      </c>
    </row>
    <row r="44810" spans="26:26" x14ac:dyDescent="0.2">
      <c r="Z44810" t="str">
        <f t="shared" si="700"/>
        <v/>
      </c>
    </row>
    <row r="44811" spans="26:26" x14ac:dyDescent="0.2">
      <c r="Z44811" t="str">
        <f t="shared" si="700"/>
        <v/>
      </c>
    </row>
    <row r="44812" spans="26:26" x14ac:dyDescent="0.2">
      <c r="Z44812" t="str">
        <f t="shared" si="700"/>
        <v/>
      </c>
    </row>
    <row r="44813" spans="26:26" x14ac:dyDescent="0.2">
      <c r="Z44813" t="str">
        <f t="shared" si="700"/>
        <v/>
      </c>
    </row>
    <row r="44814" spans="26:26" x14ac:dyDescent="0.2">
      <c r="Z44814" t="str">
        <f t="shared" si="700"/>
        <v/>
      </c>
    </row>
    <row r="44815" spans="26:26" x14ac:dyDescent="0.2">
      <c r="Z44815" t="str">
        <f t="shared" si="700"/>
        <v/>
      </c>
    </row>
    <row r="44816" spans="26:26" x14ac:dyDescent="0.2">
      <c r="Z44816" t="str">
        <f t="shared" si="700"/>
        <v/>
      </c>
    </row>
    <row r="44817" spans="26:26" x14ac:dyDescent="0.2">
      <c r="Z44817" t="str">
        <f t="shared" si="700"/>
        <v/>
      </c>
    </row>
    <row r="44818" spans="26:26" x14ac:dyDescent="0.2">
      <c r="Z44818" t="str">
        <f t="shared" si="700"/>
        <v/>
      </c>
    </row>
    <row r="44819" spans="26:26" x14ac:dyDescent="0.2">
      <c r="Z44819" t="str">
        <f t="shared" si="700"/>
        <v/>
      </c>
    </row>
    <row r="44820" spans="26:26" x14ac:dyDescent="0.2">
      <c r="Z44820" t="str">
        <f t="shared" si="700"/>
        <v/>
      </c>
    </row>
    <row r="44821" spans="26:26" x14ac:dyDescent="0.2">
      <c r="Z44821" t="str">
        <f t="shared" si="700"/>
        <v/>
      </c>
    </row>
    <row r="44822" spans="26:26" x14ac:dyDescent="0.2">
      <c r="Z44822" t="str">
        <f t="shared" si="700"/>
        <v/>
      </c>
    </row>
    <row r="44823" spans="26:26" x14ac:dyDescent="0.2">
      <c r="Z44823" t="str">
        <f t="shared" si="700"/>
        <v/>
      </c>
    </row>
    <row r="44824" spans="26:26" x14ac:dyDescent="0.2">
      <c r="Z44824" t="str">
        <f t="shared" si="700"/>
        <v/>
      </c>
    </row>
    <row r="44825" spans="26:26" x14ac:dyDescent="0.2">
      <c r="Z44825" t="str">
        <f t="shared" si="700"/>
        <v/>
      </c>
    </row>
    <row r="44826" spans="26:26" x14ac:dyDescent="0.2">
      <c r="Z44826" t="str">
        <f t="shared" si="700"/>
        <v/>
      </c>
    </row>
    <row r="44827" spans="26:26" x14ac:dyDescent="0.2">
      <c r="Z44827" t="str">
        <f t="shared" si="700"/>
        <v/>
      </c>
    </row>
    <row r="44828" spans="26:26" x14ac:dyDescent="0.2">
      <c r="Z44828" t="str">
        <f t="shared" si="700"/>
        <v/>
      </c>
    </row>
    <row r="44829" spans="26:26" x14ac:dyDescent="0.2">
      <c r="Z44829" t="str">
        <f t="shared" si="700"/>
        <v/>
      </c>
    </row>
    <row r="44830" spans="26:26" x14ac:dyDescent="0.2">
      <c r="Z44830" t="str">
        <f t="shared" si="700"/>
        <v/>
      </c>
    </row>
    <row r="44831" spans="26:26" x14ac:dyDescent="0.2">
      <c r="Z44831" t="str">
        <f t="shared" si="700"/>
        <v/>
      </c>
    </row>
    <row r="44832" spans="26:26" x14ac:dyDescent="0.2">
      <c r="Z44832" t="str">
        <f t="shared" si="700"/>
        <v/>
      </c>
    </row>
    <row r="44833" spans="26:26" x14ac:dyDescent="0.2">
      <c r="Z44833" t="str">
        <f t="shared" si="700"/>
        <v/>
      </c>
    </row>
    <row r="44834" spans="26:26" x14ac:dyDescent="0.2">
      <c r="Z44834" t="str">
        <f t="shared" si="700"/>
        <v/>
      </c>
    </row>
    <row r="44835" spans="26:26" x14ac:dyDescent="0.2">
      <c r="Z44835" t="str">
        <f t="shared" si="700"/>
        <v/>
      </c>
    </row>
    <row r="44836" spans="26:26" x14ac:dyDescent="0.2">
      <c r="Z44836" t="str">
        <f t="shared" si="700"/>
        <v/>
      </c>
    </row>
    <row r="44837" spans="26:26" x14ac:dyDescent="0.2">
      <c r="Z44837" t="str">
        <f t="shared" si="700"/>
        <v/>
      </c>
    </row>
    <row r="44838" spans="26:26" x14ac:dyDescent="0.2">
      <c r="Z44838" t="str">
        <f t="shared" si="700"/>
        <v/>
      </c>
    </row>
    <row r="44839" spans="26:26" x14ac:dyDescent="0.2">
      <c r="Z44839" t="str">
        <f t="shared" si="700"/>
        <v/>
      </c>
    </row>
    <row r="44840" spans="26:26" x14ac:dyDescent="0.2">
      <c r="Z44840" t="str">
        <f t="shared" si="700"/>
        <v/>
      </c>
    </row>
    <row r="44841" spans="26:26" x14ac:dyDescent="0.2">
      <c r="Z44841" t="str">
        <f t="shared" si="700"/>
        <v/>
      </c>
    </row>
    <row r="44842" spans="26:26" x14ac:dyDescent="0.2">
      <c r="Z44842" t="str">
        <f t="shared" si="700"/>
        <v/>
      </c>
    </row>
    <row r="44843" spans="26:26" x14ac:dyDescent="0.2">
      <c r="Z44843" t="str">
        <f t="shared" si="700"/>
        <v/>
      </c>
    </row>
    <row r="44844" spans="26:26" x14ac:dyDescent="0.2">
      <c r="Z44844" t="str">
        <f t="shared" si="700"/>
        <v/>
      </c>
    </row>
    <row r="44845" spans="26:26" x14ac:dyDescent="0.2">
      <c r="Z44845" t="str">
        <f t="shared" si="700"/>
        <v/>
      </c>
    </row>
    <row r="44846" spans="26:26" x14ac:dyDescent="0.2">
      <c r="Z44846" t="str">
        <f t="shared" si="700"/>
        <v/>
      </c>
    </row>
    <row r="44847" spans="26:26" x14ac:dyDescent="0.2">
      <c r="Z44847" t="str">
        <f t="shared" si="700"/>
        <v/>
      </c>
    </row>
    <row r="44848" spans="26:26" x14ac:dyDescent="0.2">
      <c r="Z44848" t="str">
        <f t="shared" si="700"/>
        <v/>
      </c>
    </row>
    <row r="44849" spans="26:26" x14ac:dyDescent="0.2">
      <c r="Z44849" t="str">
        <f t="shared" si="700"/>
        <v/>
      </c>
    </row>
    <row r="44850" spans="26:26" x14ac:dyDescent="0.2">
      <c r="Z44850" t="str">
        <f t="shared" si="700"/>
        <v/>
      </c>
    </row>
    <row r="44851" spans="26:26" x14ac:dyDescent="0.2">
      <c r="Z44851" t="str">
        <f t="shared" si="700"/>
        <v/>
      </c>
    </row>
    <row r="44852" spans="26:26" x14ac:dyDescent="0.2">
      <c r="Z44852" t="str">
        <f t="shared" si="700"/>
        <v/>
      </c>
    </row>
    <row r="44853" spans="26:26" x14ac:dyDescent="0.2">
      <c r="Z44853" t="str">
        <f t="shared" si="700"/>
        <v/>
      </c>
    </row>
    <row r="44854" spans="26:26" x14ac:dyDescent="0.2">
      <c r="Z44854" t="str">
        <f t="shared" si="700"/>
        <v/>
      </c>
    </row>
    <row r="44855" spans="26:26" x14ac:dyDescent="0.2">
      <c r="Z44855" t="str">
        <f t="shared" si="700"/>
        <v/>
      </c>
    </row>
    <row r="44856" spans="26:26" x14ac:dyDescent="0.2">
      <c r="Z44856" t="str">
        <f t="shared" si="700"/>
        <v/>
      </c>
    </row>
    <row r="44857" spans="26:26" x14ac:dyDescent="0.2">
      <c r="Z44857" t="str">
        <f t="shared" si="700"/>
        <v/>
      </c>
    </row>
    <row r="44858" spans="26:26" x14ac:dyDescent="0.2">
      <c r="Z44858" t="str">
        <f t="shared" si="700"/>
        <v/>
      </c>
    </row>
    <row r="44859" spans="26:26" x14ac:dyDescent="0.2">
      <c r="Z44859" t="str">
        <f t="shared" si="700"/>
        <v/>
      </c>
    </row>
    <row r="44860" spans="26:26" x14ac:dyDescent="0.2">
      <c r="Z44860" t="str">
        <f t="shared" si="700"/>
        <v/>
      </c>
    </row>
    <row r="44861" spans="26:26" x14ac:dyDescent="0.2">
      <c r="Z44861" t="str">
        <f t="shared" si="700"/>
        <v/>
      </c>
    </row>
    <row r="44862" spans="26:26" x14ac:dyDescent="0.2">
      <c r="Z44862" t="str">
        <f t="shared" si="700"/>
        <v/>
      </c>
    </row>
    <row r="44863" spans="26:26" x14ac:dyDescent="0.2">
      <c r="Z44863" t="str">
        <f t="shared" si="700"/>
        <v/>
      </c>
    </row>
    <row r="44864" spans="26:26" x14ac:dyDescent="0.2">
      <c r="Z44864" t="str">
        <f t="shared" si="700"/>
        <v/>
      </c>
    </row>
    <row r="44865" spans="26:26" x14ac:dyDescent="0.2">
      <c r="Z44865" t="str">
        <f t="shared" si="700"/>
        <v/>
      </c>
    </row>
    <row r="44866" spans="26:26" x14ac:dyDescent="0.2">
      <c r="Z44866" t="str">
        <f t="shared" si="700"/>
        <v/>
      </c>
    </row>
    <row r="44867" spans="26:26" x14ac:dyDescent="0.2">
      <c r="Z44867" t="str">
        <f t="shared" ref="Z44867:Z44930" si="701">IF(K44867="","",IFERROR(VALUE(TRIM(MID(K44867,FIND(CHAR(167),SUBSTITUTE(K44867,"-",CHAR(167),LEN(K44867)-LEN(SUBSTITUTE(K44867,"-",""))))+1,100))),K44867))</f>
        <v/>
      </c>
    </row>
    <row r="44868" spans="26:26" x14ac:dyDescent="0.2">
      <c r="Z44868" t="str">
        <f t="shared" si="701"/>
        <v/>
      </c>
    </row>
    <row r="44869" spans="26:26" x14ac:dyDescent="0.2">
      <c r="Z44869" t="str">
        <f t="shared" si="701"/>
        <v/>
      </c>
    </row>
    <row r="44870" spans="26:26" x14ac:dyDescent="0.2">
      <c r="Z44870" t="str">
        <f t="shared" si="701"/>
        <v/>
      </c>
    </row>
    <row r="44871" spans="26:26" x14ac:dyDescent="0.2">
      <c r="Z44871" t="str">
        <f t="shared" si="701"/>
        <v/>
      </c>
    </row>
    <row r="44872" spans="26:26" x14ac:dyDescent="0.2">
      <c r="Z44872" t="str">
        <f t="shared" si="701"/>
        <v/>
      </c>
    </row>
    <row r="44873" spans="26:26" x14ac:dyDescent="0.2">
      <c r="Z44873" t="str">
        <f t="shared" si="701"/>
        <v/>
      </c>
    </row>
    <row r="44874" spans="26:26" x14ac:dyDescent="0.2">
      <c r="Z44874" t="str">
        <f t="shared" si="701"/>
        <v/>
      </c>
    </row>
    <row r="44875" spans="26:26" x14ac:dyDescent="0.2">
      <c r="Z44875" t="str">
        <f t="shared" si="701"/>
        <v/>
      </c>
    </row>
    <row r="44876" spans="26:26" x14ac:dyDescent="0.2">
      <c r="Z44876" t="str">
        <f t="shared" si="701"/>
        <v/>
      </c>
    </row>
    <row r="44877" spans="26:26" x14ac:dyDescent="0.2">
      <c r="Z44877" t="str">
        <f t="shared" si="701"/>
        <v/>
      </c>
    </row>
    <row r="44878" spans="26:26" x14ac:dyDescent="0.2">
      <c r="Z44878" t="str">
        <f t="shared" si="701"/>
        <v/>
      </c>
    </row>
    <row r="44879" spans="26:26" x14ac:dyDescent="0.2">
      <c r="Z44879" t="str">
        <f t="shared" si="701"/>
        <v/>
      </c>
    </row>
    <row r="44880" spans="26:26" x14ac:dyDescent="0.2">
      <c r="Z44880" t="str">
        <f t="shared" si="701"/>
        <v/>
      </c>
    </row>
    <row r="44881" spans="26:26" x14ac:dyDescent="0.2">
      <c r="Z44881" t="str">
        <f t="shared" si="701"/>
        <v/>
      </c>
    </row>
    <row r="44882" spans="26:26" x14ac:dyDescent="0.2">
      <c r="Z44882" t="str">
        <f t="shared" si="701"/>
        <v/>
      </c>
    </row>
    <row r="44883" spans="26:26" x14ac:dyDescent="0.2">
      <c r="Z44883" t="str">
        <f t="shared" si="701"/>
        <v/>
      </c>
    </row>
    <row r="44884" spans="26:26" x14ac:dyDescent="0.2">
      <c r="Z44884" t="str">
        <f t="shared" si="701"/>
        <v/>
      </c>
    </row>
    <row r="44885" spans="26:26" x14ac:dyDescent="0.2">
      <c r="Z44885" t="str">
        <f t="shared" si="701"/>
        <v/>
      </c>
    </row>
    <row r="44886" spans="26:26" x14ac:dyDescent="0.2">
      <c r="Z44886" t="str">
        <f t="shared" si="701"/>
        <v/>
      </c>
    </row>
    <row r="44887" spans="26:26" x14ac:dyDescent="0.2">
      <c r="Z44887" t="str">
        <f t="shared" si="701"/>
        <v/>
      </c>
    </row>
    <row r="44888" spans="26:26" x14ac:dyDescent="0.2">
      <c r="Z44888" t="str">
        <f t="shared" si="701"/>
        <v/>
      </c>
    </row>
    <row r="44889" spans="26:26" x14ac:dyDescent="0.2">
      <c r="Z44889" t="str">
        <f t="shared" si="701"/>
        <v/>
      </c>
    </row>
    <row r="44890" spans="26:26" x14ac:dyDescent="0.2">
      <c r="Z44890" t="str">
        <f t="shared" si="701"/>
        <v/>
      </c>
    </row>
    <row r="44891" spans="26:26" x14ac:dyDescent="0.2">
      <c r="Z44891" t="str">
        <f t="shared" si="701"/>
        <v/>
      </c>
    </row>
    <row r="44892" spans="26:26" x14ac:dyDescent="0.2">
      <c r="Z44892" t="str">
        <f t="shared" si="701"/>
        <v/>
      </c>
    </row>
    <row r="44893" spans="26:26" x14ac:dyDescent="0.2">
      <c r="Z44893" t="str">
        <f t="shared" si="701"/>
        <v/>
      </c>
    </row>
    <row r="44894" spans="26:26" x14ac:dyDescent="0.2">
      <c r="Z44894" t="str">
        <f t="shared" si="701"/>
        <v/>
      </c>
    </row>
    <row r="44895" spans="26:26" x14ac:dyDescent="0.2">
      <c r="Z44895" t="str">
        <f t="shared" si="701"/>
        <v/>
      </c>
    </row>
    <row r="44896" spans="26:26" x14ac:dyDescent="0.2">
      <c r="Z44896" t="str">
        <f t="shared" si="701"/>
        <v/>
      </c>
    </row>
    <row r="44897" spans="26:26" x14ac:dyDescent="0.2">
      <c r="Z44897" t="str">
        <f t="shared" si="701"/>
        <v/>
      </c>
    </row>
    <row r="44898" spans="26:26" x14ac:dyDescent="0.2">
      <c r="Z44898" t="str">
        <f t="shared" si="701"/>
        <v/>
      </c>
    </row>
    <row r="44899" spans="26:26" x14ac:dyDescent="0.2">
      <c r="Z44899" t="str">
        <f t="shared" si="701"/>
        <v/>
      </c>
    </row>
    <row r="44900" spans="26:26" x14ac:dyDescent="0.2">
      <c r="Z44900" t="str">
        <f t="shared" si="701"/>
        <v/>
      </c>
    </row>
    <row r="44901" spans="26:26" x14ac:dyDescent="0.2">
      <c r="Z44901" t="str">
        <f t="shared" si="701"/>
        <v/>
      </c>
    </row>
    <row r="44902" spans="26:26" x14ac:dyDescent="0.2">
      <c r="Z44902" t="str">
        <f t="shared" si="701"/>
        <v/>
      </c>
    </row>
    <row r="44903" spans="26:26" x14ac:dyDescent="0.2">
      <c r="Z44903" t="str">
        <f t="shared" si="701"/>
        <v/>
      </c>
    </row>
    <row r="44904" spans="26:26" x14ac:dyDescent="0.2">
      <c r="Z44904" t="str">
        <f t="shared" si="701"/>
        <v/>
      </c>
    </row>
    <row r="44905" spans="26:26" x14ac:dyDescent="0.2">
      <c r="Z44905" t="str">
        <f t="shared" si="701"/>
        <v/>
      </c>
    </row>
    <row r="44906" spans="26:26" x14ac:dyDescent="0.2">
      <c r="Z44906" t="str">
        <f t="shared" si="701"/>
        <v/>
      </c>
    </row>
    <row r="44907" spans="26:26" x14ac:dyDescent="0.2">
      <c r="Z44907" t="str">
        <f t="shared" si="701"/>
        <v/>
      </c>
    </row>
    <row r="44908" spans="26:26" x14ac:dyDescent="0.2">
      <c r="Z44908" t="str">
        <f t="shared" si="701"/>
        <v/>
      </c>
    </row>
    <row r="44909" spans="26:26" x14ac:dyDescent="0.2">
      <c r="Z44909" t="str">
        <f t="shared" si="701"/>
        <v/>
      </c>
    </row>
    <row r="44910" spans="26:26" x14ac:dyDescent="0.2">
      <c r="Z44910" t="str">
        <f t="shared" si="701"/>
        <v/>
      </c>
    </row>
    <row r="44911" spans="26:26" x14ac:dyDescent="0.2">
      <c r="Z44911" t="str">
        <f t="shared" si="701"/>
        <v/>
      </c>
    </row>
    <row r="44912" spans="26:26" x14ac:dyDescent="0.2">
      <c r="Z44912" t="str">
        <f t="shared" si="701"/>
        <v/>
      </c>
    </row>
    <row r="44913" spans="26:26" x14ac:dyDescent="0.2">
      <c r="Z44913" t="str">
        <f t="shared" si="701"/>
        <v/>
      </c>
    </row>
    <row r="44914" spans="26:26" x14ac:dyDescent="0.2">
      <c r="Z44914" t="str">
        <f t="shared" si="701"/>
        <v/>
      </c>
    </row>
    <row r="44915" spans="26:26" x14ac:dyDescent="0.2">
      <c r="Z44915" t="str">
        <f t="shared" si="701"/>
        <v/>
      </c>
    </row>
    <row r="44916" spans="26:26" x14ac:dyDescent="0.2">
      <c r="Z44916" t="str">
        <f t="shared" si="701"/>
        <v/>
      </c>
    </row>
    <row r="44917" spans="26:26" x14ac:dyDescent="0.2">
      <c r="Z44917" t="str">
        <f t="shared" si="701"/>
        <v/>
      </c>
    </row>
    <row r="44918" spans="26:26" x14ac:dyDescent="0.2">
      <c r="Z44918" t="str">
        <f t="shared" si="701"/>
        <v/>
      </c>
    </row>
    <row r="44919" spans="26:26" x14ac:dyDescent="0.2">
      <c r="Z44919" t="str">
        <f t="shared" si="701"/>
        <v/>
      </c>
    </row>
    <row r="44920" spans="26:26" x14ac:dyDescent="0.2">
      <c r="Z44920" t="str">
        <f t="shared" si="701"/>
        <v/>
      </c>
    </row>
    <row r="44921" spans="26:26" x14ac:dyDescent="0.2">
      <c r="Z44921" t="str">
        <f t="shared" si="701"/>
        <v/>
      </c>
    </row>
    <row r="44922" spans="26:26" x14ac:dyDescent="0.2">
      <c r="Z44922" t="str">
        <f t="shared" si="701"/>
        <v/>
      </c>
    </row>
    <row r="44923" spans="26:26" x14ac:dyDescent="0.2">
      <c r="Z44923" t="str">
        <f t="shared" si="701"/>
        <v/>
      </c>
    </row>
    <row r="44924" spans="26:26" x14ac:dyDescent="0.2">
      <c r="Z44924" t="str">
        <f t="shared" si="701"/>
        <v/>
      </c>
    </row>
    <row r="44925" spans="26:26" x14ac:dyDescent="0.2">
      <c r="Z44925" t="str">
        <f t="shared" si="701"/>
        <v/>
      </c>
    </row>
    <row r="44926" spans="26:26" x14ac:dyDescent="0.2">
      <c r="Z44926" t="str">
        <f t="shared" si="701"/>
        <v/>
      </c>
    </row>
    <row r="44927" spans="26:26" x14ac:dyDescent="0.2">
      <c r="Z44927" t="str">
        <f t="shared" si="701"/>
        <v/>
      </c>
    </row>
    <row r="44928" spans="26:26" x14ac:dyDescent="0.2">
      <c r="Z44928" t="str">
        <f t="shared" si="701"/>
        <v/>
      </c>
    </row>
    <row r="44929" spans="26:26" x14ac:dyDescent="0.2">
      <c r="Z44929" t="str">
        <f t="shared" si="701"/>
        <v/>
      </c>
    </row>
    <row r="44930" spans="26:26" x14ac:dyDescent="0.2">
      <c r="Z44930" t="str">
        <f t="shared" si="701"/>
        <v/>
      </c>
    </row>
    <row r="44931" spans="26:26" x14ac:dyDescent="0.2">
      <c r="Z44931" t="str">
        <f t="shared" ref="Z44931:Z44994" si="702">IF(K44931="","",IFERROR(VALUE(TRIM(MID(K44931,FIND(CHAR(167),SUBSTITUTE(K44931,"-",CHAR(167),LEN(K44931)-LEN(SUBSTITUTE(K44931,"-",""))))+1,100))),K44931))</f>
        <v/>
      </c>
    </row>
    <row r="44932" spans="26:26" x14ac:dyDescent="0.2">
      <c r="Z44932" t="str">
        <f t="shared" si="702"/>
        <v/>
      </c>
    </row>
    <row r="44933" spans="26:26" x14ac:dyDescent="0.2">
      <c r="Z44933" t="str">
        <f t="shared" si="702"/>
        <v/>
      </c>
    </row>
    <row r="44934" spans="26:26" x14ac:dyDescent="0.2">
      <c r="Z44934" t="str">
        <f t="shared" si="702"/>
        <v/>
      </c>
    </row>
    <row r="44935" spans="26:26" x14ac:dyDescent="0.2">
      <c r="Z44935" t="str">
        <f t="shared" si="702"/>
        <v/>
      </c>
    </row>
    <row r="44936" spans="26:26" x14ac:dyDescent="0.2">
      <c r="Z44936" t="str">
        <f t="shared" si="702"/>
        <v/>
      </c>
    </row>
    <row r="44937" spans="26:26" x14ac:dyDescent="0.2">
      <c r="Z44937" t="str">
        <f t="shared" si="702"/>
        <v/>
      </c>
    </row>
    <row r="44938" spans="26:26" x14ac:dyDescent="0.2">
      <c r="Z44938" t="str">
        <f t="shared" si="702"/>
        <v/>
      </c>
    </row>
    <row r="44939" spans="26:26" x14ac:dyDescent="0.2">
      <c r="Z44939" t="str">
        <f t="shared" si="702"/>
        <v/>
      </c>
    </row>
    <row r="44940" spans="26:26" x14ac:dyDescent="0.2">
      <c r="Z44940" t="str">
        <f t="shared" si="702"/>
        <v/>
      </c>
    </row>
    <row r="44941" spans="26:26" x14ac:dyDescent="0.2">
      <c r="Z44941" t="str">
        <f t="shared" si="702"/>
        <v/>
      </c>
    </row>
    <row r="44942" spans="26:26" x14ac:dyDescent="0.2">
      <c r="Z44942" t="str">
        <f t="shared" si="702"/>
        <v/>
      </c>
    </row>
    <row r="44943" spans="26:26" x14ac:dyDescent="0.2">
      <c r="Z44943" t="str">
        <f t="shared" si="702"/>
        <v/>
      </c>
    </row>
    <row r="44944" spans="26:26" x14ac:dyDescent="0.2">
      <c r="Z44944" t="str">
        <f t="shared" si="702"/>
        <v/>
      </c>
    </row>
    <row r="44945" spans="26:26" x14ac:dyDescent="0.2">
      <c r="Z44945" t="str">
        <f t="shared" si="702"/>
        <v/>
      </c>
    </row>
    <row r="44946" spans="26:26" x14ac:dyDescent="0.2">
      <c r="Z44946" t="str">
        <f t="shared" si="702"/>
        <v/>
      </c>
    </row>
    <row r="44947" spans="26:26" x14ac:dyDescent="0.2">
      <c r="Z44947" t="str">
        <f t="shared" si="702"/>
        <v/>
      </c>
    </row>
    <row r="44948" spans="26:26" x14ac:dyDescent="0.2">
      <c r="Z44948" t="str">
        <f t="shared" si="702"/>
        <v/>
      </c>
    </row>
    <row r="44949" spans="26:26" x14ac:dyDescent="0.2">
      <c r="Z44949" t="str">
        <f t="shared" si="702"/>
        <v/>
      </c>
    </row>
    <row r="44950" spans="26:26" x14ac:dyDescent="0.2">
      <c r="Z44950" t="str">
        <f t="shared" si="702"/>
        <v/>
      </c>
    </row>
    <row r="44951" spans="26:26" x14ac:dyDescent="0.2">
      <c r="Z44951" t="str">
        <f t="shared" si="702"/>
        <v/>
      </c>
    </row>
    <row r="44952" spans="26:26" x14ac:dyDescent="0.2">
      <c r="Z44952" t="str">
        <f t="shared" si="702"/>
        <v/>
      </c>
    </row>
    <row r="44953" spans="26:26" x14ac:dyDescent="0.2">
      <c r="Z44953" t="str">
        <f t="shared" si="702"/>
        <v/>
      </c>
    </row>
    <row r="44954" spans="26:26" x14ac:dyDescent="0.2">
      <c r="Z44954" t="str">
        <f t="shared" si="702"/>
        <v/>
      </c>
    </row>
    <row r="44955" spans="26:26" x14ac:dyDescent="0.2">
      <c r="Z44955" t="str">
        <f t="shared" si="702"/>
        <v/>
      </c>
    </row>
    <row r="44956" spans="26:26" x14ac:dyDescent="0.2">
      <c r="Z44956" t="str">
        <f t="shared" si="702"/>
        <v/>
      </c>
    </row>
    <row r="44957" spans="26:26" x14ac:dyDescent="0.2">
      <c r="Z44957" t="str">
        <f t="shared" si="702"/>
        <v/>
      </c>
    </row>
    <row r="44958" spans="26:26" x14ac:dyDescent="0.2">
      <c r="Z44958" t="str">
        <f t="shared" si="702"/>
        <v/>
      </c>
    </row>
    <row r="44959" spans="26:26" x14ac:dyDescent="0.2">
      <c r="Z44959" t="str">
        <f t="shared" si="702"/>
        <v/>
      </c>
    </row>
    <row r="44960" spans="26:26" x14ac:dyDescent="0.2">
      <c r="Z44960" t="str">
        <f t="shared" si="702"/>
        <v/>
      </c>
    </row>
    <row r="44961" spans="26:26" x14ac:dyDescent="0.2">
      <c r="Z44961" t="str">
        <f t="shared" si="702"/>
        <v/>
      </c>
    </row>
    <row r="44962" spans="26:26" x14ac:dyDescent="0.2">
      <c r="Z44962" t="str">
        <f t="shared" si="702"/>
        <v/>
      </c>
    </row>
    <row r="44963" spans="26:26" x14ac:dyDescent="0.2">
      <c r="Z44963" t="str">
        <f t="shared" si="702"/>
        <v/>
      </c>
    </row>
    <row r="44964" spans="26:26" x14ac:dyDescent="0.2">
      <c r="Z44964" t="str">
        <f t="shared" si="702"/>
        <v/>
      </c>
    </row>
    <row r="44965" spans="26:26" x14ac:dyDescent="0.2">
      <c r="Z44965" t="str">
        <f t="shared" si="702"/>
        <v/>
      </c>
    </row>
    <row r="44966" spans="26:26" x14ac:dyDescent="0.2">
      <c r="Z44966" t="str">
        <f t="shared" si="702"/>
        <v/>
      </c>
    </row>
    <row r="44967" spans="26:26" x14ac:dyDescent="0.2">
      <c r="Z44967" t="str">
        <f t="shared" si="702"/>
        <v/>
      </c>
    </row>
    <row r="44968" spans="26:26" x14ac:dyDescent="0.2">
      <c r="Z44968" t="str">
        <f t="shared" si="702"/>
        <v/>
      </c>
    </row>
    <row r="44969" spans="26:26" x14ac:dyDescent="0.2">
      <c r="Z44969" t="str">
        <f t="shared" si="702"/>
        <v/>
      </c>
    </row>
    <row r="44970" spans="26:26" x14ac:dyDescent="0.2">
      <c r="Z44970" t="str">
        <f t="shared" si="702"/>
        <v/>
      </c>
    </row>
    <row r="44971" spans="26:26" x14ac:dyDescent="0.2">
      <c r="Z44971" t="str">
        <f t="shared" si="702"/>
        <v/>
      </c>
    </row>
    <row r="44972" spans="26:26" x14ac:dyDescent="0.2">
      <c r="Z44972" t="str">
        <f t="shared" si="702"/>
        <v/>
      </c>
    </row>
    <row r="44973" spans="26:26" x14ac:dyDescent="0.2">
      <c r="Z44973" t="str">
        <f t="shared" si="702"/>
        <v/>
      </c>
    </row>
    <row r="44974" spans="26:26" x14ac:dyDescent="0.2">
      <c r="Z44974" t="str">
        <f t="shared" si="702"/>
        <v/>
      </c>
    </row>
    <row r="44975" spans="26:26" x14ac:dyDescent="0.2">
      <c r="Z44975" t="str">
        <f t="shared" si="702"/>
        <v/>
      </c>
    </row>
    <row r="44976" spans="26:26" x14ac:dyDescent="0.2">
      <c r="Z44976" t="str">
        <f t="shared" si="702"/>
        <v/>
      </c>
    </row>
    <row r="44977" spans="26:26" x14ac:dyDescent="0.2">
      <c r="Z44977" t="str">
        <f t="shared" si="702"/>
        <v/>
      </c>
    </row>
    <row r="44978" spans="26:26" x14ac:dyDescent="0.2">
      <c r="Z44978" t="str">
        <f t="shared" si="702"/>
        <v/>
      </c>
    </row>
    <row r="44979" spans="26:26" x14ac:dyDescent="0.2">
      <c r="Z44979" t="str">
        <f t="shared" si="702"/>
        <v/>
      </c>
    </row>
    <row r="44980" spans="26:26" x14ac:dyDescent="0.2">
      <c r="Z44980" t="str">
        <f t="shared" si="702"/>
        <v/>
      </c>
    </row>
    <row r="44981" spans="26:26" x14ac:dyDescent="0.2">
      <c r="Z44981" t="str">
        <f t="shared" si="702"/>
        <v/>
      </c>
    </row>
    <row r="44982" spans="26:26" x14ac:dyDescent="0.2">
      <c r="Z44982" t="str">
        <f t="shared" si="702"/>
        <v/>
      </c>
    </row>
    <row r="44983" spans="26:26" x14ac:dyDescent="0.2">
      <c r="Z44983" t="str">
        <f t="shared" si="702"/>
        <v/>
      </c>
    </row>
    <row r="44984" spans="26:26" x14ac:dyDescent="0.2">
      <c r="Z44984" t="str">
        <f t="shared" si="702"/>
        <v/>
      </c>
    </row>
    <row r="44985" spans="26:26" x14ac:dyDescent="0.2">
      <c r="Z44985" t="str">
        <f t="shared" si="702"/>
        <v/>
      </c>
    </row>
    <row r="44986" spans="26:26" x14ac:dyDescent="0.2">
      <c r="Z44986" t="str">
        <f t="shared" si="702"/>
        <v/>
      </c>
    </row>
    <row r="44987" spans="26:26" x14ac:dyDescent="0.2">
      <c r="Z44987" t="str">
        <f t="shared" si="702"/>
        <v/>
      </c>
    </row>
    <row r="44988" spans="26:26" x14ac:dyDescent="0.2">
      <c r="Z44988" t="str">
        <f t="shared" si="702"/>
        <v/>
      </c>
    </row>
    <row r="44989" spans="26:26" x14ac:dyDescent="0.2">
      <c r="Z44989" t="str">
        <f t="shared" si="702"/>
        <v/>
      </c>
    </row>
    <row r="44990" spans="26:26" x14ac:dyDescent="0.2">
      <c r="Z44990" t="str">
        <f t="shared" si="702"/>
        <v/>
      </c>
    </row>
    <row r="44991" spans="26:26" x14ac:dyDescent="0.2">
      <c r="Z44991" t="str">
        <f t="shared" si="702"/>
        <v/>
      </c>
    </row>
    <row r="44992" spans="26:26" x14ac:dyDescent="0.2">
      <c r="Z44992" t="str">
        <f t="shared" si="702"/>
        <v/>
      </c>
    </row>
    <row r="44993" spans="26:26" x14ac:dyDescent="0.2">
      <c r="Z44993" t="str">
        <f t="shared" si="702"/>
        <v/>
      </c>
    </row>
    <row r="44994" spans="26:26" x14ac:dyDescent="0.2">
      <c r="Z44994" t="str">
        <f t="shared" si="702"/>
        <v/>
      </c>
    </row>
    <row r="44995" spans="26:26" x14ac:dyDescent="0.2">
      <c r="Z44995" t="str">
        <f t="shared" ref="Z44995:Z45058" si="703">IF(K44995="","",IFERROR(VALUE(TRIM(MID(K44995,FIND(CHAR(167),SUBSTITUTE(K44995,"-",CHAR(167),LEN(K44995)-LEN(SUBSTITUTE(K44995,"-",""))))+1,100))),K44995))</f>
        <v/>
      </c>
    </row>
    <row r="44996" spans="26:26" x14ac:dyDescent="0.2">
      <c r="Z44996" t="str">
        <f t="shared" si="703"/>
        <v/>
      </c>
    </row>
    <row r="44997" spans="26:26" x14ac:dyDescent="0.2">
      <c r="Z44997" t="str">
        <f t="shared" si="703"/>
        <v/>
      </c>
    </row>
    <row r="44998" spans="26:26" x14ac:dyDescent="0.2">
      <c r="Z44998" t="str">
        <f t="shared" si="703"/>
        <v/>
      </c>
    </row>
    <row r="44999" spans="26:26" x14ac:dyDescent="0.2">
      <c r="Z44999" t="str">
        <f t="shared" si="703"/>
        <v/>
      </c>
    </row>
    <row r="45000" spans="26:26" x14ac:dyDescent="0.2">
      <c r="Z45000" t="str">
        <f t="shared" si="703"/>
        <v/>
      </c>
    </row>
    <row r="45001" spans="26:26" x14ac:dyDescent="0.2">
      <c r="Z45001" t="str">
        <f t="shared" si="703"/>
        <v/>
      </c>
    </row>
    <row r="45002" spans="26:26" x14ac:dyDescent="0.2">
      <c r="Z45002" t="str">
        <f t="shared" si="703"/>
        <v/>
      </c>
    </row>
    <row r="45003" spans="26:26" x14ac:dyDescent="0.2">
      <c r="Z45003" t="str">
        <f t="shared" si="703"/>
        <v/>
      </c>
    </row>
    <row r="45004" spans="26:26" x14ac:dyDescent="0.2">
      <c r="Z45004" t="str">
        <f t="shared" si="703"/>
        <v/>
      </c>
    </row>
    <row r="45005" spans="26:26" x14ac:dyDescent="0.2">
      <c r="Z45005" t="str">
        <f t="shared" si="703"/>
        <v/>
      </c>
    </row>
    <row r="45006" spans="26:26" x14ac:dyDescent="0.2">
      <c r="Z45006" t="str">
        <f t="shared" si="703"/>
        <v/>
      </c>
    </row>
    <row r="45007" spans="26:26" x14ac:dyDescent="0.2">
      <c r="Z45007" t="str">
        <f t="shared" si="703"/>
        <v/>
      </c>
    </row>
    <row r="45008" spans="26:26" x14ac:dyDescent="0.2">
      <c r="Z45008" t="str">
        <f t="shared" si="703"/>
        <v/>
      </c>
    </row>
    <row r="45009" spans="26:26" x14ac:dyDescent="0.2">
      <c r="Z45009" t="str">
        <f t="shared" si="703"/>
        <v/>
      </c>
    </row>
    <row r="45010" spans="26:26" x14ac:dyDescent="0.2">
      <c r="Z45010" t="str">
        <f t="shared" si="703"/>
        <v/>
      </c>
    </row>
    <row r="45011" spans="26:26" x14ac:dyDescent="0.2">
      <c r="Z45011" t="str">
        <f t="shared" si="703"/>
        <v/>
      </c>
    </row>
    <row r="45012" spans="26:26" x14ac:dyDescent="0.2">
      <c r="Z45012" t="str">
        <f t="shared" si="703"/>
        <v/>
      </c>
    </row>
    <row r="45013" spans="26:26" x14ac:dyDescent="0.2">
      <c r="Z45013" t="str">
        <f t="shared" si="703"/>
        <v/>
      </c>
    </row>
    <row r="45014" spans="26:26" x14ac:dyDescent="0.2">
      <c r="Z45014" t="str">
        <f t="shared" si="703"/>
        <v/>
      </c>
    </row>
    <row r="45015" spans="26:26" x14ac:dyDescent="0.2">
      <c r="Z45015" t="str">
        <f t="shared" si="703"/>
        <v/>
      </c>
    </row>
    <row r="45016" spans="26:26" x14ac:dyDescent="0.2">
      <c r="Z45016" t="str">
        <f t="shared" si="703"/>
        <v/>
      </c>
    </row>
    <row r="45017" spans="26:26" x14ac:dyDescent="0.2">
      <c r="Z45017" t="str">
        <f t="shared" si="703"/>
        <v/>
      </c>
    </row>
    <row r="45018" spans="26:26" x14ac:dyDescent="0.2">
      <c r="Z45018" t="str">
        <f t="shared" si="703"/>
        <v/>
      </c>
    </row>
    <row r="45019" spans="26:26" x14ac:dyDescent="0.2">
      <c r="Z45019" t="str">
        <f t="shared" si="703"/>
        <v/>
      </c>
    </row>
    <row r="45020" spans="26:26" x14ac:dyDescent="0.2">
      <c r="Z45020" t="str">
        <f t="shared" si="703"/>
        <v/>
      </c>
    </row>
    <row r="45021" spans="26:26" x14ac:dyDescent="0.2">
      <c r="Z45021" t="str">
        <f t="shared" si="703"/>
        <v/>
      </c>
    </row>
    <row r="45022" spans="26:26" x14ac:dyDescent="0.2">
      <c r="Z45022" t="str">
        <f t="shared" si="703"/>
        <v/>
      </c>
    </row>
    <row r="45023" spans="26:26" x14ac:dyDescent="0.2">
      <c r="Z45023" t="str">
        <f t="shared" si="703"/>
        <v/>
      </c>
    </row>
    <row r="45024" spans="26:26" x14ac:dyDescent="0.2">
      <c r="Z45024" t="str">
        <f t="shared" si="703"/>
        <v/>
      </c>
    </row>
    <row r="45025" spans="26:26" x14ac:dyDescent="0.2">
      <c r="Z45025" t="str">
        <f t="shared" si="703"/>
        <v/>
      </c>
    </row>
    <row r="45026" spans="26:26" x14ac:dyDescent="0.2">
      <c r="Z45026" t="str">
        <f t="shared" si="703"/>
        <v/>
      </c>
    </row>
    <row r="45027" spans="26:26" x14ac:dyDescent="0.2">
      <c r="Z45027" t="str">
        <f t="shared" si="703"/>
        <v/>
      </c>
    </row>
    <row r="45028" spans="26:26" x14ac:dyDescent="0.2">
      <c r="Z45028" t="str">
        <f t="shared" si="703"/>
        <v/>
      </c>
    </row>
    <row r="45029" spans="26:26" x14ac:dyDescent="0.2">
      <c r="Z45029" t="str">
        <f t="shared" si="703"/>
        <v/>
      </c>
    </row>
    <row r="45030" spans="26:26" x14ac:dyDescent="0.2">
      <c r="Z45030" t="str">
        <f t="shared" si="703"/>
        <v/>
      </c>
    </row>
    <row r="45031" spans="26:26" x14ac:dyDescent="0.2">
      <c r="Z45031" t="str">
        <f t="shared" si="703"/>
        <v/>
      </c>
    </row>
    <row r="45032" spans="26:26" x14ac:dyDescent="0.2">
      <c r="Z45032" t="str">
        <f t="shared" si="703"/>
        <v/>
      </c>
    </row>
    <row r="45033" spans="26:26" x14ac:dyDescent="0.2">
      <c r="Z45033" t="str">
        <f t="shared" si="703"/>
        <v/>
      </c>
    </row>
    <row r="45034" spans="26:26" x14ac:dyDescent="0.2">
      <c r="Z45034" t="str">
        <f t="shared" si="703"/>
        <v/>
      </c>
    </row>
    <row r="45035" spans="26:26" x14ac:dyDescent="0.2">
      <c r="Z45035" t="str">
        <f t="shared" si="703"/>
        <v/>
      </c>
    </row>
    <row r="45036" spans="26:26" x14ac:dyDescent="0.2">
      <c r="Z45036" t="str">
        <f t="shared" si="703"/>
        <v/>
      </c>
    </row>
    <row r="45037" spans="26:26" x14ac:dyDescent="0.2">
      <c r="Z45037" t="str">
        <f t="shared" si="703"/>
        <v/>
      </c>
    </row>
    <row r="45038" spans="26:26" x14ac:dyDescent="0.2">
      <c r="Z45038" t="str">
        <f t="shared" si="703"/>
        <v/>
      </c>
    </row>
    <row r="45039" spans="26:26" x14ac:dyDescent="0.2">
      <c r="Z45039" t="str">
        <f t="shared" si="703"/>
        <v/>
      </c>
    </row>
    <row r="45040" spans="26:26" x14ac:dyDescent="0.2">
      <c r="Z45040" t="str">
        <f t="shared" si="703"/>
        <v/>
      </c>
    </row>
    <row r="45041" spans="26:26" x14ac:dyDescent="0.2">
      <c r="Z45041" t="str">
        <f t="shared" si="703"/>
        <v/>
      </c>
    </row>
    <row r="45042" spans="26:26" x14ac:dyDescent="0.2">
      <c r="Z45042" t="str">
        <f t="shared" si="703"/>
        <v/>
      </c>
    </row>
    <row r="45043" spans="26:26" x14ac:dyDescent="0.2">
      <c r="Z45043" t="str">
        <f t="shared" si="703"/>
        <v/>
      </c>
    </row>
    <row r="45044" spans="26:26" x14ac:dyDescent="0.2">
      <c r="Z45044" t="str">
        <f t="shared" si="703"/>
        <v/>
      </c>
    </row>
    <row r="45045" spans="26:26" x14ac:dyDescent="0.2">
      <c r="Z45045" t="str">
        <f t="shared" si="703"/>
        <v/>
      </c>
    </row>
    <row r="45046" spans="26:26" x14ac:dyDescent="0.2">
      <c r="Z45046" t="str">
        <f t="shared" si="703"/>
        <v/>
      </c>
    </row>
    <row r="45047" spans="26:26" x14ac:dyDescent="0.2">
      <c r="Z45047" t="str">
        <f t="shared" si="703"/>
        <v/>
      </c>
    </row>
    <row r="45048" spans="26:26" x14ac:dyDescent="0.2">
      <c r="Z45048" t="str">
        <f t="shared" si="703"/>
        <v/>
      </c>
    </row>
    <row r="45049" spans="26:26" x14ac:dyDescent="0.2">
      <c r="Z45049" t="str">
        <f t="shared" si="703"/>
        <v/>
      </c>
    </row>
    <row r="45050" spans="26:26" x14ac:dyDescent="0.2">
      <c r="Z45050" t="str">
        <f t="shared" si="703"/>
        <v/>
      </c>
    </row>
    <row r="45051" spans="26:26" x14ac:dyDescent="0.2">
      <c r="Z45051" t="str">
        <f t="shared" si="703"/>
        <v/>
      </c>
    </row>
    <row r="45052" spans="26:26" x14ac:dyDescent="0.2">
      <c r="Z45052" t="str">
        <f t="shared" si="703"/>
        <v/>
      </c>
    </row>
    <row r="45053" spans="26:26" x14ac:dyDescent="0.2">
      <c r="Z45053" t="str">
        <f t="shared" si="703"/>
        <v/>
      </c>
    </row>
    <row r="45054" spans="26:26" x14ac:dyDescent="0.2">
      <c r="Z45054" t="str">
        <f t="shared" si="703"/>
        <v/>
      </c>
    </row>
    <row r="45055" spans="26:26" x14ac:dyDescent="0.2">
      <c r="Z45055" t="str">
        <f t="shared" si="703"/>
        <v/>
      </c>
    </row>
    <row r="45056" spans="26:26" x14ac:dyDescent="0.2">
      <c r="Z45056" t="str">
        <f t="shared" si="703"/>
        <v/>
      </c>
    </row>
    <row r="45057" spans="26:26" x14ac:dyDescent="0.2">
      <c r="Z45057" t="str">
        <f t="shared" si="703"/>
        <v/>
      </c>
    </row>
    <row r="45058" spans="26:26" x14ac:dyDescent="0.2">
      <c r="Z45058" t="str">
        <f t="shared" si="703"/>
        <v/>
      </c>
    </row>
    <row r="45059" spans="26:26" x14ac:dyDescent="0.2">
      <c r="Z45059" t="str">
        <f t="shared" ref="Z45059:Z45122" si="704">IF(K45059="","",IFERROR(VALUE(TRIM(MID(K45059,FIND(CHAR(167),SUBSTITUTE(K45059,"-",CHAR(167),LEN(K45059)-LEN(SUBSTITUTE(K45059,"-",""))))+1,100))),K45059))</f>
        <v/>
      </c>
    </row>
    <row r="45060" spans="26:26" x14ac:dyDescent="0.2">
      <c r="Z45060" t="str">
        <f t="shared" si="704"/>
        <v/>
      </c>
    </row>
    <row r="45061" spans="26:26" x14ac:dyDescent="0.2">
      <c r="Z45061" t="str">
        <f t="shared" si="704"/>
        <v/>
      </c>
    </row>
    <row r="45062" spans="26:26" x14ac:dyDescent="0.2">
      <c r="Z45062" t="str">
        <f t="shared" si="704"/>
        <v/>
      </c>
    </row>
    <row r="45063" spans="26:26" x14ac:dyDescent="0.2">
      <c r="Z45063" t="str">
        <f t="shared" si="704"/>
        <v/>
      </c>
    </row>
    <row r="45064" spans="26:26" x14ac:dyDescent="0.2">
      <c r="Z45064" t="str">
        <f t="shared" si="704"/>
        <v/>
      </c>
    </row>
    <row r="45065" spans="26:26" x14ac:dyDescent="0.2">
      <c r="Z45065" t="str">
        <f t="shared" si="704"/>
        <v/>
      </c>
    </row>
    <row r="45066" spans="26:26" x14ac:dyDescent="0.2">
      <c r="Z45066" t="str">
        <f t="shared" si="704"/>
        <v/>
      </c>
    </row>
    <row r="45067" spans="26:26" x14ac:dyDescent="0.2">
      <c r="Z45067" t="str">
        <f t="shared" si="704"/>
        <v/>
      </c>
    </row>
    <row r="45068" spans="26:26" x14ac:dyDescent="0.2">
      <c r="Z45068" t="str">
        <f t="shared" si="704"/>
        <v/>
      </c>
    </row>
    <row r="45069" spans="26:26" x14ac:dyDescent="0.2">
      <c r="Z45069" t="str">
        <f t="shared" si="704"/>
        <v/>
      </c>
    </row>
    <row r="45070" spans="26:26" x14ac:dyDescent="0.2">
      <c r="Z45070" t="str">
        <f t="shared" si="704"/>
        <v/>
      </c>
    </row>
    <row r="45071" spans="26:26" x14ac:dyDescent="0.2">
      <c r="Z45071" t="str">
        <f t="shared" si="704"/>
        <v/>
      </c>
    </row>
    <row r="45072" spans="26:26" x14ac:dyDescent="0.2">
      <c r="Z45072" t="str">
        <f t="shared" si="704"/>
        <v/>
      </c>
    </row>
    <row r="45073" spans="26:26" x14ac:dyDescent="0.2">
      <c r="Z45073" t="str">
        <f t="shared" si="704"/>
        <v/>
      </c>
    </row>
    <row r="45074" spans="26:26" x14ac:dyDescent="0.2">
      <c r="Z45074" t="str">
        <f t="shared" si="704"/>
        <v/>
      </c>
    </row>
    <row r="45075" spans="26:26" x14ac:dyDescent="0.2">
      <c r="Z45075" t="str">
        <f t="shared" si="704"/>
        <v/>
      </c>
    </row>
    <row r="45076" spans="26:26" x14ac:dyDescent="0.2">
      <c r="Z45076" t="str">
        <f t="shared" si="704"/>
        <v/>
      </c>
    </row>
    <row r="45077" spans="26:26" x14ac:dyDescent="0.2">
      <c r="Z45077" t="str">
        <f t="shared" si="704"/>
        <v/>
      </c>
    </row>
    <row r="45078" spans="26:26" x14ac:dyDescent="0.2">
      <c r="Z45078" t="str">
        <f t="shared" si="704"/>
        <v/>
      </c>
    </row>
    <row r="45079" spans="26:26" x14ac:dyDescent="0.2">
      <c r="Z45079" t="str">
        <f t="shared" si="704"/>
        <v/>
      </c>
    </row>
    <row r="45080" spans="26:26" x14ac:dyDescent="0.2">
      <c r="Z45080" t="str">
        <f t="shared" si="704"/>
        <v/>
      </c>
    </row>
    <row r="45081" spans="26:26" x14ac:dyDescent="0.2">
      <c r="Z45081" t="str">
        <f t="shared" si="704"/>
        <v/>
      </c>
    </row>
    <row r="45082" spans="26:26" x14ac:dyDescent="0.2">
      <c r="Z45082" t="str">
        <f t="shared" si="704"/>
        <v/>
      </c>
    </row>
    <row r="45083" spans="26:26" x14ac:dyDescent="0.2">
      <c r="Z45083" t="str">
        <f t="shared" si="704"/>
        <v/>
      </c>
    </row>
    <row r="45084" spans="26:26" x14ac:dyDescent="0.2">
      <c r="Z45084" t="str">
        <f t="shared" si="704"/>
        <v/>
      </c>
    </row>
    <row r="45085" spans="26:26" x14ac:dyDescent="0.2">
      <c r="Z45085" t="str">
        <f t="shared" si="704"/>
        <v/>
      </c>
    </row>
    <row r="45086" spans="26:26" x14ac:dyDescent="0.2">
      <c r="Z45086" t="str">
        <f t="shared" si="704"/>
        <v/>
      </c>
    </row>
    <row r="45087" spans="26:26" x14ac:dyDescent="0.2">
      <c r="Z45087" t="str">
        <f t="shared" si="704"/>
        <v/>
      </c>
    </row>
    <row r="45088" spans="26:26" x14ac:dyDescent="0.2">
      <c r="Z45088" t="str">
        <f t="shared" si="704"/>
        <v/>
      </c>
    </row>
    <row r="45089" spans="26:26" x14ac:dyDescent="0.2">
      <c r="Z45089" t="str">
        <f t="shared" si="704"/>
        <v/>
      </c>
    </row>
    <row r="45090" spans="26:26" x14ac:dyDescent="0.2">
      <c r="Z45090" t="str">
        <f t="shared" si="704"/>
        <v/>
      </c>
    </row>
    <row r="45091" spans="26:26" x14ac:dyDescent="0.2">
      <c r="Z45091" t="str">
        <f t="shared" si="704"/>
        <v/>
      </c>
    </row>
    <row r="45092" spans="26:26" x14ac:dyDescent="0.2">
      <c r="Z45092" t="str">
        <f t="shared" si="704"/>
        <v/>
      </c>
    </row>
    <row r="45093" spans="26:26" x14ac:dyDescent="0.2">
      <c r="Z45093" t="str">
        <f t="shared" si="704"/>
        <v/>
      </c>
    </row>
    <row r="45094" spans="26:26" x14ac:dyDescent="0.2">
      <c r="Z45094" t="str">
        <f t="shared" si="704"/>
        <v/>
      </c>
    </row>
    <row r="45095" spans="26:26" x14ac:dyDescent="0.2">
      <c r="Z45095" t="str">
        <f t="shared" si="704"/>
        <v/>
      </c>
    </row>
    <row r="45096" spans="26:26" x14ac:dyDescent="0.2">
      <c r="Z45096" t="str">
        <f t="shared" si="704"/>
        <v/>
      </c>
    </row>
    <row r="45097" spans="26:26" x14ac:dyDescent="0.2">
      <c r="Z45097" t="str">
        <f t="shared" si="704"/>
        <v/>
      </c>
    </row>
    <row r="45098" spans="26:26" x14ac:dyDescent="0.2">
      <c r="Z45098" t="str">
        <f t="shared" si="704"/>
        <v/>
      </c>
    </row>
    <row r="45099" spans="26:26" x14ac:dyDescent="0.2">
      <c r="Z45099" t="str">
        <f t="shared" si="704"/>
        <v/>
      </c>
    </row>
    <row r="45100" spans="26:26" x14ac:dyDescent="0.2">
      <c r="Z45100" t="str">
        <f t="shared" si="704"/>
        <v/>
      </c>
    </row>
    <row r="45101" spans="26:26" x14ac:dyDescent="0.2">
      <c r="Z45101" t="str">
        <f t="shared" si="704"/>
        <v/>
      </c>
    </row>
    <row r="45102" spans="26:26" x14ac:dyDescent="0.2">
      <c r="Z45102" t="str">
        <f t="shared" si="704"/>
        <v/>
      </c>
    </row>
    <row r="45103" spans="26:26" x14ac:dyDescent="0.2">
      <c r="Z45103" t="str">
        <f t="shared" si="704"/>
        <v/>
      </c>
    </row>
    <row r="45104" spans="26:26" x14ac:dyDescent="0.2">
      <c r="Z45104" t="str">
        <f t="shared" si="704"/>
        <v/>
      </c>
    </row>
    <row r="45105" spans="26:26" x14ac:dyDescent="0.2">
      <c r="Z45105" t="str">
        <f t="shared" si="704"/>
        <v/>
      </c>
    </row>
    <row r="45106" spans="26:26" x14ac:dyDescent="0.2">
      <c r="Z45106" t="str">
        <f t="shared" si="704"/>
        <v/>
      </c>
    </row>
    <row r="45107" spans="26:26" x14ac:dyDescent="0.2">
      <c r="Z45107" t="str">
        <f t="shared" si="704"/>
        <v/>
      </c>
    </row>
    <row r="45108" spans="26:26" x14ac:dyDescent="0.2">
      <c r="Z45108" t="str">
        <f t="shared" si="704"/>
        <v/>
      </c>
    </row>
    <row r="45109" spans="26:26" x14ac:dyDescent="0.2">
      <c r="Z45109" t="str">
        <f t="shared" si="704"/>
        <v/>
      </c>
    </row>
    <row r="45110" spans="26:26" x14ac:dyDescent="0.2">
      <c r="Z45110" t="str">
        <f t="shared" si="704"/>
        <v/>
      </c>
    </row>
    <row r="45111" spans="26:26" x14ac:dyDescent="0.2">
      <c r="Z45111" t="str">
        <f t="shared" si="704"/>
        <v/>
      </c>
    </row>
    <row r="45112" spans="26:26" x14ac:dyDescent="0.2">
      <c r="Z45112" t="str">
        <f t="shared" si="704"/>
        <v/>
      </c>
    </row>
    <row r="45113" spans="26:26" x14ac:dyDescent="0.2">
      <c r="Z45113" t="str">
        <f t="shared" si="704"/>
        <v/>
      </c>
    </row>
    <row r="45114" spans="26:26" x14ac:dyDescent="0.2">
      <c r="Z45114" t="str">
        <f t="shared" si="704"/>
        <v/>
      </c>
    </row>
    <row r="45115" spans="26:26" x14ac:dyDescent="0.2">
      <c r="Z45115" t="str">
        <f t="shared" si="704"/>
        <v/>
      </c>
    </row>
    <row r="45116" spans="26:26" x14ac:dyDescent="0.2">
      <c r="Z45116" t="str">
        <f t="shared" si="704"/>
        <v/>
      </c>
    </row>
    <row r="45117" spans="26:26" x14ac:dyDescent="0.2">
      <c r="Z45117" t="str">
        <f t="shared" si="704"/>
        <v/>
      </c>
    </row>
    <row r="45118" spans="26:26" x14ac:dyDescent="0.2">
      <c r="Z45118" t="str">
        <f t="shared" si="704"/>
        <v/>
      </c>
    </row>
    <row r="45119" spans="26:26" x14ac:dyDescent="0.2">
      <c r="Z45119" t="str">
        <f t="shared" si="704"/>
        <v/>
      </c>
    </row>
    <row r="45120" spans="26:26" x14ac:dyDescent="0.2">
      <c r="Z45120" t="str">
        <f t="shared" si="704"/>
        <v/>
      </c>
    </row>
    <row r="45121" spans="26:26" x14ac:dyDescent="0.2">
      <c r="Z45121" t="str">
        <f t="shared" si="704"/>
        <v/>
      </c>
    </row>
    <row r="45122" spans="26:26" x14ac:dyDescent="0.2">
      <c r="Z45122" t="str">
        <f t="shared" si="704"/>
        <v/>
      </c>
    </row>
    <row r="45123" spans="26:26" x14ac:dyDescent="0.2">
      <c r="Z45123" t="str">
        <f t="shared" ref="Z45123:Z45186" si="705">IF(K45123="","",IFERROR(VALUE(TRIM(MID(K45123,FIND(CHAR(167),SUBSTITUTE(K45123,"-",CHAR(167),LEN(K45123)-LEN(SUBSTITUTE(K45123,"-",""))))+1,100))),K45123))</f>
        <v/>
      </c>
    </row>
    <row r="45124" spans="26:26" x14ac:dyDescent="0.2">
      <c r="Z45124" t="str">
        <f t="shared" si="705"/>
        <v/>
      </c>
    </row>
    <row r="45125" spans="26:26" x14ac:dyDescent="0.2">
      <c r="Z45125" t="str">
        <f t="shared" si="705"/>
        <v/>
      </c>
    </row>
    <row r="45126" spans="26:26" x14ac:dyDescent="0.2">
      <c r="Z45126" t="str">
        <f t="shared" si="705"/>
        <v/>
      </c>
    </row>
    <row r="45127" spans="26:26" x14ac:dyDescent="0.2">
      <c r="Z45127" t="str">
        <f t="shared" si="705"/>
        <v/>
      </c>
    </row>
    <row r="45128" spans="26:26" x14ac:dyDescent="0.2">
      <c r="Z45128" t="str">
        <f t="shared" si="705"/>
        <v/>
      </c>
    </row>
    <row r="45129" spans="26:26" x14ac:dyDescent="0.2">
      <c r="Z45129" t="str">
        <f t="shared" si="705"/>
        <v/>
      </c>
    </row>
    <row r="45130" spans="26:26" x14ac:dyDescent="0.2">
      <c r="Z45130" t="str">
        <f t="shared" si="705"/>
        <v/>
      </c>
    </row>
    <row r="45131" spans="26:26" x14ac:dyDescent="0.2">
      <c r="Z45131" t="str">
        <f t="shared" si="705"/>
        <v/>
      </c>
    </row>
    <row r="45132" spans="26:26" x14ac:dyDescent="0.2">
      <c r="Z45132" t="str">
        <f t="shared" si="705"/>
        <v/>
      </c>
    </row>
    <row r="45133" spans="26:26" x14ac:dyDescent="0.2">
      <c r="Z45133" t="str">
        <f t="shared" si="705"/>
        <v/>
      </c>
    </row>
    <row r="45134" spans="26:26" x14ac:dyDescent="0.2">
      <c r="Z45134" t="str">
        <f t="shared" si="705"/>
        <v/>
      </c>
    </row>
    <row r="45135" spans="26:26" x14ac:dyDescent="0.2">
      <c r="Z45135" t="str">
        <f t="shared" si="705"/>
        <v/>
      </c>
    </row>
    <row r="45136" spans="26:26" x14ac:dyDescent="0.2">
      <c r="Z45136" t="str">
        <f t="shared" si="705"/>
        <v/>
      </c>
    </row>
    <row r="45137" spans="26:26" x14ac:dyDescent="0.2">
      <c r="Z45137" t="str">
        <f t="shared" si="705"/>
        <v/>
      </c>
    </row>
    <row r="45138" spans="26:26" x14ac:dyDescent="0.2">
      <c r="Z45138" t="str">
        <f t="shared" si="705"/>
        <v/>
      </c>
    </row>
    <row r="45139" spans="26:26" x14ac:dyDescent="0.2">
      <c r="Z45139" t="str">
        <f t="shared" si="705"/>
        <v/>
      </c>
    </row>
    <row r="45140" spans="26:26" x14ac:dyDescent="0.2">
      <c r="Z45140" t="str">
        <f t="shared" si="705"/>
        <v/>
      </c>
    </row>
    <row r="45141" spans="26:26" x14ac:dyDescent="0.2">
      <c r="Z45141" t="str">
        <f t="shared" si="705"/>
        <v/>
      </c>
    </row>
    <row r="45142" spans="26:26" x14ac:dyDescent="0.2">
      <c r="Z45142" t="str">
        <f t="shared" si="705"/>
        <v/>
      </c>
    </row>
    <row r="45143" spans="26:26" x14ac:dyDescent="0.2">
      <c r="Z45143" t="str">
        <f t="shared" si="705"/>
        <v/>
      </c>
    </row>
    <row r="45144" spans="26:26" x14ac:dyDescent="0.2">
      <c r="Z45144" t="str">
        <f t="shared" si="705"/>
        <v/>
      </c>
    </row>
    <row r="45145" spans="26:26" x14ac:dyDescent="0.2">
      <c r="Z45145" t="str">
        <f t="shared" si="705"/>
        <v/>
      </c>
    </row>
    <row r="45146" spans="26:26" x14ac:dyDescent="0.2">
      <c r="Z45146" t="str">
        <f t="shared" si="705"/>
        <v/>
      </c>
    </row>
    <row r="45147" spans="26:26" x14ac:dyDescent="0.2">
      <c r="Z45147" t="str">
        <f t="shared" si="705"/>
        <v/>
      </c>
    </row>
    <row r="45148" spans="26:26" x14ac:dyDescent="0.2">
      <c r="Z45148" t="str">
        <f t="shared" si="705"/>
        <v/>
      </c>
    </row>
    <row r="45149" spans="26:26" x14ac:dyDescent="0.2">
      <c r="Z45149" t="str">
        <f t="shared" si="705"/>
        <v/>
      </c>
    </row>
    <row r="45150" spans="26:26" x14ac:dyDescent="0.2">
      <c r="Z45150" t="str">
        <f t="shared" si="705"/>
        <v/>
      </c>
    </row>
    <row r="45151" spans="26:26" x14ac:dyDescent="0.2">
      <c r="Z45151" t="str">
        <f t="shared" si="705"/>
        <v/>
      </c>
    </row>
    <row r="45152" spans="26:26" x14ac:dyDescent="0.2">
      <c r="Z45152" t="str">
        <f t="shared" si="705"/>
        <v/>
      </c>
    </row>
    <row r="45153" spans="26:26" x14ac:dyDescent="0.2">
      <c r="Z45153" t="str">
        <f t="shared" si="705"/>
        <v/>
      </c>
    </row>
    <row r="45154" spans="26:26" x14ac:dyDescent="0.2">
      <c r="Z45154" t="str">
        <f t="shared" si="705"/>
        <v/>
      </c>
    </row>
    <row r="45155" spans="26:26" x14ac:dyDescent="0.2">
      <c r="Z45155" t="str">
        <f t="shared" si="705"/>
        <v/>
      </c>
    </row>
    <row r="45156" spans="26:26" x14ac:dyDescent="0.2">
      <c r="Z45156" t="str">
        <f t="shared" si="705"/>
        <v/>
      </c>
    </row>
    <row r="45157" spans="26:26" x14ac:dyDescent="0.2">
      <c r="Z45157" t="str">
        <f t="shared" si="705"/>
        <v/>
      </c>
    </row>
    <row r="45158" spans="26:26" x14ac:dyDescent="0.2">
      <c r="Z45158" t="str">
        <f t="shared" si="705"/>
        <v/>
      </c>
    </row>
    <row r="45159" spans="26:26" x14ac:dyDescent="0.2">
      <c r="Z45159" t="str">
        <f t="shared" si="705"/>
        <v/>
      </c>
    </row>
    <row r="45160" spans="26:26" x14ac:dyDescent="0.2">
      <c r="Z45160" t="str">
        <f t="shared" si="705"/>
        <v/>
      </c>
    </row>
    <row r="45161" spans="26:26" x14ac:dyDescent="0.2">
      <c r="Z45161" t="str">
        <f t="shared" si="705"/>
        <v/>
      </c>
    </row>
    <row r="45162" spans="26:26" x14ac:dyDescent="0.2">
      <c r="Z45162" t="str">
        <f t="shared" si="705"/>
        <v/>
      </c>
    </row>
    <row r="45163" spans="26:26" x14ac:dyDescent="0.2">
      <c r="Z45163" t="str">
        <f t="shared" si="705"/>
        <v/>
      </c>
    </row>
    <row r="45164" spans="26:26" x14ac:dyDescent="0.2">
      <c r="Z45164" t="str">
        <f t="shared" si="705"/>
        <v/>
      </c>
    </row>
    <row r="45165" spans="26:26" x14ac:dyDescent="0.2">
      <c r="Z45165" t="str">
        <f t="shared" si="705"/>
        <v/>
      </c>
    </row>
    <row r="45166" spans="26:26" x14ac:dyDescent="0.2">
      <c r="Z45166" t="str">
        <f t="shared" si="705"/>
        <v/>
      </c>
    </row>
    <row r="45167" spans="26:26" x14ac:dyDescent="0.2">
      <c r="Z45167" t="str">
        <f t="shared" si="705"/>
        <v/>
      </c>
    </row>
    <row r="45168" spans="26:26" x14ac:dyDescent="0.2">
      <c r="Z45168" t="str">
        <f t="shared" si="705"/>
        <v/>
      </c>
    </row>
    <row r="45169" spans="26:26" x14ac:dyDescent="0.2">
      <c r="Z45169" t="str">
        <f t="shared" si="705"/>
        <v/>
      </c>
    </row>
    <row r="45170" spans="26:26" x14ac:dyDescent="0.2">
      <c r="Z45170" t="str">
        <f t="shared" si="705"/>
        <v/>
      </c>
    </row>
    <row r="45171" spans="26:26" x14ac:dyDescent="0.2">
      <c r="Z45171" t="str">
        <f t="shared" si="705"/>
        <v/>
      </c>
    </row>
    <row r="45172" spans="26:26" x14ac:dyDescent="0.2">
      <c r="Z45172" t="str">
        <f t="shared" si="705"/>
        <v/>
      </c>
    </row>
    <row r="45173" spans="26:26" x14ac:dyDescent="0.2">
      <c r="Z45173" t="str">
        <f t="shared" si="705"/>
        <v/>
      </c>
    </row>
    <row r="45174" spans="26:26" x14ac:dyDescent="0.2">
      <c r="Z45174" t="str">
        <f t="shared" si="705"/>
        <v/>
      </c>
    </row>
    <row r="45175" spans="26:26" x14ac:dyDescent="0.2">
      <c r="Z45175" t="str">
        <f t="shared" si="705"/>
        <v/>
      </c>
    </row>
    <row r="45176" spans="26:26" x14ac:dyDescent="0.2">
      <c r="Z45176" t="str">
        <f t="shared" si="705"/>
        <v/>
      </c>
    </row>
    <row r="45177" spans="26:26" x14ac:dyDescent="0.2">
      <c r="Z45177" t="str">
        <f t="shared" si="705"/>
        <v/>
      </c>
    </row>
    <row r="45178" spans="26:26" x14ac:dyDescent="0.2">
      <c r="Z45178" t="str">
        <f t="shared" si="705"/>
        <v/>
      </c>
    </row>
    <row r="45179" spans="26:26" x14ac:dyDescent="0.2">
      <c r="Z45179" t="str">
        <f t="shared" si="705"/>
        <v/>
      </c>
    </row>
    <row r="45180" spans="26:26" x14ac:dyDescent="0.2">
      <c r="Z45180" t="str">
        <f t="shared" si="705"/>
        <v/>
      </c>
    </row>
    <row r="45181" spans="26:26" x14ac:dyDescent="0.2">
      <c r="Z45181" t="str">
        <f t="shared" si="705"/>
        <v/>
      </c>
    </row>
    <row r="45182" spans="26:26" x14ac:dyDescent="0.2">
      <c r="Z45182" t="str">
        <f t="shared" si="705"/>
        <v/>
      </c>
    </row>
    <row r="45183" spans="26:26" x14ac:dyDescent="0.2">
      <c r="Z45183" t="str">
        <f t="shared" si="705"/>
        <v/>
      </c>
    </row>
    <row r="45184" spans="26:26" x14ac:dyDescent="0.2">
      <c r="Z45184" t="str">
        <f t="shared" si="705"/>
        <v/>
      </c>
    </row>
    <row r="45185" spans="26:26" x14ac:dyDescent="0.2">
      <c r="Z45185" t="str">
        <f t="shared" si="705"/>
        <v/>
      </c>
    </row>
    <row r="45186" spans="26:26" x14ac:dyDescent="0.2">
      <c r="Z45186" t="str">
        <f t="shared" si="705"/>
        <v/>
      </c>
    </row>
    <row r="45187" spans="26:26" x14ac:dyDescent="0.2">
      <c r="Z45187" t="str">
        <f t="shared" ref="Z45187:Z45250" si="706">IF(K45187="","",IFERROR(VALUE(TRIM(MID(K45187,FIND(CHAR(167),SUBSTITUTE(K45187,"-",CHAR(167),LEN(K45187)-LEN(SUBSTITUTE(K45187,"-",""))))+1,100))),K45187))</f>
        <v/>
      </c>
    </row>
    <row r="45188" spans="26:26" x14ac:dyDescent="0.2">
      <c r="Z45188" t="str">
        <f t="shared" si="706"/>
        <v/>
      </c>
    </row>
    <row r="45189" spans="26:26" x14ac:dyDescent="0.2">
      <c r="Z45189" t="str">
        <f t="shared" si="706"/>
        <v/>
      </c>
    </row>
    <row r="45190" spans="26:26" x14ac:dyDescent="0.2">
      <c r="Z45190" t="str">
        <f t="shared" si="706"/>
        <v/>
      </c>
    </row>
    <row r="45191" spans="26:26" x14ac:dyDescent="0.2">
      <c r="Z45191" t="str">
        <f t="shared" si="706"/>
        <v/>
      </c>
    </row>
    <row r="45192" spans="26:26" x14ac:dyDescent="0.2">
      <c r="Z45192" t="str">
        <f t="shared" si="706"/>
        <v/>
      </c>
    </row>
    <row r="45193" spans="26:26" x14ac:dyDescent="0.2">
      <c r="Z45193" t="str">
        <f t="shared" si="706"/>
        <v/>
      </c>
    </row>
    <row r="45194" spans="26:26" x14ac:dyDescent="0.2">
      <c r="Z45194" t="str">
        <f t="shared" si="706"/>
        <v/>
      </c>
    </row>
    <row r="45195" spans="26:26" x14ac:dyDescent="0.2">
      <c r="Z45195" t="str">
        <f t="shared" si="706"/>
        <v/>
      </c>
    </row>
    <row r="45196" spans="26:26" x14ac:dyDescent="0.2">
      <c r="Z45196" t="str">
        <f t="shared" si="706"/>
        <v/>
      </c>
    </row>
    <row r="45197" spans="26:26" x14ac:dyDescent="0.2">
      <c r="Z45197" t="str">
        <f t="shared" si="706"/>
        <v/>
      </c>
    </row>
    <row r="45198" spans="26:26" x14ac:dyDescent="0.2">
      <c r="Z45198" t="str">
        <f t="shared" si="706"/>
        <v/>
      </c>
    </row>
    <row r="45199" spans="26:26" x14ac:dyDescent="0.2">
      <c r="Z45199" t="str">
        <f t="shared" si="706"/>
        <v/>
      </c>
    </row>
    <row r="45200" spans="26:26" x14ac:dyDescent="0.2">
      <c r="Z45200" t="str">
        <f t="shared" si="706"/>
        <v/>
      </c>
    </row>
    <row r="45201" spans="26:26" x14ac:dyDescent="0.2">
      <c r="Z45201" t="str">
        <f t="shared" si="706"/>
        <v/>
      </c>
    </row>
    <row r="45202" spans="26:26" x14ac:dyDescent="0.2">
      <c r="Z45202" t="str">
        <f t="shared" si="706"/>
        <v/>
      </c>
    </row>
    <row r="45203" spans="26:26" x14ac:dyDescent="0.2">
      <c r="Z45203" t="str">
        <f t="shared" si="706"/>
        <v/>
      </c>
    </row>
    <row r="45204" spans="26:26" x14ac:dyDescent="0.2">
      <c r="Z45204" t="str">
        <f t="shared" si="706"/>
        <v/>
      </c>
    </row>
    <row r="45205" spans="26:26" x14ac:dyDescent="0.2">
      <c r="Z45205" t="str">
        <f t="shared" si="706"/>
        <v/>
      </c>
    </row>
    <row r="45206" spans="26:26" x14ac:dyDescent="0.2">
      <c r="Z45206" t="str">
        <f t="shared" si="706"/>
        <v/>
      </c>
    </row>
    <row r="45207" spans="26:26" x14ac:dyDescent="0.2">
      <c r="Z45207" t="str">
        <f t="shared" si="706"/>
        <v/>
      </c>
    </row>
    <row r="45208" spans="26:26" x14ac:dyDescent="0.2">
      <c r="Z45208" t="str">
        <f t="shared" si="706"/>
        <v/>
      </c>
    </row>
    <row r="45209" spans="26:26" x14ac:dyDescent="0.2">
      <c r="Z45209" t="str">
        <f t="shared" si="706"/>
        <v/>
      </c>
    </row>
    <row r="45210" spans="26:26" x14ac:dyDescent="0.2">
      <c r="Z45210" t="str">
        <f t="shared" si="706"/>
        <v/>
      </c>
    </row>
    <row r="45211" spans="26:26" x14ac:dyDescent="0.2">
      <c r="Z45211" t="str">
        <f t="shared" si="706"/>
        <v/>
      </c>
    </row>
    <row r="45212" spans="26:26" x14ac:dyDescent="0.2">
      <c r="Z45212" t="str">
        <f t="shared" si="706"/>
        <v/>
      </c>
    </row>
    <row r="45213" spans="26:26" x14ac:dyDescent="0.2">
      <c r="Z45213" t="str">
        <f t="shared" si="706"/>
        <v/>
      </c>
    </row>
    <row r="45214" spans="26:26" x14ac:dyDescent="0.2">
      <c r="Z45214" t="str">
        <f t="shared" si="706"/>
        <v/>
      </c>
    </row>
    <row r="45215" spans="26:26" x14ac:dyDescent="0.2">
      <c r="Z45215" t="str">
        <f t="shared" si="706"/>
        <v/>
      </c>
    </row>
    <row r="45216" spans="26:26" x14ac:dyDescent="0.2">
      <c r="Z45216" t="str">
        <f t="shared" si="706"/>
        <v/>
      </c>
    </row>
    <row r="45217" spans="26:26" x14ac:dyDescent="0.2">
      <c r="Z45217" t="str">
        <f t="shared" si="706"/>
        <v/>
      </c>
    </row>
    <row r="45218" spans="26:26" x14ac:dyDescent="0.2">
      <c r="Z45218" t="str">
        <f t="shared" si="706"/>
        <v/>
      </c>
    </row>
    <row r="45219" spans="26:26" x14ac:dyDescent="0.2">
      <c r="Z45219" t="str">
        <f t="shared" si="706"/>
        <v/>
      </c>
    </row>
    <row r="45220" spans="26:26" x14ac:dyDescent="0.2">
      <c r="Z45220" t="str">
        <f t="shared" si="706"/>
        <v/>
      </c>
    </row>
    <row r="45221" spans="26:26" x14ac:dyDescent="0.2">
      <c r="Z45221" t="str">
        <f t="shared" si="706"/>
        <v/>
      </c>
    </row>
    <row r="45222" spans="26:26" x14ac:dyDescent="0.2">
      <c r="Z45222" t="str">
        <f t="shared" si="706"/>
        <v/>
      </c>
    </row>
    <row r="45223" spans="26:26" x14ac:dyDescent="0.2">
      <c r="Z45223" t="str">
        <f t="shared" si="706"/>
        <v/>
      </c>
    </row>
    <row r="45224" spans="26:26" x14ac:dyDescent="0.2">
      <c r="Z45224" t="str">
        <f t="shared" si="706"/>
        <v/>
      </c>
    </row>
    <row r="45225" spans="26:26" x14ac:dyDescent="0.2">
      <c r="Z45225" t="str">
        <f t="shared" si="706"/>
        <v/>
      </c>
    </row>
    <row r="45226" spans="26:26" x14ac:dyDescent="0.2">
      <c r="Z45226" t="str">
        <f t="shared" si="706"/>
        <v/>
      </c>
    </row>
    <row r="45227" spans="26:26" x14ac:dyDescent="0.2">
      <c r="Z45227" t="str">
        <f t="shared" si="706"/>
        <v/>
      </c>
    </row>
    <row r="45228" spans="26:26" x14ac:dyDescent="0.2">
      <c r="Z45228" t="str">
        <f t="shared" si="706"/>
        <v/>
      </c>
    </row>
    <row r="45229" spans="26:26" x14ac:dyDescent="0.2">
      <c r="Z45229" t="str">
        <f t="shared" si="706"/>
        <v/>
      </c>
    </row>
    <row r="45230" spans="26:26" x14ac:dyDescent="0.2">
      <c r="Z45230" t="str">
        <f t="shared" si="706"/>
        <v/>
      </c>
    </row>
    <row r="45231" spans="26:26" x14ac:dyDescent="0.2">
      <c r="Z45231" t="str">
        <f t="shared" si="706"/>
        <v/>
      </c>
    </row>
    <row r="45232" spans="26:26" x14ac:dyDescent="0.2">
      <c r="Z45232" t="str">
        <f t="shared" si="706"/>
        <v/>
      </c>
    </row>
    <row r="45233" spans="26:26" x14ac:dyDescent="0.2">
      <c r="Z45233" t="str">
        <f t="shared" si="706"/>
        <v/>
      </c>
    </row>
    <row r="45234" spans="26:26" x14ac:dyDescent="0.2">
      <c r="Z45234" t="str">
        <f t="shared" si="706"/>
        <v/>
      </c>
    </row>
    <row r="45235" spans="26:26" x14ac:dyDescent="0.2">
      <c r="Z45235" t="str">
        <f t="shared" si="706"/>
        <v/>
      </c>
    </row>
    <row r="45236" spans="26:26" x14ac:dyDescent="0.2">
      <c r="Z45236" t="str">
        <f t="shared" si="706"/>
        <v/>
      </c>
    </row>
    <row r="45237" spans="26:26" x14ac:dyDescent="0.2">
      <c r="Z45237" t="str">
        <f t="shared" si="706"/>
        <v/>
      </c>
    </row>
    <row r="45238" spans="26:26" x14ac:dyDescent="0.2">
      <c r="Z45238" t="str">
        <f t="shared" si="706"/>
        <v/>
      </c>
    </row>
    <row r="45239" spans="26:26" x14ac:dyDescent="0.2">
      <c r="Z45239" t="str">
        <f t="shared" si="706"/>
        <v/>
      </c>
    </row>
    <row r="45240" spans="26:26" x14ac:dyDescent="0.2">
      <c r="Z45240" t="str">
        <f t="shared" si="706"/>
        <v/>
      </c>
    </row>
    <row r="45241" spans="26:26" x14ac:dyDescent="0.2">
      <c r="Z45241" t="str">
        <f t="shared" si="706"/>
        <v/>
      </c>
    </row>
    <row r="45242" spans="26:26" x14ac:dyDescent="0.2">
      <c r="Z45242" t="str">
        <f t="shared" si="706"/>
        <v/>
      </c>
    </row>
    <row r="45243" spans="26:26" x14ac:dyDescent="0.2">
      <c r="Z45243" t="str">
        <f t="shared" si="706"/>
        <v/>
      </c>
    </row>
    <row r="45244" spans="26:26" x14ac:dyDescent="0.2">
      <c r="Z45244" t="str">
        <f t="shared" si="706"/>
        <v/>
      </c>
    </row>
    <row r="45245" spans="26:26" x14ac:dyDescent="0.2">
      <c r="Z45245" t="str">
        <f t="shared" si="706"/>
        <v/>
      </c>
    </row>
    <row r="45246" spans="26:26" x14ac:dyDescent="0.2">
      <c r="Z45246" t="str">
        <f t="shared" si="706"/>
        <v/>
      </c>
    </row>
    <row r="45247" spans="26:26" x14ac:dyDescent="0.2">
      <c r="Z45247" t="str">
        <f t="shared" si="706"/>
        <v/>
      </c>
    </row>
    <row r="45248" spans="26:26" x14ac:dyDescent="0.2">
      <c r="Z45248" t="str">
        <f t="shared" si="706"/>
        <v/>
      </c>
    </row>
    <row r="45249" spans="26:26" x14ac:dyDescent="0.2">
      <c r="Z45249" t="str">
        <f t="shared" si="706"/>
        <v/>
      </c>
    </row>
    <row r="45250" spans="26:26" x14ac:dyDescent="0.2">
      <c r="Z45250" t="str">
        <f t="shared" si="706"/>
        <v/>
      </c>
    </row>
    <row r="45251" spans="26:26" x14ac:dyDescent="0.2">
      <c r="Z45251" t="str">
        <f t="shared" ref="Z45251:Z45314" si="707">IF(K45251="","",IFERROR(VALUE(TRIM(MID(K45251,FIND(CHAR(167),SUBSTITUTE(K45251,"-",CHAR(167),LEN(K45251)-LEN(SUBSTITUTE(K45251,"-",""))))+1,100))),K45251))</f>
        <v/>
      </c>
    </row>
    <row r="45252" spans="26:26" x14ac:dyDescent="0.2">
      <c r="Z45252" t="str">
        <f t="shared" si="707"/>
        <v/>
      </c>
    </row>
    <row r="45253" spans="26:26" x14ac:dyDescent="0.2">
      <c r="Z45253" t="str">
        <f t="shared" si="707"/>
        <v/>
      </c>
    </row>
    <row r="45254" spans="26:26" x14ac:dyDescent="0.2">
      <c r="Z45254" t="str">
        <f t="shared" si="707"/>
        <v/>
      </c>
    </row>
    <row r="45255" spans="26:26" x14ac:dyDescent="0.2">
      <c r="Z45255" t="str">
        <f t="shared" si="707"/>
        <v/>
      </c>
    </row>
    <row r="45256" spans="26:26" x14ac:dyDescent="0.2">
      <c r="Z45256" t="str">
        <f t="shared" si="707"/>
        <v/>
      </c>
    </row>
    <row r="45257" spans="26:26" x14ac:dyDescent="0.2">
      <c r="Z45257" t="str">
        <f t="shared" si="707"/>
        <v/>
      </c>
    </row>
    <row r="45258" spans="26:26" x14ac:dyDescent="0.2">
      <c r="Z45258" t="str">
        <f t="shared" si="707"/>
        <v/>
      </c>
    </row>
    <row r="45259" spans="26:26" x14ac:dyDescent="0.2">
      <c r="Z45259" t="str">
        <f t="shared" si="707"/>
        <v/>
      </c>
    </row>
    <row r="45260" spans="26:26" x14ac:dyDescent="0.2">
      <c r="Z45260" t="str">
        <f t="shared" si="707"/>
        <v/>
      </c>
    </row>
    <row r="45261" spans="26:26" x14ac:dyDescent="0.2">
      <c r="Z45261" t="str">
        <f t="shared" si="707"/>
        <v/>
      </c>
    </row>
    <row r="45262" spans="26:26" x14ac:dyDescent="0.2">
      <c r="Z45262" t="str">
        <f t="shared" si="707"/>
        <v/>
      </c>
    </row>
    <row r="45263" spans="26:26" x14ac:dyDescent="0.2">
      <c r="Z45263" t="str">
        <f t="shared" si="707"/>
        <v/>
      </c>
    </row>
    <row r="45264" spans="26:26" x14ac:dyDescent="0.2">
      <c r="Z45264" t="str">
        <f t="shared" si="707"/>
        <v/>
      </c>
    </row>
    <row r="45265" spans="26:26" x14ac:dyDescent="0.2">
      <c r="Z45265" t="str">
        <f t="shared" si="707"/>
        <v/>
      </c>
    </row>
    <row r="45266" spans="26:26" x14ac:dyDescent="0.2">
      <c r="Z45266" t="str">
        <f t="shared" si="707"/>
        <v/>
      </c>
    </row>
    <row r="45267" spans="26:26" x14ac:dyDescent="0.2">
      <c r="Z45267" t="str">
        <f t="shared" si="707"/>
        <v/>
      </c>
    </row>
    <row r="45268" spans="26:26" x14ac:dyDescent="0.2">
      <c r="Z45268" t="str">
        <f t="shared" si="707"/>
        <v/>
      </c>
    </row>
    <row r="45269" spans="26:26" x14ac:dyDescent="0.2">
      <c r="Z45269" t="str">
        <f t="shared" si="707"/>
        <v/>
      </c>
    </row>
    <row r="45270" spans="26:26" x14ac:dyDescent="0.2">
      <c r="Z45270" t="str">
        <f t="shared" si="707"/>
        <v/>
      </c>
    </row>
    <row r="45271" spans="26:26" x14ac:dyDescent="0.2">
      <c r="Z45271" t="str">
        <f t="shared" si="707"/>
        <v/>
      </c>
    </row>
    <row r="45272" spans="26:26" x14ac:dyDescent="0.2">
      <c r="Z45272" t="str">
        <f t="shared" si="707"/>
        <v/>
      </c>
    </row>
    <row r="45273" spans="26:26" x14ac:dyDescent="0.2">
      <c r="Z45273" t="str">
        <f t="shared" si="707"/>
        <v/>
      </c>
    </row>
    <row r="45274" spans="26:26" x14ac:dyDescent="0.2">
      <c r="Z45274" t="str">
        <f t="shared" si="707"/>
        <v/>
      </c>
    </row>
    <row r="45275" spans="26:26" x14ac:dyDescent="0.2">
      <c r="Z45275" t="str">
        <f t="shared" si="707"/>
        <v/>
      </c>
    </row>
    <row r="45276" spans="26:26" x14ac:dyDescent="0.2">
      <c r="Z45276" t="str">
        <f t="shared" si="707"/>
        <v/>
      </c>
    </row>
    <row r="45277" spans="26:26" x14ac:dyDescent="0.2">
      <c r="Z45277" t="str">
        <f t="shared" si="707"/>
        <v/>
      </c>
    </row>
    <row r="45278" spans="26:26" x14ac:dyDescent="0.2">
      <c r="Z45278" t="str">
        <f t="shared" si="707"/>
        <v/>
      </c>
    </row>
    <row r="45279" spans="26:26" x14ac:dyDescent="0.2">
      <c r="Z45279" t="str">
        <f t="shared" si="707"/>
        <v/>
      </c>
    </row>
    <row r="45280" spans="26:26" x14ac:dyDescent="0.2">
      <c r="Z45280" t="str">
        <f t="shared" si="707"/>
        <v/>
      </c>
    </row>
    <row r="45281" spans="26:26" x14ac:dyDescent="0.2">
      <c r="Z45281" t="str">
        <f t="shared" si="707"/>
        <v/>
      </c>
    </row>
    <row r="45282" spans="26:26" x14ac:dyDescent="0.2">
      <c r="Z45282" t="str">
        <f t="shared" si="707"/>
        <v/>
      </c>
    </row>
    <row r="45283" spans="26:26" x14ac:dyDescent="0.2">
      <c r="Z45283" t="str">
        <f t="shared" si="707"/>
        <v/>
      </c>
    </row>
    <row r="45284" spans="26:26" x14ac:dyDescent="0.2">
      <c r="Z45284" t="str">
        <f t="shared" si="707"/>
        <v/>
      </c>
    </row>
    <row r="45285" spans="26:26" x14ac:dyDescent="0.2">
      <c r="Z45285" t="str">
        <f t="shared" si="707"/>
        <v/>
      </c>
    </row>
    <row r="45286" spans="26:26" x14ac:dyDescent="0.2">
      <c r="Z45286" t="str">
        <f t="shared" si="707"/>
        <v/>
      </c>
    </row>
    <row r="45287" spans="26:26" x14ac:dyDescent="0.2">
      <c r="Z45287" t="str">
        <f t="shared" si="707"/>
        <v/>
      </c>
    </row>
    <row r="45288" spans="26:26" x14ac:dyDescent="0.2">
      <c r="Z45288" t="str">
        <f t="shared" si="707"/>
        <v/>
      </c>
    </row>
    <row r="45289" spans="26:26" x14ac:dyDescent="0.2">
      <c r="Z45289" t="str">
        <f t="shared" si="707"/>
        <v/>
      </c>
    </row>
    <row r="45290" spans="26:26" x14ac:dyDescent="0.2">
      <c r="Z45290" t="str">
        <f t="shared" si="707"/>
        <v/>
      </c>
    </row>
    <row r="45291" spans="26:26" x14ac:dyDescent="0.2">
      <c r="Z45291" t="str">
        <f t="shared" si="707"/>
        <v/>
      </c>
    </row>
    <row r="45292" spans="26:26" x14ac:dyDescent="0.2">
      <c r="Z45292" t="str">
        <f t="shared" si="707"/>
        <v/>
      </c>
    </row>
    <row r="45293" spans="26:26" x14ac:dyDescent="0.2">
      <c r="Z45293" t="str">
        <f t="shared" si="707"/>
        <v/>
      </c>
    </row>
    <row r="45294" spans="26:26" x14ac:dyDescent="0.2">
      <c r="Z45294" t="str">
        <f t="shared" si="707"/>
        <v/>
      </c>
    </row>
    <row r="45295" spans="26:26" x14ac:dyDescent="0.2">
      <c r="Z45295" t="str">
        <f t="shared" si="707"/>
        <v/>
      </c>
    </row>
    <row r="45296" spans="26:26" x14ac:dyDescent="0.2">
      <c r="Z45296" t="str">
        <f t="shared" si="707"/>
        <v/>
      </c>
    </row>
    <row r="45297" spans="26:26" x14ac:dyDescent="0.2">
      <c r="Z45297" t="str">
        <f t="shared" si="707"/>
        <v/>
      </c>
    </row>
    <row r="45298" spans="26:26" x14ac:dyDescent="0.2">
      <c r="Z45298" t="str">
        <f t="shared" si="707"/>
        <v/>
      </c>
    </row>
    <row r="45299" spans="26:26" x14ac:dyDescent="0.2">
      <c r="Z45299" t="str">
        <f t="shared" si="707"/>
        <v/>
      </c>
    </row>
    <row r="45300" spans="26:26" x14ac:dyDescent="0.2">
      <c r="Z45300" t="str">
        <f t="shared" si="707"/>
        <v/>
      </c>
    </row>
    <row r="45301" spans="26:26" x14ac:dyDescent="0.2">
      <c r="Z45301" t="str">
        <f t="shared" si="707"/>
        <v/>
      </c>
    </row>
    <row r="45302" spans="26:26" x14ac:dyDescent="0.2">
      <c r="Z45302" t="str">
        <f t="shared" si="707"/>
        <v/>
      </c>
    </row>
    <row r="45303" spans="26:26" x14ac:dyDescent="0.2">
      <c r="Z45303" t="str">
        <f t="shared" si="707"/>
        <v/>
      </c>
    </row>
    <row r="45304" spans="26:26" x14ac:dyDescent="0.2">
      <c r="Z45304" t="str">
        <f t="shared" si="707"/>
        <v/>
      </c>
    </row>
    <row r="45305" spans="26:26" x14ac:dyDescent="0.2">
      <c r="Z45305" t="str">
        <f t="shared" si="707"/>
        <v/>
      </c>
    </row>
    <row r="45306" spans="26:26" x14ac:dyDescent="0.2">
      <c r="Z45306" t="str">
        <f t="shared" si="707"/>
        <v/>
      </c>
    </row>
    <row r="45307" spans="26:26" x14ac:dyDescent="0.2">
      <c r="Z45307" t="str">
        <f t="shared" si="707"/>
        <v/>
      </c>
    </row>
    <row r="45308" spans="26:26" x14ac:dyDescent="0.2">
      <c r="Z45308" t="str">
        <f t="shared" si="707"/>
        <v/>
      </c>
    </row>
    <row r="45309" spans="26:26" x14ac:dyDescent="0.2">
      <c r="Z45309" t="str">
        <f t="shared" si="707"/>
        <v/>
      </c>
    </row>
    <row r="45310" spans="26:26" x14ac:dyDescent="0.2">
      <c r="Z45310" t="str">
        <f t="shared" si="707"/>
        <v/>
      </c>
    </row>
    <row r="45311" spans="26:26" x14ac:dyDescent="0.2">
      <c r="Z45311" t="str">
        <f t="shared" si="707"/>
        <v/>
      </c>
    </row>
    <row r="45312" spans="26:26" x14ac:dyDescent="0.2">
      <c r="Z45312" t="str">
        <f t="shared" si="707"/>
        <v/>
      </c>
    </row>
    <row r="45313" spans="26:26" x14ac:dyDescent="0.2">
      <c r="Z45313" t="str">
        <f t="shared" si="707"/>
        <v/>
      </c>
    </row>
    <row r="45314" spans="26:26" x14ac:dyDescent="0.2">
      <c r="Z45314" t="str">
        <f t="shared" si="707"/>
        <v/>
      </c>
    </row>
    <row r="45315" spans="26:26" x14ac:dyDescent="0.2">
      <c r="Z45315" t="str">
        <f t="shared" ref="Z45315:Z45378" si="708">IF(K45315="","",IFERROR(VALUE(TRIM(MID(K45315,FIND(CHAR(167),SUBSTITUTE(K45315,"-",CHAR(167),LEN(K45315)-LEN(SUBSTITUTE(K45315,"-",""))))+1,100))),K45315))</f>
        <v/>
      </c>
    </row>
    <row r="45316" spans="26:26" x14ac:dyDescent="0.2">
      <c r="Z45316" t="str">
        <f t="shared" si="708"/>
        <v/>
      </c>
    </row>
    <row r="45317" spans="26:26" x14ac:dyDescent="0.2">
      <c r="Z45317" t="str">
        <f t="shared" si="708"/>
        <v/>
      </c>
    </row>
    <row r="45318" spans="26:26" x14ac:dyDescent="0.2">
      <c r="Z45318" t="str">
        <f t="shared" si="708"/>
        <v/>
      </c>
    </row>
    <row r="45319" spans="26:26" x14ac:dyDescent="0.2">
      <c r="Z45319" t="str">
        <f t="shared" si="708"/>
        <v/>
      </c>
    </row>
    <row r="45320" spans="26:26" x14ac:dyDescent="0.2">
      <c r="Z45320" t="str">
        <f t="shared" si="708"/>
        <v/>
      </c>
    </row>
    <row r="45321" spans="26:26" x14ac:dyDescent="0.2">
      <c r="Z45321" t="str">
        <f t="shared" si="708"/>
        <v/>
      </c>
    </row>
    <row r="45322" spans="26:26" x14ac:dyDescent="0.2">
      <c r="Z45322" t="str">
        <f t="shared" si="708"/>
        <v/>
      </c>
    </row>
    <row r="45323" spans="26:26" x14ac:dyDescent="0.2">
      <c r="Z45323" t="str">
        <f t="shared" si="708"/>
        <v/>
      </c>
    </row>
    <row r="45324" spans="26:26" x14ac:dyDescent="0.2">
      <c r="Z45324" t="str">
        <f t="shared" si="708"/>
        <v/>
      </c>
    </row>
    <row r="45325" spans="26:26" x14ac:dyDescent="0.2">
      <c r="Z45325" t="str">
        <f t="shared" si="708"/>
        <v/>
      </c>
    </row>
    <row r="45326" spans="26:26" x14ac:dyDescent="0.2">
      <c r="Z45326" t="str">
        <f t="shared" si="708"/>
        <v/>
      </c>
    </row>
    <row r="45327" spans="26:26" x14ac:dyDescent="0.2">
      <c r="Z45327" t="str">
        <f t="shared" si="708"/>
        <v/>
      </c>
    </row>
    <row r="45328" spans="26:26" x14ac:dyDescent="0.2">
      <c r="Z45328" t="str">
        <f t="shared" si="708"/>
        <v/>
      </c>
    </row>
    <row r="45329" spans="26:26" x14ac:dyDescent="0.2">
      <c r="Z45329" t="str">
        <f t="shared" si="708"/>
        <v/>
      </c>
    </row>
    <row r="45330" spans="26:26" x14ac:dyDescent="0.2">
      <c r="Z45330" t="str">
        <f t="shared" si="708"/>
        <v/>
      </c>
    </row>
    <row r="45331" spans="26:26" x14ac:dyDescent="0.2">
      <c r="Z45331" t="str">
        <f t="shared" si="708"/>
        <v/>
      </c>
    </row>
    <row r="45332" spans="26:26" x14ac:dyDescent="0.2">
      <c r="Z45332" t="str">
        <f t="shared" si="708"/>
        <v/>
      </c>
    </row>
    <row r="45333" spans="26:26" x14ac:dyDescent="0.2">
      <c r="Z45333" t="str">
        <f t="shared" si="708"/>
        <v/>
      </c>
    </row>
    <row r="45334" spans="26:26" x14ac:dyDescent="0.2">
      <c r="Z45334" t="str">
        <f t="shared" si="708"/>
        <v/>
      </c>
    </row>
    <row r="45335" spans="26:26" x14ac:dyDescent="0.2">
      <c r="Z45335" t="str">
        <f t="shared" si="708"/>
        <v/>
      </c>
    </row>
    <row r="45336" spans="26:26" x14ac:dyDescent="0.2">
      <c r="Z45336" t="str">
        <f t="shared" si="708"/>
        <v/>
      </c>
    </row>
    <row r="45337" spans="26:26" x14ac:dyDescent="0.2">
      <c r="Z45337" t="str">
        <f t="shared" si="708"/>
        <v/>
      </c>
    </row>
    <row r="45338" spans="26:26" x14ac:dyDescent="0.2">
      <c r="Z45338" t="str">
        <f t="shared" si="708"/>
        <v/>
      </c>
    </row>
    <row r="45339" spans="26:26" x14ac:dyDescent="0.2">
      <c r="Z45339" t="str">
        <f t="shared" si="708"/>
        <v/>
      </c>
    </row>
    <row r="45340" spans="26:26" x14ac:dyDescent="0.2">
      <c r="Z45340" t="str">
        <f t="shared" si="708"/>
        <v/>
      </c>
    </row>
    <row r="45341" spans="26:26" x14ac:dyDescent="0.2">
      <c r="Z45341" t="str">
        <f t="shared" si="708"/>
        <v/>
      </c>
    </row>
    <row r="45342" spans="26:26" x14ac:dyDescent="0.2">
      <c r="Z45342" t="str">
        <f t="shared" si="708"/>
        <v/>
      </c>
    </row>
    <row r="45343" spans="26:26" x14ac:dyDescent="0.2">
      <c r="Z45343" t="str">
        <f t="shared" si="708"/>
        <v/>
      </c>
    </row>
    <row r="45344" spans="26:26" x14ac:dyDescent="0.2">
      <c r="Z45344" t="str">
        <f t="shared" si="708"/>
        <v/>
      </c>
    </row>
    <row r="45345" spans="26:26" x14ac:dyDescent="0.2">
      <c r="Z45345" t="str">
        <f t="shared" si="708"/>
        <v/>
      </c>
    </row>
    <row r="45346" spans="26:26" x14ac:dyDescent="0.2">
      <c r="Z45346" t="str">
        <f t="shared" si="708"/>
        <v/>
      </c>
    </row>
    <row r="45347" spans="26:26" x14ac:dyDescent="0.2">
      <c r="Z45347" t="str">
        <f t="shared" si="708"/>
        <v/>
      </c>
    </row>
    <row r="45348" spans="26:26" x14ac:dyDescent="0.2">
      <c r="Z45348" t="str">
        <f t="shared" si="708"/>
        <v/>
      </c>
    </row>
    <row r="45349" spans="26:26" x14ac:dyDescent="0.2">
      <c r="Z45349" t="str">
        <f t="shared" si="708"/>
        <v/>
      </c>
    </row>
    <row r="45350" spans="26:26" x14ac:dyDescent="0.2">
      <c r="Z45350" t="str">
        <f t="shared" si="708"/>
        <v/>
      </c>
    </row>
    <row r="45351" spans="26:26" x14ac:dyDescent="0.2">
      <c r="Z45351" t="str">
        <f t="shared" si="708"/>
        <v/>
      </c>
    </row>
    <row r="45352" spans="26:26" x14ac:dyDescent="0.2">
      <c r="Z45352" t="str">
        <f t="shared" si="708"/>
        <v/>
      </c>
    </row>
    <row r="45353" spans="26:26" x14ac:dyDescent="0.2">
      <c r="Z45353" t="str">
        <f t="shared" si="708"/>
        <v/>
      </c>
    </row>
    <row r="45354" spans="26:26" x14ac:dyDescent="0.2">
      <c r="Z45354" t="str">
        <f t="shared" si="708"/>
        <v/>
      </c>
    </row>
    <row r="45355" spans="26:26" x14ac:dyDescent="0.2">
      <c r="Z45355" t="str">
        <f t="shared" si="708"/>
        <v/>
      </c>
    </row>
    <row r="45356" spans="26:26" x14ac:dyDescent="0.2">
      <c r="Z45356" t="str">
        <f t="shared" si="708"/>
        <v/>
      </c>
    </row>
    <row r="45357" spans="26:26" x14ac:dyDescent="0.2">
      <c r="Z45357" t="str">
        <f t="shared" si="708"/>
        <v/>
      </c>
    </row>
    <row r="45358" spans="26:26" x14ac:dyDescent="0.2">
      <c r="Z45358" t="str">
        <f t="shared" si="708"/>
        <v/>
      </c>
    </row>
    <row r="45359" spans="26:26" x14ac:dyDescent="0.2">
      <c r="Z45359" t="str">
        <f t="shared" si="708"/>
        <v/>
      </c>
    </row>
    <row r="45360" spans="26:26" x14ac:dyDescent="0.2">
      <c r="Z45360" t="str">
        <f t="shared" si="708"/>
        <v/>
      </c>
    </row>
    <row r="45361" spans="26:26" x14ac:dyDescent="0.2">
      <c r="Z45361" t="str">
        <f t="shared" si="708"/>
        <v/>
      </c>
    </row>
    <row r="45362" spans="26:26" x14ac:dyDescent="0.2">
      <c r="Z45362" t="str">
        <f t="shared" si="708"/>
        <v/>
      </c>
    </row>
    <row r="45363" spans="26:26" x14ac:dyDescent="0.2">
      <c r="Z45363" t="str">
        <f t="shared" si="708"/>
        <v/>
      </c>
    </row>
    <row r="45364" spans="26:26" x14ac:dyDescent="0.2">
      <c r="Z45364" t="str">
        <f t="shared" si="708"/>
        <v/>
      </c>
    </row>
    <row r="45365" spans="26:26" x14ac:dyDescent="0.2">
      <c r="Z45365" t="str">
        <f t="shared" si="708"/>
        <v/>
      </c>
    </row>
    <row r="45366" spans="26:26" x14ac:dyDescent="0.2">
      <c r="Z45366" t="str">
        <f t="shared" si="708"/>
        <v/>
      </c>
    </row>
    <row r="45367" spans="26:26" x14ac:dyDescent="0.2">
      <c r="Z45367" t="str">
        <f t="shared" si="708"/>
        <v/>
      </c>
    </row>
    <row r="45368" spans="26:26" x14ac:dyDescent="0.2">
      <c r="Z45368" t="str">
        <f t="shared" si="708"/>
        <v/>
      </c>
    </row>
    <row r="45369" spans="26:26" x14ac:dyDescent="0.2">
      <c r="Z45369" t="str">
        <f t="shared" si="708"/>
        <v/>
      </c>
    </row>
    <row r="45370" spans="26:26" x14ac:dyDescent="0.2">
      <c r="Z45370" t="str">
        <f t="shared" si="708"/>
        <v/>
      </c>
    </row>
    <row r="45371" spans="26:26" x14ac:dyDescent="0.2">
      <c r="Z45371" t="str">
        <f t="shared" si="708"/>
        <v/>
      </c>
    </row>
    <row r="45372" spans="26:26" x14ac:dyDescent="0.2">
      <c r="Z45372" t="str">
        <f t="shared" si="708"/>
        <v/>
      </c>
    </row>
    <row r="45373" spans="26:26" x14ac:dyDescent="0.2">
      <c r="Z45373" t="str">
        <f t="shared" si="708"/>
        <v/>
      </c>
    </row>
    <row r="45374" spans="26:26" x14ac:dyDescent="0.2">
      <c r="Z45374" t="str">
        <f t="shared" si="708"/>
        <v/>
      </c>
    </row>
    <row r="45375" spans="26:26" x14ac:dyDescent="0.2">
      <c r="Z45375" t="str">
        <f t="shared" si="708"/>
        <v/>
      </c>
    </row>
    <row r="45376" spans="26:26" x14ac:dyDescent="0.2">
      <c r="Z45376" t="str">
        <f t="shared" si="708"/>
        <v/>
      </c>
    </row>
    <row r="45377" spans="26:26" x14ac:dyDescent="0.2">
      <c r="Z45377" t="str">
        <f t="shared" si="708"/>
        <v/>
      </c>
    </row>
    <row r="45378" spans="26:26" x14ac:dyDescent="0.2">
      <c r="Z45378" t="str">
        <f t="shared" si="708"/>
        <v/>
      </c>
    </row>
    <row r="45379" spans="26:26" x14ac:dyDescent="0.2">
      <c r="Z45379" t="str">
        <f t="shared" ref="Z45379:Z45442" si="709">IF(K45379="","",IFERROR(VALUE(TRIM(MID(K45379,FIND(CHAR(167),SUBSTITUTE(K45379,"-",CHAR(167),LEN(K45379)-LEN(SUBSTITUTE(K45379,"-",""))))+1,100))),K45379))</f>
        <v/>
      </c>
    </row>
    <row r="45380" spans="26:26" x14ac:dyDescent="0.2">
      <c r="Z45380" t="str">
        <f t="shared" si="709"/>
        <v/>
      </c>
    </row>
    <row r="45381" spans="26:26" x14ac:dyDescent="0.2">
      <c r="Z45381" t="str">
        <f t="shared" si="709"/>
        <v/>
      </c>
    </row>
    <row r="45382" spans="26:26" x14ac:dyDescent="0.2">
      <c r="Z45382" t="str">
        <f t="shared" si="709"/>
        <v/>
      </c>
    </row>
    <row r="45383" spans="26:26" x14ac:dyDescent="0.2">
      <c r="Z45383" t="str">
        <f t="shared" si="709"/>
        <v/>
      </c>
    </row>
    <row r="45384" spans="26:26" x14ac:dyDescent="0.2">
      <c r="Z45384" t="str">
        <f t="shared" si="709"/>
        <v/>
      </c>
    </row>
    <row r="45385" spans="26:26" x14ac:dyDescent="0.2">
      <c r="Z45385" t="str">
        <f t="shared" si="709"/>
        <v/>
      </c>
    </row>
    <row r="45386" spans="26:26" x14ac:dyDescent="0.2">
      <c r="Z45386" t="str">
        <f t="shared" si="709"/>
        <v/>
      </c>
    </row>
    <row r="45387" spans="26:26" x14ac:dyDescent="0.2">
      <c r="Z45387" t="str">
        <f t="shared" si="709"/>
        <v/>
      </c>
    </row>
    <row r="45388" spans="26:26" x14ac:dyDescent="0.2">
      <c r="Z45388" t="str">
        <f t="shared" si="709"/>
        <v/>
      </c>
    </row>
    <row r="45389" spans="26:26" x14ac:dyDescent="0.2">
      <c r="Z45389" t="str">
        <f t="shared" si="709"/>
        <v/>
      </c>
    </row>
    <row r="45390" spans="26:26" x14ac:dyDescent="0.2">
      <c r="Z45390" t="str">
        <f t="shared" si="709"/>
        <v/>
      </c>
    </row>
    <row r="45391" spans="26:26" x14ac:dyDescent="0.2">
      <c r="Z45391" t="str">
        <f t="shared" si="709"/>
        <v/>
      </c>
    </row>
    <row r="45392" spans="26:26" x14ac:dyDescent="0.2">
      <c r="Z45392" t="str">
        <f t="shared" si="709"/>
        <v/>
      </c>
    </row>
    <row r="45393" spans="26:26" x14ac:dyDescent="0.2">
      <c r="Z45393" t="str">
        <f t="shared" si="709"/>
        <v/>
      </c>
    </row>
    <row r="45394" spans="26:26" x14ac:dyDescent="0.2">
      <c r="Z45394" t="str">
        <f t="shared" si="709"/>
        <v/>
      </c>
    </row>
    <row r="45395" spans="26:26" x14ac:dyDescent="0.2">
      <c r="Z45395" t="str">
        <f t="shared" si="709"/>
        <v/>
      </c>
    </row>
    <row r="45396" spans="26:26" x14ac:dyDescent="0.2">
      <c r="Z45396" t="str">
        <f t="shared" si="709"/>
        <v/>
      </c>
    </row>
    <row r="45397" spans="26:26" x14ac:dyDescent="0.2">
      <c r="Z45397" t="str">
        <f t="shared" si="709"/>
        <v/>
      </c>
    </row>
    <row r="45398" spans="26:26" x14ac:dyDescent="0.2">
      <c r="Z45398" t="str">
        <f t="shared" si="709"/>
        <v/>
      </c>
    </row>
    <row r="45399" spans="26:26" x14ac:dyDescent="0.2">
      <c r="Z45399" t="str">
        <f t="shared" si="709"/>
        <v/>
      </c>
    </row>
    <row r="45400" spans="26:26" x14ac:dyDescent="0.2">
      <c r="Z45400" t="str">
        <f t="shared" si="709"/>
        <v/>
      </c>
    </row>
    <row r="45401" spans="26:26" x14ac:dyDescent="0.2">
      <c r="Z45401" t="str">
        <f t="shared" si="709"/>
        <v/>
      </c>
    </row>
    <row r="45402" spans="26:26" x14ac:dyDescent="0.2">
      <c r="Z45402" t="str">
        <f t="shared" si="709"/>
        <v/>
      </c>
    </row>
    <row r="45403" spans="26:26" x14ac:dyDescent="0.2">
      <c r="Z45403" t="str">
        <f t="shared" si="709"/>
        <v/>
      </c>
    </row>
    <row r="45404" spans="26:26" x14ac:dyDescent="0.2">
      <c r="Z45404" t="str">
        <f t="shared" si="709"/>
        <v/>
      </c>
    </row>
    <row r="45405" spans="26:26" x14ac:dyDescent="0.2">
      <c r="Z45405" t="str">
        <f t="shared" si="709"/>
        <v/>
      </c>
    </row>
    <row r="45406" spans="26:26" x14ac:dyDescent="0.2">
      <c r="Z45406" t="str">
        <f t="shared" si="709"/>
        <v/>
      </c>
    </row>
    <row r="45407" spans="26:26" x14ac:dyDescent="0.2">
      <c r="Z45407" t="str">
        <f t="shared" si="709"/>
        <v/>
      </c>
    </row>
    <row r="45408" spans="26:26" x14ac:dyDescent="0.2">
      <c r="Z45408" t="str">
        <f t="shared" si="709"/>
        <v/>
      </c>
    </row>
    <row r="45409" spans="26:26" x14ac:dyDescent="0.2">
      <c r="Z45409" t="str">
        <f t="shared" si="709"/>
        <v/>
      </c>
    </row>
    <row r="45410" spans="26:26" x14ac:dyDescent="0.2">
      <c r="Z45410" t="str">
        <f t="shared" si="709"/>
        <v/>
      </c>
    </row>
    <row r="45411" spans="26:26" x14ac:dyDescent="0.2">
      <c r="Z45411" t="str">
        <f t="shared" si="709"/>
        <v/>
      </c>
    </row>
    <row r="45412" spans="26:26" x14ac:dyDescent="0.2">
      <c r="Z45412" t="str">
        <f t="shared" si="709"/>
        <v/>
      </c>
    </row>
    <row r="45413" spans="26:26" x14ac:dyDescent="0.2">
      <c r="Z45413" t="str">
        <f t="shared" si="709"/>
        <v/>
      </c>
    </row>
    <row r="45414" spans="26:26" x14ac:dyDescent="0.2">
      <c r="Z45414" t="str">
        <f t="shared" si="709"/>
        <v/>
      </c>
    </row>
    <row r="45415" spans="26:26" x14ac:dyDescent="0.2">
      <c r="Z45415" t="str">
        <f t="shared" si="709"/>
        <v/>
      </c>
    </row>
    <row r="45416" spans="26:26" x14ac:dyDescent="0.2">
      <c r="Z45416" t="str">
        <f t="shared" si="709"/>
        <v/>
      </c>
    </row>
    <row r="45417" spans="26:26" x14ac:dyDescent="0.2">
      <c r="Z45417" t="str">
        <f t="shared" si="709"/>
        <v/>
      </c>
    </row>
    <row r="45418" spans="26:26" x14ac:dyDescent="0.2">
      <c r="Z45418" t="str">
        <f t="shared" si="709"/>
        <v/>
      </c>
    </row>
    <row r="45419" spans="26:26" x14ac:dyDescent="0.2">
      <c r="Z45419" t="str">
        <f t="shared" si="709"/>
        <v/>
      </c>
    </row>
    <row r="45420" spans="26:26" x14ac:dyDescent="0.2">
      <c r="Z45420" t="str">
        <f t="shared" si="709"/>
        <v/>
      </c>
    </row>
    <row r="45421" spans="26:26" x14ac:dyDescent="0.2">
      <c r="Z45421" t="str">
        <f t="shared" si="709"/>
        <v/>
      </c>
    </row>
    <row r="45422" spans="26:26" x14ac:dyDescent="0.2">
      <c r="Z45422" t="str">
        <f t="shared" si="709"/>
        <v/>
      </c>
    </row>
    <row r="45423" spans="26:26" x14ac:dyDescent="0.2">
      <c r="Z45423" t="str">
        <f t="shared" si="709"/>
        <v/>
      </c>
    </row>
    <row r="45424" spans="26:26" x14ac:dyDescent="0.2">
      <c r="Z45424" t="str">
        <f t="shared" si="709"/>
        <v/>
      </c>
    </row>
    <row r="45425" spans="26:26" x14ac:dyDescent="0.2">
      <c r="Z45425" t="str">
        <f t="shared" si="709"/>
        <v/>
      </c>
    </row>
    <row r="45426" spans="26:26" x14ac:dyDescent="0.2">
      <c r="Z45426" t="str">
        <f t="shared" si="709"/>
        <v/>
      </c>
    </row>
    <row r="45427" spans="26:26" x14ac:dyDescent="0.2">
      <c r="Z45427" t="str">
        <f t="shared" si="709"/>
        <v/>
      </c>
    </row>
    <row r="45428" spans="26:26" x14ac:dyDescent="0.2">
      <c r="Z45428" t="str">
        <f t="shared" si="709"/>
        <v/>
      </c>
    </row>
    <row r="45429" spans="26:26" x14ac:dyDescent="0.2">
      <c r="Z45429" t="str">
        <f t="shared" si="709"/>
        <v/>
      </c>
    </row>
    <row r="45430" spans="26:26" x14ac:dyDescent="0.2">
      <c r="Z45430" t="str">
        <f t="shared" si="709"/>
        <v/>
      </c>
    </row>
    <row r="45431" spans="26:26" x14ac:dyDescent="0.2">
      <c r="Z45431" t="str">
        <f t="shared" si="709"/>
        <v/>
      </c>
    </row>
    <row r="45432" spans="26:26" x14ac:dyDescent="0.2">
      <c r="Z45432" t="str">
        <f t="shared" si="709"/>
        <v/>
      </c>
    </row>
    <row r="45433" spans="26:26" x14ac:dyDescent="0.2">
      <c r="Z45433" t="str">
        <f t="shared" si="709"/>
        <v/>
      </c>
    </row>
    <row r="45434" spans="26:26" x14ac:dyDescent="0.2">
      <c r="Z45434" t="str">
        <f t="shared" si="709"/>
        <v/>
      </c>
    </row>
    <row r="45435" spans="26:26" x14ac:dyDescent="0.2">
      <c r="Z45435" t="str">
        <f t="shared" si="709"/>
        <v/>
      </c>
    </row>
    <row r="45436" spans="26:26" x14ac:dyDescent="0.2">
      <c r="Z45436" t="str">
        <f t="shared" si="709"/>
        <v/>
      </c>
    </row>
    <row r="45437" spans="26:26" x14ac:dyDescent="0.2">
      <c r="Z45437" t="str">
        <f t="shared" si="709"/>
        <v/>
      </c>
    </row>
    <row r="45438" spans="26:26" x14ac:dyDescent="0.2">
      <c r="Z45438" t="str">
        <f t="shared" si="709"/>
        <v/>
      </c>
    </row>
    <row r="45439" spans="26:26" x14ac:dyDescent="0.2">
      <c r="Z45439" t="str">
        <f t="shared" si="709"/>
        <v/>
      </c>
    </row>
    <row r="45440" spans="26:26" x14ac:dyDescent="0.2">
      <c r="Z45440" t="str">
        <f t="shared" si="709"/>
        <v/>
      </c>
    </row>
    <row r="45441" spans="26:26" x14ac:dyDescent="0.2">
      <c r="Z45441" t="str">
        <f t="shared" si="709"/>
        <v/>
      </c>
    </row>
    <row r="45442" spans="26:26" x14ac:dyDescent="0.2">
      <c r="Z45442" t="str">
        <f t="shared" si="709"/>
        <v/>
      </c>
    </row>
    <row r="45443" spans="26:26" x14ac:dyDescent="0.2">
      <c r="Z45443" t="str">
        <f t="shared" ref="Z45443:Z45506" si="710">IF(K45443="","",IFERROR(VALUE(TRIM(MID(K45443,FIND(CHAR(167),SUBSTITUTE(K45443,"-",CHAR(167),LEN(K45443)-LEN(SUBSTITUTE(K45443,"-",""))))+1,100))),K45443))</f>
        <v/>
      </c>
    </row>
    <row r="45444" spans="26:26" x14ac:dyDescent="0.2">
      <c r="Z45444" t="str">
        <f t="shared" si="710"/>
        <v/>
      </c>
    </row>
    <row r="45445" spans="26:26" x14ac:dyDescent="0.2">
      <c r="Z45445" t="str">
        <f t="shared" si="710"/>
        <v/>
      </c>
    </row>
    <row r="45446" spans="26:26" x14ac:dyDescent="0.2">
      <c r="Z45446" t="str">
        <f t="shared" si="710"/>
        <v/>
      </c>
    </row>
    <row r="45447" spans="26:26" x14ac:dyDescent="0.2">
      <c r="Z45447" t="str">
        <f t="shared" si="710"/>
        <v/>
      </c>
    </row>
    <row r="45448" spans="26:26" x14ac:dyDescent="0.2">
      <c r="Z45448" t="str">
        <f t="shared" si="710"/>
        <v/>
      </c>
    </row>
    <row r="45449" spans="26:26" x14ac:dyDescent="0.2">
      <c r="Z45449" t="str">
        <f t="shared" si="710"/>
        <v/>
      </c>
    </row>
    <row r="45450" spans="26:26" x14ac:dyDescent="0.2">
      <c r="Z45450" t="str">
        <f t="shared" si="710"/>
        <v/>
      </c>
    </row>
    <row r="45451" spans="26:26" x14ac:dyDescent="0.2">
      <c r="Z45451" t="str">
        <f t="shared" si="710"/>
        <v/>
      </c>
    </row>
    <row r="45452" spans="26:26" x14ac:dyDescent="0.2">
      <c r="Z45452" t="str">
        <f t="shared" si="710"/>
        <v/>
      </c>
    </row>
    <row r="45453" spans="26:26" x14ac:dyDescent="0.2">
      <c r="Z45453" t="str">
        <f t="shared" si="710"/>
        <v/>
      </c>
    </row>
    <row r="45454" spans="26:26" x14ac:dyDescent="0.2">
      <c r="Z45454" t="str">
        <f t="shared" si="710"/>
        <v/>
      </c>
    </row>
    <row r="45455" spans="26:26" x14ac:dyDescent="0.2">
      <c r="Z45455" t="str">
        <f t="shared" si="710"/>
        <v/>
      </c>
    </row>
    <row r="45456" spans="26:26" x14ac:dyDescent="0.2">
      <c r="Z45456" t="str">
        <f t="shared" si="710"/>
        <v/>
      </c>
    </row>
    <row r="45457" spans="26:26" x14ac:dyDescent="0.2">
      <c r="Z45457" t="str">
        <f t="shared" si="710"/>
        <v/>
      </c>
    </row>
    <row r="45458" spans="26:26" x14ac:dyDescent="0.2">
      <c r="Z45458" t="str">
        <f t="shared" si="710"/>
        <v/>
      </c>
    </row>
    <row r="45459" spans="26:26" x14ac:dyDescent="0.2">
      <c r="Z45459" t="str">
        <f t="shared" si="710"/>
        <v/>
      </c>
    </row>
    <row r="45460" spans="26:26" x14ac:dyDescent="0.2">
      <c r="Z45460" t="str">
        <f t="shared" si="710"/>
        <v/>
      </c>
    </row>
    <row r="45461" spans="26:26" x14ac:dyDescent="0.2">
      <c r="Z45461" t="str">
        <f t="shared" si="710"/>
        <v/>
      </c>
    </row>
    <row r="45462" spans="26:26" x14ac:dyDescent="0.2">
      <c r="Z45462" t="str">
        <f t="shared" si="710"/>
        <v/>
      </c>
    </row>
    <row r="45463" spans="26:26" x14ac:dyDescent="0.2">
      <c r="Z45463" t="str">
        <f t="shared" si="710"/>
        <v/>
      </c>
    </row>
    <row r="45464" spans="26:26" x14ac:dyDescent="0.2">
      <c r="Z45464" t="str">
        <f t="shared" si="710"/>
        <v/>
      </c>
    </row>
    <row r="45465" spans="26:26" x14ac:dyDescent="0.2">
      <c r="Z45465" t="str">
        <f t="shared" si="710"/>
        <v/>
      </c>
    </row>
    <row r="45466" spans="26:26" x14ac:dyDescent="0.2">
      <c r="Z45466" t="str">
        <f t="shared" si="710"/>
        <v/>
      </c>
    </row>
    <row r="45467" spans="26:26" x14ac:dyDescent="0.2">
      <c r="Z45467" t="str">
        <f t="shared" si="710"/>
        <v/>
      </c>
    </row>
    <row r="45468" spans="26:26" x14ac:dyDescent="0.2">
      <c r="Z45468" t="str">
        <f t="shared" si="710"/>
        <v/>
      </c>
    </row>
    <row r="45469" spans="26:26" x14ac:dyDescent="0.2">
      <c r="Z45469" t="str">
        <f t="shared" si="710"/>
        <v/>
      </c>
    </row>
    <row r="45470" spans="26:26" x14ac:dyDescent="0.2">
      <c r="Z45470" t="str">
        <f t="shared" si="710"/>
        <v/>
      </c>
    </row>
    <row r="45471" spans="26:26" x14ac:dyDescent="0.2">
      <c r="Z45471" t="str">
        <f t="shared" si="710"/>
        <v/>
      </c>
    </row>
    <row r="45472" spans="26:26" x14ac:dyDescent="0.2">
      <c r="Z45472" t="str">
        <f t="shared" si="710"/>
        <v/>
      </c>
    </row>
    <row r="45473" spans="26:26" x14ac:dyDescent="0.2">
      <c r="Z45473" t="str">
        <f t="shared" si="710"/>
        <v/>
      </c>
    </row>
    <row r="45474" spans="26:26" x14ac:dyDescent="0.2">
      <c r="Z45474" t="str">
        <f t="shared" si="710"/>
        <v/>
      </c>
    </row>
    <row r="45475" spans="26:26" x14ac:dyDescent="0.2">
      <c r="Z45475" t="str">
        <f t="shared" si="710"/>
        <v/>
      </c>
    </row>
    <row r="45476" spans="26:26" x14ac:dyDescent="0.2">
      <c r="Z45476" t="str">
        <f t="shared" si="710"/>
        <v/>
      </c>
    </row>
    <row r="45477" spans="26:26" x14ac:dyDescent="0.2">
      <c r="Z45477" t="str">
        <f t="shared" si="710"/>
        <v/>
      </c>
    </row>
    <row r="45478" spans="26:26" x14ac:dyDescent="0.2">
      <c r="Z45478" t="str">
        <f t="shared" si="710"/>
        <v/>
      </c>
    </row>
    <row r="45479" spans="26:26" x14ac:dyDescent="0.2">
      <c r="Z45479" t="str">
        <f t="shared" si="710"/>
        <v/>
      </c>
    </row>
    <row r="45480" spans="26:26" x14ac:dyDescent="0.2">
      <c r="Z45480" t="str">
        <f t="shared" si="710"/>
        <v/>
      </c>
    </row>
    <row r="45481" spans="26:26" x14ac:dyDescent="0.2">
      <c r="Z45481" t="str">
        <f t="shared" si="710"/>
        <v/>
      </c>
    </row>
    <row r="45482" spans="26:26" x14ac:dyDescent="0.2">
      <c r="Z45482" t="str">
        <f t="shared" si="710"/>
        <v/>
      </c>
    </row>
    <row r="45483" spans="26:26" x14ac:dyDescent="0.2">
      <c r="Z45483" t="str">
        <f t="shared" si="710"/>
        <v/>
      </c>
    </row>
    <row r="45484" spans="26:26" x14ac:dyDescent="0.2">
      <c r="Z45484" t="str">
        <f t="shared" si="710"/>
        <v/>
      </c>
    </row>
    <row r="45485" spans="26:26" x14ac:dyDescent="0.2">
      <c r="Z45485" t="str">
        <f t="shared" si="710"/>
        <v/>
      </c>
    </row>
    <row r="45486" spans="26:26" x14ac:dyDescent="0.2">
      <c r="Z45486" t="str">
        <f t="shared" si="710"/>
        <v/>
      </c>
    </row>
    <row r="45487" spans="26:26" x14ac:dyDescent="0.2">
      <c r="Z45487" t="str">
        <f t="shared" si="710"/>
        <v/>
      </c>
    </row>
    <row r="45488" spans="26:26" x14ac:dyDescent="0.2">
      <c r="Z45488" t="str">
        <f t="shared" si="710"/>
        <v/>
      </c>
    </row>
    <row r="45489" spans="26:26" x14ac:dyDescent="0.2">
      <c r="Z45489" t="str">
        <f t="shared" si="710"/>
        <v/>
      </c>
    </row>
    <row r="45490" spans="26:26" x14ac:dyDescent="0.2">
      <c r="Z45490" t="str">
        <f t="shared" si="710"/>
        <v/>
      </c>
    </row>
    <row r="45491" spans="26:26" x14ac:dyDescent="0.2">
      <c r="Z45491" t="str">
        <f t="shared" si="710"/>
        <v/>
      </c>
    </row>
    <row r="45492" spans="26:26" x14ac:dyDescent="0.2">
      <c r="Z45492" t="str">
        <f t="shared" si="710"/>
        <v/>
      </c>
    </row>
    <row r="45493" spans="26:26" x14ac:dyDescent="0.2">
      <c r="Z45493" t="str">
        <f t="shared" si="710"/>
        <v/>
      </c>
    </row>
    <row r="45494" spans="26:26" x14ac:dyDescent="0.2">
      <c r="Z45494" t="str">
        <f t="shared" si="710"/>
        <v/>
      </c>
    </row>
    <row r="45495" spans="26:26" x14ac:dyDescent="0.2">
      <c r="Z45495" t="str">
        <f t="shared" si="710"/>
        <v/>
      </c>
    </row>
    <row r="45496" spans="26:26" x14ac:dyDescent="0.2">
      <c r="Z45496" t="str">
        <f t="shared" si="710"/>
        <v/>
      </c>
    </row>
    <row r="45497" spans="26:26" x14ac:dyDescent="0.2">
      <c r="Z45497" t="str">
        <f t="shared" si="710"/>
        <v/>
      </c>
    </row>
    <row r="45498" spans="26:26" x14ac:dyDescent="0.2">
      <c r="Z45498" t="str">
        <f t="shared" si="710"/>
        <v/>
      </c>
    </row>
    <row r="45499" spans="26:26" x14ac:dyDescent="0.2">
      <c r="Z45499" t="str">
        <f t="shared" si="710"/>
        <v/>
      </c>
    </row>
    <row r="45500" spans="26:26" x14ac:dyDescent="0.2">
      <c r="Z45500" t="str">
        <f t="shared" si="710"/>
        <v/>
      </c>
    </row>
    <row r="45501" spans="26:26" x14ac:dyDescent="0.2">
      <c r="Z45501" t="str">
        <f t="shared" si="710"/>
        <v/>
      </c>
    </row>
    <row r="45502" spans="26:26" x14ac:dyDescent="0.2">
      <c r="Z45502" t="str">
        <f t="shared" si="710"/>
        <v/>
      </c>
    </row>
    <row r="45503" spans="26:26" x14ac:dyDescent="0.2">
      <c r="Z45503" t="str">
        <f t="shared" si="710"/>
        <v/>
      </c>
    </row>
    <row r="45504" spans="26:26" x14ac:dyDescent="0.2">
      <c r="Z45504" t="str">
        <f t="shared" si="710"/>
        <v/>
      </c>
    </row>
    <row r="45505" spans="26:26" x14ac:dyDescent="0.2">
      <c r="Z45505" t="str">
        <f t="shared" si="710"/>
        <v/>
      </c>
    </row>
    <row r="45506" spans="26:26" x14ac:dyDescent="0.2">
      <c r="Z45506" t="str">
        <f t="shared" si="710"/>
        <v/>
      </c>
    </row>
    <row r="45507" spans="26:26" x14ac:dyDescent="0.2">
      <c r="Z45507" t="str">
        <f t="shared" ref="Z45507:Z45570" si="711">IF(K45507="","",IFERROR(VALUE(TRIM(MID(K45507,FIND(CHAR(167),SUBSTITUTE(K45507,"-",CHAR(167),LEN(K45507)-LEN(SUBSTITUTE(K45507,"-",""))))+1,100))),K45507))</f>
        <v/>
      </c>
    </row>
    <row r="45508" spans="26:26" x14ac:dyDescent="0.2">
      <c r="Z45508" t="str">
        <f t="shared" si="711"/>
        <v/>
      </c>
    </row>
    <row r="45509" spans="26:26" x14ac:dyDescent="0.2">
      <c r="Z45509" t="str">
        <f t="shared" si="711"/>
        <v/>
      </c>
    </row>
    <row r="45510" spans="26:26" x14ac:dyDescent="0.2">
      <c r="Z45510" t="str">
        <f t="shared" si="711"/>
        <v/>
      </c>
    </row>
    <row r="45511" spans="26:26" x14ac:dyDescent="0.2">
      <c r="Z45511" t="str">
        <f t="shared" si="711"/>
        <v/>
      </c>
    </row>
    <row r="45512" spans="26:26" x14ac:dyDescent="0.2">
      <c r="Z45512" t="str">
        <f t="shared" si="711"/>
        <v/>
      </c>
    </row>
    <row r="45513" spans="26:26" x14ac:dyDescent="0.2">
      <c r="Z45513" t="str">
        <f t="shared" si="711"/>
        <v/>
      </c>
    </row>
    <row r="45514" spans="26:26" x14ac:dyDescent="0.2">
      <c r="Z45514" t="str">
        <f t="shared" si="711"/>
        <v/>
      </c>
    </row>
    <row r="45515" spans="26:26" x14ac:dyDescent="0.2">
      <c r="Z45515" t="str">
        <f t="shared" si="711"/>
        <v/>
      </c>
    </row>
    <row r="45516" spans="26:26" x14ac:dyDescent="0.2">
      <c r="Z45516" t="str">
        <f t="shared" si="711"/>
        <v/>
      </c>
    </row>
    <row r="45517" spans="26:26" x14ac:dyDescent="0.2">
      <c r="Z45517" t="str">
        <f t="shared" si="711"/>
        <v/>
      </c>
    </row>
    <row r="45518" spans="26:26" x14ac:dyDescent="0.2">
      <c r="Z45518" t="str">
        <f t="shared" si="711"/>
        <v/>
      </c>
    </row>
    <row r="45519" spans="26:26" x14ac:dyDescent="0.2">
      <c r="Z45519" t="str">
        <f t="shared" si="711"/>
        <v/>
      </c>
    </row>
    <row r="45520" spans="26:26" x14ac:dyDescent="0.2">
      <c r="Z45520" t="str">
        <f t="shared" si="711"/>
        <v/>
      </c>
    </row>
    <row r="45521" spans="26:26" x14ac:dyDescent="0.2">
      <c r="Z45521" t="str">
        <f t="shared" si="711"/>
        <v/>
      </c>
    </row>
    <row r="45522" spans="26:26" x14ac:dyDescent="0.2">
      <c r="Z45522" t="str">
        <f t="shared" si="711"/>
        <v/>
      </c>
    </row>
    <row r="45523" spans="26:26" x14ac:dyDescent="0.2">
      <c r="Z45523" t="str">
        <f t="shared" si="711"/>
        <v/>
      </c>
    </row>
    <row r="45524" spans="26:26" x14ac:dyDescent="0.2">
      <c r="Z45524" t="str">
        <f t="shared" si="711"/>
        <v/>
      </c>
    </row>
    <row r="45525" spans="26:26" x14ac:dyDescent="0.2">
      <c r="Z45525" t="str">
        <f t="shared" si="711"/>
        <v/>
      </c>
    </row>
    <row r="45526" spans="26:26" x14ac:dyDescent="0.2">
      <c r="Z45526" t="str">
        <f t="shared" si="711"/>
        <v/>
      </c>
    </row>
    <row r="45527" spans="26:26" x14ac:dyDescent="0.2">
      <c r="Z45527" t="str">
        <f t="shared" si="711"/>
        <v/>
      </c>
    </row>
    <row r="45528" spans="26:26" x14ac:dyDescent="0.2">
      <c r="Z45528" t="str">
        <f t="shared" si="711"/>
        <v/>
      </c>
    </row>
    <row r="45529" spans="26:26" x14ac:dyDescent="0.2">
      <c r="Z45529" t="str">
        <f t="shared" si="711"/>
        <v/>
      </c>
    </row>
    <row r="45530" spans="26:26" x14ac:dyDescent="0.2">
      <c r="Z45530" t="str">
        <f t="shared" si="711"/>
        <v/>
      </c>
    </row>
    <row r="45531" spans="26:26" x14ac:dyDescent="0.2">
      <c r="Z45531" t="str">
        <f t="shared" si="711"/>
        <v/>
      </c>
    </row>
    <row r="45532" spans="26:26" x14ac:dyDescent="0.2">
      <c r="Z45532" t="str">
        <f t="shared" si="711"/>
        <v/>
      </c>
    </row>
    <row r="45533" spans="26:26" x14ac:dyDescent="0.2">
      <c r="Z45533" t="str">
        <f t="shared" si="711"/>
        <v/>
      </c>
    </row>
    <row r="45534" spans="26:26" x14ac:dyDescent="0.2">
      <c r="Z45534" t="str">
        <f t="shared" si="711"/>
        <v/>
      </c>
    </row>
    <row r="45535" spans="26:26" x14ac:dyDescent="0.2">
      <c r="Z45535" t="str">
        <f t="shared" si="711"/>
        <v/>
      </c>
    </row>
    <row r="45536" spans="26:26" x14ac:dyDescent="0.2">
      <c r="Z45536" t="str">
        <f t="shared" si="711"/>
        <v/>
      </c>
    </row>
    <row r="45537" spans="26:26" x14ac:dyDescent="0.2">
      <c r="Z45537" t="str">
        <f t="shared" si="711"/>
        <v/>
      </c>
    </row>
    <row r="45538" spans="26:26" x14ac:dyDescent="0.2">
      <c r="Z45538" t="str">
        <f t="shared" si="711"/>
        <v/>
      </c>
    </row>
    <row r="45539" spans="26:26" x14ac:dyDescent="0.2">
      <c r="Z45539" t="str">
        <f t="shared" si="711"/>
        <v/>
      </c>
    </row>
    <row r="45540" spans="26:26" x14ac:dyDescent="0.2">
      <c r="Z45540" t="str">
        <f t="shared" si="711"/>
        <v/>
      </c>
    </row>
    <row r="45541" spans="26:26" x14ac:dyDescent="0.2">
      <c r="Z45541" t="str">
        <f t="shared" si="711"/>
        <v/>
      </c>
    </row>
    <row r="45542" spans="26:26" x14ac:dyDescent="0.2">
      <c r="Z45542" t="str">
        <f t="shared" si="711"/>
        <v/>
      </c>
    </row>
    <row r="45543" spans="26:26" x14ac:dyDescent="0.2">
      <c r="Z45543" t="str">
        <f t="shared" si="711"/>
        <v/>
      </c>
    </row>
    <row r="45544" spans="26:26" x14ac:dyDescent="0.2">
      <c r="Z45544" t="str">
        <f t="shared" si="711"/>
        <v/>
      </c>
    </row>
    <row r="45545" spans="26:26" x14ac:dyDescent="0.2">
      <c r="Z45545" t="str">
        <f t="shared" si="711"/>
        <v/>
      </c>
    </row>
    <row r="45546" spans="26:26" x14ac:dyDescent="0.2">
      <c r="Z45546" t="str">
        <f t="shared" si="711"/>
        <v/>
      </c>
    </row>
    <row r="45547" spans="26:26" x14ac:dyDescent="0.2">
      <c r="Z45547" t="str">
        <f t="shared" si="711"/>
        <v/>
      </c>
    </row>
    <row r="45548" spans="26:26" x14ac:dyDescent="0.2">
      <c r="Z45548" t="str">
        <f t="shared" si="711"/>
        <v/>
      </c>
    </row>
    <row r="45549" spans="26:26" x14ac:dyDescent="0.2">
      <c r="Z45549" t="str">
        <f t="shared" si="711"/>
        <v/>
      </c>
    </row>
    <row r="45550" spans="26:26" x14ac:dyDescent="0.2">
      <c r="Z45550" t="str">
        <f t="shared" si="711"/>
        <v/>
      </c>
    </row>
    <row r="45551" spans="26:26" x14ac:dyDescent="0.2">
      <c r="Z45551" t="str">
        <f t="shared" si="711"/>
        <v/>
      </c>
    </row>
    <row r="45552" spans="26:26" x14ac:dyDescent="0.2">
      <c r="Z45552" t="str">
        <f t="shared" si="711"/>
        <v/>
      </c>
    </row>
    <row r="45553" spans="26:26" x14ac:dyDescent="0.2">
      <c r="Z45553" t="str">
        <f t="shared" si="711"/>
        <v/>
      </c>
    </row>
    <row r="45554" spans="26:26" x14ac:dyDescent="0.2">
      <c r="Z45554" t="str">
        <f t="shared" si="711"/>
        <v/>
      </c>
    </row>
    <row r="45555" spans="26:26" x14ac:dyDescent="0.2">
      <c r="Z45555" t="str">
        <f t="shared" si="711"/>
        <v/>
      </c>
    </row>
    <row r="45556" spans="26:26" x14ac:dyDescent="0.2">
      <c r="Z45556" t="str">
        <f t="shared" si="711"/>
        <v/>
      </c>
    </row>
    <row r="45557" spans="26:26" x14ac:dyDescent="0.2">
      <c r="Z45557" t="str">
        <f t="shared" si="711"/>
        <v/>
      </c>
    </row>
    <row r="45558" spans="26:26" x14ac:dyDescent="0.2">
      <c r="Z45558" t="str">
        <f t="shared" si="711"/>
        <v/>
      </c>
    </row>
    <row r="45559" spans="26:26" x14ac:dyDescent="0.2">
      <c r="Z45559" t="str">
        <f t="shared" si="711"/>
        <v/>
      </c>
    </row>
    <row r="45560" spans="26:26" x14ac:dyDescent="0.2">
      <c r="Z45560" t="str">
        <f t="shared" si="711"/>
        <v/>
      </c>
    </row>
    <row r="45561" spans="26:26" x14ac:dyDescent="0.2">
      <c r="Z45561" t="str">
        <f t="shared" si="711"/>
        <v/>
      </c>
    </row>
    <row r="45562" spans="26:26" x14ac:dyDescent="0.2">
      <c r="Z45562" t="str">
        <f t="shared" si="711"/>
        <v/>
      </c>
    </row>
    <row r="45563" spans="26:26" x14ac:dyDescent="0.2">
      <c r="Z45563" t="str">
        <f t="shared" si="711"/>
        <v/>
      </c>
    </row>
    <row r="45564" spans="26:26" x14ac:dyDescent="0.2">
      <c r="Z45564" t="str">
        <f t="shared" si="711"/>
        <v/>
      </c>
    </row>
    <row r="45565" spans="26:26" x14ac:dyDescent="0.2">
      <c r="Z45565" t="str">
        <f t="shared" si="711"/>
        <v/>
      </c>
    </row>
    <row r="45566" spans="26:26" x14ac:dyDescent="0.2">
      <c r="Z45566" t="str">
        <f t="shared" si="711"/>
        <v/>
      </c>
    </row>
    <row r="45567" spans="26:26" x14ac:dyDescent="0.2">
      <c r="Z45567" t="str">
        <f t="shared" si="711"/>
        <v/>
      </c>
    </row>
    <row r="45568" spans="26:26" x14ac:dyDescent="0.2">
      <c r="Z45568" t="str">
        <f t="shared" si="711"/>
        <v/>
      </c>
    </row>
    <row r="45569" spans="26:26" x14ac:dyDescent="0.2">
      <c r="Z45569" t="str">
        <f t="shared" si="711"/>
        <v/>
      </c>
    </row>
    <row r="45570" spans="26:26" x14ac:dyDescent="0.2">
      <c r="Z45570" t="str">
        <f t="shared" si="711"/>
        <v/>
      </c>
    </row>
    <row r="45571" spans="26:26" x14ac:dyDescent="0.2">
      <c r="Z45571" t="str">
        <f t="shared" ref="Z45571:Z45634" si="712">IF(K45571="","",IFERROR(VALUE(TRIM(MID(K45571,FIND(CHAR(167),SUBSTITUTE(K45571,"-",CHAR(167),LEN(K45571)-LEN(SUBSTITUTE(K45571,"-",""))))+1,100))),K45571))</f>
        <v/>
      </c>
    </row>
    <row r="45572" spans="26:26" x14ac:dyDescent="0.2">
      <c r="Z45572" t="str">
        <f t="shared" si="712"/>
        <v/>
      </c>
    </row>
    <row r="45573" spans="26:26" x14ac:dyDescent="0.2">
      <c r="Z45573" t="str">
        <f t="shared" si="712"/>
        <v/>
      </c>
    </row>
    <row r="45574" spans="26:26" x14ac:dyDescent="0.2">
      <c r="Z45574" t="str">
        <f t="shared" si="712"/>
        <v/>
      </c>
    </row>
    <row r="45575" spans="26:26" x14ac:dyDescent="0.2">
      <c r="Z45575" t="str">
        <f t="shared" si="712"/>
        <v/>
      </c>
    </row>
    <row r="45576" spans="26:26" x14ac:dyDescent="0.2">
      <c r="Z45576" t="str">
        <f t="shared" si="712"/>
        <v/>
      </c>
    </row>
    <row r="45577" spans="26:26" x14ac:dyDescent="0.2">
      <c r="Z45577" t="str">
        <f t="shared" si="712"/>
        <v/>
      </c>
    </row>
    <row r="45578" spans="26:26" x14ac:dyDescent="0.2">
      <c r="Z45578" t="str">
        <f t="shared" si="712"/>
        <v/>
      </c>
    </row>
    <row r="45579" spans="26:26" x14ac:dyDescent="0.2">
      <c r="Z45579" t="str">
        <f t="shared" si="712"/>
        <v/>
      </c>
    </row>
    <row r="45580" spans="26:26" x14ac:dyDescent="0.2">
      <c r="Z45580" t="str">
        <f t="shared" si="712"/>
        <v/>
      </c>
    </row>
    <row r="45581" spans="26:26" x14ac:dyDescent="0.2">
      <c r="Z45581" t="str">
        <f t="shared" si="712"/>
        <v/>
      </c>
    </row>
    <row r="45582" spans="26:26" x14ac:dyDescent="0.2">
      <c r="Z45582" t="str">
        <f t="shared" si="712"/>
        <v/>
      </c>
    </row>
    <row r="45583" spans="26:26" x14ac:dyDescent="0.2">
      <c r="Z45583" t="str">
        <f t="shared" si="712"/>
        <v/>
      </c>
    </row>
    <row r="45584" spans="26:26" x14ac:dyDescent="0.2">
      <c r="Z45584" t="str">
        <f t="shared" si="712"/>
        <v/>
      </c>
    </row>
    <row r="45585" spans="26:26" x14ac:dyDescent="0.2">
      <c r="Z45585" t="str">
        <f t="shared" si="712"/>
        <v/>
      </c>
    </row>
    <row r="45586" spans="26:26" x14ac:dyDescent="0.2">
      <c r="Z45586" t="str">
        <f t="shared" si="712"/>
        <v/>
      </c>
    </row>
    <row r="45587" spans="26:26" x14ac:dyDescent="0.2">
      <c r="Z45587" t="str">
        <f t="shared" si="712"/>
        <v/>
      </c>
    </row>
    <row r="45588" spans="26:26" x14ac:dyDescent="0.2">
      <c r="Z45588" t="str">
        <f t="shared" si="712"/>
        <v/>
      </c>
    </row>
    <row r="45589" spans="26:26" x14ac:dyDescent="0.2">
      <c r="Z45589" t="str">
        <f t="shared" si="712"/>
        <v/>
      </c>
    </row>
    <row r="45590" spans="26:26" x14ac:dyDescent="0.2">
      <c r="Z45590" t="str">
        <f t="shared" si="712"/>
        <v/>
      </c>
    </row>
    <row r="45591" spans="26:26" x14ac:dyDescent="0.2">
      <c r="Z45591" t="str">
        <f t="shared" si="712"/>
        <v/>
      </c>
    </row>
    <row r="45592" spans="26:26" x14ac:dyDescent="0.2">
      <c r="Z45592" t="str">
        <f t="shared" si="712"/>
        <v/>
      </c>
    </row>
    <row r="45593" spans="26:26" x14ac:dyDescent="0.2">
      <c r="Z45593" t="str">
        <f t="shared" si="712"/>
        <v/>
      </c>
    </row>
    <row r="45594" spans="26:26" x14ac:dyDescent="0.2">
      <c r="Z45594" t="str">
        <f t="shared" si="712"/>
        <v/>
      </c>
    </row>
    <row r="45595" spans="26:26" x14ac:dyDescent="0.2">
      <c r="Z45595" t="str">
        <f t="shared" si="712"/>
        <v/>
      </c>
    </row>
    <row r="45596" spans="26:26" x14ac:dyDescent="0.2">
      <c r="Z45596" t="str">
        <f t="shared" si="712"/>
        <v/>
      </c>
    </row>
    <row r="45597" spans="26:26" x14ac:dyDescent="0.2">
      <c r="Z45597" t="str">
        <f t="shared" si="712"/>
        <v/>
      </c>
    </row>
    <row r="45598" spans="26:26" x14ac:dyDescent="0.2">
      <c r="Z45598" t="str">
        <f t="shared" si="712"/>
        <v/>
      </c>
    </row>
    <row r="45599" spans="26:26" x14ac:dyDescent="0.2">
      <c r="Z45599" t="str">
        <f t="shared" si="712"/>
        <v/>
      </c>
    </row>
    <row r="45600" spans="26:26" x14ac:dyDescent="0.2">
      <c r="Z45600" t="str">
        <f t="shared" si="712"/>
        <v/>
      </c>
    </row>
    <row r="45601" spans="26:26" x14ac:dyDescent="0.2">
      <c r="Z45601" t="str">
        <f t="shared" si="712"/>
        <v/>
      </c>
    </row>
    <row r="45602" spans="26:26" x14ac:dyDescent="0.2">
      <c r="Z45602" t="str">
        <f t="shared" si="712"/>
        <v/>
      </c>
    </row>
    <row r="45603" spans="26:26" x14ac:dyDescent="0.2">
      <c r="Z45603" t="str">
        <f t="shared" si="712"/>
        <v/>
      </c>
    </row>
    <row r="45604" spans="26:26" x14ac:dyDescent="0.2">
      <c r="Z45604" t="str">
        <f t="shared" si="712"/>
        <v/>
      </c>
    </row>
    <row r="45605" spans="26:26" x14ac:dyDescent="0.2">
      <c r="Z45605" t="str">
        <f t="shared" si="712"/>
        <v/>
      </c>
    </row>
    <row r="45606" spans="26:26" x14ac:dyDescent="0.2">
      <c r="Z45606" t="str">
        <f t="shared" si="712"/>
        <v/>
      </c>
    </row>
    <row r="45607" spans="26:26" x14ac:dyDescent="0.2">
      <c r="Z45607" t="str">
        <f t="shared" si="712"/>
        <v/>
      </c>
    </row>
    <row r="45608" spans="26:26" x14ac:dyDescent="0.2">
      <c r="Z45608" t="str">
        <f t="shared" si="712"/>
        <v/>
      </c>
    </row>
    <row r="45609" spans="26:26" x14ac:dyDescent="0.2">
      <c r="Z45609" t="str">
        <f t="shared" si="712"/>
        <v/>
      </c>
    </row>
    <row r="45610" spans="26:26" x14ac:dyDescent="0.2">
      <c r="Z45610" t="str">
        <f t="shared" si="712"/>
        <v/>
      </c>
    </row>
    <row r="45611" spans="26:26" x14ac:dyDescent="0.2">
      <c r="Z45611" t="str">
        <f t="shared" si="712"/>
        <v/>
      </c>
    </row>
    <row r="45612" spans="26:26" x14ac:dyDescent="0.2">
      <c r="Z45612" t="str">
        <f t="shared" si="712"/>
        <v/>
      </c>
    </row>
    <row r="45613" spans="26:26" x14ac:dyDescent="0.2">
      <c r="Z45613" t="str">
        <f t="shared" si="712"/>
        <v/>
      </c>
    </row>
    <row r="45614" spans="26:26" x14ac:dyDescent="0.2">
      <c r="Z45614" t="str">
        <f t="shared" si="712"/>
        <v/>
      </c>
    </row>
    <row r="45615" spans="26:26" x14ac:dyDescent="0.2">
      <c r="Z45615" t="str">
        <f t="shared" si="712"/>
        <v/>
      </c>
    </row>
    <row r="45616" spans="26:26" x14ac:dyDescent="0.2">
      <c r="Z45616" t="str">
        <f t="shared" si="712"/>
        <v/>
      </c>
    </row>
    <row r="45617" spans="26:26" x14ac:dyDescent="0.2">
      <c r="Z45617" t="str">
        <f t="shared" si="712"/>
        <v/>
      </c>
    </row>
    <row r="45618" spans="26:26" x14ac:dyDescent="0.2">
      <c r="Z45618" t="str">
        <f t="shared" si="712"/>
        <v/>
      </c>
    </row>
    <row r="45619" spans="26:26" x14ac:dyDescent="0.2">
      <c r="Z45619" t="str">
        <f t="shared" si="712"/>
        <v/>
      </c>
    </row>
    <row r="45620" spans="26:26" x14ac:dyDescent="0.2">
      <c r="Z45620" t="str">
        <f t="shared" si="712"/>
        <v/>
      </c>
    </row>
    <row r="45621" spans="26:26" x14ac:dyDescent="0.2">
      <c r="Z45621" t="str">
        <f t="shared" si="712"/>
        <v/>
      </c>
    </row>
    <row r="45622" spans="26:26" x14ac:dyDescent="0.2">
      <c r="Z45622" t="str">
        <f t="shared" si="712"/>
        <v/>
      </c>
    </row>
    <row r="45623" spans="26:26" x14ac:dyDescent="0.2">
      <c r="Z45623" t="str">
        <f t="shared" si="712"/>
        <v/>
      </c>
    </row>
    <row r="45624" spans="26:26" x14ac:dyDescent="0.2">
      <c r="Z45624" t="str">
        <f t="shared" si="712"/>
        <v/>
      </c>
    </row>
    <row r="45625" spans="26:26" x14ac:dyDescent="0.2">
      <c r="Z45625" t="str">
        <f t="shared" si="712"/>
        <v/>
      </c>
    </row>
    <row r="45626" spans="26:26" x14ac:dyDescent="0.2">
      <c r="Z45626" t="str">
        <f t="shared" si="712"/>
        <v/>
      </c>
    </row>
    <row r="45627" spans="26:26" x14ac:dyDescent="0.2">
      <c r="Z45627" t="str">
        <f t="shared" si="712"/>
        <v/>
      </c>
    </row>
    <row r="45628" spans="26:26" x14ac:dyDescent="0.2">
      <c r="Z45628" t="str">
        <f t="shared" si="712"/>
        <v/>
      </c>
    </row>
    <row r="45629" spans="26:26" x14ac:dyDescent="0.2">
      <c r="Z45629" t="str">
        <f t="shared" si="712"/>
        <v/>
      </c>
    </row>
    <row r="45630" spans="26:26" x14ac:dyDescent="0.2">
      <c r="Z45630" t="str">
        <f t="shared" si="712"/>
        <v/>
      </c>
    </row>
    <row r="45631" spans="26:26" x14ac:dyDescent="0.2">
      <c r="Z45631" t="str">
        <f t="shared" si="712"/>
        <v/>
      </c>
    </row>
    <row r="45632" spans="26:26" x14ac:dyDescent="0.2">
      <c r="Z45632" t="str">
        <f t="shared" si="712"/>
        <v/>
      </c>
    </row>
    <row r="45633" spans="26:26" x14ac:dyDescent="0.2">
      <c r="Z45633" t="str">
        <f t="shared" si="712"/>
        <v/>
      </c>
    </row>
    <row r="45634" spans="26:26" x14ac:dyDescent="0.2">
      <c r="Z45634" t="str">
        <f t="shared" si="712"/>
        <v/>
      </c>
    </row>
    <row r="45635" spans="26:26" x14ac:dyDescent="0.2">
      <c r="Z45635" t="str">
        <f t="shared" ref="Z45635:Z45698" si="713">IF(K45635="","",IFERROR(VALUE(TRIM(MID(K45635,FIND(CHAR(167),SUBSTITUTE(K45635,"-",CHAR(167),LEN(K45635)-LEN(SUBSTITUTE(K45635,"-",""))))+1,100))),K45635))</f>
        <v/>
      </c>
    </row>
    <row r="45636" spans="26:26" x14ac:dyDescent="0.2">
      <c r="Z45636" t="str">
        <f t="shared" si="713"/>
        <v/>
      </c>
    </row>
    <row r="45637" spans="26:26" x14ac:dyDescent="0.2">
      <c r="Z45637" t="str">
        <f t="shared" si="713"/>
        <v/>
      </c>
    </row>
    <row r="45638" spans="26:26" x14ac:dyDescent="0.2">
      <c r="Z45638" t="str">
        <f t="shared" si="713"/>
        <v/>
      </c>
    </row>
    <row r="45639" spans="26:26" x14ac:dyDescent="0.2">
      <c r="Z45639" t="str">
        <f t="shared" si="713"/>
        <v/>
      </c>
    </row>
    <row r="45640" spans="26:26" x14ac:dyDescent="0.2">
      <c r="Z45640" t="str">
        <f t="shared" si="713"/>
        <v/>
      </c>
    </row>
    <row r="45641" spans="26:26" x14ac:dyDescent="0.2">
      <c r="Z45641" t="str">
        <f t="shared" si="713"/>
        <v/>
      </c>
    </row>
    <row r="45642" spans="26:26" x14ac:dyDescent="0.2">
      <c r="Z45642" t="str">
        <f t="shared" si="713"/>
        <v/>
      </c>
    </row>
    <row r="45643" spans="26:26" x14ac:dyDescent="0.2">
      <c r="Z45643" t="str">
        <f t="shared" si="713"/>
        <v/>
      </c>
    </row>
    <row r="45644" spans="26:26" x14ac:dyDescent="0.2">
      <c r="Z45644" t="str">
        <f t="shared" si="713"/>
        <v/>
      </c>
    </row>
    <row r="45645" spans="26:26" x14ac:dyDescent="0.2">
      <c r="Z45645" t="str">
        <f t="shared" si="713"/>
        <v/>
      </c>
    </row>
    <row r="45646" spans="26:26" x14ac:dyDescent="0.2">
      <c r="Z45646" t="str">
        <f t="shared" si="713"/>
        <v/>
      </c>
    </row>
    <row r="45647" spans="26:26" x14ac:dyDescent="0.2">
      <c r="Z45647" t="str">
        <f t="shared" si="713"/>
        <v/>
      </c>
    </row>
    <row r="45648" spans="26:26" x14ac:dyDescent="0.2">
      <c r="Z45648" t="str">
        <f t="shared" si="713"/>
        <v/>
      </c>
    </row>
    <row r="45649" spans="26:26" x14ac:dyDescent="0.2">
      <c r="Z45649" t="str">
        <f t="shared" si="713"/>
        <v/>
      </c>
    </row>
    <row r="45650" spans="26:26" x14ac:dyDescent="0.2">
      <c r="Z45650" t="str">
        <f t="shared" si="713"/>
        <v/>
      </c>
    </row>
    <row r="45651" spans="26:26" x14ac:dyDescent="0.2">
      <c r="Z45651" t="str">
        <f t="shared" si="713"/>
        <v/>
      </c>
    </row>
    <row r="45652" spans="26:26" x14ac:dyDescent="0.2">
      <c r="Z45652" t="str">
        <f t="shared" si="713"/>
        <v/>
      </c>
    </row>
    <row r="45653" spans="26:26" x14ac:dyDescent="0.2">
      <c r="Z45653" t="str">
        <f t="shared" si="713"/>
        <v/>
      </c>
    </row>
    <row r="45654" spans="26:26" x14ac:dyDescent="0.2">
      <c r="Z45654" t="str">
        <f t="shared" si="713"/>
        <v/>
      </c>
    </row>
    <row r="45655" spans="26:26" x14ac:dyDescent="0.2">
      <c r="Z45655" t="str">
        <f t="shared" si="713"/>
        <v/>
      </c>
    </row>
    <row r="45656" spans="26:26" x14ac:dyDescent="0.2">
      <c r="Z45656" t="str">
        <f t="shared" si="713"/>
        <v/>
      </c>
    </row>
    <row r="45657" spans="26:26" x14ac:dyDescent="0.2">
      <c r="Z45657" t="str">
        <f t="shared" si="713"/>
        <v/>
      </c>
    </row>
    <row r="45658" spans="26:26" x14ac:dyDescent="0.2">
      <c r="Z45658" t="str">
        <f t="shared" si="713"/>
        <v/>
      </c>
    </row>
    <row r="45659" spans="26:26" x14ac:dyDescent="0.2">
      <c r="Z45659" t="str">
        <f t="shared" si="713"/>
        <v/>
      </c>
    </row>
    <row r="45660" spans="26:26" x14ac:dyDescent="0.2">
      <c r="Z45660" t="str">
        <f t="shared" si="713"/>
        <v/>
      </c>
    </row>
    <row r="45661" spans="26:26" x14ac:dyDescent="0.2">
      <c r="Z45661" t="str">
        <f t="shared" si="713"/>
        <v/>
      </c>
    </row>
    <row r="45662" spans="26:26" x14ac:dyDescent="0.2">
      <c r="Z45662" t="str">
        <f t="shared" si="713"/>
        <v/>
      </c>
    </row>
    <row r="45663" spans="26:26" x14ac:dyDescent="0.2">
      <c r="Z45663" t="str">
        <f t="shared" si="713"/>
        <v/>
      </c>
    </row>
    <row r="45664" spans="26:26" x14ac:dyDescent="0.2">
      <c r="Z45664" t="str">
        <f t="shared" si="713"/>
        <v/>
      </c>
    </row>
    <row r="45665" spans="26:26" x14ac:dyDescent="0.2">
      <c r="Z45665" t="str">
        <f t="shared" si="713"/>
        <v/>
      </c>
    </row>
    <row r="45666" spans="26:26" x14ac:dyDescent="0.2">
      <c r="Z45666" t="str">
        <f t="shared" si="713"/>
        <v/>
      </c>
    </row>
    <row r="45667" spans="26:26" x14ac:dyDescent="0.2">
      <c r="Z45667" t="str">
        <f t="shared" si="713"/>
        <v/>
      </c>
    </row>
    <row r="45668" spans="26:26" x14ac:dyDescent="0.2">
      <c r="Z45668" t="str">
        <f t="shared" si="713"/>
        <v/>
      </c>
    </row>
    <row r="45669" spans="26:26" x14ac:dyDescent="0.2">
      <c r="Z45669" t="str">
        <f t="shared" si="713"/>
        <v/>
      </c>
    </row>
    <row r="45670" spans="26:26" x14ac:dyDescent="0.2">
      <c r="Z45670" t="str">
        <f t="shared" si="713"/>
        <v/>
      </c>
    </row>
    <row r="45671" spans="26:26" x14ac:dyDescent="0.2">
      <c r="Z45671" t="str">
        <f t="shared" si="713"/>
        <v/>
      </c>
    </row>
    <row r="45672" spans="26:26" x14ac:dyDescent="0.2">
      <c r="Z45672" t="str">
        <f t="shared" si="713"/>
        <v/>
      </c>
    </row>
    <row r="45673" spans="26:26" x14ac:dyDescent="0.2">
      <c r="Z45673" t="str">
        <f t="shared" si="713"/>
        <v/>
      </c>
    </row>
    <row r="45674" spans="26:26" x14ac:dyDescent="0.2">
      <c r="Z45674" t="str">
        <f t="shared" si="713"/>
        <v/>
      </c>
    </row>
    <row r="45675" spans="26:26" x14ac:dyDescent="0.2">
      <c r="Z45675" t="str">
        <f t="shared" si="713"/>
        <v/>
      </c>
    </row>
    <row r="45676" spans="26:26" x14ac:dyDescent="0.2">
      <c r="Z45676" t="str">
        <f t="shared" si="713"/>
        <v/>
      </c>
    </row>
    <row r="45677" spans="26:26" x14ac:dyDescent="0.2">
      <c r="Z45677" t="str">
        <f t="shared" si="713"/>
        <v/>
      </c>
    </row>
    <row r="45678" spans="26:26" x14ac:dyDescent="0.2">
      <c r="Z45678" t="str">
        <f t="shared" si="713"/>
        <v/>
      </c>
    </row>
    <row r="45679" spans="26:26" x14ac:dyDescent="0.2">
      <c r="Z45679" t="str">
        <f t="shared" si="713"/>
        <v/>
      </c>
    </row>
    <row r="45680" spans="26:26" x14ac:dyDescent="0.2">
      <c r="Z45680" t="str">
        <f t="shared" si="713"/>
        <v/>
      </c>
    </row>
    <row r="45681" spans="26:26" x14ac:dyDescent="0.2">
      <c r="Z45681" t="str">
        <f t="shared" si="713"/>
        <v/>
      </c>
    </row>
    <row r="45682" spans="26:26" x14ac:dyDescent="0.2">
      <c r="Z45682" t="str">
        <f t="shared" si="713"/>
        <v/>
      </c>
    </row>
    <row r="45683" spans="26:26" x14ac:dyDescent="0.2">
      <c r="Z45683" t="str">
        <f t="shared" si="713"/>
        <v/>
      </c>
    </row>
    <row r="45684" spans="26:26" x14ac:dyDescent="0.2">
      <c r="Z45684" t="str">
        <f t="shared" si="713"/>
        <v/>
      </c>
    </row>
    <row r="45685" spans="26:26" x14ac:dyDescent="0.2">
      <c r="Z45685" t="str">
        <f t="shared" si="713"/>
        <v/>
      </c>
    </row>
    <row r="45686" spans="26:26" x14ac:dyDescent="0.2">
      <c r="Z45686" t="str">
        <f t="shared" si="713"/>
        <v/>
      </c>
    </row>
    <row r="45687" spans="26:26" x14ac:dyDescent="0.2">
      <c r="Z45687" t="str">
        <f t="shared" si="713"/>
        <v/>
      </c>
    </row>
    <row r="45688" spans="26:26" x14ac:dyDescent="0.2">
      <c r="Z45688" t="str">
        <f t="shared" si="713"/>
        <v/>
      </c>
    </row>
    <row r="45689" spans="26:26" x14ac:dyDescent="0.2">
      <c r="Z45689" t="str">
        <f t="shared" si="713"/>
        <v/>
      </c>
    </row>
    <row r="45690" spans="26:26" x14ac:dyDescent="0.2">
      <c r="Z45690" t="str">
        <f t="shared" si="713"/>
        <v/>
      </c>
    </row>
    <row r="45691" spans="26:26" x14ac:dyDescent="0.2">
      <c r="Z45691" t="str">
        <f t="shared" si="713"/>
        <v/>
      </c>
    </row>
    <row r="45692" spans="26:26" x14ac:dyDescent="0.2">
      <c r="Z45692" t="str">
        <f t="shared" si="713"/>
        <v/>
      </c>
    </row>
    <row r="45693" spans="26:26" x14ac:dyDescent="0.2">
      <c r="Z45693" t="str">
        <f t="shared" si="713"/>
        <v/>
      </c>
    </row>
    <row r="45694" spans="26:26" x14ac:dyDescent="0.2">
      <c r="Z45694" t="str">
        <f t="shared" si="713"/>
        <v/>
      </c>
    </row>
    <row r="45695" spans="26:26" x14ac:dyDescent="0.2">
      <c r="Z45695" t="str">
        <f t="shared" si="713"/>
        <v/>
      </c>
    </row>
    <row r="45696" spans="26:26" x14ac:dyDescent="0.2">
      <c r="Z45696" t="str">
        <f t="shared" si="713"/>
        <v/>
      </c>
    </row>
    <row r="45697" spans="26:26" x14ac:dyDescent="0.2">
      <c r="Z45697" t="str">
        <f t="shared" si="713"/>
        <v/>
      </c>
    </row>
    <row r="45698" spans="26:26" x14ac:dyDescent="0.2">
      <c r="Z45698" t="str">
        <f t="shared" si="713"/>
        <v/>
      </c>
    </row>
    <row r="45699" spans="26:26" x14ac:dyDescent="0.2">
      <c r="Z45699" t="str">
        <f t="shared" ref="Z45699:Z45762" si="714">IF(K45699="","",IFERROR(VALUE(TRIM(MID(K45699,FIND(CHAR(167),SUBSTITUTE(K45699,"-",CHAR(167),LEN(K45699)-LEN(SUBSTITUTE(K45699,"-",""))))+1,100))),K45699))</f>
        <v/>
      </c>
    </row>
    <row r="45700" spans="26:26" x14ac:dyDescent="0.2">
      <c r="Z45700" t="str">
        <f t="shared" si="714"/>
        <v/>
      </c>
    </row>
    <row r="45701" spans="26:26" x14ac:dyDescent="0.2">
      <c r="Z45701" t="str">
        <f t="shared" si="714"/>
        <v/>
      </c>
    </row>
    <row r="45702" spans="26:26" x14ac:dyDescent="0.2">
      <c r="Z45702" t="str">
        <f t="shared" si="714"/>
        <v/>
      </c>
    </row>
    <row r="45703" spans="26:26" x14ac:dyDescent="0.2">
      <c r="Z45703" t="str">
        <f t="shared" si="714"/>
        <v/>
      </c>
    </row>
    <row r="45704" spans="26:26" x14ac:dyDescent="0.2">
      <c r="Z45704" t="str">
        <f t="shared" si="714"/>
        <v/>
      </c>
    </row>
    <row r="45705" spans="26:26" x14ac:dyDescent="0.2">
      <c r="Z45705" t="str">
        <f t="shared" si="714"/>
        <v/>
      </c>
    </row>
    <row r="45706" spans="26:26" x14ac:dyDescent="0.2">
      <c r="Z45706" t="str">
        <f t="shared" si="714"/>
        <v/>
      </c>
    </row>
    <row r="45707" spans="26:26" x14ac:dyDescent="0.2">
      <c r="Z45707" t="str">
        <f t="shared" si="714"/>
        <v/>
      </c>
    </row>
    <row r="45708" spans="26:26" x14ac:dyDescent="0.2">
      <c r="Z45708" t="str">
        <f t="shared" si="714"/>
        <v/>
      </c>
    </row>
    <row r="45709" spans="26:26" x14ac:dyDescent="0.2">
      <c r="Z45709" t="str">
        <f t="shared" si="714"/>
        <v/>
      </c>
    </row>
    <row r="45710" spans="26:26" x14ac:dyDescent="0.2">
      <c r="Z45710" t="str">
        <f t="shared" si="714"/>
        <v/>
      </c>
    </row>
    <row r="45711" spans="26:26" x14ac:dyDescent="0.2">
      <c r="Z45711" t="str">
        <f t="shared" si="714"/>
        <v/>
      </c>
    </row>
    <row r="45712" spans="26:26" x14ac:dyDescent="0.2">
      <c r="Z45712" t="str">
        <f t="shared" si="714"/>
        <v/>
      </c>
    </row>
    <row r="45713" spans="26:26" x14ac:dyDescent="0.2">
      <c r="Z45713" t="str">
        <f t="shared" si="714"/>
        <v/>
      </c>
    </row>
    <row r="45714" spans="26:26" x14ac:dyDescent="0.2">
      <c r="Z45714" t="str">
        <f t="shared" si="714"/>
        <v/>
      </c>
    </row>
    <row r="45715" spans="26:26" x14ac:dyDescent="0.2">
      <c r="Z45715" t="str">
        <f t="shared" si="714"/>
        <v/>
      </c>
    </row>
    <row r="45716" spans="26:26" x14ac:dyDescent="0.2">
      <c r="Z45716" t="str">
        <f t="shared" si="714"/>
        <v/>
      </c>
    </row>
    <row r="45717" spans="26:26" x14ac:dyDescent="0.2">
      <c r="Z45717" t="str">
        <f t="shared" si="714"/>
        <v/>
      </c>
    </row>
    <row r="45718" spans="26:26" x14ac:dyDescent="0.2">
      <c r="Z45718" t="str">
        <f t="shared" si="714"/>
        <v/>
      </c>
    </row>
    <row r="45719" spans="26:26" x14ac:dyDescent="0.2">
      <c r="Z45719" t="str">
        <f t="shared" si="714"/>
        <v/>
      </c>
    </row>
    <row r="45720" spans="26:26" x14ac:dyDescent="0.2">
      <c r="Z45720" t="str">
        <f t="shared" si="714"/>
        <v/>
      </c>
    </row>
    <row r="45721" spans="26:26" x14ac:dyDescent="0.2">
      <c r="Z45721" t="str">
        <f t="shared" si="714"/>
        <v/>
      </c>
    </row>
    <row r="45722" spans="26:26" x14ac:dyDescent="0.2">
      <c r="Z45722" t="str">
        <f t="shared" si="714"/>
        <v/>
      </c>
    </row>
    <row r="45723" spans="26:26" x14ac:dyDescent="0.2">
      <c r="Z45723" t="str">
        <f t="shared" si="714"/>
        <v/>
      </c>
    </row>
    <row r="45724" spans="26:26" x14ac:dyDescent="0.2">
      <c r="Z45724" t="str">
        <f t="shared" si="714"/>
        <v/>
      </c>
    </row>
    <row r="45725" spans="26:26" x14ac:dyDescent="0.2">
      <c r="Z45725" t="str">
        <f t="shared" si="714"/>
        <v/>
      </c>
    </row>
    <row r="45726" spans="26:26" x14ac:dyDescent="0.2">
      <c r="Z45726" t="str">
        <f t="shared" si="714"/>
        <v/>
      </c>
    </row>
    <row r="45727" spans="26:26" x14ac:dyDescent="0.2">
      <c r="Z45727" t="str">
        <f t="shared" si="714"/>
        <v/>
      </c>
    </row>
    <row r="45728" spans="26:26" x14ac:dyDescent="0.2">
      <c r="Z45728" t="str">
        <f t="shared" si="714"/>
        <v/>
      </c>
    </row>
    <row r="45729" spans="26:26" x14ac:dyDescent="0.2">
      <c r="Z45729" t="str">
        <f t="shared" si="714"/>
        <v/>
      </c>
    </row>
    <row r="45730" spans="26:26" x14ac:dyDescent="0.2">
      <c r="Z45730" t="str">
        <f t="shared" si="714"/>
        <v/>
      </c>
    </row>
    <row r="45731" spans="26:26" x14ac:dyDescent="0.2">
      <c r="Z45731" t="str">
        <f t="shared" si="714"/>
        <v/>
      </c>
    </row>
    <row r="45732" spans="26:26" x14ac:dyDescent="0.2">
      <c r="Z45732" t="str">
        <f t="shared" si="714"/>
        <v/>
      </c>
    </row>
    <row r="45733" spans="26:26" x14ac:dyDescent="0.2">
      <c r="Z45733" t="str">
        <f t="shared" si="714"/>
        <v/>
      </c>
    </row>
    <row r="45734" spans="26:26" x14ac:dyDescent="0.2">
      <c r="Z45734" t="str">
        <f t="shared" si="714"/>
        <v/>
      </c>
    </row>
    <row r="45735" spans="26:26" x14ac:dyDescent="0.2">
      <c r="Z45735" t="str">
        <f t="shared" si="714"/>
        <v/>
      </c>
    </row>
    <row r="45736" spans="26:26" x14ac:dyDescent="0.2">
      <c r="Z45736" t="str">
        <f t="shared" si="714"/>
        <v/>
      </c>
    </row>
    <row r="45737" spans="26:26" x14ac:dyDescent="0.2">
      <c r="Z45737" t="str">
        <f t="shared" si="714"/>
        <v/>
      </c>
    </row>
    <row r="45738" spans="26:26" x14ac:dyDescent="0.2">
      <c r="Z45738" t="str">
        <f t="shared" si="714"/>
        <v/>
      </c>
    </row>
    <row r="45739" spans="26:26" x14ac:dyDescent="0.2">
      <c r="Z45739" t="str">
        <f t="shared" si="714"/>
        <v/>
      </c>
    </row>
    <row r="45740" spans="26:26" x14ac:dyDescent="0.2">
      <c r="Z45740" t="str">
        <f t="shared" si="714"/>
        <v/>
      </c>
    </row>
    <row r="45741" spans="26:26" x14ac:dyDescent="0.2">
      <c r="Z45741" t="str">
        <f t="shared" si="714"/>
        <v/>
      </c>
    </row>
    <row r="45742" spans="26:26" x14ac:dyDescent="0.2">
      <c r="Z45742" t="str">
        <f t="shared" si="714"/>
        <v/>
      </c>
    </row>
    <row r="45743" spans="26:26" x14ac:dyDescent="0.2">
      <c r="Z45743" t="str">
        <f t="shared" si="714"/>
        <v/>
      </c>
    </row>
    <row r="45744" spans="26:26" x14ac:dyDescent="0.2">
      <c r="Z45744" t="str">
        <f t="shared" si="714"/>
        <v/>
      </c>
    </row>
    <row r="45745" spans="26:26" x14ac:dyDescent="0.2">
      <c r="Z45745" t="str">
        <f t="shared" si="714"/>
        <v/>
      </c>
    </row>
    <row r="45746" spans="26:26" x14ac:dyDescent="0.2">
      <c r="Z45746" t="str">
        <f t="shared" si="714"/>
        <v/>
      </c>
    </row>
    <row r="45747" spans="26:26" x14ac:dyDescent="0.2">
      <c r="Z45747" t="str">
        <f t="shared" si="714"/>
        <v/>
      </c>
    </row>
    <row r="45748" spans="26:26" x14ac:dyDescent="0.2">
      <c r="Z45748" t="str">
        <f t="shared" si="714"/>
        <v/>
      </c>
    </row>
    <row r="45749" spans="26:26" x14ac:dyDescent="0.2">
      <c r="Z45749" t="str">
        <f t="shared" si="714"/>
        <v/>
      </c>
    </row>
    <row r="45750" spans="26:26" x14ac:dyDescent="0.2">
      <c r="Z45750" t="str">
        <f t="shared" si="714"/>
        <v/>
      </c>
    </row>
    <row r="45751" spans="26:26" x14ac:dyDescent="0.2">
      <c r="Z45751" t="str">
        <f t="shared" si="714"/>
        <v/>
      </c>
    </row>
    <row r="45752" spans="26:26" x14ac:dyDescent="0.2">
      <c r="Z45752" t="str">
        <f t="shared" si="714"/>
        <v/>
      </c>
    </row>
    <row r="45753" spans="26:26" x14ac:dyDescent="0.2">
      <c r="Z45753" t="str">
        <f t="shared" si="714"/>
        <v/>
      </c>
    </row>
    <row r="45754" spans="26:26" x14ac:dyDescent="0.2">
      <c r="Z45754" t="str">
        <f t="shared" si="714"/>
        <v/>
      </c>
    </row>
    <row r="45755" spans="26:26" x14ac:dyDescent="0.2">
      <c r="Z45755" t="str">
        <f t="shared" si="714"/>
        <v/>
      </c>
    </row>
    <row r="45756" spans="26:26" x14ac:dyDescent="0.2">
      <c r="Z45756" t="str">
        <f t="shared" si="714"/>
        <v/>
      </c>
    </row>
    <row r="45757" spans="26:26" x14ac:dyDescent="0.2">
      <c r="Z45757" t="str">
        <f t="shared" si="714"/>
        <v/>
      </c>
    </row>
    <row r="45758" spans="26:26" x14ac:dyDescent="0.2">
      <c r="Z45758" t="str">
        <f t="shared" si="714"/>
        <v/>
      </c>
    </row>
    <row r="45759" spans="26:26" x14ac:dyDescent="0.2">
      <c r="Z45759" t="str">
        <f t="shared" si="714"/>
        <v/>
      </c>
    </row>
    <row r="45760" spans="26:26" x14ac:dyDescent="0.2">
      <c r="Z45760" t="str">
        <f t="shared" si="714"/>
        <v/>
      </c>
    </row>
    <row r="45761" spans="26:26" x14ac:dyDescent="0.2">
      <c r="Z45761" t="str">
        <f t="shared" si="714"/>
        <v/>
      </c>
    </row>
    <row r="45762" spans="26:26" x14ac:dyDescent="0.2">
      <c r="Z45762" t="str">
        <f t="shared" si="714"/>
        <v/>
      </c>
    </row>
    <row r="45763" spans="26:26" x14ac:dyDescent="0.2">
      <c r="Z45763" t="str">
        <f t="shared" ref="Z45763:Z45826" si="715">IF(K45763="","",IFERROR(VALUE(TRIM(MID(K45763,FIND(CHAR(167),SUBSTITUTE(K45763,"-",CHAR(167),LEN(K45763)-LEN(SUBSTITUTE(K45763,"-",""))))+1,100))),K45763))</f>
        <v/>
      </c>
    </row>
    <row r="45764" spans="26:26" x14ac:dyDescent="0.2">
      <c r="Z45764" t="str">
        <f t="shared" si="715"/>
        <v/>
      </c>
    </row>
    <row r="45765" spans="26:26" x14ac:dyDescent="0.2">
      <c r="Z45765" t="str">
        <f t="shared" si="715"/>
        <v/>
      </c>
    </row>
    <row r="45766" spans="26:26" x14ac:dyDescent="0.2">
      <c r="Z45766" t="str">
        <f t="shared" si="715"/>
        <v/>
      </c>
    </row>
    <row r="45767" spans="26:26" x14ac:dyDescent="0.2">
      <c r="Z45767" t="str">
        <f t="shared" si="715"/>
        <v/>
      </c>
    </row>
    <row r="45768" spans="26:26" x14ac:dyDescent="0.2">
      <c r="Z45768" t="str">
        <f t="shared" si="715"/>
        <v/>
      </c>
    </row>
    <row r="45769" spans="26:26" x14ac:dyDescent="0.2">
      <c r="Z45769" t="str">
        <f t="shared" si="715"/>
        <v/>
      </c>
    </row>
    <row r="45770" spans="26:26" x14ac:dyDescent="0.2">
      <c r="Z45770" t="str">
        <f t="shared" si="715"/>
        <v/>
      </c>
    </row>
    <row r="45771" spans="26:26" x14ac:dyDescent="0.2">
      <c r="Z45771" t="str">
        <f t="shared" si="715"/>
        <v/>
      </c>
    </row>
    <row r="45772" spans="26:26" x14ac:dyDescent="0.2">
      <c r="Z45772" t="str">
        <f t="shared" si="715"/>
        <v/>
      </c>
    </row>
    <row r="45773" spans="26:26" x14ac:dyDescent="0.2">
      <c r="Z45773" t="str">
        <f t="shared" si="715"/>
        <v/>
      </c>
    </row>
    <row r="45774" spans="26:26" x14ac:dyDescent="0.2">
      <c r="Z45774" t="str">
        <f t="shared" si="715"/>
        <v/>
      </c>
    </row>
    <row r="45775" spans="26:26" x14ac:dyDescent="0.2">
      <c r="Z45775" t="str">
        <f t="shared" si="715"/>
        <v/>
      </c>
    </row>
    <row r="45776" spans="26:26" x14ac:dyDescent="0.2">
      <c r="Z45776" t="str">
        <f t="shared" si="715"/>
        <v/>
      </c>
    </row>
    <row r="45777" spans="26:26" x14ac:dyDescent="0.2">
      <c r="Z45777" t="str">
        <f t="shared" si="715"/>
        <v/>
      </c>
    </row>
    <row r="45778" spans="26:26" x14ac:dyDescent="0.2">
      <c r="Z45778" t="str">
        <f t="shared" si="715"/>
        <v/>
      </c>
    </row>
    <row r="45779" spans="26:26" x14ac:dyDescent="0.2">
      <c r="Z45779" t="str">
        <f t="shared" si="715"/>
        <v/>
      </c>
    </row>
    <row r="45780" spans="26:26" x14ac:dyDescent="0.2">
      <c r="Z45780" t="str">
        <f t="shared" si="715"/>
        <v/>
      </c>
    </row>
    <row r="45781" spans="26:26" x14ac:dyDescent="0.2">
      <c r="Z45781" t="str">
        <f t="shared" si="715"/>
        <v/>
      </c>
    </row>
    <row r="45782" spans="26:26" x14ac:dyDescent="0.2">
      <c r="Z45782" t="str">
        <f t="shared" si="715"/>
        <v/>
      </c>
    </row>
    <row r="45783" spans="26:26" x14ac:dyDescent="0.2">
      <c r="Z45783" t="str">
        <f t="shared" si="715"/>
        <v/>
      </c>
    </row>
    <row r="45784" spans="26:26" x14ac:dyDescent="0.2">
      <c r="Z45784" t="str">
        <f t="shared" si="715"/>
        <v/>
      </c>
    </row>
    <row r="45785" spans="26:26" x14ac:dyDescent="0.2">
      <c r="Z45785" t="str">
        <f t="shared" si="715"/>
        <v/>
      </c>
    </row>
    <row r="45786" spans="26:26" x14ac:dyDescent="0.2">
      <c r="Z45786" t="str">
        <f t="shared" si="715"/>
        <v/>
      </c>
    </row>
    <row r="45787" spans="26:26" x14ac:dyDescent="0.2">
      <c r="Z45787" t="str">
        <f t="shared" si="715"/>
        <v/>
      </c>
    </row>
    <row r="45788" spans="26:26" x14ac:dyDescent="0.2">
      <c r="Z45788" t="str">
        <f t="shared" si="715"/>
        <v/>
      </c>
    </row>
    <row r="45789" spans="26:26" x14ac:dyDescent="0.2">
      <c r="Z45789" t="str">
        <f t="shared" si="715"/>
        <v/>
      </c>
    </row>
    <row r="45790" spans="26:26" x14ac:dyDescent="0.2">
      <c r="Z45790" t="str">
        <f t="shared" si="715"/>
        <v/>
      </c>
    </row>
    <row r="45791" spans="26:26" x14ac:dyDescent="0.2">
      <c r="Z45791" t="str">
        <f t="shared" si="715"/>
        <v/>
      </c>
    </row>
    <row r="45792" spans="26:26" x14ac:dyDescent="0.2">
      <c r="Z45792" t="str">
        <f t="shared" si="715"/>
        <v/>
      </c>
    </row>
    <row r="45793" spans="26:26" x14ac:dyDescent="0.2">
      <c r="Z45793" t="str">
        <f t="shared" si="715"/>
        <v/>
      </c>
    </row>
    <row r="45794" spans="26:26" x14ac:dyDescent="0.2">
      <c r="Z45794" t="str">
        <f t="shared" si="715"/>
        <v/>
      </c>
    </row>
    <row r="45795" spans="26:26" x14ac:dyDescent="0.2">
      <c r="Z45795" t="str">
        <f t="shared" si="715"/>
        <v/>
      </c>
    </row>
    <row r="45796" spans="26:26" x14ac:dyDescent="0.2">
      <c r="Z45796" t="str">
        <f t="shared" si="715"/>
        <v/>
      </c>
    </row>
    <row r="45797" spans="26:26" x14ac:dyDescent="0.2">
      <c r="Z45797" t="str">
        <f t="shared" si="715"/>
        <v/>
      </c>
    </row>
    <row r="45798" spans="26:26" x14ac:dyDescent="0.2">
      <c r="Z45798" t="str">
        <f t="shared" si="715"/>
        <v/>
      </c>
    </row>
    <row r="45799" spans="26:26" x14ac:dyDescent="0.2">
      <c r="Z45799" t="str">
        <f t="shared" si="715"/>
        <v/>
      </c>
    </row>
    <row r="45800" spans="26:26" x14ac:dyDescent="0.2">
      <c r="Z45800" t="str">
        <f t="shared" si="715"/>
        <v/>
      </c>
    </row>
    <row r="45801" spans="26:26" x14ac:dyDescent="0.2">
      <c r="Z45801" t="str">
        <f t="shared" si="715"/>
        <v/>
      </c>
    </row>
    <row r="45802" spans="26:26" x14ac:dyDescent="0.2">
      <c r="Z45802" t="str">
        <f t="shared" si="715"/>
        <v/>
      </c>
    </row>
    <row r="45803" spans="26:26" x14ac:dyDescent="0.2">
      <c r="Z45803" t="str">
        <f t="shared" si="715"/>
        <v/>
      </c>
    </row>
    <row r="45804" spans="26:26" x14ac:dyDescent="0.2">
      <c r="Z45804" t="str">
        <f t="shared" si="715"/>
        <v/>
      </c>
    </row>
    <row r="45805" spans="26:26" x14ac:dyDescent="0.2">
      <c r="Z45805" t="str">
        <f t="shared" si="715"/>
        <v/>
      </c>
    </row>
    <row r="45806" spans="26:26" x14ac:dyDescent="0.2">
      <c r="Z45806" t="str">
        <f t="shared" si="715"/>
        <v/>
      </c>
    </row>
    <row r="45807" spans="26:26" x14ac:dyDescent="0.2">
      <c r="Z45807" t="str">
        <f t="shared" si="715"/>
        <v/>
      </c>
    </row>
    <row r="45808" spans="26:26" x14ac:dyDescent="0.2">
      <c r="Z45808" t="str">
        <f t="shared" si="715"/>
        <v/>
      </c>
    </row>
    <row r="45809" spans="26:26" x14ac:dyDescent="0.2">
      <c r="Z45809" t="str">
        <f t="shared" si="715"/>
        <v/>
      </c>
    </row>
    <row r="45810" spans="26:26" x14ac:dyDescent="0.2">
      <c r="Z45810" t="str">
        <f t="shared" si="715"/>
        <v/>
      </c>
    </row>
    <row r="45811" spans="26:26" x14ac:dyDescent="0.2">
      <c r="Z45811" t="str">
        <f t="shared" si="715"/>
        <v/>
      </c>
    </row>
    <row r="45812" spans="26:26" x14ac:dyDescent="0.2">
      <c r="Z45812" t="str">
        <f t="shared" si="715"/>
        <v/>
      </c>
    </row>
    <row r="45813" spans="26:26" x14ac:dyDescent="0.2">
      <c r="Z45813" t="str">
        <f t="shared" si="715"/>
        <v/>
      </c>
    </row>
    <row r="45814" spans="26:26" x14ac:dyDescent="0.2">
      <c r="Z45814" t="str">
        <f t="shared" si="715"/>
        <v/>
      </c>
    </row>
    <row r="45815" spans="26:26" x14ac:dyDescent="0.2">
      <c r="Z45815" t="str">
        <f t="shared" si="715"/>
        <v/>
      </c>
    </row>
    <row r="45816" spans="26:26" x14ac:dyDescent="0.2">
      <c r="Z45816" t="str">
        <f t="shared" si="715"/>
        <v/>
      </c>
    </row>
    <row r="45817" spans="26:26" x14ac:dyDescent="0.2">
      <c r="Z45817" t="str">
        <f t="shared" si="715"/>
        <v/>
      </c>
    </row>
    <row r="45818" spans="26:26" x14ac:dyDescent="0.2">
      <c r="Z45818" t="str">
        <f t="shared" si="715"/>
        <v/>
      </c>
    </row>
    <row r="45819" spans="26:26" x14ac:dyDescent="0.2">
      <c r="Z45819" t="str">
        <f t="shared" si="715"/>
        <v/>
      </c>
    </row>
    <row r="45820" spans="26:26" x14ac:dyDescent="0.2">
      <c r="Z45820" t="str">
        <f t="shared" si="715"/>
        <v/>
      </c>
    </row>
    <row r="45821" spans="26:26" x14ac:dyDescent="0.2">
      <c r="Z45821" t="str">
        <f t="shared" si="715"/>
        <v/>
      </c>
    </row>
    <row r="45822" spans="26:26" x14ac:dyDescent="0.2">
      <c r="Z45822" t="str">
        <f t="shared" si="715"/>
        <v/>
      </c>
    </row>
    <row r="45823" spans="26:26" x14ac:dyDescent="0.2">
      <c r="Z45823" t="str">
        <f t="shared" si="715"/>
        <v/>
      </c>
    </row>
    <row r="45824" spans="26:26" x14ac:dyDescent="0.2">
      <c r="Z45824" t="str">
        <f t="shared" si="715"/>
        <v/>
      </c>
    </row>
    <row r="45825" spans="26:26" x14ac:dyDescent="0.2">
      <c r="Z45825" t="str">
        <f t="shared" si="715"/>
        <v/>
      </c>
    </row>
    <row r="45826" spans="26:26" x14ac:dyDescent="0.2">
      <c r="Z45826" t="str">
        <f t="shared" si="715"/>
        <v/>
      </c>
    </row>
    <row r="45827" spans="26:26" x14ac:dyDescent="0.2">
      <c r="Z45827" t="str">
        <f t="shared" ref="Z45827:Z45890" si="716">IF(K45827="","",IFERROR(VALUE(TRIM(MID(K45827,FIND(CHAR(167),SUBSTITUTE(K45827,"-",CHAR(167),LEN(K45827)-LEN(SUBSTITUTE(K45827,"-",""))))+1,100))),K45827))</f>
        <v/>
      </c>
    </row>
    <row r="45828" spans="26:26" x14ac:dyDescent="0.2">
      <c r="Z45828" t="str">
        <f t="shared" si="716"/>
        <v/>
      </c>
    </row>
    <row r="45829" spans="26:26" x14ac:dyDescent="0.2">
      <c r="Z45829" t="str">
        <f t="shared" si="716"/>
        <v/>
      </c>
    </row>
    <row r="45830" spans="26:26" x14ac:dyDescent="0.2">
      <c r="Z45830" t="str">
        <f t="shared" si="716"/>
        <v/>
      </c>
    </row>
    <row r="45831" spans="26:26" x14ac:dyDescent="0.2">
      <c r="Z45831" t="str">
        <f t="shared" si="716"/>
        <v/>
      </c>
    </row>
    <row r="45832" spans="26:26" x14ac:dyDescent="0.2">
      <c r="Z45832" t="str">
        <f t="shared" si="716"/>
        <v/>
      </c>
    </row>
    <row r="45833" spans="26:26" x14ac:dyDescent="0.2">
      <c r="Z45833" t="str">
        <f t="shared" si="716"/>
        <v/>
      </c>
    </row>
    <row r="45834" spans="26:26" x14ac:dyDescent="0.2">
      <c r="Z45834" t="str">
        <f t="shared" si="716"/>
        <v/>
      </c>
    </row>
    <row r="45835" spans="26:26" x14ac:dyDescent="0.2">
      <c r="Z45835" t="str">
        <f t="shared" si="716"/>
        <v/>
      </c>
    </row>
    <row r="45836" spans="26:26" x14ac:dyDescent="0.2">
      <c r="Z45836" t="str">
        <f t="shared" si="716"/>
        <v/>
      </c>
    </row>
    <row r="45837" spans="26:26" x14ac:dyDescent="0.2">
      <c r="Z45837" t="str">
        <f t="shared" si="716"/>
        <v/>
      </c>
    </row>
    <row r="45838" spans="26:26" x14ac:dyDescent="0.2">
      <c r="Z45838" t="str">
        <f t="shared" si="716"/>
        <v/>
      </c>
    </row>
    <row r="45839" spans="26:26" x14ac:dyDescent="0.2">
      <c r="Z45839" t="str">
        <f t="shared" si="716"/>
        <v/>
      </c>
    </row>
    <row r="45840" spans="26:26" x14ac:dyDescent="0.2">
      <c r="Z45840" t="str">
        <f t="shared" si="716"/>
        <v/>
      </c>
    </row>
    <row r="45841" spans="26:26" x14ac:dyDescent="0.2">
      <c r="Z45841" t="str">
        <f t="shared" si="716"/>
        <v/>
      </c>
    </row>
    <row r="45842" spans="26:26" x14ac:dyDescent="0.2">
      <c r="Z45842" t="str">
        <f t="shared" si="716"/>
        <v/>
      </c>
    </row>
    <row r="45843" spans="26:26" x14ac:dyDescent="0.2">
      <c r="Z45843" t="str">
        <f t="shared" si="716"/>
        <v/>
      </c>
    </row>
    <row r="45844" spans="26:26" x14ac:dyDescent="0.2">
      <c r="Z45844" t="str">
        <f t="shared" si="716"/>
        <v/>
      </c>
    </row>
    <row r="45845" spans="26:26" x14ac:dyDescent="0.2">
      <c r="Z45845" t="str">
        <f t="shared" si="716"/>
        <v/>
      </c>
    </row>
    <row r="45846" spans="26:26" x14ac:dyDescent="0.2">
      <c r="Z45846" t="str">
        <f t="shared" si="716"/>
        <v/>
      </c>
    </row>
    <row r="45847" spans="26:26" x14ac:dyDescent="0.2">
      <c r="Z45847" t="str">
        <f t="shared" si="716"/>
        <v/>
      </c>
    </row>
    <row r="45848" spans="26:26" x14ac:dyDescent="0.2">
      <c r="Z45848" t="str">
        <f t="shared" si="716"/>
        <v/>
      </c>
    </row>
    <row r="45849" spans="26:26" x14ac:dyDescent="0.2">
      <c r="Z45849" t="str">
        <f t="shared" si="716"/>
        <v/>
      </c>
    </row>
    <row r="45850" spans="26:26" x14ac:dyDescent="0.2">
      <c r="Z45850" t="str">
        <f t="shared" si="716"/>
        <v/>
      </c>
    </row>
    <row r="45851" spans="26:26" x14ac:dyDescent="0.2">
      <c r="Z45851" t="str">
        <f t="shared" si="716"/>
        <v/>
      </c>
    </row>
    <row r="45852" spans="26:26" x14ac:dyDescent="0.2">
      <c r="Z45852" t="str">
        <f t="shared" si="716"/>
        <v/>
      </c>
    </row>
    <row r="45853" spans="26:26" x14ac:dyDescent="0.2">
      <c r="Z45853" t="str">
        <f t="shared" si="716"/>
        <v/>
      </c>
    </row>
    <row r="45854" spans="26:26" x14ac:dyDescent="0.2">
      <c r="Z45854" t="str">
        <f t="shared" si="716"/>
        <v/>
      </c>
    </row>
    <row r="45855" spans="26:26" x14ac:dyDescent="0.2">
      <c r="Z45855" t="str">
        <f t="shared" si="716"/>
        <v/>
      </c>
    </row>
    <row r="45856" spans="26:26" x14ac:dyDescent="0.2">
      <c r="Z45856" t="str">
        <f t="shared" si="716"/>
        <v/>
      </c>
    </row>
    <row r="45857" spans="26:26" x14ac:dyDescent="0.2">
      <c r="Z45857" t="str">
        <f t="shared" si="716"/>
        <v/>
      </c>
    </row>
    <row r="45858" spans="26:26" x14ac:dyDescent="0.2">
      <c r="Z45858" t="str">
        <f t="shared" si="716"/>
        <v/>
      </c>
    </row>
    <row r="45859" spans="26:26" x14ac:dyDescent="0.2">
      <c r="Z45859" t="str">
        <f t="shared" si="716"/>
        <v/>
      </c>
    </row>
    <row r="45860" spans="26:26" x14ac:dyDescent="0.2">
      <c r="Z45860" t="str">
        <f t="shared" si="716"/>
        <v/>
      </c>
    </row>
    <row r="45861" spans="26:26" x14ac:dyDescent="0.2">
      <c r="Z45861" t="str">
        <f t="shared" si="716"/>
        <v/>
      </c>
    </row>
    <row r="45862" spans="26:26" x14ac:dyDescent="0.2">
      <c r="Z45862" t="str">
        <f t="shared" si="716"/>
        <v/>
      </c>
    </row>
    <row r="45863" spans="26:26" x14ac:dyDescent="0.2">
      <c r="Z45863" t="str">
        <f t="shared" si="716"/>
        <v/>
      </c>
    </row>
    <row r="45864" spans="26:26" x14ac:dyDescent="0.2">
      <c r="Z45864" t="str">
        <f t="shared" si="716"/>
        <v/>
      </c>
    </row>
    <row r="45865" spans="26:26" x14ac:dyDescent="0.2">
      <c r="Z45865" t="str">
        <f t="shared" si="716"/>
        <v/>
      </c>
    </row>
    <row r="45866" spans="26:26" x14ac:dyDescent="0.2">
      <c r="Z45866" t="str">
        <f t="shared" si="716"/>
        <v/>
      </c>
    </row>
    <row r="45867" spans="26:26" x14ac:dyDescent="0.2">
      <c r="Z45867" t="str">
        <f t="shared" si="716"/>
        <v/>
      </c>
    </row>
    <row r="45868" spans="26:26" x14ac:dyDescent="0.2">
      <c r="Z45868" t="str">
        <f t="shared" si="716"/>
        <v/>
      </c>
    </row>
    <row r="45869" spans="26:26" x14ac:dyDescent="0.2">
      <c r="Z45869" t="str">
        <f t="shared" si="716"/>
        <v/>
      </c>
    </row>
    <row r="45870" spans="26:26" x14ac:dyDescent="0.2">
      <c r="Z45870" t="str">
        <f t="shared" si="716"/>
        <v/>
      </c>
    </row>
    <row r="45871" spans="26:26" x14ac:dyDescent="0.2">
      <c r="Z45871" t="str">
        <f t="shared" si="716"/>
        <v/>
      </c>
    </row>
    <row r="45872" spans="26:26" x14ac:dyDescent="0.2">
      <c r="Z45872" t="str">
        <f t="shared" si="716"/>
        <v/>
      </c>
    </row>
    <row r="45873" spans="26:26" x14ac:dyDescent="0.2">
      <c r="Z45873" t="str">
        <f t="shared" si="716"/>
        <v/>
      </c>
    </row>
    <row r="45874" spans="26:26" x14ac:dyDescent="0.2">
      <c r="Z45874" t="str">
        <f t="shared" si="716"/>
        <v/>
      </c>
    </row>
    <row r="45875" spans="26:26" x14ac:dyDescent="0.2">
      <c r="Z45875" t="str">
        <f t="shared" si="716"/>
        <v/>
      </c>
    </row>
    <row r="45876" spans="26:26" x14ac:dyDescent="0.2">
      <c r="Z45876" t="str">
        <f t="shared" si="716"/>
        <v/>
      </c>
    </row>
    <row r="45877" spans="26:26" x14ac:dyDescent="0.2">
      <c r="Z45877" t="str">
        <f t="shared" si="716"/>
        <v/>
      </c>
    </row>
    <row r="45878" spans="26:26" x14ac:dyDescent="0.2">
      <c r="Z45878" t="str">
        <f t="shared" si="716"/>
        <v/>
      </c>
    </row>
    <row r="45879" spans="26:26" x14ac:dyDescent="0.2">
      <c r="Z45879" t="str">
        <f t="shared" si="716"/>
        <v/>
      </c>
    </row>
    <row r="45880" spans="26:26" x14ac:dyDescent="0.2">
      <c r="Z45880" t="str">
        <f t="shared" si="716"/>
        <v/>
      </c>
    </row>
    <row r="45881" spans="26:26" x14ac:dyDescent="0.2">
      <c r="Z45881" t="str">
        <f t="shared" si="716"/>
        <v/>
      </c>
    </row>
    <row r="45882" spans="26:26" x14ac:dyDescent="0.2">
      <c r="Z45882" t="str">
        <f t="shared" si="716"/>
        <v/>
      </c>
    </row>
    <row r="45883" spans="26:26" x14ac:dyDescent="0.2">
      <c r="Z45883" t="str">
        <f t="shared" si="716"/>
        <v/>
      </c>
    </row>
    <row r="45884" spans="26:26" x14ac:dyDescent="0.2">
      <c r="Z45884" t="str">
        <f t="shared" si="716"/>
        <v/>
      </c>
    </row>
    <row r="45885" spans="26:26" x14ac:dyDescent="0.2">
      <c r="Z45885" t="str">
        <f t="shared" si="716"/>
        <v/>
      </c>
    </row>
    <row r="45886" spans="26:26" x14ac:dyDescent="0.2">
      <c r="Z45886" t="str">
        <f t="shared" si="716"/>
        <v/>
      </c>
    </row>
    <row r="45887" spans="26:26" x14ac:dyDescent="0.2">
      <c r="Z45887" t="str">
        <f t="shared" si="716"/>
        <v/>
      </c>
    </row>
    <row r="45888" spans="26:26" x14ac:dyDescent="0.2">
      <c r="Z45888" t="str">
        <f t="shared" si="716"/>
        <v/>
      </c>
    </row>
    <row r="45889" spans="26:26" x14ac:dyDescent="0.2">
      <c r="Z45889" t="str">
        <f t="shared" si="716"/>
        <v/>
      </c>
    </row>
    <row r="45890" spans="26:26" x14ac:dyDescent="0.2">
      <c r="Z45890" t="str">
        <f t="shared" si="716"/>
        <v/>
      </c>
    </row>
    <row r="45891" spans="26:26" x14ac:dyDescent="0.2">
      <c r="Z45891" t="str">
        <f t="shared" ref="Z45891:Z45954" si="717">IF(K45891="","",IFERROR(VALUE(TRIM(MID(K45891,FIND(CHAR(167),SUBSTITUTE(K45891,"-",CHAR(167),LEN(K45891)-LEN(SUBSTITUTE(K45891,"-",""))))+1,100))),K45891))</f>
        <v/>
      </c>
    </row>
    <row r="45892" spans="26:26" x14ac:dyDescent="0.2">
      <c r="Z45892" t="str">
        <f t="shared" si="717"/>
        <v/>
      </c>
    </row>
    <row r="45893" spans="26:26" x14ac:dyDescent="0.2">
      <c r="Z45893" t="str">
        <f t="shared" si="717"/>
        <v/>
      </c>
    </row>
    <row r="45894" spans="26:26" x14ac:dyDescent="0.2">
      <c r="Z45894" t="str">
        <f t="shared" si="717"/>
        <v/>
      </c>
    </row>
    <row r="45895" spans="26:26" x14ac:dyDescent="0.2">
      <c r="Z45895" t="str">
        <f t="shared" si="717"/>
        <v/>
      </c>
    </row>
    <row r="45896" spans="26:26" x14ac:dyDescent="0.2">
      <c r="Z45896" t="str">
        <f t="shared" si="717"/>
        <v/>
      </c>
    </row>
    <row r="45897" spans="26:26" x14ac:dyDescent="0.2">
      <c r="Z45897" t="str">
        <f t="shared" si="717"/>
        <v/>
      </c>
    </row>
    <row r="45898" spans="26:26" x14ac:dyDescent="0.2">
      <c r="Z45898" t="str">
        <f t="shared" si="717"/>
        <v/>
      </c>
    </row>
    <row r="45899" spans="26:26" x14ac:dyDescent="0.2">
      <c r="Z45899" t="str">
        <f t="shared" si="717"/>
        <v/>
      </c>
    </row>
    <row r="45900" spans="26:26" x14ac:dyDescent="0.2">
      <c r="Z45900" t="str">
        <f t="shared" si="717"/>
        <v/>
      </c>
    </row>
    <row r="45901" spans="26:26" x14ac:dyDescent="0.2">
      <c r="Z45901" t="str">
        <f t="shared" si="717"/>
        <v/>
      </c>
    </row>
    <row r="45902" spans="26:26" x14ac:dyDescent="0.2">
      <c r="Z45902" t="str">
        <f t="shared" si="717"/>
        <v/>
      </c>
    </row>
    <row r="45903" spans="26:26" x14ac:dyDescent="0.2">
      <c r="Z45903" t="str">
        <f t="shared" si="717"/>
        <v/>
      </c>
    </row>
    <row r="45904" spans="26:26" x14ac:dyDescent="0.2">
      <c r="Z45904" t="str">
        <f t="shared" si="717"/>
        <v/>
      </c>
    </row>
    <row r="45905" spans="26:26" x14ac:dyDescent="0.2">
      <c r="Z45905" t="str">
        <f t="shared" si="717"/>
        <v/>
      </c>
    </row>
    <row r="45906" spans="26:26" x14ac:dyDescent="0.2">
      <c r="Z45906" t="str">
        <f t="shared" si="717"/>
        <v/>
      </c>
    </row>
    <row r="45907" spans="26:26" x14ac:dyDescent="0.2">
      <c r="Z45907" t="str">
        <f t="shared" si="717"/>
        <v/>
      </c>
    </row>
    <row r="45908" spans="26:26" x14ac:dyDescent="0.2">
      <c r="Z45908" t="str">
        <f t="shared" si="717"/>
        <v/>
      </c>
    </row>
    <row r="45909" spans="26:26" x14ac:dyDescent="0.2">
      <c r="Z45909" t="str">
        <f t="shared" si="717"/>
        <v/>
      </c>
    </row>
    <row r="45910" spans="26:26" x14ac:dyDescent="0.2">
      <c r="Z45910" t="str">
        <f t="shared" si="717"/>
        <v/>
      </c>
    </row>
    <row r="45911" spans="26:26" x14ac:dyDescent="0.2">
      <c r="Z45911" t="str">
        <f t="shared" si="717"/>
        <v/>
      </c>
    </row>
    <row r="45912" spans="26:26" x14ac:dyDescent="0.2">
      <c r="Z45912" t="str">
        <f t="shared" si="717"/>
        <v/>
      </c>
    </row>
    <row r="45913" spans="26:26" x14ac:dyDescent="0.2">
      <c r="Z45913" t="str">
        <f t="shared" si="717"/>
        <v/>
      </c>
    </row>
    <row r="45914" spans="26:26" x14ac:dyDescent="0.2">
      <c r="Z45914" t="str">
        <f t="shared" si="717"/>
        <v/>
      </c>
    </row>
    <row r="45915" spans="26:26" x14ac:dyDescent="0.2">
      <c r="Z45915" t="str">
        <f t="shared" si="717"/>
        <v/>
      </c>
    </row>
    <row r="45916" spans="26:26" x14ac:dyDescent="0.2">
      <c r="Z45916" t="str">
        <f t="shared" si="717"/>
        <v/>
      </c>
    </row>
    <row r="45917" spans="26:26" x14ac:dyDescent="0.2">
      <c r="Z45917" t="str">
        <f t="shared" si="717"/>
        <v/>
      </c>
    </row>
    <row r="45918" spans="26:26" x14ac:dyDescent="0.2">
      <c r="Z45918" t="str">
        <f t="shared" si="717"/>
        <v/>
      </c>
    </row>
    <row r="45919" spans="26:26" x14ac:dyDescent="0.2">
      <c r="Z45919" t="str">
        <f t="shared" si="717"/>
        <v/>
      </c>
    </row>
    <row r="45920" spans="26:26" x14ac:dyDescent="0.2">
      <c r="Z45920" t="str">
        <f t="shared" si="717"/>
        <v/>
      </c>
    </row>
    <row r="45921" spans="26:26" x14ac:dyDescent="0.2">
      <c r="Z45921" t="str">
        <f t="shared" si="717"/>
        <v/>
      </c>
    </row>
    <row r="45922" spans="26:26" x14ac:dyDescent="0.2">
      <c r="Z45922" t="str">
        <f t="shared" si="717"/>
        <v/>
      </c>
    </row>
    <row r="45923" spans="26:26" x14ac:dyDescent="0.2">
      <c r="Z45923" t="str">
        <f t="shared" si="717"/>
        <v/>
      </c>
    </row>
    <row r="45924" spans="26:26" x14ac:dyDescent="0.2">
      <c r="Z45924" t="str">
        <f t="shared" si="717"/>
        <v/>
      </c>
    </row>
    <row r="45925" spans="26:26" x14ac:dyDescent="0.2">
      <c r="Z45925" t="str">
        <f t="shared" si="717"/>
        <v/>
      </c>
    </row>
    <row r="45926" spans="26:26" x14ac:dyDescent="0.2">
      <c r="Z45926" t="str">
        <f t="shared" si="717"/>
        <v/>
      </c>
    </row>
    <row r="45927" spans="26:26" x14ac:dyDescent="0.2">
      <c r="Z45927" t="str">
        <f t="shared" si="717"/>
        <v/>
      </c>
    </row>
    <row r="45928" spans="26:26" x14ac:dyDescent="0.2">
      <c r="Z45928" t="str">
        <f t="shared" si="717"/>
        <v/>
      </c>
    </row>
    <row r="45929" spans="26:26" x14ac:dyDescent="0.2">
      <c r="Z45929" t="str">
        <f t="shared" si="717"/>
        <v/>
      </c>
    </row>
    <row r="45930" spans="26:26" x14ac:dyDescent="0.2">
      <c r="Z45930" t="str">
        <f t="shared" si="717"/>
        <v/>
      </c>
    </row>
    <row r="45931" spans="26:26" x14ac:dyDescent="0.2">
      <c r="Z45931" t="str">
        <f t="shared" si="717"/>
        <v/>
      </c>
    </row>
    <row r="45932" spans="26:26" x14ac:dyDescent="0.2">
      <c r="Z45932" t="str">
        <f t="shared" si="717"/>
        <v/>
      </c>
    </row>
    <row r="45933" spans="26:26" x14ac:dyDescent="0.2">
      <c r="Z45933" t="str">
        <f t="shared" si="717"/>
        <v/>
      </c>
    </row>
    <row r="45934" spans="26:26" x14ac:dyDescent="0.2">
      <c r="Z45934" t="str">
        <f t="shared" si="717"/>
        <v/>
      </c>
    </row>
    <row r="45935" spans="26:26" x14ac:dyDescent="0.2">
      <c r="Z45935" t="str">
        <f t="shared" si="717"/>
        <v/>
      </c>
    </row>
    <row r="45936" spans="26:26" x14ac:dyDescent="0.2">
      <c r="Z45936" t="str">
        <f t="shared" si="717"/>
        <v/>
      </c>
    </row>
    <row r="45937" spans="26:26" x14ac:dyDescent="0.2">
      <c r="Z45937" t="str">
        <f t="shared" si="717"/>
        <v/>
      </c>
    </row>
    <row r="45938" spans="26:26" x14ac:dyDescent="0.2">
      <c r="Z45938" t="str">
        <f t="shared" si="717"/>
        <v/>
      </c>
    </row>
    <row r="45939" spans="26:26" x14ac:dyDescent="0.2">
      <c r="Z45939" t="str">
        <f t="shared" si="717"/>
        <v/>
      </c>
    </row>
    <row r="45940" spans="26:26" x14ac:dyDescent="0.2">
      <c r="Z45940" t="str">
        <f t="shared" si="717"/>
        <v/>
      </c>
    </row>
    <row r="45941" spans="26:26" x14ac:dyDescent="0.2">
      <c r="Z45941" t="str">
        <f t="shared" si="717"/>
        <v/>
      </c>
    </row>
    <row r="45942" spans="26:26" x14ac:dyDescent="0.2">
      <c r="Z45942" t="str">
        <f t="shared" si="717"/>
        <v/>
      </c>
    </row>
    <row r="45943" spans="26:26" x14ac:dyDescent="0.2">
      <c r="Z45943" t="str">
        <f t="shared" si="717"/>
        <v/>
      </c>
    </row>
    <row r="45944" spans="26:26" x14ac:dyDescent="0.2">
      <c r="Z45944" t="str">
        <f t="shared" si="717"/>
        <v/>
      </c>
    </row>
    <row r="45945" spans="26:26" x14ac:dyDescent="0.2">
      <c r="Z45945" t="str">
        <f t="shared" si="717"/>
        <v/>
      </c>
    </row>
    <row r="45946" spans="26:26" x14ac:dyDescent="0.2">
      <c r="Z45946" t="str">
        <f t="shared" si="717"/>
        <v/>
      </c>
    </row>
    <row r="45947" spans="26:26" x14ac:dyDescent="0.2">
      <c r="Z45947" t="str">
        <f t="shared" si="717"/>
        <v/>
      </c>
    </row>
    <row r="45948" spans="26:26" x14ac:dyDescent="0.2">
      <c r="Z45948" t="str">
        <f t="shared" si="717"/>
        <v/>
      </c>
    </row>
    <row r="45949" spans="26:26" x14ac:dyDescent="0.2">
      <c r="Z45949" t="str">
        <f t="shared" si="717"/>
        <v/>
      </c>
    </row>
    <row r="45950" spans="26:26" x14ac:dyDescent="0.2">
      <c r="Z45950" t="str">
        <f t="shared" si="717"/>
        <v/>
      </c>
    </row>
    <row r="45951" spans="26:26" x14ac:dyDescent="0.2">
      <c r="Z45951" t="str">
        <f t="shared" si="717"/>
        <v/>
      </c>
    </row>
    <row r="45952" spans="26:26" x14ac:dyDescent="0.2">
      <c r="Z45952" t="str">
        <f t="shared" si="717"/>
        <v/>
      </c>
    </row>
    <row r="45953" spans="26:26" x14ac:dyDescent="0.2">
      <c r="Z45953" t="str">
        <f t="shared" si="717"/>
        <v/>
      </c>
    </row>
    <row r="45954" spans="26:26" x14ac:dyDescent="0.2">
      <c r="Z45954" t="str">
        <f t="shared" si="717"/>
        <v/>
      </c>
    </row>
    <row r="45955" spans="26:26" x14ac:dyDescent="0.2">
      <c r="Z45955" t="str">
        <f t="shared" ref="Z45955:Z46018" si="718">IF(K45955="","",IFERROR(VALUE(TRIM(MID(K45955,FIND(CHAR(167),SUBSTITUTE(K45955,"-",CHAR(167),LEN(K45955)-LEN(SUBSTITUTE(K45955,"-",""))))+1,100))),K45955))</f>
        <v/>
      </c>
    </row>
    <row r="45956" spans="26:26" x14ac:dyDescent="0.2">
      <c r="Z45956" t="str">
        <f t="shared" si="718"/>
        <v/>
      </c>
    </row>
    <row r="45957" spans="26:26" x14ac:dyDescent="0.2">
      <c r="Z45957" t="str">
        <f t="shared" si="718"/>
        <v/>
      </c>
    </row>
    <row r="45958" spans="26:26" x14ac:dyDescent="0.2">
      <c r="Z45958" t="str">
        <f t="shared" si="718"/>
        <v/>
      </c>
    </row>
    <row r="45959" spans="26:26" x14ac:dyDescent="0.2">
      <c r="Z45959" t="str">
        <f t="shared" si="718"/>
        <v/>
      </c>
    </row>
    <row r="45960" spans="26:26" x14ac:dyDescent="0.2">
      <c r="Z45960" t="str">
        <f t="shared" si="718"/>
        <v/>
      </c>
    </row>
    <row r="45961" spans="26:26" x14ac:dyDescent="0.2">
      <c r="Z45961" t="str">
        <f t="shared" si="718"/>
        <v/>
      </c>
    </row>
    <row r="45962" spans="26:26" x14ac:dyDescent="0.2">
      <c r="Z45962" t="str">
        <f t="shared" si="718"/>
        <v/>
      </c>
    </row>
    <row r="45963" spans="26:26" x14ac:dyDescent="0.2">
      <c r="Z45963" t="str">
        <f t="shared" si="718"/>
        <v/>
      </c>
    </row>
    <row r="45964" spans="26:26" x14ac:dyDescent="0.2">
      <c r="Z45964" t="str">
        <f t="shared" si="718"/>
        <v/>
      </c>
    </row>
    <row r="45965" spans="26:26" x14ac:dyDescent="0.2">
      <c r="Z45965" t="str">
        <f t="shared" si="718"/>
        <v/>
      </c>
    </row>
    <row r="45966" spans="26:26" x14ac:dyDescent="0.2">
      <c r="Z45966" t="str">
        <f t="shared" si="718"/>
        <v/>
      </c>
    </row>
    <row r="45967" spans="26:26" x14ac:dyDescent="0.2">
      <c r="Z45967" t="str">
        <f t="shared" si="718"/>
        <v/>
      </c>
    </row>
    <row r="45968" spans="26:26" x14ac:dyDescent="0.2">
      <c r="Z45968" t="str">
        <f t="shared" si="718"/>
        <v/>
      </c>
    </row>
    <row r="45969" spans="26:26" x14ac:dyDescent="0.2">
      <c r="Z45969" t="str">
        <f t="shared" si="718"/>
        <v/>
      </c>
    </row>
    <row r="45970" spans="26:26" x14ac:dyDescent="0.2">
      <c r="Z45970" t="str">
        <f t="shared" si="718"/>
        <v/>
      </c>
    </row>
    <row r="45971" spans="26:26" x14ac:dyDescent="0.2">
      <c r="Z45971" t="str">
        <f t="shared" si="718"/>
        <v/>
      </c>
    </row>
    <row r="45972" spans="26:26" x14ac:dyDescent="0.2">
      <c r="Z45972" t="str">
        <f t="shared" si="718"/>
        <v/>
      </c>
    </row>
    <row r="45973" spans="26:26" x14ac:dyDescent="0.2">
      <c r="Z45973" t="str">
        <f t="shared" si="718"/>
        <v/>
      </c>
    </row>
    <row r="45974" spans="26:26" x14ac:dyDescent="0.2">
      <c r="Z45974" t="str">
        <f t="shared" si="718"/>
        <v/>
      </c>
    </row>
    <row r="45975" spans="26:26" x14ac:dyDescent="0.2">
      <c r="Z45975" t="str">
        <f t="shared" si="718"/>
        <v/>
      </c>
    </row>
    <row r="45976" spans="26:26" x14ac:dyDescent="0.2">
      <c r="Z45976" t="str">
        <f t="shared" si="718"/>
        <v/>
      </c>
    </row>
    <row r="45977" spans="26:26" x14ac:dyDescent="0.2">
      <c r="Z45977" t="str">
        <f t="shared" si="718"/>
        <v/>
      </c>
    </row>
    <row r="45978" spans="26:26" x14ac:dyDescent="0.2">
      <c r="Z45978" t="str">
        <f t="shared" si="718"/>
        <v/>
      </c>
    </row>
    <row r="45979" spans="26:26" x14ac:dyDescent="0.2">
      <c r="Z45979" t="str">
        <f t="shared" si="718"/>
        <v/>
      </c>
    </row>
    <row r="45980" spans="26:26" x14ac:dyDescent="0.2">
      <c r="Z45980" t="str">
        <f t="shared" si="718"/>
        <v/>
      </c>
    </row>
    <row r="45981" spans="26:26" x14ac:dyDescent="0.2">
      <c r="Z45981" t="str">
        <f t="shared" si="718"/>
        <v/>
      </c>
    </row>
    <row r="45982" spans="26:26" x14ac:dyDescent="0.2">
      <c r="Z45982" t="str">
        <f t="shared" si="718"/>
        <v/>
      </c>
    </row>
    <row r="45983" spans="26:26" x14ac:dyDescent="0.2">
      <c r="Z45983" t="str">
        <f t="shared" si="718"/>
        <v/>
      </c>
    </row>
    <row r="45984" spans="26:26" x14ac:dyDescent="0.2">
      <c r="Z45984" t="str">
        <f t="shared" si="718"/>
        <v/>
      </c>
    </row>
    <row r="45985" spans="26:26" x14ac:dyDescent="0.2">
      <c r="Z45985" t="str">
        <f t="shared" si="718"/>
        <v/>
      </c>
    </row>
    <row r="45986" spans="26:26" x14ac:dyDescent="0.2">
      <c r="Z45986" t="str">
        <f t="shared" si="718"/>
        <v/>
      </c>
    </row>
    <row r="45987" spans="26:26" x14ac:dyDescent="0.2">
      <c r="Z45987" t="str">
        <f t="shared" si="718"/>
        <v/>
      </c>
    </row>
    <row r="45988" spans="26:26" x14ac:dyDescent="0.2">
      <c r="Z45988" t="str">
        <f t="shared" si="718"/>
        <v/>
      </c>
    </row>
    <row r="45989" spans="26:26" x14ac:dyDescent="0.2">
      <c r="Z45989" t="str">
        <f t="shared" si="718"/>
        <v/>
      </c>
    </row>
    <row r="45990" spans="26:26" x14ac:dyDescent="0.2">
      <c r="Z45990" t="str">
        <f t="shared" si="718"/>
        <v/>
      </c>
    </row>
    <row r="45991" spans="26:26" x14ac:dyDescent="0.2">
      <c r="Z45991" t="str">
        <f t="shared" si="718"/>
        <v/>
      </c>
    </row>
    <row r="45992" spans="26:26" x14ac:dyDescent="0.2">
      <c r="Z45992" t="str">
        <f t="shared" si="718"/>
        <v/>
      </c>
    </row>
    <row r="45993" spans="26:26" x14ac:dyDescent="0.2">
      <c r="Z45993" t="str">
        <f t="shared" si="718"/>
        <v/>
      </c>
    </row>
    <row r="45994" spans="26:26" x14ac:dyDescent="0.2">
      <c r="Z45994" t="str">
        <f t="shared" si="718"/>
        <v/>
      </c>
    </row>
    <row r="45995" spans="26:26" x14ac:dyDescent="0.2">
      <c r="Z45995" t="str">
        <f t="shared" si="718"/>
        <v/>
      </c>
    </row>
    <row r="45996" spans="26:26" x14ac:dyDescent="0.2">
      <c r="Z45996" t="str">
        <f t="shared" si="718"/>
        <v/>
      </c>
    </row>
    <row r="45997" spans="26:26" x14ac:dyDescent="0.2">
      <c r="Z45997" t="str">
        <f t="shared" si="718"/>
        <v/>
      </c>
    </row>
    <row r="45998" spans="26:26" x14ac:dyDescent="0.2">
      <c r="Z45998" t="str">
        <f t="shared" si="718"/>
        <v/>
      </c>
    </row>
    <row r="45999" spans="26:26" x14ac:dyDescent="0.2">
      <c r="Z45999" t="str">
        <f t="shared" si="718"/>
        <v/>
      </c>
    </row>
    <row r="46000" spans="26:26" x14ac:dyDescent="0.2">
      <c r="Z46000" t="str">
        <f t="shared" si="718"/>
        <v/>
      </c>
    </row>
    <row r="46001" spans="26:26" x14ac:dyDescent="0.2">
      <c r="Z46001" t="str">
        <f t="shared" si="718"/>
        <v/>
      </c>
    </row>
    <row r="46002" spans="26:26" x14ac:dyDescent="0.2">
      <c r="Z46002" t="str">
        <f t="shared" si="718"/>
        <v/>
      </c>
    </row>
    <row r="46003" spans="26:26" x14ac:dyDescent="0.2">
      <c r="Z46003" t="str">
        <f t="shared" si="718"/>
        <v/>
      </c>
    </row>
    <row r="46004" spans="26:26" x14ac:dyDescent="0.2">
      <c r="Z46004" t="str">
        <f t="shared" si="718"/>
        <v/>
      </c>
    </row>
    <row r="46005" spans="26:26" x14ac:dyDescent="0.2">
      <c r="Z46005" t="str">
        <f t="shared" si="718"/>
        <v/>
      </c>
    </row>
    <row r="46006" spans="26:26" x14ac:dyDescent="0.2">
      <c r="Z46006" t="str">
        <f t="shared" si="718"/>
        <v/>
      </c>
    </row>
    <row r="46007" spans="26:26" x14ac:dyDescent="0.2">
      <c r="Z46007" t="str">
        <f t="shared" si="718"/>
        <v/>
      </c>
    </row>
    <row r="46008" spans="26:26" x14ac:dyDescent="0.2">
      <c r="Z46008" t="str">
        <f t="shared" si="718"/>
        <v/>
      </c>
    </row>
    <row r="46009" spans="26:26" x14ac:dyDescent="0.2">
      <c r="Z46009" t="str">
        <f t="shared" si="718"/>
        <v/>
      </c>
    </row>
    <row r="46010" spans="26:26" x14ac:dyDescent="0.2">
      <c r="Z46010" t="str">
        <f t="shared" si="718"/>
        <v/>
      </c>
    </row>
    <row r="46011" spans="26:26" x14ac:dyDescent="0.2">
      <c r="Z46011" t="str">
        <f t="shared" si="718"/>
        <v/>
      </c>
    </row>
    <row r="46012" spans="26:26" x14ac:dyDescent="0.2">
      <c r="Z46012" t="str">
        <f t="shared" si="718"/>
        <v/>
      </c>
    </row>
    <row r="46013" spans="26:26" x14ac:dyDescent="0.2">
      <c r="Z46013" t="str">
        <f t="shared" si="718"/>
        <v/>
      </c>
    </row>
    <row r="46014" spans="26:26" x14ac:dyDescent="0.2">
      <c r="Z46014" t="str">
        <f t="shared" si="718"/>
        <v/>
      </c>
    </row>
    <row r="46015" spans="26:26" x14ac:dyDescent="0.2">
      <c r="Z46015" t="str">
        <f t="shared" si="718"/>
        <v/>
      </c>
    </row>
    <row r="46016" spans="26:26" x14ac:dyDescent="0.2">
      <c r="Z46016" t="str">
        <f t="shared" si="718"/>
        <v/>
      </c>
    </row>
    <row r="46017" spans="26:26" x14ac:dyDescent="0.2">
      <c r="Z46017" t="str">
        <f t="shared" si="718"/>
        <v/>
      </c>
    </row>
    <row r="46018" spans="26:26" x14ac:dyDescent="0.2">
      <c r="Z46018" t="str">
        <f t="shared" si="718"/>
        <v/>
      </c>
    </row>
    <row r="46019" spans="26:26" x14ac:dyDescent="0.2">
      <c r="Z46019" t="str">
        <f t="shared" ref="Z46019:Z46082" si="719">IF(K46019="","",IFERROR(VALUE(TRIM(MID(K46019,FIND(CHAR(167),SUBSTITUTE(K46019,"-",CHAR(167),LEN(K46019)-LEN(SUBSTITUTE(K46019,"-",""))))+1,100))),K46019))</f>
        <v/>
      </c>
    </row>
    <row r="46020" spans="26:26" x14ac:dyDescent="0.2">
      <c r="Z46020" t="str">
        <f t="shared" si="719"/>
        <v/>
      </c>
    </row>
    <row r="46021" spans="26:26" x14ac:dyDescent="0.2">
      <c r="Z46021" t="str">
        <f t="shared" si="719"/>
        <v/>
      </c>
    </row>
    <row r="46022" spans="26:26" x14ac:dyDescent="0.2">
      <c r="Z46022" t="str">
        <f t="shared" si="719"/>
        <v/>
      </c>
    </row>
    <row r="46023" spans="26:26" x14ac:dyDescent="0.2">
      <c r="Z46023" t="str">
        <f t="shared" si="719"/>
        <v/>
      </c>
    </row>
    <row r="46024" spans="26:26" x14ac:dyDescent="0.2">
      <c r="Z46024" t="str">
        <f t="shared" si="719"/>
        <v/>
      </c>
    </row>
    <row r="46025" spans="26:26" x14ac:dyDescent="0.2">
      <c r="Z46025" t="str">
        <f t="shared" si="719"/>
        <v/>
      </c>
    </row>
    <row r="46026" spans="26:26" x14ac:dyDescent="0.2">
      <c r="Z46026" t="str">
        <f t="shared" si="719"/>
        <v/>
      </c>
    </row>
    <row r="46027" spans="26:26" x14ac:dyDescent="0.2">
      <c r="Z46027" t="str">
        <f t="shared" si="719"/>
        <v/>
      </c>
    </row>
    <row r="46028" spans="26:26" x14ac:dyDescent="0.2">
      <c r="Z46028" t="str">
        <f t="shared" si="719"/>
        <v/>
      </c>
    </row>
    <row r="46029" spans="26:26" x14ac:dyDescent="0.2">
      <c r="Z46029" t="str">
        <f t="shared" si="719"/>
        <v/>
      </c>
    </row>
    <row r="46030" spans="26:26" x14ac:dyDescent="0.2">
      <c r="Z46030" t="str">
        <f t="shared" si="719"/>
        <v/>
      </c>
    </row>
    <row r="46031" spans="26:26" x14ac:dyDescent="0.2">
      <c r="Z46031" t="str">
        <f t="shared" si="719"/>
        <v/>
      </c>
    </row>
    <row r="46032" spans="26:26" x14ac:dyDescent="0.2">
      <c r="Z46032" t="str">
        <f t="shared" si="719"/>
        <v/>
      </c>
    </row>
    <row r="46033" spans="26:26" x14ac:dyDescent="0.2">
      <c r="Z46033" t="str">
        <f t="shared" si="719"/>
        <v/>
      </c>
    </row>
    <row r="46034" spans="26:26" x14ac:dyDescent="0.2">
      <c r="Z46034" t="str">
        <f t="shared" si="719"/>
        <v/>
      </c>
    </row>
    <row r="46035" spans="26:26" x14ac:dyDescent="0.2">
      <c r="Z46035" t="str">
        <f t="shared" si="719"/>
        <v/>
      </c>
    </row>
    <row r="46036" spans="26:26" x14ac:dyDescent="0.2">
      <c r="Z46036" t="str">
        <f t="shared" si="719"/>
        <v/>
      </c>
    </row>
    <row r="46037" spans="26:26" x14ac:dyDescent="0.2">
      <c r="Z46037" t="str">
        <f t="shared" si="719"/>
        <v/>
      </c>
    </row>
    <row r="46038" spans="26:26" x14ac:dyDescent="0.2">
      <c r="Z46038" t="str">
        <f t="shared" si="719"/>
        <v/>
      </c>
    </row>
    <row r="46039" spans="26:26" x14ac:dyDescent="0.2">
      <c r="Z46039" t="str">
        <f t="shared" si="719"/>
        <v/>
      </c>
    </row>
    <row r="46040" spans="26:26" x14ac:dyDescent="0.2">
      <c r="Z46040" t="str">
        <f t="shared" si="719"/>
        <v/>
      </c>
    </row>
    <row r="46041" spans="26:26" x14ac:dyDescent="0.2">
      <c r="Z46041" t="str">
        <f t="shared" si="719"/>
        <v/>
      </c>
    </row>
    <row r="46042" spans="26:26" x14ac:dyDescent="0.2">
      <c r="Z46042" t="str">
        <f t="shared" si="719"/>
        <v/>
      </c>
    </row>
    <row r="46043" spans="26:26" x14ac:dyDescent="0.2">
      <c r="Z46043" t="str">
        <f t="shared" si="719"/>
        <v/>
      </c>
    </row>
    <row r="46044" spans="26:26" x14ac:dyDescent="0.2">
      <c r="Z46044" t="str">
        <f t="shared" si="719"/>
        <v/>
      </c>
    </row>
    <row r="46045" spans="26:26" x14ac:dyDescent="0.2">
      <c r="Z46045" t="str">
        <f t="shared" si="719"/>
        <v/>
      </c>
    </row>
    <row r="46046" spans="26:26" x14ac:dyDescent="0.2">
      <c r="Z46046" t="str">
        <f t="shared" si="719"/>
        <v/>
      </c>
    </row>
    <row r="46047" spans="26:26" x14ac:dyDescent="0.2">
      <c r="Z46047" t="str">
        <f t="shared" si="719"/>
        <v/>
      </c>
    </row>
    <row r="46048" spans="26:26" x14ac:dyDescent="0.2">
      <c r="Z46048" t="str">
        <f t="shared" si="719"/>
        <v/>
      </c>
    </row>
    <row r="46049" spans="26:26" x14ac:dyDescent="0.2">
      <c r="Z46049" t="str">
        <f t="shared" si="719"/>
        <v/>
      </c>
    </row>
    <row r="46050" spans="26:26" x14ac:dyDescent="0.2">
      <c r="Z46050" t="str">
        <f t="shared" si="719"/>
        <v/>
      </c>
    </row>
    <row r="46051" spans="26:26" x14ac:dyDescent="0.2">
      <c r="Z46051" t="str">
        <f t="shared" si="719"/>
        <v/>
      </c>
    </row>
    <row r="46052" spans="26:26" x14ac:dyDescent="0.2">
      <c r="Z46052" t="str">
        <f t="shared" si="719"/>
        <v/>
      </c>
    </row>
    <row r="46053" spans="26:26" x14ac:dyDescent="0.2">
      <c r="Z46053" t="str">
        <f t="shared" si="719"/>
        <v/>
      </c>
    </row>
    <row r="46054" spans="26:26" x14ac:dyDescent="0.2">
      <c r="Z46054" t="str">
        <f t="shared" si="719"/>
        <v/>
      </c>
    </row>
    <row r="46055" spans="26:26" x14ac:dyDescent="0.2">
      <c r="Z46055" t="str">
        <f t="shared" si="719"/>
        <v/>
      </c>
    </row>
    <row r="46056" spans="26:26" x14ac:dyDescent="0.2">
      <c r="Z46056" t="str">
        <f t="shared" si="719"/>
        <v/>
      </c>
    </row>
    <row r="46057" spans="26:26" x14ac:dyDescent="0.2">
      <c r="Z46057" t="str">
        <f t="shared" si="719"/>
        <v/>
      </c>
    </row>
    <row r="46058" spans="26:26" x14ac:dyDescent="0.2">
      <c r="Z46058" t="str">
        <f t="shared" si="719"/>
        <v/>
      </c>
    </row>
    <row r="46059" spans="26:26" x14ac:dyDescent="0.2">
      <c r="Z46059" t="str">
        <f t="shared" si="719"/>
        <v/>
      </c>
    </row>
    <row r="46060" spans="26:26" x14ac:dyDescent="0.2">
      <c r="Z46060" t="str">
        <f t="shared" si="719"/>
        <v/>
      </c>
    </row>
    <row r="46061" spans="26:26" x14ac:dyDescent="0.2">
      <c r="Z46061" t="str">
        <f t="shared" si="719"/>
        <v/>
      </c>
    </row>
    <row r="46062" spans="26:26" x14ac:dyDescent="0.2">
      <c r="Z46062" t="str">
        <f t="shared" si="719"/>
        <v/>
      </c>
    </row>
    <row r="46063" spans="26:26" x14ac:dyDescent="0.2">
      <c r="Z46063" t="str">
        <f t="shared" si="719"/>
        <v/>
      </c>
    </row>
    <row r="46064" spans="26:26" x14ac:dyDescent="0.2">
      <c r="Z46064" t="str">
        <f t="shared" si="719"/>
        <v/>
      </c>
    </row>
    <row r="46065" spans="26:26" x14ac:dyDescent="0.2">
      <c r="Z46065" t="str">
        <f t="shared" si="719"/>
        <v/>
      </c>
    </row>
    <row r="46066" spans="26:26" x14ac:dyDescent="0.2">
      <c r="Z46066" t="str">
        <f t="shared" si="719"/>
        <v/>
      </c>
    </row>
    <row r="46067" spans="26:26" x14ac:dyDescent="0.2">
      <c r="Z46067" t="str">
        <f t="shared" si="719"/>
        <v/>
      </c>
    </row>
    <row r="46068" spans="26:26" x14ac:dyDescent="0.2">
      <c r="Z46068" t="str">
        <f t="shared" si="719"/>
        <v/>
      </c>
    </row>
    <row r="46069" spans="26:26" x14ac:dyDescent="0.2">
      <c r="Z46069" t="str">
        <f t="shared" si="719"/>
        <v/>
      </c>
    </row>
    <row r="46070" spans="26:26" x14ac:dyDescent="0.2">
      <c r="Z46070" t="str">
        <f t="shared" si="719"/>
        <v/>
      </c>
    </row>
    <row r="46071" spans="26:26" x14ac:dyDescent="0.2">
      <c r="Z46071" t="str">
        <f t="shared" si="719"/>
        <v/>
      </c>
    </row>
    <row r="46072" spans="26:26" x14ac:dyDescent="0.2">
      <c r="Z46072" t="str">
        <f t="shared" si="719"/>
        <v/>
      </c>
    </row>
    <row r="46073" spans="26:26" x14ac:dyDescent="0.2">
      <c r="Z46073" t="str">
        <f t="shared" si="719"/>
        <v/>
      </c>
    </row>
    <row r="46074" spans="26:26" x14ac:dyDescent="0.2">
      <c r="Z46074" t="str">
        <f t="shared" si="719"/>
        <v/>
      </c>
    </row>
    <row r="46075" spans="26:26" x14ac:dyDescent="0.2">
      <c r="Z46075" t="str">
        <f t="shared" si="719"/>
        <v/>
      </c>
    </row>
    <row r="46076" spans="26:26" x14ac:dyDescent="0.2">
      <c r="Z46076" t="str">
        <f t="shared" si="719"/>
        <v/>
      </c>
    </row>
    <row r="46077" spans="26:26" x14ac:dyDescent="0.2">
      <c r="Z46077" t="str">
        <f t="shared" si="719"/>
        <v/>
      </c>
    </row>
    <row r="46078" spans="26:26" x14ac:dyDescent="0.2">
      <c r="Z46078" t="str">
        <f t="shared" si="719"/>
        <v/>
      </c>
    </row>
    <row r="46079" spans="26:26" x14ac:dyDescent="0.2">
      <c r="Z46079" t="str">
        <f t="shared" si="719"/>
        <v/>
      </c>
    </row>
    <row r="46080" spans="26:26" x14ac:dyDescent="0.2">
      <c r="Z46080" t="str">
        <f t="shared" si="719"/>
        <v/>
      </c>
    </row>
    <row r="46081" spans="26:26" x14ac:dyDescent="0.2">
      <c r="Z46081" t="str">
        <f t="shared" si="719"/>
        <v/>
      </c>
    </row>
    <row r="46082" spans="26:26" x14ac:dyDescent="0.2">
      <c r="Z46082" t="str">
        <f t="shared" si="719"/>
        <v/>
      </c>
    </row>
    <row r="46083" spans="26:26" x14ac:dyDescent="0.2">
      <c r="Z46083" t="str">
        <f t="shared" ref="Z46083:Z46146" si="720">IF(K46083="","",IFERROR(VALUE(TRIM(MID(K46083,FIND(CHAR(167),SUBSTITUTE(K46083,"-",CHAR(167),LEN(K46083)-LEN(SUBSTITUTE(K46083,"-",""))))+1,100))),K46083))</f>
        <v/>
      </c>
    </row>
    <row r="46084" spans="26:26" x14ac:dyDescent="0.2">
      <c r="Z46084" t="str">
        <f t="shared" si="720"/>
        <v/>
      </c>
    </row>
    <row r="46085" spans="26:26" x14ac:dyDescent="0.2">
      <c r="Z46085" t="str">
        <f t="shared" si="720"/>
        <v/>
      </c>
    </row>
    <row r="46086" spans="26:26" x14ac:dyDescent="0.2">
      <c r="Z46086" t="str">
        <f t="shared" si="720"/>
        <v/>
      </c>
    </row>
    <row r="46087" spans="26:26" x14ac:dyDescent="0.2">
      <c r="Z46087" t="str">
        <f t="shared" si="720"/>
        <v/>
      </c>
    </row>
    <row r="46088" spans="26:26" x14ac:dyDescent="0.2">
      <c r="Z46088" t="str">
        <f t="shared" si="720"/>
        <v/>
      </c>
    </row>
    <row r="46089" spans="26:26" x14ac:dyDescent="0.2">
      <c r="Z46089" t="str">
        <f t="shared" si="720"/>
        <v/>
      </c>
    </row>
    <row r="46090" spans="26:26" x14ac:dyDescent="0.2">
      <c r="Z46090" t="str">
        <f t="shared" si="720"/>
        <v/>
      </c>
    </row>
    <row r="46091" spans="26:26" x14ac:dyDescent="0.2">
      <c r="Z46091" t="str">
        <f t="shared" si="720"/>
        <v/>
      </c>
    </row>
    <row r="46092" spans="26:26" x14ac:dyDescent="0.2">
      <c r="Z46092" t="str">
        <f t="shared" si="720"/>
        <v/>
      </c>
    </row>
    <row r="46093" spans="26:26" x14ac:dyDescent="0.2">
      <c r="Z46093" t="str">
        <f t="shared" si="720"/>
        <v/>
      </c>
    </row>
    <row r="46094" spans="26:26" x14ac:dyDescent="0.2">
      <c r="Z46094" t="str">
        <f t="shared" si="720"/>
        <v/>
      </c>
    </row>
    <row r="46095" spans="26:26" x14ac:dyDescent="0.2">
      <c r="Z46095" t="str">
        <f t="shared" si="720"/>
        <v/>
      </c>
    </row>
    <row r="46096" spans="26:26" x14ac:dyDescent="0.2">
      <c r="Z46096" t="str">
        <f t="shared" si="720"/>
        <v/>
      </c>
    </row>
    <row r="46097" spans="26:26" x14ac:dyDescent="0.2">
      <c r="Z46097" t="str">
        <f t="shared" si="720"/>
        <v/>
      </c>
    </row>
    <row r="46098" spans="26:26" x14ac:dyDescent="0.2">
      <c r="Z46098" t="str">
        <f t="shared" si="720"/>
        <v/>
      </c>
    </row>
    <row r="46099" spans="26:26" x14ac:dyDescent="0.2">
      <c r="Z46099" t="str">
        <f t="shared" si="720"/>
        <v/>
      </c>
    </row>
    <row r="46100" spans="26:26" x14ac:dyDescent="0.2">
      <c r="Z46100" t="str">
        <f t="shared" si="720"/>
        <v/>
      </c>
    </row>
    <row r="46101" spans="26:26" x14ac:dyDescent="0.2">
      <c r="Z46101" t="str">
        <f t="shared" si="720"/>
        <v/>
      </c>
    </row>
    <row r="46102" spans="26:26" x14ac:dyDescent="0.2">
      <c r="Z46102" t="str">
        <f t="shared" si="720"/>
        <v/>
      </c>
    </row>
    <row r="46103" spans="26:26" x14ac:dyDescent="0.2">
      <c r="Z46103" t="str">
        <f t="shared" si="720"/>
        <v/>
      </c>
    </row>
    <row r="46104" spans="26:26" x14ac:dyDescent="0.2">
      <c r="Z46104" t="str">
        <f t="shared" si="720"/>
        <v/>
      </c>
    </row>
    <row r="46105" spans="26:26" x14ac:dyDescent="0.2">
      <c r="Z46105" t="str">
        <f t="shared" si="720"/>
        <v/>
      </c>
    </row>
    <row r="46106" spans="26:26" x14ac:dyDescent="0.2">
      <c r="Z46106" t="str">
        <f t="shared" si="720"/>
        <v/>
      </c>
    </row>
    <row r="46107" spans="26:26" x14ac:dyDescent="0.2">
      <c r="Z46107" t="str">
        <f t="shared" si="720"/>
        <v/>
      </c>
    </row>
    <row r="46108" spans="26:26" x14ac:dyDescent="0.2">
      <c r="Z46108" t="str">
        <f t="shared" si="720"/>
        <v/>
      </c>
    </row>
    <row r="46109" spans="26:26" x14ac:dyDescent="0.2">
      <c r="Z46109" t="str">
        <f t="shared" si="720"/>
        <v/>
      </c>
    </row>
    <row r="46110" spans="26:26" x14ac:dyDescent="0.2">
      <c r="Z46110" t="str">
        <f t="shared" si="720"/>
        <v/>
      </c>
    </row>
    <row r="46111" spans="26:26" x14ac:dyDescent="0.2">
      <c r="Z46111" t="str">
        <f t="shared" si="720"/>
        <v/>
      </c>
    </row>
    <row r="46112" spans="26:26" x14ac:dyDescent="0.2">
      <c r="Z46112" t="str">
        <f t="shared" si="720"/>
        <v/>
      </c>
    </row>
    <row r="46113" spans="26:26" x14ac:dyDescent="0.2">
      <c r="Z46113" t="str">
        <f t="shared" si="720"/>
        <v/>
      </c>
    </row>
    <row r="46114" spans="26:26" x14ac:dyDescent="0.2">
      <c r="Z46114" t="str">
        <f t="shared" si="720"/>
        <v/>
      </c>
    </row>
    <row r="46115" spans="26:26" x14ac:dyDescent="0.2">
      <c r="Z46115" t="str">
        <f t="shared" si="720"/>
        <v/>
      </c>
    </row>
    <row r="46116" spans="26:26" x14ac:dyDescent="0.2">
      <c r="Z46116" t="str">
        <f t="shared" si="720"/>
        <v/>
      </c>
    </row>
    <row r="46117" spans="26:26" x14ac:dyDescent="0.2">
      <c r="Z46117" t="str">
        <f t="shared" si="720"/>
        <v/>
      </c>
    </row>
    <row r="46118" spans="26:26" x14ac:dyDescent="0.2">
      <c r="Z46118" t="str">
        <f t="shared" si="720"/>
        <v/>
      </c>
    </row>
    <row r="46119" spans="26:26" x14ac:dyDescent="0.2">
      <c r="Z46119" t="str">
        <f t="shared" si="720"/>
        <v/>
      </c>
    </row>
    <row r="46120" spans="26:26" x14ac:dyDescent="0.2">
      <c r="Z46120" t="str">
        <f t="shared" si="720"/>
        <v/>
      </c>
    </row>
    <row r="46121" spans="26:26" x14ac:dyDescent="0.2">
      <c r="Z46121" t="str">
        <f t="shared" si="720"/>
        <v/>
      </c>
    </row>
    <row r="46122" spans="26:26" x14ac:dyDescent="0.2">
      <c r="Z46122" t="str">
        <f t="shared" si="720"/>
        <v/>
      </c>
    </row>
    <row r="46123" spans="26:26" x14ac:dyDescent="0.2">
      <c r="Z46123" t="str">
        <f t="shared" si="720"/>
        <v/>
      </c>
    </row>
    <row r="46124" spans="26:26" x14ac:dyDescent="0.2">
      <c r="Z46124" t="str">
        <f t="shared" si="720"/>
        <v/>
      </c>
    </row>
    <row r="46125" spans="26:26" x14ac:dyDescent="0.2">
      <c r="Z46125" t="str">
        <f t="shared" si="720"/>
        <v/>
      </c>
    </row>
    <row r="46126" spans="26:26" x14ac:dyDescent="0.2">
      <c r="Z46126" t="str">
        <f t="shared" si="720"/>
        <v/>
      </c>
    </row>
    <row r="46127" spans="26:26" x14ac:dyDescent="0.2">
      <c r="Z46127" t="str">
        <f t="shared" si="720"/>
        <v/>
      </c>
    </row>
    <row r="46128" spans="26:26" x14ac:dyDescent="0.2">
      <c r="Z46128" t="str">
        <f t="shared" si="720"/>
        <v/>
      </c>
    </row>
    <row r="46129" spans="26:26" x14ac:dyDescent="0.2">
      <c r="Z46129" t="str">
        <f t="shared" si="720"/>
        <v/>
      </c>
    </row>
    <row r="46130" spans="26:26" x14ac:dyDescent="0.2">
      <c r="Z46130" t="str">
        <f t="shared" si="720"/>
        <v/>
      </c>
    </row>
    <row r="46131" spans="26:26" x14ac:dyDescent="0.2">
      <c r="Z46131" t="str">
        <f t="shared" si="720"/>
        <v/>
      </c>
    </row>
    <row r="46132" spans="26:26" x14ac:dyDescent="0.2">
      <c r="Z46132" t="str">
        <f t="shared" si="720"/>
        <v/>
      </c>
    </row>
    <row r="46133" spans="26:26" x14ac:dyDescent="0.2">
      <c r="Z46133" t="str">
        <f t="shared" si="720"/>
        <v/>
      </c>
    </row>
    <row r="46134" spans="26:26" x14ac:dyDescent="0.2">
      <c r="Z46134" t="str">
        <f t="shared" si="720"/>
        <v/>
      </c>
    </row>
    <row r="46135" spans="26:26" x14ac:dyDescent="0.2">
      <c r="Z46135" t="str">
        <f t="shared" si="720"/>
        <v/>
      </c>
    </row>
    <row r="46136" spans="26:26" x14ac:dyDescent="0.2">
      <c r="Z46136" t="str">
        <f t="shared" si="720"/>
        <v/>
      </c>
    </row>
    <row r="46137" spans="26:26" x14ac:dyDescent="0.2">
      <c r="Z46137" t="str">
        <f t="shared" si="720"/>
        <v/>
      </c>
    </row>
    <row r="46138" spans="26:26" x14ac:dyDescent="0.2">
      <c r="Z46138" t="str">
        <f t="shared" si="720"/>
        <v/>
      </c>
    </row>
    <row r="46139" spans="26:26" x14ac:dyDescent="0.2">
      <c r="Z46139" t="str">
        <f t="shared" si="720"/>
        <v/>
      </c>
    </row>
    <row r="46140" spans="26:26" x14ac:dyDescent="0.2">
      <c r="Z46140" t="str">
        <f t="shared" si="720"/>
        <v/>
      </c>
    </row>
    <row r="46141" spans="26:26" x14ac:dyDescent="0.2">
      <c r="Z46141" t="str">
        <f t="shared" si="720"/>
        <v/>
      </c>
    </row>
    <row r="46142" spans="26:26" x14ac:dyDescent="0.2">
      <c r="Z46142" t="str">
        <f t="shared" si="720"/>
        <v/>
      </c>
    </row>
    <row r="46143" spans="26:26" x14ac:dyDescent="0.2">
      <c r="Z46143" t="str">
        <f t="shared" si="720"/>
        <v/>
      </c>
    </row>
    <row r="46144" spans="26:26" x14ac:dyDescent="0.2">
      <c r="Z46144" t="str">
        <f t="shared" si="720"/>
        <v/>
      </c>
    </row>
    <row r="46145" spans="26:26" x14ac:dyDescent="0.2">
      <c r="Z46145" t="str">
        <f t="shared" si="720"/>
        <v/>
      </c>
    </row>
    <row r="46146" spans="26:26" x14ac:dyDescent="0.2">
      <c r="Z46146" t="str">
        <f t="shared" si="720"/>
        <v/>
      </c>
    </row>
    <row r="46147" spans="26:26" x14ac:dyDescent="0.2">
      <c r="Z46147" t="str">
        <f t="shared" ref="Z46147:Z46210" si="721">IF(K46147="","",IFERROR(VALUE(TRIM(MID(K46147,FIND(CHAR(167),SUBSTITUTE(K46147,"-",CHAR(167),LEN(K46147)-LEN(SUBSTITUTE(K46147,"-",""))))+1,100))),K46147))</f>
        <v/>
      </c>
    </row>
    <row r="46148" spans="26:26" x14ac:dyDescent="0.2">
      <c r="Z46148" t="str">
        <f t="shared" si="721"/>
        <v/>
      </c>
    </row>
    <row r="46149" spans="26:26" x14ac:dyDescent="0.2">
      <c r="Z46149" t="str">
        <f t="shared" si="721"/>
        <v/>
      </c>
    </row>
    <row r="46150" spans="26:26" x14ac:dyDescent="0.2">
      <c r="Z46150" t="str">
        <f t="shared" si="721"/>
        <v/>
      </c>
    </row>
    <row r="46151" spans="26:26" x14ac:dyDescent="0.2">
      <c r="Z46151" t="str">
        <f t="shared" si="721"/>
        <v/>
      </c>
    </row>
    <row r="46152" spans="26:26" x14ac:dyDescent="0.2">
      <c r="Z46152" t="str">
        <f t="shared" si="721"/>
        <v/>
      </c>
    </row>
    <row r="46153" spans="26:26" x14ac:dyDescent="0.2">
      <c r="Z46153" t="str">
        <f t="shared" si="721"/>
        <v/>
      </c>
    </row>
    <row r="46154" spans="26:26" x14ac:dyDescent="0.2">
      <c r="Z46154" t="str">
        <f t="shared" si="721"/>
        <v/>
      </c>
    </row>
    <row r="46155" spans="26:26" x14ac:dyDescent="0.2">
      <c r="Z46155" t="str">
        <f t="shared" si="721"/>
        <v/>
      </c>
    </row>
    <row r="46156" spans="26:26" x14ac:dyDescent="0.2">
      <c r="Z46156" t="str">
        <f t="shared" si="721"/>
        <v/>
      </c>
    </row>
    <row r="46157" spans="26:26" x14ac:dyDescent="0.2">
      <c r="Z46157" t="str">
        <f t="shared" si="721"/>
        <v/>
      </c>
    </row>
    <row r="46158" spans="26:26" x14ac:dyDescent="0.2">
      <c r="Z46158" t="str">
        <f t="shared" si="721"/>
        <v/>
      </c>
    </row>
    <row r="46159" spans="26:26" x14ac:dyDescent="0.2">
      <c r="Z46159" t="str">
        <f t="shared" si="721"/>
        <v/>
      </c>
    </row>
    <row r="46160" spans="26:26" x14ac:dyDescent="0.2">
      <c r="Z46160" t="str">
        <f t="shared" si="721"/>
        <v/>
      </c>
    </row>
    <row r="46161" spans="26:26" x14ac:dyDescent="0.2">
      <c r="Z46161" t="str">
        <f t="shared" si="721"/>
        <v/>
      </c>
    </row>
    <row r="46162" spans="26:26" x14ac:dyDescent="0.2">
      <c r="Z46162" t="str">
        <f t="shared" si="721"/>
        <v/>
      </c>
    </row>
    <row r="46163" spans="26:26" x14ac:dyDescent="0.2">
      <c r="Z46163" t="str">
        <f t="shared" si="721"/>
        <v/>
      </c>
    </row>
    <row r="46164" spans="26:26" x14ac:dyDescent="0.2">
      <c r="Z46164" t="str">
        <f t="shared" si="721"/>
        <v/>
      </c>
    </row>
    <row r="46165" spans="26:26" x14ac:dyDescent="0.2">
      <c r="Z46165" t="str">
        <f t="shared" si="721"/>
        <v/>
      </c>
    </row>
    <row r="46166" spans="26:26" x14ac:dyDescent="0.2">
      <c r="Z46166" t="str">
        <f t="shared" si="721"/>
        <v/>
      </c>
    </row>
    <row r="46167" spans="26:26" x14ac:dyDescent="0.2">
      <c r="Z46167" t="str">
        <f t="shared" si="721"/>
        <v/>
      </c>
    </row>
    <row r="46168" spans="26:26" x14ac:dyDescent="0.2">
      <c r="Z46168" t="str">
        <f t="shared" si="721"/>
        <v/>
      </c>
    </row>
    <row r="46169" spans="26:26" x14ac:dyDescent="0.2">
      <c r="Z46169" t="str">
        <f t="shared" si="721"/>
        <v/>
      </c>
    </row>
    <row r="46170" spans="26:26" x14ac:dyDescent="0.2">
      <c r="Z46170" t="str">
        <f t="shared" si="721"/>
        <v/>
      </c>
    </row>
    <row r="46171" spans="26:26" x14ac:dyDescent="0.2">
      <c r="Z46171" t="str">
        <f t="shared" si="721"/>
        <v/>
      </c>
    </row>
    <row r="46172" spans="26:26" x14ac:dyDescent="0.2">
      <c r="Z46172" t="str">
        <f t="shared" si="721"/>
        <v/>
      </c>
    </row>
    <row r="46173" spans="26:26" x14ac:dyDescent="0.2">
      <c r="Z46173" t="str">
        <f t="shared" si="721"/>
        <v/>
      </c>
    </row>
    <row r="46174" spans="26:26" x14ac:dyDescent="0.2">
      <c r="Z46174" t="str">
        <f t="shared" si="721"/>
        <v/>
      </c>
    </row>
    <row r="46175" spans="26:26" x14ac:dyDescent="0.2">
      <c r="Z46175" t="str">
        <f t="shared" si="721"/>
        <v/>
      </c>
    </row>
    <row r="46176" spans="26:26" x14ac:dyDescent="0.2">
      <c r="Z46176" t="str">
        <f t="shared" si="721"/>
        <v/>
      </c>
    </row>
    <row r="46177" spans="26:26" x14ac:dyDescent="0.2">
      <c r="Z46177" t="str">
        <f t="shared" si="721"/>
        <v/>
      </c>
    </row>
    <row r="46178" spans="26:26" x14ac:dyDescent="0.2">
      <c r="Z46178" t="str">
        <f t="shared" si="721"/>
        <v/>
      </c>
    </row>
    <row r="46179" spans="26:26" x14ac:dyDescent="0.2">
      <c r="Z46179" t="str">
        <f t="shared" si="721"/>
        <v/>
      </c>
    </row>
    <row r="46180" spans="26:26" x14ac:dyDescent="0.2">
      <c r="Z46180" t="str">
        <f t="shared" si="721"/>
        <v/>
      </c>
    </row>
    <row r="46181" spans="26:26" x14ac:dyDescent="0.2">
      <c r="Z46181" t="str">
        <f t="shared" si="721"/>
        <v/>
      </c>
    </row>
    <row r="46182" spans="26:26" x14ac:dyDescent="0.2">
      <c r="Z46182" t="str">
        <f t="shared" si="721"/>
        <v/>
      </c>
    </row>
    <row r="46183" spans="26:26" x14ac:dyDescent="0.2">
      <c r="Z46183" t="str">
        <f t="shared" si="721"/>
        <v/>
      </c>
    </row>
    <row r="46184" spans="26:26" x14ac:dyDescent="0.2">
      <c r="Z46184" t="str">
        <f t="shared" si="721"/>
        <v/>
      </c>
    </row>
    <row r="46185" spans="26:26" x14ac:dyDescent="0.2">
      <c r="Z46185" t="str">
        <f t="shared" si="721"/>
        <v/>
      </c>
    </row>
    <row r="46186" spans="26:26" x14ac:dyDescent="0.2">
      <c r="Z46186" t="str">
        <f t="shared" si="721"/>
        <v/>
      </c>
    </row>
    <row r="46187" spans="26:26" x14ac:dyDescent="0.2">
      <c r="Z46187" t="str">
        <f t="shared" si="721"/>
        <v/>
      </c>
    </row>
    <row r="46188" spans="26:26" x14ac:dyDescent="0.2">
      <c r="Z46188" t="str">
        <f t="shared" si="721"/>
        <v/>
      </c>
    </row>
    <row r="46189" spans="26:26" x14ac:dyDescent="0.2">
      <c r="Z46189" t="str">
        <f t="shared" si="721"/>
        <v/>
      </c>
    </row>
    <row r="46190" spans="26:26" x14ac:dyDescent="0.2">
      <c r="Z46190" t="str">
        <f t="shared" si="721"/>
        <v/>
      </c>
    </row>
    <row r="46191" spans="26:26" x14ac:dyDescent="0.2">
      <c r="Z46191" t="str">
        <f t="shared" si="721"/>
        <v/>
      </c>
    </row>
    <row r="46192" spans="26:26" x14ac:dyDescent="0.2">
      <c r="Z46192" t="str">
        <f t="shared" si="721"/>
        <v/>
      </c>
    </row>
    <row r="46193" spans="26:26" x14ac:dyDescent="0.2">
      <c r="Z46193" t="str">
        <f t="shared" si="721"/>
        <v/>
      </c>
    </row>
    <row r="46194" spans="26:26" x14ac:dyDescent="0.2">
      <c r="Z46194" t="str">
        <f t="shared" si="721"/>
        <v/>
      </c>
    </row>
    <row r="46195" spans="26:26" x14ac:dyDescent="0.2">
      <c r="Z46195" t="str">
        <f t="shared" si="721"/>
        <v/>
      </c>
    </row>
    <row r="46196" spans="26:26" x14ac:dyDescent="0.2">
      <c r="Z46196" t="str">
        <f t="shared" si="721"/>
        <v/>
      </c>
    </row>
    <row r="46197" spans="26:26" x14ac:dyDescent="0.2">
      <c r="Z46197" t="str">
        <f t="shared" si="721"/>
        <v/>
      </c>
    </row>
    <row r="46198" spans="26:26" x14ac:dyDescent="0.2">
      <c r="Z46198" t="str">
        <f t="shared" si="721"/>
        <v/>
      </c>
    </row>
    <row r="46199" spans="26:26" x14ac:dyDescent="0.2">
      <c r="Z46199" t="str">
        <f t="shared" si="721"/>
        <v/>
      </c>
    </row>
    <row r="46200" spans="26:26" x14ac:dyDescent="0.2">
      <c r="Z46200" t="str">
        <f t="shared" si="721"/>
        <v/>
      </c>
    </row>
    <row r="46201" spans="26:26" x14ac:dyDescent="0.2">
      <c r="Z46201" t="str">
        <f t="shared" si="721"/>
        <v/>
      </c>
    </row>
    <row r="46202" spans="26:26" x14ac:dyDescent="0.2">
      <c r="Z46202" t="str">
        <f t="shared" si="721"/>
        <v/>
      </c>
    </row>
    <row r="46203" spans="26:26" x14ac:dyDescent="0.2">
      <c r="Z46203" t="str">
        <f t="shared" si="721"/>
        <v/>
      </c>
    </row>
    <row r="46204" spans="26:26" x14ac:dyDescent="0.2">
      <c r="Z46204" t="str">
        <f t="shared" si="721"/>
        <v/>
      </c>
    </row>
    <row r="46205" spans="26:26" x14ac:dyDescent="0.2">
      <c r="Z46205" t="str">
        <f t="shared" si="721"/>
        <v/>
      </c>
    </row>
    <row r="46206" spans="26:26" x14ac:dyDescent="0.2">
      <c r="Z46206" t="str">
        <f t="shared" si="721"/>
        <v/>
      </c>
    </row>
    <row r="46207" spans="26:26" x14ac:dyDescent="0.2">
      <c r="Z46207" t="str">
        <f t="shared" si="721"/>
        <v/>
      </c>
    </row>
    <row r="46208" spans="26:26" x14ac:dyDescent="0.2">
      <c r="Z46208" t="str">
        <f t="shared" si="721"/>
        <v/>
      </c>
    </row>
    <row r="46209" spans="26:26" x14ac:dyDescent="0.2">
      <c r="Z46209" t="str">
        <f t="shared" si="721"/>
        <v/>
      </c>
    </row>
    <row r="46210" spans="26:26" x14ac:dyDescent="0.2">
      <c r="Z46210" t="str">
        <f t="shared" si="721"/>
        <v/>
      </c>
    </row>
    <row r="46211" spans="26:26" x14ac:dyDescent="0.2">
      <c r="Z46211" t="str">
        <f t="shared" ref="Z46211:Z46274" si="722">IF(K46211="","",IFERROR(VALUE(TRIM(MID(K46211,FIND(CHAR(167),SUBSTITUTE(K46211,"-",CHAR(167),LEN(K46211)-LEN(SUBSTITUTE(K46211,"-",""))))+1,100))),K46211))</f>
        <v/>
      </c>
    </row>
    <row r="46212" spans="26:26" x14ac:dyDescent="0.2">
      <c r="Z46212" t="str">
        <f t="shared" si="722"/>
        <v/>
      </c>
    </row>
    <row r="46213" spans="26:26" x14ac:dyDescent="0.2">
      <c r="Z46213" t="str">
        <f t="shared" si="722"/>
        <v/>
      </c>
    </row>
    <row r="46214" spans="26:26" x14ac:dyDescent="0.2">
      <c r="Z46214" t="str">
        <f t="shared" si="722"/>
        <v/>
      </c>
    </row>
    <row r="46215" spans="26:26" x14ac:dyDescent="0.2">
      <c r="Z46215" t="str">
        <f t="shared" si="722"/>
        <v/>
      </c>
    </row>
    <row r="46216" spans="26:26" x14ac:dyDescent="0.2">
      <c r="Z46216" t="str">
        <f t="shared" si="722"/>
        <v/>
      </c>
    </row>
    <row r="46217" spans="26:26" x14ac:dyDescent="0.2">
      <c r="Z46217" t="str">
        <f t="shared" si="722"/>
        <v/>
      </c>
    </row>
    <row r="46218" spans="26:26" x14ac:dyDescent="0.2">
      <c r="Z46218" t="str">
        <f t="shared" si="722"/>
        <v/>
      </c>
    </row>
    <row r="46219" spans="26:26" x14ac:dyDescent="0.2">
      <c r="Z46219" t="str">
        <f t="shared" si="722"/>
        <v/>
      </c>
    </row>
    <row r="46220" spans="26:26" x14ac:dyDescent="0.2">
      <c r="Z46220" t="str">
        <f t="shared" si="722"/>
        <v/>
      </c>
    </row>
    <row r="46221" spans="26:26" x14ac:dyDescent="0.2">
      <c r="Z46221" t="str">
        <f t="shared" si="722"/>
        <v/>
      </c>
    </row>
    <row r="46222" spans="26:26" x14ac:dyDescent="0.2">
      <c r="Z46222" t="str">
        <f t="shared" si="722"/>
        <v/>
      </c>
    </row>
    <row r="46223" spans="26:26" x14ac:dyDescent="0.2">
      <c r="Z46223" t="str">
        <f t="shared" si="722"/>
        <v/>
      </c>
    </row>
    <row r="46224" spans="26:26" x14ac:dyDescent="0.2">
      <c r="Z46224" t="str">
        <f t="shared" si="722"/>
        <v/>
      </c>
    </row>
    <row r="46225" spans="26:26" x14ac:dyDescent="0.2">
      <c r="Z46225" t="str">
        <f t="shared" si="722"/>
        <v/>
      </c>
    </row>
    <row r="46226" spans="26:26" x14ac:dyDescent="0.2">
      <c r="Z46226" t="str">
        <f t="shared" si="722"/>
        <v/>
      </c>
    </row>
    <row r="46227" spans="26:26" x14ac:dyDescent="0.2">
      <c r="Z46227" t="str">
        <f t="shared" si="722"/>
        <v/>
      </c>
    </row>
    <row r="46228" spans="26:26" x14ac:dyDescent="0.2">
      <c r="Z46228" t="str">
        <f t="shared" si="722"/>
        <v/>
      </c>
    </row>
    <row r="46229" spans="26:26" x14ac:dyDescent="0.2">
      <c r="Z46229" t="str">
        <f t="shared" si="722"/>
        <v/>
      </c>
    </row>
    <row r="46230" spans="26:26" x14ac:dyDescent="0.2">
      <c r="Z46230" t="str">
        <f t="shared" si="722"/>
        <v/>
      </c>
    </row>
    <row r="46231" spans="26:26" x14ac:dyDescent="0.2">
      <c r="Z46231" t="str">
        <f t="shared" si="722"/>
        <v/>
      </c>
    </row>
    <row r="46232" spans="26:26" x14ac:dyDescent="0.2">
      <c r="Z46232" t="str">
        <f t="shared" si="722"/>
        <v/>
      </c>
    </row>
    <row r="46233" spans="26:26" x14ac:dyDescent="0.2">
      <c r="Z46233" t="str">
        <f t="shared" si="722"/>
        <v/>
      </c>
    </row>
    <row r="46234" spans="26:26" x14ac:dyDescent="0.2">
      <c r="Z46234" t="str">
        <f t="shared" si="722"/>
        <v/>
      </c>
    </row>
    <row r="46235" spans="26:26" x14ac:dyDescent="0.2">
      <c r="Z46235" t="str">
        <f t="shared" si="722"/>
        <v/>
      </c>
    </row>
    <row r="46236" spans="26:26" x14ac:dyDescent="0.2">
      <c r="Z46236" t="str">
        <f t="shared" si="722"/>
        <v/>
      </c>
    </row>
    <row r="46237" spans="26:26" x14ac:dyDescent="0.2">
      <c r="Z46237" t="str">
        <f t="shared" si="722"/>
        <v/>
      </c>
    </row>
    <row r="46238" spans="26:26" x14ac:dyDescent="0.2">
      <c r="Z46238" t="str">
        <f t="shared" si="722"/>
        <v/>
      </c>
    </row>
    <row r="46239" spans="26:26" x14ac:dyDescent="0.2">
      <c r="Z46239" t="str">
        <f t="shared" si="722"/>
        <v/>
      </c>
    </row>
    <row r="46240" spans="26:26" x14ac:dyDescent="0.2">
      <c r="Z46240" t="str">
        <f t="shared" si="722"/>
        <v/>
      </c>
    </row>
    <row r="46241" spans="26:26" x14ac:dyDescent="0.2">
      <c r="Z46241" t="str">
        <f t="shared" si="722"/>
        <v/>
      </c>
    </row>
    <row r="46242" spans="26:26" x14ac:dyDescent="0.2">
      <c r="Z46242" t="str">
        <f t="shared" si="722"/>
        <v/>
      </c>
    </row>
    <row r="46243" spans="26:26" x14ac:dyDescent="0.2">
      <c r="Z46243" t="str">
        <f t="shared" si="722"/>
        <v/>
      </c>
    </row>
    <row r="46244" spans="26:26" x14ac:dyDescent="0.2">
      <c r="Z46244" t="str">
        <f t="shared" si="722"/>
        <v/>
      </c>
    </row>
    <row r="46245" spans="26:26" x14ac:dyDescent="0.2">
      <c r="Z46245" t="str">
        <f t="shared" si="722"/>
        <v/>
      </c>
    </row>
    <row r="46246" spans="26:26" x14ac:dyDescent="0.2">
      <c r="Z46246" t="str">
        <f t="shared" si="722"/>
        <v/>
      </c>
    </row>
    <row r="46247" spans="26:26" x14ac:dyDescent="0.2">
      <c r="Z46247" t="str">
        <f t="shared" si="722"/>
        <v/>
      </c>
    </row>
    <row r="46248" spans="26:26" x14ac:dyDescent="0.2">
      <c r="Z46248" t="str">
        <f t="shared" si="722"/>
        <v/>
      </c>
    </row>
    <row r="46249" spans="26:26" x14ac:dyDescent="0.2">
      <c r="Z46249" t="str">
        <f t="shared" si="722"/>
        <v/>
      </c>
    </row>
    <row r="46250" spans="26:26" x14ac:dyDescent="0.2">
      <c r="Z46250" t="str">
        <f t="shared" si="722"/>
        <v/>
      </c>
    </row>
    <row r="46251" spans="26:26" x14ac:dyDescent="0.2">
      <c r="Z46251" t="str">
        <f t="shared" si="722"/>
        <v/>
      </c>
    </row>
    <row r="46252" spans="26:26" x14ac:dyDescent="0.2">
      <c r="Z46252" t="str">
        <f t="shared" si="722"/>
        <v/>
      </c>
    </row>
    <row r="46253" spans="26:26" x14ac:dyDescent="0.2">
      <c r="Z46253" t="str">
        <f t="shared" si="722"/>
        <v/>
      </c>
    </row>
    <row r="46254" spans="26:26" x14ac:dyDescent="0.2">
      <c r="Z46254" t="str">
        <f t="shared" si="722"/>
        <v/>
      </c>
    </row>
    <row r="46255" spans="26:26" x14ac:dyDescent="0.2">
      <c r="Z46255" t="str">
        <f t="shared" si="722"/>
        <v/>
      </c>
    </row>
    <row r="46256" spans="26:26" x14ac:dyDescent="0.2">
      <c r="Z46256" t="str">
        <f t="shared" si="722"/>
        <v/>
      </c>
    </row>
    <row r="46257" spans="26:26" x14ac:dyDescent="0.2">
      <c r="Z46257" t="str">
        <f t="shared" si="722"/>
        <v/>
      </c>
    </row>
    <row r="46258" spans="26:26" x14ac:dyDescent="0.2">
      <c r="Z46258" t="str">
        <f t="shared" si="722"/>
        <v/>
      </c>
    </row>
    <row r="46259" spans="26:26" x14ac:dyDescent="0.2">
      <c r="Z46259" t="str">
        <f t="shared" si="722"/>
        <v/>
      </c>
    </row>
    <row r="46260" spans="26:26" x14ac:dyDescent="0.2">
      <c r="Z46260" t="str">
        <f t="shared" si="722"/>
        <v/>
      </c>
    </row>
    <row r="46261" spans="26:26" x14ac:dyDescent="0.2">
      <c r="Z46261" t="str">
        <f t="shared" si="722"/>
        <v/>
      </c>
    </row>
    <row r="46262" spans="26:26" x14ac:dyDescent="0.2">
      <c r="Z46262" t="str">
        <f t="shared" si="722"/>
        <v/>
      </c>
    </row>
    <row r="46263" spans="26:26" x14ac:dyDescent="0.2">
      <c r="Z46263" t="str">
        <f t="shared" si="722"/>
        <v/>
      </c>
    </row>
    <row r="46264" spans="26:26" x14ac:dyDescent="0.2">
      <c r="Z46264" t="str">
        <f t="shared" si="722"/>
        <v/>
      </c>
    </row>
    <row r="46265" spans="26:26" x14ac:dyDescent="0.2">
      <c r="Z46265" t="str">
        <f t="shared" si="722"/>
        <v/>
      </c>
    </row>
    <row r="46266" spans="26:26" x14ac:dyDescent="0.2">
      <c r="Z46266" t="str">
        <f t="shared" si="722"/>
        <v/>
      </c>
    </row>
    <row r="46267" spans="26:26" x14ac:dyDescent="0.2">
      <c r="Z46267" t="str">
        <f t="shared" si="722"/>
        <v/>
      </c>
    </row>
    <row r="46268" spans="26:26" x14ac:dyDescent="0.2">
      <c r="Z46268" t="str">
        <f t="shared" si="722"/>
        <v/>
      </c>
    </row>
    <row r="46269" spans="26:26" x14ac:dyDescent="0.2">
      <c r="Z46269" t="str">
        <f t="shared" si="722"/>
        <v/>
      </c>
    </row>
    <row r="46270" spans="26:26" x14ac:dyDescent="0.2">
      <c r="Z46270" t="str">
        <f t="shared" si="722"/>
        <v/>
      </c>
    </row>
    <row r="46271" spans="26:26" x14ac:dyDescent="0.2">
      <c r="Z46271" t="str">
        <f t="shared" si="722"/>
        <v/>
      </c>
    </row>
    <row r="46272" spans="26:26" x14ac:dyDescent="0.2">
      <c r="Z46272" t="str">
        <f t="shared" si="722"/>
        <v/>
      </c>
    </row>
    <row r="46273" spans="26:26" x14ac:dyDescent="0.2">
      <c r="Z46273" t="str">
        <f t="shared" si="722"/>
        <v/>
      </c>
    </row>
    <row r="46274" spans="26:26" x14ac:dyDescent="0.2">
      <c r="Z46274" t="str">
        <f t="shared" si="722"/>
        <v/>
      </c>
    </row>
    <row r="46275" spans="26:26" x14ac:dyDescent="0.2">
      <c r="Z46275" t="str">
        <f t="shared" ref="Z46275:Z46338" si="723">IF(K46275="","",IFERROR(VALUE(TRIM(MID(K46275,FIND(CHAR(167),SUBSTITUTE(K46275,"-",CHAR(167),LEN(K46275)-LEN(SUBSTITUTE(K46275,"-",""))))+1,100))),K46275))</f>
        <v/>
      </c>
    </row>
    <row r="46276" spans="26:26" x14ac:dyDescent="0.2">
      <c r="Z46276" t="str">
        <f t="shared" si="723"/>
        <v/>
      </c>
    </row>
    <row r="46277" spans="26:26" x14ac:dyDescent="0.2">
      <c r="Z46277" t="str">
        <f t="shared" si="723"/>
        <v/>
      </c>
    </row>
    <row r="46278" spans="26:26" x14ac:dyDescent="0.2">
      <c r="Z46278" t="str">
        <f t="shared" si="723"/>
        <v/>
      </c>
    </row>
    <row r="46279" spans="26:26" x14ac:dyDescent="0.2">
      <c r="Z46279" t="str">
        <f t="shared" si="723"/>
        <v/>
      </c>
    </row>
    <row r="46280" spans="26:26" x14ac:dyDescent="0.2">
      <c r="Z46280" t="str">
        <f t="shared" si="723"/>
        <v/>
      </c>
    </row>
    <row r="46281" spans="26:26" x14ac:dyDescent="0.2">
      <c r="Z46281" t="str">
        <f t="shared" si="723"/>
        <v/>
      </c>
    </row>
    <row r="46282" spans="26:26" x14ac:dyDescent="0.2">
      <c r="Z46282" t="str">
        <f t="shared" si="723"/>
        <v/>
      </c>
    </row>
    <row r="46283" spans="26:26" x14ac:dyDescent="0.2">
      <c r="Z46283" t="str">
        <f t="shared" si="723"/>
        <v/>
      </c>
    </row>
    <row r="46284" spans="26:26" x14ac:dyDescent="0.2">
      <c r="Z46284" t="str">
        <f t="shared" si="723"/>
        <v/>
      </c>
    </row>
    <row r="46285" spans="26:26" x14ac:dyDescent="0.2">
      <c r="Z46285" t="str">
        <f t="shared" si="723"/>
        <v/>
      </c>
    </row>
    <row r="46286" spans="26:26" x14ac:dyDescent="0.2">
      <c r="Z46286" t="str">
        <f t="shared" si="723"/>
        <v/>
      </c>
    </row>
    <row r="46287" spans="26:26" x14ac:dyDescent="0.2">
      <c r="Z46287" t="str">
        <f t="shared" si="723"/>
        <v/>
      </c>
    </row>
    <row r="46288" spans="26:26" x14ac:dyDescent="0.2">
      <c r="Z46288" t="str">
        <f t="shared" si="723"/>
        <v/>
      </c>
    </row>
    <row r="46289" spans="26:26" x14ac:dyDescent="0.2">
      <c r="Z46289" t="str">
        <f t="shared" si="723"/>
        <v/>
      </c>
    </row>
    <row r="46290" spans="26:26" x14ac:dyDescent="0.2">
      <c r="Z46290" t="str">
        <f t="shared" si="723"/>
        <v/>
      </c>
    </row>
    <row r="46291" spans="26:26" x14ac:dyDescent="0.2">
      <c r="Z46291" t="str">
        <f t="shared" si="723"/>
        <v/>
      </c>
    </row>
    <row r="46292" spans="26:26" x14ac:dyDescent="0.2">
      <c r="Z46292" t="str">
        <f t="shared" si="723"/>
        <v/>
      </c>
    </row>
    <row r="46293" spans="26:26" x14ac:dyDescent="0.2">
      <c r="Z46293" t="str">
        <f t="shared" si="723"/>
        <v/>
      </c>
    </row>
    <row r="46294" spans="26:26" x14ac:dyDescent="0.2">
      <c r="Z46294" t="str">
        <f t="shared" si="723"/>
        <v/>
      </c>
    </row>
    <row r="46295" spans="26:26" x14ac:dyDescent="0.2">
      <c r="Z46295" t="str">
        <f t="shared" si="723"/>
        <v/>
      </c>
    </row>
    <row r="46296" spans="26:26" x14ac:dyDescent="0.2">
      <c r="Z46296" t="str">
        <f t="shared" si="723"/>
        <v/>
      </c>
    </row>
    <row r="46297" spans="26:26" x14ac:dyDescent="0.2">
      <c r="Z46297" t="str">
        <f t="shared" si="723"/>
        <v/>
      </c>
    </row>
    <row r="46298" spans="26:26" x14ac:dyDescent="0.2">
      <c r="Z46298" t="str">
        <f t="shared" si="723"/>
        <v/>
      </c>
    </row>
    <row r="46299" spans="26:26" x14ac:dyDescent="0.2">
      <c r="Z46299" t="str">
        <f t="shared" si="723"/>
        <v/>
      </c>
    </row>
    <row r="46300" spans="26:26" x14ac:dyDescent="0.2">
      <c r="Z46300" t="str">
        <f t="shared" si="723"/>
        <v/>
      </c>
    </row>
    <row r="46301" spans="26:26" x14ac:dyDescent="0.2">
      <c r="Z46301" t="str">
        <f t="shared" si="723"/>
        <v/>
      </c>
    </row>
    <row r="46302" spans="26:26" x14ac:dyDescent="0.2">
      <c r="Z46302" t="str">
        <f t="shared" si="723"/>
        <v/>
      </c>
    </row>
    <row r="46303" spans="26:26" x14ac:dyDescent="0.2">
      <c r="Z46303" t="str">
        <f t="shared" si="723"/>
        <v/>
      </c>
    </row>
    <row r="46304" spans="26:26" x14ac:dyDescent="0.2">
      <c r="Z46304" t="str">
        <f t="shared" si="723"/>
        <v/>
      </c>
    </row>
    <row r="46305" spans="26:26" x14ac:dyDescent="0.2">
      <c r="Z46305" t="str">
        <f t="shared" si="723"/>
        <v/>
      </c>
    </row>
    <row r="46306" spans="26:26" x14ac:dyDescent="0.2">
      <c r="Z46306" t="str">
        <f t="shared" si="723"/>
        <v/>
      </c>
    </row>
    <row r="46307" spans="26:26" x14ac:dyDescent="0.2">
      <c r="Z46307" t="str">
        <f t="shared" si="723"/>
        <v/>
      </c>
    </row>
    <row r="46308" spans="26:26" x14ac:dyDescent="0.2">
      <c r="Z46308" t="str">
        <f t="shared" si="723"/>
        <v/>
      </c>
    </row>
    <row r="46309" spans="26:26" x14ac:dyDescent="0.2">
      <c r="Z46309" t="str">
        <f t="shared" si="723"/>
        <v/>
      </c>
    </row>
    <row r="46310" spans="26:26" x14ac:dyDescent="0.2">
      <c r="Z46310" t="str">
        <f t="shared" si="723"/>
        <v/>
      </c>
    </row>
    <row r="46311" spans="26:26" x14ac:dyDescent="0.2">
      <c r="Z46311" t="str">
        <f t="shared" si="723"/>
        <v/>
      </c>
    </row>
    <row r="46312" spans="26:26" x14ac:dyDescent="0.2">
      <c r="Z46312" t="str">
        <f t="shared" si="723"/>
        <v/>
      </c>
    </row>
    <row r="46313" spans="26:26" x14ac:dyDescent="0.2">
      <c r="Z46313" t="str">
        <f t="shared" si="723"/>
        <v/>
      </c>
    </row>
    <row r="46314" spans="26:26" x14ac:dyDescent="0.2">
      <c r="Z46314" t="str">
        <f t="shared" si="723"/>
        <v/>
      </c>
    </row>
    <row r="46315" spans="26:26" x14ac:dyDescent="0.2">
      <c r="Z46315" t="str">
        <f t="shared" si="723"/>
        <v/>
      </c>
    </row>
    <row r="46316" spans="26:26" x14ac:dyDescent="0.2">
      <c r="Z46316" t="str">
        <f t="shared" si="723"/>
        <v/>
      </c>
    </row>
    <row r="46317" spans="26:26" x14ac:dyDescent="0.2">
      <c r="Z46317" t="str">
        <f t="shared" si="723"/>
        <v/>
      </c>
    </row>
    <row r="46318" spans="26:26" x14ac:dyDescent="0.2">
      <c r="Z46318" t="str">
        <f t="shared" si="723"/>
        <v/>
      </c>
    </row>
    <row r="46319" spans="26:26" x14ac:dyDescent="0.2">
      <c r="Z46319" t="str">
        <f t="shared" si="723"/>
        <v/>
      </c>
    </row>
    <row r="46320" spans="26:26" x14ac:dyDescent="0.2">
      <c r="Z46320" t="str">
        <f t="shared" si="723"/>
        <v/>
      </c>
    </row>
    <row r="46321" spans="26:26" x14ac:dyDescent="0.2">
      <c r="Z46321" t="str">
        <f t="shared" si="723"/>
        <v/>
      </c>
    </row>
    <row r="46322" spans="26:26" x14ac:dyDescent="0.2">
      <c r="Z46322" t="str">
        <f t="shared" si="723"/>
        <v/>
      </c>
    </row>
    <row r="46323" spans="26:26" x14ac:dyDescent="0.2">
      <c r="Z46323" t="str">
        <f t="shared" si="723"/>
        <v/>
      </c>
    </row>
    <row r="46324" spans="26:26" x14ac:dyDescent="0.2">
      <c r="Z46324" t="str">
        <f t="shared" si="723"/>
        <v/>
      </c>
    </row>
    <row r="46325" spans="26:26" x14ac:dyDescent="0.2">
      <c r="Z46325" t="str">
        <f t="shared" si="723"/>
        <v/>
      </c>
    </row>
    <row r="46326" spans="26:26" x14ac:dyDescent="0.2">
      <c r="Z46326" t="str">
        <f t="shared" si="723"/>
        <v/>
      </c>
    </row>
    <row r="46327" spans="26:26" x14ac:dyDescent="0.2">
      <c r="Z46327" t="str">
        <f t="shared" si="723"/>
        <v/>
      </c>
    </row>
    <row r="46328" spans="26:26" x14ac:dyDescent="0.2">
      <c r="Z46328" t="str">
        <f t="shared" si="723"/>
        <v/>
      </c>
    </row>
    <row r="46329" spans="26:26" x14ac:dyDescent="0.2">
      <c r="Z46329" t="str">
        <f t="shared" si="723"/>
        <v/>
      </c>
    </row>
    <row r="46330" spans="26:26" x14ac:dyDescent="0.2">
      <c r="Z46330" t="str">
        <f t="shared" si="723"/>
        <v/>
      </c>
    </row>
    <row r="46331" spans="26:26" x14ac:dyDescent="0.2">
      <c r="Z46331" t="str">
        <f t="shared" si="723"/>
        <v/>
      </c>
    </row>
    <row r="46332" spans="26:26" x14ac:dyDescent="0.2">
      <c r="Z46332" t="str">
        <f t="shared" si="723"/>
        <v/>
      </c>
    </row>
    <row r="46333" spans="26:26" x14ac:dyDescent="0.2">
      <c r="Z46333" t="str">
        <f t="shared" si="723"/>
        <v/>
      </c>
    </row>
    <row r="46334" spans="26:26" x14ac:dyDescent="0.2">
      <c r="Z46334" t="str">
        <f t="shared" si="723"/>
        <v/>
      </c>
    </row>
    <row r="46335" spans="26:26" x14ac:dyDescent="0.2">
      <c r="Z46335" t="str">
        <f t="shared" si="723"/>
        <v/>
      </c>
    </row>
    <row r="46336" spans="26:26" x14ac:dyDescent="0.2">
      <c r="Z46336" t="str">
        <f t="shared" si="723"/>
        <v/>
      </c>
    </row>
    <row r="46337" spans="26:26" x14ac:dyDescent="0.2">
      <c r="Z46337" t="str">
        <f t="shared" si="723"/>
        <v/>
      </c>
    </row>
    <row r="46338" spans="26:26" x14ac:dyDescent="0.2">
      <c r="Z46338" t="str">
        <f t="shared" si="723"/>
        <v/>
      </c>
    </row>
    <row r="46339" spans="26:26" x14ac:dyDescent="0.2">
      <c r="Z46339" t="str">
        <f t="shared" ref="Z46339:Z46402" si="724">IF(K46339="","",IFERROR(VALUE(TRIM(MID(K46339,FIND(CHAR(167),SUBSTITUTE(K46339,"-",CHAR(167),LEN(K46339)-LEN(SUBSTITUTE(K46339,"-",""))))+1,100))),K46339))</f>
        <v/>
      </c>
    </row>
    <row r="46340" spans="26:26" x14ac:dyDescent="0.2">
      <c r="Z46340" t="str">
        <f t="shared" si="724"/>
        <v/>
      </c>
    </row>
    <row r="46341" spans="26:26" x14ac:dyDescent="0.2">
      <c r="Z46341" t="str">
        <f t="shared" si="724"/>
        <v/>
      </c>
    </row>
    <row r="46342" spans="26:26" x14ac:dyDescent="0.2">
      <c r="Z46342" t="str">
        <f t="shared" si="724"/>
        <v/>
      </c>
    </row>
    <row r="46343" spans="26:26" x14ac:dyDescent="0.2">
      <c r="Z46343" t="str">
        <f t="shared" si="724"/>
        <v/>
      </c>
    </row>
    <row r="46344" spans="26:26" x14ac:dyDescent="0.2">
      <c r="Z46344" t="str">
        <f t="shared" si="724"/>
        <v/>
      </c>
    </row>
    <row r="46345" spans="26:26" x14ac:dyDescent="0.2">
      <c r="Z46345" t="str">
        <f t="shared" si="724"/>
        <v/>
      </c>
    </row>
    <row r="46346" spans="26:26" x14ac:dyDescent="0.2">
      <c r="Z46346" t="str">
        <f t="shared" si="724"/>
        <v/>
      </c>
    </row>
    <row r="46347" spans="26:26" x14ac:dyDescent="0.2">
      <c r="Z46347" t="str">
        <f t="shared" si="724"/>
        <v/>
      </c>
    </row>
    <row r="46348" spans="26:26" x14ac:dyDescent="0.2">
      <c r="Z46348" t="str">
        <f t="shared" si="724"/>
        <v/>
      </c>
    </row>
    <row r="46349" spans="26:26" x14ac:dyDescent="0.2">
      <c r="Z46349" t="str">
        <f t="shared" si="724"/>
        <v/>
      </c>
    </row>
    <row r="46350" spans="26:26" x14ac:dyDescent="0.2">
      <c r="Z46350" t="str">
        <f t="shared" si="724"/>
        <v/>
      </c>
    </row>
    <row r="46351" spans="26:26" x14ac:dyDescent="0.2">
      <c r="Z46351" t="str">
        <f t="shared" si="724"/>
        <v/>
      </c>
    </row>
    <row r="46352" spans="26:26" x14ac:dyDescent="0.2">
      <c r="Z46352" t="str">
        <f t="shared" si="724"/>
        <v/>
      </c>
    </row>
    <row r="46353" spans="26:26" x14ac:dyDescent="0.2">
      <c r="Z46353" t="str">
        <f t="shared" si="724"/>
        <v/>
      </c>
    </row>
    <row r="46354" spans="26:26" x14ac:dyDescent="0.2">
      <c r="Z46354" t="str">
        <f t="shared" si="724"/>
        <v/>
      </c>
    </row>
    <row r="46355" spans="26:26" x14ac:dyDescent="0.2">
      <c r="Z46355" t="str">
        <f t="shared" si="724"/>
        <v/>
      </c>
    </row>
    <row r="46356" spans="26:26" x14ac:dyDescent="0.2">
      <c r="Z46356" t="str">
        <f t="shared" si="724"/>
        <v/>
      </c>
    </row>
    <row r="46357" spans="26:26" x14ac:dyDescent="0.2">
      <c r="Z46357" t="str">
        <f t="shared" si="724"/>
        <v/>
      </c>
    </row>
    <row r="46358" spans="26:26" x14ac:dyDescent="0.2">
      <c r="Z46358" t="str">
        <f t="shared" si="724"/>
        <v/>
      </c>
    </row>
    <row r="46359" spans="26:26" x14ac:dyDescent="0.2">
      <c r="Z46359" t="str">
        <f t="shared" si="724"/>
        <v/>
      </c>
    </row>
    <row r="46360" spans="26:26" x14ac:dyDescent="0.2">
      <c r="Z46360" t="str">
        <f t="shared" si="724"/>
        <v/>
      </c>
    </row>
    <row r="46361" spans="26:26" x14ac:dyDescent="0.2">
      <c r="Z46361" t="str">
        <f t="shared" si="724"/>
        <v/>
      </c>
    </row>
    <row r="46362" spans="26:26" x14ac:dyDescent="0.2">
      <c r="Z46362" t="str">
        <f t="shared" si="724"/>
        <v/>
      </c>
    </row>
    <row r="46363" spans="26:26" x14ac:dyDescent="0.2">
      <c r="Z46363" t="str">
        <f t="shared" si="724"/>
        <v/>
      </c>
    </row>
    <row r="46364" spans="26:26" x14ac:dyDescent="0.2">
      <c r="Z46364" t="str">
        <f t="shared" si="724"/>
        <v/>
      </c>
    </row>
    <row r="46365" spans="26:26" x14ac:dyDescent="0.2">
      <c r="Z46365" t="str">
        <f t="shared" si="724"/>
        <v/>
      </c>
    </row>
    <row r="46366" spans="26:26" x14ac:dyDescent="0.2">
      <c r="Z46366" t="str">
        <f t="shared" si="724"/>
        <v/>
      </c>
    </row>
    <row r="46367" spans="26:26" x14ac:dyDescent="0.2">
      <c r="Z46367" t="str">
        <f t="shared" si="724"/>
        <v/>
      </c>
    </row>
    <row r="46368" spans="26:26" x14ac:dyDescent="0.2">
      <c r="Z46368" t="str">
        <f t="shared" si="724"/>
        <v/>
      </c>
    </row>
    <row r="46369" spans="26:26" x14ac:dyDescent="0.2">
      <c r="Z46369" t="str">
        <f t="shared" si="724"/>
        <v/>
      </c>
    </row>
    <row r="46370" spans="26:26" x14ac:dyDescent="0.2">
      <c r="Z46370" t="str">
        <f t="shared" si="724"/>
        <v/>
      </c>
    </row>
    <row r="46371" spans="26:26" x14ac:dyDescent="0.2">
      <c r="Z46371" t="str">
        <f t="shared" si="724"/>
        <v/>
      </c>
    </row>
    <row r="46372" spans="26:26" x14ac:dyDescent="0.2">
      <c r="Z46372" t="str">
        <f t="shared" si="724"/>
        <v/>
      </c>
    </row>
    <row r="46373" spans="26:26" x14ac:dyDescent="0.2">
      <c r="Z46373" t="str">
        <f t="shared" si="724"/>
        <v/>
      </c>
    </row>
    <row r="46374" spans="26:26" x14ac:dyDescent="0.2">
      <c r="Z46374" t="str">
        <f t="shared" si="724"/>
        <v/>
      </c>
    </row>
    <row r="46375" spans="26:26" x14ac:dyDescent="0.2">
      <c r="Z46375" t="str">
        <f t="shared" si="724"/>
        <v/>
      </c>
    </row>
    <row r="46376" spans="26:26" x14ac:dyDescent="0.2">
      <c r="Z46376" t="str">
        <f t="shared" si="724"/>
        <v/>
      </c>
    </row>
    <row r="46377" spans="26:26" x14ac:dyDescent="0.2">
      <c r="Z46377" t="str">
        <f t="shared" si="724"/>
        <v/>
      </c>
    </row>
    <row r="46378" spans="26:26" x14ac:dyDescent="0.2">
      <c r="Z46378" t="str">
        <f t="shared" si="724"/>
        <v/>
      </c>
    </row>
    <row r="46379" spans="26:26" x14ac:dyDescent="0.2">
      <c r="Z46379" t="str">
        <f t="shared" si="724"/>
        <v/>
      </c>
    </row>
    <row r="46380" spans="26:26" x14ac:dyDescent="0.2">
      <c r="Z46380" t="str">
        <f t="shared" si="724"/>
        <v/>
      </c>
    </row>
    <row r="46381" spans="26:26" x14ac:dyDescent="0.2">
      <c r="Z46381" t="str">
        <f t="shared" si="724"/>
        <v/>
      </c>
    </row>
    <row r="46382" spans="26:26" x14ac:dyDescent="0.2">
      <c r="Z46382" t="str">
        <f t="shared" si="724"/>
        <v/>
      </c>
    </row>
    <row r="46383" spans="26:26" x14ac:dyDescent="0.2">
      <c r="Z46383" t="str">
        <f t="shared" si="724"/>
        <v/>
      </c>
    </row>
    <row r="46384" spans="26:26" x14ac:dyDescent="0.2">
      <c r="Z46384" t="str">
        <f t="shared" si="724"/>
        <v/>
      </c>
    </row>
    <row r="46385" spans="26:26" x14ac:dyDescent="0.2">
      <c r="Z46385" t="str">
        <f t="shared" si="724"/>
        <v/>
      </c>
    </row>
    <row r="46386" spans="26:26" x14ac:dyDescent="0.2">
      <c r="Z46386" t="str">
        <f t="shared" si="724"/>
        <v/>
      </c>
    </row>
    <row r="46387" spans="26:26" x14ac:dyDescent="0.2">
      <c r="Z46387" t="str">
        <f t="shared" si="724"/>
        <v/>
      </c>
    </row>
    <row r="46388" spans="26:26" x14ac:dyDescent="0.2">
      <c r="Z46388" t="str">
        <f t="shared" si="724"/>
        <v/>
      </c>
    </row>
    <row r="46389" spans="26:26" x14ac:dyDescent="0.2">
      <c r="Z46389" t="str">
        <f t="shared" si="724"/>
        <v/>
      </c>
    </row>
    <row r="46390" spans="26:26" x14ac:dyDescent="0.2">
      <c r="Z46390" t="str">
        <f t="shared" si="724"/>
        <v/>
      </c>
    </row>
    <row r="46391" spans="26:26" x14ac:dyDescent="0.2">
      <c r="Z46391" t="str">
        <f t="shared" si="724"/>
        <v/>
      </c>
    </row>
    <row r="46392" spans="26:26" x14ac:dyDescent="0.2">
      <c r="Z46392" t="str">
        <f t="shared" si="724"/>
        <v/>
      </c>
    </row>
    <row r="46393" spans="26:26" x14ac:dyDescent="0.2">
      <c r="Z46393" t="str">
        <f t="shared" si="724"/>
        <v/>
      </c>
    </row>
    <row r="46394" spans="26:26" x14ac:dyDescent="0.2">
      <c r="Z46394" t="str">
        <f t="shared" si="724"/>
        <v/>
      </c>
    </row>
    <row r="46395" spans="26:26" x14ac:dyDescent="0.2">
      <c r="Z46395" t="str">
        <f t="shared" si="724"/>
        <v/>
      </c>
    </row>
    <row r="46396" spans="26:26" x14ac:dyDescent="0.2">
      <c r="Z46396" t="str">
        <f t="shared" si="724"/>
        <v/>
      </c>
    </row>
    <row r="46397" spans="26:26" x14ac:dyDescent="0.2">
      <c r="Z46397" t="str">
        <f t="shared" si="724"/>
        <v/>
      </c>
    </row>
    <row r="46398" spans="26:26" x14ac:dyDescent="0.2">
      <c r="Z46398" t="str">
        <f t="shared" si="724"/>
        <v/>
      </c>
    </row>
    <row r="46399" spans="26:26" x14ac:dyDescent="0.2">
      <c r="Z46399" t="str">
        <f t="shared" si="724"/>
        <v/>
      </c>
    </row>
    <row r="46400" spans="26:26" x14ac:dyDescent="0.2">
      <c r="Z46400" t="str">
        <f t="shared" si="724"/>
        <v/>
      </c>
    </row>
    <row r="46401" spans="26:26" x14ac:dyDescent="0.2">
      <c r="Z46401" t="str">
        <f t="shared" si="724"/>
        <v/>
      </c>
    </row>
    <row r="46402" spans="26:26" x14ac:dyDescent="0.2">
      <c r="Z46402" t="str">
        <f t="shared" si="724"/>
        <v/>
      </c>
    </row>
    <row r="46403" spans="26:26" x14ac:dyDescent="0.2">
      <c r="Z46403" t="str">
        <f t="shared" ref="Z46403:Z46466" si="725">IF(K46403="","",IFERROR(VALUE(TRIM(MID(K46403,FIND(CHAR(167),SUBSTITUTE(K46403,"-",CHAR(167),LEN(K46403)-LEN(SUBSTITUTE(K46403,"-",""))))+1,100))),K46403))</f>
        <v/>
      </c>
    </row>
    <row r="46404" spans="26:26" x14ac:dyDescent="0.2">
      <c r="Z46404" t="str">
        <f t="shared" si="725"/>
        <v/>
      </c>
    </row>
    <row r="46405" spans="26:26" x14ac:dyDescent="0.2">
      <c r="Z46405" t="str">
        <f t="shared" si="725"/>
        <v/>
      </c>
    </row>
    <row r="46406" spans="26:26" x14ac:dyDescent="0.2">
      <c r="Z46406" t="str">
        <f t="shared" si="725"/>
        <v/>
      </c>
    </row>
    <row r="46407" spans="26:26" x14ac:dyDescent="0.2">
      <c r="Z46407" t="str">
        <f t="shared" si="725"/>
        <v/>
      </c>
    </row>
    <row r="46408" spans="26:26" x14ac:dyDescent="0.2">
      <c r="Z46408" t="str">
        <f t="shared" si="725"/>
        <v/>
      </c>
    </row>
    <row r="46409" spans="26:26" x14ac:dyDescent="0.2">
      <c r="Z46409" t="str">
        <f t="shared" si="725"/>
        <v/>
      </c>
    </row>
    <row r="46410" spans="26:26" x14ac:dyDescent="0.2">
      <c r="Z46410" t="str">
        <f t="shared" si="725"/>
        <v/>
      </c>
    </row>
    <row r="46411" spans="26:26" x14ac:dyDescent="0.2">
      <c r="Z46411" t="str">
        <f t="shared" si="725"/>
        <v/>
      </c>
    </row>
    <row r="46412" spans="26:26" x14ac:dyDescent="0.2">
      <c r="Z46412" t="str">
        <f t="shared" si="725"/>
        <v/>
      </c>
    </row>
    <row r="46413" spans="26:26" x14ac:dyDescent="0.2">
      <c r="Z46413" t="str">
        <f t="shared" si="725"/>
        <v/>
      </c>
    </row>
    <row r="46414" spans="26:26" x14ac:dyDescent="0.2">
      <c r="Z46414" t="str">
        <f t="shared" si="725"/>
        <v/>
      </c>
    </row>
    <row r="46415" spans="26:26" x14ac:dyDescent="0.2">
      <c r="Z46415" t="str">
        <f t="shared" si="725"/>
        <v/>
      </c>
    </row>
    <row r="46416" spans="26:26" x14ac:dyDescent="0.2">
      <c r="Z46416" t="str">
        <f t="shared" si="725"/>
        <v/>
      </c>
    </row>
    <row r="46417" spans="26:26" x14ac:dyDescent="0.2">
      <c r="Z46417" t="str">
        <f t="shared" si="725"/>
        <v/>
      </c>
    </row>
    <row r="46418" spans="26:26" x14ac:dyDescent="0.2">
      <c r="Z46418" t="str">
        <f t="shared" si="725"/>
        <v/>
      </c>
    </row>
    <row r="46419" spans="26:26" x14ac:dyDescent="0.2">
      <c r="Z46419" t="str">
        <f t="shared" si="725"/>
        <v/>
      </c>
    </row>
    <row r="46420" spans="26:26" x14ac:dyDescent="0.2">
      <c r="Z46420" t="str">
        <f t="shared" si="725"/>
        <v/>
      </c>
    </row>
    <row r="46421" spans="26:26" x14ac:dyDescent="0.2">
      <c r="Z46421" t="str">
        <f t="shared" si="725"/>
        <v/>
      </c>
    </row>
    <row r="46422" spans="26:26" x14ac:dyDescent="0.2">
      <c r="Z46422" t="str">
        <f t="shared" si="725"/>
        <v/>
      </c>
    </row>
    <row r="46423" spans="26:26" x14ac:dyDescent="0.2">
      <c r="Z46423" t="str">
        <f t="shared" si="725"/>
        <v/>
      </c>
    </row>
    <row r="46424" spans="26:26" x14ac:dyDescent="0.2">
      <c r="Z46424" t="str">
        <f t="shared" si="725"/>
        <v/>
      </c>
    </row>
    <row r="46425" spans="26:26" x14ac:dyDescent="0.2">
      <c r="Z46425" t="str">
        <f t="shared" si="725"/>
        <v/>
      </c>
    </row>
    <row r="46426" spans="26:26" x14ac:dyDescent="0.2">
      <c r="Z46426" t="str">
        <f t="shared" si="725"/>
        <v/>
      </c>
    </row>
    <row r="46427" spans="26:26" x14ac:dyDescent="0.2">
      <c r="Z46427" t="str">
        <f t="shared" si="725"/>
        <v/>
      </c>
    </row>
    <row r="46428" spans="26:26" x14ac:dyDescent="0.2">
      <c r="Z46428" t="str">
        <f t="shared" si="725"/>
        <v/>
      </c>
    </row>
    <row r="46429" spans="26:26" x14ac:dyDescent="0.2">
      <c r="Z46429" t="str">
        <f t="shared" si="725"/>
        <v/>
      </c>
    </row>
    <row r="46430" spans="26:26" x14ac:dyDescent="0.2">
      <c r="Z46430" t="str">
        <f t="shared" si="725"/>
        <v/>
      </c>
    </row>
    <row r="46431" spans="26:26" x14ac:dyDescent="0.2">
      <c r="Z46431" t="str">
        <f t="shared" si="725"/>
        <v/>
      </c>
    </row>
    <row r="46432" spans="26:26" x14ac:dyDescent="0.2">
      <c r="Z46432" t="str">
        <f t="shared" si="725"/>
        <v/>
      </c>
    </row>
    <row r="46433" spans="26:26" x14ac:dyDescent="0.2">
      <c r="Z46433" t="str">
        <f t="shared" si="725"/>
        <v/>
      </c>
    </row>
    <row r="46434" spans="26:26" x14ac:dyDescent="0.2">
      <c r="Z46434" t="str">
        <f t="shared" si="725"/>
        <v/>
      </c>
    </row>
    <row r="46435" spans="26:26" x14ac:dyDescent="0.2">
      <c r="Z46435" t="str">
        <f t="shared" si="725"/>
        <v/>
      </c>
    </row>
    <row r="46436" spans="26:26" x14ac:dyDescent="0.2">
      <c r="Z46436" t="str">
        <f t="shared" si="725"/>
        <v/>
      </c>
    </row>
    <row r="46437" spans="26:26" x14ac:dyDescent="0.2">
      <c r="Z46437" t="str">
        <f t="shared" si="725"/>
        <v/>
      </c>
    </row>
    <row r="46438" spans="26:26" x14ac:dyDescent="0.2">
      <c r="Z46438" t="str">
        <f t="shared" si="725"/>
        <v/>
      </c>
    </row>
    <row r="46439" spans="26:26" x14ac:dyDescent="0.2">
      <c r="Z46439" t="str">
        <f t="shared" si="725"/>
        <v/>
      </c>
    </row>
    <row r="46440" spans="26:26" x14ac:dyDescent="0.2">
      <c r="Z46440" t="str">
        <f t="shared" si="725"/>
        <v/>
      </c>
    </row>
    <row r="46441" spans="26:26" x14ac:dyDescent="0.2">
      <c r="Z46441" t="str">
        <f t="shared" si="725"/>
        <v/>
      </c>
    </row>
    <row r="46442" spans="26:26" x14ac:dyDescent="0.2">
      <c r="Z46442" t="str">
        <f t="shared" si="725"/>
        <v/>
      </c>
    </row>
    <row r="46443" spans="26:26" x14ac:dyDescent="0.2">
      <c r="Z46443" t="str">
        <f t="shared" si="725"/>
        <v/>
      </c>
    </row>
    <row r="46444" spans="26:26" x14ac:dyDescent="0.2">
      <c r="Z46444" t="str">
        <f t="shared" si="725"/>
        <v/>
      </c>
    </row>
    <row r="46445" spans="26:26" x14ac:dyDescent="0.2">
      <c r="Z46445" t="str">
        <f t="shared" si="725"/>
        <v/>
      </c>
    </row>
    <row r="46446" spans="26:26" x14ac:dyDescent="0.2">
      <c r="Z46446" t="str">
        <f t="shared" si="725"/>
        <v/>
      </c>
    </row>
    <row r="46447" spans="26:26" x14ac:dyDescent="0.2">
      <c r="Z46447" t="str">
        <f t="shared" si="725"/>
        <v/>
      </c>
    </row>
    <row r="46448" spans="26:26" x14ac:dyDescent="0.2">
      <c r="Z46448" t="str">
        <f t="shared" si="725"/>
        <v/>
      </c>
    </row>
    <row r="46449" spans="26:26" x14ac:dyDescent="0.2">
      <c r="Z46449" t="str">
        <f t="shared" si="725"/>
        <v/>
      </c>
    </row>
    <row r="46450" spans="26:26" x14ac:dyDescent="0.2">
      <c r="Z46450" t="str">
        <f t="shared" si="725"/>
        <v/>
      </c>
    </row>
    <row r="46451" spans="26:26" x14ac:dyDescent="0.2">
      <c r="Z46451" t="str">
        <f t="shared" si="725"/>
        <v/>
      </c>
    </row>
    <row r="46452" spans="26:26" x14ac:dyDescent="0.2">
      <c r="Z46452" t="str">
        <f t="shared" si="725"/>
        <v/>
      </c>
    </row>
    <row r="46453" spans="26:26" x14ac:dyDescent="0.2">
      <c r="Z46453" t="str">
        <f t="shared" si="725"/>
        <v/>
      </c>
    </row>
    <row r="46454" spans="26:26" x14ac:dyDescent="0.2">
      <c r="Z46454" t="str">
        <f t="shared" si="725"/>
        <v/>
      </c>
    </row>
    <row r="46455" spans="26:26" x14ac:dyDescent="0.2">
      <c r="Z46455" t="str">
        <f t="shared" si="725"/>
        <v/>
      </c>
    </row>
    <row r="46456" spans="26:26" x14ac:dyDescent="0.2">
      <c r="Z46456" t="str">
        <f t="shared" si="725"/>
        <v/>
      </c>
    </row>
    <row r="46457" spans="26:26" x14ac:dyDescent="0.2">
      <c r="Z46457" t="str">
        <f t="shared" si="725"/>
        <v/>
      </c>
    </row>
    <row r="46458" spans="26:26" x14ac:dyDescent="0.2">
      <c r="Z46458" t="str">
        <f t="shared" si="725"/>
        <v/>
      </c>
    </row>
    <row r="46459" spans="26:26" x14ac:dyDescent="0.2">
      <c r="Z46459" t="str">
        <f t="shared" si="725"/>
        <v/>
      </c>
    </row>
    <row r="46460" spans="26:26" x14ac:dyDescent="0.2">
      <c r="Z46460" t="str">
        <f t="shared" si="725"/>
        <v/>
      </c>
    </row>
    <row r="46461" spans="26:26" x14ac:dyDescent="0.2">
      <c r="Z46461" t="str">
        <f t="shared" si="725"/>
        <v/>
      </c>
    </row>
    <row r="46462" spans="26:26" x14ac:dyDescent="0.2">
      <c r="Z46462" t="str">
        <f t="shared" si="725"/>
        <v/>
      </c>
    </row>
    <row r="46463" spans="26:26" x14ac:dyDescent="0.2">
      <c r="Z46463" t="str">
        <f t="shared" si="725"/>
        <v/>
      </c>
    </row>
    <row r="46464" spans="26:26" x14ac:dyDescent="0.2">
      <c r="Z46464" t="str">
        <f t="shared" si="725"/>
        <v/>
      </c>
    </row>
    <row r="46465" spans="26:26" x14ac:dyDescent="0.2">
      <c r="Z46465" t="str">
        <f t="shared" si="725"/>
        <v/>
      </c>
    </row>
    <row r="46466" spans="26:26" x14ac:dyDescent="0.2">
      <c r="Z46466" t="str">
        <f t="shared" si="725"/>
        <v/>
      </c>
    </row>
    <row r="46467" spans="26:26" x14ac:dyDescent="0.2">
      <c r="Z46467" t="str">
        <f t="shared" ref="Z46467:Z46530" si="726">IF(K46467="","",IFERROR(VALUE(TRIM(MID(K46467,FIND(CHAR(167),SUBSTITUTE(K46467,"-",CHAR(167),LEN(K46467)-LEN(SUBSTITUTE(K46467,"-",""))))+1,100))),K46467))</f>
        <v/>
      </c>
    </row>
    <row r="46468" spans="26:26" x14ac:dyDescent="0.2">
      <c r="Z46468" t="str">
        <f t="shared" si="726"/>
        <v/>
      </c>
    </row>
    <row r="46469" spans="26:26" x14ac:dyDescent="0.2">
      <c r="Z46469" t="str">
        <f t="shared" si="726"/>
        <v/>
      </c>
    </row>
    <row r="46470" spans="26:26" x14ac:dyDescent="0.2">
      <c r="Z46470" t="str">
        <f t="shared" si="726"/>
        <v/>
      </c>
    </row>
    <row r="46471" spans="26:26" x14ac:dyDescent="0.2">
      <c r="Z46471" t="str">
        <f t="shared" si="726"/>
        <v/>
      </c>
    </row>
    <row r="46472" spans="26:26" x14ac:dyDescent="0.2">
      <c r="Z46472" t="str">
        <f t="shared" si="726"/>
        <v/>
      </c>
    </row>
    <row r="46473" spans="26:26" x14ac:dyDescent="0.2">
      <c r="Z46473" t="str">
        <f t="shared" si="726"/>
        <v/>
      </c>
    </row>
    <row r="46474" spans="26:26" x14ac:dyDescent="0.2">
      <c r="Z46474" t="str">
        <f t="shared" si="726"/>
        <v/>
      </c>
    </row>
    <row r="46475" spans="26:26" x14ac:dyDescent="0.2">
      <c r="Z46475" t="str">
        <f t="shared" si="726"/>
        <v/>
      </c>
    </row>
    <row r="46476" spans="26:26" x14ac:dyDescent="0.2">
      <c r="Z46476" t="str">
        <f t="shared" si="726"/>
        <v/>
      </c>
    </row>
    <row r="46477" spans="26:26" x14ac:dyDescent="0.2">
      <c r="Z46477" t="str">
        <f t="shared" si="726"/>
        <v/>
      </c>
    </row>
    <row r="46478" spans="26:26" x14ac:dyDescent="0.2">
      <c r="Z46478" t="str">
        <f t="shared" si="726"/>
        <v/>
      </c>
    </row>
    <row r="46479" spans="26:26" x14ac:dyDescent="0.2">
      <c r="Z46479" t="str">
        <f t="shared" si="726"/>
        <v/>
      </c>
    </row>
    <row r="46480" spans="26:26" x14ac:dyDescent="0.2">
      <c r="Z46480" t="str">
        <f t="shared" si="726"/>
        <v/>
      </c>
    </row>
    <row r="46481" spans="26:26" x14ac:dyDescent="0.2">
      <c r="Z46481" t="str">
        <f t="shared" si="726"/>
        <v/>
      </c>
    </row>
    <row r="46482" spans="26:26" x14ac:dyDescent="0.2">
      <c r="Z46482" t="str">
        <f t="shared" si="726"/>
        <v/>
      </c>
    </row>
    <row r="46483" spans="26:26" x14ac:dyDescent="0.2">
      <c r="Z46483" t="str">
        <f t="shared" si="726"/>
        <v/>
      </c>
    </row>
    <row r="46484" spans="26:26" x14ac:dyDescent="0.2">
      <c r="Z46484" t="str">
        <f t="shared" si="726"/>
        <v/>
      </c>
    </row>
    <row r="46485" spans="26:26" x14ac:dyDescent="0.2">
      <c r="Z46485" t="str">
        <f t="shared" si="726"/>
        <v/>
      </c>
    </row>
    <row r="46486" spans="26:26" x14ac:dyDescent="0.2">
      <c r="Z46486" t="str">
        <f t="shared" si="726"/>
        <v/>
      </c>
    </row>
    <row r="46487" spans="26:26" x14ac:dyDescent="0.2">
      <c r="Z46487" t="str">
        <f t="shared" si="726"/>
        <v/>
      </c>
    </row>
    <row r="46488" spans="26:26" x14ac:dyDescent="0.2">
      <c r="Z46488" t="str">
        <f t="shared" si="726"/>
        <v/>
      </c>
    </row>
    <row r="46489" spans="26:26" x14ac:dyDescent="0.2">
      <c r="Z46489" t="str">
        <f t="shared" si="726"/>
        <v/>
      </c>
    </row>
    <row r="46490" spans="26:26" x14ac:dyDescent="0.2">
      <c r="Z46490" t="str">
        <f t="shared" si="726"/>
        <v/>
      </c>
    </row>
    <row r="46491" spans="26:26" x14ac:dyDescent="0.2">
      <c r="Z46491" t="str">
        <f t="shared" si="726"/>
        <v/>
      </c>
    </row>
    <row r="46492" spans="26:26" x14ac:dyDescent="0.2">
      <c r="Z46492" t="str">
        <f t="shared" si="726"/>
        <v/>
      </c>
    </row>
    <row r="46493" spans="26:26" x14ac:dyDescent="0.2">
      <c r="Z46493" t="str">
        <f t="shared" si="726"/>
        <v/>
      </c>
    </row>
    <row r="46494" spans="26:26" x14ac:dyDescent="0.2">
      <c r="Z46494" t="str">
        <f t="shared" si="726"/>
        <v/>
      </c>
    </row>
    <row r="46495" spans="26:26" x14ac:dyDescent="0.2">
      <c r="Z46495" t="str">
        <f t="shared" si="726"/>
        <v/>
      </c>
    </row>
    <row r="46496" spans="26:26" x14ac:dyDescent="0.2">
      <c r="Z46496" t="str">
        <f t="shared" si="726"/>
        <v/>
      </c>
    </row>
    <row r="46497" spans="26:26" x14ac:dyDescent="0.2">
      <c r="Z46497" t="str">
        <f t="shared" si="726"/>
        <v/>
      </c>
    </row>
    <row r="46498" spans="26:26" x14ac:dyDescent="0.2">
      <c r="Z46498" t="str">
        <f t="shared" si="726"/>
        <v/>
      </c>
    </row>
    <row r="46499" spans="26:26" x14ac:dyDescent="0.2">
      <c r="Z46499" t="str">
        <f t="shared" si="726"/>
        <v/>
      </c>
    </row>
    <row r="46500" spans="26:26" x14ac:dyDescent="0.2">
      <c r="Z46500" t="str">
        <f t="shared" si="726"/>
        <v/>
      </c>
    </row>
    <row r="46501" spans="26:26" x14ac:dyDescent="0.2">
      <c r="Z46501" t="str">
        <f t="shared" si="726"/>
        <v/>
      </c>
    </row>
    <row r="46502" spans="26:26" x14ac:dyDescent="0.2">
      <c r="Z46502" t="str">
        <f t="shared" si="726"/>
        <v/>
      </c>
    </row>
    <row r="46503" spans="26:26" x14ac:dyDescent="0.2">
      <c r="Z46503" t="str">
        <f t="shared" si="726"/>
        <v/>
      </c>
    </row>
    <row r="46504" spans="26:26" x14ac:dyDescent="0.2">
      <c r="Z46504" t="str">
        <f t="shared" si="726"/>
        <v/>
      </c>
    </row>
    <row r="46505" spans="26:26" x14ac:dyDescent="0.2">
      <c r="Z46505" t="str">
        <f t="shared" si="726"/>
        <v/>
      </c>
    </row>
    <row r="46506" spans="26:26" x14ac:dyDescent="0.2">
      <c r="Z46506" t="str">
        <f t="shared" si="726"/>
        <v/>
      </c>
    </row>
    <row r="46507" spans="26:26" x14ac:dyDescent="0.2">
      <c r="Z46507" t="str">
        <f t="shared" si="726"/>
        <v/>
      </c>
    </row>
    <row r="46508" spans="26:26" x14ac:dyDescent="0.2">
      <c r="Z46508" t="str">
        <f t="shared" si="726"/>
        <v/>
      </c>
    </row>
    <row r="46509" spans="26:26" x14ac:dyDescent="0.2">
      <c r="Z46509" t="str">
        <f t="shared" si="726"/>
        <v/>
      </c>
    </row>
    <row r="46510" spans="26:26" x14ac:dyDescent="0.2">
      <c r="Z46510" t="str">
        <f t="shared" si="726"/>
        <v/>
      </c>
    </row>
    <row r="46511" spans="26:26" x14ac:dyDescent="0.2">
      <c r="Z46511" t="str">
        <f t="shared" si="726"/>
        <v/>
      </c>
    </row>
    <row r="46512" spans="26:26" x14ac:dyDescent="0.2">
      <c r="Z46512" t="str">
        <f t="shared" si="726"/>
        <v/>
      </c>
    </row>
    <row r="46513" spans="26:26" x14ac:dyDescent="0.2">
      <c r="Z46513" t="str">
        <f t="shared" si="726"/>
        <v/>
      </c>
    </row>
    <row r="46514" spans="26:26" x14ac:dyDescent="0.2">
      <c r="Z46514" t="str">
        <f t="shared" si="726"/>
        <v/>
      </c>
    </row>
    <row r="46515" spans="26:26" x14ac:dyDescent="0.2">
      <c r="Z46515" t="str">
        <f t="shared" si="726"/>
        <v/>
      </c>
    </row>
    <row r="46516" spans="26:26" x14ac:dyDescent="0.2">
      <c r="Z46516" t="str">
        <f t="shared" si="726"/>
        <v/>
      </c>
    </row>
    <row r="46517" spans="26:26" x14ac:dyDescent="0.2">
      <c r="Z46517" t="str">
        <f t="shared" si="726"/>
        <v/>
      </c>
    </row>
    <row r="46518" spans="26:26" x14ac:dyDescent="0.2">
      <c r="Z46518" t="str">
        <f t="shared" si="726"/>
        <v/>
      </c>
    </row>
    <row r="46519" spans="26:26" x14ac:dyDescent="0.2">
      <c r="Z46519" t="str">
        <f t="shared" si="726"/>
        <v/>
      </c>
    </row>
    <row r="46520" spans="26:26" x14ac:dyDescent="0.2">
      <c r="Z46520" t="str">
        <f t="shared" si="726"/>
        <v/>
      </c>
    </row>
    <row r="46521" spans="26:26" x14ac:dyDescent="0.2">
      <c r="Z46521" t="str">
        <f t="shared" si="726"/>
        <v/>
      </c>
    </row>
    <row r="46522" spans="26:26" x14ac:dyDescent="0.2">
      <c r="Z46522" t="str">
        <f t="shared" si="726"/>
        <v/>
      </c>
    </row>
    <row r="46523" spans="26:26" x14ac:dyDescent="0.2">
      <c r="Z46523" t="str">
        <f t="shared" si="726"/>
        <v/>
      </c>
    </row>
    <row r="46524" spans="26:26" x14ac:dyDescent="0.2">
      <c r="Z46524" t="str">
        <f t="shared" si="726"/>
        <v/>
      </c>
    </row>
    <row r="46525" spans="26:26" x14ac:dyDescent="0.2">
      <c r="Z46525" t="str">
        <f t="shared" si="726"/>
        <v/>
      </c>
    </row>
    <row r="46526" spans="26:26" x14ac:dyDescent="0.2">
      <c r="Z46526" t="str">
        <f t="shared" si="726"/>
        <v/>
      </c>
    </row>
    <row r="46527" spans="26:26" x14ac:dyDescent="0.2">
      <c r="Z46527" t="str">
        <f t="shared" si="726"/>
        <v/>
      </c>
    </row>
    <row r="46528" spans="26:26" x14ac:dyDescent="0.2">
      <c r="Z46528" t="str">
        <f t="shared" si="726"/>
        <v/>
      </c>
    </row>
    <row r="46529" spans="26:26" x14ac:dyDescent="0.2">
      <c r="Z46529" t="str">
        <f t="shared" si="726"/>
        <v/>
      </c>
    </row>
    <row r="46530" spans="26:26" x14ac:dyDescent="0.2">
      <c r="Z46530" t="str">
        <f t="shared" si="726"/>
        <v/>
      </c>
    </row>
    <row r="46531" spans="26:26" x14ac:dyDescent="0.2">
      <c r="Z46531" t="str">
        <f t="shared" ref="Z46531:Z46594" si="727">IF(K46531="","",IFERROR(VALUE(TRIM(MID(K46531,FIND(CHAR(167),SUBSTITUTE(K46531,"-",CHAR(167),LEN(K46531)-LEN(SUBSTITUTE(K46531,"-",""))))+1,100))),K46531))</f>
        <v/>
      </c>
    </row>
    <row r="46532" spans="26:26" x14ac:dyDescent="0.2">
      <c r="Z46532" t="str">
        <f t="shared" si="727"/>
        <v/>
      </c>
    </row>
    <row r="46533" spans="26:26" x14ac:dyDescent="0.2">
      <c r="Z46533" t="str">
        <f t="shared" si="727"/>
        <v/>
      </c>
    </row>
    <row r="46534" spans="26:26" x14ac:dyDescent="0.2">
      <c r="Z46534" t="str">
        <f t="shared" si="727"/>
        <v/>
      </c>
    </row>
    <row r="46535" spans="26:26" x14ac:dyDescent="0.2">
      <c r="Z46535" t="str">
        <f t="shared" si="727"/>
        <v/>
      </c>
    </row>
    <row r="46536" spans="26:26" x14ac:dyDescent="0.2">
      <c r="Z46536" t="str">
        <f t="shared" si="727"/>
        <v/>
      </c>
    </row>
    <row r="46537" spans="26:26" x14ac:dyDescent="0.2">
      <c r="Z46537" t="str">
        <f t="shared" si="727"/>
        <v/>
      </c>
    </row>
    <row r="46538" spans="26:26" x14ac:dyDescent="0.2">
      <c r="Z46538" t="str">
        <f t="shared" si="727"/>
        <v/>
      </c>
    </row>
    <row r="46539" spans="26:26" x14ac:dyDescent="0.2">
      <c r="Z46539" t="str">
        <f t="shared" si="727"/>
        <v/>
      </c>
    </row>
    <row r="46540" spans="26:26" x14ac:dyDescent="0.2">
      <c r="Z46540" t="str">
        <f t="shared" si="727"/>
        <v/>
      </c>
    </row>
    <row r="46541" spans="26:26" x14ac:dyDescent="0.2">
      <c r="Z46541" t="str">
        <f t="shared" si="727"/>
        <v/>
      </c>
    </row>
    <row r="46542" spans="26:26" x14ac:dyDescent="0.2">
      <c r="Z46542" t="str">
        <f t="shared" si="727"/>
        <v/>
      </c>
    </row>
    <row r="46543" spans="26:26" x14ac:dyDescent="0.2">
      <c r="Z46543" t="str">
        <f t="shared" si="727"/>
        <v/>
      </c>
    </row>
    <row r="46544" spans="26:26" x14ac:dyDescent="0.2">
      <c r="Z46544" t="str">
        <f t="shared" si="727"/>
        <v/>
      </c>
    </row>
    <row r="46545" spans="26:26" x14ac:dyDescent="0.2">
      <c r="Z46545" t="str">
        <f t="shared" si="727"/>
        <v/>
      </c>
    </row>
    <row r="46546" spans="26:26" x14ac:dyDescent="0.2">
      <c r="Z46546" t="str">
        <f t="shared" si="727"/>
        <v/>
      </c>
    </row>
    <row r="46547" spans="26:26" x14ac:dyDescent="0.2">
      <c r="Z46547" t="str">
        <f t="shared" si="727"/>
        <v/>
      </c>
    </row>
    <row r="46548" spans="26:26" x14ac:dyDescent="0.2">
      <c r="Z46548" t="str">
        <f t="shared" si="727"/>
        <v/>
      </c>
    </row>
    <row r="46549" spans="26:26" x14ac:dyDescent="0.2">
      <c r="Z46549" t="str">
        <f t="shared" si="727"/>
        <v/>
      </c>
    </row>
    <row r="46550" spans="26:26" x14ac:dyDescent="0.2">
      <c r="Z46550" t="str">
        <f t="shared" si="727"/>
        <v/>
      </c>
    </row>
    <row r="46551" spans="26:26" x14ac:dyDescent="0.2">
      <c r="Z46551" t="str">
        <f t="shared" si="727"/>
        <v/>
      </c>
    </row>
    <row r="46552" spans="26:26" x14ac:dyDescent="0.2">
      <c r="Z46552" t="str">
        <f t="shared" si="727"/>
        <v/>
      </c>
    </row>
    <row r="46553" spans="26:26" x14ac:dyDescent="0.2">
      <c r="Z46553" t="str">
        <f t="shared" si="727"/>
        <v/>
      </c>
    </row>
    <row r="46554" spans="26:26" x14ac:dyDescent="0.2">
      <c r="Z46554" t="str">
        <f t="shared" si="727"/>
        <v/>
      </c>
    </row>
    <row r="46555" spans="26:26" x14ac:dyDescent="0.2">
      <c r="Z46555" t="str">
        <f t="shared" si="727"/>
        <v/>
      </c>
    </row>
    <row r="46556" spans="26:26" x14ac:dyDescent="0.2">
      <c r="Z46556" t="str">
        <f t="shared" si="727"/>
        <v/>
      </c>
    </row>
    <row r="46557" spans="26:26" x14ac:dyDescent="0.2">
      <c r="Z46557" t="str">
        <f t="shared" si="727"/>
        <v/>
      </c>
    </row>
    <row r="46558" spans="26:26" x14ac:dyDescent="0.2">
      <c r="Z46558" t="str">
        <f t="shared" si="727"/>
        <v/>
      </c>
    </row>
    <row r="46559" spans="26:26" x14ac:dyDescent="0.2">
      <c r="Z46559" t="str">
        <f t="shared" si="727"/>
        <v/>
      </c>
    </row>
    <row r="46560" spans="26:26" x14ac:dyDescent="0.2">
      <c r="Z46560" t="str">
        <f t="shared" si="727"/>
        <v/>
      </c>
    </row>
    <row r="46561" spans="26:26" x14ac:dyDescent="0.2">
      <c r="Z46561" t="str">
        <f t="shared" si="727"/>
        <v/>
      </c>
    </row>
    <row r="46562" spans="26:26" x14ac:dyDescent="0.2">
      <c r="Z46562" t="str">
        <f t="shared" si="727"/>
        <v/>
      </c>
    </row>
    <row r="46563" spans="26:26" x14ac:dyDescent="0.2">
      <c r="Z46563" t="str">
        <f t="shared" si="727"/>
        <v/>
      </c>
    </row>
    <row r="46564" spans="26:26" x14ac:dyDescent="0.2">
      <c r="Z46564" t="str">
        <f t="shared" si="727"/>
        <v/>
      </c>
    </row>
    <row r="46565" spans="26:26" x14ac:dyDescent="0.2">
      <c r="Z46565" t="str">
        <f t="shared" si="727"/>
        <v/>
      </c>
    </row>
    <row r="46566" spans="26:26" x14ac:dyDescent="0.2">
      <c r="Z46566" t="str">
        <f t="shared" si="727"/>
        <v/>
      </c>
    </row>
    <row r="46567" spans="26:26" x14ac:dyDescent="0.2">
      <c r="Z46567" t="str">
        <f t="shared" si="727"/>
        <v/>
      </c>
    </row>
    <row r="46568" spans="26:26" x14ac:dyDescent="0.2">
      <c r="Z46568" t="str">
        <f t="shared" si="727"/>
        <v/>
      </c>
    </row>
    <row r="46569" spans="26:26" x14ac:dyDescent="0.2">
      <c r="Z46569" t="str">
        <f t="shared" si="727"/>
        <v/>
      </c>
    </row>
    <row r="46570" spans="26:26" x14ac:dyDescent="0.2">
      <c r="Z46570" t="str">
        <f t="shared" si="727"/>
        <v/>
      </c>
    </row>
    <row r="46571" spans="26:26" x14ac:dyDescent="0.2">
      <c r="Z46571" t="str">
        <f t="shared" si="727"/>
        <v/>
      </c>
    </row>
    <row r="46572" spans="26:26" x14ac:dyDescent="0.2">
      <c r="Z46572" t="str">
        <f t="shared" si="727"/>
        <v/>
      </c>
    </row>
    <row r="46573" spans="26:26" x14ac:dyDescent="0.2">
      <c r="Z46573" t="str">
        <f t="shared" si="727"/>
        <v/>
      </c>
    </row>
    <row r="46574" spans="26:26" x14ac:dyDescent="0.2">
      <c r="Z46574" t="str">
        <f t="shared" si="727"/>
        <v/>
      </c>
    </row>
    <row r="46575" spans="26:26" x14ac:dyDescent="0.2">
      <c r="Z46575" t="str">
        <f t="shared" si="727"/>
        <v/>
      </c>
    </row>
    <row r="46576" spans="26:26" x14ac:dyDescent="0.2">
      <c r="Z46576" t="str">
        <f t="shared" si="727"/>
        <v/>
      </c>
    </row>
    <row r="46577" spans="26:26" x14ac:dyDescent="0.2">
      <c r="Z46577" t="str">
        <f t="shared" si="727"/>
        <v/>
      </c>
    </row>
    <row r="46578" spans="26:26" x14ac:dyDescent="0.2">
      <c r="Z46578" t="str">
        <f t="shared" si="727"/>
        <v/>
      </c>
    </row>
    <row r="46579" spans="26:26" x14ac:dyDescent="0.2">
      <c r="Z46579" t="str">
        <f t="shared" si="727"/>
        <v/>
      </c>
    </row>
    <row r="46580" spans="26:26" x14ac:dyDescent="0.2">
      <c r="Z46580" t="str">
        <f t="shared" si="727"/>
        <v/>
      </c>
    </row>
    <row r="46581" spans="26:26" x14ac:dyDescent="0.2">
      <c r="Z46581" t="str">
        <f t="shared" si="727"/>
        <v/>
      </c>
    </row>
    <row r="46582" spans="26:26" x14ac:dyDescent="0.2">
      <c r="Z46582" t="str">
        <f t="shared" si="727"/>
        <v/>
      </c>
    </row>
    <row r="46583" spans="26:26" x14ac:dyDescent="0.2">
      <c r="Z46583" t="str">
        <f t="shared" si="727"/>
        <v/>
      </c>
    </row>
    <row r="46584" spans="26:26" x14ac:dyDescent="0.2">
      <c r="Z46584" t="str">
        <f t="shared" si="727"/>
        <v/>
      </c>
    </row>
    <row r="46585" spans="26:26" x14ac:dyDescent="0.2">
      <c r="Z46585" t="str">
        <f t="shared" si="727"/>
        <v/>
      </c>
    </row>
    <row r="46586" spans="26:26" x14ac:dyDescent="0.2">
      <c r="Z46586" t="str">
        <f t="shared" si="727"/>
        <v/>
      </c>
    </row>
    <row r="46587" spans="26:26" x14ac:dyDescent="0.2">
      <c r="Z46587" t="str">
        <f t="shared" si="727"/>
        <v/>
      </c>
    </row>
    <row r="46588" spans="26:26" x14ac:dyDescent="0.2">
      <c r="Z46588" t="str">
        <f t="shared" si="727"/>
        <v/>
      </c>
    </row>
    <row r="46589" spans="26:26" x14ac:dyDescent="0.2">
      <c r="Z46589" t="str">
        <f t="shared" si="727"/>
        <v/>
      </c>
    </row>
    <row r="46590" spans="26:26" x14ac:dyDescent="0.2">
      <c r="Z46590" t="str">
        <f t="shared" si="727"/>
        <v/>
      </c>
    </row>
    <row r="46591" spans="26:26" x14ac:dyDescent="0.2">
      <c r="Z46591" t="str">
        <f t="shared" si="727"/>
        <v/>
      </c>
    </row>
    <row r="46592" spans="26:26" x14ac:dyDescent="0.2">
      <c r="Z46592" t="str">
        <f t="shared" si="727"/>
        <v/>
      </c>
    </row>
    <row r="46593" spans="26:26" x14ac:dyDescent="0.2">
      <c r="Z46593" t="str">
        <f t="shared" si="727"/>
        <v/>
      </c>
    </row>
    <row r="46594" spans="26:26" x14ac:dyDescent="0.2">
      <c r="Z46594" t="str">
        <f t="shared" si="727"/>
        <v/>
      </c>
    </row>
    <row r="46595" spans="26:26" x14ac:dyDescent="0.2">
      <c r="Z46595" t="str">
        <f t="shared" ref="Z46595:Z46658" si="728">IF(K46595="","",IFERROR(VALUE(TRIM(MID(K46595,FIND(CHAR(167),SUBSTITUTE(K46595,"-",CHAR(167),LEN(K46595)-LEN(SUBSTITUTE(K46595,"-",""))))+1,100))),K46595))</f>
        <v/>
      </c>
    </row>
    <row r="46596" spans="26:26" x14ac:dyDescent="0.2">
      <c r="Z46596" t="str">
        <f t="shared" si="728"/>
        <v/>
      </c>
    </row>
    <row r="46597" spans="26:26" x14ac:dyDescent="0.2">
      <c r="Z46597" t="str">
        <f t="shared" si="728"/>
        <v/>
      </c>
    </row>
    <row r="46598" spans="26:26" x14ac:dyDescent="0.2">
      <c r="Z46598" t="str">
        <f t="shared" si="728"/>
        <v/>
      </c>
    </row>
    <row r="46599" spans="26:26" x14ac:dyDescent="0.2">
      <c r="Z46599" t="str">
        <f t="shared" si="728"/>
        <v/>
      </c>
    </row>
    <row r="46600" spans="26:26" x14ac:dyDescent="0.2">
      <c r="Z46600" t="str">
        <f t="shared" si="728"/>
        <v/>
      </c>
    </row>
    <row r="46601" spans="26:26" x14ac:dyDescent="0.2">
      <c r="Z46601" t="str">
        <f t="shared" si="728"/>
        <v/>
      </c>
    </row>
    <row r="46602" spans="26:26" x14ac:dyDescent="0.2">
      <c r="Z46602" t="str">
        <f t="shared" si="728"/>
        <v/>
      </c>
    </row>
    <row r="46603" spans="26:26" x14ac:dyDescent="0.2">
      <c r="Z46603" t="str">
        <f t="shared" si="728"/>
        <v/>
      </c>
    </row>
    <row r="46604" spans="26:26" x14ac:dyDescent="0.2">
      <c r="Z46604" t="str">
        <f t="shared" si="728"/>
        <v/>
      </c>
    </row>
    <row r="46605" spans="26:26" x14ac:dyDescent="0.2">
      <c r="Z46605" t="str">
        <f t="shared" si="728"/>
        <v/>
      </c>
    </row>
    <row r="46606" spans="26:26" x14ac:dyDescent="0.2">
      <c r="Z46606" t="str">
        <f t="shared" si="728"/>
        <v/>
      </c>
    </row>
    <row r="46607" spans="26:26" x14ac:dyDescent="0.2">
      <c r="Z46607" t="str">
        <f t="shared" si="728"/>
        <v/>
      </c>
    </row>
    <row r="46608" spans="26:26" x14ac:dyDescent="0.2">
      <c r="Z46608" t="str">
        <f t="shared" si="728"/>
        <v/>
      </c>
    </row>
    <row r="46609" spans="26:26" x14ac:dyDescent="0.2">
      <c r="Z46609" t="str">
        <f t="shared" si="728"/>
        <v/>
      </c>
    </row>
    <row r="46610" spans="26:26" x14ac:dyDescent="0.2">
      <c r="Z46610" t="str">
        <f t="shared" si="728"/>
        <v/>
      </c>
    </row>
    <row r="46611" spans="26:26" x14ac:dyDescent="0.2">
      <c r="Z46611" t="str">
        <f t="shared" si="728"/>
        <v/>
      </c>
    </row>
    <row r="46612" spans="26:26" x14ac:dyDescent="0.2">
      <c r="Z46612" t="str">
        <f t="shared" si="728"/>
        <v/>
      </c>
    </row>
    <row r="46613" spans="26:26" x14ac:dyDescent="0.2">
      <c r="Z46613" t="str">
        <f t="shared" si="728"/>
        <v/>
      </c>
    </row>
    <row r="46614" spans="26:26" x14ac:dyDescent="0.2">
      <c r="Z46614" t="str">
        <f t="shared" si="728"/>
        <v/>
      </c>
    </row>
    <row r="46615" spans="26:26" x14ac:dyDescent="0.2">
      <c r="Z46615" t="str">
        <f t="shared" si="728"/>
        <v/>
      </c>
    </row>
    <row r="46616" spans="26:26" x14ac:dyDescent="0.2">
      <c r="Z46616" t="str">
        <f t="shared" si="728"/>
        <v/>
      </c>
    </row>
    <row r="46617" spans="26:26" x14ac:dyDescent="0.2">
      <c r="Z46617" t="str">
        <f t="shared" si="728"/>
        <v/>
      </c>
    </row>
    <row r="46618" spans="26:26" x14ac:dyDescent="0.2">
      <c r="Z46618" t="str">
        <f t="shared" si="728"/>
        <v/>
      </c>
    </row>
    <row r="46619" spans="26:26" x14ac:dyDescent="0.2">
      <c r="Z46619" t="str">
        <f t="shared" si="728"/>
        <v/>
      </c>
    </row>
    <row r="46620" spans="26:26" x14ac:dyDescent="0.2">
      <c r="Z46620" t="str">
        <f t="shared" si="728"/>
        <v/>
      </c>
    </row>
    <row r="46621" spans="26:26" x14ac:dyDescent="0.2">
      <c r="Z46621" t="str">
        <f t="shared" si="728"/>
        <v/>
      </c>
    </row>
    <row r="46622" spans="26:26" x14ac:dyDescent="0.2">
      <c r="Z46622" t="str">
        <f t="shared" si="728"/>
        <v/>
      </c>
    </row>
    <row r="46623" spans="26:26" x14ac:dyDescent="0.2">
      <c r="Z46623" t="str">
        <f t="shared" si="728"/>
        <v/>
      </c>
    </row>
    <row r="46624" spans="26:26" x14ac:dyDescent="0.2">
      <c r="Z46624" t="str">
        <f t="shared" si="728"/>
        <v/>
      </c>
    </row>
    <row r="46625" spans="26:26" x14ac:dyDescent="0.2">
      <c r="Z46625" t="str">
        <f t="shared" si="728"/>
        <v/>
      </c>
    </row>
    <row r="46626" spans="26:26" x14ac:dyDescent="0.2">
      <c r="Z46626" t="str">
        <f t="shared" si="728"/>
        <v/>
      </c>
    </row>
    <row r="46627" spans="26:26" x14ac:dyDescent="0.2">
      <c r="Z46627" t="str">
        <f t="shared" si="728"/>
        <v/>
      </c>
    </row>
    <row r="46628" spans="26:26" x14ac:dyDescent="0.2">
      <c r="Z46628" t="str">
        <f t="shared" si="728"/>
        <v/>
      </c>
    </row>
    <row r="46629" spans="26:26" x14ac:dyDescent="0.2">
      <c r="Z46629" t="str">
        <f t="shared" si="728"/>
        <v/>
      </c>
    </row>
    <row r="46630" spans="26:26" x14ac:dyDescent="0.2">
      <c r="Z46630" t="str">
        <f t="shared" si="728"/>
        <v/>
      </c>
    </row>
    <row r="46631" spans="26:26" x14ac:dyDescent="0.2">
      <c r="Z46631" t="str">
        <f t="shared" si="728"/>
        <v/>
      </c>
    </row>
    <row r="46632" spans="26:26" x14ac:dyDescent="0.2">
      <c r="Z46632" t="str">
        <f t="shared" si="728"/>
        <v/>
      </c>
    </row>
    <row r="46633" spans="26:26" x14ac:dyDescent="0.2">
      <c r="Z46633" t="str">
        <f t="shared" si="728"/>
        <v/>
      </c>
    </row>
    <row r="46634" spans="26:26" x14ac:dyDescent="0.2">
      <c r="Z46634" t="str">
        <f t="shared" si="728"/>
        <v/>
      </c>
    </row>
    <row r="46635" spans="26:26" x14ac:dyDescent="0.2">
      <c r="Z46635" t="str">
        <f t="shared" si="728"/>
        <v/>
      </c>
    </row>
    <row r="46636" spans="26:26" x14ac:dyDescent="0.2">
      <c r="Z46636" t="str">
        <f t="shared" si="728"/>
        <v/>
      </c>
    </row>
    <row r="46637" spans="26:26" x14ac:dyDescent="0.2">
      <c r="Z46637" t="str">
        <f t="shared" si="728"/>
        <v/>
      </c>
    </row>
    <row r="46638" spans="26:26" x14ac:dyDescent="0.2">
      <c r="Z46638" t="str">
        <f t="shared" si="728"/>
        <v/>
      </c>
    </row>
    <row r="46639" spans="26:26" x14ac:dyDescent="0.2">
      <c r="Z46639" t="str">
        <f t="shared" si="728"/>
        <v/>
      </c>
    </row>
    <row r="46640" spans="26:26" x14ac:dyDescent="0.2">
      <c r="Z46640" t="str">
        <f t="shared" si="728"/>
        <v/>
      </c>
    </row>
    <row r="46641" spans="26:26" x14ac:dyDescent="0.2">
      <c r="Z46641" t="str">
        <f t="shared" si="728"/>
        <v/>
      </c>
    </row>
    <row r="46642" spans="26:26" x14ac:dyDescent="0.2">
      <c r="Z46642" t="str">
        <f t="shared" si="728"/>
        <v/>
      </c>
    </row>
    <row r="46643" spans="26:26" x14ac:dyDescent="0.2">
      <c r="Z46643" t="str">
        <f t="shared" si="728"/>
        <v/>
      </c>
    </row>
    <row r="46644" spans="26:26" x14ac:dyDescent="0.2">
      <c r="Z46644" t="str">
        <f t="shared" si="728"/>
        <v/>
      </c>
    </row>
    <row r="46645" spans="26:26" x14ac:dyDescent="0.2">
      <c r="Z46645" t="str">
        <f t="shared" si="728"/>
        <v/>
      </c>
    </row>
    <row r="46646" spans="26:26" x14ac:dyDescent="0.2">
      <c r="Z46646" t="str">
        <f t="shared" si="728"/>
        <v/>
      </c>
    </row>
    <row r="46647" spans="26:26" x14ac:dyDescent="0.2">
      <c r="Z46647" t="str">
        <f t="shared" si="728"/>
        <v/>
      </c>
    </row>
    <row r="46648" spans="26:26" x14ac:dyDescent="0.2">
      <c r="Z46648" t="str">
        <f t="shared" si="728"/>
        <v/>
      </c>
    </row>
    <row r="46649" spans="26:26" x14ac:dyDescent="0.2">
      <c r="Z46649" t="str">
        <f t="shared" si="728"/>
        <v/>
      </c>
    </row>
    <row r="46650" spans="26:26" x14ac:dyDescent="0.2">
      <c r="Z46650" t="str">
        <f t="shared" si="728"/>
        <v/>
      </c>
    </row>
    <row r="46651" spans="26:26" x14ac:dyDescent="0.2">
      <c r="Z46651" t="str">
        <f t="shared" si="728"/>
        <v/>
      </c>
    </row>
    <row r="46652" spans="26:26" x14ac:dyDescent="0.2">
      <c r="Z46652" t="str">
        <f t="shared" si="728"/>
        <v/>
      </c>
    </row>
    <row r="46653" spans="26:26" x14ac:dyDescent="0.2">
      <c r="Z46653" t="str">
        <f t="shared" si="728"/>
        <v/>
      </c>
    </row>
    <row r="46654" spans="26:26" x14ac:dyDescent="0.2">
      <c r="Z46654" t="str">
        <f t="shared" si="728"/>
        <v/>
      </c>
    </row>
    <row r="46655" spans="26:26" x14ac:dyDescent="0.2">
      <c r="Z46655" t="str">
        <f t="shared" si="728"/>
        <v/>
      </c>
    </row>
    <row r="46656" spans="26:26" x14ac:dyDescent="0.2">
      <c r="Z46656" t="str">
        <f t="shared" si="728"/>
        <v/>
      </c>
    </row>
    <row r="46657" spans="26:26" x14ac:dyDescent="0.2">
      <c r="Z46657" t="str">
        <f t="shared" si="728"/>
        <v/>
      </c>
    </row>
    <row r="46658" spans="26:26" x14ac:dyDescent="0.2">
      <c r="Z46658" t="str">
        <f t="shared" si="728"/>
        <v/>
      </c>
    </row>
    <row r="46659" spans="26:26" x14ac:dyDescent="0.2">
      <c r="Z46659" t="str">
        <f t="shared" ref="Z46659:Z46722" si="729">IF(K46659="","",IFERROR(VALUE(TRIM(MID(K46659,FIND(CHAR(167),SUBSTITUTE(K46659,"-",CHAR(167),LEN(K46659)-LEN(SUBSTITUTE(K46659,"-",""))))+1,100))),K46659))</f>
        <v/>
      </c>
    </row>
    <row r="46660" spans="26:26" x14ac:dyDescent="0.2">
      <c r="Z46660" t="str">
        <f t="shared" si="729"/>
        <v/>
      </c>
    </row>
    <row r="46661" spans="26:26" x14ac:dyDescent="0.2">
      <c r="Z46661" t="str">
        <f t="shared" si="729"/>
        <v/>
      </c>
    </row>
    <row r="46662" spans="26:26" x14ac:dyDescent="0.2">
      <c r="Z46662" t="str">
        <f t="shared" si="729"/>
        <v/>
      </c>
    </row>
    <row r="46663" spans="26:26" x14ac:dyDescent="0.2">
      <c r="Z46663" t="str">
        <f t="shared" si="729"/>
        <v/>
      </c>
    </row>
    <row r="46664" spans="26:26" x14ac:dyDescent="0.2">
      <c r="Z46664" t="str">
        <f t="shared" si="729"/>
        <v/>
      </c>
    </row>
    <row r="46665" spans="26:26" x14ac:dyDescent="0.2">
      <c r="Z46665" t="str">
        <f t="shared" si="729"/>
        <v/>
      </c>
    </row>
    <row r="46666" spans="26:26" x14ac:dyDescent="0.2">
      <c r="Z46666" t="str">
        <f t="shared" si="729"/>
        <v/>
      </c>
    </row>
    <row r="46667" spans="26:26" x14ac:dyDescent="0.2">
      <c r="Z46667" t="str">
        <f t="shared" si="729"/>
        <v/>
      </c>
    </row>
    <row r="46668" spans="26:26" x14ac:dyDescent="0.2">
      <c r="Z46668" t="str">
        <f t="shared" si="729"/>
        <v/>
      </c>
    </row>
    <row r="46669" spans="26:26" x14ac:dyDescent="0.2">
      <c r="Z46669" t="str">
        <f t="shared" si="729"/>
        <v/>
      </c>
    </row>
    <row r="46670" spans="26:26" x14ac:dyDescent="0.2">
      <c r="Z46670" t="str">
        <f t="shared" si="729"/>
        <v/>
      </c>
    </row>
    <row r="46671" spans="26:26" x14ac:dyDescent="0.2">
      <c r="Z46671" t="str">
        <f t="shared" si="729"/>
        <v/>
      </c>
    </row>
    <row r="46672" spans="26:26" x14ac:dyDescent="0.2">
      <c r="Z46672" t="str">
        <f t="shared" si="729"/>
        <v/>
      </c>
    </row>
    <row r="46673" spans="26:26" x14ac:dyDescent="0.2">
      <c r="Z46673" t="str">
        <f t="shared" si="729"/>
        <v/>
      </c>
    </row>
    <row r="46674" spans="26:26" x14ac:dyDescent="0.2">
      <c r="Z46674" t="str">
        <f t="shared" si="729"/>
        <v/>
      </c>
    </row>
    <row r="46675" spans="26:26" x14ac:dyDescent="0.2">
      <c r="Z46675" t="str">
        <f t="shared" si="729"/>
        <v/>
      </c>
    </row>
    <row r="46676" spans="26:26" x14ac:dyDescent="0.2">
      <c r="Z46676" t="str">
        <f t="shared" si="729"/>
        <v/>
      </c>
    </row>
    <row r="46677" spans="26:26" x14ac:dyDescent="0.2">
      <c r="Z46677" t="str">
        <f t="shared" si="729"/>
        <v/>
      </c>
    </row>
    <row r="46678" spans="26:26" x14ac:dyDescent="0.2">
      <c r="Z46678" t="str">
        <f t="shared" si="729"/>
        <v/>
      </c>
    </row>
    <row r="46679" spans="26:26" x14ac:dyDescent="0.2">
      <c r="Z46679" t="str">
        <f t="shared" si="729"/>
        <v/>
      </c>
    </row>
    <row r="46680" spans="26:26" x14ac:dyDescent="0.2">
      <c r="Z46680" t="str">
        <f t="shared" si="729"/>
        <v/>
      </c>
    </row>
    <row r="46681" spans="26:26" x14ac:dyDescent="0.2">
      <c r="Z46681" t="str">
        <f t="shared" si="729"/>
        <v/>
      </c>
    </row>
    <row r="46682" spans="26:26" x14ac:dyDescent="0.2">
      <c r="Z46682" t="str">
        <f t="shared" si="729"/>
        <v/>
      </c>
    </row>
    <row r="46683" spans="26:26" x14ac:dyDescent="0.2">
      <c r="Z46683" t="str">
        <f t="shared" si="729"/>
        <v/>
      </c>
    </row>
    <row r="46684" spans="26:26" x14ac:dyDescent="0.2">
      <c r="Z46684" t="str">
        <f t="shared" si="729"/>
        <v/>
      </c>
    </row>
    <row r="46685" spans="26:26" x14ac:dyDescent="0.2">
      <c r="Z46685" t="str">
        <f t="shared" si="729"/>
        <v/>
      </c>
    </row>
    <row r="46686" spans="26:26" x14ac:dyDescent="0.2">
      <c r="Z46686" t="str">
        <f t="shared" si="729"/>
        <v/>
      </c>
    </row>
    <row r="46687" spans="26:26" x14ac:dyDescent="0.2">
      <c r="Z46687" t="str">
        <f t="shared" si="729"/>
        <v/>
      </c>
    </row>
    <row r="46688" spans="26:26" x14ac:dyDescent="0.2">
      <c r="Z46688" t="str">
        <f t="shared" si="729"/>
        <v/>
      </c>
    </row>
    <row r="46689" spans="26:26" x14ac:dyDescent="0.2">
      <c r="Z46689" t="str">
        <f t="shared" si="729"/>
        <v/>
      </c>
    </row>
    <row r="46690" spans="26:26" x14ac:dyDescent="0.2">
      <c r="Z46690" t="str">
        <f t="shared" si="729"/>
        <v/>
      </c>
    </row>
    <row r="46691" spans="26:26" x14ac:dyDescent="0.2">
      <c r="Z46691" t="str">
        <f t="shared" si="729"/>
        <v/>
      </c>
    </row>
    <row r="46692" spans="26:26" x14ac:dyDescent="0.2">
      <c r="Z46692" t="str">
        <f t="shared" si="729"/>
        <v/>
      </c>
    </row>
    <row r="46693" spans="26:26" x14ac:dyDescent="0.2">
      <c r="Z46693" t="str">
        <f t="shared" si="729"/>
        <v/>
      </c>
    </row>
    <row r="46694" spans="26:26" x14ac:dyDescent="0.2">
      <c r="Z46694" t="str">
        <f t="shared" si="729"/>
        <v/>
      </c>
    </row>
    <row r="46695" spans="26:26" x14ac:dyDescent="0.2">
      <c r="Z46695" t="str">
        <f t="shared" si="729"/>
        <v/>
      </c>
    </row>
    <row r="46696" spans="26:26" x14ac:dyDescent="0.2">
      <c r="Z46696" t="str">
        <f t="shared" si="729"/>
        <v/>
      </c>
    </row>
    <row r="46697" spans="26:26" x14ac:dyDescent="0.2">
      <c r="Z46697" t="str">
        <f t="shared" si="729"/>
        <v/>
      </c>
    </row>
    <row r="46698" spans="26:26" x14ac:dyDescent="0.2">
      <c r="Z46698" t="str">
        <f t="shared" si="729"/>
        <v/>
      </c>
    </row>
    <row r="46699" spans="26:26" x14ac:dyDescent="0.2">
      <c r="Z46699" t="str">
        <f t="shared" si="729"/>
        <v/>
      </c>
    </row>
    <row r="46700" spans="26:26" x14ac:dyDescent="0.2">
      <c r="Z46700" t="str">
        <f t="shared" si="729"/>
        <v/>
      </c>
    </row>
    <row r="46701" spans="26:26" x14ac:dyDescent="0.2">
      <c r="Z46701" t="str">
        <f t="shared" si="729"/>
        <v/>
      </c>
    </row>
    <row r="46702" spans="26:26" x14ac:dyDescent="0.2">
      <c r="Z46702" t="str">
        <f t="shared" si="729"/>
        <v/>
      </c>
    </row>
    <row r="46703" spans="26:26" x14ac:dyDescent="0.2">
      <c r="Z46703" t="str">
        <f t="shared" si="729"/>
        <v/>
      </c>
    </row>
    <row r="46704" spans="26:26" x14ac:dyDescent="0.2">
      <c r="Z46704" t="str">
        <f t="shared" si="729"/>
        <v/>
      </c>
    </row>
    <row r="46705" spans="26:26" x14ac:dyDescent="0.2">
      <c r="Z46705" t="str">
        <f t="shared" si="729"/>
        <v/>
      </c>
    </row>
    <row r="46706" spans="26:26" x14ac:dyDescent="0.2">
      <c r="Z46706" t="str">
        <f t="shared" si="729"/>
        <v/>
      </c>
    </row>
    <row r="46707" spans="26:26" x14ac:dyDescent="0.2">
      <c r="Z46707" t="str">
        <f t="shared" si="729"/>
        <v/>
      </c>
    </row>
    <row r="46708" spans="26:26" x14ac:dyDescent="0.2">
      <c r="Z46708" t="str">
        <f t="shared" si="729"/>
        <v/>
      </c>
    </row>
    <row r="46709" spans="26:26" x14ac:dyDescent="0.2">
      <c r="Z46709" t="str">
        <f t="shared" si="729"/>
        <v/>
      </c>
    </row>
    <row r="46710" spans="26:26" x14ac:dyDescent="0.2">
      <c r="Z46710" t="str">
        <f t="shared" si="729"/>
        <v/>
      </c>
    </row>
    <row r="46711" spans="26:26" x14ac:dyDescent="0.2">
      <c r="Z46711" t="str">
        <f t="shared" si="729"/>
        <v/>
      </c>
    </row>
    <row r="46712" spans="26:26" x14ac:dyDescent="0.2">
      <c r="Z46712" t="str">
        <f t="shared" si="729"/>
        <v/>
      </c>
    </row>
    <row r="46713" spans="26:26" x14ac:dyDescent="0.2">
      <c r="Z46713" t="str">
        <f t="shared" si="729"/>
        <v/>
      </c>
    </row>
    <row r="46714" spans="26:26" x14ac:dyDescent="0.2">
      <c r="Z46714" t="str">
        <f t="shared" si="729"/>
        <v/>
      </c>
    </row>
    <row r="46715" spans="26:26" x14ac:dyDescent="0.2">
      <c r="Z46715" t="str">
        <f t="shared" si="729"/>
        <v/>
      </c>
    </row>
    <row r="46716" spans="26:26" x14ac:dyDescent="0.2">
      <c r="Z46716" t="str">
        <f t="shared" si="729"/>
        <v/>
      </c>
    </row>
    <row r="46717" spans="26:26" x14ac:dyDescent="0.2">
      <c r="Z46717" t="str">
        <f t="shared" si="729"/>
        <v/>
      </c>
    </row>
    <row r="46718" spans="26:26" x14ac:dyDescent="0.2">
      <c r="Z46718" t="str">
        <f t="shared" si="729"/>
        <v/>
      </c>
    </row>
    <row r="46719" spans="26:26" x14ac:dyDescent="0.2">
      <c r="Z46719" t="str">
        <f t="shared" si="729"/>
        <v/>
      </c>
    </row>
    <row r="46720" spans="26:26" x14ac:dyDescent="0.2">
      <c r="Z46720" t="str">
        <f t="shared" si="729"/>
        <v/>
      </c>
    </row>
    <row r="46721" spans="26:26" x14ac:dyDescent="0.2">
      <c r="Z46721" t="str">
        <f t="shared" si="729"/>
        <v/>
      </c>
    </row>
    <row r="46722" spans="26:26" x14ac:dyDescent="0.2">
      <c r="Z46722" t="str">
        <f t="shared" si="729"/>
        <v/>
      </c>
    </row>
    <row r="46723" spans="26:26" x14ac:dyDescent="0.2">
      <c r="Z46723" t="str">
        <f t="shared" ref="Z46723:Z46786" si="730">IF(K46723="","",IFERROR(VALUE(TRIM(MID(K46723,FIND(CHAR(167),SUBSTITUTE(K46723,"-",CHAR(167),LEN(K46723)-LEN(SUBSTITUTE(K46723,"-",""))))+1,100))),K46723))</f>
        <v/>
      </c>
    </row>
    <row r="46724" spans="26:26" x14ac:dyDescent="0.2">
      <c r="Z46724" t="str">
        <f t="shared" si="730"/>
        <v/>
      </c>
    </row>
    <row r="46725" spans="26:26" x14ac:dyDescent="0.2">
      <c r="Z46725" t="str">
        <f t="shared" si="730"/>
        <v/>
      </c>
    </row>
    <row r="46726" spans="26:26" x14ac:dyDescent="0.2">
      <c r="Z46726" t="str">
        <f t="shared" si="730"/>
        <v/>
      </c>
    </row>
    <row r="46727" spans="26:26" x14ac:dyDescent="0.2">
      <c r="Z46727" t="str">
        <f t="shared" si="730"/>
        <v/>
      </c>
    </row>
    <row r="46728" spans="26:26" x14ac:dyDescent="0.2">
      <c r="Z46728" t="str">
        <f t="shared" si="730"/>
        <v/>
      </c>
    </row>
    <row r="46729" spans="26:26" x14ac:dyDescent="0.2">
      <c r="Z46729" t="str">
        <f t="shared" si="730"/>
        <v/>
      </c>
    </row>
    <row r="46730" spans="26:26" x14ac:dyDescent="0.2">
      <c r="Z46730" t="str">
        <f t="shared" si="730"/>
        <v/>
      </c>
    </row>
    <row r="46731" spans="26:26" x14ac:dyDescent="0.2">
      <c r="Z46731" t="str">
        <f t="shared" si="730"/>
        <v/>
      </c>
    </row>
    <row r="46732" spans="26:26" x14ac:dyDescent="0.2">
      <c r="Z46732" t="str">
        <f t="shared" si="730"/>
        <v/>
      </c>
    </row>
    <row r="46733" spans="26:26" x14ac:dyDescent="0.2">
      <c r="Z46733" t="str">
        <f t="shared" si="730"/>
        <v/>
      </c>
    </row>
    <row r="46734" spans="26:26" x14ac:dyDescent="0.2">
      <c r="Z46734" t="str">
        <f t="shared" si="730"/>
        <v/>
      </c>
    </row>
    <row r="46735" spans="26:26" x14ac:dyDescent="0.2">
      <c r="Z46735" t="str">
        <f t="shared" si="730"/>
        <v/>
      </c>
    </row>
    <row r="46736" spans="26:26" x14ac:dyDescent="0.2">
      <c r="Z46736" t="str">
        <f t="shared" si="730"/>
        <v/>
      </c>
    </row>
    <row r="46737" spans="26:26" x14ac:dyDescent="0.2">
      <c r="Z46737" t="str">
        <f t="shared" si="730"/>
        <v/>
      </c>
    </row>
    <row r="46738" spans="26:26" x14ac:dyDescent="0.2">
      <c r="Z46738" t="str">
        <f t="shared" si="730"/>
        <v/>
      </c>
    </row>
    <row r="46739" spans="26:26" x14ac:dyDescent="0.2">
      <c r="Z46739" t="str">
        <f t="shared" si="730"/>
        <v/>
      </c>
    </row>
    <row r="46740" spans="26:26" x14ac:dyDescent="0.2">
      <c r="Z46740" t="str">
        <f t="shared" si="730"/>
        <v/>
      </c>
    </row>
    <row r="46741" spans="26:26" x14ac:dyDescent="0.2">
      <c r="Z46741" t="str">
        <f t="shared" si="730"/>
        <v/>
      </c>
    </row>
    <row r="46742" spans="26:26" x14ac:dyDescent="0.2">
      <c r="Z46742" t="str">
        <f t="shared" si="730"/>
        <v/>
      </c>
    </row>
    <row r="46743" spans="26:26" x14ac:dyDescent="0.2">
      <c r="Z46743" t="str">
        <f t="shared" si="730"/>
        <v/>
      </c>
    </row>
    <row r="46744" spans="26:26" x14ac:dyDescent="0.2">
      <c r="Z46744" t="str">
        <f t="shared" si="730"/>
        <v/>
      </c>
    </row>
    <row r="46745" spans="26:26" x14ac:dyDescent="0.2">
      <c r="Z46745" t="str">
        <f t="shared" si="730"/>
        <v/>
      </c>
    </row>
    <row r="46746" spans="26:26" x14ac:dyDescent="0.2">
      <c r="Z46746" t="str">
        <f t="shared" si="730"/>
        <v/>
      </c>
    </row>
    <row r="46747" spans="26:26" x14ac:dyDescent="0.2">
      <c r="Z46747" t="str">
        <f t="shared" si="730"/>
        <v/>
      </c>
    </row>
    <row r="46748" spans="26:26" x14ac:dyDescent="0.2">
      <c r="Z46748" t="str">
        <f t="shared" si="730"/>
        <v/>
      </c>
    </row>
    <row r="46749" spans="26:26" x14ac:dyDescent="0.2">
      <c r="Z46749" t="str">
        <f t="shared" si="730"/>
        <v/>
      </c>
    </row>
    <row r="46750" spans="26:26" x14ac:dyDescent="0.2">
      <c r="Z46750" t="str">
        <f t="shared" si="730"/>
        <v/>
      </c>
    </row>
    <row r="46751" spans="26:26" x14ac:dyDescent="0.2">
      <c r="Z46751" t="str">
        <f t="shared" si="730"/>
        <v/>
      </c>
    </row>
    <row r="46752" spans="26:26" x14ac:dyDescent="0.2">
      <c r="Z46752" t="str">
        <f t="shared" si="730"/>
        <v/>
      </c>
    </row>
    <row r="46753" spans="26:26" x14ac:dyDescent="0.2">
      <c r="Z46753" t="str">
        <f t="shared" si="730"/>
        <v/>
      </c>
    </row>
    <row r="46754" spans="26:26" x14ac:dyDescent="0.2">
      <c r="Z46754" t="str">
        <f t="shared" si="730"/>
        <v/>
      </c>
    </row>
    <row r="46755" spans="26:26" x14ac:dyDescent="0.2">
      <c r="Z46755" t="str">
        <f t="shared" si="730"/>
        <v/>
      </c>
    </row>
    <row r="46756" spans="26:26" x14ac:dyDescent="0.2">
      <c r="Z46756" t="str">
        <f t="shared" si="730"/>
        <v/>
      </c>
    </row>
    <row r="46757" spans="26:26" x14ac:dyDescent="0.2">
      <c r="Z46757" t="str">
        <f t="shared" si="730"/>
        <v/>
      </c>
    </row>
    <row r="46758" spans="26:26" x14ac:dyDescent="0.2">
      <c r="Z46758" t="str">
        <f t="shared" si="730"/>
        <v/>
      </c>
    </row>
    <row r="46759" spans="26:26" x14ac:dyDescent="0.2">
      <c r="Z46759" t="str">
        <f t="shared" si="730"/>
        <v/>
      </c>
    </row>
    <row r="46760" spans="26:26" x14ac:dyDescent="0.2">
      <c r="Z46760" t="str">
        <f t="shared" si="730"/>
        <v/>
      </c>
    </row>
    <row r="46761" spans="26:26" x14ac:dyDescent="0.2">
      <c r="Z46761" t="str">
        <f t="shared" si="730"/>
        <v/>
      </c>
    </row>
    <row r="46762" spans="26:26" x14ac:dyDescent="0.2">
      <c r="Z46762" t="str">
        <f t="shared" si="730"/>
        <v/>
      </c>
    </row>
    <row r="46763" spans="26:26" x14ac:dyDescent="0.2">
      <c r="Z46763" t="str">
        <f t="shared" si="730"/>
        <v/>
      </c>
    </row>
    <row r="46764" spans="26:26" x14ac:dyDescent="0.2">
      <c r="Z46764" t="str">
        <f t="shared" si="730"/>
        <v/>
      </c>
    </row>
    <row r="46765" spans="26:26" x14ac:dyDescent="0.2">
      <c r="Z46765" t="str">
        <f t="shared" si="730"/>
        <v/>
      </c>
    </row>
    <row r="46766" spans="26:26" x14ac:dyDescent="0.2">
      <c r="Z46766" t="str">
        <f t="shared" si="730"/>
        <v/>
      </c>
    </row>
    <row r="46767" spans="26:26" x14ac:dyDescent="0.2">
      <c r="Z46767" t="str">
        <f t="shared" si="730"/>
        <v/>
      </c>
    </row>
    <row r="46768" spans="26:26" x14ac:dyDescent="0.2">
      <c r="Z46768" t="str">
        <f t="shared" si="730"/>
        <v/>
      </c>
    </row>
    <row r="46769" spans="26:26" x14ac:dyDescent="0.2">
      <c r="Z46769" t="str">
        <f t="shared" si="730"/>
        <v/>
      </c>
    </row>
    <row r="46770" spans="26:26" x14ac:dyDescent="0.2">
      <c r="Z46770" t="str">
        <f t="shared" si="730"/>
        <v/>
      </c>
    </row>
    <row r="46771" spans="26:26" x14ac:dyDescent="0.2">
      <c r="Z46771" t="str">
        <f t="shared" si="730"/>
        <v/>
      </c>
    </row>
    <row r="46772" spans="26:26" x14ac:dyDescent="0.2">
      <c r="Z46772" t="str">
        <f t="shared" si="730"/>
        <v/>
      </c>
    </row>
    <row r="46773" spans="26:26" x14ac:dyDescent="0.2">
      <c r="Z46773" t="str">
        <f t="shared" si="730"/>
        <v/>
      </c>
    </row>
    <row r="46774" spans="26:26" x14ac:dyDescent="0.2">
      <c r="Z46774" t="str">
        <f t="shared" si="730"/>
        <v/>
      </c>
    </row>
    <row r="46775" spans="26:26" x14ac:dyDescent="0.2">
      <c r="Z46775" t="str">
        <f t="shared" si="730"/>
        <v/>
      </c>
    </row>
    <row r="46776" spans="26:26" x14ac:dyDescent="0.2">
      <c r="Z46776" t="str">
        <f t="shared" si="730"/>
        <v/>
      </c>
    </row>
    <row r="46777" spans="26:26" x14ac:dyDescent="0.2">
      <c r="Z46777" t="str">
        <f t="shared" si="730"/>
        <v/>
      </c>
    </row>
    <row r="46778" spans="26:26" x14ac:dyDescent="0.2">
      <c r="Z46778" t="str">
        <f t="shared" si="730"/>
        <v/>
      </c>
    </row>
    <row r="46779" spans="26:26" x14ac:dyDescent="0.2">
      <c r="Z46779" t="str">
        <f t="shared" si="730"/>
        <v/>
      </c>
    </row>
    <row r="46780" spans="26:26" x14ac:dyDescent="0.2">
      <c r="Z46780" t="str">
        <f t="shared" si="730"/>
        <v/>
      </c>
    </row>
    <row r="46781" spans="26:26" x14ac:dyDescent="0.2">
      <c r="Z46781" t="str">
        <f t="shared" si="730"/>
        <v/>
      </c>
    </row>
    <row r="46782" spans="26:26" x14ac:dyDescent="0.2">
      <c r="Z46782" t="str">
        <f t="shared" si="730"/>
        <v/>
      </c>
    </row>
    <row r="46783" spans="26:26" x14ac:dyDescent="0.2">
      <c r="Z46783" t="str">
        <f t="shared" si="730"/>
        <v/>
      </c>
    </row>
    <row r="46784" spans="26:26" x14ac:dyDescent="0.2">
      <c r="Z46784" t="str">
        <f t="shared" si="730"/>
        <v/>
      </c>
    </row>
    <row r="46785" spans="26:26" x14ac:dyDescent="0.2">
      <c r="Z46785" t="str">
        <f t="shared" si="730"/>
        <v/>
      </c>
    </row>
    <row r="46786" spans="26:26" x14ac:dyDescent="0.2">
      <c r="Z46786" t="str">
        <f t="shared" si="730"/>
        <v/>
      </c>
    </row>
    <row r="46787" spans="26:26" x14ac:dyDescent="0.2">
      <c r="Z46787" t="str">
        <f t="shared" ref="Z46787:Z46850" si="731">IF(K46787="","",IFERROR(VALUE(TRIM(MID(K46787,FIND(CHAR(167),SUBSTITUTE(K46787,"-",CHAR(167),LEN(K46787)-LEN(SUBSTITUTE(K46787,"-",""))))+1,100))),K46787))</f>
        <v/>
      </c>
    </row>
    <row r="46788" spans="26:26" x14ac:dyDescent="0.2">
      <c r="Z46788" t="str">
        <f t="shared" si="731"/>
        <v/>
      </c>
    </row>
    <row r="46789" spans="26:26" x14ac:dyDescent="0.2">
      <c r="Z46789" t="str">
        <f t="shared" si="731"/>
        <v/>
      </c>
    </row>
    <row r="46790" spans="26:26" x14ac:dyDescent="0.2">
      <c r="Z46790" t="str">
        <f t="shared" si="731"/>
        <v/>
      </c>
    </row>
    <row r="46791" spans="26:26" x14ac:dyDescent="0.2">
      <c r="Z46791" t="str">
        <f t="shared" si="731"/>
        <v/>
      </c>
    </row>
    <row r="46792" spans="26:26" x14ac:dyDescent="0.2">
      <c r="Z46792" t="str">
        <f t="shared" si="731"/>
        <v/>
      </c>
    </row>
    <row r="46793" spans="26:26" x14ac:dyDescent="0.2">
      <c r="Z46793" t="str">
        <f t="shared" si="731"/>
        <v/>
      </c>
    </row>
    <row r="46794" spans="26:26" x14ac:dyDescent="0.2">
      <c r="Z46794" t="str">
        <f t="shared" si="731"/>
        <v/>
      </c>
    </row>
    <row r="46795" spans="26:26" x14ac:dyDescent="0.2">
      <c r="Z46795" t="str">
        <f t="shared" si="731"/>
        <v/>
      </c>
    </row>
    <row r="46796" spans="26:26" x14ac:dyDescent="0.2">
      <c r="Z46796" t="str">
        <f t="shared" si="731"/>
        <v/>
      </c>
    </row>
    <row r="46797" spans="26:26" x14ac:dyDescent="0.2">
      <c r="Z46797" t="str">
        <f t="shared" si="731"/>
        <v/>
      </c>
    </row>
    <row r="46798" spans="26:26" x14ac:dyDescent="0.2">
      <c r="Z46798" t="str">
        <f t="shared" si="731"/>
        <v/>
      </c>
    </row>
    <row r="46799" spans="26:26" x14ac:dyDescent="0.2">
      <c r="Z46799" t="str">
        <f t="shared" si="731"/>
        <v/>
      </c>
    </row>
    <row r="46800" spans="26:26" x14ac:dyDescent="0.2">
      <c r="Z46800" t="str">
        <f t="shared" si="731"/>
        <v/>
      </c>
    </row>
    <row r="46801" spans="26:26" x14ac:dyDescent="0.2">
      <c r="Z46801" t="str">
        <f t="shared" si="731"/>
        <v/>
      </c>
    </row>
    <row r="46802" spans="26:26" x14ac:dyDescent="0.2">
      <c r="Z46802" t="str">
        <f t="shared" si="731"/>
        <v/>
      </c>
    </row>
    <row r="46803" spans="26:26" x14ac:dyDescent="0.2">
      <c r="Z46803" t="str">
        <f t="shared" si="731"/>
        <v/>
      </c>
    </row>
    <row r="46804" spans="26:26" x14ac:dyDescent="0.2">
      <c r="Z46804" t="str">
        <f t="shared" si="731"/>
        <v/>
      </c>
    </row>
    <row r="46805" spans="26:26" x14ac:dyDescent="0.2">
      <c r="Z46805" t="str">
        <f t="shared" si="731"/>
        <v/>
      </c>
    </row>
    <row r="46806" spans="26:26" x14ac:dyDescent="0.2">
      <c r="Z46806" t="str">
        <f t="shared" si="731"/>
        <v/>
      </c>
    </row>
    <row r="46807" spans="26:26" x14ac:dyDescent="0.2">
      <c r="Z46807" t="str">
        <f t="shared" si="731"/>
        <v/>
      </c>
    </row>
    <row r="46808" spans="26:26" x14ac:dyDescent="0.2">
      <c r="Z46808" t="str">
        <f t="shared" si="731"/>
        <v/>
      </c>
    </row>
    <row r="46809" spans="26:26" x14ac:dyDescent="0.2">
      <c r="Z46809" t="str">
        <f t="shared" si="731"/>
        <v/>
      </c>
    </row>
    <row r="46810" spans="26:26" x14ac:dyDescent="0.2">
      <c r="Z46810" t="str">
        <f t="shared" si="731"/>
        <v/>
      </c>
    </row>
    <row r="46811" spans="26:26" x14ac:dyDescent="0.2">
      <c r="Z46811" t="str">
        <f t="shared" si="731"/>
        <v/>
      </c>
    </row>
    <row r="46812" spans="26:26" x14ac:dyDescent="0.2">
      <c r="Z46812" t="str">
        <f t="shared" si="731"/>
        <v/>
      </c>
    </row>
    <row r="46813" spans="26:26" x14ac:dyDescent="0.2">
      <c r="Z46813" t="str">
        <f t="shared" si="731"/>
        <v/>
      </c>
    </row>
    <row r="46814" spans="26:26" x14ac:dyDescent="0.2">
      <c r="Z46814" t="str">
        <f t="shared" si="731"/>
        <v/>
      </c>
    </row>
    <row r="46815" spans="26:26" x14ac:dyDescent="0.2">
      <c r="Z46815" t="str">
        <f t="shared" si="731"/>
        <v/>
      </c>
    </row>
    <row r="46816" spans="26:26" x14ac:dyDescent="0.2">
      <c r="Z46816" t="str">
        <f t="shared" si="731"/>
        <v/>
      </c>
    </row>
    <row r="46817" spans="26:26" x14ac:dyDescent="0.2">
      <c r="Z46817" t="str">
        <f t="shared" si="731"/>
        <v/>
      </c>
    </row>
    <row r="46818" spans="26:26" x14ac:dyDescent="0.2">
      <c r="Z46818" t="str">
        <f t="shared" si="731"/>
        <v/>
      </c>
    </row>
    <row r="46819" spans="26:26" x14ac:dyDescent="0.2">
      <c r="Z46819" t="str">
        <f t="shared" si="731"/>
        <v/>
      </c>
    </row>
    <row r="46820" spans="26:26" x14ac:dyDescent="0.2">
      <c r="Z46820" t="str">
        <f t="shared" si="731"/>
        <v/>
      </c>
    </row>
    <row r="46821" spans="26:26" x14ac:dyDescent="0.2">
      <c r="Z46821" t="str">
        <f t="shared" si="731"/>
        <v/>
      </c>
    </row>
    <row r="46822" spans="26:26" x14ac:dyDescent="0.2">
      <c r="Z46822" t="str">
        <f t="shared" si="731"/>
        <v/>
      </c>
    </row>
    <row r="46823" spans="26:26" x14ac:dyDescent="0.2">
      <c r="Z46823" t="str">
        <f t="shared" si="731"/>
        <v/>
      </c>
    </row>
    <row r="46824" spans="26:26" x14ac:dyDescent="0.2">
      <c r="Z46824" t="str">
        <f t="shared" si="731"/>
        <v/>
      </c>
    </row>
    <row r="46825" spans="26:26" x14ac:dyDescent="0.2">
      <c r="Z46825" t="str">
        <f t="shared" si="731"/>
        <v/>
      </c>
    </row>
    <row r="46826" spans="26:26" x14ac:dyDescent="0.2">
      <c r="Z46826" t="str">
        <f t="shared" si="731"/>
        <v/>
      </c>
    </row>
    <row r="46827" spans="26:26" x14ac:dyDescent="0.2">
      <c r="Z46827" t="str">
        <f t="shared" si="731"/>
        <v/>
      </c>
    </row>
    <row r="46828" spans="26:26" x14ac:dyDescent="0.2">
      <c r="Z46828" t="str">
        <f t="shared" si="731"/>
        <v/>
      </c>
    </row>
    <row r="46829" spans="26:26" x14ac:dyDescent="0.2">
      <c r="Z46829" t="str">
        <f t="shared" si="731"/>
        <v/>
      </c>
    </row>
    <row r="46830" spans="26:26" x14ac:dyDescent="0.2">
      <c r="Z46830" t="str">
        <f t="shared" si="731"/>
        <v/>
      </c>
    </row>
    <row r="46831" spans="26:26" x14ac:dyDescent="0.2">
      <c r="Z46831" t="str">
        <f t="shared" si="731"/>
        <v/>
      </c>
    </row>
    <row r="46832" spans="26:26" x14ac:dyDescent="0.2">
      <c r="Z46832" t="str">
        <f t="shared" si="731"/>
        <v/>
      </c>
    </row>
    <row r="46833" spans="26:26" x14ac:dyDescent="0.2">
      <c r="Z46833" t="str">
        <f t="shared" si="731"/>
        <v/>
      </c>
    </row>
    <row r="46834" spans="26:26" x14ac:dyDescent="0.2">
      <c r="Z46834" t="str">
        <f t="shared" si="731"/>
        <v/>
      </c>
    </row>
    <row r="46835" spans="26:26" x14ac:dyDescent="0.2">
      <c r="Z46835" t="str">
        <f t="shared" si="731"/>
        <v/>
      </c>
    </row>
    <row r="46836" spans="26:26" x14ac:dyDescent="0.2">
      <c r="Z46836" t="str">
        <f t="shared" si="731"/>
        <v/>
      </c>
    </row>
    <row r="46837" spans="26:26" x14ac:dyDescent="0.2">
      <c r="Z46837" t="str">
        <f t="shared" si="731"/>
        <v/>
      </c>
    </row>
    <row r="46838" spans="26:26" x14ac:dyDescent="0.2">
      <c r="Z46838" t="str">
        <f t="shared" si="731"/>
        <v/>
      </c>
    </row>
    <row r="46839" spans="26:26" x14ac:dyDescent="0.2">
      <c r="Z46839" t="str">
        <f t="shared" si="731"/>
        <v/>
      </c>
    </row>
    <row r="46840" spans="26:26" x14ac:dyDescent="0.2">
      <c r="Z46840" t="str">
        <f t="shared" si="731"/>
        <v/>
      </c>
    </row>
    <row r="46841" spans="26:26" x14ac:dyDescent="0.2">
      <c r="Z46841" t="str">
        <f t="shared" si="731"/>
        <v/>
      </c>
    </row>
    <row r="46842" spans="26:26" x14ac:dyDescent="0.2">
      <c r="Z46842" t="str">
        <f t="shared" si="731"/>
        <v/>
      </c>
    </row>
    <row r="46843" spans="26:26" x14ac:dyDescent="0.2">
      <c r="Z46843" t="str">
        <f t="shared" si="731"/>
        <v/>
      </c>
    </row>
    <row r="46844" spans="26:26" x14ac:dyDescent="0.2">
      <c r="Z46844" t="str">
        <f t="shared" si="731"/>
        <v/>
      </c>
    </row>
    <row r="46845" spans="26:26" x14ac:dyDescent="0.2">
      <c r="Z46845" t="str">
        <f t="shared" si="731"/>
        <v/>
      </c>
    </row>
    <row r="46846" spans="26:26" x14ac:dyDescent="0.2">
      <c r="Z46846" t="str">
        <f t="shared" si="731"/>
        <v/>
      </c>
    </row>
    <row r="46847" spans="26:26" x14ac:dyDescent="0.2">
      <c r="Z46847" t="str">
        <f t="shared" si="731"/>
        <v/>
      </c>
    </row>
    <row r="46848" spans="26:26" x14ac:dyDescent="0.2">
      <c r="Z46848" t="str">
        <f t="shared" si="731"/>
        <v/>
      </c>
    </row>
    <row r="46849" spans="26:26" x14ac:dyDescent="0.2">
      <c r="Z46849" t="str">
        <f t="shared" si="731"/>
        <v/>
      </c>
    </row>
    <row r="46850" spans="26:26" x14ac:dyDescent="0.2">
      <c r="Z46850" t="str">
        <f t="shared" si="731"/>
        <v/>
      </c>
    </row>
    <row r="46851" spans="26:26" x14ac:dyDescent="0.2">
      <c r="Z46851" t="str">
        <f t="shared" ref="Z46851:Z46914" si="732">IF(K46851="","",IFERROR(VALUE(TRIM(MID(K46851,FIND(CHAR(167),SUBSTITUTE(K46851,"-",CHAR(167),LEN(K46851)-LEN(SUBSTITUTE(K46851,"-",""))))+1,100))),K46851))</f>
        <v/>
      </c>
    </row>
    <row r="46852" spans="26:26" x14ac:dyDescent="0.2">
      <c r="Z46852" t="str">
        <f t="shared" si="732"/>
        <v/>
      </c>
    </row>
    <row r="46853" spans="26:26" x14ac:dyDescent="0.2">
      <c r="Z46853" t="str">
        <f t="shared" si="732"/>
        <v/>
      </c>
    </row>
    <row r="46854" spans="26:26" x14ac:dyDescent="0.2">
      <c r="Z46854" t="str">
        <f t="shared" si="732"/>
        <v/>
      </c>
    </row>
    <row r="46855" spans="26:26" x14ac:dyDescent="0.2">
      <c r="Z46855" t="str">
        <f t="shared" si="732"/>
        <v/>
      </c>
    </row>
    <row r="46856" spans="26:26" x14ac:dyDescent="0.2">
      <c r="Z46856" t="str">
        <f t="shared" si="732"/>
        <v/>
      </c>
    </row>
    <row r="46857" spans="26:26" x14ac:dyDescent="0.2">
      <c r="Z46857" t="str">
        <f t="shared" si="732"/>
        <v/>
      </c>
    </row>
    <row r="46858" spans="26:26" x14ac:dyDescent="0.2">
      <c r="Z46858" t="str">
        <f t="shared" si="732"/>
        <v/>
      </c>
    </row>
    <row r="46859" spans="26:26" x14ac:dyDescent="0.2">
      <c r="Z46859" t="str">
        <f t="shared" si="732"/>
        <v/>
      </c>
    </row>
    <row r="46860" spans="26:26" x14ac:dyDescent="0.2">
      <c r="Z46860" t="str">
        <f t="shared" si="732"/>
        <v/>
      </c>
    </row>
    <row r="46861" spans="26:26" x14ac:dyDescent="0.2">
      <c r="Z46861" t="str">
        <f t="shared" si="732"/>
        <v/>
      </c>
    </row>
    <row r="46862" spans="26:26" x14ac:dyDescent="0.2">
      <c r="Z46862" t="str">
        <f t="shared" si="732"/>
        <v/>
      </c>
    </row>
    <row r="46863" spans="26:26" x14ac:dyDescent="0.2">
      <c r="Z46863" t="str">
        <f t="shared" si="732"/>
        <v/>
      </c>
    </row>
    <row r="46864" spans="26:26" x14ac:dyDescent="0.2">
      <c r="Z46864" t="str">
        <f t="shared" si="732"/>
        <v/>
      </c>
    </row>
    <row r="46865" spans="26:26" x14ac:dyDescent="0.2">
      <c r="Z46865" t="str">
        <f t="shared" si="732"/>
        <v/>
      </c>
    </row>
    <row r="46866" spans="26:26" x14ac:dyDescent="0.2">
      <c r="Z46866" t="str">
        <f t="shared" si="732"/>
        <v/>
      </c>
    </row>
    <row r="46867" spans="26:26" x14ac:dyDescent="0.2">
      <c r="Z46867" t="str">
        <f t="shared" si="732"/>
        <v/>
      </c>
    </row>
    <row r="46868" spans="26:26" x14ac:dyDescent="0.2">
      <c r="Z46868" t="str">
        <f t="shared" si="732"/>
        <v/>
      </c>
    </row>
    <row r="46869" spans="26:26" x14ac:dyDescent="0.2">
      <c r="Z46869" t="str">
        <f t="shared" si="732"/>
        <v/>
      </c>
    </row>
    <row r="46870" spans="26:26" x14ac:dyDescent="0.2">
      <c r="Z46870" t="str">
        <f t="shared" si="732"/>
        <v/>
      </c>
    </row>
    <row r="46871" spans="26:26" x14ac:dyDescent="0.2">
      <c r="Z46871" t="str">
        <f t="shared" si="732"/>
        <v/>
      </c>
    </row>
    <row r="46872" spans="26:26" x14ac:dyDescent="0.2">
      <c r="Z46872" t="str">
        <f t="shared" si="732"/>
        <v/>
      </c>
    </row>
    <row r="46873" spans="26:26" x14ac:dyDescent="0.2">
      <c r="Z46873" t="str">
        <f t="shared" si="732"/>
        <v/>
      </c>
    </row>
    <row r="46874" spans="26:26" x14ac:dyDescent="0.2">
      <c r="Z46874" t="str">
        <f t="shared" si="732"/>
        <v/>
      </c>
    </row>
    <row r="46875" spans="26:26" x14ac:dyDescent="0.2">
      <c r="Z46875" t="str">
        <f t="shared" si="732"/>
        <v/>
      </c>
    </row>
    <row r="46876" spans="26:26" x14ac:dyDescent="0.2">
      <c r="Z46876" t="str">
        <f t="shared" si="732"/>
        <v/>
      </c>
    </row>
    <row r="46877" spans="26:26" x14ac:dyDescent="0.2">
      <c r="Z46877" t="str">
        <f t="shared" si="732"/>
        <v/>
      </c>
    </row>
    <row r="46878" spans="26:26" x14ac:dyDescent="0.2">
      <c r="Z46878" t="str">
        <f t="shared" si="732"/>
        <v/>
      </c>
    </row>
    <row r="46879" spans="26:26" x14ac:dyDescent="0.2">
      <c r="Z46879" t="str">
        <f t="shared" si="732"/>
        <v/>
      </c>
    </row>
    <row r="46880" spans="26:26" x14ac:dyDescent="0.2">
      <c r="Z46880" t="str">
        <f t="shared" si="732"/>
        <v/>
      </c>
    </row>
    <row r="46881" spans="26:26" x14ac:dyDescent="0.2">
      <c r="Z46881" t="str">
        <f t="shared" si="732"/>
        <v/>
      </c>
    </row>
    <row r="46882" spans="26:26" x14ac:dyDescent="0.2">
      <c r="Z46882" t="str">
        <f t="shared" si="732"/>
        <v/>
      </c>
    </row>
    <row r="46883" spans="26:26" x14ac:dyDescent="0.2">
      <c r="Z46883" t="str">
        <f t="shared" si="732"/>
        <v/>
      </c>
    </row>
    <row r="46884" spans="26:26" x14ac:dyDescent="0.2">
      <c r="Z46884" t="str">
        <f t="shared" si="732"/>
        <v/>
      </c>
    </row>
    <row r="46885" spans="26:26" x14ac:dyDescent="0.2">
      <c r="Z46885" t="str">
        <f t="shared" si="732"/>
        <v/>
      </c>
    </row>
    <row r="46886" spans="26:26" x14ac:dyDescent="0.2">
      <c r="Z46886" t="str">
        <f t="shared" si="732"/>
        <v/>
      </c>
    </row>
    <row r="46887" spans="26:26" x14ac:dyDescent="0.2">
      <c r="Z46887" t="str">
        <f t="shared" si="732"/>
        <v/>
      </c>
    </row>
    <row r="46888" spans="26:26" x14ac:dyDescent="0.2">
      <c r="Z46888" t="str">
        <f t="shared" si="732"/>
        <v/>
      </c>
    </row>
    <row r="46889" spans="26:26" x14ac:dyDescent="0.2">
      <c r="Z46889" t="str">
        <f t="shared" si="732"/>
        <v/>
      </c>
    </row>
    <row r="46890" spans="26:26" x14ac:dyDescent="0.2">
      <c r="Z46890" t="str">
        <f t="shared" si="732"/>
        <v/>
      </c>
    </row>
    <row r="46891" spans="26:26" x14ac:dyDescent="0.2">
      <c r="Z46891" t="str">
        <f t="shared" si="732"/>
        <v/>
      </c>
    </row>
    <row r="46892" spans="26:26" x14ac:dyDescent="0.2">
      <c r="Z46892" t="str">
        <f t="shared" si="732"/>
        <v/>
      </c>
    </row>
    <row r="46893" spans="26:26" x14ac:dyDescent="0.2">
      <c r="Z46893" t="str">
        <f t="shared" si="732"/>
        <v/>
      </c>
    </row>
    <row r="46894" spans="26:26" x14ac:dyDescent="0.2">
      <c r="Z46894" t="str">
        <f t="shared" si="732"/>
        <v/>
      </c>
    </row>
    <row r="46895" spans="26:26" x14ac:dyDescent="0.2">
      <c r="Z46895" t="str">
        <f t="shared" si="732"/>
        <v/>
      </c>
    </row>
    <row r="46896" spans="26:26" x14ac:dyDescent="0.2">
      <c r="Z46896" t="str">
        <f t="shared" si="732"/>
        <v/>
      </c>
    </row>
    <row r="46897" spans="26:26" x14ac:dyDescent="0.2">
      <c r="Z46897" t="str">
        <f t="shared" si="732"/>
        <v/>
      </c>
    </row>
    <row r="46898" spans="26:26" x14ac:dyDescent="0.2">
      <c r="Z46898" t="str">
        <f t="shared" si="732"/>
        <v/>
      </c>
    </row>
    <row r="46899" spans="26:26" x14ac:dyDescent="0.2">
      <c r="Z46899" t="str">
        <f t="shared" si="732"/>
        <v/>
      </c>
    </row>
    <row r="46900" spans="26:26" x14ac:dyDescent="0.2">
      <c r="Z46900" t="str">
        <f t="shared" si="732"/>
        <v/>
      </c>
    </row>
    <row r="46901" spans="26:26" x14ac:dyDescent="0.2">
      <c r="Z46901" t="str">
        <f t="shared" si="732"/>
        <v/>
      </c>
    </row>
    <row r="46902" spans="26:26" x14ac:dyDescent="0.2">
      <c r="Z46902" t="str">
        <f t="shared" si="732"/>
        <v/>
      </c>
    </row>
    <row r="46903" spans="26:26" x14ac:dyDescent="0.2">
      <c r="Z46903" t="str">
        <f t="shared" si="732"/>
        <v/>
      </c>
    </row>
    <row r="46904" spans="26:26" x14ac:dyDescent="0.2">
      <c r="Z46904" t="str">
        <f t="shared" si="732"/>
        <v/>
      </c>
    </row>
    <row r="46905" spans="26:26" x14ac:dyDescent="0.2">
      <c r="Z46905" t="str">
        <f t="shared" si="732"/>
        <v/>
      </c>
    </row>
    <row r="46906" spans="26:26" x14ac:dyDescent="0.2">
      <c r="Z46906" t="str">
        <f t="shared" si="732"/>
        <v/>
      </c>
    </row>
    <row r="46907" spans="26:26" x14ac:dyDescent="0.2">
      <c r="Z46907" t="str">
        <f t="shared" si="732"/>
        <v/>
      </c>
    </row>
    <row r="46908" spans="26:26" x14ac:dyDescent="0.2">
      <c r="Z46908" t="str">
        <f t="shared" si="732"/>
        <v/>
      </c>
    </row>
    <row r="46909" spans="26:26" x14ac:dyDescent="0.2">
      <c r="Z46909" t="str">
        <f t="shared" si="732"/>
        <v/>
      </c>
    </row>
    <row r="46910" spans="26:26" x14ac:dyDescent="0.2">
      <c r="Z46910" t="str">
        <f t="shared" si="732"/>
        <v/>
      </c>
    </row>
    <row r="46911" spans="26:26" x14ac:dyDescent="0.2">
      <c r="Z46911" t="str">
        <f t="shared" si="732"/>
        <v/>
      </c>
    </row>
    <row r="46912" spans="26:26" x14ac:dyDescent="0.2">
      <c r="Z46912" t="str">
        <f t="shared" si="732"/>
        <v/>
      </c>
    </row>
    <row r="46913" spans="26:26" x14ac:dyDescent="0.2">
      <c r="Z46913" t="str">
        <f t="shared" si="732"/>
        <v/>
      </c>
    </row>
    <row r="46914" spans="26:26" x14ac:dyDescent="0.2">
      <c r="Z46914" t="str">
        <f t="shared" si="732"/>
        <v/>
      </c>
    </row>
    <row r="46915" spans="26:26" x14ac:dyDescent="0.2">
      <c r="Z46915" t="str">
        <f t="shared" ref="Z46915:Z46978" si="733">IF(K46915="","",IFERROR(VALUE(TRIM(MID(K46915,FIND(CHAR(167),SUBSTITUTE(K46915,"-",CHAR(167),LEN(K46915)-LEN(SUBSTITUTE(K46915,"-",""))))+1,100))),K46915))</f>
        <v/>
      </c>
    </row>
    <row r="46916" spans="26:26" x14ac:dyDescent="0.2">
      <c r="Z46916" t="str">
        <f t="shared" si="733"/>
        <v/>
      </c>
    </row>
    <row r="46917" spans="26:26" x14ac:dyDescent="0.2">
      <c r="Z46917" t="str">
        <f t="shared" si="733"/>
        <v/>
      </c>
    </row>
    <row r="46918" spans="26:26" x14ac:dyDescent="0.2">
      <c r="Z46918" t="str">
        <f t="shared" si="733"/>
        <v/>
      </c>
    </row>
    <row r="46919" spans="26:26" x14ac:dyDescent="0.2">
      <c r="Z46919" t="str">
        <f t="shared" si="733"/>
        <v/>
      </c>
    </row>
    <row r="46920" spans="26:26" x14ac:dyDescent="0.2">
      <c r="Z46920" t="str">
        <f t="shared" si="733"/>
        <v/>
      </c>
    </row>
    <row r="46921" spans="26:26" x14ac:dyDescent="0.2">
      <c r="Z46921" t="str">
        <f t="shared" si="733"/>
        <v/>
      </c>
    </row>
    <row r="46922" spans="26:26" x14ac:dyDescent="0.2">
      <c r="Z46922" t="str">
        <f t="shared" si="733"/>
        <v/>
      </c>
    </row>
    <row r="46923" spans="26:26" x14ac:dyDescent="0.2">
      <c r="Z46923" t="str">
        <f t="shared" si="733"/>
        <v/>
      </c>
    </row>
    <row r="46924" spans="26:26" x14ac:dyDescent="0.2">
      <c r="Z46924" t="str">
        <f t="shared" si="733"/>
        <v/>
      </c>
    </row>
    <row r="46925" spans="26:26" x14ac:dyDescent="0.2">
      <c r="Z46925" t="str">
        <f t="shared" si="733"/>
        <v/>
      </c>
    </row>
    <row r="46926" spans="26:26" x14ac:dyDescent="0.2">
      <c r="Z46926" t="str">
        <f t="shared" si="733"/>
        <v/>
      </c>
    </row>
    <row r="46927" spans="26:26" x14ac:dyDescent="0.2">
      <c r="Z46927" t="str">
        <f t="shared" si="733"/>
        <v/>
      </c>
    </row>
    <row r="46928" spans="26:26" x14ac:dyDescent="0.2">
      <c r="Z46928" t="str">
        <f t="shared" si="733"/>
        <v/>
      </c>
    </row>
    <row r="46929" spans="26:26" x14ac:dyDescent="0.2">
      <c r="Z46929" t="str">
        <f t="shared" si="733"/>
        <v/>
      </c>
    </row>
    <row r="46930" spans="26:26" x14ac:dyDescent="0.2">
      <c r="Z46930" t="str">
        <f t="shared" si="733"/>
        <v/>
      </c>
    </row>
    <row r="46931" spans="26:26" x14ac:dyDescent="0.2">
      <c r="Z46931" t="str">
        <f t="shared" si="733"/>
        <v/>
      </c>
    </row>
    <row r="46932" spans="26:26" x14ac:dyDescent="0.2">
      <c r="Z46932" t="str">
        <f t="shared" si="733"/>
        <v/>
      </c>
    </row>
    <row r="46933" spans="26:26" x14ac:dyDescent="0.2">
      <c r="Z46933" t="str">
        <f t="shared" si="733"/>
        <v/>
      </c>
    </row>
    <row r="46934" spans="26:26" x14ac:dyDescent="0.2">
      <c r="Z46934" t="str">
        <f t="shared" si="733"/>
        <v/>
      </c>
    </row>
    <row r="46935" spans="26:26" x14ac:dyDescent="0.2">
      <c r="Z46935" t="str">
        <f t="shared" si="733"/>
        <v/>
      </c>
    </row>
    <row r="46936" spans="26:26" x14ac:dyDescent="0.2">
      <c r="Z46936" t="str">
        <f t="shared" si="733"/>
        <v/>
      </c>
    </row>
    <row r="46937" spans="26:26" x14ac:dyDescent="0.2">
      <c r="Z46937" t="str">
        <f t="shared" si="733"/>
        <v/>
      </c>
    </row>
    <row r="46938" spans="26:26" x14ac:dyDescent="0.2">
      <c r="Z46938" t="str">
        <f t="shared" si="733"/>
        <v/>
      </c>
    </row>
    <row r="46939" spans="26:26" x14ac:dyDescent="0.2">
      <c r="Z46939" t="str">
        <f t="shared" si="733"/>
        <v/>
      </c>
    </row>
    <row r="46940" spans="26:26" x14ac:dyDescent="0.2">
      <c r="Z46940" t="str">
        <f t="shared" si="733"/>
        <v/>
      </c>
    </row>
    <row r="46941" spans="26:26" x14ac:dyDescent="0.2">
      <c r="Z46941" t="str">
        <f t="shared" si="733"/>
        <v/>
      </c>
    </row>
    <row r="46942" spans="26:26" x14ac:dyDescent="0.2">
      <c r="Z46942" t="str">
        <f t="shared" si="733"/>
        <v/>
      </c>
    </row>
    <row r="46943" spans="26:26" x14ac:dyDescent="0.2">
      <c r="Z46943" t="str">
        <f t="shared" si="733"/>
        <v/>
      </c>
    </row>
    <row r="46944" spans="26:26" x14ac:dyDescent="0.2">
      <c r="Z46944" t="str">
        <f t="shared" si="733"/>
        <v/>
      </c>
    </row>
    <row r="46945" spans="26:26" x14ac:dyDescent="0.2">
      <c r="Z46945" t="str">
        <f t="shared" si="733"/>
        <v/>
      </c>
    </row>
    <row r="46946" spans="26:26" x14ac:dyDescent="0.2">
      <c r="Z46946" t="str">
        <f t="shared" si="733"/>
        <v/>
      </c>
    </row>
    <row r="46947" spans="26:26" x14ac:dyDescent="0.2">
      <c r="Z46947" t="str">
        <f t="shared" si="733"/>
        <v/>
      </c>
    </row>
    <row r="46948" spans="26:26" x14ac:dyDescent="0.2">
      <c r="Z46948" t="str">
        <f t="shared" si="733"/>
        <v/>
      </c>
    </row>
    <row r="46949" spans="26:26" x14ac:dyDescent="0.2">
      <c r="Z46949" t="str">
        <f t="shared" si="733"/>
        <v/>
      </c>
    </row>
    <row r="46950" spans="26:26" x14ac:dyDescent="0.2">
      <c r="Z46950" t="str">
        <f t="shared" si="733"/>
        <v/>
      </c>
    </row>
    <row r="46951" spans="26:26" x14ac:dyDescent="0.2">
      <c r="Z46951" t="str">
        <f t="shared" si="733"/>
        <v/>
      </c>
    </row>
    <row r="46952" spans="26:26" x14ac:dyDescent="0.2">
      <c r="Z46952" t="str">
        <f t="shared" si="733"/>
        <v/>
      </c>
    </row>
    <row r="46953" spans="26:26" x14ac:dyDescent="0.2">
      <c r="Z46953" t="str">
        <f t="shared" si="733"/>
        <v/>
      </c>
    </row>
    <row r="46954" spans="26:26" x14ac:dyDescent="0.2">
      <c r="Z46954" t="str">
        <f t="shared" si="733"/>
        <v/>
      </c>
    </row>
    <row r="46955" spans="26:26" x14ac:dyDescent="0.2">
      <c r="Z46955" t="str">
        <f t="shared" si="733"/>
        <v/>
      </c>
    </row>
    <row r="46956" spans="26:26" x14ac:dyDescent="0.2">
      <c r="Z46956" t="str">
        <f t="shared" si="733"/>
        <v/>
      </c>
    </row>
    <row r="46957" spans="26:26" x14ac:dyDescent="0.2">
      <c r="Z46957" t="str">
        <f t="shared" si="733"/>
        <v/>
      </c>
    </row>
    <row r="46958" spans="26:26" x14ac:dyDescent="0.2">
      <c r="Z46958" t="str">
        <f t="shared" si="733"/>
        <v/>
      </c>
    </row>
    <row r="46959" spans="26:26" x14ac:dyDescent="0.2">
      <c r="Z46959" t="str">
        <f t="shared" si="733"/>
        <v/>
      </c>
    </row>
    <row r="46960" spans="26:26" x14ac:dyDescent="0.2">
      <c r="Z46960" t="str">
        <f t="shared" si="733"/>
        <v/>
      </c>
    </row>
    <row r="46961" spans="26:26" x14ac:dyDescent="0.2">
      <c r="Z46961" t="str">
        <f t="shared" si="733"/>
        <v/>
      </c>
    </row>
    <row r="46962" spans="26:26" x14ac:dyDescent="0.2">
      <c r="Z46962" t="str">
        <f t="shared" si="733"/>
        <v/>
      </c>
    </row>
    <row r="46963" spans="26:26" x14ac:dyDescent="0.2">
      <c r="Z46963" t="str">
        <f t="shared" si="733"/>
        <v/>
      </c>
    </row>
    <row r="46964" spans="26:26" x14ac:dyDescent="0.2">
      <c r="Z46964" t="str">
        <f t="shared" si="733"/>
        <v/>
      </c>
    </row>
    <row r="46965" spans="26:26" x14ac:dyDescent="0.2">
      <c r="Z46965" t="str">
        <f t="shared" si="733"/>
        <v/>
      </c>
    </row>
    <row r="46966" spans="26:26" x14ac:dyDescent="0.2">
      <c r="Z46966" t="str">
        <f t="shared" si="733"/>
        <v/>
      </c>
    </row>
    <row r="46967" spans="26:26" x14ac:dyDescent="0.2">
      <c r="Z46967" t="str">
        <f t="shared" si="733"/>
        <v/>
      </c>
    </row>
    <row r="46968" spans="26:26" x14ac:dyDescent="0.2">
      <c r="Z46968" t="str">
        <f t="shared" si="733"/>
        <v/>
      </c>
    </row>
    <row r="46969" spans="26:26" x14ac:dyDescent="0.2">
      <c r="Z46969" t="str">
        <f t="shared" si="733"/>
        <v/>
      </c>
    </row>
    <row r="46970" spans="26:26" x14ac:dyDescent="0.2">
      <c r="Z46970" t="str">
        <f t="shared" si="733"/>
        <v/>
      </c>
    </row>
    <row r="46971" spans="26:26" x14ac:dyDescent="0.2">
      <c r="Z46971" t="str">
        <f t="shared" si="733"/>
        <v/>
      </c>
    </row>
    <row r="46972" spans="26:26" x14ac:dyDescent="0.2">
      <c r="Z46972" t="str">
        <f t="shared" si="733"/>
        <v/>
      </c>
    </row>
    <row r="46973" spans="26:26" x14ac:dyDescent="0.2">
      <c r="Z46973" t="str">
        <f t="shared" si="733"/>
        <v/>
      </c>
    </row>
    <row r="46974" spans="26:26" x14ac:dyDescent="0.2">
      <c r="Z46974" t="str">
        <f t="shared" si="733"/>
        <v/>
      </c>
    </row>
    <row r="46975" spans="26:26" x14ac:dyDescent="0.2">
      <c r="Z46975" t="str">
        <f t="shared" si="733"/>
        <v/>
      </c>
    </row>
    <row r="46976" spans="26:26" x14ac:dyDescent="0.2">
      <c r="Z46976" t="str">
        <f t="shared" si="733"/>
        <v/>
      </c>
    </row>
    <row r="46977" spans="26:26" x14ac:dyDescent="0.2">
      <c r="Z46977" t="str">
        <f t="shared" si="733"/>
        <v/>
      </c>
    </row>
    <row r="46978" spans="26:26" x14ac:dyDescent="0.2">
      <c r="Z46978" t="str">
        <f t="shared" si="733"/>
        <v/>
      </c>
    </row>
    <row r="46979" spans="26:26" x14ac:dyDescent="0.2">
      <c r="Z46979" t="str">
        <f t="shared" ref="Z46979:Z47042" si="734">IF(K46979="","",IFERROR(VALUE(TRIM(MID(K46979,FIND(CHAR(167),SUBSTITUTE(K46979,"-",CHAR(167),LEN(K46979)-LEN(SUBSTITUTE(K46979,"-",""))))+1,100))),K46979))</f>
        <v/>
      </c>
    </row>
    <row r="46980" spans="26:26" x14ac:dyDescent="0.2">
      <c r="Z46980" t="str">
        <f t="shared" si="734"/>
        <v/>
      </c>
    </row>
    <row r="46981" spans="26:26" x14ac:dyDescent="0.2">
      <c r="Z46981" t="str">
        <f t="shared" si="734"/>
        <v/>
      </c>
    </row>
    <row r="46982" spans="26:26" x14ac:dyDescent="0.2">
      <c r="Z46982" t="str">
        <f t="shared" si="734"/>
        <v/>
      </c>
    </row>
    <row r="46983" spans="26:26" x14ac:dyDescent="0.2">
      <c r="Z46983" t="str">
        <f t="shared" si="734"/>
        <v/>
      </c>
    </row>
    <row r="46984" spans="26:26" x14ac:dyDescent="0.2">
      <c r="Z46984" t="str">
        <f t="shared" si="734"/>
        <v/>
      </c>
    </row>
    <row r="46985" spans="26:26" x14ac:dyDescent="0.2">
      <c r="Z46985" t="str">
        <f t="shared" si="734"/>
        <v/>
      </c>
    </row>
    <row r="46986" spans="26:26" x14ac:dyDescent="0.2">
      <c r="Z46986" t="str">
        <f t="shared" si="734"/>
        <v/>
      </c>
    </row>
    <row r="46987" spans="26:26" x14ac:dyDescent="0.2">
      <c r="Z46987" t="str">
        <f t="shared" si="734"/>
        <v/>
      </c>
    </row>
    <row r="46988" spans="26:26" x14ac:dyDescent="0.2">
      <c r="Z46988" t="str">
        <f t="shared" si="734"/>
        <v/>
      </c>
    </row>
    <row r="46989" spans="26:26" x14ac:dyDescent="0.2">
      <c r="Z46989" t="str">
        <f t="shared" si="734"/>
        <v/>
      </c>
    </row>
    <row r="46990" spans="26:26" x14ac:dyDescent="0.2">
      <c r="Z46990" t="str">
        <f t="shared" si="734"/>
        <v/>
      </c>
    </row>
    <row r="46991" spans="26:26" x14ac:dyDescent="0.2">
      <c r="Z46991" t="str">
        <f t="shared" si="734"/>
        <v/>
      </c>
    </row>
    <row r="46992" spans="26:26" x14ac:dyDescent="0.2">
      <c r="Z46992" t="str">
        <f t="shared" si="734"/>
        <v/>
      </c>
    </row>
    <row r="46993" spans="26:26" x14ac:dyDescent="0.2">
      <c r="Z46993" t="str">
        <f t="shared" si="734"/>
        <v/>
      </c>
    </row>
    <row r="46994" spans="26:26" x14ac:dyDescent="0.2">
      <c r="Z46994" t="str">
        <f t="shared" si="734"/>
        <v/>
      </c>
    </row>
    <row r="46995" spans="26:26" x14ac:dyDescent="0.2">
      <c r="Z46995" t="str">
        <f t="shared" si="734"/>
        <v/>
      </c>
    </row>
    <row r="46996" spans="26:26" x14ac:dyDescent="0.2">
      <c r="Z46996" t="str">
        <f t="shared" si="734"/>
        <v/>
      </c>
    </row>
    <row r="46997" spans="26:26" x14ac:dyDescent="0.2">
      <c r="Z46997" t="str">
        <f t="shared" si="734"/>
        <v/>
      </c>
    </row>
    <row r="46998" spans="26:26" x14ac:dyDescent="0.2">
      <c r="Z46998" t="str">
        <f t="shared" si="734"/>
        <v/>
      </c>
    </row>
    <row r="46999" spans="26:26" x14ac:dyDescent="0.2">
      <c r="Z46999" t="str">
        <f t="shared" si="734"/>
        <v/>
      </c>
    </row>
    <row r="47000" spans="26:26" x14ac:dyDescent="0.2">
      <c r="Z47000" t="str">
        <f t="shared" si="734"/>
        <v/>
      </c>
    </row>
    <row r="47001" spans="26:26" x14ac:dyDescent="0.2">
      <c r="Z47001" t="str">
        <f t="shared" si="734"/>
        <v/>
      </c>
    </row>
    <row r="47002" spans="26:26" x14ac:dyDescent="0.2">
      <c r="Z47002" t="str">
        <f t="shared" si="734"/>
        <v/>
      </c>
    </row>
    <row r="47003" spans="26:26" x14ac:dyDescent="0.2">
      <c r="Z47003" t="str">
        <f t="shared" si="734"/>
        <v/>
      </c>
    </row>
    <row r="47004" spans="26:26" x14ac:dyDescent="0.2">
      <c r="Z47004" t="str">
        <f t="shared" si="734"/>
        <v/>
      </c>
    </row>
    <row r="47005" spans="26:26" x14ac:dyDescent="0.2">
      <c r="Z47005" t="str">
        <f t="shared" si="734"/>
        <v/>
      </c>
    </row>
    <row r="47006" spans="26:26" x14ac:dyDescent="0.2">
      <c r="Z47006" t="str">
        <f t="shared" si="734"/>
        <v/>
      </c>
    </row>
    <row r="47007" spans="26:26" x14ac:dyDescent="0.2">
      <c r="Z47007" t="str">
        <f t="shared" si="734"/>
        <v/>
      </c>
    </row>
    <row r="47008" spans="26:26" x14ac:dyDescent="0.2">
      <c r="Z47008" t="str">
        <f t="shared" si="734"/>
        <v/>
      </c>
    </row>
    <row r="47009" spans="26:26" x14ac:dyDescent="0.2">
      <c r="Z47009" t="str">
        <f t="shared" si="734"/>
        <v/>
      </c>
    </row>
    <row r="47010" spans="26:26" x14ac:dyDescent="0.2">
      <c r="Z47010" t="str">
        <f t="shared" si="734"/>
        <v/>
      </c>
    </row>
    <row r="47011" spans="26:26" x14ac:dyDescent="0.2">
      <c r="Z47011" t="str">
        <f t="shared" si="734"/>
        <v/>
      </c>
    </row>
    <row r="47012" spans="26:26" x14ac:dyDescent="0.2">
      <c r="Z47012" t="str">
        <f t="shared" si="734"/>
        <v/>
      </c>
    </row>
    <row r="47013" spans="26:26" x14ac:dyDescent="0.2">
      <c r="Z47013" t="str">
        <f t="shared" si="734"/>
        <v/>
      </c>
    </row>
    <row r="47014" spans="26:26" x14ac:dyDescent="0.2">
      <c r="Z47014" t="str">
        <f t="shared" si="734"/>
        <v/>
      </c>
    </row>
    <row r="47015" spans="26:26" x14ac:dyDescent="0.2">
      <c r="Z47015" t="str">
        <f t="shared" si="734"/>
        <v/>
      </c>
    </row>
    <row r="47016" spans="26:26" x14ac:dyDescent="0.2">
      <c r="Z47016" t="str">
        <f t="shared" si="734"/>
        <v/>
      </c>
    </row>
    <row r="47017" spans="26:26" x14ac:dyDescent="0.2">
      <c r="Z47017" t="str">
        <f t="shared" si="734"/>
        <v/>
      </c>
    </row>
    <row r="47018" spans="26:26" x14ac:dyDescent="0.2">
      <c r="Z47018" t="str">
        <f t="shared" si="734"/>
        <v/>
      </c>
    </row>
    <row r="47019" spans="26:26" x14ac:dyDescent="0.2">
      <c r="Z47019" t="str">
        <f t="shared" si="734"/>
        <v/>
      </c>
    </row>
    <row r="47020" spans="26:26" x14ac:dyDescent="0.2">
      <c r="Z47020" t="str">
        <f t="shared" si="734"/>
        <v/>
      </c>
    </row>
    <row r="47021" spans="26:26" x14ac:dyDescent="0.2">
      <c r="Z47021" t="str">
        <f t="shared" si="734"/>
        <v/>
      </c>
    </row>
    <row r="47022" spans="26:26" x14ac:dyDescent="0.2">
      <c r="Z47022" t="str">
        <f t="shared" si="734"/>
        <v/>
      </c>
    </row>
    <row r="47023" spans="26:26" x14ac:dyDescent="0.2">
      <c r="Z47023" t="str">
        <f t="shared" si="734"/>
        <v/>
      </c>
    </row>
    <row r="47024" spans="26:26" x14ac:dyDescent="0.2">
      <c r="Z47024" t="str">
        <f t="shared" si="734"/>
        <v/>
      </c>
    </row>
    <row r="47025" spans="26:26" x14ac:dyDescent="0.2">
      <c r="Z47025" t="str">
        <f t="shared" si="734"/>
        <v/>
      </c>
    </row>
    <row r="47026" spans="26:26" x14ac:dyDescent="0.2">
      <c r="Z47026" t="str">
        <f t="shared" si="734"/>
        <v/>
      </c>
    </row>
    <row r="47027" spans="26:26" x14ac:dyDescent="0.2">
      <c r="Z47027" t="str">
        <f t="shared" si="734"/>
        <v/>
      </c>
    </row>
    <row r="47028" spans="26:26" x14ac:dyDescent="0.2">
      <c r="Z47028" t="str">
        <f t="shared" si="734"/>
        <v/>
      </c>
    </row>
    <row r="47029" spans="26:26" x14ac:dyDescent="0.2">
      <c r="Z47029" t="str">
        <f t="shared" si="734"/>
        <v/>
      </c>
    </row>
    <row r="47030" spans="26:26" x14ac:dyDescent="0.2">
      <c r="Z47030" t="str">
        <f t="shared" si="734"/>
        <v/>
      </c>
    </row>
    <row r="47031" spans="26:26" x14ac:dyDescent="0.2">
      <c r="Z47031" t="str">
        <f t="shared" si="734"/>
        <v/>
      </c>
    </row>
    <row r="47032" spans="26:26" x14ac:dyDescent="0.2">
      <c r="Z47032" t="str">
        <f t="shared" si="734"/>
        <v/>
      </c>
    </row>
    <row r="47033" spans="26:26" x14ac:dyDescent="0.2">
      <c r="Z47033" t="str">
        <f t="shared" si="734"/>
        <v/>
      </c>
    </row>
    <row r="47034" spans="26:26" x14ac:dyDescent="0.2">
      <c r="Z47034" t="str">
        <f t="shared" si="734"/>
        <v/>
      </c>
    </row>
    <row r="47035" spans="26:26" x14ac:dyDescent="0.2">
      <c r="Z47035" t="str">
        <f t="shared" si="734"/>
        <v/>
      </c>
    </row>
    <row r="47036" spans="26:26" x14ac:dyDescent="0.2">
      <c r="Z47036" t="str">
        <f t="shared" si="734"/>
        <v/>
      </c>
    </row>
    <row r="47037" spans="26:26" x14ac:dyDescent="0.2">
      <c r="Z47037" t="str">
        <f t="shared" si="734"/>
        <v/>
      </c>
    </row>
    <row r="47038" spans="26:26" x14ac:dyDescent="0.2">
      <c r="Z47038" t="str">
        <f t="shared" si="734"/>
        <v/>
      </c>
    </row>
    <row r="47039" spans="26:26" x14ac:dyDescent="0.2">
      <c r="Z47039" t="str">
        <f t="shared" si="734"/>
        <v/>
      </c>
    </row>
    <row r="47040" spans="26:26" x14ac:dyDescent="0.2">
      <c r="Z47040" t="str">
        <f t="shared" si="734"/>
        <v/>
      </c>
    </row>
    <row r="47041" spans="26:26" x14ac:dyDescent="0.2">
      <c r="Z47041" t="str">
        <f t="shared" si="734"/>
        <v/>
      </c>
    </row>
    <row r="47042" spans="26:26" x14ac:dyDescent="0.2">
      <c r="Z47042" t="str">
        <f t="shared" si="734"/>
        <v/>
      </c>
    </row>
    <row r="47043" spans="26:26" x14ac:dyDescent="0.2">
      <c r="Z47043" t="str">
        <f t="shared" ref="Z47043:Z47106" si="735">IF(K47043="","",IFERROR(VALUE(TRIM(MID(K47043,FIND(CHAR(167),SUBSTITUTE(K47043,"-",CHAR(167),LEN(K47043)-LEN(SUBSTITUTE(K47043,"-",""))))+1,100))),K47043))</f>
        <v/>
      </c>
    </row>
    <row r="47044" spans="26:26" x14ac:dyDescent="0.2">
      <c r="Z47044" t="str">
        <f t="shared" si="735"/>
        <v/>
      </c>
    </row>
    <row r="47045" spans="26:26" x14ac:dyDescent="0.2">
      <c r="Z47045" t="str">
        <f t="shared" si="735"/>
        <v/>
      </c>
    </row>
    <row r="47046" spans="26:26" x14ac:dyDescent="0.2">
      <c r="Z47046" t="str">
        <f t="shared" si="735"/>
        <v/>
      </c>
    </row>
    <row r="47047" spans="26:26" x14ac:dyDescent="0.2">
      <c r="Z47047" t="str">
        <f t="shared" si="735"/>
        <v/>
      </c>
    </row>
    <row r="47048" spans="26:26" x14ac:dyDescent="0.2">
      <c r="Z47048" t="str">
        <f t="shared" si="735"/>
        <v/>
      </c>
    </row>
    <row r="47049" spans="26:26" x14ac:dyDescent="0.2">
      <c r="Z47049" t="str">
        <f t="shared" si="735"/>
        <v/>
      </c>
    </row>
    <row r="47050" spans="26:26" x14ac:dyDescent="0.2">
      <c r="Z47050" t="str">
        <f t="shared" si="735"/>
        <v/>
      </c>
    </row>
    <row r="47051" spans="26:26" x14ac:dyDescent="0.2">
      <c r="Z47051" t="str">
        <f t="shared" si="735"/>
        <v/>
      </c>
    </row>
    <row r="47052" spans="26:26" x14ac:dyDescent="0.2">
      <c r="Z47052" t="str">
        <f t="shared" si="735"/>
        <v/>
      </c>
    </row>
    <row r="47053" spans="26:26" x14ac:dyDescent="0.2">
      <c r="Z47053" t="str">
        <f t="shared" si="735"/>
        <v/>
      </c>
    </row>
    <row r="47054" spans="26:26" x14ac:dyDescent="0.2">
      <c r="Z47054" t="str">
        <f t="shared" si="735"/>
        <v/>
      </c>
    </row>
    <row r="47055" spans="26:26" x14ac:dyDescent="0.2">
      <c r="Z47055" t="str">
        <f t="shared" si="735"/>
        <v/>
      </c>
    </row>
    <row r="47056" spans="26:26" x14ac:dyDescent="0.2">
      <c r="Z47056" t="str">
        <f t="shared" si="735"/>
        <v/>
      </c>
    </row>
    <row r="47057" spans="26:26" x14ac:dyDescent="0.2">
      <c r="Z47057" t="str">
        <f t="shared" si="735"/>
        <v/>
      </c>
    </row>
    <row r="47058" spans="26:26" x14ac:dyDescent="0.2">
      <c r="Z47058" t="str">
        <f t="shared" si="735"/>
        <v/>
      </c>
    </row>
    <row r="47059" spans="26:26" x14ac:dyDescent="0.2">
      <c r="Z47059" t="str">
        <f t="shared" si="735"/>
        <v/>
      </c>
    </row>
    <row r="47060" spans="26:26" x14ac:dyDescent="0.2">
      <c r="Z47060" t="str">
        <f t="shared" si="735"/>
        <v/>
      </c>
    </row>
    <row r="47061" spans="26:26" x14ac:dyDescent="0.2">
      <c r="Z47061" t="str">
        <f t="shared" si="735"/>
        <v/>
      </c>
    </row>
    <row r="47062" spans="26:26" x14ac:dyDescent="0.2">
      <c r="Z47062" t="str">
        <f t="shared" si="735"/>
        <v/>
      </c>
    </row>
    <row r="47063" spans="26:26" x14ac:dyDescent="0.2">
      <c r="Z47063" t="str">
        <f t="shared" si="735"/>
        <v/>
      </c>
    </row>
    <row r="47064" spans="26:26" x14ac:dyDescent="0.2">
      <c r="Z47064" t="str">
        <f t="shared" si="735"/>
        <v/>
      </c>
    </row>
    <row r="47065" spans="26:26" x14ac:dyDescent="0.2">
      <c r="Z47065" t="str">
        <f t="shared" si="735"/>
        <v/>
      </c>
    </row>
    <row r="47066" spans="26:26" x14ac:dyDescent="0.2">
      <c r="Z47066" t="str">
        <f t="shared" si="735"/>
        <v/>
      </c>
    </row>
    <row r="47067" spans="26:26" x14ac:dyDescent="0.2">
      <c r="Z47067" t="str">
        <f t="shared" si="735"/>
        <v/>
      </c>
    </row>
    <row r="47068" spans="26:26" x14ac:dyDescent="0.2">
      <c r="Z47068" t="str">
        <f t="shared" si="735"/>
        <v/>
      </c>
    </row>
    <row r="47069" spans="26:26" x14ac:dyDescent="0.2">
      <c r="Z47069" t="str">
        <f t="shared" si="735"/>
        <v/>
      </c>
    </row>
    <row r="47070" spans="26:26" x14ac:dyDescent="0.2">
      <c r="Z47070" t="str">
        <f t="shared" si="735"/>
        <v/>
      </c>
    </row>
    <row r="47071" spans="26:26" x14ac:dyDescent="0.2">
      <c r="Z47071" t="str">
        <f t="shared" si="735"/>
        <v/>
      </c>
    </row>
    <row r="47072" spans="26:26" x14ac:dyDescent="0.2">
      <c r="Z47072" t="str">
        <f t="shared" si="735"/>
        <v/>
      </c>
    </row>
    <row r="47073" spans="26:26" x14ac:dyDescent="0.2">
      <c r="Z47073" t="str">
        <f t="shared" si="735"/>
        <v/>
      </c>
    </row>
    <row r="47074" spans="26:26" x14ac:dyDescent="0.2">
      <c r="Z47074" t="str">
        <f t="shared" si="735"/>
        <v/>
      </c>
    </row>
    <row r="47075" spans="26:26" x14ac:dyDescent="0.2">
      <c r="Z47075" t="str">
        <f t="shared" si="735"/>
        <v/>
      </c>
    </row>
    <row r="47076" spans="26:26" x14ac:dyDescent="0.2">
      <c r="Z47076" t="str">
        <f t="shared" si="735"/>
        <v/>
      </c>
    </row>
    <row r="47077" spans="26:26" x14ac:dyDescent="0.2">
      <c r="Z47077" t="str">
        <f t="shared" si="735"/>
        <v/>
      </c>
    </row>
    <row r="47078" spans="26:26" x14ac:dyDescent="0.2">
      <c r="Z47078" t="str">
        <f t="shared" si="735"/>
        <v/>
      </c>
    </row>
    <row r="47079" spans="26:26" x14ac:dyDescent="0.2">
      <c r="Z47079" t="str">
        <f t="shared" si="735"/>
        <v/>
      </c>
    </row>
    <row r="47080" spans="26:26" x14ac:dyDescent="0.2">
      <c r="Z47080" t="str">
        <f t="shared" si="735"/>
        <v/>
      </c>
    </row>
    <row r="47081" spans="26:26" x14ac:dyDescent="0.2">
      <c r="Z47081" t="str">
        <f t="shared" si="735"/>
        <v/>
      </c>
    </row>
    <row r="47082" spans="26:26" x14ac:dyDescent="0.2">
      <c r="Z47082" t="str">
        <f t="shared" si="735"/>
        <v/>
      </c>
    </row>
    <row r="47083" spans="26:26" x14ac:dyDescent="0.2">
      <c r="Z47083" t="str">
        <f t="shared" si="735"/>
        <v/>
      </c>
    </row>
    <row r="47084" spans="26:26" x14ac:dyDescent="0.2">
      <c r="Z47084" t="str">
        <f t="shared" si="735"/>
        <v/>
      </c>
    </row>
    <row r="47085" spans="26:26" x14ac:dyDescent="0.2">
      <c r="Z47085" t="str">
        <f t="shared" si="735"/>
        <v/>
      </c>
    </row>
    <row r="47086" spans="26:26" x14ac:dyDescent="0.2">
      <c r="Z47086" t="str">
        <f t="shared" si="735"/>
        <v/>
      </c>
    </row>
    <row r="47087" spans="26:26" x14ac:dyDescent="0.2">
      <c r="Z47087" t="str">
        <f t="shared" si="735"/>
        <v/>
      </c>
    </row>
    <row r="47088" spans="26:26" x14ac:dyDescent="0.2">
      <c r="Z47088" t="str">
        <f t="shared" si="735"/>
        <v/>
      </c>
    </row>
    <row r="47089" spans="26:26" x14ac:dyDescent="0.2">
      <c r="Z47089" t="str">
        <f t="shared" si="735"/>
        <v/>
      </c>
    </row>
    <row r="47090" spans="26:26" x14ac:dyDescent="0.2">
      <c r="Z47090" t="str">
        <f t="shared" si="735"/>
        <v/>
      </c>
    </row>
    <row r="47091" spans="26:26" x14ac:dyDescent="0.2">
      <c r="Z47091" t="str">
        <f t="shared" si="735"/>
        <v/>
      </c>
    </row>
    <row r="47092" spans="26:26" x14ac:dyDescent="0.2">
      <c r="Z47092" t="str">
        <f t="shared" si="735"/>
        <v/>
      </c>
    </row>
    <row r="47093" spans="26:26" x14ac:dyDescent="0.2">
      <c r="Z47093" t="str">
        <f t="shared" si="735"/>
        <v/>
      </c>
    </row>
    <row r="47094" spans="26:26" x14ac:dyDescent="0.2">
      <c r="Z47094" t="str">
        <f t="shared" si="735"/>
        <v/>
      </c>
    </row>
    <row r="47095" spans="26:26" x14ac:dyDescent="0.2">
      <c r="Z47095" t="str">
        <f t="shared" si="735"/>
        <v/>
      </c>
    </row>
    <row r="47096" spans="26:26" x14ac:dyDescent="0.2">
      <c r="Z47096" t="str">
        <f t="shared" si="735"/>
        <v/>
      </c>
    </row>
    <row r="47097" spans="26:26" x14ac:dyDescent="0.2">
      <c r="Z47097" t="str">
        <f t="shared" si="735"/>
        <v/>
      </c>
    </row>
    <row r="47098" spans="26:26" x14ac:dyDescent="0.2">
      <c r="Z47098" t="str">
        <f t="shared" si="735"/>
        <v/>
      </c>
    </row>
    <row r="47099" spans="26:26" x14ac:dyDescent="0.2">
      <c r="Z47099" t="str">
        <f t="shared" si="735"/>
        <v/>
      </c>
    </row>
    <row r="47100" spans="26:26" x14ac:dyDescent="0.2">
      <c r="Z47100" t="str">
        <f t="shared" si="735"/>
        <v/>
      </c>
    </row>
    <row r="47101" spans="26:26" x14ac:dyDescent="0.2">
      <c r="Z47101" t="str">
        <f t="shared" si="735"/>
        <v/>
      </c>
    </row>
    <row r="47102" spans="26:26" x14ac:dyDescent="0.2">
      <c r="Z47102" t="str">
        <f t="shared" si="735"/>
        <v/>
      </c>
    </row>
    <row r="47103" spans="26:26" x14ac:dyDescent="0.2">
      <c r="Z47103" t="str">
        <f t="shared" si="735"/>
        <v/>
      </c>
    </row>
    <row r="47104" spans="26:26" x14ac:dyDescent="0.2">
      <c r="Z47104" t="str">
        <f t="shared" si="735"/>
        <v/>
      </c>
    </row>
    <row r="47105" spans="26:26" x14ac:dyDescent="0.2">
      <c r="Z47105" t="str">
        <f t="shared" si="735"/>
        <v/>
      </c>
    </row>
    <row r="47106" spans="26:26" x14ac:dyDescent="0.2">
      <c r="Z47106" t="str">
        <f t="shared" si="735"/>
        <v/>
      </c>
    </row>
    <row r="47107" spans="26:26" x14ac:dyDescent="0.2">
      <c r="Z47107" t="str">
        <f t="shared" ref="Z47107:Z47170" si="736">IF(K47107="","",IFERROR(VALUE(TRIM(MID(K47107,FIND(CHAR(167),SUBSTITUTE(K47107,"-",CHAR(167),LEN(K47107)-LEN(SUBSTITUTE(K47107,"-",""))))+1,100))),K47107))</f>
        <v/>
      </c>
    </row>
    <row r="47108" spans="26:26" x14ac:dyDescent="0.2">
      <c r="Z47108" t="str">
        <f t="shared" si="736"/>
        <v/>
      </c>
    </row>
    <row r="47109" spans="26:26" x14ac:dyDescent="0.2">
      <c r="Z47109" t="str">
        <f t="shared" si="736"/>
        <v/>
      </c>
    </row>
    <row r="47110" spans="26:26" x14ac:dyDescent="0.2">
      <c r="Z47110" t="str">
        <f t="shared" si="736"/>
        <v/>
      </c>
    </row>
    <row r="47111" spans="26:26" x14ac:dyDescent="0.2">
      <c r="Z47111" t="str">
        <f t="shared" si="736"/>
        <v/>
      </c>
    </row>
    <row r="47112" spans="26:26" x14ac:dyDescent="0.2">
      <c r="Z47112" t="str">
        <f t="shared" si="736"/>
        <v/>
      </c>
    </row>
    <row r="47113" spans="26:26" x14ac:dyDescent="0.2">
      <c r="Z47113" t="str">
        <f t="shared" si="736"/>
        <v/>
      </c>
    </row>
    <row r="47114" spans="26:26" x14ac:dyDescent="0.2">
      <c r="Z47114" t="str">
        <f t="shared" si="736"/>
        <v/>
      </c>
    </row>
    <row r="47115" spans="26:26" x14ac:dyDescent="0.2">
      <c r="Z47115" t="str">
        <f t="shared" si="736"/>
        <v/>
      </c>
    </row>
    <row r="47116" spans="26:26" x14ac:dyDescent="0.2">
      <c r="Z47116" t="str">
        <f t="shared" si="736"/>
        <v/>
      </c>
    </row>
    <row r="47117" spans="26:26" x14ac:dyDescent="0.2">
      <c r="Z47117" t="str">
        <f t="shared" si="736"/>
        <v/>
      </c>
    </row>
    <row r="47118" spans="26:26" x14ac:dyDescent="0.2">
      <c r="Z47118" t="str">
        <f t="shared" si="736"/>
        <v/>
      </c>
    </row>
    <row r="47119" spans="26:26" x14ac:dyDescent="0.2">
      <c r="Z47119" t="str">
        <f t="shared" si="736"/>
        <v/>
      </c>
    </row>
    <row r="47120" spans="26:26" x14ac:dyDescent="0.2">
      <c r="Z47120" t="str">
        <f t="shared" si="736"/>
        <v/>
      </c>
    </row>
    <row r="47121" spans="26:26" x14ac:dyDescent="0.2">
      <c r="Z47121" t="str">
        <f t="shared" si="736"/>
        <v/>
      </c>
    </row>
    <row r="47122" spans="26:26" x14ac:dyDescent="0.2">
      <c r="Z47122" t="str">
        <f t="shared" si="736"/>
        <v/>
      </c>
    </row>
    <row r="47123" spans="26:26" x14ac:dyDescent="0.2">
      <c r="Z47123" t="str">
        <f t="shared" si="736"/>
        <v/>
      </c>
    </row>
    <row r="47124" spans="26:26" x14ac:dyDescent="0.2">
      <c r="Z47124" t="str">
        <f t="shared" si="736"/>
        <v/>
      </c>
    </row>
    <row r="47125" spans="26:26" x14ac:dyDescent="0.2">
      <c r="Z47125" t="str">
        <f t="shared" si="736"/>
        <v/>
      </c>
    </row>
    <row r="47126" spans="26:26" x14ac:dyDescent="0.2">
      <c r="Z47126" t="str">
        <f t="shared" si="736"/>
        <v/>
      </c>
    </row>
    <row r="47127" spans="26:26" x14ac:dyDescent="0.2">
      <c r="Z47127" t="str">
        <f t="shared" si="736"/>
        <v/>
      </c>
    </row>
    <row r="47128" spans="26:26" x14ac:dyDescent="0.2">
      <c r="Z47128" t="str">
        <f t="shared" si="736"/>
        <v/>
      </c>
    </row>
    <row r="47129" spans="26:26" x14ac:dyDescent="0.2">
      <c r="Z47129" t="str">
        <f t="shared" si="736"/>
        <v/>
      </c>
    </row>
    <row r="47130" spans="26:26" x14ac:dyDescent="0.2">
      <c r="Z47130" t="str">
        <f t="shared" si="736"/>
        <v/>
      </c>
    </row>
    <row r="47131" spans="26:26" x14ac:dyDescent="0.2">
      <c r="Z47131" t="str">
        <f t="shared" si="736"/>
        <v/>
      </c>
    </row>
    <row r="47132" spans="26:26" x14ac:dyDescent="0.2">
      <c r="Z47132" t="str">
        <f t="shared" si="736"/>
        <v/>
      </c>
    </row>
    <row r="47133" spans="26:26" x14ac:dyDescent="0.2">
      <c r="Z47133" t="str">
        <f t="shared" si="736"/>
        <v/>
      </c>
    </row>
    <row r="47134" spans="26:26" x14ac:dyDescent="0.2">
      <c r="Z47134" t="str">
        <f t="shared" si="736"/>
        <v/>
      </c>
    </row>
    <row r="47135" spans="26:26" x14ac:dyDescent="0.2">
      <c r="Z47135" t="str">
        <f t="shared" si="736"/>
        <v/>
      </c>
    </row>
    <row r="47136" spans="26:26" x14ac:dyDescent="0.2">
      <c r="Z47136" t="str">
        <f t="shared" si="736"/>
        <v/>
      </c>
    </row>
    <row r="47137" spans="26:26" x14ac:dyDescent="0.2">
      <c r="Z47137" t="str">
        <f t="shared" si="736"/>
        <v/>
      </c>
    </row>
    <row r="47138" spans="26:26" x14ac:dyDescent="0.2">
      <c r="Z47138" t="str">
        <f t="shared" si="736"/>
        <v/>
      </c>
    </row>
    <row r="47139" spans="26:26" x14ac:dyDescent="0.2">
      <c r="Z47139" t="str">
        <f t="shared" si="736"/>
        <v/>
      </c>
    </row>
    <row r="47140" spans="26:26" x14ac:dyDescent="0.2">
      <c r="Z47140" t="str">
        <f t="shared" si="736"/>
        <v/>
      </c>
    </row>
    <row r="47141" spans="26:26" x14ac:dyDescent="0.2">
      <c r="Z47141" t="str">
        <f t="shared" si="736"/>
        <v/>
      </c>
    </row>
    <row r="47142" spans="26:26" x14ac:dyDescent="0.2">
      <c r="Z47142" t="str">
        <f t="shared" si="736"/>
        <v/>
      </c>
    </row>
    <row r="47143" spans="26:26" x14ac:dyDescent="0.2">
      <c r="Z47143" t="str">
        <f t="shared" si="736"/>
        <v/>
      </c>
    </row>
    <row r="47144" spans="26:26" x14ac:dyDescent="0.2">
      <c r="Z47144" t="str">
        <f t="shared" si="736"/>
        <v/>
      </c>
    </row>
    <row r="47145" spans="26:26" x14ac:dyDescent="0.2">
      <c r="Z47145" t="str">
        <f t="shared" si="736"/>
        <v/>
      </c>
    </row>
    <row r="47146" spans="26:26" x14ac:dyDescent="0.2">
      <c r="Z47146" t="str">
        <f t="shared" si="736"/>
        <v/>
      </c>
    </row>
    <row r="47147" spans="26:26" x14ac:dyDescent="0.2">
      <c r="Z47147" t="str">
        <f t="shared" si="736"/>
        <v/>
      </c>
    </row>
    <row r="47148" spans="26:26" x14ac:dyDescent="0.2">
      <c r="Z47148" t="str">
        <f t="shared" si="736"/>
        <v/>
      </c>
    </row>
    <row r="47149" spans="26:26" x14ac:dyDescent="0.2">
      <c r="Z47149" t="str">
        <f t="shared" si="736"/>
        <v/>
      </c>
    </row>
    <row r="47150" spans="26:26" x14ac:dyDescent="0.2">
      <c r="Z47150" t="str">
        <f t="shared" si="736"/>
        <v/>
      </c>
    </row>
    <row r="47151" spans="26:26" x14ac:dyDescent="0.2">
      <c r="Z47151" t="str">
        <f t="shared" si="736"/>
        <v/>
      </c>
    </row>
    <row r="47152" spans="26:26" x14ac:dyDescent="0.2">
      <c r="Z47152" t="str">
        <f t="shared" si="736"/>
        <v/>
      </c>
    </row>
    <row r="47153" spans="26:26" x14ac:dyDescent="0.2">
      <c r="Z47153" t="str">
        <f t="shared" si="736"/>
        <v/>
      </c>
    </row>
    <row r="47154" spans="26:26" x14ac:dyDescent="0.2">
      <c r="Z47154" t="str">
        <f t="shared" si="736"/>
        <v/>
      </c>
    </row>
    <row r="47155" spans="26:26" x14ac:dyDescent="0.2">
      <c r="Z47155" t="str">
        <f t="shared" si="736"/>
        <v/>
      </c>
    </row>
    <row r="47156" spans="26:26" x14ac:dyDescent="0.2">
      <c r="Z47156" t="str">
        <f t="shared" si="736"/>
        <v/>
      </c>
    </row>
    <row r="47157" spans="26:26" x14ac:dyDescent="0.2">
      <c r="Z47157" t="str">
        <f t="shared" si="736"/>
        <v/>
      </c>
    </row>
    <row r="47158" spans="26:26" x14ac:dyDescent="0.2">
      <c r="Z47158" t="str">
        <f t="shared" si="736"/>
        <v/>
      </c>
    </row>
    <row r="47159" spans="26:26" x14ac:dyDescent="0.2">
      <c r="Z47159" t="str">
        <f t="shared" si="736"/>
        <v/>
      </c>
    </row>
    <row r="47160" spans="26:26" x14ac:dyDescent="0.2">
      <c r="Z47160" t="str">
        <f t="shared" si="736"/>
        <v/>
      </c>
    </row>
    <row r="47161" spans="26:26" x14ac:dyDescent="0.2">
      <c r="Z47161" t="str">
        <f t="shared" si="736"/>
        <v/>
      </c>
    </row>
    <row r="47162" spans="26:26" x14ac:dyDescent="0.2">
      <c r="Z47162" t="str">
        <f t="shared" si="736"/>
        <v/>
      </c>
    </row>
    <row r="47163" spans="26:26" x14ac:dyDescent="0.2">
      <c r="Z47163" t="str">
        <f t="shared" si="736"/>
        <v/>
      </c>
    </row>
    <row r="47164" spans="26:26" x14ac:dyDescent="0.2">
      <c r="Z47164" t="str">
        <f t="shared" si="736"/>
        <v/>
      </c>
    </row>
    <row r="47165" spans="26:26" x14ac:dyDescent="0.2">
      <c r="Z47165" t="str">
        <f t="shared" si="736"/>
        <v/>
      </c>
    </row>
    <row r="47166" spans="26:26" x14ac:dyDescent="0.2">
      <c r="Z47166" t="str">
        <f t="shared" si="736"/>
        <v/>
      </c>
    </row>
    <row r="47167" spans="26:26" x14ac:dyDescent="0.2">
      <c r="Z47167" t="str">
        <f t="shared" si="736"/>
        <v/>
      </c>
    </row>
    <row r="47168" spans="26:26" x14ac:dyDescent="0.2">
      <c r="Z47168" t="str">
        <f t="shared" si="736"/>
        <v/>
      </c>
    </row>
    <row r="47169" spans="26:26" x14ac:dyDescent="0.2">
      <c r="Z47169" t="str">
        <f t="shared" si="736"/>
        <v/>
      </c>
    </row>
    <row r="47170" spans="26:26" x14ac:dyDescent="0.2">
      <c r="Z47170" t="str">
        <f t="shared" si="736"/>
        <v/>
      </c>
    </row>
    <row r="47171" spans="26:26" x14ac:dyDescent="0.2">
      <c r="Z47171" t="str">
        <f t="shared" ref="Z47171:Z47234" si="737">IF(K47171="","",IFERROR(VALUE(TRIM(MID(K47171,FIND(CHAR(167),SUBSTITUTE(K47171,"-",CHAR(167),LEN(K47171)-LEN(SUBSTITUTE(K47171,"-",""))))+1,100))),K47171))</f>
        <v/>
      </c>
    </row>
    <row r="47172" spans="26:26" x14ac:dyDescent="0.2">
      <c r="Z47172" t="str">
        <f t="shared" si="737"/>
        <v/>
      </c>
    </row>
    <row r="47173" spans="26:26" x14ac:dyDescent="0.2">
      <c r="Z47173" t="str">
        <f t="shared" si="737"/>
        <v/>
      </c>
    </row>
    <row r="47174" spans="26:26" x14ac:dyDescent="0.2">
      <c r="Z47174" t="str">
        <f t="shared" si="737"/>
        <v/>
      </c>
    </row>
    <row r="47175" spans="26:26" x14ac:dyDescent="0.2">
      <c r="Z47175" t="str">
        <f t="shared" si="737"/>
        <v/>
      </c>
    </row>
    <row r="47176" spans="26:26" x14ac:dyDescent="0.2">
      <c r="Z47176" t="str">
        <f t="shared" si="737"/>
        <v/>
      </c>
    </row>
    <row r="47177" spans="26:26" x14ac:dyDescent="0.2">
      <c r="Z47177" t="str">
        <f t="shared" si="737"/>
        <v/>
      </c>
    </row>
    <row r="47178" spans="26:26" x14ac:dyDescent="0.2">
      <c r="Z47178" t="str">
        <f t="shared" si="737"/>
        <v/>
      </c>
    </row>
    <row r="47179" spans="26:26" x14ac:dyDescent="0.2">
      <c r="Z47179" t="str">
        <f t="shared" si="737"/>
        <v/>
      </c>
    </row>
    <row r="47180" spans="26:26" x14ac:dyDescent="0.2">
      <c r="Z47180" t="str">
        <f t="shared" si="737"/>
        <v/>
      </c>
    </row>
    <row r="47181" spans="26:26" x14ac:dyDescent="0.2">
      <c r="Z47181" t="str">
        <f t="shared" si="737"/>
        <v/>
      </c>
    </row>
    <row r="47182" spans="26:26" x14ac:dyDescent="0.2">
      <c r="Z47182" t="str">
        <f t="shared" si="737"/>
        <v/>
      </c>
    </row>
    <row r="47183" spans="26:26" x14ac:dyDescent="0.2">
      <c r="Z47183" t="str">
        <f t="shared" si="737"/>
        <v/>
      </c>
    </row>
    <row r="47184" spans="26:26" x14ac:dyDescent="0.2">
      <c r="Z47184" t="str">
        <f t="shared" si="737"/>
        <v/>
      </c>
    </row>
    <row r="47185" spans="26:26" x14ac:dyDescent="0.2">
      <c r="Z47185" t="str">
        <f t="shared" si="737"/>
        <v/>
      </c>
    </row>
    <row r="47186" spans="26:26" x14ac:dyDescent="0.2">
      <c r="Z47186" t="str">
        <f t="shared" si="737"/>
        <v/>
      </c>
    </row>
    <row r="47187" spans="26:26" x14ac:dyDescent="0.2">
      <c r="Z47187" t="str">
        <f t="shared" si="737"/>
        <v/>
      </c>
    </row>
    <row r="47188" spans="26:26" x14ac:dyDescent="0.2">
      <c r="Z47188" t="str">
        <f t="shared" si="737"/>
        <v/>
      </c>
    </row>
    <row r="47189" spans="26:26" x14ac:dyDescent="0.2">
      <c r="Z47189" t="str">
        <f t="shared" si="737"/>
        <v/>
      </c>
    </row>
    <row r="47190" spans="26:26" x14ac:dyDescent="0.2">
      <c r="Z47190" t="str">
        <f t="shared" si="737"/>
        <v/>
      </c>
    </row>
    <row r="47191" spans="26:26" x14ac:dyDescent="0.2">
      <c r="Z47191" t="str">
        <f t="shared" si="737"/>
        <v/>
      </c>
    </row>
    <row r="47192" spans="26:26" x14ac:dyDescent="0.2">
      <c r="Z47192" t="str">
        <f t="shared" si="737"/>
        <v/>
      </c>
    </row>
    <row r="47193" spans="26:26" x14ac:dyDescent="0.2">
      <c r="Z47193" t="str">
        <f t="shared" si="737"/>
        <v/>
      </c>
    </row>
    <row r="47194" spans="26:26" x14ac:dyDescent="0.2">
      <c r="Z47194" t="str">
        <f t="shared" si="737"/>
        <v/>
      </c>
    </row>
    <row r="47195" spans="26:26" x14ac:dyDescent="0.2">
      <c r="Z47195" t="str">
        <f t="shared" si="737"/>
        <v/>
      </c>
    </row>
    <row r="47196" spans="26:26" x14ac:dyDescent="0.2">
      <c r="Z47196" t="str">
        <f t="shared" si="737"/>
        <v/>
      </c>
    </row>
    <row r="47197" spans="26:26" x14ac:dyDescent="0.2">
      <c r="Z47197" t="str">
        <f t="shared" si="737"/>
        <v/>
      </c>
    </row>
    <row r="47198" spans="26:26" x14ac:dyDescent="0.2">
      <c r="Z47198" t="str">
        <f t="shared" si="737"/>
        <v/>
      </c>
    </row>
    <row r="47199" spans="26:26" x14ac:dyDescent="0.2">
      <c r="Z47199" t="str">
        <f t="shared" si="737"/>
        <v/>
      </c>
    </row>
    <row r="47200" spans="26:26" x14ac:dyDescent="0.2">
      <c r="Z47200" t="str">
        <f t="shared" si="737"/>
        <v/>
      </c>
    </row>
    <row r="47201" spans="26:26" x14ac:dyDescent="0.2">
      <c r="Z47201" t="str">
        <f t="shared" si="737"/>
        <v/>
      </c>
    </row>
    <row r="47202" spans="26:26" x14ac:dyDescent="0.2">
      <c r="Z47202" t="str">
        <f t="shared" si="737"/>
        <v/>
      </c>
    </row>
    <row r="47203" spans="26:26" x14ac:dyDescent="0.2">
      <c r="Z47203" t="str">
        <f t="shared" si="737"/>
        <v/>
      </c>
    </row>
    <row r="47204" spans="26:26" x14ac:dyDescent="0.2">
      <c r="Z47204" t="str">
        <f t="shared" si="737"/>
        <v/>
      </c>
    </row>
    <row r="47205" spans="26:26" x14ac:dyDescent="0.2">
      <c r="Z47205" t="str">
        <f t="shared" si="737"/>
        <v/>
      </c>
    </row>
    <row r="47206" spans="26:26" x14ac:dyDescent="0.2">
      <c r="Z47206" t="str">
        <f t="shared" si="737"/>
        <v/>
      </c>
    </row>
    <row r="47207" spans="26:26" x14ac:dyDescent="0.2">
      <c r="Z47207" t="str">
        <f t="shared" si="737"/>
        <v/>
      </c>
    </row>
    <row r="47208" spans="26:26" x14ac:dyDescent="0.2">
      <c r="Z47208" t="str">
        <f t="shared" si="737"/>
        <v/>
      </c>
    </row>
    <row r="47209" spans="26:26" x14ac:dyDescent="0.2">
      <c r="Z47209" t="str">
        <f t="shared" si="737"/>
        <v/>
      </c>
    </row>
    <row r="47210" spans="26:26" x14ac:dyDescent="0.2">
      <c r="Z47210" t="str">
        <f t="shared" si="737"/>
        <v/>
      </c>
    </row>
    <row r="47211" spans="26:26" x14ac:dyDescent="0.2">
      <c r="Z47211" t="str">
        <f t="shared" si="737"/>
        <v/>
      </c>
    </row>
    <row r="47212" spans="26:26" x14ac:dyDescent="0.2">
      <c r="Z47212" t="str">
        <f t="shared" si="737"/>
        <v/>
      </c>
    </row>
    <row r="47213" spans="26:26" x14ac:dyDescent="0.2">
      <c r="Z47213" t="str">
        <f t="shared" si="737"/>
        <v/>
      </c>
    </row>
    <row r="47214" spans="26:26" x14ac:dyDescent="0.2">
      <c r="Z47214" t="str">
        <f t="shared" si="737"/>
        <v/>
      </c>
    </row>
    <row r="47215" spans="26:26" x14ac:dyDescent="0.2">
      <c r="Z47215" t="str">
        <f t="shared" si="737"/>
        <v/>
      </c>
    </row>
    <row r="47216" spans="26:26" x14ac:dyDescent="0.2">
      <c r="Z47216" t="str">
        <f t="shared" si="737"/>
        <v/>
      </c>
    </row>
    <row r="47217" spans="26:26" x14ac:dyDescent="0.2">
      <c r="Z47217" t="str">
        <f t="shared" si="737"/>
        <v/>
      </c>
    </row>
    <row r="47218" spans="26:26" x14ac:dyDescent="0.2">
      <c r="Z47218" t="str">
        <f t="shared" si="737"/>
        <v/>
      </c>
    </row>
    <row r="47219" spans="26:26" x14ac:dyDescent="0.2">
      <c r="Z47219" t="str">
        <f t="shared" si="737"/>
        <v/>
      </c>
    </row>
    <row r="47220" spans="26:26" x14ac:dyDescent="0.2">
      <c r="Z47220" t="str">
        <f t="shared" si="737"/>
        <v/>
      </c>
    </row>
    <row r="47221" spans="26:26" x14ac:dyDescent="0.2">
      <c r="Z47221" t="str">
        <f t="shared" si="737"/>
        <v/>
      </c>
    </row>
    <row r="47222" spans="26:26" x14ac:dyDescent="0.2">
      <c r="Z47222" t="str">
        <f t="shared" si="737"/>
        <v/>
      </c>
    </row>
    <row r="47223" spans="26:26" x14ac:dyDescent="0.2">
      <c r="Z47223" t="str">
        <f t="shared" si="737"/>
        <v/>
      </c>
    </row>
    <row r="47224" spans="26:26" x14ac:dyDescent="0.2">
      <c r="Z47224" t="str">
        <f t="shared" si="737"/>
        <v/>
      </c>
    </row>
    <row r="47225" spans="26:26" x14ac:dyDescent="0.2">
      <c r="Z47225" t="str">
        <f t="shared" si="737"/>
        <v/>
      </c>
    </row>
    <row r="47226" spans="26:26" x14ac:dyDescent="0.2">
      <c r="Z47226" t="str">
        <f t="shared" si="737"/>
        <v/>
      </c>
    </row>
    <row r="47227" spans="26:26" x14ac:dyDescent="0.2">
      <c r="Z47227" t="str">
        <f t="shared" si="737"/>
        <v/>
      </c>
    </row>
    <row r="47228" spans="26:26" x14ac:dyDescent="0.2">
      <c r="Z47228" t="str">
        <f t="shared" si="737"/>
        <v/>
      </c>
    </row>
    <row r="47229" spans="26:26" x14ac:dyDescent="0.2">
      <c r="Z47229" t="str">
        <f t="shared" si="737"/>
        <v/>
      </c>
    </row>
    <row r="47230" spans="26:26" x14ac:dyDescent="0.2">
      <c r="Z47230" t="str">
        <f t="shared" si="737"/>
        <v/>
      </c>
    </row>
    <row r="47231" spans="26:26" x14ac:dyDescent="0.2">
      <c r="Z47231" t="str">
        <f t="shared" si="737"/>
        <v/>
      </c>
    </row>
    <row r="47232" spans="26:26" x14ac:dyDescent="0.2">
      <c r="Z47232" t="str">
        <f t="shared" si="737"/>
        <v/>
      </c>
    </row>
    <row r="47233" spans="26:26" x14ac:dyDescent="0.2">
      <c r="Z47233" t="str">
        <f t="shared" si="737"/>
        <v/>
      </c>
    </row>
    <row r="47234" spans="26:26" x14ac:dyDescent="0.2">
      <c r="Z47234" t="str">
        <f t="shared" si="737"/>
        <v/>
      </c>
    </row>
    <row r="47235" spans="26:26" x14ac:dyDescent="0.2">
      <c r="Z47235" t="str">
        <f t="shared" ref="Z47235:Z47298" si="738">IF(K47235="","",IFERROR(VALUE(TRIM(MID(K47235,FIND(CHAR(167),SUBSTITUTE(K47235,"-",CHAR(167),LEN(K47235)-LEN(SUBSTITUTE(K47235,"-",""))))+1,100))),K47235))</f>
        <v/>
      </c>
    </row>
    <row r="47236" spans="26:26" x14ac:dyDescent="0.2">
      <c r="Z47236" t="str">
        <f t="shared" si="738"/>
        <v/>
      </c>
    </row>
    <row r="47237" spans="26:26" x14ac:dyDescent="0.2">
      <c r="Z47237" t="str">
        <f t="shared" si="738"/>
        <v/>
      </c>
    </row>
    <row r="47238" spans="26:26" x14ac:dyDescent="0.2">
      <c r="Z47238" t="str">
        <f t="shared" si="738"/>
        <v/>
      </c>
    </row>
    <row r="47239" spans="26:26" x14ac:dyDescent="0.2">
      <c r="Z47239" t="str">
        <f t="shared" si="738"/>
        <v/>
      </c>
    </row>
    <row r="47240" spans="26:26" x14ac:dyDescent="0.2">
      <c r="Z47240" t="str">
        <f t="shared" si="738"/>
        <v/>
      </c>
    </row>
    <row r="47241" spans="26:26" x14ac:dyDescent="0.2">
      <c r="Z47241" t="str">
        <f t="shared" si="738"/>
        <v/>
      </c>
    </row>
    <row r="47242" spans="26:26" x14ac:dyDescent="0.2">
      <c r="Z47242" t="str">
        <f t="shared" si="738"/>
        <v/>
      </c>
    </row>
    <row r="47243" spans="26:26" x14ac:dyDescent="0.2">
      <c r="Z47243" t="str">
        <f t="shared" si="738"/>
        <v/>
      </c>
    </row>
    <row r="47244" spans="26:26" x14ac:dyDescent="0.2">
      <c r="Z47244" t="str">
        <f t="shared" si="738"/>
        <v/>
      </c>
    </row>
    <row r="47245" spans="26:26" x14ac:dyDescent="0.2">
      <c r="Z47245" t="str">
        <f t="shared" si="738"/>
        <v/>
      </c>
    </row>
    <row r="47246" spans="26:26" x14ac:dyDescent="0.2">
      <c r="Z47246" t="str">
        <f t="shared" si="738"/>
        <v/>
      </c>
    </row>
    <row r="47247" spans="26:26" x14ac:dyDescent="0.2">
      <c r="Z47247" t="str">
        <f t="shared" si="738"/>
        <v/>
      </c>
    </row>
    <row r="47248" spans="26:26" x14ac:dyDescent="0.2">
      <c r="Z47248" t="str">
        <f t="shared" si="738"/>
        <v/>
      </c>
    </row>
    <row r="47249" spans="26:26" x14ac:dyDescent="0.2">
      <c r="Z47249" t="str">
        <f t="shared" si="738"/>
        <v/>
      </c>
    </row>
    <row r="47250" spans="26:26" x14ac:dyDescent="0.2">
      <c r="Z47250" t="str">
        <f t="shared" si="738"/>
        <v/>
      </c>
    </row>
    <row r="47251" spans="26:26" x14ac:dyDescent="0.2">
      <c r="Z47251" t="str">
        <f t="shared" si="738"/>
        <v/>
      </c>
    </row>
    <row r="47252" spans="26:26" x14ac:dyDescent="0.2">
      <c r="Z47252" t="str">
        <f t="shared" si="738"/>
        <v/>
      </c>
    </row>
    <row r="47253" spans="26:26" x14ac:dyDescent="0.2">
      <c r="Z47253" t="str">
        <f t="shared" si="738"/>
        <v/>
      </c>
    </row>
    <row r="47254" spans="26:26" x14ac:dyDescent="0.2">
      <c r="Z47254" t="str">
        <f t="shared" si="738"/>
        <v/>
      </c>
    </row>
    <row r="47255" spans="26:26" x14ac:dyDescent="0.2">
      <c r="Z47255" t="str">
        <f t="shared" si="738"/>
        <v/>
      </c>
    </row>
    <row r="47256" spans="26:26" x14ac:dyDescent="0.2">
      <c r="Z47256" t="str">
        <f t="shared" si="738"/>
        <v/>
      </c>
    </row>
    <row r="47257" spans="26:26" x14ac:dyDescent="0.2">
      <c r="Z47257" t="str">
        <f t="shared" si="738"/>
        <v/>
      </c>
    </row>
    <row r="47258" spans="26:26" x14ac:dyDescent="0.2">
      <c r="Z47258" t="str">
        <f t="shared" si="738"/>
        <v/>
      </c>
    </row>
    <row r="47259" spans="26:26" x14ac:dyDescent="0.2">
      <c r="Z47259" t="str">
        <f t="shared" si="738"/>
        <v/>
      </c>
    </row>
    <row r="47260" spans="26:26" x14ac:dyDescent="0.2">
      <c r="Z47260" t="str">
        <f t="shared" si="738"/>
        <v/>
      </c>
    </row>
    <row r="47261" spans="26:26" x14ac:dyDescent="0.2">
      <c r="Z47261" t="str">
        <f t="shared" si="738"/>
        <v/>
      </c>
    </row>
    <row r="47262" spans="26:26" x14ac:dyDescent="0.2">
      <c r="Z47262" t="str">
        <f t="shared" si="738"/>
        <v/>
      </c>
    </row>
    <row r="47263" spans="26:26" x14ac:dyDescent="0.2">
      <c r="Z47263" t="str">
        <f t="shared" si="738"/>
        <v/>
      </c>
    </row>
    <row r="47264" spans="26:26" x14ac:dyDescent="0.2">
      <c r="Z47264" t="str">
        <f t="shared" si="738"/>
        <v/>
      </c>
    </row>
    <row r="47265" spans="26:26" x14ac:dyDescent="0.2">
      <c r="Z47265" t="str">
        <f t="shared" si="738"/>
        <v/>
      </c>
    </row>
    <row r="47266" spans="26:26" x14ac:dyDescent="0.2">
      <c r="Z47266" t="str">
        <f t="shared" si="738"/>
        <v/>
      </c>
    </row>
    <row r="47267" spans="26:26" x14ac:dyDescent="0.2">
      <c r="Z47267" t="str">
        <f t="shared" si="738"/>
        <v/>
      </c>
    </row>
    <row r="47268" spans="26:26" x14ac:dyDescent="0.2">
      <c r="Z47268" t="str">
        <f t="shared" si="738"/>
        <v/>
      </c>
    </row>
    <row r="47269" spans="26:26" x14ac:dyDescent="0.2">
      <c r="Z47269" t="str">
        <f t="shared" si="738"/>
        <v/>
      </c>
    </row>
    <row r="47270" spans="26:26" x14ac:dyDescent="0.2">
      <c r="Z47270" t="str">
        <f t="shared" si="738"/>
        <v/>
      </c>
    </row>
    <row r="47271" spans="26:26" x14ac:dyDescent="0.2">
      <c r="Z47271" t="str">
        <f t="shared" si="738"/>
        <v/>
      </c>
    </row>
    <row r="47272" spans="26:26" x14ac:dyDescent="0.2">
      <c r="Z47272" t="str">
        <f t="shared" si="738"/>
        <v/>
      </c>
    </row>
    <row r="47273" spans="26:26" x14ac:dyDescent="0.2">
      <c r="Z47273" t="str">
        <f t="shared" si="738"/>
        <v/>
      </c>
    </row>
    <row r="47274" spans="26:26" x14ac:dyDescent="0.2">
      <c r="Z47274" t="str">
        <f t="shared" si="738"/>
        <v/>
      </c>
    </row>
    <row r="47275" spans="26:26" x14ac:dyDescent="0.2">
      <c r="Z47275" t="str">
        <f t="shared" si="738"/>
        <v/>
      </c>
    </row>
    <row r="47276" spans="26:26" x14ac:dyDescent="0.2">
      <c r="Z47276" t="str">
        <f t="shared" si="738"/>
        <v/>
      </c>
    </row>
    <row r="47277" spans="26:26" x14ac:dyDescent="0.2">
      <c r="Z47277" t="str">
        <f t="shared" si="738"/>
        <v/>
      </c>
    </row>
    <row r="47278" spans="26:26" x14ac:dyDescent="0.2">
      <c r="Z47278" t="str">
        <f t="shared" si="738"/>
        <v/>
      </c>
    </row>
    <row r="47279" spans="26:26" x14ac:dyDescent="0.2">
      <c r="Z47279" t="str">
        <f t="shared" si="738"/>
        <v/>
      </c>
    </row>
    <row r="47280" spans="26:26" x14ac:dyDescent="0.2">
      <c r="Z47280" t="str">
        <f t="shared" si="738"/>
        <v/>
      </c>
    </row>
    <row r="47281" spans="26:26" x14ac:dyDescent="0.2">
      <c r="Z47281" t="str">
        <f t="shared" si="738"/>
        <v/>
      </c>
    </row>
    <row r="47282" spans="26:26" x14ac:dyDescent="0.2">
      <c r="Z47282" t="str">
        <f t="shared" si="738"/>
        <v/>
      </c>
    </row>
    <row r="47283" spans="26:26" x14ac:dyDescent="0.2">
      <c r="Z47283" t="str">
        <f t="shared" si="738"/>
        <v/>
      </c>
    </row>
    <row r="47284" spans="26:26" x14ac:dyDescent="0.2">
      <c r="Z47284" t="str">
        <f t="shared" si="738"/>
        <v/>
      </c>
    </row>
    <row r="47285" spans="26:26" x14ac:dyDescent="0.2">
      <c r="Z47285" t="str">
        <f t="shared" si="738"/>
        <v/>
      </c>
    </row>
    <row r="47286" spans="26:26" x14ac:dyDescent="0.2">
      <c r="Z47286" t="str">
        <f t="shared" si="738"/>
        <v/>
      </c>
    </row>
    <row r="47287" spans="26:26" x14ac:dyDescent="0.2">
      <c r="Z47287" t="str">
        <f t="shared" si="738"/>
        <v/>
      </c>
    </row>
    <row r="47288" spans="26:26" x14ac:dyDescent="0.2">
      <c r="Z47288" t="str">
        <f t="shared" si="738"/>
        <v/>
      </c>
    </row>
    <row r="47289" spans="26:26" x14ac:dyDescent="0.2">
      <c r="Z47289" t="str">
        <f t="shared" si="738"/>
        <v/>
      </c>
    </row>
    <row r="47290" spans="26:26" x14ac:dyDescent="0.2">
      <c r="Z47290" t="str">
        <f t="shared" si="738"/>
        <v/>
      </c>
    </row>
    <row r="47291" spans="26:26" x14ac:dyDescent="0.2">
      <c r="Z47291" t="str">
        <f t="shared" si="738"/>
        <v/>
      </c>
    </row>
    <row r="47292" spans="26:26" x14ac:dyDescent="0.2">
      <c r="Z47292" t="str">
        <f t="shared" si="738"/>
        <v/>
      </c>
    </row>
    <row r="47293" spans="26:26" x14ac:dyDescent="0.2">
      <c r="Z47293" t="str">
        <f t="shared" si="738"/>
        <v/>
      </c>
    </row>
    <row r="47294" spans="26:26" x14ac:dyDescent="0.2">
      <c r="Z47294" t="str">
        <f t="shared" si="738"/>
        <v/>
      </c>
    </row>
    <row r="47295" spans="26:26" x14ac:dyDescent="0.2">
      <c r="Z47295" t="str">
        <f t="shared" si="738"/>
        <v/>
      </c>
    </row>
    <row r="47296" spans="26:26" x14ac:dyDescent="0.2">
      <c r="Z47296" t="str">
        <f t="shared" si="738"/>
        <v/>
      </c>
    </row>
    <row r="47297" spans="26:26" x14ac:dyDescent="0.2">
      <c r="Z47297" t="str">
        <f t="shared" si="738"/>
        <v/>
      </c>
    </row>
    <row r="47298" spans="26:26" x14ac:dyDescent="0.2">
      <c r="Z47298" t="str">
        <f t="shared" si="738"/>
        <v/>
      </c>
    </row>
    <row r="47299" spans="26:26" x14ac:dyDescent="0.2">
      <c r="Z47299" t="str">
        <f t="shared" ref="Z47299:Z47362" si="739">IF(K47299="","",IFERROR(VALUE(TRIM(MID(K47299,FIND(CHAR(167),SUBSTITUTE(K47299,"-",CHAR(167),LEN(K47299)-LEN(SUBSTITUTE(K47299,"-",""))))+1,100))),K47299))</f>
        <v/>
      </c>
    </row>
    <row r="47300" spans="26:26" x14ac:dyDescent="0.2">
      <c r="Z47300" t="str">
        <f t="shared" si="739"/>
        <v/>
      </c>
    </row>
    <row r="47301" spans="26:26" x14ac:dyDescent="0.2">
      <c r="Z47301" t="str">
        <f t="shared" si="739"/>
        <v/>
      </c>
    </row>
    <row r="47302" spans="26:26" x14ac:dyDescent="0.2">
      <c r="Z47302" t="str">
        <f t="shared" si="739"/>
        <v/>
      </c>
    </row>
    <row r="47303" spans="26:26" x14ac:dyDescent="0.2">
      <c r="Z47303" t="str">
        <f t="shared" si="739"/>
        <v/>
      </c>
    </row>
    <row r="47304" spans="26:26" x14ac:dyDescent="0.2">
      <c r="Z47304" t="str">
        <f t="shared" si="739"/>
        <v/>
      </c>
    </row>
    <row r="47305" spans="26:26" x14ac:dyDescent="0.2">
      <c r="Z47305" t="str">
        <f t="shared" si="739"/>
        <v/>
      </c>
    </row>
    <row r="47306" spans="26:26" x14ac:dyDescent="0.2">
      <c r="Z47306" t="str">
        <f t="shared" si="739"/>
        <v/>
      </c>
    </row>
    <row r="47307" spans="26:26" x14ac:dyDescent="0.2">
      <c r="Z47307" t="str">
        <f t="shared" si="739"/>
        <v/>
      </c>
    </row>
    <row r="47308" spans="26:26" x14ac:dyDescent="0.2">
      <c r="Z47308" t="str">
        <f t="shared" si="739"/>
        <v/>
      </c>
    </row>
    <row r="47309" spans="26:26" x14ac:dyDescent="0.2">
      <c r="Z47309" t="str">
        <f t="shared" si="739"/>
        <v/>
      </c>
    </row>
    <row r="47310" spans="26:26" x14ac:dyDescent="0.2">
      <c r="Z47310" t="str">
        <f t="shared" si="739"/>
        <v/>
      </c>
    </row>
    <row r="47311" spans="26:26" x14ac:dyDescent="0.2">
      <c r="Z47311" t="str">
        <f t="shared" si="739"/>
        <v/>
      </c>
    </row>
    <row r="47312" spans="26:26" x14ac:dyDescent="0.2">
      <c r="Z47312" t="str">
        <f t="shared" si="739"/>
        <v/>
      </c>
    </row>
    <row r="47313" spans="26:26" x14ac:dyDescent="0.2">
      <c r="Z47313" t="str">
        <f t="shared" si="739"/>
        <v/>
      </c>
    </row>
    <row r="47314" spans="26:26" x14ac:dyDescent="0.2">
      <c r="Z47314" t="str">
        <f t="shared" si="739"/>
        <v/>
      </c>
    </row>
    <row r="47315" spans="26:26" x14ac:dyDescent="0.2">
      <c r="Z47315" t="str">
        <f t="shared" si="739"/>
        <v/>
      </c>
    </row>
    <row r="47316" spans="26:26" x14ac:dyDescent="0.2">
      <c r="Z47316" t="str">
        <f t="shared" si="739"/>
        <v/>
      </c>
    </row>
    <row r="47317" spans="26:26" x14ac:dyDescent="0.2">
      <c r="Z47317" t="str">
        <f t="shared" si="739"/>
        <v/>
      </c>
    </row>
    <row r="47318" spans="26:26" x14ac:dyDescent="0.2">
      <c r="Z47318" t="str">
        <f t="shared" si="739"/>
        <v/>
      </c>
    </row>
    <row r="47319" spans="26:26" x14ac:dyDescent="0.2">
      <c r="Z47319" t="str">
        <f t="shared" si="739"/>
        <v/>
      </c>
    </row>
    <row r="47320" spans="26:26" x14ac:dyDescent="0.2">
      <c r="Z47320" t="str">
        <f t="shared" si="739"/>
        <v/>
      </c>
    </row>
    <row r="47321" spans="26:26" x14ac:dyDescent="0.2">
      <c r="Z47321" t="str">
        <f t="shared" si="739"/>
        <v/>
      </c>
    </row>
    <row r="47322" spans="26:26" x14ac:dyDescent="0.2">
      <c r="Z47322" t="str">
        <f t="shared" si="739"/>
        <v/>
      </c>
    </row>
    <row r="47323" spans="26:26" x14ac:dyDescent="0.2">
      <c r="Z47323" t="str">
        <f t="shared" si="739"/>
        <v/>
      </c>
    </row>
    <row r="47324" spans="26:26" x14ac:dyDescent="0.2">
      <c r="Z47324" t="str">
        <f t="shared" si="739"/>
        <v/>
      </c>
    </row>
    <row r="47325" spans="26:26" x14ac:dyDescent="0.2">
      <c r="Z47325" t="str">
        <f t="shared" si="739"/>
        <v/>
      </c>
    </row>
    <row r="47326" spans="26:26" x14ac:dyDescent="0.2">
      <c r="Z47326" t="str">
        <f t="shared" si="739"/>
        <v/>
      </c>
    </row>
    <row r="47327" spans="26:26" x14ac:dyDescent="0.2">
      <c r="Z47327" t="str">
        <f t="shared" si="739"/>
        <v/>
      </c>
    </row>
    <row r="47328" spans="26:26" x14ac:dyDescent="0.2">
      <c r="Z47328" t="str">
        <f t="shared" si="739"/>
        <v/>
      </c>
    </row>
    <row r="47329" spans="26:26" x14ac:dyDescent="0.2">
      <c r="Z47329" t="str">
        <f t="shared" si="739"/>
        <v/>
      </c>
    </row>
    <row r="47330" spans="26:26" x14ac:dyDescent="0.2">
      <c r="Z47330" t="str">
        <f t="shared" si="739"/>
        <v/>
      </c>
    </row>
    <row r="47331" spans="26:26" x14ac:dyDescent="0.2">
      <c r="Z47331" t="str">
        <f t="shared" si="739"/>
        <v/>
      </c>
    </row>
    <row r="47332" spans="26:26" x14ac:dyDescent="0.2">
      <c r="Z47332" t="str">
        <f t="shared" si="739"/>
        <v/>
      </c>
    </row>
    <row r="47333" spans="26:26" x14ac:dyDescent="0.2">
      <c r="Z47333" t="str">
        <f t="shared" si="739"/>
        <v/>
      </c>
    </row>
    <row r="47334" spans="26:26" x14ac:dyDescent="0.2">
      <c r="Z47334" t="str">
        <f t="shared" si="739"/>
        <v/>
      </c>
    </row>
    <row r="47335" spans="26:26" x14ac:dyDescent="0.2">
      <c r="Z47335" t="str">
        <f t="shared" si="739"/>
        <v/>
      </c>
    </row>
    <row r="47336" spans="26:26" x14ac:dyDescent="0.2">
      <c r="Z47336" t="str">
        <f t="shared" si="739"/>
        <v/>
      </c>
    </row>
    <row r="47337" spans="26:26" x14ac:dyDescent="0.2">
      <c r="Z47337" t="str">
        <f t="shared" si="739"/>
        <v/>
      </c>
    </row>
    <row r="47338" spans="26:26" x14ac:dyDescent="0.2">
      <c r="Z47338" t="str">
        <f t="shared" si="739"/>
        <v/>
      </c>
    </row>
    <row r="47339" spans="26:26" x14ac:dyDescent="0.2">
      <c r="Z47339" t="str">
        <f t="shared" si="739"/>
        <v/>
      </c>
    </row>
    <row r="47340" spans="26:26" x14ac:dyDescent="0.2">
      <c r="Z47340" t="str">
        <f t="shared" si="739"/>
        <v/>
      </c>
    </row>
    <row r="47341" spans="26:26" x14ac:dyDescent="0.2">
      <c r="Z47341" t="str">
        <f t="shared" si="739"/>
        <v/>
      </c>
    </row>
    <row r="47342" spans="26:26" x14ac:dyDescent="0.2">
      <c r="Z47342" t="str">
        <f t="shared" si="739"/>
        <v/>
      </c>
    </row>
    <row r="47343" spans="26:26" x14ac:dyDescent="0.2">
      <c r="Z47343" t="str">
        <f t="shared" si="739"/>
        <v/>
      </c>
    </row>
    <row r="47344" spans="26:26" x14ac:dyDescent="0.2">
      <c r="Z47344" t="str">
        <f t="shared" si="739"/>
        <v/>
      </c>
    </row>
    <row r="47345" spans="26:26" x14ac:dyDescent="0.2">
      <c r="Z47345" t="str">
        <f t="shared" si="739"/>
        <v/>
      </c>
    </row>
    <row r="47346" spans="26:26" x14ac:dyDescent="0.2">
      <c r="Z47346" t="str">
        <f t="shared" si="739"/>
        <v/>
      </c>
    </row>
    <row r="47347" spans="26:26" x14ac:dyDescent="0.2">
      <c r="Z47347" t="str">
        <f t="shared" si="739"/>
        <v/>
      </c>
    </row>
    <row r="47348" spans="26:26" x14ac:dyDescent="0.2">
      <c r="Z47348" t="str">
        <f t="shared" si="739"/>
        <v/>
      </c>
    </row>
    <row r="47349" spans="26:26" x14ac:dyDescent="0.2">
      <c r="Z47349" t="str">
        <f t="shared" si="739"/>
        <v/>
      </c>
    </row>
    <row r="47350" spans="26:26" x14ac:dyDescent="0.2">
      <c r="Z47350" t="str">
        <f t="shared" si="739"/>
        <v/>
      </c>
    </row>
    <row r="47351" spans="26:26" x14ac:dyDescent="0.2">
      <c r="Z47351" t="str">
        <f t="shared" si="739"/>
        <v/>
      </c>
    </row>
    <row r="47352" spans="26:26" x14ac:dyDescent="0.2">
      <c r="Z47352" t="str">
        <f t="shared" si="739"/>
        <v/>
      </c>
    </row>
    <row r="47353" spans="26:26" x14ac:dyDescent="0.2">
      <c r="Z47353" t="str">
        <f t="shared" si="739"/>
        <v/>
      </c>
    </row>
    <row r="47354" spans="26:26" x14ac:dyDescent="0.2">
      <c r="Z47354" t="str">
        <f t="shared" si="739"/>
        <v/>
      </c>
    </row>
    <row r="47355" spans="26:26" x14ac:dyDescent="0.2">
      <c r="Z47355" t="str">
        <f t="shared" si="739"/>
        <v/>
      </c>
    </row>
    <row r="47356" spans="26:26" x14ac:dyDescent="0.2">
      <c r="Z47356" t="str">
        <f t="shared" si="739"/>
        <v/>
      </c>
    </row>
    <row r="47357" spans="26:26" x14ac:dyDescent="0.2">
      <c r="Z47357" t="str">
        <f t="shared" si="739"/>
        <v/>
      </c>
    </row>
    <row r="47358" spans="26:26" x14ac:dyDescent="0.2">
      <c r="Z47358" t="str">
        <f t="shared" si="739"/>
        <v/>
      </c>
    </row>
    <row r="47359" spans="26:26" x14ac:dyDescent="0.2">
      <c r="Z47359" t="str">
        <f t="shared" si="739"/>
        <v/>
      </c>
    </row>
    <row r="47360" spans="26:26" x14ac:dyDescent="0.2">
      <c r="Z47360" t="str">
        <f t="shared" si="739"/>
        <v/>
      </c>
    </row>
    <row r="47361" spans="26:26" x14ac:dyDescent="0.2">
      <c r="Z47361" t="str">
        <f t="shared" si="739"/>
        <v/>
      </c>
    </row>
    <row r="47362" spans="26:26" x14ac:dyDescent="0.2">
      <c r="Z47362" t="str">
        <f t="shared" si="739"/>
        <v/>
      </c>
    </row>
    <row r="47363" spans="26:26" x14ac:dyDescent="0.2">
      <c r="Z47363" t="str">
        <f t="shared" ref="Z47363:Z47426" si="740">IF(K47363="","",IFERROR(VALUE(TRIM(MID(K47363,FIND(CHAR(167),SUBSTITUTE(K47363,"-",CHAR(167),LEN(K47363)-LEN(SUBSTITUTE(K47363,"-",""))))+1,100))),K47363))</f>
        <v/>
      </c>
    </row>
    <row r="47364" spans="26:26" x14ac:dyDescent="0.2">
      <c r="Z47364" t="str">
        <f t="shared" si="740"/>
        <v/>
      </c>
    </row>
    <row r="47365" spans="26:26" x14ac:dyDescent="0.2">
      <c r="Z47365" t="str">
        <f t="shared" si="740"/>
        <v/>
      </c>
    </row>
    <row r="47366" spans="26:26" x14ac:dyDescent="0.2">
      <c r="Z47366" t="str">
        <f t="shared" si="740"/>
        <v/>
      </c>
    </row>
    <row r="47367" spans="26:26" x14ac:dyDescent="0.2">
      <c r="Z47367" t="str">
        <f t="shared" si="740"/>
        <v/>
      </c>
    </row>
    <row r="47368" spans="26:26" x14ac:dyDescent="0.2">
      <c r="Z47368" t="str">
        <f t="shared" si="740"/>
        <v/>
      </c>
    </row>
    <row r="47369" spans="26:26" x14ac:dyDescent="0.2">
      <c r="Z47369" t="str">
        <f t="shared" si="740"/>
        <v/>
      </c>
    </row>
    <row r="47370" spans="26:26" x14ac:dyDescent="0.2">
      <c r="Z47370" t="str">
        <f t="shared" si="740"/>
        <v/>
      </c>
    </row>
    <row r="47371" spans="26:26" x14ac:dyDescent="0.2">
      <c r="Z47371" t="str">
        <f t="shared" si="740"/>
        <v/>
      </c>
    </row>
    <row r="47372" spans="26:26" x14ac:dyDescent="0.2">
      <c r="Z47372" t="str">
        <f t="shared" si="740"/>
        <v/>
      </c>
    </row>
    <row r="47373" spans="26:26" x14ac:dyDescent="0.2">
      <c r="Z47373" t="str">
        <f t="shared" si="740"/>
        <v/>
      </c>
    </row>
    <row r="47374" spans="26:26" x14ac:dyDescent="0.2">
      <c r="Z47374" t="str">
        <f t="shared" si="740"/>
        <v/>
      </c>
    </row>
    <row r="47375" spans="26:26" x14ac:dyDescent="0.2">
      <c r="Z47375" t="str">
        <f t="shared" si="740"/>
        <v/>
      </c>
    </row>
    <row r="47376" spans="26:26" x14ac:dyDescent="0.2">
      <c r="Z47376" t="str">
        <f t="shared" si="740"/>
        <v/>
      </c>
    </row>
    <row r="47377" spans="26:26" x14ac:dyDescent="0.2">
      <c r="Z47377" t="str">
        <f t="shared" si="740"/>
        <v/>
      </c>
    </row>
    <row r="47378" spans="26:26" x14ac:dyDescent="0.2">
      <c r="Z47378" t="str">
        <f t="shared" si="740"/>
        <v/>
      </c>
    </row>
    <row r="47379" spans="26:26" x14ac:dyDescent="0.2">
      <c r="Z47379" t="str">
        <f t="shared" si="740"/>
        <v/>
      </c>
    </row>
    <row r="47380" spans="26:26" x14ac:dyDescent="0.2">
      <c r="Z47380" t="str">
        <f t="shared" si="740"/>
        <v/>
      </c>
    </row>
    <row r="47381" spans="26:26" x14ac:dyDescent="0.2">
      <c r="Z47381" t="str">
        <f t="shared" si="740"/>
        <v/>
      </c>
    </row>
    <row r="47382" spans="26:26" x14ac:dyDescent="0.2">
      <c r="Z47382" t="str">
        <f t="shared" si="740"/>
        <v/>
      </c>
    </row>
    <row r="47383" spans="26:26" x14ac:dyDescent="0.2">
      <c r="Z47383" t="str">
        <f t="shared" si="740"/>
        <v/>
      </c>
    </row>
    <row r="47384" spans="26:26" x14ac:dyDescent="0.2">
      <c r="Z47384" t="str">
        <f t="shared" si="740"/>
        <v/>
      </c>
    </row>
    <row r="47385" spans="26:26" x14ac:dyDescent="0.2">
      <c r="Z47385" t="str">
        <f t="shared" si="740"/>
        <v/>
      </c>
    </row>
    <row r="47386" spans="26:26" x14ac:dyDescent="0.2">
      <c r="Z47386" t="str">
        <f t="shared" si="740"/>
        <v/>
      </c>
    </row>
    <row r="47387" spans="26:26" x14ac:dyDescent="0.2">
      <c r="Z47387" t="str">
        <f t="shared" si="740"/>
        <v/>
      </c>
    </row>
    <row r="47388" spans="26:26" x14ac:dyDescent="0.2">
      <c r="Z47388" t="str">
        <f t="shared" si="740"/>
        <v/>
      </c>
    </row>
    <row r="47389" spans="26:26" x14ac:dyDescent="0.2">
      <c r="Z47389" t="str">
        <f t="shared" si="740"/>
        <v/>
      </c>
    </row>
    <row r="47390" spans="26:26" x14ac:dyDescent="0.2">
      <c r="Z47390" t="str">
        <f t="shared" si="740"/>
        <v/>
      </c>
    </row>
    <row r="47391" spans="26:26" x14ac:dyDescent="0.2">
      <c r="Z47391" t="str">
        <f t="shared" si="740"/>
        <v/>
      </c>
    </row>
    <row r="47392" spans="26:26" x14ac:dyDescent="0.2">
      <c r="Z47392" t="str">
        <f t="shared" si="740"/>
        <v/>
      </c>
    </row>
    <row r="47393" spans="26:26" x14ac:dyDescent="0.2">
      <c r="Z47393" t="str">
        <f t="shared" si="740"/>
        <v/>
      </c>
    </row>
    <row r="47394" spans="26:26" x14ac:dyDescent="0.2">
      <c r="Z47394" t="str">
        <f t="shared" si="740"/>
        <v/>
      </c>
    </row>
    <row r="47395" spans="26:26" x14ac:dyDescent="0.2">
      <c r="Z47395" t="str">
        <f t="shared" si="740"/>
        <v/>
      </c>
    </row>
    <row r="47396" spans="26:26" x14ac:dyDescent="0.2">
      <c r="Z47396" t="str">
        <f t="shared" si="740"/>
        <v/>
      </c>
    </row>
    <row r="47397" spans="26:26" x14ac:dyDescent="0.2">
      <c r="Z47397" t="str">
        <f t="shared" si="740"/>
        <v/>
      </c>
    </row>
    <row r="47398" spans="26:26" x14ac:dyDescent="0.2">
      <c r="Z47398" t="str">
        <f t="shared" si="740"/>
        <v/>
      </c>
    </row>
    <row r="47399" spans="26:26" x14ac:dyDescent="0.2">
      <c r="Z47399" t="str">
        <f t="shared" si="740"/>
        <v/>
      </c>
    </row>
    <row r="47400" spans="26:26" x14ac:dyDescent="0.2">
      <c r="Z47400" t="str">
        <f t="shared" si="740"/>
        <v/>
      </c>
    </row>
    <row r="47401" spans="26:26" x14ac:dyDescent="0.2">
      <c r="Z47401" t="str">
        <f t="shared" si="740"/>
        <v/>
      </c>
    </row>
    <row r="47402" spans="26:26" x14ac:dyDescent="0.2">
      <c r="Z47402" t="str">
        <f t="shared" si="740"/>
        <v/>
      </c>
    </row>
    <row r="47403" spans="26:26" x14ac:dyDescent="0.2">
      <c r="Z47403" t="str">
        <f t="shared" si="740"/>
        <v/>
      </c>
    </row>
    <row r="47404" spans="26:26" x14ac:dyDescent="0.2">
      <c r="Z47404" t="str">
        <f t="shared" si="740"/>
        <v/>
      </c>
    </row>
    <row r="47405" spans="26:26" x14ac:dyDescent="0.2">
      <c r="Z47405" t="str">
        <f t="shared" si="740"/>
        <v/>
      </c>
    </row>
    <row r="47406" spans="26:26" x14ac:dyDescent="0.2">
      <c r="Z47406" t="str">
        <f t="shared" si="740"/>
        <v/>
      </c>
    </row>
    <row r="47407" spans="26:26" x14ac:dyDescent="0.2">
      <c r="Z47407" t="str">
        <f t="shared" si="740"/>
        <v/>
      </c>
    </row>
    <row r="47408" spans="26:26" x14ac:dyDescent="0.2">
      <c r="Z47408" t="str">
        <f t="shared" si="740"/>
        <v/>
      </c>
    </row>
    <row r="47409" spans="26:26" x14ac:dyDescent="0.2">
      <c r="Z47409" t="str">
        <f t="shared" si="740"/>
        <v/>
      </c>
    </row>
    <row r="47410" spans="26:26" x14ac:dyDescent="0.2">
      <c r="Z47410" t="str">
        <f t="shared" si="740"/>
        <v/>
      </c>
    </row>
    <row r="47411" spans="26:26" x14ac:dyDescent="0.2">
      <c r="Z47411" t="str">
        <f t="shared" si="740"/>
        <v/>
      </c>
    </row>
    <row r="47412" spans="26:26" x14ac:dyDescent="0.2">
      <c r="Z47412" t="str">
        <f t="shared" si="740"/>
        <v/>
      </c>
    </row>
    <row r="47413" spans="26:26" x14ac:dyDescent="0.2">
      <c r="Z47413" t="str">
        <f t="shared" si="740"/>
        <v/>
      </c>
    </row>
    <row r="47414" spans="26:26" x14ac:dyDescent="0.2">
      <c r="Z47414" t="str">
        <f t="shared" si="740"/>
        <v/>
      </c>
    </row>
    <row r="47415" spans="26:26" x14ac:dyDescent="0.2">
      <c r="Z47415" t="str">
        <f t="shared" si="740"/>
        <v/>
      </c>
    </row>
    <row r="47416" spans="26:26" x14ac:dyDescent="0.2">
      <c r="Z47416" t="str">
        <f t="shared" si="740"/>
        <v/>
      </c>
    </row>
    <row r="47417" spans="26:26" x14ac:dyDescent="0.2">
      <c r="Z47417" t="str">
        <f t="shared" si="740"/>
        <v/>
      </c>
    </row>
    <row r="47418" spans="26:26" x14ac:dyDescent="0.2">
      <c r="Z47418" t="str">
        <f t="shared" si="740"/>
        <v/>
      </c>
    </row>
    <row r="47419" spans="26:26" x14ac:dyDescent="0.2">
      <c r="Z47419" t="str">
        <f t="shared" si="740"/>
        <v/>
      </c>
    </row>
    <row r="47420" spans="26:26" x14ac:dyDescent="0.2">
      <c r="Z47420" t="str">
        <f t="shared" si="740"/>
        <v/>
      </c>
    </row>
    <row r="47421" spans="26:26" x14ac:dyDescent="0.2">
      <c r="Z47421" t="str">
        <f t="shared" si="740"/>
        <v/>
      </c>
    </row>
    <row r="47422" spans="26:26" x14ac:dyDescent="0.2">
      <c r="Z47422" t="str">
        <f t="shared" si="740"/>
        <v/>
      </c>
    </row>
    <row r="47423" spans="26:26" x14ac:dyDescent="0.2">
      <c r="Z47423" t="str">
        <f t="shared" si="740"/>
        <v/>
      </c>
    </row>
    <row r="47424" spans="26:26" x14ac:dyDescent="0.2">
      <c r="Z47424" t="str">
        <f t="shared" si="740"/>
        <v/>
      </c>
    </row>
    <row r="47425" spans="26:26" x14ac:dyDescent="0.2">
      <c r="Z47425" t="str">
        <f t="shared" si="740"/>
        <v/>
      </c>
    </row>
    <row r="47426" spans="26:26" x14ac:dyDescent="0.2">
      <c r="Z47426" t="str">
        <f t="shared" si="740"/>
        <v/>
      </c>
    </row>
    <row r="47427" spans="26:26" x14ac:dyDescent="0.2">
      <c r="Z47427" t="str">
        <f t="shared" ref="Z47427:Z47490" si="741">IF(K47427="","",IFERROR(VALUE(TRIM(MID(K47427,FIND(CHAR(167),SUBSTITUTE(K47427,"-",CHAR(167),LEN(K47427)-LEN(SUBSTITUTE(K47427,"-",""))))+1,100))),K47427))</f>
        <v/>
      </c>
    </row>
    <row r="47428" spans="26:26" x14ac:dyDescent="0.2">
      <c r="Z47428" t="str">
        <f t="shared" si="741"/>
        <v/>
      </c>
    </row>
    <row r="47429" spans="26:26" x14ac:dyDescent="0.2">
      <c r="Z47429" t="str">
        <f t="shared" si="741"/>
        <v/>
      </c>
    </row>
    <row r="47430" spans="26:26" x14ac:dyDescent="0.2">
      <c r="Z47430" t="str">
        <f t="shared" si="741"/>
        <v/>
      </c>
    </row>
    <row r="47431" spans="26:26" x14ac:dyDescent="0.2">
      <c r="Z47431" t="str">
        <f t="shared" si="741"/>
        <v/>
      </c>
    </row>
    <row r="47432" spans="26:26" x14ac:dyDescent="0.2">
      <c r="Z47432" t="str">
        <f t="shared" si="741"/>
        <v/>
      </c>
    </row>
    <row r="47433" spans="26:26" x14ac:dyDescent="0.2">
      <c r="Z47433" t="str">
        <f t="shared" si="741"/>
        <v/>
      </c>
    </row>
    <row r="47434" spans="26:26" x14ac:dyDescent="0.2">
      <c r="Z47434" t="str">
        <f t="shared" si="741"/>
        <v/>
      </c>
    </row>
    <row r="47435" spans="26:26" x14ac:dyDescent="0.2">
      <c r="Z47435" t="str">
        <f t="shared" si="741"/>
        <v/>
      </c>
    </row>
    <row r="47436" spans="26:26" x14ac:dyDescent="0.2">
      <c r="Z47436" t="str">
        <f t="shared" si="741"/>
        <v/>
      </c>
    </row>
    <row r="47437" spans="26:26" x14ac:dyDescent="0.2">
      <c r="Z47437" t="str">
        <f t="shared" si="741"/>
        <v/>
      </c>
    </row>
    <row r="47438" spans="26:26" x14ac:dyDescent="0.2">
      <c r="Z47438" t="str">
        <f t="shared" si="741"/>
        <v/>
      </c>
    </row>
    <row r="47439" spans="26:26" x14ac:dyDescent="0.2">
      <c r="Z47439" t="str">
        <f t="shared" si="741"/>
        <v/>
      </c>
    </row>
    <row r="47440" spans="26:26" x14ac:dyDescent="0.2">
      <c r="Z47440" t="str">
        <f t="shared" si="741"/>
        <v/>
      </c>
    </row>
    <row r="47441" spans="26:26" x14ac:dyDescent="0.2">
      <c r="Z47441" t="str">
        <f t="shared" si="741"/>
        <v/>
      </c>
    </row>
    <row r="47442" spans="26:26" x14ac:dyDescent="0.2">
      <c r="Z47442" t="str">
        <f t="shared" si="741"/>
        <v/>
      </c>
    </row>
    <row r="47443" spans="26:26" x14ac:dyDescent="0.2">
      <c r="Z47443" t="str">
        <f t="shared" si="741"/>
        <v/>
      </c>
    </row>
    <row r="47444" spans="26:26" x14ac:dyDescent="0.2">
      <c r="Z47444" t="str">
        <f t="shared" si="741"/>
        <v/>
      </c>
    </row>
    <row r="47445" spans="26:26" x14ac:dyDescent="0.2">
      <c r="Z47445" t="str">
        <f t="shared" si="741"/>
        <v/>
      </c>
    </row>
    <row r="47446" spans="26:26" x14ac:dyDescent="0.2">
      <c r="Z47446" t="str">
        <f t="shared" si="741"/>
        <v/>
      </c>
    </row>
    <row r="47447" spans="26:26" x14ac:dyDescent="0.2">
      <c r="Z47447" t="str">
        <f t="shared" si="741"/>
        <v/>
      </c>
    </row>
    <row r="47448" spans="26:26" x14ac:dyDescent="0.2">
      <c r="Z47448" t="str">
        <f t="shared" si="741"/>
        <v/>
      </c>
    </row>
    <row r="47449" spans="26:26" x14ac:dyDescent="0.2">
      <c r="Z47449" t="str">
        <f t="shared" si="741"/>
        <v/>
      </c>
    </row>
    <row r="47450" spans="26:26" x14ac:dyDescent="0.2">
      <c r="Z47450" t="str">
        <f t="shared" si="741"/>
        <v/>
      </c>
    </row>
    <row r="47451" spans="26:26" x14ac:dyDescent="0.2">
      <c r="Z47451" t="str">
        <f t="shared" si="741"/>
        <v/>
      </c>
    </row>
    <row r="47452" spans="26:26" x14ac:dyDescent="0.2">
      <c r="Z47452" t="str">
        <f t="shared" si="741"/>
        <v/>
      </c>
    </row>
    <row r="47453" spans="26:26" x14ac:dyDescent="0.2">
      <c r="Z47453" t="str">
        <f t="shared" si="741"/>
        <v/>
      </c>
    </row>
    <row r="47454" spans="26:26" x14ac:dyDescent="0.2">
      <c r="Z47454" t="str">
        <f t="shared" si="741"/>
        <v/>
      </c>
    </row>
    <row r="47455" spans="26:26" x14ac:dyDescent="0.2">
      <c r="Z47455" t="str">
        <f t="shared" si="741"/>
        <v/>
      </c>
    </row>
    <row r="47456" spans="26:26" x14ac:dyDescent="0.2">
      <c r="Z47456" t="str">
        <f t="shared" si="741"/>
        <v/>
      </c>
    </row>
    <row r="47457" spans="26:26" x14ac:dyDescent="0.2">
      <c r="Z47457" t="str">
        <f t="shared" si="741"/>
        <v/>
      </c>
    </row>
    <row r="47458" spans="26:26" x14ac:dyDescent="0.2">
      <c r="Z47458" t="str">
        <f t="shared" si="741"/>
        <v/>
      </c>
    </row>
    <row r="47459" spans="26:26" x14ac:dyDescent="0.2">
      <c r="Z47459" t="str">
        <f t="shared" si="741"/>
        <v/>
      </c>
    </row>
    <row r="47460" spans="26:26" x14ac:dyDescent="0.2">
      <c r="Z47460" t="str">
        <f t="shared" si="741"/>
        <v/>
      </c>
    </row>
    <row r="47461" spans="26:26" x14ac:dyDescent="0.2">
      <c r="Z47461" t="str">
        <f t="shared" si="741"/>
        <v/>
      </c>
    </row>
    <row r="47462" spans="26:26" x14ac:dyDescent="0.2">
      <c r="Z47462" t="str">
        <f t="shared" si="741"/>
        <v/>
      </c>
    </row>
    <row r="47463" spans="26:26" x14ac:dyDescent="0.2">
      <c r="Z47463" t="str">
        <f t="shared" si="741"/>
        <v/>
      </c>
    </row>
    <row r="47464" spans="26:26" x14ac:dyDescent="0.2">
      <c r="Z47464" t="str">
        <f t="shared" si="741"/>
        <v/>
      </c>
    </row>
    <row r="47465" spans="26:26" x14ac:dyDescent="0.2">
      <c r="Z47465" t="str">
        <f t="shared" si="741"/>
        <v/>
      </c>
    </row>
    <row r="47466" spans="26:26" x14ac:dyDescent="0.2">
      <c r="Z47466" t="str">
        <f t="shared" si="741"/>
        <v/>
      </c>
    </row>
    <row r="47467" spans="26:26" x14ac:dyDescent="0.2">
      <c r="Z47467" t="str">
        <f t="shared" si="741"/>
        <v/>
      </c>
    </row>
    <row r="47468" spans="26:26" x14ac:dyDescent="0.2">
      <c r="Z47468" t="str">
        <f t="shared" si="741"/>
        <v/>
      </c>
    </row>
    <row r="47469" spans="26:26" x14ac:dyDescent="0.2">
      <c r="Z47469" t="str">
        <f t="shared" si="741"/>
        <v/>
      </c>
    </row>
    <row r="47470" spans="26:26" x14ac:dyDescent="0.2">
      <c r="Z47470" t="str">
        <f t="shared" si="741"/>
        <v/>
      </c>
    </row>
    <row r="47471" spans="26:26" x14ac:dyDescent="0.2">
      <c r="Z47471" t="str">
        <f t="shared" si="741"/>
        <v/>
      </c>
    </row>
    <row r="47472" spans="26:26" x14ac:dyDescent="0.2">
      <c r="Z47472" t="str">
        <f t="shared" si="741"/>
        <v/>
      </c>
    </row>
    <row r="47473" spans="26:26" x14ac:dyDescent="0.2">
      <c r="Z47473" t="str">
        <f t="shared" si="741"/>
        <v/>
      </c>
    </row>
    <row r="47474" spans="26:26" x14ac:dyDescent="0.2">
      <c r="Z47474" t="str">
        <f t="shared" si="741"/>
        <v/>
      </c>
    </row>
    <row r="47475" spans="26:26" x14ac:dyDescent="0.2">
      <c r="Z47475" t="str">
        <f t="shared" si="741"/>
        <v/>
      </c>
    </row>
    <row r="47476" spans="26:26" x14ac:dyDescent="0.2">
      <c r="Z47476" t="str">
        <f t="shared" si="741"/>
        <v/>
      </c>
    </row>
    <row r="47477" spans="26:26" x14ac:dyDescent="0.2">
      <c r="Z47477" t="str">
        <f t="shared" si="741"/>
        <v/>
      </c>
    </row>
    <row r="47478" spans="26:26" x14ac:dyDescent="0.2">
      <c r="Z47478" t="str">
        <f t="shared" si="741"/>
        <v/>
      </c>
    </row>
    <row r="47479" spans="26:26" x14ac:dyDescent="0.2">
      <c r="Z47479" t="str">
        <f t="shared" si="741"/>
        <v/>
      </c>
    </row>
    <row r="47480" spans="26:26" x14ac:dyDescent="0.2">
      <c r="Z47480" t="str">
        <f t="shared" si="741"/>
        <v/>
      </c>
    </row>
    <row r="47481" spans="26:26" x14ac:dyDescent="0.2">
      <c r="Z47481" t="str">
        <f t="shared" si="741"/>
        <v/>
      </c>
    </row>
    <row r="47482" spans="26:26" x14ac:dyDescent="0.2">
      <c r="Z47482" t="str">
        <f t="shared" si="741"/>
        <v/>
      </c>
    </row>
    <row r="47483" spans="26:26" x14ac:dyDescent="0.2">
      <c r="Z47483" t="str">
        <f t="shared" si="741"/>
        <v/>
      </c>
    </row>
    <row r="47484" spans="26:26" x14ac:dyDescent="0.2">
      <c r="Z47484" t="str">
        <f t="shared" si="741"/>
        <v/>
      </c>
    </row>
    <row r="47485" spans="26:26" x14ac:dyDescent="0.2">
      <c r="Z47485" t="str">
        <f t="shared" si="741"/>
        <v/>
      </c>
    </row>
    <row r="47486" spans="26:26" x14ac:dyDescent="0.2">
      <c r="Z47486" t="str">
        <f t="shared" si="741"/>
        <v/>
      </c>
    </row>
    <row r="47487" spans="26:26" x14ac:dyDescent="0.2">
      <c r="Z47487" t="str">
        <f t="shared" si="741"/>
        <v/>
      </c>
    </row>
    <row r="47488" spans="26:26" x14ac:dyDescent="0.2">
      <c r="Z47488" t="str">
        <f t="shared" si="741"/>
        <v/>
      </c>
    </row>
    <row r="47489" spans="26:26" x14ac:dyDescent="0.2">
      <c r="Z47489" t="str">
        <f t="shared" si="741"/>
        <v/>
      </c>
    </row>
    <row r="47490" spans="26:26" x14ac:dyDescent="0.2">
      <c r="Z47490" t="str">
        <f t="shared" si="741"/>
        <v/>
      </c>
    </row>
    <row r="47491" spans="26:26" x14ac:dyDescent="0.2">
      <c r="Z47491" t="str">
        <f t="shared" ref="Z47491:Z47554" si="742">IF(K47491="","",IFERROR(VALUE(TRIM(MID(K47491,FIND(CHAR(167),SUBSTITUTE(K47491,"-",CHAR(167),LEN(K47491)-LEN(SUBSTITUTE(K47491,"-",""))))+1,100))),K47491))</f>
        <v/>
      </c>
    </row>
    <row r="47492" spans="26:26" x14ac:dyDescent="0.2">
      <c r="Z47492" t="str">
        <f t="shared" si="742"/>
        <v/>
      </c>
    </row>
    <row r="47493" spans="26:26" x14ac:dyDescent="0.2">
      <c r="Z47493" t="str">
        <f t="shared" si="742"/>
        <v/>
      </c>
    </row>
    <row r="47494" spans="26:26" x14ac:dyDescent="0.2">
      <c r="Z47494" t="str">
        <f t="shared" si="742"/>
        <v/>
      </c>
    </row>
    <row r="47495" spans="26:26" x14ac:dyDescent="0.2">
      <c r="Z47495" t="str">
        <f t="shared" si="742"/>
        <v/>
      </c>
    </row>
    <row r="47496" spans="26:26" x14ac:dyDescent="0.2">
      <c r="Z47496" t="str">
        <f t="shared" si="742"/>
        <v/>
      </c>
    </row>
    <row r="47497" spans="26:26" x14ac:dyDescent="0.2">
      <c r="Z47497" t="str">
        <f t="shared" si="742"/>
        <v/>
      </c>
    </row>
    <row r="47498" spans="26:26" x14ac:dyDescent="0.2">
      <c r="Z47498" t="str">
        <f t="shared" si="742"/>
        <v/>
      </c>
    </row>
    <row r="47499" spans="26:26" x14ac:dyDescent="0.2">
      <c r="Z47499" t="str">
        <f t="shared" si="742"/>
        <v/>
      </c>
    </row>
    <row r="47500" spans="26:26" x14ac:dyDescent="0.2">
      <c r="Z47500" t="str">
        <f t="shared" si="742"/>
        <v/>
      </c>
    </row>
    <row r="47501" spans="26:26" x14ac:dyDescent="0.2">
      <c r="Z47501" t="str">
        <f t="shared" si="742"/>
        <v/>
      </c>
    </row>
    <row r="47502" spans="26:26" x14ac:dyDescent="0.2">
      <c r="Z47502" t="str">
        <f t="shared" si="742"/>
        <v/>
      </c>
    </row>
    <row r="47503" spans="26:26" x14ac:dyDescent="0.2">
      <c r="Z47503" t="str">
        <f t="shared" si="742"/>
        <v/>
      </c>
    </row>
    <row r="47504" spans="26:26" x14ac:dyDescent="0.2">
      <c r="Z47504" t="str">
        <f t="shared" si="742"/>
        <v/>
      </c>
    </row>
    <row r="47505" spans="26:26" x14ac:dyDescent="0.2">
      <c r="Z47505" t="str">
        <f t="shared" si="742"/>
        <v/>
      </c>
    </row>
    <row r="47506" spans="26:26" x14ac:dyDescent="0.2">
      <c r="Z47506" t="str">
        <f t="shared" si="742"/>
        <v/>
      </c>
    </row>
    <row r="47507" spans="26:26" x14ac:dyDescent="0.2">
      <c r="Z47507" t="str">
        <f t="shared" si="742"/>
        <v/>
      </c>
    </row>
    <row r="47508" spans="26:26" x14ac:dyDescent="0.2">
      <c r="Z47508" t="str">
        <f t="shared" si="742"/>
        <v/>
      </c>
    </row>
    <row r="47509" spans="26:26" x14ac:dyDescent="0.2">
      <c r="Z47509" t="str">
        <f t="shared" si="742"/>
        <v/>
      </c>
    </row>
    <row r="47510" spans="26:26" x14ac:dyDescent="0.2">
      <c r="Z47510" t="str">
        <f t="shared" si="742"/>
        <v/>
      </c>
    </row>
    <row r="47511" spans="26:26" x14ac:dyDescent="0.2">
      <c r="Z47511" t="str">
        <f t="shared" si="742"/>
        <v/>
      </c>
    </row>
    <row r="47512" spans="26:26" x14ac:dyDescent="0.2">
      <c r="Z47512" t="str">
        <f t="shared" si="742"/>
        <v/>
      </c>
    </row>
    <row r="47513" spans="26:26" x14ac:dyDescent="0.2">
      <c r="Z47513" t="str">
        <f t="shared" si="742"/>
        <v/>
      </c>
    </row>
    <row r="47514" spans="26:26" x14ac:dyDescent="0.2">
      <c r="Z47514" t="str">
        <f t="shared" si="742"/>
        <v/>
      </c>
    </row>
    <row r="47515" spans="26:26" x14ac:dyDescent="0.2">
      <c r="Z47515" t="str">
        <f t="shared" si="742"/>
        <v/>
      </c>
    </row>
    <row r="47516" spans="26:26" x14ac:dyDescent="0.2">
      <c r="Z47516" t="str">
        <f t="shared" si="742"/>
        <v/>
      </c>
    </row>
    <row r="47517" spans="26:26" x14ac:dyDescent="0.2">
      <c r="Z47517" t="str">
        <f t="shared" si="742"/>
        <v/>
      </c>
    </row>
    <row r="47518" spans="26:26" x14ac:dyDescent="0.2">
      <c r="Z47518" t="str">
        <f t="shared" si="742"/>
        <v/>
      </c>
    </row>
    <row r="47519" spans="26:26" x14ac:dyDescent="0.2">
      <c r="Z47519" t="str">
        <f t="shared" si="742"/>
        <v/>
      </c>
    </row>
    <row r="47520" spans="26:26" x14ac:dyDescent="0.2">
      <c r="Z47520" t="str">
        <f t="shared" si="742"/>
        <v/>
      </c>
    </row>
    <row r="47521" spans="26:26" x14ac:dyDescent="0.2">
      <c r="Z47521" t="str">
        <f t="shared" si="742"/>
        <v/>
      </c>
    </row>
    <row r="47522" spans="26:26" x14ac:dyDescent="0.2">
      <c r="Z47522" t="str">
        <f t="shared" si="742"/>
        <v/>
      </c>
    </row>
    <row r="47523" spans="26:26" x14ac:dyDescent="0.2">
      <c r="Z47523" t="str">
        <f t="shared" si="742"/>
        <v/>
      </c>
    </row>
    <row r="47524" spans="26:26" x14ac:dyDescent="0.2">
      <c r="Z47524" t="str">
        <f t="shared" si="742"/>
        <v/>
      </c>
    </row>
    <row r="47525" spans="26:26" x14ac:dyDescent="0.2">
      <c r="Z47525" t="str">
        <f t="shared" si="742"/>
        <v/>
      </c>
    </row>
    <row r="47526" spans="26:26" x14ac:dyDescent="0.2">
      <c r="Z47526" t="str">
        <f t="shared" si="742"/>
        <v/>
      </c>
    </row>
    <row r="47527" spans="26:26" x14ac:dyDescent="0.2">
      <c r="Z47527" t="str">
        <f t="shared" si="742"/>
        <v/>
      </c>
    </row>
    <row r="47528" spans="26:26" x14ac:dyDescent="0.2">
      <c r="Z47528" t="str">
        <f t="shared" si="742"/>
        <v/>
      </c>
    </row>
    <row r="47529" spans="26:26" x14ac:dyDescent="0.2">
      <c r="Z47529" t="str">
        <f t="shared" si="742"/>
        <v/>
      </c>
    </row>
    <row r="47530" spans="26:26" x14ac:dyDescent="0.2">
      <c r="Z47530" t="str">
        <f t="shared" si="742"/>
        <v/>
      </c>
    </row>
    <row r="47531" spans="26:26" x14ac:dyDescent="0.2">
      <c r="Z47531" t="str">
        <f t="shared" si="742"/>
        <v/>
      </c>
    </row>
    <row r="47532" spans="26:26" x14ac:dyDescent="0.2">
      <c r="Z47532" t="str">
        <f t="shared" si="742"/>
        <v/>
      </c>
    </row>
    <row r="47533" spans="26:26" x14ac:dyDescent="0.2">
      <c r="Z47533" t="str">
        <f t="shared" si="742"/>
        <v/>
      </c>
    </row>
    <row r="47534" spans="26:26" x14ac:dyDescent="0.2">
      <c r="Z47534" t="str">
        <f t="shared" si="742"/>
        <v/>
      </c>
    </row>
    <row r="47535" spans="26:26" x14ac:dyDescent="0.2">
      <c r="Z47535" t="str">
        <f t="shared" si="742"/>
        <v/>
      </c>
    </row>
    <row r="47536" spans="26:26" x14ac:dyDescent="0.2">
      <c r="Z47536" t="str">
        <f t="shared" si="742"/>
        <v/>
      </c>
    </row>
    <row r="47537" spans="26:26" x14ac:dyDescent="0.2">
      <c r="Z47537" t="str">
        <f t="shared" si="742"/>
        <v/>
      </c>
    </row>
    <row r="47538" spans="26:26" x14ac:dyDescent="0.2">
      <c r="Z47538" t="str">
        <f t="shared" si="742"/>
        <v/>
      </c>
    </row>
    <row r="47539" spans="26:26" x14ac:dyDescent="0.2">
      <c r="Z47539" t="str">
        <f t="shared" si="742"/>
        <v/>
      </c>
    </row>
    <row r="47540" spans="26:26" x14ac:dyDescent="0.2">
      <c r="Z47540" t="str">
        <f t="shared" si="742"/>
        <v/>
      </c>
    </row>
    <row r="47541" spans="26:26" x14ac:dyDescent="0.2">
      <c r="Z47541" t="str">
        <f t="shared" si="742"/>
        <v/>
      </c>
    </row>
    <row r="47542" spans="26:26" x14ac:dyDescent="0.2">
      <c r="Z47542" t="str">
        <f t="shared" si="742"/>
        <v/>
      </c>
    </row>
    <row r="47543" spans="26:26" x14ac:dyDescent="0.2">
      <c r="Z47543" t="str">
        <f t="shared" si="742"/>
        <v/>
      </c>
    </row>
    <row r="47544" spans="26:26" x14ac:dyDescent="0.2">
      <c r="Z47544" t="str">
        <f t="shared" si="742"/>
        <v/>
      </c>
    </row>
    <row r="47545" spans="26:26" x14ac:dyDescent="0.2">
      <c r="Z47545" t="str">
        <f t="shared" si="742"/>
        <v/>
      </c>
    </row>
    <row r="47546" spans="26:26" x14ac:dyDescent="0.2">
      <c r="Z47546" t="str">
        <f t="shared" si="742"/>
        <v/>
      </c>
    </row>
    <row r="47547" spans="26:26" x14ac:dyDescent="0.2">
      <c r="Z47547" t="str">
        <f t="shared" si="742"/>
        <v/>
      </c>
    </row>
    <row r="47548" spans="26:26" x14ac:dyDescent="0.2">
      <c r="Z47548" t="str">
        <f t="shared" si="742"/>
        <v/>
      </c>
    </row>
    <row r="47549" spans="26:26" x14ac:dyDescent="0.2">
      <c r="Z47549" t="str">
        <f t="shared" si="742"/>
        <v/>
      </c>
    </row>
    <row r="47550" spans="26:26" x14ac:dyDescent="0.2">
      <c r="Z47550" t="str">
        <f t="shared" si="742"/>
        <v/>
      </c>
    </row>
    <row r="47551" spans="26:26" x14ac:dyDescent="0.2">
      <c r="Z47551" t="str">
        <f t="shared" si="742"/>
        <v/>
      </c>
    </row>
    <row r="47552" spans="26:26" x14ac:dyDescent="0.2">
      <c r="Z47552" t="str">
        <f t="shared" si="742"/>
        <v/>
      </c>
    </row>
    <row r="47553" spans="26:26" x14ac:dyDescent="0.2">
      <c r="Z47553" t="str">
        <f t="shared" si="742"/>
        <v/>
      </c>
    </row>
    <row r="47554" spans="26:26" x14ac:dyDescent="0.2">
      <c r="Z47554" t="str">
        <f t="shared" si="742"/>
        <v/>
      </c>
    </row>
    <row r="47555" spans="26:26" x14ac:dyDescent="0.2">
      <c r="Z47555" t="str">
        <f t="shared" ref="Z47555:Z47618" si="743">IF(K47555="","",IFERROR(VALUE(TRIM(MID(K47555,FIND(CHAR(167),SUBSTITUTE(K47555,"-",CHAR(167),LEN(K47555)-LEN(SUBSTITUTE(K47555,"-",""))))+1,100))),K47555))</f>
        <v/>
      </c>
    </row>
    <row r="47556" spans="26:26" x14ac:dyDescent="0.2">
      <c r="Z47556" t="str">
        <f t="shared" si="743"/>
        <v/>
      </c>
    </row>
    <row r="47557" spans="26:26" x14ac:dyDescent="0.2">
      <c r="Z47557" t="str">
        <f t="shared" si="743"/>
        <v/>
      </c>
    </row>
    <row r="47558" spans="26:26" x14ac:dyDescent="0.2">
      <c r="Z47558" t="str">
        <f t="shared" si="743"/>
        <v/>
      </c>
    </row>
    <row r="47559" spans="26:26" x14ac:dyDescent="0.2">
      <c r="Z47559" t="str">
        <f t="shared" si="743"/>
        <v/>
      </c>
    </row>
    <row r="47560" spans="26:26" x14ac:dyDescent="0.2">
      <c r="Z47560" t="str">
        <f t="shared" si="743"/>
        <v/>
      </c>
    </row>
    <row r="47561" spans="26:26" x14ac:dyDescent="0.2">
      <c r="Z47561" t="str">
        <f t="shared" si="743"/>
        <v/>
      </c>
    </row>
    <row r="47562" spans="26:26" x14ac:dyDescent="0.2">
      <c r="Z47562" t="str">
        <f t="shared" si="743"/>
        <v/>
      </c>
    </row>
    <row r="47563" spans="26:26" x14ac:dyDescent="0.2">
      <c r="Z47563" t="str">
        <f t="shared" si="743"/>
        <v/>
      </c>
    </row>
    <row r="47564" spans="26:26" x14ac:dyDescent="0.2">
      <c r="Z47564" t="str">
        <f t="shared" si="743"/>
        <v/>
      </c>
    </row>
    <row r="47565" spans="26:26" x14ac:dyDescent="0.2">
      <c r="Z47565" t="str">
        <f t="shared" si="743"/>
        <v/>
      </c>
    </row>
    <row r="47566" spans="26:26" x14ac:dyDescent="0.2">
      <c r="Z47566" t="str">
        <f t="shared" si="743"/>
        <v/>
      </c>
    </row>
    <row r="47567" spans="26:26" x14ac:dyDescent="0.2">
      <c r="Z47567" t="str">
        <f t="shared" si="743"/>
        <v/>
      </c>
    </row>
    <row r="47568" spans="26:26" x14ac:dyDescent="0.2">
      <c r="Z47568" t="str">
        <f t="shared" si="743"/>
        <v/>
      </c>
    </row>
    <row r="47569" spans="26:26" x14ac:dyDescent="0.2">
      <c r="Z47569" t="str">
        <f t="shared" si="743"/>
        <v/>
      </c>
    </row>
    <row r="47570" spans="26:26" x14ac:dyDescent="0.2">
      <c r="Z47570" t="str">
        <f t="shared" si="743"/>
        <v/>
      </c>
    </row>
    <row r="47571" spans="26:26" x14ac:dyDescent="0.2">
      <c r="Z47571" t="str">
        <f t="shared" si="743"/>
        <v/>
      </c>
    </row>
    <row r="47572" spans="26:26" x14ac:dyDescent="0.2">
      <c r="Z47572" t="str">
        <f t="shared" si="743"/>
        <v/>
      </c>
    </row>
    <row r="47573" spans="26:26" x14ac:dyDescent="0.2">
      <c r="Z47573" t="str">
        <f t="shared" si="743"/>
        <v/>
      </c>
    </row>
    <row r="47574" spans="26:26" x14ac:dyDescent="0.2">
      <c r="Z47574" t="str">
        <f t="shared" si="743"/>
        <v/>
      </c>
    </row>
    <row r="47575" spans="26:26" x14ac:dyDescent="0.2">
      <c r="Z47575" t="str">
        <f t="shared" si="743"/>
        <v/>
      </c>
    </row>
    <row r="47576" spans="26:26" x14ac:dyDescent="0.2">
      <c r="Z47576" t="str">
        <f t="shared" si="743"/>
        <v/>
      </c>
    </row>
    <row r="47577" spans="26:26" x14ac:dyDescent="0.2">
      <c r="Z47577" t="str">
        <f t="shared" si="743"/>
        <v/>
      </c>
    </row>
    <row r="47578" spans="26:26" x14ac:dyDescent="0.2">
      <c r="Z47578" t="str">
        <f t="shared" si="743"/>
        <v/>
      </c>
    </row>
    <row r="47579" spans="26:26" x14ac:dyDescent="0.2">
      <c r="Z47579" t="str">
        <f t="shared" si="743"/>
        <v/>
      </c>
    </row>
    <row r="47580" spans="26:26" x14ac:dyDescent="0.2">
      <c r="Z47580" t="str">
        <f t="shared" si="743"/>
        <v/>
      </c>
    </row>
    <row r="47581" spans="26:26" x14ac:dyDescent="0.2">
      <c r="Z47581" t="str">
        <f t="shared" si="743"/>
        <v/>
      </c>
    </row>
    <row r="47582" spans="26:26" x14ac:dyDescent="0.2">
      <c r="Z47582" t="str">
        <f t="shared" si="743"/>
        <v/>
      </c>
    </row>
    <row r="47583" spans="26:26" x14ac:dyDescent="0.2">
      <c r="Z47583" t="str">
        <f t="shared" si="743"/>
        <v/>
      </c>
    </row>
    <row r="47584" spans="26:26" x14ac:dyDescent="0.2">
      <c r="Z47584" t="str">
        <f t="shared" si="743"/>
        <v/>
      </c>
    </row>
    <row r="47585" spans="26:26" x14ac:dyDescent="0.2">
      <c r="Z47585" t="str">
        <f t="shared" si="743"/>
        <v/>
      </c>
    </row>
    <row r="47586" spans="26:26" x14ac:dyDescent="0.2">
      <c r="Z47586" t="str">
        <f t="shared" si="743"/>
        <v/>
      </c>
    </row>
    <row r="47587" spans="26:26" x14ac:dyDescent="0.2">
      <c r="Z47587" t="str">
        <f t="shared" si="743"/>
        <v/>
      </c>
    </row>
    <row r="47588" spans="26:26" x14ac:dyDescent="0.2">
      <c r="Z47588" t="str">
        <f t="shared" si="743"/>
        <v/>
      </c>
    </row>
    <row r="47589" spans="26:26" x14ac:dyDescent="0.2">
      <c r="Z47589" t="str">
        <f t="shared" si="743"/>
        <v/>
      </c>
    </row>
    <row r="47590" spans="26:26" x14ac:dyDescent="0.2">
      <c r="Z47590" t="str">
        <f t="shared" si="743"/>
        <v/>
      </c>
    </row>
    <row r="47591" spans="26:26" x14ac:dyDescent="0.2">
      <c r="Z47591" t="str">
        <f t="shared" si="743"/>
        <v/>
      </c>
    </row>
    <row r="47592" spans="26:26" x14ac:dyDescent="0.2">
      <c r="Z47592" t="str">
        <f t="shared" si="743"/>
        <v/>
      </c>
    </row>
    <row r="47593" spans="26:26" x14ac:dyDescent="0.2">
      <c r="Z47593" t="str">
        <f t="shared" si="743"/>
        <v/>
      </c>
    </row>
    <row r="47594" spans="26:26" x14ac:dyDescent="0.2">
      <c r="Z47594" t="str">
        <f t="shared" si="743"/>
        <v/>
      </c>
    </row>
    <row r="47595" spans="26:26" x14ac:dyDescent="0.2">
      <c r="Z47595" t="str">
        <f t="shared" si="743"/>
        <v/>
      </c>
    </row>
    <row r="47596" spans="26:26" x14ac:dyDescent="0.2">
      <c r="Z47596" t="str">
        <f t="shared" si="743"/>
        <v/>
      </c>
    </row>
    <row r="47597" spans="26:26" x14ac:dyDescent="0.2">
      <c r="Z47597" t="str">
        <f t="shared" si="743"/>
        <v/>
      </c>
    </row>
    <row r="47598" spans="26:26" x14ac:dyDescent="0.2">
      <c r="Z47598" t="str">
        <f t="shared" si="743"/>
        <v/>
      </c>
    </row>
    <row r="47599" spans="26:26" x14ac:dyDescent="0.2">
      <c r="Z47599" t="str">
        <f t="shared" si="743"/>
        <v/>
      </c>
    </row>
    <row r="47600" spans="26:26" x14ac:dyDescent="0.2">
      <c r="Z47600" t="str">
        <f t="shared" si="743"/>
        <v/>
      </c>
    </row>
    <row r="47601" spans="26:26" x14ac:dyDescent="0.2">
      <c r="Z47601" t="str">
        <f t="shared" si="743"/>
        <v/>
      </c>
    </row>
    <row r="47602" spans="26:26" x14ac:dyDescent="0.2">
      <c r="Z47602" t="str">
        <f t="shared" si="743"/>
        <v/>
      </c>
    </row>
    <row r="47603" spans="26:26" x14ac:dyDescent="0.2">
      <c r="Z47603" t="str">
        <f t="shared" si="743"/>
        <v/>
      </c>
    </row>
    <row r="47604" spans="26:26" x14ac:dyDescent="0.2">
      <c r="Z47604" t="str">
        <f t="shared" si="743"/>
        <v/>
      </c>
    </row>
    <row r="47605" spans="26:26" x14ac:dyDescent="0.2">
      <c r="Z47605" t="str">
        <f t="shared" si="743"/>
        <v/>
      </c>
    </row>
    <row r="47606" spans="26:26" x14ac:dyDescent="0.2">
      <c r="Z47606" t="str">
        <f t="shared" si="743"/>
        <v/>
      </c>
    </row>
    <row r="47607" spans="26:26" x14ac:dyDescent="0.2">
      <c r="Z47607" t="str">
        <f t="shared" si="743"/>
        <v/>
      </c>
    </row>
    <row r="47608" spans="26:26" x14ac:dyDescent="0.2">
      <c r="Z47608" t="str">
        <f t="shared" si="743"/>
        <v/>
      </c>
    </row>
    <row r="47609" spans="26:26" x14ac:dyDescent="0.2">
      <c r="Z47609" t="str">
        <f t="shared" si="743"/>
        <v/>
      </c>
    </row>
    <row r="47610" spans="26:26" x14ac:dyDescent="0.2">
      <c r="Z47610" t="str">
        <f t="shared" si="743"/>
        <v/>
      </c>
    </row>
    <row r="47611" spans="26:26" x14ac:dyDescent="0.2">
      <c r="Z47611" t="str">
        <f t="shared" si="743"/>
        <v/>
      </c>
    </row>
    <row r="47612" spans="26:26" x14ac:dyDescent="0.2">
      <c r="Z47612" t="str">
        <f t="shared" si="743"/>
        <v/>
      </c>
    </row>
    <row r="47613" spans="26:26" x14ac:dyDescent="0.2">
      <c r="Z47613" t="str">
        <f t="shared" si="743"/>
        <v/>
      </c>
    </row>
    <row r="47614" spans="26:26" x14ac:dyDescent="0.2">
      <c r="Z47614" t="str">
        <f t="shared" si="743"/>
        <v/>
      </c>
    </row>
    <row r="47615" spans="26:26" x14ac:dyDescent="0.2">
      <c r="Z47615" t="str">
        <f t="shared" si="743"/>
        <v/>
      </c>
    </row>
    <row r="47616" spans="26:26" x14ac:dyDescent="0.2">
      <c r="Z47616" t="str">
        <f t="shared" si="743"/>
        <v/>
      </c>
    </row>
    <row r="47617" spans="26:26" x14ac:dyDescent="0.2">
      <c r="Z47617" t="str">
        <f t="shared" si="743"/>
        <v/>
      </c>
    </row>
    <row r="47618" spans="26:26" x14ac:dyDescent="0.2">
      <c r="Z47618" t="str">
        <f t="shared" si="743"/>
        <v/>
      </c>
    </row>
    <row r="47619" spans="26:26" x14ac:dyDescent="0.2">
      <c r="Z47619" t="str">
        <f t="shared" ref="Z47619:Z47682" si="744">IF(K47619="","",IFERROR(VALUE(TRIM(MID(K47619,FIND(CHAR(167),SUBSTITUTE(K47619,"-",CHAR(167),LEN(K47619)-LEN(SUBSTITUTE(K47619,"-",""))))+1,100))),K47619))</f>
        <v/>
      </c>
    </row>
    <row r="47620" spans="26:26" x14ac:dyDescent="0.2">
      <c r="Z47620" t="str">
        <f t="shared" si="744"/>
        <v/>
      </c>
    </row>
    <row r="47621" spans="26:26" x14ac:dyDescent="0.2">
      <c r="Z47621" t="str">
        <f t="shared" si="744"/>
        <v/>
      </c>
    </row>
    <row r="47622" spans="26:26" x14ac:dyDescent="0.2">
      <c r="Z47622" t="str">
        <f t="shared" si="744"/>
        <v/>
      </c>
    </row>
    <row r="47623" spans="26:26" x14ac:dyDescent="0.2">
      <c r="Z47623" t="str">
        <f t="shared" si="744"/>
        <v/>
      </c>
    </row>
    <row r="47624" spans="26:26" x14ac:dyDescent="0.2">
      <c r="Z47624" t="str">
        <f t="shared" si="744"/>
        <v/>
      </c>
    </row>
    <row r="47625" spans="26:26" x14ac:dyDescent="0.2">
      <c r="Z47625" t="str">
        <f t="shared" si="744"/>
        <v/>
      </c>
    </row>
    <row r="47626" spans="26:26" x14ac:dyDescent="0.2">
      <c r="Z47626" t="str">
        <f t="shared" si="744"/>
        <v/>
      </c>
    </row>
    <row r="47627" spans="26:26" x14ac:dyDescent="0.2">
      <c r="Z47627" t="str">
        <f t="shared" si="744"/>
        <v/>
      </c>
    </row>
    <row r="47628" spans="26:26" x14ac:dyDescent="0.2">
      <c r="Z47628" t="str">
        <f t="shared" si="744"/>
        <v/>
      </c>
    </row>
    <row r="47629" spans="26:26" x14ac:dyDescent="0.2">
      <c r="Z47629" t="str">
        <f t="shared" si="744"/>
        <v/>
      </c>
    </row>
    <row r="47630" spans="26:26" x14ac:dyDescent="0.2">
      <c r="Z47630" t="str">
        <f t="shared" si="744"/>
        <v/>
      </c>
    </row>
    <row r="47631" spans="26:26" x14ac:dyDescent="0.2">
      <c r="Z47631" t="str">
        <f t="shared" si="744"/>
        <v/>
      </c>
    </row>
    <row r="47632" spans="26:26" x14ac:dyDescent="0.2">
      <c r="Z47632" t="str">
        <f t="shared" si="744"/>
        <v/>
      </c>
    </row>
    <row r="47633" spans="26:26" x14ac:dyDescent="0.2">
      <c r="Z47633" t="str">
        <f t="shared" si="744"/>
        <v/>
      </c>
    </row>
    <row r="47634" spans="26:26" x14ac:dyDescent="0.2">
      <c r="Z47634" t="str">
        <f t="shared" si="744"/>
        <v/>
      </c>
    </row>
    <row r="47635" spans="26:26" x14ac:dyDescent="0.2">
      <c r="Z47635" t="str">
        <f t="shared" si="744"/>
        <v/>
      </c>
    </row>
    <row r="47636" spans="26:26" x14ac:dyDescent="0.2">
      <c r="Z47636" t="str">
        <f t="shared" si="744"/>
        <v/>
      </c>
    </row>
    <row r="47637" spans="26:26" x14ac:dyDescent="0.2">
      <c r="Z47637" t="str">
        <f t="shared" si="744"/>
        <v/>
      </c>
    </row>
    <row r="47638" spans="26:26" x14ac:dyDescent="0.2">
      <c r="Z47638" t="str">
        <f t="shared" si="744"/>
        <v/>
      </c>
    </row>
    <row r="47639" spans="26:26" x14ac:dyDescent="0.2">
      <c r="Z47639" t="str">
        <f t="shared" si="744"/>
        <v/>
      </c>
    </row>
    <row r="47640" spans="26:26" x14ac:dyDescent="0.2">
      <c r="Z47640" t="str">
        <f t="shared" si="744"/>
        <v/>
      </c>
    </row>
    <row r="47641" spans="26:26" x14ac:dyDescent="0.2">
      <c r="Z47641" t="str">
        <f t="shared" si="744"/>
        <v/>
      </c>
    </row>
    <row r="47642" spans="26:26" x14ac:dyDescent="0.2">
      <c r="Z47642" t="str">
        <f t="shared" si="744"/>
        <v/>
      </c>
    </row>
    <row r="47643" spans="26:26" x14ac:dyDescent="0.2">
      <c r="Z47643" t="str">
        <f t="shared" si="744"/>
        <v/>
      </c>
    </row>
    <row r="47644" spans="26:26" x14ac:dyDescent="0.2">
      <c r="Z47644" t="str">
        <f t="shared" si="744"/>
        <v/>
      </c>
    </row>
    <row r="47645" spans="26:26" x14ac:dyDescent="0.2">
      <c r="Z47645" t="str">
        <f t="shared" si="744"/>
        <v/>
      </c>
    </row>
    <row r="47646" spans="26:26" x14ac:dyDescent="0.2">
      <c r="Z47646" t="str">
        <f t="shared" si="744"/>
        <v/>
      </c>
    </row>
    <row r="47647" spans="26:26" x14ac:dyDescent="0.2">
      <c r="Z47647" t="str">
        <f t="shared" si="744"/>
        <v/>
      </c>
    </row>
    <row r="47648" spans="26:26" x14ac:dyDescent="0.2">
      <c r="Z47648" t="str">
        <f t="shared" si="744"/>
        <v/>
      </c>
    </row>
    <row r="47649" spans="26:26" x14ac:dyDescent="0.2">
      <c r="Z47649" t="str">
        <f t="shared" si="744"/>
        <v/>
      </c>
    </row>
    <row r="47650" spans="26:26" x14ac:dyDescent="0.2">
      <c r="Z47650" t="str">
        <f t="shared" si="744"/>
        <v/>
      </c>
    </row>
    <row r="47651" spans="26:26" x14ac:dyDescent="0.2">
      <c r="Z47651" t="str">
        <f t="shared" si="744"/>
        <v/>
      </c>
    </row>
    <row r="47652" spans="26:26" x14ac:dyDescent="0.2">
      <c r="Z47652" t="str">
        <f t="shared" si="744"/>
        <v/>
      </c>
    </row>
    <row r="47653" spans="26:26" x14ac:dyDescent="0.2">
      <c r="Z47653" t="str">
        <f t="shared" si="744"/>
        <v/>
      </c>
    </row>
    <row r="47654" spans="26:26" x14ac:dyDescent="0.2">
      <c r="Z47654" t="str">
        <f t="shared" si="744"/>
        <v/>
      </c>
    </row>
    <row r="47655" spans="26:26" x14ac:dyDescent="0.2">
      <c r="Z47655" t="str">
        <f t="shared" si="744"/>
        <v/>
      </c>
    </row>
    <row r="47656" spans="26:26" x14ac:dyDescent="0.2">
      <c r="Z47656" t="str">
        <f t="shared" si="744"/>
        <v/>
      </c>
    </row>
    <row r="47657" spans="26:26" x14ac:dyDescent="0.2">
      <c r="Z47657" t="str">
        <f t="shared" si="744"/>
        <v/>
      </c>
    </row>
    <row r="47658" spans="26:26" x14ac:dyDescent="0.2">
      <c r="Z47658" t="str">
        <f t="shared" si="744"/>
        <v/>
      </c>
    </row>
    <row r="47659" spans="26:26" x14ac:dyDescent="0.2">
      <c r="Z47659" t="str">
        <f t="shared" si="744"/>
        <v/>
      </c>
    </row>
    <row r="47660" spans="26:26" x14ac:dyDescent="0.2">
      <c r="Z47660" t="str">
        <f t="shared" si="744"/>
        <v/>
      </c>
    </row>
    <row r="47661" spans="26:26" x14ac:dyDescent="0.2">
      <c r="Z47661" t="str">
        <f t="shared" si="744"/>
        <v/>
      </c>
    </row>
    <row r="47662" spans="26:26" x14ac:dyDescent="0.2">
      <c r="Z47662" t="str">
        <f t="shared" si="744"/>
        <v/>
      </c>
    </row>
    <row r="47663" spans="26:26" x14ac:dyDescent="0.2">
      <c r="Z47663" t="str">
        <f t="shared" si="744"/>
        <v/>
      </c>
    </row>
    <row r="47664" spans="26:26" x14ac:dyDescent="0.2">
      <c r="Z47664" t="str">
        <f t="shared" si="744"/>
        <v/>
      </c>
    </row>
    <row r="47665" spans="26:26" x14ac:dyDescent="0.2">
      <c r="Z47665" t="str">
        <f t="shared" si="744"/>
        <v/>
      </c>
    </row>
    <row r="47666" spans="26:26" x14ac:dyDescent="0.2">
      <c r="Z47666" t="str">
        <f t="shared" si="744"/>
        <v/>
      </c>
    </row>
    <row r="47667" spans="26:26" x14ac:dyDescent="0.2">
      <c r="Z47667" t="str">
        <f t="shared" si="744"/>
        <v/>
      </c>
    </row>
    <row r="47668" spans="26:26" x14ac:dyDescent="0.2">
      <c r="Z47668" t="str">
        <f t="shared" si="744"/>
        <v/>
      </c>
    </row>
    <row r="47669" spans="26:26" x14ac:dyDescent="0.2">
      <c r="Z47669" t="str">
        <f t="shared" si="744"/>
        <v/>
      </c>
    </row>
    <row r="47670" spans="26:26" x14ac:dyDescent="0.2">
      <c r="Z47670" t="str">
        <f t="shared" si="744"/>
        <v/>
      </c>
    </row>
    <row r="47671" spans="26:26" x14ac:dyDescent="0.2">
      <c r="Z47671" t="str">
        <f t="shared" si="744"/>
        <v/>
      </c>
    </row>
    <row r="47672" spans="26:26" x14ac:dyDescent="0.2">
      <c r="Z47672" t="str">
        <f t="shared" si="744"/>
        <v/>
      </c>
    </row>
    <row r="47673" spans="26:26" x14ac:dyDescent="0.2">
      <c r="Z47673" t="str">
        <f t="shared" si="744"/>
        <v/>
      </c>
    </row>
    <row r="47674" spans="26:26" x14ac:dyDescent="0.2">
      <c r="Z47674" t="str">
        <f t="shared" si="744"/>
        <v/>
      </c>
    </row>
    <row r="47675" spans="26:26" x14ac:dyDescent="0.2">
      <c r="Z47675" t="str">
        <f t="shared" si="744"/>
        <v/>
      </c>
    </row>
    <row r="47676" spans="26:26" x14ac:dyDescent="0.2">
      <c r="Z47676" t="str">
        <f t="shared" si="744"/>
        <v/>
      </c>
    </row>
    <row r="47677" spans="26:26" x14ac:dyDescent="0.2">
      <c r="Z47677" t="str">
        <f t="shared" si="744"/>
        <v/>
      </c>
    </row>
    <row r="47678" spans="26:26" x14ac:dyDescent="0.2">
      <c r="Z47678" t="str">
        <f t="shared" si="744"/>
        <v/>
      </c>
    </row>
    <row r="47679" spans="26:26" x14ac:dyDescent="0.2">
      <c r="Z47679" t="str">
        <f t="shared" si="744"/>
        <v/>
      </c>
    </row>
    <row r="47680" spans="26:26" x14ac:dyDescent="0.2">
      <c r="Z47680" t="str">
        <f t="shared" si="744"/>
        <v/>
      </c>
    </row>
    <row r="47681" spans="26:26" x14ac:dyDescent="0.2">
      <c r="Z47681" t="str">
        <f t="shared" si="744"/>
        <v/>
      </c>
    </row>
    <row r="47682" spans="26:26" x14ac:dyDescent="0.2">
      <c r="Z47682" t="str">
        <f t="shared" si="744"/>
        <v/>
      </c>
    </row>
    <row r="47683" spans="26:26" x14ac:dyDescent="0.2">
      <c r="Z47683" t="str">
        <f t="shared" ref="Z47683:Z47746" si="745">IF(K47683="","",IFERROR(VALUE(TRIM(MID(K47683,FIND(CHAR(167),SUBSTITUTE(K47683,"-",CHAR(167),LEN(K47683)-LEN(SUBSTITUTE(K47683,"-",""))))+1,100))),K47683))</f>
        <v/>
      </c>
    </row>
    <row r="47684" spans="26:26" x14ac:dyDescent="0.2">
      <c r="Z47684" t="str">
        <f t="shared" si="745"/>
        <v/>
      </c>
    </row>
    <row r="47685" spans="26:26" x14ac:dyDescent="0.2">
      <c r="Z47685" t="str">
        <f t="shared" si="745"/>
        <v/>
      </c>
    </row>
    <row r="47686" spans="26:26" x14ac:dyDescent="0.2">
      <c r="Z47686" t="str">
        <f t="shared" si="745"/>
        <v/>
      </c>
    </row>
    <row r="47687" spans="26:26" x14ac:dyDescent="0.2">
      <c r="Z47687" t="str">
        <f t="shared" si="745"/>
        <v/>
      </c>
    </row>
    <row r="47688" spans="26:26" x14ac:dyDescent="0.2">
      <c r="Z47688" t="str">
        <f t="shared" si="745"/>
        <v/>
      </c>
    </row>
    <row r="47689" spans="26:26" x14ac:dyDescent="0.2">
      <c r="Z47689" t="str">
        <f t="shared" si="745"/>
        <v/>
      </c>
    </row>
    <row r="47690" spans="26:26" x14ac:dyDescent="0.2">
      <c r="Z47690" t="str">
        <f t="shared" si="745"/>
        <v/>
      </c>
    </row>
    <row r="47691" spans="26:26" x14ac:dyDescent="0.2">
      <c r="Z47691" t="str">
        <f t="shared" si="745"/>
        <v/>
      </c>
    </row>
    <row r="47692" spans="26:26" x14ac:dyDescent="0.2">
      <c r="Z47692" t="str">
        <f t="shared" si="745"/>
        <v/>
      </c>
    </row>
    <row r="47693" spans="26:26" x14ac:dyDescent="0.2">
      <c r="Z47693" t="str">
        <f t="shared" si="745"/>
        <v/>
      </c>
    </row>
    <row r="47694" spans="26:26" x14ac:dyDescent="0.2">
      <c r="Z47694" t="str">
        <f t="shared" si="745"/>
        <v/>
      </c>
    </row>
    <row r="47695" spans="26:26" x14ac:dyDescent="0.2">
      <c r="Z47695" t="str">
        <f t="shared" si="745"/>
        <v/>
      </c>
    </row>
    <row r="47696" spans="26:26" x14ac:dyDescent="0.2">
      <c r="Z47696" t="str">
        <f t="shared" si="745"/>
        <v/>
      </c>
    </row>
    <row r="47697" spans="26:26" x14ac:dyDescent="0.2">
      <c r="Z47697" t="str">
        <f t="shared" si="745"/>
        <v/>
      </c>
    </row>
    <row r="47698" spans="26:26" x14ac:dyDescent="0.2">
      <c r="Z47698" t="str">
        <f t="shared" si="745"/>
        <v/>
      </c>
    </row>
    <row r="47699" spans="26:26" x14ac:dyDescent="0.2">
      <c r="Z47699" t="str">
        <f t="shared" si="745"/>
        <v/>
      </c>
    </row>
    <row r="47700" spans="26:26" x14ac:dyDescent="0.2">
      <c r="Z47700" t="str">
        <f t="shared" si="745"/>
        <v/>
      </c>
    </row>
    <row r="47701" spans="26:26" x14ac:dyDescent="0.2">
      <c r="Z47701" t="str">
        <f t="shared" si="745"/>
        <v/>
      </c>
    </row>
    <row r="47702" spans="26:26" x14ac:dyDescent="0.2">
      <c r="Z47702" t="str">
        <f t="shared" si="745"/>
        <v/>
      </c>
    </row>
    <row r="47703" spans="26:26" x14ac:dyDescent="0.2">
      <c r="Z47703" t="str">
        <f t="shared" si="745"/>
        <v/>
      </c>
    </row>
    <row r="47704" spans="26:26" x14ac:dyDescent="0.2">
      <c r="Z47704" t="str">
        <f t="shared" si="745"/>
        <v/>
      </c>
    </row>
    <row r="47705" spans="26:26" x14ac:dyDescent="0.2">
      <c r="Z47705" t="str">
        <f t="shared" si="745"/>
        <v/>
      </c>
    </row>
    <row r="47706" spans="26:26" x14ac:dyDescent="0.2">
      <c r="Z47706" t="str">
        <f t="shared" si="745"/>
        <v/>
      </c>
    </row>
    <row r="47707" spans="26:26" x14ac:dyDescent="0.2">
      <c r="Z47707" t="str">
        <f t="shared" si="745"/>
        <v/>
      </c>
    </row>
    <row r="47708" spans="26:26" x14ac:dyDescent="0.2">
      <c r="Z47708" t="str">
        <f t="shared" si="745"/>
        <v/>
      </c>
    </row>
    <row r="47709" spans="26:26" x14ac:dyDescent="0.2">
      <c r="Z47709" t="str">
        <f t="shared" si="745"/>
        <v/>
      </c>
    </row>
    <row r="47710" spans="26:26" x14ac:dyDescent="0.2">
      <c r="Z47710" t="str">
        <f t="shared" si="745"/>
        <v/>
      </c>
    </row>
    <row r="47711" spans="26:26" x14ac:dyDescent="0.2">
      <c r="Z47711" t="str">
        <f t="shared" si="745"/>
        <v/>
      </c>
    </row>
    <row r="47712" spans="26:26" x14ac:dyDescent="0.2">
      <c r="Z47712" t="str">
        <f t="shared" si="745"/>
        <v/>
      </c>
    </row>
    <row r="47713" spans="26:26" x14ac:dyDescent="0.2">
      <c r="Z47713" t="str">
        <f t="shared" si="745"/>
        <v/>
      </c>
    </row>
    <row r="47714" spans="26:26" x14ac:dyDescent="0.2">
      <c r="Z47714" t="str">
        <f t="shared" si="745"/>
        <v/>
      </c>
    </row>
    <row r="47715" spans="26:26" x14ac:dyDescent="0.2">
      <c r="Z47715" t="str">
        <f t="shared" si="745"/>
        <v/>
      </c>
    </row>
    <row r="47716" spans="26:26" x14ac:dyDescent="0.2">
      <c r="Z47716" t="str">
        <f t="shared" si="745"/>
        <v/>
      </c>
    </row>
    <row r="47717" spans="26:26" x14ac:dyDescent="0.2">
      <c r="Z47717" t="str">
        <f t="shared" si="745"/>
        <v/>
      </c>
    </row>
    <row r="47718" spans="26:26" x14ac:dyDescent="0.2">
      <c r="Z47718" t="str">
        <f t="shared" si="745"/>
        <v/>
      </c>
    </row>
    <row r="47719" spans="26:26" x14ac:dyDescent="0.2">
      <c r="Z47719" t="str">
        <f t="shared" si="745"/>
        <v/>
      </c>
    </row>
    <row r="47720" spans="26:26" x14ac:dyDescent="0.2">
      <c r="Z47720" t="str">
        <f t="shared" si="745"/>
        <v/>
      </c>
    </row>
    <row r="47721" spans="26:26" x14ac:dyDescent="0.2">
      <c r="Z47721" t="str">
        <f t="shared" si="745"/>
        <v/>
      </c>
    </row>
    <row r="47722" spans="26:26" x14ac:dyDescent="0.2">
      <c r="Z47722" t="str">
        <f t="shared" si="745"/>
        <v/>
      </c>
    </row>
    <row r="47723" spans="26:26" x14ac:dyDescent="0.2">
      <c r="Z47723" t="str">
        <f t="shared" si="745"/>
        <v/>
      </c>
    </row>
    <row r="47724" spans="26:26" x14ac:dyDescent="0.2">
      <c r="Z47724" t="str">
        <f t="shared" si="745"/>
        <v/>
      </c>
    </row>
    <row r="47725" spans="26:26" x14ac:dyDescent="0.2">
      <c r="Z47725" t="str">
        <f t="shared" si="745"/>
        <v/>
      </c>
    </row>
    <row r="47726" spans="26:26" x14ac:dyDescent="0.2">
      <c r="Z47726" t="str">
        <f t="shared" si="745"/>
        <v/>
      </c>
    </row>
    <row r="47727" spans="26:26" x14ac:dyDescent="0.2">
      <c r="Z47727" t="str">
        <f t="shared" si="745"/>
        <v/>
      </c>
    </row>
    <row r="47728" spans="26:26" x14ac:dyDescent="0.2">
      <c r="Z47728" t="str">
        <f t="shared" si="745"/>
        <v/>
      </c>
    </row>
    <row r="47729" spans="26:26" x14ac:dyDescent="0.2">
      <c r="Z47729" t="str">
        <f t="shared" si="745"/>
        <v/>
      </c>
    </row>
    <row r="47730" spans="26:26" x14ac:dyDescent="0.2">
      <c r="Z47730" t="str">
        <f t="shared" si="745"/>
        <v/>
      </c>
    </row>
    <row r="47731" spans="26:26" x14ac:dyDescent="0.2">
      <c r="Z47731" t="str">
        <f t="shared" si="745"/>
        <v/>
      </c>
    </row>
    <row r="47732" spans="26:26" x14ac:dyDescent="0.2">
      <c r="Z47732" t="str">
        <f t="shared" si="745"/>
        <v/>
      </c>
    </row>
    <row r="47733" spans="26:26" x14ac:dyDescent="0.2">
      <c r="Z47733" t="str">
        <f t="shared" si="745"/>
        <v/>
      </c>
    </row>
    <row r="47734" spans="26:26" x14ac:dyDescent="0.2">
      <c r="Z47734" t="str">
        <f t="shared" si="745"/>
        <v/>
      </c>
    </row>
    <row r="47735" spans="26:26" x14ac:dyDescent="0.2">
      <c r="Z47735" t="str">
        <f t="shared" si="745"/>
        <v/>
      </c>
    </row>
    <row r="47736" spans="26:26" x14ac:dyDescent="0.2">
      <c r="Z47736" t="str">
        <f t="shared" si="745"/>
        <v/>
      </c>
    </row>
    <row r="47737" spans="26:26" x14ac:dyDescent="0.2">
      <c r="Z47737" t="str">
        <f t="shared" si="745"/>
        <v/>
      </c>
    </row>
    <row r="47738" spans="26:26" x14ac:dyDescent="0.2">
      <c r="Z47738" t="str">
        <f t="shared" si="745"/>
        <v/>
      </c>
    </row>
    <row r="47739" spans="26:26" x14ac:dyDescent="0.2">
      <c r="Z47739" t="str">
        <f t="shared" si="745"/>
        <v/>
      </c>
    </row>
    <row r="47740" spans="26:26" x14ac:dyDescent="0.2">
      <c r="Z47740" t="str">
        <f t="shared" si="745"/>
        <v/>
      </c>
    </row>
    <row r="47741" spans="26:26" x14ac:dyDescent="0.2">
      <c r="Z47741" t="str">
        <f t="shared" si="745"/>
        <v/>
      </c>
    </row>
    <row r="47742" spans="26:26" x14ac:dyDescent="0.2">
      <c r="Z47742" t="str">
        <f t="shared" si="745"/>
        <v/>
      </c>
    </row>
    <row r="47743" spans="26:26" x14ac:dyDescent="0.2">
      <c r="Z47743" t="str">
        <f t="shared" si="745"/>
        <v/>
      </c>
    </row>
    <row r="47744" spans="26:26" x14ac:dyDescent="0.2">
      <c r="Z47744" t="str">
        <f t="shared" si="745"/>
        <v/>
      </c>
    </row>
    <row r="47745" spans="26:26" x14ac:dyDescent="0.2">
      <c r="Z47745" t="str">
        <f t="shared" si="745"/>
        <v/>
      </c>
    </row>
    <row r="47746" spans="26:26" x14ac:dyDescent="0.2">
      <c r="Z47746" t="str">
        <f t="shared" si="745"/>
        <v/>
      </c>
    </row>
    <row r="47747" spans="26:26" x14ac:dyDescent="0.2">
      <c r="Z47747" t="str">
        <f t="shared" ref="Z47747:Z47810" si="746">IF(K47747="","",IFERROR(VALUE(TRIM(MID(K47747,FIND(CHAR(167),SUBSTITUTE(K47747,"-",CHAR(167),LEN(K47747)-LEN(SUBSTITUTE(K47747,"-",""))))+1,100))),K47747))</f>
        <v/>
      </c>
    </row>
    <row r="47748" spans="26:26" x14ac:dyDescent="0.2">
      <c r="Z47748" t="str">
        <f t="shared" si="746"/>
        <v/>
      </c>
    </row>
    <row r="47749" spans="26:26" x14ac:dyDescent="0.2">
      <c r="Z47749" t="str">
        <f t="shared" si="746"/>
        <v/>
      </c>
    </row>
    <row r="47750" spans="26:26" x14ac:dyDescent="0.2">
      <c r="Z47750" t="str">
        <f t="shared" si="746"/>
        <v/>
      </c>
    </row>
    <row r="47751" spans="26:26" x14ac:dyDescent="0.2">
      <c r="Z47751" t="str">
        <f t="shared" si="746"/>
        <v/>
      </c>
    </row>
    <row r="47752" spans="26:26" x14ac:dyDescent="0.2">
      <c r="Z47752" t="str">
        <f t="shared" si="746"/>
        <v/>
      </c>
    </row>
    <row r="47753" spans="26:26" x14ac:dyDescent="0.2">
      <c r="Z47753" t="str">
        <f t="shared" si="746"/>
        <v/>
      </c>
    </row>
    <row r="47754" spans="26:26" x14ac:dyDescent="0.2">
      <c r="Z47754" t="str">
        <f t="shared" si="746"/>
        <v/>
      </c>
    </row>
    <row r="47755" spans="26:26" x14ac:dyDescent="0.2">
      <c r="Z47755" t="str">
        <f t="shared" si="746"/>
        <v/>
      </c>
    </row>
    <row r="47756" spans="26:26" x14ac:dyDescent="0.2">
      <c r="Z47756" t="str">
        <f t="shared" si="746"/>
        <v/>
      </c>
    </row>
    <row r="47757" spans="26:26" x14ac:dyDescent="0.2">
      <c r="Z47757" t="str">
        <f t="shared" si="746"/>
        <v/>
      </c>
    </row>
    <row r="47758" spans="26:26" x14ac:dyDescent="0.2">
      <c r="Z47758" t="str">
        <f t="shared" si="746"/>
        <v/>
      </c>
    </row>
    <row r="47759" spans="26:26" x14ac:dyDescent="0.2">
      <c r="Z47759" t="str">
        <f t="shared" si="746"/>
        <v/>
      </c>
    </row>
    <row r="47760" spans="26:26" x14ac:dyDescent="0.2">
      <c r="Z47760" t="str">
        <f t="shared" si="746"/>
        <v/>
      </c>
    </row>
    <row r="47761" spans="26:26" x14ac:dyDescent="0.2">
      <c r="Z47761" t="str">
        <f t="shared" si="746"/>
        <v/>
      </c>
    </row>
    <row r="47762" spans="26:26" x14ac:dyDescent="0.2">
      <c r="Z47762" t="str">
        <f t="shared" si="746"/>
        <v/>
      </c>
    </row>
    <row r="47763" spans="26:26" x14ac:dyDescent="0.2">
      <c r="Z47763" t="str">
        <f t="shared" si="746"/>
        <v/>
      </c>
    </row>
    <row r="47764" spans="26:26" x14ac:dyDescent="0.2">
      <c r="Z47764" t="str">
        <f t="shared" si="746"/>
        <v/>
      </c>
    </row>
    <row r="47765" spans="26:26" x14ac:dyDescent="0.2">
      <c r="Z47765" t="str">
        <f t="shared" si="746"/>
        <v/>
      </c>
    </row>
    <row r="47766" spans="26:26" x14ac:dyDescent="0.2">
      <c r="Z47766" t="str">
        <f t="shared" si="746"/>
        <v/>
      </c>
    </row>
    <row r="47767" spans="26:26" x14ac:dyDescent="0.2">
      <c r="Z47767" t="str">
        <f t="shared" si="746"/>
        <v/>
      </c>
    </row>
    <row r="47768" spans="26:26" x14ac:dyDescent="0.2">
      <c r="Z47768" t="str">
        <f t="shared" si="746"/>
        <v/>
      </c>
    </row>
    <row r="47769" spans="26:26" x14ac:dyDescent="0.2">
      <c r="Z47769" t="str">
        <f t="shared" si="746"/>
        <v/>
      </c>
    </row>
    <row r="47770" spans="26:26" x14ac:dyDescent="0.2">
      <c r="Z47770" t="str">
        <f t="shared" si="746"/>
        <v/>
      </c>
    </row>
    <row r="47771" spans="26:26" x14ac:dyDescent="0.2">
      <c r="Z47771" t="str">
        <f t="shared" si="746"/>
        <v/>
      </c>
    </row>
    <row r="47772" spans="26:26" x14ac:dyDescent="0.2">
      <c r="Z47772" t="str">
        <f t="shared" si="746"/>
        <v/>
      </c>
    </row>
    <row r="47773" spans="26:26" x14ac:dyDescent="0.2">
      <c r="Z47773" t="str">
        <f t="shared" si="746"/>
        <v/>
      </c>
    </row>
    <row r="47774" spans="26:26" x14ac:dyDescent="0.2">
      <c r="Z47774" t="str">
        <f t="shared" si="746"/>
        <v/>
      </c>
    </row>
    <row r="47775" spans="26:26" x14ac:dyDescent="0.2">
      <c r="Z47775" t="str">
        <f t="shared" si="746"/>
        <v/>
      </c>
    </row>
    <row r="47776" spans="26:26" x14ac:dyDescent="0.2">
      <c r="Z47776" t="str">
        <f t="shared" si="746"/>
        <v/>
      </c>
    </row>
    <row r="47777" spans="26:26" x14ac:dyDescent="0.2">
      <c r="Z47777" t="str">
        <f t="shared" si="746"/>
        <v/>
      </c>
    </row>
    <row r="47778" spans="26:26" x14ac:dyDescent="0.2">
      <c r="Z47778" t="str">
        <f t="shared" si="746"/>
        <v/>
      </c>
    </row>
    <row r="47779" spans="26:26" x14ac:dyDescent="0.2">
      <c r="Z47779" t="str">
        <f t="shared" si="746"/>
        <v/>
      </c>
    </row>
    <row r="47780" spans="26:26" x14ac:dyDescent="0.2">
      <c r="Z47780" t="str">
        <f t="shared" si="746"/>
        <v/>
      </c>
    </row>
    <row r="47781" spans="26:26" x14ac:dyDescent="0.2">
      <c r="Z47781" t="str">
        <f t="shared" si="746"/>
        <v/>
      </c>
    </row>
    <row r="47782" spans="26:26" x14ac:dyDescent="0.2">
      <c r="Z47782" t="str">
        <f t="shared" si="746"/>
        <v/>
      </c>
    </row>
    <row r="47783" spans="26:26" x14ac:dyDescent="0.2">
      <c r="Z47783" t="str">
        <f t="shared" si="746"/>
        <v/>
      </c>
    </row>
    <row r="47784" spans="26:26" x14ac:dyDescent="0.2">
      <c r="Z47784" t="str">
        <f t="shared" si="746"/>
        <v/>
      </c>
    </row>
    <row r="47785" spans="26:26" x14ac:dyDescent="0.2">
      <c r="Z47785" t="str">
        <f t="shared" si="746"/>
        <v/>
      </c>
    </row>
    <row r="47786" spans="26:26" x14ac:dyDescent="0.2">
      <c r="Z47786" t="str">
        <f t="shared" si="746"/>
        <v/>
      </c>
    </row>
    <row r="47787" spans="26:26" x14ac:dyDescent="0.2">
      <c r="Z47787" t="str">
        <f t="shared" si="746"/>
        <v/>
      </c>
    </row>
    <row r="47788" spans="26:26" x14ac:dyDescent="0.2">
      <c r="Z47788" t="str">
        <f t="shared" si="746"/>
        <v/>
      </c>
    </row>
    <row r="47789" spans="26:26" x14ac:dyDescent="0.2">
      <c r="Z47789" t="str">
        <f t="shared" si="746"/>
        <v/>
      </c>
    </row>
    <row r="47790" spans="26:26" x14ac:dyDescent="0.2">
      <c r="Z47790" t="str">
        <f t="shared" si="746"/>
        <v/>
      </c>
    </row>
    <row r="47791" spans="26:26" x14ac:dyDescent="0.2">
      <c r="Z47791" t="str">
        <f t="shared" si="746"/>
        <v/>
      </c>
    </row>
    <row r="47792" spans="26:26" x14ac:dyDescent="0.2">
      <c r="Z47792" t="str">
        <f t="shared" si="746"/>
        <v/>
      </c>
    </row>
    <row r="47793" spans="26:26" x14ac:dyDescent="0.2">
      <c r="Z47793" t="str">
        <f t="shared" si="746"/>
        <v/>
      </c>
    </row>
    <row r="47794" spans="26:26" x14ac:dyDescent="0.2">
      <c r="Z47794" t="str">
        <f t="shared" si="746"/>
        <v/>
      </c>
    </row>
    <row r="47795" spans="26:26" x14ac:dyDescent="0.2">
      <c r="Z47795" t="str">
        <f t="shared" si="746"/>
        <v/>
      </c>
    </row>
    <row r="47796" spans="26:26" x14ac:dyDescent="0.2">
      <c r="Z47796" t="str">
        <f t="shared" si="746"/>
        <v/>
      </c>
    </row>
    <row r="47797" spans="26:26" x14ac:dyDescent="0.2">
      <c r="Z47797" t="str">
        <f t="shared" si="746"/>
        <v/>
      </c>
    </row>
    <row r="47798" spans="26:26" x14ac:dyDescent="0.2">
      <c r="Z47798" t="str">
        <f t="shared" si="746"/>
        <v/>
      </c>
    </row>
    <row r="47799" spans="26:26" x14ac:dyDescent="0.2">
      <c r="Z47799" t="str">
        <f t="shared" si="746"/>
        <v/>
      </c>
    </row>
    <row r="47800" spans="26:26" x14ac:dyDescent="0.2">
      <c r="Z47800" t="str">
        <f t="shared" si="746"/>
        <v/>
      </c>
    </row>
    <row r="47801" spans="26:26" x14ac:dyDescent="0.2">
      <c r="Z47801" t="str">
        <f t="shared" si="746"/>
        <v/>
      </c>
    </row>
    <row r="47802" spans="26:26" x14ac:dyDescent="0.2">
      <c r="Z47802" t="str">
        <f t="shared" si="746"/>
        <v/>
      </c>
    </row>
    <row r="47803" spans="26:26" x14ac:dyDescent="0.2">
      <c r="Z47803" t="str">
        <f t="shared" si="746"/>
        <v/>
      </c>
    </row>
    <row r="47804" spans="26:26" x14ac:dyDescent="0.2">
      <c r="Z47804" t="str">
        <f t="shared" si="746"/>
        <v/>
      </c>
    </row>
    <row r="47805" spans="26:26" x14ac:dyDescent="0.2">
      <c r="Z47805" t="str">
        <f t="shared" si="746"/>
        <v/>
      </c>
    </row>
    <row r="47806" spans="26:26" x14ac:dyDescent="0.2">
      <c r="Z47806" t="str">
        <f t="shared" si="746"/>
        <v/>
      </c>
    </row>
    <row r="47807" spans="26:26" x14ac:dyDescent="0.2">
      <c r="Z47807" t="str">
        <f t="shared" si="746"/>
        <v/>
      </c>
    </row>
    <row r="47808" spans="26:26" x14ac:dyDescent="0.2">
      <c r="Z47808" t="str">
        <f t="shared" si="746"/>
        <v/>
      </c>
    </row>
    <row r="47809" spans="26:26" x14ac:dyDescent="0.2">
      <c r="Z47809" t="str">
        <f t="shared" si="746"/>
        <v/>
      </c>
    </row>
    <row r="47810" spans="26:26" x14ac:dyDescent="0.2">
      <c r="Z47810" t="str">
        <f t="shared" si="746"/>
        <v/>
      </c>
    </row>
    <row r="47811" spans="26:26" x14ac:dyDescent="0.2">
      <c r="Z47811" t="str">
        <f t="shared" ref="Z47811:Z47874" si="747">IF(K47811="","",IFERROR(VALUE(TRIM(MID(K47811,FIND(CHAR(167),SUBSTITUTE(K47811,"-",CHAR(167),LEN(K47811)-LEN(SUBSTITUTE(K47811,"-",""))))+1,100))),K47811))</f>
        <v/>
      </c>
    </row>
    <row r="47812" spans="26:26" x14ac:dyDescent="0.2">
      <c r="Z47812" t="str">
        <f t="shared" si="747"/>
        <v/>
      </c>
    </row>
    <row r="47813" spans="26:26" x14ac:dyDescent="0.2">
      <c r="Z47813" t="str">
        <f t="shared" si="747"/>
        <v/>
      </c>
    </row>
    <row r="47814" spans="26:26" x14ac:dyDescent="0.2">
      <c r="Z47814" t="str">
        <f t="shared" si="747"/>
        <v/>
      </c>
    </row>
    <row r="47815" spans="26:26" x14ac:dyDescent="0.2">
      <c r="Z47815" t="str">
        <f t="shared" si="747"/>
        <v/>
      </c>
    </row>
    <row r="47816" spans="26:26" x14ac:dyDescent="0.2">
      <c r="Z47816" t="str">
        <f t="shared" si="747"/>
        <v/>
      </c>
    </row>
    <row r="47817" spans="26:26" x14ac:dyDescent="0.2">
      <c r="Z47817" t="str">
        <f t="shared" si="747"/>
        <v/>
      </c>
    </row>
    <row r="47818" spans="26:26" x14ac:dyDescent="0.2">
      <c r="Z47818" t="str">
        <f t="shared" si="747"/>
        <v/>
      </c>
    </row>
    <row r="47819" spans="26:26" x14ac:dyDescent="0.2">
      <c r="Z47819" t="str">
        <f t="shared" si="747"/>
        <v/>
      </c>
    </row>
    <row r="47820" spans="26:26" x14ac:dyDescent="0.2">
      <c r="Z47820" t="str">
        <f t="shared" si="747"/>
        <v/>
      </c>
    </row>
    <row r="47821" spans="26:26" x14ac:dyDescent="0.2">
      <c r="Z47821" t="str">
        <f t="shared" si="747"/>
        <v/>
      </c>
    </row>
    <row r="47822" spans="26:26" x14ac:dyDescent="0.2">
      <c r="Z47822" t="str">
        <f t="shared" si="747"/>
        <v/>
      </c>
    </row>
    <row r="47823" spans="26:26" x14ac:dyDescent="0.2">
      <c r="Z47823" t="str">
        <f t="shared" si="747"/>
        <v/>
      </c>
    </row>
    <row r="47824" spans="26:26" x14ac:dyDescent="0.2">
      <c r="Z47824" t="str">
        <f t="shared" si="747"/>
        <v/>
      </c>
    </row>
    <row r="47825" spans="26:26" x14ac:dyDescent="0.2">
      <c r="Z47825" t="str">
        <f t="shared" si="747"/>
        <v/>
      </c>
    </row>
    <row r="47826" spans="26:26" x14ac:dyDescent="0.2">
      <c r="Z47826" t="str">
        <f t="shared" si="747"/>
        <v/>
      </c>
    </row>
    <row r="47827" spans="26:26" x14ac:dyDescent="0.2">
      <c r="Z47827" t="str">
        <f t="shared" si="747"/>
        <v/>
      </c>
    </row>
    <row r="47828" spans="26:26" x14ac:dyDescent="0.2">
      <c r="Z47828" t="str">
        <f t="shared" si="747"/>
        <v/>
      </c>
    </row>
    <row r="47829" spans="26:26" x14ac:dyDescent="0.2">
      <c r="Z47829" t="str">
        <f t="shared" si="747"/>
        <v/>
      </c>
    </row>
    <row r="47830" spans="26:26" x14ac:dyDescent="0.2">
      <c r="Z47830" t="str">
        <f t="shared" si="747"/>
        <v/>
      </c>
    </row>
    <row r="47831" spans="26:26" x14ac:dyDescent="0.2">
      <c r="Z47831" t="str">
        <f t="shared" si="747"/>
        <v/>
      </c>
    </row>
    <row r="47832" spans="26:26" x14ac:dyDescent="0.2">
      <c r="Z47832" t="str">
        <f t="shared" si="747"/>
        <v/>
      </c>
    </row>
    <row r="47833" spans="26:26" x14ac:dyDescent="0.2">
      <c r="Z47833" t="str">
        <f t="shared" si="747"/>
        <v/>
      </c>
    </row>
    <row r="47834" spans="26:26" x14ac:dyDescent="0.2">
      <c r="Z47834" t="str">
        <f t="shared" si="747"/>
        <v/>
      </c>
    </row>
    <row r="47835" spans="26:26" x14ac:dyDescent="0.2">
      <c r="Z47835" t="str">
        <f t="shared" si="747"/>
        <v/>
      </c>
    </row>
    <row r="47836" spans="26:26" x14ac:dyDescent="0.2">
      <c r="Z47836" t="str">
        <f t="shared" si="747"/>
        <v/>
      </c>
    </row>
    <row r="47837" spans="26:26" x14ac:dyDescent="0.2">
      <c r="Z47837" t="str">
        <f t="shared" si="747"/>
        <v/>
      </c>
    </row>
    <row r="47838" spans="26:26" x14ac:dyDescent="0.2">
      <c r="Z47838" t="str">
        <f t="shared" si="747"/>
        <v/>
      </c>
    </row>
    <row r="47839" spans="26:26" x14ac:dyDescent="0.2">
      <c r="Z47839" t="str">
        <f t="shared" si="747"/>
        <v/>
      </c>
    </row>
    <row r="47840" spans="26:26" x14ac:dyDescent="0.2">
      <c r="Z47840" t="str">
        <f t="shared" si="747"/>
        <v/>
      </c>
    </row>
    <row r="47841" spans="26:26" x14ac:dyDescent="0.2">
      <c r="Z47841" t="str">
        <f t="shared" si="747"/>
        <v/>
      </c>
    </row>
    <row r="47842" spans="26:26" x14ac:dyDescent="0.2">
      <c r="Z47842" t="str">
        <f t="shared" si="747"/>
        <v/>
      </c>
    </row>
    <row r="47843" spans="26:26" x14ac:dyDescent="0.2">
      <c r="Z47843" t="str">
        <f t="shared" si="747"/>
        <v/>
      </c>
    </row>
    <row r="47844" spans="26:26" x14ac:dyDescent="0.2">
      <c r="Z47844" t="str">
        <f t="shared" si="747"/>
        <v/>
      </c>
    </row>
    <row r="47845" spans="26:26" x14ac:dyDescent="0.2">
      <c r="Z47845" t="str">
        <f t="shared" si="747"/>
        <v/>
      </c>
    </row>
    <row r="47846" spans="26:26" x14ac:dyDescent="0.2">
      <c r="Z47846" t="str">
        <f t="shared" si="747"/>
        <v/>
      </c>
    </row>
    <row r="47847" spans="26:26" x14ac:dyDescent="0.2">
      <c r="Z47847" t="str">
        <f t="shared" si="747"/>
        <v/>
      </c>
    </row>
    <row r="47848" spans="26:26" x14ac:dyDescent="0.2">
      <c r="Z47848" t="str">
        <f t="shared" si="747"/>
        <v/>
      </c>
    </row>
    <row r="47849" spans="26:26" x14ac:dyDescent="0.2">
      <c r="Z47849" t="str">
        <f t="shared" si="747"/>
        <v/>
      </c>
    </row>
    <row r="47850" spans="26:26" x14ac:dyDescent="0.2">
      <c r="Z47850" t="str">
        <f t="shared" si="747"/>
        <v/>
      </c>
    </row>
    <row r="47851" spans="26:26" x14ac:dyDescent="0.2">
      <c r="Z47851" t="str">
        <f t="shared" si="747"/>
        <v/>
      </c>
    </row>
    <row r="47852" spans="26:26" x14ac:dyDescent="0.2">
      <c r="Z47852" t="str">
        <f t="shared" si="747"/>
        <v/>
      </c>
    </row>
    <row r="47853" spans="26:26" x14ac:dyDescent="0.2">
      <c r="Z47853" t="str">
        <f t="shared" si="747"/>
        <v/>
      </c>
    </row>
    <row r="47854" spans="26:26" x14ac:dyDescent="0.2">
      <c r="Z47854" t="str">
        <f t="shared" si="747"/>
        <v/>
      </c>
    </row>
    <row r="47855" spans="26:26" x14ac:dyDescent="0.2">
      <c r="Z47855" t="str">
        <f t="shared" si="747"/>
        <v/>
      </c>
    </row>
    <row r="47856" spans="26:26" x14ac:dyDescent="0.2">
      <c r="Z47856" t="str">
        <f t="shared" si="747"/>
        <v/>
      </c>
    </row>
    <row r="47857" spans="26:26" x14ac:dyDescent="0.2">
      <c r="Z47857" t="str">
        <f t="shared" si="747"/>
        <v/>
      </c>
    </row>
    <row r="47858" spans="26:26" x14ac:dyDescent="0.2">
      <c r="Z47858" t="str">
        <f t="shared" si="747"/>
        <v/>
      </c>
    </row>
    <row r="47859" spans="26:26" x14ac:dyDescent="0.2">
      <c r="Z47859" t="str">
        <f t="shared" si="747"/>
        <v/>
      </c>
    </row>
    <row r="47860" spans="26:26" x14ac:dyDescent="0.2">
      <c r="Z47860" t="str">
        <f t="shared" si="747"/>
        <v/>
      </c>
    </row>
    <row r="47861" spans="26:26" x14ac:dyDescent="0.2">
      <c r="Z47861" t="str">
        <f t="shared" si="747"/>
        <v/>
      </c>
    </row>
    <row r="47862" spans="26:26" x14ac:dyDescent="0.2">
      <c r="Z47862" t="str">
        <f t="shared" si="747"/>
        <v/>
      </c>
    </row>
    <row r="47863" spans="26:26" x14ac:dyDescent="0.2">
      <c r="Z47863" t="str">
        <f t="shared" si="747"/>
        <v/>
      </c>
    </row>
    <row r="47864" spans="26:26" x14ac:dyDescent="0.2">
      <c r="Z47864" t="str">
        <f t="shared" si="747"/>
        <v/>
      </c>
    </row>
    <row r="47865" spans="26:26" x14ac:dyDescent="0.2">
      <c r="Z47865" t="str">
        <f t="shared" si="747"/>
        <v/>
      </c>
    </row>
    <row r="47866" spans="26:26" x14ac:dyDescent="0.2">
      <c r="Z47866" t="str">
        <f t="shared" si="747"/>
        <v/>
      </c>
    </row>
    <row r="47867" spans="26:26" x14ac:dyDescent="0.2">
      <c r="Z47867" t="str">
        <f t="shared" si="747"/>
        <v/>
      </c>
    </row>
    <row r="47868" spans="26:26" x14ac:dyDescent="0.2">
      <c r="Z47868" t="str">
        <f t="shared" si="747"/>
        <v/>
      </c>
    </row>
    <row r="47869" spans="26:26" x14ac:dyDescent="0.2">
      <c r="Z47869" t="str">
        <f t="shared" si="747"/>
        <v/>
      </c>
    </row>
    <row r="47870" spans="26:26" x14ac:dyDescent="0.2">
      <c r="Z47870" t="str">
        <f t="shared" si="747"/>
        <v/>
      </c>
    </row>
    <row r="47871" spans="26:26" x14ac:dyDescent="0.2">
      <c r="Z47871" t="str">
        <f t="shared" si="747"/>
        <v/>
      </c>
    </row>
    <row r="47872" spans="26:26" x14ac:dyDescent="0.2">
      <c r="Z47872" t="str">
        <f t="shared" si="747"/>
        <v/>
      </c>
    </row>
    <row r="47873" spans="26:26" x14ac:dyDescent="0.2">
      <c r="Z47873" t="str">
        <f t="shared" si="747"/>
        <v/>
      </c>
    </row>
    <row r="47874" spans="26:26" x14ac:dyDescent="0.2">
      <c r="Z47874" t="str">
        <f t="shared" si="747"/>
        <v/>
      </c>
    </row>
    <row r="47875" spans="26:26" x14ac:dyDescent="0.2">
      <c r="Z47875" t="str">
        <f t="shared" ref="Z47875:Z47938" si="748">IF(K47875="","",IFERROR(VALUE(TRIM(MID(K47875,FIND(CHAR(167),SUBSTITUTE(K47875,"-",CHAR(167),LEN(K47875)-LEN(SUBSTITUTE(K47875,"-",""))))+1,100))),K47875))</f>
        <v/>
      </c>
    </row>
    <row r="47876" spans="26:26" x14ac:dyDescent="0.2">
      <c r="Z47876" t="str">
        <f t="shared" si="748"/>
        <v/>
      </c>
    </row>
    <row r="47877" spans="26:26" x14ac:dyDescent="0.2">
      <c r="Z47877" t="str">
        <f t="shared" si="748"/>
        <v/>
      </c>
    </row>
    <row r="47878" spans="26:26" x14ac:dyDescent="0.2">
      <c r="Z47878" t="str">
        <f t="shared" si="748"/>
        <v/>
      </c>
    </row>
    <row r="47879" spans="26:26" x14ac:dyDescent="0.2">
      <c r="Z47879" t="str">
        <f t="shared" si="748"/>
        <v/>
      </c>
    </row>
    <row r="47880" spans="26:26" x14ac:dyDescent="0.2">
      <c r="Z47880" t="str">
        <f t="shared" si="748"/>
        <v/>
      </c>
    </row>
    <row r="47881" spans="26:26" x14ac:dyDescent="0.2">
      <c r="Z47881" t="str">
        <f t="shared" si="748"/>
        <v/>
      </c>
    </row>
    <row r="47882" spans="26:26" x14ac:dyDescent="0.2">
      <c r="Z47882" t="str">
        <f t="shared" si="748"/>
        <v/>
      </c>
    </row>
    <row r="47883" spans="26:26" x14ac:dyDescent="0.2">
      <c r="Z47883" t="str">
        <f t="shared" si="748"/>
        <v/>
      </c>
    </row>
    <row r="47884" spans="26:26" x14ac:dyDescent="0.2">
      <c r="Z47884" t="str">
        <f t="shared" si="748"/>
        <v/>
      </c>
    </row>
    <row r="47885" spans="26:26" x14ac:dyDescent="0.2">
      <c r="Z47885" t="str">
        <f t="shared" si="748"/>
        <v/>
      </c>
    </row>
    <row r="47886" spans="26:26" x14ac:dyDescent="0.2">
      <c r="Z47886" t="str">
        <f t="shared" si="748"/>
        <v/>
      </c>
    </row>
    <row r="47887" spans="26:26" x14ac:dyDescent="0.2">
      <c r="Z47887" t="str">
        <f t="shared" si="748"/>
        <v/>
      </c>
    </row>
    <row r="47888" spans="26:26" x14ac:dyDescent="0.2">
      <c r="Z47888" t="str">
        <f t="shared" si="748"/>
        <v/>
      </c>
    </row>
    <row r="47889" spans="26:26" x14ac:dyDescent="0.2">
      <c r="Z47889" t="str">
        <f t="shared" si="748"/>
        <v/>
      </c>
    </row>
    <row r="47890" spans="26:26" x14ac:dyDescent="0.2">
      <c r="Z47890" t="str">
        <f t="shared" si="748"/>
        <v/>
      </c>
    </row>
    <row r="47891" spans="26:26" x14ac:dyDescent="0.2">
      <c r="Z47891" t="str">
        <f t="shared" si="748"/>
        <v/>
      </c>
    </row>
    <row r="47892" spans="26:26" x14ac:dyDescent="0.2">
      <c r="Z47892" t="str">
        <f t="shared" si="748"/>
        <v/>
      </c>
    </row>
    <row r="47893" spans="26:26" x14ac:dyDescent="0.2">
      <c r="Z47893" t="str">
        <f t="shared" si="748"/>
        <v/>
      </c>
    </row>
    <row r="47894" spans="26:26" x14ac:dyDescent="0.2">
      <c r="Z47894" t="str">
        <f t="shared" si="748"/>
        <v/>
      </c>
    </row>
    <row r="47895" spans="26:26" x14ac:dyDescent="0.2">
      <c r="Z47895" t="str">
        <f t="shared" si="748"/>
        <v/>
      </c>
    </row>
    <row r="47896" spans="26:26" x14ac:dyDescent="0.2">
      <c r="Z47896" t="str">
        <f t="shared" si="748"/>
        <v/>
      </c>
    </row>
    <row r="47897" spans="26:26" x14ac:dyDescent="0.2">
      <c r="Z47897" t="str">
        <f t="shared" si="748"/>
        <v/>
      </c>
    </row>
    <row r="47898" spans="26:26" x14ac:dyDescent="0.2">
      <c r="Z47898" t="str">
        <f t="shared" si="748"/>
        <v/>
      </c>
    </row>
    <row r="47899" spans="26:26" x14ac:dyDescent="0.2">
      <c r="Z47899" t="str">
        <f t="shared" si="748"/>
        <v/>
      </c>
    </row>
    <row r="47900" spans="26:26" x14ac:dyDescent="0.2">
      <c r="Z47900" t="str">
        <f t="shared" si="748"/>
        <v/>
      </c>
    </row>
    <row r="47901" spans="26:26" x14ac:dyDescent="0.2">
      <c r="Z47901" t="str">
        <f t="shared" si="748"/>
        <v/>
      </c>
    </row>
    <row r="47902" spans="26:26" x14ac:dyDescent="0.2">
      <c r="Z47902" t="str">
        <f t="shared" si="748"/>
        <v/>
      </c>
    </row>
    <row r="47903" spans="26:26" x14ac:dyDescent="0.2">
      <c r="Z47903" t="str">
        <f t="shared" si="748"/>
        <v/>
      </c>
    </row>
    <row r="47904" spans="26:26" x14ac:dyDescent="0.2">
      <c r="Z47904" t="str">
        <f t="shared" si="748"/>
        <v/>
      </c>
    </row>
    <row r="47905" spans="26:26" x14ac:dyDescent="0.2">
      <c r="Z47905" t="str">
        <f t="shared" si="748"/>
        <v/>
      </c>
    </row>
    <row r="47906" spans="26:26" x14ac:dyDescent="0.2">
      <c r="Z47906" t="str">
        <f t="shared" si="748"/>
        <v/>
      </c>
    </row>
    <row r="47907" spans="26:26" x14ac:dyDescent="0.2">
      <c r="Z47907" t="str">
        <f t="shared" si="748"/>
        <v/>
      </c>
    </row>
    <row r="47908" spans="26:26" x14ac:dyDescent="0.2">
      <c r="Z47908" t="str">
        <f t="shared" si="748"/>
        <v/>
      </c>
    </row>
    <row r="47909" spans="26:26" x14ac:dyDescent="0.2">
      <c r="Z47909" t="str">
        <f t="shared" si="748"/>
        <v/>
      </c>
    </row>
    <row r="47910" spans="26:26" x14ac:dyDescent="0.2">
      <c r="Z47910" t="str">
        <f t="shared" si="748"/>
        <v/>
      </c>
    </row>
    <row r="47911" spans="26:26" x14ac:dyDescent="0.2">
      <c r="Z47911" t="str">
        <f t="shared" si="748"/>
        <v/>
      </c>
    </row>
    <row r="47912" spans="26:26" x14ac:dyDescent="0.2">
      <c r="Z47912" t="str">
        <f t="shared" si="748"/>
        <v/>
      </c>
    </row>
    <row r="47913" spans="26:26" x14ac:dyDescent="0.2">
      <c r="Z47913" t="str">
        <f t="shared" si="748"/>
        <v/>
      </c>
    </row>
    <row r="47914" spans="26:26" x14ac:dyDescent="0.2">
      <c r="Z47914" t="str">
        <f t="shared" si="748"/>
        <v/>
      </c>
    </row>
    <row r="47915" spans="26:26" x14ac:dyDescent="0.2">
      <c r="Z47915" t="str">
        <f t="shared" si="748"/>
        <v/>
      </c>
    </row>
    <row r="47916" spans="26:26" x14ac:dyDescent="0.2">
      <c r="Z47916" t="str">
        <f t="shared" si="748"/>
        <v/>
      </c>
    </row>
    <row r="47917" spans="26:26" x14ac:dyDescent="0.2">
      <c r="Z47917" t="str">
        <f t="shared" si="748"/>
        <v/>
      </c>
    </row>
    <row r="47918" spans="26:26" x14ac:dyDescent="0.2">
      <c r="Z47918" t="str">
        <f t="shared" si="748"/>
        <v/>
      </c>
    </row>
    <row r="47919" spans="26:26" x14ac:dyDescent="0.2">
      <c r="Z47919" t="str">
        <f t="shared" si="748"/>
        <v/>
      </c>
    </row>
    <row r="47920" spans="26:26" x14ac:dyDescent="0.2">
      <c r="Z47920" t="str">
        <f t="shared" si="748"/>
        <v/>
      </c>
    </row>
    <row r="47921" spans="26:26" x14ac:dyDescent="0.2">
      <c r="Z47921" t="str">
        <f t="shared" si="748"/>
        <v/>
      </c>
    </row>
    <row r="47922" spans="26:26" x14ac:dyDescent="0.2">
      <c r="Z47922" t="str">
        <f t="shared" si="748"/>
        <v/>
      </c>
    </row>
    <row r="47923" spans="26:26" x14ac:dyDescent="0.2">
      <c r="Z47923" t="str">
        <f t="shared" si="748"/>
        <v/>
      </c>
    </row>
    <row r="47924" spans="26:26" x14ac:dyDescent="0.2">
      <c r="Z47924" t="str">
        <f t="shared" si="748"/>
        <v/>
      </c>
    </row>
    <row r="47925" spans="26:26" x14ac:dyDescent="0.2">
      <c r="Z47925" t="str">
        <f t="shared" si="748"/>
        <v/>
      </c>
    </row>
    <row r="47926" spans="26:26" x14ac:dyDescent="0.2">
      <c r="Z47926" t="str">
        <f t="shared" si="748"/>
        <v/>
      </c>
    </row>
    <row r="47927" spans="26:26" x14ac:dyDescent="0.2">
      <c r="Z47927" t="str">
        <f t="shared" si="748"/>
        <v/>
      </c>
    </row>
    <row r="47928" spans="26:26" x14ac:dyDescent="0.2">
      <c r="Z47928" t="str">
        <f t="shared" si="748"/>
        <v/>
      </c>
    </row>
    <row r="47929" spans="26:26" x14ac:dyDescent="0.2">
      <c r="Z47929" t="str">
        <f t="shared" si="748"/>
        <v/>
      </c>
    </row>
    <row r="47930" spans="26:26" x14ac:dyDescent="0.2">
      <c r="Z47930" t="str">
        <f t="shared" si="748"/>
        <v/>
      </c>
    </row>
    <row r="47931" spans="26:26" x14ac:dyDescent="0.2">
      <c r="Z47931" t="str">
        <f t="shared" si="748"/>
        <v/>
      </c>
    </row>
    <row r="47932" spans="26:26" x14ac:dyDescent="0.2">
      <c r="Z47932" t="str">
        <f t="shared" si="748"/>
        <v/>
      </c>
    </row>
    <row r="47933" spans="26:26" x14ac:dyDescent="0.2">
      <c r="Z47933" t="str">
        <f t="shared" si="748"/>
        <v/>
      </c>
    </row>
    <row r="47934" spans="26:26" x14ac:dyDescent="0.2">
      <c r="Z47934" t="str">
        <f t="shared" si="748"/>
        <v/>
      </c>
    </row>
    <row r="47935" spans="26:26" x14ac:dyDescent="0.2">
      <c r="Z47935" t="str">
        <f t="shared" si="748"/>
        <v/>
      </c>
    </row>
    <row r="47936" spans="26:26" x14ac:dyDescent="0.2">
      <c r="Z47936" t="str">
        <f t="shared" si="748"/>
        <v/>
      </c>
    </row>
    <row r="47937" spans="26:26" x14ac:dyDescent="0.2">
      <c r="Z47937" t="str">
        <f t="shared" si="748"/>
        <v/>
      </c>
    </row>
    <row r="47938" spans="26:26" x14ac:dyDescent="0.2">
      <c r="Z47938" t="str">
        <f t="shared" si="748"/>
        <v/>
      </c>
    </row>
    <row r="47939" spans="26:26" x14ac:dyDescent="0.2">
      <c r="Z47939" t="str">
        <f t="shared" ref="Z47939:Z48002" si="749">IF(K47939="","",IFERROR(VALUE(TRIM(MID(K47939,FIND(CHAR(167),SUBSTITUTE(K47939,"-",CHAR(167),LEN(K47939)-LEN(SUBSTITUTE(K47939,"-",""))))+1,100))),K47939))</f>
        <v/>
      </c>
    </row>
    <row r="47940" spans="26:26" x14ac:dyDescent="0.2">
      <c r="Z47940" t="str">
        <f t="shared" si="749"/>
        <v/>
      </c>
    </row>
    <row r="47941" spans="26:26" x14ac:dyDescent="0.2">
      <c r="Z47941" t="str">
        <f t="shared" si="749"/>
        <v/>
      </c>
    </row>
    <row r="47942" spans="26:26" x14ac:dyDescent="0.2">
      <c r="Z47942" t="str">
        <f t="shared" si="749"/>
        <v/>
      </c>
    </row>
    <row r="47943" spans="26:26" x14ac:dyDescent="0.2">
      <c r="Z47943" t="str">
        <f t="shared" si="749"/>
        <v/>
      </c>
    </row>
    <row r="47944" spans="26:26" x14ac:dyDescent="0.2">
      <c r="Z47944" t="str">
        <f t="shared" si="749"/>
        <v/>
      </c>
    </row>
    <row r="47945" spans="26:26" x14ac:dyDescent="0.2">
      <c r="Z47945" t="str">
        <f t="shared" si="749"/>
        <v/>
      </c>
    </row>
    <row r="47946" spans="26:26" x14ac:dyDescent="0.2">
      <c r="Z47946" t="str">
        <f t="shared" si="749"/>
        <v/>
      </c>
    </row>
    <row r="47947" spans="26:26" x14ac:dyDescent="0.2">
      <c r="Z47947" t="str">
        <f t="shared" si="749"/>
        <v/>
      </c>
    </row>
    <row r="47948" spans="26:26" x14ac:dyDescent="0.2">
      <c r="Z47948" t="str">
        <f t="shared" si="749"/>
        <v/>
      </c>
    </row>
    <row r="47949" spans="26:26" x14ac:dyDescent="0.2">
      <c r="Z47949" t="str">
        <f t="shared" si="749"/>
        <v/>
      </c>
    </row>
    <row r="47950" spans="26:26" x14ac:dyDescent="0.2">
      <c r="Z47950" t="str">
        <f t="shared" si="749"/>
        <v/>
      </c>
    </row>
    <row r="47951" spans="26:26" x14ac:dyDescent="0.2">
      <c r="Z47951" t="str">
        <f t="shared" si="749"/>
        <v/>
      </c>
    </row>
    <row r="47952" spans="26:26" x14ac:dyDescent="0.2">
      <c r="Z47952" t="str">
        <f t="shared" si="749"/>
        <v/>
      </c>
    </row>
    <row r="47953" spans="26:26" x14ac:dyDescent="0.2">
      <c r="Z47953" t="str">
        <f t="shared" si="749"/>
        <v/>
      </c>
    </row>
    <row r="47954" spans="26:26" x14ac:dyDescent="0.2">
      <c r="Z47954" t="str">
        <f t="shared" si="749"/>
        <v/>
      </c>
    </row>
    <row r="47955" spans="26:26" x14ac:dyDescent="0.2">
      <c r="Z47955" t="str">
        <f t="shared" si="749"/>
        <v/>
      </c>
    </row>
    <row r="47956" spans="26:26" x14ac:dyDescent="0.2">
      <c r="Z47956" t="str">
        <f t="shared" si="749"/>
        <v/>
      </c>
    </row>
    <row r="47957" spans="26:26" x14ac:dyDescent="0.2">
      <c r="Z47957" t="str">
        <f t="shared" si="749"/>
        <v/>
      </c>
    </row>
    <row r="47958" spans="26:26" x14ac:dyDescent="0.2">
      <c r="Z47958" t="str">
        <f t="shared" si="749"/>
        <v/>
      </c>
    </row>
    <row r="47959" spans="26:26" x14ac:dyDescent="0.2">
      <c r="Z47959" t="str">
        <f t="shared" si="749"/>
        <v/>
      </c>
    </row>
    <row r="47960" spans="26:26" x14ac:dyDescent="0.2">
      <c r="Z47960" t="str">
        <f t="shared" si="749"/>
        <v/>
      </c>
    </row>
    <row r="47961" spans="26:26" x14ac:dyDescent="0.2">
      <c r="Z47961" t="str">
        <f t="shared" si="749"/>
        <v/>
      </c>
    </row>
    <row r="47962" spans="26:26" x14ac:dyDescent="0.2">
      <c r="Z47962" t="str">
        <f t="shared" si="749"/>
        <v/>
      </c>
    </row>
    <row r="47963" spans="26:26" x14ac:dyDescent="0.2">
      <c r="Z47963" t="str">
        <f t="shared" si="749"/>
        <v/>
      </c>
    </row>
    <row r="47964" spans="26:26" x14ac:dyDescent="0.2">
      <c r="Z47964" t="str">
        <f t="shared" si="749"/>
        <v/>
      </c>
    </row>
    <row r="47965" spans="26:26" x14ac:dyDescent="0.2">
      <c r="Z47965" t="str">
        <f t="shared" si="749"/>
        <v/>
      </c>
    </row>
    <row r="47966" spans="26:26" x14ac:dyDescent="0.2">
      <c r="Z47966" t="str">
        <f t="shared" si="749"/>
        <v/>
      </c>
    </row>
    <row r="47967" spans="26:26" x14ac:dyDescent="0.2">
      <c r="Z47967" t="str">
        <f t="shared" si="749"/>
        <v/>
      </c>
    </row>
    <row r="47968" spans="26:26" x14ac:dyDescent="0.2">
      <c r="Z47968" t="str">
        <f t="shared" si="749"/>
        <v/>
      </c>
    </row>
    <row r="47969" spans="26:26" x14ac:dyDescent="0.2">
      <c r="Z47969" t="str">
        <f t="shared" si="749"/>
        <v/>
      </c>
    </row>
    <row r="47970" spans="26:26" x14ac:dyDescent="0.2">
      <c r="Z47970" t="str">
        <f t="shared" si="749"/>
        <v/>
      </c>
    </row>
    <row r="47971" spans="26:26" x14ac:dyDescent="0.2">
      <c r="Z47971" t="str">
        <f t="shared" si="749"/>
        <v/>
      </c>
    </row>
    <row r="47972" spans="26:26" x14ac:dyDescent="0.2">
      <c r="Z47972" t="str">
        <f t="shared" si="749"/>
        <v/>
      </c>
    </row>
    <row r="47973" spans="26:26" x14ac:dyDescent="0.2">
      <c r="Z47973" t="str">
        <f t="shared" si="749"/>
        <v/>
      </c>
    </row>
    <row r="47974" spans="26:26" x14ac:dyDescent="0.2">
      <c r="Z47974" t="str">
        <f t="shared" si="749"/>
        <v/>
      </c>
    </row>
    <row r="47975" spans="26:26" x14ac:dyDescent="0.2">
      <c r="Z47975" t="str">
        <f t="shared" si="749"/>
        <v/>
      </c>
    </row>
    <row r="47976" spans="26:26" x14ac:dyDescent="0.2">
      <c r="Z47976" t="str">
        <f t="shared" si="749"/>
        <v/>
      </c>
    </row>
    <row r="47977" spans="26:26" x14ac:dyDescent="0.2">
      <c r="Z47977" t="str">
        <f t="shared" si="749"/>
        <v/>
      </c>
    </row>
    <row r="47978" spans="26:26" x14ac:dyDescent="0.2">
      <c r="Z47978" t="str">
        <f t="shared" si="749"/>
        <v/>
      </c>
    </row>
    <row r="47979" spans="26:26" x14ac:dyDescent="0.2">
      <c r="Z47979" t="str">
        <f t="shared" si="749"/>
        <v/>
      </c>
    </row>
    <row r="47980" spans="26:26" x14ac:dyDescent="0.2">
      <c r="Z47980" t="str">
        <f t="shared" si="749"/>
        <v/>
      </c>
    </row>
    <row r="47981" spans="26:26" x14ac:dyDescent="0.2">
      <c r="Z47981" t="str">
        <f t="shared" si="749"/>
        <v/>
      </c>
    </row>
    <row r="47982" spans="26:26" x14ac:dyDescent="0.2">
      <c r="Z47982" t="str">
        <f t="shared" si="749"/>
        <v/>
      </c>
    </row>
    <row r="47983" spans="26:26" x14ac:dyDescent="0.2">
      <c r="Z47983" t="str">
        <f t="shared" si="749"/>
        <v/>
      </c>
    </row>
    <row r="47984" spans="26:26" x14ac:dyDescent="0.2">
      <c r="Z47984" t="str">
        <f t="shared" si="749"/>
        <v/>
      </c>
    </row>
    <row r="47985" spans="26:26" x14ac:dyDescent="0.2">
      <c r="Z47985" t="str">
        <f t="shared" si="749"/>
        <v/>
      </c>
    </row>
    <row r="47986" spans="26:26" x14ac:dyDescent="0.2">
      <c r="Z47986" t="str">
        <f t="shared" si="749"/>
        <v/>
      </c>
    </row>
    <row r="47987" spans="26:26" x14ac:dyDescent="0.2">
      <c r="Z47987" t="str">
        <f t="shared" si="749"/>
        <v/>
      </c>
    </row>
    <row r="47988" spans="26:26" x14ac:dyDescent="0.2">
      <c r="Z47988" t="str">
        <f t="shared" si="749"/>
        <v/>
      </c>
    </row>
    <row r="47989" spans="26:26" x14ac:dyDescent="0.2">
      <c r="Z47989" t="str">
        <f t="shared" si="749"/>
        <v/>
      </c>
    </row>
    <row r="47990" spans="26:26" x14ac:dyDescent="0.2">
      <c r="Z47990" t="str">
        <f t="shared" si="749"/>
        <v/>
      </c>
    </row>
    <row r="47991" spans="26:26" x14ac:dyDescent="0.2">
      <c r="Z47991" t="str">
        <f t="shared" si="749"/>
        <v/>
      </c>
    </row>
    <row r="47992" spans="26:26" x14ac:dyDescent="0.2">
      <c r="Z47992" t="str">
        <f t="shared" si="749"/>
        <v/>
      </c>
    </row>
    <row r="47993" spans="26:26" x14ac:dyDescent="0.2">
      <c r="Z47993" t="str">
        <f t="shared" si="749"/>
        <v/>
      </c>
    </row>
    <row r="47994" spans="26:26" x14ac:dyDescent="0.2">
      <c r="Z47994" t="str">
        <f t="shared" si="749"/>
        <v/>
      </c>
    </row>
    <row r="47995" spans="26:26" x14ac:dyDescent="0.2">
      <c r="Z47995" t="str">
        <f t="shared" si="749"/>
        <v/>
      </c>
    </row>
    <row r="47996" spans="26:26" x14ac:dyDescent="0.2">
      <c r="Z47996" t="str">
        <f t="shared" si="749"/>
        <v/>
      </c>
    </row>
    <row r="47997" spans="26:26" x14ac:dyDescent="0.2">
      <c r="Z47997" t="str">
        <f t="shared" si="749"/>
        <v/>
      </c>
    </row>
    <row r="47998" spans="26:26" x14ac:dyDescent="0.2">
      <c r="Z47998" t="str">
        <f t="shared" si="749"/>
        <v/>
      </c>
    </row>
    <row r="47999" spans="26:26" x14ac:dyDescent="0.2">
      <c r="Z47999" t="str">
        <f t="shared" si="749"/>
        <v/>
      </c>
    </row>
    <row r="48000" spans="26:26" x14ac:dyDescent="0.2">
      <c r="Z48000" t="str">
        <f t="shared" si="749"/>
        <v/>
      </c>
    </row>
    <row r="48001" spans="26:26" x14ac:dyDescent="0.2">
      <c r="Z48001" t="str">
        <f t="shared" si="749"/>
        <v/>
      </c>
    </row>
    <row r="48002" spans="26:26" x14ac:dyDescent="0.2">
      <c r="Z48002" t="str">
        <f t="shared" si="749"/>
        <v/>
      </c>
    </row>
    <row r="48003" spans="26:26" x14ac:dyDescent="0.2">
      <c r="Z48003" t="str">
        <f t="shared" ref="Z48003:Z48066" si="750">IF(K48003="","",IFERROR(VALUE(TRIM(MID(K48003,FIND(CHAR(167),SUBSTITUTE(K48003,"-",CHAR(167),LEN(K48003)-LEN(SUBSTITUTE(K48003,"-",""))))+1,100))),K48003))</f>
        <v/>
      </c>
    </row>
    <row r="48004" spans="26:26" x14ac:dyDescent="0.2">
      <c r="Z48004" t="str">
        <f t="shared" si="750"/>
        <v/>
      </c>
    </row>
    <row r="48005" spans="26:26" x14ac:dyDescent="0.2">
      <c r="Z48005" t="str">
        <f t="shared" si="750"/>
        <v/>
      </c>
    </row>
    <row r="48006" spans="26:26" x14ac:dyDescent="0.2">
      <c r="Z48006" t="str">
        <f t="shared" si="750"/>
        <v/>
      </c>
    </row>
    <row r="48007" spans="26:26" x14ac:dyDescent="0.2">
      <c r="Z48007" t="str">
        <f t="shared" si="750"/>
        <v/>
      </c>
    </row>
    <row r="48008" spans="26:26" x14ac:dyDescent="0.2">
      <c r="Z48008" t="str">
        <f t="shared" si="750"/>
        <v/>
      </c>
    </row>
    <row r="48009" spans="26:26" x14ac:dyDescent="0.2">
      <c r="Z48009" t="str">
        <f t="shared" si="750"/>
        <v/>
      </c>
    </row>
    <row r="48010" spans="26:26" x14ac:dyDescent="0.2">
      <c r="Z48010" t="str">
        <f t="shared" si="750"/>
        <v/>
      </c>
    </row>
    <row r="48011" spans="26:26" x14ac:dyDescent="0.2">
      <c r="Z48011" t="str">
        <f t="shared" si="750"/>
        <v/>
      </c>
    </row>
    <row r="48012" spans="26:26" x14ac:dyDescent="0.2">
      <c r="Z48012" t="str">
        <f t="shared" si="750"/>
        <v/>
      </c>
    </row>
    <row r="48013" spans="26:26" x14ac:dyDescent="0.2">
      <c r="Z48013" t="str">
        <f t="shared" si="750"/>
        <v/>
      </c>
    </row>
    <row r="48014" spans="26:26" x14ac:dyDescent="0.2">
      <c r="Z48014" t="str">
        <f t="shared" si="750"/>
        <v/>
      </c>
    </row>
    <row r="48015" spans="26:26" x14ac:dyDescent="0.2">
      <c r="Z48015" t="str">
        <f t="shared" si="750"/>
        <v/>
      </c>
    </row>
    <row r="48016" spans="26:26" x14ac:dyDescent="0.2">
      <c r="Z48016" t="str">
        <f t="shared" si="750"/>
        <v/>
      </c>
    </row>
    <row r="48017" spans="26:26" x14ac:dyDescent="0.2">
      <c r="Z48017" t="str">
        <f t="shared" si="750"/>
        <v/>
      </c>
    </row>
    <row r="48018" spans="26:26" x14ac:dyDescent="0.2">
      <c r="Z48018" t="str">
        <f t="shared" si="750"/>
        <v/>
      </c>
    </row>
    <row r="48019" spans="26:26" x14ac:dyDescent="0.2">
      <c r="Z48019" t="str">
        <f t="shared" si="750"/>
        <v/>
      </c>
    </row>
    <row r="48020" spans="26:26" x14ac:dyDescent="0.2">
      <c r="Z48020" t="str">
        <f t="shared" si="750"/>
        <v/>
      </c>
    </row>
    <row r="48021" spans="26:26" x14ac:dyDescent="0.2">
      <c r="Z48021" t="str">
        <f t="shared" si="750"/>
        <v/>
      </c>
    </row>
    <row r="48022" spans="26:26" x14ac:dyDescent="0.2">
      <c r="Z48022" t="str">
        <f t="shared" si="750"/>
        <v/>
      </c>
    </row>
    <row r="48023" spans="26:26" x14ac:dyDescent="0.2">
      <c r="Z48023" t="str">
        <f t="shared" si="750"/>
        <v/>
      </c>
    </row>
    <row r="48024" spans="26:26" x14ac:dyDescent="0.2">
      <c r="Z48024" t="str">
        <f t="shared" si="750"/>
        <v/>
      </c>
    </row>
    <row r="48025" spans="26:26" x14ac:dyDescent="0.2">
      <c r="Z48025" t="str">
        <f t="shared" si="750"/>
        <v/>
      </c>
    </row>
    <row r="48026" spans="26:26" x14ac:dyDescent="0.2">
      <c r="Z48026" t="str">
        <f t="shared" si="750"/>
        <v/>
      </c>
    </row>
    <row r="48027" spans="26:26" x14ac:dyDescent="0.2">
      <c r="Z48027" t="str">
        <f t="shared" si="750"/>
        <v/>
      </c>
    </row>
    <row r="48028" spans="26:26" x14ac:dyDescent="0.2">
      <c r="Z48028" t="str">
        <f t="shared" si="750"/>
        <v/>
      </c>
    </row>
    <row r="48029" spans="26:26" x14ac:dyDescent="0.2">
      <c r="Z48029" t="str">
        <f t="shared" si="750"/>
        <v/>
      </c>
    </row>
    <row r="48030" spans="26:26" x14ac:dyDescent="0.2">
      <c r="Z48030" t="str">
        <f t="shared" si="750"/>
        <v/>
      </c>
    </row>
    <row r="48031" spans="26:26" x14ac:dyDescent="0.2">
      <c r="Z48031" t="str">
        <f t="shared" si="750"/>
        <v/>
      </c>
    </row>
    <row r="48032" spans="26:26" x14ac:dyDescent="0.2">
      <c r="Z48032" t="str">
        <f t="shared" si="750"/>
        <v/>
      </c>
    </row>
    <row r="48033" spans="26:26" x14ac:dyDescent="0.2">
      <c r="Z48033" t="str">
        <f t="shared" si="750"/>
        <v/>
      </c>
    </row>
    <row r="48034" spans="26:26" x14ac:dyDescent="0.2">
      <c r="Z48034" t="str">
        <f t="shared" si="750"/>
        <v/>
      </c>
    </row>
    <row r="48035" spans="26:26" x14ac:dyDescent="0.2">
      <c r="Z48035" t="str">
        <f t="shared" si="750"/>
        <v/>
      </c>
    </row>
    <row r="48036" spans="26:26" x14ac:dyDescent="0.2">
      <c r="Z48036" t="str">
        <f t="shared" si="750"/>
        <v/>
      </c>
    </row>
    <row r="48037" spans="26:26" x14ac:dyDescent="0.2">
      <c r="Z48037" t="str">
        <f t="shared" si="750"/>
        <v/>
      </c>
    </row>
    <row r="48038" spans="26:26" x14ac:dyDescent="0.2">
      <c r="Z48038" t="str">
        <f t="shared" si="750"/>
        <v/>
      </c>
    </row>
    <row r="48039" spans="26:26" x14ac:dyDescent="0.2">
      <c r="Z48039" t="str">
        <f t="shared" si="750"/>
        <v/>
      </c>
    </row>
    <row r="48040" spans="26:26" x14ac:dyDescent="0.2">
      <c r="Z48040" t="str">
        <f t="shared" si="750"/>
        <v/>
      </c>
    </row>
    <row r="48041" spans="26:26" x14ac:dyDescent="0.2">
      <c r="Z48041" t="str">
        <f t="shared" si="750"/>
        <v/>
      </c>
    </row>
    <row r="48042" spans="26:26" x14ac:dyDescent="0.2">
      <c r="Z48042" t="str">
        <f t="shared" si="750"/>
        <v/>
      </c>
    </row>
    <row r="48043" spans="26:26" x14ac:dyDescent="0.2">
      <c r="Z48043" t="str">
        <f t="shared" si="750"/>
        <v/>
      </c>
    </row>
    <row r="48044" spans="26:26" x14ac:dyDescent="0.2">
      <c r="Z48044" t="str">
        <f t="shared" si="750"/>
        <v/>
      </c>
    </row>
    <row r="48045" spans="26:26" x14ac:dyDescent="0.2">
      <c r="Z48045" t="str">
        <f t="shared" si="750"/>
        <v/>
      </c>
    </row>
    <row r="48046" spans="26:26" x14ac:dyDescent="0.2">
      <c r="Z48046" t="str">
        <f t="shared" si="750"/>
        <v/>
      </c>
    </row>
    <row r="48047" spans="26:26" x14ac:dyDescent="0.2">
      <c r="Z48047" t="str">
        <f t="shared" si="750"/>
        <v/>
      </c>
    </row>
    <row r="48048" spans="26:26" x14ac:dyDescent="0.2">
      <c r="Z48048" t="str">
        <f t="shared" si="750"/>
        <v/>
      </c>
    </row>
    <row r="48049" spans="26:26" x14ac:dyDescent="0.2">
      <c r="Z48049" t="str">
        <f t="shared" si="750"/>
        <v/>
      </c>
    </row>
    <row r="48050" spans="26:26" x14ac:dyDescent="0.2">
      <c r="Z48050" t="str">
        <f t="shared" si="750"/>
        <v/>
      </c>
    </row>
    <row r="48051" spans="26:26" x14ac:dyDescent="0.2">
      <c r="Z48051" t="str">
        <f t="shared" si="750"/>
        <v/>
      </c>
    </row>
    <row r="48052" spans="26:26" x14ac:dyDescent="0.2">
      <c r="Z48052" t="str">
        <f t="shared" si="750"/>
        <v/>
      </c>
    </row>
    <row r="48053" spans="26:26" x14ac:dyDescent="0.2">
      <c r="Z48053" t="str">
        <f t="shared" si="750"/>
        <v/>
      </c>
    </row>
    <row r="48054" spans="26:26" x14ac:dyDescent="0.2">
      <c r="Z48054" t="str">
        <f t="shared" si="750"/>
        <v/>
      </c>
    </row>
    <row r="48055" spans="26:26" x14ac:dyDescent="0.2">
      <c r="Z48055" t="str">
        <f t="shared" si="750"/>
        <v/>
      </c>
    </row>
    <row r="48056" spans="26:26" x14ac:dyDescent="0.2">
      <c r="Z48056" t="str">
        <f t="shared" si="750"/>
        <v/>
      </c>
    </row>
    <row r="48057" spans="26:26" x14ac:dyDescent="0.2">
      <c r="Z48057" t="str">
        <f t="shared" si="750"/>
        <v/>
      </c>
    </row>
    <row r="48058" spans="26:26" x14ac:dyDescent="0.2">
      <c r="Z48058" t="str">
        <f t="shared" si="750"/>
        <v/>
      </c>
    </row>
    <row r="48059" spans="26:26" x14ac:dyDescent="0.2">
      <c r="Z48059" t="str">
        <f t="shared" si="750"/>
        <v/>
      </c>
    </row>
    <row r="48060" spans="26:26" x14ac:dyDescent="0.2">
      <c r="Z48060" t="str">
        <f t="shared" si="750"/>
        <v/>
      </c>
    </row>
    <row r="48061" spans="26:26" x14ac:dyDescent="0.2">
      <c r="Z48061" t="str">
        <f t="shared" si="750"/>
        <v/>
      </c>
    </row>
    <row r="48062" spans="26:26" x14ac:dyDescent="0.2">
      <c r="Z48062" t="str">
        <f t="shared" si="750"/>
        <v/>
      </c>
    </row>
    <row r="48063" spans="26:26" x14ac:dyDescent="0.2">
      <c r="Z48063" t="str">
        <f t="shared" si="750"/>
        <v/>
      </c>
    </row>
    <row r="48064" spans="26:26" x14ac:dyDescent="0.2">
      <c r="Z48064" t="str">
        <f t="shared" si="750"/>
        <v/>
      </c>
    </row>
    <row r="48065" spans="26:26" x14ac:dyDescent="0.2">
      <c r="Z48065" t="str">
        <f t="shared" si="750"/>
        <v/>
      </c>
    </row>
    <row r="48066" spans="26:26" x14ac:dyDescent="0.2">
      <c r="Z48066" t="str">
        <f t="shared" si="750"/>
        <v/>
      </c>
    </row>
    <row r="48067" spans="26:26" x14ac:dyDescent="0.2">
      <c r="Z48067" t="str">
        <f t="shared" ref="Z48067:Z48130" si="751">IF(K48067="","",IFERROR(VALUE(TRIM(MID(K48067,FIND(CHAR(167),SUBSTITUTE(K48067,"-",CHAR(167),LEN(K48067)-LEN(SUBSTITUTE(K48067,"-",""))))+1,100))),K48067))</f>
        <v/>
      </c>
    </row>
    <row r="48068" spans="26:26" x14ac:dyDescent="0.2">
      <c r="Z48068" t="str">
        <f t="shared" si="751"/>
        <v/>
      </c>
    </row>
    <row r="48069" spans="26:26" x14ac:dyDescent="0.2">
      <c r="Z48069" t="str">
        <f t="shared" si="751"/>
        <v/>
      </c>
    </row>
    <row r="48070" spans="26:26" x14ac:dyDescent="0.2">
      <c r="Z48070" t="str">
        <f t="shared" si="751"/>
        <v/>
      </c>
    </row>
    <row r="48071" spans="26:26" x14ac:dyDescent="0.2">
      <c r="Z48071" t="str">
        <f t="shared" si="751"/>
        <v/>
      </c>
    </row>
    <row r="48072" spans="26:26" x14ac:dyDescent="0.2">
      <c r="Z48072" t="str">
        <f t="shared" si="751"/>
        <v/>
      </c>
    </row>
    <row r="48073" spans="26:26" x14ac:dyDescent="0.2">
      <c r="Z48073" t="str">
        <f t="shared" si="751"/>
        <v/>
      </c>
    </row>
    <row r="48074" spans="26:26" x14ac:dyDescent="0.2">
      <c r="Z48074" t="str">
        <f t="shared" si="751"/>
        <v/>
      </c>
    </row>
    <row r="48075" spans="26:26" x14ac:dyDescent="0.2">
      <c r="Z48075" t="str">
        <f t="shared" si="751"/>
        <v/>
      </c>
    </row>
    <row r="48076" spans="26:26" x14ac:dyDescent="0.2">
      <c r="Z48076" t="str">
        <f t="shared" si="751"/>
        <v/>
      </c>
    </row>
    <row r="48077" spans="26:26" x14ac:dyDescent="0.2">
      <c r="Z48077" t="str">
        <f t="shared" si="751"/>
        <v/>
      </c>
    </row>
    <row r="48078" spans="26:26" x14ac:dyDescent="0.2">
      <c r="Z48078" t="str">
        <f t="shared" si="751"/>
        <v/>
      </c>
    </row>
    <row r="48079" spans="26:26" x14ac:dyDescent="0.2">
      <c r="Z48079" t="str">
        <f t="shared" si="751"/>
        <v/>
      </c>
    </row>
    <row r="48080" spans="26:26" x14ac:dyDescent="0.2">
      <c r="Z48080" t="str">
        <f t="shared" si="751"/>
        <v/>
      </c>
    </row>
    <row r="48081" spans="26:26" x14ac:dyDescent="0.2">
      <c r="Z48081" t="str">
        <f t="shared" si="751"/>
        <v/>
      </c>
    </row>
    <row r="48082" spans="26:26" x14ac:dyDescent="0.2">
      <c r="Z48082" t="str">
        <f t="shared" si="751"/>
        <v/>
      </c>
    </row>
    <row r="48083" spans="26:26" x14ac:dyDescent="0.2">
      <c r="Z48083" t="str">
        <f t="shared" si="751"/>
        <v/>
      </c>
    </row>
    <row r="48084" spans="26:26" x14ac:dyDescent="0.2">
      <c r="Z48084" t="str">
        <f t="shared" si="751"/>
        <v/>
      </c>
    </row>
    <row r="48085" spans="26:26" x14ac:dyDescent="0.2">
      <c r="Z48085" t="str">
        <f t="shared" si="751"/>
        <v/>
      </c>
    </row>
    <row r="48086" spans="26:26" x14ac:dyDescent="0.2">
      <c r="Z48086" t="str">
        <f t="shared" si="751"/>
        <v/>
      </c>
    </row>
    <row r="48087" spans="26:26" x14ac:dyDescent="0.2">
      <c r="Z48087" t="str">
        <f t="shared" si="751"/>
        <v/>
      </c>
    </row>
    <row r="48088" spans="26:26" x14ac:dyDescent="0.2">
      <c r="Z48088" t="str">
        <f t="shared" si="751"/>
        <v/>
      </c>
    </row>
    <row r="48089" spans="26:26" x14ac:dyDescent="0.2">
      <c r="Z48089" t="str">
        <f t="shared" si="751"/>
        <v/>
      </c>
    </row>
    <row r="48090" spans="26:26" x14ac:dyDescent="0.2">
      <c r="Z48090" t="str">
        <f t="shared" si="751"/>
        <v/>
      </c>
    </row>
    <row r="48091" spans="26:26" x14ac:dyDescent="0.2">
      <c r="Z48091" t="str">
        <f t="shared" si="751"/>
        <v/>
      </c>
    </row>
    <row r="48092" spans="26:26" x14ac:dyDescent="0.2">
      <c r="Z48092" t="str">
        <f t="shared" si="751"/>
        <v/>
      </c>
    </row>
    <row r="48093" spans="26:26" x14ac:dyDescent="0.2">
      <c r="Z48093" t="str">
        <f t="shared" si="751"/>
        <v/>
      </c>
    </row>
    <row r="48094" spans="26:26" x14ac:dyDescent="0.2">
      <c r="Z48094" t="str">
        <f t="shared" si="751"/>
        <v/>
      </c>
    </row>
    <row r="48095" spans="26:26" x14ac:dyDescent="0.2">
      <c r="Z48095" t="str">
        <f t="shared" si="751"/>
        <v/>
      </c>
    </row>
    <row r="48096" spans="26:26" x14ac:dyDescent="0.2">
      <c r="Z48096" t="str">
        <f t="shared" si="751"/>
        <v/>
      </c>
    </row>
    <row r="48097" spans="26:26" x14ac:dyDescent="0.2">
      <c r="Z48097" t="str">
        <f t="shared" si="751"/>
        <v/>
      </c>
    </row>
    <row r="48098" spans="26:26" x14ac:dyDescent="0.2">
      <c r="Z48098" t="str">
        <f t="shared" si="751"/>
        <v/>
      </c>
    </row>
    <row r="48099" spans="26:26" x14ac:dyDescent="0.2">
      <c r="Z48099" t="str">
        <f t="shared" si="751"/>
        <v/>
      </c>
    </row>
    <row r="48100" spans="26:26" x14ac:dyDescent="0.2">
      <c r="Z48100" t="str">
        <f t="shared" si="751"/>
        <v/>
      </c>
    </row>
    <row r="48101" spans="26:26" x14ac:dyDescent="0.2">
      <c r="Z48101" t="str">
        <f t="shared" si="751"/>
        <v/>
      </c>
    </row>
    <row r="48102" spans="26:26" x14ac:dyDescent="0.2">
      <c r="Z48102" t="str">
        <f t="shared" si="751"/>
        <v/>
      </c>
    </row>
    <row r="48103" spans="26:26" x14ac:dyDescent="0.2">
      <c r="Z48103" t="str">
        <f t="shared" si="751"/>
        <v/>
      </c>
    </row>
    <row r="48104" spans="26:26" x14ac:dyDescent="0.2">
      <c r="Z48104" t="str">
        <f t="shared" si="751"/>
        <v/>
      </c>
    </row>
    <row r="48105" spans="26:26" x14ac:dyDescent="0.2">
      <c r="Z48105" t="str">
        <f t="shared" si="751"/>
        <v/>
      </c>
    </row>
    <row r="48106" spans="26:26" x14ac:dyDescent="0.2">
      <c r="Z48106" t="str">
        <f t="shared" si="751"/>
        <v/>
      </c>
    </row>
    <row r="48107" spans="26:26" x14ac:dyDescent="0.2">
      <c r="Z48107" t="str">
        <f t="shared" si="751"/>
        <v/>
      </c>
    </row>
    <row r="48108" spans="26:26" x14ac:dyDescent="0.2">
      <c r="Z48108" t="str">
        <f t="shared" si="751"/>
        <v/>
      </c>
    </row>
    <row r="48109" spans="26:26" x14ac:dyDescent="0.2">
      <c r="Z48109" t="str">
        <f t="shared" si="751"/>
        <v/>
      </c>
    </row>
    <row r="48110" spans="26:26" x14ac:dyDescent="0.2">
      <c r="Z48110" t="str">
        <f t="shared" si="751"/>
        <v/>
      </c>
    </row>
    <row r="48111" spans="26:26" x14ac:dyDescent="0.2">
      <c r="Z48111" t="str">
        <f t="shared" si="751"/>
        <v/>
      </c>
    </row>
    <row r="48112" spans="26:26" x14ac:dyDescent="0.2">
      <c r="Z48112" t="str">
        <f t="shared" si="751"/>
        <v/>
      </c>
    </row>
    <row r="48113" spans="26:26" x14ac:dyDescent="0.2">
      <c r="Z48113" t="str">
        <f t="shared" si="751"/>
        <v/>
      </c>
    </row>
    <row r="48114" spans="26:26" x14ac:dyDescent="0.2">
      <c r="Z48114" t="str">
        <f t="shared" si="751"/>
        <v/>
      </c>
    </row>
    <row r="48115" spans="26:26" x14ac:dyDescent="0.2">
      <c r="Z48115" t="str">
        <f t="shared" si="751"/>
        <v/>
      </c>
    </row>
    <row r="48116" spans="26:26" x14ac:dyDescent="0.2">
      <c r="Z48116" t="str">
        <f t="shared" si="751"/>
        <v/>
      </c>
    </row>
    <row r="48117" spans="26:26" x14ac:dyDescent="0.2">
      <c r="Z48117" t="str">
        <f t="shared" si="751"/>
        <v/>
      </c>
    </row>
    <row r="48118" spans="26:26" x14ac:dyDescent="0.2">
      <c r="Z48118" t="str">
        <f t="shared" si="751"/>
        <v/>
      </c>
    </row>
    <row r="48119" spans="26:26" x14ac:dyDescent="0.2">
      <c r="Z48119" t="str">
        <f t="shared" si="751"/>
        <v/>
      </c>
    </row>
    <row r="48120" spans="26:26" x14ac:dyDescent="0.2">
      <c r="Z48120" t="str">
        <f t="shared" si="751"/>
        <v/>
      </c>
    </row>
    <row r="48121" spans="26:26" x14ac:dyDescent="0.2">
      <c r="Z48121" t="str">
        <f t="shared" si="751"/>
        <v/>
      </c>
    </row>
    <row r="48122" spans="26:26" x14ac:dyDescent="0.2">
      <c r="Z48122" t="str">
        <f t="shared" si="751"/>
        <v/>
      </c>
    </row>
    <row r="48123" spans="26:26" x14ac:dyDescent="0.2">
      <c r="Z48123" t="str">
        <f t="shared" si="751"/>
        <v/>
      </c>
    </row>
    <row r="48124" spans="26:26" x14ac:dyDescent="0.2">
      <c r="Z48124" t="str">
        <f t="shared" si="751"/>
        <v/>
      </c>
    </row>
    <row r="48125" spans="26:26" x14ac:dyDescent="0.2">
      <c r="Z48125" t="str">
        <f t="shared" si="751"/>
        <v/>
      </c>
    </row>
    <row r="48126" spans="26:26" x14ac:dyDescent="0.2">
      <c r="Z48126" t="str">
        <f t="shared" si="751"/>
        <v/>
      </c>
    </row>
    <row r="48127" spans="26:26" x14ac:dyDescent="0.2">
      <c r="Z48127" t="str">
        <f t="shared" si="751"/>
        <v/>
      </c>
    </row>
    <row r="48128" spans="26:26" x14ac:dyDescent="0.2">
      <c r="Z48128" t="str">
        <f t="shared" si="751"/>
        <v/>
      </c>
    </row>
    <row r="48129" spans="26:26" x14ac:dyDescent="0.2">
      <c r="Z48129" t="str">
        <f t="shared" si="751"/>
        <v/>
      </c>
    </row>
    <row r="48130" spans="26:26" x14ac:dyDescent="0.2">
      <c r="Z48130" t="str">
        <f t="shared" si="751"/>
        <v/>
      </c>
    </row>
    <row r="48131" spans="26:26" x14ac:dyDescent="0.2">
      <c r="Z48131" t="str">
        <f t="shared" ref="Z48131:Z48194" si="752">IF(K48131="","",IFERROR(VALUE(TRIM(MID(K48131,FIND(CHAR(167),SUBSTITUTE(K48131,"-",CHAR(167),LEN(K48131)-LEN(SUBSTITUTE(K48131,"-",""))))+1,100))),K48131))</f>
        <v/>
      </c>
    </row>
    <row r="48132" spans="26:26" x14ac:dyDescent="0.2">
      <c r="Z48132" t="str">
        <f t="shared" si="752"/>
        <v/>
      </c>
    </row>
    <row r="48133" spans="26:26" x14ac:dyDescent="0.2">
      <c r="Z48133" t="str">
        <f t="shared" si="752"/>
        <v/>
      </c>
    </row>
    <row r="48134" spans="26:26" x14ac:dyDescent="0.2">
      <c r="Z48134" t="str">
        <f t="shared" si="752"/>
        <v/>
      </c>
    </row>
    <row r="48135" spans="26:26" x14ac:dyDescent="0.2">
      <c r="Z48135" t="str">
        <f t="shared" si="752"/>
        <v/>
      </c>
    </row>
    <row r="48136" spans="26:26" x14ac:dyDescent="0.2">
      <c r="Z48136" t="str">
        <f t="shared" si="752"/>
        <v/>
      </c>
    </row>
    <row r="48137" spans="26:26" x14ac:dyDescent="0.2">
      <c r="Z48137" t="str">
        <f t="shared" si="752"/>
        <v/>
      </c>
    </row>
    <row r="48138" spans="26:26" x14ac:dyDescent="0.2">
      <c r="Z48138" t="str">
        <f t="shared" si="752"/>
        <v/>
      </c>
    </row>
    <row r="48139" spans="26:26" x14ac:dyDescent="0.2">
      <c r="Z48139" t="str">
        <f t="shared" si="752"/>
        <v/>
      </c>
    </row>
    <row r="48140" spans="26:26" x14ac:dyDescent="0.2">
      <c r="Z48140" t="str">
        <f t="shared" si="752"/>
        <v/>
      </c>
    </row>
    <row r="48141" spans="26:26" x14ac:dyDescent="0.2">
      <c r="Z48141" t="str">
        <f t="shared" si="752"/>
        <v/>
      </c>
    </row>
    <row r="48142" spans="26:26" x14ac:dyDescent="0.2">
      <c r="Z48142" t="str">
        <f t="shared" si="752"/>
        <v/>
      </c>
    </row>
    <row r="48143" spans="26:26" x14ac:dyDescent="0.2">
      <c r="Z48143" t="str">
        <f t="shared" si="752"/>
        <v/>
      </c>
    </row>
    <row r="48144" spans="26:26" x14ac:dyDescent="0.2">
      <c r="Z48144" t="str">
        <f t="shared" si="752"/>
        <v/>
      </c>
    </row>
    <row r="48145" spans="26:26" x14ac:dyDescent="0.2">
      <c r="Z48145" t="str">
        <f t="shared" si="752"/>
        <v/>
      </c>
    </row>
    <row r="48146" spans="26:26" x14ac:dyDescent="0.2">
      <c r="Z48146" t="str">
        <f t="shared" si="752"/>
        <v/>
      </c>
    </row>
    <row r="48147" spans="26:26" x14ac:dyDescent="0.2">
      <c r="Z48147" t="str">
        <f t="shared" si="752"/>
        <v/>
      </c>
    </row>
    <row r="48148" spans="26:26" x14ac:dyDescent="0.2">
      <c r="Z48148" t="str">
        <f t="shared" si="752"/>
        <v/>
      </c>
    </row>
    <row r="48149" spans="26:26" x14ac:dyDescent="0.2">
      <c r="Z48149" t="str">
        <f t="shared" si="752"/>
        <v/>
      </c>
    </row>
    <row r="48150" spans="26:26" x14ac:dyDescent="0.2">
      <c r="Z48150" t="str">
        <f t="shared" si="752"/>
        <v/>
      </c>
    </row>
    <row r="48151" spans="26:26" x14ac:dyDescent="0.2">
      <c r="Z48151" t="str">
        <f t="shared" si="752"/>
        <v/>
      </c>
    </row>
    <row r="48152" spans="26:26" x14ac:dyDescent="0.2">
      <c r="Z48152" t="str">
        <f t="shared" si="752"/>
        <v/>
      </c>
    </row>
    <row r="48153" spans="26:26" x14ac:dyDescent="0.2">
      <c r="Z48153" t="str">
        <f t="shared" si="752"/>
        <v/>
      </c>
    </row>
    <row r="48154" spans="26:26" x14ac:dyDescent="0.2">
      <c r="Z48154" t="str">
        <f t="shared" si="752"/>
        <v/>
      </c>
    </row>
    <row r="48155" spans="26:26" x14ac:dyDescent="0.2">
      <c r="Z48155" t="str">
        <f t="shared" si="752"/>
        <v/>
      </c>
    </row>
    <row r="48156" spans="26:26" x14ac:dyDescent="0.2">
      <c r="Z48156" t="str">
        <f t="shared" si="752"/>
        <v/>
      </c>
    </row>
    <row r="48157" spans="26:26" x14ac:dyDescent="0.2">
      <c r="Z48157" t="str">
        <f t="shared" si="752"/>
        <v/>
      </c>
    </row>
    <row r="48158" spans="26:26" x14ac:dyDescent="0.2">
      <c r="Z48158" t="str">
        <f t="shared" si="752"/>
        <v/>
      </c>
    </row>
    <row r="48159" spans="26:26" x14ac:dyDescent="0.2">
      <c r="Z48159" t="str">
        <f t="shared" si="752"/>
        <v/>
      </c>
    </row>
    <row r="48160" spans="26:26" x14ac:dyDescent="0.2">
      <c r="Z48160" t="str">
        <f t="shared" si="752"/>
        <v/>
      </c>
    </row>
    <row r="48161" spans="26:26" x14ac:dyDescent="0.2">
      <c r="Z48161" t="str">
        <f t="shared" si="752"/>
        <v/>
      </c>
    </row>
    <row r="48162" spans="26:26" x14ac:dyDescent="0.2">
      <c r="Z48162" t="str">
        <f t="shared" si="752"/>
        <v/>
      </c>
    </row>
    <row r="48163" spans="26:26" x14ac:dyDescent="0.2">
      <c r="Z48163" t="str">
        <f t="shared" si="752"/>
        <v/>
      </c>
    </row>
    <row r="48164" spans="26:26" x14ac:dyDescent="0.2">
      <c r="Z48164" t="str">
        <f t="shared" si="752"/>
        <v/>
      </c>
    </row>
    <row r="48165" spans="26:26" x14ac:dyDescent="0.2">
      <c r="Z48165" t="str">
        <f t="shared" si="752"/>
        <v/>
      </c>
    </row>
    <row r="48166" spans="26:26" x14ac:dyDescent="0.2">
      <c r="Z48166" t="str">
        <f t="shared" si="752"/>
        <v/>
      </c>
    </row>
    <row r="48167" spans="26:26" x14ac:dyDescent="0.2">
      <c r="Z48167" t="str">
        <f t="shared" si="752"/>
        <v/>
      </c>
    </row>
    <row r="48168" spans="26:26" x14ac:dyDescent="0.2">
      <c r="Z48168" t="str">
        <f t="shared" si="752"/>
        <v/>
      </c>
    </row>
    <row r="48169" spans="26:26" x14ac:dyDescent="0.2">
      <c r="Z48169" t="str">
        <f t="shared" si="752"/>
        <v/>
      </c>
    </row>
    <row r="48170" spans="26:26" x14ac:dyDescent="0.2">
      <c r="Z48170" t="str">
        <f t="shared" si="752"/>
        <v/>
      </c>
    </row>
    <row r="48171" spans="26:26" x14ac:dyDescent="0.2">
      <c r="Z48171" t="str">
        <f t="shared" si="752"/>
        <v/>
      </c>
    </row>
    <row r="48172" spans="26:26" x14ac:dyDescent="0.2">
      <c r="Z48172" t="str">
        <f t="shared" si="752"/>
        <v/>
      </c>
    </row>
    <row r="48173" spans="26:26" x14ac:dyDescent="0.2">
      <c r="Z48173" t="str">
        <f t="shared" si="752"/>
        <v/>
      </c>
    </row>
    <row r="48174" spans="26:26" x14ac:dyDescent="0.2">
      <c r="Z48174" t="str">
        <f t="shared" si="752"/>
        <v/>
      </c>
    </row>
    <row r="48175" spans="26:26" x14ac:dyDescent="0.2">
      <c r="Z48175" t="str">
        <f t="shared" si="752"/>
        <v/>
      </c>
    </row>
    <row r="48176" spans="26:26" x14ac:dyDescent="0.2">
      <c r="Z48176" t="str">
        <f t="shared" si="752"/>
        <v/>
      </c>
    </row>
    <row r="48177" spans="26:26" x14ac:dyDescent="0.2">
      <c r="Z48177" t="str">
        <f t="shared" si="752"/>
        <v/>
      </c>
    </row>
    <row r="48178" spans="26:26" x14ac:dyDescent="0.2">
      <c r="Z48178" t="str">
        <f t="shared" si="752"/>
        <v/>
      </c>
    </row>
    <row r="48179" spans="26:26" x14ac:dyDescent="0.2">
      <c r="Z48179" t="str">
        <f t="shared" si="752"/>
        <v/>
      </c>
    </row>
    <row r="48180" spans="26:26" x14ac:dyDescent="0.2">
      <c r="Z48180" t="str">
        <f t="shared" si="752"/>
        <v/>
      </c>
    </row>
    <row r="48181" spans="26:26" x14ac:dyDescent="0.2">
      <c r="Z48181" t="str">
        <f t="shared" si="752"/>
        <v/>
      </c>
    </row>
    <row r="48182" spans="26:26" x14ac:dyDescent="0.2">
      <c r="Z48182" t="str">
        <f t="shared" si="752"/>
        <v/>
      </c>
    </row>
    <row r="48183" spans="26:26" x14ac:dyDescent="0.2">
      <c r="Z48183" t="str">
        <f t="shared" si="752"/>
        <v/>
      </c>
    </row>
    <row r="48184" spans="26:26" x14ac:dyDescent="0.2">
      <c r="Z48184" t="str">
        <f t="shared" si="752"/>
        <v/>
      </c>
    </row>
    <row r="48185" spans="26:26" x14ac:dyDescent="0.2">
      <c r="Z48185" t="str">
        <f t="shared" si="752"/>
        <v/>
      </c>
    </row>
    <row r="48186" spans="26:26" x14ac:dyDescent="0.2">
      <c r="Z48186" t="str">
        <f t="shared" si="752"/>
        <v/>
      </c>
    </row>
    <row r="48187" spans="26:26" x14ac:dyDescent="0.2">
      <c r="Z48187" t="str">
        <f t="shared" si="752"/>
        <v/>
      </c>
    </row>
    <row r="48188" spans="26:26" x14ac:dyDescent="0.2">
      <c r="Z48188" t="str">
        <f t="shared" si="752"/>
        <v/>
      </c>
    </row>
    <row r="48189" spans="26:26" x14ac:dyDescent="0.2">
      <c r="Z48189" t="str">
        <f t="shared" si="752"/>
        <v/>
      </c>
    </row>
    <row r="48190" spans="26:26" x14ac:dyDescent="0.2">
      <c r="Z48190" t="str">
        <f t="shared" si="752"/>
        <v/>
      </c>
    </row>
    <row r="48191" spans="26:26" x14ac:dyDescent="0.2">
      <c r="Z48191" t="str">
        <f t="shared" si="752"/>
        <v/>
      </c>
    </row>
    <row r="48192" spans="26:26" x14ac:dyDescent="0.2">
      <c r="Z48192" t="str">
        <f t="shared" si="752"/>
        <v/>
      </c>
    </row>
    <row r="48193" spans="26:26" x14ac:dyDescent="0.2">
      <c r="Z48193" t="str">
        <f t="shared" si="752"/>
        <v/>
      </c>
    </row>
    <row r="48194" spans="26:26" x14ac:dyDescent="0.2">
      <c r="Z48194" t="str">
        <f t="shared" si="752"/>
        <v/>
      </c>
    </row>
    <row r="48195" spans="26:26" x14ac:dyDescent="0.2">
      <c r="Z48195" t="str">
        <f t="shared" ref="Z48195:Z48258" si="753">IF(K48195="","",IFERROR(VALUE(TRIM(MID(K48195,FIND(CHAR(167),SUBSTITUTE(K48195,"-",CHAR(167),LEN(K48195)-LEN(SUBSTITUTE(K48195,"-",""))))+1,100))),K48195))</f>
        <v/>
      </c>
    </row>
    <row r="48196" spans="26:26" x14ac:dyDescent="0.2">
      <c r="Z48196" t="str">
        <f t="shared" si="753"/>
        <v/>
      </c>
    </row>
    <row r="48197" spans="26:26" x14ac:dyDescent="0.2">
      <c r="Z48197" t="str">
        <f t="shared" si="753"/>
        <v/>
      </c>
    </row>
    <row r="48198" spans="26:26" x14ac:dyDescent="0.2">
      <c r="Z48198" t="str">
        <f t="shared" si="753"/>
        <v/>
      </c>
    </row>
    <row r="48199" spans="26:26" x14ac:dyDescent="0.2">
      <c r="Z48199" t="str">
        <f t="shared" si="753"/>
        <v/>
      </c>
    </row>
    <row r="48200" spans="26:26" x14ac:dyDescent="0.2">
      <c r="Z48200" t="str">
        <f t="shared" si="753"/>
        <v/>
      </c>
    </row>
    <row r="48201" spans="26:26" x14ac:dyDescent="0.2">
      <c r="Z48201" t="str">
        <f t="shared" si="753"/>
        <v/>
      </c>
    </row>
    <row r="48202" spans="26:26" x14ac:dyDescent="0.2">
      <c r="Z48202" t="str">
        <f t="shared" si="753"/>
        <v/>
      </c>
    </row>
    <row r="48203" spans="26:26" x14ac:dyDescent="0.2">
      <c r="Z48203" t="str">
        <f t="shared" si="753"/>
        <v/>
      </c>
    </row>
    <row r="48204" spans="26:26" x14ac:dyDescent="0.2">
      <c r="Z48204" t="str">
        <f t="shared" si="753"/>
        <v/>
      </c>
    </row>
    <row r="48205" spans="26:26" x14ac:dyDescent="0.2">
      <c r="Z48205" t="str">
        <f t="shared" si="753"/>
        <v/>
      </c>
    </row>
    <row r="48206" spans="26:26" x14ac:dyDescent="0.2">
      <c r="Z48206" t="str">
        <f t="shared" si="753"/>
        <v/>
      </c>
    </row>
    <row r="48207" spans="26:26" x14ac:dyDescent="0.2">
      <c r="Z48207" t="str">
        <f t="shared" si="753"/>
        <v/>
      </c>
    </row>
    <row r="48208" spans="26:26" x14ac:dyDescent="0.2">
      <c r="Z48208" t="str">
        <f t="shared" si="753"/>
        <v/>
      </c>
    </row>
    <row r="48209" spans="26:26" x14ac:dyDescent="0.2">
      <c r="Z48209" t="str">
        <f t="shared" si="753"/>
        <v/>
      </c>
    </row>
    <row r="48210" spans="26:26" x14ac:dyDescent="0.2">
      <c r="Z48210" t="str">
        <f t="shared" si="753"/>
        <v/>
      </c>
    </row>
    <row r="48211" spans="26:26" x14ac:dyDescent="0.2">
      <c r="Z48211" t="str">
        <f t="shared" si="753"/>
        <v/>
      </c>
    </row>
    <row r="48212" spans="26:26" x14ac:dyDescent="0.2">
      <c r="Z48212" t="str">
        <f t="shared" si="753"/>
        <v/>
      </c>
    </row>
    <row r="48213" spans="26:26" x14ac:dyDescent="0.2">
      <c r="Z48213" t="str">
        <f t="shared" si="753"/>
        <v/>
      </c>
    </row>
    <row r="48214" spans="26:26" x14ac:dyDescent="0.2">
      <c r="Z48214" t="str">
        <f t="shared" si="753"/>
        <v/>
      </c>
    </row>
    <row r="48215" spans="26:26" x14ac:dyDescent="0.2">
      <c r="Z48215" t="str">
        <f t="shared" si="753"/>
        <v/>
      </c>
    </row>
    <row r="48216" spans="26:26" x14ac:dyDescent="0.2">
      <c r="Z48216" t="str">
        <f t="shared" si="753"/>
        <v/>
      </c>
    </row>
    <row r="48217" spans="26:26" x14ac:dyDescent="0.2">
      <c r="Z48217" t="str">
        <f t="shared" si="753"/>
        <v/>
      </c>
    </row>
    <row r="48218" spans="26:26" x14ac:dyDescent="0.2">
      <c r="Z48218" t="str">
        <f t="shared" si="753"/>
        <v/>
      </c>
    </row>
    <row r="48219" spans="26:26" x14ac:dyDescent="0.2">
      <c r="Z48219" t="str">
        <f t="shared" si="753"/>
        <v/>
      </c>
    </row>
    <row r="48220" spans="26:26" x14ac:dyDescent="0.2">
      <c r="Z48220" t="str">
        <f t="shared" si="753"/>
        <v/>
      </c>
    </row>
    <row r="48221" spans="26:26" x14ac:dyDescent="0.2">
      <c r="Z48221" t="str">
        <f t="shared" si="753"/>
        <v/>
      </c>
    </row>
    <row r="48222" spans="26:26" x14ac:dyDescent="0.2">
      <c r="Z48222" t="str">
        <f t="shared" si="753"/>
        <v/>
      </c>
    </row>
    <row r="48223" spans="26:26" x14ac:dyDescent="0.2">
      <c r="Z48223" t="str">
        <f t="shared" si="753"/>
        <v/>
      </c>
    </row>
    <row r="48224" spans="26:26" x14ac:dyDescent="0.2">
      <c r="Z48224" t="str">
        <f t="shared" si="753"/>
        <v/>
      </c>
    </row>
    <row r="48225" spans="26:26" x14ac:dyDescent="0.2">
      <c r="Z48225" t="str">
        <f t="shared" si="753"/>
        <v/>
      </c>
    </row>
    <row r="48226" spans="26:26" x14ac:dyDescent="0.2">
      <c r="Z48226" t="str">
        <f t="shared" si="753"/>
        <v/>
      </c>
    </row>
    <row r="48227" spans="26:26" x14ac:dyDescent="0.2">
      <c r="Z48227" t="str">
        <f t="shared" si="753"/>
        <v/>
      </c>
    </row>
    <row r="48228" spans="26:26" x14ac:dyDescent="0.2">
      <c r="Z48228" t="str">
        <f t="shared" si="753"/>
        <v/>
      </c>
    </row>
    <row r="48229" spans="26:26" x14ac:dyDescent="0.2">
      <c r="Z48229" t="str">
        <f t="shared" si="753"/>
        <v/>
      </c>
    </row>
    <row r="48230" spans="26:26" x14ac:dyDescent="0.2">
      <c r="Z48230" t="str">
        <f t="shared" si="753"/>
        <v/>
      </c>
    </row>
    <row r="48231" spans="26:26" x14ac:dyDescent="0.2">
      <c r="Z48231" t="str">
        <f t="shared" si="753"/>
        <v/>
      </c>
    </row>
    <row r="48232" spans="26:26" x14ac:dyDescent="0.2">
      <c r="Z48232" t="str">
        <f t="shared" si="753"/>
        <v/>
      </c>
    </row>
    <row r="48233" spans="26:26" x14ac:dyDescent="0.2">
      <c r="Z48233" t="str">
        <f t="shared" si="753"/>
        <v/>
      </c>
    </row>
    <row r="48234" spans="26:26" x14ac:dyDescent="0.2">
      <c r="Z48234" t="str">
        <f t="shared" si="753"/>
        <v/>
      </c>
    </row>
    <row r="48235" spans="26:26" x14ac:dyDescent="0.2">
      <c r="Z48235" t="str">
        <f t="shared" si="753"/>
        <v/>
      </c>
    </row>
    <row r="48236" spans="26:26" x14ac:dyDescent="0.2">
      <c r="Z48236" t="str">
        <f t="shared" si="753"/>
        <v/>
      </c>
    </row>
    <row r="48237" spans="26:26" x14ac:dyDescent="0.2">
      <c r="Z48237" t="str">
        <f t="shared" si="753"/>
        <v/>
      </c>
    </row>
    <row r="48238" spans="26:26" x14ac:dyDescent="0.2">
      <c r="Z48238" t="str">
        <f t="shared" si="753"/>
        <v/>
      </c>
    </row>
    <row r="48239" spans="26:26" x14ac:dyDescent="0.2">
      <c r="Z48239" t="str">
        <f t="shared" si="753"/>
        <v/>
      </c>
    </row>
    <row r="48240" spans="26:26" x14ac:dyDescent="0.2">
      <c r="Z48240" t="str">
        <f t="shared" si="753"/>
        <v/>
      </c>
    </row>
    <row r="48241" spans="26:26" x14ac:dyDescent="0.2">
      <c r="Z48241" t="str">
        <f t="shared" si="753"/>
        <v/>
      </c>
    </row>
    <row r="48242" spans="26:26" x14ac:dyDescent="0.2">
      <c r="Z48242" t="str">
        <f t="shared" si="753"/>
        <v/>
      </c>
    </row>
    <row r="48243" spans="26:26" x14ac:dyDescent="0.2">
      <c r="Z48243" t="str">
        <f t="shared" si="753"/>
        <v/>
      </c>
    </row>
    <row r="48244" spans="26:26" x14ac:dyDescent="0.2">
      <c r="Z48244" t="str">
        <f t="shared" si="753"/>
        <v/>
      </c>
    </row>
    <row r="48245" spans="26:26" x14ac:dyDescent="0.2">
      <c r="Z48245" t="str">
        <f t="shared" si="753"/>
        <v/>
      </c>
    </row>
    <row r="48246" spans="26:26" x14ac:dyDescent="0.2">
      <c r="Z48246" t="str">
        <f t="shared" si="753"/>
        <v/>
      </c>
    </row>
    <row r="48247" spans="26:26" x14ac:dyDescent="0.2">
      <c r="Z48247" t="str">
        <f t="shared" si="753"/>
        <v/>
      </c>
    </row>
    <row r="48248" spans="26:26" x14ac:dyDescent="0.2">
      <c r="Z48248" t="str">
        <f t="shared" si="753"/>
        <v/>
      </c>
    </row>
    <row r="48249" spans="26:26" x14ac:dyDescent="0.2">
      <c r="Z48249" t="str">
        <f t="shared" si="753"/>
        <v/>
      </c>
    </row>
    <row r="48250" spans="26:26" x14ac:dyDescent="0.2">
      <c r="Z48250" t="str">
        <f t="shared" si="753"/>
        <v/>
      </c>
    </row>
    <row r="48251" spans="26:26" x14ac:dyDescent="0.2">
      <c r="Z48251" t="str">
        <f t="shared" si="753"/>
        <v/>
      </c>
    </row>
    <row r="48252" spans="26:26" x14ac:dyDescent="0.2">
      <c r="Z48252" t="str">
        <f t="shared" si="753"/>
        <v/>
      </c>
    </row>
    <row r="48253" spans="26:26" x14ac:dyDescent="0.2">
      <c r="Z48253" t="str">
        <f t="shared" si="753"/>
        <v/>
      </c>
    </row>
    <row r="48254" spans="26:26" x14ac:dyDescent="0.2">
      <c r="Z48254" t="str">
        <f t="shared" si="753"/>
        <v/>
      </c>
    </row>
    <row r="48255" spans="26:26" x14ac:dyDescent="0.2">
      <c r="Z48255" t="str">
        <f t="shared" si="753"/>
        <v/>
      </c>
    </row>
    <row r="48256" spans="26:26" x14ac:dyDescent="0.2">
      <c r="Z48256" t="str">
        <f t="shared" si="753"/>
        <v/>
      </c>
    </row>
    <row r="48257" spans="26:26" x14ac:dyDescent="0.2">
      <c r="Z48257" t="str">
        <f t="shared" si="753"/>
        <v/>
      </c>
    </row>
    <row r="48258" spans="26:26" x14ac:dyDescent="0.2">
      <c r="Z48258" t="str">
        <f t="shared" si="753"/>
        <v/>
      </c>
    </row>
    <row r="48259" spans="26:26" x14ac:dyDescent="0.2">
      <c r="Z48259" t="str">
        <f t="shared" ref="Z48259:Z48322" si="754">IF(K48259="","",IFERROR(VALUE(TRIM(MID(K48259,FIND(CHAR(167),SUBSTITUTE(K48259,"-",CHAR(167),LEN(K48259)-LEN(SUBSTITUTE(K48259,"-",""))))+1,100))),K48259))</f>
        <v/>
      </c>
    </row>
    <row r="48260" spans="26:26" x14ac:dyDescent="0.2">
      <c r="Z48260" t="str">
        <f t="shared" si="754"/>
        <v/>
      </c>
    </row>
    <row r="48261" spans="26:26" x14ac:dyDescent="0.2">
      <c r="Z48261" t="str">
        <f t="shared" si="754"/>
        <v/>
      </c>
    </row>
    <row r="48262" spans="26:26" x14ac:dyDescent="0.2">
      <c r="Z48262" t="str">
        <f t="shared" si="754"/>
        <v/>
      </c>
    </row>
    <row r="48263" spans="26:26" x14ac:dyDescent="0.2">
      <c r="Z48263" t="str">
        <f t="shared" si="754"/>
        <v/>
      </c>
    </row>
    <row r="48264" spans="26:26" x14ac:dyDescent="0.2">
      <c r="Z48264" t="str">
        <f t="shared" si="754"/>
        <v/>
      </c>
    </row>
    <row r="48265" spans="26:26" x14ac:dyDescent="0.2">
      <c r="Z48265" t="str">
        <f t="shared" si="754"/>
        <v/>
      </c>
    </row>
    <row r="48266" spans="26:26" x14ac:dyDescent="0.2">
      <c r="Z48266" t="str">
        <f t="shared" si="754"/>
        <v/>
      </c>
    </row>
    <row r="48267" spans="26:26" x14ac:dyDescent="0.2">
      <c r="Z48267" t="str">
        <f t="shared" si="754"/>
        <v/>
      </c>
    </row>
    <row r="48268" spans="26:26" x14ac:dyDescent="0.2">
      <c r="Z48268" t="str">
        <f t="shared" si="754"/>
        <v/>
      </c>
    </row>
    <row r="48269" spans="26:26" x14ac:dyDescent="0.2">
      <c r="Z48269" t="str">
        <f t="shared" si="754"/>
        <v/>
      </c>
    </row>
    <row r="48270" spans="26:26" x14ac:dyDescent="0.2">
      <c r="Z48270" t="str">
        <f t="shared" si="754"/>
        <v/>
      </c>
    </row>
    <row r="48271" spans="26:26" x14ac:dyDescent="0.2">
      <c r="Z48271" t="str">
        <f t="shared" si="754"/>
        <v/>
      </c>
    </row>
    <row r="48272" spans="26:26" x14ac:dyDescent="0.2">
      <c r="Z48272" t="str">
        <f t="shared" si="754"/>
        <v/>
      </c>
    </row>
    <row r="48273" spans="26:26" x14ac:dyDescent="0.2">
      <c r="Z48273" t="str">
        <f t="shared" si="754"/>
        <v/>
      </c>
    </row>
    <row r="48274" spans="26:26" x14ac:dyDescent="0.2">
      <c r="Z48274" t="str">
        <f t="shared" si="754"/>
        <v/>
      </c>
    </row>
    <row r="48275" spans="26:26" x14ac:dyDescent="0.2">
      <c r="Z48275" t="str">
        <f t="shared" si="754"/>
        <v/>
      </c>
    </row>
    <row r="48276" spans="26:26" x14ac:dyDescent="0.2">
      <c r="Z48276" t="str">
        <f t="shared" si="754"/>
        <v/>
      </c>
    </row>
    <row r="48277" spans="26:26" x14ac:dyDescent="0.2">
      <c r="Z48277" t="str">
        <f t="shared" si="754"/>
        <v/>
      </c>
    </row>
    <row r="48278" spans="26:26" x14ac:dyDescent="0.2">
      <c r="Z48278" t="str">
        <f t="shared" si="754"/>
        <v/>
      </c>
    </row>
    <row r="48279" spans="26:26" x14ac:dyDescent="0.2">
      <c r="Z48279" t="str">
        <f t="shared" si="754"/>
        <v/>
      </c>
    </row>
    <row r="48280" spans="26:26" x14ac:dyDescent="0.2">
      <c r="Z48280" t="str">
        <f t="shared" si="754"/>
        <v/>
      </c>
    </row>
    <row r="48281" spans="26:26" x14ac:dyDescent="0.2">
      <c r="Z48281" t="str">
        <f t="shared" si="754"/>
        <v/>
      </c>
    </row>
    <row r="48282" spans="26:26" x14ac:dyDescent="0.2">
      <c r="Z48282" t="str">
        <f t="shared" si="754"/>
        <v/>
      </c>
    </row>
    <row r="48283" spans="26:26" x14ac:dyDescent="0.2">
      <c r="Z48283" t="str">
        <f t="shared" si="754"/>
        <v/>
      </c>
    </row>
    <row r="48284" spans="26:26" x14ac:dyDescent="0.2">
      <c r="Z48284" t="str">
        <f t="shared" si="754"/>
        <v/>
      </c>
    </row>
    <row r="48285" spans="26:26" x14ac:dyDescent="0.2">
      <c r="Z48285" t="str">
        <f t="shared" si="754"/>
        <v/>
      </c>
    </row>
    <row r="48286" spans="26:26" x14ac:dyDescent="0.2">
      <c r="Z48286" t="str">
        <f t="shared" si="754"/>
        <v/>
      </c>
    </row>
    <row r="48287" spans="26:26" x14ac:dyDescent="0.2">
      <c r="Z48287" t="str">
        <f t="shared" si="754"/>
        <v/>
      </c>
    </row>
    <row r="48288" spans="26:26" x14ac:dyDescent="0.2">
      <c r="Z48288" t="str">
        <f t="shared" si="754"/>
        <v/>
      </c>
    </row>
    <row r="48289" spans="26:26" x14ac:dyDescent="0.2">
      <c r="Z48289" t="str">
        <f t="shared" si="754"/>
        <v/>
      </c>
    </row>
    <row r="48290" spans="26:26" x14ac:dyDescent="0.2">
      <c r="Z48290" t="str">
        <f t="shared" si="754"/>
        <v/>
      </c>
    </row>
    <row r="48291" spans="26:26" x14ac:dyDescent="0.2">
      <c r="Z48291" t="str">
        <f t="shared" si="754"/>
        <v/>
      </c>
    </row>
    <row r="48292" spans="26:26" x14ac:dyDescent="0.2">
      <c r="Z48292" t="str">
        <f t="shared" si="754"/>
        <v/>
      </c>
    </row>
    <row r="48293" spans="26:26" x14ac:dyDescent="0.2">
      <c r="Z48293" t="str">
        <f t="shared" si="754"/>
        <v/>
      </c>
    </row>
    <row r="48294" spans="26:26" x14ac:dyDescent="0.2">
      <c r="Z48294" t="str">
        <f t="shared" si="754"/>
        <v/>
      </c>
    </row>
    <row r="48295" spans="26:26" x14ac:dyDescent="0.2">
      <c r="Z48295" t="str">
        <f t="shared" si="754"/>
        <v/>
      </c>
    </row>
    <row r="48296" spans="26:26" x14ac:dyDescent="0.2">
      <c r="Z48296" t="str">
        <f t="shared" si="754"/>
        <v/>
      </c>
    </row>
    <row r="48297" spans="26:26" x14ac:dyDescent="0.2">
      <c r="Z48297" t="str">
        <f t="shared" si="754"/>
        <v/>
      </c>
    </row>
    <row r="48298" spans="26:26" x14ac:dyDescent="0.2">
      <c r="Z48298" t="str">
        <f t="shared" si="754"/>
        <v/>
      </c>
    </row>
    <row r="48299" spans="26:26" x14ac:dyDescent="0.2">
      <c r="Z48299" t="str">
        <f t="shared" si="754"/>
        <v/>
      </c>
    </row>
    <row r="48300" spans="26:26" x14ac:dyDescent="0.2">
      <c r="Z48300" t="str">
        <f t="shared" si="754"/>
        <v/>
      </c>
    </row>
    <row r="48301" spans="26:26" x14ac:dyDescent="0.2">
      <c r="Z48301" t="str">
        <f t="shared" si="754"/>
        <v/>
      </c>
    </row>
    <row r="48302" spans="26:26" x14ac:dyDescent="0.2">
      <c r="Z48302" t="str">
        <f t="shared" si="754"/>
        <v/>
      </c>
    </row>
    <row r="48303" spans="26:26" x14ac:dyDescent="0.2">
      <c r="Z48303" t="str">
        <f t="shared" si="754"/>
        <v/>
      </c>
    </row>
    <row r="48304" spans="26:26" x14ac:dyDescent="0.2">
      <c r="Z48304" t="str">
        <f t="shared" si="754"/>
        <v/>
      </c>
    </row>
    <row r="48305" spans="26:26" x14ac:dyDescent="0.2">
      <c r="Z48305" t="str">
        <f t="shared" si="754"/>
        <v/>
      </c>
    </row>
    <row r="48306" spans="26:26" x14ac:dyDescent="0.2">
      <c r="Z48306" t="str">
        <f t="shared" si="754"/>
        <v/>
      </c>
    </row>
    <row r="48307" spans="26:26" x14ac:dyDescent="0.2">
      <c r="Z48307" t="str">
        <f t="shared" si="754"/>
        <v/>
      </c>
    </row>
    <row r="48308" spans="26:26" x14ac:dyDescent="0.2">
      <c r="Z48308" t="str">
        <f t="shared" si="754"/>
        <v/>
      </c>
    </row>
    <row r="48309" spans="26:26" x14ac:dyDescent="0.2">
      <c r="Z48309" t="str">
        <f t="shared" si="754"/>
        <v/>
      </c>
    </row>
    <row r="48310" spans="26:26" x14ac:dyDescent="0.2">
      <c r="Z48310" t="str">
        <f t="shared" si="754"/>
        <v/>
      </c>
    </row>
    <row r="48311" spans="26:26" x14ac:dyDescent="0.2">
      <c r="Z48311" t="str">
        <f t="shared" si="754"/>
        <v/>
      </c>
    </row>
    <row r="48312" spans="26:26" x14ac:dyDescent="0.2">
      <c r="Z48312" t="str">
        <f t="shared" si="754"/>
        <v/>
      </c>
    </row>
    <row r="48313" spans="26:26" x14ac:dyDescent="0.2">
      <c r="Z48313" t="str">
        <f t="shared" si="754"/>
        <v/>
      </c>
    </row>
    <row r="48314" spans="26:26" x14ac:dyDescent="0.2">
      <c r="Z48314" t="str">
        <f t="shared" si="754"/>
        <v/>
      </c>
    </row>
    <row r="48315" spans="26:26" x14ac:dyDescent="0.2">
      <c r="Z48315" t="str">
        <f t="shared" si="754"/>
        <v/>
      </c>
    </row>
    <row r="48316" spans="26:26" x14ac:dyDescent="0.2">
      <c r="Z48316" t="str">
        <f t="shared" si="754"/>
        <v/>
      </c>
    </row>
    <row r="48317" spans="26:26" x14ac:dyDescent="0.2">
      <c r="Z48317" t="str">
        <f t="shared" si="754"/>
        <v/>
      </c>
    </row>
    <row r="48318" spans="26:26" x14ac:dyDescent="0.2">
      <c r="Z48318" t="str">
        <f t="shared" si="754"/>
        <v/>
      </c>
    </row>
    <row r="48319" spans="26:26" x14ac:dyDescent="0.2">
      <c r="Z48319" t="str">
        <f t="shared" si="754"/>
        <v/>
      </c>
    </row>
    <row r="48320" spans="26:26" x14ac:dyDescent="0.2">
      <c r="Z48320" t="str">
        <f t="shared" si="754"/>
        <v/>
      </c>
    </row>
    <row r="48321" spans="26:26" x14ac:dyDescent="0.2">
      <c r="Z48321" t="str">
        <f t="shared" si="754"/>
        <v/>
      </c>
    </row>
    <row r="48322" spans="26:26" x14ac:dyDescent="0.2">
      <c r="Z48322" t="str">
        <f t="shared" si="754"/>
        <v/>
      </c>
    </row>
    <row r="48323" spans="26:26" x14ac:dyDescent="0.2">
      <c r="Z48323" t="str">
        <f t="shared" ref="Z48323:Z48386" si="755">IF(K48323="","",IFERROR(VALUE(TRIM(MID(K48323,FIND(CHAR(167),SUBSTITUTE(K48323,"-",CHAR(167),LEN(K48323)-LEN(SUBSTITUTE(K48323,"-",""))))+1,100))),K48323))</f>
        <v/>
      </c>
    </row>
    <row r="48324" spans="26:26" x14ac:dyDescent="0.2">
      <c r="Z48324" t="str">
        <f t="shared" si="755"/>
        <v/>
      </c>
    </row>
    <row r="48325" spans="26:26" x14ac:dyDescent="0.2">
      <c r="Z48325" t="str">
        <f t="shared" si="755"/>
        <v/>
      </c>
    </row>
    <row r="48326" spans="26:26" x14ac:dyDescent="0.2">
      <c r="Z48326" t="str">
        <f t="shared" si="755"/>
        <v/>
      </c>
    </row>
    <row r="48327" spans="26:26" x14ac:dyDescent="0.2">
      <c r="Z48327" t="str">
        <f t="shared" si="755"/>
        <v/>
      </c>
    </row>
    <row r="48328" spans="26:26" x14ac:dyDescent="0.2">
      <c r="Z48328" t="str">
        <f t="shared" si="755"/>
        <v/>
      </c>
    </row>
    <row r="48329" spans="26:26" x14ac:dyDescent="0.2">
      <c r="Z48329" t="str">
        <f t="shared" si="755"/>
        <v/>
      </c>
    </row>
    <row r="48330" spans="26:26" x14ac:dyDescent="0.2">
      <c r="Z48330" t="str">
        <f t="shared" si="755"/>
        <v/>
      </c>
    </row>
    <row r="48331" spans="26:26" x14ac:dyDescent="0.2">
      <c r="Z48331" t="str">
        <f t="shared" si="755"/>
        <v/>
      </c>
    </row>
    <row r="48332" spans="26:26" x14ac:dyDescent="0.2">
      <c r="Z48332" t="str">
        <f t="shared" si="755"/>
        <v/>
      </c>
    </row>
    <row r="48333" spans="26:26" x14ac:dyDescent="0.2">
      <c r="Z48333" t="str">
        <f t="shared" si="755"/>
        <v/>
      </c>
    </row>
    <row r="48334" spans="26:26" x14ac:dyDescent="0.2">
      <c r="Z48334" t="str">
        <f t="shared" si="755"/>
        <v/>
      </c>
    </row>
    <row r="48335" spans="26:26" x14ac:dyDescent="0.2">
      <c r="Z48335" t="str">
        <f t="shared" si="755"/>
        <v/>
      </c>
    </row>
    <row r="48336" spans="26:26" x14ac:dyDescent="0.2">
      <c r="Z48336" t="str">
        <f t="shared" si="755"/>
        <v/>
      </c>
    </row>
    <row r="48337" spans="26:26" x14ac:dyDescent="0.2">
      <c r="Z48337" t="str">
        <f t="shared" si="755"/>
        <v/>
      </c>
    </row>
    <row r="48338" spans="26:26" x14ac:dyDescent="0.2">
      <c r="Z48338" t="str">
        <f t="shared" si="755"/>
        <v/>
      </c>
    </row>
    <row r="48339" spans="26:26" x14ac:dyDescent="0.2">
      <c r="Z48339" t="str">
        <f t="shared" si="755"/>
        <v/>
      </c>
    </row>
    <row r="48340" spans="26:26" x14ac:dyDescent="0.2">
      <c r="Z48340" t="str">
        <f t="shared" si="755"/>
        <v/>
      </c>
    </row>
    <row r="48341" spans="26:26" x14ac:dyDescent="0.2">
      <c r="Z48341" t="str">
        <f t="shared" si="755"/>
        <v/>
      </c>
    </row>
    <row r="48342" spans="26:26" x14ac:dyDescent="0.2">
      <c r="Z48342" t="str">
        <f t="shared" si="755"/>
        <v/>
      </c>
    </row>
    <row r="48343" spans="26:26" x14ac:dyDescent="0.2">
      <c r="Z48343" t="str">
        <f t="shared" si="755"/>
        <v/>
      </c>
    </row>
    <row r="48344" spans="26:26" x14ac:dyDescent="0.2">
      <c r="Z48344" t="str">
        <f t="shared" si="755"/>
        <v/>
      </c>
    </row>
    <row r="48345" spans="26:26" x14ac:dyDescent="0.2">
      <c r="Z48345" t="str">
        <f t="shared" si="755"/>
        <v/>
      </c>
    </row>
    <row r="48346" spans="26:26" x14ac:dyDescent="0.2">
      <c r="Z48346" t="str">
        <f t="shared" si="755"/>
        <v/>
      </c>
    </row>
    <row r="48347" spans="26:26" x14ac:dyDescent="0.2">
      <c r="Z48347" t="str">
        <f t="shared" si="755"/>
        <v/>
      </c>
    </row>
    <row r="48348" spans="26:26" x14ac:dyDescent="0.2">
      <c r="Z48348" t="str">
        <f t="shared" si="755"/>
        <v/>
      </c>
    </row>
    <row r="48349" spans="26:26" x14ac:dyDescent="0.2">
      <c r="Z48349" t="str">
        <f t="shared" si="755"/>
        <v/>
      </c>
    </row>
    <row r="48350" spans="26:26" x14ac:dyDescent="0.2">
      <c r="Z48350" t="str">
        <f t="shared" si="755"/>
        <v/>
      </c>
    </row>
    <row r="48351" spans="26:26" x14ac:dyDescent="0.2">
      <c r="Z48351" t="str">
        <f t="shared" si="755"/>
        <v/>
      </c>
    </row>
    <row r="48352" spans="26:26" x14ac:dyDescent="0.2">
      <c r="Z48352" t="str">
        <f t="shared" si="755"/>
        <v/>
      </c>
    </row>
    <row r="48353" spans="26:26" x14ac:dyDescent="0.2">
      <c r="Z48353" t="str">
        <f t="shared" si="755"/>
        <v/>
      </c>
    </row>
    <row r="48354" spans="26:26" x14ac:dyDescent="0.2">
      <c r="Z48354" t="str">
        <f t="shared" si="755"/>
        <v/>
      </c>
    </row>
    <row r="48355" spans="26:26" x14ac:dyDescent="0.2">
      <c r="Z48355" t="str">
        <f t="shared" si="755"/>
        <v/>
      </c>
    </row>
    <row r="48356" spans="26:26" x14ac:dyDescent="0.2">
      <c r="Z48356" t="str">
        <f t="shared" si="755"/>
        <v/>
      </c>
    </row>
    <row r="48357" spans="26:26" x14ac:dyDescent="0.2">
      <c r="Z48357" t="str">
        <f t="shared" si="755"/>
        <v/>
      </c>
    </row>
    <row r="48358" spans="26:26" x14ac:dyDescent="0.2">
      <c r="Z48358" t="str">
        <f t="shared" si="755"/>
        <v/>
      </c>
    </row>
    <row r="48359" spans="26:26" x14ac:dyDescent="0.2">
      <c r="Z48359" t="str">
        <f t="shared" si="755"/>
        <v/>
      </c>
    </row>
    <row r="48360" spans="26:26" x14ac:dyDescent="0.2">
      <c r="Z48360" t="str">
        <f t="shared" si="755"/>
        <v/>
      </c>
    </row>
    <row r="48361" spans="26:26" x14ac:dyDescent="0.2">
      <c r="Z48361" t="str">
        <f t="shared" si="755"/>
        <v/>
      </c>
    </row>
    <row r="48362" spans="26:26" x14ac:dyDescent="0.2">
      <c r="Z48362" t="str">
        <f t="shared" si="755"/>
        <v/>
      </c>
    </row>
    <row r="48363" spans="26:26" x14ac:dyDescent="0.2">
      <c r="Z48363" t="str">
        <f t="shared" si="755"/>
        <v/>
      </c>
    </row>
    <row r="48364" spans="26:26" x14ac:dyDescent="0.2">
      <c r="Z48364" t="str">
        <f t="shared" si="755"/>
        <v/>
      </c>
    </row>
    <row r="48365" spans="26:26" x14ac:dyDescent="0.2">
      <c r="Z48365" t="str">
        <f t="shared" si="755"/>
        <v/>
      </c>
    </row>
    <row r="48366" spans="26:26" x14ac:dyDescent="0.2">
      <c r="Z48366" t="str">
        <f t="shared" si="755"/>
        <v/>
      </c>
    </row>
    <row r="48367" spans="26:26" x14ac:dyDescent="0.2">
      <c r="Z48367" t="str">
        <f t="shared" si="755"/>
        <v/>
      </c>
    </row>
    <row r="48368" spans="26:26" x14ac:dyDescent="0.2">
      <c r="Z48368" t="str">
        <f t="shared" si="755"/>
        <v/>
      </c>
    </row>
    <row r="48369" spans="26:26" x14ac:dyDescent="0.2">
      <c r="Z48369" t="str">
        <f t="shared" si="755"/>
        <v/>
      </c>
    </row>
    <row r="48370" spans="26:26" x14ac:dyDescent="0.2">
      <c r="Z48370" t="str">
        <f t="shared" si="755"/>
        <v/>
      </c>
    </row>
    <row r="48371" spans="26:26" x14ac:dyDescent="0.2">
      <c r="Z48371" t="str">
        <f t="shared" si="755"/>
        <v/>
      </c>
    </row>
    <row r="48372" spans="26:26" x14ac:dyDescent="0.2">
      <c r="Z48372" t="str">
        <f t="shared" si="755"/>
        <v/>
      </c>
    </row>
    <row r="48373" spans="26:26" x14ac:dyDescent="0.2">
      <c r="Z48373" t="str">
        <f t="shared" si="755"/>
        <v/>
      </c>
    </row>
    <row r="48374" spans="26:26" x14ac:dyDescent="0.2">
      <c r="Z48374" t="str">
        <f t="shared" si="755"/>
        <v/>
      </c>
    </row>
    <row r="48375" spans="26:26" x14ac:dyDescent="0.2">
      <c r="Z48375" t="str">
        <f t="shared" si="755"/>
        <v/>
      </c>
    </row>
    <row r="48376" spans="26:26" x14ac:dyDescent="0.2">
      <c r="Z48376" t="str">
        <f t="shared" si="755"/>
        <v/>
      </c>
    </row>
    <row r="48377" spans="26:26" x14ac:dyDescent="0.2">
      <c r="Z48377" t="str">
        <f t="shared" si="755"/>
        <v/>
      </c>
    </row>
    <row r="48378" spans="26:26" x14ac:dyDescent="0.2">
      <c r="Z48378" t="str">
        <f t="shared" si="755"/>
        <v/>
      </c>
    </row>
    <row r="48379" spans="26:26" x14ac:dyDescent="0.2">
      <c r="Z48379" t="str">
        <f t="shared" si="755"/>
        <v/>
      </c>
    </row>
    <row r="48380" spans="26:26" x14ac:dyDescent="0.2">
      <c r="Z48380" t="str">
        <f t="shared" si="755"/>
        <v/>
      </c>
    </row>
    <row r="48381" spans="26:26" x14ac:dyDescent="0.2">
      <c r="Z48381" t="str">
        <f t="shared" si="755"/>
        <v/>
      </c>
    </row>
    <row r="48382" spans="26:26" x14ac:dyDescent="0.2">
      <c r="Z48382" t="str">
        <f t="shared" si="755"/>
        <v/>
      </c>
    </row>
    <row r="48383" spans="26:26" x14ac:dyDescent="0.2">
      <c r="Z48383" t="str">
        <f t="shared" si="755"/>
        <v/>
      </c>
    </row>
    <row r="48384" spans="26:26" x14ac:dyDescent="0.2">
      <c r="Z48384" t="str">
        <f t="shared" si="755"/>
        <v/>
      </c>
    </row>
    <row r="48385" spans="26:26" x14ac:dyDescent="0.2">
      <c r="Z48385" t="str">
        <f t="shared" si="755"/>
        <v/>
      </c>
    </row>
    <row r="48386" spans="26:26" x14ac:dyDescent="0.2">
      <c r="Z48386" t="str">
        <f t="shared" si="755"/>
        <v/>
      </c>
    </row>
    <row r="48387" spans="26:26" x14ac:dyDescent="0.2">
      <c r="Z48387" t="str">
        <f t="shared" ref="Z48387:Z48450" si="756">IF(K48387="","",IFERROR(VALUE(TRIM(MID(K48387,FIND(CHAR(167),SUBSTITUTE(K48387,"-",CHAR(167),LEN(K48387)-LEN(SUBSTITUTE(K48387,"-",""))))+1,100))),K48387))</f>
        <v/>
      </c>
    </row>
    <row r="48388" spans="26:26" x14ac:dyDescent="0.2">
      <c r="Z48388" t="str">
        <f t="shared" si="756"/>
        <v/>
      </c>
    </row>
    <row r="48389" spans="26:26" x14ac:dyDescent="0.2">
      <c r="Z48389" t="str">
        <f t="shared" si="756"/>
        <v/>
      </c>
    </row>
    <row r="48390" spans="26:26" x14ac:dyDescent="0.2">
      <c r="Z48390" t="str">
        <f t="shared" si="756"/>
        <v/>
      </c>
    </row>
    <row r="48391" spans="26:26" x14ac:dyDescent="0.2">
      <c r="Z48391" t="str">
        <f t="shared" si="756"/>
        <v/>
      </c>
    </row>
    <row r="48392" spans="26:26" x14ac:dyDescent="0.2">
      <c r="Z48392" t="str">
        <f t="shared" si="756"/>
        <v/>
      </c>
    </row>
    <row r="48393" spans="26:26" x14ac:dyDescent="0.2">
      <c r="Z48393" t="str">
        <f t="shared" si="756"/>
        <v/>
      </c>
    </row>
    <row r="48394" spans="26:26" x14ac:dyDescent="0.2">
      <c r="Z48394" t="str">
        <f t="shared" si="756"/>
        <v/>
      </c>
    </row>
    <row r="48395" spans="26:26" x14ac:dyDescent="0.2">
      <c r="Z48395" t="str">
        <f t="shared" si="756"/>
        <v/>
      </c>
    </row>
    <row r="48396" spans="26:26" x14ac:dyDescent="0.2">
      <c r="Z48396" t="str">
        <f t="shared" si="756"/>
        <v/>
      </c>
    </row>
    <row r="48397" spans="26:26" x14ac:dyDescent="0.2">
      <c r="Z48397" t="str">
        <f t="shared" si="756"/>
        <v/>
      </c>
    </row>
    <row r="48398" spans="26:26" x14ac:dyDescent="0.2">
      <c r="Z48398" t="str">
        <f t="shared" si="756"/>
        <v/>
      </c>
    </row>
    <row r="48399" spans="26:26" x14ac:dyDescent="0.2">
      <c r="Z48399" t="str">
        <f t="shared" si="756"/>
        <v/>
      </c>
    </row>
    <row r="48400" spans="26:26" x14ac:dyDescent="0.2">
      <c r="Z48400" t="str">
        <f t="shared" si="756"/>
        <v/>
      </c>
    </row>
    <row r="48401" spans="26:26" x14ac:dyDescent="0.2">
      <c r="Z48401" t="str">
        <f t="shared" si="756"/>
        <v/>
      </c>
    </row>
    <row r="48402" spans="26:26" x14ac:dyDescent="0.2">
      <c r="Z48402" t="str">
        <f t="shared" si="756"/>
        <v/>
      </c>
    </row>
    <row r="48403" spans="26:26" x14ac:dyDescent="0.2">
      <c r="Z48403" t="str">
        <f t="shared" si="756"/>
        <v/>
      </c>
    </row>
    <row r="48404" spans="26:26" x14ac:dyDescent="0.2">
      <c r="Z48404" t="str">
        <f t="shared" si="756"/>
        <v/>
      </c>
    </row>
    <row r="48405" spans="26:26" x14ac:dyDescent="0.2">
      <c r="Z48405" t="str">
        <f t="shared" si="756"/>
        <v/>
      </c>
    </row>
    <row r="48406" spans="26:26" x14ac:dyDescent="0.2">
      <c r="Z48406" t="str">
        <f t="shared" si="756"/>
        <v/>
      </c>
    </row>
    <row r="48407" spans="26:26" x14ac:dyDescent="0.2">
      <c r="Z48407" t="str">
        <f t="shared" si="756"/>
        <v/>
      </c>
    </row>
    <row r="48408" spans="26:26" x14ac:dyDescent="0.2">
      <c r="Z48408" t="str">
        <f t="shared" si="756"/>
        <v/>
      </c>
    </row>
    <row r="48409" spans="26:26" x14ac:dyDescent="0.2">
      <c r="Z48409" t="str">
        <f t="shared" si="756"/>
        <v/>
      </c>
    </row>
    <row r="48410" spans="26:26" x14ac:dyDescent="0.2">
      <c r="Z48410" t="str">
        <f t="shared" si="756"/>
        <v/>
      </c>
    </row>
    <row r="48411" spans="26:26" x14ac:dyDescent="0.2">
      <c r="Z48411" t="str">
        <f t="shared" si="756"/>
        <v/>
      </c>
    </row>
    <row r="48412" spans="26:26" x14ac:dyDescent="0.2">
      <c r="Z48412" t="str">
        <f t="shared" si="756"/>
        <v/>
      </c>
    </row>
    <row r="48413" spans="26:26" x14ac:dyDescent="0.2">
      <c r="Z48413" t="str">
        <f t="shared" si="756"/>
        <v/>
      </c>
    </row>
    <row r="48414" spans="26:26" x14ac:dyDescent="0.2">
      <c r="Z48414" t="str">
        <f t="shared" si="756"/>
        <v/>
      </c>
    </row>
    <row r="48415" spans="26:26" x14ac:dyDescent="0.2">
      <c r="Z48415" t="str">
        <f t="shared" si="756"/>
        <v/>
      </c>
    </row>
    <row r="48416" spans="26:26" x14ac:dyDescent="0.2">
      <c r="Z48416" t="str">
        <f t="shared" si="756"/>
        <v/>
      </c>
    </row>
    <row r="48417" spans="26:26" x14ac:dyDescent="0.2">
      <c r="Z48417" t="str">
        <f t="shared" si="756"/>
        <v/>
      </c>
    </row>
    <row r="48418" spans="26:26" x14ac:dyDescent="0.2">
      <c r="Z48418" t="str">
        <f t="shared" si="756"/>
        <v/>
      </c>
    </row>
    <row r="48419" spans="26:26" x14ac:dyDescent="0.2">
      <c r="Z48419" t="str">
        <f t="shared" si="756"/>
        <v/>
      </c>
    </row>
    <row r="48420" spans="26:26" x14ac:dyDescent="0.2">
      <c r="Z48420" t="str">
        <f t="shared" si="756"/>
        <v/>
      </c>
    </row>
    <row r="48421" spans="26:26" x14ac:dyDescent="0.2">
      <c r="Z48421" t="str">
        <f t="shared" si="756"/>
        <v/>
      </c>
    </row>
    <row r="48422" spans="26:26" x14ac:dyDescent="0.2">
      <c r="Z48422" t="str">
        <f t="shared" si="756"/>
        <v/>
      </c>
    </row>
    <row r="48423" spans="26:26" x14ac:dyDescent="0.2">
      <c r="Z48423" t="str">
        <f t="shared" si="756"/>
        <v/>
      </c>
    </row>
    <row r="48424" spans="26:26" x14ac:dyDescent="0.2">
      <c r="Z48424" t="str">
        <f t="shared" si="756"/>
        <v/>
      </c>
    </row>
    <row r="48425" spans="26:26" x14ac:dyDescent="0.2">
      <c r="Z48425" t="str">
        <f t="shared" si="756"/>
        <v/>
      </c>
    </row>
    <row r="48426" spans="26:26" x14ac:dyDescent="0.2">
      <c r="Z48426" t="str">
        <f t="shared" si="756"/>
        <v/>
      </c>
    </row>
    <row r="48427" spans="26:26" x14ac:dyDescent="0.2">
      <c r="Z48427" t="str">
        <f t="shared" si="756"/>
        <v/>
      </c>
    </row>
    <row r="48428" spans="26:26" x14ac:dyDescent="0.2">
      <c r="Z48428" t="str">
        <f t="shared" si="756"/>
        <v/>
      </c>
    </row>
    <row r="48429" spans="26:26" x14ac:dyDescent="0.2">
      <c r="Z48429" t="str">
        <f t="shared" si="756"/>
        <v/>
      </c>
    </row>
    <row r="48430" spans="26:26" x14ac:dyDescent="0.2">
      <c r="Z48430" t="str">
        <f t="shared" si="756"/>
        <v/>
      </c>
    </row>
    <row r="48431" spans="26:26" x14ac:dyDescent="0.2">
      <c r="Z48431" t="str">
        <f t="shared" si="756"/>
        <v/>
      </c>
    </row>
    <row r="48432" spans="26:26" x14ac:dyDescent="0.2">
      <c r="Z48432" t="str">
        <f t="shared" si="756"/>
        <v/>
      </c>
    </row>
    <row r="48433" spans="26:26" x14ac:dyDescent="0.2">
      <c r="Z48433" t="str">
        <f t="shared" si="756"/>
        <v/>
      </c>
    </row>
    <row r="48434" spans="26:26" x14ac:dyDescent="0.2">
      <c r="Z48434" t="str">
        <f t="shared" si="756"/>
        <v/>
      </c>
    </row>
    <row r="48435" spans="26:26" x14ac:dyDescent="0.2">
      <c r="Z48435" t="str">
        <f t="shared" si="756"/>
        <v/>
      </c>
    </row>
    <row r="48436" spans="26:26" x14ac:dyDescent="0.2">
      <c r="Z48436" t="str">
        <f t="shared" si="756"/>
        <v/>
      </c>
    </row>
    <row r="48437" spans="26:26" x14ac:dyDescent="0.2">
      <c r="Z48437" t="str">
        <f t="shared" si="756"/>
        <v/>
      </c>
    </row>
    <row r="48438" spans="26:26" x14ac:dyDescent="0.2">
      <c r="Z48438" t="str">
        <f t="shared" si="756"/>
        <v/>
      </c>
    </row>
    <row r="48439" spans="26:26" x14ac:dyDescent="0.2">
      <c r="Z48439" t="str">
        <f t="shared" si="756"/>
        <v/>
      </c>
    </row>
    <row r="48440" spans="26:26" x14ac:dyDescent="0.2">
      <c r="Z48440" t="str">
        <f t="shared" si="756"/>
        <v/>
      </c>
    </row>
    <row r="48441" spans="26:26" x14ac:dyDescent="0.2">
      <c r="Z48441" t="str">
        <f t="shared" si="756"/>
        <v/>
      </c>
    </row>
    <row r="48442" spans="26:26" x14ac:dyDescent="0.2">
      <c r="Z48442" t="str">
        <f t="shared" si="756"/>
        <v/>
      </c>
    </row>
    <row r="48443" spans="26:26" x14ac:dyDescent="0.2">
      <c r="Z48443" t="str">
        <f t="shared" si="756"/>
        <v/>
      </c>
    </row>
    <row r="48444" spans="26:26" x14ac:dyDescent="0.2">
      <c r="Z48444" t="str">
        <f t="shared" si="756"/>
        <v/>
      </c>
    </row>
    <row r="48445" spans="26:26" x14ac:dyDescent="0.2">
      <c r="Z48445" t="str">
        <f t="shared" si="756"/>
        <v/>
      </c>
    </row>
    <row r="48446" spans="26:26" x14ac:dyDescent="0.2">
      <c r="Z48446" t="str">
        <f t="shared" si="756"/>
        <v/>
      </c>
    </row>
    <row r="48447" spans="26:26" x14ac:dyDescent="0.2">
      <c r="Z48447" t="str">
        <f t="shared" si="756"/>
        <v/>
      </c>
    </row>
    <row r="48448" spans="26:26" x14ac:dyDescent="0.2">
      <c r="Z48448" t="str">
        <f t="shared" si="756"/>
        <v/>
      </c>
    </row>
    <row r="48449" spans="26:26" x14ac:dyDescent="0.2">
      <c r="Z48449" t="str">
        <f t="shared" si="756"/>
        <v/>
      </c>
    </row>
    <row r="48450" spans="26:26" x14ac:dyDescent="0.2">
      <c r="Z48450" t="str">
        <f t="shared" si="756"/>
        <v/>
      </c>
    </row>
    <row r="48451" spans="26:26" x14ac:dyDescent="0.2">
      <c r="Z48451" t="str">
        <f t="shared" ref="Z48451:Z48514" si="757">IF(K48451="","",IFERROR(VALUE(TRIM(MID(K48451,FIND(CHAR(167),SUBSTITUTE(K48451,"-",CHAR(167),LEN(K48451)-LEN(SUBSTITUTE(K48451,"-",""))))+1,100))),K48451))</f>
        <v/>
      </c>
    </row>
    <row r="48452" spans="26:26" x14ac:dyDescent="0.2">
      <c r="Z48452" t="str">
        <f t="shared" si="757"/>
        <v/>
      </c>
    </row>
    <row r="48453" spans="26:26" x14ac:dyDescent="0.2">
      <c r="Z48453" t="str">
        <f t="shared" si="757"/>
        <v/>
      </c>
    </row>
    <row r="48454" spans="26:26" x14ac:dyDescent="0.2">
      <c r="Z48454" t="str">
        <f t="shared" si="757"/>
        <v/>
      </c>
    </row>
    <row r="48455" spans="26:26" x14ac:dyDescent="0.2">
      <c r="Z48455" t="str">
        <f t="shared" si="757"/>
        <v/>
      </c>
    </row>
    <row r="48456" spans="26:26" x14ac:dyDescent="0.2">
      <c r="Z48456" t="str">
        <f t="shared" si="757"/>
        <v/>
      </c>
    </row>
    <row r="48457" spans="26:26" x14ac:dyDescent="0.2">
      <c r="Z48457" t="str">
        <f t="shared" si="757"/>
        <v/>
      </c>
    </row>
    <row r="48458" spans="26:26" x14ac:dyDescent="0.2">
      <c r="Z48458" t="str">
        <f t="shared" si="757"/>
        <v/>
      </c>
    </row>
    <row r="48459" spans="26:26" x14ac:dyDescent="0.2">
      <c r="Z48459" t="str">
        <f t="shared" si="757"/>
        <v/>
      </c>
    </row>
    <row r="48460" spans="26:26" x14ac:dyDescent="0.2">
      <c r="Z48460" t="str">
        <f t="shared" si="757"/>
        <v/>
      </c>
    </row>
    <row r="48461" spans="26:26" x14ac:dyDescent="0.2">
      <c r="Z48461" t="str">
        <f t="shared" si="757"/>
        <v/>
      </c>
    </row>
    <row r="48462" spans="26:26" x14ac:dyDescent="0.2">
      <c r="Z48462" t="str">
        <f t="shared" si="757"/>
        <v/>
      </c>
    </row>
    <row r="48463" spans="26:26" x14ac:dyDescent="0.2">
      <c r="Z48463" t="str">
        <f t="shared" si="757"/>
        <v/>
      </c>
    </row>
    <row r="48464" spans="26:26" x14ac:dyDescent="0.2">
      <c r="Z48464" t="str">
        <f t="shared" si="757"/>
        <v/>
      </c>
    </row>
    <row r="48465" spans="26:26" x14ac:dyDescent="0.2">
      <c r="Z48465" t="str">
        <f t="shared" si="757"/>
        <v/>
      </c>
    </row>
    <row r="48466" spans="26:26" x14ac:dyDescent="0.2">
      <c r="Z48466" t="str">
        <f t="shared" si="757"/>
        <v/>
      </c>
    </row>
    <row r="48467" spans="26:26" x14ac:dyDescent="0.2">
      <c r="Z48467" t="str">
        <f t="shared" si="757"/>
        <v/>
      </c>
    </row>
    <row r="48468" spans="26:26" x14ac:dyDescent="0.2">
      <c r="Z48468" t="str">
        <f t="shared" si="757"/>
        <v/>
      </c>
    </row>
    <row r="48469" spans="26:26" x14ac:dyDescent="0.2">
      <c r="Z48469" t="str">
        <f t="shared" si="757"/>
        <v/>
      </c>
    </row>
    <row r="48470" spans="26:26" x14ac:dyDescent="0.2">
      <c r="Z48470" t="str">
        <f t="shared" si="757"/>
        <v/>
      </c>
    </row>
    <row r="48471" spans="26:26" x14ac:dyDescent="0.2">
      <c r="Z48471" t="str">
        <f t="shared" si="757"/>
        <v/>
      </c>
    </row>
    <row r="48472" spans="26:26" x14ac:dyDescent="0.2">
      <c r="Z48472" t="str">
        <f t="shared" si="757"/>
        <v/>
      </c>
    </row>
    <row r="48473" spans="26:26" x14ac:dyDescent="0.2">
      <c r="Z48473" t="str">
        <f t="shared" si="757"/>
        <v/>
      </c>
    </row>
    <row r="48474" spans="26:26" x14ac:dyDescent="0.2">
      <c r="Z48474" t="str">
        <f t="shared" si="757"/>
        <v/>
      </c>
    </row>
    <row r="48475" spans="26:26" x14ac:dyDescent="0.2">
      <c r="Z48475" t="str">
        <f t="shared" si="757"/>
        <v/>
      </c>
    </row>
    <row r="48476" spans="26:26" x14ac:dyDescent="0.2">
      <c r="Z48476" t="str">
        <f t="shared" si="757"/>
        <v/>
      </c>
    </row>
    <row r="48477" spans="26:26" x14ac:dyDescent="0.2">
      <c r="Z48477" t="str">
        <f t="shared" si="757"/>
        <v/>
      </c>
    </row>
    <row r="48478" spans="26:26" x14ac:dyDescent="0.2">
      <c r="Z48478" t="str">
        <f t="shared" si="757"/>
        <v/>
      </c>
    </row>
    <row r="48479" spans="26:26" x14ac:dyDescent="0.2">
      <c r="Z48479" t="str">
        <f t="shared" si="757"/>
        <v/>
      </c>
    </row>
    <row r="48480" spans="26:26" x14ac:dyDescent="0.2">
      <c r="Z48480" t="str">
        <f t="shared" si="757"/>
        <v/>
      </c>
    </row>
    <row r="48481" spans="26:26" x14ac:dyDescent="0.2">
      <c r="Z48481" t="str">
        <f t="shared" si="757"/>
        <v/>
      </c>
    </row>
    <row r="48482" spans="26:26" x14ac:dyDescent="0.2">
      <c r="Z48482" t="str">
        <f t="shared" si="757"/>
        <v/>
      </c>
    </row>
    <row r="48483" spans="26:26" x14ac:dyDescent="0.2">
      <c r="Z48483" t="str">
        <f t="shared" si="757"/>
        <v/>
      </c>
    </row>
    <row r="48484" spans="26:26" x14ac:dyDescent="0.2">
      <c r="Z48484" t="str">
        <f t="shared" si="757"/>
        <v/>
      </c>
    </row>
    <row r="48485" spans="26:26" x14ac:dyDescent="0.2">
      <c r="Z48485" t="str">
        <f t="shared" si="757"/>
        <v/>
      </c>
    </row>
    <row r="48486" spans="26:26" x14ac:dyDescent="0.2">
      <c r="Z48486" t="str">
        <f t="shared" si="757"/>
        <v/>
      </c>
    </row>
    <row r="48487" spans="26:26" x14ac:dyDescent="0.2">
      <c r="Z48487" t="str">
        <f t="shared" si="757"/>
        <v/>
      </c>
    </row>
    <row r="48488" spans="26:26" x14ac:dyDescent="0.2">
      <c r="Z48488" t="str">
        <f t="shared" si="757"/>
        <v/>
      </c>
    </row>
    <row r="48489" spans="26:26" x14ac:dyDescent="0.2">
      <c r="Z48489" t="str">
        <f t="shared" si="757"/>
        <v/>
      </c>
    </row>
    <row r="48490" spans="26:26" x14ac:dyDescent="0.2">
      <c r="Z48490" t="str">
        <f t="shared" si="757"/>
        <v/>
      </c>
    </row>
    <row r="48491" spans="26:26" x14ac:dyDescent="0.2">
      <c r="Z48491" t="str">
        <f t="shared" si="757"/>
        <v/>
      </c>
    </row>
    <row r="48492" spans="26:26" x14ac:dyDescent="0.2">
      <c r="Z48492" t="str">
        <f t="shared" si="757"/>
        <v/>
      </c>
    </row>
    <row r="48493" spans="26:26" x14ac:dyDescent="0.2">
      <c r="Z48493" t="str">
        <f t="shared" si="757"/>
        <v/>
      </c>
    </row>
    <row r="48494" spans="26:26" x14ac:dyDescent="0.2">
      <c r="Z48494" t="str">
        <f t="shared" si="757"/>
        <v/>
      </c>
    </row>
    <row r="48495" spans="26:26" x14ac:dyDescent="0.2">
      <c r="Z48495" t="str">
        <f t="shared" si="757"/>
        <v/>
      </c>
    </row>
    <row r="48496" spans="26:26" x14ac:dyDescent="0.2">
      <c r="Z48496" t="str">
        <f t="shared" si="757"/>
        <v/>
      </c>
    </row>
    <row r="48497" spans="26:26" x14ac:dyDescent="0.2">
      <c r="Z48497" t="str">
        <f t="shared" si="757"/>
        <v/>
      </c>
    </row>
    <row r="48498" spans="26:26" x14ac:dyDescent="0.2">
      <c r="Z48498" t="str">
        <f t="shared" si="757"/>
        <v/>
      </c>
    </row>
    <row r="48499" spans="26:26" x14ac:dyDescent="0.2">
      <c r="Z48499" t="str">
        <f t="shared" si="757"/>
        <v/>
      </c>
    </row>
    <row r="48500" spans="26:26" x14ac:dyDescent="0.2">
      <c r="Z48500" t="str">
        <f t="shared" si="757"/>
        <v/>
      </c>
    </row>
    <row r="48501" spans="26:26" x14ac:dyDescent="0.2">
      <c r="Z48501" t="str">
        <f t="shared" si="757"/>
        <v/>
      </c>
    </row>
    <row r="48502" spans="26:26" x14ac:dyDescent="0.2">
      <c r="Z48502" t="str">
        <f t="shared" si="757"/>
        <v/>
      </c>
    </row>
    <row r="48503" spans="26:26" x14ac:dyDescent="0.2">
      <c r="Z48503" t="str">
        <f t="shared" si="757"/>
        <v/>
      </c>
    </row>
    <row r="48504" spans="26:26" x14ac:dyDescent="0.2">
      <c r="Z48504" t="str">
        <f t="shared" si="757"/>
        <v/>
      </c>
    </row>
    <row r="48505" spans="26:26" x14ac:dyDescent="0.2">
      <c r="Z48505" t="str">
        <f t="shared" si="757"/>
        <v/>
      </c>
    </row>
    <row r="48506" spans="26:26" x14ac:dyDescent="0.2">
      <c r="Z48506" t="str">
        <f t="shared" si="757"/>
        <v/>
      </c>
    </row>
    <row r="48507" spans="26:26" x14ac:dyDescent="0.2">
      <c r="Z48507" t="str">
        <f t="shared" si="757"/>
        <v/>
      </c>
    </row>
    <row r="48508" spans="26:26" x14ac:dyDescent="0.2">
      <c r="Z48508" t="str">
        <f t="shared" si="757"/>
        <v/>
      </c>
    </row>
    <row r="48509" spans="26:26" x14ac:dyDescent="0.2">
      <c r="Z48509" t="str">
        <f t="shared" si="757"/>
        <v/>
      </c>
    </row>
    <row r="48510" spans="26:26" x14ac:dyDescent="0.2">
      <c r="Z48510" t="str">
        <f t="shared" si="757"/>
        <v/>
      </c>
    </row>
    <row r="48511" spans="26:26" x14ac:dyDescent="0.2">
      <c r="Z48511" t="str">
        <f t="shared" si="757"/>
        <v/>
      </c>
    </row>
    <row r="48512" spans="26:26" x14ac:dyDescent="0.2">
      <c r="Z48512" t="str">
        <f t="shared" si="757"/>
        <v/>
      </c>
    </row>
    <row r="48513" spans="26:26" x14ac:dyDescent="0.2">
      <c r="Z48513" t="str">
        <f t="shared" si="757"/>
        <v/>
      </c>
    </row>
    <row r="48514" spans="26:26" x14ac:dyDescent="0.2">
      <c r="Z48514" t="str">
        <f t="shared" si="757"/>
        <v/>
      </c>
    </row>
    <row r="48515" spans="26:26" x14ac:dyDescent="0.2">
      <c r="Z48515" t="str">
        <f t="shared" ref="Z48515:Z48578" si="758">IF(K48515="","",IFERROR(VALUE(TRIM(MID(K48515,FIND(CHAR(167),SUBSTITUTE(K48515,"-",CHAR(167),LEN(K48515)-LEN(SUBSTITUTE(K48515,"-",""))))+1,100))),K48515))</f>
        <v/>
      </c>
    </row>
    <row r="48516" spans="26:26" x14ac:dyDescent="0.2">
      <c r="Z48516" t="str">
        <f t="shared" si="758"/>
        <v/>
      </c>
    </row>
    <row r="48517" spans="26:26" x14ac:dyDescent="0.2">
      <c r="Z48517" t="str">
        <f t="shared" si="758"/>
        <v/>
      </c>
    </row>
    <row r="48518" spans="26:26" x14ac:dyDescent="0.2">
      <c r="Z48518" t="str">
        <f t="shared" si="758"/>
        <v/>
      </c>
    </row>
    <row r="48519" spans="26:26" x14ac:dyDescent="0.2">
      <c r="Z48519" t="str">
        <f t="shared" si="758"/>
        <v/>
      </c>
    </row>
    <row r="48520" spans="26:26" x14ac:dyDescent="0.2">
      <c r="Z48520" t="str">
        <f t="shared" si="758"/>
        <v/>
      </c>
    </row>
    <row r="48521" spans="26:26" x14ac:dyDescent="0.2">
      <c r="Z48521" t="str">
        <f t="shared" si="758"/>
        <v/>
      </c>
    </row>
    <row r="48522" spans="26:26" x14ac:dyDescent="0.2">
      <c r="Z48522" t="str">
        <f t="shared" si="758"/>
        <v/>
      </c>
    </row>
    <row r="48523" spans="26:26" x14ac:dyDescent="0.2">
      <c r="Z48523" t="str">
        <f t="shared" si="758"/>
        <v/>
      </c>
    </row>
    <row r="48524" spans="26:26" x14ac:dyDescent="0.2">
      <c r="Z48524" t="str">
        <f t="shared" si="758"/>
        <v/>
      </c>
    </row>
    <row r="48525" spans="26:26" x14ac:dyDescent="0.2">
      <c r="Z48525" t="str">
        <f t="shared" si="758"/>
        <v/>
      </c>
    </row>
    <row r="48526" spans="26:26" x14ac:dyDescent="0.2">
      <c r="Z48526" t="str">
        <f t="shared" si="758"/>
        <v/>
      </c>
    </row>
    <row r="48527" spans="26:26" x14ac:dyDescent="0.2">
      <c r="Z48527" t="str">
        <f t="shared" si="758"/>
        <v/>
      </c>
    </row>
    <row r="48528" spans="26:26" x14ac:dyDescent="0.2">
      <c r="Z48528" t="str">
        <f t="shared" si="758"/>
        <v/>
      </c>
    </row>
    <row r="48529" spans="26:26" x14ac:dyDescent="0.2">
      <c r="Z48529" t="str">
        <f t="shared" si="758"/>
        <v/>
      </c>
    </row>
    <row r="48530" spans="26:26" x14ac:dyDescent="0.2">
      <c r="Z48530" t="str">
        <f t="shared" si="758"/>
        <v/>
      </c>
    </row>
    <row r="48531" spans="26:26" x14ac:dyDescent="0.2">
      <c r="Z48531" t="str">
        <f t="shared" si="758"/>
        <v/>
      </c>
    </row>
    <row r="48532" spans="26:26" x14ac:dyDescent="0.2">
      <c r="Z48532" t="str">
        <f t="shared" si="758"/>
        <v/>
      </c>
    </row>
    <row r="48533" spans="26:26" x14ac:dyDescent="0.2">
      <c r="Z48533" t="str">
        <f t="shared" si="758"/>
        <v/>
      </c>
    </row>
    <row r="48534" spans="26:26" x14ac:dyDescent="0.2">
      <c r="Z48534" t="str">
        <f t="shared" si="758"/>
        <v/>
      </c>
    </row>
    <row r="48535" spans="26:26" x14ac:dyDescent="0.2">
      <c r="Z48535" t="str">
        <f t="shared" si="758"/>
        <v/>
      </c>
    </row>
    <row r="48536" spans="26:26" x14ac:dyDescent="0.2">
      <c r="Z48536" t="str">
        <f t="shared" si="758"/>
        <v/>
      </c>
    </row>
    <row r="48537" spans="26:26" x14ac:dyDescent="0.2">
      <c r="Z48537" t="str">
        <f t="shared" si="758"/>
        <v/>
      </c>
    </row>
    <row r="48538" spans="26:26" x14ac:dyDescent="0.2">
      <c r="Z48538" t="str">
        <f t="shared" si="758"/>
        <v/>
      </c>
    </row>
    <row r="48539" spans="26:26" x14ac:dyDescent="0.2">
      <c r="Z48539" t="str">
        <f t="shared" si="758"/>
        <v/>
      </c>
    </row>
    <row r="48540" spans="26:26" x14ac:dyDescent="0.2">
      <c r="Z48540" t="str">
        <f t="shared" si="758"/>
        <v/>
      </c>
    </row>
    <row r="48541" spans="26:26" x14ac:dyDescent="0.2">
      <c r="Z48541" t="str">
        <f t="shared" si="758"/>
        <v/>
      </c>
    </row>
    <row r="48542" spans="26:26" x14ac:dyDescent="0.2">
      <c r="Z48542" t="str">
        <f t="shared" si="758"/>
        <v/>
      </c>
    </row>
    <row r="48543" spans="26:26" x14ac:dyDescent="0.2">
      <c r="Z48543" t="str">
        <f t="shared" si="758"/>
        <v/>
      </c>
    </row>
    <row r="48544" spans="26:26" x14ac:dyDescent="0.2">
      <c r="Z48544" t="str">
        <f t="shared" si="758"/>
        <v/>
      </c>
    </row>
    <row r="48545" spans="26:26" x14ac:dyDescent="0.2">
      <c r="Z48545" t="str">
        <f t="shared" si="758"/>
        <v/>
      </c>
    </row>
    <row r="48546" spans="26:26" x14ac:dyDescent="0.2">
      <c r="Z48546" t="str">
        <f t="shared" si="758"/>
        <v/>
      </c>
    </row>
    <row r="48547" spans="26:26" x14ac:dyDescent="0.2">
      <c r="Z48547" t="str">
        <f t="shared" si="758"/>
        <v/>
      </c>
    </row>
    <row r="48548" spans="26:26" x14ac:dyDescent="0.2">
      <c r="Z48548" t="str">
        <f t="shared" si="758"/>
        <v/>
      </c>
    </row>
    <row r="48549" spans="26:26" x14ac:dyDescent="0.2">
      <c r="Z48549" t="str">
        <f t="shared" si="758"/>
        <v/>
      </c>
    </row>
    <row r="48550" spans="26:26" x14ac:dyDescent="0.2">
      <c r="Z48550" t="str">
        <f t="shared" si="758"/>
        <v/>
      </c>
    </row>
    <row r="48551" spans="26:26" x14ac:dyDescent="0.2">
      <c r="Z48551" t="str">
        <f t="shared" si="758"/>
        <v/>
      </c>
    </row>
    <row r="48552" spans="26:26" x14ac:dyDescent="0.2">
      <c r="Z48552" t="str">
        <f t="shared" si="758"/>
        <v/>
      </c>
    </row>
    <row r="48553" spans="26:26" x14ac:dyDescent="0.2">
      <c r="Z48553" t="str">
        <f t="shared" si="758"/>
        <v/>
      </c>
    </row>
    <row r="48554" spans="26:26" x14ac:dyDescent="0.2">
      <c r="Z48554" t="str">
        <f t="shared" si="758"/>
        <v/>
      </c>
    </row>
    <row r="48555" spans="26:26" x14ac:dyDescent="0.2">
      <c r="Z48555" t="str">
        <f t="shared" si="758"/>
        <v/>
      </c>
    </row>
    <row r="48556" spans="26:26" x14ac:dyDescent="0.2">
      <c r="Z48556" t="str">
        <f t="shared" si="758"/>
        <v/>
      </c>
    </row>
    <row r="48557" spans="26:26" x14ac:dyDescent="0.2">
      <c r="Z48557" t="str">
        <f t="shared" si="758"/>
        <v/>
      </c>
    </row>
    <row r="48558" spans="26:26" x14ac:dyDescent="0.2">
      <c r="Z48558" t="str">
        <f t="shared" si="758"/>
        <v/>
      </c>
    </row>
    <row r="48559" spans="26:26" x14ac:dyDescent="0.2">
      <c r="Z48559" t="str">
        <f t="shared" si="758"/>
        <v/>
      </c>
    </row>
    <row r="48560" spans="26:26" x14ac:dyDescent="0.2">
      <c r="Z48560" t="str">
        <f t="shared" si="758"/>
        <v/>
      </c>
    </row>
    <row r="48561" spans="26:26" x14ac:dyDescent="0.2">
      <c r="Z48561" t="str">
        <f t="shared" si="758"/>
        <v/>
      </c>
    </row>
    <row r="48562" spans="26:26" x14ac:dyDescent="0.2">
      <c r="Z48562" t="str">
        <f t="shared" si="758"/>
        <v/>
      </c>
    </row>
    <row r="48563" spans="26:26" x14ac:dyDescent="0.2">
      <c r="Z48563" t="str">
        <f t="shared" si="758"/>
        <v/>
      </c>
    </row>
    <row r="48564" spans="26:26" x14ac:dyDescent="0.2">
      <c r="Z48564" t="str">
        <f t="shared" si="758"/>
        <v/>
      </c>
    </row>
    <row r="48565" spans="26:26" x14ac:dyDescent="0.2">
      <c r="Z48565" t="str">
        <f t="shared" si="758"/>
        <v/>
      </c>
    </row>
    <row r="48566" spans="26:26" x14ac:dyDescent="0.2">
      <c r="Z48566" t="str">
        <f t="shared" si="758"/>
        <v/>
      </c>
    </row>
    <row r="48567" spans="26:26" x14ac:dyDescent="0.2">
      <c r="Z48567" t="str">
        <f t="shared" si="758"/>
        <v/>
      </c>
    </row>
    <row r="48568" spans="26:26" x14ac:dyDescent="0.2">
      <c r="Z48568" t="str">
        <f t="shared" si="758"/>
        <v/>
      </c>
    </row>
    <row r="48569" spans="26:26" x14ac:dyDescent="0.2">
      <c r="Z48569" t="str">
        <f t="shared" si="758"/>
        <v/>
      </c>
    </row>
    <row r="48570" spans="26:26" x14ac:dyDescent="0.2">
      <c r="Z48570" t="str">
        <f t="shared" si="758"/>
        <v/>
      </c>
    </row>
    <row r="48571" spans="26:26" x14ac:dyDescent="0.2">
      <c r="Z48571" t="str">
        <f t="shared" si="758"/>
        <v/>
      </c>
    </row>
    <row r="48572" spans="26:26" x14ac:dyDescent="0.2">
      <c r="Z48572" t="str">
        <f t="shared" si="758"/>
        <v/>
      </c>
    </row>
    <row r="48573" spans="26:26" x14ac:dyDescent="0.2">
      <c r="Z48573" t="str">
        <f t="shared" si="758"/>
        <v/>
      </c>
    </row>
    <row r="48574" spans="26:26" x14ac:dyDescent="0.2">
      <c r="Z48574" t="str">
        <f t="shared" si="758"/>
        <v/>
      </c>
    </row>
    <row r="48575" spans="26:26" x14ac:dyDescent="0.2">
      <c r="Z48575" t="str">
        <f t="shared" si="758"/>
        <v/>
      </c>
    </row>
    <row r="48576" spans="26:26" x14ac:dyDescent="0.2">
      <c r="Z48576" t="str">
        <f t="shared" si="758"/>
        <v/>
      </c>
    </row>
    <row r="48577" spans="26:26" x14ac:dyDescent="0.2">
      <c r="Z48577" t="str">
        <f t="shared" si="758"/>
        <v/>
      </c>
    </row>
    <row r="48578" spans="26:26" x14ac:dyDescent="0.2">
      <c r="Z48578" t="str">
        <f t="shared" si="758"/>
        <v/>
      </c>
    </row>
    <row r="48579" spans="26:26" x14ac:dyDescent="0.2">
      <c r="Z48579" t="str">
        <f t="shared" ref="Z48579:Z48642" si="759">IF(K48579="","",IFERROR(VALUE(TRIM(MID(K48579,FIND(CHAR(167),SUBSTITUTE(K48579,"-",CHAR(167),LEN(K48579)-LEN(SUBSTITUTE(K48579,"-",""))))+1,100))),K48579))</f>
        <v/>
      </c>
    </row>
    <row r="48580" spans="26:26" x14ac:dyDescent="0.2">
      <c r="Z48580" t="str">
        <f t="shared" si="759"/>
        <v/>
      </c>
    </row>
    <row r="48581" spans="26:26" x14ac:dyDescent="0.2">
      <c r="Z48581" t="str">
        <f t="shared" si="759"/>
        <v/>
      </c>
    </row>
    <row r="48582" spans="26:26" x14ac:dyDescent="0.2">
      <c r="Z48582" t="str">
        <f t="shared" si="759"/>
        <v/>
      </c>
    </row>
    <row r="48583" spans="26:26" x14ac:dyDescent="0.2">
      <c r="Z48583" t="str">
        <f t="shared" si="759"/>
        <v/>
      </c>
    </row>
    <row r="48584" spans="26:26" x14ac:dyDescent="0.2">
      <c r="Z48584" t="str">
        <f t="shared" si="759"/>
        <v/>
      </c>
    </row>
    <row r="48585" spans="26:26" x14ac:dyDescent="0.2">
      <c r="Z48585" t="str">
        <f t="shared" si="759"/>
        <v/>
      </c>
    </row>
    <row r="48586" spans="26:26" x14ac:dyDescent="0.2">
      <c r="Z48586" t="str">
        <f t="shared" si="759"/>
        <v/>
      </c>
    </row>
    <row r="48587" spans="26:26" x14ac:dyDescent="0.2">
      <c r="Z48587" t="str">
        <f t="shared" si="759"/>
        <v/>
      </c>
    </row>
    <row r="48588" spans="26:26" x14ac:dyDescent="0.2">
      <c r="Z48588" t="str">
        <f t="shared" si="759"/>
        <v/>
      </c>
    </row>
    <row r="48589" spans="26:26" x14ac:dyDescent="0.2">
      <c r="Z48589" t="str">
        <f t="shared" si="759"/>
        <v/>
      </c>
    </row>
    <row r="48590" spans="26:26" x14ac:dyDescent="0.2">
      <c r="Z48590" t="str">
        <f t="shared" si="759"/>
        <v/>
      </c>
    </row>
    <row r="48591" spans="26:26" x14ac:dyDescent="0.2">
      <c r="Z48591" t="str">
        <f t="shared" si="759"/>
        <v/>
      </c>
    </row>
    <row r="48592" spans="26:26" x14ac:dyDescent="0.2">
      <c r="Z48592" t="str">
        <f t="shared" si="759"/>
        <v/>
      </c>
    </row>
    <row r="48593" spans="26:26" x14ac:dyDescent="0.2">
      <c r="Z48593" t="str">
        <f t="shared" si="759"/>
        <v/>
      </c>
    </row>
    <row r="48594" spans="26:26" x14ac:dyDescent="0.2">
      <c r="Z48594" t="str">
        <f t="shared" si="759"/>
        <v/>
      </c>
    </row>
    <row r="48595" spans="26:26" x14ac:dyDescent="0.2">
      <c r="Z48595" t="str">
        <f t="shared" si="759"/>
        <v/>
      </c>
    </row>
    <row r="48596" spans="26:26" x14ac:dyDescent="0.2">
      <c r="Z48596" t="str">
        <f t="shared" si="759"/>
        <v/>
      </c>
    </row>
    <row r="48597" spans="26:26" x14ac:dyDescent="0.2">
      <c r="Z48597" t="str">
        <f t="shared" si="759"/>
        <v/>
      </c>
    </row>
    <row r="48598" spans="26:26" x14ac:dyDescent="0.2">
      <c r="Z48598" t="str">
        <f t="shared" si="759"/>
        <v/>
      </c>
    </row>
    <row r="48599" spans="26:26" x14ac:dyDescent="0.2">
      <c r="Z48599" t="str">
        <f t="shared" si="759"/>
        <v/>
      </c>
    </row>
    <row r="48600" spans="26:26" x14ac:dyDescent="0.2">
      <c r="Z48600" t="str">
        <f t="shared" si="759"/>
        <v/>
      </c>
    </row>
    <row r="48601" spans="26:26" x14ac:dyDescent="0.2">
      <c r="Z48601" t="str">
        <f t="shared" si="759"/>
        <v/>
      </c>
    </row>
    <row r="48602" spans="26:26" x14ac:dyDescent="0.2">
      <c r="Z48602" t="str">
        <f t="shared" si="759"/>
        <v/>
      </c>
    </row>
    <row r="48603" spans="26:26" x14ac:dyDescent="0.2">
      <c r="Z48603" t="str">
        <f t="shared" si="759"/>
        <v/>
      </c>
    </row>
    <row r="48604" spans="26:26" x14ac:dyDescent="0.2">
      <c r="Z48604" t="str">
        <f t="shared" si="759"/>
        <v/>
      </c>
    </row>
    <row r="48605" spans="26:26" x14ac:dyDescent="0.2">
      <c r="Z48605" t="str">
        <f t="shared" si="759"/>
        <v/>
      </c>
    </row>
    <row r="48606" spans="26:26" x14ac:dyDescent="0.2">
      <c r="Z48606" t="str">
        <f t="shared" si="759"/>
        <v/>
      </c>
    </row>
    <row r="48607" spans="26:26" x14ac:dyDescent="0.2">
      <c r="Z48607" t="str">
        <f t="shared" si="759"/>
        <v/>
      </c>
    </row>
    <row r="48608" spans="26:26" x14ac:dyDescent="0.2">
      <c r="Z48608" t="str">
        <f t="shared" si="759"/>
        <v/>
      </c>
    </row>
    <row r="48609" spans="26:26" x14ac:dyDescent="0.2">
      <c r="Z48609" t="str">
        <f t="shared" si="759"/>
        <v/>
      </c>
    </row>
    <row r="48610" spans="26:26" x14ac:dyDescent="0.2">
      <c r="Z48610" t="str">
        <f t="shared" si="759"/>
        <v/>
      </c>
    </row>
    <row r="48611" spans="26:26" x14ac:dyDescent="0.2">
      <c r="Z48611" t="str">
        <f t="shared" si="759"/>
        <v/>
      </c>
    </row>
    <row r="48612" spans="26:26" x14ac:dyDescent="0.2">
      <c r="Z48612" t="str">
        <f t="shared" si="759"/>
        <v/>
      </c>
    </row>
    <row r="48613" spans="26:26" x14ac:dyDescent="0.2">
      <c r="Z48613" t="str">
        <f t="shared" si="759"/>
        <v/>
      </c>
    </row>
    <row r="48614" spans="26:26" x14ac:dyDescent="0.2">
      <c r="Z48614" t="str">
        <f t="shared" si="759"/>
        <v/>
      </c>
    </row>
    <row r="48615" spans="26:26" x14ac:dyDescent="0.2">
      <c r="Z48615" t="str">
        <f t="shared" si="759"/>
        <v/>
      </c>
    </row>
    <row r="48616" spans="26:26" x14ac:dyDescent="0.2">
      <c r="Z48616" t="str">
        <f t="shared" si="759"/>
        <v/>
      </c>
    </row>
    <row r="48617" spans="26:26" x14ac:dyDescent="0.2">
      <c r="Z48617" t="str">
        <f t="shared" si="759"/>
        <v/>
      </c>
    </row>
    <row r="48618" spans="26:26" x14ac:dyDescent="0.2">
      <c r="Z48618" t="str">
        <f t="shared" si="759"/>
        <v/>
      </c>
    </row>
    <row r="48619" spans="26:26" x14ac:dyDescent="0.2">
      <c r="Z48619" t="str">
        <f t="shared" si="759"/>
        <v/>
      </c>
    </row>
    <row r="48620" spans="26:26" x14ac:dyDescent="0.2">
      <c r="Z48620" t="str">
        <f t="shared" si="759"/>
        <v/>
      </c>
    </row>
    <row r="48621" spans="26:26" x14ac:dyDescent="0.2">
      <c r="Z48621" t="str">
        <f t="shared" si="759"/>
        <v/>
      </c>
    </row>
    <row r="48622" spans="26:26" x14ac:dyDescent="0.2">
      <c r="Z48622" t="str">
        <f t="shared" si="759"/>
        <v/>
      </c>
    </row>
    <row r="48623" spans="26:26" x14ac:dyDescent="0.2">
      <c r="Z48623" t="str">
        <f t="shared" si="759"/>
        <v/>
      </c>
    </row>
    <row r="48624" spans="26:26" x14ac:dyDescent="0.2">
      <c r="Z48624" t="str">
        <f t="shared" si="759"/>
        <v/>
      </c>
    </row>
    <row r="48625" spans="26:26" x14ac:dyDescent="0.2">
      <c r="Z48625" t="str">
        <f t="shared" si="759"/>
        <v/>
      </c>
    </row>
    <row r="48626" spans="26:26" x14ac:dyDescent="0.2">
      <c r="Z48626" t="str">
        <f t="shared" si="759"/>
        <v/>
      </c>
    </row>
    <row r="48627" spans="26:26" x14ac:dyDescent="0.2">
      <c r="Z48627" t="str">
        <f t="shared" si="759"/>
        <v/>
      </c>
    </row>
    <row r="48628" spans="26:26" x14ac:dyDescent="0.2">
      <c r="Z48628" t="str">
        <f t="shared" si="759"/>
        <v/>
      </c>
    </row>
    <row r="48629" spans="26:26" x14ac:dyDescent="0.2">
      <c r="Z48629" t="str">
        <f t="shared" si="759"/>
        <v/>
      </c>
    </row>
    <row r="48630" spans="26:26" x14ac:dyDescent="0.2">
      <c r="Z48630" t="str">
        <f t="shared" si="759"/>
        <v/>
      </c>
    </row>
    <row r="48631" spans="26:26" x14ac:dyDescent="0.2">
      <c r="Z48631" t="str">
        <f t="shared" si="759"/>
        <v/>
      </c>
    </row>
    <row r="48632" spans="26:26" x14ac:dyDescent="0.2">
      <c r="Z48632" t="str">
        <f t="shared" si="759"/>
        <v/>
      </c>
    </row>
    <row r="48633" spans="26:26" x14ac:dyDescent="0.2">
      <c r="Z48633" t="str">
        <f t="shared" si="759"/>
        <v/>
      </c>
    </row>
    <row r="48634" spans="26:26" x14ac:dyDescent="0.2">
      <c r="Z48634" t="str">
        <f t="shared" si="759"/>
        <v/>
      </c>
    </row>
    <row r="48635" spans="26:26" x14ac:dyDescent="0.2">
      <c r="Z48635" t="str">
        <f t="shared" si="759"/>
        <v/>
      </c>
    </row>
    <row r="48636" spans="26:26" x14ac:dyDescent="0.2">
      <c r="Z48636" t="str">
        <f t="shared" si="759"/>
        <v/>
      </c>
    </row>
    <row r="48637" spans="26:26" x14ac:dyDescent="0.2">
      <c r="Z48637" t="str">
        <f t="shared" si="759"/>
        <v/>
      </c>
    </row>
    <row r="48638" spans="26:26" x14ac:dyDescent="0.2">
      <c r="Z48638" t="str">
        <f t="shared" si="759"/>
        <v/>
      </c>
    </row>
    <row r="48639" spans="26:26" x14ac:dyDescent="0.2">
      <c r="Z48639" t="str">
        <f t="shared" si="759"/>
        <v/>
      </c>
    </row>
    <row r="48640" spans="26:26" x14ac:dyDescent="0.2">
      <c r="Z48640" t="str">
        <f t="shared" si="759"/>
        <v/>
      </c>
    </row>
    <row r="48641" spans="26:26" x14ac:dyDescent="0.2">
      <c r="Z48641" t="str">
        <f t="shared" si="759"/>
        <v/>
      </c>
    </row>
    <row r="48642" spans="26:26" x14ac:dyDescent="0.2">
      <c r="Z48642" t="str">
        <f t="shared" si="759"/>
        <v/>
      </c>
    </row>
    <row r="48643" spans="26:26" x14ac:dyDescent="0.2">
      <c r="Z48643" t="str">
        <f t="shared" ref="Z48643:Z48706" si="760">IF(K48643="","",IFERROR(VALUE(TRIM(MID(K48643,FIND(CHAR(167),SUBSTITUTE(K48643,"-",CHAR(167),LEN(K48643)-LEN(SUBSTITUTE(K48643,"-",""))))+1,100))),K48643))</f>
        <v/>
      </c>
    </row>
    <row r="48644" spans="26:26" x14ac:dyDescent="0.2">
      <c r="Z48644" t="str">
        <f t="shared" si="760"/>
        <v/>
      </c>
    </row>
    <row r="48645" spans="26:26" x14ac:dyDescent="0.2">
      <c r="Z48645" t="str">
        <f t="shared" si="760"/>
        <v/>
      </c>
    </row>
    <row r="48646" spans="26:26" x14ac:dyDescent="0.2">
      <c r="Z48646" t="str">
        <f t="shared" si="760"/>
        <v/>
      </c>
    </row>
    <row r="48647" spans="26:26" x14ac:dyDescent="0.2">
      <c r="Z48647" t="str">
        <f t="shared" si="760"/>
        <v/>
      </c>
    </row>
    <row r="48648" spans="26:26" x14ac:dyDescent="0.2">
      <c r="Z48648" t="str">
        <f t="shared" si="760"/>
        <v/>
      </c>
    </row>
    <row r="48649" spans="26:26" x14ac:dyDescent="0.2">
      <c r="Z48649" t="str">
        <f t="shared" si="760"/>
        <v/>
      </c>
    </row>
    <row r="48650" spans="26:26" x14ac:dyDescent="0.2">
      <c r="Z48650" t="str">
        <f t="shared" si="760"/>
        <v/>
      </c>
    </row>
    <row r="48651" spans="26:26" x14ac:dyDescent="0.2">
      <c r="Z48651" t="str">
        <f t="shared" si="760"/>
        <v/>
      </c>
    </row>
    <row r="48652" spans="26:26" x14ac:dyDescent="0.2">
      <c r="Z48652" t="str">
        <f t="shared" si="760"/>
        <v/>
      </c>
    </row>
    <row r="48653" spans="26:26" x14ac:dyDescent="0.2">
      <c r="Z48653" t="str">
        <f t="shared" si="760"/>
        <v/>
      </c>
    </row>
    <row r="48654" spans="26:26" x14ac:dyDescent="0.2">
      <c r="Z48654" t="str">
        <f t="shared" si="760"/>
        <v/>
      </c>
    </row>
    <row r="48655" spans="26:26" x14ac:dyDescent="0.2">
      <c r="Z48655" t="str">
        <f t="shared" si="760"/>
        <v/>
      </c>
    </row>
    <row r="48656" spans="26:26" x14ac:dyDescent="0.2">
      <c r="Z48656" t="str">
        <f t="shared" si="760"/>
        <v/>
      </c>
    </row>
    <row r="48657" spans="26:26" x14ac:dyDescent="0.2">
      <c r="Z48657" t="str">
        <f t="shared" si="760"/>
        <v/>
      </c>
    </row>
    <row r="48658" spans="26:26" x14ac:dyDescent="0.2">
      <c r="Z48658" t="str">
        <f t="shared" si="760"/>
        <v/>
      </c>
    </row>
    <row r="48659" spans="26:26" x14ac:dyDescent="0.2">
      <c r="Z48659" t="str">
        <f t="shared" si="760"/>
        <v/>
      </c>
    </row>
    <row r="48660" spans="26:26" x14ac:dyDescent="0.2">
      <c r="Z48660" t="str">
        <f t="shared" si="760"/>
        <v/>
      </c>
    </row>
    <row r="48661" spans="26:26" x14ac:dyDescent="0.2">
      <c r="Z48661" t="str">
        <f t="shared" si="760"/>
        <v/>
      </c>
    </row>
    <row r="48662" spans="26:26" x14ac:dyDescent="0.2">
      <c r="Z48662" t="str">
        <f t="shared" si="760"/>
        <v/>
      </c>
    </row>
    <row r="48663" spans="26:26" x14ac:dyDescent="0.2">
      <c r="Z48663" t="str">
        <f t="shared" si="760"/>
        <v/>
      </c>
    </row>
    <row r="48664" spans="26:26" x14ac:dyDescent="0.2">
      <c r="Z48664" t="str">
        <f t="shared" si="760"/>
        <v/>
      </c>
    </row>
    <row r="48665" spans="26:26" x14ac:dyDescent="0.2">
      <c r="Z48665" t="str">
        <f t="shared" si="760"/>
        <v/>
      </c>
    </row>
    <row r="48666" spans="26:26" x14ac:dyDescent="0.2">
      <c r="Z48666" t="str">
        <f t="shared" si="760"/>
        <v/>
      </c>
    </row>
    <row r="48667" spans="26:26" x14ac:dyDescent="0.2">
      <c r="Z48667" t="str">
        <f t="shared" si="760"/>
        <v/>
      </c>
    </row>
    <row r="48668" spans="26:26" x14ac:dyDescent="0.2">
      <c r="Z48668" t="str">
        <f t="shared" si="760"/>
        <v/>
      </c>
    </row>
    <row r="48669" spans="26:26" x14ac:dyDescent="0.2">
      <c r="Z48669" t="str">
        <f t="shared" si="760"/>
        <v/>
      </c>
    </row>
    <row r="48670" spans="26:26" x14ac:dyDescent="0.2">
      <c r="Z48670" t="str">
        <f t="shared" si="760"/>
        <v/>
      </c>
    </row>
    <row r="48671" spans="26:26" x14ac:dyDescent="0.2">
      <c r="Z48671" t="str">
        <f t="shared" si="760"/>
        <v/>
      </c>
    </row>
    <row r="48672" spans="26:26" x14ac:dyDescent="0.2">
      <c r="Z48672" t="str">
        <f t="shared" si="760"/>
        <v/>
      </c>
    </row>
    <row r="48673" spans="26:26" x14ac:dyDescent="0.2">
      <c r="Z48673" t="str">
        <f t="shared" si="760"/>
        <v/>
      </c>
    </row>
    <row r="48674" spans="26:26" x14ac:dyDescent="0.2">
      <c r="Z48674" t="str">
        <f t="shared" si="760"/>
        <v/>
      </c>
    </row>
    <row r="48675" spans="26:26" x14ac:dyDescent="0.2">
      <c r="Z48675" t="str">
        <f t="shared" si="760"/>
        <v/>
      </c>
    </row>
    <row r="48676" spans="26:26" x14ac:dyDescent="0.2">
      <c r="Z48676" t="str">
        <f t="shared" si="760"/>
        <v/>
      </c>
    </row>
    <row r="48677" spans="26:26" x14ac:dyDescent="0.2">
      <c r="Z48677" t="str">
        <f t="shared" si="760"/>
        <v/>
      </c>
    </row>
    <row r="48678" spans="26:26" x14ac:dyDescent="0.2">
      <c r="Z48678" t="str">
        <f t="shared" si="760"/>
        <v/>
      </c>
    </row>
    <row r="48679" spans="26:26" x14ac:dyDescent="0.2">
      <c r="Z48679" t="str">
        <f t="shared" si="760"/>
        <v/>
      </c>
    </row>
    <row r="48680" spans="26:26" x14ac:dyDescent="0.2">
      <c r="Z48680" t="str">
        <f t="shared" si="760"/>
        <v/>
      </c>
    </row>
    <row r="48681" spans="26:26" x14ac:dyDescent="0.2">
      <c r="Z48681" t="str">
        <f t="shared" si="760"/>
        <v/>
      </c>
    </row>
    <row r="48682" spans="26:26" x14ac:dyDescent="0.2">
      <c r="Z48682" t="str">
        <f t="shared" si="760"/>
        <v/>
      </c>
    </row>
    <row r="48683" spans="26:26" x14ac:dyDescent="0.2">
      <c r="Z48683" t="str">
        <f t="shared" si="760"/>
        <v/>
      </c>
    </row>
    <row r="48684" spans="26:26" x14ac:dyDescent="0.2">
      <c r="Z48684" t="str">
        <f t="shared" si="760"/>
        <v/>
      </c>
    </row>
    <row r="48685" spans="26:26" x14ac:dyDescent="0.2">
      <c r="Z48685" t="str">
        <f t="shared" si="760"/>
        <v/>
      </c>
    </row>
    <row r="48686" spans="26:26" x14ac:dyDescent="0.2">
      <c r="Z48686" t="str">
        <f t="shared" si="760"/>
        <v/>
      </c>
    </row>
    <row r="48687" spans="26:26" x14ac:dyDescent="0.2">
      <c r="Z48687" t="str">
        <f t="shared" si="760"/>
        <v/>
      </c>
    </row>
    <row r="48688" spans="26:26" x14ac:dyDescent="0.2">
      <c r="Z48688" t="str">
        <f t="shared" si="760"/>
        <v/>
      </c>
    </row>
    <row r="48689" spans="26:26" x14ac:dyDescent="0.2">
      <c r="Z48689" t="str">
        <f t="shared" si="760"/>
        <v/>
      </c>
    </row>
    <row r="48690" spans="26:26" x14ac:dyDescent="0.2">
      <c r="Z48690" t="str">
        <f t="shared" si="760"/>
        <v/>
      </c>
    </row>
    <row r="48691" spans="26:26" x14ac:dyDescent="0.2">
      <c r="Z48691" t="str">
        <f t="shared" si="760"/>
        <v/>
      </c>
    </row>
    <row r="48692" spans="26:26" x14ac:dyDescent="0.2">
      <c r="Z48692" t="str">
        <f t="shared" si="760"/>
        <v/>
      </c>
    </row>
    <row r="48693" spans="26:26" x14ac:dyDescent="0.2">
      <c r="Z48693" t="str">
        <f t="shared" si="760"/>
        <v/>
      </c>
    </row>
    <row r="48694" spans="26:26" x14ac:dyDescent="0.2">
      <c r="Z48694" t="str">
        <f t="shared" si="760"/>
        <v/>
      </c>
    </row>
    <row r="48695" spans="26:26" x14ac:dyDescent="0.2">
      <c r="Z48695" t="str">
        <f t="shared" si="760"/>
        <v/>
      </c>
    </row>
    <row r="48696" spans="26:26" x14ac:dyDescent="0.2">
      <c r="Z48696" t="str">
        <f t="shared" si="760"/>
        <v/>
      </c>
    </row>
    <row r="48697" spans="26:26" x14ac:dyDescent="0.2">
      <c r="Z48697" t="str">
        <f t="shared" si="760"/>
        <v/>
      </c>
    </row>
    <row r="48698" spans="26:26" x14ac:dyDescent="0.2">
      <c r="Z48698" t="str">
        <f t="shared" si="760"/>
        <v/>
      </c>
    </row>
    <row r="48699" spans="26:26" x14ac:dyDescent="0.2">
      <c r="Z48699" t="str">
        <f t="shared" si="760"/>
        <v/>
      </c>
    </row>
    <row r="48700" spans="26:26" x14ac:dyDescent="0.2">
      <c r="Z48700" t="str">
        <f t="shared" si="760"/>
        <v/>
      </c>
    </row>
    <row r="48701" spans="26:26" x14ac:dyDescent="0.2">
      <c r="Z48701" t="str">
        <f t="shared" si="760"/>
        <v/>
      </c>
    </row>
    <row r="48702" spans="26:26" x14ac:dyDescent="0.2">
      <c r="Z48702" t="str">
        <f t="shared" si="760"/>
        <v/>
      </c>
    </row>
    <row r="48703" spans="26:26" x14ac:dyDescent="0.2">
      <c r="Z48703" t="str">
        <f t="shared" si="760"/>
        <v/>
      </c>
    </row>
    <row r="48704" spans="26:26" x14ac:dyDescent="0.2">
      <c r="Z48704" t="str">
        <f t="shared" si="760"/>
        <v/>
      </c>
    </row>
    <row r="48705" spans="26:26" x14ac:dyDescent="0.2">
      <c r="Z48705" t="str">
        <f t="shared" si="760"/>
        <v/>
      </c>
    </row>
    <row r="48706" spans="26:26" x14ac:dyDescent="0.2">
      <c r="Z48706" t="str">
        <f t="shared" si="760"/>
        <v/>
      </c>
    </row>
    <row r="48707" spans="26:26" x14ac:dyDescent="0.2">
      <c r="Z48707" t="str">
        <f t="shared" ref="Z48707:Z48770" si="761">IF(K48707="","",IFERROR(VALUE(TRIM(MID(K48707,FIND(CHAR(167),SUBSTITUTE(K48707,"-",CHAR(167),LEN(K48707)-LEN(SUBSTITUTE(K48707,"-",""))))+1,100))),K48707))</f>
        <v/>
      </c>
    </row>
    <row r="48708" spans="26:26" x14ac:dyDescent="0.2">
      <c r="Z48708" t="str">
        <f t="shared" si="761"/>
        <v/>
      </c>
    </row>
    <row r="48709" spans="26:26" x14ac:dyDescent="0.2">
      <c r="Z48709" t="str">
        <f t="shared" si="761"/>
        <v/>
      </c>
    </row>
    <row r="48710" spans="26:26" x14ac:dyDescent="0.2">
      <c r="Z48710" t="str">
        <f t="shared" si="761"/>
        <v/>
      </c>
    </row>
    <row r="48711" spans="26:26" x14ac:dyDescent="0.2">
      <c r="Z48711" t="str">
        <f t="shared" si="761"/>
        <v/>
      </c>
    </row>
    <row r="48712" spans="26:26" x14ac:dyDescent="0.2">
      <c r="Z48712" t="str">
        <f t="shared" si="761"/>
        <v/>
      </c>
    </row>
    <row r="48713" spans="26:26" x14ac:dyDescent="0.2">
      <c r="Z48713" t="str">
        <f t="shared" si="761"/>
        <v/>
      </c>
    </row>
    <row r="48714" spans="26:26" x14ac:dyDescent="0.2">
      <c r="Z48714" t="str">
        <f t="shared" si="761"/>
        <v/>
      </c>
    </row>
    <row r="48715" spans="26:26" x14ac:dyDescent="0.2">
      <c r="Z48715" t="str">
        <f t="shared" si="761"/>
        <v/>
      </c>
    </row>
    <row r="48716" spans="26:26" x14ac:dyDescent="0.2">
      <c r="Z48716" t="str">
        <f t="shared" si="761"/>
        <v/>
      </c>
    </row>
    <row r="48717" spans="26:26" x14ac:dyDescent="0.2">
      <c r="Z48717" t="str">
        <f t="shared" si="761"/>
        <v/>
      </c>
    </row>
    <row r="48718" spans="26:26" x14ac:dyDescent="0.2">
      <c r="Z48718" t="str">
        <f t="shared" si="761"/>
        <v/>
      </c>
    </row>
    <row r="48719" spans="26:26" x14ac:dyDescent="0.2">
      <c r="Z48719" t="str">
        <f t="shared" si="761"/>
        <v/>
      </c>
    </row>
    <row r="48720" spans="26:26" x14ac:dyDescent="0.2">
      <c r="Z48720" t="str">
        <f t="shared" si="761"/>
        <v/>
      </c>
    </row>
    <row r="48721" spans="26:26" x14ac:dyDescent="0.2">
      <c r="Z48721" t="str">
        <f t="shared" si="761"/>
        <v/>
      </c>
    </row>
    <row r="48722" spans="26:26" x14ac:dyDescent="0.2">
      <c r="Z48722" t="str">
        <f t="shared" si="761"/>
        <v/>
      </c>
    </row>
    <row r="48723" spans="26:26" x14ac:dyDescent="0.2">
      <c r="Z48723" t="str">
        <f t="shared" si="761"/>
        <v/>
      </c>
    </row>
    <row r="48724" spans="26:26" x14ac:dyDescent="0.2">
      <c r="Z48724" t="str">
        <f t="shared" si="761"/>
        <v/>
      </c>
    </row>
    <row r="48725" spans="26:26" x14ac:dyDescent="0.2">
      <c r="Z48725" t="str">
        <f t="shared" si="761"/>
        <v/>
      </c>
    </row>
    <row r="48726" spans="26:26" x14ac:dyDescent="0.2">
      <c r="Z48726" t="str">
        <f t="shared" si="761"/>
        <v/>
      </c>
    </row>
    <row r="48727" spans="26:26" x14ac:dyDescent="0.2">
      <c r="Z48727" t="str">
        <f t="shared" si="761"/>
        <v/>
      </c>
    </row>
    <row r="48728" spans="26:26" x14ac:dyDescent="0.2">
      <c r="Z48728" t="str">
        <f t="shared" si="761"/>
        <v/>
      </c>
    </row>
    <row r="48729" spans="26:26" x14ac:dyDescent="0.2">
      <c r="Z48729" t="str">
        <f t="shared" si="761"/>
        <v/>
      </c>
    </row>
    <row r="48730" spans="26:26" x14ac:dyDescent="0.2">
      <c r="Z48730" t="str">
        <f t="shared" si="761"/>
        <v/>
      </c>
    </row>
    <row r="48731" spans="26:26" x14ac:dyDescent="0.2">
      <c r="Z48731" t="str">
        <f t="shared" si="761"/>
        <v/>
      </c>
    </row>
    <row r="48732" spans="26:26" x14ac:dyDescent="0.2">
      <c r="Z48732" t="str">
        <f t="shared" si="761"/>
        <v/>
      </c>
    </row>
    <row r="48733" spans="26:26" x14ac:dyDescent="0.2">
      <c r="Z48733" t="str">
        <f t="shared" si="761"/>
        <v/>
      </c>
    </row>
    <row r="48734" spans="26:26" x14ac:dyDescent="0.2">
      <c r="Z48734" t="str">
        <f t="shared" si="761"/>
        <v/>
      </c>
    </row>
    <row r="48735" spans="26:26" x14ac:dyDescent="0.2">
      <c r="Z48735" t="str">
        <f t="shared" si="761"/>
        <v/>
      </c>
    </row>
    <row r="48736" spans="26:26" x14ac:dyDescent="0.2">
      <c r="Z48736" t="str">
        <f t="shared" si="761"/>
        <v/>
      </c>
    </row>
    <row r="48737" spans="26:26" x14ac:dyDescent="0.2">
      <c r="Z48737" t="str">
        <f t="shared" si="761"/>
        <v/>
      </c>
    </row>
    <row r="48738" spans="26:26" x14ac:dyDescent="0.2">
      <c r="Z48738" t="str">
        <f t="shared" si="761"/>
        <v/>
      </c>
    </row>
    <row r="48739" spans="26:26" x14ac:dyDescent="0.2">
      <c r="Z48739" t="str">
        <f t="shared" si="761"/>
        <v/>
      </c>
    </row>
    <row r="48740" spans="26:26" x14ac:dyDescent="0.2">
      <c r="Z48740" t="str">
        <f t="shared" si="761"/>
        <v/>
      </c>
    </row>
    <row r="48741" spans="26:26" x14ac:dyDescent="0.2">
      <c r="Z48741" t="str">
        <f t="shared" si="761"/>
        <v/>
      </c>
    </row>
    <row r="48742" spans="26:26" x14ac:dyDescent="0.2">
      <c r="Z48742" t="str">
        <f t="shared" si="761"/>
        <v/>
      </c>
    </row>
    <row r="48743" spans="26:26" x14ac:dyDescent="0.2">
      <c r="Z48743" t="str">
        <f t="shared" si="761"/>
        <v/>
      </c>
    </row>
    <row r="48744" spans="26:26" x14ac:dyDescent="0.2">
      <c r="Z48744" t="str">
        <f t="shared" si="761"/>
        <v/>
      </c>
    </row>
    <row r="48745" spans="26:26" x14ac:dyDescent="0.2">
      <c r="Z48745" t="str">
        <f t="shared" si="761"/>
        <v/>
      </c>
    </row>
    <row r="48746" spans="26:26" x14ac:dyDescent="0.2">
      <c r="Z48746" t="str">
        <f t="shared" si="761"/>
        <v/>
      </c>
    </row>
    <row r="48747" spans="26:26" x14ac:dyDescent="0.2">
      <c r="Z48747" t="str">
        <f t="shared" si="761"/>
        <v/>
      </c>
    </row>
    <row r="48748" spans="26:26" x14ac:dyDescent="0.2">
      <c r="Z48748" t="str">
        <f t="shared" si="761"/>
        <v/>
      </c>
    </row>
    <row r="48749" spans="26:26" x14ac:dyDescent="0.2">
      <c r="Z48749" t="str">
        <f t="shared" si="761"/>
        <v/>
      </c>
    </row>
    <row r="48750" spans="26:26" x14ac:dyDescent="0.2">
      <c r="Z48750" t="str">
        <f t="shared" si="761"/>
        <v/>
      </c>
    </row>
    <row r="48751" spans="26:26" x14ac:dyDescent="0.2">
      <c r="Z48751" t="str">
        <f t="shared" si="761"/>
        <v/>
      </c>
    </row>
    <row r="48752" spans="26:26" x14ac:dyDescent="0.2">
      <c r="Z48752" t="str">
        <f t="shared" si="761"/>
        <v/>
      </c>
    </row>
    <row r="48753" spans="26:26" x14ac:dyDescent="0.2">
      <c r="Z48753" t="str">
        <f t="shared" si="761"/>
        <v/>
      </c>
    </row>
    <row r="48754" spans="26:26" x14ac:dyDescent="0.2">
      <c r="Z48754" t="str">
        <f t="shared" si="761"/>
        <v/>
      </c>
    </row>
    <row r="48755" spans="26:26" x14ac:dyDescent="0.2">
      <c r="Z48755" t="str">
        <f t="shared" si="761"/>
        <v/>
      </c>
    </row>
    <row r="48756" spans="26:26" x14ac:dyDescent="0.2">
      <c r="Z48756" t="str">
        <f t="shared" si="761"/>
        <v/>
      </c>
    </row>
    <row r="48757" spans="26:26" x14ac:dyDescent="0.2">
      <c r="Z48757" t="str">
        <f t="shared" si="761"/>
        <v/>
      </c>
    </row>
    <row r="48758" spans="26:26" x14ac:dyDescent="0.2">
      <c r="Z48758" t="str">
        <f t="shared" si="761"/>
        <v/>
      </c>
    </row>
    <row r="48759" spans="26:26" x14ac:dyDescent="0.2">
      <c r="Z48759" t="str">
        <f t="shared" si="761"/>
        <v/>
      </c>
    </row>
    <row r="48760" spans="26:26" x14ac:dyDescent="0.2">
      <c r="Z48760" t="str">
        <f t="shared" si="761"/>
        <v/>
      </c>
    </row>
    <row r="48761" spans="26:26" x14ac:dyDescent="0.2">
      <c r="Z48761" t="str">
        <f t="shared" si="761"/>
        <v/>
      </c>
    </row>
    <row r="48762" spans="26:26" x14ac:dyDescent="0.2">
      <c r="Z48762" t="str">
        <f t="shared" si="761"/>
        <v/>
      </c>
    </row>
    <row r="48763" spans="26:26" x14ac:dyDescent="0.2">
      <c r="Z48763" t="str">
        <f t="shared" si="761"/>
        <v/>
      </c>
    </row>
    <row r="48764" spans="26:26" x14ac:dyDescent="0.2">
      <c r="Z48764" t="str">
        <f t="shared" si="761"/>
        <v/>
      </c>
    </row>
    <row r="48765" spans="26:26" x14ac:dyDescent="0.2">
      <c r="Z48765" t="str">
        <f t="shared" si="761"/>
        <v/>
      </c>
    </row>
    <row r="48766" spans="26:26" x14ac:dyDescent="0.2">
      <c r="Z48766" t="str">
        <f t="shared" si="761"/>
        <v/>
      </c>
    </row>
    <row r="48767" spans="26:26" x14ac:dyDescent="0.2">
      <c r="Z48767" t="str">
        <f t="shared" si="761"/>
        <v/>
      </c>
    </row>
    <row r="48768" spans="26:26" x14ac:dyDescent="0.2">
      <c r="Z48768" t="str">
        <f t="shared" si="761"/>
        <v/>
      </c>
    </row>
    <row r="48769" spans="26:26" x14ac:dyDescent="0.2">
      <c r="Z48769" t="str">
        <f t="shared" si="761"/>
        <v/>
      </c>
    </row>
    <row r="48770" spans="26:26" x14ac:dyDescent="0.2">
      <c r="Z48770" t="str">
        <f t="shared" si="761"/>
        <v/>
      </c>
    </row>
    <row r="48771" spans="26:26" x14ac:dyDescent="0.2">
      <c r="Z48771" t="str">
        <f t="shared" ref="Z48771:Z48834" si="762">IF(K48771="","",IFERROR(VALUE(TRIM(MID(K48771,FIND(CHAR(167),SUBSTITUTE(K48771,"-",CHAR(167),LEN(K48771)-LEN(SUBSTITUTE(K48771,"-",""))))+1,100))),K48771))</f>
        <v/>
      </c>
    </row>
    <row r="48772" spans="26:26" x14ac:dyDescent="0.2">
      <c r="Z48772" t="str">
        <f t="shared" si="762"/>
        <v/>
      </c>
    </row>
    <row r="48773" spans="26:26" x14ac:dyDescent="0.2">
      <c r="Z48773" t="str">
        <f t="shared" si="762"/>
        <v/>
      </c>
    </row>
    <row r="48774" spans="26:26" x14ac:dyDescent="0.2">
      <c r="Z48774" t="str">
        <f t="shared" si="762"/>
        <v/>
      </c>
    </row>
    <row r="48775" spans="26:26" x14ac:dyDescent="0.2">
      <c r="Z48775" t="str">
        <f t="shared" si="762"/>
        <v/>
      </c>
    </row>
    <row r="48776" spans="26:26" x14ac:dyDescent="0.2">
      <c r="Z48776" t="str">
        <f t="shared" si="762"/>
        <v/>
      </c>
    </row>
    <row r="48777" spans="26:26" x14ac:dyDescent="0.2">
      <c r="Z48777" t="str">
        <f t="shared" si="762"/>
        <v/>
      </c>
    </row>
    <row r="48778" spans="26:26" x14ac:dyDescent="0.2">
      <c r="Z48778" t="str">
        <f t="shared" si="762"/>
        <v/>
      </c>
    </row>
    <row r="48779" spans="26:26" x14ac:dyDescent="0.2">
      <c r="Z48779" t="str">
        <f t="shared" si="762"/>
        <v/>
      </c>
    </row>
    <row r="48780" spans="26:26" x14ac:dyDescent="0.2">
      <c r="Z48780" t="str">
        <f t="shared" si="762"/>
        <v/>
      </c>
    </row>
    <row r="48781" spans="26:26" x14ac:dyDescent="0.2">
      <c r="Z48781" t="str">
        <f t="shared" si="762"/>
        <v/>
      </c>
    </row>
    <row r="48782" spans="26:26" x14ac:dyDescent="0.2">
      <c r="Z48782" t="str">
        <f t="shared" si="762"/>
        <v/>
      </c>
    </row>
    <row r="48783" spans="26:26" x14ac:dyDescent="0.2">
      <c r="Z48783" t="str">
        <f t="shared" si="762"/>
        <v/>
      </c>
    </row>
    <row r="48784" spans="26:26" x14ac:dyDescent="0.2">
      <c r="Z48784" t="str">
        <f t="shared" si="762"/>
        <v/>
      </c>
    </row>
    <row r="48785" spans="26:26" x14ac:dyDescent="0.2">
      <c r="Z48785" t="str">
        <f t="shared" si="762"/>
        <v/>
      </c>
    </row>
    <row r="48786" spans="26:26" x14ac:dyDescent="0.2">
      <c r="Z48786" t="str">
        <f t="shared" si="762"/>
        <v/>
      </c>
    </row>
    <row r="48787" spans="26:26" x14ac:dyDescent="0.2">
      <c r="Z48787" t="str">
        <f t="shared" si="762"/>
        <v/>
      </c>
    </row>
    <row r="48788" spans="26:26" x14ac:dyDescent="0.2">
      <c r="Z48788" t="str">
        <f t="shared" si="762"/>
        <v/>
      </c>
    </row>
    <row r="48789" spans="26:26" x14ac:dyDescent="0.2">
      <c r="Z48789" t="str">
        <f t="shared" si="762"/>
        <v/>
      </c>
    </row>
    <row r="48790" spans="26:26" x14ac:dyDescent="0.2">
      <c r="Z48790" t="str">
        <f t="shared" si="762"/>
        <v/>
      </c>
    </row>
    <row r="48791" spans="26:26" x14ac:dyDescent="0.2">
      <c r="Z48791" t="str">
        <f t="shared" si="762"/>
        <v/>
      </c>
    </row>
    <row r="48792" spans="26:26" x14ac:dyDescent="0.2">
      <c r="Z48792" t="str">
        <f t="shared" si="762"/>
        <v/>
      </c>
    </row>
    <row r="48793" spans="26:26" x14ac:dyDescent="0.2">
      <c r="Z48793" t="str">
        <f t="shared" si="762"/>
        <v/>
      </c>
    </row>
    <row r="48794" spans="26:26" x14ac:dyDescent="0.2">
      <c r="Z48794" t="str">
        <f t="shared" si="762"/>
        <v/>
      </c>
    </row>
    <row r="48795" spans="26:26" x14ac:dyDescent="0.2">
      <c r="Z48795" t="str">
        <f t="shared" si="762"/>
        <v/>
      </c>
    </row>
    <row r="48796" spans="26:26" x14ac:dyDescent="0.2">
      <c r="Z48796" t="str">
        <f t="shared" si="762"/>
        <v/>
      </c>
    </row>
    <row r="48797" spans="26:26" x14ac:dyDescent="0.2">
      <c r="Z48797" t="str">
        <f t="shared" si="762"/>
        <v/>
      </c>
    </row>
    <row r="48798" spans="26:26" x14ac:dyDescent="0.2">
      <c r="Z48798" t="str">
        <f t="shared" si="762"/>
        <v/>
      </c>
    </row>
    <row r="48799" spans="26:26" x14ac:dyDescent="0.2">
      <c r="Z48799" t="str">
        <f t="shared" si="762"/>
        <v/>
      </c>
    </row>
    <row r="48800" spans="26:26" x14ac:dyDescent="0.2">
      <c r="Z48800" t="str">
        <f t="shared" si="762"/>
        <v/>
      </c>
    </row>
    <row r="48801" spans="26:26" x14ac:dyDescent="0.2">
      <c r="Z48801" t="str">
        <f t="shared" si="762"/>
        <v/>
      </c>
    </row>
    <row r="48802" spans="26:26" x14ac:dyDescent="0.2">
      <c r="Z48802" t="str">
        <f t="shared" si="762"/>
        <v/>
      </c>
    </row>
    <row r="48803" spans="26:26" x14ac:dyDescent="0.2">
      <c r="Z48803" t="str">
        <f t="shared" si="762"/>
        <v/>
      </c>
    </row>
    <row r="48804" spans="26:26" x14ac:dyDescent="0.2">
      <c r="Z48804" t="str">
        <f t="shared" si="762"/>
        <v/>
      </c>
    </row>
    <row r="48805" spans="26:26" x14ac:dyDescent="0.2">
      <c r="Z48805" t="str">
        <f t="shared" si="762"/>
        <v/>
      </c>
    </row>
    <row r="48806" spans="26:26" x14ac:dyDescent="0.2">
      <c r="Z48806" t="str">
        <f t="shared" si="762"/>
        <v/>
      </c>
    </row>
    <row r="48807" spans="26:26" x14ac:dyDescent="0.2">
      <c r="Z48807" t="str">
        <f t="shared" si="762"/>
        <v/>
      </c>
    </row>
    <row r="48808" spans="26:26" x14ac:dyDescent="0.2">
      <c r="Z48808" t="str">
        <f t="shared" si="762"/>
        <v/>
      </c>
    </row>
    <row r="48809" spans="26:26" x14ac:dyDescent="0.2">
      <c r="Z48809" t="str">
        <f t="shared" si="762"/>
        <v/>
      </c>
    </row>
    <row r="48810" spans="26:26" x14ac:dyDescent="0.2">
      <c r="Z48810" t="str">
        <f t="shared" si="762"/>
        <v/>
      </c>
    </row>
    <row r="48811" spans="26:26" x14ac:dyDescent="0.2">
      <c r="Z48811" t="str">
        <f t="shared" si="762"/>
        <v/>
      </c>
    </row>
    <row r="48812" spans="26:26" x14ac:dyDescent="0.2">
      <c r="Z48812" t="str">
        <f t="shared" si="762"/>
        <v/>
      </c>
    </row>
    <row r="48813" spans="26:26" x14ac:dyDescent="0.2">
      <c r="Z48813" t="str">
        <f t="shared" si="762"/>
        <v/>
      </c>
    </row>
    <row r="48814" spans="26:26" x14ac:dyDescent="0.2">
      <c r="Z48814" t="str">
        <f t="shared" si="762"/>
        <v/>
      </c>
    </row>
    <row r="48815" spans="26:26" x14ac:dyDescent="0.2">
      <c r="Z48815" t="str">
        <f t="shared" si="762"/>
        <v/>
      </c>
    </row>
    <row r="48816" spans="26:26" x14ac:dyDescent="0.2">
      <c r="Z48816" t="str">
        <f t="shared" si="762"/>
        <v/>
      </c>
    </row>
    <row r="48817" spans="26:26" x14ac:dyDescent="0.2">
      <c r="Z48817" t="str">
        <f t="shared" si="762"/>
        <v/>
      </c>
    </row>
    <row r="48818" spans="26:26" x14ac:dyDescent="0.2">
      <c r="Z48818" t="str">
        <f t="shared" si="762"/>
        <v/>
      </c>
    </row>
    <row r="48819" spans="26:26" x14ac:dyDescent="0.2">
      <c r="Z48819" t="str">
        <f t="shared" si="762"/>
        <v/>
      </c>
    </row>
    <row r="48820" spans="26:26" x14ac:dyDescent="0.2">
      <c r="Z48820" t="str">
        <f t="shared" si="762"/>
        <v/>
      </c>
    </row>
    <row r="48821" spans="26:26" x14ac:dyDescent="0.2">
      <c r="Z48821" t="str">
        <f t="shared" si="762"/>
        <v/>
      </c>
    </row>
    <row r="48822" spans="26:26" x14ac:dyDescent="0.2">
      <c r="Z48822" t="str">
        <f t="shared" si="762"/>
        <v/>
      </c>
    </row>
    <row r="48823" spans="26:26" x14ac:dyDescent="0.2">
      <c r="Z48823" t="str">
        <f t="shared" si="762"/>
        <v/>
      </c>
    </row>
    <row r="48824" spans="26:26" x14ac:dyDescent="0.2">
      <c r="Z48824" t="str">
        <f t="shared" si="762"/>
        <v/>
      </c>
    </row>
    <row r="48825" spans="26:26" x14ac:dyDescent="0.2">
      <c r="Z48825" t="str">
        <f t="shared" si="762"/>
        <v/>
      </c>
    </row>
    <row r="48826" spans="26:26" x14ac:dyDescent="0.2">
      <c r="Z48826" t="str">
        <f t="shared" si="762"/>
        <v/>
      </c>
    </row>
    <row r="48827" spans="26:26" x14ac:dyDescent="0.2">
      <c r="Z48827" t="str">
        <f t="shared" si="762"/>
        <v/>
      </c>
    </row>
    <row r="48828" spans="26:26" x14ac:dyDescent="0.2">
      <c r="Z48828" t="str">
        <f t="shared" si="762"/>
        <v/>
      </c>
    </row>
    <row r="48829" spans="26:26" x14ac:dyDescent="0.2">
      <c r="Z48829" t="str">
        <f t="shared" si="762"/>
        <v/>
      </c>
    </row>
    <row r="48830" spans="26:26" x14ac:dyDescent="0.2">
      <c r="Z48830" t="str">
        <f t="shared" si="762"/>
        <v/>
      </c>
    </row>
    <row r="48831" spans="26:26" x14ac:dyDescent="0.2">
      <c r="Z48831" t="str">
        <f t="shared" si="762"/>
        <v/>
      </c>
    </row>
    <row r="48832" spans="26:26" x14ac:dyDescent="0.2">
      <c r="Z48832" t="str">
        <f t="shared" si="762"/>
        <v/>
      </c>
    </row>
    <row r="48833" spans="26:26" x14ac:dyDescent="0.2">
      <c r="Z48833" t="str">
        <f t="shared" si="762"/>
        <v/>
      </c>
    </row>
    <row r="48834" spans="26:26" x14ac:dyDescent="0.2">
      <c r="Z48834" t="str">
        <f t="shared" si="762"/>
        <v/>
      </c>
    </row>
    <row r="48835" spans="26:26" x14ac:dyDescent="0.2">
      <c r="Z48835" t="str">
        <f t="shared" ref="Z48835:Z48898" si="763">IF(K48835="","",IFERROR(VALUE(TRIM(MID(K48835,FIND(CHAR(167),SUBSTITUTE(K48835,"-",CHAR(167),LEN(K48835)-LEN(SUBSTITUTE(K48835,"-",""))))+1,100))),K48835))</f>
        <v/>
      </c>
    </row>
    <row r="48836" spans="26:26" x14ac:dyDescent="0.2">
      <c r="Z48836" t="str">
        <f t="shared" si="763"/>
        <v/>
      </c>
    </row>
    <row r="48837" spans="26:26" x14ac:dyDescent="0.2">
      <c r="Z48837" t="str">
        <f t="shared" si="763"/>
        <v/>
      </c>
    </row>
    <row r="48838" spans="26:26" x14ac:dyDescent="0.2">
      <c r="Z48838" t="str">
        <f t="shared" si="763"/>
        <v/>
      </c>
    </row>
    <row r="48839" spans="26:26" x14ac:dyDescent="0.2">
      <c r="Z48839" t="str">
        <f t="shared" si="763"/>
        <v/>
      </c>
    </row>
    <row r="48840" spans="26:26" x14ac:dyDescent="0.2">
      <c r="Z48840" t="str">
        <f t="shared" si="763"/>
        <v/>
      </c>
    </row>
    <row r="48841" spans="26:26" x14ac:dyDescent="0.2">
      <c r="Z48841" t="str">
        <f t="shared" si="763"/>
        <v/>
      </c>
    </row>
    <row r="48842" spans="26:26" x14ac:dyDescent="0.2">
      <c r="Z48842" t="str">
        <f t="shared" si="763"/>
        <v/>
      </c>
    </row>
    <row r="48843" spans="26:26" x14ac:dyDescent="0.2">
      <c r="Z48843" t="str">
        <f t="shared" si="763"/>
        <v/>
      </c>
    </row>
    <row r="48844" spans="26:26" x14ac:dyDescent="0.2">
      <c r="Z48844" t="str">
        <f t="shared" si="763"/>
        <v/>
      </c>
    </row>
    <row r="48845" spans="26:26" x14ac:dyDescent="0.2">
      <c r="Z48845" t="str">
        <f t="shared" si="763"/>
        <v/>
      </c>
    </row>
    <row r="48846" spans="26:26" x14ac:dyDescent="0.2">
      <c r="Z48846" t="str">
        <f t="shared" si="763"/>
        <v/>
      </c>
    </row>
    <row r="48847" spans="26:26" x14ac:dyDescent="0.2">
      <c r="Z48847" t="str">
        <f t="shared" si="763"/>
        <v/>
      </c>
    </row>
    <row r="48848" spans="26:26" x14ac:dyDescent="0.2">
      <c r="Z48848" t="str">
        <f t="shared" si="763"/>
        <v/>
      </c>
    </row>
    <row r="48849" spans="26:26" x14ac:dyDescent="0.2">
      <c r="Z48849" t="str">
        <f t="shared" si="763"/>
        <v/>
      </c>
    </row>
    <row r="48850" spans="26:26" x14ac:dyDescent="0.2">
      <c r="Z48850" t="str">
        <f t="shared" si="763"/>
        <v/>
      </c>
    </row>
    <row r="48851" spans="26:26" x14ac:dyDescent="0.2">
      <c r="Z48851" t="str">
        <f t="shared" si="763"/>
        <v/>
      </c>
    </row>
    <row r="48852" spans="26:26" x14ac:dyDescent="0.2">
      <c r="Z48852" t="str">
        <f t="shared" si="763"/>
        <v/>
      </c>
    </row>
    <row r="48853" spans="26:26" x14ac:dyDescent="0.2">
      <c r="Z48853" t="str">
        <f t="shared" si="763"/>
        <v/>
      </c>
    </row>
    <row r="48854" spans="26:26" x14ac:dyDescent="0.2">
      <c r="Z48854" t="str">
        <f t="shared" si="763"/>
        <v/>
      </c>
    </row>
    <row r="48855" spans="26:26" x14ac:dyDescent="0.2">
      <c r="Z48855" t="str">
        <f t="shared" si="763"/>
        <v/>
      </c>
    </row>
    <row r="48856" spans="26:26" x14ac:dyDescent="0.2">
      <c r="Z48856" t="str">
        <f t="shared" si="763"/>
        <v/>
      </c>
    </row>
    <row r="48857" spans="26:26" x14ac:dyDescent="0.2">
      <c r="Z48857" t="str">
        <f t="shared" si="763"/>
        <v/>
      </c>
    </row>
    <row r="48858" spans="26:26" x14ac:dyDescent="0.2">
      <c r="Z48858" t="str">
        <f t="shared" si="763"/>
        <v/>
      </c>
    </row>
    <row r="48859" spans="26:26" x14ac:dyDescent="0.2">
      <c r="Z48859" t="str">
        <f t="shared" si="763"/>
        <v/>
      </c>
    </row>
    <row r="48860" spans="26:26" x14ac:dyDescent="0.2">
      <c r="Z48860" t="str">
        <f t="shared" si="763"/>
        <v/>
      </c>
    </row>
    <row r="48861" spans="26:26" x14ac:dyDescent="0.2">
      <c r="Z48861" t="str">
        <f t="shared" si="763"/>
        <v/>
      </c>
    </row>
    <row r="48862" spans="26:26" x14ac:dyDescent="0.2">
      <c r="Z48862" t="str">
        <f t="shared" si="763"/>
        <v/>
      </c>
    </row>
    <row r="48863" spans="26:26" x14ac:dyDescent="0.2">
      <c r="Z48863" t="str">
        <f t="shared" si="763"/>
        <v/>
      </c>
    </row>
    <row r="48864" spans="26:26" x14ac:dyDescent="0.2">
      <c r="Z48864" t="str">
        <f t="shared" si="763"/>
        <v/>
      </c>
    </row>
    <row r="48865" spans="26:26" x14ac:dyDescent="0.2">
      <c r="Z48865" t="str">
        <f t="shared" si="763"/>
        <v/>
      </c>
    </row>
    <row r="48866" spans="26:26" x14ac:dyDescent="0.2">
      <c r="Z48866" t="str">
        <f t="shared" si="763"/>
        <v/>
      </c>
    </row>
    <row r="48867" spans="26:26" x14ac:dyDescent="0.2">
      <c r="Z48867" t="str">
        <f t="shared" si="763"/>
        <v/>
      </c>
    </row>
    <row r="48868" spans="26:26" x14ac:dyDescent="0.2">
      <c r="Z48868" t="str">
        <f t="shared" si="763"/>
        <v/>
      </c>
    </row>
    <row r="48869" spans="26:26" x14ac:dyDescent="0.2">
      <c r="Z48869" t="str">
        <f t="shared" si="763"/>
        <v/>
      </c>
    </row>
    <row r="48870" spans="26:26" x14ac:dyDescent="0.2">
      <c r="Z48870" t="str">
        <f t="shared" si="763"/>
        <v/>
      </c>
    </row>
    <row r="48871" spans="26:26" x14ac:dyDescent="0.2">
      <c r="Z48871" t="str">
        <f t="shared" si="763"/>
        <v/>
      </c>
    </row>
    <row r="48872" spans="26:26" x14ac:dyDescent="0.2">
      <c r="Z48872" t="str">
        <f t="shared" si="763"/>
        <v/>
      </c>
    </row>
    <row r="48873" spans="26:26" x14ac:dyDescent="0.2">
      <c r="Z48873" t="str">
        <f t="shared" si="763"/>
        <v/>
      </c>
    </row>
    <row r="48874" spans="26:26" x14ac:dyDescent="0.2">
      <c r="Z48874" t="str">
        <f t="shared" si="763"/>
        <v/>
      </c>
    </row>
    <row r="48875" spans="26:26" x14ac:dyDescent="0.2">
      <c r="Z48875" t="str">
        <f t="shared" si="763"/>
        <v/>
      </c>
    </row>
    <row r="48876" spans="26:26" x14ac:dyDescent="0.2">
      <c r="Z48876" t="str">
        <f t="shared" si="763"/>
        <v/>
      </c>
    </row>
    <row r="48877" spans="26:26" x14ac:dyDescent="0.2">
      <c r="Z48877" t="str">
        <f t="shared" si="763"/>
        <v/>
      </c>
    </row>
    <row r="48878" spans="26:26" x14ac:dyDescent="0.2">
      <c r="Z48878" t="str">
        <f t="shared" si="763"/>
        <v/>
      </c>
    </row>
    <row r="48879" spans="26:26" x14ac:dyDescent="0.2">
      <c r="Z48879" t="str">
        <f t="shared" si="763"/>
        <v/>
      </c>
    </row>
    <row r="48880" spans="26:26" x14ac:dyDescent="0.2">
      <c r="Z48880" t="str">
        <f t="shared" si="763"/>
        <v/>
      </c>
    </row>
    <row r="48881" spans="26:26" x14ac:dyDescent="0.2">
      <c r="Z48881" t="str">
        <f t="shared" si="763"/>
        <v/>
      </c>
    </row>
    <row r="48882" spans="26:26" x14ac:dyDescent="0.2">
      <c r="Z48882" t="str">
        <f t="shared" si="763"/>
        <v/>
      </c>
    </row>
    <row r="48883" spans="26:26" x14ac:dyDescent="0.2">
      <c r="Z48883" t="str">
        <f t="shared" si="763"/>
        <v/>
      </c>
    </row>
    <row r="48884" spans="26:26" x14ac:dyDescent="0.2">
      <c r="Z48884" t="str">
        <f t="shared" si="763"/>
        <v/>
      </c>
    </row>
    <row r="48885" spans="26:26" x14ac:dyDescent="0.2">
      <c r="Z48885" t="str">
        <f t="shared" si="763"/>
        <v/>
      </c>
    </row>
    <row r="48886" spans="26:26" x14ac:dyDescent="0.2">
      <c r="Z48886" t="str">
        <f t="shared" si="763"/>
        <v/>
      </c>
    </row>
    <row r="48887" spans="26:26" x14ac:dyDescent="0.2">
      <c r="Z48887" t="str">
        <f t="shared" si="763"/>
        <v/>
      </c>
    </row>
    <row r="48888" spans="26:26" x14ac:dyDescent="0.2">
      <c r="Z48888" t="str">
        <f t="shared" si="763"/>
        <v/>
      </c>
    </row>
    <row r="48889" spans="26:26" x14ac:dyDescent="0.2">
      <c r="Z48889" t="str">
        <f t="shared" si="763"/>
        <v/>
      </c>
    </row>
    <row r="48890" spans="26:26" x14ac:dyDescent="0.2">
      <c r="Z48890" t="str">
        <f t="shared" si="763"/>
        <v/>
      </c>
    </row>
    <row r="48891" spans="26:26" x14ac:dyDescent="0.2">
      <c r="Z48891" t="str">
        <f t="shared" si="763"/>
        <v/>
      </c>
    </row>
    <row r="48892" spans="26:26" x14ac:dyDescent="0.2">
      <c r="Z48892" t="str">
        <f t="shared" si="763"/>
        <v/>
      </c>
    </row>
    <row r="48893" spans="26:26" x14ac:dyDescent="0.2">
      <c r="Z48893" t="str">
        <f t="shared" si="763"/>
        <v/>
      </c>
    </row>
    <row r="48894" spans="26:26" x14ac:dyDescent="0.2">
      <c r="Z48894" t="str">
        <f t="shared" si="763"/>
        <v/>
      </c>
    </row>
    <row r="48895" spans="26:26" x14ac:dyDescent="0.2">
      <c r="Z48895" t="str">
        <f t="shared" si="763"/>
        <v/>
      </c>
    </row>
    <row r="48896" spans="26:26" x14ac:dyDescent="0.2">
      <c r="Z48896" t="str">
        <f t="shared" si="763"/>
        <v/>
      </c>
    </row>
    <row r="48897" spans="26:26" x14ac:dyDescent="0.2">
      <c r="Z48897" t="str">
        <f t="shared" si="763"/>
        <v/>
      </c>
    </row>
    <row r="48898" spans="26:26" x14ac:dyDescent="0.2">
      <c r="Z48898" t="str">
        <f t="shared" si="763"/>
        <v/>
      </c>
    </row>
    <row r="48899" spans="26:26" x14ac:dyDescent="0.2">
      <c r="Z48899" t="str">
        <f t="shared" ref="Z48899:Z48962" si="764">IF(K48899="","",IFERROR(VALUE(TRIM(MID(K48899,FIND(CHAR(167),SUBSTITUTE(K48899,"-",CHAR(167),LEN(K48899)-LEN(SUBSTITUTE(K48899,"-",""))))+1,100))),K48899))</f>
        <v/>
      </c>
    </row>
    <row r="48900" spans="26:26" x14ac:dyDescent="0.2">
      <c r="Z48900" t="str">
        <f t="shared" si="764"/>
        <v/>
      </c>
    </row>
    <row r="48901" spans="26:26" x14ac:dyDescent="0.2">
      <c r="Z48901" t="str">
        <f t="shared" si="764"/>
        <v/>
      </c>
    </row>
    <row r="48902" spans="26:26" x14ac:dyDescent="0.2">
      <c r="Z48902" t="str">
        <f t="shared" si="764"/>
        <v/>
      </c>
    </row>
    <row r="48903" spans="26:26" x14ac:dyDescent="0.2">
      <c r="Z48903" t="str">
        <f t="shared" si="764"/>
        <v/>
      </c>
    </row>
    <row r="48904" spans="26:26" x14ac:dyDescent="0.2">
      <c r="Z48904" t="str">
        <f t="shared" si="764"/>
        <v/>
      </c>
    </row>
    <row r="48905" spans="26:26" x14ac:dyDescent="0.2">
      <c r="Z48905" t="str">
        <f t="shared" si="764"/>
        <v/>
      </c>
    </row>
    <row r="48906" spans="26:26" x14ac:dyDescent="0.2">
      <c r="Z48906" t="str">
        <f t="shared" si="764"/>
        <v/>
      </c>
    </row>
    <row r="48907" spans="26:26" x14ac:dyDescent="0.2">
      <c r="Z48907" t="str">
        <f t="shared" si="764"/>
        <v/>
      </c>
    </row>
    <row r="48908" spans="26:26" x14ac:dyDescent="0.2">
      <c r="Z48908" t="str">
        <f t="shared" si="764"/>
        <v/>
      </c>
    </row>
    <row r="48909" spans="26:26" x14ac:dyDescent="0.2">
      <c r="Z48909" t="str">
        <f t="shared" si="764"/>
        <v/>
      </c>
    </row>
    <row r="48910" spans="26:26" x14ac:dyDescent="0.2">
      <c r="Z48910" t="str">
        <f t="shared" si="764"/>
        <v/>
      </c>
    </row>
    <row r="48911" spans="26:26" x14ac:dyDescent="0.2">
      <c r="Z48911" t="str">
        <f t="shared" si="764"/>
        <v/>
      </c>
    </row>
    <row r="48912" spans="26:26" x14ac:dyDescent="0.2">
      <c r="Z48912" t="str">
        <f t="shared" si="764"/>
        <v/>
      </c>
    </row>
    <row r="48913" spans="26:26" x14ac:dyDescent="0.2">
      <c r="Z48913" t="str">
        <f t="shared" si="764"/>
        <v/>
      </c>
    </row>
    <row r="48914" spans="26:26" x14ac:dyDescent="0.2">
      <c r="Z48914" t="str">
        <f t="shared" si="764"/>
        <v/>
      </c>
    </row>
    <row r="48915" spans="26:26" x14ac:dyDescent="0.2">
      <c r="Z48915" t="str">
        <f t="shared" si="764"/>
        <v/>
      </c>
    </row>
    <row r="48916" spans="26:26" x14ac:dyDescent="0.2">
      <c r="Z48916" t="str">
        <f t="shared" si="764"/>
        <v/>
      </c>
    </row>
    <row r="48917" spans="26:26" x14ac:dyDescent="0.2">
      <c r="Z48917" t="str">
        <f t="shared" si="764"/>
        <v/>
      </c>
    </row>
    <row r="48918" spans="26:26" x14ac:dyDescent="0.2">
      <c r="Z48918" t="str">
        <f t="shared" si="764"/>
        <v/>
      </c>
    </row>
    <row r="48919" spans="26:26" x14ac:dyDescent="0.2">
      <c r="Z48919" t="str">
        <f t="shared" si="764"/>
        <v/>
      </c>
    </row>
    <row r="48920" spans="26:26" x14ac:dyDescent="0.2">
      <c r="Z48920" t="str">
        <f t="shared" si="764"/>
        <v/>
      </c>
    </row>
    <row r="48921" spans="26:26" x14ac:dyDescent="0.2">
      <c r="Z48921" t="str">
        <f t="shared" si="764"/>
        <v/>
      </c>
    </row>
    <row r="48922" spans="26:26" x14ac:dyDescent="0.2">
      <c r="Z48922" t="str">
        <f t="shared" si="764"/>
        <v/>
      </c>
    </row>
    <row r="48923" spans="26:26" x14ac:dyDescent="0.2">
      <c r="Z48923" t="str">
        <f t="shared" si="764"/>
        <v/>
      </c>
    </row>
    <row r="48924" spans="26:26" x14ac:dyDescent="0.2">
      <c r="Z48924" t="str">
        <f t="shared" si="764"/>
        <v/>
      </c>
    </row>
    <row r="48925" spans="26:26" x14ac:dyDescent="0.2">
      <c r="Z48925" t="str">
        <f t="shared" si="764"/>
        <v/>
      </c>
    </row>
    <row r="48926" spans="26:26" x14ac:dyDescent="0.2">
      <c r="Z48926" t="str">
        <f t="shared" si="764"/>
        <v/>
      </c>
    </row>
    <row r="48927" spans="26:26" x14ac:dyDescent="0.2">
      <c r="Z48927" t="str">
        <f t="shared" si="764"/>
        <v/>
      </c>
    </row>
    <row r="48928" spans="26:26" x14ac:dyDescent="0.2">
      <c r="Z48928" t="str">
        <f t="shared" si="764"/>
        <v/>
      </c>
    </row>
    <row r="48929" spans="26:26" x14ac:dyDescent="0.2">
      <c r="Z48929" t="str">
        <f t="shared" si="764"/>
        <v/>
      </c>
    </row>
    <row r="48930" spans="26:26" x14ac:dyDescent="0.2">
      <c r="Z48930" t="str">
        <f t="shared" si="764"/>
        <v/>
      </c>
    </row>
    <row r="48931" spans="26:26" x14ac:dyDescent="0.2">
      <c r="Z48931" t="str">
        <f t="shared" si="764"/>
        <v/>
      </c>
    </row>
    <row r="48932" spans="26:26" x14ac:dyDescent="0.2">
      <c r="Z48932" t="str">
        <f t="shared" si="764"/>
        <v/>
      </c>
    </row>
    <row r="48933" spans="26:26" x14ac:dyDescent="0.2">
      <c r="Z48933" t="str">
        <f t="shared" si="764"/>
        <v/>
      </c>
    </row>
    <row r="48934" spans="26:26" x14ac:dyDescent="0.2">
      <c r="Z48934" t="str">
        <f t="shared" si="764"/>
        <v/>
      </c>
    </row>
    <row r="48935" spans="26:26" x14ac:dyDescent="0.2">
      <c r="Z48935" t="str">
        <f t="shared" si="764"/>
        <v/>
      </c>
    </row>
    <row r="48936" spans="26:26" x14ac:dyDescent="0.2">
      <c r="Z48936" t="str">
        <f t="shared" si="764"/>
        <v/>
      </c>
    </row>
    <row r="48937" spans="26:26" x14ac:dyDescent="0.2">
      <c r="Z48937" t="str">
        <f t="shared" si="764"/>
        <v/>
      </c>
    </row>
    <row r="48938" spans="26:26" x14ac:dyDescent="0.2">
      <c r="Z48938" t="str">
        <f t="shared" si="764"/>
        <v/>
      </c>
    </row>
    <row r="48939" spans="26:26" x14ac:dyDescent="0.2">
      <c r="Z48939" t="str">
        <f t="shared" si="764"/>
        <v/>
      </c>
    </row>
    <row r="48940" spans="26:26" x14ac:dyDescent="0.2">
      <c r="Z48940" t="str">
        <f t="shared" si="764"/>
        <v/>
      </c>
    </row>
    <row r="48941" spans="26:26" x14ac:dyDescent="0.2">
      <c r="Z48941" t="str">
        <f t="shared" si="764"/>
        <v/>
      </c>
    </row>
    <row r="48942" spans="26:26" x14ac:dyDescent="0.2">
      <c r="Z48942" t="str">
        <f t="shared" si="764"/>
        <v/>
      </c>
    </row>
    <row r="48943" spans="26:26" x14ac:dyDescent="0.2">
      <c r="Z48943" t="str">
        <f t="shared" si="764"/>
        <v/>
      </c>
    </row>
    <row r="48944" spans="26:26" x14ac:dyDescent="0.2">
      <c r="Z48944" t="str">
        <f t="shared" si="764"/>
        <v/>
      </c>
    </row>
    <row r="48945" spans="26:26" x14ac:dyDescent="0.2">
      <c r="Z48945" t="str">
        <f t="shared" si="764"/>
        <v/>
      </c>
    </row>
    <row r="48946" spans="26:26" x14ac:dyDescent="0.2">
      <c r="Z48946" t="str">
        <f t="shared" si="764"/>
        <v/>
      </c>
    </row>
    <row r="48947" spans="26:26" x14ac:dyDescent="0.2">
      <c r="Z48947" t="str">
        <f t="shared" si="764"/>
        <v/>
      </c>
    </row>
    <row r="48948" spans="26:26" x14ac:dyDescent="0.2">
      <c r="Z48948" t="str">
        <f t="shared" si="764"/>
        <v/>
      </c>
    </row>
    <row r="48949" spans="26:26" x14ac:dyDescent="0.2">
      <c r="Z48949" t="str">
        <f t="shared" si="764"/>
        <v/>
      </c>
    </row>
    <row r="48950" spans="26:26" x14ac:dyDescent="0.2">
      <c r="Z48950" t="str">
        <f t="shared" si="764"/>
        <v/>
      </c>
    </row>
    <row r="48951" spans="26:26" x14ac:dyDescent="0.2">
      <c r="Z48951" t="str">
        <f t="shared" si="764"/>
        <v/>
      </c>
    </row>
    <row r="48952" spans="26:26" x14ac:dyDescent="0.2">
      <c r="Z48952" t="str">
        <f t="shared" si="764"/>
        <v/>
      </c>
    </row>
    <row r="48953" spans="26:26" x14ac:dyDescent="0.2">
      <c r="Z48953" t="str">
        <f t="shared" si="764"/>
        <v/>
      </c>
    </row>
    <row r="48954" spans="26:26" x14ac:dyDescent="0.2">
      <c r="Z48954" t="str">
        <f t="shared" si="764"/>
        <v/>
      </c>
    </row>
    <row r="48955" spans="26:26" x14ac:dyDescent="0.2">
      <c r="Z48955" t="str">
        <f t="shared" si="764"/>
        <v/>
      </c>
    </row>
    <row r="48956" spans="26:26" x14ac:dyDescent="0.2">
      <c r="Z48956" t="str">
        <f t="shared" si="764"/>
        <v/>
      </c>
    </row>
    <row r="48957" spans="26:26" x14ac:dyDescent="0.2">
      <c r="Z48957" t="str">
        <f t="shared" si="764"/>
        <v/>
      </c>
    </row>
    <row r="48958" spans="26:26" x14ac:dyDescent="0.2">
      <c r="Z48958" t="str">
        <f t="shared" si="764"/>
        <v/>
      </c>
    </row>
    <row r="48959" spans="26:26" x14ac:dyDescent="0.2">
      <c r="Z48959" t="str">
        <f t="shared" si="764"/>
        <v/>
      </c>
    </row>
    <row r="48960" spans="26:26" x14ac:dyDescent="0.2">
      <c r="Z48960" t="str">
        <f t="shared" si="764"/>
        <v/>
      </c>
    </row>
    <row r="48961" spans="26:26" x14ac:dyDescent="0.2">
      <c r="Z48961" t="str">
        <f t="shared" si="764"/>
        <v/>
      </c>
    </row>
    <row r="48962" spans="26:26" x14ac:dyDescent="0.2">
      <c r="Z48962" t="str">
        <f t="shared" si="764"/>
        <v/>
      </c>
    </row>
    <row r="48963" spans="26:26" x14ac:dyDescent="0.2">
      <c r="Z48963" t="str">
        <f t="shared" ref="Z48963:Z49026" si="765">IF(K48963="","",IFERROR(VALUE(TRIM(MID(K48963,FIND(CHAR(167),SUBSTITUTE(K48963,"-",CHAR(167),LEN(K48963)-LEN(SUBSTITUTE(K48963,"-",""))))+1,100))),K48963))</f>
        <v/>
      </c>
    </row>
    <row r="48964" spans="26:26" x14ac:dyDescent="0.2">
      <c r="Z48964" t="str">
        <f t="shared" si="765"/>
        <v/>
      </c>
    </row>
    <row r="48965" spans="26:26" x14ac:dyDescent="0.2">
      <c r="Z48965" t="str">
        <f t="shared" si="765"/>
        <v/>
      </c>
    </row>
    <row r="48966" spans="26:26" x14ac:dyDescent="0.2">
      <c r="Z48966" t="str">
        <f t="shared" si="765"/>
        <v/>
      </c>
    </row>
    <row r="48967" spans="26:26" x14ac:dyDescent="0.2">
      <c r="Z48967" t="str">
        <f t="shared" si="765"/>
        <v/>
      </c>
    </row>
    <row r="48968" spans="26:26" x14ac:dyDescent="0.2">
      <c r="Z48968" t="str">
        <f t="shared" si="765"/>
        <v/>
      </c>
    </row>
    <row r="48969" spans="26:26" x14ac:dyDescent="0.2">
      <c r="Z48969" t="str">
        <f t="shared" si="765"/>
        <v/>
      </c>
    </row>
    <row r="48970" spans="26:26" x14ac:dyDescent="0.2">
      <c r="Z48970" t="str">
        <f t="shared" si="765"/>
        <v/>
      </c>
    </row>
    <row r="48971" spans="26:26" x14ac:dyDescent="0.2">
      <c r="Z48971" t="str">
        <f t="shared" si="765"/>
        <v/>
      </c>
    </row>
    <row r="48972" spans="26:26" x14ac:dyDescent="0.2">
      <c r="Z48972" t="str">
        <f t="shared" si="765"/>
        <v/>
      </c>
    </row>
    <row r="48973" spans="26:26" x14ac:dyDescent="0.2">
      <c r="Z48973" t="str">
        <f t="shared" si="765"/>
        <v/>
      </c>
    </row>
    <row r="48974" spans="26:26" x14ac:dyDescent="0.2">
      <c r="Z48974" t="str">
        <f t="shared" si="765"/>
        <v/>
      </c>
    </row>
    <row r="48975" spans="26:26" x14ac:dyDescent="0.2">
      <c r="Z48975" t="str">
        <f t="shared" si="765"/>
        <v/>
      </c>
    </row>
    <row r="48976" spans="26:26" x14ac:dyDescent="0.2">
      <c r="Z48976" t="str">
        <f t="shared" si="765"/>
        <v/>
      </c>
    </row>
    <row r="48977" spans="26:26" x14ac:dyDescent="0.2">
      <c r="Z48977" t="str">
        <f t="shared" si="765"/>
        <v/>
      </c>
    </row>
    <row r="48978" spans="26:26" x14ac:dyDescent="0.2">
      <c r="Z48978" t="str">
        <f t="shared" si="765"/>
        <v/>
      </c>
    </row>
    <row r="48979" spans="26:26" x14ac:dyDescent="0.2">
      <c r="Z48979" t="str">
        <f t="shared" si="765"/>
        <v/>
      </c>
    </row>
    <row r="48980" spans="26:26" x14ac:dyDescent="0.2">
      <c r="Z48980" t="str">
        <f t="shared" si="765"/>
        <v/>
      </c>
    </row>
    <row r="48981" spans="26:26" x14ac:dyDescent="0.2">
      <c r="Z48981" t="str">
        <f t="shared" si="765"/>
        <v/>
      </c>
    </row>
    <row r="48982" spans="26:26" x14ac:dyDescent="0.2">
      <c r="Z48982" t="str">
        <f t="shared" si="765"/>
        <v/>
      </c>
    </row>
    <row r="48983" spans="26:26" x14ac:dyDescent="0.2">
      <c r="Z48983" t="str">
        <f t="shared" si="765"/>
        <v/>
      </c>
    </row>
    <row r="48984" spans="26:26" x14ac:dyDescent="0.2">
      <c r="Z48984" t="str">
        <f t="shared" si="765"/>
        <v/>
      </c>
    </row>
    <row r="48985" spans="26:26" x14ac:dyDescent="0.2">
      <c r="Z48985" t="str">
        <f t="shared" si="765"/>
        <v/>
      </c>
    </row>
    <row r="48986" spans="26:26" x14ac:dyDescent="0.2">
      <c r="Z48986" t="str">
        <f t="shared" si="765"/>
        <v/>
      </c>
    </row>
    <row r="48987" spans="26:26" x14ac:dyDescent="0.2">
      <c r="Z48987" t="str">
        <f t="shared" si="765"/>
        <v/>
      </c>
    </row>
    <row r="48988" spans="26:26" x14ac:dyDescent="0.2">
      <c r="Z48988" t="str">
        <f t="shared" si="765"/>
        <v/>
      </c>
    </row>
    <row r="48989" spans="26:26" x14ac:dyDescent="0.2">
      <c r="Z48989" t="str">
        <f t="shared" si="765"/>
        <v/>
      </c>
    </row>
    <row r="48990" spans="26:26" x14ac:dyDescent="0.2">
      <c r="Z48990" t="str">
        <f t="shared" si="765"/>
        <v/>
      </c>
    </row>
    <row r="48991" spans="26:26" x14ac:dyDescent="0.2">
      <c r="Z48991" t="str">
        <f t="shared" si="765"/>
        <v/>
      </c>
    </row>
    <row r="48992" spans="26:26" x14ac:dyDescent="0.2">
      <c r="Z48992" t="str">
        <f t="shared" si="765"/>
        <v/>
      </c>
    </row>
    <row r="48993" spans="26:26" x14ac:dyDescent="0.2">
      <c r="Z48993" t="str">
        <f t="shared" si="765"/>
        <v/>
      </c>
    </row>
    <row r="48994" spans="26:26" x14ac:dyDescent="0.2">
      <c r="Z48994" t="str">
        <f t="shared" si="765"/>
        <v/>
      </c>
    </row>
    <row r="48995" spans="26:26" x14ac:dyDescent="0.2">
      <c r="Z48995" t="str">
        <f t="shared" si="765"/>
        <v/>
      </c>
    </row>
    <row r="48996" spans="26:26" x14ac:dyDescent="0.2">
      <c r="Z48996" t="str">
        <f t="shared" si="765"/>
        <v/>
      </c>
    </row>
    <row r="48997" spans="26:26" x14ac:dyDescent="0.2">
      <c r="Z48997" t="str">
        <f t="shared" si="765"/>
        <v/>
      </c>
    </row>
    <row r="48998" spans="26:26" x14ac:dyDescent="0.2">
      <c r="Z48998" t="str">
        <f t="shared" si="765"/>
        <v/>
      </c>
    </row>
    <row r="48999" spans="26:26" x14ac:dyDescent="0.2">
      <c r="Z48999" t="str">
        <f t="shared" si="765"/>
        <v/>
      </c>
    </row>
    <row r="49000" spans="26:26" x14ac:dyDescent="0.2">
      <c r="Z49000" t="str">
        <f t="shared" si="765"/>
        <v/>
      </c>
    </row>
    <row r="49001" spans="26:26" x14ac:dyDescent="0.2">
      <c r="Z49001" t="str">
        <f t="shared" si="765"/>
        <v/>
      </c>
    </row>
    <row r="49002" spans="26:26" x14ac:dyDescent="0.2">
      <c r="Z49002" t="str">
        <f t="shared" si="765"/>
        <v/>
      </c>
    </row>
    <row r="49003" spans="26:26" x14ac:dyDescent="0.2">
      <c r="Z49003" t="str">
        <f t="shared" si="765"/>
        <v/>
      </c>
    </row>
    <row r="49004" spans="26:26" x14ac:dyDescent="0.2">
      <c r="Z49004" t="str">
        <f t="shared" si="765"/>
        <v/>
      </c>
    </row>
    <row r="49005" spans="26:26" x14ac:dyDescent="0.2">
      <c r="Z49005" t="str">
        <f t="shared" si="765"/>
        <v/>
      </c>
    </row>
    <row r="49006" spans="26:26" x14ac:dyDescent="0.2">
      <c r="Z49006" t="str">
        <f t="shared" si="765"/>
        <v/>
      </c>
    </row>
    <row r="49007" spans="26:26" x14ac:dyDescent="0.2">
      <c r="Z49007" t="str">
        <f t="shared" si="765"/>
        <v/>
      </c>
    </row>
    <row r="49008" spans="26:26" x14ac:dyDescent="0.2">
      <c r="Z49008" t="str">
        <f t="shared" si="765"/>
        <v/>
      </c>
    </row>
    <row r="49009" spans="26:26" x14ac:dyDescent="0.2">
      <c r="Z49009" t="str">
        <f t="shared" si="765"/>
        <v/>
      </c>
    </row>
    <row r="49010" spans="26:26" x14ac:dyDescent="0.2">
      <c r="Z49010" t="str">
        <f t="shared" si="765"/>
        <v/>
      </c>
    </row>
    <row r="49011" spans="26:26" x14ac:dyDescent="0.2">
      <c r="Z49011" t="str">
        <f t="shared" si="765"/>
        <v/>
      </c>
    </row>
    <row r="49012" spans="26:26" x14ac:dyDescent="0.2">
      <c r="Z49012" t="str">
        <f t="shared" si="765"/>
        <v/>
      </c>
    </row>
    <row r="49013" spans="26:26" x14ac:dyDescent="0.2">
      <c r="Z49013" t="str">
        <f t="shared" si="765"/>
        <v/>
      </c>
    </row>
    <row r="49014" spans="26:26" x14ac:dyDescent="0.2">
      <c r="Z49014" t="str">
        <f t="shared" si="765"/>
        <v/>
      </c>
    </row>
    <row r="49015" spans="26:26" x14ac:dyDescent="0.2">
      <c r="Z49015" t="str">
        <f t="shared" si="765"/>
        <v/>
      </c>
    </row>
    <row r="49016" spans="26:26" x14ac:dyDescent="0.2">
      <c r="Z49016" t="str">
        <f t="shared" si="765"/>
        <v/>
      </c>
    </row>
    <row r="49017" spans="26:26" x14ac:dyDescent="0.2">
      <c r="Z49017" t="str">
        <f t="shared" si="765"/>
        <v/>
      </c>
    </row>
    <row r="49018" spans="26:26" x14ac:dyDescent="0.2">
      <c r="Z49018" t="str">
        <f t="shared" si="765"/>
        <v/>
      </c>
    </row>
    <row r="49019" spans="26:26" x14ac:dyDescent="0.2">
      <c r="Z49019" t="str">
        <f t="shared" si="765"/>
        <v/>
      </c>
    </row>
    <row r="49020" spans="26:26" x14ac:dyDescent="0.2">
      <c r="Z49020" t="str">
        <f t="shared" si="765"/>
        <v/>
      </c>
    </row>
    <row r="49021" spans="26:26" x14ac:dyDescent="0.2">
      <c r="Z49021" t="str">
        <f t="shared" si="765"/>
        <v/>
      </c>
    </row>
    <row r="49022" spans="26:26" x14ac:dyDescent="0.2">
      <c r="Z49022" t="str">
        <f t="shared" si="765"/>
        <v/>
      </c>
    </row>
    <row r="49023" spans="26:26" x14ac:dyDescent="0.2">
      <c r="Z49023" t="str">
        <f t="shared" si="765"/>
        <v/>
      </c>
    </row>
    <row r="49024" spans="26:26" x14ac:dyDescent="0.2">
      <c r="Z49024" t="str">
        <f t="shared" si="765"/>
        <v/>
      </c>
    </row>
    <row r="49025" spans="26:26" x14ac:dyDescent="0.2">
      <c r="Z49025" t="str">
        <f t="shared" si="765"/>
        <v/>
      </c>
    </row>
    <row r="49026" spans="26:26" x14ac:dyDescent="0.2">
      <c r="Z49026" t="str">
        <f t="shared" si="765"/>
        <v/>
      </c>
    </row>
    <row r="49027" spans="26:26" x14ac:dyDescent="0.2">
      <c r="Z49027" t="str">
        <f t="shared" ref="Z49027:Z49090" si="766">IF(K49027="","",IFERROR(VALUE(TRIM(MID(K49027,FIND(CHAR(167),SUBSTITUTE(K49027,"-",CHAR(167),LEN(K49027)-LEN(SUBSTITUTE(K49027,"-",""))))+1,100))),K49027))</f>
        <v/>
      </c>
    </row>
    <row r="49028" spans="26:26" x14ac:dyDescent="0.2">
      <c r="Z49028" t="str">
        <f t="shared" si="766"/>
        <v/>
      </c>
    </row>
    <row r="49029" spans="26:26" x14ac:dyDescent="0.2">
      <c r="Z49029" t="str">
        <f t="shared" si="766"/>
        <v/>
      </c>
    </row>
    <row r="49030" spans="26:26" x14ac:dyDescent="0.2">
      <c r="Z49030" t="str">
        <f t="shared" si="766"/>
        <v/>
      </c>
    </row>
    <row r="49031" spans="26:26" x14ac:dyDescent="0.2">
      <c r="Z49031" t="str">
        <f t="shared" si="766"/>
        <v/>
      </c>
    </row>
    <row r="49032" spans="26:26" x14ac:dyDescent="0.2">
      <c r="Z49032" t="str">
        <f t="shared" si="766"/>
        <v/>
      </c>
    </row>
    <row r="49033" spans="26:26" x14ac:dyDescent="0.2">
      <c r="Z49033" t="str">
        <f t="shared" si="766"/>
        <v/>
      </c>
    </row>
    <row r="49034" spans="26:26" x14ac:dyDescent="0.2">
      <c r="Z49034" t="str">
        <f t="shared" si="766"/>
        <v/>
      </c>
    </row>
    <row r="49035" spans="26:26" x14ac:dyDescent="0.2">
      <c r="Z49035" t="str">
        <f t="shared" si="766"/>
        <v/>
      </c>
    </row>
    <row r="49036" spans="26:26" x14ac:dyDescent="0.2">
      <c r="Z49036" t="str">
        <f t="shared" si="766"/>
        <v/>
      </c>
    </row>
    <row r="49037" spans="26:26" x14ac:dyDescent="0.2">
      <c r="Z49037" t="str">
        <f t="shared" si="766"/>
        <v/>
      </c>
    </row>
    <row r="49038" spans="26:26" x14ac:dyDescent="0.2">
      <c r="Z49038" t="str">
        <f t="shared" si="766"/>
        <v/>
      </c>
    </row>
    <row r="49039" spans="26:26" x14ac:dyDescent="0.2">
      <c r="Z49039" t="str">
        <f t="shared" si="766"/>
        <v/>
      </c>
    </row>
    <row r="49040" spans="26:26" x14ac:dyDescent="0.2">
      <c r="Z49040" t="str">
        <f t="shared" si="766"/>
        <v/>
      </c>
    </row>
    <row r="49041" spans="26:26" x14ac:dyDescent="0.2">
      <c r="Z49041" t="str">
        <f t="shared" si="766"/>
        <v/>
      </c>
    </row>
    <row r="49042" spans="26:26" x14ac:dyDescent="0.2">
      <c r="Z49042" t="str">
        <f t="shared" si="766"/>
        <v/>
      </c>
    </row>
    <row r="49043" spans="26:26" x14ac:dyDescent="0.2">
      <c r="Z49043" t="str">
        <f t="shared" si="766"/>
        <v/>
      </c>
    </row>
    <row r="49044" spans="26:26" x14ac:dyDescent="0.2">
      <c r="Z49044" t="str">
        <f t="shared" si="766"/>
        <v/>
      </c>
    </row>
    <row r="49045" spans="26:26" x14ac:dyDescent="0.2">
      <c r="Z49045" t="str">
        <f t="shared" si="766"/>
        <v/>
      </c>
    </row>
    <row r="49046" spans="26:26" x14ac:dyDescent="0.2">
      <c r="Z49046" t="str">
        <f t="shared" si="766"/>
        <v/>
      </c>
    </row>
    <row r="49047" spans="26:26" x14ac:dyDescent="0.2">
      <c r="Z49047" t="str">
        <f t="shared" si="766"/>
        <v/>
      </c>
    </row>
    <row r="49048" spans="26:26" x14ac:dyDescent="0.2">
      <c r="Z49048" t="str">
        <f t="shared" si="766"/>
        <v/>
      </c>
    </row>
    <row r="49049" spans="26:26" x14ac:dyDescent="0.2">
      <c r="Z49049" t="str">
        <f t="shared" si="766"/>
        <v/>
      </c>
    </row>
    <row r="49050" spans="26:26" x14ac:dyDescent="0.2">
      <c r="Z49050" t="str">
        <f t="shared" si="766"/>
        <v/>
      </c>
    </row>
    <row r="49051" spans="26:26" x14ac:dyDescent="0.2">
      <c r="Z49051" t="str">
        <f t="shared" si="766"/>
        <v/>
      </c>
    </row>
    <row r="49052" spans="26:26" x14ac:dyDescent="0.2">
      <c r="Z49052" t="str">
        <f t="shared" si="766"/>
        <v/>
      </c>
    </row>
    <row r="49053" spans="26:26" x14ac:dyDescent="0.2">
      <c r="Z49053" t="str">
        <f t="shared" si="766"/>
        <v/>
      </c>
    </row>
    <row r="49054" spans="26:26" x14ac:dyDescent="0.2">
      <c r="Z49054" t="str">
        <f t="shared" si="766"/>
        <v/>
      </c>
    </row>
    <row r="49055" spans="26:26" x14ac:dyDescent="0.2">
      <c r="Z49055" t="str">
        <f t="shared" si="766"/>
        <v/>
      </c>
    </row>
    <row r="49056" spans="26:26" x14ac:dyDescent="0.2">
      <c r="Z49056" t="str">
        <f t="shared" si="766"/>
        <v/>
      </c>
    </row>
    <row r="49057" spans="26:26" x14ac:dyDescent="0.2">
      <c r="Z49057" t="str">
        <f t="shared" si="766"/>
        <v/>
      </c>
    </row>
    <row r="49058" spans="26:26" x14ac:dyDescent="0.2">
      <c r="Z49058" t="str">
        <f t="shared" si="766"/>
        <v/>
      </c>
    </row>
    <row r="49059" spans="26:26" x14ac:dyDescent="0.2">
      <c r="Z49059" t="str">
        <f t="shared" si="766"/>
        <v/>
      </c>
    </row>
    <row r="49060" spans="26:26" x14ac:dyDescent="0.2">
      <c r="Z49060" t="str">
        <f t="shared" si="766"/>
        <v/>
      </c>
    </row>
    <row r="49061" spans="26:26" x14ac:dyDescent="0.2">
      <c r="Z49061" t="str">
        <f t="shared" si="766"/>
        <v/>
      </c>
    </row>
    <row r="49062" spans="26:26" x14ac:dyDescent="0.2">
      <c r="Z49062" t="str">
        <f t="shared" si="766"/>
        <v/>
      </c>
    </row>
    <row r="49063" spans="26:26" x14ac:dyDescent="0.2">
      <c r="Z49063" t="str">
        <f t="shared" si="766"/>
        <v/>
      </c>
    </row>
    <row r="49064" spans="26:26" x14ac:dyDescent="0.2">
      <c r="Z49064" t="str">
        <f t="shared" si="766"/>
        <v/>
      </c>
    </row>
    <row r="49065" spans="26:26" x14ac:dyDescent="0.2">
      <c r="Z49065" t="str">
        <f t="shared" si="766"/>
        <v/>
      </c>
    </row>
    <row r="49066" spans="26:26" x14ac:dyDescent="0.2">
      <c r="Z49066" t="str">
        <f t="shared" si="766"/>
        <v/>
      </c>
    </row>
    <row r="49067" spans="26:26" x14ac:dyDescent="0.2">
      <c r="Z49067" t="str">
        <f t="shared" si="766"/>
        <v/>
      </c>
    </row>
    <row r="49068" spans="26:26" x14ac:dyDescent="0.2">
      <c r="Z49068" t="str">
        <f t="shared" si="766"/>
        <v/>
      </c>
    </row>
    <row r="49069" spans="26:26" x14ac:dyDescent="0.2">
      <c r="Z49069" t="str">
        <f t="shared" si="766"/>
        <v/>
      </c>
    </row>
    <row r="49070" spans="26:26" x14ac:dyDescent="0.2">
      <c r="Z49070" t="str">
        <f t="shared" si="766"/>
        <v/>
      </c>
    </row>
    <row r="49071" spans="26:26" x14ac:dyDescent="0.2">
      <c r="Z49071" t="str">
        <f t="shared" si="766"/>
        <v/>
      </c>
    </row>
    <row r="49072" spans="26:26" x14ac:dyDescent="0.2">
      <c r="Z49072" t="str">
        <f t="shared" si="766"/>
        <v/>
      </c>
    </row>
    <row r="49073" spans="26:26" x14ac:dyDescent="0.2">
      <c r="Z49073" t="str">
        <f t="shared" si="766"/>
        <v/>
      </c>
    </row>
    <row r="49074" spans="26:26" x14ac:dyDescent="0.2">
      <c r="Z49074" t="str">
        <f t="shared" si="766"/>
        <v/>
      </c>
    </row>
    <row r="49075" spans="26:26" x14ac:dyDescent="0.2">
      <c r="Z49075" t="str">
        <f t="shared" si="766"/>
        <v/>
      </c>
    </row>
    <row r="49076" spans="26:26" x14ac:dyDescent="0.2">
      <c r="Z49076" t="str">
        <f t="shared" si="766"/>
        <v/>
      </c>
    </row>
    <row r="49077" spans="26:26" x14ac:dyDescent="0.2">
      <c r="Z49077" t="str">
        <f t="shared" si="766"/>
        <v/>
      </c>
    </row>
    <row r="49078" spans="26:26" x14ac:dyDescent="0.2">
      <c r="Z49078" t="str">
        <f t="shared" si="766"/>
        <v/>
      </c>
    </row>
    <row r="49079" spans="26:26" x14ac:dyDescent="0.2">
      <c r="Z49079" t="str">
        <f t="shared" si="766"/>
        <v/>
      </c>
    </row>
    <row r="49080" spans="26:26" x14ac:dyDescent="0.2">
      <c r="Z49080" t="str">
        <f t="shared" si="766"/>
        <v/>
      </c>
    </row>
    <row r="49081" spans="26:26" x14ac:dyDescent="0.2">
      <c r="Z49081" t="str">
        <f t="shared" si="766"/>
        <v/>
      </c>
    </row>
    <row r="49082" spans="26:26" x14ac:dyDescent="0.2">
      <c r="Z49082" t="str">
        <f t="shared" si="766"/>
        <v/>
      </c>
    </row>
    <row r="49083" spans="26:26" x14ac:dyDescent="0.2">
      <c r="Z49083" t="str">
        <f t="shared" si="766"/>
        <v/>
      </c>
    </row>
    <row r="49084" spans="26:26" x14ac:dyDescent="0.2">
      <c r="Z49084" t="str">
        <f t="shared" si="766"/>
        <v/>
      </c>
    </row>
    <row r="49085" spans="26:26" x14ac:dyDescent="0.2">
      <c r="Z49085" t="str">
        <f t="shared" si="766"/>
        <v/>
      </c>
    </row>
    <row r="49086" spans="26:26" x14ac:dyDescent="0.2">
      <c r="Z49086" t="str">
        <f t="shared" si="766"/>
        <v/>
      </c>
    </row>
    <row r="49087" spans="26:26" x14ac:dyDescent="0.2">
      <c r="Z49087" t="str">
        <f t="shared" si="766"/>
        <v/>
      </c>
    </row>
    <row r="49088" spans="26:26" x14ac:dyDescent="0.2">
      <c r="Z49088" t="str">
        <f t="shared" si="766"/>
        <v/>
      </c>
    </row>
    <row r="49089" spans="26:26" x14ac:dyDescent="0.2">
      <c r="Z49089" t="str">
        <f t="shared" si="766"/>
        <v/>
      </c>
    </row>
    <row r="49090" spans="26:26" x14ac:dyDescent="0.2">
      <c r="Z49090" t="str">
        <f t="shared" si="766"/>
        <v/>
      </c>
    </row>
    <row r="49091" spans="26:26" x14ac:dyDescent="0.2">
      <c r="Z49091" t="str">
        <f t="shared" ref="Z49091:Z49154" si="767">IF(K49091="","",IFERROR(VALUE(TRIM(MID(K49091,FIND(CHAR(167),SUBSTITUTE(K49091,"-",CHAR(167),LEN(K49091)-LEN(SUBSTITUTE(K49091,"-",""))))+1,100))),K49091))</f>
        <v/>
      </c>
    </row>
    <row r="49092" spans="26:26" x14ac:dyDescent="0.2">
      <c r="Z49092" t="str">
        <f t="shared" si="767"/>
        <v/>
      </c>
    </row>
    <row r="49093" spans="26:26" x14ac:dyDescent="0.2">
      <c r="Z49093" t="str">
        <f t="shared" si="767"/>
        <v/>
      </c>
    </row>
    <row r="49094" spans="26:26" x14ac:dyDescent="0.2">
      <c r="Z49094" t="str">
        <f t="shared" si="767"/>
        <v/>
      </c>
    </row>
    <row r="49095" spans="26:26" x14ac:dyDescent="0.2">
      <c r="Z49095" t="str">
        <f t="shared" si="767"/>
        <v/>
      </c>
    </row>
    <row r="49096" spans="26:26" x14ac:dyDescent="0.2">
      <c r="Z49096" t="str">
        <f t="shared" si="767"/>
        <v/>
      </c>
    </row>
    <row r="49097" spans="26:26" x14ac:dyDescent="0.2">
      <c r="Z49097" t="str">
        <f t="shared" si="767"/>
        <v/>
      </c>
    </row>
    <row r="49098" spans="26:26" x14ac:dyDescent="0.2">
      <c r="Z49098" t="str">
        <f t="shared" si="767"/>
        <v/>
      </c>
    </row>
    <row r="49099" spans="26:26" x14ac:dyDescent="0.2">
      <c r="Z49099" t="str">
        <f t="shared" si="767"/>
        <v/>
      </c>
    </row>
    <row r="49100" spans="26:26" x14ac:dyDescent="0.2">
      <c r="Z49100" t="str">
        <f t="shared" si="767"/>
        <v/>
      </c>
    </row>
    <row r="49101" spans="26:26" x14ac:dyDescent="0.2">
      <c r="Z49101" t="str">
        <f t="shared" si="767"/>
        <v/>
      </c>
    </row>
    <row r="49102" spans="26:26" x14ac:dyDescent="0.2">
      <c r="Z49102" t="str">
        <f t="shared" si="767"/>
        <v/>
      </c>
    </row>
    <row r="49103" spans="26:26" x14ac:dyDescent="0.2">
      <c r="Z49103" t="str">
        <f t="shared" si="767"/>
        <v/>
      </c>
    </row>
    <row r="49104" spans="26:26" x14ac:dyDescent="0.2">
      <c r="Z49104" t="str">
        <f t="shared" si="767"/>
        <v/>
      </c>
    </row>
    <row r="49105" spans="26:26" x14ac:dyDescent="0.2">
      <c r="Z49105" t="str">
        <f t="shared" si="767"/>
        <v/>
      </c>
    </row>
    <row r="49106" spans="26:26" x14ac:dyDescent="0.2">
      <c r="Z49106" t="str">
        <f t="shared" si="767"/>
        <v/>
      </c>
    </row>
    <row r="49107" spans="26:26" x14ac:dyDescent="0.2">
      <c r="Z49107" t="str">
        <f t="shared" si="767"/>
        <v/>
      </c>
    </row>
    <row r="49108" spans="26:26" x14ac:dyDescent="0.2">
      <c r="Z49108" t="str">
        <f t="shared" si="767"/>
        <v/>
      </c>
    </row>
    <row r="49109" spans="26:26" x14ac:dyDescent="0.2">
      <c r="Z49109" t="str">
        <f t="shared" si="767"/>
        <v/>
      </c>
    </row>
    <row r="49110" spans="26:26" x14ac:dyDescent="0.2">
      <c r="Z49110" t="str">
        <f t="shared" si="767"/>
        <v/>
      </c>
    </row>
    <row r="49111" spans="26:26" x14ac:dyDescent="0.2">
      <c r="Z49111" t="str">
        <f t="shared" si="767"/>
        <v/>
      </c>
    </row>
    <row r="49112" spans="26:26" x14ac:dyDescent="0.2">
      <c r="Z49112" t="str">
        <f t="shared" si="767"/>
        <v/>
      </c>
    </row>
    <row r="49113" spans="26:26" x14ac:dyDescent="0.2">
      <c r="Z49113" t="str">
        <f t="shared" si="767"/>
        <v/>
      </c>
    </row>
    <row r="49114" spans="26:26" x14ac:dyDescent="0.2">
      <c r="Z49114" t="str">
        <f t="shared" si="767"/>
        <v/>
      </c>
    </row>
    <row r="49115" spans="26:26" x14ac:dyDescent="0.2">
      <c r="Z49115" t="str">
        <f t="shared" si="767"/>
        <v/>
      </c>
    </row>
    <row r="49116" spans="26:26" x14ac:dyDescent="0.2">
      <c r="Z49116" t="str">
        <f t="shared" si="767"/>
        <v/>
      </c>
    </row>
    <row r="49117" spans="26:26" x14ac:dyDescent="0.2">
      <c r="Z49117" t="str">
        <f t="shared" si="767"/>
        <v/>
      </c>
    </row>
    <row r="49118" spans="26:26" x14ac:dyDescent="0.2">
      <c r="Z49118" t="str">
        <f t="shared" si="767"/>
        <v/>
      </c>
    </row>
    <row r="49119" spans="26:26" x14ac:dyDescent="0.2">
      <c r="Z49119" t="str">
        <f t="shared" si="767"/>
        <v/>
      </c>
    </row>
    <row r="49120" spans="26:26" x14ac:dyDescent="0.2">
      <c r="Z49120" t="str">
        <f t="shared" si="767"/>
        <v/>
      </c>
    </row>
    <row r="49121" spans="26:26" x14ac:dyDescent="0.2">
      <c r="Z49121" t="str">
        <f t="shared" si="767"/>
        <v/>
      </c>
    </row>
    <row r="49122" spans="26:26" x14ac:dyDescent="0.2">
      <c r="Z49122" t="str">
        <f t="shared" si="767"/>
        <v/>
      </c>
    </row>
    <row r="49123" spans="26:26" x14ac:dyDescent="0.2">
      <c r="Z49123" t="str">
        <f t="shared" si="767"/>
        <v/>
      </c>
    </row>
    <row r="49124" spans="26:26" x14ac:dyDescent="0.2">
      <c r="Z49124" t="str">
        <f t="shared" si="767"/>
        <v/>
      </c>
    </row>
    <row r="49125" spans="26:26" x14ac:dyDescent="0.2">
      <c r="Z49125" t="str">
        <f t="shared" si="767"/>
        <v/>
      </c>
    </row>
    <row r="49126" spans="26:26" x14ac:dyDescent="0.2">
      <c r="Z49126" t="str">
        <f t="shared" si="767"/>
        <v/>
      </c>
    </row>
    <row r="49127" spans="26:26" x14ac:dyDescent="0.2">
      <c r="Z49127" t="str">
        <f t="shared" si="767"/>
        <v/>
      </c>
    </row>
    <row r="49128" spans="26:26" x14ac:dyDescent="0.2">
      <c r="Z49128" t="str">
        <f t="shared" si="767"/>
        <v/>
      </c>
    </row>
    <row r="49129" spans="26:26" x14ac:dyDescent="0.2">
      <c r="Z49129" t="str">
        <f t="shared" si="767"/>
        <v/>
      </c>
    </row>
    <row r="49130" spans="26:26" x14ac:dyDescent="0.2">
      <c r="Z49130" t="str">
        <f t="shared" si="767"/>
        <v/>
      </c>
    </row>
    <row r="49131" spans="26:26" x14ac:dyDescent="0.2">
      <c r="Z49131" t="str">
        <f t="shared" si="767"/>
        <v/>
      </c>
    </row>
    <row r="49132" spans="26:26" x14ac:dyDescent="0.2">
      <c r="Z49132" t="str">
        <f t="shared" si="767"/>
        <v/>
      </c>
    </row>
    <row r="49133" spans="26:26" x14ac:dyDescent="0.2">
      <c r="Z49133" t="str">
        <f t="shared" si="767"/>
        <v/>
      </c>
    </row>
    <row r="49134" spans="26:26" x14ac:dyDescent="0.2">
      <c r="Z49134" t="str">
        <f t="shared" si="767"/>
        <v/>
      </c>
    </row>
    <row r="49135" spans="26:26" x14ac:dyDescent="0.2">
      <c r="Z49135" t="str">
        <f t="shared" si="767"/>
        <v/>
      </c>
    </row>
    <row r="49136" spans="26:26" x14ac:dyDescent="0.2">
      <c r="Z49136" t="str">
        <f t="shared" si="767"/>
        <v/>
      </c>
    </row>
    <row r="49137" spans="26:26" x14ac:dyDescent="0.2">
      <c r="Z49137" t="str">
        <f t="shared" si="767"/>
        <v/>
      </c>
    </row>
    <row r="49138" spans="26:26" x14ac:dyDescent="0.2">
      <c r="Z49138" t="str">
        <f t="shared" si="767"/>
        <v/>
      </c>
    </row>
    <row r="49139" spans="26:26" x14ac:dyDescent="0.2">
      <c r="Z49139" t="str">
        <f t="shared" si="767"/>
        <v/>
      </c>
    </row>
    <row r="49140" spans="26:26" x14ac:dyDescent="0.2">
      <c r="Z49140" t="str">
        <f t="shared" si="767"/>
        <v/>
      </c>
    </row>
    <row r="49141" spans="26:26" x14ac:dyDescent="0.2">
      <c r="Z49141" t="str">
        <f t="shared" si="767"/>
        <v/>
      </c>
    </row>
    <row r="49142" spans="26:26" x14ac:dyDescent="0.2">
      <c r="Z49142" t="str">
        <f t="shared" si="767"/>
        <v/>
      </c>
    </row>
    <row r="49143" spans="26:26" x14ac:dyDescent="0.2">
      <c r="Z49143" t="str">
        <f t="shared" si="767"/>
        <v/>
      </c>
    </row>
    <row r="49144" spans="26:26" x14ac:dyDescent="0.2">
      <c r="Z49144" t="str">
        <f t="shared" si="767"/>
        <v/>
      </c>
    </row>
    <row r="49145" spans="26:26" x14ac:dyDescent="0.2">
      <c r="Z49145" t="str">
        <f t="shared" si="767"/>
        <v/>
      </c>
    </row>
    <row r="49146" spans="26:26" x14ac:dyDescent="0.2">
      <c r="Z49146" t="str">
        <f t="shared" si="767"/>
        <v/>
      </c>
    </row>
    <row r="49147" spans="26:26" x14ac:dyDescent="0.2">
      <c r="Z49147" t="str">
        <f t="shared" si="767"/>
        <v/>
      </c>
    </row>
    <row r="49148" spans="26:26" x14ac:dyDescent="0.2">
      <c r="Z49148" t="str">
        <f t="shared" si="767"/>
        <v/>
      </c>
    </row>
    <row r="49149" spans="26:26" x14ac:dyDescent="0.2">
      <c r="Z49149" t="str">
        <f t="shared" si="767"/>
        <v/>
      </c>
    </row>
    <row r="49150" spans="26:26" x14ac:dyDescent="0.2">
      <c r="Z49150" t="str">
        <f t="shared" si="767"/>
        <v/>
      </c>
    </row>
    <row r="49151" spans="26:26" x14ac:dyDescent="0.2">
      <c r="Z49151" t="str">
        <f t="shared" si="767"/>
        <v/>
      </c>
    </row>
    <row r="49152" spans="26:26" x14ac:dyDescent="0.2">
      <c r="Z49152" t="str">
        <f t="shared" si="767"/>
        <v/>
      </c>
    </row>
    <row r="49153" spans="26:26" x14ac:dyDescent="0.2">
      <c r="Z49153" t="str">
        <f t="shared" si="767"/>
        <v/>
      </c>
    </row>
    <row r="49154" spans="26:26" x14ac:dyDescent="0.2">
      <c r="Z49154" t="str">
        <f t="shared" si="767"/>
        <v/>
      </c>
    </row>
    <row r="49155" spans="26:26" x14ac:dyDescent="0.2">
      <c r="Z49155" t="str">
        <f t="shared" ref="Z49155:Z49218" si="768">IF(K49155="","",IFERROR(VALUE(TRIM(MID(K49155,FIND(CHAR(167),SUBSTITUTE(K49155,"-",CHAR(167),LEN(K49155)-LEN(SUBSTITUTE(K49155,"-",""))))+1,100))),K49155))</f>
        <v/>
      </c>
    </row>
    <row r="49156" spans="26:26" x14ac:dyDescent="0.2">
      <c r="Z49156" t="str">
        <f t="shared" si="768"/>
        <v/>
      </c>
    </row>
    <row r="49157" spans="26:26" x14ac:dyDescent="0.2">
      <c r="Z49157" t="str">
        <f t="shared" si="768"/>
        <v/>
      </c>
    </row>
    <row r="49158" spans="26:26" x14ac:dyDescent="0.2">
      <c r="Z49158" t="str">
        <f t="shared" si="768"/>
        <v/>
      </c>
    </row>
    <row r="49159" spans="26:26" x14ac:dyDescent="0.2">
      <c r="Z49159" t="str">
        <f t="shared" si="768"/>
        <v/>
      </c>
    </row>
    <row r="49160" spans="26:26" x14ac:dyDescent="0.2">
      <c r="Z49160" t="str">
        <f t="shared" si="768"/>
        <v/>
      </c>
    </row>
    <row r="49161" spans="26:26" x14ac:dyDescent="0.2">
      <c r="Z49161" t="str">
        <f t="shared" si="768"/>
        <v/>
      </c>
    </row>
    <row r="49162" spans="26:26" x14ac:dyDescent="0.2">
      <c r="Z49162" t="str">
        <f t="shared" si="768"/>
        <v/>
      </c>
    </row>
    <row r="49163" spans="26:26" x14ac:dyDescent="0.2">
      <c r="Z49163" t="str">
        <f t="shared" si="768"/>
        <v/>
      </c>
    </row>
    <row r="49164" spans="26:26" x14ac:dyDescent="0.2">
      <c r="Z49164" t="str">
        <f t="shared" si="768"/>
        <v/>
      </c>
    </row>
    <row r="49165" spans="26:26" x14ac:dyDescent="0.2">
      <c r="Z49165" t="str">
        <f t="shared" si="768"/>
        <v/>
      </c>
    </row>
    <row r="49166" spans="26:26" x14ac:dyDescent="0.2">
      <c r="Z49166" t="str">
        <f t="shared" si="768"/>
        <v/>
      </c>
    </row>
    <row r="49167" spans="26:26" x14ac:dyDescent="0.2">
      <c r="Z49167" t="str">
        <f t="shared" si="768"/>
        <v/>
      </c>
    </row>
    <row r="49168" spans="26:26" x14ac:dyDescent="0.2">
      <c r="Z49168" t="str">
        <f t="shared" si="768"/>
        <v/>
      </c>
    </row>
    <row r="49169" spans="26:26" x14ac:dyDescent="0.2">
      <c r="Z49169" t="str">
        <f t="shared" si="768"/>
        <v/>
      </c>
    </row>
    <row r="49170" spans="26:26" x14ac:dyDescent="0.2">
      <c r="Z49170" t="str">
        <f t="shared" si="768"/>
        <v/>
      </c>
    </row>
    <row r="49171" spans="26:26" x14ac:dyDescent="0.2">
      <c r="Z49171" t="str">
        <f t="shared" si="768"/>
        <v/>
      </c>
    </row>
    <row r="49172" spans="26:26" x14ac:dyDescent="0.2">
      <c r="Z49172" t="str">
        <f t="shared" si="768"/>
        <v/>
      </c>
    </row>
    <row r="49173" spans="26:26" x14ac:dyDescent="0.2">
      <c r="Z49173" t="str">
        <f t="shared" si="768"/>
        <v/>
      </c>
    </row>
    <row r="49174" spans="26:26" x14ac:dyDescent="0.2">
      <c r="Z49174" t="str">
        <f t="shared" si="768"/>
        <v/>
      </c>
    </row>
    <row r="49175" spans="26:26" x14ac:dyDescent="0.2">
      <c r="Z49175" t="str">
        <f t="shared" si="768"/>
        <v/>
      </c>
    </row>
    <row r="49176" spans="26:26" x14ac:dyDescent="0.2">
      <c r="Z49176" t="str">
        <f t="shared" si="768"/>
        <v/>
      </c>
    </row>
    <row r="49177" spans="26:26" x14ac:dyDescent="0.2">
      <c r="Z49177" t="str">
        <f t="shared" si="768"/>
        <v/>
      </c>
    </row>
    <row r="49178" spans="26:26" x14ac:dyDescent="0.2">
      <c r="Z49178" t="str">
        <f t="shared" si="768"/>
        <v/>
      </c>
    </row>
    <row r="49179" spans="26:26" x14ac:dyDescent="0.2">
      <c r="Z49179" t="str">
        <f t="shared" si="768"/>
        <v/>
      </c>
    </row>
    <row r="49180" spans="26:26" x14ac:dyDescent="0.2">
      <c r="Z49180" t="str">
        <f t="shared" si="768"/>
        <v/>
      </c>
    </row>
    <row r="49181" spans="26:26" x14ac:dyDescent="0.2">
      <c r="Z49181" t="str">
        <f t="shared" si="768"/>
        <v/>
      </c>
    </row>
    <row r="49182" spans="26:26" x14ac:dyDescent="0.2">
      <c r="Z49182" t="str">
        <f t="shared" si="768"/>
        <v/>
      </c>
    </row>
    <row r="49183" spans="26:26" x14ac:dyDescent="0.2">
      <c r="Z49183" t="str">
        <f t="shared" si="768"/>
        <v/>
      </c>
    </row>
    <row r="49184" spans="26:26" x14ac:dyDescent="0.2">
      <c r="Z49184" t="str">
        <f t="shared" si="768"/>
        <v/>
      </c>
    </row>
    <row r="49185" spans="26:26" x14ac:dyDescent="0.2">
      <c r="Z49185" t="str">
        <f t="shared" si="768"/>
        <v/>
      </c>
    </row>
    <row r="49186" spans="26:26" x14ac:dyDescent="0.2">
      <c r="Z49186" t="str">
        <f t="shared" si="768"/>
        <v/>
      </c>
    </row>
    <row r="49187" spans="26:26" x14ac:dyDescent="0.2">
      <c r="Z49187" t="str">
        <f t="shared" si="768"/>
        <v/>
      </c>
    </row>
    <row r="49188" spans="26:26" x14ac:dyDescent="0.2">
      <c r="Z49188" t="str">
        <f t="shared" si="768"/>
        <v/>
      </c>
    </row>
    <row r="49189" spans="26:26" x14ac:dyDescent="0.2">
      <c r="Z49189" t="str">
        <f t="shared" si="768"/>
        <v/>
      </c>
    </row>
    <row r="49190" spans="26:26" x14ac:dyDescent="0.2">
      <c r="Z49190" t="str">
        <f t="shared" si="768"/>
        <v/>
      </c>
    </row>
    <row r="49191" spans="26:26" x14ac:dyDescent="0.2">
      <c r="Z49191" t="str">
        <f t="shared" si="768"/>
        <v/>
      </c>
    </row>
    <row r="49192" spans="26:26" x14ac:dyDescent="0.2">
      <c r="Z49192" t="str">
        <f t="shared" si="768"/>
        <v/>
      </c>
    </row>
    <row r="49193" spans="26:26" x14ac:dyDescent="0.2">
      <c r="Z49193" t="str">
        <f t="shared" si="768"/>
        <v/>
      </c>
    </row>
    <row r="49194" spans="26:26" x14ac:dyDescent="0.2">
      <c r="Z49194" t="str">
        <f t="shared" si="768"/>
        <v/>
      </c>
    </row>
    <row r="49195" spans="26:26" x14ac:dyDescent="0.2">
      <c r="Z49195" t="str">
        <f t="shared" si="768"/>
        <v/>
      </c>
    </row>
    <row r="49196" spans="26:26" x14ac:dyDescent="0.2">
      <c r="Z49196" t="str">
        <f t="shared" si="768"/>
        <v/>
      </c>
    </row>
    <row r="49197" spans="26:26" x14ac:dyDescent="0.2">
      <c r="Z49197" t="str">
        <f t="shared" si="768"/>
        <v/>
      </c>
    </row>
    <row r="49198" spans="26:26" x14ac:dyDescent="0.2">
      <c r="Z49198" t="str">
        <f t="shared" si="768"/>
        <v/>
      </c>
    </row>
    <row r="49199" spans="26:26" x14ac:dyDescent="0.2">
      <c r="Z49199" t="str">
        <f t="shared" si="768"/>
        <v/>
      </c>
    </row>
    <row r="49200" spans="26:26" x14ac:dyDescent="0.2">
      <c r="Z49200" t="str">
        <f t="shared" si="768"/>
        <v/>
      </c>
    </row>
    <row r="49201" spans="26:26" x14ac:dyDescent="0.2">
      <c r="Z49201" t="str">
        <f t="shared" si="768"/>
        <v/>
      </c>
    </row>
    <row r="49202" spans="26:26" x14ac:dyDescent="0.2">
      <c r="Z49202" t="str">
        <f t="shared" si="768"/>
        <v/>
      </c>
    </row>
    <row r="49203" spans="26:26" x14ac:dyDescent="0.2">
      <c r="Z49203" t="str">
        <f t="shared" si="768"/>
        <v/>
      </c>
    </row>
    <row r="49204" spans="26:26" x14ac:dyDescent="0.2">
      <c r="Z49204" t="str">
        <f t="shared" si="768"/>
        <v/>
      </c>
    </row>
    <row r="49205" spans="26:26" x14ac:dyDescent="0.2">
      <c r="Z49205" t="str">
        <f t="shared" si="768"/>
        <v/>
      </c>
    </row>
    <row r="49206" spans="26:26" x14ac:dyDescent="0.2">
      <c r="Z49206" t="str">
        <f t="shared" si="768"/>
        <v/>
      </c>
    </row>
    <row r="49207" spans="26:26" x14ac:dyDescent="0.2">
      <c r="Z49207" t="str">
        <f t="shared" si="768"/>
        <v/>
      </c>
    </row>
    <row r="49208" spans="26:26" x14ac:dyDescent="0.2">
      <c r="Z49208" t="str">
        <f t="shared" si="768"/>
        <v/>
      </c>
    </row>
    <row r="49209" spans="26:26" x14ac:dyDescent="0.2">
      <c r="Z49209" t="str">
        <f t="shared" si="768"/>
        <v/>
      </c>
    </row>
    <row r="49210" spans="26:26" x14ac:dyDescent="0.2">
      <c r="Z49210" t="str">
        <f t="shared" si="768"/>
        <v/>
      </c>
    </row>
    <row r="49211" spans="26:26" x14ac:dyDescent="0.2">
      <c r="Z49211" t="str">
        <f t="shared" si="768"/>
        <v/>
      </c>
    </row>
    <row r="49212" spans="26:26" x14ac:dyDescent="0.2">
      <c r="Z49212" t="str">
        <f t="shared" si="768"/>
        <v/>
      </c>
    </row>
    <row r="49213" spans="26:26" x14ac:dyDescent="0.2">
      <c r="Z49213" t="str">
        <f t="shared" si="768"/>
        <v/>
      </c>
    </row>
    <row r="49214" spans="26:26" x14ac:dyDescent="0.2">
      <c r="Z49214" t="str">
        <f t="shared" si="768"/>
        <v/>
      </c>
    </row>
    <row r="49215" spans="26:26" x14ac:dyDescent="0.2">
      <c r="Z49215" t="str">
        <f t="shared" si="768"/>
        <v/>
      </c>
    </row>
    <row r="49216" spans="26:26" x14ac:dyDescent="0.2">
      <c r="Z49216" t="str">
        <f t="shared" si="768"/>
        <v/>
      </c>
    </row>
    <row r="49217" spans="26:26" x14ac:dyDescent="0.2">
      <c r="Z49217" t="str">
        <f t="shared" si="768"/>
        <v/>
      </c>
    </row>
    <row r="49218" spans="26:26" x14ac:dyDescent="0.2">
      <c r="Z49218" t="str">
        <f t="shared" si="768"/>
        <v/>
      </c>
    </row>
    <row r="49219" spans="26:26" x14ac:dyDescent="0.2">
      <c r="Z49219" t="str">
        <f t="shared" ref="Z49219:Z49282" si="769">IF(K49219="","",IFERROR(VALUE(TRIM(MID(K49219,FIND(CHAR(167),SUBSTITUTE(K49219,"-",CHAR(167),LEN(K49219)-LEN(SUBSTITUTE(K49219,"-",""))))+1,100))),K49219))</f>
        <v/>
      </c>
    </row>
    <row r="49220" spans="26:26" x14ac:dyDescent="0.2">
      <c r="Z49220" t="str">
        <f t="shared" si="769"/>
        <v/>
      </c>
    </row>
    <row r="49221" spans="26:26" x14ac:dyDescent="0.2">
      <c r="Z49221" t="str">
        <f t="shared" si="769"/>
        <v/>
      </c>
    </row>
    <row r="49222" spans="26:26" x14ac:dyDescent="0.2">
      <c r="Z49222" t="str">
        <f t="shared" si="769"/>
        <v/>
      </c>
    </row>
    <row r="49223" spans="26:26" x14ac:dyDescent="0.2">
      <c r="Z49223" t="str">
        <f t="shared" si="769"/>
        <v/>
      </c>
    </row>
    <row r="49224" spans="26:26" x14ac:dyDescent="0.2">
      <c r="Z49224" t="str">
        <f t="shared" si="769"/>
        <v/>
      </c>
    </row>
    <row r="49225" spans="26:26" x14ac:dyDescent="0.2">
      <c r="Z49225" t="str">
        <f t="shared" si="769"/>
        <v/>
      </c>
    </row>
    <row r="49226" spans="26:26" x14ac:dyDescent="0.2">
      <c r="Z49226" t="str">
        <f t="shared" si="769"/>
        <v/>
      </c>
    </row>
    <row r="49227" spans="26:26" x14ac:dyDescent="0.2">
      <c r="Z49227" t="str">
        <f t="shared" si="769"/>
        <v/>
      </c>
    </row>
    <row r="49228" spans="26:26" x14ac:dyDescent="0.2">
      <c r="Z49228" t="str">
        <f t="shared" si="769"/>
        <v/>
      </c>
    </row>
    <row r="49229" spans="26:26" x14ac:dyDescent="0.2">
      <c r="Z49229" t="str">
        <f t="shared" si="769"/>
        <v/>
      </c>
    </row>
    <row r="49230" spans="26:26" x14ac:dyDescent="0.2">
      <c r="Z49230" t="str">
        <f t="shared" si="769"/>
        <v/>
      </c>
    </row>
    <row r="49231" spans="26:26" x14ac:dyDescent="0.2">
      <c r="Z49231" t="str">
        <f t="shared" si="769"/>
        <v/>
      </c>
    </row>
    <row r="49232" spans="26:26" x14ac:dyDescent="0.2">
      <c r="Z49232" t="str">
        <f t="shared" si="769"/>
        <v/>
      </c>
    </row>
    <row r="49233" spans="26:26" x14ac:dyDescent="0.2">
      <c r="Z49233" t="str">
        <f t="shared" si="769"/>
        <v/>
      </c>
    </row>
    <row r="49234" spans="26:26" x14ac:dyDescent="0.2">
      <c r="Z49234" t="str">
        <f t="shared" si="769"/>
        <v/>
      </c>
    </row>
    <row r="49235" spans="26:26" x14ac:dyDescent="0.2">
      <c r="Z49235" t="str">
        <f t="shared" si="769"/>
        <v/>
      </c>
    </row>
    <row r="49236" spans="26:26" x14ac:dyDescent="0.2">
      <c r="Z49236" t="str">
        <f t="shared" si="769"/>
        <v/>
      </c>
    </row>
    <row r="49237" spans="26:26" x14ac:dyDescent="0.2">
      <c r="Z49237" t="str">
        <f t="shared" si="769"/>
        <v/>
      </c>
    </row>
    <row r="49238" spans="26:26" x14ac:dyDescent="0.2">
      <c r="Z49238" t="str">
        <f t="shared" si="769"/>
        <v/>
      </c>
    </row>
    <row r="49239" spans="26:26" x14ac:dyDescent="0.2">
      <c r="Z49239" t="str">
        <f t="shared" si="769"/>
        <v/>
      </c>
    </row>
    <row r="49240" spans="26:26" x14ac:dyDescent="0.2">
      <c r="Z49240" t="str">
        <f t="shared" si="769"/>
        <v/>
      </c>
    </row>
    <row r="49241" spans="26:26" x14ac:dyDescent="0.2">
      <c r="Z49241" t="str">
        <f t="shared" si="769"/>
        <v/>
      </c>
    </row>
    <row r="49242" spans="26:26" x14ac:dyDescent="0.2">
      <c r="Z49242" t="str">
        <f t="shared" si="769"/>
        <v/>
      </c>
    </row>
    <row r="49243" spans="26:26" x14ac:dyDescent="0.2">
      <c r="Z49243" t="str">
        <f t="shared" si="769"/>
        <v/>
      </c>
    </row>
    <row r="49244" spans="26:26" x14ac:dyDescent="0.2">
      <c r="Z49244" t="str">
        <f t="shared" si="769"/>
        <v/>
      </c>
    </row>
    <row r="49245" spans="26:26" x14ac:dyDescent="0.2">
      <c r="Z49245" t="str">
        <f t="shared" si="769"/>
        <v/>
      </c>
    </row>
    <row r="49246" spans="26:26" x14ac:dyDescent="0.2">
      <c r="Z49246" t="str">
        <f t="shared" si="769"/>
        <v/>
      </c>
    </row>
    <row r="49247" spans="26:26" x14ac:dyDescent="0.2">
      <c r="Z49247" t="str">
        <f t="shared" si="769"/>
        <v/>
      </c>
    </row>
    <row r="49248" spans="26:26" x14ac:dyDescent="0.2">
      <c r="Z49248" t="str">
        <f t="shared" si="769"/>
        <v/>
      </c>
    </row>
    <row r="49249" spans="26:26" x14ac:dyDescent="0.2">
      <c r="Z49249" t="str">
        <f t="shared" si="769"/>
        <v/>
      </c>
    </row>
    <row r="49250" spans="26:26" x14ac:dyDescent="0.2">
      <c r="Z49250" t="str">
        <f t="shared" si="769"/>
        <v/>
      </c>
    </row>
    <row r="49251" spans="26:26" x14ac:dyDescent="0.2">
      <c r="Z49251" t="str">
        <f t="shared" si="769"/>
        <v/>
      </c>
    </row>
    <row r="49252" spans="26:26" x14ac:dyDescent="0.2">
      <c r="Z49252" t="str">
        <f t="shared" si="769"/>
        <v/>
      </c>
    </row>
    <row r="49253" spans="26:26" x14ac:dyDescent="0.2">
      <c r="Z49253" t="str">
        <f t="shared" si="769"/>
        <v/>
      </c>
    </row>
    <row r="49254" spans="26:26" x14ac:dyDescent="0.2">
      <c r="Z49254" t="str">
        <f t="shared" si="769"/>
        <v/>
      </c>
    </row>
    <row r="49255" spans="26:26" x14ac:dyDescent="0.2">
      <c r="Z49255" t="str">
        <f t="shared" si="769"/>
        <v/>
      </c>
    </row>
    <row r="49256" spans="26:26" x14ac:dyDescent="0.2">
      <c r="Z49256" t="str">
        <f t="shared" si="769"/>
        <v/>
      </c>
    </row>
    <row r="49257" spans="26:26" x14ac:dyDescent="0.2">
      <c r="Z49257" t="str">
        <f t="shared" si="769"/>
        <v/>
      </c>
    </row>
    <row r="49258" spans="26:26" x14ac:dyDescent="0.2">
      <c r="Z49258" t="str">
        <f t="shared" si="769"/>
        <v/>
      </c>
    </row>
    <row r="49259" spans="26:26" x14ac:dyDescent="0.2">
      <c r="Z49259" t="str">
        <f t="shared" si="769"/>
        <v/>
      </c>
    </row>
    <row r="49260" spans="26:26" x14ac:dyDescent="0.2">
      <c r="Z49260" t="str">
        <f t="shared" si="769"/>
        <v/>
      </c>
    </row>
    <row r="49261" spans="26:26" x14ac:dyDescent="0.2">
      <c r="Z49261" t="str">
        <f t="shared" si="769"/>
        <v/>
      </c>
    </row>
    <row r="49262" spans="26:26" x14ac:dyDescent="0.2">
      <c r="Z49262" t="str">
        <f t="shared" si="769"/>
        <v/>
      </c>
    </row>
    <row r="49263" spans="26:26" x14ac:dyDescent="0.2">
      <c r="Z49263" t="str">
        <f t="shared" si="769"/>
        <v/>
      </c>
    </row>
    <row r="49264" spans="26:26" x14ac:dyDescent="0.2">
      <c r="Z49264" t="str">
        <f t="shared" si="769"/>
        <v/>
      </c>
    </row>
    <row r="49265" spans="26:26" x14ac:dyDescent="0.2">
      <c r="Z49265" t="str">
        <f t="shared" si="769"/>
        <v/>
      </c>
    </row>
    <row r="49266" spans="26:26" x14ac:dyDescent="0.2">
      <c r="Z49266" t="str">
        <f t="shared" si="769"/>
        <v/>
      </c>
    </row>
    <row r="49267" spans="26:26" x14ac:dyDescent="0.2">
      <c r="Z49267" t="str">
        <f t="shared" si="769"/>
        <v/>
      </c>
    </row>
    <row r="49268" spans="26:26" x14ac:dyDescent="0.2">
      <c r="Z49268" t="str">
        <f t="shared" si="769"/>
        <v/>
      </c>
    </row>
    <row r="49269" spans="26:26" x14ac:dyDescent="0.2">
      <c r="Z49269" t="str">
        <f t="shared" si="769"/>
        <v/>
      </c>
    </row>
    <row r="49270" spans="26:26" x14ac:dyDescent="0.2">
      <c r="Z49270" t="str">
        <f t="shared" si="769"/>
        <v/>
      </c>
    </row>
    <row r="49271" spans="26:26" x14ac:dyDescent="0.2">
      <c r="Z49271" t="str">
        <f t="shared" si="769"/>
        <v/>
      </c>
    </row>
    <row r="49272" spans="26:26" x14ac:dyDescent="0.2">
      <c r="Z49272" t="str">
        <f t="shared" si="769"/>
        <v/>
      </c>
    </row>
    <row r="49273" spans="26:26" x14ac:dyDescent="0.2">
      <c r="Z49273" t="str">
        <f t="shared" si="769"/>
        <v/>
      </c>
    </row>
    <row r="49274" spans="26:26" x14ac:dyDescent="0.2">
      <c r="Z49274" t="str">
        <f t="shared" si="769"/>
        <v/>
      </c>
    </row>
    <row r="49275" spans="26:26" x14ac:dyDescent="0.2">
      <c r="Z49275" t="str">
        <f t="shared" si="769"/>
        <v/>
      </c>
    </row>
    <row r="49276" spans="26:26" x14ac:dyDescent="0.2">
      <c r="Z49276" t="str">
        <f t="shared" si="769"/>
        <v/>
      </c>
    </row>
    <row r="49277" spans="26:26" x14ac:dyDescent="0.2">
      <c r="Z49277" t="str">
        <f t="shared" si="769"/>
        <v/>
      </c>
    </row>
    <row r="49278" spans="26:26" x14ac:dyDescent="0.2">
      <c r="Z49278" t="str">
        <f t="shared" si="769"/>
        <v/>
      </c>
    </row>
    <row r="49279" spans="26:26" x14ac:dyDescent="0.2">
      <c r="Z49279" t="str">
        <f t="shared" si="769"/>
        <v/>
      </c>
    </row>
    <row r="49280" spans="26:26" x14ac:dyDescent="0.2">
      <c r="Z49280" t="str">
        <f t="shared" si="769"/>
        <v/>
      </c>
    </row>
    <row r="49281" spans="26:26" x14ac:dyDescent="0.2">
      <c r="Z49281" t="str">
        <f t="shared" si="769"/>
        <v/>
      </c>
    </row>
    <row r="49282" spans="26:26" x14ac:dyDescent="0.2">
      <c r="Z49282" t="str">
        <f t="shared" si="769"/>
        <v/>
      </c>
    </row>
    <row r="49283" spans="26:26" x14ac:dyDescent="0.2">
      <c r="Z49283" t="str">
        <f t="shared" ref="Z49283:Z49346" si="770">IF(K49283="","",IFERROR(VALUE(TRIM(MID(K49283,FIND(CHAR(167),SUBSTITUTE(K49283,"-",CHAR(167),LEN(K49283)-LEN(SUBSTITUTE(K49283,"-",""))))+1,100))),K49283))</f>
        <v/>
      </c>
    </row>
    <row r="49284" spans="26:26" x14ac:dyDescent="0.2">
      <c r="Z49284" t="str">
        <f t="shared" si="770"/>
        <v/>
      </c>
    </row>
    <row r="49285" spans="26:26" x14ac:dyDescent="0.2">
      <c r="Z49285" t="str">
        <f t="shared" si="770"/>
        <v/>
      </c>
    </row>
    <row r="49286" spans="26:26" x14ac:dyDescent="0.2">
      <c r="Z49286" t="str">
        <f t="shared" si="770"/>
        <v/>
      </c>
    </row>
    <row r="49287" spans="26:26" x14ac:dyDescent="0.2">
      <c r="Z49287" t="str">
        <f t="shared" si="770"/>
        <v/>
      </c>
    </row>
    <row r="49288" spans="26:26" x14ac:dyDescent="0.2">
      <c r="Z49288" t="str">
        <f t="shared" si="770"/>
        <v/>
      </c>
    </row>
    <row r="49289" spans="26:26" x14ac:dyDescent="0.2">
      <c r="Z49289" t="str">
        <f t="shared" si="770"/>
        <v/>
      </c>
    </row>
    <row r="49290" spans="26:26" x14ac:dyDescent="0.2">
      <c r="Z49290" t="str">
        <f t="shared" si="770"/>
        <v/>
      </c>
    </row>
    <row r="49291" spans="26:26" x14ac:dyDescent="0.2">
      <c r="Z49291" t="str">
        <f t="shared" si="770"/>
        <v/>
      </c>
    </row>
    <row r="49292" spans="26:26" x14ac:dyDescent="0.2">
      <c r="Z49292" t="str">
        <f t="shared" si="770"/>
        <v/>
      </c>
    </row>
    <row r="49293" spans="26:26" x14ac:dyDescent="0.2">
      <c r="Z49293" t="str">
        <f t="shared" si="770"/>
        <v/>
      </c>
    </row>
    <row r="49294" spans="26:26" x14ac:dyDescent="0.2">
      <c r="Z49294" t="str">
        <f t="shared" si="770"/>
        <v/>
      </c>
    </row>
    <row r="49295" spans="26:26" x14ac:dyDescent="0.2">
      <c r="Z49295" t="str">
        <f t="shared" si="770"/>
        <v/>
      </c>
    </row>
    <row r="49296" spans="26:26" x14ac:dyDescent="0.2">
      <c r="Z49296" t="str">
        <f t="shared" si="770"/>
        <v/>
      </c>
    </row>
    <row r="49297" spans="26:26" x14ac:dyDescent="0.2">
      <c r="Z49297" t="str">
        <f t="shared" si="770"/>
        <v/>
      </c>
    </row>
    <row r="49298" spans="26:26" x14ac:dyDescent="0.2">
      <c r="Z49298" t="str">
        <f t="shared" si="770"/>
        <v/>
      </c>
    </row>
    <row r="49299" spans="26:26" x14ac:dyDescent="0.2">
      <c r="Z49299" t="str">
        <f t="shared" si="770"/>
        <v/>
      </c>
    </row>
    <row r="49300" spans="26:26" x14ac:dyDescent="0.2">
      <c r="Z49300" t="str">
        <f t="shared" si="770"/>
        <v/>
      </c>
    </row>
    <row r="49301" spans="26:26" x14ac:dyDescent="0.2">
      <c r="Z49301" t="str">
        <f t="shared" si="770"/>
        <v/>
      </c>
    </row>
    <row r="49302" spans="26:26" x14ac:dyDescent="0.2">
      <c r="Z49302" t="str">
        <f t="shared" si="770"/>
        <v/>
      </c>
    </row>
    <row r="49303" spans="26:26" x14ac:dyDescent="0.2">
      <c r="Z49303" t="str">
        <f t="shared" si="770"/>
        <v/>
      </c>
    </row>
    <row r="49304" spans="26:26" x14ac:dyDescent="0.2">
      <c r="Z49304" t="str">
        <f t="shared" si="770"/>
        <v/>
      </c>
    </row>
    <row r="49305" spans="26:26" x14ac:dyDescent="0.2">
      <c r="Z49305" t="str">
        <f t="shared" si="770"/>
        <v/>
      </c>
    </row>
    <row r="49306" spans="26:26" x14ac:dyDescent="0.2">
      <c r="Z49306" t="str">
        <f t="shared" si="770"/>
        <v/>
      </c>
    </row>
    <row r="49307" spans="26:26" x14ac:dyDescent="0.2">
      <c r="Z49307" t="str">
        <f t="shared" si="770"/>
        <v/>
      </c>
    </row>
    <row r="49308" spans="26:26" x14ac:dyDescent="0.2">
      <c r="Z49308" t="str">
        <f t="shared" si="770"/>
        <v/>
      </c>
    </row>
    <row r="49309" spans="26:26" x14ac:dyDescent="0.2">
      <c r="Z49309" t="str">
        <f t="shared" si="770"/>
        <v/>
      </c>
    </row>
    <row r="49310" spans="26:26" x14ac:dyDescent="0.2">
      <c r="Z49310" t="str">
        <f t="shared" si="770"/>
        <v/>
      </c>
    </row>
    <row r="49311" spans="26:26" x14ac:dyDescent="0.2">
      <c r="Z49311" t="str">
        <f t="shared" si="770"/>
        <v/>
      </c>
    </row>
    <row r="49312" spans="26:26" x14ac:dyDescent="0.2">
      <c r="Z49312" t="str">
        <f t="shared" si="770"/>
        <v/>
      </c>
    </row>
    <row r="49313" spans="26:26" x14ac:dyDescent="0.2">
      <c r="Z49313" t="str">
        <f t="shared" si="770"/>
        <v/>
      </c>
    </row>
    <row r="49314" spans="26:26" x14ac:dyDescent="0.2">
      <c r="Z49314" t="str">
        <f t="shared" si="770"/>
        <v/>
      </c>
    </row>
    <row r="49315" spans="26:26" x14ac:dyDescent="0.2">
      <c r="Z49315" t="str">
        <f t="shared" si="770"/>
        <v/>
      </c>
    </row>
    <row r="49316" spans="26:26" x14ac:dyDescent="0.2">
      <c r="Z49316" t="str">
        <f t="shared" si="770"/>
        <v/>
      </c>
    </row>
    <row r="49317" spans="26:26" x14ac:dyDescent="0.2">
      <c r="Z49317" t="str">
        <f t="shared" si="770"/>
        <v/>
      </c>
    </row>
    <row r="49318" spans="26:26" x14ac:dyDescent="0.2">
      <c r="Z49318" t="str">
        <f t="shared" si="770"/>
        <v/>
      </c>
    </row>
    <row r="49319" spans="26:26" x14ac:dyDescent="0.2">
      <c r="Z49319" t="str">
        <f t="shared" si="770"/>
        <v/>
      </c>
    </row>
    <row r="49320" spans="26:26" x14ac:dyDescent="0.2">
      <c r="Z49320" t="str">
        <f t="shared" si="770"/>
        <v/>
      </c>
    </row>
    <row r="49321" spans="26:26" x14ac:dyDescent="0.2">
      <c r="Z49321" t="str">
        <f t="shared" si="770"/>
        <v/>
      </c>
    </row>
    <row r="49322" spans="26:26" x14ac:dyDescent="0.2">
      <c r="Z49322" t="str">
        <f t="shared" si="770"/>
        <v/>
      </c>
    </row>
    <row r="49323" spans="26:26" x14ac:dyDescent="0.2">
      <c r="Z49323" t="str">
        <f t="shared" si="770"/>
        <v/>
      </c>
    </row>
    <row r="49324" spans="26:26" x14ac:dyDescent="0.2">
      <c r="Z49324" t="str">
        <f t="shared" si="770"/>
        <v/>
      </c>
    </row>
    <row r="49325" spans="26:26" x14ac:dyDescent="0.2">
      <c r="Z49325" t="str">
        <f t="shared" si="770"/>
        <v/>
      </c>
    </row>
    <row r="49326" spans="26:26" x14ac:dyDescent="0.2">
      <c r="Z49326" t="str">
        <f t="shared" si="770"/>
        <v/>
      </c>
    </row>
    <row r="49327" spans="26:26" x14ac:dyDescent="0.2">
      <c r="Z49327" t="str">
        <f t="shared" si="770"/>
        <v/>
      </c>
    </row>
    <row r="49328" spans="26:26" x14ac:dyDescent="0.2">
      <c r="Z49328" t="str">
        <f t="shared" si="770"/>
        <v/>
      </c>
    </row>
    <row r="49329" spans="26:26" x14ac:dyDescent="0.2">
      <c r="Z49329" t="str">
        <f t="shared" si="770"/>
        <v/>
      </c>
    </row>
    <row r="49330" spans="26:26" x14ac:dyDescent="0.2">
      <c r="Z49330" t="str">
        <f t="shared" si="770"/>
        <v/>
      </c>
    </row>
    <row r="49331" spans="26:26" x14ac:dyDescent="0.2">
      <c r="Z49331" t="str">
        <f t="shared" si="770"/>
        <v/>
      </c>
    </row>
    <row r="49332" spans="26:26" x14ac:dyDescent="0.2">
      <c r="Z49332" t="str">
        <f t="shared" si="770"/>
        <v/>
      </c>
    </row>
    <row r="49333" spans="26:26" x14ac:dyDescent="0.2">
      <c r="Z49333" t="str">
        <f t="shared" si="770"/>
        <v/>
      </c>
    </row>
    <row r="49334" spans="26:26" x14ac:dyDescent="0.2">
      <c r="Z49334" t="str">
        <f t="shared" si="770"/>
        <v/>
      </c>
    </row>
    <row r="49335" spans="26:26" x14ac:dyDescent="0.2">
      <c r="Z49335" t="str">
        <f t="shared" si="770"/>
        <v/>
      </c>
    </row>
    <row r="49336" spans="26:26" x14ac:dyDescent="0.2">
      <c r="Z49336" t="str">
        <f t="shared" si="770"/>
        <v/>
      </c>
    </row>
    <row r="49337" spans="26:26" x14ac:dyDescent="0.2">
      <c r="Z49337" t="str">
        <f t="shared" si="770"/>
        <v/>
      </c>
    </row>
    <row r="49338" spans="26:26" x14ac:dyDescent="0.2">
      <c r="Z49338" t="str">
        <f t="shared" si="770"/>
        <v/>
      </c>
    </row>
    <row r="49339" spans="26:26" x14ac:dyDescent="0.2">
      <c r="Z49339" t="str">
        <f t="shared" si="770"/>
        <v/>
      </c>
    </row>
    <row r="49340" spans="26:26" x14ac:dyDescent="0.2">
      <c r="Z49340" t="str">
        <f t="shared" si="770"/>
        <v/>
      </c>
    </row>
    <row r="49341" spans="26:26" x14ac:dyDescent="0.2">
      <c r="Z49341" t="str">
        <f t="shared" si="770"/>
        <v/>
      </c>
    </row>
    <row r="49342" spans="26:26" x14ac:dyDescent="0.2">
      <c r="Z49342" t="str">
        <f t="shared" si="770"/>
        <v/>
      </c>
    </row>
    <row r="49343" spans="26:26" x14ac:dyDescent="0.2">
      <c r="Z49343" t="str">
        <f t="shared" si="770"/>
        <v/>
      </c>
    </row>
    <row r="49344" spans="26:26" x14ac:dyDescent="0.2">
      <c r="Z49344" t="str">
        <f t="shared" si="770"/>
        <v/>
      </c>
    </row>
    <row r="49345" spans="26:26" x14ac:dyDescent="0.2">
      <c r="Z49345" t="str">
        <f t="shared" si="770"/>
        <v/>
      </c>
    </row>
    <row r="49346" spans="26:26" x14ac:dyDescent="0.2">
      <c r="Z49346" t="str">
        <f t="shared" si="770"/>
        <v/>
      </c>
    </row>
    <row r="49347" spans="26:26" x14ac:dyDescent="0.2">
      <c r="Z49347" t="str">
        <f t="shared" ref="Z49347:Z49410" si="771">IF(K49347="","",IFERROR(VALUE(TRIM(MID(K49347,FIND(CHAR(167),SUBSTITUTE(K49347,"-",CHAR(167),LEN(K49347)-LEN(SUBSTITUTE(K49347,"-",""))))+1,100))),K49347))</f>
        <v/>
      </c>
    </row>
    <row r="49348" spans="26:26" x14ac:dyDescent="0.2">
      <c r="Z49348" t="str">
        <f t="shared" si="771"/>
        <v/>
      </c>
    </row>
    <row r="49349" spans="26:26" x14ac:dyDescent="0.2">
      <c r="Z49349" t="str">
        <f t="shared" si="771"/>
        <v/>
      </c>
    </row>
    <row r="49350" spans="26:26" x14ac:dyDescent="0.2">
      <c r="Z49350" t="str">
        <f t="shared" si="771"/>
        <v/>
      </c>
    </row>
    <row r="49351" spans="26:26" x14ac:dyDescent="0.2">
      <c r="Z49351" t="str">
        <f t="shared" si="771"/>
        <v/>
      </c>
    </row>
    <row r="49352" spans="26:26" x14ac:dyDescent="0.2">
      <c r="Z49352" t="str">
        <f t="shared" si="771"/>
        <v/>
      </c>
    </row>
    <row r="49353" spans="26:26" x14ac:dyDescent="0.2">
      <c r="Z49353" t="str">
        <f t="shared" si="771"/>
        <v/>
      </c>
    </row>
    <row r="49354" spans="26:26" x14ac:dyDescent="0.2">
      <c r="Z49354" t="str">
        <f t="shared" si="771"/>
        <v/>
      </c>
    </row>
    <row r="49355" spans="26:26" x14ac:dyDescent="0.2">
      <c r="Z49355" t="str">
        <f t="shared" si="771"/>
        <v/>
      </c>
    </row>
    <row r="49356" spans="26:26" x14ac:dyDescent="0.2">
      <c r="Z49356" t="str">
        <f t="shared" si="771"/>
        <v/>
      </c>
    </row>
    <row r="49357" spans="26:26" x14ac:dyDescent="0.2">
      <c r="Z49357" t="str">
        <f t="shared" si="771"/>
        <v/>
      </c>
    </row>
    <row r="49358" spans="26:26" x14ac:dyDescent="0.2">
      <c r="Z49358" t="str">
        <f t="shared" si="771"/>
        <v/>
      </c>
    </row>
    <row r="49359" spans="26:26" x14ac:dyDescent="0.2">
      <c r="Z49359" t="str">
        <f t="shared" si="771"/>
        <v/>
      </c>
    </row>
    <row r="49360" spans="26:26" x14ac:dyDescent="0.2">
      <c r="Z49360" t="str">
        <f t="shared" si="771"/>
        <v/>
      </c>
    </row>
    <row r="49361" spans="26:26" x14ac:dyDescent="0.2">
      <c r="Z49361" t="str">
        <f t="shared" si="771"/>
        <v/>
      </c>
    </row>
    <row r="49362" spans="26:26" x14ac:dyDescent="0.2">
      <c r="Z49362" t="str">
        <f t="shared" si="771"/>
        <v/>
      </c>
    </row>
    <row r="49363" spans="26:26" x14ac:dyDescent="0.2">
      <c r="Z49363" t="str">
        <f t="shared" si="771"/>
        <v/>
      </c>
    </row>
    <row r="49364" spans="26:26" x14ac:dyDescent="0.2">
      <c r="Z49364" t="str">
        <f t="shared" si="771"/>
        <v/>
      </c>
    </row>
    <row r="49365" spans="26:26" x14ac:dyDescent="0.2">
      <c r="Z49365" t="str">
        <f t="shared" si="771"/>
        <v/>
      </c>
    </row>
    <row r="49366" spans="26:26" x14ac:dyDescent="0.2">
      <c r="Z49366" t="str">
        <f t="shared" si="771"/>
        <v/>
      </c>
    </row>
    <row r="49367" spans="26:26" x14ac:dyDescent="0.2">
      <c r="Z49367" t="str">
        <f t="shared" si="771"/>
        <v/>
      </c>
    </row>
    <row r="49368" spans="26:26" x14ac:dyDescent="0.2">
      <c r="Z49368" t="str">
        <f t="shared" si="771"/>
        <v/>
      </c>
    </row>
    <row r="49369" spans="26:26" x14ac:dyDescent="0.2">
      <c r="Z49369" t="str">
        <f t="shared" si="771"/>
        <v/>
      </c>
    </row>
    <row r="49370" spans="26:26" x14ac:dyDescent="0.2">
      <c r="Z49370" t="str">
        <f t="shared" si="771"/>
        <v/>
      </c>
    </row>
    <row r="49371" spans="26:26" x14ac:dyDescent="0.2">
      <c r="Z49371" t="str">
        <f t="shared" si="771"/>
        <v/>
      </c>
    </row>
    <row r="49372" spans="26:26" x14ac:dyDescent="0.2">
      <c r="Z49372" t="str">
        <f t="shared" si="771"/>
        <v/>
      </c>
    </row>
    <row r="49373" spans="26:26" x14ac:dyDescent="0.2">
      <c r="Z49373" t="str">
        <f t="shared" si="771"/>
        <v/>
      </c>
    </row>
    <row r="49374" spans="26:26" x14ac:dyDescent="0.2">
      <c r="Z49374" t="str">
        <f t="shared" si="771"/>
        <v/>
      </c>
    </row>
    <row r="49375" spans="26:26" x14ac:dyDescent="0.2">
      <c r="Z49375" t="str">
        <f t="shared" si="771"/>
        <v/>
      </c>
    </row>
    <row r="49376" spans="26:26" x14ac:dyDescent="0.2">
      <c r="Z49376" t="str">
        <f t="shared" si="771"/>
        <v/>
      </c>
    </row>
    <row r="49377" spans="26:26" x14ac:dyDescent="0.2">
      <c r="Z49377" t="str">
        <f t="shared" si="771"/>
        <v/>
      </c>
    </row>
    <row r="49378" spans="26:26" x14ac:dyDescent="0.2">
      <c r="Z49378" t="str">
        <f t="shared" si="771"/>
        <v/>
      </c>
    </row>
    <row r="49379" spans="26:26" x14ac:dyDescent="0.2">
      <c r="Z49379" t="str">
        <f t="shared" si="771"/>
        <v/>
      </c>
    </row>
    <row r="49380" spans="26:26" x14ac:dyDescent="0.2">
      <c r="Z49380" t="str">
        <f t="shared" si="771"/>
        <v/>
      </c>
    </row>
    <row r="49381" spans="26:26" x14ac:dyDescent="0.2">
      <c r="Z49381" t="str">
        <f t="shared" si="771"/>
        <v/>
      </c>
    </row>
    <row r="49382" spans="26:26" x14ac:dyDescent="0.2">
      <c r="Z49382" t="str">
        <f t="shared" si="771"/>
        <v/>
      </c>
    </row>
    <row r="49383" spans="26:26" x14ac:dyDescent="0.2">
      <c r="Z49383" t="str">
        <f t="shared" si="771"/>
        <v/>
      </c>
    </row>
    <row r="49384" spans="26:26" x14ac:dyDescent="0.2">
      <c r="Z49384" t="str">
        <f t="shared" si="771"/>
        <v/>
      </c>
    </row>
    <row r="49385" spans="26:26" x14ac:dyDescent="0.2">
      <c r="Z49385" t="str">
        <f t="shared" si="771"/>
        <v/>
      </c>
    </row>
    <row r="49386" spans="26:26" x14ac:dyDescent="0.2">
      <c r="Z49386" t="str">
        <f t="shared" si="771"/>
        <v/>
      </c>
    </row>
    <row r="49387" spans="26:26" x14ac:dyDescent="0.2">
      <c r="Z49387" t="str">
        <f t="shared" si="771"/>
        <v/>
      </c>
    </row>
    <row r="49388" spans="26:26" x14ac:dyDescent="0.2">
      <c r="Z49388" t="str">
        <f t="shared" si="771"/>
        <v/>
      </c>
    </row>
    <row r="49389" spans="26:26" x14ac:dyDescent="0.2">
      <c r="Z49389" t="str">
        <f t="shared" si="771"/>
        <v/>
      </c>
    </row>
    <row r="49390" spans="26:26" x14ac:dyDescent="0.2">
      <c r="Z49390" t="str">
        <f t="shared" si="771"/>
        <v/>
      </c>
    </row>
    <row r="49391" spans="26:26" x14ac:dyDescent="0.2">
      <c r="Z49391" t="str">
        <f t="shared" si="771"/>
        <v/>
      </c>
    </row>
    <row r="49392" spans="26:26" x14ac:dyDescent="0.2">
      <c r="Z49392" t="str">
        <f t="shared" si="771"/>
        <v/>
      </c>
    </row>
    <row r="49393" spans="26:26" x14ac:dyDescent="0.2">
      <c r="Z49393" t="str">
        <f t="shared" si="771"/>
        <v/>
      </c>
    </row>
    <row r="49394" spans="26:26" x14ac:dyDescent="0.2">
      <c r="Z49394" t="str">
        <f t="shared" si="771"/>
        <v/>
      </c>
    </row>
    <row r="49395" spans="26:26" x14ac:dyDescent="0.2">
      <c r="Z49395" t="str">
        <f t="shared" si="771"/>
        <v/>
      </c>
    </row>
    <row r="49396" spans="26:26" x14ac:dyDescent="0.2">
      <c r="Z49396" t="str">
        <f t="shared" si="771"/>
        <v/>
      </c>
    </row>
    <row r="49397" spans="26:26" x14ac:dyDescent="0.2">
      <c r="Z49397" t="str">
        <f t="shared" si="771"/>
        <v/>
      </c>
    </row>
    <row r="49398" spans="26:26" x14ac:dyDescent="0.2">
      <c r="Z49398" t="str">
        <f t="shared" si="771"/>
        <v/>
      </c>
    </row>
    <row r="49399" spans="26:26" x14ac:dyDescent="0.2">
      <c r="Z49399" t="str">
        <f t="shared" si="771"/>
        <v/>
      </c>
    </row>
    <row r="49400" spans="26:26" x14ac:dyDescent="0.2">
      <c r="Z49400" t="str">
        <f t="shared" si="771"/>
        <v/>
      </c>
    </row>
    <row r="49401" spans="26:26" x14ac:dyDescent="0.2">
      <c r="Z49401" t="str">
        <f t="shared" si="771"/>
        <v/>
      </c>
    </row>
    <row r="49402" spans="26:26" x14ac:dyDescent="0.2">
      <c r="Z49402" t="str">
        <f t="shared" si="771"/>
        <v/>
      </c>
    </row>
    <row r="49403" spans="26:26" x14ac:dyDescent="0.2">
      <c r="Z49403" t="str">
        <f t="shared" si="771"/>
        <v/>
      </c>
    </row>
    <row r="49404" spans="26:26" x14ac:dyDescent="0.2">
      <c r="Z49404" t="str">
        <f t="shared" si="771"/>
        <v/>
      </c>
    </row>
    <row r="49405" spans="26:26" x14ac:dyDescent="0.2">
      <c r="Z49405" t="str">
        <f t="shared" si="771"/>
        <v/>
      </c>
    </row>
    <row r="49406" spans="26:26" x14ac:dyDescent="0.2">
      <c r="Z49406" t="str">
        <f t="shared" si="771"/>
        <v/>
      </c>
    </row>
    <row r="49407" spans="26:26" x14ac:dyDescent="0.2">
      <c r="Z49407" t="str">
        <f t="shared" si="771"/>
        <v/>
      </c>
    </row>
    <row r="49408" spans="26:26" x14ac:dyDescent="0.2">
      <c r="Z49408" t="str">
        <f t="shared" si="771"/>
        <v/>
      </c>
    </row>
    <row r="49409" spans="26:26" x14ac:dyDescent="0.2">
      <c r="Z49409" t="str">
        <f t="shared" si="771"/>
        <v/>
      </c>
    </row>
    <row r="49410" spans="26:26" x14ac:dyDescent="0.2">
      <c r="Z49410" t="str">
        <f t="shared" si="771"/>
        <v/>
      </c>
    </row>
    <row r="49411" spans="26:26" x14ac:dyDescent="0.2">
      <c r="Z49411" t="str">
        <f t="shared" ref="Z49411:Z49474" si="772">IF(K49411="","",IFERROR(VALUE(TRIM(MID(K49411,FIND(CHAR(167),SUBSTITUTE(K49411,"-",CHAR(167),LEN(K49411)-LEN(SUBSTITUTE(K49411,"-",""))))+1,100))),K49411))</f>
        <v/>
      </c>
    </row>
    <row r="49412" spans="26:26" x14ac:dyDescent="0.2">
      <c r="Z49412" t="str">
        <f t="shared" si="772"/>
        <v/>
      </c>
    </row>
    <row r="49413" spans="26:26" x14ac:dyDescent="0.2">
      <c r="Z49413" t="str">
        <f t="shared" si="772"/>
        <v/>
      </c>
    </row>
    <row r="49414" spans="26:26" x14ac:dyDescent="0.2">
      <c r="Z49414" t="str">
        <f t="shared" si="772"/>
        <v/>
      </c>
    </row>
    <row r="49415" spans="26:26" x14ac:dyDescent="0.2">
      <c r="Z49415" t="str">
        <f t="shared" si="772"/>
        <v/>
      </c>
    </row>
    <row r="49416" spans="26:26" x14ac:dyDescent="0.2">
      <c r="Z49416" t="str">
        <f t="shared" si="772"/>
        <v/>
      </c>
    </row>
    <row r="49417" spans="26:26" x14ac:dyDescent="0.2">
      <c r="Z49417" t="str">
        <f t="shared" si="772"/>
        <v/>
      </c>
    </row>
    <row r="49418" spans="26:26" x14ac:dyDescent="0.2">
      <c r="Z49418" t="str">
        <f t="shared" si="772"/>
        <v/>
      </c>
    </row>
    <row r="49419" spans="26:26" x14ac:dyDescent="0.2">
      <c r="Z49419" t="str">
        <f t="shared" si="772"/>
        <v/>
      </c>
    </row>
    <row r="49420" spans="26:26" x14ac:dyDescent="0.2">
      <c r="Z49420" t="str">
        <f t="shared" si="772"/>
        <v/>
      </c>
    </row>
    <row r="49421" spans="26:26" x14ac:dyDescent="0.2">
      <c r="Z49421" t="str">
        <f t="shared" si="772"/>
        <v/>
      </c>
    </row>
    <row r="49422" spans="26:26" x14ac:dyDescent="0.2">
      <c r="Z49422" t="str">
        <f t="shared" si="772"/>
        <v/>
      </c>
    </row>
    <row r="49423" spans="26:26" x14ac:dyDescent="0.2">
      <c r="Z49423" t="str">
        <f t="shared" si="772"/>
        <v/>
      </c>
    </row>
    <row r="49424" spans="26:26" x14ac:dyDescent="0.2">
      <c r="Z49424" t="str">
        <f t="shared" si="772"/>
        <v/>
      </c>
    </row>
    <row r="49425" spans="26:26" x14ac:dyDescent="0.2">
      <c r="Z49425" t="str">
        <f t="shared" si="772"/>
        <v/>
      </c>
    </row>
    <row r="49426" spans="26:26" x14ac:dyDescent="0.2">
      <c r="Z49426" t="str">
        <f t="shared" si="772"/>
        <v/>
      </c>
    </row>
    <row r="49427" spans="26:26" x14ac:dyDescent="0.2">
      <c r="Z49427" t="str">
        <f t="shared" si="772"/>
        <v/>
      </c>
    </row>
    <row r="49428" spans="26:26" x14ac:dyDescent="0.2">
      <c r="Z49428" t="str">
        <f t="shared" si="772"/>
        <v/>
      </c>
    </row>
    <row r="49429" spans="26:26" x14ac:dyDescent="0.2">
      <c r="Z49429" t="str">
        <f t="shared" si="772"/>
        <v/>
      </c>
    </row>
    <row r="49430" spans="26:26" x14ac:dyDescent="0.2">
      <c r="Z49430" t="str">
        <f t="shared" si="772"/>
        <v/>
      </c>
    </row>
    <row r="49431" spans="26:26" x14ac:dyDescent="0.2">
      <c r="Z49431" t="str">
        <f t="shared" si="772"/>
        <v/>
      </c>
    </row>
    <row r="49432" spans="26:26" x14ac:dyDescent="0.2">
      <c r="Z49432" t="str">
        <f t="shared" si="772"/>
        <v/>
      </c>
    </row>
    <row r="49433" spans="26:26" x14ac:dyDescent="0.2">
      <c r="Z49433" t="str">
        <f t="shared" si="772"/>
        <v/>
      </c>
    </row>
    <row r="49434" spans="26:26" x14ac:dyDescent="0.2">
      <c r="Z49434" t="str">
        <f t="shared" si="772"/>
        <v/>
      </c>
    </row>
    <row r="49435" spans="26:26" x14ac:dyDescent="0.2">
      <c r="Z49435" t="str">
        <f t="shared" si="772"/>
        <v/>
      </c>
    </row>
    <row r="49436" spans="26:26" x14ac:dyDescent="0.2">
      <c r="Z49436" t="str">
        <f t="shared" si="772"/>
        <v/>
      </c>
    </row>
    <row r="49437" spans="26:26" x14ac:dyDescent="0.2">
      <c r="Z49437" t="str">
        <f t="shared" si="772"/>
        <v/>
      </c>
    </row>
    <row r="49438" spans="26:26" x14ac:dyDescent="0.2">
      <c r="Z49438" t="str">
        <f t="shared" si="772"/>
        <v/>
      </c>
    </row>
    <row r="49439" spans="26:26" x14ac:dyDescent="0.2">
      <c r="Z49439" t="str">
        <f t="shared" si="772"/>
        <v/>
      </c>
    </row>
    <row r="49440" spans="26:26" x14ac:dyDescent="0.2">
      <c r="Z49440" t="str">
        <f t="shared" si="772"/>
        <v/>
      </c>
    </row>
    <row r="49441" spans="26:26" x14ac:dyDescent="0.2">
      <c r="Z49441" t="str">
        <f t="shared" si="772"/>
        <v/>
      </c>
    </row>
    <row r="49442" spans="26:26" x14ac:dyDescent="0.2">
      <c r="Z49442" t="str">
        <f t="shared" si="772"/>
        <v/>
      </c>
    </row>
    <row r="49443" spans="26:26" x14ac:dyDescent="0.2">
      <c r="Z49443" t="str">
        <f t="shared" si="772"/>
        <v/>
      </c>
    </row>
    <row r="49444" spans="26:26" x14ac:dyDescent="0.2">
      <c r="Z49444" t="str">
        <f t="shared" si="772"/>
        <v/>
      </c>
    </row>
    <row r="49445" spans="26:26" x14ac:dyDescent="0.2">
      <c r="Z49445" t="str">
        <f t="shared" si="772"/>
        <v/>
      </c>
    </row>
    <row r="49446" spans="26:26" x14ac:dyDescent="0.2">
      <c r="Z49446" t="str">
        <f t="shared" si="772"/>
        <v/>
      </c>
    </row>
    <row r="49447" spans="26:26" x14ac:dyDescent="0.2">
      <c r="Z49447" t="str">
        <f t="shared" si="772"/>
        <v/>
      </c>
    </row>
    <row r="49448" spans="26:26" x14ac:dyDescent="0.2">
      <c r="Z49448" t="str">
        <f t="shared" si="772"/>
        <v/>
      </c>
    </row>
    <row r="49449" spans="26:26" x14ac:dyDescent="0.2">
      <c r="Z49449" t="str">
        <f t="shared" si="772"/>
        <v/>
      </c>
    </row>
    <row r="49450" spans="26:26" x14ac:dyDescent="0.2">
      <c r="Z49450" t="str">
        <f t="shared" si="772"/>
        <v/>
      </c>
    </row>
    <row r="49451" spans="26:26" x14ac:dyDescent="0.2">
      <c r="Z49451" t="str">
        <f t="shared" si="772"/>
        <v/>
      </c>
    </row>
    <row r="49452" spans="26:26" x14ac:dyDescent="0.2">
      <c r="Z49452" t="str">
        <f t="shared" si="772"/>
        <v/>
      </c>
    </row>
    <row r="49453" spans="26:26" x14ac:dyDescent="0.2">
      <c r="Z49453" t="str">
        <f t="shared" si="772"/>
        <v/>
      </c>
    </row>
    <row r="49454" spans="26:26" x14ac:dyDescent="0.2">
      <c r="Z49454" t="str">
        <f t="shared" si="772"/>
        <v/>
      </c>
    </row>
    <row r="49455" spans="26:26" x14ac:dyDescent="0.2">
      <c r="Z49455" t="str">
        <f t="shared" si="772"/>
        <v/>
      </c>
    </row>
    <row r="49456" spans="26:26" x14ac:dyDescent="0.2">
      <c r="Z49456" t="str">
        <f t="shared" si="772"/>
        <v/>
      </c>
    </row>
    <row r="49457" spans="26:26" x14ac:dyDescent="0.2">
      <c r="Z49457" t="str">
        <f t="shared" si="772"/>
        <v/>
      </c>
    </row>
    <row r="49458" spans="26:26" x14ac:dyDescent="0.2">
      <c r="Z49458" t="str">
        <f t="shared" si="772"/>
        <v/>
      </c>
    </row>
    <row r="49459" spans="26:26" x14ac:dyDescent="0.2">
      <c r="Z49459" t="str">
        <f t="shared" si="772"/>
        <v/>
      </c>
    </row>
    <row r="49460" spans="26:26" x14ac:dyDescent="0.2">
      <c r="Z49460" t="str">
        <f t="shared" si="772"/>
        <v/>
      </c>
    </row>
    <row r="49461" spans="26:26" x14ac:dyDescent="0.2">
      <c r="Z49461" t="str">
        <f t="shared" si="772"/>
        <v/>
      </c>
    </row>
    <row r="49462" spans="26:26" x14ac:dyDescent="0.2">
      <c r="Z49462" t="str">
        <f t="shared" si="772"/>
        <v/>
      </c>
    </row>
    <row r="49463" spans="26:26" x14ac:dyDescent="0.2">
      <c r="Z49463" t="str">
        <f t="shared" si="772"/>
        <v/>
      </c>
    </row>
    <row r="49464" spans="26:26" x14ac:dyDescent="0.2">
      <c r="Z49464" t="str">
        <f t="shared" si="772"/>
        <v/>
      </c>
    </row>
    <row r="49465" spans="26:26" x14ac:dyDescent="0.2">
      <c r="Z49465" t="str">
        <f t="shared" si="772"/>
        <v/>
      </c>
    </row>
    <row r="49466" spans="26:26" x14ac:dyDescent="0.2">
      <c r="Z49466" t="str">
        <f t="shared" si="772"/>
        <v/>
      </c>
    </row>
    <row r="49467" spans="26:26" x14ac:dyDescent="0.2">
      <c r="Z49467" t="str">
        <f t="shared" si="772"/>
        <v/>
      </c>
    </row>
    <row r="49468" spans="26:26" x14ac:dyDescent="0.2">
      <c r="Z49468" t="str">
        <f t="shared" si="772"/>
        <v/>
      </c>
    </row>
    <row r="49469" spans="26:26" x14ac:dyDescent="0.2">
      <c r="Z49469" t="str">
        <f t="shared" si="772"/>
        <v/>
      </c>
    </row>
    <row r="49470" spans="26:26" x14ac:dyDescent="0.2">
      <c r="Z49470" t="str">
        <f t="shared" si="772"/>
        <v/>
      </c>
    </row>
    <row r="49471" spans="26:26" x14ac:dyDescent="0.2">
      <c r="Z49471" t="str">
        <f t="shared" si="772"/>
        <v/>
      </c>
    </row>
    <row r="49472" spans="26:26" x14ac:dyDescent="0.2">
      <c r="Z49472" t="str">
        <f t="shared" si="772"/>
        <v/>
      </c>
    </row>
    <row r="49473" spans="26:26" x14ac:dyDescent="0.2">
      <c r="Z49473" t="str">
        <f t="shared" si="772"/>
        <v/>
      </c>
    </row>
    <row r="49474" spans="26:26" x14ac:dyDescent="0.2">
      <c r="Z49474" t="str">
        <f t="shared" si="772"/>
        <v/>
      </c>
    </row>
    <row r="49475" spans="26:26" x14ac:dyDescent="0.2">
      <c r="Z49475" t="str">
        <f t="shared" ref="Z49475:Z49538" si="773">IF(K49475="","",IFERROR(VALUE(TRIM(MID(K49475,FIND(CHAR(167),SUBSTITUTE(K49475,"-",CHAR(167),LEN(K49475)-LEN(SUBSTITUTE(K49475,"-",""))))+1,100))),K49475))</f>
        <v/>
      </c>
    </row>
    <row r="49476" spans="26:26" x14ac:dyDescent="0.2">
      <c r="Z49476" t="str">
        <f t="shared" si="773"/>
        <v/>
      </c>
    </row>
    <row r="49477" spans="26:26" x14ac:dyDescent="0.2">
      <c r="Z49477" t="str">
        <f t="shared" si="773"/>
        <v/>
      </c>
    </row>
    <row r="49478" spans="26:26" x14ac:dyDescent="0.2">
      <c r="Z49478" t="str">
        <f t="shared" si="773"/>
        <v/>
      </c>
    </row>
    <row r="49479" spans="26:26" x14ac:dyDescent="0.2">
      <c r="Z49479" t="str">
        <f t="shared" si="773"/>
        <v/>
      </c>
    </row>
    <row r="49480" spans="26:26" x14ac:dyDescent="0.2">
      <c r="Z49480" t="str">
        <f t="shared" si="773"/>
        <v/>
      </c>
    </row>
    <row r="49481" spans="26:26" x14ac:dyDescent="0.2">
      <c r="Z49481" t="str">
        <f t="shared" si="773"/>
        <v/>
      </c>
    </row>
    <row r="49482" spans="26:26" x14ac:dyDescent="0.2">
      <c r="Z49482" t="str">
        <f t="shared" si="773"/>
        <v/>
      </c>
    </row>
    <row r="49483" spans="26:26" x14ac:dyDescent="0.2">
      <c r="Z49483" t="str">
        <f t="shared" si="773"/>
        <v/>
      </c>
    </row>
    <row r="49484" spans="26:26" x14ac:dyDescent="0.2">
      <c r="Z49484" t="str">
        <f t="shared" si="773"/>
        <v/>
      </c>
    </row>
    <row r="49485" spans="26:26" x14ac:dyDescent="0.2">
      <c r="Z49485" t="str">
        <f t="shared" si="773"/>
        <v/>
      </c>
    </row>
    <row r="49486" spans="26:26" x14ac:dyDescent="0.2">
      <c r="Z49486" t="str">
        <f t="shared" si="773"/>
        <v/>
      </c>
    </row>
    <row r="49487" spans="26:26" x14ac:dyDescent="0.2">
      <c r="Z49487" t="str">
        <f t="shared" si="773"/>
        <v/>
      </c>
    </row>
    <row r="49488" spans="26:26" x14ac:dyDescent="0.2">
      <c r="Z49488" t="str">
        <f t="shared" si="773"/>
        <v/>
      </c>
    </row>
    <row r="49489" spans="26:26" x14ac:dyDescent="0.2">
      <c r="Z49489" t="str">
        <f t="shared" si="773"/>
        <v/>
      </c>
    </row>
    <row r="49490" spans="26:26" x14ac:dyDescent="0.2">
      <c r="Z49490" t="str">
        <f t="shared" si="773"/>
        <v/>
      </c>
    </row>
    <row r="49491" spans="26:26" x14ac:dyDescent="0.2">
      <c r="Z49491" t="str">
        <f t="shared" si="773"/>
        <v/>
      </c>
    </row>
    <row r="49492" spans="26:26" x14ac:dyDescent="0.2">
      <c r="Z49492" t="str">
        <f t="shared" si="773"/>
        <v/>
      </c>
    </row>
    <row r="49493" spans="26:26" x14ac:dyDescent="0.2">
      <c r="Z49493" t="str">
        <f t="shared" si="773"/>
        <v/>
      </c>
    </row>
    <row r="49494" spans="26:26" x14ac:dyDescent="0.2">
      <c r="Z49494" t="str">
        <f t="shared" si="773"/>
        <v/>
      </c>
    </row>
    <row r="49495" spans="26:26" x14ac:dyDescent="0.2">
      <c r="Z49495" t="str">
        <f t="shared" si="773"/>
        <v/>
      </c>
    </row>
    <row r="49496" spans="26:26" x14ac:dyDescent="0.2">
      <c r="Z49496" t="str">
        <f t="shared" si="773"/>
        <v/>
      </c>
    </row>
    <row r="49497" spans="26:26" x14ac:dyDescent="0.2">
      <c r="Z49497" t="str">
        <f t="shared" si="773"/>
        <v/>
      </c>
    </row>
    <row r="49498" spans="26:26" x14ac:dyDescent="0.2">
      <c r="Z49498" t="str">
        <f t="shared" si="773"/>
        <v/>
      </c>
    </row>
    <row r="49499" spans="26:26" x14ac:dyDescent="0.2">
      <c r="Z49499" t="str">
        <f t="shared" si="773"/>
        <v/>
      </c>
    </row>
    <row r="49500" spans="26:26" x14ac:dyDescent="0.2">
      <c r="Z49500" t="str">
        <f t="shared" si="773"/>
        <v/>
      </c>
    </row>
    <row r="49501" spans="26:26" x14ac:dyDescent="0.2">
      <c r="Z49501" t="str">
        <f t="shared" si="773"/>
        <v/>
      </c>
    </row>
    <row r="49502" spans="26:26" x14ac:dyDescent="0.2">
      <c r="Z49502" t="str">
        <f t="shared" si="773"/>
        <v/>
      </c>
    </row>
    <row r="49503" spans="26:26" x14ac:dyDescent="0.2">
      <c r="Z49503" t="str">
        <f t="shared" si="773"/>
        <v/>
      </c>
    </row>
    <row r="49504" spans="26:26" x14ac:dyDescent="0.2">
      <c r="Z49504" t="str">
        <f t="shared" si="773"/>
        <v/>
      </c>
    </row>
    <row r="49505" spans="26:26" x14ac:dyDescent="0.2">
      <c r="Z49505" t="str">
        <f t="shared" si="773"/>
        <v/>
      </c>
    </row>
    <row r="49506" spans="26:26" x14ac:dyDescent="0.2">
      <c r="Z49506" t="str">
        <f t="shared" si="773"/>
        <v/>
      </c>
    </row>
    <row r="49507" spans="26:26" x14ac:dyDescent="0.2">
      <c r="Z49507" t="str">
        <f t="shared" si="773"/>
        <v/>
      </c>
    </row>
    <row r="49508" spans="26:26" x14ac:dyDescent="0.2">
      <c r="Z49508" t="str">
        <f t="shared" si="773"/>
        <v/>
      </c>
    </row>
    <row r="49509" spans="26:26" x14ac:dyDescent="0.2">
      <c r="Z49509" t="str">
        <f t="shared" si="773"/>
        <v/>
      </c>
    </row>
    <row r="49510" spans="26:26" x14ac:dyDescent="0.2">
      <c r="Z49510" t="str">
        <f t="shared" si="773"/>
        <v/>
      </c>
    </row>
    <row r="49511" spans="26:26" x14ac:dyDescent="0.2">
      <c r="Z49511" t="str">
        <f t="shared" si="773"/>
        <v/>
      </c>
    </row>
    <row r="49512" spans="26:26" x14ac:dyDescent="0.2">
      <c r="Z49512" t="str">
        <f t="shared" si="773"/>
        <v/>
      </c>
    </row>
    <row r="49513" spans="26:26" x14ac:dyDescent="0.2">
      <c r="Z49513" t="str">
        <f t="shared" si="773"/>
        <v/>
      </c>
    </row>
    <row r="49514" spans="26:26" x14ac:dyDescent="0.2">
      <c r="Z49514" t="str">
        <f t="shared" si="773"/>
        <v/>
      </c>
    </row>
    <row r="49515" spans="26:26" x14ac:dyDescent="0.2">
      <c r="Z49515" t="str">
        <f t="shared" si="773"/>
        <v/>
      </c>
    </row>
    <row r="49516" spans="26:26" x14ac:dyDescent="0.2">
      <c r="Z49516" t="str">
        <f t="shared" si="773"/>
        <v/>
      </c>
    </row>
    <row r="49517" spans="26:26" x14ac:dyDescent="0.2">
      <c r="Z49517" t="str">
        <f t="shared" si="773"/>
        <v/>
      </c>
    </row>
    <row r="49518" spans="26:26" x14ac:dyDescent="0.2">
      <c r="Z49518" t="str">
        <f t="shared" si="773"/>
        <v/>
      </c>
    </row>
    <row r="49519" spans="26:26" x14ac:dyDescent="0.2">
      <c r="Z49519" t="str">
        <f t="shared" si="773"/>
        <v/>
      </c>
    </row>
    <row r="49520" spans="26:26" x14ac:dyDescent="0.2">
      <c r="Z49520" t="str">
        <f t="shared" si="773"/>
        <v/>
      </c>
    </row>
    <row r="49521" spans="26:26" x14ac:dyDescent="0.2">
      <c r="Z49521" t="str">
        <f t="shared" si="773"/>
        <v/>
      </c>
    </row>
    <row r="49522" spans="26:26" x14ac:dyDescent="0.2">
      <c r="Z49522" t="str">
        <f t="shared" si="773"/>
        <v/>
      </c>
    </row>
    <row r="49523" spans="26:26" x14ac:dyDescent="0.2">
      <c r="Z49523" t="str">
        <f t="shared" si="773"/>
        <v/>
      </c>
    </row>
    <row r="49524" spans="26:26" x14ac:dyDescent="0.2">
      <c r="Z49524" t="str">
        <f t="shared" si="773"/>
        <v/>
      </c>
    </row>
    <row r="49525" spans="26:26" x14ac:dyDescent="0.2">
      <c r="Z49525" t="str">
        <f t="shared" si="773"/>
        <v/>
      </c>
    </row>
    <row r="49526" spans="26:26" x14ac:dyDescent="0.2">
      <c r="Z49526" t="str">
        <f t="shared" si="773"/>
        <v/>
      </c>
    </row>
    <row r="49527" spans="26:26" x14ac:dyDescent="0.2">
      <c r="Z49527" t="str">
        <f t="shared" si="773"/>
        <v/>
      </c>
    </row>
    <row r="49528" spans="26:26" x14ac:dyDescent="0.2">
      <c r="Z49528" t="str">
        <f t="shared" si="773"/>
        <v/>
      </c>
    </row>
    <row r="49529" spans="26:26" x14ac:dyDescent="0.2">
      <c r="Z49529" t="str">
        <f t="shared" si="773"/>
        <v/>
      </c>
    </row>
    <row r="49530" spans="26:26" x14ac:dyDescent="0.2">
      <c r="Z49530" t="str">
        <f t="shared" si="773"/>
        <v/>
      </c>
    </row>
    <row r="49531" spans="26:26" x14ac:dyDescent="0.2">
      <c r="Z49531" t="str">
        <f t="shared" si="773"/>
        <v/>
      </c>
    </row>
    <row r="49532" spans="26:26" x14ac:dyDescent="0.2">
      <c r="Z49532" t="str">
        <f t="shared" si="773"/>
        <v/>
      </c>
    </row>
    <row r="49533" spans="26:26" x14ac:dyDescent="0.2">
      <c r="Z49533" t="str">
        <f t="shared" si="773"/>
        <v/>
      </c>
    </row>
    <row r="49534" spans="26:26" x14ac:dyDescent="0.2">
      <c r="Z49534" t="str">
        <f t="shared" si="773"/>
        <v/>
      </c>
    </row>
    <row r="49535" spans="26:26" x14ac:dyDescent="0.2">
      <c r="Z49535" t="str">
        <f t="shared" si="773"/>
        <v/>
      </c>
    </row>
    <row r="49536" spans="26:26" x14ac:dyDescent="0.2">
      <c r="Z49536" t="str">
        <f t="shared" si="773"/>
        <v/>
      </c>
    </row>
    <row r="49537" spans="26:26" x14ac:dyDescent="0.2">
      <c r="Z49537" t="str">
        <f t="shared" si="773"/>
        <v/>
      </c>
    </row>
    <row r="49538" spans="26:26" x14ac:dyDescent="0.2">
      <c r="Z49538" t="str">
        <f t="shared" si="773"/>
        <v/>
      </c>
    </row>
    <row r="49539" spans="26:26" x14ac:dyDescent="0.2">
      <c r="Z49539" t="str">
        <f t="shared" ref="Z49539:Z49602" si="774">IF(K49539="","",IFERROR(VALUE(TRIM(MID(K49539,FIND(CHAR(167),SUBSTITUTE(K49539,"-",CHAR(167),LEN(K49539)-LEN(SUBSTITUTE(K49539,"-",""))))+1,100))),K49539))</f>
        <v/>
      </c>
    </row>
    <row r="49540" spans="26:26" x14ac:dyDescent="0.2">
      <c r="Z49540" t="str">
        <f t="shared" si="774"/>
        <v/>
      </c>
    </row>
    <row r="49541" spans="26:26" x14ac:dyDescent="0.2">
      <c r="Z49541" t="str">
        <f t="shared" si="774"/>
        <v/>
      </c>
    </row>
    <row r="49542" spans="26:26" x14ac:dyDescent="0.2">
      <c r="Z49542" t="str">
        <f t="shared" si="774"/>
        <v/>
      </c>
    </row>
    <row r="49543" spans="26:26" x14ac:dyDescent="0.2">
      <c r="Z49543" t="str">
        <f t="shared" si="774"/>
        <v/>
      </c>
    </row>
    <row r="49544" spans="26:26" x14ac:dyDescent="0.2">
      <c r="Z49544" t="str">
        <f t="shared" si="774"/>
        <v/>
      </c>
    </row>
    <row r="49545" spans="26:26" x14ac:dyDescent="0.2">
      <c r="Z49545" t="str">
        <f t="shared" si="774"/>
        <v/>
      </c>
    </row>
    <row r="49546" spans="26:26" x14ac:dyDescent="0.2">
      <c r="Z49546" t="str">
        <f t="shared" si="774"/>
        <v/>
      </c>
    </row>
    <row r="49547" spans="26:26" x14ac:dyDescent="0.2">
      <c r="Z49547" t="str">
        <f t="shared" si="774"/>
        <v/>
      </c>
    </row>
    <row r="49548" spans="26:26" x14ac:dyDescent="0.2">
      <c r="Z49548" t="str">
        <f t="shared" si="774"/>
        <v/>
      </c>
    </row>
    <row r="49549" spans="26:26" x14ac:dyDescent="0.2">
      <c r="Z49549" t="str">
        <f t="shared" si="774"/>
        <v/>
      </c>
    </row>
    <row r="49550" spans="26:26" x14ac:dyDescent="0.2">
      <c r="Z49550" t="str">
        <f t="shared" si="774"/>
        <v/>
      </c>
    </row>
    <row r="49551" spans="26:26" x14ac:dyDescent="0.2">
      <c r="Z49551" t="str">
        <f t="shared" si="774"/>
        <v/>
      </c>
    </row>
    <row r="49552" spans="26:26" x14ac:dyDescent="0.2">
      <c r="Z49552" t="str">
        <f t="shared" si="774"/>
        <v/>
      </c>
    </row>
    <row r="49553" spans="26:26" x14ac:dyDescent="0.2">
      <c r="Z49553" t="str">
        <f t="shared" si="774"/>
        <v/>
      </c>
    </row>
    <row r="49554" spans="26:26" x14ac:dyDescent="0.2">
      <c r="Z49554" t="str">
        <f t="shared" si="774"/>
        <v/>
      </c>
    </row>
    <row r="49555" spans="26:26" x14ac:dyDescent="0.2">
      <c r="Z49555" t="str">
        <f t="shared" si="774"/>
        <v/>
      </c>
    </row>
    <row r="49556" spans="26:26" x14ac:dyDescent="0.2">
      <c r="Z49556" t="str">
        <f t="shared" si="774"/>
        <v/>
      </c>
    </row>
    <row r="49557" spans="26:26" x14ac:dyDescent="0.2">
      <c r="Z49557" t="str">
        <f t="shared" si="774"/>
        <v/>
      </c>
    </row>
    <row r="49558" spans="26:26" x14ac:dyDescent="0.2">
      <c r="Z49558" t="str">
        <f t="shared" si="774"/>
        <v/>
      </c>
    </row>
    <row r="49559" spans="26:26" x14ac:dyDescent="0.2">
      <c r="Z49559" t="str">
        <f t="shared" si="774"/>
        <v/>
      </c>
    </row>
    <row r="49560" spans="26:26" x14ac:dyDescent="0.2">
      <c r="Z49560" t="str">
        <f t="shared" si="774"/>
        <v/>
      </c>
    </row>
    <row r="49561" spans="26:26" x14ac:dyDescent="0.2">
      <c r="Z49561" t="str">
        <f t="shared" si="774"/>
        <v/>
      </c>
    </row>
    <row r="49562" spans="26:26" x14ac:dyDescent="0.2">
      <c r="Z49562" t="str">
        <f t="shared" si="774"/>
        <v/>
      </c>
    </row>
    <row r="49563" spans="26:26" x14ac:dyDescent="0.2">
      <c r="Z49563" t="str">
        <f t="shared" si="774"/>
        <v/>
      </c>
    </row>
    <row r="49564" spans="26:26" x14ac:dyDescent="0.2">
      <c r="Z49564" t="str">
        <f t="shared" si="774"/>
        <v/>
      </c>
    </row>
    <row r="49565" spans="26:26" x14ac:dyDescent="0.2">
      <c r="Z49565" t="str">
        <f t="shared" si="774"/>
        <v/>
      </c>
    </row>
    <row r="49566" spans="26:26" x14ac:dyDescent="0.2">
      <c r="Z49566" t="str">
        <f t="shared" si="774"/>
        <v/>
      </c>
    </row>
    <row r="49567" spans="26:26" x14ac:dyDescent="0.2">
      <c r="Z49567" t="str">
        <f t="shared" si="774"/>
        <v/>
      </c>
    </row>
    <row r="49568" spans="26:26" x14ac:dyDescent="0.2">
      <c r="Z49568" t="str">
        <f t="shared" si="774"/>
        <v/>
      </c>
    </row>
    <row r="49569" spans="26:26" x14ac:dyDescent="0.2">
      <c r="Z49569" t="str">
        <f t="shared" si="774"/>
        <v/>
      </c>
    </row>
    <row r="49570" spans="26:26" x14ac:dyDescent="0.2">
      <c r="Z49570" t="str">
        <f t="shared" si="774"/>
        <v/>
      </c>
    </row>
    <row r="49571" spans="26:26" x14ac:dyDescent="0.2">
      <c r="Z49571" t="str">
        <f t="shared" si="774"/>
        <v/>
      </c>
    </row>
    <row r="49572" spans="26:26" x14ac:dyDescent="0.2">
      <c r="Z49572" t="str">
        <f t="shared" si="774"/>
        <v/>
      </c>
    </row>
    <row r="49573" spans="26:26" x14ac:dyDescent="0.2">
      <c r="Z49573" t="str">
        <f t="shared" si="774"/>
        <v/>
      </c>
    </row>
    <row r="49574" spans="26:26" x14ac:dyDescent="0.2">
      <c r="Z49574" t="str">
        <f t="shared" si="774"/>
        <v/>
      </c>
    </row>
    <row r="49575" spans="26:26" x14ac:dyDescent="0.2">
      <c r="Z49575" t="str">
        <f t="shared" si="774"/>
        <v/>
      </c>
    </row>
    <row r="49576" spans="26:26" x14ac:dyDescent="0.2">
      <c r="Z49576" t="str">
        <f t="shared" si="774"/>
        <v/>
      </c>
    </row>
    <row r="49577" spans="26:26" x14ac:dyDescent="0.2">
      <c r="Z49577" t="str">
        <f t="shared" si="774"/>
        <v/>
      </c>
    </row>
    <row r="49578" spans="26:26" x14ac:dyDescent="0.2">
      <c r="Z49578" t="str">
        <f t="shared" si="774"/>
        <v/>
      </c>
    </row>
    <row r="49579" spans="26:26" x14ac:dyDescent="0.2">
      <c r="Z49579" t="str">
        <f t="shared" si="774"/>
        <v/>
      </c>
    </row>
    <row r="49580" spans="26:26" x14ac:dyDescent="0.2">
      <c r="Z49580" t="str">
        <f t="shared" si="774"/>
        <v/>
      </c>
    </row>
    <row r="49581" spans="26:26" x14ac:dyDescent="0.2">
      <c r="Z49581" t="str">
        <f t="shared" si="774"/>
        <v/>
      </c>
    </row>
    <row r="49582" spans="26:26" x14ac:dyDescent="0.2">
      <c r="Z49582" t="str">
        <f t="shared" si="774"/>
        <v/>
      </c>
    </row>
    <row r="49583" spans="26:26" x14ac:dyDescent="0.2">
      <c r="Z49583" t="str">
        <f t="shared" si="774"/>
        <v/>
      </c>
    </row>
    <row r="49584" spans="26:26" x14ac:dyDescent="0.2">
      <c r="Z49584" t="str">
        <f t="shared" si="774"/>
        <v/>
      </c>
    </row>
    <row r="49585" spans="26:26" x14ac:dyDescent="0.2">
      <c r="Z49585" t="str">
        <f t="shared" si="774"/>
        <v/>
      </c>
    </row>
    <row r="49586" spans="26:26" x14ac:dyDescent="0.2">
      <c r="Z49586" t="str">
        <f t="shared" si="774"/>
        <v/>
      </c>
    </row>
    <row r="49587" spans="26:26" x14ac:dyDescent="0.2">
      <c r="Z49587" t="str">
        <f t="shared" si="774"/>
        <v/>
      </c>
    </row>
    <row r="49588" spans="26:26" x14ac:dyDescent="0.2">
      <c r="Z49588" t="str">
        <f t="shared" si="774"/>
        <v/>
      </c>
    </row>
    <row r="49589" spans="26:26" x14ac:dyDescent="0.2">
      <c r="Z49589" t="str">
        <f t="shared" si="774"/>
        <v/>
      </c>
    </row>
    <row r="49590" spans="26:26" x14ac:dyDescent="0.2">
      <c r="Z49590" t="str">
        <f t="shared" si="774"/>
        <v/>
      </c>
    </row>
    <row r="49591" spans="26:26" x14ac:dyDescent="0.2">
      <c r="Z49591" t="str">
        <f t="shared" si="774"/>
        <v/>
      </c>
    </row>
    <row r="49592" spans="26:26" x14ac:dyDescent="0.2">
      <c r="Z49592" t="str">
        <f t="shared" si="774"/>
        <v/>
      </c>
    </row>
    <row r="49593" spans="26:26" x14ac:dyDescent="0.2">
      <c r="Z49593" t="str">
        <f t="shared" si="774"/>
        <v/>
      </c>
    </row>
    <row r="49594" spans="26:26" x14ac:dyDescent="0.2">
      <c r="Z49594" t="str">
        <f t="shared" si="774"/>
        <v/>
      </c>
    </row>
    <row r="49595" spans="26:26" x14ac:dyDescent="0.2">
      <c r="Z49595" t="str">
        <f t="shared" si="774"/>
        <v/>
      </c>
    </row>
    <row r="49596" spans="26:26" x14ac:dyDescent="0.2">
      <c r="Z49596" t="str">
        <f t="shared" si="774"/>
        <v/>
      </c>
    </row>
    <row r="49597" spans="26:26" x14ac:dyDescent="0.2">
      <c r="Z49597" t="str">
        <f t="shared" si="774"/>
        <v/>
      </c>
    </row>
    <row r="49598" spans="26:26" x14ac:dyDescent="0.2">
      <c r="Z49598" t="str">
        <f t="shared" si="774"/>
        <v/>
      </c>
    </row>
    <row r="49599" spans="26:26" x14ac:dyDescent="0.2">
      <c r="Z49599" t="str">
        <f t="shared" si="774"/>
        <v/>
      </c>
    </row>
    <row r="49600" spans="26:26" x14ac:dyDescent="0.2">
      <c r="Z49600" t="str">
        <f t="shared" si="774"/>
        <v/>
      </c>
    </row>
    <row r="49601" spans="26:26" x14ac:dyDescent="0.2">
      <c r="Z49601" t="str">
        <f t="shared" si="774"/>
        <v/>
      </c>
    </row>
    <row r="49602" spans="26:26" x14ac:dyDescent="0.2">
      <c r="Z49602" t="str">
        <f t="shared" si="774"/>
        <v/>
      </c>
    </row>
    <row r="49603" spans="26:26" x14ac:dyDescent="0.2">
      <c r="Z49603" t="str">
        <f t="shared" ref="Z49603:Z49666" si="775">IF(K49603="","",IFERROR(VALUE(TRIM(MID(K49603,FIND(CHAR(167),SUBSTITUTE(K49603,"-",CHAR(167),LEN(K49603)-LEN(SUBSTITUTE(K49603,"-",""))))+1,100))),K49603))</f>
        <v/>
      </c>
    </row>
    <row r="49604" spans="26:26" x14ac:dyDescent="0.2">
      <c r="Z49604" t="str">
        <f t="shared" si="775"/>
        <v/>
      </c>
    </row>
    <row r="49605" spans="26:26" x14ac:dyDescent="0.2">
      <c r="Z49605" t="str">
        <f t="shared" si="775"/>
        <v/>
      </c>
    </row>
    <row r="49606" spans="26:26" x14ac:dyDescent="0.2">
      <c r="Z49606" t="str">
        <f t="shared" si="775"/>
        <v/>
      </c>
    </row>
    <row r="49607" spans="26:26" x14ac:dyDescent="0.2">
      <c r="Z49607" t="str">
        <f t="shared" si="775"/>
        <v/>
      </c>
    </row>
    <row r="49608" spans="26:26" x14ac:dyDescent="0.2">
      <c r="Z49608" t="str">
        <f t="shared" si="775"/>
        <v/>
      </c>
    </row>
    <row r="49609" spans="26:26" x14ac:dyDescent="0.2">
      <c r="Z49609" t="str">
        <f t="shared" si="775"/>
        <v/>
      </c>
    </row>
    <row r="49610" spans="26:26" x14ac:dyDescent="0.2">
      <c r="Z49610" t="str">
        <f t="shared" si="775"/>
        <v/>
      </c>
    </row>
    <row r="49611" spans="26:26" x14ac:dyDescent="0.2">
      <c r="Z49611" t="str">
        <f t="shared" si="775"/>
        <v/>
      </c>
    </row>
    <row r="49612" spans="26:26" x14ac:dyDescent="0.2">
      <c r="Z49612" t="str">
        <f t="shared" si="775"/>
        <v/>
      </c>
    </row>
    <row r="49613" spans="26:26" x14ac:dyDescent="0.2">
      <c r="Z49613" t="str">
        <f t="shared" si="775"/>
        <v/>
      </c>
    </row>
    <row r="49614" spans="26:26" x14ac:dyDescent="0.2">
      <c r="Z49614" t="str">
        <f t="shared" si="775"/>
        <v/>
      </c>
    </row>
    <row r="49615" spans="26:26" x14ac:dyDescent="0.2">
      <c r="Z49615" t="str">
        <f t="shared" si="775"/>
        <v/>
      </c>
    </row>
    <row r="49616" spans="26:26" x14ac:dyDescent="0.2">
      <c r="Z49616" t="str">
        <f t="shared" si="775"/>
        <v/>
      </c>
    </row>
    <row r="49617" spans="26:26" x14ac:dyDescent="0.2">
      <c r="Z49617" t="str">
        <f t="shared" si="775"/>
        <v/>
      </c>
    </row>
    <row r="49618" spans="26:26" x14ac:dyDescent="0.2">
      <c r="Z49618" t="str">
        <f t="shared" si="775"/>
        <v/>
      </c>
    </row>
    <row r="49619" spans="26:26" x14ac:dyDescent="0.2">
      <c r="Z49619" t="str">
        <f t="shared" si="775"/>
        <v/>
      </c>
    </row>
    <row r="49620" spans="26:26" x14ac:dyDescent="0.2">
      <c r="Z49620" t="str">
        <f t="shared" si="775"/>
        <v/>
      </c>
    </row>
    <row r="49621" spans="26:26" x14ac:dyDescent="0.2">
      <c r="Z49621" t="str">
        <f t="shared" si="775"/>
        <v/>
      </c>
    </row>
    <row r="49622" spans="26:26" x14ac:dyDescent="0.2">
      <c r="Z49622" t="str">
        <f t="shared" si="775"/>
        <v/>
      </c>
    </row>
    <row r="49623" spans="26:26" x14ac:dyDescent="0.2">
      <c r="Z49623" t="str">
        <f t="shared" si="775"/>
        <v/>
      </c>
    </row>
    <row r="49624" spans="26:26" x14ac:dyDescent="0.2">
      <c r="Z49624" t="str">
        <f t="shared" si="775"/>
        <v/>
      </c>
    </row>
    <row r="49625" spans="26:26" x14ac:dyDescent="0.2">
      <c r="Z49625" t="str">
        <f t="shared" si="775"/>
        <v/>
      </c>
    </row>
    <row r="49626" spans="26:26" x14ac:dyDescent="0.2">
      <c r="Z49626" t="str">
        <f t="shared" si="775"/>
        <v/>
      </c>
    </row>
    <row r="49627" spans="26:26" x14ac:dyDescent="0.2">
      <c r="Z49627" t="str">
        <f t="shared" si="775"/>
        <v/>
      </c>
    </row>
    <row r="49628" spans="26:26" x14ac:dyDescent="0.2">
      <c r="Z49628" t="str">
        <f t="shared" si="775"/>
        <v/>
      </c>
    </row>
    <row r="49629" spans="26:26" x14ac:dyDescent="0.2">
      <c r="Z49629" t="str">
        <f t="shared" si="775"/>
        <v/>
      </c>
    </row>
    <row r="49630" spans="26:26" x14ac:dyDescent="0.2">
      <c r="Z49630" t="str">
        <f t="shared" si="775"/>
        <v/>
      </c>
    </row>
    <row r="49631" spans="26:26" x14ac:dyDescent="0.2">
      <c r="Z49631" t="str">
        <f t="shared" si="775"/>
        <v/>
      </c>
    </row>
    <row r="49632" spans="26:26" x14ac:dyDescent="0.2">
      <c r="Z49632" t="str">
        <f t="shared" si="775"/>
        <v/>
      </c>
    </row>
    <row r="49633" spans="26:26" x14ac:dyDescent="0.2">
      <c r="Z49633" t="str">
        <f t="shared" si="775"/>
        <v/>
      </c>
    </row>
    <row r="49634" spans="26:26" x14ac:dyDescent="0.2">
      <c r="Z49634" t="str">
        <f t="shared" si="775"/>
        <v/>
      </c>
    </row>
    <row r="49635" spans="26:26" x14ac:dyDescent="0.2">
      <c r="Z49635" t="str">
        <f t="shared" si="775"/>
        <v/>
      </c>
    </row>
    <row r="49636" spans="26:26" x14ac:dyDescent="0.2">
      <c r="Z49636" t="str">
        <f t="shared" si="775"/>
        <v/>
      </c>
    </row>
    <row r="49637" spans="26:26" x14ac:dyDescent="0.2">
      <c r="Z49637" t="str">
        <f t="shared" si="775"/>
        <v/>
      </c>
    </row>
    <row r="49638" spans="26:26" x14ac:dyDescent="0.2">
      <c r="Z49638" t="str">
        <f t="shared" si="775"/>
        <v/>
      </c>
    </row>
    <row r="49639" spans="26:26" x14ac:dyDescent="0.2">
      <c r="Z49639" t="str">
        <f t="shared" si="775"/>
        <v/>
      </c>
    </row>
    <row r="49640" spans="26:26" x14ac:dyDescent="0.2">
      <c r="Z49640" t="str">
        <f t="shared" si="775"/>
        <v/>
      </c>
    </row>
    <row r="49641" spans="26:26" x14ac:dyDescent="0.2">
      <c r="Z49641" t="str">
        <f t="shared" si="775"/>
        <v/>
      </c>
    </row>
    <row r="49642" spans="26:26" x14ac:dyDescent="0.2">
      <c r="Z49642" t="str">
        <f t="shared" si="775"/>
        <v/>
      </c>
    </row>
    <row r="49643" spans="26:26" x14ac:dyDescent="0.2">
      <c r="Z49643" t="str">
        <f t="shared" si="775"/>
        <v/>
      </c>
    </row>
    <row r="49644" spans="26:26" x14ac:dyDescent="0.2">
      <c r="Z49644" t="str">
        <f t="shared" si="775"/>
        <v/>
      </c>
    </row>
    <row r="49645" spans="26:26" x14ac:dyDescent="0.2">
      <c r="Z49645" t="str">
        <f t="shared" si="775"/>
        <v/>
      </c>
    </row>
    <row r="49646" spans="26:26" x14ac:dyDescent="0.2">
      <c r="Z49646" t="str">
        <f t="shared" si="775"/>
        <v/>
      </c>
    </row>
    <row r="49647" spans="26:26" x14ac:dyDescent="0.2">
      <c r="Z49647" t="str">
        <f t="shared" si="775"/>
        <v/>
      </c>
    </row>
    <row r="49648" spans="26:26" x14ac:dyDescent="0.2">
      <c r="Z49648" t="str">
        <f t="shared" si="775"/>
        <v/>
      </c>
    </row>
    <row r="49649" spans="26:26" x14ac:dyDescent="0.2">
      <c r="Z49649" t="str">
        <f t="shared" si="775"/>
        <v/>
      </c>
    </row>
    <row r="49650" spans="26:26" x14ac:dyDescent="0.2">
      <c r="Z49650" t="str">
        <f t="shared" si="775"/>
        <v/>
      </c>
    </row>
    <row r="49651" spans="26:26" x14ac:dyDescent="0.2">
      <c r="Z49651" t="str">
        <f t="shared" si="775"/>
        <v/>
      </c>
    </row>
    <row r="49652" spans="26:26" x14ac:dyDescent="0.2">
      <c r="Z49652" t="str">
        <f t="shared" si="775"/>
        <v/>
      </c>
    </row>
    <row r="49653" spans="26:26" x14ac:dyDescent="0.2">
      <c r="Z49653" t="str">
        <f t="shared" si="775"/>
        <v/>
      </c>
    </row>
    <row r="49654" spans="26:26" x14ac:dyDescent="0.2">
      <c r="Z49654" t="str">
        <f t="shared" si="775"/>
        <v/>
      </c>
    </row>
    <row r="49655" spans="26:26" x14ac:dyDescent="0.2">
      <c r="Z49655" t="str">
        <f t="shared" si="775"/>
        <v/>
      </c>
    </row>
    <row r="49656" spans="26:26" x14ac:dyDescent="0.2">
      <c r="Z49656" t="str">
        <f t="shared" si="775"/>
        <v/>
      </c>
    </row>
    <row r="49657" spans="26:26" x14ac:dyDescent="0.2">
      <c r="Z49657" t="str">
        <f t="shared" si="775"/>
        <v/>
      </c>
    </row>
    <row r="49658" spans="26:26" x14ac:dyDescent="0.2">
      <c r="Z49658" t="str">
        <f t="shared" si="775"/>
        <v/>
      </c>
    </row>
    <row r="49659" spans="26:26" x14ac:dyDescent="0.2">
      <c r="Z49659" t="str">
        <f t="shared" si="775"/>
        <v/>
      </c>
    </row>
    <row r="49660" spans="26:26" x14ac:dyDescent="0.2">
      <c r="Z49660" t="str">
        <f t="shared" si="775"/>
        <v/>
      </c>
    </row>
    <row r="49661" spans="26:26" x14ac:dyDescent="0.2">
      <c r="Z49661" t="str">
        <f t="shared" si="775"/>
        <v/>
      </c>
    </row>
    <row r="49662" spans="26:26" x14ac:dyDescent="0.2">
      <c r="Z49662" t="str">
        <f t="shared" si="775"/>
        <v/>
      </c>
    </row>
    <row r="49663" spans="26:26" x14ac:dyDescent="0.2">
      <c r="Z49663" t="str">
        <f t="shared" si="775"/>
        <v/>
      </c>
    </row>
    <row r="49664" spans="26:26" x14ac:dyDescent="0.2">
      <c r="Z49664" t="str">
        <f t="shared" si="775"/>
        <v/>
      </c>
    </row>
    <row r="49665" spans="26:26" x14ac:dyDescent="0.2">
      <c r="Z49665" t="str">
        <f t="shared" si="775"/>
        <v/>
      </c>
    </row>
    <row r="49666" spans="26:26" x14ac:dyDescent="0.2">
      <c r="Z49666" t="str">
        <f t="shared" si="775"/>
        <v/>
      </c>
    </row>
    <row r="49667" spans="26:26" x14ac:dyDescent="0.2">
      <c r="Z49667" t="str">
        <f t="shared" ref="Z49667:Z49730" si="776">IF(K49667="","",IFERROR(VALUE(TRIM(MID(K49667,FIND(CHAR(167),SUBSTITUTE(K49667,"-",CHAR(167),LEN(K49667)-LEN(SUBSTITUTE(K49667,"-",""))))+1,100))),K49667))</f>
        <v/>
      </c>
    </row>
    <row r="49668" spans="26:26" x14ac:dyDescent="0.2">
      <c r="Z49668" t="str">
        <f t="shared" si="776"/>
        <v/>
      </c>
    </row>
    <row r="49669" spans="26:26" x14ac:dyDescent="0.2">
      <c r="Z49669" t="str">
        <f t="shared" si="776"/>
        <v/>
      </c>
    </row>
    <row r="49670" spans="26:26" x14ac:dyDescent="0.2">
      <c r="Z49670" t="str">
        <f t="shared" si="776"/>
        <v/>
      </c>
    </row>
    <row r="49671" spans="26:26" x14ac:dyDescent="0.2">
      <c r="Z49671" t="str">
        <f t="shared" si="776"/>
        <v/>
      </c>
    </row>
    <row r="49672" spans="26:26" x14ac:dyDescent="0.2">
      <c r="Z49672" t="str">
        <f t="shared" si="776"/>
        <v/>
      </c>
    </row>
    <row r="49673" spans="26:26" x14ac:dyDescent="0.2">
      <c r="Z49673" t="str">
        <f t="shared" si="776"/>
        <v/>
      </c>
    </row>
    <row r="49674" spans="26:26" x14ac:dyDescent="0.2">
      <c r="Z49674" t="str">
        <f t="shared" si="776"/>
        <v/>
      </c>
    </row>
    <row r="49675" spans="26:26" x14ac:dyDescent="0.2">
      <c r="Z49675" t="str">
        <f t="shared" si="776"/>
        <v/>
      </c>
    </row>
    <row r="49676" spans="26:26" x14ac:dyDescent="0.2">
      <c r="Z49676" t="str">
        <f t="shared" si="776"/>
        <v/>
      </c>
    </row>
    <row r="49677" spans="26:26" x14ac:dyDescent="0.2">
      <c r="Z49677" t="str">
        <f t="shared" si="776"/>
        <v/>
      </c>
    </row>
    <row r="49678" spans="26:26" x14ac:dyDescent="0.2">
      <c r="Z49678" t="str">
        <f t="shared" si="776"/>
        <v/>
      </c>
    </row>
    <row r="49679" spans="26:26" x14ac:dyDescent="0.2">
      <c r="Z49679" t="str">
        <f t="shared" si="776"/>
        <v/>
      </c>
    </row>
    <row r="49680" spans="26:26" x14ac:dyDescent="0.2">
      <c r="Z49680" t="str">
        <f t="shared" si="776"/>
        <v/>
      </c>
    </row>
    <row r="49681" spans="26:26" x14ac:dyDescent="0.2">
      <c r="Z49681" t="str">
        <f t="shared" si="776"/>
        <v/>
      </c>
    </row>
    <row r="49682" spans="26:26" x14ac:dyDescent="0.2">
      <c r="Z49682" t="str">
        <f t="shared" si="776"/>
        <v/>
      </c>
    </row>
    <row r="49683" spans="26:26" x14ac:dyDescent="0.2">
      <c r="Z49683" t="str">
        <f t="shared" si="776"/>
        <v/>
      </c>
    </row>
    <row r="49684" spans="26:26" x14ac:dyDescent="0.2">
      <c r="Z49684" t="str">
        <f t="shared" si="776"/>
        <v/>
      </c>
    </row>
    <row r="49685" spans="26:26" x14ac:dyDescent="0.2">
      <c r="Z49685" t="str">
        <f t="shared" si="776"/>
        <v/>
      </c>
    </row>
    <row r="49686" spans="26:26" x14ac:dyDescent="0.2">
      <c r="Z49686" t="str">
        <f t="shared" si="776"/>
        <v/>
      </c>
    </row>
    <row r="49687" spans="26:26" x14ac:dyDescent="0.2">
      <c r="Z49687" t="str">
        <f t="shared" si="776"/>
        <v/>
      </c>
    </row>
    <row r="49688" spans="26:26" x14ac:dyDescent="0.2">
      <c r="Z49688" t="str">
        <f t="shared" si="776"/>
        <v/>
      </c>
    </row>
    <row r="49689" spans="26:26" x14ac:dyDescent="0.2">
      <c r="Z49689" t="str">
        <f t="shared" si="776"/>
        <v/>
      </c>
    </row>
    <row r="49690" spans="26:26" x14ac:dyDescent="0.2">
      <c r="Z49690" t="str">
        <f t="shared" si="776"/>
        <v/>
      </c>
    </row>
    <row r="49691" spans="26:26" x14ac:dyDescent="0.2">
      <c r="Z49691" t="str">
        <f t="shared" si="776"/>
        <v/>
      </c>
    </row>
    <row r="49692" spans="26:26" x14ac:dyDescent="0.2">
      <c r="Z49692" t="str">
        <f t="shared" si="776"/>
        <v/>
      </c>
    </row>
    <row r="49693" spans="26:26" x14ac:dyDescent="0.2">
      <c r="Z49693" t="str">
        <f t="shared" si="776"/>
        <v/>
      </c>
    </row>
    <row r="49694" spans="26:26" x14ac:dyDescent="0.2">
      <c r="Z49694" t="str">
        <f t="shared" si="776"/>
        <v/>
      </c>
    </row>
    <row r="49695" spans="26:26" x14ac:dyDescent="0.2">
      <c r="Z49695" t="str">
        <f t="shared" si="776"/>
        <v/>
      </c>
    </row>
    <row r="49696" spans="26:26" x14ac:dyDescent="0.2">
      <c r="Z49696" t="str">
        <f t="shared" si="776"/>
        <v/>
      </c>
    </row>
    <row r="49697" spans="26:26" x14ac:dyDescent="0.2">
      <c r="Z49697" t="str">
        <f t="shared" si="776"/>
        <v/>
      </c>
    </row>
    <row r="49698" spans="26:26" x14ac:dyDescent="0.2">
      <c r="Z49698" t="str">
        <f t="shared" si="776"/>
        <v/>
      </c>
    </row>
    <row r="49699" spans="26:26" x14ac:dyDescent="0.2">
      <c r="Z49699" t="str">
        <f t="shared" si="776"/>
        <v/>
      </c>
    </row>
    <row r="49700" spans="26:26" x14ac:dyDescent="0.2">
      <c r="Z49700" t="str">
        <f t="shared" si="776"/>
        <v/>
      </c>
    </row>
    <row r="49701" spans="26:26" x14ac:dyDescent="0.2">
      <c r="Z49701" t="str">
        <f t="shared" si="776"/>
        <v/>
      </c>
    </row>
    <row r="49702" spans="26:26" x14ac:dyDescent="0.2">
      <c r="Z49702" t="str">
        <f t="shared" si="776"/>
        <v/>
      </c>
    </row>
    <row r="49703" spans="26:26" x14ac:dyDescent="0.2">
      <c r="Z49703" t="str">
        <f t="shared" si="776"/>
        <v/>
      </c>
    </row>
    <row r="49704" spans="26:26" x14ac:dyDescent="0.2">
      <c r="Z49704" t="str">
        <f t="shared" si="776"/>
        <v/>
      </c>
    </row>
    <row r="49705" spans="26:26" x14ac:dyDescent="0.2">
      <c r="Z49705" t="str">
        <f t="shared" si="776"/>
        <v/>
      </c>
    </row>
    <row r="49706" spans="26:26" x14ac:dyDescent="0.2">
      <c r="Z49706" t="str">
        <f t="shared" si="776"/>
        <v/>
      </c>
    </row>
    <row r="49707" spans="26:26" x14ac:dyDescent="0.2">
      <c r="Z49707" t="str">
        <f t="shared" si="776"/>
        <v/>
      </c>
    </row>
    <row r="49708" spans="26:26" x14ac:dyDescent="0.2">
      <c r="Z49708" t="str">
        <f t="shared" si="776"/>
        <v/>
      </c>
    </row>
    <row r="49709" spans="26:26" x14ac:dyDescent="0.2">
      <c r="Z49709" t="str">
        <f t="shared" si="776"/>
        <v/>
      </c>
    </row>
    <row r="49710" spans="26:26" x14ac:dyDescent="0.2">
      <c r="Z49710" t="str">
        <f t="shared" si="776"/>
        <v/>
      </c>
    </row>
    <row r="49711" spans="26:26" x14ac:dyDescent="0.2">
      <c r="Z49711" t="str">
        <f t="shared" si="776"/>
        <v/>
      </c>
    </row>
    <row r="49712" spans="26:26" x14ac:dyDescent="0.2">
      <c r="Z49712" t="str">
        <f t="shared" si="776"/>
        <v/>
      </c>
    </row>
    <row r="49713" spans="26:26" x14ac:dyDescent="0.2">
      <c r="Z49713" t="str">
        <f t="shared" si="776"/>
        <v/>
      </c>
    </row>
    <row r="49714" spans="26:26" x14ac:dyDescent="0.2">
      <c r="Z49714" t="str">
        <f t="shared" si="776"/>
        <v/>
      </c>
    </row>
    <row r="49715" spans="26:26" x14ac:dyDescent="0.2">
      <c r="Z49715" t="str">
        <f t="shared" si="776"/>
        <v/>
      </c>
    </row>
    <row r="49716" spans="26:26" x14ac:dyDescent="0.2">
      <c r="Z49716" t="str">
        <f t="shared" si="776"/>
        <v/>
      </c>
    </row>
    <row r="49717" spans="26:26" x14ac:dyDescent="0.2">
      <c r="Z49717" t="str">
        <f t="shared" si="776"/>
        <v/>
      </c>
    </row>
    <row r="49718" spans="26:26" x14ac:dyDescent="0.2">
      <c r="Z49718" t="str">
        <f t="shared" si="776"/>
        <v/>
      </c>
    </row>
    <row r="49719" spans="26:26" x14ac:dyDescent="0.2">
      <c r="Z49719" t="str">
        <f t="shared" si="776"/>
        <v/>
      </c>
    </row>
    <row r="49720" spans="26:26" x14ac:dyDescent="0.2">
      <c r="Z49720" t="str">
        <f t="shared" si="776"/>
        <v/>
      </c>
    </row>
    <row r="49721" spans="26:26" x14ac:dyDescent="0.2">
      <c r="Z49721" t="str">
        <f t="shared" si="776"/>
        <v/>
      </c>
    </row>
    <row r="49722" spans="26:26" x14ac:dyDescent="0.2">
      <c r="Z49722" t="str">
        <f t="shared" si="776"/>
        <v/>
      </c>
    </row>
    <row r="49723" spans="26:26" x14ac:dyDescent="0.2">
      <c r="Z49723" t="str">
        <f t="shared" si="776"/>
        <v/>
      </c>
    </row>
    <row r="49724" spans="26:26" x14ac:dyDescent="0.2">
      <c r="Z49724" t="str">
        <f t="shared" si="776"/>
        <v/>
      </c>
    </row>
    <row r="49725" spans="26:26" x14ac:dyDescent="0.2">
      <c r="Z49725" t="str">
        <f t="shared" si="776"/>
        <v/>
      </c>
    </row>
    <row r="49726" spans="26:26" x14ac:dyDescent="0.2">
      <c r="Z49726" t="str">
        <f t="shared" si="776"/>
        <v/>
      </c>
    </row>
    <row r="49727" spans="26:26" x14ac:dyDescent="0.2">
      <c r="Z49727" t="str">
        <f t="shared" si="776"/>
        <v/>
      </c>
    </row>
    <row r="49728" spans="26:26" x14ac:dyDescent="0.2">
      <c r="Z49728" t="str">
        <f t="shared" si="776"/>
        <v/>
      </c>
    </row>
    <row r="49729" spans="26:26" x14ac:dyDescent="0.2">
      <c r="Z49729" t="str">
        <f t="shared" si="776"/>
        <v/>
      </c>
    </row>
    <row r="49730" spans="26:26" x14ac:dyDescent="0.2">
      <c r="Z49730" t="str">
        <f t="shared" si="776"/>
        <v/>
      </c>
    </row>
    <row r="49731" spans="26:26" x14ac:dyDescent="0.2">
      <c r="Z49731" t="str">
        <f t="shared" ref="Z49731:Z49794" si="777">IF(K49731="","",IFERROR(VALUE(TRIM(MID(K49731,FIND(CHAR(167),SUBSTITUTE(K49731,"-",CHAR(167),LEN(K49731)-LEN(SUBSTITUTE(K49731,"-",""))))+1,100))),K49731))</f>
        <v/>
      </c>
    </row>
    <row r="49732" spans="26:26" x14ac:dyDescent="0.2">
      <c r="Z49732" t="str">
        <f t="shared" si="777"/>
        <v/>
      </c>
    </row>
    <row r="49733" spans="26:26" x14ac:dyDescent="0.2">
      <c r="Z49733" t="str">
        <f t="shared" si="777"/>
        <v/>
      </c>
    </row>
    <row r="49734" spans="26:26" x14ac:dyDescent="0.2">
      <c r="Z49734" t="str">
        <f t="shared" si="777"/>
        <v/>
      </c>
    </row>
    <row r="49735" spans="26:26" x14ac:dyDescent="0.2">
      <c r="Z49735" t="str">
        <f t="shared" si="777"/>
        <v/>
      </c>
    </row>
    <row r="49736" spans="26:26" x14ac:dyDescent="0.2">
      <c r="Z49736" t="str">
        <f t="shared" si="777"/>
        <v/>
      </c>
    </row>
    <row r="49737" spans="26:26" x14ac:dyDescent="0.2">
      <c r="Z49737" t="str">
        <f t="shared" si="777"/>
        <v/>
      </c>
    </row>
    <row r="49738" spans="26:26" x14ac:dyDescent="0.2">
      <c r="Z49738" t="str">
        <f t="shared" si="777"/>
        <v/>
      </c>
    </row>
    <row r="49739" spans="26:26" x14ac:dyDescent="0.2">
      <c r="Z49739" t="str">
        <f t="shared" si="777"/>
        <v/>
      </c>
    </row>
    <row r="49740" spans="26:26" x14ac:dyDescent="0.2">
      <c r="Z49740" t="str">
        <f t="shared" si="777"/>
        <v/>
      </c>
    </row>
    <row r="49741" spans="26:26" x14ac:dyDescent="0.2">
      <c r="Z49741" t="str">
        <f t="shared" si="777"/>
        <v/>
      </c>
    </row>
    <row r="49742" spans="26:26" x14ac:dyDescent="0.2">
      <c r="Z49742" t="str">
        <f t="shared" si="777"/>
        <v/>
      </c>
    </row>
    <row r="49743" spans="26:26" x14ac:dyDescent="0.2">
      <c r="Z49743" t="str">
        <f t="shared" si="777"/>
        <v/>
      </c>
    </row>
    <row r="49744" spans="26:26" x14ac:dyDescent="0.2">
      <c r="Z49744" t="str">
        <f t="shared" si="777"/>
        <v/>
      </c>
    </row>
    <row r="49745" spans="26:26" x14ac:dyDescent="0.2">
      <c r="Z49745" t="str">
        <f t="shared" si="777"/>
        <v/>
      </c>
    </row>
    <row r="49746" spans="26:26" x14ac:dyDescent="0.2">
      <c r="Z49746" t="str">
        <f t="shared" si="777"/>
        <v/>
      </c>
    </row>
    <row r="49747" spans="26:26" x14ac:dyDescent="0.2">
      <c r="Z49747" t="str">
        <f t="shared" si="777"/>
        <v/>
      </c>
    </row>
    <row r="49748" spans="26:26" x14ac:dyDescent="0.2">
      <c r="Z49748" t="str">
        <f t="shared" si="777"/>
        <v/>
      </c>
    </row>
    <row r="49749" spans="26:26" x14ac:dyDescent="0.2">
      <c r="Z49749" t="str">
        <f t="shared" si="777"/>
        <v/>
      </c>
    </row>
    <row r="49750" spans="26:26" x14ac:dyDescent="0.2">
      <c r="Z49750" t="str">
        <f t="shared" si="777"/>
        <v/>
      </c>
    </row>
    <row r="49751" spans="26:26" x14ac:dyDescent="0.2">
      <c r="Z49751" t="str">
        <f t="shared" si="777"/>
        <v/>
      </c>
    </row>
    <row r="49752" spans="26:26" x14ac:dyDescent="0.2">
      <c r="Z49752" t="str">
        <f t="shared" si="777"/>
        <v/>
      </c>
    </row>
    <row r="49753" spans="26:26" x14ac:dyDescent="0.2">
      <c r="Z49753" t="str">
        <f t="shared" si="777"/>
        <v/>
      </c>
    </row>
    <row r="49754" spans="26:26" x14ac:dyDescent="0.2">
      <c r="Z49754" t="str">
        <f t="shared" si="777"/>
        <v/>
      </c>
    </row>
    <row r="49755" spans="26:26" x14ac:dyDescent="0.2">
      <c r="Z49755" t="str">
        <f t="shared" si="777"/>
        <v/>
      </c>
    </row>
    <row r="49756" spans="26:26" x14ac:dyDescent="0.2">
      <c r="Z49756" t="str">
        <f t="shared" si="777"/>
        <v/>
      </c>
    </row>
    <row r="49757" spans="26:26" x14ac:dyDescent="0.2">
      <c r="Z49757" t="str">
        <f t="shared" si="777"/>
        <v/>
      </c>
    </row>
    <row r="49758" spans="26:26" x14ac:dyDescent="0.2">
      <c r="Z49758" t="str">
        <f t="shared" si="777"/>
        <v/>
      </c>
    </row>
    <row r="49759" spans="26:26" x14ac:dyDescent="0.2">
      <c r="Z49759" t="str">
        <f t="shared" si="777"/>
        <v/>
      </c>
    </row>
    <row r="49760" spans="26:26" x14ac:dyDescent="0.2">
      <c r="Z49760" t="str">
        <f t="shared" si="777"/>
        <v/>
      </c>
    </row>
    <row r="49761" spans="26:26" x14ac:dyDescent="0.2">
      <c r="Z49761" t="str">
        <f t="shared" si="777"/>
        <v/>
      </c>
    </row>
    <row r="49762" spans="26:26" x14ac:dyDescent="0.2">
      <c r="Z49762" t="str">
        <f t="shared" si="777"/>
        <v/>
      </c>
    </row>
    <row r="49763" spans="26:26" x14ac:dyDescent="0.2">
      <c r="Z49763" t="str">
        <f t="shared" si="777"/>
        <v/>
      </c>
    </row>
    <row r="49764" spans="26:26" x14ac:dyDescent="0.2">
      <c r="Z49764" t="str">
        <f t="shared" si="777"/>
        <v/>
      </c>
    </row>
    <row r="49765" spans="26:26" x14ac:dyDescent="0.2">
      <c r="Z49765" t="str">
        <f t="shared" si="777"/>
        <v/>
      </c>
    </row>
    <row r="49766" spans="26:26" x14ac:dyDescent="0.2">
      <c r="Z49766" t="str">
        <f t="shared" si="777"/>
        <v/>
      </c>
    </row>
    <row r="49767" spans="26:26" x14ac:dyDescent="0.2">
      <c r="Z49767" t="str">
        <f t="shared" si="777"/>
        <v/>
      </c>
    </row>
    <row r="49768" spans="26:26" x14ac:dyDescent="0.2">
      <c r="Z49768" t="str">
        <f t="shared" si="777"/>
        <v/>
      </c>
    </row>
    <row r="49769" spans="26:26" x14ac:dyDescent="0.2">
      <c r="Z49769" t="str">
        <f t="shared" si="777"/>
        <v/>
      </c>
    </row>
    <row r="49770" spans="26:26" x14ac:dyDescent="0.2">
      <c r="Z49770" t="str">
        <f t="shared" si="777"/>
        <v/>
      </c>
    </row>
    <row r="49771" spans="26:26" x14ac:dyDescent="0.2">
      <c r="Z49771" t="str">
        <f t="shared" si="777"/>
        <v/>
      </c>
    </row>
    <row r="49772" spans="26:26" x14ac:dyDescent="0.2">
      <c r="Z49772" t="str">
        <f t="shared" si="777"/>
        <v/>
      </c>
    </row>
    <row r="49773" spans="26:26" x14ac:dyDescent="0.2">
      <c r="Z49773" t="str">
        <f t="shared" si="777"/>
        <v/>
      </c>
    </row>
    <row r="49774" spans="26:26" x14ac:dyDescent="0.2">
      <c r="Z49774" t="str">
        <f t="shared" si="777"/>
        <v/>
      </c>
    </row>
    <row r="49775" spans="26:26" x14ac:dyDescent="0.2">
      <c r="Z49775" t="str">
        <f t="shared" si="777"/>
        <v/>
      </c>
    </row>
    <row r="49776" spans="26:26" x14ac:dyDescent="0.2">
      <c r="Z49776" t="str">
        <f t="shared" si="777"/>
        <v/>
      </c>
    </row>
    <row r="49777" spans="26:26" x14ac:dyDescent="0.2">
      <c r="Z49777" t="str">
        <f t="shared" si="777"/>
        <v/>
      </c>
    </row>
    <row r="49778" spans="26:26" x14ac:dyDescent="0.2">
      <c r="Z49778" t="str">
        <f t="shared" si="777"/>
        <v/>
      </c>
    </row>
    <row r="49779" spans="26:26" x14ac:dyDescent="0.2">
      <c r="Z49779" t="str">
        <f t="shared" si="777"/>
        <v/>
      </c>
    </row>
    <row r="49780" spans="26:26" x14ac:dyDescent="0.2">
      <c r="Z49780" t="str">
        <f t="shared" si="777"/>
        <v/>
      </c>
    </row>
    <row r="49781" spans="26:26" x14ac:dyDescent="0.2">
      <c r="Z49781" t="str">
        <f t="shared" si="777"/>
        <v/>
      </c>
    </row>
    <row r="49782" spans="26:26" x14ac:dyDescent="0.2">
      <c r="Z49782" t="str">
        <f t="shared" si="777"/>
        <v/>
      </c>
    </row>
    <row r="49783" spans="26:26" x14ac:dyDescent="0.2">
      <c r="Z49783" t="str">
        <f t="shared" si="777"/>
        <v/>
      </c>
    </row>
    <row r="49784" spans="26:26" x14ac:dyDescent="0.2">
      <c r="Z49784" t="str">
        <f t="shared" si="777"/>
        <v/>
      </c>
    </row>
    <row r="49785" spans="26:26" x14ac:dyDescent="0.2">
      <c r="Z49785" t="str">
        <f t="shared" si="777"/>
        <v/>
      </c>
    </row>
    <row r="49786" spans="26:26" x14ac:dyDescent="0.2">
      <c r="Z49786" t="str">
        <f t="shared" si="777"/>
        <v/>
      </c>
    </row>
    <row r="49787" spans="26:26" x14ac:dyDescent="0.2">
      <c r="Z49787" t="str">
        <f t="shared" si="777"/>
        <v/>
      </c>
    </row>
    <row r="49788" spans="26:26" x14ac:dyDescent="0.2">
      <c r="Z49788" t="str">
        <f t="shared" si="777"/>
        <v/>
      </c>
    </row>
    <row r="49789" spans="26:26" x14ac:dyDescent="0.2">
      <c r="Z49789" t="str">
        <f t="shared" si="777"/>
        <v/>
      </c>
    </row>
    <row r="49790" spans="26:26" x14ac:dyDescent="0.2">
      <c r="Z49790" t="str">
        <f t="shared" si="777"/>
        <v/>
      </c>
    </row>
    <row r="49791" spans="26:26" x14ac:dyDescent="0.2">
      <c r="Z49791" t="str">
        <f t="shared" si="777"/>
        <v/>
      </c>
    </row>
    <row r="49792" spans="26:26" x14ac:dyDescent="0.2">
      <c r="Z49792" t="str">
        <f t="shared" si="777"/>
        <v/>
      </c>
    </row>
    <row r="49793" spans="26:26" x14ac:dyDescent="0.2">
      <c r="Z49793" t="str">
        <f t="shared" si="777"/>
        <v/>
      </c>
    </row>
    <row r="49794" spans="26:26" x14ac:dyDescent="0.2">
      <c r="Z49794" t="str">
        <f t="shared" si="777"/>
        <v/>
      </c>
    </row>
    <row r="49795" spans="26:26" x14ac:dyDescent="0.2">
      <c r="Z49795" t="str">
        <f t="shared" ref="Z49795:Z49858" si="778">IF(K49795="","",IFERROR(VALUE(TRIM(MID(K49795,FIND(CHAR(167),SUBSTITUTE(K49795,"-",CHAR(167),LEN(K49795)-LEN(SUBSTITUTE(K49795,"-",""))))+1,100))),K49795))</f>
        <v/>
      </c>
    </row>
    <row r="49796" spans="26:26" x14ac:dyDescent="0.2">
      <c r="Z49796" t="str">
        <f t="shared" si="778"/>
        <v/>
      </c>
    </row>
    <row r="49797" spans="26:26" x14ac:dyDescent="0.2">
      <c r="Z49797" t="str">
        <f t="shared" si="778"/>
        <v/>
      </c>
    </row>
    <row r="49798" spans="26:26" x14ac:dyDescent="0.2">
      <c r="Z49798" t="str">
        <f t="shared" si="778"/>
        <v/>
      </c>
    </row>
    <row r="49799" spans="26:26" x14ac:dyDescent="0.2">
      <c r="Z49799" t="str">
        <f t="shared" si="778"/>
        <v/>
      </c>
    </row>
    <row r="49800" spans="26:26" x14ac:dyDescent="0.2">
      <c r="Z49800" t="str">
        <f t="shared" si="778"/>
        <v/>
      </c>
    </row>
    <row r="49801" spans="26:26" x14ac:dyDescent="0.2">
      <c r="Z49801" t="str">
        <f t="shared" si="778"/>
        <v/>
      </c>
    </row>
    <row r="49802" spans="26:26" x14ac:dyDescent="0.2">
      <c r="Z49802" t="str">
        <f t="shared" si="778"/>
        <v/>
      </c>
    </row>
    <row r="49803" spans="26:26" x14ac:dyDescent="0.2">
      <c r="Z49803" t="str">
        <f t="shared" si="778"/>
        <v/>
      </c>
    </row>
    <row r="49804" spans="26:26" x14ac:dyDescent="0.2">
      <c r="Z49804" t="str">
        <f t="shared" si="778"/>
        <v/>
      </c>
    </row>
    <row r="49805" spans="26:26" x14ac:dyDescent="0.2">
      <c r="Z49805" t="str">
        <f t="shared" si="778"/>
        <v/>
      </c>
    </row>
    <row r="49806" spans="26:26" x14ac:dyDescent="0.2">
      <c r="Z49806" t="str">
        <f t="shared" si="778"/>
        <v/>
      </c>
    </row>
    <row r="49807" spans="26:26" x14ac:dyDescent="0.2">
      <c r="Z49807" t="str">
        <f t="shared" si="778"/>
        <v/>
      </c>
    </row>
    <row r="49808" spans="26:26" x14ac:dyDescent="0.2">
      <c r="Z49808" t="str">
        <f t="shared" si="778"/>
        <v/>
      </c>
    </row>
    <row r="49809" spans="26:26" x14ac:dyDescent="0.2">
      <c r="Z49809" t="str">
        <f t="shared" si="778"/>
        <v/>
      </c>
    </row>
    <row r="49810" spans="26:26" x14ac:dyDescent="0.2">
      <c r="Z49810" t="str">
        <f t="shared" si="778"/>
        <v/>
      </c>
    </row>
    <row r="49811" spans="26:26" x14ac:dyDescent="0.2">
      <c r="Z49811" t="str">
        <f t="shared" si="778"/>
        <v/>
      </c>
    </row>
    <row r="49812" spans="26:26" x14ac:dyDescent="0.2">
      <c r="Z49812" t="str">
        <f t="shared" si="778"/>
        <v/>
      </c>
    </row>
    <row r="49813" spans="26:26" x14ac:dyDescent="0.2">
      <c r="Z49813" t="str">
        <f t="shared" si="778"/>
        <v/>
      </c>
    </row>
    <row r="49814" spans="26:26" x14ac:dyDescent="0.2">
      <c r="Z49814" t="str">
        <f t="shared" si="778"/>
        <v/>
      </c>
    </row>
    <row r="49815" spans="26:26" x14ac:dyDescent="0.2">
      <c r="Z49815" t="str">
        <f t="shared" si="778"/>
        <v/>
      </c>
    </row>
    <row r="49816" spans="26:26" x14ac:dyDescent="0.2">
      <c r="Z49816" t="str">
        <f t="shared" si="778"/>
        <v/>
      </c>
    </row>
    <row r="49817" spans="26:26" x14ac:dyDescent="0.2">
      <c r="Z49817" t="str">
        <f t="shared" si="778"/>
        <v/>
      </c>
    </row>
    <row r="49818" spans="26:26" x14ac:dyDescent="0.2">
      <c r="Z49818" t="str">
        <f t="shared" si="778"/>
        <v/>
      </c>
    </row>
    <row r="49819" spans="26:26" x14ac:dyDescent="0.2">
      <c r="Z49819" t="str">
        <f t="shared" si="778"/>
        <v/>
      </c>
    </row>
    <row r="49820" spans="26:26" x14ac:dyDescent="0.2">
      <c r="Z49820" t="str">
        <f t="shared" si="778"/>
        <v/>
      </c>
    </row>
    <row r="49821" spans="26:26" x14ac:dyDescent="0.2">
      <c r="Z49821" t="str">
        <f t="shared" si="778"/>
        <v/>
      </c>
    </row>
    <row r="49822" spans="26:26" x14ac:dyDescent="0.2">
      <c r="Z49822" t="str">
        <f t="shared" si="778"/>
        <v/>
      </c>
    </row>
    <row r="49823" spans="26:26" x14ac:dyDescent="0.2">
      <c r="Z49823" t="str">
        <f t="shared" si="778"/>
        <v/>
      </c>
    </row>
    <row r="49824" spans="26:26" x14ac:dyDescent="0.2">
      <c r="Z49824" t="str">
        <f t="shared" si="778"/>
        <v/>
      </c>
    </row>
    <row r="49825" spans="26:26" x14ac:dyDescent="0.2">
      <c r="Z49825" t="str">
        <f t="shared" si="778"/>
        <v/>
      </c>
    </row>
    <row r="49826" spans="26:26" x14ac:dyDescent="0.2">
      <c r="Z49826" t="str">
        <f t="shared" si="778"/>
        <v/>
      </c>
    </row>
    <row r="49827" spans="26:26" x14ac:dyDescent="0.2">
      <c r="Z49827" t="str">
        <f t="shared" si="778"/>
        <v/>
      </c>
    </row>
    <row r="49828" spans="26:26" x14ac:dyDescent="0.2">
      <c r="Z49828" t="str">
        <f t="shared" si="778"/>
        <v/>
      </c>
    </row>
    <row r="49829" spans="26:26" x14ac:dyDescent="0.2">
      <c r="Z49829" t="str">
        <f t="shared" si="778"/>
        <v/>
      </c>
    </row>
    <row r="49830" spans="26:26" x14ac:dyDescent="0.2">
      <c r="Z49830" t="str">
        <f t="shared" si="778"/>
        <v/>
      </c>
    </row>
    <row r="49831" spans="26:26" x14ac:dyDescent="0.2">
      <c r="Z49831" t="str">
        <f t="shared" si="778"/>
        <v/>
      </c>
    </row>
    <row r="49832" spans="26:26" x14ac:dyDescent="0.2">
      <c r="Z49832" t="str">
        <f t="shared" si="778"/>
        <v/>
      </c>
    </row>
    <row r="49833" spans="26:26" x14ac:dyDescent="0.2">
      <c r="Z49833" t="str">
        <f t="shared" si="778"/>
        <v/>
      </c>
    </row>
    <row r="49834" spans="26:26" x14ac:dyDescent="0.2">
      <c r="Z49834" t="str">
        <f t="shared" si="778"/>
        <v/>
      </c>
    </row>
    <row r="49835" spans="26:26" x14ac:dyDescent="0.2">
      <c r="Z49835" t="str">
        <f t="shared" si="778"/>
        <v/>
      </c>
    </row>
    <row r="49836" spans="26:26" x14ac:dyDescent="0.2">
      <c r="Z49836" t="str">
        <f t="shared" si="778"/>
        <v/>
      </c>
    </row>
    <row r="49837" spans="26:26" x14ac:dyDescent="0.2">
      <c r="Z49837" t="str">
        <f t="shared" si="778"/>
        <v/>
      </c>
    </row>
    <row r="49838" spans="26:26" x14ac:dyDescent="0.2">
      <c r="Z49838" t="str">
        <f t="shared" si="778"/>
        <v/>
      </c>
    </row>
    <row r="49839" spans="26:26" x14ac:dyDescent="0.2">
      <c r="Z49839" t="str">
        <f t="shared" si="778"/>
        <v/>
      </c>
    </row>
    <row r="49840" spans="26:26" x14ac:dyDescent="0.2">
      <c r="Z49840" t="str">
        <f t="shared" si="778"/>
        <v/>
      </c>
    </row>
    <row r="49841" spans="26:26" x14ac:dyDescent="0.2">
      <c r="Z49841" t="str">
        <f t="shared" si="778"/>
        <v/>
      </c>
    </row>
    <row r="49842" spans="26:26" x14ac:dyDescent="0.2">
      <c r="Z49842" t="str">
        <f t="shared" si="778"/>
        <v/>
      </c>
    </row>
    <row r="49843" spans="26:26" x14ac:dyDescent="0.2">
      <c r="Z49843" t="str">
        <f t="shared" si="778"/>
        <v/>
      </c>
    </row>
    <row r="49844" spans="26:26" x14ac:dyDescent="0.2">
      <c r="Z49844" t="str">
        <f t="shared" si="778"/>
        <v/>
      </c>
    </row>
    <row r="49845" spans="26:26" x14ac:dyDescent="0.2">
      <c r="Z49845" t="str">
        <f t="shared" si="778"/>
        <v/>
      </c>
    </row>
    <row r="49846" spans="26:26" x14ac:dyDescent="0.2">
      <c r="Z49846" t="str">
        <f t="shared" si="778"/>
        <v/>
      </c>
    </row>
    <row r="49847" spans="26:26" x14ac:dyDescent="0.2">
      <c r="Z49847" t="str">
        <f t="shared" si="778"/>
        <v/>
      </c>
    </row>
    <row r="49848" spans="26:26" x14ac:dyDescent="0.2">
      <c r="Z49848" t="str">
        <f t="shared" si="778"/>
        <v/>
      </c>
    </row>
    <row r="49849" spans="26:26" x14ac:dyDescent="0.2">
      <c r="Z49849" t="str">
        <f t="shared" si="778"/>
        <v/>
      </c>
    </row>
    <row r="49850" spans="26:26" x14ac:dyDescent="0.2">
      <c r="Z49850" t="str">
        <f t="shared" si="778"/>
        <v/>
      </c>
    </row>
    <row r="49851" spans="26:26" x14ac:dyDescent="0.2">
      <c r="Z49851" t="str">
        <f t="shared" si="778"/>
        <v/>
      </c>
    </row>
    <row r="49852" spans="26:26" x14ac:dyDescent="0.2">
      <c r="Z49852" t="str">
        <f t="shared" si="778"/>
        <v/>
      </c>
    </row>
    <row r="49853" spans="26:26" x14ac:dyDescent="0.2">
      <c r="Z49853" t="str">
        <f t="shared" si="778"/>
        <v/>
      </c>
    </row>
    <row r="49854" spans="26:26" x14ac:dyDescent="0.2">
      <c r="Z49854" t="str">
        <f t="shared" si="778"/>
        <v/>
      </c>
    </row>
    <row r="49855" spans="26:26" x14ac:dyDescent="0.2">
      <c r="Z49855" t="str">
        <f t="shared" si="778"/>
        <v/>
      </c>
    </row>
    <row r="49856" spans="26:26" x14ac:dyDescent="0.2">
      <c r="Z49856" t="str">
        <f t="shared" si="778"/>
        <v/>
      </c>
    </row>
    <row r="49857" spans="26:26" x14ac:dyDescent="0.2">
      <c r="Z49857" t="str">
        <f t="shared" si="778"/>
        <v/>
      </c>
    </row>
    <row r="49858" spans="26:26" x14ac:dyDescent="0.2">
      <c r="Z49858" t="str">
        <f t="shared" si="778"/>
        <v/>
      </c>
    </row>
    <row r="49859" spans="26:26" x14ac:dyDescent="0.2">
      <c r="Z49859" t="str">
        <f t="shared" ref="Z49859:Z49922" si="779">IF(K49859="","",IFERROR(VALUE(TRIM(MID(K49859,FIND(CHAR(167),SUBSTITUTE(K49859,"-",CHAR(167),LEN(K49859)-LEN(SUBSTITUTE(K49859,"-",""))))+1,100))),K49859))</f>
        <v/>
      </c>
    </row>
    <row r="49860" spans="26:26" x14ac:dyDescent="0.2">
      <c r="Z49860" t="str">
        <f t="shared" si="779"/>
        <v/>
      </c>
    </row>
    <row r="49861" spans="26:26" x14ac:dyDescent="0.2">
      <c r="Z49861" t="str">
        <f t="shared" si="779"/>
        <v/>
      </c>
    </row>
    <row r="49862" spans="26:26" x14ac:dyDescent="0.2">
      <c r="Z49862" t="str">
        <f t="shared" si="779"/>
        <v/>
      </c>
    </row>
    <row r="49863" spans="26:26" x14ac:dyDescent="0.2">
      <c r="Z49863" t="str">
        <f t="shared" si="779"/>
        <v/>
      </c>
    </row>
    <row r="49864" spans="26:26" x14ac:dyDescent="0.2">
      <c r="Z49864" t="str">
        <f t="shared" si="779"/>
        <v/>
      </c>
    </row>
    <row r="49865" spans="26:26" x14ac:dyDescent="0.2">
      <c r="Z49865" t="str">
        <f t="shared" si="779"/>
        <v/>
      </c>
    </row>
    <row r="49866" spans="26:26" x14ac:dyDescent="0.2">
      <c r="Z49866" t="str">
        <f t="shared" si="779"/>
        <v/>
      </c>
    </row>
    <row r="49867" spans="26:26" x14ac:dyDescent="0.2">
      <c r="Z49867" t="str">
        <f t="shared" si="779"/>
        <v/>
      </c>
    </row>
    <row r="49868" spans="26:26" x14ac:dyDescent="0.2">
      <c r="Z49868" t="str">
        <f t="shared" si="779"/>
        <v/>
      </c>
    </row>
    <row r="49869" spans="26:26" x14ac:dyDescent="0.2">
      <c r="Z49869" t="str">
        <f t="shared" si="779"/>
        <v/>
      </c>
    </row>
    <row r="49870" spans="26:26" x14ac:dyDescent="0.2">
      <c r="Z49870" t="str">
        <f t="shared" si="779"/>
        <v/>
      </c>
    </row>
    <row r="49871" spans="26:26" x14ac:dyDescent="0.2">
      <c r="Z49871" t="str">
        <f t="shared" si="779"/>
        <v/>
      </c>
    </row>
    <row r="49872" spans="26:26" x14ac:dyDescent="0.2">
      <c r="Z49872" t="str">
        <f t="shared" si="779"/>
        <v/>
      </c>
    </row>
    <row r="49873" spans="26:26" x14ac:dyDescent="0.2">
      <c r="Z49873" t="str">
        <f t="shared" si="779"/>
        <v/>
      </c>
    </row>
    <row r="49874" spans="26:26" x14ac:dyDescent="0.2">
      <c r="Z49874" t="str">
        <f t="shared" si="779"/>
        <v/>
      </c>
    </row>
    <row r="49875" spans="26:26" x14ac:dyDescent="0.2">
      <c r="Z49875" t="str">
        <f t="shared" si="779"/>
        <v/>
      </c>
    </row>
    <row r="49876" spans="26:26" x14ac:dyDescent="0.2">
      <c r="Z49876" t="str">
        <f t="shared" si="779"/>
        <v/>
      </c>
    </row>
    <row r="49877" spans="26:26" x14ac:dyDescent="0.2">
      <c r="Z49877" t="str">
        <f t="shared" si="779"/>
        <v/>
      </c>
    </row>
    <row r="49878" spans="26:26" x14ac:dyDescent="0.2">
      <c r="Z49878" t="str">
        <f t="shared" si="779"/>
        <v/>
      </c>
    </row>
    <row r="49879" spans="26:26" x14ac:dyDescent="0.2">
      <c r="Z49879" t="str">
        <f t="shared" si="779"/>
        <v/>
      </c>
    </row>
    <row r="49880" spans="26:26" x14ac:dyDescent="0.2">
      <c r="Z49880" t="str">
        <f t="shared" si="779"/>
        <v/>
      </c>
    </row>
    <row r="49881" spans="26:26" x14ac:dyDescent="0.2">
      <c r="Z49881" t="str">
        <f t="shared" si="779"/>
        <v/>
      </c>
    </row>
    <row r="49882" spans="26:26" x14ac:dyDescent="0.2">
      <c r="Z49882" t="str">
        <f t="shared" si="779"/>
        <v/>
      </c>
    </row>
    <row r="49883" spans="26:26" x14ac:dyDescent="0.2">
      <c r="Z49883" t="str">
        <f t="shared" si="779"/>
        <v/>
      </c>
    </row>
    <row r="49884" spans="26:26" x14ac:dyDescent="0.2">
      <c r="Z49884" t="str">
        <f t="shared" si="779"/>
        <v/>
      </c>
    </row>
    <row r="49885" spans="26:26" x14ac:dyDescent="0.2">
      <c r="Z49885" t="str">
        <f t="shared" si="779"/>
        <v/>
      </c>
    </row>
    <row r="49886" spans="26:26" x14ac:dyDescent="0.2">
      <c r="Z49886" t="str">
        <f t="shared" si="779"/>
        <v/>
      </c>
    </row>
    <row r="49887" spans="26:26" x14ac:dyDescent="0.2">
      <c r="Z49887" t="str">
        <f t="shared" si="779"/>
        <v/>
      </c>
    </row>
    <row r="49888" spans="26:26" x14ac:dyDescent="0.2">
      <c r="Z49888" t="str">
        <f t="shared" si="779"/>
        <v/>
      </c>
    </row>
    <row r="49889" spans="26:26" x14ac:dyDescent="0.2">
      <c r="Z49889" t="str">
        <f t="shared" si="779"/>
        <v/>
      </c>
    </row>
    <row r="49890" spans="26:26" x14ac:dyDescent="0.2">
      <c r="Z49890" t="str">
        <f t="shared" si="779"/>
        <v/>
      </c>
    </row>
    <row r="49891" spans="26:26" x14ac:dyDescent="0.2">
      <c r="Z49891" t="str">
        <f t="shared" si="779"/>
        <v/>
      </c>
    </row>
    <row r="49892" spans="26:26" x14ac:dyDescent="0.2">
      <c r="Z49892" t="str">
        <f t="shared" si="779"/>
        <v/>
      </c>
    </row>
    <row r="49893" spans="26:26" x14ac:dyDescent="0.2">
      <c r="Z49893" t="str">
        <f t="shared" si="779"/>
        <v/>
      </c>
    </row>
    <row r="49894" spans="26:26" x14ac:dyDescent="0.2">
      <c r="Z49894" t="str">
        <f t="shared" si="779"/>
        <v/>
      </c>
    </row>
    <row r="49895" spans="26:26" x14ac:dyDescent="0.2">
      <c r="Z49895" t="str">
        <f t="shared" si="779"/>
        <v/>
      </c>
    </row>
    <row r="49896" spans="26:26" x14ac:dyDescent="0.2">
      <c r="Z49896" t="str">
        <f t="shared" si="779"/>
        <v/>
      </c>
    </row>
    <row r="49897" spans="26:26" x14ac:dyDescent="0.2">
      <c r="Z49897" t="str">
        <f t="shared" si="779"/>
        <v/>
      </c>
    </row>
    <row r="49898" spans="26:26" x14ac:dyDescent="0.2">
      <c r="Z49898" t="str">
        <f t="shared" si="779"/>
        <v/>
      </c>
    </row>
    <row r="49899" spans="26:26" x14ac:dyDescent="0.2">
      <c r="Z49899" t="str">
        <f t="shared" si="779"/>
        <v/>
      </c>
    </row>
    <row r="49900" spans="26:26" x14ac:dyDescent="0.2">
      <c r="Z49900" t="str">
        <f t="shared" si="779"/>
        <v/>
      </c>
    </row>
    <row r="49901" spans="26:26" x14ac:dyDescent="0.2">
      <c r="Z49901" t="str">
        <f t="shared" si="779"/>
        <v/>
      </c>
    </row>
    <row r="49902" spans="26:26" x14ac:dyDescent="0.2">
      <c r="Z49902" t="str">
        <f t="shared" si="779"/>
        <v/>
      </c>
    </row>
    <row r="49903" spans="26:26" x14ac:dyDescent="0.2">
      <c r="Z49903" t="str">
        <f t="shared" si="779"/>
        <v/>
      </c>
    </row>
    <row r="49904" spans="26:26" x14ac:dyDescent="0.2">
      <c r="Z49904" t="str">
        <f t="shared" si="779"/>
        <v/>
      </c>
    </row>
    <row r="49905" spans="26:26" x14ac:dyDescent="0.2">
      <c r="Z49905" t="str">
        <f t="shared" si="779"/>
        <v/>
      </c>
    </row>
    <row r="49906" spans="26:26" x14ac:dyDescent="0.2">
      <c r="Z49906" t="str">
        <f t="shared" si="779"/>
        <v/>
      </c>
    </row>
    <row r="49907" spans="26:26" x14ac:dyDescent="0.2">
      <c r="Z49907" t="str">
        <f t="shared" si="779"/>
        <v/>
      </c>
    </row>
    <row r="49908" spans="26:26" x14ac:dyDescent="0.2">
      <c r="Z49908" t="str">
        <f t="shared" si="779"/>
        <v/>
      </c>
    </row>
    <row r="49909" spans="26:26" x14ac:dyDescent="0.2">
      <c r="Z49909" t="str">
        <f t="shared" si="779"/>
        <v/>
      </c>
    </row>
    <row r="49910" spans="26:26" x14ac:dyDescent="0.2">
      <c r="Z49910" t="str">
        <f t="shared" si="779"/>
        <v/>
      </c>
    </row>
    <row r="49911" spans="26:26" x14ac:dyDescent="0.2">
      <c r="Z49911" t="str">
        <f t="shared" si="779"/>
        <v/>
      </c>
    </row>
    <row r="49912" spans="26:26" x14ac:dyDescent="0.2">
      <c r="Z49912" t="str">
        <f t="shared" si="779"/>
        <v/>
      </c>
    </row>
    <row r="49913" spans="26:26" x14ac:dyDescent="0.2">
      <c r="Z49913" t="str">
        <f t="shared" si="779"/>
        <v/>
      </c>
    </row>
    <row r="49914" spans="26:26" x14ac:dyDescent="0.2">
      <c r="Z49914" t="str">
        <f t="shared" si="779"/>
        <v/>
      </c>
    </row>
    <row r="49915" spans="26:26" x14ac:dyDescent="0.2">
      <c r="Z49915" t="str">
        <f t="shared" si="779"/>
        <v/>
      </c>
    </row>
    <row r="49916" spans="26:26" x14ac:dyDescent="0.2">
      <c r="Z49916" t="str">
        <f t="shared" si="779"/>
        <v/>
      </c>
    </row>
    <row r="49917" spans="26:26" x14ac:dyDescent="0.2">
      <c r="Z49917" t="str">
        <f t="shared" si="779"/>
        <v/>
      </c>
    </row>
    <row r="49918" spans="26:26" x14ac:dyDescent="0.2">
      <c r="Z49918" t="str">
        <f t="shared" si="779"/>
        <v/>
      </c>
    </row>
    <row r="49919" spans="26:26" x14ac:dyDescent="0.2">
      <c r="Z49919" t="str">
        <f t="shared" si="779"/>
        <v/>
      </c>
    </row>
    <row r="49920" spans="26:26" x14ac:dyDescent="0.2">
      <c r="Z49920" t="str">
        <f t="shared" si="779"/>
        <v/>
      </c>
    </row>
    <row r="49921" spans="26:26" x14ac:dyDescent="0.2">
      <c r="Z49921" t="str">
        <f t="shared" si="779"/>
        <v/>
      </c>
    </row>
    <row r="49922" spans="26:26" x14ac:dyDescent="0.2">
      <c r="Z49922" t="str">
        <f t="shared" si="779"/>
        <v/>
      </c>
    </row>
    <row r="49923" spans="26:26" x14ac:dyDescent="0.2">
      <c r="Z49923" t="str">
        <f t="shared" ref="Z49923:Z49986" si="780">IF(K49923="","",IFERROR(VALUE(TRIM(MID(K49923,FIND(CHAR(167),SUBSTITUTE(K49923,"-",CHAR(167),LEN(K49923)-LEN(SUBSTITUTE(K49923,"-",""))))+1,100))),K49923))</f>
        <v/>
      </c>
    </row>
    <row r="49924" spans="26:26" x14ac:dyDescent="0.2">
      <c r="Z49924" t="str">
        <f t="shared" si="780"/>
        <v/>
      </c>
    </row>
    <row r="49925" spans="26:26" x14ac:dyDescent="0.2">
      <c r="Z49925" t="str">
        <f t="shared" si="780"/>
        <v/>
      </c>
    </row>
    <row r="49926" spans="26:26" x14ac:dyDescent="0.2">
      <c r="Z49926" t="str">
        <f t="shared" si="780"/>
        <v/>
      </c>
    </row>
    <row r="49927" spans="26:26" x14ac:dyDescent="0.2">
      <c r="Z49927" t="str">
        <f t="shared" si="780"/>
        <v/>
      </c>
    </row>
    <row r="49928" spans="26:26" x14ac:dyDescent="0.2">
      <c r="Z49928" t="str">
        <f t="shared" si="780"/>
        <v/>
      </c>
    </row>
    <row r="49929" spans="26:26" x14ac:dyDescent="0.2">
      <c r="Z49929" t="str">
        <f t="shared" si="780"/>
        <v/>
      </c>
    </row>
    <row r="49930" spans="26:26" x14ac:dyDescent="0.2">
      <c r="Z49930" t="str">
        <f t="shared" si="780"/>
        <v/>
      </c>
    </row>
    <row r="49931" spans="26:26" x14ac:dyDescent="0.2">
      <c r="Z49931" t="str">
        <f t="shared" si="780"/>
        <v/>
      </c>
    </row>
    <row r="49932" spans="26:26" x14ac:dyDescent="0.2">
      <c r="Z49932" t="str">
        <f t="shared" si="780"/>
        <v/>
      </c>
    </row>
    <row r="49933" spans="26:26" x14ac:dyDescent="0.2">
      <c r="Z49933" t="str">
        <f t="shared" si="780"/>
        <v/>
      </c>
    </row>
    <row r="49934" spans="26:26" x14ac:dyDescent="0.2">
      <c r="Z49934" t="str">
        <f t="shared" si="780"/>
        <v/>
      </c>
    </row>
    <row r="49935" spans="26:26" x14ac:dyDescent="0.2">
      <c r="Z49935" t="str">
        <f t="shared" si="780"/>
        <v/>
      </c>
    </row>
    <row r="49936" spans="26:26" x14ac:dyDescent="0.2">
      <c r="Z49936" t="str">
        <f t="shared" si="780"/>
        <v/>
      </c>
    </row>
    <row r="49937" spans="26:26" x14ac:dyDescent="0.2">
      <c r="Z49937" t="str">
        <f t="shared" si="780"/>
        <v/>
      </c>
    </row>
    <row r="49938" spans="26:26" x14ac:dyDescent="0.2">
      <c r="Z49938" t="str">
        <f t="shared" si="780"/>
        <v/>
      </c>
    </row>
    <row r="49939" spans="26:26" x14ac:dyDescent="0.2">
      <c r="Z49939" t="str">
        <f t="shared" si="780"/>
        <v/>
      </c>
    </row>
    <row r="49940" spans="26:26" x14ac:dyDescent="0.2">
      <c r="Z49940" t="str">
        <f t="shared" si="780"/>
        <v/>
      </c>
    </row>
    <row r="49941" spans="26:26" x14ac:dyDescent="0.2">
      <c r="Z49941" t="str">
        <f t="shared" si="780"/>
        <v/>
      </c>
    </row>
    <row r="49942" spans="26:26" x14ac:dyDescent="0.2">
      <c r="Z49942" t="str">
        <f t="shared" si="780"/>
        <v/>
      </c>
    </row>
    <row r="49943" spans="26:26" x14ac:dyDescent="0.2">
      <c r="Z49943" t="str">
        <f t="shared" si="780"/>
        <v/>
      </c>
    </row>
    <row r="49944" spans="26:26" x14ac:dyDescent="0.2">
      <c r="Z49944" t="str">
        <f t="shared" si="780"/>
        <v/>
      </c>
    </row>
    <row r="49945" spans="26:26" x14ac:dyDescent="0.2">
      <c r="Z49945" t="str">
        <f t="shared" si="780"/>
        <v/>
      </c>
    </row>
    <row r="49946" spans="26:26" x14ac:dyDescent="0.2">
      <c r="Z49946" t="str">
        <f t="shared" si="780"/>
        <v/>
      </c>
    </row>
    <row r="49947" spans="26:26" x14ac:dyDescent="0.2">
      <c r="Z49947" t="str">
        <f t="shared" si="780"/>
        <v/>
      </c>
    </row>
    <row r="49948" spans="26:26" x14ac:dyDescent="0.2">
      <c r="Z49948" t="str">
        <f t="shared" si="780"/>
        <v/>
      </c>
    </row>
    <row r="49949" spans="26:26" x14ac:dyDescent="0.2">
      <c r="Z49949" t="str">
        <f t="shared" si="780"/>
        <v/>
      </c>
    </row>
    <row r="49950" spans="26:26" x14ac:dyDescent="0.2">
      <c r="Z49950" t="str">
        <f t="shared" si="780"/>
        <v/>
      </c>
    </row>
    <row r="49951" spans="26:26" x14ac:dyDescent="0.2">
      <c r="Z49951" t="str">
        <f t="shared" si="780"/>
        <v/>
      </c>
    </row>
    <row r="49952" spans="26:26" x14ac:dyDescent="0.2">
      <c r="Z49952" t="str">
        <f t="shared" si="780"/>
        <v/>
      </c>
    </row>
    <row r="49953" spans="26:26" x14ac:dyDescent="0.2">
      <c r="Z49953" t="str">
        <f t="shared" si="780"/>
        <v/>
      </c>
    </row>
    <row r="49954" spans="26:26" x14ac:dyDescent="0.2">
      <c r="Z49954" t="str">
        <f t="shared" si="780"/>
        <v/>
      </c>
    </row>
    <row r="49955" spans="26:26" x14ac:dyDescent="0.2">
      <c r="Z49955" t="str">
        <f t="shared" si="780"/>
        <v/>
      </c>
    </row>
    <row r="49956" spans="26:26" x14ac:dyDescent="0.2">
      <c r="Z49956" t="str">
        <f t="shared" si="780"/>
        <v/>
      </c>
    </row>
    <row r="49957" spans="26:26" x14ac:dyDescent="0.2">
      <c r="Z49957" t="str">
        <f t="shared" si="780"/>
        <v/>
      </c>
    </row>
    <row r="49958" spans="26:26" x14ac:dyDescent="0.2">
      <c r="Z49958" t="str">
        <f t="shared" si="780"/>
        <v/>
      </c>
    </row>
    <row r="49959" spans="26:26" x14ac:dyDescent="0.2">
      <c r="Z49959" t="str">
        <f t="shared" si="780"/>
        <v/>
      </c>
    </row>
    <row r="49960" spans="26:26" x14ac:dyDescent="0.2">
      <c r="Z49960" t="str">
        <f t="shared" si="780"/>
        <v/>
      </c>
    </row>
    <row r="49961" spans="26:26" x14ac:dyDescent="0.2">
      <c r="Z49961" t="str">
        <f t="shared" si="780"/>
        <v/>
      </c>
    </row>
    <row r="49962" spans="26:26" x14ac:dyDescent="0.2">
      <c r="Z49962" t="str">
        <f t="shared" si="780"/>
        <v/>
      </c>
    </row>
    <row r="49963" spans="26:26" x14ac:dyDescent="0.2">
      <c r="Z49963" t="str">
        <f t="shared" si="780"/>
        <v/>
      </c>
    </row>
    <row r="49964" spans="26:26" x14ac:dyDescent="0.2">
      <c r="Z49964" t="str">
        <f t="shared" si="780"/>
        <v/>
      </c>
    </row>
    <row r="49965" spans="26:26" x14ac:dyDescent="0.2">
      <c r="Z49965" t="str">
        <f t="shared" si="780"/>
        <v/>
      </c>
    </row>
    <row r="49966" spans="26:26" x14ac:dyDescent="0.2">
      <c r="Z49966" t="str">
        <f t="shared" si="780"/>
        <v/>
      </c>
    </row>
    <row r="49967" spans="26:26" x14ac:dyDescent="0.2">
      <c r="Z49967" t="str">
        <f t="shared" si="780"/>
        <v/>
      </c>
    </row>
    <row r="49968" spans="26:26" x14ac:dyDescent="0.2">
      <c r="Z49968" t="str">
        <f t="shared" si="780"/>
        <v/>
      </c>
    </row>
    <row r="49969" spans="26:26" x14ac:dyDescent="0.2">
      <c r="Z49969" t="str">
        <f t="shared" si="780"/>
        <v/>
      </c>
    </row>
    <row r="49970" spans="26:26" x14ac:dyDescent="0.2">
      <c r="Z49970" t="str">
        <f t="shared" si="780"/>
        <v/>
      </c>
    </row>
    <row r="49971" spans="26:26" x14ac:dyDescent="0.2">
      <c r="Z49971" t="str">
        <f t="shared" si="780"/>
        <v/>
      </c>
    </row>
    <row r="49972" spans="26:26" x14ac:dyDescent="0.2">
      <c r="Z49972" t="str">
        <f t="shared" si="780"/>
        <v/>
      </c>
    </row>
    <row r="49973" spans="26:26" x14ac:dyDescent="0.2">
      <c r="Z49973" t="str">
        <f t="shared" si="780"/>
        <v/>
      </c>
    </row>
    <row r="49974" spans="26:26" x14ac:dyDescent="0.2">
      <c r="Z49974" t="str">
        <f t="shared" si="780"/>
        <v/>
      </c>
    </row>
    <row r="49975" spans="26:26" x14ac:dyDescent="0.2">
      <c r="Z49975" t="str">
        <f t="shared" si="780"/>
        <v/>
      </c>
    </row>
    <row r="49976" spans="26:26" x14ac:dyDescent="0.2">
      <c r="Z49976" t="str">
        <f t="shared" si="780"/>
        <v/>
      </c>
    </row>
    <row r="49977" spans="26:26" x14ac:dyDescent="0.2">
      <c r="Z49977" t="str">
        <f t="shared" si="780"/>
        <v/>
      </c>
    </row>
    <row r="49978" spans="26:26" x14ac:dyDescent="0.2">
      <c r="Z49978" t="str">
        <f t="shared" si="780"/>
        <v/>
      </c>
    </row>
    <row r="49979" spans="26:26" x14ac:dyDescent="0.2">
      <c r="Z49979" t="str">
        <f t="shared" si="780"/>
        <v/>
      </c>
    </row>
    <row r="49980" spans="26:26" x14ac:dyDescent="0.2">
      <c r="Z49980" t="str">
        <f t="shared" si="780"/>
        <v/>
      </c>
    </row>
    <row r="49981" spans="26:26" x14ac:dyDescent="0.2">
      <c r="Z49981" t="str">
        <f t="shared" si="780"/>
        <v/>
      </c>
    </row>
    <row r="49982" spans="26:26" x14ac:dyDescent="0.2">
      <c r="Z49982" t="str">
        <f t="shared" si="780"/>
        <v/>
      </c>
    </row>
    <row r="49983" spans="26:26" x14ac:dyDescent="0.2">
      <c r="Z49983" t="str">
        <f t="shared" si="780"/>
        <v/>
      </c>
    </row>
    <row r="49984" spans="26:26" x14ac:dyDescent="0.2">
      <c r="Z49984" t="str">
        <f t="shared" si="780"/>
        <v/>
      </c>
    </row>
    <row r="49985" spans="26:26" x14ac:dyDescent="0.2">
      <c r="Z49985" t="str">
        <f t="shared" si="780"/>
        <v/>
      </c>
    </row>
    <row r="49986" spans="26:26" x14ac:dyDescent="0.2">
      <c r="Z49986" t="str">
        <f t="shared" si="780"/>
        <v/>
      </c>
    </row>
    <row r="49987" spans="26:26" x14ac:dyDescent="0.2">
      <c r="Z49987" t="str">
        <f t="shared" ref="Z49987:Z50002" si="781">IF(K49987="","",IFERROR(VALUE(TRIM(MID(K49987,FIND(CHAR(167),SUBSTITUTE(K49987,"-",CHAR(167),LEN(K49987)-LEN(SUBSTITUTE(K49987,"-",""))))+1,100))),K49987))</f>
        <v/>
      </c>
    </row>
    <row r="49988" spans="26:26" x14ac:dyDescent="0.2">
      <c r="Z49988" t="str">
        <f t="shared" si="781"/>
        <v/>
      </c>
    </row>
    <row r="49989" spans="26:26" x14ac:dyDescent="0.2">
      <c r="Z49989" t="str">
        <f t="shared" si="781"/>
        <v/>
      </c>
    </row>
    <row r="49990" spans="26:26" x14ac:dyDescent="0.2">
      <c r="Z49990" t="str">
        <f t="shared" si="781"/>
        <v/>
      </c>
    </row>
    <row r="49991" spans="26:26" x14ac:dyDescent="0.2">
      <c r="Z49991" t="str">
        <f t="shared" si="781"/>
        <v/>
      </c>
    </row>
    <row r="49992" spans="26:26" x14ac:dyDescent="0.2">
      <c r="Z49992" t="str">
        <f t="shared" si="781"/>
        <v/>
      </c>
    </row>
    <row r="49993" spans="26:26" x14ac:dyDescent="0.2">
      <c r="Z49993" t="str">
        <f t="shared" si="781"/>
        <v/>
      </c>
    </row>
    <row r="49994" spans="26:26" x14ac:dyDescent="0.2">
      <c r="Z49994" t="str">
        <f t="shared" si="781"/>
        <v/>
      </c>
    </row>
    <row r="49995" spans="26:26" x14ac:dyDescent="0.2">
      <c r="Z49995" t="str">
        <f t="shared" si="781"/>
        <v/>
      </c>
    </row>
    <row r="49996" spans="26:26" x14ac:dyDescent="0.2">
      <c r="Z49996" t="str">
        <f t="shared" si="781"/>
        <v/>
      </c>
    </row>
    <row r="49997" spans="26:26" x14ac:dyDescent="0.2">
      <c r="Z49997" t="str">
        <f t="shared" si="781"/>
        <v/>
      </c>
    </row>
    <row r="49998" spans="26:26" x14ac:dyDescent="0.2">
      <c r="Z49998" t="str">
        <f t="shared" si="781"/>
        <v/>
      </c>
    </row>
    <row r="49999" spans="26:26" x14ac:dyDescent="0.2">
      <c r="Z49999" t="str">
        <f t="shared" si="781"/>
        <v/>
      </c>
    </row>
    <row r="50000" spans="26:26" x14ac:dyDescent="0.2">
      <c r="Z50000" t="str">
        <f t="shared" si="781"/>
        <v/>
      </c>
    </row>
    <row r="50001" spans="26:26" x14ac:dyDescent="0.2">
      <c r="Z50001" t="str">
        <f t="shared" si="781"/>
        <v/>
      </c>
    </row>
    <row r="50002" spans="26:26" x14ac:dyDescent="0.2">
      <c r="Z50002" t="str">
        <f t="shared" si="781"/>
        <v/>
      </c>
    </row>
  </sheetData>
  <mergeCells count="2">
    <mergeCell ref="A1:Z1"/>
    <mergeCell ref="A3:Y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showGridLines="0" zoomScaleNormal="100" workbookViewId="0"/>
  </sheetViews>
  <sheetFormatPr baseColWidth="10" defaultColWidth="8.6640625" defaultRowHeight="15" x14ac:dyDescent="0.2"/>
  <cols>
    <col min="6" max="6" width="22" customWidth="1"/>
    <col min="12" max="12" width="18" customWidth="1"/>
  </cols>
  <sheetData>
    <row r="1" spans="1:12" ht="27.75" customHeight="1" x14ac:dyDescent="0.2">
      <c r="A1" s="22" t="s">
        <v>67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39.75" customHeight="1" x14ac:dyDescent="0.2">
      <c r="F2" s="15" t="s">
        <v>68</v>
      </c>
      <c r="L2" s="15" t="s">
        <v>69</v>
      </c>
    </row>
    <row r="3" spans="1:12" x14ac:dyDescent="0.2">
      <c r="A3" s="23" t="s">
        <v>70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</sheetData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03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</cols>
  <sheetData>
    <row r="1" spans="1:1" ht="27.75" customHeight="1" x14ac:dyDescent="0.2">
      <c r="A1" s="2" t="s">
        <v>71</v>
      </c>
    </row>
    <row r="2" spans="1:1" x14ac:dyDescent="0.2">
      <c r="A2" s="3" t="s">
        <v>72</v>
      </c>
    </row>
    <row r="3" spans="1:1" x14ac:dyDescent="0.2">
      <c r="A3" s="1" t="s">
        <v>73</v>
      </c>
    </row>
    <row r="4" spans="1:1" x14ac:dyDescent="0.2">
      <c r="A4" s="17"/>
    </row>
    <row r="5" spans="1:1" x14ac:dyDescent="0.2">
      <c r="A5" s="18"/>
    </row>
    <row r="6" spans="1:1" x14ac:dyDescent="0.2">
      <c r="A6" s="17"/>
    </row>
    <row r="7" spans="1:1" x14ac:dyDescent="0.2">
      <c r="A7" s="18"/>
    </row>
    <row r="8" spans="1:1" x14ac:dyDescent="0.2">
      <c r="A8" s="17"/>
    </row>
    <row r="9" spans="1:1" x14ac:dyDescent="0.2">
      <c r="A9" s="18"/>
    </row>
    <row r="10" spans="1:1" x14ac:dyDescent="0.2">
      <c r="A10" s="17"/>
    </row>
    <row r="11" spans="1:1" x14ac:dyDescent="0.2">
      <c r="A11" s="18"/>
    </row>
    <row r="12" spans="1:1" x14ac:dyDescent="0.2">
      <c r="A12" s="17"/>
    </row>
    <row r="13" spans="1:1" x14ac:dyDescent="0.2">
      <c r="A13" s="18"/>
    </row>
    <row r="14" spans="1:1" x14ac:dyDescent="0.2">
      <c r="A14" s="17"/>
    </row>
    <row r="15" spans="1:1" x14ac:dyDescent="0.2">
      <c r="A15" s="18"/>
    </row>
    <row r="16" spans="1:1" x14ac:dyDescent="0.2">
      <c r="A16" s="17"/>
    </row>
    <row r="17" spans="1:1" x14ac:dyDescent="0.2">
      <c r="A17" s="18"/>
    </row>
    <row r="18" spans="1:1" x14ac:dyDescent="0.2">
      <c r="A18" s="17"/>
    </row>
    <row r="19" spans="1:1" x14ac:dyDescent="0.2">
      <c r="A19" s="18"/>
    </row>
    <row r="20" spans="1:1" x14ac:dyDescent="0.2">
      <c r="A20" s="17"/>
    </row>
    <row r="21" spans="1:1" x14ac:dyDescent="0.2">
      <c r="A21" s="18"/>
    </row>
    <row r="22" spans="1:1" x14ac:dyDescent="0.2">
      <c r="A22" s="17"/>
    </row>
    <row r="23" spans="1:1" x14ac:dyDescent="0.2">
      <c r="A23" s="18"/>
    </row>
    <row r="24" spans="1:1" x14ac:dyDescent="0.2">
      <c r="A24" s="17"/>
    </row>
    <row r="25" spans="1:1" x14ac:dyDescent="0.2">
      <c r="A25" s="18"/>
    </row>
    <row r="26" spans="1:1" x14ac:dyDescent="0.2">
      <c r="A26" s="17"/>
    </row>
    <row r="27" spans="1:1" x14ac:dyDescent="0.2">
      <c r="A27" s="18"/>
    </row>
    <row r="28" spans="1:1" x14ac:dyDescent="0.2">
      <c r="A28" s="17"/>
    </row>
    <row r="29" spans="1:1" x14ac:dyDescent="0.2">
      <c r="A29" s="18"/>
    </row>
    <row r="30" spans="1:1" x14ac:dyDescent="0.2">
      <c r="A30" s="17"/>
    </row>
    <row r="31" spans="1:1" x14ac:dyDescent="0.2">
      <c r="A31" s="18"/>
    </row>
    <row r="32" spans="1:1" x14ac:dyDescent="0.2">
      <c r="A32" s="17"/>
    </row>
    <row r="33" spans="1:1" x14ac:dyDescent="0.2">
      <c r="A33" s="18"/>
    </row>
    <row r="34" spans="1:1" x14ac:dyDescent="0.2">
      <c r="A34" s="17"/>
    </row>
    <row r="35" spans="1:1" x14ac:dyDescent="0.2">
      <c r="A35" s="18"/>
    </row>
    <row r="36" spans="1:1" x14ac:dyDescent="0.2">
      <c r="A36" s="17"/>
    </row>
    <row r="37" spans="1:1" x14ac:dyDescent="0.2">
      <c r="A37" s="18"/>
    </row>
    <row r="38" spans="1:1" x14ac:dyDescent="0.2">
      <c r="A38" s="17"/>
    </row>
    <row r="39" spans="1:1" x14ac:dyDescent="0.2">
      <c r="A39" s="18"/>
    </row>
    <row r="40" spans="1:1" x14ac:dyDescent="0.2">
      <c r="A40" s="17"/>
    </row>
    <row r="41" spans="1:1" x14ac:dyDescent="0.2">
      <c r="A41" s="18"/>
    </row>
    <row r="42" spans="1:1" x14ac:dyDescent="0.2">
      <c r="A42" s="17"/>
    </row>
    <row r="43" spans="1:1" x14ac:dyDescent="0.2">
      <c r="A43" s="18"/>
    </row>
    <row r="44" spans="1:1" x14ac:dyDescent="0.2">
      <c r="A44" s="17"/>
    </row>
    <row r="45" spans="1:1" x14ac:dyDescent="0.2">
      <c r="A45" s="18"/>
    </row>
    <row r="46" spans="1:1" x14ac:dyDescent="0.2">
      <c r="A46" s="17"/>
    </row>
    <row r="47" spans="1:1" x14ac:dyDescent="0.2">
      <c r="A47" s="18"/>
    </row>
    <row r="48" spans="1:1" x14ac:dyDescent="0.2">
      <c r="A48" s="17"/>
    </row>
    <row r="49" spans="1:1" x14ac:dyDescent="0.2">
      <c r="A49" s="18"/>
    </row>
    <row r="50" spans="1:1" x14ac:dyDescent="0.2">
      <c r="A50" s="17"/>
    </row>
    <row r="51" spans="1:1" x14ac:dyDescent="0.2">
      <c r="A51" s="18"/>
    </row>
    <row r="52" spans="1:1" x14ac:dyDescent="0.2">
      <c r="A52" s="17"/>
    </row>
    <row r="53" spans="1:1" x14ac:dyDescent="0.2">
      <c r="A53" s="18"/>
    </row>
    <row r="54" spans="1:1" x14ac:dyDescent="0.2">
      <c r="A54" s="17"/>
    </row>
    <row r="55" spans="1:1" x14ac:dyDescent="0.2">
      <c r="A55" s="18"/>
    </row>
    <row r="56" spans="1:1" x14ac:dyDescent="0.2">
      <c r="A56" s="17"/>
    </row>
    <row r="57" spans="1:1" x14ac:dyDescent="0.2">
      <c r="A57" s="18"/>
    </row>
    <row r="58" spans="1:1" x14ac:dyDescent="0.2">
      <c r="A58" s="17"/>
    </row>
    <row r="59" spans="1:1" x14ac:dyDescent="0.2">
      <c r="A59" s="18"/>
    </row>
    <row r="60" spans="1:1" x14ac:dyDescent="0.2">
      <c r="A60" s="17"/>
    </row>
    <row r="61" spans="1:1" x14ac:dyDescent="0.2">
      <c r="A61" s="18"/>
    </row>
    <row r="62" spans="1:1" x14ac:dyDescent="0.2">
      <c r="A62" s="17"/>
    </row>
    <row r="63" spans="1:1" x14ac:dyDescent="0.2">
      <c r="A63" s="18"/>
    </row>
    <row r="64" spans="1:1" x14ac:dyDescent="0.2">
      <c r="A64" s="17"/>
    </row>
    <row r="65" spans="1:1" x14ac:dyDescent="0.2">
      <c r="A65" s="18"/>
    </row>
    <row r="66" spans="1:1" x14ac:dyDescent="0.2">
      <c r="A66" s="17"/>
    </row>
    <row r="67" spans="1:1" x14ac:dyDescent="0.2">
      <c r="A67" s="18"/>
    </row>
    <row r="68" spans="1:1" x14ac:dyDescent="0.2">
      <c r="A68" s="17"/>
    </row>
    <row r="69" spans="1:1" x14ac:dyDescent="0.2">
      <c r="A69" s="18"/>
    </row>
    <row r="70" spans="1:1" x14ac:dyDescent="0.2">
      <c r="A70" s="17"/>
    </row>
    <row r="71" spans="1:1" x14ac:dyDescent="0.2">
      <c r="A71" s="18"/>
    </row>
    <row r="72" spans="1:1" x14ac:dyDescent="0.2">
      <c r="A72" s="17"/>
    </row>
    <row r="73" spans="1:1" x14ac:dyDescent="0.2">
      <c r="A73" s="18"/>
    </row>
    <row r="74" spans="1:1" x14ac:dyDescent="0.2">
      <c r="A74" s="17"/>
    </row>
    <row r="75" spans="1:1" x14ac:dyDescent="0.2">
      <c r="A75" s="18"/>
    </row>
    <row r="76" spans="1:1" x14ac:dyDescent="0.2">
      <c r="A76" s="17"/>
    </row>
    <row r="77" spans="1:1" x14ac:dyDescent="0.2">
      <c r="A77" s="18"/>
    </row>
    <row r="78" spans="1:1" x14ac:dyDescent="0.2">
      <c r="A78" s="17"/>
    </row>
    <row r="79" spans="1:1" x14ac:dyDescent="0.2">
      <c r="A79" s="18"/>
    </row>
    <row r="80" spans="1:1" x14ac:dyDescent="0.2">
      <c r="A80" s="17"/>
    </row>
    <row r="81" spans="1:1" x14ac:dyDescent="0.2">
      <c r="A81" s="18"/>
    </row>
    <row r="82" spans="1:1" x14ac:dyDescent="0.2">
      <c r="A82" s="17"/>
    </row>
    <row r="83" spans="1:1" x14ac:dyDescent="0.2">
      <c r="A83" s="18"/>
    </row>
    <row r="84" spans="1:1" x14ac:dyDescent="0.2">
      <c r="A84" s="17"/>
    </row>
    <row r="85" spans="1:1" x14ac:dyDescent="0.2">
      <c r="A85" s="18"/>
    </row>
    <row r="86" spans="1:1" x14ac:dyDescent="0.2">
      <c r="A86" s="17"/>
    </row>
    <row r="87" spans="1:1" x14ac:dyDescent="0.2">
      <c r="A87" s="18"/>
    </row>
    <row r="88" spans="1:1" x14ac:dyDescent="0.2">
      <c r="A88" s="17"/>
    </row>
    <row r="89" spans="1:1" x14ac:dyDescent="0.2">
      <c r="A89" s="18"/>
    </row>
    <row r="90" spans="1:1" x14ac:dyDescent="0.2">
      <c r="A90" s="17"/>
    </row>
    <row r="91" spans="1:1" x14ac:dyDescent="0.2">
      <c r="A91" s="18"/>
    </row>
    <row r="92" spans="1:1" x14ac:dyDescent="0.2">
      <c r="A92" s="17"/>
    </row>
    <row r="93" spans="1:1" x14ac:dyDescent="0.2">
      <c r="A93" s="18"/>
    </row>
    <row r="94" spans="1:1" x14ac:dyDescent="0.2">
      <c r="A94" s="17"/>
    </row>
    <row r="95" spans="1:1" x14ac:dyDescent="0.2">
      <c r="A95" s="18"/>
    </row>
    <row r="96" spans="1:1" x14ac:dyDescent="0.2">
      <c r="A96" s="17"/>
    </row>
    <row r="97" spans="1:1" x14ac:dyDescent="0.2">
      <c r="A97" s="18"/>
    </row>
    <row r="98" spans="1:1" x14ac:dyDescent="0.2">
      <c r="A98" s="17"/>
    </row>
    <row r="99" spans="1:1" x14ac:dyDescent="0.2">
      <c r="A99" s="18"/>
    </row>
    <row r="100" spans="1:1" x14ac:dyDescent="0.2">
      <c r="A100" s="17"/>
    </row>
    <row r="101" spans="1:1" x14ac:dyDescent="0.2">
      <c r="A101" s="18"/>
    </row>
    <row r="102" spans="1:1" x14ac:dyDescent="0.2">
      <c r="A102" s="17"/>
    </row>
    <row r="103" spans="1:1" x14ac:dyDescent="0.2">
      <c r="A103" s="1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4"/>
  <sheetViews>
    <sheetView showGridLines="0" zoomScaleNormal="100" workbookViewId="0"/>
  </sheetViews>
  <sheetFormatPr baseColWidth="10" defaultColWidth="8.6640625" defaultRowHeight="15" x14ac:dyDescent="0.2"/>
  <cols>
    <col min="1" max="1" width="20" customWidth="1"/>
  </cols>
  <sheetData>
    <row r="1" spans="1:1" ht="27.75" customHeight="1" x14ac:dyDescent="0.2">
      <c r="A1" s="2" t="s">
        <v>74</v>
      </c>
    </row>
    <row r="2" spans="1:1" x14ac:dyDescent="0.2">
      <c r="A2" s="3" t="s">
        <v>72</v>
      </c>
    </row>
    <row r="3" spans="1:1" x14ac:dyDescent="0.2">
      <c r="A3" s="1" t="s">
        <v>75</v>
      </c>
    </row>
    <row r="4" spans="1:1" x14ac:dyDescent="0.2">
      <c r="A4" s="19"/>
    </row>
    <row r="5" spans="1:1" x14ac:dyDescent="0.2">
      <c r="A5" s="20"/>
    </row>
    <row r="6" spans="1:1" x14ac:dyDescent="0.2">
      <c r="A6" s="19"/>
    </row>
    <row r="7" spans="1:1" x14ac:dyDescent="0.2">
      <c r="A7" s="20"/>
    </row>
    <row r="8" spans="1:1" x14ac:dyDescent="0.2">
      <c r="A8" s="19"/>
    </row>
    <row r="9" spans="1:1" x14ac:dyDescent="0.2">
      <c r="A9" s="20"/>
    </row>
    <row r="10" spans="1:1" x14ac:dyDescent="0.2">
      <c r="A10" s="19"/>
    </row>
    <row r="11" spans="1:1" x14ac:dyDescent="0.2">
      <c r="A11" s="20"/>
    </row>
    <row r="12" spans="1:1" x14ac:dyDescent="0.2">
      <c r="A12" s="19"/>
    </row>
    <row r="13" spans="1:1" x14ac:dyDescent="0.2">
      <c r="A13" s="20"/>
    </row>
    <row r="14" spans="1:1" x14ac:dyDescent="0.2">
      <c r="A14" s="19"/>
    </row>
    <row r="15" spans="1:1" x14ac:dyDescent="0.2">
      <c r="A15" s="20"/>
    </row>
    <row r="16" spans="1:1" x14ac:dyDescent="0.2">
      <c r="A16" s="19"/>
    </row>
    <row r="17" spans="1:1" x14ac:dyDescent="0.2">
      <c r="A17" s="20"/>
    </row>
    <row r="18" spans="1:1" x14ac:dyDescent="0.2">
      <c r="A18" s="19"/>
    </row>
    <row r="19" spans="1:1" x14ac:dyDescent="0.2">
      <c r="A19" s="20"/>
    </row>
    <row r="20" spans="1:1" x14ac:dyDescent="0.2">
      <c r="A20" s="19"/>
    </row>
    <row r="21" spans="1:1" x14ac:dyDescent="0.2">
      <c r="A21" s="20"/>
    </row>
    <row r="22" spans="1:1" x14ac:dyDescent="0.2">
      <c r="A22" s="19"/>
    </row>
    <row r="23" spans="1:1" x14ac:dyDescent="0.2">
      <c r="A23" s="20"/>
    </row>
    <row r="24" spans="1:1" x14ac:dyDescent="0.2">
      <c r="A24" s="19"/>
    </row>
    <row r="25" spans="1:1" x14ac:dyDescent="0.2">
      <c r="A25" s="20"/>
    </row>
    <row r="26" spans="1:1" x14ac:dyDescent="0.2">
      <c r="A26" s="19"/>
    </row>
    <row r="27" spans="1:1" x14ac:dyDescent="0.2">
      <c r="A27" s="20"/>
    </row>
    <row r="28" spans="1:1" x14ac:dyDescent="0.2">
      <c r="A28" s="19"/>
    </row>
    <row r="29" spans="1:1" x14ac:dyDescent="0.2">
      <c r="A29" s="20"/>
    </row>
    <row r="30" spans="1:1" x14ac:dyDescent="0.2">
      <c r="A30" s="19"/>
    </row>
    <row r="31" spans="1:1" x14ac:dyDescent="0.2">
      <c r="A31" s="20"/>
    </row>
    <row r="32" spans="1:1" x14ac:dyDescent="0.2">
      <c r="A32" s="19"/>
    </row>
    <row r="33" spans="1:1" x14ac:dyDescent="0.2">
      <c r="A33" s="20"/>
    </row>
    <row r="34" spans="1:1" x14ac:dyDescent="0.2">
      <c r="A34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showGridLines="0" zoomScaleNormal="100" workbookViewId="0"/>
  </sheetViews>
  <sheetFormatPr baseColWidth="10" defaultColWidth="8.6640625" defaultRowHeight="15" x14ac:dyDescent="0.2"/>
  <cols>
    <col min="1" max="1" width="8" customWidth="1"/>
    <col min="2" max="2" width="65" customWidth="1"/>
  </cols>
  <sheetData>
    <row r="1" spans="1:5" ht="30" customHeight="1" x14ac:dyDescent="0.2">
      <c r="A1" s="26" t="s">
        <v>76</v>
      </c>
      <c r="B1" s="26"/>
      <c r="C1" s="26"/>
      <c r="D1" s="26"/>
      <c r="E1" s="26"/>
    </row>
    <row r="3" spans="1:5" x14ac:dyDescent="0.2">
      <c r="A3" s="21" t="s">
        <v>77</v>
      </c>
      <c r="B3" s="21" t="s">
        <v>78</v>
      </c>
    </row>
    <row r="4" spans="1:5" x14ac:dyDescent="0.2">
      <c r="A4" s="6" t="s">
        <v>79</v>
      </c>
      <c r="B4" s="6" t="s">
        <v>80</v>
      </c>
    </row>
    <row r="5" spans="1:5" x14ac:dyDescent="0.2">
      <c r="A5" s="5" t="s">
        <v>81</v>
      </c>
      <c r="B5" s="5" t="s">
        <v>82</v>
      </c>
    </row>
    <row r="6" spans="1:5" x14ac:dyDescent="0.2">
      <c r="A6" s="6" t="s">
        <v>83</v>
      </c>
      <c r="B6" s="6" t="s">
        <v>84</v>
      </c>
    </row>
    <row r="7" spans="1:5" x14ac:dyDescent="0.2">
      <c r="A7" s="5" t="s">
        <v>85</v>
      </c>
      <c r="B7" s="5" t="s">
        <v>86</v>
      </c>
    </row>
    <row r="8" spans="1:5" x14ac:dyDescent="0.2">
      <c r="A8" s="6" t="s">
        <v>87</v>
      </c>
      <c r="B8" s="6" t="s">
        <v>88</v>
      </c>
    </row>
    <row r="9" spans="1:5" x14ac:dyDescent="0.2">
      <c r="A9" s="5" t="s">
        <v>89</v>
      </c>
      <c r="B9" s="5" t="s">
        <v>90</v>
      </c>
    </row>
    <row r="10" spans="1:5" x14ac:dyDescent="0.2">
      <c r="A10" s="6" t="s">
        <v>91</v>
      </c>
      <c r="B10" s="6" t="s">
        <v>92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All_Risk_Apps</vt:lpstr>
      <vt:lpstr>Bucket1_High_Risk</vt:lpstr>
      <vt:lpstr>Bucket2_Fast_Followers</vt:lpstr>
      <vt:lpstr>Server_Inventory</vt:lpstr>
      <vt:lpstr>Container_Inventory</vt:lpstr>
      <vt:lpstr>FUSE_CI</vt:lpstr>
      <vt:lpstr>Finding_List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Robert Carpenter</cp:lastModifiedBy>
  <cp:revision>0</cp:revision>
  <dcterms:created xsi:type="dcterms:W3CDTF">2026-04-02T16:35:34Z</dcterms:created>
  <dcterms:modified xsi:type="dcterms:W3CDTF">2026-04-02T16:41:16Z</dcterms:modified>
  <dc:language>en-US</dc:language>
</cp:coreProperties>
</file>